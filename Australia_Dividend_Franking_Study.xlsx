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piries" sheetId="2" state="visible" r:id="rId2"/>
    <sheet name="Div by Expiry" sheetId="3" state="visible" r:id="rId3"/>
    <sheet name="Futures FV" sheetId="4" state="visible" r:id="rId4"/>
    <sheet name="Field Check" sheetId="5" state="visible" r:id="rId5"/>
    <sheet name="AS51" sheetId="6" state="visible" r:id="rId6"/>
    <sheet name="MXAU" sheetId="7" state="visible" r:id="rId7"/>
    <sheet name="Dvd Calendar" sheetId="8" state="visible" r:id="rId8"/>
    <sheet name="Accrual" sheetId="9" state="visible" r:id="rId9"/>
    <sheet name="Override" sheetId="10" state="visible" r:id="rId10"/>
    <sheet name="Index Summary" sheetId="11" state="visible" r:id="rId11"/>
    <sheet name="Sector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dd-mmm-yy"/>
    <numFmt numFmtId="165" formatCode="#,##0.0"/>
    <numFmt numFmtId="166" formatCode="0.000%"/>
    <numFmt numFmtId="167" formatCode="0.0%"/>
    <numFmt numFmtId="168" formatCode="0.0000"/>
    <numFmt numFmtId="169" formatCode="0.00;;"/>
    <numFmt numFmtId="170" formatCode="0;;"/>
    <numFmt numFmtId="171" formatCode="dd-mmm-yy;;"/>
    <numFmt numFmtId="172" formatCode="dd-mmm;;"/>
    <numFmt numFmtId="173" formatCode="0.000;;"/>
    <numFmt numFmtId="174" formatCode="#,##0.00;;"/>
    <numFmt numFmtId="175" formatCode="0.000"/>
    <numFmt numFmtId="176" formatCode="+0.000;-0.000;;"/>
    <numFmt numFmtId="177" formatCode="[&gt;30000]dd-mmm-yy;0.####"/>
    <numFmt numFmtId="178" formatCode="#,##0.000"/>
    <numFmt numFmtId="179" formatCode="+#,##0.0;-#,##0.0"/>
    <numFmt numFmtId="180" formatCode="+0%;-0%"/>
    <numFmt numFmtId="181" formatCode="+#,##0.00;-#,##0.00"/>
    <numFmt numFmtId="182" formatCode="+0.0%;-0.0%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color rgb="000000FF"/>
      <sz val="11"/>
    </font>
    <font>
      <name val="Arial"/>
      <color rgb="0000610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7" fillId="3" borderId="1" pivotButton="0" quotePrefix="0" xfId="0"/>
    <xf numFmtId="0" fontId="7" fillId="4" borderId="1" pivotButton="0" quotePrefix="0" xfId="0"/>
    <xf numFmtId="0" fontId="9" fillId="5" borderId="1" applyAlignment="1" pivotButton="0" quotePrefix="0" xfId="0">
      <alignment horizontal="center"/>
    </xf>
    <xf numFmtId="0" fontId="3" fillId="6" borderId="0" pivotButton="0" quotePrefix="0" xfId="0"/>
    <xf numFmtId="0" fontId="0" fillId="6" borderId="0" pivotButton="0" quotePrefix="0" xfId="0"/>
    <xf numFmtId="0" fontId="7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9" fillId="5" borderId="1" pivotButton="0" quotePrefix="0" xfId="0"/>
    <xf numFmtId="0" fontId="3" fillId="0" borderId="1" pivotButton="0" quotePrefix="0" xfId="0"/>
    <xf numFmtId="0" fontId="0" fillId="0" borderId="1" pivotButton="0" quotePrefix="0" xfId="0"/>
    <xf numFmtId="3" fontId="3" fillId="6" borderId="1" pivotButton="0" quotePrefix="0" xfId="0"/>
    <xf numFmtId="0" fontId="5" fillId="2" borderId="1" pivotButton="0" quotePrefix="0" xfId="0"/>
    <xf numFmtId="10" fontId="3" fillId="6" borderId="1" pivotButton="0" quotePrefix="0" xfId="0"/>
    <xf numFmtId="10" fontId="3" fillId="2" borderId="1" pivotButton="0" quotePrefix="0" xfId="0"/>
    <xf numFmtId="0" fontId="9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4" fontId="5" fillId="6" borderId="1" pivotButton="0" quotePrefix="0" xfId="0"/>
    <xf numFmtId="2" fontId="5" fillId="6" borderId="1" pivotButton="0" quotePrefix="0" xfId="0"/>
    <xf numFmtId="10" fontId="5" fillId="6" borderId="1" pivotButton="0" quotePrefix="0" xfId="0"/>
    <xf numFmtId="0" fontId="5" fillId="6" borderId="1" applyAlignment="1" pivotButton="0" quotePrefix="0" xfId="0">
      <alignment horizontal="center"/>
    </xf>
    <xf numFmtId="4" fontId="5" fillId="0" borderId="1" pivotButton="0" quotePrefix="0" xfId="0"/>
    <xf numFmtId="2" fontId="5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horizontal="center"/>
    </xf>
    <xf numFmtId="10" fontId="7" fillId="2" borderId="1" pivotButton="0" quotePrefix="0" xfId="0"/>
    <xf numFmtId="3" fontId="7" fillId="2" borderId="1" pivotButton="0" quotePrefix="0" xfId="0"/>
    <xf numFmtId="2" fontId="5" fillId="0" borderId="1" applyAlignment="1" pivotButton="0" quotePrefix="0" xfId="0">
      <alignment horizontal="center"/>
    </xf>
    <xf numFmtId="10" fontId="8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0" fontId="5" fillId="2" borderId="1" applyAlignment="1" pivotButton="0" quotePrefix="0" xfId="0">
      <alignment horizontal="center"/>
    </xf>
    <xf numFmtId="10" fontId="8" fillId="2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4" fontId="7" fillId="3" borderId="1" pivotButton="0" quotePrefix="0" xfId="0"/>
    <xf numFmtId="2" fontId="7" fillId="3" borderId="1" pivotButton="0" quotePrefix="0" xfId="0"/>
    <xf numFmtId="4" fontId="3" fillId="6" borderId="1" pivotButton="0" quotePrefix="0" xfId="0"/>
    <xf numFmtId="0" fontId="7" fillId="6" borderId="1" pivotButton="0" quotePrefix="0" xfId="0"/>
    <xf numFmtId="0" fontId="4" fillId="2" borderId="0" pivotButton="0" quotePrefix="0" xfId="0"/>
    <xf numFmtId="164" fontId="7" fillId="3" borderId="5" pivotButton="0" quotePrefix="0" xfId="0"/>
    <xf numFmtId="1" fontId="7" fillId="3" borderId="5" pivotButton="0" quotePrefix="0" xfId="0"/>
    <xf numFmtId="17" fontId="5" fillId="6" borderId="5" pivotButton="0" quotePrefix="0" xfId="0"/>
    <xf numFmtId="164" fontId="3" fillId="2" borderId="5" pivotButton="0" quotePrefix="0" xfId="0"/>
    <xf numFmtId="1" fontId="5" fillId="6" borderId="5" pivotButton="0" quotePrefix="0" xfId="0"/>
    <xf numFmtId="0" fontId="9" fillId="5" borderId="5" applyAlignment="1" pivotButton="0" quotePrefix="0" xfId="0">
      <alignment horizontal="center" vertical="center" wrapText="1"/>
    </xf>
    <xf numFmtId="0" fontId="5" fillId="6" borderId="5" pivotButton="0" quotePrefix="0" xfId="0"/>
    <xf numFmtId="164" fontId="5" fillId="6" borderId="5" pivotButton="0" quotePrefix="0" xfId="0"/>
    <xf numFmtId="164" fontId="3" fillId="6" borderId="5" pivotButton="0" quotePrefix="0" xfId="0"/>
    <xf numFmtId="0" fontId="5" fillId="6" borderId="5" applyAlignment="1" pivotButton="0" quotePrefix="0" xfId="0">
      <alignment horizontal="center"/>
    </xf>
    <xf numFmtId="165" fontId="5" fillId="6" borderId="5" pivotButton="0" quotePrefix="0" xfId="0"/>
    <xf numFmtId="4" fontId="5" fillId="6" borderId="5" pivotButton="0" quotePrefix="0" xfId="0"/>
    <xf numFmtId="0" fontId="3" fillId="2" borderId="5" pivotButton="0" quotePrefix="0" xfId="0"/>
    <xf numFmtId="3" fontId="5" fillId="6" borderId="5" pivotButton="0" quotePrefix="0" xfId="0"/>
    <xf numFmtId="2" fontId="5" fillId="6" borderId="5" pivotButton="0" quotePrefix="0" xfId="0"/>
    <xf numFmtId="166" fontId="5" fillId="6" borderId="5" pivotButton="0" quotePrefix="0" xfId="0"/>
    <xf numFmtId="165" fontId="3" fillId="6" borderId="5" pivotButton="0" quotePrefix="0" xfId="0"/>
    <xf numFmtId="166" fontId="3" fillId="6" borderId="5" pivotButton="0" quotePrefix="0" xfId="0"/>
    <xf numFmtId="4" fontId="3" fillId="6" borderId="5" pivotButton="0" quotePrefix="0" xfId="0"/>
    <xf numFmtId="165" fontId="3" fillId="2" borderId="5" pivotButton="0" quotePrefix="0" xfId="0"/>
    <xf numFmtId="0" fontId="2" fillId="0" borderId="5" applyAlignment="1" pivotButton="0" quotePrefix="0" xfId="0">
      <alignment horizontal="center"/>
    </xf>
    <xf numFmtId="0" fontId="9" fillId="7" borderId="5" applyAlignment="1" pivotButton="0" quotePrefix="0" xfId="0">
      <alignment horizontal="center" vertical="center" wrapText="1"/>
    </xf>
    <xf numFmtId="167" fontId="5" fillId="6" borderId="5" pivotButton="0" quotePrefix="0" xfId="0"/>
    <xf numFmtId="0" fontId="0" fillId="0" borderId="4" pivotButton="0" quotePrefix="0" xfId="0"/>
    <xf numFmtId="0" fontId="7" fillId="4" borderId="5" pivotButton="0" quotePrefix="0" xfId="0"/>
    <xf numFmtId="14" fontId="5" fillId="0" borderId="0" pivotButton="0" quotePrefix="0" xfId="0"/>
    <xf numFmtId="14" fontId="0" fillId="0" borderId="0" pivotButton="0" quotePrefix="0" xfId="0"/>
    <xf numFmtId="0" fontId="7" fillId="3" borderId="5" pivotButton="0" quotePrefix="0" xfId="0"/>
    <xf numFmtId="4" fontId="7" fillId="3" borderId="5" pivotButton="0" quotePrefix="0" xfId="0"/>
    <xf numFmtId="168" fontId="5" fillId="6" borderId="5" pivotButton="0" quotePrefix="0" xfId="0"/>
    <xf numFmtId="10" fontId="3" fillId="2" borderId="5" pivotButton="0" quotePrefix="0" xfId="0"/>
    <xf numFmtId="3" fontId="7" fillId="3" borderId="5" pivotButton="0" quotePrefix="0" xfId="0"/>
    <xf numFmtId="169" fontId="5" fillId="6" borderId="5" pivotButton="0" quotePrefix="0" xfId="0"/>
    <xf numFmtId="3" fontId="3" fillId="6" borderId="5" pivotButton="0" quotePrefix="0" xfId="0"/>
    <xf numFmtId="3" fontId="3" fillId="2" borderId="5" pivotButton="0" quotePrefix="0" xfId="0"/>
    <xf numFmtId="170" fontId="2" fillId="0" borderId="0" pivotButton="0" quotePrefix="0" xfId="0"/>
    <xf numFmtId="171" fontId="2" fillId="0" borderId="0" pivotButton="0" quotePrefix="0" xfId="0"/>
    <xf numFmtId="0" fontId="3" fillId="2" borderId="5" applyAlignment="1" pivotButton="0" quotePrefix="0" xfId="0">
      <alignment horizontal="center"/>
    </xf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5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0" fontId="10" fillId="3" borderId="5" pivotButton="0" quotePrefix="0" xfId="0"/>
    <xf numFmtId="1" fontId="3" fillId="2" borderId="5" applyAlignment="1" pivotButton="0" quotePrefix="0" xfId="0">
      <alignment horizontal="center"/>
    </xf>
    <xf numFmtId="168" fontId="7" fillId="3" borderId="5" pivotButton="0" quotePrefix="0" xfId="0"/>
    <xf numFmtId="175" fontId="5" fillId="6" borderId="5" pivotButton="0" quotePrefix="0" xfId="0"/>
    <xf numFmtId="176" fontId="5" fillId="6" borderId="5" pivotButton="0" quotePrefix="0" xfId="0"/>
    <xf numFmtId="0" fontId="2" fillId="0" borderId="5" pivotButton="0" quotePrefix="0" xfId="0"/>
    <xf numFmtId="177" fontId="5" fillId="0" borderId="0" pivotButton="0" quotePrefix="0" xfId="0"/>
    <xf numFmtId="177" fontId="0" fillId="0" borderId="0" pivotButton="0" quotePrefix="0" xfId="0"/>
    <xf numFmtId="173" fontId="5" fillId="6" borderId="5" pivotButton="0" quotePrefix="0" xfId="0"/>
    <xf numFmtId="175" fontId="3" fillId="2" borderId="5" pivotButton="0" quotePrefix="0" xfId="0"/>
    <xf numFmtId="9" fontId="7" fillId="2" borderId="5" pivotButton="0" quotePrefix="0" xfId="0"/>
    <xf numFmtId="1" fontId="7" fillId="2" borderId="5" pivotButton="0" quotePrefix="0" xfId="0"/>
    <xf numFmtId="0" fontId="3" fillId="5" borderId="1" applyAlignment="1" pivotButton="0" quotePrefix="0" xfId="0">
      <alignment horizontal="center"/>
    </xf>
    <xf numFmtId="2" fontId="5" fillId="6" borderId="5" applyAlignment="1" pivotButton="0" quotePrefix="0" xfId="0">
      <alignment horizontal="center"/>
    </xf>
    <xf numFmtId="165" fontId="5" fillId="6" borderId="5" applyAlignment="1" pivotButton="0" quotePrefix="0" xfId="0">
      <alignment horizontal="center"/>
    </xf>
    <xf numFmtId="165" fontId="11" fillId="6" borderId="5" applyAlignment="1" pivotButton="0" quotePrefix="0" xfId="0">
      <alignment horizontal="center"/>
    </xf>
    <xf numFmtId="4" fontId="11" fillId="6" borderId="5" applyAlignment="1" pivotButton="0" quotePrefix="0" xfId="0">
      <alignment horizontal="center"/>
    </xf>
    <xf numFmtId="166" fontId="3" fillId="6" borderId="5" applyAlignment="1" pivotButton="0" quotePrefix="0" xfId="0">
      <alignment horizontal="center"/>
    </xf>
    <xf numFmtId="0" fontId="5" fillId="6" borderId="0" pivotButton="0" quotePrefix="0" xfId="0"/>
    <xf numFmtId="0" fontId="2" fillId="6" borderId="0" pivotButton="0" quotePrefix="0" xfId="0"/>
    <xf numFmtId="167" fontId="3" fillId="2" borderId="5" applyAlignment="1" pivotButton="0" quotePrefix="0" xfId="0">
      <alignment horizontal="center"/>
    </xf>
    <xf numFmtId="167" fontId="5" fillId="6" borderId="5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67" fontId="3" fillId="6" borderId="5" pivotButton="0" quotePrefix="0" xfId="0"/>
    <xf numFmtId="0" fontId="3" fillId="6" borderId="5" applyAlignment="1" pivotButton="0" quotePrefix="0" xfId="0">
      <alignment horizontal="center"/>
    </xf>
    <xf numFmtId="164" fontId="3" fillId="6" borderId="5" applyAlignment="1" pivotButton="0" quotePrefix="0" xfId="0">
      <alignment horizontal="center"/>
    </xf>
    <xf numFmtId="178" fontId="3" fillId="6" borderId="5" pivotButton="0" quotePrefix="0" xfId="0"/>
    <xf numFmtId="165" fontId="11" fillId="6" borderId="5" pivotButton="0" quotePrefix="0" xfId="0"/>
    <xf numFmtId="4" fontId="11" fillId="6" borderId="5" pivotButton="0" quotePrefix="0" xfId="0"/>
    <xf numFmtId="165" fontId="7" fillId="3" borderId="5" pivotButton="0" quotePrefix="0" xfId="0"/>
    <xf numFmtId="4" fontId="3" fillId="2" borderId="5" pivotButton="0" quotePrefix="0" xfId="0"/>
    <xf numFmtId="2" fontId="7" fillId="3" borderId="5" pivotButton="0" quotePrefix="0" xfId="0"/>
    <xf numFmtId="179" fontId="3" fillId="6" borderId="5" pivotButton="0" quotePrefix="0" xfId="0"/>
    <xf numFmtId="180" fontId="3" fillId="2" borderId="5" pivotButton="0" quotePrefix="0" xfId="0"/>
    <xf numFmtId="179" fontId="5" fillId="6" borderId="5" pivotButton="0" quotePrefix="0" xfId="0"/>
    <xf numFmtId="181" fontId="3" fillId="6" borderId="5" pivotButton="0" quotePrefix="0" xfId="0"/>
    <xf numFmtId="179" fontId="3" fillId="2" borderId="5" pivotButton="0" quotePrefix="0" xfId="0"/>
    <xf numFmtId="168" fontId="5" fillId="6" borderId="5" pivotButton="0" quotePrefix="0" xfId="0"/>
    <xf numFmtId="169" fontId="5" fillId="6" borderId="5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168" fontId="7" fillId="3" borderId="5" pivotButton="0" quotePrefix="0" xfId="0"/>
    <xf numFmtId="175" fontId="5" fillId="6" borderId="5" pivotButton="0" quotePrefix="0" xfId="0"/>
    <xf numFmtId="176" fontId="5" fillId="6" borderId="5" pivotButton="0" quotePrefix="0" xfId="0"/>
    <xf numFmtId="177" fontId="5" fillId="0" borderId="0" pivotButton="0" quotePrefix="0" xfId="0"/>
    <xf numFmtId="177" fontId="0" fillId="0" borderId="0" pivotButton="0" quotePrefix="0" xfId="0"/>
    <xf numFmtId="173" fontId="5" fillId="6" borderId="5" pivotButton="0" quotePrefix="0" xfId="0"/>
    <xf numFmtId="175" fontId="3" fillId="2" borderId="5" pivotButton="0" quotePrefix="0" xfId="0"/>
    <xf numFmtId="182" fontId="3" fillId="2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00" customWidth="1" min="3" max="3"/>
  </cols>
  <sheetData>
    <row r="1"/>
    <row r="2">
      <c r="B2" s="1" t="inlineStr">
        <is>
          <t>AUSTRALIA DIVIDEND &amp; FRANKING STUDY</t>
        </is>
      </c>
    </row>
    <row r="3">
      <c r="B3" s="2" t="inlineStr">
        <is>
          <t>S&amp;P/ASX 200 (AS51) and MSCI Australia (MXAU)  |  Bloomberg BDP / BDS  |  v6</t>
        </is>
      </c>
    </row>
    <row r="4"/>
    <row r="5">
      <c r="B5" s="3" t="inlineStr">
        <is>
          <t>HOW TO USE</t>
        </is>
      </c>
    </row>
    <row r="6">
      <c r="B6" s="4" t="inlineStr">
        <is>
          <t>1.</t>
        </is>
      </c>
      <c r="C6" s="5" t="inlineStr">
        <is>
          <t>Paste INDEX SHARES into column B and the INDEX DIVISOR into B3 on the AS51 and MXAU tabs (blue cells).</t>
        </is>
      </c>
    </row>
    <row r="7">
      <c r="B7" s="4" t="inlineStr">
        <is>
          <t>2.</t>
        </is>
      </c>
      <c r="C7" s="5" t="inlineStr">
        <is>
          <t>On Expiries, set the valuation date and how many monthly contracts you want (13 = a full year).</t>
        </is>
      </c>
    </row>
    <row r="8">
      <c r="B8" s="4" t="inlineStr">
        <is>
          <t>3.</t>
        </is>
      </c>
      <c r="C8" s="5" t="inlineStr">
        <is>
          <t>On a Bloomberg terminal: Ctrl+Alt+F9. First refresh runs ~290 BDS pulls - give it a minute.</t>
        </is>
      </c>
    </row>
    <row r="9">
      <c r="B9" s="4" t="inlineStr">
        <is>
          <t>4.</t>
        </is>
      </c>
      <c r="C9" s="5" t="inlineStr">
        <is>
          <t>Read Div by Expiry: DPS points, yield and ANNUALIZED yield per contract, the cash spread (P) and annualized spread (Q), and the franking view below.</t>
        </is>
      </c>
    </row>
    <row r="10">
      <c r="B10" s="4" t="inlineStr">
        <is>
          <t>5.</t>
        </is>
      </c>
      <c r="C10" s="5" t="inlineStr">
        <is>
          <t>Sector cut: the Sector tab's lower block - pick a contract #, see cumulative projected dividends, franked/unfranked, credit and yield contribution per sector, plus the summary spread rows.</t>
        </is>
      </c>
    </row>
    <row r="11">
      <c r="B11" s="4" t="inlineStr">
        <is>
          <t>6.</t>
        </is>
      </c>
      <c r="C11" s="5" t="inlineStr">
        <is>
          <t>Your own view: the Override tab. Study a stock (window DPS + actual dividend history), type your DPS for a window, switch ON. OFF = pure Bloomberg again. Dvd Calendar is never touched.</t>
        </is>
      </c>
    </row>
    <row r="12">
      <c r="B12" s="4" t="inlineStr">
        <is>
          <t>7.</t>
        </is>
      </c>
      <c r="C12" s="5" t="inlineStr">
        <is>
          <t>If a number looks wrong: checks on Dvd Calendar row 3, then the Gap row on Index Summary (divisor check), then the Status column on Override.</t>
        </is>
      </c>
    </row>
    <row r="13">
      <c r="B13" s="4" t="inlineStr">
        <is>
          <t>8.</t>
        </is>
      </c>
      <c r="C13" s="5" t="inlineStr">
        <is>
          <t>Price the futures: on Futures FV, type the traded SPI / MXAU prices for the expiries that exist (quarterly) - the franking % priced in and rich/cheap vs your assumption come out per contract.</t>
        </is>
      </c>
    </row>
    <row r="14">
      <c r="B14" s="6" t="n"/>
      <c r="C14" s="5" t="n"/>
    </row>
    <row r="15">
      <c r="B15" s="3" t="inlineStr">
        <is>
          <t>WHAT'S NEW</t>
        </is>
      </c>
      <c r="C15" s="5" t="n"/>
    </row>
    <row r="16">
      <c r="B16" s="4" t="inlineStr">
        <is>
          <t>Futures fair value</t>
        </is>
      </c>
      <c r="C16" s="5" t="inlineStr">
        <is>
          <t>New Futures FV tab: fair value per expiry from spot, funding and dividends, and - from the traded futures price - the implied dividends and the share of the franking credits the market is paying for.</t>
        </is>
      </c>
    </row>
    <row r="17">
      <c r="B17" s="4" t="inlineStr">
        <is>
          <t>Annualized yields</t>
        </is>
      </c>
      <c r="C17" s="5" t="inlineStr">
        <is>
          <t>Div by Expiry: cum yield x 365 / days to expiry (ACT/365, per leg) for both the cash and the grossed-up view, plus annualized spreads. Front contract annualizes off a handful of days - expect it to look extreme.</t>
        </is>
      </c>
    </row>
    <row r="18">
      <c r="B18" s="4" t="inlineStr">
        <is>
          <t>Sector by expiry</t>
        </is>
      </c>
      <c r="C18" s="5" t="inlineStr">
        <is>
          <t>Sector tab, lower block: cumulative projected dividends per sector to any contract you pick - gross, franked, credit, grossed, yield contribution - both indices, plus a summary that matches Div by Expiry.</t>
        </is>
      </c>
    </row>
    <row r="19">
      <c r="B19" s="4" t="inlineStr">
        <is>
          <t>Override tab</t>
        </is>
      </c>
      <c r="C19" s="5" t="inlineStr">
        <is>
          <t>Your judgment layer: replace Bloomberg's window DPS per stock + contract. The master switch flips the whole book between pure Bloomberg and Bloomberg + your view. Dvd Calendar itself is never edited, so going back is one click.</t>
        </is>
      </c>
    </row>
    <row r="20">
      <c r="B20" s="4" t="inlineStr">
        <is>
          <t>Override status</t>
        </is>
      </c>
      <c r="C20" s="5" t="inlineStr">
        <is>
          <t>Div by Expiry (row 9), Accrual (row 10) and Sector (row 53) always show whether overrides are ON and how many rows are live - no silent divergence.</t>
        </is>
      </c>
    </row>
    <row r="21">
      <c r="B21" s="3" t="n"/>
    </row>
    <row r="22">
      <c r="B22" s="3" t="inlineStr">
        <is>
          <t>DESIGN (v4)</t>
        </is>
      </c>
      <c r="C22" s="5" t="n"/>
    </row>
    <row r="23">
      <c r="B23" s="4" t="inlineStr">
        <is>
          <t>One dividend source</t>
        </is>
      </c>
      <c r="C23" s="5" t="inlineStr">
        <is>
          <t>BDVD_ALL_PROJECTIONS returns the full projected schedule (it runs years out), pulled once per stock on Dvd Calendar. No growth model - Bloomberg's projection covers every contract.</t>
        </is>
      </c>
    </row>
    <row r="24">
      <c r="B24" s="4" t="inlineStr">
        <is>
          <t>Weights from your shares</t>
        </is>
      </c>
      <c r="C24" s="5" t="inlineStr">
        <is>
          <t>Column A pulls members only (INDX_MEMBERS); you paste index shares; dividend points = shares x DPS x FX / divisor. No per-stock prices, no market cap anywhere.</t>
        </is>
      </c>
    </row>
    <row r="25">
      <c r="B25" s="4" t="inlineStr">
        <is>
          <t>Franking by contract</t>
        </is>
      </c>
      <c r="C25" s="5" t="inlineStr">
        <is>
          <t>Accrual carries a franked band (gross x company franked %, blank = 100%). Div by Expiry turns it into credit points, grossed-up yield and a grossed spread per contract.</t>
        </is>
      </c>
    </row>
    <row r="26">
      <c r="B26" s="4" t="inlineStr">
        <is>
          <t>Index yield field</t>
        </is>
      </c>
      <c r="C26" s="5" t="inlineStr">
        <is>
          <t>EQY_DVD_YLD_IND is N/A at index level, so Index Summary reconciles EQY_DVD_YLD_12M against bottom-up 12M points - that gap row is also the divisor sanity check.</t>
        </is>
      </c>
    </row>
    <row r="27"/>
    <row r="28">
      <c r="B28" s="3" t="inlineStr">
        <is>
          <t>TABS</t>
        </is>
      </c>
    </row>
    <row r="29">
      <c r="B29" s="4" t="inlineStr">
        <is>
          <t>Expiries</t>
        </is>
      </c>
      <c r="C29" s="5" t="inlineStr">
        <is>
          <t>Master control: valuation date, contract count, expiry dates with per-contract overrides.</t>
        </is>
      </c>
    </row>
    <row r="30">
      <c r="B30" s="4" t="inlineStr">
        <is>
          <t>Div by Expiry</t>
        </is>
      </c>
      <c r="C30" s="5" t="inlineStr">
        <is>
          <t>THE OUTPUT. Per contract: DPS points, yield, annualized yield, spreads, franking credit value.</t>
        </is>
      </c>
    </row>
    <row r="31">
      <c r="B31" s="4" t="inlineStr">
        <is>
          <t>Futures FV</t>
        </is>
      </c>
      <c r="C31" s="5" t="inlineStr">
        <is>
          <t>Fair value per contract, and - from the traded futures price - the implied dividends and the franking credit % the market is paying for. Type the market prices in; everything else is already there.</t>
        </is>
      </c>
    </row>
    <row r="32">
      <c r="B32" s="4" t="inlineStr">
        <is>
          <t>Override</t>
        </is>
      </c>
      <c r="C32" s="5" t="inlineStr">
        <is>
          <t>Your dividend judgment: per-stock window DPS matrix, history workbench, override list, master switch.</t>
        </is>
      </c>
    </row>
    <row r="33">
      <c r="B33" s="4" t="inlineStr">
        <is>
          <t>Dvd Calendar / Accrual</t>
        </is>
      </c>
      <c r="C33" s="5" t="inlineStr">
        <is>
          <t>Engine room - you should not need to edit either. Calendar holds the raw Bloomberg pulls; Accrual buckets them per stock per contract.</t>
        </is>
      </c>
    </row>
    <row r="34">
      <c r="B34" s="4" t="inlineStr">
        <is>
          <t>AS51 / MXAU</t>
        </is>
      </c>
      <c r="C34" s="5" t="inlineStr">
        <is>
          <t>Members, YOUR pasted shares and divisor, reference 12M yields, franking. Column B and B3 are the only things you touch.</t>
        </is>
      </c>
    </row>
    <row r="35">
      <c r="B35" s="4" t="inlineStr">
        <is>
          <t>Index Summary / Sector</t>
        </is>
      </c>
      <c r="C35" s="5" t="inlineStr">
        <is>
          <t>12M reference + reconciliation; Sector also carries the by-expiry projection cut.</t>
        </is>
      </c>
    </row>
    <row r="36">
      <c r="B36" s="4" t="inlineStr">
        <is>
          <t>Field Check</t>
        </is>
      </c>
      <c r="C36" s="5" t="inlineStr">
        <is>
          <t>Field mnemonics plus a live sample of the exact projection pull.</t>
        </is>
      </c>
    </row>
    <row r="37">
      <c r="B37" s="7" t="n"/>
      <c r="C37" s="2" t="n"/>
    </row>
    <row r="38">
      <c r="B38" s="3" t="inlineStr">
        <is>
          <t>STILL TRUE</t>
        </is>
      </c>
      <c r="C38" s="2" t="n"/>
    </row>
    <row r="39">
      <c r="B39" s="4" t="inlineStr">
        <is>
          <t>Terminal + Ctrl+Alt+F9</t>
        </is>
      </c>
      <c r="C39" s="2" t="inlineStr">
        <is>
          <t>Off-terminal everything reads as a name error - that is the add-in, not the sheet.</t>
        </is>
      </c>
    </row>
    <row r="40">
      <c r="B40" s="48" t="inlineStr">
        <is>
          <t>Percentages are not fractions</t>
        </is>
      </c>
      <c r="C40" s="2" t="inlineStr">
        <is>
          <t>Bloomberg returns 3.85 meaning 3.85%. Raw columns keep that convention.</t>
        </is>
      </c>
    </row>
    <row r="41">
      <c r="B41" s="4" t="inlineStr">
        <is>
          <t>Non-payers stay in</t>
        </is>
      </c>
      <c r="C41" s="2" t="inlineStr">
        <is>
          <t>Zero dividend, full membership. Deleting them would overstate the index yield.</t>
        </is>
      </c>
    </row>
    <row r="42">
      <c r="B42" s="4" t="inlineStr">
        <is>
          <t>Franking is per dividend</t>
        </is>
      </c>
      <c r="C42" s="2" t="inlineStr">
        <is>
          <t>The company-level field is a proxy (per-event franking is not retrievable via BDS), so the franked split leans on it.</t>
        </is>
      </c>
    </row>
    <row r="43">
      <c r="B43" s="4" t="inlineStr">
        <is>
          <t>Members are a live snapshot</t>
        </is>
      </c>
      <c r="C43" s="2" t="inlineStr">
        <is>
          <t>A refresh can reshuffle the member list. Your pasted shares do not reshuffle with it - re-check alignment after index reviews.</t>
        </is>
      </c>
    </row>
    <row r="44">
      <c r="B44" s="7" t="n"/>
      <c r="C44" s="2" t="n"/>
    </row>
    <row r="45">
      <c r="B45" s="3" t="inlineStr">
        <is>
          <t>COLOUR KEY</t>
        </is>
      </c>
      <c r="C45" s="2" t="n"/>
    </row>
    <row r="46">
      <c r="B46" s="7" t="inlineStr">
        <is>
          <t>Blue text</t>
        </is>
      </c>
      <c r="C46" s="2" t="inlineStr">
        <is>
          <t>Hardcoded input - safe to edit.</t>
        </is>
      </c>
    </row>
    <row r="47">
      <c r="B47" s="5" t="inlineStr">
        <is>
          <t>Black text</t>
        </is>
      </c>
      <c r="C47" s="2" t="inlineStr">
        <is>
          <t>Formula - do not overwrite.</t>
        </is>
      </c>
    </row>
    <row r="48">
      <c r="B48" s="5" t="inlineStr">
        <is>
          <t>Green text</t>
        </is>
      </c>
      <c r="C48" s="2" t="inlineStr">
        <is>
          <t>Link to another tab.</t>
        </is>
      </c>
    </row>
    <row r="49">
      <c r="B49" s="5" t="inlineStr">
        <is>
          <t>Yellow fill</t>
        </is>
      </c>
      <c r="C49" s="2" t="inlineStr">
        <is>
          <t>Key assumption or check - read before quoting.</t>
        </is>
      </c>
    </row>
    <row r="50">
      <c r="B50" s="5" t="inlineStr">
        <is>
          <t>Orange fill</t>
        </is>
      </c>
      <c r="C50" s="2" t="inlineStr">
        <is>
          <t>Override tab matrix: this window is overridden right now.</t>
        </is>
      </c>
    </row>
    <row r="51"/>
    <row r="52">
      <c r="B52" s="3" t="inlineStr">
        <is>
          <t>ASSUMPTIONS</t>
        </is>
      </c>
    </row>
    <row r="53">
      <c r="B53" s="4" t="inlineStr">
        <is>
          <t>Corporate tax 30%</t>
        </is>
      </c>
      <c r="C53" s="2" t="inlineStr">
        <is>
          <t>Gross-up rate, 'Index Summary'!C6.</t>
        </is>
      </c>
    </row>
    <row r="54">
      <c r="B54" s="4" t="inlineStr">
        <is>
          <t>Blank franking = 100%</t>
        </is>
      </c>
      <c r="C54" s="2" t="inlineStr">
        <is>
          <t>'Index Summary'!C7. NZ names (CNU, FPH, IFT) carry NZ credits, not Australian franking - your call, kept visible.</t>
        </is>
      </c>
    </row>
    <row r="55">
      <c r="B55" s="4" t="inlineStr">
        <is>
          <t>Reference yields = trailing 12M</t>
        </is>
      </c>
      <c r="C55" s="2" t="inlineStr">
        <is>
          <t>Matches the index-level field that works. The arb numbers use projected period dividends instead.</t>
        </is>
      </c>
    </row>
    <row r="56">
      <c r="B56" s="4" t="inlineStr">
        <is>
          <t>Dividends converted per index</t>
        </is>
      </c>
      <c r="C56" s="2" t="inlineStr">
        <is>
          <t>Declared currency -&gt; index currency (D2 on each data tab) via the Dvd FX column; AUD DPS reference converts via D3.</t>
        </is>
      </c>
    </row>
    <row r="57">
      <c r="B57" s="4" t="inlineStr">
        <is>
          <t>Annualization is ACT/365 per leg</t>
        </is>
      </c>
      <c r="C57" s="2" t="inlineStr">
        <is>
          <t>Each index divides by its own days to expiry (Thu vs Fri differ by a day). No compounding.</t>
        </is>
      </c>
    </row>
    <row r="58">
      <c r="B58" s="4" t="inlineStr">
        <is>
          <t>Overrides replace window totals</t>
        </is>
      </c>
      <c r="C58" s="2" t="inlineStr">
        <is>
          <t>An override swaps the whole stock+contract window DPS, franked band follows automatically. It never edits the Bloomberg calendar.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6" customWidth="1" min="4" max="4"/>
    <col width="13" customWidth="1" min="5" max="5"/>
    <col width="15" customWidth="1" min="6" max="6"/>
    <col width="16" customWidth="1" min="7" max="7"/>
    <col width="13" customWidth="1" min="8" max="8"/>
    <col width="15" customWidth="1" min="9" max="9"/>
    <col width="16" customWidth="1" min="10" max="10"/>
    <col width="16" customWidth="1" min="11" max="11"/>
    <col width="12" customWidth="1" min="12" max="12"/>
    <col width="4" customWidth="1" min="13" max="13"/>
    <col width="64" customWidth="1" min="14" max="14"/>
  </cols>
  <sheetData>
    <row r="2">
      <c r="B2" s="1" t="inlineStr">
        <is>
          <t>CONTRACT EXPIRY CALENDAR - MASTER CONTROL</t>
        </is>
      </c>
    </row>
    <row r="3">
      <c r="B3" s="2" t="inlineStr">
        <is>
          <t>Everything downstream keys off this tab. Change the two inputs here, nothing else.</t>
        </is>
      </c>
    </row>
    <row r="5">
      <c r="B5" s="3" t="inlineStr">
        <is>
          <t>INPUTS</t>
        </is>
      </c>
    </row>
    <row r="6">
      <c r="B6" s="5" t="inlineStr">
        <is>
          <t>Valuation date</t>
        </is>
      </c>
      <c r="C6" s="49">
        <f>TODAY()</f>
        <v/>
      </c>
      <c r="N6" s="2" t="inlineStr">
        <is>
          <t>Today by default. Type a date to freeze the study.</t>
        </is>
      </c>
    </row>
    <row r="7">
      <c r="B7" s="5" t="inlineStr">
        <is>
          <t>Contracts to build</t>
        </is>
      </c>
      <c r="C7" s="50" t="n">
        <v>13</v>
      </c>
      <c r="N7" s="2" t="inlineStr">
        <is>
          <t>13 = a full year of monthly expiries. Max 16.</t>
        </is>
      </c>
    </row>
    <row r="9">
      <c r="B9" s="3" t="inlineStr">
        <is>
          <t>AUTO</t>
        </is>
      </c>
    </row>
    <row r="10">
      <c r="B10" s="5" t="inlineStr">
        <is>
          <t>First contract month</t>
        </is>
      </c>
      <c r="C10" s="51">
        <f>IF(DATE(YEAR($C$6),MONTH($C$6),1)+MOD(5-WEEKDAY(DATE(YEAR($C$6),MONTH($C$6),1),1)+7,7)+14&gt;=$C$6,DATE(YEAR($C$6),MONTH($C$6),1),EDATE(DATE(YEAR($C$6),MONTH($C$6),1),1))</f>
        <v/>
      </c>
      <c r="N10" s="2" t="inlineStr">
        <is>
          <t>Rolls to the next month once the front expiry has passed.</t>
        </is>
      </c>
    </row>
    <row r="11">
      <c r="B11" s="5" t="inlineStr">
        <is>
          <t>Projections run to</t>
        </is>
      </c>
      <c r="C11" s="52">
        <f>'Dvd Calendar'!$K$3</f>
        <v/>
      </c>
      <c r="N11" s="2" t="inlineStr">
        <is>
          <t>Last projected ex-date found in the data. Contracts expiring after it are flagged CHECK.</t>
        </is>
      </c>
    </row>
    <row r="12">
      <c r="B12" s="5" t="inlineStr">
        <is>
          <t>Contracts covered</t>
        </is>
      </c>
      <c r="C12" s="53">
        <f>COUNTIF($L$16:$L$31,"OK")</f>
        <v/>
      </c>
    </row>
    <row r="13">
      <c r="B13" s="5" t="inlineStr">
        <is>
          <t>Contracts flagged CHECK</t>
        </is>
      </c>
      <c r="C13" s="53">
        <f>COUNTIF($L$16:$L$31,"CHECK")</f>
        <v/>
      </c>
      <c r="N13" s="2" t="inlineStr">
        <is>
          <t>CHECK = Bloomberg's projections stop before that expiry, so its dividends are understated.</t>
        </is>
      </c>
    </row>
    <row r="15">
      <c r="B15" s="54" t="inlineStr">
        <is>
          <t>#</t>
        </is>
      </c>
      <c r="C15" s="54" t="inlineStr">
        <is>
          <t>Contract</t>
        </is>
      </c>
      <c r="D15" s="54" t="inlineStr">
        <is>
          <t>AS51 expiry
(auto 3rd Thu)</t>
        </is>
      </c>
      <c r="E15" s="54" t="inlineStr">
        <is>
          <t>Override</t>
        </is>
      </c>
      <c r="F15" s="54" t="inlineStr">
        <is>
          <t>AS51 EXPIRY</t>
        </is>
      </c>
      <c r="G15" s="54" t="inlineStr">
        <is>
          <t>MXAU expiry
(auto 3rd Fri)</t>
        </is>
      </c>
      <c r="H15" s="54" t="inlineStr">
        <is>
          <t>Override</t>
        </is>
      </c>
      <c r="I15" s="54" t="inlineStr">
        <is>
          <t>MXAU EXPIRY</t>
        </is>
      </c>
      <c r="J15" s="54" t="inlineStr">
        <is>
          <t>AS51 window
start</t>
        </is>
      </c>
      <c r="K15" s="54" t="inlineStr">
        <is>
          <t>MXAU window
start</t>
        </is>
      </c>
      <c r="L15" s="54" t="inlineStr">
        <is>
          <t>Covered?</t>
        </is>
      </c>
      <c r="N15" s="2" t="inlineStr">
        <is>
          <t>Blue cells are optional. Fill one only if your contract expires on a different day.</t>
        </is>
      </c>
    </row>
    <row r="16">
      <c r="B16" s="53">
        <f>IF(1&gt;$C$7,"",1)</f>
        <v/>
      </c>
      <c r="C16" s="55">
        <f>IF($B16="","",UPPER(TEXT(EDATE($C$10,$B16-1),"mmmyy")))</f>
        <v/>
      </c>
      <c r="D16" s="56">
        <f>IF($B16="","",EDATE($C$10,$B16-1)+MOD(5-WEEKDAY(EDATE($C$10,$B16-1),1)+7,7)+14)</f>
        <v/>
      </c>
      <c r="E16" s="49" t="n"/>
      <c r="F16" s="57">
        <f>IF($B16="","",IF($E16="",$D16,$E16))</f>
        <v/>
      </c>
      <c r="G16" s="56">
        <f>IF($B16="","",EDATE($C$10,$B16-1)+MOD(6-WEEKDAY(EDATE($C$10,$B16-1),1)+7,7)+14)</f>
        <v/>
      </c>
      <c r="H16" s="49" t="n"/>
      <c r="I16" s="57">
        <f>IF($B16="","",IF($H16="",$G16,$H16))</f>
        <v/>
      </c>
      <c r="J16" s="56">
        <f>IF($B16="","",IF($B16=1,$C$6,$F15))</f>
        <v/>
      </c>
      <c r="K16" s="56">
        <f>IF($B16="","",IF($B16=1,$C$6,$I15))</f>
        <v/>
      </c>
      <c r="L16" s="58">
        <f>IF($B16="","",IF($C$11="","CHECK",IF($F16&lt;=$C$11,"OK","CHECK")))</f>
        <v/>
      </c>
    </row>
    <row r="17">
      <c r="B17" s="53">
        <f>IF(2&gt;$C$7,"",2)</f>
        <v/>
      </c>
      <c r="C17" s="55">
        <f>IF($B17="","",UPPER(TEXT(EDATE($C$10,$B17-1),"mmmyy")))</f>
        <v/>
      </c>
      <c r="D17" s="56">
        <f>IF($B17="","",EDATE($C$10,$B17-1)+MOD(5-WEEKDAY(EDATE($C$10,$B17-1),1)+7,7)+14)</f>
        <v/>
      </c>
      <c r="E17" s="49" t="n"/>
      <c r="F17" s="57">
        <f>IF($B17="","",IF($E17="",$D17,$E17))</f>
        <v/>
      </c>
      <c r="G17" s="56">
        <f>IF($B17="","",EDATE($C$10,$B17-1)+MOD(6-WEEKDAY(EDATE($C$10,$B17-1),1)+7,7)+14)</f>
        <v/>
      </c>
      <c r="H17" s="49" t="n"/>
      <c r="I17" s="57">
        <f>IF($B17="","",IF($H17="",$G17,$H17))</f>
        <v/>
      </c>
      <c r="J17" s="56">
        <f>IF($B17="","",IF($B17=1,$C$6,$F16))</f>
        <v/>
      </c>
      <c r="K17" s="56">
        <f>IF($B17="","",IF($B17=1,$C$6,$I16))</f>
        <v/>
      </c>
      <c r="L17" s="58">
        <f>IF($B17="","",IF($C$11="","CHECK",IF($F17&lt;=$C$11,"OK","CHECK")))</f>
        <v/>
      </c>
    </row>
    <row r="18">
      <c r="B18" s="53">
        <f>IF(3&gt;$C$7,"",3)</f>
        <v/>
      </c>
      <c r="C18" s="55">
        <f>IF($B18="","",UPPER(TEXT(EDATE($C$10,$B18-1),"mmmyy")))</f>
        <v/>
      </c>
      <c r="D18" s="56">
        <f>IF($B18="","",EDATE($C$10,$B18-1)+MOD(5-WEEKDAY(EDATE($C$10,$B18-1),1)+7,7)+14)</f>
        <v/>
      </c>
      <c r="E18" s="49" t="n"/>
      <c r="F18" s="57">
        <f>IF($B18="","",IF($E18="",$D18,$E18))</f>
        <v/>
      </c>
      <c r="G18" s="56">
        <f>IF($B18="","",EDATE($C$10,$B18-1)+MOD(6-WEEKDAY(EDATE($C$10,$B18-1),1)+7,7)+14)</f>
        <v/>
      </c>
      <c r="H18" s="49" t="n"/>
      <c r="I18" s="57">
        <f>IF($B18="","",IF($H18="",$G18,$H18))</f>
        <v/>
      </c>
      <c r="J18" s="56">
        <f>IF($B18="","",IF($B18=1,$C$6,$F17))</f>
        <v/>
      </c>
      <c r="K18" s="56">
        <f>IF($B18="","",IF($B18=1,$C$6,$I17))</f>
        <v/>
      </c>
      <c r="L18" s="58">
        <f>IF($B18="","",IF($C$11="","CHECK",IF($F18&lt;=$C$11,"OK","CHECK")))</f>
        <v/>
      </c>
    </row>
    <row r="19">
      <c r="B19" s="53">
        <f>IF(4&gt;$C$7,"",4)</f>
        <v/>
      </c>
      <c r="C19" s="55">
        <f>IF($B19="","",UPPER(TEXT(EDATE($C$10,$B19-1),"mmmyy")))</f>
        <v/>
      </c>
      <c r="D19" s="56">
        <f>IF($B19="","",EDATE($C$10,$B19-1)+MOD(5-WEEKDAY(EDATE($C$10,$B19-1),1)+7,7)+14)</f>
        <v/>
      </c>
      <c r="E19" s="49" t="n"/>
      <c r="F19" s="57">
        <f>IF($B19="","",IF($E19="",$D19,$E19))</f>
        <v/>
      </c>
      <c r="G19" s="56">
        <f>IF($B19="","",EDATE($C$10,$B19-1)+MOD(6-WEEKDAY(EDATE($C$10,$B19-1),1)+7,7)+14)</f>
        <v/>
      </c>
      <c r="H19" s="49" t="n"/>
      <c r="I19" s="57">
        <f>IF($B19="","",IF($H19="",$G19,$H19))</f>
        <v/>
      </c>
      <c r="J19" s="56">
        <f>IF($B19="","",IF($B19=1,$C$6,$F18))</f>
        <v/>
      </c>
      <c r="K19" s="56">
        <f>IF($B19="","",IF($B19=1,$C$6,$I18))</f>
        <v/>
      </c>
      <c r="L19" s="58">
        <f>IF($B19="","",IF($C$11="","CHECK",IF($F19&lt;=$C$11,"OK","CHECK")))</f>
        <v/>
      </c>
    </row>
    <row r="20">
      <c r="B20" s="53">
        <f>IF(5&gt;$C$7,"",5)</f>
        <v/>
      </c>
      <c r="C20" s="55">
        <f>IF($B20="","",UPPER(TEXT(EDATE($C$10,$B20-1),"mmmyy")))</f>
        <v/>
      </c>
      <c r="D20" s="56">
        <f>IF($B20="","",EDATE($C$10,$B20-1)+MOD(5-WEEKDAY(EDATE($C$10,$B20-1),1)+7,7)+14)</f>
        <v/>
      </c>
      <c r="E20" s="49" t="n"/>
      <c r="F20" s="57">
        <f>IF($B20="","",IF($E20="",$D20,$E20))</f>
        <v/>
      </c>
      <c r="G20" s="56">
        <f>IF($B20="","",EDATE($C$10,$B20-1)+MOD(6-WEEKDAY(EDATE($C$10,$B20-1),1)+7,7)+14)</f>
        <v/>
      </c>
      <c r="H20" s="49" t="n"/>
      <c r="I20" s="57">
        <f>IF($B20="","",IF($H20="",$G20,$H20))</f>
        <v/>
      </c>
      <c r="J20" s="56">
        <f>IF($B20="","",IF($B20=1,$C$6,$F19))</f>
        <v/>
      </c>
      <c r="K20" s="56">
        <f>IF($B20="","",IF($B20=1,$C$6,$I19))</f>
        <v/>
      </c>
      <c r="L20" s="58">
        <f>IF($B20="","",IF($C$11="","CHECK",IF($F20&lt;=$C$11,"OK","CHECK")))</f>
        <v/>
      </c>
    </row>
    <row r="21">
      <c r="B21" s="53">
        <f>IF(6&gt;$C$7,"",6)</f>
        <v/>
      </c>
      <c r="C21" s="55">
        <f>IF($B21="","",UPPER(TEXT(EDATE($C$10,$B21-1),"mmmyy")))</f>
        <v/>
      </c>
      <c r="D21" s="56">
        <f>IF($B21="","",EDATE($C$10,$B21-1)+MOD(5-WEEKDAY(EDATE($C$10,$B21-1),1)+7,7)+14)</f>
        <v/>
      </c>
      <c r="E21" s="49" t="n"/>
      <c r="F21" s="57">
        <f>IF($B21="","",IF($E21="",$D21,$E21))</f>
        <v/>
      </c>
      <c r="G21" s="56">
        <f>IF($B21="","",EDATE($C$10,$B21-1)+MOD(6-WEEKDAY(EDATE($C$10,$B21-1),1)+7,7)+14)</f>
        <v/>
      </c>
      <c r="H21" s="49" t="n"/>
      <c r="I21" s="57">
        <f>IF($B21="","",IF($H21="",$G21,$H21))</f>
        <v/>
      </c>
      <c r="J21" s="56">
        <f>IF($B21="","",IF($B21=1,$C$6,$F20))</f>
        <v/>
      </c>
      <c r="K21" s="56">
        <f>IF($B21="","",IF($B21=1,$C$6,$I20))</f>
        <v/>
      </c>
      <c r="L21" s="58">
        <f>IF($B21="","",IF($C$11="","CHECK",IF($F21&lt;=$C$11,"OK","CHECK")))</f>
        <v/>
      </c>
    </row>
    <row r="22">
      <c r="B22" s="53">
        <f>IF(7&gt;$C$7,"",7)</f>
        <v/>
      </c>
      <c r="C22" s="55">
        <f>IF($B22="","",UPPER(TEXT(EDATE($C$10,$B22-1),"mmmyy")))</f>
        <v/>
      </c>
      <c r="D22" s="56">
        <f>IF($B22="","",EDATE($C$10,$B22-1)+MOD(5-WEEKDAY(EDATE($C$10,$B22-1),1)+7,7)+14)</f>
        <v/>
      </c>
      <c r="E22" s="49" t="n"/>
      <c r="F22" s="57">
        <f>IF($B22="","",IF($E22="",$D22,$E22))</f>
        <v/>
      </c>
      <c r="G22" s="56">
        <f>IF($B22="","",EDATE($C$10,$B22-1)+MOD(6-WEEKDAY(EDATE($C$10,$B22-1),1)+7,7)+14)</f>
        <v/>
      </c>
      <c r="H22" s="49" t="n"/>
      <c r="I22" s="57">
        <f>IF($B22="","",IF($H22="",$G22,$H22))</f>
        <v/>
      </c>
      <c r="J22" s="56">
        <f>IF($B22="","",IF($B22=1,$C$6,$F21))</f>
        <v/>
      </c>
      <c r="K22" s="56">
        <f>IF($B22="","",IF($B22=1,$C$6,$I21))</f>
        <v/>
      </c>
      <c r="L22" s="58">
        <f>IF($B22="","",IF($C$11="","CHECK",IF($F22&lt;=$C$11,"OK","CHECK")))</f>
        <v/>
      </c>
    </row>
    <row r="23">
      <c r="B23" s="53">
        <f>IF(8&gt;$C$7,"",8)</f>
        <v/>
      </c>
      <c r="C23" s="55">
        <f>IF($B23="","",UPPER(TEXT(EDATE($C$10,$B23-1),"mmmyy")))</f>
        <v/>
      </c>
      <c r="D23" s="56">
        <f>IF($B23="","",EDATE($C$10,$B23-1)+MOD(5-WEEKDAY(EDATE($C$10,$B23-1),1)+7,7)+14)</f>
        <v/>
      </c>
      <c r="E23" s="49" t="n"/>
      <c r="F23" s="57">
        <f>IF($B23="","",IF($E23="",$D23,$E23))</f>
        <v/>
      </c>
      <c r="G23" s="56">
        <f>IF($B23="","",EDATE($C$10,$B23-1)+MOD(6-WEEKDAY(EDATE($C$10,$B23-1),1)+7,7)+14)</f>
        <v/>
      </c>
      <c r="H23" s="49" t="n"/>
      <c r="I23" s="57">
        <f>IF($B23="","",IF($H23="",$G23,$H23))</f>
        <v/>
      </c>
      <c r="J23" s="56">
        <f>IF($B23="","",IF($B23=1,$C$6,$F22))</f>
        <v/>
      </c>
      <c r="K23" s="56">
        <f>IF($B23="","",IF($B23=1,$C$6,$I22))</f>
        <v/>
      </c>
      <c r="L23" s="58">
        <f>IF($B23="","",IF($C$11="","CHECK",IF($F23&lt;=$C$11,"OK","CHECK")))</f>
        <v/>
      </c>
    </row>
    <row r="24">
      <c r="B24" s="53">
        <f>IF(9&gt;$C$7,"",9)</f>
        <v/>
      </c>
      <c r="C24" s="55">
        <f>IF($B24="","",UPPER(TEXT(EDATE($C$10,$B24-1),"mmmyy")))</f>
        <v/>
      </c>
      <c r="D24" s="56">
        <f>IF($B24="","",EDATE($C$10,$B24-1)+MOD(5-WEEKDAY(EDATE($C$10,$B24-1),1)+7,7)+14)</f>
        <v/>
      </c>
      <c r="E24" s="49" t="n"/>
      <c r="F24" s="57">
        <f>IF($B24="","",IF($E24="",$D24,$E24))</f>
        <v/>
      </c>
      <c r="G24" s="56">
        <f>IF($B24="","",EDATE($C$10,$B24-1)+MOD(6-WEEKDAY(EDATE($C$10,$B24-1),1)+7,7)+14)</f>
        <v/>
      </c>
      <c r="H24" s="49" t="n"/>
      <c r="I24" s="57">
        <f>IF($B24="","",IF($H24="",$G24,$H24))</f>
        <v/>
      </c>
      <c r="J24" s="56">
        <f>IF($B24="","",IF($B24=1,$C$6,$F23))</f>
        <v/>
      </c>
      <c r="K24" s="56">
        <f>IF($B24="","",IF($B24=1,$C$6,$I23))</f>
        <v/>
      </c>
      <c r="L24" s="58">
        <f>IF($B24="","",IF($C$11="","CHECK",IF($F24&lt;=$C$11,"OK","CHECK")))</f>
        <v/>
      </c>
    </row>
    <row r="25">
      <c r="B25" s="53">
        <f>IF(10&gt;$C$7,"",10)</f>
        <v/>
      </c>
      <c r="C25" s="55">
        <f>IF($B25="","",UPPER(TEXT(EDATE($C$10,$B25-1),"mmmyy")))</f>
        <v/>
      </c>
      <c r="D25" s="56">
        <f>IF($B25="","",EDATE($C$10,$B25-1)+MOD(5-WEEKDAY(EDATE($C$10,$B25-1),1)+7,7)+14)</f>
        <v/>
      </c>
      <c r="E25" s="49" t="n"/>
      <c r="F25" s="57">
        <f>IF($B25="","",IF($E25="",$D25,$E25))</f>
        <v/>
      </c>
      <c r="G25" s="56">
        <f>IF($B25="","",EDATE($C$10,$B25-1)+MOD(6-WEEKDAY(EDATE($C$10,$B25-1),1)+7,7)+14)</f>
        <v/>
      </c>
      <c r="H25" s="49" t="n"/>
      <c r="I25" s="57">
        <f>IF($B25="","",IF($H25="",$G25,$H25))</f>
        <v/>
      </c>
      <c r="J25" s="56">
        <f>IF($B25="","",IF($B25=1,$C$6,$F24))</f>
        <v/>
      </c>
      <c r="K25" s="56">
        <f>IF($B25="","",IF($B25=1,$C$6,$I24))</f>
        <v/>
      </c>
      <c r="L25" s="58">
        <f>IF($B25="","",IF($C$11="","CHECK",IF($F25&lt;=$C$11,"OK","CHECK")))</f>
        <v/>
      </c>
    </row>
    <row r="26">
      <c r="B26" s="53">
        <f>IF(11&gt;$C$7,"",11)</f>
        <v/>
      </c>
      <c r="C26" s="55">
        <f>IF($B26="","",UPPER(TEXT(EDATE($C$10,$B26-1),"mmmyy")))</f>
        <v/>
      </c>
      <c r="D26" s="56">
        <f>IF($B26="","",EDATE($C$10,$B26-1)+MOD(5-WEEKDAY(EDATE($C$10,$B26-1),1)+7,7)+14)</f>
        <v/>
      </c>
      <c r="E26" s="49" t="n"/>
      <c r="F26" s="57">
        <f>IF($B26="","",IF($E26="",$D26,$E26))</f>
        <v/>
      </c>
      <c r="G26" s="56">
        <f>IF($B26="","",EDATE($C$10,$B26-1)+MOD(6-WEEKDAY(EDATE($C$10,$B26-1),1)+7,7)+14)</f>
        <v/>
      </c>
      <c r="H26" s="49" t="n"/>
      <c r="I26" s="57">
        <f>IF($B26="","",IF($H26="",$G26,$H26))</f>
        <v/>
      </c>
      <c r="J26" s="56">
        <f>IF($B26="","",IF($B26=1,$C$6,$F25))</f>
        <v/>
      </c>
      <c r="K26" s="56">
        <f>IF($B26="","",IF($B26=1,$C$6,$I25))</f>
        <v/>
      </c>
      <c r="L26" s="58">
        <f>IF($B26="","",IF($C$11="","CHECK",IF($F26&lt;=$C$11,"OK","CHECK")))</f>
        <v/>
      </c>
    </row>
    <row r="27">
      <c r="B27" s="53">
        <f>IF(12&gt;$C$7,"",12)</f>
        <v/>
      </c>
      <c r="C27" s="55">
        <f>IF($B27="","",UPPER(TEXT(EDATE($C$10,$B27-1),"mmmyy")))</f>
        <v/>
      </c>
      <c r="D27" s="56">
        <f>IF($B27="","",EDATE($C$10,$B27-1)+MOD(5-WEEKDAY(EDATE($C$10,$B27-1),1)+7,7)+14)</f>
        <v/>
      </c>
      <c r="E27" s="49" t="n"/>
      <c r="F27" s="57">
        <f>IF($B27="","",IF($E27="",$D27,$E27))</f>
        <v/>
      </c>
      <c r="G27" s="56">
        <f>IF($B27="","",EDATE($C$10,$B27-1)+MOD(6-WEEKDAY(EDATE($C$10,$B27-1),1)+7,7)+14)</f>
        <v/>
      </c>
      <c r="H27" s="49" t="n"/>
      <c r="I27" s="57">
        <f>IF($B27="","",IF($H27="",$G27,$H27))</f>
        <v/>
      </c>
      <c r="J27" s="56">
        <f>IF($B27="","",IF($B27=1,$C$6,$F26))</f>
        <v/>
      </c>
      <c r="K27" s="56">
        <f>IF($B27="","",IF($B27=1,$C$6,$I26))</f>
        <v/>
      </c>
      <c r="L27" s="58">
        <f>IF($B27="","",IF($C$11="","CHECK",IF($F27&lt;=$C$11,"OK","CHECK")))</f>
        <v/>
      </c>
    </row>
    <row r="28">
      <c r="B28" s="53">
        <f>IF(13&gt;$C$7,"",13)</f>
        <v/>
      </c>
      <c r="C28" s="55">
        <f>IF($B28="","",UPPER(TEXT(EDATE($C$10,$B28-1),"mmmyy")))</f>
        <v/>
      </c>
      <c r="D28" s="56">
        <f>IF($B28="","",EDATE($C$10,$B28-1)+MOD(5-WEEKDAY(EDATE($C$10,$B28-1),1)+7,7)+14)</f>
        <v/>
      </c>
      <c r="E28" s="49" t="n"/>
      <c r="F28" s="57">
        <f>IF($B28="","",IF($E28="",$D28,$E28))</f>
        <v/>
      </c>
      <c r="G28" s="56">
        <f>IF($B28="","",EDATE($C$10,$B28-1)+MOD(6-WEEKDAY(EDATE($C$10,$B28-1),1)+7,7)+14)</f>
        <v/>
      </c>
      <c r="H28" s="49" t="n"/>
      <c r="I28" s="57">
        <f>IF($B28="","",IF($H28="",$G28,$H28))</f>
        <v/>
      </c>
      <c r="J28" s="56">
        <f>IF($B28="","",IF($B28=1,$C$6,$F27))</f>
        <v/>
      </c>
      <c r="K28" s="56">
        <f>IF($B28="","",IF($B28=1,$C$6,$I27))</f>
        <v/>
      </c>
      <c r="L28" s="58">
        <f>IF($B28="","",IF($C$11="","CHECK",IF($F28&lt;=$C$11,"OK","CHECK")))</f>
        <v/>
      </c>
    </row>
    <row r="29">
      <c r="B29" s="53">
        <f>IF(14&gt;$C$7,"",14)</f>
        <v/>
      </c>
      <c r="C29" s="55">
        <f>IF($B29="","",UPPER(TEXT(EDATE($C$10,$B29-1),"mmmyy")))</f>
        <v/>
      </c>
      <c r="D29" s="56">
        <f>IF($B29="","",EDATE($C$10,$B29-1)+MOD(5-WEEKDAY(EDATE($C$10,$B29-1),1)+7,7)+14)</f>
        <v/>
      </c>
      <c r="E29" s="49" t="n"/>
      <c r="F29" s="57">
        <f>IF($B29="","",IF($E29="",$D29,$E29))</f>
        <v/>
      </c>
      <c r="G29" s="56">
        <f>IF($B29="","",EDATE($C$10,$B29-1)+MOD(6-WEEKDAY(EDATE($C$10,$B29-1),1)+7,7)+14)</f>
        <v/>
      </c>
      <c r="H29" s="49" t="n"/>
      <c r="I29" s="57">
        <f>IF($B29="","",IF($H29="",$G29,$H29))</f>
        <v/>
      </c>
      <c r="J29" s="56">
        <f>IF($B29="","",IF($B29=1,$C$6,$F28))</f>
        <v/>
      </c>
      <c r="K29" s="56">
        <f>IF($B29="","",IF($B29=1,$C$6,$I28))</f>
        <v/>
      </c>
      <c r="L29" s="58">
        <f>IF($B29="","",IF($C$11="","CHECK",IF($F29&lt;=$C$11,"OK","CHECK")))</f>
        <v/>
      </c>
    </row>
    <row r="30">
      <c r="B30" s="53">
        <f>IF(15&gt;$C$7,"",15)</f>
        <v/>
      </c>
      <c r="C30" s="55">
        <f>IF($B30="","",UPPER(TEXT(EDATE($C$10,$B30-1),"mmmyy")))</f>
        <v/>
      </c>
      <c r="D30" s="56">
        <f>IF($B30="","",EDATE($C$10,$B30-1)+MOD(5-WEEKDAY(EDATE($C$10,$B30-1),1)+7,7)+14)</f>
        <v/>
      </c>
      <c r="E30" s="49" t="n"/>
      <c r="F30" s="57">
        <f>IF($B30="","",IF($E30="",$D30,$E30))</f>
        <v/>
      </c>
      <c r="G30" s="56">
        <f>IF($B30="","",EDATE($C$10,$B30-1)+MOD(6-WEEKDAY(EDATE($C$10,$B30-1),1)+7,7)+14)</f>
        <v/>
      </c>
      <c r="H30" s="49" t="n"/>
      <c r="I30" s="57">
        <f>IF($B30="","",IF($H30="",$G30,$H30))</f>
        <v/>
      </c>
      <c r="J30" s="56">
        <f>IF($B30="","",IF($B30=1,$C$6,$F29))</f>
        <v/>
      </c>
      <c r="K30" s="56">
        <f>IF($B30="","",IF($B30=1,$C$6,$I29))</f>
        <v/>
      </c>
      <c r="L30" s="58">
        <f>IF($B30="","",IF($C$11="","CHECK",IF($F30&lt;=$C$11,"OK","CHECK")))</f>
        <v/>
      </c>
    </row>
    <row r="31">
      <c r="B31" s="53">
        <f>IF(16&gt;$C$7,"",16)</f>
        <v/>
      </c>
      <c r="C31" s="55">
        <f>IF($B31="","",UPPER(TEXT(EDATE($C$10,$B31-1),"mmmyy")))</f>
        <v/>
      </c>
      <c r="D31" s="56">
        <f>IF($B31="","",EDATE($C$10,$B31-1)+MOD(5-WEEKDAY(EDATE($C$10,$B31-1),1)+7,7)+14)</f>
        <v/>
      </c>
      <c r="E31" s="49" t="n"/>
      <c r="F31" s="57">
        <f>IF($B31="","",IF($E31="",$D31,$E31))</f>
        <v/>
      </c>
      <c r="G31" s="56">
        <f>IF($B31="","",EDATE($C$10,$B31-1)+MOD(6-WEEKDAY(EDATE($C$10,$B31-1),1)+7,7)+14)</f>
        <v/>
      </c>
      <c r="H31" s="49" t="n"/>
      <c r="I31" s="57">
        <f>IF($B31="","",IF($H31="",$G31,$H31))</f>
        <v/>
      </c>
      <c r="J31" s="56">
        <f>IF($B31="","",IF($B31=1,$C$6,$F30))</f>
        <v/>
      </c>
      <c r="K31" s="56">
        <f>IF($B31="","",IF($B31=1,$C$6,$I30))</f>
        <v/>
      </c>
      <c r="L31" s="58">
        <f>IF($B31="","",IF($C$11="","CHECK",IF($F31&lt;=$C$11,"OK","CHECK")))</f>
        <v/>
      </c>
    </row>
    <row r="33">
      <c r="B33" s="3" t="inlineStr">
        <is>
          <t>Window</t>
        </is>
      </c>
      <c r="C33" s="2" t="inlineStr">
        <is>
          <t>A contract holds the dividends with an ex-date after the previous expiry and on or before its own. The front contract's window opens on the valuation date, so it carries only what is still to come.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3" customWidth="1" min="5" max="5"/>
    <col width="12" customWidth="1" min="6" max="6"/>
    <col width="13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3" customWidth="1" min="16" max="16"/>
    <col width="12" customWidth="1" min="17" max="17"/>
    <col width="10" customWidth="1" min="18" max="18"/>
    <col width="4" customWidth="1" min="19" max="19"/>
    <col width="56" customWidth="1" min="20" max="20"/>
  </cols>
  <sheetData>
    <row r="1"/>
    <row r="2">
      <c r="B2" s="1" t="inlineStr">
        <is>
          <t>INDEX DIVIDEND BY FUTURES EXPIRY</t>
        </is>
      </c>
    </row>
    <row r="3">
      <c r="B3" s="2" t="inlineStr">
        <is>
          <t>Projected dividends bucketed into each contract window - index points, yield and annualized yield, both indices, and the spread between them.</t>
        </is>
      </c>
    </row>
    <row r="4"/>
    <row r="5">
      <c r="B5" s="5" t="inlineStr">
        <is>
          <t>AS51 index level</t>
        </is>
      </c>
      <c r="C5" s="59">
        <f>BDP(AS51!$B$2,"PX_LAST")</f>
        <v/>
      </c>
      <c r="E5" s="2" t="inlineStr">
        <is>
          <t>MXAU is quoted in USD, so its points are USD points. Yields and the bps spreads are currency-consistent - each index is divided by its own level.</t>
        </is>
      </c>
    </row>
    <row r="6">
      <c r="B6" s="5" t="inlineStr">
        <is>
          <t>MXAU index level</t>
        </is>
      </c>
      <c r="C6" s="60">
        <f>BDP(MXAU!$B$2,"PX_LAST")</f>
        <v/>
      </c>
      <c r="E6" s="2" t="inlineStr">
        <is>
          <t>Everything here is Bloomberg's BDVD projection (plus your overrides when ON). Covered? flags contracts past the projected horizon.</t>
        </is>
      </c>
    </row>
    <row r="7">
      <c r="B7" s="5" t="inlineStr">
        <is>
          <t>Valuation date</t>
        </is>
      </c>
      <c r="C7" s="56">
        <f>Expiries!$C$6</f>
        <v/>
      </c>
      <c r="E7" s="2" t="inlineStr">
        <is>
          <t>Ann. = cum yield x 365 / days to that expiry (ACT/365, per leg). The front contract divides by only a few days - noisy, read with care.</t>
        </is>
      </c>
    </row>
    <row r="8">
      <c r="B8" s="5" t="inlineStr">
        <is>
          <t>Projections run to</t>
        </is>
      </c>
      <c r="C8" s="52">
        <f>Expiries!$C$11</f>
        <v/>
      </c>
    </row>
    <row r="9">
      <c r="B9" s="5" t="inlineStr">
        <is>
          <t>Overrides</t>
        </is>
      </c>
      <c r="C9" s="61">
        <f>IF(Override!$C$4="ON","ON - "&amp;Override!$E$4&amp;" row(s) live - Accrual uses YOUR numbers where set (Override tab).","OFF - pure Bloomberg projections.")</f>
        <v/>
      </c>
    </row>
    <row r="10"/>
    <row r="11">
      <c r="E11" s="3" t="inlineStr">
        <is>
          <t>S&amp;P/ASX 200 (AS51)</t>
        </is>
      </c>
      <c r="K11" s="3" t="inlineStr">
        <is>
          <t>MSCI AUSTRALIA (MXAU)</t>
        </is>
      </c>
      <c r="P11" s="3" t="inlineStr">
        <is>
          <t>SPREAD</t>
        </is>
      </c>
    </row>
    <row r="12">
      <c r="B12" s="54" t="inlineStr">
        <is>
          <t>Contract</t>
        </is>
      </c>
      <c r="C12" s="54" t="inlineStr">
        <is>
          <t>Expiry</t>
        </is>
      </c>
      <c r="D12" s="54" t="inlineStr">
        <is>
          <t>Days</t>
        </is>
      </c>
      <c r="E12" s="54" t="inlineStr">
        <is>
          <t>Period DPS
(pts)</t>
        </is>
      </c>
      <c r="F12" s="54" t="inlineStr">
        <is>
          <t>Period yld
(%)</t>
        </is>
      </c>
      <c r="G12" s="54" t="inlineStr">
        <is>
          <t>Cum DPS
(pts)</t>
        </is>
      </c>
      <c r="H12" s="54" t="inlineStr">
        <is>
          <t>Cum yld
(%)</t>
        </is>
      </c>
      <c r="I12" s="54" t="inlineStr">
        <is>
          <t>Ann cum
yld (%)</t>
        </is>
      </c>
      <c r="J12" s="54" t="inlineStr">
        <is>
          <t>Expiry</t>
        </is>
      </c>
      <c r="K12" s="54" t="inlineStr">
        <is>
          <t>Period DPS
(pts)</t>
        </is>
      </c>
      <c r="L12" s="54" t="inlineStr">
        <is>
          <t>Period yld
(%)</t>
        </is>
      </c>
      <c r="M12" s="54" t="inlineStr">
        <is>
          <t>Cum DPS
(pts)</t>
        </is>
      </c>
      <c r="N12" s="54" t="inlineStr">
        <is>
          <t>Cum yld
(%)</t>
        </is>
      </c>
      <c r="O12" s="54" t="inlineStr">
        <is>
          <t>Ann cum
yld (%)</t>
        </is>
      </c>
      <c r="P12" s="54" t="inlineStr">
        <is>
          <t>AS51-MXAU
cum (bps)</t>
        </is>
      </c>
      <c r="Q12" s="54" t="inlineStr">
        <is>
          <t>Ann sprd
(bps)</t>
        </is>
      </c>
      <c r="R12" s="54" t="inlineStr">
        <is>
          <t>Covered?</t>
        </is>
      </c>
    </row>
    <row r="13">
      <c r="B13" s="55">
        <f>IF(Expiries!$B16="","",Expiries!$C16)</f>
        <v/>
      </c>
      <c r="C13" s="56">
        <f>IF($B13="","",Expiries!$F16)</f>
        <v/>
      </c>
      <c r="D13" s="62">
        <f>IF($B13="","",$C13-$C$7)</f>
        <v/>
      </c>
      <c r="E13" s="63">
        <f>IF($B13="","",IFERROR(Accrual!F$221,""))</f>
        <v/>
      </c>
      <c r="F13" s="64">
        <f>IF($B13="","",IFERROR($E13/$C$5,""))</f>
        <v/>
      </c>
      <c r="G13" s="65">
        <f>IF($B13="","",SUM($E$13:$E13))</f>
        <v/>
      </c>
      <c r="H13" s="66">
        <f>IF($B13="","",IFERROR($G13/$C$5,""))</f>
        <v/>
      </c>
      <c r="I13" s="66">
        <f>IF($B13="","",IFERROR($H13*365/$D13,""))</f>
        <v/>
      </c>
      <c r="J13" s="56">
        <f>IF($B13="","",Expiries!$I16)</f>
        <v/>
      </c>
      <c r="K13" s="63">
        <f>IF($B13="","",IFERROR(Accrual!F$309,""))</f>
        <v/>
      </c>
      <c r="L13" s="64">
        <f>IF($B13="","",IFERROR($K13/$C$6,""))</f>
        <v/>
      </c>
      <c r="M13" s="67">
        <f>IF($B13="","",SUM($K$13:$K13))</f>
        <v/>
      </c>
      <c r="N13" s="66">
        <f>IF($B13="","",IFERROR($M13/$C$6,""))</f>
        <v/>
      </c>
      <c r="O13" s="66">
        <f>IF($B13="","",IFERROR($N13*365/($J13-$C$7),""))</f>
        <v/>
      </c>
      <c r="P13" s="68">
        <f>IF($B13="","",IFERROR(($H13-$N13)*10000,""))</f>
        <v/>
      </c>
      <c r="Q13" s="68">
        <f>IF($B13="","",IFERROR(($I13-$O13)*10000,""))</f>
        <v/>
      </c>
      <c r="R13" s="69">
        <f>IF($B13="","",Expiries!$L16)</f>
        <v/>
      </c>
    </row>
    <row r="14">
      <c r="B14" s="55">
        <f>IF(Expiries!$B17="","",Expiries!$C17)</f>
        <v/>
      </c>
      <c r="C14" s="56">
        <f>IF($B14="","",Expiries!$F17)</f>
        <v/>
      </c>
      <c r="D14" s="62">
        <f>IF($B14="","",$C14-$C$7)</f>
        <v/>
      </c>
      <c r="E14" s="63">
        <f>IF($B14="","",IFERROR(Accrual!G$221,""))</f>
        <v/>
      </c>
      <c r="F14" s="64">
        <f>IF($B14="","",IFERROR($E14/$C$5,""))</f>
        <v/>
      </c>
      <c r="G14" s="65">
        <f>IF($B14="","",SUM($E$13:$E14))</f>
        <v/>
      </c>
      <c r="H14" s="66">
        <f>IF($B14="","",IFERROR($G14/$C$5,""))</f>
        <v/>
      </c>
      <c r="I14" s="66">
        <f>IF($B14="","",IFERROR($H14*365/$D14,""))</f>
        <v/>
      </c>
      <c r="J14" s="56">
        <f>IF($B14="","",Expiries!$I17)</f>
        <v/>
      </c>
      <c r="K14" s="63">
        <f>IF($B14="","",IFERROR(Accrual!G$309,""))</f>
        <v/>
      </c>
      <c r="L14" s="64">
        <f>IF($B14="","",IFERROR($K14/$C$6,""))</f>
        <v/>
      </c>
      <c r="M14" s="67">
        <f>IF($B14="","",SUM($K$13:$K14))</f>
        <v/>
      </c>
      <c r="N14" s="66">
        <f>IF($B14="","",IFERROR($M14/$C$6,""))</f>
        <v/>
      </c>
      <c r="O14" s="66">
        <f>IF($B14="","",IFERROR($N14*365/($J14-$C$7),""))</f>
        <v/>
      </c>
      <c r="P14" s="68">
        <f>IF($B14="","",IFERROR(($H14-$N14)*10000,""))</f>
        <v/>
      </c>
      <c r="Q14" s="68">
        <f>IF($B14="","",IFERROR(($I14-$O14)*10000,""))</f>
        <v/>
      </c>
      <c r="R14" s="69">
        <f>IF($B14="","",Expiries!$L17)</f>
        <v/>
      </c>
    </row>
    <row r="15">
      <c r="B15" s="55">
        <f>IF(Expiries!$B18="","",Expiries!$C18)</f>
        <v/>
      </c>
      <c r="C15" s="56">
        <f>IF($B15="","",Expiries!$F18)</f>
        <v/>
      </c>
      <c r="D15" s="62">
        <f>IF($B15="","",$C15-$C$7)</f>
        <v/>
      </c>
      <c r="E15" s="63">
        <f>IF($B15="","",IFERROR(Accrual!H$221,""))</f>
        <v/>
      </c>
      <c r="F15" s="64">
        <f>IF($B15="","",IFERROR($E15/$C$5,""))</f>
        <v/>
      </c>
      <c r="G15" s="65">
        <f>IF($B15="","",SUM($E$13:$E15))</f>
        <v/>
      </c>
      <c r="H15" s="66">
        <f>IF($B15="","",IFERROR($G15/$C$5,""))</f>
        <v/>
      </c>
      <c r="I15" s="66">
        <f>IF($B15="","",IFERROR($H15*365/$D15,""))</f>
        <v/>
      </c>
      <c r="J15" s="56">
        <f>IF($B15="","",Expiries!$I18)</f>
        <v/>
      </c>
      <c r="K15" s="63">
        <f>IF($B15="","",IFERROR(Accrual!H$309,""))</f>
        <v/>
      </c>
      <c r="L15" s="64">
        <f>IF($B15="","",IFERROR($K15/$C$6,""))</f>
        <v/>
      </c>
      <c r="M15" s="67">
        <f>IF($B15="","",SUM($K$13:$K15))</f>
        <v/>
      </c>
      <c r="N15" s="66">
        <f>IF($B15="","",IFERROR($M15/$C$6,""))</f>
        <v/>
      </c>
      <c r="O15" s="66">
        <f>IF($B15="","",IFERROR($N15*365/($J15-$C$7),""))</f>
        <v/>
      </c>
      <c r="P15" s="68">
        <f>IF($B15="","",IFERROR(($H15-$N15)*10000,""))</f>
        <v/>
      </c>
      <c r="Q15" s="68">
        <f>IF($B15="","",IFERROR(($I15-$O15)*10000,""))</f>
        <v/>
      </c>
      <c r="R15" s="69">
        <f>IF($B15="","",Expiries!$L18)</f>
        <v/>
      </c>
    </row>
    <row r="16">
      <c r="B16" s="55">
        <f>IF(Expiries!$B19="","",Expiries!$C19)</f>
        <v/>
      </c>
      <c r="C16" s="56">
        <f>IF($B16="","",Expiries!$F19)</f>
        <v/>
      </c>
      <c r="D16" s="62">
        <f>IF($B16="","",$C16-$C$7)</f>
        <v/>
      </c>
      <c r="E16" s="63">
        <f>IF($B16="","",IFERROR(Accrual!I$221,""))</f>
        <v/>
      </c>
      <c r="F16" s="64">
        <f>IF($B16="","",IFERROR($E16/$C$5,""))</f>
        <v/>
      </c>
      <c r="G16" s="65">
        <f>IF($B16="","",SUM($E$13:$E16))</f>
        <v/>
      </c>
      <c r="H16" s="66">
        <f>IF($B16="","",IFERROR($G16/$C$5,""))</f>
        <v/>
      </c>
      <c r="I16" s="66">
        <f>IF($B16="","",IFERROR($H16*365/$D16,""))</f>
        <v/>
      </c>
      <c r="J16" s="56">
        <f>IF($B16="","",Expiries!$I19)</f>
        <v/>
      </c>
      <c r="K16" s="63">
        <f>IF($B16="","",IFERROR(Accrual!I$309,""))</f>
        <v/>
      </c>
      <c r="L16" s="64">
        <f>IF($B16="","",IFERROR($K16/$C$6,""))</f>
        <v/>
      </c>
      <c r="M16" s="67">
        <f>IF($B16="","",SUM($K$13:$K16))</f>
        <v/>
      </c>
      <c r="N16" s="66">
        <f>IF($B16="","",IFERROR($M16/$C$6,""))</f>
        <v/>
      </c>
      <c r="O16" s="66">
        <f>IF($B16="","",IFERROR($N16*365/($J16-$C$7),""))</f>
        <v/>
      </c>
      <c r="P16" s="68">
        <f>IF($B16="","",IFERROR(($H16-$N16)*10000,""))</f>
        <v/>
      </c>
      <c r="Q16" s="68">
        <f>IF($B16="","",IFERROR(($I16-$O16)*10000,""))</f>
        <v/>
      </c>
      <c r="R16" s="69">
        <f>IF($B16="","",Expiries!$L19)</f>
        <v/>
      </c>
    </row>
    <row r="17">
      <c r="B17" s="55">
        <f>IF(Expiries!$B20="","",Expiries!$C20)</f>
        <v/>
      </c>
      <c r="C17" s="56">
        <f>IF($B17="","",Expiries!$F20)</f>
        <v/>
      </c>
      <c r="D17" s="62">
        <f>IF($B17="","",$C17-$C$7)</f>
        <v/>
      </c>
      <c r="E17" s="63">
        <f>IF($B17="","",IFERROR(Accrual!J$221,""))</f>
        <v/>
      </c>
      <c r="F17" s="64">
        <f>IF($B17="","",IFERROR($E17/$C$5,""))</f>
        <v/>
      </c>
      <c r="G17" s="65">
        <f>IF($B17="","",SUM($E$13:$E17))</f>
        <v/>
      </c>
      <c r="H17" s="66">
        <f>IF($B17="","",IFERROR($G17/$C$5,""))</f>
        <v/>
      </c>
      <c r="I17" s="66">
        <f>IF($B17="","",IFERROR($H17*365/$D17,""))</f>
        <v/>
      </c>
      <c r="J17" s="56">
        <f>IF($B17="","",Expiries!$I20)</f>
        <v/>
      </c>
      <c r="K17" s="63">
        <f>IF($B17="","",IFERROR(Accrual!J$309,""))</f>
        <v/>
      </c>
      <c r="L17" s="64">
        <f>IF($B17="","",IFERROR($K17/$C$6,""))</f>
        <v/>
      </c>
      <c r="M17" s="67">
        <f>IF($B17="","",SUM($K$13:$K17))</f>
        <v/>
      </c>
      <c r="N17" s="66">
        <f>IF($B17="","",IFERROR($M17/$C$6,""))</f>
        <v/>
      </c>
      <c r="O17" s="66">
        <f>IF($B17="","",IFERROR($N17*365/($J17-$C$7),""))</f>
        <v/>
      </c>
      <c r="P17" s="68">
        <f>IF($B17="","",IFERROR(($H17-$N17)*10000,""))</f>
        <v/>
      </c>
      <c r="Q17" s="68">
        <f>IF($B17="","",IFERROR(($I17-$O17)*10000,""))</f>
        <v/>
      </c>
      <c r="R17" s="69">
        <f>IF($B17="","",Expiries!$L20)</f>
        <v/>
      </c>
    </row>
    <row r="18">
      <c r="B18" s="55">
        <f>IF(Expiries!$B21="","",Expiries!$C21)</f>
        <v/>
      </c>
      <c r="C18" s="56">
        <f>IF($B18="","",Expiries!$F21)</f>
        <v/>
      </c>
      <c r="D18" s="62">
        <f>IF($B18="","",$C18-$C$7)</f>
        <v/>
      </c>
      <c r="E18" s="63">
        <f>IF($B18="","",IFERROR(Accrual!K$221,""))</f>
        <v/>
      </c>
      <c r="F18" s="64">
        <f>IF($B18="","",IFERROR($E18/$C$5,""))</f>
        <v/>
      </c>
      <c r="G18" s="65">
        <f>IF($B18="","",SUM($E$13:$E18))</f>
        <v/>
      </c>
      <c r="H18" s="66">
        <f>IF($B18="","",IFERROR($G18/$C$5,""))</f>
        <v/>
      </c>
      <c r="I18" s="66">
        <f>IF($B18="","",IFERROR($H18*365/$D18,""))</f>
        <v/>
      </c>
      <c r="J18" s="56">
        <f>IF($B18="","",Expiries!$I21)</f>
        <v/>
      </c>
      <c r="K18" s="63">
        <f>IF($B18="","",IFERROR(Accrual!K$309,""))</f>
        <v/>
      </c>
      <c r="L18" s="64">
        <f>IF($B18="","",IFERROR($K18/$C$6,""))</f>
        <v/>
      </c>
      <c r="M18" s="67">
        <f>IF($B18="","",SUM($K$13:$K18))</f>
        <v/>
      </c>
      <c r="N18" s="66">
        <f>IF($B18="","",IFERROR($M18/$C$6,""))</f>
        <v/>
      </c>
      <c r="O18" s="66">
        <f>IF($B18="","",IFERROR($N18*365/($J18-$C$7),""))</f>
        <v/>
      </c>
      <c r="P18" s="68">
        <f>IF($B18="","",IFERROR(($H18-$N18)*10000,""))</f>
        <v/>
      </c>
      <c r="Q18" s="68">
        <f>IF($B18="","",IFERROR(($I18-$O18)*10000,""))</f>
        <v/>
      </c>
      <c r="R18" s="69">
        <f>IF($B18="","",Expiries!$L21)</f>
        <v/>
      </c>
    </row>
    <row r="19">
      <c r="B19" s="55">
        <f>IF(Expiries!$B22="","",Expiries!$C22)</f>
        <v/>
      </c>
      <c r="C19" s="56">
        <f>IF($B19="","",Expiries!$F22)</f>
        <v/>
      </c>
      <c r="D19" s="62">
        <f>IF($B19="","",$C19-$C$7)</f>
        <v/>
      </c>
      <c r="E19" s="63">
        <f>IF($B19="","",IFERROR(Accrual!L$221,""))</f>
        <v/>
      </c>
      <c r="F19" s="64">
        <f>IF($B19="","",IFERROR($E19/$C$5,""))</f>
        <v/>
      </c>
      <c r="G19" s="65">
        <f>IF($B19="","",SUM($E$13:$E19))</f>
        <v/>
      </c>
      <c r="H19" s="66">
        <f>IF($B19="","",IFERROR($G19/$C$5,""))</f>
        <v/>
      </c>
      <c r="I19" s="66">
        <f>IF($B19="","",IFERROR($H19*365/$D19,""))</f>
        <v/>
      </c>
      <c r="J19" s="56">
        <f>IF($B19="","",Expiries!$I22)</f>
        <v/>
      </c>
      <c r="K19" s="63">
        <f>IF($B19="","",IFERROR(Accrual!L$309,""))</f>
        <v/>
      </c>
      <c r="L19" s="64">
        <f>IF($B19="","",IFERROR($K19/$C$6,""))</f>
        <v/>
      </c>
      <c r="M19" s="67">
        <f>IF($B19="","",SUM($K$13:$K19))</f>
        <v/>
      </c>
      <c r="N19" s="66">
        <f>IF($B19="","",IFERROR($M19/$C$6,""))</f>
        <v/>
      </c>
      <c r="O19" s="66">
        <f>IF($B19="","",IFERROR($N19*365/($J19-$C$7),""))</f>
        <v/>
      </c>
      <c r="P19" s="68">
        <f>IF($B19="","",IFERROR(($H19-$N19)*10000,""))</f>
        <v/>
      </c>
      <c r="Q19" s="68">
        <f>IF($B19="","",IFERROR(($I19-$O19)*10000,""))</f>
        <v/>
      </c>
      <c r="R19" s="69">
        <f>IF($B19="","",Expiries!$L22)</f>
        <v/>
      </c>
    </row>
    <row r="20">
      <c r="B20" s="55">
        <f>IF(Expiries!$B23="","",Expiries!$C23)</f>
        <v/>
      </c>
      <c r="C20" s="56">
        <f>IF($B20="","",Expiries!$F23)</f>
        <v/>
      </c>
      <c r="D20" s="62">
        <f>IF($B20="","",$C20-$C$7)</f>
        <v/>
      </c>
      <c r="E20" s="63">
        <f>IF($B20="","",IFERROR(Accrual!M$221,""))</f>
        <v/>
      </c>
      <c r="F20" s="64">
        <f>IF($B20="","",IFERROR($E20/$C$5,""))</f>
        <v/>
      </c>
      <c r="G20" s="65">
        <f>IF($B20="","",SUM($E$13:$E20))</f>
        <v/>
      </c>
      <c r="H20" s="66">
        <f>IF($B20="","",IFERROR($G20/$C$5,""))</f>
        <v/>
      </c>
      <c r="I20" s="66">
        <f>IF($B20="","",IFERROR($H20*365/$D20,""))</f>
        <v/>
      </c>
      <c r="J20" s="56">
        <f>IF($B20="","",Expiries!$I23)</f>
        <v/>
      </c>
      <c r="K20" s="63">
        <f>IF($B20="","",IFERROR(Accrual!M$309,""))</f>
        <v/>
      </c>
      <c r="L20" s="64">
        <f>IF($B20="","",IFERROR($K20/$C$6,""))</f>
        <v/>
      </c>
      <c r="M20" s="67">
        <f>IF($B20="","",SUM($K$13:$K20))</f>
        <v/>
      </c>
      <c r="N20" s="66">
        <f>IF($B20="","",IFERROR($M20/$C$6,""))</f>
        <v/>
      </c>
      <c r="O20" s="66">
        <f>IF($B20="","",IFERROR($N20*365/($J20-$C$7),""))</f>
        <v/>
      </c>
      <c r="P20" s="68">
        <f>IF($B20="","",IFERROR(($H20-$N20)*10000,""))</f>
        <v/>
      </c>
      <c r="Q20" s="68">
        <f>IF($B20="","",IFERROR(($I20-$O20)*10000,""))</f>
        <v/>
      </c>
      <c r="R20" s="69">
        <f>IF($B20="","",Expiries!$L23)</f>
        <v/>
      </c>
    </row>
    <row r="21">
      <c r="B21" s="55">
        <f>IF(Expiries!$B24="","",Expiries!$C24)</f>
        <v/>
      </c>
      <c r="C21" s="56">
        <f>IF($B21="","",Expiries!$F24)</f>
        <v/>
      </c>
      <c r="D21" s="62">
        <f>IF($B21="","",$C21-$C$7)</f>
        <v/>
      </c>
      <c r="E21" s="63">
        <f>IF($B21="","",IFERROR(Accrual!N$221,""))</f>
        <v/>
      </c>
      <c r="F21" s="64">
        <f>IF($B21="","",IFERROR($E21/$C$5,""))</f>
        <v/>
      </c>
      <c r="G21" s="65">
        <f>IF($B21="","",SUM($E$13:$E21))</f>
        <v/>
      </c>
      <c r="H21" s="66">
        <f>IF($B21="","",IFERROR($G21/$C$5,""))</f>
        <v/>
      </c>
      <c r="I21" s="66">
        <f>IF($B21="","",IFERROR($H21*365/$D21,""))</f>
        <v/>
      </c>
      <c r="J21" s="56">
        <f>IF($B21="","",Expiries!$I24)</f>
        <v/>
      </c>
      <c r="K21" s="63">
        <f>IF($B21="","",IFERROR(Accrual!N$309,""))</f>
        <v/>
      </c>
      <c r="L21" s="64">
        <f>IF($B21="","",IFERROR($K21/$C$6,""))</f>
        <v/>
      </c>
      <c r="M21" s="67">
        <f>IF($B21="","",SUM($K$13:$K21))</f>
        <v/>
      </c>
      <c r="N21" s="66">
        <f>IF($B21="","",IFERROR($M21/$C$6,""))</f>
        <v/>
      </c>
      <c r="O21" s="66">
        <f>IF($B21="","",IFERROR($N21*365/($J21-$C$7),""))</f>
        <v/>
      </c>
      <c r="P21" s="68">
        <f>IF($B21="","",IFERROR(($H21-$N21)*10000,""))</f>
        <v/>
      </c>
      <c r="Q21" s="68">
        <f>IF($B21="","",IFERROR(($I21-$O21)*10000,""))</f>
        <v/>
      </c>
      <c r="R21" s="69">
        <f>IF($B21="","",Expiries!$L24)</f>
        <v/>
      </c>
    </row>
    <row r="22">
      <c r="B22" s="55">
        <f>IF(Expiries!$B25="","",Expiries!$C25)</f>
        <v/>
      </c>
      <c r="C22" s="56">
        <f>IF($B22="","",Expiries!$F25)</f>
        <v/>
      </c>
      <c r="D22" s="62">
        <f>IF($B22="","",$C22-$C$7)</f>
        <v/>
      </c>
      <c r="E22" s="63">
        <f>IF($B22="","",IFERROR(Accrual!O$221,""))</f>
        <v/>
      </c>
      <c r="F22" s="64">
        <f>IF($B22="","",IFERROR($E22/$C$5,""))</f>
        <v/>
      </c>
      <c r="G22" s="65">
        <f>IF($B22="","",SUM($E$13:$E22))</f>
        <v/>
      </c>
      <c r="H22" s="66">
        <f>IF($B22="","",IFERROR($G22/$C$5,""))</f>
        <v/>
      </c>
      <c r="I22" s="66">
        <f>IF($B22="","",IFERROR($H22*365/$D22,""))</f>
        <v/>
      </c>
      <c r="J22" s="56">
        <f>IF($B22="","",Expiries!$I25)</f>
        <v/>
      </c>
      <c r="K22" s="63">
        <f>IF($B22="","",IFERROR(Accrual!O$309,""))</f>
        <v/>
      </c>
      <c r="L22" s="64">
        <f>IF($B22="","",IFERROR($K22/$C$6,""))</f>
        <v/>
      </c>
      <c r="M22" s="67">
        <f>IF($B22="","",SUM($K$13:$K22))</f>
        <v/>
      </c>
      <c r="N22" s="66">
        <f>IF($B22="","",IFERROR($M22/$C$6,""))</f>
        <v/>
      </c>
      <c r="O22" s="66">
        <f>IF($B22="","",IFERROR($N22*365/($J22-$C$7),""))</f>
        <v/>
      </c>
      <c r="P22" s="68">
        <f>IF($B22="","",IFERROR(($H22-$N22)*10000,""))</f>
        <v/>
      </c>
      <c r="Q22" s="68">
        <f>IF($B22="","",IFERROR(($I22-$O22)*10000,""))</f>
        <v/>
      </c>
      <c r="R22" s="69">
        <f>IF($B22="","",Expiries!$L25)</f>
        <v/>
      </c>
    </row>
    <row r="23">
      <c r="B23" s="55">
        <f>IF(Expiries!$B26="","",Expiries!$C26)</f>
        <v/>
      </c>
      <c r="C23" s="56">
        <f>IF($B23="","",Expiries!$F26)</f>
        <v/>
      </c>
      <c r="D23" s="62">
        <f>IF($B23="","",$C23-$C$7)</f>
        <v/>
      </c>
      <c r="E23" s="63">
        <f>IF($B23="","",IFERROR(Accrual!P$221,""))</f>
        <v/>
      </c>
      <c r="F23" s="64">
        <f>IF($B23="","",IFERROR($E23/$C$5,""))</f>
        <v/>
      </c>
      <c r="G23" s="65">
        <f>IF($B23="","",SUM($E$13:$E23))</f>
        <v/>
      </c>
      <c r="H23" s="66">
        <f>IF($B23="","",IFERROR($G23/$C$5,""))</f>
        <v/>
      </c>
      <c r="I23" s="66">
        <f>IF($B23="","",IFERROR($H23*365/$D23,""))</f>
        <v/>
      </c>
      <c r="J23" s="56">
        <f>IF($B23="","",Expiries!$I26)</f>
        <v/>
      </c>
      <c r="K23" s="63">
        <f>IF($B23="","",IFERROR(Accrual!P$309,""))</f>
        <v/>
      </c>
      <c r="L23" s="64">
        <f>IF($B23="","",IFERROR($K23/$C$6,""))</f>
        <v/>
      </c>
      <c r="M23" s="67">
        <f>IF($B23="","",SUM($K$13:$K23))</f>
        <v/>
      </c>
      <c r="N23" s="66">
        <f>IF($B23="","",IFERROR($M23/$C$6,""))</f>
        <v/>
      </c>
      <c r="O23" s="66">
        <f>IF($B23="","",IFERROR($N23*365/($J23-$C$7),""))</f>
        <v/>
      </c>
      <c r="P23" s="68">
        <f>IF($B23="","",IFERROR(($H23-$N23)*10000,""))</f>
        <v/>
      </c>
      <c r="Q23" s="68">
        <f>IF($B23="","",IFERROR(($I23-$O23)*10000,""))</f>
        <v/>
      </c>
      <c r="R23" s="69">
        <f>IF($B23="","",Expiries!$L26)</f>
        <v/>
      </c>
    </row>
    <row r="24">
      <c r="B24" s="55">
        <f>IF(Expiries!$B27="","",Expiries!$C27)</f>
        <v/>
      </c>
      <c r="C24" s="56">
        <f>IF($B24="","",Expiries!$F27)</f>
        <v/>
      </c>
      <c r="D24" s="62">
        <f>IF($B24="","",$C24-$C$7)</f>
        <v/>
      </c>
      <c r="E24" s="63">
        <f>IF($B24="","",IFERROR(Accrual!Q$221,""))</f>
        <v/>
      </c>
      <c r="F24" s="64">
        <f>IF($B24="","",IFERROR($E24/$C$5,""))</f>
        <v/>
      </c>
      <c r="G24" s="65">
        <f>IF($B24="","",SUM($E$13:$E24))</f>
        <v/>
      </c>
      <c r="H24" s="66">
        <f>IF($B24="","",IFERROR($G24/$C$5,""))</f>
        <v/>
      </c>
      <c r="I24" s="66">
        <f>IF($B24="","",IFERROR($H24*365/$D24,""))</f>
        <v/>
      </c>
      <c r="J24" s="56">
        <f>IF($B24="","",Expiries!$I27)</f>
        <v/>
      </c>
      <c r="K24" s="63">
        <f>IF($B24="","",IFERROR(Accrual!Q$309,""))</f>
        <v/>
      </c>
      <c r="L24" s="64">
        <f>IF($B24="","",IFERROR($K24/$C$6,""))</f>
        <v/>
      </c>
      <c r="M24" s="67">
        <f>IF($B24="","",SUM($K$13:$K24))</f>
        <v/>
      </c>
      <c r="N24" s="66">
        <f>IF($B24="","",IFERROR($M24/$C$6,""))</f>
        <v/>
      </c>
      <c r="O24" s="66">
        <f>IF($B24="","",IFERROR($N24*365/($J24-$C$7),""))</f>
        <v/>
      </c>
      <c r="P24" s="68">
        <f>IF($B24="","",IFERROR(($H24-$N24)*10000,""))</f>
        <v/>
      </c>
      <c r="Q24" s="68">
        <f>IF($B24="","",IFERROR(($I24-$O24)*10000,""))</f>
        <v/>
      </c>
      <c r="R24" s="69">
        <f>IF($B24="","",Expiries!$L27)</f>
        <v/>
      </c>
    </row>
    <row r="25">
      <c r="B25" s="55">
        <f>IF(Expiries!$B28="","",Expiries!$C28)</f>
        <v/>
      </c>
      <c r="C25" s="56">
        <f>IF($B25="","",Expiries!$F28)</f>
        <v/>
      </c>
      <c r="D25" s="62">
        <f>IF($B25="","",$C25-$C$7)</f>
        <v/>
      </c>
      <c r="E25" s="63">
        <f>IF($B25="","",IFERROR(Accrual!R$221,""))</f>
        <v/>
      </c>
      <c r="F25" s="64">
        <f>IF($B25="","",IFERROR($E25/$C$5,""))</f>
        <v/>
      </c>
      <c r="G25" s="65">
        <f>IF($B25="","",SUM($E$13:$E25))</f>
        <v/>
      </c>
      <c r="H25" s="66">
        <f>IF($B25="","",IFERROR($G25/$C$5,""))</f>
        <v/>
      </c>
      <c r="I25" s="66">
        <f>IF($B25="","",IFERROR($H25*365/$D25,""))</f>
        <v/>
      </c>
      <c r="J25" s="56">
        <f>IF($B25="","",Expiries!$I28)</f>
        <v/>
      </c>
      <c r="K25" s="63">
        <f>IF($B25="","",IFERROR(Accrual!R$309,""))</f>
        <v/>
      </c>
      <c r="L25" s="64">
        <f>IF($B25="","",IFERROR($K25/$C$6,""))</f>
        <v/>
      </c>
      <c r="M25" s="67">
        <f>IF($B25="","",SUM($K$13:$K25))</f>
        <v/>
      </c>
      <c r="N25" s="66">
        <f>IF($B25="","",IFERROR($M25/$C$6,""))</f>
        <v/>
      </c>
      <c r="O25" s="66">
        <f>IF($B25="","",IFERROR($N25*365/($J25-$C$7),""))</f>
        <v/>
      </c>
      <c r="P25" s="68">
        <f>IF($B25="","",IFERROR(($H25-$N25)*10000,""))</f>
        <v/>
      </c>
      <c r="Q25" s="68">
        <f>IF($B25="","",IFERROR(($I25-$O25)*10000,""))</f>
        <v/>
      </c>
      <c r="R25" s="69">
        <f>IF($B25="","",Expiries!$L28)</f>
        <v/>
      </c>
    </row>
    <row r="26">
      <c r="B26" s="55">
        <f>IF(Expiries!$B29="","",Expiries!$C29)</f>
        <v/>
      </c>
      <c r="C26" s="56">
        <f>IF($B26="","",Expiries!$F29)</f>
        <v/>
      </c>
      <c r="D26" s="62">
        <f>IF($B26="","",$C26-$C$7)</f>
        <v/>
      </c>
      <c r="E26" s="63">
        <f>IF($B26="","",IFERROR(Accrual!S$221,""))</f>
        <v/>
      </c>
      <c r="F26" s="64">
        <f>IF($B26="","",IFERROR($E26/$C$5,""))</f>
        <v/>
      </c>
      <c r="G26" s="65">
        <f>IF($B26="","",SUM($E$13:$E26))</f>
        <v/>
      </c>
      <c r="H26" s="66">
        <f>IF($B26="","",IFERROR($G26/$C$5,""))</f>
        <v/>
      </c>
      <c r="I26" s="66">
        <f>IF($B26="","",IFERROR($H26*365/$D26,""))</f>
        <v/>
      </c>
      <c r="J26" s="56">
        <f>IF($B26="","",Expiries!$I29)</f>
        <v/>
      </c>
      <c r="K26" s="63">
        <f>IF($B26="","",IFERROR(Accrual!S$309,""))</f>
        <v/>
      </c>
      <c r="L26" s="64">
        <f>IF($B26="","",IFERROR($K26/$C$6,""))</f>
        <v/>
      </c>
      <c r="M26" s="67">
        <f>IF($B26="","",SUM($K$13:$K26))</f>
        <v/>
      </c>
      <c r="N26" s="66">
        <f>IF($B26="","",IFERROR($M26/$C$6,""))</f>
        <v/>
      </c>
      <c r="O26" s="66">
        <f>IF($B26="","",IFERROR($N26*365/($J26-$C$7),""))</f>
        <v/>
      </c>
      <c r="P26" s="68">
        <f>IF($B26="","",IFERROR(($H26-$N26)*10000,""))</f>
        <v/>
      </c>
      <c r="Q26" s="68">
        <f>IF($B26="","",IFERROR(($I26-$O26)*10000,""))</f>
        <v/>
      </c>
      <c r="R26" s="69">
        <f>IF($B26="","",Expiries!$L29)</f>
        <v/>
      </c>
    </row>
    <row r="27">
      <c r="B27" s="55">
        <f>IF(Expiries!$B30="","",Expiries!$C30)</f>
        <v/>
      </c>
      <c r="C27" s="56">
        <f>IF($B27="","",Expiries!$F30)</f>
        <v/>
      </c>
      <c r="D27" s="62">
        <f>IF($B27="","",$C27-$C$7)</f>
        <v/>
      </c>
      <c r="E27" s="63">
        <f>IF($B27="","",IFERROR(Accrual!T$221,""))</f>
        <v/>
      </c>
      <c r="F27" s="64">
        <f>IF($B27="","",IFERROR($E27/$C$5,""))</f>
        <v/>
      </c>
      <c r="G27" s="65">
        <f>IF($B27="","",SUM($E$13:$E27))</f>
        <v/>
      </c>
      <c r="H27" s="66">
        <f>IF($B27="","",IFERROR($G27/$C$5,""))</f>
        <v/>
      </c>
      <c r="I27" s="66">
        <f>IF($B27="","",IFERROR($H27*365/$D27,""))</f>
        <v/>
      </c>
      <c r="J27" s="56">
        <f>IF($B27="","",Expiries!$I30)</f>
        <v/>
      </c>
      <c r="K27" s="63">
        <f>IF($B27="","",IFERROR(Accrual!T$309,""))</f>
        <v/>
      </c>
      <c r="L27" s="64">
        <f>IF($B27="","",IFERROR($K27/$C$6,""))</f>
        <v/>
      </c>
      <c r="M27" s="67">
        <f>IF($B27="","",SUM($K$13:$K27))</f>
        <v/>
      </c>
      <c r="N27" s="66">
        <f>IF($B27="","",IFERROR($M27/$C$6,""))</f>
        <v/>
      </c>
      <c r="O27" s="66">
        <f>IF($B27="","",IFERROR($N27*365/($J27-$C$7),""))</f>
        <v/>
      </c>
      <c r="P27" s="68">
        <f>IF($B27="","",IFERROR(($H27-$N27)*10000,""))</f>
        <v/>
      </c>
      <c r="Q27" s="68">
        <f>IF($B27="","",IFERROR(($I27-$O27)*10000,""))</f>
        <v/>
      </c>
      <c r="R27" s="69">
        <f>IF($B27="","",Expiries!$L30)</f>
        <v/>
      </c>
    </row>
    <row r="28">
      <c r="B28" s="55">
        <f>IF(Expiries!$B31="","",Expiries!$C31)</f>
        <v/>
      </c>
      <c r="C28" s="56">
        <f>IF($B28="","",Expiries!$F31)</f>
        <v/>
      </c>
      <c r="D28" s="62">
        <f>IF($B28="","",$C28-$C$7)</f>
        <v/>
      </c>
      <c r="E28" s="63">
        <f>IF($B28="","",IFERROR(Accrual!U$221,""))</f>
        <v/>
      </c>
      <c r="F28" s="64">
        <f>IF($B28="","",IFERROR($E28/$C$5,""))</f>
        <v/>
      </c>
      <c r="G28" s="65">
        <f>IF($B28="","",SUM($E$13:$E28))</f>
        <v/>
      </c>
      <c r="H28" s="66">
        <f>IF($B28="","",IFERROR($G28/$C$5,""))</f>
        <v/>
      </c>
      <c r="I28" s="66">
        <f>IF($B28="","",IFERROR($H28*365/$D28,""))</f>
        <v/>
      </c>
      <c r="J28" s="56">
        <f>IF($B28="","",Expiries!$I31)</f>
        <v/>
      </c>
      <c r="K28" s="63">
        <f>IF($B28="","",IFERROR(Accrual!U$309,""))</f>
        <v/>
      </c>
      <c r="L28" s="64">
        <f>IF($B28="","",IFERROR($K28/$C$6,""))</f>
        <v/>
      </c>
      <c r="M28" s="67">
        <f>IF($B28="","",SUM($K$13:$K28))</f>
        <v/>
      </c>
      <c r="N28" s="66">
        <f>IF($B28="","",IFERROR($M28/$C$6,""))</f>
        <v/>
      </c>
      <c r="O28" s="66">
        <f>IF($B28="","",IFERROR($N28*365/($J28-$C$7),""))</f>
        <v/>
      </c>
      <c r="P28" s="68">
        <f>IF($B28="","",IFERROR(($H28-$N28)*10000,""))</f>
        <v/>
      </c>
      <c r="Q28" s="68">
        <f>IF($B28="","",IFERROR(($I28-$O28)*10000,""))</f>
        <v/>
      </c>
      <c r="R28" s="69">
        <f>IF($B28="","",Expiries!$L31)</f>
        <v/>
      </c>
    </row>
    <row r="29"/>
    <row r="30"/>
    <row r="31"/>
    <row r="32">
      <c r="B32" s="3" t="inlineStr">
        <is>
          <t>FRANKING VIEW - CREDIT VALUE BY CONTRACT</t>
        </is>
      </c>
    </row>
    <row r="33">
      <c r="B33" s="2" t="inlineStr">
        <is>
          <t>Franked share uses each stock's company-level franked % (blank = 100%). Credit = franked dividend x t/(1-t) with t = 'Index Summary'!C6. Grossed-up = cash + credit.</t>
        </is>
      </c>
    </row>
    <row r="34">
      <c r="C34" s="3" t="inlineStr">
        <is>
          <t>S&amp;P/ASX 200 (AS51)</t>
        </is>
      </c>
      <c r="H34" s="3" t="inlineStr">
        <is>
          <t>MSCI AUSTRALIA (MXAU)</t>
        </is>
      </c>
      <c r="M34" s="3" t="inlineStr">
        <is>
          <t>SPREAD</t>
        </is>
      </c>
    </row>
    <row r="35">
      <c r="B35" s="70" t="inlineStr">
        <is>
          <t>Contract</t>
        </is>
      </c>
      <c r="C35" s="70" t="inlineStr">
        <is>
          <t>Franked
(% of dvd)</t>
        </is>
      </c>
      <c r="D35" s="70" t="inlineStr">
        <is>
          <t>Credit
(pts)</t>
        </is>
      </c>
      <c r="E35" s="70" t="inlineStr">
        <is>
          <t>Cum credit
(pts)</t>
        </is>
      </c>
      <c r="F35" s="70" t="inlineStr">
        <is>
          <t>Grossed cum
yld (%)</t>
        </is>
      </c>
      <c r="G35" s="70" t="inlineStr">
        <is>
          <t>Ann grossed
yld (%)</t>
        </is>
      </c>
      <c r="H35" s="70" t="inlineStr">
        <is>
          <t>Franked
(% of dvd)</t>
        </is>
      </c>
      <c r="I35" s="70" t="inlineStr">
        <is>
          <t>Credit
(pts)</t>
        </is>
      </c>
      <c r="J35" s="70" t="inlineStr">
        <is>
          <t>Cum credit
(pts)</t>
        </is>
      </c>
      <c r="K35" s="70" t="inlineStr">
        <is>
          <t>Grossed cum
yld (%)</t>
        </is>
      </c>
      <c r="L35" s="70" t="inlineStr">
        <is>
          <t>Ann grossed
yld (%)</t>
        </is>
      </c>
      <c r="M35" s="70" t="inlineStr">
        <is>
          <t>Grossed sprd
(bps)</t>
        </is>
      </c>
      <c r="N35" s="70" t="inlineStr">
        <is>
          <t>Ann grossed
sprd (bps)</t>
        </is>
      </c>
    </row>
    <row r="36">
      <c r="B36" s="55">
        <f>IF(Expiries!$B16="","",Expiries!$C16)</f>
        <v/>
      </c>
      <c r="C36" s="71">
        <f>IF($B36="","",IFERROR(Accrual!W$221/Accrual!F$221,""))</f>
        <v/>
      </c>
      <c r="D36" s="63">
        <f>IF($B36="","",IFERROR(Accrual!W$221*'Index Summary'!$C$6/(1-'Index Summary'!$C$6),""))</f>
        <v/>
      </c>
      <c r="E36" s="59">
        <f>IF($B36="","",SUM($D$36:$D36))</f>
        <v/>
      </c>
      <c r="F36" s="66">
        <f>IF($B36="","",IFERROR(($G13+$E36)/$C$5,""))</f>
        <v/>
      </c>
      <c r="G36" s="66">
        <f>IF($B36="","",IFERROR($F36*365/$D13,""))</f>
        <v/>
      </c>
      <c r="H36" s="71">
        <f>IF($B36="","",IFERROR(Accrual!W$309/Accrual!F$309,""))</f>
        <v/>
      </c>
      <c r="I36" s="63">
        <f>IF($B36="","",IFERROR(Accrual!W$309*'Index Summary'!$C$6/(1-'Index Summary'!$C$6),""))</f>
        <v/>
      </c>
      <c r="J36" s="60">
        <f>IF($B36="","",SUM($I$36:$I36))</f>
        <v/>
      </c>
      <c r="K36" s="66">
        <f>IF($B36="","",IFERROR(($M13+$J36)/$C$6,""))</f>
        <v/>
      </c>
      <c r="L36" s="66">
        <f>IF($B36="","",IFERROR($K36*365/($J13-$C$7),""))</f>
        <v/>
      </c>
      <c r="M36" s="68">
        <f>IF($B36="","",IFERROR(($F36-$K36)*10000,""))</f>
        <v/>
      </c>
      <c r="N36" s="68">
        <f>IF($B36="","",IFERROR(($G36-$L36)*10000,""))</f>
        <v/>
      </c>
    </row>
    <row r="37">
      <c r="B37" s="55">
        <f>IF(Expiries!$B17="","",Expiries!$C17)</f>
        <v/>
      </c>
      <c r="C37" s="71">
        <f>IF($B37="","",IFERROR(Accrual!X$221/Accrual!G$221,""))</f>
        <v/>
      </c>
      <c r="D37" s="63">
        <f>IF($B37="","",IFERROR(Accrual!X$221*'Index Summary'!$C$6/(1-'Index Summary'!$C$6),""))</f>
        <v/>
      </c>
      <c r="E37" s="59">
        <f>IF($B37="","",SUM($D$36:$D37))</f>
        <v/>
      </c>
      <c r="F37" s="66">
        <f>IF($B37="","",IFERROR(($G14+$E37)/$C$5,""))</f>
        <v/>
      </c>
      <c r="G37" s="66">
        <f>IF($B37="","",IFERROR($F37*365/$D14,""))</f>
        <v/>
      </c>
      <c r="H37" s="71">
        <f>IF($B37="","",IFERROR(Accrual!X$309/Accrual!G$309,""))</f>
        <v/>
      </c>
      <c r="I37" s="63">
        <f>IF($B37="","",IFERROR(Accrual!X$309*'Index Summary'!$C$6/(1-'Index Summary'!$C$6),""))</f>
        <v/>
      </c>
      <c r="J37" s="60">
        <f>IF($B37="","",SUM($I$36:$I37))</f>
        <v/>
      </c>
      <c r="K37" s="66">
        <f>IF($B37="","",IFERROR(($M14+$J37)/$C$6,""))</f>
        <v/>
      </c>
      <c r="L37" s="66">
        <f>IF($B37="","",IFERROR($K37*365/($J14-$C$7),""))</f>
        <v/>
      </c>
      <c r="M37" s="68">
        <f>IF($B37="","",IFERROR(($F37-$K37)*10000,""))</f>
        <v/>
      </c>
      <c r="N37" s="68">
        <f>IF($B37="","",IFERROR(($G37-$L37)*10000,""))</f>
        <v/>
      </c>
    </row>
    <row r="38">
      <c r="B38" s="55">
        <f>IF(Expiries!$B18="","",Expiries!$C18)</f>
        <v/>
      </c>
      <c r="C38" s="71">
        <f>IF($B38="","",IFERROR(Accrual!Y$221/Accrual!H$221,""))</f>
        <v/>
      </c>
      <c r="D38" s="63">
        <f>IF($B38="","",IFERROR(Accrual!Y$221*'Index Summary'!$C$6/(1-'Index Summary'!$C$6),""))</f>
        <v/>
      </c>
      <c r="E38" s="59">
        <f>IF($B38="","",SUM($D$36:$D38))</f>
        <v/>
      </c>
      <c r="F38" s="66">
        <f>IF($B38="","",IFERROR(($G15+$E38)/$C$5,""))</f>
        <v/>
      </c>
      <c r="G38" s="66">
        <f>IF($B38="","",IFERROR($F38*365/$D15,""))</f>
        <v/>
      </c>
      <c r="H38" s="71">
        <f>IF($B38="","",IFERROR(Accrual!Y$309/Accrual!H$309,""))</f>
        <v/>
      </c>
      <c r="I38" s="63">
        <f>IF($B38="","",IFERROR(Accrual!Y$309*'Index Summary'!$C$6/(1-'Index Summary'!$C$6),""))</f>
        <v/>
      </c>
      <c r="J38" s="60">
        <f>IF($B38="","",SUM($I$36:$I38))</f>
        <v/>
      </c>
      <c r="K38" s="66">
        <f>IF($B38="","",IFERROR(($M15+$J38)/$C$6,""))</f>
        <v/>
      </c>
      <c r="L38" s="66">
        <f>IF($B38="","",IFERROR($K38*365/($J15-$C$7),""))</f>
        <v/>
      </c>
      <c r="M38" s="68">
        <f>IF($B38="","",IFERROR(($F38-$K38)*10000,""))</f>
        <v/>
      </c>
      <c r="N38" s="68">
        <f>IF($B38="","",IFERROR(($G38-$L38)*10000,""))</f>
        <v/>
      </c>
    </row>
    <row r="39">
      <c r="B39" s="55">
        <f>IF(Expiries!$B19="","",Expiries!$C19)</f>
        <v/>
      </c>
      <c r="C39" s="71">
        <f>IF($B39="","",IFERROR(Accrual!Z$221/Accrual!I$221,""))</f>
        <v/>
      </c>
      <c r="D39" s="63">
        <f>IF($B39="","",IFERROR(Accrual!Z$221*'Index Summary'!$C$6/(1-'Index Summary'!$C$6),""))</f>
        <v/>
      </c>
      <c r="E39" s="59">
        <f>IF($B39="","",SUM($D$36:$D39))</f>
        <v/>
      </c>
      <c r="F39" s="66">
        <f>IF($B39="","",IFERROR(($G16+$E39)/$C$5,""))</f>
        <v/>
      </c>
      <c r="G39" s="66">
        <f>IF($B39="","",IFERROR($F39*365/$D16,""))</f>
        <v/>
      </c>
      <c r="H39" s="71">
        <f>IF($B39="","",IFERROR(Accrual!Z$309/Accrual!I$309,""))</f>
        <v/>
      </c>
      <c r="I39" s="63">
        <f>IF($B39="","",IFERROR(Accrual!Z$309*'Index Summary'!$C$6/(1-'Index Summary'!$C$6),""))</f>
        <v/>
      </c>
      <c r="J39" s="60">
        <f>IF($B39="","",SUM($I$36:$I39))</f>
        <v/>
      </c>
      <c r="K39" s="66">
        <f>IF($B39="","",IFERROR(($M16+$J39)/$C$6,""))</f>
        <v/>
      </c>
      <c r="L39" s="66">
        <f>IF($B39="","",IFERROR($K39*365/($J16-$C$7),""))</f>
        <v/>
      </c>
      <c r="M39" s="68">
        <f>IF($B39="","",IFERROR(($F39-$K39)*10000,""))</f>
        <v/>
      </c>
      <c r="N39" s="68">
        <f>IF($B39="","",IFERROR(($G39-$L39)*10000,""))</f>
        <v/>
      </c>
    </row>
    <row r="40">
      <c r="B40" s="55">
        <f>IF(Expiries!$B20="","",Expiries!$C20)</f>
        <v/>
      </c>
      <c r="C40" s="71">
        <f>IF($B40="","",IFERROR(Accrual!AA$221/Accrual!J$221,""))</f>
        <v/>
      </c>
      <c r="D40" s="63">
        <f>IF($B40="","",IFERROR(Accrual!AA$221*'Index Summary'!$C$6/(1-'Index Summary'!$C$6),""))</f>
        <v/>
      </c>
      <c r="E40" s="59">
        <f>IF($B40="","",SUM($D$36:$D40))</f>
        <v/>
      </c>
      <c r="F40" s="66">
        <f>IF($B40="","",IFERROR(($G17+$E40)/$C$5,""))</f>
        <v/>
      </c>
      <c r="G40" s="66">
        <f>IF($B40="","",IFERROR($F40*365/$D17,""))</f>
        <v/>
      </c>
      <c r="H40" s="71">
        <f>IF($B40="","",IFERROR(Accrual!AA$309/Accrual!J$309,""))</f>
        <v/>
      </c>
      <c r="I40" s="63">
        <f>IF($B40="","",IFERROR(Accrual!AA$309*'Index Summary'!$C$6/(1-'Index Summary'!$C$6),""))</f>
        <v/>
      </c>
      <c r="J40" s="60">
        <f>IF($B40="","",SUM($I$36:$I40))</f>
        <v/>
      </c>
      <c r="K40" s="66">
        <f>IF($B40="","",IFERROR(($M17+$J40)/$C$6,""))</f>
        <v/>
      </c>
      <c r="L40" s="66">
        <f>IF($B40="","",IFERROR($K40*365/($J17-$C$7),""))</f>
        <v/>
      </c>
      <c r="M40" s="68">
        <f>IF($B40="","",IFERROR(($F40-$K40)*10000,""))</f>
        <v/>
      </c>
      <c r="N40" s="68">
        <f>IF($B40="","",IFERROR(($G40-$L40)*10000,""))</f>
        <v/>
      </c>
    </row>
    <row r="41">
      <c r="B41" s="55">
        <f>IF(Expiries!$B21="","",Expiries!$C21)</f>
        <v/>
      </c>
      <c r="C41" s="71">
        <f>IF($B41="","",IFERROR(Accrual!AB$221/Accrual!K$221,""))</f>
        <v/>
      </c>
      <c r="D41" s="63">
        <f>IF($B41="","",IFERROR(Accrual!AB$221*'Index Summary'!$C$6/(1-'Index Summary'!$C$6),""))</f>
        <v/>
      </c>
      <c r="E41" s="59">
        <f>IF($B41="","",SUM($D$36:$D41))</f>
        <v/>
      </c>
      <c r="F41" s="66">
        <f>IF($B41="","",IFERROR(($G18+$E41)/$C$5,""))</f>
        <v/>
      </c>
      <c r="G41" s="66">
        <f>IF($B41="","",IFERROR($F41*365/$D18,""))</f>
        <v/>
      </c>
      <c r="H41" s="71">
        <f>IF($B41="","",IFERROR(Accrual!AB$309/Accrual!K$309,""))</f>
        <v/>
      </c>
      <c r="I41" s="63">
        <f>IF($B41="","",IFERROR(Accrual!AB$309*'Index Summary'!$C$6/(1-'Index Summary'!$C$6),""))</f>
        <v/>
      </c>
      <c r="J41" s="60">
        <f>IF($B41="","",SUM($I$36:$I41))</f>
        <v/>
      </c>
      <c r="K41" s="66">
        <f>IF($B41="","",IFERROR(($M18+$J41)/$C$6,""))</f>
        <v/>
      </c>
      <c r="L41" s="66">
        <f>IF($B41="","",IFERROR($K41*365/($J18-$C$7),""))</f>
        <v/>
      </c>
      <c r="M41" s="68">
        <f>IF($B41="","",IFERROR(($F41-$K41)*10000,""))</f>
        <v/>
      </c>
      <c r="N41" s="68">
        <f>IF($B41="","",IFERROR(($G41-$L41)*10000,""))</f>
        <v/>
      </c>
    </row>
    <row r="42">
      <c r="B42" s="55">
        <f>IF(Expiries!$B22="","",Expiries!$C22)</f>
        <v/>
      </c>
      <c r="C42" s="71">
        <f>IF($B42="","",IFERROR(Accrual!AC$221/Accrual!L$221,""))</f>
        <v/>
      </c>
      <c r="D42" s="63">
        <f>IF($B42="","",IFERROR(Accrual!AC$221*'Index Summary'!$C$6/(1-'Index Summary'!$C$6),""))</f>
        <v/>
      </c>
      <c r="E42" s="59">
        <f>IF($B42="","",SUM($D$36:$D42))</f>
        <v/>
      </c>
      <c r="F42" s="66">
        <f>IF($B42="","",IFERROR(($G19+$E42)/$C$5,""))</f>
        <v/>
      </c>
      <c r="G42" s="66">
        <f>IF($B42="","",IFERROR($F42*365/$D19,""))</f>
        <v/>
      </c>
      <c r="H42" s="71">
        <f>IF($B42="","",IFERROR(Accrual!AC$309/Accrual!L$309,""))</f>
        <v/>
      </c>
      <c r="I42" s="63">
        <f>IF($B42="","",IFERROR(Accrual!AC$309*'Index Summary'!$C$6/(1-'Index Summary'!$C$6),""))</f>
        <v/>
      </c>
      <c r="J42" s="60">
        <f>IF($B42="","",SUM($I$36:$I42))</f>
        <v/>
      </c>
      <c r="K42" s="66">
        <f>IF($B42="","",IFERROR(($M19+$J42)/$C$6,""))</f>
        <v/>
      </c>
      <c r="L42" s="66">
        <f>IF($B42="","",IFERROR($K42*365/($J19-$C$7),""))</f>
        <v/>
      </c>
      <c r="M42" s="68">
        <f>IF($B42="","",IFERROR(($F42-$K42)*10000,""))</f>
        <v/>
      </c>
      <c r="N42" s="68">
        <f>IF($B42="","",IFERROR(($G42-$L42)*10000,""))</f>
        <v/>
      </c>
    </row>
    <row r="43">
      <c r="B43" s="55">
        <f>IF(Expiries!$B23="","",Expiries!$C23)</f>
        <v/>
      </c>
      <c r="C43" s="71">
        <f>IF($B43="","",IFERROR(Accrual!AD$221/Accrual!M$221,""))</f>
        <v/>
      </c>
      <c r="D43" s="63">
        <f>IF($B43="","",IFERROR(Accrual!AD$221*'Index Summary'!$C$6/(1-'Index Summary'!$C$6),""))</f>
        <v/>
      </c>
      <c r="E43" s="59">
        <f>IF($B43="","",SUM($D$36:$D43))</f>
        <v/>
      </c>
      <c r="F43" s="66">
        <f>IF($B43="","",IFERROR(($G20+$E43)/$C$5,""))</f>
        <v/>
      </c>
      <c r="G43" s="66">
        <f>IF($B43="","",IFERROR($F43*365/$D20,""))</f>
        <v/>
      </c>
      <c r="H43" s="71">
        <f>IF($B43="","",IFERROR(Accrual!AD$309/Accrual!M$309,""))</f>
        <v/>
      </c>
      <c r="I43" s="63">
        <f>IF($B43="","",IFERROR(Accrual!AD$309*'Index Summary'!$C$6/(1-'Index Summary'!$C$6),""))</f>
        <v/>
      </c>
      <c r="J43" s="60">
        <f>IF($B43="","",SUM($I$36:$I43))</f>
        <v/>
      </c>
      <c r="K43" s="66">
        <f>IF($B43="","",IFERROR(($M20+$J43)/$C$6,""))</f>
        <v/>
      </c>
      <c r="L43" s="66">
        <f>IF($B43="","",IFERROR($K43*365/($J20-$C$7),""))</f>
        <v/>
      </c>
      <c r="M43" s="68">
        <f>IF($B43="","",IFERROR(($F43-$K43)*10000,""))</f>
        <v/>
      </c>
      <c r="N43" s="68">
        <f>IF($B43="","",IFERROR(($G43-$L43)*10000,""))</f>
        <v/>
      </c>
    </row>
    <row r="44">
      <c r="B44" s="55">
        <f>IF(Expiries!$B24="","",Expiries!$C24)</f>
        <v/>
      </c>
      <c r="C44" s="71">
        <f>IF($B44="","",IFERROR(Accrual!AE$221/Accrual!N$221,""))</f>
        <v/>
      </c>
      <c r="D44" s="63">
        <f>IF($B44="","",IFERROR(Accrual!AE$221*'Index Summary'!$C$6/(1-'Index Summary'!$C$6),""))</f>
        <v/>
      </c>
      <c r="E44" s="59">
        <f>IF($B44="","",SUM($D$36:$D44))</f>
        <v/>
      </c>
      <c r="F44" s="66">
        <f>IF($B44="","",IFERROR(($G21+$E44)/$C$5,""))</f>
        <v/>
      </c>
      <c r="G44" s="66">
        <f>IF($B44="","",IFERROR($F44*365/$D21,""))</f>
        <v/>
      </c>
      <c r="H44" s="71">
        <f>IF($B44="","",IFERROR(Accrual!AE$309/Accrual!N$309,""))</f>
        <v/>
      </c>
      <c r="I44" s="63">
        <f>IF($B44="","",IFERROR(Accrual!AE$309*'Index Summary'!$C$6/(1-'Index Summary'!$C$6),""))</f>
        <v/>
      </c>
      <c r="J44" s="60">
        <f>IF($B44="","",SUM($I$36:$I44))</f>
        <v/>
      </c>
      <c r="K44" s="66">
        <f>IF($B44="","",IFERROR(($M21+$J44)/$C$6,""))</f>
        <v/>
      </c>
      <c r="L44" s="66">
        <f>IF($B44="","",IFERROR($K44*365/($J21-$C$7),""))</f>
        <v/>
      </c>
      <c r="M44" s="68">
        <f>IF($B44="","",IFERROR(($F44-$K44)*10000,""))</f>
        <v/>
      </c>
      <c r="N44" s="68">
        <f>IF($B44="","",IFERROR(($G44-$L44)*10000,""))</f>
        <v/>
      </c>
    </row>
    <row r="45">
      <c r="B45" s="55">
        <f>IF(Expiries!$B25="","",Expiries!$C25)</f>
        <v/>
      </c>
      <c r="C45" s="71">
        <f>IF($B45="","",IFERROR(Accrual!AF$221/Accrual!O$221,""))</f>
        <v/>
      </c>
      <c r="D45" s="63">
        <f>IF($B45="","",IFERROR(Accrual!AF$221*'Index Summary'!$C$6/(1-'Index Summary'!$C$6),""))</f>
        <v/>
      </c>
      <c r="E45" s="59">
        <f>IF($B45="","",SUM($D$36:$D45))</f>
        <v/>
      </c>
      <c r="F45" s="66">
        <f>IF($B45="","",IFERROR(($G22+$E45)/$C$5,""))</f>
        <v/>
      </c>
      <c r="G45" s="66">
        <f>IF($B45="","",IFERROR($F45*365/$D22,""))</f>
        <v/>
      </c>
      <c r="H45" s="71">
        <f>IF($B45="","",IFERROR(Accrual!AF$309/Accrual!O$309,""))</f>
        <v/>
      </c>
      <c r="I45" s="63">
        <f>IF($B45="","",IFERROR(Accrual!AF$309*'Index Summary'!$C$6/(1-'Index Summary'!$C$6),""))</f>
        <v/>
      </c>
      <c r="J45" s="60">
        <f>IF($B45="","",SUM($I$36:$I45))</f>
        <v/>
      </c>
      <c r="K45" s="66">
        <f>IF($B45="","",IFERROR(($M22+$J45)/$C$6,""))</f>
        <v/>
      </c>
      <c r="L45" s="66">
        <f>IF($B45="","",IFERROR($K45*365/($J22-$C$7),""))</f>
        <v/>
      </c>
      <c r="M45" s="68">
        <f>IF($B45="","",IFERROR(($F45-$K45)*10000,""))</f>
        <v/>
      </c>
      <c r="N45" s="68">
        <f>IF($B45="","",IFERROR(($G45-$L45)*10000,""))</f>
        <v/>
      </c>
    </row>
    <row r="46">
      <c r="B46" s="55">
        <f>IF(Expiries!$B26="","",Expiries!$C26)</f>
        <v/>
      </c>
      <c r="C46" s="71">
        <f>IF($B46="","",IFERROR(Accrual!AG$221/Accrual!P$221,""))</f>
        <v/>
      </c>
      <c r="D46" s="63">
        <f>IF($B46="","",IFERROR(Accrual!AG$221*'Index Summary'!$C$6/(1-'Index Summary'!$C$6),""))</f>
        <v/>
      </c>
      <c r="E46" s="59">
        <f>IF($B46="","",SUM($D$36:$D46))</f>
        <v/>
      </c>
      <c r="F46" s="66">
        <f>IF($B46="","",IFERROR(($G23+$E46)/$C$5,""))</f>
        <v/>
      </c>
      <c r="G46" s="66">
        <f>IF($B46="","",IFERROR($F46*365/$D23,""))</f>
        <v/>
      </c>
      <c r="H46" s="71">
        <f>IF($B46="","",IFERROR(Accrual!AG$309/Accrual!P$309,""))</f>
        <v/>
      </c>
      <c r="I46" s="63">
        <f>IF($B46="","",IFERROR(Accrual!AG$309*'Index Summary'!$C$6/(1-'Index Summary'!$C$6),""))</f>
        <v/>
      </c>
      <c r="J46" s="60">
        <f>IF($B46="","",SUM($I$36:$I46))</f>
        <v/>
      </c>
      <c r="K46" s="66">
        <f>IF($B46="","",IFERROR(($M23+$J46)/$C$6,""))</f>
        <v/>
      </c>
      <c r="L46" s="66">
        <f>IF($B46="","",IFERROR($K46*365/($J23-$C$7),""))</f>
        <v/>
      </c>
      <c r="M46" s="68">
        <f>IF($B46="","",IFERROR(($F46-$K46)*10000,""))</f>
        <v/>
      </c>
      <c r="N46" s="68">
        <f>IF($B46="","",IFERROR(($G46-$L46)*10000,""))</f>
        <v/>
      </c>
    </row>
    <row r="47">
      <c r="B47" s="55">
        <f>IF(Expiries!$B27="","",Expiries!$C27)</f>
        <v/>
      </c>
      <c r="C47" s="71">
        <f>IF($B47="","",IFERROR(Accrual!AH$221/Accrual!Q$221,""))</f>
        <v/>
      </c>
      <c r="D47" s="63">
        <f>IF($B47="","",IFERROR(Accrual!AH$221*'Index Summary'!$C$6/(1-'Index Summary'!$C$6),""))</f>
        <v/>
      </c>
      <c r="E47" s="59">
        <f>IF($B47="","",SUM($D$36:$D47))</f>
        <v/>
      </c>
      <c r="F47" s="66">
        <f>IF($B47="","",IFERROR(($G24+$E47)/$C$5,""))</f>
        <v/>
      </c>
      <c r="G47" s="66">
        <f>IF($B47="","",IFERROR($F47*365/$D24,""))</f>
        <v/>
      </c>
      <c r="H47" s="71">
        <f>IF($B47="","",IFERROR(Accrual!AH$309/Accrual!Q$309,""))</f>
        <v/>
      </c>
      <c r="I47" s="63">
        <f>IF($B47="","",IFERROR(Accrual!AH$309*'Index Summary'!$C$6/(1-'Index Summary'!$C$6),""))</f>
        <v/>
      </c>
      <c r="J47" s="60">
        <f>IF($B47="","",SUM($I$36:$I47))</f>
        <v/>
      </c>
      <c r="K47" s="66">
        <f>IF($B47="","",IFERROR(($M24+$J47)/$C$6,""))</f>
        <v/>
      </c>
      <c r="L47" s="66">
        <f>IF($B47="","",IFERROR($K47*365/($J24-$C$7),""))</f>
        <v/>
      </c>
      <c r="M47" s="68">
        <f>IF($B47="","",IFERROR(($F47-$K47)*10000,""))</f>
        <v/>
      </c>
      <c r="N47" s="68">
        <f>IF($B47="","",IFERROR(($G47-$L47)*10000,""))</f>
        <v/>
      </c>
    </row>
    <row r="48">
      <c r="B48" s="55">
        <f>IF(Expiries!$B28="","",Expiries!$C28)</f>
        <v/>
      </c>
      <c r="C48" s="71">
        <f>IF($B48="","",IFERROR(Accrual!AI$221/Accrual!R$221,""))</f>
        <v/>
      </c>
      <c r="D48" s="63">
        <f>IF($B48="","",IFERROR(Accrual!AI$221*'Index Summary'!$C$6/(1-'Index Summary'!$C$6),""))</f>
        <v/>
      </c>
      <c r="E48" s="59">
        <f>IF($B48="","",SUM($D$36:$D48))</f>
        <v/>
      </c>
      <c r="F48" s="66">
        <f>IF($B48="","",IFERROR(($G25+$E48)/$C$5,""))</f>
        <v/>
      </c>
      <c r="G48" s="66">
        <f>IF($B48="","",IFERROR($F48*365/$D25,""))</f>
        <v/>
      </c>
      <c r="H48" s="71">
        <f>IF($B48="","",IFERROR(Accrual!AI$309/Accrual!R$309,""))</f>
        <v/>
      </c>
      <c r="I48" s="63">
        <f>IF($B48="","",IFERROR(Accrual!AI$309*'Index Summary'!$C$6/(1-'Index Summary'!$C$6),""))</f>
        <v/>
      </c>
      <c r="J48" s="60">
        <f>IF($B48="","",SUM($I$36:$I48))</f>
        <v/>
      </c>
      <c r="K48" s="66">
        <f>IF($B48="","",IFERROR(($M25+$J48)/$C$6,""))</f>
        <v/>
      </c>
      <c r="L48" s="66">
        <f>IF($B48="","",IFERROR($K48*365/($J25-$C$7),""))</f>
        <v/>
      </c>
      <c r="M48" s="68">
        <f>IF($B48="","",IFERROR(($F48-$K48)*10000,""))</f>
        <v/>
      </c>
      <c r="N48" s="68">
        <f>IF($B48="","",IFERROR(($G48-$L48)*10000,""))</f>
        <v/>
      </c>
    </row>
    <row r="49">
      <c r="B49" s="55">
        <f>IF(Expiries!$B29="","",Expiries!$C29)</f>
        <v/>
      </c>
      <c r="C49" s="71">
        <f>IF($B49="","",IFERROR(Accrual!AJ$221/Accrual!S$221,""))</f>
        <v/>
      </c>
      <c r="D49" s="63">
        <f>IF($B49="","",IFERROR(Accrual!AJ$221*'Index Summary'!$C$6/(1-'Index Summary'!$C$6),""))</f>
        <v/>
      </c>
      <c r="E49" s="59">
        <f>IF($B49="","",SUM($D$36:$D49))</f>
        <v/>
      </c>
      <c r="F49" s="66">
        <f>IF($B49="","",IFERROR(($G26+$E49)/$C$5,""))</f>
        <v/>
      </c>
      <c r="G49" s="66">
        <f>IF($B49="","",IFERROR($F49*365/$D26,""))</f>
        <v/>
      </c>
      <c r="H49" s="71">
        <f>IF($B49="","",IFERROR(Accrual!AJ$309/Accrual!S$309,""))</f>
        <v/>
      </c>
      <c r="I49" s="63">
        <f>IF($B49="","",IFERROR(Accrual!AJ$309*'Index Summary'!$C$6/(1-'Index Summary'!$C$6),""))</f>
        <v/>
      </c>
      <c r="J49" s="60">
        <f>IF($B49="","",SUM($I$36:$I49))</f>
        <v/>
      </c>
      <c r="K49" s="66">
        <f>IF($B49="","",IFERROR(($M26+$J49)/$C$6,""))</f>
        <v/>
      </c>
      <c r="L49" s="66">
        <f>IF($B49="","",IFERROR($K49*365/($J26-$C$7),""))</f>
        <v/>
      </c>
      <c r="M49" s="68">
        <f>IF($B49="","",IFERROR(($F49-$K49)*10000,""))</f>
        <v/>
      </c>
      <c r="N49" s="68">
        <f>IF($B49="","",IFERROR(($G49-$L49)*10000,""))</f>
        <v/>
      </c>
    </row>
    <row r="50">
      <c r="B50" s="55">
        <f>IF(Expiries!$B30="","",Expiries!$C30)</f>
        <v/>
      </c>
      <c r="C50" s="71">
        <f>IF($B50="","",IFERROR(Accrual!AK$221/Accrual!T$221,""))</f>
        <v/>
      </c>
      <c r="D50" s="63">
        <f>IF($B50="","",IFERROR(Accrual!AK$221*'Index Summary'!$C$6/(1-'Index Summary'!$C$6),""))</f>
        <v/>
      </c>
      <c r="E50" s="59">
        <f>IF($B50="","",SUM($D$36:$D50))</f>
        <v/>
      </c>
      <c r="F50" s="66">
        <f>IF($B50="","",IFERROR(($G27+$E50)/$C$5,""))</f>
        <v/>
      </c>
      <c r="G50" s="66">
        <f>IF($B50="","",IFERROR($F50*365/$D27,""))</f>
        <v/>
      </c>
      <c r="H50" s="71">
        <f>IF($B50="","",IFERROR(Accrual!AK$309/Accrual!T$309,""))</f>
        <v/>
      </c>
      <c r="I50" s="63">
        <f>IF($B50="","",IFERROR(Accrual!AK$309*'Index Summary'!$C$6/(1-'Index Summary'!$C$6),""))</f>
        <v/>
      </c>
      <c r="J50" s="60">
        <f>IF($B50="","",SUM($I$36:$I50))</f>
        <v/>
      </c>
      <c r="K50" s="66">
        <f>IF($B50="","",IFERROR(($M27+$J50)/$C$6,""))</f>
        <v/>
      </c>
      <c r="L50" s="66">
        <f>IF($B50="","",IFERROR($K50*365/($J27-$C$7),""))</f>
        <v/>
      </c>
      <c r="M50" s="68">
        <f>IF($B50="","",IFERROR(($F50-$K50)*10000,""))</f>
        <v/>
      </c>
      <c r="N50" s="68">
        <f>IF($B50="","",IFERROR(($G50-$L50)*10000,""))</f>
        <v/>
      </c>
    </row>
    <row r="51">
      <c r="B51" s="55">
        <f>IF(Expiries!$B31="","",Expiries!$C31)</f>
        <v/>
      </c>
      <c r="C51" s="71">
        <f>IF($B51="","",IFERROR(Accrual!AL$221/Accrual!U$221,""))</f>
        <v/>
      </c>
      <c r="D51" s="63">
        <f>IF($B51="","",IFERROR(Accrual!AL$221*'Index Summary'!$C$6/(1-'Index Summary'!$C$6),""))</f>
        <v/>
      </c>
      <c r="E51" s="59">
        <f>IF($B51="","",SUM($D$36:$D51))</f>
        <v/>
      </c>
      <c r="F51" s="66">
        <f>IF($B51="","",IFERROR(($G28+$E51)/$C$5,""))</f>
        <v/>
      </c>
      <c r="G51" s="66">
        <f>IF($B51="","",IFERROR($F51*365/$D28,""))</f>
        <v/>
      </c>
      <c r="H51" s="71">
        <f>IF($B51="","",IFERROR(Accrual!AL$309/Accrual!U$309,""))</f>
        <v/>
      </c>
      <c r="I51" s="63">
        <f>IF($B51="","",IFERROR(Accrual!AL$309*'Index Summary'!$C$6/(1-'Index Summary'!$C$6),""))</f>
        <v/>
      </c>
      <c r="J51" s="60">
        <f>IF($B51="","",SUM($I$36:$I51))</f>
        <v/>
      </c>
      <c r="K51" s="66">
        <f>IF($B51="","",IFERROR(($M28+$J51)/$C$6,""))</f>
        <v/>
      </c>
      <c r="L51" s="66">
        <f>IF($B51="","",IFERROR($K51*365/($J28-$C$7),""))</f>
        <v/>
      </c>
      <c r="M51" s="68">
        <f>IF($B51="","",IFERROR(($F51-$K51)*10000,""))</f>
        <v/>
      </c>
      <c r="N51" s="68">
        <f>IF($B51="","",IFERROR(($G51-$L51)*10000,""))</f>
        <v/>
      </c>
    </row>
    <row r="52"/>
    <row r="53">
      <c r="B53" s="6" t="inlineStr">
        <is>
          <t>BEFORE YOU TRADE OFF THIS</t>
        </is>
      </c>
    </row>
    <row r="54">
      <c r="B54" s="5" t="inlineStr">
        <is>
          <t>-</t>
        </is>
      </c>
      <c r="C54" s="2" t="inlineStr">
        <is>
          <t>The cash spread (P) prices dividends as cash. The grossed spread (M in the franking view) adds franking credits at full value - the gap between them is what franking is worth per contract to an investor who can use the credits.</t>
        </is>
      </c>
    </row>
    <row r="55">
      <c r="B55" s="5" t="inlineStr">
        <is>
          <t>-</t>
        </is>
      </c>
      <c r="C55" s="2" t="inlineStr">
        <is>
          <t>Futures price dividends as CASH to the marginal holder - compare implied dividends from futures against the cum DPS columns (G / M), and the franking view tells you how much credit value sits on top.</t>
        </is>
      </c>
    </row>
    <row r="56">
      <c r="B56" s="5" t="inlineStr">
        <is>
          <t>-</t>
        </is>
      </c>
      <c r="C56" s="2" t="inlineStr">
        <is>
          <t>Annualized columns divide by days to expiry - the front contract annualizes off a handful of days and will look extreme. The spread in ANNUALIZED terms (Q) is the comparable number across contracts.</t>
        </is>
      </c>
    </row>
    <row r="57">
      <c r="B57" s="5" t="inlineStr">
        <is>
          <t>-</t>
        </is>
      </c>
      <c r="C57" s="2" t="inlineStr">
        <is>
          <t>If Covered? shows CHECK, that contract's dividends are understated - Bloomberg's projections stop early. See the checks on Dvd Calendar row 3.</t>
        </is>
      </c>
    </row>
    <row r="58">
      <c r="B58" s="5" t="inlineStr">
        <is>
          <t>-</t>
        </is>
      </c>
      <c r="C58" s="2" t="inlineStr">
        <is>
          <t>When overrides are ON (row 9), every number on this tab includes your judgment from the Override tab. Flip OFF to see pure Bloomberg.</t>
        </is>
      </c>
    </row>
    <row r="59">
      <c r="B59" s="5" t="inlineStr">
        <is>
          <t>-</t>
        </is>
      </c>
      <c r="C59" s="2" t="inlineStr">
        <is>
          <t>The Futures FV tab turns this into trade form: implied dividends from each traded futures price against these columns, and the franking % the market is paying. Fill the market prices there.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G42"/>
  <sheetViews>
    <sheetView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0" customWidth="1" min="5" max="5"/>
    <col width="10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3" customWidth="1" min="17" max="17"/>
    <col width="13" customWidth="1" min="18" max="18"/>
    <col width="7" customWidth="1" min="19" max="19"/>
    <col width="10" customWidth="1" min="20" max="20"/>
    <col width="10" customWidth="1" min="21" max="21"/>
    <col width="10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3" customWidth="1" min="32" max="32"/>
    <col width="11" customWidth="1" min="33" max="33"/>
  </cols>
  <sheetData>
    <row r="2">
      <c r="B2" s="1" t="inlineStr">
        <is>
          <t>FUTURES FAIR VALUE - AND THE FRANKING CREDIT PRICED IN</t>
        </is>
      </c>
    </row>
    <row r="3">
      <c r="B3" s="2" t="inlineStr">
        <is>
          <t>Fair value = spot x (1 + rate x days/basis) - dividends to expiry. Type the traded futures price per contract: implied dividends = spot + carry - price, and the excess over your CASH dividend forecast, as a share of the franking credits available, is the franking the market is paying for.</t>
        </is>
      </c>
    </row>
    <row r="4">
      <c r="B4" s="5" t="inlineStr">
        <is>
          <t>Overrides</t>
        </is>
      </c>
      <c r="C4" s="61">
        <f>IF(Override!$C$4="ON","ON - "&amp;Override!$E$4&amp;" row(s) live - the dividend columns below include YOUR numbers.","OFF - pure Bloomberg projections.")</f>
        <v/>
      </c>
    </row>
    <row r="6">
      <c r="B6" s="3" t="inlineStr">
        <is>
          <t>INPUTS</t>
        </is>
      </c>
      <c r="C6" s="3" t="inlineStr">
        <is>
          <t>AS51 (SPI, AUD)</t>
        </is>
      </c>
      <c r="D6" s="3" t="inlineStr">
        <is>
          <t>MXAU (USD)</t>
        </is>
      </c>
    </row>
    <row r="7">
      <c r="B7" s="5" t="inlineStr">
        <is>
          <t>Spot - live (from Div by Expiry)</t>
        </is>
      </c>
      <c r="C7" s="122">
        <f>'Div by Expiry'!$C$5</f>
        <v/>
      </c>
      <c r="D7" s="123">
        <f>'Div by Expiry'!$C$6</f>
        <v/>
      </c>
    </row>
    <row r="8">
      <c r="B8" s="5" t="inlineStr">
        <is>
          <t>Spot - override (optional)</t>
        </is>
      </c>
      <c r="C8" s="124" t="n"/>
      <c r="D8" s="77" t="n"/>
      <c r="G8" s="2" t="inlineStr">
        <is>
          <t>Type a spot here to match the moment you marked the futures - basis noise otherwise.</t>
        </is>
      </c>
    </row>
    <row r="9">
      <c r="B9" s="3" t="inlineStr">
        <is>
          <t>SPOT USED</t>
        </is>
      </c>
      <c r="C9" s="68">
        <f>IF(ISNUMBER($C$8),$C$8,$C$7)</f>
        <v/>
      </c>
      <c r="D9" s="125">
        <f>IF(ISNUMBER($D$8),$D$8,$D$7)</f>
        <v/>
      </c>
    </row>
    <row r="10">
      <c r="B10" s="5" t="inlineStr">
        <is>
          <t>Funding rate (% p.a. - type 4.35 for 4.35%)</t>
        </is>
      </c>
      <c r="C10" s="126" t="n">
        <v>4.35</v>
      </c>
      <c r="D10" s="126" t="n">
        <v>4.3</v>
      </c>
      <c r="G10" s="2" t="inlineStr">
        <is>
          <t>AUD money-market rate for SPI, USD for MXAU. One flat rate; use the per-contract table if the curve matters to you - the maths only needs rate x days.</t>
        </is>
      </c>
    </row>
    <row r="11">
      <c r="B11" s="5" t="inlineStr">
        <is>
          <t>Day-count basis</t>
        </is>
      </c>
      <c r="C11" s="50" t="n">
        <v>365</v>
      </c>
      <c r="D11" s="50" t="n">
        <v>360</v>
      </c>
      <c r="G11" s="2" t="inlineStr">
        <is>
          <t>AUD convention ACT/365, USD ACT/360.</t>
        </is>
      </c>
    </row>
    <row r="12">
      <c r="B12" s="5" t="inlineStr">
        <is>
          <t>YOUR franking assumption (% of credits, 0-100)</t>
        </is>
      </c>
      <c r="C12" s="50" t="n">
        <v>50</v>
      </c>
      <c r="D12" s="50" t="n">
        <v>0</v>
      </c>
      <c r="G12" s="2" t="inlineStr">
        <is>
          <t>Drives the 'FV at your %' and 'mispricing' columns only. The offshore marginal investor in MXAU futures cannot use franking - 0 is the natural starting point there.</t>
        </is>
      </c>
    </row>
    <row r="13">
      <c r="B13" s="5" t="inlineStr">
        <is>
          <t>Carry dividends to expiry? (Y/N)</t>
        </is>
      </c>
      <c r="C13" s="76" t="inlineStr">
        <is>
          <t>N</t>
        </is>
      </c>
      <c r="D13" s="58">
        <f>$C$13</f>
        <v/>
      </c>
      <c r="G13" s="2" t="inlineStr">
        <is>
          <t>One toggle for both legs (the MXAU cell mirrors it). Y future-values each period's dividends from the middle of its window to expiry at the funding rate - a few points on the far contracts. N is the plain desk convention.</t>
        </is>
      </c>
    </row>
    <row r="15">
      <c r="B15" s="2" t="inlineStr">
        <is>
          <t>Fill 'Market price' only where a contract actually trades (SPI is quarterly - Mar / Jun / Sep / Dec). Rows without a price still show your fair values.</t>
        </is>
      </c>
    </row>
    <row r="17">
      <c r="E17" s="3" t="inlineStr">
        <is>
          <t>S&amp;P/ASX 200 (AS51 / SPI)</t>
        </is>
      </c>
      <c r="T17" s="3" t="inlineStr">
        <is>
          <t>MSCI AUSTRALIA (MXAU)</t>
        </is>
      </c>
      <c r="AG17" s="3" t="inlineStr">
        <is>
          <t>A vs M</t>
        </is>
      </c>
    </row>
    <row r="18">
      <c r="B18" s="54" t="inlineStr">
        <is>
          <t>Contract</t>
        </is>
      </c>
      <c r="C18" s="54" t="inlineStr">
        <is>
          <t>Expiry</t>
        </is>
      </c>
      <c r="D18" s="54" t="inlineStr">
        <is>
          <t>Days</t>
        </is>
      </c>
      <c r="E18" s="54" t="inlineStr">
        <is>
          <t>Carry
(pts)</t>
        </is>
      </c>
      <c r="F18" s="54" t="inlineStr">
        <is>
          <t>Divs to
expiry (pts)</t>
        </is>
      </c>
      <c r="G18" s="54" t="inlineStr">
        <is>
          <t>Credits to
expiry (pts)</t>
        </is>
      </c>
      <c r="H18" s="54" t="inlineStr">
        <is>
          <t>FV - no
franking</t>
        </is>
      </c>
      <c r="I18" s="54" t="inlineStr">
        <is>
          <t>FV - full
franking</t>
        </is>
      </c>
      <c r="J18" s="54" t="inlineStr">
        <is>
          <t>FV at
YOUR %</t>
        </is>
      </c>
      <c r="K18" s="54" t="inlineStr">
        <is>
          <t>MARKET
price</t>
        </is>
      </c>
      <c r="L18" s="54" t="inlineStr">
        <is>
          <t>Implied divs
(pts)</t>
        </is>
      </c>
      <c r="M18" s="70" t="inlineStr">
        <is>
          <t>Franking
priced (pts)</t>
        </is>
      </c>
      <c r="N18" s="70" t="inlineStr">
        <is>
          <t>FRANKING
PRICED (%)</t>
        </is>
      </c>
      <c r="O18" s="54" t="inlineStr">
        <is>
          <t>Rich(+) / Cheap(-)
vs your % (pts)</t>
        </is>
      </c>
      <c r="P18" s="54" t="inlineStr">
        <is>
          <t>same
(bps)</t>
        </is>
      </c>
      <c r="R18" s="54" t="inlineStr">
        <is>
          <t>Expiry</t>
        </is>
      </c>
      <c r="S18" s="54" t="inlineStr">
        <is>
          <t>Days</t>
        </is>
      </c>
      <c r="T18" s="54" t="inlineStr">
        <is>
          <t>Carry
(pts)</t>
        </is>
      </c>
      <c r="U18" s="54" t="inlineStr">
        <is>
          <t>Divs to
expiry (pts)</t>
        </is>
      </c>
      <c r="V18" s="54" t="inlineStr">
        <is>
          <t>Credits to
expiry (pts)</t>
        </is>
      </c>
      <c r="W18" s="54" t="inlineStr">
        <is>
          <t>FV - no
franking</t>
        </is>
      </c>
      <c r="X18" s="54" t="inlineStr">
        <is>
          <t>FV - full
franking</t>
        </is>
      </c>
      <c r="Y18" s="54" t="inlineStr">
        <is>
          <t>FV at
YOUR %</t>
        </is>
      </c>
      <c r="Z18" s="54" t="inlineStr">
        <is>
          <t>MARKET
price</t>
        </is>
      </c>
      <c r="AA18" s="54" t="inlineStr">
        <is>
          <t>Implied divs
(pts)</t>
        </is>
      </c>
      <c r="AB18" s="70" t="inlineStr">
        <is>
          <t>Franking
priced (pts)</t>
        </is>
      </c>
      <c r="AC18" s="70" t="inlineStr">
        <is>
          <t>FRANKING
PRICED (%)</t>
        </is>
      </c>
      <c r="AD18" s="54" t="inlineStr">
        <is>
          <t>Rich(+) / Cheap(-)
vs your % (pts)</t>
        </is>
      </c>
      <c r="AE18" s="54" t="inlineStr">
        <is>
          <t>same
(bps)</t>
        </is>
      </c>
      <c r="AG18" s="70" t="inlineStr">
        <is>
          <t>Franking %
A - M (pp)</t>
        </is>
      </c>
    </row>
    <row r="19">
      <c r="B19" s="55">
        <f>IF('Div by Expiry'!$B13="","",'Div by Expiry'!$B13)</f>
        <v/>
      </c>
      <c r="C19" s="56">
        <f>IF($B19="","",'Div by Expiry'!$C13)</f>
        <v/>
      </c>
      <c r="D19" s="62">
        <f>IF($B19="","",'Div by Expiry'!$D13)</f>
        <v/>
      </c>
      <c r="E19" s="59">
        <f>IF($B19="","",$C$9*$C$10/100*$D19/$C$11)</f>
        <v/>
      </c>
      <c r="F19" s="59">
        <f>IF($B19="","",IF($C$13="N",'Div by Expiry'!$G13,SUMPRODUCT('Div by Expiry'!$E$13:$E13,1+$C$10/100*($C19-(Expiries!$J$16:$J16+Expiries!$F$16:$F16)/2)/$C$11)))</f>
        <v/>
      </c>
      <c r="G19" s="59">
        <f>IF($B19="","",IF($C$13="N",'Div by Expiry'!$E36,SUMPRODUCT('Div by Expiry'!$D$36:$D36,1+$C$10/100*($C19-(Expiries!$J$16:$J16+Expiries!$F$16:$F16)/2)/$C$11)))</f>
        <v/>
      </c>
      <c r="H19" s="59">
        <f>IF($B19="","",$C$9+$E19-$F19)</f>
        <v/>
      </c>
      <c r="I19" s="59">
        <f>IF($B19="","",$H19-$G19)</f>
        <v/>
      </c>
      <c r="J19" s="65">
        <f>IF($B19="","",$H19-$C$12/100*$G19)</f>
        <v/>
      </c>
      <c r="K19" s="124" t="n"/>
      <c r="L19" s="59">
        <f>IF($B19="","",IF(N($K19)=0,"",$C$9+$E19-$K19))</f>
        <v/>
      </c>
      <c r="M19" s="127">
        <f>IF($L19="","",$L19-$F19)</f>
        <v/>
      </c>
      <c r="N19" s="149">
        <f>IF($L19="","",IF($G19=0,"",$M19/$G19))</f>
        <v/>
      </c>
      <c r="O19" s="127">
        <f>IF($L19="","",$K19-$J19)</f>
        <v/>
      </c>
      <c r="P19" s="129">
        <f>IF($L19="","",$O19/$C$9*10000)</f>
        <v/>
      </c>
      <c r="R19" s="56">
        <f>IF($B19="","",'Div by Expiry'!$J13)</f>
        <v/>
      </c>
      <c r="S19" s="62">
        <f>IF($B19="","",$R19-'Div by Expiry'!$C$7)</f>
        <v/>
      </c>
      <c r="T19" s="60">
        <f>IF($B19="","",$D$9*$D$10/100*$S19/$D$11)</f>
        <v/>
      </c>
      <c r="U19" s="60">
        <f>IF($B19="","",IF($C$13="N",'Div by Expiry'!$M13,SUMPRODUCT('Div by Expiry'!$K$13:$K13,1+$D$10/100*($R19-(Expiries!$K$16:$K16+Expiries!$I$16:$I16)/2)/$D$11)))</f>
        <v/>
      </c>
      <c r="V19" s="60">
        <f>IF($B19="","",IF($C$13="N",'Div by Expiry'!$J36,SUMPRODUCT('Div by Expiry'!$I$36:$I36,1+$D$10/100*($R19-(Expiries!$K$16:$K16+Expiries!$I$16:$I16)/2)/$D$11)))</f>
        <v/>
      </c>
      <c r="W19" s="60">
        <f>IF($B19="","",$D$9+$T19-$U19)</f>
        <v/>
      </c>
      <c r="X19" s="60">
        <f>IF($B19="","",$W19-$V19)</f>
        <v/>
      </c>
      <c r="Y19" s="67">
        <f>IF($B19="","",$W19-$D$12/100*$V19)</f>
        <v/>
      </c>
      <c r="Z19" s="77" t="n"/>
      <c r="AA19" s="60">
        <f>IF($B19="","",IF(N($Z19)=0,"",$D$9+$T19-$Z19))</f>
        <v/>
      </c>
      <c r="AB19" s="130">
        <f>IF($AA19="","",$AA19-$U19)</f>
        <v/>
      </c>
      <c r="AC19" s="149">
        <f>IF($AA19="","",IF($V19=0,"",$AB19/$V19))</f>
        <v/>
      </c>
      <c r="AD19" s="130">
        <f>IF($AA19="","",$Z19-$Y19)</f>
        <v/>
      </c>
      <c r="AE19" s="129">
        <f>IF($AA19="","",$AD19/$D$9*10000)</f>
        <v/>
      </c>
      <c r="AG19" s="131">
        <f>IF($N19="","",IF($AC19="","",($N19-$AC19)*100))</f>
        <v/>
      </c>
    </row>
    <row r="20">
      <c r="B20" s="55">
        <f>IF('Div by Expiry'!$B14="","",'Div by Expiry'!$B14)</f>
        <v/>
      </c>
      <c r="C20" s="56">
        <f>IF($B20="","",'Div by Expiry'!$C14)</f>
        <v/>
      </c>
      <c r="D20" s="62">
        <f>IF($B20="","",'Div by Expiry'!$D14)</f>
        <v/>
      </c>
      <c r="E20" s="59">
        <f>IF($B20="","",$C$9*$C$10/100*$D20/$C$11)</f>
        <v/>
      </c>
      <c r="F20" s="59">
        <f>IF($B20="","",IF($C$13="N",'Div by Expiry'!$G14,SUMPRODUCT('Div by Expiry'!$E$13:$E14,1+$C$10/100*($C20-(Expiries!$J$16:$J17+Expiries!$F$16:$F17)/2)/$C$11)))</f>
        <v/>
      </c>
      <c r="G20" s="59">
        <f>IF($B20="","",IF($C$13="N",'Div by Expiry'!$E37,SUMPRODUCT('Div by Expiry'!$D$36:$D37,1+$C$10/100*($C20-(Expiries!$J$16:$J17+Expiries!$F$16:$F17)/2)/$C$11)))</f>
        <v/>
      </c>
      <c r="H20" s="59">
        <f>IF($B20="","",$C$9+$E20-$F20)</f>
        <v/>
      </c>
      <c r="I20" s="59">
        <f>IF($B20="","",$H20-$G20)</f>
        <v/>
      </c>
      <c r="J20" s="65">
        <f>IF($B20="","",$H20-$C$12/100*$G20)</f>
        <v/>
      </c>
      <c r="K20" s="124" t="n"/>
      <c r="L20" s="59">
        <f>IF($B20="","",IF(N($K20)=0,"",$C$9+$E20-$K20))</f>
        <v/>
      </c>
      <c r="M20" s="127">
        <f>IF($L20="","",$L20-$F20)</f>
        <v/>
      </c>
      <c r="N20" s="149">
        <f>IF($L20="","",IF($G20=0,"",$M20/$G20))</f>
        <v/>
      </c>
      <c r="O20" s="127">
        <f>IF($L20="","",$K20-$J20)</f>
        <v/>
      </c>
      <c r="P20" s="129">
        <f>IF($L20="","",$O20/$C$9*10000)</f>
        <v/>
      </c>
      <c r="R20" s="56">
        <f>IF($B20="","",'Div by Expiry'!$J14)</f>
        <v/>
      </c>
      <c r="S20" s="62">
        <f>IF($B20="","",$R20-'Div by Expiry'!$C$7)</f>
        <v/>
      </c>
      <c r="T20" s="60">
        <f>IF($B20="","",$D$9*$D$10/100*$S20/$D$11)</f>
        <v/>
      </c>
      <c r="U20" s="60">
        <f>IF($B20="","",IF($C$13="N",'Div by Expiry'!$M14,SUMPRODUCT('Div by Expiry'!$K$13:$K14,1+$D$10/100*($R20-(Expiries!$K$16:$K17+Expiries!$I$16:$I17)/2)/$D$11)))</f>
        <v/>
      </c>
      <c r="V20" s="60">
        <f>IF($B20="","",IF($C$13="N",'Div by Expiry'!$J37,SUMPRODUCT('Div by Expiry'!$I$36:$I37,1+$D$10/100*($R20-(Expiries!$K$16:$K17+Expiries!$I$16:$I17)/2)/$D$11)))</f>
        <v/>
      </c>
      <c r="W20" s="60">
        <f>IF($B20="","",$D$9+$T20-$U20)</f>
        <v/>
      </c>
      <c r="X20" s="60">
        <f>IF($B20="","",$W20-$V20)</f>
        <v/>
      </c>
      <c r="Y20" s="67">
        <f>IF($B20="","",$W20-$D$12/100*$V20)</f>
        <v/>
      </c>
      <c r="Z20" s="77" t="n"/>
      <c r="AA20" s="60">
        <f>IF($B20="","",IF(N($Z20)=0,"",$D$9+$T20-$Z20))</f>
        <v/>
      </c>
      <c r="AB20" s="130">
        <f>IF($AA20="","",$AA20-$U20)</f>
        <v/>
      </c>
      <c r="AC20" s="149">
        <f>IF($AA20="","",IF($V20=0,"",$AB20/$V20))</f>
        <v/>
      </c>
      <c r="AD20" s="130">
        <f>IF($AA20="","",$Z20-$Y20)</f>
        <v/>
      </c>
      <c r="AE20" s="129">
        <f>IF($AA20="","",$AD20/$D$9*10000)</f>
        <v/>
      </c>
      <c r="AG20" s="131">
        <f>IF($N20="","",IF($AC20="","",($N20-$AC20)*100))</f>
        <v/>
      </c>
    </row>
    <row r="21">
      <c r="B21" s="55">
        <f>IF('Div by Expiry'!$B15="","",'Div by Expiry'!$B15)</f>
        <v/>
      </c>
      <c r="C21" s="56">
        <f>IF($B21="","",'Div by Expiry'!$C15)</f>
        <v/>
      </c>
      <c r="D21" s="62">
        <f>IF($B21="","",'Div by Expiry'!$D15)</f>
        <v/>
      </c>
      <c r="E21" s="59">
        <f>IF($B21="","",$C$9*$C$10/100*$D21/$C$11)</f>
        <v/>
      </c>
      <c r="F21" s="59">
        <f>IF($B21="","",IF($C$13="N",'Div by Expiry'!$G15,SUMPRODUCT('Div by Expiry'!$E$13:$E15,1+$C$10/100*($C21-(Expiries!$J$16:$J18+Expiries!$F$16:$F18)/2)/$C$11)))</f>
        <v/>
      </c>
      <c r="G21" s="59">
        <f>IF($B21="","",IF($C$13="N",'Div by Expiry'!$E38,SUMPRODUCT('Div by Expiry'!$D$36:$D38,1+$C$10/100*($C21-(Expiries!$J$16:$J18+Expiries!$F$16:$F18)/2)/$C$11)))</f>
        <v/>
      </c>
      <c r="H21" s="59">
        <f>IF($B21="","",$C$9+$E21-$F21)</f>
        <v/>
      </c>
      <c r="I21" s="59">
        <f>IF($B21="","",$H21-$G21)</f>
        <v/>
      </c>
      <c r="J21" s="65">
        <f>IF($B21="","",$H21-$C$12/100*$G21)</f>
        <v/>
      </c>
      <c r="K21" s="124" t="n"/>
      <c r="L21" s="59">
        <f>IF($B21="","",IF(N($K21)=0,"",$C$9+$E21-$K21))</f>
        <v/>
      </c>
      <c r="M21" s="127">
        <f>IF($L21="","",$L21-$F21)</f>
        <v/>
      </c>
      <c r="N21" s="149">
        <f>IF($L21="","",IF($G21=0,"",$M21/$G21))</f>
        <v/>
      </c>
      <c r="O21" s="127">
        <f>IF($L21="","",$K21-$J21)</f>
        <v/>
      </c>
      <c r="P21" s="129">
        <f>IF($L21="","",$O21/$C$9*10000)</f>
        <v/>
      </c>
      <c r="R21" s="56">
        <f>IF($B21="","",'Div by Expiry'!$J15)</f>
        <v/>
      </c>
      <c r="S21" s="62">
        <f>IF($B21="","",$R21-'Div by Expiry'!$C$7)</f>
        <v/>
      </c>
      <c r="T21" s="60">
        <f>IF($B21="","",$D$9*$D$10/100*$S21/$D$11)</f>
        <v/>
      </c>
      <c r="U21" s="60">
        <f>IF($B21="","",IF($C$13="N",'Div by Expiry'!$M15,SUMPRODUCT('Div by Expiry'!$K$13:$K15,1+$D$10/100*($R21-(Expiries!$K$16:$K18+Expiries!$I$16:$I18)/2)/$D$11)))</f>
        <v/>
      </c>
      <c r="V21" s="60">
        <f>IF($B21="","",IF($C$13="N",'Div by Expiry'!$J38,SUMPRODUCT('Div by Expiry'!$I$36:$I38,1+$D$10/100*($R21-(Expiries!$K$16:$K18+Expiries!$I$16:$I18)/2)/$D$11)))</f>
        <v/>
      </c>
      <c r="W21" s="60">
        <f>IF($B21="","",$D$9+$T21-$U21)</f>
        <v/>
      </c>
      <c r="X21" s="60">
        <f>IF($B21="","",$W21-$V21)</f>
        <v/>
      </c>
      <c r="Y21" s="67">
        <f>IF($B21="","",$W21-$D$12/100*$V21)</f>
        <v/>
      </c>
      <c r="Z21" s="77" t="n"/>
      <c r="AA21" s="60">
        <f>IF($B21="","",IF(N($Z21)=0,"",$D$9+$T21-$Z21))</f>
        <v/>
      </c>
      <c r="AB21" s="130">
        <f>IF($AA21="","",$AA21-$U21)</f>
        <v/>
      </c>
      <c r="AC21" s="149">
        <f>IF($AA21="","",IF($V21=0,"",$AB21/$V21))</f>
        <v/>
      </c>
      <c r="AD21" s="130">
        <f>IF($AA21="","",$Z21-$Y21)</f>
        <v/>
      </c>
      <c r="AE21" s="129">
        <f>IF($AA21="","",$AD21/$D$9*10000)</f>
        <v/>
      </c>
      <c r="AG21" s="131">
        <f>IF($N21="","",IF($AC21="","",($N21-$AC21)*100))</f>
        <v/>
      </c>
    </row>
    <row r="22">
      <c r="B22" s="55">
        <f>IF('Div by Expiry'!$B16="","",'Div by Expiry'!$B16)</f>
        <v/>
      </c>
      <c r="C22" s="56">
        <f>IF($B22="","",'Div by Expiry'!$C16)</f>
        <v/>
      </c>
      <c r="D22" s="62">
        <f>IF($B22="","",'Div by Expiry'!$D16)</f>
        <v/>
      </c>
      <c r="E22" s="59">
        <f>IF($B22="","",$C$9*$C$10/100*$D22/$C$11)</f>
        <v/>
      </c>
      <c r="F22" s="59">
        <f>IF($B22="","",IF($C$13="N",'Div by Expiry'!$G16,SUMPRODUCT('Div by Expiry'!$E$13:$E16,1+$C$10/100*($C22-(Expiries!$J$16:$J19+Expiries!$F$16:$F19)/2)/$C$11)))</f>
        <v/>
      </c>
      <c r="G22" s="59">
        <f>IF($B22="","",IF($C$13="N",'Div by Expiry'!$E39,SUMPRODUCT('Div by Expiry'!$D$36:$D39,1+$C$10/100*($C22-(Expiries!$J$16:$J19+Expiries!$F$16:$F19)/2)/$C$11)))</f>
        <v/>
      </c>
      <c r="H22" s="59">
        <f>IF($B22="","",$C$9+$E22-$F22)</f>
        <v/>
      </c>
      <c r="I22" s="59">
        <f>IF($B22="","",$H22-$G22)</f>
        <v/>
      </c>
      <c r="J22" s="65">
        <f>IF($B22="","",$H22-$C$12/100*$G22)</f>
        <v/>
      </c>
      <c r="K22" s="124" t="n"/>
      <c r="L22" s="59">
        <f>IF($B22="","",IF(N($K22)=0,"",$C$9+$E22-$K22))</f>
        <v/>
      </c>
      <c r="M22" s="127">
        <f>IF($L22="","",$L22-$F22)</f>
        <v/>
      </c>
      <c r="N22" s="149">
        <f>IF($L22="","",IF($G22=0,"",$M22/$G22))</f>
        <v/>
      </c>
      <c r="O22" s="127">
        <f>IF($L22="","",$K22-$J22)</f>
        <v/>
      </c>
      <c r="P22" s="129">
        <f>IF($L22="","",$O22/$C$9*10000)</f>
        <v/>
      </c>
      <c r="R22" s="56">
        <f>IF($B22="","",'Div by Expiry'!$J16)</f>
        <v/>
      </c>
      <c r="S22" s="62">
        <f>IF($B22="","",$R22-'Div by Expiry'!$C$7)</f>
        <v/>
      </c>
      <c r="T22" s="60">
        <f>IF($B22="","",$D$9*$D$10/100*$S22/$D$11)</f>
        <v/>
      </c>
      <c r="U22" s="60">
        <f>IF($B22="","",IF($C$13="N",'Div by Expiry'!$M16,SUMPRODUCT('Div by Expiry'!$K$13:$K16,1+$D$10/100*($R22-(Expiries!$K$16:$K19+Expiries!$I$16:$I19)/2)/$D$11)))</f>
        <v/>
      </c>
      <c r="V22" s="60">
        <f>IF($B22="","",IF($C$13="N",'Div by Expiry'!$J39,SUMPRODUCT('Div by Expiry'!$I$36:$I39,1+$D$10/100*($R22-(Expiries!$K$16:$K19+Expiries!$I$16:$I19)/2)/$D$11)))</f>
        <v/>
      </c>
      <c r="W22" s="60">
        <f>IF($B22="","",$D$9+$T22-$U22)</f>
        <v/>
      </c>
      <c r="X22" s="60">
        <f>IF($B22="","",$W22-$V22)</f>
        <v/>
      </c>
      <c r="Y22" s="67">
        <f>IF($B22="","",$W22-$D$12/100*$V22)</f>
        <v/>
      </c>
      <c r="Z22" s="77" t="n"/>
      <c r="AA22" s="60">
        <f>IF($B22="","",IF(N($Z22)=0,"",$D$9+$T22-$Z22))</f>
        <v/>
      </c>
      <c r="AB22" s="130">
        <f>IF($AA22="","",$AA22-$U22)</f>
        <v/>
      </c>
      <c r="AC22" s="149">
        <f>IF($AA22="","",IF($V22=0,"",$AB22/$V22))</f>
        <v/>
      </c>
      <c r="AD22" s="130">
        <f>IF($AA22="","",$Z22-$Y22)</f>
        <v/>
      </c>
      <c r="AE22" s="129">
        <f>IF($AA22="","",$AD22/$D$9*10000)</f>
        <v/>
      </c>
      <c r="AG22" s="131">
        <f>IF($N22="","",IF($AC22="","",($N22-$AC22)*100))</f>
        <v/>
      </c>
    </row>
    <row r="23">
      <c r="B23" s="55">
        <f>IF('Div by Expiry'!$B17="","",'Div by Expiry'!$B17)</f>
        <v/>
      </c>
      <c r="C23" s="56">
        <f>IF($B23="","",'Div by Expiry'!$C17)</f>
        <v/>
      </c>
      <c r="D23" s="62">
        <f>IF($B23="","",'Div by Expiry'!$D17)</f>
        <v/>
      </c>
      <c r="E23" s="59">
        <f>IF($B23="","",$C$9*$C$10/100*$D23/$C$11)</f>
        <v/>
      </c>
      <c r="F23" s="59">
        <f>IF($B23="","",IF($C$13="N",'Div by Expiry'!$G17,SUMPRODUCT('Div by Expiry'!$E$13:$E17,1+$C$10/100*($C23-(Expiries!$J$16:$J20+Expiries!$F$16:$F20)/2)/$C$11)))</f>
        <v/>
      </c>
      <c r="G23" s="59">
        <f>IF($B23="","",IF($C$13="N",'Div by Expiry'!$E40,SUMPRODUCT('Div by Expiry'!$D$36:$D40,1+$C$10/100*($C23-(Expiries!$J$16:$J20+Expiries!$F$16:$F20)/2)/$C$11)))</f>
        <v/>
      </c>
      <c r="H23" s="59">
        <f>IF($B23="","",$C$9+$E23-$F23)</f>
        <v/>
      </c>
      <c r="I23" s="59">
        <f>IF($B23="","",$H23-$G23)</f>
        <v/>
      </c>
      <c r="J23" s="65">
        <f>IF($B23="","",$H23-$C$12/100*$G23)</f>
        <v/>
      </c>
      <c r="K23" s="124" t="n"/>
      <c r="L23" s="59">
        <f>IF($B23="","",IF(N($K23)=0,"",$C$9+$E23-$K23))</f>
        <v/>
      </c>
      <c r="M23" s="127">
        <f>IF($L23="","",$L23-$F23)</f>
        <v/>
      </c>
      <c r="N23" s="149">
        <f>IF($L23="","",IF($G23=0,"",$M23/$G23))</f>
        <v/>
      </c>
      <c r="O23" s="127">
        <f>IF($L23="","",$K23-$J23)</f>
        <v/>
      </c>
      <c r="P23" s="129">
        <f>IF($L23="","",$O23/$C$9*10000)</f>
        <v/>
      </c>
      <c r="R23" s="56">
        <f>IF($B23="","",'Div by Expiry'!$J17)</f>
        <v/>
      </c>
      <c r="S23" s="62">
        <f>IF($B23="","",$R23-'Div by Expiry'!$C$7)</f>
        <v/>
      </c>
      <c r="T23" s="60">
        <f>IF($B23="","",$D$9*$D$10/100*$S23/$D$11)</f>
        <v/>
      </c>
      <c r="U23" s="60">
        <f>IF($B23="","",IF($C$13="N",'Div by Expiry'!$M17,SUMPRODUCT('Div by Expiry'!$K$13:$K17,1+$D$10/100*($R23-(Expiries!$K$16:$K20+Expiries!$I$16:$I20)/2)/$D$11)))</f>
        <v/>
      </c>
      <c r="V23" s="60">
        <f>IF($B23="","",IF($C$13="N",'Div by Expiry'!$J40,SUMPRODUCT('Div by Expiry'!$I$36:$I40,1+$D$10/100*($R23-(Expiries!$K$16:$K20+Expiries!$I$16:$I20)/2)/$D$11)))</f>
        <v/>
      </c>
      <c r="W23" s="60">
        <f>IF($B23="","",$D$9+$T23-$U23)</f>
        <v/>
      </c>
      <c r="X23" s="60">
        <f>IF($B23="","",$W23-$V23)</f>
        <v/>
      </c>
      <c r="Y23" s="67">
        <f>IF($B23="","",$W23-$D$12/100*$V23)</f>
        <v/>
      </c>
      <c r="Z23" s="77" t="n"/>
      <c r="AA23" s="60">
        <f>IF($B23="","",IF(N($Z23)=0,"",$D$9+$T23-$Z23))</f>
        <v/>
      </c>
      <c r="AB23" s="130">
        <f>IF($AA23="","",$AA23-$U23)</f>
        <v/>
      </c>
      <c r="AC23" s="149">
        <f>IF($AA23="","",IF($V23=0,"",$AB23/$V23))</f>
        <v/>
      </c>
      <c r="AD23" s="130">
        <f>IF($AA23="","",$Z23-$Y23)</f>
        <v/>
      </c>
      <c r="AE23" s="129">
        <f>IF($AA23="","",$AD23/$D$9*10000)</f>
        <v/>
      </c>
      <c r="AG23" s="131">
        <f>IF($N23="","",IF($AC23="","",($N23-$AC23)*100))</f>
        <v/>
      </c>
    </row>
    <row r="24">
      <c r="B24" s="55">
        <f>IF('Div by Expiry'!$B18="","",'Div by Expiry'!$B18)</f>
        <v/>
      </c>
      <c r="C24" s="56">
        <f>IF($B24="","",'Div by Expiry'!$C18)</f>
        <v/>
      </c>
      <c r="D24" s="62">
        <f>IF($B24="","",'Div by Expiry'!$D18)</f>
        <v/>
      </c>
      <c r="E24" s="59">
        <f>IF($B24="","",$C$9*$C$10/100*$D24/$C$11)</f>
        <v/>
      </c>
      <c r="F24" s="59">
        <f>IF($B24="","",IF($C$13="N",'Div by Expiry'!$G18,SUMPRODUCT('Div by Expiry'!$E$13:$E18,1+$C$10/100*($C24-(Expiries!$J$16:$J21+Expiries!$F$16:$F21)/2)/$C$11)))</f>
        <v/>
      </c>
      <c r="G24" s="59">
        <f>IF($B24="","",IF($C$13="N",'Div by Expiry'!$E41,SUMPRODUCT('Div by Expiry'!$D$36:$D41,1+$C$10/100*($C24-(Expiries!$J$16:$J21+Expiries!$F$16:$F21)/2)/$C$11)))</f>
        <v/>
      </c>
      <c r="H24" s="59">
        <f>IF($B24="","",$C$9+$E24-$F24)</f>
        <v/>
      </c>
      <c r="I24" s="59">
        <f>IF($B24="","",$H24-$G24)</f>
        <v/>
      </c>
      <c r="J24" s="65">
        <f>IF($B24="","",$H24-$C$12/100*$G24)</f>
        <v/>
      </c>
      <c r="K24" s="124" t="n"/>
      <c r="L24" s="59">
        <f>IF($B24="","",IF(N($K24)=0,"",$C$9+$E24-$K24))</f>
        <v/>
      </c>
      <c r="M24" s="127">
        <f>IF($L24="","",$L24-$F24)</f>
        <v/>
      </c>
      <c r="N24" s="149">
        <f>IF($L24="","",IF($G24=0,"",$M24/$G24))</f>
        <v/>
      </c>
      <c r="O24" s="127">
        <f>IF($L24="","",$K24-$J24)</f>
        <v/>
      </c>
      <c r="P24" s="129">
        <f>IF($L24="","",$O24/$C$9*10000)</f>
        <v/>
      </c>
      <c r="R24" s="56">
        <f>IF($B24="","",'Div by Expiry'!$J18)</f>
        <v/>
      </c>
      <c r="S24" s="62">
        <f>IF($B24="","",$R24-'Div by Expiry'!$C$7)</f>
        <v/>
      </c>
      <c r="T24" s="60">
        <f>IF($B24="","",$D$9*$D$10/100*$S24/$D$11)</f>
        <v/>
      </c>
      <c r="U24" s="60">
        <f>IF($B24="","",IF($C$13="N",'Div by Expiry'!$M18,SUMPRODUCT('Div by Expiry'!$K$13:$K18,1+$D$10/100*($R24-(Expiries!$K$16:$K21+Expiries!$I$16:$I21)/2)/$D$11)))</f>
        <v/>
      </c>
      <c r="V24" s="60">
        <f>IF($B24="","",IF($C$13="N",'Div by Expiry'!$J41,SUMPRODUCT('Div by Expiry'!$I$36:$I41,1+$D$10/100*($R24-(Expiries!$K$16:$K21+Expiries!$I$16:$I21)/2)/$D$11)))</f>
        <v/>
      </c>
      <c r="W24" s="60">
        <f>IF($B24="","",$D$9+$T24-$U24)</f>
        <v/>
      </c>
      <c r="X24" s="60">
        <f>IF($B24="","",$W24-$V24)</f>
        <v/>
      </c>
      <c r="Y24" s="67">
        <f>IF($B24="","",$W24-$D$12/100*$V24)</f>
        <v/>
      </c>
      <c r="Z24" s="77" t="n"/>
      <c r="AA24" s="60">
        <f>IF($B24="","",IF(N($Z24)=0,"",$D$9+$T24-$Z24))</f>
        <v/>
      </c>
      <c r="AB24" s="130">
        <f>IF($AA24="","",$AA24-$U24)</f>
        <v/>
      </c>
      <c r="AC24" s="149">
        <f>IF($AA24="","",IF($V24=0,"",$AB24/$V24))</f>
        <v/>
      </c>
      <c r="AD24" s="130">
        <f>IF($AA24="","",$Z24-$Y24)</f>
        <v/>
      </c>
      <c r="AE24" s="129">
        <f>IF($AA24="","",$AD24/$D$9*10000)</f>
        <v/>
      </c>
      <c r="AG24" s="131">
        <f>IF($N24="","",IF($AC24="","",($N24-$AC24)*100))</f>
        <v/>
      </c>
    </row>
    <row r="25">
      <c r="B25" s="55">
        <f>IF('Div by Expiry'!$B19="","",'Div by Expiry'!$B19)</f>
        <v/>
      </c>
      <c r="C25" s="56">
        <f>IF($B25="","",'Div by Expiry'!$C19)</f>
        <v/>
      </c>
      <c r="D25" s="62">
        <f>IF($B25="","",'Div by Expiry'!$D19)</f>
        <v/>
      </c>
      <c r="E25" s="59">
        <f>IF($B25="","",$C$9*$C$10/100*$D25/$C$11)</f>
        <v/>
      </c>
      <c r="F25" s="59">
        <f>IF($B25="","",IF($C$13="N",'Div by Expiry'!$G19,SUMPRODUCT('Div by Expiry'!$E$13:$E19,1+$C$10/100*($C25-(Expiries!$J$16:$J22+Expiries!$F$16:$F22)/2)/$C$11)))</f>
        <v/>
      </c>
      <c r="G25" s="59">
        <f>IF($B25="","",IF($C$13="N",'Div by Expiry'!$E42,SUMPRODUCT('Div by Expiry'!$D$36:$D42,1+$C$10/100*($C25-(Expiries!$J$16:$J22+Expiries!$F$16:$F22)/2)/$C$11)))</f>
        <v/>
      </c>
      <c r="H25" s="59">
        <f>IF($B25="","",$C$9+$E25-$F25)</f>
        <v/>
      </c>
      <c r="I25" s="59">
        <f>IF($B25="","",$H25-$G25)</f>
        <v/>
      </c>
      <c r="J25" s="65">
        <f>IF($B25="","",$H25-$C$12/100*$G25)</f>
        <v/>
      </c>
      <c r="K25" s="124" t="n"/>
      <c r="L25" s="59">
        <f>IF($B25="","",IF(N($K25)=0,"",$C$9+$E25-$K25))</f>
        <v/>
      </c>
      <c r="M25" s="127">
        <f>IF($L25="","",$L25-$F25)</f>
        <v/>
      </c>
      <c r="N25" s="149">
        <f>IF($L25="","",IF($G25=0,"",$M25/$G25))</f>
        <v/>
      </c>
      <c r="O25" s="127">
        <f>IF($L25="","",$K25-$J25)</f>
        <v/>
      </c>
      <c r="P25" s="129">
        <f>IF($L25="","",$O25/$C$9*10000)</f>
        <v/>
      </c>
      <c r="R25" s="56">
        <f>IF($B25="","",'Div by Expiry'!$J19)</f>
        <v/>
      </c>
      <c r="S25" s="62">
        <f>IF($B25="","",$R25-'Div by Expiry'!$C$7)</f>
        <v/>
      </c>
      <c r="T25" s="60">
        <f>IF($B25="","",$D$9*$D$10/100*$S25/$D$11)</f>
        <v/>
      </c>
      <c r="U25" s="60">
        <f>IF($B25="","",IF($C$13="N",'Div by Expiry'!$M19,SUMPRODUCT('Div by Expiry'!$K$13:$K19,1+$D$10/100*($R25-(Expiries!$K$16:$K22+Expiries!$I$16:$I22)/2)/$D$11)))</f>
        <v/>
      </c>
      <c r="V25" s="60">
        <f>IF($B25="","",IF($C$13="N",'Div by Expiry'!$J42,SUMPRODUCT('Div by Expiry'!$I$36:$I42,1+$D$10/100*($R25-(Expiries!$K$16:$K22+Expiries!$I$16:$I22)/2)/$D$11)))</f>
        <v/>
      </c>
      <c r="W25" s="60">
        <f>IF($B25="","",$D$9+$T25-$U25)</f>
        <v/>
      </c>
      <c r="X25" s="60">
        <f>IF($B25="","",$W25-$V25)</f>
        <v/>
      </c>
      <c r="Y25" s="67">
        <f>IF($B25="","",$W25-$D$12/100*$V25)</f>
        <v/>
      </c>
      <c r="Z25" s="77" t="n"/>
      <c r="AA25" s="60">
        <f>IF($B25="","",IF(N($Z25)=0,"",$D$9+$T25-$Z25))</f>
        <v/>
      </c>
      <c r="AB25" s="130">
        <f>IF($AA25="","",$AA25-$U25)</f>
        <v/>
      </c>
      <c r="AC25" s="149">
        <f>IF($AA25="","",IF($V25=0,"",$AB25/$V25))</f>
        <v/>
      </c>
      <c r="AD25" s="130">
        <f>IF($AA25="","",$Z25-$Y25)</f>
        <v/>
      </c>
      <c r="AE25" s="129">
        <f>IF($AA25="","",$AD25/$D$9*10000)</f>
        <v/>
      </c>
      <c r="AG25" s="131">
        <f>IF($N25="","",IF($AC25="","",($N25-$AC25)*100))</f>
        <v/>
      </c>
    </row>
    <row r="26">
      <c r="B26" s="55">
        <f>IF('Div by Expiry'!$B20="","",'Div by Expiry'!$B20)</f>
        <v/>
      </c>
      <c r="C26" s="56">
        <f>IF($B26="","",'Div by Expiry'!$C20)</f>
        <v/>
      </c>
      <c r="D26" s="62">
        <f>IF($B26="","",'Div by Expiry'!$D20)</f>
        <v/>
      </c>
      <c r="E26" s="59">
        <f>IF($B26="","",$C$9*$C$10/100*$D26/$C$11)</f>
        <v/>
      </c>
      <c r="F26" s="59">
        <f>IF($B26="","",IF($C$13="N",'Div by Expiry'!$G20,SUMPRODUCT('Div by Expiry'!$E$13:$E20,1+$C$10/100*($C26-(Expiries!$J$16:$J23+Expiries!$F$16:$F23)/2)/$C$11)))</f>
        <v/>
      </c>
      <c r="G26" s="59">
        <f>IF($B26="","",IF($C$13="N",'Div by Expiry'!$E43,SUMPRODUCT('Div by Expiry'!$D$36:$D43,1+$C$10/100*($C26-(Expiries!$J$16:$J23+Expiries!$F$16:$F23)/2)/$C$11)))</f>
        <v/>
      </c>
      <c r="H26" s="59">
        <f>IF($B26="","",$C$9+$E26-$F26)</f>
        <v/>
      </c>
      <c r="I26" s="59">
        <f>IF($B26="","",$H26-$G26)</f>
        <v/>
      </c>
      <c r="J26" s="65">
        <f>IF($B26="","",$H26-$C$12/100*$G26)</f>
        <v/>
      </c>
      <c r="K26" s="124" t="n"/>
      <c r="L26" s="59">
        <f>IF($B26="","",IF(N($K26)=0,"",$C$9+$E26-$K26))</f>
        <v/>
      </c>
      <c r="M26" s="127">
        <f>IF($L26="","",$L26-$F26)</f>
        <v/>
      </c>
      <c r="N26" s="149">
        <f>IF($L26="","",IF($G26=0,"",$M26/$G26))</f>
        <v/>
      </c>
      <c r="O26" s="127">
        <f>IF($L26="","",$K26-$J26)</f>
        <v/>
      </c>
      <c r="P26" s="129">
        <f>IF($L26="","",$O26/$C$9*10000)</f>
        <v/>
      </c>
      <c r="R26" s="56">
        <f>IF($B26="","",'Div by Expiry'!$J20)</f>
        <v/>
      </c>
      <c r="S26" s="62">
        <f>IF($B26="","",$R26-'Div by Expiry'!$C$7)</f>
        <v/>
      </c>
      <c r="T26" s="60">
        <f>IF($B26="","",$D$9*$D$10/100*$S26/$D$11)</f>
        <v/>
      </c>
      <c r="U26" s="60">
        <f>IF($B26="","",IF($C$13="N",'Div by Expiry'!$M20,SUMPRODUCT('Div by Expiry'!$K$13:$K20,1+$D$10/100*($R26-(Expiries!$K$16:$K23+Expiries!$I$16:$I23)/2)/$D$11)))</f>
        <v/>
      </c>
      <c r="V26" s="60">
        <f>IF($B26="","",IF($C$13="N",'Div by Expiry'!$J43,SUMPRODUCT('Div by Expiry'!$I$36:$I43,1+$D$10/100*($R26-(Expiries!$K$16:$K23+Expiries!$I$16:$I23)/2)/$D$11)))</f>
        <v/>
      </c>
      <c r="W26" s="60">
        <f>IF($B26="","",$D$9+$T26-$U26)</f>
        <v/>
      </c>
      <c r="X26" s="60">
        <f>IF($B26="","",$W26-$V26)</f>
        <v/>
      </c>
      <c r="Y26" s="67">
        <f>IF($B26="","",$W26-$D$12/100*$V26)</f>
        <v/>
      </c>
      <c r="Z26" s="77" t="n"/>
      <c r="AA26" s="60">
        <f>IF($B26="","",IF(N($Z26)=0,"",$D$9+$T26-$Z26))</f>
        <v/>
      </c>
      <c r="AB26" s="130">
        <f>IF($AA26="","",$AA26-$U26)</f>
        <v/>
      </c>
      <c r="AC26" s="149">
        <f>IF($AA26="","",IF($V26=0,"",$AB26/$V26))</f>
        <v/>
      </c>
      <c r="AD26" s="130">
        <f>IF($AA26="","",$Z26-$Y26)</f>
        <v/>
      </c>
      <c r="AE26" s="129">
        <f>IF($AA26="","",$AD26/$D$9*10000)</f>
        <v/>
      </c>
      <c r="AG26" s="131">
        <f>IF($N26="","",IF($AC26="","",($N26-$AC26)*100))</f>
        <v/>
      </c>
    </row>
    <row r="27">
      <c r="B27" s="55">
        <f>IF('Div by Expiry'!$B21="","",'Div by Expiry'!$B21)</f>
        <v/>
      </c>
      <c r="C27" s="56">
        <f>IF($B27="","",'Div by Expiry'!$C21)</f>
        <v/>
      </c>
      <c r="D27" s="62">
        <f>IF($B27="","",'Div by Expiry'!$D21)</f>
        <v/>
      </c>
      <c r="E27" s="59">
        <f>IF($B27="","",$C$9*$C$10/100*$D27/$C$11)</f>
        <v/>
      </c>
      <c r="F27" s="59">
        <f>IF($B27="","",IF($C$13="N",'Div by Expiry'!$G21,SUMPRODUCT('Div by Expiry'!$E$13:$E21,1+$C$10/100*($C27-(Expiries!$J$16:$J24+Expiries!$F$16:$F24)/2)/$C$11)))</f>
        <v/>
      </c>
      <c r="G27" s="59">
        <f>IF($B27="","",IF($C$13="N",'Div by Expiry'!$E44,SUMPRODUCT('Div by Expiry'!$D$36:$D44,1+$C$10/100*($C27-(Expiries!$J$16:$J24+Expiries!$F$16:$F24)/2)/$C$11)))</f>
        <v/>
      </c>
      <c r="H27" s="59">
        <f>IF($B27="","",$C$9+$E27-$F27)</f>
        <v/>
      </c>
      <c r="I27" s="59">
        <f>IF($B27="","",$H27-$G27)</f>
        <v/>
      </c>
      <c r="J27" s="65">
        <f>IF($B27="","",$H27-$C$12/100*$G27)</f>
        <v/>
      </c>
      <c r="K27" s="124" t="n"/>
      <c r="L27" s="59">
        <f>IF($B27="","",IF(N($K27)=0,"",$C$9+$E27-$K27))</f>
        <v/>
      </c>
      <c r="M27" s="127">
        <f>IF($L27="","",$L27-$F27)</f>
        <v/>
      </c>
      <c r="N27" s="149">
        <f>IF($L27="","",IF($G27=0,"",$M27/$G27))</f>
        <v/>
      </c>
      <c r="O27" s="127">
        <f>IF($L27="","",$K27-$J27)</f>
        <v/>
      </c>
      <c r="P27" s="129">
        <f>IF($L27="","",$O27/$C$9*10000)</f>
        <v/>
      </c>
      <c r="R27" s="56">
        <f>IF($B27="","",'Div by Expiry'!$J21)</f>
        <v/>
      </c>
      <c r="S27" s="62">
        <f>IF($B27="","",$R27-'Div by Expiry'!$C$7)</f>
        <v/>
      </c>
      <c r="T27" s="60">
        <f>IF($B27="","",$D$9*$D$10/100*$S27/$D$11)</f>
        <v/>
      </c>
      <c r="U27" s="60">
        <f>IF($B27="","",IF($C$13="N",'Div by Expiry'!$M21,SUMPRODUCT('Div by Expiry'!$K$13:$K21,1+$D$10/100*($R27-(Expiries!$K$16:$K24+Expiries!$I$16:$I24)/2)/$D$11)))</f>
        <v/>
      </c>
      <c r="V27" s="60">
        <f>IF($B27="","",IF($C$13="N",'Div by Expiry'!$J44,SUMPRODUCT('Div by Expiry'!$I$36:$I44,1+$D$10/100*($R27-(Expiries!$K$16:$K24+Expiries!$I$16:$I24)/2)/$D$11)))</f>
        <v/>
      </c>
      <c r="W27" s="60">
        <f>IF($B27="","",$D$9+$T27-$U27)</f>
        <v/>
      </c>
      <c r="X27" s="60">
        <f>IF($B27="","",$W27-$V27)</f>
        <v/>
      </c>
      <c r="Y27" s="67">
        <f>IF($B27="","",$W27-$D$12/100*$V27)</f>
        <v/>
      </c>
      <c r="Z27" s="77" t="n"/>
      <c r="AA27" s="60">
        <f>IF($B27="","",IF(N($Z27)=0,"",$D$9+$T27-$Z27))</f>
        <v/>
      </c>
      <c r="AB27" s="130">
        <f>IF($AA27="","",$AA27-$U27)</f>
        <v/>
      </c>
      <c r="AC27" s="149">
        <f>IF($AA27="","",IF($V27=0,"",$AB27/$V27))</f>
        <v/>
      </c>
      <c r="AD27" s="130">
        <f>IF($AA27="","",$Z27-$Y27)</f>
        <v/>
      </c>
      <c r="AE27" s="129">
        <f>IF($AA27="","",$AD27/$D$9*10000)</f>
        <v/>
      </c>
      <c r="AG27" s="131">
        <f>IF($N27="","",IF($AC27="","",($N27-$AC27)*100))</f>
        <v/>
      </c>
    </row>
    <row r="28">
      <c r="B28" s="55">
        <f>IF('Div by Expiry'!$B22="","",'Div by Expiry'!$B22)</f>
        <v/>
      </c>
      <c r="C28" s="56">
        <f>IF($B28="","",'Div by Expiry'!$C22)</f>
        <v/>
      </c>
      <c r="D28" s="62">
        <f>IF($B28="","",'Div by Expiry'!$D22)</f>
        <v/>
      </c>
      <c r="E28" s="59">
        <f>IF($B28="","",$C$9*$C$10/100*$D28/$C$11)</f>
        <v/>
      </c>
      <c r="F28" s="59">
        <f>IF($B28="","",IF($C$13="N",'Div by Expiry'!$G22,SUMPRODUCT('Div by Expiry'!$E$13:$E22,1+$C$10/100*($C28-(Expiries!$J$16:$J25+Expiries!$F$16:$F25)/2)/$C$11)))</f>
        <v/>
      </c>
      <c r="G28" s="59">
        <f>IF($B28="","",IF($C$13="N",'Div by Expiry'!$E45,SUMPRODUCT('Div by Expiry'!$D$36:$D45,1+$C$10/100*($C28-(Expiries!$J$16:$J25+Expiries!$F$16:$F25)/2)/$C$11)))</f>
        <v/>
      </c>
      <c r="H28" s="59">
        <f>IF($B28="","",$C$9+$E28-$F28)</f>
        <v/>
      </c>
      <c r="I28" s="59">
        <f>IF($B28="","",$H28-$G28)</f>
        <v/>
      </c>
      <c r="J28" s="65">
        <f>IF($B28="","",$H28-$C$12/100*$G28)</f>
        <v/>
      </c>
      <c r="K28" s="124" t="n"/>
      <c r="L28" s="59">
        <f>IF($B28="","",IF(N($K28)=0,"",$C$9+$E28-$K28))</f>
        <v/>
      </c>
      <c r="M28" s="127">
        <f>IF($L28="","",$L28-$F28)</f>
        <v/>
      </c>
      <c r="N28" s="149">
        <f>IF($L28="","",IF($G28=0,"",$M28/$G28))</f>
        <v/>
      </c>
      <c r="O28" s="127">
        <f>IF($L28="","",$K28-$J28)</f>
        <v/>
      </c>
      <c r="P28" s="129">
        <f>IF($L28="","",$O28/$C$9*10000)</f>
        <v/>
      </c>
      <c r="R28" s="56">
        <f>IF($B28="","",'Div by Expiry'!$J22)</f>
        <v/>
      </c>
      <c r="S28" s="62">
        <f>IF($B28="","",$R28-'Div by Expiry'!$C$7)</f>
        <v/>
      </c>
      <c r="T28" s="60">
        <f>IF($B28="","",$D$9*$D$10/100*$S28/$D$11)</f>
        <v/>
      </c>
      <c r="U28" s="60">
        <f>IF($B28="","",IF($C$13="N",'Div by Expiry'!$M22,SUMPRODUCT('Div by Expiry'!$K$13:$K22,1+$D$10/100*($R28-(Expiries!$K$16:$K25+Expiries!$I$16:$I25)/2)/$D$11)))</f>
        <v/>
      </c>
      <c r="V28" s="60">
        <f>IF($B28="","",IF($C$13="N",'Div by Expiry'!$J45,SUMPRODUCT('Div by Expiry'!$I$36:$I45,1+$D$10/100*($R28-(Expiries!$K$16:$K25+Expiries!$I$16:$I25)/2)/$D$11)))</f>
        <v/>
      </c>
      <c r="W28" s="60">
        <f>IF($B28="","",$D$9+$T28-$U28)</f>
        <v/>
      </c>
      <c r="X28" s="60">
        <f>IF($B28="","",$W28-$V28)</f>
        <v/>
      </c>
      <c r="Y28" s="67">
        <f>IF($B28="","",$W28-$D$12/100*$V28)</f>
        <v/>
      </c>
      <c r="Z28" s="77" t="n"/>
      <c r="AA28" s="60">
        <f>IF($B28="","",IF(N($Z28)=0,"",$D$9+$T28-$Z28))</f>
        <v/>
      </c>
      <c r="AB28" s="130">
        <f>IF($AA28="","",$AA28-$U28)</f>
        <v/>
      </c>
      <c r="AC28" s="149">
        <f>IF($AA28="","",IF($V28=0,"",$AB28/$V28))</f>
        <v/>
      </c>
      <c r="AD28" s="130">
        <f>IF($AA28="","",$Z28-$Y28)</f>
        <v/>
      </c>
      <c r="AE28" s="129">
        <f>IF($AA28="","",$AD28/$D$9*10000)</f>
        <v/>
      </c>
      <c r="AG28" s="131">
        <f>IF($N28="","",IF($AC28="","",($N28-$AC28)*100))</f>
        <v/>
      </c>
    </row>
    <row r="29">
      <c r="B29" s="55">
        <f>IF('Div by Expiry'!$B23="","",'Div by Expiry'!$B23)</f>
        <v/>
      </c>
      <c r="C29" s="56">
        <f>IF($B29="","",'Div by Expiry'!$C23)</f>
        <v/>
      </c>
      <c r="D29" s="62">
        <f>IF($B29="","",'Div by Expiry'!$D23)</f>
        <v/>
      </c>
      <c r="E29" s="59">
        <f>IF($B29="","",$C$9*$C$10/100*$D29/$C$11)</f>
        <v/>
      </c>
      <c r="F29" s="59">
        <f>IF($B29="","",IF($C$13="N",'Div by Expiry'!$G23,SUMPRODUCT('Div by Expiry'!$E$13:$E23,1+$C$10/100*($C29-(Expiries!$J$16:$J26+Expiries!$F$16:$F26)/2)/$C$11)))</f>
        <v/>
      </c>
      <c r="G29" s="59">
        <f>IF($B29="","",IF($C$13="N",'Div by Expiry'!$E46,SUMPRODUCT('Div by Expiry'!$D$36:$D46,1+$C$10/100*($C29-(Expiries!$J$16:$J26+Expiries!$F$16:$F26)/2)/$C$11)))</f>
        <v/>
      </c>
      <c r="H29" s="59">
        <f>IF($B29="","",$C$9+$E29-$F29)</f>
        <v/>
      </c>
      <c r="I29" s="59">
        <f>IF($B29="","",$H29-$G29)</f>
        <v/>
      </c>
      <c r="J29" s="65">
        <f>IF($B29="","",$H29-$C$12/100*$G29)</f>
        <v/>
      </c>
      <c r="K29" s="124" t="n"/>
      <c r="L29" s="59">
        <f>IF($B29="","",IF(N($K29)=0,"",$C$9+$E29-$K29))</f>
        <v/>
      </c>
      <c r="M29" s="127">
        <f>IF($L29="","",$L29-$F29)</f>
        <v/>
      </c>
      <c r="N29" s="149">
        <f>IF($L29="","",IF($G29=0,"",$M29/$G29))</f>
        <v/>
      </c>
      <c r="O29" s="127">
        <f>IF($L29="","",$K29-$J29)</f>
        <v/>
      </c>
      <c r="P29" s="129">
        <f>IF($L29="","",$O29/$C$9*10000)</f>
        <v/>
      </c>
      <c r="R29" s="56">
        <f>IF($B29="","",'Div by Expiry'!$J23)</f>
        <v/>
      </c>
      <c r="S29" s="62">
        <f>IF($B29="","",$R29-'Div by Expiry'!$C$7)</f>
        <v/>
      </c>
      <c r="T29" s="60">
        <f>IF($B29="","",$D$9*$D$10/100*$S29/$D$11)</f>
        <v/>
      </c>
      <c r="U29" s="60">
        <f>IF($B29="","",IF($C$13="N",'Div by Expiry'!$M23,SUMPRODUCT('Div by Expiry'!$K$13:$K23,1+$D$10/100*($R29-(Expiries!$K$16:$K26+Expiries!$I$16:$I26)/2)/$D$11)))</f>
        <v/>
      </c>
      <c r="V29" s="60">
        <f>IF($B29="","",IF($C$13="N",'Div by Expiry'!$J46,SUMPRODUCT('Div by Expiry'!$I$36:$I46,1+$D$10/100*($R29-(Expiries!$K$16:$K26+Expiries!$I$16:$I26)/2)/$D$11)))</f>
        <v/>
      </c>
      <c r="W29" s="60">
        <f>IF($B29="","",$D$9+$T29-$U29)</f>
        <v/>
      </c>
      <c r="X29" s="60">
        <f>IF($B29="","",$W29-$V29)</f>
        <v/>
      </c>
      <c r="Y29" s="67">
        <f>IF($B29="","",$W29-$D$12/100*$V29)</f>
        <v/>
      </c>
      <c r="Z29" s="77" t="n"/>
      <c r="AA29" s="60">
        <f>IF($B29="","",IF(N($Z29)=0,"",$D$9+$T29-$Z29))</f>
        <v/>
      </c>
      <c r="AB29" s="130">
        <f>IF($AA29="","",$AA29-$U29)</f>
        <v/>
      </c>
      <c r="AC29" s="149">
        <f>IF($AA29="","",IF($V29=0,"",$AB29/$V29))</f>
        <v/>
      </c>
      <c r="AD29" s="130">
        <f>IF($AA29="","",$Z29-$Y29)</f>
        <v/>
      </c>
      <c r="AE29" s="129">
        <f>IF($AA29="","",$AD29/$D$9*10000)</f>
        <v/>
      </c>
      <c r="AG29" s="131">
        <f>IF($N29="","",IF($AC29="","",($N29-$AC29)*100))</f>
        <v/>
      </c>
    </row>
    <row r="30">
      <c r="B30" s="55">
        <f>IF('Div by Expiry'!$B24="","",'Div by Expiry'!$B24)</f>
        <v/>
      </c>
      <c r="C30" s="56">
        <f>IF($B30="","",'Div by Expiry'!$C24)</f>
        <v/>
      </c>
      <c r="D30" s="62">
        <f>IF($B30="","",'Div by Expiry'!$D24)</f>
        <v/>
      </c>
      <c r="E30" s="59">
        <f>IF($B30="","",$C$9*$C$10/100*$D30/$C$11)</f>
        <v/>
      </c>
      <c r="F30" s="59">
        <f>IF($B30="","",IF($C$13="N",'Div by Expiry'!$G24,SUMPRODUCT('Div by Expiry'!$E$13:$E24,1+$C$10/100*($C30-(Expiries!$J$16:$J27+Expiries!$F$16:$F27)/2)/$C$11)))</f>
        <v/>
      </c>
      <c r="G30" s="59">
        <f>IF($B30="","",IF($C$13="N",'Div by Expiry'!$E47,SUMPRODUCT('Div by Expiry'!$D$36:$D47,1+$C$10/100*($C30-(Expiries!$J$16:$J27+Expiries!$F$16:$F27)/2)/$C$11)))</f>
        <v/>
      </c>
      <c r="H30" s="59">
        <f>IF($B30="","",$C$9+$E30-$F30)</f>
        <v/>
      </c>
      <c r="I30" s="59">
        <f>IF($B30="","",$H30-$G30)</f>
        <v/>
      </c>
      <c r="J30" s="65">
        <f>IF($B30="","",$H30-$C$12/100*$G30)</f>
        <v/>
      </c>
      <c r="K30" s="124" t="n"/>
      <c r="L30" s="59">
        <f>IF($B30="","",IF(N($K30)=0,"",$C$9+$E30-$K30))</f>
        <v/>
      </c>
      <c r="M30" s="127">
        <f>IF($L30="","",$L30-$F30)</f>
        <v/>
      </c>
      <c r="N30" s="149">
        <f>IF($L30="","",IF($G30=0,"",$M30/$G30))</f>
        <v/>
      </c>
      <c r="O30" s="127">
        <f>IF($L30="","",$K30-$J30)</f>
        <v/>
      </c>
      <c r="P30" s="129">
        <f>IF($L30="","",$O30/$C$9*10000)</f>
        <v/>
      </c>
      <c r="R30" s="56">
        <f>IF($B30="","",'Div by Expiry'!$J24)</f>
        <v/>
      </c>
      <c r="S30" s="62">
        <f>IF($B30="","",$R30-'Div by Expiry'!$C$7)</f>
        <v/>
      </c>
      <c r="T30" s="60">
        <f>IF($B30="","",$D$9*$D$10/100*$S30/$D$11)</f>
        <v/>
      </c>
      <c r="U30" s="60">
        <f>IF($B30="","",IF($C$13="N",'Div by Expiry'!$M24,SUMPRODUCT('Div by Expiry'!$K$13:$K24,1+$D$10/100*($R30-(Expiries!$K$16:$K27+Expiries!$I$16:$I27)/2)/$D$11)))</f>
        <v/>
      </c>
      <c r="V30" s="60">
        <f>IF($B30="","",IF($C$13="N",'Div by Expiry'!$J47,SUMPRODUCT('Div by Expiry'!$I$36:$I47,1+$D$10/100*($R30-(Expiries!$K$16:$K27+Expiries!$I$16:$I27)/2)/$D$11)))</f>
        <v/>
      </c>
      <c r="W30" s="60">
        <f>IF($B30="","",$D$9+$T30-$U30)</f>
        <v/>
      </c>
      <c r="X30" s="60">
        <f>IF($B30="","",$W30-$V30)</f>
        <v/>
      </c>
      <c r="Y30" s="67">
        <f>IF($B30="","",$W30-$D$12/100*$V30)</f>
        <v/>
      </c>
      <c r="Z30" s="77" t="n"/>
      <c r="AA30" s="60">
        <f>IF($B30="","",IF(N($Z30)=0,"",$D$9+$T30-$Z30))</f>
        <v/>
      </c>
      <c r="AB30" s="130">
        <f>IF($AA30="","",$AA30-$U30)</f>
        <v/>
      </c>
      <c r="AC30" s="149">
        <f>IF($AA30="","",IF($V30=0,"",$AB30/$V30))</f>
        <v/>
      </c>
      <c r="AD30" s="130">
        <f>IF($AA30="","",$Z30-$Y30)</f>
        <v/>
      </c>
      <c r="AE30" s="129">
        <f>IF($AA30="","",$AD30/$D$9*10000)</f>
        <v/>
      </c>
      <c r="AG30" s="131">
        <f>IF($N30="","",IF($AC30="","",($N30-$AC30)*100))</f>
        <v/>
      </c>
    </row>
    <row r="31">
      <c r="B31" s="55">
        <f>IF('Div by Expiry'!$B25="","",'Div by Expiry'!$B25)</f>
        <v/>
      </c>
      <c r="C31" s="56">
        <f>IF($B31="","",'Div by Expiry'!$C25)</f>
        <v/>
      </c>
      <c r="D31" s="62">
        <f>IF($B31="","",'Div by Expiry'!$D25)</f>
        <v/>
      </c>
      <c r="E31" s="59">
        <f>IF($B31="","",$C$9*$C$10/100*$D31/$C$11)</f>
        <v/>
      </c>
      <c r="F31" s="59">
        <f>IF($B31="","",IF($C$13="N",'Div by Expiry'!$G25,SUMPRODUCT('Div by Expiry'!$E$13:$E25,1+$C$10/100*($C31-(Expiries!$J$16:$J28+Expiries!$F$16:$F28)/2)/$C$11)))</f>
        <v/>
      </c>
      <c r="G31" s="59">
        <f>IF($B31="","",IF($C$13="N",'Div by Expiry'!$E48,SUMPRODUCT('Div by Expiry'!$D$36:$D48,1+$C$10/100*($C31-(Expiries!$J$16:$J28+Expiries!$F$16:$F28)/2)/$C$11)))</f>
        <v/>
      </c>
      <c r="H31" s="59">
        <f>IF($B31="","",$C$9+$E31-$F31)</f>
        <v/>
      </c>
      <c r="I31" s="59">
        <f>IF($B31="","",$H31-$G31)</f>
        <v/>
      </c>
      <c r="J31" s="65">
        <f>IF($B31="","",$H31-$C$12/100*$G31)</f>
        <v/>
      </c>
      <c r="K31" s="124" t="n"/>
      <c r="L31" s="59">
        <f>IF($B31="","",IF(N($K31)=0,"",$C$9+$E31-$K31))</f>
        <v/>
      </c>
      <c r="M31" s="127">
        <f>IF($L31="","",$L31-$F31)</f>
        <v/>
      </c>
      <c r="N31" s="149">
        <f>IF($L31="","",IF($G31=0,"",$M31/$G31))</f>
        <v/>
      </c>
      <c r="O31" s="127">
        <f>IF($L31="","",$K31-$J31)</f>
        <v/>
      </c>
      <c r="P31" s="129">
        <f>IF($L31="","",$O31/$C$9*10000)</f>
        <v/>
      </c>
      <c r="R31" s="56">
        <f>IF($B31="","",'Div by Expiry'!$J25)</f>
        <v/>
      </c>
      <c r="S31" s="62">
        <f>IF($B31="","",$R31-'Div by Expiry'!$C$7)</f>
        <v/>
      </c>
      <c r="T31" s="60">
        <f>IF($B31="","",$D$9*$D$10/100*$S31/$D$11)</f>
        <v/>
      </c>
      <c r="U31" s="60">
        <f>IF($B31="","",IF($C$13="N",'Div by Expiry'!$M25,SUMPRODUCT('Div by Expiry'!$K$13:$K25,1+$D$10/100*($R31-(Expiries!$K$16:$K28+Expiries!$I$16:$I28)/2)/$D$11)))</f>
        <v/>
      </c>
      <c r="V31" s="60">
        <f>IF($B31="","",IF($C$13="N",'Div by Expiry'!$J48,SUMPRODUCT('Div by Expiry'!$I$36:$I48,1+$D$10/100*($R31-(Expiries!$K$16:$K28+Expiries!$I$16:$I28)/2)/$D$11)))</f>
        <v/>
      </c>
      <c r="W31" s="60">
        <f>IF($B31="","",$D$9+$T31-$U31)</f>
        <v/>
      </c>
      <c r="X31" s="60">
        <f>IF($B31="","",$W31-$V31)</f>
        <v/>
      </c>
      <c r="Y31" s="67">
        <f>IF($B31="","",$W31-$D$12/100*$V31)</f>
        <v/>
      </c>
      <c r="Z31" s="77" t="n"/>
      <c r="AA31" s="60">
        <f>IF($B31="","",IF(N($Z31)=0,"",$D$9+$T31-$Z31))</f>
        <v/>
      </c>
      <c r="AB31" s="130">
        <f>IF($AA31="","",$AA31-$U31)</f>
        <v/>
      </c>
      <c r="AC31" s="149">
        <f>IF($AA31="","",IF($V31=0,"",$AB31/$V31))</f>
        <v/>
      </c>
      <c r="AD31" s="130">
        <f>IF($AA31="","",$Z31-$Y31)</f>
        <v/>
      </c>
      <c r="AE31" s="129">
        <f>IF($AA31="","",$AD31/$D$9*10000)</f>
        <v/>
      </c>
      <c r="AG31" s="131">
        <f>IF($N31="","",IF($AC31="","",($N31-$AC31)*100))</f>
        <v/>
      </c>
    </row>
    <row r="32">
      <c r="B32" s="55">
        <f>IF('Div by Expiry'!$B26="","",'Div by Expiry'!$B26)</f>
        <v/>
      </c>
      <c r="C32" s="56">
        <f>IF($B32="","",'Div by Expiry'!$C26)</f>
        <v/>
      </c>
      <c r="D32" s="62">
        <f>IF($B32="","",'Div by Expiry'!$D26)</f>
        <v/>
      </c>
      <c r="E32" s="59">
        <f>IF($B32="","",$C$9*$C$10/100*$D32/$C$11)</f>
        <v/>
      </c>
      <c r="F32" s="59">
        <f>IF($B32="","",IF($C$13="N",'Div by Expiry'!$G26,SUMPRODUCT('Div by Expiry'!$E$13:$E26,1+$C$10/100*($C32-(Expiries!$J$16:$J29+Expiries!$F$16:$F29)/2)/$C$11)))</f>
        <v/>
      </c>
      <c r="G32" s="59">
        <f>IF($B32="","",IF($C$13="N",'Div by Expiry'!$E49,SUMPRODUCT('Div by Expiry'!$D$36:$D49,1+$C$10/100*($C32-(Expiries!$J$16:$J29+Expiries!$F$16:$F29)/2)/$C$11)))</f>
        <v/>
      </c>
      <c r="H32" s="59">
        <f>IF($B32="","",$C$9+$E32-$F32)</f>
        <v/>
      </c>
      <c r="I32" s="59">
        <f>IF($B32="","",$H32-$G32)</f>
        <v/>
      </c>
      <c r="J32" s="65">
        <f>IF($B32="","",$H32-$C$12/100*$G32)</f>
        <v/>
      </c>
      <c r="K32" s="124" t="n"/>
      <c r="L32" s="59">
        <f>IF($B32="","",IF(N($K32)=0,"",$C$9+$E32-$K32))</f>
        <v/>
      </c>
      <c r="M32" s="127">
        <f>IF($L32="","",$L32-$F32)</f>
        <v/>
      </c>
      <c r="N32" s="149">
        <f>IF($L32="","",IF($G32=0,"",$M32/$G32))</f>
        <v/>
      </c>
      <c r="O32" s="127">
        <f>IF($L32="","",$K32-$J32)</f>
        <v/>
      </c>
      <c r="P32" s="129">
        <f>IF($L32="","",$O32/$C$9*10000)</f>
        <v/>
      </c>
      <c r="R32" s="56">
        <f>IF($B32="","",'Div by Expiry'!$J26)</f>
        <v/>
      </c>
      <c r="S32" s="62">
        <f>IF($B32="","",$R32-'Div by Expiry'!$C$7)</f>
        <v/>
      </c>
      <c r="T32" s="60">
        <f>IF($B32="","",$D$9*$D$10/100*$S32/$D$11)</f>
        <v/>
      </c>
      <c r="U32" s="60">
        <f>IF($B32="","",IF($C$13="N",'Div by Expiry'!$M26,SUMPRODUCT('Div by Expiry'!$K$13:$K26,1+$D$10/100*($R32-(Expiries!$K$16:$K29+Expiries!$I$16:$I29)/2)/$D$11)))</f>
        <v/>
      </c>
      <c r="V32" s="60">
        <f>IF($B32="","",IF($C$13="N",'Div by Expiry'!$J49,SUMPRODUCT('Div by Expiry'!$I$36:$I49,1+$D$10/100*($R32-(Expiries!$K$16:$K29+Expiries!$I$16:$I29)/2)/$D$11)))</f>
        <v/>
      </c>
      <c r="W32" s="60">
        <f>IF($B32="","",$D$9+$T32-$U32)</f>
        <v/>
      </c>
      <c r="X32" s="60">
        <f>IF($B32="","",$W32-$V32)</f>
        <v/>
      </c>
      <c r="Y32" s="67">
        <f>IF($B32="","",$W32-$D$12/100*$V32)</f>
        <v/>
      </c>
      <c r="Z32" s="77" t="n"/>
      <c r="AA32" s="60">
        <f>IF($B32="","",IF(N($Z32)=0,"",$D$9+$T32-$Z32))</f>
        <v/>
      </c>
      <c r="AB32" s="130">
        <f>IF($AA32="","",$AA32-$U32)</f>
        <v/>
      </c>
      <c r="AC32" s="149">
        <f>IF($AA32="","",IF($V32=0,"",$AB32/$V32))</f>
        <v/>
      </c>
      <c r="AD32" s="130">
        <f>IF($AA32="","",$Z32-$Y32)</f>
        <v/>
      </c>
      <c r="AE32" s="129">
        <f>IF($AA32="","",$AD32/$D$9*10000)</f>
        <v/>
      </c>
      <c r="AG32" s="131">
        <f>IF($N32="","",IF($AC32="","",($N32-$AC32)*100))</f>
        <v/>
      </c>
    </row>
    <row r="33">
      <c r="B33" s="55">
        <f>IF('Div by Expiry'!$B27="","",'Div by Expiry'!$B27)</f>
        <v/>
      </c>
      <c r="C33" s="56">
        <f>IF($B33="","",'Div by Expiry'!$C27)</f>
        <v/>
      </c>
      <c r="D33" s="62">
        <f>IF($B33="","",'Div by Expiry'!$D27)</f>
        <v/>
      </c>
      <c r="E33" s="59">
        <f>IF($B33="","",$C$9*$C$10/100*$D33/$C$11)</f>
        <v/>
      </c>
      <c r="F33" s="59">
        <f>IF($B33="","",IF($C$13="N",'Div by Expiry'!$G27,SUMPRODUCT('Div by Expiry'!$E$13:$E27,1+$C$10/100*($C33-(Expiries!$J$16:$J30+Expiries!$F$16:$F30)/2)/$C$11)))</f>
        <v/>
      </c>
      <c r="G33" s="59">
        <f>IF($B33="","",IF($C$13="N",'Div by Expiry'!$E50,SUMPRODUCT('Div by Expiry'!$D$36:$D50,1+$C$10/100*($C33-(Expiries!$J$16:$J30+Expiries!$F$16:$F30)/2)/$C$11)))</f>
        <v/>
      </c>
      <c r="H33" s="59">
        <f>IF($B33="","",$C$9+$E33-$F33)</f>
        <v/>
      </c>
      <c r="I33" s="59">
        <f>IF($B33="","",$H33-$G33)</f>
        <v/>
      </c>
      <c r="J33" s="65">
        <f>IF($B33="","",$H33-$C$12/100*$G33)</f>
        <v/>
      </c>
      <c r="K33" s="124" t="n"/>
      <c r="L33" s="59">
        <f>IF($B33="","",IF(N($K33)=0,"",$C$9+$E33-$K33))</f>
        <v/>
      </c>
      <c r="M33" s="127">
        <f>IF($L33="","",$L33-$F33)</f>
        <v/>
      </c>
      <c r="N33" s="149">
        <f>IF($L33="","",IF($G33=0,"",$M33/$G33))</f>
        <v/>
      </c>
      <c r="O33" s="127">
        <f>IF($L33="","",$K33-$J33)</f>
        <v/>
      </c>
      <c r="P33" s="129">
        <f>IF($L33="","",$O33/$C$9*10000)</f>
        <v/>
      </c>
      <c r="R33" s="56">
        <f>IF($B33="","",'Div by Expiry'!$J27)</f>
        <v/>
      </c>
      <c r="S33" s="62">
        <f>IF($B33="","",$R33-'Div by Expiry'!$C$7)</f>
        <v/>
      </c>
      <c r="T33" s="60">
        <f>IF($B33="","",$D$9*$D$10/100*$S33/$D$11)</f>
        <v/>
      </c>
      <c r="U33" s="60">
        <f>IF($B33="","",IF($C$13="N",'Div by Expiry'!$M27,SUMPRODUCT('Div by Expiry'!$K$13:$K27,1+$D$10/100*($R33-(Expiries!$K$16:$K30+Expiries!$I$16:$I30)/2)/$D$11)))</f>
        <v/>
      </c>
      <c r="V33" s="60">
        <f>IF($B33="","",IF($C$13="N",'Div by Expiry'!$J50,SUMPRODUCT('Div by Expiry'!$I$36:$I50,1+$D$10/100*($R33-(Expiries!$K$16:$K30+Expiries!$I$16:$I30)/2)/$D$11)))</f>
        <v/>
      </c>
      <c r="W33" s="60">
        <f>IF($B33="","",$D$9+$T33-$U33)</f>
        <v/>
      </c>
      <c r="X33" s="60">
        <f>IF($B33="","",$W33-$V33)</f>
        <v/>
      </c>
      <c r="Y33" s="67">
        <f>IF($B33="","",$W33-$D$12/100*$V33)</f>
        <v/>
      </c>
      <c r="Z33" s="77" t="n"/>
      <c r="AA33" s="60">
        <f>IF($B33="","",IF(N($Z33)=0,"",$D$9+$T33-$Z33))</f>
        <v/>
      </c>
      <c r="AB33" s="130">
        <f>IF($AA33="","",$AA33-$U33)</f>
        <v/>
      </c>
      <c r="AC33" s="149">
        <f>IF($AA33="","",IF($V33=0,"",$AB33/$V33))</f>
        <v/>
      </c>
      <c r="AD33" s="130">
        <f>IF($AA33="","",$Z33-$Y33)</f>
        <v/>
      </c>
      <c r="AE33" s="129">
        <f>IF($AA33="","",$AD33/$D$9*10000)</f>
        <v/>
      </c>
      <c r="AG33" s="131">
        <f>IF($N33="","",IF($AC33="","",($N33-$AC33)*100))</f>
        <v/>
      </c>
    </row>
    <row r="34">
      <c r="B34" s="55">
        <f>IF('Div by Expiry'!$B28="","",'Div by Expiry'!$B28)</f>
        <v/>
      </c>
      <c r="C34" s="56">
        <f>IF($B34="","",'Div by Expiry'!$C28)</f>
        <v/>
      </c>
      <c r="D34" s="62">
        <f>IF($B34="","",'Div by Expiry'!$D28)</f>
        <v/>
      </c>
      <c r="E34" s="59">
        <f>IF($B34="","",$C$9*$C$10/100*$D34/$C$11)</f>
        <v/>
      </c>
      <c r="F34" s="59">
        <f>IF($B34="","",IF($C$13="N",'Div by Expiry'!$G28,SUMPRODUCT('Div by Expiry'!$E$13:$E28,1+$C$10/100*($C34-(Expiries!$J$16:$J31+Expiries!$F$16:$F31)/2)/$C$11)))</f>
        <v/>
      </c>
      <c r="G34" s="59">
        <f>IF($B34="","",IF($C$13="N",'Div by Expiry'!$E51,SUMPRODUCT('Div by Expiry'!$D$36:$D51,1+$C$10/100*($C34-(Expiries!$J$16:$J31+Expiries!$F$16:$F31)/2)/$C$11)))</f>
        <v/>
      </c>
      <c r="H34" s="59">
        <f>IF($B34="","",$C$9+$E34-$F34)</f>
        <v/>
      </c>
      <c r="I34" s="59">
        <f>IF($B34="","",$H34-$G34)</f>
        <v/>
      </c>
      <c r="J34" s="65">
        <f>IF($B34="","",$H34-$C$12/100*$G34)</f>
        <v/>
      </c>
      <c r="K34" s="124" t="n"/>
      <c r="L34" s="59">
        <f>IF($B34="","",IF(N($K34)=0,"",$C$9+$E34-$K34))</f>
        <v/>
      </c>
      <c r="M34" s="127">
        <f>IF($L34="","",$L34-$F34)</f>
        <v/>
      </c>
      <c r="N34" s="149">
        <f>IF($L34="","",IF($G34=0,"",$M34/$G34))</f>
        <v/>
      </c>
      <c r="O34" s="127">
        <f>IF($L34="","",$K34-$J34)</f>
        <v/>
      </c>
      <c r="P34" s="129">
        <f>IF($L34="","",$O34/$C$9*10000)</f>
        <v/>
      </c>
      <c r="R34" s="56">
        <f>IF($B34="","",'Div by Expiry'!$J28)</f>
        <v/>
      </c>
      <c r="S34" s="62">
        <f>IF($B34="","",$R34-'Div by Expiry'!$C$7)</f>
        <v/>
      </c>
      <c r="T34" s="60">
        <f>IF($B34="","",$D$9*$D$10/100*$S34/$D$11)</f>
        <v/>
      </c>
      <c r="U34" s="60">
        <f>IF($B34="","",IF($C$13="N",'Div by Expiry'!$M28,SUMPRODUCT('Div by Expiry'!$K$13:$K28,1+$D$10/100*($R34-(Expiries!$K$16:$K31+Expiries!$I$16:$I31)/2)/$D$11)))</f>
        <v/>
      </c>
      <c r="V34" s="60">
        <f>IF($B34="","",IF($C$13="N",'Div by Expiry'!$J51,SUMPRODUCT('Div by Expiry'!$I$36:$I51,1+$D$10/100*($R34-(Expiries!$K$16:$K31+Expiries!$I$16:$I31)/2)/$D$11)))</f>
        <v/>
      </c>
      <c r="W34" s="60">
        <f>IF($B34="","",$D$9+$T34-$U34)</f>
        <v/>
      </c>
      <c r="X34" s="60">
        <f>IF($B34="","",$W34-$V34)</f>
        <v/>
      </c>
      <c r="Y34" s="67">
        <f>IF($B34="","",$W34-$D$12/100*$V34)</f>
        <v/>
      </c>
      <c r="Z34" s="77" t="n"/>
      <c r="AA34" s="60">
        <f>IF($B34="","",IF(N($Z34)=0,"",$D$9+$T34-$Z34))</f>
        <v/>
      </c>
      <c r="AB34" s="130">
        <f>IF($AA34="","",$AA34-$U34)</f>
        <v/>
      </c>
      <c r="AC34" s="149">
        <f>IF($AA34="","",IF($V34=0,"",$AB34/$V34))</f>
        <v/>
      </c>
      <c r="AD34" s="130">
        <f>IF($AA34="","",$Z34-$Y34)</f>
        <v/>
      </c>
      <c r="AE34" s="129">
        <f>IF($AA34="","",$AD34/$D$9*10000)</f>
        <v/>
      </c>
      <c r="AG34" s="131">
        <f>IF($N34="","",IF($AC34="","",($N34-$AC34)*100))</f>
        <v/>
      </c>
    </row>
    <row r="36">
      <c r="B36" s="6" t="inlineStr">
        <is>
          <t>HOW TO READ IT</t>
        </is>
      </c>
    </row>
    <row r="37">
      <c r="B37" s="5" t="inlineStr">
        <is>
          <t>-</t>
        </is>
      </c>
      <c r="C37" s="2" t="inlineStr">
        <is>
          <t>Implied divs (L / AA) is what the futures price says will be paid: spot + carry - price. Compare it with your Divs-to-expiry column - the difference is the market disagreeing with you.</t>
        </is>
      </c>
    </row>
    <row r="38">
      <c r="B38" s="5" t="inlineStr">
        <is>
          <t>-</t>
        </is>
      </c>
      <c r="C38" s="2" t="inlineStr">
        <is>
          <t>FRANKING PRICED (N / AC) reads that difference as franking: 0% = the market pays for cash dividends only, 100% = it pays for the fully grossed-up dividend. It is a residual, so it also absorbs any gap between your dividend forecast and the market's - a negative number means the market sees FEWER dividends than you do, not negative franking.</t>
        </is>
      </c>
    </row>
    <row r="39">
      <c r="B39" s="5" t="inlineStr">
        <is>
          <t>-</t>
        </is>
      </c>
      <c r="C39" s="2" t="inlineStr">
        <is>
          <t>Rich(+)/Cheap(-) compares the market against YOUR franking assumption (row 12): positive = the future trades above your fair value (rich - sell it), negative = below (cheap - buy it).</t>
        </is>
      </c>
    </row>
    <row r="40">
      <c r="B40" s="5" t="inlineStr">
        <is>
          <t>-</t>
        </is>
      </c>
      <c r="C40" s="2" t="inlineStr">
        <is>
          <t>The A vs M column is the arb: SPI's marginal investor can often use franking, MXAU's offshore holder cannot. A wide positive gap says the SPI is paying for credits that MXAU ignores.</t>
        </is>
      </c>
    </row>
    <row r="41">
      <c r="B41" s="5" t="inlineStr">
        <is>
          <t>-</t>
        </is>
      </c>
      <c r="C41" s="2" t="inlineStr">
        <is>
          <t>Franking credits are worth less than face even to a domestic holder (paid at tax time, 45-day rule) - do not expect 100% even in a fully domestic market.</t>
        </is>
      </c>
    </row>
    <row r="42">
      <c r="B42" s="5" t="inlineStr">
        <is>
          <t>-</t>
        </is>
      </c>
      <c r="C42" s="2" t="inlineStr">
        <is>
          <t>TBA amounts and Covered?=CHECK from Div by Expiry flow straight into these columns - a 'cheap' future can simply be a dividend your data has not caught yet.</t>
        </is>
      </c>
    </row>
  </sheetData>
  <dataValidations count="2">
    <dataValidation sqref="C13" showDropDown="0" showInputMessage="0" showErrorMessage="0" allowBlank="0" type="list">
      <formula1>"Y,N"</formula1>
    </dataValidation>
    <dataValidation sqref="C12 D12" showDropDown="0" showInputMessage="0" showErrorMessage="0" allowBlank="1" type="decimal" operator="between">
      <formula1>0</formula1>
      <formula2>100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Z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0" customWidth="1" min="3" max="3"/>
    <col width="22" customWidth="1" min="4" max="4"/>
    <col width="78" customWidth="1" min="5" max="5"/>
  </cols>
  <sheetData>
    <row r="2">
      <c r="B2" s="1" t="inlineStr">
        <is>
          <t>FIELD MNEMONIC TESTER</t>
        </is>
      </c>
    </row>
    <row r="3">
      <c r="B3" s="3" t="inlineStr">
        <is>
          <t>Test ticker</t>
        </is>
      </c>
      <c r="C3" s="10" t="inlineStr">
        <is>
          <t>BHP AU Equity</t>
        </is>
      </c>
      <c r="E3" s="2" t="inlineStr">
        <is>
          <t>BHP pays fully franked dividends, so a working franking field should return 100 here.</t>
        </is>
      </c>
    </row>
    <row r="4">
      <c r="B4" s="4" t="inlineStr">
        <is>
          <t>FRANKING FIELD (CONFIRMED)</t>
        </is>
      </c>
      <c r="C4" s="11" t="inlineStr">
        <is>
          <t>EQY_DVD_PCT_FRANKED</t>
        </is>
      </c>
      <c r="E4" s="4" t="inlineStr">
        <is>
          <t>Confirmed working on terminal. Both data tabs read their franking mnemonic from this cell - change it here and it flows everywhere.</t>
        </is>
      </c>
    </row>
    <row r="7">
      <c r="B7" s="12" t="inlineStr">
        <is>
          <t>Field</t>
        </is>
      </c>
      <c r="C7" s="12" t="inlineStr">
        <is>
          <t>Result</t>
        </is>
      </c>
      <c r="D7" s="12" t="inlineStr">
        <is>
          <t>Status</t>
        </is>
      </c>
      <c r="E7" s="12" t="inlineStr">
        <is>
          <t>Notes</t>
        </is>
      </c>
    </row>
    <row r="8">
      <c r="B8" s="13" t="inlineStr">
        <is>
          <t>--- IN USE (all confirmed working) ---</t>
        </is>
      </c>
      <c r="C8" s="14" t="n"/>
      <c r="D8" s="14" t="n"/>
      <c r="E8" s="14" t="n"/>
    </row>
    <row r="9">
      <c r="B9" s="15" t="inlineStr">
        <is>
          <t>EQY_DVD_PCT_FRANKED</t>
        </is>
      </c>
      <c r="C9" s="16">
        <f>BDP($C$3,$B9)</f>
        <v/>
      </c>
      <c r="D9" s="16">
        <f>IF(ISNUMBER(C9),"OK - numeric",IF(C9="","blank / no data",IF(ISTEXT(C9),"OK - text","INVALID or error")))</f>
        <v/>
      </c>
      <c r="E9" s="17" t="inlineStr">
        <is>
          <t>Franked %. Returns 100 for fully franked. Confirmed.</t>
        </is>
      </c>
    </row>
    <row r="10">
      <c r="B10" s="15" t="inlineStr">
        <is>
          <t>EQY_DVD_SH_12M</t>
        </is>
      </c>
      <c r="C10" s="16">
        <f>BDP($C$3,$B10)</f>
        <v/>
      </c>
      <c r="D10" s="16">
        <f>IF(ISNUMBER(C10),"OK - numeric",IF(C10="","blank / no data",IF(ISTEXT(C10),"OK - text","INVALID or error")))</f>
        <v/>
      </c>
      <c r="E10" s="17" t="inlineStr">
        <is>
          <t>Gross DPS paid over trailing 12 months, in trading currency.</t>
        </is>
      </c>
    </row>
    <row r="11">
      <c r="B11" s="15" t="inlineStr">
        <is>
          <t>EQY_DVD_YLD_12M</t>
        </is>
      </c>
      <c r="C11" s="16">
        <f>BDP($C$3,$B11)</f>
        <v/>
      </c>
      <c r="D11" s="16">
        <f>IF(ISNUMBER(C11),"OK - numeric",IF(C11="","blank / no data",IF(ISTEXT(C11),"OK - text","INVALID or error")))</f>
        <v/>
      </c>
      <c r="E11" s="17" t="inlineStr">
        <is>
          <t>Trailing 12-month gross dividend yield, %.</t>
        </is>
      </c>
    </row>
    <row r="12">
      <c r="B12" s="15" t="inlineStr">
        <is>
          <t>EQY_DVD_YLD_IND</t>
        </is>
      </c>
      <c r="C12" s="16">
        <f>BDP($C$3,$B12)</f>
        <v/>
      </c>
      <c r="D12" s="16">
        <f>IF(ISNUMBER(C12),"OK - numeric",IF(C12="","blank / no data",IF(ISTEXT(C12),"OK - text","INVALID or error")))</f>
        <v/>
      </c>
      <c r="E12" s="17" t="inlineStr">
        <is>
          <t>Indicated gross dividend yield, %. Primary bottom-up input.</t>
        </is>
      </c>
    </row>
    <row r="13">
      <c r="B13" s="15" t="inlineStr">
        <is>
          <t>NAME</t>
        </is>
      </c>
      <c r="C13" s="16">
        <f>BDP($C$3,$B13)</f>
        <v/>
      </c>
      <c r="D13" s="16">
        <f>IF(ISNUMBER(C13),"OK - numeric",IF(C13="","blank / no data",IF(ISTEXT(C13),"OK - text","INVALID or error")))</f>
        <v/>
      </c>
      <c r="E13" s="17" t="inlineStr">
        <is>
          <t>Company name. If this fails, the ticker or the add-in is the problem, not the field.</t>
        </is>
      </c>
    </row>
    <row r="14">
      <c r="B14" s="13" t="inlineStr">
        <is>
          <t>--- NEXT / UPCOMING DIVIDEND: RESOLVED - see the v4 block below ---</t>
        </is>
      </c>
      <c r="C14" s="14" t="n"/>
      <c r="D14" s="14" t="n"/>
      <c r="E14" s="14" t="n"/>
    </row>
    <row r="15">
      <c r="B15" s="15" t="inlineStr">
        <is>
          <t>BDVD_PROJ_DIV_AMT</t>
        </is>
      </c>
      <c r="C15" s="16">
        <f>BDP($C$3,$B15)</f>
        <v/>
      </c>
      <c r="D15" s="16">
        <f>IF(ISNUMBER(C15),"OK - numeric",IF(C15="","blank / no data",IF(ISTEXT(C15),"OK - text","INVALID or error")))</f>
        <v/>
      </c>
      <c r="E15" s="17" t="inlineStr">
        <is>
          <t>Single next projected amount. Superseded by BDVD_ALL_PROJECTIONS, which returns the full schedule.</t>
        </is>
      </c>
    </row>
    <row r="16">
      <c r="B16" s="15" t="inlineStr">
        <is>
          <t>BDVD_PROJ_DIV_EX_DT</t>
        </is>
      </c>
      <c r="C16" s="16">
        <f>BDP($C$3,$B16)</f>
        <v/>
      </c>
      <c r="D16" s="16">
        <f>IF(ISNUMBER(C16),"OK - numeric",IF(C16="","blank / no data",IF(ISTEXT(C16),"OK - text","INVALID or error")))</f>
        <v/>
      </c>
      <c r="E16" s="17" t="inlineStr">
        <is>
          <t>Projected ex-date to go with the above.</t>
        </is>
      </c>
    </row>
    <row r="17">
      <c r="B17" s="15" t="inlineStr">
        <is>
          <t>EQY_DVD_SH_LAST</t>
        </is>
      </c>
      <c r="C17" s="16">
        <f>BDP($C$3,$B17)</f>
        <v/>
      </c>
      <c r="D17" s="16">
        <f>IF(ISNUMBER(C17),"OK - numeric",IF(C17="","blank / no data",IF(ISTEXT(C17),"OK - text","INVALID or error")))</f>
        <v/>
      </c>
      <c r="E17" s="17" t="inlineStr">
        <is>
          <t>Most recent declared gross DPS. Not forward-looking, but it always works and is often close enough.</t>
        </is>
      </c>
    </row>
    <row r="18">
      <c r="B18" s="15" t="inlineStr">
        <is>
          <t>DVD_SH_LAST</t>
        </is>
      </c>
      <c r="C18" s="16">
        <f>BDP($C$3,$B18)</f>
        <v/>
      </c>
      <c r="D18" s="16">
        <f>IF(ISNUMBER(C18),"OK - numeric",IF(C18="","blank / no data",IF(ISTEXT(C18),"OK - text","INVALID or error")))</f>
        <v/>
      </c>
      <c r="E18" s="17" t="inlineStr">
        <is>
          <t>Shorter variant of the above - test which one your terminal takes.</t>
        </is>
      </c>
    </row>
    <row r="19">
      <c r="B19" s="15" t="inlineStr">
        <is>
          <t>EQY_DVD_SH_NEXT</t>
        </is>
      </c>
      <c r="C19" s="16">
        <f>BDP($C$3,$B19)</f>
        <v/>
      </c>
      <c r="D19" s="16">
        <f>IF(ISNUMBER(C19),"OK - numeric",IF(C19="","blank / no data",IF(ISTEXT(C19),"OK - text","INVALID or error")))</f>
        <v/>
      </c>
      <c r="E19" s="17" t="inlineStr">
        <is>
          <t>YOUR ATTEMPT - returns Invalid Field. Kept here only so nobody retries it.</t>
        </is>
      </c>
    </row>
    <row r="20">
      <c r="B20" s="13" t="inlineStr">
        <is>
          <t>--- CONTEXT FROM V2 ---</t>
        </is>
      </c>
      <c r="C20" s="14" t="n"/>
      <c r="D20" s="14" t="n"/>
      <c r="E20" s="14" t="n"/>
    </row>
    <row r="21">
      <c r="B21" s="2" t="inlineStr">
        <is>
          <t>GICS_SECTOR_NAME</t>
        </is>
      </c>
      <c r="D21" s="2" t="inlineStr">
        <is>
          <t>not pulled</t>
        </is>
      </c>
      <c r="E21" s="2" t="inlineStr">
        <is>
          <t>Pulled on the data tabs (column E) and rolled up on the Sector tab.</t>
        </is>
      </c>
    </row>
    <row r="22">
      <c r="B22" s="2" t="inlineStr">
        <is>
          <t>CUR_MKT_CAP / PX_LAST / CRNCY</t>
        </is>
      </c>
      <c r="D22" s="2" t="inlineStr">
        <is>
          <t>not pulled</t>
        </is>
      </c>
      <c r="E22" s="2" t="inlineStr">
        <is>
          <t>Not used by any calculation. Weights now come from your pasted index shares and divisor (v4).</t>
        </is>
      </c>
    </row>
    <row r="23">
      <c r="B23" s="2" t="inlineStr">
        <is>
          <t>BEST_DIV_YLD / DVD_PAYOUT_RATIO</t>
        </is>
      </c>
      <c r="D23" s="2" t="inlineStr">
        <is>
          <t>not pulled</t>
        </is>
      </c>
      <c r="E23" s="2" t="inlineStr">
        <is>
          <t>Forward and context metrics. Not part of steps 1-4.</t>
        </is>
      </c>
    </row>
    <row r="25">
      <c r="B25" s="4" t="inlineStr">
        <is>
          <t>FORWARD DIVIDENDS - RESOLVED</t>
        </is>
      </c>
    </row>
    <row r="26" ht="26" customHeight="1">
      <c r="B26" s="5" t="inlineStr">
        <is>
          <t>-</t>
        </is>
      </c>
      <c r="C26" s="18" t="inlineStr">
        <is>
          <t>BDVD_ALL_PROJECTIONS (v4 block below) returns the full projected schedule - ex-dates and amounts running years out. Needs the BDVD entitlement; the single-value candidates above are superseded.</t>
        </is>
      </c>
    </row>
    <row r="27" ht="26" customHeight="1">
      <c r="B27" s="2" t="n"/>
      <c r="C27" s="18" t="n"/>
    </row>
    <row r="28" ht="26" customHeight="1">
      <c r="B28" s="2" t="n"/>
      <c r="C28" s="18" t="n"/>
    </row>
    <row r="29" ht="26" customHeight="1">
      <c r="B29" s="2" t="n"/>
      <c r="C29" s="18" t="n"/>
    </row>
    <row r="31">
      <c r="B31" s="3" t="inlineStr">
        <is>
          <t>OTHER SYNTAX</t>
        </is>
      </c>
    </row>
    <row r="32">
      <c r="B32" s="19" t="inlineStr">
        <is>
          <t>Purpose</t>
        </is>
      </c>
      <c r="C32" s="19" t="inlineStr">
        <is>
          <t>Formula</t>
        </is>
      </c>
      <c r="D32" s="19" t="inlineStr">
        <is>
          <t>Notes</t>
        </is>
      </c>
    </row>
    <row r="33">
      <c r="B33" s="16" t="inlineStr">
        <is>
          <t>Members (names only)</t>
        </is>
      </c>
      <c r="C33" s="16" t="inlineStr">
        <is>
          <t>'=BDS("AS51 Index","INDX_MEMBERS")</t>
        </is>
      </c>
      <c r="D33" s="72" t="n"/>
      <c r="E33" s="17" t="inlineStr">
        <is>
          <t>What the data tabs use - no weight entitlement needed. Weights come from your pasted shares.</t>
        </is>
      </c>
    </row>
    <row r="34">
      <c r="B34" s="20" t="inlineStr">
        <is>
          <t>Dividend history</t>
        </is>
      </c>
      <c r="C34" s="15" t="inlineStr">
        <is>
          <t>'=BDS($C$3,"DVD_HIST_ALL","DVD_START_DT","20250801","DVD_END_DT","20260803")</t>
        </is>
      </c>
      <c r="D34" s="72" t="n"/>
      <c r="E34" s="17" t="inlineStr">
        <is>
          <t>Dividend history. Spills a DIFFERENT shape from the projections pull - vertical, more columns. The Override tab pulls it for one stock at a time.</t>
        </is>
      </c>
    </row>
    <row r="35">
      <c r="B35" s="16" t="inlineStr">
        <is>
          <t>Index yield now (12M)</t>
        </is>
      </c>
      <c r="C35" s="16" t="inlineStr">
        <is>
          <t>'=BDP("AS51 Index","EQY_DVD_YLD_12M")</t>
        </is>
      </c>
      <c r="D35" s="72" t="n"/>
      <c r="E35" s="17" t="inlineStr">
        <is>
          <t>EQY_DVD_YLD_IND returns N/A at index level - 12M is the field that works.</t>
        </is>
      </c>
    </row>
    <row r="36">
      <c r="B36" s="20" t="inlineStr">
        <is>
          <t>Suppress errors at source</t>
        </is>
      </c>
      <c r="C36" s="15" t="inlineStr">
        <is>
          <t>'=IFERROR(BDP($C$3,"EQY_DVD_YLD_IND"),0)</t>
        </is>
      </c>
      <c r="D36" s="72" t="n"/>
      <c r="E36" s="17" t="inlineStr">
        <is>
          <t>Excel-side, always works. Preferred over Bloomberg's own fill parameters, which vary by add-in version.</t>
        </is>
      </c>
    </row>
    <row r="37">
      <c r="B37" s="5" t="inlineStr">
        <is>
          <t>Index yield, point-in-time</t>
        </is>
      </c>
      <c r="C37" s="5" t="inlineStr">
        <is>
          <t>'=BDH("AS51 Index","EQY_DVD_YLD_12M","20260630","20260630")</t>
        </is>
      </c>
    </row>
    <row r="38">
      <c r="B38" s="5" t="inlineStr">
        <is>
          <t>Index yield, monthly history</t>
        </is>
      </c>
      <c r="C38" s="5" t="inlineStr">
        <is>
          <t>'=BDH("AS51 Index","EQY_DVD_YLD_12M","20150101","20260804","per=m")</t>
        </is>
      </c>
      <c r="E38" s="2" t="inlineStr">
        <is>
          <t>Spills down - park it on a scratch sheet, not here.</t>
        </is>
      </c>
    </row>
    <row r="39">
      <c r="B39" s="2" t="inlineStr">
        <is>
          <t>Formulas shown as text - copy and drop the leading apostrophe.</t>
        </is>
      </c>
    </row>
    <row r="41">
      <c r="B41" s="4" t="inlineStr">
        <is>
          <t>v4/v5 - FIELDS THE BOOK USES</t>
        </is>
      </c>
    </row>
    <row r="42">
      <c r="B42" s="5" t="inlineStr">
        <is>
          <t>Projected dividends (BDS)</t>
        </is>
      </c>
      <c r="C42" s="73" t="inlineStr">
        <is>
          <t>BDVD_ALL_PROJECTIONS</t>
        </is>
      </c>
      <c r="E42" s="2" t="inlineStr">
        <is>
          <t>Confirmed working. Full projected schedule; Dvd Calendar reads this cell - a wrong mnemonic is a one-cell fix.</t>
        </is>
      </c>
    </row>
    <row r="43">
      <c r="B43" s="5" t="inlineStr">
        <is>
          <t>Dividend currency (BDP)</t>
        </is>
      </c>
      <c r="C43" s="73" t="inlineStr">
        <is>
          <t>EQY_DVD_CRNCY</t>
        </is>
      </c>
      <c r="E43" s="2" t="inlineStr">
        <is>
          <t>Confirmed working. Feeds the Dvd FX column on the data tabs.</t>
        </is>
      </c>
    </row>
    <row r="44">
      <c r="B44" s="5" t="inlineStr">
        <is>
          <t>Dividend history (BDS)</t>
        </is>
      </c>
      <c r="C44" s="73" t="inlineStr">
        <is>
          <t>DVD_HIST_ALL</t>
        </is>
      </c>
      <c r="E44" s="2" t="inlineStr">
        <is>
          <t>Confirmed working, incl. DVD_START_DT / DVD_END_DT overrides (YYYYMMDD). The Override workbench pulls it for the picked stock.</t>
        </is>
      </c>
    </row>
    <row r="46">
      <c r="B46" s="3" t="inlineStr">
        <is>
          <t>LIVE SAMPLE - the exact calendar pull</t>
        </is>
      </c>
      <c r="E46" s="2" t="inlineStr">
        <is>
          <t>Two rows spill right: ex-dates on top (pre-formatted as Short Date), amounts underneath. If this is empty, the calendar is empty too (that is the BDVD entitlement).</t>
        </is>
      </c>
    </row>
    <row r="47">
      <c r="C47" s="74">
        <f>BDS($C$3,$C$42,"headers=y","startcol=2","endcol=3","dir=h")</f>
        <v/>
      </c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  <c r="CL47" s="75" t="n"/>
      <c r="CM47" s="75" t="n"/>
      <c r="CN47" s="75" t="n"/>
      <c r="CO47" s="75" t="n"/>
      <c r="CP47" s="75" t="n"/>
      <c r="CQ47" s="75" t="n"/>
      <c r="CR47" s="75" t="n"/>
      <c r="CS47" s="75" t="n"/>
      <c r="CT47" s="75" t="n"/>
      <c r="CU47" s="75" t="n"/>
      <c r="CV47" s="75" t="n"/>
      <c r="CW47" s="75" t="n"/>
      <c r="CX47" s="75" t="n"/>
      <c r="CY47" s="75" t="n"/>
      <c r="CZ47" s="75" t="n"/>
    </row>
    <row r="50">
      <c r="B50" s="2" t="inlineStr">
        <is>
          <t>Keep the rows to the right of the sample clear - it spills as far as it needs.</t>
        </is>
      </c>
    </row>
  </sheetData>
  <mergeCells count="8">
    <mergeCell ref="C34:D34"/>
    <mergeCell ref="C28:E28"/>
    <mergeCell ref="C27:E27"/>
    <mergeCell ref="C33:D33"/>
    <mergeCell ref="C36:D36"/>
    <mergeCell ref="C26:E26"/>
    <mergeCell ref="C29:E29"/>
    <mergeCell ref="C35:D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</cols>
  <sheetData>
    <row r="1">
      <c r="A1" s="1" t="inlineStr">
        <is>
          <t>S&amp;P/ASX 200 (AS51) - MEMBERS, DIVIDENDS &amp; FRANKING</t>
        </is>
      </c>
    </row>
    <row r="2">
      <c r="A2" s="3" t="inlineStr">
        <is>
          <t>Index ticker</t>
        </is>
      </c>
      <c r="B2" s="10" t="inlineStr">
        <is>
          <t>AS51 Index</t>
        </is>
      </c>
      <c r="C2" s="3" t="inlineStr">
        <is>
          <t>Index ccy</t>
        </is>
      </c>
      <c r="D2" s="76" t="inlineStr">
        <is>
          <t>AUD</t>
        </is>
      </c>
      <c r="E2" s="3" t="inlineStr">
        <is>
          <t>Members returned</t>
        </is>
      </c>
      <c r="H2" s="22">
        <f>SUMPRODUCT(($A$6:$A$275&lt;&gt;"")*1)</f>
        <v/>
      </c>
      <c r="J2" s="3" t="inlineStr">
        <is>
          <t>No dividend</t>
        </is>
      </c>
      <c r="L2" s="22">
        <f>COUNTIF($N$6:$N$275,"No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7" t="n"/>
      <c r="C3" s="3" t="inlineStr">
        <is>
          <t>AUD -&gt; index ccy</t>
        </is>
      </c>
      <c r="D3" s="132">
        <f>IF($D$2="AUD",1,BDP("AUD"&amp;$D$2&amp;" Curncy","PX_LAST"))</f>
        <v/>
      </c>
      <c r="E3" s="3" t="inlineStr">
        <is>
          <t>Dividend payers</t>
        </is>
      </c>
      <c r="H3" s="22">
        <f>COUNTIF($N$6:$N$275,"OK")+COUNTIF($N$6:$N$275,"Frank assumed")</f>
        <v/>
      </c>
      <c r="J3" s="3" t="inlineStr">
        <is>
          <t>Frank assumed</t>
        </is>
      </c>
      <c r="L3" s="22">
        <f>COUNTIF($N$6:$N$275,"Frank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IFERROR(SUM($J$6:$J$275),"")</f>
        <v/>
      </c>
      <c r="K4" s="65">
        <f>IFERROR(SUM($K$6:$K$275),"")</f>
        <v/>
      </c>
      <c r="L4" s="65">
        <f>IFERROR(SUM($L$6:$L$275),"")</f>
        <v/>
      </c>
      <c r="M4" s="24" t="n"/>
      <c r="N4" s="79">
        <f>IFERROR(SUMIF($N$6:$N$275,"OK",$J$6:$J$275)/$J$4,"")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</row>
    <row r="6">
      <c r="A6" s="16">
        <f>BDS($B$2,"INDX_MEMBERS")</f>
        <v/>
      </c>
      <c r="B6" s="80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33">
        <f>IFERROR(IF($B6="","",IF(ISNUMBER($F6),$B6*$F6*$D$3/$B$3,0)),"")</f>
        <v/>
      </c>
      <c r="K6" s="133">
        <f>IFERROR(IF($J6="","",$J6*IF(ISNUMBER($I6),$I6,'Index Summary'!$C$7)/100),"")</f>
        <v/>
      </c>
      <c r="L6" s="133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132">
        <f>IFERROR(IF(LEN($P6)&lt;&gt;3,1,IF($P6=$D$2,1,BDP($P6&amp;$D$2&amp;" Curncy","PX_LAST"))),1)</f>
        <v/>
      </c>
    </row>
    <row r="7">
      <c r="A7" s="16" t="n"/>
      <c r="B7" s="80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33">
        <f>IFERROR(IF($B7="","",IF(ISNUMBER($F7),$B7*$F7*$D$3/$B$3,0)),"")</f>
        <v/>
      </c>
      <c r="K7" s="133">
        <f>IFERROR(IF($J7="","",$J7*IF(ISNUMBER($I7),$I7,'Index Summary'!$C$7)/100),"")</f>
        <v/>
      </c>
      <c r="L7" s="133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132">
        <f>IFERROR(IF(LEN($P7)&lt;&gt;3,1,IF($P7=$D$2,1,BDP($P7&amp;$D$2&amp;" Curncy","PX_LAST"))),1)</f>
        <v/>
      </c>
    </row>
    <row r="8">
      <c r="A8" s="27" t="n"/>
      <c r="B8" s="80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33">
        <f>IFERROR(IF($B8="","",IF(ISNUMBER($F8),$B8*$F8*$D$3/$B$3,0)),"")</f>
        <v/>
      </c>
      <c r="K8" s="133">
        <f>IFERROR(IF($J8="","",$J8*IF(ISNUMBER($I8),$I8,'Index Summary'!$C$7)/100),"")</f>
        <v/>
      </c>
      <c r="L8" s="133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132">
        <f>IFERROR(IF(LEN($P8)&lt;&gt;3,1,IF($P8=$D$2,1,BDP($P8&amp;$D$2&amp;" Curncy","PX_LAST"))),1)</f>
        <v/>
      </c>
    </row>
    <row r="9">
      <c r="A9" s="16" t="n"/>
      <c r="B9" s="80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33">
        <f>IFERROR(IF($B9="","",IF(ISNUMBER($F9),$B9*$F9*$D$3/$B$3,0)),"")</f>
        <v/>
      </c>
      <c r="K9" s="133">
        <f>IFERROR(IF($J9="","",$J9*IF(ISNUMBER($I9),$I9,'Index Summary'!$C$7)/100),"")</f>
        <v/>
      </c>
      <c r="L9" s="133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132">
        <f>IFERROR(IF(LEN($P9)&lt;&gt;3,1,IF($P9=$D$2,1,BDP($P9&amp;$D$2&amp;" Curncy","PX_LAST"))),1)</f>
        <v/>
      </c>
    </row>
    <row r="10">
      <c r="A10" s="27" t="n"/>
      <c r="B10" s="80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33">
        <f>IFERROR(IF($B10="","",IF(ISNUMBER($F10),$B10*$F10*$D$3/$B$3,0)),"")</f>
        <v/>
      </c>
      <c r="K10" s="133">
        <f>IFERROR(IF($J10="","",$J10*IF(ISNUMBER($I10),$I10,'Index Summary'!$C$7)/100),"")</f>
        <v/>
      </c>
      <c r="L10" s="133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132">
        <f>IFERROR(IF(LEN($P10)&lt;&gt;3,1,IF($P10=$D$2,1,BDP($P10&amp;$D$2&amp;" Curncy","PX_LAST"))),1)</f>
        <v/>
      </c>
    </row>
    <row r="11">
      <c r="A11" s="16" t="n"/>
      <c r="B11" s="80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33">
        <f>IFERROR(IF($B11="","",IF(ISNUMBER($F11),$B11*$F11*$D$3/$B$3,0)),"")</f>
        <v/>
      </c>
      <c r="K11" s="133">
        <f>IFERROR(IF($J11="","",$J11*IF(ISNUMBER($I11),$I11,'Index Summary'!$C$7)/100),"")</f>
        <v/>
      </c>
      <c r="L11" s="133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132">
        <f>IFERROR(IF(LEN($P11)&lt;&gt;3,1,IF($P11=$D$2,1,BDP($P11&amp;$D$2&amp;" Curncy","PX_LAST"))),1)</f>
        <v/>
      </c>
    </row>
    <row r="12">
      <c r="A12" s="27" t="n"/>
      <c r="B12" s="80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33">
        <f>IFERROR(IF($B12="","",IF(ISNUMBER($F12),$B12*$F12*$D$3/$B$3,0)),"")</f>
        <v/>
      </c>
      <c r="K12" s="133">
        <f>IFERROR(IF($J12="","",$J12*IF(ISNUMBER($I12),$I12,'Index Summary'!$C$7)/100),"")</f>
        <v/>
      </c>
      <c r="L12" s="133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132">
        <f>IFERROR(IF(LEN($P12)&lt;&gt;3,1,IF($P12=$D$2,1,BDP($P12&amp;$D$2&amp;" Curncy","PX_LAST"))),1)</f>
        <v/>
      </c>
    </row>
    <row r="13">
      <c r="A13" s="16" t="n"/>
      <c r="B13" s="80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33">
        <f>IFERROR(IF($B13="","",IF(ISNUMBER($F13),$B13*$F13*$D$3/$B$3,0)),"")</f>
        <v/>
      </c>
      <c r="K13" s="133">
        <f>IFERROR(IF($J13="","",$J13*IF(ISNUMBER($I13),$I13,'Index Summary'!$C$7)/100),"")</f>
        <v/>
      </c>
      <c r="L13" s="133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132">
        <f>IFERROR(IF(LEN($P13)&lt;&gt;3,1,IF($P13=$D$2,1,BDP($P13&amp;$D$2&amp;" Curncy","PX_LAST"))),1)</f>
        <v/>
      </c>
    </row>
    <row r="14">
      <c r="A14" s="27" t="n"/>
      <c r="B14" s="80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33">
        <f>IFERROR(IF($B14="","",IF(ISNUMBER($F14),$B14*$F14*$D$3/$B$3,0)),"")</f>
        <v/>
      </c>
      <c r="K14" s="133">
        <f>IFERROR(IF($J14="","",$J14*IF(ISNUMBER($I14),$I14,'Index Summary'!$C$7)/100),"")</f>
        <v/>
      </c>
      <c r="L14" s="133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132">
        <f>IFERROR(IF(LEN($P14)&lt;&gt;3,1,IF($P14=$D$2,1,BDP($P14&amp;$D$2&amp;" Curncy","PX_LAST"))),1)</f>
        <v/>
      </c>
    </row>
    <row r="15">
      <c r="A15" s="16" t="n"/>
      <c r="B15" s="80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33">
        <f>IFERROR(IF($B15="","",IF(ISNUMBER($F15),$B15*$F15*$D$3/$B$3,0)),"")</f>
        <v/>
      </c>
      <c r="K15" s="133">
        <f>IFERROR(IF($J15="","",$J15*IF(ISNUMBER($I15),$I15,'Index Summary'!$C$7)/100),"")</f>
        <v/>
      </c>
      <c r="L15" s="133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132">
        <f>IFERROR(IF(LEN($P15)&lt;&gt;3,1,IF($P15=$D$2,1,BDP($P15&amp;$D$2&amp;" Curncy","PX_LAST"))),1)</f>
        <v/>
      </c>
    </row>
    <row r="16">
      <c r="A16" s="27" t="n"/>
      <c r="B16" s="80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33">
        <f>IFERROR(IF($B16="","",IF(ISNUMBER($F16),$B16*$F16*$D$3/$B$3,0)),"")</f>
        <v/>
      </c>
      <c r="K16" s="133">
        <f>IFERROR(IF($J16="","",$J16*IF(ISNUMBER($I16),$I16,'Index Summary'!$C$7)/100),"")</f>
        <v/>
      </c>
      <c r="L16" s="133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132">
        <f>IFERROR(IF(LEN($P16)&lt;&gt;3,1,IF($P16=$D$2,1,BDP($P16&amp;$D$2&amp;" Curncy","PX_LAST"))),1)</f>
        <v/>
      </c>
    </row>
    <row r="17">
      <c r="A17" s="16" t="n"/>
      <c r="B17" s="80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33">
        <f>IFERROR(IF($B17="","",IF(ISNUMBER($F17),$B17*$F17*$D$3/$B$3,0)),"")</f>
        <v/>
      </c>
      <c r="K17" s="133">
        <f>IFERROR(IF($J17="","",$J17*IF(ISNUMBER($I17),$I17,'Index Summary'!$C$7)/100),"")</f>
        <v/>
      </c>
      <c r="L17" s="133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132">
        <f>IFERROR(IF(LEN($P17)&lt;&gt;3,1,IF($P17=$D$2,1,BDP($P17&amp;$D$2&amp;" Curncy","PX_LAST"))),1)</f>
        <v/>
      </c>
    </row>
    <row r="18">
      <c r="A18" s="27" t="n"/>
      <c r="B18" s="80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33">
        <f>IFERROR(IF($B18="","",IF(ISNUMBER($F18),$B18*$F18*$D$3/$B$3,0)),"")</f>
        <v/>
      </c>
      <c r="K18" s="133">
        <f>IFERROR(IF($J18="","",$J18*IF(ISNUMBER($I18),$I18,'Index Summary'!$C$7)/100),"")</f>
        <v/>
      </c>
      <c r="L18" s="133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132">
        <f>IFERROR(IF(LEN($P18)&lt;&gt;3,1,IF($P18=$D$2,1,BDP($P18&amp;$D$2&amp;" Curncy","PX_LAST"))),1)</f>
        <v/>
      </c>
    </row>
    <row r="19">
      <c r="A19" s="16" t="n"/>
      <c r="B19" s="80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33">
        <f>IFERROR(IF($B19="","",IF(ISNUMBER($F19),$B19*$F19*$D$3/$B$3,0)),"")</f>
        <v/>
      </c>
      <c r="K19" s="133">
        <f>IFERROR(IF($J19="","",$J19*IF(ISNUMBER($I19),$I19,'Index Summary'!$C$7)/100),"")</f>
        <v/>
      </c>
      <c r="L19" s="133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132">
        <f>IFERROR(IF(LEN($P19)&lt;&gt;3,1,IF($P19=$D$2,1,BDP($P19&amp;$D$2&amp;" Curncy","PX_LAST"))),1)</f>
        <v/>
      </c>
    </row>
    <row r="20">
      <c r="A20" s="27" t="n"/>
      <c r="B20" s="80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33">
        <f>IFERROR(IF($B20="","",IF(ISNUMBER($F20),$B20*$F20*$D$3/$B$3,0)),"")</f>
        <v/>
      </c>
      <c r="K20" s="133">
        <f>IFERROR(IF($J20="","",$J20*IF(ISNUMBER($I20),$I20,'Index Summary'!$C$7)/100),"")</f>
        <v/>
      </c>
      <c r="L20" s="133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132">
        <f>IFERROR(IF(LEN($P20)&lt;&gt;3,1,IF($P20=$D$2,1,BDP($P20&amp;$D$2&amp;" Curncy","PX_LAST"))),1)</f>
        <v/>
      </c>
    </row>
    <row r="21">
      <c r="A21" s="16" t="n"/>
      <c r="B21" s="80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33">
        <f>IFERROR(IF($B21="","",IF(ISNUMBER($F21),$B21*$F21*$D$3/$B$3,0)),"")</f>
        <v/>
      </c>
      <c r="K21" s="133">
        <f>IFERROR(IF($J21="","",$J21*IF(ISNUMBER($I21),$I21,'Index Summary'!$C$7)/100),"")</f>
        <v/>
      </c>
      <c r="L21" s="133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132">
        <f>IFERROR(IF(LEN($P21)&lt;&gt;3,1,IF($P21=$D$2,1,BDP($P21&amp;$D$2&amp;" Curncy","PX_LAST"))),1)</f>
        <v/>
      </c>
    </row>
    <row r="22">
      <c r="A22" s="27" t="n"/>
      <c r="B22" s="80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33">
        <f>IFERROR(IF($B22="","",IF(ISNUMBER($F22),$B22*$F22*$D$3/$B$3,0)),"")</f>
        <v/>
      </c>
      <c r="K22" s="133">
        <f>IFERROR(IF($J22="","",$J22*IF(ISNUMBER($I22),$I22,'Index Summary'!$C$7)/100),"")</f>
        <v/>
      </c>
      <c r="L22" s="133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132">
        <f>IFERROR(IF(LEN($P22)&lt;&gt;3,1,IF($P22=$D$2,1,BDP($P22&amp;$D$2&amp;" Curncy","PX_LAST"))),1)</f>
        <v/>
      </c>
    </row>
    <row r="23">
      <c r="A23" s="16" t="n"/>
      <c r="B23" s="80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33">
        <f>IFERROR(IF($B23="","",IF(ISNUMBER($F23),$B23*$F23*$D$3/$B$3,0)),"")</f>
        <v/>
      </c>
      <c r="K23" s="133">
        <f>IFERROR(IF($J23="","",$J23*IF(ISNUMBER($I23),$I23,'Index Summary'!$C$7)/100),"")</f>
        <v/>
      </c>
      <c r="L23" s="133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132">
        <f>IFERROR(IF(LEN($P23)&lt;&gt;3,1,IF($P23=$D$2,1,BDP($P23&amp;$D$2&amp;" Curncy","PX_LAST"))),1)</f>
        <v/>
      </c>
    </row>
    <row r="24">
      <c r="A24" s="27" t="n"/>
      <c r="B24" s="80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33">
        <f>IFERROR(IF($B24="","",IF(ISNUMBER($F24),$B24*$F24*$D$3/$B$3,0)),"")</f>
        <v/>
      </c>
      <c r="K24" s="133">
        <f>IFERROR(IF($J24="","",$J24*IF(ISNUMBER($I24),$I24,'Index Summary'!$C$7)/100),"")</f>
        <v/>
      </c>
      <c r="L24" s="133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132">
        <f>IFERROR(IF(LEN($P24)&lt;&gt;3,1,IF($P24=$D$2,1,BDP($P24&amp;$D$2&amp;" Curncy","PX_LAST"))),1)</f>
        <v/>
      </c>
    </row>
    <row r="25">
      <c r="A25" s="16" t="n"/>
      <c r="B25" s="80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33">
        <f>IFERROR(IF($B25="","",IF(ISNUMBER($F25),$B25*$F25*$D$3/$B$3,0)),"")</f>
        <v/>
      </c>
      <c r="K25" s="133">
        <f>IFERROR(IF($J25="","",$J25*IF(ISNUMBER($I25),$I25,'Index Summary'!$C$7)/100),"")</f>
        <v/>
      </c>
      <c r="L25" s="133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132">
        <f>IFERROR(IF(LEN($P25)&lt;&gt;3,1,IF($P25=$D$2,1,BDP($P25&amp;$D$2&amp;" Curncy","PX_LAST"))),1)</f>
        <v/>
      </c>
    </row>
    <row r="26">
      <c r="A26" s="27" t="n"/>
      <c r="B26" s="80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33">
        <f>IFERROR(IF($B26="","",IF(ISNUMBER($F26),$B26*$F26*$D$3/$B$3,0)),"")</f>
        <v/>
      </c>
      <c r="K26" s="133">
        <f>IFERROR(IF($J26="","",$J26*IF(ISNUMBER($I26),$I26,'Index Summary'!$C$7)/100),"")</f>
        <v/>
      </c>
      <c r="L26" s="133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132">
        <f>IFERROR(IF(LEN($P26)&lt;&gt;3,1,IF($P26=$D$2,1,BDP($P26&amp;$D$2&amp;" Curncy","PX_LAST"))),1)</f>
        <v/>
      </c>
    </row>
    <row r="27">
      <c r="A27" s="16" t="n"/>
      <c r="B27" s="80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33">
        <f>IFERROR(IF($B27="","",IF(ISNUMBER($F27),$B27*$F27*$D$3/$B$3,0)),"")</f>
        <v/>
      </c>
      <c r="K27" s="133">
        <f>IFERROR(IF($J27="","",$J27*IF(ISNUMBER($I27),$I27,'Index Summary'!$C$7)/100),"")</f>
        <v/>
      </c>
      <c r="L27" s="133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132">
        <f>IFERROR(IF(LEN($P27)&lt;&gt;3,1,IF($P27=$D$2,1,BDP($P27&amp;$D$2&amp;" Curncy","PX_LAST"))),1)</f>
        <v/>
      </c>
    </row>
    <row r="28">
      <c r="A28" s="27" t="n"/>
      <c r="B28" s="80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33">
        <f>IFERROR(IF($B28="","",IF(ISNUMBER($F28),$B28*$F28*$D$3/$B$3,0)),"")</f>
        <v/>
      </c>
      <c r="K28" s="133">
        <f>IFERROR(IF($J28="","",$J28*IF(ISNUMBER($I28),$I28,'Index Summary'!$C$7)/100),"")</f>
        <v/>
      </c>
      <c r="L28" s="133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132">
        <f>IFERROR(IF(LEN($P28)&lt;&gt;3,1,IF($P28=$D$2,1,BDP($P28&amp;$D$2&amp;" Curncy","PX_LAST"))),1)</f>
        <v/>
      </c>
    </row>
    <row r="29">
      <c r="A29" s="16" t="n"/>
      <c r="B29" s="80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33">
        <f>IFERROR(IF($B29="","",IF(ISNUMBER($F29),$B29*$F29*$D$3/$B$3,0)),"")</f>
        <v/>
      </c>
      <c r="K29" s="133">
        <f>IFERROR(IF($J29="","",$J29*IF(ISNUMBER($I29),$I29,'Index Summary'!$C$7)/100),"")</f>
        <v/>
      </c>
      <c r="L29" s="133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132">
        <f>IFERROR(IF(LEN($P29)&lt;&gt;3,1,IF($P29=$D$2,1,BDP($P29&amp;$D$2&amp;" Curncy","PX_LAST"))),1)</f>
        <v/>
      </c>
    </row>
    <row r="30">
      <c r="A30" s="27" t="n"/>
      <c r="B30" s="80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33">
        <f>IFERROR(IF($B30="","",IF(ISNUMBER($F30),$B30*$F30*$D$3/$B$3,0)),"")</f>
        <v/>
      </c>
      <c r="K30" s="133">
        <f>IFERROR(IF($J30="","",$J30*IF(ISNUMBER($I30),$I30,'Index Summary'!$C$7)/100),"")</f>
        <v/>
      </c>
      <c r="L30" s="133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132">
        <f>IFERROR(IF(LEN($P30)&lt;&gt;3,1,IF($P30=$D$2,1,BDP($P30&amp;$D$2&amp;" Curncy","PX_LAST"))),1)</f>
        <v/>
      </c>
    </row>
    <row r="31">
      <c r="A31" s="16" t="n"/>
      <c r="B31" s="80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33">
        <f>IFERROR(IF($B31="","",IF(ISNUMBER($F31),$B31*$F31*$D$3/$B$3,0)),"")</f>
        <v/>
      </c>
      <c r="K31" s="133">
        <f>IFERROR(IF($J31="","",$J31*IF(ISNUMBER($I31),$I31,'Index Summary'!$C$7)/100),"")</f>
        <v/>
      </c>
      <c r="L31" s="133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132">
        <f>IFERROR(IF(LEN($P31)&lt;&gt;3,1,IF($P31=$D$2,1,BDP($P31&amp;$D$2&amp;" Curncy","PX_LAST"))),1)</f>
        <v/>
      </c>
    </row>
    <row r="32">
      <c r="A32" s="27" t="n"/>
      <c r="B32" s="80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33">
        <f>IFERROR(IF($B32="","",IF(ISNUMBER($F32),$B32*$F32*$D$3/$B$3,0)),"")</f>
        <v/>
      </c>
      <c r="K32" s="133">
        <f>IFERROR(IF($J32="","",$J32*IF(ISNUMBER($I32),$I32,'Index Summary'!$C$7)/100),"")</f>
        <v/>
      </c>
      <c r="L32" s="133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132">
        <f>IFERROR(IF(LEN($P32)&lt;&gt;3,1,IF($P32=$D$2,1,BDP($P32&amp;$D$2&amp;" Curncy","PX_LAST"))),1)</f>
        <v/>
      </c>
    </row>
    <row r="33">
      <c r="A33" s="16" t="n"/>
      <c r="B33" s="80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33">
        <f>IFERROR(IF($B33="","",IF(ISNUMBER($F33),$B33*$F33*$D$3/$B$3,0)),"")</f>
        <v/>
      </c>
      <c r="K33" s="133">
        <f>IFERROR(IF($J33="","",$J33*IF(ISNUMBER($I33),$I33,'Index Summary'!$C$7)/100),"")</f>
        <v/>
      </c>
      <c r="L33" s="133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132">
        <f>IFERROR(IF(LEN($P33)&lt;&gt;3,1,IF($P33=$D$2,1,BDP($P33&amp;$D$2&amp;" Curncy","PX_LAST"))),1)</f>
        <v/>
      </c>
    </row>
    <row r="34">
      <c r="A34" s="27" t="n"/>
      <c r="B34" s="80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33">
        <f>IFERROR(IF($B34="","",IF(ISNUMBER($F34),$B34*$F34*$D$3/$B$3,0)),"")</f>
        <v/>
      </c>
      <c r="K34" s="133">
        <f>IFERROR(IF($J34="","",$J34*IF(ISNUMBER($I34),$I34,'Index Summary'!$C$7)/100),"")</f>
        <v/>
      </c>
      <c r="L34" s="133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132">
        <f>IFERROR(IF(LEN($P34)&lt;&gt;3,1,IF($P34=$D$2,1,BDP($P34&amp;$D$2&amp;" Curncy","PX_LAST"))),1)</f>
        <v/>
      </c>
    </row>
    <row r="35">
      <c r="A35" s="16" t="n"/>
      <c r="B35" s="80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33">
        <f>IFERROR(IF($B35="","",IF(ISNUMBER($F35),$B35*$F35*$D$3/$B$3,0)),"")</f>
        <v/>
      </c>
      <c r="K35" s="133">
        <f>IFERROR(IF($J35="","",$J35*IF(ISNUMBER($I35),$I35,'Index Summary'!$C$7)/100),"")</f>
        <v/>
      </c>
      <c r="L35" s="133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132">
        <f>IFERROR(IF(LEN($P35)&lt;&gt;3,1,IF($P35=$D$2,1,BDP($P35&amp;$D$2&amp;" Curncy","PX_LAST"))),1)</f>
        <v/>
      </c>
    </row>
    <row r="36">
      <c r="A36" s="27" t="n"/>
      <c r="B36" s="80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33">
        <f>IFERROR(IF($B36="","",IF(ISNUMBER($F36),$B36*$F36*$D$3/$B$3,0)),"")</f>
        <v/>
      </c>
      <c r="K36" s="133">
        <f>IFERROR(IF($J36="","",$J36*IF(ISNUMBER($I36),$I36,'Index Summary'!$C$7)/100),"")</f>
        <v/>
      </c>
      <c r="L36" s="133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132">
        <f>IFERROR(IF(LEN($P36)&lt;&gt;3,1,IF($P36=$D$2,1,BDP($P36&amp;$D$2&amp;" Curncy","PX_LAST"))),1)</f>
        <v/>
      </c>
    </row>
    <row r="37">
      <c r="A37" s="16" t="n"/>
      <c r="B37" s="80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33">
        <f>IFERROR(IF($B37="","",IF(ISNUMBER($F37),$B37*$F37*$D$3/$B$3,0)),"")</f>
        <v/>
      </c>
      <c r="K37" s="133">
        <f>IFERROR(IF($J37="","",$J37*IF(ISNUMBER($I37),$I37,'Index Summary'!$C$7)/100),"")</f>
        <v/>
      </c>
      <c r="L37" s="133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132">
        <f>IFERROR(IF(LEN($P37)&lt;&gt;3,1,IF($P37=$D$2,1,BDP($P37&amp;$D$2&amp;" Curncy","PX_LAST"))),1)</f>
        <v/>
      </c>
    </row>
    <row r="38">
      <c r="A38" s="27" t="n"/>
      <c r="B38" s="80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33">
        <f>IFERROR(IF($B38="","",IF(ISNUMBER($F38),$B38*$F38*$D$3/$B$3,0)),"")</f>
        <v/>
      </c>
      <c r="K38" s="133">
        <f>IFERROR(IF($J38="","",$J38*IF(ISNUMBER($I38),$I38,'Index Summary'!$C$7)/100),"")</f>
        <v/>
      </c>
      <c r="L38" s="133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132">
        <f>IFERROR(IF(LEN($P38)&lt;&gt;3,1,IF($P38=$D$2,1,BDP($P38&amp;$D$2&amp;" Curncy","PX_LAST"))),1)</f>
        <v/>
      </c>
    </row>
    <row r="39">
      <c r="A39" s="16" t="n"/>
      <c r="B39" s="80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33">
        <f>IFERROR(IF($B39="","",IF(ISNUMBER($F39),$B39*$F39*$D$3/$B$3,0)),"")</f>
        <v/>
      </c>
      <c r="K39" s="133">
        <f>IFERROR(IF($J39="","",$J39*IF(ISNUMBER($I39),$I39,'Index Summary'!$C$7)/100),"")</f>
        <v/>
      </c>
      <c r="L39" s="133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132">
        <f>IFERROR(IF(LEN($P39)&lt;&gt;3,1,IF($P39=$D$2,1,BDP($P39&amp;$D$2&amp;" Curncy","PX_LAST"))),1)</f>
        <v/>
      </c>
    </row>
    <row r="40">
      <c r="A40" s="27" t="n"/>
      <c r="B40" s="80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33">
        <f>IFERROR(IF($B40="","",IF(ISNUMBER($F40),$B40*$F40*$D$3/$B$3,0)),"")</f>
        <v/>
      </c>
      <c r="K40" s="133">
        <f>IFERROR(IF($J40="","",$J40*IF(ISNUMBER($I40),$I40,'Index Summary'!$C$7)/100),"")</f>
        <v/>
      </c>
      <c r="L40" s="133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132">
        <f>IFERROR(IF(LEN($P40)&lt;&gt;3,1,IF($P40=$D$2,1,BDP($P40&amp;$D$2&amp;" Curncy","PX_LAST"))),1)</f>
        <v/>
      </c>
    </row>
    <row r="41">
      <c r="A41" s="16" t="n"/>
      <c r="B41" s="80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33">
        <f>IFERROR(IF($B41="","",IF(ISNUMBER($F41),$B41*$F41*$D$3/$B$3,0)),"")</f>
        <v/>
      </c>
      <c r="K41" s="133">
        <f>IFERROR(IF($J41="","",$J41*IF(ISNUMBER($I41),$I41,'Index Summary'!$C$7)/100),"")</f>
        <v/>
      </c>
      <c r="L41" s="133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132">
        <f>IFERROR(IF(LEN($P41)&lt;&gt;3,1,IF($P41=$D$2,1,BDP($P41&amp;$D$2&amp;" Curncy","PX_LAST"))),1)</f>
        <v/>
      </c>
    </row>
    <row r="42">
      <c r="A42" s="27" t="n"/>
      <c r="B42" s="80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33">
        <f>IFERROR(IF($B42="","",IF(ISNUMBER($F42),$B42*$F42*$D$3/$B$3,0)),"")</f>
        <v/>
      </c>
      <c r="K42" s="133">
        <f>IFERROR(IF($J42="","",$J42*IF(ISNUMBER($I42),$I42,'Index Summary'!$C$7)/100),"")</f>
        <v/>
      </c>
      <c r="L42" s="133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132">
        <f>IFERROR(IF(LEN($P42)&lt;&gt;3,1,IF($P42=$D$2,1,BDP($P42&amp;$D$2&amp;" Curncy","PX_LAST"))),1)</f>
        <v/>
      </c>
    </row>
    <row r="43">
      <c r="A43" s="16" t="n"/>
      <c r="B43" s="80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33">
        <f>IFERROR(IF($B43="","",IF(ISNUMBER($F43),$B43*$F43*$D$3/$B$3,0)),"")</f>
        <v/>
      </c>
      <c r="K43" s="133">
        <f>IFERROR(IF($J43="","",$J43*IF(ISNUMBER($I43),$I43,'Index Summary'!$C$7)/100),"")</f>
        <v/>
      </c>
      <c r="L43" s="133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132">
        <f>IFERROR(IF(LEN($P43)&lt;&gt;3,1,IF($P43=$D$2,1,BDP($P43&amp;$D$2&amp;" Curncy","PX_LAST"))),1)</f>
        <v/>
      </c>
    </row>
    <row r="44">
      <c r="A44" s="27" t="n"/>
      <c r="B44" s="80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33">
        <f>IFERROR(IF($B44="","",IF(ISNUMBER($F44),$B44*$F44*$D$3/$B$3,0)),"")</f>
        <v/>
      </c>
      <c r="K44" s="133">
        <f>IFERROR(IF($J44="","",$J44*IF(ISNUMBER($I44),$I44,'Index Summary'!$C$7)/100),"")</f>
        <v/>
      </c>
      <c r="L44" s="133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132">
        <f>IFERROR(IF(LEN($P44)&lt;&gt;3,1,IF($P44=$D$2,1,BDP($P44&amp;$D$2&amp;" Curncy","PX_LAST"))),1)</f>
        <v/>
      </c>
    </row>
    <row r="45">
      <c r="A45" s="16" t="n"/>
      <c r="B45" s="80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33">
        <f>IFERROR(IF($B45="","",IF(ISNUMBER($F45),$B45*$F45*$D$3/$B$3,0)),"")</f>
        <v/>
      </c>
      <c r="K45" s="133">
        <f>IFERROR(IF($J45="","",$J45*IF(ISNUMBER($I45),$I45,'Index Summary'!$C$7)/100),"")</f>
        <v/>
      </c>
      <c r="L45" s="133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132">
        <f>IFERROR(IF(LEN($P45)&lt;&gt;3,1,IF($P45=$D$2,1,BDP($P45&amp;$D$2&amp;" Curncy","PX_LAST"))),1)</f>
        <v/>
      </c>
    </row>
    <row r="46">
      <c r="A46" s="27" t="n"/>
      <c r="B46" s="80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33">
        <f>IFERROR(IF($B46="","",IF(ISNUMBER($F46),$B46*$F46*$D$3/$B$3,0)),"")</f>
        <v/>
      </c>
      <c r="K46" s="133">
        <f>IFERROR(IF($J46="","",$J46*IF(ISNUMBER($I46),$I46,'Index Summary'!$C$7)/100),"")</f>
        <v/>
      </c>
      <c r="L46" s="133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132">
        <f>IFERROR(IF(LEN($P46)&lt;&gt;3,1,IF($P46=$D$2,1,BDP($P46&amp;$D$2&amp;" Curncy","PX_LAST"))),1)</f>
        <v/>
      </c>
    </row>
    <row r="47">
      <c r="A47" s="16" t="n"/>
      <c r="B47" s="80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33">
        <f>IFERROR(IF($B47="","",IF(ISNUMBER($F47),$B47*$F47*$D$3/$B$3,0)),"")</f>
        <v/>
      </c>
      <c r="K47" s="133">
        <f>IFERROR(IF($J47="","",$J47*IF(ISNUMBER($I47),$I47,'Index Summary'!$C$7)/100),"")</f>
        <v/>
      </c>
      <c r="L47" s="133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132">
        <f>IFERROR(IF(LEN($P47)&lt;&gt;3,1,IF($P47=$D$2,1,BDP($P47&amp;$D$2&amp;" Curncy","PX_LAST"))),1)</f>
        <v/>
      </c>
    </row>
    <row r="48">
      <c r="A48" s="27" t="n"/>
      <c r="B48" s="80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33">
        <f>IFERROR(IF($B48="","",IF(ISNUMBER($F48),$B48*$F48*$D$3/$B$3,0)),"")</f>
        <v/>
      </c>
      <c r="K48" s="133">
        <f>IFERROR(IF($J48="","",$J48*IF(ISNUMBER($I48),$I48,'Index Summary'!$C$7)/100),"")</f>
        <v/>
      </c>
      <c r="L48" s="133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132">
        <f>IFERROR(IF(LEN($P48)&lt;&gt;3,1,IF($P48=$D$2,1,BDP($P48&amp;$D$2&amp;" Curncy","PX_LAST"))),1)</f>
        <v/>
      </c>
    </row>
    <row r="49">
      <c r="A49" s="16" t="n"/>
      <c r="B49" s="80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33">
        <f>IFERROR(IF($B49="","",IF(ISNUMBER($F49),$B49*$F49*$D$3/$B$3,0)),"")</f>
        <v/>
      </c>
      <c r="K49" s="133">
        <f>IFERROR(IF($J49="","",$J49*IF(ISNUMBER($I49),$I49,'Index Summary'!$C$7)/100),"")</f>
        <v/>
      </c>
      <c r="L49" s="133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132">
        <f>IFERROR(IF(LEN($P49)&lt;&gt;3,1,IF($P49=$D$2,1,BDP($P49&amp;$D$2&amp;" Curncy","PX_LAST"))),1)</f>
        <v/>
      </c>
    </row>
    <row r="50">
      <c r="A50" s="27" t="n"/>
      <c r="B50" s="80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33">
        <f>IFERROR(IF($B50="","",IF(ISNUMBER($F50),$B50*$F50*$D$3/$B$3,0)),"")</f>
        <v/>
      </c>
      <c r="K50" s="133">
        <f>IFERROR(IF($J50="","",$J50*IF(ISNUMBER($I50),$I50,'Index Summary'!$C$7)/100),"")</f>
        <v/>
      </c>
      <c r="L50" s="133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132">
        <f>IFERROR(IF(LEN($P50)&lt;&gt;3,1,IF($P50=$D$2,1,BDP($P50&amp;$D$2&amp;" Curncy","PX_LAST"))),1)</f>
        <v/>
      </c>
    </row>
    <row r="51">
      <c r="A51" s="16" t="n"/>
      <c r="B51" s="80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33">
        <f>IFERROR(IF($B51="","",IF(ISNUMBER($F51),$B51*$F51*$D$3/$B$3,0)),"")</f>
        <v/>
      </c>
      <c r="K51" s="133">
        <f>IFERROR(IF($J51="","",$J51*IF(ISNUMBER($I51),$I51,'Index Summary'!$C$7)/100),"")</f>
        <v/>
      </c>
      <c r="L51" s="133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132">
        <f>IFERROR(IF(LEN($P51)&lt;&gt;3,1,IF($P51=$D$2,1,BDP($P51&amp;$D$2&amp;" Curncy","PX_LAST"))),1)</f>
        <v/>
      </c>
    </row>
    <row r="52">
      <c r="A52" s="27" t="n"/>
      <c r="B52" s="80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33">
        <f>IFERROR(IF($B52="","",IF(ISNUMBER($F52),$B52*$F52*$D$3/$B$3,0)),"")</f>
        <v/>
      </c>
      <c r="K52" s="133">
        <f>IFERROR(IF($J52="","",$J52*IF(ISNUMBER($I52),$I52,'Index Summary'!$C$7)/100),"")</f>
        <v/>
      </c>
      <c r="L52" s="133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132">
        <f>IFERROR(IF(LEN($P52)&lt;&gt;3,1,IF($P52=$D$2,1,BDP($P52&amp;$D$2&amp;" Curncy","PX_LAST"))),1)</f>
        <v/>
      </c>
    </row>
    <row r="53">
      <c r="A53" s="16" t="n"/>
      <c r="B53" s="80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33">
        <f>IFERROR(IF($B53="","",IF(ISNUMBER($F53),$B53*$F53*$D$3/$B$3,0)),"")</f>
        <v/>
      </c>
      <c r="K53" s="133">
        <f>IFERROR(IF($J53="","",$J53*IF(ISNUMBER($I53),$I53,'Index Summary'!$C$7)/100),"")</f>
        <v/>
      </c>
      <c r="L53" s="133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132">
        <f>IFERROR(IF(LEN($P53)&lt;&gt;3,1,IF($P53=$D$2,1,BDP($P53&amp;$D$2&amp;" Curncy","PX_LAST"))),1)</f>
        <v/>
      </c>
    </row>
    <row r="54">
      <c r="A54" s="27" t="n"/>
      <c r="B54" s="80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33">
        <f>IFERROR(IF($B54="","",IF(ISNUMBER($F54),$B54*$F54*$D$3/$B$3,0)),"")</f>
        <v/>
      </c>
      <c r="K54" s="133">
        <f>IFERROR(IF($J54="","",$J54*IF(ISNUMBER($I54),$I54,'Index Summary'!$C$7)/100),"")</f>
        <v/>
      </c>
      <c r="L54" s="133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132">
        <f>IFERROR(IF(LEN($P54)&lt;&gt;3,1,IF($P54=$D$2,1,BDP($P54&amp;$D$2&amp;" Curncy","PX_LAST"))),1)</f>
        <v/>
      </c>
    </row>
    <row r="55">
      <c r="A55" s="16" t="n"/>
      <c r="B55" s="80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33">
        <f>IFERROR(IF($B55="","",IF(ISNUMBER($F55),$B55*$F55*$D$3/$B$3,0)),"")</f>
        <v/>
      </c>
      <c r="K55" s="133">
        <f>IFERROR(IF($J55="","",$J55*IF(ISNUMBER($I55),$I55,'Index Summary'!$C$7)/100),"")</f>
        <v/>
      </c>
      <c r="L55" s="133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132">
        <f>IFERROR(IF(LEN($P55)&lt;&gt;3,1,IF($P55=$D$2,1,BDP($P55&amp;$D$2&amp;" Curncy","PX_LAST"))),1)</f>
        <v/>
      </c>
    </row>
    <row r="56">
      <c r="A56" s="27" t="n"/>
      <c r="B56" s="80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33">
        <f>IFERROR(IF($B56="","",IF(ISNUMBER($F56),$B56*$F56*$D$3/$B$3,0)),"")</f>
        <v/>
      </c>
      <c r="K56" s="133">
        <f>IFERROR(IF($J56="","",$J56*IF(ISNUMBER($I56),$I56,'Index Summary'!$C$7)/100),"")</f>
        <v/>
      </c>
      <c r="L56" s="133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132">
        <f>IFERROR(IF(LEN($P56)&lt;&gt;3,1,IF($P56=$D$2,1,BDP($P56&amp;$D$2&amp;" Curncy","PX_LAST"))),1)</f>
        <v/>
      </c>
    </row>
    <row r="57">
      <c r="A57" s="16" t="n"/>
      <c r="B57" s="80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33">
        <f>IFERROR(IF($B57="","",IF(ISNUMBER($F57),$B57*$F57*$D$3/$B$3,0)),"")</f>
        <v/>
      </c>
      <c r="K57" s="133">
        <f>IFERROR(IF($J57="","",$J57*IF(ISNUMBER($I57),$I57,'Index Summary'!$C$7)/100),"")</f>
        <v/>
      </c>
      <c r="L57" s="133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132">
        <f>IFERROR(IF(LEN($P57)&lt;&gt;3,1,IF($P57=$D$2,1,BDP($P57&amp;$D$2&amp;" Curncy","PX_LAST"))),1)</f>
        <v/>
      </c>
    </row>
    <row r="58">
      <c r="A58" s="27" t="n"/>
      <c r="B58" s="80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33">
        <f>IFERROR(IF($B58="","",IF(ISNUMBER($F58),$B58*$F58*$D$3/$B$3,0)),"")</f>
        <v/>
      </c>
      <c r="K58" s="133">
        <f>IFERROR(IF($J58="","",$J58*IF(ISNUMBER($I58),$I58,'Index Summary'!$C$7)/100),"")</f>
        <v/>
      </c>
      <c r="L58" s="133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132">
        <f>IFERROR(IF(LEN($P58)&lt;&gt;3,1,IF($P58=$D$2,1,BDP($P58&amp;$D$2&amp;" Curncy","PX_LAST"))),1)</f>
        <v/>
      </c>
    </row>
    <row r="59">
      <c r="A59" s="16" t="n"/>
      <c r="B59" s="80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33">
        <f>IFERROR(IF($B59="","",IF(ISNUMBER($F59),$B59*$F59*$D$3/$B$3,0)),"")</f>
        <v/>
      </c>
      <c r="K59" s="133">
        <f>IFERROR(IF($J59="","",$J59*IF(ISNUMBER($I59),$I59,'Index Summary'!$C$7)/100),"")</f>
        <v/>
      </c>
      <c r="L59" s="133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132">
        <f>IFERROR(IF(LEN($P59)&lt;&gt;3,1,IF($P59=$D$2,1,BDP($P59&amp;$D$2&amp;" Curncy","PX_LAST"))),1)</f>
        <v/>
      </c>
    </row>
    <row r="60">
      <c r="A60" s="27" t="n"/>
      <c r="B60" s="80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33">
        <f>IFERROR(IF($B60="","",IF(ISNUMBER($F60),$B60*$F60*$D$3/$B$3,0)),"")</f>
        <v/>
      </c>
      <c r="K60" s="133">
        <f>IFERROR(IF($J60="","",$J60*IF(ISNUMBER($I60),$I60,'Index Summary'!$C$7)/100),"")</f>
        <v/>
      </c>
      <c r="L60" s="133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132">
        <f>IFERROR(IF(LEN($P60)&lt;&gt;3,1,IF($P60=$D$2,1,BDP($P60&amp;$D$2&amp;" Curncy","PX_LAST"))),1)</f>
        <v/>
      </c>
    </row>
    <row r="61">
      <c r="A61" s="16" t="n"/>
      <c r="B61" s="80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33">
        <f>IFERROR(IF($B61="","",IF(ISNUMBER($F61),$B61*$F61*$D$3/$B$3,0)),"")</f>
        <v/>
      </c>
      <c r="K61" s="133">
        <f>IFERROR(IF($J61="","",$J61*IF(ISNUMBER($I61),$I61,'Index Summary'!$C$7)/100),"")</f>
        <v/>
      </c>
      <c r="L61" s="133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132">
        <f>IFERROR(IF(LEN($P61)&lt;&gt;3,1,IF($P61=$D$2,1,BDP($P61&amp;$D$2&amp;" Curncy","PX_LAST"))),1)</f>
        <v/>
      </c>
    </row>
    <row r="62">
      <c r="A62" s="27" t="n"/>
      <c r="B62" s="80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33">
        <f>IFERROR(IF($B62="","",IF(ISNUMBER($F62),$B62*$F62*$D$3/$B$3,0)),"")</f>
        <v/>
      </c>
      <c r="K62" s="133">
        <f>IFERROR(IF($J62="","",$J62*IF(ISNUMBER($I62),$I62,'Index Summary'!$C$7)/100),"")</f>
        <v/>
      </c>
      <c r="L62" s="133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132">
        <f>IFERROR(IF(LEN($P62)&lt;&gt;3,1,IF($P62=$D$2,1,BDP($P62&amp;$D$2&amp;" Curncy","PX_LAST"))),1)</f>
        <v/>
      </c>
    </row>
    <row r="63">
      <c r="A63" s="16" t="n"/>
      <c r="B63" s="80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33">
        <f>IFERROR(IF($B63="","",IF(ISNUMBER($F63),$B63*$F63*$D$3/$B$3,0)),"")</f>
        <v/>
      </c>
      <c r="K63" s="133">
        <f>IFERROR(IF($J63="","",$J63*IF(ISNUMBER($I63),$I63,'Index Summary'!$C$7)/100),"")</f>
        <v/>
      </c>
      <c r="L63" s="133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132">
        <f>IFERROR(IF(LEN($P63)&lt;&gt;3,1,IF($P63=$D$2,1,BDP($P63&amp;$D$2&amp;" Curncy","PX_LAST"))),1)</f>
        <v/>
      </c>
    </row>
    <row r="64">
      <c r="A64" s="27" t="n"/>
      <c r="B64" s="80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33">
        <f>IFERROR(IF($B64="","",IF(ISNUMBER($F64),$B64*$F64*$D$3/$B$3,0)),"")</f>
        <v/>
      </c>
      <c r="K64" s="133">
        <f>IFERROR(IF($J64="","",$J64*IF(ISNUMBER($I64),$I64,'Index Summary'!$C$7)/100),"")</f>
        <v/>
      </c>
      <c r="L64" s="133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132">
        <f>IFERROR(IF(LEN($P64)&lt;&gt;3,1,IF($P64=$D$2,1,BDP($P64&amp;$D$2&amp;" Curncy","PX_LAST"))),1)</f>
        <v/>
      </c>
    </row>
    <row r="65">
      <c r="A65" s="16" t="n"/>
      <c r="B65" s="80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33">
        <f>IFERROR(IF($B65="","",IF(ISNUMBER($F65),$B65*$F65*$D$3/$B$3,0)),"")</f>
        <v/>
      </c>
      <c r="K65" s="133">
        <f>IFERROR(IF($J65="","",$J65*IF(ISNUMBER($I65),$I65,'Index Summary'!$C$7)/100),"")</f>
        <v/>
      </c>
      <c r="L65" s="133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132">
        <f>IFERROR(IF(LEN($P65)&lt;&gt;3,1,IF($P65=$D$2,1,BDP($P65&amp;$D$2&amp;" Curncy","PX_LAST"))),1)</f>
        <v/>
      </c>
    </row>
    <row r="66">
      <c r="A66" s="27" t="n"/>
      <c r="B66" s="80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33">
        <f>IFERROR(IF($B66="","",IF(ISNUMBER($F66),$B66*$F66*$D$3/$B$3,0)),"")</f>
        <v/>
      </c>
      <c r="K66" s="133">
        <f>IFERROR(IF($J66="","",$J66*IF(ISNUMBER($I66),$I66,'Index Summary'!$C$7)/100),"")</f>
        <v/>
      </c>
      <c r="L66" s="133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132">
        <f>IFERROR(IF(LEN($P66)&lt;&gt;3,1,IF($P66=$D$2,1,BDP($P66&amp;$D$2&amp;" Curncy","PX_LAST"))),1)</f>
        <v/>
      </c>
    </row>
    <row r="67">
      <c r="A67" s="16" t="n"/>
      <c r="B67" s="80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33">
        <f>IFERROR(IF($B67="","",IF(ISNUMBER($F67),$B67*$F67*$D$3/$B$3,0)),"")</f>
        <v/>
      </c>
      <c r="K67" s="133">
        <f>IFERROR(IF($J67="","",$J67*IF(ISNUMBER($I67),$I67,'Index Summary'!$C$7)/100),"")</f>
        <v/>
      </c>
      <c r="L67" s="133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132">
        <f>IFERROR(IF(LEN($P67)&lt;&gt;3,1,IF($P67=$D$2,1,BDP($P67&amp;$D$2&amp;" Curncy","PX_LAST"))),1)</f>
        <v/>
      </c>
    </row>
    <row r="68">
      <c r="A68" s="27" t="n"/>
      <c r="B68" s="80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33">
        <f>IFERROR(IF($B68="","",IF(ISNUMBER($F68),$B68*$F68*$D$3/$B$3,0)),"")</f>
        <v/>
      </c>
      <c r="K68" s="133">
        <f>IFERROR(IF($J68="","",$J68*IF(ISNUMBER($I68),$I68,'Index Summary'!$C$7)/100),"")</f>
        <v/>
      </c>
      <c r="L68" s="133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132">
        <f>IFERROR(IF(LEN($P68)&lt;&gt;3,1,IF($P68=$D$2,1,BDP($P68&amp;$D$2&amp;" Curncy","PX_LAST"))),1)</f>
        <v/>
      </c>
    </row>
    <row r="69">
      <c r="A69" s="16" t="n"/>
      <c r="B69" s="80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33">
        <f>IFERROR(IF($B69="","",IF(ISNUMBER($F69),$B69*$F69*$D$3/$B$3,0)),"")</f>
        <v/>
      </c>
      <c r="K69" s="133">
        <f>IFERROR(IF($J69="","",$J69*IF(ISNUMBER($I69),$I69,'Index Summary'!$C$7)/100),"")</f>
        <v/>
      </c>
      <c r="L69" s="133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132">
        <f>IFERROR(IF(LEN($P69)&lt;&gt;3,1,IF($P69=$D$2,1,BDP($P69&amp;$D$2&amp;" Curncy","PX_LAST"))),1)</f>
        <v/>
      </c>
    </row>
    <row r="70">
      <c r="A70" s="27" t="n"/>
      <c r="B70" s="80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33">
        <f>IFERROR(IF($B70="","",IF(ISNUMBER($F70),$B70*$F70*$D$3/$B$3,0)),"")</f>
        <v/>
      </c>
      <c r="K70" s="133">
        <f>IFERROR(IF($J70="","",$J70*IF(ISNUMBER($I70),$I70,'Index Summary'!$C$7)/100),"")</f>
        <v/>
      </c>
      <c r="L70" s="133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132">
        <f>IFERROR(IF(LEN($P70)&lt;&gt;3,1,IF($P70=$D$2,1,BDP($P70&amp;$D$2&amp;" Curncy","PX_LAST"))),1)</f>
        <v/>
      </c>
    </row>
    <row r="71">
      <c r="A71" s="16" t="n"/>
      <c r="B71" s="80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33">
        <f>IFERROR(IF($B71="","",IF(ISNUMBER($F71),$B71*$F71*$D$3/$B$3,0)),"")</f>
        <v/>
      </c>
      <c r="K71" s="133">
        <f>IFERROR(IF($J71="","",$J71*IF(ISNUMBER($I71),$I71,'Index Summary'!$C$7)/100),"")</f>
        <v/>
      </c>
      <c r="L71" s="133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132">
        <f>IFERROR(IF(LEN($P71)&lt;&gt;3,1,IF($P71=$D$2,1,BDP($P71&amp;$D$2&amp;" Curncy","PX_LAST"))),1)</f>
        <v/>
      </c>
    </row>
    <row r="72">
      <c r="A72" s="27" t="n"/>
      <c r="B72" s="80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33">
        <f>IFERROR(IF($B72="","",IF(ISNUMBER($F72),$B72*$F72*$D$3/$B$3,0)),"")</f>
        <v/>
      </c>
      <c r="K72" s="133">
        <f>IFERROR(IF($J72="","",$J72*IF(ISNUMBER($I72),$I72,'Index Summary'!$C$7)/100),"")</f>
        <v/>
      </c>
      <c r="L72" s="133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132">
        <f>IFERROR(IF(LEN($P72)&lt;&gt;3,1,IF($P72=$D$2,1,BDP($P72&amp;$D$2&amp;" Curncy","PX_LAST"))),1)</f>
        <v/>
      </c>
    </row>
    <row r="73">
      <c r="A73" s="16" t="n"/>
      <c r="B73" s="80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33">
        <f>IFERROR(IF($B73="","",IF(ISNUMBER($F73),$B73*$F73*$D$3/$B$3,0)),"")</f>
        <v/>
      </c>
      <c r="K73" s="133">
        <f>IFERROR(IF($J73="","",$J73*IF(ISNUMBER($I73),$I73,'Index Summary'!$C$7)/100),"")</f>
        <v/>
      </c>
      <c r="L73" s="133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132">
        <f>IFERROR(IF(LEN($P73)&lt;&gt;3,1,IF($P73=$D$2,1,BDP($P73&amp;$D$2&amp;" Curncy","PX_LAST"))),1)</f>
        <v/>
      </c>
    </row>
    <row r="74">
      <c r="A74" s="27" t="n"/>
      <c r="B74" s="80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33">
        <f>IFERROR(IF($B74="","",IF(ISNUMBER($F74),$B74*$F74*$D$3/$B$3,0)),"")</f>
        <v/>
      </c>
      <c r="K74" s="133">
        <f>IFERROR(IF($J74="","",$J74*IF(ISNUMBER($I74),$I74,'Index Summary'!$C$7)/100),"")</f>
        <v/>
      </c>
      <c r="L74" s="133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132">
        <f>IFERROR(IF(LEN($P74)&lt;&gt;3,1,IF($P74=$D$2,1,BDP($P74&amp;$D$2&amp;" Curncy","PX_LAST"))),1)</f>
        <v/>
      </c>
    </row>
    <row r="75">
      <c r="A75" s="16" t="n"/>
      <c r="B75" s="80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33">
        <f>IFERROR(IF($B75="","",IF(ISNUMBER($F75),$B75*$F75*$D$3/$B$3,0)),"")</f>
        <v/>
      </c>
      <c r="K75" s="133">
        <f>IFERROR(IF($J75="","",$J75*IF(ISNUMBER($I75),$I75,'Index Summary'!$C$7)/100),"")</f>
        <v/>
      </c>
      <c r="L75" s="133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132">
        <f>IFERROR(IF(LEN($P75)&lt;&gt;3,1,IF($P75=$D$2,1,BDP($P75&amp;$D$2&amp;" Curncy","PX_LAST"))),1)</f>
        <v/>
      </c>
    </row>
    <row r="76">
      <c r="A76" s="27" t="n"/>
      <c r="B76" s="80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33">
        <f>IFERROR(IF($B76="","",IF(ISNUMBER($F76),$B76*$F76*$D$3/$B$3,0)),"")</f>
        <v/>
      </c>
      <c r="K76" s="133">
        <f>IFERROR(IF($J76="","",$J76*IF(ISNUMBER($I76),$I76,'Index Summary'!$C$7)/100),"")</f>
        <v/>
      </c>
      <c r="L76" s="133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132">
        <f>IFERROR(IF(LEN($P76)&lt;&gt;3,1,IF($P76=$D$2,1,BDP($P76&amp;$D$2&amp;" Curncy","PX_LAST"))),1)</f>
        <v/>
      </c>
    </row>
    <row r="77">
      <c r="A77" s="16" t="n"/>
      <c r="B77" s="80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33">
        <f>IFERROR(IF($B77="","",IF(ISNUMBER($F77),$B77*$F77*$D$3/$B$3,0)),"")</f>
        <v/>
      </c>
      <c r="K77" s="133">
        <f>IFERROR(IF($J77="","",$J77*IF(ISNUMBER($I77),$I77,'Index Summary'!$C$7)/100),"")</f>
        <v/>
      </c>
      <c r="L77" s="133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132">
        <f>IFERROR(IF(LEN($P77)&lt;&gt;3,1,IF($P77=$D$2,1,BDP($P77&amp;$D$2&amp;" Curncy","PX_LAST"))),1)</f>
        <v/>
      </c>
    </row>
    <row r="78">
      <c r="A78" s="27" t="n"/>
      <c r="B78" s="80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33">
        <f>IFERROR(IF($B78="","",IF(ISNUMBER($F78),$B78*$F78*$D$3/$B$3,0)),"")</f>
        <v/>
      </c>
      <c r="K78" s="133">
        <f>IFERROR(IF($J78="","",$J78*IF(ISNUMBER($I78),$I78,'Index Summary'!$C$7)/100),"")</f>
        <v/>
      </c>
      <c r="L78" s="133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132">
        <f>IFERROR(IF(LEN($P78)&lt;&gt;3,1,IF($P78=$D$2,1,BDP($P78&amp;$D$2&amp;" Curncy","PX_LAST"))),1)</f>
        <v/>
      </c>
    </row>
    <row r="79">
      <c r="A79" s="16" t="n"/>
      <c r="B79" s="80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33">
        <f>IFERROR(IF($B79="","",IF(ISNUMBER($F79),$B79*$F79*$D$3/$B$3,0)),"")</f>
        <v/>
      </c>
      <c r="K79" s="133">
        <f>IFERROR(IF($J79="","",$J79*IF(ISNUMBER($I79),$I79,'Index Summary'!$C$7)/100),"")</f>
        <v/>
      </c>
      <c r="L79" s="133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132">
        <f>IFERROR(IF(LEN($P79)&lt;&gt;3,1,IF($P79=$D$2,1,BDP($P79&amp;$D$2&amp;" Curncy","PX_LAST"))),1)</f>
        <v/>
      </c>
    </row>
    <row r="80">
      <c r="A80" s="27" t="n"/>
      <c r="B80" s="80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33">
        <f>IFERROR(IF($B80="","",IF(ISNUMBER($F80),$B80*$F80*$D$3/$B$3,0)),"")</f>
        <v/>
      </c>
      <c r="K80" s="133">
        <f>IFERROR(IF($J80="","",$J80*IF(ISNUMBER($I80),$I80,'Index Summary'!$C$7)/100),"")</f>
        <v/>
      </c>
      <c r="L80" s="133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132">
        <f>IFERROR(IF(LEN($P80)&lt;&gt;3,1,IF($P80=$D$2,1,BDP($P80&amp;$D$2&amp;" Curncy","PX_LAST"))),1)</f>
        <v/>
      </c>
    </row>
    <row r="81">
      <c r="A81" s="16" t="n"/>
      <c r="B81" s="80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33">
        <f>IFERROR(IF($B81="","",IF(ISNUMBER($F81),$B81*$F81*$D$3/$B$3,0)),"")</f>
        <v/>
      </c>
      <c r="K81" s="133">
        <f>IFERROR(IF($J81="","",$J81*IF(ISNUMBER($I81),$I81,'Index Summary'!$C$7)/100),"")</f>
        <v/>
      </c>
      <c r="L81" s="133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132">
        <f>IFERROR(IF(LEN($P81)&lt;&gt;3,1,IF($P81=$D$2,1,BDP($P81&amp;$D$2&amp;" Curncy","PX_LAST"))),1)</f>
        <v/>
      </c>
    </row>
    <row r="82">
      <c r="A82" s="27" t="n"/>
      <c r="B82" s="80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33">
        <f>IFERROR(IF($B82="","",IF(ISNUMBER($F82),$B82*$F82*$D$3/$B$3,0)),"")</f>
        <v/>
      </c>
      <c r="K82" s="133">
        <f>IFERROR(IF($J82="","",$J82*IF(ISNUMBER($I82),$I82,'Index Summary'!$C$7)/100),"")</f>
        <v/>
      </c>
      <c r="L82" s="133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132">
        <f>IFERROR(IF(LEN($P82)&lt;&gt;3,1,IF($P82=$D$2,1,BDP($P82&amp;$D$2&amp;" Curncy","PX_LAST"))),1)</f>
        <v/>
      </c>
    </row>
    <row r="83">
      <c r="A83" s="16" t="n"/>
      <c r="B83" s="80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33">
        <f>IFERROR(IF($B83="","",IF(ISNUMBER($F83),$B83*$F83*$D$3/$B$3,0)),"")</f>
        <v/>
      </c>
      <c r="K83" s="133">
        <f>IFERROR(IF($J83="","",$J83*IF(ISNUMBER($I83),$I83,'Index Summary'!$C$7)/100),"")</f>
        <v/>
      </c>
      <c r="L83" s="133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132">
        <f>IFERROR(IF(LEN($P83)&lt;&gt;3,1,IF($P83=$D$2,1,BDP($P83&amp;$D$2&amp;" Curncy","PX_LAST"))),1)</f>
        <v/>
      </c>
    </row>
    <row r="84">
      <c r="A84" s="27" t="n"/>
      <c r="B84" s="80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33">
        <f>IFERROR(IF($B84="","",IF(ISNUMBER($F84),$B84*$F84*$D$3/$B$3,0)),"")</f>
        <v/>
      </c>
      <c r="K84" s="133">
        <f>IFERROR(IF($J84="","",$J84*IF(ISNUMBER($I84),$I84,'Index Summary'!$C$7)/100),"")</f>
        <v/>
      </c>
      <c r="L84" s="133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132">
        <f>IFERROR(IF(LEN($P84)&lt;&gt;3,1,IF($P84=$D$2,1,BDP($P84&amp;$D$2&amp;" Curncy","PX_LAST"))),1)</f>
        <v/>
      </c>
    </row>
    <row r="85">
      <c r="A85" s="16" t="n"/>
      <c r="B85" s="80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33">
        <f>IFERROR(IF($B85="","",IF(ISNUMBER($F85),$B85*$F85*$D$3/$B$3,0)),"")</f>
        <v/>
      </c>
      <c r="K85" s="133">
        <f>IFERROR(IF($J85="","",$J85*IF(ISNUMBER($I85),$I85,'Index Summary'!$C$7)/100),"")</f>
        <v/>
      </c>
      <c r="L85" s="133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132">
        <f>IFERROR(IF(LEN($P85)&lt;&gt;3,1,IF($P85=$D$2,1,BDP($P85&amp;$D$2&amp;" Curncy","PX_LAST"))),1)</f>
        <v/>
      </c>
    </row>
    <row r="86">
      <c r="A86" s="27" t="n"/>
      <c r="B86" s="80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33">
        <f>IFERROR(IF($B86="","",IF(ISNUMBER($F86),$B86*$F86*$D$3/$B$3,0)),"")</f>
        <v/>
      </c>
      <c r="K86" s="133">
        <f>IFERROR(IF($J86="","",$J86*IF(ISNUMBER($I86),$I86,'Index Summary'!$C$7)/100),"")</f>
        <v/>
      </c>
      <c r="L86" s="133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132">
        <f>IFERROR(IF(LEN($P86)&lt;&gt;3,1,IF($P86=$D$2,1,BDP($P86&amp;$D$2&amp;" Curncy","PX_LAST"))),1)</f>
        <v/>
      </c>
    </row>
    <row r="87">
      <c r="A87" s="16" t="n"/>
      <c r="B87" s="80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33">
        <f>IFERROR(IF($B87="","",IF(ISNUMBER($F87),$B87*$F87*$D$3/$B$3,0)),"")</f>
        <v/>
      </c>
      <c r="K87" s="133">
        <f>IFERROR(IF($J87="","",$J87*IF(ISNUMBER($I87),$I87,'Index Summary'!$C$7)/100),"")</f>
        <v/>
      </c>
      <c r="L87" s="133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132">
        <f>IFERROR(IF(LEN($P87)&lt;&gt;3,1,IF($P87=$D$2,1,BDP($P87&amp;$D$2&amp;" Curncy","PX_LAST"))),1)</f>
        <v/>
      </c>
    </row>
    <row r="88">
      <c r="A88" s="27" t="n"/>
      <c r="B88" s="80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33">
        <f>IFERROR(IF($B88="","",IF(ISNUMBER($F88),$B88*$F88*$D$3/$B$3,0)),"")</f>
        <v/>
      </c>
      <c r="K88" s="133">
        <f>IFERROR(IF($J88="","",$J88*IF(ISNUMBER($I88),$I88,'Index Summary'!$C$7)/100),"")</f>
        <v/>
      </c>
      <c r="L88" s="133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132">
        <f>IFERROR(IF(LEN($P88)&lt;&gt;3,1,IF($P88=$D$2,1,BDP($P88&amp;$D$2&amp;" Curncy","PX_LAST"))),1)</f>
        <v/>
      </c>
    </row>
    <row r="89">
      <c r="A89" s="16" t="n"/>
      <c r="B89" s="80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33">
        <f>IFERROR(IF($B89="","",IF(ISNUMBER($F89),$B89*$F89*$D$3/$B$3,0)),"")</f>
        <v/>
      </c>
      <c r="K89" s="133">
        <f>IFERROR(IF($J89="","",$J89*IF(ISNUMBER($I89),$I89,'Index Summary'!$C$7)/100),"")</f>
        <v/>
      </c>
      <c r="L89" s="133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132">
        <f>IFERROR(IF(LEN($P89)&lt;&gt;3,1,IF($P89=$D$2,1,BDP($P89&amp;$D$2&amp;" Curncy","PX_LAST"))),1)</f>
        <v/>
      </c>
    </row>
    <row r="90">
      <c r="A90" s="27" t="n"/>
      <c r="B90" s="80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33">
        <f>IFERROR(IF($B90="","",IF(ISNUMBER($F90),$B90*$F90*$D$3/$B$3,0)),"")</f>
        <v/>
      </c>
      <c r="K90" s="133">
        <f>IFERROR(IF($J90="","",$J90*IF(ISNUMBER($I90),$I90,'Index Summary'!$C$7)/100),"")</f>
        <v/>
      </c>
      <c r="L90" s="133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132">
        <f>IFERROR(IF(LEN($P90)&lt;&gt;3,1,IF($P90=$D$2,1,BDP($P90&amp;$D$2&amp;" Curncy","PX_LAST"))),1)</f>
        <v/>
      </c>
    </row>
    <row r="91">
      <c r="A91" s="16" t="n"/>
      <c r="B91" s="80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33">
        <f>IFERROR(IF($B91="","",IF(ISNUMBER($F91),$B91*$F91*$D$3/$B$3,0)),"")</f>
        <v/>
      </c>
      <c r="K91" s="133">
        <f>IFERROR(IF($J91="","",$J91*IF(ISNUMBER($I91),$I91,'Index Summary'!$C$7)/100),"")</f>
        <v/>
      </c>
      <c r="L91" s="133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132">
        <f>IFERROR(IF(LEN($P91)&lt;&gt;3,1,IF($P91=$D$2,1,BDP($P91&amp;$D$2&amp;" Curncy","PX_LAST"))),1)</f>
        <v/>
      </c>
    </row>
    <row r="92">
      <c r="A92" s="27" t="n"/>
      <c r="B92" s="80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33">
        <f>IFERROR(IF($B92="","",IF(ISNUMBER($F92),$B92*$F92*$D$3/$B$3,0)),"")</f>
        <v/>
      </c>
      <c r="K92" s="133">
        <f>IFERROR(IF($J92="","",$J92*IF(ISNUMBER($I92),$I92,'Index Summary'!$C$7)/100),"")</f>
        <v/>
      </c>
      <c r="L92" s="133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132">
        <f>IFERROR(IF(LEN($P92)&lt;&gt;3,1,IF($P92=$D$2,1,BDP($P92&amp;$D$2&amp;" Curncy","PX_LAST"))),1)</f>
        <v/>
      </c>
    </row>
    <row r="93">
      <c r="A93" s="16" t="n"/>
      <c r="B93" s="80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33">
        <f>IFERROR(IF($B93="","",IF(ISNUMBER($F93),$B93*$F93*$D$3/$B$3,0)),"")</f>
        <v/>
      </c>
      <c r="K93" s="133">
        <f>IFERROR(IF($J93="","",$J93*IF(ISNUMBER($I93),$I93,'Index Summary'!$C$7)/100),"")</f>
        <v/>
      </c>
      <c r="L93" s="133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132">
        <f>IFERROR(IF(LEN($P93)&lt;&gt;3,1,IF($P93=$D$2,1,BDP($P93&amp;$D$2&amp;" Curncy","PX_LAST"))),1)</f>
        <v/>
      </c>
    </row>
    <row r="94">
      <c r="A94" s="27" t="n"/>
      <c r="B94" s="80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33">
        <f>IFERROR(IF($B94="","",IF(ISNUMBER($F94),$B94*$F94*$D$3/$B$3,0)),"")</f>
        <v/>
      </c>
      <c r="K94" s="133">
        <f>IFERROR(IF($J94="","",$J94*IF(ISNUMBER($I94),$I94,'Index Summary'!$C$7)/100),"")</f>
        <v/>
      </c>
      <c r="L94" s="133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132">
        <f>IFERROR(IF(LEN($P94)&lt;&gt;3,1,IF($P94=$D$2,1,BDP($P94&amp;$D$2&amp;" Curncy","PX_LAST"))),1)</f>
        <v/>
      </c>
    </row>
    <row r="95">
      <c r="A95" s="16" t="n"/>
      <c r="B95" s="80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33">
        <f>IFERROR(IF($B95="","",IF(ISNUMBER($F95),$B95*$F95*$D$3/$B$3,0)),"")</f>
        <v/>
      </c>
      <c r="K95" s="133">
        <f>IFERROR(IF($J95="","",$J95*IF(ISNUMBER($I95),$I95,'Index Summary'!$C$7)/100),"")</f>
        <v/>
      </c>
      <c r="L95" s="133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132">
        <f>IFERROR(IF(LEN($P95)&lt;&gt;3,1,IF($P95=$D$2,1,BDP($P95&amp;$D$2&amp;" Curncy","PX_LAST"))),1)</f>
        <v/>
      </c>
    </row>
    <row r="96">
      <c r="A96" s="27" t="n"/>
      <c r="B96" s="80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33">
        <f>IFERROR(IF($B96="","",IF(ISNUMBER($F96),$B96*$F96*$D$3/$B$3,0)),"")</f>
        <v/>
      </c>
      <c r="K96" s="133">
        <f>IFERROR(IF($J96="","",$J96*IF(ISNUMBER($I96),$I96,'Index Summary'!$C$7)/100),"")</f>
        <v/>
      </c>
      <c r="L96" s="133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132">
        <f>IFERROR(IF(LEN($P96)&lt;&gt;3,1,IF($P96=$D$2,1,BDP($P96&amp;$D$2&amp;" Curncy","PX_LAST"))),1)</f>
        <v/>
      </c>
    </row>
    <row r="97">
      <c r="A97" s="16" t="n"/>
      <c r="B97" s="80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33">
        <f>IFERROR(IF($B97="","",IF(ISNUMBER($F97),$B97*$F97*$D$3/$B$3,0)),"")</f>
        <v/>
      </c>
      <c r="K97" s="133">
        <f>IFERROR(IF($J97="","",$J97*IF(ISNUMBER($I97),$I97,'Index Summary'!$C$7)/100),"")</f>
        <v/>
      </c>
      <c r="L97" s="133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132">
        <f>IFERROR(IF(LEN($P97)&lt;&gt;3,1,IF($P97=$D$2,1,BDP($P97&amp;$D$2&amp;" Curncy","PX_LAST"))),1)</f>
        <v/>
      </c>
    </row>
    <row r="98">
      <c r="A98" s="27" t="n"/>
      <c r="B98" s="80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33">
        <f>IFERROR(IF($B98="","",IF(ISNUMBER($F98),$B98*$F98*$D$3/$B$3,0)),"")</f>
        <v/>
      </c>
      <c r="K98" s="133">
        <f>IFERROR(IF($J98="","",$J98*IF(ISNUMBER($I98),$I98,'Index Summary'!$C$7)/100),"")</f>
        <v/>
      </c>
      <c r="L98" s="133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132">
        <f>IFERROR(IF(LEN($P98)&lt;&gt;3,1,IF($P98=$D$2,1,BDP($P98&amp;$D$2&amp;" Curncy","PX_LAST"))),1)</f>
        <v/>
      </c>
    </row>
    <row r="99">
      <c r="A99" s="16" t="n"/>
      <c r="B99" s="80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33">
        <f>IFERROR(IF($B99="","",IF(ISNUMBER($F99),$B99*$F99*$D$3/$B$3,0)),"")</f>
        <v/>
      </c>
      <c r="K99" s="133">
        <f>IFERROR(IF($J99="","",$J99*IF(ISNUMBER($I99),$I99,'Index Summary'!$C$7)/100),"")</f>
        <v/>
      </c>
      <c r="L99" s="133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132">
        <f>IFERROR(IF(LEN($P99)&lt;&gt;3,1,IF($P99=$D$2,1,BDP($P99&amp;$D$2&amp;" Curncy","PX_LAST"))),1)</f>
        <v/>
      </c>
    </row>
    <row r="100">
      <c r="A100" s="27" t="n"/>
      <c r="B100" s="80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33">
        <f>IFERROR(IF($B100="","",IF(ISNUMBER($F100),$B100*$F100*$D$3/$B$3,0)),"")</f>
        <v/>
      </c>
      <c r="K100" s="133">
        <f>IFERROR(IF($J100="","",$J100*IF(ISNUMBER($I100),$I100,'Index Summary'!$C$7)/100),"")</f>
        <v/>
      </c>
      <c r="L100" s="133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132">
        <f>IFERROR(IF(LEN($P100)&lt;&gt;3,1,IF($P100=$D$2,1,BDP($P100&amp;$D$2&amp;" Curncy","PX_LAST"))),1)</f>
        <v/>
      </c>
    </row>
    <row r="101">
      <c r="A101" s="16" t="n"/>
      <c r="B101" s="80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33">
        <f>IFERROR(IF($B101="","",IF(ISNUMBER($F101),$B101*$F101*$D$3/$B$3,0)),"")</f>
        <v/>
      </c>
      <c r="K101" s="133">
        <f>IFERROR(IF($J101="","",$J101*IF(ISNUMBER($I101),$I101,'Index Summary'!$C$7)/100),"")</f>
        <v/>
      </c>
      <c r="L101" s="133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132">
        <f>IFERROR(IF(LEN($P101)&lt;&gt;3,1,IF($P101=$D$2,1,BDP($P101&amp;$D$2&amp;" Curncy","PX_LAST"))),1)</f>
        <v/>
      </c>
    </row>
    <row r="102">
      <c r="A102" s="27" t="n"/>
      <c r="B102" s="80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33">
        <f>IFERROR(IF($B102="","",IF(ISNUMBER($F102),$B102*$F102*$D$3/$B$3,0)),"")</f>
        <v/>
      </c>
      <c r="K102" s="133">
        <f>IFERROR(IF($J102="","",$J102*IF(ISNUMBER($I102),$I102,'Index Summary'!$C$7)/100),"")</f>
        <v/>
      </c>
      <c r="L102" s="133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132">
        <f>IFERROR(IF(LEN($P102)&lt;&gt;3,1,IF($P102=$D$2,1,BDP($P102&amp;$D$2&amp;" Curncy","PX_LAST"))),1)</f>
        <v/>
      </c>
    </row>
    <row r="103">
      <c r="A103" s="16" t="n"/>
      <c r="B103" s="80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33">
        <f>IFERROR(IF($B103="","",IF(ISNUMBER($F103),$B103*$F103*$D$3/$B$3,0)),"")</f>
        <v/>
      </c>
      <c r="K103" s="133">
        <f>IFERROR(IF($J103="","",$J103*IF(ISNUMBER($I103),$I103,'Index Summary'!$C$7)/100),"")</f>
        <v/>
      </c>
      <c r="L103" s="133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132">
        <f>IFERROR(IF(LEN($P103)&lt;&gt;3,1,IF($P103=$D$2,1,BDP($P103&amp;$D$2&amp;" Curncy","PX_LAST"))),1)</f>
        <v/>
      </c>
    </row>
    <row r="104">
      <c r="A104" s="27" t="n"/>
      <c r="B104" s="80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33">
        <f>IFERROR(IF($B104="","",IF(ISNUMBER($F104),$B104*$F104*$D$3/$B$3,0)),"")</f>
        <v/>
      </c>
      <c r="K104" s="133">
        <f>IFERROR(IF($J104="","",$J104*IF(ISNUMBER($I104),$I104,'Index Summary'!$C$7)/100),"")</f>
        <v/>
      </c>
      <c r="L104" s="133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132">
        <f>IFERROR(IF(LEN($P104)&lt;&gt;3,1,IF($P104=$D$2,1,BDP($P104&amp;$D$2&amp;" Curncy","PX_LAST"))),1)</f>
        <v/>
      </c>
    </row>
    <row r="105">
      <c r="A105" s="16" t="n"/>
      <c r="B105" s="80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33">
        <f>IFERROR(IF($B105="","",IF(ISNUMBER($F105),$B105*$F105*$D$3/$B$3,0)),"")</f>
        <v/>
      </c>
      <c r="K105" s="133">
        <f>IFERROR(IF($J105="","",$J105*IF(ISNUMBER($I105),$I105,'Index Summary'!$C$7)/100),"")</f>
        <v/>
      </c>
      <c r="L105" s="133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132">
        <f>IFERROR(IF(LEN($P105)&lt;&gt;3,1,IF($P105=$D$2,1,BDP($P105&amp;$D$2&amp;" Curncy","PX_LAST"))),1)</f>
        <v/>
      </c>
    </row>
    <row r="106">
      <c r="A106" s="27" t="n"/>
      <c r="B106" s="80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33">
        <f>IFERROR(IF($B106="","",IF(ISNUMBER($F106),$B106*$F106*$D$3/$B$3,0)),"")</f>
        <v/>
      </c>
      <c r="K106" s="133">
        <f>IFERROR(IF($J106="","",$J106*IF(ISNUMBER($I106),$I106,'Index Summary'!$C$7)/100),"")</f>
        <v/>
      </c>
      <c r="L106" s="133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132">
        <f>IFERROR(IF(LEN($P106)&lt;&gt;3,1,IF($P106=$D$2,1,BDP($P106&amp;$D$2&amp;" Curncy","PX_LAST"))),1)</f>
        <v/>
      </c>
    </row>
    <row r="107">
      <c r="A107" s="16" t="n"/>
      <c r="B107" s="80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33">
        <f>IFERROR(IF($B107="","",IF(ISNUMBER($F107),$B107*$F107*$D$3/$B$3,0)),"")</f>
        <v/>
      </c>
      <c r="K107" s="133">
        <f>IFERROR(IF($J107="","",$J107*IF(ISNUMBER($I107),$I107,'Index Summary'!$C$7)/100),"")</f>
        <v/>
      </c>
      <c r="L107" s="133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132">
        <f>IFERROR(IF(LEN($P107)&lt;&gt;3,1,IF($P107=$D$2,1,BDP($P107&amp;$D$2&amp;" Curncy","PX_LAST"))),1)</f>
        <v/>
      </c>
    </row>
    <row r="108">
      <c r="A108" s="27" t="n"/>
      <c r="B108" s="80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33">
        <f>IFERROR(IF($B108="","",IF(ISNUMBER($F108),$B108*$F108*$D$3/$B$3,0)),"")</f>
        <v/>
      </c>
      <c r="K108" s="133">
        <f>IFERROR(IF($J108="","",$J108*IF(ISNUMBER($I108),$I108,'Index Summary'!$C$7)/100),"")</f>
        <v/>
      </c>
      <c r="L108" s="133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132">
        <f>IFERROR(IF(LEN($P108)&lt;&gt;3,1,IF($P108=$D$2,1,BDP($P108&amp;$D$2&amp;" Curncy","PX_LAST"))),1)</f>
        <v/>
      </c>
    </row>
    <row r="109">
      <c r="A109" s="16" t="n"/>
      <c r="B109" s="80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33">
        <f>IFERROR(IF($B109="","",IF(ISNUMBER($F109),$B109*$F109*$D$3/$B$3,0)),"")</f>
        <v/>
      </c>
      <c r="K109" s="133">
        <f>IFERROR(IF($J109="","",$J109*IF(ISNUMBER($I109),$I109,'Index Summary'!$C$7)/100),"")</f>
        <v/>
      </c>
      <c r="L109" s="133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132">
        <f>IFERROR(IF(LEN($P109)&lt;&gt;3,1,IF($P109=$D$2,1,BDP($P109&amp;$D$2&amp;" Curncy","PX_LAST"))),1)</f>
        <v/>
      </c>
    </row>
    <row r="110">
      <c r="A110" s="27" t="n"/>
      <c r="B110" s="80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33">
        <f>IFERROR(IF($B110="","",IF(ISNUMBER($F110),$B110*$F110*$D$3/$B$3,0)),"")</f>
        <v/>
      </c>
      <c r="K110" s="133">
        <f>IFERROR(IF($J110="","",$J110*IF(ISNUMBER($I110),$I110,'Index Summary'!$C$7)/100),"")</f>
        <v/>
      </c>
      <c r="L110" s="133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132">
        <f>IFERROR(IF(LEN($P110)&lt;&gt;3,1,IF($P110=$D$2,1,BDP($P110&amp;$D$2&amp;" Curncy","PX_LAST"))),1)</f>
        <v/>
      </c>
    </row>
    <row r="111">
      <c r="A111" s="16" t="n"/>
      <c r="B111" s="80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33">
        <f>IFERROR(IF($B111="","",IF(ISNUMBER($F111),$B111*$F111*$D$3/$B$3,0)),"")</f>
        <v/>
      </c>
      <c r="K111" s="133">
        <f>IFERROR(IF($J111="","",$J111*IF(ISNUMBER($I111),$I111,'Index Summary'!$C$7)/100),"")</f>
        <v/>
      </c>
      <c r="L111" s="133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132">
        <f>IFERROR(IF(LEN($P111)&lt;&gt;3,1,IF($P111=$D$2,1,BDP($P111&amp;$D$2&amp;" Curncy","PX_LAST"))),1)</f>
        <v/>
      </c>
    </row>
    <row r="112">
      <c r="A112" s="27" t="n"/>
      <c r="B112" s="80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33">
        <f>IFERROR(IF($B112="","",IF(ISNUMBER($F112),$B112*$F112*$D$3/$B$3,0)),"")</f>
        <v/>
      </c>
      <c r="K112" s="133">
        <f>IFERROR(IF($J112="","",$J112*IF(ISNUMBER($I112),$I112,'Index Summary'!$C$7)/100),"")</f>
        <v/>
      </c>
      <c r="L112" s="133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132">
        <f>IFERROR(IF(LEN($P112)&lt;&gt;3,1,IF($P112=$D$2,1,BDP($P112&amp;$D$2&amp;" Curncy","PX_LAST"))),1)</f>
        <v/>
      </c>
    </row>
    <row r="113">
      <c r="A113" s="16" t="n"/>
      <c r="B113" s="80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33">
        <f>IFERROR(IF($B113="","",IF(ISNUMBER($F113),$B113*$F113*$D$3/$B$3,0)),"")</f>
        <v/>
      </c>
      <c r="K113" s="133">
        <f>IFERROR(IF($J113="","",$J113*IF(ISNUMBER($I113),$I113,'Index Summary'!$C$7)/100),"")</f>
        <v/>
      </c>
      <c r="L113" s="133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132">
        <f>IFERROR(IF(LEN($P113)&lt;&gt;3,1,IF($P113=$D$2,1,BDP($P113&amp;$D$2&amp;" Curncy","PX_LAST"))),1)</f>
        <v/>
      </c>
    </row>
    <row r="114">
      <c r="A114" s="27" t="n"/>
      <c r="B114" s="80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33">
        <f>IFERROR(IF($B114="","",IF(ISNUMBER($F114),$B114*$F114*$D$3/$B$3,0)),"")</f>
        <v/>
      </c>
      <c r="K114" s="133">
        <f>IFERROR(IF($J114="","",$J114*IF(ISNUMBER($I114),$I114,'Index Summary'!$C$7)/100),"")</f>
        <v/>
      </c>
      <c r="L114" s="133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132">
        <f>IFERROR(IF(LEN($P114)&lt;&gt;3,1,IF($P114=$D$2,1,BDP($P114&amp;$D$2&amp;" Curncy","PX_LAST"))),1)</f>
        <v/>
      </c>
    </row>
    <row r="115">
      <c r="A115" s="16" t="n"/>
      <c r="B115" s="80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33">
        <f>IFERROR(IF($B115="","",IF(ISNUMBER($F115),$B115*$F115*$D$3/$B$3,0)),"")</f>
        <v/>
      </c>
      <c r="K115" s="133">
        <f>IFERROR(IF($J115="","",$J115*IF(ISNUMBER($I115),$I115,'Index Summary'!$C$7)/100),"")</f>
        <v/>
      </c>
      <c r="L115" s="133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132">
        <f>IFERROR(IF(LEN($P115)&lt;&gt;3,1,IF($P115=$D$2,1,BDP($P115&amp;$D$2&amp;" Curncy","PX_LAST"))),1)</f>
        <v/>
      </c>
    </row>
    <row r="116">
      <c r="A116" s="27" t="n"/>
      <c r="B116" s="80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33">
        <f>IFERROR(IF($B116="","",IF(ISNUMBER($F116),$B116*$F116*$D$3/$B$3,0)),"")</f>
        <v/>
      </c>
      <c r="K116" s="133">
        <f>IFERROR(IF($J116="","",$J116*IF(ISNUMBER($I116),$I116,'Index Summary'!$C$7)/100),"")</f>
        <v/>
      </c>
      <c r="L116" s="133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132">
        <f>IFERROR(IF(LEN($P116)&lt;&gt;3,1,IF($P116=$D$2,1,BDP($P116&amp;$D$2&amp;" Curncy","PX_LAST"))),1)</f>
        <v/>
      </c>
    </row>
    <row r="117">
      <c r="A117" s="16" t="n"/>
      <c r="B117" s="80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33">
        <f>IFERROR(IF($B117="","",IF(ISNUMBER($F117),$B117*$F117*$D$3/$B$3,0)),"")</f>
        <v/>
      </c>
      <c r="K117" s="133">
        <f>IFERROR(IF($J117="","",$J117*IF(ISNUMBER($I117),$I117,'Index Summary'!$C$7)/100),"")</f>
        <v/>
      </c>
      <c r="L117" s="133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132">
        <f>IFERROR(IF(LEN($P117)&lt;&gt;3,1,IF($P117=$D$2,1,BDP($P117&amp;$D$2&amp;" Curncy","PX_LAST"))),1)</f>
        <v/>
      </c>
    </row>
    <row r="118">
      <c r="A118" s="27" t="n"/>
      <c r="B118" s="80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33">
        <f>IFERROR(IF($B118="","",IF(ISNUMBER($F118),$B118*$F118*$D$3/$B$3,0)),"")</f>
        <v/>
      </c>
      <c r="K118" s="133">
        <f>IFERROR(IF($J118="","",$J118*IF(ISNUMBER($I118),$I118,'Index Summary'!$C$7)/100),"")</f>
        <v/>
      </c>
      <c r="L118" s="133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132">
        <f>IFERROR(IF(LEN($P118)&lt;&gt;3,1,IF($P118=$D$2,1,BDP($P118&amp;$D$2&amp;" Curncy","PX_LAST"))),1)</f>
        <v/>
      </c>
    </row>
    <row r="119">
      <c r="A119" s="16" t="n"/>
      <c r="B119" s="80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33">
        <f>IFERROR(IF($B119="","",IF(ISNUMBER($F119),$B119*$F119*$D$3/$B$3,0)),"")</f>
        <v/>
      </c>
      <c r="K119" s="133">
        <f>IFERROR(IF($J119="","",$J119*IF(ISNUMBER($I119),$I119,'Index Summary'!$C$7)/100),"")</f>
        <v/>
      </c>
      <c r="L119" s="133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132">
        <f>IFERROR(IF(LEN($P119)&lt;&gt;3,1,IF($P119=$D$2,1,BDP($P119&amp;$D$2&amp;" Curncy","PX_LAST"))),1)</f>
        <v/>
      </c>
    </row>
    <row r="120">
      <c r="A120" s="27" t="n"/>
      <c r="B120" s="80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33">
        <f>IFERROR(IF($B120="","",IF(ISNUMBER($F120),$B120*$F120*$D$3/$B$3,0)),"")</f>
        <v/>
      </c>
      <c r="K120" s="133">
        <f>IFERROR(IF($J120="","",$J120*IF(ISNUMBER($I120),$I120,'Index Summary'!$C$7)/100),"")</f>
        <v/>
      </c>
      <c r="L120" s="133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132">
        <f>IFERROR(IF(LEN($P120)&lt;&gt;3,1,IF($P120=$D$2,1,BDP($P120&amp;$D$2&amp;" Curncy","PX_LAST"))),1)</f>
        <v/>
      </c>
    </row>
    <row r="121">
      <c r="A121" s="16" t="n"/>
      <c r="B121" s="80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33">
        <f>IFERROR(IF($B121="","",IF(ISNUMBER($F121),$B121*$F121*$D$3/$B$3,0)),"")</f>
        <v/>
      </c>
      <c r="K121" s="133">
        <f>IFERROR(IF($J121="","",$J121*IF(ISNUMBER($I121),$I121,'Index Summary'!$C$7)/100),"")</f>
        <v/>
      </c>
      <c r="L121" s="133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132">
        <f>IFERROR(IF(LEN($P121)&lt;&gt;3,1,IF($P121=$D$2,1,BDP($P121&amp;$D$2&amp;" Curncy","PX_LAST"))),1)</f>
        <v/>
      </c>
    </row>
    <row r="122">
      <c r="A122" s="27" t="n"/>
      <c r="B122" s="80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33">
        <f>IFERROR(IF($B122="","",IF(ISNUMBER($F122),$B122*$F122*$D$3/$B$3,0)),"")</f>
        <v/>
      </c>
      <c r="K122" s="133">
        <f>IFERROR(IF($J122="","",$J122*IF(ISNUMBER($I122),$I122,'Index Summary'!$C$7)/100),"")</f>
        <v/>
      </c>
      <c r="L122" s="133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132">
        <f>IFERROR(IF(LEN($P122)&lt;&gt;3,1,IF($P122=$D$2,1,BDP($P122&amp;$D$2&amp;" Curncy","PX_LAST"))),1)</f>
        <v/>
      </c>
    </row>
    <row r="123">
      <c r="A123" s="16" t="n"/>
      <c r="B123" s="80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33">
        <f>IFERROR(IF($B123="","",IF(ISNUMBER($F123),$B123*$F123*$D$3/$B$3,0)),"")</f>
        <v/>
      </c>
      <c r="K123" s="133">
        <f>IFERROR(IF($J123="","",$J123*IF(ISNUMBER($I123),$I123,'Index Summary'!$C$7)/100),"")</f>
        <v/>
      </c>
      <c r="L123" s="133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132">
        <f>IFERROR(IF(LEN($P123)&lt;&gt;3,1,IF($P123=$D$2,1,BDP($P123&amp;$D$2&amp;" Curncy","PX_LAST"))),1)</f>
        <v/>
      </c>
    </row>
    <row r="124">
      <c r="A124" s="27" t="n"/>
      <c r="B124" s="80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33">
        <f>IFERROR(IF($B124="","",IF(ISNUMBER($F124),$B124*$F124*$D$3/$B$3,0)),"")</f>
        <v/>
      </c>
      <c r="K124" s="133">
        <f>IFERROR(IF($J124="","",$J124*IF(ISNUMBER($I124),$I124,'Index Summary'!$C$7)/100),"")</f>
        <v/>
      </c>
      <c r="L124" s="133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132">
        <f>IFERROR(IF(LEN($P124)&lt;&gt;3,1,IF($P124=$D$2,1,BDP($P124&amp;$D$2&amp;" Curncy","PX_LAST"))),1)</f>
        <v/>
      </c>
    </row>
    <row r="125">
      <c r="A125" s="16" t="n"/>
      <c r="B125" s="80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33">
        <f>IFERROR(IF($B125="","",IF(ISNUMBER($F125),$B125*$F125*$D$3/$B$3,0)),"")</f>
        <v/>
      </c>
      <c r="K125" s="133">
        <f>IFERROR(IF($J125="","",$J125*IF(ISNUMBER($I125),$I125,'Index Summary'!$C$7)/100),"")</f>
        <v/>
      </c>
      <c r="L125" s="133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132">
        <f>IFERROR(IF(LEN($P125)&lt;&gt;3,1,IF($P125=$D$2,1,BDP($P125&amp;$D$2&amp;" Curncy","PX_LAST"))),1)</f>
        <v/>
      </c>
    </row>
    <row r="126">
      <c r="A126" s="27" t="n"/>
      <c r="B126" s="80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33">
        <f>IFERROR(IF($B126="","",IF(ISNUMBER($F126),$B126*$F126*$D$3/$B$3,0)),"")</f>
        <v/>
      </c>
      <c r="K126" s="133">
        <f>IFERROR(IF($J126="","",$J126*IF(ISNUMBER($I126),$I126,'Index Summary'!$C$7)/100),"")</f>
        <v/>
      </c>
      <c r="L126" s="133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132">
        <f>IFERROR(IF(LEN($P126)&lt;&gt;3,1,IF($P126=$D$2,1,BDP($P126&amp;$D$2&amp;" Curncy","PX_LAST"))),1)</f>
        <v/>
      </c>
    </row>
    <row r="127">
      <c r="A127" s="16" t="n"/>
      <c r="B127" s="80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33">
        <f>IFERROR(IF($B127="","",IF(ISNUMBER($F127),$B127*$F127*$D$3/$B$3,0)),"")</f>
        <v/>
      </c>
      <c r="K127" s="133">
        <f>IFERROR(IF($J127="","",$J127*IF(ISNUMBER($I127),$I127,'Index Summary'!$C$7)/100),"")</f>
        <v/>
      </c>
      <c r="L127" s="133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132">
        <f>IFERROR(IF(LEN($P127)&lt;&gt;3,1,IF($P127=$D$2,1,BDP($P127&amp;$D$2&amp;" Curncy","PX_LAST"))),1)</f>
        <v/>
      </c>
    </row>
    <row r="128">
      <c r="A128" s="27" t="n"/>
      <c r="B128" s="80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33">
        <f>IFERROR(IF($B128="","",IF(ISNUMBER($F128),$B128*$F128*$D$3/$B$3,0)),"")</f>
        <v/>
      </c>
      <c r="K128" s="133">
        <f>IFERROR(IF($J128="","",$J128*IF(ISNUMBER($I128),$I128,'Index Summary'!$C$7)/100),"")</f>
        <v/>
      </c>
      <c r="L128" s="133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132">
        <f>IFERROR(IF(LEN($P128)&lt;&gt;3,1,IF($P128=$D$2,1,BDP($P128&amp;$D$2&amp;" Curncy","PX_LAST"))),1)</f>
        <v/>
      </c>
    </row>
    <row r="129">
      <c r="A129" s="16" t="n"/>
      <c r="B129" s="80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33">
        <f>IFERROR(IF($B129="","",IF(ISNUMBER($F129),$B129*$F129*$D$3/$B$3,0)),"")</f>
        <v/>
      </c>
      <c r="K129" s="133">
        <f>IFERROR(IF($J129="","",$J129*IF(ISNUMBER($I129),$I129,'Index Summary'!$C$7)/100),"")</f>
        <v/>
      </c>
      <c r="L129" s="133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132">
        <f>IFERROR(IF(LEN($P129)&lt;&gt;3,1,IF($P129=$D$2,1,BDP($P129&amp;$D$2&amp;" Curncy","PX_LAST"))),1)</f>
        <v/>
      </c>
    </row>
    <row r="130">
      <c r="A130" s="27" t="n"/>
      <c r="B130" s="80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33">
        <f>IFERROR(IF($B130="","",IF(ISNUMBER($F130),$B130*$F130*$D$3/$B$3,0)),"")</f>
        <v/>
      </c>
      <c r="K130" s="133">
        <f>IFERROR(IF($J130="","",$J130*IF(ISNUMBER($I130),$I130,'Index Summary'!$C$7)/100),"")</f>
        <v/>
      </c>
      <c r="L130" s="133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132">
        <f>IFERROR(IF(LEN($P130)&lt;&gt;3,1,IF($P130=$D$2,1,BDP($P130&amp;$D$2&amp;" Curncy","PX_LAST"))),1)</f>
        <v/>
      </c>
    </row>
    <row r="131">
      <c r="A131" s="16" t="n"/>
      <c r="B131" s="80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33">
        <f>IFERROR(IF($B131="","",IF(ISNUMBER($F131),$B131*$F131*$D$3/$B$3,0)),"")</f>
        <v/>
      </c>
      <c r="K131" s="133">
        <f>IFERROR(IF($J131="","",$J131*IF(ISNUMBER($I131),$I131,'Index Summary'!$C$7)/100),"")</f>
        <v/>
      </c>
      <c r="L131" s="133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132">
        <f>IFERROR(IF(LEN($P131)&lt;&gt;3,1,IF($P131=$D$2,1,BDP($P131&amp;$D$2&amp;" Curncy","PX_LAST"))),1)</f>
        <v/>
      </c>
    </row>
    <row r="132">
      <c r="A132" s="27" t="n"/>
      <c r="B132" s="80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33">
        <f>IFERROR(IF($B132="","",IF(ISNUMBER($F132),$B132*$F132*$D$3/$B$3,0)),"")</f>
        <v/>
      </c>
      <c r="K132" s="133">
        <f>IFERROR(IF($J132="","",$J132*IF(ISNUMBER($I132),$I132,'Index Summary'!$C$7)/100),"")</f>
        <v/>
      </c>
      <c r="L132" s="133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132">
        <f>IFERROR(IF(LEN($P132)&lt;&gt;3,1,IF($P132=$D$2,1,BDP($P132&amp;$D$2&amp;" Curncy","PX_LAST"))),1)</f>
        <v/>
      </c>
    </row>
    <row r="133">
      <c r="A133" s="16" t="n"/>
      <c r="B133" s="80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33">
        <f>IFERROR(IF($B133="","",IF(ISNUMBER($F133),$B133*$F133*$D$3/$B$3,0)),"")</f>
        <v/>
      </c>
      <c r="K133" s="133">
        <f>IFERROR(IF($J133="","",$J133*IF(ISNUMBER($I133),$I133,'Index Summary'!$C$7)/100),"")</f>
        <v/>
      </c>
      <c r="L133" s="133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132">
        <f>IFERROR(IF(LEN($P133)&lt;&gt;3,1,IF($P133=$D$2,1,BDP($P133&amp;$D$2&amp;" Curncy","PX_LAST"))),1)</f>
        <v/>
      </c>
    </row>
    <row r="134">
      <c r="A134" s="27" t="n"/>
      <c r="B134" s="80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33">
        <f>IFERROR(IF($B134="","",IF(ISNUMBER($F134),$B134*$F134*$D$3/$B$3,0)),"")</f>
        <v/>
      </c>
      <c r="K134" s="133">
        <f>IFERROR(IF($J134="","",$J134*IF(ISNUMBER($I134),$I134,'Index Summary'!$C$7)/100),"")</f>
        <v/>
      </c>
      <c r="L134" s="133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132">
        <f>IFERROR(IF(LEN($P134)&lt;&gt;3,1,IF($P134=$D$2,1,BDP($P134&amp;$D$2&amp;" Curncy","PX_LAST"))),1)</f>
        <v/>
      </c>
    </row>
    <row r="135">
      <c r="A135" s="16" t="n"/>
      <c r="B135" s="80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33">
        <f>IFERROR(IF($B135="","",IF(ISNUMBER($F135),$B135*$F135*$D$3/$B$3,0)),"")</f>
        <v/>
      </c>
      <c r="K135" s="133">
        <f>IFERROR(IF($J135="","",$J135*IF(ISNUMBER($I135),$I135,'Index Summary'!$C$7)/100),"")</f>
        <v/>
      </c>
      <c r="L135" s="133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132">
        <f>IFERROR(IF(LEN($P135)&lt;&gt;3,1,IF($P135=$D$2,1,BDP($P135&amp;$D$2&amp;" Curncy","PX_LAST"))),1)</f>
        <v/>
      </c>
    </row>
    <row r="136">
      <c r="A136" s="27" t="n"/>
      <c r="B136" s="80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33">
        <f>IFERROR(IF($B136="","",IF(ISNUMBER($F136),$B136*$F136*$D$3/$B$3,0)),"")</f>
        <v/>
      </c>
      <c r="K136" s="133">
        <f>IFERROR(IF($J136="","",$J136*IF(ISNUMBER($I136),$I136,'Index Summary'!$C$7)/100),"")</f>
        <v/>
      </c>
      <c r="L136" s="133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132">
        <f>IFERROR(IF(LEN($P136)&lt;&gt;3,1,IF($P136=$D$2,1,BDP($P136&amp;$D$2&amp;" Curncy","PX_LAST"))),1)</f>
        <v/>
      </c>
    </row>
    <row r="137">
      <c r="A137" s="16" t="n"/>
      <c r="B137" s="80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33">
        <f>IFERROR(IF($B137="","",IF(ISNUMBER($F137),$B137*$F137*$D$3/$B$3,0)),"")</f>
        <v/>
      </c>
      <c r="K137" s="133">
        <f>IFERROR(IF($J137="","",$J137*IF(ISNUMBER($I137),$I137,'Index Summary'!$C$7)/100),"")</f>
        <v/>
      </c>
      <c r="L137" s="133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132">
        <f>IFERROR(IF(LEN($P137)&lt;&gt;3,1,IF($P137=$D$2,1,BDP($P137&amp;$D$2&amp;" Curncy","PX_LAST"))),1)</f>
        <v/>
      </c>
    </row>
    <row r="138">
      <c r="A138" s="27" t="n"/>
      <c r="B138" s="80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33">
        <f>IFERROR(IF($B138="","",IF(ISNUMBER($F138),$B138*$F138*$D$3/$B$3,0)),"")</f>
        <v/>
      </c>
      <c r="K138" s="133">
        <f>IFERROR(IF($J138="","",$J138*IF(ISNUMBER($I138),$I138,'Index Summary'!$C$7)/100),"")</f>
        <v/>
      </c>
      <c r="L138" s="133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132">
        <f>IFERROR(IF(LEN($P138)&lt;&gt;3,1,IF($P138=$D$2,1,BDP($P138&amp;$D$2&amp;" Curncy","PX_LAST"))),1)</f>
        <v/>
      </c>
    </row>
    <row r="139">
      <c r="A139" s="16" t="n"/>
      <c r="B139" s="80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33">
        <f>IFERROR(IF($B139="","",IF(ISNUMBER($F139),$B139*$F139*$D$3/$B$3,0)),"")</f>
        <v/>
      </c>
      <c r="K139" s="133">
        <f>IFERROR(IF($J139="","",$J139*IF(ISNUMBER($I139),$I139,'Index Summary'!$C$7)/100),"")</f>
        <v/>
      </c>
      <c r="L139" s="133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132">
        <f>IFERROR(IF(LEN($P139)&lt;&gt;3,1,IF($P139=$D$2,1,BDP($P139&amp;$D$2&amp;" Curncy","PX_LAST"))),1)</f>
        <v/>
      </c>
    </row>
    <row r="140">
      <c r="A140" s="27" t="n"/>
      <c r="B140" s="80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33">
        <f>IFERROR(IF($B140="","",IF(ISNUMBER($F140),$B140*$F140*$D$3/$B$3,0)),"")</f>
        <v/>
      </c>
      <c r="K140" s="133">
        <f>IFERROR(IF($J140="","",$J140*IF(ISNUMBER($I140),$I140,'Index Summary'!$C$7)/100),"")</f>
        <v/>
      </c>
      <c r="L140" s="133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132">
        <f>IFERROR(IF(LEN($P140)&lt;&gt;3,1,IF($P140=$D$2,1,BDP($P140&amp;$D$2&amp;" Curncy","PX_LAST"))),1)</f>
        <v/>
      </c>
    </row>
    <row r="141">
      <c r="A141" s="16" t="n"/>
      <c r="B141" s="80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33">
        <f>IFERROR(IF($B141="","",IF(ISNUMBER($F141),$B141*$F141*$D$3/$B$3,0)),"")</f>
        <v/>
      </c>
      <c r="K141" s="133">
        <f>IFERROR(IF($J141="","",$J141*IF(ISNUMBER($I141),$I141,'Index Summary'!$C$7)/100),"")</f>
        <v/>
      </c>
      <c r="L141" s="133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132">
        <f>IFERROR(IF(LEN($P141)&lt;&gt;3,1,IF($P141=$D$2,1,BDP($P141&amp;$D$2&amp;" Curncy","PX_LAST"))),1)</f>
        <v/>
      </c>
    </row>
    <row r="142">
      <c r="A142" s="27" t="n"/>
      <c r="B142" s="80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33">
        <f>IFERROR(IF($B142="","",IF(ISNUMBER($F142),$B142*$F142*$D$3/$B$3,0)),"")</f>
        <v/>
      </c>
      <c r="K142" s="133">
        <f>IFERROR(IF($J142="","",$J142*IF(ISNUMBER($I142),$I142,'Index Summary'!$C$7)/100),"")</f>
        <v/>
      </c>
      <c r="L142" s="133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132">
        <f>IFERROR(IF(LEN($P142)&lt;&gt;3,1,IF($P142=$D$2,1,BDP($P142&amp;$D$2&amp;" Curncy","PX_LAST"))),1)</f>
        <v/>
      </c>
    </row>
    <row r="143">
      <c r="A143" s="16" t="n"/>
      <c r="B143" s="80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33">
        <f>IFERROR(IF($B143="","",IF(ISNUMBER($F143),$B143*$F143*$D$3/$B$3,0)),"")</f>
        <v/>
      </c>
      <c r="K143" s="133">
        <f>IFERROR(IF($J143="","",$J143*IF(ISNUMBER($I143),$I143,'Index Summary'!$C$7)/100),"")</f>
        <v/>
      </c>
      <c r="L143" s="133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132">
        <f>IFERROR(IF(LEN($P143)&lt;&gt;3,1,IF($P143=$D$2,1,BDP($P143&amp;$D$2&amp;" Curncy","PX_LAST"))),1)</f>
        <v/>
      </c>
    </row>
    <row r="144">
      <c r="A144" s="27" t="n"/>
      <c r="B144" s="80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33">
        <f>IFERROR(IF($B144="","",IF(ISNUMBER($F144),$B144*$F144*$D$3/$B$3,0)),"")</f>
        <v/>
      </c>
      <c r="K144" s="133">
        <f>IFERROR(IF($J144="","",$J144*IF(ISNUMBER($I144),$I144,'Index Summary'!$C$7)/100),"")</f>
        <v/>
      </c>
      <c r="L144" s="133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132">
        <f>IFERROR(IF(LEN($P144)&lt;&gt;3,1,IF($P144=$D$2,1,BDP($P144&amp;$D$2&amp;" Curncy","PX_LAST"))),1)</f>
        <v/>
      </c>
    </row>
    <row r="145">
      <c r="A145" s="16" t="n"/>
      <c r="B145" s="80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33">
        <f>IFERROR(IF($B145="","",IF(ISNUMBER($F145),$B145*$F145*$D$3/$B$3,0)),"")</f>
        <v/>
      </c>
      <c r="K145" s="133">
        <f>IFERROR(IF($J145="","",$J145*IF(ISNUMBER($I145),$I145,'Index Summary'!$C$7)/100),"")</f>
        <v/>
      </c>
      <c r="L145" s="133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132">
        <f>IFERROR(IF(LEN($P145)&lt;&gt;3,1,IF($P145=$D$2,1,BDP($P145&amp;$D$2&amp;" Curncy","PX_LAST"))),1)</f>
        <v/>
      </c>
    </row>
    <row r="146">
      <c r="A146" s="27" t="n"/>
      <c r="B146" s="80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33">
        <f>IFERROR(IF($B146="","",IF(ISNUMBER($F146),$B146*$F146*$D$3/$B$3,0)),"")</f>
        <v/>
      </c>
      <c r="K146" s="133">
        <f>IFERROR(IF($J146="","",$J146*IF(ISNUMBER($I146),$I146,'Index Summary'!$C$7)/100),"")</f>
        <v/>
      </c>
      <c r="L146" s="133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132">
        <f>IFERROR(IF(LEN($P146)&lt;&gt;3,1,IF($P146=$D$2,1,BDP($P146&amp;$D$2&amp;" Curncy","PX_LAST"))),1)</f>
        <v/>
      </c>
    </row>
    <row r="147">
      <c r="A147" s="16" t="n"/>
      <c r="B147" s="80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33">
        <f>IFERROR(IF($B147="","",IF(ISNUMBER($F147),$B147*$F147*$D$3/$B$3,0)),"")</f>
        <v/>
      </c>
      <c r="K147" s="133">
        <f>IFERROR(IF($J147="","",$J147*IF(ISNUMBER($I147),$I147,'Index Summary'!$C$7)/100),"")</f>
        <v/>
      </c>
      <c r="L147" s="133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132">
        <f>IFERROR(IF(LEN($P147)&lt;&gt;3,1,IF($P147=$D$2,1,BDP($P147&amp;$D$2&amp;" Curncy","PX_LAST"))),1)</f>
        <v/>
      </c>
    </row>
    <row r="148">
      <c r="A148" s="27" t="n"/>
      <c r="B148" s="80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33">
        <f>IFERROR(IF($B148="","",IF(ISNUMBER($F148),$B148*$F148*$D$3/$B$3,0)),"")</f>
        <v/>
      </c>
      <c r="K148" s="133">
        <f>IFERROR(IF($J148="","",$J148*IF(ISNUMBER($I148),$I148,'Index Summary'!$C$7)/100),"")</f>
        <v/>
      </c>
      <c r="L148" s="133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132">
        <f>IFERROR(IF(LEN($P148)&lt;&gt;3,1,IF($P148=$D$2,1,BDP($P148&amp;$D$2&amp;" Curncy","PX_LAST"))),1)</f>
        <v/>
      </c>
    </row>
    <row r="149">
      <c r="A149" s="16" t="n"/>
      <c r="B149" s="80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33">
        <f>IFERROR(IF($B149="","",IF(ISNUMBER($F149),$B149*$F149*$D$3/$B$3,0)),"")</f>
        <v/>
      </c>
      <c r="K149" s="133">
        <f>IFERROR(IF($J149="","",$J149*IF(ISNUMBER($I149),$I149,'Index Summary'!$C$7)/100),"")</f>
        <v/>
      </c>
      <c r="L149" s="133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132">
        <f>IFERROR(IF(LEN($P149)&lt;&gt;3,1,IF($P149=$D$2,1,BDP($P149&amp;$D$2&amp;" Curncy","PX_LAST"))),1)</f>
        <v/>
      </c>
    </row>
    <row r="150">
      <c r="A150" s="27" t="n"/>
      <c r="B150" s="80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33">
        <f>IFERROR(IF($B150="","",IF(ISNUMBER($F150),$B150*$F150*$D$3/$B$3,0)),"")</f>
        <v/>
      </c>
      <c r="K150" s="133">
        <f>IFERROR(IF($J150="","",$J150*IF(ISNUMBER($I150),$I150,'Index Summary'!$C$7)/100),"")</f>
        <v/>
      </c>
      <c r="L150" s="133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132">
        <f>IFERROR(IF(LEN($P150)&lt;&gt;3,1,IF($P150=$D$2,1,BDP($P150&amp;$D$2&amp;" Curncy","PX_LAST"))),1)</f>
        <v/>
      </c>
    </row>
    <row r="151">
      <c r="A151" s="16" t="n"/>
      <c r="B151" s="80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33">
        <f>IFERROR(IF($B151="","",IF(ISNUMBER($F151),$B151*$F151*$D$3/$B$3,0)),"")</f>
        <v/>
      </c>
      <c r="K151" s="133">
        <f>IFERROR(IF($J151="","",$J151*IF(ISNUMBER($I151),$I151,'Index Summary'!$C$7)/100),"")</f>
        <v/>
      </c>
      <c r="L151" s="133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132">
        <f>IFERROR(IF(LEN($P151)&lt;&gt;3,1,IF($P151=$D$2,1,BDP($P151&amp;$D$2&amp;" Curncy","PX_LAST"))),1)</f>
        <v/>
      </c>
    </row>
    <row r="152">
      <c r="A152" s="27" t="n"/>
      <c r="B152" s="80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33">
        <f>IFERROR(IF($B152="","",IF(ISNUMBER($F152),$B152*$F152*$D$3/$B$3,0)),"")</f>
        <v/>
      </c>
      <c r="K152" s="133">
        <f>IFERROR(IF($J152="","",$J152*IF(ISNUMBER($I152),$I152,'Index Summary'!$C$7)/100),"")</f>
        <v/>
      </c>
      <c r="L152" s="133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132">
        <f>IFERROR(IF(LEN($P152)&lt;&gt;3,1,IF($P152=$D$2,1,BDP($P152&amp;$D$2&amp;" Curncy","PX_LAST"))),1)</f>
        <v/>
      </c>
    </row>
    <row r="153">
      <c r="A153" s="16" t="n"/>
      <c r="B153" s="80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33">
        <f>IFERROR(IF($B153="","",IF(ISNUMBER($F153),$B153*$F153*$D$3/$B$3,0)),"")</f>
        <v/>
      </c>
      <c r="K153" s="133">
        <f>IFERROR(IF($J153="","",$J153*IF(ISNUMBER($I153),$I153,'Index Summary'!$C$7)/100),"")</f>
        <v/>
      </c>
      <c r="L153" s="133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132">
        <f>IFERROR(IF(LEN($P153)&lt;&gt;3,1,IF($P153=$D$2,1,BDP($P153&amp;$D$2&amp;" Curncy","PX_LAST"))),1)</f>
        <v/>
      </c>
    </row>
    <row r="154">
      <c r="A154" s="27" t="n"/>
      <c r="B154" s="80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33">
        <f>IFERROR(IF($B154="","",IF(ISNUMBER($F154),$B154*$F154*$D$3/$B$3,0)),"")</f>
        <v/>
      </c>
      <c r="K154" s="133">
        <f>IFERROR(IF($J154="","",$J154*IF(ISNUMBER($I154),$I154,'Index Summary'!$C$7)/100),"")</f>
        <v/>
      </c>
      <c r="L154" s="133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132">
        <f>IFERROR(IF(LEN($P154)&lt;&gt;3,1,IF($P154=$D$2,1,BDP($P154&amp;$D$2&amp;" Curncy","PX_LAST"))),1)</f>
        <v/>
      </c>
    </row>
    <row r="155">
      <c r="A155" s="16" t="n"/>
      <c r="B155" s="80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33">
        <f>IFERROR(IF($B155="","",IF(ISNUMBER($F155),$B155*$F155*$D$3/$B$3,0)),"")</f>
        <v/>
      </c>
      <c r="K155" s="133">
        <f>IFERROR(IF($J155="","",$J155*IF(ISNUMBER($I155),$I155,'Index Summary'!$C$7)/100),"")</f>
        <v/>
      </c>
      <c r="L155" s="133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132">
        <f>IFERROR(IF(LEN($P155)&lt;&gt;3,1,IF($P155=$D$2,1,BDP($P155&amp;$D$2&amp;" Curncy","PX_LAST"))),1)</f>
        <v/>
      </c>
    </row>
    <row r="156">
      <c r="A156" s="27" t="n"/>
      <c r="B156" s="80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33">
        <f>IFERROR(IF($B156="","",IF(ISNUMBER($F156),$B156*$F156*$D$3/$B$3,0)),"")</f>
        <v/>
      </c>
      <c r="K156" s="133">
        <f>IFERROR(IF($J156="","",$J156*IF(ISNUMBER($I156),$I156,'Index Summary'!$C$7)/100),"")</f>
        <v/>
      </c>
      <c r="L156" s="133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132">
        <f>IFERROR(IF(LEN($P156)&lt;&gt;3,1,IF($P156=$D$2,1,BDP($P156&amp;$D$2&amp;" Curncy","PX_LAST"))),1)</f>
        <v/>
      </c>
    </row>
    <row r="157">
      <c r="A157" s="16" t="n"/>
      <c r="B157" s="80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33">
        <f>IFERROR(IF($B157="","",IF(ISNUMBER($F157),$B157*$F157*$D$3/$B$3,0)),"")</f>
        <v/>
      </c>
      <c r="K157" s="133">
        <f>IFERROR(IF($J157="","",$J157*IF(ISNUMBER($I157),$I157,'Index Summary'!$C$7)/100),"")</f>
        <v/>
      </c>
      <c r="L157" s="133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132">
        <f>IFERROR(IF(LEN($P157)&lt;&gt;3,1,IF($P157=$D$2,1,BDP($P157&amp;$D$2&amp;" Curncy","PX_LAST"))),1)</f>
        <v/>
      </c>
    </row>
    <row r="158">
      <c r="A158" s="27" t="n"/>
      <c r="B158" s="80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33">
        <f>IFERROR(IF($B158="","",IF(ISNUMBER($F158),$B158*$F158*$D$3/$B$3,0)),"")</f>
        <v/>
      </c>
      <c r="K158" s="133">
        <f>IFERROR(IF($J158="","",$J158*IF(ISNUMBER($I158),$I158,'Index Summary'!$C$7)/100),"")</f>
        <v/>
      </c>
      <c r="L158" s="133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132">
        <f>IFERROR(IF(LEN($P158)&lt;&gt;3,1,IF($P158=$D$2,1,BDP($P158&amp;$D$2&amp;" Curncy","PX_LAST"))),1)</f>
        <v/>
      </c>
    </row>
    <row r="159">
      <c r="A159" s="16" t="n"/>
      <c r="B159" s="80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33">
        <f>IFERROR(IF($B159="","",IF(ISNUMBER($F159),$B159*$F159*$D$3/$B$3,0)),"")</f>
        <v/>
      </c>
      <c r="K159" s="133">
        <f>IFERROR(IF($J159="","",$J159*IF(ISNUMBER($I159),$I159,'Index Summary'!$C$7)/100),"")</f>
        <v/>
      </c>
      <c r="L159" s="133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132">
        <f>IFERROR(IF(LEN($P159)&lt;&gt;3,1,IF($P159=$D$2,1,BDP($P159&amp;$D$2&amp;" Curncy","PX_LAST"))),1)</f>
        <v/>
      </c>
    </row>
    <row r="160">
      <c r="A160" s="27" t="n"/>
      <c r="B160" s="80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33">
        <f>IFERROR(IF($B160="","",IF(ISNUMBER($F160),$B160*$F160*$D$3/$B$3,0)),"")</f>
        <v/>
      </c>
      <c r="K160" s="133">
        <f>IFERROR(IF($J160="","",$J160*IF(ISNUMBER($I160),$I160,'Index Summary'!$C$7)/100),"")</f>
        <v/>
      </c>
      <c r="L160" s="133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132">
        <f>IFERROR(IF(LEN($P160)&lt;&gt;3,1,IF($P160=$D$2,1,BDP($P160&amp;$D$2&amp;" Curncy","PX_LAST"))),1)</f>
        <v/>
      </c>
    </row>
    <row r="161">
      <c r="A161" s="16" t="n"/>
      <c r="B161" s="80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33">
        <f>IFERROR(IF($B161="","",IF(ISNUMBER($F161),$B161*$F161*$D$3/$B$3,0)),"")</f>
        <v/>
      </c>
      <c r="K161" s="133">
        <f>IFERROR(IF($J161="","",$J161*IF(ISNUMBER($I161),$I161,'Index Summary'!$C$7)/100),"")</f>
        <v/>
      </c>
      <c r="L161" s="133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132">
        <f>IFERROR(IF(LEN($P161)&lt;&gt;3,1,IF($P161=$D$2,1,BDP($P161&amp;$D$2&amp;" Curncy","PX_LAST"))),1)</f>
        <v/>
      </c>
    </row>
    <row r="162">
      <c r="A162" s="27" t="n"/>
      <c r="B162" s="80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33">
        <f>IFERROR(IF($B162="","",IF(ISNUMBER($F162),$B162*$F162*$D$3/$B$3,0)),"")</f>
        <v/>
      </c>
      <c r="K162" s="133">
        <f>IFERROR(IF($J162="","",$J162*IF(ISNUMBER($I162),$I162,'Index Summary'!$C$7)/100),"")</f>
        <v/>
      </c>
      <c r="L162" s="133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132">
        <f>IFERROR(IF(LEN($P162)&lt;&gt;3,1,IF($P162=$D$2,1,BDP($P162&amp;$D$2&amp;" Curncy","PX_LAST"))),1)</f>
        <v/>
      </c>
    </row>
    <row r="163">
      <c r="A163" s="16" t="n"/>
      <c r="B163" s="80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33">
        <f>IFERROR(IF($B163="","",IF(ISNUMBER($F163),$B163*$F163*$D$3/$B$3,0)),"")</f>
        <v/>
      </c>
      <c r="K163" s="133">
        <f>IFERROR(IF($J163="","",$J163*IF(ISNUMBER($I163),$I163,'Index Summary'!$C$7)/100),"")</f>
        <v/>
      </c>
      <c r="L163" s="133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132">
        <f>IFERROR(IF(LEN($P163)&lt;&gt;3,1,IF($P163=$D$2,1,BDP($P163&amp;$D$2&amp;" Curncy","PX_LAST"))),1)</f>
        <v/>
      </c>
    </row>
    <row r="164">
      <c r="A164" s="27" t="n"/>
      <c r="B164" s="80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33">
        <f>IFERROR(IF($B164="","",IF(ISNUMBER($F164),$B164*$F164*$D$3/$B$3,0)),"")</f>
        <v/>
      </c>
      <c r="K164" s="133">
        <f>IFERROR(IF($J164="","",$J164*IF(ISNUMBER($I164),$I164,'Index Summary'!$C$7)/100),"")</f>
        <v/>
      </c>
      <c r="L164" s="133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132">
        <f>IFERROR(IF(LEN($P164)&lt;&gt;3,1,IF($P164=$D$2,1,BDP($P164&amp;$D$2&amp;" Curncy","PX_LAST"))),1)</f>
        <v/>
      </c>
    </row>
    <row r="165">
      <c r="A165" s="16" t="n"/>
      <c r="B165" s="80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33">
        <f>IFERROR(IF($B165="","",IF(ISNUMBER($F165),$B165*$F165*$D$3/$B$3,0)),"")</f>
        <v/>
      </c>
      <c r="K165" s="133">
        <f>IFERROR(IF($J165="","",$J165*IF(ISNUMBER($I165),$I165,'Index Summary'!$C$7)/100),"")</f>
        <v/>
      </c>
      <c r="L165" s="133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132">
        <f>IFERROR(IF(LEN($P165)&lt;&gt;3,1,IF($P165=$D$2,1,BDP($P165&amp;$D$2&amp;" Curncy","PX_LAST"))),1)</f>
        <v/>
      </c>
    </row>
    <row r="166">
      <c r="A166" s="27" t="n"/>
      <c r="B166" s="80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33">
        <f>IFERROR(IF($B166="","",IF(ISNUMBER($F166),$B166*$F166*$D$3/$B$3,0)),"")</f>
        <v/>
      </c>
      <c r="K166" s="133">
        <f>IFERROR(IF($J166="","",$J166*IF(ISNUMBER($I166),$I166,'Index Summary'!$C$7)/100),"")</f>
        <v/>
      </c>
      <c r="L166" s="133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132">
        <f>IFERROR(IF(LEN($P166)&lt;&gt;3,1,IF($P166=$D$2,1,BDP($P166&amp;$D$2&amp;" Curncy","PX_LAST"))),1)</f>
        <v/>
      </c>
    </row>
    <row r="167">
      <c r="A167" s="16" t="n"/>
      <c r="B167" s="80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33">
        <f>IFERROR(IF($B167="","",IF(ISNUMBER($F167),$B167*$F167*$D$3/$B$3,0)),"")</f>
        <v/>
      </c>
      <c r="K167" s="133">
        <f>IFERROR(IF($J167="","",$J167*IF(ISNUMBER($I167),$I167,'Index Summary'!$C$7)/100),"")</f>
        <v/>
      </c>
      <c r="L167" s="133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132">
        <f>IFERROR(IF(LEN($P167)&lt;&gt;3,1,IF($P167=$D$2,1,BDP($P167&amp;$D$2&amp;" Curncy","PX_LAST"))),1)</f>
        <v/>
      </c>
    </row>
    <row r="168">
      <c r="A168" s="27" t="n"/>
      <c r="B168" s="80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33">
        <f>IFERROR(IF($B168="","",IF(ISNUMBER($F168),$B168*$F168*$D$3/$B$3,0)),"")</f>
        <v/>
      </c>
      <c r="K168" s="133">
        <f>IFERROR(IF($J168="","",$J168*IF(ISNUMBER($I168),$I168,'Index Summary'!$C$7)/100),"")</f>
        <v/>
      </c>
      <c r="L168" s="133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132">
        <f>IFERROR(IF(LEN($P168)&lt;&gt;3,1,IF($P168=$D$2,1,BDP($P168&amp;$D$2&amp;" Curncy","PX_LAST"))),1)</f>
        <v/>
      </c>
    </row>
    <row r="169">
      <c r="A169" s="16" t="n"/>
      <c r="B169" s="80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33">
        <f>IFERROR(IF($B169="","",IF(ISNUMBER($F169),$B169*$F169*$D$3/$B$3,0)),"")</f>
        <v/>
      </c>
      <c r="K169" s="133">
        <f>IFERROR(IF($J169="","",$J169*IF(ISNUMBER($I169),$I169,'Index Summary'!$C$7)/100),"")</f>
        <v/>
      </c>
      <c r="L169" s="133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132">
        <f>IFERROR(IF(LEN($P169)&lt;&gt;3,1,IF($P169=$D$2,1,BDP($P169&amp;$D$2&amp;" Curncy","PX_LAST"))),1)</f>
        <v/>
      </c>
    </row>
    <row r="170">
      <c r="A170" s="27" t="n"/>
      <c r="B170" s="80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33">
        <f>IFERROR(IF($B170="","",IF(ISNUMBER($F170),$B170*$F170*$D$3/$B$3,0)),"")</f>
        <v/>
      </c>
      <c r="K170" s="133">
        <f>IFERROR(IF($J170="","",$J170*IF(ISNUMBER($I170),$I170,'Index Summary'!$C$7)/100),"")</f>
        <v/>
      </c>
      <c r="L170" s="133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132">
        <f>IFERROR(IF(LEN($P170)&lt;&gt;3,1,IF($P170=$D$2,1,BDP($P170&amp;$D$2&amp;" Curncy","PX_LAST"))),1)</f>
        <v/>
      </c>
    </row>
    <row r="171">
      <c r="A171" s="16" t="n"/>
      <c r="B171" s="80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33">
        <f>IFERROR(IF($B171="","",IF(ISNUMBER($F171),$B171*$F171*$D$3/$B$3,0)),"")</f>
        <v/>
      </c>
      <c r="K171" s="133">
        <f>IFERROR(IF($J171="","",$J171*IF(ISNUMBER($I171),$I171,'Index Summary'!$C$7)/100),"")</f>
        <v/>
      </c>
      <c r="L171" s="133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132">
        <f>IFERROR(IF(LEN($P171)&lt;&gt;3,1,IF($P171=$D$2,1,BDP($P171&amp;$D$2&amp;" Curncy","PX_LAST"))),1)</f>
        <v/>
      </c>
    </row>
    <row r="172">
      <c r="A172" s="27" t="n"/>
      <c r="B172" s="80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33">
        <f>IFERROR(IF($B172="","",IF(ISNUMBER($F172),$B172*$F172*$D$3/$B$3,0)),"")</f>
        <v/>
      </c>
      <c r="K172" s="133">
        <f>IFERROR(IF($J172="","",$J172*IF(ISNUMBER($I172),$I172,'Index Summary'!$C$7)/100),"")</f>
        <v/>
      </c>
      <c r="L172" s="133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132">
        <f>IFERROR(IF(LEN($P172)&lt;&gt;3,1,IF($P172=$D$2,1,BDP($P172&amp;$D$2&amp;" Curncy","PX_LAST"))),1)</f>
        <v/>
      </c>
    </row>
    <row r="173">
      <c r="A173" s="16" t="n"/>
      <c r="B173" s="80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33">
        <f>IFERROR(IF($B173="","",IF(ISNUMBER($F173),$B173*$F173*$D$3/$B$3,0)),"")</f>
        <v/>
      </c>
      <c r="K173" s="133">
        <f>IFERROR(IF($J173="","",$J173*IF(ISNUMBER($I173),$I173,'Index Summary'!$C$7)/100),"")</f>
        <v/>
      </c>
      <c r="L173" s="133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132">
        <f>IFERROR(IF(LEN($P173)&lt;&gt;3,1,IF($P173=$D$2,1,BDP($P173&amp;$D$2&amp;" Curncy","PX_LAST"))),1)</f>
        <v/>
      </c>
    </row>
    <row r="174">
      <c r="A174" s="27" t="n"/>
      <c r="B174" s="80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33">
        <f>IFERROR(IF($B174="","",IF(ISNUMBER($F174),$B174*$F174*$D$3/$B$3,0)),"")</f>
        <v/>
      </c>
      <c r="K174" s="133">
        <f>IFERROR(IF($J174="","",$J174*IF(ISNUMBER($I174),$I174,'Index Summary'!$C$7)/100),"")</f>
        <v/>
      </c>
      <c r="L174" s="133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132">
        <f>IFERROR(IF(LEN($P174)&lt;&gt;3,1,IF($P174=$D$2,1,BDP($P174&amp;$D$2&amp;" Curncy","PX_LAST"))),1)</f>
        <v/>
      </c>
    </row>
    <row r="175">
      <c r="A175" s="16" t="n"/>
      <c r="B175" s="80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33">
        <f>IFERROR(IF($B175="","",IF(ISNUMBER($F175),$B175*$F175*$D$3/$B$3,0)),"")</f>
        <v/>
      </c>
      <c r="K175" s="133">
        <f>IFERROR(IF($J175="","",$J175*IF(ISNUMBER($I175),$I175,'Index Summary'!$C$7)/100),"")</f>
        <v/>
      </c>
      <c r="L175" s="133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132">
        <f>IFERROR(IF(LEN($P175)&lt;&gt;3,1,IF($P175=$D$2,1,BDP($P175&amp;$D$2&amp;" Curncy","PX_LAST"))),1)</f>
        <v/>
      </c>
    </row>
    <row r="176">
      <c r="A176" s="27" t="n"/>
      <c r="B176" s="80" t="n"/>
      <c r="C176" s="27">
        <f>IF($A176="","",$A176&amp;" Equity")</f>
        <v/>
      </c>
      <c r="D176" s="27">
        <f>IF($A176="","",BDP($C176,"NAME"))</f>
        <v/>
      </c>
      <c r="E176" s="27">
        <f>IF($A176="","",BDP($C176,"GICS_SECTOR_NAME"))</f>
        <v/>
      </c>
      <c r="F176" s="28">
        <f>IF($A176="","",BDP($C176,"EQY_DVD_SH_12M"))</f>
        <v/>
      </c>
      <c r="G176" s="29">
        <f>IF($A176="","",BDP($C176,"EQY_DVD_YLD_12M"))</f>
        <v/>
      </c>
      <c r="H176" s="29">
        <f>IF($A176="","",BDP($C176,"EQY_DVD_YLD_IND"))</f>
        <v/>
      </c>
      <c r="I176" s="29">
        <f>IF($A176="","",BDP($C176,'Field Check'!$C$4))</f>
        <v/>
      </c>
      <c r="J176" s="133">
        <f>IFERROR(IF($B176="","",IF(ISNUMBER($F176),$B176*$F176*$D$3/$B$3,0)),"")</f>
        <v/>
      </c>
      <c r="K176" s="133">
        <f>IFERROR(IF($J176="","",$J176*IF(ISNUMBER($I176),$I176,'Index Summary'!$C$7)/100),"")</f>
        <v/>
      </c>
      <c r="L176" s="133">
        <f>IFERROR(IF($K176="","",$J176-$K176),"")</f>
        <v/>
      </c>
      <c r="M176" s="30" t="n"/>
      <c r="N176" s="31">
        <f>IF($C176="","",IF(NOT(ISNUMBER($F176)),"No dividend",IF($F176=0,"No dividend",IF(ISNUMBER($I176),"OK","Frank assumed"))))</f>
        <v/>
      </c>
      <c r="P176" s="58">
        <f>IF($N176="No dividend","",IF($C176="","",BDP($C176,'Field Check'!$C$43)))</f>
        <v/>
      </c>
      <c r="Q176" s="132">
        <f>IFERROR(IF(LEN($P176)&lt;&gt;3,1,IF($P176=$D$2,1,BDP($P176&amp;$D$2&amp;" Curncy","PX_LAST"))),1)</f>
        <v/>
      </c>
    </row>
    <row r="177">
      <c r="A177" s="16" t="n"/>
      <c r="B177" s="80" t="n"/>
      <c r="C177" s="16">
        <f>IF($A177="","",$A177&amp;" Equity")</f>
        <v/>
      </c>
      <c r="D177" s="16">
        <f>IF($A177="","",BDP($C177,"NAME"))</f>
        <v/>
      </c>
      <c r="E177" s="16">
        <f>IF($A177="","",BDP($C177,"GICS_SECTOR_NAME"))</f>
        <v/>
      </c>
      <c r="F177" s="32">
        <f>IF($A177="","",BDP($C177,"EQY_DVD_SH_12M"))</f>
        <v/>
      </c>
      <c r="G177" s="33">
        <f>IF($A177="","",BDP($C177,"EQY_DVD_YLD_12M"))</f>
        <v/>
      </c>
      <c r="H177" s="33">
        <f>IF($A177="","",BDP($C177,"EQY_DVD_YLD_IND"))</f>
        <v/>
      </c>
      <c r="I177" s="33">
        <f>IF($A177="","",BDP($C177,'Field Check'!$C$4))</f>
        <v/>
      </c>
      <c r="J177" s="133">
        <f>IFERROR(IF($B177="","",IF(ISNUMBER($F177),$B177*$F177*$D$3/$B$3,0)),"")</f>
        <v/>
      </c>
      <c r="K177" s="133">
        <f>IFERROR(IF($J177="","",$J177*IF(ISNUMBER($I177),$I177,'Index Summary'!$C$7)/100),"")</f>
        <v/>
      </c>
      <c r="L177" s="133">
        <f>IFERROR(IF($K177="","",$J177-$K177),"")</f>
        <v/>
      </c>
      <c r="M177" s="34" t="n"/>
      <c r="N177" s="35">
        <f>IF($C177="","",IF(NOT(ISNUMBER($F177)),"No dividend",IF($F177=0,"No dividend",IF(ISNUMBER($I177),"OK","Frank assumed"))))</f>
        <v/>
      </c>
      <c r="P177" s="58">
        <f>IF($N177="No dividend","",IF($C177="","",BDP($C177,'Field Check'!$C$43)))</f>
        <v/>
      </c>
      <c r="Q177" s="132">
        <f>IFERROR(IF(LEN($P177)&lt;&gt;3,1,IF($P177=$D$2,1,BDP($P177&amp;$D$2&amp;" Curncy","PX_LAST"))),1)</f>
        <v/>
      </c>
    </row>
    <row r="178">
      <c r="A178" s="27" t="n"/>
      <c r="B178" s="80" t="n"/>
      <c r="C178" s="27">
        <f>IF($A178="","",$A178&amp;" Equity")</f>
        <v/>
      </c>
      <c r="D178" s="27">
        <f>IF($A178="","",BDP($C178,"NAME"))</f>
        <v/>
      </c>
      <c r="E178" s="27">
        <f>IF($A178="","",BDP($C178,"GICS_SECTOR_NAME"))</f>
        <v/>
      </c>
      <c r="F178" s="28">
        <f>IF($A178="","",BDP($C178,"EQY_DVD_SH_12M"))</f>
        <v/>
      </c>
      <c r="G178" s="29">
        <f>IF($A178="","",BDP($C178,"EQY_DVD_YLD_12M"))</f>
        <v/>
      </c>
      <c r="H178" s="29">
        <f>IF($A178="","",BDP($C178,"EQY_DVD_YLD_IND"))</f>
        <v/>
      </c>
      <c r="I178" s="29">
        <f>IF($A178="","",BDP($C178,'Field Check'!$C$4))</f>
        <v/>
      </c>
      <c r="J178" s="133">
        <f>IFERROR(IF($B178="","",IF(ISNUMBER($F178),$B178*$F178*$D$3/$B$3,0)),"")</f>
        <v/>
      </c>
      <c r="K178" s="133">
        <f>IFERROR(IF($J178="","",$J178*IF(ISNUMBER($I178),$I178,'Index Summary'!$C$7)/100),"")</f>
        <v/>
      </c>
      <c r="L178" s="133">
        <f>IFERROR(IF($K178="","",$J178-$K178),"")</f>
        <v/>
      </c>
      <c r="M178" s="30" t="n"/>
      <c r="N178" s="31">
        <f>IF($C178="","",IF(NOT(ISNUMBER($F178)),"No dividend",IF($F178=0,"No dividend",IF(ISNUMBER($I178),"OK","Frank assumed"))))</f>
        <v/>
      </c>
      <c r="P178" s="58">
        <f>IF($N178="No dividend","",IF($C178="","",BDP($C178,'Field Check'!$C$43)))</f>
        <v/>
      </c>
      <c r="Q178" s="132">
        <f>IFERROR(IF(LEN($P178)&lt;&gt;3,1,IF($P178=$D$2,1,BDP($P178&amp;$D$2&amp;" Curncy","PX_LAST"))),1)</f>
        <v/>
      </c>
    </row>
    <row r="179">
      <c r="A179" s="16" t="n"/>
      <c r="B179" s="80" t="n"/>
      <c r="C179" s="16">
        <f>IF($A179="","",$A179&amp;" Equity")</f>
        <v/>
      </c>
      <c r="D179" s="16">
        <f>IF($A179="","",BDP($C179,"NAME"))</f>
        <v/>
      </c>
      <c r="E179" s="16">
        <f>IF($A179="","",BDP($C179,"GICS_SECTOR_NAME"))</f>
        <v/>
      </c>
      <c r="F179" s="32">
        <f>IF($A179="","",BDP($C179,"EQY_DVD_SH_12M"))</f>
        <v/>
      </c>
      <c r="G179" s="33">
        <f>IF($A179="","",BDP($C179,"EQY_DVD_YLD_12M"))</f>
        <v/>
      </c>
      <c r="H179" s="33">
        <f>IF($A179="","",BDP($C179,"EQY_DVD_YLD_IND"))</f>
        <v/>
      </c>
      <c r="I179" s="33">
        <f>IF($A179="","",BDP($C179,'Field Check'!$C$4))</f>
        <v/>
      </c>
      <c r="J179" s="133">
        <f>IFERROR(IF($B179="","",IF(ISNUMBER($F179),$B179*$F179*$D$3/$B$3,0)),"")</f>
        <v/>
      </c>
      <c r="K179" s="133">
        <f>IFERROR(IF($J179="","",$J179*IF(ISNUMBER($I179),$I179,'Index Summary'!$C$7)/100),"")</f>
        <v/>
      </c>
      <c r="L179" s="133">
        <f>IFERROR(IF($K179="","",$J179-$K179),"")</f>
        <v/>
      </c>
      <c r="M179" s="34" t="n"/>
      <c r="N179" s="35">
        <f>IF($C179="","",IF(NOT(ISNUMBER($F179)),"No dividend",IF($F179=0,"No dividend",IF(ISNUMBER($I179),"OK","Frank assumed"))))</f>
        <v/>
      </c>
      <c r="P179" s="58">
        <f>IF($N179="No dividend","",IF($C179="","",BDP($C179,'Field Check'!$C$43)))</f>
        <v/>
      </c>
      <c r="Q179" s="132">
        <f>IFERROR(IF(LEN($P179)&lt;&gt;3,1,IF($P179=$D$2,1,BDP($P179&amp;$D$2&amp;" Curncy","PX_LAST"))),1)</f>
        <v/>
      </c>
    </row>
    <row r="180">
      <c r="A180" s="27" t="n"/>
      <c r="B180" s="80" t="n"/>
      <c r="C180" s="27">
        <f>IF($A180="","",$A180&amp;" Equity")</f>
        <v/>
      </c>
      <c r="D180" s="27">
        <f>IF($A180="","",BDP($C180,"NAME"))</f>
        <v/>
      </c>
      <c r="E180" s="27">
        <f>IF($A180="","",BDP($C180,"GICS_SECTOR_NAME"))</f>
        <v/>
      </c>
      <c r="F180" s="28">
        <f>IF($A180="","",BDP($C180,"EQY_DVD_SH_12M"))</f>
        <v/>
      </c>
      <c r="G180" s="29">
        <f>IF($A180="","",BDP($C180,"EQY_DVD_YLD_12M"))</f>
        <v/>
      </c>
      <c r="H180" s="29">
        <f>IF($A180="","",BDP($C180,"EQY_DVD_YLD_IND"))</f>
        <v/>
      </c>
      <c r="I180" s="29">
        <f>IF($A180="","",BDP($C180,'Field Check'!$C$4))</f>
        <v/>
      </c>
      <c r="J180" s="133">
        <f>IFERROR(IF($B180="","",IF(ISNUMBER($F180),$B180*$F180*$D$3/$B$3,0)),"")</f>
        <v/>
      </c>
      <c r="K180" s="133">
        <f>IFERROR(IF($J180="","",$J180*IF(ISNUMBER($I180),$I180,'Index Summary'!$C$7)/100),"")</f>
        <v/>
      </c>
      <c r="L180" s="133">
        <f>IFERROR(IF($K180="","",$J180-$K180),"")</f>
        <v/>
      </c>
      <c r="M180" s="30" t="n"/>
      <c r="N180" s="31">
        <f>IF($C180="","",IF(NOT(ISNUMBER($F180)),"No dividend",IF($F180=0,"No dividend",IF(ISNUMBER($I180),"OK","Frank assumed"))))</f>
        <v/>
      </c>
      <c r="P180" s="58">
        <f>IF($N180="No dividend","",IF($C180="","",BDP($C180,'Field Check'!$C$43)))</f>
        <v/>
      </c>
      <c r="Q180" s="132">
        <f>IFERROR(IF(LEN($P180)&lt;&gt;3,1,IF($P180=$D$2,1,BDP($P180&amp;$D$2&amp;" Curncy","PX_LAST"))),1)</f>
        <v/>
      </c>
    </row>
    <row r="181">
      <c r="A181" s="16" t="n"/>
      <c r="B181" s="80" t="n"/>
      <c r="C181" s="16">
        <f>IF($A181="","",$A181&amp;" Equity")</f>
        <v/>
      </c>
      <c r="D181" s="16">
        <f>IF($A181="","",BDP($C181,"NAME"))</f>
        <v/>
      </c>
      <c r="E181" s="16">
        <f>IF($A181="","",BDP($C181,"GICS_SECTOR_NAME"))</f>
        <v/>
      </c>
      <c r="F181" s="32">
        <f>IF($A181="","",BDP($C181,"EQY_DVD_SH_12M"))</f>
        <v/>
      </c>
      <c r="G181" s="33">
        <f>IF($A181="","",BDP($C181,"EQY_DVD_YLD_12M"))</f>
        <v/>
      </c>
      <c r="H181" s="33">
        <f>IF($A181="","",BDP($C181,"EQY_DVD_YLD_IND"))</f>
        <v/>
      </c>
      <c r="I181" s="33">
        <f>IF($A181="","",BDP($C181,'Field Check'!$C$4))</f>
        <v/>
      </c>
      <c r="J181" s="133">
        <f>IFERROR(IF($B181="","",IF(ISNUMBER($F181),$B181*$F181*$D$3/$B$3,0)),"")</f>
        <v/>
      </c>
      <c r="K181" s="133">
        <f>IFERROR(IF($J181="","",$J181*IF(ISNUMBER($I181),$I181,'Index Summary'!$C$7)/100),"")</f>
        <v/>
      </c>
      <c r="L181" s="133">
        <f>IFERROR(IF($K181="","",$J181-$K181),"")</f>
        <v/>
      </c>
      <c r="M181" s="34" t="n"/>
      <c r="N181" s="35">
        <f>IF($C181="","",IF(NOT(ISNUMBER($F181)),"No dividend",IF($F181=0,"No dividend",IF(ISNUMBER($I181),"OK","Frank assumed"))))</f>
        <v/>
      </c>
      <c r="P181" s="58">
        <f>IF($N181="No dividend","",IF($C181="","",BDP($C181,'Field Check'!$C$43)))</f>
        <v/>
      </c>
      <c r="Q181" s="132">
        <f>IFERROR(IF(LEN($P181)&lt;&gt;3,1,IF($P181=$D$2,1,BDP($P181&amp;$D$2&amp;" Curncy","PX_LAST"))),1)</f>
        <v/>
      </c>
    </row>
    <row r="182">
      <c r="A182" s="27" t="n"/>
      <c r="B182" s="80" t="n"/>
      <c r="C182" s="27">
        <f>IF($A182="","",$A182&amp;" Equity")</f>
        <v/>
      </c>
      <c r="D182" s="27">
        <f>IF($A182="","",BDP($C182,"NAME"))</f>
        <v/>
      </c>
      <c r="E182" s="27">
        <f>IF($A182="","",BDP($C182,"GICS_SECTOR_NAME"))</f>
        <v/>
      </c>
      <c r="F182" s="28">
        <f>IF($A182="","",BDP($C182,"EQY_DVD_SH_12M"))</f>
        <v/>
      </c>
      <c r="G182" s="29">
        <f>IF($A182="","",BDP($C182,"EQY_DVD_YLD_12M"))</f>
        <v/>
      </c>
      <c r="H182" s="29">
        <f>IF($A182="","",BDP($C182,"EQY_DVD_YLD_IND"))</f>
        <v/>
      </c>
      <c r="I182" s="29">
        <f>IF($A182="","",BDP($C182,'Field Check'!$C$4))</f>
        <v/>
      </c>
      <c r="J182" s="133">
        <f>IFERROR(IF($B182="","",IF(ISNUMBER($F182),$B182*$F182*$D$3/$B$3,0)),"")</f>
        <v/>
      </c>
      <c r="K182" s="133">
        <f>IFERROR(IF($J182="","",$J182*IF(ISNUMBER($I182),$I182,'Index Summary'!$C$7)/100),"")</f>
        <v/>
      </c>
      <c r="L182" s="133">
        <f>IFERROR(IF($K182="","",$J182-$K182),"")</f>
        <v/>
      </c>
      <c r="M182" s="30" t="n"/>
      <c r="N182" s="31">
        <f>IF($C182="","",IF(NOT(ISNUMBER($F182)),"No dividend",IF($F182=0,"No dividend",IF(ISNUMBER($I182),"OK","Frank assumed"))))</f>
        <v/>
      </c>
      <c r="P182" s="58">
        <f>IF($N182="No dividend","",IF($C182="","",BDP($C182,'Field Check'!$C$43)))</f>
        <v/>
      </c>
      <c r="Q182" s="132">
        <f>IFERROR(IF(LEN($P182)&lt;&gt;3,1,IF($P182=$D$2,1,BDP($P182&amp;$D$2&amp;" Curncy","PX_LAST"))),1)</f>
        <v/>
      </c>
    </row>
    <row r="183">
      <c r="A183" s="16" t="n"/>
      <c r="B183" s="80" t="n"/>
      <c r="C183" s="16">
        <f>IF($A183="","",$A183&amp;" Equity")</f>
        <v/>
      </c>
      <c r="D183" s="16">
        <f>IF($A183="","",BDP($C183,"NAME"))</f>
        <v/>
      </c>
      <c r="E183" s="16">
        <f>IF($A183="","",BDP($C183,"GICS_SECTOR_NAME"))</f>
        <v/>
      </c>
      <c r="F183" s="32">
        <f>IF($A183="","",BDP($C183,"EQY_DVD_SH_12M"))</f>
        <v/>
      </c>
      <c r="G183" s="33">
        <f>IF($A183="","",BDP($C183,"EQY_DVD_YLD_12M"))</f>
        <v/>
      </c>
      <c r="H183" s="33">
        <f>IF($A183="","",BDP($C183,"EQY_DVD_YLD_IND"))</f>
        <v/>
      </c>
      <c r="I183" s="33">
        <f>IF($A183="","",BDP($C183,'Field Check'!$C$4))</f>
        <v/>
      </c>
      <c r="J183" s="133">
        <f>IFERROR(IF($B183="","",IF(ISNUMBER($F183),$B183*$F183*$D$3/$B$3,0)),"")</f>
        <v/>
      </c>
      <c r="K183" s="133">
        <f>IFERROR(IF($J183="","",$J183*IF(ISNUMBER($I183),$I183,'Index Summary'!$C$7)/100),"")</f>
        <v/>
      </c>
      <c r="L183" s="133">
        <f>IFERROR(IF($K183="","",$J183-$K183),"")</f>
        <v/>
      </c>
      <c r="M183" s="34" t="n"/>
      <c r="N183" s="35">
        <f>IF($C183="","",IF(NOT(ISNUMBER($F183)),"No dividend",IF($F183=0,"No dividend",IF(ISNUMBER($I183),"OK","Frank assumed"))))</f>
        <v/>
      </c>
      <c r="P183" s="58">
        <f>IF($N183="No dividend","",IF($C183="","",BDP($C183,'Field Check'!$C$43)))</f>
        <v/>
      </c>
      <c r="Q183" s="132">
        <f>IFERROR(IF(LEN($P183)&lt;&gt;3,1,IF($P183=$D$2,1,BDP($P183&amp;$D$2&amp;" Curncy","PX_LAST"))),1)</f>
        <v/>
      </c>
    </row>
    <row r="184">
      <c r="A184" s="27" t="n"/>
      <c r="B184" s="80" t="n"/>
      <c r="C184" s="27">
        <f>IF($A184="","",$A184&amp;" Equity")</f>
        <v/>
      </c>
      <c r="D184" s="27">
        <f>IF($A184="","",BDP($C184,"NAME"))</f>
        <v/>
      </c>
      <c r="E184" s="27">
        <f>IF($A184="","",BDP($C184,"GICS_SECTOR_NAME"))</f>
        <v/>
      </c>
      <c r="F184" s="28">
        <f>IF($A184="","",BDP($C184,"EQY_DVD_SH_12M"))</f>
        <v/>
      </c>
      <c r="G184" s="29">
        <f>IF($A184="","",BDP($C184,"EQY_DVD_YLD_12M"))</f>
        <v/>
      </c>
      <c r="H184" s="29">
        <f>IF($A184="","",BDP($C184,"EQY_DVD_YLD_IND"))</f>
        <v/>
      </c>
      <c r="I184" s="29">
        <f>IF($A184="","",BDP($C184,'Field Check'!$C$4))</f>
        <v/>
      </c>
      <c r="J184" s="133">
        <f>IFERROR(IF($B184="","",IF(ISNUMBER($F184),$B184*$F184*$D$3/$B$3,0)),"")</f>
        <v/>
      </c>
      <c r="K184" s="133">
        <f>IFERROR(IF($J184="","",$J184*IF(ISNUMBER($I184),$I184,'Index Summary'!$C$7)/100),"")</f>
        <v/>
      </c>
      <c r="L184" s="133">
        <f>IFERROR(IF($K184="","",$J184-$K184),"")</f>
        <v/>
      </c>
      <c r="M184" s="30" t="n"/>
      <c r="N184" s="31">
        <f>IF($C184="","",IF(NOT(ISNUMBER($F184)),"No dividend",IF($F184=0,"No dividend",IF(ISNUMBER($I184),"OK","Frank assumed"))))</f>
        <v/>
      </c>
      <c r="P184" s="58">
        <f>IF($N184="No dividend","",IF($C184="","",BDP($C184,'Field Check'!$C$43)))</f>
        <v/>
      </c>
      <c r="Q184" s="132">
        <f>IFERROR(IF(LEN($P184)&lt;&gt;3,1,IF($P184=$D$2,1,BDP($P184&amp;$D$2&amp;" Curncy","PX_LAST"))),1)</f>
        <v/>
      </c>
    </row>
    <row r="185">
      <c r="A185" s="16" t="n"/>
      <c r="B185" s="80" t="n"/>
      <c r="C185" s="16">
        <f>IF($A185="","",$A185&amp;" Equity")</f>
        <v/>
      </c>
      <c r="D185" s="16">
        <f>IF($A185="","",BDP($C185,"NAME"))</f>
        <v/>
      </c>
      <c r="E185" s="16">
        <f>IF($A185="","",BDP($C185,"GICS_SECTOR_NAME"))</f>
        <v/>
      </c>
      <c r="F185" s="32">
        <f>IF($A185="","",BDP($C185,"EQY_DVD_SH_12M"))</f>
        <v/>
      </c>
      <c r="G185" s="33">
        <f>IF($A185="","",BDP($C185,"EQY_DVD_YLD_12M"))</f>
        <v/>
      </c>
      <c r="H185" s="33">
        <f>IF($A185="","",BDP($C185,"EQY_DVD_YLD_IND"))</f>
        <v/>
      </c>
      <c r="I185" s="33">
        <f>IF($A185="","",BDP($C185,'Field Check'!$C$4))</f>
        <v/>
      </c>
      <c r="J185" s="133">
        <f>IFERROR(IF($B185="","",IF(ISNUMBER($F185),$B185*$F185*$D$3/$B$3,0)),"")</f>
        <v/>
      </c>
      <c r="K185" s="133">
        <f>IFERROR(IF($J185="","",$J185*IF(ISNUMBER($I185),$I185,'Index Summary'!$C$7)/100),"")</f>
        <v/>
      </c>
      <c r="L185" s="133">
        <f>IFERROR(IF($K185="","",$J185-$K185),"")</f>
        <v/>
      </c>
      <c r="M185" s="34" t="n"/>
      <c r="N185" s="35">
        <f>IF($C185="","",IF(NOT(ISNUMBER($F185)),"No dividend",IF($F185=0,"No dividend",IF(ISNUMBER($I185),"OK","Frank assumed"))))</f>
        <v/>
      </c>
      <c r="P185" s="58">
        <f>IF($N185="No dividend","",IF($C185="","",BDP($C185,'Field Check'!$C$43)))</f>
        <v/>
      </c>
      <c r="Q185" s="132">
        <f>IFERROR(IF(LEN($P185)&lt;&gt;3,1,IF($P185=$D$2,1,BDP($P185&amp;$D$2&amp;" Curncy","PX_LAST"))),1)</f>
        <v/>
      </c>
    </row>
    <row r="186">
      <c r="A186" s="27" t="n"/>
      <c r="B186" s="80" t="n"/>
      <c r="C186" s="27">
        <f>IF($A186="","",$A186&amp;" Equity")</f>
        <v/>
      </c>
      <c r="D186" s="27">
        <f>IF($A186="","",BDP($C186,"NAME"))</f>
        <v/>
      </c>
      <c r="E186" s="27">
        <f>IF($A186="","",BDP($C186,"GICS_SECTOR_NAME"))</f>
        <v/>
      </c>
      <c r="F186" s="28">
        <f>IF($A186="","",BDP($C186,"EQY_DVD_SH_12M"))</f>
        <v/>
      </c>
      <c r="G186" s="29">
        <f>IF($A186="","",BDP($C186,"EQY_DVD_YLD_12M"))</f>
        <v/>
      </c>
      <c r="H186" s="29">
        <f>IF($A186="","",BDP($C186,"EQY_DVD_YLD_IND"))</f>
        <v/>
      </c>
      <c r="I186" s="29">
        <f>IF($A186="","",BDP($C186,'Field Check'!$C$4))</f>
        <v/>
      </c>
      <c r="J186" s="133">
        <f>IFERROR(IF($B186="","",IF(ISNUMBER($F186),$B186*$F186*$D$3/$B$3,0)),"")</f>
        <v/>
      </c>
      <c r="K186" s="133">
        <f>IFERROR(IF($J186="","",$J186*IF(ISNUMBER($I186),$I186,'Index Summary'!$C$7)/100),"")</f>
        <v/>
      </c>
      <c r="L186" s="133">
        <f>IFERROR(IF($K186="","",$J186-$K186),"")</f>
        <v/>
      </c>
      <c r="M186" s="30" t="n"/>
      <c r="N186" s="31">
        <f>IF($C186="","",IF(NOT(ISNUMBER($F186)),"No dividend",IF($F186=0,"No dividend",IF(ISNUMBER($I186),"OK","Frank assumed"))))</f>
        <v/>
      </c>
      <c r="P186" s="58">
        <f>IF($N186="No dividend","",IF($C186="","",BDP($C186,'Field Check'!$C$43)))</f>
        <v/>
      </c>
      <c r="Q186" s="132">
        <f>IFERROR(IF(LEN($P186)&lt;&gt;3,1,IF($P186=$D$2,1,BDP($P186&amp;$D$2&amp;" Curncy","PX_LAST"))),1)</f>
        <v/>
      </c>
    </row>
    <row r="187">
      <c r="A187" s="16" t="n"/>
      <c r="B187" s="80" t="n"/>
      <c r="C187" s="16">
        <f>IF($A187="","",$A187&amp;" Equity")</f>
        <v/>
      </c>
      <c r="D187" s="16">
        <f>IF($A187="","",BDP($C187,"NAME"))</f>
        <v/>
      </c>
      <c r="E187" s="16">
        <f>IF($A187="","",BDP($C187,"GICS_SECTOR_NAME"))</f>
        <v/>
      </c>
      <c r="F187" s="32">
        <f>IF($A187="","",BDP($C187,"EQY_DVD_SH_12M"))</f>
        <v/>
      </c>
      <c r="G187" s="33">
        <f>IF($A187="","",BDP($C187,"EQY_DVD_YLD_12M"))</f>
        <v/>
      </c>
      <c r="H187" s="33">
        <f>IF($A187="","",BDP($C187,"EQY_DVD_YLD_IND"))</f>
        <v/>
      </c>
      <c r="I187" s="33">
        <f>IF($A187="","",BDP($C187,'Field Check'!$C$4))</f>
        <v/>
      </c>
      <c r="J187" s="133">
        <f>IFERROR(IF($B187="","",IF(ISNUMBER($F187),$B187*$F187*$D$3/$B$3,0)),"")</f>
        <v/>
      </c>
      <c r="K187" s="133">
        <f>IFERROR(IF($J187="","",$J187*IF(ISNUMBER($I187),$I187,'Index Summary'!$C$7)/100),"")</f>
        <v/>
      </c>
      <c r="L187" s="133">
        <f>IFERROR(IF($K187="","",$J187-$K187),"")</f>
        <v/>
      </c>
      <c r="M187" s="34" t="n"/>
      <c r="N187" s="35">
        <f>IF($C187="","",IF(NOT(ISNUMBER($F187)),"No dividend",IF($F187=0,"No dividend",IF(ISNUMBER($I187),"OK","Frank assumed"))))</f>
        <v/>
      </c>
      <c r="P187" s="58">
        <f>IF($N187="No dividend","",IF($C187="","",BDP($C187,'Field Check'!$C$43)))</f>
        <v/>
      </c>
      <c r="Q187" s="132">
        <f>IFERROR(IF(LEN($P187)&lt;&gt;3,1,IF($P187=$D$2,1,BDP($P187&amp;$D$2&amp;" Curncy","PX_LAST"))),1)</f>
        <v/>
      </c>
    </row>
    <row r="188">
      <c r="A188" s="27" t="n"/>
      <c r="B188" s="80" t="n"/>
      <c r="C188" s="27">
        <f>IF($A188="","",$A188&amp;" Equity")</f>
        <v/>
      </c>
      <c r="D188" s="27">
        <f>IF($A188="","",BDP($C188,"NAME"))</f>
        <v/>
      </c>
      <c r="E188" s="27">
        <f>IF($A188="","",BDP($C188,"GICS_SECTOR_NAME"))</f>
        <v/>
      </c>
      <c r="F188" s="28">
        <f>IF($A188="","",BDP($C188,"EQY_DVD_SH_12M"))</f>
        <v/>
      </c>
      <c r="G188" s="29">
        <f>IF($A188="","",BDP($C188,"EQY_DVD_YLD_12M"))</f>
        <v/>
      </c>
      <c r="H188" s="29">
        <f>IF($A188="","",BDP($C188,"EQY_DVD_YLD_IND"))</f>
        <v/>
      </c>
      <c r="I188" s="29">
        <f>IF($A188="","",BDP($C188,'Field Check'!$C$4))</f>
        <v/>
      </c>
      <c r="J188" s="133">
        <f>IFERROR(IF($B188="","",IF(ISNUMBER($F188),$B188*$F188*$D$3/$B$3,0)),"")</f>
        <v/>
      </c>
      <c r="K188" s="133">
        <f>IFERROR(IF($J188="","",$J188*IF(ISNUMBER($I188),$I188,'Index Summary'!$C$7)/100),"")</f>
        <v/>
      </c>
      <c r="L188" s="133">
        <f>IFERROR(IF($K188="","",$J188-$K188),"")</f>
        <v/>
      </c>
      <c r="M188" s="30" t="n"/>
      <c r="N188" s="31">
        <f>IF($C188="","",IF(NOT(ISNUMBER($F188)),"No dividend",IF($F188=0,"No dividend",IF(ISNUMBER($I188),"OK","Frank assumed"))))</f>
        <v/>
      </c>
      <c r="P188" s="58">
        <f>IF($N188="No dividend","",IF($C188="","",BDP($C188,'Field Check'!$C$43)))</f>
        <v/>
      </c>
      <c r="Q188" s="132">
        <f>IFERROR(IF(LEN($P188)&lt;&gt;3,1,IF($P188=$D$2,1,BDP($P188&amp;$D$2&amp;" Curncy","PX_LAST"))),1)</f>
        <v/>
      </c>
    </row>
    <row r="189">
      <c r="A189" s="16" t="n"/>
      <c r="B189" s="80" t="n"/>
      <c r="C189" s="16">
        <f>IF($A189="","",$A189&amp;" Equity")</f>
        <v/>
      </c>
      <c r="D189" s="16">
        <f>IF($A189="","",BDP($C189,"NAME"))</f>
        <v/>
      </c>
      <c r="E189" s="16">
        <f>IF($A189="","",BDP($C189,"GICS_SECTOR_NAME"))</f>
        <v/>
      </c>
      <c r="F189" s="32">
        <f>IF($A189="","",BDP($C189,"EQY_DVD_SH_12M"))</f>
        <v/>
      </c>
      <c r="G189" s="33">
        <f>IF($A189="","",BDP($C189,"EQY_DVD_YLD_12M"))</f>
        <v/>
      </c>
      <c r="H189" s="33">
        <f>IF($A189="","",BDP($C189,"EQY_DVD_YLD_IND"))</f>
        <v/>
      </c>
      <c r="I189" s="33">
        <f>IF($A189="","",BDP($C189,'Field Check'!$C$4))</f>
        <v/>
      </c>
      <c r="J189" s="133">
        <f>IFERROR(IF($B189="","",IF(ISNUMBER($F189),$B189*$F189*$D$3/$B$3,0)),"")</f>
        <v/>
      </c>
      <c r="K189" s="133">
        <f>IFERROR(IF($J189="","",$J189*IF(ISNUMBER($I189),$I189,'Index Summary'!$C$7)/100),"")</f>
        <v/>
      </c>
      <c r="L189" s="133">
        <f>IFERROR(IF($K189="","",$J189-$K189),"")</f>
        <v/>
      </c>
      <c r="M189" s="34" t="n"/>
      <c r="N189" s="35">
        <f>IF($C189="","",IF(NOT(ISNUMBER($F189)),"No dividend",IF($F189=0,"No dividend",IF(ISNUMBER($I189),"OK","Frank assumed"))))</f>
        <v/>
      </c>
      <c r="P189" s="58">
        <f>IF($N189="No dividend","",IF($C189="","",BDP($C189,'Field Check'!$C$43)))</f>
        <v/>
      </c>
      <c r="Q189" s="132">
        <f>IFERROR(IF(LEN($P189)&lt;&gt;3,1,IF($P189=$D$2,1,BDP($P189&amp;$D$2&amp;" Curncy","PX_LAST"))),1)</f>
        <v/>
      </c>
    </row>
    <row r="190">
      <c r="A190" s="27" t="n"/>
      <c r="B190" s="80" t="n"/>
      <c r="C190" s="27">
        <f>IF($A190="","",$A190&amp;" Equity")</f>
        <v/>
      </c>
      <c r="D190" s="27">
        <f>IF($A190="","",BDP($C190,"NAME"))</f>
        <v/>
      </c>
      <c r="E190" s="27">
        <f>IF($A190="","",BDP($C190,"GICS_SECTOR_NAME"))</f>
        <v/>
      </c>
      <c r="F190" s="28">
        <f>IF($A190="","",BDP($C190,"EQY_DVD_SH_12M"))</f>
        <v/>
      </c>
      <c r="G190" s="29">
        <f>IF($A190="","",BDP($C190,"EQY_DVD_YLD_12M"))</f>
        <v/>
      </c>
      <c r="H190" s="29">
        <f>IF($A190="","",BDP($C190,"EQY_DVD_YLD_IND"))</f>
        <v/>
      </c>
      <c r="I190" s="29">
        <f>IF($A190="","",BDP($C190,'Field Check'!$C$4))</f>
        <v/>
      </c>
      <c r="J190" s="133">
        <f>IFERROR(IF($B190="","",IF(ISNUMBER($F190),$B190*$F190*$D$3/$B$3,0)),"")</f>
        <v/>
      </c>
      <c r="K190" s="133">
        <f>IFERROR(IF($J190="","",$J190*IF(ISNUMBER($I190),$I190,'Index Summary'!$C$7)/100),"")</f>
        <v/>
      </c>
      <c r="L190" s="133">
        <f>IFERROR(IF($K190="","",$J190-$K190),"")</f>
        <v/>
      </c>
      <c r="M190" s="30" t="n"/>
      <c r="N190" s="31">
        <f>IF($C190="","",IF(NOT(ISNUMBER($F190)),"No dividend",IF($F190=0,"No dividend",IF(ISNUMBER($I190),"OK","Frank assumed"))))</f>
        <v/>
      </c>
      <c r="P190" s="58">
        <f>IF($N190="No dividend","",IF($C190="","",BDP($C190,'Field Check'!$C$43)))</f>
        <v/>
      </c>
      <c r="Q190" s="132">
        <f>IFERROR(IF(LEN($P190)&lt;&gt;3,1,IF($P190=$D$2,1,BDP($P190&amp;$D$2&amp;" Curncy","PX_LAST"))),1)</f>
        <v/>
      </c>
    </row>
    <row r="191">
      <c r="A191" s="16" t="n"/>
      <c r="B191" s="80" t="n"/>
      <c r="C191" s="16">
        <f>IF($A191="","",$A191&amp;" Equity")</f>
        <v/>
      </c>
      <c r="D191" s="16">
        <f>IF($A191="","",BDP($C191,"NAME"))</f>
        <v/>
      </c>
      <c r="E191" s="16">
        <f>IF($A191="","",BDP($C191,"GICS_SECTOR_NAME"))</f>
        <v/>
      </c>
      <c r="F191" s="32">
        <f>IF($A191="","",BDP($C191,"EQY_DVD_SH_12M"))</f>
        <v/>
      </c>
      <c r="G191" s="33">
        <f>IF($A191="","",BDP($C191,"EQY_DVD_YLD_12M"))</f>
        <v/>
      </c>
      <c r="H191" s="33">
        <f>IF($A191="","",BDP($C191,"EQY_DVD_YLD_IND"))</f>
        <v/>
      </c>
      <c r="I191" s="33">
        <f>IF($A191="","",BDP($C191,'Field Check'!$C$4))</f>
        <v/>
      </c>
      <c r="J191" s="133">
        <f>IFERROR(IF($B191="","",IF(ISNUMBER($F191),$B191*$F191*$D$3/$B$3,0)),"")</f>
        <v/>
      </c>
      <c r="K191" s="133">
        <f>IFERROR(IF($J191="","",$J191*IF(ISNUMBER($I191),$I191,'Index Summary'!$C$7)/100),"")</f>
        <v/>
      </c>
      <c r="L191" s="133">
        <f>IFERROR(IF($K191="","",$J191-$K191),"")</f>
        <v/>
      </c>
      <c r="M191" s="34" t="n"/>
      <c r="N191" s="35">
        <f>IF($C191="","",IF(NOT(ISNUMBER($F191)),"No dividend",IF($F191=0,"No dividend",IF(ISNUMBER($I191),"OK","Frank assumed"))))</f>
        <v/>
      </c>
      <c r="P191" s="58">
        <f>IF($N191="No dividend","",IF($C191="","",BDP($C191,'Field Check'!$C$43)))</f>
        <v/>
      </c>
      <c r="Q191" s="132">
        <f>IFERROR(IF(LEN($P191)&lt;&gt;3,1,IF($P191=$D$2,1,BDP($P191&amp;$D$2&amp;" Curncy","PX_LAST"))),1)</f>
        <v/>
      </c>
    </row>
    <row r="192">
      <c r="A192" s="27" t="n"/>
      <c r="B192" s="80" t="n"/>
      <c r="C192" s="27">
        <f>IF($A192="","",$A192&amp;" Equity")</f>
        <v/>
      </c>
      <c r="D192" s="27">
        <f>IF($A192="","",BDP($C192,"NAME"))</f>
        <v/>
      </c>
      <c r="E192" s="27">
        <f>IF($A192="","",BDP($C192,"GICS_SECTOR_NAME"))</f>
        <v/>
      </c>
      <c r="F192" s="28">
        <f>IF($A192="","",BDP($C192,"EQY_DVD_SH_12M"))</f>
        <v/>
      </c>
      <c r="G192" s="29">
        <f>IF($A192="","",BDP($C192,"EQY_DVD_YLD_12M"))</f>
        <v/>
      </c>
      <c r="H192" s="29">
        <f>IF($A192="","",BDP($C192,"EQY_DVD_YLD_IND"))</f>
        <v/>
      </c>
      <c r="I192" s="29">
        <f>IF($A192="","",BDP($C192,'Field Check'!$C$4))</f>
        <v/>
      </c>
      <c r="J192" s="133">
        <f>IFERROR(IF($B192="","",IF(ISNUMBER($F192),$B192*$F192*$D$3/$B$3,0)),"")</f>
        <v/>
      </c>
      <c r="K192" s="133">
        <f>IFERROR(IF($J192="","",$J192*IF(ISNUMBER($I192),$I192,'Index Summary'!$C$7)/100),"")</f>
        <v/>
      </c>
      <c r="L192" s="133">
        <f>IFERROR(IF($K192="","",$J192-$K192),"")</f>
        <v/>
      </c>
      <c r="M192" s="30" t="n"/>
      <c r="N192" s="31">
        <f>IF($C192="","",IF(NOT(ISNUMBER($F192)),"No dividend",IF($F192=0,"No dividend",IF(ISNUMBER($I192),"OK","Frank assumed"))))</f>
        <v/>
      </c>
      <c r="P192" s="58">
        <f>IF($N192="No dividend","",IF($C192="","",BDP($C192,'Field Check'!$C$43)))</f>
        <v/>
      </c>
      <c r="Q192" s="132">
        <f>IFERROR(IF(LEN($P192)&lt;&gt;3,1,IF($P192=$D$2,1,BDP($P192&amp;$D$2&amp;" Curncy","PX_LAST"))),1)</f>
        <v/>
      </c>
    </row>
    <row r="193">
      <c r="A193" s="16" t="n"/>
      <c r="B193" s="80" t="n"/>
      <c r="C193" s="16">
        <f>IF($A193="","",$A193&amp;" Equity")</f>
        <v/>
      </c>
      <c r="D193" s="16">
        <f>IF($A193="","",BDP($C193,"NAME"))</f>
        <v/>
      </c>
      <c r="E193" s="16">
        <f>IF($A193="","",BDP($C193,"GICS_SECTOR_NAME"))</f>
        <v/>
      </c>
      <c r="F193" s="32">
        <f>IF($A193="","",BDP($C193,"EQY_DVD_SH_12M"))</f>
        <v/>
      </c>
      <c r="G193" s="33">
        <f>IF($A193="","",BDP($C193,"EQY_DVD_YLD_12M"))</f>
        <v/>
      </c>
      <c r="H193" s="33">
        <f>IF($A193="","",BDP($C193,"EQY_DVD_YLD_IND"))</f>
        <v/>
      </c>
      <c r="I193" s="33">
        <f>IF($A193="","",BDP($C193,'Field Check'!$C$4))</f>
        <v/>
      </c>
      <c r="J193" s="133">
        <f>IFERROR(IF($B193="","",IF(ISNUMBER($F193),$B193*$F193*$D$3/$B$3,0)),"")</f>
        <v/>
      </c>
      <c r="K193" s="133">
        <f>IFERROR(IF($J193="","",$J193*IF(ISNUMBER($I193),$I193,'Index Summary'!$C$7)/100),"")</f>
        <v/>
      </c>
      <c r="L193" s="133">
        <f>IFERROR(IF($K193="","",$J193-$K193),"")</f>
        <v/>
      </c>
      <c r="M193" s="34" t="n"/>
      <c r="N193" s="35">
        <f>IF($C193="","",IF(NOT(ISNUMBER($F193)),"No dividend",IF($F193=0,"No dividend",IF(ISNUMBER($I193),"OK","Frank assumed"))))</f>
        <v/>
      </c>
      <c r="P193" s="58">
        <f>IF($N193="No dividend","",IF($C193="","",BDP($C193,'Field Check'!$C$43)))</f>
        <v/>
      </c>
      <c r="Q193" s="132">
        <f>IFERROR(IF(LEN($P193)&lt;&gt;3,1,IF($P193=$D$2,1,BDP($P193&amp;$D$2&amp;" Curncy","PX_LAST"))),1)</f>
        <v/>
      </c>
    </row>
    <row r="194">
      <c r="A194" s="27" t="n"/>
      <c r="B194" s="80" t="n"/>
      <c r="C194" s="27">
        <f>IF($A194="","",$A194&amp;" Equity")</f>
        <v/>
      </c>
      <c r="D194" s="27">
        <f>IF($A194="","",BDP($C194,"NAME"))</f>
        <v/>
      </c>
      <c r="E194" s="27">
        <f>IF($A194="","",BDP($C194,"GICS_SECTOR_NAME"))</f>
        <v/>
      </c>
      <c r="F194" s="28">
        <f>IF($A194="","",BDP($C194,"EQY_DVD_SH_12M"))</f>
        <v/>
      </c>
      <c r="G194" s="29">
        <f>IF($A194="","",BDP($C194,"EQY_DVD_YLD_12M"))</f>
        <v/>
      </c>
      <c r="H194" s="29">
        <f>IF($A194="","",BDP($C194,"EQY_DVD_YLD_IND"))</f>
        <v/>
      </c>
      <c r="I194" s="29">
        <f>IF($A194="","",BDP($C194,'Field Check'!$C$4))</f>
        <v/>
      </c>
      <c r="J194" s="133">
        <f>IFERROR(IF($B194="","",IF(ISNUMBER($F194),$B194*$F194*$D$3/$B$3,0)),"")</f>
        <v/>
      </c>
      <c r="K194" s="133">
        <f>IFERROR(IF($J194="","",$J194*IF(ISNUMBER($I194),$I194,'Index Summary'!$C$7)/100),"")</f>
        <v/>
      </c>
      <c r="L194" s="133">
        <f>IFERROR(IF($K194="","",$J194-$K194),"")</f>
        <v/>
      </c>
      <c r="M194" s="30" t="n"/>
      <c r="N194" s="31">
        <f>IF($C194="","",IF(NOT(ISNUMBER($F194)),"No dividend",IF($F194=0,"No dividend",IF(ISNUMBER($I194),"OK","Frank assumed"))))</f>
        <v/>
      </c>
      <c r="P194" s="58">
        <f>IF($N194="No dividend","",IF($C194="","",BDP($C194,'Field Check'!$C$43)))</f>
        <v/>
      </c>
      <c r="Q194" s="132">
        <f>IFERROR(IF(LEN($P194)&lt;&gt;3,1,IF($P194=$D$2,1,BDP($P194&amp;$D$2&amp;" Curncy","PX_LAST"))),1)</f>
        <v/>
      </c>
    </row>
    <row r="195">
      <c r="A195" s="16" t="n"/>
      <c r="B195" s="80" t="n"/>
      <c r="C195" s="16">
        <f>IF($A195="","",$A195&amp;" Equity")</f>
        <v/>
      </c>
      <c r="D195" s="16">
        <f>IF($A195="","",BDP($C195,"NAME"))</f>
        <v/>
      </c>
      <c r="E195" s="16">
        <f>IF($A195="","",BDP($C195,"GICS_SECTOR_NAME"))</f>
        <v/>
      </c>
      <c r="F195" s="32">
        <f>IF($A195="","",BDP($C195,"EQY_DVD_SH_12M"))</f>
        <v/>
      </c>
      <c r="G195" s="33">
        <f>IF($A195="","",BDP($C195,"EQY_DVD_YLD_12M"))</f>
        <v/>
      </c>
      <c r="H195" s="33">
        <f>IF($A195="","",BDP($C195,"EQY_DVD_YLD_IND"))</f>
        <v/>
      </c>
      <c r="I195" s="33">
        <f>IF($A195="","",BDP($C195,'Field Check'!$C$4))</f>
        <v/>
      </c>
      <c r="J195" s="133">
        <f>IFERROR(IF($B195="","",IF(ISNUMBER($F195),$B195*$F195*$D$3/$B$3,0)),"")</f>
        <v/>
      </c>
      <c r="K195" s="133">
        <f>IFERROR(IF($J195="","",$J195*IF(ISNUMBER($I195),$I195,'Index Summary'!$C$7)/100),"")</f>
        <v/>
      </c>
      <c r="L195" s="133">
        <f>IFERROR(IF($K195="","",$J195-$K195),"")</f>
        <v/>
      </c>
      <c r="M195" s="34" t="n"/>
      <c r="N195" s="35">
        <f>IF($C195="","",IF(NOT(ISNUMBER($F195)),"No dividend",IF($F195=0,"No dividend",IF(ISNUMBER($I195),"OK","Frank assumed"))))</f>
        <v/>
      </c>
      <c r="P195" s="58">
        <f>IF($N195="No dividend","",IF($C195="","",BDP($C195,'Field Check'!$C$43)))</f>
        <v/>
      </c>
      <c r="Q195" s="132">
        <f>IFERROR(IF(LEN($P195)&lt;&gt;3,1,IF($P195=$D$2,1,BDP($P195&amp;$D$2&amp;" Curncy","PX_LAST"))),1)</f>
        <v/>
      </c>
    </row>
    <row r="196">
      <c r="A196" s="27" t="n"/>
      <c r="B196" s="80" t="n"/>
      <c r="C196" s="27">
        <f>IF($A196="","",$A196&amp;" Equity")</f>
        <v/>
      </c>
      <c r="D196" s="27">
        <f>IF($A196="","",BDP($C196,"NAME"))</f>
        <v/>
      </c>
      <c r="E196" s="27">
        <f>IF($A196="","",BDP($C196,"GICS_SECTOR_NAME"))</f>
        <v/>
      </c>
      <c r="F196" s="28">
        <f>IF($A196="","",BDP($C196,"EQY_DVD_SH_12M"))</f>
        <v/>
      </c>
      <c r="G196" s="29">
        <f>IF($A196="","",BDP($C196,"EQY_DVD_YLD_12M"))</f>
        <v/>
      </c>
      <c r="H196" s="29">
        <f>IF($A196="","",BDP($C196,"EQY_DVD_YLD_IND"))</f>
        <v/>
      </c>
      <c r="I196" s="29">
        <f>IF($A196="","",BDP($C196,'Field Check'!$C$4))</f>
        <v/>
      </c>
      <c r="J196" s="133">
        <f>IFERROR(IF($B196="","",IF(ISNUMBER($F196),$B196*$F196*$D$3/$B$3,0)),"")</f>
        <v/>
      </c>
      <c r="K196" s="133">
        <f>IFERROR(IF($J196="","",$J196*IF(ISNUMBER($I196),$I196,'Index Summary'!$C$7)/100),"")</f>
        <v/>
      </c>
      <c r="L196" s="133">
        <f>IFERROR(IF($K196="","",$J196-$K196),"")</f>
        <v/>
      </c>
      <c r="M196" s="30" t="n"/>
      <c r="N196" s="31">
        <f>IF($C196="","",IF(NOT(ISNUMBER($F196)),"No dividend",IF($F196=0,"No dividend",IF(ISNUMBER($I196),"OK","Frank assumed"))))</f>
        <v/>
      </c>
      <c r="P196" s="58">
        <f>IF($N196="No dividend","",IF($C196="","",BDP($C196,'Field Check'!$C$43)))</f>
        <v/>
      </c>
      <c r="Q196" s="132">
        <f>IFERROR(IF(LEN($P196)&lt;&gt;3,1,IF($P196=$D$2,1,BDP($P196&amp;$D$2&amp;" Curncy","PX_LAST"))),1)</f>
        <v/>
      </c>
    </row>
    <row r="197">
      <c r="A197" s="16" t="n"/>
      <c r="B197" s="80" t="n"/>
      <c r="C197" s="16">
        <f>IF($A197="","",$A197&amp;" Equity")</f>
        <v/>
      </c>
      <c r="D197" s="16">
        <f>IF($A197="","",BDP($C197,"NAME"))</f>
        <v/>
      </c>
      <c r="E197" s="16">
        <f>IF($A197="","",BDP($C197,"GICS_SECTOR_NAME"))</f>
        <v/>
      </c>
      <c r="F197" s="32">
        <f>IF($A197="","",BDP($C197,"EQY_DVD_SH_12M"))</f>
        <v/>
      </c>
      <c r="G197" s="33">
        <f>IF($A197="","",BDP($C197,"EQY_DVD_YLD_12M"))</f>
        <v/>
      </c>
      <c r="H197" s="33">
        <f>IF($A197="","",BDP($C197,"EQY_DVD_YLD_IND"))</f>
        <v/>
      </c>
      <c r="I197" s="33">
        <f>IF($A197="","",BDP($C197,'Field Check'!$C$4))</f>
        <v/>
      </c>
      <c r="J197" s="133">
        <f>IFERROR(IF($B197="","",IF(ISNUMBER($F197),$B197*$F197*$D$3/$B$3,0)),"")</f>
        <v/>
      </c>
      <c r="K197" s="133">
        <f>IFERROR(IF($J197="","",$J197*IF(ISNUMBER($I197),$I197,'Index Summary'!$C$7)/100),"")</f>
        <v/>
      </c>
      <c r="L197" s="133">
        <f>IFERROR(IF($K197="","",$J197-$K197),"")</f>
        <v/>
      </c>
      <c r="M197" s="34" t="n"/>
      <c r="N197" s="35">
        <f>IF($C197="","",IF(NOT(ISNUMBER($F197)),"No dividend",IF($F197=0,"No dividend",IF(ISNUMBER($I197),"OK","Frank assumed"))))</f>
        <v/>
      </c>
      <c r="P197" s="58">
        <f>IF($N197="No dividend","",IF($C197="","",BDP($C197,'Field Check'!$C$43)))</f>
        <v/>
      </c>
      <c r="Q197" s="132">
        <f>IFERROR(IF(LEN($P197)&lt;&gt;3,1,IF($P197=$D$2,1,BDP($P197&amp;$D$2&amp;" Curncy","PX_LAST"))),1)</f>
        <v/>
      </c>
    </row>
    <row r="198">
      <c r="A198" s="27" t="n"/>
      <c r="B198" s="80" t="n"/>
      <c r="C198" s="27">
        <f>IF($A198="","",$A198&amp;" Equity")</f>
        <v/>
      </c>
      <c r="D198" s="27">
        <f>IF($A198="","",BDP($C198,"NAME"))</f>
        <v/>
      </c>
      <c r="E198" s="27">
        <f>IF($A198="","",BDP($C198,"GICS_SECTOR_NAME"))</f>
        <v/>
      </c>
      <c r="F198" s="28">
        <f>IF($A198="","",BDP($C198,"EQY_DVD_SH_12M"))</f>
        <v/>
      </c>
      <c r="G198" s="29">
        <f>IF($A198="","",BDP($C198,"EQY_DVD_YLD_12M"))</f>
        <v/>
      </c>
      <c r="H198" s="29">
        <f>IF($A198="","",BDP($C198,"EQY_DVD_YLD_IND"))</f>
        <v/>
      </c>
      <c r="I198" s="29">
        <f>IF($A198="","",BDP($C198,'Field Check'!$C$4))</f>
        <v/>
      </c>
      <c r="J198" s="133">
        <f>IFERROR(IF($B198="","",IF(ISNUMBER($F198),$B198*$F198*$D$3/$B$3,0)),"")</f>
        <v/>
      </c>
      <c r="K198" s="133">
        <f>IFERROR(IF($J198="","",$J198*IF(ISNUMBER($I198),$I198,'Index Summary'!$C$7)/100),"")</f>
        <v/>
      </c>
      <c r="L198" s="133">
        <f>IFERROR(IF($K198="","",$J198-$K198),"")</f>
        <v/>
      </c>
      <c r="M198" s="30" t="n"/>
      <c r="N198" s="31">
        <f>IF($C198="","",IF(NOT(ISNUMBER($F198)),"No dividend",IF($F198=0,"No dividend",IF(ISNUMBER($I198),"OK","Frank assumed"))))</f>
        <v/>
      </c>
      <c r="P198" s="58">
        <f>IF($N198="No dividend","",IF($C198="","",BDP($C198,'Field Check'!$C$43)))</f>
        <v/>
      </c>
      <c r="Q198" s="132">
        <f>IFERROR(IF(LEN($P198)&lt;&gt;3,1,IF($P198=$D$2,1,BDP($P198&amp;$D$2&amp;" Curncy","PX_LAST"))),1)</f>
        <v/>
      </c>
    </row>
    <row r="199">
      <c r="A199" s="16" t="n"/>
      <c r="B199" s="80" t="n"/>
      <c r="C199" s="16">
        <f>IF($A199="","",$A199&amp;" Equity")</f>
        <v/>
      </c>
      <c r="D199" s="16">
        <f>IF($A199="","",BDP($C199,"NAME"))</f>
        <v/>
      </c>
      <c r="E199" s="16">
        <f>IF($A199="","",BDP($C199,"GICS_SECTOR_NAME"))</f>
        <v/>
      </c>
      <c r="F199" s="32">
        <f>IF($A199="","",BDP($C199,"EQY_DVD_SH_12M"))</f>
        <v/>
      </c>
      <c r="G199" s="33">
        <f>IF($A199="","",BDP($C199,"EQY_DVD_YLD_12M"))</f>
        <v/>
      </c>
      <c r="H199" s="33">
        <f>IF($A199="","",BDP($C199,"EQY_DVD_YLD_IND"))</f>
        <v/>
      </c>
      <c r="I199" s="33">
        <f>IF($A199="","",BDP($C199,'Field Check'!$C$4))</f>
        <v/>
      </c>
      <c r="J199" s="133">
        <f>IFERROR(IF($B199="","",IF(ISNUMBER($F199),$B199*$F199*$D$3/$B$3,0)),"")</f>
        <v/>
      </c>
      <c r="K199" s="133">
        <f>IFERROR(IF($J199="","",$J199*IF(ISNUMBER($I199),$I199,'Index Summary'!$C$7)/100),"")</f>
        <v/>
      </c>
      <c r="L199" s="133">
        <f>IFERROR(IF($K199="","",$J199-$K199),"")</f>
        <v/>
      </c>
      <c r="M199" s="34" t="n"/>
      <c r="N199" s="35">
        <f>IF($C199="","",IF(NOT(ISNUMBER($F199)),"No dividend",IF($F199=0,"No dividend",IF(ISNUMBER($I199),"OK","Frank assumed"))))</f>
        <v/>
      </c>
      <c r="P199" s="58">
        <f>IF($N199="No dividend","",IF($C199="","",BDP($C199,'Field Check'!$C$43)))</f>
        <v/>
      </c>
      <c r="Q199" s="132">
        <f>IFERROR(IF(LEN($P199)&lt;&gt;3,1,IF($P199=$D$2,1,BDP($P199&amp;$D$2&amp;" Curncy","PX_LAST"))),1)</f>
        <v/>
      </c>
    </row>
    <row r="200">
      <c r="A200" s="27" t="n"/>
      <c r="B200" s="80" t="n"/>
      <c r="C200" s="27">
        <f>IF($A200="","",$A200&amp;" Equity")</f>
        <v/>
      </c>
      <c r="D200" s="27">
        <f>IF($A200="","",BDP($C200,"NAME"))</f>
        <v/>
      </c>
      <c r="E200" s="27">
        <f>IF($A200="","",BDP($C200,"GICS_SECTOR_NAME"))</f>
        <v/>
      </c>
      <c r="F200" s="28">
        <f>IF($A200="","",BDP($C200,"EQY_DVD_SH_12M"))</f>
        <v/>
      </c>
      <c r="G200" s="29">
        <f>IF($A200="","",BDP($C200,"EQY_DVD_YLD_12M"))</f>
        <v/>
      </c>
      <c r="H200" s="29">
        <f>IF($A200="","",BDP($C200,"EQY_DVD_YLD_IND"))</f>
        <v/>
      </c>
      <c r="I200" s="29">
        <f>IF($A200="","",BDP($C200,'Field Check'!$C$4))</f>
        <v/>
      </c>
      <c r="J200" s="133">
        <f>IFERROR(IF($B200="","",IF(ISNUMBER($F200),$B200*$F200*$D$3/$B$3,0)),"")</f>
        <v/>
      </c>
      <c r="K200" s="133">
        <f>IFERROR(IF($J200="","",$J200*IF(ISNUMBER($I200),$I200,'Index Summary'!$C$7)/100),"")</f>
        <v/>
      </c>
      <c r="L200" s="133">
        <f>IFERROR(IF($K200="","",$J200-$K200),"")</f>
        <v/>
      </c>
      <c r="M200" s="30" t="n"/>
      <c r="N200" s="31">
        <f>IF($C200="","",IF(NOT(ISNUMBER($F200)),"No dividend",IF($F200=0,"No dividend",IF(ISNUMBER($I200),"OK","Frank assumed"))))</f>
        <v/>
      </c>
      <c r="P200" s="58">
        <f>IF($N200="No dividend","",IF($C200="","",BDP($C200,'Field Check'!$C$43)))</f>
        <v/>
      </c>
      <c r="Q200" s="132">
        <f>IFERROR(IF(LEN($P200)&lt;&gt;3,1,IF($P200=$D$2,1,BDP($P200&amp;$D$2&amp;" Curncy","PX_LAST"))),1)</f>
        <v/>
      </c>
    </row>
    <row r="201">
      <c r="A201" s="16" t="n"/>
      <c r="B201" s="80" t="n"/>
      <c r="C201" s="16">
        <f>IF($A201="","",$A201&amp;" Equity")</f>
        <v/>
      </c>
      <c r="D201" s="16">
        <f>IF($A201="","",BDP($C201,"NAME"))</f>
        <v/>
      </c>
      <c r="E201" s="16">
        <f>IF($A201="","",BDP($C201,"GICS_SECTOR_NAME"))</f>
        <v/>
      </c>
      <c r="F201" s="32">
        <f>IF($A201="","",BDP($C201,"EQY_DVD_SH_12M"))</f>
        <v/>
      </c>
      <c r="G201" s="33">
        <f>IF($A201="","",BDP($C201,"EQY_DVD_YLD_12M"))</f>
        <v/>
      </c>
      <c r="H201" s="33">
        <f>IF($A201="","",BDP($C201,"EQY_DVD_YLD_IND"))</f>
        <v/>
      </c>
      <c r="I201" s="33">
        <f>IF($A201="","",BDP($C201,'Field Check'!$C$4))</f>
        <v/>
      </c>
      <c r="J201" s="133">
        <f>IFERROR(IF($B201="","",IF(ISNUMBER($F201),$B201*$F201*$D$3/$B$3,0)),"")</f>
        <v/>
      </c>
      <c r="K201" s="133">
        <f>IFERROR(IF($J201="","",$J201*IF(ISNUMBER($I201),$I201,'Index Summary'!$C$7)/100),"")</f>
        <v/>
      </c>
      <c r="L201" s="133">
        <f>IFERROR(IF($K201="","",$J201-$K201),"")</f>
        <v/>
      </c>
      <c r="M201" s="34" t="n"/>
      <c r="N201" s="35">
        <f>IF($C201="","",IF(NOT(ISNUMBER($F201)),"No dividend",IF($F201=0,"No dividend",IF(ISNUMBER($I201),"OK","Frank assumed"))))</f>
        <v/>
      </c>
      <c r="P201" s="58">
        <f>IF($N201="No dividend","",IF($C201="","",BDP($C201,'Field Check'!$C$43)))</f>
        <v/>
      </c>
      <c r="Q201" s="132">
        <f>IFERROR(IF(LEN($P201)&lt;&gt;3,1,IF($P201=$D$2,1,BDP($P201&amp;$D$2&amp;" Curncy","PX_LAST"))),1)</f>
        <v/>
      </c>
    </row>
    <row r="202">
      <c r="A202" s="27" t="n"/>
      <c r="B202" s="80" t="n"/>
      <c r="C202" s="27">
        <f>IF($A202="","",$A202&amp;" Equity")</f>
        <v/>
      </c>
      <c r="D202" s="27">
        <f>IF($A202="","",BDP($C202,"NAME"))</f>
        <v/>
      </c>
      <c r="E202" s="27">
        <f>IF($A202="","",BDP($C202,"GICS_SECTOR_NAME"))</f>
        <v/>
      </c>
      <c r="F202" s="28">
        <f>IF($A202="","",BDP($C202,"EQY_DVD_SH_12M"))</f>
        <v/>
      </c>
      <c r="G202" s="29">
        <f>IF($A202="","",BDP($C202,"EQY_DVD_YLD_12M"))</f>
        <v/>
      </c>
      <c r="H202" s="29">
        <f>IF($A202="","",BDP($C202,"EQY_DVD_YLD_IND"))</f>
        <v/>
      </c>
      <c r="I202" s="29">
        <f>IF($A202="","",BDP($C202,'Field Check'!$C$4))</f>
        <v/>
      </c>
      <c r="J202" s="133">
        <f>IFERROR(IF($B202="","",IF(ISNUMBER($F202),$B202*$F202*$D$3/$B$3,0)),"")</f>
        <v/>
      </c>
      <c r="K202" s="133">
        <f>IFERROR(IF($J202="","",$J202*IF(ISNUMBER($I202),$I202,'Index Summary'!$C$7)/100),"")</f>
        <v/>
      </c>
      <c r="L202" s="133">
        <f>IFERROR(IF($K202="","",$J202-$K202),"")</f>
        <v/>
      </c>
      <c r="M202" s="30" t="n"/>
      <c r="N202" s="31">
        <f>IF($C202="","",IF(NOT(ISNUMBER($F202)),"No dividend",IF($F202=0,"No dividend",IF(ISNUMBER($I202),"OK","Frank assumed"))))</f>
        <v/>
      </c>
      <c r="P202" s="58">
        <f>IF($N202="No dividend","",IF($C202="","",BDP($C202,'Field Check'!$C$43)))</f>
        <v/>
      </c>
      <c r="Q202" s="132">
        <f>IFERROR(IF(LEN($P202)&lt;&gt;3,1,IF($P202=$D$2,1,BDP($P202&amp;$D$2&amp;" Curncy","PX_LAST"))),1)</f>
        <v/>
      </c>
    </row>
    <row r="203">
      <c r="A203" s="16" t="n"/>
      <c r="B203" s="80" t="n"/>
      <c r="C203" s="16">
        <f>IF($A203="","",$A203&amp;" Equity")</f>
        <v/>
      </c>
      <c r="D203" s="16">
        <f>IF($A203="","",BDP($C203,"NAME"))</f>
        <v/>
      </c>
      <c r="E203" s="16">
        <f>IF($A203="","",BDP($C203,"GICS_SECTOR_NAME"))</f>
        <v/>
      </c>
      <c r="F203" s="32">
        <f>IF($A203="","",BDP($C203,"EQY_DVD_SH_12M"))</f>
        <v/>
      </c>
      <c r="G203" s="33">
        <f>IF($A203="","",BDP($C203,"EQY_DVD_YLD_12M"))</f>
        <v/>
      </c>
      <c r="H203" s="33">
        <f>IF($A203="","",BDP($C203,"EQY_DVD_YLD_IND"))</f>
        <v/>
      </c>
      <c r="I203" s="33">
        <f>IF($A203="","",BDP($C203,'Field Check'!$C$4))</f>
        <v/>
      </c>
      <c r="J203" s="133">
        <f>IFERROR(IF($B203="","",IF(ISNUMBER($F203),$B203*$F203*$D$3/$B$3,0)),"")</f>
        <v/>
      </c>
      <c r="K203" s="133">
        <f>IFERROR(IF($J203="","",$J203*IF(ISNUMBER($I203),$I203,'Index Summary'!$C$7)/100),"")</f>
        <v/>
      </c>
      <c r="L203" s="133">
        <f>IFERROR(IF($K203="","",$J203-$K203),"")</f>
        <v/>
      </c>
      <c r="M203" s="34" t="n"/>
      <c r="N203" s="35">
        <f>IF($C203="","",IF(NOT(ISNUMBER($F203)),"No dividend",IF($F203=0,"No dividend",IF(ISNUMBER($I203),"OK","Frank assumed"))))</f>
        <v/>
      </c>
      <c r="P203" s="58">
        <f>IF($N203="No dividend","",IF($C203="","",BDP($C203,'Field Check'!$C$43)))</f>
        <v/>
      </c>
      <c r="Q203" s="132">
        <f>IFERROR(IF(LEN($P203)&lt;&gt;3,1,IF($P203=$D$2,1,BDP($P203&amp;$D$2&amp;" Curncy","PX_LAST"))),1)</f>
        <v/>
      </c>
    </row>
    <row r="204">
      <c r="A204" s="27" t="n"/>
      <c r="B204" s="80" t="n"/>
      <c r="C204" s="27">
        <f>IF($A204="","",$A204&amp;" Equity")</f>
        <v/>
      </c>
      <c r="D204" s="27">
        <f>IF($A204="","",BDP($C204,"NAME"))</f>
        <v/>
      </c>
      <c r="E204" s="27">
        <f>IF($A204="","",BDP($C204,"GICS_SECTOR_NAME"))</f>
        <v/>
      </c>
      <c r="F204" s="28">
        <f>IF($A204="","",BDP($C204,"EQY_DVD_SH_12M"))</f>
        <v/>
      </c>
      <c r="G204" s="29">
        <f>IF($A204="","",BDP($C204,"EQY_DVD_YLD_12M"))</f>
        <v/>
      </c>
      <c r="H204" s="29">
        <f>IF($A204="","",BDP($C204,"EQY_DVD_YLD_IND"))</f>
        <v/>
      </c>
      <c r="I204" s="29">
        <f>IF($A204="","",BDP($C204,'Field Check'!$C$4))</f>
        <v/>
      </c>
      <c r="J204" s="133">
        <f>IFERROR(IF($B204="","",IF(ISNUMBER($F204),$B204*$F204*$D$3/$B$3,0)),"")</f>
        <v/>
      </c>
      <c r="K204" s="133">
        <f>IFERROR(IF($J204="","",$J204*IF(ISNUMBER($I204),$I204,'Index Summary'!$C$7)/100),"")</f>
        <v/>
      </c>
      <c r="L204" s="133">
        <f>IFERROR(IF($K204="","",$J204-$K204),"")</f>
        <v/>
      </c>
      <c r="M204" s="30" t="n"/>
      <c r="N204" s="31">
        <f>IF($C204="","",IF(NOT(ISNUMBER($F204)),"No dividend",IF($F204=0,"No dividend",IF(ISNUMBER($I204),"OK","Frank assumed"))))</f>
        <v/>
      </c>
      <c r="P204" s="58">
        <f>IF($N204="No dividend","",IF($C204="","",BDP($C204,'Field Check'!$C$43)))</f>
        <v/>
      </c>
      <c r="Q204" s="132">
        <f>IFERROR(IF(LEN($P204)&lt;&gt;3,1,IF($P204=$D$2,1,BDP($P204&amp;$D$2&amp;" Curncy","PX_LAST"))),1)</f>
        <v/>
      </c>
    </row>
    <row r="205">
      <c r="A205" s="16" t="n"/>
      <c r="B205" s="80" t="n"/>
      <c r="C205" s="16">
        <f>IF($A205="","",$A205&amp;" Equity")</f>
        <v/>
      </c>
      <c r="D205" s="16">
        <f>IF($A205="","",BDP($C205,"NAME"))</f>
        <v/>
      </c>
      <c r="E205" s="16">
        <f>IF($A205="","",BDP($C205,"GICS_SECTOR_NAME"))</f>
        <v/>
      </c>
      <c r="F205" s="32">
        <f>IF($A205="","",BDP($C205,"EQY_DVD_SH_12M"))</f>
        <v/>
      </c>
      <c r="G205" s="33">
        <f>IF($A205="","",BDP($C205,"EQY_DVD_YLD_12M"))</f>
        <v/>
      </c>
      <c r="H205" s="33">
        <f>IF($A205="","",BDP($C205,"EQY_DVD_YLD_IND"))</f>
        <v/>
      </c>
      <c r="I205" s="33">
        <f>IF($A205="","",BDP($C205,'Field Check'!$C$4))</f>
        <v/>
      </c>
      <c r="J205" s="133">
        <f>IFERROR(IF($B205="","",IF(ISNUMBER($F205),$B205*$F205*$D$3/$B$3,0)),"")</f>
        <v/>
      </c>
      <c r="K205" s="133">
        <f>IFERROR(IF($J205="","",$J205*IF(ISNUMBER($I205),$I205,'Index Summary'!$C$7)/100),"")</f>
        <v/>
      </c>
      <c r="L205" s="133">
        <f>IFERROR(IF($K205="","",$J205-$K205),"")</f>
        <v/>
      </c>
      <c r="M205" s="34" t="n"/>
      <c r="N205" s="35">
        <f>IF($C205="","",IF(NOT(ISNUMBER($F205)),"No dividend",IF($F205=0,"No dividend",IF(ISNUMBER($I205),"OK","Frank assumed"))))</f>
        <v/>
      </c>
      <c r="P205" s="58">
        <f>IF($N205="No dividend","",IF($C205="","",BDP($C205,'Field Check'!$C$43)))</f>
        <v/>
      </c>
      <c r="Q205" s="132">
        <f>IFERROR(IF(LEN($P205)&lt;&gt;3,1,IF($P205=$D$2,1,BDP($P205&amp;$D$2&amp;" Curncy","PX_LAST"))),1)</f>
        <v/>
      </c>
    </row>
    <row r="206">
      <c r="A206" s="27" t="n"/>
      <c r="B206" s="80" t="n"/>
      <c r="C206" s="27">
        <f>IF($A206="","",$A206&amp;" Equity")</f>
        <v/>
      </c>
      <c r="D206" s="27">
        <f>IF($A206="","",BDP($C206,"NAME"))</f>
        <v/>
      </c>
      <c r="E206" s="27">
        <f>IF($A206="","",BDP($C206,"GICS_SECTOR_NAME"))</f>
        <v/>
      </c>
      <c r="F206" s="28">
        <f>IF($A206="","",BDP($C206,"EQY_DVD_SH_12M"))</f>
        <v/>
      </c>
      <c r="G206" s="29">
        <f>IF($A206="","",BDP($C206,"EQY_DVD_YLD_12M"))</f>
        <v/>
      </c>
      <c r="H206" s="29">
        <f>IF($A206="","",BDP($C206,"EQY_DVD_YLD_IND"))</f>
        <v/>
      </c>
      <c r="I206" s="29">
        <f>IF($A206="","",BDP($C206,'Field Check'!$C$4))</f>
        <v/>
      </c>
      <c r="J206" s="133">
        <f>IFERROR(IF($B206="","",IF(ISNUMBER($F206),$B206*$F206*$D$3/$B$3,0)),"")</f>
        <v/>
      </c>
      <c r="K206" s="133">
        <f>IFERROR(IF($J206="","",$J206*IF(ISNUMBER($I206),$I206,'Index Summary'!$C$7)/100),"")</f>
        <v/>
      </c>
      <c r="L206" s="133">
        <f>IFERROR(IF($K206="","",$J206-$K206),"")</f>
        <v/>
      </c>
      <c r="M206" s="30" t="n"/>
      <c r="N206" s="31">
        <f>IF($C206="","",IF(NOT(ISNUMBER($F206)),"No dividend",IF($F206=0,"No dividend",IF(ISNUMBER($I206),"OK","Frank assumed"))))</f>
        <v/>
      </c>
      <c r="P206" s="58">
        <f>IF($N206="No dividend","",IF($C206="","",BDP($C206,'Field Check'!$C$43)))</f>
        <v/>
      </c>
      <c r="Q206" s="132">
        <f>IFERROR(IF(LEN($P206)&lt;&gt;3,1,IF($P206=$D$2,1,BDP($P206&amp;$D$2&amp;" Curncy","PX_LAST"))),1)</f>
        <v/>
      </c>
    </row>
    <row r="207">
      <c r="A207" s="16" t="n"/>
      <c r="B207" s="80" t="n"/>
      <c r="C207" s="16">
        <f>IF($A207="","",$A207&amp;" Equity")</f>
        <v/>
      </c>
      <c r="D207" s="16">
        <f>IF($A207="","",BDP($C207,"NAME"))</f>
        <v/>
      </c>
      <c r="E207" s="16">
        <f>IF($A207="","",BDP($C207,"GICS_SECTOR_NAME"))</f>
        <v/>
      </c>
      <c r="F207" s="32">
        <f>IF($A207="","",BDP($C207,"EQY_DVD_SH_12M"))</f>
        <v/>
      </c>
      <c r="G207" s="33">
        <f>IF($A207="","",BDP($C207,"EQY_DVD_YLD_12M"))</f>
        <v/>
      </c>
      <c r="H207" s="33">
        <f>IF($A207="","",BDP($C207,"EQY_DVD_YLD_IND"))</f>
        <v/>
      </c>
      <c r="I207" s="33">
        <f>IF($A207="","",BDP($C207,'Field Check'!$C$4))</f>
        <v/>
      </c>
      <c r="J207" s="133">
        <f>IFERROR(IF($B207="","",IF(ISNUMBER($F207),$B207*$F207*$D$3/$B$3,0)),"")</f>
        <v/>
      </c>
      <c r="K207" s="133">
        <f>IFERROR(IF($J207="","",$J207*IF(ISNUMBER($I207),$I207,'Index Summary'!$C$7)/100),"")</f>
        <v/>
      </c>
      <c r="L207" s="133">
        <f>IFERROR(IF($K207="","",$J207-$K207),"")</f>
        <v/>
      </c>
      <c r="M207" s="34" t="n"/>
      <c r="N207" s="35">
        <f>IF($C207="","",IF(NOT(ISNUMBER($F207)),"No dividend",IF($F207=0,"No dividend",IF(ISNUMBER($I207),"OK","Frank assumed"))))</f>
        <v/>
      </c>
      <c r="P207" s="58">
        <f>IF($N207="No dividend","",IF($C207="","",BDP($C207,'Field Check'!$C$43)))</f>
        <v/>
      </c>
      <c r="Q207" s="132">
        <f>IFERROR(IF(LEN($P207)&lt;&gt;3,1,IF($P207=$D$2,1,BDP($P207&amp;$D$2&amp;" Curncy","PX_LAST"))),1)</f>
        <v/>
      </c>
    </row>
    <row r="208">
      <c r="A208" s="27" t="n"/>
      <c r="B208" s="80" t="n"/>
      <c r="C208" s="27">
        <f>IF($A208="","",$A208&amp;" Equity")</f>
        <v/>
      </c>
      <c r="D208" s="27">
        <f>IF($A208="","",BDP($C208,"NAME"))</f>
        <v/>
      </c>
      <c r="E208" s="27">
        <f>IF($A208="","",BDP($C208,"GICS_SECTOR_NAME"))</f>
        <v/>
      </c>
      <c r="F208" s="28">
        <f>IF($A208="","",BDP($C208,"EQY_DVD_SH_12M"))</f>
        <v/>
      </c>
      <c r="G208" s="29">
        <f>IF($A208="","",BDP($C208,"EQY_DVD_YLD_12M"))</f>
        <v/>
      </c>
      <c r="H208" s="29">
        <f>IF($A208="","",BDP($C208,"EQY_DVD_YLD_IND"))</f>
        <v/>
      </c>
      <c r="I208" s="29">
        <f>IF($A208="","",BDP($C208,'Field Check'!$C$4))</f>
        <v/>
      </c>
      <c r="J208" s="133">
        <f>IFERROR(IF($B208="","",IF(ISNUMBER($F208),$B208*$F208*$D$3/$B$3,0)),"")</f>
        <v/>
      </c>
      <c r="K208" s="133">
        <f>IFERROR(IF($J208="","",$J208*IF(ISNUMBER($I208),$I208,'Index Summary'!$C$7)/100),"")</f>
        <v/>
      </c>
      <c r="L208" s="133">
        <f>IFERROR(IF($K208="","",$J208-$K208),"")</f>
        <v/>
      </c>
      <c r="M208" s="30" t="n"/>
      <c r="N208" s="31">
        <f>IF($C208="","",IF(NOT(ISNUMBER($F208)),"No dividend",IF($F208=0,"No dividend",IF(ISNUMBER($I208),"OK","Frank assumed"))))</f>
        <v/>
      </c>
      <c r="P208" s="58">
        <f>IF($N208="No dividend","",IF($C208="","",BDP($C208,'Field Check'!$C$43)))</f>
        <v/>
      </c>
      <c r="Q208" s="132">
        <f>IFERROR(IF(LEN($P208)&lt;&gt;3,1,IF($P208=$D$2,1,BDP($P208&amp;$D$2&amp;" Curncy","PX_LAST"))),1)</f>
        <v/>
      </c>
    </row>
    <row r="209">
      <c r="A209" s="16" t="n"/>
      <c r="B209" s="80" t="n"/>
      <c r="C209" s="16">
        <f>IF($A209="","",$A209&amp;" Equity")</f>
        <v/>
      </c>
      <c r="D209" s="16">
        <f>IF($A209="","",BDP($C209,"NAME"))</f>
        <v/>
      </c>
      <c r="E209" s="16">
        <f>IF($A209="","",BDP($C209,"GICS_SECTOR_NAME"))</f>
        <v/>
      </c>
      <c r="F209" s="32">
        <f>IF($A209="","",BDP($C209,"EQY_DVD_SH_12M"))</f>
        <v/>
      </c>
      <c r="G209" s="33">
        <f>IF($A209="","",BDP($C209,"EQY_DVD_YLD_12M"))</f>
        <v/>
      </c>
      <c r="H209" s="33">
        <f>IF($A209="","",BDP($C209,"EQY_DVD_YLD_IND"))</f>
        <v/>
      </c>
      <c r="I209" s="33">
        <f>IF($A209="","",BDP($C209,'Field Check'!$C$4))</f>
        <v/>
      </c>
      <c r="J209" s="133">
        <f>IFERROR(IF($B209="","",IF(ISNUMBER($F209),$B209*$F209*$D$3/$B$3,0)),"")</f>
        <v/>
      </c>
      <c r="K209" s="133">
        <f>IFERROR(IF($J209="","",$J209*IF(ISNUMBER($I209),$I209,'Index Summary'!$C$7)/100),"")</f>
        <v/>
      </c>
      <c r="L209" s="133">
        <f>IFERROR(IF($K209="","",$J209-$K209),"")</f>
        <v/>
      </c>
      <c r="M209" s="34" t="n"/>
      <c r="N209" s="35">
        <f>IF($C209="","",IF(NOT(ISNUMBER($F209)),"No dividend",IF($F209=0,"No dividend",IF(ISNUMBER($I209),"OK","Frank assumed"))))</f>
        <v/>
      </c>
      <c r="P209" s="58">
        <f>IF($N209="No dividend","",IF($C209="","",BDP($C209,'Field Check'!$C$43)))</f>
        <v/>
      </c>
      <c r="Q209" s="132">
        <f>IFERROR(IF(LEN($P209)&lt;&gt;3,1,IF($P209=$D$2,1,BDP($P209&amp;$D$2&amp;" Curncy","PX_LAST"))),1)</f>
        <v/>
      </c>
    </row>
    <row r="210">
      <c r="A210" s="27" t="n"/>
      <c r="B210" s="80" t="n"/>
      <c r="C210" s="27">
        <f>IF($A210="","",$A210&amp;" Equity")</f>
        <v/>
      </c>
      <c r="D210" s="27">
        <f>IF($A210="","",BDP($C210,"NAME"))</f>
        <v/>
      </c>
      <c r="E210" s="27">
        <f>IF($A210="","",BDP($C210,"GICS_SECTOR_NAME"))</f>
        <v/>
      </c>
      <c r="F210" s="28">
        <f>IF($A210="","",BDP($C210,"EQY_DVD_SH_12M"))</f>
        <v/>
      </c>
      <c r="G210" s="29">
        <f>IF($A210="","",BDP($C210,"EQY_DVD_YLD_12M"))</f>
        <v/>
      </c>
      <c r="H210" s="29">
        <f>IF($A210="","",BDP($C210,"EQY_DVD_YLD_IND"))</f>
        <v/>
      </c>
      <c r="I210" s="29">
        <f>IF($A210="","",BDP($C210,'Field Check'!$C$4))</f>
        <v/>
      </c>
      <c r="J210" s="133">
        <f>IFERROR(IF($B210="","",IF(ISNUMBER($F210),$B210*$F210*$D$3/$B$3,0)),"")</f>
        <v/>
      </c>
      <c r="K210" s="133">
        <f>IFERROR(IF($J210="","",$J210*IF(ISNUMBER($I210),$I210,'Index Summary'!$C$7)/100),"")</f>
        <v/>
      </c>
      <c r="L210" s="133">
        <f>IFERROR(IF($K210="","",$J210-$K210),"")</f>
        <v/>
      </c>
      <c r="M210" s="30" t="n"/>
      <c r="N210" s="31">
        <f>IF($C210="","",IF(NOT(ISNUMBER($F210)),"No dividend",IF($F210=0,"No dividend",IF(ISNUMBER($I210),"OK","Frank assumed"))))</f>
        <v/>
      </c>
      <c r="P210" s="58">
        <f>IF($N210="No dividend","",IF($C210="","",BDP($C210,'Field Check'!$C$43)))</f>
        <v/>
      </c>
      <c r="Q210" s="132">
        <f>IFERROR(IF(LEN($P210)&lt;&gt;3,1,IF($P210=$D$2,1,BDP($P210&amp;$D$2&amp;" Curncy","PX_LAST"))),1)</f>
        <v/>
      </c>
    </row>
    <row r="211">
      <c r="A211" s="16" t="n"/>
      <c r="B211" s="80" t="n"/>
      <c r="C211" s="16">
        <f>IF($A211="","",$A211&amp;" Equity")</f>
        <v/>
      </c>
      <c r="D211" s="16">
        <f>IF($A211="","",BDP($C211,"NAME"))</f>
        <v/>
      </c>
      <c r="E211" s="16">
        <f>IF($A211="","",BDP($C211,"GICS_SECTOR_NAME"))</f>
        <v/>
      </c>
      <c r="F211" s="32">
        <f>IF($A211="","",BDP($C211,"EQY_DVD_SH_12M"))</f>
        <v/>
      </c>
      <c r="G211" s="33">
        <f>IF($A211="","",BDP($C211,"EQY_DVD_YLD_12M"))</f>
        <v/>
      </c>
      <c r="H211" s="33">
        <f>IF($A211="","",BDP($C211,"EQY_DVD_YLD_IND"))</f>
        <v/>
      </c>
      <c r="I211" s="33">
        <f>IF($A211="","",BDP($C211,'Field Check'!$C$4))</f>
        <v/>
      </c>
      <c r="J211" s="133">
        <f>IFERROR(IF($B211="","",IF(ISNUMBER($F211),$B211*$F211*$D$3/$B$3,0)),"")</f>
        <v/>
      </c>
      <c r="K211" s="133">
        <f>IFERROR(IF($J211="","",$J211*IF(ISNUMBER($I211),$I211,'Index Summary'!$C$7)/100),"")</f>
        <v/>
      </c>
      <c r="L211" s="133">
        <f>IFERROR(IF($K211="","",$J211-$K211),"")</f>
        <v/>
      </c>
      <c r="M211" s="34" t="n"/>
      <c r="N211" s="35">
        <f>IF($C211="","",IF(NOT(ISNUMBER($F211)),"No dividend",IF($F211=0,"No dividend",IF(ISNUMBER($I211),"OK","Frank assumed"))))</f>
        <v/>
      </c>
      <c r="P211" s="58">
        <f>IF($N211="No dividend","",IF($C211="","",BDP($C211,'Field Check'!$C$43)))</f>
        <v/>
      </c>
      <c r="Q211" s="132">
        <f>IFERROR(IF(LEN($P211)&lt;&gt;3,1,IF($P211=$D$2,1,BDP($P211&amp;$D$2&amp;" Curncy","PX_LAST"))),1)</f>
        <v/>
      </c>
    </row>
    <row r="212">
      <c r="A212" s="27" t="n"/>
      <c r="B212" s="80" t="n"/>
      <c r="C212" s="27">
        <f>IF($A212="","",$A212&amp;" Equity")</f>
        <v/>
      </c>
      <c r="D212" s="27">
        <f>IF($A212="","",BDP($C212,"NAME"))</f>
        <v/>
      </c>
      <c r="E212" s="27">
        <f>IF($A212="","",BDP($C212,"GICS_SECTOR_NAME"))</f>
        <v/>
      </c>
      <c r="F212" s="28">
        <f>IF($A212="","",BDP($C212,"EQY_DVD_SH_12M"))</f>
        <v/>
      </c>
      <c r="G212" s="29">
        <f>IF($A212="","",BDP($C212,"EQY_DVD_YLD_12M"))</f>
        <v/>
      </c>
      <c r="H212" s="29">
        <f>IF($A212="","",BDP($C212,"EQY_DVD_YLD_IND"))</f>
        <v/>
      </c>
      <c r="I212" s="29">
        <f>IF($A212="","",BDP($C212,'Field Check'!$C$4))</f>
        <v/>
      </c>
      <c r="J212" s="133">
        <f>IFERROR(IF($B212="","",IF(ISNUMBER($F212),$B212*$F212*$D$3/$B$3,0)),"")</f>
        <v/>
      </c>
      <c r="K212" s="133">
        <f>IFERROR(IF($J212="","",$J212*IF(ISNUMBER($I212),$I212,'Index Summary'!$C$7)/100),"")</f>
        <v/>
      </c>
      <c r="L212" s="133">
        <f>IFERROR(IF($K212="","",$J212-$K212),"")</f>
        <v/>
      </c>
      <c r="M212" s="30" t="n"/>
      <c r="N212" s="31">
        <f>IF($C212="","",IF(NOT(ISNUMBER($F212)),"No dividend",IF($F212=0,"No dividend",IF(ISNUMBER($I212),"OK","Frank assumed"))))</f>
        <v/>
      </c>
      <c r="P212" s="58">
        <f>IF($N212="No dividend","",IF($C212="","",BDP($C212,'Field Check'!$C$43)))</f>
        <v/>
      </c>
      <c r="Q212" s="132">
        <f>IFERROR(IF(LEN($P212)&lt;&gt;3,1,IF($P212=$D$2,1,BDP($P212&amp;$D$2&amp;" Curncy","PX_LAST"))),1)</f>
        <v/>
      </c>
    </row>
    <row r="213">
      <c r="A213" s="16" t="n"/>
      <c r="B213" s="80" t="n"/>
      <c r="C213" s="16">
        <f>IF($A213="","",$A213&amp;" Equity")</f>
        <v/>
      </c>
      <c r="D213" s="16">
        <f>IF($A213="","",BDP($C213,"NAME"))</f>
        <v/>
      </c>
      <c r="E213" s="16">
        <f>IF($A213="","",BDP($C213,"GICS_SECTOR_NAME"))</f>
        <v/>
      </c>
      <c r="F213" s="32">
        <f>IF($A213="","",BDP($C213,"EQY_DVD_SH_12M"))</f>
        <v/>
      </c>
      <c r="G213" s="33">
        <f>IF($A213="","",BDP($C213,"EQY_DVD_YLD_12M"))</f>
        <v/>
      </c>
      <c r="H213" s="33">
        <f>IF($A213="","",BDP($C213,"EQY_DVD_YLD_IND"))</f>
        <v/>
      </c>
      <c r="I213" s="33">
        <f>IF($A213="","",BDP($C213,'Field Check'!$C$4))</f>
        <v/>
      </c>
      <c r="J213" s="133">
        <f>IFERROR(IF($B213="","",IF(ISNUMBER($F213),$B213*$F213*$D$3/$B$3,0)),"")</f>
        <v/>
      </c>
      <c r="K213" s="133">
        <f>IFERROR(IF($J213="","",$J213*IF(ISNUMBER($I213),$I213,'Index Summary'!$C$7)/100),"")</f>
        <v/>
      </c>
      <c r="L213" s="133">
        <f>IFERROR(IF($K213="","",$J213-$K213),"")</f>
        <v/>
      </c>
      <c r="M213" s="34" t="n"/>
      <c r="N213" s="35">
        <f>IF($C213="","",IF(NOT(ISNUMBER($F213)),"No dividend",IF($F213=0,"No dividend",IF(ISNUMBER($I213),"OK","Frank assumed"))))</f>
        <v/>
      </c>
      <c r="P213" s="58">
        <f>IF($N213="No dividend","",IF($C213="","",BDP($C213,'Field Check'!$C$43)))</f>
        <v/>
      </c>
      <c r="Q213" s="132">
        <f>IFERROR(IF(LEN($P213)&lt;&gt;3,1,IF($P213=$D$2,1,BDP($P213&amp;$D$2&amp;" Curncy","PX_LAST"))),1)</f>
        <v/>
      </c>
    </row>
    <row r="214">
      <c r="A214" s="27" t="n"/>
      <c r="B214" s="80" t="n"/>
      <c r="C214" s="27">
        <f>IF($A214="","",$A214&amp;" Equity")</f>
        <v/>
      </c>
      <c r="D214" s="27">
        <f>IF($A214="","",BDP($C214,"NAME"))</f>
        <v/>
      </c>
      <c r="E214" s="27">
        <f>IF($A214="","",BDP($C214,"GICS_SECTOR_NAME"))</f>
        <v/>
      </c>
      <c r="F214" s="28">
        <f>IF($A214="","",BDP($C214,"EQY_DVD_SH_12M"))</f>
        <v/>
      </c>
      <c r="G214" s="29">
        <f>IF($A214="","",BDP($C214,"EQY_DVD_YLD_12M"))</f>
        <v/>
      </c>
      <c r="H214" s="29">
        <f>IF($A214="","",BDP($C214,"EQY_DVD_YLD_IND"))</f>
        <v/>
      </c>
      <c r="I214" s="29">
        <f>IF($A214="","",BDP($C214,'Field Check'!$C$4))</f>
        <v/>
      </c>
      <c r="J214" s="133">
        <f>IFERROR(IF($B214="","",IF(ISNUMBER($F214),$B214*$F214*$D$3/$B$3,0)),"")</f>
        <v/>
      </c>
      <c r="K214" s="133">
        <f>IFERROR(IF($J214="","",$J214*IF(ISNUMBER($I214),$I214,'Index Summary'!$C$7)/100),"")</f>
        <v/>
      </c>
      <c r="L214" s="133">
        <f>IFERROR(IF($K214="","",$J214-$K214),"")</f>
        <v/>
      </c>
      <c r="M214" s="30" t="n"/>
      <c r="N214" s="31">
        <f>IF($C214="","",IF(NOT(ISNUMBER($F214)),"No dividend",IF($F214=0,"No dividend",IF(ISNUMBER($I214),"OK","Frank assumed"))))</f>
        <v/>
      </c>
      <c r="P214" s="58">
        <f>IF($N214="No dividend","",IF($C214="","",BDP($C214,'Field Check'!$C$43)))</f>
        <v/>
      </c>
      <c r="Q214" s="132">
        <f>IFERROR(IF(LEN($P214)&lt;&gt;3,1,IF($P214=$D$2,1,BDP($P214&amp;$D$2&amp;" Curncy","PX_LAST"))),1)</f>
        <v/>
      </c>
    </row>
    <row r="215">
      <c r="A215" s="16" t="n"/>
      <c r="B215" s="80" t="n"/>
      <c r="C215" s="16">
        <f>IF($A215="","",$A215&amp;" Equity")</f>
        <v/>
      </c>
      <c r="D215" s="16">
        <f>IF($A215="","",BDP($C215,"NAME"))</f>
        <v/>
      </c>
      <c r="E215" s="16">
        <f>IF($A215="","",BDP($C215,"GICS_SECTOR_NAME"))</f>
        <v/>
      </c>
      <c r="F215" s="32">
        <f>IF($A215="","",BDP($C215,"EQY_DVD_SH_12M"))</f>
        <v/>
      </c>
      <c r="G215" s="33">
        <f>IF($A215="","",BDP($C215,"EQY_DVD_YLD_12M"))</f>
        <v/>
      </c>
      <c r="H215" s="33">
        <f>IF($A215="","",BDP($C215,"EQY_DVD_YLD_IND"))</f>
        <v/>
      </c>
      <c r="I215" s="33">
        <f>IF($A215="","",BDP($C215,'Field Check'!$C$4))</f>
        <v/>
      </c>
      <c r="J215" s="133">
        <f>IFERROR(IF($B215="","",IF(ISNUMBER($F215),$B215*$F215*$D$3/$B$3,0)),"")</f>
        <v/>
      </c>
      <c r="K215" s="133">
        <f>IFERROR(IF($J215="","",$J215*IF(ISNUMBER($I215),$I215,'Index Summary'!$C$7)/100),"")</f>
        <v/>
      </c>
      <c r="L215" s="133">
        <f>IFERROR(IF($K215="","",$J215-$K215),"")</f>
        <v/>
      </c>
      <c r="M215" s="34" t="n"/>
      <c r="N215" s="35">
        <f>IF($C215="","",IF(NOT(ISNUMBER($F215)),"No dividend",IF($F215=0,"No dividend",IF(ISNUMBER($I215),"OK","Frank assumed"))))</f>
        <v/>
      </c>
      <c r="P215" s="58">
        <f>IF($N215="No dividend","",IF($C215="","",BDP($C215,'Field Check'!$C$43)))</f>
        <v/>
      </c>
      <c r="Q215" s="132">
        <f>IFERROR(IF(LEN($P215)&lt;&gt;3,1,IF($P215=$D$2,1,BDP($P215&amp;$D$2&amp;" Curncy","PX_LAST"))),1)</f>
        <v/>
      </c>
    </row>
    <row r="216">
      <c r="A216" s="27" t="n"/>
      <c r="B216" s="80" t="n"/>
      <c r="C216" s="27">
        <f>IF($A216="","",$A216&amp;" Equity")</f>
        <v/>
      </c>
      <c r="D216" s="27">
        <f>IF($A216="","",BDP($C216,"NAME"))</f>
        <v/>
      </c>
      <c r="E216" s="27">
        <f>IF($A216="","",BDP($C216,"GICS_SECTOR_NAME"))</f>
        <v/>
      </c>
      <c r="F216" s="28">
        <f>IF($A216="","",BDP($C216,"EQY_DVD_SH_12M"))</f>
        <v/>
      </c>
      <c r="G216" s="29">
        <f>IF($A216="","",BDP($C216,"EQY_DVD_YLD_12M"))</f>
        <v/>
      </c>
      <c r="H216" s="29">
        <f>IF($A216="","",BDP($C216,"EQY_DVD_YLD_IND"))</f>
        <v/>
      </c>
      <c r="I216" s="29">
        <f>IF($A216="","",BDP($C216,'Field Check'!$C$4))</f>
        <v/>
      </c>
      <c r="J216" s="133">
        <f>IFERROR(IF($B216="","",IF(ISNUMBER($F216),$B216*$F216*$D$3/$B$3,0)),"")</f>
        <v/>
      </c>
      <c r="K216" s="133">
        <f>IFERROR(IF($J216="","",$J216*IF(ISNUMBER($I216),$I216,'Index Summary'!$C$7)/100),"")</f>
        <v/>
      </c>
      <c r="L216" s="133">
        <f>IFERROR(IF($K216="","",$J216-$K216),"")</f>
        <v/>
      </c>
      <c r="M216" s="30" t="n"/>
      <c r="N216" s="31">
        <f>IF($C216="","",IF(NOT(ISNUMBER($F216)),"No dividend",IF($F216=0,"No dividend",IF(ISNUMBER($I216),"OK","Frank assumed"))))</f>
        <v/>
      </c>
      <c r="P216" s="58">
        <f>IF($N216="No dividend","",IF($C216="","",BDP($C216,'Field Check'!$C$43)))</f>
        <v/>
      </c>
      <c r="Q216" s="132">
        <f>IFERROR(IF(LEN($P216)&lt;&gt;3,1,IF($P216=$D$2,1,BDP($P216&amp;$D$2&amp;" Curncy","PX_LAST"))),1)</f>
        <v/>
      </c>
    </row>
    <row r="217">
      <c r="A217" s="16" t="n"/>
      <c r="B217" s="80" t="n"/>
      <c r="C217" s="16">
        <f>IF($A217="","",$A217&amp;" Equity")</f>
        <v/>
      </c>
      <c r="D217" s="16">
        <f>IF($A217="","",BDP($C217,"NAME"))</f>
        <v/>
      </c>
      <c r="E217" s="16">
        <f>IF($A217="","",BDP($C217,"GICS_SECTOR_NAME"))</f>
        <v/>
      </c>
      <c r="F217" s="32">
        <f>IF($A217="","",BDP($C217,"EQY_DVD_SH_12M"))</f>
        <v/>
      </c>
      <c r="G217" s="33">
        <f>IF($A217="","",BDP($C217,"EQY_DVD_YLD_12M"))</f>
        <v/>
      </c>
      <c r="H217" s="33">
        <f>IF($A217="","",BDP($C217,"EQY_DVD_YLD_IND"))</f>
        <v/>
      </c>
      <c r="I217" s="33">
        <f>IF($A217="","",BDP($C217,'Field Check'!$C$4))</f>
        <v/>
      </c>
      <c r="J217" s="133">
        <f>IFERROR(IF($B217="","",IF(ISNUMBER($F217),$B217*$F217*$D$3/$B$3,0)),"")</f>
        <v/>
      </c>
      <c r="K217" s="133">
        <f>IFERROR(IF($J217="","",$J217*IF(ISNUMBER($I217),$I217,'Index Summary'!$C$7)/100),"")</f>
        <v/>
      </c>
      <c r="L217" s="133">
        <f>IFERROR(IF($K217="","",$J217-$K217),"")</f>
        <v/>
      </c>
      <c r="M217" s="34" t="n"/>
      <c r="N217" s="35">
        <f>IF($C217="","",IF(NOT(ISNUMBER($F217)),"No dividend",IF($F217=0,"No dividend",IF(ISNUMBER($I217),"OK","Frank assumed"))))</f>
        <v/>
      </c>
      <c r="P217" s="58">
        <f>IF($N217="No dividend","",IF($C217="","",BDP($C217,'Field Check'!$C$43)))</f>
        <v/>
      </c>
      <c r="Q217" s="132">
        <f>IFERROR(IF(LEN($P217)&lt;&gt;3,1,IF($P217=$D$2,1,BDP($P217&amp;$D$2&amp;" Curncy","PX_LAST"))),1)</f>
        <v/>
      </c>
    </row>
    <row r="218">
      <c r="A218" s="27" t="n"/>
      <c r="B218" s="80" t="n"/>
      <c r="C218" s="27">
        <f>IF($A218="","",$A218&amp;" Equity")</f>
        <v/>
      </c>
      <c r="D218" s="27">
        <f>IF($A218="","",BDP($C218,"NAME"))</f>
        <v/>
      </c>
      <c r="E218" s="27">
        <f>IF($A218="","",BDP($C218,"GICS_SECTOR_NAME"))</f>
        <v/>
      </c>
      <c r="F218" s="28">
        <f>IF($A218="","",BDP($C218,"EQY_DVD_SH_12M"))</f>
        <v/>
      </c>
      <c r="G218" s="29">
        <f>IF($A218="","",BDP($C218,"EQY_DVD_YLD_12M"))</f>
        <v/>
      </c>
      <c r="H218" s="29">
        <f>IF($A218="","",BDP($C218,"EQY_DVD_YLD_IND"))</f>
        <v/>
      </c>
      <c r="I218" s="29">
        <f>IF($A218="","",BDP($C218,'Field Check'!$C$4))</f>
        <v/>
      </c>
      <c r="J218" s="133">
        <f>IFERROR(IF($B218="","",IF(ISNUMBER($F218),$B218*$F218*$D$3/$B$3,0)),"")</f>
        <v/>
      </c>
      <c r="K218" s="133">
        <f>IFERROR(IF($J218="","",$J218*IF(ISNUMBER($I218),$I218,'Index Summary'!$C$7)/100),"")</f>
        <v/>
      </c>
      <c r="L218" s="133">
        <f>IFERROR(IF($K218="","",$J218-$K218),"")</f>
        <v/>
      </c>
      <c r="M218" s="30" t="n"/>
      <c r="N218" s="31">
        <f>IF($C218="","",IF(NOT(ISNUMBER($F218)),"No dividend",IF($F218=0,"No dividend",IF(ISNUMBER($I218),"OK","Frank assumed"))))</f>
        <v/>
      </c>
      <c r="P218" s="58">
        <f>IF($N218="No dividend","",IF($C218="","",BDP($C218,'Field Check'!$C$43)))</f>
        <v/>
      </c>
      <c r="Q218" s="132">
        <f>IFERROR(IF(LEN($P218)&lt;&gt;3,1,IF($P218=$D$2,1,BDP($P218&amp;$D$2&amp;" Curncy","PX_LAST"))),1)</f>
        <v/>
      </c>
    </row>
    <row r="219">
      <c r="A219" s="16" t="n"/>
      <c r="B219" s="80" t="n"/>
      <c r="C219" s="16">
        <f>IF($A219="","",$A219&amp;" Equity")</f>
        <v/>
      </c>
      <c r="D219" s="16">
        <f>IF($A219="","",BDP($C219,"NAME"))</f>
        <v/>
      </c>
      <c r="E219" s="16">
        <f>IF($A219="","",BDP($C219,"GICS_SECTOR_NAME"))</f>
        <v/>
      </c>
      <c r="F219" s="32">
        <f>IF($A219="","",BDP($C219,"EQY_DVD_SH_12M"))</f>
        <v/>
      </c>
      <c r="G219" s="33">
        <f>IF($A219="","",BDP($C219,"EQY_DVD_YLD_12M"))</f>
        <v/>
      </c>
      <c r="H219" s="33">
        <f>IF($A219="","",BDP($C219,"EQY_DVD_YLD_IND"))</f>
        <v/>
      </c>
      <c r="I219" s="33">
        <f>IF($A219="","",BDP($C219,'Field Check'!$C$4))</f>
        <v/>
      </c>
      <c r="J219" s="133">
        <f>IFERROR(IF($B219="","",IF(ISNUMBER($F219),$B219*$F219*$D$3/$B$3,0)),"")</f>
        <v/>
      </c>
      <c r="K219" s="133">
        <f>IFERROR(IF($J219="","",$J219*IF(ISNUMBER($I219),$I219,'Index Summary'!$C$7)/100),"")</f>
        <v/>
      </c>
      <c r="L219" s="133">
        <f>IFERROR(IF($K219="","",$J219-$K219),"")</f>
        <v/>
      </c>
      <c r="M219" s="34" t="n"/>
      <c r="N219" s="35">
        <f>IF($C219="","",IF(NOT(ISNUMBER($F219)),"No dividend",IF($F219=0,"No dividend",IF(ISNUMBER($I219),"OK","Frank assumed"))))</f>
        <v/>
      </c>
      <c r="P219" s="58">
        <f>IF($N219="No dividend","",IF($C219="","",BDP($C219,'Field Check'!$C$43)))</f>
        <v/>
      </c>
      <c r="Q219" s="132">
        <f>IFERROR(IF(LEN($P219)&lt;&gt;3,1,IF($P219=$D$2,1,BDP($P219&amp;$D$2&amp;" Curncy","PX_LAST"))),1)</f>
        <v/>
      </c>
    </row>
    <row r="220">
      <c r="A220" s="27" t="n"/>
      <c r="B220" s="80" t="n"/>
      <c r="C220" s="27">
        <f>IF($A220="","",$A220&amp;" Equity")</f>
        <v/>
      </c>
      <c r="D220" s="27">
        <f>IF($A220="","",BDP($C220,"NAME"))</f>
        <v/>
      </c>
      <c r="E220" s="27">
        <f>IF($A220="","",BDP($C220,"GICS_SECTOR_NAME"))</f>
        <v/>
      </c>
      <c r="F220" s="28">
        <f>IF($A220="","",BDP($C220,"EQY_DVD_SH_12M"))</f>
        <v/>
      </c>
      <c r="G220" s="29">
        <f>IF($A220="","",BDP($C220,"EQY_DVD_YLD_12M"))</f>
        <v/>
      </c>
      <c r="H220" s="29">
        <f>IF($A220="","",BDP($C220,"EQY_DVD_YLD_IND"))</f>
        <v/>
      </c>
      <c r="I220" s="29">
        <f>IF($A220="","",BDP($C220,'Field Check'!$C$4))</f>
        <v/>
      </c>
      <c r="J220" s="133">
        <f>IFERROR(IF($B220="","",IF(ISNUMBER($F220),$B220*$F220*$D$3/$B$3,0)),"")</f>
        <v/>
      </c>
      <c r="K220" s="133">
        <f>IFERROR(IF($J220="","",$J220*IF(ISNUMBER($I220),$I220,'Index Summary'!$C$7)/100),"")</f>
        <v/>
      </c>
      <c r="L220" s="133">
        <f>IFERROR(IF($K220="","",$J220-$K220),"")</f>
        <v/>
      </c>
      <c r="M220" s="30" t="n"/>
      <c r="N220" s="31">
        <f>IF($C220="","",IF(NOT(ISNUMBER($F220)),"No dividend",IF($F220=0,"No dividend",IF(ISNUMBER($I220),"OK","Frank assumed"))))</f>
        <v/>
      </c>
      <c r="P220" s="58">
        <f>IF($N220="No dividend","",IF($C220="","",BDP($C220,'Field Check'!$C$43)))</f>
        <v/>
      </c>
      <c r="Q220" s="132">
        <f>IFERROR(IF(LEN($P220)&lt;&gt;3,1,IF($P220=$D$2,1,BDP($P220&amp;$D$2&amp;" Curncy","PX_LAST"))),1)</f>
        <v/>
      </c>
    </row>
    <row r="221">
      <c r="A221" s="16" t="n"/>
      <c r="B221" s="80" t="n"/>
      <c r="C221" s="16">
        <f>IF($A221="","",$A221&amp;" Equity")</f>
        <v/>
      </c>
      <c r="D221" s="16">
        <f>IF($A221="","",BDP($C221,"NAME"))</f>
        <v/>
      </c>
      <c r="E221" s="16">
        <f>IF($A221="","",BDP($C221,"GICS_SECTOR_NAME"))</f>
        <v/>
      </c>
      <c r="F221" s="32">
        <f>IF($A221="","",BDP($C221,"EQY_DVD_SH_12M"))</f>
        <v/>
      </c>
      <c r="G221" s="33">
        <f>IF($A221="","",BDP($C221,"EQY_DVD_YLD_12M"))</f>
        <v/>
      </c>
      <c r="H221" s="33">
        <f>IF($A221="","",BDP($C221,"EQY_DVD_YLD_IND"))</f>
        <v/>
      </c>
      <c r="I221" s="33">
        <f>IF($A221="","",BDP($C221,'Field Check'!$C$4))</f>
        <v/>
      </c>
      <c r="J221" s="133">
        <f>IFERROR(IF($B221="","",IF(ISNUMBER($F221),$B221*$F221*$D$3/$B$3,0)),"")</f>
        <v/>
      </c>
      <c r="K221" s="133">
        <f>IFERROR(IF($J221="","",$J221*IF(ISNUMBER($I221),$I221,'Index Summary'!$C$7)/100),"")</f>
        <v/>
      </c>
      <c r="L221" s="133">
        <f>IFERROR(IF($K221="","",$J221-$K221),"")</f>
        <v/>
      </c>
      <c r="M221" s="34" t="n"/>
      <c r="N221" s="35">
        <f>IF($C221="","",IF(NOT(ISNUMBER($F221)),"No dividend",IF($F221=0,"No dividend",IF(ISNUMBER($I221),"OK","Frank assumed"))))</f>
        <v/>
      </c>
      <c r="P221" s="58">
        <f>IF($N221="No dividend","",IF($C221="","",BDP($C221,'Field Check'!$C$43)))</f>
        <v/>
      </c>
      <c r="Q221" s="132">
        <f>IFERROR(IF(LEN($P221)&lt;&gt;3,1,IF($P221=$D$2,1,BDP($P221&amp;$D$2&amp;" Curncy","PX_LAST"))),1)</f>
        <v/>
      </c>
    </row>
    <row r="222">
      <c r="A222" s="27" t="n"/>
      <c r="B222" s="80" t="n"/>
      <c r="C222" s="27">
        <f>IF($A222="","",$A222&amp;" Equity")</f>
        <v/>
      </c>
      <c r="D222" s="27">
        <f>IF($A222="","",BDP($C222,"NAME"))</f>
        <v/>
      </c>
      <c r="E222" s="27">
        <f>IF($A222="","",BDP($C222,"GICS_SECTOR_NAME"))</f>
        <v/>
      </c>
      <c r="F222" s="28">
        <f>IF($A222="","",BDP($C222,"EQY_DVD_SH_12M"))</f>
        <v/>
      </c>
      <c r="G222" s="29">
        <f>IF($A222="","",BDP($C222,"EQY_DVD_YLD_12M"))</f>
        <v/>
      </c>
      <c r="H222" s="29">
        <f>IF($A222="","",BDP($C222,"EQY_DVD_YLD_IND"))</f>
        <v/>
      </c>
      <c r="I222" s="29">
        <f>IF($A222="","",BDP($C222,'Field Check'!$C$4))</f>
        <v/>
      </c>
      <c r="J222" s="133">
        <f>IFERROR(IF($B222="","",IF(ISNUMBER($F222),$B222*$F222*$D$3/$B$3,0)),"")</f>
        <v/>
      </c>
      <c r="K222" s="133">
        <f>IFERROR(IF($J222="","",$J222*IF(ISNUMBER($I222),$I222,'Index Summary'!$C$7)/100),"")</f>
        <v/>
      </c>
      <c r="L222" s="133">
        <f>IFERROR(IF($K222="","",$J222-$K222),"")</f>
        <v/>
      </c>
      <c r="M222" s="30" t="n"/>
      <c r="N222" s="31">
        <f>IF($C222="","",IF(NOT(ISNUMBER($F222)),"No dividend",IF($F222=0,"No dividend",IF(ISNUMBER($I222),"OK","Frank assumed"))))</f>
        <v/>
      </c>
      <c r="P222" s="58">
        <f>IF($N222="No dividend","",IF($C222="","",BDP($C222,'Field Check'!$C$43)))</f>
        <v/>
      </c>
      <c r="Q222" s="132">
        <f>IFERROR(IF(LEN($P222)&lt;&gt;3,1,IF($P222=$D$2,1,BDP($P222&amp;$D$2&amp;" Curncy","PX_LAST"))),1)</f>
        <v/>
      </c>
    </row>
    <row r="223">
      <c r="A223" s="16" t="n"/>
      <c r="B223" s="80" t="n"/>
      <c r="C223" s="16">
        <f>IF($A223="","",$A223&amp;" Equity")</f>
        <v/>
      </c>
      <c r="D223" s="16">
        <f>IF($A223="","",BDP($C223,"NAME"))</f>
        <v/>
      </c>
      <c r="E223" s="16">
        <f>IF($A223="","",BDP($C223,"GICS_SECTOR_NAME"))</f>
        <v/>
      </c>
      <c r="F223" s="32">
        <f>IF($A223="","",BDP($C223,"EQY_DVD_SH_12M"))</f>
        <v/>
      </c>
      <c r="G223" s="33">
        <f>IF($A223="","",BDP($C223,"EQY_DVD_YLD_12M"))</f>
        <v/>
      </c>
      <c r="H223" s="33">
        <f>IF($A223="","",BDP($C223,"EQY_DVD_YLD_IND"))</f>
        <v/>
      </c>
      <c r="I223" s="33">
        <f>IF($A223="","",BDP($C223,'Field Check'!$C$4))</f>
        <v/>
      </c>
      <c r="J223" s="133">
        <f>IFERROR(IF($B223="","",IF(ISNUMBER($F223),$B223*$F223*$D$3/$B$3,0)),"")</f>
        <v/>
      </c>
      <c r="K223" s="133">
        <f>IFERROR(IF($J223="","",$J223*IF(ISNUMBER($I223),$I223,'Index Summary'!$C$7)/100),"")</f>
        <v/>
      </c>
      <c r="L223" s="133">
        <f>IFERROR(IF($K223="","",$J223-$K223),"")</f>
        <v/>
      </c>
      <c r="M223" s="34" t="n"/>
      <c r="N223" s="35">
        <f>IF($C223="","",IF(NOT(ISNUMBER($F223)),"No dividend",IF($F223=0,"No dividend",IF(ISNUMBER($I223),"OK","Frank assumed"))))</f>
        <v/>
      </c>
      <c r="P223" s="58">
        <f>IF($N223="No dividend","",IF($C223="","",BDP($C223,'Field Check'!$C$43)))</f>
        <v/>
      </c>
      <c r="Q223" s="132">
        <f>IFERROR(IF(LEN($P223)&lt;&gt;3,1,IF($P223=$D$2,1,BDP($P223&amp;$D$2&amp;" Curncy","PX_LAST"))),1)</f>
        <v/>
      </c>
    </row>
    <row r="224">
      <c r="A224" s="27" t="n"/>
      <c r="B224" s="80" t="n"/>
      <c r="C224" s="27">
        <f>IF($A224="","",$A224&amp;" Equity")</f>
        <v/>
      </c>
      <c r="D224" s="27">
        <f>IF($A224="","",BDP($C224,"NAME"))</f>
        <v/>
      </c>
      <c r="E224" s="27">
        <f>IF($A224="","",BDP($C224,"GICS_SECTOR_NAME"))</f>
        <v/>
      </c>
      <c r="F224" s="28">
        <f>IF($A224="","",BDP($C224,"EQY_DVD_SH_12M"))</f>
        <v/>
      </c>
      <c r="G224" s="29">
        <f>IF($A224="","",BDP($C224,"EQY_DVD_YLD_12M"))</f>
        <v/>
      </c>
      <c r="H224" s="29">
        <f>IF($A224="","",BDP($C224,"EQY_DVD_YLD_IND"))</f>
        <v/>
      </c>
      <c r="I224" s="29">
        <f>IF($A224="","",BDP($C224,'Field Check'!$C$4))</f>
        <v/>
      </c>
      <c r="J224" s="133">
        <f>IFERROR(IF($B224="","",IF(ISNUMBER($F224),$B224*$F224*$D$3/$B$3,0)),"")</f>
        <v/>
      </c>
      <c r="K224" s="133">
        <f>IFERROR(IF($J224="","",$J224*IF(ISNUMBER($I224),$I224,'Index Summary'!$C$7)/100),"")</f>
        <v/>
      </c>
      <c r="L224" s="133">
        <f>IFERROR(IF($K224="","",$J224-$K224),"")</f>
        <v/>
      </c>
      <c r="M224" s="30" t="n"/>
      <c r="N224" s="31">
        <f>IF($C224="","",IF(NOT(ISNUMBER($F224)),"No dividend",IF($F224=0,"No dividend",IF(ISNUMBER($I224),"OK","Frank assumed"))))</f>
        <v/>
      </c>
      <c r="P224" s="58">
        <f>IF($N224="No dividend","",IF($C224="","",BDP($C224,'Field Check'!$C$43)))</f>
        <v/>
      </c>
      <c r="Q224" s="132">
        <f>IFERROR(IF(LEN($P224)&lt;&gt;3,1,IF($P224=$D$2,1,BDP($P224&amp;$D$2&amp;" Curncy","PX_LAST"))),1)</f>
        <v/>
      </c>
    </row>
    <row r="225">
      <c r="A225" s="16" t="n"/>
      <c r="B225" s="80" t="n"/>
      <c r="C225" s="16">
        <f>IF($A225="","",$A225&amp;" Equity")</f>
        <v/>
      </c>
      <c r="D225" s="16">
        <f>IF($A225="","",BDP($C225,"NAME"))</f>
        <v/>
      </c>
      <c r="E225" s="16">
        <f>IF($A225="","",BDP($C225,"GICS_SECTOR_NAME"))</f>
        <v/>
      </c>
      <c r="F225" s="32">
        <f>IF($A225="","",BDP($C225,"EQY_DVD_SH_12M"))</f>
        <v/>
      </c>
      <c r="G225" s="33">
        <f>IF($A225="","",BDP($C225,"EQY_DVD_YLD_12M"))</f>
        <v/>
      </c>
      <c r="H225" s="33">
        <f>IF($A225="","",BDP($C225,"EQY_DVD_YLD_IND"))</f>
        <v/>
      </c>
      <c r="I225" s="33">
        <f>IF($A225="","",BDP($C225,'Field Check'!$C$4))</f>
        <v/>
      </c>
      <c r="J225" s="133">
        <f>IFERROR(IF($B225="","",IF(ISNUMBER($F225),$B225*$F225*$D$3/$B$3,0)),"")</f>
        <v/>
      </c>
      <c r="K225" s="133">
        <f>IFERROR(IF($J225="","",$J225*IF(ISNUMBER($I225),$I225,'Index Summary'!$C$7)/100),"")</f>
        <v/>
      </c>
      <c r="L225" s="133">
        <f>IFERROR(IF($K225="","",$J225-$K225),"")</f>
        <v/>
      </c>
      <c r="M225" s="34" t="n"/>
      <c r="N225" s="35">
        <f>IF($C225="","",IF(NOT(ISNUMBER($F225)),"No dividend",IF($F225=0,"No dividend",IF(ISNUMBER($I225),"OK","Frank assumed"))))</f>
        <v/>
      </c>
      <c r="P225" s="58">
        <f>IF($N225="No dividend","",IF($C225="","",BDP($C225,'Field Check'!$C$43)))</f>
        <v/>
      </c>
      <c r="Q225" s="132">
        <f>IFERROR(IF(LEN($P225)&lt;&gt;3,1,IF($P225=$D$2,1,BDP($P225&amp;$D$2&amp;" Curncy","PX_LAST"))),1)</f>
        <v/>
      </c>
    </row>
    <row r="226">
      <c r="A226" s="27" t="n"/>
      <c r="B226" s="80" t="n"/>
      <c r="C226" s="27">
        <f>IF($A226="","",$A226&amp;" Equity")</f>
        <v/>
      </c>
      <c r="D226" s="27">
        <f>IF($A226="","",BDP($C226,"NAME"))</f>
        <v/>
      </c>
      <c r="E226" s="27">
        <f>IF($A226="","",BDP($C226,"GICS_SECTOR_NAME"))</f>
        <v/>
      </c>
      <c r="F226" s="28">
        <f>IF($A226="","",BDP($C226,"EQY_DVD_SH_12M"))</f>
        <v/>
      </c>
      <c r="G226" s="29">
        <f>IF($A226="","",BDP($C226,"EQY_DVD_YLD_12M"))</f>
        <v/>
      </c>
      <c r="H226" s="29">
        <f>IF($A226="","",BDP($C226,"EQY_DVD_YLD_IND"))</f>
        <v/>
      </c>
      <c r="I226" s="29">
        <f>IF($A226="","",BDP($C226,'Field Check'!$C$4))</f>
        <v/>
      </c>
      <c r="J226" s="133">
        <f>IFERROR(IF($B226="","",IF(ISNUMBER($F226),$B226*$F226*$D$3/$B$3,0)),"")</f>
        <v/>
      </c>
      <c r="K226" s="133">
        <f>IFERROR(IF($J226="","",$J226*IF(ISNUMBER($I226),$I226,'Index Summary'!$C$7)/100),"")</f>
        <v/>
      </c>
      <c r="L226" s="133">
        <f>IFERROR(IF($K226="","",$J226-$K226),"")</f>
        <v/>
      </c>
      <c r="M226" s="30" t="n"/>
      <c r="N226" s="31">
        <f>IF($C226="","",IF(NOT(ISNUMBER($F226)),"No dividend",IF($F226=0,"No dividend",IF(ISNUMBER($I226),"OK","Frank assumed"))))</f>
        <v/>
      </c>
      <c r="P226" s="58">
        <f>IF($N226="No dividend","",IF($C226="","",BDP($C226,'Field Check'!$C$43)))</f>
        <v/>
      </c>
      <c r="Q226" s="132">
        <f>IFERROR(IF(LEN($P226)&lt;&gt;3,1,IF($P226=$D$2,1,BDP($P226&amp;$D$2&amp;" Curncy","PX_LAST"))),1)</f>
        <v/>
      </c>
    </row>
    <row r="227">
      <c r="A227" s="16" t="n"/>
      <c r="B227" s="80" t="n"/>
      <c r="C227" s="16">
        <f>IF($A227="","",$A227&amp;" Equity")</f>
        <v/>
      </c>
      <c r="D227" s="16">
        <f>IF($A227="","",BDP($C227,"NAME"))</f>
        <v/>
      </c>
      <c r="E227" s="16">
        <f>IF($A227="","",BDP($C227,"GICS_SECTOR_NAME"))</f>
        <v/>
      </c>
      <c r="F227" s="32">
        <f>IF($A227="","",BDP($C227,"EQY_DVD_SH_12M"))</f>
        <v/>
      </c>
      <c r="G227" s="33">
        <f>IF($A227="","",BDP($C227,"EQY_DVD_YLD_12M"))</f>
        <v/>
      </c>
      <c r="H227" s="33">
        <f>IF($A227="","",BDP($C227,"EQY_DVD_YLD_IND"))</f>
        <v/>
      </c>
      <c r="I227" s="33">
        <f>IF($A227="","",BDP($C227,'Field Check'!$C$4))</f>
        <v/>
      </c>
      <c r="J227" s="133">
        <f>IFERROR(IF($B227="","",IF(ISNUMBER($F227),$B227*$F227*$D$3/$B$3,0)),"")</f>
        <v/>
      </c>
      <c r="K227" s="133">
        <f>IFERROR(IF($J227="","",$J227*IF(ISNUMBER($I227),$I227,'Index Summary'!$C$7)/100),"")</f>
        <v/>
      </c>
      <c r="L227" s="133">
        <f>IFERROR(IF($K227="","",$J227-$K227),"")</f>
        <v/>
      </c>
      <c r="M227" s="34" t="n"/>
      <c r="N227" s="35">
        <f>IF($C227="","",IF(NOT(ISNUMBER($F227)),"No dividend",IF($F227=0,"No dividend",IF(ISNUMBER($I227),"OK","Frank assumed"))))</f>
        <v/>
      </c>
      <c r="P227" s="58">
        <f>IF($N227="No dividend","",IF($C227="","",BDP($C227,'Field Check'!$C$43)))</f>
        <v/>
      </c>
      <c r="Q227" s="132">
        <f>IFERROR(IF(LEN($P227)&lt;&gt;3,1,IF($P227=$D$2,1,BDP($P227&amp;$D$2&amp;" Curncy","PX_LAST"))),1)</f>
        <v/>
      </c>
    </row>
    <row r="228">
      <c r="A228" s="27" t="n"/>
      <c r="B228" s="80" t="n"/>
      <c r="C228" s="27">
        <f>IF($A228="","",$A228&amp;" Equity")</f>
        <v/>
      </c>
      <c r="D228" s="27">
        <f>IF($A228="","",BDP($C228,"NAME"))</f>
        <v/>
      </c>
      <c r="E228" s="27">
        <f>IF($A228="","",BDP($C228,"GICS_SECTOR_NAME"))</f>
        <v/>
      </c>
      <c r="F228" s="28">
        <f>IF($A228="","",BDP($C228,"EQY_DVD_SH_12M"))</f>
        <v/>
      </c>
      <c r="G228" s="29">
        <f>IF($A228="","",BDP($C228,"EQY_DVD_YLD_12M"))</f>
        <v/>
      </c>
      <c r="H228" s="29">
        <f>IF($A228="","",BDP($C228,"EQY_DVD_YLD_IND"))</f>
        <v/>
      </c>
      <c r="I228" s="29">
        <f>IF($A228="","",BDP($C228,'Field Check'!$C$4))</f>
        <v/>
      </c>
      <c r="J228" s="133">
        <f>IFERROR(IF($B228="","",IF(ISNUMBER($F228),$B228*$F228*$D$3/$B$3,0)),"")</f>
        <v/>
      </c>
      <c r="K228" s="133">
        <f>IFERROR(IF($J228="","",$J228*IF(ISNUMBER($I228),$I228,'Index Summary'!$C$7)/100),"")</f>
        <v/>
      </c>
      <c r="L228" s="133">
        <f>IFERROR(IF($K228="","",$J228-$K228),"")</f>
        <v/>
      </c>
      <c r="M228" s="30" t="n"/>
      <c r="N228" s="31">
        <f>IF($C228="","",IF(NOT(ISNUMBER($F228)),"No dividend",IF($F228=0,"No dividend",IF(ISNUMBER($I228),"OK","Frank assumed"))))</f>
        <v/>
      </c>
      <c r="P228" s="58">
        <f>IF($N228="No dividend","",IF($C228="","",BDP($C228,'Field Check'!$C$43)))</f>
        <v/>
      </c>
      <c r="Q228" s="132">
        <f>IFERROR(IF(LEN($P228)&lt;&gt;3,1,IF($P228=$D$2,1,BDP($P228&amp;$D$2&amp;" Curncy","PX_LAST"))),1)</f>
        <v/>
      </c>
    </row>
    <row r="229">
      <c r="A229" s="16" t="n"/>
      <c r="B229" s="80" t="n"/>
      <c r="C229" s="16">
        <f>IF($A229="","",$A229&amp;" Equity")</f>
        <v/>
      </c>
      <c r="D229" s="16">
        <f>IF($A229="","",BDP($C229,"NAME"))</f>
        <v/>
      </c>
      <c r="E229" s="16">
        <f>IF($A229="","",BDP($C229,"GICS_SECTOR_NAME"))</f>
        <v/>
      </c>
      <c r="F229" s="32">
        <f>IF($A229="","",BDP($C229,"EQY_DVD_SH_12M"))</f>
        <v/>
      </c>
      <c r="G229" s="33">
        <f>IF($A229="","",BDP($C229,"EQY_DVD_YLD_12M"))</f>
        <v/>
      </c>
      <c r="H229" s="33">
        <f>IF($A229="","",BDP($C229,"EQY_DVD_YLD_IND"))</f>
        <v/>
      </c>
      <c r="I229" s="33">
        <f>IF($A229="","",BDP($C229,'Field Check'!$C$4))</f>
        <v/>
      </c>
      <c r="J229" s="133">
        <f>IFERROR(IF($B229="","",IF(ISNUMBER($F229),$B229*$F229*$D$3/$B$3,0)),"")</f>
        <v/>
      </c>
      <c r="K229" s="133">
        <f>IFERROR(IF($J229="","",$J229*IF(ISNUMBER($I229),$I229,'Index Summary'!$C$7)/100),"")</f>
        <v/>
      </c>
      <c r="L229" s="133">
        <f>IFERROR(IF($K229="","",$J229-$K229),"")</f>
        <v/>
      </c>
      <c r="M229" s="34" t="n"/>
      <c r="N229" s="35">
        <f>IF($C229="","",IF(NOT(ISNUMBER($F229)),"No dividend",IF($F229=0,"No dividend",IF(ISNUMBER($I229),"OK","Frank assumed"))))</f>
        <v/>
      </c>
      <c r="P229" s="58">
        <f>IF($N229="No dividend","",IF($C229="","",BDP($C229,'Field Check'!$C$43)))</f>
        <v/>
      </c>
      <c r="Q229" s="132">
        <f>IFERROR(IF(LEN($P229)&lt;&gt;3,1,IF($P229=$D$2,1,BDP($P229&amp;$D$2&amp;" Curncy","PX_LAST"))),1)</f>
        <v/>
      </c>
    </row>
    <row r="230">
      <c r="A230" s="27" t="n"/>
      <c r="B230" s="80" t="n"/>
      <c r="C230" s="27">
        <f>IF($A230="","",$A230&amp;" Equity")</f>
        <v/>
      </c>
      <c r="D230" s="27">
        <f>IF($A230="","",BDP($C230,"NAME"))</f>
        <v/>
      </c>
      <c r="E230" s="27">
        <f>IF($A230="","",BDP($C230,"GICS_SECTOR_NAME"))</f>
        <v/>
      </c>
      <c r="F230" s="28">
        <f>IF($A230="","",BDP($C230,"EQY_DVD_SH_12M"))</f>
        <v/>
      </c>
      <c r="G230" s="29">
        <f>IF($A230="","",BDP($C230,"EQY_DVD_YLD_12M"))</f>
        <v/>
      </c>
      <c r="H230" s="29">
        <f>IF($A230="","",BDP($C230,"EQY_DVD_YLD_IND"))</f>
        <v/>
      </c>
      <c r="I230" s="29">
        <f>IF($A230="","",BDP($C230,'Field Check'!$C$4))</f>
        <v/>
      </c>
      <c r="J230" s="133">
        <f>IFERROR(IF($B230="","",IF(ISNUMBER($F230),$B230*$F230*$D$3/$B$3,0)),"")</f>
        <v/>
      </c>
      <c r="K230" s="133">
        <f>IFERROR(IF($J230="","",$J230*IF(ISNUMBER($I230),$I230,'Index Summary'!$C$7)/100),"")</f>
        <v/>
      </c>
      <c r="L230" s="133">
        <f>IFERROR(IF($K230="","",$J230-$K230),"")</f>
        <v/>
      </c>
      <c r="M230" s="30" t="n"/>
      <c r="N230" s="31">
        <f>IF($C230="","",IF(NOT(ISNUMBER($F230)),"No dividend",IF($F230=0,"No dividend",IF(ISNUMBER($I230),"OK","Frank assumed"))))</f>
        <v/>
      </c>
      <c r="P230" s="58">
        <f>IF($N230="No dividend","",IF($C230="","",BDP($C230,'Field Check'!$C$43)))</f>
        <v/>
      </c>
      <c r="Q230" s="132">
        <f>IFERROR(IF(LEN($P230)&lt;&gt;3,1,IF($P230=$D$2,1,BDP($P230&amp;$D$2&amp;" Curncy","PX_LAST"))),1)</f>
        <v/>
      </c>
    </row>
    <row r="231">
      <c r="A231" s="16" t="n"/>
      <c r="B231" s="80" t="n"/>
      <c r="C231" s="16">
        <f>IF($A231="","",$A231&amp;" Equity")</f>
        <v/>
      </c>
      <c r="D231" s="16">
        <f>IF($A231="","",BDP($C231,"NAME"))</f>
        <v/>
      </c>
      <c r="E231" s="16">
        <f>IF($A231="","",BDP($C231,"GICS_SECTOR_NAME"))</f>
        <v/>
      </c>
      <c r="F231" s="32">
        <f>IF($A231="","",BDP($C231,"EQY_DVD_SH_12M"))</f>
        <v/>
      </c>
      <c r="G231" s="33">
        <f>IF($A231="","",BDP($C231,"EQY_DVD_YLD_12M"))</f>
        <v/>
      </c>
      <c r="H231" s="33">
        <f>IF($A231="","",BDP($C231,"EQY_DVD_YLD_IND"))</f>
        <v/>
      </c>
      <c r="I231" s="33">
        <f>IF($A231="","",BDP($C231,'Field Check'!$C$4))</f>
        <v/>
      </c>
      <c r="J231" s="133">
        <f>IFERROR(IF($B231="","",IF(ISNUMBER($F231),$B231*$F231*$D$3/$B$3,0)),"")</f>
        <v/>
      </c>
      <c r="K231" s="133">
        <f>IFERROR(IF($J231="","",$J231*IF(ISNUMBER($I231),$I231,'Index Summary'!$C$7)/100),"")</f>
        <v/>
      </c>
      <c r="L231" s="133">
        <f>IFERROR(IF($K231="","",$J231-$K231),"")</f>
        <v/>
      </c>
      <c r="M231" s="34" t="n"/>
      <c r="N231" s="35">
        <f>IF($C231="","",IF(NOT(ISNUMBER($F231)),"No dividend",IF($F231=0,"No dividend",IF(ISNUMBER($I231),"OK","Frank assumed"))))</f>
        <v/>
      </c>
      <c r="P231" s="58">
        <f>IF($N231="No dividend","",IF($C231="","",BDP($C231,'Field Check'!$C$43)))</f>
        <v/>
      </c>
      <c r="Q231" s="132">
        <f>IFERROR(IF(LEN($P231)&lt;&gt;3,1,IF($P231=$D$2,1,BDP($P231&amp;$D$2&amp;" Curncy","PX_LAST"))),1)</f>
        <v/>
      </c>
    </row>
    <row r="232">
      <c r="A232" s="27" t="n"/>
      <c r="B232" s="80" t="n"/>
      <c r="C232" s="27">
        <f>IF($A232="","",$A232&amp;" Equity")</f>
        <v/>
      </c>
      <c r="D232" s="27">
        <f>IF($A232="","",BDP($C232,"NAME"))</f>
        <v/>
      </c>
      <c r="E232" s="27">
        <f>IF($A232="","",BDP($C232,"GICS_SECTOR_NAME"))</f>
        <v/>
      </c>
      <c r="F232" s="28">
        <f>IF($A232="","",BDP($C232,"EQY_DVD_SH_12M"))</f>
        <v/>
      </c>
      <c r="G232" s="29">
        <f>IF($A232="","",BDP($C232,"EQY_DVD_YLD_12M"))</f>
        <v/>
      </c>
      <c r="H232" s="29">
        <f>IF($A232="","",BDP($C232,"EQY_DVD_YLD_IND"))</f>
        <v/>
      </c>
      <c r="I232" s="29">
        <f>IF($A232="","",BDP($C232,'Field Check'!$C$4))</f>
        <v/>
      </c>
      <c r="J232" s="133">
        <f>IFERROR(IF($B232="","",IF(ISNUMBER($F232),$B232*$F232*$D$3/$B$3,0)),"")</f>
        <v/>
      </c>
      <c r="K232" s="133">
        <f>IFERROR(IF($J232="","",$J232*IF(ISNUMBER($I232),$I232,'Index Summary'!$C$7)/100),"")</f>
        <v/>
      </c>
      <c r="L232" s="133">
        <f>IFERROR(IF($K232="","",$J232-$K232),"")</f>
        <v/>
      </c>
      <c r="M232" s="30" t="n"/>
      <c r="N232" s="31">
        <f>IF($C232="","",IF(NOT(ISNUMBER($F232)),"No dividend",IF($F232=0,"No dividend",IF(ISNUMBER($I232),"OK","Frank assumed"))))</f>
        <v/>
      </c>
      <c r="P232" s="58">
        <f>IF($N232="No dividend","",IF($C232="","",BDP($C232,'Field Check'!$C$43)))</f>
        <v/>
      </c>
      <c r="Q232" s="132">
        <f>IFERROR(IF(LEN($P232)&lt;&gt;3,1,IF($P232=$D$2,1,BDP($P232&amp;$D$2&amp;" Curncy","PX_LAST"))),1)</f>
        <v/>
      </c>
    </row>
    <row r="233">
      <c r="A233" s="16" t="n"/>
      <c r="B233" s="80" t="n"/>
      <c r="C233" s="16">
        <f>IF($A233="","",$A233&amp;" Equity")</f>
        <v/>
      </c>
      <c r="D233" s="16">
        <f>IF($A233="","",BDP($C233,"NAME"))</f>
        <v/>
      </c>
      <c r="E233" s="16">
        <f>IF($A233="","",BDP($C233,"GICS_SECTOR_NAME"))</f>
        <v/>
      </c>
      <c r="F233" s="32">
        <f>IF($A233="","",BDP($C233,"EQY_DVD_SH_12M"))</f>
        <v/>
      </c>
      <c r="G233" s="33">
        <f>IF($A233="","",BDP($C233,"EQY_DVD_YLD_12M"))</f>
        <v/>
      </c>
      <c r="H233" s="33">
        <f>IF($A233="","",BDP($C233,"EQY_DVD_YLD_IND"))</f>
        <v/>
      </c>
      <c r="I233" s="33">
        <f>IF($A233="","",BDP($C233,'Field Check'!$C$4))</f>
        <v/>
      </c>
      <c r="J233" s="133">
        <f>IFERROR(IF($B233="","",IF(ISNUMBER($F233),$B233*$F233*$D$3/$B$3,0)),"")</f>
        <v/>
      </c>
      <c r="K233" s="133">
        <f>IFERROR(IF($J233="","",$J233*IF(ISNUMBER($I233),$I233,'Index Summary'!$C$7)/100),"")</f>
        <v/>
      </c>
      <c r="L233" s="133">
        <f>IFERROR(IF($K233="","",$J233-$K233),"")</f>
        <v/>
      </c>
      <c r="M233" s="34" t="n"/>
      <c r="N233" s="35">
        <f>IF($C233="","",IF(NOT(ISNUMBER($F233)),"No dividend",IF($F233=0,"No dividend",IF(ISNUMBER($I233),"OK","Frank assumed"))))</f>
        <v/>
      </c>
      <c r="P233" s="58">
        <f>IF($N233="No dividend","",IF($C233="","",BDP($C233,'Field Check'!$C$43)))</f>
        <v/>
      </c>
      <c r="Q233" s="132">
        <f>IFERROR(IF(LEN($P233)&lt;&gt;3,1,IF($P233=$D$2,1,BDP($P233&amp;$D$2&amp;" Curncy","PX_LAST"))),1)</f>
        <v/>
      </c>
    </row>
    <row r="234">
      <c r="A234" s="27" t="n"/>
      <c r="B234" s="80" t="n"/>
      <c r="C234" s="27">
        <f>IF($A234="","",$A234&amp;" Equity")</f>
        <v/>
      </c>
      <c r="D234" s="27">
        <f>IF($A234="","",BDP($C234,"NAME"))</f>
        <v/>
      </c>
      <c r="E234" s="27">
        <f>IF($A234="","",BDP($C234,"GICS_SECTOR_NAME"))</f>
        <v/>
      </c>
      <c r="F234" s="28">
        <f>IF($A234="","",BDP($C234,"EQY_DVD_SH_12M"))</f>
        <v/>
      </c>
      <c r="G234" s="29">
        <f>IF($A234="","",BDP($C234,"EQY_DVD_YLD_12M"))</f>
        <v/>
      </c>
      <c r="H234" s="29">
        <f>IF($A234="","",BDP($C234,"EQY_DVD_YLD_IND"))</f>
        <v/>
      </c>
      <c r="I234" s="29">
        <f>IF($A234="","",BDP($C234,'Field Check'!$C$4))</f>
        <v/>
      </c>
      <c r="J234" s="133">
        <f>IFERROR(IF($B234="","",IF(ISNUMBER($F234),$B234*$F234*$D$3/$B$3,0)),"")</f>
        <v/>
      </c>
      <c r="K234" s="133">
        <f>IFERROR(IF($J234="","",$J234*IF(ISNUMBER($I234),$I234,'Index Summary'!$C$7)/100),"")</f>
        <v/>
      </c>
      <c r="L234" s="133">
        <f>IFERROR(IF($K234="","",$J234-$K234),"")</f>
        <v/>
      </c>
      <c r="M234" s="30" t="n"/>
      <c r="N234" s="31">
        <f>IF($C234="","",IF(NOT(ISNUMBER($F234)),"No dividend",IF($F234=0,"No dividend",IF(ISNUMBER($I234),"OK","Frank assumed"))))</f>
        <v/>
      </c>
      <c r="P234" s="58">
        <f>IF($N234="No dividend","",IF($C234="","",BDP($C234,'Field Check'!$C$43)))</f>
        <v/>
      </c>
      <c r="Q234" s="132">
        <f>IFERROR(IF(LEN($P234)&lt;&gt;3,1,IF($P234=$D$2,1,BDP($P234&amp;$D$2&amp;" Curncy","PX_LAST"))),1)</f>
        <v/>
      </c>
    </row>
    <row r="235">
      <c r="A235" s="16" t="n"/>
      <c r="B235" s="80" t="n"/>
      <c r="C235" s="16">
        <f>IF($A235="","",$A235&amp;" Equity")</f>
        <v/>
      </c>
      <c r="D235" s="16">
        <f>IF($A235="","",BDP($C235,"NAME"))</f>
        <v/>
      </c>
      <c r="E235" s="16">
        <f>IF($A235="","",BDP($C235,"GICS_SECTOR_NAME"))</f>
        <v/>
      </c>
      <c r="F235" s="32">
        <f>IF($A235="","",BDP($C235,"EQY_DVD_SH_12M"))</f>
        <v/>
      </c>
      <c r="G235" s="33">
        <f>IF($A235="","",BDP($C235,"EQY_DVD_YLD_12M"))</f>
        <v/>
      </c>
      <c r="H235" s="33">
        <f>IF($A235="","",BDP($C235,"EQY_DVD_YLD_IND"))</f>
        <v/>
      </c>
      <c r="I235" s="33">
        <f>IF($A235="","",BDP($C235,'Field Check'!$C$4))</f>
        <v/>
      </c>
      <c r="J235" s="133">
        <f>IFERROR(IF($B235="","",IF(ISNUMBER($F235),$B235*$F235*$D$3/$B$3,0)),"")</f>
        <v/>
      </c>
      <c r="K235" s="133">
        <f>IFERROR(IF($J235="","",$J235*IF(ISNUMBER($I235),$I235,'Index Summary'!$C$7)/100),"")</f>
        <v/>
      </c>
      <c r="L235" s="133">
        <f>IFERROR(IF($K235="","",$J235-$K235),"")</f>
        <v/>
      </c>
      <c r="M235" s="34" t="n"/>
      <c r="N235" s="35">
        <f>IF($C235="","",IF(NOT(ISNUMBER($F235)),"No dividend",IF($F235=0,"No dividend",IF(ISNUMBER($I235),"OK","Frank assumed"))))</f>
        <v/>
      </c>
      <c r="P235" s="58">
        <f>IF($N235="No dividend","",IF($C235="","",BDP($C235,'Field Check'!$C$43)))</f>
        <v/>
      </c>
      <c r="Q235" s="132">
        <f>IFERROR(IF(LEN($P235)&lt;&gt;3,1,IF($P235=$D$2,1,BDP($P235&amp;$D$2&amp;" Curncy","PX_LAST"))),1)</f>
        <v/>
      </c>
    </row>
    <row r="236">
      <c r="A236" s="27" t="n"/>
      <c r="B236" s="80" t="n"/>
      <c r="C236" s="27">
        <f>IF($A236="","",$A236&amp;" Equity")</f>
        <v/>
      </c>
      <c r="D236" s="27">
        <f>IF($A236="","",BDP($C236,"NAME"))</f>
        <v/>
      </c>
      <c r="E236" s="27">
        <f>IF($A236="","",BDP($C236,"GICS_SECTOR_NAME"))</f>
        <v/>
      </c>
      <c r="F236" s="28">
        <f>IF($A236="","",BDP($C236,"EQY_DVD_SH_12M"))</f>
        <v/>
      </c>
      <c r="G236" s="29">
        <f>IF($A236="","",BDP($C236,"EQY_DVD_YLD_12M"))</f>
        <v/>
      </c>
      <c r="H236" s="29">
        <f>IF($A236="","",BDP($C236,"EQY_DVD_YLD_IND"))</f>
        <v/>
      </c>
      <c r="I236" s="29">
        <f>IF($A236="","",BDP($C236,'Field Check'!$C$4))</f>
        <v/>
      </c>
      <c r="J236" s="133">
        <f>IFERROR(IF($B236="","",IF(ISNUMBER($F236),$B236*$F236*$D$3/$B$3,0)),"")</f>
        <v/>
      </c>
      <c r="K236" s="133">
        <f>IFERROR(IF($J236="","",$J236*IF(ISNUMBER($I236),$I236,'Index Summary'!$C$7)/100),"")</f>
        <v/>
      </c>
      <c r="L236" s="133">
        <f>IFERROR(IF($K236="","",$J236-$K236),"")</f>
        <v/>
      </c>
      <c r="M236" s="30" t="n"/>
      <c r="N236" s="31">
        <f>IF($C236="","",IF(NOT(ISNUMBER($F236)),"No dividend",IF($F236=0,"No dividend",IF(ISNUMBER($I236),"OK","Frank assumed"))))</f>
        <v/>
      </c>
      <c r="P236" s="58">
        <f>IF($N236="No dividend","",IF($C236="","",BDP($C236,'Field Check'!$C$43)))</f>
        <v/>
      </c>
      <c r="Q236" s="132">
        <f>IFERROR(IF(LEN($P236)&lt;&gt;3,1,IF($P236=$D$2,1,BDP($P236&amp;$D$2&amp;" Curncy","PX_LAST"))),1)</f>
        <v/>
      </c>
    </row>
    <row r="237">
      <c r="A237" s="16" t="n"/>
      <c r="B237" s="80" t="n"/>
      <c r="C237" s="16">
        <f>IF($A237="","",$A237&amp;" Equity")</f>
        <v/>
      </c>
      <c r="D237" s="16">
        <f>IF($A237="","",BDP($C237,"NAME"))</f>
        <v/>
      </c>
      <c r="E237" s="16">
        <f>IF($A237="","",BDP($C237,"GICS_SECTOR_NAME"))</f>
        <v/>
      </c>
      <c r="F237" s="32">
        <f>IF($A237="","",BDP($C237,"EQY_DVD_SH_12M"))</f>
        <v/>
      </c>
      <c r="G237" s="33">
        <f>IF($A237="","",BDP($C237,"EQY_DVD_YLD_12M"))</f>
        <v/>
      </c>
      <c r="H237" s="33">
        <f>IF($A237="","",BDP($C237,"EQY_DVD_YLD_IND"))</f>
        <v/>
      </c>
      <c r="I237" s="33">
        <f>IF($A237="","",BDP($C237,'Field Check'!$C$4))</f>
        <v/>
      </c>
      <c r="J237" s="133">
        <f>IFERROR(IF($B237="","",IF(ISNUMBER($F237),$B237*$F237*$D$3/$B$3,0)),"")</f>
        <v/>
      </c>
      <c r="K237" s="133">
        <f>IFERROR(IF($J237="","",$J237*IF(ISNUMBER($I237),$I237,'Index Summary'!$C$7)/100),"")</f>
        <v/>
      </c>
      <c r="L237" s="133">
        <f>IFERROR(IF($K237="","",$J237-$K237),"")</f>
        <v/>
      </c>
      <c r="M237" s="34" t="n"/>
      <c r="N237" s="35">
        <f>IF($C237="","",IF(NOT(ISNUMBER($F237)),"No dividend",IF($F237=0,"No dividend",IF(ISNUMBER($I237),"OK","Frank assumed"))))</f>
        <v/>
      </c>
      <c r="P237" s="58">
        <f>IF($N237="No dividend","",IF($C237="","",BDP($C237,'Field Check'!$C$43)))</f>
        <v/>
      </c>
      <c r="Q237" s="132">
        <f>IFERROR(IF(LEN($P237)&lt;&gt;3,1,IF($P237=$D$2,1,BDP($P237&amp;$D$2&amp;" Curncy","PX_LAST"))),1)</f>
        <v/>
      </c>
    </row>
    <row r="238">
      <c r="A238" s="27" t="n"/>
      <c r="B238" s="80" t="n"/>
      <c r="C238" s="27">
        <f>IF($A238="","",$A238&amp;" Equity")</f>
        <v/>
      </c>
      <c r="D238" s="27">
        <f>IF($A238="","",BDP($C238,"NAME"))</f>
        <v/>
      </c>
      <c r="E238" s="27">
        <f>IF($A238="","",BDP($C238,"GICS_SECTOR_NAME"))</f>
        <v/>
      </c>
      <c r="F238" s="28">
        <f>IF($A238="","",BDP($C238,"EQY_DVD_SH_12M"))</f>
        <v/>
      </c>
      <c r="G238" s="29">
        <f>IF($A238="","",BDP($C238,"EQY_DVD_YLD_12M"))</f>
        <v/>
      </c>
      <c r="H238" s="29">
        <f>IF($A238="","",BDP($C238,"EQY_DVD_YLD_IND"))</f>
        <v/>
      </c>
      <c r="I238" s="29">
        <f>IF($A238="","",BDP($C238,'Field Check'!$C$4))</f>
        <v/>
      </c>
      <c r="J238" s="133">
        <f>IFERROR(IF($B238="","",IF(ISNUMBER($F238),$B238*$F238*$D$3/$B$3,0)),"")</f>
        <v/>
      </c>
      <c r="K238" s="133">
        <f>IFERROR(IF($J238="","",$J238*IF(ISNUMBER($I238),$I238,'Index Summary'!$C$7)/100),"")</f>
        <v/>
      </c>
      <c r="L238" s="133">
        <f>IFERROR(IF($K238="","",$J238-$K238),"")</f>
        <v/>
      </c>
      <c r="M238" s="30" t="n"/>
      <c r="N238" s="31">
        <f>IF($C238="","",IF(NOT(ISNUMBER($F238)),"No dividend",IF($F238=0,"No dividend",IF(ISNUMBER($I238),"OK","Frank assumed"))))</f>
        <v/>
      </c>
      <c r="P238" s="58">
        <f>IF($N238="No dividend","",IF($C238="","",BDP($C238,'Field Check'!$C$43)))</f>
        <v/>
      </c>
      <c r="Q238" s="132">
        <f>IFERROR(IF(LEN($P238)&lt;&gt;3,1,IF($P238=$D$2,1,BDP($P238&amp;$D$2&amp;" Curncy","PX_LAST"))),1)</f>
        <v/>
      </c>
    </row>
    <row r="239">
      <c r="A239" s="16" t="n"/>
      <c r="B239" s="80" t="n"/>
      <c r="C239" s="16">
        <f>IF($A239="","",$A239&amp;" Equity")</f>
        <v/>
      </c>
      <c r="D239" s="16">
        <f>IF($A239="","",BDP($C239,"NAME"))</f>
        <v/>
      </c>
      <c r="E239" s="16">
        <f>IF($A239="","",BDP($C239,"GICS_SECTOR_NAME"))</f>
        <v/>
      </c>
      <c r="F239" s="32">
        <f>IF($A239="","",BDP($C239,"EQY_DVD_SH_12M"))</f>
        <v/>
      </c>
      <c r="G239" s="33">
        <f>IF($A239="","",BDP($C239,"EQY_DVD_YLD_12M"))</f>
        <v/>
      </c>
      <c r="H239" s="33">
        <f>IF($A239="","",BDP($C239,"EQY_DVD_YLD_IND"))</f>
        <v/>
      </c>
      <c r="I239" s="33">
        <f>IF($A239="","",BDP($C239,'Field Check'!$C$4))</f>
        <v/>
      </c>
      <c r="J239" s="133">
        <f>IFERROR(IF($B239="","",IF(ISNUMBER($F239),$B239*$F239*$D$3/$B$3,0)),"")</f>
        <v/>
      </c>
      <c r="K239" s="133">
        <f>IFERROR(IF($J239="","",$J239*IF(ISNUMBER($I239),$I239,'Index Summary'!$C$7)/100),"")</f>
        <v/>
      </c>
      <c r="L239" s="133">
        <f>IFERROR(IF($K239="","",$J239-$K239),"")</f>
        <v/>
      </c>
      <c r="M239" s="34" t="n"/>
      <c r="N239" s="35">
        <f>IF($C239="","",IF(NOT(ISNUMBER($F239)),"No dividend",IF($F239=0,"No dividend",IF(ISNUMBER($I239),"OK","Frank assumed"))))</f>
        <v/>
      </c>
      <c r="P239" s="58">
        <f>IF($N239="No dividend","",IF($C239="","",BDP($C239,'Field Check'!$C$43)))</f>
        <v/>
      </c>
      <c r="Q239" s="132">
        <f>IFERROR(IF(LEN($P239)&lt;&gt;3,1,IF($P239=$D$2,1,BDP($P239&amp;$D$2&amp;" Curncy","PX_LAST"))),1)</f>
        <v/>
      </c>
    </row>
    <row r="240">
      <c r="A240" s="27" t="n"/>
      <c r="B240" s="80" t="n"/>
      <c r="C240" s="27">
        <f>IF($A240="","",$A240&amp;" Equity")</f>
        <v/>
      </c>
      <c r="D240" s="27">
        <f>IF($A240="","",BDP($C240,"NAME"))</f>
        <v/>
      </c>
      <c r="E240" s="27">
        <f>IF($A240="","",BDP($C240,"GICS_SECTOR_NAME"))</f>
        <v/>
      </c>
      <c r="F240" s="28">
        <f>IF($A240="","",BDP($C240,"EQY_DVD_SH_12M"))</f>
        <v/>
      </c>
      <c r="G240" s="29">
        <f>IF($A240="","",BDP($C240,"EQY_DVD_YLD_12M"))</f>
        <v/>
      </c>
      <c r="H240" s="29">
        <f>IF($A240="","",BDP($C240,"EQY_DVD_YLD_IND"))</f>
        <v/>
      </c>
      <c r="I240" s="29">
        <f>IF($A240="","",BDP($C240,'Field Check'!$C$4))</f>
        <v/>
      </c>
      <c r="J240" s="133">
        <f>IFERROR(IF($B240="","",IF(ISNUMBER($F240),$B240*$F240*$D$3/$B$3,0)),"")</f>
        <v/>
      </c>
      <c r="K240" s="133">
        <f>IFERROR(IF($J240="","",$J240*IF(ISNUMBER($I240),$I240,'Index Summary'!$C$7)/100),"")</f>
        <v/>
      </c>
      <c r="L240" s="133">
        <f>IFERROR(IF($K240="","",$J240-$K240),"")</f>
        <v/>
      </c>
      <c r="M240" s="30" t="n"/>
      <c r="N240" s="31">
        <f>IF($C240="","",IF(NOT(ISNUMBER($F240)),"No dividend",IF($F240=0,"No dividend",IF(ISNUMBER($I240),"OK","Frank assumed"))))</f>
        <v/>
      </c>
      <c r="P240" s="58">
        <f>IF($N240="No dividend","",IF($C240="","",BDP($C240,'Field Check'!$C$43)))</f>
        <v/>
      </c>
      <c r="Q240" s="132">
        <f>IFERROR(IF(LEN($P240)&lt;&gt;3,1,IF($P240=$D$2,1,BDP($P240&amp;$D$2&amp;" Curncy","PX_LAST"))),1)</f>
        <v/>
      </c>
    </row>
    <row r="241">
      <c r="A241" s="16" t="n"/>
      <c r="B241" s="80" t="n"/>
      <c r="C241" s="16">
        <f>IF($A241="","",$A241&amp;" Equity")</f>
        <v/>
      </c>
      <c r="D241" s="16">
        <f>IF($A241="","",BDP($C241,"NAME"))</f>
        <v/>
      </c>
      <c r="E241" s="16">
        <f>IF($A241="","",BDP($C241,"GICS_SECTOR_NAME"))</f>
        <v/>
      </c>
      <c r="F241" s="32">
        <f>IF($A241="","",BDP($C241,"EQY_DVD_SH_12M"))</f>
        <v/>
      </c>
      <c r="G241" s="33">
        <f>IF($A241="","",BDP($C241,"EQY_DVD_YLD_12M"))</f>
        <v/>
      </c>
      <c r="H241" s="33">
        <f>IF($A241="","",BDP($C241,"EQY_DVD_YLD_IND"))</f>
        <v/>
      </c>
      <c r="I241" s="33">
        <f>IF($A241="","",BDP($C241,'Field Check'!$C$4))</f>
        <v/>
      </c>
      <c r="J241" s="133">
        <f>IFERROR(IF($B241="","",IF(ISNUMBER($F241),$B241*$F241*$D$3/$B$3,0)),"")</f>
        <v/>
      </c>
      <c r="K241" s="133">
        <f>IFERROR(IF($J241="","",$J241*IF(ISNUMBER($I241),$I241,'Index Summary'!$C$7)/100),"")</f>
        <v/>
      </c>
      <c r="L241" s="133">
        <f>IFERROR(IF($K241="","",$J241-$K241),"")</f>
        <v/>
      </c>
      <c r="M241" s="34" t="n"/>
      <c r="N241" s="35">
        <f>IF($C241="","",IF(NOT(ISNUMBER($F241)),"No dividend",IF($F241=0,"No dividend",IF(ISNUMBER($I241),"OK","Frank assumed"))))</f>
        <v/>
      </c>
      <c r="P241" s="58">
        <f>IF($N241="No dividend","",IF($C241="","",BDP($C241,'Field Check'!$C$43)))</f>
        <v/>
      </c>
      <c r="Q241" s="132">
        <f>IFERROR(IF(LEN($P241)&lt;&gt;3,1,IF($P241=$D$2,1,BDP($P241&amp;$D$2&amp;" Curncy","PX_LAST"))),1)</f>
        <v/>
      </c>
    </row>
    <row r="242">
      <c r="A242" s="27" t="n"/>
      <c r="B242" s="80" t="n"/>
      <c r="C242" s="27">
        <f>IF($A242="","",$A242&amp;" Equity")</f>
        <v/>
      </c>
      <c r="D242" s="27">
        <f>IF($A242="","",BDP($C242,"NAME"))</f>
        <v/>
      </c>
      <c r="E242" s="27">
        <f>IF($A242="","",BDP($C242,"GICS_SECTOR_NAME"))</f>
        <v/>
      </c>
      <c r="F242" s="28">
        <f>IF($A242="","",BDP($C242,"EQY_DVD_SH_12M"))</f>
        <v/>
      </c>
      <c r="G242" s="29">
        <f>IF($A242="","",BDP($C242,"EQY_DVD_YLD_12M"))</f>
        <v/>
      </c>
      <c r="H242" s="29">
        <f>IF($A242="","",BDP($C242,"EQY_DVD_YLD_IND"))</f>
        <v/>
      </c>
      <c r="I242" s="29">
        <f>IF($A242="","",BDP($C242,'Field Check'!$C$4))</f>
        <v/>
      </c>
      <c r="J242" s="133">
        <f>IFERROR(IF($B242="","",IF(ISNUMBER($F242),$B242*$F242*$D$3/$B$3,0)),"")</f>
        <v/>
      </c>
      <c r="K242" s="133">
        <f>IFERROR(IF($J242="","",$J242*IF(ISNUMBER($I242),$I242,'Index Summary'!$C$7)/100),"")</f>
        <v/>
      </c>
      <c r="L242" s="133">
        <f>IFERROR(IF($K242="","",$J242-$K242),"")</f>
        <v/>
      </c>
      <c r="M242" s="30" t="n"/>
      <c r="N242" s="31">
        <f>IF($C242="","",IF(NOT(ISNUMBER($F242)),"No dividend",IF($F242=0,"No dividend",IF(ISNUMBER($I242),"OK","Frank assumed"))))</f>
        <v/>
      </c>
      <c r="P242" s="58">
        <f>IF($N242="No dividend","",IF($C242="","",BDP($C242,'Field Check'!$C$43)))</f>
        <v/>
      </c>
      <c r="Q242" s="132">
        <f>IFERROR(IF(LEN($P242)&lt;&gt;3,1,IF($P242=$D$2,1,BDP($P242&amp;$D$2&amp;" Curncy","PX_LAST"))),1)</f>
        <v/>
      </c>
    </row>
    <row r="243">
      <c r="A243" s="16" t="n"/>
      <c r="B243" s="80" t="n"/>
      <c r="C243" s="16">
        <f>IF($A243="","",$A243&amp;" Equity")</f>
        <v/>
      </c>
      <c r="D243" s="16">
        <f>IF($A243="","",BDP($C243,"NAME"))</f>
        <v/>
      </c>
      <c r="E243" s="16">
        <f>IF($A243="","",BDP($C243,"GICS_SECTOR_NAME"))</f>
        <v/>
      </c>
      <c r="F243" s="32">
        <f>IF($A243="","",BDP($C243,"EQY_DVD_SH_12M"))</f>
        <v/>
      </c>
      <c r="G243" s="33">
        <f>IF($A243="","",BDP($C243,"EQY_DVD_YLD_12M"))</f>
        <v/>
      </c>
      <c r="H243" s="33">
        <f>IF($A243="","",BDP($C243,"EQY_DVD_YLD_IND"))</f>
        <v/>
      </c>
      <c r="I243" s="33">
        <f>IF($A243="","",BDP($C243,'Field Check'!$C$4))</f>
        <v/>
      </c>
      <c r="J243" s="133">
        <f>IFERROR(IF($B243="","",IF(ISNUMBER($F243),$B243*$F243*$D$3/$B$3,0)),"")</f>
        <v/>
      </c>
      <c r="K243" s="133">
        <f>IFERROR(IF($J243="","",$J243*IF(ISNUMBER($I243),$I243,'Index Summary'!$C$7)/100),"")</f>
        <v/>
      </c>
      <c r="L243" s="133">
        <f>IFERROR(IF($K243="","",$J243-$K243),"")</f>
        <v/>
      </c>
      <c r="M243" s="34" t="n"/>
      <c r="N243" s="35">
        <f>IF($C243="","",IF(NOT(ISNUMBER($F243)),"No dividend",IF($F243=0,"No dividend",IF(ISNUMBER($I243),"OK","Frank assumed"))))</f>
        <v/>
      </c>
      <c r="P243" s="58">
        <f>IF($N243="No dividend","",IF($C243="","",BDP($C243,'Field Check'!$C$43)))</f>
        <v/>
      </c>
      <c r="Q243" s="132">
        <f>IFERROR(IF(LEN($P243)&lt;&gt;3,1,IF($P243=$D$2,1,BDP($P243&amp;$D$2&amp;" Curncy","PX_LAST"))),1)</f>
        <v/>
      </c>
    </row>
    <row r="244">
      <c r="A244" s="27" t="n"/>
      <c r="B244" s="80" t="n"/>
      <c r="C244" s="27">
        <f>IF($A244="","",$A244&amp;" Equity")</f>
        <v/>
      </c>
      <c r="D244" s="27">
        <f>IF($A244="","",BDP($C244,"NAME"))</f>
        <v/>
      </c>
      <c r="E244" s="27">
        <f>IF($A244="","",BDP($C244,"GICS_SECTOR_NAME"))</f>
        <v/>
      </c>
      <c r="F244" s="28">
        <f>IF($A244="","",BDP($C244,"EQY_DVD_SH_12M"))</f>
        <v/>
      </c>
      <c r="G244" s="29">
        <f>IF($A244="","",BDP($C244,"EQY_DVD_YLD_12M"))</f>
        <v/>
      </c>
      <c r="H244" s="29">
        <f>IF($A244="","",BDP($C244,"EQY_DVD_YLD_IND"))</f>
        <v/>
      </c>
      <c r="I244" s="29">
        <f>IF($A244="","",BDP($C244,'Field Check'!$C$4))</f>
        <v/>
      </c>
      <c r="J244" s="133">
        <f>IFERROR(IF($B244="","",IF(ISNUMBER($F244),$B244*$F244*$D$3/$B$3,0)),"")</f>
        <v/>
      </c>
      <c r="K244" s="133">
        <f>IFERROR(IF($J244="","",$J244*IF(ISNUMBER($I244),$I244,'Index Summary'!$C$7)/100),"")</f>
        <v/>
      </c>
      <c r="L244" s="133">
        <f>IFERROR(IF($K244="","",$J244-$K244),"")</f>
        <v/>
      </c>
      <c r="M244" s="30" t="n"/>
      <c r="N244" s="31">
        <f>IF($C244="","",IF(NOT(ISNUMBER($F244)),"No dividend",IF($F244=0,"No dividend",IF(ISNUMBER($I244),"OK","Frank assumed"))))</f>
        <v/>
      </c>
      <c r="P244" s="58">
        <f>IF($N244="No dividend","",IF($C244="","",BDP($C244,'Field Check'!$C$43)))</f>
        <v/>
      </c>
      <c r="Q244" s="132">
        <f>IFERROR(IF(LEN($P244)&lt;&gt;3,1,IF($P244=$D$2,1,BDP($P244&amp;$D$2&amp;" Curncy","PX_LAST"))),1)</f>
        <v/>
      </c>
    </row>
    <row r="245">
      <c r="A245" s="16" t="n"/>
      <c r="B245" s="80" t="n"/>
      <c r="C245" s="16">
        <f>IF($A245="","",$A245&amp;" Equity")</f>
        <v/>
      </c>
      <c r="D245" s="16">
        <f>IF($A245="","",BDP($C245,"NAME"))</f>
        <v/>
      </c>
      <c r="E245" s="16">
        <f>IF($A245="","",BDP($C245,"GICS_SECTOR_NAME"))</f>
        <v/>
      </c>
      <c r="F245" s="32">
        <f>IF($A245="","",BDP($C245,"EQY_DVD_SH_12M"))</f>
        <v/>
      </c>
      <c r="G245" s="33">
        <f>IF($A245="","",BDP($C245,"EQY_DVD_YLD_12M"))</f>
        <v/>
      </c>
      <c r="H245" s="33">
        <f>IF($A245="","",BDP($C245,"EQY_DVD_YLD_IND"))</f>
        <v/>
      </c>
      <c r="I245" s="33">
        <f>IF($A245="","",BDP($C245,'Field Check'!$C$4))</f>
        <v/>
      </c>
      <c r="J245" s="133">
        <f>IFERROR(IF($B245="","",IF(ISNUMBER($F245),$B245*$F245*$D$3/$B$3,0)),"")</f>
        <v/>
      </c>
      <c r="K245" s="133">
        <f>IFERROR(IF($J245="","",$J245*IF(ISNUMBER($I245),$I245,'Index Summary'!$C$7)/100),"")</f>
        <v/>
      </c>
      <c r="L245" s="133">
        <f>IFERROR(IF($K245="","",$J245-$K245),"")</f>
        <v/>
      </c>
      <c r="M245" s="34" t="n"/>
      <c r="N245" s="35">
        <f>IF($C245="","",IF(NOT(ISNUMBER($F245)),"No dividend",IF($F245=0,"No dividend",IF(ISNUMBER($I245),"OK","Frank assumed"))))</f>
        <v/>
      </c>
      <c r="P245" s="58">
        <f>IF($N245="No dividend","",IF($C245="","",BDP($C245,'Field Check'!$C$43)))</f>
        <v/>
      </c>
      <c r="Q245" s="132">
        <f>IFERROR(IF(LEN($P245)&lt;&gt;3,1,IF($P245=$D$2,1,BDP($P245&amp;$D$2&amp;" Curncy","PX_LAST"))),1)</f>
        <v/>
      </c>
    </row>
    <row r="246">
      <c r="A246" s="27" t="n"/>
      <c r="B246" s="80" t="n"/>
      <c r="C246" s="27">
        <f>IF($A246="","",$A246&amp;" Equity")</f>
        <v/>
      </c>
      <c r="D246" s="27">
        <f>IF($A246="","",BDP($C246,"NAME"))</f>
        <v/>
      </c>
      <c r="E246" s="27">
        <f>IF($A246="","",BDP($C246,"GICS_SECTOR_NAME"))</f>
        <v/>
      </c>
      <c r="F246" s="28">
        <f>IF($A246="","",BDP($C246,"EQY_DVD_SH_12M"))</f>
        <v/>
      </c>
      <c r="G246" s="29">
        <f>IF($A246="","",BDP($C246,"EQY_DVD_YLD_12M"))</f>
        <v/>
      </c>
      <c r="H246" s="29">
        <f>IF($A246="","",BDP($C246,"EQY_DVD_YLD_IND"))</f>
        <v/>
      </c>
      <c r="I246" s="29">
        <f>IF($A246="","",BDP($C246,'Field Check'!$C$4))</f>
        <v/>
      </c>
      <c r="J246" s="133">
        <f>IFERROR(IF($B246="","",IF(ISNUMBER($F246),$B246*$F246*$D$3/$B$3,0)),"")</f>
        <v/>
      </c>
      <c r="K246" s="133">
        <f>IFERROR(IF($J246="","",$J246*IF(ISNUMBER($I246),$I246,'Index Summary'!$C$7)/100),"")</f>
        <v/>
      </c>
      <c r="L246" s="133">
        <f>IFERROR(IF($K246="","",$J246-$K246),"")</f>
        <v/>
      </c>
      <c r="M246" s="30" t="n"/>
      <c r="N246" s="31">
        <f>IF($C246="","",IF(NOT(ISNUMBER($F246)),"No dividend",IF($F246=0,"No dividend",IF(ISNUMBER($I246),"OK","Frank assumed"))))</f>
        <v/>
      </c>
      <c r="P246" s="58">
        <f>IF($N246="No dividend","",IF($C246="","",BDP($C246,'Field Check'!$C$43)))</f>
        <v/>
      </c>
      <c r="Q246" s="132">
        <f>IFERROR(IF(LEN($P246)&lt;&gt;3,1,IF($P246=$D$2,1,BDP($P246&amp;$D$2&amp;" Curncy","PX_LAST"))),1)</f>
        <v/>
      </c>
    </row>
    <row r="247">
      <c r="A247" s="16" t="n"/>
      <c r="B247" s="80" t="n"/>
      <c r="C247" s="16">
        <f>IF($A247="","",$A247&amp;" Equity")</f>
        <v/>
      </c>
      <c r="D247" s="16">
        <f>IF($A247="","",BDP($C247,"NAME"))</f>
        <v/>
      </c>
      <c r="E247" s="16">
        <f>IF($A247="","",BDP($C247,"GICS_SECTOR_NAME"))</f>
        <v/>
      </c>
      <c r="F247" s="32">
        <f>IF($A247="","",BDP($C247,"EQY_DVD_SH_12M"))</f>
        <v/>
      </c>
      <c r="G247" s="33">
        <f>IF($A247="","",BDP($C247,"EQY_DVD_YLD_12M"))</f>
        <v/>
      </c>
      <c r="H247" s="33">
        <f>IF($A247="","",BDP($C247,"EQY_DVD_YLD_IND"))</f>
        <v/>
      </c>
      <c r="I247" s="33">
        <f>IF($A247="","",BDP($C247,'Field Check'!$C$4))</f>
        <v/>
      </c>
      <c r="J247" s="133">
        <f>IFERROR(IF($B247="","",IF(ISNUMBER($F247),$B247*$F247*$D$3/$B$3,0)),"")</f>
        <v/>
      </c>
      <c r="K247" s="133">
        <f>IFERROR(IF($J247="","",$J247*IF(ISNUMBER($I247),$I247,'Index Summary'!$C$7)/100),"")</f>
        <v/>
      </c>
      <c r="L247" s="133">
        <f>IFERROR(IF($K247="","",$J247-$K247),"")</f>
        <v/>
      </c>
      <c r="M247" s="34" t="n"/>
      <c r="N247" s="35">
        <f>IF($C247="","",IF(NOT(ISNUMBER($F247)),"No dividend",IF($F247=0,"No dividend",IF(ISNUMBER($I247),"OK","Frank assumed"))))</f>
        <v/>
      </c>
      <c r="P247" s="58">
        <f>IF($N247="No dividend","",IF($C247="","",BDP($C247,'Field Check'!$C$43)))</f>
        <v/>
      </c>
      <c r="Q247" s="132">
        <f>IFERROR(IF(LEN($P247)&lt;&gt;3,1,IF($P247=$D$2,1,BDP($P247&amp;$D$2&amp;" Curncy","PX_LAST"))),1)</f>
        <v/>
      </c>
    </row>
    <row r="248">
      <c r="A248" s="27" t="n"/>
      <c r="B248" s="80" t="n"/>
      <c r="C248" s="27">
        <f>IF($A248="","",$A248&amp;" Equity")</f>
        <v/>
      </c>
      <c r="D248" s="27">
        <f>IF($A248="","",BDP($C248,"NAME"))</f>
        <v/>
      </c>
      <c r="E248" s="27">
        <f>IF($A248="","",BDP($C248,"GICS_SECTOR_NAME"))</f>
        <v/>
      </c>
      <c r="F248" s="28">
        <f>IF($A248="","",BDP($C248,"EQY_DVD_SH_12M"))</f>
        <v/>
      </c>
      <c r="G248" s="29">
        <f>IF($A248="","",BDP($C248,"EQY_DVD_YLD_12M"))</f>
        <v/>
      </c>
      <c r="H248" s="29">
        <f>IF($A248="","",BDP($C248,"EQY_DVD_YLD_IND"))</f>
        <v/>
      </c>
      <c r="I248" s="29">
        <f>IF($A248="","",BDP($C248,'Field Check'!$C$4))</f>
        <v/>
      </c>
      <c r="J248" s="133">
        <f>IFERROR(IF($B248="","",IF(ISNUMBER($F248),$B248*$F248*$D$3/$B$3,0)),"")</f>
        <v/>
      </c>
      <c r="K248" s="133">
        <f>IFERROR(IF($J248="","",$J248*IF(ISNUMBER($I248),$I248,'Index Summary'!$C$7)/100),"")</f>
        <v/>
      </c>
      <c r="L248" s="133">
        <f>IFERROR(IF($K248="","",$J248-$K248),"")</f>
        <v/>
      </c>
      <c r="M248" s="30" t="n"/>
      <c r="N248" s="31">
        <f>IF($C248="","",IF(NOT(ISNUMBER($F248)),"No dividend",IF($F248=0,"No dividend",IF(ISNUMBER($I248),"OK","Frank assumed"))))</f>
        <v/>
      </c>
      <c r="P248" s="58">
        <f>IF($N248="No dividend","",IF($C248="","",BDP($C248,'Field Check'!$C$43)))</f>
        <v/>
      </c>
      <c r="Q248" s="132">
        <f>IFERROR(IF(LEN($P248)&lt;&gt;3,1,IF($P248=$D$2,1,BDP($P248&amp;$D$2&amp;" Curncy","PX_LAST"))),1)</f>
        <v/>
      </c>
    </row>
    <row r="249">
      <c r="A249" s="16" t="n"/>
      <c r="B249" s="80" t="n"/>
      <c r="C249" s="16">
        <f>IF($A249="","",$A249&amp;" Equity")</f>
        <v/>
      </c>
      <c r="D249" s="16">
        <f>IF($A249="","",BDP($C249,"NAME"))</f>
        <v/>
      </c>
      <c r="E249" s="16">
        <f>IF($A249="","",BDP($C249,"GICS_SECTOR_NAME"))</f>
        <v/>
      </c>
      <c r="F249" s="32">
        <f>IF($A249="","",BDP($C249,"EQY_DVD_SH_12M"))</f>
        <v/>
      </c>
      <c r="G249" s="33">
        <f>IF($A249="","",BDP($C249,"EQY_DVD_YLD_12M"))</f>
        <v/>
      </c>
      <c r="H249" s="33">
        <f>IF($A249="","",BDP($C249,"EQY_DVD_YLD_IND"))</f>
        <v/>
      </c>
      <c r="I249" s="33">
        <f>IF($A249="","",BDP($C249,'Field Check'!$C$4))</f>
        <v/>
      </c>
      <c r="J249" s="133">
        <f>IFERROR(IF($B249="","",IF(ISNUMBER($F249),$B249*$F249*$D$3/$B$3,0)),"")</f>
        <v/>
      </c>
      <c r="K249" s="133">
        <f>IFERROR(IF($J249="","",$J249*IF(ISNUMBER($I249),$I249,'Index Summary'!$C$7)/100),"")</f>
        <v/>
      </c>
      <c r="L249" s="133">
        <f>IFERROR(IF($K249="","",$J249-$K249),"")</f>
        <v/>
      </c>
      <c r="M249" s="34" t="n"/>
      <c r="N249" s="35">
        <f>IF($C249="","",IF(NOT(ISNUMBER($F249)),"No dividend",IF($F249=0,"No dividend",IF(ISNUMBER($I249),"OK","Frank assumed"))))</f>
        <v/>
      </c>
      <c r="P249" s="58">
        <f>IF($N249="No dividend","",IF($C249="","",BDP($C249,'Field Check'!$C$43)))</f>
        <v/>
      </c>
      <c r="Q249" s="132">
        <f>IFERROR(IF(LEN($P249)&lt;&gt;3,1,IF($P249=$D$2,1,BDP($P249&amp;$D$2&amp;" Curncy","PX_LAST"))),1)</f>
        <v/>
      </c>
    </row>
    <row r="250">
      <c r="A250" s="27" t="n"/>
      <c r="B250" s="80" t="n"/>
      <c r="C250" s="27">
        <f>IF($A250="","",$A250&amp;" Equity")</f>
        <v/>
      </c>
      <c r="D250" s="27">
        <f>IF($A250="","",BDP($C250,"NAME"))</f>
        <v/>
      </c>
      <c r="E250" s="27">
        <f>IF($A250="","",BDP($C250,"GICS_SECTOR_NAME"))</f>
        <v/>
      </c>
      <c r="F250" s="28">
        <f>IF($A250="","",BDP($C250,"EQY_DVD_SH_12M"))</f>
        <v/>
      </c>
      <c r="G250" s="29">
        <f>IF($A250="","",BDP($C250,"EQY_DVD_YLD_12M"))</f>
        <v/>
      </c>
      <c r="H250" s="29">
        <f>IF($A250="","",BDP($C250,"EQY_DVD_YLD_IND"))</f>
        <v/>
      </c>
      <c r="I250" s="29">
        <f>IF($A250="","",BDP($C250,'Field Check'!$C$4))</f>
        <v/>
      </c>
      <c r="J250" s="133">
        <f>IFERROR(IF($B250="","",IF(ISNUMBER($F250),$B250*$F250*$D$3/$B$3,0)),"")</f>
        <v/>
      </c>
      <c r="K250" s="133">
        <f>IFERROR(IF($J250="","",$J250*IF(ISNUMBER($I250),$I250,'Index Summary'!$C$7)/100),"")</f>
        <v/>
      </c>
      <c r="L250" s="133">
        <f>IFERROR(IF($K250="","",$J250-$K250),"")</f>
        <v/>
      </c>
      <c r="M250" s="30" t="n"/>
      <c r="N250" s="31">
        <f>IF($C250="","",IF(NOT(ISNUMBER($F250)),"No dividend",IF($F250=0,"No dividend",IF(ISNUMBER($I250),"OK","Frank assumed"))))</f>
        <v/>
      </c>
      <c r="P250" s="58">
        <f>IF($N250="No dividend","",IF($C250="","",BDP($C250,'Field Check'!$C$43)))</f>
        <v/>
      </c>
      <c r="Q250" s="132">
        <f>IFERROR(IF(LEN($P250)&lt;&gt;3,1,IF($P250=$D$2,1,BDP($P250&amp;$D$2&amp;" Curncy","PX_LAST"))),1)</f>
        <v/>
      </c>
    </row>
    <row r="251">
      <c r="A251" s="16" t="n"/>
      <c r="B251" s="80" t="n"/>
      <c r="C251" s="16">
        <f>IF($A251="","",$A251&amp;" Equity")</f>
        <v/>
      </c>
      <c r="D251" s="16">
        <f>IF($A251="","",BDP($C251,"NAME"))</f>
        <v/>
      </c>
      <c r="E251" s="16">
        <f>IF($A251="","",BDP($C251,"GICS_SECTOR_NAME"))</f>
        <v/>
      </c>
      <c r="F251" s="32">
        <f>IF($A251="","",BDP($C251,"EQY_DVD_SH_12M"))</f>
        <v/>
      </c>
      <c r="G251" s="33">
        <f>IF($A251="","",BDP($C251,"EQY_DVD_YLD_12M"))</f>
        <v/>
      </c>
      <c r="H251" s="33">
        <f>IF($A251="","",BDP($C251,"EQY_DVD_YLD_IND"))</f>
        <v/>
      </c>
      <c r="I251" s="33">
        <f>IF($A251="","",BDP($C251,'Field Check'!$C$4))</f>
        <v/>
      </c>
      <c r="J251" s="133">
        <f>IFERROR(IF($B251="","",IF(ISNUMBER($F251),$B251*$F251*$D$3/$B$3,0)),"")</f>
        <v/>
      </c>
      <c r="K251" s="133">
        <f>IFERROR(IF($J251="","",$J251*IF(ISNUMBER($I251),$I251,'Index Summary'!$C$7)/100),"")</f>
        <v/>
      </c>
      <c r="L251" s="133">
        <f>IFERROR(IF($K251="","",$J251-$K251),"")</f>
        <v/>
      </c>
      <c r="M251" s="34" t="n"/>
      <c r="N251" s="35">
        <f>IF($C251="","",IF(NOT(ISNUMBER($F251)),"No dividend",IF($F251=0,"No dividend",IF(ISNUMBER($I251),"OK","Frank assumed"))))</f>
        <v/>
      </c>
      <c r="P251" s="58">
        <f>IF($N251="No dividend","",IF($C251="","",BDP($C251,'Field Check'!$C$43)))</f>
        <v/>
      </c>
      <c r="Q251" s="132">
        <f>IFERROR(IF(LEN($P251)&lt;&gt;3,1,IF($P251=$D$2,1,BDP($P251&amp;$D$2&amp;" Curncy","PX_LAST"))),1)</f>
        <v/>
      </c>
    </row>
    <row r="252">
      <c r="A252" s="27" t="n"/>
      <c r="B252" s="80" t="n"/>
      <c r="C252" s="27">
        <f>IF($A252="","",$A252&amp;" Equity")</f>
        <v/>
      </c>
      <c r="D252" s="27">
        <f>IF($A252="","",BDP($C252,"NAME"))</f>
        <v/>
      </c>
      <c r="E252" s="27">
        <f>IF($A252="","",BDP($C252,"GICS_SECTOR_NAME"))</f>
        <v/>
      </c>
      <c r="F252" s="28">
        <f>IF($A252="","",BDP($C252,"EQY_DVD_SH_12M"))</f>
        <v/>
      </c>
      <c r="G252" s="29">
        <f>IF($A252="","",BDP($C252,"EQY_DVD_YLD_12M"))</f>
        <v/>
      </c>
      <c r="H252" s="29">
        <f>IF($A252="","",BDP($C252,"EQY_DVD_YLD_IND"))</f>
        <v/>
      </c>
      <c r="I252" s="29">
        <f>IF($A252="","",BDP($C252,'Field Check'!$C$4))</f>
        <v/>
      </c>
      <c r="J252" s="133">
        <f>IFERROR(IF($B252="","",IF(ISNUMBER($F252),$B252*$F252*$D$3/$B$3,0)),"")</f>
        <v/>
      </c>
      <c r="K252" s="133">
        <f>IFERROR(IF($J252="","",$J252*IF(ISNUMBER($I252),$I252,'Index Summary'!$C$7)/100),"")</f>
        <v/>
      </c>
      <c r="L252" s="133">
        <f>IFERROR(IF($K252="","",$J252-$K252),"")</f>
        <v/>
      </c>
      <c r="M252" s="30" t="n"/>
      <c r="N252" s="31">
        <f>IF($C252="","",IF(NOT(ISNUMBER($F252)),"No dividend",IF($F252=0,"No dividend",IF(ISNUMBER($I252),"OK","Frank assumed"))))</f>
        <v/>
      </c>
      <c r="P252" s="58">
        <f>IF($N252="No dividend","",IF($C252="","",BDP($C252,'Field Check'!$C$43)))</f>
        <v/>
      </c>
      <c r="Q252" s="132">
        <f>IFERROR(IF(LEN($P252)&lt;&gt;3,1,IF($P252=$D$2,1,BDP($P252&amp;$D$2&amp;" Curncy","PX_LAST"))),1)</f>
        <v/>
      </c>
    </row>
    <row r="253">
      <c r="A253" s="16" t="n"/>
      <c r="B253" s="80" t="n"/>
      <c r="C253" s="16">
        <f>IF($A253="","",$A253&amp;" Equity")</f>
        <v/>
      </c>
      <c r="D253" s="16">
        <f>IF($A253="","",BDP($C253,"NAME"))</f>
        <v/>
      </c>
      <c r="E253" s="16">
        <f>IF($A253="","",BDP($C253,"GICS_SECTOR_NAME"))</f>
        <v/>
      </c>
      <c r="F253" s="32">
        <f>IF($A253="","",BDP($C253,"EQY_DVD_SH_12M"))</f>
        <v/>
      </c>
      <c r="G253" s="33">
        <f>IF($A253="","",BDP($C253,"EQY_DVD_YLD_12M"))</f>
        <v/>
      </c>
      <c r="H253" s="33">
        <f>IF($A253="","",BDP($C253,"EQY_DVD_YLD_IND"))</f>
        <v/>
      </c>
      <c r="I253" s="33">
        <f>IF($A253="","",BDP($C253,'Field Check'!$C$4))</f>
        <v/>
      </c>
      <c r="J253" s="133">
        <f>IFERROR(IF($B253="","",IF(ISNUMBER($F253),$B253*$F253*$D$3/$B$3,0)),"")</f>
        <v/>
      </c>
      <c r="K253" s="133">
        <f>IFERROR(IF($J253="","",$J253*IF(ISNUMBER($I253),$I253,'Index Summary'!$C$7)/100),"")</f>
        <v/>
      </c>
      <c r="L253" s="133">
        <f>IFERROR(IF($K253="","",$J253-$K253),"")</f>
        <v/>
      </c>
      <c r="M253" s="34" t="n"/>
      <c r="N253" s="35">
        <f>IF($C253="","",IF(NOT(ISNUMBER($F253)),"No dividend",IF($F253=0,"No dividend",IF(ISNUMBER($I253),"OK","Frank assumed"))))</f>
        <v/>
      </c>
      <c r="P253" s="58">
        <f>IF($N253="No dividend","",IF($C253="","",BDP($C253,'Field Check'!$C$43)))</f>
        <v/>
      </c>
      <c r="Q253" s="132">
        <f>IFERROR(IF(LEN($P253)&lt;&gt;3,1,IF($P253=$D$2,1,BDP($P253&amp;$D$2&amp;" Curncy","PX_LAST"))),1)</f>
        <v/>
      </c>
    </row>
    <row r="254">
      <c r="A254" s="27" t="n"/>
      <c r="B254" s="80" t="n"/>
      <c r="C254" s="27">
        <f>IF($A254="","",$A254&amp;" Equity")</f>
        <v/>
      </c>
      <c r="D254" s="27">
        <f>IF($A254="","",BDP($C254,"NAME"))</f>
        <v/>
      </c>
      <c r="E254" s="27">
        <f>IF($A254="","",BDP($C254,"GICS_SECTOR_NAME"))</f>
        <v/>
      </c>
      <c r="F254" s="28">
        <f>IF($A254="","",BDP($C254,"EQY_DVD_SH_12M"))</f>
        <v/>
      </c>
      <c r="G254" s="29">
        <f>IF($A254="","",BDP($C254,"EQY_DVD_YLD_12M"))</f>
        <v/>
      </c>
      <c r="H254" s="29">
        <f>IF($A254="","",BDP($C254,"EQY_DVD_YLD_IND"))</f>
        <v/>
      </c>
      <c r="I254" s="29">
        <f>IF($A254="","",BDP($C254,'Field Check'!$C$4))</f>
        <v/>
      </c>
      <c r="J254" s="133">
        <f>IFERROR(IF($B254="","",IF(ISNUMBER($F254),$B254*$F254*$D$3/$B$3,0)),"")</f>
        <v/>
      </c>
      <c r="K254" s="133">
        <f>IFERROR(IF($J254="","",$J254*IF(ISNUMBER($I254),$I254,'Index Summary'!$C$7)/100),"")</f>
        <v/>
      </c>
      <c r="L254" s="133">
        <f>IFERROR(IF($K254="","",$J254-$K254),"")</f>
        <v/>
      </c>
      <c r="M254" s="30" t="n"/>
      <c r="N254" s="31">
        <f>IF($C254="","",IF(NOT(ISNUMBER($F254)),"No dividend",IF($F254=0,"No dividend",IF(ISNUMBER($I254),"OK","Frank assumed"))))</f>
        <v/>
      </c>
      <c r="P254" s="58">
        <f>IF($N254="No dividend","",IF($C254="","",BDP($C254,'Field Check'!$C$43)))</f>
        <v/>
      </c>
      <c r="Q254" s="132">
        <f>IFERROR(IF(LEN($P254)&lt;&gt;3,1,IF($P254=$D$2,1,BDP($P254&amp;$D$2&amp;" Curncy","PX_LAST"))),1)</f>
        <v/>
      </c>
    </row>
    <row r="255">
      <c r="A255" s="16" t="n"/>
      <c r="B255" s="80" t="n"/>
      <c r="C255" s="16">
        <f>IF($A255="","",$A255&amp;" Equity")</f>
        <v/>
      </c>
      <c r="D255" s="16">
        <f>IF($A255="","",BDP($C255,"NAME"))</f>
        <v/>
      </c>
      <c r="E255" s="16">
        <f>IF($A255="","",BDP($C255,"GICS_SECTOR_NAME"))</f>
        <v/>
      </c>
      <c r="F255" s="32">
        <f>IF($A255="","",BDP($C255,"EQY_DVD_SH_12M"))</f>
        <v/>
      </c>
      <c r="G255" s="33">
        <f>IF($A255="","",BDP($C255,"EQY_DVD_YLD_12M"))</f>
        <v/>
      </c>
      <c r="H255" s="33">
        <f>IF($A255="","",BDP($C255,"EQY_DVD_YLD_IND"))</f>
        <v/>
      </c>
      <c r="I255" s="33">
        <f>IF($A255="","",BDP($C255,'Field Check'!$C$4))</f>
        <v/>
      </c>
      <c r="J255" s="133">
        <f>IFERROR(IF($B255="","",IF(ISNUMBER($F255),$B255*$F255*$D$3/$B$3,0)),"")</f>
        <v/>
      </c>
      <c r="K255" s="133">
        <f>IFERROR(IF($J255="","",$J255*IF(ISNUMBER($I255),$I255,'Index Summary'!$C$7)/100),"")</f>
        <v/>
      </c>
      <c r="L255" s="133">
        <f>IFERROR(IF($K255="","",$J255-$K255),"")</f>
        <v/>
      </c>
      <c r="M255" s="34" t="n"/>
      <c r="N255" s="35">
        <f>IF($C255="","",IF(NOT(ISNUMBER($F255)),"No dividend",IF($F255=0,"No dividend",IF(ISNUMBER($I255),"OK","Frank assumed"))))</f>
        <v/>
      </c>
      <c r="P255" s="58">
        <f>IF($N255="No dividend","",IF($C255="","",BDP($C255,'Field Check'!$C$43)))</f>
        <v/>
      </c>
      <c r="Q255" s="132">
        <f>IFERROR(IF(LEN($P255)&lt;&gt;3,1,IF($P255=$D$2,1,BDP($P255&amp;$D$2&amp;" Curncy","PX_LAST"))),1)</f>
        <v/>
      </c>
    </row>
    <row r="256">
      <c r="A256" s="27" t="n"/>
      <c r="B256" s="80" t="n"/>
      <c r="C256" s="27">
        <f>IF($A256="","",$A256&amp;" Equity")</f>
        <v/>
      </c>
      <c r="D256" s="27">
        <f>IF($A256="","",BDP($C256,"NAME"))</f>
        <v/>
      </c>
      <c r="E256" s="27">
        <f>IF($A256="","",BDP($C256,"GICS_SECTOR_NAME"))</f>
        <v/>
      </c>
      <c r="F256" s="28">
        <f>IF($A256="","",BDP($C256,"EQY_DVD_SH_12M"))</f>
        <v/>
      </c>
      <c r="G256" s="29">
        <f>IF($A256="","",BDP($C256,"EQY_DVD_YLD_12M"))</f>
        <v/>
      </c>
      <c r="H256" s="29">
        <f>IF($A256="","",BDP($C256,"EQY_DVD_YLD_IND"))</f>
        <v/>
      </c>
      <c r="I256" s="29">
        <f>IF($A256="","",BDP($C256,'Field Check'!$C$4))</f>
        <v/>
      </c>
      <c r="J256" s="133">
        <f>IFERROR(IF($B256="","",IF(ISNUMBER($F256),$B256*$F256*$D$3/$B$3,0)),"")</f>
        <v/>
      </c>
      <c r="K256" s="133">
        <f>IFERROR(IF($J256="","",$J256*IF(ISNUMBER($I256),$I256,'Index Summary'!$C$7)/100),"")</f>
        <v/>
      </c>
      <c r="L256" s="133">
        <f>IFERROR(IF($K256="","",$J256-$K256),"")</f>
        <v/>
      </c>
      <c r="M256" s="30" t="n"/>
      <c r="N256" s="31">
        <f>IF($C256="","",IF(NOT(ISNUMBER($F256)),"No dividend",IF($F256=0,"No dividend",IF(ISNUMBER($I256),"OK","Frank assumed"))))</f>
        <v/>
      </c>
      <c r="P256" s="58">
        <f>IF($N256="No dividend","",IF($C256="","",BDP($C256,'Field Check'!$C$43)))</f>
        <v/>
      </c>
      <c r="Q256" s="132">
        <f>IFERROR(IF(LEN($P256)&lt;&gt;3,1,IF($P256=$D$2,1,BDP($P256&amp;$D$2&amp;" Curncy","PX_LAST"))),1)</f>
        <v/>
      </c>
    </row>
    <row r="257">
      <c r="A257" s="16" t="n"/>
      <c r="B257" s="80" t="n"/>
      <c r="C257" s="16">
        <f>IF($A257="","",$A257&amp;" Equity")</f>
        <v/>
      </c>
      <c r="D257" s="16">
        <f>IF($A257="","",BDP($C257,"NAME"))</f>
        <v/>
      </c>
      <c r="E257" s="16">
        <f>IF($A257="","",BDP($C257,"GICS_SECTOR_NAME"))</f>
        <v/>
      </c>
      <c r="F257" s="32">
        <f>IF($A257="","",BDP($C257,"EQY_DVD_SH_12M"))</f>
        <v/>
      </c>
      <c r="G257" s="33">
        <f>IF($A257="","",BDP($C257,"EQY_DVD_YLD_12M"))</f>
        <v/>
      </c>
      <c r="H257" s="33">
        <f>IF($A257="","",BDP($C257,"EQY_DVD_YLD_IND"))</f>
        <v/>
      </c>
      <c r="I257" s="33">
        <f>IF($A257="","",BDP($C257,'Field Check'!$C$4))</f>
        <v/>
      </c>
      <c r="J257" s="133">
        <f>IFERROR(IF($B257="","",IF(ISNUMBER($F257),$B257*$F257*$D$3/$B$3,0)),"")</f>
        <v/>
      </c>
      <c r="K257" s="133">
        <f>IFERROR(IF($J257="","",$J257*IF(ISNUMBER($I257),$I257,'Index Summary'!$C$7)/100),"")</f>
        <v/>
      </c>
      <c r="L257" s="133">
        <f>IFERROR(IF($K257="","",$J257-$K257),"")</f>
        <v/>
      </c>
      <c r="M257" s="34" t="n"/>
      <c r="N257" s="35">
        <f>IF($C257="","",IF(NOT(ISNUMBER($F257)),"No dividend",IF($F257=0,"No dividend",IF(ISNUMBER($I257),"OK","Frank assumed"))))</f>
        <v/>
      </c>
      <c r="P257" s="58">
        <f>IF($N257="No dividend","",IF($C257="","",BDP($C257,'Field Check'!$C$43)))</f>
        <v/>
      </c>
      <c r="Q257" s="132">
        <f>IFERROR(IF(LEN($P257)&lt;&gt;3,1,IF($P257=$D$2,1,BDP($P257&amp;$D$2&amp;" Curncy","PX_LAST"))),1)</f>
        <v/>
      </c>
    </row>
    <row r="258">
      <c r="A258" s="27" t="n"/>
      <c r="B258" s="80" t="n"/>
      <c r="C258" s="27">
        <f>IF($A258="","",$A258&amp;" Equity")</f>
        <v/>
      </c>
      <c r="D258" s="27">
        <f>IF($A258="","",BDP($C258,"NAME"))</f>
        <v/>
      </c>
      <c r="E258" s="27">
        <f>IF($A258="","",BDP($C258,"GICS_SECTOR_NAME"))</f>
        <v/>
      </c>
      <c r="F258" s="28">
        <f>IF($A258="","",BDP($C258,"EQY_DVD_SH_12M"))</f>
        <v/>
      </c>
      <c r="G258" s="29">
        <f>IF($A258="","",BDP($C258,"EQY_DVD_YLD_12M"))</f>
        <v/>
      </c>
      <c r="H258" s="29">
        <f>IF($A258="","",BDP($C258,"EQY_DVD_YLD_IND"))</f>
        <v/>
      </c>
      <c r="I258" s="29">
        <f>IF($A258="","",BDP($C258,'Field Check'!$C$4))</f>
        <v/>
      </c>
      <c r="J258" s="133">
        <f>IFERROR(IF($B258="","",IF(ISNUMBER($F258),$B258*$F258*$D$3/$B$3,0)),"")</f>
        <v/>
      </c>
      <c r="K258" s="133">
        <f>IFERROR(IF($J258="","",$J258*IF(ISNUMBER($I258),$I258,'Index Summary'!$C$7)/100),"")</f>
        <v/>
      </c>
      <c r="L258" s="133">
        <f>IFERROR(IF($K258="","",$J258-$K258),"")</f>
        <v/>
      </c>
      <c r="M258" s="30" t="n"/>
      <c r="N258" s="31">
        <f>IF($C258="","",IF(NOT(ISNUMBER($F258)),"No dividend",IF($F258=0,"No dividend",IF(ISNUMBER($I258),"OK","Frank assumed"))))</f>
        <v/>
      </c>
      <c r="P258" s="58">
        <f>IF($N258="No dividend","",IF($C258="","",BDP($C258,'Field Check'!$C$43)))</f>
        <v/>
      </c>
      <c r="Q258" s="132">
        <f>IFERROR(IF(LEN($P258)&lt;&gt;3,1,IF($P258=$D$2,1,BDP($P258&amp;$D$2&amp;" Curncy","PX_LAST"))),1)</f>
        <v/>
      </c>
    </row>
    <row r="259">
      <c r="A259" s="16" t="n"/>
      <c r="B259" s="80" t="n"/>
      <c r="C259" s="16">
        <f>IF($A259="","",$A259&amp;" Equity")</f>
        <v/>
      </c>
      <c r="D259" s="16">
        <f>IF($A259="","",BDP($C259,"NAME"))</f>
        <v/>
      </c>
      <c r="E259" s="16">
        <f>IF($A259="","",BDP($C259,"GICS_SECTOR_NAME"))</f>
        <v/>
      </c>
      <c r="F259" s="32">
        <f>IF($A259="","",BDP($C259,"EQY_DVD_SH_12M"))</f>
        <v/>
      </c>
      <c r="G259" s="33">
        <f>IF($A259="","",BDP($C259,"EQY_DVD_YLD_12M"))</f>
        <v/>
      </c>
      <c r="H259" s="33">
        <f>IF($A259="","",BDP($C259,"EQY_DVD_YLD_IND"))</f>
        <v/>
      </c>
      <c r="I259" s="33">
        <f>IF($A259="","",BDP($C259,'Field Check'!$C$4))</f>
        <v/>
      </c>
      <c r="J259" s="133">
        <f>IFERROR(IF($B259="","",IF(ISNUMBER($F259),$B259*$F259*$D$3/$B$3,0)),"")</f>
        <v/>
      </c>
      <c r="K259" s="133">
        <f>IFERROR(IF($J259="","",$J259*IF(ISNUMBER($I259),$I259,'Index Summary'!$C$7)/100),"")</f>
        <v/>
      </c>
      <c r="L259" s="133">
        <f>IFERROR(IF($K259="","",$J259-$K259),"")</f>
        <v/>
      </c>
      <c r="M259" s="34" t="n"/>
      <c r="N259" s="35">
        <f>IF($C259="","",IF(NOT(ISNUMBER($F259)),"No dividend",IF($F259=0,"No dividend",IF(ISNUMBER($I259),"OK","Frank assumed"))))</f>
        <v/>
      </c>
      <c r="P259" s="58">
        <f>IF($N259="No dividend","",IF($C259="","",BDP($C259,'Field Check'!$C$43)))</f>
        <v/>
      </c>
      <c r="Q259" s="132">
        <f>IFERROR(IF(LEN($P259)&lt;&gt;3,1,IF($P259=$D$2,1,BDP($P259&amp;$D$2&amp;" Curncy","PX_LAST"))),1)</f>
        <v/>
      </c>
    </row>
    <row r="260">
      <c r="A260" s="27" t="n"/>
      <c r="B260" s="80" t="n"/>
      <c r="C260" s="27">
        <f>IF($A260="","",$A260&amp;" Equity")</f>
        <v/>
      </c>
      <c r="D260" s="27">
        <f>IF($A260="","",BDP($C260,"NAME"))</f>
        <v/>
      </c>
      <c r="E260" s="27">
        <f>IF($A260="","",BDP($C260,"GICS_SECTOR_NAME"))</f>
        <v/>
      </c>
      <c r="F260" s="28">
        <f>IF($A260="","",BDP($C260,"EQY_DVD_SH_12M"))</f>
        <v/>
      </c>
      <c r="G260" s="29">
        <f>IF($A260="","",BDP($C260,"EQY_DVD_YLD_12M"))</f>
        <v/>
      </c>
      <c r="H260" s="29">
        <f>IF($A260="","",BDP($C260,"EQY_DVD_YLD_IND"))</f>
        <v/>
      </c>
      <c r="I260" s="29">
        <f>IF($A260="","",BDP($C260,'Field Check'!$C$4))</f>
        <v/>
      </c>
      <c r="J260" s="133">
        <f>IFERROR(IF($B260="","",IF(ISNUMBER($F260),$B260*$F260*$D$3/$B$3,0)),"")</f>
        <v/>
      </c>
      <c r="K260" s="133">
        <f>IFERROR(IF($J260="","",$J260*IF(ISNUMBER($I260),$I260,'Index Summary'!$C$7)/100),"")</f>
        <v/>
      </c>
      <c r="L260" s="133">
        <f>IFERROR(IF($K260="","",$J260-$K260),"")</f>
        <v/>
      </c>
      <c r="M260" s="30" t="n"/>
      <c r="N260" s="31">
        <f>IF($C260="","",IF(NOT(ISNUMBER($F260)),"No dividend",IF($F260=0,"No dividend",IF(ISNUMBER($I260),"OK","Frank assumed"))))</f>
        <v/>
      </c>
      <c r="P260" s="58">
        <f>IF($N260="No dividend","",IF($C260="","",BDP($C260,'Field Check'!$C$43)))</f>
        <v/>
      </c>
      <c r="Q260" s="132">
        <f>IFERROR(IF(LEN($P260)&lt;&gt;3,1,IF($P260=$D$2,1,BDP($P260&amp;$D$2&amp;" Curncy","PX_LAST"))),1)</f>
        <v/>
      </c>
    </row>
    <row r="261">
      <c r="A261" s="16" t="n"/>
      <c r="B261" s="80" t="n"/>
      <c r="C261" s="16">
        <f>IF($A261="","",$A261&amp;" Equity")</f>
        <v/>
      </c>
      <c r="D261" s="16">
        <f>IF($A261="","",BDP($C261,"NAME"))</f>
        <v/>
      </c>
      <c r="E261" s="16">
        <f>IF($A261="","",BDP($C261,"GICS_SECTOR_NAME"))</f>
        <v/>
      </c>
      <c r="F261" s="32">
        <f>IF($A261="","",BDP($C261,"EQY_DVD_SH_12M"))</f>
        <v/>
      </c>
      <c r="G261" s="33">
        <f>IF($A261="","",BDP($C261,"EQY_DVD_YLD_12M"))</f>
        <v/>
      </c>
      <c r="H261" s="33">
        <f>IF($A261="","",BDP($C261,"EQY_DVD_YLD_IND"))</f>
        <v/>
      </c>
      <c r="I261" s="33">
        <f>IF($A261="","",BDP($C261,'Field Check'!$C$4))</f>
        <v/>
      </c>
      <c r="J261" s="133">
        <f>IFERROR(IF($B261="","",IF(ISNUMBER($F261),$B261*$F261*$D$3/$B$3,0)),"")</f>
        <v/>
      </c>
      <c r="K261" s="133">
        <f>IFERROR(IF($J261="","",$J261*IF(ISNUMBER($I261),$I261,'Index Summary'!$C$7)/100),"")</f>
        <v/>
      </c>
      <c r="L261" s="133">
        <f>IFERROR(IF($K261="","",$J261-$K261),"")</f>
        <v/>
      </c>
      <c r="M261" s="34" t="n"/>
      <c r="N261" s="35">
        <f>IF($C261="","",IF(NOT(ISNUMBER($F261)),"No dividend",IF($F261=0,"No dividend",IF(ISNUMBER($I261),"OK","Frank assumed"))))</f>
        <v/>
      </c>
      <c r="P261" s="58">
        <f>IF($N261="No dividend","",IF($C261="","",BDP($C261,'Field Check'!$C$43)))</f>
        <v/>
      </c>
      <c r="Q261" s="132">
        <f>IFERROR(IF(LEN($P261)&lt;&gt;3,1,IF($P261=$D$2,1,BDP($P261&amp;$D$2&amp;" Curncy","PX_LAST"))),1)</f>
        <v/>
      </c>
    </row>
    <row r="262">
      <c r="A262" s="27" t="n"/>
      <c r="B262" s="80" t="n"/>
      <c r="C262" s="27">
        <f>IF($A262="","",$A262&amp;" Equity")</f>
        <v/>
      </c>
      <c r="D262" s="27">
        <f>IF($A262="","",BDP($C262,"NAME"))</f>
        <v/>
      </c>
      <c r="E262" s="27">
        <f>IF($A262="","",BDP($C262,"GICS_SECTOR_NAME"))</f>
        <v/>
      </c>
      <c r="F262" s="28">
        <f>IF($A262="","",BDP($C262,"EQY_DVD_SH_12M"))</f>
        <v/>
      </c>
      <c r="G262" s="29">
        <f>IF($A262="","",BDP($C262,"EQY_DVD_YLD_12M"))</f>
        <v/>
      </c>
      <c r="H262" s="29">
        <f>IF($A262="","",BDP($C262,"EQY_DVD_YLD_IND"))</f>
        <v/>
      </c>
      <c r="I262" s="29">
        <f>IF($A262="","",BDP($C262,'Field Check'!$C$4))</f>
        <v/>
      </c>
      <c r="J262" s="133">
        <f>IFERROR(IF($B262="","",IF(ISNUMBER($F262),$B262*$F262*$D$3/$B$3,0)),"")</f>
        <v/>
      </c>
      <c r="K262" s="133">
        <f>IFERROR(IF($J262="","",$J262*IF(ISNUMBER($I262),$I262,'Index Summary'!$C$7)/100),"")</f>
        <v/>
      </c>
      <c r="L262" s="133">
        <f>IFERROR(IF($K262="","",$J262-$K262),"")</f>
        <v/>
      </c>
      <c r="M262" s="30" t="n"/>
      <c r="N262" s="31">
        <f>IF($C262="","",IF(NOT(ISNUMBER($F262)),"No dividend",IF($F262=0,"No dividend",IF(ISNUMBER($I262),"OK","Frank assumed"))))</f>
        <v/>
      </c>
      <c r="P262" s="58">
        <f>IF($N262="No dividend","",IF($C262="","",BDP($C262,'Field Check'!$C$43)))</f>
        <v/>
      </c>
      <c r="Q262" s="132">
        <f>IFERROR(IF(LEN($P262)&lt;&gt;3,1,IF($P262=$D$2,1,BDP($P262&amp;$D$2&amp;" Curncy","PX_LAST"))),1)</f>
        <v/>
      </c>
    </row>
    <row r="263">
      <c r="A263" s="16" t="n"/>
      <c r="B263" s="80" t="n"/>
      <c r="C263" s="16">
        <f>IF($A263="","",$A263&amp;" Equity")</f>
        <v/>
      </c>
      <c r="D263" s="16">
        <f>IF($A263="","",BDP($C263,"NAME"))</f>
        <v/>
      </c>
      <c r="E263" s="16">
        <f>IF($A263="","",BDP($C263,"GICS_SECTOR_NAME"))</f>
        <v/>
      </c>
      <c r="F263" s="32">
        <f>IF($A263="","",BDP($C263,"EQY_DVD_SH_12M"))</f>
        <v/>
      </c>
      <c r="G263" s="33">
        <f>IF($A263="","",BDP($C263,"EQY_DVD_YLD_12M"))</f>
        <v/>
      </c>
      <c r="H263" s="33">
        <f>IF($A263="","",BDP($C263,"EQY_DVD_YLD_IND"))</f>
        <v/>
      </c>
      <c r="I263" s="33">
        <f>IF($A263="","",BDP($C263,'Field Check'!$C$4))</f>
        <v/>
      </c>
      <c r="J263" s="133">
        <f>IFERROR(IF($B263="","",IF(ISNUMBER($F263),$B263*$F263*$D$3/$B$3,0)),"")</f>
        <v/>
      </c>
      <c r="K263" s="133">
        <f>IFERROR(IF($J263="","",$J263*IF(ISNUMBER($I263),$I263,'Index Summary'!$C$7)/100),"")</f>
        <v/>
      </c>
      <c r="L263" s="133">
        <f>IFERROR(IF($K263="","",$J263-$K263),"")</f>
        <v/>
      </c>
      <c r="M263" s="34" t="n"/>
      <c r="N263" s="35">
        <f>IF($C263="","",IF(NOT(ISNUMBER($F263)),"No dividend",IF($F263=0,"No dividend",IF(ISNUMBER($I263),"OK","Frank assumed"))))</f>
        <v/>
      </c>
      <c r="P263" s="58">
        <f>IF($N263="No dividend","",IF($C263="","",BDP($C263,'Field Check'!$C$43)))</f>
        <v/>
      </c>
      <c r="Q263" s="132">
        <f>IFERROR(IF(LEN($P263)&lt;&gt;3,1,IF($P263=$D$2,1,BDP($P263&amp;$D$2&amp;" Curncy","PX_LAST"))),1)</f>
        <v/>
      </c>
    </row>
    <row r="264">
      <c r="A264" s="27" t="n"/>
      <c r="B264" s="80" t="n"/>
      <c r="C264" s="27">
        <f>IF($A264="","",$A264&amp;" Equity")</f>
        <v/>
      </c>
      <c r="D264" s="27">
        <f>IF($A264="","",BDP($C264,"NAME"))</f>
        <v/>
      </c>
      <c r="E264" s="27">
        <f>IF($A264="","",BDP($C264,"GICS_SECTOR_NAME"))</f>
        <v/>
      </c>
      <c r="F264" s="28">
        <f>IF($A264="","",BDP($C264,"EQY_DVD_SH_12M"))</f>
        <v/>
      </c>
      <c r="G264" s="29">
        <f>IF($A264="","",BDP($C264,"EQY_DVD_YLD_12M"))</f>
        <v/>
      </c>
      <c r="H264" s="29">
        <f>IF($A264="","",BDP($C264,"EQY_DVD_YLD_IND"))</f>
        <v/>
      </c>
      <c r="I264" s="29">
        <f>IF($A264="","",BDP($C264,'Field Check'!$C$4))</f>
        <v/>
      </c>
      <c r="J264" s="133">
        <f>IFERROR(IF($B264="","",IF(ISNUMBER($F264),$B264*$F264*$D$3/$B$3,0)),"")</f>
        <v/>
      </c>
      <c r="K264" s="133">
        <f>IFERROR(IF($J264="","",$J264*IF(ISNUMBER($I264),$I264,'Index Summary'!$C$7)/100),"")</f>
        <v/>
      </c>
      <c r="L264" s="133">
        <f>IFERROR(IF($K264="","",$J264-$K264),"")</f>
        <v/>
      </c>
      <c r="M264" s="30" t="n"/>
      <c r="N264" s="31">
        <f>IF($C264="","",IF(NOT(ISNUMBER($F264)),"No dividend",IF($F264=0,"No dividend",IF(ISNUMBER($I264),"OK","Frank assumed"))))</f>
        <v/>
      </c>
      <c r="P264" s="58">
        <f>IF($N264="No dividend","",IF($C264="","",BDP($C264,'Field Check'!$C$43)))</f>
        <v/>
      </c>
      <c r="Q264" s="132">
        <f>IFERROR(IF(LEN($P264)&lt;&gt;3,1,IF($P264=$D$2,1,BDP($P264&amp;$D$2&amp;" Curncy","PX_LAST"))),1)</f>
        <v/>
      </c>
    </row>
    <row r="265">
      <c r="A265" s="16" t="n"/>
      <c r="B265" s="80" t="n"/>
      <c r="C265" s="16">
        <f>IF($A265="","",$A265&amp;" Equity")</f>
        <v/>
      </c>
      <c r="D265" s="16">
        <f>IF($A265="","",BDP($C265,"NAME"))</f>
        <v/>
      </c>
      <c r="E265" s="16">
        <f>IF($A265="","",BDP($C265,"GICS_SECTOR_NAME"))</f>
        <v/>
      </c>
      <c r="F265" s="32">
        <f>IF($A265="","",BDP($C265,"EQY_DVD_SH_12M"))</f>
        <v/>
      </c>
      <c r="G265" s="33">
        <f>IF($A265="","",BDP($C265,"EQY_DVD_YLD_12M"))</f>
        <v/>
      </c>
      <c r="H265" s="33">
        <f>IF($A265="","",BDP($C265,"EQY_DVD_YLD_IND"))</f>
        <v/>
      </c>
      <c r="I265" s="33">
        <f>IF($A265="","",BDP($C265,'Field Check'!$C$4))</f>
        <v/>
      </c>
      <c r="J265" s="133">
        <f>IFERROR(IF($B265="","",IF(ISNUMBER($F265),$B265*$F265*$D$3/$B$3,0)),"")</f>
        <v/>
      </c>
      <c r="K265" s="133">
        <f>IFERROR(IF($J265="","",$J265*IF(ISNUMBER($I265),$I265,'Index Summary'!$C$7)/100),"")</f>
        <v/>
      </c>
      <c r="L265" s="133">
        <f>IFERROR(IF($K265="","",$J265-$K265),"")</f>
        <v/>
      </c>
      <c r="M265" s="34" t="n"/>
      <c r="N265" s="35">
        <f>IF($C265="","",IF(NOT(ISNUMBER($F265)),"No dividend",IF($F265=0,"No dividend",IF(ISNUMBER($I265),"OK","Frank assumed"))))</f>
        <v/>
      </c>
      <c r="P265" s="58">
        <f>IF($N265="No dividend","",IF($C265="","",BDP($C265,'Field Check'!$C$43)))</f>
        <v/>
      </c>
      <c r="Q265" s="132">
        <f>IFERROR(IF(LEN($P265)&lt;&gt;3,1,IF($P265=$D$2,1,BDP($P265&amp;$D$2&amp;" Curncy","PX_LAST"))),1)</f>
        <v/>
      </c>
    </row>
    <row r="266">
      <c r="A266" s="27" t="n"/>
      <c r="B266" s="80" t="n"/>
      <c r="C266" s="27">
        <f>IF($A266="","",$A266&amp;" Equity")</f>
        <v/>
      </c>
      <c r="D266" s="27">
        <f>IF($A266="","",BDP($C266,"NAME"))</f>
        <v/>
      </c>
      <c r="E266" s="27">
        <f>IF($A266="","",BDP($C266,"GICS_SECTOR_NAME"))</f>
        <v/>
      </c>
      <c r="F266" s="28">
        <f>IF($A266="","",BDP($C266,"EQY_DVD_SH_12M"))</f>
        <v/>
      </c>
      <c r="G266" s="29">
        <f>IF($A266="","",BDP($C266,"EQY_DVD_YLD_12M"))</f>
        <v/>
      </c>
      <c r="H266" s="29">
        <f>IF($A266="","",BDP($C266,"EQY_DVD_YLD_IND"))</f>
        <v/>
      </c>
      <c r="I266" s="29">
        <f>IF($A266="","",BDP($C266,'Field Check'!$C$4))</f>
        <v/>
      </c>
      <c r="J266" s="133">
        <f>IFERROR(IF($B266="","",IF(ISNUMBER($F266),$B266*$F266*$D$3/$B$3,0)),"")</f>
        <v/>
      </c>
      <c r="K266" s="133">
        <f>IFERROR(IF($J266="","",$J266*IF(ISNUMBER($I266),$I266,'Index Summary'!$C$7)/100),"")</f>
        <v/>
      </c>
      <c r="L266" s="133">
        <f>IFERROR(IF($K266="","",$J266-$K266),"")</f>
        <v/>
      </c>
      <c r="M266" s="30" t="n"/>
      <c r="N266" s="31">
        <f>IF($C266="","",IF(NOT(ISNUMBER($F266)),"No dividend",IF($F266=0,"No dividend",IF(ISNUMBER($I266),"OK","Frank assumed"))))</f>
        <v/>
      </c>
      <c r="P266" s="58">
        <f>IF($N266="No dividend","",IF($C266="","",BDP($C266,'Field Check'!$C$43)))</f>
        <v/>
      </c>
      <c r="Q266" s="132">
        <f>IFERROR(IF(LEN($P266)&lt;&gt;3,1,IF($P266=$D$2,1,BDP($P266&amp;$D$2&amp;" Curncy","PX_LAST"))),1)</f>
        <v/>
      </c>
    </row>
    <row r="267">
      <c r="A267" s="16" t="n"/>
      <c r="B267" s="80" t="n"/>
      <c r="C267" s="16">
        <f>IF($A267="","",$A267&amp;" Equity")</f>
        <v/>
      </c>
      <c r="D267" s="16">
        <f>IF($A267="","",BDP($C267,"NAME"))</f>
        <v/>
      </c>
      <c r="E267" s="16">
        <f>IF($A267="","",BDP($C267,"GICS_SECTOR_NAME"))</f>
        <v/>
      </c>
      <c r="F267" s="32">
        <f>IF($A267="","",BDP($C267,"EQY_DVD_SH_12M"))</f>
        <v/>
      </c>
      <c r="G267" s="33">
        <f>IF($A267="","",BDP($C267,"EQY_DVD_YLD_12M"))</f>
        <v/>
      </c>
      <c r="H267" s="33">
        <f>IF($A267="","",BDP($C267,"EQY_DVD_YLD_IND"))</f>
        <v/>
      </c>
      <c r="I267" s="33">
        <f>IF($A267="","",BDP($C267,'Field Check'!$C$4))</f>
        <v/>
      </c>
      <c r="J267" s="133">
        <f>IFERROR(IF($B267="","",IF(ISNUMBER($F267),$B267*$F267*$D$3/$B$3,0)),"")</f>
        <v/>
      </c>
      <c r="K267" s="133">
        <f>IFERROR(IF($J267="","",$J267*IF(ISNUMBER($I267),$I267,'Index Summary'!$C$7)/100),"")</f>
        <v/>
      </c>
      <c r="L267" s="133">
        <f>IFERROR(IF($K267="","",$J267-$K267),"")</f>
        <v/>
      </c>
      <c r="M267" s="34" t="n"/>
      <c r="N267" s="35">
        <f>IF($C267="","",IF(NOT(ISNUMBER($F267)),"No dividend",IF($F267=0,"No dividend",IF(ISNUMBER($I267),"OK","Frank assumed"))))</f>
        <v/>
      </c>
      <c r="P267" s="58">
        <f>IF($N267="No dividend","",IF($C267="","",BDP($C267,'Field Check'!$C$43)))</f>
        <v/>
      </c>
      <c r="Q267" s="132">
        <f>IFERROR(IF(LEN($P267)&lt;&gt;3,1,IF($P267=$D$2,1,BDP($P267&amp;$D$2&amp;" Curncy","PX_LAST"))),1)</f>
        <v/>
      </c>
    </row>
    <row r="268">
      <c r="A268" s="27" t="n"/>
      <c r="B268" s="80" t="n"/>
      <c r="C268" s="27">
        <f>IF($A268="","",$A268&amp;" Equity")</f>
        <v/>
      </c>
      <c r="D268" s="27">
        <f>IF($A268="","",BDP($C268,"NAME"))</f>
        <v/>
      </c>
      <c r="E268" s="27">
        <f>IF($A268="","",BDP($C268,"GICS_SECTOR_NAME"))</f>
        <v/>
      </c>
      <c r="F268" s="28">
        <f>IF($A268="","",BDP($C268,"EQY_DVD_SH_12M"))</f>
        <v/>
      </c>
      <c r="G268" s="29">
        <f>IF($A268="","",BDP($C268,"EQY_DVD_YLD_12M"))</f>
        <v/>
      </c>
      <c r="H268" s="29">
        <f>IF($A268="","",BDP($C268,"EQY_DVD_YLD_IND"))</f>
        <v/>
      </c>
      <c r="I268" s="29">
        <f>IF($A268="","",BDP($C268,'Field Check'!$C$4))</f>
        <v/>
      </c>
      <c r="J268" s="133">
        <f>IFERROR(IF($B268="","",IF(ISNUMBER($F268),$B268*$F268*$D$3/$B$3,0)),"")</f>
        <v/>
      </c>
      <c r="K268" s="133">
        <f>IFERROR(IF($J268="","",$J268*IF(ISNUMBER($I268),$I268,'Index Summary'!$C$7)/100),"")</f>
        <v/>
      </c>
      <c r="L268" s="133">
        <f>IFERROR(IF($K268="","",$J268-$K268),"")</f>
        <v/>
      </c>
      <c r="M268" s="30" t="n"/>
      <c r="N268" s="31">
        <f>IF($C268="","",IF(NOT(ISNUMBER($F268)),"No dividend",IF($F268=0,"No dividend",IF(ISNUMBER($I268),"OK","Frank assumed"))))</f>
        <v/>
      </c>
      <c r="P268" s="58">
        <f>IF($N268="No dividend","",IF($C268="","",BDP($C268,'Field Check'!$C$43)))</f>
        <v/>
      </c>
      <c r="Q268" s="132">
        <f>IFERROR(IF(LEN($P268)&lt;&gt;3,1,IF($P268=$D$2,1,BDP($P268&amp;$D$2&amp;" Curncy","PX_LAST"))),1)</f>
        <v/>
      </c>
    </row>
    <row r="269">
      <c r="A269" s="16" t="n"/>
      <c r="B269" s="80" t="n"/>
      <c r="C269" s="16">
        <f>IF($A269="","",$A269&amp;" Equity")</f>
        <v/>
      </c>
      <c r="D269" s="16">
        <f>IF($A269="","",BDP($C269,"NAME"))</f>
        <v/>
      </c>
      <c r="E269" s="16">
        <f>IF($A269="","",BDP($C269,"GICS_SECTOR_NAME"))</f>
        <v/>
      </c>
      <c r="F269" s="32">
        <f>IF($A269="","",BDP($C269,"EQY_DVD_SH_12M"))</f>
        <v/>
      </c>
      <c r="G269" s="33">
        <f>IF($A269="","",BDP($C269,"EQY_DVD_YLD_12M"))</f>
        <v/>
      </c>
      <c r="H269" s="33">
        <f>IF($A269="","",BDP($C269,"EQY_DVD_YLD_IND"))</f>
        <v/>
      </c>
      <c r="I269" s="33">
        <f>IF($A269="","",BDP($C269,'Field Check'!$C$4))</f>
        <v/>
      </c>
      <c r="J269" s="133">
        <f>IFERROR(IF($B269="","",IF(ISNUMBER($F269),$B269*$F269*$D$3/$B$3,0)),"")</f>
        <v/>
      </c>
      <c r="K269" s="133">
        <f>IFERROR(IF($J269="","",$J269*IF(ISNUMBER($I269),$I269,'Index Summary'!$C$7)/100),"")</f>
        <v/>
      </c>
      <c r="L269" s="133">
        <f>IFERROR(IF($K269="","",$J269-$K269),"")</f>
        <v/>
      </c>
      <c r="M269" s="34" t="n"/>
      <c r="N269" s="35">
        <f>IF($C269="","",IF(NOT(ISNUMBER($F269)),"No dividend",IF($F269=0,"No dividend",IF(ISNUMBER($I269),"OK","Frank assumed"))))</f>
        <v/>
      </c>
      <c r="P269" s="58">
        <f>IF($N269="No dividend","",IF($C269="","",BDP($C269,'Field Check'!$C$43)))</f>
        <v/>
      </c>
      <c r="Q269" s="132">
        <f>IFERROR(IF(LEN($P269)&lt;&gt;3,1,IF($P269=$D$2,1,BDP($P269&amp;$D$2&amp;" Curncy","PX_LAST"))),1)</f>
        <v/>
      </c>
    </row>
    <row r="270">
      <c r="A270" s="27" t="n"/>
      <c r="B270" s="80" t="n"/>
      <c r="C270" s="27">
        <f>IF($A270="","",$A270&amp;" Equity")</f>
        <v/>
      </c>
      <c r="D270" s="27">
        <f>IF($A270="","",BDP($C270,"NAME"))</f>
        <v/>
      </c>
      <c r="E270" s="27">
        <f>IF($A270="","",BDP($C270,"GICS_SECTOR_NAME"))</f>
        <v/>
      </c>
      <c r="F270" s="28">
        <f>IF($A270="","",BDP($C270,"EQY_DVD_SH_12M"))</f>
        <v/>
      </c>
      <c r="G270" s="29">
        <f>IF($A270="","",BDP($C270,"EQY_DVD_YLD_12M"))</f>
        <v/>
      </c>
      <c r="H270" s="29">
        <f>IF($A270="","",BDP($C270,"EQY_DVD_YLD_IND"))</f>
        <v/>
      </c>
      <c r="I270" s="29">
        <f>IF($A270="","",BDP($C270,'Field Check'!$C$4))</f>
        <v/>
      </c>
      <c r="J270" s="133">
        <f>IFERROR(IF($B270="","",IF(ISNUMBER($F270),$B270*$F270*$D$3/$B$3,0)),"")</f>
        <v/>
      </c>
      <c r="K270" s="133">
        <f>IFERROR(IF($J270="","",$J270*IF(ISNUMBER($I270),$I270,'Index Summary'!$C$7)/100),"")</f>
        <v/>
      </c>
      <c r="L270" s="133">
        <f>IFERROR(IF($K270="","",$J270-$K270),"")</f>
        <v/>
      </c>
      <c r="M270" s="30" t="n"/>
      <c r="N270" s="31">
        <f>IF($C270="","",IF(NOT(ISNUMBER($F270)),"No dividend",IF($F270=0,"No dividend",IF(ISNUMBER($I270),"OK","Frank assumed"))))</f>
        <v/>
      </c>
      <c r="P270" s="58">
        <f>IF($N270="No dividend","",IF($C270="","",BDP($C270,'Field Check'!$C$43)))</f>
        <v/>
      </c>
      <c r="Q270" s="132">
        <f>IFERROR(IF(LEN($P270)&lt;&gt;3,1,IF($P270=$D$2,1,BDP($P270&amp;$D$2&amp;" Curncy","PX_LAST"))),1)</f>
        <v/>
      </c>
    </row>
    <row r="271">
      <c r="A271" s="16" t="n"/>
      <c r="B271" s="80" t="n"/>
      <c r="C271" s="16">
        <f>IF($A271="","",$A271&amp;" Equity")</f>
        <v/>
      </c>
      <c r="D271" s="16">
        <f>IF($A271="","",BDP($C271,"NAME"))</f>
        <v/>
      </c>
      <c r="E271" s="16">
        <f>IF($A271="","",BDP($C271,"GICS_SECTOR_NAME"))</f>
        <v/>
      </c>
      <c r="F271" s="32">
        <f>IF($A271="","",BDP($C271,"EQY_DVD_SH_12M"))</f>
        <v/>
      </c>
      <c r="G271" s="33">
        <f>IF($A271="","",BDP($C271,"EQY_DVD_YLD_12M"))</f>
        <v/>
      </c>
      <c r="H271" s="33">
        <f>IF($A271="","",BDP($C271,"EQY_DVD_YLD_IND"))</f>
        <v/>
      </c>
      <c r="I271" s="33">
        <f>IF($A271="","",BDP($C271,'Field Check'!$C$4))</f>
        <v/>
      </c>
      <c r="J271" s="133">
        <f>IFERROR(IF($B271="","",IF(ISNUMBER($F271),$B271*$F271*$D$3/$B$3,0)),"")</f>
        <v/>
      </c>
      <c r="K271" s="133">
        <f>IFERROR(IF($J271="","",$J271*IF(ISNUMBER($I271),$I271,'Index Summary'!$C$7)/100),"")</f>
        <v/>
      </c>
      <c r="L271" s="133">
        <f>IFERROR(IF($K271="","",$J271-$K271),"")</f>
        <v/>
      </c>
      <c r="M271" s="34" t="n"/>
      <c r="N271" s="35">
        <f>IF($C271="","",IF(NOT(ISNUMBER($F271)),"No dividend",IF($F271=0,"No dividend",IF(ISNUMBER($I271),"OK","Frank assumed"))))</f>
        <v/>
      </c>
      <c r="P271" s="58">
        <f>IF($N271="No dividend","",IF($C271="","",BDP($C271,'Field Check'!$C$43)))</f>
        <v/>
      </c>
      <c r="Q271" s="132">
        <f>IFERROR(IF(LEN($P271)&lt;&gt;3,1,IF($P271=$D$2,1,BDP($P271&amp;$D$2&amp;" Curncy","PX_LAST"))),1)</f>
        <v/>
      </c>
    </row>
    <row r="272">
      <c r="A272" s="27" t="n"/>
      <c r="B272" s="80" t="n"/>
      <c r="C272" s="27">
        <f>IF($A272="","",$A272&amp;" Equity")</f>
        <v/>
      </c>
      <c r="D272" s="27">
        <f>IF($A272="","",BDP($C272,"NAME"))</f>
        <v/>
      </c>
      <c r="E272" s="27">
        <f>IF($A272="","",BDP($C272,"GICS_SECTOR_NAME"))</f>
        <v/>
      </c>
      <c r="F272" s="28">
        <f>IF($A272="","",BDP($C272,"EQY_DVD_SH_12M"))</f>
        <v/>
      </c>
      <c r="G272" s="29">
        <f>IF($A272="","",BDP($C272,"EQY_DVD_YLD_12M"))</f>
        <v/>
      </c>
      <c r="H272" s="29">
        <f>IF($A272="","",BDP($C272,"EQY_DVD_YLD_IND"))</f>
        <v/>
      </c>
      <c r="I272" s="29">
        <f>IF($A272="","",BDP($C272,'Field Check'!$C$4))</f>
        <v/>
      </c>
      <c r="J272" s="133">
        <f>IFERROR(IF($B272="","",IF(ISNUMBER($F272),$B272*$F272*$D$3/$B$3,0)),"")</f>
        <v/>
      </c>
      <c r="K272" s="133">
        <f>IFERROR(IF($J272="","",$J272*IF(ISNUMBER($I272),$I272,'Index Summary'!$C$7)/100),"")</f>
        <v/>
      </c>
      <c r="L272" s="133">
        <f>IFERROR(IF($K272="","",$J272-$K272),"")</f>
        <v/>
      </c>
      <c r="M272" s="30" t="n"/>
      <c r="N272" s="31">
        <f>IF($C272="","",IF(NOT(ISNUMBER($F272)),"No dividend",IF($F272=0,"No dividend",IF(ISNUMBER($I272),"OK","Frank assumed"))))</f>
        <v/>
      </c>
      <c r="P272" s="58">
        <f>IF($N272="No dividend","",IF($C272="","",BDP($C272,'Field Check'!$C$43)))</f>
        <v/>
      </c>
      <c r="Q272" s="132">
        <f>IFERROR(IF(LEN($P272)&lt;&gt;3,1,IF($P272=$D$2,1,BDP($P272&amp;$D$2&amp;" Curncy","PX_LAST"))),1)</f>
        <v/>
      </c>
    </row>
    <row r="273">
      <c r="A273" s="16" t="n"/>
      <c r="B273" s="80" t="n"/>
      <c r="C273" s="16">
        <f>IF($A273="","",$A273&amp;" Equity")</f>
        <v/>
      </c>
      <c r="D273" s="16">
        <f>IF($A273="","",BDP($C273,"NAME"))</f>
        <v/>
      </c>
      <c r="E273" s="16">
        <f>IF($A273="","",BDP($C273,"GICS_SECTOR_NAME"))</f>
        <v/>
      </c>
      <c r="F273" s="32">
        <f>IF($A273="","",BDP($C273,"EQY_DVD_SH_12M"))</f>
        <v/>
      </c>
      <c r="G273" s="33">
        <f>IF($A273="","",BDP($C273,"EQY_DVD_YLD_12M"))</f>
        <v/>
      </c>
      <c r="H273" s="33">
        <f>IF($A273="","",BDP($C273,"EQY_DVD_YLD_IND"))</f>
        <v/>
      </c>
      <c r="I273" s="33">
        <f>IF($A273="","",BDP($C273,'Field Check'!$C$4))</f>
        <v/>
      </c>
      <c r="J273" s="133">
        <f>IFERROR(IF($B273="","",IF(ISNUMBER($F273),$B273*$F273*$D$3/$B$3,0)),"")</f>
        <v/>
      </c>
      <c r="K273" s="133">
        <f>IFERROR(IF($J273="","",$J273*IF(ISNUMBER($I273),$I273,'Index Summary'!$C$7)/100),"")</f>
        <v/>
      </c>
      <c r="L273" s="133">
        <f>IFERROR(IF($K273="","",$J273-$K273),"")</f>
        <v/>
      </c>
      <c r="M273" s="34" t="n"/>
      <c r="N273" s="35">
        <f>IF($C273="","",IF(NOT(ISNUMBER($F273)),"No dividend",IF($F273=0,"No dividend",IF(ISNUMBER($I273),"OK","Frank assumed"))))</f>
        <v/>
      </c>
      <c r="P273" s="58">
        <f>IF($N273="No dividend","",IF($C273="","",BDP($C273,'Field Check'!$C$43)))</f>
        <v/>
      </c>
      <c r="Q273" s="132">
        <f>IFERROR(IF(LEN($P273)&lt;&gt;3,1,IF($P273=$D$2,1,BDP($P273&amp;$D$2&amp;" Curncy","PX_LAST"))),1)</f>
        <v/>
      </c>
    </row>
    <row r="274">
      <c r="A274" s="27" t="n"/>
      <c r="B274" s="80" t="n"/>
      <c r="C274" s="27">
        <f>IF($A274="","",$A274&amp;" Equity")</f>
        <v/>
      </c>
      <c r="D274" s="27">
        <f>IF($A274="","",BDP($C274,"NAME"))</f>
        <v/>
      </c>
      <c r="E274" s="27">
        <f>IF($A274="","",BDP($C274,"GICS_SECTOR_NAME"))</f>
        <v/>
      </c>
      <c r="F274" s="28">
        <f>IF($A274="","",BDP($C274,"EQY_DVD_SH_12M"))</f>
        <v/>
      </c>
      <c r="G274" s="29">
        <f>IF($A274="","",BDP($C274,"EQY_DVD_YLD_12M"))</f>
        <v/>
      </c>
      <c r="H274" s="29">
        <f>IF($A274="","",BDP($C274,"EQY_DVD_YLD_IND"))</f>
        <v/>
      </c>
      <c r="I274" s="29">
        <f>IF($A274="","",BDP($C274,'Field Check'!$C$4))</f>
        <v/>
      </c>
      <c r="J274" s="133">
        <f>IFERROR(IF($B274="","",IF(ISNUMBER($F274),$B274*$F274*$D$3/$B$3,0)),"")</f>
        <v/>
      </c>
      <c r="K274" s="133">
        <f>IFERROR(IF($J274="","",$J274*IF(ISNUMBER($I274),$I274,'Index Summary'!$C$7)/100),"")</f>
        <v/>
      </c>
      <c r="L274" s="133">
        <f>IFERROR(IF($K274="","",$J274-$K274),"")</f>
        <v/>
      </c>
      <c r="M274" s="30" t="n"/>
      <c r="N274" s="31">
        <f>IF($C274="","",IF(NOT(ISNUMBER($F274)),"No dividend",IF($F274=0,"No dividend",IF(ISNUMBER($I274),"OK","Frank assumed"))))</f>
        <v/>
      </c>
      <c r="P274" s="58">
        <f>IF($N274="No dividend","",IF($C274="","",BDP($C274,'Field Check'!$C$43)))</f>
        <v/>
      </c>
      <c r="Q274" s="132">
        <f>IFERROR(IF(LEN($P274)&lt;&gt;3,1,IF($P274=$D$2,1,BDP($P274&amp;$D$2&amp;" Curncy","PX_LAST"))),1)</f>
        <v/>
      </c>
    </row>
    <row r="275">
      <c r="A275" s="16" t="n"/>
      <c r="B275" s="80" t="n"/>
      <c r="C275" s="16">
        <f>IF($A275="","",$A275&amp;" Equity")</f>
        <v/>
      </c>
      <c r="D275" s="16">
        <f>IF($A275="","",BDP($C275,"NAME"))</f>
        <v/>
      </c>
      <c r="E275" s="16">
        <f>IF($A275="","",BDP($C275,"GICS_SECTOR_NAME"))</f>
        <v/>
      </c>
      <c r="F275" s="32">
        <f>IF($A275="","",BDP($C275,"EQY_DVD_SH_12M"))</f>
        <v/>
      </c>
      <c r="G275" s="33">
        <f>IF($A275="","",BDP($C275,"EQY_DVD_YLD_12M"))</f>
        <v/>
      </c>
      <c r="H275" s="33">
        <f>IF($A275="","",BDP($C275,"EQY_DVD_YLD_IND"))</f>
        <v/>
      </c>
      <c r="I275" s="33">
        <f>IF($A275="","",BDP($C275,'Field Check'!$C$4))</f>
        <v/>
      </c>
      <c r="J275" s="133">
        <f>IFERROR(IF($B275="","",IF(ISNUMBER($F275),$B275*$F275*$D$3/$B$3,0)),"")</f>
        <v/>
      </c>
      <c r="K275" s="133">
        <f>IFERROR(IF($J275="","",$J275*IF(ISNUMBER($I275),$I275,'Index Summary'!$C$7)/100),"")</f>
        <v/>
      </c>
      <c r="L275" s="133">
        <f>IFERROR(IF($K275="","",$J275-$K275),"")</f>
        <v/>
      </c>
      <c r="M275" s="34" t="n"/>
      <c r="N275" s="35">
        <f>IF($C275="","",IF(NOT(ISNUMBER($F275)),"No dividend",IF($F275=0,"No dividend",IF(ISNUMBER($I275),"OK","Frank assumed"))))</f>
        <v/>
      </c>
      <c r="P275" s="58">
        <f>IF($N275="No dividend","",IF($C275="","",BDP($C275,'Field Check'!$C$43)))</f>
        <v/>
      </c>
      <c r="Q275" s="132">
        <f>IFERROR(IF(LEN($P275)&lt;&gt;3,1,IF($P275=$D$2,1,BDP($P275&amp;$D$2&amp;" Curncy","PX_LAST"))),1)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</cols>
  <sheetData>
    <row r="1">
      <c r="A1" s="1" t="inlineStr">
        <is>
          <t>MSCI Australia (MXAU) - MEMBERS, DIVIDENDS &amp; FRANKING</t>
        </is>
      </c>
    </row>
    <row r="2">
      <c r="A2" s="3" t="inlineStr">
        <is>
          <t>Index ticker</t>
        </is>
      </c>
      <c r="B2" s="10" t="inlineStr">
        <is>
          <t>MXAU Index</t>
        </is>
      </c>
      <c r="C2" s="3" t="inlineStr">
        <is>
          <t>Index ccy</t>
        </is>
      </c>
      <c r="D2" s="76" t="inlineStr">
        <is>
          <t>USD</t>
        </is>
      </c>
      <c r="E2" s="3" t="inlineStr">
        <is>
          <t>Members returned</t>
        </is>
      </c>
      <c r="H2" s="22">
        <f>SUMPRODUCT(($A$6:$A$175&lt;&gt;"")*1)</f>
        <v/>
      </c>
      <c r="J2" s="3" t="inlineStr">
        <is>
          <t>No dividend</t>
        </is>
      </c>
      <c r="L2" s="22">
        <f>COUNTIF($N$6:$N$175,"No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7" t="n"/>
      <c r="C3" s="3" t="inlineStr">
        <is>
          <t>AUD -&gt; index ccy</t>
        </is>
      </c>
      <c r="D3" s="132">
        <f>IF($D$2="AUD",1,BDP("AUD"&amp;$D$2&amp;" Curncy","PX_LAST"))</f>
        <v/>
      </c>
      <c r="E3" s="3" t="inlineStr">
        <is>
          <t>Dividend payers</t>
        </is>
      </c>
      <c r="H3" s="22">
        <f>COUNTIF($N$6:$N$175,"OK")+COUNTIF($N$6:$N$175,"Frank assumed")</f>
        <v/>
      </c>
      <c r="J3" s="3" t="inlineStr">
        <is>
          <t>Frank assumed</t>
        </is>
      </c>
      <c r="L3" s="22">
        <f>COUNTIF($N$6:$N$175,"Frank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IFERROR(SUM($J$6:$J$175),"")</f>
        <v/>
      </c>
      <c r="K4" s="65">
        <f>IFERROR(SUM($K$6:$K$175),"")</f>
        <v/>
      </c>
      <c r="L4" s="65">
        <f>IFERROR(SUM($L$6:$L$175),"")</f>
        <v/>
      </c>
      <c r="M4" s="24" t="n"/>
      <c r="N4" s="79">
        <f>IFERROR(SUMIF($N$6:$N$175,"OK",$J$6:$J$175)/$J$4,"")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</row>
    <row r="6">
      <c r="A6" s="16">
        <f>BDS($B$2,"INDX_MEMBERS")</f>
        <v/>
      </c>
      <c r="B6" s="80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33">
        <f>IFERROR(IF($B6="","",IF(ISNUMBER($F6),$B6*$F6*$D$3/$B$3,0)),"")</f>
        <v/>
      </c>
      <c r="K6" s="133">
        <f>IFERROR(IF($J6="","",$J6*IF(ISNUMBER($I6),$I6,'Index Summary'!$C$7)/100),"")</f>
        <v/>
      </c>
      <c r="L6" s="133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132">
        <f>IFERROR(IF(LEN($P6)&lt;&gt;3,1,IF($P6=$D$2,1,BDP($P6&amp;$D$2&amp;" Curncy","PX_LAST"))),1)</f>
        <v/>
      </c>
    </row>
    <row r="7">
      <c r="A7" s="16" t="n"/>
      <c r="B7" s="80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33">
        <f>IFERROR(IF($B7="","",IF(ISNUMBER($F7),$B7*$F7*$D$3/$B$3,0)),"")</f>
        <v/>
      </c>
      <c r="K7" s="133">
        <f>IFERROR(IF($J7="","",$J7*IF(ISNUMBER($I7),$I7,'Index Summary'!$C$7)/100),"")</f>
        <v/>
      </c>
      <c r="L7" s="133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132">
        <f>IFERROR(IF(LEN($P7)&lt;&gt;3,1,IF($P7=$D$2,1,BDP($P7&amp;$D$2&amp;" Curncy","PX_LAST"))),1)</f>
        <v/>
      </c>
    </row>
    <row r="8">
      <c r="A8" s="27" t="n"/>
      <c r="B8" s="80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33">
        <f>IFERROR(IF($B8="","",IF(ISNUMBER($F8),$B8*$F8*$D$3/$B$3,0)),"")</f>
        <v/>
      </c>
      <c r="K8" s="133">
        <f>IFERROR(IF($J8="","",$J8*IF(ISNUMBER($I8),$I8,'Index Summary'!$C$7)/100),"")</f>
        <v/>
      </c>
      <c r="L8" s="133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132">
        <f>IFERROR(IF(LEN($P8)&lt;&gt;3,1,IF($P8=$D$2,1,BDP($P8&amp;$D$2&amp;" Curncy","PX_LAST"))),1)</f>
        <v/>
      </c>
    </row>
    <row r="9">
      <c r="A9" s="16" t="n"/>
      <c r="B9" s="80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33">
        <f>IFERROR(IF($B9="","",IF(ISNUMBER($F9),$B9*$F9*$D$3/$B$3,0)),"")</f>
        <v/>
      </c>
      <c r="K9" s="133">
        <f>IFERROR(IF($J9="","",$J9*IF(ISNUMBER($I9),$I9,'Index Summary'!$C$7)/100),"")</f>
        <v/>
      </c>
      <c r="L9" s="133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132">
        <f>IFERROR(IF(LEN($P9)&lt;&gt;3,1,IF($P9=$D$2,1,BDP($P9&amp;$D$2&amp;" Curncy","PX_LAST"))),1)</f>
        <v/>
      </c>
    </row>
    <row r="10">
      <c r="A10" s="27" t="n"/>
      <c r="B10" s="80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33">
        <f>IFERROR(IF($B10="","",IF(ISNUMBER($F10),$B10*$F10*$D$3/$B$3,0)),"")</f>
        <v/>
      </c>
      <c r="K10" s="133">
        <f>IFERROR(IF($J10="","",$J10*IF(ISNUMBER($I10),$I10,'Index Summary'!$C$7)/100),"")</f>
        <v/>
      </c>
      <c r="L10" s="133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132">
        <f>IFERROR(IF(LEN($P10)&lt;&gt;3,1,IF($P10=$D$2,1,BDP($P10&amp;$D$2&amp;" Curncy","PX_LAST"))),1)</f>
        <v/>
      </c>
    </row>
    <row r="11">
      <c r="A11" s="16" t="n"/>
      <c r="B11" s="80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33">
        <f>IFERROR(IF($B11="","",IF(ISNUMBER($F11),$B11*$F11*$D$3/$B$3,0)),"")</f>
        <v/>
      </c>
      <c r="K11" s="133">
        <f>IFERROR(IF($J11="","",$J11*IF(ISNUMBER($I11),$I11,'Index Summary'!$C$7)/100),"")</f>
        <v/>
      </c>
      <c r="L11" s="133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132">
        <f>IFERROR(IF(LEN($P11)&lt;&gt;3,1,IF($P11=$D$2,1,BDP($P11&amp;$D$2&amp;" Curncy","PX_LAST"))),1)</f>
        <v/>
      </c>
    </row>
    <row r="12">
      <c r="A12" s="27" t="n"/>
      <c r="B12" s="80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33">
        <f>IFERROR(IF($B12="","",IF(ISNUMBER($F12),$B12*$F12*$D$3/$B$3,0)),"")</f>
        <v/>
      </c>
      <c r="K12" s="133">
        <f>IFERROR(IF($J12="","",$J12*IF(ISNUMBER($I12),$I12,'Index Summary'!$C$7)/100),"")</f>
        <v/>
      </c>
      <c r="L12" s="133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132">
        <f>IFERROR(IF(LEN($P12)&lt;&gt;3,1,IF($P12=$D$2,1,BDP($P12&amp;$D$2&amp;" Curncy","PX_LAST"))),1)</f>
        <v/>
      </c>
    </row>
    <row r="13">
      <c r="A13" s="16" t="n"/>
      <c r="B13" s="80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33">
        <f>IFERROR(IF($B13="","",IF(ISNUMBER($F13),$B13*$F13*$D$3/$B$3,0)),"")</f>
        <v/>
      </c>
      <c r="K13" s="133">
        <f>IFERROR(IF($J13="","",$J13*IF(ISNUMBER($I13),$I13,'Index Summary'!$C$7)/100),"")</f>
        <v/>
      </c>
      <c r="L13" s="133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132">
        <f>IFERROR(IF(LEN($P13)&lt;&gt;3,1,IF($P13=$D$2,1,BDP($P13&amp;$D$2&amp;" Curncy","PX_LAST"))),1)</f>
        <v/>
      </c>
    </row>
    <row r="14">
      <c r="A14" s="27" t="n"/>
      <c r="B14" s="80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33">
        <f>IFERROR(IF($B14="","",IF(ISNUMBER($F14),$B14*$F14*$D$3/$B$3,0)),"")</f>
        <v/>
      </c>
      <c r="K14" s="133">
        <f>IFERROR(IF($J14="","",$J14*IF(ISNUMBER($I14),$I14,'Index Summary'!$C$7)/100),"")</f>
        <v/>
      </c>
      <c r="L14" s="133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132">
        <f>IFERROR(IF(LEN($P14)&lt;&gt;3,1,IF($P14=$D$2,1,BDP($P14&amp;$D$2&amp;" Curncy","PX_LAST"))),1)</f>
        <v/>
      </c>
    </row>
    <row r="15">
      <c r="A15" s="16" t="n"/>
      <c r="B15" s="80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33">
        <f>IFERROR(IF($B15="","",IF(ISNUMBER($F15),$B15*$F15*$D$3/$B$3,0)),"")</f>
        <v/>
      </c>
      <c r="K15" s="133">
        <f>IFERROR(IF($J15="","",$J15*IF(ISNUMBER($I15),$I15,'Index Summary'!$C$7)/100),"")</f>
        <v/>
      </c>
      <c r="L15" s="133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132">
        <f>IFERROR(IF(LEN($P15)&lt;&gt;3,1,IF($P15=$D$2,1,BDP($P15&amp;$D$2&amp;" Curncy","PX_LAST"))),1)</f>
        <v/>
      </c>
    </row>
    <row r="16">
      <c r="A16" s="27" t="n"/>
      <c r="B16" s="80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33">
        <f>IFERROR(IF($B16="","",IF(ISNUMBER($F16),$B16*$F16*$D$3/$B$3,0)),"")</f>
        <v/>
      </c>
      <c r="K16" s="133">
        <f>IFERROR(IF($J16="","",$J16*IF(ISNUMBER($I16),$I16,'Index Summary'!$C$7)/100),"")</f>
        <v/>
      </c>
      <c r="L16" s="133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132">
        <f>IFERROR(IF(LEN($P16)&lt;&gt;3,1,IF($P16=$D$2,1,BDP($P16&amp;$D$2&amp;" Curncy","PX_LAST"))),1)</f>
        <v/>
      </c>
    </row>
    <row r="17">
      <c r="A17" s="16" t="n"/>
      <c r="B17" s="80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33">
        <f>IFERROR(IF($B17="","",IF(ISNUMBER($F17),$B17*$F17*$D$3/$B$3,0)),"")</f>
        <v/>
      </c>
      <c r="K17" s="133">
        <f>IFERROR(IF($J17="","",$J17*IF(ISNUMBER($I17),$I17,'Index Summary'!$C$7)/100),"")</f>
        <v/>
      </c>
      <c r="L17" s="133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132">
        <f>IFERROR(IF(LEN($P17)&lt;&gt;3,1,IF($P17=$D$2,1,BDP($P17&amp;$D$2&amp;" Curncy","PX_LAST"))),1)</f>
        <v/>
      </c>
    </row>
    <row r="18">
      <c r="A18" s="27" t="n"/>
      <c r="B18" s="80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33">
        <f>IFERROR(IF($B18="","",IF(ISNUMBER($F18),$B18*$F18*$D$3/$B$3,0)),"")</f>
        <v/>
      </c>
      <c r="K18" s="133">
        <f>IFERROR(IF($J18="","",$J18*IF(ISNUMBER($I18),$I18,'Index Summary'!$C$7)/100),"")</f>
        <v/>
      </c>
      <c r="L18" s="133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132">
        <f>IFERROR(IF(LEN($P18)&lt;&gt;3,1,IF($P18=$D$2,1,BDP($P18&amp;$D$2&amp;" Curncy","PX_LAST"))),1)</f>
        <v/>
      </c>
    </row>
    <row r="19">
      <c r="A19" s="16" t="n"/>
      <c r="B19" s="80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33">
        <f>IFERROR(IF($B19="","",IF(ISNUMBER($F19),$B19*$F19*$D$3/$B$3,0)),"")</f>
        <v/>
      </c>
      <c r="K19" s="133">
        <f>IFERROR(IF($J19="","",$J19*IF(ISNUMBER($I19),$I19,'Index Summary'!$C$7)/100),"")</f>
        <v/>
      </c>
      <c r="L19" s="133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132">
        <f>IFERROR(IF(LEN($P19)&lt;&gt;3,1,IF($P19=$D$2,1,BDP($P19&amp;$D$2&amp;" Curncy","PX_LAST"))),1)</f>
        <v/>
      </c>
    </row>
    <row r="20">
      <c r="A20" s="27" t="n"/>
      <c r="B20" s="80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33">
        <f>IFERROR(IF($B20="","",IF(ISNUMBER($F20),$B20*$F20*$D$3/$B$3,0)),"")</f>
        <v/>
      </c>
      <c r="K20" s="133">
        <f>IFERROR(IF($J20="","",$J20*IF(ISNUMBER($I20),$I20,'Index Summary'!$C$7)/100),"")</f>
        <v/>
      </c>
      <c r="L20" s="133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132">
        <f>IFERROR(IF(LEN($P20)&lt;&gt;3,1,IF($P20=$D$2,1,BDP($P20&amp;$D$2&amp;" Curncy","PX_LAST"))),1)</f>
        <v/>
      </c>
    </row>
    <row r="21">
      <c r="A21" s="16" t="n"/>
      <c r="B21" s="80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33">
        <f>IFERROR(IF($B21="","",IF(ISNUMBER($F21),$B21*$F21*$D$3/$B$3,0)),"")</f>
        <v/>
      </c>
      <c r="K21" s="133">
        <f>IFERROR(IF($J21="","",$J21*IF(ISNUMBER($I21),$I21,'Index Summary'!$C$7)/100),"")</f>
        <v/>
      </c>
      <c r="L21" s="133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132">
        <f>IFERROR(IF(LEN($P21)&lt;&gt;3,1,IF($P21=$D$2,1,BDP($P21&amp;$D$2&amp;" Curncy","PX_LAST"))),1)</f>
        <v/>
      </c>
    </row>
    <row r="22">
      <c r="A22" s="27" t="n"/>
      <c r="B22" s="80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33">
        <f>IFERROR(IF($B22="","",IF(ISNUMBER($F22),$B22*$F22*$D$3/$B$3,0)),"")</f>
        <v/>
      </c>
      <c r="K22" s="133">
        <f>IFERROR(IF($J22="","",$J22*IF(ISNUMBER($I22),$I22,'Index Summary'!$C$7)/100),"")</f>
        <v/>
      </c>
      <c r="L22" s="133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132">
        <f>IFERROR(IF(LEN($P22)&lt;&gt;3,1,IF($P22=$D$2,1,BDP($P22&amp;$D$2&amp;" Curncy","PX_LAST"))),1)</f>
        <v/>
      </c>
    </row>
    <row r="23">
      <c r="A23" s="16" t="n"/>
      <c r="B23" s="80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33">
        <f>IFERROR(IF($B23="","",IF(ISNUMBER($F23),$B23*$F23*$D$3/$B$3,0)),"")</f>
        <v/>
      </c>
      <c r="K23" s="133">
        <f>IFERROR(IF($J23="","",$J23*IF(ISNUMBER($I23),$I23,'Index Summary'!$C$7)/100),"")</f>
        <v/>
      </c>
      <c r="L23" s="133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132">
        <f>IFERROR(IF(LEN($P23)&lt;&gt;3,1,IF($P23=$D$2,1,BDP($P23&amp;$D$2&amp;" Curncy","PX_LAST"))),1)</f>
        <v/>
      </c>
    </row>
    <row r="24">
      <c r="A24" s="27" t="n"/>
      <c r="B24" s="80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33">
        <f>IFERROR(IF($B24="","",IF(ISNUMBER($F24),$B24*$F24*$D$3/$B$3,0)),"")</f>
        <v/>
      </c>
      <c r="K24" s="133">
        <f>IFERROR(IF($J24="","",$J24*IF(ISNUMBER($I24),$I24,'Index Summary'!$C$7)/100),"")</f>
        <v/>
      </c>
      <c r="L24" s="133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132">
        <f>IFERROR(IF(LEN($P24)&lt;&gt;3,1,IF($P24=$D$2,1,BDP($P24&amp;$D$2&amp;" Curncy","PX_LAST"))),1)</f>
        <v/>
      </c>
    </row>
    <row r="25">
      <c r="A25" s="16" t="n"/>
      <c r="B25" s="80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33">
        <f>IFERROR(IF($B25="","",IF(ISNUMBER($F25),$B25*$F25*$D$3/$B$3,0)),"")</f>
        <v/>
      </c>
      <c r="K25" s="133">
        <f>IFERROR(IF($J25="","",$J25*IF(ISNUMBER($I25),$I25,'Index Summary'!$C$7)/100),"")</f>
        <v/>
      </c>
      <c r="L25" s="133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132">
        <f>IFERROR(IF(LEN($P25)&lt;&gt;3,1,IF($P25=$D$2,1,BDP($P25&amp;$D$2&amp;" Curncy","PX_LAST"))),1)</f>
        <v/>
      </c>
    </row>
    <row r="26">
      <c r="A26" s="27" t="n"/>
      <c r="B26" s="80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33">
        <f>IFERROR(IF($B26="","",IF(ISNUMBER($F26),$B26*$F26*$D$3/$B$3,0)),"")</f>
        <v/>
      </c>
      <c r="K26" s="133">
        <f>IFERROR(IF($J26="","",$J26*IF(ISNUMBER($I26),$I26,'Index Summary'!$C$7)/100),"")</f>
        <v/>
      </c>
      <c r="L26" s="133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132">
        <f>IFERROR(IF(LEN($P26)&lt;&gt;3,1,IF($P26=$D$2,1,BDP($P26&amp;$D$2&amp;" Curncy","PX_LAST"))),1)</f>
        <v/>
      </c>
    </row>
    <row r="27">
      <c r="A27" s="16" t="n"/>
      <c r="B27" s="80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33">
        <f>IFERROR(IF($B27="","",IF(ISNUMBER($F27),$B27*$F27*$D$3/$B$3,0)),"")</f>
        <v/>
      </c>
      <c r="K27" s="133">
        <f>IFERROR(IF($J27="","",$J27*IF(ISNUMBER($I27),$I27,'Index Summary'!$C$7)/100),"")</f>
        <v/>
      </c>
      <c r="L27" s="133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132">
        <f>IFERROR(IF(LEN($P27)&lt;&gt;3,1,IF($P27=$D$2,1,BDP($P27&amp;$D$2&amp;" Curncy","PX_LAST"))),1)</f>
        <v/>
      </c>
    </row>
    <row r="28">
      <c r="A28" s="27" t="n"/>
      <c r="B28" s="80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33">
        <f>IFERROR(IF($B28="","",IF(ISNUMBER($F28),$B28*$F28*$D$3/$B$3,0)),"")</f>
        <v/>
      </c>
      <c r="K28" s="133">
        <f>IFERROR(IF($J28="","",$J28*IF(ISNUMBER($I28),$I28,'Index Summary'!$C$7)/100),"")</f>
        <v/>
      </c>
      <c r="L28" s="133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132">
        <f>IFERROR(IF(LEN($P28)&lt;&gt;3,1,IF($P28=$D$2,1,BDP($P28&amp;$D$2&amp;" Curncy","PX_LAST"))),1)</f>
        <v/>
      </c>
    </row>
    <row r="29">
      <c r="A29" s="16" t="n"/>
      <c r="B29" s="80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33">
        <f>IFERROR(IF($B29="","",IF(ISNUMBER($F29),$B29*$F29*$D$3/$B$3,0)),"")</f>
        <v/>
      </c>
      <c r="K29" s="133">
        <f>IFERROR(IF($J29="","",$J29*IF(ISNUMBER($I29),$I29,'Index Summary'!$C$7)/100),"")</f>
        <v/>
      </c>
      <c r="L29" s="133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132">
        <f>IFERROR(IF(LEN($P29)&lt;&gt;3,1,IF($P29=$D$2,1,BDP($P29&amp;$D$2&amp;" Curncy","PX_LAST"))),1)</f>
        <v/>
      </c>
    </row>
    <row r="30">
      <c r="A30" s="27" t="n"/>
      <c r="B30" s="80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33">
        <f>IFERROR(IF($B30="","",IF(ISNUMBER($F30),$B30*$F30*$D$3/$B$3,0)),"")</f>
        <v/>
      </c>
      <c r="K30" s="133">
        <f>IFERROR(IF($J30="","",$J30*IF(ISNUMBER($I30),$I30,'Index Summary'!$C$7)/100),"")</f>
        <v/>
      </c>
      <c r="L30" s="133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132">
        <f>IFERROR(IF(LEN($P30)&lt;&gt;3,1,IF($P30=$D$2,1,BDP($P30&amp;$D$2&amp;" Curncy","PX_LAST"))),1)</f>
        <v/>
      </c>
    </row>
    <row r="31">
      <c r="A31" s="16" t="n"/>
      <c r="B31" s="80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33">
        <f>IFERROR(IF($B31="","",IF(ISNUMBER($F31),$B31*$F31*$D$3/$B$3,0)),"")</f>
        <v/>
      </c>
      <c r="K31" s="133">
        <f>IFERROR(IF($J31="","",$J31*IF(ISNUMBER($I31),$I31,'Index Summary'!$C$7)/100),"")</f>
        <v/>
      </c>
      <c r="L31" s="133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132">
        <f>IFERROR(IF(LEN($P31)&lt;&gt;3,1,IF($P31=$D$2,1,BDP($P31&amp;$D$2&amp;" Curncy","PX_LAST"))),1)</f>
        <v/>
      </c>
    </row>
    <row r="32">
      <c r="A32" s="27" t="n"/>
      <c r="B32" s="80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33">
        <f>IFERROR(IF($B32="","",IF(ISNUMBER($F32),$B32*$F32*$D$3/$B$3,0)),"")</f>
        <v/>
      </c>
      <c r="K32" s="133">
        <f>IFERROR(IF($J32="","",$J32*IF(ISNUMBER($I32),$I32,'Index Summary'!$C$7)/100),"")</f>
        <v/>
      </c>
      <c r="L32" s="133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132">
        <f>IFERROR(IF(LEN($P32)&lt;&gt;3,1,IF($P32=$D$2,1,BDP($P32&amp;$D$2&amp;" Curncy","PX_LAST"))),1)</f>
        <v/>
      </c>
    </row>
    <row r="33">
      <c r="A33" s="16" t="n"/>
      <c r="B33" s="80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33">
        <f>IFERROR(IF($B33="","",IF(ISNUMBER($F33),$B33*$F33*$D$3/$B$3,0)),"")</f>
        <v/>
      </c>
      <c r="K33" s="133">
        <f>IFERROR(IF($J33="","",$J33*IF(ISNUMBER($I33),$I33,'Index Summary'!$C$7)/100),"")</f>
        <v/>
      </c>
      <c r="L33" s="133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132">
        <f>IFERROR(IF(LEN($P33)&lt;&gt;3,1,IF($P33=$D$2,1,BDP($P33&amp;$D$2&amp;" Curncy","PX_LAST"))),1)</f>
        <v/>
      </c>
    </row>
    <row r="34">
      <c r="A34" s="27" t="n"/>
      <c r="B34" s="80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33">
        <f>IFERROR(IF($B34="","",IF(ISNUMBER($F34),$B34*$F34*$D$3/$B$3,0)),"")</f>
        <v/>
      </c>
      <c r="K34" s="133">
        <f>IFERROR(IF($J34="","",$J34*IF(ISNUMBER($I34),$I34,'Index Summary'!$C$7)/100),"")</f>
        <v/>
      </c>
      <c r="L34" s="133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132">
        <f>IFERROR(IF(LEN($P34)&lt;&gt;3,1,IF($P34=$D$2,1,BDP($P34&amp;$D$2&amp;" Curncy","PX_LAST"))),1)</f>
        <v/>
      </c>
    </row>
    <row r="35">
      <c r="A35" s="16" t="n"/>
      <c r="B35" s="80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33">
        <f>IFERROR(IF($B35="","",IF(ISNUMBER($F35),$B35*$F35*$D$3/$B$3,0)),"")</f>
        <v/>
      </c>
      <c r="K35" s="133">
        <f>IFERROR(IF($J35="","",$J35*IF(ISNUMBER($I35),$I35,'Index Summary'!$C$7)/100),"")</f>
        <v/>
      </c>
      <c r="L35" s="133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132">
        <f>IFERROR(IF(LEN($P35)&lt;&gt;3,1,IF($P35=$D$2,1,BDP($P35&amp;$D$2&amp;" Curncy","PX_LAST"))),1)</f>
        <v/>
      </c>
    </row>
    <row r="36">
      <c r="A36" s="27" t="n"/>
      <c r="B36" s="80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33">
        <f>IFERROR(IF($B36="","",IF(ISNUMBER($F36),$B36*$F36*$D$3/$B$3,0)),"")</f>
        <v/>
      </c>
      <c r="K36" s="133">
        <f>IFERROR(IF($J36="","",$J36*IF(ISNUMBER($I36),$I36,'Index Summary'!$C$7)/100),"")</f>
        <v/>
      </c>
      <c r="L36" s="133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132">
        <f>IFERROR(IF(LEN($P36)&lt;&gt;3,1,IF($P36=$D$2,1,BDP($P36&amp;$D$2&amp;" Curncy","PX_LAST"))),1)</f>
        <v/>
      </c>
    </row>
    <row r="37">
      <c r="A37" s="16" t="n"/>
      <c r="B37" s="80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33">
        <f>IFERROR(IF($B37="","",IF(ISNUMBER($F37),$B37*$F37*$D$3/$B$3,0)),"")</f>
        <v/>
      </c>
      <c r="K37" s="133">
        <f>IFERROR(IF($J37="","",$J37*IF(ISNUMBER($I37),$I37,'Index Summary'!$C$7)/100),"")</f>
        <v/>
      </c>
      <c r="L37" s="133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132">
        <f>IFERROR(IF(LEN($P37)&lt;&gt;3,1,IF($P37=$D$2,1,BDP($P37&amp;$D$2&amp;" Curncy","PX_LAST"))),1)</f>
        <v/>
      </c>
    </row>
    <row r="38">
      <c r="A38" s="27" t="n"/>
      <c r="B38" s="80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33">
        <f>IFERROR(IF($B38="","",IF(ISNUMBER($F38),$B38*$F38*$D$3/$B$3,0)),"")</f>
        <v/>
      </c>
      <c r="K38" s="133">
        <f>IFERROR(IF($J38="","",$J38*IF(ISNUMBER($I38),$I38,'Index Summary'!$C$7)/100),"")</f>
        <v/>
      </c>
      <c r="L38" s="133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132">
        <f>IFERROR(IF(LEN($P38)&lt;&gt;3,1,IF($P38=$D$2,1,BDP($P38&amp;$D$2&amp;" Curncy","PX_LAST"))),1)</f>
        <v/>
      </c>
    </row>
    <row r="39">
      <c r="A39" s="16" t="n"/>
      <c r="B39" s="80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33">
        <f>IFERROR(IF($B39="","",IF(ISNUMBER($F39),$B39*$F39*$D$3/$B$3,0)),"")</f>
        <v/>
      </c>
      <c r="K39" s="133">
        <f>IFERROR(IF($J39="","",$J39*IF(ISNUMBER($I39),$I39,'Index Summary'!$C$7)/100),"")</f>
        <v/>
      </c>
      <c r="L39" s="133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132">
        <f>IFERROR(IF(LEN($P39)&lt;&gt;3,1,IF($P39=$D$2,1,BDP($P39&amp;$D$2&amp;" Curncy","PX_LAST"))),1)</f>
        <v/>
      </c>
    </row>
    <row r="40">
      <c r="A40" s="27" t="n"/>
      <c r="B40" s="80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33">
        <f>IFERROR(IF($B40="","",IF(ISNUMBER($F40),$B40*$F40*$D$3/$B$3,0)),"")</f>
        <v/>
      </c>
      <c r="K40" s="133">
        <f>IFERROR(IF($J40="","",$J40*IF(ISNUMBER($I40),$I40,'Index Summary'!$C$7)/100),"")</f>
        <v/>
      </c>
      <c r="L40" s="133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132">
        <f>IFERROR(IF(LEN($P40)&lt;&gt;3,1,IF($P40=$D$2,1,BDP($P40&amp;$D$2&amp;" Curncy","PX_LAST"))),1)</f>
        <v/>
      </c>
    </row>
    <row r="41">
      <c r="A41" s="16" t="n"/>
      <c r="B41" s="80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33">
        <f>IFERROR(IF($B41="","",IF(ISNUMBER($F41),$B41*$F41*$D$3/$B$3,0)),"")</f>
        <v/>
      </c>
      <c r="K41" s="133">
        <f>IFERROR(IF($J41="","",$J41*IF(ISNUMBER($I41),$I41,'Index Summary'!$C$7)/100),"")</f>
        <v/>
      </c>
      <c r="L41" s="133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132">
        <f>IFERROR(IF(LEN($P41)&lt;&gt;3,1,IF($P41=$D$2,1,BDP($P41&amp;$D$2&amp;" Curncy","PX_LAST"))),1)</f>
        <v/>
      </c>
    </row>
    <row r="42">
      <c r="A42" s="27" t="n"/>
      <c r="B42" s="80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33">
        <f>IFERROR(IF($B42="","",IF(ISNUMBER($F42),$B42*$F42*$D$3/$B$3,0)),"")</f>
        <v/>
      </c>
      <c r="K42" s="133">
        <f>IFERROR(IF($J42="","",$J42*IF(ISNUMBER($I42),$I42,'Index Summary'!$C$7)/100),"")</f>
        <v/>
      </c>
      <c r="L42" s="133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132">
        <f>IFERROR(IF(LEN($P42)&lt;&gt;3,1,IF($P42=$D$2,1,BDP($P42&amp;$D$2&amp;" Curncy","PX_LAST"))),1)</f>
        <v/>
      </c>
    </row>
    <row r="43">
      <c r="A43" s="16" t="n"/>
      <c r="B43" s="80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33">
        <f>IFERROR(IF($B43="","",IF(ISNUMBER($F43),$B43*$F43*$D$3/$B$3,0)),"")</f>
        <v/>
      </c>
      <c r="K43" s="133">
        <f>IFERROR(IF($J43="","",$J43*IF(ISNUMBER($I43),$I43,'Index Summary'!$C$7)/100),"")</f>
        <v/>
      </c>
      <c r="L43" s="133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132">
        <f>IFERROR(IF(LEN($P43)&lt;&gt;3,1,IF($P43=$D$2,1,BDP($P43&amp;$D$2&amp;" Curncy","PX_LAST"))),1)</f>
        <v/>
      </c>
    </row>
    <row r="44">
      <c r="A44" s="27" t="n"/>
      <c r="B44" s="80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33">
        <f>IFERROR(IF($B44="","",IF(ISNUMBER($F44),$B44*$F44*$D$3/$B$3,0)),"")</f>
        <v/>
      </c>
      <c r="K44" s="133">
        <f>IFERROR(IF($J44="","",$J44*IF(ISNUMBER($I44),$I44,'Index Summary'!$C$7)/100),"")</f>
        <v/>
      </c>
      <c r="L44" s="133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132">
        <f>IFERROR(IF(LEN($P44)&lt;&gt;3,1,IF($P44=$D$2,1,BDP($P44&amp;$D$2&amp;" Curncy","PX_LAST"))),1)</f>
        <v/>
      </c>
    </row>
    <row r="45">
      <c r="A45" s="16" t="n"/>
      <c r="B45" s="80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33">
        <f>IFERROR(IF($B45="","",IF(ISNUMBER($F45),$B45*$F45*$D$3/$B$3,0)),"")</f>
        <v/>
      </c>
      <c r="K45" s="133">
        <f>IFERROR(IF($J45="","",$J45*IF(ISNUMBER($I45),$I45,'Index Summary'!$C$7)/100),"")</f>
        <v/>
      </c>
      <c r="L45" s="133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132">
        <f>IFERROR(IF(LEN($P45)&lt;&gt;3,1,IF($P45=$D$2,1,BDP($P45&amp;$D$2&amp;" Curncy","PX_LAST"))),1)</f>
        <v/>
      </c>
    </row>
    <row r="46">
      <c r="A46" s="27" t="n"/>
      <c r="B46" s="80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33">
        <f>IFERROR(IF($B46="","",IF(ISNUMBER($F46),$B46*$F46*$D$3/$B$3,0)),"")</f>
        <v/>
      </c>
      <c r="K46" s="133">
        <f>IFERROR(IF($J46="","",$J46*IF(ISNUMBER($I46),$I46,'Index Summary'!$C$7)/100),"")</f>
        <v/>
      </c>
      <c r="L46" s="133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132">
        <f>IFERROR(IF(LEN($P46)&lt;&gt;3,1,IF($P46=$D$2,1,BDP($P46&amp;$D$2&amp;" Curncy","PX_LAST"))),1)</f>
        <v/>
      </c>
    </row>
    <row r="47">
      <c r="A47" s="16" t="n"/>
      <c r="B47" s="80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33">
        <f>IFERROR(IF($B47="","",IF(ISNUMBER($F47),$B47*$F47*$D$3/$B$3,0)),"")</f>
        <v/>
      </c>
      <c r="K47" s="133">
        <f>IFERROR(IF($J47="","",$J47*IF(ISNUMBER($I47),$I47,'Index Summary'!$C$7)/100),"")</f>
        <v/>
      </c>
      <c r="L47" s="133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132">
        <f>IFERROR(IF(LEN($P47)&lt;&gt;3,1,IF($P47=$D$2,1,BDP($P47&amp;$D$2&amp;" Curncy","PX_LAST"))),1)</f>
        <v/>
      </c>
    </row>
    <row r="48">
      <c r="A48" s="27" t="n"/>
      <c r="B48" s="80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33">
        <f>IFERROR(IF($B48="","",IF(ISNUMBER($F48),$B48*$F48*$D$3/$B$3,0)),"")</f>
        <v/>
      </c>
      <c r="K48" s="133">
        <f>IFERROR(IF($J48="","",$J48*IF(ISNUMBER($I48),$I48,'Index Summary'!$C$7)/100),"")</f>
        <v/>
      </c>
      <c r="L48" s="133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132">
        <f>IFERROR(IF(LEN($P48)&lt;&gt;3,1,IF($P48=$D$2,1,BDP($P48&amp;$D$2&amp;" Curncy","PX_LAST"))),1)</f>
        <v/>
      </c>
    </row>
    <row r="49">
      <c r="A49" s="16" t="n"/>
      <c r="B49" s="80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33">
        <f>IFERROR(IF($B49="","",IF(ISNUMBER($F49),$B49*$F49*$D$3/$B$3,0)),"")</f>
        <v/>
      </c>
      <c r="K49" s="133">
        <f>IFERROR(IF($J49="","",$J49*IF(ISNUMBER($I49),$I49,'Index Summary'!$C$7)/100),"")</f>
        <v/>
      </c>
      <c r="L49" s="133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132">
        <f>IFERROR(IF(LEN($P49)&lt;&gt;3,1,IF($P49=$D$2,1,BDP($P49&amp;$D$2&amp;" Curncy","PX_LAST"))),1)</f>
        <v/>
      </c>
    </row>
    <row r="50">
      <c r="A50" s="27" t="n"/>
      <c r="B50" s="80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33">
        <f>IFERROR(IF($B50="","",IF(ISNUMBER($F50),$B50*$F50*$D$3/$B$3,0)),"")</f>
        <v/>
      </c>
      <c r="K50" s="133">
        <f>IFERROR(IF($J50="","",$J50*IF(ISNUMBER($I50),$I50,'Index Summary'!$C$7)/100),"")</f>
        <v/>
      </c>
      <c r="L50" s="133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132">
        <f>IFERROR(IF(LEN($P50)&lt;&gt;3,1,IF($P50=$D$2,1,BDP($P50&amp;$D$2&amp;" Curncy","PX_LAST"))),1)</f>
        <v/>
      </c>
    </row>
    <row r="51">
      <c r="A51" s="16" t="n"/>
      <c r="B51" s="80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33">
        <f>IFERROR(IF($B51="","",IF(ISNUMBER($F51),$B51*$F51*$D$3/$B$3,0)),"")</f>
        <v/>
      </c>
      <c r="K51" s="133">
        <f>IFERROR(IF($J51="","",$J51*IF(ISNUMBER($I51),$I51,'Index Summary'!$C$7)/100),"")</f>
        <v/>
      </c>
      <c r="L51" s="133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132">
        <f>IFERROR(IF(LEN($P51)&lt;&gt;3,1,IF($P51=$D$2,1,BDP($P51&amp;$D$2&amp;" Curncy","PX_LAST"))),1)</f>
        <v/>
      </c>
    </row>
    <row r="52">
      <c r="A52" s="27" t="n"/>
      <c r="B52" s="80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33">
        <f>IFERROR(IF($B52="","",IF(ISNUMBER($F52),$B52*$F52*$D$3/$B$3,0)),"")</f>
        <v/>
      </c>
      <c r="K52" s="133">
        <f>IFERROR(IF($J52="","",$J52*IF(ISNUMBER($I52),$I52,'Index Summary'!$C$7)/100),"")</f>
        <v/>
      </c>
      <c r="L52" s="133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132">
        <f>IFERROR(IF(LEN($P52)&lt;&gt;3,1,IF($P52=$D$2,1,BDP($P52&amp;$D$2&amp;" Curncy","PX_LAST"))),1)</f>
        <v/>
      </c>
    </row>
    <row r="53">
      <c r="A53" s="16" t="n"/>
      <c r="B53" s="80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33">
        <f>IFERROR(IF($B53="","",IF(ISNUMBER($F53),$B53*$F53*$D$3/$B$3,0)),"")</f>
        <v/>
      </c>
      <c r="K53" s="133">
        <f>IFERROR(IF($J53="","",$J53*IF(ISNUMBER($I53),$I53,'Index Summary'!$C$7)/100),"")</f>
        <v/>
      </c>
      <c r="L53" s="133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132">
        <f>IFERROR(IF(LEN($P53)&lt;&gt;3,1,IF($P53=$D$2,1,BDP($P53&amp;$D$2&amp;" Curncy","PX_LAST"))),1)</f>
        <v/>
      </c>
    </row>
    <row r="54">
      <c r="A54" s="27" t="n"/>
      <c r="B54" s="80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33">
        <f>IFERROR(IF($B54="","",IF(ISNUMBER($F54),$B54*$F54*$D$3/$B$3,0)),"")</f>
        <v/>
      </c>
      <c r="K54" s="133">
        <f>IFERROR(IF($J54="","",$J54*IF(ISNUMBER($I54),$I54,'Index Summary'!$C$7)/100),"")</f>
        <v/>
      </c>
      <c r="L54" s="133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132">
        <f>IFERROR(IF(LEN($P54)&lt;&gt;3,1,IF($P54=$D$2,1,BDP($P54&amp;$D$2&amp;" Curncy","PX_LAST"))),1)</f>
        <v/>
      </c>
    </row>
    <row r="55">
      <c r="A55" s="16" t="n"/>
      <c r="B55" s="80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33">
        <f>IFERROR(IF($B55="","",IF(ISNUMBER($F55),$B55*$F55*$D$3/$B$3,0)),"")</f>
        <v/>
      </c>
      <c r="K55" s="133">
        <f>IFERROR(IF($J55="","",$J55*IF(ISNUMBER($I55),$I55,'Index Summary'!$C$7)/100),"")</f>
        <v/>
      </c>
      <c r="L55" s="133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132">
        <f>IFERROR(IF(LEN($P55)&lt;&gt;3,1,IF($P55=$D$2,1,BDP($P55&amp;$D$2&amp;" Curncy","PX_LAST"))),1)</f>
        <v/>
      </c>
    </row>
    <row r="56">
      <c r="A56" s="27" t="n"/>
      <c r="B56" s="80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33">
        <f>IFERROR(IF($B56="","",IF(ISNUMBER($F56),$B56*$F56*$D$3/$B$3,0)),"")</f>
        <v/>
      </c>
      <c r="K56" s="133">
        <f>IFERROR(IF($J56="","",$J56*IF(ISNUMBER($I56),$I56,'Index Summary'!$C$7)/100),"")</f>
        <v/>
      </c>
      <c r="L56" s="133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132">
        <f>IFERROR(IF(LEN($P56)&lt;&gt;3,1,IF($P56=$D$2,1,BDP($P56&amp;$D$2&amp;" Curncy","PX_LAST"))),1)</f>
        <v/>
      </c>
    </row>
    <row r="57">
      <c r="A57" s="16" t="n"/>
      <c r="B57" s="80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33">
        <f>IFERROR(IF($B57="","",IF(ISNUMBER($F57),$B57*$F57*$D$3/$B$3,0)),"")</f>
        <v/>
      </c>
      <c r="K57" s="133">
        <f>IFERROR(IF($J57="","",$J57*IF(ISNUMBER($I57),$I57,'Index Summary'!$C$7)/100),"")</f>
        <v/>
      </c>
      <c r="L57" s="133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132">
        <f>IFERROR(IF(LEN($P57)&lt;&gt;3,1,IF($P57=$D$2,1,BDP($P57&amp;$D$2&amp;" Curncy","PX_LAST"))),1)</f>
        <v/>
      </c>
    </row>
    <row r="58">
      <c r="A58" s="27" t="n"/>
      <c r="B58" s="80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33">
        <f>IFERROR(IF($B58="","",IF(ISNUMBER($F58),$B58*$F58*$D$3/$B$3,0)),"")</f>
        <v/>
      </c>
      <c r="K58" s="133">
        <f>IFERROR(IF($J58="","",$J58*IF(ISNUMBER($I58),$I58,'Index Summary'!$C$7)/100),"")</f>
        <v/>
      </c>
      <c r="L58" s="133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132">
        <f>IFERROR(IF(LEN($P58)&lt;&gt;3,1,IF($P58=$D$2,1,BDP($P58&amp;$D$2&amp;" Curncy","PX_LAST"))),1)</f>
        <v/>
      </c>
    </row>
    <row r="59">
      <c r="A59" s="16" t="n"/>
      <c r="B59" s="80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33">
        <f>IFERROR(IF($B59="","",IF(ISNUMBER($F59),$B59*$F59*$D$3/$B$3,0)),"")</f>
        <v/>
      </c>
      <c r="K59" s="133">
        <f>IFERROR(IF($J59="","",$J59*IF(ISNUMBER($I59),$I59,'Index Summary'!$C$7)/100),"")</f>
        <v/>
      </c>
      <c r="L59" s="133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132">
        <f>IFERROR(IF(LEN($P59)&lt;&gt;3,1,IF($P59=$D$2,1,BDP($P59&amp;$D$2&amp;" Curncy","PX_LAST"))),1)</f>
        <v/>
      </c>
    </row>
    <row r="60">
      <c r="A60" s="27" t="n"/>
      <c r="B60" s="80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33">
        <f>IFERROR(IF($B60="","",IF(ISNUMBER($F60),$B60*$F60*$D$3/$B$3,0)),"")</f>
        <v/>
      </c>
      <c r="K60" s="133">
        <f>IFERROR(IF($J60="","",$J60*IF(ISNUMBER($I60),$I60,'Index Summary'!$C$7)/100),"")</f>
        <v/>
      </c>
      <c r="L60" s="133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132">
        <f>IFERROR(IF(LEN($P60)&lt;&gt;3,1,IF($P60=$D$2,1,BDP($P60&amp;$D$2&amp;" Curncy","PX_LAST"))),1)</f>
        <v/>
      </c>
    </row>
    <row r="61">
      <c r="A61" s="16" t="n"/>
      <c r="B61" s="80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33">
        <f>IFERROR(IF($B61="","",IF(ISNUMBER($F61),$B61*$F61*$D$3/$B$3,0)),"")</f>
        <v/>
      </c>
      <c r="K61" s="133">
        <f>IFERROR(IF($J61="","",$J61*IF(ISNUMBER($I61),$I61,'Index Summary'!$C$7)/100),"")</f>
        <v/>
      </c>
      <c r="L61" s="133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132">
        <f>IFERROR(IF(LEN($P61)&lt;&gt;3,1,IF($P61=$D$2,1,BDP($P61&amp;$D$2&amp;" Curncy","PX_LAST"))),1)</f>
        <v/>
      </c>
    </row>
    <row r="62">
      <c r="A62" s="27" t="n"/>
      <c r="B62" s="80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33">
        <f>IFERROR(IF($B62="","",IF(ISNUMBER($F62),$B62*$F62*$D$3/$B$3,0)),"")</f>
        <v/>
      </c>
      <c r="K62" s="133">
        <f>IFERROR(IF($J62="","",$J62*IF(ISNUMBER($I62),$I62,'Index Summary'!$C$7)/100),"")</f>
        <v/>
      </c>
      <c r="L62" s="133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132">
        <f>IFERROR(IF(LEN($P62)&lt;&gt;3,1,IF($P62=$D$2,1,BDP($P62&amp;$D$2&amp;" Curncy","PX_LAST"))),1)</f>
        <v/>
      </c>
    </row>
    <row r="63">
      <c r="A63" s="16" t="n"/>
      <c r="B63" s="80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33">
        <f>IFERROR(IF($B63="","",IF(ISNUMBER($F63),$B63*$F63*$D$3/$B$3,0)),"")</f>
        <v/>
      </c>
      <c r="K63" s="133">
        <f>IFERROR(IF($J63="","",$J63*IF(ISNUMBER($I63),$I63,'Index Summary'!$C$7)/100),"")</f>
        <v/>
      </c>
      <c r="L63" s="133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132">
        <f>IFERROR(IF(LEN($P63)&lt;&gt;3,1,IF($P63=$D$2,1,BDP($P63&amp;$D$2&amp;" Curncy","PX_LAST"))),1)</f>
        <v/>
      </c>
    </row>
    <row r="64">
      <c r="A64" s="27" t="n"/>
      <c r="B64" s="80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33">
        <f>IFERROR(IF($B64="","",IF(ISNUMBER($F64),$B64*$F64*$D$3/$B$3,0)),"")</f>
        <v/>
      </c>
      <c r="K64" s="133">
        <f>IFERROR(IF($J64="","",$J64*IF(ISNUMBER($I64),$I64,'Index Summary'!$C$7)/100),"")</f>
        <v/>
      </c>
      <c r="L64" s="133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132">
        <f>IFERROR(IF(LEN($P64)&lt;&gt;3,1,IF($P64=$D$2,1,BDP($P64&amp;$D$2&amp;" Curncy","PX_LAST"))),1)</f>
        <v/>
      </c>
    </row>
    <row r="65">
      <c r="A65" s="16" t="n"/>
      <c r="B65" s="80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33">
        <f>IFERROR(IF($B65="","",IF(ISNUMBER($F65),$B65*$F65*$D$3/$B$3,0)),"")</f>
        <v/>
      </c>
      <c r="K65" s="133">
        <f>IFERROR(IF($J65="","",$J65*IF(ISNUMBER($I65),$I65,'Index Summary'!$C$7)/100),"")</f>
        <v/>
      </c>
      <c r="L65" s="133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132">
        <f>IFERROR(IF(LEN($P65)&lt;&gt;3,1,IF($P65=$D$2,1,BDP($P65&amp;$D$2&amp;" Curncy","PX_LAST"))),1)</f>
        <v/>
      </c>
    </row>
    <row r="66">
      <c r="A66" s="27" t="n"/>
      <c r="B66" s="80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33">
        <f>IFERROR(IF($B66="","",IF(ISNUMBER($F66),$B66*$F66*$D$3/$B$3,0)),"")</f>
        <v/>
      </c>
      <c r="K66" s="133">
        <f>IFERROR(IF($J66="","",$J66*IF(ISNUMBER($I66),$I66,'Index Summary'!$C$7)/100),"")</f>
        <v/>
      </c>
      <c r="L66" s="133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132">
        <f>IFERROR(IF(LEN($P66)&lt;&gt;3,1,IF($P66=$D$2,1,BDP($P66&amp;$D$2&amp;" Curncy","PX_LAST"))),1)</f>
        <v/>
      </c>
    </row>
    <row r="67">
      <c r="A67" s="16" t="n"/>
      <c r="B67" s="80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33">
        <f>IFERROR(IF($B67="","",IF(ISNUMBER($F67),$B67*$F67*$D$3/$B$3,0)),"")</f>
        <v/>
      </c>
      <c r="K67" s="133">
        <f>IFERROR(IF($J67="","",$J67*IF(ISNUMBER($I67),$I67,'Index Summary'!$C$7)/100),"")</f>
        <v/>
      </c>
      <c r="L67" s="133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132">
        <f>IFERROR(IF(LEN($P67)&lt;&gt;3,1,IF($P67=$D$2,1,BDP($P67&amp;$D$2&amp;" Curncy","PX_LAST"))),1)</f>
        <v/>
      </c>
    </row>
    <row r="68">
      <c r="A68" s="27" t="n"/>
      <c r="B68" s="80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33">
        <f>IFERROR(IF($B68="","",IF(ISNUMBER($F68),$B68*$F68*$D$3/$B$3,0)),"")</f>
        <v/>
      </c>
      <c r="K68" s="133">
        <f>IFERROR(IF($J68="","",$J68*IF(ISNUMBER($I68),$I68,'Index Summary'!$C$7)/100),"")</f>
        <v/>
      </c>
      <c r="L68" s="133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132">
        <f>IFERROR(IF(LEN($P68)&lt;&gt;3,1,IF($P68=$D$2,1,BDP($P68&amp;$D$2&amp;" Curncy","PX_LAST"))),1)</f>
        <v/>
      </c>
    </row>
    <row r="69">
      <c r="A69" s="16" t="n"/>
      <c r="B69" s="80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33">
        <f>IFERROR(IF($B69="","",IF(ISNUMBER($F69),$B69*$F69*$D$3/$B$3,0)),"")</f>
        <v/>
      </c>
      <c r="K69" s="133">
        <f>IFERROR(IF($J69="","",$J69*IF(ISNUMBER($I69),$I69,'Index Summary'!$C$7)/100),"")</f>
        <v/>
      </c>
      <c r="L69" s="133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132">
        <f>IFERROR(IF(LEN($P69)&lt;&gt;3,1,IF($P69=$D$2,1,BDP($P69&amp;$D$2&amp;" Curncy","PX_LAST"))),1)</f>
        <v/>
      </c>
    </row>
    <row r="70">
      <c r="A70" s="27" t="n"/>
      <c r="B70" s="80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33">
        <f>IFERROR(IF($B70="","",IF(ISNUMBER($F70),$B70*$F70*$D$3/$B$3,0)),"")</f>
        <v/>
      </c>
      <c r="K70" s="133">
        <f>IFERROR(IF($J70="","",$J70*IF(ISNUMBER($I70),$I70,'Index Summary'!$C$7)/100),"")</f>
        <v/>
      </c>
      <c r="L70" s="133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132">
        <f>IFERROR(IF(LEN($P70)&lt;&gt;3,1,IF($P70=$D$2,1,BDP($P70&amp;$D$2&amp;" Curncy","PX_LAST"))),1)</f>
        <v/>
      </c>
    </row>
    <row r="71">
      <c r="A71" s="16" t="n"/>
      <c r="B71" s="80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33">
        <f>IFERROR(IF($B71="","",IF(ISNUMBER($F71),$B71*$F71*$D$3/$B$3,0)),"")</f>
        <v/>
      </c>
      <c r="K71" s="133">
        <f>IFERROR(IF($J71="","",$J71*IF(ISNUMBER($I71),$I71,'Index Summary'!$C$7)/100),"")</f>
        <v/>
      </c>
      <c r="L71" s="133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132">
        <f>IFERROR(IF(LEN($P71)&lt;&gt;3,1,IF($P71=$D$2,1,BDP($P71&amp;$D$2&amp;" Curncy","PX_LAST"))),1)</f>
        <v/>
      </c>
    </row>
    <row r="72">
      <c r="A72" s="27" t="n"/>
      <c r="B72" s="80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33">
        <f>IFERROR(IF($B72="","",IF(ISNUMBER($F72),$B72*$F72*$D$3/$B$3,0)),"")</f>
        <v/>
      </c>
      <c r="K72" s="133">
        <f>IFERROR(IF($J72="","",$J72*IF(ISNUMBER($I72),$I72,'Index Summary'!$C$7)/100),"")</f>
        <v/>
      </c>
      <c r="L72" s="133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132">
        <f>IFERROR(IF(LEN($P72)&lt;&gt;3,1,IF($P72=$D$2,1,BDP($P72&amp;$D$2&amp;" Curncy","PX_LAST"))),1)</f>
        <v/>
      </c>
    </row>
    <row r="73">
      <c r="A73" s="16" t="n"/>
      <c r="B73" s="80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33">
        <f>IFERROR(IF($B73="","",IF(ISNUMBER($F73),$B73*$F73*$D$3/$B$3,0)),"")</f>
        <v/>
      </c>
      <c r="K73" s="133">
        <f>IFERROR(IF($J73="","",$J73*IF(ISNUMBER($I73),$I73,'Index Summary'!$C$7)/100),"")</f>
        <v/>
      </c>
      <c r="L73" s="133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132">
        <f>IFERROR(IF(LEN($P73)&lt;&gt;3,1,IF($P73=$D$2,1,BDP($P73&amp;$D$2&amp;" Curncy","PX_LAST"))),1)</f>
        <v/>
      </c>
    </row>
    <row r="74">
      <c r="A74" s="27" t="n"/>
      <c r="B74" s="80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33">
        <f>IFERROR(IF($B74="","",IF(ISNUMBER($F74),$B74*$F74*$D$3/$B$3,0)),"")</f>
        <v/>
      </c>
      <c r="K74" s="133">
        <f>IFERROR(IF($J74="","",$J74*IF(ISNUMBER($I74),$I74,'Index Summary'!$C$7)/100),"")</f>
        <v/>
      </c>
      <c r="L74" s="133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132">
        <f>IFERROR(IF(LEN($P74)&lt;&gt;3,1,IF($P74=$D$2,1,BDP($P74&amp;$D$2&amp;" Curncy","PX_LAST"))),1)</f>
        <v/>
      </c>
    </row>
    <row r="75">
      <c r="A75" s="16" t="n"/>
      <c r="B75" s="80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33">
        <f>IFERROR(IF($B75="","",IF(ISNUMBER($F75),$B75*$F75*$D$3/$B$3,0)),"")</f>
        <v/>
      </c>
      <c r="K75" s="133">
        <f>IFERROR(IF($J75="","",$J75*IF(ISNUMBER($I75),$I75,'Index Summary'!$C$7)/100),"")</f>
        <v/>
      </c>
      <c r="L75" s="133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132">
        <f>IFERROR(IF(LEN($P75)&lt;&gt;3,1,IF($P75=$D$2,1,BDP($P75&amp;$D$2&amp;" Curncy","PX_LAST"))),1)</f>
        <v/>
      </c>
    </row>
    <row r="76">
      <c r="A76" s="27" t="n"/>
      <c r="B76" s="80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33">
        <f>IFERROR(IF($B76="","",IF(ISNUMBER($F76),$B76*$F76*$D$3/$B$3,0)),"")</f>
        <v/>
      </c>
      <c r="K76" s="133">
        <f>IFERROR(IF($J76="","",$J76*IF(ISNUMBER($I76),$I76,'Index Summary'!$C$7)/100),"")</f>
        <v/>
      </c>
      <c r="L76" s="133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132">
        <f>IFERROR(IF(LEN($P76)&lt;&gt;3,1,IF($P76=$D$2,1,BDP($P76&amp;$D$2&amp;" Curncy","PX_LAST"))),1)</f>
        <v/>
      </c>
    </row>
    <row r="77">
      <c r="A77" s="16" t="n"/>
      <c r="B77" s="80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33">
        <f>IFERROR(IF($B77="","",IF(ISNUMBER($F77),$B77*$F77*$D$3/$B$3,0)),"")</f>
        <v/>
      </c>
      <c r="K77" s="133">
        <f>IFERROR(IF($J77="","",$J77*IF(ISNUMBER($I77),$I77,'Index Summary'!$C$7)/100),"")</f>
        <v/>
      </c>
      <c r="L77" s="133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132">
        <f>IFERROR(IF(LEN($P77)&lt;&gt;3,1,IF($P77=$D$2,1,BDP($P77&amp;$D$2&amp;" Curncy","PX_LAST"))),1)</f>
        <v/>
      </c>
    </row>
    <row r="78">
      <c r="A78" s="27" t="n"/>
      <c r="B78" s="80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33">
        <f>IFERROR(IF($B78="","",IF(ISNUMBER($F78),$B78*$F78*$D$3/$B$3,0)),"")</f>
        <v/>
      </c>
      <c r="K78" s="133">
        <f>IFERROR(IF($J78="","",$J78*IF(ISNUMBER($I78),$I78,'Index Summary'!$C$7)/100),"")</f>
        <v/>
      </c>
      <c r="L78" s="133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132">
        <f>IFERROR(IF(LEN($P78)&lt;&gt;3,1,IF($P78=$D$2,1,BDP($P78&amp;$D$2&amp;" Curncy","PX_LAST"))),1)</f>
        <v/>
      </c>
    </row>
    <row r="79">
      <c r="A79" s="16" t="n"/>
      <c r="B79" s="80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33">
        <f>IFERROR(IF($B79="","",IF(ISNUMBER($F79),$B79*$F79*$D$3/$B$3,0)),"")</f>
        <v/>
      </c>
      <c r="K79" s="133">
        <f>IFERROR(IF($J79="","",$J79*IF(ISNUMBER($I79),$I79,'Index Summary'!$C$7)/100),"")</f>
        <v/>
      </c>
      <c r="L79" s="133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132">
        <f>IFERROR(IF(LEN($P79)&lt;&gt;3,1,IF($P79=$D$2,1,BDP($P79&amp;$D$2&amp;" Curncy","PX_LAST"))),1)</f>
        <v/>
      </c>
    </row>
    <row r="80">
      <c r="A80" s="27" t="n"/>
      <c r="B80" s="80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33">
        <f>IFERROR(IF($B80="","",IF(ISNUMBER($F80),$B80*$F80*$D$3/$B$3,0)),"")</f>
        <v/>
      </c>
      <c r="K80" s="133">
        <f>IFERROR(IF($J80="","",$J80*IF(ISNUMBER($I80),$I80,'Index Summary'!$C$7)/100),"")</f>
        <v/>
      </c>
      <c r="L80" s="133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132">
        <f>IFERROR(IF(LEN($P80)&lt;&gt;3,1,IF($P80=$D$2,1,BDP($P80&amp;$D$2&amp;" Curncy","PX_LAST"))),1)</f>
        <v/>
      </c>
    </row>
    <row r="81">
      <c r="A81" s="16" t="n"/>
      <c r="B81" s="80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33">
        <f>IFERROR(IF($B81="","",IF(ISNUMBER($F81),$B81*$F81*$D$3/$B$3,0)),"")</f>
        <v/>
      </c>
      <c r="K81" s="133">
        <f>IFERROR(IF($J81="","",$J81*IF(ISNUMBER($I81),$I81,'Index Summary'!$C$7)/100),"")</f>
        <v/>
      </c>
      <c r="L81" s="133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132">
        <f>IFERROR(IF(LEN($P81)&lt;&gt;3,1,IF($P81=$D$2,1,BDP($P81&amp;$D$2&amp;" Curncy","PX_LAST"))),1)</f>
        <v/>
      </c>
    </row>
    <row r="82">
      <c r="A82" s="27" t="n"/>
      <c r="B82" s="80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33">
        <f>IFERROR(IF($B82="","",IF(ISNUMBER($F82),$B82*$F82*$D$3/$B$3,0)),"")</f>
        <v/>
      </c>
      <c r="K82" s="133">
        <f>IFERROR(IF($J82="","",$J82*IF(ISNUMBER($I82),$I82,'Index Summary'!$C$7)/100),"")</f>
        <v/>
      </c>
      <c r="L82" s="133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132">
        <f>IFERROR(IF(LEN($P82)&lt;&gt;3,1,IF($P82=$D$2,1,BDP($P82&amp;$D$2&amp;" Curncy","PX_LAST"))),1)</f>
        <v/>
      </c>
    </row>
    <row r="83">
      <c r="A83" s="16" t="n"/>
      <c r="B83" s="80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33">
        <f>IFERROR(IF($B83="","",IF(ISNUMBER($F83),$B83*$F83*$D$3/$B$3,0)),"")</f>
        <v/>
      </c>
      <c r="K83" s="133">
        <f>IFERROR(IF($J83="","",$J83*IF(ISNUMBER($I83),$I83,'Index Summary'!$C$7)/100),"")</f>
        <v/>
      </c>
      <c r="L83" s="133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132">
        <f>IFERROR(IF(LEN($P83)&lt;&gt;3,1,IF($P83=$D$2,1,BDP($P83&amp;$D$2&amp;" Curncy","PX_LAST"))),1)</f>
        <v/>
      </c>
    </row>
    <row r="84">
      <c r="A84" s="27" t="n"/>
      <c r="B84" s="80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33">
        <f>IFERROR(IF($B84="","",IF(ISNUMBER($F84),$B84*$F84*$D$3/$B$3,0)),"")</f>
        <v/>
      </c>
      <c r="K84" s="133">
        <f>IFERROR(IF($J84="","",$J84*IF(ISNUMBER($I84),$I84,'Index Summary'!$C$7)/100),"")</f>
        <v/>
      </c>
      <c r="L84" s="133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132">
        <f>IFERROR(IF(LEN($P84)&lt;&gt;3,1,IF($P84=$D$2,1,BDP($P84&amp;$D$2&amp;" Curncy","PX_LAST"))),1)</f>
        <v/>
      </c>
    </row>
    <row r="85">
      <c r="A85" s="16" t="n"/>
      <c r="B85" s="80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33">
        <f>IFERROR(IF($B85="","",IF(ISNUMBER($F85),$B85*$F85*$D$3/$B$3,0)),"")</f>
        <v/>
      </c>
      <c r="K85" s="133">
        <f>IFERROR(IF($J85="","",$J85*IF(ISNUMBER($I85),$I85,'Index Summary'!$C$7)/100),"")</f>
        <v/>
      </c>
      <c r="L85" s="133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132">
        <f>IFERROR(IF(LEN($P85)&lt;&gt;3,1,IF($P85=$D$2,1,BDP($P85&amp;$D$2&amp;" Curncy","PX_LAST"))),1)</f>
        <v/>
      </c>
    </row>
    <row r="86">
      <c r="A86" s="27" t="n"/>
      <c r="B86" s="80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33">
        <f>IFERROR(IF($B86="","",IF(ISNUMBER($F86),$B86*$F86*$D$3/$B$3,0)),"")</f>
        <v/>
      </c>
      <c r="K86" s="133">
        <f>IFERROR(IF($J86="","",$J86*IF(ISNUMBER($I86),$I86,'Index Summary'!$C$7)/100),"")</f>
        <v/>
      </c>
      <c r="L86" s="133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132">
        <f>IFERROR(IF(LEN($P86)&lt;&gt;3,1,IF($P86=$D$2,1,BDP($P86&amp;$D$2&amp;" Curncy","PX_LAST"))),1)</f>
        <v/>
      </c>
    </row>
    <row r="87">
      <c r="A87" s="16" t="n"/>
      <c r="B87" s="80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33">
        <f>IFERROR(IF($B87="","",IF(ISNUMBER($F87),$B87*$F87*$D$3/$B$3,0)),"")</f>
        <v/>
      </c>
      <c r="K87" s="133">
        <f>IFERROR(IF($J87="","",$J87*IF(ISNUMBER($I87),$I87,'Index Summary'!$C$7)/100),"")</f>
        <v/>
      </c>
      <c r="L87" s="133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132">
        <f>IFERROR(IF(LEN($P87)&lt;&gt;3,1,IF($P87=$D$2,1,BDP($P87&amp;$D$2&amp;" Curncy","PX_LAST"))),1)</f>
        <v/>
      </c>
    </row>
    <row r="88">
      <c r="A88" s="27" t="n"/>
      <c r="B88" s="80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33">
        <f>IFERROR(IF($B88="","",IF(ISNUMBER($F88),$B88*$F88*$D$3/$B$3,0)),"")</f>
        <v/>
      </c>
      <c r="K88" s="133">
        <f>IFERROR(IF($J88="","",$J88*IF(ISNUMBER($I88),$I88,'Index Summary'!$C$7)/100),"")</f>
        <v/>
      </c>
      <c r="L88" s="133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132">
        <f>IFERROR(IF(LEN($P88)&lt;&gt;3,1,IF($P88=$D$2,1,BDP($P88&amp;$D$2&amp;" Curncy","PX_LAST"))),1)</f>
        <v/>
      </c>
    </row>
    <row r="89">
      <c r="A89" s="16" t="n"/>
      <c r="B89" s="80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33">
        <f>IFERROR(IF($B89="","",IF(ISNUMBER($F89),$B89*$F89*$D$3/$B$3,0)),"")</f>
        <v/>
      </c>
      <c r="K89" s="133">
        <f>IFERROR(IF($J89="","",$J89*IF(ISNUMBER($I89),$I89,'Index Summary'!$C$7)/100),"")</f>
        <v/>
      </c>
      <c r="L89" s="133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132">
        <f>IFERROR(IF(LEN($P89)&lt;&gt;3,1,IF($P89=$D$2,1,BDP($P89&amp;$D$2&amp;" Curncy","PX_LAST"))),1)</f>
        <v/>
      </c>
    </row>
    <row r="90">
      <c r="A90" s="27" t="n"/>
      <c r="B90" s="80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33">
        <f>IFERROR(IF($B90="","",IF(ISNUMBER($F90),$B90*$F90*$D$3/$B$3,0)),"")</f>
        <v/>
      </c>
      <c r="K90" s="133">
        <f>IFERROR(IF($J90="","",$J90*IF(ISNUMBER($I90),$I90,'Index Summary'!$C$7)/100),"")</f>
        <v/>
      </c>
      <c r="L90" s="133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132">
        <f>IFERROR(IF(LEN($P90)&lt;&gt;3,1,IF($P90=$D$2,1,BDP($P90&amp;$D$2&amp;" Curncy","PX_LAST"))),1)</f>
        <v/>
      </c>
    </row>
    <row r="91">
      <c r="A91" s="16" t="n"/>
      <c r="B91" s="80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33">
        <f>IFERROR(IF($B91="","",IF(ISNUMBER($F91),$B91*$F91*$D$3/$B$3,0)),"")</f>
        <v/>
      </c>
      <c r="K91" s="133">
        <f>IFERROR(IF($J91="","",$J91*IF(ISNUMBER($I91),$I91,'Index Summary'!$C$7)/100),"")</f>
        <v/>
      </c>
      <c r="L91" s="133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132">
        <f>IFERROR(IF(LEN($P91)&lt;&gt;3,1,IF($P91=$D$2,1,BDP($P91&amp;$D$2&amp;" Curncy","PX_LAST"))),1)</f>
        <v/>
      </c>
    </row>
    <row r="92">
      <c r="A92" s="27" t="n"/>
      <c r="B92" s="80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33">
        <f>IFERROR(IF($B92="","",IF(ISNUMBER($F92),$B92*$F92*$D$3/$B$3,0)),"")</f>
        <v/>
      </c>
      <c r="K92" s="133">
        <f>IFERROR(IF($J92="","",$J92*IF(ISNUMBER($I92),$I92,'Index Summary'!$C$7)/100),"")</f>
        <v/>
      </c>
      <c r="L92" s="133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132">
        <f>IFERROR(IF(LEN($P92)&lt;&gt;3,1,IF($P92=$D$2,1,BDP($P92&amp;$D$2&amp;" Curncy","PX_LAST"))),1)</f>
        <v/>
      </c>
    </row>
    <row r="93">
      <c r="A93" s="16" t="n"/>
      <c r="B93" s="80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33">
        <f>IFERROR(IF($B93="","",IF(ISNUMBER($F93),$B93*$F93*$D$3/$B$3,0)),"")</f>
        <v/>
      </c>
      <c r="K93" s="133">
        <f>IFERROR(IF($J93="","",$J93*IF(ISNUMBER($I93),$I93,'Index Summary'!$C$7)/100),"")</f>
        <v/>
      </c>
      <c r="L93" s="133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132">
        <f>IFERROR(IF(LEN($P93)&lt;&gt;3,1,IF($P93=$D$2,1,BDP($P93&amp;$D$2&amp;" Curncy","PX_LAST"))),1)</f>
        <v/>
      </c>
    </row>
    <row r="94">
      <c r="A94" s="27" t="n"/>
      <c r="B94" s="80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33">
        <f>IFERROR(IF($B94="","",IF(ISNUMBER($F94),$B94*$F94*$D$3/$B$3,0)),"")</f>
        <v/>
      </c>
      <c r="K94" s="133">
        <f>IFERROR(IF($J94="","",$J94*IF(ISNUMBER($I94),$I94,'Index Summary'!$C$7)/100),"")</f>
        <v/>
      </c>
      <c r="L94" s="133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132">
        <f>IFERROR(IF(LEN($P94)&lt;&gt;3,1,IF($P94=$D$2,1,BDP($P94&amp;$D$2&amp;" Curncy","PX_LAST"))),1)</f>
        <v/>
      </c>
    </row>
    <row r="95">
      <c r="A95" s="16" t="n"/>
      <c r="B95" s="80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33">
        <f>IFERROR(IF($B95="","",IF(ISNUMBER($F95),$B95*$F95*$D$3/$B$3,0)),"")</f>
        <v/>
      </c>
      <c r="K95" s="133">
        <f>IFERROR(IF($J95="","",$J95*IF(ISNUMBER($I95),$I95,'Index Summary'!$C$7)/100),"")</f>
        <v/>
      </c>
      <c r="L95" s="133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132">
        <f>IFERROR(IF(LEN($P95)&lt;&gt;3,1,IF($P95=$D$2,1,BDP($P95&amp;$D$2&amp;" Curncy","PX_LAST"))),1)</f>
        <v/>
      </c>
    </row>
    <row r="96">
      <c r="A96" s="27" t="n"/>
      <c r="B96" s="80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33">
        <f>IFERROR(IF($B96="","",IF(ISNUMBER($F96),$B96*$F96*$D$3/$B$3,0)),"")</f>
        <v/>
      </c>
      <c r="K96" s="133">
        <f>IFERROR(IF($J96="","",$J96*IF(ISNUMBER($I96),$I96,'Index Summary'!$C$7)/100),"")</f>
        <v/>
      </c>
      <c r="L96" s="133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132">
        <f>IFERROR(IF(LEN($P96)&lt;&gt;3,1,IF($P96=$D$2,1,BDP($P96&amp;$D$2&amp;" Curncy","PX_LAST"))),1)</f>
        <v/>
      </c>
    </row>
    <row r="97">
      <c r="A97" s="16" t="n"/>
      <c r="B97" s="80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33">
        <f>IFERROR(IF($B97="","",IF(ISNUMBER($F97),$B97*$F97*$D$3/$B$3,0)),"")</f>
        <v/>
      </c>
      <c r="K97" s="133">
        <f>IFERROR(IF($J97="","",$J97*IF(ISNUMBER($I97),$I97,'Index Summary'!$C$7)/100),"")</f>
        <v/>
      </c>
      <c r="L97" s="133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132">
        <f>IFERROR(IF(LEN($P97)&lt;&gt;3,1,IF($P97=$D$2,1,BDP($P97&amp;$D$2&amp;" Curncy","PX_LAST"))),1)</f>
        <v/>
      </c>
    </row>
    <row r="98">
      <c r="A98" s="27" t="n"/>
      <c r="B98" s="80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33">
        <f>IFERROR(IF($B98="","",IF(ISNUMBER($F98),$B98*$F98*$D$3/$B$3,0)),"")</f>
        <v/>
      </c>
      <c r="K98" s="133">
        <f>IFERROR(IF($J98="","",$J98*IF(ISNUMBER($I98),$I98,'Index Summary'!$C$7)/100),"")</f>
        <v/>
      </c>
      <c r="L98" s="133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132">
        <f>IFERROR(IF(LEN($P98)&lt;&gt;3,1,IF($P98=$D$2,1,BDP($P98&amp;$D$2&amp;" Curncy","PX_LAST"))),1)</f>
        <v/>
      </c>
    </row>
    <row r="99">
      <c r="A99" s="16" t="n"/>
      <c r="B99" s="80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33">
        <f>IFERROR(IF($B99="","",IF(ISNUMBER($F99),$B99*$F99*$D$3/$B$3,0)),"")</f>
        <v/>
      </c>
      <c r="K99" s="133">
        <f>IFERROR(IF($J99="","",$J99*IF(ISNUMBER($I99),$I99,'Index Summary'!$C$7)/100),"")</f>
        <v/>
      </c>
      <c r="L99" s="133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132">
        <f>IFERROR(IF(LEN($P99)&lt;&gt;3,1,IF($P99=$D$2,1,BDP($P99&amp;$D$2&amp;" Curncy","PX_LAST"))),1)</f>
        <v/>
      </c>
    </row>
    <row r="100">
      <c r="A100" s="27" t="n"/>
      <c r="B100" s="80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33">
        <f>IFERROR(IF($B100="","",IF(ISNUMBER($F100),$B100*$F100*$D$3/$B$3,0)),"")</f>
        <v/>
      </c>
      <c r="K100" s="133">
        <f>IFERROR(IF($J100="","",$J100*IF(ISNUMBER($I100),$I100,'Index Summary'!$C$7)/100),"")</f>
        <v/>
      </c>
      <c r="L100" s="133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132">
        <f>IFERROR(IF(LEN($P100)&lt;&gt;3,1,IF($P100=$D$2,1,BDP($P100&amp;$D$2&amp;" Curncy","PX_LAST"))),1)</f>
        <v/>
      </c>
    </row>
    <row r="101">
      <c r="A101" s="16" t="n"/>
      <c r="B101" s="80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33">
        <f>IFERROR(IF($B101="","",IF(ISNUMBER($F101),$B101*$F101*$D$3/$B$3,0)),"")</f>
        <v/>
      </c>
      <c r="K101" s="133">
        <f>IFERROR(IF($J101="","",$J101*IF(ISNUMBER($I101),$I101,'Index Summary'!$C$7)/100),"")</f>
        <v/>
      </c>
      <c r="L101" s="133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132">
        <f>IFERROR(IF(LEN($P101)&lt;&gt;3,1,IF($P101=$D$2,1,BDP($P101&amp;$D$2&amp;" Curncy","PX_LAST"))),1)</f>
        <v/>
      </c>
    </row>
    <row r="102">
      <c r="A102" s="27" t="n"/>
      <c r="B102" s="80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33">
        <f>IFERROR(IF($B102="","",IF(ISNUMBER($F102),$B102*$F102*$D$3/$B$3,0)),"")</f>
        <v/>
      </c>
      <c r="K102" s="133">
        <f>IFERROR(IF($J102="","",$J102*IF(ISNUMBER($I102),$I102,'Index Summary'!$C$7)/100),"")</f>
        <v/>
      </c>
      <c r="L102" s="133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132">
        <f>IFERROR(IF(LEN($P102)&lt;&gt;3,1,IF($P102=$D$2,1,BDP($P102&amp;$D$2&amp;" Curncy","PX_LAST"))),1)</f>
        <v/>
      </c>
    </row>
    <row r="103">
      <c r="A103" s="16" t="n"/>
      <c r="B103" s="80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33">
        <f>IFERROR(IF($B103="","",IF(ISNUMBER($F103),$B103*$F103*$D$3/$B$3,0)),"")</f>
        <v/>
      </c>
      <c r="K103" s="133">
        <f>IFERROR(IF($J103="","",$J103*IF(ISNUMBER($I103),$I103,'Index Summary'!$C$7)/100),"")</f>
        <v/>
      </c>
      <c r="L103" s="133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132">
        <f>IFERROR(IF(LEN($P103)&lt;&gt;3,1,IF($P103=$D$2,1,BDP($P103&amp;$D$2&amp;" Curncy","PX_LAST"))),1)</f>
        <v/>
      </c>
    </row>
    <row r="104">
      <c r="A104" s="27" t="n"/>
      <c r="B104" s="80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33">
        <f>IFERROR(IF($B104="","",IF(ISNUMBER($F104),$B104*$F104*$D$3/$B$3,0)),"")</f>
        <v/>
      </c>
      <c r="K104" s="133">
        <f>IFERROR(IF($J104="","",$J104*IF(ISNUMBER($I104),$I104,'Index Summary'!$C$7)/100),"")</f>
        <v/>
      </c>
      <c r="L104" s="133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132">
        <f>IFERROR(IF(LEN($P104)&lt;&gt;3,1,IF($P104=$D$2,1,BDP($P104&amp;$D$2&amp;" Curncy","PX_LAST"))),1)</f>
        <v/>
      </c>
    </row>
    <row r="105">
      <c r="A105" s="16" t="n"/>
      <c r="B105" s="80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33">
        <f>IFERROR(IF($B105="","",IF(ISNUMBER($F105),$B105*$F105*$D$3/$B$3,0)),"")</f>
        <v/>
      </c>
      <c r="K105" s="133">
        <f>IFERROR(IF($J105="","",$J105*IF(ISNUMBER($I105),$I105,'Index Summary'!$C$7)/100),"")</f>
        <v/>
      </c>
      <c r="L105" s="133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132">
        <f>IFERROR(IF(LEN($P105)&lt;&gt;3,1,IF($P105=$D$2,1,BDP($P105&amp;$D$2&amp;" Curncy","PX_LAST"))),1)</f>
        <v/>
      </c>
    </row>
    <row r="106">
      <c r="A106" s="27" t="n"/>
      <c r="B106" s="80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33">
        <f>IFERROR(IF($B106="","",IF(ISNUMBER($F106),$B106*$F106*$D$3/$B$3,0)),"")</f>
        <v/>
      </c>
      <c r="K106" s="133">
        <f>IFERROR(IF($J106="","",$J106*IF(ISNUMBER($I106),$I106,'Index Summary'!$C$7)/100),"")</f>
        <v/>
      </c>
      <c r="L106" s="133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132">
        <f>IFERROR(IF(LEN($P106)&lt;&gt;3,1,IF($P106=$D$2,1,BDP($P106&amp;$D$2&amp;" Curncy","PX_LAST"))),1)</f>
        <v/>
      </c>
    </row>
    <row r="107">
      <c r="A107" s="16" t="n"/>
      <c r="B107" s="80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33">
        <f>IFERROR(IF($B107="","",IF(ISNUMBER($F107),$B107*$F107*$D$3/$B$3,0)),"")</f>
        <v/>
      </c>
      <c r="K107" s="133">
        <f>IFERROR(IF($J107="","",$J107*IF(ISNUMBER($I107),$I107,'Index Summary'!$C$7)/100),"")</f>
        <v/>
      </c>
      <c r="L107" s="133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132">
        <f>IFERROR(IF(LEN($P107)&lt;&gt;3,1,IF($P107=$D$2,1,BDP($P107&amp;$D$2&amp;" Curncy","PX_LAST"))),1)</f>
        <v/>
      </c>
    </row>
    <row r="108">
      <c r="A108" s="27" t="n"/>
      <c r="B108" s="80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33">
        <f>IFERROR(IF($B108="","",IF(ISNUMBER($F108),$B108*$F108*$D$3/$B$3,0)),"")</f>
        <v/>
      </c>
      <c r="K108" s="133">
        <f>IFERROR(IF($J108="","",$J108*IF(ISNUMBER($I108),$I108,'Index Summary'!$C$7)/100),"")</f>
        <v/>
      </c>
      <c r="L108" s="133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132">
        <f>IFERROR(IF(LEN($P108)&lt;&gt;3,1,IF($P108=$D$2,1,BDP($P108&amp;$D$2&amp;" Curncy","PX_LAST"))),1)</f>
        <v/>
      </c>
    </row>
    <row r="109">
      <c r="A109" s="16" t="n"/>
      <c r="B109" s="80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33">
        <f>IFERROR(IF($B109="","",IF(ISNUMBER($F109),$B109*$F109*$D$3/$B$3,0)),"")</f>
        <v/>
      </c>
      <c r="K109" s="133">
        <f>IFERROR(IF($J109="","",$J109*IF(ISNUMBER($I109),$I109,'Index Summary'!$C$7)/100),"")</f>
        <v/>
      </c>
      <c r="L109" s="133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132">
        <f>IFERROR(IF(LEN($P109)&lt;&gt;3,1,IF($P109=$D$2,1,BDP($P109&amp;$D$2&amp;" Curncy","PX_LAST"))),1)</f>
        <v/>
      </c>
    </row>
    <row r="110">
      <c r="A110" s="27" t="n"/>
      <c r="B110" s="80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33">
        <f>IFERROR(IF($B110="","",IF(ISNUMBER($F110),$B110*$F110*$D$3/$B$3,0)),"")</f>
        <v/>
      </c>
      <c r="K110" s="133">
        <f>IFERROR(IF($J110="","",$J110*IF(ISNUMBER($I110),$I110,'Index Summary'!$C$7)/100),"")</f>
        <v/>
      </c>
      <c r="L110" s="133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132">
        <f>IFERROR(IF(LEN($P110)&lt;&gt;3,1,IF($P110=$D$2,1,BDP($P110&amp;$D$2&amp;" Curncy","PX_LAST"))),1)</f>
        <v/>
      </c>
    </row>
    <row r="111">
      <c r="A111" s="16" t="n"/>
      <c r="B111" s="80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33">
        <f>IFERROR(IF($B111="","",IF(ISNUMBER($F111),$B111*$F111*$D$3/$B$3,0)),"")</f>
        <v/>
      </c>
      <c r="K111" s="133">
        <f>IFERROR(IF($J111="","",$J111*IF(ISNUMBER($I111),$I111,'Index Summary'!$C$7)/100),"")</f>
        <v/>
      </c>
      <c r="L111" s="133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132">
        <f>IFERROR(IF(LEN($P111)&lt;&gt;3,1,IF($P111=$D$2,1,BDP($P111&amp;$D$2&amp;" Curncy","PX_LAST"))),1)</f>
        <v/>
      </c>
    </row>
    <row r="112">
      <c r="A112" s="27" t="n"/>
      <c r="B112" s="80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33">
        <f>IFERROR(IF($B112="","",IF(ISNUMBER($F112),$B112*$F112*$D$3/$B$3,0)),"")</f>
        <v/>
      </c>
      <c r="K112" s="133">
        <f>IFERROR(IF($J112="","",$J112*IF(ISNUMBER($I112),$I112,'Index Summary'!$C$7)/100),"")</f>
        <v/>
      </c>
      <c r="L112" s="133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132">
        <f>IFERROR(IF(LEN($P112)&lt;&gt;3,1,IF($P112=$D$2,1,BDP($P112&amp;$D$2&amp;" Curncy","PX_LAST"))),1)</f>
        <v/>
      </c>
    </row>
    <row r="113">
      <c r="A113" s="16" t="n"/>
      <c r="B113" s="80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33">
        <f>IFERROR(IF($B113="","",IF(ISNUMBER($F113),$B113*$F113*$D$3/$B$3,0)),"")</f>
        <v/>
      </c>
      <c r="K113" s="133">
        <f>IFERROR(IF($J113="","",$J113*IF(ISNUMBER($I113),$I113,'Index Summary'!$C$7)/100),"")</f>
        <v/>
      </c>
      <c r="L113" s="133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132">
        <f>IFERROR(IF(LEN($P113)&lt;&gt;3,1,IF($P113=$D$2,1,BDP($P113&amp;$D$2&amp;" Curncy","PX_LAST"))),1)</f>
        <v/>
      </c>
    </row>
    <row r="114">
      <c r="A114" s="27" t="n"/>
      <c r="B114" s="80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33">
        <f>IFERROR(IF($B114="","",IF(ISNUMBER($F114),$B114*$F114*$D$3/$B$3,0)),"")</f>
        <v/>
      </c>
      <c r="K114" s="133">
        <f>IFERROR(IF($J114="","",$J114*IF(ISNUMBER($I114),$I114,'Index Summary'!$C$7)/100),"")</f>
        <v/>
      </c>
      <c r="L114" s="133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132">
        <f>IFERROR(IF(LEN($P114)&lt;&gt;3,1,IF($P114=$D$2,1,BDP($P114&amp;$D$2&amp;" Curncy","PX_LAST"))),1)</f>
        <v/>
      </c>
    </row>
    <row r="115">
      <c r="A115" s="16" t="n"/>
      <c r="B115" s="80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33">
        <f>IFERROR(IF($B115="","",IF(ISNUMBER($F115),$B115*$F115*$D$3/$B$3,0)),"")</f>
        <v/>
      </c>
      <c r="K115" s="133">
        <f>IFERROR(IF($J115="","",$J115*IF(ISNUMBER($I115),$I115,'Index Summary'!$C$7)/100),"")</f>
        <v/>
      </c>
      <c r="L115" s="133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132">
        <f>IFERROR(IF(LEN($P115)&lt;&gt;3,1,IF($P115=$D$2,1,BDP($P115&amp;$D$2&amp;" Curncy","PX_LAST"))),1)</f>
        <v/>
      </c>
    </row>
    <row r="116">
      <c r="A116" s="27" t="n"/>
      <c r="B116" s="80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33">
        <f>IFERROR(IF($B116="","",IF(ISNUMBER($F116),$B116*$F116*$D$3/$B$3,0)),"")</f>
        <v/>
      </c>
      <c r="K116" s="133">
        <f>IFERROR(IF($J116="","",$J116*IF(ISNUMBER($I116),$I116,'Index Summary'!$C$7)/100),"")</f>
        <v/>
      </c>
      <c r="L116" s="133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132">
        <f>IFERROR(IF(LEN($P116)&lt;&gt;3,1,IF($P116=$D$2,1,BDP($P116&amp;$D$2&amp;" Curncy","PX_LAST"))),1)</f>
        <v/>
      </c>
    </row>
    <row r="117">
      <c r="A117" s="16" t="n"/>
      <c r="B117" s="80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33">
        <f>IFERROR(IF($B117="","",IF(ISNUMBER($F117),$B117*$F117*$D$3/$B$3,0)),"")</f>
        <v/>
      </c>
      <c r="K117" s="133">
        <f>IFERROR(IF($J117="","",$J117*IF(ISNUMBER($I117),$I117,'Index Summary'!$C$7)/100),"")</f>
        <v/>
      </c>
      <c r="L117" s="133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132">
        <f>IFERROR(IF(LEN($P117)&lt;&gt;3,1,IF($P117=$D$2,1,BDP($P117&amp;$D$2&amp;" Curncy","PX_LAST"))),1)</f>
        <v/>
      </c>
    </row>
    <row r="118">
      <c r="A118" s="27" t="n"/>
      <c r="B118" s="80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33">
        <f>IFERROR(IF($B118="","",IF(ISNUMBER($F118),$B118*$F118*$D$3/$B$3,0)),"")</f>
        <v/>
      </c>
      <c r="K118" s="133">
        <f>IFERROR(IF($J118="","",$J118*IF(ISNUMBER($I118),$I118,'Index Summary'!$C$7)/100),"")</f>
        <v/>
      </c>
      <c r="L118" s="133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132">
        <f>IFERROR(IF(LEN($P118)&lt;&gt;3,1,IF($P118=$D$2,1,BDP($P118&amp;$D$2&amp;" Curncy","PX_LAST"))),1)</f>
        <v/>
      </c>
    </row>
    <row r="119">
      <c r="A119" s="16" t="n"/>
      <c r="B119" s="80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33">
        <f>IFERROR(IF($B119="","",IF(ISNUMBER($F119),$B119*$F119*$D$3/$B$3,0)),"")</f>
        <v/>
      </c>
      <c r="K119" s="133">
        <f>IFERROR(IF($J119="","",$J119*IF(ISNUMBER($I119),$I119,'Index Summary'!$C$7)/100),"")</f>
        <v/>
      </c>
      <c r="L119" s="133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132">
        <f>IFERROR(IF(LEN($P119)&lt;&gt;3,1,IF($P119=$D$2,1,BDP($P119&amp;$D$2&amp;" Curncy","PX_LAST"))),1)</f>
        <v/>
      </c>
    </row>
    <row r="120">
      <c r="A120" s="27" t="n"/>
      <c r="B120" s="80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33">
        <f>IFERROR(IF($B120="","",IF(ISNUMBER($F120),$B120*$F120*$D$3/$B$3,0)),"")</f>
        <v/>
      </c>
      <c r="K120" s="133">
        <f>IFERROR(IF($J120="","",$J120*IF(ISNUMBER($I120),$I120,'Index Summary'!$C$7)/100),"")</f>
        <v/>
      </c>
      <c r="L120" s="133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132">
        <f>IFERROR(IF(LEN($P120)&lt;&gt;3,1,IF($P120=$D$2,1,BDP($P120&amp;$D$2&amp;" Curncy","PX_LAST"))),1)</f>
        <v/>
      </c>
    </row>
    <row r="121">
      <c r="A121" s="16" t="n"/>
      <c r="B121" s="80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33">
        <f>IFERROR(IF($B121="","",IF(ISNUMBER($F121),$B121*$F121*$D$3/$B$3,0)),"")</f>
        <v/>
      </c>
      <c r="K121" s="133">
        <f>IFERROR(IF($J121="","",$J121*IF(ISNUMBER($I121),$I121,'Index Summary'!$C$7)/100),"")</f>
        <v/>
      </c>
      <c r="L121" s="133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132">
        <f>IFERROR(IF(LEN($P121)&lt;&gt;3,1,IF($P121=$D$2,1,BDP($P121&amp;$D$2&amp;" Curncy","PX_LAST"))),1)</f>
        <v/>
      </c>
    </row>
    <row r="122">
      <c r="A122" s="27" t="n"/>
      <c r="B122" s="80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33">
        <f>IFERROR(IF($B122="","",IF(ISNUMBER($F122),$B122*$F122*$D$3/$B$3,0)),"")</f>
        <v/>
      </c>
      <c r="K122" s="133">
        <f>IFERROR(IF($J122="","",$J122*IF(ISNUMBER($I122),$I122,'Index Summary'!$C$7)/100),"")</f>
        <v/>
      </c>
      <c r="L122" s="133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132">
        <f>IFERROR(IF(LEN($P122)&lt;&gt;3,1,IF($P122=$D$2,1,BDP($P122&amp;$D$2&amp;" Curncy","PX_LAST"))),1)</f>
        <v/>
      </c>
    </row>
    <row r="123">
      <c r="A123" s="16" t="n"/>
      <c r="B123" s="80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33">
        <f>IFERROR(IF($B123="","",IF(ISNUMBER($F123),$B123*$F123*$D$3/$B$3,0)),"")</f>
        <v/>
      </c>
      <c r="K123" s="133">
        <f>IFERROR(IF($J123="","",$J123*IF(ISNUMBER($I123),$I123,'Index Summary'!$C$7)/100),"")</f>
        <v/>
      </c>
      <c r="L123" s="133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132">
        <f>IFERROR(IF(LEN($P123)&lt;&gt;3,1,IF($P123=$D$2,1,BDP($P123&amp;$D$2&amp;" Curncy","PX_LAST"))),1)</f>
        <v/>
      </c>
    </row>
    <row r="124">
      <c r="A124" s="27" t="n"/>
      <c r="B124" s="80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33">
        <f>IFERROR(IF($B124="","",IF(ISNUMBER($F124),$B124*$F124*$D$3/$B$3,0)),"")</f>
        <v/>
      </c>
      <c r="K124" s="133">
        <f>IFERROR(IF($J124="","",$J124*IF(ISNUMBER($I124),$I124,'Index Summary'!$C$7)/100),"")</f>
        <v/>
      </c>
      <c r="L124" s="133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132">
        <f>IFERROR(IF(LEN($P124)&lt;&gt;3,1,IF($P124=$D$2,1,BDP($P124&amp;$D$2&amp;" Curncy","PX_LAST"))),1)</f>
        <v/>
      </c>
    </row>
    <row r="125">
      <c r="A125" s="16" t="n"/>
      <c r="B125" s="80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33">
        <f>IFERROR(IF($B125="","",IF(ISNUMBER($F125),$B125*$F125*$D$3/$B$3,0)),"")</f>
        <v/>
      </c>
      <c r="K125" s="133">
        <f>IFERROR(IF($J125="","",$J125*IF(ISNUMBER($I125),$I125,'Index Summary'!$C$7)/100),"")</f>
        <v/>
      </c>
      <c r="L125" s="133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132">
        <f>IFERROR(IF(LEN($P125)&lt;&gt;3,1,IF($P125=$D$2,1,BDP($P125&amp;$D$2&amp;" Curncy","PX_LAST"))),1)</f>
        <v/>
      </c>
    </row>
    <row r="126">
      <c r="A126" s="27" t="n"/>
      <c r="B126" s="80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33">
        <f>IFERROR(IF($B126="","",IF(ISNUMBER($F126),$B126*$F126*$D$3/$B$3,0)),"")</f>
        <v/>
      </c>
      <c r="K126" s="133">
        <f>IFERROR(IF($J126="","",$J126*IF(ISNUMBER($I126),$I126,'Index Summary'!$C$7)/100),"")</f>
        <v/>
      </c>
      <c r="L126" s="133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132">
        <f>IFERROR(IF(LEN($P126)&lt;&gt;3,1,IF($P126=$D$2,1,BDP($P126&amp;$D$2&amp;" Curncy","PX_LAST"))),1)</f>
        <v/>
      </c>
    </row>
    <row r="127">
      <c r="A127" s="16" t="n"/>
      <c r="B127" s="80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33">
        <f>IFERROR(IF($B127="","",IF(ISNUMBER($F127),$B127*$F127*$D$3/$B$3,0)),"")</f>
        <v/>
      </c>
      <c r="K127" s="133">
        <f>IFERROR(IF($J127="","",$J127*IF(ISNUMBER($I127),$I127,'Index Summary'!$C$7)/100),"")</f>
        <v/>
      </c>
      <c r="L127" s="133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132">
        <f>IFERROR(IF(LEN($P127)&lt;&gt;3,1,IF($P127=$D$2,1,BDP($P127&amp;$D$2&amp;" Curncy","PX_LAST"))),1)</f>
        <v/>
      </c>
    </row>
    <row r="128">
      <c r="A128" s="27" t="n"/>
      <c r="B128" s="80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33">
        <f>IFERROR(IF($B128="","",IF(ISNUMBER($F128),$B128*$F128*$D$3/$B$3,0)),"")</f>
        <v/>
      </c>
      <c r="K128" s="133">
        <f>IFERROR(IF($J128="","",$J128*IF(ISNUMBER($I128),$I128,'Index Summary'!$C$7)/100),"")</f>
        <v/>
      </c>
      <c r="L128" s="133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132">
        <f>IFERROR(IF(LEN($P128)&lt;&gt;3,1,IF($P128=$D$2,1,BDP($P128&amp;$D$2&amp;" Curncy","PX_LAST"))),1)</f>
        <v/>
      </c>
    </row>
    <row r="129">
      <c r="A129" s="16" t="n"/>
      <c r="B129" s="80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33">
        <f>IFERROR(IF($B129="","",IF(ISNUMBER($F129),$B129*$F129*$D$3/$B$3,0)),"")</f>
        <v/>
      </c>
      <c r="K129" s="133">
        <f>IFERROR(IF($J129="","",$J129*IF(ISNUMBER($I129),$I129,'Index Summary'!$C$7)/100),"")</f>
        <v/>
      </c>
      <c r="L129" s="133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132">
        <f>IFERROR(IF(LEN($P129)&lt;&gt;3,1,IF($P129=$D$2,1,BDP($P129&amp;$D$2&amp;" Curncy","PX_LAST"))),1)</f>
        <v/>
      </c>
    </row>
    <row r="130">
      <c r="A130" s="27" t="n"/>
      <c r="B130" s="80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33">
        <f>IFERROR(IF($B130="","",IF(ISNUMBER($F130),$B130*$F130*$D$3/$B$3,0)),"")</f>
        <v/>
      </c>
      <c r="K130" s="133">
        <f>IFERROR(IF($J130="","",$J130*IF(ISNUMBER($I130),$I130,'Index Summary'!$C$7)/100),"")</f>
        <v/>
      </c>
      <c r="L130" s="133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132">
        <f>IFERROR(IF(LEN($P130)&lt;&gt;3,1,IF($P130=$D$2,1,BDP($P130&amp;$D$2&amp;" Curncy","PX_LAST"))),1)</f>
        <v/>
      </c>
    </row>
    <row r="131">
      <c r="A131" s="16" t="n"/>
      <c r="B131" s="80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33">
        <f>IFERROR(IF($B131="","",IF(ISNUMBER($F131),$B131*$F131*$D$3/$B$3,0)),"")</f>
        <v/>
      </c>
      <c r="K131" s="133">
        <f>IFERROR(IF($J131="","",$J131*IF(ISNUMBER($I131),$I131,'Index Summary'!$C$7)/100),"")</f>
        <v/>
      </c>
      <c r="L131" s="133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132">
        <f>IFERROR(IF(LEN($P131)&lt;&gt;3,1,IF($P131=$D$2,1,BDP($P131&amp;$D$2&amp;" Curncy","PX_LAST"))),1)</f>
        <v/>
      </c>
    </row>
    <row r="132">
      <c r="A132" s="27" t="n"/>
      <c r="B132" s="80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33">
        <f>IFERROR(IF($B132="","",IF(ISNUMBER($F132),$B132*$F132*$D$3/$B$3,0)),"")</f>
        <v/>
      </c>
      <c r="K132" s="133">
        <f>IFERROR(IF($J132="","",$J132*IF(ISNUMBER($I132),$I132,'Index Summary'!$C$7)/100),"")</f>
        <v/>
      </c>
      <c r="L132" s="133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132">
        <f>IFERROR(IF(LEN($P132)&lt;&gt;3,1,IF($P132=$D$2,1,BDP($P132&amp;$D$2&amp;" Curncy","PX_LAST"))),1)</f>
        <v/>
      </c>
    </row>
    <row r="133">
      <c r="A133" s="16" t="n"/>
      <c r="B133" s="80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33">
        <f>IFERROR(IF($B133="","",IF(ISNUMBER($F133),$B133*$F133*$D$3/$B$3,0)),"")</f>
        <v/>
      </c>
      <c r="K133" s="133">
        <f>IFERROR(IF($J133="","",$J133*IF(ISNUMBER($I133),$I133,'Index Summary'!$C$7)/100),"")</f>
        <v/>
      </c>
      <c r="L133" s="133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132">
        <f>IFERROR(IF(LEN($P133)&lt;&gt;3,1,IF($P133=$D$2,1,BDP($P133&amp;$D$2&amp;" Curncy","PX_LAST"))),1)</f>
        <v/>
      </c>
    </row>
    <row r="134">
      <c r="A134" s="27" t="n"/>
      <c r="B134" s="80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33">
        <f>IFERROR(IF($B134="","",IF(ISNUMBER($F134),$B134*$F134*$D$3/$B$3,0)),"")</f>
        <v/>
      </c>
      <c r="K134" s="133">
        <f>IFERROR(IF($J134="","",$J134*IF(ISNUMBER($I134),$I134,'Index Summary'!$C$7)/100),"")</f>
        <v/>
      </c>
      <c r="L134" s="133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132">
        <f>IFERROR(IF(LEN($P134)&lt;&gt;3,1,IF($P134=$D$2,1,BDP($P134&amp;$D$2&amp;" Curncy","PX_LAST"))),1)</f>
        <v/>
      </c>
    </row>
    <row r="135">
      <c r="A135" s="16" t="n"/>
      <c r="B135" s="80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33">
        <f>IFERROR(IF($B135="","",IF(ISNUMBER($F135),$B135*$F135*$D$3/$B$3,0)),"")</f>
        <v/>
      </c>
      <c r="K135" s="133">
        <f>IFERROR(IF($J135="","",$J135*IF(ISNUMBER($I135),$I135,'Index Summary'!$C$7)/100),"")</f>
        <v/>
      </c>
      <c r="L135" s="133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132">
        <f>IFERROR(IF(LEN($P135)&lt;&gt;3,1,IF($P135=$D$2,1,BDP($P135&amp;$D$2&amp;" Curncy","PX_LAST"))),1)</f>
        <v/>
      </c>
    </row>
    <row r="136">
      <c r="A136" s="27" t="n"/>
      <c r="B136" s="80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33">
        <f>IFERROR(IF($B136="","",IF(ISNUMBER($F136),$B136*$F136*$D$3/$B$3,0)),"")</f>
        <v/>
      </c>
      <c r="K136" s="133">
        <f>IFERROR(IF($J136="","",$J136*IF(ISNUMBER($I136),$I136,'Index Summary'!$C$7)/100),"")</f>
        <v/>
      </c>
      <c r="L136" s="133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132">
        <f>IFERROR(IF(LEN($P136)&lt;&gt;3,1,IF($P136=$D$2,1,BDP($P136&amp;$D$2&amp;" Curncy","PX_LAST"))),1)</f>
        <v/>
      </c>
    </row>
    <row r="137">
      <c r="A137" s="16" t="n"/>
      <c r="B137" s="80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33">
        <f>IFERROR(IF($B137="","",IF(ISNUMBER($F137),$B137*$F137*$D$3/$B$3,0)),"")</f>
        <v/>
      </c>
      <c r="K137" s="133">
        <f>IFERROR(IF($J137="","",$J137*IF(ISNUMBER($I137),$I137,'Index Summary'!$C$7)/100),"")</f>
        <v/>
      </c>
      <c r="L137" s="133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132">
        <f>IFERROR(IF(LEN($P137)&lt;&gt;3,1,IF($P137=$D$2,1,BDP($P137&amp;$D$2&amp;" Curncy","PX_LAST"))),1)</f>
        <v/>
      </c>
    </row>
    <row r="138">
      <c r="A138" s="27" t="n"/>
      <c r="B138" s="80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33">
        <f>IFERROR(IF($B138="","",IF(ISNUMBER($F138),$B138*$F138*$D$3/$B$3,0)),"")</f>
        <v/>
      </c>
      <c r="K138" s="133">
        <f>IFERROR(IF($J138="","",$J138*IF(ISNUMBER($I138),$I138,'Index Summary'!$C$7)/100),"")</f>
        <v/>
      </c>
      <c r="L138" s="133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132">
        <f>IFERROR(IF(LEN($P138)&lt;&gt;3,1,IF($P138=$D$2,1,BDP($P138&amp;$D$2&amp;" Curncy","PX_LAST"))),1)</f>
        <v/>
      </c>
    </row>
    <row r="139">
      <c r="A139" s="16" t="n"/>
      <c r="B139" s="80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33">
        <f>IFERROR(IF($B139="","",IF(ISNUMBER($F139),$B139*$F139*$D$3/$B$3,0)),"")</f>
        <v/>
      </c>
      <c r="K139" s="133">
        <f>IFERROR(IF($J139="","",$J139*IF(ISNUMBER($I139),$I139,'Index Summary'!$C$7)/100),"")</f>
        <v/>
      </c>
      <c r="L139" s="133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132">
        <f>IFERROR(IF(LEN($P139)&lt;&gt;3,1,IF($P139=$D$2,1,BDP($P139&amp;$D$2&amp;" Curncy","PX_LAST"))),1)</f>
        <v/>
      </c>
    </row>
    <row r="140">
      <c r="A140" s="27" t="n"/>
      <c r="B140" s="80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33">
        <f>IFERROR(IF($B140="","",IF(ISNUMBER($F140),$B140*$F140*$D$3/$B$3,0)),"")</f>
        <v/>
      </c>
      <c r="K140" s="133">
        <f>IFERROR(IF($J140="","",$J140*IF(ISNUMBER($I140),$I140,'Index Summary'!$C$7)/100),"")</f>
        <v/>
      </c>
      <c r="L140" s="133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132">
        <f>IFERROR(IF(LEN($P140)&lt;&gt;3,1,IF($P140=$D$2,1,BDP($P140&amp;$D$2&amp;" Curncy","PX_LAST"))),1)</f>
        <v/>
      </c>
    </row>
    <row r="141">
      <c r="A141" s="16" t="n"/>
      <c r="B141" s="80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33">
        <f>IFERROR(IF($B141="","",IF(ISNUMBER($F141),$B141*$F141*$D$3/$B$3,0)),"")</f>
        <v/>
      </c>
      <c r="K141" s="133">
        <f>IFERROR(IF($J141="","",$J141*IF(ISNUMBER($I141),$I141,'Index Summary'!$C$7)/100),"")</f>
        <v/>
      </c>
      <c r="L141" s="133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132">
        <f>IFERROR(IF(LEN($P141)&lt;&gt;3,1,IF($P141=$D$2,1,BDP($P141&amp;$D$2&amp;" Curncy","PX_LAST"))),1)</f>
        <v/>
      </c>
    </row>
    <row r="142">
      <c r="A142" s="27" t="n"/>
      <c r="B142" s="80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33">
        <f>IFERROR(IF($B142="","",IF(ISNUMBER($F142),$B142*$F142*$D$3/$B$3,0)),"")</f>
        <v/>
      </c>
      <c r="K142" s="133">
        <f>IFERROR(IF($J142="","",$J142*IF(ISNUMBER($I142),$I142,'Index Summary'!$C$7)/100),"")</f>
        <v/>
      </c>
      <c r="L142" s="133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132">
        <f>IFERROR(IF(LEN($P142)&lt;&gt;3,1,IF($P142=$D$2,1,BDP($P142&amp;$D$2&amp;" Curncy","PX_LAST"))),1)</f>
        <v/>
      </c>
    </row>
    <row r="143">
      <c r="A143" s="16" t="n"/>
      <c r="B143" s="80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33">
        <f>IFERROR(IF($B143="","",IF(ISNUMBER($F143),$B143*$F143*$D$3/$B$3,0)),"")</f>
        <v/>
      </c>
      <c r="K143" s="133">
        <f>IFERROR(IF($J143="","",$J143*IF(ISNUMBER($I143),$I143,'Index Summary'!$C$7)/100),"")</f>
        <v/>
      </c>
      <c r="L143" s="133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132">
        <f>IFERROR(IF(LEN($P143)&lt;&gt;3,1,IF($P143=$D$2,1,BDP($P143&amp;$D$2&amp;" Curncy","PX_LAST"))),1)</f>
        <v/>
      </c>
    </row>
    <row r="144">
      <c r="A144" s="27" t="n"/>
      <c r="B144" s="80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33">
        <f>IFERROR(IF($B144="","",IF(ISNUMBER($F144),$B144*$F144*$D$3/$B$3,0)),"")</f>
        <v/>
      </c>
      <c r="K144" s="133">
        <f>IFERROR(IF($J144="","",$J144*IF(ISNUMBER($I144),$I144,'Index Summary'!$C$7)/100),"")</f>
        <v/>
      </c>
      <c r="L144" s="133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132">
        <f>IFERROR(IF(LEN($P144)&lt;&gt;3,1,IF($P144=$D$2,1,BDP($P144&amp;$D$2&amp;" Curncy","PX_LAST"))),1)</f>
        <v/>
      </c>
    </row>
    <row r="145">
      <c r="A145" s="16" t="n"/>
      <c r="B145" s="80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33">
        <f>IFERROR(IF($B145="","",IF(ISNUMBER($F145),$B145*$F145*$D$3/$B$3,0)),"")</f>
        <v/>
      </c>
      <c r="K145" s="133">
        <f>IFERROR(IF($J145="","",$J145*IF(ISNUMBER($I145),$I145,'Index Summary'!$C$7)/100),"")</f>
        <v/>
      </c>
      <c r="L145" s="133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132">
        <f>IFERROR(IF(LEN($P145)&lt;&gt;3,1,IF($P145=$D$2,1,BDP($P145&amp;$D$2&amp;" Curncy","PX_LAST"))),1)</f>
        <v/>
      </c>
    </row>
    <row r="146">
      <c r="A146" s="27" t="n"/>
      <c r="B146" s="80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33">
        <f>IFERROR(IF($B146="","",IF(ISNUMBER($F146),$B146*$F146*$D$3/$B$3,0)),"")</f>
        <v/>
      </c>
      <c r="K146" s="133">
        <f>IFERROR(IF($J146="","",$J146*IF(ISNUMBER($I146),$I146,'Index Summary'!$C$7)/100),"")</f>
        <v/>
      </c>
      <c r="L146" s="133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132">
        <f>IFERROR(IF(LEN($P146)&lt;&gt;3,1,IF($P146=$D$2,1,BDP($P146&amp;$D$2&amp;" Curncy","PX_LAST"))),1)</f>
        <v/>
      </c>
    </row>
    <row r="147">
      <c r="A147" s="16" t="n"/>
      <c r="B147" s="80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33">
        <f>IFERROR(IF($B147="","",IF(ISNUMBER($F147),$B147*$F147*$D$3/$B$3,0)),"")</f>
        <v/>
      </c>
      <c r="K147" s="133">
        <f>IFERROR(IF($J147="","",$J147*IF(ISNUMBER($I147),$I147,'Index Summary'!$C$7)/100),"")</f>
        <v/>
      </c>
      <c r="L147" s="133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132">
        <f>IFERROR(IF(LEN($P147)&lt;&gt;3,1,IF($P147=$D$2,1,BDP($P147&amp;$D$2&amp;" Curncy","PX_LAST"))),1)</f>
        <v/>
      </c>
    </row>
    <row r="148">
      <c r="A148" s="27" t="n"/>
      <c r="B148" s="80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33">
        <f>IFERROR(IF($B148="","",IF(ISNUMBER($F148),$B148*$F148*$D$3/$B$3,0)),"")</f>
        <v/>
      </c>
      <c r="K148" s="133">
        <f>IFERROR(IF($J148="","",$J148*IF(ISNUMBER($I148),$I148,'Index Summary'!$C$7)/100),"")</f>
        <v/>
      </c>
      <c r="L148" s="133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132">
        <f>IFERROR(IF(LEN($P148)&lt;&gt;3,1,IF($P148=$D$2,1,BDP($P148&amp;$D$2&amp;" Curncy","PX_LAST"))),1)</f>
        <v/>
      </c>
    </row>
    <row r="149">
      <c r="A149" s="16" t="n"/>
      <c r="B149" s="80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33">
        <f>IFERROR(IF($B149="","",IF(ISNUMBER($F149),$B149*$F149*$D$3/$B$3,0)),"")</f>
        <v/>
      </c>
      <c r="K149" s="133">
        <f>IFERROR(IF($J149="","",$J149*IF(ISNUMBER($I149),$I149,'Index Summary'!$C$7)/100),"")</f>
        <v/>
      </c>
      <c r="L149" s="133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132">
        <f>IFERROR(IF(LEN($P149)&lt;&gt;3,1,IF($P149=$D$2,1,BDP($P149&amp;$D$2&amp;" Curncy","PX_LAST"))),1)</f>
        <v/>
      </c>
    </row>
    <row r="150">
      <c r="A150" s="27" t="n"/>
      <c r="B150" s="80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33">
        <f>IFERROR(IF($B150="","",IF(ISNUMBER($F150),$B150*$F150*$D$3/$B$3,0)),"")</f>
        <v/>
      </c>
      <c r="K150" s="133">
        <f>IFERROR(IF($J150="","",$J150*IF(ISNUMBER($I150),$I150,'Index Summary'!$C$7)/100),"")</f>
        <v/>
      </c>
      <c r="L150" s="133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132">
        <f>IFERROR(IF(LEN($P150)&lt;&gt;3,1,IF($P150=$D$2,1,BDP($P150&amp;$D$2&amp;" Curncy","PX_LAST"))),1)</f>
        <v/>
      </c>
    </row>
    <row r="151">
      <c r="A151" s="16" t="n"/>
      <c r="B151" s="80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33">
        <f>IFERROR(IF($B151="","",IF(ISNUMBER($F151),$B151*$F151*$D$3/$B$3,0)),"")</f>
        <v/>
      </c>
      <c r="K151" s="133">
        <f>IFERROR(IF($J151="","",$J151*IF(ISNUMBER($I151),$I151,'Index Summary'!$C$7)/100),"")</f>
        <v/>
      </c>
      <c r="L151" s="133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132">
        <f>IFERROR(IF(LEN($P151)&lt;&gt;3,1,IF($P151=$D$2,1,BDP($P151&amp;$D$2&amp;" Curncy","PX_LAST"))),1)</f>
        <v/>
      </c>
    </row>
    <row r="152">
      <c r="A152" s="27" t="n"/>
      <c r="B152" s="80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33">
        <f>IFERROR(IF($B152="","",IF(ISNUMBER($F152),$B152*$F152*$D$3/$B$3,0)),"")</f>
        <v/>
      </c>
      <c r="K152" s="133">
        <f>IFERROR(IF($J152="","",$J152*IF(ISNUMBER($I152),$I152,'Index Summary'!$C$7)/100),"")</f>
        <v/>
      </c>
      <c r="L152" s="133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132">
        <f>IFERROR(IF(LEN($P152)&lt;&gt;3,1,IF($P152=$D$2,1,BDP($P152&amp;$D$2&amp;" Curncy","PX_LAST"))),1)</f>
        <v/>
      </c>
    </row>
    <row r="153">
      <c r="A153" s="16" t="n"/>
      <c r="B153" s="80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33">
        <f>IFERROR(IF($B153="","",IF(ISNUMBER($F153),$B153*$F153*$D$3/$B$3,0)),"")</f>
        <v/>
      </c>
      <c r="K153" s="133">
        <f>IFERROR(IF($J153="","",$J153*IF(ISNUMBER($I153),$I153,'Index Summary'!$C$7)/100),"")</f>
        <v/>
      </c>
      <c r="L153" s="133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132">
        <f>IFERROR(IF(LEN($P153)&lt;&gt;3,1,IF($P153=$D$2,1,BDP($P153&amp;$D$2&amp;" Curncy","PX_LAST"))),1)</f>
        <v/>
      </c>
    </row>
    <row r="154">
      <c r="A154" s="27" t="n"/>
      <c r="B154" s="80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33">
        <f>IFERROR(IF($B154="","",IF(ISNUMBER($F154),$B154*$F154*$D$3/$B$3,0)),"")</f>
        <v/>
      </c>
      <c r="K154" s="133">
        <f>IFERROR(IF($J154="","",$J154*IF(ISNUMBER($I154),$I154,'Index Summary'!$C$7)/100),"")</f>
        <v/>
      </c>
      <c r="L154" s="133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132">
        <f>IFERROR(IF(LEN($P154)&lt;&gt;3,1,IF($P154=$D$2,1,BDP($P154&amp;$D$2&amp;" Curncy","PX_LAST"))),1)</f>
        <v/>
      </c>
    </row>
    <row r="155">
      <c r="A155" s="16" t="n"/>
      <c r="B155" s="80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33">
        <f>IFERROR(IF($B155="","",IF(ISNUMBER($F155),$B155*$F155*$D$3/$B$3,0)),"")</f>
        <v/>
      </c>
      <c r="K155" s="133">
        <f>IFERROR(IF($J155="","",$J155*IF(ISNUMBER($I155),$I155,'Index Summary'!$C$7)/100),"")</f>
        <v/>
      </c>
      <c r="L155" s="133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132">
        <f>IFERROR(IF(LEN($P155)&lt;&gt;3,1,IF($P155=$D$2,1,BDP($P155&amp;$D$2&amp;" Curncy","PX_LAST"))),1)</f>
        <v/>
      </c>
    </row>
    <row r="156">
      <c r="A156" s="27" t="n"/>
      <c r="B156" s="80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33">
        <f>IFERROR(IF($B156="","",IF(ISNUMBER($F156),$B156*$F156*$D$3/$B$3,0)),"")</f>
        <v/>
      </c>
      <c r="K156" s="133">
        <f>IFERROR(IF($J156="","",$J156*IF(ISNUMBER($I156),$I156,'Index Summary'!$C$7)/100),"")</f>
        <v/>
      </c>
      <c r="L156" s="133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132">
        <f>IFERROR(IF(LEN($P156)&lt;&gt;3,1,IF($P156=$D$2,1,BDP($P156&amp;$D$2&amp;" Curncy","PX_LAST"))),1)</f>
        <v/>
      </c>
    </row>
    <row r="157">
      <c r="A157" s="16" t="n"/>
      <c r="B157" s="80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33">
        <f>IFERROR(IF($B157="","",IF(ISNUMBER($F157),$B157*$F157*$D$3/$B$3,0)),"")</f>
        <v/>
      </c>
      <c r="K157" s="133">
        <f>IFERROR(IF($J157="","",$J157*IF(ISNUMBER($I157),$I157,'Index Summary'!$C$7)/100),"")</f>
        <v/>
      </c>
      <c r="L157" s="133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132">
        <f>IFERROR(IF(LEN($P157)&lt;&gt;3,1,IF($P157=$D$2,1,BDP($P157&amp;$D$2&amp;" Curncy","PX_LAST"))),1)</f>
        <v/>
      </c>
    </row>
    <row r="158">
      <c r="A158" s="27" t="n"/>
      <c r="B158" s="80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33">
        <f>IFERROR(IF($B158="","",IF(ISNUMBER($F158),$B158*$F158*$D$3/$B$3,0)),"")</f>
        <v/>
      </c>
      <c r="K158" s="133">
        <f>IFERROR(IF($J158="","",$J158*IF(ISNUMBER($I158),$I158,'Index Summary'!$C$7)/100),"")</f>
        <v/>
      </c>
      <c r="L158" s="133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132">
        <f>IFERROR(IF(LEN($P158)&lt;&gt;3,1,IF($P158=$D$2,1,BDP($P158&amp;$D$2&amp;" Curncy","PX_LAST"))),1)</f>
        <v/>
      </c>
    </row>
    <row r="159">
      <c r="A159" s="16" t="n"/>
      <c r="B159" s="80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33">
        <f>IFERROR(IF($B159="","",IF(ISNUMBER($F159),$B159*$F159*$D$3/$B$3,0)),"")</f>
        <v/>
      </c>
      <c r="K159" s="133">
        <f>IFERROR(IF($J159="","",$J159*IF(ISNUMBER($I159),$I159,'Index Summary'!$C$7)/100),"")</f>
        <v/>
      </c>
      <c r="L159" s="133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132">
        <f>IFERROR(IF(LEN($P159)&lt;&gt;3,1,IF($P159=$D$2,1,BDP($P159&amp;$D$2&amp;" Curncy","PX_LAST"))),1)</f>
        <v/>
      </c>
    </row>
    <row r="160">
      <c r="A160" s="27" t="n"/>
      <c r="B160" s="80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33">
        <f>IFERROR(IF($B160="","",IF(ISNUMBER($F160),$B160*$F160*$D$3/$B$3,0)),"")</f>
        <v/>
      </c>
      <c r="K160" s="133">
        <f>IFERROR(IF($J160="","",$J160*IF(ISNUMBER($I160),$I160,'Index Summary'!$C$7)/100),"")</f>
        <v/>
      </c>
      <c r="L160" s="133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132">
        <f>IFERROR(IF(LEN($P160)&lt;&gt;3,1,IF($P160=$D$2,1,BDP($P160&amp;$D$2&amp;" Curncy","PX_LAST"))),1)</f>
        <v/>
      </c>
    </row>
    <row r="161">
      <c r="A161" s="16" t="n"/>
      <c r="B161" s="80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33">
        <f>IFERROR(IF($B161="","",IF(ISNUMBER($F161),$B161*$F161*$D$3/$B$3,0)),"")</f>
        <v/>
      </c>
      <c r="K161" s="133">
        <f>IFERROR(IF($J161="","",$J161*IF(ISNUMBER($I161),$I161,'Index Summary'!$C$7)/100),"")</f>
        <v/>
      </c>
      <c r="L161" s="133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132">
        <f>IFERROR(IF(LEN($P161)&lt;&gt;3,1,IF($P161=$D$2,1,BDP($P161&amp;$D$2&amp;" Curncy","PX_LAST"))),1)</f>
        <v/>
      </c>
    </row>
    <row r="162">
      <c r="A162" s="27" t="n"/>
      <c r="B162" s="80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33">
        <f>IFERROR(IF($B162="","",IF(ISNUMBER($F162),$B162*$F162*$D$3/$B$3,0)),"")</f>
        <v/>
      </c>
      <c r="K162" s="133">
        <f>IFERROR(IF($J162="","",$J162*IF(ISNUMBER($I162),$I162,'Index Summary'!$C$7)/100),"")</f>
        <v/>
      </c>
      <c r="L162" s="133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132">
        <f>IFERROR(IF(LEN($P162)&lt;&gt;3,1,IF($P162=$D$2,1,BDP($P162&amp;$D$2&amp;" Curncy","PX_LAST"))),1)</f>
        <v/>
      </c>
    </row>
    <row r="163">
      <c r="A163" s="16" t="n"/>
      <c r="B163" s="80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33">
        <f>IFERROR(IF($B163="","",IF(ISNUMBER($F163),$B163*$F163*$D$3/$B$3,0)),"")</f>
        <v/>
      </c>
      <c r="K163" s="133">
        <f>IFERROR(IF($J163="","",$J163*IF(ISNUMBER($I163),$I163,'Index Summary'!$C$7)/100),"")</f>
        <v/>
      </c>
      <c r="L163" s="133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132">
        <f>IFERROR(IF(LEN($P163)&lt;&gt;3,1,IF($P163=$D$2,1,BDP($P163&amp;$D$2&amp;" Curncy","PX_LAST"))),1)</f>
        <v/>
      </c>
    </row>
    <row r="164">
      <c r="A164" s="27" t="n"/>
      <c r="B164" s="80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33">
        <f>IFERROR(IF($B164="","",IF(ISNUMBER($F164),$B164*$F164*$D$3/$B$3,0)),"")</f>
        <v/>
      </c>
      <c r="K164" s="133">
        <f>IFERROR(IF($J164="","",$J164*IF(ISNUMBER($I164),$I164,'Index Summary'!$C$7)/100),"")</f>
        <v/>
      </c>
      <c r="L164" s="133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132">
        <f>IFERROR(IF(LEN($P164)&lt;&gt;3,1,IF($P164=$D$2,1,BDP($P164&amp;$D$2&amp;" Curncy","PX_LAST"))),1)</f>
        <v/>
      </c>
    </row>
    <row r="165">
      <c r="A165" s="16" t="n"/>
      <c r="B165" s="80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33">
        <f>IFERROR(IF($B165="","",IF(ISNUMBER($F165),$B165*$F165*$D$3/$B$3,0)),"")</f>
        <v/>
      </c>
      <c r="K165" s="133">
        <f>IFERROR(IF($J165="","",$J165*IF(ISNUMBER($I165),$I165,'Index Summary'!$C$7)/100),"")</f>
        <v/>
      </c>
      <c r="L165" s="133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132">
        <f>IFERROR(IF(LEN($P165)&lt;&gt;3,1,IF($P165=$D$2,1,BDP($P165&amp;$D$2&amp;" Curncy","PX_LAST"))),1)</f>
        <v/>
      </c>
    </row>
    <row r="166">
      <c r="A166" s="27" t="n"/>
      <c r="B166" s="80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33">
        <f>IFERROR(IF($B166="","",IF(ISNUMBER($F166),$B166*$F166*$D$3/$B$3,0)),"")</f>
        <v/>
      </c>
      <c r="K166" s="133">
        <f>IFERROR(IF($J166="","",$J166*IF(ISNUMBER($I166),$I166,'Index Summary'!$C$7)/100),"")</f>
        <v/>
      </c>
      <c r="L166" s="133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132">
        <f>IFERROR(IF(LEN($P166)&lt;&gt;3,1,IF($P166=$D$2,1,BDP($P166&amp;$D$2&amp;" Curncy","PX_LAST"))),1)</f>
        <v/>
      </c>
    </row>
    <row r="167">
      <c r="A167" s="16" t="n"/>
      <c r="B167" s="80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33">
        <f>IFERROR(IF($B167="","",IF(ISNUMBER($F167),$B167*$F167*$D$3/$B$3,0)),"")</f>
        <v/>
      </c>
      <c r="K167" s="133">
        <f>IFERROR(IF($J167="","",$J167*IF(ISNUMBER($I167),$I167,'Index Summary'!$C$7)/100),"")</f>
        <v/>
      </c>
      <c r="L167" s="133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132">
        <f>IFERROR(IF(LEN($P167)&lt;&gt;3,1,IF($P167=$D$2,1,BDP($P167&amp;$D$2&amp;" Curncy","PX_LAST"))),1)</f>
        <v/>
      </c>
    </row>
    <row r="168">
      <c r="A168" s="27" t="n"/>
      <c r="B168" s="80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33">
        <f>IFERROR(IF($B168="","",IF(ISNUMBER($F168),$B168*$F168*$D$3/$B$3,0)),"")</f>
        <v/>
      </c>
      <c r="K168" s="133">
        <f>IFERROR(IF($J168="","",$J168*IF(ISNUMBER($I168),$I168,'Index Summary'!$C$7)/100),"")</f>
        <v/>
      </c>
      <c r="L168" s="133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132">
        <f>IFERROR(IF(LEN($P168)&lt;&gt;3,1,IF($P168=$D$2,1,BDP($P168&amp;$D$2&amp;" Curncy","PX_LAST"))),1)</f>
        <v/>
      </c>
    </row>
    <row r="169">
      <c r="A169" s="16" t="n"/>
      <c r="B169" s="80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33">
        <f>IFERROR(IF($B169="","",IF(ISNUMBER($F169),$B169*$F169*$D$3/$B$3,0)),"")</f>
        <v/>
      </c>
      <c r="K169" s="133">
        <f>IFERROR(IF($J169="","",$J169*IF(ISNUMBER($I169),$I169,'Index Summary'!$C$7)/100),"")</f>
        <v/>
      </c>
      <c r="L169" s="133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132">
        <f>IFERROR(IF(LEN($P169)&lt;&gt;3,1,IF($P169=$D$2,1,BDP($P169&amp;$D$2&amp;" Curncy","PX_LAST"))),1)</f>
        <v/>
      </c>
    </row>
    <row r="170">
      <c r="A170" s="27" t="n"/>
      <c r="B170" s="80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33">
        <f>IFERROR(IF($B170="","",IF(ISNUMBER($F170),$B170*$F170*$D$3/$B$3,0)),"")</f>
        <v/>
      </c>
      <c r="K170" s="133">
        <f>IFERROR(IF($J170="","",$J170*IF(ISNUMBER($I170),$I170,'Index Summary'!$C$7)/100),"")</f>
        <v/>
      </c>
      <c r="L170" s="133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132">
        <f>IFERROR(IF(LEN($P170)&lt;&gt;3,1,IF($P170=$D$2,1,BDP($P170&amp;$D$2&amp;" Curncy","PX_LAST"))),1)</f>
        <v/>
      </c>
    </row>
    <row r="171">
      <c r="A171" s="16" t="n"/>
      <c r="B171" s="80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33">
        <f>IFERROR(IF($B171="","",IF(ISNUMBER($F171),$B171*$F171*$D$3/$B$3,0)),"")</f>
        <v/>
      </c>
      <c r="K171" s="133">
        <f>IFERROR(IF($J171="","",$J171*IF(ISNUMBER($I171),$I171,'Index Summary'!$C$7)/100),"")</f>
        <v/>
      </c>
      <c r="L171" s="133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132">
        <f>IFERROR(IF(LEN($P171)&lt;&gt;3,1,IF($P171=$D$2,1,BDP($P171&amp;$D$2&amp;" Curncy","PX_LAST"))),1)</f>
        <v/>
      </c>
    </row>
    <row r="172">
      <c r="A172" s="27" t="n"/>
      <c r="B172" s="80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33">
        <f>IFERROR(IF($B172="","",IF(ISNUMBER($F172),$B172*$F172*$D$3/$B$3,0)),"")</f>
        <v/>
      </c>
      <c r="K172" s="133">
        <f>IFERROR(IF($J172="","",$J172*IF(ISNUMBER($I172),$I172,'Index Summary'!$C$7)/100),"")</f>
        <v/>
      </c>
      <c r="L172" s="133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132">
        <f>IFERROR(IF(LEN($P172)&lt;&gt;3,1,IF($P172=$D$2,1,BDP($P172&amp;$D$2&amp;" Curncy","PX_LAST"))),1)</f>
        <v/>
      </c>
    </row>
    <row r="173">
      <c r="A173" s="16" t="n"/>
      <c r="B173" s="80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33">
        <f>IFERROR(IF($B173="","",IF(ISNUMBER($F173),$B173*$F173*$D$3/$B$3,0)),"")</f>
        <v/>
      </c>
      <c r="K173" s="133">
        <f>IFERROR(IF($J173="","",$J173*IF(ISNUMBER($I173),$I173,'Index Summary'!$C$7)/100),"")</f>
        <v/>
      </c>
      <c r="L173" s="133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132">
        <f>IFERROR(IF(LEN($P173)&lt;&gt;3,1,IF($P173=$D$2,1,BDP($P173&amp;$D$2&amp;" Curncy","PX_LAST"))),1)</f>
        <v/>
      </c>
    </row>
    <row r="174">
      <c r="A174" s="27" t="n"/>
      <c r="B174" s="80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33">
        <f>IFERROR(IF($B174="","",IF(ISNUMBER($F174),$B174*$F174*$D$3/$B$3,0)),"")</f>
        <v/>
      </c>
      <c r="K174" s="133">
        <f>IFERROR(IF($J174="","",$J174*IF(ISNUMBER($I174),$I174,'Index Summary'!$C$7)/100),"")</f>
        <v/>
      </c>
      <c r="L174" s="133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132">
        <f>IFERROR(IF(LEN($P174)&lt;&gt;3,1,IF($P174=$D$2,1,BDP($P174&amp;$D$2&amp;" Curncy","PX_LAST"))),1)</f>
        <v/>
      </c>
    </row>
    <row r="175">
      <c r="A175" s="16" t="n"/>
      <c r="B175" s="80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33">
        <f>IFERROR(IF($B175="","",IF(ISNUMBER($F175),$B175*$F175*$D$3/$B$3,0)),"")</f>
        <v/>
      </c>
      <c r="K175" s="133">
        <f>IFERROR(IF($J175="","",$J175*IF(ISNUMBER($I175),$I175,'Index Summary'!$C$7)/100),"")</f>
        <v/>
      </c>
      <c r="L175" s="133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132">
        <f>IFERROR(IF(LEN($P175)&lt;&gt;3,1,IF($P175=$D$2,1,BDP($P175&amp;$D$2&amp;" Curncy","PX_LAST"))),1)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Z579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</cols>
  <sheetData>
    <row r="1">
      <c r="A1" s="1" t="inlineStr">
        <is>
          <t>DIVIDEND CALENDAR - PROJECTED EX-DATES &amp; AMOUNTS PER STOCK</t>
        </is>
      </c>
    </row>
    <row r="2">
      <c r="A2" s="2" t="inlineStr">
        <is>
          <t>One Bloomberg pull per stock (BDVD_ALL_PROJECTIONS): top row = ex-dates, bottom row = amounts, spilling right. startcol/endcol pick those two columns; dir=h lays them flat. The Override tab buckets each stock's amounts by contract window; Accrual turns them into index points. This tab is NEVER edited - overrides live on the Override tab.</t>
        </is>
      </c>
    </row>
    <row r="3">
      <c r="B3" s="3" t="inlineStr">
        <is>
          <t>CHECKS</t>
        </is>
      </c>
      <c r="C3" s="2" t="inlineStr">
        <is>
          <t>ex-dates read</t>
        </is>
      </c>
      <c r="D3" s="82">
        <f>SUMPRODUCT(($A$7:$A$416&lt;&gt;"")*$B$7:$B$416)+SUMPRODUCT(($A$420:$A$579&lt;&gt;"")*$B$420:$B$579)</f>
        <v/>
      </c>
      <c r="E3" s="2" t="inlineStr">
        <is>
          <t>amounts read</t>
        </is>
      </c>
      <c r="F3" s="82">
        <f>SUM($B$7:$B$416)+SUM($B$420:$B$579)-$D$3</f>
        <v/>
      </c>
      <c r="G3" s="2" t="inlineStr">
        <is>
          <t>stocks with 0 projections</t>
        </is>
      </c>
      <c r="I3" s="83">
        <f>SUMPRODUCT(($A$7:$A$416&lt;&gt;"")*($B$7:$B$416=0))+SUMPRODUCT(($A$420:$A$579&lt;&gt;"")*($B$420:$B$579=0))</f>
        <v/>
      </c>
      <c r="J3" s="2" t="inlineStr">
        <is>
          <t>last projected ex-date</t>
        </is>
      </c>
      <c r="K3" s="52">
        <f>IFERROR(IF(MAX($C$7:$C$416,$C$420:$C$579)=0,"",MAX($C$7:$C$416,$C$420:$C$579)),"")</f>
        <v/>
      </c>
    </row>
    <row r="4">
      <c r="A4" s="2" t="inlineStr">
        <is>
          <t>Non-payers show 0 projections too - compare the No dividend counts (L2) on the data tabs. ex-dates and amounts should match; a difference means a ragged pull - eyeball that stock. Every ex-date row is pre-formatted as Short Date (Bloomberg hands dates over as serial numbers like 46328); amount rows stay numeric. Other BDS fields (e.g. DVD_HIST_ALL) spill a DIFFERENT shape - check the live sample on Field Check before swapping the field.</t>
        </is>
      </c>
    </row>
    <row r="5">
      <c r="A5" s="3" t="inlineStr">
        <is>
          <t>S&amp;P/ASX 200 (AS51)</t>
        </is>
      </c>
    </row>
    <row r="6">
      <c r="A6" s="54" t="inlineStr">
        <is>
          <t>Ticker</t>
        </is>
      </c>
      <c r="B6" s="54" t="inlineStr">
        <is>
          <t>Events</t>
        </is>
      </c>
      <c r="C6" s="54" t="inlineStr">
        <is>
          <t>Last ex</t>
        </is>
      </c>
      <c r="D6" s="54" t="inlineStr">
        <is>
          <t>Bloomberg spill -&gt;</t>
        </is>
      </c>
    </row>
    <row r="7">
      <c r="A7" s="5">
        <f>IF(AS51!$C$6="","",AS51!$C$6)</f>
        <v/>
      </c>
      <c r="B7" s="134">
        <f>IF($A7="",0,COUNT($E7:$CZ7))</f>
        <v/>
      </c>
      <c r="C7" s="135">
        <f>IF($A7="",0,IF($B7=0,0,MAX($E7:$CZ7)))</f>
        <v/>
      </c>
      <c r="D7" s="74">
        <f>BDS($A7,'Field Check'!$C$42,"headers=y","startcol=2","endcol=3","dir=h")</f>
        <v/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5" t="n"/>
      <c r="BK7" s="75" t="n"/>
      <c r="BL7" s="75" t="n"/>
      <c r="BM7" s="75" t="n"/>
      <c r="BN7" s="75" t="n"/>
      <c r="BO7" s="75" t="n"/>
      <c r="BP7" s="75" t="n"/>
      <c r="BQ7" s="75" t="n"/>
      <c r="BR7" s="75" t="n"/>
      <c r="BS7" s="75" t="n"/>
      <c r="BT7" s="75" t="n"/>
      <c r="BU7" s="75" t="n"/>
      <c r="BV7" s="75" t="n"/>
      <c r="BW7" s="75" t="n"/>
      <c r="BX7" s="75" t="n"/>
      <c r="BY7" s="75" t="n"/>
      <c r="BZ7" s="75" t="n"/>
      <c r="CA7" s="75" t="n"/>
      <c r="CB7" s="75" t="n"/>
      <c r="CC7" s="75" t="n"/>
      <c r="CD7" s="75" t="n"/>
      <c r="CE7" s="75" t="n"/>
      <c r="CF7" s="75" t="n"/>
      <c r="CG7" s="75" t="n"/>
      <c r="CH7" s="75" t="n"/>
      <c r="CI7" s="75" t="n"/>
      <c r="CJ7" s="75" t="n"/>
      <c r="CK7" s="75" t="n"/>
      <c r="CL7" s="75" t="n"/>
      <c r="CM7" s="75" t="n"/>
      <c r="CN7" s="75" t="n"/>
      <c r="CO7" s="75" t="n"/>
      <c r="CP7" s="75" t="n"/>
      <c r="CQ7" s="75" t="n"/>
      <c r="CR7" s="75" t="n"/>
      <c r="CS7" s="75" t="n"/>
      <c r="CT7" s="75" t="n"/>
      <c r="CU7" s="75" t="n"/>
      <c r="CV7" s="75" t="n"/>
      <c r="CW7" s="75" t="n"/>
      <c r="CX7" s="75" t="n"/>
      <c r="CY7" s="75" t="n"/>
      <c r="CZ7" s="75" t="n"/>
    </row>
    <row r="8">
      <c r="B8" s="134">
        <f>IF($A7="",0,COUNT($E8:$CZ8))</f>
        <v/>
      </c>
    </row>
    <row r="9">
      <c r="A9" s="5">
        <f>IF(AS51!$C$7="","",AS51!$C$7)</f>
        <v/>
      </c>
      <c r="B9" s="134">
        <f>IF($A9="",0,COUNT($E9:$CZ9))</f>
        <v/>
      </c>
      <c r="C9" s="135">
        <f>IF($A9="",0,IF($B9=0,0,MAX($E9:$CZ9)))</f>
        <v/>
      </c>
      <c r="D9" s="74">
        <f>BDS($A9,'Field Check'!$C$42,"headers=y","startcol=2","endcol=3","dir=h")</f>
        <v/>
      </c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5" t="n"/>
      <c r="BK9" s="75" t="n"/>
      <c r="BL9" s="75" t="n"/>
      <c r="BM9" s="75" t="n"/>
      <c r="BN9" s="75" t="n"/>
      <c r="BO9" s="75" t="n"/>
      <c r="BP9" s="75" t="n"/>
      <c r="BQ9" s="75" t="n"/>
      <c r="BR9" s="75" t="n"/>
      <c r="BS9" s="75" t="n"/>
      <c r="BT9" s="75" t="n"/>
      <c r="BU9" s="75" t="n"/>
      <c r="BV9" s="75" t="n"/>
      <c r="BW9" s="75" t="n"/>
      <c r="BX9" s="75" t="n"/>
      <c r="BY9" s="75" t="n"/>
      <c r="BZ9" s="75" t="n"/>
      <c r="CA9" s="75" t="n"/>
      <c r="CB9" s="75" t="n"/>
      <c r="CC9" s="75" t="n"/>
      <c r="CD9" s="75" t="n"/>
      <c r="CE9" s="75" t="n"/>
      <c r="CF9" s="75" t="n"/>
      <c r="CG9" s="75" t="n"/>
      <c r="CH9" s="75" t="n"/>
      <c r="CI9" s="75" t="n"/>
      <c r="CJ9" s="75" t="n"/>
      <c r="CK9" s="75" t="n"/>
      <c r="CL9" s="75" t="n"/>
      <c r="CM9" s="75" t="n"/>
      <c r="CN9" s="75" t="n"/>
      <c r="CO9" s="75" t="n"/>
      <c r="CP9" s="75" t="n"/>
      <c r="CQ9" s="75" t="n"/>
      <c r="CR9" s="75" t="n"/>
      <c r="CS9" s="75" t="n"/>
      <c r="CT9" s="75" t="n"/>
      <c r="CU9" s="75" t="n"/>
      <c r="CV9" s="75" t="n"/>
      <c r="CW9" s="75" t="n"/>
      <c r="CX9" s="75" t="n"/>
      <c r="CY9" s="75" t="n"/>
      <c r="CZ9" s="75" t="n"/>
    </row>
    <row r="10">
      <c r="B10" s="134">
        <f>IF($A9="",0,COUNT($E10:$CZ10))</f>
        <v/>
      </c>
    </row>
    <row r="11">
      <c r="A11" s="5">
        <f>IF(AS51!$C$8="","",AS51!$C$8)</f>
        <v/>
      </c>
      <c r="B11" s="134">
        <f>IF($A11="",0,COUNT($E11:$CZ11))</f>
        <v/>
      </c>
      <c r="C11" s="135">
        <f>IF($A11="",0,IF($B11=0,0,MAX($E11:$CZ11)))</f>
        <v/>
      </c>
      <c r="D11" s="74">
        <f>BDS($A11,'Field Check'!$C$42,"headers=y","startcol=2","endcol=3","dir=h")</f>
        <v/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5" t="n"/>
      <c r="CO11" s="75" t="n"/>
      <c r="CP11" s="75" t="n"/>
      <c r="CQ11" s="75" t="n"/>
      <c r="CR11" s="75" t="n"/>
      <c r="CS11" s="75" t="n"/>
      <c r="CT11" s="75" t="n"/>
      <c r="CU11" s="75" t="n"/>
      <c r="CV11" s="75" t="n"/>
      <c r="CW11" s="75" t="n"/>
      <c r="CX11" s="75" t="n"/>
      <c r="CY11" s="75" t="n"/>
      <c r="CZ11" s="75" t="n"/>
    </row>
    <row r="12">
      <c r="B12" s="134">
        <f>IF($A11="",0,COUNT($E12:$CZ12))</f>
        <v/>
      </c>
    </row>
    <row r="13">
      <c r="A13" s="5">
        <f>IF(AS51!$C$9="","",AS51!$C$9)</f>
        <v/>
      </c>
      <c r="B13" s="134">
        <f>IF($A13="",0,COUNT($E13:$CZ13))</f>
        <v/>
      </c>
      <c r="C13" s="135">
        <f>IF($A13="",0,IF($B13=0,0,MAX($E13:$CZ13)))</f>
        <v/>
      </c>
      <c r="D13" s="74">
        <f>BDS($A13,'Field Check'!$C$42,"headers=y","startcol=2","endcol=3","dir=h")</f>
        <v/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  <c r="BY13" s="75" t="n"/>
      <c r="BZ13" s="75" t="n"/>
      <c r="CA13" s="75" t="n"/>
      <c r="CB13" s="75" t="n"/>
      <c r="CC13" s="75" t="n"/>
      <c r="CD13" s="75" t="n"/>
      <c r="CE13" s="75" t="n"/>
      <c r="CF13" s="75" t="n"/>
      <c r="CG13" s="75" t="n"/>
      <c r="CH13" s="75" t="n"/>
      <c r="CI13" s="75" t="n"/>
      <c r="CJ13" s="75" t="n"/>
      <c r="CK13" s="75" t="n"/>
      <c r="CL13" s="75" t="n"/>
      <c r="CM13" s="75" t="n"/>
      <c r="CN13" s="75" t="n"/>
      <c r="CO13" s="75" t="n"/>
      <c r="CP13" s="75" t="n"/>
      <c r="CQ13" s="75" t="n"/>
      <c r="CR13" s="75" t="n"/>
      <c r="CS13" s="75" t="n"/>
      <c r="CT13" s="75" t="n"/>
      <c r="CU13" s="75" t="n"/>
      <c r="CV13" s="75" t="n"/>
      <c r="CW13" s="75" t="n"/>
      <c r="CX13" s="75" t="n"/>
      <c r="CY13" s="75" t="n"/>
      <c r="CZ13" s="75" t="n"/>
    </row>
    <row r="14">
      <c r="B14" s="134">
        <f>IF($A13="",0,COUNT($E14:$CZ14))</f>
        <v/>
      </c>
    </row>
    <row r="15">
      <c r="A15" s="5">
        <f>IF(AS51!$C$10="","",AS51!$C$10)</f>
        <v/>
      </c>
      <c r="B15" s="134">
        <f>IF($A15="",0,COUNT($E15:$CZ15))</f>
        <v/>
      </c>
      <c r="C15" s="135">
        <f>IF($A15="",0,IF($B15=0,0,MAX($E15:$CZ15)))</f>
        <v/>
      </c>
      <c r="D15" s="74">
        <f>BDS($A15,'Field Check'!$C$42,"headers=y","startcol=2","endcol=3","dir=h")</f>
        <v/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75" t="n"/>
      <c r="BR15" s="75" t="n"/>
      <c r="BS15" s="75" t="n"/>
      <c r="BT15" s="75" t="n"/>
      <c r="BU15" s="75" t="n"/>
      <c r="BV15" s="75" t="n"/>
      <c r="BW15" s="75" t="n"/>
      <c r="BX15" s="75" t="n"/>
      <c r="BY15" s="75" t="n"/>
      <c r="BZ15" s="75" t="n"/>
      <c r="CA15" s="75" t="n"/>
      <c r="CB15" s="75" t="n"/>
      <c r="CC15" s="75" t="n"/>
      <c r="CD15" s="75" t="n"/>
      <c r="CE15" s="75" t="n"/>
      <c r="CF15" s="75" t="n"/>
      <c r="CG15" s="75" t="n"/>
      <c r="CH15" s="75" t="n"/>
      <c r="CI15" s="75" t="n"/>
      <c r="CJ15" s="75" t="n"/>
      <c r="CK15" s="75" t="n"/>
      <c r="CL15" s="75" t="n"/>
      <c r="CM15" s="75" t="n"/>
      <c r="CN15" s="75" t="n"/>
      <c r="CO15" s="75" t="n"/>
      <c r="CP15" s="75" t="n"/>
      <c r="CQ15" s="75" t="n"/>
      <c r="CR15" s="75" t="n"/>
      <c r="CS15" s="75" t="n"/>
      <c r="CT15" s="75" t="n"/>
      <c r="CU15" s="75" t="n"/>
      <c r="CV15" s="75" t="n"/>
      <c r="CW15" s="75" t="n"/>
      <c r="CX15" s="75" t="n"/>
      <c r="CY15" s="75" t="n"/>
      <c r="CZ15" s="75" t="n"/>
    </row>
    <row r="16">
      <c r="B16" s="134">
        <f>IF($A15="",0,COUNT($E16:$CZ16))</f>
        <v/>
      </c>
    </row>
    <row r="17">
      <c r="A17" s="5">
        <f>IF(AS51!$C$11="","",AS51!$C$11)</f>
        <v/>
      </c>
      <c r="B17" s="134">
        <f>IF($A17="",0,COUNT($E17:$CZ17))</f>
        <v/>
      </c>
      <c r="C17" s="135">
        <f>IF($A17="",0,IF($B17=0,0,MAX($E17:$CZ17)))</f>
        <v/>
      </c>
      <c r="D17" s="74">
        <f>BDS($A17,'Field Check'!$C$42,"headers=y","startcol=2","endcol=3","dir=h")</f>
        <v/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5" t="n"/>
      <c r="BK17" s="75" t="n"/>
      <c r="BL17" s="75" t="n"/>
      <c r="BM17" s="75" t="n"/>
      <c r="BN17" s="75" t="n"/>
      <c r="BO17" s="75" t="n"/>
      <c r="BP17" s="75" t="n"/>
      <c r="BQ17" s="75" t="n"/>
      <c r="BR17" s="75" t="n"/>
      <c r="BS17" s="75" t="n"/>
      <c r="BT17" s="75" t="n"/>
      <c r="BU17" s="75" t="n"/>
      <c r="BV17" s="75" t="n"/>
      <c r="BW17" s="75" t="n"/>
      <c r="BX17" s="75" t="n"/>
      <c r="BY17" s="75" t="n"/>
      <c r="BZ17" s="75" t="n"/>
      <c r="CA17" s="75" t="n"/>
      <c r="CB17" s="75" t="n"/>
      <c r="CC17" s="75" t="n"/>
      <c r="CD17" s="75" t="n"/>
      <c r="CE17" s="75" t="n"/>
      <c r="CF17" s="75" t="n"/>
      <c r="CG17" s="75" t="n"/>
      <c r="CH17" s="75" t="n"/>
      <c r="CI17" s="75" t="n"/>
      <c r="CJ17" s="75" t="n"/>
      <c r="CK17" s="75" t="n"/>
      <c r="CL17" s="75" t="n"/>
      <c r="CM17" s="75" t="n"/>
      <c r="CN17" s="75" t="n"/>
      <c r="CO17" s="75" t="n"/>
      <c r="CP17" s="75" t="n"/>
      <c r="CQ17" s="75" t="n"/>
      <c r="CR17" s="75" t="n"/>
      <c r="CS17" s="75" t="n"/>
      <c r="CT17" s="75" t="n"/>
      <c r="CU17" s="75" t="n"/>
      <c r="CV17" s="75" t="n"/>
      <c r="CW17" s="75" t="n"/>
      <c r="CX17" s="75" t="n"/>
      <c r="CY17" s="75" t="n"/>
      <c r="CZ17" s="75" t="n"/>
    </row>
    <row r="18">
      <c r="B18" s="134">
        <f>IF($A17="",0,COUNT($E18:$CZ18))</f>
        <v/>
      </c>
    </row>
    <row r="19">
      <c r="A19" s="5">
        <f>IF(AS51!$C$12="","",AS51!$C$12)</f>
        <v/>
      </c>
      <c r="B19" s="134">
        <f>IF($A19="",0,COUNT($E19:$CZ19))</f>
        <v/>
      </c>
      <c r="C19" s="135">
        <f>IF($A19="",0,IF($B19=0,0,MAX($E19:$CZ19)))</f>
        <v/>
      </c>
      <c r="D19" s="74">
        <f>BDS($A19,'Field Check'!$C$42,"headers=y","startcol=2","endcol=3","dir=h")</f>
        <v/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  <c r="AA19" s="75" t="n"/>
      <c r="AB19" s="75" t="n"/>
      <c r="AC19" s="75" t="n"/>
      <c r="AD19" s="75" t="n"/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75" t="n"/>
      <c r="BR19" s="75" t="n"/>
      <c r="BS19" s="75" t="n"/>
      <c r="BT19" s="75" t="n"/>
      <c r="BU19" s="75" t="n"/>
      <c r="BV19" s="75" t="n"/>
      <c r="BW19" s="75" t="n"/>
      <c r="BX19" s="75" t="n"/>
      <c r="BY19" s="75" t="n"/>
      <c r="BZ19" s="75" t="n"/>
      <c r="CA19" s="75" t="n"/>
      <c r="CB19" s="75" t="n"/>
      <c r="CC19" s="75" t="n"/>
      <c r="CD19" s="75" t="n"/>
      <c r="CE19" s="75" t="n"/>
      <c r="CF19" s="75" t="n"/>
      <c r="CG19" s="75" t="n"/>
      <c r="CH19" s="75" t="n"/>
      <c r="CI19" s="75" t="n"/>
      <c r="CJ19" s="75" t="n"/>
      <c r="CK19" s="75" t="n"/>
      <c r="CL19" s="75" t="n"/>
      <c r="CM19" s="75" t="n"/>
      <c r="CN19" s="75" t="n"/>
      <c r="CO19" s="75" t="n"/>
      <c r="CP19" s="75" t="n"/>
      <c r="CQ19" s="75" t="n"/>
      <c r="CR19" s="75" t="n"/>
      <c r="CS19" s="75" t="n"/>
      <c r="CT19" s="75" t="n"/>
      <c r="CU19" s="75" t="n"/>
      <c r="CV19" s="75" t="n"/>
      <c r="CW19" s="75" t="n"/>
      <c r="CX19" s="75" t="n"/>
      <c r="CY19" s="75" t="n"/>
      <c r="CZ19" s="75" t="n"/>
    </row>
    <row r="20">
      <c r="B20" s="134">
        <f>IF($A19="",0,COUNT($E20:$CZ20))</f>
        <v/>
      </c>
    </row>
    <row r="21">
      <c r="A21" s="5">
        <f>IF(AS51!$C$13="","",AS51!$C$13)</f>
        <v/>
      </c>
      <c r="B21" s="134">
        <f>IF($A21="",0,COUNT($E21:$CZ21))</f>
        <v/>
      </c>
      <c r="C21" s="135">
        <f>IF($A21="",0,IF($B21=0,0,MAX($E21:$CZ21)))</f>
        <v/>
      </c>
      <c r="D21" s="74">
        <f>BDS($A21,'Field Check'!$C$42,"headers=y","startcol=2","endcol=3","dir=h")</f>
        <v/>
      </c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  <c r="AB21" s="75" t="n"/>
      <c r="AC21" s="75" t="n"/>
      <c r="AD21" s="75" t="n"/>
      <c r="AE21" s="75" t="n"/>
      <c r="AF21" s="75" t="n"/>
      <c r="AG21" s="75" t="n"/>
      <c r="AH21" s="75" t="n"/>
      <c r="AI21" s="75" t="n"/>
      <c r="AJ21" s="75" t="n"/>
      <c r="AK21" s="75" t="n"/>
      <c r="AL21" s="75" t="n"/>
      <c r="AM21" s="75" t="n"/>
      <c r="AN21" s="75" t="n"/>
      <c r="AO21" s="75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75" t="n"/>
      <c r="BR21" s="75" t="n"/>
      <c r="BS21" s="75" t="n"/>
      <c r="BT21" s="75" t="n"/>
      <c r="BU21" s="75" t="n"/>
      <c r="BV21" s="75" t="n"/>
      <c r="BW21" s="75" t="n"/>
      <c r="BX21" s="75" t="n"/>
      <c r="BY21" s="75" t="n"/>
      <c r="BZ21" s="75" t="n"/>
      <c r="CA21" s="75" t="n"/>
      <c r="CB21" s="75" t="n"/>
      <c r="CC21" s="75" t="n"/>
      <c r="CD21" s="75" t="n"/>
      <c r="CE21" s="75" t="n"/>
      <c r="CF21" s="75" t="n"/>
      <c r="CG21" s="75" t="n"/>
      <c r="CH21" s="75" t="n"/>
      <c r="CI21" s="75" t="n"/>
      <c r="CJ21" s="75" t="n"/>
      <c r="CK21" s="75" t="n"/>
      <c r="CL21" s="75" t="n"/>
      <c r="CM21" s="75" t="n"/>
      <c r="CN21" s="75" t="n"/>
      <c r="CO21" s="75" t="n"/>
      <c r="CP21" s="75" t="n"/>
      <c r="CQ21" s="75" t="n"/>
      <c r="CR21" s="75" t="n"/>
      <c r="CS21" s="75" t="n"/>
      <c r="CT21" s="75" t="n"/>
      <c r="CU21" s="75" t="n"/>
      <c r="CV21" s="75" t="n"/>
      <c r="CW21" s="75" t="n"/>
      <c r="CX21" s="75" t="n"/>
      <c r="CY21" s="75" t="n"/>
      <c r="CZ21" s="75" t="n"/>
    </row>
    <row r="22">
      <c r="B22" s="134">
        <f>IF($A21="",0,COUNT($E22:$CZ22))</f>
        <v/>
      </c>
    </row>
    <row r="23">
      <c r="A23" s="5">
        <f>IF(AS51!$C$14="","",AS51!$C$14)</f>
        <v/>
      </c>
      <c r="B23" s="134">
        <f>IF($A23="",0,COUNT($E23:$CZ23))</f>
        <v/>
      </c>
      <c r="C23" s="135">
        <f>IF($A23="",0,IF($B23=0,0,MAX($E23:$CZ23)))</f>
        <v/>
      </c>
      <c r="D23" s="74">
        <f>BDS($A23,'Field Check'!$C$42,"headers=y","startcol=2","endcol=3","dir=h")</f>
        <v/>
      </c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5" t="n"/>
      <c r="Z23" s="75" t="n"/>
      <c r="AA23" s="75" t="n"/>
      <c r="AB23" s="75" t="n"/>
      <c r="AC23" s="75" t="n"/>
      <c r="AD23" s="75" t="n"/>
      <c r="AE23" s="75" t="n"/>
      <c r="AF23" s="75" t="n"/>
      <c r="AG23" s="75" t="n"/>
      <c r="AH23" s="75" t="n"/>
      <c r="AI23" s="75" t="n"/>
      <c r="AJ23" s="75" t="n"/>
      <c r="AK23" s="75" t="n"/>
      <c r="AL23" s="75" t="n"/>
      <c r="AM23" s="75" t="n"/>
      <c r="AN23" s="75" t="n"/>
      <c r="AO23" s="75" t="n"/>
      <c r="AP23" s="75" t="n"/>
      <c r="AQ23" s="75" t="n"/>
      <c r="AR23" s="75" t="n"/>
      <c r="AS23" s="75" t="n"/>
      <c r="AT23" s="75" t="n"/>
      <c r="AU23" s="75" t="n"/>
      <c r="AV23" s="75" t="n"/>
      <c r="AW23" s="75" t="n"/>
      <c r="AX23" s="75" t="n"/>
      <c r="AY23" s="75" t="n"/>
      <c r="AZ23" s="75" t="n"/>
      <c r="BA23" s="75" t="n"/>
      <c r="BB23" s="75" t="n"/>
      <c r="BC23" s="75" t="n"/>
      <c r="BD23" s="75" t="n"/>
      <c r="BE23" s="75" t="n"/>
      <c r="BF23" s="75" t="n"/>
      <c r="BG23" s="75" t="n"/>
      <c r="BH23" s="75" t="n"/>
      <c r="BI23" s="75" t="n"/>
      <c r="BJ23" s="75" t="n"/>
      <c r="BK23" s="75" t="n"/>
      <c r="BL23" s="75" t="n"/>
      <c r="BM23" s="75" t="n"/>
      <c r="BN23" s="75" t="n"/>
      <c r="BO23" s="75" t="n"/>
      <c r="BP23" s="75" t="n"/>
      <c r="BQ23" s="75" t="n"/>
      <c r="BR23" s="75" t="n"/>
      <c r="BS23" s="75" t="n"/>
      <c r="BT23" s="75" t="n"/>
      <c r="BU23" s="75" t="n"/>
      <c r="BV23" s="75" t="n"/>
      <c r="BW23" s="75" t="n"/>
      <c r="BX23" s="75" t="n"/>
      <c r="BY23" s="75" t="n"/>
      <c r="BZ23" s="75" t="n"/>
      <c r="CA23" s="75" t="n"/>
      <c r="CB23" s="75" t="n"/>
      <c r="CC23" s="75" t="n"/>
      <c r="CD23" s="75" t="n"/>
      <c r="CE23" s="75" t="n"/>
      <c r="CF23" s="75" t="n"/>
      <c r="CG23" s="75" t="n"/>
      <c r="CH23" s="75" t="n"/>
      <c r="CI23" s="75" t="n"/>
      <c r="CJ23" s="75" t="n"/>
      <c r="CK23" s="75" t="n"/>
      <c r="CL23" s="75" t="n"/>
      <c r="CM23" s="75" t="n"/>
      <c r="CN23" s="75" t="n"/>
      <c r="CO23" s="75" t="n"/>
      <c r="CP23" s="75" t="n"/>
      <c r="CQ23" s="75" t="n"/>
      <c r="CR23" s="75" t="n"/>
      <c r="CS23" s="75" t="n"/>
      <c r="CT23" s="75" t="n"/>
      <c r="CU23" s="75" t="n"/>
      <c r="CV23" s="75" t="n"/>
      <c r="CW23" s="75" t="n"/>
      <c r="CX23" s="75" t="n"/>
      <c r="CY23" s="75" t="n"/>
      <c r="CZ23" s="75" t="n"/>
    </row>
    <row r="24">
      <c r="B24" s="134">
        <f>IF($A23="",0,COUNT($E24:$CZ24))</f>
        <v/>
      </c>
    </row>
    <row r="25">
      <c r="A25" s="5">
        <f>IF(AS51!$C$15="","",AS51!$C$15)</f>
        <v/>
      </c>
      <c r="B25" s="134">
        <f>IF($A25="",0,COUNT($E25:$CZ25))</f>
        <v/>
      </c>
      <c r="C25" s="135">
        <f>IF($A25="",0,IF($B25=0,0,MAX($E25:$CZ25)))</f>
        <v/>
      </c>
      <c r="D25" s="74">
        <f>BDS($A25,'Field Check'!$C$42,"headers=y","startcol=2","endcol=3","dir=h")</f>
        <v/>
      </c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  <c r="AA25" s="75" t="n"/>
      <c r="AB25" s="75" t="n"/>
      <c r="AC25" s="75" t="n"/>
      <c r="AD25" s="75" t="n"/>
      <c r="AE25" s="75" t="n"/>
      <c r="AF25" s="75" t="n"/>
      <c r="AG25" s="75" t="n"/>
      <c r="AH25" s="75" t="n"/>
      <c r="AI25" s="75" t="n"/>
      <c r="AJ25" s="75" t="n"/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5" t="n"/>
      <c r="AZ25" s="75" t="n"/>
      <c r="BA25" s="75" t="n"/>
      <c r="BB25" s="75" t="n"/>
      <c r="BC25" s="75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75" t="n"/>
      <c r="BR25" s="75" t="n"/>
      <c r="BS25" s="75" t="n"/>
      <c r="BT25" s="75" t="n"/>
      <c r="BU25" s="75" t="n"/>
      <c r="BV25" s="75" t="n"/>
      <c r="BW25" s="75" t="n"/>
      <c r="BX25" s="75" t="n"/>
      <c r="BY25" s="75" t="n"/>
      <c r="BZ25" s="75" t="n"/>
      <c r="CA25" s="75" t="n"/>
      <c r="CB25" s="75" t="n"/>
      <c r="CC25" s="75" t="n"/>
      <c r="CD25" s="75" t="n"/>
      <c r="CE25" s="75" t="n"/>
      <c r="CF25" s="75" t="n"/>
      <c r="CG25" s="75" t="n"/>
      <c r="CH25" s="75" t="n"/>
      <c r="CI25" s="75" t="n"/>
      <c r="CJ25" s="75" t="n"/>
      <c r="CK25" s="75" t="n"/>
      <c r="CL25" s="75" t="n"/>
      <c r="CM25" s="75" t="n"/>
      <c r="CN25" s="75" t="n"/>
      <c r="CO25" s="75" t="n"/>
      <c r="CP25" s="75" t="n"/>
      <c r="CQ25" s="75" t="n"/>
      <c r="CR25" s="75" t="n"/>
      <c r="CS25" s="75" t="n"/>
      <c r="CT25" s="75" t="n"/>
      <c r="CU25" s="75" t="n"/>
      <c r="CV25" s="75" t="n"/>
      <c r="CW25" s="75" t="n"/>
      <c r="CX25" s="75" t="n"/>
      <c r="CY25" s="75" t="n"/>
      <c r="CZ25" s="75" t="n"/>
    </row>
    <row r="26">
      <c r="B26" s="134">
        <f>IF($A25="",0,COUNT($E26:$CZ26))</f>
        <v/>
      </c>
    </row>
    <row r="27">
      <c r="A27" s="5">
        <f>IF(AS51!$C$16="","",AS51!$C$16)</f>
        <v/>
      </c>
      <c r="B27" s="134">
        <f>IF($A27="",0,COUNT($E27:$CZ27))</f>
        <v/>
      </c>
      <c r="C27" s="135">
        <f>IF($A27="",0,IF($B27=0,0,MAX($E27:$CZ27)))</f>
        <v/>
      </c>
      <c r="D27" s="74">
        <f>BDS($A27,'Field Check'!$C$42,"headers=y","startcol=2","endcol=3","dir=h")</f>
        <v/>
      </c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  <c r="AA27" s="75" t="n"/>
      <c r="AB27" s="75" t="n"/>
      <c r="AC27" s="75" t="n"/>
      <c r="AD27" s="75" t="n"/>
      <c r="AE27" s="75" t="n"/>
      <c r="AF27" s="75" t="n"/>
      <c r="AG27" s="75" t="n"/>
      <c r="AH27" s="75" t="n"/>
      <c r="AI27" s="75" t="n"/>
      <c r="AJ27" s="75" t="n"/>
      <c r="AK27" s="75" t="n"/>
      <c r="AL27" s="75" t="n"/>
      <c r="AM27" s="75" t="n"/>
      <c r="AN27" s="75" t="n"/>
      <c r="AO27" s="75" t="n"/>
      <c r="AP27" s="75" t="n"/>
      <c r="AQ27" s="75" t="n"/>
      <c r="AR27" s="75" t="n"/>
      <c r="AS27" s="75" t="n"/>
      <c r="AT27" s="75" t="n"/>
      <c r="AU27" s="75" t="n"/>
      <c r="AV27" s="75" t="n"/>
      <c r="AW27" s="75" t="n"/>
      <c r="AX27" s="75" t="n"/>
      <c r="AY27" s="75" t="n"/>
      <c r="AZ27" s="75" t="n"/>
      <c r="BA27" s="75" t="n"/>
      <c r="BB27" s="75" t="n"/>
      <c r="BC27" s="75" t="n"/>
      <c r="BD27" s="75" t="n"/>
      <c r="BE27" s="75" t="n"/>
      <c r="BF27" s="75" t="n"/>
      <c r="BG27" s="75" t="n"/>
      <c r="BH27" s="75" t="n"/>
      <c r="BI27" s="75" t="n"/>
      <c r="BJ27" s="75" t="n"/>
      <c r="BK27" s="75" t="n"/>
      <c r="BL27" s="75" t="n"/>
      <c r="BM27" s="75" t="n"/>
      <c r="BN27" s="75" t="n"/>
      <c r="BO27" s="75" t="n"/>
      <c r="BP27" s="75" t="n"/>
      <c r="BQ27" s="75" t="n"/>
      <c r="BR27" s="75" t="n"/>
      <c r="BS27" s="75" t="n"/>
      <c r="BT27" s="75" t="n"/>
      <c r="BU27" s="75" t="n"/>
      <c r="BV27" s="75" t="n"/>
      <c r="BW27" s="75" t="n"/>
      <c r="BX27" s="75" t="n"/>
      <c r="BY27" s="75" t="n"/>
      <c r="BZ27" s="75" t="n"/>
      <c r="CA27" s="75" t="n"/>
      <c r="CB27" s="75" t="n"/>
      <c r="CC27" s="75" t="n"/>
      <c r="CD27" s="75" t="n"/>
      <c r="CE27" s="75" t="n"/>
      <c r="CF27" s="75" t="n"/>
      <c r="CG27" s="75" t="n"/>
      <c r="CH27" s="75" t="n"/>
      <c r="CI27" s="75" t="n"/>
      <c r="CJ27" s="75" t="n"/>
      <c r="CK27" s="75" t="n"/>
      <c r="CL27" s="75" t="n"/>
      <c r="CM27" s="75" t="n"/>
      <c r="CN27" s="75" t="n"/>
      <c r="CO27" s="75" t="n"/>
      <c r="CP27" s="75" t="n"/>
      <c r="CQ27" s="75" t="n"/>
      <c r="CR27" s="75" t="n"/>
      <c r="CS27" s="75" t="n"/>
      <c r="CT27" s="75" t="n"/>
      <c r="CU27" s="75" t="n"/>
      <c r="CV27" s="75" t="n"/>
      <c r="CW27" s="75" t="n"/>
      <c r="CX27" s="75" t="n"/>
      <c r="CY27" s="75" t="n"/>
      <c r="CZ27" s="75" t="n"/>
    </row>
    <row r="28">
      <c r="B28" s="134">
        <f>IF($A27="",0,COUNT($E28:$CZ28))</f>
        <v/>
      </c>
    </row>
    <row r="29">
      <c r="A29" s="5">
        <f>IF(AS51!$C$17="","",AS51!$C$17)</f>
        <v/>
      </c>
      <c r="B29" s="134">
        <f>IF($A29="",0,COUNT($E29:$CZ29))</f>
        <v/>
      </c>
      <c r="C29" s="135">
        <f>IF($A29="",0,IF($B29=0,0,MAX($E29:$CZ29)))</f>
        <v/>
      </c>
      <c r="D29" s="74">
        <f>BDS($A29,'Field Check'!$C$42,"headers=y","startcol=2","endcol=3","dir=h")</f>
        <v/>
      </c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  <c r="AA29" s="75" t="n"/>
      <c r="AB29" s="75" t="n"/>
      <c r="AC29" s="75" t="n"/>
      <c r="AD29" s="75" t="n"/>
      <c r="AE29" s="75" t="n"/>
      <c r="AF29" s="75" t="n"/>
      <c r="AG29" s="75" t="n"/>
      <c r="AH29" s="75" t="n"/>
      <c r="AI29" s="75" t="n"/>
      <c r="AJ29" s="75" t="n"/>
      <c r="AK29" s="75" t="n"/>
      <c r="AL29" s="75" t="n"/>
      <c r="AM29" s="75" t="n"/>
      <c r="AN29" s="75" t="n"/>
      <c r="AO29" s="75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75" t="n"/>
      <c r="BR29" s="75" t="n"/>
      <c r="BS29" s="75" t="n"/>
      <c r="BT29" s="75" t="n"/>
      <c r="BU29" s="75" t="n"/>
      <c r="BV29" s="75" t="n"/>
      <c r="BW29" s="75" t="n"/>
      <c r="BX29" s="75" t="n"/>
      <c r="BY29" s="75" t="n"/>
      <c r="BZ29" s="75" t="n"/>
      <c r="CA29" s="75" t="n"/>
      <c r="CB29" s="75" t="n"/>
      <c r="CC29" s="75" t="n"/>
      <c r="CD29" s="75" t="n"/>
      <c r="CE29" s="75" t="n"/>
      <c r="CF29" s="75" t="n"/>
      <c r="CG29" s="75" t="n"/>
      <c r="CH29" s="75" t="n"/>
      <c r="CI29" s="75" t="n"/>
      <c r="CJ29" s="75" t="n"/>
      <c r="CK29" s="75" t="n"/>
      <c r="CL29" s="75" t="n"/>
      <c r="CM29" s="75" t="n"/>
      <c r="CN29" s="75" t="n"/>
      <c r="CO29" s="75" t="n"/>
      <c r="CP29" s="75" t="n"/>
      <c r="CQ29" s="75" t="n"/>
      <c r="CR29" s="75" t="n"/>
      <c r="CS29" s="75" t="n"/>
      <c r="CT29" s="75" t="n"/>
      <c r="CU29" s="75" t="n"/>
      <c r="CV29" s="75" t="n"/>
      <c r="CW29" s="75" t="n"/>
      <c r="CX29" s="75" t="n"/>
      <c r="CY29" s="75" t="n"/>
      <c r="CZ29" s="75" t="n"/>
    </row>
    <row r="30">
      <c r="B30" s="134">
        <f>IF($A29="",0,COUNT($E30:$CZ30))</f>
        <v/>
      </c>
    </row>
    <row r="31">
      <c r="A31" s="5">
        <f>IF(AS51!$C$18="","",AS51!$C$18)</f>
        <v/>
      </c>
      <c r="B31" s="134">
        <f>IF($A31="",0,COUNT($E31:$CZ31))</f>
        <v/>
      </c>
      <c r="C31" s="135">
        <f>IF($A31="",0,IF($B31=0,0,MAX($E31:$CZ31)))</f>
        <v/>
      </c>
      <c r="D31" s="74">
        <f>BDS($A31,'Field Check'!$C$42,"headers=y","startcol=2","endcol=3","dir=h")</f>
        <v/>
      </c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  <c r="AA31" s="75" t="n"/>
      <c r="AB31" s="75" t="n"/>
      <c r="AC31" s="75" t="n"/>
      <c r="AD31" s="75" t="n"/>
      <c r="AE31" s="75" t="n"/>
      <c r="AF31" s="75" t="n"/>
      <c r="AG31" s="75" t="n"/>
      <c r="AH31" s="75" t="n"/>
      <c r="AI31" s="75" t="n"/>
      <c r="AJ31" s="75" t="n"/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75" t="n"/>
      <c r="BR31" s="75" t="n"/>
      <c r="BS31" s="75" t="n"/>
      <c r="BT31" s="75" t="n"/>
      <c r="BU31" s="75" t="n"/>
      <c r="BV31" s="75" t="n"/>
      <c r="BW31" s="75" t="n"/>
      <c r="BX31" s="75" t="n"/>
      <c r="BY31" s="75" t="n"/>
      <c r="BZ31" s="75" t="n"/>
      <c r="CA31" s="75" t="n"/>
      <c r="CB31" s="75" t="n"/>
      <c r="CC31" s="75" t="n"/>
      <c r="CD31" s="75" t="n"/>
      <c r="CE31" s="75" t="n"/>
      <c r="CF31" s="75" t="n"/>
      <c r="CG31" s="75" t="n"/>
      <c r="CH31" s="75" t="n"/>
      <c r="CI31" s="75" t="n"/>
      <c r="CJ31" s="75" t="n"/>
      <c r="CK31" s="75" t="n"/>
      <c r="CL31" s="75" t="n"/>
      <c r="CM31" s="75" t="n"/>
      <c r="CN31" s="75" t="n"/>
      <c r="CO31" s="75" t="n"/>
      <c r="CP31" s="75" t="n"/>
      <c r="CQ31" s="75" t="n"/>
      <c r="CR31" s="75" t="n"/>
      <c r="CS31" s="75" t="n"/>
      <c r="CT31" s="75" t="n"/>
      <c r="CU31" s="75" t="n"/>
      <c r="CV31" s="75" t="n"/>
      <c r="CW31" s="75" t="n"/>
      <c r="CX31" s="75" t="n"/>
      <c r="CY31" s="75" t="n"/>
      <c r="CZ31" s="75" t="n"/>
    </row>
    <row r="32">
      <c r="B32" s="134">
        <f>IF($A31="",0,COUNT($E32:$CZ32))</f>
        <v/>
      </c>
    </row>
    <row r="33">
      <c r="A33" s="5">
        <f>IF(AS51!$C$19="","",AS51!$C$19)</f>
        <v/>
      </c>
      <c r="B33" s="134">
        <f>IF($A33="",0,COUNT($E33:$CZ33))</f>
        <v/>
      </c>
      <c r="C33" s="135">
        <f>IF($A33="",0,IF($B33=0,0,MAX($E33:$CZ33)))</f>
        <v/>
      </c>
      <c r="D33" s="74">
        <f>BDS($A33,'Field Check'!$C$42,"headers=y","startcol=2","endcol=3","dir=h")</f>
        <v/>
      </c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  <c r="AA33" s="75" t="n"/>
      <c r="AB33" s="75" t="n"/>
      <c r="AC33" s="75" t="n"/>
      <c r="AD33" s="75" t="n"/>
      <c r="AE33" s="75" t="n"/>
      <c r="AF33" s="75" t="n"/>
      <c r="AG33" s="75" t="n"/>
      <c r="AH33" s="75" t="n"/>
      <c r="AI33" s="75" t="n"/>
      <c r="AJ33" s="75" t="n"/>
      <c r="AK33" s="75" t="n"/>
      <c r="AL33" s="75" t="n"/>
      <c r="AM33" s="75" t="n"/>
      <c r="AN33" s="75" t="n"/>
      <c r="AO33" s="75" t="n"/>
      <c r="AP33" s="75" t="n"/>
      <c r="AQ33" s="75" t="n"/>
      <c r="AR33" s="75" t="n"/>
      <c r="AS33" s="75" t="n"/>
      <c r="AT33" s="75" t="n"/>
      <c r="AU33" s="75" t="n"/>
      <c r="AV33" s="75" t="n"/>
      <c r="AW33" s="75" t="n"/>
      <c r="AX33" s="75" t="n"/>
      <c r="AY33" s="75" t="n"/>
      <c r="AZ33" s="75" t="n"/>
      <c r="BA33" s="75" t="n"/>
      <c r="BB33" s="75" t="n"/>
      <c r="BC33" s="75" t="n"/>
      <c r="BD33" s="75" t="n"/>
      <c r="BE33" s="75" t="n"/>
      <c r="BF33" s="75" t="n"/>
      <c r="BG33" s="75" t="n"/>
      <c r="BH33" s="75" t="n"/>
      <c r="BI33" s="75" t="n"/>
      <c r="BJ33" s="75" t="n"/>
      <c r="BK33" s="75" t="n"/>
      <c r="BL33" s="75" t="n"/>
      <c r="BM33" s="75" t="n"/>
      <c r="BN33" s="75" t="n"/>
      <c r="BO33" s="75" t="n"/>
      <c r="BP33" s="75" t="n"/>
      <c r="BQ33" s="75" t="n"/>
      <c r="BR33" s="75" t="n"/>
      <c r="BS33" s="75" t="n"/>
      <c r="BT33" s="75" t="n"/>
      <c r="BU33" s="75" t="n"/>
      <c r="BV33" s="75" t="n"/>
      <c r="BW33" s="75" t="n"/>
      <c r="BX33" s="75" t="n"/>
      <c r="BY33" s="75" t="n"/>
      <c r="BZ33" s="75" t="n"/>
      <c r="CA33" s="75" t="n"/>
      <c r="CB33" s="75" t="n"/>
      <c r="CC33" s="75" t="n"/>
      <c r="CD33" s="75" t="n"/>
      <c r="CE33" s="75" t="n"/>
      <c r="CF33" s="75" t="n"/>
      <c r="CG33" s="75" t="n"/>
      <c r="CH33" s="75" t="n"/>
      <c r="CI33" s="75" t="n"/>
      <c r="CJ33" s="75" t="n"/>
      <c r="CK33" s="75" t="n"/>
      <c r="CL33" s="75" t="n"/>
      <c r="CM33" s="75" t="n"/>
      <c r="CN33" s="75" t="n"/>
      <c r="CO33" s="75" t="n"/>
      <c r="CP33" s="75" t="n"/>
      <c r="CQ33" s="75" t="n"/>
      <c r="CR33" s="75" t="n"/>
      <c r="CS33" s="75" t="n"/>
      <c r="CT33" s="75" t="n"/>
      <c r="CU33" s="75" t="n"/>
      <c r="CV33" s="75" t="n"/>
      <c r="CW33" s="75" t="n"/>
      <c r="CX33" s="75" t="n"/>
      <c r="CY33" s="75" t="n"/>
      <c r="CZ33" s="75" t="n"/>
    </row>
    <row r="34">
      <c r="B34" s="134">
        <f>IF($A33="",0,COUNT($E34:$CZ34))</f>
        <v/>
      </c>
    </row>
    <row r="35">
      <c r="A35" s="5">
        <f>IF(AS51!$C$20="","",AS51!$C$20)</f>
        <v/>
      </c>
      <c r="B35" s="134">
        <f>IF($A35="",0,COUNT($E35:$CZ35))</f>
        <v/>
      </c>
      <c r="C35" s="135">
        <f>IF($A35="",0,IF($B35=0,0,MAX($E35:$CZ35)))</f>
        <v/>
      </c>
      <c r="D35" s="74">
        <f>BDS($A35,'Field Check'!$C$42,"headers=y","startcol=2","endcol=3","dir=h")</f>
        <v/>
      </c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5" t="n"/>
      <c r="Z35" s="75" t="n"/>
      <c r="AA35" s="75" t="n"/>
      <c r="AB35" s="75" t="n"/>
      <c r="AC35" s="75" t="n"/>
      <c r="AD35" s="75" t="n"/>
      <c r="AE35" s="75" t="n"/>
      <c r="AF35" s="75" t="n"/>
      <c r="AG35" s="75" t="n"/>
      <c r="AH35" s="75" t="n"/>
      <c r="AI35" s="75" t="n"/>
      <c r="AJ35" s="75" t="n"/>
      <c r="AK35" s="75" t="n"/>
      <c r="AL35" s="75" t="n"/>
      <c r="AM35" s="75" t="n"/>
      <c r="AN35" s="75" t="n"/>
      <c r="AO35" s="75" t="n"/>
      <c r="AP35" s="75" t="n"/>
      <c r="AQ35" s="75" t="n"/>
      <c r="AR35" s="75" t="n"/>
      <c r="AS35" s="75" t="n"/>
      <c r="AT35" s="75" t="n"/>
      <c r="AU35" s="75" t="n"/>
      <c r="AV35" s="75" t="n"/>
      <c r="AW35" s="75" t="n"/>
      <c r="AX35" s="75" t="n"/>
      <c r="AY35" s="75" t="n"/>
      <c r="AZ35" s="75" t="n"/>
      <c r="BA35" s="75" t="n"/>
      <c r="BB35" s="75" t="n"/>
      <c r="BC35" s="75" t="n"/>
      <c r="BD35" s="75" t="n"/>
      <c r="BE35" s="75" t="n"/>
      <c r="BF35" s="75" t="n"/>
      <c r="BG35" s="75" t="n"/>
      <c r="BH35" s="75" t="n"/>
      <c r="BI35" s="75" t="n"/>
      <c r="BJ35" s="75" t="n"/>
      <c r="BK35" s="75" t="n"/>
      <c r="BL35" s="75" t="n"/>
      <c r="BM35" s="75" t="n"/>
      <c r="BN35" s="75" t="n"/>
      <c r="BO35" s="75" t="n"/>
      <c r="BP35" s="75" t="n"/>
      <c r="BQ35" s="75" t="n"/>
      <c r="BR35" s="75" t="n"/>
      <c r="BS35" s="75" t="n"/>
      <c r="BT35" s="75" t="n"/>
      <c r="BU35" s="75" t="n"/>
      <c r="BV35" s="75" t="n"/>
      <c r="BW35" s="75" t="n"/>
      <c r="BX35" s="75" t="n"/>
      <c r="BY35" s="75" t="n"/>
      <c r="BZ35" s="75" t="n"/>
      <c r="CA35" s="75" t="n"/>
      <c r="CB35" s="75" t="n"/>
      <c r="CC35" s="75" t="n"/>
      <c r="CD35" s="75" t="n"/>
      <c r="CE35" s="75" t="n"/>
      <c r="CF35" s="75" t="n"/>
      <c r="CG35" s="75" t="n"/>
      <c r="CH35" s="75" t="n"/>
      <c r="CI35" s="75" t="n"/>
      <c r="CJ35" s="75" t="n"/>
      <c r="CK35" s="75" t="n"/>
      <c r="CL35" s="75" t="n"/>
      <c r="CM35" s="75" t="n"/>
      <c r="CN35" s="75" t="n"/>
      <c r="CO35" s="75" t="n"/>
      <c r="CP35" s="75" t="n"/>
      <c r="CQ35" s="75" t="n"/>
      <c r="CR35" s="75" t="n"/>
      <c r="CS35" s="75" t="n"/>
      <c r="CT35" s="75" t="n"/>
      <c r="CU35" s="75" t="n"/>
      <c r="CV35" s="75" t="n"/>
      <c r="CW35" s="75" t="n"/>
      <c r="CX35" s="75" t="n"/>
      <c r="CY35" s="75" t="n"/>
      <c r="CZ35" s="75" t="n"/>
    </row>
    <row r="36">
      <c r="B36" s="134">
        <f>IF($A35="",0,COUNT($E36:$CZ36))</f>
        <v/>
      </c>
    </row>
    <row r="37">
      <c r="A37" s="5">
        <f>IF(AS51!$C$21="","",AS51!$C$21)</f>
        <v/>
      </c>
      <c r="B37" s="134">
        <f>IF($A37="",0,COUNT($E37:$CZ37))</f>
        <v/>
      </c>
      <c r="C37" s="135">
        <f>IF($A37="",0,IF($B37=0,0,MAX($E37:$CZ37)))</f>
        <v/>
      </c>
      <c r="D37" s="74">
        <f>BDS($A37,'Field Check'!$C$42,"headers=y","startcol=2","endcol=3","dir=h")</f>
        <v/>
      </c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5" t="n"/>
      <c r="AD37" s="75" t="n"/>
      <c r="AE37" s="75" t="n"/>
      <c r="AF37" s="75" t="n"/>
      <c r="AG37" s="75" t="n"/>
      <c r="AH37" s="75" t="n"/>
      <c r="AI37" s="75" t="n"/>
      <c r="AJ37" s="75" t="n"/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5" t="n"/>
      <c r="AZ37" s="75" t="n"/>
      <c r="BA37" s="75" t="n"/>
      <c r="BB37" s="75" t="n"/>
      <c r="BC37" s="75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75" t="n"/>
      <c r="BR37" s="75" t="n"/>
      <c r="BS37" s="75" t="n"/>
      <c r="BT37" s="75" t="n"/>
      <c r="BU37" s="75" t="n"/>
      <c r="BV37" s="75" t="n"/>
      <c r="BW37" s="75" t="n"/>
      <c r="BX37" s="75" t="n"/>
      <c r="BY37" s="75" t="n"/>
      <c r="BZ37" s="75" t="n"/>
      <c r="CA37" s="75" t="n"/>
      <c r="CB37" s="75" t="n"/>
      <c r="CC37" s="75" t="n"/>
      <c r="CD37" s="75" t="n"/>
      <c r="CE37" s="75" t="n"/>
      <c r="CF37" s="75" t="n"/>
      <c r="CG37" s="75" t="n"/>
      <c r="CH37" s="75" t="n"/>
      <c r="CI37" s="75" t="n"/>
      <c r="CJ37" s="75" t="n"/>
      <c r="CK37" s="75" t="n"/>
      <c r="CL37" s="75" t="n"/>
      <c r="CM37" s="75" t="n"/>
      <c r="CN37" s="75" t="n"/>
      <c r="CO37" s="75" t="n"/>
      <c r="CP37" s="75" t="n"/>
      <c r="CQ37" s="75" t="n"/>
      <c r="CR37" s="75" t="n"/>
      <c r="CS37" s="75" t="n"/>
      <c r="CT37" s="75" t="n"/>
      <c r="CU37" s="75" t="n"/>
      <c r="CV37" s="75" t="n"/>
      <c r="CW37" s="75" t="n"/>
      <c r="CX37" s="75" t="n"/>
      <c r="CY37" s="75" t="n"/>
      <c r="CZ37" s="75" t="n"/>
    </row>
    <row r="38">
      <c r="B38" s="134">
        <f>IF($A37="",0,COUNT($E38:$CZ38))</f>
        <v/>
      </c>
    </row>
    <row r="39">
      <c r="A39" s="5">
        <f>IF(AS51!$C$22="","",AS51!$C$22)</f>
        <v/>
      </c>
      <c r="B39" s="134">
        <f>IF($A39="",0,COUNT($E39:$CZ39))</f>
        <v/>
      </c>
      <c r="C39" s="135">
        <f>IF($A39="",0,IF($B39=0,0,MAX($E39:$CZ39)))</f>
        <v/>
      </c>
      <c r="D39" s="74">
        <f>BDS($A39,'Field Check'!$C$42,"headers=y","startcol=2","endcol=3","dir=h")</f>
        <v/>
      </c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  <c r="AU39" s="75" t="n"/>
      <c r="AV39" s="75" t="n"/>
      <c r="AW39" s="75" t="n"/>
      <c r="AX39" s="75" t="n"/>
      <c r="AY39" s="75" t="n"/>
      <c r="AZ39" s="75" t="n"/>
      <c r="BA39" s="75" t="n"/>
      <c r="BB39" s="75" t="n"/>
      <c r="BC39" s="75" t="n"/>
      <c r="BD39" s="75" t="n"/>
      <c r="BE39" s="75" t="n"/>
      <c r="BF39" s="75" t="n"/>
      <c r="BG39" s="75" t="n"/>
      <c r="BH39" s="75" t="n"/>
      <c r="BI39" s="75" t="n"/>
      <c r="BJ39" s="75" t="n"/>
      <c r="BK39" s="75" t="n"/>
      <c r="BL39" s="75" t="n"/>
      <c r="BM39" s="75" t="n"/>
      <c r="BN39" s="75" t="n"/>
      <c r="BO39" s="75" t="n"/>
      <c r="BP39" s="75" t="n"/>
      <c r="BQ39" s="75" t="n"/>
      <c r="BR39" s="75" t="n"/>
      <c r="BS39" s="75" t="n"/>
      <c r="BT39" s="75" t="n"/>
      <c r="BU39" s="75" t="n"/>
      <c r="BV39" s="75" t="n"/>
      <c r="BW39" s="75" t="n"/>
      <c r="BX39" s="75" t="n"/>
      <c r="BY39" s="75" t="n"/>
      <c r="BZ39" s="75" t="n"/>
      <c r="CA39" s="75" t="n"/>
      <c r="CB39" s="75" t="n"/>
      <c r="CC39" s="75" t="n"/>
      <c r="CD39" s="75" t="n"/>
      <c r="CE39" s="75" t="n"/>
      <c r="CF39" s="75" t="n"/>
      <c r="CG39" s="75" t="n"/>
      <c r="CH39" s="75" t="n"/>
      <c r="CI39" s="75" t="n"/>
      <c r="CJ39" s="75" t="n"/>
      <c r="CK39" s="75" t="n"/>
      <c r="CL39" s="75" t="n"/>
      <c r="CM39" s="75" t="n"/>
      <c r="CN39" s="75" t="n"/>
      <c r="CO39" s="75" t="n"/>
      <c r="CP39" s="75" t="n"/>
      <c r="CQ39" s="75" t="n"/>
      <c r="CR39" s="75" t="n"/>
      <c r="CS39" s="75" t="n"/>
      <c r="CT39" s="75" t="n"/>
      <c r="CU39" s="75" t="n"/>
      <c r="CV39" s="75" t="n"/>
      <c r="CW39" s="75" t="n"/>
      <c r="CX39" s="75" t="n"/>
      <c r="CY39" s="75" t="n"/>
      <c r="CZ39" s="75" t="n"/>
    </row>
    <row r="40">
      <c r="B40" s="134">
        <f>IF($A39="",0,COUNT($E40:$CZ40))</f>
        <v/>
      </c>
    </row>
    <row r="41">
      <c r="A41" s="5">
        <f>IF(AS51!$C$23="","",AS51!$C$23)</f>
        <v/>
      </c>
      <c r="B41" s="134">
        <f>IF($A41="",0,COUNT($E41:$CZ41))</f>
        <v/>
      </c>
      <c r="C41" s="135">
        <f>IF($A41="",0,IF($B41=0,0,MAX($E41:$CZ41)))</f>
        <v/>
      </c>
      <c r="D41" s="74">
        <f>BDS($A41,'Field Check'!$C$42,"headers=y","startcol=2","endcol=3","dir=h")</f>
        <v/>
      </c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5" t="n"/>
      <c r="Z41" s="75" t="n"/>
      <c r="AA41" s="75" t="n"/>
      <c r="AB41" s="75" t="n"/>
      <c r="AC41" s="75" t="n"/>
      <c r="AD41" s="75" t="n"/>
      <c r="AE41" s="75" t="n"/>
      <c r="AF41" s="75" t="n"/>
      <c r="AG41" s="75" t="n"/>
      <c r="AH41" s="75" t="n"/>
      <c r="AI41" s="75" t="n"/>
      <c r="AJ41" s="75" t="n"/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75" t="n"/>
      <c r="BR41" s="75" t="n"/>
      <c r="BS41" s="75" t="n"/>
      <c r="BT41" s="75" t="n"/>
      <c r="BU41" s="75" t="n"/>
      <c r="BV41" s="75" t="n"/>
      <c r="BW41" s="75" t="n"/>
      <c r="BX41" s="75" t="n"/>
      <c r="BY41" s="75" t="n"/>
      <c r="BZ41" s="75" t="n"/>
      <c r="CA41" s="75" t="n"/>
      <c r="CB41" s="75" t="n"/>
      <c r="CC41" s="75" t="n"/>
      <c r="CD41" s="75" t="n"/>
      <c r="CE41" s="75" t="n"/>
      <c r="CF41" s="75" t="n"/>
      <c r="CG41" s="75" t="n"/>
      <c r="CH41" s="75" t="n"/>
      <c r="CI41" s="75" t="n"/>
      <c r="CJ41" s="75" t="n"/>
      <c r="CK41" s="75" t="n"/>
      <c r="CL41" s="75" t="n"/>
      <c r="CM41" s="75" t="n"/>
      <c r="CN41" s="75" t="n"/>
      <c r="CO41" s="75" t="n"/>
      <c r="CP41" s="75" t="n"/>
      <c r="CQ41" s="75" t="n"/>
      <c r="CR41" s="75" t="n"/>
      <c r="CS41" s="75" t="n"/>
      <c r="CT41" s="75" t="n"/>
      <c r="CU41" s="75" t="n"/>
      <c r="CV41" s="75" t="n"/>
      <c r="CW41" s="75" t="n"/>
      <c r="CX41" s="75" t="n"/>
      <c r="CY41" s="75" t="n"/>
      <c r="CZ41" s="75" t="n"/>
    </row>
    <row r="42">
      <c r="B42" s="134">
        <f>IF($A41="",0,COUNT($E42:$CZ42))</f>
        <v/>
      </c>
    </row>
    <row r="43">
      <c r="A43" s="5">
        <f>IF(AS51!$C$24="","",AS51!$C$24)</f>
        <v/>
      </c>
      <c r="B43" s="134">
        <f>IF($A43="",0,COUNT($E43:$CZ43))</f>
        <v/>
      </c>
      <c r="C43" s="135">
        <f>IF($A43="",0,IF($B43=0,0,MAX($E43:$CZ43)))</f>
        <v/>
      </c>
      <c r="D43" s="74">
        <f>BDS($A43,'Field Check'!$C$42,"headers=y","startcol=2","endcol=3","dir=h")</f>
        <v/>
      </c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5" t="n"/>
      <c r="Z43" s="75" t="n"/>
      <c r="AA43" s="75" t="n"/>
      <c r="AB43" s="75" t="n"/>
      <c r="AC43" s="75" t="n"/>
      <c r="AD43" s="75" t="n"/>
      <c r="AE43" s="75" t="n"/>
      <c r="AF43" s="75" t="n"/>
      <c r="AG43" s="75" t="n"/>
      <c r="AH43" s="75" t="n"/>
      <c r="AI43" s="75" t="n"/>
      <c r="AJ43" s="75" t="n"/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75" t="n"/>
      <c r="BR43" s="75" t="n"/>
      <c r="BS43" s="75" t="n"/>
      <c r="BT43" s="75" t="n"/>
      <c r="BU43" s="75" t="n"/>
      <c r="BV43" s="75" t="n"/>
      <c r="BW43" s="75" t="n"/>
      <c r="BX43" s="75" t="n"/>
      <c r="BY43" s="75" t="n"/>
      <c r="BZ43" s="75" t="n"/>
      <c r="CA43" s="75" t="n"/>
      <c r="CB43" s="75" t="n"/>
      <c r="CC43" s="75" t="n"/>
      <c r="CD43" s="75" t="n"/>
      <c r="CE43" s="75" t="n"/>
      <c r="CF43" s="75" t="n"/>
      <c r="CG43" s="75" t="n"/>
      <c r="CH43" s="75" t="n"/>
      <c r="CI43" s="75" t="n"/>
      <c r="CJ43" s="75" t="n"/>
      <c r="CK43" s="75" t="n"/>
      <c r="CL43" s="75" t="n"/>
      <c r="CM43" s="75" t="n"/>
      <c r="CN43" s="75" t="n"/>
      <c r="CO43" s="75" t="n"/>
      <c r="CP43" s="75" t="n"/>
      <c r="CQ43" s="75" t="n"/>
      <c r="CR43" s="75" t="n"/>
      <c r="CS43" s="75" t="n"/>
      <c r="CT43" s="75" t="n"/>
      <c r="CU43" s="75" t="n"/>
      <c r="CV43" s="75" t="n"/>
      <c r="CW43" s="75" t="n"/>
      <c r="CX43" s="75" t="n"/>
      <c r="CY43" s="75" t="n"/>
      <c r="CZ43" s="75" t="n"/>
    </row>
    <row r="44">
      <c r="B44" s="134">
        <f>IF($A43="",0,COUNT($E44:$CZ44))</f>
        <v/>
      </c>
    </row>
    <row r="45">
      <c r="A45" s="5">
        <f>IF(AS51!$C$25="","",AS51!$C$25)</f>
        <v/>
      </c>
      <c r="B45" s="134">
        <f>IF($A45="",0,COUNT($E45:$CZ45))</f>
        <v/>
      </c>
      <c r="C45" s="135">
        <f>IF($A45="",0,IF($B45=0,0,MAX($E45:$CZ45)))</f>
        <v/>
      </c>
      <c r="D45" s="74">
        <f>BDS($A45,'Field Check'!$C$42,"headers=y","startcol=2","endcol=3","dir=h")</f>
        <v/>
      </c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5" t="n"/>
      <c r="Z45" s="75" t="n"/>
      <c r="AA45" s="75" t="n"/>
      <c r="AB45" s="75" t="n"/>
      <c r="AC45" s="75" t="n"/>
      <c r="AD45" s="75" t="n"/>
      <c r="AE45" s="75" t="n"/>
      <c r="AF45" s="75" t="n"/>
      <c r="AG45" s="75" t="n"/>
      <c r="AH45" s="75" t="n"/>
      <c r="AI45" s="75" t="n"/>
      <c r="AJ45" s="75" t="n"/>
      <c r="AK45" s="75" t="n"/>
      <c r="AL45" s="75" t="n"/>
      <c r="AM45" s="75" t="n"/>
      <c r="AN45" s="75" t="n"/>
      <c r="AO45" s="75" t="n"/>
      <c r="AP45" s="75" t="n"/>
      <c r="AQ45" s="75" t="n"/>
      <c r="AR45" s="75" t="n"/>
      <c r="AS45" s="75" t="n"/>
      <c r="AT45" s="75" t="n"/>
      <c r="AU45" s="75" t="n"/>
      <c r="AV45" s="75" t="n"/>
      <c r="AW45" s="75" t="n"/>
      <c r="AX45" s="75" t="n"/>
      <c r="AY45" s="75" t="n"/>
      <c r="AZ45" s="75" t="n"/>
      <c r="BA45" s="75" t="n"/>
      <c r="BB45" s="75" t="n"/>
      <c r="BC45" s="75" t="n"/>
      <c r="BD45" s="75" t="n"/>
      <c r="BE45" s="75" t="n"/>
      <c r="BF45" s="75" t="n"/>
      <c r="BG45" s="75" t="n"/>
      <c r="BH45" s="75" t="n"/>
      <c r="BI45" s="75" t="n"/>
      <c r="BJ45" s="75" t="n"/>
      <c r="BK45" s="75" t="n"/>
      <c r="BL45" s="75" t="n"/>
      <c r="BM45" s="75" t="n"/>
      <c r="BN45" s="75" t="n"/>
      <c r="BO45" s="75" t="n"/>
      <c r="BP45" s="75" t="n"/>
      <c r="BQ45" s="75" t="n"/>
      <c r="BR45" s="75" t="n"/>
      <c r="BS45" s="75" t="n"/>
      <c r="BT45" s="75" t="n"/>
      <c r="BU45" s="75" t="n"/>
      <c r="BV45" s="75" t="n"/>
      <c r="BW45" s="75" t="n"/>
      <c r="BX45" s="75" t="n"/>
      <c r="BY45" s="75" t="n"/>
      <c r="BZ45" s="75" t="n"/>
      <c r="CA45" s="75" t="n"/>
      <c r="CB45" s="75" t="n"/>
      <c r="CC45" s="75" t="n"/>
      <c r="CD45" s="75" t="n"/>
      <c r="CE45" s="75" t="n"/>
      <c r="CF45" s="75" t="n"/>
      <c r="CG45" s="75" t="n"/>
      <c r="CH45" s="75" t="n"/>
      <c r="CI45" s="75" t="n"/>
      <c r="CJ45" s="75" t="n"/>
      <c r="CK45" s="75" t="n"/>
      <c r="CL45" s="75" t="n"/>
      <c r="CM45" s="75" t="n"/>
      <c r="CN45" s="75" t="n"/>
      <c r="CO45" s="75" t="n"/>
      <c r="CP45" s="75" t="n"/>
      <c r="CQ45" s="75" t="n"/>
      <c r="CR45" s="75" t="n"/>
      <c r="CS45" s="75" t="n"/>
      <c r="CT45" s="75" t="n"/>
      <c r="CU45" s="75" t="n"/>
      <c r="CV45" s="75" t="n"/>
      <c r="CW45" s="75" t="n"/>
      <c r="CX45" s="75" t="n"/>
      <c r="CY45" s="75" t="n"/>
      <c r="CZ45" s="75" t="n"/>
    </row>
    <row r="46">
      <c r="B46" s="134">
        <f>IF($A45="",0,COUNT($E46:$CZ46))</f>
        <v/>
      </c>
    </row>
    <row r="47">
      <c r="A47" s="5">
        <f>IF(AS51!$C$26="","",AS51!$C$26)</f>
        <v/>
      </c>
      <c r="B47" s="134">
        <f>IF($A47="",0,COUNT($E47:$CZ47))</f>
        <v/>
      </c>
      <c r="C47" s="135">
        <f>IF($A47="",0,IF($B47=0,0,MAX($E47:$CZ47)))</f>
        <v/>
      </c>
      <c r="D47" s="74">
        <f>BDS($A47,'Field Check'!$C$42,"headers=y","startcol=2","endcol=3","dir=h")</f>
        <v/>
      </c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  <c r="CL47" s="75" t="n"/>
      <c r="CM47" s="75" t="n"/>
      <c r="CN47" s="75" t="n"/>
      <c r="CO47" s="75" t="n"/>
      <c r="CP47" s="75" t="n"/>
      <c r="CQ47" s="75" t="n"/>
      <c r="CR47" s="75" t="n"/>
      <c r="CS47" s="75" t="n"/>
      <c r="CT47" s="75" t="n"/>
      <c r="CU47" s="75" t="n"/>
      <c r="CV47" s="75" t="n"/>
      <c r="CW47" s="75" t="n"/>
      <c r="CX47" s="75" t="n"/>
      <c r="CY47" s="75" t="n"/>
      <c r="CZ47" s="75" t="n"/>
    </row>
    <row r="48">
      <c r="B48" s="134">
        <f>IF($A47="",0,COUNT($E48:$CZ48))</f>
        <v/>
      </c>
    </row>
    <row r="49">
      <c r="A49" s="5">
        <f>IF(AS51!$C$27="","",AS51!$C$27)</f>
        <v/>
      </c>
      <c r="B49" s="134">
        <f>IF($A49="",0,COUNT($E49:$CZ49))</f>
        <v/>
      </c>
      <c r="C49" s="135">
        <f>IF($A49="",0,IF($B49=0,0,MAX($E49:$CZ49)))</f>
        <v/>
      </c>
      <c r="D49" s="74">
        <f>BDS($A49,'Field Check'!$C$42,"headers=y","startcol=2","endcol=3","dir=h")</f>
        <v/>
      </c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  <c r="AG49" s="75" t="n"/>
      <c r="AH49" s="75" t="n"/>
      <c r="AI49" s="75" t="n"/>
      <c r="AJ49" s="75" t="n"/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5" t="n"/>
      <c r="AZ49" s="75" t="n"/>
      <c r="BA49" s="75" t="n"/>
      <c r="BB49" s="75" t="n"/>
      <c r="BC49" s="75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75" t="n"/>
      <c r="BR49" s="75" t="n"/>
      <c r="BS49" s="75" t="n"/>
      <c r="BT49" s="75" t="n"/>
      <c r="BU49" s="75" t="n"/>
      <c r="BV49" s="75" t="n"/>
      <c r="BW49" s="75" t="n"/>
      <c r="BX49" s="75" t="n"/>
      <c r="BY49" s="75" t="n"/>
      <c r="BZ49" s="75" t="n"/>
      <c r="CA49" s="75" t="n"/>
      <c r="CB49" s="75" t="n"/>
      <c r="CC49" s="75" t="n"/>
      <c r="CD49" s="75" t="n"/>
      <c r="CE49" s="75" t="n"/>
      <c r="CF49" s="75" t="n"/>
      <c r="CG49" s="75" t="n"/>
      <c r="CH49" s="75" t="n"/>
      <c r="CI49" s="75" t="n"/>
      <c r="CJ49" s="75" t="n"/>
      <c r="CK49" s="75" t="n"/>
      <c r="CL49" s="75" t="n"/>
      <c r="CM49" s="75" t="n"/>
      <c r="CN49" s="75" t="n"/>
      <c r="CO49" s="75" t="n"/>
      <c r="CP49" s="75" t="n"/>
      <c r="CQ49" s="75" t="n"/>
      <c r="CR49" s="75" t="n"/>
      <c r="CS49" s="75" t="n"/>
      <c r="CT49" s="75" t="n"/>
      <c r="CU49" s="75" t="n"/>
      <c r="CV49" s="75" t="n"/>
      <c r="CW49" s="75" t="n"/>
      <c r="CX49" s="75" t="n"/>
      <c r="CY49" s="75" t="n"/>
      <c r="CZ49" s="75" t="n"/>
    </row>
    <row r="50">
      <c r="B50" s="134">
        <f>IF($A49="",0,COUNT($E50:$CZ50))</f>
        <v/>
      </c>
    </row>
    <row r="51">
      <c r="A51" s="5">
        <f>IF(AS51!$C$28="","",AS51!$C$28)</f>
        <v/>
      </c>
      <c r="B51" s="134">
        <f>IF($A51="",0,COUNT($E51:$CZ51))</f>
        <v/>
      </c>
      <c r="C51" s="135">
        <f>IF($A51="",0,IF($B51=0,0,MAX($E51:$CZ51)))</f>
        <v/>
      </c>
      <c r="D51" s="74">
        <f>BDS($A51,'Field Check'!$C$42,"headers=y","startcol=2","endcol=3","dir=h")</f>
        <v/>
      </c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  <c r="AB51" s="75" t="n"/>
      <c r="AC51" s="75" t="n"/>
      <c r="AD51" s="75" t="n"/>
      <c r="AE51" s="75" t="n"/>
      <c r="AF51" s="75" t="n"/>
      <c r="AG51" s="75" t="n"/>
      <c r="AH51" s="75" t="n"/>
      <c r="AI51" s="75" t="n"/>
      <c r="AJ51" s="75" t="n"/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5" t="n"/>
      <c r="BZ51" s="75" t="n"/>
      <c r="CA51" s="75" t="n"/>
      <c r="CB51" s="75" t="n"/>
      <c r="CC51" s="75" t="n"/>
      <c r="CD51" s="75" t="n"/>
      <c r="CE51" s="75" t="n"/>
      <c r="CF51" s="75" t="n"/>
      <c r="CG51" s="75" t="n"/>
      <c r="CH51" s="75" t="n"/>
      <c r="CI51" s="75" t="n"/>
      <c r="CJ51" s="75" t="n"/>
      <c r="CK51" s="75" t="n"/>
      <c r="CL51" s="75" t="n"/>
      <c r="CM51" s="75" t="n"/>
      <c r="CN51" s="75" t="n"/>
      <c r="CO51" s="75" t="n"/>
      <c r="CP51" s="75" t="n"/>
      <c r="CQ51" s="75" t="n"/>
      <c r="CR51" s="75" t="n"/>
      <c r="CS51" s="75" t="n"/>
      <c r="CT51" s="75" t="n"/>
      <c r="CU51" s="75" t="n"/>
      <c r="CV51" s="75" t="n"/>
      <c r="CW51" s="75" t="n"/>
      <c r="CX51" s="75" t="n"/>
      <c r="CY51" s="75" t="n"/>
      <c r="CZ51" s="75" t="n"/>
    </row>
    <row r="52">
      <c r="B52" s="134">
        <f>IF($A51="",0,COUNT($E52:$CZ52))</f>
        <v/>
      </c>
    </row>
    <row r="53">
      <c r="A53" s="5">
        <f>IF(AS51!$C$29="","",AS51!$C$29)</f>
        <v/>
      </c>
      <c r="B53" s="134">
        <f>IF($A53="",0,COUNT($E53:$CZ53))</f>
        <v/>
      </c>
      <c r="C53" s="135">
        <f>IF($A53="",0,IF($B53=0,0,MAX($E53:$CZ53)))</f>
        <v/>
      </c>
      <c r="D53" s="74">
        <f>BDS($A53,'Field Check'!$C$42,"headers=y","startcol=2","endcol=3","dir=h")</f>
        <v/>
      </c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5" t="n"/>
      <c r="Z53" s="75" t="n"/>
      <c r="AA53" s="75" t="n"/>
      <c r="AB53" s="75" t="n"/>
      <c r="AC53" s="75" t="n"/>
      <c r="AD53" s="75" t="n"/>
      <c r="AE53" s="75" t="n"/>
      <c r="AF53" s="75" t="n"/>
      <c r="AG53" s="75" t="n"/>
      <c r="AH53" s="75" t="n"/>
      <c r="AI53" s="75" t="n"/>
      <c r="AJ53" s="75" t="n"/>
      <c r="AK53" s="75" t="n"/>
      <c r="AL53" s="75" t="n"/>
      <c r="AM53" s="75" t="n"/>
      <c r="AN53" s="75" t="n"/>
      <c r="AO53" s="75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5" t="n"/>
      <c r="BZ53" s="75" t="n"/>
      <c r="CA53" s="75" t="n"/>
      <c r="CB53" s="75" t="n"/>
      <c r="CC53" s="75" t="n"/>
      <c r="CD53" s="75" t="n"/>
      <c r="CE53" s="75" t="n"/>
      <c r="CF53" s="75" t="n"/>
      <c r="CG53" s="75" t="n"/>
      <c r="CH53" s="75" t="n"/>
      <c r="CI53" s="75" t="n"/>
      <c r="CJ53" s="75" t="n"/>
      <c r="CK53" s="75" t="n"/>
      <c r="CL53" s="75" t="n"/>
      <c r="CM53" s="75" t="n"/>
      <c r="CN53" s="75" t="n"/>
      <c r="CO53" s="75" t="n"/>
      <c r="CP53" s="75" t="n"/>
      <c r="CQ53" s="75" t="n"/>
      <c r="CR53" s="75" t="n"/>
      <c r="CS53" s="75" t="n"/>
      <c r="CT53" s="75" t="n"/>
      <c r="CU53" s="75" t="n"/>
      <c r="CV53" s="75" t="n"/>
      <c r="CW53" s="75" t="n"/>
      <c r="CX53" s="75" t="n"/>
      <c r="CY53" s="75" t="n"/>
      <c r="CZ53" s="75" t="n"/>
    </row>
    <row r="54">
      <c r="B54" s="134">
        <f>IF($A53="",0,COUNT($E54:$CZ54))</f>
        <v/>
      </c>
    </row>
    <row r="55">
      <c r="A55" s="5">
        <f>IF(AS51!$C$30="","",AS51!$C$30)</f>
        <v/>
      </c>
      <c r="B55" s="134">
        <f>IF($A55="",0,COUNT($E55:$CZ55))</f>
        <v/>
      </c>
      <c r="C55" s="135">
        <f>IF($A55="",0,IF($B55=0,0,MAX($E55:$CZ55)))</f>
        <v/>
      </c>
      <c r="D55" s="74">
        <f>BDS($A55,'Field Check'!$C$42,"headers=y","startcol=2","endcol=3","dir=h")</f>
        <v/>
      </c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5" t="n"/>
      <c r="Z55" s="75" t="n"/>
      <c r="AA55" s="75" t="n"/>
      <c r="AB55" s="75" t="n"/>
      <c r="AC55" s="75" t="n"/>
      <c r="AD55" s="75" t="n"/>
      <c r="AE55" s="75" t="n"/>
      <c r="AF55" s="75" t="n"/>
      <c r="AG55" s="75" t="n"/>
      <c r="AH55" s="75" t="n"/>
      <c r="AI55" s="75" t="n"/>
      <c r="AJ55" s="75" t="n"/>
      <c r="AK55" s="75" t="n"/>
      <c r="AL55" s="75" t="n"/>
      <c r="AM55" s="75" t="n"/>
      <c r="AN55" s="75" t="n"/>
      <c r="AO55" s="75" t="n"/>
      <c r="AP55" s="75" t="n"/>
      <c r="AQ55" s="75" t="n"/>
      <c r="AR55" s="75" t="n"/>
      <c r="AS55" s="75" t="n"/>
      <c r="AT55" s="75" t="n"/>
      <c r="AU55" s="75" t="n"/>
      <c r="AV55" s="75" t="n"/>
      <c r="AW55" s="75" t="n"/>
      <c r="AX55" s="75" t="n"/>
      <c r="AY55" s="75" t="n"/>
      <c r="AZ55" s="75" t="n"/>
      <c r="BA55" s="75" t="n"/>
      <c r="BB55" s="75" t="n"/>
      <c r="BC55" s="75" t="n"/>
      <c r="BD55" s="75" t="n"/>
      <c r="BE55" s="75" t="n"/>
      <c r="BF55" s="75" t="n"/>
      <c r="BG55" s="75" t="n"/>
      <c r="BH55" s="75" t="n"/>
      <c r="BI55" s="75" t="n"/>
      <c r="BJ55" s="75" t="n"/>
      <c r="BK55" s="75" t="n"/>
      <c r="BL55" s="75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5" t="n"/>
      <c r="BZ55" s="75" t="n"/>
      <c r="CA55" s="75" t="n"/>
      <c r="CB55" s="75" t="n"/>
      <c r="CC55" s="75" t="n"/>
      <c r="CD55" s="75" t="n"/>
      <c r="CE55" s="75" t="n"/>
      <c r="CF55" s="75" t="n"/>
      <c r="CG55" s="75" t="n"/>
      <c r="CH55" s="75" t="n"/>
      <c r="CI55" s="75" t="n"/>
      <c r="CJ55" s="75" t="n"/>
      <c r="CK55" s="75" t="n"/>
      <c r="CL55" s="75" t="n"/>
      <c r="CM55" s="75" t="n"/>
      <c r="CN55" s="75" t="n"/>
      <c r="CO55" s="75" t="n"/>
      <c r="CP55" s="75" t="n"/>
      <c r="CQ55" s="75" t="n"/>
      <c r="CR55" s="75" t="n"/>
      <c r="CS55" s="75" t="n"/>
      <c r="CT55" s="75" t="n"/>
      <c r="CU55" s="75" t="n"/>
      <c r="CV55" s="75" t="n"/>
      <c r="CW55" s="75" t="n"/>
      <c r="CX55" s="75" t="n"/>
      <c r="CY55" s="75" t="n"/>
      <c r="CZ55" s="75" t="n"/>
    </row>
    <row r="56">
      <c r="B56" s="134">
        <f>IF($A55="",0,COUNT($E56:$CZ56))</f>
        <v/>
      </c>
    </row>
    <row r="57">
      <c r="A57" s="5">
        <f>IF(AS51!$C$31="","",AS51!$C$31)</f>
        <v/>
      </c>
      <c r="B57" s="134">
        <f>IF($A57="",0,COUNT($E57:$CZ57))</f>
        <v/>
      </c>
      <c r="C57" s="135">
        <f>IF($A57="",0,IF($B57=0,0,MAX($E57:$CZ57)))</f>
        <v/>
      </c>
      <c r="D57" s="74">
        <f>BDS($A57,'Field Check'!$C$42,"headers=y","startcol=2","endcol=3","dir=h")</f>
        <v/>
      </c>
      <c r="E57" s="75" t="n"/>
      <c r="F57" s="75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  <c r="Q57" s="75" t="n"/>
      <c r="R57" s="75" t="n"/>
      <c r="S57" s="75" t="n"/>
      <c r="T57" s="75" t="n"/>
      <c r="U57" s="75" t="n"/>
      <c r="V57" s="75" t="n"/>
      <c r="W57" s="75" t="n"/>
      <c r="X57" s="75" t="n"/>
      <c r="Y57" s="75" t="n"/>
      <c r="Z57" s="75" t="n"/>
      <c r="AA57" s="75" t="n"/>
      <c r="AB57" s="75" t="n"/>
      <c r="AC57" s="75" t="n"/>
      <c r="AD57" s="75" t="n"/>
      <c r="AE57" s="75" t="n"/>
      <c r="AF57" s="75" t="n"/>
      <c r="AG57" s="75" t="n"/>
      <c r="AH57" s="75" t="n"/>
      <c r="AI57" s="75" t="n"/>
      <c r="AJ57" s="75" t="n"/>
      <c r="AK57" s="75" t="n"/>
      <c r="AL57" s="75" t="n"/>
      <c r="AM57" s="75" t="n"/>
      <c r="AN57" s="75" t="n"/>
      <c r="AO57" s="75" t="n"/>
      <c r="AP57" s="75" t="n"/>
      <c r="AQ57" s="75" t="n"/>
      <c r="AR57" s="75" t="n"/>
      <c r="AS57" s="75" t="n"/>
      <c r="AT57" s="75" t="n"/>
      <c r="AU57" s="75" t="n"/>
      <c r="AV57" s="75" t="n"/>
      <c r="AW57" s="75" t="n"/>
      <c r="AX57" s="75" t="n"/>
      <c r="AY57" s="75" t="n"/>
      <c r="AZ57" s="75" t="n"/>
      <c r="BA57" s="75" t="n"/>
      <c r="BB57" s="75" t="n"/>
      <c r="BC57" s="75" t="n"/>
      <c r="BD57" s="75" t="n"/>
      <c r="BE57" s="75" t="n"/>
      <c r="BF57" s="75" t="n"/>
      <c r="BG57" s="75" t="n"/>
      <c r="BH57" s="75" t="n"/>
      <c r="BI57" s="75" t="n"/>
      <c r="BJ57" s="75" t="n"/>
      <c r="BK57" s="75" t="n"/>
      <c r="BL57" s="75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5" t="n"/>
      <c r="BZ57" s="75" t="n"/>
      <c r="CA57" s="75" t="n"/>
      <c r="CB57" s="75" t="n"/>
      <c r="CC57" s="75" t="n"/>
      <c r="CD57" s="75" t="n"/>
      <c r="CE57" s="75" t="n"/>
      <c r="CF57" s="75" t="n"/>
      <c r="CG57" s="75" t="n"/>
      <c r="CH57" s="75" t="n"/>
      <c r="CI57" s="75" t="n"/>
      <c r="CJ57" s="75" t="n"/>
      <c r="CK57" s="75" t="n"/>
      <c r="CL57" s="75" t="n"/>
      <c r="CM57" s="75" t="n"/>
      <c r="CN57" s="75" t="n"/>
      <c r="CO57" s="75" t="n"/>
      <c r="CP57" s="75" t="n"/>
      <c r="CQ57" s="75" t="n"/>
      <c r="CR57" s="75" t="n"/>
      <c r="CS57" s="75" t="n"/>
      <c r="CT57" s="75" t="n"/>
      <c r="CU57" s="75" t="n"/>
      <c r="CV57" s="75" t="n"/>
      <c r="CW57" s="75" t="n"/>
      <c r="CX57" s="75" t="n"/>
      <c r="CY57" s="75" t="n"/>
      <c r="CZ57" s="75" t="n"/>
    </row>
    <row r="58">
      <c r="B58" s="134">
        <f>IF($A57="",0,COUNT($E58:$CZ58))</f>
        <v/>
      </c>
    </row>
    <row r="59">
      <c r="A59" s="5">
        <f>IF(AS51!$C$32="","",AS51!$C$32)</f>
        <v/>
      </c>
      <c r="B59" s="134">
        <f>IF($A59="",0,COUNT($E59:$CZ59))</f>
        <v/>
      </c>
      <c r="C59" s="135">
        <f>IF($A59="",0,IF($B59=0,0,MAX($E59:$CZ59)))</f>
        <v/>
      </c>
      <c r="D59" s="74">
        <f>BDS($A59,'Field Check'!$C$42,"headers=y","startcol=2","endcol=3","dir=h")</f>
        <v/>
      </c>
      <c r="E59" s="75" t="n"/>
      <c r="F59" s="75" t="n"/>
      <c r="G59" s="75" t="n"/>
      <c r="H59" s="75" t="n"/>
      <c r="I59" s="75" t="n"/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  <c r="AA59" s="75" t="n"/>
      <c r="AB59" s="75" t="n"/>
      <c r="AC59" s="75" t="n"/>
      <c r="AD59" s="75" t="n"/>
      <c r="AE59" s="75" t="n"/>
      <c r="AF59" s="75" t="n"/>
      <c r="AG59" s="75" t="n"/>
      <c r="AH59" s="75" t="n"/>
      <c r="AI59" s="75" t="n"/>
      <c r="AJ59" s="75" t="n"/>
      <c r="AK59" s="75" t="n"/>
      <c r="AL59" s="75" t="n"/>
      <c r="AM59" s="75" t="n"/>
      <c r="AN59" s="75" t="n"/>
      <c r="AO59" s="75" t="n"/>
      <c r="AP59" s="75" t="n"/>
      <c r="AQ59" s="75" t="n"/>
      <c r="AR59" s="75" t="n"/>
      <c r="AS59" s="75" t="n"/>
      <c r="AT59" s="75" t="n"/>
      <c r="AU59" s="75" t="n"/>
      <c r="AV59" s="75" t="n"/>
      <c r="AW59" s="75" t="n"/>
      <c r="AX59" s="75" t="n"/>
      <c r="AY59" s="75" t="n"/>
      <c r="AZ59" s="75" t="n"/>
      <c r="BA59" s="75" t="n"/>
      <c r="BB59" s="75" t="n"/>
      <c r="BC59" s="75" t="n"/>
      <c r="BD59" s="75" t="n"/>
      <c r="BE59" s="75" t="n"/>
      <c r="BF59" s="75" t="n"/>
      <c r="BG59" s="75" t="n"/>
      <c r="BH59" s="75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5" t="n"/>
      <c r="BZ59" s="75" t="n"/>
      <c r="CA59" s="75" t="n"/>
      <c r="CB59" s="75" t="n"/>
      <c r="CC59" s="75" t="n"/>
      <c r="CD59" s="75" t="n"/>
      <c r="CE59" s="75" t="n"/>
      <c r="CF59" s="75" t="n"/>
      <c r="CG59" s="75" t="n"/>
      <c r="CH59" s="75" t="n"/>
      <c r="CI59" s="75" t="n"/>
      <c r="CJ59" s="75" t="n"/>
      <c r="CK59" s="75" t="n"/>
      <c r="CL59" s="75" t="n"/>
      <c r="CM59" s="75" t="n"/>
      <c r="CN59" s="75" t="n"/>
      <c r="CO59" s="75" t="n"/>
      <c r="CP59" s="75" t="n"/>
      <c r="CQ59" s="75" t="n"/>
      <c r="CR59" s="75" t="n"/>
      <c r="CS59" s="75" t="n"/>
      <c r="CT59" s="75" t="n"/>
      <c r="CU59" s="75" t="n"/>
      <c r="CV59" s="75" t="n"/>
      <c r="CW59" s="75" t="n"/>
      <c r="CX59" s="75" t="n"/>
      <c r="CY59" s="75" t="n"/>
      <c r="CZ59" s="75" t="n"/>
    </row>
    <row r="60">
      <c r="B60" s="134">
        <f>IF($A59="",0,COUNT($E60:$CZ60))</f>
        <v/>
      </c>
    </row>
    <row r="61">
      <c r="A61" s="5">
        <f>IF(AS51!$C$33="","",AS51!$C$33)</f>
        <v/>
      </c>
      <c r="B61" s="134">
        <f>IF($A61="",0,COUNT($E61:$CZ61))</f>
        <v/>
      </c>
      <c r="C61" s="135">
        <f>IF($A61="",0,IF($B61=0,0,MAX($E61:$CZ61)))</f>
        <v/>
      </c>
      <c r="D61" s="74">
        <f>BDS($A61,'Field Check'!$C$42,"headers=y","startcol=2","endcol=3","dir=h")</f>
        <v/>
      </c>
      <c r="E61" s="75" t="n"/>
      <c r="F61" s="75" t="n"/>
      <c r="G61" s="75" t="n"/>
      <c r="H61" s="75" t="n"/>
      <c r="I61" s="75" t="n"/>
      <c r="J61" s="75" t="n"/>
      <c r="K61" s="75" t="n"/>
      <c r="L61" s="75" t="n"/>
      <c r="M61" s="75" t="n"/>
      <c r="N61" s="75" t="n"/>
      <c r="O61" s="75" t="n"/>
      <c r="P61" s="75" t="n"/>
      <c r="Q61" s="75" t="n"/>
      <c r="R61" s="75" t="n"/>
      <c r="S61" s="75" t="n"/>
      <c r="T61" s="75" t="n"/>
      <c r="U61" s="75" t="n"/>
      <c r="V61" s="75" t="n"/>
      <c r="W61" s="75" t="n"/>
      <c r="X61" s="75" t="n"/>
      <c r="Y61" s="75" t="n"/>
      <c r="Z61" s="75" t="n"/>
      <c r="AA61" s="75" t="n"/>
      <c r="AB61" s="75" t="n"/>
      <c r="AC61" s="75" t="n"/>
      <c r="AD61" s="75" t="n"/>
      <c r="AE61" s="75" t="n"/>
      <c r="AF61" s="75" t="n"/>
      <c r="AG61" s="75" t="n"/>
      <c r="AH61" s="75" t="n"/>
      <c r="AI61" s="75" t="n"/>
      <c r="AJ61" s="75" t="n"/>
      <c r="AK61" s="75" t="n"/>
      <c r="AL61" s="75" t="n"/>
      <c r="AM61" s="75" t="n"/>
      <c r="AN61" s="75" t="n"/>
      <c r="AO61" s="75" t="n"/>
      <c r="AP61" s="75" t="n"/>
      <c r="AQ61" s="75" t="n"/>
      <c r="AR61" s="75" t="n"/>
      <c r="AS61" s="75" t="n"/>
      <c r="AT61" s="75" t="n"/>
      <c r="AU61" s="75" t="n"/>
      <c r="AV61" s="75" t="n"/>
      <c r="AW61" s="75" t="n"/>
      <c r="AX61" s="75" t="n"/>
      <c r="AY61" s="75" t="n"/>
      <c r="AZ61" s="75" t="n"/>
      <c r="BA61" s="75" t="n"/>
      <c r="BB61" s="75" t="n"/>
      <c r="BC61" s="75" t="n"/>
      <c r="BD61" s="75" t="n"/>
      <c r="BE61" s="75" t="n"/>
      <c r="BF61" s="75" t="n"/>
      <c r="BG61" s="75" t="n"/>
      <c r="BH61" s="75" t="n"/>
      <c r="BI61" s="75" t="n"/>
      <c r="BJ61" s="75" t="n"/>
      <c r="BK61" s="75" t="n"/>
      <c r="BL61" s="75" t="n"/>
      <c r="BM61" s="75" t="n"/>
      <c r="BN61" s="75" t="n"/>
      <c r="BO61" s="75" t="n"/>
      <c r="BP61" s="75" t="n"/>
      <c r="BQ61" s="75" t="n"/>
      <c r="BR61" s="75" t="n"/>
      <c r="BS61" s="75" t="n"/>
      <c r="BT61" s="75" t="n"/>
      <c r="BU61" s="75" t="n"/>
      <c r="BV61" s="75" t="n"/>
      <c r="BW61" s="75" t="n"/>
      <c r="BX61" s="75" t="n"/>
      <c r="BY61" s="75" t="n"/>
      <c r="BZ61" s="75" t="n"/>
      <c r="CA61" s="75" t="n"/>
      <c r="CB61" s="75" t="n"/>
      <c r="CC61" s="75" t="n"/>
      <c r="CD61" s="75" t="n"/>
      <c r="CE61" s="75" t="n"/>
      <c r="CF61" s="75" t="n"/>
      <c r="CG61" s="75" t="n"/>
      <c r="CH61" s="75" t="n"/>
      <c r="CI61" s="75" t="n"/>
      <c r="CJ61" s="75" t="n"/>
      <c r="CK61" s="75" t="n"/>
      <c r="CL61" s="75" t="n"/>
      <c r="CM61" s="75" t="n"/>
      <c r="CN61" s="75" t="n"/>
      <c r="CO61" s="75" t="n"/>
      <c r="CP61" s="75" t="n"/>
      <c r="CQ61" s="75" t="n"/>
      <c r="CR61" s="75" t="n"/>
      <c r="CS61" s="75" t="n"/>
      <c r="CT61" s="75" t="n"/>
      <c r="CU61" s="75" t="n"/>
      <c r="CV61" s="75" t="n"/>
      <c r="CW61" s="75" t="n"/>
      <c r="CX61" s="75" t="n"/>
      <c r="CY61" s="75" t="n"/>
      <c r="CZ61" s="75" t="n"/>
    </row>
    <row r="62">
      <c r="B62" s="134">
        <f>IF($A61="",0,COUNT($E62:$CZ62))</f>
        <v/>
      </c>
    </row>
    <row r="63">
      <c r="A63" s="5">
        <f>IF(AS51!$C$34="","",AS51!$C$34)</f>
        <v/>
      </c>
      <c r="B63" s="134">
        <f>IF($A63="",0,COUNT($E63:$CZ63))</f>
        <v/>
      </c>
      <c r="C63" s="135">
        <f>IF($A63="",0,IF($B63=0,0,MAX($E63:$CZ63)))</f>
        <v/>
      </c>
      <c r="D63" s="74">
        <f>BDS($A63,'Field Check'!$C$42,"headers=y","startcol=2","endcol=3","dir=h")</f>
        <v/>
      </c>
      <c r="E63" s="75" t="n"/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5" t="n"/>
      <c r="AG63" s="75" t="n"/>
      <c r="AH63" s="75" t="n"/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75" t="n"/>
      <c r="BR63" s="75" t="n"/>
      <c r="BS63" s="75" t="n"/>
      <c r="BT63" s="75" t="n"/>
      <c r="BU63" s="75" t="n"/>
      <c r="BV63" s="75" t="n"/>
      <c r="BW63" s="75" t="n"/>
      <c r="BX63" s="75" t="n"/>
      <c r="BY63" s="75" t="n"/>
      <c r="BZ63" s="75" t="n"/>
      <c r="CA63" s="75" t="n"/>
      <c r="CB63" s="75" t="n"/>
      <c r="CC63" s="75" t="n"/>
      <c r="CD63" s="75" t="n"/>
      <c r="CE63" s="75" t="n"/>
      <c r="CF63" s="75" t="n"/>
      <c r="CG63" s="75" t="n"/>
      <c r="CH63" s="75" t="n"/>
      <c r="CI63" s="75" t="n"/>
      <c r="CJ63" s="75" t="n"/>
      <c r="CK63" s="75" t="n"/>
      <c r="CL63" s="75" t="n"/>
      <c r="CM63" s="75" t="n"/>
      <c r="CN63" s="75" t="n"/>
      <c r="CO63" s="75" t="n"/>
      <c r="CP63" s="75" t="n"/>
      <c r="CQ63" s="75" t="n"/>
      <c r="CR63" s="75" t="n"/>
      <c r="CS63" s="75" t="n"/>
      <c r="CT63" s="75" t="n"/>
      <c r="CU63" s="75" t="n"/>
      <c r="CV63" s="75" t="n"/>
      <c r="CW63" s="75" t="n"/>
      <c r="CX63" s="75" t="n"/>
      <c r="CY63" s="75" t="n"/>
      <c r="CZ63" s="75" t="n"/>
    </row>
    <row r="64">
      <c r="B64" s="134">
        <f>IF($A63="",0,COUNT($E64:$CZ64))</f>
        <v/>
      </c>
    </row>
    <row r="65">
      <c r="A65" s="5">
        <f>IF(AS51!$C$35="","",AS51!$C$35)</f>
        <v/>
      </c>
      <c r="B65" s="134">
        <f>IF($A65="",0,COUNT($E65:$CZ65))</f>
        <v/>
      </c>
      <c r="C65" s="135">
        <f>IF($A65="",0,IF($B65=0,0,MAX($E65:$CZ65)))</f>
        <v/>
      </c>
      <c r="D65" s="74">
        <f>BDS($A65,'Field Check'!$C$42,"headers=y","startcol=2","endcol=3","dir=h")</f>
        <v/>
      </c>
      <c r="E65" s="75" t="n"/>
      <c r="F65" s="75" t="n"/>
      <c r="G65" s="75" t="n"/>
      <c r="H65" s="75" t="n"/>
      <c r="I65" s="75" t="n"/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  <c r="AA65" s="75" t="n"/>
      <c r="AB65" s="75" t="n"/>
      <c r="AC65" s="75" t="n"/>
      <c r="AD65" s="75" t="n"/>
      <c r="AE65" s="75" t="n"/>
      <c r="AF65" s="75" t="n"/>
      <c r="AG65" s="75" t="n"/>
      <c r="AH65" s="75" t="n"/>
      <c r="AI65" s="75" t="n"/>
      <c r="AJ65" s="75" t="n"/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75" t="n"/>
      <c r="BR65" s="75" t="n"/>
      <c r="BS65" s="75" t="n"/>
      <c r="BT65" s="75" t="n"/>
      <c r="BU65" s="75" t="n"/>
      <c r="BV65" s="75" t="n"/>
      <c r="BW65" s="75" t="n"/>
      <c r="BX65" s="75" t="n"/>
      <c r="BY65" s="75" t="n"/>
      <c r="BZ65" s="75" t="n"/>
      <c r="CA65" s="75" t="n"/>
      <c r="CB65" s="75" t="n"/>
      <c r="CC65" s="75" t="n"/>
      <c r="CD65" s="75" t="n"/>
      <c r="CE65" s="75" t="n"/>
      <c r="CF65" s="75" t="n"/>
      <c r="CG65" s="75" t="n"/>
      <c r="CH65" s="75" t="n"/>
      <c r="CI65" s="75" t="n"/>
      <c r="CJ65" s="75" t="n"/>
      <c r="CK65" s="75" t="n"/>
      <c r="CL65" s="75" t="n"/>
      <c r="CM65" s="75" t="n"/>
      <c r="CN65" s="75" t="n"/>
      <c r="CO65" s="75" t="n"/>
      <c r="CP65" s="75" t="n"/>
      <c r="CQ65" s="75" t="n"/>
      <c r="CR65" s="75" t="n"/>
      <c r="CS65" s="75" t="n"/>
      <c r="CT65" s="75" t="n"/>
      <c r="CU65" s="75" t="n"/>
      <c r="CV65" s="75" t="n"/>
      <c r="CW65" s="75" t="n"/>
      <c r="CX65" s="75" t="n"/>
      <c r="CY65" s="75" t="n"/>
      <c r="CZ65" s="75" t="n"/>
    </row>
    <row r="66">
      <c r="B66" s="134">
        <f>IF($A65="",0,COUNT($E66:$CZ66))</f>
        <v/>
      </c>
    </row>
    <row r="67">
      <c r="A67" s="5">
        <f>IF(AS51!$C$36="","",AS51!$C$36)</f>
        <v/>
      </c>
      <c r="B67" s="134">
        <f>IF($A67="",0,COUNT($E67:$CZ67))</f>
        <v/>
      </c>
      <c r="C67" s="135">
        <f>IF($A67="",0,IF($B67=0,0,MAX($E67:$CZ67)))</f>
        <v/>
      </c>
      <c r="D67" s="74">
        <f>BDS($A67,'Field Check'!$C$42,"headers=y","startcol=2","endcol=3","dir=h")</f>
        <v/>
      </c>
      <c r="E67" s="75" t="n"/>
      <c r="F67" s="75" t="n"/>
      <c r="G67" s="75" t="n"/>
      <c r="H67" s="75" t="n"/>
      <c r="I67" s="75" t="n"/>
      <c r="J67" s="75" t="n"/>
      <c r="K67" s="75" t="n"/>
      <c r="L67" s="75" t="n"/>
      <c r="M67" s="75" t="n"/>
      <c r="N67" s="75" t="n"/>
      <c r="O67" s="75" t="n"/>
      <c r="P67" s="75" t="n"/>
      <c r="Q67" s="75" t="n"/>
      <c r="R67" s="75" t="n"/>
      <c r="S67" s="75" t="n"/>
      <c r="T67" s="75" t="n"/>
      <c r="U67" s="75" t="n"/>
      <c r="V67" s="75" t="n"/>
      <c r="W67" s="75" t="n"/>
      <c r="X67" s="75" t="n"/>
      <c r="Y67" s="75" t="n"/>
      <c r="Z67" s="75" t="n"/>
      <c r="AA67" s="75" t="n"/>
      <c r="AB67" s="75" t="n"/>
      <c r="AC67" s="75" t="n"/>
      <c r="AD67" s="75" t="n"/>
      <c r="AE67" s="75" t="n"/>
      <c r="AF67" s="75" t="n"/>
      <c r="AG67" s="75" t="n"/>
      <c r="AH67" s="75" t="n"/>
      <c r="AI67" s="75" t="n"/>
      <c r="AJ67" s="75" t="n"/>
      <c r="AK67" s="75" t="n"/>
      <c r="AL67" s="75" t="n"/>
      <c r="AM67" s="75" t="n"/>
      <c r="AN67" s="75" t="n"/>
      <c r="AO67" s="75" t="n"/>
      <c r="AP67" s="75" t="n"/>
      <c r="AQ67" s="75" t="n"/>
      <c r="AR67" s="75" t="n"/>
      <c r="AS67" s="75" t="n"/>
      <c r="AT67" s="75" t="n"/>
      <c r="AU67" s="75" t="n"/>
      <c r="AV67" s="75" t="n"/>
      <c r="AW67" s="75" t="n"/>
      <c r="AX67" s="75" t="n"/>
      <c r="AY67" s="75" t="n"/>
      <c r="AZ67" s="75" t="n"/>
      <c r="BA67" s="75" t="n"/>
      <c r="BB67" s="75" t="n"/>
      <c r="BC67" s="75" t="n"/>
      <c r="BD67" s="75" t="n"/>
      <c r="BE67" s="75" t="n"/>
      <c r="BF67" s="75" t="n"/>
      <c r="BG67" s="75" t="n"/>
      <c r="BH67" s="75" t="n"/>
      <c r="BI67" s="75" t="n"/>
      <c r="BJ67" s="75" t="n"/>
      <c r="BK67" s="75" t="n"/>
      <c r="BL67" s="75" t="n"/>
      <c r="BM67" s="75" t="n"/>
      <c r="BN67" s="75" t="n"/>
      <c r="BO67" s="75" t="n"/>
      <c r="BP67" s="75" t="n"/>
      <c r="BQ67" s="75" t="n"/>
      <c r="BR67" s="75" t="n"/>
      <c r="BS67" s="75" t="n"/>
      <c r="BT67" s="75" t="n"/>
      <c r="BU67" s="75" t="n"/>
      <c r="BV67" s="75" t="n"/>
      <c r="BW67" s="75" t="n"/>
      <c r="BX67" s="75" t="n"/>
      <c r="BY67" s="75" t="n"/>
      <c r="BZ67" s="75" t="n"/>
      <c r="CA67" s="75" t="n"/>
      <c r="CB67" s="75" t="n"/>
      <c r="CC67" s="75" t="n"/>
      <c r="CD67" s="75" t="n"/>
      <c r="CE67" s="75" t="n"/>
      <c r="CF67" s="75" t="n"/>
      <c r="CG67" s="75" t="n"/>
      <c r="CH67" s="75" t="n"/>
      <c r="CI67" s="75" t="n"/>
      <c r="CJ67" s="75" t="n"/>
      <c r="CK67" s="75" t="n"/>
      <c r="CL67" s="75" t="n"/>
      <c r="CM67" s="75" t="n"/>
      <c r="CN67" s="75" t="n"/>
      <c r="CO67" s="75" t="n"/>
      <c r="CP67" s="75" t="n"/>
      <c r="CQ67" s="75" t="n"/>
      <c r="CR67" s="75" t="n"/>
      <c r="CS67" s="75" t="n"/>
      <c r="CT67" s="75" t="n"/>
      <c r="CU67" s="75" t="n"/>
      <c r="CV67" s="75" t="n"/>
      <c r="CW67" s="75" t="n"/>
      <c r="CX67" s="75" t="n"/>
      <c r="CY67" s="75" t="n"/>
      <c r="CZ67" s="75" t="n"/>
    </row>
    <row r="68">
      <c r="B68" s="134">
        <f>IF($A67="",0,COUNT($E68:$CZ68))</f>
        <v/>
      </c>
    </row>
    <row r="69">
      <c r="A69" s="5">
        <f>IF(AS51!$C$37="","",AS51!$C$37)</f>
        <v/>
      </c>
      <c r="B69" s="134">
        <f>IF($A69="",0,COUNT($E69:$CZ69))</f>
        <v/>
      </c>
      <c r="C69" s="135">
        <f>IF($A69="",0,IF($B69=0,0,MAX($E69:$CZ69)))</f>
        <v/>
      </c>
      <c r="D69" s="74">
        <f>BDS($A69,'Field Check'!$C$42,"headers=y","startcol=2","endcol=3","dir=h")</f>
        <v/>
      </c>
      <c r="E69" s="75" t="n"/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  <c r="AB69" s="75" t="n"/>
      <c r="AC69" s="75" t="n"/>
      <c r="AD69" s="75" t="n"/>
      <c r="AE69" s="75" t="n"/>
      <c r="AF69" s="75" t="n"/>
      <c r="AG69" s="75" t="n"/>
      <c r="AH69" s="75" t="n"/>
      <c r="AI69" s="75" t="n"/>
      <c r="AJ69" s="75" t="n"/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75" t="n"/>
      <c r="BR69" s="75" t="n"/>
      <c r="BS69" s="75" t="n"/>
      <c r="BT69" s="75" t="n"/>
      <c r="BU69" s="75" t="n"/>
      <c r="BV69" s="75" t="n"/>
      <c r="BW69" s="75" t="n"/>
      <c r="BX69" s="75" t="n"/>
      <c r="BY69" s="75" t="n"/>
      <c r="BZ69" s="75" t="n"/>
      <c r="CA69" s="75" t="n"/>
      <c r="CB69" s="75" t="n"/>
      <c r="CC69" s="75" t="n"/>
      <c r="CD69" s="75" t="n"/>
      <c r="CE69" s="75" t="n"/>
      <c r="CF69" s="75" t="n"/>
      <c r="CG69" s="75" t="n"/>
      <c r="CH69" s="75" t="n"/>
      <c r="CI69" s="75" t="n"/>
      <c r="CJ69" s="75" t="n"/>
      <c r="CK69" s="75" t="n"/>
      <c r="CL69" s="75" t="n"/>
      <c r="CM69" s="75" t="n"/>
      <c r="CN69" s="75" t="n"/>
      <c r="CO69" s="75" t="n"/>
      <c r="CP69" s="75" t="n"/>
      <c r="CQ69" s="75" t="n"/>
      <c r="CR69" s="75" t="n"/>
      <c r="CS69" s="75" t="n"/>
      <c r="CT69" s="75" t="n"/>
      <c r="CU69" s="75" t="n"/>
      <c r="CV69" s="75" t="n"/>
      <c r="CW69" s="75" t="n"/>
      <c r="CX69" s="75" t="n"/>
      <c r="CY69" s="75" t="n"/>
      <c r="CZ69" s="75" t="n"/>
    </row>
    <row r="70">
      <c r="B70" s="134">
        <f>IF($A69="",0,COUNT($E70:$CZ70))</f>
        <v/>
      </c>
    </row>
    <row r="71">
      <c r="A71" s="5">
        <f>IF(AS51!$C$38="","",AS51!$C$38)</f>
        <v/>
      </c>
      <c r="B71" s="134">
        <f>IF($A71="",0,COUNT($E71:$CZ71))</f>
        <v/>
      </c>
      <c r="C71" s="135">
        <f>IF($A71="",0,IF($B71=0,0,MAX($E71:$CZ71)))</f>
        <v/>
      </c>
      <c r="D71" s="74">
        <f>BDS($A71,'Field Check'!$C$42,"headers=y","startcol=2","endcol=3","dir=h")</f>
        <v/>
      </c>
      <c r="E71" s="75" t="n"/>
      <c r="F71" s="75" t="n"/>
      <c r="G71" s="75" t="n"/>
      <c r="H71" s="75" t="n"/>
      <c r="I71" s="75" t="n"/>
      <c r="J71" s="75" t="n"/>
      <c r="K71" s="75" t="n"/>
      <c r="L71" s="75" t="n"/>
      <c r="M71" s="75" t="n"/>
      <c r="N71" s="75" t="n"/>
      <c r="O71" s="75" t="n"/>
      <c r="P71" s="75" t="n"/>
      <c r="Q71" s="75" t="n"/>
      <c r="R71" s="75" t="n"/>
      <c r="S71" s="75" t="n"/>
      <c r="T71" s="75" t="n"/>
      <c r="U71" s="75" t="n"/>
      <c r="V71" s="75" t="n"/>
      <c r="W71" s="75" t="n"/>
      <c r="X71" s="75" t="n"/>
      <c r="Y71" s="75" t="n"/>
      <c r="Z71" s="75" t="n"/>
      <c r="AA71" s="75" t="n"/>
      <c r="AB71" s="75" t="n"/>
      <c r="AC71" s="75" t="n"/>
      <c r="AD71" s="75" t="n"/>
      <c r="AE71" s="75" t="n"/>
      <c r="AF71" s="75" t="n"/>
      <c r="AG71" s="75" t="n"/>
      <c r="AH71" s="75" t="n"/>
      <c r="AI71" s="75" t="n"/>
      <c r="AJ71" s="75" t="n"/>
      <c r="AK71" s="75" t="n"/>
      <c r="AL71" s="75" t="n"/>
      <c r="AM71" s="75" t="n"/>
      <c r="AN71" s="75" t="n"/>
      <c r="AO71" s="75" t="n"/>
      <c r="AP71" s="75" t="n"/>
      <c r="AQ71" s="75" t="n"/>
      <c r="AR71" s="75" t="n"/>
      <c r="AS71" s="75" t="n"/>
      <c r="AT71" s="75" t="n"/>
      <c r="AU71" s="75" t="n"/>
      <c r="AV71" s="75" t="n"/>
      <c r="AW71" s="75" t="n"/>
      <c r="AX71" s="75" t="n"/>
      <c r="AY71" s="75" t="n"/>
      <c r="AZ71" s="75" t="n"/>
      <c r="BA71" s="75" t="n"/>
      <c r="BB71" s="75" t="n"/>
      <c r="BC71" s="75" t="n"/>
      <c r="BD71" s="75" t="n"/>
      <c r="BE71" s="75" t="n"/>
      <c r="BF71" s="75" t="n"/>
      <c r="BG71" s="75" t="n"/>
      <c r="BH71" s="75" t="n"/>
      <c r="BI71" s="75" t="n"/>
      <c r="BJ71" s="75" t="n"/>
      <c r="BK71" s="75" t="n"/>
      <c r="BL71" s="75" t="n"/>
      <c r="BM71" s="75" t="n"/>
      <c r="BN71" s="75" t="n"/>
      <c r="BO71" s="75" t="n"/>
      <c r="BP71" s="75" t="n"/>
      <c r="BQ71" s="75" t="n"/>
      <c r="BR71" s="75" t="n"/>
      <c r="BS71" s="75" t="n"/>
      <c r="BT71" s="75" t="n"/>
      <c r="BU71" s="75" t="n"/>
      <c r="BV71" s="75" t="n"/>
      <c r="BW71" s="75" t="n"/>
      <c r="BX71" s="75" t="n"/>
      <c r="BY71" s="75" t="n"/>
      <c r="BZ71" s="75" t="n"/>
      <c r="CA71" s="75" t="n"/>
      <c r="CB71" s="75" t="n"/>
      <c r="CC71" s="75" t="n"/>
      <c r="CD71" s="75" t="n"/>
      <c r="CE71" s="75" t="n"/>
      <c r="CF71" s="75" t="n"/>
      <c r="CG71" s="75" t="n"/>
      <c r="CH71" s="75" t="n"/>
      <c r="CI71" s="75" t="n"/>
      <c r="CJ71" s="75" t="n"/>
      <c r="CK71" s="75" t="n"/>
      <c r="CL71" s="75" t="n"/>
      <c r="CM71" s="75" t="n"/>
      <c r="CN71" s="75" t="n"/>
      <c r="CO71" s="75" t="n"/>
      <c r="CP71" s="75" t="n"/>
      <c r="CQ71" s="75" t="n"/>
      <c r="CR71" s="75" t="n"/>
      <c r="CS71" s="75" t="n"/>
      <c r="CT71" s="75" t="n"/>
      <c r="CU71" s="75" t="n"/>
      <c r="CV71" s="75" t="n"/>
      <c r="CW71" s="75" t="n"/>
      <c r="CX71" s="75" t="n"/>
      <c r="CY71" s="75" t="n"/>
      <c r="CZ71" s="75" t="n"/>
    </row>
    <row r="72">
      <c r="B72" s="134">
        <f>IF($A71="",0,COUNT($E72:$CZ72))</f>
        <v/>
      </c>
    </row>
    <row r="73">
      <c r="A73" s="5">
        <f>IF(AS51!$C$39="","",AS51!$C$39)</f>
        <v/>
      </c>
      <c r="B73" s="134">
        <f>IF($A73="",0,COUNT($E73:$CZ73))</f>
        <v/>
      </c>
      <c r="C73" s="135">
        <f>IF($A73="",0,IF($B73=0,0,MAX($E73:$CZ73)))</f>
        <v/>
      </c>
      <c r="D73" s="74">
        <f>BDS($A73,'Field Check'!$C$42,"headers=y","startcol=2","endcol=3","dir=h")</f>
        <v/>
      </c>
      <c r="E73" s="75" t="n"/>
      <c r="F73" s="75" t="n"/>
      <c r="G73" s="75" t="n"/>
      <c r="H73" s="75" t="n"/>
      <c r="I73" s="75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  <c r="AA73" s="75" t="n"/>
      <c r="AB73" s="75" t="n"/>
      <c r="AC73" s="75" t="n"/>
      <c r="AD73" s="75" t="n"/>
      <c r="AE73" s="75" t="n"/>
      <c r="AF73" s="75" t="n"/>
      <c r="AG73" s="75" t="n"/>
      <c r="AH73" s="75" t="n"/>
      <c r="AI73" s="75" t="n"/>
      <c r="AJ73" s="75" t="n"/>
      <c r="AK73" s="75" t="n"/>
      <c r="AL73" s="75" t="n"/>
      <c r="AM73" s="75" t="n"/>
      <c r="AN73" s="75" t="n"/>
      <c r="AO73" s="75" t="n"/>
      <c r="AP73" s="75" t="n"/>
      <c r="AQ73" s="75" t="n"/>
      <c r="AR73" s="75" t="n"/>
      <c r="AS73" s="75" t="n"/>
      <c r="AT73" s="75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75" t="n"/>
      <c r="BR73" s="75" t="n"/>
      <c r="BS73" s="75" t="n"/>
      <c r="BT73" s="75" t="n"/>
      <c r="BU73" s="75" t="n"/>
      <c r="BV73" s="75" t="n"/>
      <c r="BW73" s="75" t="n"/>
      <c r="BX73" s="75" t="n"/>
      <c r="BY73" s="75" t="n"/>
      <c r="BZ73" s="75" t="n"/>
      <c r="CA73" s="75" t="n"/>
      <c r="CB73" s="75" t="n"/>
      <c r="CC73" s="75" t="n"/>
      <c r="CD73" s="75" t="n"/>
      <c r="CE73" s="75" t="n"/>
      <c r="CF73" s="75" t="n"/>
      <c r="CG73" s="75" t="n"/>
      <c r="CH73" s="75" t="n"/>
      <c r="CI73" s="75" t="n"/>
      <c r="CJ73" s="75" t="n"/>
      <c r="CK73" s="75" t="n"/>
      <c r="CL73" s="75" t="n"/>
      <c r="CM73" s="75" t="n"/>
      <c r="CN73" s="75" t="n"/>
      <c r="CO73" s="75" t="n"/>
      <c r="CP73" s="75" t="n"/>
      <c r="CQ73" s="75" t="n"/>
      <c r="CR73" s="75" t="n"/>
      <c r="CS73" s="75" t="n"/>
      <c r="CT73" s="75" t="n"/>
      <c r="CU73" s="75" t="n"/>
      <c r="CV73" s="75" t="n"/>
      <c r="CW73" s="75" t="n"/>
      <c r="CX73" s="75" t="n"/>
      <c r="CY73" s="75" t="n"/>
      <c r="CZ73" s="75" t="n"/>
    </row>
    <row r="74">
      <c r="B74" s="134">
        <f>IF($A73="",0,COUNT($E74:$CZ74))</f>
        <v/>
      </c>
    </row>
    <row r="75">
      <c r="A75" s="5">
        <f>IF(AS51!$C$40="","",AS51!$C$40)</f>
        <v/>
      </c>
      <c r="B75" s="134">
        <f>IF($A75="",0,COUNT($E75:$CZ75))</f>
        <v/>
      </c>
      <c r="C75" s="135">
        <f>IF($A75="",0,IF($B75=0,0,MAX($E75:$CZ75)))</f>
        <v/>
      </c>
      <c r="D75" s="74">
        <f>BDS($A75,'Field Check'!$C$42,"headers=y","startcol=2","endcol=3","dir=h")</f>
        <v/>
      </c>
      <c r="E75" s="75" t="n"/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  <c r="AB75" s="75" t="n"/>
      <c r="AC75" s="75" t="n"/>
      <c r="AD75" s="75" t="n"/>
      <c r="AE75" s="75" t="n"/>
      <c r="AF75" s="75" t="n"/>
      <c r="AG75" s="75" t="n"/>
      <c r="AH75" s="75" t="n"/>
      <c r="AI75" s="75" t="n"/>
      <c r="AJ75" s="75" t="n"/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5" t="n"/>
      <c r="AZ75" s="75" t="n"/>
      <c r="BA75" s="75" t="n"/>
      <c r="BB75" s="75" t="n"/>
      <c r="BC75" s="75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75" t="n"/>
      <c r="BR75" s="75" t="n"/>
      <c r="BS75" s="75" t="n"/>
      <c r="BT75" s="75" t="n"/>
      <c r="BU75" s="75" t="n"/>
      <c r="BV75" s="75" t="n"/>
      <c r="BW75" s="75" t="n"/>
      <c r="BX75" s="75" t="n"/>
      <c r="BY75" s="75" t="n"/>
      <c r="BZ75" s="75" t="n"/>
      <c r="CA75" s="75" t="n"/>
      <c r="CB75" s="75" t="n"/>
      <c r="CC75" s="75" t="n"/>
      <c r="CD75" s="75" t="n"/>
      <c r="CE75" s="75" t="n"/>
      <c r="CF75" s="75" t="n"/>
      <c r="CG75" s="75" t="n"/>
      <c r="CH75" s="75" t="n"/>
      <c r="CI75" s="75" t="n"/>
      <c r="CJ75" s="75" t="n"/>
      <c r="CK75" s="75" t="n"/>
      <c r="CL75" s="75" t="n"/>
      <c r="CM75" s="75" t="n"/>
      <c r="CN75" s="75" t="n"/>
      <c r="CO75" s="75" t="n"/>
      <c r="CP75" s="75" t="n"/>
      <c r="CQ75" s="75" t="n"/>
      <c r="CR75" s="75" t="n"/>
      <c r="CS75" s="75" t="n"/>
      <c r="CT75" s="75" t="n"/>
      <c r="CU75" s="75" t="n"/>
      <c r="CV75" s="75" t="n"/>
      <c r="CW75" s="75" t="n"/>
      <c r="CX75" s="75" t="n"/>
      <c r="CY75" s="75" t="n"/>
      <c r="CZ75" s="75" t="n"/>
    </row>
    <row r="76">
      <c r="B76" s="134">
        <f>IF($A75="",0,COUNT($E76:$CZ76))</f>
        <v/>
      </c>
    </row>
    <row r="77">
      <c r="A77" s="5">
        <f>IF(AS51!$C$41="","",AS51!$C$41)</f>
        <v/>
      </c>
      <c r="B77" s="134">
        <f>IF($A77="",0,COUNT($E77:$CZ77))</f>
        <v/>
      </c>
      <c r="C77" s="135">
        <f>IF($A77="",0,IF($B77=0,0,MAX($E77:$CZ77)))</f>
        <v/>
      </c>
      <c r="D77" s="74">
        <f>BDS($A77,'Field Check'!$C$42,"headers=y","startcol=2","endcol=3","dir=h")</f>
        <v/>
      </c>
      <c r="E77" s="75" t="n"/>
      <c r="F77" s="75" t="n"/>
      <c r="G77" s="75" t="n"/>
      <c r="H77" s="75" t="n"/>
      <c r="I77" s="75" t="n"/>
      <c r="J77" s="75" t="n"/>
      <c r="K77" s="75" t="n"/>
      <c r="L77" s="75" t="n"/>
      <c r="M77" s="75" t="n"/>
      <c r="N77" s="75" t="n"/>
      <c r="O77" s="75" t="n"/>
      <c r="P77" s="75" t="n"/>
      <c r="Q77" s="75" t="n"/>
      <c r="R77" s="75" t="n"/>
      <c r="S77" s="75" t="n"/>
      <c r="T77" s="75" t="n"/>
      <c r="U77" s="75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  <c r="AU77" s="75" t="n"/>
      <c r="AV77" s="75" t="n"/>
      <c r="AW77" s="75" t="n"/>
      <c r="AX77" s="75" t="n"/>
      <c r="AY77" s="75" t="n"/>
      <c r="AZ77" s="75" t="n"/>
      <c r="BA77" s="75" t="n"/>
      <c r="BB77" s="75" t="n"/>
      <c r="BC77" s="75" t="n"/>
      <c r="BD77" s="75" t="n"/>
      <c r="BE77" s="75" t="n"/>
      <c r="BF77" s="75" t="n"/>
      <c r="BG77" s="75" t="n"/>
      <c r="BH77" s="75" t="n"/>
      <c r="BI77" s="75" t="n"/>
      <c r="BJ77" s="75" t="n"/>
      <c r="BK77" s="75" t="n"/>
      <c r="BL77" s="75" t="n"/>
      <c r="BM77" s="75" t="n"/>
      <c r="BN77" s="75" t="n"/>
      <c r="BO77" s="75" t="n"/>
      <c r="BP77" s="75" t="n"/>
      <c r="BQ77" s="75" t="n"/>
      <c r="BR77" s="75" t="n"/>
      <c r="BS77" s="75" t="n"/>
      <c r="BT77" s="75" t="n"/>
      <c r="BU77" s="75" t="n"/>
      <c r="BV77" s="75" t="n"/>
      <c r="BW77" s="75" t="n"/>
      <c r="BX77" s="75" t="n"/>
      <c r="BY77" s="75" t="n"/>
      <c r="BZ77" s="75" t="n"/>
      <c r="CA77" s="75" t="n"/>
      <c r="CB77" s="75" t="n"/>
      <c r="CC77" s="75" t="n"/>
      <c r="CD77" s="75" t="n"/>
      <c r="CE77" s="75" t="n"/>
      <c r="CF77" s="75" t="n"/>
      <c r="CG77" s="75" t="n"/>
      <c r="CH77" s="75" t="n"/>
      <c r="CI77" s="75" t="n"/>
      <c r="CJ77" s="75" t="n"/>
      <c r="CK77" s="75" t="n"/>
      <c r="CL77" s="75" t="n"/>
      <c r="CM77" s="75" t="n"/>
      <c r="CN77" s="75" t="n"/>
      <c r="CO77" s="75" t="n"/>
      <c r="CP77" s="75" t="n"/>
      <c r="CQ77" s="75" t="n"/>
      <c r="CR77" s="75" t="n"/>
      <c r="CS77" s="75" t="n"/>
      <c r="CT77" s="75" t="n"/>
      <c r="CU77" s="75" t="n"/>
      <c r="CV77" s="75" t="n"/>
      <c r="CW77" s="75" t="n"/>
      <c r="CX77" s="75" t="n"/>
      <c r="CY77" s="75" t="n"/>
      <c r="CZ77" s="75" t="n"/>
    </row>
    <row r="78">
      <c r="B78" s="134">
        <f>IF($A77="",0,COUNT($E78:$CZ78))</f>
        <v/>
      </c>
    </row>
    <row r="79">
      <c r="A79" s="5">
        <f>IF(AS51!$C$42="","",AS51!$C$42)</f>
        <v/>
      </c>
      <c r="B79" s="134">
        <f>IF($A79="",0,COUNT($E79:$CZ79))</f>
        <v/>
      </c>
      <c r="C79" s="135">
        <f>IF($A79="",0,IF($B79=0,0,MAX($E79:$CZ79)))</f>
        <v/>
      </c>
      <c r="D79" s="74">
        <f>BDS($A79,'Field Check'!$C$42,"headers=y","startcol=2","endcol=3","dir=h")</f>
        <v/>
      </c>
      <c r="E79" s="75" t="n"/>
      <c r="F79" s="75" t="n"/>
      <c r="G79" s="75" t="n"/>
      <c r="H79" s="75" t="n"/>
      <c r="I79" s="75" t="n"/>
      <c r="J79" s="75" t="n"/>
      <c r="K79" s="75" t="n"/>
      <c r="L79" s="75" t="n"/>
      <c r="M79" s="75" t="n"/>
      <c r="N79" s="75" t="n"/>
      <c r="O79" s="75" t="n"/>
      <c r="P79" s="75" t="n"/>
      <c r="Q79" s="75" t="n"/>
      <c r="R79" s="75" t="n"/>
      <c r="S79" s="75" t="n"/>
      <c r="T79" s="75" t="n"/>
      <c r="U79" s="75" t="n"/>
      <c r="V79" s="75" t="n"/>
      <c r="W79" s="75" t="n"/>
      <c r="X79" s="75" t="n"/>
      <c r="Y79" s="75" t="n"/>
      <c r="Z79" s="75" t="n"/>
      <c r="AA79" s="75" t="n"/>
      <c r="AB79" s="75" t="n"/>
      <c r="AC79" s="75" t="n"/>
      <c r="AD79" s="75" t="n"/>
      <c r="AE79" s="75" t="n"/>
      <c r="AF79" s="75" t="n"/>
      <c r="AG79" s="75" t="n"/>
      <c r="AH79" s="75" t="n"/>
      <c r="AI79" s="75" t="n"/>
      <c r="AJ79" s="75" t="n"/>
      <c r="AK79" s="75" t="n"/>
      <c r="AL79" s="75" t="n"/>
      <c r="AM79" s="75" t="n"/>
      <c r="AN79" s="75" t="n"/>
      <c r="AO79" s="75" t="n"/>
      <c r="AP79" s="75" t="n"/>
      <c r="AQ79" s="75" t="n"/>
      <c r="AR79" s="75" t="n"/>
      <c r="AS79" s="75" t="n"/>
      <c r="AT79" s="75" t="n"/>
      <c r="AU79" s="75" t="n"/>
      <c r="AV79" s="75" t="n"/>
      <c r="AW79" s="75" t="n"/>
      <c r="AX79" s="75" t="n"/>
      <c r="AY79" s="75" t="n"/>
      <c r="AZ79" s="75" t="n"/>
      <c r="BA79" s="75" t="n"/>
      <c r="BB79" s="75" t="n"/>
      <c r="BC79" s="75" t="n"/>
      <c r="BD79" s="75" t="n"/>
      <c r="BE79" s="75" t="n"/>
      <c r="BF79" s="75" t="n"/>
      <c r="BG79" s="75" t="n"/>
      <c r="BH79" s="75" t="n"/>
      <c r="BI79" s="75" t="n"/>
      <c r="BJ79" s="75" t="n"/>
      <c r="BK79" s="75" t="n"/>
      <c r="BL79" s="75" t="n"/>
      <c r="BM79" s="75" t="n"/>
      <c r="BN79" s="75" t="n"/>
      <c r="BO79" s="75" t="n"/>
      <c r="BP79" s="75" t="n"/>
      <c r="BQ79" s="75" t="n"/>
      <c r="BR79" s="75" t="n"/>
      <c r="BS79" s="75" t="n"/>
      <c r="BT79" s="75" t="n"/>
      <c r="BU79" s="75" t="n"/>
      <c r="BV79" s="75" t="n"/>
      <c r="BW79" s="75" t="n"/>
      <c r="BX79" s="75" t="n"/>
      <c r="BY79" s="75" t="n"/>
      <c r="BZ79" s="75" t="n"/>
      <c r="CA79" s="75" t="n"/>
      <c r="CB79" s="75" t="n"/>
      <c r="CC79" s="75" t="n"/>
      <c r="CD79" s="75" t="n"/>
      <c r="CE79" s="75" t="n"/>
      <c r="CF79" s="75" t="n"/>
      <c r="CG79" s="75" t="n"/>
      <c r="CH79" s="75" t="n"/>
      <c r="CI79" s="75" t="n"/>
      <c r="CJ79" s="75" t="n"/>
      <c r="CK79" s="75" t="n"/>
      <c r="CL79" s="75" t="n"/>
      <c r="CM79" s="75" t="n"/>
      <c r="CN79" s="75" t="n"/>
      <c r="CO79" s="75" t="n"/>
      <c r="CP79" s="75" t="n"/>
      <c r="CQ79" s="75" t="n"/>
      <c r="CR79" s="75" t="n"/>
      <c r="CS79" s="75" t="n"/>
      <c r="CT79" s="75" t="n"/>
      <c r="CU79" s="75" t="n"/>
      <c r="CV79" s="75" t="n"/>
      <c r="CW79" s="75" t="n"/>
      <c r="CX79" s="75" t="n"/>
      <c r="CY79" s="75" t="n"/>
      <c r="CZ79" s="75" t="n"/>
    </row>
    <row r="80">
      <c r="B80" s="134">
        <f>IF($A79="",0,COUNT($E80:$CZ80))</f>
        <v/>
      </c>
    </row>
    <row r="81">
      <c r="A81" s="5">
        <f>IF(AS51!$C$43="","",AS51!$C$43)</f>
        <v/>
      </c>
      <c r="B81" s="134">
        <f>IF($A81="",0,COUNT($E81:$CZ81))</f>
        <v/>
      </c>
      <c r="C81" s="135">
        <f>IF($A81="",0,IF($B81=0,0,MAX($E81:$CZ81)))</f>
        <v/>
      </c>
      <c r="D81" s="74">
        <f>BDS($A81,'Field Check'!$C$42,"headers=y","startcol=2","endcol=3","dir=h")</f>
        <v/>
      </c>
      <c r="E81" s="75" t="n"/>
      <c r="F81" s="75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  <c r="AB81" s="75" t="n"/>
      <c r="AC81" s="75" t="n"/>
      <c r="AD81" s="75" t="n"/>
      <c r="AE81" s="75" t="n"/>
      <c r="AF81" s="75" t="n"/>
      <c r="AG81" s="75" t="n"/>
      <c r="AH81" s="75" t="n"/>
      <c r="AI81" s="75" t="n"/>
      <c r="AJ81" s="75" t="n"/>
      <c r="AK81" s="75" t="n"/>
      <c r="AL81" s="75" t="n"/>
      <c r="AM81" s="75" t="n"/>
      <c r="AN81" s="75" t="n"/>
      <c r="AO81" s="75" t="n"/>
      <c r="AP81" s="75" t="n"/>
      <c r="AQ81" s="75" t="n"/>
      <c r="AR81" s="75" t="n"/>
      <c r="AS81" s="75" t="n"/>
      <c r="AT81" s="75" t="n"/>
      <c r="AU81" s="75" t="n"/>
      <c r="AV81" s="75" t="n"/>
      <c r="AW81" s="75" t="n"/>
      <c r="AX81" s="75" t="n"/>
      <c r="AY81" s="75" t="n"/>
      <c r="AZ81" s="75" t="n"/>
      <c r="BA81" s="75" t="n"/>
      <c r="BB81" s="75" t="n"/>
      <c r="BC81" s="75" t="n"/>
      <c r="BD81" s="75" t="n"/>
      <c r="BE81" s="75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  <c r="CL81" s="75" t="n"/>
      <c r="CM81" s="75" t="n"/>
      <c r="CN81" s="75" t="n"/>
      <c r="CO81" s="75" t="n"/>
      <c r="CP81" s="75" t="n"/>
      <c r="CQ81" s="75" t="n"/>
      <c r="CR81" s="75" t="n"/>
      <c r="CS81" s="75" t="n"/>
      <c r="CT81" s="75" t="n"/>
      <c r="CU81" s="75" t="n"/>
      <c r="CV81" s="75" t="n"/>
      <c r="CW81" s="75" t="n"/>
      <c r="CX81" s="75" t="n"/>
      <c r="CY81" s="75" t="n"/>
      <c r="CZ81" s="75" t="n"/>
    </row>
    <row r="82">
      <c r="B82" s="134">
        <f>IF($A81="",0,COUNT($E82:$CZ82))</f>
        <v/>
      </c>
    </row>
    <row r="83">
      <c r="A83" s="5">
        <f>IF(AS51!$C$44="","",AS51!$C$44)</f>
        <v/>
      </c>
      <c r="B83" s="134">
        <f>IF($A83="",0,COUNT($E83:$CZ83))</f>
        <v/>
      </c>
      <c r="C83" s="135">
        <f>IF($A83="",0,IF($B83=0,0,MAX($E83:$CZ83)))</f>
        <v/>
      </c>
      <c r="D83" s="74">
        <f>BDS($A83,'Field Check'!$C$42,"headers=y","startcol=2","endcol=3","dir=h")</f>
        <v/>
      </c>
      <c r="E83" s="75" t="n"/>
      <c r="F83" s="75" t="n"/>
      <c r="G83" s="75" t="n"/>
      <c r="H83" s="75" t="n"/>
      <c r="I83" s="75" t="n"/>
      <c r="J83" s="75" t="n"/>
      <c r="K83" s="75" t="n"/>
      <c r="L83" s="75" t="n"/>
      <c r="M83" s="75" t="n"/>
      <c r="N83" s="75" t="n"/>
      <c r="O83" s="75" t="n"/>
      <c r="P83" s="75" t="n"/>
      <c r="Q83" s="75" t="n"/>
      <c r="R83" s="75" t="n"/>
      <c r="S83" s="75" t="n"/>
      <c r="T83" s="75" t="n"/>
      <c r="U83" s="75" t="n"/>
      <c r="V83" s="75" t="n"/>
      <c r="W83" s="75" t="n"/>
      <c r="X83" s="75" t="n"/>
      <c r="Y83" s="75" t="n"/>
      <c r="Z83" s="75" t="n"/>
      <c r="AA83" s="75" t="n"/>
      <c r="AB83" s="75" t="n"/>
      <c r="AC83" s="75" t="n"/>
      <c r="AD83" s="75" t="n"/>
      <c r="AE83" s="75" t="n"/>
      <c r="AF83" s="75" t="n"/>
      <c r="AG83" s="75" t="n"/>
      <c r="AH83" s="75" t="n"/>
      <c r="AI83" s="75" t="n"/>
      <c r="AJ83" s="75" t="n"/>
      <c r="AK83" s="75" t="n"/>
      <c r="AL83" s="75" t="n"/>
      <c r="AM83" s="75" t="n"/>
      <c r="AN83" s="75" t="n"/>
      <c r="AO83" s="75" t="n"/>
      <c r="AP83" s="75" t="n"/>
      <c r="AQ83" s="75" t="n"/>
      <c r="AR83" s="75" t="n"/>
      <c r="AS83" s="75" t="n"/>
      <c r="AT83" s="75" t="n"/>
      <c r="AU83" s="75" t="n"/>
      <c r="AV83" s="75" t="n"/>
      <c r="AW83" s="75" t="n"/>
      <c r="AX83" s="75" t="n"/>
      <c r="AY83" s="75" t="n"/>
      <c r="AZ83" s="75" t="n"/>
      <c r="BA83" s="75" t="n"/>
      <c r="BB83" s="75" t="n"/>
      <c r="BC83" s="75" t="n"/>
      <c r="BD83" s="75" t="n"/>
      <c r="BE83" s="75" t="n"/>
      <c r="BF83" s="75" t="n"/>
      <c r="BG83" s="75" t="n"/>
      <c r="BH83" s="75" t="n"/>
      <c r="BI83" s="75" t="n"/>
      <c r="BJ83" s="75" t="n"/>
      <c r="BK83" s="75" t="n"/>
      <c r="BL83" s="75" t="n"/>
      <c r="BM83" s="75" t="n"/>
      <c r="BN83" s="75" t="n"/>
      <c r="BO83" s="75" t="n"/>
      <c r="BP83" s="75" t="n"/>
      <c r="BQ83" s="75" t="n"/>
      <c r="BR83" s="75" t="n"/>
      <c r="BS83" s="75" t="n"/>
      <c r="BT83" s="75" t="n"/>
      <c r="BU83" s="75" t="n"/>
      <c r="BV83" s="75" t="n"/>
      <c r="BW83" s="75" t="n"/>
      <c r="BX83" s="75" t="n"/>
      <c r="BY83" s="75" t="n"/>
      <c r="BZ83" s="75" t="n"/>
      <c r="CA83" s="75" t="n"/>
      <c r="CB83" s="75" t="n"/>
      <c r="CC83" s="75" t="n"/>
      <c r="CD83" s="75" t="n"/>
      <c r="CE83" s="75" t="n"/>
      <c r="CF83" s="75" t="n"/>
      <c r="CG83" s="75" t="n"/>
      <c r="CH83" s="75" t="n"/>
      <c r="CI83" s="75" t="n"/>
      <c r="CJ83" s="75" t="n"/>
      <c r="CK83" s="75" t="n"/>
      <c r="CL83" s="75" t="n"/>
      <c r="CM83" s="75" t="n"/>
      <c r="CN83" s="75" t="n"/>
      <c r="CO83" s="75" t="n"/>
      <c r="CP83" s="75" t="n"/>
      <c r="CQ83" s="75" t="n"/>
      <c r="CR83" s="75" t="n"/>
      <c r="CS83" s="75" t="n"/>
      <c r="CT83" s="75" t="n"/>
      <c r="CU83" s="75" t="n"/>
      <c r="CV83" s="75" t="n"/>
      <c r="CW83" s="75" t="n"/>
      <c r="CX83" s="75" t="n"/>
      <c r="CY83" s="75" t="n"/>
      <c r="CZ83" s="75" t="n"/>
    </row>
    <row r="84">
      <c r="B84" s="134">
        <f>IF($A83="",0,COUNT($E84:$CZ84))</f>
        <v/>
      </c>
    </row>
    <row r="85">
      <c r="A85" s="5">
        <f>IF(AS51!$C$45="","",AS51!$C$45)</f>
        <v/>
      </c>
      <c r="B85" s="134">
        <f>IF($A85="",0,COUNT($E85:$CZ85))</f>
        <v/>
      </c>
      <c r="C85" s="135">
        <f>IF($A85="",0,IF($B85=0,0,MAX($E85:$CZ85)))</f>
        <v/>
      </c>
      <c r="D85" s="74">
        <f>BDS($A85,'Field Check'!$C$42,"headers=y","startcol=2","endcol=3","dir=h")</f>
        <v/>
      </c>
      <c r="E85" s="75" t="n"/>
      <c r="F85" s="75" t="n"/>
      <c r="G85" s="75" t="n"/>
      <c r="H85" s="75" t="n"/>
      <c r="I85" s="75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  <c r="AA85" s="75" t="n"/>
      <c r="AB85" s="75" t="n"/>
      <c r="AC85" s="75" t="n"/>
      <c r="AD85" s="75" t="n"/>
      <c r="AE85" s="75" t="n"/>
      <c r="AF85" s="75" t="n"/>
      <c r="AG85" s="75" t="n"/>
      <c r="AH85" s="75" t="n"/>
      <c r="AI85" s="75" t="n"/>
      <c r="AJ85" s="75" t="n"/>
      <c r="AK85" s="75" t="n"/>
      <c r="AL85" s="75" t="n"/>
      <c r="AM85" s="75" t="n"/>
      <c r="AN85" s="75" t="n"/>
      <c r="AO85" s="75" t="n"/>
      <c r="AP85" s="75" t="n"/>
      <c r="AQ85" s="75" t="n"/>
      <c r="AR85" s="75" t="n"/>
      <c r="AS85" s="75" t="n"/>
      <c r="AT85" s="75" t="n"/>
      <c r="AU85" s="75" t="n"/>
      <c r="AV85" s="75" t="n"/>
      <c r="AW85" s="75" t="n"/>
      <c r="AX85" s="75" t="n"/>
      <c r="AY85" s="75" t="n"/>
      <c r="AZ85" s="75" t="n"/>
      <c r="BA85" s="75" t="n"/>
      <c r="BB85" s="75" t="n"/>
      <c r="BC85" s="75" t="n"/>
      <c r="BD85" s="75" t="n"/>
      <c r="BE85" s="75" t="n"/>
      <c r="BF85" s="75" t="n"/>
      <c r="BG85" s="75" t="n"/>
      <c r="BH85" s="75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75" t="n"/>
      <c r="BR85" s="75" t="n"/>
      <c r="BS85" s="75" t="n"/>
      <c r="BT85" s="75" t="n"/>
      <c r="BU85" s="75" t="n"/>
      <c r="BV85" s="75" t="n"/>
      <c r="BW85" s="75" t="n"/>
      <c r="BX85" s="75" t="n"/>
      <c r="BY85" s="75" t="n"/>
      <c r="BZ85" s="75" t="n"/>
      <c r="CA85" s="75" t="n"/>
      <c r="CB85" s="75" t="n"/>
      <c r="CC85" s="75" t="n"/>
      <c r="CD85" s="75" t="n"/>
      <c r="CE85" s="75" t="n"/>
      <c r="CF85" s="75" t="n"/>
      <c r="CG85" s="75" t="n"/>
      <c r="CH85" s="75" t="n"/>
      <c r="CI85" s="75" t="n"/>
      <c r="CJ85" s="75" t="n"/>
      <c r="CK85" s="75" t="n"/>
      <c r="CL85" s="75" t="n"/>
      <c r="CM85" s="75" t="n"/>
      <c r="CN85" s="75" t="n"/>
      <c r="CO85" s="75" t="n"/>
      <c r="CP85" s="75" t="n"/>
      <c r="CQ85" s="75" t="n"/>
      <c r="CR85" s="75" t="n"/>
      <c r="CS85" s="75" t="n"/>
      <c r="CT85" s="75" t="n"/>
      <c r="CU85" s="75" t="n"/>
      <c r="CV85" s="75" t="n"/>
      <c r="CW85" s="75" t="n"/>
      <c r="CX85" s="75" t="n"/>
      <c r="CY85" s="75" t="n"/>
      <c r="CZ85" s="75" t="n"/>
    </row>
    <row r="86">
      <c r="B86" s="134">
        <f>IF($A85="",0,COUNT($E86:$CZ86))</f>
        <v/>
      </c>
    </row>
    <row r="87">
      <c r="A87" s="5">
        <f>IF(AS51!$C$46="","",AS51!$C$46)</f>
        <v/>
      </c>
      <c r="B87" s="134">
        <f>IF($A87="",0,COUNT($E87:$CZ87))</f>
        <v/>
      </c>
      <c r="C87" s="135">
        <f>IF($A87="",0,IF($B87=0,0,MAX($E87:$CZ87)))</f>
        <v/>
      </c>
      <c r="D87" s="74">
        <f>BDS($A87,'Field Check'!$C$42,"headers=y","startcol=2","endcol=3","dir=h")</f>
        <v/>
      </c>
      <c r="E87" s="75" t="n"/>
      <c r="F87" s="75" t="n"/>
      <c r="G87" s="75" t="n"/>
      <c r="H87" s="75" t="n"/>
      <c r="I87" s="75" t="n"/>
      <c r="J87" s="75" t="n"/>
      <c r="K87" s="75" t="n"/>
      <c r="L87" s="75" t="n"/>
      <c r="M87" s="75" t="n"/>
      <c r="N87" s="75" t="n"/>
      <c r="O87" s="75" t="n"/>
      <c r="P87" s="75" t="n"/>
      <c r="Q87" s="75" t="n"/>
      <c r="R87" s="75" t="n"/>
      <c r="S87" s="75" t="n"/>
      <c r="T87" s="75" t="n"/>
      <c r="U87" s="75" t="n"/>
      <c r="V87" s="75" t="n"/>
      <c r="W87" s="75" t="n"/>
      <c r="X87" s="75" t="n"/>
      <c r="Y87" s="75" t="n"/>
      <c r="Z87" s="75" t="n"/>
      <c r="AA87" s="75" t="n"/>
      <c r="AB87" s="75" t="n"/>
      <c r="AC87" s="75" t="n"/>
      <c r="AD87" s="75" t="n"/>
      <c r="AE87" s="75" t="n"/>
      <c r="AF87" s="75" t="n"/>
      <c r="AG87" s="75" t="n"/>
      <c r="AH87" s="75" t="n"/>
      <c r="AI87" s="75" t="n"/>
      <c r="AJ87" s="75" t="n"/>
      <c r="AK87" s="75" t="n"/>
      <c r="AL87" s="75" t="n"/>
      <c r="AM87" s="75" t="n"/>
      <c r="AN87" s="75" t="n"/>
      <c r="AO87" s="75" t="n"/>
      <c r="AP87" s="75" t="n"/>
      <c r="AQ87" s="75" t="n"/>
      <c r="AR87" s="75" t="n"/>
      <c r="AS87" s="75" t="n"/>
      <c r="AT87" s="75" t="n"/>
      <c r="AU87" s="75" t="n"/>
      <c r="AV87" s="75" t="n"/>
      <c r="AW87" s="75" t="n"/>
      <c r="AX87" s="75" t="n"/>
      <c r="AY87" s="75" t="n"/>
      <c r="AZ87" s="75" t="n"/>
      <c r="BA87" s="75" t="n"/>
      <c r="BB87" s="75" t="n"/>
      <c r="BC87" s="75" t="n"/>
      <c r="BD87" s="75" t="n"/>
      <c r="BE87" s="75" t="n"/>
      <c r="BF87" s="75" t="n"/>
      <c r="BG87" s="75" t="n"/>
      <c r="BH87" s="75" t="n"/>
      <c r="BI87" s="75" t="n"/>
      <c r="BJ87" s="75" t="n"/>
      <c r="BK87" s="75" t="n"/>
      <c r="BL87" s="75" t="n"/>
      <c r="BM87" s="75" t="n"/>
      <c r="BN87" s="75" t="n"/>
      <c r="BO87" s="75" t="n"/>
      <c r="BP87" s="75" t="n"/>
      <c r="BQ87" s="75" t="n"/>
      <c r="BR87" s="75" t="n"/>
      <c r="BS87" s="75" t="n"/>
      <c r="BT87" s="75" t="n"/>
      <c r="BU87" s="75" t="n"/>
      <c r="BV87" s="75" t="n"/>
      <c r="BW87" s="75" t="n"/>
      <c r="BX87" s="75" t="n"/>
      <c r="BY87" s="75" t="n"/>
      <c r="BZ87" s="75" t="n"/>
      <c r="CA87" s="75" t="n"/>
      <c r="CB87" s="75" t="n"/>
      <c r="CC87" s="75" t="n"/>
      <c r="CD87" s="75" t="n"/>
      <c r="CE87" s="75" t="n"/>
      <c r="CF87" s="75" t="n"/>
      <c r="CG87" s="75" t="n"/>
      <c r="CH87" s="75" t="n"/>
      <c r="CI87" s="75" t="n"/>
      <c r="CJ87" s="75" t="n"/>
      <c r="CK87" s="75" t="n"/>
      <c r="CL87" s="75" t="n"/>
      <c r="CM87" s="75" t="n"/>
      <c r="CN87" s="75" t="n"/>
      <c r="CO87" s="75" t="n"/>
      <c r="CP87" s="75" t="n"/>
      <c r="CQ87" s="75" t="n"/>
      <c r="CR87" s="75" t="n"/>
      <c r="CS87" s="75" t="n"/>
      <c r="CT87" s="75" t="n"/>
      <c r="CU87" s="75" t="n"/>
      <c r="CV87" s="75" t="n"/>
      <c r="CW87" s="75" t="n"/>
      <c r="CX87" s="75" t="n"/>
      <c r="CY87" s="75" t="n"/>
      <c r="CZ87" s="75" t="n"/>
    </row>
    <row r="88">
      <c r="B88" s="134">
        <f>IF($A87="",0,COUNT($E88:$CZ88))</f>
        <v/>
      </c>
    </row>
    <row r="89">
      <c r="A89" s="5">
        <f>IF(AS51!$C$47="","",AS51!$C$47)</f>
        <v/>
      </c>
      <c r="B89" s="134">
        <f>IF($A89="",0,COUNT($E89:$CZ89))</f>
        <v/>
      </c>
      <c r="C89" s="135">
        <f>IF($A89="",0,IF($B89=0,0,MAX($E89:$CZ89)))</f>
        <v/>
      </c>
      <c r="D89" s="74">
        <f>BDS($A89,'Field Check'!$C$42,"headers=y","startcol=2","endcol=3","dir=h")</f>
        <v/>
      </c>
      <c r="E89" s="75" t="n"/>
      <c r="F89" s="75" t="n"/>
      <c r="G89" s="75" t="n"/>
      <c r="H89" s="75" t="n"/>
      <c r="I89" s="75" t="n"/>
      <c r="J89" s="75" t="n"/>
      <c r="K89" s="75" t="n"/>
      <c r="L89" s="75" t="n"/>
      <c r="M89" s="75" t="n"/>
      <c r="N89" s="75" t="n"/>
      <c r="O89" s="75" t="n"/>
      <c r="P89" s="75" t="n"/>
      <c r="Q89" s="75" t="n"/>
      <c r="R89" s="75" t="n"/>
      <c r="S89" s="75" t="n"/>
      <c r="T89" s="75" t="n"/>
      <c r="U89" s="75" t="n"/>
      <c r="V89" s="75" t="n"/>
      <c r="W89" s="75" t="n"/>
      <c r="X89" s="75" t="n"/>
      <c r="Y89" s="75" t="n"/>
      <c r="Z89" s="75" t="n"/>
      <c r="AA89" s="75" t="n"/>
      <c r="AB89" s="75" t="n"/>
      <c r="AC89" s="75" t="n"/>
      <c r="AD89" s="75" t="n"/>
      <c r="AE89" s="75" t="n"/>
      <c r="AF89" s="75" t="n"/>
      <c r="AG89" s="75" t="n"/>
      <c r="AH89" s="75" t="n"/>
      <c r="AI89" s="75" t="n"/>
      <c r="AJ89" s="75" t="n"/>
      <c r="AK89" s="75" t="n"/>
      <c r="AL89" s="75" t="n"/>
      <c r="AM89" s="75" t="n"/>
      <c r="AN89" s="75" t="n"/>
      <c r="AO89" s="75" t="n"/>
      <c r="AP89" s="75" t="n"/>
      <c r="AQ89" s="75" t="n"/>
      <c r="AR89" s="75" t="n"/>
      <c r="AS89" s="75" t="n"/>
      <c r="AT89" s="75" t="n"/>
      <c r="AU89" s="75" t="n"/>
      <c r="AV89" s="75" t="n"/>
      <c r="AW89" s="75" t="n"/>
      <c r="AX89" s="75" t="n"/>
      <c r="AY89" s="75" t="n"/>
      <c r="AZ89" s="75" t="n"/>
      <c r="BA89" s="75" t="n"/>
      <c r="BB89" s="75" t="n"/>
      <c r="BC89" s="75" t="n"/>
      <c r="BD89" s="75" t="n"/>
      <c r="BE89" s="75" t="n"/>
      <c r="BF89" s="75" t="n"/>
      <c r="BG89" s="75" t="n"/>
      <c r="BH89" s="75" t="n"/>
      <c r="BI89" s="75" t="n"/>
      <c r="BJ89" s="75" t="n"/>
      <c r="BK89" s="75" t="n"/>
      <c r="BL89" s="75" t="n"/>
      <c r="BM89" s="75" t="n"/>
      <c r="BN89" s="75" t="n"/>
      <c r="BO89" s="75" t="n"/>
      <c r="BP89" s="75" t="n"/>
      <c r="BQ89" s="75" t="n"/>
      <c r="BR89" s="75" t="n"/>
      <c r="BS89" s="75" t="n"/>
      <c r="BT89" s="75" t="n"/>
      <c r="BU89" s="75" t="n"/>
      <c r="BV89" s="75" t="n"/>
      <c r="BW89" s="75" t="n"/>
      <c r="BX89" s="75" t="n"/>
      <c r="BY89" s="75" t="n"/>
      <c r="BZ89" s="75" t="n"/>
      <c r="CA89" s="75" t="n"/>
      <c r="CB89" s="75" t="n"/>
      <c r="CC89" s="75" t="n"/>
      <c r="CD89" s="75" t="n"/>
      <c r="CE89" s="75" t="n"/>
      <c r="CF89" s="75" t="n"/>
      <c r="CG89" s="75" t="n"/>
      <c r="CH89" s="75" t="n"/>
      <c r="CI89" s="75" t="n"/>
      <c r="CJ89" s="75" t="n"/>
      <c r="CK89" s="75" t="n"/>
      <c r="CL89" s="75" t="n"/>
      <c r="CM89" s="75" t="n"/>
      <c r="CN89" s="75" t="n"/>
      <c r="CO89" s="75" t="n"/>
      <c r="CP89" s="75" t="n"/>
      <c r="CQ89" s="75" t="n"/>
      <c r="CR89" s="75" t="n"/>
      <c r="CS89" s="75" t="n"/>
      <c r="CT89" s="75" t="n"/>
      <c r="CU89" s="75" t="n"/>
      <c r="CV89" s="75" t="n"/>
      <c r="CW89" s="75" t="n"/>
      <c r="CX89" s="75" t="n"/>
      <c r="CY89" s="75" t="n"/>
      <c r="CZ89" s="75" t="n"/>
    </row>
    <row r="90">
      <c r="B90" s="134">
        <f>IF($A89="",0,COUNT($E90:$CZ90))</f>
        <v/>
      </c>
    </row>
    <row r="91">
      <c r="A91" s="5">
        <f>IF(AS51!$C$48="","",AS51!$C$48)</f>
        <v/>
      </c>
      <c r="B91" s="134">
        <f>IF($A91="",0,COUNT($E91:$CZ91))</f>
        <v/>
      </c>
      <c r="C91" s="135">
        <f>IF($A91="",0,IF($B91=0,0,MAX($E91:$CZ91)))</f>
        <v/>
      </c>
      <c r="D91" s="74">
        <f>BDS($A91,'Field Check'!$C$42,"headers=y","startcol=2","endcol=3","dir=h")</f>
        <v/>
      </c>
      <c r="E91" s="75" t="n"/>
      <c r="F91" s="75" t="n"/>
      <c r="G91" s="75" t="n"/>
      <c r="H91" s="75" t="n"/>
      <c r="I91" s="75" t="n"/>
      <c r="J91" s="75" t="n"/>
      <c r="K91" s="75" t="n"/>
      <c r="L91" s="75" t="n"/>
      <c r="M91" s="75" t="n"/>
      <c r="N91" s="75" t="n"/>
      <c r="O91" s="75" t="n"/>
      <c r="P91" s="75" t="n"/>
      <c r="Q91" s="75" t="n"/>
      <c r="R91" s="75" t="n"/>
      <c r="S91" s="75" t="n"/>
      <c r="T91" s="75" t="n"/>
      <c r="U91" s="75" t="n"/>
      <c r="V91" s="75" t="n"/>
      <c r="W91" s="75" t="n"/>
      <c r="X91" s="75" t="n"/>
      <c r="Y91" s="75" t="n"/>
      <c r="Z91" s="75" t="n"/>
      <c r="AA91" s="75" t="n"/>
      <c r="AB91" s="75" t="n"/>
      <c r="AC91" s="75" t="n"/>
      <c r="AD91" s="75" t="n"/>
      <c r="AE91" s="75" t="n"/>
      <c r="AF91" s="75" t="n"/>
      <c r="AG91" s="75" t="n"/>
      <c r="AH91" s="75" t="n"/>
      <c r="AI91" s="75" t="n"/>
      <c r="AJ91" s="75" t="n"/>
      <c r="AK91" s="75" t="n"/>
      <c r="AL91" s="75" t="n"/>
      <c r="AM91" s="75" t="n"/>
      <c r="AN91" s="75" t="n"/>
      <c r="AO91" s="75" t="n"/>
      <c r="AP91" s="75" t="n"/>
      <c r="AQ91" s="75" t="n"/>
      <c r="AR91" s="75" t="n"/>
      <c r="AS91" s="75" t="n"/>
      <c r="AT91" s="75" t="n"/>
      <c r="AU91" s="75" t="n"/>
      <c r="AV91" s="75" t="n"/>
      <c r="AW91" s="75" t="n"/>
      <c r="AX91" s="75" t="n"/>
      <c r="AY91" s="75" t="n"/>
      <c r="AZ91" s="75" t="n"/>
      <c r="BA91" s="75" t="n"/>
      <c r="BB91" s="75" t="n"/>
      <c r="BC91" s="75" t="n"/>
      <c r="BD91" s="75" t="n"/>
      <c r="BE91" s="75" t="n"/>
      <c r="BF91" s="75" t="n"/>
      <c r="BG91" s="75" t="n"/>
      <c r="BH91" s="75" t="n"/>
      <c r="BI91" s="75" t="n"/>
      <c r="BJ91" s="75" t="n"/>
      <c r="BK91" s="75" t="n"/>
      <c r="BL91" s="75" t="n"/>
      <c r="BM91" s="75" t="n"/>
      <c r="BN91" s="75" t="n"/>
      <c r="BO91" s="75" t="n"/>
      <c r="BP91" s="75" t="n"/>
      <c r="BQ91" s="75" t="n"/>
      <c r="BR91" s="75" t="n"/>
      <c r="BS91" s="75" t="n"/>
      <c r="BT91" s="75" t="n"/>
      <c r="BU91" s="75" t="n"/>
      <c r="BV91" s="75" t="n"/>
      <c r="BW91" s="75" t="n"/>
      <c r="BX91" s="75" t="n"/>
      <c r="BY91" s="75" t="n"/>
      <c r="BZ91" s="75" t="n"/>
      <c r="CA91" s="75" t="n"/>
      <c r="CB91" s="75" t="n"/>
      <c r="CC91" s="75" t="n"/>
      <c r="CD91" s="75" t="n"/>
      <c r="CE91" s="75" t="n"/>
      <c r="CF91" s="75" t="n"/>
      <c r="CG91" s="75" t="n"/>
      <c r="CH91" s="75" t="n"/>
      <c r="CI91" s="75" t="n"/>
      <c r="CJ91" s="75" t="n"/>
      <c r="CK91" s="75" t="n"/>
      <c r="CL91" s="75" t="n"/>
      <c r="CM91" s="75" t="n"/>
      <c r="CN91" s="75" t="n"/>
      <c r="CO91" s="75" t="n"/>
      <c r="CP91" s="75" t="n"/>
      <c r="CQ91" s="75" t="n"/>
      <c r="CR91" s="75" t="n"/>
      <c r="CS91" s="75" t="n"/>
      <c r="CT91" s="75" t="n"/>
      <c r="CU91" s="75" t="n"/>
      <c r="CV91" s="75" t="n"/>
      <c r="CW91" s="75" t="n"/>
      <c r="CX91" s="75" t="n"/>
      <c r="CY91" s="75" t="n"/>
      <c r="CZ91" s="75" t="n"/>
    </row>
    <row r="92">
      <c r="B92" s="134">
        <f>IF($A91="",0,COUNT($E92:$CZ92))</f>
        <v/>
      </c>
    </row>
    <row r="93">
      <c r="A93" s="5">
        <f>IF(AS51!$C$49="","",AS51!$C$49)</f>
        <v/>
      </c>
      <c r="B93" s="134">
        <f>IF($A93="",0,COUNT($E93:$CZ93))</f>
        <v/>
      </c>
      <c r="C93" s="135">
        <f>IF($A93="",0,IF($B93=0,0,MAX($E93:$CZ93)))</f>
        <v/>
      </c>
      <c r="D93" s="74">
        <f>BDS($A93,'Field Check'!$C$42,"headers=y","startcol=2","endcol=3","dir=h")</f>
        <v/>
      </c>
      <c r="E93" s="75" t="n"/>
      <c r="F93" s="75" t="n"/>
      <c r="G93" s="75" t="n"/>
      <c r="H93" s="75" t="n"/>
      <c r="I93" s="75" t="n"/>
      <c r="J93" s="75" t="n"/>
      <c r="K93" s="75" t="n"/>
      <c r="L93" s="75" t="n"/>
      <c r="M93" s="75" t="n"/>
      <c r="N93" s="75" t="n"/>
      <c r="O93" s="75" t="n"/>
      <c r="P93" s="75" t="n"/>
      <c r="Q93" s="75" t="n"/>
      <c r="R93" s="75" t="n"/>
      <c r="S93" s="75" t="n"/>
      <c r="T93" s="75" t="n"/>
      <c r="U93" s="75" t="n"/>
      <c r="V93" s="75" t="n"/>
      <c r="W93" s="75" t="n"/>
      <c r="X93" s="75" t="n"/>
      <c r="Y93" s="75" t="n"/>
      <c r="Z93" s="75" t="n"/>
      <c r="AA93" s="75" t="n"/>
      <c r="AB93" s="75" t="n"/>
      <c r="AC93" s="75" t="n"/>
      <c r="AD93" s="75" t="n"/>
      <c r="AE93" s="75" t="n"/>
      <c r="AF93" s="75" t="n"/>
      <c r="AG93" s="75" t="n"/>
      <c r="AH93" s="75" t="n"/>
      <c r="AI93" s="75" t="n"/>
      <c r="AJ93" s="75" t="n"/>
      <c r="AK93" s="75" t="n"/>
      <c r="AL93" s="75" t="n"/>
      <c r="AM93" s="75" t="n"/>
      <c r="AN93" s="75" t="n"/>
      <c r="AO93" s="75" t="n"/>
      <c r="AP93" s="75" t="n"/>
      <c r="AQ93" s="75" t="n"/>
      <c r="AR93" s="75" t="n"/>
      <c r="AS93" s="75" t="n"/>
      <c r="AT93" s="75" t="n"/>
      <c r="AU93" s="75" t="n"/>
      <c r="AV93" s="75" t="n"/>
      <c r="AW93" s="75" t="n"/>
      <c r="AX93" s="75" t="n"/>
      <c r="AY93" s="75" t="n"/>
      <c r="AZ93" s="75" t="n"/>
      <c r="BA93" s="75" t="n"/>
      <c r="BB93" s="75" t="n"/>
      <c r="BC93" s="75" t="n"/>
      <c r="BD93" s="75" t="n"/>
      <c r="BE93" s="75" t="n"/>
      <c r="BF93" s="75" t="n"/>
      <c r="BG93" s="75" t="n"/>
      <c r="BH93" s="75" t="n"/>
      <c r="BI93" s="75" t="n"/>
      <c r="BJ93" s="75" t="n"/>
      <c r="BK93" s="75" t="n"/>
      <c r="BL93" s="75" t="n"/>
      <c r="BM93" s="75" t="n"/>
      <c r="BN93" s="75" t="n"/>
      <c r="BO93" s="75" t="n"/>
      <c r="BP93" s="75" t="n"/>
      <c r="BQ93" s="75" t="n"/>
      <c r="BR93" s="75" t="n"/>
      <c r="BS93" s="75" t="n"/>
      <c r="BT93" s="75" t="n"/>
      <c r="BU93" s="75" t="n"/>
      <c r="BV93" s="75" t="n"/>
      <c r="BW93" s="75" t="n"/>
      <c r="BX93" s="75" t="n"/>
      <c r="BY93" s="75" t="n"/>
      <c r="BZ93" s="75" t="n"/>
      <c r="CA93" s="75" t="n"/>
      <c r="CB93" s="75" t="n"/>
      <c r="CC93" s="75" t="n"/>
      <c r="CD93" s="75" t="n"/>
      <c r="CE93" s="75" t="n"/>
      <c r="CF93" s="75" t="n"/>
      <c r="CG93" s="75" t="n"/>
      <c r="CH93" s="75" t="n"/>
      <c r="CI93" s="75" t="n"/>
      <c r="CJ93" s="75" t="n"/>
      <c r="CK93" s="75" t="n"/>
      <c r="CL93" s="75" t="n"/>
      <c r="CM93" s="75" t="n"/>
      <c r="CN93" s="75" t="n"/>
      <c r="CO93" s="75" t="n"/>
      <c r="CP93" s="75" t="n"/>
      <c r="CQ93" s="75" t="n"/>
      <c r="CR93" s="75" t="n"/>
      <c r="CS93" s="75" t="n"/>
      <c r="CT93" s="75" t="n"/>
      <c r="CU93" s="75" t="n"/>
      <c r="CV93" s="75" t="n"/>
      <c r="CW93" s="75" t="n"/>
      <c r="CX93" s="75" t="n"/>
      <c r="CY93" s="75" t="n"/>
      <c r="CZ93" s="75" t="n"/>
    </row>
    <row r="94">
      <c r="B94" s="134">
        <f>IF($A93="",0,COUNT($E94:$CZ94))</f>
        <v/>
      </c>
    </row>
    <row r="95">
      <c r="A95" s="5">
        <f>IF(AS51!$C$50="","",AS51!$C$50)</f>
        <v/>
      </c>
      <c r="B95" s="134">
        <f>IF($A95="",0,COUNT($E95:$CZ95))</f>
        <v/>
      </c>
      <c r="C95" s="135">
        <f>IF($A95="",0,IF($B95=0,0,MAX($E95:$CZ95)))</f>
        <v/>
      </c>
      <c r="D95" s="74">
        <f>BDS($A95,'Field Check'!$C$42,"headers=y","startcol=2","endcol=3","dir=h")</f>
        <v/>
      </c>
      <c r="E95" s="75" t="n"/>
      <c r="F95" s="75" t="n"/>
      <c r="G95" s="75" t="n"/>
      <c r="H95" s="75" t="n"/>
      <c r="I95" s="75" t="n"/>
      <c r="J95" s="75" t="n"/>
      <c r="K95" s="75" t="n"/>
      <c r="L95" s="75" t="n"/>
      <c r="M95" s="75" t="n"/>
      <c r="N95" s="75" t="n"/>
      <c r="O95" s="75" t="n"/>
      <c r="P95" s="75" t="n"/>
      <c r="Q95" s="75" t="n"/>
      <c r="R95" s="75" t="n"/>
      <c r="S95" s="75" t="n"/>
      <c r="T95" s="75" t="n"/>
      <c r="U95" s="75" t="n"/>
      <c r="V95" s="75" t="n"/>
      <c r="W95" s="75" t="n"/>
      <c r="X95" s="75" t="n"/>
      <c r="Y95" s="75" t="n"/>
      <c r="Z95" s="75" t="n"/>
      <c r="AA95" s="75" t="n"/>
      <c r="AB95" s="75" t="n"/>
      <c r="AC95" s="75" t="n"/>
      <c r="AD95" s="75" t="n"/>
      <c r="AE95" s="75" t="n"/>
      <c r="AF95" s="75" t="n"/>
      <c r="AG95" s="75" t="n"/>
      <c r="AH95" s="75" t="n"/>
      <c r="AI95" s="75" t="n"/>
      <c r="AJ95" s="75" t="n"/>
      <c r="AK95" s="75" t="n"/>
      <c r="AL95" s="75" t="n"/>
      <c r="AM95" s="75" t="n"/>
      <c r="AN95" s="75" t="n"/>
      <c r="AO95" s="75" t="n"/>
      <c r="AP95" s="75" t="n"/>
      <c r="AQ95" s="75" t="n"/>
      <c r="AR95" s="75" t="n"/>
      <c r="AS95" s="75" t="n"/>
      <c r="AT95" s="75" t="n"/>
      <c r="AU95" s="75" t="n"/>
      <c r="AV95" s="75" t="n"/>
      <c r="AW95" s="75" t="n"/>
      <c r="AX95" s="75" t="n"/>
      <c r="AY95" s="75" t="n"/>
      <c r="AZ95" s="75" t="n"/>
      <c r="BA95" s="75" t="n"/>
      <c r="BB95" s="75" t="n"/>
      <c r="BC95" s="75" t="n"/>
      <c r="BD95" s="75" t="n"/>
      <c r="BE95" s="75" t="n"/>
      <c r="BF95" s="75" t="n"/>
      <c r="BG95" s="75" t="n"/>
      <c r="BH95" s="75" t="n"/>
      <c r="BI95" s="75" t="n"/>
      <c r="BJ95" s="75" t="n"/>
      <c r="BK95" s="75" t="n"/>
      <c r="BL95" s="75" t="n"/>
      <c r="BM95" s="75" t="n"/>
      <c r="BN95" s="75" t="n"/>
      <c r="BO95" s="75" t="n"/>
      <c r="BP95" s="75" t="n"/>
      <c r="BQ95" s="75" t="n"/>
      <c r="BR95" s="75" t="n"/>
      <c r="BS95" s="75" t="n"/>
      <c r="BT95" s="75" t="n"/>
      <c r="BU95" s="75" t="n"/>
      <c r="BV95" s="75" t="n"/>
      <c r="BW95" s="75" t="n"/>
      <c r="BX95" s="75" t="n"/>
      <c r="BY95" s="75" t="n"/>
      <c r="BZ95" s="75" t="n"/>
      <c r="CA95" s="75" t="n"/>
      <c r="CB95" s="75" t="n"/>
      <c r="CC95" s="75" t="n"/>
      <c r="CD95" s="75" t="n"/>
      <c r="CE95" s="75" t="n"/>
      <c r="CF95" s="75" t="n"/>
      <c r="CG95" s="75" t="n"/>
      <c r="CH95" s="75" t="n"/>
      <c r="CI95" s="75" t="n"/>
      <c r="CJ95" s="75" t="n"/>
      <c r="CK95" s="75" t="n"/>
      <c r="CL95" s="75" t="n"/>
      <c r="CM95" s="75" t="n"/>
      <c r="CN95" s="75" t="n"/>
      <c r="CO95" s="75" t="n"/>
      <c r="CP95" s="75" t="n"/>
      <c r="CQ95" s="75" t="n"/>
      <c r="CR95" s="75" t="n"/>
      <c r="CS95" s="75" t="n"/>
      <c r="CT95" s="75" t="n"/>
      <c r="CU95" s="75" t="n"/>
      <c r="CV95" s="75" t="n"/>
      <c r="CW95" s="75" t="n"/>
      <c r="CX95" s="75" t="n"/>
      <c r="CY95" s="75" t="n"/>
      <c r="CZ95" s="75" t="n"/>
    </row>
    <row r="96">
      <c r="B96" s="134">
        <f>IF($A95="",0,COUNT($E96:$CZ96))</f>
        <v/>
      </c>
    </row>
    <row r="97">
      <c r="A97" s="5">
        <f>IF(AS51!$C$51="","",AS51!$C$51)</f>
        <v/>
      </c>
      <c r="B97" s="134">
        <f>IF($A97="",0,COUNT($E97:$CZ97))</f>
        <v/>
      </c>
      <c r="C97" s="135">
        <f>IF($A97="",0,IF($B97=0,0,MAX($E97:$CZ97)))</f>
        <v/>
      </c>
      <c r="D97" s="74">
        <f>BDS($A97,'Field Check'!$C$42,"headers=y","startcol=2","endcol=3","dir=h")</f>
        <v/>
      </c>
      <c r="E97" s="75" t="n"/>
      <c r="F97" s="75" t="n"/>
      <c r="G97" s="75" t="n"/>
      <c r="H97" s="75" t="n"/>
      <c r="I97" s="75" t="n"/>
      <c r="J97" s="75" t="n"/>
      <c r="K97" s="75" t="n"/>
      <c r="L97" s="75" t="n"/>
      <c r="M97" s="75" t="n"/>
      <c r="N97" s="75" t="n"/>
      <c r="O97" s="75" t="n"/>
      <c r="P97" s="75" t="n"/>
      <c r="Q97" s="75" t="n"/>
      <c r="R97" s="75" t="n"/>
      <c r="S97" s="75" t="n"/>
      <c r="T97" s="75" t="n"/>
      <c r="U97" s="75" t="n"/>
      <c r="V97" s="75" t="n"/>
      <c r="W97" s="75" t="n"/>
      <c r="X97" s="75" t="n"/>
      <c r="Y97" s="75" t="n"/>
      <c r="Z97" s="75" t="n"/>
      <c r="AA97" s="75" t="n"/>
      <c r="AB97" s="75" t="n"/>
      <c r="AC97" s="75" t="n"/>
      <c r="AD97" s="75" t="n"/>
      <c r="AE97" s="75" t="n"/>
      <c r="AF97" s="75" t="n"/>
      <c r="AG97" s="75" t="n"/>
      <c r="AH97" s="75" t="n"/>
      <c r="AI97" s="75" t="n"/>
      <c r="AJ97" s="75" t="n"/>
      <c r="AK97" s="75" t="n"/>
      <c r="AL97" s="75" t="n"/>
      <c r="AM97" s="75" t="n"/>
      <c r="AN97" s="75" t="n"/>
      <c r="AO97" s="75" t="n"/>
      <c r="AP97" s="75" t="n"/>
      <c r="AQ97" s="75" t="n"/>
      <c r="AR97" s="75" t="n"/>
      <c r="AS97" s="75" t="n"/>
      <c r="AT97" s="75" t="n"/>
      <c r="AU97" s="75" t="n"/>
      <c r="AV97" s="75" t="n"/>
      <c r="AW97" s="75" t="n"/>
      <c r="AX97" s="75" t="n"/>
      <c r="AY97" s="75" t="n"/>
      <c r="AZ97" s="75" t="n"/>
      <c r="BA97" s="75" t="n"/>
      <c r="BB97" s="75" t="n"/>
      <c r="BC97" s="75" t="n"/>
      <c r="BD97" s="75" t="n"/>
      <c r="BE97" s="75" t="n"/>
      <c r="BF97" s="75" t="n"/>
      <c r="BG97" s="75" t="n"/>
      <c r="BH97" s="75" t="n"/>
      <c r="BI97" s="75" t="n"/>
      <c r="BJ97" s="75" t="n"/>
      <c r="BK97" s="75" t="n"/>
      <c r="BL97" s="75" t="n"/>
      <c r="BM97" s="75" t="n"/>
      <c r="BN97" s="75" t="n"/>
      <c r="BO97" s="75" t="n"/>
      <c r="BP97" s="75" t="n"/>
      <c r="BQ97" s="75" t="n"/>
      <c r="BR97" s="75" t="n"/>
      <c r="BS97" s="75" t="n"/>
      <c r="BT97" s="75" t="n"/>
      <c r="BU97" s="75" t="n"/>
      <c r="BV97" s="75" t="n"/>
      <c r="BW97" s="75" t="n"/>
      <c r="BX97" s="75" t="n"/>
      <c r="BY97" s="75" t="n"/>
      <c r="BZ97" s="75" t="n"/>
      <c r="CA97" s="75" t="n"/>
      <c r="CB97" s="75" t="n"/>
      <c r="CC97" s="75" t="n"/>
      <c r="CD97" s="75" t="n"/>
      <c r="CE97" s="75" t="n"/>
      <c r="CF97" s="75" t="n"/>
      <c r="CG97" s="75" t="n"/>
      <c r="CH97" s="75" t="n"/>
      <c r="CI97" s="75" t="n"/>
      <c r="CJ97" s="75" t="n"/>
      <c r="CK97" s="75" t="n"/>
      <c r="CL97" s="75" t="n"/>
      <c r="CM97" s="75" t="n"/>
      <c r="CN97" s="75" t="n"/>
      <c r="CO97" s="75" t="n"/>
      <c r="CP97" s="75" t="n"/>
      <c r="CQ97" s="75" t="n"/>
      <c r="CR97" s="75" t="n"/>
      <c r="CS97" s="75" t="n"/>
      <c r="CT97" s="75" t="n"/>
      <c r="CU97" s="75" t="n"/>
      <c r="CV97" s="75" t="n"/>
      <c r="CW97" s="75" t="n"/>
      <c r="CX97" s="75" t="n"/>
      <c r="CY97" s="75" t="n"/>
      <c r="CZ97" s="75" t="n"/>
    </row>
    <row r="98">
      <c r="B98" s="134">
        <f>IF($A97="",0,COUNT($E98:$CZ98))</f>
        <v/>
      </c>
    </row>
    <row r="99">
      <c r="A99" s="5">
        <f>IF(AS51!$C$52="","",AS51!$C$52)</f>
        <v/>
      </c>
      <c r="B99" s="134">
        <f>IF($A99="",0,COUNT($E99:$CZ99))</f>
        <v/>
      </c>
      <c r="C99" s="135">
        <f>IF($A99="",0,IF($B99=0,0,MAX($E99:$CZ99)))</f>
        <v/>
      </c>
      <c r="D99" s="74">
        <f>BDS($A99,'Field Check'!$C$42,"headers=y","startcol=2","endcol=3","dir=h")</f>
        <v/>
      </c>
      <c r="E99" s="75" t="n"/>
      <c r="F99" s="75" t="n"/>
      <c r="G99" s="75" t="n"/>
      <c r="H99" s="75" t="n"/>
      <c r="I99" s="75" t="n"/>
      <c r="J99" s="75" t="n"/>
      <c r="K99" s="75" t="n"/>
      <c r="L99" s="75" t="n"/>
      <c r="M99" s="75" t="n"/>
      <c r="N99" s="75" t="n"/>
      <c r="O99" s="75" t="n"/>
      <c r="P99" s="75" t="n"/>
      <c r="Q99" s="75" t="n"/>
      <c r="R99" s="75" t="n"/>
      <c r="S99" s="75" t="n"/>
      <c r="T99" s="75" t="n"/>
      <c r="U99" s="75" t="n"/>
      <c r="V99" s="75" t="n"/>
      <c r="W99" s="75" t="n"/>
      <c r="X99" s="75" t="n"/>
      <c r="Y99" s="75" t="n"/>
      <c r="Z99" s="75" t="n"/>
      <c r="AA99" s="75" t="n"/>
      <c r="AB99" s="75" t="n"/>
      <c r="AC99" s="75" t="n"/>
      <c r="AD99" s="75" t="n"/>
      <c r="AE99" s="75" t="n"/>
      <c r="AF99" s="75" t="n"/>
      <c r="AG99" s="75" t="n"/>
      <c r="AH99" s="75" t="n"/>
      <c r="AI99" s="75" t="n"/>
      <c r="AJ99" s="75" t="n"/>
      <c r="AK99" s="75" t="n"/>
      <c r="AL99" s="75" t="n"/>
      <c r="AM99" s="75" t="n"/>
      <c r="AN99" s="75" t="n"/>
      <c r="AO99" s="75" t="n"/>
      <c r="AP99" s="75" t="n"/>
      <c r="AQ99" s="75" t="n"/>
      <c r="AR99" s="75" t="n"/>
      <c r="AS99" s="75" t="n"/>
      <c r="AT99" s="75" t="n"/>
      <c r="AU99" s="75" t="n"/>
      <c r="AV99" s="75" t="n"/>
      <c r="AW99" s="75" t="n"/>
      <c r="AX99" s="75" t="n"/>
      <c r="AY99" s="75" t="n"/>
      <c r="AZ99" s="75" t="n"/>
      <c r="BA99" s="75" t="n"/>
      <c r="BB99" s="75" t="n"/>
      <c r="BC99" s="75" t="n"/>
      <c r="BD99" s="75" t="n"/>
      <c r="BE99" s="75" t="n"/>
      <c r="BF99" s="75" t="n"/>
      <c r="BG99" s="75" t="n"/>
      <c r="BH99" s="75" t="n"/>
      <c r="BI99" s="75" t="n"/>
      <c r="BJ99" s="75" t="n"/>
      <c r="BK99" s="75" t="n"/>
      <c r="BL99" s="75" t="n"/>
      <c r="BM99" s="75" t="n"/>
      <c r="BN99" s="75" t="n"/>
      <c r="BO99" s="75" t="n"/>
      <c r="BP99" s="75" t="n"/>
      <c r="BQ99" s="75" t="n"/>
      <c r="BR99" s="75" t="n"/>
      <c r="BS99" s="75" t="n"/>
      <c r="BT99" s="75" t="n"/>
      <c r="BU99" s="75" t="n"/>
      <c r="BV99" s="75" t="n"/>
      <c r="BW99" s="75" t="n"/>
      <c r="BX99" s="75" t="n"/>
      <c r="BY99" s="75" t="n"/>
      <c r="BZ99" s="75" t="n"/>
      <c r="CA99" s="75" t="n"/>
      <c r="CB99" s="75" t="n"/>
      <c r="CC99" s="75" t="n"/>
      <c r="CD99" s="75" t="n"/>
      <c r="CE99" s="75" t="n"/>
      <c r="CF99" s="75" t="n"/>
      <c r="CG99" s="75" t="n"/>
      <c r="CH99" s="75" t="n"/>
      <c r="CI99" s="75" t="n"/>
      <c r="CJ99" s="75" t="n"/>
      <c r="CK99" s="75" t="n"/>
      <c r="CL99" s="75" t="n"/>
      <c r="CM99" s="75" t="n"/>
      <c r="CN99" s="75" t="n"/>
      <c r="CO99" s="75" t="n"/>
      <c r="CP99" s="75" t="n"/>
      <c r="CQ99" s="75" t="n"/>
      <c r="CR99" s="75" t="n"/>
      <c r="CS99" s="75" t="n"/>
      <c r="CT99" s="75" t="n"/>
      <c r="CU99" s="75" t="n"/>
      <c r="CV99" s="75" t="n"/>
      <c r="CW99" s="75" t="n"/>
      <c r="CX99" s="75" t="n"/>
      <c r="CY99" s="75" t="n"/>
      <c r="CZ99" s="75" t="n"/>
    </row>
    <row r="100">
      <c r="B100" s="134">
        <f>IF($A99="",0,COUNT($E100:$CZ100))</f>
        <v/>
      </c>
    </row>
    <row r="101">
      <c r="A101" s="5">
        <f>IF(AS51!$C$53="","",AS51!$C$53)</f>
        <v/>
      </c>
      <c r="B101" s="134">
        <f>IF($A101="",0,COUNT($E101:$CZ101))</f>
        <v/>
      </c>
      <c r="C101" s="135">
        <f>IF($A101="",0,IF($B101=0,0,MAX($E101:$CZ101)))</f>
        <v/>
      </c>
      <c r="D101" s="74">
        <f>BDS($A101,'Field Check'!$C$42,"headers=y","startcol=2","endcol=3","dir=h")</f>
        <v/>
      </c>
      <c r="E101" s="75" t="n"/>
      <c r="F101" s="75" t="n"/>
      <c r="G101" s="75" t="n"/>
      <c r="H101" s="75" t="n"/>
      <c r="I101" s="75" t="n"/>
      <c r="J101" s="75" t="n"/>
      <c r="K101" s="75" t="n"/>
      <c r="L101" s="75" t="n"/>
      <c r="M101" s="75" t="n"/>
      <c r="N101" s="75" t="n"/>
      <c r="O101" s="75" t="n"/>
      <c r="P101" s="75" t="n"/>
      <c r="Q101" s="75" t="n"/>
      <c r="R101" s="75" t="n"/>
      <c r="S101" s="75" t="n"/>
      <c r="T101" s="75" t="n"/>
      <c r="U101" s="75" t="n"/>
      <c r="V101" s="75" t="n"/>
      <c r="W101" s="75" t="n"/>
      <c r="X101" s="75" t="n"/>
      <c r="Y101" s="75" t="n"/>
      <c r="Z101" s="75" t="n"/>
      <c r="AA101" s="75" t="n"/>
      <c r="AB101" s="75" t="n"/>
      <c r="AC101" s="75" t="n"/>
      <c r="AD101" s="75" t="n"/>
      <c r="AE101" s="75" t="n"/>
      <c r="AF101" s="75" t="n"/>
      <c r="AG101" s="75" t="n"/>
      <c r="AH101" s="75" t="n"/>
      <c r="AI101" s="75" t="n"/>
      <c r="AJ101" s="75" t="n"/>
      <c r="AK101" s="75" t="n"/>
      <c r="AL101" s="75" t="n"/>
      <c r="AM101" s="75" t="n"/>
      <c r="AN101" s="75" t="n"/>
      <c r="AO101" s="75" t="n"/>
      <c r="AP101" s="75" t="n"/>
      <c r="AQ101" s="75" t="n"/>
      <c r="AR101" s="75" t="n"/>
      <c r="AS101" s="75" t="n"/>
      <c r="AT101" s="75" t="n"/>
      <c r="AU101" s="75" t="n"/>
      <c r="AV101" s="75" t="n"/>
      <c r="AW101" s="75" t="n"/>
      <c r="AX101" s="75" t="n"/>
      <c r="AY101" s="75" t="n"/>
      <c r="AZ101" s="75" t="n"/>
      <c r="BA101" s="75" t="n"/>
      <c r="BB101" s="75" t="n"/>
      <c r="BC101" s="75" t="n"/>
      <c r="BD101" s="75" t="n"/>
      <c r="BE101" s="75" t="n"/>
      <c r="BF101" s="75" t="n"/>
      <c r="BG101" s="75" t="n"/>
      <c r="BH101" s="75" t="n"/>
      <c r="BI101" s="75" t="n"/>
      <c r="BJ101" s="75" t="n"/>
      <c r="BK101" s="75" t="n"/>
      <c r="BL101" s="75" t="n"/>
      <c r="BM101" s="75" t="n"/>
      <c r="BN101" s="75" t="n"/>
      <c r="BO101" s="75" t="n"/>
      <c r="BP101" s="75" t="n"/>
      <c r="BQ101" s="75" t="n"/>
      <c r="BR101" s="75" t="n"/>
      <c r="BS101" s="75" t="n"/>
      <c r="BT101" s="75" t="n"/>
      <c r="BU101" s="75" t="n"/>
      <c r="BV101" s="75" t="n"/>
      <c r="BW101" s="75" t="n"/>
      <c r="BX101" s="75" t="n"/>
      <c r="BY101" s="75" t="n"/>
      <c r="BZ101" s="75" t="n"/>
      <c r="CA101" s="75" t="n"/>
      <c r="CB101" s="75" t="n"/>
      <c r="CC101" s="75" t="n"/>
      <c r="CD101" s="75" t="n"/>
      <c r="CE101" s="75" t="n"/>
      <c r="CF101" s="75" t="n"/>
      <c r="CG101" s="75" t="n"/>
      <c r="CH101" s="75" t="n"/>
      <c r="CI101" s="75" t="n"/>
      <c r="CJ101" s="75" t="n"/>
      <c r="CK101" s="75" t="n"/>
      <c r="CL101" s="75" t="n"/>
      <c r="CM101" s="75" t="n"/>
      <c r="CN101" s="75" t="n"/>
      <c r="CO101" s="75" t="n"/>
      <c r="CP101" s="75" t="n"/>
      <c r="CQ101" s="75" t="n"/>
      <c r="CR101" s="75" t="n"/>
      <c r="CS101" s="75" t="n"/>
      <c r="CT101" s="75" t="n"/>
      <c r="CU101" s="75" t="n"/>
      <c r="CV101" s="75" t="n"/>
      <c r="CW101" s="75" t="n"/>
      <c r="CX101" s="75" t="n"/>
      <c r="CY101" s="75" t="n"/>
      <c r="CZ101" s="75" t="n"/>
    </row>
    <row r="102">
      <c r="B102" s="134">
        <f>IF($A101="",0,COUNT($E102:$CZ102))</f>
        <v/>
      </c>
    </row>
    <row r="103">
      <c r="A103" s="5">
        <f>IF(AS51!$C$54="","",AS51!$C$54)</f>
        <v/>
      </c>
      <c r="B103" s="134">
        <f>IF($A103="",0,COUNT($E103:$CZ103))</f>
        <v/>
      </c>
      <c r="C103" s="135">
        <f>IF($A103="",0,IF($B103=0,0,MAX($E103:$CZ103)))</f>
        <v/>
      </c>
      <c r="D103" s="74">
        <f>BDS($A103,'Field Check'!$C$42,"headers=y","startcol=2","endcol=3","dir=h")</f>
        <v/>
      </c>
      <c r="E103" s="75" t="n"/>
      <c r="F103" s="75" t="n"/>
      <c r="G103" s="75" t="n"/>
      <c r="H103" s="75" t="n"/>
      <c r="I103" s="75" t="n"/>
      <c r="J103" s="75" t="n"/>
      <c r="K103" s="75" t="n"/>
      <c r="L103" s="75" t="n"/>
      <c r="M103" s="75" t="n"/>
      <c r="N103" s="75" t="n"/>
      <c r="O103" s="75" t="n"/>
      <c r="P103" s="75" t="n"/>
      <c r="Q103" s="75" t="n"/>
      <c r="R103" s="75" t="n"/>
      <c r="S103" s="75" t="n"/>
      <c r="T103" s="75" t="n"/>
      <c r="U103" s="75" t="n"/>
      <c r="V103" s="75" t="n"/>
      <c r="W103" s="75" t="n"/>
      <c r="X103" s="75" t="n"/>
      <c r="Y103" s="75" t="n"/>
      <c r="Z103" s="75" t="n"/>
      <c r="AA103" s="75" t="n"/>
      <c r="AB103" s="75" t="n"/>
      <c r="AC103" s="75" t="n"/>
      <c r="AD103" s="75" t="n"/>
      <c r="AE103" s="75" t="n"/>
      <c r="AF103" s="75" t="n"/>
      <c r="AG103" s="75" t="n"/>
      <c r="AH103" s="75" t="n"/>
      <c r="AI103" s="75" t="n"/>
      <c r="AJ103" s="75" t="n"/>
      <c r="AK103" s="75" t="n"/>
      <c r="AL103" s="75" t="n"/>
      <c r="AM103" s="75" t="n"/>
      <c r="AN103" s="75" t="n"/>
      <c r="AO103" s="75" t="n"/>
      <c r="AP103" s="75" t="n"/>
      <c r="AQ103" s="75" t="n"/>
      <c r="AR103" s="75" t="n"/>
      <c r="AS103" s="75" t="n"/>
      <c r="AT103" s="75" t="n"/>
      <c r="AU103" s="75" t="n"/>
      <c r="AV103" s="75" t="n"/>
      <c r="AW103" s="75" t="n"/>
      <c r="AX103" s="75" t="n"/>
      <c r="AY103" s="75" t="n"/>
      <c r="AZ103" s="75" t="n"/>
      <c r="BA103" s="75" t="n"/>
      <c r="BB103" s="75" t="n"/>
      <c r="BC103" s="75" t="n"/>
      <c r="BD103" s="75" t="n"/>
      <c r="BE103" s="75" t="n"/>
      <c r="BF103" s="75" t="n"/>
      <c r="BG103" s="75" t="n"/>
      <c r="BH103" s="75" t="n"/>
      <c r="BI103" s="75" t="n"/>
      <c r="BJ103" s="75" t="n"/>
      <c r="BK103" s="75" t="n"/>
      <c r="BL103" s="75" t="n"/>
      <c r="BM103" s="75" t="n"/>
      <c r="BN103" s="75" t="n"/>
      <c r="BO103" s="75" t="n"/>
      <c r="BP103" s="75" t="n"/>
      <c r="BQ103" s="75" t="n"/>
      <c r="BR103" s="75" t="n"/>
      <c r="BS103" s="75" t="n"/>
      <c r="BT103" s="75" t="n"/>
      <c r="BU103" s="75" t="n"/>
      <c r="BV103" s="75" t="n"/>
      <c r="BW103" s="75" t="n"/>
      <c r="BX103" s="75" t="n"/>
      <c r="BY103" s="75" t="n"/>
      <c r="BZ103" s="75" t="n"/>
      <c r="CA103" s="75" t="n"/>
      <c r="CB103" s="75" t="n"/>
      <c r="CC103" s="75" t="n"/>
      <c r="CD103" s="75" t="n"/>
      <c r="CE103" s="75" t="n"/>
      <c r="CF103" s="75" t="n"/>
      <c r="CG103" s="75" t="n"/>
      <c r="CH103" s="75" t="n"/>
      <c r="CI103" s="75" t="n"/>
      <c r="CJ103" s="75" t="n"/>
      <c r="CK103" s="75" t="n"/>
      <c r="CL103" s="75" t="n"/>
      <c r="CM103" s="75" t="n"/>
      <c r="CN103" s="75" t="n"/>
      <c r="CO103" s="75" t="n"/>
      <c r="CP103" s="75" t="n"/>
      <c r="CQ103" s="75" t="n"/>
      <c r="CR103" s="75" t="n"/>
      <c r="CS103" s="75" t="n"/>
      <c r="CT103" s="75" t="n"/>
      <c r="CU103" s="75" t="n"/>
      <c r="CV103" s="75" t="n"/>
      <c r="CW103" s="75" t="n"/>
      <c r="CX103" s="75" t="n"/>
      <c r="CY103" s="75" t="n"/>
      <c r="CZ103" s="75" t="n"/>
    </row>
    <row r="104">
      <c r="B104" s="134">
        <f>IF($A103="",0,COUNT($E104:$CZ104))</f>
        <v/>
      </c>
    </row>
    <row r="105">
      <c r="A105" s="5">
        <f>IF(AS51!$C$55="","",AS51!$C$55)</f>
        <v/>
      </c>
      <c r="B105" s="134">
        <f>IF($A105="",0,COUNT($E105:$CZ105))</f>
        <v/>
      </c>
      <c r="C105" s="135">
        <f>IF($A105="",0,IF($B105=0,0,MAX($E105:$CZ105)))</f>
        <v/>
      </c>
      <c r="D105" s="74">
        <f>BDS($A105,'Field Check'!$C$42,"headers=y","startcol=2","endcol=3","dir=h")</f>
        <v/>
      </c>
      <c r="E105" s="75" t="n"/>
      <c r="F105" s="75" t="n"/>
      <c r="G105" s="75" t="n"/>
      <c r="H105" s="75" t="n"/>
      <c r="I105" s="75" t="n"/>
      <c r="J105" s="75" t="n"/>
      <c r="K105" s="75" t="n"/>
      <c r="L105" s="75" t="n"/>
      <c r="M105" s="75" t="n"/>
      <c r="N105" s="75" t="n"/>
      <c r="O105" s="75" t="n"/>
      <c r="P105" s="75" t="n"/>
      <c r="Q105" s="75" t="n"/>
      <c r="R105" s="75" t="n"/>
      <c r="S105" s="75" t="n"/>
      <c r="T105" s="75" t="n"/>
      <c r="U105" s="75" t="n"/>
      <c r="V105" s="75" t="n"/>
      <c r="W105" s="75" t="n"/>
      <c r="X105" s="75" t="n"/>
      <c r="Y105" s="75" t="n"/>
      <c r="Z105" s="75" t="n"/>
      <c r="AA105" s="75" t="n"/>
      <c r="AB105" s="75" t="n"/>
      <c r="AC105" s="75" t="n"/>
      <c r="AD105" s="75" t="n"/>
      <c r="AE105" s="75" t="n"/>
      <c r="AF105" s="75" t="n"/>
      <c r="AG105" s="75" t="n"/>
      <c r="AH105" s="75" t="n"/>
      <c r="AI105" s="75" t="n"/>
      <c r="AJ105" s="75" t="n"/>
      <c r="AK105" s="75" t="n"/>
      <c r="AL105" s="75" t="n"/>
      <c r="AM105" s="75" t="n"/>
      <c r="AN105" s="75" t="n"/>
      <c r="AO105" s="75" t="n"/>
      <c r="AP105" s="75" t="n"/>
      <c r="AQ105" s="75" t="n"/>
      <c r="AR105" s="75" t="n"/>
      <c r="AS105" s="75" t="n"/>
      <c r="AT105" s="75" t="n"/>
      <c r="AU105" s="75" t="n"/>
      <c r="AV105" s="75" t="n"/>
      <c r="AW105" s="75" t="n"/>
      <c r="AX105" s="75" t="n"/>
      <c r="AY105" s="75" t="n"/>
      <c r="AZ105" s="75" t="n"/>
      <c r="BA105" s="75" t="n"/>
      <c r="BB105" s="75" t="n"/>
      <c r="BC105" s="75" t="n"/>
      <c r="BD105" s="75" t="n"/>
      <c r="BE105" s="75" t="n"/>
      <c r="BF105" s="75" t="n"/>
      <c r="BG105" s="75" t="n"/>
      <c r="BH105" s="75" t="n"/>
      <c r="BI105" s="75" t="n"/>
      <c r="BJ105" s="75" t="n"/>
      <c r="BK105" s="75" t="n"/>
      <c r="BL105" s="75" t="n"/>
      <c r="BM105" s="75" t="n"/>
      <c r="BN105" s="75" t="n"/>
      <c r="BO105" s="75" t="n"/>
      <c r="BP105" s="75" t="n"/>
      <c r="BQ105" s="75" t="n"/>
      <c r="BR105" s="75" t="n"/>
      <c r="BS105" s="75" t="n"/>
      <c r="BT105" s="75" t="n"/>
      <c r="BU105" s="75" t="n"/>
      <c r="BV105" s="75" t="n"/>
      <c r="BW105" s="75" t="n"/>
      <c r="BX105" s="75" t="n"/>
      <c r="BY105" s="75" t="n"/>
      <c r="BZ105" s="75" t="n"/>
      <c r="CA105" s="75" t="n"/>
      <c r="CB105" s="75" t="n"/>
      <c r="CC105" s="75" t="n"/>
      <c r="CD105" s="75" t="n"/>
      <c r="CE105" s="75" t="n"/>
      <c r="CF105" s="75" t="n"/>
      <c r="CG105" s="75" t="n"/>
      <c r="CH105" s="75" t="n"/>
      <c r="CI105" s="75" t="n"/>
      <c r="CJ105" s="75" t="n"/>
      <c r="CK105" s="75" t="n"/>
      <c r="CL105" s="75" t="n"/>
      <c r="CM105" s="75" t="n"/>
      <c r="CN105" s="75" t="n"/>
      <c r="CO105" s="75" t="n"/>
      <c r="CP105" s="75" t="n"/>
      <c r="CQ105" s="75" t="n"/>
      <c r="CR105" s="75" t="n"/>
      <c r="CS105" s="75" t="n"/>
      <c r="CT105" s="75" t="n"/>
      <c r="CU105" s="75" t="n"/>
      <c r="CV105" s="75" t="n"/>
      <c r="CW105" s="75" t="n"/>
      <c r="CX105" s="75" t="n"/>
      <c r="CY105" s="75" t="n"/>
      <c r="CZ105" s="75" t="n"/>
    </row>
    <row r="106">
      <c r="B106" s="134">
        <f>IF($A105="",0,COUNT($E106:$CZ106))</f>
        <v/>
      </c>
    </row>
    <row r="107">
      <c r="A107" s="5">
        <f>IF(AS51!$C$56="","",AS51!$C$56)</f>
        <v/>
      </c>
      <c r="B107" s="134">
        <f>IF($A107="",0,COUNT($E107:$CZ107))</f>
        <v/>
      </c>
      <c r="C107" s="135">
        <f>IF($A107="",0,IF($B107=0,0,MAX($E107:$CZ107)))</f>
        <v/>
      </c>
      <c r="D107" s="74">
        <f>BDS($A107,'Field Check'!$C$42,"headers=y","startcol=2","endcol=3","dir=h")</f>
        <v/>
      </c>
      <c r="E107" s="75" t="n"/>
      <c r="F107" s="75" t="n"/>
      <c r="G107" s="75" t="n"/>
      <c r="H107" s="75" t="n"/>
      <c r="I107" s="75" t="n"/>
      <c r="J107" s="75" t="n"/>
      <c r="K107" s="75" t="n"/>
      <c r="L107" s="75" t="n"/>
      <c r="M107" s="75" t="n"/>
      <c r="N107" s="75" t="n"/>
      <c r="O107" s="75" t="n"/>
      <c r="P107" s="75" t="n"/>
      <c r="Q107" s="75" t="n"/>
      <c r="R107" s="75" t="n"/>
      <c r="S107" s="75" t="n"/>
      <c r="T107" s="75" t="n"/>
      <c r="U107" s="75" t="n"/>
      <c r="V107" s="75" t="n"/>
      <c r="W107" s="75" t="n"/>
      <c r="X107" s="75" t="n"/>
      <c r="Y107" s="75" t="n"/>
      <c r="Z107" s="75" t="n"/>
      <c r="AA107" s="75" t="n"/>
      <c r="AB107" s="75" t="n"/>
      <c r="AC107" s="75" t="n"/>
      <c r="AD107" s="75" t="n"/>
      <c r="AE107" s="75" t="n"/>
      <c r="AF107" s="75" t="n"/>
      <c r="AG107" s="75" t="n"/>
      <c r="AH107" s="75" t="n"/>
      <c r="AI107" s="75" t="n"/>
      <c r="AJ107" s="75" t="n"/>
      <c r="AK107" s="75" t="n"/>
      <c r="AL107" s="75" t="n"/>
      <c r="AM107" s="75" t="n"/>
      <c r="AN107" s="75" t="n"/>
      <c r="AO107" s="75" t="n"/>
      <c r="AP107" s="75" t="n"/>
      <c r="AQ107" s="75" t="n"/>
      <c r="AR107" s="75" t="n"/>
      <c r="AS107" s="75" t="n"/>
      <c r="AT107" s="75" t="n"/>
      <c r="AU107" s="75" t="n"/>
      <c r="AV107" s="75" t="n"/>
      <c r="AW107" s="75" t="n"/>
      <c r="AX107" s="75" t="n"/>
      <c r="AY107" s="75" t="n"/>
      <c r="AZ107" s="75" t="n"/>
      <c r="BA107" s="75" t="n"/>
      <c r="BB107" s="75" t="n"/>
      <c r="BC107" s="75" t="n"/>
      <c r="BD107" s="75" t="n"/>
      <c r="BE107" s="75" t="n"/>
      <c r="BF107" s="75" t="n"/>
      <c r="BG107" s="75" t="n"/>
      <c r="BH107" s="75" t="n"/>
      <c r="BI107" s="75" t="n"/>
      <c r="BJ107" s="75" t="n"/>
      <c r="BK107" s="75" t="n"/>
      <c r="BL107" s="75" t="n"/>
      <c r="BM107" s="75" t="n"/>
      <c r="BN107" s="75" t="n"/>
      <c r="BO107" s="75" t="n"/>
      <c r="BP107" s="75" t="n"/>
      <c r="BQ107" s="75" t="n"/>
      <c r="BR107" s="75" t="n"/>
      <c r="BS107" s="75" t="n"/>
      <c r="BT107" s="75" t="n"/>
      <c r="BU107" s="75" t="n"/>
      <c r="BV107" s="75" t="n"/>
      <c r="BW107" s="75" t="n"/>
      <c r="BX107" s="75" t="n"/>
      <c r="BY107" s="75" t="n"/>
      <c r="BZ107" s="75" t="n"/>
      <c r="CA107" s="75" t="n"/>
      <c r="CB107" s="75" t="n"/>
      <c r="CC107" s="75" t="n"/>
      <c r="CD107" s="75" t="n"/>
      <c r="CE107" s="75" t="n"/>
      <c r="CF107" s="75" t="n"/>
      <c r="CG107" s="75" t="n"/>
      <c r="CH107" s="75" t="n"/>
      <c r="CI107" s="75" t="n"/>
      <c r="CJ107" s="75" t="n"/>
      <c r="CK107" s="75" t="n"/>
      <c r="CL107" s="75" t="n"/>
      <c r="CM107" s="75" t="n"/>
      <c r="CN107" s="75" t="n"/>
      <c r="CO107" s="75" t="n"/>
      <c r="CP107" s="75" t="n"/>
      <c r="CQ107" s="75" t="n"/>
      <c r="CR107" s="75" t="n"/>
      <c r="CS107" s="75" t="n"/>
      <c r="CT107" s="75" t="n"/>
      <c r="CU107" s="75" t="n"/>
      <c r="CV107" s="75" t="n"/>
      <c r="CW107" s="75" t="n"/>
      <c r="CX107" s="75" t="n"/>
      <c r="CY107" s="75" t="n"/>
      <c r="CZ107" s="75" t="n"/>
    </row>
    <row r="108">
      <c r="B108" s="134">
        <f>IF($A107="",0,COUNT($E108:$CZ108))</f>
        <v/>
      </c>
    </row>
    <row r="109">
      <c r="A109" s="5">
        <f>IF(AS51!$C$57="","",AS51!$C$57)</f>
        <v/>
      </c>
      <c r="B109" s="134">
        <f>IF($A109="",0,COUNT($E109:$CZ109))</f>
        <v/>
      </c>
      <c r="C109" s="135">
        <f>IF($A109="",0,IF($B109=0,0,MAX($E109:$CZ109)))</f>
        <v/>
      </c>
      <c r="D109" s="74">
        <f>BDS($A109,'Field Check'!$C$42,"headers=y","startcol=2","endcol=3","dir=h")</f>
        <v/>
      </c>
      <c r="E109" s="75" t="n"/>
      <c r="F109" s="75" t="n"/>
      <c r="G109" s="75" t="n"/>
      <c r="H109" s="75" t="n"/>
      <c r="I109" s="75" t="n"/>
      <c r="J109" s="75" t="n"/>
      <c r="K109" s="75" t="n"/>
      <c r="L109" s="75" t="n"/>
      <c r="M109" s="75" t="n"/>
      <c r="N109" s="75" t="n"/>
      <c r="O109" s="75" t="n"/>
      <c r="P109" s="75" t="n"/>
      <c r="Q109" s="75" t="n"/>
      <c r="R109" s="75" t="n"/>
      <c r="S109" s="75" t="n"/>
      <c r="T109" s="75" t="n"/>
      <c r="U109" s="75" t="n"/>
      <c r="V109" s="75" t="n"/>
      <c r="W109" s="75" t="n"/>
      <c r="X109" s="75" t="n"/>
      <c r="Y109" s="75" t="n"/>
      <c r="Z109" s="75" t="n"/>
      <c r="AA109" s="75" t="n"/>
      <c r="AB109" s="75" t="n"/>
      <c r="AC109" s="75" t="n"/>
      <c r="AD109" s="75" t="n"/>
      <c r="AE109" s="75" t="n"/>
      <c r="AF109" s="75" t="n"/>
      <c r="AG109" s="75" t="n"/>
      <c r="AH109" s="75" t="n"/>
      <c r="AI109" s="75" t="n"/>
      <c r="AJ109" s="75" t="n"/>
      <c r="AK109" s="75" t="n"/>
      <c r="AL109" s="75" t="n"/>
      <c r="AM109" s="75" t="n"/>
      <c r="AN109" s="75" t="n"/>
      <c r="AO109" s="75" t="n"/>
      <c r="AP109" s="75" t="n"/>
      <c r="AQ109" s="75" t="n"/>
      <c r="AR109" s="75" t="n"/>
      <c r="AS109" s="75" t="n"/>
      <c r="AT109" s="75" t="n"/>
      <c r="AU109" s="75" t="n"/>
      <c r="AV109" s="75" t="n"/>
      <c r="AW109" s="75" t="n"/>
      <c r="AX109" s="75" t="n"/>
      <c r="AY109" s="75" t="n"/>
      <c r="AZ109" s="75" t="n"/>
      <c r="BA109" s="75" t="n"/>
      <c r="BB109" s="75" t="n"/>
      <c r="BC109" s="75" t="n"/>
      <c r="BD109" s="75" t="n"/>
      <c r="BE109" s="75" t="n"/>
      <c r="BF109" s="75" t="n"/>
      <c r="BG109" s="75" t="n"/>
      <c r="BH109" s="75" t="n"/>
      <c r="BI109" s="75" t="n"/>
      <c r="BJ109" s="75" t="n"/>
      <c r="BK109" s="75" t="n"/>
      <c r="BL109" s="75" t="n"/>
      <c r="BM109" s="75" t="n"/>
      <c r="BN109" s="75" t="n"/>
      <c r="BO109" s="75" t="n"/>
      <c r="BP109" s="75" t="n"/>
      <c r="BQ109" s="75" t="n"/>
      <c r="BR109" s="75" t="n"/>
      <c r="BS109" s="75" t="n"/>
      <c r="BT109" s="75" t="n"/>
      <c r="BU109" s="75" t="n"/>
      <c r="BV109" s="75" t="n"/>
      <c r="BW109" s="75" t="n"/>
      <c r="BX109" s="75" t="n"/>
      <c r="BY109" s="75" t="n"/>
      <c r="BZ109" s="75" t="n"/>
      <c r="CA109" s="75" t="n"/>
      <c r="CB109" s="75" t="n"/>
      <c r="CC109" s="75" t="n"/>
      <c r="CD109" s="75" t="n"/>
      <c r="CE109" s="75" t="n"/>
      <c r="CF109" s="75" t="n"/>
      <c r="CG109" s="75" t="n"/>
      <c r="CH109" s="75" t="n"/>
      <c r="CI109" s="75" t="n"/>
      <c r="CJ109" s="75" t="n"/>
      <c r="CK109" s="75" t="n"/>
      <c r="CL109" s="75" t="n"/>
      <c r="CM109" s="75" t="n"/>
      <c r="CN109" s="75" t="n"/>
      <c r="CO109" s="75" t="n"/>
      <c r="CP109" s="75" t="n"/>
      <c r="CQ109" s="75" t="n"/>
      <c r="CR109" s="75" t="n"/>
      <c r="CS109" s="75" t="n"/>
      <c r="CT109" s="75" t="n"/>
      <c r="CU109" s="75" t="n"/>
      <c r="CV109" s="75" t="n"/>
      <c r="CW109" s="75" t="n"/>
      <c r="CX109" s="75" t="n"/>
      <c r="CY109" s="75" t="n"/>
      <c r="CZ109" s="75" t="n"/>
    </row>
    <row r="110">
      <c r="B110" s="134">
        <f>IF($A109="",0,COUNT($E110:$CZ110))</f>
        <v/>
      </c>
    </row>
    <row r="111">
      <c r="A111" s="5">
        <f>IF(AS51!$C$58="","",AS51!$C$58)</f>
        <v/>
      </c>
      <c r="B111" s="134">
        <f>IF($A111="",0,COUNT($E111:$CZ111))</f>
        <v/>
      </c>
      <c r="C111" s="135">
        <f>IF($A111="",0,IF($B111=0,0,MAX($E111:$CZ111)))</f>
        <v/>
      </c>
      <c r="D111" s="74">
        <f>BDS($A111,'Field Check'!$C$42,"headers=y","startcol=2","endcol=3","dir=h")</f>
        <v/>
      </c>
      <c r="E111" s="75" t="n"/>
      <c r="F111" s="75" t="n"/>
      <c r="G111" s="75" t="n"/>
      <c r="H111" s="75" t="n"/>
      <c r="I111" s="75" t="n"/>
      <c r="J111" s="75" t="n"/>
      <c r="K111" s="75" t="n"/>
      <c r="L111" s="75" t="n"/>
      <c r="M111" s="75" t="n"/>
      <c r="N111" s="75" t="n"/>
      <c r="O111" s="75" t="n"/>
      <c r="P111" s="75" t="n"/>
      <c r="Q111" s="75" t="n"/>
      <c r="R111" s="75" t="n"/>
      <c r="S111" s="75" t="n"/>
      <c r="T111" s="75" t="n"/>
      <c r="U111" s="75" t="n"/>
      <c r="V111" s="75" t="n"/>
      <c r="W111" s="75" t="n"/>
      <c r="X111" s="75" t="n"/>
      <c r="Y111" s="75" t="n"/>
      <c r="Z111" s="75" t="n"/>
      <c r="AA111" s="75" t="n"/>
      <c r="AB111" s="75" t="n"/>
      <c r="AC111" s="75" t="n"/>
      <c r="AD111" s="75" t="n"/>
      <c r="AE111" s="75" t="n"/>
      <c r="AF111" s="75" t="n"/>
      <c r="AG111" s="75" t="n"/>
      <c r="AH111" s="75" t="n"/>
      <c r="AI111" s="75" t="n"/>
      <c r="AJ111" s="75" t="n"/>
      <c r="AK111" s="75" t="n"/>
      <c r="AL111" s="75" t="n"/>
      <c r="AM111" s="75" t="n"/>
      <c r="AN111" s="75" t="n"/>
      <c r="AO111" s="75" t="n"/>
      <c r="AP111" s="75" t="n"/>
      <c r="AQ111" s="75" t="n"/>
      <c r="AR111" s="75" t="n"/>
      <c r="AS111" s="75" t="n"/>
      <c r="AT111" s="75" t="n"/>
      <c r="AU111" s="75" t="n"/>
      <c r="AV111" s="75" t="n"/>
      <c r="AW111" s="75" t="n"/>
      <c r="AX111" s="75" t="n"/>
      <c r="AY111" s="75" t="n"/>
      <c r="AZ111" s="75" t="n"/>
      <c r="BA111" s="75" t="n"/>
      <c r="BB111" s="75" t="n"/>
      <c r="BC111" s="75" t="n"/>
      <c r="BD111" s="75" t="n"/>
      <c r="BE111" s="75" t="n"/>
      <c r="BF111" s="75" t="n"/>
      <c r="BG111" s="75" t="n"/>
      <c r="BH111" s="75" t="n"/>
      <c r="BI111" s="75" t="n"/>
      <c r="BJ111" s="75" t="n"/>
      <c r="BK111" s="75" t="n"/>
      <c r="BL111" s="75" t="n"/>
      <c r="BM111" s="75" t="n"/>
      <c r="BN111" s="75" t="n"/>
      <c r="BO111" s="75" t="n"/>
      <c r="BP111" s="75" t="n"/>
      <c r="BQ111" s="75" t="n"/>
      <c r="BR111" s="75" t="n"/>
      <c r="BS111" s="75" t="n"/>
      <c r="BT111" s="75" t="n"/>
      <c r="BU111" s="75" t="n"/>
      <c r="BV111" s="75" t="n"/>
      <c r="BW111" s="75" t="n"/>
      <c r="BX111" s="75" t="n"/>
      <c r="BY111" s="75" t="n"/>
      <c r="BZ111" s="75" t="n"/>
      <c r="CA111" s="75" t="n"/>
      <c r="CB111" s="75" t="n"/>
      <c r="CC111" s="75" t="n"/>
      <c r="CD111" s="75" t="n"/>
      <c r="CE111" s="75" t="n"/>
      <c r="CF111" s="75" t="n"/>
      <c r="CG111" s="75" t="n"/>
      <c r="CH111" s="75" t="n"/>
      <c r="CI111" s="75" t="n"/>
      <c r="CJ111" s="75" t="n"/>
      <c r="CK111" s="75" t="n"/>
      <c r="CL111" s="75" t="n"/>
      <c r="CM111" s="75" t="n"/>
      <c r="CN111" s="75" t="n"/>
      <c r="CO111" s="75" t="n"/>
      <c r="CP111" s="75" t="n"/>
      <c r="CQ111" s="75" t="n"/>
      <c r="CR111" s="75" t="n"/>
      <c r="CS111" s="75" t="n"/>
      <c r="CT111" s="75" t="n"/>
      <c r="CU111" s="75" t="n"/>
      <c r="CV111" s="75" t="n"/>
      <c r="CW111" s="75" t="n"/>
      <c r="CX111" s="75" t="n"/>
      <c r="CY111" s="75" t="n"/>
      <c r="CZ111" s="75" t="n"/>
    </row>
    <row r="112">
      <c r="B112" s="134">
        <f>IF($A111="",0,COUNT($E112:$CZ112))</f>
        <v/>
      </c>
    </row>
    <row r="113">
      <c r="A113" s="5">
        <f>IF(AS51!$C$59="","",AS51!$C$59)</f>
        <v/>
      </c>
      <c r="B113" s="134">
        <f>IF($A113="",0,COUNT($E113:$CZ113))</f>
        <v/>
      </c>
      <c r="C113" s="135">
        <f>IF($A113="",0,IF($B113=0,0,MAX($E113:$CZ113)))</f>
        <v/>
      </c>
      <c r="D113" s="74">
        <f>BDS($A113,'Field Check'!$C$42,"headers=y","startcol=2","endcol=3","dir=h")</f>
        <v/>
      </c>
      <c r="E113" s="75" t="n"/>
      <c r="F113" s="75" t="n"/>
      <c r="G113" s="75" t="n"/>
      <c r="H113" s="75" t="n"/>
      <c r="I113" s="75" t="n"/>
      <c r="J113" s="75" t="n"/>
      <c r="K113" s="75" t="n"/>
      <c r="L113" s="75" t="n"/>
      <c r="M113" s="75" t="n"/>
      <c r="N113" s="75" t="n"/>
      <c r="O113" s="75" t="n"/>
      <c r="P113" s="75" t="n"/>
      <c r="Q113" s="75" t="n"/>
      <c r="R113" s="75" t="n"/>
      <c r="S113" s="75" t="n"/>
      <c r="T113" s="75" t="n"/>
      <c r="U113" s="75" t="n"/>
      <c r="V113" s="75" t="n"/>
      <c r="W113" s="75" t="n"/>
      <c r="X113" s="75" t="n"/>
      <c r="Y113" s="75" t="n"/>
      <c r="Z113" s="75" t="n"/>
      <c r="AA113" s="75" t="n"/>
      <c r="AB113" s="75" t="n"/>
      <c r="AC113" s="75" t="n"/>
      <c r="AD113" s="75" t="n"/>
      <c r="AE113" s="75" t="n"/>
      <c r="AF113" s="75" t="n"/>
      <c r="AG113" s="75" t="n"/>
      <c r="AH113" s="75" t="n"/>
      <c r="AI113" s="75" t="n"/>
      <c r="AJ113" s="75" t="n"/>
      <c r="AK113" s="75" t="n"/>
      <c r="AL113" s="75" t="n"/>
      <c r="AM113" s="75" t="n"/>
      <c r="AN113" s="75" t="n"/>
      <c r="AO113" s="75" t="n"/>
      <c r="AP113" s="75" t="n"/>
      <c r="AQ113" s="75" t="n"/>
      <c r="AR113" s="75" t="n"/>
      <c r="AS113" s="75" t="n"/>
      <c r="AT113" s="75" t="n"/>
      <c r="AU113" s="75" t="n"/>
      <c r="AV113" s="75" t="n"/>
      <c r="AW113" s="75" t="n"/>
      <c r="AX113" s="75" t="n"/>
      <c r="AY113" s="75" t="n"/>
      <c r="AZ113" s="75" t="n"/>
      <c r="BA113" s="75" t="n"/>
      <c r="BB113" s="75" t="n"/>
      <c r="BC113" s="75" t="n"/>
      <c r="BD113" s="75" t="n"/>
      <c r="BE113" s="75" t="n"/>
      <c r="BF113" s="75" t="n"/>
      <c r="BG113" s="75" t="n"/>
      <c r="BH113" s="75" t="n"/>
      <c r="BI113" s="75" t="n"/>
      <c r="BJ113" s="75" t="n"/>
      <c r="BK113" s="75" t="n"/>
      <c r="BL113" s="75" t="n"/>
      <c r="BM113" s="75" t="n"/>
      <c r="BN113" s="75" t="n"/>
      <c r="BO113" s="75" t="n"/>
      <c r="BP113" s="75" t="n"/>
      <c r="BQ113" s="75" t="n"/>
      <c r="BR113" s="75" t="n"/>
      <c r="BS113" s="75" t="n"/>
      <c r="BT113" s="75" t="n"/>
      <c r="BU113" s="75" t="n"/>
      <c r="BV113" s="75" t="n"/>
      <c r="BW113" s="75" t="n"/>
      <c r="BX113" s="75" t="n"/>
      <c r="BY113" s="75" t="n"/>
      <c r="BZ113" s="75" t="n"/>
      <c r="CA113" s="75" t="n"/>
      <c r="CB113" s="75" t="n"/>
      <c r="CC113" s="75" t="n"/>
      <c r="CD113" s="75" t="n"/>
      <c r="CE113" s="75" t="n"/>
      <c r="CF113" s="75" t="n"/>
      <c r="CG113" s="75" t="n"/>
      <c r="CH113" s="75" t="n"/>
      <c r="CI113" s="75" t="n"/>
      <c r="CJ113" s="75" t="n"/>
      <c r="CK113" s="75" t="n"/>
      <c r="CL113" s="75" t="n"/>
      <c r="CM113" s="75" t="n"/>
      <c r="CN113" s="75" t="n"/>
      <c r="CO113" s="75" t="n"/>
      <c r="CP113" s="75" t="n"/>
      <c r="CQ113" s="75" t="n"/>
      <c r="CR113" s="75" t="n"/>
      <c r="CS113" s="75" t="n"/>
      <c r="CT113" s="75" t="n"/>
      <c r="CU113" s="75" t="n"/>
      <c r="CV113" s="75" t="n"/>
      <c r="CW113" s="75" t="n"/>
      <c r="CX113" s="75" t="n"/>
      <c r="CY113" s="75" t="n"/>
      <c r="CZ113" s="75" t="n"/>
    </row>
    <row r="114">
      <c r="B114" s="134">
        <f>IF($A113="",0,COUNT($E114:$CZ114))</f>
        <v/>
      </c>
    </row>
    <row r="115">
      <c r="A115" s="5">
        <f>IF(AS51!$C$60="","",AS51!$C$60)</f>
        <v/>
      </c>
      <c r="B115" s="134">
        <f>IF($A115="",0,COUNT($E115:$CZ115))</f>
        <v/>
      </c>
      <c r="C115" s="135">
        <f>IF($A115="",0,IF($B115=0,0,MAX($E115:$CZ115)))</f>
        <v/>
      </c>
      <c r="D115" s="74">
        <f>BDS($A115,'Field Check'!$C$42,"headers=y","startcol=2","endcol=3","dir=h")</f>
        <v/>
      </c>
      <c r="E115" s="75" t="n"/>
      <c r="F115" s="75" t="n"/>
      <c r="G115" s="75" t="n"/>
      <c r="H115" s="75" t="n"/>
      <c r="I115" s="75" t="n"/>
      <c r="J115" s="75" t="n"/>
      <c r="K115" s="75" t="n"/>
      <c r="L115" s="75" t="n"/>
      <c r="M115" s="75" t="n"/>
      <c r="N115" s="75" t="n"/>
      <c r="O115" s="75" t="n"/>
      <c r="P115" s="75" t="n"/>
      <c r="Q115" s="75" t="n"/>
      <c r="R115" s="75" t="n"/>
      <c r="S115" s="75" t="n"/>
      <c r="T115" s="75" t="n"/>
      <c r="U115" s="75" t="n"/>
      <c r="V115" s="75" t="n"/>
      <c r="W115" s="75" t="n"/>
      <c r="X115" s="75" t="n"/>
      <c r="Y115" s="75" t="n"/>
      <c r="Z115" s="75" t="n"/>
      <c r="AA115" s="75" t="n"/>
      <c r="AB115" s="75" t="n"/>
      <c r="AC115" s="75" t="n"/>
      <c r="AD115" s="75" t="n"/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  <c r="AU115" s="75" t="n"/>
      <c r="AV115" s="75" t="n"/>
      <c r="AW115" s="75" t="n"/>
      <c r="AX115" s="75" t="n"/>
      <c r="AY115" s="75" t="n"/>
      <c r="AZ115" s="75" t="n"/>
      <c r="BA115" s="75" t="n"/>
      <c r="BB115" s="75" t="n"/>
      <c r="BC115" s="75" t="n"/>
      <c r="BD115" s="75" t="n"/>
      <c r="BE115" s="75" t="n"/>
      <c r="BF115" s="75" t="n"/>
      <c r="BG115" s="75" t="n"/>
      <c r="BH115" s="75" t="n"/>
      <c r="BI115" s="75" t="n"/>
      <c r="BJ115" s="75" t="n"/>
      <c r="BK115" s="75" t="n"/>
      <c r="BL115" s="75" t="n"/>
      <c r="BM115" s="75" t="n"/>
      <c r="BN115" s="75" t="n"/>
      <c r="BO115" s="75" t="n"/>
      <c r="BP115" s="75" t="n"/>
      <c r="BQ115" s="75" t="n"/>
      <c r="BR115" s="75" t="n"/>
      <c r="BS115" s="75" t="n"/>
      <c r="BT115" s="75" t="n"/>
      <c r="BU115" s="75" t="n"/>
      <c r="BV115" s="75" t="n"/>
      <c r="BW115" s="75" t="n"/>
      <c r="BX115" s="75" t="n"/>
      <c r="BY115" s="75" t="n"/>
      <c r="BZ115" s="75" t="n"/>
      <c r="CA115" s="75" t="n"/>
      <c r="CB115" s="75" t="n"/>
      <c r="CC115" s="75" t="n"/>
      <c r="CD115" s="75" t="n"/>
      <c r="CE115" s="75" t="n"/>
      <c r="CF115" s="75" t="n"/>
      <c r="CG115" s="75" t="n"/>
      <c r="CH115" s="75" t="n"/>
      <c r="CI115" s="75" t="n"/>
      <c r="CJ115" s="75" t="n"/>
      <c r="CK115" s="75" t="n"/>
      <c r="CL115" s="75" t="n"/>
      <c r="CM115" s="75" t="n"/>
      <c r="CN115" s="75" t="n"/>
      <c r="CO115" s="75" t="n"/>
      <c r="CP115" s="75" t="n"/>
      <c r="CQ115" s="75" t="n"/>
      <c r="CR115" s="75" t="n"/>
      <c r="CS115" s="75" t="n"/>
      <c r="CT115" s="75" t="n"/>
      <c r="CU115" s="75" t="n"/>
      <c r="CV115" s="75" t="n"/>
      <c r="CW115" s="75" t="n"/>
      <c r="CX115" s="75" t="n"/>
      <c r="CY115" s="75" t="n"/>
      <c r="CZ115" s="75" t="n"/>
    </row>
    <row r="116">
      <c r="B116" s="134">
        <f>IF($A115="",0,COUNT($E116:$CZ116))</f>
        <v/>
      </c>
    </row>
    <row r="117">
      <c r="A117" s="5">
        <f>IF(AS51!$C$61="","",AS51!$C$61)</f>
        <v/>
      </c>
      <c r="B117" s="134">
        <f>IF($A117="",0,COUNT($E117:$CZ117))</f>
        <v/>
      </c>
      <c r="C117" s="135">
        <f>IF($A117="",0,IF($B117=0,0,MAX($E117:$CZ117)))</f>
        <v/>
      </c>
      <c r="D117" s="74">
        <f>BDS($A117,'Field Check'!$C$42,"headers=y","startcol=2","endcol=3","dir=h")</f>
        <v/>
      </c>
      <c r="E117" s="75" t="n"/>
      <c r="F117" s="75" t="n"/>
      <c r="G117" s="75" t="n"/>
      <c r="H117" s="75" t="n"/>
      <c r="I117" s="75" t="n"/>
      <c r="J117" s="75" t="n"/>
      <c r="K117" s="75" t="n"/>
      <c r="L117" s="75" t="n"/>
      <c r="M117" s="75" t="n"/>
      <c r="N117" s="75" t="n"/>
      <c r="O117" s="75" t="n"/>
      <c r="P117" s="75" t="n"/>
      <c r="Q117" s="75" t="n"/>
      <c r="R117" s="75" t="n"/>
      <c r="S117" s="75" t="n"/>
      <c r="T117" s="75" t="n"/>
      <c r="U117" s="75" t="n"/>
      <c r="V117" s="75" t="n"/>
      <c r="W117" s="75" t="n"/>
      <c r="X117" s="75" t="n"/>
      <c r="Y117" s="75" t="n"/>
      <c r="Z117" s="75" t="n"/>
      <c r="AA117" s="75" t="n"/>
      <c r="AB117" s="75" t="n"/>
      <c r="AC117" s="75" t="n"/>
      <c r="AD117" s="75" t="n"/>
      <c r="AE117" s="75" t="n"/>
      <c r="AF117" s="75" t="n"/>
      <c r="AG117" s="75" t="n"/>
      <c r="AH117" s="75" t="n"/>
      <c r="AI117" s="75" t="n"/>
      <c r="AJ117" s="75" t="n"/>
      <c r="AK117" s="75" t="n"/>
      <c r="AL117" s="75" t="n"/>
      <c r="AM117" s="75" t="n"/>
      <c r="AN117" s="75" t="n"/>
      <c r="AO117" s="75" t="n"/>
      <c r="AP117" s="75" t="n"/>
      <c r="AQ117" s="75" t="n"/>
      <c r="AR117" s="75" t="n"/>
      <c r="AS117" s="75" t="n"/>
      <c r="AT117" s="75" t="n"/>
      <c r="AU117" s="75" t="n"/>
      <c r="AV117" s="75" t="n"/>
      <c r="AW117" s="75" t="n"/>
      <c r="AX117" s="75" t="n"/>
      <c r="AY117" s="75" t="n"/>
      <c r="AZ117" s="75" t="n"/>
      <c r="BA117" s="75" t="n"/>
      <c r="BB117" s="75" t="n"/>
      <c r="BC117" s="75" t="n"/>
      <c r="BD117" s="75" t="n"/>
      <c r="BE117" s="75" t="n"/>
      <c r="BF117" s="75" t="n"/>
      <c r="BG117" s="75" t="n"/>
      <c r="BH117" s="75" t="n"/>
      <c r="BI117" s="75" t="n"/>
      <c r="BJ117" s="75" t="n"/>
      <c r="BK117" s="75" t="n"/>
      <c r="BL117" s="75" t="n"/>
      <c r="BM117" s="75" t="n"/>
      <c r="BN117" s="75" t="n"/>
      <c r="BO117" s="75" t="n"/>
      <c r="BP117" s="75" t="n"/>
      <c r="BQ117" s="75" t="n"/>
      <c r="BR117" s="75" t="n"/>
      <c r="BS117" s="75" t="n"/>
      <c r="BT117" s="75" t="n"/>
      <c r="BU117" s="75" t="n"/>
      <c r="BV117" s="75" t="n"/>
      <c r="BW117" s="75" t="n"/>
      <c r="BX117" s="75" t="n"/>
      <c r="BY117" s="75" t="n"/>
      <c r="BZ117" s="75" t="n"/>
      <c r="CA117" s="75" t="n"/>
      <c r="CB117" s="75" t="n"/>
      <c r="CC117" s="75" t="n"/>
      <c r="CD117" s="75" t="n"/>
      <c r="CE117" s="75" t="n"/>
      <c r="CF117" s="75" t="n"/>
      <c r="CG117" s="75" t="n"/>
      <c r="CH117" s="75" t="n"/>
      <c r="CI117" s="75" t="n"/>
      <c r="CJ117" s="75" t="n"/>
      <c r="CK117" s="75" t="n"/>
      <c r="CL117" s="75" t="n"/>
      <c r="CM117" s="75" t="n"/>
      <c r="CN117" s="75" t="n"/>
      <c r="CO117" s="75" t="n"/>
      <c r="CP117" s="75" t="n"/>
      <c r="CQ117" s="75" t="n"/>
      <c r="CR117" s="75" t="n"/>
      <c r="CS117" s="75" t="n"/>
      <c r="CT117" s="75" t="n"/>
      <c r="CU117" s="75" t="n"/>
      <c r="CV117" s="75" t="n"/>
      <c r="CW117" s="75" t="n"/>
      <c r="CX117" s="75" t="n"/>
      <c r="CY117" s="75" t="n"/>
      <c r="CZ117" s="75" t="n"/>
    </row>
    <row r="118">
      <c r="B118" s="134">
        <f>IF($A117="",0,COUNT($E118:$CZ118))</f>
        <v/>
      </c>
    </row>
    <row r="119">
      <c r="A119" s="5">
        <f>IF(AS51!$C$62="","",AS51!$C$62)</f>
        <v/>
      </c>
      <c r="B119" s="134">
        <f>IF($A119="",0,COUNT($E119:$CZ119))</f>
        <v/>
      </c>
      <c r="C119" s="135">
        <f>IF($A119="",0,IF($B119=0,0,MAX($E119:$CZ119)))</f>
        <v/>
      </c>
      <c r="D119" s="74">
        <f>BDS($A119,'Field Check'!$C$42,"headers=y","startcol=2","endcol=3","dir=h")</f>
        <v/>
      </c>
      <c r="E119" s="75" t="n"/>
      <c r="F119" s="75" t="n"/>
      <c r="G119" s="75" t="n"/>
      <c r="H119" s="75" t="n"/>
      <c r="I119" s="75" t="n"/>
      <c r="J119" s="75" t="n"/>
      <c r="K119" s="75" t="n"/>
      <c r="L119" s="75" t="n"/>
      <c r="M119" s="75" t="n"/>
      <c r="N119" s="75" t="n"/>
      <c r="O119" s="75" t="n"/>
      <c r="P119" s="75" t="n"/>
      <c r="Q119" s="75" t="n"/>
      <c r="R119" s="75" t="n"/>
      <c r="S119" s="75" t="n"/>
      <c r="T119" s="75" t="n"/>
      <c r="U119" s="75" t="n"/>
      <c r="V119" s="75" t="n"/>
      <c r="W119" s="75" t="n"/>
      <c r="X119" s="75" t="n"/>
      <c r="Y119" s="75" t="n"/>
      <c r="Z119" s="75" t="n"/>
      <c r="AA119" s="75" t="n"/>
      <c r="AB119" s="75" t="n"/>
      <c r="AC119" s="75" t="n"/>
      <c r="AD119" s="75" t="n"/>
      <c r="AE119" s="75" t="n"/>
      <c r="AF119" s="75" t="n"/>
      <c r="AG119" s="75" t="n"/>
      <c r="AH119" s="75" t="n"/>
      <c r="AI119" s="75" t="n"/>
      <c r="AJ119" s="75" t="n"/>
      <c r="AK119" s="75" t="n"/>
      <c r="AL119" s="75" t="n"/>
      <c r="AM119" s="75" t="n"/>
      <c r="AN119" s="75" t="n"/>
      <c r="AO119" s="75" t="n"/>
      <c r="AP119" s="75" t="n"/>
      <c r="AQ119" s="75" t="n"/>
      <c r="AR119" s="75" t="n"/>
      <c r="AS119" s="75" t="n"/>
      <c r="AT119" s="75" t="n"/>
      <c r="AU119" s="75" t="n"/>
      <c r="AV119" s="75" t="n"/>
      <c r="AW119" s="75" t="n"/>
      <c r="AX119" s="75" t="n"/>
      <c r="AY119" s="75" t="n"/>
      <c r="AZ119" s="75" t="n"/>
      <c r="BA119" s="75" t="n"/>
      <c r="BB119" s="75" t="n"/>
      <c r="BC119" s="75" t="n"/>
      <c r="BD119" s="75" t="n"/>
      <c r="BE119" s="75" t="n"/>
      <c r="BF119" s="75" t="n"/>
      <c r="BG119" s="75" t="n"/>
      <c r="BH119" s="75" t="n"/>
      <c r="BI119" s="75" t="n"/>
      <c r="BJ119" s="75" t="n"/>
      <c r="BK119" s="75" t="n"/>
      <c r="BL119" s="75" t="n"/>
      <c r="BM119" s="75" t="n"/>
      <c r="BN119" s="75" t="n"/>
      <c r="BO119" s="75" t="n"/>
      <c r="BP119" s="75" t="n"/>
      <c r="BQ119" s="75" t="n"/>
      <c r="BR119" s="75" t="n"/>
      <c r="BS119" s="75" t="n"/>
      <c r="BT119" s="75" t="n"/>
      <c r="BU119" s="75" t="n"/>
      <c r="BV119" s="75" t="n"/>
      <c r="BW119" s="75" t="n"/>
      <c r="BX119" s="75" t="n"/>
      <c r="BY119" s="75" t="n"/>
      <c r="BZ119" s="75" t="n"/>
      <c r="CA119" s="75" t="n"/>
      <c r="CB119" s="75" t="n"/>
      <c r="CC119" s="75" t="n"/>
      <c r="CD119" s="75" t="n"/>
      <c r="CE119" s="75" t="n"/>
      <c r="CF119" s="75" t="n"/>
      <c r="CG119" s="75" t="n"/>
      <c r="CH119" s="75" t="n"/>
      <c r="CI119" s="75" t="n"/>
      <c r="CJ119" s="75" t="n"/>
      <c r="CK119" s="75" t="n"/>
      <c r="CL119" s="75" t="n"/>
      <c r="CM119" s="75" t="n"/>
      <c r="CN119" s="75" t="n"/>
      <c r="CO119" s="75" t="n"/>
      <c r="CP119" s="75" t="n"/>
      <c r="CQ119" s="75" t="n"/>
      <c r="CR119" s="75" t="n"/>
      <c r="CS119" s="75" t="n"/>
      <c r="CT119" s="75" t="n"/>
      <c r="CU119" s="75" t="n"/>
      <c r="CV119" s="75" t="n"/>
      <c r="CW119" s="75" t="n"/>
      <c r="CX119" s="75" t="n"/>
      <c r="CY119" s="75" t="n"/>
      <c r="CZ119" s="75" t="n"/>
    </row>
    <row r="120">
      <c r="B120" s="134">
        <f>IF($A119="",0,COUNT($E120:$CZ120))</f>
        <v/>
      </c>
    </row>
    <row r="121">
      <c r="A121" s="5">
        <f>IF(AS51!$C$63="","",AS51!$C$63)</f>
        <v/>
      </c>
      <c r="B121" s="134">
        <f>IF($A121="",0,COUNT($E121:$CZ121))</f>
        <v/>
      </c>
      <c r="C121" s="135">
        <f>IF($A121="",0,IF($B121=0,0,MAX($E121:$CZ121)))</f>
        <v/>
      </c>
      <c r="D121" s="74">
        <f>BDS($A121,'Field Check'!$C$42,"headers=y","startcol=2","endcol=3","dir=h")</f>
        <v/>
      </c>
      <c r="E121" s="75" t="n"/>
      <c r="F121" s="75" t="n"/>
      <c r="G121" s="75" t="n"/>
      <c r="H121" s="75" t="n"/>
      <c r="I121" s="75" t="n"/>
      <c r="J121" s="75" t="n"/>
      <c r="K121" s="75" t="n"/>
      <c r="L121" s="75" t="n"/>
      <c r="M121" s="75" t="n"/>
      <c r="N121" s="75" t="n"/>
      <c r="O121" s="75" t="n"/>
      <c r="P121" s="75" t="n"/>
      <c r="Q121" s="75" t="n"/>
      <c r="R121" s="75" t="n"/>
      <c r="S121" s="75" t="n"/>
      <c r="T121" s="75" t="n"/>
      <c r="U121" s="75" t="n"/>
      <c r="V121" s="75" t="n"/>
      <c r="W121" s="75" t="n"/>
      <c r="X121" s="75" t="n"/>
      <c r="Y121" s="75" t="n"/>
      <c r="Z121" s="75" t="n"/>
      <c r="AA121" s="75" t="n"/>
      <c r="AB121" s="75" t="n"/>
      <c r="AC121" s="75" t="n"/>
      <c r="AD121" s="75" t="n"/>
      <c r="AE121" s="75" t="n"/>
      <c r="AF121" s="75" t="n"/>
      <c r="AG121" s="75" t="n"/>
      <c r="AH121" s="75" t="n"/>
      <c r="AI121" s="75" t="n"/>
      <c r="AJ121" s="75" t="n"/>
      <c r="AK121" s="75" t="n"/>
      <c r="AL121" s="75" t="n"/>
      <c r="AM121" s="75" t="n"/>
      <c r="AN121" s="75" t="n"/>
      <c r="AO121" s="75" t="n"/>
      <c r="AP121" s="75" t="n"/>
      <c r="AQ121" s="75" t="n"/>
      <c r="AR121" s="75" t="n"/>
      <c r="AS121" s="75" t="n"/>
      <c r="AT121" s="75" t="n"/>
      <c r="AU121" s="75" t="n"/>
      <c r="AV121" s="75" t="n"/>
      <c r="AW121" s="75" t="n"/>
      <c r="AX121" s="75" t="n"/>
      <c r="AY121" s="75" t="n"/>
      <c r="AZ121" s="75" t="n"/>
      <c r="BA121" s="75" t="n"/>
      <c r="BB121" s="75" t="n"/>
      <c r="BC121" s="75" t="n"/>
      <c r="BD121" s="75" t="n"/>
      <c r="BE121" s="75" t="n"/>
      <c r="BF121" s="75" t="n"/>
      <c r="BG121" s="75" t="n"/>
      <c r="BH121" s="75" t="n"/>
      <c r="BI121" s="75" t="n"/>
      <c r="BJ121" s="75" t="n"/>
      <c r="BK121" s="75" t="n"/>
      <c r="BL121" s="75" t="n"/>
      <c r="BM121" s="75" t="n"/>
      <c r="BN121" s="75" t="n"/>
      <c r="BO121" s="75" t="n"/>
      <c r="BP121" s="75" t="n"/>
      <c r="BQ121" s="75" t="n"/>
      <c r="BR121" s="75" t="n"/>
      <c r="BS121" s="75" t="n"/>
      <c r="BT121" s="75" t="n"/>
      <c r="BU121" s="75" t="n"/>
      <c r="BV121" s="75" t="n"/>
      <c r="BW121" s="75" t="n"/>
      <c r="BX121" s="75" t="n"/>
      <c r="BY121" s="75" t="n"/>
      <c r="BZ121" s="75" t="n"/>
      <c r="CA121" s="75" t="n"/>
      <c r="CB121" s="75" t="n"/>
      <c r="CC121" s="75" t="n"/>
      <c r="CD121" s="75" t="n"/>
      <c r="CE121" s="75" t="n"/>
      <c r="CF121" s="75" t="n"/>
      <c r="CG121" s="75" t="n"/>
      <c r="CH121" s="75" t="n"/>
      <c r="CI121" s="75" t="n"/>
      <c r="CJ121" s="75" t="n"/>
      <c r="CK121" s="75" t="n"/>
      <c r="CL121" s="75" t="n"/>
      <c r="CM121" s="75" t="n"/>
      <c r="CN121" s="75" t="n"/>
      <c r="CO121" s="75" t="n"/>
      <c r="CP121" s="75" t="n"/>
      <c r="CQ121" s="75" t="n"/>
      <c r="CR121" s="75" t="n"/>
      <c r="CS121" s="75" t="n"/>
      <c r="CT121" s="75" t="n"/>
      <c r="CU121" s="75" t="n"/>
      <c r="CV121" s="75" t="n"/>
      <c r="CW121" s="75" t="n"/>
      <c r="CX121" s="75" t="n"/>
      <c r="CY121" s="75" t="n"/>
      <c r="CZ121" s="75" t="n"/>
    </row>
    <row r="122">
      <c r="B122" s="134">
        <f>IF($A121="",0,COUNT($E122:$CZ122))</f>
        <v/>
      </c>
    </row>
    <row r="123">
      <c r="A123" s="5">
        <f>IF(AS51!$C$64="","",AS51!$C$64)</f>
        <v/>
      </c>
      <c r="B123" s="134">
        <f>IF($A123="",0,COUNT($E123:$CZ123))</f>
        <v/>
      </c>
      <c r="C123" s="135">
        <f>IF($A123="",0,IF($B123=0,0,MAX($E123:$CZ123)))</f>
        <v/>
      </c>
      <c r="D123" s="74">
        <f>BDS($A123,'Field Check'!$C$42,"headers=y","startcol=2","endcol=3","dir=h")</f>
        <v/>
      </c>
      <c r="E123" s="75" t="n"/>
      <c r="F123" s="75" t="n"/>
      <c r="G123" s="75" t="n"/>
      <c r="H123" s="75" t="n"/>
      <c r="I123" s="75" t="n"/>
      <c r="J123" s="75" t="n"/>
      <c r="K123" s="75" t="n"/>
      <c r="L123" s="75" t="n"/>
      <c r="M123" s="75" t="n"/>
      <c r="N123" s="75" t="n"/>
      <c r="O123" s="75" t="n"/>
      <c r="P123" s="75" t="n"/>
      <c r="Q123" s="75" t="n"/>
      <c r="R123" s="75" t="n"/>
      <c r="S123" s="75" t="n"/>
      <c r="T123" s="75" t="n"/>
      <c r="U123" s="75" t="n"/>
      <c r="V123" s="75" t="n"/>
      <c r="W123" s="75" t="n"/>
      <c r="X123" s="75" t="n"/>
      <c r="Y123" s="75" t="n"/>
      <c r="Z123" s="75" t="n"/>
      <c r="AA123" s="75" t="n"/>
      <c r="AB123" s="75" t="n"/>
      <c r="AC123" s="75" t="n"/>
      <c r="AD123" s="75" t="n"/>
      <c r="AE123" s="75" t="n"/>
      <c r="AF123" s="75" t="n"/>
      <c r="AG123" s="75" t="n"/>
      <c r="AH123" s="75" t="n"/>
      <c r="AI123" s="75" t="n"/>
      <c r="AJ123" s="75" t="n"/>
      <c r="AK123" s="75" t="n"/>
      <c r="AL123" s="75" t="n"/>
      <c r="AM123" s="75" t="n"/>
      <c r="AN123" s="75" t="n"/>
      <c r="AO123" s="75" t="n"/>
      <c r="AP123" s="75" t="n"/>
      <c r="AQ123" s="75" t="n"/>
      <c r="AR123" s="75" t="n"/>
      <c r="AS123" s="75" t="n"/>
      <c r="AT123" s="75" t="n"/>
      <c r="AU123" s="75" t="n"/>
      <c r="AV123" s="75" t="n"/>
      <c r="AW123" s="75" t="n"/>
      <c r="AX123" s="75" t="n"/>
      <c r="AY123" s="75" t="n"/>
      <c r="AZ123" s="75" t="n"/>
      <c r="BA123" s="75" t="n"/>
      <c r="BB123" s="75" t="n"/>
      <c r="BC123" s="75" t="n"/>
      <c r="BD123" s="75" t="n"/>
      <c r="BE123" s="75" t="n"/>
      <c r="BF123" s="75" t="n"/>
      <c r="BG123" s="75" t="n"/>
      <c r="BH123" s="75" t="n"/>
      <c r="BI123" s="75" t="n"/>
      <c r="BJ123" s="75" t="n"/>
      <c r="BK123" s="75" t="n"/>
      <c r="BL123" s="75" t="n"/>
      <c r="BM123" s="75" t="n"/>
      <c r="BN123" s="75" t="n"/>
      <c r="BO123" s="75" t="n"/>
      <c r="BP123" s="75" t="n"/>
      <c r="BQ123" s="75" t="n"/>
      <c r="BR123" s="75" t="n"/>
      <c r="BS123" s="75" t="n"/>
      <c r="BT123" s="75" t="n"/>
      <c r="BU123" s="75" t="n"/>
      <c r="BV123" s="75" t="n"/>
      <c r="BW123" s="75" t="n"/>
      <c r="BX123" s="75" t="n"/>
      <c r="BY123" s="75" t="n"/>
      <c r="BZ123" s="75" t="n"/>
      <c r="CA123" s="75" t="n"/>
      <c r="CB123" s="75" t="n"/>
      <c r="CC123" s="75" t="n"/>
      <c r="CD123" s="75" t="n"/>
      <c r="CE123" s="75" t="n"/>
      <c r="CF123" s="75" t="n"/>
      <c r="CG123" s="75" t="n"/>
      <c r="CH123" s="75" t="n"/>
      <c r="CI123" s="75" t="n"/>
      <c r="CJ123" s="75" t="n"/>
      <c r="CK123" s="75" t="n"/>
      <c r="CL123" s="75" t="n"/>
      <c r="CM123" s="75" t="n"/>
      <c r="CN123" s="75" t="n"/>
      <c r="CO123" s="75" t="n"/>
      <c r="CP123" s="75" t="n"/>
      <c r="CQ123" s="75" t="n"/>
      <c r="CR123" s="75" t="n"/>
      <c r="CS123" s="75" t="n"/>
      <c r="CT123" s="75" t="n"/>
      <c r="CU123" s="75" t="n"/>
      <c r="CV123" s="75" t="n"/>
      <c r="CW123" s="75" t="n"/>
      <c r="CX123" s="75" t="n"/>
      <c r="CY123" s="75" t="n"/>
      <c r="CZ123" s="75" t="n"/>
    </row>
    <row r="124">
      <c r="B124" s="134">
        <f>IF($A123="",0,COUNT($E124:$CZ124))</f>
        <v/>
      </c>
    </row>
    <row r="125">
      <c r="A125" s="5">
        <f>IF(AS51!$C$65="","",AS51!$C$65)</f>
        <v/>
      </c>
      <c r="B125" s="134">
        <f>IF($A125="",0,COUNT($E125:$CZ125))</f>
        <v/>
      </c>
      <c r="C125" s="135">
        <f>IF($A125="",0,IF($B125=0,0,MAX($E125:$CZ125)))</f>
        <v/>
      </c>
      <c r="D125" s="74">
        <f>BDS($A125,'Field Check'!$C$42,"headers=y","startcol=2","endcol=3","dir=h")</f>
        <v/>
      </c>
      <c r="E125" s="75" t="n"/>
      <c r="F125" s="75" t="n"/>
      <c r="G125" s="75" t="n"/>
      <c r="H125" s="75" t="n"/>
      <c r="I125" s="75" t="n"/>
      <c r="J125" s="75" t="n"/>
      <c r="K125" s="75" t="n"/>
      <c r="L125" s="75" t="n"/>
      <c r="M125" s="75" t="n"/>
      <c r="N125" s="75" t="n"/>
      <c r="O125" s="75" t="n"/>
      <c r="P125" s="75" t="n"/>
      <c r="Q125" s="75" t="n"/>
      <c r="R125" s="75" t="n"/>
      <c r="S125" s="75" t="n"/>
      <c r="T125" s="75" t="n"/>
      <c r="U125" s="75" t="n"/>
      <c r="V125" s="75" t="n"/>
      <c r="W125" s="75" t="n"/>
      <c r="X125" s="75" t="n"/>
      <c r="Y125" s="75" t="n"/>
      <c r="Z125" s="75" t="n"/>
      <c r="AA125" s="75" t="n"/>
      <c r="AB125" s="75" t="n"/>
      <c r="AC125" s="75" t="n"/>
      <c r="AD125" s="75" t="n"/>
      <c r="AE125" s="75" t="n"/>
      <c r="AF125" s="75" t="n"/>
      <c r="AG125" s="75" t="n"/>
      <c r="AH125" s="75" t="n"/>
      <c r="AI125" s="75" t="n"/>
      <c r="AJ125" s="75" t="n"/>
      <c r="AK125" s="75" t="n"/>
      <c r="AL125" s="75" t="n"/>
      <c r="AM125" s="75" t="n"/>
      <c r="AN125" s="75" t="n"/>
      <c r="AO125" s="75" t="n"/>
      <c r="AP125" s="75" t="n"/>
      <c r="AQ125" s="75" t="n"/>
      <c r="AR125" s="75" t="n"/>
      <c r="AS125" s="75" t="n"/>
      <c r="AT125" s="75" t="n"/>
      <c r="AU125" s="75" t="n"/>
      <c r="AV125" s="75" t="n"/>
      <c r="AW125" s="75" t="n"/>
      <c r="AX125" s="75" t="n"/>
      <c r="AY125" s="75" t="n"/>
      <c r="AZ125" s="75" t="n"/>
      <c r="BA125" s="75" t="n"/>
      <c r="BB125" s="75" t="n"/>
      <c r="BC125" s="75" t="n"/>
      <c r="BD125" s="75" t="n"/>
      <c r="BE125" s="75" t="n"/>
      <c r="BF125" s="75" t="n"/>
      <c r="BG125" s="75" t="n"/>
      <c r="BH125" s="75" t="n"/>
      <c r="BI125" s="75" t="n"/>
      <c r="BJ125" s="75" t="n"/>
      <c r="BK125" s="75" t="n"/>
      <c r="BL125" s="75" t="n"/>
      <c r="BM125" s="75" t="n"/>
      <c r="BN125" s="75" t="n"/>
      <c r="BO125" s="75" t="n"/>
      <c r="BP125" s="75" t="n"/>
      <c r="BQ125" s="75" t="n"/>
      <c r="BR125" s="75" t="n"/>
      <c r="BS125" s="75" t="n"/>
      <c r="BT125" s="75" t="n"/>
      <c r="BU125" s="75" t="n"/>
      <c r="BV125" s="75" t="n"/>
      <c r="BW125" s="75" t="n"/>
      <c r="BX125" s="75" t="n"/>
      <c r="BY125" s="75" t="n"/>
      <c r="BZ125" s="75" t="n"/>
      <c r="CA125" s="75" t="n"/>
      <c r="CB125" s="75" t="n"/>
      <c r="CC125" s="75" t="n"/>
      <c r="CD125" s="75" t="n"/>
      <c r="CE125" s="75" t="n"/>
      <c r="CF125" s="75" t="n"/>
      <c r="CG125" s="75" t="n"/>
      <c r="CH125" s="75" t="n"/>
      <c r="CI125" s="75" t="n"/>
      <c r="CJ125" s="75" t="n"/>
      <c r="CK125" s="75" t="n"/>
      <c r="CL125" s="75" t="n"/>
      <c r="CM125" s="75" t="n"/>
      <c r="CN125" s="75" t="n"/>
      <c r="CO125" s="75" t="n"/>
      <c r="CP125" s="75" t="n"/>
      <c r="CQ125" s="75" t="n"/>
      <c r="CR125" s="75" t="n"/>
      <c r="CS125" s="75" t="n"/>
      <c r="CT125" s="75" t="n"/>
      <c r="CU125" s="75" t="n"/>
      <c r="CV125" s="75" t="n"/>
      <c r="CW125" s="75" t="n"/>
      <c r="CX125" s="75" t="n"/>
      <c r="CY125" s="75" t="n"/>
      <c r="CZ125" s="75" t="n"/>
    </row>
    <row r="126">
      <c r="B126" s="134">
        <f>IF($A125="",0,COUNT($E126:$CZ126))</f>
        <v/>
      </c>
    </row>
    <row r="127">
      <c r="A127" s="5">
        <f>IF(AS51!$C$66="","",AS51!$C$66)</f>
        <v/>
      </c>
      <c r="B127" s="134">
        <f>IF($A127="",0,COUNT($E127:$CZ127))</f>
        <v/>
      </c>
      <c r="C127" s="135">
        <f>IF($A127="",0,IF($B127=0,0,MAX($E127:$CZ127)))</f>
        <v/>
      </c>
      <c r="D127" s="74">
        <f>BDS($A127,'Field Check'!$C$42,"headers=y","startcol=2","endcol=3","dir=h")</f>
        <v/>
      </c>
      <c r="E127" s="75" t="n"/>
      <c r="F127" s="75" t="n"/>
      <c r="G127" s="75" t="n"/>
      <c r="H127" s="75" t="n"/>
      <c r="I127" s="75" t="n"/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  <c r="V127" s="75" t="n"/>
      <c r="W127" s="75" t="n"/>
      <c r="X127" s="75" t="n"/>
      <c r="Y127" s="75" t="n"/>
      <c r="Z127" s="75" t="n"/>
      <c r="AA127" s="75" t="n"/>
      <c r="AB127" s="75" t="n"/>
      <c r="AC127" s="75" t="n"/>
      <c r="AD127" s="75" t="n"/>
      <c r="AE127" s="75" t="n"/>
      <c r="AF127" s="75" t="n"/>
      <c r="AG127" s="75" t="n"/>
      <c r="AH127" s="75" t="n"/>
      <c r="AI127" s="75" t="n"/>
      <c r="AJ127" s="75" t="n"/>
      <c r="AK127" s="75" t="n"/>
      <c r="AL127" s="75" t="n"/>
      <c r="AM127" s="75" t="n"/>
      <c r="AN127" s="75" t="n"/>
      <c r="AO127" s="75" t="n"/>
      <c r="AP127" s="75" t="n"/>
      <c r="AQ127" s="75" t="n"/>
      <c r="AR127" s="75" t="n"/>
      <c r="AS127" s="75" t="n"/>
      <c r="AT127" s="75" t="n"/>
      <c r="AU127" s="75" t="n"/>
      <c r="AV127" s="75" t="n"/>
      <c r="AW127" s="75" t="n"/>
      <c r="AX127" s="75" t="n"/>
      <c r="AY127" s="75" t="n"/>
      <c r="AZ127" s="75" t="n"/>
      <c r="BA127" s="75" t="n"/>
      <c r="BB127" s="75" t="n"/>
      <c r="BC127" s="75" t="n"/>
      <c r="BD127" s="75" t="n"/>
      <c r="BE127" s="75" t="n"/>
      <c r="BF127" s="75" t="n"/>
      <c r="BG127" s="75" t="n"/>
      <c r="BH127" s="75" t="n"/>
      <c r="BI127" s="75" t="n"/>
      <c r="BJ127" s="75" t="n"/>
      <c r="BK127" s="75" t="n"/>
      <c r="BL127" s="75" t="n"/>
      <c r="BM127" s="75" t="n"/>
      <c r="BN127" s="75" t="n"/>
      <c r="BO127" s="75" t="n"/>
      <c r="BP127" s="75" t="n"/>
      <c r="BQ127" s="75" t="n"/>
      <c r="BR127" s="75" t="n"/>
      <c r="BS127" s="75" t="n"/>
      <c r="BT127" s="75" t="n"/>
      <c r="BU127" s="75" t="n"/>
      <c r="BV127" s="75" t="n"/>
      <c r="BW127" s="75" t="n"/>
      <c r="BX127" s="75" t="n"/>
      <c r="BY127" s="75" t="n"/>
      <c r="BZ127" s="75" t="n"/>
      <c r="CA127" s="75" t="n"/>
      <c r="CB127" s="75" t="n"/>
      <c r="CC127" s="75" t="n"/>
      <c r="CD127" s="75" t="n"/>
      <c r="CE127" s="75" t="n"/>
      <c r="CF127" s="75" t="n"/>
      <c r="CG127" s="75" t="n"/>
      <c r="CH127" s="75" t="n"/>
      <c r="CI127" s="75" t="n"/>
      <c r="CJ127" s="75" t="n"/>
      <c r="CK127" s="75" t="n"/>
      <c r="CL127" s="75" t="n"/>
      <c r="CM127" s="75" t="n"/>
      <c r="CN127" s="75" t="n"/>
      <c r="CO127" s="75" t="n"/>
      <c r="CP127" s="75" t="n"/>
      <c r="CQ127" s="75" t="n"/>
      <c r="CR127" s="75" t="n"/>
      <c r="CS127" s="75" t="n"/>
      <c r="CT127" s="75" t="n"/>
      <c r="CU127" s="75" t="n"/>
      <c r="CV127" s="75" t="n"/>
      <c r="CW127" s="75" t="n"/>
      <c r="CX127" s="75" t="n"/>
      <c r="CY127" s="75" t="n"/>
      <c r="CZ127" s="75" t="n"/>
    </row>
    <row r="128">
      <c r="B128" s="134">
        <f>IF($A127="",0,COUNT($E128:$CZ128))</f>
        <v/>
      </c>
    </row>
    <row r="129">
      <c r="A129" s="5">
        <f>IF(AS51!$C$67="","",AS51!$C$67)</f>
        <v/>
      </c>
      <c r="B129" s="134">
        <f>IF($A129="",0,COUNT($E129:$CZ129))</f>
        <v/>
      </c>
      <c r="C129" s="135">
        <f>IF($A129="",0,IF($B129=0,0,MAX($E129:$CZ129)))</f>
        <v/>
      </c>
      <c r="D129" s="74">
        <f>BDS($A129,'Field Check'!$C$42,"headers=y","startcol=2","endcol=3","dir=h")</f>
        <v/>
      </c>
      <c r="E129" s="75" t="n"/>
      <c r="F129" s="75" t="n"/>
      <c r="G129" s="75" t="n"/>
      <c r="H129" s="75" t="n"/>
      <c r="I129" s="75" t="n"/>
      <c r="J129" s="75" t="n"/>
      <c r="K129" s="75" t="n"/>
      <c r="L129" s="75" t="n"/>
      <c r="M129" s="75" t="n"/>
      <c r="N129" s="75" t="n"/>
      <c r="O129" s="75" t="n"/>
      <c r="P129" s="75" t="n"/>
      <c r="Q129" s="75" t="n"/>
      <c r="R129" s="75" t="n"/>
      <c r="S129" s="75" t="n"/>
      <c r="T129" s="75" t="n"/>
      <c r="U129" s="75" t="n"/>
      <c r="V129" s="75" t="n"/>
      <c r="W129" s="75" t="n"/>
      <c r="X129" s="75" t="n"/>
      <c r="Y129" s="75" t="n"/>
      <c r="Z129" s="75" t="n"/>
      <c r="AA129" s="75" t="n"/>
      <c r="AB129" s="75" t="n"/>
      <c r="AC129" s="75" t="n"/>
      <c r="AD129" s="75" t="n"/>
      <c r="AE129" s="75" t="n"/>
      <c r="AF129" s="75" t="n"/>
      <c r="AG129" s="75" t="n"/>
      <c r="AH129" s="75" t="n"/>
      <c r="AI129" s="75" t="n"/>
      <c r="AJ129" s="75" t="n"/>
      <c r="AK129" s="75" t="n"/>
      <c r="AL129" s="75" t="n"/>
      <c r="AM129" s="75" t="n"/>
      <c r="AN129" s="75" t="n"/>
      <c r="AO129" s="75" t="n"/>
      <c r="AP129" s="75" t="n"/>
      <c r="AQ129" s="75" t="n"/>
      <c r="AR129" s="75" t="n"/>
      <c r="AS129" s="75" t="n"/>
      <c r="AT129" s="75" t="n"/>
      <c r="AU129" s="75" t="n"/>
      <c r="AV129" s="75" t="n"/>
      <c r="AW129" s="75" t="n"/>
      <c r="AX129" s="75" t="n"/>
      <c r="AY129" s="75" t="n"/>
      <c r="AZ129" s="75" t="n"/>
      <c r="BA129" s="75" t="n"/>
      <c r="BB129" s="75" t="n"/>
      <c r="BC129" s="75" t="n"/>
      <c r="BD129" s="75" t="n"/>
      <c r="BE129" s="75" t="n"/>
      <c r="BF129" s="75" t="n"/>
      <c r="BG129" s="75" t="n"/>
      <c r="BH129" s="75" t="n"/>
      <c r="BI129" s="75" t="n"/>
      <c r="BJ129" s="75" t="n"/>
      <c r="BK129" s="75" t="n"/>
      <c r="BL129" s="75" t="n"/>
      <c r="BM129" s="75" t="n"/>
      <c r="BN129" s="75" t="n"/>
      <c r="BO129" s="75" t="n"/>
      <c r="BP129" s="75" t="n"/>
      <c r="BQ129" s="75" t="n"/>
      <c r="BR129" s="75" t="n"/>
      <c r="BS129" s="75" t="n"/>
      <c r="BT129" s="75" t="n"/>
      <c r="BU129" s="75" t="n"/>
      <c r="BV129" s="75" t="n"/>
      <c r="BW129" s="75" t="n"/>
      <c r="BX129" s="75" t="n"/>
      <c r="BY129" s="75" t="n"/>
      <c r="BZ129" s="75" t="n"/>
      <c r="CA129" s="75" t="n"/>
      <c r="CB129" s="75" t="n"/>
      <c r="CC129" s="75" t="n"/>
      <c r="CD129" s="75" t="n"/>
      <c r="CE129" s="75" t="n"/>
      <c r="CF129" s="75" t="n"/>
      <c r="CG129" s="75" t="n"/>
      <c r="CH129" s="75" t="n"/>
      <c r="CI129" s="75" t="n"/>
      <c r="CJ129" s="75" t="n"/>
      <c r="CK129" s="75" t="n"/>
      <c r="CL129" s="75" t="n"/>
      <c r="CM129" s="75" t="n"/>
      <c r="CN129" s="75" t="n"/>
      <c r="CO129" s="75" t="n"/>
      <c r="CP129" s="75" t="n"/>
      <c r="CQ129" s="75" t="n"/>
      <c r="CR129" s="75" t="n"/>
      <c r="CS129" s="75" t="n"/>
      <c r="CT129" s="75" t="n"/>
      <c r="CU129" s="75" t="n"/>
      <c r="CV129" s="75" t="n"/>
      <c r="CW129" s="75" t="n"/>
      <c r="CX129" s="75" t="n"/>
      <c r="CY129" s="75" t="n"/>
      <c r="CZ129" s="75" t="n"/>
    </row>
    <row r="130">
      <c r="B130" s="134">
        <f>IF($A129="",0,COUNT($E130:$CZ130))</f>
        <v/>
      </c>
    </row>
    <row r="131">
      <c r="A131" s="5">
        <f>IF(AS51!$C$68="","",AS51!$C$68)</f>
        <v/>
      </c>
      <c r="B131" s="134">
        <f>IF($A131="",0,COUNT($E131:$CZ131))</f>
        <v/>
      </c>
      <c r="C131" s="135">
        <f>IF($A131="",0,IF($B131=0,0,MAX($E131:$CZ131)))</f>
        <v/>
      </c>
      <c r="D131" s="74">
        <f>BDS($A131,'Field Check'!$C$42,"headers=y","startcol=2","endcol=3","dir=h")</f>
        <v/>
      </c>
      <c r="E131" s="75" t="n"/>
      <c r="F131" s="75" t="n"/>
      <c r="G131" s="75" t="n"/>
      <c r="H131" s="75" t="n"/>
      <c r="I131" s="75" t="n"/>
      <c r="J131" s="75" t="n"/>
      <c r="K131" s="75" t="n"/>
      <c r="L131" s="75" t="n"/>
      <c r="M131" s="75" t="n"/>
      <c r="N131" s="75" t="n"/>
      <c r="O131" s="75" t="n"/>
      <c r="P131" s="75" t="n"/>
      <c r="Q131" s="75" t="n"/>
      <c r="R131" s="75" t="n"/>
      <c r="S131" s="75" t="n"/>
      <c r="T131" s="75" t="n"/>
      <c r="U131" s="75" t="n"/>
      <c r="V131" s="75" t="n"/>
      <c r="W131" s="75" t="n"/>
      <c r="X131" s="75" t="n"/>
      <c r="Y131" s="75" t="n"/>
      <c r="Z131" s="75" t="n"/>
      <c r="AA131" s="75" t="n"/>
      <c r="AB131" s="75" t="n"/>
      <c r="AC131" s="75" t="n"/>
      <c r="AD131" s="75" t="n"/>
      <c r="AE131" s="75" t="n"/>
      <c r="AF131" s="75" t="n"/>
      <c r="AG131" s="75" t="n"/>
      <c r="AH131" s="75" t="n"/>
      <c r="AI131" s="75" t="n"/>
      <c r="AJ131" s="75" t="n"/>
      <c r="AK131" s="75" t="n"/>
      <c r="AL131" s="75" t="n"/>
      <c r="AM131" s="75" t="n"/>
      <c r="AN131" s="75" t="n"/>
      <c r="AO131" s="75" t="n"/>
      <c r="AP131" s="75" t="n"/>
      <c r="AQ131" s="75" t="n"/>
      <c r="AR131" s="75" t="n"/>
      <c r="AS131" s="75" t="n"/>
      <c r="AT131" s="75" t="n"/>
      <c r="AU131" s="75" t="n"/>
      <c r="AV131" s="75" t="n"/>
      <c r="AW131" s="75" t="n"/>
      <c r="AX131" s="75" t="n"/>
      <c r="AY131" s="75" t="n"/>
      <c r="AZ131" s="75" t="n"/>
      <c r="BA131" s="75" t="n"/>
      <c r="BB131" s="75" t="n"/>
      <c r="BC131" s="75" t="n"/>
      <c r="BD131" s="75" t="n"/>
      <c r="BE131" s="75" t="n"/>
      <c r="BF131" s="75" t="n"/>
      <c r="BG131" s="75" t="n"/>
      <c r="BH131" s="75" t="n"/>
      <c r="BI131" s="75" t="n"/>
      <c r="BJ131" s="75" t="n"/>
      <c r="BK131" s="75" t="n"/>
      <c r="BL131" s="75" t="n"/>
      <c r="BM131" s="75" t="n"/>
      <c r="BN131" s="75" t="n"/>
      <c r="BO131" s="75" t="n"/>
      <c r="BP131" s="75" t="n"/>
      <c r="BQ131" s="75" t="n"/>
      <c r="BR131" s="75" t="n"/>
      <c r="BS131" s="75" t="n"/>
      <c r="BT131" s="75" t="n"/>
      <c r="BU131" s="75" t="n"/>
      <c r="BV131" s="75" t="n"/>
      <c r="BW131" s="75" t="n"/>
      <c r="BX131" s="75" t="n"/>
      <c r="BY131" s="75" t="n"/>
      <c r="BZ131" s="75" t="n"/>
      <c r="CA131" s="75" t="n"/>
      <c r="CB131" s="75" t="n"/>
      <c r="CC131" s="75" t="n"/>
      <c r="CD131" s="75" t="n"/>
      <c r="CE131" s="75" t="n"/>
      <c r="CF131" s="75" t="n"/>
      <c r="CG131" s="75" t="n"/>
      <c r="CH131" s="75" t="n"/>
      <c r="CI131" s="75" t="n"/>
      <c r="CJ131" s="75" t="n"/>
      <c r="CK131" s="75" t="n"/>
      <c r="CL131" s="75" t="n"/>
      <c r="CM131" s="75" t="n"/>
      <c r="CN131" s="75" t="n"/>
      <c r="CO131" s="75" t="n"/>
      <c r="CP131" s="75" t="n"/>
      <c r="CQ131" s="75" t="n"/>
      <c r="CR131" s="75" t="n"/>
      <c r="CS131" s="75" t="n"/>
      <c r="CT131" s="75" t="n"/>
      <c r="CU131" s="75" t="n"/>
      <c r="CV131" s="75" t="n"/>
      <c r="CW131" s="75" t="n"/>
      <c r="CX131" s="75" t="n"/>
      <c r="CY131" s="75" t="n"/>
      <c r="CZ131" s="75" t="n"/>
    </row>
    <row r="132">
      <c r="B132" s="134">
        <f>IF($A131="",0,COUNT($E132:$CZ132))</f>
        <v/>
      </c>
    </row>
    <row r="133">
      <c r="A133" s="5">
        <f>IF(AS51!$C$69="","",AS51!$C$69)</f>
        <v/>
      </c>
      <c r="B133" s="134">
        <f>IF($A133="",0,COUNT($E133:$CZ133))</f>
        <v/>
      </c>
      <c r="C133" s="135">
        <f>IF($A133="",0,IF($B133=0,0,MAX($E133:$CZ133)))</f>
        <v/>
      </c>
      <c r="D133" s="74">
        <f>BDS($A133,'Field Check'!$C$42,"headers=y","startcol=2","endcol=3","dir=h")</f>
        <v/>
      </c>
      <c r="E133" s="75" t="n"/>
      <c r="F133" s="75" t="n"/>
      <c r="G133" s="75" t="n"/>
      <c r="H133" s="75" t="n"/>
      <c r="I133" s="75" t="n"/>
      <c r="J133" s="75" t="n"/>
      <c r="K133" s="75" t="n"/>
      <c r="L133" s="75" t="n"/>
      <c r="M133" s="75" t="n"/>
      <c r="N133" s="75" t="n"/>
      <c r="O133" s="75" t="n"/>
      <c r="P133" s="75" t="n"/>
      <c r="Q133" s="75" t="n"/>
      <c r="R133" s="75" t="n"/>
      <c r="S133" s="75" t="n"/>
      <c r="T133" s="75" t="n"/>
      <c r="U133" s="75" t="n"/>
      <c r="V133" s="75" t="n"/>
      <c r="W133" s="75" t="n"/>
      <c r="X133" s="75" t="n"/>
      <c r="Y133" s="75" t="n"/>
      <c r="Z133" s="75" t="n"/>
      <c r="AA133" s="75" t="n"/>
      <c r="AB133" s="75" t="n"/>
      <c r="AC133" s="75" t="n"/>
      <c r="AD133" s="75" t="n"/>
      <c r="AE133" s="75" t="n"/>
      <c r="AF133" s="75" t="n"/>
      <c r="AG133" s="75" t="n"/>
      <c r="AH133" s="75" t="n"/>
      <c r="AI133" s="75" t="n"/>
      <c r="AJ133" s="75" t="n"/>
      <c r="AK133" s="75" t="n"/>
      <c r="AL133" s="75" t="n"/>
      <c r="AM133" s="75" t="n"/>
      <c r="AN133" s="75" t="n"/>
      <c r="AO133" s="75" t="n"/>
      <c r="AP133" s="75" t="n"/>
      <c r="AQ133" s="75" t="n"/>
      <c r="AR133" s="75" t="n"/>
      <c r="AS133" s="75" t="n"/>
      <c r="AT133" s="75" t="n"/>
      <c r="AU133" s="75" t="n"/>
      <c r="AV133" s="75" t="n"/>
      <c r="AW133" s="75" t="n"/>
      <c r="AX133" s="75" t="n"/>
      <c r="AY133" s="75" t="n"/>
      <c r="AZ133" s="75" t="n"/>
      <c r="BA133" s="75" t="n"/>
      <c r="BB133" s="75" t="n"/>
      <c r="BC133" s="75" t="n"/>
      <c r="BD133" s="75" t="n"/>
      <c r="BE133" s="75" t="n"/>
      <c r="BF133" s="75" t="n"/>
      <c r="BG133" s="75" t="n"/>
      <c r="BH133" s="75" t="n"/>
      <c r="BI133" s="75" t="n"/>
      <c r="BJ133" s="75" t="n"/>
      <c r="BK133" s="75" t="n"/>
      <c r="BL133" s="75" t="n"/>
      <c r="BM133" s="75" t="n"/>
      <c r="BN133" s="75" t="n"/>
      <c r="BO133" s="75" t="n"/>
      <c r="BP133" s="75" t="n"/>
      <c r="BQ133" s="75" t="n"/>
      <c r="BR133" s="75" t="n"/>
      <c r="BS133" s="75" t="n"/>
      <c r="BT133" s="75" t="n"/>
      <c r="BU133" s="75" t="n"/>
      <c r="BV133" s="75" t="n"/>
      <c r="BW133" s="75" t="n"/>
      <c r="BX133" s="75" t="n"/>
      <c r="BY133" s="75" t="n"/>
      <c r="BZ133" s="75" t="n"/>
      <c r="CA133" s="75" t="n"/>
      <c r="CB133" s="75" t="n"/>
      <c r="CC133" s="75" t="n"/>
      <c r="CD133" s="75" t="n"/>
      <c r="CE133" s="75" t="n"/>
      <c r="CF133" s="75" t="n"/>
      <c r="CG133" s="75" t="n"/>
      <c r="CH133" s="75" t="n"/>
      <c r="CI133" s="75" t="n"/>
      <c r="CJ133" s="75" t="n"/>
      <c r="CK133" s="75" t="n"/>
      <c r="CL133" s="75" t="n"/>
      <c r="CM133" s="75" t="n"/>
      <c r="CN133" s="75" t="n"/>
      <c r="CO133" s="75" t="n"/>
      <c r="CP133" s="75" t="n"/>
      <c r="CQ133" s="75" t="n"/>
      <c r="CR133" s="75" t="n"/>
      <c r="CS133" s="75" t="n"/>
      <c r="CT133" s="75" t="n"/>
      <c r="CU133" s="75" t="n"/>
      <c r="CV133" s="75" t="n"/>
      <c r="CW133" s="75" t="n"/>
      <c r="CX133" s="75" t="n"/>
      <c r="CY133" s="75" t="n"/>
      <c r="CZ133" s="75" t="n"/>
    </row>
    <row r="134">
      <c r="B134" s="134">
        <f>IF($A133="",0,COUNT($E134:$CZ134))</f>
        <v/>
      </c>
    </row>
    <row r="135">
      <c r="A135" s="5">
        <f>IF(AS51!$C$70="","",AS51!$C$70)</f>
        <v/>
      </c>
      <c r="B135" s="134">
        <f>IF($A135="",0,COUNT($E135:$CZ135))</f>
        <v/>
      </c>
      <c r="C135" s="135">
        <f>IF($A135="",0,IF($B135=0,0,MAX($E135:$CZ135)))</f>
        <v/>
      </c>
      <c r="D135" s="74">
        <f>BDS($A135,'Field Check'!$C$42,"headers=y","startcol=2","endcol=3","dir=h")</f>
        <v/>
      </c>
      <c r="E135" s="75" t="n"/>
      <c r="F135" s="75" t="n"/>
      <c r="G135" s="75" t="n"/>
      <c r="H135" s="75" t="n"/>
      <c r="I135" s="75" t="n"/>
      <c r="J135" s="75" t="n"/>
      <c r="K135" s="75" t="n"/>
      <c r="L135" s="75" t="n"/>
      <c r="M135" s="75" t="n"/>
      <c r="N135" s="75" t="n"/>
      <c r="O135" s="75" t="n"/>
      <c r="P135" s="75" t="n"/>
      <c r="Q135" s="75" t="n"/>
      <c r="R135" s="75" t="n"/>
      <c r="S135" s="75" t="n"/>
      <c r="T135" s="75" t="n"/>
      <c r="U135" s="75" t="n"/>
      <c r="V135" s="75" t="n"/>
      <c r="W135" s="75" t="n"/>
      <c r="X135" s="75" t="n"/>
      <c r="Y135" s="75" t="n"/>
      <c r="Z135" s="75" t="n"/>
      <c r="AA135" s="75" t="n"/>
      <c r="AB135" s="75" t="n"/>
      <c r="AC135" s="75" t="n"/>
      <c r="AD135" s="75" t="n"/>
      <c r="AE135" s="75" t="n"/>
      <c r="AF135" s="75" t="n"/>
      <c r="AG135" s="75" t="n"/>
      <c r="AH135" s="75" t="n"/>
      <c r="AI135" s="75" t="n"/>
      <c r="AJ135" s="75" t="n"/>
      <c r="AK135" s="75" t="n"/>
      <c r="AL135" s="75" t="n"/>
      <c r="AM135" s="75" t="n"/>
      <c r="AN135" s="75" t="n"/>
      <c r="AO135" s="75" t="n"/>
      <c r="AP135" s="75" t="n"/>
      <c r="AQ135" s="75" t="n"/>
      <c r="AR135" s="75" t="n"/>
      <c r="AS135" s="75" t="n"/>
      <c r="AT135" s="75" t="n"/>
      <c r="AU135" s="75" t="n"/>
      <c r="AV135" s="75" t="n"/>
      <c r="AW135" s="75" t="n"/>
      <c r="AX135" s="75" t="n"/>
      <c r="AY135" s="75" t="n"/>
      <c r="AZ135" s="75" t="n"/>
      <c r="BA135" s="75" t="n"/>
      <c r="BB135" s="75" t="n"/>
      <c r="BC135" s="75" t="n"/>
      <c r="BD135" s="75" t="n"/>
      <c r="BE135" s="75" t="n"/>
      <c r="BF135" s="75" t="n"/>
      <c r="BG135" s="75" t="n"/>
      <c r="BH135" s="75" t="n"/>
      <c r="BI135" s="75" t="n"/>
      <c r="BJ135" s="75" t="n"/>
      <c r="BK135" s="75" t="n"/>
      <c r="BL135" s="75" t="n"/>
      <c r="BM135" s="75" t="n"/>
      <c r="BN135" s="75" t="n"/>
      <c r="BO135" s="75" t="n"/>
      <c r="BP135" s="75" t="n"/>
      <c r="BQ135" s="75" t="n"/>
      <c r="BR135" s="75" t="n"/>
      <c r="BS135" s="75" t="n"/>
      <c r="BT135" s="75" t="n"/>
      <c r="BU135" s="75" t="n"/>
      <c r="BV135" s="75" t="n"/>
      <c r="BW135" s="75" t="n"/>
      <c r="BX135" s="75" t="n"/>
      <c r="BY135" s="75" t="n"/>
      <c r="BZ135" s="75" t="n"/>
      <c r="CA135" s="75" t="n"/>
      <c r="CB135" s="75" t="n"/>
      <c r="CC135" s="75" t="n"/>
      <c r="CD135" s="75" t="n"/>
      <c r="CE135" s="75" t="n"/>
      <c r="CF135" s="75" t="n"/>
      <c r="CG135" s="75" t="n"/>
      <c r="CH135" s="75" t="n"/>
      <c r="CI135" s="75" t="n"/>
      <c r="CJ135" s="75" t="n"/>
      <c r="CK135" s="75" t="n"/>
      <c r="CL135" s="75" t="n"/>
      <c r="CM135" s="75" t="n"/>
      <c r="CN135" s="75" t="n"/>
      <c r="CO135" s="75" t="n"/>
      <c r="CP135" s="75" t="n"/>
      <c r="CQ135" s="75" t="n"/>
      <c r="CR135" s="75" t="n"/>
      <c r="CS135" s="75" t="n"/>
      <c r="CT135" s="75" t="n"/>
      <c r="CU135" s="75" t="n"/>
      <c r="CV135" s="75" t="n"/>
      <c r="CW135" s="75" t="n"/>
      <c r="CX135" s="75" t="n"/>
      <c r="CY135" s="75" t="n"/>
      <c r="CZ135" s="75" t="n"/>
    </row>
    <row r="136">
      <c r="B136" s="134">
        <f>IF($A135="",0,COUNT($E136:$CZ136))</f>
        <v/>
      </c>
    </row>
    <row r="137">
      <c r="A137" s="5">
        <f>IF(AS51!$C$71="","",AS51!$C$71)</f>
        <v/>
      </c>
      <c r="B137" s="134">
        <f>IF($A137="",0,COUNT($E137:$CZ137))</f>
        <v/>
      </c>
      <c r="C137" s="135">
        <f>IF($A137="",0,IF($B137=0,0,MAX($E137:$CZ137)))</f>
        <v/>
      </c>
      <c r="D137" s="74">
        <f>BDS($A137,'Field Check'!$C$42,"headers=y","startcol=2","endcol=3","dir=h")</f>
        <v/>
      </c>
      <c r="E137" s="75" t="n"/>
      <c r="F137" s="75" t="n"/>
      <c r="G137" s="75" t="n"/>
      <c r="H137" s="75" t="n"/>
      <c r="I137" s="75" t="n"/>
      <c r="J137" s="75" t="n"/>
      <c r="K137" s="75" t="n"/>
      <c r="L137" s="75" t="n"/>
      <c r="M137" s="75" t="n"/>
      <c r="N137" s="75" t="n"/>
      <c r="O137" s="75" t="n"/>
      <c r="P137" s="75" t="n"/>
      <c r="Q137" s="75" t="n"/>
      <c r="R137" s="75" t="n"/>
      <c r="S137" s="75" t="n"/>
      <c r="T137" s="75" t="n"/>
      <c r="U137" s="75" t="n"/>
      <c r="V137" s="75" t="n"/>
      <c r="W137" s="75" t="n"/>
      <c r="X137" s="75" t="n"/>
      <c r="Y137" s="75" t="n"/>
      <c r="Z137" s="75" t="n"/>
      <c r="AA137" s="75" t="n"/>
      <c r="AB137" s="75" t="n"/>
      <c r="AC137" s="75" t="n"/>
      <c r="AD137" s="75" t="n"/>
      <c r="AE137" s="75" t="n"/>
      <c r="AF137" s="75" t="n"/>
      <c r="AG137" s="75" t="n"/>
      <c r="AH137" s="75" t="n"/>
      <c r="AI137" s="75" t="n"/>
      <c r="AJ137" s="75" t="n"/>
      <c r="AK137" s="75" t="n"/>
      <c r="AL137" s="75" t="n"/>
      <c r="AM137" s="75" t="n"/>
      <c r="AN137" s="75" t="n"/>
      <c r="AO137" s="75" t="n"/>
      <c r="AP137" s="75" t="n"/>
      <c r="AQ137" s="75" t="n"/>
      <c r="AR137" s="75" t="n"/>
      <c r="AS137" s="75" t="n"/>
      <c r="AT137" s="75" t="n"/>
      <c r="AU137" s="75" t="n"/>
      <c r="AV137" s="75" t="n"/>
      <c r="AW137" s="75" t="n"/>
      <c r="AX137" s="75" t="n"/>
      <c r="AY137" s="75" t="n"/>
      <c r="AZ137" s="75" t="n"/>
      <c r="BA137" s="75" t="n"/>
      <c r="BB137" s="75" t="n"/>
      <c r="BC137" s="75" t="n"/>
      <c r="BD137" s="75" t="n"/>
      <c r="BE137" s="75" t="n"/>
      <c r="BF137" s="75" t="n"/>
      <c r="BG137" s="75" t="n"/>
      <c r="BH137" s="75" t="n"/>
      <c r="BI137" s="75" t="n"/>
      <c r="BJ137" s="75" t="n"/>
      <c r="BK137" s="75" t="n"/>
      <c r="BL137" s="75" t="n"/>
      <c r="BM137" s="75" t="n"/>
      <c r="BN137" s="75" t="n"/>
      <c r="BO137" s="75" t="n"/>
      <c r="BP137" s="75" t="n"/>
      <c r="BQ137" s="75" t="n"/>
      <c r="BR137" s="75" t="n"/>
      <c r="BS137" s="75" t="n"/>
      <c r="BT137" s="75" t="n"/>
      <c r="BU137" s="75" t="n"/>
      <c r="BV137" s="75" t="n"/>
      <c r="BW137" s="75" t="n"/>
      <c r="BX137" s="75" t="n"/>
      <c r="BY137" s="75" t="n"/>
      <c r="BZ137" s="75" t="n"/>
      <c r="CA137" s="75" t="n"/>
      <c r="CB137" s="75" t="n"/>
      <c r="CC137" s="75" t="n"/>
      <c r="CD137" s="75" t="n"/>
      <c r="CE137" s="75" t="n"/>
      <c r="CF137" s="75" t="n"/>
      <c r="CG137" s="75" t="n"/>
      <c r="CH137" s="75" t="n"/>
      <c r="CI137" s="75" t="n"/>
      <c r="CJ137" s="75" t="n"/>
      <c r="CK137" s="75" t="n"/>
      <c r="CL137" s="75" t="n"/>
      <c r="CM137" s="75" t="n"/>
      <c r="CN137" s="75" t="n"/>
      <c r="CO137" s="75" t="n"/>
      <c r="CP137" s="75" t="n"/>
      <c r="CQ137" s="75" t="n"/>
      <c r="CR137" s="75" t="n"/>
      <c r="CS137" s="75" t="n"/>
      <c r="CT137" s="75" t="n"/>
      <c r="CU137" s="75" t="n"/>
      <c r="CV137" s="75" t="n"/>
      <c r="CW137" s="75" t="n"/>
      <c r="CX137" s="75" t="n"/>
      <c r="CY137" s="75" t="n"/>
      <c r="CZ137" s="75" t="n"/>
    </row>
    <row r="138">
      <c r="B138" s="134">
        <f>IF($A137="",0,COUNT($E138:$CZ138))</f>
        <v/>
      </c>
    </row>
    <row r="139">
      <c r="A139" s="5">
        <f>IF(AS51!$C$72="","",AS51!$C$72)</f>
        <v/>
      </c>
      <c r="B139" s="134">
        <f>IF($A139="",0,COUNT($E139:$CZ139))</f>
        <v/>
      </c>
      <c r="C139" s="135">
        <f>IF($A139="",0,IF($B139=0,0,MAX($E139:$CZ139)))</f>
        <v/>
      </c>
      <c r="D139" s="74">
        <f>BDS($A139,'Field Check'!$C$42,"headers=y","startcol=2","endcol=3","dir=h")</f>
        <v/>
      </c>
      <c r="E139" s="75" t="n"/>
      <c r="F139" s="75" t="n"/>
      <c r="G139" s="75" t="n"/>
      <c r="H139" s="75" t="n"/>
      <c r="I139" s="75" t="n"/>
      <c r="J139" s="75" t="n"/>
      <c r="K139" s="75" t="n"/>
      <c r="L139" s="75" t="n"/>
      <c r="M139" s="75" t="n"/>
      <c r="N139" s="75" t="n"/>
      <c r="O139" s="75" t="n"/>
      <c r="P139" s="75" t="n"/>
      <c r="Q139" s="75" t="n"/>
      <c r="R139" s="75" t="n"/>
      <c r="S139" s="75" t="n"/>
      <c r="T139" s="75" t="n"/>
      <c r="U139" s="75" t="n"/>
      <c r="V139" s="75" t="n"/>
      <c r="W139" s="75" t="n"/>
      <c r="X139" s="75" t="n"/>
      <c r="Y139" s="75" t="n"/>
      <c r="Z139" s="75" t="n"/>
      <c r="AA139" s="75" t="n"/>
      <c r="AB139" s="75" t="n"/>
      <c r="AC139" s="75" t="n"/>
      <c r="AD139" s="75" t="n"/>
      <c r="AE139" s="75" t="n"/>
      <c r="AF139" s="75" t="n"/>
      <c r="AG139" s="75" t="n"/>
      <c r="AH139" s="75" t="n"/>
      <c r="AI139" s="75" t="n"/>
      <c r="AJ139" s="75" t="n"/>
      <c r="AK139" s="75" t="n"/>
      <c r="AL139" s="75" t="n"/>
      <c r="AM139" s="75" t="n"/>
      <c r="AN139" s="75" t="n"/>
      <c r="AO139" s="75" t="n"/>
      <c r="AP139" s="75" t="n"/>
      <c r="AQ139" s="75" t="n"/>
      <c r="AR139" s="75" t="n"/>
      <c r="AS139" s="75" t="n"/>
      <c r="AT139" s="75" t="n"/>
      <c r="AU139" s="75" t="n"/>
      <c r="AV139" s="75" t="n"/>
      <c r="AW139" s="75" t="n"/>
      <c r="AX139" s="75" t="n"/>
      <c r="AY139" s="75" t="n"/>
      <c r="AZ139" s="75" t="n"/>
      <c r="BA139" s="75" t="n"/>
      <c r="BB139" s="75" t="n"/>
      <c r="BC139" s="75" t="n"/>
      <c r="BD139" s="75" t="n"/>
      <c r="BE139" s="75" t="n"/>
      <c r="BF139" s="75" t="n"/>
      <c r="BG139" s="75" t="n"/>
      <c r="BH139" s="75" t="n"/>
      <c r="BI139" s="75" t="n"/>
      <c r="BJ139" s="75" t="n"/>
      <c r="BK139" s="75" t="n"/>
      <c r="BL139" s="75" t="n"/>
      <c r="BM139" s="75" t="n"/>
      <c r="BN139" s="75" t="n"/>
      <c r="BO139" s="75" t="n"/>
      <c r="BP139" s="75" t="n"/>
      <c r="BQ139" s="75" t="n"/>
      <c r="BR139" s="75" t="n"/>
      <c r="BS139" s="75" t="n"/>
      <c r="BT139" s="75" t="n"/>
      <c r="BU139" s="75" t="n"/>
      <c r="BV139" s="75" t="n"/>
      <c r="BW139" s="75" t="n"/>
      <c r="BX139" s="75" t="n"/>
      <c r="BY139" s="75" t="n"/>
      <c r="BZ139" s="75" t="n"/>
      <c r="CA139" s="75" t="n"/>
      <c r="CB139" s="75" t="n"/>
      <c r="CC139" s="75" t="n"/>
      <c r="CD139" s="75" t="n"/>
      <c r="CE139" s="75" t="n"/>
      <c r="CF139" s="75" t="n"/>
      <c r="CG139" s="75" t="n"/>
      <c r="CH139" s="75" t="n"/>
      <c r="CI139" s="75" t="n"/>
      <c r="CJ139" s="75" t="n"/>
      <c r="CK139" s="75" t="n"/>
      <c r="CL139" s="75" t="n"/>
      <c r="CM139" s="75" t="n"/>
      <c r="CN139" s="75" t="n"/>
      <c r="CO139" s="75" t="n"/>
      <c r="CP139" s="75" t="n"/>
      <c r="CQ139" s="75" t="n"/>
      <c r="CR139" s="75" t="n"/>
      <c r="CS139" s="75" t="n"/>
      <c r="CT139" s="75" t="n"/>
      <c r="CU139" s="75" t="n"/>
      <c r="CV139" s="75" t="n"/>
      <c r="CW139" s="75" t="n"/>
      <c r="CX139" s="75" t="n"/>
      <c r="CY139" s="75" t="n"/>
      <c r="CZ139" s="75" t="n"/>
    </row>
    <row r="140">
      <c r="B140" s="134">
        <f>IF($A139="",0,COUNT($E140:$CZ140))</f>
        <v/>
      </c>
    </row>
    <row r="141">
      <c r="A141" s="5">
        <f>IF(AS51!$C$73="","",AS51!$C$73)</f>
        <v/>
      </c>
      <c r="B141" s="134">
        <f>IF($A141="",0,COUNT($E141:$CZ141))</f>
        <v/>
      </c>
      <c r="C141" s="135">
        <f>IF($A141="",0,IF($B141=0,0,MAX($E141:$CZ141)))</f>
        <v/>
      </c>
      <c r="D141" s="74">
        <f>BDS($A141,'Field Check'!$C$42,"headers=y","startcol=2","endcol=3","dir=h")</f>
        <v/>
      </c>
      <c r="E141" s="75" t="n"/>
      <c r="F141" s="75" t="n"/>
      <c r="G141" s="75" t="n"/>
      <c r="H141" s="75" t="n"/>
      <c r="I141" s="75" t="n"/>
      <c r="J141" s="75" t="n"/>
      <c r="K141" s="75" t="n"/>
      <c r="L141" s="75" t="n"/>
      <c r="M141" s="75" t="n"/>
      <c r="N141" s="75" t="n"/>
      <c r="O141" s="75" t="n"/>
      <c r="P141" s="75" t="n"/>
      <c r="Q141" s="75" t="n"/>
      <c r="R141" s="75" t="n"/>
      <c r="S141" s="75" t="n"/>
      <c r="T141" s="75" t="n"/>
      <c r="U141" s="75" t="n"/>
      <c r="V141" s="75" t="n"/>
      <c r="W141" s="75" t="n"/>
      <c r="X141" s="75" t="n"/>
      <c r="Y141" s="75" t="n"/>
      <c r="Z141" s="75" t="n"/>
      <c r="AA141" s="75" t="n"/>
      <c r="AB141" s="75" t="n"/>
      <c r="AC141" s="75" t="n"/>
      <c r="AD141" s="75" t="n"/>
      <c r="AE141" s="75" t="n"/>
      <c r="AF141" s="75" t="n"/>
      <c r="AG141" s="75" t="n"/>
      <c r="AH141" s="75" t="n"/>
      <c r="AI141" s="75" t="n"/>
      <c r="AJ141" s="75" t="n"/>
      <c r="AK141" s="75" t="n"/>
      <c r="AL141" s="75" t="n"/>
      <c r="AM141" s="75" t="n"/>
      <c r="AN141" s="75" t="n"/>
      <c r="AO141" s="75" t="n"/>
      <c r="AP141" s="75" t="n"/>
      <c r="AQ141" s="75" t="n"/>
      <c r="AR141" s="75" t="n"/>
      <c r="AS141" s="75" t="n"/>
      <c r="AT141" s="75" t="n"/>
      <c r="AU141" s="75" t="n"/>
      <c r="AV141" s="75" t="n"/>
      <c r="AW141" s="75" t="n"/>
      <c r="AX141" s="75" t="n"/>
      <c r="AY141" s="75" t="n"/>
      <c r="AZ141" s="75" t="n"/>
      <c r="BA141" s="75" t="n"/>
      <c r="BB141" s="75" t="n"/>
      <c r="BC141" s="75" t="n"/>
      <c r="BD141" s="75" t="n"/>
      <c r="BE141" s="75" t="n"/>
      <c r="BF141" s="75" t="n"/>
      <c r="BG141" s="75" t="n"/>
      <c r="BH141" s="75" t="n"/>
      <c r="BI141" s="75" t="n"/>
      <c r="BJ141" s="75" t="n"/>
      <c r="BK141" s="75" t="n"/>
      <c r="BL141" s="75" t="n"/>
      <c r="BM141" s="75" t="n"/>
      <c r="BN141" s="75" t="n"/>
      <c r="BO141" s="75" t="n"/>
      <c r="BP141" s="75" t="n"/>
      <c r="BQ141" s="75" t="n"/>
      <c r="BR141" s="75" t="n"/>
      <c r="BS141" s="75" t="n"/>
      <c r="BT141" s="75" t="n"/>
      <c r="BU141" s="75" t="n"/>
      <c r="BV141" s="75" t="n"/>
      <c r="BW141" s="75" t="n"/>
      <c r="BX141" s="75" t="n"/>
      <c r="BY141" s="75" t="n"/>
      <c r="BZ141" s="75" t="n"/>
      <c r="CA141" s="75" t="n"/>
      <c r="CB141" s="75" t="n"/>
      <c r="CC141" s="75" t="n"/>
      <c r="CD141" s="75" t="n"/>
      <c r="CE141" s="75" t="n"/>
      <c r="CF141" s="75" t="n"/>
      <c r="CG141" s="75" t="n"/>
      <c r="CH141" s="75" t="n"/>
      <c r="CI141" s="75" t="n"/>
      <c r="CJ141" s="75" t="n"/>
      <c r="CK141" s="75" t="n"/>
      <c r="CL141" s="75" t="n"/>
      <c r="CM141" s="75" t="n"/>
      <c r="CN141" s="75" t="n"/>
      <c r="CO141" s="75" t="n"/>
      <c r="CP141" s="75" t="n"/>
      <c r="CQ141" s="75" t="n"/>
      <c r="CR141" s="75" t="n"/>
      <c r="CS141" s="75" t="n"/>
      <c r="CT141" s="75" t="n"/>
      <c r="CU141" s="75" t="n"/>
      <c r="CV141" s="75" t="n"/>
      <c r="CW141" s="75" t="n"/>
      <c r="CX141" s="75" t="n"/>
      <c r="CY141" s="75" t="n"/>
      <c r="CZ141" s="75" t="n"/>
    </row>
    <row r="142">
      <c r="B142" s="134">
        <f>IF($A141="",0,COUNT($E142:$CZ142))</f>
        <v/>
      </c>
    </row>
    <row r="143">
      <c r="A143" s="5">
        <f>IF(AS51!$C$74="","",AS51!$C$74)</f>
        <v/>
      </c>
      <c r="B143" s="134">
        <f>IF($A143="",0,COUNT($E143:$CZ143))</f>
        <v/>
      </c>
      <c r="C143" s="135">
        <f>IF($A143="",0,IF($B143=0,0,MAX($E143:$CZ143)))</f>
        <v/>
      </c>
      <c r="D143" s="74">
        <f>BDS($A143,'Field Check'!$C$42,"headers=y","startcol=2","endcol=3","dir=h")</f>
        <v/>
      </c>
      <c r="E143" s="75" t="n"/>
      <c r="F143" s="75" t="n"/>
      <c r="G143" s="75" t="n"/>
      <c r="H143" s="75" t="n"/>
      <c r="I143" s="75" t="n"/>
      <c r="J143" s="75" t="n"/>
      <c r="K143" s="75" t="n"/>
      <c r="L143" s="75" t="n"/>
      <c r="M143" s="75" t="n"/>
      <c r="N143" s="75" t="n"/>
      <c r="O143" s="75" t="n"/>
      <c r="P143" s="75" t="n"/>
      <c r="Q143" s="75" t="n"/>
      <c r="R143" s="75" t="n"/>
      <c r="S143" s="75" t="n"/>
      <c r="T143" s="75" t="n"/>
      <c r="U143" s="75" t="n"/>
      <c r="V143" s="75" t="n"/>
      <c r="W143" s="75" t="n"/>
      <c r="X143" s="75" t="n"/>
      <c r="Y143" s="75" t="n"/>
      <c r="Z143" s="75" t="n"/>
      <c r="AA143" s="75" t="n"/>
      <c r="AB143" s="75" t="n"/>
      <c r="AC143" s="75" t="n"/>
      <c r="AD143" s="75" t="n"/>
      <c r="AE143" s="75" t="n"/>
      <c r="AF143" s="75" t="n"/>
      <c r="AG143" s="75" t="n"/>
      <c r="AH143" s="75" t="n"/>
      <c r="AI143" s="75" t="n"/>
      <c r="AJ143" s="75" t="n"/>
      <c r="AK143" s="75" t="n"/>
      <c r="AL143" s="75" t="n"/>
      <c r="AM143" s="75" t="n"/>
      <c r="AN143" s="75" t="n"/>
      <c r="AO143" s="75" t="n"/>
      <c r="AP143" s="75" t="n"/>
      <c r="AQ143" s="75" t="n"/>
      <c r="AR143" s="75" t="n"/>
      <c r="AS143" s="75" t="n"/>
      <c r="AT143" s="75" t="n"/>
      <c r="AU143" s="75" t="n"/>
      <c r="AV143" s="75" t="n"/>
      <c r="AW143" s="75" t="n"/>
      <c r="AX143" s="75" t="n"/>
      <c r="AY143" s="75" t="n"/>
      <c r="AZ143" s="75" t="n"/>
      <c r="BA143" s="75" t="n"/>
      <c r="BB143" s="75" t="n"/>
      <c r="BC143" s="75" t="n"/>
      <c r="BD143" s="75" t="n"/>
      <c r="BE143" s="75" t="n"/>
      <c r="BF143" s="75" t="n"/>
      <c r="BG143" s="75" t="n"/>
      <c r="BH143" s="75" t="n"/>
      <c r="BI143" s="75" t="n"/>
      <c r="BJ143" s="75" t="n"/>
      <c r="BK143" s="75" t="n"/>
      <c r="BL143" s="75" t="n"/>
      <c r="BM143" s="75" t="n"/>
      <c r="BN143" s="75" t="n"/>
      <c r="BO143" s="75" t="n"/>
      <c r="BP143" s="75" t="n"/>
      <c r="BQ143" s="75" t="n"/>
      <c r="BR143" s="75" t="n"/>
      <c r="BS143" s="75" t="n"/>
      <c r="BT143" s="75" t="n"/>
      <c r="BU143" s="75" t="n"/>
      <c r="BV143" s="75" t="n"/>
      <c r="BW143" s="75" t="n"/>
      <c r="BX143" s="75" t="n"/>
      <c r="BY143" s="75" t="n"/>
      <c r="BZ143" s="75" t="n"/>
      <c r="CA143" s="75" t="n"/>
      <c r="CB143" s="75" t="n"/>
      <c r="CC143" s="75" t="n"/>
      <c r="CD143" s="75" t="n"/>
      <c r="CE143" s="75" t="n"/>
      <c r="CF143" s="75" t="n"/>
      <c r="CG143" s="75" t="n"/>
      <c r="CH143" s="75" t="n"/>
      <c r="CI143" s="75" t="n"/>
      <c r="CJ143" s="75" t="n"/>
      <c r="CK143" s="75" t="n"/>
      <c r="CL143" s="75" t="n"/>
      <c r="CM143" s="75" t="n"/>
      <c r="CN143" s="75" t="n"/>
      <c r="CO143" s="75" t="n"/>
      <c r="CP143" s="75" t="n"/>
      <c r="CQ143" s="75" t="n"/>
      <c r="CR143" s="75" t="n"/>
      <c r="CS143" s="75" t="n"/>
      <c r="CT143" s="75" t="n"/>
      <c r="CU143" s="75" t="n"/>
      <c r="CV143" s="75" t="n"/>
      <c r="CW143" s="75" t="n"/>
      <c r="CX143" s="75" t="n"/>
      <c r="CY143" s="75" t="n"/>
      <c r="CZ143" s="75" t="n"/>
    </row>
    <row r="144">
      <c r="B144" s="134">
        <f>IF($A143="",0,COUNT($E144:$CZ144))</f>
        <v/>
      </c>
    </row>
    <row r="145">
      <c r="A145" s="5">
        <f>IF(AS51!$C$75="","",AS51!$C$75)</f>
        <v/>
      </c>
      <c r="B145" s="134">
        <f>IF($A145="",0,COUNT($E145:$CZ145))</f>
        <v/>
      </c>
      <c r="C145" s="135">
        <f>IF($A145="",0,IF($B145=0,0,MAX($E145:$CZ145)))</f>
        <v/>
      </c>
      <c r="D145" s="74">
        <f>BDS($A145,'Field Check'!$C$42,"headers=y","startcol=2","endcol=3","dir=h")</f>
        <v/>
      </c>
      <c r="E145" s="75" t="n"/>
      <c r="F145" s="75" t="n"/>
      <c r="G145" s="75" t="n"/>
      <c r="H145" s="75" t="n"/>
      <c r="I145" s="75" t="n"/>
      <c r="J145" s="75" t="n"/>
      <c r="K145" s="75" t="n"/>
      <c r="L145" s="75" t="n"/>
      <c r="M145" s="75" t="n"/>
      <c r="N145" s="75" t="n"/>
      <c r="O145" s="75" t="n"/>
      <c r="P145" s="75" t="n"/>
      <c r="Q145" s="75" t="n"/>
      <c r="R145" s="75" t="n"/>
      <c r="S145" s="75" t="n"/>
      <c r="T145" s="75" t="n"/>
      <c r="U145" s="75" t="n"/>
      <c r="V145" s="75" t="n"/>
      <c r="W145" s="75" t="n"/>
      <c r="X145" s="75" t="n"/>
      <c r="Y145" s="75" t="n"/>
      <c r="Z145" s="75" t="n"/>
      <c r="AA145" s="75" t="n"/>
      <c r="AB145" s="75" t="n"/>
      <c r="AC145" s="75" t="n"/>
      <c r="AD145" s="75" t="n"/>
      <c r="AE145" s="75" t="n"/>
      <c r="AF145" s="75" t="n"/>
      <c r="AG145" s="75" t="n"/>
      <c r="AH145" s="75" t="n"/>
      <c r="AI145" s="75" t="n"/>
      <c r="AJ145" s="75" t="n"/>
      <c r="AK145" s="75" t="n"/>
      <c r="AL145" s="75" t="n"/>
      <c r="AM145" s="75" t="n"/>
      <c r="AN145" s="75" t="n"/>
      <c r="AO145" s="75" t="n"/>
      <c r="AP145" s="75" t="n"/>
      <c r="AQ145" s="75" t="n"/>
      <c r="AR145" s="75" t="n"/>
      <c r="AS145" s="75" t="n"/>
      <c r="AT145" s="75" t="n"/>
      <c r="AU145" s="75" t="n"/>
      <c r="AV145" s="75" t="n"/>
      <c r="AW145" s="75" t="n"/>
      <c r="AX145" s="75" t="n"/>
      <c r="AY145" s="75" t="n"/>
      <c r="AZ145" s="75" t="n"/>
      <c r="BA145" s="75" t="n"/>
      <c r="BB145" s="75" t="n"/>
      <c r="BC145" s="75" t="n"/>
      <c r="BD145" s="75" t="n"/>
      <c r="BE145" s="75" t="n"/>
      <c r="BF145" s="75" t="n"/>
      <c r="BG145" s="75" t="n"/>
      <c r="BH145" s="75" t="n"/>
      <c r="BI145" s="75" t="n"/>
      <c r="BJ145" s="75" t="n"/>
      <c r="BK145" s="75" t="n"/>
      <c r="BL145" s="75" t="n"/>
      <c r="BM145" s="75" t="n"/>
      <c r="BN145" s="75" t="n"/>
      <c r="BO145" s="75" t="n"/>
      <c r="BP145" s="75" t="n"/>
      <c r="BQ145" s="75" t="n"/>
      <c r="BR145" s="75" t="n"/>
      <c r="BS145" s="75" t="n"/>
      <c r="BT145" s="75" t="n"/>
      <c r="BU145" s="75" t="n"/>
      <c r="BV145" s="75" t="n"/>
      <c r="BW145" s="75" t="n"/>
      <c r="BX145" s="75" t="n"/>
      <c r="BY145" s="75" t="n"/>
      <c r="BZ145" s="75" t="n"/>
      <c r="CA145" s="75" t="n"/>
      <c r="CB145" s="75" t="n"/>
      <c r="CC145" s="75" t="n"/>
      <c r="CD145" s="75" t="n"/>
      <c r="CE145" s="75" t="n"/>
      <c r="CF145" s="75" t="n"/>
      <c r="CG145" s="75" t="n"/>
      <c r="CH145" s="75" t="n"/>
      <c r="CI145" s="75" t="n"/>
      <c r="CJ145" s="75" t="n"/>
      <c r="CK145" s="75" t="n"/>
      <c r="CL145" s="75" t="n"/>
      <c r="CM145" s="75" t="n"/>
      <c r="CN145" s="75" t="n"/>
      <c r="CO145" s="75" t="n"/>
      <c r="CP145" s="75" t="n"/>
      <c r="CQ145" s="75" t="n"/>
      <c r="CR145" s="75" t="n"/>
      <c r="CS145" s="75" t="n"/>
      <c r="CT145" s="75" t="n"/>
      <c r="CU145" s="75" t="n"/>
      <c r="CV145" s="75" t="n"/>
      <c r="CW145" s="75" t="n"/>
      <c r="CX145" s="75" t="n"/>
      <c r="CY145" s="75" t="n"/>
      <c r="CZ145" s="75" t="n"/>
    </row>
    <row r="146">
      <c r="B146" s="134">
        <f>IF($A145="",0,COUNT($E146:$CZ146))</f>
        <v/>
      </c>
    </row>
    <row r="147">
      <c r="A147" s="5">
        <f>IF(AS51!$C$76="","",AS51!$C$76)</f>
        <v/>
      </c>
      <c r="B147" s="134">
        <f>IF($A147="",0,COUNT($E147:$CZ147))</f>
        <v/>
      </c>
      <c r="C147" s="135">
        <f>IF($A147="",0,IF($B147=0,0,MAX($E147:$CZ147)))</f>
        <v/>
      </c>
      <c r="D147" s="74">
        <f>BDS($A147,'Field Check'!$C$42,"headers=y","startcol=2","endcol=3","dir=h")</f>
        <v/>
      </c>
      <c r="E147" s="75" t="n"/>
      <c r="F147" s="75" t="n"/>
      <c r="G147" s="75" t="n"/>
      <c r="H147" s="75" t="n"/>
      <c r="I147" s="75" t="n"/>
      <c r="J147" s="75" t="n"/>
      <c r="K147" s="75" t="n"/>
      <c r="L147" s="75" t="n"/>
      <c r="M147" s="75" t="n"/>
      <c r="N147" s="75" t="n"/>
      <c r="O147" s="75" t="n"/>
      <c r="P147" s="75" t="n"/>
      <c r="Q147" s="75" t="n"/>
      <c r="R147" s="75" t="n"/>
      <c r="S147" s="75" t="n"/>
      <c r="T147" s="75" t="n"/>
      <c r="U147" s="75" t="n"/>
      <c r="V147" s="75" t="n"/>
      <c r="W147" s="75" t="n"/>
      <c r="X147" s="75" t="n"/>
      <c r="Y147" s="75" t="n"/>
      <c r="Z147" s="75" t="n"/>
      <c r="AA147" s="75" t="n"/>
      <c r="AB147" s="75" t="n"/>
      <c r="AC147" s="75" t="n"/>
      <c r="AD147" s="75" t="n"/>
      <c r="AE147" s="75" t="n"/>
      <c r="AF147" s="75" t="n"/>
      <c r="AG147" s="75" t="n"/>
      <c r="AH147" s="75" t="n"/>
      <c r="AI147" s="75" t="n"/>
      <c r="AJ147" s="75" t="n"/>
      <c r="AK147" s="75" t="n"/>
      <c r="AL147" s="75" t="n"/>
      <c r="AM147" s="75" t="n"/>
      <c r="AN147" s="75" t="n"/>
      <c r="AO147" s="75" t="n"/>
      <c r="AP147" s="75" t="n"/>
      <c r="AQ147" s="75" t="n"/>
      <c r="AR147" s="75" t="n"/>
      <c r="AS147" s="75" t="n"/>
      <c r="AT147" s="75" t="n"/>
      <c r="AU147" s="75" t="n"/>
      <c r="AV147" s="75" t="n"/>
      <c r="AW147" s="75" t="n"/>
      <c r="AX147" s="75" t="n"/>
      <c r="AY147" s="75" t="n"/>
      <c r="AZ147" s="75" t="n"/>
      <c r="BA147" s="75" t="n"/>
      <c r="BB147" s="75" t="n"/>
      <c r="BC147" s="75" t="n"/>
      <c r="BD147" s="75" t="n"/>
      <c r="BE147" s="75" t="n"/>
      <c r="BF147" s="75" t="n"/>
      <c r="BG147" s="75" t="n"/>
      <c r="BH147" s="75" t="n"/>
      <c r="BI147" s="75" t="n"/>
      <c r="BJ147" s="75" t="n"/>
      <c r="BK147" s="75" t="n"/>
      <c r="BL147" s="75" t="n"/>
      <c r="BM147" s="75" t="n"/>
      <c r="BN147" s="75" t="n"/>
      <c r="BO147" s="75" t="n"/>
      <c r="BP147" s="75" t="n"/>
      <c r="BQ147" s="75" t="n"/>
      <c r="BR147" s="75" t="n"/>
      <c r="BS147" s="75" t="n"/>
      <c r="BT147" s="75" t="n"/>
      <c r="BU147" s="75" t="n"/>
      <c r="BV147" s="75" t="n"/>
      <c r="BW147" s="75" t="n"/>
      <c r="BX147" s="75" t="n"/>
      <c r="BY147" s="75" t="n"/>
      <c r="BZ147" s="75" t="n"/>
      <c r="CA147" s="75" t="n"/>
      <c r="CB147" s="75" t="n"/>
      <c r="CC147" s="75" t="n"/>
      <c r="CD147" s="75" t="n"/>
      <c r="CE147" s="75" t="n"/>
      <c r="CF147" s="75" t="n"/>
      <c r="CG147" s="75" t="n"/>
      <c r="CH147" s="75" t="n"/>
      <c r="CI147" s="75" t="n"/>
      <c r="CJ147" s="75" t="n"/>
      <c r="CK147" s="75" t="n"/>
      <c r="CL147" s="75" t="n"/>
      <c r="CM147" s="75" t="n"/>
      <c r="CN147" s="75" t="n"/>
      <c r="CO147" s="75" t="n"/>
      <c r="CP147" s="75" t="n"/>
      <c r="CQ147" s="75" t="n"/>
      <c r="CR147" s="75" t="n"/>
      <c r="CS147" s="75" t="n"/>
      <c r="CT147" s="75" t="n"/>
      <c r="CU147" s="75" t="n"/>
      <c r="CV147" s="75" t="n"/>
      <c r="CW147" s="75" t="n"/>
      <c r="CX147" s="75" t="n"/>
      <c r="CY147" s="75" t="n"/>
      <c r="CZ147" s="75" t="n"/>
    </row>
    <row r="148">
      <c r="B148" s="134">
        <f>IF($A147="",0,COUNT($E148:$CZ148))</f>
        <v/>
      </c>
    </row>
    <row r="149">
      <c r="A149" s="5">
        <f>IF(AS51!$C$77="","",AS51!$C$77)</f>
        <v/>
      </c>
      <c r="B149" s="134">
        <f>IF($A149="",0,COUNT($E149:$CZ149))</f>
        <v/>
      </c>
      <c r="C149" s="135">
        <f>IF($A149="",0,IF($B149=0,0,MAX($E149:$CZ149)))</f>
        <v/>
      </c>
      <c r="D149" s="74">
        <f>BDS($A149,'Field Check'!$C$42,"headers=y","startcol=2","endcol=3","dir=h")</f>
        <v/>
      </c>
      <c r="E149" s="75" t="n"/>
      <c r="F149" s="75" t="n"/>
      <c r="G149" s="75" t="n"/>
      <c r="H149" s="75" t="n"/>
      <c r="I149" s="75" t="n"/>
      <c r="J149" s="75" t="n"/>
      <c r="K149" s="75" t="n"/>
      <c r="L149" s="75" t="n"/>
      <c r="M149" s="75" t="n"/>
      <c r="N149" s="75" t="n"/>
      <c r="O149" s="75" t="n"/>
      <c r="P149" s="75" t="n"/>
      <c r="Q149" s="75" t="n"/>
      <c r="R149" s="75" t="n"/>
      <c r="S149" s="75" t="n"/>
      <c r="T149" s="75" t="n"/>
      <c r="U149" s="75" t="n"/>
      <c r="V149" s="75" t="n"/>
      <c r="W149" s="75" t="n"/>
      <c r="X149" s="75" t="n"/>
      <c r="Y149" s="75" t="n"/>
      <c r="Z149" s="75" t="n"/>
      <c r="AA149" s="75" t="n"/>
      <c r="AB149" s="75" t="n"/>
      <c r="AC149" s="75" t="n"/>
      <c r="AD149" s="75" t="n"/>
      <c r="AE149" s="75" t="n"/>
      <c r="AF149" s="75" t="n"/>
      <c r="AG149" s="75" t="n"/>
      <c r="AH149" s="75" t="n"/>
      <c r="AI149" s="75" t="n"/>
      <c r="AJ149" s="75" t="n"/>
      <c r="AK149" s="75" t="n"/>
      <c r="AL149" s="75" t="n"/>
      <c r="AM149" s="75" t="n"/>
      <c r="AN149" s="75" t="n"/>
      <c r="AO149" s="75" t="n"/>
      <c r="AP149" s="75" t="n"/>
      <c r="AQ149" s="75" t="n"/>
      <c r="AR149" s="75" t="n"/>
      <c r="AS149" s="75" t="n"/>
      <c r="AT149" s="75" t="n"/>
      <c r="AU149" s="75" t="n"/>
      <c r="AV149" s="75" t="n"/>
      <c r="AW149" s="75" t="n"/>
      <c r="AX149" s="75" t="n"/>
      <c r="AY149" s="75" t="n"/>
      <c r="AZ149" s="75" t="n"/>
      <c r="BA149" s="75" t="n"/>
      <c r="BB149" s="75" t="n"/>
      <c r="BC149" s="75" t="n"/>
      <c r="BD149" s="75" t="n"/>
      <c r="BE149" s="75" t="n"/>
      <c r="BF149" s="75" t="n"/>
      <c r="BG149" s="75" t="n"/>
      <c r="BH149" s="75" t="n"/>
      <c r="BI149" s="75" t="n"/>
      <c r="BJ149" s="75" t="n"/>
      <c r="BK149" s="75" t="n"/>
      <c r="BL149" s="75" t="n"/>
      <c r="BM149" s="75" t="n"/>
      <c r="BN149" s="75" t="n"/>
      <c r="BO149" s="75" t="n"/>
      <c r="BP149" s="75" t="n"/>
      <c r="BQ149" s="75" t="n"/>
      <c r="BR149" s="75" t="n"/>
      <c r="BS149" s="75" t="n"/>
      <c r="BT149" s="75" t="n"/>
      <c r="BU149" s="75" t="n"/>
      <c r="BV149" s="75" t="n"/>
      <c r="BW149" s="75" t="n"/>
      <c r="BX149" s="75" t="n"/>
      <c r="BY149" s="75" t="n"/>
      <c r="BZ149" s="75" t="n"/>
      <c r="CA149" s="75" t="n"/>
      <c r="CB149" s="75" t="n"/>
      <c r="CC149" s="75" t="n"/>
      <c r="CD149" s="75" t="n"/>
      <c r="CE149" s="75" t="n"/>
      <c r="CF149" s="75" t="n"/>
      <c r="CG149" s="75" t="n"/>
      <c r="CH149" s="75" t="n"/>
      <c r="CI149" s="75" t="n"/>
      <c r="CJ149" s="75" t="n"/>
      <c r="CK149" s="75" t="n"/>
      <c r="CL149" s="75" t="n"/>
      <c r="CM149" s="75" t="n"/>
      <c r="CN149" s="75" t="n"/>
      <c r="CO149" s="75" t="n"/>
      <c r="CP149" s="75" t="n"/>
      <c r="CQ149" s="75" t="n"/>
      <c r="CR149" s="75" t="n"/>
      <c r="CS149" s="75" t="n"/>
      <c r="CT149" s="75" t="n"/>
      <c r="CU149" s="75" t="n"/>
      <c r="CV149" s="75" t="n"/>
      <c r="CW149" s="75" t="n"/>
      <c r="CX149" s="75" t="n"/>
      <c r="CY149" s="75" t="n"/>
      <c r="CZ149" s="75" t="n"/>
    </row>
    <row r="150">
      <c r="B150" s="134">
        <f>IF($A149="",0,COUNT($E150:$CZ150))</f>
        <v/>
      </c>
    </row>
    <row r="151">
      <c r="A151" s="5">
        <f>IF(AS51!$C$78="","",AS51!$C$78)</f>
        <v/>
      </c>
      <c r="B151" s="134">
        <f>IF($A151="",0,COUNT($E151:$CZ151))</f>
        <v/>
      </c>
      <c r="C151" s="135">
        <f>IF($A151="",0,IF($B151=0,0,MAX($E151:$CZ151)))</f>
        <v/>
      </c>
      <c r="D151" s="74">
        <f>BDS($A151,'Field Check'!$C$42,"headers=y","startcol=2","endcol=3","dir=h")</f>
        <v/>
      </c>
      <c r="E151" s="75" t="n"/>
      <c r="F151" s="75" t="n"/>
      <c r="G151" s="75" t="n"/>
      <c r="H151" s="75" t="n"/>
      <c r="I151" s="75" t="n"/>
      <c r="J151" s="75" t="n"/>
      <c r="K151" s="75" t="n"/>
      <c r="L151" s="75" t="n"/>
      <c r="M151" s="75" t="n"/>
      <c r="N151" s="75" t="n"/>
      <c r="O151" s="75" t="n"/>
      <c r="P151" s="75" t="n"/>
      <c r="Q151" s="75" t="n"/>
      <c r="R151" s="75" t="n"/>
      <c r="S151" s="75" t="n"/>
      <c r="T151" s="75" t="n"/>
      <c r="U151" s="75" t="n"/>
      <c r="V151" s="75" t="n"/>
      <c r="W151" s="75" t="n"/>
      <c r="X151" s="75" t="n"/>
      <c r="Y151" s="75" t="n"/>
      <c r="Z151" s="75" t="n"/>
      <c r="AA151" s="75" t="n"/>
      <c r="AB151" s="75" t="n"/>
      <c r="AC151" s="75" t="n"/>
      <c r="AD151" s="75" t="n"/>
      <c r="AE151" s="75" t="n"/>
      <c r="AF151" s="75" t="n"/>
      <c r="AG151" s="75" t="n"/>
      <c r="AH151" s="75" t="n"/>
      <c r="AI151" s="75" t="n"/>
      <c r="AJ151" s="75" t="n"/>
      <c r="AK151" s="75" t="n"/>
      <c r="AL151" s="75" t="n"/>
      <c r="AM151" s="75" t="n"/>
      <c r="AN151" s="75" t="n"/>
      <c r="AO151" s="75" t="n"/>
      <c r="AP151" s="75" t="n"/>
      <c r="AQ151" s="75" t="n"/>
      <c r="AR151" s="75" t="n"/>
      <c r="AS151" s="75" t="n"/>
      <c r="AT151" s="75" t="n"/>
      <c r="AU151" s="75" t="n"/>
      <c r="AV151" s="75" t="n"/>
      <c r="AW151" s="75" t="n"/>
      <c r="AX151" s="75" t="n"/>
      <c r="AY151" s="75" t="n"/>
      <c r="AZ151" s="75" t="n"/>
      <c r="BA151" s="75" t="n"/>
      <c r="BB151" s="75" t="n"/>
      <c r="BC151" s="75" t="n"/>
      <c r="BD151" s="75" t="n"/>
      <c r="BE151" s="75" t="n"/>
      <c r="BF151" s="75" t="n"/>
      <c r="BG151" s="75" t="n"/>
      <c r="BH151" s="75" t="n"/>
      <c r="BI151" s="75" t="n"/>
      <c r="BJ151" s="75" t="n"/>
      <c r="BK151" s="75" t="n"/>
      <c r="BL151" s="75" t="n"/>
      <c r="BM151" s="75" t="n"/>
      <c r="BN151" s="75" t="n"/>
      <c r="BO151" s="75" t="n"/>
      <c r="BP151" s="75" t="n"/>
      <c r="BQ151" s="75" t="n"/>
      <c r="BR151" s="75" t="n"/>
      <c r="BS151" s="75" t="n"/>
      <c r="BT151" s="75" t="n"/>
      <c r="BU151" s="75" t="n"/>
      <c r="BV151" s="75" t="n"/>
      <c r="BW151" s="75" t="n"/>
      <c r="BX151" s="75" t="n"/>
      <c r="BY151" s="75" t="n"/>
      <c r="BZ151" s="75" t="n"/>
      <c r="CA151" s="75" t="n"/>
      <c r="CB151" s="75" t="n"/>
      <c r="CC151" s="75" t="n"/>
      <c r="CD151" s="75" t="n"/>
      <c r="CE151" s="75" t="n"/>
      <c r="CF151" s="75" t="n"/>
      <c r="CG151" s="75" t="n"/>
      <c r="CH151" s="75" t="n"/>
      <c r="CI151" s="75" t="n"/>
      <c r="CJ151" s="75" t="n"/>
      <c r="CK151" s="75" t="n"/>
      <c r="CL151" s="75" t="n"/>
      <c r="CM151" s="75" t="n"/>
      <c r="CN151" s="75" t="n"/>
      <c r="CO151" s="75" t="n"/>
      <c r="CP151" s="75" t="n"/>
      <c r="CQ151" s="75" t="n"/>
      <c r="CR151" s="75" t="n"/>
      <c r="CS151" s="75" t="n"/>
      <c r="CT151" s="75" t="n"/>
      <c r="CU151" s="75" t="n"/>
      <c r="CV151" s="75" t="n"/>
      <c r="CW151" s="75" t="n"/>
      <c r="CX151" s="75" t="n"/>
      <c r="CY151" s="75" t="n"/>
      <c r="CZ151" s="75" t="n"/>
    </row>
    <row r="152">
      <c r="B152" s="134">
        <f>IF($A151="",0,COUNT($E152:$CZ152))</f>
        <v/>
      </c>
    </row>
    <row r="153">
      <c r="A153" s="5">
        <f>IF(AS51!$C$79="","",AS51!$C$79)</f>
        <v/>
      </c>
      <c r="B153" s="134">
        <f>IF($A153="",0,COUNT($E153:$CZ153))</f>
        <v/>
      </c>
      <c r="C153" s="135">
        <f>IF($A153="",0,IF($B153=0,0,MAX($E153:$CZ153)))</f>
        <v/>
      </c>
      <c r="D153" s="74">
        <f>BDS($A153,'Field Check'!$C$42,"headers=y","startcol=2","endcol=3","dir=h")</f>
        <v/>
      </c>
      <c r="E153" s="75" t="n"/>
      <c r="F153" s="75" t="n"/>
      <c r="G153" s="75" t="n"/>
      <c r="H153" s="75" t="n"/>
      <c r="I153" s="75" t="n"/>
      <c r="J153" s="75" t="n"/>
      <c r="K153" s="75" t="n"/>
      <c r="L153" s="75" t="n"/>
      <c r="M153" s="75" t="n"/>
      <c r="N153" s="75" t="n"/>
      <c r="O153" s="75" t="n"/>
      <c r="P153" s="75" t="n"/>
      <c r="Q153" s="75" t="n"/>
      <c r="R153" s="75" t="n"/>
      <c r="S153" s="75" t="n"/>
      <c r="T153" s="75" t="n"/>
      <c r="U153" s="75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  <c r="AU153" s="75" t="n"/>
      <c r="AV153" s="75" t="n"/>
      <c r="AW153" s="75" t="n"/>
      <c r="AX153" s="75" t="n"/>
      <c r="AY153" s="75" t="n"/>
      <c r="AZ153" s="75" t="n"/>
      <c r="BA153" s="75" t="n"/>
      <c r="BB153" s="75" t="n"/>
      <c r="BC153" s="75" t="n"/>
      <c r="BD153" s="75" t="n"/>
      <c r="BE153" s="75" t="n"/>
      <c r="BF153" s="75" t="n"/>
      <c r="BG153" s="75" t="n"/>
      <c r="BH153" s="75" t="n"/>
      <c r="BI153" s="75" t="n"/>
      <c r="BJ153" s="75" t="n"/>
      <c r="BK153" s="75" t="n"/>
      <c r="BL153" s="75" t="n"/>
      <c r="BM153" s="75" t="n"/>
      <c r="BN153" s="75" t="n"/>
      <c r="BO153" s="75" t="n"/>
      <c r="BP153" s="75" t="n"/>
      <c r="BQ153" s="75" t="n"/>
      <c r="BR153" s="75" t="n"/>
      <c r="BS153" s="75" t="n"/>
      <c r="BT153" s="75" t="n"/>
      <c r="BU153" s="75" t="n"/>
      <c r="BV153" s="75" t="n"/>
      <c r="BW153" s="75" t="n"/>
      <c r="BX153" s="75" t="n"/>
      <c r="BY153" s="75" t="n"/>
      <c r="BZ153" s="75" t="n"/>
      <c r="CA153" s="75" t="n"/>
      <c r="CB153" s="75" t="n"/>
      <c r="CC153" s="75" t="n"/>
      <c r="CD153" s="75" t="n"/>
      <c r="CE153" s="75" t="n"/>
      <c r="CF153" s="75" t="n"/>
      <c r="CG153" s="75" t="n"/>
      <c r="CH153" s="75" t="n"/>
      <c r="CI153" s="75" t="n"/>
      <c r="CJ153" s="75" t="n"/>
      <c r="CK153" s="75" t="n"/>
      <c r="CL153" s="75" t="n"/>
      <c r="CM153" s="75" t="n"/>
      <c r="CN153" s="75" t="n"/>
      <c r="CO153" s="75" t="n"/>
      <c r="CP153" s="75" t="n"/>
      <c r="CQ153" s="75" t="n"/>
      <c r="CR153" s="75" t="n"/>
      <c r="CS153" s="75" t="n"/>
      <c r="CT153" s="75" t="n"/>
      <c r="CU153" s="75" t="n"/>
      <c r="CV153" s="75" t="n"/>
      <c r="CW153" s="75" t="n"/>
      <c r="CX153" s="75" t="n"/>
      <c r="CY153" s="75" t="n"/>
      <c r="CZ153" s="75" t="n"/>
    </row>
    <row r="154">
      <c r="B154" s="134">
        <f>IF($A153="",0,COUNT($E154:$CZ154))</f>
        <v/>
      </c>
    </row>
    <row r="155">
      <c r="A155" s="5">
        <f>IF(AS51!$C$80="","",AS51!$C$80)</f>
        <v/>
      </c>
      <c r="B155" s="134">
        <f>IF($A155="",0,COUNT($E155:$CZ155))</f>
        <v/>
      </c>
      <c r="C155" s="135">
        <f>IF($A155="",0,IF($B155=0,0,MAX($E155:$CZ155)))</f>
        <v/>
      </c>
      <c r="D155" s="74">
        <f>BDS($A155,'Field Check'!$C$42,"headers=y","startcol=2","endcol=3","dir=h")</f>
        <v/>
      </c>
      <c r="E155" s="75" t="n"/>
      <c r="F155" s="75" t="n"/>
      <c r="G155" s="75" t="n"/>
      <c r="H155" s="75" t="n"/>
      <c r="I155" s="75" t="n"/>
      <c r="J155" s="75" t="n"/>
      <c r="K155" s="75" t="n"/>
      <c r="L155" s="75" t="n"/>
      <c r="M155" s="75" t="n"/>
      <c r="N155" s="75" t="n"/>
      <c r="O155" s="75" t="n"/>
      <c r="P155" s="75" t="n"/>
      <c r="Q155" s="75" t="n"/>
      <c r="R155" s="75" t="n"/>
      <c r="S155" s="75" t="n"/>
      <c r="T155" s="75" t="n"/>
      <c r="U155" s="75" t="n"/>
      <c r="V155" s="75" t="n"/>
      <c r="W155" s="75" t="n"/>
      <c r="X155" s="75" t="n"/>
      <c r="Y155" s="75" t="n"/>
      <c r="Z155" s="75" t="n"/>
      <c r="AA155" s="75" t="n"/>
      <c r="AB155" s="75" t="n"/>
      <c r="AC155" s="75" t="n"/>
      <c r="AD155" s="75" t="n"/>
      <c r="AE155" s="75" t="n"/>
      <c r="AF155" s="75" t="n"/>
      <c r="AG155" s="75" t="n"/>
      <c r="AH155" s="75" t="n"/>
      <c r="AI155" s="75" t="n"/>
      <c r="AJ155" s="75" t="n"/>
      <c r="AK155" s="75" t="n"/>
      <c r="AL155" s="75" t="n"/>
      <c r="AM155" s="75" t="n"/>
      <c r="AN155" s="75" t="n"/>
      <c r="AO155" s="75" t="n"/>
      <c r="AP155" s="75" t="n"/>
      <c r="AQ155" s="75" t="n"/>
      <c r="AR155" s="75" t="n"/>
      <c r="AS155" s="75" t="n"/>
      <c r="AT155" s="75" t="n"/>
      <c r="AU155" s="75" t="n"/>
      <c r="AV155" s="75" t="n"/>
      <c r="AW155" s="75" t="n"/>
      <c r="AX155" s="75" t="n"/>
      <c r="AY155" s="75" t="n"/>
      <c r="AZ155" s="75" t="n"/>
      <c r="BA155" s="75" t="n"/>
      <c r="BB155" s="75" t="n"/>
      <c r="BC155" s="75" t="n"/>
      <c r="BD155" s="75" t="n"/>
      <c r="BE155" s="75" t="n"/>
      <c r="BF155" s="75" t="n"/>
      <c r="BG155" s="75" t="n"/>
      <c r="BH155" s="75" t="n"/>
      <c r="BI155" s="75" t="n"/>
      <c r="BJ155" s="75" t="n"/>
      <c r="BK155" s="75" t="n"/>
      <c r="BL155" s="75" t="n"/>
      <c r="BM155" s="75" t="n"/>
      <c r="BN155" s="75" t="n"/>
      <c r="BO155" s="75" t="n"/>
      <c r="BP155" s="75" t="n"/>
      <c r="BQ155" s="75" t="n"/>
      <c r="BR155" s="75" t="n"/>
      <c r="BS155" s="75" t="n"/>
      <c r="BT155" s="75" t="n"/>
      <c r="BU155" s="75" t="n"/>
      <c r="BV155" s="75" t="n"/>
      <c r="BW155" s="75" t="n"/>
      <c r="BX155" s="75" t="n"/>
      <c r="BY155" s="75" t="n"/>
      <c r="BZ155" s="75" t="n"/>
      <c r="CA155" s="75" t="n"/>
      <c r="CB155" s="75" t="n"/>
      <c r="CC155" s="75" t="n"/>
      <c r="CD155" s="75" t="n"/>
      <c r="CE155" s="75" t="n"/>
      <c r="CF155" s="75" t="n"/>
      <c r="CG155" s="75" t="n"/>
      <c r="CH155" s="75" t="n"/>
      <c r="CI155" s="75" t="n"/>
      <c r="CJ155" s="75" t="n"/>
      <c r="CK155" s="75" t="n"/>
      <c r="CL155" s="75" t="n"/>
      <c r="CM155" s="75" t="n"/>
      <c r="CN155" s="75" t="n"/>
      <c r="CO155" s="75" t="n"/>
      <c r="CP155" s="75" t="n"/>
      <c r="CQ155" s="75" t="n"/>
      <c r="CR155" s="75" t="n"/>
      <c r="CS155" s="75" t="n"/>
      <c r="CT155" s="75" t="n"/>
      <c r="CU155" s="75" t="n"/>
      <c r="CV155" s="75" t="n"/>
      <c r="CW155" s="75" t="n"/>
      <c r="CX155" s="75" t="n"/>
      <c r="CY155" s="75" t="n"/>
      <c r="CZ155" s="75" t="n"/>
    </row>
    <row r="156">
      <c r="B156" s="134">
        <f>IF($A155="",0,COUNT($E156:$CZ156))</f>
        <v/>
      </c>
    </row>
    <row r="157">
      <c r="A157" s="5">
        <f>IF(AS51!$C$81="","",AS51!$C$81)</f>
        <v/>
      </c>
      <c r="B157" s="134">
        <f>IF($A157="",0,COUNT($E157:$CZ157))</f>
        <v/>
      </c>
      <c r="C157" s="135">
        <f>IF($A157="",0,IF($B157=0,0,MAX($E157:$CZ157)))</f>
        <v/>
      </c>
      <c r="D157" s="74">
        <f>BDS($A157,'Field Check'!$C$42,"headers=y","startcol=2","endcol=3","dir=h")</f>
        <v/>
      </c>
      <c r="E157" s="75" t="n"/>
      <c r="F157" s="75" t="n"/>
      <c r="G157" s="75" t="n"/>
      <c r="H157" s="75" t="n"/>
      <c r="I157" s="75" t="n"/>
      <c r="J157" s="75" t="n"/>
      <c r="K157" s="75" t="n"/>
      <c r="L157" s="75" t="n"/>
      <c r="M157" s="75" t="n"/>
      <c r="N157" s="75" t="n"/>
      <c r="O157" s="75" t="n"/>
      <c r="P157" s="75" t="n"/>
      <c r="Q157" s="75" t="n"/>
      <c r="R157" s="75" t="n"/>
      <c r="S157" s="75" t="n"/>
      <c r="T157" s="75" t="n"/>
      <c r="U157" s="75" t="n"/>
      <c r="V157" s="75" t="n"/>
      <c r="W157" s="75" t="n"/>
      <c r="X157" s="75" t="n"/>
      <c r="Y157" s="75" t="n"/>
      <c r="Z157" s="75" t="n"/>
      <c r="AA157" s="75" t="n"/>
      <c r="AB157" s="75" t="n"/>
      <c r="AC157" s="75" t="n"/>
      <c r="AD157" s="75" t="n"/>
      <c r="AE157" s="75" t="n"/>
      <c r="AF157" s="75" t="n"/>
      <c r="AG157" s="75" t="n"/>
      <c r="AH157" s="75" t="n"/>
      <c r="AI157" s="75" t="n"/>
      <c r="AJ157" s="75" t="n"/>
      <c r="AK157" s="75" t="n"/>
      <c r="AL157" s="75" t="n"/>
      <c r="AM157" s="75" t="n"/>
      <c r="AN157" s="75" t="n"/>
      <c r="AO157" s="75" t="n"/>
      <c r="AP157" s="75" t="n"/>
      <c r="AQ157" s="75" t="n"/>
      <c r="AR157" s="75" t="n"/>
      <c r="AS157" s="75" t="n"/>
      <c r="AT157" s="75" t="n"/>
      <c r="AU157" s="75" t="n"/>
      <c r="AV157" s="75" t="n"/>
      <c r="AW157" s="75" t="n"/>
      <c r="AX157" s="75" t="n"/>
      <c r="AY157" s="75" t="n"/>
      <c r="AZ157" s="75" t="n"/>
      <c r="BA157" s="75" t="n"/>
      <c r="BB157" s="75" t="n"/>
      <c r="BC157" s="75" t="n"/>
      <c r="BD157" s="75" t="n"/>
      <c r="BE157" s="75" t="n"/>
      <c r="BF157" s="75" t="n"/>
      <c r="BG157" s="75" t="n"/>
      <c r="BH157" s="75" t="n"/>
      <c r="BI157" s="75" t="n"/>
      <c r="BJ157" s="75" t="n"/>
      <c r="BK157" s="75" t="n"/>
      <c r="BL157" s="75" t="n"/>
      <c r="BM157" s="75" t="n"/>
      <c r="BN157" s="75" t="n"/>
      <c r="BO157" s="75" t="n"/>
      <c r="BP157" s="75" t="n"/>
      <c r="BQ157" s="75" t="n"/>
      <c r="BR157" s="75" t="n"/>
      <c r="BS157" s="75" t="n"/>
      <c r="BT157" s="75" t="n"/>
      <c r="BU157" s="75" t="n"/>
      <c r="BV157" s="75" t="n"/>
      <c r="BW157" s="75" t="n"/>
      <c r="BX157" s="75" t="n"/>
      <c r="BY157" s="75" t="n"/>
      <c r="BZ157" s="75" t="n"/>
      <c r="CA157" s="75" t="n"/>
      <c r="CB157" s="75" t="n"/>
      <c r="CC157" s="75" t="n"/>
      <c r="CD157" s="75" t="n"/>
      <c r="CE157" s="75" t="n"/>
      <c r="CF157" s="75" t="n"/>
      <c r="CG157" s="75" t="n"/>
      <c r="CH157" s="75" t="n"/>
      <c r="CI157" s="75" t="n"/>
      <c r="CJ157" s="75" t="n"/>
      <c r="CK157" s="75" t="n"/>
      <c r="CL157" s="75" t="n"/>
      <c r="CM157" s="75" t="n"/>
      <c r="CN157" s="75" t="n"/>
      <c r="CO157" s="75" t="n"/>
      <c r="CP157" s="75" t="n"/>
      <c r="CQ157" s="75" t="n"/>
      <c r="CR157" s="75" t="n"/>
      <c r="CS157" s="75" t="n"/>
      <c r="CT157" s="75" t="n"/>
      <c r="CU157" s="75" t="n"/>
      <c r="CV157" s="75" t="n"/>
      <c r="CW157" s="75" t="n"/>
      <c r="CX157" s="75" t="n"/>
      <c r="CY157" s="75" t="n"/>
      <c r="CZ157" s="75" t="n"/>
    </row>
    <row r="158">
      <c r="B158" s="134">
        <f>IF($A157="",0,COUNT($E158:$CZ158))</f>
        <v/>
      </c>
    </row>
    <row r="159">
      <c r="A159" s="5">
        <f>IF(AS51!$C$82="","",AS51!$C$82)</f>
        <v/>
      </c>
      <c r="B159" s="134">
        <f>IF($A159="",0,COUNT($E159:$CZ159))</f>
        <v/>
      </c>
      <c r="C159" s="135">
        <f>IF($A159="",0,IF($B159=0,0,MAX($E159:$CZ159)))</f>
        <v/>
      </c>
      <c r="D159" s="74">
        <f>BDS($A159,'Field Check'!$C$42,"headers=y","startcol=2","endcol=3","dir=h")</f>
        <v/>
      </c>
      <c r="E159" s="75" t="n"/>
      <c r="F159" s="75" t="n"/>
      <c r="G159" s="75" t="n"/>
      <c r="H159" s="75" t="n"/>
      <c r="I159" s="75" t="n"/>
      <c r="J159" s="75" t="n"/>
      <c r="K159" s="75" t="n"/>
      <c r="L159" s="75" t="n"/>
      <c r="M159" s="75" t="n"/>
      <c r="N159" s="75" t="n"/>
      <c r="O159" s="75" t="n"/>
      <c r="P159" s="75" t="n"/>
      <c r="Q159" s="75" t="n"/>
      <c r="R159" s="75" t="n"/>
      <c r="S159" s="75" t="n"/>
      <c r="T159" s="75" t="n"/>
      <c r="U159" s="75" t="n"/>
      <c r="V159" s="75" t="n"/>
      <c r="W159" s="75" t="n"/>
      <c r="X159" s="75" t="n"/>
      <c r="Y159" s="75" t="n"/>
      <c r="Z159" s="75" t="n"/>
      <c r="AA159" s="75" t="n"/>
      <c r="AB159" s="75" t="n"/>
      <c r="AC159" s="75" t="n"/>
      <c r="AD159" s="75" t="n"/>
      <c r="AE159" s="75" t="n"/>
      <c r="AF159" s="75" t="n"/>
      <c r="AG159" s="75" t="n"/>
      <c r="AH159" s="75" t="n"/>
      <c r="AI159" s="75" t="n"/>
      <c r="AJ159" s="75" t="n"/>
      <c r="AK159" s="75" t="n"/>
      <c r="AL159" s="75" t="n"/>
      <c r="AM159" s="75" t="n"/>
      <c r="AN159" s="75" t="n"/>
      <c r="AO159" s="75" t="n"/>
      <c r="AP159" s="75" t="n"/>
      <c r="AQ159" s="75" t="n"/>
      <c r="AR159" s="75" t="n"/>
      <c r="AS159" s="75" t="n"/>
      <c r="AT159" s="75" t="n"/>
      <c r="AU159" s="75" t="n"/>
      <c r="AV159" s="75" t="n"/>
      <c r="AW159" s="75" t="n"/>
      <c r="AX159" s="75" t="n"/>
      <c r="AY159" s="75" t="n"/>
      <c r="AZ159" s="75" t="n"/>
      <c r="BA159" s="75" t="n"/>
      <c r="BB159" s="75" t="n"/>
      <c r="BC159" s="75" t="n"/>
      <c r="BD159" s="75" t="n"/>
      <c r="BE159" s="75" t="n"/>
      <c r="BF159" s="75" t="n"/>
      <c r="BG159" s="75" t="n"/>
      <c r="BH159" s="75" t="n"/>
      <c r="BI159" s="75" t="n"/>
      <c r="BJ159" s="75" t="n"/>
      <c r="BK159" s="75" t="n"/>
      <c r="BL159" s="75" t="n"/>
      <c r="BM159" s="75" t="n"/>
      <c r="BN159" s="75" t="n"/>
      <c r="BO159" s="75" t="n"/>
      <c r="BP159" s="75" t="n"/>
      <c r="BQ159" s="75" t="n"/>
      <c r="BR159" s="75" t="n"/>
      <c r="BS159" s="75" t="n"/>
      <c r="BT159" s="75" t="n"/>
      <c r="BU159" s="75" t="n"/>
      <c r="BV159" s="75" t="n"/>
      <c r="BW159" s="75" t="n"/>
      <c r="BX159" s="75" t="n"/>
      <c r="BY159" s="75" t="n"/>
      <c r="BZ159" s="75" t="n"/>
      <c r="CA159" s="75" t="n"/>
      <c r="CB159" s="75" t="n"/>
      <c r="CC159" s="75" t="n"/>
      <c r="CD159" s="75" t="n"/>
      <c r="CE159" s="75" t="n"/>
      <c r="CF159" s="75" t="n"/>
      <c r="CG159" s="75" t="n"/>
      <c r="CH159" s="75" t="n"/>
      <c r="CI159" s="75" t="n"/>
      <c r="CJ159" s="75" t="n"/>
      <c r="CK159" s="75" t="n"/>
      <c r="CL159" s="75" t="n"/>
      <c r="CM159" s="75" t="n"/>
      <c r="CN159" s="75" t="n"/>
      <c r="CO159" s="75" t="n"/>
      <c r="CP159" s="75" t="n"/>
      <c r="CQ159" s="75" t="n"/>
      <c r="CR159" s="75" t="n"/>
      <c r="CS159" s="75" t="n"/>
      <c r="CT159" s="75" t="n"/>
      <c r="CU159" s="75" t="n"/>
      <c r="CV159" s="75" t="n"/>
      <c r="CW159" s="75" t="n"/>
      <c r="CX159" s="75" t="n"/>
      <c r="CY159" s="75" t="n"/>
      <c r="CZ159" s="75" t="n"/>
    </row>
    <row r="160">
      <c r="B160" s="134">
        <f>IF($A159="",0,COUNT($E160:$CZ160))</f>
        <v/>
      </c>
    </row>
    <row r="161">
      <c r="A161" s="5">
        <f>IF(AS51!$C$83="","",AS51!$C$83)</f>
        <v/>
      </c>
      <c r="B161" s="134">
        <f>IF($A161="",0,COUNT($E161:$CZ161))</f>
        <v/>
      </c>
      <c r="C161" s="135">
        <f>IF($A161="",0,IF($B161=0,0,MAX($E161:$CZ161)))</f>
        <v/>
      </c>
      <c r="D161" s="74">
        <f>BDS($A161,'Field Check'!$C$42,"headers=y","startcol=2","endcol=3","dir=h")</f>
        <v/>
      </c>
      <c r="E161" s="75" t="n"/>
      <c r="F161" s="75" t="n"/>
      <c r="G161" s="75" t="n"/>
      <c r="H161" s="75" t="n"/>
      <c r="I161" s="75" t="n"/>
      <c r="J161" s="75" t="n"/>
      <c r="K161" s="75" t="n"/>
      <c r="L161" s="75" t="n"/>
      <c r="M161" s="75" t="n"/>
      <c r="N161" s="75" t="n"/>
      <c r="O161" s="75" t="n"/>
      <c r="P161" s="75" t="n"/>
      <c r="Q161" s="75" t="n"/>
      <c r="R161" s="75" t="n"/>
      <c r="S161" s="75" t="n"/>
      <c r="T161" s="75" t="n"/>
      <c r="U161" s="75" t="n"/>
      <c r="V161" s="75" t="n"/>
      <c r="W161" s="75" t="n"/>
      <c r="X161" s="75" t="n"/>
      <c r="Y161" s="75" t="n"/>
      <c r="Z161" s="75" t="n"/>
      <c r="AA161" s="75" t="n"/>
      <c r="AB161" s="75" t="n"/>
      <c r="AC161" s="75" t="n"/>
      <c r="AD161" s="75" t="n"/>
      <c r="AE161" s="75" t="n"/>
      <c r="AF161" s="75" t="n"/>
      <c r="AG161" s="75" t="n"/>
      <c r="AH161" s="75" t="n"/>
      <c r="AI161" s="75" t="n"/>
      <c r="AJ161" s="75" t="n"/>
      <c r="AK161" s="75" t="n"/>
      <c r="AL161" s="75" t="n"/>
      <c r="AM161" s="75" t="n"/>
      <c r="AN161" s="75" t="n"/>
      <c r="AO161" s="75" t="n"/>
      <c r="AP161" s="75" t="n"/>
      <c r="AQ161" s="75" t="n"/>
      <c r="AR161" s="75" t="n"/>
      <c r="AS161" s="75" t="n"/>
      <c r="AT161" s="75" t="n"/>
      <c r="AU161" s="75" t="n"/>
      <c r="AV161" s="75" t="n"/>
      <c r="AW161" s="75" t="n"/>
      <c r="AX161" s="75" t="n"/>
      <c r="AY161" s="75" t="n"/>
      <c r="AZ161" s="75" t="n"/>
      <c r="BA161" s="75" t="n"/>
      <c r="BB161" s="75" t="n"/>
      <c r="BC161" s="75" t="n"/>
      <c r="BD161" s="75" t="n"/>
      <c r="BE161" s="75" t="n"/>
      <c r="BF161" s="75" t="n"/>
      <c r="BG161" s="75" t="n"/>
      <c r="BH161" s="75" t="n"/>
      <c r="BI161" s="75" t="n"/>
      <c r="BJ161" s="75" t="n"/>
      <c r="BK161" s="75" t="n"/>
      <c r="BL161" s="75" t="n"/>
      <c r="BM161" s="75" t="n"/>
      <c r="BN161" s="75" t="n"/>
      <c r="BO161" s="75" t="n"/>
      <c r="BP161" s="75" t="n"/>
      <c r="BQ161" s="75" t="n"/>
      <c r="BR161" s="75" t="n"/>
      <c r="BS161" s="75" t="n"/>
      <c r="BT161" s="75" t="n"/>
      <c r="BU161" s="75" t="n"/>
      <c r="BV161" s="75" t="n"/>
      <c r="BW161" s="75" t="n"/>
      <c r="BX161" s="75" t="n"/>
      <c r="BY161" s="75" t="n"/>
      <c r="BZ161" s="75" t="n"/>
      <c r="CA161" s="75" t="n"/>
      <c r="CB161" s="75" t="n"/>
      <c r="CC161" s="75" t="n"/>
      <c r="CD161" s="75" t="n"/>
      <c r="CE161" s="75" t="n"/>
      <c r="CF161" s="75" t="n"/>
      <c r="CG161" s="75" t="n"/>
      <c r="CH161" s="75" t="n"/>
      <c r="CI161" s="75" t="n"/>
      <c r="CJ161" s="75" t="n"/>
      <c r="CK161" s="75" t="n"/>
      <c r="CL161" s="75" t="n"/>
      <c r="CM161" s="75" t="n"/>
      <c r="CN161" s="75" t="n"/>
      <c r="CO161" s="75" t="n"/>
      <c r="CP161" s="75" t="n"/>
      <c r="CQ161" s="75" t="n"/>
      <c r="CR161" s="75" t="n"/>
      <c r="CS161" s="75" t="n"/>
      <c r="CT161" s="75" t="n"/>
      <c r="CU161" s="75" t="n"/>
      <c r="CV161" s="75" t="n"/>
      <c r="CW161" s="75" t="n"/>
      <c r="CX161" s="75" t="n"/>
      <c r="CY161" s="75" t="n"/>
      <c r="CZ161" s="75" t="n"/>
    </row>
    <row r="162">
      <c r="B162" s="134">
        <f>IF($A161="",0,COUNT($E162:$CZ162))</f>
        <v/>
      </c>
    </row>
    <row r="163">
      <c r="A163" s="5">
        <f>IF(AS51!$C$84="","",AS51!$C$84)</f>
        <v/>
      </c>
      <c r="B163" s="134">
        <f>IF($A163="",0,COUNT($E163:$CZ163))</f>
        <v/>
      </c>
      <c r="C163" s="135">
        <f>IF($A163="",0,IF($B163=0,0,MAX($E163:$CZ163)))</f>
        <v/>
      </c>
      <c r="D163" s="74">
        <f>BDS($A163,'Field Check'!$C$42,"headers=y","startcol=2","endcol=3","dir=h")</f>
        <v/>
      </c>
      <c r="E163" s="75" t="n"/>
      <c r="F163" s="75" t="n"/>
      <c r="G163" s="75" t="n"/>
      <c r="H163" s="75" t="n"/>
      <c r="I163" s="75" t="n"/>
      <c r="J163" s="75" t="n"/>
      <c r="K163" s="75" t="n"/>
      <c r="L163" s="75" t="n"/>
      <c r="M163" s="75" t="n"/>
      <c r="N163" s="75" t="n"/>
      <c r="O163" s="75" t="n"/>
      <c r="P163" s="75" t="n"/>
      <c r="Q163" s="75" t="n"/>
      <c r="R163" s="75" t="n"/>
      <c r="S163" s="75" t="n"/>
      <c r="T163" s="75" t="n"/>
      <c r="U163" s="75" t="n"/>
      <c r="V163" s="75" t="n"/>
      <c r="W163" s="75" t="n"/>
      <c r="X163" s="75" t="n"/>
      <c r="Y163" s="75" t="n"/>
      <c r="Z163" s="75" t="n"/>
      <c r="AA163" s="75" t="n"/>
      <c r="AB163" s="75" t="n"/>
      <c r="AC163" s="75" t="n"/>
      <c r="AD163" s="75" t="n"/>
      <c r="AE163" s="75" t="n"/>
      <c r="AF163" s="75" t="n"/>
      <c r="AG163" s="75" t="n"/>
      <c r="AH163" s="75" t="n"/>
      <c r="AI163" s="75" t="n"/>
      <c r="AJ163" s="75" t="n"/>
      <c r="AK163" s="75" t="n"/>
      <c r="AL163" s="75" t="n"/>
      <c r="AM163" s="75" t="n"/>
      <c r="AN163" s="75" t="n"/>
      <c r="AO163" s="75" t="n"/>
      <c r="AP163" s="75" t="n"/>
      <c r="AQ163" s="75" t="n"/>
      <c r="AR163" s="75" t="n"/>
      <c r="AS163" s="75" t="n"/>
      <c r="AT163" s="75" t="n"/>
      <c r="AU163" s="75" t="n"/>
      <c r="AV163" s="75" t="n"/>
      <c r="AW163" s="75" t="n"/>
      <c r="AX163" s="75" t="n"/>
      <c r="AY163" s="75" t="n"/>
      <c r="AZ163" s="75" t="n"/>
      <c r="BA163" s="75" t="n"/>
      <c r="BB163" s="75" t="n"/>
      <c r="BC163" s="75" t="n"/>
      <c r="BD163" s="75" t="n"/>
      <c r="BE163" s="75" t="n"/>
      <c r="BF163" s="75" t="n"/>
      <c r="BG163" s="75" t="n"/>
      <c r="BH163" s="75" t="n"/>
      <c r="BI163" s="75" t="n"/>
      <c r="BJ163" s="75" t="n"/>
      <c r="BK163" s="75" t="n"/>
      <c r="BL163" s="75" t="n"/>
      <c r="BM163" s="75" t="n"/>
      <c r="BN163" s="75" t="n"/>
      <c r="BO163" s="75" t="n"/>
      <c r="BP163" s="75" t="n"/>
      <c r="BQ163" s="75" t="n"/>
      <c r="BR163" s="75" t="n"/>
      <c r="BS163" s="75" t="n"/>
      <c r="BT163" s="75" t="n"/>
      <c r="BU163" s="75" t="n"/>
      <c r="BV163" s="75" t="n"/>
      <c r="BW163" s="75" t="n"/>
      <c r="BX163" s="75" t="n"/>
      <c r="BY163" s="75" t="n"/>
      <c r="BZ163" s="75" t="n"/>
      <c r="CA163" s="75" t="n"/>
      <c r="CB163" s="75" t="n"/>
      <c r="CC163" s="75" t="n"/>
      <c r="CD163" s="75" t="n"/>
      <c r="CE163" s="75" t="n"/>
      <c r="CF163" s="75" t="n"/>
      <c r="CG163" s="75" t="n"/>
      <c r="CH163" s="75" t="n"/>
      <c r="CI163" s="75" t="n"/>
      <c r="CJ163" s="75" t="n"/>
      <c r="CK163" s="75" t="n"/>
      <c r="CL163" s="75" t="n"/>
      <c r="CM163" s="75" t="n"/>
      <c r="CN163" s="75" t="n"/>
      <c r="CO163" s="75" t="n"/>
      <c r="CP163" s="75" t="n"/>
      <c r="CQ163" s="75" t="n"/>
      <c r="CR163" s="75" t="n"/>
      <c r="CS163" s="75" t="n"/>
      <c r="CT163" s="75" t="n"/>
      <c r="CU163" s="75" t="n"/>
      <c r="CV163" s="75" t="n"/>
      <c r="CW163" s="75" t="n"/>
      <c r="CX163" s="75" t="n"/>
      <c r="CY163" s="75" t="n"/>
      <c r="CZ163" s="75" t="n"/>
    </row>
    <row r="164">
      <c r="B164" s="134">
        <f>IF($A163="",0,COUNT($E164:$CZ164))</f>
        <v/>
      </c>
    </row>
    <row r="165">
      <c r="A165" s="5">
        <f>IF(AS51!$C$85="","",AS51!$C$85)</f>
        <v/>
      </c>
      <c r="B165" s="134">
        <f>IF($A165="",0,COUNT($E165:$CZ165))</f>
        <v/>
      </c>
      <c r="C165" s="135">
        <f>IF($A165="",0,IF($B165=0,0,MAX($E165:$CZ165)))</f>
        <v/>
      </c>
      <c r="D165" s="74">
        <f>BDS($A165,'Field Check'!$C$42,"headers=y","startcol=2","endcol=3","dir=h")</f>
        <v/>
      </c>
      <c r="E165" s="75" t="n"/>
      <c r="F165" s="75" t="n"/>
      <c r="G165" s="75" t="n"/>
      <c r="H165" s="75" t="n"/>
      <c r="I165" s="75" t="n"/>
      <c r="J165" s="75" t="n"/>
      <c r="K165" s="75" t="n"/>
      <c r="L165" s="75" t="n"/>
      <c r="M165" s="75" t="n"/>
      <c r="N165" s="75" t="n"/>
      <c r="O165" s="75" t="n"/>
      <c r="P165" s="75" t="n"/>
      <c r="Q165" s="75" t="n"/>
      <c r="R165" s="75" t="n"/>
      <c r="S165" s="75" t="n"/>
      <c r="T165" s="75" t="n"/>
      <c r="U165" s="75" t="n"/>
      <c r="V165" s="75" t="n"/>
      <c r="W165" s="75" t="n"/>
      <c r="X165" s="75" t="n"/>
      <c r="Y165" s="75" t="n"/>
      <c r="Z165" s="75" t="n"/>
      <c r="AA165" s="75" t="n"/>
      <c r="AB165" s="75" t="n"/>
      <c r="AC165" s="75" t="n"/>
      <c r="AD165" s="75" t="n"/>
      <c r="AE165" s="75" t="n"/>
      <c r="AF165" s="75" t="n"/>
      <c r="AG165" s="75" t="n"/>
      <c r="AH165" s="75" t="n"/>
      <c r="AI165" s="75" t="n"/>
      <c r="AJ165" s="75" t="n"/>
      <c r="AK165" s="75" t="n"/>
      <c r="AL165" s="75" t="n"/>
      <c r="AM165" s="75" t="n"/>
      <c r="AN165" s="75" t="n"/>
      <c r="AO165" s="75" t="n"/>
      <c r="AP165" s="75" t="n"/>
      <c r="AQ165" s="75" t="n"/>
      <c r="AR165" s="75" t="n"/>
      <c r="AS165" s="75" t="n"/>
      <c r="AT165" s="75" t="n"/>
      <c r="AU165" s="75" t="n"/>
      <c r="AV165" s="75" t="n"/>
      <c r="AW165" s="75" t="n"/>
      <c r="AX165" s="75" t="n"/>
      <c r="AY165" s="75" t="n"/>
      <c r="AZ165" s="75" t="n"/>
      <c r="BA165" s="75" t="n"/>
      <c r="BB165" s="75" t="n"/>
      <c r="BC165" s="75" t="n"/>
      <c r="BD165" s="75" t="n"/>
      <c r="BE165" s="75" t="n"/>
      <c r="BF165" s="75" t="n"/>
      <c r="BG165" s="75" t="n"/>
      <c r="BH165" s="75" t="n"/>
      <c r="BI165" s="75" t="n"/>
      <c r="BJ165" s="75" t="n"/>
      <c r="BK165" s="75" t="n"/>
      <c r="BL165" s="75" t="n"/>
      <c r="BM165" s="75" t="n"/>
      <c r="BN165" s="75" t="n"/>
      <c r="BO165" s="75" t="n"/>
      <c r="BP165" s="75" t="n"/>
      <c r="BQ165" s="75" t="n"/>
      <c r="BR165" s="75" t="n"/>
      <c r="BS165" s="75" t="n"/>
      <c r="BT165" s="75" t="n"/>
      <c r="BU165" s="75" t="n"/>
      <c r="BV165" s="75" t="n"/>
      <c r="BW165" s="75" t="n"/>
      <c r="BX165" s="75" t="n"/>
      <c r="BY165" s="75" t="n"/>
      <c r="BZ165" s="75" t="n"/>
      <c r="CA165" s="75" t="n"/>
      <c r="CB165" s="75" t="n"/>
      <c r="CC165" s="75" t="n"/>
      <c r="CD165" s="75" t="n"/>
      <c r="CE165" s="75" t="n"/>
      <c r="CF165" s="75" t="n"/>
      <c r="CG165" s="75" t="n"/>
      <c r="CH165" s="75" t="n"/>
      <c r="CI165" s="75" t="n"/>
      <c r="CJ165" s="75" t="n"/>
      <c r="CK165" s="75" t="n"/>
      <c r="CL165" s="75" t="n"/>
      <c r="CM165" s="75" t="n"/>
      <c r="CN165" s="75" t="n"/>
      <c r="CO165" s="75" t="n"/>
      <c r="CP165" s="75" t="n"/>
      <c r="CQ165" s="75" t="n"/>
      <c r="CR165" s="75" t="n"/>
      <c r="CS165" s="75" t="n"/>
      <c r="CT165" s="75" t="n"/>
      <c r="CU165" s="75" t="n"/>
      <c r="CV165" s="75" t="n"/>
      <c r="CW165" s="75" t="n"/>
      <c r="CX165" s="75" t="n"/>
      <c r="CY165" s="75" t="n"/>
      <c r="CZ165" s="75" t="n"/>
    </row>
    <row r="166">
      <c r="B166" s="134">
        <f>IF($A165="",0,COUNT($E166:$CZ166))</f>
        <v/>
      </c>
    </row>
    <row r="167">
      <c r="A167" s="5">
        <f>IF(AS51!$C$86="","",AS51!$C$86)</f>
        <v/>
      </c>
      <c r="B167" s="134">
        <f>IF($A167="",0,COUNT($E167:$CZ167))</f>
        <v/>
      </c>
      <c r="C167" s="135">
        <f>IF($A167="",0,IF($B167=0,0,MAX($E167:$CZ167)))</f>
        <v/>
      </c>
      <c r="D167" s="74">
        <f>BDS($A167,'Field Check'!$C$42,"headers=y","startcol=2","endcol=3","dir=h")</f>
        <v/>
      </c>
      <c r="E167" s="75" t="n"/>
      <c r="F167" s="75" t="n"/>
      <c r="G167" s="75" t="n"/>
      <c r="H167" s="75" t="n"/>
      <c r="I167" s="75" t="n"/>
      <c r="J167" s="75" t="n"/>
      <c r="K167" s="75" t="n"/>
      <c r="L167" s="75" t="n"/>
      <c r="M167" s="75" t="n"/>
      <c r="N167" s="75" t="n"/>
      <c r="O167" s="75" t="n"/>
      <c r="P167" s="75" t="n"/>
      <c r="Q167" s="75" t="n"/>
      <c r="R167" s="75" t="n"/>
      <c r="S167" s="75" t="n"/>
      <c r="T167" s="75" t="n"/>
      <c r="U167" s="75" t="n"/>
      <c r="V167" s="75" t="n"/>
      <c r="W167" s="75" t="n"/>
      <c r="X167" s="75" t="n"/>
      <c r="Y167" s="75" t="n"/>
      <c r="Z167" s="75" t="n"/>
      <c r="AA167" s="75" t="n"/>
      <c r="AB167" s="75" t="n"/>
      <c r="AC167" s="75" t="n"/>
      <c r="AD167" s="75" t="n"/>
      <c r="AE167" s="75" t="n"/>
      <c r="AF167" s="75" t="n"/>
      <c r="AG167" s="75" t="n"/>
      <c r="AH167" s="75" t="n"/>
      <c r="AI167" s="75" t="n"/>
      <c r="AJ167" s="75" t="n"/>
      <c r="AK167" s="75" t="n"/>
      <c r="AL167" s="75" t="n"/>
      <c r="AM167" s="75" t="n"/>
      <c r="AN167" s="75" t="n"/>
      <c r="AO167" s="75" t="n"/>
      <c r="AP167" s="75" t="n"/>
      <c r="AQ167" s="75" t="n"/>
      <c r="AR167" s="75" t="n"/>
      <c r="AS167" s="75" t="n"/>
      <c r="AT167" s="75" t="n"/>
      <c r="AU167" s="75" t="n"/>
      <c r="AV167" s="75" t="n"/>
      <c r="AW167" s="75" t="n"/>
      <c r="AX167" s="75" t="n"/>
      <c r="AY167" s="75" t="n"/>
      <c r="AZ167" s="75" t="n"/>
      <c r="BA167" s="75" t="n"/>
      <c r="BB167" s="75" t="n"/>
      <c r="BC167" s="75" t="n"/>
      <c r="BD167" s="75" t="n"/>
      <c r="BE167" s="75" t="n"/>
      <c r="BF167" s="75" t="n"/>
      <c r="BG167" s="75" t="n"/>
      <c r="BH167" s="75" t="n"/>
      <c r="BI167" s="75" t="n"/>
      <c r="BJ167" s="75" t="n"/>
      <c r="BK167" s="75" t="n"/>
      <c r="BL167" s="75" t="n"/>
      <c r="BM167" s="75" t="n"/>
      <c r="BN167" s="75" t="n"/>
      <c r="BO167" s="75" t="n"/>
      <c r="BP167" s="75" t="n"/>
      <c r="BQ167" s="75" t="n"/>
      <c r="BR167" s="75" t="n"/>
      <c r="BS167" s="75" t="n"/>
      <c r="BT167" s="75" t="n"/>
      <c r="BU167" s="75" t="n"/>
      <c r="BV167" s="75" t="n"/>
      <c r="BW167" s="75" t="n"/>
      <c r="BX167" s="75" t="n"/>
      <c r="BY167" s="75" t="n"/>
      <c r="BZ167" s="75" t="n"/>
      <c r="CA167" s="75" t="n"/>
      <c r="CB167" s="75" t="n"/>
      <c r="CC167" s="75" t="n"/>
      <c r="CD167" s="75" t="n"/>
      <c r="CE167" s="75" t="n"/>
      <c r="CF167" s="75" t="n"/>
      <c r="CG167" s="75" t="n"/>
      <c r="CH167" s="75" t="n"/>
      <c r="CI167" s="75" t="n"/>
      <c r="CJ167" s="75" t="n"/>
      <c r="CK167" s="75" t="n"/>
      <c r="CL167" s="75" t="n"/>
      <c r="CM167" s="75" t="n"/>
      <c r="CN167" s="75" t="n"/>
      <c r="CO167" s="75" t="n"/>
      <c r="CP167" s="75" t="n"/>
      <c r="CQ167" s="75" t="n"/>
      <c r="CR167" s="75" t="n"/>
      <c r="CS167" s="75" t="n"/>
      <c r="CT167" s="75" t="n"/>
      <c r="CU167" s="75" t="n"/>
      <c r="CV167" s="75" t="n"/>
      <c r="CW167" s="75" t="n"/>
      <c r="CX167" s="75" t="n"/>
      <c r="CY167" s="75" t="n"/>
      <c r="CZ167" s="75" t="n"/>
    </row>
    <row r="168">
      <c r="B168" s="134">
        <f>IF($A167="",0,COUNT($E168:$CZ168))</f>
        <v/>
      </c>
    </row>
    <row r="169">
      <c r="A169" s="5">
        <f>IF(AS51!$C$87="","",AS51!$C$87)</f>
        <v/>
      </c>
      <c r="B169" s="134">
        <f>IF($A169="",0,COUNT($E169:$CZ169))</f>
        <v/>
      </c>
      <c r="C169" s="135">
        <f>IF($A169="",0,IF($B169=0,0,MAX($E169:$CZ169)))</f>
        <v/>
      </c>
      <c r="D169" s="74">
        <f>BDS($A169,'Field Check'!$C$42,"headers=y","startcol=2","endcol=3","dir=h")</f>
        <v/>
      </c>
      <c r="E169" s="75" t="n"/>
      <c r="F169" s="75" t="n"/>
      <c r="G169" s="75" t="n"/>
      <c r="H169" s="75" t="n"/>
      <c r="I169" s="75" t="n"/>
      <c r="J169" s="75" t="n"/>
      <c r="K169" s="75" t="n"/>
      <c r="L169" s="75" t="n"/>
      <c r="M169" s="75" t="n"/>
      <c r="N169" s="75" t="n"/>
      <c r="O169" s="75" t="n"/>
      <c r="P169" s="75" t="n"/>
      <c r="Q169" s="75" t="n"/>
      <c r="R169" s="75" t="n"/>
      <c r="S169" s="75" t="n"/>
      <c r="T169" s="75" t="n"/>
      <c r="U169" s="75" t="n"/>
      <c r="V169" s="75" t="n"/>
      <c r="W169" s="75" t="n"/>
      <c r="X169" s="75" t="n"/>
      <c r="Y169" s="75" t="n"/>
      <c r="Z169" s="75" t="n"/>
      <c r="AA169" s="75" t="n"/>
      <c r="AB169" s="75" t="n"/>
      <c r="AC169" s="75" t="n"/>
      <c r="AD169" s="75" t="n"/>
      <c r="AE169" s="75" t="n"/>
      <c r="AF169" s="75" t="n"/>
      <c r="AG169" s="75" t="n"/>
      <c r="AH169" s="75" t="n"/>
      <c r="AI169" s="75" t="n"/>
      <c r="AJ169" s="75" t="n"/>
      <c r="AK169" s="75" t="n"/>
      <c r="AL169" s="75" t="n"/>
      <c r="AM169" s="75" t="n"/>
      <c r="AN169" s="75" t="n"/>
      <c r="AO169" s="75" t="n"/>
      <c r="AP169" s="75" t="n"/>
      <c r="AQ169" s="75" t="n"/>
      <c r="AR169" s="75" t="n"/>
      <c r="AS169" s="75" t="n"/>
      <c r="AT169" s="75" t="n"/>
      <c r="AU169" s="75" t="n"/>
      <c r="AV169" s="75" t="n"/>
      <c r="AW169" s="75" t="n"/>
      <c r="AX169" s="75" t="n"/>
      <c r="AY169" s="75" t="n"/>
      <c r="AZ169" s="75" t="n"/>
      <c r="BA169" s="75" t="n"/>
      <c r="BB169" s="75" t="n"/>
      <c r="BC169" s="75" t="n"/>
      <c r="BD169" s="75" t="n"/>
      <c r="BE169" s="75" t="n"/>
      <c r="BF169" s="75" t="n"/>
      <c r="BG169" s="75" t="n"/>
      <c r="BH169" s="75" t="n"/>
      <c r="BI169" s="75" t="n"/>
      <c r="BJ169" s="75" t="n"/>
      <c r="BK169" s="75" t="n"/>
      <c r="BL169" s="75" t="n"/>
      <c r="BM169" s="75" t="n"/>
      <c r="BN169" s="75" t="n"/>
      <c r="BO169" s="75" t="n"/>
      <c r="BP169" s="75" t="n"/>
      <c r="BQ169" s="75" t="n"/>
      <c r="BR169" s="75" t="n"/>
      <c r="BS169" s="75" t="n"/>
      <c r="BT169" s="75" t="n"/>
      <c r="BU169" s="75" t="n"/>
      <c r="BV169" s="75" t="n"/>
      <c r="BW169" s="75" t="n"/>
      <c r="BX169" s="75" t="n"/>
      <c r="BY169" s="75" t="n"/>
      <c r="BZ169" s="75" t="n"/>
      <c r="CA169" s="75" t="n"/>
      <c r="CB169" s="75" t="n"/>
      <c r="CC169" s="75" t="n"/>
      <c r="CD169" s="75" t="n"/>
      <c r="CE169" s="75" t="n"/>
      <c r="CF169" s="75" t="n"/>
      <c r="CG169" s="75" t="n"/>
      <c r="CH169" s="75" t="n"/>
      <c r="CI169" s="75" t="n"/>
      <c r="CJ169" s="75" t="n"/>
      <c r="CK169" s="75" t="n"/>
      <c r="CL169" s="75" t="n"/>
      <c r="CM169" s="75" t="n"/>
      <c r="CN169" s="75" t="n"/>
      <c r="CO169" s="75" t="n"/>
      <c r="CP169" s="75" t="n"/>
      <c r="CQ169" s="75" t="n"/>
      <c r="CR169" s="75" t="n"/>
      <c r="CS169" s="75" t="n"/>
      <c r="CT169" s="75" t="n"/>
      <c r="CU169" s="75" t="n"/>
      <c r="CV169" s="75" t="n"/>
      <c r="CW169" s="75" t="n"/>
      <c r="CX169" s="75" t="n"/>
      <c r="CY169" s="75" t="n"/>
      <c r="CZ169" s="75" t="n"/>
    </row>
    <row r="170">
      <c r="B170" s="134">
        <f>IF($A169="",0,COUNT($E170:$CZ170))</f>
        <v/>
      </c>
    </row>
    <row r="171">
      <c r="A171" s="5">
        <f>IF(AS51!$C$88="","",AS51!$C$88)</f>
        <v/>
      </c>
      <c r="B171" s="134">
        <f>IF($A171="",0,COUNT($E171:$CZ171))</f>
        <v/>
      </c>
      <c r="C171" s="135">
        <f>IF($A171="",0,IF($B171=0,0,MAX($E171:$CZ171)))</f>
        <v/>
      </c>
      <c r="D171" s="74">
        <f>BDS($A171,'Field Check'!$C$42,"headers=y","startcol=2","endcol=3","dir=h")</f>
        <v/>
      </c>
      <c r="E171" s="75" t="n"/>
      <c r="F171" s="75" t="n"/>
      <c r="G171" s="75" t="n"/>
      <c r="H171" s="75" t="n"/>
      <c r="I171" s="75" t="n"/>
      <c r="J171" s="75" t="n"/>
      <c r="K171" s="75" t="n"/>
      <c r="L171" s="75" t="n"/>
      <c r="M171" s="75" t="n"/>
      <c r="N171" s="75" t="n"/>
      <c r="O171" s="75" t="n"/>
      <c r="P171" s="75" t="n"/>
      <c r="Q171" s="75" t="n"/>
      <c r="R171" s="75" t="n"/>
      <c r="S171" s="75" t="n"/>
      <c r="T171" s="75" t="n"/>
      <c r="U171" s="75" t="n"/>
      <c r="V171" s="75" t="n"/>
      <c r="W171" s="75" t="n"/>
      <c r="X171" s="75" t="n"/>
      <c r="Y171" s="75" t="n"/>
      <c r="Z171" s="75" t="n"/>
      <c r="AA171" s="75" t="n"/>
      <c r="AB171" s="75" t="n"/>
      <c r="AC171" s="75" t="n"/>
      <c r="AD171" s="75" t="n"/>
      <c r="AE171" s="75" t="n"/>
      <c r="AF171" s="75" t="n"/>
      <c r="AG171" s="75" t="n"/>
      <c r="AH171" s="75" t="n"/>
      <c r="AI171" s="75" t="n"/>
      <c r="AJ171" s="75" t="n"/>
      <c r="AK171" s="75" t="n"/>
      <c r="AL171" s="75" t="n"/>
      <c r="AM171" s="75" t="n"/>
      <c r="AN171" s="75" t="n"/>
      <c r="AO171" s="75" t="n"/>
      <c r="AP171" s="75" t="n"/>
      <c r="AQ171" s="75" t="n"/>
      <c r="AR171" s="75" t="n"/>
      <c r="AS171" s="75" t="n"/>
      <c r="AT171" s="75" t="n"/>
      <c r="AU171" s="75" t="n"/>
      <c r="AV171" s="75" t="n"/>
      <c r="AW171" s="75" t="n"/>
      <c r="AX171" s="75" t="n"/>
      <c r="AY171" s="75" t="n"/>
      <c r="AZ171" s="75" t="n"/>
      <c r="BA171" s="75" t="n"/>
      <c r="BB171" s="75" t="n"/>
      <c r="BC171" s="75" t="n"/>
      <c r="BD171" s="75" t="n"/>
      <c r="BE171" s="75" t="n"/>
      <c r="BF171" s="75" t="n"/>
      <c r="BG171" s="75" t="n"/>
      <c r="BH171" s="75" t="n"/>
      <c r="BI171" s="75" t="n"/>
      <c r="BJ171" s="75" t="n"/>
      <c r="BK171" s="75" t="n"/>
      <c r="BL171" s="75" t="n"/>
      <c r="BM171" s="75" t="n"/>
      <c r="BN171" s="75" t="n"/>
      <c r="BO171" s="75" t="n"/>
      <c r="BP171" s="75" t="n"/>
      <c r="BQ171" s="75" t="n"/>
      <c r="BR171" s="75" t="n"/>
      <c r="BS171" s="75" t="n"/>
      <c r="BT171" s="75" t="n"/>
      <c r="BU171" s="75" t="n"/>
      <c r="BV171" s="75" t="n"/>
      <c r="BW171" s="75" t="n"/>
      <c r="BX171" s="75" t="n"/>
      <c r="BY171" s="75" t="n"/>
      <c r="BZ171" s="75" t="n"/>
      <c r="CA171" s="75" t="n"/>
      <c r="CB171" s="75" t="n"/>
      <c r="CC171" s="75" t="n"/>
      <c r="CD171" s="75" t="n"/>
      <c r="CE171" s="75" t="n"/>
      <c r="CF171" s="75" t="n"/>
      <c r="CG171" s="75" t="n"/>
      <c r="CH171" s="75" t="n"/>
      <c r="CI171" s="75" t="n"/>
      <c r="CJ171" s="75" t="n"/>
      <c r="CK171" s="75" t="n"/>
      <c r="CL171" s="75" t="n"/>
      <c r="CM171" s="75" t="n"/>
      <c r="CN171" s="75" t="n"/>
      <c r="CO171" s="75" t="n"/>
      <c r="CP171" s="75" t="n"/>
      <c r="CQ171" s="75" t="n"/>
      <c r="CR171" s="75" t="n"/>
      <c r="CS171" s="75" t="n"/>
      <c r="CT171" s="75" t="n"/>
      <c r="CU171" s="75" t="n"/>
      <c r="CV171" s="75" t="n"/>
      <c r="CW171" s="75" t="n"/>
      <c r="CX171" s="75" t="n"/>
      <c r="CY171" s="75" t="n"/>
      <c r="CZ171" s="75" t="n"/>
    </row>
    <row r="172">
      <c r="B172" s="134">
        <f>IF($A171="",0,COUNT($E172:$CZ172))</f>
        <v/>
      </c>
    </row>
    <row r="173">
      <c r="A173" s="5">
        <f>IF(AS51!$C$89="","",AS51!$C$89)</f>
        <v/>
      </c>
      <c r="B173" s="134">
        <f>IF($A173="",0,COUNT($E173:$CZ173))</f>
        <v/>
      </c>
      <c r="C173" s="135">
        <f>IF($A173="",0,IF($B173=0,0,MAX($E173:$CZ173)))</f>
        <v/>
      </c>
      <c r="D173" s="74">
        <f>BDS($A173,'Field Check'!$C$42,"headers=y","startcol=2","endcol=3","dir=h")</f>
        <v/>
      </c>
      <c r="E173" s="75" t="n"/>
      <c r="F173" s="75" t="n"/>
      <c r="G173" s="75" t="n"/>
      <c r="H173" s="75" t="n"/>
      <c r="I173" s="75" t="n"/>
      <c r="J173" s="75" t="n"/>
      <c r="K173" s="75" t="n"/>
      <c r="L173" s="75" t="n"/>
      <c r="M173" s="75" t="n"/>
      <c r="N173" s="75" t="n"/>
      <c r="O173" s="75" t="n"/>
      <c r="P173" s="75" t="n"/>
      <c r="Q173" s="75" t="n"/>
      <c r="R173" s="75" t="n"/>
      <c r="S173" s="75" t="n"/>
      <c r="T173" s="75" t="n"/>
      <c r="U173" s="75" t="n"/>
      <c r="V173" s="75" t="n"/>
      <c r="W173" s="75" t="n"/>
      <c r="X173" s="75" t="n"/>
      <c r="Y173" s="75" t="n"/>
      <c r="Z173" s="75" t="n"/>
      <c r="AA173" s="75" t="n"/>
      <c r="AB173" s="75" t="n"/>
      <c r="AC173" s="75" t="n"/>
      <c r="AD173" s="75" t="n"/>
      <c r="AE173" s="75" t="n"/>
      <c r="AF173" s="75" t="n"/>
      <c r="AG173" s="75" t="n"/>
      <c r="AH173" s="75" t="n"/>
      <c r="AI173" s="75" t="n"/>
      <c r="AJ173" s="75" t="n"/>
      <c r="AK173" s="75" t="n"/>
      <c r="AL173" s="75" t="n"/>
      <c r="AM173" s="75" t="n"/>
      <c r="AN173" s="75" t="n"/>
      <c r="AO173" s="75" t="n"/>
      <c r="AP173" s="75" t="n"/>
      <c r="AQ173" s="75" t="n"/>
      <c r="AR173" s="75" t="n"/>
      <c r="AS173" s="75" t="n"/>
      <c r="AT173" s="75" t="n"/>
      <c r="AU173" s="75" t="n"/>
      <c r="AV173" s="75" t="n"/>
      <c r="AW173" s="75" t="n"/>
      <c r="AX173" s="75" t="n"/>
      <c r="AY173" s="75" t="n"/>
      <c r="AZ173" s="75" t="n"/>
      <c r="BA173" s="75" t="n"/>
      <c r="BB173" s="75" t="n"/>
      <c r="BC173" s="75" t="n"/>
      <c r="BD173" s="75" t="n"/>
      <c r="BE173" s="75" t="n"/>
      <c r="BF173" s="75" t="n"/>
      <c r="BG173" s="75" t="n"/>
      <c r="BH173" s="75" t="n"/>
      <c r="BI173" s="75" t="n"/>
      <c r="BJ173" s="75" t="n"/>
      <c r="BK173" s="75" t="n"/>
      <c r="BL173" s="75" t="n"/>
      <c r="BM173" s="75" t="n"/>
      <c r="BN173" s="75" t="n"/>
      <c r="BO173" s="75" t="n"/>
      <c r="BP173" s="75" t="n"/>
      <c r="BQ173" s="75" t="n"/>
      <c r="BR173" s="75" t="n"/>
      <c r="BS173" s="75" t="n"/>
      <c r="BT173" s="75" t="n"/>
      <c r="BU173" s="75" t="n"/>
      <c r="BV173" s="75" t="n"/>
      <c r="BW173" s="75" t="n"/>
      <c r="BX173" s="75" t="n"/>
      <c r="BY173" s="75" t="n"/>
      <c r="BZ173" s="75" t="n"/>
      <c r="CA173" s="75" t="n"/>
      <c r="CB173" s="75" t="n"/>
      <c r="CC173" s="75" t="n"/>
      <c r="CD173" s="75" t="n"/>
      <c r="CE173" s="75" t="n"/>
      <c r="CF173" s="75" t="n"/>
      <c r="CG173" s="75" t="n"/>
      <c r="CH173" s="75" t="n"/>
      <c r="CI173" s="75" t="n"/>
      <c r="CJ173" s="75" t="n"/>
      <c r="CK173" s="75" t="n"/>
      <c r="CL173" s="75" t="n"/>
      <c r="CM173" s="75" t="n"/>
      <c r="CN173" s="75" t="n"/>
      <c r="CO173" s="75" t="n"/>
      <c r="CP173" s="75" t="n"/>
      <c r="CQ173" s="75" t="n"/>
      <c r="CR173" s="75" t="n"/>
      <c r="CS173" s="75" t="n"/>
      <c r="CT173" s="75" t="n"/>
      <c r="CU173" s="75" t="n"/>
      <c r="CV173" s="75" t="n"/>
      <c r="CW173" s="75" t="n"/>
      <c r="CX173" s="75" t="n"/>
      <c r="CY173" s="75" t="n"/>
      <c r="CZ173" s="75" t="n"/>
    </row>
    <row r="174">
      <c r="B174" s="134">
        <f>IF($A173="",0,COUNT($E174:$CZ174))</f>
        <v/>
      </c>
    </row>
    <row r="175">
      <c r="A175" s="5">
        <f>IF(AS51!$C$90="","",AS51!$C$90)</f>
        <v/>
      </c>
      <c r="B175" s="134">
        <f>IF($A175="",0,COUNT($E175:$CZ175))</f>
        <v/>
      </c>
      <c r="C175" s="135">
        <f>IF($A175="",0,IF($B175=0,0,MAX($E175:$CZ175)))</f>
        <v/>
      </c>
      <c r="D175" s="74">
        <f>BDS($A175,'Field Check'!$C$42,"headers=y","startcol=2","endcol=3","dir=h")</f>
        <v/>
      </c>
      <c r="E175" s="75" t="n"/>
      <c r="F175" s="75" t="n"/>
      <c r="G175" s="75" t="n"/>
      <c r="H175" s="75" t="n"/>
      <c r="I175" s="75" t="n"/>
      <c r="J175" s="75" t="n"/>
      <c r="K175" s="75" t="n"/>
      <c r="L175" s="75" t="n"/>
      <c r="M175" s="75" t="n"/>
      <c r="N175" s="75" t="n"/>
      <c r="O175" s="75" t="n"/>
      <c r="P175" s="75" t="n"/>
      <c r="Q175" s="75" t="n"/>
      <c r="R175" s="75" t="n"/>
      <c r="S175" s="75" t="n"/>
      <c r="T175" s="75" t="n"/>
      <c r="U175" s="75" t="n"/>
      <c r="V175" s="75" t="n"/>
      <c r="W175" s="75" t="n"/>
      <c r="X175" s="75" t="n"/>
      <c r="Y175" s="75" t="n"/>
      <c r="Z175" s="75" t="n"/>
      <c r="AA175" s="75" t="n"/>
      <c r="AB175" s="75" t="n"/>
      <c r="AC175" s="75" t="n"/>
      <c r="AD175" s="75" t="n"/>
      <c r="AE175" s="75" t="n"/>
      <c r="AF175" s="75" t="n"/>
      <c r="AG175" s="75" t="n"/>
      <c r="AH175" s="75" t="n"/>
      <c r="AI175" s="75" t="n"/>
      <c r="AJ175" s="75" t="n"/>
      <c r="AK175" s="75" t="n"/>
      <c r="AL175" s="75" t="n"/>
      <c r="AM175" s="75" t="n"/>
      <c r="AN175" s="75" t="n"/>
      <c r="AO175" s="75" t="n"/>
      <c r="AP175" s="75" t="n"/>
      <c r="AQ175" s="75" t="n"/>
      <c r="AR175" s="75" t="n"/>
      <c r="AS175" s="75" t="n"/>
      <c r="AT175" s="75" t="n"/>
      <c r="AU175" s="75" t="n"/>
      <c r="AV175" s="75" t="n"/>
      <c r="AW175" s="75" t="n"/>
      <c r="AX175" s="75" t="n"/>
      <c r="AY175" s="75" t="n"/>
      <c r="AZ175" s="75" t="n"/>
      <c r="BA175" s="75" t="n"/>
      <c r="BB175" s="75" t="n"/>
      <c r="BC175" s="75" t="n"/>
      <c r="BD175" s="75" t="n"/>
      <c r="BE175" s="75" t="n"/>
      <c r="BF175" s="75" t="n"/>
      <c r="BG175" s="75" t="n"/>
      <c r="BH175" s="75" t="n"/>
      <c r="BI175" s="75" t="n"/>
      <c r="BJ175" s="75" t="n"/>
      <c r="BK175" s="75" t="n"/>
      <c r="BL175" s="75" t="n"/>
      <c r="BM175" s="75" t="n"/>
      <c r="BN175" s="75" t="n"/>
      <c r="BO175" s="75" t="n"/>
      <c r="BP175" s="75" t="n"/>
      <c r="BQ175" s="75" t="n"/>
      <c r="BR175" s="75" t="n"/>
      <c r="BS175" s="75" t="n"/>
      <c r="BT175" s="75" t="n"/>
      <c r="BU175" s="75" t="n"/>
      <c r="BV175" s="75" t="n"/>
      <c r="BW175" s="75" t="n"/>
      <c r="BX175" s="75" t="n"/>
      <c r="BY175" s="75" t="n"/>
      <c r="BZ175" s="75" t="n"/>
      <c r="CA175" s="75" t="n"/>
      <c r="CB175" s="75" t="n"/>
      <c r="CC175" s="75" t="n"/>
      <c r="CD175" s="75" t="n"/>
      <c r="CE175" s="75" t="n"/>
      <c r="CF175" s="75" t="n"/>
      <c r="CG175" s="75" t="n"/>
      <c r="CH175" s="75" t="n"/>
      <c r="CI175" s="75" t="n"/>
      <c r="CJ175" s="75" t="n"/>
      <c r="CK175" s="75" t="n"/>
      <c r="CL175" s="75" t="n"/>
      <c r="CM175" s="75" t="n"/>
      <c r="CN175" s="75" t="n"/>
      <c r="CO175" s="75" t="n"/>
      <c r="CP175" s="75" t="n"/>
      <c r="CQ175" s="75" t="n"/>
      <c r="CR175" s="75" t="n"/>
      <c r="CS175" s="75" t="n"/>
      <c r="CT175" s="75" t="n"/>
      <c r="CU175" s="75" t="n"/>
      <c r="CV175" s="75" t="n"/>
      <c r="CW175" s="75" t="n"/>
      <c r="CX175" s="75" t="n"/>
      <c r="CY175" s="75" t="n"/>
      <c r="CZ175" s="75" t="n"/>
    </row>
    <row r="176">
      <c r="B176" s="134">
        <f>IF($A175="",0,COUNT($E176:$CZ176))</f>
        <v/>
      </c>
    </row>
    <row r="177">
      <c r="A177" s="5">
        <f>IF(AS51!$C$91="","",AS51!$C$91)</f>
        <v/>
      </c>
      <c r="B177" s="134">
        <f>IF($A177="",0,COUNT($E177:$CZ177))</f>
        <v/>
      </c>
      <c r="C177" s="135">
        <f>IF($A177="",0,IF($B177=0,0,MAX($E177:$CZ177)))</f>
        <v/>
      </c>
      <c r="D177" s="74">
        <f>BDS($A177,'Field Check'!$C$42,"headers=y","startcol=2","endcol=3","dir=h")</f>
        <v/>
      </c>
      <c r="E177" s="75" t="n"/>
      <c r="F177" s="75" t="n"/>
      <c r="G177" s="75" t="n"/>
      <c r="H177" s="75" t="n"/>
      <c r="I177" s="75" t="n"/>
      <c r="J177" s="75" t="n"/>
      <c r="K177" s="75" t="n"/>
      <c r="L177" s="75" t="n"/>
      <c r="M177" s="75" t="n"/>
      <c r="N177" s="75" t="n"/>
      <c r="O177" s="75" t="n"/>
      <c r="P177" s="75" t="n"/>
      <c r="Q177" s="75" t="n"/>
      <c r="R177" s="75" t="n"/>
      <c r="S177" s="75" t="n"/>
      <c r="T177" s="75" t="n"/>
      <c r="U177" s="75" t="n"/>
      <c r="V177" s="75" t="n"/>
      <c r="W177" s="75" t="n"/>
      <c r="X177" s="75" t="n"/>
      <c r="Y177" s="75" t="n"/>
      <c r="Z177" s="75" t="n"/>
      <c r="AA177" s="75" t="n"/>
      <c r="AB177" s="75" t="n"/>
      <c r="AC177" s="75" t="n"/>
      <c r="AD177" s="75" t="n"/>
      <c r="AE177" s="75" t="n"/>
      <c r="AF177" s="75" t="n"/>
      <c r="AG177" s="75" t="n"/>
      <c r="AH177" s="75" t="n"/>
      <c r="AI177" s="75" t="n"/>
      <c r="AJ177" s="75" t="n"/>
      <c r="AK177" s="75" t="n"/>
      <c r="AL177" s="75" t="n"/>
      <c r="AM177" s="75" t="n"/>
      <c r="AN177" s="75" t="n"/>
      <c r="AO177" s="75" t="n"/>
      <c r="AP177" s="75" t="n"/>
      <c r="AQ177" s="75" t="n"/>
      <c r="AR177" s="75" t="n"/>
      <c r="AS177" s="75" t="n"/>
      <c r="AT177" s="75" t="n"/>
      <c r="AU177" s="75" t="n"/>
      <c r="AV177" s="75" t="n"/>
      <c r="AW177" s="75" t="n"/>
      <c r="AX177" s="75" t="n"/>
      <c r="AY177" s="75" t="n"/>
      <c r="AZ177" s="75" t="n"/>
      <c r="BA177" s="75" t="n"/>
      <c r="BB177" s="75" t="n"/>
      <c r="BC177" s="75" t="n"/>
      <c r="BD177" s="75" t="n"/>
      <c r="BE177" s="75" t="n"/>
      <c r="BF177" s="75" t="n"/>
      <c r="BG177" s="75" t="n"/>
      <c r="BH177" s="75" t="n"/>
      <c r="BI177" s="75" t="n"/>
      <c r="BJ177" s="75" t="n"/>
      <c r="BK177" s="75" t="n"/>
      <c r="BL177" s="75" t="n"/>
      <c r="BM177" s="75" t="n"/>
      <c r="BN177" s="75" t="n"/>
      <c r="BO177" s="75" t="n"/>
      <c r="BP177" s="75" t="n"/>
      <c r="BQ177" s="75" t="n"/>
      <c r="BR177" s="75" t="n"/>
      <c r="BS177" s="75" t="n"/>
      <c r="BT177" s="75" t="n"/>
      <c r="BU177" s="75" t="n"/>
      <c r="BV177" s="75" t="n"/>
      <c r="BW177" s="75" t="n"/>
      <c r="BX177" s="75" t="n"/>
      <c r="BY177" s="75" t="n"/>
      <c r="BZ177" s="75" t="n"/>
      <c r="CA177" s="75" t="n"/>
      <c r="CB177" s="75" t="n"/>
      <c r="CC177" s="75" t="n"/>
      <c r="CD177" s="75" t="n"/>
      <c r="CE177" s="75" t="n"/>
      <c r="CF177" s="75" t="n"/>
      <c r="CG177" s="75" t="n"/>
      <c r="CH177" s="75" t="n"/>
      <c r="CI177" s="75" t="n"/>
      <c r="CJ177" s="75" t="n"/>
      <c r="CK177" s="75" t="n"/>
      <c r="CL177" s="75" t="n"/>
      <c r="CM177" s="75" t="n"/>
      <c r="CN177" s="75" t="n"/>
      <c r="CO177" s="75" t="n"/>
      <c r="CP177" s="75" t="n"/>
      <c r="CQ177" s="75" t="n"/>
      <c r="CR177" s="75" t="n"/>
      <c r="CS177" s="75" t="n"/>
      <c r="CT177" s="75" t="n"/>
      <c r="CU177" s="75" t="n"/>
      <c r="CV177" s="75" t="n"/>
      <c r="CW177" s="75" t="n"/>
      <c r="CX177" s="75" t="n"/>
      <c r="CY177" s="75" t="n"/>
      <c r="CZ177" s="75" t="n"/>
    </row>
    <row r="178">
      <c r="B178" s="134">
        <f>IF($A177="",0,COUNT($E178:$CZ178))</f>
        <v/>
      </c>
    </row>
    <row r="179">
      <c r="A179" s="5">
        <f>IF(AS51!$C$92="","",AS51!$C$92)</f>
        <v/>
      </c>
      <c r="B179" s="134">
        <f>IF($A179="",0,COUNT($E179:$CZ179))</f>
        <v/>
      </c>
      <c r="C179" s="135">
        <f>IF($A179="",0,IF($B179=0,0,MAX($E179:$CZ179)))</f>
        <v/>
      </c>
      <c r="D179" s="74">
        <f>BDS($A179,'Field Check'!$C$42,"headers=y","startcol=2","endcol=3","dir=h")</f>
        <v/>
      </c>
      <c r="E179" s="75" t="n"/>
      <c r="F179" s="75" t="n"/>
      <c r="G179" s="75" t="n"/>
      <c r="H179" s="75" t="n"/>
      <c r="I179" s="75" t="n"/>
      <c r="J179" s="75" t="n"/>
      <c r="K179" s="75" t="n"/>
      <c r="L179" s="75" t="n"/>
      <c r="M179" s="75" t="n"/>
      <c r="N179" s="75" t="n"/>
      <c r="O179" s="75" t="n"/>
      <c r="P179" s="75" t="n"/>
      <c r="Q179" s="75" t="n"/>
      <c r="R179" s="75" t="n"/>
      <c r="S179" s="75" t="n"/>
      <c r="T179" s="75" t="n"/>
      <c r="U179" s="75" t="n"/>
      <c r="V179" s="75" t="n"/>
      <c r="W179" s="75" t="n"/>
      <c r="X179" s="75" t="n"/>
      <c r="Y179" s="75" t="n"/>
      <c r="Z179" s="75" t="n"/>
      <c r="AA179" s="75" t="n"/>
      <c r="AB179" s="75" t="n"/>
      <c r="AC179" s="75" t="n"/>
      <c r="AD179" s="75" t="n"/>
      <c r="AE179" s="75" t="n"/>
      <c r="AF179" s="75" t="n"/>
      <c r="AG179" s="75" t="n"/>
      <c r="AH179" s="75" t="n"/>
      <c r="AI179" s="75" t="n"/>
      <c r="AJ179" s="75" t="n"/>
      <c r="AK179" s="75" t="n"/>
      <c r="AL179" s="75" t="n"/>
      <c r="AM179" s="75" t="n"/>
      <c r="AN179" s="75" t="n"/>
      <c r="AO179" s="75" t="n"/>
      <c r="AP179" s="75" t="n"/>
      <c r="AQ179" s="75" t="n"/>
      <c r="AR179" s="75" t="n"/>
      <c r="AS179" s="75" t="n"/>
      <c r="AT179" s="75" t="n"/>
      <c r="AU179" s="75" t="n"/>
      <c r="AV179" s="75" t="n"/>
      <c r="AW179" s="75" t="n"/>
      <c r="AX179" s="75" t="n"/>
      <c r="AY179" s="75" t="n"/>
      <c r="AZ179" s="75" t="n"/>
      <c r="BA179" s="75" t="n"/>
      <c r="BB179" s="75" t="n"/>
      <c r="BC179" s="75" t="n"/>
      <c r="BD179" s="75" t="n"/>
      <c r="BE179" s="75" t="n"/>
      <c r="BF179" s="75" t="n"/>
      <c r="BG179" s="75" t="n"/>
      <c r="BH179" s="75" t="n"/>
      <c r="BI179" s="75" t="n"/>
      <c r="BJ179" s="75" t="n"/>
      <c r="BK179" s="75" t="n"/>
      <c r="BL179" s="75" t="n"/>
      <c r="BM179" s="75" t="n"/>
      <c r="BN179" s="75" t="n"/>
      <c r="BO179" s="75" t="n"/>
      <c r="BP179" s="75" t="n"/>
      <c r="BQ179" s="75" t="n"/>
      <c r="BR179" s="75" t="n"/>
      <c r="BS179" s="75" t="n"/>
      <c r="BT179" s="75" t="n"/>
      <c r="BU179" s="75" t="n"/>
      <c r="BV179" s="75" t="n"/>
      <c r="BW179" s="75" t="n"/>
      <c r="BX179" s="75" t="n"/>
      <c r="BY179" s="75" t="n"/>
      <c r="BZ179" s="75" t="n"/>
      <c r="CA179" s="75" t="n"/>
      <c r="CB179" s="75" t="n"/>
      <c r="CC179" s="75" t="n"/>
      <c r="CD179" s="75" t="n"/>
      <c r="CE179" s="75" t="n"/>
      <c r="CF179" s="75" t="n"/>
      <c r="CG179" s="75" t="n"/>
      <c r="CH179" s="75" t="n"/>
      <c r="CI179" s="75" t="n"/>
      <c r="CJ179" s="75" t="n"/>
      <c r="CK179" s="75" t="n"/>
      <c r="CL179" s="75" t="n"/>
      <c r="CM179" s="75" t="n"/>
      <c r="CN179" s="75" t="n"/>
      <c r="CO179" s="75" t="n"/>
      <c r="CP179" s="75" t="n"/>
      <c r="CQ179" s="75" t="n"/>
      <c r="CR179" s="75" t="n"/>
      <c r="CS179" s="75" t="n"/>
      <c r="CT179" s="75" t="n"/>
      <c r="CU179" s="75" t="n"/>
      <c r="CV179" s="75" t="n"/>
      <c r="CW179" s="75" t="n"/>
      <c r="CX179" s="75" t="n"/>
      <c r="CY179" s="75" t="n"/>
      <c r="CZ179" s="75" t="n"/>
    </row>
    <row r="180">
      <c r="B180" s="134">
        <f>IF($A179="",0,COUNT($E180:$CZ180))</f>
        <v/>
      </c>
    </row>
    <row r="181">
      <c r="A181" s="5">
        <f>IF(AS51!$C$93="","",AS51!$C$93)</f>
        <v/>
      </c>
      <c r="B181" s="134">
        <f>IF($A181="",0,COUNT($E181:$CZ181))</f>
        <v/>
      </c>
      <c r="C181" s="135">
        <f>IF($A181="",0,IF($B181=0,0,MAX($E181:$CZ181)))</f>
        <v/>
      </c>
      <c r="D181" s="74">
        <f>BDS($A181,'Field Check'!$C$42,"headers=y","startcol=2","endcol=3","dir=h")</f>
        <v/>
      </c>
      <c r="E181" s="75" t="n"/>
      <c r="F181" s="75" t="n"/>
      <c r="G181" s="75" t="n"/>
      <c r="H181" s="75" t="n"/>
      <c r="I181" s="75" t="n"/>
      <c r="J181" s="75" t="n"/>
      <c r="K181" s="75" t="n"/>
      <c r="L181" s="75" t="n"/>
      <c r="M181" s="75" t="n"/>
      <c r="N181" s="75" t="n"/>
      <c r="O181" s="75" t="n"/>
      <c r="P181" s="75" t="n"/>
      <c r="Q181" s="75" t="n"/>
      <c r="R181" s="75" t="n"/>
      <c r="S181" s="75" t="n"/>
      <c r="T181" s="75" t="n"/>
      <c r="U181" s="75" t="n"/>
      <c r="V181" s="75" t="n"/>
      <c r="W181" s="75" t="n"/>
      <c r="X181" s="75" t="n"/>
      <c r="Y181" s="75" t="n"/>
      <c r="Z181" s="75" t="n"/>
      <c r="AA181" s="75" t="n"/>
      <c r="AB181" s="75" t="n"/>
      <c r="AC181" s="75" t="n"/>
      <c r="AD181" s="75" t="n"/>
      <c r="AE181" s="75" t="n"/>
      <c r="AF181" s="75" t="n"/>
      <c r="AG181" s="75" t="n"/>
      <c r="AH181" s="75" t="n"/>
      <c r="AI181" s="75" t="n"/>
      <c r="AJ181" s="75" t="n"/>
      <c r="AK181" s="75" t="n"/>
      <c r="AL181" s="75" t="n"/>
      <c r="AM181" s="75" t="n"/>
      <c r="AN181" s="75" t="n"/>
      <c r="AO181" s="75" t="n"/>
      <c r="AP181" s="75" t="n"/>
      <c r="AQ181" s="75" t="n"/>
      <c r="AR181" s="75" t="n"/>
      <c r="AS181" s="75" t="n"/>
      <c r="AT181" s="75" t="n"/>
      <c r="AU181" s="75" t="n"/>
      <c r="AV181" s="75" t="n"/>
      <c r="AW181" s="75" t="n"/>
      <c r="AX181" s="75" t="n"/>
      <c r="AY181" s="75" t="n"/>
      <c r="AZ181" s="75" t="n"/>
      <c r="BA181" s="75" t="n"/>
      <c r="BB181" s="75" t="n"/>
      <c r="BC181" s="75" t="n"/>
      <c r="BD181" s="75" t="n"/>
      <c r="BE181" s="75" t="n"/>
      <c r="BF181" s="75" t="n"/>
      <c r="BG181" s="75" t="n"/>
      <c r="BH181" s="75" t="n"/>
      <c r="BI181" s="75" t="n"/>
      <c r="BJ181" s="75" t="n"/>
      <c r="BK181" s="75" t="n"/>
      <c r="BL181" s="75" t="n"/>
      <c r="BM181" s="75" t="n"/>
      <c r="BN181" s="75" t="n"/>
      <c r="BO181" s="75" t="n"/>
      <c r="BP181" s="75" t="n"/>
      <c r="BQ181" s="75" t="n"/>
      <c r="BR181" s="75" t="n"/>
      <c r="BS181" s="75" t="n"/>
      <c r="BT181" s="75" t="n"/>
      <c r="BU181" s="75" t="n"/>
      <c r="BV181" s="75" t="n"/>
      <c r="BW181" s="75" t="n"/>
      <c r="BX181" s="75" t="n"/>
      <c r="BY181" s="75" t="n"/>
      <c r="BZ181" s="75" t="n"/>
      <c r="CA181" s="75" t="n"/>
      <c r="CB181" s="75" t="n"/>
      <c r="CC181" s="75" t="n"/>
      <c r="CD181" s="75" t="n"/>
      <c r="CE181" s="75" t="n"/>
      <c r="CF181" s="75" t="n"/>
      <c r="CG181" s="75" t="n"/>
      <c r="CH181" s="75" t="n"/>
      <c r="CI181" s="75" t="n"/>
      <c r="CJ181" s="75" t="n"/>
      <c r="CK181" s="75" t="n"/>
      <c r="CL181" s="75" t="n"/>
      <c r="CM181" s="75" t="n"/>
      <c r="CN181" s="75" t="n"/>
      <c r="CO181" s="75" t="n"/>
      <c r="CP181" s="75" t="n"/>
      <c r="CQ181" s="75" t="n"/>
      <c r="CR181" s="75" t="n"/>
      <c r="CS181" s="75" t="n"/>
      <c r="CT181" s="75" t="n"/>
      <c r="CU181" s="75" t="n"/>
      <c r="CV181" s="75" t="n"/>
      <c r="CW181" s="75" t="n"/>
      <c r="CX181" s="75" t="n"/>
      <c r="CY181" s="75" t="n"/>
      <c r="CZ181" s="75" t="n"/>
    </row>
    <row r="182">
      <c r="B182" s="134">
        <f>IF($A181="",0,COUNT($E182:$CZ182))</f>
        <v/>
      </c>
    </row>
    <row r="183">
      <c r="A183" s="5">
        <f>IF(AS51!$C$94="","",AS51!$C$94)</f>
        <v/>
      </c>
      <c r="B183" s="134">
        <f>IF($A183="",0,COUNT($E183:$CZ183))</f>
        <v/>
      </c>
      <c r="C183" s="135">
        <f>IF($A183="",0,IF($B183=0,0,MAX($E183:$CZ183)))</f>
        <v/>
      </c>
      <c r="D183" s="74">
        <f>BDS($A183,'Field Check'!$C$42,"headers=y","startcol=2","endcol=3","dir=h")</f>
        <v/>
      </c>
      <c r="E183" s="75" t="n"/>
      <c r="F183" s="75" t="n"/>
      <c r="G183" s="75" t="n"/>
      <c r="H183" s="75" t="n"/>
      <c r="I183" s="75" t="n"/>
      <c r="J183" s="75" t="n"/>
      <c r="K183" s="75" t="n"/>
      <c r="L183" s="75" t="n"/>
      <c r="M183" s="75" t="n"/>
      <c r="N183" s="75" t="n"/>
      <c r="O183" s="75" t="n"/>
      <c r="P183" s="75" t="n"/>
      <c r="Q183" s="75" t="n"/>
      <c r="R183" s="75" t="n"/>
      <c r="S183" s="75" t="n"/>
      <c r="T183" s="75" t="n"/>
      <c r="U183" s="75" t="n"/>
      <c r="V183" s="75" t="n"/>
      <c r="W183" s="75" t="n"/>
      <c r="X183" s="75" t="n"/>
      <c r="Y183" s="75" t="n"/>
      <c r="Z183" s="75" t="n"/>
      <c r="AA183" s="75" t="n"/>
      <c r="AB183" s="75" t="n"/>
      <c r="AC183" s="75" t="n"/>
      <c r="AD183" s="75" t="n"/>
      <c r="AE183" s="75" t="n"/>
      <c r="AF183" s="75" t="n"/>
      <c r="AG183" s="75" t="n"/>
      <c r="AH183" s="75" t="n"/>
      <c r="AI183" s="75" t="n"/>
      <c r="AJ183" s="75" t="n"/>
      <c r="AK183" s="75" t="n"/>
      <c r="AL183" s="75" t="n"/>
      <c r="AM183" s="75" t="n"/>
      <c r="AN183" s="75" t="n"/>
      <c r="AO183" s="75" t="n"/>
      <c r="AP183" s="75" t="n"/>
      <c r="AQ183" s="75" t="n"/>
      <c r="AR183" s="75" t="n"/>
      <c r="AS183" s="75" t="n"/>
      <c r="AT183" s="75" t="n"/>
      <c r="AU183" s="75" t="n"/>
      <c r="AV183" s="75" t="n"/>
      <c r="AW183" s="75" t="n"/>
      <c r="AX183" s="75" t="n"/>
      <c r="AY183" s="75" t="n"/>
      <c r="AZ183" s="75" t="n"/>
      <c r="BA183" s="75" t="n"/>
      <c r="BB183" s="75" t="n"/>
      <c r="BC183" s="75" t="n"/>
      <c r="BD183" s="75" t="n"/>
      <c r="BE183" s="75" t="n"/>
      <c r="BF183" s="75" t="n"/>
      <c r="BG183" s="75" t="n"/>
      <c r="BH183" s="75" t="n"/>
      <c r="BI183" s="75" t="n"/>
      <c r="BJ183" s="75" t="n"/>
      <c r="BK183" s="75" t="n"/>
      <c r="BL183" s="75" t="n"/>
      <c r="BM183" s="75" t="n"/>
      <c r="BN183" s="75" t="n"/>
      <c r="BO183" s="75" t="n"/>
      <c r="BP183" s="75" t="n"/>
      <c r="BQ183" s="75" t="n"/>
      <c r="BR183" s="75" t="n"/>
      <c r="BS183" s="75" t="n"/>
      <c r="BT183" s="75" t="n"/>
      <c r="BU183" s="75" t="n"/>
      <c r="BV183" s="75" t="n"/>
      <c r="BW183" s="75" t="n"/>
      <c r="BX183" s="75" t="n"/>
      <c r="BY183" s="75" t="n"/>
      <c r="BZ183" s="75" t="n"/>
      <c r="CA183" s="75" t="n"/>
      <c r="CB183" s="75" t="n"/>
      <c r="CC183" s="75" t="n"/>
      <c r="CD183" s="75" t="n"/>
      <c r="CE183" s="75" t="n"/>
      <c r="CF183" s="75" t="n"/>
      <c r="CG183" s="75" t="n"/>
      <c r="CH183" s="75" t="n"/>
      <c r="CI183" s="75" t="n"/>
      <c r="CJ183" s="75" t="n"/>
      <c r="CK183" s="75" t="n"/>
      <c r="CL183" s="75" t="n"/>
      <c r="CM183" s="75" t="n"/>
      <c r="CN183" s="75" t="n"/>
      <c r="CO183" s="75" t="n"/>
      <c r="CP183" s="75" t="n"/>
      <c r="CQ183" s="75" t="n"/>
      <c r="CR183" s="75" t="n"/>
      <c r="CS183" s="75" t="n"/>
      <c r="CT183" s="75" t="n"/>
      <c r="CU183" s="75" t="n"/>
      <c r="CV183" s="75" t="n"/>
      <c r="CW183" s="75" t="n"/>
      <c r="CX183" s="75" t="n"/>
      <c r="CY183" s="75" t="n"/>
      <c r="CZ183" s="75" t="n"/>
    </row>
    <row r="184">
      <c r="B184" s="134">
        <f>IF($A183="",0,COUNT($E184:$CZ184))</f>
        <v/>
      </c>
    </row>
    <row r="185">
      <c r="A185" s="5">
        <f>IF(AS51!$C$95="","",AS51!$C$95)</f>
        <v/>
      </c>
      <c r="B185" s="134">
        <f>IF($A185="",0,COUNT($E185:$CZ185))</f>
        <v/>
      </c>
      <c r="C185" s="135">
        <f>IF($A185="",0,IF($B185=0,0,MAX($E185:$CZ185)))</f>
        <v/>
      </c>
      <c r="D185" s="74">
        <f>BDS($A185,'Field Check'!$C$42,"headers=y","startcol=2","endcol=3","dir=h")</f>
        <v/>
      </c>
      <c r="E185" s="75" t="n"/>
      <c r="F185" s="75" t="n"/>
      <c r="G185" s="75" t="n"/>
      <c r="H185" s="75" t="n"/>
      <c r="I185" s="75" t="n"/>
      <c r="J185" s="75" t="n"/>
      <c r="K185" s="75" t="n"/>
      <c r="L185" s="75" t="n"/>
      <c r="M185" s="75" t="n"/>
      <c r="N185" s="75" t="n"/>
      <c r="O185" s="75" t="n"/>
      <c r="P185" s="75" t="n"/>
      <c r="Q185" s="75" t="n"/>
      <c r="R185" s="75" t="n"/>
      <c r="S185" s="75" t="n"/>
      <c r="T185" s="75" t="n"/>
      <c r="U185" s="75" t="n"/>
      <c r="V185" s="75" t="n"/>
      <c r="W185" s="75" t="n"/>
      <c r="X185" s="75" t="n"/>
      <c r="Y185" s="75" t="n"/>
      <c r="Z185" s="75" t="n"/>
      <c r="AA185" s="75" t="n"/>
      <c r="AB185" s="75" t="n"/>
      <c r="AC185" s="75" t="n"/>
      <c r="AD185" s="75" t="n"/>
      <c r="AE185" s="75" t="n"/>
      <c r="AF185" s="75" t="n"/>
      <c r="AG185" s="75" t="n"/>
      <c r="AH185" s="75" t="n"/>
      <c r="AI185" s="75" t="n"/>
      <c r="AJ185" s="75" t="n"/>
      <c r="AK185" s="75" t="n"/>
      <c r="AL185" s="75" t="n"/>
      <c r="AM185" s="75" t="n"/>
      <c r="AN185" s="75" t="n"/>
      <c r="AO185" s="75" t="n"/>
      <c r="AP185" s="75" t="n"/>
      <c r="AQ185" s="75" t="n"/>
      <c r="AR185" s="75" t="n"/>
      <c r="AS185" s="75" t="n"/>
      <c r="AT185" s="75" t="n"/>
      <c r="AU185" s="75" t="n"/>
      <c r="AV185" s="75" t="n"/>
      <c r="AW185" s="75" t="n"/>
      <c r="AX185" s="75" t="n"/>
      <c r="AY185" s="75" t="n"/>
      <c r="AZ185" s="75" t="n"/>
      <c r="BA185" s="75" t="n"/>
      <c r="BB185" s="75" t="n"/>
      <c r="BC185" s="75" t="n"/>
      <c r="BD185" s="75" t="n"/>
      <c r="BE185" s="75" t="n"/>
      <c r="BF185" s="75" t="n"/>
      <c r="BG185" s="75" t="n"/>
      <c r="BH185" s="75" t="n"/>
      <c r="BI185" s="75" t="n"/>
      <c r="BJ185" s="75" t="n"/>
      <c r="BK185" s="75" t="n"/>
      <c r="BL185" s="75" t="n"/>
      <c r="BM185" s="75" t="n"/>
      <c r="BN185" s="75" t="n"/>
      <c r="BO185" s="75" t="n"/>
      <c r="BP185" s="75" t="n"/>
      <c r="BQ185" s="75" t="n"/>
      <c r="BR185" s="75" t="n"/>
      <c r="BS185" s="75" t="n"/>
      <c r="BT185" s="75" t="n"/>
      <c r="BU185" s="75" t="n"/>
      <c r="BV185" s="75" t="n"/>
      <c r="BW185" s="75" t="n"/>
      <c r="BX185" s="75" t="n"/>
      <c r="BY185" s="75" t="n"/>
      <c r="BZ185" s="75" t="n"/>
      <c r="CA185" s="75" t="n"/>
      <c r="CB185" s="75" t="n"/>
      <c r="CC185" s="75" t="n"/>
      <c r="CD185" s="75" t="n"/>
      <c r="CE185" s="75" t="n"/>
      <c r="CF185" s="75" t="n"/>
      <c r="CG185" s="75" t="n"/>
      <c r="CH185" s="75" t="n"/>
      <c r="CI185" s="75" t="n"/>
      <c r="CJ185" s="75" t="n"/>
      <c r="CK185" s="75" t="n"/>
      <c r="CL185" s="75" t="n"/>
      <c r="CM185" s="75" t="n"/>
      <c r="CN185" s="75" t="n"/>
      <c r="CO185" s="75" t="n"/>
      <c r="CP185" s="75" t="n"/>
      <c r="CQ185" s="75" t="n"/>
      <c r="CR185" s="75" t="n"/>
      <c r="CS185" s="75" t="n"/>
      <c r="CT185" s="75" t="n"/>
      <c r="CU185" s="75" t="n"/>
      <c r="CV185" s="75" t="n"/>
      <c r="CW185" s="75" t="n"/>
      <c r="CX185" s="75" t="n"/>
      <c r="CY185" s="75" t="n"/>
      <c r="CZ185" s="75" t="n"/>
    </row>
    <row r="186">
      <c r="B186" s="134">
        <f>IF($A185="",0,COUNT($E186:$CZ186))</f>
        <v/>
      </c>
    </row>
    <row r="187">
      <c r="A187" s="5">
        <f>IF(AS51!$C$96="","",AS51!$C$96)</f>
        <v/>
      </c>
      <c r="B187" s="134">
        <f>IF($A187="",0,COUNT($E187:$CZ187))</f>
        <v/>
      </c>
      <c r="C187" s="135">
        <f>IF($A187="",0,IF($B187=0,0,MAX($E187:$CZ187)))</f>
        <v/>
      </c>
      <c r="D187" s="74">
        <f>BDS($A187,'Field Check'!$C$42,"headers=y","startcol=2","endcol=3","dir=h")</f>
        <v/>
      </c>
      <c r="E187" s="75" t="n"/>
      <c r="F187" s="75" t="n"/>
      <c r="G187" s="75" t="n"/>
      <c r="H187" s="75" t="n"/>
      <c r="I187" s="75" t="n"/>
      <c r="J187" s="75" t="n"/>
      <c r="K187" s="75" t="n"/>
      <c r="L187" s="75" t="n"/>
      <c r="M187" s="75" t="n"/>
      <c r="N187" s="75" t="n"/>
      <c r="O187" s="75" t="n"/>
      <c r="P187" s="75" t="n"/>
      <c r="Q187" s="75" t="n"/>
      <c r="R187" s="75" t="n"/>
      <c r="S187" s="75" t="n"/>
      <c r="T187" s="75" t="n"/>
      <c r="U187" s="75" t="n"/>
      <c r="V187" s="75" t="n"/>
      <c r="W187" s="75" t="n"/>
      <c r="X187" s="75" t="n"/>
      <c r="Y187" s="75" t="n"/>
      <c r="Z187" s="75" t="n"/>
      <c r="AA187" s="75" t="n"/>
      <c r="AB187" s="75" t="n"/>
      <c r="AC187" s="75" t="n"/>
      <c r="AD187" s="75" t="n"/>
      <c r="AE187" s="75" t="n"/>
      <c r="AF187" s="75" t="n"/>
      <c r="AG187" s="75" t="n"/>
      <c r="AH187" s="75" t="n"/>
      <c r="AI187" s="75" t="n"/>
      <c r="AJ187" s="75" t="n"/>
      <c r="AK187" s="75" t="n"/>
      <c r="AL187" s="75" t="n"/>
      <c r="AM187" s="75" t="n"/>
      <c r="AN187" s="75" t="n"/>
      <c r="AO187" s="75" t="n"/>
      <c r="AP187" s="75" t="n"/>
      <c r="AQ187" s="75" t="n"/>
      <c r="AR187" s="75" t="n"/>
      <c r="AS187" s="75" t="n"/>
      <c r="AT187" s="75" t="n"/>
      <c r="AU187" s="75" t="n"/>
      <c r="AV187" s="75" t="n"/>
      <c r="AW187" s="75" t="n"/>
      <c r="AX187" s="75" t="n"/>
      <c r="AY187" s="75" t="n"/>
      <c r="AZ187" s="75" t="n"/>
      <c r="BA187" s="75" t="n"/>
      <c r="BB187" s="75" t="n"/>
      <c r="BC187" s="75" t="n"/>
      <c r="BD187" s="75" t="n"/>
      <c r="BE187" s="75" t="n"/>
      <c r="BF187" s="75" t="n"/>
      <c r="BG187" s="75" t="n"/>
      <c r="BH187" s="75" t="n"/>
      <c r="BI187" s="75" t="n"/>
      <c r="BJ187" s="75" t="n"/>
      <c r="BK187" s="75" t="n"/>
      <c r="BL187" s="75" t="n"/>
      <c r="BM187" s="75" t="n"/>
      <c r="BN187" s="75" t="n"/>
      <c r="BO187" s="75" t="n"/>
      <c r="BP187" s="75" t="n"/>
      <c r="BQ187" s="75" t="n"/>
      <c r="BR187" s="75" t="n"/>
      <c r="BS187" s="75" t="n"/>
      <c r="BT187" s="75" t="n"/>
      <c r="BU187" s="75" t="n"/>
      <c r="BV187" s="75" t="n"/>
      <c r="BW187" s="75" t="n"/>
      <c r="BX187" s="75" t="n"/>
      <c r="BY187" s="75" t="n"/>
      <c r="BZ187" s="75" t="n"/>
      <c r="CA187" s="75" t="n"/>
      <c r="CB187" s="75" t="n"/>
      <c r="CC187" s="75" t="n"/>
      <c r="CD187" s="75" t="n"/>
      <c r="CE187" s="75" t="n"/>
      <c r="CF187" s="75" t="n"/>
      <c r="CG187" s="75" t="n"/>
      <c r="CH187" s="75" t="n"/>
      <c r="CI187" s="75" t="n"/>
      <c r="CJ187" s="75" t="n"/>
      <c r="CK187" s="75" t="n"/>
      <c r="CL187" s="75" t="n"/>
      <c r="CM187" s="75" t="n"/>
      <c r="CN187" s="75" t="n"/>
      <c r="CO187" s="75" t="n"/>
      <c r="CP187" s="75" t="n"/>
      <c r="CQ187" s="75" t="n"/>
      <c r="CR187" s="75" t="n"/>
      <c r="CS187" s="75" t="n"/>
      <c r="CT187" s="75" t="n"/>
      <c r="CU187" s="75" t="n"/>
      <c r="CV187" s="75" t="n"/>
      <c r="CW187" s="75" t="n"/>
      <c r="CX187" s="75" t="n"/>
      <c r="CY187" s="75" t="n"/>
      <c r="CZ187" s="75" t="n"/>
    </row>
    <row r="188">
      <c r="B188" s="134">
        <f>IF($A187="",0,COUNT($E188:$CZ188))</f>
        <v/>
      </c>
    </row>
    <row r="189">
      <c r="A189" s="5">
        <f>IF(AS51!$C$97="","",AS51!$C$97)</f>
        <v/>
      </c>
      <c r="B189" s="134">
        <f>IF($A189="",0,COUNT($E189:$CZ189))</f>
        <v/>
      </c>
      <c r="C189" s="135">
        <f>IF($A189="",0,IF($B189=0,0,MAX($E189:$CZ189)))</f>
        <v/>
      </c>
      <c r="D189" s="74">
        <f>BDS($A189,'Field Check'!$C$42,"headers=y","startcol=2","endcol=3","dir=h")</f>
        <v/>
      </c>
      <c r="E189" s="75" t="n"/>
      <c r="F189" s="75" t="n"/>
      <c r="G189" s="75" t="n"/>
      <c r="H189" s="75" t="n"/>
      <c r="I189" s="75" t="n"/>
      <c r="J189" s="75" t="n"/>
      <c r="K189" s="75" t="n"/>
      <c r="L189" s="75" t="n"/>
      <c r="M189" s="75" t="n"/>
      <c r="N189" s="75" t="n"/>
      <c r="O189" s="75" t="n"/>
      <c r="P189" s="75" t="n"/>
      <c r="Q189" s="75" t="n"/>
      <c r="R189" s="75" t="n"/>
      <c r="S189" s="75" t="n"/>
      <c r="T189" s="75" t="n"/>
      <c r="U189" s="75" t="n"/>
      <c r="V189" s="75" t="n"/>
      <c r="W189" s="75" t="n"/>
      <c r="X189" s="75" t="n"/>
      <c r="Y189" s="75" t="n"/>
      <c r="Z189" s="75" t="n"/>
      <c r="AA189" s="75" t="n"/>
      <c r="AB189" s="75" t="n"/>
      <c r="AC189" s="75" t="n"/>
      <c r="AD189" s="75" t="n"/>
      <c r="AE189" s="75" t="n"/>
      <c r="AF189" s="75" t="n"/>
      <c r="AG189" s="75" t="n"/>
      <c r="AH189" s="75" t="n"/>
      <c r="AI189" s="75" t="n"/>
      <c r="AJ189" s="75" t="n"/>
      <c r="AK189" s="75" t="n"/>
      <c r="AL189" s="75" t="n"/>
      <c r="AM189" s="75" t="n"/>
      <c r="AN189" s="75" t="n"/>
      <c r="AO189" s="75" t="n"/>
      <c r="AP189" s="75" t="n"/>
      <c r="AQ189" s="75" t="n"/>
      <c r="AR189" s="75" t="n"/>
      <c r="AS189" s="75" t="n"/>
      <c r="AT189" s="75" t="n"/>
      <c r="AU189" s="75" t="n"/>
      <c r="AV189" s="75" t="n"/>
      <c r="AW189" s="75" t="n"/>
      <c r="AX189" s="75" t="n"/>
      <c r="AY189" s="75" t="n"/>
      <c r="AZ189" s="75" t="n"/>
      <c r="BA189" s="75" t="n"/>
      <c r="BB189" s="75" t="n"/>
      <c r="BC189" s="75" t="n"/>
      <c r="BD189" s="75" t="n"/>
      <c r="BE189" s="75" t="n"/>
      <c r="BF189" s="75" t="n"/>
      <c r="BG189" s="75" t="n"/>
      <c r="BH189" s="75" t="n"/>
      <c r="BI189" s="75" t="n"/>
      <c r="BJ189" s="75" t="n"/>
      <c r="BK189" s="75" t="n"/>
      <c r="BL189" s="75" t="n"/>
      <c r="BM189" s="75" t="n"/>
      <c r="BN189" s="75" t="n"/>
      <c r="BO189" s="75" t="n"/>
      <c r="BP189" s="75" t="n"/>
      <c r="BQ189" s="75" t="n"/>
      <c r="BR189" s="75" t="n"/>
      <c r="BS189" s="75" t="n"/>
      <c r="BT189" s="75" t="n"/>
      <c r="BU189" s="75" t="n"/>
      <c r="BV189" s="75" t="n"/>
      <c r="BW189" s="75" t="n"/>
      <c r="BX189" s="75" t="n"/>
      <c r="BY189" s="75" t="n"/>
      <c r="BZ189" s="75" t="n"/>
      <c r="CA189" s="75" t="n"/>
      <c r="CB189" s="75" t="n"/>
      <c r="CC189" s="75" t="n"/>
      <c r="CD189" s="75" t="n"/>
      <c r="CE189" s="75" t="n"/>
      <c r="CF189" s="75" t="n"/>
      <c r="CG189" s="75" t="n"/>
      <c r="CH189" s="75" t="n"/>
      <c r="CI189" s="75" t="n"/>
      <c r="CJ189" s="75" t="n"/>
      <c r="CK189" s="75" t="n"/>
      <c r="CL189" s="75" t="n"/>
      <c r="CM189" s="75" t="n"/>
      <c r="CN189" s="75" t="n"/>
      <c r="CO189" s="75" t="n"/>
      <c r="CP189" s="75" t="n"/>
      <c r="CQ189" s="75" t="n"/>
      <c r="CR189" s="75" t="n"/>
      <c r="CS189" s="75" t="n"/>
      <c r="CT189" s="75" t="n"/>
      <c r="CU189" s="75" t="n"/>
      <c r="CV189" s="75" t="n"/>
      <c r="CW189" s="75" t="n"/>
      <c r="CX189" s="75" t="n"/>
      <c r="CY189" s="75" t="n"/>
      <c r="CZ189" s="75" t="n"/>
    </row>
    <row r="190">
      <c r="B190" s="134">
        <f>IF($A189="",0,COUNT($E190:$CZ190))</f>
        <v/>
      </c>
    </row>
    <row r="191">
      <c r="A191" s="5">
        <f>IF(AS51!$C$98="","",AS51!$C$98)</f>
        <v/>
      </c>
      <c r="B191" s="134">
        <f>IF($A191="",0,COUNT($E191:$CZ191))</f>
        <v/>
      </c>
      <c r="C191" s="135">
        <f>IF($A191="",0,IF($B191=0,0,MAX($E191:$CZ191)))</f>
        <v/>
      </c>
      <c r="D191" s="74">
        <f>BDS($A191,'Field Check'!$C$42,"headers=y","startcol=2","endcol=3","dir=h")</f>
        <v/>
      </c>
      <c r="E191" s="75" t="n"/>
      <c r="F191" s="75" t="n"/>
      <c r="G191" s="75" t="n"/>
      <c r="H191" s="75" t="n"/>
      <c r="I191" s="75" t="n"/>
      <c r="J191" s="75" t="n"/>
      <c r="K191" s="75" t="n"/>
      <c r="L191" s="75" t="n"/>
      <c r="M191" s="75" t="n"/>
      <c r="N191" s="75" t="n"/>
      <c r="O191" s="75" t="n"/>
      <c r="P191" s="75" t="n"/>
      <c r="Q191" s="75" t="n"/>
      <c r="R191" s="75" t="n"/>
      <c r="S191" s="75" t="n"/>
      <c r="T191" s="75" t="n"/>
      <c r="U191" s="75" t="n"/>
      <c r="V191" s="75" t="n"/>
      <c r="W191" s="75" t="n"/>
      <c r="X191" s="75" t="n"/>
      <c r="Y191" s="75" t="n"/>
      <c r="Z191" s="75" t="n"/>
      <c r="AA191" s="75" t="n"/>
      <c r="AB191" s="75" t="n"/>
      <c r="AC191" s="75" t="n"/>
      <c r="AD191" s="75" t="n"/>
      <c r="AE191" s="75" t="n"/>
      <c r="AF191" s="75" t="n"/>
      <c r="AG191" s="75" t="n"/>
      <c r="AH191" s="75" t="n"/>
      <c r="AI191" s="75" t="n"/>
      <c r="AJ191" s="75" t="n"/>
      <c r="AK191" s="75" t="n"/>
      <c r="AL191" s="75" t="n"/>
      <c r="AM191" s="75" t="n"/>
      <c r="AN191" s="75" t="n"/>
      <c r="AO191" s="75" t="n"/>
      <c r="AP191" s="75" t="n"/>
      <c r="AQ191" s="75" t="n"/>
      <c r="AR191" s="75" t="n"/>
      <c r="AS191" s="75" t="n"/>
      <c r="AT191" s="75" t="n"/>
      <c r="AU191" s="75" t="n"/>
      <c r="AV191" s="75" t="n"/>
      <c r="AW191" s="75" t="n"/>
      <c r="AX191" s="75" t="n"/>
      <c r="AY191" s="75" t="n"/>
      <c r="AZ191" s="75" t="n"/>
      <c r="BA191" s="75" t="n"/>
      <c r="BB191" s="75" t="n"/>
      <c r="BC191" s="75" t="n"/>
      <c r="BD191" s="75" t="n"/>
      <c r="BE191" s="75" t="n"/>
      <c r="BF191" s="75" t="n"/>
      <c r="BG191" s="75" t="n"/>
      <c r="BH191" s="75" t="n"/>
      <c r="BI191" s="75" t="n"/>
      <c r="BJ191" s="75" t="n"/>
      <c r="BK191" s="75" t="n"/>
      <c r="BL191" s="75" t="n"/>
      <c r="BM191" s="75" t="n"/>
      <c r="BN191" s="75" t="n"/>
      <c r="BO191" s="75" t="n"/>
      <c r="BP191" s="75" t="n"/>
      <c r="BQ191" s="75" t="n"/>
      <c r="BR191" s="75" t="n"/>
      <c r="BS191" s="75" t="n"/>
      <c r="BT191" s="75" t="n"/>
      <c r="BU191" s="75" t="n"/>
      <c r="BV191" s="75" t="n"/>
      <c r="BW191" s="75" t="n"/>
      <c r="BX191" s="75" t="n"/>
      <c r="BY191" s="75" t="n"/>
      <c r="BZ191" s="75" t="n"/>
      <c r="CA191" s="75" t="n"/>
      <c r="CB191" s="75" t="n"/>
      <c r="CC191" s="75" t="n"/>
      <c r="CD191" s="75" t="n"/>
      <c r="CE191" s="75" t="n"/>
      <c r="CF191" s="75" t="n"/>
      <c r="CG191" s="75" t="n"/>
      <c r="CH191" s="75" t="n"/>
      <c r="CI191" s="75" t="n"/>
      <c r="CJ191" s="75" t="n"/>
      <c r="CK191" s="75" t="n"/>
      <c r="CL191" s="75" t="n"/>
      <c r="CM191" s="75" t="n"/>
      <c r="CN191" s="75" t="n"/>
      <c r="CO191" s="75" t="n"/>
      <c r="CP191" s="75" t="n"/>
      <c r="CQ191" s="75" t="n"/>
      <c r="CR191" s="75" t="n"/>
      <c r="CS191" s="75" t="n"/>
      <c r="CT191" s="75" t="n"/>
      <c r="CU191" s="75" t="n"/>
      <c r="CV191" s="75" t="n"/>
      <c r="CW191" s="75" t="n"/>
      <c r="CX191" s="75" t="n"/>
      <c r="CY191" s="75" t="n"/>
      <c r="CZ191" s="75" t="n"/>
    </row>
    <row r="192">
      <c r="B192" s="134">
        <f>IF($A191="",0,COUNT($E192:$CZ192))</f>
        <v/>
      </c>
    </row>
    <row r="193">
      <c r="A193" s="5">
        <f>IF(AS51!$C$99="","",AS51!$C$99)</f>
        <v/>
      </c>
      <c r="B193" s="134">
        <f>IF($A193="",0,COUNT($E193:$CZ193))</f>
        <v/>
      </c>
      <c r="C193" s="135">
        <f>IF($A193="",0,IF($B193=0,0,MAX($E193:$CZ193)))</f>
        <v/>
      </c>
      <c r="D193" s="74">
        <f>BDS($A193,'Field Check'!$C$42,"headers=y","startcol=2","endcol=3","dir=h")</f>
        <v/>
      </c>
      <c r="E193" s="75" t="n"/>
      <c r="F193" s="75" t="n"/>
      <c r="G193" s="75" t="n"/>
      <c r="H193" s="75" t="n"/>
      <c r="I193" s="75" t="n"/>
      <c r="J193" s="75" t="n"/>
      <c r="K193" s="75" t="n"/>
      <c r="L193" s="75" t="n"/>
      <c r="M193" s="75" t="n"/>
      <c r="N193" s="75" t="n"/>
      <c r="O193" s="75" t="n"/>
      <c r="P193" s="75" t="n"/>
      <c r="Q193" s="75" t="n"/>
      <c r="R193" s="75" t="n"/>
      <c r="S193" s="75" t="n"/>
      <c r="T193" s="75" t="n"/>
      <c r="U193" s="75" t="n"/>
      <c r="V193" s="75" t="n"/>
      <c r="W193" s="75" t="n"/>
      <c r="X193" s="75" t="n"/>
      <c r="Y193" s="75" t="n"/>
      <c r="Z193" s="75" t="n"/>
      <c r="AA193" s="75" t="n"/>
      <c r="AB193" s="75" t="n"/>
      <c r="AC193" s="75" t="n"/>
      <c r="AD193" s="75" t="n"/>
      <c r="AE193" s="75" t="n"/>
      <c r="AF193" s="75" t="n"/>
      <c r="AG193" s="75" t="n"/>
      <c r="AH193" s="75" t="n"/>
      <c r="AI193" s="75" t="n"/>
      <c r="AJ193" s="75" t="n"/>
      <c r="AK193" s="75" t="n"/>
      <c r="AL193" s="75" t="n"/>
      <c r="AM193" s="75" t="n"/>
      <c r="AN193" s="75" t="n"/>
      <c r="AO193" s="75" t="n"/>
      <c r="AP193" s="75" t="n"/>
      <c r="AQ193" s="75" t="n"/>
      <c r="AR193" s="75" t="n"/>
      <c r="AS193" s="75" t="n"/>
      <c r="AT193" s="75" t="n"/>
      <c r="AU193" s="75" t="n"/>
      <c r="AV193" s="75" t="n"/>
      <c r="AW193" s="75" t="n"/>
      <c r="AX193" s="75" t="n"/>
      <c r="AY193" s="75" t="n"/>
      <c r="AZ193" s="75" t="n"/>
      <c r="BA193" s="75" t="n"/>
      <c r="BB193" s="75" t="n"/>
      <c r="BC193" s="75" t="n"/>
      <c r="BD193" s="75" t="n"/>
      <c r="BE193" s="75" t="n"/>
      <c r="BF193" s="75" t="n"/>
      <c r="BG193" s="75" t="n"/>
      <c r="BH193" s="75" t="n"/>
      <c r="BI193" s="75" t="n"/>
      <c r="BJ193" s="75" t="n"/>
      <c r="BK193" s="75" t="n"/>
      <c r="BL193" s="75" t="n"/>
      <c r="BM193" s="75" t="n"/>
      <c r="BN193" s="75" t="n"/>
      <c r="BO193" s="75" t="n"/>
      <c r="BP193" s="75" t="n"/>
      <c r="BQ193" s="75" t="n"/>
      <c r="BR193" s="75" t="n"/>
      <c r="BS193" s="75" t="n"/>
      <c r="BT193" s="75" t="n"/>
      <c r="BU193" s="75" t="n"/>
      <c r="BV193" s="75" t="n"/>
      <c r="BW193" s="75" t="n"/>
      <c r="BX193" s="75" t="n"/>
      <c r="BY193" s="75" t="n"/>
      <c r="BZ193" s="75" t="n"/>
      <c r="CA193" s="75" t="n"/>
      <c r="CB193" s="75" t="n"/>
      <c r="CC193" s="75" t="n"/>
      <c r="CD193" s="75" t="n"/>
      <c r="CE193" s="75" t="n"/>
      <c r="CF193" s="75" t="n"/>
      <c r="CG193" s="75" t="n"/>
      <c r="CH193" s="75" t="n"/>
      <c r="CI193" s="75" t="n"/>
      <c r="CJ193" s="75" t="n"/>
      <c r="CK193" s="75" t="n"/>
      <c r="CL193" s="75" t="n"/>
      <c r="CM193" s="75" t="n"/>
      <c r="CN193" s="75" t="n"/>
      <c r="CO193" s="75" t="n"/>
      <c r="CP193" s="75" t="n"/>
      <c r="CQ193" s="75" t="n"/>
      <c r="CR193" s="75" t="n"/>
      <c r="CS193" s="75" t="n"/>
      <c r="CT193" s="75" t="n"/>
      <c r="CU193" s="75" t="n"/>
      <c r="CV193" s="75" t="n"/>
      <c r="CW193" s="75" t="n"/>
      <c r="CX193" s="75" t="n"/>
      <c r="CY193" s="75" t="n"/>
      <c r="CZ193" s="75" t="n"/>
    </row>
    <row r="194">
      <c r="B194" s="134">
        <f>IF($A193="",0,COUNT($E194:$CZ194))</f>
        <v/>
      </c>
    </row>
    <row r="195">
      <c r="A195" s="5">
        <f>IF(AS51!$C$100="","",AS51!$C$100)</f>
        <v/>
      </c>
      <c r="B195" s="134">
        <f>IF($A195="",0,COUNT($E195:$CZ195))</f>
        <v/>
      </c>
      <c r="C195" s="135">
        <f>IF($A195="",0,IF($B195=0,0,MAX($E195:$CZ195)))</f>
        <v/>
      </c>
      <c r="D195" s="74">
        <f>BDS($A195,'Field Check'!$C$42,"headers=y","startcol=2","endcol=3","dir=h")</f>
        <v/>
      </c>
      <c r="E195" s="75" t="n"/>
      <c r="F195" s="75" t="n"/>
      <c r="G195" s="75" t="n"/>
      <c r="H195" s="75" t="n"/>
      <c r="I195" s="75" t="n"/>
      <c r="J195" s="75" t="n"/>
      <c r="K195" s="75" t="n"/>
      <c r="L195" s="75" t="n"/>
      <c r="M195" s="75" t="n"/>
      <c r="N195" s="75" t="n"/>
      <c r="O195" s="75" t="n"/>
      <c r="P195" s="75" t="n"/>
      <c r="Q195" s="75" t="n"/>
      <c r="R195" s="75" t="n"/>
      <c r="S195" s="75" t="n"/>
      <c r="T195" s="75" t="n"/>
      <c r="U195" s="75" t="n"/>
      <c r="V195" s="75" t="n"/>
      <c r="W195" s="75" t="n"/>
      <c r="X195" s="75" t="n"/>
      <c r="Y195" s="75" t="n"/>
      <c r="Z195" s="75" t="n"/>
      <c r="AA195" s="75" t="n"/>
      <c r="AB195" s="75" t="n"/>
      <c r="AC195" s="75" t="n"/>
      <c r="AD195" s="75" t="n"/>
      <c r="AE195" s="75" t="n"/>
      <c r="AF195" s="75" t="n"/>
      <c r="AG195" s="75" t="n"/>
      <c r="AH195" s="75" t="n"/>
      <c r="AI195" s="75" t="n"/>
      <c r="AJ195" s="75" t="n"/>
      <c r="AK195" s="75" t="n"/>
      <c r="AL195" s="75" t="n"/>
      <c r="AM195" s="75" t="n"/>
      <c r="AN195" s="75" t="n"/>
      <c r="AO195" s="75" t="n"/>
      <c r="AP195" s="75" t="n"/>
      <c r="AQ195" s="75" t="n"/>
      <c r="AR195" s="75" t="n"/>
      <c r="AS195" s="75" t="n"/>
      <c r="AT195" s="75" t="n"/>
      <c r="AU195" s="75" t="n"/>
      <c r="AV195" s="75" t="n"/>
      <c r="AW195" s="75" t="n"/>
      <c r="AX195" s="75" t="n"/>
      <c r="AY195" s="75" t="n"/>
      <c r="AZ195" s="75" t="n"/>
      <c r="BA195" s="75" t="n"/>
      <c r="BB195" s="75" t="n"/>
      <c r="BC195" s="75" t="n"/>
      <c r="BD195" s="75" t="n"/>
      <c r="BE195" s="75" t="n"/>
      <c r="BF195" s="75" t="n"/>
      <c r="BG195" s="75" t="n"/>
      <c r="BH195" s="75" t="n"/>
      <c r="BI195" s="75" t="n"/>
      <c r="BJ195" s="75" t="n"/>
      <c r="BK195" s="75" t="n"/>
      <c r="BL195" s="75" t="n"/>
      <c r="BM195" s="75" t="n"/>
      <c r="BN195" s="75" t="n"/>
      <c r="BO195" s="75" t="n"/>
      <c r="BP195" s="75" t="n"/>
      <c r="BQ195" s="75" t="n"/>
      <c r="BR195" s="75" t="n"/>
      <c r="BS195" s="75" t="n"/>
      <c r="BT195" s="75" t="n"/>
      <c r="BU195" s="75" t="n"/>
      <c r="BV195" s="75" t="n"/>
      <c r="BW195" s="75" t="n"/>
      <c r="BX195" s="75" t="n"/>
      <c r="BY195" s="75" t="n"/>
      <c r="BZ195" s="75" t="n"/>
      <c r="CA195" s="75" t="n"/>
      <c r="CB195" s="75" t="n"/>
      <c r="CC195" s="75" t="n"/>
      <c r="CD195" s="75" t="n"/>
      <c r="CE195" s="75" t="n"/>
      <c r="CF195" s="75" t="n"/>
      <c r="CG195" s="75" t="n"/>
      <c r="CH195" s="75" t="n"/>
      <c r="CI195" s="75" t="n"/>
      <c r="CJ195" s="75" t="n"/>
      <c r="CK195" s="75" t="n"/>
      <c r="CL195" s="75" t="n"/>
      <c r="CM195" s="75" t="n"/>
      <c r="CN195" s="75" t="n"/>
      <c r="CO195" s="75" t="n"/>
      <c r="CP195" s="75" t="n"/>
      <c r="CQ195" s="75" t="n"/>
      <c r="CR195" s="75" t="n"/>
      <c r="CS195" s="75" t="n"/>
      <c r="CT195" s="75" t="n"/>
      <c r="CU195" s="75" t="n"/>
      <c r="CV195" s="75" t="n"/>
      <c r="CW195" s="75" t="n"/>
      <c r="CX195" s="75" t="n"/>
      <c r="CY195" s="75" t="n"/>
      <c r="CZ195" s="75" t="n"/>
    </row>
    <row r="196">
      <c r="B196" s="134">
        <f>IF($A195="",0,COUNT($E196:$CZ196))</f>
        <v/>
      </c>
    </row>
    <row r="197">
      <c r="A197" s="5">
        <f>IF(AS51!$C$101="","",AS51!$C$101)</f>
        <v/>
      </c>
      <c r="B197" s="134">
        <f>IF($A197="",0,COUNT($E197:$CZ197))</f>
        <v/>
      </c>
      <c r="C197" s="135">
        <f>IF($A197="",0,IF($B197=0,0,MAX($E197:$CZ197)))</f>
        <v/>
      </c>
      <c r="D197" s="74">
        <f>BDS($A197,'Field Check'!$C$42,"headers=y","startcol=2","endcol=3","dir=h")</f>
        <v/>
      </c>
      <c r="E197" s="75" t="n"/>
      <c r="F197" s="75" t="n"/>
      <c r="G197" s="75" t="n"/>
      <c r="H197" s="75" t="n"/>
      <c r="I197" s="75" t="n"/>
      <c r="J197" s="75" t="n"/>
      <c r="K197" s="75" t="n"/>
      <c r="L197" s="75" t="n"/>
      <c r="M197" s="75" t="n"/>
      <c r="N197" s="75" t="n"/>
      <c r="O197" s="75" t="n"/>
      <c r="P197" s="75" t="n"/>
      <c r="Q197" s="75" t="n"/>
      <c r="R197" s="75" t="n"/>
      <c r="S197" s="75" t="n"/>
      <c r="T197" s="75" t="n"/>
      <c r="U197" s="75" t="n"/>
      <c r="V197" s="75" t="n"/>
      <c r="W197" s="75" t="n"/>
      <c r="X197" s="75" t="n"/>
      <c r="Y197" s="75" t="n"/>
      <c r="Z197" s="75" t="n"/>
      <c r="AA197" s="75" t="n"/>
      <c r="AB197" s="75" t="n"/>
      <c r="AC197" s="75" t="n"/>
      <c r="AD197" s="75" t="n"/>
      <c r="AE197" s="75" t="n"/>
      <c r="AF197" s="75" t="n"/>
      <c r="AG197" s="75" t="n"/>
      <c r="AH197" s="75" t="n"/>
      <c r="AI197" s="75" t="n"/>
      <c r="AJ197" s="75" t="n"/>
      <c r="AK197" s="75" t="n"/>
      <c r="AL197" s="75" t="n"/>
      <c r="AM197" s="75" t="n"/>
      <c r="AN197" s="75" t="n"/>
      <c r="AO197" s="75" t="n"/>
      <c r="AP197" s="75" t="n"/>
      <c r="AQ197" s="75" t="n"/>
      <c r="AR197" s="75" t="n"/>
      <c r="AS197" s="75" t="n"/>
      <c r="AT197" s="75" t="n"/>
      <c r="AU197" s="75" t="n"/>
      <c r="AV197" s="75" t="n"/>
      <c r="AW197" s="75" t="n"/>
      <c r="AX197" s="75" t="n"/>
      <c r="AY197" s="75" t="n"/>
      <c r="AZ197" s="75" t="n"/>
      <c r="BA197" s="75" t="n"/>
      <c r="BB197" s="75" t="n"/>
      <c r="BC197" s="75" t="n"/>
      <c r="BD197" s="75" t="n"/>
      <c r="BE197" s="75" t="n"/>
      <c r="BF197" s="75" t="n"/>
      <c r="BG197" s="75" t="n"/>
      <c r="BH197" s="75" t="n"/>
      <c r="BI197" s="75" t="n"/>
      <c r="BJ197" s="75" t="n"/>
      <c r="BK197" s="75" t="n"/>
      <c r="BL197" s="75" t="n"/>
      <c r="BM197" s="75" t="n"/>
      <c r="BN197" s="75" t="n"/>
      <c r="BO197" s="75" t="n"/>
      <c r="BP197" s="75" t="n"/>
      <c r="BQ197" s="75" t="n"/>
      <c r="BR197" s="75" t="n"/>
      <c r="BS197" s="75" t="n"/>
      <c r="BT197" s="75" t="n"/>
      <c r="BU197" s="75" t="n"/>
      <c r="BV197" s="75" t="n"/>
      <c r="BW197" s="75" t="n"/>
      <c r="BX197" s="75" t="n"/>
      <c r="BY197" s="75" t="n"/>
      <c r="BZ197" s="75" t="n"/>
      <c r="CA197" s="75" t="n"/>
      <c r="CB197" s="75" t="n"/>
      <c r="CC197" s="75" t="n"/>
      <c r="CD197" s="75" t="n"/>
      <c r="CE197" s="75" t="n"/>
      <c r="CF197" s="75" t="n"/>
      <c r="CG197" s="75" t="n"/>
      <c r="CH197" s="75" t="n"/>
      <c r="CI197" s="75" t="n"/>
      <c r="CJ197" s="75" t="n"/>
      <c r="CK197" s="75" t="n"/>
      <c r="CL197" s="75" t="n"/>
      <c r="CM197" s="75" t="n"/>
      <c r="CN197" s="75" t="n"/>
      <c r="CO197" s="75" t="n"/>
      <c r="CP197" s="75" t="n"/>
      <c r="CQ197" s="75" t="n"/>
      <c r="CR197" s="75" t="n"/>
      <c r="CS197" s="75" t="n"/>
      <c r="CT197" s="75" t="n"/>
      <c r="CU197" s="75" t="n"/>
      <c r="CV197" s="75" t="n"/>
      <c r="CW197" s="75" t="n"/>
      <c r="CX197" s="75" t="n"/>
      <c r="CY197" s="75" t="n"/>
      <c r="CZ197" s="75" t="n"/>
    </row>
    <row r="198">
      <c r="B198" s="134">
        <f>IF($A197="",0,COUNT($E198:$CZ198))</f>
        <v/>
      </c>
    </row>
    <row r="199">
      <c r="A199" s="5">
        <f>IF(AS51!$C$102="","",AS51!$C$102)</f>
        <v/>
      </c>
      <c r="B199" s="134">
        <f>IF($A199="",0,COUNT($E199:$CZ199))</f>
        <v/>
      </c>
      <c r="C199" s="135">
        <f>IF($A199="",0,IF($B199=0,0,MAX($E199:$CZ199)))</f>
        <v/>
      </c>
      <c r="D199" s="74">
        <f>BDS($A199,'Field Check'!$C$42,"headers=y","startcol=2","endcol=3","dir=h")</f>
        <v/>
      </c>
      <c r="E199" s="75" t="n"/>
      <c r="F199" s="75" t="n"/>
      <c r="G199" s="75" t="n"/>
      <c r="H199" s="75" t="n"/>
      <c r="I199" s="75" t="n"/>
      <c r="J199" s="75" t="n"/>
      <c r="K199" s="75" t="n"/>
      <c r="L199" s="75" t="n"/>
      <c r="M199" s="75" t="n"/>
      <c r="N199" s="75" t="n"/>
      <c r="O199" s="75" t="n"/>
      <c r="P199" s="75" t="n"/>
      <c r="Q199" s="75" t="n"/>
      <c r="R199" s="75" t="n"/>
      <c r="S199" s="75" t="n"/>
      <c r="T199" s="75" t="n"/>
      <c r="U199" s="75" t="n"/>
      <c r="V199" s="75" t="n"/>
      <c r="W199" s="75" t="n"/>
      <c r="X199" s="75" t="n"/>
      <c r="Y199" s="75" t="n"/>
      <c r="Z199" s="75" t="n"/>
      <c r="AA199" s="75" t="n"/>
      <c r="AB199" s="75" t="n"/>
      <c r="AC199" s="75" t="n"/>
      <c r="AD199" s="75" t="n"/>
      <c r="AE199" s="75" t="n"/>
      <c r="AF199" s="75" t="n"/>
      <c r="AG199" s="75" t="n"/>
      <c r="AH199" s="75" t="n"/>
      <c r="AI199" s="75" t="n"/>
      <c r="AJ199" s="75" t="n"/>
      <c r="AK199" s="75" t="n"/>
      <c r="AL199" s="75" t="n"/>
      <c r="AM199" s="75" t="n"/>
      <c r="AN199" s="75" t="n"/>
      <c r="AO199" s="75" t="n"/>
      <c r="AP199" s="75" t="n"/>
      <c r="AQ199" s="75" t="n"/>
      <c r="AR199" s="75" t="n"/>
      <c r="AS199" s="75" t="n"/>
      <c r="AT199" s="75" t="n"/>
      <c r="AU199" s="75" t="n"/>
      <c r="AV199" s="75" t="n"/>
      <c r="AW199" s="75" t="n"/>
      <c r="AX199" s="75" t="n"/>
      <c r="AY199" s="75" t="n"/>
      <c r="AZ199" s="75" t="n"/>
      <c r="BA199" s="75" t="n"/>
      <c r="BB199" s="75" t="n"/>
      <c r="BC199" s="75" t="n"/>
      <c r="BD199" s="75" t="n"/>
      <c r="BE199" s="75" t="n"/>
      <c r="BF199" s="75" t="n"/>
      <c r="BG199" s="75" t="n"/>
      <c r="BH199" s="75" t="n"/>
      <c r="BI199" s="75" t="n"/>
      <c r="BJ199" s="75" t="n"/>
      <c r="BK199" s="75" t="n"/>
      <c r="BL199" s="75" t="n"/>
      <c r="BM199" s="75" t="n"/>
      <c r="BN199" s="75" t="n"/>
      <c r="BO199" s="75" t="n"/>
      <c r="BP199" s="75" t="n"/>
      <c r="BQ199" s="75" t="n"/>
      <c r="BR199" s="75" t="n"/>
      <c r="BS199" s="75" t="n"/>
      <c r="BT199" s="75" t="n"/>
      <c r="BU199" s="75" t="n"/>
      <c r="BV199" s="75" t="n"/>
      <c r="BW199" s="75" t="n"/>
      <c r="BX199" s="75" t="n"/>
      <c r="BY199" s="75" t="n"/>
      <c r="BZ199" s="75" t="n"/>
      <c r="CA199" s="75" t="n"/>
      <c r="CB199" s="75" t="n"/>
      <c r="CC199" s="75" t="n"/>
      <c r="CD199" s="75" t="n"/>
      <c r="CE199" s="75" t="n"/>
      <c r="CF199" s="75" t="n"/>
      <c r="CG199" s="75" t="n"/>
      <c r="CH199" s="75" t="n"/>
      <c r="CI199" s="75" t="n"/>
      <c r="CJ199" s="75" t="n"/>
      <c r="CK199" s="75" t="n"/>
      <c r="CL199" s="75" t="n"/>
      <c r="CM199" s="75" t="n"/>
      <c r="CN199" s="75" t="n"/>
      <c r="CO199" s="75" t="n"/>
      <c r="CP199" s="75" t="n"/>
      <c r="CQ199" s="75" t="n"/>
      <c r="CR199" s="75" t="n"/>
      <c r="CS199" s="75" t="n"/>
      <c r="CT199" s="75" t="n"/>
      <c r="CU199" s="75" t="n"/>
      <c r="CV199" s="75" t="n"/>
      <c r="CW199" s="75" t="n"/>
      <c r="CX199" s="75" t="n"/>
      <c r="CY199" s="75" t="n"/>
      <c r="CZ199" s="75" t="n"/>
    </row>
    <row r="200">
      <c r="B200" s="134">
        <f>IF($A199="",0,COUNT($E200:$CZ200))</f>
        <v/>
      </c>
    </row>
    <row r="201">
      <c r="A201" s="5">
        <f>IF(AS51!$C$103="","",AS51!$C$103)</f>
        <v/>
      </c>
      <c r="B201" s="134">
        <f>IF($A201="",0,COUNT($E201:$CZ201))</f>
        <v/>
      </c>
      <c r="C201" s="135">
        <f>IF($A201="",0,IF($B201=0,0,MAX($E201:$CZ201)))</f>
        <v/>
      </c>
      <c r="D201" s="74">
        <f>BDS($A201,'Field Check'!$C$42,"headers=y","startcol=2","endcol=3","dir=h")</f>
        <v/>
      </c>
      <c r="E201" s="75" t="n"/>
      <c r="F201" s="75" t="n"/>
      <c r="G201" s="75" t="n"/>
      <c r="H201" s="75" t="n"/>
      <c r="I201" s="75" t="n"/>
      <c r="J201" s="75" t="n"/>
      <c r="K201" s="75" t="n"/>
      <c r="L201" s="75" t="n"/>
      <c r="M201" s="75" t="n"/>
      <c r="N201" s="75" t="n"/>
      <c r="O201" s="75" t="n"/>
      <c r="P201" s="75" t="n"/>
      <c r="Q201" s="75" t="n"/>
      <c r="R201" s="75" t="n"/>
      <c r="S201" s="75" t="n"/>
      <c r="T201" s="75" t="n"/>
      <c r="U201" s="75" t="n"/>
      <c r="V201" s="75" t="n"/>
      <c r="W201" s="75" t="n"/>
      <c r="X201" s="75" t="n"/>
      <c r="Y201" s="75" t="n"/>
      <c r="Z201" s="75" t="n"/>
      <c r="AA201" s="75" t="n"/>
      <c r="AB201" s="75" t="n"/>
      <c r="AC201" s="75" t="n"/>
      <c r="AD201" s="75" t="n"/>
      <c r="AE201" s="75" t="n"/>
      <c r="AF201" s="75" t="n"/>
      <c r="AG201" s="75" t="n"/>
      <c r="AH201" s="75" t="n"/>
      <c r="AI201" s="75" t="n"/>
      <c r="AJ201" s="75" t="n"/>
      <c r="AK201" s="75" t="n"/>
      <c r="AL201" s="75" t="n"/>
      <c r="AM201" s="75" t="n"/>
      <c r="AN201" s="75" t="n"/>
      <c r="AO201" s="75" t="n"/>
      <c r="AP201" s="75" t="n"/>
      <c r="AQ201" s="75" t="n"/>
      <c r="AR201" s="75" t="n"/>
      <c r="AS201" s="75" t="n"/>
      <c r="AT201" s="75" t="n"/>
      <c r="AU201" s="75" t="n"/>
      <c r="AV201" s="75" t="n"/>
      <c r="AW201" s="75" t="n"/>
      <c r="AX201" s="75" t="n"/>
      <c r="AY201" s="75" t="n"/>
      <c r="AZ201" s="75" t="n"/>
      <c r="BA201" s="75" t="n"/>
      <c r="BB201" s="75" t="n"/>
      <c r="BC201" s="75" t="n"/>
      <c r="BD201" s="75" t="n"/>
      <c r="BE201" s="75" t="n"/>
      <c r="BF201" s="75" t="n"/>
      <c r="BG201" s="75" t="n"/>
      <c r="BH201" s="75" t="n"/>
      <c r="BI201" s="75" t="n"/>
      <c r="BJ201" s="75" t="n"/>
      <c r="BK201" s="75" t="n"/>
      <c r="BL201" s="75" t="n"/>
      <c r="BM201" s="75" t="n"/>
      <c r="BN201" s="75" t="n"/>
      <c r="BO201" s="75" t="n"/>
      <c r="BP201" s="75" t="n"/>
      <c r="BQ201" s="75" t="n"/>
      <c r="BR201" s="75" t="n"/>
      <c r="BS201" s="75" t="n"/>
      <c r="BT201" s="75" t="n"/>
      <c r="BU201" s="75" t="n"/>
      <c r="BV201" s="75" t="n"/>
      <c r="BW201" s="75" t="n"/>
      <c r="BX201" s="75" t="n"/>
      <c r="BY201" s="75" t="n"/>
      <c r="BZ201" s="75" t="n"/>
      <c r="CA201" s="75" t="n"/>
      <c r="CB201" s="75" t="n"/>
      <c r="CC201" s="75" t="n"/>
      <c r="CD201" s="75" t="n"/>
      <c r="CE201" s="75" t="n"/>
      <c r="CF201" s="75" t="n"/>
      <c r="CG201" s="75" t="n"/>
      <c r="CH201" s="75" t="n"/>
      <c r="CI201" s="75" t="n"/>
      <c r="CJ201" s="75" t="n"/>
      <c r="CK201" s="75" t="n"/>
      <c r="CL201" s="75" t="n"/>
      <c r="CM201" s="75" t="n"/>
      <c r="CN201" s="75" t="n"/>
      <c r="CO201" s="75" t="n"/>
      <c r="CP201" s="75" t="n"/>
      <c r="CQ201" s="75" t="n"/>
      <c r="CR201" s="75" t="n"/>
      <c r="CS201" s="75" t="n"/>
      <c r="CT201" s="75" t="n"/>
      <c r="CU201" s="75" t="n"/>
      <c r="CV201" s="75" t="n"/>
      <c r="CW201" s="75" t="n"/>
      <c r="CX201" s="75" t="n"/>
      <c r="CY201" s="75" t="n"/>
      <c r="CZ201" s="75" t="n"/>
    </row>
    <row r="202">
      <c r="B202" s="134">
        <f>IF($A201="",0,COUNT($E202:$CZ202))</f>
        <v/>
      </c>
    </row>
    <row r="203">
      <c r="A203" s="5">
        <f>IF(AS51!$C$104="","",AS51!$C$104)</f>
        <v/>
      </c>
      <c r="B203" s="134">
        <f>IF($A203="",0,COUNT($E203:$CZ203))</f>
        <v/>
      </c>
      <c r="C203" s="135">
        <f>IF($A203="",0,IF($B203=0,0,MAX($E203:$CZ203)))</f>
        <v/>
      </c>
      <c r="D203" s="74">
        <f>BDS($A203,'Field Check'!$C$42,"headers=y","startcol=2","endcol=3","dir=h")</f>
        <v/>
      </c>
      <c r="E203" s="75" t="n"/>
      <c r="F203" s="75" t="n"/>
      <c r="G203" s="75" t="n"/>
      <c r="H203" s="75" t="n"/>
      <c r="I203" s="75" t="n"/>
      <c r="J203" s="75" t="n"/>
      <c r="K203" s="75" t="n"/>
      <c r="L203" s="75" t="n"/>
      <c r="M203" s="75" t="n"/>
      <c r="N203" s="75" t="n"/>
      <c r="O203" s="75" t="n"/>
      <c r="P203" s="75" t="n"/>
      <c r="Q203" s="75" t="n"/>
      <c r="R203" s="75" t="n"/>
      <c r="S203" s="75" t="n"/>
      <c r="T203" s="75" t="n"/>
      <c r="U203" s="75" t="n"/>
      <c r="V203" s="75" t="n"/>
      <c r="W203" s="75" t="n"/>
      <c r="X203" s="75" t="n"/>
      <c r="Y203" s="75" t="n"/>
      <c r="Z203" s="75" t="n"/>
      <c r="AA203" s="75" t="n"/>
      <c r="AB203" s="75" t="n"/>
      <c r="AC203" s="75" t="n"/>
      <c r="AD203" s="75" t="n"/>
      <c r="AE203" s="75" t="n"/>
      <c r="AF203" s="75" t="n"/>
      <c r="AG203" s="75" t="n"/>
      <c r="AH203" s="75" t="n"/>
      <c r="AI203" s="75" t="n"/>
      <c r="AJ203" s="75" t="n"/>
      <c r="AK203" s="75" t="n"/>
      <c r="AL203" s="75" t="n"/>
      <c r="AM203" s="75" t="n"/>
      <c r="AN203" s="75" t="n"/>
      <c r="AO203" s="75" t="n"/>
      <c r="AP203" s="75" t="n"/>
      <c r="AQ203" s="75" t="n"/>
      <c r="AR203" s="75" t="n"/>
      <c r="AS203" s="75" t="n"/>
      <c r="AT203" s="75" t="n"/>
      <c r="AU203" s="75" t="n"/>
      <c r="AV203" s="75" t="n"/>
      <c r="AW203" s="75" t="n"/>
      <c r="AX203" s="75" t="n"/>
      <c r="AY203" s="75" t="n"/>
      <c r="AZ203" s="75" t="n"/>
      <c r="BA203" s="75" t="n"/>
      <c r="BB203" s="75" t="n"/>
      <c r="BC203" s="75" t="n"/>
      <c r="BD203" s="75" t="n"/>
      <c r="BE203" s="75" t="n"/>
      <c r="BF203" s="75" t="n"/>
      <c r="BG203" s="75" t="n"/>
      <c r="BH203" s="75" t="n"/>
      <c r="BI203" s="75" t="n"/>
      <c r="BJ203" s="75" t="n"/>
      <c r="BK203" s="75" t="n"/>
      <c r="BL203" s="75" t="n"/>
      <c r="BM203" s="75" t="n"/>
      <c r="BN203" s="75" t="n"/>
      <c r="BO203" s="75" t="n"/>
      <c r="BP203" s="75" t="n"/>
      <c r="BQ203" s="75" t="n"/>
      <c r="BR203" s="75" t="n"/>
      <c r="BS203" s="75" t="n"/>
      <c r="BT203" s="75" t="n"/>
      <c r="BU203" s="75" t="n"/>
      <c r="BV203" s="75" t="n"/>
      <c r="BW203" s="75" t="n"/>
      <c r="BX203" s="75" t="n"/>
      <c r="BY203" s="75" t="n"/>
      <c r="BZ203" s="75" t="n"/>
      <c r="CA203" s="75" t="n"/>
      <c r="CB203" s="75" t="n"/>
      <c r="CC203" s="75" t="n"/>
      <c r="CD203" s="75" t="n"/>
      <c r="CE203" s="75" t="n"/>
      <c r="CF203" s="75" t="n"/>
      <c r="CG203" s="75" t="n"/>
      <c r="CH203" s="75" t="n"/>
      <c r="CI203" s="75" t="n"/>
      <c r="CJ203" s="75" t="n"/>
      <c r="CK203" s="75" t="n"/>
      <c r="CL203" s="75" t="n"/>
      <c r="CM203" s="75" t="n"/>
      <c r="CN203" s="75" t="n"/>
      <c r="CO203" s="75" t="n"/>
      <c r="CP203" s="75" t="n"/>
      <c r="CQ203" s="75" t="n"/>
      <c r="CR203" s="75" t="n"/>
      <c r="CS203" s="75" t="n"/>
      <c r="CT203" s="75" t="n"/>
      <c r="CU203" s="75" t="n"/>
      <c r="CV203" s="75" t="n"/>
      <c r="CW203" s="75" t="n"/>
      <c r="CX203" s="75" t="n"/>
      <c r="CY203" s="75" t="n"/>
      <c r="CZ203" s="75" t="n"/>
    </row>
    <row r="204">
      <c r="B204" s="134">
        <f>IF($A203="",0,COUNT($E204:$CZ204))</f>
        <v/>
      </c>
    </row>
    <row r="205">
      <c r="A205" s="5">
        <f>IF(AS51!$C$105="","",AS51!$C$105)</f>
        <v/>
      </c>
      <c r="B205" s="134">
        <f>IF($A205="",0,COUNT($E205:$CZ205))</f>
        <v/>
      </c>
      <c r="C205" s="135">
        <f>IF($A205="",0,IF($B205=0,0,MAX($E205:$CZ205)))</f>
        <v/>
      </c>
      <c r="D205" s="74">
        <f>BDS($A205,'Field Check'!$C$42,"headers=y","startcol=2","endcol=3","dir=h")</f>
        <v/>
      </c>
      <c r="E205" s="75" t="n"/>
      <c r="F205" s="75" t="n"/>
      <c r="G205" s="75" t="n"/>
      <c r="H205" s="75" t="n"/>
      <c r="I205" s="75" t="n"/>
      <c r="J205" s="75" t="n"/>
      <c r="K205" s="75" t="n"/>
      <c r="L205" s="75" t="n"/>
      <c r="M205" s="75" t="n"/>
      <c r="N205" s="75" t="n"/>
      <c r="O205" s="75" t="n"/>
      <c r="P205" s="75" t="n"/>
      <c r="Q205" s="75" t="n"/>
      <c r="R205" s="75" t="n"/>
      <c r="S205" s="75" t="n"/>
      <c r="T205" s="75" t="n"/>
      <c r="U205" s="75" t="n"/>
      <c r="V205" s="75" t="n"/>
      <c r="W205" s="75" t="n"/>
      <c r="X205" s="75" t="n"/>
      <c r="Y205" s="75" t="n"/>
      <c r="Z205" s="75" t="n"/>
      <c r="AA205" s="75" t="n"/>
      <c r="AB205" s="75" t="n"/>
      <c r="AC205" s="75" t="n"/>
      <c r="AD205" s="75" t="n"/>
      <c r="AE205" s="75" t="n"/>
      <c r="AF205" s="75" t="n"/>
      <c r="AG205" s="75" t="n"/>
      <c r="AH205" s="75" t="n"/>
      <c r="AI205" s="75" t="n"/>
      <c r="AJ205" s="75" t="n"/>
      <c r="AK205" s="75" t="n"/>
      <c r="AL205" s="75" t="n"/>
      <c r="AM205" s="75" t="n"/>
      <c r="AN205" s="75" t="n"/>
      <c r="AO205" s="75" t="n"/>
      <c r="AP205" s="75" t="n"/>
      <c r="AQ205" s="75" t="n"/>
      <c r="AR205" s="75" t="n"/>
      <c r="AS205" s="75" t="n"/>
      <c r="AT205" s="75" t="n"/>
      <c r="AU205" s="75" t="n"/>
      <c r="AV205" s="75" t="n"/>
      <c r="AW205" s="75" t="n"/>
      <c r="AX205" s="75" t="n"/>
      <c r="AY205" s="75" t="n"/>
      <c r="AZ205" s="75" t="n"/>
      <c r="BA205" s="75" t="n"/>
      <c r="BB205" s="75" t="n"/>
      <c r="BC205" s="75" t="n"/>
      <c r="BD205" s="75" t="n"/>
      <c r="BE205" s="75" t="n"/>
      <c r="BF205" s="75" t="n"/>
      <c r="BG205" s="75" t="n"/>
      <c r="BH205" s="75" t="n"/>
      <c r="BI205" s="75" t="n"/>
      <c r="BJ205" s="75" t="n"/>
      <c r="BK205" s="75" t="n"/>
      <c r="BL205" s="75" t="n"/>
      <c r="BM205" s="75" t="n"/>
      <c r="BN205" s="75" t="n"/>
      <c r="BO205" s="75" t="n"/>
      <c r="BP205" s="75" t="n"/>
      <c r="BQ205" s="75" t="n"/>
      <c r="BR205" s="75" t="n"/>
      <c r="BS205" s="75" t="n"/>
      <c r="BT205" s="75" t="n"/>
      <c r="BU205" s="75" t="n"/>
      <c r="BV205" s="75" t="n"/>
      <c r="BW205" s="75" t="n"/>
      <c r="BX205" s="75" t="n"/>
      <c r="BY205" s="75" t="n"/>
      <c r="BZ205" s="75" t="n"/>
      <c r="CA205" s="75" t="n"/>
      <c r="CB205" s="75" t="n"/>
      <c r="CC205" s="75" t="n"/>
      <c r="CD205" s="75" t="n"/>
      <c r="CE205" s="75" t="n"/>
      <c r="CF205" s="75" t="n"/>
      <c r="CG205" s="75" t="n"/>
      <c r="CH205" s="75" t="n"/>
      <c r="CI205" s="75" t="n"/>
      <c r="CJ205" s="75" t="n"/>
      <c r="CK205" s="75" t="n"/>
      <c r="CL205" s="75" t="n"/>
      <c r="CM205" s="75" t="n"/>
      <c r="CN205" s="75" t="n"/>
      <c r="CO205" s="75" t="n"/>
      <c r="CP205" s="75" t="n"/>
      <c r="CQ205" s="75" t="n"/>
      <c r="CR205" s="75" t="n"/>
      <c r="CS205" s="75" t="n"/>
      <c r="CT205" s="75" t="n"/>
      <c r="CU205" s="75" t="n"/>
      <c r="CV205" s="75" t="n"/>
      <c r="CW205" s="75" t="n"/>
      <c r="CX205" s="75" t="n"/>
      <c r="CY205" s="75" t="n"/>
      <c r="CZ205" s="75" t="n"/>
    </row>
    <row r="206">
      <c r="B206" s="134">
        <f>IF($A205="",0,COUNT($E206:$CZ206))</f>
        <v/>
      </c>
    </row>
    <row r="207">
      <c r="A207" s="5">
        <f>IF(AS51!$C$106="","",AS51!$C$106)</f>
        <v/>
      </c>
      <c r="B207" s="134">
        <f>IF($A207="",0,COUNT($E207:$CZ207))</f>
        <v/>
      </c>
      <c r="C207" s="135">
        <f>IF($A207="",0,IF($B207=0,0,MAX($E207:$CZ207)))</f>
        <v/>
      </c>
      <c r="D207" s="74">
        <f>BDS($A207,'Field Check'!$C$42,"headers=y","startcol=2","endcol=3","dir=h")</f>
        <v/>
      </c>
      <c r="E207" s="75" t="n"/>
      <c r="F207" s="75" t="n"/>
      <c r="G207" s="75" t="n"/>
      <c r="H207" s="75" t="n"/>
      <c r="I207" s="75" t="n"/>
      <c r="J207" s="75" t="n"/>
      <c r="K207" s="75" t="n"/>
      <c r="L207" s="75" t="n"/>
      <c r="M207" s="75" t="n"/>
      <c r="N207" s="75" t="n"/>
      <c r="O207" s="75" t="n"/>
      <c r="P207" s="75" t="n"/>
      <c r="Q207" s="75" t="n"/>
      <c r="R207" s="75" t="n"/>
      <c r="S207" s="75" t="n"/>
      <c r="T207" s="75" t="n"/>
      <c r="U207" s="75" t="n"/>
      <c r="V207" s="75" t="n"/>
      <c r="W207" s="75" t="n"/>
      <c r="X207" s="75" t="n"/>
      <c r="Y207" s="75" t="n"/>
      <c r="Z207" s="75" t="n"/>
      <c r="AA207" s="75" t="n"/>
      <c r="AB207" s="75" t="n"/>
      <c r="AC207" s="75" t="n"/>
      <c r="AD207" s="75" t="n"/>
      <c r="AE207" s="75" t="n"/>
      <c r="AF207" s="75" t="n"/>
      <c r="AG207" s="75" t="n"/>
      <c r="AH207" s="75" t="n"/>
      <c r="AI207" s="75" t="n"/>
      <c r="AJ207" s="75" t="n"/>
      <c r="AK207" s="75" t="n"/>
      <c r="AL207" s="75" t="n"/>
      <c r="AM207" s="75" t="n"/>
      <c r="AN207" s="75" t="n"/>
      <c r="AO207" s="75" t="n"/>
      <c r="AP207" s="75" t="n"/>
      <c r="AQ207" s="75" t="n"/>
      <c r="AR207" s="75" t="n"/>
      <c r="AS207" s="75" t="n"/>
      <c r="AT207" s="75" t="n"/>
      <c r="AU207" s="75" t="n"/>
      <c r="AV207" s="75" t="n"/>
      <c r="AW207" s="75" t="n"/>
      <c r="AX207" s="75" t="n"/>
      <c r="AY207" s="75" t="n"/>
      <c r="AZ207" s="75" t="n"/>
      <c r="BA207" s="75" t="n"/>
      <c r="BB207" s="75" t="n"/>
      <c r="BC207" s="75" t="n"/>
      <c r="BD207" s="75" t="n"/>
      <c r="BE207" s="75" t="n"/>
      <c r="BF207" s="75" t="n"/>
      <c r="BG207" s="75" t="n"/>
      <c r="BH207" s="75" t="n"/>
      <c r="BI207" s="75" t="n"/>
      <c r="BJ207" s="75" t="n"/>
      <c r="BK207" s="75" t="n"/>
      <c r="BL207" s="75" t="n"/>
      <c r="BM207" s="75" t="n"/>
      <c r="BN207" s="75" t="n"/>
      <c r="BO207" s="75" t="n"/>
      <c r="BP207" s="75" t="n"/>
      <c r="BQ207" s="75" t="n"/>
      <c r="BR207" s="75" t="n"/>
      <c r="BS207" s="75" t="n"/>
      <c r="BT207" s="75" t="n"/>
      <c r="BU207" s="75" t="n"/>
      <c r="BV207" s="75" t="n"/>
      <c r="BW207" s="75" t="n"/>
      <c r="BX207" s="75" t="n"/>
      <c r="BY207" s="75" t="n"/>
      <c r="BZ207" s="75" t="n"/>
      <c r="CA207" s="75" t="n"/>
      <c r="CB207" s="75" t="n"/>
      <c r="CC207" s="75" t="n"/>
      <c r="CD207" s="75" t="n"/>
      <c r="CE207" s="75" t="n"/>
      <c r="CF207" s="75" t="n"/>
      <c r="CG207" s="75" t="n"/>
      <c r="CH207" s="75" t="n"/>
      <c r="CI207" s="75" t="n"/>
      <c r="CJ207" s="75" t="n"/>
      <c r="CK207" s="75" t="n"/>
      <c r="CL207" s="75" t="n"/>
      <c r="CM207" s="75" t="n"/>
      <c r="CN207" s="75" t="n"/>
      <c r="CO207" s="75" t="n"/>
      <c r="CP207" s="75" t="n"/>
      <c r="CQ207" s="75" t="n"/>
      <c r="CR207" s="75" t="n"/>
      <c r="CS207" s="75" t="n"/>
      <c r="CT207" s="75" t="n"/>
      <c r="CU207" s="75" t="n"/>
      <c r="CV207" s="75" t="n"/>
      <c r="CW207" s="75" t="n"/>
      <c r="CX207" s="75" t="n"/>
      <c r="CY207" s="75" t="n"/>
      <c r="CZ207" s="75" t="n"/>
    </row>
    <row r="208">
      <c r="B208" s="134">
        <f>IF($A207="",0,COUNT($E208:$CZ208))</f>
        <v/>
      </c>
    </row>
    <row r="209">
      <c r="A209" s="5">
        <f>IF(AS51!$C$107="","",AS51!$C$107)</f>
        <v/>
      </c>
      <c r="B209" s="134">
        <f>IF($A209="",0,COUNT($E209:$CZ209))</f>
        <v/>
      </c>
      <c r="C209" s="135">
        <f>IF($A209="",0,IF($B209=0,0,MAX($E209:$CZ209)))</f>
        <v/>
      </c>
      <c r="D209" s="74">
        <f>BDS($A209,'Field Check'!$C$42,"headers=y","startcol=2","endcol=3","dir=h")</f>
        <v/>
      </c>
      <c r="E209" s="75" t="n"/>
      <c r="F209" s="75" t="n"/>
      <c r="G209" s="75" t="n"/>
      <c r="H209" s="75" t="n"/>
      <c r="I209" s="75" t="n"/>
      <c r="J209" s="75" t="n"/>
      <c r="K209" s="75" t="n"/>
      <c r="L209" s="75" t="n"/>
      <c r="M209" s="75" t="n"/>
      <c r="N209" s="75" t="n"/>
      <c r="O209" s="75" t="n"/>
      <c r="P209" s="75" t="n"/>
      <c r="Q209" s="75" t="n"/>
      <c r="R209" s="75" t="n"/>
      <c r="S209" s="75" t="n"/>
      <c r="T209" s="75" t="n"/>
      <c r="U209" s="75" t="n"/>
      <c r="V209" s="75" t="n"/>
      <c r="W209" s="75" t="n"/>
      <c r="X209" s="75" t="n"/>
      <c r="Y209" s="75" t="n"/>
      <c r="Z209" s="75" t="n"/>
      <c r="AA209" s="75" t="n"/>
      <c r="AB209" s="75" t="n"/>
      <c r="AC209" s="75" t="n"/>
      <c r="AD209" s="75" t="n"/>
      <c r="AE209" s="75" t="n"/>
      <c r="AF209" s="75" t="n"/>
      <c r="AG209" s="75" t="n"/>
      <c r="AH209" s="75" t="n"/>
      <c r="AI209" s="75" t="n"/>
      <c r="AJ209" s="75" t="n"/>
      <c r="AK209" s="75" t="n"/>
      <c r="AL209" s="75" t="n"/>
      <c r="AM209" s="75" t="n"/>
      <c r="AN209" s="75" t="n"/>
      <c r="AO209" s="75" t="n"/>
      <c r="AP209" s="75" t="n"/>
      <c r="AQ209" s="75" t="n"/>
      <c r="AR209" s="75" t="n"/>
      <c r="AS209" s="75" t="n"/>
      <c r="AT209" s="75" t="n"/>
      <c r="AU209" s="75" t="n"/>
      <c r="AV209" s="75" t="n"/>
      <c r="AW209" s="75" t="n"/>
      <c r="AX209" s="75" t="n"/>
      <c r="AY209" s="75" t="n"/>
      <c r="AZ209" s="75" t="n"/>
      <c r="BA209" s="75" t="n"/>
      <c r="BB209" s="75" t="n"/>
      <c r="BC209" s="75" t="n"/>
      <c r="BD209" s="75" t="n"/>
      <c r="BE209" s="75" t="n"/>
      <c r="BF209" s="75" t="n"/>
      <c r="BG209" s="75" t="n"/>
      <c r="BH209" s="75" t="n"/>
      <c r="BI209" s="75" t="n"/>
      <c r="BJ209" s="75" t="n"/>
      <c r="BK209" s="75" t="n"/>
      <c r="BL209" s="75" t="n"/>
      <c r="BM209" s="75" t="n"/>
      <c r="BN209" s="75" t="n"/>
      <c r="BO209" s="75" t="n"/>
      <c r="BP209" s="75" t="n"/>
      <c r="BQ209" s="75" t="n"/>
      <c r="BR209" s="75" t="n"/>
      <c r="BS209" s="75" t="n"/>
      <c r="BT209" s="75" t="n"/>
      <c r="BU209" s="75" t="n"/>
      <c r="BV209" s="75" t="n"/>
      <c r="BW209" s="75" t="n"/>
      <c r="BX209" s="75" t="n"/>
      <c r="BY209" s="75" t="n"/>
      <c r="BZ209" s="75" t="n"/>
      <c r="CA209" s="75" t="n"/>
      <c r="CB209" s="75" t="n"/>
      <c r="CC209" s="75" t="n"/>
      <c r="CD209" s="75" t="n"/>
      <c r="CE209" s="75" t="n"/>
      <c r="CF209" s="75" t="n"/>
      <c r="CG209" s="75" t="n"/>
      <c r="CH209" s="75" t="n"/>
      <c r="CI209" s="75" t="n"/>
      <c r="CJ209" s="75" t="n"/>
      <c r="CK209" s="75" t="n"/>
      <c r="CL209" s="75" t="n"/>
      <c r="CM209" s="75" t="n"/>
      <c r="CN209" s="75" t="n"/>
      <c r="CO209" s="75" t="n"/>
      <c r="CP209" s="75" t="n"/>
      <c r="CQ209" s="75" t="n"/>
      <c r="CR209" s="75" t="n"/>
      <c r="CS209" s="75" t="n"/>
      <c r="CT209" s="75" t="n"/>
      <c r="CU209" s="75" t="n"/>
      <c r="CV209" s="75" t="n"/>
      <c r="CW209" s="75" t="n"/>
      <c r="CX209" s="75" t="n"/>
      <c r="CY209" s="75" t="n"/>
      <c r="CZ209" s="75" t="n"/>
    </row>
    <row r="210">
      <c r="B210" s="134">
        <f>IF($A209="",0,COUNT($E210:$CZ210))</f>
        <v/>
      </c>
    </row>
    <row r="211">
      <c r="A211" s="5">
        <f>IF(AS51!$C$108="","",AS51!$C$108)</f>
        <v/>
      </c>
      <c r="B211" s="134">
        <f>IF($A211="",0,COUNT($E211:$CZ211))</f>
        <v/>
      </c>
      <c r="C211" s="135">
        <f>IF($A211="",0,IF($B211=0,0,MAX($E211:$CZ211)))</f>
        <v/>
      </c>
      <c r="D211" s="74">
        <f>BDS($A211,'Field Check'!$C$42,"headers=y","startcol=2","endcol=3","dir=h")</f>
        <v/>
      </c>
      <c r="E211" s="75" t="n"/>
      <c r="F211" s="75" t="n"/>
      <c r="G211" s="75" t="n"/>
      <c r="H211" s="75" t="n"/>
      <c r="I211" s="75" t="n"/>
      <c r="J211" s="75" t="n"/>
      <c r="K211" s="75" t="n"/>
      <c r="L211" s="75" t="n"/>
      <c r="M211" s="75" t="n"/>
      <c r="N211" s="75" t="n"/>
      <c r="O211" s="75" t="n"/>
      <c r="P211" s="75" t="n"/>
      <c r="Q211" s="75" t="n"/>
      <c r="R211" s="75" t="n"/>
      <c r="S211" s="75" t="n"/>
      <c r="T211" s="75" t="n"/>
      <c r="U211" s="75" t="n"/>
      <c r="V211" s="75" t="n"/>
      <c r="W211" s="75" t="n"/>
      <c r="X211" s="75" t="n"/>
      <c r="Y211" s="75" t="n"/>
      <c r="Z211" s="75" t="n"/>
      <c r="AA211" s="75" t="n"/>
      <c r="AB211" s="75" t="n"/>
      <c r="AC211" s="75" t="n"/>
      <c r="AD211" s="75" t="n"/>
      <c r="AE211" s="75" t="n"/>
      <c r="AF211" s="75" t="n"/>
      <c r="AG211" s="75" t="n"/>
      <c r="AH211" s="75" t="n"/>
      <c r="AI211" s="75" t="n"/>
      <c r="AJ211" s="75" t="n"/>
      <c r="AK211" s="75" t="n"/>
      <c r="AL211" s="75" t="n"/>
      <c r="AM211" s="75" t="n"/>
      <c r="AN211" s="75" t="n"/>
      <c r="AO211" s="75" t="n"/>
      <c r="AP211" s="75" t="n"/>
      <c r="AQ211" s="75" t="n"/>
      <c r="AR211" s="75" t="n"/>
      <c r="AS211" s="75" t="n"/>
      <c r="AT211" s="75" t="n"/>
      <c r="AU211" s="75" t="n"/>
      <c r="AV211" s="75" t="n"/>
      <c r="AW211" s="75" t="n"/>
      <c r="AX211" s="75" t="n"/>
      <c r="AY211" s="75" t="n"/>
      <c r="AZ211" s="75" t="n"/>
      <c r="BA211" s="75" t="n"/>
      <c r="BB211" s="75" t="n"/>
      <c r="BC211" s="75" t="n"/>
      <c r="BD211" s="75" t="n"/>
      <c r="BE211" s="75" t="n"/>
      <c r="BF211" s="75" t="n"/>
      <c r="BG211" s="75" t="n"/>
      <c r="BH211" s="75" t="n"/>
      <c r="BI211" s="75" t="n"/>
      <c r="BJ211" s="75" t="n"/>
      <c r="BK211" s="75" t="n"/>
      <c r="BL211" s="75" t="n"/>
      <c r="BM211" s="75" t="n"/>
      <c r="BN211" s="75" t="n"/>
      <c r="BO211" s="75" t="n"/>
      <c r="BP211" s="75" t="n"/>
      <c r="BQ211" s="75" t="n"/>
      <c r="BR211" s="75" t="n"/>
      <c r="BS211" s="75" t="n"/>
      <c r="BT211" s="75" t="n"/>
      <c r="BU211" s="75" t="n"/>
      <c r="BV211" s="75" t="n"/>
      <c r="BW211" s="75" t="n"/>
      <c r="BX211" s="75" t="n"/>
      <c r="BY211" s="75" t="n"/>
      <c r="BZ211" s="75" t="n"/>
      <c r="CA211" s="75" t="n"/>
      <c r="CB211" s="75" t="n"/>
      <c r="CC211" s="75" t="n"/>
      <c r="CD211" s="75" t="n"/>
      <c r="CE211" s="75" t="n"/>
      <c r="CF211" s="75" t="n"/>
      <c r="CG211" s="75" t="n"/>
      <c r="CH211" s="75" t="n"/>
      <c r="CI211" s="75" t="n"/>
      <c r="CJ211" s="75" t="n"/>
      <c r="CK211" s="75" t="n"/>
      <c r="CL211" s="75" t="n"/>
      <c r="CM211" s="75" t="n"/>
      <c r="CN211" s="75" t="n"/>
      <c r="CO211" s="75" t="n"/>
      <c r="CP211" s="75" t="n"/>
      <c r="CQ211" s="75" t="n"/>
      <c r="CR211" s="75" t="n"/>
      <c r="CS211" s="75" t="n"/>
      <c r="CT211" s="75" t="n"/>
      <c r="CU211" s="75" t="n"/>
      <c r="CV211" s="75" t="n"/>
      <c r="CW211" s="75" t="n"/>
      <c r="CX211" s="75" t="n"/>
      <c r="CY211" s="75" t="n"/>
      <c r="CZ211" s="75" t="n"/>
    </row>
    <row r="212">
      <c r="B212" s="134">
        <f>IF($A211="",0,COUNT($E212:$CZ212))</f>
        <v/>
      </c>
    </row>
    <row r="213">
      <c r="A213" s="5">
        <f>IF(AS51!$C$109="","",AS51!$C$109)</f>
        <v/>
      </c>
      <c r="B213" s="134">
        <f>IF($A213="",0,COUNT($E213:$CZ213))</f>
        <v/>
      </c>
      <c r="C213" s="135">
        <f>IF($A213="",0,IF($B213=0,0,MAX($E213:$CZ213)))</f>
        <v/>
      </c>
      <c r="D213" s="74">
        <f>BDS($A213,'Field Check'!$C$42,"headers=y","startcol=2","endcol=3","dir=h")</f>
        <v/>
      </c>
      <c r="E213" s="75" t="n"/>
      <c r="F213" s="75" t="n"/>
      <c r="G213" s="75" t="n"/>
      <c r="H213" s="75" t="n"/>
      <c r="I213" s="75" t="n"/>
      <c r="J213" s="75" t="n"/>
      <c r="K213" s="75" t="n"/>
      <c r="L213" s="75" t="n"/>
      <c r="M213" s="75" t="n"/>
      <c r="N213" s="75" t="n"/>
      <c r="O213" s="75" t="n"/>
      <c r="P213" s="75" t="n"/>
      <c r="Q213" s="75" t="n"/>
      <c r="R213" s="75" t="n"/>
      <c r="S213" s="75" t="n"/>
      <c r="T213" s="75" t="n"/>
      <c r="U213" s="75" t="n"/>
      <c r="V213" s="75" t="n"/>
      <c r="W213" s="75" t="n"/>
      <c r="X213" s="75" t="n"/>
      <c r="Y213" s="75" t="n"/>
      <c r="Z213" s="75" t="n"/>
      <c r="AA213" s="75" t="n"/>
      <c r="AB213" s="75" t="n"/>
      <c r="AC213" s="75" t="n"/>
      <c r="AD213" s="75" t="n"/>
      <c r="AE213" s="75" t="n"/>
      <c r="AF213" s="75" t="n"/>
      <c r="AG213" s="75" t="n"/>
      <c r="AH213" s="75" t="n"/>
      <c r="AI213" s="75" t="n"/>
      <c r="AJ213" s="75" t="n"/>
      <c r="AK213" s="75" t="n"/>
      <c r="AL213" s="75" t="n"/>
      <c r="AM213" s="75" t="n"/>
      <c r="AN213" s="75" t="n"/>
      <c r="AO213" s="75" t="n"/>
      <c r="AP213" s="75" t="n"/>
      <c r="AQ213" s="75" t="n"/>
      <c r="AR213" s="75" t="n"/>
      <c r="AS213" s="75" t="n"/>
      <c r="AT213" s="75" t="n"/>
      <c r="AU213" s="75" t="n"/>
      <c r="AV213" s="75" t="n"/>
      <c r="AW213" s="75" t="n"/>
      <c r="AX213" s="75" t="n"/>
      <c r="AY213" s="75" t="n"/>
      <c r="AZ213" s="75" t="n"/>
      <c r="BA213" s="75" t="n"/>
      <c r="BB213" s="75" t="n"/>
      <c r="BC213" s="75" t="n"/>
      <c r="BD213" s="75" t="n"/>
      <c r="BE213" s="75" t="n"/>
      <c r="BF213" s="75" t="n"/>
      <c r="BG213" s="75" t="n"/>
      <c r="BH213" s="75" t="n"/>
      <c r="BI213" s="75" t="n"/>
      <c r="BJ213" s="75" t="n"/>
      <c r="BK213" s="75" t="n"/>
      <c r="BL213" s="75" t="n"/>
      <c r="BM213" s="75" t="n"/>
      <c r="BN213" s="75" t="n"/>
      <c r="BO213" s="75" t="n"/>
      <c r="BP213" s="75" t="n"/>
      <c r="BQ213" s="75" t="n"/>
      <c r="BR213" s="75" t="n"/>
      <c r="BS213" s="75" t="n"/>
      <c r="BT213" s="75" t="n"/>
      <c r="BU213" s="75" t="n"/>
      <c r="BV213" s="75" t="n"/>
      <c r="BW213" s="75" t="n"/>
      <c r="BX213" s="75" t="n"/>
      <c r="BY213" s="75" t="n"/>
      <c r="BZ213" s="75" t="n"/>
      <c r="CA213" s="75" t="n"/>
      <c r="CB213" s="75" t="n"/>
      <c r="CC213" s="75" t="n"/>
      <c r="CD213" s="75" t="n"/>
      <c r="CE213" s="75" t="n"/>
      <c r="CF213" s="75" t="n"/>
      <c r="CG213" s="75" t="n"/>
      <c r="CH213" s="75" t="n"/>
      <c r="CI213" s="75" t="n"/>
      <c r="CJ213" s="75" t="n"/>
      <c r="CK213" s="75" t="n"/>
      <c r="CL213" s="75" t="n"/>
      <c r="CM213" s="75" t="n"/>
      <c r="CN213" s="75" t="n"/>
      <c r="CO213" s="75" t="n"/>
      <c r="CP213" s="75" t="n"/>
      <c r="CQ213" s="75" t="n"/>
      <c r="CR213" s="75" t="n"/>
      <c r="CS213" s="75" t="n"/>
      <c r="CT213" s="75" t="n"/>
      <c r="CU213" s="75" t="n"/>
      <c r="CV213" s="75" t="n"/>
      <c r="CW213" s="75" t="n"/>
      <c r="CX213" s="75" t="n"/>
      <c r="CY213" s="75" t="n"/>
      <c r="CZ213" s="75" t="n"/>
    </row>
    <row r="214">
      <c r="B214" s="134">
        <f>IF($A213="",0,COUNT($E214:$CZ214))</f>
        <v/>
      </c>
    </row>
    <row r="215">
      <c r="A215" s="5">
        <f>IF(AS51!$C$110="","",AS51!$C$110)</f>
        <v/>
      </c>
      <c r="B215" s="134">
        <f>IF($A215="",0,COUNT($E215:$CZ215))</f>
        <v/>
      </c>
      <c r="C215" s="135">
        <f>IF($A215="",0,IF($B215=0,0,MAX($E215:$CZ215)))</f>
        <v/>
      </c>
      <c r="D215" s="74">
        <f>BDS($A215,'Field Check'!$C$42,"headers=y","startcol=2","endcol=3","dir=h")</f>
        <v/>
      </c>
      <c r="E215" s="75" t="n"/>
      <c r="F215" s="75" t="n"/>
      <c r="G215" s="75" t="n"/>
      <c r="H215" s="75" t="n"/>
      <c r="I215" s="75" t="n"/>
      <c r="J215" s="75" t="n"/>
      <c r="K215" s="75" t="n"/>
      <c r="L215" s="75" t="n"/>
      <c r="M215" s="75" t="n"/>
      <c r="N215" s="75" t="n"/>
      <c r="O215" s="75" t="n"/>
      <c r="P215" s="75" t="n"/>
      <c r="Q215" s="75" t="n"/>
      <c r="R215" s="75" t="n"/>
      <c r="S215" s="75" t="n"/>
      <c r="T215" s="75" t="n"/>
      <c r="U215" s="75" t="n"/>
      <c r="V215" s="75" t="n"/>
      <c r="W215" s="75" t="n"/>
      <c r="X215" s="75" t="n"/>
      <c r="Y215" s="75" t="n"/>
      <c r="Z215" s="75" t="n"/>
      <c r="AA215" s="75" t="n"/>
      <c r="AB215" s="75" t="n"/>
      <c r="AC215" s="75" t="n"/>
      <c r="AD215" s="75" t="n"/>
      <c r="AE215" s="75" t="n"/>
      <c r="AF215" s="75" t="n"/>
      <c r="AG215" s="75" t="n"/>
      <c r="AH215" s="75" t="n"/>
      <c r="AI215" s="75" t="n"/>
      <c r="AJ215" s="75" t="n"/>
      <c r="AK215" s="75" t="n"/>
      <c r="AL215" s="75" t="n"/>
      <c r="AM215" s="75" t="n"/>
      <c r="AN215" s="75" t="n"/>
      <c r="AO215" s="75" t="n"/>
      <c r="AP215" s="75" t="n"/>
      <c r="AQ215" s="75" t="n"/>
      <c r="AR215" s="75" t="n"/>
      <c r="AS215" s="75" t="n"/>
      <c r="AT215" s="75" t="n"/>
      <c r="AU215" s="75" t="n"/>
      <c r="AV215" s="75" t="n"/>
      <c r="AW215" s="75" t="n"/>
      <c r="AX215" s="75" t="n"/>
      <c r="AY215" s="75" t="n"/>
      <c r="AZ215" s="75" t="n"/>
      <c r="BA215" s="75" t="n"/>
      <c r="BB215" s="75" t="n"/>
      <c r="BC215" s="75" t="n"/>
      <c r="BD215" s="75" t="n"/>
      <c r="BE215" s="75" t="n"/>
      <c r="BF215" s="75" t="n"/>
      <c r="BG215" s="75" t="n"/>
      <c r="BH215" s="75" t="n"/>
      <c r="BI215" s="75" t="n"/>
      <c r="BJ215" s="75" t="n"/>
      <c r="BK215" s="75" t="n"/>
      <c r="BL215" s="75" t="n"/>
      <c r="BM215" s="75" t="n"/>
      <c r="BN215" s="75" t="n"/>
      <c r="BO215" s="75" t="n"/>
      <c r="BP215" s="75" t="n"/>
      <c r="BQ215" s="75" t="n"/>
      <c r="BR215" s="75" t="n"/>
      <c r="BS215" s="75" t="n"/>
      <c r="BT215" s="75" t="n"/>
      <c r="BU215" s="75" t="n"/>
      <c r="BV215" s="75" t="n"/>
      <c r="BW215" s="75" t="n"/>
      <c r="BX215" s="75" t="n"/>
      <c r="BY215" s="75" t="n"/>
      <c r="BZ215" s="75" t="n"/>
      <c r="CA215" s="75" t="n"/>
      <c r="CB215" s="75" t="n"/>
      <c r="CC215" s="75" t="n"/>
      <c r="CD215" s="75" t="n"/>
      <c r="CE215" s="75" t="n"/>
      <c r="CF215" s="75" t="n"/>
      <c r="CG215" s="75" t="n"/>
      <c r="CH215" s="75" t="n"/>
      <c r="CI215" s="75" t="n"/>
      <c r="CJ215" s="75" t="n"/>
      <c r="CK215" s="75" t="n"/>
      <c r="CL215" s="75" t="n"/>
      <c r="CM215" s="75" t="n"/>
      <c r="CN215" s="75" t="n"/>
      <c r="CO215" s="75" t="n"/>
      <c r="CP215" s="75" t="n"/>
      <c r="CQ215" s="75" t="n"/>
      <c r="CR215" s="75" t="n"/>
      <c r="CS215" s="75" t="n"/>
      <c r="CT215" s="75" t="n"/>
      <c r="CU215" s="75" t="n"/>
      <c r="CV215" s="75" t="n"/>
      <c r="CW215" s="75" t="n"/>
      <c r="CX215" s="75" t="n"/>
      <c r="CY215" s="75" t="n"/>
      <c r="CZ215" s="75" t="n"/>
    </row>
    <row r="216">
      <c r="B216" s="134">
        <f>IF($A215="",0,COUNT($E216:$CZ216))</f>
        <v/>
      </c>
    </row>
    <row r="217">
      <c r="A217" s="5">
        <f>IF(AS51!$C$111="","",AS51!$C$111)</f>
        <v/>
      </c>
      <c r="B217" s="134">
        <f>IF($A217="",0,COUNT($E217:$CZ217))</f>
        <v/>
      </c>
      <c r="C217" s="135">
        <f>IF($A217="",0,IF($B217=0,0,MAX($E217:$CZ217)))</f>
        <v/>
      </c>
      <c r="D217" s="74">
        <f>BDS($A217,'Field Check'!$C$42,"headers=y","startcol=2","endcol=3","dir=h")</f>
        <v/>
      </c>
      <c r="E217" s="75" t="n"/>
      <c r="F217" s="75" t="n"/>
      <c r="G217" s="75" t="n"/>
      <c r="H217" s="75" t="n"/>
      <c r="I217" s="75" t="n"/>
      <c r="J217" s="75" t="n"/>
      <c r="K217" s="75" t="n"/>
      <c r="L217" s="75" t="n"/>
      <c r="M217" s="75" t="n"/>
      <c r="N217" s="75" t="n"/>
      <c r="O217" s="75" t="n"/>
      <c r="P217" s="75" t="n"/>
      <c r="Q217" s="75" t="n"/>
      <c r="R217" s="75" t="n"/>
      <c r="S217" s="75" t="n"/>
      <c r="T217" s="75" t="n"/>
      <c r="U217" s="75" t="n"/>
      <c r="V217" s="75" t="n"/>
      <c r="W217" s="75" t="n"/>
      <c r="X217" s="75" t="n"/>
      <c r="Y217" s="75" t="n"/>
      <c r="Z217" s="75" t="n"/>
      <c r="AA217" s="75" t="n"/>
      <c r="AB217" s="75" t="n"/>
      <c r="AC217" s="75" t="n"/>
      <c r="AD217" s="75" t="n"/>
      <c r="AE217" s="75" t="n"/>
      <c r="AF217" s="75" t="n"/>
      <c r="AG217" s="75" t="n"/>
      <c r="AH217" s="75" t="n"/>
      <c r="AI217" s="75" t="n"/>
      <c r="AJ217" s="75" t="n"/>
      <c r="AK217" s="75" t="n"/>
      <c r="AL217" s="75" t="n"/>
      <c r="AM217" s="75" t="n"/>
      <c r="AN217" s="75" t="n"/>
      <c r="AO217" s="75" t="n"/>
      <c r="AP217" s="75" t="n"/>
      <c r="AQ217" s="75" t="n"/>
      <c r="AR217" s="75" t="n"/>
      <c r="AS217" s="75" t="n"/>
      <c r="AT217" s="75" t="n"/>
      <c r="AU217" s="75" t="n"/>
      <c r="AV217" s="75" t="n"/>
      <c r="AW217" s="75" t="n"/>
      <c r="AX217" s="75" t="n"/>
      <c r="AY217" s="75" t="n"/>
      <c r="AZ217" s="75" t="n"/>
      <c r="BA217" s="75" t="n"/>
      <c r="BB217" s="75" t="n"/>
      <c r="BC217" s="75" t="n"/>
      <c r="BD217" s="75" t="n"/>
      <c r="BE217" s="75" t="n"/>
      <c r="BF217" s="75" t="n"/>
      <c r="BG217" s="75" t="n"/>
      <c r="BH217" s="75" t="n"/>
      <c r="BI217" s="75" t="n"/>
      <c r="BJ217" s="75" t="n"/>
      <c r="BK217" s="75" t="n"/>
      <c r="BL217" s="75" t="n"/>
      <c r="BM217" s="75" t="n"/>
      <c r="BN217" s="75" t="n"/>
      <c r="BO217" s="75" t="n"/>
      <c r="BP217" s="75" t="n"/>
      <c r="BQ217" s="75" t="n"/>
      <c r="BR217" s="75" t="n"/>
      <c r="BS217" s="75" t="n"/>
      <c r="BT217" s="75" t="n"/>
      <c r="BU217" s="75" t="n"/>
      <c r="BV217" s="75" t="n"/>
      <c r="BW217" s="75" t="n"/>
      <c r="BX217" s="75" t="n"/>
      <c r="BY217" s="75" t="n"/>
      <c r="BZ217" s="75" t="n"/>
      <c r="CA217" s="75" t="n"/>
      <c r="CB217" s="75" t="n"/>
      <c r="CC217" s="75" t="n"/>
      <c r="CD217" s="75" t="n"/>
      <c r="CE217" s="75" t="n"/>
      <c r="CF217" s="75" t="n"/>
      <c r="CG217" s="75" t="n"/>
      <c r="CH217" s="75" t="n"/>
      <c r="CI217" s="75" t="n"/>
      <c r="CJ217" s="75" t="n"/>
      <c r="CK217" s="75" t="n"/>
      <c r="CL217" s="75" t="n"/>
      <c r="CM217" s="75" t="n"/>
      <c r="CN217" s="75" t="n"/>
      <c r="CO217" s="75" t="n"/>
      <c r="CP217" s="75" t="n"/>
      <c r="CQ217" s="75" t="n"/>
      <c r="CR217" s="75" t="n"/>
      <c r="CS217" s="75" t="n"/>
      <c r="CT217" s="75" t="n"/>
      <c r="CU217" s="75" t="n"/>
      <c r="CV217" s="75" t="n"/>
      <c r="CW217" s="75" t="n"/>
      <c r="CX217" s="75" t="n"/>
      <c r="CY217" s="75" t="n"/>
      <c r="CZ217" s="75" t="n"/>
    </row>
    <row r="218">
      <c r="B218" s="134">
        <f>IF($A217="",0,COUNT($E218:$CZ218))</f>
        <v/>
      </c>
    </row>
    <row r="219">
      <c r="A219" s="5">
        <f>IF(AS51!$C$112="","",AS51!$C$112)</f>
        <v/>
      </c>
      <c r="B219" s="134">
        <f>IF($A219="",0,COUNT($E219:$CZ219))</f>
        <v/>
      </c>
      <c r="C219" s="135">
        <f>IF($A219="",0,IF($B219=0,0,MAX($E219:$CZ219)))</f>
        <v/>
      </c>
      <c r="D219" s="74">
        <f>BDS($A219,'Field Check'!$C$42,"headers=y","startcol=2","endcol=3","dir=h")</f>
        <v/>
      </c>
      <c r="E219" s="75" t="n"/>
      <c r="F219" s="75" t="n"/>
      <c r="G219" s="75" t="n"/>
      <c r="H219" s="75" t="n"/>
      <c r="I219" s="75" t="n"/>
      <c r="J219" s="75" t="n"/>
      <c r="K219" s="75" t="n"/>
      <c r="L219" s="75" t="n"/>
      <c r="M219" s="75" t="n"/>
      <c r="N219" s="75" t="n"/>
      <c r="O219" s="75" t="n"/>
      <c r="P219" s="75" t="n"/>
      <c r="Q219" s="75" t="n"/>
      <c r="R219" s="75" t="n"/>
      <c r="S219" s="75" t="n"/>
      <c r="T219" s="75" t="n"/>
      <c r="U219" s="75" t="n"/>
      <c r="V219" s="75" t="n"/>
      <c r="W219" s="75" t="n"/>
      <c r="X219" s="75" t="n"/>
      <c r="Y219" s="75" t="n"/>
      <c r="Z219" s="75" t="n"/>
      <c r="AA219" s="75" t="n"/>
      <c r="AB219" s="75" t="n"/>
      <c r="AC219" s="75" t="n"/>
      <c r="AD219" s="75" t="n"/>
      <c r="AE219" s="75" t="n"/>
      <c r="AF219" s="75" t="n"/>
      <c r="AG219" s="75" t="n"/>
      <c r="AH219" s="75" t="n"/>
      <c r="AI219" s="75" t="n"/>
      <c r="AJ219" s="75" t="n"/>
      <c r="AK219" s="75" t="n"/>
      <c r="AL219" s="75" t="n"/>
      <c r="AM219" s="75" t="n"/>
      <c r="AN219" s="75" t="n"/>
      <c r="AO219" s="75" t="n"/>
      <c r="AP219" s="75" t="n"/>
      <c r="AQ219" s="75" t="n"/>
      <c r="AR219" s="75" t="n"/>
      <c r="AS219" s="75" t="n"/>
      <c r="AT219" s="75" t="n"/>
      <c r="AU219" s="75" t="n"/>
      <c r="AV219" s="75" t="n"/>
      <c r="AW219" s="75" t="n"/>
      <c r="AX219" s="75" t="n"/>
      <c r="AY219" s="75" t="n"/>
      <c r="AZ219" s="75" t="n"/>
      <c r="BA219" s="75" t="n"/>
      <c r="BB219" s="75" t="n"/>
      <c r="BC219" s="75" t="n"/>
      <c r="BD219" s="75" t="n"/>
      <c r="BE219" s="75" t="n"/>
      <c r="BF219" s="75" t="n"/>
      <c r="BG219" s="75" t="n"/>
      <c r="BH219" s="75" t="n"/>
      <c r="BI219" s="75" t="n"/>
      <c r="BJ219" s="75" t="n"/>
      <c r="BK219" s="75" t="n"/>
      <c r="BL219" s="75" t="n"/>
      <c r="BM219" s="75" t="n"/>
      <c r="BN219" s="75" t="n"/>
      <c r="BO219" s="75" t="n"/>
      <c r="BP219" s="75" t="n"/>
      <c r="BQ219" s="75" t="n"/>
      <c r="BR219" s="75" t="n"/>
      <c r="BS219" s="75" t="n"/>
      <c r="BT219" s="75" t="n"/>
      <c r="BU219" s="75" t="n"/>
      <c r="BV219" s="75" t="n"/>
      <c r="BW219" s="75" t="n"/>
      <c r="BX219" s="75" t="n"/>
      <c r="BY219" s="75" t="n"/>
      <c r="BZ219" s="75" t="n"/>
      <c r="CA219" s="75" t="n"/>
      <c r="CB219" s="75" t="n"/>
      <c r="CC219" s="75" t="n"/>
      <c r="CD219" s="75" t="n"/>
      <c r="CE219" s="75" t="n"/>
      <c r="CF219" s="75" t="n"/>
      <c r="CG219" s="75" t="n"/>
      <c r="CH219" s="75" t="n"/>
      <c r="CI219" s="75" t="n"/>
      <c r="CJ219" s="75" t="n"/>
      <c r="CK219" s="75" t="n"/>
      <c r="CL219" s="75" t="n"/>
      <c r="CM219" s="75" t="n"/>
      <c r="CN219" s="75" t="n"/>
      <c r="CO219" s="75" t="n"/>
      <c r="CP219" s="75" t="n"/>
      <c r="CQ219" s="75" t="n"/>
      <c r="CR219" s="75" t="n"/>
      <c r="CS219" s="75" t="n"/>
      <c r="CT219" s="75" t="n"/>
      <c r="CU219" s="75" t="n"/>
      <c r="CV219" s="75" t="n"/>
      <c r="CW219" s="75" t="n"/>
      <c r="CX219" s="75" t="n"/>
      <c r="CY219" s="75" t="n"/>
      <c r="CZ219" s="75" t="n"/>
    </row>
    <row r="220">
      <c r="B220" s="134">
        <f>IF($A219="",0,COUNT($E220:$CZ220))</f>
        <v/>
      </c>
    </row>
    <row r="221">
      <c r="A221" s="5">
        <f>IF(AS51!$C$113="","",AS51!$C$113)</f>
        <v/>
      </c>
      <c r="B221" s="134">
        <f>IF($A221="",0,COUNT($E221:$CZ221))</f>
        <v/>
      </c>
      <c r="C221" s="135">
        <f>IF($A221="",0,IF($B221=0,0,MAX($E221:$CZ221)))</f>
        <v/>
      </c>
      <c r="D221" s="74">
        <f>BDS($A221,'Field Check'!$C$42,"headers=y","startcol=2","endcol=3","dir=h")</f>
        <v/>
      </c>
      <c r="E221" s="75" t="n"/>
      <c r="F221" s="75" t="n"/>
      <c r="G221" s="75" t="n"/>
      <c r="H221" s="75" t="n"/>
      <c r="I221" s="75" t="n"/>
      <c r="J221" s="75" t="n"/>
      <c r="K221" s="75" t="n"/>
      <c r="L221" s="75" t="n"/>
      <c r="M221" s="75" t="n"/>
      <c r="N221" s="75" t="n"/>
      <c r="O221" s="75" t="n"/>
      <c r="P221" s="75" t="n"/>
      <c r="Q221" s="75" t="n"/>
      <c r="R221" s="75" t="n"/>
      <c r="S221" s="75" t="n"/>
      <c r="T221" s="75" t="n"/>
      <c r="U221" s="75" t="n"/>
      <c r="V221" s="75" t="n"/>
      <c r="W221" s="75" t="n"/>
      <c r="X221" s="75" t="n"/>
      <c r="Y221" s="75" t="n"/>
      <c r="Z221" s="75" t="n"/>
      <c r="AA221" s="75" t="n"/>
      <c r="AB221" s="75" t="n"/>
      <c r="AC221" s="75" t="n"/>
      <c r="AD221" s="75" t="n"/>
      <c r="AE221" s="75" t="n"/>
      <c r="AF221" s="75" t="n"/>
      <c r="AG221" s="75" t="n"/>
      <c r="AH221" s="75" t="n"/>
      <c r="AI221" s="75" t="n"/>
      <c r="AJ221" s="75" t="n"/>
      <c r="AK221" s="75" t="n"/>
      <c r="AL221" s="75" t="n"/>
      <c r="AM221" s="75" t="n"/>
      <c r="AN221" s="75" t="n"/>
      <c r="AO221" s="75" t="n"/>
      <c r="AP221" s="75" t="n"/>
      <c r="AQ221" s="75" t="n"/>
      <c r="AR221" s="75" t="n"/>
      <c r="AS221" s="75" t="n"/>
      <c r="AT221" s="75" t="n"/>
      <c r="AU221" s="75" t="n"/>
      <c r="AV221" s="75" t="n"/>
      <c r="AW221" s="75" t="n"/>
      <c r="AX221" s="75" t="n"/>
      <c r="AY221" s="75" t="n"/>
      <c r="AZ221" s="75" t="n"/>
      <c r="BA221" s="75" t="n"/>
      <c r="BB221" s="75" t="n"/>
      <c r="BC221" s="75" t="n"/>
      <c r="BD221" s="75" t="n"/>
      <c r="BE221" s="75" t="n"/>
      <c r="BF221" s="75" t="n"/>
      <c r="BG221" s="75" t="n"/>
      <c r="BH221" s="75" t="n"/>
      <c r="BI221" s="75" t="n"/>
      <c r="BJ221" s="75" t="n"/>
      <c r="BK221" s="75" t="n"/>
      <c r="BL221" s="75" t="n"/>
      <c r="BM221" s="75" t="n"/>
      <c r="BN221" s="75" t="n"/>
      <c r="BO221" s="75" t="n"/>
      <c r="BP221" s="75" t="n"/>
      <c r="BQ221" s="75" t="n"/>
      <c r="BR221" s="75" t="n"/>
      <c r="BS221" s="75" t="n"/>
      <c r="BT221" s="75" t="n"/>
      <c r="BU221" s="75" t="n"/>
      <c r="BV221" s="75" t="n"/>
      <c r="BW221" s="75" t="n"/>
      <c r="BX221" s="75" t="n"/>
      <c r="BY221" s="75" t="n"/>
      <c r="BZ221" s="75" t="n"/>
      <c r="CA221" s="75" t="n"/>
      <c r="CB221" s="75" t="n"/>
      <c r="CC221" s="75" t="n"/>
      <c r="CD221" s="75" t="n"/>
      <c r="CE221" s="75" t="n"/>
      <c r="CF221" s="75" t="n"/>
      <c r="CG221" s="75" t="n"/>
      <c r="CH221" s="75" t="n"/>
      <c r="CI221" s="75" t="n"/>
      <c r="CJ221" s="75" t="n"/>
      <c r="CK221" s="75" t="n"/>
      <c r="CL221" s="75" t="n"/>
      <c r="CM221" s="75" t="n"/>
      <c r="CN221" s="75" t="n"/>
      <c r="CO221" s="75" t="n"/>
      <c r="CP221" s="75" t="n"/>
      <c r="CQ221" s="75" t="n"/>
      <c r="CR221" s="75" t="n"/>
      <c r="CS221" s="75" t="n"/>
      <c r="CT221" s="75" t="n"/>
      <c r="CU221" s="75" t="n"/>
      <c r="CV221" s="75" t="n"/>
      <c r="CW221" s="75" t="n"/>
      <c r="CX221" s="75" t="n"/>
      <c r="CY221" s="75" t="n"/>
      <c r="CZ221" s="75" t="n"/>
    </row>
    <row r="222">
      <c r="B222" s="134">
        <f>IF($A221="",0,COUNT($E222:$CZ222))</f>
        <v/>
      </c>
    </row>
    <row r="223">
      <c r="A223" s="5">
        <f>IF(AS51!$C$114="","",AS51!$C$114)</f>
        <v/>
      </c>
      <c r="B223" s="134">
        <f>IF($A223="",0,COUNT($E223:$CZ223))</f>
        <v/>
      </c>
      <c r="C223" s="135">
        <f>IF($A223="",0,IF($B223=0,0,MAX($E223:$CZ223)))</f>
        <v/>
      </c>
      <c r="D223" s="74">
        <f>BDS($A223,'Field Check'!$C$42,"headers=y","startcol=2","endcol=3","dir=h")</f>
        <v/>
      </c>
      <c r="E223" s="75" t="n"/>
      <c r="F223" s="75" t="n"/>
      <c r="G223" s="75" t="n"/>
      <c r="H223" s="75" t="n"/>
      <c r="I223" s="75" t="n"/>
      <c r="J223" s="75" t="n"/>
      <c r="K223" s="75" t="n"/>
      <c r="L223" s="75" t="n"/>
      <c r="M223" s="75" t="n"/>
      <c r="N223" s="75" t="n"/>
      <c r="O223" s="75" t="n"/>
      <c r="P223" s="75" t="n"/>
      <c r="Q223" s="75" t="n"/>
      <c r="R223" s="75" t="n"/>
      <c r="S223" s="75" t="n"/>
      <c r="T223" s="75" t="n"/>
      <c r="U223" s="75" t="n"/>
      <c r="V223" s="75" t="n"/>
      <c r="W223" s="75" t="n"/>
      <c r="X223" s="75" t="n"/>
      <c r="Y223" s="75" t="n"/>
      <c r="Z223" s="75" t="n"/>
      <c r="AA223" s="75" t="n"/>
      <c r="AB223" s="75" t="n"/>
      <c r="AC223" s="75" t="n"/>
      <c r="AD223" s="75" t="n"/>
      <c r="AE223" s="75" t="n"/>
      <c r="AF223" s="75" t="n"/>
      <c r="AG223" s="75" t="n"/>
      <c r="AH223" s="75" t="n"/>
      <c r="AI223" s="75" t="n"/>
      <c r="AJ223" s="75" t="n"/>
      <c r="AK223" s="75" t="n"/>
      <c r="AL223" s="75" t="n"/>
      <c r="AM223" s="75" t="n"/>
      <c r="AN223" s="75" t="n"/>
      <c r="AO223" s="75" t="n"/>
      <c r="AP223" s="75" t="n"/>
      <c r="AQ223" s="75" t="n"/>
      <c r="AR223" s="75" t="n"/>
      <c r="AS223" s="75" t="n"/>
      <c r="AT223" s="75" t="n"/>
      <c r="AU223" s="75" t="n"/>
      <c r="AV223" s="75" t="n"/>
      <c r="AW223" s="75" t="n"/>
      <c r="AX223" s="75" t="n"/>
      <c r="AY223" s="75" t="n"/>
      <c r="AZ223" s="75" t="n"/>
      <c r="BA223" s="75" t="n"/>
      <c r="BB223" s="75" t="n"/>
      <c r="BC223" s="75" t="n"/>
      <c r="BD223" s="75" t="n"/>
      <c r="BE223" s="75" t="n"/>
      <c r="BF223" s="75" t="n"/>
      <c r="BG223" s="75" t="n"/>
      <c r="BH223" s="75" t="n"/>
      <c r="BI223" s="75" t="n"/>
      <c r="BJ223" s="75" t="n"/>
      <c r="BK223" s="75" t="n"/>
      <c r="BL223" s="75" t="n"/>
      <c r="BM223" s="75" t="n"/>
      <c r="BN223" s="75" t="n"/>
      <c r="BO223" s="75" t="n"/>
      <c r="BP223" s="75" t="n"/>
      <c r="BQ223" s="75" t="n"/>
      <c r="BR223" s="75" t="n"/>
      <c r="BS223" s="75" t="n"/>
      <c r="BT223" s="75" t="n"/>
      <c r="BU223" s="75" t="n"/>
      <c r="BV223" s="75" t="n"/>
      <c r="BW223" s="75" t="n"/>
      <c r="BX223" s="75" t="n"/>
      <c r="BY223" s="75" t="n"/>
      <c r="BZ223" s="75" t="n"/>
      <c r="CA223" s="75" t="n"/>
      <c r="CB223" s="75" t="n"/>
      <c r="CC223" s="75" t="n"/>
      <c r="CD223" s="75" t="n"/>
      <c r="CE223" s="75" t="n"/>
      <c r="CF223" s="75" t="n"/>
      <c r="CG223" s="75" t="n"/>
      <c r="CH223" s="75" t="n"/>
      <c r="CI223" s="75" t="n"/>
      <c r="CJ223" s="75" t="n"/>
      <c r="CK223" s="75" t="n"/>
      <c r="CL223" s="75" t="n"/>
      <c r="CM223" s="75" t="n"/>
      <c r="CN223" s="75" t="n"/>
      <c r="CO223" s="75" t="n"/>
      <c r="CP223" s="75" t="n"/>
      <c r="CQ223" s="75" t="n"/>
      <c r="CR223" s="75" t="n"/>
      <c r="CS223" s="75" t="n"/>
      <c r="CT223" s="75" t="n"/>
      <c r="CU223" s="75" t="n"/>
      <c r="CV223" s="75" t="n"/>
      <c r="CW223" s="75" t="n"/>
      <c r="CX223" s="75" t="n"/>
      <c r="CY223" s="75" t="n"/>
      <c r="CZ223" s="75" t="n"/>
    </row>
    <row r="224">
      <c r="B224" s="134">
        <f>IF($A223="",0,COUNT($E224:$CZ224))</f>
        <v/>
      </c>
    </row>
    <row r="225">
      <c r="A225" s="5">
        <f>IF(AS51!$C$115="","",AS51!$C$115)</f>
        <v/>
      </c>
      <c r="B225" s="134">
        <f>IF($A225="",0,COUNT($E225:$CZ225))</f>
        <v/>
      </c>
      <c r="C225" s="135">
        <f>IF($A225="",0,IF($B225=0,0,MAX($E225:$CZ225)))</f>
        <v/>
      </c>
      <c r="D225" s="74">
        <f>BDS($A225,'Field Check'!$C$42,"headers=y","startcol=2","endcol=3","dir=h")</f>
        <v/>
      </c>
      <c r="E225" s="75" t="n"/>
      <c r="F225" s="75" t="n"/>
      <c r="G225" s="75" t="n"/>
      <c r="H225" s="75" t="n"/>
      <c r="I225" s="75" t="n"/>
      <c r="J225" s="75" t="n"/>
      <c r="K225" s="75" t="n"/>
      <c r="L225" s="75" t="n"/>
      <c r="M225" s="75" t="n"/>
      <c r="N225" s="75" t="n"/>
      <c r="O225" s="75" t="n"/>
      <c r="P225" s="75" t="n"/>
      <c r="Q225" s="75" t="n"/>
      <c r="R225" s="75" t="n"/>
      <c r="S225" s="75" t="n"/>
      <c r="T225" s="75" t="n"/>
      <c r="U225" s="75" t="n"/>
      <c r="V225" s="75" t="n"/>
      <c r="W225" s="75" t="n"/>
      <c r="X225" s="75" t="n"/>
      <c r="Y225" s="75" t="n"/>
      <c r="Z225" s="75" t="n"/>
      <c r="AA225" s="75" t="n"/>
      <c r="AB225" s="75" t="n"/>
      <c r="AC225" s="75" t="n"/>
      <c r="AD225" s="75" t="n"/>
      <c r="AE225" s="75" t="n"/>
      <c r="AF225" s="75" t="n"/>
      <c r="AG225" s="75" t="n"/>
      <c r="AH225" s="75" t="n"/>
      <c r="AI225" s="75" t="n"/>
      <c r="AJ225" s="75" t="n"/>
      <c r="AK225" s="75" t="n"/>
      <c r="AL225" s="75" t="n"/>
      <c r="AM225" s="75" t="n"/>
      <c r="AN225" s="75" t="n"/>
      <c r="AO225" s="75" t="n"/>
      <c r="AP225" s="75" t="n"/>
      <c r="AQ225" s="75" t="n"/>
      <c r="AR225" s="75" t="n"/>
      <c r="AS225" s="75" t="n"/>
      <c r="AT225" s="75" t="n"/>
      <c r="AU225" s="75" t="n"/>
      <c r="AV225" s="75" t="n"/>
      <c r="AW225" s="75" t="n"/>
      <c r="AX225" s="75" t="n"/>
      <c r="AY225" s="75" t="n"/>
      <c r="AZ225" s="75" t="n"/>
      <c r="BA225" s="75" t="n"/>
      <c r="BB225" s="75" t="n"/>
      <c r="BC225" s="75" t="n"/>
      <c r="BD225" s="75" t="n"/>
      <c r="BE225" s="75" t="n"/>
      <c r="BF225" s="75" t="n"/>
      <c r="BG225" s="75" t="n"/>
      <c r="BH225" s="75" t="n"/>
      <c r="BI225" s="75" t="n"/>
      <c r="BJ225" s="75" t="n"/>
      <c r="BK225" s="75" t="n"/>
      <c r="BL225" s="75" t="n"/>
      <c r="BM225" s="75" t="n"/>
      <c r="BN225" s="75" t="n"/>
      <c r="BO225" s="75" t="n"/>
      <c r="BP225" s="75" t="n"/>
      <c r="BQ225" s="75" t="n"/>
      <c r="BR225" s="75" t="n"/>
      <c r="BS225" s="75" t="n"/>
      <c r="BT225" s="75" t="n"/>
      <c r="BU225" s="75" t="n"/>
      <c r="BV225" s="75" t="n"/>
      <c r="BW225" s="75" t="n"/>
      <c r="BX225" s="75" t="n"/>
      <c r="BY225" s="75" t="n"/>
      <c r="BZ225" s="75" t="n"/>
      <c r="CA225" s="75" t="n"/>
      <c r="CB225" s="75" t="n"/>
      <c r="CC225" s="75" t="n"/>
      <c r="CD225" s="75" t="n"/>
      <c r="CE225" s="75" t="n"/>
      <c r="CF225" s="75" t="n"/>
      <c r="CG225" s="75" t="n"/>
      <c r="CH225" s="75" t="n"/>
      <c r="CI225" s="75" t="n"/>
      <c r="CJ225" s="75" t="n"/>
      <c r="CK225" s="75" t="n"/>
      <c r="CL225" s="75" t="n"/>
      <c r="CM225" s="75" t="n"/>
      <c r="CN225" s="75" t="n"/>
      <c r="CO225" s="75" t="n"/>
      <c r="CP225" s="75" t="n"/>
      <c r="CQ225" s="75" t="n"/>
      <c r="CR225" s="75" t="n"/>
      <c r="CS225" s="75" t="n"/>
      <c r="CT225" s="75" t="n"/>
      <c r="CU225" s="75" t="n"/>
      <c r="CV225" s="75" t="n"/>
      <c r="CW225" s="75" t="n"/>
      <c r="CX225" s="75" t="n"/>
      <c r="CY225" s="75" t="n"/>
      <c r="CZ225" s="75" t="n"/>
    </row>
    <row r="226">
      <c r="B226" s="134">
        <f>IF($A225="",0,COUNT($E226:$CZ226))</f>
        <v/>
      </c>
    </row>
    <row r="227">
      <c r="A227" s="5">
        <f>IF(AS51!$C$116="","",AS51!$C$116)</f>
        <v/>
      </c>
      <c r="B227" s="134">
        <f>IF($A227="",0,COUNT($E227:$CZ227))</f>
        <v/>
      </c>
      <c r="C227" s="135">
        <f>IF($A227="",0,IF($B227=0,0,MAX($E227:$CZ227)))</f>
        <v/>
      </c>
      <c r="D227" s="74">
        <f>BDS($A227,'Field Check'!$C$42,"headers=y","startcol=2","endcol=3","dir=h")</f>
        <v/>
      </c>
      <c r="E227" s="75" t="n"/>
      <c r="F227" s="75" t="n"/>
      <c r="G227" s="75" t="n"/>
      <c r="H227" s="75" t="n"/>
      <c r="I227" s="75" t="n"/>
      <c r="J227" s="75" t="n"/>
      <c r="K227" s="75" t="n"/>
      <c r="L227" s="75" t="n"/>
      <c r="M227" s="75" t="n"/>
      <c r="N227" s="75" t="n"/>
      <c r="O227" s="75" t="n"/>
      <c r="P227" s="75" t="n"/>
      <c r="Q227" s="75" t="n"/>
      <c r="R227" s="75" t="n"/>
      <c r="S227" s="75" t="n"/>
      <c r="T227" s="75" t="n"/>
      <c r="U227" s="75" t="n"/>
      <c r="V227" s="75" t="n"/>
      <c r="W227" s="75" t="n"/>
      <c r="X227" s="75" t="n"/>
      <c r="Y227" s="75" t="n"/>
      <c r="Z227" s="75" t="n"/>
      <c r="AA227" s="75" t="n"/>
      <c r="AB227" s="75" t="n"/>
      <c r="AC227" s="75" t="n"/>
      <c r="AD227" s="75" t="n"/>
      <c r="AE227" s="75" t="n"/>
      <c r="AF227" s="75" t="n"/>
      <c r="AG227" s="75" t="n"/>
      <c r="AH227" s="75" t="n"/>
      <c r="AI227" s="75" t="n"/>
      <c r="AJ227" s="75" t="n"/>
      <c r="AK227" s="75" t="n"/>
      <c r="AL227" s="75" t="n"/>
      <c r="AM227" s="75" t="n"/>
      <c r="AN227" s="75" t="n"/>
      <c r="AO227" s="75" t="n"/>
      <c r="AP227" s="75" t="n"/>
      <c r="AQ227" s="75" t="n"/>
      <c r="AR227" s="75" t="n"/>
      <c r="AS227" s="75" t="n"/>
      <c r="AT227" s="75" t="n"/>
      <c r="AU227" s="75" t="n"/>
      <c r="AV227" s="75" t="n"/>
      <c r="AW227" s="75" t="n"/>
      <c r="AX227" s="75" t="n"/>
      <c r="AY227" s="75" t="n"/>
      <c r="AZ227" s="75" t="n"/>
      <c r="BA227" s="75" t="n"/>
      <c r="BB227" s="75" t="n"/>
      <c r="BC227" s="75" t="n"/>
      <c r="BD227" s="75" t="n"/>
      <c r="BE227" s="75" t="n"/>
      <c r="BF227" s="75" t="n"/>
      <c r="BG227" s="75" t="n"/>
      <c r="BH227" s="75" t="n"/>
      <c r="BI227" s="75" t="n"/>
      <c r="BJ227" s="75" t="n"/>
      <c r="BK227" s="75" t="n"/>
      <c r="BL227" s="75" t="n"/>
      <c r="BM227" s="75" t="n"/>
      <c r="BN227" s="75" t="n"/>
      <c r="BO227" s="75" t="n"/>
      <c r="BP227" s="75" t="n"/>
      <c r="BQ227" s="75" t="n"/>
      <c r="BR227" s="75" t="n"/>
      <c r="BS227" s="75" t="n"/>
      <c r="BT227" s="75" t="n"/>
      <c r="BU227" s="75" t="n"/>
      <c r="BV227" s="75" t="n"/>
      <c r="BW227" s="75" t="n"/>
      <c r="BX227" s="75" t="n"/>
      <c r="BY227" s="75" t="n"/>
      <c r="BZ227" s="75" t="n"/>
      <c r="CA227" s="75" t="n"/>
      <c r="CB227" s="75" t="n"/>
      <c r="CC227" s="75" t="n"/>
      <c r="CD227" s="75" t="n"/>
      <c r="CE227" s="75" t="n"/>
      <c r="CF227" s="75" t="n"/>
      <c r="CG227" s="75" t="n"/>
      <c r="CH227" s="75" t="n"/>
      <c r="CI227" s="75" t="n"/>
      <c r="CJ227" s="75" t="n"/>
      <c r="CK227" s="75" t="n"/>
      <c r="CL227" s="75" t="n"/>
      <c r="CM227" s="75" t="n"/>
      <c r="CN227" s="75" t="n"/>
      <c r="CO227" s="75" t="n"/>
      <c r="CP227" s="75" t="n"/>
      <c r="CQ227" s="75" t="n"/>
      <c r="CR227" s="75" t="n"/>
      <c r="CS227" s="75" t="n"/>
      <c r="CT227" s="75" t="n"/>
      <c r="CU227" s="75" t="n"/>
      <c r="CV227" s="75" t="n"/>
      <c r="CW227" s="75" t="n"/>
      <c r="CX227" s="75" t="n"/>
      <c r="CY227" s="75" t="n"/>
      <c r="CZ227" s="75" t="n"/>
    </row>
    <row r="228">
      <c r="B228" s="134">
        <f>IF($A227="",0,COUNT($E228:$CZ228))</f>
        <v/>
      </c>
    </row>
    <row r="229">
      <c r="A229" s="5">
        <f>IF(AS51!$C$117="","",AS51!$C$117)</f>
        <v/>
      </c>
      <c r="B229" s="134">
        <f>IF($A229="",0,COUNT($E229:$CZ229))</f>
        <v/>
      </c>
      <c r="C229" s="135">
        <f>IF($A229="",0,IF($B229=0,0,MAX($E229:$CZ229)))</f>
        <v/>
      </c>
      <c r="D229" s="74">
        <f>BDS($A229,'Field Check'!$C$42,"headers=y","startcol=2","endcol=3","dir=h")</f>
        <v/>
      </c>
      <c r="E229" s="75" t="n"/>
      <c r="F229" s="75" t="n"/>
      <c r="G229" s="75" t="n"/>
      <c r="H229" s="75" t="n"/>
      <c r="I229" s="75" t="n"/>
      <c r="J229" s="75" t="n"/>
      <c r="K229" s="75" t="n"/>
      <c r="L229" s="75" t="n"/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n"/>
      <c r="W229" s="75" t="n"/>
      <c r="X229" s="75" t="n"/>
      <c r="Y229" s="75" t="n"/>
      <c r="Z229" s="75" t="n"/>
      <c r="AA229" s="75" t="n"/>
      <c r="AB229" s="75" t="n"/>
      <c r="AC229" s="75" t="n"/>
      <c r="AD229" s="75" t="n"/>
      <c r="AE229" s="75" t="n"/>
      <c r="AF229" s="75" t="n"/>
      <c r="AG229" s="75" t="n"/>
      <c r="AH229" s="75" t="n"/>
      <c r="AI229" s="75" t="n"/>
      <c r="AJ229" s="75" t="n"/>
      <c r="AK229" s="75" t="n"/>
      <c r="AL229" s="75" t="n"/>
      <c r="AM229" s="75" t="n"/>
      <c r="AN229" s="75" t="n"/>
      <c r="AO229" s="75" t="n"/>
      <c r="AP229" s="75" t="n"/>
      <c r="AQ229" s="75" t="n"/>
      <c r="AR229" s="75" t="n"/>
      <c r="AS229" s="75" t="n"/>
      <c r="AT229" s="75" t="n"/>
      <c r="AU229" s="75" t="n"/>
      <c r="AV229" s="75" t="n"/>
      <c r="AW229" s="75" t="n"/>
      <c r="AX229" s="75" t="n"/>
      <c r="AY229" s="75" t="n"/>
      <c r="AZ229" s="75" t="n"/>
      <c r="BA229" s="75" t="n"/>
      <c r="BB229" s="75" t="n"/>
      <c r="BC229" s="75" t="n"/>
      <c r="BD229" s="75" t="n"/>
      <c r="BE229" s="75" t="n"/>
      <c r="BF229" s="75" t="n"/>
      <c r="BG229" s="75" t="n"/>
      <c r="BH229" s="75" t="n"/>
      <c r="BI229" s="75" t="n"/>
      <c r="BJ229" s="75" t="n"/>
      <c r="BK229" s="75" t="n"/>
      <c r="BL229" s="75" t="n"/>
      <c r="BM229" s="75" t="n"/>
      <c r="BN229" s="75" t="n"/>
      <c r="BO229" s="75" t="n"/>
      <c r="BP229" s="75" t="n"/>
      <c r="BQ229" s="75" t="n"/>
      <c r="BR229" s="75" t="n"/>
      <c r="BS229" s="75" t="n"/>
      <c r="BT229" s="75" t="n"/>
      <c r="BU229" s="75" t="n"/>
      <c r="BV229" s="75" t="n"/>
      <c r="BW229" s="75" t="n"/>
      <c r="BX229" s="75" t="n"/>
      <c r="BY229" s="75" t="n"/>
      <c r="BZ229" s="75" t="n"/>
      <c r="CA229" s="75" t="n"/>
      <c r="CB229" s="75" t="n"/>
      <c r="CC229" s="75" t="n"/>
      <c r="CD229" s="75" t="n"/>
      <c r="CE229" s="75" t="n"/>
      <c r="CF229" s="75" t="n"/>
      <c r="CG229" s="75" t="n"/>
      <c r="CH229" s="75" t="n"/>
      <c r="CI229" s="75" t="n"/>
      <c r="CJ229" s="75" t="n"/>
      <c r="CK229" s="75" t="n"/>
      <c r="CL229" s="75" t="n"/>
      <c r="CM229" s="75" t="n"/>
      <c r="CN229" s="75" t="n"/>
      <c r="CO229" s="75" t="n"/>
      <c r="CP229" s="75" t="n"/>
      <c r="CQ229" s="75" t="n"/>
      <c r="CR229" s="75" t="n"/>
      <c r="CS229" s="75" t="n"/>
      <c r="CT229" s="75" t="n"/>
      <c r="CU229" s="75" t="n"/>
      <c r="CV229" s="75" t="n"/>
      <c r="CW229" s="75" t="n"/>
      <c r="CX229" s="75" t="n"/>
      <c r="CY229" s="75" t="n"/>
      <c r="CZ229" s="75" t="n"/>
    </row>
    <row r="230">
      <c r="B230" s="134">
        <f>IF($A229="",0,COUNT($E230:$CZ230))</f>
        <v/>
      </c>
    </row>
    <row r="231">
      <c r="A231" s="5">
        <f>IF(AS51!$C$118="","",AS51!$C$118)</f>
        <v/>
      </c>
      <c r="B231" s="134">
        <f>IF($A231="",0,COUNT($E231:$CZ231))</f>
        <v/>
      </c>
      <c r="C231" s="135">
        <f>IF($A231="",0,IF($B231=0,0,MAX($E231:$CZ231)))</f>
        <v/>
      </c>
      <c r="D231" s="74">
        <f>BDS($A231,'Field Check'!$C$42,"headers=y","startcol=2","endcol=3","dir=h")</f>
        <v/>
      </c>
      <c r="E231" s="75" t="n"/>
      <c r="F231" s="75" t="n"/>
      <c r="G231" s="75" t="n"/>
      <c r="H231" s="75" t="n"/>
      <c r="I231" s="75" t="n"/>
      <c r="J231" s="75" t="n"/>
      <c r="K231" s="75" t="n"/>
      <c r="L231" s="75" t="n"/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n"/>
      <c r="W231" s="75" t="n"/>
      <c r="X231" s="75" t="n"/>
      <c r="Y231" s="75" t="n"/>
      <c r="Z231" s="75" t="n"/>
      <c r="AA231" s="75" t="n"/>
      <c r="AB231" s="75" t="n"/>
      <c r="AC231" s="75" t="n"/>
      <c r="AD231" s="75" t="n"/>
      <c r="AE231" s="75" t="n"/>
      <c r="AF231" s="75" t="n"/>
      <c r="AG231" s="75" t="n"/>
      <c r="AH231" s="75" t="n"/>
      <c r="AI231" s="75" t="n"/>
      <c r="AJ231" s="75" t="n"/>
      <c r="AK231" s="75" t="n"/>
      <c r="AL231" s="75" t="n"/>
      <c r="AM231" s="75" t="n"/>
      <c r="AN231" s="75" t="n"/>
      <c r="AO231" s="75" t="n"/>
      <c r="AP231" s="75" t="n"/>
      <c r="AQ231" s="75" t="n"/>
      <c r="AR231" s="75" t="n"/>
      <c r="AS231" s="75" t="n"/>
      <c r="AT231" s="75" t="n"/>
      <c r="AU231" s="75" t="n"/>
      <c r="AV231" s="75" t="n"/>
      <c r="AW231" s="75" t="n"/>
      <c r="AX231" s="75" t="n"/>
      <c r="AY231" s="75" t="n"/>
      <c r="AZ231" s="75" t="n"/>
      <c r="BA231" s="75" t="n"/>
      <c r="BB231" s="75" t="n"/>
      <c r="BC231" s="75" t="n"/>
      <c r="BD231" s="75" t="n"/>
      <c r="BE231" s="75" t="n"/>
      <c r="BF231" s="75" t="n"/>
      <c r="BG231" s="75" t="n"/>
      <c r="BH231" s="75" t="n"/>
      <c r="BI231" s="75" t="n"/>
      <c r="BJ231" s="75" t="n"/>
      <c r="BK231" s="75" t="n"/>
      <c r="BL231" s="75" t="n"/>
      <c r="BM231" s="75" t="n"/>
      <c r="BN231" s="75" t="n"/>
      <c r="BO231" s="75" t="n"/>
      <c r="BP231" s="75" t="n"/>
      <c r="BQ231" s="75" t="n"/>
      <c r="BR231" s="75" t="n"/>
      <c r="BS231" s="75" t="n"/>
      <c r="BT231" s="75" t="n"/>
      <c r="BU231" s="75" t="n"/>
      <c r="BV231" s="75" t="n"/>
      <c r="BW231" s="75" t="n"/>
      <c r="BX231" s="75" t="n"/>
      <c r="BY231" s="75" t="n"/>
      <c r="BZ231" s="75" t="n"/>
      <c r="CA231" s="75" t="n"/>
      <c r="CB231" s="75" t="n"/>
      <c r="CC231" s="75" t="n"/>
      <c r="CD231" s="75" t="n"/>
      <c r="CE231" s="75" t="n"/>
      <c r="CF231" s="75" t="n"/>
      <c r="CG231" s="75" t="n"/>
      <c r="CH231" s="75" t="n"/>
      <c r="CI231" s="75" t="n"/>
      <c r="CJ231" s="75" t="n"/>
      <c r="CK231" s="75" t="n"/>
      <c r="CL231" s="75" t="n"/>
      <c r="CM231" s="75" t="n"/>
      <c r="CN231" s="75" t="n"/>
      <c r="CO231" s="75" t="n"/>
      <c r="CP231" s="75" t="n"/>
      <c r="CQ231" s="75" t="n"/>
      <c r="CR231" s="75" t="n"/>
      <c r="CS231" s="75" t="n"/>
      <c r="CT231" s="75" t="n"/>
      <c r="CU231" s="75" t="n"/>
      <c r="CV231" s="75" t="n"/>
      <c r="CW231" s="75" t="n"/>
      <c r="CX231" s="75" t="n"/>
      <c r="CY231" s="75" t="n"/>
      <c r="CZ231" s="75" t="n"/>
    </row>
    <row r="232">
      <c r="B232" s="134">
        <f>IF($A231="",0,COUNT($E232:$CZ232))</f>
        <v/>
      </c>
    </row>
    <row r="233">
      <c r="A233" s="5">
        <f>IF(AS51!$C$119="","",AS51!$C$119)</f>
        <v/>
      </c>
      <c r="B233" s="134">
        <f>IF($A233="",0,COUNT($E233:$CZ233))</f>
        <v/>
      </c>
      <c r="C233" s="135">
        <f>IF($A233="",0,IF($B233=0,0,MAX($E233:$CZ233)))</f>
        <v/>
      </c>
      <c r="D233" s="74">
        <f>BDS($A233,'Field Check'!$C$42,"headers=y","startcol=2","endcol=3","dir=h")</f>
        <v/>
      </c>
      <c r="E233" s="75" t="n"/>
      <c r="F233" s="75" t="n"/>
      <c r="G233" s="75" t="n"/>
      <c r="H233" s="75" t="n"/>
      <c r="I233" s="75" t="n"/>
      <c r="J233" s="75" t="n"/>
      <c r="K233" s="75" t="n"/>
      <c r="L233" s="75" t="n"/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n"/>
      <c r="W233" s="75" t="n"/>
      <c r="X233" s="75" t="n"/>
      <c r="Y233" s="75" t="n"/>
      <c r="Z233" s="75" t="n"/>
      <c r="AA233" s="75" t="n"/>
      <c r="AB233" s="75" t="n"/>
      <c r="AC233" s="75" t="n"/>
      <c r="AD233" s="75" t="n"/>
      <c r="AE233" s="75" t="n"/>
      <c r="AF233" s="75" t="n"/>
      <c r="AG233" s="75" t="n"/>
      <c r="AH233" s="75" t="n"/>
      <c r="AI233" s="75" t="n"/>
      <c r="AJ233" s="75" t="n"/>
      <c r="AK233" s="75" t="n"/>
      <c r="AL233" s="75" t="n"/>
      <c r="AM233" s="75" t="n"/>
      <c r="AN233" s="75" t="n"/>
      <c r="AO233" s="75" t="n"/>
      <c r="AP233" s="75" t="n"/>
      <c r="AQ233" s="75" t="n"/>
      <c r="AR233" s="75" t="n"/>
      <c r="AS233" s="75" t="n"/>
      <c r="AT233" s="75" t="n"/>
      <c r="AU233" s="75" t="n"/>
      <c r="AV233" s="75" t="n"/>
      <c r="AW233" s="75" t="n"/>
      <c r="AX233" s="75" t="n"/>
      <c r="AY233" s="75" t="n"/>
      <c r="AZ233" s="75" t="n"/>
      <c r="BA233" s="75" t="n"/>
      <c r="BB233" s="75" t="n"/>
      <c r="BC233" s="75" t="n"/>
      <c r="BD233" s="75" t="n"/>
      <c r="BE233" s="75" t="n"/>
      <c r="BF233" s="75" t="n"/>
      <c r="BG233" s="75" t="n"/>
      <c r="BH233" s="75" t="n"/>
      <c r="BI233" s="75" t="n"/>
      <c r="BJ233" s="75" t="n"/>
      <c r="BK233" s="75" t="n"/>
      <c r="BL233" s="75" t="n"/>
      <c r="BM233" s="75" t="n"/>
      <c r="BN233" s="75" t="n"/>
      <c r="BO233" s="75" t="n"/>
      <c r="BP233" s="75" t="n"/>
      <c r="BQ233" s="75" t="n"/>
      <c r="BR233" s="75" t="n"/>
      <c r="BS233" s="75" t="n"/>
      <c r="BT233" s="75" t="n"/>
      <c r="BU233" s="75" t="n"/>
      <c r="BV233" s="75" t="n"/>
      <c r="BW233" s="75" t="n"/>
      <c r="BX233" s="75" t="n"/>
      <c r="BY233" s="75" t="n"/>
      <c r="BZ233" s="75" t="n"/>
      <c r="CA233" s="75" t="n"/>
      <c r="CB233" s="75" t="n"/>
      <c r="CC233" s="75" t="n"/>
      <c r="CD233" s="75" t="n"/>
      <c r="CE233" s="75" t="n"/>
      <c r="CF233" s="75" t="n"/>
      <c r="CG233" s="75" t="n"/>
      <c r="CH233" s="75" t="n"/>
      <c r="CI233" s="75" t="n"/>
      <c r="CJ233" s="75" t="n"/>
      <c r="CK233" s="75" t="n"/>
      <c r="CL233" s="75" t="n"/>
      <c r="CM233" s="75" t="n"/>
      <c r="CN233" s="75" t="n"/>
      <c r="CO233" s="75" t="n"/>
      <c r="CP233" s="75" t="n"/>
      <c r="CQ233" s="75" t="n"/>
      <c r="CR233" s="75" t="n"/>
      <c r="CS233" s="75" t="n"/>
      <c r="CT233" s="75" t="n"/>
      <c r="CU233" s="75" t="n"/>
      <c r="CV233" s="75" t="n"/>
      <c r="CW233" s="75" t="n"/>
      <c r="CX233" s="75" t="n"/>
      <c r="CY233" s="75" t="n"/>
      <c r="CZ233" s="75" t="n"/>
    </row>
    <row r="234">
      <c r="B234" s="134">
        <f>IF($A233="",0,COUNT($E234:$CZ234))</f>
        <v/>
      </c>
    </row>
    <row r="235">
      <c r="A235" s="5">
        <f>IF(AS51!$C$120="","",AS51!$C$120)</f>
        <v/>
      </c>
      <c r="B235" s="134">
        <f>IF($A235="",0,COUNT($E235:$CZ235))</f>
        <v/>
      </c>
      <c r="C235" s="135">
        <f>IF($A235="",0,IF($B235=0,0,MAX($E235:$CZ235)))</f>
        <v/>
      </c>
      <c r="D235" s="74">
        <f>BDS($A235,'Field Check'!$C$42,"headers=y","startcol=2","endcol=3","dir=h")</f>
        <v/>
      </c>
      <c r="E235" s="75" t="n"/>
      <c r="F235" s="75" t="n"/>
      <c r="G235" s="75" t="n"/>
      <c r="H235" s="75" t="n"/>
      <c r="I235" s="75" t="n"/>
      <c r="J235" s="75" t="n"/>
      <c r="K235" s="75" t="n"/>
      <c r="L235" s="75" t="n"/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n"/>
      <c r="W235" s="75" t="n"/>
      <c r="X235" s="75" t="n"/>
      <c r="Y235" s="75" t="n"/>
      <c r="Z235" s="75" t="n"/>
      <c r="AA235" s="75" t="n"/>
      <c r="AB235" s="75" t="n"/>
      <c r="AC235" s="75" t="n"/>
      <c r="AD235" s="75" t="n"/>
      <c r="AE235" s="75" t="n"/>
      <c r="AF235" s="75" t="n"/>
      <c r="AG235" s="75" t="n"/>
      <c r="AH235" s="75" t="n"/>
      <c r="AI235" s="75" t="n"/>
      <c r="AJ235" s="75" t="n"/>
      <c r="AK235" s="75" t="n"/>
      <c r="AL235" s="75" t="n"/>
      <c r="AM235" s="75" t="n"/>
      <c r="AN235" s="75" t="n"/>
      <c r="AO235" s="75" t="n"/>
      <c r="AP235" s="75" t="n"/>
      <c r="AQ235" s="75" t="n"/>
      <c r="AR235" s="75" t="n"/>
      <c r="AS235" s="75" t="n"/>
      <c r="AT235" s="75" t="n"/>
      <c r="AU235" s="75" t="n"/>
      <c r="AV235" s="75" t="n"/>
      <c r="AW235" s="75" t="n"/>
      <c r="AX235" s="75" t="n"/>
      <c r="AY235" s="75" t="n"/>
      <c r="AZ235" s="75" t="n"/>
      <c r="BA235" s="75" t="n"/>
      <c r="BB235" s="75" t="n"/>
      <c r="BC235" s="75" t="n"/>
      <c r="BD235" s="75" t="n"/>
      <c r="BE235" s="75" t="n"/>
      <c r="BF235" s="75" t="n"/>
      <c r="BG235" s="75" t="n"/>
      <c r="BH235" s="75" t="n"/>
      <c r="BI235" s="75" t="n"/>
      <c r="BJ235" s="75" t="n"/>
      <c r="BK235" s="75" t="n"/>
      <c r="BL235" s="75" t="n"/>
      <c r="BM235" s="75" t="n"/>
      <c r="BN235" s="75" t="n"/>
      <c r="BO235" s="75" t="n"/>
      <c r="BP235" s="75" t="n"/>
      <c r="BQ235" s="75" t="n"/>
      <c r="BR235" s="75" t="n"/>
      <c r="BS235" s="75" t="n"/>
      <c r="BT235" s="75" t="n"/>
      <c r="BU235" s="75" t="n"/>
      <c r="BV235" s="75" t="n"/>
      <c r="BW235" s="75" t="n"/>
      <c r="BX235" s="75" t="n"/>
      <c r="BY235" s="75" t="n"/>
      <c r="BZ235" s="75" t="n"/>
      <c r="CA235" s="75" t="n"/>
      <c r="CB235" s="75" t="n"/>
      <c r="CC235" s="75" t="n"/>
      <c r="CD235" s="75" t="n"/>
      <c r="CE235" s="75" t="n"/>
      <c r="CF235" s="75" t="n"/>
      <c r="CG235" s="75" t="n"/>
      <c r="CH235" s="75" t="n"/>
      <c r="CI235" s="75" t="n"/>
      <c r="CJ235" s="75" t="n"/>
      <c r="CK235" s="75" t="n"/>
      <c r="CL235" s="75" t="n"/>
      <c r="CM235" s="75" t="n"/>
      <c r="CN235" s="75" t="n"/>
      <c r="CO235" s="75" t="n"/>
      <c r="CP235" s="75" t="n"/>
      <c r="CQ235" s="75" t="n"/>
      <c r="CR235" s="75" t="n"/>
      <c r="CS235" s="75" t="n"/>
      <c r="CT235" s="75" t="n"/>
      <c r="CU235" s="75" t="n"/>
      <c r="CV235" s="75" t="n"/>
      <c r="CW235" s="75" t="n"/>
      <c r="CX235" s="75" t="n"/>
      <c r="CY235" s="75" t="n"/>
      <c r="CZ235" s="75" t="n"/>
    </row>
    <row r="236">
      <c r="B236" s="134">
        <f>IF($A235="",0,COUNT($E236:$CZ236))</f>
        <v/>
      </c>
    </row>
    <row r="237">
      <c r="A237" s="5">
        <f>IF(AS51!$C$121="","",AS51!$C$121)</f>
        <v/>
      </c>
      <c r="B237" s="134">
        <f>IF($A237="",0,COUNT($E237:$CZ237))</f>
        <v/>
      </c>
      <c r="C237" s="135">
        <f>IF($A237="",0,IF($B237=0,0,MAX($E237:$CZ237)))</f>
        <v/>
      </c>
      <c r="D237" s="74">
        <f>BDS($A237,'Field Check'!$C$42,"headers=y","startcol=2","endcol=3","dir=h")</f>
        <v/>
      </c>
      <c r="E237" s="75" t="n"/>
      <c r="F237" s="75" t="n"/>
      <c r="G237" s="75" t="n"/>
      <c r="H237" s="75" t="n"/>
      <c r="I237" s="75" t="n"/>
      <c r="J237" s="75" t="n"/>
      <c r="K237" s="75" t="n"/>
      <c r="L237" s="75" t="n"/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n"/>
      <c r="W237" s="75" t="n"/>
      <c r="X237" s="75" t="n"/>
      <c r="Y237" s="75" t="n"/>
      <c r="Z237" s="75" t="n"/>
      <c r="AA237" s="75" t="n"/>
      <c r="AB237" s="75" t="n"/>
      <c r="AC237" s="75" t="n"/>
      <c r="AD237" s="75" t="n"/>
      <c r="AE237" s="75" t="n"/>
      <c r="AF237" s="75" t="n"/>
      <c r="AG237" s="75" t="n"/>
      <c r="AH237" s="75" t="n"/>
      <c r="AI237" s="75" t="n"/>
      <c r="AJ237" s="75" t="n"/>
      <c r="AK237" s="75" t="n"/>
      <c r="AL237" s="75" t="n"/>
      <c r="AM237" s="75" t="n"/>
      <c r="AN237" s="75" t="n"/>
      <c r="AO237" s="75" t="n"/>
      <c r="AP237" s="75" t="n"/>
      <c r="AQ237" s="75" t="n"/>
      <c r="AR237" s="75" t="n"/>
      <c r="AS237" s="75" t="n"/>
      <c r="AT237" s="75" t="n"/>
      <c r="AU237" s="75" t="n"/>
      <c r="AV237" s="75" t="n"/>
      <c r="AW237" s="75" t="n"/>
      <c r="AX237" s="75" t="n"/>
      <c r="AY237" s="75" t="n"/>
      <c r="AZ237" s="75" t="n"/>
      <c r="BA237" s="75" t="n"/>
      <c r="BB237" s="75" t="n"/>
      <c r="BC237" s="75" t="n"/>
      <c r="BD237" s="75" t="n"/>
      <c r="BE237" s="75" t="n"/>
      <c r="BF237" s="75" t="n"/>
      <c r="BG237" s="75" t="n"/>
      <c r="BH237" s="75" t="n"/>
      <c r="BI237" s="75" t="n"/>
      <c r="BJ237" s="75" t="n"/>
      <c r="BK237" s="75" t="n"/>
      <c r="BL237" s="75" t="n"/>
      <c r="BM237" s="75" t="n"/>
      <c r="BN237" s="75" t="n"/>
      <c r="BO237" s="75" t="n"/>
      <c r="BP237" s="75" t="n"/>
      <c r="BQ237" s="75" t="n"/>
      <c r="BR237" s="75" t="n"/>
      <c r="BS237" s="75" t="n"/>
      <c r="BT237" s="75" t="n"/>
      <c r="BU237" s="75" t="n"/>
      <c r="BV237" s="75" t="n"/>
      <c r="BW237" s="75" t="n"/>
      <c r="BX237" s="75" t="n"/>
      <c r="BY237" s="75" t="n"/>
      <c r="BZ237" s="75" t="n"/>
      <c r="CA237" s="75" t="n"/>
      <c r="CB237" s="75" t="n"/>
      <c r="CC237" s="75" t="n"/>
      <c r="CD237" s="75" t="n"/>
      <c r="CE237" s="75" t="n"/>
      <c r="CF237" s="75" t="n"/>
      <c r="CG237" s="75" t="n"/>
      <c r="CH237" s="75" t="n"/>
      <c r="CI237" s="75" t="n"/>
      <c r="CJ237" s="75" t="n"/>
      <c r="CK237" s="75" t="n"/>
      <c r="CL237" s="75" t="n"/>
      <c r="CM237" s="75" t="n"/>
      <c r="CN237" s="75" t="n"/>
      <c r="CO237" s="75" t="n"/>
      <c r="CP237" s="75" t="n"/>
      <c r="CQ237" s="75" t="n"/>
      <c r="CR237" s="75" t="n"/>
      <c r="CS237" s="75" t="n"/>
      <c r="CT237" s="75" t="n"/>
      <c r="CU237" s="75" t="n"/>
      <c r="CV237" s="75" t="n"/>
      <c r="CW237" s="75" t="n"/>
      <c r="CX237" s="75" t="n"/>
      <c r="CY237" s="75" t="n"/>
      <c r="CZ237" s="75" t="n"/>
    </row>
    <row r="238">
      <c r="B238" s="134">
        <f>IF($A237="",0,COUNT($E238:$CZ238))</f>
        <v/>
      </c>
    </row>
    <row r="239">
      <c r="A239" s="5">
        <f>IF(AS51!$C$122="","",AS51!$C$122)</f>
        <v/>
      </c>
      <c r="B239" s="134">
        <f>IF($A239="",0,COUNT($E239:$CZ239))</f>
        <v/>
      </c>
      <c r="C239" s="135">
        <f>IF($A239="",0,IF($B239=0,0,MAX($E239:$CZ239)))</f>
        <v/>
      </c>
      <c r="D239" s="74">
        <f>BDS($A239,'Field Check'!$C$42,"headers=y","startcol=2","endcol=3","dir=h")</f>
        <v/>
      </c>
      <c r="E239" s="75" t="n"/>
      <c r="F239" s="75" t="n"/>
      <c r="G239" s="75" t="n"/>
      <c r="H239" s="75" t="n"/>
      <c r="I239" s="75" t="n"/>
      <c r="J239" s="75" t="n"/>
      <c r="K239" s="75" t="n"/>
      <c r="L239" s="75" t="n"/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n"/>
      <c r="W239" s="75" t="n"/>
      <c r="X239" s="75" t="n"/>
      <c r="Y239" s="75" t="n"/>
      <c r="Z239" s="75" t="n"/>
      <c r="AA239" s="75" t="n"/>
      <c r="AB239" s="75" t="n"/>
      <c r="AC239" s="75" t="n"/>
      <c r="AD239" s="75" t="n"/>
      <c r="AE239" s="75" t="n"/>
      <c r="AF239" s="75" t="n"/>
      <c r="AG239" s="75" t="n"/>
      <c r="AH239" s="75" t="n"/>
      <c r="AI239" s="75" t="n"/>
      <c r="AJ239" s="75" t="n"/>
      <c r="AK239" s="75" t="n"/>
      <c r="AL239" s="75" t="n"/>
      <c r="AM239" s="75" t="n"/>
      <c r="AN239" s="75" t="n"/>
      <c r="AO239" s="75" t="n"/>
      <c r="AP239" s="75" t="n"/>
      <c r="AQ239" s="75" t="n"/>
      <c r="AR239" s="75" t="n"/>
      <c r="AS239" s="75" t="n"/>
      <c r="AT239" s="75" t="n"/>
      <c r="AU239" s="75" t="n"/>
      <c r="AV239" s="75" t="n"/>
      <c r="AW239" s="75" t="n"/>
      <c r="AX239" s="75" t="n"/>
      <c r="AY239" s="75" t="n"/>
      <c r="AZ239" s="75" t="n"/>
      <c r="BA239" s="75" t="n"/>
      <c r="BB239" s="75" t="n"/>
      <c r="BC239" s="75" t="n"/>
      <c r="BD239" s="75" t="n"/>
      <c r="BE239" s="75" t="n"/>
      <c r="BF239" s="75" t="n"/>
      <c r="BG239" s="75" t="n"/>
      <c r="BH239" s="75" t="n"/>
      <c r="BI239" s="75" t="n"/>
      <c r="BJ239" s="75" t="n"/>
      <c r="BK239" s="75" t="n"/>
      <c r="BL239" s="75" t="n"/>
      <c r="BM239" s="75" t="n"/>
      <c r="BN239" s="75" t="n"/>
      <c r="BO239" s="75" t="n"/>
      <c r="BP239" s="75" t="n"/>
      <c r="BQ239" s="75" t="n"/>
      <c r="BR239" s="75" t="n"/>
      <c r="BS239" s="75" t="n"/>
      <c r="BT239" s="75" t="n"/>
      <c r="BU239" s="75" t="n"/>
      <c r="BV239" s="75" t="n"/>
      <c r="BW239" s="75" t="n"/>
      <c r="BX239" s="75" t="n"/>
      <c r="BY239" s="75" t="n"/>
      <c r="BZ239" s="75" t="n"/>
      <c r="CA239" s="75" t="n"/>
      <c r="CB239" s="75" t="n"/>
      <c r="CC239" s="75" t="n"/>
      <c r="CD239" s="75" t="n"/>
      <c r="CE239" s="75" t="n"/>
      <c r="CF239" s="75" t="n"/>
      <c r="CG239" s="75" t="n"/>
      <c r="CH239" s="75" t="n"/>
      <c r="CI239" s="75" t="n"/>
      <c r="CJ239" s="75" t="n"/>
      <c r="CK239" s="75" t="n"/>
      <c r="CL239" s="75" t="n"/>
      <c r="CM239" s="75" t="n"/>
      <c r="CN239" s="75" t="n"/>
      <c r="CO239" s="75" t="n"/>
      <c r="CP239" s="75" t="n"/>
      <c r="CQ239" s="75" t="n"/>
      <c r="CR239" s="75" t="n"/>
      <c r="CS239" s="75" t="n"/>
      <c r="CT239" s="75" t="n"/>
      <c r="CU239" s="75" t="n"/>
      <c r="CV239" s="75" t="n"/>
      <c r="CW239" s="75" t="n"/>
      <c r="CX239" s="75" t="n"/>
      <c r="CY239" s="75" t="n"/>
      <c r="CZ239" s="75" t="n"/>
    </row>
    <row r="240">
      <c r="B240" s="134">
        <f>IF($A239="",0,COUNT($E240:$CZ240))</f>
        <v/>
      </c>
    </row>
    <row r="241">
      <c r="A241" s="5">
        <f>IF(AS51!$C$123="","",AS51!$C$123)</f>
        <v/>
      </c>
      <c r="B241" s="134">
        <f>IF($A241="",0,COUNT($E241:$CZ241))</f>
        <v/>
      </c>
      <c r="C241" s="135">
        <f>IF($A241="",0,IF($B241=0,0,MAX($E241:$CZ241)))</f>
        <v/>
      </c>
      <c r="D241" s="74">
        <f>BDS($A241,'Field Check'!$C$42,"headers=y","startcol=2","endcol=3","dir=h")</f>
        <v/>
      </c>
      <c r="E241" s="75" t="n"/>
      <c r="F241" s="75" t="n"/>
      <c r="G241" s="75" t="n"/>
      <c r="H241" s="75" t="n"/>
      <c r="I241" s="75" t="n"/>
      <c r="J241" s="75" t="n"/>
      <c r="K241" s="75" t="n"/>
      <c r="L241" s="75" t="n"/>
      <c r="M241" s="75" t="n"/>
      <c r="N241" s="75" t="n"/>
      <c r="O241" s="75" t="n"/>
      <c r="P241" s="75" t="n"/>
      <c r="Q241" s="75" t="n"/>
      <c r="R241" s="75" t="n"/>
      <c r="S241" s="75" t="n"/>
      <c r="T241" s="75" t="n"/>
      <c r="U241" s="75" t="n"/>
      <c r="V241" s="75" t="n"/>
      <c r="W241" s="75" t="n"/>
      <c r="X241" s="75" t="n"/>
      <c r="Y241" s="75" t="n"/>
      <c r="Z241" s="75" t="n"/>
      <c r="AA241" s="75" t="n"/>
      <c r="AB241" s="75" t="n"/>
      <c r="AC241" s="75" t="n"/>
      <c r="AD241" s="75" t="n"/>
      <c r="AE241" s="75" t="n"/>
      <c r="AF241" s="75" t="n"/>
      <c r="AG241" s="75" t="n"/>
      <c r="AH241" s="75" t="n"/>
      <c r="AI241" s="75" t="n"/>
      <c r="AJ241" s="75" t="n"/>
      <c r="AK241" s="75" t="n"/>
      <c r="AL241" s="75" t="n"/>
      <c r="AM241" s="75" t="n"/>
      <c r="AN241" s="75" t="n"/>
      <c r="AO241" s="75" t="n"/>
      <c r="AP241" s="75" t="n"/>
      <c r="AQ241" s="75" t="n"/>
      <c r="AR241" s="75" t="n"/>
      <c r="AS241" s="75" t="n"/>
      <c r="AT241" s="75" t="n"/>
      <c r="AU241" s="75" t="n"/>
      <c r="AV241" s="75" t="n"/>
      <c r="AW241" s="75" t="n"/>
      <c r="AX241" s="75" t="n"/>
      <c r="AY241" s="75" t="n"/>
      <c r="AZ241" s="75" t="n"/>
      <c r="BA241" s="75" t="n"/>
      <c r="BB241" s="75" t="n"/>
      <c r="BC241" s="75" t="n"/>
      <c r="BD241" s="75" t="n"/>
      <c r="BE241" s="75" t="n"/>
      <c r="BF241" s="75" t="n"/>
      <c r="BG241" s="75" t="n"/>
      <c r="BH241" s="75" t="n"/>
      <c r="BI241" s="75" t="n"/>
      <c r="BJ241" s="75" t="n"/>
      <c r="BK241" s="75" t="n"/>
      <c r="BL241" s="75" t="n"/>
      <c r="BM241" s="75" t="n"/>
      <c r="BN241" s="75" t="n"/>
      <c r="BO241" s="75" t="n"/>
      <c r="BP241" s="75" t="n"/>
      <c r="BQ241" s="75" t="n"/>
      <c r="BR241" s="75" t="n"/>
      <c r="BS241" s="75" t="n"/>
      <c r="BT241" s="75" t="n"/>
      <c r="BU241" s="75" t="n"/>
      <c r="BV241" s="75" t="n"/>
      <c r="BW241" s="75" t="n"/>
      <c r="BX241" s="75" t="n"/>
      <c r="BY241" s="75" t="n"/>
      <c r="BZ241" s="75" t="n"/>
      <c r="CA241" s="75" t="n"/>
      <c r="CB241" s="75" t="n"/>
      <c r="CC241" s="75" t="n"/>
      <c r="CD241" s="75" t="n"/>
      <c r="CE241" s="75" t="n"/>
      <c r="CF241" s="75" t="n"/>
      <c r="CG241" s="75" t="n"/>
      <c r="CH241" s="75" t="n"/>
      <c r="CI241" s="75" t="n"/>
      <c r="CJ241" s="75" t="n"/>
      <c r="CK241" s="75" t="n"/>
      <c r="CL241" s="75" t="n"/>
      <c r="CM241" s="75" t="n"/>
      <c r="CN241" s="75" t="n"/>
      <c r="CO241" s="75" t="n"/>
      <c r="CP241" s="75" t="n"/>
      <c r="CQ241" s="75" t="n"/>
      <c r="CR241" s="75" t="n"/>
      <c r="CS241" s="75" t="n"/>
      <c r="CT241" s="75" t="n"/>
      <c r="CU241" s="75" t="n"/>
      <c r="CV241" s="75" t="n"/>
      <c r="CW241" s="75" t="n"/>
      <c r="CX241" s="75" t="n"/>
      <c r="CY241" s="75" t="n"/>
      <c r="CZ241" s="75" t="n"/>
    </row>
    <row r="242">
      <c r="B242" s="134">
        <f>IF($A241="",0,COUNT($E242:$CZ242))</f>
        <v/>
      </c>
    </row>
    <row r="243">
      <c r="A243" s="5">
        <f>IF(AS51!$C$124="","",AS51!$C$124)</f>
        <v/>
      </c>
      <c r="B243" s="134">
        <f>IF($A243="",0,COUNT($E243:$CZ243))</f>
        <v/>
      </c>
      <c r="C243" s="135">
        <f>IF($A243="",0,IF($B243=0,0,MAX($E243:$CZ243)))</f>
        <v/>
      </c>
      <c r="D243" s="74">
        <f>BDS($A243,'Field Check'!$C$42,"headers=y","startcol=2","endcol=3","dir=h")</f>
        <v/>
      </c>
      <c r="E243" s="75" t="n"/>
      <c r="F243" s="75" t="n"/>
      <c r="G243" s="75" t="n"/>
      <c r="H243" s="75" t="n"/>
      <c r="I243" s="75" t="n"/>
      <c r="J243" s="75" t="n"/>
      <c r="K243" s="75" t="n"/>
      <c r="L243" s="75" t="n"/>
      <c r="M243" s="75" t="n"/>
      <c r="N243" s="75" t="n"/>
      <c r="O243" s="75" t="n"/>
      <c r="P243" s="75" t="n"/>
      <c r="Q243" s="75" t="n"/>
      <c r="R243" s="75" t="n"/>
      <c r="S243" s="75" t="n"/>
      <c r="T243" s="75" t="n"/>
      <c r="U243" s="75" t="n"/>
      <c r="V243" s="75" t="n"/>
      <c r="W243" s="75" t="n"/>
      <c r="X243" s="75" t="n"/>
      <c r="Y243" s="75" t="n"/>
      <c r="Z243" s="75" t="n"/>
      <c r="AA243" s="75" t="n"/>
      <c r="AB243" s="75" t="n"/>
      <c r="AC243" s="75" t="n"/>
      <c r="AD243" s="75" t="n"/>
      <c r="AE243" s="75" t="n"/>
      <c r="AF243" s="75" t="n"/>
      <c r="AG243" s="75" t="n"/>
      <c r="AH243" s="75" t="n"/>
      <c r="AI243" s="75" t="n"/>
      <c r="AJ243" s="75" t="n"/>
      <c r="AK243" s="75" t="n"/>
      <c r="AL243" s="75" t="n"/>
      <c r="AM243" s="75" t="n"/>
      <c r="AN243" s="75" t="n"/>
      <c r="AO243" s="75" t="n"/>
      <c r="AP243" s="75" t="n"/>
      <c r="AQ243" s="75" t="n"/>
      <c r="AR243" s="75" t="n"/>
      <c r="AS243" s="75" t="n"/>
      <c r="AT243" s="75" t="n"/>
      <c r="AU243" s="75" t="n"/>
      <c r="AV243" s="75" t="n"/>
      <c r="AW243" s="75" t="n"/>
      <c r="AX243" s="75" t="n"/>
      <c r="AY243" s="75" t="n"/>
      <c r="AZ243" s="75" t="n"/>
      <c r="BA243" s="75" t="n"/>
      <c r="BB243" s="75" t="n"/>
      <c r="BC243" s="75" t="n"/>
      <c r="BD243" s="75" t="n"/>
      <c r="BE243" s="75" t="n"/>
      <c r="BF243" s="75" t="n"/>
      <c r="BG243" s="75" t="n"/>
      <c r="BH243" s="75" t="n"/>
      <c r="BI243" s="75" t="n"/>
      <c r="BJ243" s="75" t="n"/>
      <c r="BK243" s="75" t="n"/>
      <c r="BL243" s="75" t="n"/>
      <c r="BM243" s="75" t="n"/>
      <c r="BN243" s="75" t="n"/>
      <c r="BO243" s="75" t="n"/>
      <c r="BP243" s="75" t="n"/>
      <c r="BQ243" s="75" t="n"/>
      <c r="BR243" s="75" t="n"/>
      <c r="BS243" s="75" t="n"/>
      <c r="BT243" s="75" t="n"/>
      <c r="BU243" s="75" t="n"/>
      <c r="BV243" s="75" t="n"/>
      <c r="BW243" s="75" t="n"/>
      <c r="BX243" s="75" t="n"/>
      <c r="BY243" s="75" t="n"/>
      <c r="BZ243" s="75" t="n"/>
      <c r="CA243" s="75" t="n"/>
      <c r="CB243" s="75" t="n"/>
      <c r="CC243" s="75" t="n"/>
      <c r="CD243" s="75" t="n"/>
      <c r="CE243" s="75" t="n"/>
      <c r="CF243" s="75" t="n"/>
      <c r="CG243" s="75" t="n"/>
      <c r="CH243" s="75" t="n"/>
      <c r="CI243" s="75" t="n"/>
      <c r="CJ243" s="75" t="n"/>
      <c r="CK243" s="75" t="n"/>
      <c r="CL243" s="75" t="n"/>
      <c r="CM243" s="75" t="n"/>
      <c r="CN243" s="75" t="n"/>
      <c r="CO243" s="75" t="n"/>
      <c r="CP243" s="75" t="n"/>
      <c r="CQ243" s="75" t="n"/>
      <c r="CR243" s="75" t="n"/>
      <c r="CS243" s="75" t="n"/>
      <c r="CT243" s="75" t="n"/>
      <c r="CU243" s="75" t="n"/>
      <c r="CV243" s="75" t="n"/>
      <c r="CW243" s="75" t="n"/>
      <c r="CX243" s="75" t="n"/>
      <c r="CY243" s="75" t="n"/>
      <c r="CZ243" s="75" t="n"/>
    </row>
    <row r="244">
      <c r="B244" s="134">
        <f>IF($A243="",0,COUNT($E244:$CZ244))</f>
        <v/>
      </c>
    </row>
    <row r="245">
      <c r="A245" s="5">
        <f>IF(AS51!$C$125="","",AS51!$C$125)</f>
        <v/>
      </c>
      <c r="B245" s="134">
        <f>IF($A245="",0,COUNT($E245:$CZ245))</f>
        <v/>
      </c>
      <c r="C245" s="135">
        <f>IF($A245="",0,IF($B245=0,0,MAX($E245:$CZ245)))</f>
        <v/>
      </c>
      <c r="D245" s="74">
        <f>BDS($A245,'Field Check'!$C$42,"headers=y","startcol=2","endcol=3","dir=h")</f>
        <v/>
      </c>
      <c r="E245" s="75" t="n"/>
      <c r="F245" s="75" t="n"/>
      <c r="G245" s="75" t="n"/>
      <c r="H245" s="75" t="n"/>
      <c r="I245" s="75" t="n"/>
      <c r="J245" s="75" t="n"/>
      <c r="K245" s="75" t="n"/>
      <c r="L245" s="75" t="n"/>
      <c r="M245" s="75" t="n"/>
      <c r="N245" s="75" t="n"/>
      <c r="O245" s="75" t="n"/>
      <c r="P245" s="75" t="n"/>
      <c r="Q245" s="75" t="n"/>
      <c r="R245" s="75" t="n"/>
      <c r="S245" s="75" t="n"/>
      <c r="T245" s="75" t="n"/>
      <c r="U245" s="75" t="n"/>
      <c r="V245" s="75" t="n"/>
      <c r="W245" s="75" t="n"/>
      <c r="X245" s="75" t="n"/>
      <c r="Y245" s="75" t="n"/>
      <c r="Z245" s="75" t="n"/>
      <c r="AA245" s="75" t="n"/>
      <c r="AB245" s="75" t="n"/>
      <c r="AC245" s="75" t="n"/>
      <c r="AD245" s="75" t="n"/>
      <c r="AE245" s="75" t="n"/>
      <c r="AF245" s="75" t="n"/>
      <c r="AG245" s="75" t="n"/>
      <c r="AH245" s="75" t="n"/>
      <c r="AI245" s="75" t="n"/>
      <c r="AJ245" s="75" t="n"/>
      <c r="AK245" s="75" t="n"/>
      <c r="AL245" s="75" t="n"/>
      <c r="AM245" s="75" t="n"/>
      <c r="AN245" s="75" t="n"/>
      <c r="AO245" s="75" t="n"/>
      <c r="AP245" s="75" t="n"/>
      <c r="AQ245" s="75" t="n"/>
      <c r="AR245" s="75" t="n"/>
      <c r="AS245" s="75" t="n"/>
      <c r="AT245" s="75" t="n"/>
      <c r="AU245" s="75" t="n"/>
      <c r="AV245" s="75" t="n"/>
      <c r="AW245" s="75" t="n"/>
      <c r="AX245" s="75" t="n"/>
      <c r="AY245" s="75" t="n"/>
      <c r="AZ245" s="75" t="n"/>
      <c r="BA245" s="75" t="n"/>
      <c r="BB245" s="75" t="n"/>
      <c r="BC245" s="75" t="n"/>
      <c r="BD245" s="75" t="n"/>
      <c r="BE245" s="75" t="n"/>
      <c r="BF245" s="75" t="n"/>
      <c r="BG245" s="75" t="n"/>
      <c r="BH245" s="75" t="n"/>
      <c r="BI245" s="75" t="n"/>
      <c r="BJ245" s="75" t="n"/>
      <c r="BK245" s="75" t="n"/>
      <c r="BL245" s="75" t="n"/>
      <c r="BM245" s="75" t="n"/>
      <c r="BN245" s="75" t="n"/>
      <c r="BO245" s="75" t="n"/>
      <c r="BP245" s="75" t="n"/>
      <c r="BQ245" s="75" t="n"/>
      <c r="BR245" s="75" t="n"/>
      <c r="BS245" s="75" t="n"/>
      <c r="BT245" s="75" t="n"/>
      <c r="BU245" s="75" t="n"/>
      <c r="BV245" s="75" t="n"/>
      <c r="BW245" s="75" t="n"/>
      <c r="BX245" s="75" t="n"/>
      <c r="BY245" s="75" t="n"/>
      <c r="BZ245" s="75" t="n"/>
      <c r="CA245" s="75" t="n"/>
      <c r="CB245" s="75" t="n"/>
      <c r="CC245" s="75" t="n"/>
      <c r="CD245" s="75" t="n"/>
      <c r="CE245" s="75" t="n"/>
      <c r="CF245" s="75" t="n"/>
      <c r="CG245" s="75" t="n"/>
      <c r="CH245" s="75" t="n"/>
      <c r="CI245" s="75" t="n"/>
      <c r="CJ245" s="75" t="n"/>
      <c r="CK245" s="75" t="n"/>
      <c r="CL245" s="75" t="n"/>
      <c r="CM245" s="75" t="n"/>
      <c r="CN245" s="75" t="n"/>
      <c r="CO245" s="75" t="n"/>
      <c r="CP245" s="75" t="n"/>
      <c r="CQ245" s="75" t="n"/>
      <c r="CR245" s="75" t="n"/>
      <c r="CS245" s="75" t="n"/>
      <c r="CT245" s="75" t="n"/>
      <c r="CU245" s="75" t="n"/>
      <c r="CV245" s="75" t="n"/>
      <c r="CW245" s="75" t="n"/>
      <c r="CX245" s="75" t="n"/>
      <c r="CY245" s="75" t="n"/>
      <c r="CZ245" s="75" t="n"/>
    </row>
    <row r="246">
      <c r="B246" s="134">
        <f>IF($A245="",0,COUNT($E246:$CZ246))</f>
        <v/>
      </c>
    </row>
    <row r="247">
      <c r="A247" s="5">
        <f>IF(AS51!$C$126="","",AS51!$C$126)</f>
        <v/>
      </c>
      <c r="B247" s="134">
        <f>IF($A247="",0,COUNT($E247:$CZ247))</f>
        <v/>
      </c>
      <c r="C247" s="135">
        <f>IF($A247="",0,IF($B247=0,0,MAX($E247:$CZ247)))</f>
        <v/>
      </c>
      <c r="D247" s="74">
        <f>BDS($A247,'Field Check'!$C$42,"headers=y","startcol=2","endcol=3","dir=h")</f>
        <v/>
      </c>
      <c r="E247" s="75" t="n"/>
      <c r="F247" s="75" t="n"/>
      <c r="G247" s="75" t="n"/>
      <c r="H247" s="75" t="n"/>
      <c r="I247" s="75" t="n"/>
      <c r="J247" s="75" t="n"/>
      <c r="K247" s="75" t="n"/>
      <c r="L247" s="75" t="n"/>
      <c r="M247" s="75" t="n"/>
      <c r="N247" s="75" t="n"/>
      <c r="O247" s="75" t="n"/>
      <c r="P247" s="75" t="n"/>
      <c r="Q247" s="75" t="n"/>
      <c r="R247" s="75" t="n"/>
      <c r="S247" s="75" t="n"/>
      <c r="T247" s="75" t="n"/>
      <c r="U247" s="75" t="n"/>
      <c r="V247" s="75" t="n"/>
      <c r="W247" s="75" t="n"/>
      <c r="X247" s="75" t="n"/>
      <c r="Y247" s="75" t="n"/>
      <c r="Z247" s="75" t="n"/>
      <c r="AA247" s="75" t="n"/>
      <c r="AB247" s="75" t="n"/>
      <c r="AC247" s="75" t="n"/>
      <c r="AD247" s="75" t="n"/>
      <c r="AE247" s="75" t="n"/>
      <c r="AF247" s="75" t="n"/>
      <c r="AG247" s="75" t="n"/>
      <c r="AH247" s="75" t="n"/>
      <c r="AI247" s="75" t="n"/>
      <c r="AJ247" s="75" t="n"/>
      <c r="AK247" s="75" t="n"/>
      <c r="AL247" s="75" t="n"/>
      <c r="AM247" s="75" t="n"/>
      <c r="AN247" s="75" t="n"/>
      <c r="AO247" s="75" t="n"/>
      <c r="AP247" s="75" t="n"/>
      <c r="AQ247" s="75" t="n"/>
      <c r="AR247" s="75" t="n"/>
      <c r="AS247" s="75" t="n"/>
      <c r="AT247" s="75" t="n"/>
      <c r="AU247" s="75" t="n"/>
      <c r="AV247" s="75" t="n"/>
      <c r="AW247" s="75" t="n"/>
      <c r="AX247" s="75" t="n"/>
      <c r="AY247" s="75" t="n"/>
      <c r="AZ247" s="75" t="n"/>
      <c r="BA247" s="75" t="n"/>
      <c r="BB247" s="75" t="n"/>
      <c r="BC247" s="75" t="n"/>
      <c r="BD247" s="75" t="n"/>
      <c r="BE247" s="75" t="n"/>
      <c r="BF247" s="75" t="n"/>
      <c r="BG247" s="75" t="n"/>
      <c r="BH247" s="75" t="n"/>
      <c r="BI247" s="75" t="n"/>
      <c r="BJ247" s="75" t="n"/>
      <c r="BK247" s="75" t="n"/>
      <c r="BL247" s="75" t="n"/>
      <c r="BM247" s="75" t="n"/>
      <c r="BN247" s="75" t="n"/>
      <c r="BO247" s="75" t="n"/>
      <c r="BP247" s="75" t="n"/>
      <c r="BQ247" s="75" t="n"/>
      <c r="BR247" s="75" t="n"/>
      <c r="BS247" s="75" t="n"/>
      <c r="BT247" s="75" t="n"/>
      <c r="BU247" s="75" t="n"/>
      <c r="BV247" s="75" t="n"/>
      <c r="BW247" s="75" t="n"/>
      <c r="BX247" s="75" t="n"/>
      <c r="BY247" s="75" t="n"/>
      <c r="BZ247" s="75" t="n"/>
      <c r="CA247" s="75" t="n"/>
      <c r="CB247" s="75" t="n"/>
      <c r="CC247" s="75" t="n"/>
      <c r="CD247" s="75" t="n"/>
      <c r="CE247" s="75" t="n"/>
      <c r="CF247" s="75" t="n"/>
      <c r="CG247" s="75" t="n"/>
      <c r="CH247" s="75" t="n"/>
      <c r="CI247" s="75" t="n"/>
      <c r="CJ247" s="75" t="n"/>
      <c r="CK247" s="75" t="n"/>
      <c r="CL247" s="75" t="n"/>
      <c r="CM247" s="75" t="n"/>
      <c r="CN247" s="75" t="n"/>
      <c r="CO247" s="75" t="n"/>
      <c r="CP247" s="75" t="n"/>
      <c r="CQ247" s="75" t="n"/>
      <c r="CR247" s="75" t="n"/>
      <c r="CS247" s="75" t="n"/>
      <c r="CT247" s="75" t="n"/>
      <c r="CU247" s="75" t="n"/>
      <c r="CV247" s="75" t="n"/>
      <c r="CW247" s="75" t="n"/>
      <c r="CX247" s="75" t="n"/>
      <c r="CY247" s="75" t="n"/>
      <c r="CZ247" s="75" t="n"/>
    </row>
    <row r="248">
      <c r="B248" s="134">
        <f>IF($A247="",0,COUNT($E248:$CZ248))</f>
        <v/>
      </c>
    </row>
    <row r="249">
      <c r="A249" s="5">
        <f>IF(AS51!$C$127="","",AS51!$C$127)</f>
        <v/>
      </c>
      <c r="B249" s="134">
        <f>IF($A249="",0,COUNT($E249:$CZ249))</f>
        <v/>
      </c>
      <c r="C249" s="135">
        <f>IF($A249="",0,IF($B249=0,0,MAX($E249:$CZ249)))</f>
        <v/>
      </c>
      <c r="D249" s="74">
        <f>BDS($A249,'Field Check'!$C$42,"headers=y","startcol=2","endcol=3","dir=h")</f>
        <v/>
      </c>
      <c r="E249" s="75" t="n"/>
      <c r="F249" s="75" t="n"/>
      <c r="G249" s="75" t="n"/>
      <c r="H249" s="75" t="n"/>
      <c r="I249" s="75" t="n"/>
      <c r="J249" s="75" t="n"/>
      <c r="K249" s="75" t="n"/>
      <c r="L249" s="75" t="n"/>
      <c r="M249" s="75" t="n"/>
      <c r="N249" s="75" t="n"/>
      <c r="O249" s="75" t="n"/>
      <c r="P249" s="75" t="n"/>
      <c r="Q249" s="75" t="n"/>
      <c r="R249" s="75" t="n"/>
      <c r="S249" s="75" t="n"/>
      <c r="T249" s="75" t="n"/>
      <c r="U249" s="75" t="n"/>
      <c r="V249" s="75" t="n"/>
      <c r="W249" s="75" t="n"/>
      <c r="X249" s="75" t="n"/>
      <c r="Y249" s="75" t="n"/>
      <c r="Z249" s="75" t="n"/>
      <c r="AA249" s="75" t="n"/>
      <c r="AB249" s="75" t="n"/>
      <c r="AC249" s="75" t="n"/>
      <c r="AD249" s="75" t="n"/>
      <c r="AE249" s="75" t="n"/>
      <c r="AF249" s="75" t="n"/>
      <c r="AG249" s="75" t="n"/>
      <c r="AH249" s="75" t="n"/>
      <c r="AI249" s="75" t="n"/>
      <c r="AJ249" s="75" t="n"/>
      <c r="AK249" s="75" t="n"/>
      <c r="AL249" s="75" t="n"/>
      <c r="AM249" s="75" t="n"/>
      <c r="AN249" s="75" t="n"/>
      <c r="AO249" s="75" t="n"/>
      <c r="AP249" s="75" t="n"/>
      <c r="AQ249" s="75" t="n"/>
      <c r="AR249" s="75" t="n"/>
      <c r="AS249" s="75" t="n"/>
      <c r="AT249" s="75" t="n"/>
      <c r="AU249" s="75" t="n"/>
      <c r="AV249" s="75" t="n"/>
      <c r="AW249" s="75" t="n"/>
      <c r="AX249" s="75" t="n"/>
      <c r="AY249" s="75" t="n"/>
      <c r="AZ249" s="75" t="n"/>
      <c r="BA249" s="75" t="n"/>
      <c r="BB249" s="75" t="n"/>
      <c r="BC249" s="75" t="n"/>
      <c r="BD249" s="75" t="n"/>
      <c r="BE249" s="75" t="n"/>
      <c r="BF249" s="75" t="n"/>
      <c r="BG249" s="75" t="n"/>
      <c r="BH249" s="75" t="n"/>
      <c r="BI249" s="75" t="n"/>
      <c r="BJ249" s="75" t="n"/>
      <c r="BK249" s="75" t="n"/>
      <c r="BL249" s="75" t="n"/>
      <c r="BM249" s="75" t="n"/>
      <c r="BN249" s="75" t="n"/>
      <c r="BO249" s="75" t="n"/>
      <c r="BP249" s="75" t="n"/>
      <c r="BQ249" s="75" t="n"/>
      <c r="BR249" s="75" t="n"/>
      <c r="BS249" s="75" t="n"/>
      <c r="BT249" s="75" t="n"/>
      <c r="BU249" s="75" t="n"/>
      <c r="BV249" s="75" t="n"/>
      <c r="BW249" s="75" t="n"/>
      <c r="BX249" s="75" t="n"/>
      <c r="BY249" s="75" t="n"/>
      <c r="BZ249" s="75" t="n"/>
      <c r="CA249" s="75" t="n"/>
      <c r="CB249" s="75" t="n"/>
      <c r="CC249" s="75" t="n"/>
      <c r="CD249" s="75" t="n"/>
      <c r="CE249" s="75" t="n"/>
      <c r="CF249" s="75" t="n"/>
      <c r="CG249" s="75" t="n"/>
      <c r="CH249" s="75" t="n"/>
      <c r="CI249" s="75" t="n"/>
      <c r="CJ249" s="75" t="n"/>
      <c r="CK249" s="75" t="n"/>
      <c r="CL249" s="75" t="n"/>
      <c r="CM249" s="75" t="n"/>
      <c r="CN249" s="75" t="n"/>
      <c r="CO249" s="75" t="n"/>
      <c r="CP249" s="75" t="n"/>
      <c r="CQ249" s="75" t="n"/>
      <c r="CR249" s="75" t="n"/>
      <c r="CS249" s="75" t="n"/>
      <c r="CT249" s="75" t="n"/>
      <c r="CU249" s="75" t="n"/>
      <c r="CV249" s="75" t="n"/>
      <c r="CW249" s="75" t="n"/>
      <c r="CX249" s="75" t="n"/>
      <c r="CY249" s="75" t="n"/>
      <c r="CZ249" s="75" t="n"/>
    </row>
    <row r="250">
      <c r="B250" s="134">
        <f>IF($A249="",0,COUNT($E250:$CZ250))</f>
        <v/>
      </c>
    </row>
    <row r="251">
      <c r="A251" s="5">
        <f>IF(AS51!$C$128="","",AS51!$C$128)</f>
        <v/>
      </c>
      <c r="B251" s="134">
        <f>IF($A251="",0,COUNT($E251:$CZ251))</f>
        <v/>
      </c>
      <c r="C251" s="135">
        <f>IF($A251="",0,IF($B251=0,0,MAX($E251:$CZ251)))</f>
        <v/>
      </c>
      <c r="D251" s="74">
        <f>BDS($A251,'Field Check'!$C$42,"headers=y","startcol=2","endcol=3","dir=h")</f>
        <v/>
      </c>
      <c r="E251" s="75" t="n"/>
      <c r="F251" s="75" t="n"/>
      <c r="G251" s="75" t="n"/>
      <c r="H251" s="75" t="n"/>
      <c r="I251" s="75" t="n"/>
      <c r="J251" s="75" t="n"/>
      <c r="K251" s="75" t="n"/>
      <c r="L251" s="75" t="n"/>
      <c r="M251" s="75" t="n"/>
      <c r="N251" s="75" t="n"/>
      <c r="O251" s="75" t="n"/>
      <c r="P251" s="75" t="n"/>
      <c r="Q251" s="75" t="n"/>
      <c r="R251" s="75" t="n"/>
      <c r="S251" s="75" t="n"/>
      <c r="T251" s="75" t="n"/>
      <c r="U251" s="75" t="n"/>
      <c r="V251" s="75" t="n"/>
      <c r="W251" s="75" t="n"/>
      <c r="X251" s="75" t="n"/>
      <c r="Y251" s="75" t="n"/>
      <c r="Z251" s="75" t="n"/>
      <c r="AA251" s="75" t="n"/>
      <c r="AB251" s="75" t="n"/>
      <c r="AC251" s="75" t="n"/>
      <c r="AD251" s="75" t="n"/>
      <c r="AE251" s="75" t="n"/>
      <c r="AF251" s="75" t="n"/>
      <c r="AG251" s="75" t="n"/>
      <c r="AH251" s="75" t="n"/>
      <c r="AI251" s="75" t="n"/>
      <c r="AJ251" s="75" t="n"/>
      <c r="AK251" s="75" t="n"/>
      <c r="AL251" s="75" t="n"/>
      <c r="AM251" s="75" t="n"/>
      <c r="AN251" s="75" t="n"/>
      <c r="AO251" s="75" t="n"/>
      <c r="AP251" s="75" t="n"/>
      <c r="AQ251" s="75" t="n"/>
      <c r="AR251" s="75" t="n"/>
      <c r="AS251" s="75" t="n"/>
      <c r="AT251" s="75" t="n"/>
      <c r="AU251" s="75" t="n"/>
      <c r="AV251" s="75" t="n"/>
      <c r="AW251" s="75" t="n"/>
      <c r="AX251" s="75" t="n"/>
      <c r="AY251" s="75" t="n"/>
      <c r="AZ251" s="75" t="n"/>
      <c r="BA251" s="75" t="n"/>
      <c r="BB251" s="75" t="n"/>
      <c r="BC251" s="75" t="n"/>
      <c r="BD251" s="75" t="n"/>
      <c r="BE251" s="75" t="n"/>
      <c r="BF251" s="75" t="n"/>
      <c r="BG251" s="75" t="n"/>
      <c r="BH251" s="75" t="n"/>
      <c r="BI251" s="75" t="n"/>
      <c r="BJ251" s="75" t="n"/>
      <c r="BK251" s="75" t="n"/>
      <c r="BL251" s="75" t="n"/>
      <c r="BM251" s="75" t="n"/>
      <c r="BN251" s="75" t="n"/>
      <c r="BO251" s="75" t="n"/>
      <c r="BP251" s="75" t="n"/>
      <c r="BQ251" s="75" t="n"/>
      <c r="BR251" s="75" t="n"/>
      <c r="BS251" s="75" t="n"/>
      <c r="BT251" s="75" t="n"/>
      <c r="BU251" s="75" t="n"/>
      <c r="BV251" s="75" t="n"/>
      <c r="BW251" s="75" t="n"/>
      <c r="BX251" s="75" t="n"/>
      <c r="BY251" s="75" t="n"/>
      <c r="BZ251" s="75" t="n"/>
      <c r="CA251" s="75" t="n"/>
      <c r="CB251" s="75" t="n"/>
      <c r="CC251" s="75" t="n"/>
      <c r="CD251" s="75" t="n"/>
      <c r="CE251" s="75" t="n"/>
      <c r="CF251" s="75" t="n"/>
      <c r="CG251" s="75" t="n"/>
      <c r="CH251" s="75" t="n"/>
      <c r="CI251" s="75" t="n"/>
      <c r="CJ251" s="75" t="n"/>
      <c r="CK251" s="75" t="n"/>
      <c r="CL251" s="75" t="n"/>
      <c r="CM251" s="75" t="n"/>
      <c r="CN251" s="75" t="n"/>
      <c r="CO251" s="75" t="n"/>
      <c r="CP251" s="75" t="n"/>
      <c r="CQ251" s="75" t="n"/>
      <c r="CR251" s="75" t="n"/>
      <c r="CS251" s="75" t="n"/>
      <c r="CT251" s="75" t="n"/>
      <c r="CU251" s="75" t="n"/>
      <c r="CV251" s="75" t="n"/>
      <c r="CW251" s="75" t="n"/>
      <c r="CX251" s="75" t="n"/>
      <c r="CY251" s="75" t="n"/>
      <c r="CZ251" s="75" t="n"/>
    </row>
    <row r="252">
      <c r="B252" s="134">
        <f>IF($A251="",0,COUNT($E252:$CZ252))</f>
        <v/>
      </c>
    </row>
    <row r="253">
      <c r="A253" s="5">
        <f>IF(AS51!$C$129="","",AS51!$C$129)</f>
        <v/>
      </c>
      <c r="B253" s="134">
        <f>IF($A253="",0,COUNT($E253:$CZ253))</f>
        <v/>
      </c>
      <c r="C253" s="135">
        <f>IF($A253="",0,IF($B253=0,0,MAX($E253:$CZ253)))</f>
        <v/>
      </c>
      <c r="D253" s="74">
        <f>BDS($A253,'Field Check'!$C$42,"headers=y","startcol=2","endcol=3","dir=h")</f>
        <v/>
      </c>
      <c r="E253" s="75" t="n"/>
      <c r="F253" s="75" t="n"/>
      <c r="G253" s="75" t="n"/>
      <c r="H253" s="75" t="n"/>
      <c r="I253" s="75" t="n"/>
      <c r="J253" s="75" t="n"/>
      <c r="K253" s="75" t="n"/>
      <c r="L253" s="75" t="n"/>
      <c r="M253" s="75" t="n"/>
      <c r="N253" s="75" t="n"/>
      <c r="O253" s="75" t="n"/>
      <c r="P253" s="75" t="n"/>
      <c r="Q253" s="75" t="n"/>
      <c r="R253" s="75" t="n"/>
      <c r="S253" s="75" t="n"/>
      <c r="T253" s="75" t="n"/>
      <c r="U253" s="75" t="n"/>
      <c r="V253" s="75" t="n"/>
      <c r="W253" s="75" t="n"/>
      <c r="X253" s="75" t="n"/>
      <c r="Y253" s="75" t="n"/>
      <c r="Z253" s="75" t="n"/>
      <c r="AA253" s="75" t="n"/>
      <c r="AB253" s="75" t="n"/>
      <c r="AC253" s="75" t="n"/>
      <c r="AD253" s="75" t="n"/>
      <c r="AE253" s="75" t="n"/>
      <c r="AF253" s="75" t="n"/>
      <c r="AG253" s="75" t="n"/>
      <c r="AH253" s="75" t="n"/>
      <c r="AI253" s="75" t="n"/>
      <c r="AJ253" s="75" t="n"/>
      <c r="AK253" s="75" t="n"/>
      <c r="AL253" s="75" t="n"/>
      <c r="AM253" s="75" t="n"/>
      <c r="AN253" s="75" t="n"/>
      <c r="AO253" s="75" t="n"/>
      <c r="AP253" s="75" t="n"/>
      <c r="AQ253" s="75" t="n"/>
      <c r="AR253" s="75" t="n"/>
      <c r="AS253" s="75" t="n"/>
      <c r="AT253" s="75" t="n"/>
      <c r="AU253" s="75" t="n"/>
      <c r="AV253" s="75" t="n"/>
      <c r="AW253" s="75" t="n"/>
      <c r="AX253" s="75" t="n"/>
      <c r="AY253" s="75" t="n"/>
      <c r="AZ253" s="75" t="n"/>
      <c r="BA253" s="75" t="n"/>
      <c r="BB253" s="75" t="n"/>
      <c r="BC253" s="75" t="n"/>
      <c r="BD253" s="75" t="n"/>
      <c r="BE253" s="75" t="n"/>
      <c r="BF253" s="75" t="n"/>
      <c r="BG253" s="75" t="n"/>
      <c r="BH253" s="75" t="n"/>
      <c r="BI253" s="75" t="n"/>
      <c r="BJ253" s="75" t="n"/>
      <c r="BK253" s="75" t="n"/>
      <c r="BL253" s="75" t="n"/>
      <c r="BM253" s="75" t="n"/>
      <c r="BN253" s="75" t="n"/>
      <c r="BO253" s="75" t="n"/>
      <c r="BP253" s="75" t="n"/>
      <c r="BQ253" s="75" t="n"/>
      <c r="BR253" s="75" t="n"/>
      <c r="BS253" s="75" t="n"/>
      <c r="BT253" s="75" t="n"/>
      <c r="BU253" s="75" t="n"/>
      <c r="BV253" s="75" t="n"/>
      <c r="BW253" s="75" t="n"/>
      <c r="BX253" s="75" t="n"/>
      <c r="BY253" s="75" t="n"/>
      <c r="BZ253" s="75" t="n"/>
      <c r="CA253" s="75" t="n"/>
      <c r="CB253" s="75" t="n"/>
      <c r="CC253" s="75" t="n"/>
      <c r="CD253" s="75" t="n"/>
      <c r="CE253" s="75" t="n"/>
      <c r="CF253" s="75" t="n"/>
      <c r="CG253" s="75" t="n"/>
      <c r="CH253" s="75" t="n"/>
      <c r="CI253" s="75" t="n"/>
      <c r="CJ253" s="75" t="n"/>
      <c r="CK253" s="75" t="n"/>
      <c r="CL253" s="75" t="n"/>
      <c r="CM253" s="75" t="n"/>
      <c r="CN253" s="75" t="n"/>
      <c r="CO253" s="75" t="n"/>
      <c r="CP253" s="75" t="n"/>
      <c r="CQ253" s="75" t="n"/>
      <c r="CR253" s="75" t="n"/>
      <c r="CS253" s="75" t="n"/>
      <c r="CT253" s="75" t="n"/>
      <c r="CU253" s="75" t="n"/>
      <c r="CV253" s="75" t="n"/>
      <c r="CW253" s="75" t="n"/>
      <c r="CX253" s="75" t="n"/>
      <c r="CY253" s="75" t="n"/>
      <c r="CZ253" s="75" t="n"/>
    </row>
    <row r="254">
      <c r="B254" s="134">
        <f>IF($A253="",0,COUNT($E254:$CZ254))</f>
        <v/>
      </c>
    </row>
    <row r="255">
      <c r="A255" s="5">
        <f>IF(AS51!$C$130="","",AS51!$C$130)</f>
        <v/>
      </c>
      <c r="B255" s="134">
        <f>IF($A255="",0,COUNT($E255:$CZ255))</f>
        <v/>
      </c>
      <c r="C255" s="135">
        <f>IF($A255="",0,IF($B255=0,0,MAX($E255:$CZ255)))</f>
        <v/>
      </c>
      <c r="D255" s="74">
        <f>BDS($A255,'Field Check'!$C$42,"headers=y","startcol=2","endcol=3","dir=h")</f>
        <v/>
      </c>
      <c r="E255" s="75" t="n"/>
      <c r="F255" s="75" t="n"/>
      <c r="G255" s="75" t="n"/>
      <c r="H255" s="75" t="n"/>
      <c r="I255" s="75" t="n"/>
      <c r="J255" s="75" t="n"/>
      <c r="K255" s="75" t="n"/>
      <c r="L255" s="75" t="n"/>
      <c r="M255" s="75" t="n"/>
      <c r="N255" s="75" t="n"/>
      <c r="O255" s="75" t="n"/>
      <c r="P255" s="75" t="n"/>
      <c r="Q255" s="75" t="n"/>
      <c r="R255" s="75" t="n"/>
      <c r="S255" s="75" t="n"/>
      <c r="T255" s="75" t="n"/>
      <c r="U255" s="75" t="n"/>
      <c r="V255" s="75" t="n"/>
      <c r="W255" s="75" t="n"/>
      <c r="X255" s="75" t="n"/>
      <c r="Y255" s="75" t="n"/>
      <c r="Z255" s="75" t="n"/>
      <c r="AA255" s="75" t="n"/>
      <c r="AB255" s="75" t="n"/>
      <c r="AC255" s="75" t="n"/>
      <c r="AD255" s="75" t="n"/>
      <c r="AE255" s="75" t="n"/>
      <c r="AF255" s="75" t="n"/>
      <c r="AG255" s="75" t="n"/>
      <c r="AH255" s="75" t="n"/>
      <c r="AI255" s="75" t="n"/>
      <c r="AJ255" s="75" t="n"/>
      <c r="AK255" s="75" t="n"/>
      <c r="AL255" s="75" t="n"/>
      <c r="AM255" s="75" t="n"/>
      <c r="AN255" s="75" t="n"/>
      <c r="AO255" s="75" t="n"/>
      <c r="AP255" s="75" t="n"/>
      <c r="AQ255" s="75" t="n"/>
      <c r="AR255" s="75" t="n"/>
      <c r="AS255" s="75" t="n"/>
      <c r="AT255" s="75" t="n"/>
      <c r="AU255" s="75" t="n"/>
      <c r="AV255" s="75" t="n"/>
      <c r="AW255" s="75" t="n"/>
      <c r="AX255" s="75" t="n"/>
      <c r="AY255" s="75" t="n"/>
      <c r="AZ255" s="75" t="n"/>
      <c r="BA255" s="75" t="n"/>
      <c r="BB255" s="75" t="n"/>
      <c r="BC255" s="75" t="n"/>
      <c r="BD255" s="75" t="n"/>
      <c r="BE255" s="75" t="n"/>
      <c r="BF255" s="75" t="n"/>
      <c r="BG255" s="75" t="n"/>
      <c r="BH255" s="75" t="n"/>
      <c r="BI255" s="75" t="n"/>
      <c r="BJ255" s="75" t="n"/>
      <c r="BK255" s="75" t="n"/>
      <c r="BL255" s="75" t="n"/>
      <c r="BM255" s="75" t="n"/>
      <c r="BN255" s="75" t="n"/>
      <c r="BO255" s="75" t="n"/>
      <c r="BP255" s="75" t="n"/>
      <c r="BQ255" s="75" t="n"/>
      <c r="BR255" s="75" t="n"/>
      <c r="BS255" s="75" t="n"/>
      <c r="BT255" s="75" t="n"/>
      <c r="BU255" s="75" t="n"/>
      <c r="BV255" s="75" t="n"/>
      <c r="BW255" s="75" t="n"/>
      <c r="BX255" s="75" t="n"/>
      <c r="BY255" s="75" t="n"/>
      <c r="BZ255" s="75" t="n"/>
      <c r="CA255" s="75" t="n"/>
      <c r="CB255" s="75" t="n"/>
      <c r="CC255" s="75" t="n"/>
      <c r="CD255" s="75" t="n"/>
      <c r="CE255" s="75" t="n"/>
      <c r="CF255" s="75" t="n"/>
      <c r="CG255" s="75" t="n"/>
      <c r="CH255" s="75" t="n"/>
      <c r="CI255" s="75" t="n"/>
      <c r="CJ255" s="75" t="n"/>
      <c r="CK255" s="75" t="n"/>
      <c r="CL255" s="75" t="n"/>
      <c r="CM255" s="75" t="n"/>
      <c r="CN255" s="75" t="n"/>
      <c r="CO255" s="75" t="n"/>
      <c r="CP255" s="75" t="n"/>
      <c r="CQ255" s="75" t="n"/>
      <c r="CR255" s="75" t="n"/>
      <c r="CS255" s="75" t="n"/>
      <c r="CT255" s="75" t="n"/>
      <c r="CU255" s="75" t="n"/>
      <c r="CV255" s="75" t="n"/>
      <c r="CW255" s="75" t="n"/>
      <c r="CX255" s="75" t="n"/>
      <c r="CY255" s="75" t="n"/>
      <c r="CZ255" s="75" t="n"/>
    </row>
    <row r="256">
      <c r="B256" s="134">
        <f>IF($A255="",0,COUNT($E256:$CZ256))</f>
        <v/>
      </c>
    </row>
    <row r="257">
      <c r="A257" s="5">
        <f>IF(AS51!$C$131="","",AS51!$C$131)</f>
        <v/>
      </c>
      <c r="B257" s="134">
        <f>IF($A257="",0,COUNT($E257:$CZ257))</f>
        <v/>
      </c>
      <c r="C257" s="135">
        <f>IF($A257="",0,IF($B257=0,0,MAX($E257:$CZ257)))</f>
        <v/>
      </c>
      <c r="D257" s="74">
        <f>BDS($A257,'Field Check'!$C$42,"headers=y","startcol=2","endcol=3","dir=h")</f>
        <v/>
      </c>
      <c r="E257" s="75" t="n"/>
      <c r="F257" s="75" t="n"/>
      <c r="G257" s="75" t="n"/>
      <c r="H257" s="75" t="n"/>
      <c r="I257" s="75" t="n"/>
      <c r="J257" s="75" t="n"/>
      <c r="K257" s="75" t="n"/>
      <c r="L257" s="75" t="n"/>
      <c r="M257" s="75" t="n"/>
      <c r="N257" s="75" t="n"/>
      <c r="O257" s="75" t="n"/>
      <c r="P257" s="75" t="n"/>
      <c r="Q257" s="75" t="n"/>
      <c r="R257" s="75" t="n"/>
      <c r="S257" s="75" t="n"/>
      <c r="T257" s="75" t="n"/>
      <c r="U257" s="75" t="n"/>
      <c r="V257" s="75" t="n"/>
      <c r="W257" s="75" t="n"/>
      <c r="X257" s="75" t="n"/>
      <c r="Y257" s="75" t="n"/>
      <c r="Z257" s="75" t="n"/>
      <c r="AA257" s="75" t="n"/>
      <c r="AB257" s="75" t="n"/>
      <c r="AC257" s="75" t="n"/>
      <c r="AD257" s="75" t="n"/>
      <c r="AE257" s="75" t="n"/>
      <c r="AF257" s="75" t="n"/>
      <c r="AG257" s="75" t="n"/>
      <c r="AH257" s="75" t="n"/>
      <c r="AI257" s="75" t="n"/>
      <c r="AJ257" s="75" t="n"/>
      <c r="AK257" s="75" t="n"/>
      <c r="AL257" s="75" t="n"/>
      <c r="AM257" s="75" t="n"/>
      <c r="AN257" s="75" t="n"/>
      <c r="AO257" s="75" t="n"/>
      <c r="AP257" s="75" t="n"/>
      <c r="AQ257" s="75" t="n"/>
      <c r="AR257" s="75" t="n"/>
      <c r="AS257" s="75" t="n"/>
      <c r="AT257" s="75" t="n"/>
      <c r="AU257" s="75" t="n"/>
      <c r="AV257" s="75" t="n"/>
      <c r="AW257" s="75" t="n"/>
      <c r="AX257" s="75" t="n"/>
      <c r="AY257" s="75" t="n"/>
      <c r="AZ257" s="75" t="n"/>
      <c r="BA257" s="75" t="n"/>
      <c r="BB257" s="75" t="n"/>
      <c r="BC257" s="75" t="n"/>
      <c r="BD257" s="75" t="n"/>
      <c r="BE257" s="75" t="n"/>
      <c r="BF257" s="75" t="n"/>
      <c r="BG257" s="75" t="n"/>
      <c r="BH257" s="75" t="n"/>
      <c r="BI257" s="75" t="n"/>
      <c r="BJ257" s="75" t="n"/>
      <c r="BK257" s="75" t="n"/>
      <c r="BL257" s="75" t="n"/>
      <c r="BM257" s="75" t="n"/>
      <c r="BN257" s="75" t="n"/>
      <c r="BO257" s="75" t="n"/>
      <c r="BP257" s="75" t="n"/>
      <c r="BQ257" s="75" t="n"/>
      <c r="BR257" s="75" t="n"/>
      <c r="BS257" s="75" t="n"/>
      <c r="BT257" s="75" t="n"/>
      <c r="BU257" s="75" t="n"/>
      <c r="BV257" s="75" t="n"/>
      <c r="BW257" s="75" t="n"/>
      <c r="BX257" s="75" t="n"/>
      <c r="BY257" s="75" t="n"/>
      <c r="BZ257" s="75" t="n"/>
      <c r="CA257" s="75" t="n"/>
      <c r="CB257" s="75" t="n"/>
      <c r="CC257" s="75" t="n"/>
      <c r="CD257" s="75" t="n"/>
      <c r="CE257" s="75" t="n"/>
      <c r="CF257" s="75" t="n"/>
      <c r="CG257" s="75" t="n"/>
      <c r="CH257" s="75" t="n"/>
      <c r="CI257" s="75" t="n"/>
      <c r="CJ257" s="75" t="n"/>
      <c r="CK257" s="75" t="n"/>
      <c r="CL257" s="75" t="n"/>
      <c r="CM257" s="75" t="n"/>
      <c r="CN257" s="75" t="n"/>
      <c r="CO257" s="75" t="n"/>
      <c r="CP257" s="75" t="n"/>
      <c r="CQ257" s="75" t="n"/>
      <c r="CR257" s="75" t="n"/>
      <c r="CS257" s="75" t="n"/>
      <c r="CT257" s="75" t="n"/>
      <c r="CU257" s="75" t="n"/>
      <c r="CV257" s="75" t="n"/>
      <c r="CW257" s="75" t="n"/>
      <c r="CX257" s="75" t="n"/>
      <c r="CY257" s="75" t="n"/>
      <c r="CZ257" s="75" t="n"/>
    </row>
    <row r="258">
      <c r="B258" s="134">
        <f>IF($A257="",0,COUNT($E258:$CZ258))</f>
        <v/>
      </c>
    </row>
    <row r="259">
      <c r="A259" s="5">
        <f>IF(AS51!$C$132="","",AS51!$C$132)</f>
        <v/>
      </c>
      <c r="B259" s="134">
        <f>IF($A259="",0,COUNT($E259:$CZ259))</f>
        <v/>
      </c>
      <c r="C259" s="135">
        <f>IF($A259="",0,IF($B259=0,0,MAX($E259:$CZ259)))</f>
        <v/>
      </c>
      <c r="D259" s="74">
        <f>BDS($A259,'Field Check'!$C$42,"headers=y","startcol=2","endcol=3","dir=h")</f>
        <v/>
      </c>
      <c r="E259" s="75" t="n"/>
      <c r="F259" s="75" t="n"/>
      <c r="G259" s="75" t="n"/>
      <c r="H259" s="75" t="n"/>
      <c r="I259" s="75" t="n"/>
      <c r="J259" s="75" t="n"/>
      <c r="K259" s="75" t="n"/>
      <c r="L259" s="75" t="n"/>
      <c r="M259" s="75" t="n"/>
      <c r="N259" s="75" t="n"/>
      <c r="O259" s="75" t="n"/>
      <c r="P259" s="75" t="n"/>
      <c r="Q259" s="75" t="n"/>
      <c r="R259" s="75" t="n"/>
      <c r="S259" s="75" t="n"/>
      <c r="T259" s="75" t="n"/>
      <c r="U259" s="75" t="n"/>
      <c r="V259" s="75" t="n"/>
      <c r="W259" s="75" t="n"/>
      <c r="X259" s="75" t="n"/>
      <c r="Y259" s="75" t="n"/>
      <c r="Z259" s="75" t="n"/>
      <c r="AA259" s="75" t="n"/>
      <c r="AB259" s="75" t="n"/>
      <c r="AC259" s="75" t="n"/>
      <c r="AD259" s="75" t="n"/>
      <c r="AE259" s="75" t="n"/>
      <c r="AF259" s="75" t="n"/>
      <c r="AG259" s="75" t="n"/>
      <c r="AH259" s="75" t="n"/>
      <c r="AI259" s="75" t="n"/>
      <c r="AJ259" s="75" t="n"/>
      <c r="AK259" s="75" t="n"/>
      <c r="AL259" s="75" t="n"/>
      <c r="AM259" s="75" t="n"/>
      <c r="AN259" s="75" t="n"/>
      <c r="AO259" s="75" t="n"/>
      <c r="AP259" s="75" t="n"/>
      <c r="AQ259" s="75" t="n"/>
      <c r="AR259" s="75" t="n"/>
      <c r="AS259" s="75" t="n"/>
      <c r="AT259" s="75" t="n"/>
      <c r="AU259" s="75" t="n"/>
      <c r="AV259" s="75" t="n"/>
      <c r="AW259" s="75" t="n"/>
      <c r="AX259" s="75" t="n"/>
      <c r="AY259" s="75" t="n"/>
      <c r="AZ259" s="75" t="n"/>
      <c r="BA259" s="75" t="n"/>
      <c r="BB259" s="75" t="n"/>
      <c r="BC259" s="75" t="n"/>
      <c r="BD259" s="75" t="n"/>
      <c r="BE259" s="75" t="n"/>
      <c r="BF259" s="75" t="n"/>
      <c r="BG259" s="75" t="n"/>
      <c r="BH259" s="75" t="n"/>
      <c r="BI259" s="75" t="n"/>
      <c r="BJ259" s="75" t="n"/>
      <c r="BK259" s="75" t="n"/>
      <c r="BL259" s="75" t="n"/>
      <c r="BM259" s="75" t="n"/>
      <c r="BN259" s="75" t="n"/>
      <c r="BO259" s="75" t="n"/>
      <c r="BP259" s="75" t="n"/>
      <c r="BQ259" s="75" t="n"/>
      <c r="BR259" s="75" t="n"/>
      <c r="BS259" s="75" t="n"/>
      <c r="BT259" s="75" t="n"/>
      <c r="BU259" s="75" t="n"/>
      <c r="BV259" s="75" t="n"/>
      <c r="BW259" s="75" t="n"/>
      <c r="BX259" s="75" t="n"/>
      <c r="BY259" s="75" t="n"/>
      <c r="BZ259" s="75" t="n"/>
      <c r="CA259" s="75" t="n"/>
      <c r="CB259" s="75" t="n"/>
      <c r="CC259" s="75" t="n"/>
      <c r="CD259" s="75" t="n"/>
      <c r="CE259" s="75" t="n"/>
      <c r="CF259" s="75" t="n"/>
      <c r="CG259" s="75" t="n"/>
      <c r="CH259" s="75" t="n"/>
      <c r="CI259" s="75" t="n"/>
      <c r="CJ259" s="75" t="n"/>
      <c r="CK259" s="75" t="n"/>
      <c r="CL259" s="75" t="n"/>
      <c r="CM259" s="75" t="n"/>
      <c r="CN259" s="75" t="n"/>
      <c r="CO259" s="75" t="n"/>
      <c r="CP259" s="75" t="n"/>
      <c r="CQ259" s="75" t="n"/>
      <c r="CR259" s="75" t="n"/>
      <c r="CS259" s="75" t="n"/>
      <c r="CT259" s="75" t="n"/>
      <c r="CU259" s="75" t="n"/>
      <c r="CV259" s="75" t="n"/>
      <c r="CW259" s="75" t="n"/>
      <c r="CX259" s="75" t="n"/>
      <c r="CY259" s="75" t="n"/>
      <c r="CZ259" s="75" t="n"/>
    </row>
    <row r="260">
      <c r="B260" s="134">
        <f>IF($A259="",0,COUNT($E260:$CZ260))</f>
        <v/>
      </c>
    </row>
    <row r="261">
      <c r="A261" s="5">
        <f>IF(AS51!$C$133="","",AS51!$C$133)</f>
        <v/>
      </c>
      <c r="B261" s="134">
        <f>IF($A261="",0,COUNT($E261:$CZ261))</f>
        <v/>
      </c>
      <c r="C261" s="135">
        <f>IF($A261="",0,IF($B261=0,0,MAX($E261:$CZ261)))</f>
        <v/>
      </c>
      <c r="D261" s="74">
        <f>BDS($A261,'Field Check'!$C$42,"headers=y","startcol=2","endcol=3","dir=h")</f>
        <v/>
      </c>
      <c r="E261" s="75" t="n"/>
      <c r="F261" s="75" t="n"/>
      <c r="G261" s="75" t="n"/>
      <c r="H261" s="75" t="n"/>
      <c r="I261" s="75" t="n"/>
      <c r="J261" s="75" t="n"/>
      <c r="K261" s="75" t="n"/>
      <c r="L261" s="75" t="n"/>
      <c r="M261" s="75" t="n"/>
      <c r="N261" s="75" t="n"/>
      <c r="O261" s="75" t="n"/>
      <c r="P261" s="75" t="n"/>
      <c r="Q261" s="75" t="n"/>
      <c r="R261" s="75" t="n"/>
      <c r="S261" s="75" t="n"/>
      <c r="T261" s="75" t="n"/>
      <c r="U261" s="75" t="n"/>
      <c r="V261" s="75" t="n"/>
      <c r="W261" s="75" t="n"/>
      <c r="X261" s="75" t="n"/>
      <c r="Y261" s="75" t="n"/>
      <c r="Z261" s="75" t="n"/>
      <c r="AA261" s="75" t="n"/>
      <c r="AB261" s="75" t="n"/>
      <c r="AC261" s="75" t="n"/>
      <c r="AD261" s="75" t="n"/>
      <c r="AE261" s="75" t="n"/>
      <c r="AF261" s="75" t="n"/>
      <c r="AG261" s="75" t="n"/>
      <c r="AH261" s="75" t="n"/>
      <c r="AI261" s="75" t="n"/>
      <c r="AJ261" s="75" t="n"/>
      <c r="AK261" s="75" t="n"/>
      <c r="AL261" s="75" t="n"/>
      <c r="AM261" s="75" t="n"/>
      <c r="AN261" s="75" t="n"/>
      <c r="AO261" s="75" t="n"/>
      <c r="AP261" s="75" t="n"/>
      <c r="AQ261" s="75" t="n"/>
      <c r="AR261" s="75" t="n"/>
      <c r="AS261" s="75" t="n"/>
      <c r="AT261" s="75" t="n"/>
      <c r="AU261" s="75" t="n"/>
      <c r="AV261" s="75" t="n"/>
      <c r="AW261" s="75" t="n"/>
      <c r="AX261" s="75" t="n"/>
      <c r="AY261" s="75" t="n"/>
      <c r="AZ261" s="75" t="n"/>
      <c r="BA261" s="75" t="n"/>
      <c r="BB261" s="75" t="n"/>
      <c r="BC261" s="75" t="n"/>
      <c r="BD261" s="75" t="n"/>
      <c r="BE261" s="75" t="n"/>
      <c r="BF261" s="75" t="n"/>
      <c r="BG261" s="75" t="n"/>
      <c r="BH261" s="75" t="n"/>
      <c r="BI261" s="75" t="n"/>
      <c r="BJ261" s="75" t="n"/>
      <c r="BK261" s="75" t="n"/>
      <c r="BL261" s="75" t="n"/>
      <c r="BM261" s="75" t="n"/>
      <c r="BN261" s="75" t="n"/>
      <c r="BO261" s="75" t="n"/>
      <c r="BP261" s="75" t="n"/>
      <c r="BQ261" s="75" t="n"/>
      <c r="BR261" s="75" t="n"/>
      <c r="BS261" s="75" t="n"/>
      <c r="BT261" s="75" t="n"/>
      <c r="BU261" s="75" t="n"/>
      <c r="BV261" s="75" t="n"/>
      <c r="BW261" s="75" t="n"/>
      <c r="BX261" s="75" t="n"/>
      <c r="BY261" s="75" t="n"/>
      <c r="BZ261" s="75" t="n"/>
      <c r="CA261" s="75" t="n"/>
      <c r="CB261" s="75" t="n"/>
      <c r="CC261" s="75" t="n"/>
      <c r="CD261" s="75" t="n"/>
      <c r="CE261" s="75" t="n"/>
      <c r="CF261" s="75" t="n"/>
      <c r="CG261" s="75" t="n"/>
      <c r="CH261" s="75" t="n"/>
      <c r="CI261" s="75" t="n"/>
      <c r="CJ261" s="75" t="n"/>
      <c r="CK261" s="75" t="n"/>
      <c r="CL261" s="75" t="n"/>
      <c r="CM261" s="75" t="n"/>
      <c r="CN261" s="75" t="n"/>
      <c r="CO261" s="75" t="n"/>
      <c r="CP261" s="75" t="n"/>
      <c r="CQ261" s="75" t="n"/>
      <c r="CR261" s="75" t="n"/>
      <c r="CS261" s="75" t="n"/>
      <c r="CT261" s="75" t="n"/>
      <c r="CU261" s="75" t="n"/>
      <c r="CV261" s="75" t="n"/>
      <c r="CW261" s="75" t="n"/>
      <c r="CX261" s="75" t="n"/>
      <c r="CY261" s="75" t="n"/>
      <c r="CZ261" s="75" t="n"/>
    </row>
    <row r="262">
      <c r="B262" s="134">
        <f>IF($A261="",0,COUNT($E262:$CZ262))</f>
        <v/>
      </c>
    </row>
    <row r="263">
      <c r="A263" s="5">
        <f>IF(AS51!$C$134="","",AS51!$C$134)</f>
        <v/>
      </c>
      <c r="B263" s="134">
        <f>IF($A263="",0,COUNT($E263:$CZ263))</f>
        <v/>
      </c>
      <c r="C263" s="135">
        <f>IF($A263="",0,IF($B263=0,0,MAX($E263:$CZ263)))</f>
        <v/>
      </c>
      <c r="D263" s="74">
        <f>BDS($A263,'Field Check'!$C$42,"headers=y","startcol=2","endcol=3","dir=h")</f>
        <v/>
      </c>
      <c r="E263" s="75" t="n"/>
      <c r="F263" s="75" t="n"/>
      <c r="G263" s="75" t="n"/>
      <c r="H263" s="75" t="n"/>
      <c r="I263" s="75" t="n"/>
      <c r="J263" s="75" t="n"/>
      <c r="K263" s="75" t="n"/>
      <c r="L263" s="75" t="n"/>
      <c r="M263" s="75" t="n"/>
      <c r="N263" s="75" t="n"/>
      <c r="O263" s="75" t="n"/>
      <c r="P263" s="75" t="n"/>
      <c r="Q263" s="75" t="n"/>
      <c r="R263" s="75" t="n"/>
      <c r="S263" s="75" t="n"/>
      <c r="T263" s="75" t="n"/>
      <c r="U263" s="75" t="n"/>
      <c r="V263" s="75" t="n"/>
      <c r="W263" s="75" t="n"/>
      <c r="X263" s="75" t="n"/>
      <c r="Y263" s="75" t="n"/>
      <c r="Z263" s="75" t="n"/>
      <c r="AA263" s="75" t="n"/>
      <c r="AB263" s="75" t="n"/>
      <c r="AC263" s="75" t="n"/>
      <c r="AD263" s="75" t="n"/>
      <c r="AE263" s="75" t="n"/>
      <c r="AF263" s="75" t="n"/>
      <c r="AG263" s="75" t="n"/>
      <c r="AH263" s="75" t="n"/>
      <c r="AI263" s="75" t="n"/>
      <c r="AJ263" s="75" t="n"/>
      <c r="AK263" s="75" t="n"/>
      <c r="AL263" s="75" t="n"/>
      <c r="AM263" s="75" t="n"/>
      <c r="AN263" s="75" t="n"/>
      <c r="AO263" s="75" t="n"/>
      <c r="AP263" s="75" t="n"/>
      <c r="AQ263" s="75" t="n"/>
      <c r="AR263" s="75" t="n"/>
      <c r="AS263" s="75" t="n"/>
      <c r="AT263" s="75" t="n"/>
      <c r="AU263" s="75" t="n"/>
      <c r="AV263" s="75" t="n"/>
      <c r="AW263" s="75" t="n"/>
      <c r="AX263" s="75" t="n"/>
      <c r="AY263" s="75" t="n"/>
      <c r="AZ263" s="75" t="n"/>
      <c r="BA263" s="75" t="n"/>
      <c r="BB263" s="75" t="n"/>
      <c r="BC263" s="75" t="n"/>
      <c r="BD263" s="75" t="n"/>
      <c r="BE263" s="75" t="n"/>
      <c r="BF263" s="75" t="n"/>
      <c r="BG263" s="75" t="n"/>
      <c r="BH263" s="75" t="n"/>
      <c r="BI263" s="75" t="n"/>
      <c r="BJ263" s="75" t="n"/>
      <c r="BK263" s="75" t="n"/>
      <c r="BL263" s="75" t="n"/>
      <c r="BM263" s="75" t="n"/>
      <c r="BN263" s="75" t="n"/>
      <c r="BO263" s="75" t="n"/>
      <c r="BP263" s="75" t="n"/>
      <c r="BQ263" s="75" t="n"/>
      <c r="BR263" s="75" t="n"/>
      <c r="BS263" s="75" t="n"/>
      <c r="BT263" s="75" t="n"/>
      <c r="BU263" s="75" t="n"/>
      <c r="BV263" s="75" t="n"/>
      <c r="BW263" s="75" t="n"/>
      <c r="BX263" s="75" t="n"/>
      <c r="BY263" s="75" t="n"/>
      <c r="BZ263" s="75" t="n"/>
      <c r="CA263" s="75" t="n"/>
      <c r="CB263" s="75" t="n"/>
      <c r="CC263" s="75" t="n"/>
      <c r="CD263" s="75" t="n"/>
      <c r="CE263" s="75" t="n"/>
      <c r="CF263" s="75" t="n"/>
      <c r="CG263" s="75" t="n"/>
      <c r="CH263" s="75" t="n"/>
      <c r="CI263" s="75" t="n"/>
      <c r="CJ263" s="75" t="n"/>
      <c r="CK263" s="75" t="n"/>
      <c r="CL263" s="75" t="n"/>
      <c r="CM263" s="75" t="n"/>
      <c r="CN263" s="75" t="n"/>
      <c r="CO263" s="75" t="n"/>
      <c r="CP263" s="75" t="n"/>
      <c r="CQ263" s="75" t="n"/>
      <c r="CR263" s="75" t="n"/>
      <c r="CS263" s="75" t="n"/>
      <c r="CT263" s="75" t="n"/>
      <c r="CU263" s="75" t="n"/>
      <c r="CV263" s="75" t="n"/>
      <c r="CW263" s="75" t="n"/>
      <c r="CX263" s="75" t="n"/>
      <c r="CY263" s="75" t="n"/>
      <c r="CZ263" s="75" t="n"/>
    </row>
    <row r="264">
      <c r="B264" s="134">
        <f>IF($A263="",0,COUNT($E264:$CZ264))</f>
        <v/>
      </c>
    </row>
    <row r="265">
      <c r="A265" s="5">
        <f>IF(AS51!$C$135="","",AS51!$C$135)</f>
        <v/>
      </c>
      <c r="B265" s="134">
        <f>IF($A265="",0,COUNT($E265:$CZ265))</f>
        <v/>
      </c>
      <c r="C265" s="135">
        <f>IF($A265="",0,IF($B265=0,0,MAX($E265:$CZ265)))</f>
        <v/>
      </c>
      <c r="D265" s="74">
        <f>BDS($A265,'Field Check'!$C$42,"headers=y","startcol=2","endcol=3","dir=h")</f>
        <v/>
      </c>
      <c r="E265" s="75" t="n"/>
      <c r="F265" s="75" t="n"/>
      <c r="G265" s="75" t="n"/>
      <c r="H265" s="75" t="n"/>
      <c r="I265" s="75" t="n"/>
      <c r="J265" s="75" t="n"/>
      <c r="K265" s="75" t="n"/>
      <c r="L265" s="75" t="n"/>
      <c r="M265" s="75" t="n"/>
      <c r="N265" s="75" t="n"/>
      <c r="O265" s="75" t="n"/>
      <c r="P265" s="75" t="n"/>
      <c r="Q265" s="75" t="n"/>
      <c r="R265" s="75" t="n"/>
      <c r="S265" s="75" t="n"/>
      <c r="T265" s="75" t="n"/>
      <c r="U265" s="75" t="n"/>
      <c r="V265" s="75" t="n"/>
      <c r="W265" s="75" t="n"/>
      <c r="X265" s="75" t="n"/>
      <c r="Y265" s="75" t="n"/>
      <c r="Z265" s="75" t="n"/>
      <c r="AA265" s="75" t="n"/>
      <c r="AB265" s="75" t="n"/>
      <c r="AC265" s="75" t="n"/>
      <c r="AD265" s="75" t="n"/>
      <c r="AE265" s="75" t="n"/>
      <c r="AF265" s="75" t="n"/>
      <c r="AG265" s="75" t="n"/>
      <c r="AH265" s="75" t="n"/>
      <c r="AI265" s="75" t="n"/>
      <c r="AJ265" s="75" t="n"/>
      <c r="AK265" s="75" t="n"/>
      <c r="AL265" s="75" t="n"/>
      <c r="AM265" s="75" t="n"/>
      <c r="AN265" s="75" t="n"/>
      <c r="AO265" s="75" t="n"/>
      <c r="AP265" s="75" t="n"/>
      <c r="AQ265" s="75" t="n"/>
      <c r="AR265" s="75" t="n"/>
      <c r="AS265" s="75" t="n"/>
      <c r="AT265" s="75" t="n"/>
      <c r="AU265" s="75" t="n"/>
      <c r="AV265" s="75" t="n"/>
      <c r="AW265" s="75" t="n"/>
      <c r="AX265" s="75" t="n"/>
      <c r="AY265" s="75" t="n"/>
      <c r="AZ265" s="75" t="n"/>
      <c r="BA265" s="75" t="n"/>
      <c r="BB265" s="75" t="n"/>
      <c r="BC265" s="75" t="n"/>
      <c r="BD265" s="75" t="n"/>
      <c r="BE265" s="75" t="n"/>
      <c r="BF265" s="75" t="n"/>
      <c r="BG265" s="75" t="n"/>
      <c r="BH265" s="75" t="n"/>
      <c r="BI265" s="75" t="n"/>
      <c r="BJ265" s="75" t="n"/>
      <c r="BK265" s="75" t="n"/>
      <c r="BL265" s="75" t="n"/>
      <c r="BM265" s="75" t="n"/>
      <c r="BN265" s="75" t="n"/>
      <c r="BO265" s="75" t="n"/>
      <c r="BP265" s="75" t="n"/>
      <c r="BQ265" s="75" t="n"/>
      <c r="BR265" s="75" t="n"/>
      <c r="BS265" s="75" t="n"/>
      <c r="BT265" s="75" t="n"/>
      <c r="BU265" s="75" t="n"/>
      <c r="BV265" s="75" t="n"/>
      <c r="BW265" s="75" t="n"/>
      <c r="BX265" s="75" t="n"/>
      <c r="BY265" s="75" t="n"/>
      <c r="BZ265" s="75" t="n"/>
      <c r="CA265" s="75" t="n"/>
      <c r="CB265" s="75" t="n"/>
      <c r="CC265" s="75" t="n"/>
      <c r="CD265" s="75" t="n"/>
      <c r="CE265" s="75" t="n"/>
      <c r="CF265" s="75" t="n"/>
      <c r="CG265" s="75" t="n"/>
      <c r="CH265" s="75" t="n"/>
      <c r="CI265" s="75" t="n"/>
      <c r="CJ265" s="75" t="n"/>
      <c r="CK265" s="75" t="n"/>
      <c r="CL265" s="75" t="n"/>
      <c r="CM265" s="75" t="n"/>
      <c r="CN265" s="75" t="n"/>
      <c r="CO265" s="75" t="n"/>
      <c r="CP265" s="75" t="n"/>
      <c r="CQ265" s="75" t="n"/>
      <c r="CR265" s="75" t="n"/>
      <c r="CS265" s="75" t="n"/>
      <c r="CT265" s="75" t="n"/>
      <c r="CU265" s="75" t="n"/>
      <c r="CV265" s="75" t="n"/>
      <c r="CW265" s="75" t="n"/>
      <c r="CX265" s="75" t="n"/>
      <c r="CY265" s="75" t="n"/>
      <c r="CZ265" s="75" t="n"/>
    </row>
    <row r="266">
      <c r="B266" s="134">
        <f>IF($A265="",0,COUNT($E266:$CZ266))</f>
        <v/>
      </c>
    </row>
    <row r="267">
      <c r="A267" s="5">
        <f>IF(AS51!$C$136="","",AS51!$C$136)</f>
        <v/>
      </c>
      <c r="B267" s="134">
        <f>IF($A267="",0,COUNT($E267:$CZ267))</f>
        <v/>
      </c>
      <c r="C267" s="135">
        <f>IF($A267="",0,IF($B267=0,0,MAX($E267:$CZ267)))</f>
        <v/>
      </c>
      <c r="D267" s="74">
        <f>BDS($A267,'Field Check'!$C$42,"headers=y","startcol=2","endcol=3","dir=h")</f>
        <v/>
      </c>
      <c r="E267" s="75" t="n"/>
      <c r="F267" s="75" t="n"/>
      <c r="G267" s="75" t="n"/>
      <c r="H267" s="75" t="n"/>
      <c r="I267" s="75" t="n"/>
      <c r="J267" s="75" t="n"/>
      <c r="K267" s="75" t="n"/>
      <c r="L267" s="75" t="n"/>
      <c r="M267" s="75" t="n"/>
      <c r="N267" s="75" t="n"/>
      <c r="O267" s="75" t="n"/>
      <c r="P267" s="75" t="n"/>
      <c r="Q267" s="75" t="n"/>
      <c r="R267" s="75" t="n"/>
      <c r="S267" s="75" t="n"/>
      <c r="T267" s="75" t="n"/>
      <c r="U267" s="75" t="n"/>
      <c r="V267" s="75" t="n"/>
      <c r="W267" s="75" t="n"/>
      <c r="X267" s="75" t="n"/>
      <c r="Y267" s="75" t="n"/>
      <c r="Z267" s="75" t="n"/>
      <c r="AA267" s="75" t="n"/>
      <c r="AB267" s="75" t="n"/>
      <c r="AC267" s="75" t="n"/>
      <c r="AD267" s="75" t="n"/>
      <c r="AE267" s="75" t="n"/>
      <c r="AF267" s="75" t="n"/>
      <c r="AG267" s="75" t="n"/>
      <c r="AH267" s="75" t="n"/>
      <c r="AI267" s="75" t="n"/>
      <c r="AJ267" s="75" t="n"/>
      <c r="AK267" s="75" t="n"/>
      <c r="AL267" s="75" t="n"/>
      <c r="AM267" s="75" t="n"/>
      <c r="AN267" s="75" t="n"/>
      <c r="AO267" s="75" t="n"/>
      <c r="AP267" s="75" t="n"/>
      <c r="AQ267" s="75" t="n"/>
      <c r="AR267" s="75" t="n"/>
      <c r="AS267" s="75" t="n"/>
      <c r="AT267" s="75" t="n"/>
      <c r="AU267" s="75" t="n"/>
      <c r="AV267" s="75" t="n"/>
      <c r="AW267" s="75" t="n"/>
      <c r="AX267" s="75" t="n"/>
      <c r="AY267" s="75" t="n"/>
      <c r="AZ267" s="75" t="n"/>
      <c r="BA267" s="75" t="n"/>
      <c r="BB267" s="75" t="n"/>
      <c r="BC267" s="75" t="n"/>
      <c r="BD267" s="75" t="n"/>
      <c r="BE267" s="75" t="n"/>
      <c r="BF267" s="75" t="n"/>
      <c r="BG267" s="75" t="n"/>
      <c r="BH267" s="75" t="n"/>
      <c r="BI267" s="75" t="n"/>
      <c r="BJ267" s="75" t="n"/>
      <c r="BK267" s="75" t="n"/>
      <c r="BL267" s="75" t="n"/>
      <c r="BM267" s="75" t="n"/>
      <c r="BN267" s="75" t="n"/>
      <c r="BO267" s="75" t="n"/>
      <c r="BP267" s="75" t="n"/>
      <c r="BQ267" s="75" t="n"/>
      <c r="BR267" s="75" t="n"/>
      <c r="BS267" s="75" t="n"/>
      <c r="BT267" s="75" t="n"/>
      <c r="BU267" s="75" t="n"/>
      <c r="BV267" s="75" t="n"/>
      <c r="BW267" s="75" t="n"/>
      <c r="BX267" s="75" t="n"/>
      <c r="BY267" s="75" t="n"/>
      <c r="BZ267" s="75" t="n"/>
      <c r="CA267" s="75" t="n"/>
      <c r="CB267" s="75" t="n"/>
      <c r="CC267" s="75" t="n"/>
      <c r="CD267" s="75" t="n"/>
      <c r="CE267" s="75" t="n"/>
      <c r="CF267" s="75" t="n"/>
      <c r="CG267" s="75" t="n"/>
      <c r="CH267" s="75" t="n"/>
      <c r="CI267" s="75" t="n"/>
      <c r="CJ267" s="75" t="n"/>
      <c r="CK267" s="75" t="n"/>
      <c r="CL267" s="75" t="n"/>
      <c r="CM267" s="75" t="n"/>
      <c r="CN267" s="75" t="n"/>
      <c r="CO267" s="75" t="n"/>
      <c r="CP267" s="75" t="n"/>
      <c r="CQ267" s="75" t="n"/>
      <c r="CR267" s="75" t="n"/>
      <c r="CS267" s="75" t="n"/>
      <c r="CT267" s="75" t="n"/>
      <c r="CU267" s="75" t="n"/>
      <c r="CV267" s="75" t="n"/>
      <c r="CW267" s="75" t="n"/>
      <c r="CX267" s="75" t="n"/>
      <c r="CY267" s="75" t="n"/>
      <c r="CZ267" s="75" t="n"/>
    </row>
    <row r="268">
      <c r="B268" s="134">
        <f>IF($A267="",0,COUNT($E268:$CZ268))</f>
        <v/>
      </c>
    </row>
    <row r="269">
      <c r="A269" s="5">
        <f>IF(AS51!$C$137="","",AS51!$C$137)</f>
        <v/>
      </c>
      <c r="B269" s="134">
        <f>IF($A269="",0,COUNT($E269:$CZ269))</f>
        <v/>
      </c>
      <c r="C269" s="135">
        <f>IF($A269="",0,IF($B269=0,0,MAX($E269:$CZ269)))</f>
        <v/>
      </c>
      <c r="D269" s="74">
        <f>BDS($A269,'Field Check'!$C$42,"headers=y","startcol=2","endcol=3","dir=h")</f>
        <v/>
      </c>
      <c r="E269" s="75" t="n"/>
      <c r="F269" s="75" t="n"/>
      <c r="G269" s="75" t="n"/>
      <c r="H269" s="75" t="n"/>
      <c r="I269" s="75" t="n"/>
      <c r="J269" s="75" t="n"/>
      <c r="K269" s="75" t="n"/>
      <c r="L269" s="75" t="n"/>
      <c r="M269" s="75" t="n"/>
      <c r="N269" s="75" t="n"/>
      <c r="O269" s="75" t="n"/>
      <c r="P269" s="75" t="n"/>
      <c r="Q269" s="75" t="n"/>
      <c r="R269" s="75" t="n"/>
      <c r="S269" s="75" t="n"/>
      <c r="T269" s="75" t="n"/>
      <c r="U269" s="75" t="n"/>
      <c r="V269" s="75" t="n"/>
      <c r="W269" s="75" t="n"/>
      <c r="X269" s="75" t="n"/>
      <c r="Y269" s="75" t="n"/>
      <c r="Z269" s="75" t="n"/>
      <c r="AA269" s="75" t="n"/>
      <c r="AB269" s="75" t="n"/>
      <c r="AC269" s="75" t="n"/>
      <c r="AD269" s="75" t="n"/>
      <c r="AE269" s="75" t="n"/>
      <c r="AF269" s="75" t="n"/>
      <c r="AG269" s="75" t="n"/>
      <c r="AH269" s="75" t="n"/>
      <c r="AI269" s="75" t="n"/>
      <c r="AJ269" s="75" t="n"/>
      <c r="AK269" s="75" t="n"/>
      <c r="AL269" s="75" t="n"/>
      <c r="AM269" s="75" t="n"/>
      <c r="AN269" s="75" t="n"/>
      <c r="AO269" s="75" t="n"/>
      <c r="AP269" s="75" t="n"/>
      <c r="AQ269" s="75" t="n"/>
      <c r="AR269" s="75" t="n"/>
      <c r="AS269" s="75" t="n"/>
      <c r="AT269" s="75" t="n"/>
      <c r="AU269" s="75" t="n"/>
      <c r="AV269" s="75" t="n"/>
      <c r="AW269" s="75" t="n"/>
      <c r="AX269" s="75" t="n"/>
      <c r="AY269" s="75" t="n"/>
      <c r="AZ269" s="75" t="n"/>
      <c r="BA269" s="75" t="n"/>
      <c r="BB269" s="75" t="n"/>
      <c r="BC269" s="75" t="n"/>
      <c r="BD269" s="75" t="n"/>
      <c r="BE269" s="75" t="n"/>
      <c r="BF269" s="75" t="n"/>
      <c r="BG269" s="75" t="n"/>
      <c r="BH269" s="75" t="n"/>
      <c r="BI269" s="75" t="n"/>
      <c r="BJ269" s="75" t="n"/>
      <c r="BK269" s="75" t="n"/>
      <c r="BL269" s="75" t="n"/>
      <c r="BM269" s="75" t="n"/>
      <c r="BN269" s="75" t="n"/>
      <c r="BO269" s="75" t="n"/>
      <c r="BP269" s="75" t="n"/>
      <c r="BQ269" s="75" t="n"/>
      <c r="BR269" s="75" t="n"/>
      <c r="BS269" s="75" t="n"/>
      <c r="BT269" s="75" t="n"/>
      <c r="BU269" s="75" t="n"/>
      <c r="BV269" s="75" t="n"/>
      <c r="BW269" s="75" t="n"/>
      <c r="BX269" s="75" t="n"/>
      <c r="BY269" s="75" t="n"/>
      <c r="BZ269" s="75" t="n"/>
      <c r="CA269" s="75" t="n"/>
      <c r="CB269" s="75" t="n"/>
      <c r="CC269" s="75" t="n"/>
      <c r="CD269" s="75" t="n"/>
      <c r="CE269" s="75" t="n"/>
      <c r="CF269" s="75" t="n"/>
      <c r="CG269" s="75" t="n"/>
      <c r="CH269" s="75" t="n"/>
      <c r="CI269" s="75" t="n"/>
      <c r="CJ269" s="75" t="n"/>
      <c r="CK269" s="75" t="n"/>
      <c r="CL269" s="75" t="n"/>
      <c r="CM269" s="75" t="n"/>
      <c r="CN269" s="75" t="n"/>
      <c r="CO269" s="75" t="n"/>
      <c r="CP269" s="75" t="n"/>
      <c r="CQ269" s="75" t="n"/>
      <c r="CR269" s="75" t="n"/>
      <c r="CS269" s="75" t="n"/>
      <c r="CT269" s="75" t="n"/>
      <c r="CU269" s="75" t="n"/>
      <c r="CV269" s="75" t="n"/>
      <c r="CW269" s="75" t="n"/>
      <c r="CX269" s="75" t="n"/>
      <c r="CY269" s="75" t="n"/>
      <c r="CZ269" s="75" t="n"/>
    </row>
    <row r="270">
      <c r="B270" s="134">
        <f>IF($A269="",0,COUNT($E270:$CZ270))</f>
        <v/>
      </c>
    </row>
    <row r="271">
      <c r="A271" s="5">
        <f>IF(AS51!$C$138="","",AS51!$C$138)</f>
        <v/>
      </c>
      <c r="B271" s="134">
        <f>IF($A271="",0,COUNT($E271:$CZ271))</f>
        <v/>
      </c>
      <c r="C271" s="135">
        <f>IF($A271="",0,IF($B271=0,0,MAX($E271:$CZ271)))</f>
        <v/>
      </c>
      <c r="D271" s="74">
        <f>BDS($A271,'Field Check'!$C$42,"headers=y","startcol=2","endcol=3","dir=h")</f>
        <v/>
      </c>
      <c r="E271" s="75" t="n"/>
      <c r="F271" s="75" t="n"/>
      <c r="G271" s="75" t="n"/>
      <c r="H271" s="75" t="n"/>
      <c r="I271" s="75" t="n"/>
      <c r="J271" s="75" t="n"/>
      <c r="K271" s="75" t="n"/>
      <c r="L271" s="75" t="n"/>
      <c r="M271" s="75" t="n"/>
      <c r="N271" s="75" t="n"/>
      <c r="O271" s="75" t="n"/>
      <c r="P271" s="75" t="n"/>
      <c r="Q271" s="75" t="n"/>
      <c r="R271" s="75" t="n"/>
      <c r="S271" s="75" t="n"/>
      <c r="T271" s="75" t="n"/>
      <c r="U271" s="75" t="n"/>
      <c r="V271" s="75" t="n"/>
      <c r="W271" s="75" t="n"/>
      <c r="X271" s="75" t="n"/>
      <c r="Y271" s="75" t="n"/>
      <c r="Z271" s="75" t="n"/>
      <c r="AA271" s="75" t="n"/>
      <c r="AB271" s="75" t="n"/>
      <c r="AC271" s="75" t="n"/>
      <c r="AD271" s="75" t="n"/>
      <c r="AE271" s="75" t="n"/>
      <c r="AF271" s="75" t="n"/>
      <c r="AG271" s="75" t="n"/>
      <c r="AH271" s="75" t="n"/>
      <c r="AI271" s="75" t="n"/>
      <c r="AJ271" s="75" t="n"/>
      <c r="AK271" s="75" t="n"/>
      <c r="AL271" s="75" t="n"/>
      <c r="AM271" s="75" t="n"/>
      <c r="AN271" s="75" t="n"/>
      <c r="AO271" s="75" t="n"/>
      <c r="AP271" s="75" t="n"/>
      <c r="AQ271" s="75" t="n"/>
      <c r="AR271" s="75" t="n"/>
      <c r="AS271" s="75" t="n"/>
      <c r="AT271" s="75" t="n"/>
      <c r="AU271" s="75" t="n"/>
      <c r="AV271" s="75" t="n"/>
      <c r="AW271" s="75" t="n"/>
      <c r="AX271" s="75" t="n"/>
      <c r="AY271" s="75" t="n"/>
      <c r="AZ271" s="75" t="n"/>
      <c r="BA271" s="75" t="n"/>
      <c r="BB271" s="75" t="n"/>
      <c r="BC271" s="75" t="n"/>
      <c r="BD271" s="75" t="n"/>
      <c r="BE271" s="75" t="n"/>
      <c r="BF271" s="75" t="n"/>
      <c r="BG271" s="75" t="n"/>
      <c r="BH271" s="75" t="n"/>
      <c r="BI271" s="75" t="n"/>
      <c r="BJ271" s="75" t="n"/>
      <c r="BK271" s="75" t="n"/>
      <c r="BL271" s="75" t="n"/>
      <c r="BM271" s="75" t="n"/>
      <c r="BN271" s="75" t="n"/>
      <c r="BO271" s="75" t="n"/>
      <c r="BP271" s="75" t="n"/>
      <c r="BQ271" s="75" t="n"/>
      <c r="BR271" s="75" t="n"/>
      <c r="BS271" s="75" t="n"/>
      <c r="BT271" s="75" t="n"/>
      <c r="BU271" s="75" t="n"/>
      <c r="BV271" s="75" t="n"/>
      <c r="BW271" s="75" t="n"/>
      <c r="BX271" s="75" t="n"/>
      <c r="BY271" s="75" t="n"/>
      <c r="BZ271" s="75" t="n"/>
      <c r="CA271" s="75" t="n"/>
      <c r="CB271" s="75" t="n"/>
      <c r="CC271" s="75" t="n"/>
      <c r="CD271" s="75" t="n"/>
      <c r="CE271" s="75" t="n"/>
      <c r="CF271" s="75" t="n"/>
      <c r="CG271" s="75" t="n"/>
      <c r="CH271" s="75" t="n"/>
      <c r="CI271" s="75" t="n"/>
      <c r="CJ271" s="75" t="n"/>
      <c r="CK271" s="75" t="n"/>
      <c r="CL271" s="75" t="n"/>
      <c r="CM271" s="75" t="n"/>
      <c r="CN271" s="75" t="n"/>
      <c r="CO271" s="75" t="n"/>
      <c r="CP271" s="75" t="n"/>
      <c r="CQ271" s="75" t="n"/>
      <c r="CR271" s="75" t="n"/>
      <c r="CS271" s="75" t="n"/>
      <c r="CT271" s="75" t="n"/>
      <c r="CU271" s="75" t="n"/>
      <c r="CV271" s="75" t="n"/>
      <c r="CW271" s="75" t="n"/>
      <c r="CX271" s="75" t="n"/>
      <c r="CY271" s="75" t="n"/>
      <c r="CZ271" s="75" t="n"/>
    </row>
    <row r="272">
      <c r="B272" s="134">
        <f>IF($A271="",0,COUNT($E272:$CZ272))</f>
        <v/>
      </c>
    </row>
    <row r="273">
      <c r="A273" s="5">
        <f>IF(AS51!$C$139="","",AS51!$C$139)</f>
        <v/>
      </c>
      <c r="B273" s="134">
        <f>IF($A273="",0,COUNT($E273:$CZ273))</f>
        <v/>
      </c>
      <c r="C273" s="135">
        <f>IF($A273="",0,IF($B273=0,0,MAX($E273:$CZ273)))</f>
        <v/>
      </c>
      <c r="D273" s="74">
        <f>BDS($A273,'Field Check'!$C$42,"headers=y","startcol=2","endcol=3","dir=h")</f>
        <v/>
      </c>
      <c r="E273" s="75" t="n"/>
      <c r="F273" s="75" t="n"/>
      <c r="G273" s="75" t="n"/>
      <c r="H273" s="75" t="n"/>
      <c r="I273" s="75" t="n"/>
      <c r="J273" s="75" t="n"/>
      <c r="K273" s="75" t="n"/>
      <c r="L273" s="75" t="n"/>
      <c r="M273" s="75" t="n"/>
      <c r="N273" s="75" t="n"/>
      <c r="O273" s="75" t="n"/>
      <c r="P273" s="75" t="n"/>
      <c r="Q273" s="75" t="n"/>
      <c r="R273" s="75" t="n"/>
      <c r="S273" s="75" t="n"/>
      <c r="T273" s="75" t="n"/>
      <c r="U273" s="75" t="n"/>
      <c r="V273" s="75" t="n"/>
      <c r="W273" s="75" t="n"/>
      <c r="X273" s="75" t="n"/>
      <c r="Y273" s="75" t="n"/>
      <c r="Z273" s="75" t="n"/>
      <c r="AA273" s="75" t="n"/>
      <c r="AB273" s="75" t="n"/>
      <c r="AC273" s="75" t="n"/>
      <c r="AD273" s="75" t="n"/>
      <c r="AE273" s="75" t="n"/>
      <c r="AF273" s="75" t="n"/>
      <c r="AG273" s="75" t="n"/>
      <c r="AH273" s="75" t="n"/>
      <c r="AI273" s="75" t="n"/>
      <c r="AJ273" s="75" t="n"/>
      <c r="AK273" s="75" t="n"/>
      <c r="AL273" s="75" t="n"/>
      <c r="AM273" s="75" t="n"/>
      <c r="AN273" s="75" t="n"/>
      <c r="AO273" s="75" t="n"/>
      <c r="AP273" s="75" t="n"/>
      <c r="AQ273" s="75" t="n"/>
      <c r="AR273" s="75" t="n"/>
      <c r="AS273" s="75" t="n"/>
      <c r="AT273" s="75" t="n"/>
      <c r="AU273" s="75" t="n"/>
      <c r="AV273" s="75" t="n"/>
      <c r="AW273" s="75" t="n"/>
      <c r="AX273" s="75" t="n"/>
      <c r="AY273" s="75" t="n"/>
      <c r="AZ273" s="75" t="n"/>
      <c r="BA273" s="75" t="n"/>
      <c r="BB273" s="75" t="n"/>
      <c r="BC273" s="75" t="n"/>
      <c r="BD273" s="75" t="n"/>
      <c r="BE273" s="75" t="n"/>
      <c r="BF273" s="75" t="n"/>
      <c r="BG273" s="75" t="n"/>
      <c r="BH273" s="75" t="n"/>
      <c r="BI273" s="75" t="n"/>
      <c r="BJ273" s="75" t="n"/>
      <c r="BK273" s="75" t="n"/>
      <c r="BL273" s="75" t="n"/>
      <c r="BM273" s="75" t="n"/>
      <c r="BN273" s="75" t="n"/>
      <c r="BO273" s="75" t="n"/>
      <c r="BP273" s="75" t="n"/>
      <c r="BQ273" s="75" t="n"/>
      <c r="BR273" s="75" t="n"/>
      <c r="BS273" s="75" t="n"/>
      <c r="BT273" s="75" t="n"/>
      <c r="BU273" s="75" t="n"/>
      <c r="BV273" s="75" t="n"/>
      <c r="BW273" s="75" t="n"/>
      <c r="BX273" s="75" t="n"/>
      <c r="BY273" s="75" t="n"/>
      <c r="BZ273" s="75" t="n"/>
      <c r="CA273" s="75" t="n"/>
      <c r="CB273" s="75" t="n"/>
      <c r="CC273" s="75" t="n"/>
      <c r="CD273" s="75" t="n"/>
      <c r="CE273" s="75" t="n"/>
      <c r="CF273" s="75" t="n"/>
      <c r="CG273" s="75" t="n"/>
      <c r="CH273" s="75" t="n"/>
      <c r="CI273" s="75" t="n"/>
      <c r="CJ273" s="75" t="n"/>
      <c r="CK273" s="75" t="n"/>
      <c r="CL273" s="75" t="n"/>
      <c r="CM273" s="75" t="n"/>
      <c r="CN273" s="75" t="n"/>
      <c r="CO273" s="75" t="n"/>
      <c r="CP273" s="75" t="n"/>
      <c r="CQ273" s="75" t="n"/>
      <c r="CR273" s="75" t="n"/>
      <c r="CS273" s="75" t="n"/>
      <c r="CT273" s="75" t="n"/>
      <c r="CU273" s="75" t="n"/>
      <c r="CV273" s="75" t="n"/>
      <c r="CW273" s="75" t="n"/>
      <c r="CX273" s="75" t="n"/>
      <c r="CY273" s="75" t="n"/>
      <c r="CZ273" s="75" t="n"/>
    </row>
    <row r="274">
      <c r="B274" s="134">
        <f>IF($A273="",0,COUNT($E274:$CZ274))</f>
        <v/>
      </c>
    </row>
    <row r="275">
      <c r="A275" s="5">
        <f>IF(AS51!$C$140="","",AS51!$C$140)</f>
        <v/>
      </c>
      <c r="B275" s="134">
        <f>IF($A275="",0,COUNT($E275:$CZ275))</f>
        <v/>
      </c>
      <c r="C275" s="135">
        <f>IF($A275="",0,IF($B275=0,0,MAX($E275:$CZ275)))</f>
        <v/>
      </c>
      <c r="D275" s="74">
        <f>BDS($A275,'Field Check'!$C$42,"headers=y","startcol=2","endcol=3","dir=h")</f>
        <v/>
      </c>
      <c r="E275" s="75" t="n"/>
      <c r="F275" s="75" t="n"/>
      <c r="G275" s="75" t="n"/>
      <c r="H275" s="75" t="n"/>
      <c r="I275" s="75" t="n"/>
      <c r="J275" s="75" t="n"/>
      <c r="K275" s="75" t="n"/>
      <c r="L275" s="75" t="n"/>
      <c r="M275" s="75" t="n"/>
      <c r="N275" s="75" t="n"/>
      <c r="O275" s="75" t="n"/>
      <c r="P275" s="75" t="n"/>
      <c r="Q275" s="75" t="n"/>
      <c r="R275" s="75" t="n"/>
      <c r="S275" s="75" t="n"/>
      <c r="T275" s="75" t="n"/>
      <c r="U275" s="75" t="n"/>
      <c r="V275" s="75" t="n"/>
      <c r="W275" s="75" t="n"/>
      <c r="X275" s="75" t="n"/>
      <c r="Y275" s="75" t="n"/>
      <c r="Z275" s="75" t="n"/>
      <c r="AA275" s="75" t="n"/>
      <c r="AB275" s="75" t="n"/>
      <c r="AC275" s="75" t="n"/>
      <c r="AD275" s="75" t="n"/>
      <c r="AE275" s="75" t="n"/>
      <c r="AF275" s="75" t="n"/>
      <c r="AG275" s="75" t="n"/>
      <c r="AH275" s="75" t="n"/>
      <c r="AI275" s="75" t="n"/>
      <c r="AJ275" s="75" t="n"/>
      <c r="AK275" s="75" t="n"/>
      <c r="AL275" s="75" t="n"/>
      <c r="AM275" s="75" t="n"/>
      <c r="AN275" s="75" t="n"/>
      <c r="AO275" s="75" t="n"/>
      <c r="AP275" s="75" t="n"/>
      <c r="AQ275" s="75" t="n"/>
      <c r="AR275" s="75" t="n"/>
      <c r="AS275" s="75" t="n"/>
      <c r="AT275" s="75" t="n"/>
      <c r="AU275" s="75" t="n"/>
      <c r="AV275" s="75" t="n"/>
      <c r="AW275" s="75" t="n"/>
      <c r="AX275" s="75" t="n"/>
      <c r="AY275" s="75" t="n"/>
      <c r="AZ275" s="75" t="n"/>
      <c r="BA275" s="75" t="n"/>
      <c r="BB275" s="75" t="n"/>
      <c r="BC275" s="75" t="n"/>
      <c r="BD275" s="75" t="n"/>
      <c r="BE275" s="75" t="n"/>
      <c r="BF275" s="75" t="n"/>
      <c r="BG275" s="75" t="n"/>
      <c r="BH275" s="75" t="n"/>
      <c r="BI275" s="75" t="n"/>
      <c r="BJ275" s="75" t="n"/>
      <c r="BK275" s="75" t="n"/>
      <c r="BL275" s="75" t="n"/>
      <c r="BM275" s="75" t="n"/>
      <c r="BN275" s="75" t="n"/>
      <c r="BO275" s="75" t="n"/>
      <c r="BP275" s="75" t="n"/>
      <c r="BQ275" s="75" t="n"/>
      <c r="BR275" s="75" t="n"/>
      <c r="BS275" s="75" t="n"/>
      <c r="BT275" s="75" t="n"/>
      <c r="BU275" s="75" t="n"/>
      <c r="BV275" s="75" t="n"/>
      <c r="BW275" s="75" t="n"/>
      <c r="BX275" s="75" t="n"/>
      <c r="BY275" s="75" t="n"/>
      <c r="BZ275" s="75" t="n"/>
      <c r="CA275" s="75" t="n"/>
      <c r="CB275" s="75" t="n"/>
      <c r="CC275" s="75" t="n"/>
      <c r="CD275" s="75" t="n"/>
      <c r="CE275" s="75" t="n"/>
      <c r="CF275" s="75" t="n"/>
      <c r="CG275" s="75" t="n"/>
      <c r="CH275" s="75" t="n"/>
      <c r="CI275" s="75" t="n"/>
      <c r="CJ275" s="75" t="n"/>
      <c r="CK275" s="75" t="n"/>
      <c r="CL275" s="75" t="n"/>
      <c r="CM275" s="75" t="n"/>
      <c r="CN275" s="75" t="n"/>
      <c r="CO275" s="75" t="n"/>
      <c r="CP275" s="75" t="n"/>
      <c r="CQ275" s="75" t="n"/>
      <c r="CR275" s="75" t="n"/>
      <c r="CS275" s="75" t="n"/>
      <c r="CT275" s="75" t="n"/>
      <c r="CU275" s="75" t="n"/>
      <c r="CV275" s="75" t="n"/>
      <c r="CW275" s="75" t="n"/>
      <c r="CX275" s="75" t="n"/>
      <c r="CY275" s="75" t="n"/>
      <c r="CZ275" s="75" t="n"/>
    </row>
    <row r="276">
      <c r="B276" s="134">
        <f>IF($A275="",0,COUNT($E276:$CZ276))</f>
        <v/>
      </c>
    </row>
    <row r="277">
      <c r="A277" s="5">
        <f>IF(AS51!$C$141="","",AS51!$C$141)</f>
        <v/>
      </c>
      <c r="B277" s="134">
        <f>IF($A277="",0,COUNT($E277:$CZ277))</f>
        <v/>
      </c>
      <c r="C277" s="135">
        <f>IF($A277="",0,IF($B277=0,0,MAX($E277:$CZ277)))</f>
        <v/>
      </c>
      <c r="D277" s="74">
        <f>BDS($A277,'Field Check'!$C$42,"headers=y","startcol=2","endcol=3","dir=h")</f>
        <v/>
      </c>
      <c r="E277" s="75" t="n"/>
      <c r="F277" s="75" t="n"/>
      <c r="G277" s="75" t="n"/>
      <c r="H277" s="75" t="n"/>
      <c r="I277" s="75" t="n"/>
      <c r="J277" s="75" t="n"/>
      <c r="K277" s="75" t="n"/>
      <c r="L277" s="75" t="n"/>
      <c r="M277" s="75" t="n"/>
      <c r="N277" s="75" t="n"/>
      <c r="O277" s="75" t="n"/>
      <c r="P277" s="75" t="n"/>
      <c r="Q277" s="75" t="n"/>
      <c r="R277" s="75" t="n"/>
      <c r="S277" s="75" t="n"/>
      <c r="T277" s="75" t="n"/>
      <c r="U277" s="75" t="n"/>
      <c r="V277" s="75" t="n"/>
      <c r="W277" s="75" t="n"/>
      <c r="X277" s="75" t="n"/>
      <c r="Y277" s="75" t="n"/>
      <c r="Z277" s="75" t="n"/>
      <c r="AA277" s="75" t="n"/>
      <c r="AB277" s="75" t="n"/>
      <c r="AC277" s="75" t="n"/>
      <c r="AD277" s="75" t="n"/>
      <c r="AE277" s="75" t="n"/>
      <c r="AF277" s="75" t="n"/>
      <c r="AG277" s="75" t="n"/>
      <c r="AH277" s="75" t="n"/>
      <c r="AI277" s="75" t="n"/>
      <c r="AJ277" s="75" t="n"/>
      <c r="AK277" s="75" t="n"/>
      <c r="AL277" s="75" t="n"/>
      <c r="AM277" s="75" t="n"/>
      <c r="AN277" s="75" t="n"/>
      <c r="AO277" s="75" t="n"/>
      <c r="AP277" s="75" t="n"/>
      <c r="AQ277" s="75" t="n"/>
      <c r="AR277" s="75" t="n"/>
      <c r="AS277" s="75" t="n"/>
      <c r="AT277" s="75" t="n"/>
      <c r="AU277" s="75" t="n"/>
      <c r="AV277" s="75" t="n"/>
      <c r="AW277" s="75" t="n"/>
      <c r="AX277" s="75" t="n"/>
      <c r="AY277" s="75" t="n"/>
      <c r="AZ277" s="75" t="n"/>
      <c r="BA277" s="75" t="n"/>
      <c r="BB277" s="75" t="n"/>
      <c r="BC277" s="75" t="n"/>
      <c r="BD277" s="75" t="n"/>
      <c r="BE277" s="75" t="n"/>
      <c r="BF277" s="75" t="n"/>
      <c r="BG277" s="75" t="n"/>
      <c r="BH277" s="75" t="n"/>
      <c r="BI277" s="75" t="n"/>
      <c r="BJ277" s="75" t="n"/>
      <c r="BK277" s="75" t="n"/>
      <c r="BL277" s="75" t="n"/>
      <c r="BM277" s="75" t="n"/>
      <c r="BN277" s="75" t="n"/>
      <c r="BO277" s="75" t="n"/>
      <c r="BP277" s="75" t="n"/>
      <c r="BQ277" s="75" t="n"/>
      <c r="BR277" s="75" t="n"/>
      <c r="BS277" s="75" t="n"/>
      <c r="BT277" s="75" t="n"/>
      <c r="BU277" s="75" t="n"/>
      <c r="BV277" s="75" t="n"/>
      <c r="BW277" s="75" t="n"/>
      <c r="BX277" s="75" t="n"/>
      <c r="BY277" s="75" t="n"/>
      <c r="BZ277" s="75" t="n"/>
      <c r="CA277" s="75" t="n"/>
      <c r="CB277" s="75" t="n"/>
      <c r="CC277" s="75" t="n"/>
      <c r="CD277" s="75" t="n"/>
      <c r="CE277" s="75" t="n"/>
      <c r="CF277" s="75" t="n"/>
      <c r="CG277" s="75" t="n"/>
      <c r="CH277" s="75" t="n"/>
      <c r="CI277" s="75" t="n"/>
      <c r="CJ277" s="75" t="n"/>
      <c r="CK277" s="75" t="n"/>
      <c r="CL277" s="75" t="n"/>
      <c r="CM277" s="75" t="n"/>
      <c r="CN277" s="75" t="n"/>
      <c r="CO277" s="75" t="n"/>
      <c r="CP277" s="75" t="n"/>
      <c r="CQ277" s="75" t="n"/>
      <c r="CR277" s="75" t="n"/>
      <c r="CS277" s="75" t="n"/>
      <c r="CT277" s="75" t="n"/>
      <c r="CU277" s="75" t="n"/>
      <c r="CV277" s="75" t="n"/>
      <c r="CW277" s="75" t="n"/>
      <c r="CX277" s="75" t="n"/>
      <c r="CY277" s="75" t="n"/>
      <c r="CZ277" s="75" t="n"/>
    </row>
    <row r="278">
      <c r="B278" s="134">
        <f>IF($A277="",0,COUNT($E278:$CZ278))</f>
        <v/>
      </c>
    </row>
    <row r="279">
      <c r="A279" s="5">
        <f>IF(AS51!$C$142="","",AS51!$C$142)</f>
        <v/>
      </c>
      <c r="B279" s="134">
        <f>IF($A279="",0,COUNT($E279:$CZ279))</f>
        <v/>
      </c>
      <c r="C279" s="135">
        <f>IF($A279="",0,IF($B279=0,0,MAX($E279:$CZ279)))</f>
        <v/>
      </c>
      <c r="D279" s="74">
        <f>BDS($A279,'Field Check'!$C$42,"headers=y","startcol=2","endcol=3","dir=h")</f>
        <v/>
      </c>
      <c r="E279" s="75" t="n"/>
      <c r="F279" s="75" t="n"/>
      <c r="G279" s="75" t="n"/>
      <c r="H279" s="75" t="n"/>
      <c r="I279" s="75" t="n"/>
      <c r="J279" s="75" t="n"/>
      <c r="K279" s="75" t="n"/>
      <c r="L279" s="75" t="n"/>
      <c r="M279" s="75" t="n"/>
      <c r="N279" s="75" t="n"/>
      <c r="O279" s="75" t="n"/>
      <c r="P279" s="75" t="n"/>
      <c r="Q279" s="75" t="n"/>
      <c r="R279" s="75" t="n"/>
      <c r="S279" s="75" t="n"/>
      <c r="T279" s="75" t="n"/>
      <c r="U279" s="75" t="n"/>
      <c r="V279" s="75" t="n"/>
      <c r="W279" s="75" t="n"/>
      <c r="X279" s="75" t="n"/>
      <c r="Y279" s="75" t="n"/>
      <c r="Z279" s="75" t="n"/>
      <c r="AA279" s="75" t="n"/>
      <c r="AB279" s="75" t="n"/>
      <c r="AC279" s="75" t="n"/>
      <c r="AD279" s="75" t="n"/>
      <c r="AE279" s="75" t="n"/>
      <c r="AF279" s="75" t="n"/>
      <c r="AG279" s="75" t="n"/>
      <c r="AH279" s="75" t="n"/>
      <c r="AI279" s="75" t="n"/>
      <c r="AJ279" s="75" t="n"/>
      <c r="AK279" s="75" t="n"/>
      <c r="AL279" s="75" t="n"/>
      <c r="AM279" s="75" t="n"/>
      <c r="AN279" s="75" t="n"/>
      <c r="AO279" s="75" t="n"/>
      <c r="AP279" s="75" t="n"/>
      <c r="AQ279" s="75" t="n"/>
      <c r="AR279" s="75" t="n"/>
      <c r="AS279" s="75" t="n"/>
      <c r="AT279" s="75" t="n"/>
      <c r="AU279" s="75" t="n"/>
      <c r="AV279" s="75" t="n"/>
      <c r="AW279" s="75" t="n"/>
      <c r="AX279" s="75" t="n"/>
      <c r="AY279" s="75" t="n"/>
      <c r="AZ279" s="75" t="n"/>
      <c r="BA279" s="75" t="n"/>
      <c r="BB279" s="75" t="n"/>
      <c r="BC279" s="75" t="n"/>
      <c r="BD279" s="75" t="n"/>
      <c r="BE279" s="75" t="n"/>
      <c r="BF279" s="75" t="n"/>
      <c r="BG279" s="75" t="n"/>
      <c r="BH279" s="75" t="n"/>
      <c r="BI279" s="75" t="n"/>
      <c r="BJ279" s="75" t="n"/>
      <c r="BK279" s="75" t="n"/>
      <c r="BL279" s="75" t="n"/>
      <c r="BM279" s="75" t="n"/>
      <c r="BN279" s="75" t="n"/>
      <c r="BO279" s="75" t="n"/>
      <c r="BP279" s="75" t="n"/>
      <c r="BQ279" s="75" t="n"/>
      <c r="BR279" s="75" t="n"/>
      <c r="BS279" s="75" t="n"/>
      <c r="BT279" s="75" t="n"/>
      <c r="BU279" s="75" t="n"/>
      <c r="BV279" s="75" t="n"/>
      <c r="BW279" s="75" t="n"/>
      <c r="BX279" s="75" t="n"/>
      <c r="BY279" s="75" t="n"/>
      <c r="BZ279" s="75" t="n"/>
      <c r="CA279" s="75" t="n"/>
      <c r="CB279" s="75" t="n"/>
      <c r="CC279" s="75" t="n"/>
      <c r="CD279" s="75" t="n"/>
      <c r="CE279" s="75" t="n"/>
      <c r="CF279" s="75" t="n"/>
      <c r="CG279" s="75" t="n"/>
      <c r="CH279" s="75" t="n"/>
      <c r="CI279" s="75" t="n"/>
      <c r="CJ279" s="75" t="n"/>
      <c r="CK279" s="75" t="n"/>
      <c r="CL279" s="75" t="n"/>
      <c r="CM279" s="75" t="n"/>
      <c r="CN279" s="75" t="n"/>
      <c r="CO279" s="75" t="n"/>
      <c r="CP279" s="75" t="n"/>
      <c r="CQ279" s="75" t="n"/>
      <c r="CR279" s="75" t="n"/>
      <c r="CS279" s="75" t="n"/>
      <c r="CT279" s="75" t="n"/>
      <c r="CU279" s="75" t="n"/>
      <c r="CV279" s="75" t="n"/>
      <c r="CW279" s="75" t="n"/>
      <c r="CX279" s="75" t="n"/>
      <c r="CY279" s="75" t="n"/>
      <c r="CZ279" s="75" t="n"/>
    </row>
    <row r="280">
      <c r="B280" s="134">
        <f>IF($A279="",0,COUNT($E280:$CZ280))</f>
        <v/>
      </c>
    </row>
    <row r="281">
      <c r="A281" s="5">
        <f>IF(AS51!$C$143="","",AS51!$C$143)</f>
        <v/>
      </c>
      <c r="B281" s="134">
        <f>IF($A281="",0,COUNT($E281:$CZ281))</f>
        <v/>
      </c>
      <c r="C281" s="135">
        <f>IF($A281="",0,IF($B281=0,0,MAX($E281:$CZ281)))</f>
        <v/>
      </c>
      <c r="D281" s="74">
        <f>BDS($A281,'Field Check'!$C$42,"headers=y","startcol=2","endcol=3","dir=h")</f>
        <v/>
      </c>
      <c r="E281" s="75" t="n"/>
      <c r="F281" s="75" t="n"/>
      <c r="G281" s="75" t="n"/>
      <c r="H281" s="75" t="n"/>
      <c r="I281" s="75" t="n"/>
      <c r="J281" s="75" t="n"/>
      <c r="K281" s="75" t="n"/>
      <c r="L281" s="75" t="n"/>
      <c r="M281" s="75" t="n"/>
      <c r="N281" s="75" t="n"/>
      <c r="O281" s="75" t="n"/>
      <c r="P281" s="75" t="n"/>
      <c r="Q281" s="75" t="n"/>
      <c r="R281" s="75" t="n"/>
      <c r="S281" s="75" t="n"/>
      <c r="T281" s="75" t="n"/>
      <c r="U281" s="75" t="n"/>
      <c r="V281" s="75" t="n"/>
      <c r="W281" s="75" t="n"/>
      <c r="X281" s="75" t="n"/>
      <c r="Y281" s="75" t="n"/>
      <c r="Z281" s="75" t="n"/>
      <c r="AA281" s="75" t="n"/>
      <c r="AB281" s="75" t="n"/>
      <c r="AC281" s="75" t="n"/>
      <c r="AD281" s="75" t="n"/>
      <c r="AE281" s="75" t="n"/>
      <c r="AF281" s="75" t="n"/>
      <c r="AG281" s="75" t="n"/>
      <c r="AH281" s="75" t="n"/>
      <c r="AI281" s="75" t="n"/>
      <c r="AJ281" s="75" t="n"/>
      <c r="AK281" s="75" t="n"/>
      <c r="AL281" s="75" t="n"/>
      <c r="AM281" s="75" t="n"/>
      <c r="AN281" s="75" t="n"/>
      <c r="AO281" s="75" t="n"/>
      <c r="AP281" s="75" t="n"/>
      <c r="AQ281" s="75" t="n"/>
      <c r="AR281" s="75" t="n"/>
      <c r="AS281" s="75" t="n"/>
      <c r="AT281" s="75" t="n"/>
      <c r="AU281" s="75" t="n"/>
      <c r="AV281" s="75" t="n"/>
      <c r="AW281" s="75" t="n"/>
      <c r="AX281" s="75" t="n"/>
      <c r="AY281" s="75" t="n"/>
      <c r="AZ281" s="75" t="n"/>
      <c r="BA281" s="75" t="n"/>
      <c r="BB281" s="75" t="n"/>
      <c r="BC281" s="75" t="n"/>
      <c r="BD281" s="75" t="n"/>
      <c r="BE281" s="75" t="n"/>
      <c r="BF281" s="75" t="n"/>
      <c r="BG281" s="75" t="n"/>
      <c r="BH281" s="75" t="n"/>
      <c r="BI281" s="75" t="n"/>
      <c r="BJ281" s="75" t="n"/>
      <c r="BK281" s="75" t="n"/>
      <c r="BL281" s="75" t="n"/>
      <c r="BM281" s="75" t="n"/>
      <c r="BN281" s="75" t="n"/>
      <c r="BO281" s="75" t="n"/>
      <c r="BP281" s="75" t="n"/>
      <c r="BQ281" s="75" t="n"/>
      <c r="BR281" s="75" t="n"/>
      <c r="BS281" s="75" t="n"/>
      <c r="BT281" s="75" t="n"/>
      <c r="BU281" s="75" t="n"/>
      <c r="BV281" s="75" t="n"/>
      <c r="BW281" s="75" t="n"/>
      <c r="BX281" s="75" t="n"/>
      <c r="BY281" s="75" t="n"/>
      <c r="BZ281" s="75" t="n"/>
      <c r="CA281" s="75" t="n"/>
      <c r="CB281" s="75" t="n"/>
      <c r="CC281" s="75" t="n"/>
      <c r="CD281" s="75" t="n"/>
      <c r="CE281" s="75" t="n"/>
      <c r="CF281" s="75" t="n"/>
      <c r="CG281" s="75" t="n"/>
      <c r="CH281" s="75" t="n"/>
      <c r="CI281" s="75" t="n"/>
      <c r="CJ281" s="75" t="n"/>
      <c r="CK281" s="75" t="n"/>
      <c r="CL281" s="75" t="n"/>
      <c r="CM281" s="75" t="n"/>
      <c r="CN281" s="75" t="n"/>
      <c r="CO281" s="75" t="n"/>
      <c r="CP281" s="75" t="n"/>
      <c r="CQ281" s="75" t="n"/>
      <c r="CR281" s="75" t="n"/>
      <c r="CS281" s="75" t="n"/>
      <c r="CT281" s="75" t="n"/>
      <c r="CU281" s="75" t="n"/>
      <c r="CV281" s="75" t="n"/>
      <c r="CW281" s="75" t="n"/>
      <c r="CX281" s="75" t="n"/>
      <c r="CY281" s="75" t="n"/>
      <c r="CZ281" s="75" t="n"/>
    </row>
    <row r="282">
      <c r="B282" s="134">
        <f>IF($A281="",0,COUNT($E282:$CZ282))</f>
        <v/>
      </c>
    </row>
    <row r="283">
      <c r="A283" s="5">
        <f>IF(AS51!$C$144="","",AS51!$C$144)</f>
        <v/>
      </c>
      <c r="B283" s="134">
        <f>IF($A283="",0,COUNT($E283:$CZ283))</f>
        <v/>
      </c>
      <c r="C283" s="135">
        <f>IF($A283="",0,IF($B283=0,0,MAX($E283:$CZ283)))</f>
        <v/>
      </c>
      <c r="D283" s="74">
        <f>BDS($A283,'Field Check'!$C$42,"headers=y","startcol=2","endcol=3","dir=h")</f>
        <v/>
      </c>
      <c r="E283" s="75" t="n"/>
      <c r="F283" s="75" t="n"/>
      <c r="G283" s="75" t="n"/>
      <c r="H283" s="75" t="n"/>
      <c r="I283" s="75" t="n"/>
      <c r="J283" s="75" t="n"/>
      <c r="K283" s="75" t="n"/>
      <c r="L283" s="75" t="n"/>
      <c r="M283" s="75" t="n"/>
      <c r="N283" s="75" t="n"/>
      <c r="O283" s="75" t="n"/>
      <c r="P283" s="75" t="n"/>
      <c r="Q283" s="75" t="n"/>
      <c r="R283" s="75" t="n"/>
      <c r="S283" s="75" t="n"/>
      <c r="T283" s="75" t="n"/>
      <c r="U283" s="75" t="n"/>
      <c r="V283" s="75" t="n"/>
      <c r="W283" s="75" t="n"/>
      <c r="X283" s="75" t="n"/>
      <c r="Y283" s="75" t="n"/>
      <c r="Z283" s="75" t="n"/>
      <c r="AA283" s="75" t="n"/>
      <c r="AB283" s="75" t="n"/>
      <c r="AC283" s="75" t="n"/>
      <c r="AD283" s="75" t="n"/>
      <c r="AE283" s="75" t="n"/>
      <c r="AF283" s="75" t="n"/>
      <c r="AG283" s="75" t="n"/>
      <c r="AH283" s="75" t="n"/>
      <c r="AI283" s="75" t="n"/>
      <c r="AJ283" s="75" t="n"/>
      <c r="AK283" s="75" t="n"/>
      <c r="AL283" s="75" t="n"/>
      <c r="AM283" s="75" t="n"/>
      <c r="AN283" s="75" t="n"/>
      <c r="AO283" s="75" t="n"/>
      <c r="AP283" s="75" t="n"/>
      <c r="AQ283" s="75" t="n"/>
      <c r="AR283" s="75" t="n"/>
      <c r="AS283" s="75" t="n"/>
      <c r="AT283" s="75" t="n"/>
      <c r="AU283" s="75" t="n"/>
      <c r="AV283" s="75" t="n"/>
      <c r="AW283" s="75" t="n"/>
      <c r="AX283" s="75" t="n"/>
      <c r="AY283" s="75" t="n"/>
      <c r="AZ283" s="75" t="n"/>
      <c r="BA283" s="75" t="n"/>
      <c r="BB283" s="75" t="n"/>
      <c r="BC283" s="75" t="n"/>
      <c r="BD283" s="75" t="n"/>
      <c r="BE283" s="75" t="n"/>
      <c r="BF283" s="75" t="n"/>
      <c r="BG283" s="75" t="n"/>
      <c r="BH283" s="75" t="n"/>
      <c r="BI283" s="75" t="n"/>
      <c r="BJ283" s="75" t="n"/>
      <c r="BK283" s="75" t="n"/>
      <c r="BL283" s="75" t="n"/>
      <c r="BM283" s="75" t="n"/>
      <c r="BN283" s="75" t="n"/>
      <c r="BO283" s="75" t="n"/>
      <c r="BP283" s="75" t="n"/>
      <c r="BQ283" s="75" t="n"/>
      <c r="BR283" s="75" t="n"/>
      <c r="BS283" s="75" t="n"/>
      <c r="BT283" s="75" t="n"/>
      <c r="BU283" s="75" t="n"/>
      <c r="BV283" s="75" t="n"/>
      <c r="BW283" s="75" t="n"/>
      <c r="BX283" s="75" t="n"/>
      <c r="BY283" s="75" t="n"/>
      <c r="BZ283" s="75" t="n"/>
      <c r="CA283" s="75" t="n"/>
      <c r="CB283" s="75" t="n"/>
      <c r="CC283" s="75" t="n"/>
      <c r="CD283" s="75" t="n"/>
      <c r="CE283" s="75" t="n"/>
      <c r="CF283" s="75" t="n"/>
      <c r="CG283" s="75" t="n"/>
      <c r="CH283" s="75" t="n"/>
      <c r="CI283" s="75" t="n"/>
      <c r="CJ283" s="75" t="n"/>
      <c r="CK283" s="75" t="n"/>
      <c r="CL283" s="75" t="n"/>
      <c r="CM283" s="75" t="n"/>
      <c r="CN283" s="75" t="n"/>
      <c r="CO283" s="75" t="n"/>
      <c r="CP283" s="75" t="n"/>
      <c r="CQ283" s="75" t="n"/>
      <c r="CR283" s="75" t="n"/>
      <c r="CS283" s="75" t="n"/>
      <c r="CT283" s="75" t="n"/>
      <c r="CU283" s="75" t="n"/>
      <c r="CV283" s="75" t="n"/>
      <c r="CW283" s="75" t="n"/>
      <c r="CX283" s="75" t="n"/>
      <c r="CY283" s="75" t="n"/>
      <c r="CZ283" s="75" t="n"/>
    </row>
    <row r="284">
      <c r="B284" s="134">
        <f>IF($A283="",0,COUNT($E284:$CZ284))</f>
        <v/>
      </c>
    </row>
    <row r="285">
      <c r="A285" s="5">
        <f>IF(AS51!$C$145="","",AS51!$C$145)</f>
        <v/>
      </c>
      <c r="B285" s="134">
        <f>IF($A285="",0,COUNT($E285:$CZ285))</f>
        <v/>
      </c>
      <c r="C285" s="135">
        <f>IF($A285="",0,IF($B285=0,0,MAX($E285:$CZ285)))</f>
        <v/>
      </c>
      <c r="D285" s="74">
        <f>BDS($A285,'Field Check'!$C$42,"headers=y","startcol=2","endcol=3","dir=h")</f>
        <v/>
      </c>
      <c r="E285" s="75" t="n"/>
      <c r="F285" s="75" t="n"/>
      <c r="G285" s="75" t="n"/>
      <c r="H285" s="75" t="n"/>
      <c r="I285" s="75" t="n"/>
      <c r="J285" s="75" t="n"/>
      <c r="K285" s="75" t="n"/>
      <c r="L285" s="75" t="n"/>
      <c r="M285" s="75" t="n"/>
      <c r="N285" s="75" t="n"/>
      <c r="O285" s="75" t="n"/>
      <c r="P285" s="75" t="n"/>
      <c r="Q285" s="75" t="n"/>
      <c r="R285" s="75" t="n"/>
      <c r="S285" s="75" t="n"/>
      <c r="T285" s="75" t="n"/>
      <c r="U285" s="75" t="n"/>
      <c r="V285" s="75" t="n"/>
      <c r="W285" s="75" t="n"/>
      <c r="X285" s="75" t="n"/>
      <c r="Y285" s="75" t="n"/>
      <c r="Z285" s="75" t="n"/>
      <c r="AA285" s="75" t="n"/>
      <c r="AB285" s="75" t="n"/>
      <c r="AC285" s="75" t="n"/>
      <c r="AD285" s="75" t="n"/>
      <c r="AE285" s="75" t="n"/>
      <c r="AF285" s="75" t="n"/>
      <c r="AG285" s="75" t="n"/>
      <c r="AH285" s="75" t="n"/>
      <c r="AI285" s="75" t="n"/>
      <c r="AJ285" s="75" t="n"/>
      <c r="AK285" s="75" t="n"/>
      <c r="AL285" s="75" t="n"/>
      <c r="AM285" s="75" t="n"/>
      <c r="AN285" s="75" t="n"/>
      <c r="AO285" s="75" t="n"/>
      <c r="AP285" s="75" t="n"/>
      <c r="AQ285" s="75" t="n"/>
      <c r="AR285" s="75" t="n"/>
      <c r="AS285" s="75" t="n"/>
      <c r="AT285" s="75" t="n"/>
      <c r="AU285" s="75" t="n"/>
      <c r="AV285" s="75" t="n"/>
      <c r="AW285" s="75" t="n"/>
      <c r="AX285" s="75" t="n"/>
      <c r="AY285" s="75" t="n"/>
      <c r="AZ285" s="75" t="n"/>
      <c r="BA285" s="75" t="n"/>
      <c r="BB285" s="75" t="n"/>
      <c r="BC285" s="75" t="n"/>
      <c r="BD285" s="75" t="n"/>
      <c r="BE285" s="75" t="n"/>
      <c r="BF285" s="75" t="n"/>
      <c r="BG285" s="75" t="n"/>
      <c r="BH285" s="75" t="n"/>
      <c r="BI285" s="75" t="n"/>
      <c r="BJ285" s="75" t="n"/>
      <c r="BK285" s="75" t="n"/>
      <c r="BL285" s="75" t="n"/>
      <c r="BM285" s="75" t="n"/>
      <c r="BN285" s="75" t="n"/>
      <c r="BO285" s="75" t="n"/>
      <c r="BP285" s="75" t="n"/>
      <c r="BQ285" s="75" t="n"/>
      <c r="BR285" s="75" t="n"/>
      <c r="BS285" s="75" t="n"/>
      <c r="BT285" s="75" t="n"/>
      <c r="BU285" s="75" t="n"/>
      <c r="BV285" s="75" t="n"/>
      <c r="BW285" s="75" t="n"/>
      <c r="BX285" s="75" t="n"/>
      <c r="BY285" s="75" t="n"/>
      <c r="BZ285" s="75" t="n"/>
      <c r="CA285" s="75" t="n"/>
      <c r="CB285" s="75" t="n"/>
      <c r="CC285" s="75" t="n"/>
      <c r="CD285" s="75" t="n"/>
      <c r="CE285" s="75" t="n"/>
      <c r="CF285" s="75" t="n"/>
      <c r="CG285" s="75" t="n"/>
      <c r="CH285" s="75" t="n"/>
      <c r="CI285" s="75" t="n"/>
      <c r="CJ285" s="75" t="n"/>
      <c r="CK285" s="75" t="n"/>
      <c r="CL285" s="75" t="n"/>
      <c r="CM285" s="75" t="n"/>
      <c r="CN285" s="75" t="n"/>
      <c r="CO285" s="75" t="n"/>
      <c r="CP285" s="75" t="n"/>
      <c r="CQ285" s="75" t="n"/>
      <c r="CR285" s="75" t="n"/>
      <c r="CS285" s="75" t="n"/>
      <c r="CT285" s="75" t="n"/>
      <c r="CU285" s="75" t="n"/>
      <c r="CV285" s="75" t="n"/>
      <c r="CW285" s="75" t="n"/>
      <c r="CX285" s="75" t="n"/>
      <c r="CY285" s="75" t="n"/>
      <c r="CZ285" s="75" t="n"/>
    </row>
    <row r="286">
      <c r="B286" s="134">
        <f>IF($A285="",0,COUNT($E286:$CZ286))</f>
        <v/>
      </c>
    </row>
    <row r="287">
      <c r="A287" s="5">
        <f>IF(AS51!$C$146="","",AS51!$C$146)</f>
        <v/>
      </c>
      <c r="B287" s="134">
        <f>IF($A287="",0,COUNT($E287:$CZ287))</f>
        <v/>
      </c>
      <c r="C287" s="135">
        <f>IF($A287="",0,IF($B287=0,0,MAX($E287:$CZ287)))</f>
        <v/>
      </c>
      <c r="D287" s="74">
        <f>BDS($A287,'Field Check'!$C$42,"headers=y","startcol=2","endcol=3","dir=h")</f>
        <v/>
      </c>
      <c r="E287" s="75" t="n"/>
      <c r="F287" s="75" t="n"/>
      <c r="G287" s="75" t="n"/>
      <c r="H287" s="75" t="n"/>
      <c r="I287" s="75" t="n"/>
      <c r="J287" s="75" t="n"/>
      <c r="K287" s="75" t="n"/>
      <c r="L287" s="75" t="n"/>
      <c r="M287" s="75" t="n"/>
      <c r="N287" s="75" t="n"/>
      <c r="O287" s="75" t="n"/>
      <c r="P287" s="75" t="n"/>
      <c r="Q287" s="75" t="n"/>
      <c r="R287" s="75" t="n"/>
      <c r="S287" s="75" t="n"/>
      <c r="T287" s="75" t="n"/>
      <c r="U287" s="75" t="n"/>
      <c r="V287" s="75" t="n"/>
      <c r="W287" s="75" t="n"/>
      <c r="X287" s="75" t="n"/>
      <c r="Y287" s="75" t="n"/>
      <c r="Z287" s="75" t="n"/>
      <c r="AA287" s="75" t="n"/>
      <c r="AB287" s="75" t="n"/>
      <c r="AC287" s="75" t="n"/>
      <c r="AD287" s="75" t="n"/>
      <c r="AE287" s="75" t="n"/>
      <c r="AF287" s="75" t="n"/>
      <c r="AG287" s="75" t="n"/>
      <c r="AH287" s="75" t="n"/>
      <c r="AI287" s="75" t="n"/>
      <c r="AJ287" s="75" t="n"/>
      <c r="AK287" s="75" t="n"/>
      <c r="AL287" s="75" t="n"/>
      <c r="AM287" s="75" t="n"/>
      <c r="AN287" s="75" t="n"/>
      <c r="AO287" s="75" t="n"/>
      <c r="AP287" s="75" t="n"/>
      <c r="AQ287" s="75" t="n"/>
      <c r="AR287" s="75" t="n"/>
      <c r="AS287" s="75" t="n"/>
      <c r="AT287" s="75" t="n"/>
      <c r="AU287" s="75" t="n"/>
      <c r="AV287" s="75" t="n"/>
      <c r="AW287" s="75" t="n"/>
      <c r="AX287" s="75" t="n"/>
      <c r="AY287" s="75" t="n"/>
      <c r="AZ287" s="75" t="n"/>
      <c r="BA287" s="75" t="n"/>
      <c r="BB287" s="75" t="n"/>
      <c r="BC287" s="75" t="n"/>
      <c r="BD287" s="75" t="n"/>
      <c r="BE287" s="75" t="n"/>
      <c r="BF287" s="75" t="n"/>
      <c r="BG287" s="75" t="n"/>
      <c r="BH287" s="75" t="n"/>
      <c r="BI287" s="75" t="n"/>
      <c r="BJ287" s="75" t="n"/>
      <c r="BK287" s="75" t="n"/>
      <c r="BL287" s="75" t="n"/>
      <c r="BM287" s="75" t="n"/>
      <c r="BN287" s="75" t="n"/>
      <c r="BO287" s="75" t="n"/>
      <c r="BP287" s="75" t="n"/>
      <c r="BQ287" s="75" t="n"/>
      <c r="BR287" s="75" t="n"/>
      <c r="BS287" s="75" t="n"/>
      <c r="BT287" s="75" t="n"/>
      <c r="BU287" s="75" t="n"/>
      <c r="BV287" s="75" t="n"/>
      <c r="BW287" s="75" t="n"/>
      <c r="BX287" s="75" t="n"/>
      <c r="BY287" s="75" t="n"/>
      <c r="BZ287" s="75" t="n"/>
      <c r="CA287" s="75" t="n"/>
      <c r="CB287" s="75" t="n"/>
      <c r="CC287" s="75" t="n"/>
      <c r="CD287" s="75" t="n"/>
      <c r="CE287" s="75" t="n"/>
      <c r="CF287" s="75" t="n"/>
      <c r="CG287" s="75" t="n"/>
      <c r="CH287" s="75" t="n"/>
      <c r="CI287" s="75" t="n"/>
      <c r="CJ287" s="75" t="n"/>
      <c r="CK287" s="75" t="n"/>
      <c r="CL287" s="75" t="n"/>
      <c r="CM287" s="75" t="n"/>
      <c r="CN287" s="75" t="n"/>
      <c r="CO287" s="75" t="n"/>
      <c r="CP287" s="75" t="n"/>
      <c r="CQ287" s="75" t="n"/>
      <c r="CR287" s="75" t="n"/>
      <c r="CS287" s="75" t="n"/>
      <c r="CT287" s="75" t="n"/>
      <c r="CU287" s="75" t="n"/>
      <c r="CV287" s="75" t="n"/>
      <c r="CW287" s="75" t="n"/>
      <c r="CX287" s="75" t="n"/>
      <c r="CY287" s="75" t="n"/>
      <c r="CZ287" s="75" t="n"/>
    </row>
    <row r="288">
      <c r="B288" s="134">
        <f>IF($A287="",0,COUNT($E288:$CZ288))</f>
        <v/>
      </c>
    </row>
    <row r="289">
      <c r="A289" s="5">
        <f>IF(AS51!$C$147="","",AS51!$C$147)</f>
        <v/>
      </c>
      <c r="B289" s="134">
        <f>IF($A289="",0,COUNT($E289:$CZ289))</f>
        <v/>
      </c>
      <c r="C289" s="135">
        <f>IF($A289="",0,IF($B289=0,0,MAX($E289:$CZ289)))</f>
        <v/>
      </c>
      <c r="D289" s="74">
        <f>BDS($A289,'Field Check'!$C$42,"headers=y","startcol=2","endcol=3","dir=h")</f>
        <v/>
      </c>
      <c r="E289" s="75" t="n"/>
      <c r="F289" s="75" t="n"/>
      <c r="G289" s="75" t="n"/>
      <c r="H289" s="75" t="n"/>
      <c r="I289" s="75" t="n"/>
      <c r="J289" s="75" t="n"/>
      <c r="K289" s="75" t="n"/>
      <c r="L289" s="75" t="n"/>
      <c r="M289" s="75" t="n"/>
      <c r="N289" s="75" t="n"/>
      <c r="O289" s="75" t="n"/>
      <c r="P289" s="75" t="n"/>
      <c r="Q289" s="75" t="n"/>
      <c r="R289" s="75" t="n"/>
      <c r="S289" s="75" t="n"/>
      <c r="T289" s="75" t="n"/>
      <c r="U289" s="75" t="n"/>
      <c r="V289" s="75" t="n"/>
      <c r="W289" s="75" t="n"/>
      <c r="X289" s="75" t="n"/>
      <c r="Y289" s="75" t="n"/>
      <c r="Z289" s="75" t="n"/>
      <c r="AA289" s="75" t="n"/>
      <c r="AB289" s="75" t="n"/>
      <c r="AC289" s="75" t="n"/>
      <c r="AD289" s="75" t="n"/>
      <c r="AE289" s="75" t="n"/>
      <c r="AF289" s="75" t="n"/>
      <c r="AG289" s="75" t="n"/>
      <c r="AH289" s="75" t="n"/>
      <c r="AI289" s="75" t="n"/>
      <c r="AJ289" s="75" t="n"/>
      <c r="AK289" s="75" t="n"/>
      <c r="AL289" s="75" t="n"/>
      <c r="AM289" s="75" t="n"/>
      <c r="AN289" s="75" t="n"/>
      <c r="AO289" s="75" t="n"/>
      <c r="AP289" s="75" t="n"/>
      <c r="AQ289" s="75" t="n"/>
      <c r="AR289" s="75" t="n"/>
      <c r="AS289" s="75" t="n"/>
      <c r="AT289" s="75" t="n"/>
      <c r="AU289" s="75" t="n"/>
      <c r="AV289" s="75" t="n"/>
      <c r="AW289" s="75" t="n"/>
      <c r="AX289" s="75" t="n"/>
      <c r="AY289" s="75" t="n"/>
      <c r="AZ289" s="75" t="n"/>
      <c r="BA289" s="75" t="n"/>
      <c r="BB289" s="75" t="n"/>
      <c r="BC289" s="75" t="n"/>
      <c r="BD289" s="75" t="n"/>
      <c r="BE289" s="75" t="n"/>
      <c r="BF289" s="75" t="n"/>
      <c r="BG289" s="75" t="n"/>
      <c r="BH289" s="75" t="n"/>
      <c r="BI289" s="75" t="n"/>
      <c r="BJ289" s="75" t="n"/>
      <c r="BK289" s="75" t="n"/>
      <c r="BL289" s="75" t="n"/>
      <c r="BM289" s="75" t="n"/>
      <c r="BN289" s="75" t="n"/>
      <c r="BO289" s="75" t="n"/>
      <c r="BP289" s="75" t="n"/>
      <c r="BQ289" s="75" t="n"/>
      <c r="BR289" s="75" t="n"/>
      <c r="BS289" s="75" t="n"/>
      <c r="BT289" s="75" t="n"/>
      <c r="BU289" s="75" t="n"/>
      <c r="BV289" s="75" t="n"/>
      <c r="BW289" s="75" t="n"/>
      <c r="BX289" s="75" t="n"/>
      <c r="BY289" s="75" t="n"/>
      <c r="BZ289" s="75" t="n"/>
      <c r="CA289" s="75" t="n"/>
      <c r="CB289" s="75" t="n"/>
      <c r="CC289" s="75" t="n"/>
      <c r="CD289" s="75" t="n"/>
      <c r="CE289" s="75" t="n"/>
      <c r="CF289" s="75" t="n"/>
      <c r="CG289" s="75" t="n"/>
      <c r="CH289" s="75" t="n"/>
      <c r="CI289" s="75" t="n"/>
      <c r="CJ289" s="75" t="n"/>
      <c r="CK289" s="75" t="n"/>
      <c r="CL289" s="75" t="n"/>
      <c r="CM289" s="75" t="n"/>
      <c r="CN289" s="75" t="n"/>
      <c r="CO289" s="75" t="n"/>
      <c r="CP289" s="75" t="n"/>
      <c r="CQ289" s="75" t="n"/>
      <c r="CR289" s="75" t="n"/>
      <c r="CS289" s="75" t="n"/>
      <c r="CT289" s="75" t="n"/>
      <c r="CU289" s="75" t="n"/>
      <c r="CV289" s="75" t="n"/>
      <c r="CW289" s="75" t="n"/>
      <c r="CX289" s="75" t="n"/>
      <c r="CY289" s="75" t="n"/>
      <c r="CZ289" s="75" t="n"/>
    </row>
    <row r="290">
      <c r="B290" s="134">
        <f>IF($A289="",0,COUNT($E290:$CZ290))</f>
        <v/>
      </c>
    </row>
    <row r="291">
      <c r="A291" s="5">
        <f>IF(AS51!$C$148="","",AS51!$C$148)</f>
        <v/>
      </c>
      <c r="B291" s="134">
        <f>IF($A291="",0,COUNT($E291:$CZ291))</f>
        <v/>
      </c>
      <c r="C291" s="135">
        <f>IF($A291="",0,IF($B291=0,0,MAX($E291:$CZ291)))</f>
        <v/>
      </c>
      <c r="D291" s="74">
        <f>BDS($A291,'Field Check'!$C$42,"headers=y","startcol=2","endcol=3","dir=h")</f>
        <v/>
      </c>
      <c r="E291" s="75" t="n"/>
      <c r="F291" s="75" t="n"/>
      <c r="G291" s="75" t="n"/>
      <c r="H291" s="75" t="n"/>
      <c r="I291" s="75" t="n"/>
      <c r="J291" s="75" t="n"/>
      <c r="K291" s="75" t="n"/>
      <c r="L291" s="75" t="n"/>
      <c r="M291" s="75" t="n"/>
      <c r="N291" s="75" t="n"/>
      <c r="O291" s="75" t="n"/>
      <c r="P291" s="75" t="n"/>
      <c r="Q291" s="75" t="n"/>
      <c r="R291" s="75" t="n"/>
      <c r="S291" s="75" t="n"/>
      <c r="T291" s="75" t="n"/>
      <c r="U291" s="75" t="n"/>
      <c r="V291" s="75" t="n"/>
      <c r="W291" s="75" t="n"/>
      <c r="X291" s="75" t="n"/>
      <c r="Y291" s="75" t="n"/>
      <c r="Z291" s="75" t="n"/>
      <c r="AA291" s="75" t="n"/>
      <c r="AB291" s="75" t="n"/>
      <c r="AC291" s="75" t="n"/>
      <c r="AD291" s="75" t="n"/>
      <c r="AE291" s="75" t="n"/>
      <c r="AF291" s="75" t="n"/>
      <c r="AG291" s="75" t="n"/>
      <c r="AH291" s="75" t="n"/>
      <c r="AI291" s="75" t="n"/>
      <c r="AJ291" s="75" t="n"/>
      <c r="AK291" s="75" t="n"/>
      <c r="AL291" s="75" t="n"/>
      <c r="AM291" s="75" t="n"/>
      <c r="AN291" s="75" t="n"/>
      <c r="AO291" s="75" t="n"/>
      <c r="AP291" s="75" t="n"/>
      <c r="AQ291" s="75" t="n"/>
      <c r="AR291" s="75" t="n"/>
      <c r="AS291" s="75" t="n"/>
      <c r="AT291" s="75" t="n"/>
      <c r="AU291" s="75" t="n"/>
      <c r="AV291" s="75" t="n"/>
      <c r="AW291" s="75" t="n"/>
      <c r="AX291" s="75" t="n"/>
      <c r="AY291" s="75" t="n"/>
      <c r="AZ291" s="75" t="n"/>
      <c r="BA291" s="75" t="n"/>
      <c r="BB291" s="75" t="n"/>
      <c r="BC291" s="75" t="n"/>
      <c r="BD291" s="75" t="n"/>
      <c r="BE291" s="75" t="n"/>
      <c r="BF291" s="75" t="n"/>
      <c r="BG291" s="75" t="n"/>
      <c r="BH291" s="75" t="n"/>
      <c r="BI291" s="75" t="n"/>
      <c r="BJ291" s="75" t="n"/>
      <c r="BK291" s="75" t="n"/>
      <c r="BL291" s="75" t="n"/>
      <c r="BM291" s="75" t="n"/>
      <c r="BN291" s="75" t="n"/>
      <c r="BO291" s="75" t="n"/>
      <c r="BP291" s="75" t="n"/>
      <c r="BQ291" s="75" t="n"/>
      <c r="BR291" s="75" t="n"/>
      <c r="BS291" s="75" t="n"/>
      <c r="BT291" s="75" t="n"/>
      <c r="BU291" s="75" t="n"/>
      <c r="BV291" s="75" t="n"/>
      <c r="BW291" s="75" t="n"/>
      <c r="BX291" s="75" t="n"/>
      <c r="BY291" s="75" t="n"/>
      <c r="BZ291" s="75" t="n"/>
      <c r="CA291" s="75" t="n"/>
      <c r="CB291" s="75" t="n"/>
      <c r="CC291" s="75" t="n"/>
      <c r="CD291" s="75" t="n"/>
      <c r="CE291" s="75" t="n"/>
      <c r="CF291" s="75" t="n"/>
      <c r="CG291" s="75" t="n"/>
      <c r="CH291" s="75" t="n"/>
      <c r="CI291" s="75" t="n"/>
      <c r="CJ291" s="75" t="n"/>
      <c r="CK291" s="75" t="n"/>
      <c r="CL291" s="75" t="n"/>
      <c r="CM291" s="75" t="n"/>
      <c r="CN291" s="75" t="n"/>
      <c r="CO291" s="75" t="n"/>
      <c r="CP291" s="75" t="n"/>
      <c r="CQ291" s="75" t="n"/>
      <c r="CR291" s="75" t="n"/>
      <c r="CS291" s="75" t="n"/>
      <c r="CT291" s="75" t="n"/>
      <c r="CU291" s="75" t="n"/>
      <c r="CV291" s="75" t="n"/>
      <c r="CW291" s="75" t="n"/>
      <c r="CX291" s="75" t="n"/>
      <c r="CY291" s="75" t="n"/>
      <c r="CZ291" s="75" t="n"/>
    </row>
    <row r="292">
      <c r="B292" s="134">
        <f>IF($A291="",0,COUNT($E292:$CZ292))</f>
        <v/>
      </c>
    </row>
    <row r="293">
      <c r="A293" s="5">
        <f>IF(AS51!$C$149="","",AS51!$C$149)</f>
        <v/>
      </c>
      <c r="B293" s="134">
        <f>IF($A293="",0,COUNT($E293:$CZ293))</f>
        <v/>
      </c>
      <c r="C293" s="135">
        <f>IF($A293="",0,IF($B293=0,0,MAX($E293:$CZ293)))</f>
        <v/>
      </c>
      <c r="D293" s="74">
        <f>BDS($A293,'Field Check'!$C$42,"headers=y","startcol=2","endcol=3","dir=h")</f>
        <v/>
      </c>
      <c r="E293" s="75" t="n"/>
      <c r="F293" s="75" t="n"/>
      <c r="G293" s="75" t="n"/>
      <c r="H293" s="75" t="n"/>
      <c r="I293" s="75" t="n"/>
      <c r="J293" s="75" t="n"/>
      <c r="K293" s="75" t="n"/>
      <c r="L293" s="75" t="n"/>
      <c r="M293" s="75" t="n"/>
      <c r="N293" s="75" t="n"/>
      <c r="O293" s="75" t="n"/>
      <c r="P293" s="75" t="n"/>
      <c r="Q293" s="75" t="n"/>
      <c r="R293" s="75" t="n"/>
      <c r="S293" s="75" t="n"/>
      <c r="T293" s="75" t="n"/>
      <c r="U293" s="75" t="n"/>
      <c r="V293" s="75" t="n"/>
      <c r="W293" s="75" t="n"/>
      <c r="X293" s="75" t="n"/>
      <c r="Y293" s="75" t="n"/>
      <c r="Z293" s="75" t="n"/>
      <c r="AA293" s="75" t="n"/>
      <c r="AB293" s="75" t="n"/>
      <c r="AC293" s="75" t="n"/>
      <c r="AD293" s="75" t="n"/>
      <c r="AE293" s="75" t="n"/>
      <c r="AF293" s="75" t="n"/>
      <c r="AG293" s="75" t="n"/>
      <c r="AH293" s="75" t="n"/>
      <c r="AI293" s="75" t="n"/>
      <c r="AJ293" s="75" t="n"/>
      <c r="AK293" s="75" t="n"/>
      <c r="AL293" s="75" t="n"/>
      <c r="AM293" s="75" t="n"/>
      <c r="AN293" s="75" t="n"/>
      <c r="AO293" s="75" t="n"/>
      <c r="AP293" s="75" t="n"/>
      <c r="AQ293" s="75" t="n"/>
      <c r="AR293" s="75" t="n"/>
      <c r="AS293" s="75" t="n"/>
      <c r="AT293" s="75" t="n"/>
      <c r="AU293" s="75" t="n"/>
      <c r="AV293" s="75" t="n"/>
      <c r="AW293" s="75" t="n"/>
      <c r="AX293" s="75" t="n"/>
      <c r="AY293" s="75" t="n"/>
      <c r="AZ293" s="75" t="n"/>
      <c r="BA293" s="75" t="n"/>
      <c r="BB293" s="75" t="n"/>
      <c r="BC293" s="75" t="n"/>
      <c r="BD293" s="75" t="n"/>
      <c r="BE293" s="75" t="n"/>
      <c r="BF293" s="75" t="n"/>
      <c r="BG293" s="75" t="n"/>
      <c r="BH293" s="75" t="n"/>
      <c r="BI293" s="75" t="n"/>
      <c r="BJ293" s="75" t="n"/>
      <c r="BK293" s="75" t="n"/>
      <c r="BL293" s="75" t="n"/>
      <c r="BM293" s="75" t="n"/>
      <c r="BN293" s="75" t="n"/>
      <c r="BO293" s="75" t="n"/>
      <c r="BP293" s="75" t="n"/>
      <c r="BQ293" s="75" t="n"/>
      <c r="BR293" s="75" t="n"/>
      <c r="BS293" s="75" t="n"/>
      <c r="BT293" s="75" t="n"/>
      <c r="BU293" s="75" t="n"/>
      <c r="BV293" s="75" t="n"/>
      <c r="BW293" s="75" t="n"/>
      <c r="BX293" s="75" t="n"/>
      <c r="BY293" s="75" t="n"/>
      <c r="BZ293" s="75" t="n"/>
      <c r="CA293" s="75" t="n"/>
      <c r="CB293" s="75" t="n"/>
      <c r="CC293" s="75" t="n"/>
      <c r="CD293" s="75" t="n"/>
      <c r="CE293" s="75" t="n"/>
      <c r="CF293" s="75" t="n"/>
      <c r="CG293" s="75" t="n"/>
      <c r="CH293" s="75" t="n"/>
      <c r="CI293" s="75" t="n"/>
      <c r="CJ293" s="75" t="n"/>
      <c r="CK293" s="75" t="n"/>
      <c r="CL293" s="75" t="n"/>
      <c r="CM293" s="75" t="n"/>
      <c r="CN293" s="75" t="n"/>
      <c r="CO293" s="75" t="n"/>
      <c r="CP293" s="75" t="n"/>
      <c r="CQ293" s="75" t="n"/>
      <c r="CR293" s="75" t="n"/>
      <c r="CS293" s="75" t="n"/>
      <c r="CT293" s="75" t="n"/>
      <c r="CU293" s="75" t="n"/>
      <c r="CV293" s="75" t="n"/>
      <c r="CW293" s="75" t="n"/>
      <c r="CX293" s="75" t="n"/>
      <c r="CY293" s="75" t="n"/>
      <c r="CZ293" s="75" t="n"/>
    </row>
    <row r="294">
      <c r="B294" s="134">
        <f>IF($A293="",0,COUNT($E294:$CZ294))</f>
        <v/>
      </c>
    </row>
    <row r="295">
      <c r="A295" s="5">
        <f>IF(AS51!$C$150="","",AS51!$C$150)</f>
        <v/>
      </c>
      <c r="B295" s="134">
        <f>IF($A295="",0,COUNT($E295:$CZ295))</f>
        <v/>
      </c>
      <c r="C295" s="135">
        <f>IF($A295="",0,IF($B295=0,0,MAX($E295:$CZ295)))</f>
        <v/>
      </c>
      <c r="D295" s="74">
        <f>BDS($A295,'Field Check'!$C$42,"headers=y","startcol=2","endcol=3","dir=h")</f>
        <v/>
      </c>
      <c r="E295" s="75" t="n"/>
      <c r="F295" s="75" t="n"/>
      <c r="G295" s="75" t="n"/>
      <c r="H295" s="75" t="n"/>
      <c r="I295" s="75" t="n"/>
      <c r="J295" s="75" t="n"/>
      <c r="K295" s="75" t="n"/>
      <c r="L295" s="75" t="n"/>
      <c r="M295" s="75" t="n"/>
      <c r="N295" s="75" t="n"/>
      <c r="O295" s="75" t="n"/>
      <c r="P295" s="75" t="n"/>
      <c r="Q295" s="75" t="n"/>
      <c r="R295" s="75" t="n"/>
      <c r="S295" s="75" t="n"/>
      <c r="T295" s="75" t="n"/>
      <c r="U295" s="75" t="n"/>
      <c r="V295" s="75" t="n"/>
      <c r="W295" s="75" t="n"/>
      <c r="X295" s="75" t="n"/>
      <c r="Y295" s="75" t="n"/>
      <c r="Z295" s="75" t="n"/>
      <c r="AA295" s="75" t="n"/>
      <c r="AB295" s="75" t="n"/>
      <c r="AC295" s="75" t="n"/>
      <c r="AD295" s="75" t="n"/>
      <c r="AE295" s="75" t="n"/>
      <c r="AF295" s="75" t="n"/>
      <c r="AG295" s="75" t="n"/>
      <c r="AH295" s="75" t="n"/>
      <c r="AI295" s="75" t="n"/>
      <c r="AJ295" s="75" t="n"/>
      <c r="AK295" s="75" t="n"/>
      <c r="AL295" s="75" t="n"/>
      <c r="AM295" s="75" t="n"/>
      <c r="AN295" s="75" t="n"/>
      <c r="AO295" s="75" t="n"/>
      <c r="AP295" s="75" t="n"/>
      <c r="AQ295" s="75" t="n"/>
      <c r="AR295" s="75" t="n"/>
      <c r="AS295" s="75" t="n"/>
      <c r="AT295" s="75" t="n"/>
      <c r="AU295" s="75" t="n"/>
      <c r="AV295" s="75" t="n"/>
      <c r="AW295" s="75" t="n"/>
      <c r="AX295" s="75" t="n"/>
      <c r="AY295" s="75" t="n"/>
      <c r="AZ295" s="75" t="n"/>
      <c r="BA295" s="75" t="n"/>
      <c r="BB295" s="75" t="n"/>
      <c r="BC295" s="75" t="n"/>
      <c r="BD295" s="75" t="n"/>
      <c r="BE295" s="75" t="n"/>
      <c r="BF295" s="75" t="n"/>
      <c r="BG295" s="75" t="n"/>
      <c r="BH295" s="75" t="n"/>
      <c r="BI295" s="75" t="n"/>
      <c r="BJ295" s="75" t="n"/>
      <c r="BK295" s="75" t="n"/>
      <c r="BL295" s="75" t="n"/>
      <c r="BM295" s="75" t="n"/>
      <c r="BN295" s="75" t="n"/>
      <c r="BO295" s="75" t="n"/>
      <c r="BP295" s="75" t="n"/>
      <c r="BQ295" s="75" t="n"/>
      <c r="BR295" s="75" t="n"/>
      <c r="BS295" s="75" t="n"/>
      <c r="BT295" s="75" t="n"/>
      <c r="BU295" s="75" t="n"/>
      <c r="BV295" s="75" t="n"/>
      <c r="BW295" s="75" t="n"/>
      <c r="BX295" s="75" t="n"/>
      <c r="BY295" s="75" t="n"/>
      <c r="BZ295" s="75" t="n"/>
      <c r="CA295" s="75" t="n"/>
      <c r="CB295" s="75" t="n"/>
      <c r="CC295" s="75" t="n"/>
      <c r="CD295" s="75" t="n"/>
      <c r="CE295" s="75" t="n"/>
      <c r="CF295" s="75" t="n"/>
      <c r="CG295" s="75" t="n"/>
      <c r="CH295" s="75" t="n"/>
      <c r="CI295" s="75" t="n"/>
      <c r="CJ295" s="75" t="n"/>
      <c r="CK295" s="75" t="n"/>
      <c r="CL295" s="75" t="n"/>
      <c r="CM295" s="75" t="n"/>
      <c r="CN295" s="75" t="n"/>
      <c r="CO295" s="75" t="n"/>
      <c r="CP295" s="75" t="n"/>
      <c r="CQ295" s="75" t="n"/>
      <c r="CR295" s="75" t="n"/>
      <c r="CS295" s="75" t="n"/>
      <c r="CT295" s="75" t="n"/>
      <c r="CU295" s="75" t="n"/>
      <c r="CV295" s="75" t="n"/>
      <c r="CW295" s="75" t="n"/>
      <c r="CX295" s="75" t="n"/>
      <c r="CY295" s="75" t="n"/>
      <c r="CZ295" s="75" t="n"/>
    </row>
    <row r="296">
      <c r="B296" s="134">
        <f>IF($A295="",0,COUNT($E296:$CZ296))</f>
        <v/>
      </c>
    </row>
    <row r="297">
      <c r="A297" s="5">
        <f>IF(AS51!$C$151="","",AS51!$C$151)</f>
        <v/>
      </c>
      <c r="B297" s="134">
        <f>IF($A297="",0,COUNT($E297:$CZ297))</f>
        <v/>
      </c>
      <c r="C297" s="135">
        <f>IF($A297="",0,IF($B297=0,0,MAX($E297:$CZ297)))</f>
        <v/>
      </c>
      <c r="D297" s="74">
        <f>BDS($A297,'Field Check'!$C$42,"headers=y","startcol=2","endcol=3","dir=h")</f>
        <v/>
      </c>
      <c r="E297" s="75" t="n"/>
      <c r="F297" s="75" t="n"/>
      <c r="G297" s="75" t="n"/>
      <c r="H297" s="75" t="n"/>
      <c r="I297" s="75" t="n"/>
      <c r="J297" s="75" t="n"/>
      <c r="K297" s="75" t="n"/>
      <c r="L297" s="75" t="n"/>
      <c r="M297" s="75" t="n"/>
      <c r="N297" s="75" t="n"/>
      <c r="O297" s="75" t="n"/>
      <c r="P297" s="75" t="n"/>
      <c r="Q297" s="75" t="n"/>
      <c r="R297" s="75" t="n"/>
      <c r="S297" s="75" t="n"/>
      <c r="T297" s="75" t="n"/>
      <c r="U297" s="75" t="n"/>
      <c r="V297" s="75" t="n"/>
      <c r="W297" s="75" t="n"/>
      <c r="X297" s="75" t="n"/>
      <c r="Y297" s="75" t="n"/>
      <c r="Z297" s="75" t="n"/>
      <c r="AA297" s="75" t="n"/>
      <c r="AB297" s="75" t="n"/>
      <c r="AC297" s="75" t="n"/>
      <c r="AD297" s="75" t="n"/>
      <c r="AE297" s="75" t="n"/>
      <c r="AF297" s="75" t="n"/>
      <c r="AG297" s="75" t="n"/>
      <c r="AH297" s="75" t="n"/>
      <c r="AI297" s="75" t="n"/>
      <c r="AJ297" s="75" t="n"/>
      <c r="AK297" s="75" t="n"/>
      <c r="AL297" s="75" t="n"/>
      <c r="AM297" s="75" t="n"/>
      <c r="AN297" s="75" t="n"/>
      <c r="AO297" s="75" t="n"/>
      <c r="AP297" s="75" t="n"/>
      <c r="AQ297" s="75" t="n"/>
      <c r="AR297" s="75" t="n"/>
      <c r="AS297" s="75" t="n"/>
      <c r="AT297" s="75" t="n"/>
      <c r="AU297" s="75" t="n"/>
      <c r="AV297" s="75" t="n"/>
      <c r="AW297" s="75" t="n"/>
      <c r="AX297" s="75" t="n"/>
      <c r="AY297" s="75" t="n"/>
      <c r="AZ297" s="75" t="n"/>
      <c r="BA297" s="75" t="n"/>
      <c r="BB297" s="75" t="n"/>
      <c r="BC297" s="75" t="n"/>
      <c r="BD297" s="75" t="n"/>
      <c r="BE297" s="75" t="n"/>
      <c r="BF297" s="75" t="n"/>
      <c r="BG297" s="75" t="n"/>
      <c r="BH297" s="75" t="n"/>
      <c r="BI297" s="75" t="n"/>
      <c r="BJ297" s="75" t="n"/>
      <c r="BK297" s="75" t="n"/>
      <c r="BL297" s="75" t="n"/>
      <c r="BM297" s="75" t="n"/>
      <c r="BN297" s="75" t="n"/>
      <c r="BO297" s="75" t="n"/>
      <c r="BP297" s="75" t="n"/>
      <c r="BQ297" s="75" t="n"/>
      <c r="BR297" s="75" t="n"/>
      <c r="BS297" s="75" t="n"/>
      <c r="BT297" s="75" t="n"/>
      <c r="BU297" s="75" t="n"/>
      <c r="BV297" s="75" t="n"/>
      <c r="BW297" s="75" t="n"/>
      <c r="BX297" s="75" t="n"/>
      <c r="BY297" s="75" t="n"/>
      <c r="BZ297" s="75" t="n"/>
      <c r="CA297" s="75" t="n"/>
      <c r="CB297" s="75" t="n"/>
      <c r="CC297" s="75" t="n"/>
      <c r="CD297" s="75" t="n"/>
      <c r="CE297" s="75" t="n"/>
      <c r="CF297" s="75" t="n"/>
      <c r="CG297" s="75" t="n"/>
      <c r="CH297" s="75" t="n"/>
      <c r="CI297" s="75" t="n"/>
      <c r="CJ297" s="75" t="n"/>
      <c r="CK297" s="75" t="n"/>
      <c r="CL297" s="75" t="n"/>
      <c r="CM297" s="75" t="n"/>
      <c r="CN297" s="75" t="n"/>
      <c r="CO297" s="75" t="n"/>
      <c r="CP297" s="75" t="n"/>
      <c r="CQ297" s="75" t="n"/>
      <c r="CR297" s="75" t="n"/>
      <c r="CS297" s="75" t="n"/>
      <c r="CT297" s="75" t="n"/>
      <c r="CU297" s="75" t="n"/>
      <c r="CV297" s="75" t="n"/>
      <c r="CW297" s="75" t="n"/>
      <c r="CX297" s="75" t="n"/>
      <c r="CY297" s="75" t="n"/>
      <c r="CZ297" s="75" t="n"/>
    </row>
    <row r="298">
      <c r="B298" s="134">
        <f>IF($A297="",0,COUNT($E298:$CZ298))</f>
        <v/>
      </c>
    </row>
    <row r="299">
      <c r="A299" s="5">
        <f>IF(AS51!$C$152="","",AS51!$C$152)</f>
        <v/>
      </c>
      <c r="B299" s="134">
        <f>IF($A299="",0,COUNT($E299:$CZ299))</f>
        <v/>
      </c>
      <c r="C299" s="135">
        <f>IF($A299="",0,IF($B299=0,0,MAX($E299:$CZ299)))</f>
        <v/>
      </c>
      <c r="D299" s="74">
        <f>BDS($A299,'Field Check'!$C$42,"headers=y","startcol=2","endcol=3","dir=h")</f>
        <v/>
      </c>
      <c r="E299" s="75" t="n"/>
      <c r="F299" s="75" t="n"/>
      <c r="G299" s="75" t="n"/>
      <c r="H299" s="75" t="n"/>
      <c r="I299" s="75" t="n"/>
      <c r="J299" s="75" t="n"/>
      <c r="K299" s="75" t="n"/>
      <c r="L299" s="75" t="n"/>
      <c r="M299" s="75" t="n"/>
      <c r="N299" s="75" t="n"/>
      <c r="O299" s="75" t="n"/>
      <c r="P299" s="75" t="n"/>
      <c r="Q299" s="75" t="n"/>
      <c r="R299" s="75" t="n"/>
      <c r="S299" s="75" t="n"/>
      <c r="T299" s="75" t="n"/>
      <c r="U299" s="75" t="n"/>
      <c r="V299" s="75" t="n"/>
      <c r="W299" s="75" t="n"/>
      <c r="X299" s="75" t="n"/>
      <c r="Y299" s="75" t="n"/>
      <c r="Z299" s="75" t="n"/>
      <c r="AA299" s="75" t="n"/>
      <c r="AB299" s="75" t="n"/>
      <c r="AC299" s="75" t="n"/>
      <c r="AD299" s="75" t="n"/>
      <c r="AE299" s="75" t="n"/>
      <c r="AF299" s="75" t="n"/>
      <c r="AG299" s="75" t="n"/>
      <c r="AH299" s="75" t="n"/>
      <c r="AI299" s="75" t="n"/>
      <c r="AJ299" s="75" t="n"/>
      <c r="AK299" s="75" t="n"/>
      <c r="AL299" s="75" t="n"/>
      <c r="AM299" s="75" t="n"/>
      <c r="AN299" s="75" t="n"/>
      <c r="AO299" s="75" t="n"/>
      <c r="AP299" s="75" t="n"/>
      <c r="AQ299" s="75" t="n"/>
      <c r="AR299" s="75" t="n"/>
      <c r="AS299" s="75" t="n"/>
      <c r="AT299" s="75" t="n"/>
      <c r="AU299" s="75" t="n"/>
      <c r="AV299" s="75" t="n"/>
      <c r="AW299" s="75" t="n"/>
      <c r="AX299" s="75" t="n"/>
      <c r="AY299" s="75" t="n"/>
      <c r="AZ299" s="75" t="n"/>
      <c r="BA299" s="75" t="n"/>
      <c r="BB299" s="75" t="n"/>
      <c r="BC299" s="75" t="n"/>
      <c r="BD299" s="75" t="n"/>
      <c r="BE299" s="75" t="n"/>
      <c r="BF299" s="75" t="n"/>
      <c r="BG299" s="75" t="n"/>
      <c r="BH299" s="75" t="n"/>
      <c r="BI299" s="75" t="n"/>
      <c r="BJ299" s="75" t="n"/>
      <c r="BK299" s="75" t="n"/>
      <c r="BL299" s="75" t="n"/>
      <c r="BM299" s="75" t="n"/>
      <c r="BN299" s="75" t="n"/>
      <c r="BO299" s="75" t="n"/>
      <c r="BP299" s="75" t="n"/>
      <c r="BQ299" s="75" t="n"/>
      <c r="BR299" s="75" t="n"/>
      <c r="BS299" s="75" t="n"/>
      <c r="BT299" s="75" t="n"/>
      <c r="BU299" s="75" t="n"/>
      <c r="BV299" s="75" t="n"/>
      <c r="BW299" s="75" t="n"/>
      <c r="BX299" s="75" t="n"/>
      <c r="BY299" s="75" t="n"/>
      <c r="BZ299" s="75" t="n"/>
      <c r="CA299" s="75" t="n"/>
      <c r="CB299" s="75" t="n"/>
      <c r="CC299" s="75" t="n"/>
      <c r="CD299" s="75" t="n"/>
      <c r="CE299" s="75" t="n"/>
      <c r="CF299" s="75" t="n"/>
      <c r="CG299" s="75" t="n"/>
      <c r="CH299" s="75" t="n"/>
      <c r="CI299" s="75" t="n"/>
      <c r="CJ299" s="75" t="n"/>
      <c r="CK299" s="75" t="n"/>
      <c r="CL299" s="75" t="n"/>
      <c r="CM299" s="75" t="n"/>
      <c r="CN299" s="75" t="n"/>
      <c r="CO299" s="75" t="n"/>
      <c r="CP299" s="75" t="n"/>
      <c r="CQ299" s="75" t="n"/>
      <c r="CR299" s="75" t="n"/>
      <c r="CS299" s="75" t="n"/>
      <c r="CT299" s="75" t="n"/>
      <c r="CU299" s="75" t="n"/>
      <c r="CV299" s="75" t="n"/>
      <c r="CW299" s="75" t="n"/>
      <c r="CX299" s="75" t="n"/>
      <c r="CY299" s="75" t="n"/>
      <c r="CZ299" s="75" t="n"/>
    </row>
    <row r="300">
      <c r="B300" s="134">
        <f>IF($A299="",0,COUNT($E300:$CZ300))</f>
        <v/>
      </c>
    </row>
    <row r="301">
      <c r="A301" s="5">
        <f>IF(AS51!$C$153="","",AS51!$C$153)</f>
        <v/>
      </c>
      <c r="B301" s="134">
        <f>IF($A301="",0,COUNT($E301:$CZ301))</f>
        <v/>
      </c>
      <c r="C301" s="135">
        <f>IF($A301="",0,IF($B301=0,0,MAX($E301:$CZ301)))</f>
        <v/>
      </c>
      <c r="D301" s="74">
        <f>BDS($A301,'Field Check'!$C$42,"headers=y","startcol=2","endcol=3","dir=h")</f>
        <v/>
      </c>
      <c r="E301" s="75" t="n"/>
      <c r="F301" s="75" t="n"/>
      <c r="G301" s="75" t="n"/>
      <c r="H301" s="75" t="n"/>
      <c r="I301" s="75" t="n"/>
      <c r="J301" s="75" t="n"/>
      <c r="K301" s="75" t="n"/>
      <c r="L301" s="75" t="n"/>
      <c r="M301" s="75" t="n"/>
      <c r="N301" s="75" t="n"/>
      <c r="O301" s="75" t="n"/>
      <c r="P301" s="75" t="n"/>
      <c r="Q301" s="75" t="n"/>
      <c r="R301" s="75" t="n"/>
      <c r="S301" s="75" t="n"/>
      <c r="T301" s="75" t="n"/>
      <c r="U301" s="75" t="n"/>
      <c r="V301" s="75" t="n"/>
      <c r="W301" s="75" t="n"/>
      <c r="X301" s="75" t="n"/>
      <c r="Y301" s="75" t="n"/>
      <c r="Z301" s="75" t="n"/>
      <c r="AA301" s="75" t="n"/>
      <c r="AB301" s="75" t="n"/>
      <c r="AC301" s="75" t="n"/>
      <c r="AD301" s="75" t="n"/>
      <c r="AE301" s="75" t="n"/>
      <c r="AF301" s="75" t="n"/>
      <c r="AG301" s="75" t="n"/>
      <c r="AH301" s="75" t="n"/>
      <c r="AI301" s="75" t="n"/>
      <c r="AJ301" s="75" t="n"/>
      <c r="AK301" s="75" t="n"/>
      <c r="AL301" s="75" t="n"/>
      <c r="AM301" s="75" t="n"/>
      <c r="AN301" s="75" t="n"/>
      <c r="AO301" s="75" t="n"/>
      <c r="AP301" s="75" t="n"/>
      <c r="AQ301" s="75" t="n"/>
      <c r="AR301" s="75" t="n"/>
      <c r="AS301" s="75" t="n"/>
      <c r="AT301" s="75" t="n"/>
      <c r="AU301" s="75" t="n"/>
      <c r="AV301" s="75" t="n"/>
      <c r="AW301" s="75" t="n"/>
      <c r="AX301" s="75" t="n"/>
      <c r="AY301" s="75" t="n"/>
      <c r="AZ301" s="75" t="n"/>
      <c r="BA301" s="75" t="n"/>
      <c r="BB301" s="75" t="n"/>
      <c r="BC301" s="75" t="n"/>
      <c r="BD301" s="75" t="n"/>
      <c r="BE301" s="75" t="n"/>
      <c r="BF301" s="75" t="n"/>
      <c r="BG301" s="75" t="n"/>
      <c r="BH301" s="75" t="n"/>
      <c r="BI301" s="75" t="n"/>
      <c r="BJ301" s="75" t="n"/>
      <c r="BK301" s="75" t="n"/>
      <c r="BL301" s="75" t="n"/>
      <c r="BM301" s="75" t="n"/>
      <c r="BN301" s="75" t="n"/>
      <c r="BO301" s="75" t="n"/>
      <c r="BP301" s="75" t="n"/>
      <c r="BQ301" s="75" t="n"/>
      <c r="BR301" s="75" t="n"/>
      <c r="BS301" s="75" t="n"/>
      <c r="BT301" s="75" t="n"/>
      <c r="BU301" s="75" t="n"/>
      <c r="BV301" s="75" t="n"/>
      <c r="BW301" s="75" t="n"/>
      <c r="BX301" s="75" t="n"/>
      <c r="BY301" s="75" t="n"/>
      <c r="BZ301" s="75" t="n"/>
      <c r="CA301" s="75" t="n"/>
      <c r="CB301" s="75" t="n"/>
      <c r="CC301" s="75" t="n"/>
      <c r="CD301" s="75" t="n"/>
      <c r="CE301" s="75" t="n"/>
      <c r="CF301" s="75" t="n"/>
      <c r="CG301" s="75" t="n"/>
      <c r="CH301" s="75" t="n"/>
      <c r="CI301" s="75" t="n"/>
      <c r="CJ301" s="75" t="n"/>
      <c r="CK301" s="75" t="n"/>
      <c r="CL301" s="75" t="n"/>
      <c r="CM301" s="75" t="n"/>
      <c r="CN301" s="75" t="n"/>
      <c r="CO301" s="75" t="n"/>
      <c r="CP301" s="75" t="n"/>
      <c r="CQ301" s="75" t="n"/>
      <c r="CR301" s="75" t="n"/>
      <c r="CS301" s="75" t="n"/>
      <c r="CT301" s="75" t="n"/>
      <c r="CU301" s="75" t="n"/>
      <c r="CV301" s="75" t="n"/>
      <c r="CW301" s="75" t="n"/>
      <c r="CX301" s="75" t="n"/>
      <c r="CY301" s="75" t="n"/>
      <c r="CZ301" s="75" t="n"/>
    </row>
    <row r="302">
      <c r="B302" s="134">
        <f>IF($A301="",0,COUNT($E302:$CZ302))</f>
        <v/>
      </c>
    </row>
    <row r="303">
      <c r="A303" s="5">
        <f>IF(AS51!$C$154="","",AS51!$C$154)</f>
        <v/>
      </c>
      <c r="B303" s="134">
        <f>IF($A303="",0,COUNT($E303:$CZ303))</f>
        <v/>
      </c>
      <c r="C303" s="135">
        <f>IF($A303="",0,IF($B303=0,0,MAX($E303:$CZ303)))</f>
        <v/>
      </c>
      <c r="D303" s="74">
        <f>BDS($A303,'Field Check'!$C$42,"headers=y","startcol=2","endcol=3","dir=h")</f>
        <v/>
      </c>
      <c r="E303" s="75" t="n"/>
      <c r="F303" s="75" t="n"/>
      <c r="G303" s="75" t="n"/>
      <c r="H303" s="75" t="n"/>
      <c r="I303" s="75" t="n"/>
      <c r="J303" s="75" t="n"/>
      <c r="K303" s="75" t="n"/>
      <c r="L303" s="75" t="n"/>
      <c r="M303" s="75" t="n"/>
      <c r="N303" s="75" t="n"/>
      <c r="O303" s="75" t="n"/>
      <c r="P303" s="75" t="n"/>
      <c r="Q303" s="75" t="n"/>
      <c r="R303" s="75" t="n"/>
      <c r="S303" s="75" t="n"/>
      <c r="T303" s="75" t="n"/>
      <c r="U303" s="75" t="n"/>
      <c r="V303" s="75" t="n"/>
      <c r="W303" s="75" t="n"/>
      <c r="X303" s="75" t="n"/>
      <c r="Y303" s="75" t="n"/>
      <c r="Z303" s="75" t="n"/>
      <c r="AA303" s="75" t="n"/>
      <c r="AB303" s="75" t="n"/>
      <c r="AC303" s="75" t="n"/>
      <c r="AD303" s="75" t="n"/>
      <c r="AE303" s="75" t="n"/>
      <c r="AF303" s="75" t="n"/>
      <c r="AG303" s="75" t="n"/>
      <c r="AH303" s="75" t="n"/>
      <c r="AI303" s="75" t="n"/>
      <c r="AJ303" s="75" t="n"/>
      <c r="AK303" s="75" t="n"/>
      <c r="AL303" s="75" t="n"/>
      <c r="AM303" s="75" t="n"/>
      <c r="AN303" s="75" t="n"/>
      <c r="AO303" s="75" t="n"/>
      <c r="AP303" s="75" t="n"/>
      <c r="AQ303" s="75" t="n"/>
      <c r="AR303" s="75" t="n"/>
      <c r="AS303" s="75" t="n"/>
      <c r="AT303" s="75" t="n"/>
      <c r="AU303" s="75" t="n"/>
      <c r="AV303" s="75" t="n"/>
      <c r="AW303" s="75" t="n"/>
      <c r="AX303" s="75" t="n"/>
      <c r="AY303" s="75" t="n"/>
      <c r="AZ303" s="75" t="n"/>
      <c r="BA303" s="75" t="n"/>
      <c r="BB303" s="75" t="n"/>
      <c r="BC303" s="75" t="n"/>
      <c r="BD303" s="75" t="n"/>
      <c r="BE303" s="75" t="n"/>
      <c r="BF303" s="75" t="n"/>
      <c r="BG303" s="75" t="n"/>
      <c r="BH303" s="75" t="n"/>
      <c r="BI303" s="75" t="n"/>
      <c r="BJ303" s="75" t="n"/>
      <c r="BK303" s="75" t="n"/>
      <c r="BL303" s="75" t="n"/>
      <c r="BM303" s="75" t="n"/>
      <c r="BN303" s="75" t="n"/>
      <c r="BO303" s="75" t="n"/>
      <c r="BP303" s="75" t="n"/>
      <c r="BQ303" s="75" t="n"/>
      <c r="BR303" s="75" t="n"/>
      <c r="BS303" s="75" t="n"/>
      <c r="BT303" s="75" t="n"/>
      <c r="BU303" s="75" t="n"/>
      <c r="BV303" s="75" t="n"/>
      <c r="BW303" s="75" t="n"/>
      <c r="BX303" s="75" t="n"/>
      <c r="BY303" s="75" t="n"/>
      <c r="BZ303" s="75" t="n"/>
      <c r="CA303" s="75" t="n"/>
      <c r="CB303" s="75" t="n"/>
      <c r="CC303" s="75" t="n"/>
      <c r="CD303" s="75" t="n"/>
      <c r="CE303" s="75" t="n"/>
      <c r="CF303" s="75" t="n"/>
      <c r="CG303" s="75" t="n"/>
      <c r="CH303" s="75" t="n"/>
      <c r="CI303" s="75" t="n"/>
      <c r="CJ303" s="75" t="n"/>
      <c r="CK303" s="75" t="n"/>
      <c r="CL303" s="75" t="n"/>
      <c r="CM303" s="75" t="n"/>
      <c r="CN303" s="75" t="n"/>
      <c r="CO303" s="75" t="n"/>
      <c r="CP303" s="75" t="n"/>
      <c r="CQ303" s="75" t="n"/>
      <c r="CR303" s="75" t="n"/>
      <c r="CS303" s="75" t="n"/>
      <c r="CT303" s="75" t="n"/>
      <c r="CU303" s="75" t="n"/>
      <c r="CV303" s="75" t="n"/>
      <c r="CW303" s="75" t="n"/>
      <c r="CX303" s="75" t="n"/>
      <c r="CY303" s="75" t="n"/>
      <c r="CZ303" s="75" t="n"/>
    </row>
    <row r="304">
      <c r="B304" s="134">
        <f>IF($A303="",0,COUNT($E304:$CZ304))</f>
        <v/>
      </c>
    </row>
    <row r="305">
      <c r="A305" s="5">
        <f>IF(AS51!$C$155="","",AS51!$C$155)</f>
        <v/>
      </c>
      <c r="B305" s="134">
        <f>IF($A305="",0,COUNT($E305:$CZ305))</f>
        <v/>
      </c>
      <c r="C305" s="135">
        <f>IF($A305="",0,IF($B305=0,0,MAX($E305:$CZ305)))</f>
        <v/>
      </c>
      <c r="D305" s="74">
        <f>BDS($A305,'Field Check'!$C$42,"headers=y","startcol=2","endcol=3","dir=h")</f>
        <v/>
      </c>
      <c r="E305" s="75" t="n"/>
      <c r="F305" s="75" t="n"/>
      <c r="G305" s="75" t="n"/>
      <c r="H305" s="75" t="n"/>
      <c r="I305" s="75" t="n"/>
      <c r="J305" s="75" t="n"/>
      <c r="K305" s="75" t="n"/>
      <c r="L305" s="75" t="n"/>
      <c r="M305" s="75" t="n"/>
      <c r="N305" s="75" t="n"/>
      <c r="O305" s="75" t="n"/>
      <c r="P305" s="75" t="n"/>
      <c r="Q305" s="75" t="n"/>
      <c r="R305" s="75" t="n"/>
      <c r="S305" s="75" t="n"/>
      <c r="T305" s="75" t="n"/>
      <c r="U305" s="75" t="n"/>
      <c r="V305" s="75" t="n"/>
      <c r="W305" s="75" t="n"/>
      <c r="X305" s="75" t="n"/>
      <c r="Y305" s="75" t="n"/>
      <c r="Z305" s="75" t="n"/>
      <c r="AA305" s="75" t="n"/>
      <c r="AB305" s="75" t="n"/>
      <c r="AC305" s="75" t="n"/>
      <c r="AD305" s="75" t="n"/>
      <c r="AE305" s="75" t="n"/>
      <c r="AF305" s="75" t="n"/>
      <c r="AG305" s="75" t="n"/>
      <c r="AH305" s="75" t="n"/>
      <c r="AI305" s="75" t="n"/>
      <c r="AJ305" s="75" t="n"/>
      <c r="AK305" s="75" t="n"/>
      <c r="AL305" s="75" t="n"/>
      <c r="AM305" s="75" t="n"/>
      <c r="AN305" s="75" t="n"/>
      <c r="AO305" s="75" t="n"/>
      <c r="AP305" s="75" t="n"/>
      <c r="AQ305" s="75" t="n"/>
      <c r="AR305" s="75" t="n"/>
      <c r="AS305" s="75" t="n"/>
      <c r="AT305" s="75" t="n"/>
      <c r="AU305" s="75" t="n"/>
      <c r="AV305" s="75" t="n"/>
      <c r="AW305" s="75" t="n"/>
      <c r="AX305" s="75" t="n"/>
      <c r="AY305" s="75" t="n"/>
      <c r="AZ305" s="75" t="n"/>
      <c r="BA305" s="75" t="n"/>
      <c r="BB305" s="75" t="n"/>
      <c r="BC305" s="75" t="n"/>
      <c r="BD305" s="75" t="n"/>
      <c r="BE305" s="75" t="n"/>
      <c r="BF305" s="75" t="n"/>
      <c r="BG305" s="75" t="n"/>
      <c r="BH305" s="75" t="n"/>
      <c r="BI305" s="75" t="n"/>
      <c r="BJ305" s="75" t="n"/>
      <c r="BK305" s="75" t="n"/>
      <c r="BL305" s="75" t="n"/>
      <c r="BM305" s="75" t="n"/>
      <c r="BN305" s="75" t="n"/>
      <c r="BO305" s="75" t="n"/>
      <c r="BP305" s="75" t="n"/>
      <c r="BQ305" s="75" t="n"/>
      <c r="BR305" s="75" t="n"/>
      <c r="BS305" s="75" t="n"/>
      <c r="BT305" s="75" t="n"/>
      <c r="BU305" s="75" t="n"/>
      <c r="BV305" s="75" t="n"/>
      <c r="BW305" s="75" t="n"/>
      <c r="BX305" s="75" t="n"/>
      <c r="BY305" s="75" t="n"/>
      <c r="BZ305" s="75" t="n"/>
      <c r="CA305" s="75" t="n"/>
      <c r="CB305" s="75" t="n"/>
      <c r="CC305" s="75" t="n"/>
      <c r="CD305" s="75" t="n"/>
      <c r="CE305" s="75" t="n"/>
      <c r="CF305" s="75" t="n"/>
      <c r="CG305" s="75" t="n"/>
      <c r="CH305" s="75" t="n"/>
      <c r="CI305" s="75" t="n"/>
      <c r="CJ305" s="75" t="n"/>
      <c r="CK305" s="75" t="n"/>
      <c r="CL305" s="75" t="n"/>
      <c r="CM305" s="75" t="n"/>
      <c r="CN305" s="75" t="n"/>
      <c r="CO305" s="75" t="n"/>
      <c r="CP305" s="75" t="n"/>
      <c r="CQ305" s="75" t="n"/>
      <c r="CR305" s="75" t="n"/>
      <c r="CS305" s="75" t="n"/>
      <c r="CT305" s="75" t="n"/>
      <c r="CU305" s="75" t="n"/>
      <c r="CV305" s="75" t="n"/>
      <c r="CW305" s="75" t="n"/>
      <c r="CX305" s="75" t="n"/>
      <c r="CY305" s="75" t="n"/>
      <c r="CZ305" s="75" t="n"/>
    </row>
    <row r="306">
      <c r="B306" s="134">
        <f>IF($A305="",0,COUNT($E306:$CZ306))</f>
        <v/>
      </c>
    </row>
    <row r="307">
      <c r="A307" s="5">
        <f>IF(AS51!$C$156="","",AS51!$C$156)</f>
        <v/>
      </c>
      <c r="B307" s="134">
        <f>IF($A307="",0,COUNT($E307:$CZ307))</f>
        <v/>
      </c>
      <c r="C307" s="135">
        <f>IF($A307="",0,IF($B307=0,0,MAX($E307:$CZ307)))</f>
        <v/>
      </c>
      <c r="D307" s="74">
        <f>BDS($A307,'Field Check'!$C$42,"headers=y","startcol=2","endcol=3","dir=h")</f>
        <v/>
      </c>
      <c r="E307" s="75" t="n"/>
      <c r="F307" s="75" t="n"/>
      <c r="G307" s="75" t="n"/>
      <c r="H307" s="75" t="n"/>
      <c r="I307" s="75" t="n"/>
      <c r="J307" s="75" t="n"/>
      <c r="K307" s="75" t="n"/>
      <c r="L307" s="75" t="n"/>
      <c r="M307" s="75" t="n"/>
      <c r="N307" s="75" t="n"/>
      <c r="O307" s="75" t="n"/>
      <c r="P307" s="75" t="n"/>
      <c r="Q307" s="75" t="n"/>
      <c r="R307" s="75" t="n"/>
      <c r="S307" s="75" t="n"/>
      <c r="T307" s="75" t="n"/>
      <c r="U307" s="75" t="n"/>
      <c r="V307" s="75" t="n"/>
      <c r="W307" s="75" t="n"/>
      <c r="X307" s="75" t="n"/>
      <c r="Y307" s="75" t="n"/>
      <c r="Z307" s="75" t="n"/>
      <c r="AA307" s="75" t="n"/>
      <c r="AB307" s="75" t="n"/>
      <c r="AC307" s="75" t="n"/>
      <c r="AD307" s="75" t="n"/>
      <c r="AE307" s="75" t="n"/>
      <c r="AF307" s="75" t="n"/>
      <c r="AG307" s="75" t="n"/>
      <c r="AH307" s="75" t="n"/>
      <c r="AI307" s="75" t="n"/>
      <c r="AJ307" s="75" t="n"/>
      <c r="AK307" s="75" t="n"/>
      <c r="AL307" s="75" t="n"/>
      <c r="AM307" s="75" t="n"/>
      <c r="AN307" s="75" t="n"/>
      <c r="AO307" s="75" t="n"/>
      <c r="AP307" s="75" t="n"/>
      <c r="AQ307" s="75" t="n"/>
      <c r="AR307" s="75" t="n"/>
      <c r="AS307" s="75" t="n"/>
      <c r="AT307" s="75" t="n"/>
      <c r="AU307" s="75" t="n"/>
      <c r="AV307" s="75" t="n"/>
      <c r="AW307" s="75" t="n"/>
      <c r="AX307" s="75" t="n"/>
      <c r="AY307" s="75" t="n"/>
      <c r="AZ307" s="75" t="n"/>
      <c r="BA307" s="75" t="n"/>
      <c r="BB307" s="75" t="n"/>
      <c r="BC307" s="75" t="n"/>
      <c r="BD307" s="75" t="n"/>
      <c r="BE307" s="75" t="n"/>
      <c r="BF307" s="75" t="n"/>
      <c r="BG307" s="75" t="n"/>
      <c r="BH307" s="75" t="n"/>
      <c r="BI307" s="75" t="n"/>
      <c r="BJ307" s="75" t="n"/>
      <c r="BK307" s="75" t="n"/>
      <c r="BL307" s="75" t="n"/>
      <c r="BM307" s="75" t="n"/>
      <c r="BN307" s="75" t="n"/>
      <c r="BO307" s="75" t="n"/>
      <c r="BP307" s="75" t="n"/>
      <c r="BQ307" s="75" t="n"/>
      <c r="BR307" s="75" t="n"/>
      <c r="BS307" s="75" t="n"/>
      <c r="BT307" s="75" t="n"/>
      <c r="BU307" s="75" t="n"/>
      <c r="BV307" s="75" t="n"/>
      <c r="BW307" s="75" t="n"/>
      <c r="BX307" s="75" t="n"/>
      <c r="BY307" s="75" t="n"/>
      <c r="BZ307" s="75" t="n"/>
      <c r="CA307" s="75" t="n"/>
      <c r="CB307" s="75" t="n"/>
      <c r="CC307" s="75" t="n"/>
      <c r="CD307" s="75" t="n"/>
      <c r="CE307" s="75" t="n"/>
      <c r="CF307" s="75" t="n"/>
      <c r="CG307" s="75" t="n"/>
      <c r="CH307" s="75" t="n"/>
      <c r="CI307" s="75" t="n"/>
      <c r="CJ307" s="75" t="n"/>
      <c r="CK307" s="75" t="n"/>
      <c r="CL307" s="75" t="n"/>
      <c r="CM307" s="75" t="n"/>
      <c r="CN307" s="75" t="n"/>
      <c r="CO307" s="75" t="n"/>
      <c r="CP307" s="75" t="n"/>
      <c r="CQ307" s="75" t="n"/>
      <c r="CR307" s="75" t="n"/>
      <c r="CS307" s="75" t="n"/>
      <c r="CT307" s="75" t="n"/>
      <c r="CU307" s="75" t="n"/>
      <c r="CV307" s="75" t="n"/>
      <c r="CW307" s="75" t="n"/>
      <c r="CX307" s="75" t="n"/>
      <c r="CY307" s="75" t="n"/>
      <c r="CZ307" s="75" t="n"/>
    </row>
    <row r="308">
      <c r="B308" s="134">
        <f>IF($A307="",0,COUNT($E308:$CZ308))</f>
        <v/>
      </c>
    </row>
    <row r="309">
      <c r="A309" s="5">
        <f>IF(AS51!$C$157="","",AS51!$C$157)</f>
        <v/>
      </c>
      <c r="B309" s="134">
        <f>IF($A309="",0,COUNT($E309:$CZ309))</f>
        <v/>
      </c>
      <c r="C309" s="135">
        <f>IF($A309="",0,IF($B309=0,0,MAX($E309:$CZ309)))</f>
        <v/>
      </c>
      <c r="D309" s="74">
        <f>BDS($A309,'Field Check'!$C$42,"headers=y","startcol=2","endcol=3","dir=h")</f>
        <v/>
      </c>
      <c r="E309" s="75" t="n"/>
      <c r="F309" s="75" t="n"/>
      <c r="G309" s="75" t="n"/>
      <c r="H309" s="75" t="n"/>
      <c r="I309" s="75" t="n"/>
      <c r="J309" s="75" t="n"/>
      <c r="K309" s="75" t="n"/>
      <c r="L309" s="75" t="n"/>
      <c r="M309" s="75" t="n"/>
      <c r="N309" s="75" t="n"/>
      <c r="O309" s="75" t="n"/>
      <c r="P309" s="75" t="n"/>
      <c r="Q309" s="75" t="n"/>
      <c r="R309" s="75" t="n"/>
      <c r="S309" s="75" t="n"/>
      <c r="T309" s="75" t="n"/>
      <c r="U309" s="75" t="n"/>
      <c r="V309" s="75" t="n"/>
      <c r="W309" s="75" t="n"/>
      <c r="X309" s="75" t="n"/>
      <c r="Y309" s="75" t="n"/>
      <c r="Z309" s="75" t="n"/>
      <c r="AA309" s="75" t="n"/>
      <c r="AB309" s="75" t="n"/>
      <c r="AC309" s="75" t="n"/>
      <c r="AD309" s="75" t="n"/>
      <c r="AE309" s="75" t="n"/>
      <c r="AF309" s="75" t="n"/>
      <c r="AG309" s="75" t="n"/>
      <c r="AH309" s="75" t="n"/>
      <c r="AI309" s="75" t="n"/>
      <c r="AJ309" s="75" t="n"/>
      <c r="AK309" s="75" t="n"/>
      <c r="AL309" s="75" t="n"/>
      <c r="AM309" s="75" t="n"/>
      <c r="AN309" s="75" t="n"/>
      <c r="AO309" s="75" t="n"/>
      <c r="AP309" s="75" t="n"/>
      <c r="AQ309" s="75" t="n"/>
      <c r="AR309" s="75" t="n"/>
      <c r="AS309" s="75" t="n"/>
      <c r="AT309" s="75" t="n"/>
      <c r="AU309" s="75" t="n"/>
      <c r="AV309" s="75" t="n"/>
      <c r="AW309" s="75" t="n"/>
      <c r="AX309" s="75" t="n"/>
      <c r="AY309" s="75" t="n"/>
      <c r="AZ309" s="75" t="n"/>
      <c r="BA309" s="75" t="n"/>
      <c r="BB309" s="75" t="n"/>
      <c r="BC309" s="75" t="n"/>
      <c r="BD309" s="75" t="n"/>
      <c r="BE309" s="75" t="n"/>
      <c r="BF309" s="75" t="n"/>
      <c r="BG309" s="75" t="n"/>
      <c r="BH309" s="75" t="n"/>
      <c r="BI309" s="75" t="n"/>
      <c r="BJ309" s="75" t="n"/>
      <c r="BK309" s="75" t="n"/>
      <c r="BL309" s="75" t="n"/>
      <c r="BM309" s="75" t="n"/>
      <c r="BN309" s="75" t="n"/>
      <c r="BO309" s="75" t="n"/>
      <c r="BP309" s="75" t="n"/>
      <c r="BQ309" s="75" t="n"/>
      <c r="BR309" s="75" t="n"/>
      <c r="BS309" s="75" t="n"/>
      <c r="BT309" s="75" t="n"/>
      <c r="BU309" s="75" t="n"/>
      <c r="BV309" s="75" t="n"/>
      <c r="BW309" s="75" t="n"/>
      <c r="BX309" s="75" t="n"/>
      <c r="BY309" s="75" t="n"/>
      <c r="BZ309" s="75" t="n"/>
      <c r="CA309" s="75" t="n"/>
      <c r="CB309" s="75" t="n"/>
      <c r="CC309" s="75" t="n"/>
      <c r="CD309" s="75" t="n"/>
      <c r="CE309" s="75" t="n"/>
      <c r="CF309" s="75" t="n"/>
      <c r="CG309" s="75" t="n"/>
      <c r="CH309" s="75" t="n"/>
      <c r="CI309" s="75" t="n"/>
      <c r="CJ309" s="75" t="n"/>
      <c r="CK309" s="75" t="n"/>
      <c r="CL309" s="75" t="n"/>
      <c r="CM309" s="75" t="n"/>
      <c r="CN309" s="75" t="n"/>
      <c r="CO309" s="75" t="n"/>
      <c r="CP309" s="75" t="n"/>
      <c r="CQ309" s="75" t="n"/>
      <c r="CR309" s="75" t="n"/>
      <c r="CS309" s="75" t="n"/>
      <c r="CT309" s="75" t="n"/>
      <c r="CU309" s="75" t="n"/>
      <c r="CV309" s="75" t="n"/>
      <c r="CW309" s="75" t="n"/>
      <c r="CX309" s="75" t="n"/>
      <c r="CY309" s="75" t="n"/>
      <c r="CZ309" s="75" t="n"/>
    </row>
    <row r="310">
      <c r="B310" s="134">
        <f>IF($A309="",0,COUNT($E310:$CZ310))</f>
        <v/>
      </c>
    </row>
    <row r="311">
      <c r="A311" s="5">
        <f>IF(AS51!$C$158="","",AS51!$C$158)</f>
        <v/>
      </c>
      <c r="B311" s="134">
        <f>IF($A311="",0,COUNT($E311:$CZ311))</f>
        <v/>
      </c>
      <c r="C311" s="135">
        <f>IF($A311="",0,IF($B311=0,0,MAX($E311:$CZ311)))</f>
        <v/>
      </c>
      <c r="D311" s="74">
        <f>BDS($A311,'Field Check'!$C$42,"headers=y","startcol=2","endcol=3","dir=h")</f>
        <v/>
      </c>
      <c r="E311" s="75" t="n"/>
      <c r="F311" s="75" t="n"/>
      <c r="G311" s="75" t="n"/>
      <c r="H311" s="75" t="n"/>
      <c r="I311" s="75" t="n"/>
      <c r="J311" s="75" t="n"/>
      <c r="K311" s="75" t="n"/>
      <c r="L311" s="75" t="n"/>
      <c r="M311" s="75" t="n"/>
      <c r="N311" s="75" t="n"/>
      <c r="O311" s="75" t="n"/>
      <c r="P311" s="75" t="n"/>
      <c r="Q311" s="75" t="n"/>
      <c r="R311" s="75" t="n"/>
      <c r="S311" s="75" t="n"/>
      <c r="T311" s="75" t="n"/>
      <c r="U311" s="75" t="n"/>
      <c r="V311" s="75" t="n"/>
      <c r="W311" s="75" t="n"/>
      <c r="X311" s="75" t="n"/>
      <c r="Y311" s="75" t="n"/>
      <c r="Z311" s="75" t="n"/>
      <c r="AA311" s="75" t="n"/>
      <c r="AB311" s="75" t="n"/>
      <c r="AC311" s="75" t="n"/>
      <c r="AD311" s="75" t="n"/>
      <c r="AE311" s="75" t="n"/>
      <c r="AF311" s="75" t="n"/>
      <c r="AG311" s="75" t="n"/>
      <c r="AH311" s="75" t="n"/>
      <c r="AI311" s="75" t="n"/>
      <c r="AJ311" s="75" t="n"/>
      <c r="AK311" s="75" t="n"/>
      <c r="AL311" s="75" t="n"/>
      <c r="AM311" s="75" t="n"/>
      <c r="AN311" s="75" t="n"/>
      <c r="AO311" s="75" t="n"/>
      <c r="AP311" s="75" t="n"/>
      <c r="AQ311" s="75" t="n"/>
      <c r="AR311" s="75" t="n"/>
      <c r="AS311" s="75" t="n"/>
      <c r="AT311" s="75" t="n"/>
      <c r="AU311" s="75" t="n"/>
      <c r="AV311" s="75" t="n"/>
      <c r="AW311" s="75" t="n"/>
      <c r="AX311" s="75" t="n"/>
      <c r="AY311" s="75" t="n"/>
      <c r="AZ311" s="75" t="n"/>
      <c r="BA311" s="75" t="n"/>
      <c r="BB311" s="75" t="n"/>
      <c r="BC311" s="75" t="n"/>
      <c r="BD311" s="75" t="n"/>
      <c r="BE311" s="75" t="n"/>
      <c r="BF311" s="75" t="n"/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  <c r="CZ311" s="75" t="n"/>
    </row>
    <row r="312">
      <c r="B312" s="134">
        <f>IF($A311="",0,COUNT($E312:$CZ312))</f>
        <v/>
      </c>
    </row>
    <row r="313">
      <c r="A313" s="5">
        <f>IF(AS51!$C$159="","",AS51!$C$159)</f>
        <v/>
      </c>
      <c r="B313" s="134">
        <f>IF($A313="",0,COUNT($E313:$CZ313))</f>
        <v/>
      </c>
      <c r="C313" s="135">
        <f>IF($A313="",0,IF($B313=0,0,MAX($E313:$CZ313)))</f>
        <v/>
      </c>
      <c r="D313" s="74">
        <f>BDS($A313,'Field Check'!$C$42,"headers=y","startcol=2","endcol=3","dir=h")</f>
        <v/>
      </c>
      <c r="E313" s="75" t="n"/>
      <c r="F313" s="75" t="n"/>
      <c r="G313" s="75" t="n"/>
      <c r="H313" s="75" t="n"/>
      <c r="I313" s="75" t="n"/>
      <c r="J313" s="75" t="n"/>
      <c r="K313" s="75" t="n"/>
      <c r="L313" s="75" t="n"/>
      <c r="M313" s="75" t="n"/>
      <c r="N313" s="75" t="n"/>
      <c r="O313" s="75" t="n"/>
      <c r="P313" s="75" t="n"/>
      <c r="Q313" s="75" t="n"/>
      <c r="R313" s="75" t="n"/>
      <c r="S313" s="75" t="n"/>
      <c r="T313" s="75" t="n"/>
      <c r="U313" s="75" t="n"/>
      <c r="V313" s="75" t="n"/>
      <c r="W313" s="75" t="n"/>
      <c r="X313" s="75" t="n"/>
      <c r="Y313" s="75" t="n"/>
      <c r="Z313" s="75" t="n"/>
      <c r="AA313" s="75" t="n"/>
      <c r="AB313" s="75" t="n"/>
      <c r="AC313" s="75" t="n"/>
      <c r="AD313" s="75" t="n"/>
      <c r="AE313" s="75" t="n"/>
      <c r="AF313" s="75" t="n"/>
      <c r="AG313" s="75" t="n"/>
      <c r="AH313" s="75" t="n"/>
      <c r="AI313" s="75" t="n"/>
      <c r="AJ313" s="75" t="n"/>
      <c r="AK313" s="75" t="n"/>
      <c r="AL313" s="75" t="n"/>
      <c r="AM313" s="75" t="n"/>
      <c r="AN313" s="75" t="n"/>
      <c r="AO313" s="75" t="n"/>
      <c r="AP313" s="75" t="n"/>
      <c r="AQ313" s="75" t="n"/>
      <c r="AR313" s="75" t="n"/>
      <c r="AS313" s="75" t="n"/>
      <c r="AT313" s="75" t="n"/>
      <c r="AU313" s="75" t="n"/>
      <c r="AV313" s="75" t="n"/>
      <c r="AW313" s="75" t="n"/>
      <c r="AX313" s="75" t="n"/>
      <c r="AY313" s="75" t="n"/>
      <c r="AZ313" s="75" t="n"/>
      <c r="BA313" s="75" t="n"/>
      <c r="BB313" s="75" t="n"/>
      <c r="BC313" s="75" t="n"/>
      <c r="BD313" s="75" t="n"/>
      <c r="BE313" s="75" t="n"/>
      <c r="BF313" s="75" t="n"/>
      <c r="BG313" s="75" t="n"/>
      <c r="BH313" s="75" t="n"/>
      <c r="BI313" s="75" t="n"/>
      <c r="BJ313" s="75" t="n"/>
      <c r="BK313" s="75" t="n"/>
      <c r="BL313" s="75" t="n"/>
      <c r="BM313" s="75" t="n"/>
      <c r="BN313" s="75" t="n"/>
      <c r="BO313" s="75" t="n"/>
      <c r="BP313" s="75" t="n"/>
      <c r="BQ313" s="75" t="n"/>
      <c r="BR313" s="75" t="n"/>
      <c r="BS313" s="75" t="n"/>
      <c r="BT313" s="75" t="n"/>
      <c r="BU313" s="75" t="n"/>
      <c r="BV313" s="75" t="n"/>
      <c r="BW313" s="75" t="n"/>
      <c r="BX313" s="75" t="n"/>
      <c r="BY313" s="75" t="n"/>
      <c r="BZ313" s="75" t="n"/>
      <c r="CA313" s="75" t="n"/>
      <c r="CB313" s="75" t="n"/>
      <c r="CC313" s="75" t="n"/>
      <c r="CD313" s="75" t="n"/>
      <c r="CE313" s="75" t="n"/>
      <c r="CF313" s="75" t="n"/>
      <c r="CG313" s="75" t="n"/>
      <c r="CH313" s="75" t="n"/>
      <c r="CI313" s="75" t="n"/>
      <c r="CJ313" s="75" t="n"/>
      <c r="CK313" s="75" t="n"/>
      <c r="CL313" s="75" t="n"/>
      <c r="CM313" s="75" t="n"/>
      <c r="CN313" s="75" t="n"/>
      <c r="CO313" s="75" t="n"/>
      <c r="CP313" s="75" t="n"/>
      <c r="CQ313" s="75" t="n"/>
      <c r="CR313" s="75" t="n"/>
      <c r="CS313" s="75" t="n"/>
      <c r="CT313" s="75" t="n"/>
      <c r="CU313" s="75" t="n"/>
      <c r="CV313" s="75" t="n"/>
      <c r="CW313" s="75" t="n"/>
      <c r="CX313" s="75" t="n"/>
      <c r="CY313" s="75" t="n"/>
      <c r="CZ313" s="75" t="n"/>
    </row>
    <row r="314">
      <c r="B314" s="134">
        <f>IF($A313="",0,COUNT($E314:$CZ314))</f>
        <v/>
      </c>
    </row>
    <row r="315">
      <c r="A315" s="5">
        <f>IF(AS51!$C$160="","",AS51!$C$160)</f>
        <v/>
      </c>
      <c r="B315" s="134">
        <f>IF($A315="",0,COUNT($E315:$CZ315))</f>
        <v/>
      </c>
      <c r="C315" s="135">
        <f>IF($A315="",0,IF($B315=0,0,MAX($E315:$CZ315)))</f>
        <v/>
      </c>
      <c r="D315" s="74">
        <f>BDS($A315,'Field Check'!$C$42,"headers=y","startcol=2","endcol=3","dir=h")</f>
        <v/>
      </c>
      <c r="E315" s="75" t="n"/>
      <c r="F315" s="75" t="n"/>
      <c r="G315" s="75" t="n"/>
      <c r="H315" s="75" t="n"/>
      <c r="I315" s="75" t="n"/>
      <c r="J315" s="75" t="n"/>
      <c r="K315" s="75" t="n"/>
      <c r="L315" s="75" t="n"/>
      <c r="M315" s="75" t="n"/>
      <c r="N315" s="75" t="n"/>
      <c r="O315" s="75" t="n"/>
      <c r="P315" s="75" t="n"/>
      <c r="Q315" s="75" t="n"/>
      <c r="R315" s="75" t="n"/>
      <c r="S315" s="75" t="n"/>
      <c r="T315" s="75" t="n"/>
      <c r="U315" s="75" t="n"/>
      <c r="V315" s="75" t="n"/>
      <c r="W315" s="75" t="n"/>
      <c r="X315" s="75" t="n"/>
      <c r="Y315" s="75" t="n"/>
      <c r="Z315" s="75" t="n"/>
      <c r="AA315" s="75" t="n"/>
      <c r="AB315" s="75" t="n"/>
      <c r="AC315" s="75" t="n"/>
      <c r="AD315" s="75" t="n"/>
      <c r="AE315" s="75" t="n"/>
      <c r="AF315" s="75" t="n"/>
      <c r="AG315" s="75" t="n"/>
      <c r="AH315" s="75" t="n"/>
      <c r="AI315" s="75" t="n"/>
      <c r="AJ315" s="75" t="n"/>
      <c r="AK315" s="75" t="n"/>
      <c r="AL315" s="75" t="n"/>
      <c r="AM315" s="75" t="n"/>
      <c r="AN315" s="75" t="n"/>
      <c r="AO315" s="75" t="n"/>
      <c r="AP315" s="75" t="n"/>
      <c r="AQ315" s="75" t="n"/>
      <c r="AR315" s="75" t="n"/>
      <c r="AS315" s="75" t="n"/>
      <c r="AT315" s="75" t="n"/>
      <c r="AU315" s="75" t="n"/>
      <c r="AV315" s="75" t="n"/>
      <c r="AW315" s="75" t="n"/>
      <c r="AX315" s="75" t="n"/>
      <c r="AY315" s="75" t="n"/>
      <c r="AZ315" s="75" t="n"/>
      <c r="BA315" s="75" t="n"/>
      <c r="BB315" s="75" t="n"/>
      <c r="BC315" s="75" t="n"/>
      <c r="BD315" s="75" t="n"/>
      <c r="BE315" s="75" t="n"/>
      <c r="BF315" s="75" t="n"/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75" t="n"/>
      <c r="BR315" s="75" t="n"/>
      <c r="BS315" s="75" t="n"/>
      <c r="BT315" s="75" t="n"/>
      <c r="BU315" s="75" t="n"/>
      <c r="BV315" s="75" t="n"/>
      <c r="BW315" s="75" t="n"/>
      <c r="BX315" s="75" t="n"/>
      <c r="BY315" s="75" t="n"/>
      <c r="BZ315" s="75" t="n"/>
      <c r="CA315" s="75" t="n"/>
      <c r="CB315" s="75" t="n"/>
      <c r="CC315" s="75" t="n"/>
      <c r="CD315" s="75" t="n"/>
      <c r="CE315" s="75" t="n"/>
      <c r="CF315" s="75" t="n"/>
      <c r="CG315" s="75" t="n"/>
      <c r="CH315" s="75" t="n"/>
      <c r="CI315" s="75" t="n"/>
      <c r="CJ315" s="75" t="n"/>
      <c r="CK315" s="75" t="n"/>
      <c r="CL315" s="75" t="n"/>
      <c r="CM315" s="75" t="n"/>
      <c r="CN315" s="75" t="n"/>
      <c r="CO315" s="75" t="n"/>
      <c r="CP315" s="75" t="n"/>
      <c r="CQ315" s="75" t="n"/>
      <c r="CR315" s="75" t="n"/>
      <c r="CS315" s="75" t="n"/>
      <c r="CT315" s="75" t="n"/>
      <c r="CU315" s="75" t="n"/>
      <c r="CV315" s="75" t="n"/>
      <c r="CW315" s="75" t="n"/>
      <c r="CX315" s="75" t="n"/>
      <c r="CY315" s="75" t="n"/>
      <c r="CZ315" s="75" t="n"/>
    </row>
    <row r="316">
      <c r="B316" s="134">
        <f>IF($A315="",0,COUNT($E316:$CZ316))</f>
        <v/>
      </c>
    </row>
    <row r="317">
      <c r="A317" s="5">
        <f>IF(AS51!$C$161="","",AS51!$C$161)</f>
        <v/>
      </c>
      <c r="B317" s="134">
        <f>IF($A317="",0,COUNT($E317:$CZ317))</f>
        <v/>
      </c>
      <c r="C317" s="135">
        <f>IF($A317="",0,IF($B317=0,0,MAX($E317:$CZ317)))</f>
        <v/>
      </c>
      <c r="D317" s="74">
        <f>BDS($A317,'Field Check'!$C$42,"headers=y","startcol=2","endcol=3","dir=h")</f>
        <v/>
      </c>
      <c r="E317" s="75" t="n"/>
      <c r="F317" s="75" t="n"/>
      <c r="G317" s="75" t="n"/>
      <c r="H317" s="75" t="n"/>
      <c r="I317" s="75" t="n"/>
      <c r="J317" s="75" t="n"/>
      <c r="K317" s="75" t="n"/>
      <c r="L317" s="75" t="n"/>
      <c r="M317" s="75" t="n"/>
      <c r="N317" s="75" t="n"/>
      <c r="O317" s="75" t="n"/>
      <c r="P317" s="75" t="n"/>
      <c r="Q317" s="75" t="n"/>
      <c r="R317" s="75" t="n"/>
      <c r="S317" s="75" t="n"/>
      <c r="T317" s="75" t="n"/>
      <c r="U317" s="75" t="n"/>
      <c r="V317" s="75" t="n"/>
      <c r="W317" s="75" t="n"/>
      <c r="X317" s="75" t="n"/>
      <c r="Y317" s="75" t="n"/>
      <c r="Z317" s="75" t="n"/>
      <c r="AA317" s="75" t="n"/>
      <c r="AB317" s="75" t="n"/>
      <c r="AC317" s="75" t="n"/>
      <c r="AD317" s="75" t="n"/>
      <c r="AE317" s="75" t="n"/>
      <c r="AF317" s="75" t="n"/>
      <c r="AG317" s="75" t="n"/>
      <c r="AH317" s="75" t="n"/>
      <c r="AI317" s="75" t="n"/>
      <c r="AJ317" s="75" t="n"/>
      <c r="AK317" s="75" t="n"/>
      <c r="AL317" s="75" t="n"/>
      <c r="AM317" s="75" t="n"/>
      <c r="AN317" s="75" t="n"/>
      <c r="AO317" s="75" t="n"/>
      <c r="AP317" s="75" t="n"/>
      <c r="AQ317" s="75" t="n"/>
      <c r="AR317" s="75" t="n"/>
      <c r="AS317" s="75" t="n"/>
      <c r="AT317" s="75" t="n"/>
      <c r="AU317" s="75" t="n"/>
      <c r="AV317" s="75" t="n"/>
      <c r="AW317" s="75" t="n"/>
      <c r="AX317" s="75" t="n"/>
      <c r="AY317" s="75" t="n"/>
      <c r="AZ317" s="75" t="n"/>
      <c r="BA317" s="75" t="n"/>
      <c r="BB317" s="75" t="n"/>
      <c r="BC317" s="75" t="n"/>
      <c r="BD317" s="75" t="n"/>
      <c r="BE317" s="75" t="n"/>
      <c r="BF317" s="75" t="n"/>
      <c r="BG317" s="75" t="n"/>
      <c r="BH317" s="75" t="n"/>
      <c r="BI317" s="75" t="n"/>
      <c r="BJ317" s="75" t="n"/>
      <c r="BK317" s="75" t="n"/>
      <c r="BL317" s="75" t="n"/>
      <c r="BM317" s="75" t="n"/>
      <c r="BN317" s="75" t="n"/>
      <c r="BO317" s="75" t="n"/>
      <c r="BP317" s="75" t="n"/>
      <c r="BQ317" s="75" t="n"/>
      <c r="BR317" s="75" t="n"/>
      <c r="BS317" s="75" t="n"/>
      <c r="BT317" s="75" t="n"/>
      <c r="BU317" s="75" t="n"/>
      <c r="BV317" s="75" t="n"/>
      <c r="BW317" s="75" t="n"/>
      <c r="BX317" s="75" t="n"/>
      <c r="BY317" s="75" t="n"/>
      <c r="BZ317" s="75" t="n"/>
      <c r="CA317" s="75" t="n"/>
      <c r="CB317" s="75" t="n"/>
      <c r="CC317" s="75" t="n"/>
      <c r="CD317" s="75" t="n"/>
      <c r="CE317" s="75" t="n"/>
      <c r="CF317" s="75" t="n"/>
      <c r="CG317" s="75" t="n"/>
      <c r="CH317" s="75" t="n"/>
      <c r="CI317" s="75" t="n"/>
      <c r="CJ317" s="75" t="n"/>
      <c r="CK317" s="75" t="n"/>
      <c r="CL317" s="75" t="n"/>
      <c r="CM317" s="75" t="n"/>
      <c r="CN317" s="75" t="n"/>
      <c r="CO317" s="75" t="n"/>
      <c r="CP317" s="75" t="n"/>
      <c r="CQ317" s="75" t="n"/>
      <c r="CR317" s="75" t="n"/>
      <c r="CS317" s="75" t="n"/>
      <c r="CT317" s="75" t="n"/>
      <c r="CU317" s="75" t="n"/>
      <c r="CV317" s="75" t="n"/>
      <c r="CW317" s="75" t="n"/>
      <c r="CX317" s="75" t="n"/>
      <c r="CY317" s="75" t="n"/>
      <c r="CZ317" s="75" t="n"/>
    </row>
    <row r="318">
      <c r="B318" s="134">
        <f>IF($A317="",0,COUNT($E318:$CZ318))</f>
        <v/>
      </c>
    </row>
    <row r="319">
      <c r="A319" s="5">
        <f>IF(AS51!$C$162="","",AS51!$C$162)</f>
        <v/>
      </c>
      <c r="B319" s="134">
        <f>IF($A319="",0,COUNT($E319:$CZ319))</f>
        <v/>
      </c>
      <c r="C319" s="135">
        <f>IF($A319="",0,IF($B319=0,0,MAX($E319:$CZ319)))</f>
        <v/>
      </c>
      <c r="D319" s="74">
        <f>BDS($A319,'Field Check'!$C$42,"headers=y","startcol=2","endcol=3","dir=h")</f>
        <v/>
      </c>
      <c r="E319" s="75" t="n"/>
      <c r="F319" s="75" t="n"/>
      <c r="G319" s="75" t="n"/>
      <c r="H319" s="75" t="n"/>
      <c r="I319" s="75" t="n"/>
      <c r="J319" s="75" t="n"/>
      <c r="K319" s="75" t="n"/>
      <c r="L319" s="75" t="n"/>
      <c r="M319" s="75" t="n"/>
      <c r="N319" s="75" t="n"/>
      <c r="O319" s="75" t="n"/>
      <c r="P319" s="75" t="n"/>
      <c r="Q319" s="75" t="n"/>
      <c r="R319" s="75" t="n"/>
      <c r="S319" s="75" t="n"/>
      <c r="T319" s="75" t="n"/>
      <c r="U319" s="75" t="n"/>
      <c r="V319" s="75" t="n"/>
      <c r="W319" s="75" t="n"/>
      <c r="X319" s="75" t="n"/>
      <c r="Y319" s="75" t="n"/>
      <c r="Z319" s="75" t="n"/>
      <c r="AA319" s="75" t="n"/>
      <c r="AB319" s="75" t="n"/>
      <c r="AC319" s="75" t="n"/>
      <c r="AD319" s="75" t="n"/>
      <c r="AE319" s="75" t="n"/>
      <c r="AF319" s="75" t="n"/>
      <c r="AG319" s="75" t="n"/>
      <c r="AH319" s="75" t="n"/>
      <c r="AI319" s="75" t="n"/>
      <c r="AJ319" s="75" t="n"/>
      <c r="AK319" s="75" t="n"/>
      <c r="AL319" s="75" t="n"/>
      <c r="AM319" s="75" t="n"/>
      <c r="AN319" s="75" t="n"/>
      <c r="AO319" s="75" t="n"/>
      <c r="AP319" s="75" t="n"/>
      <c r="AQ319" s="75" t="n"/>
      <c r="AR319" s="75" t="n"/>
      <c r="AS319" s="75" t="n"/>
      <c r="AT319" s="75" t="n"/>
      <c r="AU319" s="75" t="n"/>
      <c r="AV319" s="75" t="n"/>
      <c r="AW319" s="75" t="n"/>
      <c r="AX319" s="75" t="n"/>
      <c r="AY319" s="75" t="n"/>
      <c r="AZ319" s="75" t="n"/>
      <c r="BA319" s="75" t="n"/>
      <c r="BB319" s="75" t="n"/>
      <c r="BC319" s="75" t="n"/>
      <c r="BD319" s="75" t="n"/>
      <c r="BE319" s="75" t="n"/>
      <c r="BF319" s="75" t="n"/>
      <c r="BG319" s="75" t="n"/>
      <c r="BH319" s="75" t="n"/>
      <c r="BI319" s="75" t="n"/>
      <c r="BJ319" s="75" t="n"/>
      <c r="BK319" s="75" t="n"/>
      <c r="BL319" s="75" t="n"/>
      <c r="BM319" s="75" t="n"/>
      <c r="BN319" s="75" t="n"/>
      <c r="BO319" s="75" t="n"/>
      <c r="BP319" s="75" t="n"/>
      <c r="BQ319" s="75" t="n"/>
      <c r="BR319" s="75" t="n"/>
      <c r="BS319" s="75" t="n"/>
      <c r="BT319" s="75" t="n"/>
      <c r="BU319" s="75" t="n"/>
      <c r="BV319" s="75" t="n"/>
      <c r="BW319" s="75" t="n"/>
      <c r="BX319" s="75" t="n"/>
      <c r="BY319" s="75" t="n"/>
      <c r="BZ319" s="75" t="n"/>
      <c r="CA319" s="75" t="n"/>
      <c r="CB319" s="75" t="n"/>
      <c r="CC319" s="75" t="n"/>
      <c r="CD319" s="75" t="n"/>
      <c r="CE319" s="75" t="n"/>
      <c r="CF319" s="75" t="n"/>
      <c r="CG319" s="75" t="n"/>
      <c r="CH319" s="75" t="n"/>
      <c r="CI319" s="75" t="n"/>
      <c r="CJ319" s="75" t="n"/>
      <c r="CK319" s="75" t="n"/>
      <c r="CL319" s="75" t="n"/>
      <c r="CM319" s="75" t="n"/>
      <c r="CN319" s="75" t="n"/>
      <c r="CO319" s="75" t="n"/>
      <c r="CP319" s="75" t="n"/>
      <c r="CQ319" s="75" t="n"/>
      <c r="CR319" s="75" t="n"/>
      <c r="CS319" s="75" t="n"/>
      <c r="CT319" s="75" t="n"/>
      <c r="CU319" s="75" t="n"/>
      <c r="CV319" s="75" t="n"/>
      <c r="CW319" s="75" t="n"/>
      <c r="CX319" s="75" t="n"/>
      <c r="CY319" s="75" t="n"/>
      <c r="CZ319" s="75" t="n"/>
    </row>
    <row r="320">
      <c r="B320" s="134">
        <f>IF($A319="",0,COUNT($E320:$CZ320))</f>
        <v/>
      </c>
    </row>
    <row r="321">
      <c r="A321" s="5">
        <f>IF(AS51!$C$163="","",AS51!$C$163)</f>
        <v/>
      </c>
      <c r="B321" s="134">
        <f>IF($A321="",0,COUNT($E321:$CZ321))</f>
        <v/>
      </c>
      <c r="C321" s="135">
        <f>IF($A321="",0,IF($B321=0,0,MAX($E321:$CZ321)))</f>
        <v/>
      </c>
      <c r="D321" s="74">
        <f>BDS($A321,'Field Check'!$C$42,"headers=y","startcol=2","endcol=3","dir=h")</f>
        <v/>
      </c>
      <c r="E321" s="75" t="n"/>
      <c r="F321" s="75" t="n"/>
      <c r="G321" s="75" t="n"/>
      <c r="H321" s="75" t="n"/>
      <c r="I321" s="75" t="n"/>
      <c r="J321" s="75" t="n"/>
      <c r="K321" s="75" t="n"/>
      <c r="L321" s="75" t="n"/>
      <c r="M321" s="75" t="n"/>
      <c r="N321" s="75" t="n"/>
      <c r="O321" s="75" t="n"/>
      <c r="P321" s="75" t="n"/>
      <c r="Q321" s="75" t="n"/>
      <c r="R321" s="75" t="n"/>
      <c r="S321" s="75" t="n"/>
      <c r="T321" s="75" t="n"/>
      <c r="U321" s="75" t="n"/>
      <c r="V321" s="75" t="n"/>
      <c r="W321" s="75" t="n"/>
      <c r="X321" s="75" t="n"/>
      <c r="Y321" s="75" t="n"/>
      <c r="Z321" s="75" t="n"/>
      <c r="AA321" s="75" t="n"/>
      <c r="AB321" s="75" t="n"/>
      <c r="AC321" s="75" t="n"/>
      <c r="AD321" s="75" t="n"/>
      <c r="AE321" s="75" t="n"/>
      <c r="AF321" s="75" t="n"/>
      <c r="AG321" s="75" t="n"/>
      <c r="AH321" s="75" t="n"/>
      <c r="AI321" s="75" t="n"/>
      <c r="AJ321" s="75" t="n"/>
      <c r="AK321" s="75" t="n"/>
      <c r="AL321" s="75" t="n"/>
      <c r="AM321" s="75" t="n"/>
      <c r="AN321" s="75" t="n"/>
      <c r="AO321" s="75" t="n"/>
      <c r="AP321" s="75" t="n"/>
      <c r="AQ321" s="75" t="n"/>
      <c r="AR321" s="75" t="n"/>
      <c r="AS321" s="75" t="n"/>
      <c r="AT321" s="75" t="n"/>
      <c r="AU321" s="75" t="n"/>
      <c r="AV321" s="75" t="n"/>
      <c r="AW321" s="75" t="n"/>
      <c r="AX321" s="75" t="n"/>
      <c r="AY321" s="75" t="n"/>
      <c r="AZ321" s="75" t="n"/>
      <c r="BA321" s="75" t="n"/>
      <c r="BB321" s="75" t="n"/>
      <c r="BC321" s="75" t="n"/>
      <c r="BD321" s="75" t="n"/>
      <c r="BE321" s="75" t="n"/>
      <c r="BF321" s="75" t="n"/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75" t="n"/>
      <c r="BR321" s="75" t="n"/>
      <c r="BS321" s="75" t="n"/>
      <c r="BT321" s="75" t="n"/>
      <c r="BU321" s="75" t="n"/>
      <c r="BV321" s="75" t="n"/>
      <c r="BW321" s="75" t="n"/>
      <c r="BX321" s="75" t="n"/>
      <c r="BY321" s="75" t="n"/>
      <c r="BZ321" s="75" t="n"/>
      <c r="CA321" s="75" t="n"/>
      <c r="CB321" s="75" t="n"/>
      <c r="CC321" s="75" t="n"/>
      <c r="CD321" s="75" t="n"/>
      <c r="CE321" s="75" t="n"/>
      <c r="CF321" s="75" t="n"/>
      <c r="CG321" s="75" t="n"/>
      <c r="CH321" s="75" t="n"/>
      <c r="CI321" s="75" t="n"/>
      <c r="CJ321" s="75" t="n"/>
      <c r="CK321" s="75" t="n"/>
      <c r="CL321" s="75" t="n"/>
      <c r="CM321" s="75" t="n"/>
      <c r="CN321" s="75" t="n"/>
      <c r="CO321" s="75" t="n"/>
      <c r="CP321" s="75" t="n"/>
      <c r="CQ321" s="75" t="n"/>
      <c r="CR321" s="75" t="n"/>
      <c r="CS321" s="75" t="n"/>
      <c r="CT321" s="75" t="n"/>
      <c r="CU321" s="75" t="n"/>
      <c r="CV321" s="75" t="n"/>
      <c r="CW321" s="75" t="n"/>
      <c r="CX321" s="75" t="n"/>
      <c r="CY321" s="75" t="n"/>
      <c r="CZ321" s="75" t="n"/>
    </row>
    <row r="322">
      <c r="B322" s="134">
        <f>IF($A321="",0,COUNT($E322:$CZ322))</f>
        <v/>
      </c>
    </row>
    <row r="323">
      <c r="A323" s="5">
        <f>IF(AS51!$C$164="","",AS51!$C$164)</f>
        <v/>
      </c>
      <c r="B323" s="134">
        <f>IF($A323="",0,COUNT($E323:$CZ323))</f>
        <v/>
      </c>
      <c r="C323" s="135">
        <f>IF($A323="",0,IF($B323=0,0,MAX($E323:$CZ323)))</f>
        <v/>
      </c>
      <c r="D323" s="74">
        <f>BDS($A323,'Field Check'!$C$42,"headers=y","startcol=2","endcol=3","dir=h")</f>
        <v/>
      </c>
      <c r="E323" s="75" t="n"/>
      <c r="F323" s="75" t="n"/>
      <c r="G323" s="75" t="n"/>
      <c r="H323" s="75" t="n"/>
      <c r="I323" s="75" t="n"/>
      <c r="J323" s="75" t="n"/>
      <c r="K323" s="75" t="n"/>
      <c r="L323" s="75" t="n"/>
      <c r="M323" s="75" t="n"/>
      <c r="N323" s="75" t="n"/>
      <c r="O323" s="75" t="n"/>
      <c r="P323" s="75" t="n"/>
      <c r="Q323" s="75" t="n"/>
      <c r="R323" s="75" t="n"/>
      <c r="S323" s="75" t="n"/>
      <c r="T323" s="75" t="n"/>
      <c r="U323" s="75" t="n"/>
      <c r="V323" s="75" t="n"/>
      <c r="W323" s="75" t="n"/>
      <c r="X323" s="75" t="n"/>
      <c r="Y323" s="75" t="n"/>
      <c r="Z323" s="75" t="n"/>
      <c r="AA323" s="75" t="n"/>
      <c r="AB323" s="75" t="n"/>
      <c r="AC323" s="75" t="n"/>
      <c r="AD323" s="75" t="n"/>
      <c r="AE323" s="75" t="n"/>
      <c r="AF323" s="75" t="n"/>
      <c r="AG323" s="75" t="n"/>
      <c r="AH323" s="75" t="n"/>
      <c r="AI323" s="75" t="n"/>
      <c r="AJ323" s="75" t="n"/>
      <c r="AK323" s="75" t="n"/>
      <c r="AL323" s="75" t="n"/>
      <c r="AM323" s="75" t="n"/>
      <c r="AN323" s="75" t="n"/>
      <c r="AO323" s="75" t="n"/>
      <c r="AP323" s="75" t="n"/>
      <c r="AQ323" s="75" t="n"/>
      <c r="AR323" s="75" t="n"/>
      <c r="AS323" s="75" t="n"/>
      <c r="AT323" s="75" t="n"/>
      <c r="AU323" s="75" t="n"/>
      <c r="AV323" s="75" t="n"/>
      <c r="AW323" s="75" t="n"/>
      <c r="AX323" s="75" t="n"/>
      <c r="AY323" s="75" t="n"/>
      <c r="AZ323" s="75" t="n"/>
      <c r="BA323" s="75" t="n"/>
      <c r="BB323" s="75" t="n"/>
      <c r="BC323" s="75" t="n"/>
      <c r="BD323" s="75" t="n"/>
      <c r="BE323" s="75" t="n"/>
      <c r="BF323" s="75" t="n"/>
      <c r="BG323" s="75" t="n"/>
      <c r="BH323" s="75" t="n"/>
      <c r="BI323" s="75" t="n"/>
      <c r="BJ323" s="75" t="n"/>
      <c r="BK323" s="75" t="n"/>
      <c r="BL323" s="75" t="n"/>
      <c r="BM323" s="75" t="n"/>
      <c r="BN323" s="75" t="n"/>
      <c r="BO323" s="75" t="n"/>
      <c r="BP323" s="75" t="n"/>
      <c r="BQ323" s="75" t="n"/>
      <c r="BR323" s="75" t="n"/>
      <c r="BS323" s="75" t="n"/>
      <c r="BT323" s="75" t="n"/>
      <c r="BU323" s="75" t="n"/>
      <c r="BV323" s="75" t="n"/>
      <c r="BW323" s="75" t="n"/>
      <c r="BX323" s="75" t="n"/>
      <c r="BY323" s="75" t="n"/>
      <c r="BZ323" s="75" t="n"/>
      <c r="CA323" s="75" t="n"/>
      <c r="CB323" s="75" t="n"/>
      <c r="CC323" s="75" t="n"/>
      <c r="CD323" s="75" t="n"/>
      <c r="CE323" s="75" t="n"/>
      <c r="CF323" s="75" t="n"/>
      <c r="CG323" s="75" t="n"/>
      <c r="CH323" s="75" t="n"/>
      <c r="CI323" s="75" t="n"/>
      <c r="CJ323" s="75" t="n"/>
      <c r="CK323" s="75" t="n"/>
      <c r="CL323" s="75" t="n"/>
      <c r="CM323" s="75" t="n"/>
      <c r="CN323" s="75" t="n"/>
      <c r="CO323" s="75" t="n"/>
      <c r="CP323" s="75" t="n"/>
      <c r="CQ323" s="75" t="n"/>
      <c r="CR323" s="75" t="n"/>
      <c r="CS323" s="75" t="n"/>
      <c r="CT323" s="75" t="n"/>
      <c r="CU323" s="75" t="n"/>
      <c r="CV323" s="75" t="n"/>
      <c r="CW323" s="75" t="n"/>
      <c r="CX323" s="75" t="n"/>
      <c r="CY323" s="75" t="n"/>
      <c r="CZ323" s="75" t="n"/>
    </row>
    <row r="324">
      <c r="B324" s="134">
        <f>IF($A323="",0,COUNT($E324:$CZ324))</f>
        <v/>
      </c>
    </row>
    <row r="325">
      <c r="A325" s="5">
        <f>IF(AS51!$C$165="","",AS51!$C$165)</f>
        <v/>
      </c>
      <c r="B325" s="134">
        <f>IF($A325="",0,COUNT($E325:$CZ325))</f>
        <v/>
      </c>
      <c r="C325" s="135">
        <f>IF($A325="",0,IF($B325=0,0,MAX($E325:$CZ325)))</f>
        <v/>
      </c>
      <c r="D325" s="74">
        <f>BDS($A325,'Field Check'!$C$42,"headers=y","startcol=2","endcol=3","dir=h")</f>
        <v/>
      </c>
      <c r="E325" s="75" t="n"/>
      <c r="F325" s="75" t="n"/>
      <c r="G325" s="75" t="n"/>
      <c r="H325" s="75" t="n"/>
      <c r="I325" s="75" t="n"/>
      <c r="J325" s="75" t="n"/>
      <c r="K325" s="75" t="n"/>
      <c r="L325" s="75" t="n"/>
      <c r="M325" s="75" t="n"/>
      <c r="N325" s="75" t="n"/>
      <c r="O325" s="75" t="n"/>
      <c r="P325" s="75" t="n"/>
      <c r="Q325" s="75" t="n"/>
      <c r="R325" s="75" t="n"/>
      <c r="S325" s="75" t="n"/>
      <c r="T325" s="75" t="n"/>
      <c r="U325" s="75" t="n"/>
      <c r="V325" s="75" t="n"/>
      <c r="W325" s="75" t="n"/>
      <c r="X325" s="75" t="n"/>
      <c r="Y325" s="75" t="n"/>
      <c r="Z325" s="75" t="n"/>
      <c r="AA325" s="75" t="n"/>
      <c r="AB325" s="75" t="n"/>
      <c r="AC325" s="75" t="n"/>
      <c r="AD325" s="75" t="n"/>
      <c r="AE325" s="75" t="n"/>
      <c r="AF325" s="75" t="n"/>
      <c r="AG325" s="75" t="n"/>
      <c r="AH325" s="75" t="n"/>
      <c r="AI325" s="75" t="n"/>
      <c r="AJ325" s="75" t="n"/>
      <c r="AK325" s="75" t="n"/>
      <c r="AL325" s="75" t="n"/>
      <c r="AM325" s="75" t="n"/>
      <c r="AN325" s="75" t="n"/>
      <c r="AO325" s="75" t="n"/>
      <c r="AP325" s="75" t="n"/>
      <c r="AQ325" s="75" t="n"/>
      <c r="AR325" s="75" t="n"/>
      <c r="AS325" s="75" t="n"/>
      <c r="AT325" s="75" t="n"/>
      <c r="AU325" s="75" t="n"/>
      <c r="AV325" s="75" t="n"/>
      <c r="AW325" s="75" t="n"/>
      <c r="AX325" s="75" t="n"/>
      <c r="AY325" s="75" t="n"/>
      <c r="AZ325" s="75" t="n"/>
      <c r="BA325" s="75" t="n"/>
      <c r="BB325" s="75" t="n"/>
      <c r="BC325" s="75" t="n"/>
      <c r="BD325" s="75" t="n"/>
      <c r="BE325" s="75" t="n"/>
      <c r="BF325" s="75" t="n"/>
      <c r="BG325" s="75" t="n"/>
      <c r="BH325" s="75" t="n"/>
      <c r="BI325" s="75" t="n"/>
      <c r="BJ325" s="75" t="n"/>
      <c r="BK325" s="75" t="n"/>
      <c r="BL325" s="75" t="n"/>
      <c r="BM325" s="75" t="n"/>
      <c r="BN325" s="75" t="n"/>
      <c r="BO325" s="75" t="n"/>
      <c r="BP325" s="75" t="n"/>
      <c r="BQ325" s="75" t="n"/>
      <c r="BR325" s="75" t="n"/>
      <c r="BS325" s="75" t="n"/>
      <c r="BT325" s="75" t="n"/>
      <c r="BU325" s="75" t="n"/>
      <c r="BV325" s="75" t="n"/>
      <c r="BW325" s="75" t="n"/>
      <c r="BX325" s="75" t="n"/>
      <c r="BY325" s="75" t="n"/>
      <c r="BZ325" s="75" t="n"/>
      <c r="CA325" s="75" t="n"/>
      <c r="CB325" s="75" t="n"/>
      <c r="CC325" s="75" t="n"/>
      <c r="CD325" s="75" t="n"/>
      <c r="CE325" s="75" t="n"/>
      <c r="CF325" s="75" t="n"/>
      <c r="CG325" s="75" t="n"/>
      <c r="CH325" s="75" t="n"/>
      <c r="CI325" s="75" t="n"/>
      <c r="CJ325" s="75" t="n"/>
      <c r="CK325" s="75" t="n"/>
      <c r="CL325" s="75" t="n"/>
      <c r="CM325" s="75" t="n"/>
      <c r="CN325" s="75" t="n"/>
      <c r="CO325" s="75" t="n"/>
      <c r="CP325" s="75" t="n"/>
      <c r="CQ325" s="75" t="n"/>
      <c r="CR325" s="75" t="n"/>
      <c r="CS325" s="75" t="n"/>
      <c r="CT325" s="75" t="n"/>
      <c r="CU325" s="75" t="n"/>
      <c r="CV325" s="75" t="n"/>
      <c r="CW325" s="75" t="n"/>
      <c r="CX325" s="75" t="n"/>
      <c r="CY325" s="75" t="n"/>
      <c r="CZ325" s="75" t="n"/>
    </row>
    <row r="326">
      <c r="B326" s="134">
        <f>IF($A325="",0,COUNT($E326:$CZ326))</f>
        <v/>
      </c>
    </row>
    <row r="327">
      <c r="A327" s="5">
        <f>IF(AS51!$C$166="","",AS51!$C$166)</f>
        <v/>
      </c>
      <c r="B327" s="134">
        <f>IF($A327="",0,COUNT($E327:$CZ327))</f>
        <v/>
      </c>
      <c r="C327" s="135">
        <f>IF($A327="",0,IF($B327=0,0,MAX($E327:$CZ327)))</f>
        <v/>
      </c>
      <c r="D327" s="74">
        <f>BDS($A327,'Field Check'!$C$42,"headers=y","startcol=2","endcol=3","dir=h")</f>
        <v/>
      </c>
      <c r="E327" s="75" t="n"/>
      <c r="F327" s="75" t="n"/>
      <c r="G327" s="75" t="n"/>
      <c r="H327" s="75" t="n"/>
      <c r="I327" s="75" t="n"/>
      <c r="J327" s="75" t="n"/>
      <c r="K327" s="75" t="n"/>
      <c r="L327" s="75" t="n"/>
      <c r="M327" s="75" t="n"/>
      <c r="N327" s="75" t="n"/>
      <c r="O327" s="75" t="n"/>
      <c r="P327" s="75" t="n"/>
      <c r="Q327" s="75" t="n"/>
      <c r="R327" s="75" t="n"/>
      <c r="S327" s="75" t="n"/>
      <c r="T327" s="75" t="n"/>
      <c r="U327" s="75" t="n"/>
      <c r="V327" s="75" t="n"/>
      <c r="W327" s="75" t="n"/>
      <c r="X327" s="75" t="n"/>
      <c r="Y327" s="75" t="n"/>
      <c r="Z327" s="75" t="n"/>
      <c r="AA327" s="75" t="n"/>
      <c r="AB327" s="75" t="n"/>
      <c r="AC327" s="75" t="n"/>
      <c r="AD327" s="75" t="n"/>
      <c r="AE327" s="75" t="n"/>
      <c r="AF327" s="75" t="n"/>
      <c r="AG327" s="75" t="n"/>
      <c r="AH327" s="75" t="n"/>
      <c r="AI327" s="75" t="n"/>
      <c r="AJ327" s="75" t="n"/>
      <c r="AK327" s="75" t="n"/>
      <c r="AL327" s="75" t="n"/>
      <c r="AM327" s="75" t="n"/>
      <c r="AN327" s="75" t="n"/>
      <c r="AO327" s="75" t="n"/>
      <c r="AP327" s="75" t="n"/>
      <c r="AQ327" s="75" t="n"/>
      <c r="AR327" s="75" t="n"/>
      <c r="AS327" s="75" t="n"/>
      <c r="AT327" s="75" t="n"/>
      <c r="AU327" s="75" t="n"/>
      <c r="AV327" s="75" t="n"/>
      <c r="AW327" s="75" t="n"/>
      <c r="AX327" s="75" t="n"/>
      <c r="AY327" s="75" t="n"/>
      <c r="AZ327" s="75" t="n"/>
      <c r="BA327" s="75" t="n"/>
      <c r="BB327" s="75" t="n"/>
      <c r="BC327" s="75" t="n"/>
      <c r="BD327" s="75" t="n"/>
      <c r="BE327" s="75" t="n"/>
      <c r="BF327" s="75" t="n"/>
      <c r="BG327" s="75" t="n"/>
      <c r="BH327" s="75" t="n"/>
      <c r="BI327" s="75" t="n"/>
      <c r="BJ327" s="75" t="n"/>
      <c r="BK327" s="75" t="n"/>
      <c r="BL327" s="75" t="n"/>
      <c r="BM327" s="75" t="n"/>
      <c r="BN327" s="75" t="n"/>
      <c r="BO327" s="75" t="n"/>
      <c r="BP327" s="75" t="n"/>
      <c r="BQ327" s="75" t="n"/>
      <c r="BR327" s="75" t="n"/>
      <c r="BS327" s="75" t="n"/>
      <c r="BT327" s="75" t="n"/>
      <c r="BU327" s="75" t="n"/>
      <c r="BV327" s="75" t="n"/>
      <c r="BW327" s="75" t="n"/>
      <c r="BX327" s="75" t="n"/>
      <c r="BY327" s="75" t="n"/>
      <c r="BZ327" s="75" t="n"/>
      <c r="CA327" s="75" t="n"/>
      <c r="CB327" s="75" t="n"/>
      <c r="CC327" s="75" t="n"/>
      <c r="CD327" s="75" t="n"/>
      <c r="CE327" s="75" t="n"/>
      <c r="CF327" s="75" t="n"/>
      <c r="CG327" s="75" t="n"/>
      <c r="CH327" s="75" t="n"/>
      <c r="CI327" s="75" t="n"/>
      <c r="CJ327" s="75" t="n"/>
      <c r="CK327" s="75" t="n"/>
      <c r="CL327" s="75" t="n"/>
      <c r="CM327" s="75" t="n"/>
      <c r="CN327" s="75" t="n"/>
      <c r="CO327" s="75" t="n"/>
      <c r="CP327" s="75" t="n"/>
      <c r="CQ327" s="75" t="n"/>
      <c r="CR327" s="75" t="n"/>
      <c r="CS327" s="75" t="n"/>
      <c r="CT327" s="75" t="n"/>
      <c r="CU327" s="75" t="n"/>
      <c r="CV327" s="75" t="n"/>
      <c r="CW327" s="75" t="n"/>
      <c r="CX327" s="75" t="n"/>
      <c r="CY327" s="75" t="n"/>
      <c r="CZ327" s="75" t="n"/>
    </row>
    <row r="328">
      <c r="B328" s="134">
        <f>IF($A327="",0,COUNT($E328:$CZ328))</f>
        <v/>
      </c>
    </row>
    <row r="329">
      <c r="A329" s="5">
        <f>IF(AS51!$C$167="","",AS51!$C$167)</f>
        <v/>
      </c>
      <c r="B329" s="134">
        <f>IF($A329="",0,COUNT($E329:$CZ329))</f>
        <v/>
      </c>
      <c r="C329" s="135">
        <f>IF($A329="",0,IF($B329=0,0,MAX($E329:$CZ329)))</f>
        <v/>
      </c>
      <c r="D329" s="74">
        <f>BDS($A329,'Field Check'!$C$42,"headers=y","startcol=2","endcol=3","dir=h")</f>
        <v/>
      </c>
      <c r="E329" s="75" t="n"/>
      <c r="F329" s="75" t="n"/>
      <c r="G329" s="75" t="n"/>
      <c r="H329" s="75" t="n"/>
      <c r="I329" s="75" t="n"/>
      <c r="J329" s="75" t="n"/>
      <c r="K329" s="75" t="n"/>
      <c r="L329" s="75" t="n"/>
      <c r="M329" s="75" t="n"/>
      <c r="N329" s="75" t="n"/>
      <c r="O329" s="75" t="n"/>
      <c r="P329" s="75" t="n"/>
      <c r="Q329" s="75" t="n"/>
      <c r="R329" s="75" t="n"/>
      <c r="S329" s="75" t="n"/>
      <c r="T329" s="75" t="n"/>
      <c r="U329" s="75" t="n"/>
      <c r="V329" s="75" t="n"/>
      <c r="W329" s="75" t="n"/>
      <c r="X329" s="75" t="n"/>
      <c r="Y329" s="75" t="n"/>
      <c r="Z329" s="75" t="n"/>
      <c r="AA329" s="75" t="n"/>
      <c r="AB329" s="75" t="n"/>
      <c r="AC329" s="75" t="n"/>
      <c r="AD329" s="75" t="n"/>
      <c r="AE329" s="75" t="n"/>
      <c r="AF329" s="75" t="n"/>
      <c r="AG329" s="75" t="n"/>
      <c r="AH329" s="75" t="n"/>
      <c r="AI329" s="75" t="n"/>
      <c r="AJ329" s="75" t="n"/>
      <c r="AK329" s="75" t="n"/>
      <c r="AL329" s="75" t="n"/>
      <c r="AM329" s="75" t="n"/>
      <c r="AN329" s="75" t="n"/>
      <c r="AO329" s="75" t="n"/>
      <c r="AP329" s="75" t="n"/>
      <c r="AQ329" s="75" t="n"/>
      <c r="AR329" s="75" t="n"/>
      <c r="AS329" s="75" t="n"/>
      <c r="AT329" s="75" t="n"/>
      <c r="AU329" s="75" t="n"/>
      <c r="AV329" s="75" t="n"/>
      <c r="AW329" s="75" t="n"/>
      <c r="AX329" s="75" t="n"/>
      <c r="AY329" s="75" t="n"/>
      <c r="AZ329" s="75" t="n"/>
      <c r="BA329" s="75" t="n"/>
      <c r="BB329" s="75" t="n"/>
      <c r="BC329" s="75" t="n"/>
      <c r="BD329" s="75" t="n"/>
      <c r="BE329" s="75" t="n"/>
      <c r="BF329" s="75" t="n"/>
      <c r="BG329" s="75" t="n"/>
      <c r="BH329" s="75" t="n"/>
      <c r="BI329" s="75" t="n"/>
      <c r="BJ329" s="75" t="n"/>
      <c r="BK329" s="75" t="n"/>
      <c r="BL329" s="75" t="n"/>
      <c r="BM329" s="75" t="n"/>
      <c r="BN329" s="75" t="n"/>
      <c r="BO329" s="75" t="n"/>
      <c r="BP329" s="75" t="n"/>
      <c r="BQ329" s="75" t="n"/>
      <c r="BR329" s="75" t="n"/>
      <c r="BS329" s="75" t="n"/>
      <c r="BT329" s="75" t="n"/>
      <c r="BU329" s="75" t="n"/>
      <c r="BV329" s="75" t="n"/>
      <c r="BW329" s="75" t="n"/>
      <c r="BX329" s="75" t="n"/>
      <c r="BY329" s="75" t="n"/>
      <c r="BZ329" s="75" t="n"/>
      <c r="CA329" s="75" t="n"/>
      <c r="CB329" s="75" t="n"/>
      <c r="CC329" s="75" t="n"/>
      <c r="CD329" s="75" t="n"/>
      <c r="CE329" s="75" t="n"/>
      <c r="CF329" s="75" t="n"/>
      <c r="CG329" s="75" t="n"/>
      <c r="CH329" s="75" t="n"/>
      <c r="CI329" s="75" t="n"/>
      <c r="CJ329" s="75" t="n"/>
      <c r="CK329" s="75" t="n"/>
      <c r="CL329" s="75" t="n"/>
      <c r="CM329" s="75" t="n"/>
      <c r="CN329" s="75" t="n"/>
      <c r="CO329" s="75" t="n"/>
      <c r="CP329" s="75" t="n"/>
      <c r="CQ329" s="75" t="n"/>
      <c r="CR329" s="75" t="n"/>
      <c r="CS329" s="75" t="n"/>
      <c r="CT329" s="75" t="n"/>
      <c r="CU329" s="75" t="n"/>
      <c r="CV329" s="75" t="n"/>
      <c r="CW329" s="75" t="n"/>
      <c r="CX329" s="75" t="n"/>
      <c r="CY329" s="75" t="n"/>
      <c r="CZ329" s="75" t="n"/>
    </row>
    <row r="330">
      <c r="B330" s="134">
        <f>IF($A329="",0,COUNT($E330:$CZ330))</f>
        <v/>
      </c>
    </row>
    <row r="331">
      <c r="A331" s="5">
        <f>IF(AS51!$C$168="","",AS51!$C$168)</f>
        <v/>
      </c>
      <c r="B331" s="134">
        <f>IF($A331="",0,COUNT($E331:$CZ331))</f>
        <v/>
      </c>
      <c r="C331" s="135">
        <f>IF($A331="",0,IF($B331=0,0,MAX($E331:$CZ331)))</f>
        <v/>
      </c>
      <c r="D331" s="74">
        <f>BDS($A331,'Field Check'!$C$42,"headers=y","startcol=2","endcol=3","dir=h")</f>
        <v/>
      </c>
      <c r="E331" s="75" t="n"/>
      <c r="F331" s="75" t="n"/>
      <c r="G331" s="75" t="n"/>
      <c r="H331" s="75" t="n"/>
      <c r="I331" s="75" t="n"/>
      <c r="J331" s="75" t="n"/>
      <c r="K331" s="75" t="n"/>
      <c r="L331" s="75" t="n"/>
      <c r="M331" s="75" t="n"/>
      <c r="N331" s="75" t="n"/>
      <c r="O331" s="75" t="n"/>
      <c r="P331" s="75" t="n"/>
      <c r="Q331" s="75" t="n"/>
      <c r="R331" s="75" t="n"/>
      <c r="S331" s="75" t="n"/>
      <c r="T331" s="75" t="n"/>
      <c r="U331" s="75" t="n"/>
      <c r="V331" s="75" t="n"/>
      <c r="W331" s="75" t="n"/>
      <c r="X331" s="75" t="n"/>
      <c r="Y331" s="75" t="n"/>
      <c r="Z331" s="75" t="n"/>
      <c r="AA331" s="75" t="n"/>
      <c r="AB331" s="75" t="n"/>
      <c r="AC331" s="75" t="n"/>
      <c r="AD331" s="75" t="n"/>
      <c r="AE331" s="75" t="n"/>
      <c r="AF331" s="75" t="n"/>
      <c r="AG331" s="75" t="n"/>
      <c r="AH331" s="75" t="n"/>
      <c r="AI331" s="75" t="n"/>
      <c r="AJ331" s="75" t="n"/>
      <c r="AK331" s="75" t="n"/>
      <c r="AL331" s="75" t="n"/>
      <c r="AM331" s="75" t="n"/>
      <c r="AN331" s="75" t="n"/>
      <c r="AO331" s="75" t="n"/>
      <c r="AP331" s="75" t="n"/>
      <c r="AQ331" s="75" t="n"/>
      <c r="AR331" s="75" t="n"/>
      <c r="AS331" s="75" t="n"/>
      <c r="AT331" s="75" t="n"/>
      <c r="AU331" s="75" t="n"/>
      <c r="AV331" s="75" t="n"/>
      <c r="AW331" s="75" t="n"/>
      <c r="AX331" s="75" t="n"/>
      <c r="AY331" s="75" t="n"/>
      <c r="AZ331" s="75" t="n"/>
      <c r="BA331" s="75" t="n"/>
      <c r="BB331" s="75" t="n"/>
      <c r="BC331" s="75" t="n"/>
      <c r="BD331" s="75" t="n"/>
      <c r="BE331" s="75" t="n"/>
      <c r="BF331" s="75" t="n"/>
      <c r="BG331" s="75" t="n"/>
      <c r="BH331" s="75" t="n"/>
      <c r="BI331" s="75" t="n"/>
      <c r="BJ331" s="75" t="n"/>
      <c r="BK331" s="75" t="n"/>
      <c r="BL331" s="75" t="n"/>
      <c r="BM331" s="75" t="n"/>
      <c r="BN331" s="75" t="n"/>
      <c r="BO331" s="75" t="n"/>
      <c r="BP331" s="75" t="n"/>
      <c r="BQ331" s="75" t="n"/>
      <c r="BR331" s="75" t="n"/>
      <c r="BS331" s="75" t="n"/>
      <c r="BT331" s="75" t="n"/>
      <c r="BU331" s="75" t="n"/>
      <c r="BV331" s="75" t="n"/>
      <c r="BW331" s="75" t="n"/>
      <c r="BX331" s="75" t="n"/>
      <c r="BY331" s="75" t="n"/>
      <c r="BZ331" s="75" t="n"/>
      <c r="CA331" s="75" t="n"/>
      <c r="CB331" s="75" t="n"/>
      <c r="CC331" s="75" t="n"/>
      <c r="CD331" s="75" t="n"/>
      <c r="CE331" s="75" t="n"/>
      <c r="CF331" s="75" t="n"/>
      <c r="CG331" s="75" t="n"/>
      <c r="CH331" s="75" t="n"/>
      <c r="CI331" s="75" t="n"/>
      <c r="CJ331" s="75" t="n"/>
      <c r="CK331" s="75" t="n"/>
      <c r="CL331" s="75" t="n"/>
      <c r="CM331" s="75" t="n"/>
      <c r="CN331" s="75" t="n"/>
      <c r="CO331" s="75" t="n"/>
      <c r="CP331" s="75" t="n"/>
      <c r="CQ331" s="75" t="n"/>
      <c r="CR331" s="75" t="n"/>
      <c r="CS331" s="75" t="n"/>
      <c r="CT331" s="75" t="n"/>
      <c r="CU331" s="75" t="n"/>
      <c r="CV331" s="75" t="n"/>
      <c r="CW331" s="75" t="n"/>
      <c r="CX331" s="75" t="n"/>
      <c r="CY331" s="75" t="n"/>
      <c r="CZ331" s="75" t="n"/>
    </row>
    <row r="332">
      <c r="B332" s="134">
        <f>IF($A331="",0,COUNT($E332:$CZ332))</f>
        <v/>
      </c>
    </row>
    <row r="333">
      <c r="A333" s="5">
        <f>IF(AS51!$C$169="","",AS51!$C$169)</f>
        <v/>
      </c>
      <c r="B333" s="134">
        <f>IF($A333="",0,COUNT($E333:$CZ333))</f>
        <v/>
      </c>
      <c r="C333" s="135">
        <f>IF($A333="",0,IF($B333=0,0,MAX($E333:$CZ333)))</f>
        <v/>
      </c>
      <c r="D333" s="74">
        <f>BDS($A333,'Field Check'!$C$42,"headers=y","startcol=2","endcol=3","dir=h")</f>
        <v/>
      </c>
      <c r="E333" s="75" t="n"/>
      <c r="F333" s="75" t="n"/>
      <c r="G333" s="75" t="n"/>
      <c r="H333" s="75" t="n"/>
      <c r="I333" s="75" t="n"/>
      <c r="J333" s="75" t="n"/>
      <c r="K333" s="75" t="n"/>
      <c r="L333" s="75" t="n"/>
      <c r="M333" s="75" t="n"/>
      <c r="N333" s="75" t="n"/>
      <c r="O333" s="75" t="n"/>
      <c r="P333" s="75" t="n"/>
      <c r="Q333" s="75" t="n"/>
      <c r="R333" s="75" t="n"/>
      <c r="S333" s="75" t="n"/>
      <c r="T333" s="75" t="n"/>
      <c r="U333" s="75" t="n"/>
      <c r="V333" s="75" t="n"/>
      <c r="W333" s="75" t="n"/>
      <c r="X333" s="75" t="n"/>
      <c r="Y333" s="75" t="n"/>
      <c r="Z333" s="75" t="n"/>
      <c r="AA333" s="75" t="n"/>
      <c r="AB333" s="75" t="n"/>
      <c r="AC333" s="75" t="n"/>
      <c r="AD333" s="75" t="n"/>
      <c r="AE333" s="75" t="n"/>
      <c r="AF333" s="75" t="n"/>
      <c r="AG333" s="75" t="n"/>
      <c r="AH333" s="75" t="n"/>
      <c r="AI333" s="75" t="n"/>
      <c r="AJ333" s="75" t="n"/>
      <c r="AK333" s="75" t="n"/>
      <c r="AL333" s="75" t="n"/>
      <c r="AM333" s="75" t="n"/>
      <c r="AN333" s="75" t="n"/>
      <c r="AO333" s="75" t="n"/>
      <c r="AP333" s="75" t="n"/>
      <c r="AQ333" s="75" t="n"/>
      <c r="AR333" s="75" t="n"/>
      <c r="AS333" s="75" t="n"/>
      <c r="AT333" s="75" t="n"/>
      <c r="AU333" s="75" t="n"/>
      <c r="AV333" s="75" t="n"/>
      <c r="AW333" s="75" t="n"/>
      <c r="AX333" s="75" t="n"/>
      <c r="AY333" s="75" t="n"/>
      <c r="AZ333" s="75" t="n"/>
      <c r="BA333" s="75" t="n"/>
      <c r="BB333" s="75" t="n"/>
      <c r="BC333" s="75" t="n"/>
      <c r="BD333" s="75" t="n"/>
      <c r="BE333" s="75" t="n"/>
      <c r="BF333" s="75" t="n"/>
      <c r="BG333" s="75" t="n"/>
      <c r="BH333" s="75" t="n"/>
      <c r="BI333" s="75" t="n"/>
      <c r="BJ333" s="75" t="n"/>
      <c r="BK333" s="75" t="n"/>
      <c r="BL333" s="75" t="n"/>
      <c r="BM333" s="75" t="n"/>
      <c r="BN333" s="75" t="n"/>
      <c r="BO333" s="75" t="n"/>
      <c r="BP333" s="75" t="n"/>
      <c r="BQ333" s="75" t="n"/>
      <c r="BR333" s="75" t="n"/>
      <c r="BS333" s="75" t="n"/>
      <c r="BT333" s="75" t="n"/>
      <c r="BU333" s="75" t="n"/>
      <c r="BV333" s="75" t="n"/>
      <c r="BW333" s="75" t="n"/>
      <c r="BX333" s="75" t="n"/>
      <c r="BY333" s="75" t="n"/>
      <c r="BZ333" s="75" t="n"/>
      <c r="CA333" s="75" t="n"/>
      <c r="CB333" s="75" t="n"/>
      <c r="CC333" s="75" t="n"/>
      <c r="CD333" s="75" t="n"/>
      <c r="CE333" s="75" t="n"/>
      <c r="CF333" s="75" t="n"/>
      <c r="CG333" s="75" t="n"/>
      <c r="CH333" s="75" t="n"/>
      <c r="CI333" s="75" t="n"/>
      <c r="CJ333" s="75" t="n"/>
      <c r="CK333" s="75" t="n"/>
      <c r="CL333" s="75" t="n"/>
      <c r="CM333" s="75" t="n"/>
      <c r="CN333" s="75" t="n"/>
      <c r="CO333" s="75" t="n"/>
      <c r="CP333" s="75" t="n"/>
      <c r="CQ333" s="75" t="n"/>
      <c r="CR333" s="75" t="n"/>
      <c r="CS333" s="75" t="n"/>
      <c r="CT333" s="75" t="n"/>
      <c r="CU333" s="75" t="n"/>
      <c r="CV333" s="75" t="n"/>
      <c r="CW333" s="75" t="n"/>
      <c r="CX333" s="75" t="n"/>
      <c r="CY333" s="75" t="n"/>
      <c r="CZ333" s="75" t="n"/>
    </row>
    <row r="334">
      <c r="B334" s="134">
        <f>IF($A333="",0,COUNT($E334:$CZ334))</f>
        <v/>
      </c>
    </row>
    <row r="335">
      <c r="A335" s="5">
        <f>IF(AS51!$C$170="","",AS51!$C$170)</f>
        <v/>
      </c>
      <c r="B335" s="134">
        <f>IF($A335="",0,COUNT($E335:$CZ335))</f>
        <v/>
      </c>
      <c r="C335" s="135">
        <f>IF($A335="",0,IF($B335=0,0,MAX($E335:$CZ335)))</f>
        <v/>
      </c>
      <c r="D335" s="74">
        <f>BDS($A335,'Field Check'!$C$42,"headers=y","startcol=2","endcol=3","dir=h")</f>
        <v/>
      </c>
      <c r="E335" s="75" t="n"/>
      <c r="F335" s="75" t="n"/>
      <c r="G335" s="75" t="n"/>
      <c r="H335" s="75" t="n"/>
      <c r="I335" s="75" t="n"/>
      <c r="J335" s="75" t="n"/>
      <c r="K335" s="75" t="n"/>
      <c r="L335" s="75" t="n"/>
      <c r="M335" s="75" t="n"/>
      <c r="N335" s="75" t="n"/>
      <c r="O335" s="75" t="n"/>
      <c r="P335" s="75" t="n"/>
      <c r="Q335" s="75" t="n"/>
      <c r="R335" s="75" t="n"/>
      <c r="S335" s="75" t="n"/>
      <c r="T335" s="75" t="n"/>
      <c r="U335" s="75" t="n"/>
      <c r="V335" s="75" t="n"/>
      <c r="W335" s="75" t="n"/>
      <c r="X335" s="75" t="n"/>
      <c r="Y335" s="75" t="n"/>
      <c r="Z335" s="75" t="n"/>
      <c r="AA335" s="75" t="n"/>
      <c r="AB335" s="75" t="n"/>
      <c r="AC335" s="75" t="n"/>
      <c r="AD335" s="75" t="n"/>
      <c r="AE335" s="75" t="n"/>
      <c r="AF335" s="75" t="n"/>
      <c r="AG335" s="75" t="n"/>
      <c r="AH335" s="75" t="n"/>
      <c r="AI335" s="75" t="n"/>
      <c r="AJ335" s="75" t="n"/>
      <c r="AK335" s="75" t="n"/>
      <c r="AL335" s="75" t="n"/>
      <c r="AM335" s="75" t="n"/>
      <c r="AN335" s="75" t="n"/>
      <c r="AO335" s="75" t="n"/>
      <c r="AP335" s="75" t="n"/>
      <c r="AQ335" s="75" t="n"/>
      <c r="AR335" s="75" t="n"/>
      <c r="AS335" s="75" t="n"/>
      <c r="AT335" s="75" t="n"/>
      <c r="AU335" s="75" t="n"/>
      <c r="AV335" s="75" t="n"/>
      <c r="AW335" s="75" t="n"/>
      <c r="AX335" s="75" t="n"/>
      <c r="AY335" s="75" t="n"/>
      <c r="AZ335" s="75" t="n"/>
      <c r="BA335" s="75" t="n"/>
      <c r="BB335" s="75" t="n"/>
      <c r="BC335" s="75" t="n"/>
      <c r="BD335" s="75" t="n"/>
      <c r="BE335" s="75" t="n"/>
      <c r="BF335" s="75" t="n"/>
      <c r="BG335" s="75" t="n"/>
      <c r="BH335" s="75" t="n"/>
      <c r="BI335" s="75" t="n"/>
      <c r="BJ335" s="75" t="n"/>
      <c r="BK335" s="75" t="n"/>
      <c r="BL335" s="75" t="n"/>
      <c r="BM335" s="75" t="n"/>
      <c r="BN335" s="75" t="n"/>
      <c r="BO335" s="75" t="n"/>
      <c r="BP335" s="75" t="n"/>
      <c r="BQ335" s="75" t="n"/>
      <c r="BR335" s="75" t="n"/>
      <c r="BS335" s="75" t="n"/>
      <c r="BT335" s="75" t="n"/>
      <c r="BU335" s="75" t="n"/>
      <c r="BV335" s="75" t="n"/>
      <c r="BW335" s="75" t="n"/>
      <c r="BX335" s="75" t="n"/>
      <c r="BY335" s="75" t="n"/>
      <c r="BZ335" s="75" t="n"/>
      <c r="CA335" s="75" t="n"/>
      <c r="CB335" s="75" t="n"/>
      <c r="CC335" s="75" t="n"/>
      <c r="CD335" s="75" t="n"/>
      <c r="CE335" s="75" t="n"/>
      <c r="CF335" s="75" t="n"/>
      <c r="CG335" s="75" t="n"/>
      <c r="CH335" s="75" t="n"/>
      <c r="CI335" s="75" t="n"/>
      <c r="CJ335" s="75" t="n"/>
      <c r="CK335" s="75" t="n"/>
      <c r="CL335" s="75" t="n"/>
      <c r="CM335" s="75" t="n"/>
      <c r="CN335" s="75" t="n"/>
      <c r="CO335" s="75" t="n"/>
      <c r="CP335" s="75" t="n"/>
      <c r="CQ335" s="75" t="n"/>
      <c r="CR335" s="75" t="n"/>
      <c r="CS335" s="75" t="n"/>
      <c r="CT335" s="75" t="n"/>
      <c r="CU335" s="75" t="n"/>
      <c r="CV335" s="75" t="n"/>
      <c r="CW335" s="75" t="n"/>
      <c r="CX335" s="75" t="n"/>
      <c r="CY335" s="75" t="n"/>
      <c r="CZ335" s="75" t="n"/>
    </row>
    <row r="336">
      <c r="B336" s="134">
        <f>IF($A335="",0,COUNT($E336:$CZ336))</f>
        <v/>
      </c>
    </row>
    <row r="337">
      <c r="A337" s="5">
        <f>IF(AS51!$C$171="","",AS51!$C$171)</f>
        <v/>
      </c>
      <c r="B337" s="134">
        <f>IF($A337="",0,COUNT($E337:$CZ337))</f>
        <v/>
      </c>
      <c r="C337" s="135">
        <f>IF($A337="",0,IF($B337=0,0,MAX($E337:$CZ337)))</f>
        <v/>
      </c>
      <c r="D337" s="74">
        <f>BDS($A337,'Field Check'!$C$42,"headers=y","startcol=2","endcol=3","dir=h")</f>
        <v/>
      </c>
      <c r="E337" s="75" t="n"/>
      <c r="F337" s="75" t="n"/>
      <c r="G337" s="75" t="n"/>
      <c r="H337" s="75" t="n"/>
      <c r="I337" s="75" t="n"/>
      <c r="J337" s="75" t="n"/>
      <c r="K337" s="75" t="n"/>
      <c r="L337" s="75" t="n"/>
      <c r="M337" s="75" t="n"/>
      <c r="N337" s="75" t="n"/>
      <c r="O337" s="75" t="n"/>
      <c r="P337" s="75" t="n"/>
      <c r="Q337" s="75" t="n"/>
      <c r="R337" s="75" t="n"/>
      <c r="S337" s="75" t="n"/>
      <c r="T337" s="75" t="n"/>
      <c r="U337" s="75" t="n"/>
      <c r="V337" s="75" t="n"/>
      <c r="W337" s="75" t="n"/>
      <c r="X337" s="75" t="n"/>
      <c r="Y337" s="75" t="n"/>
      <c r="Z337" s="75" t="n"/>
      <c r="AA337" s="75" t="n"/>
      <c r="AB337" s="75" t="n"/>
      <c r="AC337" s="75" t="n"/>
      <c r="AD337" s="75" t="n"/>
      <c r="AE337" s="75" t="n"/>
      <c r="AF337" s="75" t="n"/>
      <c r="AG337" s="75" t="n"/>
      <c r="AH337" s="75" t="n"/>
      <c r="AI337" s="75" t="n"/>
      <c r="AJ337" s="75" t="n"/>
      <c r="AK337" s="75" t="n"/>
      <c r="AL337" s="75" t="n"/>
      <c r="AM337" s="75" t="n"/>
      <c r="AN337" s="75" t="n"/>
      <c r="AO337" s="75" t="n"/>
      <c r="AP337" s="75" t="n"/>
      <c r="AQ337" s="75" t="n"/>
      <c r="AR337" s="75" t="n"/>
      <c r="AS337" s="75" t="n"/>
      <c r="AT337" s="75" t="n"/>
      <c r="AU337" s="75" t="n"/>
      <c r="AV337" s="75" t="n"/>
      <c r="AW337" s="75" t="n"/>
      <c r="AX337" s="75" t="n"/>
      <c r="AY337" s="75" t="n"/>
      <c r="AZ337" s="75" t="n"/>
      <c r="BA337" s="75" t="n"/>
      <c r="BB337" s="75" t="n"/>
      <c r="BC337" s="75" t="n"/>
      <c r="BD337" s="75" t="n"/>
      <c r="BE337" s="75" t="n"/>
      <c r="BF337" s="75" t="n"/>
      <c r="BG337" s="75" t="n"/>
      <c r="BH337" s="75" t="n"/>
      <c r="BI337" s="75" t="n"/>
      <c r="BJ337" s="75" t="n"/>
      <c r="BK337" s="75" t="n"/>
      <c r="BL337" s="75" t="n"/>
      <c r="BM337" s="75" t="n"/>
      <c r="BN337" s="75" t="n"/>
      <c r="BO337" s="75" t="n"/>
      <c r="BP337" s="75" t="n"/>
      <c r="BQ337" s="75" t="n"/>
      <c r="BR337" s="75" t="n"/>
      <c r="BS337" s="75" t="n"/>
      <c r="BT337" s="75" t="n"/>
      <c r="BU337" s="75" t="n"/>
      <c r="BV337" s="75" t="n"/>
      <c r="BW337" s="75" t="n"/>
      <c r="BX337" s="75" t="n"/>
      <c r="BY337" s="75" t="n"/>
      <c r="BZ337" s="75" t="n"/>
      <c r="CA337" s="75" t="n"/>
      <c r="CB337" s="75" t="n"/>
      <c r="CC337" s="75" t="n"/>
      <c r="CD337" s="75" t="n"/>
      <c r="CE337" s="75" t="n"/>
      <c r="CF337" s="75" t="n"/>
      <c r="CG337" s="75" t="n"/>
      <c r="CH337" s="75" t="n"/>
      <c r="CI337" s="75" t="n"/>
      <c r="CJ337" s="75" t="n"/>
      <c r="CK337" s="75" t="n"/>
      <c r="CL337" s="75" t="n"/>
      <c r="CM337" s="75" t="n"/>
      <c r="CN337" s="75" t="n"/>
      <c r="CO337" s="75" t="n"/>
      <c r="CP337" s="75" t="n"/>
      <c r="CQ337" s="75" t="n"/>
      <c r="CR337" s="75" t="n"/>
      <c r="CS337" s="75" t="n"/>
      <c r="CT337" s="75" t="n"/>
      <c r="CU337" s="75" t="n"/>
      <c r="CV337" s="75" t="n"/>
      <c r="CW337" s="75" t="n"/>
      <c r="CX337" s="75" t="n"/>
      <c r="CY337" s="75" t="n"/>
      <c r="CZ337" s="75" t="n"/>
    </row>
    <row r="338">
      <c r="B338" s="134">
        <f>IF($A337="",0,COUNT($E338:$CZ338))</f>
        <v/>
      </c>
    </row>
    <row r="339">
      <c r="A339" s="5">
        <f>IF(AS51!$C$172="","",AS51!$C$172)</f>
        <v/>
      </c>
      <c r="B339" s="134">
        <f>IF($A339="",0,COUNT($E339:$CZ339))</f>
        <v/>
      </c>
      <c r="C339" s="135">
        <f>IF($A339="",0,IF($B339=0,0,MAX($E339:$CZ339)))</f>
        <v/>
      </c>
      <c r="D339" s="74">
        <f>BDS($A339,'Field Check'!$C$42,"headers=y","startcol=2","endcol=3","dir=h")</f>
        <v/>
      </c>
      <c r="E339" s="75" t="n"/>
      <c r="F339" s="75" t="n"/>
      <c r="G339" s="75" t="n"/>
      <c r="H339" s="75" t="n"/>
      <c r="I339" s="75" t="n"/>
      <c r="J339" s="75" t="n"/>
      <c r="K339" s="75" t="n"/>
      <c r="L339" s="75" t="n"/>
      <c r="M339" s="75" t="n"/>
      <c r="N339" s="75" t="n"/>
      <c r="O339" s="75" t="n"/>
      <c r="P339" s="75" t="n"/>
      <c r="Q339" s="75" t="n"/>
      <c r="R339" s="75" t="n"/>
      <c r="S339" s="75" t="n"/>
      <c r="T339" s="75" t="n"/>
      <c r="U339" s="75" t="n"/>
      <c r="V339" s="75" t="n"/>
      <c r="W339" s="75" t="n"/>
      <c r="X339" s="75" t="n"/>
      <c r="Y339" s="75" t="n"/>
      <c r="Z339" s="75" t="n"/>
      <c r="AA339" s="75" t="n"/>
      <c r="AB339" s="75" t="n"/>
      <c r="AC339" s="75" t="n"/>
      <c r="AD339" s="75" t="n"/>
      <c r="AE339" s="75" t="n"/>
      <c r="AF339" s="75" t="n"/>
      <c r="AG339" s="75" t="n"/>
      <c r="AH339" s="75" t="n"/>
      <c r="AI339" s="75" t="n"/>
      <c r="AJ339" s="75" t="n"/>
      <c r="AK339" s="75" t="n"/>
      <c r="AL339" s="75" t="n"/>
      <c r="AM339" s="75" t="n"/>
      <c r="AN339" s="75" t="n"/>
      <c r="AO339" s="75" t="n"/>
      <c r="AP339" s="75" t="n"/>
      <c r="AQ339" s="75" t="n"/>
      <c r="AR339" s="75" t="n"/>
      <c r="AS339" s="75" t="n"/>
      <c r="AT339" s="75" t="n"/>
      <c r="AU339" s="75" t="n"/>
      <c r="AV339" s="75" t="n"/>
      <c r="AW339" s="75" t="n"/>
      <c r="AX339" s="75" t="n"/>
      <c r="AY339" s="75" t="n"/>
      <c r="AZ339" s="75" t="n"/>
      <c r="BA339" s="75" t="n"/>
      <c r="BB339" s="75" t="n"/>
      <c r="BC339" s="75" t="n"/>
      <c r="BD339" s="75" t="n"/>
      <c r="BE339" s="75" t="n"/>
      <c r="BF339" s="75" t="n"/>
      <c r="BG339" s="75" t="n"/>
      <c r="BH339" s="75" t="n"/>
      <c r="BI339" s="75" t="n"/>
      <c r="BJ339" s="75" t="n"/>
      <c r="BK339" s="75" t="n"/>
      <c r="BL339" s="75" t="n"/>
      <c r="BM339" s="75" t="n"/>
      <c r="BN339" s="75" t="n"/>
      <c r="BO339" s="75" t="n"/>
      <c r="BP339" s="75" t="n"/>
      <c r="BQ339" s="75" t="n"/>
      <c r="BR339" s="75" t="n"/>
      <c r="BS339" s="75" t="n"/>
      <c r="BT339" s="75" t="n"/>
      <c r="BU339" s="75" t="n"/>
      <c r="BV339" s="75" t="n"/>
      <c r="BW339" s="75" t="n"/>
      <c r="BX339" s="75" t="n"/>
      <c r="BY339" s="75" t="n"/>
      <c r="BZ339" s="75" t="n"/>
      <c r="CA339" s="75" t="n"/>
      <c r="CB339" s="75" t="n"/>
      <c r="CC339" s="75" t="n"/>
      <c r="CD339" s="75" t="n"/>
      <c r="CE339" s="75" t="n"/>
      <c r="CF339" s="75" t="n"/>
      <c r="CG339" s="75" t="n"/>
      <c r="CH339" s="75" t="n"/>
      <c r="CI339" s="75" t="n"/>
      <c r="CJ339" s="75" t="n"/>
      <c r="CK339" s="75" t="n"/>
      <c r="CL339" s="75" t="n"/>
      <c r="CM339" s="75" t="n"/>
      <c r="CN339" s="75" t="n"/>
      <c r="CO339" s="75" t="n"/>
      <c r="CP339" s="75" t="n"/>
      <c r="CQ339" s="75" t="n"/>
      <c r="CR339" s="75" t="n"/>
      <c r="CS339" s="75" t="n"/>
      <c r="CT339" s="75" t="n"/>
      <c r="CU339" s="75" t="n"/>
      <c r="CV339" s="75" t="n"/>
      <c r="CW339" s="75" t="n"/>
      <c r="CX339" s="75" t="n"/>
      <c r="CY339" s="75" t="n"/>
      <c r="CZ339" s="75" t="n"/>
    </row>
    <row r="340">
      <c r="B340" s="134">
        <f>IF($A339="",0,COUNT($E340:$CZ340))</f>
        <v/>
      </c>
    </row>
    <row r="341">
      <c r="A341" s="5">
        <f>IF(AS51!$C$173="","",AS51!$C$173)</f>
        <v/>
      </c>
      <c r="B341" s="134">
        <f>IF($A341="",0,COUNT($E341:$CZ341))</f>
        <v/>
      </c>
      <c r="C341" s="135">
        <f>IF($A341="",0,IF($B341=0,0,MAX($E341:$CZ341)))</f>
        <v/>
      </c>
      <c r="D341" s="74">
        <f>BDS($A341,'Field Check'!$C$42,"headers=y","startcol=2","endcol=3","dir=h")</f>
        <v/>
      </c>
      <c r="E341" s="75" t="n"/>
      <c r="F341" s="75" t="n"/>
      <c r="G341" s="75" t="n"/>
      <c r="H341" s="75" t="n"/>
      <c r="I341" s="75" t="n"/>
      <c r="J341" s="75" t="n"/>
      <c r="K341" s="75" t="n"/>
      <c r="L341" s="75" t="n"/>
      <c r="M341" s="75" t="n"/>
      <c r="N341" s="75" t="n"/>
      <c r="O341" s="75" t="n"/>
      <c r="P341" s="75" t="n"/>
      <c r="Q341" s="75" t="n"/>
      <c r="R341" s="75" t="n"/>
      <c r="S341" s="75" t="n"/>
      <c r="T341" s="75" t="n"/>
      <c r="U341" s="75" t="n"/>
      <c r="V341" s="75" t="n"/>
      <c r="W341" s="75" t="n"/>
      <c r="X341" s="75" t="n"/>
      <c r="Y341" s="75" t="n"/>
      <c r="Z341" s="75" t="n"/>
      <c r="AA341" s="75" t="n"/>
      <c r="AB341" s="75" t="n"/>
      <c r="AC341" s="75" t="n"/>
      <c r="AD341" s="75" t="n"/>
      <c r="AE341" s="75" t="n"/>
      <c r="AF341" s="75" t="n"/>
      <c r="AG341" s="75" t="n"/>
      <c r="AH341" s="75" t="n"/>
      <c r="AI341" s="75" t="n"/>
      <c r="AJ341" s="75" t="n"/>
      <c r="AK341" s="75" t="n"/>
      <c r="AL341" s="75" t="n"/>
      <c r="AM341" s="75" t="n"/>
      <c r="AN341" s="75" t="n"/>
      <c r="AO341" s="75" t="n"/>
      <c r="AP341" s="75" t="n"/>
      <c r="AQ341" s="75" t="n"/>
      <c r="AR341" s="75" t="n"/>
      <c r="AS341" s="75" t="n"/>
      <c r="AT341" s="75" t="n"/>
      <c r="AU341" s="75" t="n"/>
      <c r="AV341" s="75" t="n"/>
      <c r="AW341" s="75" t="n"/>
      <c r="AX341" s="75" t="n"/>
      <c r="AY341" s="75" t="n"/>
      <c r="AZ341" s="75" t="n"/>
      <c r="BA341" s="75" t="n"/>
      <c r="BB341" s="75" t="n"/>
      <c r="BC341" s="75" t="n"/>
      <c r="BD341" s="75" t="n"/>
      <c r="BE341" s="75" t="n"/>
      <c r="BF341" s="75" t="n"/>
      <c r="BG341" s="75" t="n"/>
      <c r="BH341" s="75" t="n"/>
      <c r="BI341" s="75" t="n"/>
      <c r="BJ341" s="75" t="n"/>
      <c r="BK341" s="75" t="n"/>
      <c r="BL341" s="75" t="n"/>
      <c r="BM341" s="75" t="n"/>
      <c r="BN341" s="75" t="n"/>
      <c r="BO341" s="75" t="n"/>
      <c r="BP341" s="75" t="n"/>
      <c r="BQ341" s="75" t="n"/>
      <c r="BR341" s="75" t="n"/>
      <c r="BS341" s="75" t="n"/>
      <c r="BT341" s="75" t="n"/>
      <c r="BU341" s="75" t="n"/>
      <c r="BV341" s="75" t="n"/>
      <c r="BW341" s="75" t="n"/>
      <c r="BX341" s="75" t="n"/>
      <c r="BY341" s="75" t="n"/>
      <c r="BZ341" s="75" t="n"/>
      <c r="CA341" s="75" t="n"/>
      <c r="CB341" s="75" t="n"/>
      <c r="CC341" s="75" t="n"/>
      <c r="CD341" s="75" t="n"/>
      <c r="CE341" s="75" t="n"/>
      <c r="CF341" s="75" t="n"/>
      <c r="CG341" s="75" t="n"/>
      <c r="CH341" s="75" t="n"/>
      <c r="CI341" s="75" t="n"/>
      <c r="CJ341" s="75" t="n"/>
      <c r="CK341" s="75" t="n"/>
      <c r="CL341" s="75" t="n"/>
      <c r="CM341" s="75" t="n"/>
      <c r="CN341" s="75" t="n"/>
      <c r="CO341" s="75" t="n"/>
      <c r="CP341" s="75" t="n"/>
      <c r="CQ341" s="75" t="n"/>
      <c r="CR341" s="75" t="n"/>
      <c r="CS341" s="75" t="n"/>
      <c r="CT341" s="75" t="n"/>
      <c r="CU341" s="75" t="n"/>
      <c r="CV341" s="75" t="n"/>
      <c r="CW341" s="75" t="n"/>
      <c r="CX341" s="75" t="n"/>
      <c r="CY341" s="75" t="n"/>
      <c r="CZ341" s="75" t="n"/>
    </row>
    <row r="342">
      <c r="B342" s="134">
        <f>IF($A341="",0,COUNT($E342:$CZ342))</f>
        <v/>
      </c>
    </row>
    <row r="343">
      <c r="A343" s="5">
        <f>IF(AS51!$C$174="","",AS51!$C$174)</f>
        <v/>
      </c>
      <c r="B343" s="134">
        <f>IF($A343="",0,COUNT($E343:$CZ343))</f>
        <v/>
      </c>
      <c r="C343" s="135">
        <f>IF($A343="",0,IF($B343=0,0,MAX($E343:$CZ343)))</f>
        <v/>
      </c>
      <c r="D343" s="74">
        <f>BDS($A343,'Field Check'!$C$42,"headers=y","startcol=2","endcol=3","dir=h")</f>
        <v/>
      </c>
      <c r="E343" s="75" t="n"/>
      <c r="F343" s="75" t="n"/>
      <c r="G343" s="75" t="n"/>
      <c r="H343" s="75" t="n"/>
      <c r="I343" s="75" t="n"/>
      <c r="J343" s="75" t="n"/>
      <c r="K343" s="75" t="n"/>
      <c r="L343" s="75" t="n"/>
      <c r="M343" s="75" t="n"/>
      <c r="N343" s="75" t="n"/>
      <c r="O343" s="75" t="n"/>
      <c r="P343" s="75" t="n"/>
      <c r="Q343" s="75" t="n"/>
      <c r="R343" s="75" t="n"/>
      <c r="S343" s="75" t="n"/>
      <c r="T343" s="75" t="n"/>
      <c r="U343" s="75" t="n"/>
      <c r="V343" s="75" t="n"/>
      <c r="W343" s="75" t="n"/>
      <c r="X343" s="75" t="n"/>
      <c r="Y343" s="75" t="n"/>
      <c r="Z343" s="75" t="n"/>
      <c r="AA343" s="75" t="n"/>
      <c r="AB343" s="75" t="n"/>
      <c r="AC343" s="75" t="n"/>
      <c r="AD343" s="75" t="n"/>
      <c r="AE343" s="75" t="n"/>
      <c r="AF343" s="75" t="n"/>
      <c r="AG343" s="75" t="n"/>
      <c r="AH343" s="75" t="n"/>
      <c r="AI343" s="75" t="n"/>
      <c r="AJ343" s="75" t="n"/>
      <c r="AK343" s="75" t="n"/>
      <c r="AL343" s="75" t="n"/>
      <c r="AM343" s="75" t="n"/>
      <c r="AN343" s="75" t="n"/>
      <c r="AO343" s="75" t="n"/>
      <c r="AP343" s="75" t="n"/>
      <c r="AQ343" s="75" t="n"/>
      <c r="AR343" s="75" t="n"/>
      <c r="AS343" s="75" t="n"/>
      <c r="AT343" s="75" t="n"/>
      <c r="AU343" s="75" t="n"/>
      <c r="AV343" s="75" t="n"/>
      <c r="AW343" s="75" t="n"/>
      <c r="AX343" s="75" t="n"/>
      <c r="AY343" s="75" t="n"/>
      <c r="AZ343" s="75" t="n"/>
      <c r="BA343" s="75" t="n"/>
      <c r="BB343" s="75" t="n"/>
      <c r="BC343" s="75" t="n"/>
      <c r="BD343" s="75" t="n"/>
      <c r="BE343" s="75" t="n"/>
      <c r="BF343" s="75" t="n"/>
      <c r="BG343" s="75" t="n"/>
      <c r="BH343" s="75" t="n"/>
      <c r="BI343" s="75" t="n"/>
      <c r="BJ343" s="75" t="n"/>
      <c r="BK343" s="75" t="n"/>
      <c r="BL343" s="75" t="n"/>
      <c r="BM343" s="75" t="n"/>
      <c r="BN343" s="75" t="n"/>
      <c r="BO343" s="75" t="n"/>
      <c r="BP343" s="75" t="n"/>
      <c r="BQ343" s="75" t="n"/>
      <c r="BR343" s="75" t="n"/>
      <c r="BS343" s="75" t="n"/>
      <c r="BT343" s="75" t="n"/>
      <c r="BU343" s="75" t="n"/>
      <c r="BV343" s="75" t="n"/>
      <c r="BW343" s="75" t="n"/>
      <c r="BX343" s="75" t="n"/>
      <c r="BY343" s="75" t="n"/>
      <c r="BZ343" s="75" t="n"/>
      <c r="CA343" s="75" t="n"/>
      <c r="CB343" s="75" t="n"/>
      <c r="CC343" s="75" t="n"/>
      <c r="CD343" s="75" t="n"/>
      <c r="CE343" s="75" t="n"/>
      <c r="CF343" s="75" t="n"/>
      <c r="CG343" s="75" t="n"/>
      <c r="CH343" s="75" t="n"/>
      <c r="CI343" s="75" t="n"/>
      <c r="CJ343" s="75" t="n"/>
      <c r="CK343" s="75" t="n"/>
      <c r="CL343" s="75" t="n"/>
      <c r="CM343" s="75" t="n"/>
      <c r="CN343" s="75" t="n"/>
      <c r="CO343" s="75" t="n"/>
      <c r="CP343" s="75" t="n"/>
      <c r="CQ343" s="75" t="n"/>
      <c r="CR343" s="75" t="n"/>
      <c r="CS343" s="75" t="n"/>
      <c r="CT343" s="75" t="n"/>
      <c r="CU343" s="75" t="n"/>
      <c r="CV343" s="75" t="n"/>
      <c r="CW343" s="75" t="n"/>
      <c r="CX343" s="75" t="n"/>
      <c r="CY343" s="75" t="n"/>
      <c r="CZ343" s="75" t="n"/>
    </row>
    <row r="344">
      <c r="B344" s="134">
        <f>IF($A343="",0,COUNT($E344:$CZ344))</f>
        <v/>
      </c>
    </row>
    <row r="345">
      <c r="A345" s="5">
        <f>IF(AS51!$C$175="","",AS51!$C$175)</f>
        <v/>
      </c>
      <c r="B345" s="134">
        <f>IF($A345="",0,COUNT($E345:$CZ345))</f>
        <v/>
      </c>
      <c r="C345" s="135">
        <f>IF($A345="",0,IF($B345=0,0,MAX($E345:$CZ345)))</f>
        <v/>
      </c>
      <c r="D345" s="74">
        <f>BDS($A345,'Field Check'!$C$42,"headers=y","startcol=2","endcol=3","dir=h")</f>
        <v/>
      </c>
      <c r="E345" s="75" t="n"/>
      <c r="F345" s="75" t="n"/>
      <c r="G345" s="75" t="n"/>
      <c r="H345" s="75" t="n"/>
      <c r="I345" s="75" t="n"/>
      <c r="J345" s="75" t="n"/>
      <c r="K345" s="75" t="n"/>
      <c r="L345" s="75" t="n"/>
      <c r="M345" s="75" t="n"/>
      <c r="N345" s="75" t="n"/>
      <c r="O345" s="75" t="n"/>
      <c r="P345" s="75" t="n"/>
      <c r="Q345" s="75" t="n"/>
      <c r="R345" s="75" t="n"/>
      <c r="S345" s="75" t="n"/>
      <c r="T345" s="75" t="n"/>
      <c r="U345" s="75" t="n"/>
      <c r="V345" s="75" t="n"/>
      <c r="W345" s="75" t="n"/>
      <c r="X345" s="75" t="n"/>
      <c r="Y345" s="75" t="n"/>
      <c r="Z345" s="75" t="n"/>
      <c r="AA345" s="75" t="n"/>
      <c r="AB345" s="75" t="n"/>
      <c r="AC345" s="75" t="n"/>
      <c r="AD345" s="75" t="n"/>
      <c r="AE345" s="75" t="n"/>
      <c r="AF345" s="75" t="n"/>
      <c r="AG345" s="75" t="n"/>
      <c r="AH345" s="75" t="n"/>
      <c r="AI345" s="75" t="n"/>
      <c r="AJ345" s="75" t="n"/>
      <c r="AK345" s="75" t="n"/>
      <c r="AL345" s="75" t="n"/>
      <c r="AM345" s="75" t="n"/>
      <c r="AN345" s="75" t="n"/>
      <c r="AO345" s="75" t="n"/>
      <c r="AP345" s="75" t="n"/>
      <c r="AQ345" s="75" t="n"/>
      <c r="AR345" s="75" t="n"/>
      <c r="AS345" s="75" t="n"/>
      <c r="AT345" s="75" t="n"/>
      <c r="AU345" s="75" t="n"/>
      <c r="AV345" s="75" t="n"/>
      <c r="AW345" s="75" t="n"/>
      <c r="AX345" s="75" t="n"/>
      <c r="AY345" s="75" t="n"/>
      <c r="AZ345" s="75" t="n"/>
      <c r="BA345" s="75" t="n"/>
      <c r="BB345" s="75" t="n"/>
      <c r="BC345" s="75" t="n"/>
      <c r="BD345" s="75" t="n"/>
      <c r="BE345" s="75" t="n"/>
      <c r="BF345" s="75" t="n"/>
      <c r="BG345" s="75" t="n"/>
      <c r="BH345" s="75" t="n"/>
      <c r="BI345" s="75" t="n"/>
      <c r="BJ345" s="75" t="n"/>
      <c r="BK345" s="75" t="n"/>
      <c r="BL345" s="75" t="n"/>
      <c r="BM345" s="75" t="n"/>
      <c r="BN345" s="75" t="n"/>
      <c r="BO345" s="75" t="n"/>
      <c r="BP345" s="75" t="n"/>
      <c r="BQ345" s="75" t="n"/>
      <c r="BR345" s="75" t="n"/>
      <c r="BS345" s="75" t="n"/>
      <c r="BT345" s="75" t="n"/>
      <c r="BU345" s="75" t="n"/>
      <c r="BV345" s="75" t="n"/>
      <c r="BW345" s="75" t="n"/>
      <c r="BX345" s="75" t="n"/>
      <c r="BY345" s="75" t="n"/>
      <c r="BZ345" s="75" t="n"/>
      <c r="CA345" s="75" t="n"/>
      <c r="CB345" s="75" t="n"/>
      <c r="CC345" s="75" t="n"/>
      <c r="CD345" s="75" t="n"/>
      <c r="CE345" s="75" t="n"/>
      <c r="CF345" s="75" t="n"/>
      <c r="CG345" s="75" t="n"/>
      <c r="CH345" s="75" t="n"/>
      <c r="CI345" s="75" t="n"/>
      <c r="CJ345" s="75" t="n"/>
      <c r="CK345" s="75" t="n"/>
      <c r="CL345" s="75" t="n"/>
      <c r="CM345" s="75" t="n"/>
      <c r="CN345" s="75" t="n"/>
      <c r="CO345" s="75" t="n"/>
      <c r="CP345" s="75" t="n"/>
      <c r="CQ345" s="75" t="n"/>
      <c r="CR345" s="75" t="n"/>
      <c r="CS345" s="75" t="n"/>
      <c r="CT345" s="75" t="n"/>
      <c r="CU345" s="75" t="n"/>
      <c r="CV345" s="75" t="n"/>
      <c r="CW345" s="75" t="n"/>
      <c r="CX345" s="75" t="n"/>
      <c r="CY345" s="75" t="n"/>
      <c r="CZ345" s="75" t="n"/>
    </row>
    <row r="346">
      <c r="B346" s="134">
        <f>IF($A345="",0,COUNT($E346:$CZ346))</f>
        <v/>
      </c>
    </row>
    <row r="347">
      <c r="A347" s="5">
        <f>IF(AS51!$C$176="","",AS51!$C$176)</f>
        <v/>
      </c>
      <c r="B347" s="134">
        <f>IF($A347="",0,COUNT($E347:$CZ347))</f>
        <v/>
      </c>
      <c r="C347" s="135">
        <f>IF($A347="",0,IF($B347=0,0,MAX($E347:$CZ347)))</f>
        <v/>
      </c>
      <c r="D347" s="74">
        <f>BDS($A347,'Field Check'!$C$42,"headers=y","startcol=2","endcol=3","dir=h")</f>
        <v/>
      </c>
      <c r="E347" s="75" t="n"/>
      <c r="F347" s="75" t="n"/>
      <c r="G347" s="75" t="n"/>
      <c r="H347" s="75" t="n"/>
      <c r="I347" s="75" t="n"/>
      <c r="J347" s="75" t="n"/>
      <c r="K347" s="75" t="n"/>
      <c r="L347" s="75" t="n"/>
      <c r="M347" s="75" t="n"/>
      <c r="N347" s="75" t="n"/>
      <c r="O347" s="75" t="n"/>
      <c r="P347" s="75" t="n"/>
      <c r="Q347" s="75" t="n"/>
      <c r="R347" s="75" t="n"/>
      <c r="S347" s="75" t="n"/>
      <c r="T347" s="75" t="n"/>
      <c r="U347" s="75" t="n"/>
      <c r="V347" s="75" t="n"/>
      <c r="W347" s="75" t="n"/>
      <c r="X347" s="75" t="n"/>
      <c r="Y347" s="75" t="n"/>
      <c r="Z347" s="75" t="n"/>
      <c r="AA347" s="75" t="n"/>
      <c r="AB347" s="75" t="n"/>
      <c r="AC347" s="75" t="n"/>
      <c r="AD347" s="75" t="n"/>
      <c r="AE347" s="75" t="n"/>
      <c r="AF347" s="75" t="n"/>
      <c r="AG347" s="75" t="n"/>
      <c r="AH347" s="75" t="n"/>
      <c r="AI347" s="75" t="n"/>
      <c r="AJ347" s="75" t="n"/>
      <c r="AK347" s="75" t="n"/>
      <c r="AL347" s="75" t="n"/>
      <c r="AM347" s="75" t="n"/>
      <c r="AN347" s="75" t="n"/>
      <c r="AO347" s="75" t="n"/>
      <c r="AP347" s="75" t="n"/>
      <c r="AQ347" s="75" t="n"/>
      <c r="AR347" s="75" t="n"/>
      <c r="AS347" s="75" t="n"/>
      <c r="AT347" s="75" t="n"/>
      <c r="AU347" s="75" t="n"/>
      <c r="AV347" s="75" t="n"/>
      <c r="AW347" s="75" t="n"/>
      <c r="AX347" s="75" t="n"/>
      <c r="AY347" s="75" t="n"/>
      <c r="AZ347" s="75" t="n"/>
      <c r="BA347" s="75" t="n"/>
      <c r="BB347" s="75" t="n"/>
      <c r="BC347" s="75" t="n"/>
      <c r="BD347" s="75" t="n"/>
      <c r="BE347" s="75" t="n"/>
      <c r="BF347" s="75" t="n"/>
      <c r="BG347" s="75" t="n"/>
      <c r="BH347" s="75" t="n"/>
      <c r="BI347" s="75" t="n"/>
      <c r="BJ347" s="75" t="n"/>
      <c r="BK347" s="75" t="n"/>
      <c r="BL347" s="75" t="n"/>
      <c r="BM347" s="75" t="n"/>
      <c r="BN347" s="75" t="n"/>
      <c r="BO347" s="75" t="n"/>
      <c r="BP347" s="75" t="n"/>
      <c r="BQ347" s="75" t="n"/>
      <c r="BR347" s="75" t="n"/>
      <c r="BS347" s="75" t="n"/>
      <c r="BT347" s="75" t="n"/>
      <c r="BU347" s="75" t="n"/>
      <c r="BV347" s="75" t="n"/>
      <c r="BW347" s="75" t="n"/>
      <c r="BX347" s="75" t="n"/>
      <c r="BY347" s="75" t="n"/>
      <c r="BZ347" s="75" t="n"/>
      <c r="CA347" s="75" t="n"/>
      <c r="CB347" s="75" t="n"/>
      <c r="CC347" s="75" t="n"/>
      <c r="CD347" s="75" t="n"/>
      <c r="CE347" s="75" t="n"/>
      <c r="CF347" s="75" t="n"/>
      <c r="CG347" s="75" t="n"/>
      <c r="CH347" s="75" t="n"/>
      <c r="CI347" s="75" t="n"/>
      <c r="CJ347" s="75" t="n"/>
      <c r="CK347" s="75" t="n"/>
      <c r="CL347" s="75" t="n"/>
      <c r="CM347" s="75" t="n"/>
      <c r="CN347" s="75" t="n"/>
      <c r="CO347" s="75" t="n"/>
      <c r="CP347" s="75" t="n"/>
      <c r="CQ347" s="75" t="n"/>
      <c r="CR347" s="75" t="n"/>
      <c r="CS347" s="75" t="n"/>
      <c r="CT347" s="75" t="n"/>
      <c r="CU347" s="75" t="n"/>
      <c r="CV347" s="75" t="n"/>
      <c r="CW347" s="75" t="n"/>
      <c r="CX347" s="75" t="n"/>
      <c r="CY347" s="75" t="n"/>
      <c r="CZ347" s="75" t="n"/>
    </row>
    <row r="348">
      <c r="B348" s="134">
        <f>IF($A347="",0,COUNT($E348:$CZ348))</f>
        <v/>
      </c>
    </row>
    <row r="349">
      <c r="A349" s="5">
        <f>IF(AS51!$C$177="","",AS51!$C$177)</f>
        <v/>
      </c>
      <c r="B349" s="134">
        <f>IF($A349="",0,COUNT($E349:$CZ349))</f>
        <v/>
      </c>
      <c r="C349" s="135">
        <f>IF($A349="",0,IF($B349=0,0,MAX($E349:$CZ349)))</f>
        <v/>
      </c>
      <c r="D349" s="74">
        <f>BDS($A349,'Field Check'!$C$42,"headers=y","startcol=2","endcol=3","dir=h")</f>
        <v/>
      </c>
      <c r="E349" s="75" t="n"/>
      <c r="F349" s="75" t="n"/>
      <c r="G349" s="75" t="n"/>
      <c r="H349" s="75" t="n"/>
      <c r="I349" s="75" t="n"/>
      <c r="J349" s="75" t="n"/>
      <c r="K349" s="75" t="n"/>
      <c r="L349" s="75" t="n"/>
      <c r="M349" s="75" t="n"/>
      <c r="N349" s="75" t="n"/>
      <c r="O349" s="75" t="n"/>
      <c r="P349" s="75" t="n"/>
      <c r="Q349" s="75" t="n"/>
      <c r="R349" s="75" t="n"/>
      <c r="S349" s="75" t="n"/>
      <c r="T349" s="75" t="n"/>
      <c r="U349" s="75" t="n"/>
      <c r="V349" s="75" t="n"/>
      <c r="W349" s="75" t="n"/>
      <c r="X349" s="75" t="n"/>
      <c r="Y349" s="75" t="n"/>
      <c r="Z349" s="75" t="n"/>
      <c r="AA349" s="75" t="n"/>
      <c r="AB349" s="75" t="n"/>
      <c r="AC349" s="75" t="n"/>
      <c r="AD349" s="75" t="n"/>
      <c r="AE349" s="75" t="n"/>
      <c r="AF349" s="75" t="n"/>
      <c r="AG349" s="75" t="n"/>
      <c r="AH349" s="75" t="n"/>
      <c r="AI349" s="75" t="n"/>
      <c r="AJ349" s="75" t="n"/>
      <c r="AK349" s="75" t="n"/>
      <c r="AL349" s="75" t="n"/>
      <c r="AM349" s="75" t="n"/>
      <c r="AN349" s="75" t="n"/>
      <c r="AO349" s="75" t="n"/>
      <c r="AP349" s="75" t="n"/>
      <c r="AQ349" s="75" t="n"/>
      <c r="AR349" s="75" t="n"/>
      <c r="AS349" s="75" t="n"/>
      <c r="AT349" s="75" t="n"/>
      <c r="AU349" s="75" t="n"/>
      <c r="AV349" s="75" t="n"/>
      <c r="AW349" s="75" t="n"/>
      <c r="AX349" s="75" t="n"/>
      <c r="AY349" s="75" t="n"/>
      <c r="AZ349" s="75" t="n"/>
      <c r="BA349" s="75" t="n"/>
      <c r="BB349" s="75" t="n"/>
      <c r="BC349" s="75" t="n"/>
      <c r="BD349" s="75" t="n"/>
      <c r="BE349" s="75" t="n"/>
      <c r="BF349" s="75" t="n"/>
      <c r="BG349" s="75" t="n"/>
      <c r="BH349" s="75" t="n"/>
      <c r="BI349" s="75" t="n"/>
      <c r="BJ349" s="75" t="n"/>
      <c r="BK349" s="75" t="n"/>
      <c r="BL349" s="75" t="n"/>
      <c r="BM349" s="75" t="n"/>
      <c r="BN349" s="75" t="n"/>
      <c r="BO349" s="75" t="n"/>
      <c r="BP349" s="75" t="n"/>
      <c r="BQ349" s="75" t="n"/>
      <c r="BR349" s="75" t="n"/>
      <c r="BS349" s="75" t="n"/>
      <c r="BT349" s="75" t="n"/>
      <c r="BU349" s="75" t="n"/>
      <c r="BV349" s="75" t="n"/>
      <c r="BW349" s="75" t="n"/>
      <c r="BX349" s="75" t="n"/>
      <c r="BY349" s="75" t="n"/>
      <c r="BZ349" s="75" t="n"/>
      <c r="CA349" s="75" t="n"/>
      <c r="CB349" s="75" t="n"/>
      <c r="CC349" s="75" t="n"/>
      <c r="CD349" s="75" t="n"/>
      <c r="CE349" s="75" t="n"/>
      <c r="CF349" s="75" t="n"/>
      <c r="CG349" s="75" t="n"/>
      <c r="CH349" s="75" t="n"/>
      <c r="CI349" s="75" t="n"/>
      <c r="CJ349" s="75" t="n"/>
      <c r="CK349" s="75" t="n"/>
      <c r="CL349" s="75" t="n"/>
      <c r="CM349" s="75" t="n"/>
      <c r="CN349" s="75" t="n"/>
      <c r="CO349" s="75" t="n"/>
      <c r="CP349" s="75" t="n"/>
      <c r="CQ349" s="75" t="n"/>
      <c r="CR349" s="75" t="n"/>
      <c r="CS349" s="75" t="n"/>
      <c r="CT349" s="75" t="n"/>
      <c r="CU349" s="75" t="n"/>
      <c r="CV349" s="75" t="n"/>
      <c r="CW349" s="75" t="n"/>
      <c r="CX349" s="75" t="n"/>
      <c r="CY349" s="75" t="n"/>
      <c r="CZ349" s="75" t="n"/>
    </row>
    <row r="350">
      <c r="B350" s="134">
        <f>IF($A349="",0,COUNT($E350:$CZ350))</f>
        <v/>
      </c>
    </row>
    <row r="351">
      <c r="A351" s="5">
        <f>IF(AS51!$C$178="","",AS51!$C$178)</f>
        <v/>
      </c>
      <c r="B351" s="134">
        <f>IF($A351="",0,COUNT($E351:$CZ351))</f>
        <v/>
      </c>
      <c r="C351" s="135">
        <f>IF($A351="",0,IF($B351=0,0,MAX($E351:$CZ351)))</f>
        <v/>
      </c>
      <c r="D351" s="74">
        <f>BDS($A351,'Field Check'!$C$42,"headers=y","startcol=2","endcol=3","dir=h")</f>
        <v/>
      </c>
      <c r="E351" s="75" t="n"/>
      <c r="F351" s="75" t="n"/>
      <c r="G351" s="75" t="n"/>
      <c r="H351" s="75" t="n"/>
      <c r="I351" s="75" t="n"/>
      <c r="J351" s="75" t="n"/>
      <c r="K351" s="75" t="n"/>
      <c r="L351" s="75" t="n"/>
      <c r="M351" s="75" t="n"/>
      <c r="N351" s="75" t="n"/>
      <c r="O351" s="75" t="n"/>
      <c r="P351" s="75" t="n"/>
      <c r="Q351" s="75" t="n"/>
      <c r="R351" s="75" t="n"/>
      <c r="S351" s="75" t="n"/>
      <c r="T351" s="75" t="n"/>
      <c r="U351" s="75" t="n"/>
      <c r="V351" s="75" t="n"/>
      <c r="W351" s="75" t="n"/>
      <c r="X351" s="75" t="n"/>
      <c r="Y351" s="75" t="n"/>
      <c r="Z351" s="75" t="n"/>
      <c r="AA351" s="75" t="n"/>
      <c r="AB351" s="75" t="n"/>
      <c r="AC351" s="75" t="n"/>
      <c r="AD351" s="75" t="n"/>
      <c r="AE351" s="75" t="n"/>
      <c r="AF351" s="75" t="n"/>
      <c r="AG351" s="75" t="n"/>
      <c r="AH351" s="75" t="n"/>
      <c r="AI351" s="75" t="n"/>
      <c r="AJ351" s="75" t="n"/>
      <c r="AK351" s="75" t="n"/>
      <c r="AL351" s="75" t="n"/>
      <c r="AM351" s="75" t="n"/>
      <c r="AN351" s="75" t="n"/>
      <c r="AO351" s="75" t="n"/>
      <c r="AP351" s="75" t="n"/>
      <c r="AQ351" s="75" t="n"/>
      <c r="AR351" s="75" t="n"/>
      <c r="AS351" s="75" t="n"/>
      <c r="AT351" s="75" t="n"/>
      <c r="AU351" s="75" t="n"/>
      <c r="AV351" s="75" t="n"/>
      <c r="AW351" s="75" t="n"/>
      <c r="AX351" s="75" t="n"/>
      <c r="AY351" s="75" t="n"/>
      <c r="AZ351" s="75" t="n"/>
      <c r="BA351" s="75" t="n"/>
      <c r="BB351" s="75" t="n"/>
      <c r="BC351" s="75" t="n"/>
      <c r="BD351" s="75" t="n"/>
      <c r="BE351" s="75" t="n"/>
      <c r="BF351" s="75" t="n"/>
      <c r="BG351" s="75" t="n"/>
      <c r="BH351" s="75" t="n"/>
      <c r="BI351" s="75" t="n"/>
      <c r="BJ351" s="75" t="n"/>
      <c r="BK351" s="75" t="n"/>
      <c r="BL351" s="75" t="n"/>
      <c r="BM351" s="75" t="n"/>
      <c r="BN351" s="75" t="n"/>
      <c r="BO351" s="75" t="n"/>
      <c r="BP351" s="75" t="n"/>
      <c r="BQ351" s="75" t="n"/>
      <c r="BR351" s="75" t="n"/>
      <c r="BS351" s="75" t="n"/>
      <c r="BT351" s="75" t="n"/>
      <c r="BU351" s="75" t="n"/>
      <c r="BV351" s="75" t="n"/>
      <c r="BW351" s="75" t="n"/>
      <c r="BX351" s="75" t="n"/>
      <c r="BY351" s="75" t="n"/>
      <c r="BZ351" s="75" t="n"/>
      <c r="CA351" s="75" t="n"/>
      <c r="CB351" s="75" t="n"/>
      <c r="CC351" s="75" t="n"/>
      <c r="CD351" s="75" t="n"/>
      <c r="CE351" s="75" t="n"/>
      <c r="CF351" s="75" t="n"/>
      <c r="CG351" s="75" t="n"/>
      <c r="CH351" s="75" t="n"/>
      <c r="CI351" s="75" t="n"/>
      <c r="CJ351" s="75" t="n"/>
      <c r="CK351" s="75" t="n"/>
      <c r="CL351" s="75" t="n"/>
      <c r="CM351" s="75" t="n"/>
      <c r="CN351" s="75" t="n"/>
      <c r="CO351" s="75" t="n"/>
      <c r="CP351" s="75" t="n"/>
      <c r="CQ351" s="75" t="n"/>
      <c r="CR351" s="75" t="n"/>
      <c r="CS351" s="75" t="n"/>
      <c r="CT351" s="75" t="n"/>
      <c r="CU351" s="75" t="n"/>
      <c r="CV351" s="75" t="n"/>
      <c r="CW351" s="75" t="n"/>
      <c r="CX351" s="75" t="n"/>
      <c r="CY351" s="75" t="n"/>
      <c r="CZ351" s="75" t="n"/>
    </row>
    <row r="352">
      <c r="B352" s="134">
        <f>IF($A351="",0,COUNT($E352:$CZ352))</f>
        <v/>
      </c>
    </row>
    <row r="353">
      <c r="A353" s="5">
        <f>IF(AS51!$C$179="","",AS51!$C$179)</f>
        <v/>
      </c>
      <c r="B353" s="134">
        <f>IF($A353="",0,COUNT($E353:$CZ353))</f>
        <v/>
      </c>
      <c r="C353" s="135">
        <f>IF($A353="",0,IF($B353=0,0,MAX($E353:$CZ353)))</f>
        <v/>
      </c>
      <c r="D353" s="74">
        <f>BDS($A353,'Field Check'!$C$42,"headers=y","startcol=2","endcol=3","dir=h")</f>
        <v/>
      </c>
      <c r="E353" s="75" t="n"/>
      <c r="F353" s="75" t="n"/>
      <c r="G353" s="75" t="n"/>
      <c r="H353" s="75" t="n"/>
      <c r="I353" s="75" t="n"/>
      <c r="J353" s="75" t="n"/>
      <c r="K353" s="75" t="n"/>
      <c r="L353" s="75" t="n"/>
      <c r="M353" s="75" t="n"/>
      <c r="N353" s="75" t="n"/>
      <c r="O353" s="75" t="n"/>
      <c r="P353" s="75" t="n"/>
      <c r="Q353" s="75" t="n"/>
      <c r="R353" s="75" t="n"/>
      <c r="S353" s="75" t="n"/>
      <c r="T353" s="75" t="n"/>
      <c r="U353" s="75" t="n"/>
      <c r="V353" s="75" t="n"/>
      <c r="W353" s="75" t="n"/>
      <c r="X353" s="75" t="n"/>
      <c r="Y353" s="75" t="n"/>
      <c r="Z353" s="75" t="n"/>
      <c r="AA353" s="75" t="n"/>
      <c r="AB353" s="75" t="n"/>
      <c r="AC353" s="75" t="n"/>
      <c r="AD353" s="75" t="n"/>
      <c r="AE353" s="75" t="n"/>
      <c r="AF353" s="75" t="n"/>
      <c r="AG353" s="75" t="n"/>
      <c r="AH353" s="75" t="n"/>
      <c r="AI353" s="75" t="n"/>
      <c r="AJ353" s="75" t="n"/>
      <c r="AK353" s="75" t="n"/>
      <c r="AL353" s="75" t="n"/>
      <c r="AM353" s="75" t="n"/>
      <c r="AN353" s="75" t="n"/>
      <c r="AO353" s="75" t="n"/>
      <c r="AP353" s="75" t="n"/>
      <c r="AQ353" s="75" t="n"/>
      <c r="AR353" s="75" t="n"/>
      <c r="AS353" s="75" t="n"/>
      <c r="AT353" s="75" t="n"/>
      <c r="AU353" s="75" t="n"/>
      <c r="AV353" s="75" t="n"/>
      <c r="AW353" s="75" t="n"/>
      <c r="AX353" s="75" t="n"/>
      <c r="AY353" s="75" t="n"/>
      <c r="AZ353" s="75" t="n"/>
      <c r="BA353" s="75" t="n"/>
      <c r="BB353" s="75" t="n"/>
      <c r="BC353" s="75" t="n"/>
      <c r="BD353" s="75" t="n"/>
      <c r="BE353" s="75" t="n"/>
      <c r="BF353" s="75" t="n"/>
      <c r="BG353" s="75" t="n"/>
      <c r="BH353" s="75" t="n"/>
      <c r="BI353" s="75" t="n"/>
      <c r="BJ353" s="75" t="n"/>
      <c r="BK353" s="75" t="n"/>
      <c r="BL353" s="75" t="n"/>
      <c r="BM353" s="75" t="n"/>
      <c r="BN353" s="75" t="n"/>
      <c r="BO353" s="75" t="n"/>
      <c r="BP353" s="75" t="n"/>
      <c r="BQ353" s="75" t="n"/>
      <c r="BR353" s="75" t="n"/>
      <c r="BS353" s="75" t="n"/>
      <c r="BT353" s="75" t="n"/>
      <c r="BU353" s="75" t="n"/>
      <c r="BV353" s="75" t="n"/>
      <c r="BW353" s="75" t="n"/>
      <c r="BX353" s="75" t="n"/>
      <c r="BY353" s="75" t="n"/>
      <c r="BZ353" s="75" t="n"/>
      <c r="CA353" s="75" t="n"/>
      <c r="CB353" s="75" t="n"/>
      <c r="CC353" s="75" t="n"/>
      <c r="CD353" s="75" t="n"/>
      <c r="CE353" s="75" t="n"/>
      <c r="CF353" s="75" t="n"/>
      <c r="CG353" s="75" t="n"/>
      <c r="CH353" s="75" t="n"/>
      <c r="CI353" s="75" t="n"/>
      <c r="CJ353" s="75" t="n"/>
      <c r="CK353" s="75" t="n"/>
      <c r="CL353" s="75" t="n"/>
      <c r="CM353" s="75" t="n"/>
      <c r="CN353" s="75" t="n"/>
      <c r="CO353" s="75" t="n"/>
      <c r="CP353" s="75" t="n"/>
      <c r="CQ353" s="75" t="n"/>
      <c r="CR353" s="75" t="n"/>
      <c r="CS353" s="75" t="n"/>
      <c r="CT353" s="75" t="n"/>
      <c r="CU353" s="75" t="n"/>
      <c r="CV353" s="75" t="n"/>
      <c r="CW353" s="75" t="n"/>
      <c r="CX353" s="75" t="n"/>
      <c r="CY353" s="75" t="n"/>
      <c r="CZ353" s="75" t="n"/>
    </row>
    <row r="354">
      <c r="B354" s="134">
        <f>IF($A353="",0,COUNT($E354:$CZ354))</f>
        <v/>
      </c>
    </row>
    <row r="355">
      <c r="A355" s="5">
        <f>IF(AS51!$C$180="","",AS51!$C$180)</f>
        <v/>
      </c>
      <c r="B355" s="134">
        <f>IF($A355="",0,COUNT($E355:$CZ355))</f>
        <v/>
      </c>
      <c r="C355" s="135">
        <f>IF($A355="",0,IF($B355=0,0,MAX($E355:$CZ355)))</f>
        <v/>
      </c>
      <c r="D355" s="74">
        <f>BDS($A355,'Field Check'!$C$42,"headers=y","startcol=2","endcol=3","dir=h")</f>
        <v/>
      </c>
      <c r="E355" s="75" t="n"/>
      <c r="F355" s="75" t="n"/>
      <c r="G355" s="75" t="n"/>
      <c r="H355" s="75" t="n"/>
      <c r="I355" s="75" t="n"/>
      <c r="J355" s="75" t="n"/>
      <c r="K355" s="75" t="n"/>
      <c r="L355" s="75" t="n"/>
      <c r="M355" s="75" t="n"/>
      <c r="N355" s="75" t="n"/>
      <c r="O355" s="75" t="n"/>
      <c r="P355" s="75" t="n"/>
      <c r="Q355" s="75" t="n"/>
      <c r="R355" s="75" t="n"/>
      <c r="S355" s="75" t="n"/>
      <c r="T355" s="75" t="n"/>
      <c r="U355" s="75" t="n"/>
      <c r="V355" s="75" t="n"/>
      <c r="W355" s="75" t="n"/>
      <c r="X355" s="75" t="n"/>
      <c r="Y355" s="75" t="n"/>
      <c r="Z355" s="75" t="n"/>
      <c r="AA355" s="75" t="n"/>
      <c r="AB355" s="75" t="n"/>
      <c r="AC355" s="75" t="n"/>
      <c r="AD355" s="75" t="n"/>
      <c r="AE355" s="75" t="n"/>
      <c r="AF355" s="75" t="n"/>
      <c r="AG355" s="75" t="n"/>
      <c r="AH355" s="75" t="n"/>
      <c r="AI355" s="75" t="n"/>
      <c r="AJ355" s="75" t="n"/>
      <c r="AK355" s="75" t="n"/>
      <c r="AL355" s="75" t="n"/>
      <c r="AM355" s="75" t="n"/>
      <c r="AN355" s="75" t="n"/>
      <c r="AO355" s="75" t="n"/>
      <c r="AP355" s="75" t="n"/>
      <c r="AQ355" s="75" t="n"/>
      <c r="AR355" s="75" t="n"/>
      <c r="AS355" s="75" t="n"/>
      <c r="AT355" s="75" t="n"/>
      <c r="AU355" s="75" t="n"/>
      <c r="AV355" s="75" t="n"/>
      <c r="AW355" s="75" t="n"/>
      <c r="AX355" s="75" t="n"/>
      <c r="AY355" s="75" t="n"/>
      <c r="AZ355" s="75" t="n"/>
      <c r="BA355" s="75" t="n"/>
      <c r="BB355" s="75" t="n"/>
      <c r="BC355" s="75" t="n"/>
      <c r="BD355" s="75" t="n"/>
      <c r="BE355" s="75" t="n"/>
      <c r="BF355" s="75" t="n"/>
      <c r="BG355" s="75" t="n"/>
      <c r="BH355" s="75" t="n"/>
      <c r="BI355" s="75" t="n"/>
      <c r="BJ355" s="75" t="n"/>
      <c r="BK355" s="75" t="n"/>
      <c r="BL355" s="75" t="n"/>
      <c r="BM355" s="75" t="n"/>
      <c r="BN355" s="75" t="n"/>
      <c r="BO355" s="75" t="n"/>
      <c r="BP355" s="75" t="n"/>
      <c r="BQ355" s="75" t="n"/>
      <c r="BR355" s="75" t="n"/>
      <c r="BS355" s="75" t="n"/>
      <c r="BT355" s="75" t="n"/>
      <c r="BU355" s="75" t="n"/>
      <c r="BV355" s="75" t="n"/>
      <c r="BW355" s="75" t="n"/>
      <c r="BX355" s="75" t="n"/>
      <c r="BY355" s="75" t="n"/>
      <c r="BZ355" s="75" t="n"/>
      <c r="CA355" s="75" t="n"/>
      <c r="CB355" s="75" t="n"/>
      <c r="CC355" s="75" t="n"/>
      <c r="CD355" s="75" t="n"/>
      <c r="CE355" s="75" t="n"/>
      <c r="CF355" s="75" t="n"/>
      <c r="CG355" s="75" t="n"/>
      <c r="CH355" s="75" t="n"/>
      <c r="CI355" s="75" t="n"/>
      <c r="CJ355" s="75" t="n"/>
      <c r="CK355" s="75" t="n"/>
      <c r="CL355" s="75" t="n"/>
      <c r="CM355" s="75" t="n"/>
      <c r="CN355" s="75" t="n"/>
      <c r="CO355" s="75" t="n"/>
      <c r="CP355" s="75" t="n"/>
      <c r="CQ355" s="75" t="n"/>
      <c r="CR355" s="75" t="n"/>
      <c r="CS355" s="75" t="n"/>
      <c r="CT355" s="75" t="n"/>
      <c r="CU355" s="75" t="n"/>
      <c r="CV355" s="75" t="n"/>
      <c r="CW355" s="75" t="n"/>
      <c r="CX355" s="75" t="n"/>
      <c r="CY355" s="75" t="n"/>
      <c r="CZ355" s="75" t="n"/>
    </row>
    <row r="356">
      <c r="B356" s="134">
        <f>IF($A355="",0,COUNT($E356:$CZ356))</f>
        <v/>
      </c>
    </row>
    <row r="357">
      <c r="A357" s="5">
        <f>IF(AS51!$C$181="","",AS51!$C$181)</f>
        <v/>
      </c>
      <c r="B357" s="134">
        <f>IF($A357="",0,COUNT($E357:$CZ357))</f>
        <v/>
      </c>
      <c r="C357" s="135">
        <f>IF($A357="",0,IF($B357=0,0,MAX($E357:$CZ357)))</f>
        <v/>
      </c>
      <c r="D357" s="74">
        <f>BDS($A357,'Field Check'!$C$42,"headers=y","startcol=2","endcol=3","dir=h")</f>
        <v/>
      </c>
      <c r="E357" s="75" t="n"/>
      <c r="F357" s="75" t="n"/>
      <c r="G357" s="75" t="n"/>
      <c r="H357" s="75" t="n"/>
      <c r="I357" s="75" t="n"/>
      <c r="J357" s="75" t="n"/>
      <c r="K357" s="75" t="n"/>
      <c r="L357" s="75" t="n"/>
      <c r="M357" s="75" t="n"/>
      <c r="N357" s="75" t="n"/>
      <c r="O357" s="75" t="n"/>
      <c r="P357" s="75" t="n"/>
      <c r="Q357" s="75" t="n"/>
      <c r="R357" s="75" t="n"/>
      <c r="S357" s="75" t="n"/>
      <c r="T357" s="75" t="n"/>
      <c r="U357" s="75" t="n"/>
      <c r="V357" s="75" t="n"/>
      <c r="W357" s="75" t="n"/>
      <c r="X357" s="75" t="n"/>
      <c r="Y357" s="75" t="n"/>
      <c r="Z357" s="75" t="n"/>
      <c r="AA357" s="75" t="n"/>
      <c r="AB357" s="75" t="n"/>
      <c r="AC357" s="75" t="n"/>
      <c r="AD357" s="75" t="n"/>
      <c r="AE357" s="75" t="n"/>
      <c r="AF357" s="75" t="n"/>
      <c r="AG357" s="75" t="n"/>
      <c r="AH357" s="75" t="n"/>
      <c r="AI357" s="75" t="n"/>
      <c r="AJ357" s="75" t="n"/>
      <c r="AK357" s="75" t="n"/>
      <c r="AL357" s="75" t="n"/>
      <c r="AM357" s="75" t="n"/>
      <c r="AN357" s="75" t="n"/>
      <c r="AO357" s="75" t="n"/>
      <c r="AP357" s="75" t="n"/>
      <c r="AQ357" s="75" t="n"/>
      <c r="AR357" s="75" t="n"/>
      <c r="AS357" s="75" t="n"/>
      <c r="AT357" s="75" t="n"/>
      <c r="AU357" s="75" t="n"/>
      <c r="AV357" s="75" t="n"/>
      <c r="AW357" s="75" t="n"/>
      <c r="AX357" s="75" t="n"/>
      <c r="AY357" s="75" t="n"/>
      <c r="AZ357" s="75" t="n"/>
      <c r="BA357" s="75" t="n"/>
      <c r="BB357" s="75" t="n"/>
      <c r="BC357" s="75" t="n"/>
      <c r="BD357" s="75" t="n"/>
      <c r="BE357" s="75" t="n"/>
      <c r="BF357" s="75" t="n"/>
      <c r="BG357" s="75" t="n"/>
      <c r="BH357" s="75" t="n"/>
      <c r="BI357" s="75" t="n"/>
      <c r="BJ357" s="75" t="n"/>
      <c r="BK357" s="75" t="n"/>
      <c r="BL357" s="75" t="n"/>
      <c r="BM357" s="75" t="n"/>
      <c r="BN357" s="75" t="n"/>
      <c r="BO357" s="75" t="n"/>
      <c r="BP357" s="75" t="n"/>
      <c r="BQ357" s="75" t="n"/>
      <c r="BR357" s="75" t="n"/>
      <c r="BS357" s="75" t="n"/>
      <c r="BT357" s="75" t="n"/>
      <c r="BU357" s="75" t="n"/>
      <c r="BV357" s="75" t="n"/>
      <c r="BW357" s="75" t="n"/>
      <c r="BX357" s="75" t="n"/>
      <c r="BY357" s="75" t="n"/>
      <c r="BZ357" s="75" t="n"/>
      <c r="CA357" s="75" t="n"/>
      <c r="CB357" s="75" t="n"/>
      <c r="CC357" s="75" t="n"/>
      <c r="CD357" s="75" t="n"/>
      <c r="CE357" s="75" t="n"/>
      <c r="CF357" s="75" t="n"/>
      <c r="CG357" s="75" t="n"/>
      <c r="CH357" s="75" t="n"/>
      <c r="CI357" s="75" t="n"/>
      <c r="CJ357" s="75" t="n"/>
      <c r="CK357" s="75" t="n"/>
      <c r="CL357" s="75" t="n"/>
      <c r="CM357" s="75" t="n"/>
      <c r="CN357" s="75" t="n"/>
      <c r="CO357" s="75" t="n"/>
      <c r="CP357" s="75" t="n"/>
      <c r="CQ357" s="75" t="n"/>
      <c r="CR357" s="75" t="n"/>
      <c r="CS357" s="75" t="n"/>
      <c r="CT357" s="75" t="n"/>
      <c r="CU357" s="75" t="n"/>
      <c r="CV357" s="75" t="n"/>
      <c r="CW357" s="75" t="n"/>
      <c r="CX357" s="75" t="n"/>
      <c r="CY357" s="75" t="n"/>
      <c r="CZ357" s="75" t="n"/>
    </row>
    <row r="358">
      <c r="B358" s="134">
        <f>IF($A357="",0,COUNT($E358:$CZ358))</f>
        <v/>
      </c>
    </row>
    <row r="359">
      <c r="A359" s="5">
        <f>IF(AS51!$C$182="","",AS51!$C$182)</f>
        <v/>
      </c>
      <c r="B359" s="134">
        <f>IF($A359="",0,COUNT($E359:$CZ359))</f>
        <v/>
      </c>
      <c r="C359" s="135">
        <f>IF($A359="",0,IF($B359=0,0,MAX($E359:$CZ359)))</f>
        <v/>
      </c>
      <c r="D359" s="74">
        <f>BDS($A359,'Field Check'!$C$42,"headers=y","startcol=2","endcol=3","dir=h")</f>
        <v/>
      </c>
      <c r="E359" s="75" t="n"/>
      <c r="F359" s="75" t="n"/>
      <c r="G359" s="75" t="n"/>
      <c r="H359" s="75" t="n"/>
      <c r="I359" s="75" t="n"/>
      <c r="J359" s="75" t="n"/>
      <c r="K359" s="75" t="n"/>
      <c r="L359" s="75" t="n"/>
      <c r="M359" s="75" t="n"/>
      <c r="N359" s="75" t="n"/>
      <c r="O359" s="75" t="n"/>
      <c r="P359" s="75" t="n"/>
      <c r="Q359" s="75" t="n"/>
      <c r="R359" s="75" t="n"/>
      <c r="S359" s="75" t="n"/>
      <c r="T359" s="75" t="n"/>
      <c r="U359" s="75" t="n"/>
      <c r="V359" s="75" t="n"/>
      <c r="W359" s="75" t="n"/>
      <c r="X359" s="75" t="n"/>
      <c r="Y359" s="75" t="n"/>
      <c r="Z359" s="75" t="n"/>
      <c r="AA359" s="75" t="n"/>
      <c r="AB359" s="75" t="n"/>
      <c r="AC359" s="75" t="n"/>
      <c r="AD359" s="75" t="n"/>
      <c r="AE359" s="75" t="n"/>
      <c r="AF359" s="75" t="n"/>
      <c r="AG359" s="75" t="n"/>
      <c r="AH359" s="75" t="n"/>
      <c r="AI359" s="75" t="n"/>
      <c r="AJ359" s="75" t="n"/>
      <c r="AK359" s="75" t="n"/>
      <c r="AL359" s="75" t="n"/>
      <c r="AM359" s="75" t="n"/>
      <c r="AN359" s="75" t="n"/>
      <c r="AO359" s="75" t="n"/>
      <c r="AP359" s="75" t="n"/>
      <c r="AQ359" s="75" t="n"/>
      <c r="AR359" s="75" t="n"/>
      <c r="AS359" s="75" t="n"/>
      <c r="AT359" s="75" t="n"/>
      <c r="AU359" s="75" t="n"/>
      <c r="AV359" s="75" t="n"/>
      <c r="AW359" s="75" t="n"/>
      <c r="AX359" s="75" t="n"/>
      <c r="AY359" s="75" t="n"/>
      <c r="AZ359" s="75" t="n"/>
      <c r="BA359" s="75" t="n"/>
      <c r="BB359" s="75" t="n"/>
      <c r="BC359" s="75" t="n"/>
      <c r="BD359" s="75" t="n"/>
      <c r="BE359" s="75" t="n"/>
      <c r="BF359" s="75" t="n"/>
      <c r="BG359" s="75" t="n"/>
      <c r="BH359" s="75" t="n"/>
      <c r="BI359" s="75" t="n"/>
      <c r="BJ359" s="75" t="n"/>
      <c r="BK359" s="75" t="n"/>
      <c r="BL359" s="75" t="n"/>
      <c r="BM359" s="75" t="n"/>
      <c r="BN359" s="75" t="n"/>
      <c r="BO359" s="75" t="n"/>
      <c r="BP359" s="75" t="n"/>
      <c r="BQ359" s="75" t="n"/>
      <c r="BR359" s="75" t="n"/>
      <c r="BS359" s="75" t="n"/>
      <c r="BT359" s="75" t="n"/>
      <c r="BU359" s="75" t="n"/>
      <c r="BV359" s="75" t="n"/>
      <c r="BW359" s="75" t="n"/>
      <c r="BX359" s="75" t="n"/>
      <c r="BY359" s="75" t="n"/>
      <c r="BZ359" s="75" t="n"/>
      <c r="CA359" s="75" t="n"/>
      <c r="CB359" s="75" t="n"/>
      <c r="CC359" s="75" t="n"/>
      <c r="CD359" s="75" t="n"/>
      <c r="CE359" s="75" t="n"/>
      <c r="CF359" s="75" t="n"/>
      <c r="CG359" s="75" t="n"/>
      <c r="CH359" s="75" t="n"/>
      <c r="CI359" s="75" t="n"/>
      <c r="CJ359" s="75" t="n"/>
      <c r="CK359" s="75" t="n"/>
      <c r="CL359" s="75" t="n"/>
      <c r="CM359" s="75" t="n"/>
      <c r="CN359" s="75" t="n"/>
      <c r="CO359" s="75" t="n"/>
      <c r="CP359" s="75" t="n"/>
      <c r="CQ359" s="75" t="n"/>
      <c r="CR359" s="75" t="n"/>
      <c r="CS359" s="75" t="n"/>
      <c r="CT359" s="75" t="n"/>
      <c r="CU359" s="75" t="n"/>
      <c r="CV359" s="75" t="n"/>
      <c r="CW359" s="75" t="n"/>
      <c r="CX359" s="75" t="n"/>
      <c r="CY359" s="75" t="n"/>
      <c r="CZ359" s="75" t="n"/>
    </row>
    <row r="360">
      <c r="B360" s="134">
        <f>IF($A359="",0,COUNT($E360:$CZ360))</f>
        <v/>
      </c>
    </row>
    <row r="361">
      <c r="A361" s="5">
        <f>IF(AS51!$C$183="","",AS51!$C$183)</f>
        <v/>
      </c>
      <c r="B361" s="134">
        <f>IF($A361="",0,COUNT($E361:$CZ361))</f>
        <v/>
      </c>
      <c r="C361" s="135">
        <f>IF($A361="",0,IF($B361=0,0,MAX($E361:$CZ361)))</f>
        <v/>
      </c>
      <c r="D361" s="74">
        <f>BDS($A361,'Field Check'!$C$42,"headers=y","startcol=2","endcol=3","dir=h")</f>
        <v/>
      </c>
      <c r="E361" s="75" t="n"/>
      <c r="F361" s="75" t="n"/>
      <c r="G361" s="75" t="n"/>
      <c r="H361" s="75" t="n"/>
      <c r="I361" s="75" t="n"/>
      <c r="J361" s="75" t="n"/>
      <c r="K361" s="75" t="n"/>
      <c r="L361" s="75" t="n"/>
      <c r="M361" s="75" t="n"/>
      <c r="N361" s="75" t="n"/>
      <c r="O361" s="75" t="n"/>
      <c r="P361" s="75" t="n"/>
      <c r="Q361" s="75" t="n"/>
      <c r="R361" s="75" t="n"/>
      <c r="S361" s="75" t="n"/>
      <c r="T361" s="75" t="n"/>
      <c r="U361" s="75" t="n"/>
      <c r="V361" s="75" t="n"/>
      <c r="W361" s="75" t="n"/>
      <c r="X361" s="75" t="n"/>
      <c r="Y361" s="75" t="n"/>
      <c r="Z361" s="75" t="n"/>
      <c r="AA361" s="75" t="n"/>
      <c r="AB361" s="75" t="n"/>
      <c r="AC361" s="75" t="n"/>
      <c r="AD361" s="75" t="n"/>
      <c r="AE361" s="75" t="n"/>
      <c r="AF361" s="75" t="n"/>
      <c r="AG361" s="75" t="n"/>
      <c r="AH361" s="75" t="n"/>
      <c r="AI361" s="75" t="n"/>
      <c r="AJ361" s="75" t="n"/>
      <c r="AK361" s="75" t="n"/>
      <c r="AL361" s="75" t="n"/>
      <c r="AM361" s="75" t="n"/>
      <c r="AN361" s="75" t="n"/>
      <c r="AO361" s="75" t="n"/>
      <c r="AP361" s="75" t="n"/>
      <c r="AQ361" s="75" t="n"/>
      <c r="AR361" s="75" t="n"/>
      <c r="AS361" s="75" t="n"/>
      <c r="AT361" s="75" t="n"/>
      <c r="AU361" s="75" t="n"/>
      <c r="AV361" s="75" t="n"/>
      <c r="AW361" s="75" t="n"/>
      <c r="AX361" s="75" t="n"/>
      <c r="AY361" s="75" t="n"/>
      <c r="AZ361" s="75" t="n"/>
      <c r="BA361" s="75" t="n"/>
      <c r="BB361" s="75" t="n"/>
      <c r="BC361" s="75" t="n"/>
      <c r="BD361" s="75" t="n"/>
      <c r="BE361" s="75" t="n"/>
      <c r="BF361" s="75" t="n"/>
      <c r="BG361" s="75" t="n"/>
      <c r="BH361" s="75" t="n"/>
      <c r="BI361" s="75" t="n"/>
      <c r="BJ361" s="75" t="n"/>
      <c r="BK361" s="75" t="n"/>
      <c r="BL361" s="75" t="n"/>
      <c r="BM361" s="75" t="n"/>
      <c r="BN361" s="75" t="n"/>
      <c r="BO361" s="75" t="n"/>
      <c r="BP361" s="75" t="n"/>
      <c r="BQ361" s="75" t="n"/>
      <c r="BR361" s="75" t="n"/>
      <c r="BS361" s="75" t="n"/>
      <c r="BT361" s="75" t="n"/>
      <c r="BU361" s="75" t="n"/>
      <c r="BV361" s="75" t="n"/>
      <c r="BW361" s="75" t="n"/>
      <c r="BX361" s="75" t="n"/>
      <c r="BY361" s="75" t="n"/>
      <c r="BZ361" s="75" t="n"/>
      <c r="CA361" s="75" t="n"/>
      <c r="CB361" s="75" t="n"/>
      <c r="CC361" s="75" t="n"/>
      <c r="CD361" s="75" t="n"/>
      <c r="CE361" s="75" t="n"/>
      <c r="CF361" s="75" t="n"/>
      <c r="CG361" s="75" t="n"/>
      <c r="CH361" s="75" t="n"/>
      <c r="CI361" s="75" t="n"/>
      <c r="CJ361" s="75" t="n"/>
      <c r="CK361" s="75" t="n"/>
      <c r="CL361" s="75" t="n"/>
      <c r="CM361" s="75" t="n"/>
      <c r="CN361" s="75" t="n"/>
      <c r="CO361" s="75" t="n"/>
      <c r="CP361" s="75" t="n"/>
      <c r="CQ361" s="75" t="n"/>
      <c r="CR361" s="75" t="n"/>
      <c r="CS361" s="75" t="n"/>
      <c r="CT361" s="75" t="n"/>
      <c r="CU361" s="75" t="n"/>
      <c r="CV361" s="75" t="n"/>
      <c r="CW361" s="75" t="n"/>
      <c r="CX361" s="75" t="n"/>
      <c r="CY361" s="75" t="n"/>
      <c r="CZ361" s="75" t="n"/>
    </row>
    <row r="362">
      <c r="B362" s="134">
        <f>IF($A361="",0,COUNT($E362:$CZ362))</f>
        <v/>
      </c>
    </row>
    <row r="363">
      <c r="A363" s="5">
        <f>IF(AS51!$C$184="","",AS51!$C$184)</f>
        <v/>
      </c>
      <c r="B363" s="134">
        <f>IF($A363="",0,COUNT($E363:$CZ363))</f>
        <v/>
      </c>
      <c r="C363" s="135">
        <f>IF($A363="",0,IF($B363=0,0,MAX($E363:$CZ363)))</f>
        <v/>
      </c>
      <c r="D363" s="74">
        <f>BDS($A363,'Field Check'!$C$42,"headers=y","startcol=2","endcol=3","dir=h")</f>
        <v/>
      </c>
      <c r="E363" s="75" t="n"/>
      <c r="F363" s="75" t="n"/>
      <c r="G363" s="75" t="n"/>
      <c r="H363" s="75" t="n"/>
      <c r="I363" s="75" t="n"/>
      <c r="J363" s="75" t="n"/>
      <c r="K363" s="75" t="n"/>
      <c r="L363" s="75" t="n"/>
      <c r="M363" s="75" t="n"/>
      <c r="N363" s="75" t="n"/>
      <c r="O363" s="75" t="n"/>
      <c r="P363" s="75" t="n"/>
      <c r="Q363" s="75" t="n"/>
      <c r="R363" s="75" t="n"/>
      <c r="S363" s="75" t="n"/>
      <c r="T363" s="75" t="n"/>
      <c r="U363" s="75" t="n"/>
      <c r="V363" s="75" t="n"/>
      <c r="W363" s="75" t="n"/>
      <c r="X363" s="75" t="n"/>
      <c r="Y363" s="75" t="n"/>
      <c r="Z363" s="75" t="n"/>
      <c r="AA363" s="75" t="n"/>
      <c r="AB363" s="75" t="n"/>
      <c r="AC363" s="75" t="n"/>
      <c r="AD363" s="75" t="n"/>
      <c r="AE363" s="75" t="n"/>
      <c r="AF363" s="75" t="n"/>
      <c r="AG363" s="75" t="n"/>
      <c r="AH363" s="75" t="n"/>
      <c r="AI363" s="75" t="n"/>
      <c r="AJ363" s="75" t="n"/>
      <c r="AK363" s="75" t="n"/>
      <c r="AL363" s="75" t="n"/>
      <c r="AM363" s="75" t="n"/>
      <c r="AN363" s="75" t="n"/>
      <c r="AO363" s="75" t="n"/>
      <c r="AP363" s="75" t="n"/>
      <c r="AQ363" s="75" t="n"/>
      <c r="AR363" s="75" t="n"/>
      <c r="AS363" s="75" t="n"/>
      <c r="AT363" s="75" t="n"/>
      <c r="AU363" s="75" t="n"/>
      <c r="AV363" s="75" t="n"/>
      <c r="AW363" s="75" t="n"/>
      <c r="AX363" s="75" t="n"/>
      <c r="AY363" s="75" t="n"/>
      <c r="AZ363" s="75" t="n"/>
      <c r="BA363" s="75" t="n"/>
      <c r="BB363" s="75" t="n"/>
      <c r="BC363" s="75" t="n"/>
      <c r="BD363" s="75" t="n"/>
      <c r="BE363" s="75" t="n"/>
      <c r="BF363" s="75" t="n"/>
      <c r="BG363" s="75" t="n"/>
      <c r="BH363" s="75" t="n"/>
      <c r="BI363" s="75" t="n"/>
      <c r="BJ363" s="75" t="n"/>
      <c r="BK363" s="75" t="n"/>
      <c r="BL363" s="75" t="n"/>
      <c r="BM363" s="75" t="n"/>
      <c r="BN363" s="75" t="n"/>
      <c r="BO363" s="75" t="n"/>
      <c r="BP363" s="75" t="n"/>
      <c r="BQ363" s="75" t="n"/>
      <c r="BR363" s="75" t="n"/>
      <c r="BS363" s="75" t="n"/>
      <c r="BT363" s="75" t="n"/>
      <c r="BU363" s="75" t="n"/>
      <c r="BV363" s="75" t="n"/>
      <c r="BW363" s="75" t="n"/>
      <c r="BX363" s="75" t="n"/>
      <c r="BY363" s="75" t="n"/>
      <c r="BZ363" s="75" t="n"/>
      <c r="CA363" s="75" t="n"/>
      <c r="CB363" s="75" t="n"/>
      <c r="CC363" s="75" t="n"/>
      <c r="CD363" s="75" t="n"/>
      <c r="CE363" s="75" t="n"/>
      <c r="CF363" s="75" t="n"/>
      <c r="CG363" s="75" t="n"/>
      <c r="CH363" s="75" t="n"/>
      <c r="CI363" s="75" t="n"/>
      <c r="CJ363" s="75" t="n"/>
      <c r="CK363" s="75" t="n"/>
      <c r="CL363" s="75" t="n"/>
      <c r="CM363" s="75" t="n"/>
      <c r="CN363" s="75" t="n"/>
      <c r="CO363" s="75" t="n"/>
      <c r="CP363" s="75" t="n"/>
      <c r="CQ363" s="75" t="n"/>
      <c r="CR363" s="75" t="n"/>
      <c r="CS363" s="75" t="n"/>
      <c r="CT363" s="75" t="n"/>
      <c r="CU363" s="75" t="n"/>
      <c r="CV363" s="75" t="n"/>
      <c r="CW363" s="75" t="n"/>
      <c r="CX363" s="75" t="n"/>
      <c r="CY363" s="75" t="n"/>
      <c r="CZ363" s="75" t="n"/>
    </row>
    <row r="364">
      <c r="B364" s="134">
        <f>IF($A363="",0,COUNT($E364:$CZ364))</f>
        <v/>
      </c>
    </row>
    <row r="365">
      <c r="A365" s="5">
        <f>IF(AS51!$C$185="","",AS51!$C$185)</f>
        <v/>
      </c>
      <c r="B365" s="134">
        <f>IF($A365="",0,COUNT($E365:$CZ365))</f>
        <v/>
      </c>
      <c r="C365" s="135">
        <f>IF($A365="",0,IF($B365=0,0,MAX($E365:$CZ365)))</f>
        <v/>
      </c>
      <c r="D365" s="74">
        <f>BDS($A365,'Field Check'!$C$42,"headers=y","startcol=2","endcol=3","dir=h")</f>
        <v/>
      </c>
      <c r="E365" s="75" t="n"/>
      <c r="F365" s="75" t="n"/>
      <c r="G365" s="75" t="n"/>
      <c r="H365" s="75" t="n"/>
      <c r="I365" s="75" t="n"/>
      <c r="J365" s="75" t="n"/>
      <c r="K365" s="75" t="n"/>
      <c r="L365" s="75" t="n"/>
      <c r="M365" s="75" t="n"/>
      <c r="N365" s="75" t="n"/>
      <c r="O365" s="75" t="n"/>
      <c r="P365" s="75" t="n"/>
      <c r="Q365" s="75" t="n"/>
      <c r="R365" s="75" t="n"/>
      <c r="S365" s="75" t="n"/>
      <c r="T365" s="75" t="n"/>
      <c r="U365" s="75" t="n"/>
      <c r="V365" s="75" t="n"/>
      <c r="W365" s="75" t="n"/>
      <c r="X365" s="75" t="n"/>
      <c r="Y365" s="75" t="n"/>
      <c r="Z365" s="75" t="n"/>
      <c r="AA365" s="75" t="n"/>
      <c r="AB365" s="75" t="n"/>
      <c r="AC365" s="75" t="n"/>
      <c r="AD365" s="75" t="n"/>
      <c r="AE365" s="75" t="n"/>
      <c r="AF365" s="75" t="n"/>
      <c r="AG365" s="75" t="n"/>
      <c r="AH365" s="75" t="n"/>
      <c r="AI365" s="75" t="n"/>
      <c r="AJ365" s="75" t="n"/>
      <c r="AK365" s="75" t="n"/>
      <c r="AL365" s="75" t="n"/>
      <c r="AM365" s="75" t="n"/>
      <c r="AN365" s="75" t="n"/>
      <c r="AO365" s="75" t="n"/>
      <c r="AP365" s="75" t="n"/>
      <c r="AQ365" s="75" t="n"/>
      <c r="AR365" s="75" t="n"/>
      <c r="AS365" s="75" t="n"/>
      <c r="AT365" s="75" t="n"/>
      <c r="AU365" s="75" t="n"/>
      <c r="AV365" s="75" t="n"/>
      <c r="AW365" s="75" t="n"/>
      <c r="AX365" s="75" t="n"/>
      <c r="AY365" s="75" t="n"/>
      <c r="AZ365" s="75" t="n"/>
      <c r="BA365" s="75" t="n"/>
      <c r="BB365" s="75" t="n"/>
      <c r="BC365" s="75" t="n"/>
      <c r="BD365" s="75" t="n"/>
      <c r="BE365" s="75" t="n"/>
      <c r="BF365" s="75" t="n"/>
      <c r="BG365" s="75" t="n"/>
      <c r="BH365" s="75" t="n"/>
      <c r="BI365" s="75" t="n"/>
      <c r="BJ365" s="75" t="n"/>
      <c r="BK365" s="75" t="n"/>
      <c r="BL365" s="75" t="n"/>
      <c r="BM365" s="75" t="n"/>
      <c r="BN365" s="75" t="n"/>
      <c r="BO365" s="75" t="n"/>
      <c r="BP365" s="75" t="n"/>
      <c r="BQ365" s="75" t="n"/>
      <c r="BR365" s="75" t="n"/>
      <c r="BS365" s="75" t="n"/>
      <c r="BT365" s="75" t="n"/>
      <c r="BU365" s="75" t="n"/>
      <c r="BV365" s="75" t="n"/>
      <c r="BW365" s="75" t="n"/>
      <c r="BX365" s="75" t="n"/>
      <c r="BY365" s="75" t="n"/>
      <c r="BZ365" s="75" t="n"/>
      <c r="CA365" s="75" t="n"/>
      <c r="CB365" s="75" t="n"/>
      <c r="CC365" s="75" t="n"/>
      <c r="CD365" s="75" t="n"/>
      <c r="CE365" s="75" t="n"/>
      <c r="CF365" s="75" t="n"/>
      <c r="CG365" s="75" t="n"/>
      <c r="CH365" s="75" t="n"/>
      <c r="CI365" s="75" t="n"/>
      <c r="CJ365" s="75" t="n"/>
      <c r="CK365" s="75" t="n"/>
      <c r="CL365" s="75" t="n"/>
      <c r="CM365" s="75" t="n"/>
      <c r="CN365" s="75" t="n"/>
      <c r="CO365" s="75" t="n"/>
      <c r="CP365" s="75" t="n"/>
      <c r="CQ365" s="75" t="n"/>
      <c r="CR365" s="75" t="n"/>
      <c r="CS365" s="75" t="n"/>
      <c r="CT365" s="75" t="n"/>
      <c r="CU365" s="75" t="n"/>
      <c r="CV365" s="75" t="n"/>
      <c r="CW365" s="75" t="n"/>
      <c r="CX365" s="75" t="n"/>
      <c r="CY365" s="75" t="n"/>
      <c r="CZ365" s="75" t="n"/>
    </row>
    <row r="366">
      <c r="B366" s="134">
        <f>IF($A365="",0,COUNT($E366:$CZ366))</f>
        <v/>
      </c>
    </row>
    <row r="367">
      <c r="A367" s="5">
        <f>IF(AS51!$C$186="","",AS51!$C$186)</f>
        <v/>
      </c>
      <c r="B367" s="134">
        <f>IF($A367="",0,COUNT($E367:$CZ367))</f>
        <v/>
      </c>
      <c r="C367" s="135">
        <f>IF($A367="",0,IF($B367=0,0,MAX($E367:$CZ367)))</f>
        <v/>
      </c>
      <c r="D367" s="74">
        <f>BDS($A367,'Field Check'!$C$42,"headers=y","startcol=2","endcol=3","dir=h")</f>
        <v/>
      </c>
      <c r="E367" s="75" t="n"/>
      <c r="F367" s="75" t="n"/>
      <c r="G367" s="75" t="n"/>
      <c r="H367" s="75" t="n"/>
      <c r="I367" s="75" t="n"/>
      <c r="J367" s="75" t="n"/>
      <c r="K367" s="75" t="n"/>
      <c r="L367" s="75" t="n"/>
      <c r="M367" s="75" t="n"/>
      <c r="N367" s="75" t="n"/>
      <c r="O367" s="75" t="n"/>
      <c r="P367" s="75" t="n"/>
      <c r="Q367" s="75" t="n"/>
      <c r="R367" s="75" t="n"/>
      <c r="S367" s="75" t="n"/>
      <c r="T367" s="75" t="n"/>
      <c r="U367" s="75" t="n"/>
      <c r="V367" s="75" t="n"/>
      <c r="W367" s="75" t="n"/>
      <c r="X367" s="75" t="n"/>
      <c r="Y367" s="75" t="n"/>
      <c r="Z367" s="75" t="n"/>
      <c r="AA367" s="75" t="n"/>
      <c r="AB367" s="75" t="n"/>
      <c r="AC367" s="75" t="n"/>
      <c r="AD367" s="75" t="n"/>
      <c r="AE367" s="75" t="n"/>
      <c r="AF367" s="75" t="n"/>
      <c r="AG367" s="75" t="n"/>
      <c r="AH367" s="75" t="n"/>
      <c r="AI367" s="75" t="n"/>
      <c r="AJ367" s="75" t="n"/>
      <c r="AK367" s="75" t="n"/>
      <c r="AL367" s="75" t="n"/>
      <c r="AM367" s="75" t="n"/>
      <c r="AN367" s="75" t="n"/>
      <c r="AO367" s="75" t="n"/>
      <c r="AP367" s="75" t="n"/>
      <c r="AQ367" s="75" t="n"/>
      <c r="AR367" s="75" t="n"/>
      <c r="AS367" s="75" t="n"/>
      <c r="AT367" s="75" t="n"/>
      <c r="AU367" s="75" t="n"/>
      <c r="AV367" s="75" t="n"/>
      <c r="AW367" s="75" t="n"/>
      <c r="AX367" s="75" t="n"/>
      <c r="AY367" s="75" t="n"/>
      <c r="AZ367" s="75" t="n"/>
      <c r="BA367" s="75" t="n"/>
      <c r="BB367" s="75" t="n"/>
      <c r="BC367" s="75" t="n"/>
      <c r="BD367" s="75" t="n"/>
      <c r="BE367" s="75" t="n"/>
      <c r="BF367" s="75" t="n"/>
      <c r="BG367" s="75" t="n"/>
      <c r="BH367" s="75" t="n"/>
      <c r="BI367" s="75" t="n"/>
      <c r="BJ367" s="75" t="n"/>
      <c r="BK367" s="75" t="n"/>
      <c r="BL367" s="75" t="n"/>
      <c r="BM367" s="75" t="n"/>
      <c r="BN367" s="75" t="n"/>
      <c r="BO367" s="75" t="n"/>
      <c r="BP367" s="75" t="n"/>
      <c r="BQ367" s="75" t="n"/>
      <c r="BR367" s="75" t="n"/>
      <c r="BS367" s="75" t="n"/>
      <c r="BT367" s="75" t="n"/>
      <c r="BU367" s="75" t="n"/>
      <c r="BV367" s="75" t="n"/>
      <c r="BW367" s="75" t="n"/>
      <c r="BX367" s="75" t="n"/>
      <c r="BY367" s="75" t="n"/>
      <c r="BZ367" s="75" t="n"/>
      <c r="CA367" s="75" t="n"/>
      <c r="CB367" s="75" t="n"/>
      <c r="CC367" s="75" t="n"/>
      <c r="CD367" s="75" t="n"/>
      <c r="CE367" s="75" t="n"/>
      <c r="CF367" s="75" t="n"/>
      <c r="CG367" s="75" t="n"/>
      <c r="CH367" s="75" t="n"/>
      <c r="CI367" s="75" t="n"/>
      <c r="CJ367" s="75" t="n"/>
      <c r="CK367" s="75" t="n"/>
      <c r="CL367" s="75" t="n"/>
      <c r="CM367" s="75" t="n"/>
      <c r="CN367" s="75" t="n"/>
      <c r="CO367" s="75" t="n"/>
      <c r="CP367" s="75" t="n"/>
      <c r="CQ367" s="75" t="n"/>
      <c r="CR367" s="75" t="n"/>
      <c r="CS367" s="75" t="n"/>
      <c r="CT367" s="75" t="n"/>
      <c r="CU367" s="75" t="n"/>
      <c r="CV367" s="75" t="n"/>
      <c r="CW367" s="75" t="n"/>
      <c r="CX367" s="75" t="n"/>
      <c r="CY367" s="75" t="n"/>
      <c r="CZ367" s="75" t="n"/>
    </row>
    <row r="368">
      <c r="B368" s="134">
        <f>IF($A367="",0,COUNT($E368:$CZ368))</f>
        <v/>
      </c>
    </row>
    <row r="369">
      <c r="A369" s="5">
        <f>IF(AS51!$C$187="","",AS51!$C$187)</f>
        <v/>
      </c>
      <c r="B369" s="134">
        <f>IF($A369="",0,COUNT($E369:$CZ369))</f>
        <v/>
      </c>
      <c r="C369" s="135">
        <f>IF($A369="",0,IF($B369=0,0,MAX($E369:$CZ369)))</f>
        <v/>
      </c>
      <c r="D369" s="74">
        <f>BDS($A369,'Field Check'!$C$42,"headers=y","startcol=2","endcol=3","dir=h")</f>
        <v/>
      </c>
      <c r="E369" s="75" t="n"/>
      <c r="F369" s="75" t="n"/>
      <c r="G369" s="75" t="n"/>
      <c r="H369" s="75" t="n"/>
      <c r="I369" s="75" t="n"/>
      <c r="J369" s="75" t="n"/>
      <c r="K369" s="75" t="n"/>
      <c r="L369" s="75" t="n"/>
      <c r="M369" s="75" t="n"/>
      <c r="N369" s="75" t="n"/>
      <c r="O369" s="75" t="n"/>
      <c r="P369" s="75" t="n"/>
      <c r="Q369" s="75" t="n"/>
      <c r="R369" s="75" t="n"/>
      <c r="S369" s="75" t="n"/>
      <c r="T369" s="75" t="n"/>
      <c r="U369" s="75" t="n"/>
      <c r="V369" s="75" t="n"/>
      <c r="W369" s="75" t="n"/>
      <c r="X369" s="75" t="n"/>
      <c r="Y369" s="75" t="n"/>
      <c r="Z369" s="75" t="n"/>
      <c r="AA369" s="75" t="n"/>
      <c r="AB369" s="75" t="n"/>
      <c r="AC369" s="75" t="n"/>
      <c r="AD369" s="75" t="n"/>
      <c r="AE369" s="75" t="n"/>
      <c r="AF369" s="75" t="n"/>
      <c r="AG369" s="75" t="n"/>
      <c r="AH369" s="75" t="n"/>
      <c r="AI369" s="75" t="n"/>
      <c r="AJ369" s="75" t="n"/>
      <c r="AK369" s="75" t="n"/>
      <c r="AL369" s="75" t="n"/>
      <c r="AM369" s="75" t="n"/>
      <c r="AN369" s="75" t="n"/>
      <c r="AO369" s="75" t="n"/>
      <c r="AP369" s="75" t="n"/>
      <c r="AQ369" s="75" t="n"/>
      <c r="AR369" s="75" t="n"/>
      <c r="AS369" s="75" t="n"/>
      <c r="AT369" s="75" t="n"/>
      <c r="AU369" s="75" t="n"/>
      <c r="AV369" s="75" t="n"/>
      <c r="AW369" s="75" t="n"/>
      <c r="AX369" s="75" t="n"/>
      <c r="AY369" s="75" t="n"/>
      <c r="AZ369" s="75" t="n"/>
      <c r="BA369" s="75" t="n"/>
      <c r="BB369" s="75" t="n"/>
      <c r="BC369" s="75" t="n"/>
      <c r="BD369" s="75" t="n"/>
      <c r="BE369" s="75" t="n"/>
      <c r="BF369" s="75" t="n"/>
      <c r="BG369" s="75" t="n"/>
      <c r="BH369" s="75" t="n"/>
      <c r="BI369" s="75" t="n"/>
      <c r="BJ369" s="75" t="n"/>
      <c r="BK369" s="75" t="n"/>
      <c r="BL369" s="75" t="n"/>
      <c r="BM369" s="75" t="n"/>
      <c r="BN369" s="75" t="n"/>
      <c r="BO369" s="75" t="n"/>
      <c r="BP369" s="75" t="n"/>
      <c r="BQ369" s="75" t="n"/>
      <c r="BR369" s="75" t="n"/>
      <c r="BS369" s="75" t="n"/>
      <c r="BT369" s="75" t="n"/>
      <c r="BU369" s="75" t="n"/>
      <c r="BV369" s="75" t="n"/>
      <c r="BW369" s="75" t="n"/>
      <c r="BX369" s="75" t="n"/>
      <c r="BY369" s="75" t="n"/>
      <c r="BZ369" s="75" t="n"/>
      <c r="CA369" s="75" t="n"/>
      <c r="CB369" s="75" t="n"/>
      <c r="CC369" s="75" t="n"/>
      <c r="CD369" s="75" t="n"/>
      <c r="CE369" s="75" t="n"/>
      <c r="CF369" s="75" t="n"/>
      <c r="CG369" s="75" t="n"/>
      <c r="CH369" s="75" t="n"/>
      <c r="CI369" s="75" t="n"/>
      <c r="CJ369" s="75" t="n"/>
      <c r="CK369" s="75" t="n"/>
      <c r="CL369" s="75" t="n"/>
      <c r="CM369" s="75" t="n"/>
      <c r="CN369" s="75" t="n"/>
      <c r="CO369" s="75" t="n"/>
      <c r="CP369" s="75" t="n"/>
      <c r="CQ369" s="75" t="n"/>
      <c r="CR369" s="75" t="n"/>
      <c r="CS369" s="75" t="n"/>
      <c r="CT369" s="75" t="n"/>
      <c r="CU369" s="75" t="n"/>
      <c r="CV369" s="75" t="n"/>
      <c r="CW369" s="75" t="n"/>
      <c r="CX369" s="75" t="n"/>
      <c r="CY369" s="75" t="n"/>
      <c r="CZ369" s="75" t="n"/>
    </row>
    <row r="370">
      <c r="B370" s="134">
        <f>IF($A369="",0,COUNT($E370:$CZ370))</f>
        <v/>
      </c>
    </row>
    <row r="371">
      <c r="A371" s="5">
        <f>IF(AS51!$C$188="","",AS51!$C$188)</f>
        <v/>
      </c>
      <c r="B371" s="134">
        <f>IF($A371="",0,COUNT($E371:$CZ371))</f>
        <v/>
      </c>
      <c r="C371" s="135">
        <f>IF($A371="",0,IF($B371=0,0,MAX($E371:$CZ371)))</f>
        <v/>
      </c>
      <c r="D371" s="74">
        <f>BDS($A371,'Field Check'!$C$42,"headers=y","startcol=2","endcol=3","dir=h")</f>
        <v/>
      </c>
      <c r="E371" s="75" t="n"/>
      <c r="F371" s="75" t="n"/>
      <c r="G371" s="75" t="n"/>
      <c r="H371" s="75" t="n"/>
      <c r="I371" s="75" t="n"/>
      <c r="J371" s="75" t="n"/>
      <c r="K371" s="75" t="n"/>
      <c r="L371" s="75" t="n"/>
      <c r="M371" s="75" t="n"/>
      <c r="N371" s="75" t="n"/>
      <c r="O371" s="75" t="n"/>
      <c r="P371" s="75" t="n"/>
      <c r="Q371" s="75" t="n"/>
      <c r="R371" s="75" t="n"/>
      <c r="S371" s="75" t="n"/>
      <c r="T371" s="75" t="n"/>
      <c r="U371" s="75" t="n"/>
      <c r="V371" s="75" t="n"/>
      <c r="W371" s="75" t="n"/>
      <c r="X371" s="75" t="n"/>
      <c r="Y371" s="75" t="n"/>
      <c r="Z371" s="75" t="n"/>
      <c r="AA371" s="75" t="n"/>
      <c r="AB371" s="75" t="n"/>
      <c r="AC371" s="75" t="n"/>
      <c r="AD371" s="75" t="n"/>
      <c r="AE371" s="75" t="n"/>
      <c r="AF371" s="75" t="n"/>
      <c r="AG371" s="75" t="n"/>
      <c r="AH371" s="75" t="n"/>
      <c r="AI371" s="75" t="n"/>
      <c r="AJ371" s="75" t="n"/>
      <c r="AK371" s="75" t="n"/>
      <c r="AL371" s="75" t="n"/>
      <c r="AM371" s="75" t="n"/>
      <c r="AN371" s="75" t="n"/>
      <c r="AO371" s="75" t="n"/>
      <c r="AP371" s="75" t="n"/>
      <c r="AQ371" s="75" t="n"/>
      <c r="AR371" s="75" t="n"/>
      <c r="AS371" s="75" t="n"/>
      <c r="AT371" s="75" t="n"/>
      <c r="AU371" s="75" t="n"/>
      <c r="AV371" s="75" t="n"/>
      <c r="AW371" s="75" t="n"/>
      <c r="AX371" s="75" t="n"/>
      <c r="AY371" s="75" t="n"/>
      <c r="AZ371" s="75" t="n"/>
      <c r="BA371" s="75" t="n"/>
      <c r="BB371" s="75" t="n"/>
      <c r="BC371" s="75" t="n"/>
      <c r="BD371" s="75" t="n"/>
      <c r="BE371" s="75" t="n"/>
      <c r="BF371" s="75" t="n"/>
      <c r="BG371" s="75" t="n"/>
      <c r="BH371" s="75" t="n"/>
      <c r="BI371" s="75" t="n"/>
      <c r="BJ371" s="75" t="n"/>
      <c r="BK371" s="75" t="n"/>
      <c r="BL371" s="75" t="n"/>
      <c r="BM371" s="75" t="n"/>
      <c r="BN371" s="75" t="n"/>
      <c r="BO371" s="75" t="n"/>
      <c r="BP371" s="75" t="n"/>
      <c r="BQ371" s="75" t="n"/>
      <c r="BR371" s="75" t="n"/>
      <c r="BS371" s="75" t="n"/>
      <c r="BT371" s="75" t="n"/>
      <c r="BU371" s="75" t="n"/>
      <c r="BV371" s="75" t="n"/>
      <c r="BW371" s="75" t="n"/>
      <c r="BX371" s="75" t="n"/>
      <c r="BY371" s="75" t="n"/>
      <c r="BZ371" s="75" t="n"/>
      <c r="CA371" s="75" t="n"/>
      <c r="CB371" s="75" t="n"/>
      <c r="CC371" s="75" t="n"/>
      <c r="CD371" s="75" t="n"/>
      <c r="CE371" s="75" t="n"/>
      <c r="CF371" s="75" t="n"/>
      <c r="CG371" s="75" t="n"/>
      <c r="CH371" s="75" t="n"/>
      <c r="CI371" s="75" t="n"/>
      <c r="CJ371" s="75" t="n"/>
      <c r="CK371" s="75" t="n"/>
      <c r="CL371" s="75" t="n"/>
      <c r="CM371" s="75" t="n"/>
      <c r="CN371" s="75" t="n"/>
      <c r="CO371" s="75" t="n"/>
      <c r="CP371" s="75" t="n"/>
      <c r="CQ371" s="75" t="n"/>
      <c r="CR371" s="75" t="n"/>
      <c r="CS371" s="75" t="n"/>
      <c r="CT371" s="75" t="n"/>
      <c r="CU371" s="75" t="n"/>
      <c r="CV371" s="75" t="n"/>
      <c r="CW371" s="75" t="n"/>
      <c r="CX371" s="75" t="n"/>
      <c r="CY371" s="75" t="n"/>
      <c r="CZ371" s="75" t="n"/>
    </row>
    <row r="372">
      <c r="B372" s="134">
        <f>IF($A371="",0,COUNT($E372:$CZ372))</f>
        <v/>
      </c>
    </row>
    <row r="373">
      <c r="A373" s="5">
        <f>IF(AS51!$C$189="","",AS51!$C$189)</f>
        <v/>
      </c>
      <c r="B373" s="134">
        <f>IF($A373="",0,COUNT($E373:$CZ373))</f>
        <v/>
      </c>
      <c r="C373" s="135">
        <f>IF($A373="",0,IF($B373=0,0,MAX($E373:$CZ373)))</f>
        <v/>
      </c>
      <c r="D373" s="74">
        <f>BDS($A373,'Field Check'!$C$42,"headers=y","startcol=2","endcol=3","dir=h")</f>
        <v/>
      </c>
      <c r="E373" s="75" t="n"/>
      <c r="F373" s="75" t="n"/>
      <c r="G373" s="75" t="n"/>
      <c r="H373" s="75" t="n"/>
      <c r="I373" s="75" t="n"/>
      <c r="J373" s="75" t="n"/>
      <c r="K373" s="75" t="n"/>
      <c r="L373" s="75" t="n"/>
      <c r="M373" s="75" t="n"/>
      <c r="N373" s="75" t="n"/>
      <c r="O373" s="75" t="n"/>
      <c r="P373" s="75" t="n"/>
      <c r="Q373" s="75" t="n"/>
      <c r="R373" s="75" t="n"/>
      <c r="S373" s="75" t="n"/>
      <c r="T373" s="75" t="n"/>
      <c r="U373" s="75" t="n"/>
      <c r="V373" s="75" t="n"/>
      <c r="W373" s="75" t="n"/>
      <c r="X373" s="75" t="n"/>
      <c r="Y373" s="75" t="n"/>
      <c r="Z373" s="75" t="n"/>
      <c r="AA373" s="75" t="n"/>
      <c r="AB373" s="75" t="n"/>
      <c r="AC373" s="75" t="n"/>
      <c r="AD373" s="75" t="n"/>
      <c r="AE373" s="75" t="n"/>
      <c r="AF373" s="75" t="n"/>
      <c r="AG373" s="75" t="n"/>
      <c r="AH373" s="75" t="n"/>
      <c r="AI373" s="75" t="n"/>
      <c r="AJ373" s="75" t="n"/>
      <c r="AK373" s="75" t="n"/>
      <c r="AL373" s="75" t="n"/>
      <c r="AM373" s="75" t="n"/>
      <c r="AN373" s="75" t="n"/>
      <c r="AO373" s="75" t="n"/>
      <c r="AP373" s="75" t="n"/>
      <c r="AQ373" s="75" t="n"/>
      <c r="AR373" s="75" t="n"/>
      <c r="AS373" s="75" t="n"/>
      <c r="AT373" s="75" t="n"/>
      <c r="AU373" s="75" t="n"/>
      <c r="AV373" s="75" t="n"/>
      <c r="AW373" s="75" t="n"/>
      <c r="AX373" s="75" t="n"/>
      <c r="AY373" s="75" t="n"/>
      <c r="AZ373" s="75" t="n"/>
      <c r="BA373" s="75" t="n"/>
      <c r="BB373" s="75" t="n"/>
      <c r="BC373" s="75" t="n"/>
      <c r="BD373" s="75" t="n"/>
      <c r="BE373" s="75" t="n"/>
      <c r="BF373" s="75" t="n"/>
      <c r="BG373" s="75" t="n"/>
      <c r="BH373" s="75" t="n"/>
      <c r="BI373" s="75" t="n"/>
      <c r="BJ373" s="75" t="n"/>
      <c r="BK373" s="75" t="n"/>
      <c r="BL373" s="75" t="n"/>
      <c r="BM373" s="75" t="n"/>
      <c r="BN373" s="75" t="n"/>
      <c r="BO373" s="75" t="n"/>
      <c r="BP373" s="75" t="n"/>
      <c r="BQ373" s="75" t="n"/>
      <c r="BR373" s="75" t="n"/>
      <c r="BS373" s="75" t="n"/>
      <c r="BT373" s="75" t="n"/>
      <c r="BU373" s="75" t="n"/>
      <c r="BV373" s="75" t="n"/>
      <c r="BW373" s="75" t="n"/>
      <c r="BX373" s="75" t="n"/>
      <c r="BY373" s="75" t="n"/>
      <c r="BZ373" s="75" t="n"/>
      <c r="CA373" s="75" t="n"/>
      <c r="CB373" s="75" t="n"/>
      <c r="CC373" s="75" t="n"/>
      <c r="CD373" s="75" t="n"/>
      <c r="CE373" s="75" t="n"/>
      <c r="CF373" s="75" t="n"/>
      <c r="CG373" s="75" t="n"/>
      <c r="CH373" s="75" t="n"/>
      <c r="CI373" s="75" t="n"/>
      <c r="CJ373" s="75" t="n"/>
      <c r="CK373" s="75" t="n"/>
      <c r="CL373" s="75" t="n"/>
      <c r="CM373" s="75" t="n"/>
      <c r="CN373" s="75" t="n"/>
      <c r="CO373" s="75" t="n"/>
      <c r="CP373" s="75" t="n"/>
      <c r="CQ373" s="75" t="n"/>
      <c r="CR373" s="75" t="n"/>
      <c r="CS373" s="75" t="n"/>
      <c r="CT373" s="75" t="n"/>
      <c r="CU373" s="75" t="n"/>
      <c r="CV373" s="75" t="n"/>
      <c r="CW373" s="75" t="n"/>
      <c r="CX373" s="75" t="n"/>
      <c r="CY373" s="75" t="n"/>
      <c r="CZ373" s="75" t="n"/>
    </row>
    <row r="374">
      <c r="B374" s="134">
        <f>IF($A373="",0,COUNT($E374:$CZ374))</f>
        <v/>
      </c>
    </row>
    <row r="375">
      <c r="A375" s="5">
        <f>IF(AS51!$C$190="","",AS51!$C$190)</f>
        <v/>
      </c>
      <c r="B375" s="134">
        <f>IF($A375="",0,COUNT($E375:$CZ375))</f>
        <v/>
      </c>
      <c r="C375" s="135">
        <f>IF($A375="",0,IF($B375=0,0,MAX($E375:$CZ375)))</f>
        <v/>
      </c>
      <c r="D375" s="74">
        <f>BDS($A375,'Field Check'!$C$42,"headers=y","startcol=2","endcol=3","dir=h")</f>
        <v/>
      </c>
      <c r="E375" s="75" t="n"/>
      <c r="F375" s="75" t="n"/>
      <c r="G375" s="75" t="n"/>
      <c r="H375" s="75" t="n"/>
      <c r="I375" s="75" t="n"/>
      <c r="J375" s="75" t="n"/>
      <c r="K375" s="75" t="n"/>
      <c r="L375" s="75" t="n"/>
      <c r="M375" s="75" t="n"/>
      <c r="N375" s="75" t="n"/>
      <c r="O375" s="75" t="n"/>
      <c r="P375" s="75" t="n"/>
      <c r="Q375" s="75" t="n"/>
      <c r="R375" s="75" t="n"/>
      <c r="S375" s="75" t="n"/>
      <c r="T375" s="75" t="n"/>
      <c r="U375" s="75" t="n"/>
      <c r="V375" s="75" t="n"/>
      <c r="W375" s="75" t="n"/>
      <c r="X375" s="75" t="n"/>
      <c r="Y375" s="75" t="n"/>
      <c r="Z375" s="75" t="n"/>
      <c r="AA375" s="75" t="n"/>
      <c r="AB375" s="75" t="n"/>
      <c r="AC375" s="75" t="n"/>
      <c r="AD375" s="75" t="n"/>
      <c r="AE375" s="75" t="n"/>
      <c r="AF375" s="75" t="n"/>
      <c r="AG375" s="75" t="n"/>
      <c r="AH375" s="75" t="n"/>
      <c r="AI375" s="75" t="n"/>
      <c r="AJ375" s="75" t="n"/>
      <c r="AK375" s="75" t="n"/>
      <c r="AL375" s="75" t="n"/>
      <c r="AM375" s="75" t="n"/>
      <c r="AN375" s="75" t="n"/>
      <c r="AO375" s="75" t="n"/>
      <c r="AP375" s="75" t="n"/>
      <c r="AQ375" s="75" t="n"/>
      <c r="AR375" s="75" t="n"/>
      <c r="AS375" s="75" t="n"/>
      <c r="AT375" s="75" t="n"/>
      <c r="AU375" s="75" t="n"/>
      <c r="AV375" s="75" t="n"/>
      <c r="AW375" s="75" t="n"/>
      <c r="AX375" s="75" t="n"/>
      <c r="AY375" s="75" t="n"/>
      <c r="AZ375" s="75" t="n"/>
      <c r="BA375" s="75" t="n"/>
      <c r="BB375" s="75" t="n"/>
      <c r="BC375" s="75" t="n"/>
      <c r="BD375" s="75" t="n"/>
      <c r="BE375" s="75" t="n"/>
      <c r="BF375" s="75" t="n"/>
      <c r="BG375" s="75" t="n"/>
      <c r="BH375" s="75" t="n"/>
      <c r="BI375" s="75" t="n"/>
      <c r="BJ375" s="75" t="n"/>
      <c r="BK375" s="75" t="n"/>
      <c r="BL375" s="75" t="n"/>
      <c r="BM375" s="75" t="n"/>
      <c r="BN375" s="75" t="n"/>
      <c r="BO375" s="75" t="n"/>
      <c r="BP375" s="75" t="n"/>
      <c r="BQ375" s="75" t="n"/>
      <c r="BR375" s="75" t="n"/>
      <c r="BS375" s="75" t="n"/>
      <c r="BT375" s="75" t="n"/>
      <c r="BU375" s="75" t="n"/>
      <c r="BV375" s="75" t="n"/>
      <c r="BW375" s="75" t="n"/>
      <c r="BX375" s="75" t="n"/>
      <c r="BY375" s="75" t="n"/>
      <c r="BZ375" s="75" t="n"/>
      <c r="CA375" s="75" t="n"/>
      <c r="CB375" s="75" t="n"/>
      <c r="CC375" s="75" t="n"/>
      <c r="CD375" s="75" t="n"/>
      <c r="CE375" s="75" t="n"/>
      <c r="CF375" s="75" t="n"/>
      <c r="CG375" s="75" t="n"/>
      <c r="CH375" s="75" t="n"/>
      <c r="CI375" s="75" t="n"/>
      <c r="CJ375" s="75" t="n"/>
      <c r="CK375" s="75" t="n"/>
      <c r="CL375" s="75" t="n"/>
      <c r="CM375" s="75" t="n"/>
      <c r="CN375" s="75" t="n"/>
      <c r="CO375" s="75" t="n"/>
      <c r="CP375" s="75" t="n"/>
      <c r="CQ375" s="75" t="n"/>
      <c r="CR375" s="75" t="n"/>
      <c r="CS375" s="75" t="n"/>
      <c r="CT375" s="75" t="n"/>
      <c r="CU375" s="75" t="n"/>
      <c r="CV375" s="75" t="n"/>
      <c r="CW375" s="75" t="n"/>
      <c r="CX375" s="75" t="n"/>
      <c r="CY375" s="75" t="n"/>
      <c r="CZ375" s="75" t="n"/>
    </row>
    <row r="376">
      <c r="B376" s="134">
        <f>IF($A375="",0,COUNT($E376:$CZ376))</f>
        <v/>
      </c>
    </row>
    <row r="377">
      <c r="A377" s="5">
        <f>IF(AS51!$C$191="","",AS51!$C$191)</f>
        <v/>
      </c>
      <c r="B377" s="134">
        <f>IF($A377="",0,COUNT($E377:$CZ377))</f>
        <v/>
      </c>
      <c r="C377" s="135">
        <f>IF($A377="",0,IF($B377=0,0,MAX($E377:$CZ377)))</f>
        <v/>
      </c>
      <c r="D377" s="74">
        <f>BDS($A377,'Field Check'!$C$42,"headers=y","startcol=2","endcol=3","dir=h")</f>
        <v/>
      </c>
      <c r="E377" s="75" t="n"/>
      <c r="F377" s="75" t="n"/>
      <c r="G377" s="75" t="n"/>
      <c r="H377" s="75" t="n"/>
      <c r="I377" s="75" t="n"/>
      <c r="J377" s="75" t="n"/>
      <c r="K377" s="75" t="n"/>
      <c r="L377" s="75" t="n"/>
      <c r="M377" s="75" t="n"/>
      <c r="N377" s="75" t="n"/>
      <c r="O377" s="75" t="n"/>
      <c r="P377" s="75" t="n"/>
      <c r="Q377" s="75" t="n"/>
      <c r="R377" s="75" t="n"/>
      <c r="S377" s="75" t="n"/>
      <c r="T377" s="75" t="n"/>
      <c r="U377" s="75" t="n"/>
      <c r="V377" s="75" t="n"/>
      <c r="W377" s="75" t="n"/>
      <c r="X377" s="75" t="n"/>
      <c r="Y377" s="75" t="n"/>
      <c r="Z377" s="75" t="n"/>
      <c r="AA377" s="75" t="n"/>
      <c r="AB377" s="75" t="n"/>
      <c r="AC377" s="75" t="n"/>
      <c r="AD377" s="75" t="n"/>
      <c r="AE377" s="75" t="n"/>
      <c r="AF377" s="75" t="n"/>
      <c r="AG377" s="75" t="n"/>
      <c r="AH377" s="75" t="n"/>
      <c r="AI377" s="75" t="n"/>
      <c r="AJ377" s="75" t="n"/>
      <c r="AK377" s="75" t="n"/>
      <c r="AL377" s="75" t="n"/>
      <c r="AM377" s="75" t="n"/>
      <c r="AN377" s="75" t="n"/>
      <c r="AO377" s="75" t="n"/>
      <c r="AP377" s="75" t="n"/>
      <c r="AQ377" s="75" t="n"/>
      <c r="AR377" s="75" t="n"/>
      <c r="AS377" s="75" t="n"/>
      <c r="AT377" s="75" t="n"/>
      <c r="AU377" s="75" t="n"/>
      <c r="AV377" s="75" t="n"/>
      <c r="AW377" s="75" t="n"/>
      <c r="AX377" s="75" t="n"/>
      <c r="AY377" s="75" t="n"/>
      <c r="AZ377" s="75" t="n"/>
      <c r="BA377" s="75" t="n"/>
      <c r="BB377" s="75" t="n"/>
      <c r="BC377" s="75" t="n"/>
      <c r="BD377" s="75" t="n"/>
      <c r="BE377" s="75" t="n"/>
      <c r="BF377" s="75" t="n"/>
      <c r="BG377" s="75" t="n"/>
      <c r="BH377" s="75" t="n"/>
      <c r="BI377" s="75" t="n"/>
      <c r="BJ377" s="75" t="n"/>
      <c r="BK377" s="75" t="n"/>
      <c r="BL377" s="75" t="n"/>
      <c r="BM377" s="75" t="n"/>
      <c r="BN377" s="75" t="n"/>
      <c r="BO377" s="75" t="n"/>
      <c r="BP377" s="75" t="n"/>
      <c r="BQ377" s="75" t="n"/>
      <c r="BR377" s="75" t="n"/>
      <c r="BS377" s="75" t="n"/>
      <c r="BT377" s="75" t="n"/>
      <c r="BU377" s="75" t="n"/>
      <c r="BV377" s="75" t="n"/>
      <c r="BW377" s="75" t="n"/>
      <c r="BX377" s="75" t="n"/>
      <c r="BY377" s="75" t="n"/>
      <c r="BZ377" s="75" t="n"/>
      <c r="CA377" s="75" t="n"/>
      <c r="CB377" s="75" t="n"/>
      <c r="CC377" s="75" t="n"/>
      <c r="CD377" s="75" t="n"/>
      <c r="CE377" s="75" t="n"/>
      <c r="CF377" s="75" t="n"/>
      <c r="CG377" s="75" t="n"/>
      <c r="CH377" s="75" t="n"/>
      <c r="CI377" s="75" t="n"/>
      <c r="CJ377" s="75" t="n"/>
      <c r="CK377" s="75" t="n"/>
      <c r="CL377" s="75" t="n"/>
      <c r="CM377" s="75" t="n"/>
      <c r="CN377" s="75" t="n"/>
      <c r="CO377" s="75" t="n"/>
      <c r="CP377" s="75" t="n"/>
      <c r="CQ377" s="75" t="n"/>
      <c r="CR377" s="75" t="n"/>
      <c r="CS377" s="75" t="n"/>
      <c r="CT377" s="75" t="n"/>
      <c r="CU377" s="75" t="n"/>
      <c r="CV377" s="75" t="n"/>
      <c r="CW377" s="75" t="n"/>
      <c r="CX377" s="75" t="n"/>
      <c r="CY377" s="75" t="n"/>
      <c r="CZ377" s="75" t="n"/>
    </row>
    <row r="378">
      <c r="B378" s="134">
        <f>IF($A377="",0,COUNT($E378:$CZ378))</f>
        <v/>
      </c>
    </row>
    <row r="379">
      <c r="A379" s="5">
        <f>IF(AS51!$C$192="","",AS51!$C$192)</f>
        <v/>
      </c>
      <c r="B379" s="134">
        <f>IF($A379="",0,COUNT($E379:$CZ379))</f>
        <v/>
      </c>
      <c r="C379" s="135">
        <f>IF($A379="",0,IF($B379=0,0,MAX($E379:$CZ379)))</f>
        <v/>
      </c>
      <c r="D379" s="74">
        <f>BDS($A379,'Field Check'!$C$42,"headers=y","startcol=2","endcol=3","dir=h")</f>
        <v/>
      </c>
      <c r="E379" s="75" t="n"/>
      <c r="F379" s="75" t="n"/>
      <c r="G379" s="75" t="n"/>
      <c r="H379" s="75" t="n"/>
      <c r="I379" s="75" t="n"/>
      <c r="J379" s="75" t="n"/>
      <c r="K379" s="75" t="n"/>
      <c r="L379" s="75" t="n"/>
      <c r="M379" s="75" t="n"/>
      <c r="N379" s="75" t="n"/>
      <c r="O379" s="75" t="n"/>
      <c r="P379" s="75" t="n"/>
      <c r="Q379" s="75" t="n"/>
      <c r="R379" s="75" t="n"/>
      <c r="S379" s="75" t="n"/>
      <c r="T379" s="75" t="n"/>
      <c r="U379" s="75" t="n"/>
      <c r="V379" s="75" t="n"/>
      <c r="W379" s="75" t="n"/>
      <c r="X379" s="75" t="n"/>
      <c r="Y379" s="75" t="n"/>
      <c r="Z379" s="75" t="n"/>
      <c r="AA379" s="75" t="n"/>
      <c r="AB379" s="75" t="n"/>
      <c r="AC379" s="75" t="n"/>
      <c r="AD379" s="75" t="n"/>
      <c r="AE379" s="75" t="n"/>
      <c r="AF379" s="75" t="n"/>
      <c r="AG379" s="75" t="n"/>
      <c r="AH379" s="75" t="n"/>
      <c r="AI379" s="75" t="n"/>
      <c r="AJ379" s="75" t="n"/>
      <c r="AK379" s="75" t="n"/>
      <c r="AL379" s="75" t="n"/>
      <c r="AM379" s="75" t="n"/>
      <c r="AN379" s="75" t="n"/>
      <c r="AO379" s="75" t="n"/>
      <c r="AP379" s="75" t="n"/>
      <c r="AQ379" s="75" t="n"/>
      <c r="AR379" s="75" t="n"/>
      <c r="AS379" s="75" t="n"/>
      <c r="AT379" s="75" t="n"/>
      <c r="AU379" s="75" t="n"/>
      <c r="AV379" s="75" t="n"/>
      <c r="AW379" s="75" t="n"/>
      <c r="AX379" s="75" t="n"/>
      <c r="AY379" s="75" t="n"/>
      <c r="AZ379" s="75" t="n"/>
      <c r="BA379" s="75" t="n"/>
      <c r="BB379" s="75" t="n"/>
      <c r="BC379" s="75" t="n"/>
      <c r="BD379" s="75" t="n"/>
      <c r="BE379" s="75" t="n"/>
      <c r="BF379" s="75" t="n"/>
      <c r="BG379" s="75" t="n"/>
      <c r="BH379" s="75" t="n"/>
      <c r="BI379" s="75" t="n"/>
      <c r="BJ379" s="75" t="n"/>
      <c r="BK379" s="75" t="n"/>
      <c r="BL379" s="75" t="n"/>
      <c r="BM379" s="75" t="n"/>
      <c r="BN379" s="75" t="n"/>
      <c r="BO379" s="75" t="n"/>
      <c r="BP379" s="75" t="n"/>
      <c r="BQ379" s="75" t="n"/>
      <c r="BR379" s="75" t="n"/>
      <c r="BS379" s="75" t="n"/>
      <c r="BT379" s="75" t="n"/>
      <c r="BU379" s="75" t="n"/>
      <c r="BV379" s="75" t="n"/>
      <c r="BW379" s="75" t="n"/>
      <c r="BX379" s="75" t="n"/>
      <c r="BY379" s="75" t="n"/>
      <c r="BZ379" s="75" t="n"/>
      <c r="CA379" s="75" t="n"/>
      <c r="CB379" s="75" t="n"/>
      <c r="CC379" s="75" t="n"/>
      <c r="CD379" s="75" t="n"/>
      <c r="CE379" s="75" t="n"/>
      <c r="CF379" s="75" t="n"/>
      <c r="CG379" s="75" t="n"/>
      <c r="CH379" s="75" t="n"/>
      <c r="CI379" s="75" t="n"/>
      <c r="CJ379" s="75" t="n"/>
      <c r="CK379" s="75" t="n"/>
      <c r="CL379" s="75" t="n"/>
      <c r="CM379" s="75" t="n"/>
      <c r="CN379" s="75" t="n"/>
      <c r="CO379" s="75" t="n"/>
      <c r="CP379" s="75" t="n"/>
      <c r="CQ379" s="75" t="n"/>
      <c r="CR379" s="75" t="n"/>
      <c r="CS379" s="75" t="n"/>
      <c r="CT379" s="75" t="n"/>
      <c r="CU379" s="75" t="n"/>
      <c r="CV379" s="75" t="n"/>
      <c r="CW379" s="75" t="n"/>
      <c r="CX379" s="75" t="n"/>
      <c r="CY379" s="75" t="n"/>
      <c r="CZ379" s="75" t="n"/>
    </row>
    <row r="380">
      <c r="B380" s="134">
        <f>IF($A379="",0,COUNT($E380:$CZ380))</f>
        <v/>
      </c>
    </row>
    <row r="381">
      <c r="A381" s="5">
        <f>IF(AS51!$C$193="","",AS51!$C$193)</f>
        <v/>
      </c>
      <c r="B381" s="134">
        <f>IF($A381="",0,COUNT($E381:$CZ381))</f>
        <v/>
      </c>
      <c r="C381" s="135">
        <f>IF($A381="",0,IF($B381=0,0,MAX($E381:$CZ381)))</f>
        <v/>
      </c>
      <c r="D381" s="74">
        <f>BDS($A381,'Field Check'!$C$42,"headers=y","startcol=2","endcol=3","dir=h")</f>
        <v/>
      </c>
      <c r="E381" s="75" t="n"/>
      <c r="F381" s="75" t="n"/>
      <c r="G381" s="75" t="n"/>
      <c r="H381" s="75" t="n"/>
      <c r="I381" s="75" t="n"/>
      <c r="J381" s="75" t="n"/>
      <c r="K381" s="75" t="n"/>
      <c r="L381" s="75" t="n"/>
      <c r="M381" s="75" t="n"/>
      <c r="N381" s="75" t="n"/>
      <c r="O381" s="75" t="n"/>
      <c r="P381" s="75" t="n"/>
      <c r="Q381" s="75" t="n"/>
      <c r="R381" s="75" t="n"/>
      <c r="S381" s="75" t="n"/>
      <c r="T381" s="75" t="n"/>
      <c r="U381" s="75" t="n"/>
      <c r="V381" s="75" t="n"/>
      <c r="W381" s="75" t="n"/>
      <c r="X381" s="75" t="n"/>
      <c r="Y381" s="75" t="n"/>
      <c r="Z381" s="75" t="n"/>
      <c r="AA381" s="75" t="n"/>
      <c r="AB381" s="75" t="n"/>
      <c r="AC381" s="75" t="n"/>
      <c r="AD381" s="75" t="n"/>
      <c r="AE381" s="75" t="n"/>
      <c r="AF381" s="75" t="n"/>
      <c r="AG381" s="75" t="n"/>
      <c r="AH381" s="75" t="n"/>
      <c r="AI381" s="75" t="n"/>
      <c r="AJ381" s="75" t="n"/>
      <c r="AK381" s="75" t="n"/>
      <c r="AL381" s="75" t="n"/>
      <c r="AM381" s="75" t="n"/>
      <c r="AN381" s="75" t="n"/>
      <c r="AO381" s="75" t="n"/>
      <c r="AP381" s="75" t="n"/>
      <c r="AQ381" s="75" t="n"/>
      <c r="AR381" s="75" t="n"/>
      <c r="AS381" s="75" t="n"/>
      <c r="AT381" s="75" t="n"/>
      <c r="AU381" s="75" t="n"/>
      <c r="AV381" s="75" t="n"/>
      <c r="AW381" s="75" t="n"/>
      <c r="AX381" s="75" t="n"/>
      <c r="AY381" s="75" t="n"/>
      <c r="AZ381" s="75" t="n"/>
      <c r="BA381" s="75" t="n"/>
      <c r="BB381" s="75" t="n"/>
      <c r="BC381" s="75" t="n"/>
      <c r="BD381" s="75" t="n"/>
      <c r="BE381" s="75" t="n"/>
      <c r="BF381" s="75" t="n"/>
      <c r="BG381" s="75" t="n"/>
      <c r="BH381" s="75" t="n"/>
      <c r="BI381" s="75" t="n"/>
      <c r="BJ381" s="75" t="n"/>
      <c r="BK381" s="75" t="n"/>
      <c r="BL381" s="75" t="n"/>
      <c r="BM381" s="75" t="n"/>
      <c r="BN381" s="75" t="n"/>
      <c r="BO381" s="75" t="n"/>
      <c r="BP381" s="75" t="n"/>
      <c r="BQ381" s="75" t="n"/>
      <c r="BR381" s="75" t="n"/>
      <c r="BS381" s="75" t="n"/>
      <c r="BT381" s="75" t="n"/>
      <c r="BU381" s="75" t="n"/>
      <c r="BV381" s="75" t="n"/>
      <c r="BW381" s="75" t="n"/>
      <c r="BX381" s="75" t="n"/>
      <c r="BY381" s="75" t="n"/>
      <c r="BZ381" s="75" t="n"/>
      <c r="CA381" s="75" t="n"/>
      <c r="CB381" s="75" t="n"/>
      <c r="CC381" s="75" t="n"/>
      <c r="CD381" s="75" t="n"/>
      <c r="CE381" s="75" t="n"/>
      <c r="CF381" s="75" t="n"/>
      <c r="CG381" s="75" t="n"/>
      <c r="CH381" s="75" t="n"/>
      <c r="CI381" s="75" t="n"/>
      <c r="CJ381" s="75" t="n"/>
      <c r="CK381" s="75" t="n"/>
      <c r="CL381" s="75" t="n"/>
      <c r="CM381" s="75" t="n"/>
      <c r="CN381" s="75" t="n"/>
      <c r="CO381" s="75" t="n"/>
      <c r="CP381" s="75" t="n"/>
      <c r="CQ381" s="75" t="n"/>
      <c r="CR381" s="75" t="n"/>
      <c r="CS381" s="75" t="n"/>
      <c r="CT381" s="75" t="n"/>
      <c r="CU381" s="75" t="n"/>
      <c r="CV381" s="75" t="n"/>
      <c r="CW381" s="75" t="n"/>
      <c r="CX381" s="75" t="n"/>
      <c r="CY381" s="75" t="n"/>
      <c r="CZ381" s="75" t="n"/>
    </row>
    <row r="382">
      <c r="B382" s="134">
        <f>IF($A381="",0,COUNT($E382:$CZ382))</f>
        <v/>
      </c>
    </row>
    <row r="383">
      <c r="A383" s="5">
        <f>IF(AS51!$C$194="","",AS51!$C$194)</f>
        <v/>
      </c>
      <c r="B383" s="134">
        <f>IF($A383="",0,COUNT($E383:$CZ383))</f>
        <v/>
      </c>
      <c r="C383" s="135">
        <f>IF($A383="",0,IF($B383=0,0,MAX($E383:$CZ383)))</f>
        <v/>
      </c>
      <c r="D383" s="74">
        <f>BDS($A383,'Field Check'!$C$42,"headers=y","startcol=2","endcol=3","dir=h")</f>
        <v/>
      </c>
      <c r="E383" s="75" t="n"/>
      <c r="F383" s="75" t="n"/>
      <c r="G383" s="75" t="n"/>
      <c r="H383" s="75" t="n"/>
      <c r="I383" s="75" t="n"/>
      <c r="J383" s="75" t="n"/>
      <c r="K383" s="75" t="n"/>
      <c r="L383" s="75" t="n"/>
      <c r="M383" s="75" t="n"/>
      <c r="N383" s="75" t="n"/>
      <c r="O383" s="75" t="n"/>
      <c r="P383" s="75" t="n"/>
      <c r="Q383" s="75" t="n"/>
      <c r="R383" s="75" t="n"/>
      <c r="S383" s="75" t="n"/>
      <c r="T383" s="75" t="n"/>
      <c r="U383" s="75" t="n"/>
      <c r="V383" s="75" t="n"/>
      <c r="W383" s="75" t="n"/>
      <c r="X383" s="75" t="n"/>
      <c r="Y383" s="75" t="n"/>
      <c r="Z383" s="75" t="n"/>
      <c r="AA383" s="75" t="n"/>
      <c r="AB383" s="75" t="n"/>
      <c r="AC383" s="75" t="n"/>
      <c r="AD383" s="75" t="n"/>
      <c r="AE383" s="75" t="n"/>
      <c r="AF383" s="75" t="n"/>
      <c r="AG383" s="75" t="n"/>
      <c r="AH383" s="75" t="n"/>
      <c r="AI383" s="75" t="n"/>
      <c r="AJ383" s="75" t="n"/>
      <c r="AK383" s="75" t="n"/>
      <c r="AL383" s="75" t="n"/>
      <c r="AM383" s="75" t="n"/>
      <c r="AN383" s="75" t="n"/>
      <c r="AO383" s="75" t="n"/>
      <c r="AP383" s="75" t="n"/>
      <c r="AQ383" s="75" t="n"/>
      <c r="AR383" s="75" t="n"/>
      <c r="AS383" s="75" t="n"/>
      <c r="AT383" s="75" t="n"/>
      <c r="AU383" s="75" t="n"/>
      <c r="AV383" s="75" t="n"/>
      <c r="AW383" s="75" t="n"/>
      <c r="AX383" s="75" t="n"/>
      <c r="AY383" s="75" t="n"/>
      <c r="AZ383" s="75" t="n"/>
      <c r="BA383" s="75" t="n"/>
      <c r="BB383" s="75" t="n"/>
      <c r="BC383" s="75" t="n"/>
      <c r="BD383" s="75" t="n"/>
      <c r="BE383" s="75" t="n"/>
      <c r="BF383" s="75" t="n"/>
      <c r="BG383" s="75" t="n"/>
      <c r="BH383" s="75" t="n"/>
      <c r="BI383" s="75" t="n"/>
      <c r="BJ383" s="75" t="n"/>
      <c r="BK383" s="75" t="n"/>
      <c r="BL383" s="75" t="n"/>
      <c r="BM383" s="75" t="n"/>
      <c r="BN383" s="75" t="n"/>
      <c r="BO383" s="75" t="n"/>
      <c r="BP383" s="75" t="n"/>
      <c r="BQ383" s="75" t="n"/>
      <c r="BR383" s="75" t="n"/>
      <c r="BS383" s="75" t="n"/>
      <c r="BT383" s="75" t="n"/>
      <c r="BU383" s="75" t="n"/>
      <c r="BV383" s="75" t="n"/>
      <c r="BW383" s="75" t="n"/>
      <c r="BX383" s="75" t="n"/>
      <c r="BY383" s="75" t="n"/>
      <c r="BZ383" s="75" t="n"/>
      <c r="CA383" s="75" t="n"/>
      <c r="CB383" s="75" t="n"/>
      <c r="CC383" s="75" t="n"/>
      <c r="CD383" s="75" t="n"/>
      <c r="CE383" s="75" t="n"/>
      <c r="CF383" s="75" t="n"/>
      <c r="CG383" s="75" t="n"/>
      <c r="CH383" s="75" t="n"/>
      <c r="CI383" s="75" t="n"/>
      <c r="CJ383" s="75" t="n"/>
      <c r="CK383" s="75" t="n"/>
      <c r="CL383" s="75" t="n"/>
      <c r="CM383" s="75" t="n"/>
      <c r="CN383" s="75" t="n"/>
      <c r="CO383" s="75" t="n"/>
      <c r="CP383" s="75" t="n"/>
      <c r="CQ383" s="75" t="n"/>
      <c r="CR383" s="75" t="n"/>
      <c r="CS383" s="75" t="n"/>
      <c r="CT383" s="75" t="n"/>
      <c r="CU383" s="75" t="n"/>
      <c r="CV383" s="75" t="n"/>
      <c r="CW383" s="75" t="n"/>
      <c r="CX383" s="75" t="n"/>
      <c r="CY383" s="75" t="n"/>
      <c r="CZ383" s="75" t="n"/>
    </row>
    <row r="384">
      <c r="B384" s="134">
        <f>IF($A383="",0,COUNT($E384:$CZ384))</f>
        <v/>
      </c>
    </row>
    <row r="385">
      <c r="A385" s="5">
        <f>IF(AS51!$C$195="","",AS51!$C$195)</f>
        <v/>
      </c>
      <c r="B385" s="134">
        <f>IF($A385="",0,COUNT($E385:$CZ385))</f>
        <v/>
      </c>
      <c r="C385" s="135">
        <f>IF($A385="",0,IF($B385=0,0,MAX($E385:$CZ385)))</f>
        <v/>
      </c>
      <c r="D385" s="74">
        <f>BDS($A385,'Field Check'!$C$42,"headers=y","startcol=2","endcol=3","dir=h")</f>
        <v/>
      </c>
      <c r="E385" s="75" t="n"/>
      <c r="F385" s="75" t="n"/>
      <c r="G385" s="75" t="n"/>
      <c r="H385" s="75" t="n"/>
      <c r="I385" s="75" t="n"/>
      <c r="J385" s="75" t="n"/>
      <c r="K385" s="75" t="n"/>
      <c r="L385" s="75" t="n"/>
      <c r="M385" s="75" t="n"/>
      <c r="N385" s="75" t="n"/>
      <c r="O385" s="75" t="n"/>
      <c r="P385" s="75" t="n"/>
      <c r="Q385" s="75" t="n"/>
      <c r="R385" s="75" t="n"/>
      <c r="S385" s="75" t="n"/>
      <c r="T385" s="75" t="n"/>
      <c r="U385" s="75" t="n"/>
      <c r="V385" s="75" t="n"/>
      <c r="W385" s="75" t="n"/>
      <c r="X385" s="75" t="n"/>
      <c r="Y385" s="75" t="n"/>
      <c r="Z385" s="75" t="n"/>
      <c r="AA385" s="75" t="n"/>
      <c r="AB385" s="75" t="n"/>
      <c r="AC385" s="75" t="n"/>
      <c r="AD385" s="75" t="n"/>
      <c r="AE385" s="75" t="n"/>
      <c r="AF385" s="75" t="n"/>
      <c r="AG385" s="75" t="n"/>
      <c r="AH385" s="75" t="n"/>
      <c r="AI385" s="75" t="n"/>
      <c r="AJ385" s="75" t="n"/>
      <c r="AK385" s="75" t="n"/>
      <c r="AL385" s="75" t="n"/>
      <c r="AM385" s="75" t="n"/>
      <c r="AN385" s="75" t="n"/>
      <c r="AO385" s="75" t="n"/>
      <c r="AP385" s="75" t="n"/>
      <c r="AQ385" s="75" t="n"/>
      <c r="AR385" s="75" t="n"/>
      <c r="AS385" s="75" t="n"/>
      <c r="AT385" s="75" t="n"/>
      <c r="AU385" s="75" t="n"/>
      <c r="AV385" s="75" t="n"/>
      <c r="AW385" s="75" t="n"/>
      <c r="AX385" s="75" t="n"/>
      <c r="AY385" s="75" t="n"/>
      <c r="AZ385" s="75" t="n"/>
      <c r="BA385" s="75" t="n"/>
      <c r="BB385" s="75" t="n"/>
      <c r="BC385" s="75" t="n"/>
      <c r="BD385" s="75" t="n"/>
      <c r="BE385" s="75" t="n"/>
      <c r="BF385" s="75" t="n"/>
      <c r="BG385" s="75" t="n"/>
      <c r="BH385" s="75" t="n"/>
      <c r="BI385" s="75" t="n"/>
      <c r="BJ385" s="75" t="n"/>
      <c r="BK385" s="75" t="n"/>
      <c r="BL385" s="75" t="n"/>
      <c r="BM385" s="75" t="n"/>
      <c r="BN385" s="75" t="n"/>
      <c r="BO385" s="75" t="n"/>
      <c r="BP385" s="75" t="n"/>
      <c r="BQ385" s="75" t="n"/>
      <c r="BR385" s="75" t="n"/>
      <c r="BS385" s="75" t="n"/>
      <c r="BT385" s="75" t="n"/>
      <c r="BU385" s="75" t="n"/>
      <c r="BV385" s="75" t="n"/>
      <c r="BW385" s="75" t="n"/>
      <c r="BX385" s="75" t="n"/>
      <c r="BY385" s="75" t="n"/>
      <c r="BZ385" s="75" t="n"/>
      <c r="CA385" s="75" t="n"/>
      <c r="CB385" s="75" t="n"/>
      <c r="CC385" s="75" t="n"/>
      <c r="CD385" s="75" t="n"/>
      <c r="CE385" s="75" t="n"/>
      <c r="CF385" s="75" t="n"/>
      <c r="CG385" s="75" t="n"/>
      <c r="CH385" s="75" t="n"/>
      <c r="CI385" s="75" t="n"/>
      <c r="CJ385" s="75" t="n"/>
      <c r="CK385" s="75" t="n"/>
      <c r="CL385" s="75" t="n"/>
      <c r="CM385" s="75" t="n"/>
      <c r="CN385" s="75" t="n"/>
      <c r="CO385" s="75" t="n"/>
      <c r="CP385" s="75" t="n"/>
      <c r="CQ385" s="75" t="n"/>
      <c r="CR385" s="75" t="n"/>
      <c r="CS385" s="75" t="n"/>
      <c r="CT385" s="75" t="n"/>
      <c r="CU385" s="75" t="n"/>
      <c r="CV385" s="75" t="n"/>
      <c r="CW385" s="75" t="n"/>
      <c r="CX385" s="75" t="n"/>
      <c r="CY385" s="75" t="n"/>
      <c r="CZ385" s="75" t="n"/>
    </row>
    <row r="386">
      <c r="B386" s="134">
        <f>IF($A385="",0,COUNT($E386:$CZ386))</f>
        <v/>
      </c>
    </row>
    <row r="387">
      <c r="A387" s="5">
        <f>IF(AS51!$C$196="","",AS51!$C$196)</f>
        <v/>
      </c>
      <c r="B387" s="134">
        <f>IF($A387="",0,COUNT($E387:$CZ387))</f>
        <v/>
      </c>
      <c r="C387" s="135">
        <f>IF($A387="",0,IF($B387=0,0,MAX($E387:$CZ387)))</f>
        <v/>
      </c>
      <c r="D387" s="74">
        <f>BDS($A387,'Field Check'!$C$42,"headers=y","startcol=2","endcol=3","dir=h")</f>
        <v/>
      </c>
      <c r="E387" s="75" t="n"/>
      <c r="F387" s="75" t="n"/>
      <c r="G387" s="75" t="n"/>
      <c r="H387" s="75" t="n"/>
      <c r="I387" s="75" t="n"/>
      <c r="J387" s="75" t="n"/>
      <c r="K387" s="75" t="n"/>
      <c r="L387" s="75" t="n"/>
      <c r="M387" s="75" t="n"/>
      <c r="N387" s="75" t="n"/>
      <c r="O387" s="75" t="n"/>
      <c r="P387" s="75" t="n"/>
      <c r="Q387" s="75" t="n"/>
      <c r="R387" s="75" t="n"/>
      <c r="S387" s="75" t="n"/>
      <c r="T387" s="75" t="n"/>
      <c r="U387" s="75" t="n"/>
      <c r="V387" s="75" t="n"/>
      <c r="W387" s="75" t="n"/>
      <c r="X387" s="75" t="n"/>
      <c r="Y387" s="75" t="n"/>
      <c r="Z387" s="75" t="n"/>
      <c r="AA387" s="75" t="n"/>
      <c r="AB387" s="75" t="n"/>
      <c r="AC387" s="75" t="n"/>
      <c r="AD387" s="75" t="n"/>
      <c r="AE387" s="75" t="n"/>
      <c r="AF387" s="75" t="n"/>
      <c r="AG387" s="75" t="n"/>
      <c r="AH387" s="75" t="n"/>
      <c r="AI387" s="75" t="n"/>
      <c r="AJ387" s="75" t="n"/>
      <c r="AK387" s="75" t="n"/>
      <c r="AL387" s="75" t="n"/>
      <c r="AM387" s="75" t="n"/>
      <c r="AN387" s="75" t="n"/>
      <c r="AO387" s="75" t="n"/>
      <c r="AP387" s="75" t="n"/>
      <c r="AQ387" s="75" t="n"/>
      <c r="AR387" s="75" t="n"/>
      <c r="AS387" s="75" t="n"/>
      <c r="AT387" s="75" t="n"/>
      <c r="AU387" s="75" t="n"/>
      <c r="AV387" s="75" t="n"/>
      <c r="AW387" s="75" t="n"/>
      <c r="AX387" s="75" t="n"/>
      <c r="AY387" s="75" t="n"/>
      <c r="AZ387" s="75" t="n"/>
      <c r="BA387" s="75" t="n"/>
      <c r="BB387" s="75" t="n"/>
      <c r="BC387" s="75" t="n"/>
      <c r="BD387" s="75" t="n"/>
      <c r="BE387" s="75" t="n"/>
      <c r="BF387" s="75" t="n"/>
      <c r="BG387" s="75" t="n"/>
      <c r="BH387" s="75" t="n"/>
      <c r="BI387" s="75" t="n"/>
      <c r="BJ387" s="75" t="n"/>
      <c r="BK387" s="75" t="n"/>
      <c r="BL387" s="75" t="n"/>
      <c r="BM387" s="75" t="n"/>
      <c r="BN387" s="75" t="n"/>
      <c r="BO387" s="75" t="n"/>
      <c r="BP387" s="75" t="n"/>
      <c r="BQ387" s="75" t="n"/>
      <c r="BR387" s="75" t="n"/>
      <c r="BS387" s="75" t="n"/>
      <c r="BT387" s="75" t="n"/>
      <c r="BU387" s="75" t="n"/>
      <c r="BV387" s="75" t="n"/>
      <c r="BW387" s="75" t="n"/>
      <c r="BX387" s="75" t="n"/>
      <c r="BY387" s="75" t="n"/>
      <c r="BZ387" s="75" t="n"/>
      <c r="CA387" s="75" t="n"/>
      <c r="CB387" s="75" t="n"/>
      <c r="CC387" s="75" t="n"/>
      <c r="CD387" s="75" t="n"/>
      <c r="CE387" s="75" t="n"/>
      <c r="CF387" s="75" t="n"/>
      <c r="CG387" s="75" t="n"/>
      <c r="CH387" s="75" t="n"/>
      <c r="CI387" s="75" t="n"/>
      <c r="CJ387" s="75" t="n"/>
      <c r="CK387" s="75" t="n"/>
      <c r="CL387" s="75" t="n"/>
      <c r="CM387" s="75" t="n"/>
      <c r="CN387" s="75" t="n"/>
      <c r="CO387" s="75" t="n"/>
      <c r="CP387" s="75" t="n"/>
      <c r="CQ387" s="75" t="n"/>
      <c r="CR387" s="75" t="n"/>
      <c r="CS387" s="75" t="n"/>
      <c r="CT387" s="75" t="n"/>
      <c r="CU387" s="75" t="n"/>
      <c r="CV387" s="75" t="n"/>
      <c r="CW387" s="75" t="n"/>
      <c r="CX387" s="75" t="n"/>
      <c r="CY387" s="75" t="n"/>
      <c r="CZ387" s="75" t="n"/>
    </row>
    <row r="388">
      <c r="B388" s="134">
        <f>IF($A387="",0,COUNT($E388:$CZ388))</f>
        <v/>
      </c>
    </row>
    <row r="389">
      <c r="A389" s="5">
        <f>IF(AS51!$C$197="","",AS51!$C$197)</f>
        <v/>
      </c>
      <c r="B389" s="134">
        <f>IF($A389="",0,COUNT($E389:$CZ389))</f>
        <v/>
      </c>
      <c r="C389" s="135">
        <f>IF($A389="",0,IF($B389=0,0,MAX($E389:$CZ389)))</f>
        <v/>
      </c>
      <c r="D389" s="74">
        <f>BDS($A389,'Field Check'!$C$42,"headers=y","startcol=2","endcol=3","dir=h")</f>
        <v/>
      </c>
      <c r="E389" s="75" t="n"/>
      <c r="F389" s="75" t="n"/>
      <c r="G389" s="75" t="n"/>
      <c r="H389" s="75" t="n"/>
      <c r="I389" s="75" t="n"/>
      <c r="J389" s="75" t="n"/>
      <c r="K389" s="75" t="n"/>
      <c r="L389" s="75" t="n"/>
      <c r="M389" s="75" t="n"/>
      <c r="N389" s="75" t="n"/>
      <c r="O389" s="75" t="n"/>
      <c r="P389" s="75" t="n"/>
      <c r="Q389" s="75" t="n"/>
      <c r="R389" s="75" t="n"/>
      <c r="S389" s="75" t="n"/>
      <c r="T389" s="75" t="n"/>
      <c r="U389" s="75" t="n"/>
      <c r="V389" s="75" t="n"/>
      <c r="W389" s="75" t="n"/>
      <c r="X389" s="75" t="n"/>
      <c r="Y389" s="75" t="n"/>
      <c r="Z389" s="75" t="n"/>
      <c r="AA389" s="75" t="n"/>
      <c r="AB389" s="75" t="n"/>
      <c r="AC389" s="75" t="n"/>
      <c r="AD389" s="75" t="n"/>
      <c r="AE389" s="75" t="n"/>
      <c r="AF389" s="75" t="n"/>
      <c r="AG389" s="75" t="n"/>
      <c r="AH389" s="75" t="n"/>
      <c r="AI389" s="75" t="n"/>
      <c r="AJ389" s="75" t="n"/>
      <c r="AK389" s="75" t="n"/>
      <c r="AL389" s="75" t="n"/>
      <c r="AM389" s="75" t="n"/>
      <c r="AN389" s="75" t="n"/>
      <c r="AO389" s="75" t="n"/>
      <c r="AP389" s="75" t="n"/>
      <c r="AQ389" s="75" t="n"/>
      <c r="AR389" s="75" t="n"/>
      <c r="AS389" s="75" t="n"/>
      <c r="AT389" s="75" t="n"/>
      <c r="AU389" s="75" t="n"/>
      <c r="AV389" s="75" t="n"/>
      <c r="AW389" s="75" t="n"/>
      <c r="AX389" s="75" t="n"/>
      <c r="AY389" s="75" t="n"/>
      <c r="AZ389" s="75" t="n"/>
      <c r="BA389" s="75" t="n"/>
      <c r="BB389" s="75" t="n"/>
      <c r="BC389" s="75" t="n"/>
      <c r="BD389" s="75" t="n"/>
      <c r="BE389" s="75" t="n"/>
      <c r="BF389" s="75" t="n"/>
      <c r="BG389" s="75" t="n"/>
      <c r="BH389" s="75" t="n"/>
      <c r="BI389" s="75" t="n"/>
      <c r="BJ389" s="75" t="n"/>
      <c r="BK389" s="75" t="n"/>
      <c r="BL389" s="75" t="n"/>
      <c r="BM389" s="75" t="n"/>
      <c r="BN389" s="75" t="n"/>
      <c r="BO389" s="75" t="n"/>
      <c r="BP389" s="75" t="n"/>
      <c r="BQ389" s="75" t="n"/>
      <c r="BR389" s="75" t="n"/>
      <c r="BS389" s="75" t="n"/>
      <c r="BT389" s="75" t="n"/>
      <c r="BU389" s="75" t="n"/>
      <c r="BV389" s="75" t="n"/>
      <c r="BW389" s="75" t="n"/>
      <c r="BX389" s="75" t="n"/>
      <c r="BY389" s="75" t="n"/>
      <c r="BZ389" s="75" t="n"/>
      <c r="CA389" s="75" t="n"/>
      <c r="CB389" s="75" t="n"/>
      <c r="CC389" s="75" t="n"/>
      <c r="CD389" s="75" t="n"/>
      <c r="CE389" s="75" t="n"/>
      <c r="CF389" s="75" t="n"/>
      <c r="CG389" s="75" t="n"/>
      <c r="CH389" s="75" t="n"/>
      <c r="CI389" s="75" t="n"/>
      <c r="CJ389" s="75" t="n"/>
      <c r="CK389" s="75" t="n"/>
      <c r="CL389" s="75" t="n"/>
      <c r="CM389" s="75" t="n"/>
      <c r="CN389" s="75" t="n"/>
      <c r="CO389" s="75" t="n"/>
      <c r="CP389" s="75" t="n"/>
      <c r="CQ389" s="75" t="n"/>
      <c r="CR389" s="75" t="n"/>
      <c r="CS389" s="75" t="n"/>
      <c r="CT389" s="75" t="n"/>
      <c r="CU389" s="75" t="n"/>
      <c r="CV389" s="75" t="n"/>
      <c r="CW389" s="75" t="n"/>
      <c r="CX389" s="75" t="n"/>
      <c r="CY389" s="75" t="n"/>
      <c r="CZ389" s="75" t="n"/>
    </row>
    <row r="390">
      <c r="B390" s="134">
        <f>IF($A389="",0,COUNT($E390:$CZ390))</f>
        <v/>
      </c>
    </row>
    <row r="391">
      <c r="A391" s="5">
        <f>IF(AS51!$C$198="","",AS51!$C$198)</f>
        <v/>
      </c>
      <c r="B391" s="134">
        <f>IF($A391="",0,COUNT($E391:$CZ391))</f>
        <v/>
      </c>
      <c r="C391" s="135">
        <f>IF($A391="",0,IF($B391=0,0,MAX($E391:$CZ391)))</f>
        <v/>
      </c>
      <c r="D391" s="74">
        <f>BDS($A391,'Field Check'!$C$42,"headers=y","startcol=2","endcol=3","dir=h")</f>
        <v/>
      </c>
      <c r="E391" s="75" t="n"/>
      <c r="F391" s="75" t="n"/>
      <c r="G391" s="75" t="n"/>
      <c r="H391" s="75" t="n"/>
      <c r="I391" s="75" t="n"/>
      <c r="J391" s="75" t="n"/>
      <c r="K391" s="75" t="n"/>
      <c r="L391" s="75" t="n"/>
      <c r="M391" s="75" t="n"/>
      <c r="N391" s="75" t="n"/>
      <c r="O391" s="75" t="n"/>
      <c r="P391" s="75" t="n"/>
      <c r="Q391" s="75" t="n"/>
      <c r="R391" s="75" t="n"/>
      <c r="S391" s="75" t="n"/>
      <c r="T391" s="75" t="n"/>
      <c r="U391" s="75" t="n"/>
      <c r="V391" s="75" t="n"/>
      <c r="W391" s="75" t="n"/>
      <c r="X391" s="75" t="n"/>
      <c r="Y391" s="75" t="n"/>
      <c r="Z391" s="75" t="n"/>
      <c r="AA391" s="75" t="n"/>
      <c r="AB391" s="75" t="n"/>
      <c r="AC391" s="75" t="n"/>
      <c r="AD391" s="75" t="n"/>
      <c r="AE391" s="75" t="n"/>
      <c r="AF391" s="75" t="n"/>
      <c r="AG391" s="75" t="n"/>
      <c r="AH391" s="75" t="n"/>
      <c r="AI391" s="75" t="n"/>
      <c r="AJ391" s="75" t="n"/>
      <c r="AK391" s="75" t="n"/>
      <c r="AL391" s="75" t="n"/>
      <c r="AM391" s="75" t="n"/>
      <c r="AN391" s="75" t="n"/>
      <c r="AO391" s="75" t="n"/>
      <c r="AP391" s="75" t="n"/>
      <c r="AQ391" s="75" t="n"/>
      <c r="AR391" s="75" t="n"/>
      <c r="AS391" s="75" t="n"/>
      <c r="AT391" s="75" t="n"/>
      <c r="AU391" s="75" t="n"/>
      <c r="AV391" s="75" t="n"/>
      <c r="AW391" s="75" t="n"/>
      <c r="AX391" s="75" t="n"/>
      <c r="AY391" s="75" t="n"/>
      <c r="AZ391" s="75" t="n"/>
      <c r="BA391" s="75" t="n"/>
      <c r="BB391" s="75" t="n"/>
      <c r="BC391" s="75" t="n"/>
      <c r="BD391" s="75" t="n"/>
      <c r="BE391" s="75" t="n"/>
      <c r="BF391" s="75" t="n"/>
      <c r="BG391" s="75" t="n"/>
      <c r="BH391" s="75" t="n"/>
      <c r="BI391" s="75" t="n"/>
      <c r="BJ391" s="75" t="n"/>
      <c r="BK391" s="75" t="n"/>
      <c r="BL391" s="75" t="n"/>
      <c r="BM391" s="75" t="n"/>
      <c r="BN391" s="75" t="n"/>
      <c r="BO391" s="75" t="n"/>
      <c r="BP391" s="75" t="n"/>
      <c r="BQ391" s="75" t="n"/>
      <c r="BR391" s="75" t="n"/>
      <c r="BS391" s="75" t="n"/>
      <c r="BT391" s="75" t="n"/>
      <c r="BU391" s="75" t="n"/>
      <c r="BV391" s="75" t="n"/>
      <c r="BW391" s="75" t="n"/>
      <c r="BX391" s="75" t="n"/>
      <c r="BY391" s="75" t="n"/>
      <c r="BZ391" s="75" t="n"/>
      <c r="CA391" s="75" t="n"/>
      <c r="CB391" s="75" t="n"/>
      <c r="CC391" s="75" t="n"/>
      <c r="CD391" s="75" t="n"/>
      <c r="CE391" s="75" t="n"/>
      <c r="CF391" s="75" t="n"/>
      <c r="CG391" s="75" t="n"/>
      <c r="CH391" s="75" t="n"/>
      <c r="CI391" s="75" t="n"/>
      <c r="CJ391" s="75" t="n"/>
      <c r="CK391" s="75" t="n"/>
      <c r="CL391" s="75" t="n"/>
      <c r="CM391" s="75" t="n"/>
      <c r="CN391" s="75" t="n"/>
      <c r="CO391" s="75" t="n"/>
      <c r="CP391" s="75" t="n"/>
      <c r="CQ391" s="75" t="n"/>
      <c r="CR391" s="75" t="n"/>
      <c r="CS391" s="75" t="n"/>
      <c r="CT391" s="75" t="n"/>
      <c r="CU391" s="75" t="n"/>
      <c r="CV391" s="75" t="n"/>
      <c r="CW391" s="75" t="n"/>
      <c r="CX391" s="75" t="n"/>
      <c r="CY391" s="75" t="n"/>
      <c r="CZ391" s="75" t="n"/>
    </row>
    <row r="392">
      <c r="B392" s="134">
        <f>IF($A391="",0,COUNT($E392:$CZ392))</f>
        <v/>
      </c>
    </row>
    <row r="393">
      <c r="A393" s="5">
        <f>IF(AS51!$C$199="","",AS51!$C$199)</f>
        <v/>
      </c>
      <c r="B393" s="134">
        <f>IF($A393="",0,COUNT($E393:$CZ393))</f>
        <v/>
      </c>
      <c r="C393" s="135">
        <f>IF($A393="",0,IF($B393=0,0,MAX($E393:$CZ393)))</f>
        <v/>
      </c>
      <c r="D393" s="74">
        <f>BDS($A393,'Field Check'!$C$42,"headers=y","startcol=2","endcol=3","dir=h")</f>
        <v/>
      </c>
      <c r="E393" s="75" t="n"/>
      <c r="F393" s="75" t="n"/>
      <c r="G393" s="75" t="n"/>
      <c r="H393" s="75" t="n"/>
      <c r="I393" s="75" t="n"/>
      <c r="J393" s="75" t="n"/>
      <c r="K393" s="75" t="n"/>
      <c r="L393" s="75" t="n"/>
      <c r="M393" s="75" t="n"/>
      <c r="N393" s="75" t="n"/>
      <c r="O393" s="75" t="n"/>
      <c r="P393" s="75" t="n"/>
      <c r="Q393" s="75" t="n"/>
      <c r="R393" s="75" t="n"/>
      <c r="S393" s="75" t="n"/>
      <c r="T393" s="75" t="n"/>
      <c r="U393" s="75" t="n"/>
      <c r="V393" s="75" t="n"/>
      <c r="W393" s="75" t="n"/>
      <c r="X393" s="75" t="n"/>
      <c r="Y393" s="75" t="n"/>
      <c r="Z393" s="75" t="n"/>
      <c r="AA393" s="75" t="n"/>
      <c r="AB393" s="75" t="n"/>
      <c r="AC393" s="75" t="n"/>
      <c r="AD393" s="75" t="n"/>
      <c r="AE393" s="75" t="n"/>
      <c r="AF393" s="75" t="n"/>
      <c r="AG393" s="75" t="n"/>
      <c r="AH393" s="75" t="n"/>
      <c r="AI393" s="75" t="n"/>
      <c r="AJ393" s="75" t="n"/>
      <c r="AK393" s="75" t="n"/>
      <c r="AL393" s="75" t="n"/>
      <c r="AM393" s="75" t="n"/>
      <c r="AN393" s="75" t="n"/>
      <c r="AO393" s="75" t="n"/>
      <c r="AP393" s="75" t="n"/>
      <c r="AQ393" s="75" t="n"/>
      <c r="AR393" s="75" t="n"/>
      <c r="AS393" s="75" t="n"/>
      <c r="AT393" s="75" t="n"/>
      <c r="AU393" s="75" t="n"/>
      <c r="AV393" s="75" t="n"/>
      <c r="AW393" s="75" t="n"/>
      <c r="AX393" s="75" t="n"/>
      <c r="AY393" s="75" t="n"/>
      <c r="AZ393" s="75" t="n"/>
      <c r="BA393" s="75" t="n"/>
      <c r="BB393" s="75" t="n"/>
      <c r="BC393" s="75" t="n"/>
      <c r="BD393" s="75" t="n"/>
      <c r="BE393" s="75" t="n"/>
      <c r="BF393" s="75" t="n"/>
      <c r="BG393" s="75" t="n"/>
      <c r="BH393" s="75" t="n"/>
      <c r="BI393" s="75" t="n"/>
      <c r="BJ393" s="75" t="n"/>
      <c r="BK393" s="75" t="n"/>
      <c r="BL393" s="75" t="n"/>
      <c r="BM393" s="75" t="n"/>
      <c r="BN393" s="75" t="n"/>
      <c r="BO393" s="75" t="n"/>
      <c r="BP393" s="75" t="n"/>
      <c r="BQ393" s="75" t="n"/>
      <c r="BR393" s="75" t="n"/>
      <c r="BS393" s="75" t="n"/>
      <c r="BT393" s="75" t="n"/>
      <c r="BU393" s="75" t="n"/>
      <c r="BV393" s="75" t="n"/>
      <c r="BW393" s="75" t="n"/>
      <c r="BX393" s="75" t="n"/>
      <c r="BY393" s="75" t="n"/>
      <c r="BZ393" s="75" t="n"/>
      <c r="CA393" s="75" t="n"/>
      <c r="CB393" s="75" t="n"/>
      <c r="CC393" s="75" t="n"/>
      <c r="CD393" s="75" t="n"/>
      <c r="CE393" s="75" t="n"/>
      <c r="CF393" s="75" t="n"/>
      <c r="CG393" s="75" t="n"/>
      <c r="CH393" s="75" t="n"/>
      <c r="CI393" s="75" t="n"/>
      <c r="CJ393" s="75" t="n"/>
      <c r="CK393" s="75" t="n"/>
      <c r="CL393" s="75" t="n"/>
      <c r="CM393" s="75" t="n"/>
      <c r="CN393" s="75" t="n"/>
      <c r="CO393" s="75" t="n"/>
      <c r="CP393" s="75" t="n"/>
      <c r="CQ393" s="75" t="n"/>
      <c r="CR393" s="75" t="n"/>
      <c r="CS393" s="75" t="n"/>
      <c r="CT393" s="75" t="n"/>
      <c r="CU393" s="75" t="n"/>
      <c r="CV393" s="75" t="n"/>
      <c r="CW393" s="75" t="n"/>
      <c r="CX393" s="75" t="n"/>
      <c r="CY393" s="75" t="n"/>
      <c r="CZ393" s="75" t="n"/>
    </row>
    <row r="394">
      <c r="B394" s="134">
        <f>IF($A393="",0,COUNT($E394:$CZ394))</f>
        <v/>
      </c>
    </row>
    <row r="395">
      <c r="A395" s="5">
        <f>IF(AS51!$C$200="","",AS51!$C$200)</f>
        <v/>
      </c>
      <c r="B395" s="134">
        <f>IF($A395="",0,COUNT($E395:$CZ395))</f>
        <v/>
      </c>
      <c r="C395" s="135">
        <f>IF($A395="",0,IF($B395=0,0,MAX($E395:$CZ395)))</f>
        <v/>
      </c>
      <c r="D395" s="74">
        <f>BDS($A395,'Field Check'!$C$42,"headers=y","startcol=2","endcol=3","dir=h")</f>
        <v/>
      </c>
      <c r="E395" s="75" t="n"/>
      <c r="F395" s="75" t="n"/>
      <c r="G395" s="75" t="n"/>
      <c r="H395" s="75" t="n"/>
      <c r="I395" s="75" t="n"/>
      <c r="J395" s="75" t="n"/>
      <c r="K395" s="75" t="n"/>
      <c r="L395" s="75" t="n"/>
      <c r="M395" s="75" t="n"/>
      <c r="N395" s="75" t="n"/>
      <c r="O395" s="75" t="n"/>
      <c r="P395" s="75" t="n"/>
      <c r="Q395" s="75" t="n"/>
      <c r="R395" s="75" t="n"/>
      <c r="S395" s="75" t="n"/>
      <c r="T395" s="75" t="n"/>
      <c r="U395" s="75" t="n"/>
      <c r="V395" s="75" t="n"/>
      <c r="W395" s="75" t="n"/>
      <c r="X395" s="75" t="n"/>
      <c r="Y395" s="75" t="n"/>
      <c r="Z395" s="75" t="n"/>
      <c r="AA395" s="75" t="n"/>
      <c r="AB395" s="75" t="n"/>
      <c r="AC395" s="75" t="n"/>
      <c r="AD395" s="75" t="n"/>
      <c r="AE395" s="75" t="n"/>
      <c r="AF395" s="75" t="n"/>
      <c r="AG395" s="75" t="n"/>
      <c r="AH395" s="75" t="n"/>
      <c r="AI395" s="75" t="n"/>
      <c r="AJ395" s="75" t="n"/>
      <c r="AK395" s="75" t="n"/>
      <c r="AL395" s="75" t="n"/>
      <c r="AM395" s="75" t="n"/>
      <c r="AN395" s="75" t="n"/>
      <c r="AO395" s="75" t="n"/>
      <c r="AP395" s="75" t="n"/>
      <c r="AQ395" s="75" t="n"/>
      <c r="AR395" s="75" t="n"/>
      <c r="AS395" s="75" t="n"/>
      <c r="AT395" s="75" t="n"/>
      <c r="AU395" s="75" t="n"/>
      <c r="AV395" s="75" t="n"/>
      <c r="AW395" s="75" t="n"/>
      <c r="AX395" s="75" t="n"/>
      <c r="AY395" s="75" t="n"/>
      <c r="AZ395" s="75" t="n"/>
      <c r="BA395" s="75" t="n"/>
      <c r="BB395" s="75" t="n"/>
      <c r="BC395" s="75" t="n"/>
      <c r="BD395" s="75" t="n"/>
      <c r="BE395" s="75" t="n"/>
      <c r="BF395" s="75" t="n"/>
      <c r="BG395" s="75" t="n"/>
      <c r="BH395" s="75" t="n"/>
      <c r="BI395" s="75" t="n"/>
      <c r="BJ395" s="75" t="n"/>
      <c r="BK395" s="75" t="n"/>
      <c r="BL395" s="75" t="n"/>
      <c r="BM395" s="75" t="n"/>
      <c r="BN395" s="75" t="n"/>
      <c r="BO395" s="75" t="n"/>
      <c r="BP395" s="75" t="n"/>
      <c r="BQ395" s="75" t="n"/>
      <c r="BR395" s="75" t="n"/>
      <c r="BS395" s="75" t="n"/>
      <c r="BT395" s="75" t="n"/>
      <c r="BU395" s="75" t="n"/>
      <c r="BV395" s="75" t="n"/>
      <c r="BW395" s="75" t="n"/>
      <c r="BX395" s="75" t="n"/>
      <c r="BY395" s="75" t="n"/>
      <c r="BZ395" s="75" t="n"/>
      <c r="CA395" s="75" t="n"/>
      <c r="CB395" s="75" t="n"/>
      <c r="CC395" s="75" t="n"/>
      <c r="CD395" s="75" t="n"/>
      <c r="CE395" s="75" t="n"/>
      <c r="CF395" s="75" t="n"/>
      <c r="CG395" s="75" t="n"/>
      <c r="CH395" s="75" t="n"/>
      <c r="CI395" s="75" t="n"/>
      <c r="CJ395" s="75" t="n"/>
      <c r="CK395" s="75" t="n"/>
      <c r="CL395" s="75" t="n"/>
      <c r="CM395" s="75" t="n"/>
      <c r="CN395" s="75" t="n"/>
      <c r="CO395" s="75" t="n"/>
      <c r="CP395" s="75" t="n"/>
      <c r="CQ395" s="75" t="n"/>
      <c r="CR395" s="75" t="n"/>
      <c r="CS395" s="75" t="n"/>
      <c r="CT395" s="75" t="n"/>
      <c r="CU395" s="75" t="n"/>
      <c r="CV395" s="75" t="n"/>
      <c r="CW395" s="75" t="n"/>
      <c r="CX395" s="75" t="n"/>
      <c r="CY395" s="75" t="n"/>
      <c r="CZ395" s="75" t="n"/>
    </row>
    <row r="396">
      <c r="B396" s="134">
        <f>IF($A395="",0,COUNT($E396:$CZ396))</f>
        <v/>
      </c>
    </row>
    <row r="397">
      <c r="A397" s="5">
        <f>IF(AS51!$C$201="","",AS51!$C$201)</f>
        <v/>
      </c>
      <c r="B397" s="134">
        <f>IF($A397="",0,COUNT($E397:$CZ397))</f>
        <v/>
      </c>
      <c r="C397" s="135">
        <f>IF($A397="",0,IF($B397=0,0,MAX($E397:$CZ397)))</f>
        <v/>
      </c>
      <c r="D397" s="74">
        <f>BDS($A397,'Field Check'!$C$42,"headers=y","startcol=2","endcol=3","dir=h")</f>
        <v/>
      </c>
      <c r="E397" s="75" t="n"/>
      <c r="F397" s="75" t="n"/>
      <c r="G397" s="75" t="n"/>
      <c r="H397" s="75" t="n"/>
      <c r="I397" s="75" t="n"/>
      <c r="J397" s="75" t="n"/>
      <c r="K397" s="75" t="n"/>
      <c r="L397" s="75" t="n"/>
      <c r="M397" s="75" t="n"/>
      <c r="N397" s="75" t="n"/>
      <c r="O397" s="75" t="n"/>
      <c r="P397" s="75" t="n"/>
      <c r="Q397" s="75" t="n"/>
      <c r="R397" s="75" t="n"/>
      <c r="S397" s="75" t="n"/>
      <c r="T397" s="75" t="n"/>
      <c r="U397" s="75" t="n"/>
      <c r="V397" s="75" t="n"/>
      <c r="W397" s="75" t="n"/>
      <c r="X397" s="75" t="n"/>
      <c r="Y397" s="75" t="n"/>
      <c r="Z397" s="75" t="n"/>
      <c r="AA397" s="75" t="n"/>
      <c r="AB397" s="75" t="n"/>
      <c r="AC397" s="75" t="n"/>
      <c r="AD397" s="75" t="n"/>
      <c r="AE397" s="75" t="n"/>
      <c r="AF397" s="75" t="n"/>
      <c r="AG397" s="75" t="n"/>
      <c r="AH397" s="75" t="n"/>
      <c r="AI397" s="75" t="n"/>
      <c r="AJ397" s="75" t="n"/>
      <c r="AK397" s="75" t="n"/>
      <c r="AL397" s="75" t="n"/>
      <c r="AM397" s="75" t="n"/>
      <c r="AN397" s="75" t="n"/>
      <c r="AO397" s="75" t="n"/>
      <c r="AP397" s="75" t="n"/>
      <c r="AQ397" s="75" t="n"/>
      <c r="AR397" s="75" t="n"/>
      <c r="AS397" s="75" t="n"/>
      <c r="AT397" s="75" t="n"/>
      <c r="AU397" s="75" t="n"/>
      <c r="AV397" s="75" t="n"/>
      <c r="AW397" s="75" t="n"/>
      <c r="AX397" s="75" t="n"/>
      <c r="AY397" s="75" t="n"/>
      <c r="AZ397" s="75" t="n"/>
      <c r="BA397" s="75" t="n"/>
      <c r="BB397" s="75" t="n"/>
      <c r="BC397" s="75" t="n"/>
      <c r="BD397" s="75" t="n"/>
      <c r="BE397" s="75" t="n"/>
      <c r="BF397" s="75" t="n"/>
      <c r="BG397" s="75" t="n"/>
      <c r="BH397" s="75" t="n"/>
      <c r="BI397" s="75" t="n"/>
      <c r="BJ397" s="75" t="n"/>
      <c r="BK397" s="75" t="n"/>
      <c r="BL397" s="75" t="n"/>
      <c r="BM397" s="75" t="n"/>
      <c r="BN397" s="75" t="n"/>
      <c r="BO397" s="75" t="n"/>
      <c r="BP397" s="75" t="n"/>
      <c r="BQ397" s="75" t="n"/>
      <c r="BR397" s="75" t="n"/>
      <c r="BS397" s="75" t="n"/>
      <c r="BT397" s="75" t="n"/>
      <c r="BU397" s="75" t="n"/>
      <c r="BV397" s="75" t="n"/>
      <c r="BW397" s="75" t="n"/>
      <c r="BX397" s="75" t="n"/>
      <c r="BY397" s="75" t="n"/>
      <c r="BZ397" s="75" t="n"/>
      <c r="CA397" s="75" t="n"/>
      <c r="CB397" s="75" t="n"/>
      <c r="CC397" s="75" t="n"/>
      <c r="CD397" s="75" t="n"/>
      <c r="CE397" s="75" t="n"/>
      <c r="CF397" s="75" t="n"/>
      <c r="CG397" s="75" t="n"/>
      <c r="CH397" s="75" t="n"/>
      <c r="CI397" s="75" t="n"/>
      <c r="CJ397" s="75" t="n"/>
      <c r="CK397" s="75" t="n"/>
      <c r="CL397" s="75" t="n"/>
      <c r="CM397" s="75" t="n"/>
      <c r="CN397" s="75" t="n"/>
      <c r="CO397" s="75" t="n"/>
      <c r="CP397" s="75" t="n"/>
      <c r="CQ397" s="75" t="n"/>
      <c r="CR397" s="75" t="n"/>
      <c r="CS397" s="75" t="n"/>
      <c r="CT397" s="75" t="n"/>
      <c r="CU397" s="75" t="n"/>
      <c r="CV397" s="75" t="n"/>
      <c r="CW397" s="75" t="n"/>
      <c r="CX397" s="75" t="n"/>
      <c r="CY397" s="75" t="n"/>
      <c r="CZ397" s="75" t="n"/>
    </row>
    <row r="398">
      <c r="B398" s="134">
        <f>IF($A397="",0,COUNT($E398:$CZ398))</f>
        <v/>
      </c>
    </row>
    <row r="399">
      <c r="A399" s="5">
        <f>IF(AS51!$C$202="","",AS51!$C$202)</f>
        <v/>
      </c>
      <c r="B399" s="134">
        <f>IF($A399="",0,COUNT($E399:$CZ399))</f>
        <v/>
      </c>
      <c r="C399" s="135">
        <f>IF($A399="",0,IF($B399=0,0,MAX($E399:$CZ399)))</f>
        <v/>
      </c>
      <c r="D399" s="74">
        <f>BDS($A399,'Field Check'!$C$42,"headers=y","startcol=2","endcol=3","dir=h")</f>
        <v/>
      </c>
      <c r="E399" s="75" t="n"/>
      <c r="F399" s="75" t="n"/>
      <c r="G399" s="75" t="n"/>
      <c r="H399" s="75" t="n"/>
      <c r="I399" s="75" t="n"/>
      <c r="J399" s="75" t="n"/>
      <c r="K399" s="75" t="n"/>
      <c r="L399" s="75" t="n"/>
      <c r="M399" s="75" t="n"/>
      <c r="N399" s="75" t="n"/>
      <c r="O399" s="75" t="n"/>
      <c r="P399" s="75" t="n"/>
      <c r="Q399" s="75" t="n"/>
      <c r="R399" s="75" t="n"/>
      <c r="S399" s="75" t="n"/>
      <c r="T399" s="75" t="n"/>
      <c r="U399" s="75" t="n"/>
      <c r="V399" s="75" t="n"/>
      <c r="W399" s="75" t="n"/>
      <c r="X399" s="75" t="n"/>
      <c r="Y399" s="75" t="n"/>
      <c r="Z399" s="75" t="n"/>
      <c r="AA399" s="75" t="n"/>
      <c r="AB399" s="75" t="n"/>
      <c r="AC399" s="75" t="n"/>
      <c r="AD399" s="75" t="n"/>
      <c r="AE399" s="75" t="n"/>
      <c r="AF399" s="75" t="n"/>
      <c r="AG399" s="75" t="n"/>
      <c r="AH399" s="75" t="n"/>
      <c r="AI399" s="75" t="n"/>
      <c r="AJ399" s="75" t="n"/>
      <c r="AK399" s="75" t="n"/>
      <c r="AL399" s="75" t="n"/>
      <c r="AM399" s="75" t="n"/>
      <c r="AN399" s="75" t="n"/>
      <c r="AO399" s="75" t="n"/>
      <c r="AP399" s="75" t="n"/>
      <c r="AQ399" s="75" t="n"/>
      <c r="AR399" s="75" t="n"/>
      <c r="AS399" s="75" t="n"/>
      <c r="AT399" s="75" t="n"/>
      <c r="AU399" s="75" t="n"/>
      <c r="AV399" s="75" t="n"/>
      <c r="AW399" s="75" t="n"/>
      <c r="AX399" s="75" t="n"/>
      <c r="AY399" s="75" t="n"/>
      <c r="AZ399" s="75" t="n"/>
      <c r="BA399" s="75" t="n"/>
      <c r="BB399" s="75" t="n"/>
      <c r="BC399" s="75" t="n"/>
      <c r="BD399" s="75" t="n"/>
      <c r="BE399" s="75" t="n"/>
      <c r="BF399" s="75" t="n"/>
      <c r="BG399" s="75" t="n"/>
      <c r="BH399" s="75" t="n"/>
      <c r="BI399" s="75" t="n"/>
      <c r="BJ399" s="75" t="n"/>
      <c r="BK399" s="75" t="n"/>
      <c r="BL399" s="75" t="n"/>
      <c r="BM399" s="75" t="n"/>
      <c r="BN399" s="75" t="n"/>
      <c r="BO399" s="75" t="n"/>
      <c r="BP399" s="75" t="n"/>
      <c r="BQ399" s="75" t="n"/>
      <c r="BR399" s="75" t="n"/>
      <c r="BS399" s="75" t="n"/>
      <c r="BT399" s="75" t="n"/>
      <c r="BU399" s="75" t="n"/>
      <c r="BV399" s="75" t="n"/>
      <c r="BW399" s="75" t="n"/>
      <c r="BX399" s="75" t="n"/>
      <c r="BY399" s="75" t="n"/>
      <c r="BZ399" s="75" t="n"/>
      <c r="CA399" s="75" t="n"/>
      <c r="CB399" s="75" t="n"/>
      <c r="CC399" s="75" t="n"/>
      <c r="CD399" s="75" t="n"/>
      <c r="CE399" s="75" t="n"/>
      <c r="CF399" s="75" t="n"/>
      <c r="CG399" s="75" t="n"/>
      <c r="CH399" s="75" t="n"/>
      <c r="CI399" s="75" t="n"/>
      <c r="CJ399" s="75" t="n"/>
      <c r="CK399" s="75" t="n"/>
      <c r="CL399" s="75" t="n"/>
      <c r="CM399" s="75" t="n"/>
      <c r="CN399" s="75" t="n"/>
      <c r="CO399" s="75" t="n"/>
      <c r="CP399" s="75" t="n"/>
      <c r="CQ399" s="75" t="n"/>
      <c r="CR399" s="75" t="n"/>
      <c r="CS399" s="75" t="n"/>
      <c r="CT399" s="75" t="n"/>
      <c r="CU399" s="75" t="n"/>
      <c r="CV399" s="75" t="n"/>
      <c r="CW399" s="75" t="n"/>
      <c r="CX399" s="75" t="n"/>
      <c r="CY399" s="75" t="n"/>
      <c r="CZ399" s="75" t="n"/>
    </row>
    <row r="400">
      <c r="B400" s="134">
        <f>IF($A399="",0,COUNT($E400:$CZ400))</f>
        <v/>
      </c>
    </row>
    <row r="401">
      <c r="A401" s="5">
        <f>IF(AS51!$C$203="","",AS51!$C$203)</f>
        <v/>
      </c>
      <c r="B401" s="134">
        <f>IF($A401="",0,COUNT($E401:$CZ401))</f>
        <v/>
      </c>
      <c r="C401" s="135">
        <f>IF($A401="",0,IF($B401=0,0,MAX($E401:$CZ401)))</f>
        <v/>
      </c>
      <c r="D401" s="74">
        <f>BDS($A401,'Field Check'!$C$42,"headers=y","startcol=2","endcol=3","dir=h")</f>
        <v/>
      </c>
      <c r="E401" s="75" t="n"/>
      <c r="F401" s="75" t="n"/>
      <c r="G401" s="75" t="n"/>
      <c r="H401" s="75" t="n"/>
      <c r="I401" s="75" t="n"/>
      <c r="J401" s="75" t="n"/>
      <c r="K401" s="75" t="n"/>
      <c r="L401" s="75" t="n"/>
      <c r="M401" s="75" t="n"/>
      <c r="N401" s="75" t="n"/>
      <c r="O401" s="75" t="n"/>
      <c r="P401" s="75" t="n"/>
      <c r="Q401" s="75" t="n"/>
      <c r="R401" s="75" t="n"/>
      <c r="S401" s="75" t="n"/>
      <c r="T401" s="75" t="n"/>
      <c r="U401" s="75" t="n"/>
      <c r="V401" s="75" t="n"/>
      <c r="W401" s="75" t="n"/>
      <c r="X401" s="75" t="n"/>
      <c r="Y401" s="75" t="n"/>
      <c r="Z401" s="75" t="n"/>
      <c r="AA401" s="75" t="n"/>
      <c r="AB401" s="75" t="n"/>
      <c r="AC401" s="75" t="n"/>
      <c r="AD401" s="75" t="n"/>
      <c r="AE401" s="75" t="n"/>
      <c r="AF401" s="75" t="n"/>
      <c r="AG401" s="75" t="n"/>
      <c r="AH401" s="75" t="n"/>
      <c r="AI401" s="75" t="n"/>
      <c r="AJ401" s="75" t="n"/>
      <c r="AK401" s="75" t="n"/>
      <c r="AL401" s="75" t="n"/>
      <c r="AM401" s="75" t="n"/>
      <c r="AN401" s="75" t="n"/>
      <c r="AO401" s="75" t="n"/>
      <c r="AP401" s="75" t="n"/>
      <c r="AQ401" s="75" t="n"/>
      <c r="AR401" s="75" t="n"/>
      <c r="AS401" s="75" t="n"/>
      <c r="AT401" s="75" t="n"/>
      <c r="AU401" s="75" t="n"/>
      <c r="AV401" s="75" t="n"/>
      <c r="AW401" s="75" t="n"/>
      <c r="AX401" s="75" t="n"/>
      <c r="AY401" s="75" t="n"/>
      <c r="AZ401" s="75" t="n"/>
      <c r="BA401" s="75" t="n"/>
      <c r="BB401" s="75" t="n"/>
      <c r="BC401" s="75" t="n"/>
      <c r="BD401" s="75" t="n"/>
      <c r="BE401" s="75" t="n"/>
      <c r="BF401" s="75" t="n"/>
      <c r="BG401" s="75" t="n"/>
      <c r="BH401" s="75" t="n"/>
      <c r="BI401" s="75" t="n"/>
      <c r="BJ401" s="75" t="n"/>
      <c r="BK401" s="75" t="n"/>
      <c r="BL401" s="75" t="n"/>
      <c r="BM401" s="75" t="n"/>
      <c r="BN401" s="75" t="n"/>
      <c r="BO401" s="75" t="n"/>
      <c r="BP401" s="75" t="n"/>
      <c r="BQ401" s="75" t="n"/>
      <c r="BR401" s="75" t="n"/>
      <c r="BS401" s="75" t="n"/>
      <c r="BT401" s="75" t="n"/>
      <c r="BU401" s="75" t="n"/>
      <c r="BV401" s="75" t="n"/>
      <c r="BW401" s="75" t="n"/>
      <c r="BX401" s="75" t="n"/>
      <c r="BY401" s="75" t="n"/>
      <c r="BZ401" s="75" t="n"/>
      <c r="CA401" s="75" t="n"/>
      <c r="CB401" s="75" t="n"/>
      <c r="CC401" s="75" t="n"/>
      <c r="CD401" s="75" t="n"/>
      <c r="CE401" s="75" t="n"/>
      <c r="CF401" s="75" t="n"/>
      <c r="CG401" s="75" t="n"/>
      <c r="CH401" s="75" t="n"/>
      <c r="CI401" s="75" t="n"/>
      <c r="CJ401" s="75" t="n"/>
      <c r="CK401" s="75" t="n"/>
      <c r="CL401" s="75" t="n"/>
      <c r="CM401" s="75" t="n"/>
      <c r="CN401" s="75" t="n"/>
      <c r="CO401" s="75" t="n"/>
      <c r="CP401" s="75" t="n"/>
      <c r="CQ401" s="75" t="n"/>
      <c r="CR401" s="75" t="n"/>
      <c r="CS401" s="75" t="n"/>
      <c r="CT401" s="75" t="n"/>
      <c r="CU401" s="75" t="n"/>
      <c r="CV401" s="75" t="n"/>
      <c r="CW401" s="75" t="n"/>
      <c r="CX401" s="75" t="n"/>
      <c r="CY401" s="75" t="n"/>
      <c r="CZ401" s="75" t="n"/>
    </row>
    <row r="402">
      <c r="B402" s="134">
        <f>IF($A401="",0,COUNT($E402:$CZ402))</f>
        <v/>
      </c>
    </row>
    <row r="403">
      <c r="A403" s="5">
        <f>IF(AS51!$C$204="","",AS51!$C$204)</f>
        <v/>
      </c>
      <c r="B403" s="134">
        <f>IF($A403="",0,COUNT($E403:$CZ403))</f>
        <v/>
      </c>
      <c r="C403" s="135">
        <f>IF($A403="",0,IF($B403=0,0,MAX($E403:$CZ403)))</f>
        <v/>
      </c>
      <c r="D403" s="74">
        <f>BDS($A403,'Field Check'!$C$42,"headers=y","startcol=2","endcol=3","dir=h")</f>
        <v/>
      </c>
      <c r="E403" s="75" t="n"/>
      <c r="F403" s="75" t="n"/>
      <c r="G403" s="75" t="n"/>
      <c r="H403" s="75" t="n"/>
      <c r="I403" s="75" t="n"/>
      <c r="J403" s="75" t="n"/>
      <c r="K403" s="75" t="n"/>
      <c r="L403" s="75" t="n"/>
      <c r="M403" s="75" t="n"/>
      <c r="N403" s="75" t="n"/>
      <c r="O403" s="75" t="n"/>
      <c r="P403" s="75" t="n"/>
      <c r="Q403" s="75" t="n"/>
      <c r="R403" s="75" t="n"/>
      <c r="S403" s="75" t="n"/>
      <c r="T403" s="75" t="n"/>
      <c r="U403" s="75" t="n"/>
      <c r="V403" s="75" t="n"/>
      <c r="W403" s="75" t="n"/>
      <c r="X403" s="75" t="n"/>
      <c r="Y403" s="75" t="n"/>
      <c r="Z403" s="75" t="n"/>
      <c r="AA403" s="75" t="n"/>
      <c r="AB403" s="75" t="n"/>
      <c r="AC403" s="75" t="n"/>
      <c r="AD403" s="75" t="n"/>
      <c r="AE403" s="75" t="n"/>
      <c r="AF403" s="75" t="n"/>
      <c r="AG403" s="75" t="n"/>
      <c r="AH403" s="75" t="n"/>
      <c r="AI403" s="75" t="n"/>
      <c r="AJ403" s="75" t="n"/>
      <c r="AK403" s="75" t="n"/>
      <c r="AL403" s="75" t="n"/>
      <c r="AM403" s="75" t="n"/>
      <c r="AN403" s="75" t="n"/>
      <c r="AO403" s="75" t="n"/>
      <c r="AP403" s="75" t="n"/>
      <c r="AQ403" s="75" t="n"/>
      <c r="AR403" s="75" t="n"/>
      <c r="AS403" s="75" t="n"/>
      <c r="AT403" s="75" t="n"/>
      <c r="AU403" s="75" t="n"/>
      <c r="AV403" s="75" t="n"/>
      <c r="AW403" s="75" t="n"/>
      <c r="AX403" s="75" t="n"/>
      <c r="AY403" s="75" t="n"/>
      <c r="AZ403" s="75" t="n"/>
      <c r="BA403" s="75" t="n"/>
      <c r="BB403" s="75" t="n"/>
      <c r="BC403" s="75" t="n"/>
      <c r="BD403" s="75" t="n"/>
      <c r="BE403" s="75" t="n"/>
      <c r="BF403" s="75" t="n"/>
      <c r="BG403" s="75" t="n"/>
      <c r="BH403" s="75" t="n"/>
      <c r="BI403" s="75" t="n"/>
      <c r="BJ403" s="75" t="n"/>
      <c r="BK403" s="75" t="n"/>
      <c r="BL403" s="75" t="n"/>
      <c r="BM403" s="75" t="n"/>
      <c r="BN403" s="75" t="n"/>
      <c r="BO403" s="75" t="n"/>
      <c r="BP403" s="75" t="n"/>
      <c r="BQ403" s="75" t="n"/>
      <c r="BR403" s="75" t="n"/>
      <c r="BS403" s="75" t="n"/>
      <c r="BT403" s="75" t="n"/>
      <c r="BU403" s="75" t="n"/>
      <c r="BV403" s="75" t="n"/>
      <c r="BW403" s="75" t="n"/>
      <c r="BX403" s="75" t="n"/>
      <c r="BY403" s="75" t="n"/>
      <c r="BZ403" s="75" t="n"/>
      <c r="CA403" s="75" t="n"/>
      <c r="CB403" s="75" t="n"/>
      <c r="CC403" s="75" t="n"/>
      <c r="CD403" s="75" t="n"/>
      <c r="CE403" s="75" t="n"/>
      <c r="CF403" s="75" t="n"/>
      <c r="CG403" s="75" t="n"/>
      <c r="CH403" s="75" t="n"/>
      <c r="CI403" s="75" t="n"/>
      <c r="CJ403" s="75" t="n"/>
      <c r="CK403" s="75" t="n"/>
      <c r="CL403" s="75" t="n"/>
      <c r="CM403" s="75" t="n"/>
      <c r="CN403" s="75" t="n"/>
      <c r="CO403" s="75" t="n"/>
      <c r="CP403" s="75" t="n"/>
      <c r="CQ403" s="75" t="n"/>
      <c r="CR403" s="75" t="n"/>
      <c r="CS403" s="75" t="n"/>
      <c r="CT403" s="75" t="n"/>
      <c r="CU403" s="75" t="n"/>
      <c r="CV403" s="75" t="n"/>
      <c r="CW403" s="75" t="n"/>
      <c r="CX403" s="75" t="n"/>
      <c r="CY403" s="75" t="n"/>
      <c r="CZ403" s="75" t="n"/>
    </row>
    <row r="404">
      <c r="B404" s="134">
        <f>IF($A403="",0,COUNT($E404:$CZ404))</f>
        <v/>
      </c>
    </row>
    <row r="405">
      <c r="A405" s="5">
        <f>IF(AS51!$C$205="","",AS51!$C$205)</f>
        <v/>
      </c>
      <c r="B405" s="134">
        <f>IF($A405="",0,COUNT($E405:$CZ405))</f>
        <v/>
      </c>
      <c r="C405" s="135">
        <f>IF($A405="",0,IF($B405=0,0,MAX($E405:$CZ405)))</f>
        <v/>
      </c>
      <c r="D405" s="74">
        <f>BDS($A405,'Field Check'!$C$42,"headers=y","startcol=2","endcol=3","dir=h")</f>
        <v/>
      </c>
      <c r="E405" s="75" t="n"/>
      <c r="F405" s="75" t="n"/>
      <c r="G405" s="75" t="n"/>
      <c r="H405" s="75" t="n"/>
      <c r="I405" s="75" t="n"/>
      <c r="J405" s="75" t="n"/>
      <c r="K405" s="75" t="n"/>
      <c r="L405" s="75" t="n"/>
      <c r="M405" s="75" t="n"/>
      <c r="N405" s="75" t="n"/>
      <c r="O405" s="75" t="n"/>
      <c r="P405" s="75" t="n"/>
      <c r="Q405" s="75" t="n"/>
      <c r="R405" s="75" t="n"/>
      <c r="S405" s="75" t="n"/>
      <c r="T405" s="75" t="n"/>
      <c r="U405" s="75" t="n"/>
      <c r="V405" s="75" t="n"/>
      <c r="W405" s="75" t="n"/>
      <c r="X405" s="75" t="n"/>
      <c r="Y405" s="75" t="n"/>
      <c r="Z405" s="75" t="n"/>
      <c r="AA405" s="75" t="n"/>
      <c r="AB405" s="75" t="n"/>
      <c r="AC405" s="75" t="n"/>
      <c r="AD405" s="75" t="n"/>
      <c r="AE405" s="75" t="n"/>
      <c r="AF405" s="75" t="n"/>
      <c r="AG405" s="75" t="n"/>
      <c r="AH405" s="75" t="n"/>
      <c r="AI405" s="75" t="n"/>
      <c r="AJ405" s="75" t="n"/>
      <c r="AK405" s="75" t="n"/>
      <c r="AL405" s="75" t="n"/>
      <c r="AM405" s="75" t="n"/>
      <c r="AN405" s="75" t="n"/>
      <c r="AO405" s="75" t="n"/>
      <c r="AP405" s="75" t="n"/>
      <c r="AQ405" s="75" t="n"/>
      <c r="AR405" s="75" t="n"/>
      <c r="AS405" s="75" t="n"/>
      <c r="AT405" s="75" t="n"/>
      <c r="AU405" s="75" t="n"/>
      <c r="AV405" s="75" t="n"/>
      <c r="AW405" s="75" t="n"/>
      <c r="AX405" s="75" t="n"/>
      <c r="AY405" s="75" t="n"/>
      <c r="AZ405" s="75" t="n"/>
      <c r="BA405" s="75" t="n"/>
      <c r="BB405" s="75" t="n"/>
      <c r="BC405" s="75" t="n"/>
      <c r="BD405" s="75" t="n"/>
      <c r="BE405" s="75" t="n"/>
      <c r="BF405" s="75" t="n"/>
      <c r="BG405" s="75" t="n"/>
      <c r="BH405" s="75" t="n"/>
      <c r="BI405" s="75" t="n"/>
      <c r="BJ405" s="75" t="n"/>
      <c r="BK405" s="75" t="n"/>
      <c r="BL405" s="75" t="n"/>
      <c r="BM405" s="75" t="n"/>
      <c r="BN405" s="75" t="n"/>
      <c r="BO405" s="75" t="n"/>
      <c r="BP405" s="75" t="n"/>
      <c r="BQ405" s="75" t="n"/>
      <c r="BR405" s="75" t="n"/>
      <c r="BS405" s="75" t="n"/>
      <c r="BT405" s="75" t="n"/>
      <c r="BU405" s="75" t="n"/>
      <c r="BV405" s="75" t="n"/>
      <c r="BW405" s="75" t="n"/>
      <c r="BX405" s="75" t="n"/>
      <c r="BY405" s="75" t="n"/>
      <c r="BZ405" s="75" t="n"/>
      <c r="CA405" s="75" t="n"/>
      <c r="CB405" s="75" t="n"/>
      <c r="CC405" s="75" t="n"/>
      <c r="CD405" s="75" t="n"/>
      <c r="CE405" s="75" t="n"/>
      <c r="CF405" s="75" t="n"/>
      <c r="CG405" s="75" t="n"/>
      <c r="CH405" s="75" t="n"/>
      <c r="CI405" s="75" t="n"/>
      <c r="CJ405" s="75" t="n"/>
      <c r="CK405" s="75" t="n"/>
      <c r="CL405" s="75" t="n"/>
      <c r="CM405" s="75" t="n"/>
      <c r="CN405" s="75" t="n"/>
      <c r="CO405" s="75" t="n"/>
      <c r="CP405" s="75" t="n"/>
      <c r="CQ405" s="75" t="n"/>
      <c r="CR405" s="75" t="n"/>
      <c r="CS405" s="75" t="n"/>
      <c r="CT405" s="75" t="n"/>
      <c r="CU405" s="75" t="n"/>
      <c r="CV405" s="75" t="n"/>
      <c r="CW405" s="75" t="n"/>
      <c r="CX405" s="75" t="n"/>
      <c r="CY405" s="75" t="n"/>
      <c r="CZ405" s="75" t="n"/>
    </row>
    <row r="406">
      <c r="B406" s="134">
        <f>IF($A405="",0,COUNT($E406:$CZ406))</f>
        <v/>
      </c>
    </row>
    <row r="407">
      <c r="A407" s="5">
        <f>IF(AS51!$C$206="","",AS51!$C$206)</f>
        <v/>
      </c>
      <c r="B407" s="134">
        <f>IF($A407="",0,COUNT($E407:$CZ407))</f>
        <v/>
      </c>
      <c r="C407" s="135">
        <f>IF($A407="",0,IF($B407=0,0,MAX($E407:$CZ407)))</f>
        <v/>
      </c>
      <c r="D407" s="74">
        <f>BDS($A407,'Field Check'!$C$42,"headers=y","startcol=2","endcol=3","dir=h")</f>
        <v/>
      </c>
      <c r="E407" s="75" t="n"/>
      <c r="F407" s="75" t="n"/>
      <c r="G407" s="75" t="n"/>
      <c r="H407" s="75" t="n"/>
      <c r="I407" s="75" t="n"/>
      <c r="J407" s="75" t="n"/>
      <c r="K407" s="75" t="n"/>
      <c r="L407" s="75" t="n"/>
      <c r="M407" s="75" t="n"/>
      <c r="N407" s="75" t="n"/>
      <c r="O407" s="75" t="n"/>
      <c r="P407" s="75" t="n"/>
      <c r="Q407" s="75" t="n"/>
      <c r="R407" s="75" t="n"/>
      <c r="S407" s="75" t="n"/>
      <c r="T407" s="75" t="n"/>
      <c r="U407" s="75" t="n"/>
      <c r="V407" s="75" t="n"/>
      <c r="W407" s="75" t="n"/>
      <c r="X407" s="75" t="n"/>
      <c r="Y407" s="75" t="n"/>
      <c r="Z407" s="75" t="n"/>
      <c r="AA407" s="75" t="n"/>
      <c r="AB407" s="75" t="n"/>
      <c r="AC407" s="75" t="n"/>
      <c r="AD407" s="75" t="n"/>
      <c r="AE407" s="75" t="n"/>
      <c r="AF407" s="75" t="n"/>
      <c r="AG407" s="75" t="n"/>
      <c r="AH407" s="75" t="n"/>
      <c r="AI407" s="75" t="n"/>
      <c r="AJ407" s="75" t="n"/>
      <c r="AK407" s="75" t="n"/>
      <c r="AL407" s="75" t="n"/>
      <c r="AM407" s="75" t="n"/>
      <c r="AN407" s="75" t="n"/>
      <c r="AO407" s="75" t="n"/>
      <c r="AP407" s="75" t="n"/>
      <c r="AQ407" s="75" t="n"/>
      <c r="AR407" s="75" t="n"/>
      <c r="AS407" s="75" t="n"/>
      <c r="AT407" s="75" t="n"/>
      <c r="AU407" s="75" t="n"/>
      <c r="AV407" s="75" t="n"/>
      <c r="AW407" s="75" t="n"/>
      <c r="AX407" s="75" t="n"/>
      <c r="AY407" s="75" t="n"/>
      <c r="AZ407" s="75" t="n"/>
      <c r="BA407" s="75" t="n"/>
      <c r="BB407" s="75" t="n"/>
      <c r="BC407" s="75" t="n"/>
      <c r="BD407" s="75" t="n"/>
      <c r="BE407" s="75" t="n"/>
      <c r="BF407" s="75" t="n"/>
      <c r="BG407" s="75" t="n"/>
      <c r="BH407" s="75" t="n"/>
      <c r="BI407" s="75" t="n"/>
      <c r="BJ407" s="75" t="n"/>
      <c r="BK407" s="75" t="n"/>
      <c r="BL407" s="75" t="n"/>
      <c r="BM407" s="75" t="n"/>
      <c r="BN407" s="75" t="n"/>
      <c r="BO407" s="75" t="n"/>
      <c r="BP407" s="75" t="n"/>
      <c r="BQ407" s="75" t="n"/>
      <c r="BR407" s="75" t="n"/>
      <c r="BS407" s="75" t="n"/>
      <c r="BT407" s="75" t="n"/>
      <c r="BU407" s="75" t="n"/>
      <c r="BV407" s="75" t="n"/>
      <c r="BW407" s="75" t="n"/>
      <c r="BX407" s="75" t="n"/>
      <c r="BY407" s="75" t="n"/>
      <c r="BZ407" s="75" t="n"/>
      <c r="CA407" s="75" t="n"/>
      <c r="CB407" s="75" t="n"/>
      <c r="CC407" s="75" t="n"/>
      <c r="CD407" s="75" t="n"/>
      <c r="CE407" s="75" t="n"/>
      <c r="CF407" s="75" t="n"/>
      <c r="CG407" s="75" t="n"/>
      <c r="CH407" s="75" t="n"/>
      <c r="CI407" s="75" t="n"/>
      <c r="CJ407" s="75" t="n"/>
      <c r="CK407" s="75" t="n"/>
      <c r="CL407" s="75" t="n"/>
      <c r="CM407" s="75" t="n"/>
      <c r="CN407" s="75" t="n"/>
      <c r="CO407" s="75" t="n"/>
      <c r="CP407" s="75" t="n"/>
      <c r="CQ407" s="75" t="n"/>
      <c r="CR407" s="75" t="n"/>
      <c r="CS407" s="75" t="n"/>
      <c r="CT407" s="75" t="n"/>
      <c r="CU407" s="75" t="n"/>
      <c r="CV407" s="75" t="n"/>
      <c r="CW407" s="75" t="n"/>
      <c r="CX407" s="75" t="n"/>
      <c r="CY407" s="75" t="n"/>
      <c r="CZ407" s="75" t="n"/>
    </row>
    <row r="408">
      <c r="B408" s="134">
        <f>IF($A407="",0,COUNT($E408:$CZ408))</f>
        <v/>
      </c>
    </row>
    <row r="409">
      <c r="A409" s="5">
        <f>IF(AS51!$C$207="","",AS51!$C$207)</f>
        <v/>
      </c>
      <c r="B409" s="134">
        <f>IF($A409="",0,COUNT($E409:$CZ409))</f>
        <v/>
      </c>
      <c r="C409" s="135">
        <f>IF($A409="",0,IF($B409=0,0,MAX($E409:$CZ409)))</f>
        <v/>
      </c>
      <c r="D409" s="74">
        <f>BDS($A409,'Field Check'!$C$42,"headers=y","startcol=2","endcol=3","dir=h")</f>
        <v/>
      </c>
      <c r="E409" s="75" t="n"/>
      <c r="F409" s="75" t="n"/>
      <c r="G409" s="75" t="n"/>
      <c r="H409" s="75" t="n"/>
      <c r="I409" s="75" t="n"/>
      <c r="J409" s="75" t="n"/>
      <c r="K409" s="75" t="n"/>
      <c r="L409" s="75" t="n"/>
      <c r="M409" s="75" t="n"/>
      <c r="N409" s="75" t="n"/>
      <c r="O409" s="75" t="n"/>
      <c r="P409" s="75" t="n"/>
      <c r="Q409" s="75" t="n"/>
      <c r="R409" s="75" t="n"/>
      <c r="S409" s="75" t="n"/>
      <c r="T409" s="75" t="n"/>
      <c r="U409" s="75" t="n"/>
      <c r="V409" s="75" t="n"/>
      <c r="W409" s="75" t="n"/>
      <c r="X409" s="75" t="n"/>
      <c r="Y409" s="75" t="n"/>
      <c r="Z409" s="75" t="n"/>
      <c r="AA409" s="75" t="n"/>
      <c r="AB409" s="75" t="n"/>
      <c r="AC409" s="75" t="n"/>
      <c r="AD409" s="75" t="n"/>
      <c r="AE409" s="75" t="n"/>
      <c r="AF409" s="75" t="n"/>
      <c r="AG409" s="75" t="n"/>
      <c r="AH409" s="75" t="n"/>
      <c r="AI409" s="75" t="n"/>
      <c r="AJ409" s="75" t="n"/>
      <c r="AK409" s="75" t="n"/>
      <c r="AL409" s="75" t="n"/>
      <c r="AM409" s="75" t="n"/>
      <c r="AN409" s="75" t="n"/>
      <c r="AO409" s="75" t="n"/>
      <c r="AP409" s="75" t="n"/>
      <c r="AQ409" s="75" t="n"/>
      <c r="AR409" s="75" t="n"/>
      <c r="AS409" s="75" t="n"/>
      <c r="AT409" s="75" t="n"/>
      <c r="AU409" s="75" t="n"/>
      <c r="AV409" s="75" t="n"/>
      <c r="AW409" s="75" t="n"/>
      <c r="AX409" s="75" t="n"/>
      <c r="AY409" s="75" t="n"/>
      <c r="AZ409" s="75" t="n"/>
      <c r="BA409" s="75" t="n"/>
      <c r="BB409" s="75" t="n"/>
      <c r="BC409" s="75" t="n"/>
      <c r="BD409" s="75" t="n"/>
      <c r="BE409" s="75" t="n"/>
      <c r="BF409" s="75" t="n"/>
      <c r="BG409" s="75" t="n"/>
      <c r="BH409" s="75" t="n"/>
      <c r="BI409" s="75" t="n"/>
      <c r="BJ409" s="75" t="n"/>
      <c r="BK409" s="75" t="n"/>
      <c r="BL409" s="75" t="n"/>
      <c r="BM409" s="75" t="n"/>
      <c r="BN409" s="75" t="n"/>
      <c r="BO409" s="75" t="n"/>
      <c r="BP409" s="75" t="n"/>
      <c r="BQ409" s="75" t="n"/>
      <c r="BR409" s="75" t="n"/>
      <c r="BS409" s="75" t="n"/>
      <c r="BT409" s="75" t="n"/>
      <c r="BU409" s="75" t="n"/>
      <c r="BV409" s="75" t="n"/>
      <c r="BW409" s="75" t="n"/>
      <c r="BX409" s="75" t="n"/>
      <c r="BY409" s="75" t="n"/>
      <c r="BZ409" s="75" t="n"/>
      <c r="CA409" s="75" t="n"/>
      <c r="CB409" s="75" t="n"/>
      <c r="CC409" s="75" t="n"/>
      <c r="CD409" s="75" t="n"/>
      <c r="CE409" s="75" t="n"/>
      <c r="CF409" s="75" t="n"/>
      <c r="CG409" s="75" t="n"/>
      <c r="CH409" s="75" t="n"/>
      <c r="CI409" s="75" t="n"/>
      <c r="CJ409" s="75" t="n"/>
      <c r="CK409" s="75" t="n"/>
      <c r="CL409" s="75" t="n"/>
      <c r="CM409" s="75" t="n"/>
      <c r="CN409" s="75" t="n"/>
      <c r="CO409" s="75" t="n"/>
      <c r="CP409" s="75" t="n"/>
      <c r="CQ409" s="75" t="n"/>
      <c r="CR409" s="75" t="n"/>
      <c r="CS409" s="75" t="n"/>
      <c r="CT409" s="75" t="n"/>
      <c r="CU409" s="75" t="n"/>
      <c r="CV409" s="75" t="n"/>
      <c r="CW409" s="75" t="n"/>
      <c r="CX409" s="75" t="n"/>
      <c r="CY409" s="75" t="n"/>
      <c r="CZ409" s="75" t="n"/>
    </row>
    <row r="410">
      <c r="B410" s="134">
        <f>IF($A409="",0,COUNT($E410:$CZ410))</f>
        <v/>
      </c>
    </row>
    <row r="411">
      <c r="A411" s="5">
        <f>IF(AS51!$C$208="","",AS51!$C$208)</f>
        <v/>
      </c>
      <c r="B411" s="134">
        <f>IF($A411="",0,COUNT($E411:$CZ411))</f>
        <v/>
      </c>
      <c r="C411" s="135">
        <f>IF($A411="",0,IF($B411=0,0,MAX($E411:$CZ411)))</f>
        <v/>
      </c>
      <c r="D411" s="74">
        <f>BDS($A411,'Field Check'!$C$42,"headers=y","startcol=2","endcol=3","dir=h")</f>
        <v/>
      </c>
      <c r="E411" s="75" t="n"/>
      <c r="F411" s="75" t="n"/>
      <c r="G411" s="75" t="n"/>
      <c r="H411" s="75" t="n"/>
      <c r="I411" s="75" t="n"/>
      <c r="J411" s="75" t="n"/>
      <c r="K411" s="75" t="n"/>
      <c r="L411" s="75" t="n"/>
      <c r="M411" s="75" t="n"/>
      <c r="N411" s="75" t="n"/>
      <c r="O411" s="75" t="n"/>
      <c r="P411" s="75" t="n"/>
      <c r="Q411" s="75" t="n"/>
      <c r="R411" s="75" t="n"/>
      <c r="S411" s="75" t="n"/>
      <c r="T411" s="75" t="n"/>
      <c r="U411" s="75" t="n"/>
      <c r="V411" s="75" t="n"/>
      <c r="W411" s="75" t="n"/>
      <c r="X411" s="75" t="n"/>
      <c r="Y411" s="75" t="n"/>
      <c r="Z411" s="75" t="n"/>
      <c r="AA411" s="75" t="n"/>
      <c r="AB411" s="75" t="n"/>
      <c r="AC411" s="75" t="n"/>
      <c r="AD411" s="75" t="n"/>
      <c r="AE411" s="75" t="n"/>
      <c r="AF411" s="75" t="n"/>
      <c r="AG411" s="75" t="n"/>
      <c r="AH411" s="75" t="n"/>
      <c r="AI411" s="75" t="n"/>
      <c r="AJ411" s="75" t="n"/>
      <c r="AK411" s="75" t="n"/>
      <c r="AL411" s="75" t="n"/>
      <c r="AM411" s="75" t="n"/>
      <c r="AN411" s="75" t="n"/>
      <c r="AO411" s="75" t="n"/>
      <c r="AP411" s="75" t="n"/>
      <c r="AQ411" s="75" t="n"/>
      <c r="AR411" s="75" t="n"/>
      <c r="AS411" s="75" t="n"/>
      <c r="AT411" s="75" t="n"/>
      <c r="AU411" s="75" t="n"/>
      <c r="AV411" s="75" t="n"/>
      <c r="AW411" s="75" t="n"/>
      <c r="AX411" s="75" t="n"/>
      <c r="AY411" s="75" t="n"/>
      <c r="AZ411" s="75" t="n"/>
      <c r="BA411" s="75" t="n"/>
      <c r="BB411" s="75" t="n"/>
      <c r="BC411" s="75" t="n"/>
      <c r="BD411" s="75" t="n"/>
      <c r="BE411" s="75" t="n"/>
      <c r="BF411" s="75" t="n"/>
      <c r="BG411" s="75" t="n"/>
      <c r="BH411" s="75" t="n"/>
      <c r="BI411" s="75" t="n"/>
      <c r="BJ411" s="75" t="n"/>
      <c r="BK411" s="75" t="n"/>
      <c r="BL411" s="75" t="n"/>
      <c r="BM411" s="75" t="n"/>
      <c r="BN411" s="75" t="n"/>
      <c r="BO411" s="75" t="n"/>
      <c r="BP411" s="75" t="n"/>
      <c r="BQ411" s="75" t="n"/>
      <c r="BR411" s="75" t="n"/>
      <c r="BS411" s="75" t="n"/>
      <c r="BT411" s="75" t="n"/>
      <c r="BU411" s="75" t="n"/>
      <c r="BV411" s="75" t="n"/>
      <c r="BW411" s="75" t="n"/>
      <c r="BX411" s="75" t="n"/>
      <c r="BY411" s="75" t="n"/>
      <c r="BZ411" s="75" t="n"/>
      <c r="CA411" s="75" t="n"/>
      <c r="CB411" s="75" t="n"/>
      <c r="CC411" s="75" t="n"/>
      <c r="CD411" s="75" t="n"/>
      <c r="CE411" s="75" t="n"/>
      <c r="CF411" s="75" t="n"/>
      <c r="CG411" s="75" t="n"/>
      <c r="CH411" s="75" t="n"/>
      <c r="CI411" s="75" t="n"/>
      <c r="CJ411" s="75" t="n"/>
      <c r="CK411" s="75" t="n"/>
      <c r="CL411" s="75" t="n"/>
      <c r="CM411" s="75" t="n"/>
      <c r="CN411" s="75" t="n"/>
      <c r="CO411" s="75" t="n"/>
      <c r="CP411" s="75" t="n"/>
      <c r="CQ411" s="75" t="n"/>
      <c r="CR411" s="75" t="n"/>
      <c r="CS411" s="75" t="n"/>
      <c r="CT411" s="75" t="n"/>
      <c r="CU411" s="75" t="n"/>
      <c r="CV411" s="75" t="n"/>
      <c r="CW411" s="75" t="n"/>
      <c r="CX411" s="75" t="n"/>
      <c r="CY411" s="75" t="n"/>
      <c r="CZ411" s="75" t="n"/>
    </row>
    <row r="412">
      <c r="B412" s="134">
        <f>IF($A411="",0,COUNT($E412:$CZ412))</f>
        <v/>
      </c>
    </row>
    <row r="413">
      <c r="A413" s="5">
        <f>IF(AS51!$C$209="","",AS51!$C$209)</f>
        <v/>
      </c>
      <c r="B413" s="134">
        <f>IF($A413="",0,COUNT($E413:$CZ413))</f>
        <v/>
      </c>
      <c r="C413" s="135">
        <f>IF($A413="",0,IF($B413=0,0,MAX($E413:$CZ413)))</f>
        <v/>
      </c>
      <c r="D413" s="74">
        <f>BDS($A413,'Field Check'!$C$42,"headers=y","startcol=2","endcol=3","dir=h")</f>
        <v/>
      </c>
      <c r="E413" s="75" t="n"/>
      <c r="F413" s="75" t="n"/>
      <c r="G413" s="75" t="n"/>
      <c r="H413" s="75" t="n"/>
      <c r="I413" s="75" t="n"/>
      <c r="J413" s="75" t="n"/>
      <c r="K413" s="75" t="n"/>
      <c r="L413" s="75" t="n"/>
      <c r="M413" s="75" t="n"/>
      <c r="N413" s="75" t="n"/>
      <c r="O413" s="75" t="n"/>
      <c r="P413" s="75" t="n"/>
      <c r="Q413" s="75" t="n"/>
      <c r="R413" s="75" t="n"/>
      <c r="S413" s="75" t="n"/>
      <c r="T413" s="75" t="n"/>
      <c r="U413" s="75" t="n"/>
      <c r="V413" s="75" t="n"/>
      <c r="W413" s="75" t="n"/>
      <c r="X413" s="75" t="n"/>
      <c r="Y413" s="75" t="n"/>
      <c r="Z413" s="75" t="n"/>
      <c r="AA413" s="75" t="n"/>
      <c r="AB413" s="75" t="n"/>
      <c r="AC413" s="75" t="n"/>
      <c r="AD413" s="75" t="n"/>
      <c r="AE413" s="75" t="n"/>
      <c r="AF413" s="75" t="n"/>
      <c r="AG413" s="75" t="n"/>
      <c r="AH413" s="75" t="n"/>
      <c r="AI413" s="75" t="n"/>
      <c r="AJ413" s="75" t="n"/>
      <c r="AK413" s="75" t="n"/>
      <c r="AL413" s="75" t="n"/>
      <c r="AM413" s="75" t="n"/>
      <c r="AN413" s="75" t="n"/>
      <c r="AO413" s="75" t="n"/>
      <c r="AP413" s="75" t="n"/>
      <c r="AQ413" s="75" t="n"/>
      <c r="AR413" s="75" t="n"/>
      <c r="AS413" s="75" t="n"/>
      <c r="AT413" s="75" t="n"/>
      <c r="AU413" s="75" t="n"/>
      <c r="AV413" s="75" t="n"/>
      <c r="AW413" s="75" t="n"/>
      <c r="AX413" s="75" t="n"/>
      <c r="AY413" s="75" t="n"/>
      <c r="AZ413" s="75" t="n"/>
      <c r="BA413" s="75" t="n"/>
      <c r="BB413" s="75" t="n"/>
      <c r="BC413" s="75" t="n"/>
      <c r="BD413" s="75" t="n"/>
      <c r="BE413" s="75" t="n"/>
      <c r="BF413" s="75" t="n"/>
      <c r="BG413" s="75" t="n"/>
      <c r="BH413" s="75" t="n"/>
      <c r="BI413" s="75" t="n"/>
      <c r="BJ413" s="75" t="n"/>
      <c r="BK413" s="75" t="n"/>
      <c r="BL413" s="75" t="n"/>
      <c r="BM413" s="75" t="n"/>
      <c r="BN413" s="75" t="n"/>
      <c r="BO413" s="75" t="n"/>
      <c r="BP413" s="75" t="n"/>
      <c r="BQ413" s="75" t="n"/>
      <c r="BR413" s="75" t="n"/>
      <c r="BS413" s="75" t="n"/>
      <c r="BT413" s="75" t="n"/>
      <c r="BU413" s="75" t="n"/>
      <c r="BV413" s="75" t="n"/>
      <c r="BW413" s="75" t="n"/>
      <c r="BX413" s="75" t="n"/>
      <c r="BY413" s="75" t="n"/>
      <c r="BZ413" s="75" t="n"/>
      <c r="CA413" s="75" t="n"/>
      <c r="CB413" s="75" t="n"/>
      <c r="CC413" s="75" t="n"/>
      <c r="CD413" s="75" t="n"/>
      <c r="CE413" s="75" t="n"/>
      <c r="CF413" s="75" t="n"/>
      <c r="CG413" s="75" t="n"/>
      <c r="CH413" s="75" t="n"/>
      <c r="CI413" s="75" t="n"/>
      <c r="CJ413" s="75" t="n"/>
      <c r="CK413" s="75" t="n"/>
      <c r="CL413" s="75" t="n"/>
      <c r="CM413" s="75" t="n"/>
      <c r="CN413" s="75" t="n"/>
      <c r="CO413" s="75" t="n"/>
      <c r="CP413" s="75" t="n"/>
      <c r="CQ413" s="75" t="n"/>
      <c r="CR413" s="75" t="n"/>
      <c r="CS413" s="75" t="n"/>
      <c r="CT413" s="75" t="n"/>
      <c r="CU413" s="75" t="n"/>
      <c r="CV413" s="75" t="n"/>
      <c r="CW413" s="75" t="n"/>
      <c r="CX413" s="75" t="n"/>
      <c r="CY413" s="75" t="n"/>
      <c r="CZ413" s="75" t="n"/>
    </row>
    <row r="414">
      <c r="B414" s="134">
        <f>IF($A413="",0,COUNT($E414:$CZ414))</f>
        <v/>
      </c>
    </row>
    <row r="415">
      <c r="A415" s="5">
        <f>IF(AS51!$C$210="","",AS51!$C$210)</f>
        <v/>
      </c>
      <c r="B415" s="134">
        <f>IF($A415="",0,COUNT($E415:$CZ415))</f>
        <v/>
      </c>
      <c r="C415" s="135">
        <f>IF($A415="",0,IF($B415=0,0,MAX($E415:$CZ415)))</f>
        <v/>
      </c>
      <c r="D415" s="74">
        <f>BDS($A415,'Field Check'!$C$42,"headers=y","startcol=2","endcol=3","dir=h")</f>
        <v/>
      </c>
      <c r="E415" s="75" t="n"/>
      <c r="F415" s="75" t="n"/>
      <c r="G415" s="75" t="n"/>
      <c r="H415" s="75" t="n"/>
      <c r="I415" s="75" t="n"/>
      <c r="J415" s="75" t="n"/>
      <c r="K415" s="75" t="n"/>
      <c r="L415" s="75" t="n"/>
      <c r="M415" s="75" t="n"/>
      <c r="N415" s="75" t="n"/>
      <c r="O415" s="75" t="n"/>
      <c r="P415" s="75" t="n"/>
      <c r="Q415" s="75" t="n"/>
      <c r="R415" s="75" t="n"/>
      <c r="S415" s="75" t="n"/>
      <c r="T415" s="75" t="n"/>
      <c r="U415" s="75" t="n"/>
      <c r="V415" s="75" t="n"/>
      <c r="W415" s="75" t="n"/>
      <c r="X415" s="75" t="n"/>
      <c r="Y415" s="75" t="n"/>
      <c r="Z415" s="75" t="n"/>
      <c r="AA415" s="75" t="n"/>
      <c r="AB415" s="75" t="n"/>
      <c r="AC415" s="75" t="n"/>
      <c r="AD415" s="75" t="n"/>
      <c r="AE415" s="75" t="n"/>
      <c r="AF415" s="75" t="n"/>
      <c r="AG415" s="75" t="n"/>
      <c r="AH415" s="75" t="n"/>
      <c r="AI415" s="75" t="n"/>
      <c r="AJ415" s="75" t="n"/>
      <c r="AK415" s="75" t="n"/>
      <c r="AL415" s="75" t="n"/>
      <c r="AM415" s="75" t="n"/>
      <c r="AN415" s="75" t="n"/>
      <c r="AO415" s="75" t="n"/>
      <c r="AP415" s="75" t="n"/>
      <c r="AQ415" s="75" t="n"/>
      <c r="AR415" s="75" t="n"/>
      <c r="AS415" s="75" t="n"/>
      <c r="AT415" s="75" t="n"/>
      <c r="AU415" s="75" t="n"/>
      <c r="AV415" s="75" t="n"/>
      <c r="AW415" s="75" t="n"/>
      <c r="AX415" s="75" t="n"/>
      <c r="AY415" s="75" t="n"/>
      <c r="AZ415" s="75" t="n"/>
      <c r="BA415" s="75" t="n"/>
      <c r="BB415" s="75" t="n"/>
      <c r="BC415" s="75" t="n"/>
      <c r="BD415" s="75" t="n"/>
      <c r="BE415" s="75" t="n"/>
      <c r="BF415" s="75" t="n"/>
      <c r="BG415" s="75" t="n"/>
      <c r="BH415" s="75" t="n"/>
      <c r="BI415" s="75" t="n"/>
      <c r="BJ415" s="75" t="n"/>
      <c r="BK415" s="75" t="n"/>
      <c r="BL415" s="75" t="n"/>
      <c r="BM415" s="75" t="n"/>
      <c r="BN415" s="75" t="n"/>
      <c r="BO415" s="75" t="n"/>
      <c r="BP415" s="75" t="n"/>
      <c r="BQ415" s="75" t="n"/>
      <c r="BR415" s="75" t="n"/>
      <c r="BS415" s="75" t="n"/>
      <c r="BT415" s="75" t="n"/>
      <c r="BU415" s="75" t="n"/>
      <c r="BV415" s="75" t="n"/>
      <c r="BW415" s="75" t="n"/>
      <c r="BX415" s="75" t="n"/>
      <c r="BY415" s="75" t="n"/>
      <c r="BZ415" s="75" t="n"/>
      <c r="CA415" s="75" t="n"/>
      <c r="CB415" s="75" t="n"/>
      <c r="CC415" s="75" t="n"/>
      <c r="CD415" s="75" t="n"/>
      <c r="CE415" s="75" t="n"/>
      <c r="CF415" s="75" t="n"/>
      <c r="CG415" s="75" t="n"/>
      <c r="CH415" s="75" t="n"/>
      <c r="CI415" s="75" t="n"/>
      <c r="CJ415" s="75" t="n"/>
      <c r="CK415" s="75" t="n"/>
      <c r="CL415" s="75" t="n"/>
      <c r="CM415" s="75" t="n"/>
      <c r="CN415" s="75" t="n"/>
      <c r="CO415" s="75" t="n"/>
      <c r="CP415" s="75" t="n"/>
      <c r="CQ415" s="75" t="n"/>
      <c r="CR415" s="75" t="n"/>
      <c r="CS415" s="75" t="n"/>
      <c r="CT415" s="75" t="n"/>
      <c r="CU415" s="75" t="n"/>
      <c r="CV415" s="75" t="n"/>
      <c r="CW415" s="75" t="n"/>
      <c r="CX415" s="75" t="n"/>
      <c r="CY415" s="75" t="n"/>
      <c r="CZ415" s="75" t="n"/>
    </row>
    <row r="416">
      <c r="B416" s="134">
        <f>IF($A415="",0,COUNT($E416:$CZ416))</f>
        <v/>
      </c>
    </row>
    <row r="418">
      <c r="A418" s="3" t="inlineStr">
        <is>
          <t>MSCI Australia (MXAU)</t>
        </is>
      </c>
    </row>
    <row r="419">
      <c r="A419" s="54" t="inlineStr">
        <is>
          <t>Ticker</t>
        </is>
      </c>
      <c r="B419" s="54" t="inlineStr">
        <is>
          <t>Events</t>
        </is>
      </c>
      <c r="C419" s="54" t="inlineStr">
        <is>
          <t>Last ex</t>
        </is>
      </c>
      <c r="D419" s="54" t="inlineStr">
        <is>
          <t>Bloomberg spill -&gt;</t>
        </is>
      </c>
    </row>
    <row r="420">
      <c r="A420" s="5">
        <f>IF(MXAU!$C$6="","",MXAU!$C$6)</f>
        <v/>
      </c>
      <c r="B420" s="134">
        <f>IF($A420="",0,COUNT($E420:$CZ420))</f>
        <v/>
      </c>
      <c r="C420" s="135">
        <f>IF($A420="",0,IF($B420=0,0,MAX($E420:$CZ420)))</f>
        <v/>
      </c>
      <c r="D420" s="74">
        <f>BDS($A420,'Field Check'!$C$42,"headers=y","startcol=2","endcol=3","dir=h")</f>
        <v/>
      </c>
      <c r="E420" s="75" t="n"/>
      <c r="F420" s="75" t="n"/>
      <c r="G420" s="75" t="n"/>
      <c r="H420" s="75" t="n"/>
      <c r="I420" s="75" t="n"/>
      <c r="J420" s="75" t="n"/>
      <c r="K420" s="75" t="n"/>
      <c r="L420" s="75" t="n"/>
      <c r="M420" s="75" t="n"/>
      <c r="N420" s="75" t="n"/>
      <c r="O420" s="75" t="n"/>
      <c r="P420" s="75" t="n"/>
      <c r="Q420" s="75" t="n"/>
      <c r="R420" s="75" t="n"/>
      <c r="S420" s="75" t="n"/>
      <c r="T420" s="75" t="n"/>
      <c r="U420" s="75" t="n"/>
      <c r="V420" s="75" t="n"/>
      <c r="W420" s="75" t="n"/>
      <c r="X420" s="75" t="n"/>
      <c r="Y420" s="75" t="n"/>
      <c r="Z420" s="75" t="n"/>
      <c r="AA420" s="75" t="n"/>
      <c r="AB420" s="75" t="n"/>
      <c r="AC420" s="75" t="n"/>
      <c r="AD420" s="75" t="n"/>
      <c r="AE420" s="75" t="n"/>
      <c r="AF420" s="75" t="n"/>
      <c r="AG420" s="75" t="n"/>
      <c r="AH420" s="75" t="n"/>
      <c r="AI420" s="75" t="n"/>
      <c r="AJ420" s="75" t="n"/>
      <c r="AK420" s="75" t="n"/>
      <c r="AL420" s="75" t="n"/>
      <c r="AM420" s="75" t="n"/>
      <c r="AN420" s="75" t="n"/>
      <c r="AO420" s="75" t="n"/>
      <c r="AP420" s="75" t="n"/>
      <c r="AQ420" s="75" t="n"/>
      <c r="AR420" s="75" t="n"/>
      <c r="AS420" s="75" t="n"/>
      <c r="AT420" s="75" t="n"/>
      <c r="AU420" s="75" t="n"/>
      <c r="AV420" s="75" t="n"/>
      <c r="AW420" s="75" t="n"/>
      <c r="AX420" s="75" t="n"/>
      <c r="AY420" s="75" t="n"/>
      <c r="AZ420" s="75" t="n"/>
      <c r="BA420" s="75" t="n"/>
      <c r="BB420" s="75" t="n"/>
      <c r="BC420" s="75" t="n"/>
      <c r="BD420" s="75" t="n"/>
      <c r="BE420" s="75" t="n"/>
      <c r="BF420" s="75" t="n"/>
      <c r="BG420" s="75" t="n"/>
      <c r="BH420" s="75" t="n"/>
      <c r="BI420" s="75" t="n"/>
      <c r="BJ420" s="75" t="n"/>
      <c r="BK420" s="75" t="n"/>
      <c r="BL420" s="75" t="n"/>
      <c r="BM420" s="75" t="n"/>
      <c r="BN420" s="75" t="n"/>
      <c r="BO420" s="75" t="n"/>
      <c r="BP420" s="75" t="n"/>
      <c r="BQ420" s="75" t="n"/>
      <c r="BR420" s="75" t="n"/>
      <c r="BS420" s="75" t="n"/>
      <c r="BT420" s="75" t="n"/>
      <c r="BU420" s="75" t="n"/>
      <c r="BV420" s="75" t="n"/>
      <c r="BW420" s="75" t="n"/>
      <c r="BX420" s="75" t="n"/>
      <c r="BY420" s="75" t="n"/>
      <c r="BZ420" s="75" t="n"/>
      <c r="CA420" s="75" t="n"/>
      <c r="CB420" s="75" t="n"/>
      <c r="CC420" s="75" t="n"/>
      <c r="CD420" s="75" t="n"/>
      <c r="CE420" s="75" t="n"/>
      <c r="CF420" s="75" t="n"/>
      <c r="CG420" s="75" t="n"/>
      <c r="CH420" s="75" t="n"/>
      <c r="CI420" s="75" t="n"/>
      <c r="CJ420" s="75" t="n"/>
      <c r="CK420" s="75" t="n"/>
      <c r="CL420" s="75" t="n"/>
      <c r="CM420" s="75" t="n"/>
      <c r="CN420" s="75" t="n"/>
      <c r="CO420" s="75" t="n"/>
      <c r="CP420" s="75" t="n"/>
      <c r="CQ420" s="75" t="n"/>
      <c r="CR420" s="75" t="n"/>
      <c r="CS420" s="75" t="n"/>
      <c r="CT420" s="75" t="n"/>
      <c r="CU420" s="75" t="n"/>
      <c r="CV420" s="75" t="n"/>
      <c r="CW420" s="75" t="n"/>
      <c r="CX420" s="75" t="n"/>
      <c r="CY420" s="75" t="n"/>
      <c r="CZ420" s="75" t="n"/>
    </row>
    <row r="421">
      <c r="B421" s="134">
        <f>IF($A420="",0,COUNT($E421:$CZ421))</f>
        <v/>
      </c>
    </row>
    <row r="422">
      <c r="A422" s="5">
        <f>IF(MXAU!$C$7="","",MXAU!$C$7)</f>
        <v/>
      </c>
      <c r="B422" s="134">
        <f>IF($A422="",0,COUNT($E422:$CZ422))</f>
        <v/>
      </c>
      <c r="C422" s="135">
        <f>IF($A422="",0,IF($B422=0,0,MAX($E422:$CZ422)))</f>
        <v/>
      </c>
      <c r="D422" s="74">
        <f>BDS($A422,'Field Check'!$C$42,"headers=y","startcol=2","endcol=3","dir=h")</f>
        <v/>
      </c>
      <c r="E422" s="75" t="n"/>
      <c r="F422" s="75" t="n"/>
      <c r="G422" s="75" t="n"/>
      <c r="H422" s="75" t="n"/>
      <c r="I422" s="75" t="n"/>
      <c r="J422" s="75" t="n"/>
      <c r="K422" s="75" t="n"/>
      <c r="L422" s="75" t="n"/>
      <c r="M422" s="75" t="n"/>
      <c r="N422" s="75" t="n"/>
      <c r="O422" s="75" t="n"/>
      <c r="P422" s="75" t="n"/>
      <c r="Q422" s="75" t="n"/>
      <c r="R422" s="75" t="n"/>
      <c r="S422" s="75" t="n"/>
      <c r="T422" s="75" t="n"/>
      <c r="U422" s="75" t="n"/>
      <c r="V422" s="75" t="n"/>
      <c r="W422" s="75" t="n"/>
      <c r="X422" s="75" t="n"/>
      <c r="Y422" s="75" t="n"/>
      <c r="Z422" s="75" t="n"/>
      <c r="AA422" s="75" t="n"/>
      <c r="AB422" s="75" t="n"/>
      <c r="AC422" s="75" t="n"/>
      <c r="AD422" s="75" t="n"/>
      <c r="AE422" s="75" t="n"/>
      <c r="AF422" s="75" t="n"/>
      <c r="AG422" s="75" t="n"/>
      <c r="AH422" s="75" t="n"/>
      <c r="AI422" s="75" t="n"/>
      <c r="AJ422" s="75" t="n"/>
      <c r="AK422" s="75" t="n"/>
      <c r="AL422" s="75" t="n"/>
      <c r="AM422" s="75" t="n"/>
      <c r="AN422" s="75" t="n"/>
      <c r="AO422" s="75" t="n"/>
      <c r="AP422" s="75" t="n"/>
      <c r="AQ422" s="75" t="n"/>
      <c r="AR422" s="75" t="n"/>
      <c r="AS422" s="75" t="n"/>
      <c r="AT422" s="75" t="n"/>
      <c r="AU422" s="75" t="n"/>
      <c r="AV422" s="75" t="n"/>
      <c r="AW422" s="75" t="n"/>
      <c r="AX422" s="75" t="n"/>
      <c r="AY422" s="75" t="n"/>
      <c r="AZ422" s="75" t="n"/>
      <c r="BA422" s="75" t="n"/>
      <c r="BB422" s="75" t="n"/>
      <c r="BC422" s="75" t="n"/>
      <c r="BD422" s="75" t="n"/>
      <c r="BE422" s="75" t="n"/>
      <c r="BF422" s="75" t="n"/>
      <c r="BG422" s="75" t="n"/>
      <c r="BH422" s="75" t="n"/>
      <c r="BI422" s="75" t="n"/>
      <c r="BJ422" s="75" t="n"/>
      <c r="BK422" s="75" t="n"/>
      <c r="BL422" s="75" t="n"/>
      <c r="BM422" s="75" t="n"/>
      <c r="BN422" s="75" t="n"/>
      <c r="BO422" s="75" t="n"/>
      <c r="BP422" s="75" t="n"/>
      <c r="BQ422" s="75" t="n"/>
      <c r="BR422" s="75" t="n"/>
      <c r="BS422" s="75" t="n"/>
      <c r="BT422" s="75" t="n"/>
      <c r="BU422" s="75" t="n"/>
      <c r="BV422" s="75" t="n"/>
      <c r="BW422" s="75" t="n"/>
      <c r="BX422" s="75" t="n"/>
      <c r="BY422" s="75" t="n"/>
      <c r="BZ422" s="75" t="n"/>
      <c r="CA422" s="75" t="n"/>
      <c r="CB422" s="75" t="n"/>
      <c r="CC422" s="75" t="n"/>
      <c r="CD422" s="75" t="n"/>
      <c r="CE422" s="75" t="n"/>
      <c r="CF422" s="75" t="n"/>
      <c r="CG422" s="75" t="n"/>
      <c r="CH422" s="75" t="n"/>
      <c r="CI422" s="75" t="n"/>
      <c r="CJ422" s="75" t="n"/>
      <c r="CK422" s="75" t="n"/>
      <c r="CL422" s="75" t="n"/>
      <c r="CM422" s="75" t="n"/>
      <c r="CN422" s="75" t="n"/>
      <c r="CO422" s="75" t="n"/>
      <c r="CP422" s="75" t="n"/>
      <c r="CQ422" s="75" t="n"/>
      <c r="CR422" s="75" t="n"/>
      <c r="CS422" s="75" t="n"/>
      <c r="CT422" s="75" t="n"/>
      <c r="CU422" s="75" t="n"/>
      <c r="CV422" s="75" t="n"/>
      <c r="CW422" s="75" t="n"/>
      <c r="CX422" s="75" t="n"/>
      <c r="CY422" s="75" t="n"/>
      <c r="CZ422" s="75" t="n"/>
    </row>
    <row r="423">
      <c r="B423" s="134">
        <f>IF($A422="",0,COUNT($E423:$CZ423))</f>
        <v/>
      </c>
    </row>
    <row r="424">
      <c r="A424" s="5">
        <f>IF(MXAU!$C$8="","",MXAU!$C$8)</f>
        <v/>
      </c>
      <c r="B424" s="134">
        <f>IF($A424="",0,COUNT($E424:$CZ424))</f>
        <v/>
      </c>
      <c r="C424" s="135">
        <f>IF($A424="",0,IF($B424=0,0,MAX($E424:$CZ424)))</f>
        <v/>
      </c>
      <c r="D424" s="74">
        <f>BDS($A424,'Field Check'!$C$42,"headers=y","startcol=2","endcol=3","dir=h")</f>
        <v/>
      </c>
      <c r="E424" s="75" t="n"/>
      <c r="F424" s="75" t="n"/>
      <c r="G424" s="75" t="n"/>
      <c r="H424" s="75" t="n"/>
      <c r="I424" s="75" t="n"/>
      <c r="J424" s="75" t="n"/>
      <c r="K424" s="75" t="n"/>
      <c r="L424" s="75" t="n"/>
      <c r="M424" s="75" t="n"/>
      <c r="N424" s="75" t="n"/>
      <c r="O424" s="75" t="n"/>
      <c r="P424" s="75" t="n"/>
      <c r="Q424" s="75" t="n"/>
      <c r="R424" s="75" t="n"/>
      <c r="S424" s="75" t="n"/>
      <c r="T424" s="75" t="n"/>
      <c r="U424" s="75" t="n"/>
      <c r="V424" s="75" t="n"/>
      <c r="W424" s="75" t="n"/>
      <c r="X424" s="75" t="n"/>
      <c r="Y424" s="75" t="n"/>
      <c r="Z424" s="75" t="n"/>
      <c r="AA424" s="75" t="n"/>
      <c r="AB424" s="75" t="n"/>
      <c r="AC424" s="75" t="n"/>
      <c r="AD424" s="75" t="n"/>
      <c r="AE424" s="75" t="n"/>
      <c r="AF424" s="75" t="n"/>
      <c r="AG424" s="75" t="n"/>
      <c r="AH424" s="75" t="n"/>
      <c r="AI424" s="75" t="n"/>
      <c r="AJ424" s="75" t="n"/>
      <c r="AK424" s="75" t="n"/>
      <c r="AL424" s="75" t="n"/>
      <c r="AM424" s="75" t="n"/>
      <c r="AN424" s="75" t="n"/>
      <c r="AO424" s="75" t="n"/>
      <c r="AP424" s="75" t="n"/>
      <c r="AQ424" s="75" t="n"/>
      <c r="AR424" s="75" t="n"/>
      <c r="AS424" s="75" t="n"/>
      <c r="AT424" s="75" t="n"/>
      <c r="AU424" s="75" t="n"/>
      <c r="AV424" s="75" t="n"/>
      <c r="AW424" s="75" t="n"/>
      <c r="AX424" s="75" t="n"/>
      <c r="AY424" s="75" t="n"/>
      <c r="AZ424" s="75" t="n"/>
      <c r="BA424" s="75" t="n"/>
      <c r="BB424" s="75" t="n"/>
      <c r="BC424" s="75" t="n"/>
      <c r="BD424" s="75" t="n"/>
      <c r="BE424" s="75" t="n"/>
      <c r="BF424" s="75" t="n"/>
      <c r="BG424" s="75" t="n"/>
      <c r="BH424" s="75" t="n"/>
      <c r="BI424" s="75" t="n"/>
      <c r="BJ424" s="75" t="n"/>
      <c r="BK424" s="75" t="n"/>
      <c r="BL424" s="75" t="n"/>
      <c r="BM424" s="75" t="n"/>
      <c r="BN424" s="75" t="n"/>
      <c r="BO424" s="75" t="n"/>
      <c r="BP424" s="75" t="n"/>
      <c r="BQ424" s="75" t="n"/>
      <c r="BR424" s="75" t="n"/>
      <c r="BS424" s="75" t="n"/>
      <c r="BT424" s="75" t="n"/>
      <c r="BU424" s="75" t="n"/>
      <c r="BV424" s="75" t="n"/>
      <c r="BW424" s="75" t="n"/>
      <c r="BX424" s="75" t="n"/>
      <c r="BY424" s="75" t="n"/>
      <c r="BZ424" s="75" t="n"/>
      <c r="CA424" s="75" t="n"/>
      <c r="CB424" s="75" t="n"/>
      <c r="CC424" s="75" t="n"/>
      <c r="CD424" s="75" t="n"/>
      <c r="CE424" s="75" t="n"/>
      <c r="CF424" s="75" t="n"/>
      <c r="CG424" s="75" t="n"/>
      <c r="CH424" s="75" t="n"/>
      <c r="CI424" s="75" t="n"/>
      <c r="CJ424" s="75" t="n"/>
      <c r="CK424" s="75" t="n"/>
      <c r="CL424" s="75" t="n"/>
      <c r="CM424" s="75" t="n"/>
      <c r="CN424" s="75" t="n"/>
      <c r="CO424" s="75" t="n"/>
      <c r="CP424" s="75" t="n"/>
      <c r="CQ424" s="75" t="n"/>
      <c r="CR424" s="75" t="n"/>
      <c r="CS424" s="75" t="n"/>
      <c r="CT424" s="75" t="n"/>
      <c r="CU424" s="75" t="n"/>
      <c r="CV424" s="75" t="n"/>
      <c r="CW424" s="75" t="n"/>
      <c r="CX424" s="75" t="n"/>
      <c r="CY424" s="75" t="n"/>
      <c r="CZ424" s="75" t="n"/>
    </row>
    <row r="425">
      <c r="B425" s="134">
        <f>IF($A424="",0,COUNT($E425:$CZ425))</f>
        <v/>
      </c>
    </row>
    <row r="426">
      <c r="A426" s="5">
        <f>IF(MXAU!$C$9="","",MXAU!$C$9)</f>
        <v/>
      </c>
      <c r="B426" s="134">
        <f>IF($A426="",0,COUNT($E426:$CZ426))</f>
        <v/>
      </c>
      <c r="C426" s="135">
        <f>IF($A426="",0,IF($B426=0,0,MAX($E426:$CZ426)))</f>
        <v/>
      </c>
      <c r="D426" s="74">
        <f>BDS($A426,'Field Check'!$C$42,"headers=y","startcol=2","endcol=3","dir=h")</f>
        <v/>
      </c>
      <c r="E426" s="75" t="n"/>
      <c r="F426" s="75" t="n"/>
      <c r="G426" s="75" t="n"/>
      <c r="H426" s="75" t="n"/>
      <c r="I426" s="75" t="n"/>
      <c r="J426" s="75" t="n"/>
      <c r="K426" s="75" t="n"/>
      <c r="L426" s="75" t="n"/>
      <c r="M426" s="75" t="n"/>
      <c r="N426" s="75" t="n"/>
      <c r="O426" s="75" t="n"/>
      <c r="P426" s="75" t="n"/>
      <c r="Q426" s="75" t="n"/>
      <c r="R426" s="75" t="n"/>
      <c r="S426" s="75" t="n"/>
      <c r="T426" s="75" t="n"/>
      <c r="U426" s="75" t="n"/>
      <c r="V426" s="75" t="n"/>
      <c r="W426" s="75" t="n"/>
      <c r="X426" s="75" t="n"/>
      <c r="Y426" s="75" t="n"/>
      <c r="Z426" s="75" t="n"/>
      <c r="AA426" s="75" t="n"/>
      <c r="AB426" s="75" t="n"/>
      <c r="AC426" s="75" t="n"/>
      <c r="AD426" s="75" t="n"/>
      <c r="AE426" s="75" t="n"/>
      <c r="AF426" s="75" t="n"/>
      <c r="AG426" s="75" t="n"/>
      <c r="AH426" s="75" t="n"/>
      <c r="AI426" s="75" t="n"/>
      <c r="AJ426" s="75" t="n"/>
      <c r="AK426" s="75" t="n"/>
      <c r="AL426" s="75" t="n"/>
      <c r="AM426" s="75" t="n"/>
      <c r="AN426" s="75" t="n"/>
      <c r="AO426" s="75" t="n"/>
      <c r="AP426" s="75" t="n"/>
      <c r="AQ426" s="75" t="n"/>
      <c r="AR426" s="75" t="n"/>
      <c r="AS426" s="75" t="n"/>
      <c r="AT426" s="75" t="n"/>
      <c r="AU426" s="75" t="n"/>
      <c r="AV426" s="75" t="n"/>
      <c r="AW426" s="75" t="n"/>
      <c r="AX426" s="75" t="n"/>
      <c r="AY426" s="75" t="n"/>
      <c r="AZ426" s="75" t="n"/>
      <c r="BA426" s="75" t="n"/>
      <c r="BB426" s="75" t="n"/>
      <c r="BC426" s="75" t="n"/>
      <c r="BD426" s="75" t="n"/>
      <c r="BE426" s="75" t="n"/>
      <c r="BF426" s="75" t="n"/>
      <c r="BG426" s="75" t="n"/>
      <c r="BH426" s="75" t="n"/>
      <c r="BI426" s="75" t="n"/>
      <c r="BJ426" s="75" t="n"/>
      <c r="BK426" s="75" t="n"/>
      <c r="BL426" s="75" t="n"/>
      <c r="BM426" s="75" t="n"/>
      <c r="BN426" s="75" t="n"/>
      <c r="BO426" s="75" t="n"/>
      <c r="BP426" s="75" t="n"/>
      <c r="BQ426" s="75" t="n"/>
      <c r="BR426" s="75" t="n"/>
      <c r="BS426" s="75" t="n"/>
      <c r="BT426" s="75" t="n"/>
      <c r="BU426" s="75" t="n"/>
      <c r="BV426" s="75" t="n"/>
      <c r="BW426" s="75" t="n"/>
      <c r="BX426" s="75" t="n"/>
      <c r="BY426" s="75" t="n"/>
      <c r="BZ426" s="75" t="n"/>
      <c r="CA426" s="75" t="n"/>
      <c r="CB426" s="75" t="n"/>
      <c r="CC426" s="75" t="n"/>
      <c r="CD426" s="75" t="n"/>
      <c r="CE426" s="75" t="n"/>
      <c r="CF426" s="75" t="n"/>
      <c r="CG426" s="75" t="n"/>
      <c r="CH426" s="75" t="n"/>
      <c r="CI426" s="75" t="n"/>
      <c r="CJ426" s="75" t="n"/>
      <c r="CK426" s="75" t="n"/>
      <c r="CL426" s="75" t="n"/>
      <c r="CM426" s="75" t="n"/>
      <c r="CN426" s="75" t="n"/>
      <c r="CO426" s="75" t="n"/>
      <c r="CP426" s="75" t="n"/>
      <c r="CQ426" s="75" t="n"/>
      <c r="CR426" s="75" t="n"/>
      <c r="CS426" s="75" t="n"/>
      <c r="CT426" s="75" t="n"/>
      <c r="CU426" s="75" t="n"/>
      <c r="CV426" s="75" t="n"/>
      <c r="CW426" s="75" t="n"/>
      <c r="CX426" s="75" t="n"/>
      <c r="CY426" s="75" t="n"/>
      <c r="CZ426" s="75" t="n"/>
    </row>
    <row r="427">
      <c r="B427" s="134">
        <f>IF($A426="",0,COUNT($E427:$CZ427))</f>
        <v/>
      </c>
    </row>
    <row r="428">
      <c r="A428" s="5">
        <f>IF(MXAU!$C$10="","",MXAU!$C$10)</f>
        <v/>
      </c>
      <c r="B428" s="134">
        <f>IF($A428="",0,COUNT($E428:$CZ428))</f>
        <v/>
      </c>
      <c r="C428" s="135">
        <f>IF($A428="",0,IF($B428=0,0,MAX($E428:$CZ428)))</f>
        <v/>
      </c>
      <c r="D428" s="74">
        <f>BDS($A428,'Field Check'!$C$42,"headers=y","startcol=2","endcol=3","dir=h")</f>
        <v/>
      </c>
      <c r="E428" s="75" t="n"/>
      <c r="F428" s="75" t="n"/>
      <c r="G428" s="75" t="n"/>
      <c r="H428" s="75" t="n"/>
      <c r="I428" s="75" t="n"/>
      <c r="J428" s="75" t="n"/>
      <c r="K428" s="75" t="n"/>
      <c r="L428" s="75" t="n"/>
      <c r="M428" s="75" t="n"/>
      <c r="N428" s="75" t="n"/>
      <c r="O428" s="75" t="n"/>
      <c r="P428" s="75" t="n"/>
      <c r="Q428" s="75" t="n"/>
      <c r="R428" s="75" t="n"/>
      <c r="S428" s="75" t="n"/>
      <c r="T428" s="75" t="n"/>
      <c r="U428" s="75" t="n"/>
      <c r="V428" s="75" t="n"/>
      <c r="W428" s="75" t="n"/>
      <c r="X428" s="75" t="n"/>
      <c r="Y428" s="75" t="n"/>
      <c r="Z428" s="75" t="n"/>
      <c r="AA428" s="75" t="n"/>
      <c r="AB428" s="75" t="n"/>
      <c r="AC428" s="75" t="n"/>
      <c r="AD428" s="75" t="n"/>
      <c r="AE428" s="75" t="n"/>
      <c r="AF428" s="75" t="n"/>
      <c r="AG428" s="75" t="n"/>
      <c r="AH428" s="75" t="n"/>
      <c r="AI428" s="75" t="n"/>
      <c r="AJ428" s="75" t="n"/>
      <c r="AK428" s="75" t="n"/>
      <c r="AL428" s="75" t="n"/>
      <c r="AM428" s="75" t="n"/>
      <c r="AN428" s="75" t="n"/>
      <c r="AO428" s="75" t="n"/>
      <c r="AP428" s="75" t="n"/>
      <c r="AQ428" s="75" t="n"/>
      <c r="AR428" s="75" t="n"/>
      <c r="AS428" s="75" t="n"/>
      <c r="AT428" s="75" t="n"/>
      <c r="AU428" s="75" t="n"/>
      <c r="AV428" s="75" t="n"/>
      <c r="AW428" s="75" t="n"/>
      <c r="AX428" s="75" t="n"/>
      <c r="AY428" s="75" t="n"/>
      <c r="AZ428" s="75" t="n"/>
      <c r="BA428" s="75" t="n"/>
      <c r="BB428" s="75" t="n"/>
      <c r="BC428" s="75" t="n"/>
      <c r="BD428" s="75" t="n"/>
      <c r="BE428" s="75" t="n"/>
      <c r="BF428" s="75" t="n"/>
      <c r="BG428" s="75" t="n"/>
      <c r="BH428" s="75" t="n"/>
      <c r="BI428" s="75" t="n"/>
      <c r="BJ428" s="75" t="n"/>
      <c r="BK428" s="75" t="n"/>
      <c r="BL428" s="75" t="n"/>
      <c r="BM428" s="75" t="n"/>
      <c r="BN428" s="75" t="n"/>
      <c r="BO428" s="75" t="n"/>
      <c r="BP428" s="75" t="n"/>
      <c r="BQ428" s="75" t="n"/>
      <c r="BR428" s="75" t="n"/>
      <c r="BS428" s="75" t="n"/>
      <c r="BT428" s="75" t="n"/>
      <c r="BU428" s="75" t="n"/>
      <c r="BV428" s="75" t="n"/>
      <c r="BW428" s="75" t="n"/>
      <c r="BX428" s="75" t="n"/>
      <c r="BY428" s="75" t="n"/>
      <c r="BZ428" s="75" t="n"/>
      <c r="CA428" s="75" t="n"/>
      <c r="CB428" s="75" t="n"/>
      <c r="CC428" s="75" t="n"/>
      <c r="CD428" s="75" t="n"/>
      <c r="CE428" s="75" t="n"/>
      <c r="CF428" s="75" t="n"/>
      <c r="CG428" s="75" t="n"/>
      <c r="CH428" s="75" t="n"/>
      <c r="CI428" s="75" t="n"/>
      <c r="CJ428" s="75" t="n"/>
      <c r="CK428" s="75" t="n"/>
      <c r="CL428" s="75" t="n"/>
      <c r="CM428" s="75" t="n"/>
      <c r="CN428" s="75" t="n"/>
      <c r="CO428" s="75" t="n"/>
      <c r="CP428" s="75" t="n"/>
      <c r="CQ428" s="75" t="n"/>
      <c r="CR428" s="75" t="n"/>
      <c r="CS428" s="75" t="n"/>
      <c r="CT428" s="75" t="n"/>
      <c r="CU428" s="75" t="n"/>
      <c r="CV428" s="75" t="n"/>
      <c r="CW428" s="75" t="n"/>
      <c r="CX428" s="75" t="n"/>
      <c r="CY428" s="75" t="n"/>
      <c r="CZ428" s="75" t="n"/>
    </row>
    <row r="429">
      <c r="B429" s="134">
        <f>IF($A428="",0,COUNT($E429:$CZ429))</f>
        <v/>
      </c>
    </row>
    <row r="430">
      <c r="A430" s="5">
        <f>IF(MXAU!$C$11="","",MXAU!$C$11)</f>
        <v/>
      </c>
      <c r="B430" s="134">
        <f>IF($A430="",0,COUNT($E430:$CZ430))</f>
        <v/>
      </c>
      <c r="C430" s="135">
        <f>IF($A430="",0,IF($B430=0,0,MAX($E430:$CZ430)))</f>
        <v/>
      </c>
      <c r="D430" s="74">
        <f>BDS($A430,'Field Check'!$C$42,"headers=y","startcol=2","endcol=3","dir=h")</f>
        <v/>
      </c>
      <c r="E430" s="75" t="n"/>
      <c r="F430" s="75" t="n"/>
      <c r="G430" s="75" t="n"/>
      <c r="H430" s="75" t="n"/>
      <c r="I430" s="75" t="n"/>
      <c r="J430" s="75" t="n"/>
      <c r="K430" s="75" t="n"/>
      <c r="L430" s="75" t="n"/>
      <c r="M430" s="75" t="n"/>
      <c r="N430" s="75" t="n"/>
      <c r="O430" s="75" t="n"/>
      <c r="P430" s="75" t="n"/>
      <c r="Q430" s="75" t="n"/>
      <c r="R430" s="75" t="n"/>
      <c r="S430" s="75" t="n"/>
      <c r="T430" s="75" t="n"/>
      <c r="U430" s="75" t="n"/>
      <c r="V430" s="75" t="n"/>
      <c r="W430" s="75" t="n"/>
      <c r="X430" s="75" t="n"/>
      <c r="Y430" s="75" t="n"/>
      <c r="Z430" s="75" t="n"/>
      <c r="AA430" s="75" t="n"/>
      <c r="AB430" s="75" t="n"/>
      <c r="AC430" s="75" t="n"/>
      <c r="AD430" s="75" t="n"/>
      <c r="AE430" s="75" t="n"/>
      <c r="AF430" s="75" t="n"/>
      <c r="AG430" s="75" t="n"/>
      <c r="AH430" s="75" t="n"/>
      <c r="AI430" s="75" t="n"/>
      <c r="AJ430" s="75" t="n"/>
      <c r="AK430" s="75" t="n"/>
      <c r="AL430" s="75" t="n"/>
      <c r="AM430" s="75" t="n"/>
      <c r="AN430" s="75" t="n"/>
      <c r="AO430" s="75" t="n"/>
      <c r="AP430" s="75" t="n"/>
      <c r="AQ430" s="75" t="n"/>
      <c r="AR430" s="75" t="n"/>
      <c r="AS430" s="75" t="n"/>
      <c r="AT430" s="75" t="n"/>
      <c r="AU430" s="75" t="n"/>
      <c r="AV430" s="75" t="n"/>
      <c r="AW430" s="75" t="n"/>
      <c r="AX430" s="75" t="n"/>
      <c r="AY430" s="75" t="n"/>
      <c r="AZ430" s="75" t="n"/>
      <c r="BA430" s="75" t="n"/>
      <c r="BB430" s="75" t="n"/>
      <c r="BC430" s="75" t="n"/>
      <c r="BD430" s="75" t="n"/>
      <c r="BE430" s="75" t="n"/>
      <c r="BF430" s="75" t="n"/>
      <c r="BG430" s="75" t="n"/>
      <c r="BH430" s="75" t="n"/>
      <c r="BI430" s="75" t="n"/>
      <c r="BJ430" s="75" t="n"/>
      <c r="BK430" s="75" t="n"/>
      <c r="BL430" s="75" t="n"/>
      <c r="BM430" s="75" t="n"/>
      <c r="BN430" s="75" t="n"/>
      <c r="BO430" s="75" t="n"/>
      <c r="BP430" s="75" t="n"/>
      <c r="BQ430" s="75" t="n"/>
      <c r="BR430" s="75" t="n"/>
      <c r="BS430" s="75" t="n"/>
      <c r="BT430" s="75" t="n"/>
      <c r="BU430" s="75" t="n"/>
      <c r="BV430" s="75" t="n"/>
      <c r="BW430" s="75" t="n"/>
      <c r="BX430" s="75" t="n"/>
      <c r="BY430" s="75" t="n"/>
      <c r="BZ430" s="75" t="n"/>
      <c r="CA430" s="75" t="n"/>
      <c r="CB430" s="75" t="n"/>
      <c r="CC430" s="75" t="n"/>
      <c r="CD430" s="75" t="n"/>
      <c r="CE430" s="75" t="n"/>
      <c r="CF430" s="75" t="n"/>
      <c r="CG430" s="75" t="n"/>
      <c r="CH430" s="75" t="n"/>
      <c r="CI430" s="75" t="n"/>
      <c r="CJ430" s="75" t="n"/>
      <c r="CK430" s="75" t="n"/>
      <c r="CL430" s="75" t="n"/>
      <c r="CM430" s="75" t="n"/>
      <c r="CN430" s="75" t="n"/>
      <c r="CO430" s="75" t="n"/>
      <c r="CP430" s="75" t="n"/>
      <c r="CQ430" s="75" t="n"/>
      <c r="CR430" s="75" t="n"/>
      <c r="CS430" s="75" t="n"/>
      <c r="CT430" s="75" t="n"/>
      <c r="CU430" s="75" t="n"/>
      <c r="CV430" s="75" t="n"/>
      <c r="CW430" s="75" t="n"/>
      <c r="CX430" s="75" t="n"/>
      <c r="CY430" s="75" t="n"/>
      <c r="CZ430" s="75" t="n"/>
    </row>
    <row r="431">
      <c r="B431" s="134">
        <f>IF($A430="",0,COUNT($E431:$CZ431))</f>
        <v/>
      </c>
    </row>
    <row r="432">
      <c r="A432" s="5">
        <f>IF(MXAU!$C$12="","",MXAU!$C$12)</f>
        <v/>
      </c>
      <c r="B432" s="134">
        <f>IF($A432="",0,COUNT($E432:$CZ432))</f>
        <v/>
      </c>
      <c r="C432" s="135">
        <f>IF($A432="",0,IF($B432=0,0,MAX($E432:$CZ432)))</f>
        <v/>
      </c>
      <c r="D432" s="74">
        <f>BDS($A432,'Field Check'!$C$42,"headers=y","startcol=2","endcol=3","dir=h")</f>
        <v/>
      </c>
      <c r="E432" s="75" t="n"/>
      <c r="F432" s="75" t="n"/>
      <c r="G432" s="75" t="n"/>
      <c r="H432" s="75" t="n"/>
      <c r="I432" s="75" t="n"/>
      <c r="J432" s="75" t="n"/>
      <c r="K432" s="75" t="n"/>
      <c r="L432" s="75" t="n"/>
      <c r="M432" s="75" t="n"/>
      <c r="N432" s="75" t="n"/>
      <c r="O432" s="75" t="n"/>
      <c r="P432" s="75" t="n"/>
      <c r="Q432" s="75" t="n"/>
      <c r="R432" s="75" t="n"/>
      <c r="S432" s="75" t="n"/>
      <c r="T432" s="75" t="n"/>
      <c r="U432" s="75" t="n"/>
      <c r="V432" s="75" t="n"/>
      <c r="W432" s="75" t="n"/>
      <c r="X432" s="75" t="n"/>
      <c r="Y432" s="75" t="n"/>
      <c r="Z432" s="75" t="n"/>
      <c r="AA432" s="75" t="n"/>
      <c r="AB432" s="75" t="n"/>
      <c r="AC432" s="75" t="n"/>
      <c r="AD432" s="75" t="n"/>
      <c r="AE432" s="75" t="n"/>
      <c r="AF432" s="75" t="n"/>
      <c r="AG432" s="75" t="n"/>
      <c r="AH432" s="75" t="n"/>
      <c r="AI432" s="75" t="n"/>
      <c r="AJ432" s="75" t="n"/>
      <c r="AK432" s="75" t="n"/>
      <c r="AL432" s="75" t="n"/>
      <c r="AM432" s="75" t="n"/>
      <c r="AN432" s="75" t="n"/>
      <c r="AO432" s="75" t="n"/>
      <c r="AP432" s="75" t="n"/>
      <c r="AQ432" s="75" t="n"/>
      <c r="AR432" s="75" t="n"/>
      <c r="AS432" s="75" t="n"/>
      <c r="AT432" s="75" t="n"/>
      <c r="AU432" s="75" t="n"/>
      <c r="AV432" s="75" t="n"/>
      <c r="AW432" s="75" t="n"/>
      <c r="AX432" s="75" t="n"/>
      <c r="AY432" s="75" t="n"/>
      <c r="AZ432" s="75" t="n"/>
      <c r="BA432" s="75" t="n"/>
      <c r="BB432" s="75" t="n"/>
      <c r="BC432" s="75" t="n"/>
      <c r="BD432" s="75" t="n"/>
      <c r="BE432" s="75" t="n"/>
      <c r="BF432" s="75" t="n"/>
      <c r="BG432" s="75" t="n"/>
      <c r="BH432" s="75" t="n"/>
      <c r="BI432" s="75" t="n"/>
      <c r="BJ432" s="75" t="n"/>
      <c r="BK432" s="75" t="n"/>
      <c r="BL432" s="75" t="n"/>
      <c r="BM432" s="75" t="n"/>
      <c r="BN432" s="75" t="n"/>
      <c r="BO432" s="75" t="n"/>
      <c r="BP432" s="75" t="n"/>
      <c r="BQ432" s="75" t="n"/>
      <c r="BR432" s="75" t="n"/>
      <c r="BS432" s="75" t="n"/>
      <c r="BT432" s="75" t="n"/>
      <c r="BU432" s="75" t="n"/>
      <c r="BV432" s="75" t="n"/>
      <c r="BW432" s="75" t="n"/>
      <c r="BX432" s="75" t="n"/>
      <c r="BY432" s="75" t="n"/>
      <c r="BZ432" s="75" t="n"/>
      <c r="CA432" s="75" t="n"/>
      <c r="CB432" s="75" t="n"/>
      <c r="CC432" s="75" t="n"/>
      <c r="CD432" s="75" t="n"/>
      <c r="CE432" s="75" t="n"/>
      <c r="CF432" s="75" t="n"/>
      <c r="CG432" s="75" t="n"/>
      <c r="CH432" s="75" t="n"/>
      <c r="CI432" s="75" t="n"/>
      <c r="CJ432" s="75" t="n"/>
      <c r="CK432" s="75" t="n"/>
      <c r="CL432" s="75" t="n"/>
      <c r="CM432" s="75" t="n"/>
      <c r="CN432" s="75" t="n"/>
      <c r="CO432" s="75" t="n"/>
      <c r="CP432" s="75" t="n"/>
      <c r="CQ432" s="75" t="n"/>
      <c r="CR432" s="75" t="n"/>
      <c r="CS432" s="75" t="n"/>
      <c r="CT432" s="75" t="n"/>
      <c r="CU432" s="75" t="n"/>
      <c r="CV432" s="75" t="n"/>
      <c r="CW432" s="75" t="n"/>
      <c r="CX432" s="75" t="n"/>
      <c r="CY432" s="75" t="n"/>
      <c r="CZ432" s="75" t="n"/>
    </row>
    <row r="433">
      <c r="B433" s="134">
        <f>IF($A432="",0,COUNT($E433:$CZ433))</f>
        <v/>
      </c>
    </row>
    <row r="434">
      <c r="A434" s="5">
        <f>IF(MXAU!$C$13="","",MXAU!$C$13)</f>
        <v/>
      </c>
      <c r="B434" s="134">
        <f>IF($A434="",0,COUNT($E434:$CZ434))</f>
        <v/>
      </c>
      <c r="C434" s="135">
        <f>IF($A434="",0,IF($B434=0,0,MAX($E434:$CZ434)))</f>
        <v/>
      </c>
      <c r="D434" s="74">
        <f>BDS($A434,'Field Check'!$C$42,"headers=y","startcol=2","endcol=3","dir=h")</f>
        <v/>
      </c>
      <c r="E434" s="75" t="n"/>
      <c r="F434" s="75" t="n"/>
      <c r="G434" s="75" t="n"/>
      <c r="H434" s="75" t="n"/>
      <c r="I434" s="75" t="n"/>
      <c r="J434" s="75" t="n"/>
      <c r="K434" s="75" t="n"/>
      <c r="L434" s="75" t="n"/>
      <c r="M434" s="75" t="n"/>
      <c r="N434" s="75" t="n"/>
      <c r="O434" s="75" t="n"/>
      <c r="P434" s="75" t="n"/>
      <c r="Q434" s="75" t="n"/>
      <c r="R434" s="75" t="n"/>
      <c r="S434" s="75" t="n"/>
      <c r="T434" s="75" t="n"/>
      <c r="U434" s="75" t="n"/>
      <c r="V434" s="75" t="n"/>
      <c r="W434" s="75" t="n"/>
      <c r="X434" s="75" t="n"/>
      <c r="Y434" s="75" t="n"/>
      <c r="Z434" s="75" t="n"/>
      <c r="AA434" s="75" t="n"/>
      <c r="AB434" s="75" t="n"/>
      <c r="AC434" s="75" t="n"/>
      <c r="AD434" s="75" t="n"/>
      <c r="AE434" s="75" t="n"/>
      <c r="AF434" s="75" t="n"/>
      <c r="AG434" s="75" t="n"/>
      <c r="AH434" s="75" t="n"/>
      <c r="AI434" s="75" t="n"/>
      <c r="AJ434" s="75" t="n"/>
      <c r="AK434" s="75" t="n"/>
      <c r="AL434" s="75" t="n"/>
      <c r="AM434" s="75" t="n"/>
      <c r="AN434" s="75" t="n"/>
      <c r="AO434" s="75" t="n"/>
      <c r="AP434" s="75" t="n"/>
      <c r="AQ434" s="75" t="n"/>
      <c r="AR434" s="75" t="n"/>
      <c r="AS434" s="75" t="n"/>
      <c r="AT434" s="75" t="n"/>
      <c r="AU434" s="75" t="n"/>
      <c r="AV434" s="75" t="n"/>
      <c r="AW434" s="75" t="n"/>
      <c r="AX434" s="75" t="n"/>
      <c r="AY434" s="75" t="n"/>
      <c r="AZ434" s="75" t="n"/>
      <c r="BA434" s="75" t="n"/>
      <c r="BB434" s="75" t="n"/>
      <c r="BC434" s="75" t="n"/>
      <c r="BD434" s="75" t="n"/>
      <c r="BE434" s="75" t="n"/>
      <c r="BF434" s="75" t="n"/>
      <c r="BG434" s="75" t="n"/>
      <c r="BH434" s="75" t="n"/>
      <c r="BI434" s="75" t="n"/>
      <c r="BJ434" s="75" t="n"/>
      <c r="BK434" s="75" t="n"/>
      <c r="BL434" s="75" t="n"/>
      <c r="BM434" s="75" t="n"/>
      <c r="BN434" s="75" t="n"/>
      <c r="BO434" s="75" t="n"/>
      <c r="BP434" s="75" t="n"/>
      <c r="BQ434" s="75" t="n"/>
      <c r="BR434" s="75" t="n"/>
      <c r="BS434" s="75" t="n"/>
      <c r="BT434" s="75" t="n"/>
      <c r="BU434" s="75" t="n"/>
      <c r="BV434" s="75" t="n"/>
      <c r="BW434" s="75" t="n"/>
      <c r="BX434" s="75" t="n"/>
      <c r="BY434" s="75" t="n"/>
      <c r="BZ434" s="75" t="n"/>
      <c r="CA434" s="75" t="n"/>
      <c r="CB434" s="75" t="n"/>
      <c r="CC434" s="75" t="n"/>
      <c r="CD434" s="75" t="n"/>
      <c r="CE434" s="75" t="n"/>
      <c r="CF434" s="75" t="n"/>
      <c r="CG434" s="75" t="n"/>
      <c r="CH434" s="75" t="n"/>
      <c r="CI434" s="75" t="n"/>
      <c r="CJ434" s="75" t="n"/>
      <c r="CK434" s="75" t="n"/>
      <c r="CL434" s="75" t="n"/>
      <c r="CM434" s="75" t="n"/>
      <c r="CN434" s="75" t="n"/>
      <c r="CO434" s="75" t="n"/>
      <c r="CP434" s="75" t="n"/>
      <c r="CQ434" s="75" t="n"/>
      <c r="CR434" s="75" t="n"/>
      <c r="CS434" s="75" t="n"/>
      <c r="CT434" s="75" t="n"/>
      <c r="CU434" s="75" t="n"/>
      <c r="CV434" s="75" t="n"/>
      <c r="CW434" s="75" t="n"/>
      <c r="CX434" s="75" t="n"/>
      <c r="CY434" s="75" t="n"/>
      <c r="CZ434" s="75" t="n"/>
    </row>
    <row r="435">
      <c r="B435" s="134">
        <f>IF($A434="",0,COUNT($E435:$CZ435))</f>
        <v/>
      </c>
    </row>
    <row r="436">
      <c r="A436" s="5">
        <f>IF(MXAU!$C$14="","",MXAU!$C$14)</f>
        <v/>
      </c>
      <c r="B436" s="134">
        <f>IF($A436="",0,COUNT($E436:$CZ436))</f>
        <v/>
      </c>
      <c r="C436" s="135">
        <f>IF($A436="",0,IF($B436=0,0,MAX($E436:$CZ436)))</f>
        <v/>
      </c>
      <c r="D436" s="74">
        <f>BDS($A436,'Field Check'!$C$42,"headers=y","startcol=2","endcol=3","dir=h")</f>
        <v/>
      </c>
      <c r="E436" s="75" t="n"/>
      <c r="F436" s="75" t="n"/>
      <c r="G436" s="75" t="n"/>
      <c r="H436" s="75" t="n"/>
      <c r="I436" s="75" t="n"/>
      <c r="J436" s="75" t="n"/>
      <c r="K436" s="75" t="n"/>
      <c r="L436" s="75" t="n"/>
      <c r="M436" s="75" t="n"/>
      <c r="N436" s="75" t="n"/>
      <c r="O436" s="75" t="n"/>
      <c r="P436" s="75" t="n"/>
      <c r="Q436" s="75" t="n"/>
      <c r="R436" s="75" t="n"/>
      <c r="S436" s="75" t="n"/>
      <c r="T436" s="75" t="n"/>
      <c r="U436" s="75" t="n"/>
      <c r="V436" s="75" t="n"/>
      <c r="W436" s="75" t="n"/>
      <c r="X436" s="75" t="n"/>
      <c r="Y436" s="75" t="n"/>
      <c r="Z436" s="75" t="n"/>
      <c r="AA436" s="75" t="n"/>
      <c r="AB436" s="75" t="n"/>
      <c r="AC436" s="75" t="n"/>
      <c r="AD436" s="75" t="n"/>
      <c r="AE436" s="75" t="n"/>
      <c r="AF436" s="75" t="n"/>
      <c r="AG436" s="75" t="n"/>
      <c r="AH436" s="75" t="n"/>
      <c r="AI436" s="75" t="n"/>
      <c r="AJ436" s="75" t="n"/>
      <c r="AK436" s="75" t="n"/>
      <c r="AL436" s="75" t="n"/>
      <c r="AM436" s="75" t="n"/>
      <c r="AN436" s="75" t="n"/>
      <c r="AO436" s="75" t="n"/>
      <c r="AP436" s="75" t="n"/>
      <c r="AQ436" s="75" t="n"/>
      <c r="AR436" s="75" t="n"/>
      <c r="AS436" s="75" t="n"/>
      <c r="AT436" s="75" t="n"/>
      <c r="AU436" s="75" t="n"/>
      <c r="AV436" s="75" t="n"/>
      <c r="AW436" s="75" t="n"/>
      <c r="AX436" s="75" t="n"/>
      <c r="AY436" s="75" t="n"/>
      <c r="AZ436" s="75" t="n"/>
      <c r="BA436" s="75" t="n"/>
      <c r="BB436" s="75" t="n"/>
      <c r="BC436" s="75" t="n"/>
      <c r="BD436" s="75" t="n"/>
      <c r="BE436" s="75" t="n"/>
      <c r="BF436" s="75" t="n"/>
      <c r="BG436" s="75" t="n"/>
      <c r="BH436" s="75" t="n"/>
      <c r="BI436" s="75" t="n"/>
      <c r="BJ436" s="75" t="n"/>
      <c r="BK436" s="75" t="n"/>
      <c r="BL436" s="75" t="n"/>
      <c r="BM436" s="75" t="n"/>
      <c r="BN436" s="75" t="n"/>
      <c r="BO436" s="75" t="n"/>
      <c r="BP436" s="75" t="n"/>
      <c r="BQ436" s="75" t="n"/>
      <c r="BR436" s="75" t="n"/>
      <c r="BS436" s="75" t="n"/>
      <c r="BT436" s="75" t="n"/>
      <c r="BU436" s="75" t="n"/>
      <c r="BV436" s="75" t="n"/>
      <c r="BW436" s="75" t="n"/>
      <c r="BX436" s="75" t="n"/>
      <c r="BY436" s="75" t="n"/>
      <c r="BZ436" s="75" t="n"/>
      <c r="CA436" s="75" t="n"/>
      <c r="CB436" s="75" t="n"/>
      <c r="CC436" s="75" t="n"/>
      <c r="CD436" s="75" t="n"/>
      <c r="CE436" s="75" t="n"/>
      <c r="CF436" s="75" t="n"/>
      <c r="CG436" s="75" t="n"/>
      <c r="CH436" s="75" t="n"/>
      <c r="CI436" s="75" t="n"/>
      <c r="CJ436" s="75" t="n"/>
      <c r="CK436" s="75" t="n"/>
      <c r="CL436" s="75" t="n"/>
      <c r="CM436" s="75" t="n"/>
      <c r="CN436" s="75" t="n"/>
      <c r="CO436" s="75" t="n"/>
      <c r="CP436" s="75" t="n"/>
      <c r="CQ436" s="75" t="n"/>
      <c r="CR436" s="75" t="n"/>
      <c r="CS436" s="75" t="n"/>
      <c r="CT436" s="75" t="n"/>
      <c r="CU436" s="75" t="n"/>
      <c r="CV436" s="75" t="n"/>
      <c r="CW436" s="75" t="n"/>
      <c r="CX436" s="75" t="n"/>
      <c r="CY436" s="75" t="n"/>
      <c r="CZ436" s="75" t="n"/>
    </row>
    <row r="437">
      <c r="B437" s="134">
        <f>IF($A436="",0,COUNT($E437:$CZ437))</f>
        <v/>
      </c>
    </row>
    <row r="438">
      <c r="A438" s="5">
        <f>IF(MXAU!$C$15="","",MXAU!$C$15)</f>
        <v/>
      </c>
      <c r="B438" s="134">
        <f>IF($A438="",0,COUNT($E438:$CZ438))</f>
        <v/>
      </c>
      <c r="C438" s="135">
        <f>IF($A438="",0,IF($B438=0,0,MAX($E438:$CZ438)))</f>
        <v/>
      </c>
      <c r="D438" s="74">
        <f>BDS($A438,'Field Check'!$C$42,"headers=y","startcol=2","endcol=3","dir=h")</f>
        <v/>
      </c>
      <c r="E438" s="75" t="n"/>
      <c r="F438" s="75" t="n"/>
      <c r="G438" s="75" t="n"/>
      <c r="H438" s="75" t="n"/>
      <c r="I438" s="75" t="n"/>
      <c r="J438" s="75" t="n"/>
      <c r="K438" s="75" t="n"/>
      <c r="L438" s="75" t="n"/>
      <c r="M438" s="75" t="n"/>
      <c r="N438" s="75" t="n"/>
      <c r="O438" s="75" t="n"/>
      <c r="P438" s="75" t="n"/>
      <c r="Q438" s="75" t="n"/>
      <c r="R438" s="75" t="n"/>
      <c r="S438" s="75" t="n"/>
      <c r="T438" s="75" t="n"/>
      <c r="U438" s="75" t="n"/>
      <c r="V438" s="75" t="n"/>
      <c r="W438" s="75" t="n"/>
      <c r="X438" s="75" t="n"/>
      <c r="Y438" s="75" t="n"/>
      <c r="Z438" s="75" t="n"/>
      <c r="AA438" s="75" t="n"/>
      <c r="AB438" s="75" t="n"/>
      <c r="AC438" s="75" t="n"/>
      <c r="AD438" s="75" t="n"/>
      <c r="AE438" s="75" t="n"/>
      <c r="AF438" s="75" t="n"/>
      <c r="AG438" s="75" t="n"/>
      <c r="AH438" s="75" t="n"/>
      <c r="AI438" s="75" t="n"/>
      <c r="AJ438" s="75" t="n"/>
      <c r="AK438" s="75" t="n"/>
      <c r="AL438" s="75" t="n"/>
      <c r="AM438" s="75" t="n"/>
      <c r="AN438" s="75" t="n"/>
      <c r="AO438" s="75" t="n"/>
      <c r="AP438" s="75" t="n"/>
      <c r="AQ438" s="75" t="n"/>
      <c r="AR438" s="75" t="n"/>
      <c r="AS438" s="75" t="n"/>
      <c r="AT438" s="75" t="n"/>
      <c r="AU438" s="75" t="n"/>
      <c r="AV438" s="75" t="n"/>
      <c r="AW438" s="75" t="n"/>
      <c r="AX438" s="75" t="n"/>
      <c r="AY438" s="75" t="n"/>
      <c r="AZ438" s="75" t="n"/>
      <c r="BA438" s="75" t="n"/>
      <c r="BB438" s="75" t="n"/>
      <c r="BC438" s="75" t="n"/>
      <c r="BD438" s="75" t="n"/>
      <c r="BE438" s="75" t="n"/>
      <c r="BF438" s="75" t="n"/>
      <c r="BG438" s="75" t="n"/>
      <c r="BH438" s="75" t="n"/>
      <c r="BI438" s="75" t="n"/>
      <c r="BJ438" s="75" t="n"/>
      <c r="BK438" s="75" t="n"/>
      <c r="BL438" s="75" t="n"/>
      <c r="BM438" s="75" t="n"/>
      <c r="BN438" s="75" t="n"/>
      <c r="BO438" s="75" t="n"/>
      <c r="BP438" s="75" t="n"/>
      <c r="BQ438" s="75" t="n"/>
      <c r="BR438" s="75" t="n"/>
      <c r="BS438" s="75" t="n"/>
      <c r="BT438" s="75" t="n"/>
      <c r="BU438" s="75" t="n"/>
      <c r="BV438" s="75" t="n"/>
      <c r="BW438" s="75" t="n"/>
      <c r="BX438" s="75" t="n"/>
      <c r="BY438" s="75" t="n"/>
      <c r="BZ438" s="75" t="n"/>
      <c r="CA438" s="75" t="n"/>
      <c r="CB438" s="75" t="n"/>
      <c r="CC438" s="75" t="n"/>
      <c r="CD438" s="75" t="n"/>
      <c r="CE438" s="75" t="n"/>
      <c r="CF438" s="75" t="n"/>
      <c r="CG438" s="75" t="n"/>
      <c r="CH438" s="75" t="n"/>
      <c r="CI438" s="75" t="n"/>
      <c r="CJ438" s="75" t="n"/>
      <c r="CK438" s="75" t="n"/>
      <c r="CL438" s="75" t="n"/>
      <c r="CM438" s="75" t="n"/>
      <c r="CN438" s="75" t="n"/>
      <c r="CO438" s="75" t="n"/>
      <c r="CP438" s="75" t="n"/>
      <c r="CQ438" s="75" t="n"/>
      <c r="CR438" s="75" t="n"/>
      <c r="CS438" s="75" t="n"/>
      <c r="CT438" s="75" t="n"/>
      <c r="CU438" s="75" t="n"/>
      <c r="CV438" s="75" t="n"/>
      <c r="CW438" s="75" t="n"/>
      <c r="CX438" s="75" t="n"/>
      <c r="CY438" s="75" t="n"/>
      <c r="CZ438" s="75" t="n"/>
    </row>
    <row r="439">
      <c r="B439" s="134">
        <f>IF($A438="",0,COUNT($E439:$CZ439))</f>
        <v/>
      </c>
    </row>
    <row r="440">
      <c r="A440" s="5">
        <f>IF(MXAU!$C$16="","",MXAU!$C$16)</f>
        <v/>
      </c>
      <c r="B440" s="134">
        <f>IF($A440="",0,COUNT($E440:$CZ440))</f>
        <v/>
      </c>
      <c r="C440" s="135">
        <f>IF($A440="",0,IF($B440=0,0,MAX($E440:$CZ440)))</f>
        <v/>
      </c>
      <c r="D440" s="74">
        <f>BDS($A440,'Field Check'!$C$42,"headers=y","startcol=2","endcol=3","dir=h")</f>
        <v/>
      </c>
      <c r="E440" s="75" t="n"/>
      <c r="F440" s="75" t="n"/>
      <c r="G440" s="75" t="n"/>
      <c r="H440" s="75" t="n"/>
      <c r="I440" s="75" t="n"/>
      <c r="J440" s="75" t="n"/>
      <c r="K440" s="75" t="n"/>
      <c r="L440" s="75" t="n"/>
      <c r="M440" s="75" t="n"/>
      <c r="N440" s="75" t="n"/>
      <c r="O440" s="75" t="n"/>
      <c r="P440" s="75" t="n"/>
      <c r="Q440" s="75" t="n"/>
      <c r="R440" s="75" t="n"/>
      <c r="S440" s="75" t="n"/>
      <c r="T440" s="75" t="n"/>
      <c r="U440" s="75" t="n"/>
      <c r="V440" s="75" t="n"/>
      <c r="W440" s="75" t="n"/>
      <c r="X440" s="75" t="n"/>
      <c r="Y440" s="75" t="n"/>
      <c r="Z440" s="75" t="n"/>
      <c r="AA440" s="75" t="n"/>
      <c r="AB440" s="75" t="n"/>
      <c r="AC440" s="75" t="n"/>
      <c r="AD440" s="75" t="n"/>
      <c r="AE440" s="75" t="n"/>
      <c r="AF440" s="75" t="n"/>
      <c r="AG440" s="75" t="n"/>
      <c r="AH440" s="75" t="n"/>
      <c r="AI440" s="75" t="n"/>
      <c r="AJ440" s="75" t="n"/>
      <c r="AK440" s="75" t="n"/>
      <c r="AL440" s="75" t="n"/>
      <c r="AM440" s="75" t="n"/>
      <c r="AN440" s="75" t="n"/>
      <c r="AO440" s="75" t="n"/>
      <c r="AP440" s="75" t="n"/>
      <c r="AQ440" s="75" t="n"/>
      <c r="AR440" s="75" t="n"/>
      <c r="AS440" s="75" t="n"/>
      <c r="AT440" s="75" t="n"/>
      <c r="AU440" s="75" t="n"/>
      <c r="AV440" s="75" t="n"/>
      <c r="AW440" s="75" t="n"/>
      <c r="AX440" s="75" t="n"/>
      <c r="AY440" s="75" t="n"/>
      <c r="AZ440" s="75" t="n"/>
      <c r="BA440" s="75" t="n"/>
      <c r="BB440" s="75" t="n"/>
      <c r="BC440" s="75" t="n"/>
      <c r="BD440" s="75" t="n"/>
      <c r="BE440" s="75" t="n"/>
      <c r="BF440" s="75" t="n"/>
      <c r="BG440" s="75" t="n"/>
      <c r="BH440" s="75" t="n"/>
      <c r="BI440" s="75" t="n"/>
      <c r="BJ440" s="75" t="n"/>
      <c r="BK440" s="75" t="n"/>
      <c r="BL440" s="75" t="n"/>
      <c r="BM440" s="75" t="n"/>
      <c r="BN440" s="75" t="n"/>
      <c r="BO440" s="75" t="n"/>
      <c r="BP440" s="75" t="n"/>
      <c r="BQ440" s="75" t="n"/>
      <c r="BR440" s="75" t="n"/>
      <c r="BS440" s="75" t="n"/>
      <c r="BT440" s="75" t="n"/>
      <c r="BU440" s="75" t="n"/>
      <c r="BV440" s="75" t="n"/>
      <c r="BW440" s="75" t="n"/>
      <c r="BX440" s="75" t="n"/>
      <c r="BY440" s="75" t="n"/>
      <c r="BZ440" s="75" t="n"/>
      <c r="CA440" s="75" t="n"/>
      <c r="CB440" s="75" t="n"/>
      <c r="CC440" s="75" t="n"/>
      <c r="CD440" s="75" t="n"/>
      <c r="CE440" s="75" t="n"/>
      <c r="CF440" s="75" t="n"/>
      <c r="CG440" s="75" t="n"/>
      <c r="CH440" s="75" t="n"/>
      <c r="CI440" s="75" t="n"/>
      <c r="CJ440" s="75" t="n"/>
      <c r="CK440" s="75" t="n"/>
      <c r="CL440" s="75" t="n"/>
      <c r="CM440" s="75" t="n"/>
      <c r="CN440" s="75" t="n"/>
      <c r="CO440" s="75" t="n"/>
      <c r="CP440" s="75" t="n"/>
      <c r="CQ440" s="75" t="n"/>
      <c r="CR440" s="75" t="n"/>
      <c r="CS440" s="75" t="n"/>
      <c r="CT440" s="75" t="n"/>
      <c r="CU440" s="75" t="n"/>
      <c r="CV440" s="75" t="n"/>
      <c r="CW440" s="75" t="n"/>
      <c r="CX440" s="75" t="n"/>
      <c r="CY440" s="75" t="n"/>
      <c r="CZ440" s="75" t="n"/>
    </row>
    <row r="441">
      <c r="B441" s="134">
        <f>IF($A440="",0,COUNT($E441:$CZ441))</f>
        <v/>
      </c>
    </row>
    <row r="442">
      <c r="A442" s="5">
        <f>IF(MXAU!$C$17="","",MXAU!$C$17)</f>
        <v/>
      </c>
      <c r="B442" s="134">
        <f>IF($A442="",0,COUNT($E442:$CZ442))</f>
        <v/>
      </c>
      <c r="C442" s="135">
        <f>IF($A442="",0,IF($B442=0,0,MAX($E442:$CZ442)))</f>
        <v/>
      </c>
      <c r="D442" s="74">
        <f>BDS($A442,'Field Check'!$C$42,"headers=y","startcol=2","endcol=3","dir=h")</f>
        <v/>
      </c>
      <c r="E442" s="75" t="n"/>
      <c r="F442" s="75" t="n"/>
      <c r="G442" s="75" t="n"/>
      <c r="H442" s="75" t="n"/>
      <c r="I442" s="75" t="n"/>
      <c r="J442" s="75" t="n"/>
      <c r="K442" s="75" t="n"/>
      <c r="L442" s="75" t="n"/>
      <c r="M442" s="75" t="n"/>
      <c r="N442" s="75" t="n"/>
      <c r="O442" s="75" t="n"/>
      <c r="P442" s="75" t="n"/>
      <c r="Q442" s="75" t="n"/>
      <c r="R442" s="75" t="n"/>
      <c r="S442" s="75" t="n"/>
      <c r="T442" s="75" t="n"/>
      <c r="U442" s="75" t="n"/>
      <c r="V442" s="75" t="n"/>
      <c r="W442" s="75" t="n"/>
      <c r="X442" s="75" t="n"/>
      <c r="Y442" s="75" t="n"/>
      <c r="Z442" s="75" t="n"/>
      <c r="AA442" s="75" t="n"/>
      <c r="AB442" s="75" t="n"/>
      <c r="AC442" s="75" t="n"/>
      <c r="AD442" s="75" t="n"/>
      <c r="AE442" s="75" t="n"/>
      <c r="AF442" s="75" t="n"/>
      <c r="AG442" s="75" t="n"/>
      <c r="AH442" s="75" t="n"/>
      <c r="AI442" s="75" t="n"/>
      <c r="AJ442" s="75" t="n"/>
      <c r="AK442" s="75" t="n"/>
      <c r="AL442" s="75" t="n"/>
      <c r="AM442" s="75" t="n"/>
      <c r="AN442" s="75" t="n"/>
      <c r="AO442" s="75" t="n"/>
      <c r="AP442" s="75" t="n"/>
      <c r="AQ442" s="75" t="n"/>
      <c r="AR442" s="75" t="n"/>
      <c r="AS442" s="75" t="n"/>
      <c r="AT442" s="75" t="n"/>
      <c r="AU442" s="75" t="n"/>
      <c r="AV442" s="75" t="n"/>
      <c r="AW442" s="75" t="n"/>
      <c r="AX442" s="75" t="n"/>
      <c r="AY442" s="75" t="n"/>
      <c r="AZ442" s="75" t="n"/>
      <c r="BA442" s="75" t="n"/>
      <c r="BB442" s="75" t="n"/>
      <c r="BC442" s="75" t="n"/>
      <c r="BD442" s="75" t="n"/>
      <c r="BE442" s="75" t="n"/>
      <c r="BF442" s="75" t="n"/>
      <c r="BG442" s="75" t="n"/>
      <c r="BH442" s="75" t="n"/>
      <c r="BI442" s="75" t="n"/>
      <c r="BJ442" s="75" t="n"/>
      <c r="BK442" s="75" t="n"/>
      <c r="BL442" s="75" t="n"/>
      <c r="BM442" s="75" t="n"/>
      <c r="BN442" s="75" t="n"/>
      <c r="BO442" s="75" t="n"/>
      <c r="BP442" s="75" t="n"/>
      <c r="BQ442" s="75" t="n"/>
      <c r="BR442" s="75" t="n"/>
      <c r="BS442" s="75" t="n"/>
      <c r="BT442" s="75" t="n"/>
      <c r="BU442" s="75" t="n"/>
      <c r="BV442" s="75" t="n"/>
      <c r="BW442" s="75" t="n"/>
      <c r="BX442" s="75" t="n"/>
      <c r="BY442" s="75" t="n"/>
      <c r="BZ442" s="75" t="n"/>
      <c r="CA442" s="75" t="n"/>
      <c r="CB442" s="75" t="n"/>
      <c r="CC442" s="75" t="n"/>
      <c r="CD442" s="75" t="n"/>
      <c r="CE442" s="75" t="n"/>
      <c r="CF442" s="75" t="n"/>
      <c r="CG442" s="75" t="n"/>
      <c r="CH442" s="75" t="n"/>
      <c r="CI442" s="75" t="n"/>
      <c r="CJ442" s="75" t="n"/>
      <c r="CK442" s="75" t="n"/>
      <c r="CL442" s="75" t="n"/>
      <c r="CM442" s="75" t="n"/>
      <c r="CN442" s="75" t="n"/>
      <c r="CO442" s="75" t="n"/>
      <c r="CP442" s="75" t="n"/>
      <c r="CQ442" s="75" t="n"/>
      <c r="CR442" s="75" t="n"/>
      <c r="CS442" s="75" t="n"/>
      <c r="CT442" s="75" t="n"/>
      <c r="CU442" s="75" t="n"/>
      <c r="CV442" s="75" t="n"/>
      <c r="CW442" s="75" t="n"/>
      <c r="CX442" s="75" t="n"/>
      <c r="CY442" s="75" t="n"/>
      <c r="CZ442" s="75" t="n"/>
    </row>
    <row r="443">
      <c r="B443" s="134">
        <f>IF($A442="",0,COUNT($E443:$CZ443))</f>
        <v/>
      </c>
    </row>
    <row r="444">
      <c r="A444" s="5">
        <f>IF(MXAU!$C$18="","",MXAU!$C$18)</f>
        <v/>
      </c>
      <c r="B444" s="134">
        <f>IF($A444="",0,COUNT($E444:$CZ444))</f>
        <v/>
      </c>
      <c r="C444" s="135">
        <f>IF($A444="",0,IF($B444=0,0,MAX($E444:$CZ444)))</f>
        <v/>
      </c>
      <c r="D444" s="74">
        <f>BDS($A444,'Field Check'!$C$42,"headers=y","startcol=2","endcol=3","dir=h")</f>
        <v/>
      </c>
      <c r="E444" s="75" t="n"/>
      <c r="F444" s="75" t="n"/>
      <c r="G444" s="75" t="n"/>
      <c r="H444" s="75" t="n"/>
      <c r="I444" s="75" t="n"/>
      <c r="J444" s="75" t="n"/>
      <c r="K444" s="75" t="n"/>
      <c r="L444" s="75" t="n"/>
      <c r="M444" s="75" t="n"/>
      <c r="N444" s="75" t="n"/>
      <c r="O444" s="75" t="n"/>
      <c r="P444" s="75" t="n"/>
      <c r="Q444" s="75" t="n"/>
      <c r="R444" s="75" t="n"/>
      <c r="S444" s="75" t="n"/>
      <c r="T444" s="75" t="n"/>
      <c r="U444" s="75" t="n"/>
      <c r="V444" s="75" t="n"/>
      <c r="W444" s="75" t="n"/>
      <c r="X444" s="75" t="n"/>
      <c r="Y444" s="75" t="n"/>
      <c r="Z444" s="75" t="n"/>
      <c r="AA444" s="75" t="n"/>
      <c r="AB444" s="75" t="n"/>
      <c r="AC444" s="75" t="n"/>
      <c r="AD444" s="75" t="n"/>
      <c r="AE444" s="75" t="n"/>
      <c r="AF444" s="75" t="n"/>
      <c r="AG444" s="75" t="n"/>
      <c r="AH444" s="75" t="n"/>
      <c r="AI444" s="75" t="n"/>
      <c r="AJ444" s="75" t="n"/>
      <c r="AK444" s="75" t="n"/>
      <c r="AL444" s="75" t="n"/>
      <c r="AM444" s="75" t="n"/>
      <c r="AN444" s="75" t="n"/>
      <c r="AO444" s="75" t="n"/>
      <c r="AP444" s="75" t="n"/>
      <c r="AQ444" s="75" t="n"/>
      <c r="AR444" s="75" t="n"/>
      <c r="AS444" s="75" t="n"/>
      <c r="AT444" s="75" t="n"/>
      <c r="AU444" s="75" t="n"/>
      <c r="AV444" s="75" t="n"/>
      <c r="AW444" s="75" t="n"/>
      <c r="AX444" s="75" t="n"/>
      <c r="AY444" s="75" t="n"/>
      <c r="AZ444" s="75" t="n"/>
      <c r="BA444" s="75" t="n"/>
      <c r="BB444" s="75" t="n"/>
      <c r="BC444" s="75" t="n"/>
      <c r="BD444" s="75" t="n"/>
      <c r="BE444" s="75" t="n"/>
      <c r="BF444" s="75" t="n"/>
      <c r="BG444" s="75" t="n"/>
      <c r="BH444" s="75" t="n"/>
      <c r="BI444" s="75" t="n"/>
      <c r="BJ444" s="75" t="n"/>
      <c r="BK444" s="75" t="n"/>
      <c r="BL444" s="75" t="n"/>
      <c r="BM444" s="75" t="n"/>
      <c r="BN444" s="75" t="n"/>
      <c r="BO444" s="75" t="n"/>
      <c r="BP444" s="75" t="n"/>
      <c r="BQ444" s="75" t="n"/>
      <c r="BR444" s="75" t="n"/>
      <c r="BS444" s="75" t="n"/>
      <c r="BT444" s="75" t="n"/>
      <c r="BU444" s="75" t="n"/>
      <c r="BV444" s="75" t="n"/>
      <c r="BW444" s="75" t="n"/>
      <c r="BX444" s="75" t="n"/>
      <c r="BY444" s="75" t="n"/>
      <c r="BZ444" s="75" t="n"/>
      <c r="CA444" s="75" t="n"/>
      <c r="CB444" s="75" t="n"/>
      <c r="CC444" s="75" t="n"/>
      <c r="CD444" s="75" t="n"/>
      <c r="CE444" s="75" t="n"/>
      <c r="CF444" s="75" t="n"/>
      <c r="CG444" s="75" t="n"/>
      <c r="CH444" s="75" t="n"/>
      <c r="CI444" s="75" t="n"/>
      <c r="CJ444" s="75" t="n"/>
      <c r="CK444" s="75" t="n"/>
      <c r="CL444" s="75" t="n"/>
      <c r="CM444" s="75" t="n"/>
      <c r="CN444" s="75" t="n"/>
      <c r="CO444" s="75" t="n"/>
      <c r="CP444" s="75" t="n"/>
      <c r="CQ444" s="75" t="n"/>
      <c r="CR444" s="75" t="n"/>
      <c r="CS444" s="75" t="n"/>
      <c r="CT444" s="75" t="n"/>
      <c r="CU444" s="75" t="n"/>
      <c r="CV444" s="75" t="n"/>
      <c r="CW444" s="75" t="n"/>
      <c r="CX444" s="75" t="n"/>
      <c r="CY444" s="75" t="n"/>
      <c r="CZ444" s="75" t="n"/>
    </row>
    <row r="445">
      <c r="B445" s="134">
        <f>IF($A444="",0,COUNT($E445:$CZ445))</f>
        <v/>
      </c>
    </row>
    <row r="446">
      <c r="A446" s="5">
        <f>IF(MXAU!$C$19="","",MXAU!$C$19)</f>
        <v/>
      </c>
      <c r="B446" s="134">
        <f>IF($A446="",0,COUNT($E446:$CZ446))</f>
        <v/>
      </c>
      <c r="C446" s="135">
        <f>IF($A446="",0,IF($B446=0,0,MAX($E446:$CZ446)))</f>
        <v/>
      </c>
      <c r="D446" s="74">
        <f>BDS($A446,'Field Check'!$C$42,"headers=y","startcol=2","endcol=3","dir=h")</f>
        <v/>
      </c>
      <c r="E446" s="75" t="n"/>
      <c r="F446" s="75" t="n"/>
      <c r="G446" s="75" t="n"/>
      <c r="H446" s="75" t="n"/>
      <c r="I446" s="75" t="n"/>
      <c r="J446" s="75" t="n"/>
      <c r="K446" s="75" t="n"/>
      <c r="L446" s="75" t="n"/>
      <c r="M446" s="75" t="n"/>
      <c r="N446" s="75" t="n"/>
      <c r="O446" s="75" t="n"/>
      <c r="P446" s="75" t="n"/>
      <c r="Q446" s="75" t="n"/>
      <c r="R446" s="75" t="n"/>
      <c r="S446" s="75" t="n"/>
      <c r="T446" s="75" t="n"/>
      <c r="U446" s="75" t="n"/>
      <c r="V446" s="75" t="n"/>
      <c r="W446" s="75" t="n"/>
      <c r="X446" s="75" t="n"/>
      <c r="Y446" s="75" t="n"/>
      <c r="Z446" s="75" t="n"/>
      <c r="AA446" s="75" t="n"/>
      <c r="AB446" s="75" t="n"/>
      <c r="AC446" s="75" t="n"/>
      <c r="AD446" s="75" t="n"/>
      <c r="AE446" s="75" t="n"/>
      <c r="AF446" s="75" t="n"/>
      <c r="AG446" s="75" t="n"/>
      <c r="AH446" s="75" t="n"/>
      <c r="AI446" s="75" t="n"/>
      <c r="AJ446" s="75" t="n"/>
      <c r="AK446" s="75" t="n"/>
      <c r="AL446" s="75" t="n"/>
      <c r="AM446" s="75" t="n"/>
      <c r="AN446" s="75" t="n"/>
      <c r="AO446" s="75" t="n"/>
      <c r="AP446" s="75" t="n"/>
      <c r="AQ446" s="75" t="n"/>
      <c r="AR446" s="75" t="n"/>
      <c r="AS446" s="75" t="n"/>
      <c r="AT446" s="75" t="n"/>
      <c r="AU446" s="75" t="n"/>
      <c r="AV446" s="75" t="n"/>
      <c r="AW446" s="75" t="n"/>
      <c r="AX446" s="75" t="n"/>
      <c r="AY446" s="75" t="n"/>
      <c r="AZ446" s="75" t="n"/>
      <c r="BA446" s="75" t="n"/>
      <c r="BB446" s="75" t="n"/>
      <c r="BC446" s="75" t="n"/>
      <c r="BD446" s="75" t="n"/>
      <c r="BE446" s="75" t="n"/>
      <c r="BF446" s="75" t="n"/>
      <c r="BG446" s="75" t="n"/>
      <c r="BH446" s="75" t="n"/>
      <c r="BI446" s="75" t="n"/>
      <c r="BJ446" s="75" t="n"/>
      <c r="BK446" s="75" t="n"/>
      <c r="BL446" s="75" t="n"/>
      <c r="BM446" s="75" t="n"/>
      <c r="BN446" s="75" t="n"/>
      <c r="BO446" s="75" t="n"/>
      <c r="BP446" s="75" t="n"/>
      <c r="BQ446" s="75" t="n"/>
      <c r="BR446" s="75" t="n"/>
      <c r="BS446" s="75" t="n"/>
      <c r="BT446" s="75" t="n"/>
      <c r="BU446" s="75" t="n"/>
      <c r="BV446" s="75" t="n"/>
      <c r="BW446" s="75" t="n"/>
      <c r="BX446" s="75" t="n"/>
      <c r="BY446" s="75" t="n"/>
      <c r="BZ446" s="75" t="n"/>
      <c r="CA446" s="75" t="n"/>
      <c r="CB446" s="75" t="n"/>
      <c r="CC446" s="75" t="n"/>
      <c r="CD446" s="75" t="n"/>
      <c r="CE446" s="75" t="n"/>
      <c r="CF446" s="75" t="n"/>
      <c r="CG446" s="75" t="n"/>
      <c r="CH446" s="75" t="n"/>
      <c r="CI446" s="75" t="n"/>
      <c r="CJ446" s="75" t="n"/>
      <c r="CK446" s="75" t="n"/>
      <c r="CL446" s="75" t="n"/>
      <c r="CM446" s="75" t="n"/>
      <c r="CN446" s="75" t="n"/>
      <c r="CO446" s="75" t="n"/>
      <c r="CP446" s="75" t="n"/>
      <c r="CQ446" s="75" t="n"/>
      <c r="CR446" s="75" t="n"/>
      <c r="CS446" s="75" t="n"/>
      <c r="CT446" s="75" t="n"/>
      <c r="CU446" s="75" t="n"/>
      <c r="CV446" s="75" t="n"/>
      <c r="CW446" s="75" t="n"/>
      <c r="CX446" s="75" t="n"/>
      <c r="CY446" s="75" t="n"/>
      <c r="CZ446" s="75" t="n"/>
    </row>
    <row r="447">
      <c r="B447" s="134">
        <f>IF($A446="",0,COUNT($E447:$CZ447))</f>
        <v/>
      </c>
    </row>
    <row r="448">
      <c r="A448" s="5">
        <f>IF(MXAU!$C$20="","",MXAU!$C$20)</f>
        <v/>
      </c>
      <c r="B448" s="134">
        <f>IF($A448="",0,COUNT($E448:$CZ448))</f>
        <v/>
      </c>
      <c r="C448" s="135">
        <f>IF($A448="",0,IF($B448=0,0,MAX($E448:$CZ448)))</f>
        <v/>
      </c>
      <c r="D448" s="74">
        <f>BDS($A448,'Field Check'!$C$42,"headers=y","startcol=2","endcol=3","dir=h")</f>
        <v/>
      </c>
      <c r="E448" s="75" t="n"/>
      <c r="F448" s="75" t="n"/>
      <c r="G448" s="75" t="n"/>
      <c r="H448" s="75" t="n"/>
      <c r="I448" s="75" t="n"/>
      <c r="J448" s="75" t="n"/>
      <c r="K448" s="75" t="n"/>
      <c r="L448" s="75" t="n"/>
      <c r="M448" s="75" t="n"/>
      <c r="N448" s="75" t="n"/>
      <c r="O448" s="75" t="n"/>
      <c r="P448" s="75" t="n"/>
      <c r="Q448" s="75" t="n"/>
      <c r="R448" s="75" t="n"/>
      <c r="S448" s="75" t="n"/>
      <c r="T448" s="75" t="n"/>
      <c r="U448" s="75" t="n"/>
      <c r="V448" s="75" t="n"/>
      <c r="W448" s="75" t="n"/>
      <c r="X448" s="75" t="n"/>
      <c r="Y448" s="75" t="n"/>
      <c r="Z448" s="75" t="n"/>
      <c r="AA448" s="75" t="n"/>
      <c r="AB448" s="75" t="n"/>
      <c r="AC448" s="75" t="n"/>
      <c r="AD448" s="75" t="n"/>
      <c r="AE448" s="75" t="n"/>
      <c r="AF448" s="75" t="n"/>
      <c r="AG448" s="75" t="n"/>
      <c r="AH448" s="75" t="n"/>
      <c r="AI448" s="75" t="n"/>
      <c r="AJ448" s="75" t="n"/>
      <c r="AK448" s="75" t="n"/>
      <c r="AL448" s="75" t="n"/>
      <c r="AM448" s="75" t="n"/>
      <c r="AN448" s="75" t="n"/>
      <c r="AO448" s="75" t="n"/>
      <c r="AP448" s="75" t="n"/>
      <c r="AQ448" s="75" t="n"/>
      <c r="AR448" s="75" t="n"/>
      <c r="AS448" s="75" t="n"/>
      <c r="AT448" s="75" t="n"/>
      <c r="AU448" s="75" t="n"/>
      <c r="AV448" s="75" t="n"/>
      <c r="AW448" s="75" t="n"/>
      <c r="AX448" s="75" t="n"/>
      <c r="AY448" s="75" t="n"/>
      <c r="AZ448" s="75" t="n"/>
      <c r="BA448" s="75" t="n"/>
      <c r="BB448" s="75" t="n"/>
      <c r="BC448" s="75" t="n"/>
      <c r="BD448" s="75" t="n"/>
      <c r="BE448" s="75" t="n"/>
      <c r="BF448" s="75" t="n"/>
      <c r="BG448" s="75" t="n"/>
      <c r="BH448" s="75" t="n"/>
      <c r="BI448" s="75" t="n"/>
      <c r="BJ448" s="75" t="n"/>
      <c r="BK448" s="75" t="n"/>
      <c r="BL448" s="75" t="n"/>
      <c r="BM448" s="75" t="n"/>
      <c r="BN448" s="75" t="n"/>
      <c r="BO448" s="75" t="n"/>
      <c r="BP448" s="75" t="n"/>
      <c r="BQ448" s="75" t="n"/>
      <c r="BR448" s="75" t="n"/>
      <c r="BS448" s="75" t="n"/>
      <c r="BT448" s="75" t="n"/>
      <c r="BU448" s="75" t="n"/>
      <c r="BV448" s="75" t="n"/>
      <c r="BW448" s="75" t="n"/>
      <c r="BX448" s="75" t="n"/>
      <c r="BY448" s="75" t="n"/>
      <c r="BZ448" s="75" t="n"/>
      <c r="CA448" s="75" t="n"/>
      <c r="CB448" s="75" t="n"/>
      <c r="CC448" s="75" t="n"/>
      <c r="CD448" s="75" t="n"/>
      <c r="CE448" s="75" t="n"/>
      <c r="CF448" s="75" t="n"/>
      <c r="CG448" s="75" t="n"/>
      <c r="CH448" s="75" t="n"/>
      <c r="CI448" s="75" t="n"/>
      <c r="CJ448" s="75" t="n"/>
      <c r="CK448" s="75" t="n"/>
      <c r="CL448" s="75" t="n"/>
      <c r="CM448" s="75" t="n"/>
      <c r="CN448" s="75" t="n"/>
      <c r="CO448" s="75" t="n"/>
      <c r="CP448" s="75" t="n"/>
      <c r="CQ448" s="75" t="n"/>
      <c r="CR448" s="75" t="n"/>
      <c r="CS448" s="75" t="n"/>
      <c r="CT448" s="75" t="n"/>
      <c r="CU448" s="75" t="n"/>
      <c r="CV448" s="75" t="n"/>
      <c r="CW448" s="75" t="n"/>
      <c r="CX448" s="75" t="n"/>
      <c r="CY448" s="75" t="n"/>
      <c r="CZ448" s="75" t="n"/>
    </row>
    <row r="449">
      <c r="B449" s="134">
        <f>IF($A448="",0,COUNT($E449:$CZ449))</f>
        <v/>
      </c>
    </row>
    <row r="450">
      <c r="A450" s="5">
        <f>IF(MXAU!$C$21="","",MXAU!$C$21)</f>
        <v/>
      </c>
      <c r="B450" s="134">
        <f>IF($A450="",0,COUNT($E450:$CZ450))</f>
        <v/>
      </c>
      <c r="C450" s="135">
        <f>IF($A450="",0,IF($B450=0,0,MAX($E450:$CZ450)))</f>
        <v/>
      </c>
      <c r="D450" s="74">
        <f>BDS($A450,'Field Check'!$C$42,"headers=y","startcol=2","endcol=3","dir=h")</f>
        <v/>
      </c>
      <c r="E450" s="75" t="n"/>
      <c r="F450" s="75" t="n"/>
      <c r="G450" s="75" t="n"/>
      <c r="H450" s="75" t="n"/>
      <c r="I450" s="75" t="n"/>
      <c r="J450" s="75" t="n"/>
      <c r="K450" s="75" t="n"/>
      <c r="L450" s="75" t="n"/>
      <c r="M450" s="75" t="n"/>
      <c r="N450" s="75" t="n"/>
      <c r="O450" s="75" t="n"/>
      <c r="P450" s="75" t="n"/>
      <c r="Q450" s="75" t="n"/>
      <c r="R450" s="75" t="n"/>
      <c r="S450" s="75" t="n"/>
      <c r="T450" s="75" t="n"/>
      <c r="U450" s="75" t="n"/>
      <c r="V450" s="75" t="n"/>
      <c r="W450" s="75" t="n"/>
      <c r="X450" s="75" t="n"/>
      <c r="Y450" s="75" t="n"/>
      <c r="Z450" s="75" t="n"/>
      <c r="AA450" s="75" t="n"/>
      <c r="AB450" s="75" t="n"/>
      <c r="AC450" s="75" t="n"/>
      <c r="AD450" s="75" t="n"/>
      <c r="AE450" s="75" t="n"/>
      <c r="AF450" s="75" t="n"/>
      <c r="AG450" s="75" t="n"/>
      <c r="AH450" s="75" t="n"/>
      <c r="AI450" s="75" t="n"/>
      <c r="AJ450" s="75" t="n"/>
      <c r="AK450" s="75" t="n"/>
      <c r="AL450" s="75" t="n"/>
      <c r="AM450" s="75" t="n"/>
      <c r="AN450" s="75" t="n"/>
      <c r="AO450" s="75" t="n"/>
      <c r="AP450" s="75" t="n"/>
      <c r="AQ450" s="75" t="n"/>
      <c r="AR450" s="75" t="n"/>
      <c r="AS450" s="75" t="n"/>
      <c r="AT450" s="75" t="n"/>
      <c r="AU450" s="75" t="n"/>
      <c r="AV450" s="75" t="n"/>
      <c r="AW450" s="75" t="n"/>
      <c r="AX450" s="75" t="n"/>
      <c r="AY450" s="75" t="n"/>
      <c r="AZ450" s="75" t="n"/>
      <c r="BA450" s="75" t="n"/>
      <c r="BB450" s="75" t="n"/>
      <c r="BC450" s="75" t="n"/>
      <c r="BD450" s="75" t="n"/>
      <c r="BE450" s="75" t="n"/>
      <c r="BF450" s="75" t="n"/>
      <c r="BG450" s="75" t="n"/>
      <c r="BH450" s="75" t="n"/>
      <c r="BI450" s="75" t="n"/>
      <c r="BJ450" s="75" t="n"/>
      <c r="BK450" s="75" t="n"/>
      <c r="BL450" s="75" t="n"/>
      <c r="BM450" s="75" t="n"/>
      <c r="BN450" s="75" t="n"/>
      <c r="BO450" s="75" t="n"/>
      <c r="BP450" s="75" t="n"/>
      <c r="BQ450" s="75" t="n"/>
      <c r="BR450" s="75" t="n"/>
      <c r="BS450" s="75" t="n"/>
      <c r="BT450" s="75" t="n"/>
      <c r="BU450" s="75" t="n"/>
      <c r="BV450" s="75" t="n"/>
      <c r="BW450" s="75" t="n"/>
      <c r="BX450" s="75" t="n"/>
      <c r="BY450" s="75" t="n"/>
      <c r="BZ450" s="75" t="n"/>
      <c r="CA450" s="75" t="n"/>
      <c r="CB450" s="75" t="n"/>
      <c r="CC450" s="75" t="n"/>
      <c r="CD450" s="75" t="n"/>
      <c r="CE450" s="75" t="n"/>
      <c r="CF450" s="75" t="n"/>
      <c r="CG450" s="75" t="n"/>
      <c r="CH450" s="75" t="n"/>
      <c r="CI450" s="75" t="n"/>
      <c r="CJ450" s="75" t="n"/>
      <c r="CK450" s="75" t="n"/>
      <c r="CL450" s="75" t="n"/>
      <c r="CM450" s="75" t="n"/>
      <c r="CN450" s="75" t="n"/>
      <c r="CO450" s="75" t="n"/>
      <c r="CP450" s="75" t="n"/>
      <c r="CQ450" s="75" t="n"/>
      <c r="CR450" s="75" t="n"/>
      <c r="CS450" s="75" t="n"/>
      <c r="CT450" s="75" t="n"/>
      <c r="CU450" s="75" t="n"/>
      <c r="CV450" s="75" t="n"/>
      <c r="CW450" s="75" t="n"/>
      <c r="CX450" s="75" t="n"/>
      <c r="CY450" s="75" t="n"/>
      <c r="CZ450" s="75" t="n"/>
    </row>
    <row r="451">
      <c r="B451" s="134">
        <f>IF($A450="",0,COUNT($E451:$CZ451))</f>
        <v/>
      </c>
    </row>
    <row r="452">
      <c r="A452" s="5">
        <f>IF(MXAU!$C$22="","",MXAU!$C$22)</f>
        <v/>
      </c>
      <c r="B452" s="134">
        <f>IF($A452="",0,COUNT($E452:$CZ452))</f>
        <v/>
      </c>
      <c r="C452" s="135">
        <f>IF($A452="",0,IF($B452=0,0,MAX($E452:$CZ452)))</f>
        <v/>
      </c>
      <c r="D452" s="74">
        <f>BDS($A452,'Field Check'!$C$42,"headers=y","startcol=2","endcol=3","dir=h")</f>
        <v/>
      </c>
      <c r="E452" s="75" t="n"/>
      <c r="F452" s="75" t="n"/>
      <c r="G452" s="75" t="n"/>
      <c r="H452" s="75" t="n"/>
      <c r="I452" s="75" t="n"/>
      <c r="J452" s="75" t="n"/>
      <c r="K452" s="75" t="n"/>
      <c r="L452" s="75" t="n"/>
      <c r="M452" s="75" t="n"/>
      <c r="N452" s="75" t="n"/>
      <c r="O452" s="75" t="n"/>
      <c r="P452" s="75" t="n"/>
      <c r="Q452" s="75" t="n"/>
      <c r="R452" s="75" t="n"/>
      <c r="S452" s="75" t="n"/>
      <c r="T452" s="75" t="n"/>
      <c r="U452" s="75" t="n"/>
      <c r="V452" s="75" t="n"/>
      <c r="W452" s="75" t="n"/>
      <c r="X452" s="75" t="n"/>
      <c r="Y452" s="75" t="n"/>
      <c r="Z452" s="75" t="n"/>
      <c r="AA452" s="75" t="n"/>
      <c r="AB452" s="75" t="n"/>
      <c r="AC452" s="75" t="n"/>
      <c r="AD452" s="75" t="n"/>
      <c r="AE452" s="75" t="n"/>
      <c r="AF452" s="75" t="n"/>
      <c r="AG452" s="75" t="n"/>
      <c r="AH452" s="75" t="n"/>
      <c r="AI452" s="75" t="n"/>
      <c r="AJ452" s="75" t="n"/>
      <c r="AK452" s="75" t="n"/>
      <c r="AL452" s="75" t="n"/>
      <c r="AM452" s="75" t="n"/>
      <c r="AN452" s="75" t="n"/>
      <c r="AO452" s="75" t="n"/>
      <c r="AP452" s="75" t="n"/>
      <c r="AQ452" s="75" t="n"/>
      <c r="AR452" s="75" t="n"/>
      <c r="AS452" s="75" t="n"/>
      <c r="AT452" s="75" t="n"/>
      <c r="AU452" s="75" t="n"/>
      <c r="AV452" s="75" t="n"/>
      <c r="AW452" s="75" t="n"/>
      <c r="AX452" s="75" t="n"/>
      <c r="AY452" s="75" t="n"/>
      <c r="AZ452" s="75" t="n"/>
      <c r="BA452" s="75" t="n"/>
      <c r="BB452" s="75" t="n"/>
      <c r="BC452" s="75" t="n"/>
      <c r="BD452" s="75" t="n"/>
      <c r="BE452" s="75" t="n"/>
      <c r="BF452" s="75" t="n"/>
      <c r="BG452" s="75" t="n"/>
      <c r="BH452" s="75" t="n"/>
      <c r="BI452" s="75" t="n"/>
      <c r="BJ452" s="75" t="n"/>
      <c r="BK452" s="75" t="n"/>
      <c r="BL452" s="75" t="n"/>
      <c r="BM452" s="75" t="n"/>
      <c r="BN452" s="75" t="n"/>
      <c r="BO452" s="75" t="n"/>
      <c r="BP452" s="75" t="n"/>
      <c r="BQ452" s="75" t="n"/>
      <c r="BR452" s="75" t="n"/>
      <c r="BS452" s="75" t="n"/>
      <c r="BT452" s="75" t="n"/>
      <c r="BU452" s="75" t="n"/>
      <c r="BV452" s="75" t="n"/>
      <c r="BW452" s="75" t="n"/>
      <c r="BX452" s="75" t="n"/>
      <c r="BY452" s="75" t="n"/>
      <c r="BZ452" s="75" t="n"/>
      <c r="CA452" s="75" t="n"/>
      <c r="CB452" s="75" t="n"/>
      <c r="CC452" s="75" t="n"/>
      <c r="CD452" s="75" t="n"/>
      <c r="CE452" s="75" t="n"/>
      <c r="CF452" s="75" t="n"/>
      <c r="CG452" s="75" t="n"/>
      <c r="CH452" s="75" t="n"/>
      <c r="CI452" s="75" t="n"/>
      <c r="CJ452" s="75" t="n"/>
      <c r="CK452" s="75" t="n"/>
      <c r="CL452" s="75" t="n"/>
      <c r="CM452" s="75" t="n"/>
      <c r="CN452" s="75" t="n"/>
      <c r="CO452" s="75" t="n"/>
      <c r="CP452" s="75" t="n"/>
      <c r="CQ452" s="75" t="n"/>
      <c r="CR452" s="75" t="n"/>
      <c r="CS452" s="75" t="n"/>
      <c r="CT452" s="75" t="n"/>
      <c r="CU452" s="75" t="n"/>
      <c r="CV452" s="75" t="n"/>
      <c r="CW452" s="75" t="n"/>
      <c r="CX452" s="75" t="n"/>
      <c r="CY452" s="75" t="n"/>
      <c r="CZ452" s="75" t="n"/>
    </row>
    <row r="453">
      <c r="B453" s="134">
        <f>IF($A452="",0,COUNT($E453:$CZ453))</f>
        <v/>
      </c>
    </row>
    <row r="454">
      <c r="A454" s="5">
        <f>IF(MXAU!$C$23="","",MXAU!$C$23)</f>
        <v/>
      </c>
      <c r="B454" s="134">
        <f>IF($A454="",0,COUNT($E454:$CZ454))</f>
        <v/>
      </c>
      <c r="C454" s="135">
        <f>IF($A454="",0,IF($B454=0,0,MAX($E454:$CZ454)))</f>
        <v/>
      </c>
      <c r="D454" s="74">
        <f>BDS($A454,'Field Check'!$C$42,"headers=y","startcol=2","endcol=3","dir=h")</f>
        <v/>
      </c>
      <c r="E454" s="75" t="n"/>
      <c r="F454" s="75" t="n"/>
      <c r="G454" s="75" t="n"/>
      <c r="H454" s="75" t="n"/>
      <c r="I454" s="75" t="n"/>
      <c r="J454" s="75" t="n"/>
      <c r="K454" s="75" t="n"/>
      <c r="L454" s="75" t="n"/>
      <c r="M454" s="75" t="n"/>
      <c r="N454" s="75" t="n"/>
      <c r="O454" s="75" t="n"/>
      <c r="P454" s="75" t="n"/>
      <c r="Q454" s="75" t="n"/>
      <c r="R454" s="75" t="n"/>
      <c r="S454" s="75" t="n"/>
      <c r="T454" s="75" t="n"/>
      <c r="U454" s="75" t="n"/>
      <c r="V454" s="75" t="n"/>
      <c r="W454" s="75" t="n"/>
      <c r="X454" s="75" t="n"/>
      <c r="Y454" s="75" t="n"/>
      <c r="Z454" s="75" t="n"/>
      <c r="AA454" s="75" t="n"/>
      <c r="AB454" s="75" t="n"/>
      <c r="AC454" s="75" t="n"/>
      <c r="AD454" s="75" t="n"/>
      <c r="AE454" s="75" t="n"/>
      <c r="AF454" s="75" t="n"/>
      <c r="AG454" s="75" t="n"/>
      <c r="AH454" s="75" t="n"/>
      <c r="AI454" s="75" t="n"/>
      <c r="AJ454" s="75" t="n"/>
      <c r="AK454" s="75" t="n"/>
      <c r="AL454" s="75" t="n"/>
      <c r="AM454" s="75" t="n"/>
      <c r="AN454" s="75" t="n"/>
      <c r="AO454" s="75" t="n"/>
      <c r="AP454" s="75" t="n"/>
      <c r="AQ454" s="75" t="n"/>
      <c r="AR454" s="75" t="n"/>
      <c r="AS454" s="75" t="n"/>
      <c r="AT454" s="75" t="n"/>
      <c r="AU454" s="75" t="n"/>
      <c r="AV454" s="75" t="n"/>
      <c r="AW454" s="75" t="n"/>
      <c r="AX454" s="75" t="n"/>
      <c r="AY454" s="75" t="n"/>
      <c r="AZ454" s="75" t="n"/>
      <c r="BA454" s="75" t="n"/>
      <c r="BB454" s="75" t="n"/>
      <c r="BC454" s="75" t="n"/>
      <c r="BD454" s="75" t="n"/>
      <c r="BE454" s="75" t="n"/>
      <c r="BF454" s="75" t="n"/>
      <c r="BG454" s="75" t="n"/>
      <c r="BH454" s="75" t="n"/>
      <c r="BI454" s="75" t="n"/>
      <c r="BJ454" s="75" t="n"/>
      <c r="BK454" s="75" t="n"/>
      <c r="BL454" s="75" t="n"/>
      <c r="BM454" s="75" t="n"/>
      <c r="BN454" s="75" t="n"/>
      <c r="BO454" s="75" t="n"/>
      <c r="BP454" s="75" t="n"/>
      <c r="BQ454" s="75" t="n"/>
      <c r="BR454" s="75" t="n"/>
      <c r="BS454" s="75" t="n"/>
      <c r="BT454" s="75" t="n"/>
      <c r="BU454" s="75" t="n"/>
      <c r="BV454" s="75" t="n"/>
      <c r="BW454" s="75" t="n"/>
      <c r="BX454" s="75" t="n"/>
      <c r="BY454" s="75" t="n"/>
      <c r="BZ454" s="75" t="n"/>
      <c r="CA454" s="75" t="n"/>
      <c r="CB454" s="75" t="n"/>
      <c r="CC454" s="75" t="n"/>
      <c r="CD454" s="75" t="n"/>
      <c r="CE454" s="75" t="n"/>
      <c r="CF454" s="75" t="n"/>
      <c r="CG454" s="75" t="n"/>
      <c r="CH454" s="75" t="n"/>
      <c r="CI454" s="75" t="n"/>
      <c r="CJ454" s="75" t="n"/>
      <c r="CK454" s="75" t="n"/>
      <c r="CL454" s="75" t="n"/>
      <c r="CM454" s="75" t="n"/>
      <c r="CN454" s="75" t="n"/>
      <c r="CO454" s="75" t="n"/>
      <c r="CP454" s="75" t="n"/>
      <c r="CQ454" s="75" t="n"/>
      <c r="CR454" s="75" t="n"/>
      <c r="CS454" s="75" t="n"/>
      <c r="CT454" s="75" t="n"/>
      <c r="CU454" s="75" t="n"/>
      <c r="CV454" s="75" t="n"/>
      <c r="CW454" s="75" t="n"/>
      <c r="CX454" s="75" t="n"/>
      <c r="CY454" s="75" t="n"/>
      <c r="CZ454" s="75" t="n"/>
    </row>
    <row r="455">
      <c r="B455" s="134">
        <f>IF($A454="",0,COUNT($E455:$CZ455))</f>
        <v/>
      </c>
    </row>
    <row r="456">
      <c r="A456" s="5">
        <f>IF(MXAU!$C$24="","",MXAU!$C$24)</f>
        <v/>
      </c>
      <c r="B456" s="134">
        <f>IF($A456="",0,COUNT($E456:$CZ456))</f>
        <v/>
      </c>
      <c r="C456" s="135">
        <f>IF($A456="",0,IF($B456=0,0,MAX($E456:$CZ456)))</f>
        <v/>
      </c>
      <c r="D456" s="74">
        <f>BDS($A456,'Field Check'!$C$42,"headers=y","startcol=2","endcol=3","dir=h")</f>
        <v/>
      </c>
      <c r="E456" s="75" t="n"/>
      <c r="F456" s="75" t="n"/>
      <c r="G456" s="75" t="n"/>
      <c r="H456" s="75" t="n"/>
      <c r="I456" s="75" t="n"/>
      <c r="J456" s="75" t="n"/>
      <c r="K456" s="75" t="n"/>
      <c r="L456" s="75" t="n"/>
      <c r="M456" s="75" t="n"/>
      <c r="N456" s="75" t="n"/>
      <c r="O456" s="75" t="n"/>
      <c r="P456" s="75" t="n"/>
      <c r="Q456" s="75" t="n"/>
      <c r="R456" s="75" t="n"/>
      <c r="S456" s="75" t="n"/>
      <c r="T456" s="75" t="n"/>
      <c r="U456" s="75" t="n"/>
      <c r="V456" s="75" t="n"/>
      <c r="W456" s="75" t="n"/>
      <c r="X456" s="75" t="n"/>
      <c r="Y456" s="75" t="n"/>
      <c r="Z456" s="75" t="n"/>
      <c r="AA456" s="75" t="n"/>
      <c r="AB456" s="75" t="n"/>
      <c r="AC456" s="75" t="n"/>
      <c r="AD456" s="75" t="n"/>
      <c r="AE456" s="75" t="n"/>
      <c r="AF456" s="75" t="n"/>
      <c r="AG456" s="75" t="n"/>
      <c r="AH456" s="75" t="n"/>
      <c r="AI456" s="75" t="n"/>
      <c r="AJ456" s="75" t="n"/>
      <c r="AK456" s="75" t="n"/>
      <c r="AL456" s="75" t="n"/>
      <c r="AM456" s="75" t="n"/>
      <c r="AN456" s="75" t="n"/>
      <c r="AO456" s="75" t="n"/>
      <c r="AP456" s="75" t="n"/>
      <c r="AQ456" s="75" t="n"/>
      <c r="AR456" s="75" t="n"/>
      <c r="AS456" s="75" t="n"/>
      <c r="AT456" s="75" t="n"/>
      <c r="AU456" s="75" t="n"/>
      <c r="AV456" s="75" t="n"/>
      <c r="AW456" s="75" t="n"/>
      <c r="AX456" s="75" t="n"/>
      <c r="AY456" s="75" t="n"/>
      <c r="AZ456" s="75" t="n"/>
      <c r="BA456" s="75" t="n"/>
      <c r="BB456" s="75" t="n"/>
      <c r="BC456" s="75" t="n"/>
      <c r="BD456" s="75" t="n"/>
      <c r="BE456" s="75" t="n"/>
      <c r="BF456" s="75" t="n"/>
      <c r="BG456" s="75" t="n"/>
      <c r="BH456" s="75" t="n"/>
      <c r="BI456" s="75" t="n"/>
      <c r="BJ456" s="75" t="n"/>
      <c r="BK456" s="75" t="n"/>
      <c r="BL456" s="75" t="n"/>
      <c r="BM456" s="75" t="n"/>
      <c r="BN456" s="75" t="n"/>
      <c r="BO456" s="75" t="n"/>
      <c r="BP456" s="75" t="n"/>
      <c r="BQ456" s="75" t="n"/>
      <c r="BR456" s="75" t="n"/>
      <c r="BS456" s="75" t="n"/>
      <c r="BT456" s="75" t="n"/>
      <c r="BU456" s="75" t="n"/>
      <c r="BV456" s="75" t="n"/>
      <c r="BW456" s="75" t="n"/>
      <c r="BX456" s="75" t="n"/>
      <c r="BY456" s="75" t="n"/>
      <c r="BZ456" s="75" t="n"/>
      <c r="CA456" s="75" t="n"/>
      <c r="CB456" s="75" t="n"/>
      <c r="CC456" s="75" t="n"/>
      <c r="CD456" s="75" t="n"/>
      <c r="CE456" s="75" t="n"/>
      <c r="CF456" s="75" t="n"/>
      <c r="CG456" s="75" t="n"/>
      <c r="CH456" s="75" t="n"/>
      <c r="CI456" s="75" t="n"/>
      <c r="CJ456" s="75" t="n"/>
      <c r="CK456" s="75" t="n"/>
      <c r="CL456" s="75" t="n"/>
      <c r="CM456" s="75" t="n"/>
      <c r="CN456" s="75" t="n"/>
      <c r="CO456" s="75" t="n"/>
      <c r="CP456" s="75" t="n"/>
      <c r="CQ456" s="75" t="n"/>
      <c r="CR456" s="75" t="n"/>
      <c r="CS456" s="75" t="n"/>
      <c r="CT456" s="75" t="n"/>
      <c r="CU456" s="75" t="n"/>
      <c r="CV456" s="75" t="n"/>
      <c r="CW456" s="75" t="n"/>
      <c r="CX456" s="75" t="n"/>
      <c r="CY456" s="75" t="n"/>
      <c r="CZ456" s="75" t="n"/>
    </row>
    <row r="457">
      <c r="B457" s="134">
        <f>IF($A456="",0,COUNT($E457:$CZ457))</f>
        <v/>
      </c>
    </row>
    <row r="458">
      <c r="A458" s="5">
        <f>IF(MXAU!$C$25="","",MXAU!$C$25)</f>
        <v/>
      </c>
      <c r="B458" s="134">
        <f>IF($A458="",0,COUNT($E458:$CZ458))</f>
        <v/>
      </c>
      <c r="C458" s="135">
        <f>IF($A458="",0,IF($B458=0,0,MAX($E458:$CZ458)))</f>
        <v/>
      </c>
      <c r="D458" s="74">
        <f>BDS($A458,'Field Check'!$C$42,"headers=y","startcol=2","endcol=3","dir=h")</f>
        <v/>
      </c>
      <c r="E458" s="75" t="n"/>
      <c r="F458" s="75" t="n"/>
      <c r="G458" s="75" t="n"/>
      <c r="H458" s="75" t="n"/>
      <c r="I458" s="75" t="n"/>
      <c r="J458" s="75" t="n"/>
      <c r="K458" s="75" t="n"/>
      <c r="L458" s="75" t="n"/>
      <c r="M458" s="75" t="n"/>
      <c r="N458" s="75" t="n"/>
      <c r="O458" s="75" t="n"/>
      <c r="P458" s="75" t="n"/>
      <c r="Q458" s="75" t="n"/>
      <c r="R458" s="75" t="n"/>
      <c r="S458" s="75" t="n"/>
      <c r="T458" s="75" t="n"/>
      <c r="U458" s="75" t="n"/>
      <c r="V458" s="75" t="n"/>
      <c r="W458" s="75" t="n"/>
      <c r="X458" s="75" t="n"/>
      <c r="Y458" s="75" t="n"/>
      <c r="Z458" s="75" t="n"/>
      <c r="AA458" s="75" t="n"/>
      <c r="AB458" s="75" t="n"/>
      <c r="AC458" s="75" t="n"/>
      <c r="AD458" s="75" t="n"/>
      <c r="AE458" s="75" t="n"/>
      <c r="AF458" s="75" t="n"/>
      <c r="AG458" s="75" t="n"/>
      <c r="AH458" s="75" t="n"/>
      <c r="AI458" s="75" t="n"/>
      <c r="AJ458" s="75" t="n"/>
      <c r="AK458" s="75" t="n"/>
      <c r="AL458" s="75" t="n"/>
      <c r="AM458" s="75" t="n"/>
      <c r="AN458" s="75" t="n"/>
      <c r="AO458" s="75" t="n"/>
      <c r="AP458" s="75" t="n"/>
      <c r="AQ458" s="75" t="n"/>
      <c r="AR458" s="75" t="n"/>
      <c r="AS458" s="75" t="n"/>
      <c r="AT458" s="75" t="n"/>
      <c r="AU458" s="75" t="n"/>
      <c r="AV458" s="75" t="n"/>
      <c r="AW458" s="75" t="n"/>
      <c r="AX458" s="75" t="n"/>
      <c r="AY458" s="75" t="n"/>
      <c r="AZ458" s="75" t="n"/>
      <c r="BA458" s="75" t="n"/>
      <c r="BB458" s="75" t="n"/>
      <c r="BC458" s="75" t="n"/>
      <c r="BD458" s="75" t="n"/>
      <c r="BE458" s="75" t="n"/>
      <c r="BF458" s="75" t="n"/>
      <c r="BG458" s="75" t="n"/>
      <c r="BH458" s="75" t="n"/>
      <c r="BI458" s="75" t="n"/>
      <c r="BJ458" s="75" t="n"/>
      <c r="BK458" s="75" t="n"/>
      <c r="BL458" s="75" t="n"/>
      <c r="BM458" s="75" t="n"/>
      <c r="BN458" s="75" t="n"/>
      <c r="BO458" s="75" t="n"/>
      <c r="BP458" s="75" t="n"/>
      <c r="BQ458" s="75" t="n"/>
      <c r="BR458" s="75" t="n"/>
      <c r="BS458" s="75" t="n"/>
      <c r="BT458" s="75" t="n"/>
      <c r="BU458" s="75" t="n"/>
      <c r="BV458" s="75" t="n"/>
      <c r="BW458" s="75" t="n"/>
      <c r="BX458" s="75" t="n"/>
      <c r="BY458" s="75" t="n"/>
      <c r="BZ458" s="75" t="n"/>
      <c r="CA458" s="75" t="n"/>
      <c r="CB458" s="75" t="n"/>
      <c r="CC458" s="75" t="n"/>
      <c r="CD458" s="75" t="n"/>
      <c r="CE458" s="75" t="n"/>
      <c r="CF458" s="75" t="n"/>
      <c r="CG458" s="75" t="n"/>
      <c r="CH458" s="75" t="n"/>
      <c r="CI458" s="75" t="n"/>
      <c r="CJ458" s="75" t="n"/>
      <c r="CK458" s="75" t="n"/>
      <c r="CL458" s="75" t="n"/>
      <c r="CM458" s="75" t="n"/>
      <c r="CN458" s="75" t="n"/>
      <c r="CO458" s="75" t="n"/>
      <c r="CP458" s="75" t="n"/>
      <c r="CQ458" s="75" t="n"/>
      <c r="CR458" s="75" t="n"/>
      <c r="CS458" s="75" t="n"/>
      <c r="CT458" s="75" t="n"/>
      <c r="CU458" s="75" t="n"/>
      <c r="CV458" s="75" t="n"/>
      <c r="CW458" s="75" t="n"/>
      <c r="CX458" s="75" t="n"/>
      <c r="CY458" s="75" t="n"/>
      <c r="CZ458" s="75" t="n"/>
    </row>
    <row r="459">
      <c r="B459" s="134">
        <f>IF($A458="",0,COUNT($E459:$CZ459))</f>
        <v/>
      </c>
    </row>
    <row r="460">
      <c r="A460" s="5">
        <f>IF(MXAU!$C$26="","",MXAU!$C$26)</f>
        <v/>
      </c>
      <c r="B460" s="134">
        <f>IF($A460="",0,COUNT($E460:$CZ460))</f>
        <v/>
      </c>
      <c r="C460" s="135">
        <f>IF($A460="",0,IF($B460=0,0,MAX($E460:$CZ460)))</f>
        <v/>
      </c>
      <c r="D460" s="74">
        <f>BDS($A460,'Field Check'!$C$42,"headers=y","startcol=2","endcol=3","dir=h")</f>
        <v/>
      </c>
      <c r="E460" s="75" t="n"/>
      <c r="F460" s="75" t="n"/>
      <c r="G460" s="75" t="n"/>
      <c r="H460" s="75" t="n"/>
      <c r="I460" s="75" t="n"/>
      <c r="J460" s="75" t="n"/>
      <c r="K460" s="75" t="n"/>
      <c r="L460" s="75" t="n"/>
      <c r="M460" s="75" t="n"/>
      <c r="N460" s="75" t="n"/>
      <c r="O460" s="75" t="n"/>
      <c r="P460" s="75" t="n"/>
      <c r="Q460" s="75" t="n"/>
      <c r="R460" s="75" t="n"/>
      <c r="S460" s="75" t="n"/>
      <c r="T460" s="75" t="n"/>
      <c r="U460" s="75" t="n"/>
      <c r="V460" s="75" t="n"/>
      <c r="W460" s="75" t="n"/>
      <c r="X460" s="75" t="n"/>
      <c r="Y460" s="75" t="n"/>
      <c r="Z460" s="75" t="n"/>
      <c r="AA460" s="75" t="n"/>
      <c r="AB460" s="75" t="n"/>
      <c r="AC460" s="75" t="n"/>
      <c r="AD460" s="75" t="n"/>
      <c r="AE460" s="75" t="n"/>
      <c r="AF460" s="75" t="n"/>
      <c r="AG460" s="75" t="n"/>
      <c r="AH460" s="75" t="n"/>
      <c r="AI460" s="75" t="n"/>
      <c r="AJ460" s="75" t="n"/>
      <c r="AK460" s="75" t="n"/>
      <c r="AL460" s="75" t="n"/>
      <c r="AM460" s="75" t="n"/>
      <c r="AN460" s="75" t="n"/>
      <c r="AO460" s="75" t="n"/>
      <c r="AP460" s="75" t="n"/>
      <c r="AQ460" s="75" t="n"/>
      <c r="AR460" s="75" t="n"/>
      <c r="AS460" s="75" t="n"/>
      <c r="AT460" s="75" t="n"/>
      <c r="AU460" s="75" t="n"/>
      <c r="AV460" s="75" t="n"/>
      <c r="AW460" s="75" t="n"/>
      <c r="AX460" s="75" t="n"/>
      <c r="AY460" s="75" t="n"/>
      <c r="AZ460" s="75" t="n"/>
      <c r="BA460" s="75" t="n"/>
      <c r="BB460" s="75" t="n"/>
      <c r="BC460" s="75" t="n"/>
      <c r="BD460" s="75" t="n"/>
      <c r="BE460" s="75" t="n"/>
      <c r="BF460" s="75" t="n"/>
      <c r="BG460" s="75" t="n"/>
      <c r="BH460" s="75" t="n"/>
      <c r="BI460" s="75" t="n"/>
      <c r="BJ460" s="75" t="n"/>
      <c r="BK460" s="75" t="n"/>
      <c r="BL460" s="75" t="n"/>
      <c r="BM460" s="75" t="n"/>
      <c r="BN460" s="75" t="n"/>
      <c r="BO460" s="75" t="n"/>
      <c r="BP460" s="75" t="n"/>
      <c r="BQ460" s="75" t="n"/>
      <c r="BR460" s="75" t="n"/>
      <c r="BS460" s="75" t="n"/>
      <c r="BT460" s="75" t="n"/>
      <c r="BU460" s="75" t="n"/>
      <c r="BV460" s="75" t="n"/>
      <c r="BW460" s="75" t="n"/>
      <c r="BX460" s="75" t="n"/>
      <c r="BY460" s="75" t="n"/>
      <c r="BZ460" s="75" t="n"/>
      <c r="CA460" s="75" t="n"/>
      <c r="CB460" s="75" t="n"/>
      <c r="CC460" s="75" t="n"/>
      <c r="CD460" s="75" t="n"/>
      <c r="CE460" s="75" t="n"/>
      <c r="CF460" s="75" t="n"/>
      <c r="CG460" s="75" t="n"/>
      <c r="CH460" s="75" t="n"/>
      <c r="CI460" s="75" t="n"/>
      <c r="CJ460" s="75" t="n"/>
      <c r="CK460" s="75" t="n"/>
      <c r="CL460" s="75" t="n"/>
      <c r="CM460" s="75" t="n"/>
      <c r="CN460" s="75" t="n"/>
      <c r="CO460" s="75" t="n"/>
      <c r="CP460" s="75" t="n"/>
      <c r="CQ460" s="75" t="n"/>
      <c r="CR460" s="75" t="n"/>
      <c r="CS460" s="75" t="n"/>
      <c r="CT460" s="75" t="n"/>
      <c r="CU460" s="75" t="n"/>
      <c r="CV460" s="75" t="n"/>
      <c r="CW460" s="75" t="n"/>
      <c r="CX460" s="75" t="n"/>
      <c r="CY460" s="75" t="n"/>
      <c r="CZ460" s="75" t="n"/>
    </row>
    <row r="461">
      <c r="B461" s="134">
        <f>IF($A460="",0,COUNT($E461:$CZ461))</f>
        <v/>
      </c>
    </row>
    <row r="462">
      <c r="A462" s="5">
        <f>IF(MXAU!$C$27="","",MXAU!$C$27)</f>
        <v/>
      </c>
      <c r="B462" s="134">
        <f>IF($A462="",0,COUNT($E462:$CZ462))</f>
        <v/>
      </c>
      <c r="C462" s="135">
        <f>IF($A462="",0,IF($B462=0,0,MAX($E462:$CZ462)))</f>
        <v/>
      </c>
      <c r="D462" s="74">
        <f>BDS($A462,'Field Check'!$C$42,"headers=y","startcol=2","endcol=3","dir=h")</f>
        <v/>
      </c>
      <c r="E462" s="75" t="n"/>
      <c r="F462" s="75" t="n"/>
      <c r="G462" s="75" t="n"/>
      <c r="H462" s="75" t="n"/>
      <c r="I462" s="75" t="n"/>
      <c r="J462" s="75" t="n"/>
      <c r="K462" s="75" t="n"/>
      <c r="L462" s="75" t="n"/>
      <c r="M462" s="75" t="n"/>
      <c r="N462" s="75" t="n"/>
      <c r="O462" s="75" t="n"/>
      <c r="P462" s="75" t="n"/>
      <c r="Q462" s="75" t="n"/>
      <c r="R462" s="75" t="n"/>
      <c r="S462" s="75" t="n"/>
      <c r="T462" s="75" t="n"/>
      <c r="U462" s="75" t="n"/>
      <c r="V462" s="75" t="n"/>
      <c r="W462" s="75" t="n"/>
      <c r="X462" s="75" t="n"/>
      <c r="Y462" s="75" t="n"/>
      <c r="Z462" s="75" t="n"/>
      <c r="AA462" s="75" t="n"/>
      <c r="AB462" s="75" t="n"/>
      <c r="AC462" s="75" t="n"/>
      <c r="AD462" s="75" t="n"/>
      <c r="AE462" s="75" t="n"/>
      <c r="AF462" s="75" t="n"/>
      <c r="AG462" s="75" t="n"/>
      <c r="AH462" s="75" t="n"/>
      <c r="AI462" s="75" t="n"/>
      <c r="AJ462" s="75" t="n"/>
      <c r="AK462" s="75" t="n"/>
      <c r="AL462" s="75" t="n"/>
      <c r="AM462" s="75" t="n"/>
      <c r="AN462" s="75" t="n"/>
      <c r="AO462" s="75" t="n"/>
      <c r="AP462" s="75" t="n"/>
      <c r="AQ462" s="75" t="n"/>
      <c r="AR462" s="75" t="n"/>
      <c r="AS462" s="75" t="n"/>
      <c r="AT462" s="75" t="n"/>
      <c r="AU462" s="75" t="n"/>
      <c r="AV462" s="75" t="n"/>
      <c r="AW462" s="75" t="n"/>
      <c r="AX462" s="75" t="n"/>
      <c r="AY462" s="75" t="n"/>
      <c r="AZ462" s="75" t="n"/>
      <c r="BA462" s="75" t="n"/>
      <c r="BB462" s="75" t="n"/>
      <c r="BC462" s="75" t="n"/>
      <c r="BD462" s="75" t="n"/>
      <c r="BE462" s="75" t="n"/>
      <c r="BF462" s="75" t="n"/>
      <c r="BG462" s="75" t="n"/>
      <c r="BH462" s="75" t="n"/>
      <c r="BI462" s="75" t="n"/>
      <c r="BJ462" s="75" t="n"/>
      <c r="BK462" s="75" t="n"/>
      <c r="BL462" s="75" t="n"/>
      <c r="BM462" s="75" t="n"/>
      <c r="BN462" s="75" t="n"/>
      <c r="BO462" s="75" t="n"/>
      <c r="BP462" s="75" t="n"/>
      <c r="BQ462" s="75" t="n"/>
      <c r="BR462" s="75" t="n"/>
      <c r="BS462" s="75" t="n"/>
      <c r="BT462" s="75" t="n"/>
      <c r="BU462" s="75" t="n"/>
      <c r="BV462" s="75" t="n"/>
      <c r="BW462" s="75" t="n"/>
      <c r="BX462" s="75" t="n"/>
      <c r="BY462" s="75" t="n"/>
      <c r="BZ462" s="75" t="n"/>
      <c r="CA462" s="75" t="n"/>
      <c r="CB462" s="75" t="n"/>
      <c r="CC462" s="75" t="n"/>
      <c r="CD462" s="75" t="n"/>
      <c r="CE462" s="75" t="n"/>
      <c r="CF462" s="75" t="n"/>
      <c r="CG462" s="75" t="n"/>
      <c r="CH462" s="75" t="n"/>
      <c r="CI462" s="75" t="n"/>
      <c r="CJ462" s="75" t="n"/>
      <c r="CK462" s="75" t="n"/>
      <c r="CL462" s="75" t="n"/>
      <c r="CM462" s="75" t="n"/>
      <c r="CN462" s="75" t="n"/>
      <c r="CO462" s="75" t="n"/>
      <c r="CP462" s="75" t="n"/>
      <c r="CQ462" s="75" t="n"/>
      <c r="CR462" s="75" t="n"/>
      <c r="CS462" s="75" t="n"/>
      <c r="CT462" s="75" t="n"/>
      <c r="CU462" s="75" t="n"/>
      <c r="CV462" s="75" t="n"/>
      <c r="CW462" s="75" t="n"/>
      <c r="CX462" s="75" t="n"/>
      <c r="CY462" s="75" t="n"/>
      <c r="CZ462" s="75" t="n"/>
    </row>
    <row r="463">
      <c r="B463" s="134">
        <f>IF($A462="",0,COUNT($E463:$CZ463))</f>
        <v/>
      </c>
    </row>
    <row r="464">
      <c r="A464" s="5">
        <f>IF(MXAU!$C$28="","",MXAU!$C$28)</f>
        <v/>
      </c>
      <c r="B464" s="134">
        <f>IF($A464="",0,COUNT($E464:$CZ464))</f>
        <v/>
      </c>
      <c r="C464" s="135">
        <f>IF($A464="",0,IF($B464=0,0,MAX($E464:$CZ464)))</f>
        <v/>
      </c>
      <c r="D464" s="74">
        <f>BDS($A464,'Field Check'!$C$42,"headers=y","startcol=2","endcol=3","dir=h")</f>
        <v/>
      </c>
      <c r="E464" s="75" t="n"/>
      <c r="F464" s="75" t="n"/>
      <c r="G464" s="75" t="n"/>
      <c r="H464" s="75" t="n"/>
      <c r="I464" s="75" t="n"/>
      <c r="J464" s="75" t="n"/>
      <c r="K464" s="75" t="n"/>
      <c r="L464" s="75" t="n"/>
      <c r="M464" s="75" t="n"/>
      <c r="N464" s="75" t="n"/>
      <c r="O464" s="75" t="n"/>
      <c r="P464" s="75" t="n"/>
      <c r="Q464" s="75" t="n"/>
      <c r="R464" s="75" t="n"/>
      <c r="S464" s="75" t="n"/>
      <c r="T464" s="75" t="n"/>
      <c r="U464" s="75" t="n"/>
      <c r="V464" s="75" t="n"/>
      <c r="W464" s="75" t="n"/>
      <c r="X464" s="75" t="n"/>
      <c r="Y464" s="75" t="n"/>
      <c r="Z464" s="75" t="n"/>
      <c r="AA464" s="75" t="n"/>
      <c r="AB464" s="75" t="n"/>
      <c r="AC464" s="75" t="n"/>
      <c r="AD464" s="75" t="n"/>
      <c r="AE464" s="75" t="n"/>
      <c r="AF464" s="75" t="n"/>
      <c r="AG464" s="75" t="n"/>
      <c r="AH464" s="75" t="n"/>
      <c r="AI464" s="75" t="n"/>
      <c r="AJ464" s="75" t="n"/>
      <c r="AK464" s="75" t="n"/>
      <c r="AL464" s="75" t="n"/>
      <c r="AM464" s="75" t="n"/>
      <c r="AN464" s="75" t="n"/>
      <c r="AO464" s="75" t="n"/>
      <c r="AP464" s="75" t="n"/>
      <c r="AQ464" s="75" t="n"/>
      <c r="AR464" s="75" t="n"/>
      <c r="AS464" s="75" t="n"/>
      <c r="AT464" s="75" t="n"/>
      <c r="AU464" s="75" t="n"/>
      <c r="AV464" s="75" t="n"/>
      <c r="AW464" s="75" t="n"/>
      <c r="AX464" s="75" t="n"/>
      <c r="AY464" s="75" t="n"/>
      <c r="AZ464" s="75" t="n"/>
      <c r="BA464" s="75" t="n"/>
      <c r="BB464" s="75" t="n"/>
      <c r="BC464" s="75" t="n"/>
      <c r="BD464" s="75" t="n"/>
      <c r="BE464" s="75" t="n"/>
      <c r="BF464" s="75" t="n"/>
      <c r="BG464" s="75" t="n"/>
      <c r="BH464" s="75" t="n"/>
      <c r="BI464" s="75" t="n"/>
      <c r="BJ464" s="75" t="n"/>
      <c r="BK464" s="75" t="n"/>
      <c r="BL464" s="75" t="n"/>
      <c r="BM464" s="75" t="n"/>
      <c r="BN464" s="75" t="n"/>
      <c r="BO464" s="75" t="n"/>
      <c r="BP464" s="75" t="n"/>
      <c r="BQ464" s="75" t="n"/>
      <c r="BR464" s="75" t="n"/>
      <c r="BS464" s="75" t="n"/>
      <c r="BT464" s="75" t="n"/>
      <c r="BU464" s="75" t="n"/>
      <c r="BV464" s="75" t="n"/>
      <c r="BW464" s="75" t="n"/>
      <c r="BX464" s="75" t="n"/>
      <c r="BY464" s="75" t="n"/>
      <c r="BZ464" s="75" t="n"/>
      <c r="CA464" s="75" t="n"/>
      <c r="CB464" s="75" t="n"/>
      <c r="CC464" s="75" t="n"/>
      <c r="CD464" s="75" t="n"/>
      <c r="CE464" s="75" t="n"/>
      <c r="CF464" s="75" t="n"/>
      <c r="CG464" s="75" t="n"/>
      <c r="CH464" s="75" t="n"/>
      <c r="CI464" s="75" t="n"/>
      <c r="CJ464" s="75" t="n"/>
      <c r="CK464" s="75" t="n"/>
      <c r="CL464" s="75" t="n"/>
      <c r="CM464" s="75" t="n"/>
      <c r="CN464" s="75" t="n"/>
      <c r="CO464" s="75" t="n"/>
      <c r="CP464" s="75" t="n"/>
      <c r="CQ464" s="75" t="n"/>
      <c r="CR464" s="75" t="n"/>
      <c r="CS464" s="75" t="n"/>
      <c r="CT464" s="75" t="n"/>
      <c r="CU464" s="75" t="n"/>
      <c r="CV464" s="75" t="n"/>
      <c r="CW464" s="75" t="n"/>
      <c r="CX464" s="75" t="n"/>
      <c r="CY464" s="75" t="n"/>
      <c r="CZ464" s="75" t="n"/>
    </row>
    <row r="465">
      <c r="B465" s="134">
        <f>IF($A464="",0,COUNT($E465:$CZ465))</f>
        <v/>
      </c>
    </row>
    <row r="466">
      <c r="A466" s="5">
        <f>IF(MXAU!$C$29="","",MXAU!$C$29)</f>
        <v/>
      </c>
      <c r="B466" s="134">
        <f>IF($A466="",0,COUNT($E466:$CZ466))</f>
        <v/>
      </c>
      <c r="C466" s="135">
        <f>IF($A466="",0,IF($B466=0,0,MAX($E466:$CZ466)))</f>
        <v/>
      </c>
      <c r="D466" s="74">
        <f>BDS($A466,'Field Check'!$C$42,"headers=y","startcol=2","endcol=3","dir=h")</f>
        <v/>
      </c>
      <c r="E466" s="75" t="n"/>
      <c r="F466" s="75" t="n"/>
      <c r="G466" s="75" t="n"/>
      <c r="H466" s="75" t="n"/>
      <c r="I466" s="75" t="n"/>
      <c r="J466" s="75" t="n"/>
      <c r="K466" s="75" t="n"/>
      <c r="L466" s="75" t="n"/>
      <c r="M466" s="75" t="n"/>
      <c r="N466" s="75" t="n"/>
      <c r="O466" s="75" t="n"/>
      <c r="P466" s="75" t="n"/>
      <c r="Q466" s="75" t="n"/>
      <c r="R466" s="75" t="n"/>
      <c r="S466" s="75" t="n"/>
      <c r="T466" s="75" t="n"/>
      <c r="U466" s="75" t="n"/>
      <c r="V466" s="75" t="n"/>
      <c r="W466" s="75" t="n"/>
      <c r="X466" s="75" t="n"/>
      <c r="Y466" s="75" t="n"/>
      <c r="Z466" s="75" t="n"/>
      <c r="AA466" s="75" t="n"/>
      <c r="AB466" s="75" t="n"/>
      <c r="AC466" s="75" t="n"/>
      <c r="AD466" s="75" t="n"/>
      <c r="AE466" s="75" t="n"/>
      <c r="AF466" s="75" t="n"/>
      <c r="AG466" s="75" t="n"/>
      <c r="AH466" s="75" t="n"/>
      <c r="AI466" s="75" t="n"/>
      <c r="AJ466" s="75" t="n"/>
      <c r="AK466" s="75" t="n"/>
      <c r="AL466" s="75" t="n"/>
      <c r="AM466" s="75" t="n"/>
      <c r="AN466" s="75" t="n"/>
      <c r="AO466" s="75" t="n"/>
      <c r="AP466" s="75" t="n"/>
      <c r="AQ466" s="75" t="n"/>
      <c r="AR466" s="75" t="n"/>
      <c r="AS466" s="75" t="n"/>
      <c r="AT466" s="75" t="n"/>
      <c r="AU466" s="75" t="n"/>
      <c r="AV466" s="75" t="n"/>
      <c r="AW466" s="75" t="n"/>
      <c r="AX466" s="75" t="n"/>
      <c r="AY466" s="75" t="n"/>
      <c r="AZ466" s="75" t="n"/>
      <c r="BA466" s="75" t="n"/>
      <c r="BB466" s="75" t="n"/>
      <c r="BC466" s="75" t="n"/>
      <c r="BD466" s="75" t="n"/>
      <c r="BE466" s="75" t="n"/>
      <c r="BF466" s="75" t="n"/>
      <c r="BG466" s="75" t="n"/>
      <c r="BH466" s="75" t="n"/>
      <c r="BI466" s="75" t="n"/>
      <c r="BJ466" s="75" t="n"/>
      <c r="BK466" s="75" t="n"/>
      <c r="BL466" s="75" t="n"/>
      <c r="BM466" s="75" t="n"/>
      <c r="BN466" s="75" t="n"/>
      <c r="BO466" s="75" t="n"/>
      <c r="BP466" s="75" t="n"/>
      <c r="BQ466" s="75" t="n"/>
      <c r="BR466" s="75" t="n"/>
      <c r="BS466" s="75" t="n"/>
      <c r="BT466" s="75" t="n"/>
      <c r="BU466" s="75" t="n"/>
      <c r="BV466" s="75" t="n"/>
      <c r="BW466" s="75" t="n"/>
      <c r="BX466" s="75" t="n"/>
      <c r="BY466" s="75" t="n"/>
      <c r="BZ466" s="75" t="n"/>
      <c r="CA466" s="75" t="n"/>
      <c r="CB466" s="75" t="n"/>
      <c r="CC466" s="75" t="n"/>
      <c r="CD466" s="75" t="n"/>
      <c r="CE466" s="75" t="n"/>
      <c r="CF466" s="75" t="n"/>
      <c r="CG466" s="75" t="n"/>
      <c r="CH466" s="75" t="n"/>
      <c r="CI466" s="75" t="n"/>
      <c r="CJ466" s="75" t="n"/>
      <c r="CK466" s="75" t="n"/>
      <c r="CL466" s="75" t="n"/>
      <c r="CM466" s="75" t="n"/>
      <c r="CN466" s="75" t="n"/>
      <c r="CO466" s="75" t="n"/>
      <c r="CP466" s="75" t="n"/>
      <c r="CQ466" s="75" t="n"/>
      <c r="CR466" s="75" t="n"/>
      <c r="CS466" s="75" t="n"/>
      <c r="CT466" s="75" t="n"/>
      <c r="CU466" s="75" t="n"/>
      <c r="CV466" s="75" t="n"/>
      <c r="CW466" s="75" t="n"/>
      <c r="CX466" s="75" t="n"/>
      <c r="CY466" s="75" t="n"/>
      <c r="CZ466" s="75" t="n"/>
    </row>
    <row r="467">
      <c r="B467" s="134">
        <f>IF($A466="",0,COUNT($E467:$CZ467))</f>
        <v/>
      </c>
    </row>
    <row r="468">
      <c r="A468" s="5">
        <f>IF(MXAU!$C$30="","",MXAU!$C$30)</f>
        <v/>
      </c>
      <c r="B468" s="134">
        <f>IF($A468="",0,COUNT($E468:$CZ468))</f>
        <v/>
      </c>
      <c r="C468" s="135">
        <f>IF($A468="",0,IF($B468=0,0,MAX($E468:$CZ468)))</f>
        <v/>
      </c>
      <c r="D468" s="74">
        <f>BDS($A468,'Field Check'!$C$42,"headers=y","startcol=2","endcol=3","dir=h")</f>
        <v/>
      </c>
      <c r="E468" s="75" t="n"/>
      <c r="F468" s="75" t="n"/>
      <c r="G468" s="75" t="n"/>
      <c r="H468" s="75" t="n"/>
      <c r="I468" s="75" t="n"/>
      <c r="J468" s="75" t="n"/>
      <c r="K468" s="75" t="n"/>
      <c r="L468" s="75" t="n"/>
      <c r="M468" s="75" t="n"/>
      <c r="N468" s="75" t="n"/>
      <c r="O468" s="75" t="n"/>
      <c r="P468" s="75" t="n"/>
      <c r="Q468" s="75" t="n"/>
      <c r="R468" s="75" t="n"/>
      <c r="S468" s="75" t="n"/>
      <c r="T468" s="75" t="n"/>
      <c r="U468" s="75" t="n"/>
      <c r="V468" s="75" t="n"/>
      <c r="W468" s="75" t="n"/>
      <c r="X468" s="75" t="n"/>
      <c r="Y468" s="75" t="n"/>
      <c r="Z468" s="75" t="n"/>
      <c r="AA468" s="75" t="n"/>
      <c r="AB468" s="75" t="n"/>
      <c r="AC468" s="75" t="n"/>
      <c r="AD468" s="75" t="n"/>
      <c r="AE468" s="75" t="n"/>
      <c r="AF468" s="75" t="n"/>
      <c r="AG468" s="75" t="n"/>
      <c r="AH468" s="75" t="n"/>
      <c r="AI468" s="75" t="n"/>
      <c r="AJ468" s="75" t="n"/>
      <c r="AK468" s="75" t="n"/>
      <c r="AL468" s="75" t="n"/>
      <c r="AM468" s="75" t="n"/>
      <c r="AN468" s="75" t="n"/>
      <c r="AO468" s="75" t="n"/>
      <c r="AP468" s="75" t="n"/>
      <c r="AQ468" s="75" t="n"/>
      <c r="AR468" s="75" t="n"/>
      <c r="AS468" s="75" t="n"/>
      <c r="AT468" s="75" t="n"/>
      <c r="AU468" s="75" t="n"/>
      <c r="AV468" s="75" t="n"/>
      <c r="AW468" s="75" t="n"/>
      <c r="AX468" s="75" t="n"/>
      <c r="AY468" s="75" t="n"/>
      <c r="AZ468" s="75" t="n"/>
      <c r="BA468" s="75" t="n"/>
      <c r="BB468" s="75" t="n"/>
      <c r="BC468" s="75" t="n"/>
      <c r="BD468" s="75" t="n"/>
      <c r="BE468" s="75" t="n"/>
      <c r="BF468" s="75" t="n"/>
      <c r="BG468" s="75" t="n"/>
      <c r="BH468" s="75" t="n"/>
      <c r="BI468" s="75" t="n"/>
      <c r="BJ468" s="75" t="n"/>
      <c r="BK468" s="75" t="n"/>
      <c r="BL468" s="75" t="n"/>
      <c r="BM468" s="75" t="n"/>
      <c r="BN468" s="75" t="n"/>
      <c r="BO468" s="75" t="n"/>
      <c r="BP468" s="75" t="n"/>
      <c r="BQ468" s="75" t="n"/>
      <c r="BR468" s="75" t="n"/>
      <c r="BS468" s="75" t="n"/>
      <c r="BT468" s="75" t="n"/>
      <c r="BU468" s="75" t="n"/>
      <c r="BV468" s="75" t="n"/>
      <c r="BW468" s="75" t="n"/>
      <c r="BX468" s="75" t="n"/>
      <c r="BY468" s="75" t="n"/>
      <c r="BZ468" s="75" t="n"/>
      <c r="CA468" s="75" t="n"/>
      <c r="CB468" s="75" t="n"/>
      <c r="CC468" s="75" t="n"/>
      <c r="CD468" s="75" t="n"/>
      <c r="CE468" s="75" t="n"/>
      <c r="CF468" s="75" t="n"/>
      <c r="CG468" s="75" t="n"/>
      <c r="CH468" s="75" t="n"/>
      <c r="CI468" s="75" t="n"/>
      <c r="CJ468" s="75" t="n"/>
      <c r="CK468" s="75" t="n"/>
      <c r="CL468" s="75" t="n"/>
      <c r="CM468" s="75" t="n"/>
      <c r="CN468" s="75" t="n"/>
      <c r="CO468" s="75" t="n"/>
      <c r="CP468" s="75" t="n"/>
      <c r="CQ468" s="75" t="n"/>
      <c r="CR468" s="75" t="n"/>
      <c r="CS468" s="75" t="n"/>
      <c r="CT468" s="75" t="n"/>
      <c r="CU468" s="75" t="n"/>
      <c r="CV468" s="75" t="n"/>
      <c r="CW468" s="75" t="n"/>
      <c r="CX468" s="75" t="n"/>
      <c r="CY468" s="75" t="n"/>
      <c r="CZ468" s="75" t="n"/>
    </row>
    <row r="469">
      <c r="B469" s="134">
        <f>IF($A468="",0,COUNT($E469:$CZ469))</f>
        <v/>
      </c>
    </row>
    <row r="470">
      <c r="A470" s="5">
        <f>IF(MXAU!$C$31="","",MXAU!$C$31)</f>
        <v/>
      </c>
      <c r="B470" s="134">
        <f>IF($A470="",0,COUNT($E470:$CZ470))</f>
        <v/>
      </c>
      <c r="C470" s="135">
        <f>IF($A470="",0,IF($B470=0,0,MAX($E470:$CZ470)))</f>
        <v/>
      </c>
      <c r="D470" s="74">
        <f>BDS($A470,'Field Check'!$C$42,"headers=y","startcol=2","endcol=3","dir=h")</f>
        <v/>
      </c>
      <c r="E470" s="75" t="n"/>
      <c r="F470" s="75" t="n"/>
      <c r="G470" s="75" t="n"/>
      <c r="H470" s="75" t="n"/>
      <c r="I470" s="75" t="n"/>
      <c r="J470" s="75" t="n"/>
      <c r="K470" s="75" t="n"/>
      <c r="L470" s="75" t="n"/>
      <c r="M470" s="75" t="n"/>
      <c r="N470" s="75" t="n"/>
      <c r="O470" s="75" t="n"/>
      <c r="P470" s="75" t="n"/>
      <c r="Q470" s="75" t="n"/>
      <c r="R470" s="75" t="n"/>
      <c r="S470" s="75" t="n"/>
      <c r="T470" s="75" t="n"/>
      <c r="U470" s="75" t="n"/>
      <c r="V470" s="75" t="n"/>
      <c r="W470" s="75" t="n"/>
      <c r="X470" s="75" t="n"/>
      <c r="Y470" s="75" t="n"/>
      <c r="Z470" s="75" t="n"/>
      <c r="AA470" s="75" t="n"/>
      <c r="AB470" s="75" t="n"/>
      <c r="AC470" s="75" t="n"/>
      <c r="AD470" s="75" t="n"/>
      <c r="AE470" s="75" t="n"/>
      <c r="AF470" s="75" t="n"/>
      <c r="AG470" s="75" t="n"/>
      <c r="AH470" s="75" t="n"/>
      <c r="AI470" s="75" t="n"/>
      <c r="AJ470" s="75" t="n"/>
      <c r="AK470" s="75" t="n"/>
      <c r="AL470" s="75" t="n"/>
      <c r="AM470" s="75" t="n"/>
      <c r="AN470" s="75" t="n"/>
      <c r="AO470" s="75" t="n"/>
      <c r="AP470" s="75" t="n"/>
      <c r="AQ470" s="75" t="n"/>
      <c r="AR470" s="75" t="n"/>
      <c r="AS470" s="75" t="n"/>
      <c r="AT470" s="75" t="n"/>
      <c r="AU470" s="75" t="n"/>
      <c r="AV470" s="75" t="n"/>
      <c r="AW470" s="75" t="n"/>
      <c r="AX470" s="75" t="n"/>
      <c r="AY470" s="75" t="n"/>
      <c r="AZ470" s="75" t="n"/>
      <c r="BA470" s="75" t="n"/>
      <c r="BB470" s="75" t="n"/>
      <c r="BC470" s="75" t="n"/>
      <c r="BD470" s="75" t="n"/>
      <c r="BE470" s="75" t="n"/>
      <c r="BF470" s="75" t="n"/>
      <c r="BG470" s="75" t="n"/>
      <c r="BH470" s="75" t="n"/>
      <c r="BI470" s="75" t="n"/>
      <c r="BJ470" s="75" t="n"/>
      <c r="BK470" s="75" t="n"/>
      <c r="BL470" s="75" t="n"/>
      <c r="BM470" s="75" t="n"/>
      <c r="BN470" s="75" t="n"/>
      <c r="BO470" s="75" t="n"/>
      <c r="BP470" s="75" t="n"/>
      <c r="BQ470" s="75" t="n"/>
      <c r="BR470" s="75" t="n"/>
      <c r="BS470" s="75" t="n"/>
      <c r="BT470" s="75" t="n"/>
      <c r="BU470" s="75" t="n"/>
      <c r="BV470" s="75" t="n"/>
      <c r="BW470" s="75" t="n"/>
      <c r="BX470" s="75" t="n"/>
      <c r="BY470" s="75" t="n"/>
      <c r="BZ470" s="75" t="n"/>
      <c r="CA470" s="75" t="n"/>
      <c r="CB470" s="75" t="n"/>
      <c r="CC470" s="75" t="n"/>
      <c r="CD470" s="75" t="n"/>
      <c r="CE470" s="75" t="n"/>
      <c r="CF470" s="75" t="n"/>
      <c r="CG470" s="75" t="n"/>
      <c r="CH470" s="75" t="n"/>
      <c r="CI470" s="75" t="n"/>
      <c r="CJ470" s="75" t="n"/>
      <c r="CK470" s="75" t="n"/>
      <c r="CL470" s="75" t="n"/>
      <c r="CM470" s="75" t="n"/>
      <c r="CN470" s="75" t="n"/>
      <c r="CO470" s="75" t="n"/>
      <c r="CP470" s="75" t="n"/>
      <c r="CQ470" s="75" t="n"/>
      <c r="CR470" s="75" t="n"/>
      <c r="CS470" s="75" t="n"/>
      <c r="CT470" s="75" t="n"/>
      <c r="CU470" s="75" t="n"/>
      <c r="CV470" s="75" t="n"/>
      <c r="CW470" s="75" t="n"/>
      <c r="CX470" s="75" t="n"/>
      <c r="CY470" s="75" t="n"/>
      <c r="CZ470" s="75" t="n"/>
    </row>
    <row r="471">
      <c r="B471" s="134">
        <f>IF($A470="",0,COUNT($E471:$CZ471))</f>
        <v/>
      </c>
    </row>
    <row r="472">
      <c r="A472" s="5">
        <f>IF(MXAU!$C$32="","",MXAU!$C$32)</f>
        <v/>
      </c>
      <c r="B472" s="134">
        <f>IF($A472="",0,COUNT($E472:$CZ472))</f>
        <v/>
      </c>
      <c r="C472" s="135">
        <f>IF($A472="",0,IF($B472=0,0,MAX($E472:$CZ472)))</f>
        <v/>
      </c>
      <c r="D472" s="74">
        <f>BDS($A472,'Field Check'!$C$42,"headers=y","startcol=2","endcol=3","dir=h")</f>
        <v/>
      </c>
      <c r="E472" s="75" t="n"/>
      <c r="F472" s="75" t="n"/>
      <c r="G472" s="75" t="n"/>
      <c r="H472" s="75" t="n"/>
      <c r="I472" s="75" t="n"/>
      <c r="J472" s="75" t="n"/>
      <c r="K472" s="75" t="n"/>
      <c r="L472" s="75" t="n"/>
      <c r="M472" s="75" t="n"/>
      <c r="N472" s="75" t="n"/>
      <c r="O472" s="75" t="n"/>
      <c r="P472" s="75" t="n"/>
      <c r="Q472" s="75" t="n"/>
      <c r="R472" s="75" t="n"/>
      <c r="S472" s="75" t="n"/>
      <c r="T472" s="75" t="n"/>
      <c r="U472" s="75" t="n"/>
      <c r="V472" s="75" t="n"/>
      <c r="W472" s="75" t="n"/>
      <c r="X472" s="75" t="n"/>
      <c r="Y472" s="75" t="n"/>
      <c r="Z472" s="75" t="n"/>
      <c r="AA472" s="75" t="n"/>
      <c r="AB472" s="75" t="n"/>
      <c r="AC472" s="75" t="n"/>
      <c r="AD472" s="75" t="n"/>
      <c r="AE472" s="75" t="n"/>
      <c r="AF472" s="75" t="n"/>
      <c r="AG472" s="75" t="n"/>
      <c r="AH472" s="75" t="n"/>
      <c r="AI472" s="75" t="n"/>
      <c r="AJ472" s="75" t="n"/>
      <c r="AK472" s="75" t="n"/>
      <c r="AL472" s="75" t="n"/>
      <c r="AM472" s="75" t="n"/>
      <c r="AN472" s="75" t="n"/>
      <c r="AO472" s="75" t="n"/>
      <c r="AP472" s="75" t="n"/>
      <c r="AQ472" s="75" t="n"/>
      <c r="AR472" s="75" t="n"/>
      <c r="AS472" s="75" t="n"/>
      <c r="AT472" s="75" t="n"/>
      <c r="AU472" s="75" t="n"/>
      <c r="AV472" s="75" t="n"/>
      <c r="AW472" s="75" t="n"/>
      <c r="AX472" s="75" t="n"/>
      <c r="AY472" s="75" t="n"/>
      <c r="AZ472" s="75" t="n"/>
      <c r="BA472" s="75" t="n"/>
      <c r="BB472" s="75" t="n"/>
      <c r="BC472" s="75" t="n"/>
      <c r="BD472" s="75" t="n"/>
      <c r="BE472" s="75" t="n"/>
      <c r="BF472" s="75" t="n"/>
      <c r="BG472" s="75" t="n"/>
      <c r="BH472" s="75" t="n"/>
      <c r="BI472" s="75" t="n"/>
      <c r="BJ472" s="75" t="n"/>
      <c r="BK472" s="75" t="n"/>
      <c r="BL472" s="75" t="n"/>
      <c r="BM472" s="75" t="n"/>
      <c r="BN472" s="75" t="n"/>
      <c r="BO472" s="75" t="n"/>
      <c r="BP472" s="75" t="n"/>
      <c r="BQ472" s="75" t="n"/>
      <c r="BR472" s="75" t="n"/>
      <c r="BS472" s="75" t="n"/>
      <c r="BT472" s="75" t="n"/>
      <c r="BU472" s="75" t="n"/>
      <c r="BV472" s="75" t="n"/>
      <c r="BW472" s="75" t="n"/>
      <c r="BX472" s="75" t="n"/>
      <c r="BY472" s="75" t="n"/>
      <c r="BZ472" s="75" t="n"/>
      <c r="CA472" s="75" t="n"/>
      <c r="CB472" s="75" t="n"/>
      <c r="CC472" s="75" t="n"/>
      <c r="CD472" s="75" t="n"/>
      <c r="CE472" s="75" t="n"/>
      <c r="CF472" s="75" t="n"/>
      <c r="CG472" s="75" t="n"/>
      <c r="CH472" s="75" t="n"/>
      <c r="CI472" s="75" t="n"/>
      <c r="CJ472" s="75" t="n"/>
      <c r="CK472" s="75" t="n"/>
      <c r="CL472" s="75" t="n"/>
      <c r="CM472" s="75" t="n"/>
      <c r="CN472" s="75" t="n"/>
      <c r="CO472" s="75" t="n"/>
      <c r="CP472" s="75" t="n"/>
      <c r="CQ472" s="75" t="n"/>
      <c r="CR472" s="75" t="n"/>
      <c r="CS472" s="75" t="n"/>
      <c r="CT472" s="75" t="n"/>
      <c r="CU472" s="75" t="n"/>
      <c r="CV472" s="75" t="n"/>
      <c r="CW472" s="75" t="n"/>
      <c r="CX472" s="75" t="n"/>
      <c r="CY472" s="75" t="n"/>
      <c r="CZ472" s="75" t="n"/>
    </row>
    <row r="473">
      <c r="B473" s="134">
        <f>IF($A472="",0,COUNT($E473:$CZ473))</f>
        <v/>
      </c>
    </row>
    <row r="474">
      <c r="A474" s="5">
        <f>IF(MXAU!$C$33="","",MXAU!$C$33)</f>
        <v/>
      </c>
      <c r="B474" s="134">
        <f>IF($A474="",0,COUNT($E474:$CZ474))</f>
        <v/>
      </c>
      <c r="C474" s="135">
        <f>IF($A474="",0,IF($B474=0,0,MAX($E474:$CZ474)))</f>
        <v/>
      </c>
      <c r="D474" s="74">
        <f>BDS($A474,'Field Check'!$C$42,"headers=y","startcol=2","endcol=3","dir=h")</f>
        <v/>
      </c>
      <c r="E474" s="75" t="n"/>
      <c r="F474" s="75" t="n"/>
      <c r="G474" s="75" t="n"/>
      <c r="H474" s="75" t="n"/>
      <c r="I474" s="75" t="n"/>
      <c r="J474" s="75" t="n"/>
      <c r="K474" s="75" t="n"/>
      <c r="L474" s="75" t="n"/>
      <c r="M474" s="75" t="n"/>
      <c r="N474" s="75" t="n"/>
      <c r="O474" s="75" t="n"/>
      <c r="P474" s="75" t="n"/>
      <c r="Q474" s="75" t="n"/>
      <c r="R474" s="75" t="n"/>
      <c r="S474" s="75" t="n"/>
      <c r="T474" s="75" t="n"/>
      <c r="U474" s="75" t="n"/>
      <c r="V474" s="75" t="n"/>
      <c r="W474" s="75" t="n"/>
      <c r="X474" s="75" t="n"/>
      <c r="Y474" s="75" t="n"/>
      <c r="Z474" s="75" t="n"/>
      <c r="AA474" s="75" t="n"/>
      <c r="AB474" s="75" t="n"/>
      <c r="AC474" s="75" t="n"/>
      <c r="AD474" s="75" t="n"/>
      <c r="AE474" s="75" t="n"/>
      <c r="AF474" s="75" t="n"/>
      <c r="AG474" s="75" t="n"/>
      <c r="AH474" s="75" t="n"/>
      <c r="AI474" s="75" t="n"/>
      <c r="AJ474" s="75" t="n"/>
      <c r="AK474" s="75" t="n"/>
      <c r="AL474" s="75" t="n"/>
      <c r="AM474" s="75" t="n"/>
      <c r="AN474" s="75" t="n"/>
      <c r="AO474" s="75" t="n"/>
      <c r="AP474" s="75" t="n"/>
      <c r="AQ474" s="75" t="n"/>
      <c r="AR474" s="75" t="n"/>
      <c r="AS474" s="75" t="n"/>
      <c r="AT474" s="75" t="n"/>
      <c r="AU474" s="75" t="n"/>
      <c r="AV474" s="75" t="n"/>
      <c r="AW474" s="75" t="n"/>
      <c r="AX474" s="75" t="n"/>
      <c r="AY474" s="75" t="n"/>
      <c r="AZ474" s="75" t="n"/>
      <c r="BA474" s="75" t="n"/>
      <c r="BB474" s="75" t="n"/>
      <c r="BC474" s="75" t="n"/>
      <c r="BD474" s="75" t="n"/>
      <c r="BE474" s="75" t="n"/>
      <c r="BF474" s="75" t="n"/>
      <c r="BG474" s="75" t="n"/>
      <c r="BH474" s="75" t="n"/>
      <c r="BI474" s="75" t="n"/>
      <c r="BJ474" s="75" t="n"/>
      <c r="BK474" s="75" t="n"/>
      <c r="BL474" s="75" t="n"/>
      <c r="BM474" s="75" t="n"/>
      <c r="BN474" s="75" t="n"/>
      <c r="BO474" s="75" t="n"/>
      <c r="BP474" s="75" t="n"/>
      <c r="BQ474" s="75" t="n"/>
      <c r="BR474" s="75" t="n"/>
      <c r="BS474" s="75" t="n"/>
      <c r="BT474" s="75" t="n"/>
      <c r="BU474" s="75" t="n"/>
      <c r="BV474" s="75" t="n"/>
      <c r="BW474" s="75" t="n"/>
      <c r="BX474" s="75" t="n"/>
      <c r="BY474" s="75" t="n"/>
      <c r="BZ474" s="75" t="n"/>
      <c r="CA474" s="75" t="n"/>
      <c r="CB474" s="75" t="n"/>
      <c r="CC474" s="75" t="n"/>
      <c r="CD474" s="75" t="n"/>
      <c r="CE474" s="75" t="n"/>
      <c r="CF474" s="75" t="n"/>
      <c r="CG474" s="75" t="n"/>
      <c r="CH474" s="75" t="n"/>
      <c r="CI474" s="75" t="n"/>
      <c r="CJ474" s="75" t="n"/>
      <c r="CK474" s="75" t="n"/>
      <c r="CL474" s="75" t="n"/>
      <c r="CM474" s="75" t="n"/>
      <c r="CN474" s="75" t="n"/>
      <c r="CO474" s="75" t="n"/>
      <c r="CP474" s="75" t="n"/>
      <c r="CQ474" s="75" t="n"/>
      <c r="CR474" s="75" t="n"/>
      <c r="CS474" s="75" t="n"/>
      <c r="CT474" s="75" t="n"/>
      <c r="CU474" s="75" t="n"/>
      <c r="CV474" s="75" t="n"/>
      <c r="CW474" s="75" t="n"/>
      <c r="CX474" s="75" t="n"/>
      <c r="CY474" s="75" t="n"/>
      <c r="CZ474" s="75" t="n"/>
    </row>
    <row r="475">
      <c r="B475" s="134">
        <f>IF($A474="",0,COUNT($E475:$CZ475))</f>
        <v/>
      </c>
    </row>
    <row r="476">
      <c r="A476" s="5">
        <f>IF(MXAU!$C$34="","",MXAU!$C$34)</f>
        <v/>
      </c>
      <c r="B476" s="134">
        <f>IF($A476="",0,COUNT($E476:$CZ476))</f>
        <v/>
      </c>
      <c r="C476" s="135">
        <f>IF($A476="",0,IF($B476=0,0,MAX($E476:$CZ476)))</f>
        <v/>
      </c>
      <c r="D476" s="74">
        <f>BDS($A476,'Field Check'!$C$42,"headers=y","startcol=2","endcol=3","dir=h")</f>
        <v/>
      </c>
      <c r="E476" s="75" t="n"/>
      <c r="F476" s="75" t="n"/>
      <c r="G476" s="75" t="n"/>
      <c r="H476" s="75" t="n"/>
      <c r="I476" s="75" t="n"/>
      <c r="J476" s="75" t="n"/>
      <c r="K476" s="75" t="n"/>
      <c r="L476" s="75" t="n"/>
      <c r="M476" s="75" t="n"/>
      <c r="N476" s="75" t="n"/>
      <c r="O476" s="75" t="n"/>
      <c r="P476" s="75" t="n"/>
      <c r="Q476" s="75" t="n"/>
      <c r="R476" s="75" t="n"/>
      <c r="S476" s="75" t="n"/>
      <c r="T476" s="75" t="n"/>
      <c r="U476" s="75" t="n"/>
      <c r="V476" s="75" t="n"/>
      <c r="W476" s="75" t="n"/>
      <c r="X476" s="75" t="n"/>
      <c r="Y476" s="75" t="n"/>
      <c r="Z476" s="75" t="n"/>
      <c r="AA476" s="75" t="n"/>
      <c r="AB476" s="75" t="n"/>
      <c r="AC476" s="75" t="n"/>
      <c r="AD476" s="75" t="n"/>
      <c r="AE476" s="75" t="n"/>
      <c r="AF476" s="75" t="n"/>
      <c r="AG476" s="75" t="n"/>
      <c r="AH476" s="75" t="n"/>
      <c r="AI476" s="75" t="n"/>
      <c r="AJ476" s="75" t="n"/>
      <c r="AK476" s="75" t="n"/>
      <c r="AL476" s="75" t="n"/>
      <c r="AM476" s="75" t="n"/>
      <c r="AN476" s="75" t="n"/>
      <c r="AO476" s="75" t="n"/>
      <c r="AP476" s="75" t="n"/>
      <c r="AQ476" s="75" t="n"/>
      <c r="AR476" s="75" t="n"/>
      <c r="AS476" s="75" t="n"/>
      <c r="AT476" s="75" t="n"/>
      <c r="AU476" s="75" t="n"/>
      <c r="AV476" s="75" t="n"/>
      <c r="AW476" s="75" t="n"/>
      <c r="AX476" s="75" t="n"/>
      <c r="AY476" s="75" t="n"/>
      <c r="AZ476" s="75" t="n"/>
      <c r="BA476" s="75" t="n"/>
      <c r="BB476" s="75" t="n"/>
      <c r="BC476" s="75" t="n"/>
      <c r="BD476" s="75" t="n"/>
      <c r="BE476" s="75" t="n"/>
      <c r="BF476" s="75" t="n"/>
      <c r="BG476" s="75" t="n"/>
      <c r="BH476" s="75" t="n"/>
      <c r="BI476" s="75" t="n"/>
      <c r="BJ476" s="75" t="n"/>
      <c r="BK476" s="75" t="n"/>
      <c r="BL476" s="75" t="n"/>
      <c r="BM476" s="75" t="n"/>
      <c r="BN476" s="75" t="n"/>
      <c r="BO476" s="75" t="n"/>
      <c r="BP476" s="75" t="n"/>
      <c r="BQ476" s="75" t="n"/>
      <c r="BR476" s="75" t="n"/>
      <c r="BS476" s="75" t="n"/>
      <c r="BT476" s="75" t="n"/>
      <c r="BU476" s="75" t="n"/>
      <c r="BV476" s="75" t="n"/>
      <c r="BW476" s="75" t="n"/>
      <c r="BX476" s="75" t="n"/>
      <c r="BY476" s="75" t="n"/>
      <c r="BZ476" s="75" t="n"/>
      <c r="CA476" s="75" t="n"/>
      <c r="CB476" s="75" t="n"/>
      <c r="CC476" s="75" t="n"/>
      <c r="CD476" s="75" t="n"/>
      <c r="CE476" s="75" t="n"/>
      <c r="CF476" s="75" t="n"/>
      <c r="CG476" s="75" t="n"/>
      <c r="CH476" s="75" t="n"/>
      <c r="CI476" s="75" t="n"/>
      <c r="CJ476" s="75" t="n"/>
      <c r="CK476" s="75" t="n"/>
      <c r="CL476" s="75" t="n"/>
      <c r="CM476" s="75" t="n"/>
      <c r="CN476" s="75" t="n"/>
      <c r="CO476" s="75" t="n"/>
      <c r="CP476" s="75" t="n"/>
      <c r="CQ476" s="75" t="n"/>
      <c r="CR476" s="75" t="n"/>
      <c r="CS476" s="75" t="n"/>
      <c r="CT476" s="75" t="n"/>
      <c r="CU476" s="75" t="n"/>
      <c r="CV476" s="75" t="n"/>
      <c r="CW476" s="75" t="n"/>
      <c r="CX476" s="75" t="n"/>
      <c r="CY476" s="75" t="n"/>
      <c r="CZ476" s="75" t="n"/>
    </row>
    <row r="477">
      <c r="B477" s="134">
        <f>IF($A476="",0,COUNT($E477:$CZ477))</f>
        <v/>
      </c>
    </row>
    <row r="478">
      <c r="A478" s="5">
        <f>IF(MXAU!$C$35="","",MXAU!$C$35)</f>
        <v/>
      </c>
      <c r="B478" s="134">
        <f>IF($A478="",0,COUNT($E478:$CZ478))</f>
        <v/>
      </c>
      <c r="C478" s="135">
        <f>IF($A478="",0,IF($B478=0,0,MAX($E478:$CZ478)))</f>
        <v/>
      </c>
      <c r="D478" s="74">
        <f>BDS($A478,'Field Check'!$C$42,"headers=y","startcol=2","endcol=3","dir=h")</f>
        <v/>
      </c>
      <c r="E478" s="75" t="n"/>
      <c r="F478" s="75" t="n"/>
      <c r="G478" s="75" t="n"/>
      <c r="H478" s="75" t="n"/>
      <c r="I478" s="75" t="n"/>
      <c r="J478" s="75" t="n"/>
      <c r="K478" s="75" t="n"/>
      <c r="L478" s="75" t="n"/>
      <c r="M478" s="75" t="n"/>
      <c r="N478" s="75" t="n"/>
      <c r="O478" s="75" t="n"/>
      <c r="P478" s="75" t="n"/>
      <c r="Q478" s="75" t="n"/>
      <c r="R478" s="75" t="n"/>
      <c r="S478" s="75" t="n"/>
      <c r="T478" s="75" t="n"/>
      <c r="U478" s="75" t="n"/>
      <c r="V478" s="75" t="n"/>
      <c r="W478" s="75" t="n"/>
      <c r="X478" s="75" t="n"/>
      <c r="Y478" s="75" t="n"/>
      <c r="Z478" s="75" t="n"/>
      <c r="AA478" s="75" t="n"/>
      <c r="AB478" s="75" t="n"/>
      <c r="AC478" s="75" t="n"/>
      <c r="AD478" s="75" t="n"/>
      <c r="AE478" s="75" t="n"/>
      <c r="AF478" s="75" t="n"/>
      <c r="AG478" s="75" t="n"/>
      <c r="AH478" s="75" t="n"/>
      <c r="AI478" s="75" t="n"/>
      <c r="AJ478" s="75" t="n"/>
      <c r="AK478" s="75" t="n"/>
      <c r="AL478" s="75" t="n"/>
      <c r="AM478" s="75" t="n"/>
      <c r="AN478" s="75" t="n"/>
      <c r="AO478" s="75" t="n"/>
      <c r="AP478" s="75" t="n"/>
      <c r="AQ478" s="75" t="n"/>
      <c r="AR478" s="75" t="n"/>
      <c r="AS478" s="75" t="n"/>
      <c r="AT478" s="75" t="n"/>
      <c r="AU478" s="75" t="n"/>
      <c r="AV478" s="75" t="n"/>
      <c r="AW478" s="75" t="n"/>
      <c r="AX478" s="75" t="n"/>
      <c r="AY478" s="75" t="n"/>
      <c r="AZ478" s="75" t="n"/>
      <c r="BA478" s="75" t="n"/>
      <c r="BB478" s="75" t="n"/>
      <c r="BC478" s="75" t="n"/>
      <c r="BD478" s="75" t="n"/>
      <c r="BE478" s="75" t="n"/>
      <c r="BF478" s="75" t="n"/>
      <c r="BG478" s="75" t="n"/>
      <c r="BH478" s="75" t="n"/>
      <c r="BI478" s="75" t="n"/>
      <c r="BJ478" s="75" t="n"/>
      <c r="BK478" s="75" t="n"/>
      <c r="BL478" s="75" t="n"/>
      <c r="BM478" s="75" t="n"/>
      <c r="BN478" s="75" t="n"/>
      <c r="BO478" s="75" t="n"/>
      <c r="BP478" s="75" t="n"/>
      <c r="BQ478" s="75" t="n"/>
      <c r="BR478" s="75" t="n"/>
      <c r="BS478" s="75" t="n"/>
      <c r="BT478" s="75" t="n"/>
      <c r="BU478" s="75" t="n"/>
      <c r="BV478" s="75" t="n"/>
      <c r="BW478" s="75" t="n"/>
      <c r="BX478" s="75" t="n"/>
      <c r="BY478" s="75" t="n"/>
      <c r="BZ478" s="75" t="n"/>
      <c r="CA478" s="75" t="n"/>
      <c r="CB478" s="75" t="n"/>
      <c r="CC478" s="75" t="n"/>
      <c r="CD478" s="75" t="n"/>
      <c r="CE478" s="75" t="n"/>
      <c r="CF478" s="75" t="n"/>
      <c r="CG478" s="75" t="n"/>
      <c r="CH478" s="75" t="n"/>
      <c r="CI478" s="75" t="n"/>
      <c r="CJ478" s="75" t="n"/>
      <c r="CK478" s="75" t="n"/>
      <c r="CL478" s="75" t="n"/>
      <c r="CM478" s="75" t="n"/>
      <c r="CN478" s="75" t="n"/>
      <c r="CO478" s="75" t="n"/>
      <c r="CP478" s="75" t="n"/>
      <c r="CQ478" s="75" t="n"/>
      <c r="CR478" s="75" t="n"/>
      <c r="CS478" s="75" t="n"/>
      <c r="CT478" s="75" t="n"/>
      <c r="CU478" s="75" t="n"/>
      <c r="CV478" s="75" t="n"/>
      <c r="CW478" s="75" t="n"/>
      <c r="CX478" s="75" t="n"/>
      <c r="CY478" s="75" t="n"/>
      <c r="CZ478" s="75" t="n"/>
    </row>
    <row r="479">
      <c r="B479" s="134">
        <f>IF($A478="",0,COUNT($E479:$CZ479))</f>
        <v/>
      </c>
    </row>
    <row r="480">
      <c r="A480" s="5">
        <f>IF(MXAU!$C$36="","",MXAU!$C$36)</f>
        <v/>
      </c>
      <c r="B480" s="134">
        <f>IF($A480="",0,COUNT($E480:$CZ480))</f>
        <v/>
      </c>
      <c r="C480" s="135">
        <f>IF($A480="",0,IF($B480=0,0,MAX($E480:$CZ480)))</f>
        <v/>
      </c>
      <c r="D480" s="74">
        <f>BDS($A480,'Field Check'!$C$42,"headers=y","startcol=2","endcol=3","dir=h")</f>
        <v/>
      </c>
      <c r="E480" s="75" t="n"/>
      <c r="F480" s="75" t="n"/>
      <c r="G480" s="75" t="n"/>
      <c r="H480" s="75" t="n"/>
      <c r="I480" s="75" t="n"/>
      <c r="J480" s="75" t="n"/>
      <c r="K480" s="75" t="n"/>
      <c r="L480" s="75" t="n"/>
      <c r="M480" s="75" t="n"/>
      <c r="N480" s="75" t="n"/>
      <c r="O480" s="75" t="n"/>
      <c r="P480" s="75" t="n"/>
      <c r="Q480" s="75" t="n"/>
      <c r="R480" s="75" t="n"/>
      <c r="S480" s="75" t="n"/>
      <c r="T480" s="75" t="n"/>
      <c r="U480" s="75" t="n"/>
      <c r="V480" s="75" t="n"/>
      <c r="W480" s="75" t="n"/>
      <c r="X480" s="75" t="n"/>
      <c r="Y480" s="75" t="n"/>
      <c r="Z480" s="75" t="n"/>
      <c r="AA480" s="75" t="n"/>
      <c r="AB480" s="75" t="n"/>
      <c r="AC480" s="75" t="n"/>
      <c r="AD480" s="75" t="n"/>
      <c r="AE480" s="75" t="n"/>
      <c r="AF480" s="75" t="n"/>
      <c r="AG480" s="75" t="n"/>
      <c r="AH480" s="75" t="n"/>
      <c r="AI480" s="75" t="n"/>
      <c r="AJ480" s="75" t="n"/>
      <c r="AK480" s="75" t="n"/>
      <c r="AL480" s="75" t="n"/>
      <c r="AM480" s="75" t="n"/>
      <c r="AN480" s="75" t="n"/>
      <c r="AO480" s="75" t="n"/>
      <c r="AP480" s="75" t="n"/>
      <c r="AQ480" s="75" t="n"/>
      <c r="AR480" s="75" t="n"/>
      <c r="AS480" s="75" t="n"/>
      <c r="AT480" s="75" t="n"/>
      <c r="AU480" s="75" t="n"/>
      <c r="AV480" s="75" t="n"/>
      <c r="AW480" s="75" t="n"/>
      <c r="AX480" s="75" t="n"/>
      <c r="AY480" s="75" t="n"/>
      <c r="AZ480" s="75" t="n"/>
      <c r="BA480" s="75" t="n"/>
      <c r="BB480" s="75" t="n"/>
      <c r="BC480" s="75" t="n"/>
      <c r="BD480" s="75" t="n"/>
      <c r="BE480" s="75" t="n"/>
      <c r="BF480" s="75" t="n"/>
      <c r="BG480" s="75" t="n"/>
      <c r="BH480" s="75" t="n"/>
      <c r="BI480" s="75" t="n"/>
      <c r="BJ480" s="75" t="n"/>
      <c r="BK480" s="75" t="n"/>
      <c r="BL480" s="75" t="n"/>
      <c r="BM480" s="75" t="n"/>
      <c r="BN480" s="75" t="n"/>
      <c r="BO480" s="75" t="n"/>
      <c r="BP480" s="75" t="n"/>
      <c r="BQ480" s="75" t="n"/>
      <c r="BR480" s="75" t="n"/>
      <c r="BS480" s="75" t="n"/>
      <c r="BT480" s="75" t="n"/>
      <c r="BU480" s="75" t="n"/>
      <c r="BV480" s="75" t="n"/>
      <c r="BW480" s="75" t="n"/>
      <c r="BX480" s="75" t="n"/>
      <c r="BY480" s="75" t="n"/>
      <c r="BZ480" s="75" t="n"/>
      <c r="CA480" s="75" t="n"/>
      <c r="CB480" s="75" t="n"/>
      <c r="CC480" s="75" t="n"/>
      <c r="CD480" s="75" t="n"/>
      <c r="CE480" s="75" t="n"/>
      <c r="CF480" s="75" t="n"/>
      <c r="CG480" s="75" t="n"/>
      <c r="CH480" s="75" t="n"/>
      <c r="CI480" s="75" t="n"/>
      <c r="CJ480" s="75" t="n"/>
      <c r="CK480" s="75" t="n"/>
      <c r="CL480" s="75" t="n"/>
      <c r="CM480" s="75" t="n"/>
      <c r="CN480" s="75" t="n"/>
      <c r="CO480" s="75" t="n"/>
      <c r="CP480" s="75" t="n"/>
      <c r="CQ480" s="75" t="n"/>
      <c r="CR480" s="75" t="n"/>
      <c r="CS480" s="75" t="n"/>
      <c r="CT480" s="75" t="n"/>
      <c r="CU480" s="75" t="n"/>
      <c r="CV480" s="75" t="n"/>
      <c r="CW480" s="75" t="n"/>
      <c r="CX480" s="75" t="n"/>
      <c r="CY480" s="75" t="n"/>
      <c r="CZ480" s="75" t="n"/>
    </row>
    <row r="481">
      <c r="B481" s="134">
        <f>IF($A480="",0,COUNT($E481:$CZ481))</f>
        <v/>
      </c>
    </row>
    <row r="482">
      <c r="A482" s="5">
        <f>IF(MXAU!$C$37="","",MXAU!$C$37)</f>
        <v/>
      </c>
      <c r="B482" s="134">
        <f>IF($A482="",0,COUNT($E482:$CZ482))</f>
        <v/>
      </c>
      <c r="C482" s="135">
        <f>IF($A482="",0,IF($B482=0,0,MAX($E482:$CZ482)))</f>
        <v/>
      </c>
      <c r="D482" s="74">
        <f>BDS($A482,'Field Check'!$C$42,"headers=y","startcol=2","endcol=3","dir=h")</f>
        <v/>
      </c>
      <c r="E482" s="75" t="n"/>
      <c r="F482" s="75" t="n"/>
      <c r="G482" s="75" t="n"/>
      <c r="H482" s="75" t="n"/>
      <c r="I482" s="75" t="n"/>
      <c r="J482" s="75" t="n"/>
      <c r="K482" s="75" t="n"/>
      <c r="L482" s="75" t="n"/>
      <c r="M482" s="75" t="n"/>
      <c r="N482" s="75" t="n"/>
      <c r="O482" s="75" t="n"/>
      <c r="P482" s="75" t="n"/>
      <c r="Q482" s="75" t="n"/>
      <c r="R482" s="75" t="n"/>
      <c r="S482" s="75" t="n"/>
      <c r="T482" s="75" t="n"/>
      <c r="U482" s="75" t="n"/>
      <c r="V482" s="75" t="n"/>
      <c r="W482" s="75" t="n"/>
      <c r="X482" s="75" t="n"/>
      <c r="Y482" s="75" t="n"/>
      <c r="Z482" s="75" t="n"/>
      <c r="AA482" s="75" t="n"/>
      <c r="AB482" s="75" t="n"/>
      <c r="AC482" s="75" t="n"/>
      <c r="AD482" s="75" t="n"/>
      <c r="AE482" s="75" t="n"/>
      <c r="AF482" s="75" t="n"/>
      <c r="AG482" s="75" t="n"/>
      <c r="AH482" s="75" t="n"/>
      <c r="AI482" s="75" t="n"/>
      <c r="AJ482" s="75" t="n"/>
      <c r="AK482" s="75" t="n"/>
      <c r="AL482" s="75" t="n"/>
      <c r="AM482" s="75" t="n"/>
      <c r="AN482" s="75" t="n"/>
      <c r="AO482" s="75" t="n"/>
      <c r="AP482" s="75" t="n"/>
      <c r="AQ482" s="75" t="n"/>
      <c r="AR482" s="75" t="n"/>
      <c r="AS482" s="75" t="n"/>
      <c r="AT482" s="75" t="n"/>
      <c r="AU482" s="75" t="n"/>
      <c r="AV482" s="75" t="n"/>
      <c r="AW482" s="75" t="n"/>
      <c r="AX482" s="75" t="n"/>
      <c r="AY482" s="75" t="n"/>
      <c r="AZ482" s="75" t="n"/>
      <c r="BA482" s="75" t="n"/>
      <c r="BB482" s="75" t="n"/>
      <c r="BC482" s="75" t="n"/>
      <c r="BD482" s="75" t="n"/>
      <c r="BE482" s="75" t="n"/>
      <c r="BF482" s="75" t="n"/>
      <c r="BG482" s="75" t="n"/>
      <c r="BH482" s="75" t="n"/>
      <c r="BI482" s="75" t="n"/>
      <c r="BJ482" s="75" t="n"/>
      <c r="BK482" s="75" t="n"/>
      <c r="BL482" s="75" t="n"/>
      <c r="BM482" s="75" t="n"/>
      <c r="BN482" s="75" t="n"/>
      <c r="BO482" s="75" t="n"/>
      <c r="BP482" s="75" t="n"/>
      <c r="BQ482" s="75" t="n"/>
      <c r="BR482" s="75" t="n"/>
      <c r="BS482" s="75" t="n"/>
      <c r="BT482" s="75" t="n"/>
      <c r="BU482" s="75" t="n"/>
      <c r="BV482" s="75" t="n"/>
      <c r="BW482" s="75" t="n"/>
      <c r="BX482" s="75" t="n"/>
      <c r="BY482" s="75" t="n"/>
      <c r="BZ482" s="75" t="n"/>
      <c r="CA482" s="75" t="n"/>
      <c r="CB482" s="75" t="n"/>
      <c r="CC482" s="75" t="n"/>
      <c r="CD482" s="75" t="n"/>
      <c r="CE482" s="75" t="n"/>
      <c r="CF482" s="75" t="n"/>
      <c r="CG482" s="75" t="n"/>
      <c r="CH482" s="75" t="n"/>
      <c r="CI482" s="75" t="n"/>
      <c r="CJ482" s="75" t="n"/>
      <c r="CK482" s="75" t="n"/>
      <c r="CL482" s="75" t="n"/>
      <c r="CM482" s="75" t="n"/>
      <c r="CN482" s="75" t="n"/>
      <c r="CO482" s="75" t="n"/>
      <c r="CP482" s="75" t="n"/>
      <c r="CQ482" s="75" t="n"/>
      <c r="CR482" s="75" t="n"/>
      <c r="CS482" s="75" t="n"/>
      <c r="CT482" s="75" t="n"/>
      <c r="CU482" s="75" t="n"/>
      <c r="CV482" s="75" t="n"/>
      <c r="CW482" s="75" t="n"/>
      <c r="CX482" s="75" t="n"/>
      <c r="CY482" s="75" t="n"/>
      <c r="CZ482" s="75" t="n"/>
    </row>
    <row r="483">
      <c r="B483" s="134">
        <f>IF($A482="",0,COUNT($E483:$CZ483))</f>
        <v/>
      </c>
    </row>
    <row r="484">
      <c r="A484" s="5">
        <f>IF(MXAU!$C$38="","",MXAU!$C$38)</f>
        <v/>
      </c>
      <c r="B484" s="134">
        <f>IF($A484="",0,COUNT($E484:$CZ484))</f>
        <v/>
      </c>
      <c r="C484" s="135">
        <f>IF($A484="",0,IF($B484=0,0,MAX($E484:$CZ484)))</f>
        <v/>
      </c>
      <c r="D484" s="74">
        <f>BDS($A484,'Field Check'!$C$42,"headers=y","startcol=2","endcol=3","dir=h")</f>
        <v/>
      </c>
      <c r="E484" s="75" t="n"/>
      <c r="F484" s="75" t="n"/>
      <c r="G484" s="75" t="n"/>
      <c r="H484" s="75" t="n"/>
      <c r="I484" s="75" t="n"/>
      <c r="J484" s="75" t="n"/>
      <c r="K484" s="75" t="n"/>
      <c r="L484" s="75" t="n"/>
      <c r="M484" s="75" t="n"/>
      <c r="N484" s="75" t="n"/>
      <c r="O484" s="75" t="n"/>
      <c r="P484" s="75" t="n"/>
      <c r="Q484" s="75" t="n"/>
      <c r="R484" s="75" t="n"/>
      <c r="S484" s="75" t="n"/>
      <c r="T484" s="75" t="n"/>
      <c r="U484" s="75" t="n"/>
      <c r="V484" s="75" t="n"/>
      <c r="W484" s="75" t="n"/>
      <c r="X484" s="75" t="n"/>
      <c r="Y484" s="75" t="n"/>
      <c r="Z484" s="75" t="n"/>
      <c r="AA484" s="75" t="n"/>
      <c r="AB484" s="75" t="n"/>
      <c r="AC484" s="75" t="n"/>
      <c r="AD484" s="75" t="n"/>
      <c r="AE484" s="75" t="n"/>
      <c r="AF484" s="75" t="n"/>
      <c r="AG484" s="75" t="n"/>
      <c r="AH484" s="75" t="n"/>
      <c r="AI484" s="75" t="n"/>
      <c r="AJ484" s="75" t="n"/>
      <c r="AK484" s="75" t="n"/>
      <c r="AL484" s="75" t="n"/>
      <c r="AM484" s="75" t="n"/>
      <c r="AN484" s="75" t="n"/>
      <c r="AO484" s="75" t="n"/>
      <c r="AP484" s="75" t="n"/>
      <c r="AQ484" s="75" t="n"/>
      <c r="AR484" s="75" t="n"/>
      <c r="AS484" s="75" t="n"/>
      <c r="AT484" s="75" t="n"/>
      <c r="AU484" s="75" t="n"/>
      <c r="AV484" s="75" t="n"/>
      <c r="AW484" s="75" t="n"/>
      <c r="AX484" s="75" t="n"/>
      <c r="AY484" s="75" t="n"/>
      <c r="AZ484" s="75" t="n"/>
      <c r="BA484" s="75" t="n"/>
      <c r="BB484" s="75" t="n"/>
      <c r="BC484" s="75" t="n"/>
      <c r="BD484" s="75" t="n"/>
      <c r="BE484" s="75" t="n"/>
      <c r="BF484" s="75" t="n"/>
      <c r="BG484" s="75" t="n"/>
      <c r="BH484" s="75" t="n"/>
      <c r="BI484" s="75" t="n"/>
      <c r="BJ484" s="75" t="n"/>
      <c r="BK484" s="75" t="n"/>
      <c r="BL484" s="75" t="n"/>
      <c r="BM484" s="75" t="n"/>
      <c r="BN484" s="75" t="n"/>
      <c r="BO484" s="75" t="n"/>
      <c r="BP484" s="75" t="n"/>
      <c r="BQ484" s="75" t="n"/>
      <c r="BR484" s="75" t="n"/>
      <c r="BS484" s="75" t="n"/>
      <c r="BT484" s="75" t="n"/>
      <c r="BU484" s="75" t="n"/>
      <c r="BV484" s="75" t="n"/>
      <c r="BW484" s="75" t="n"/>
      <c r="BX484" s="75" t="n"/>
      <c r="BY484" s="75" t="n"/>
      <c r="BZ484" s="75" t="n"/>
      <c r="CA484" s="75" t="n"/>
      <c r="CB484" s="75" t="n"/>
      <c r="CC484" s="75" t="n"/>
      <c r="CD484" s="75" t="n"/>
      <c r="CE484" s="75" t="n"/>
      <c r="CF484" s="75" t="n"/>
      <c r="CG484" s="75" t="n"/>
      <c r="CH484" s="75" t="n"/>
      <c r="CI484" s="75" t="n"/>
      <c r="CJ484" s="75" t="n"/>
      <c r="CK484" s="75" t="n"/>
      <c r="CL484" s="75" t="n"/>
      <c r="CM484" s="75" t="n"/>
      <c r="CN484" s="75" t="n"/>
      <c r="CO484" s="75" t="n"/>
      <c r="CP484" s="75" t="n"/>
      <c r="CQ484" s="75" t="n"/>
      <c r="CR484" s="75" t="n"/>
      <c r="CS484" s="75" t="n"/>
      <c r="CT484" s="75" t="n"/>
      <c r="CU484" s="75" t="n"/>
      <c r="CV484" s="75" t="n"/>
      <c r="CW484" s="75" t="n"/>
      <c r="CX484" s="75" t="n"/>
      <c r="CY484" s="75" t="n"/>
      <c r="CZ484" s="75" t="n"/>
    </row>
    <row r="485">
      <c r="B485" s="134">
        <f>IF($A484="",0,COUNT($E485:$CZ485))</f>
        <v/>
      </c>
    </row>
    <row r="486">
      <c r="A486" s="5">
        <f>IF(MXAU!$C$39="","",MXAU!$C$39)</f>
        <v/>
      </c>
      <c r="B486" s="134">
        <f>IF($A486="",0,COUNT($E486:$CZ486))</f>
        <v/>
      </c>
      <c r="C486" s="135">
        <f>IF($A486="",0,IF($B486=0,0,MAX($E486:$CZ486)))</f>
        <v/>
      </c>
      <c r="D486" s="74">
        <f>BDS($A486,'Field Check'!$C$42,"headers=y","startcol=2","endcol=3","dir=h")</f>
        <v/>
      </c>
      <c r="E486" s="75" t="n"/>
      <c r="F486" s="75" t="n"/>
      <c r="G486" s="75" t="n"/>
      <c r="H486" s="75" t="n"/>
      <c r="I486" s="75" t="n"/>
      <c r="J486" s="75" t="n"/>
      <c r="K486" s="75" t="n"/>
      <c r="L486" s="75" t="n"/>
      <c r="M486" s="75" t="n"/>
      <c r="N486" s="75" t="n"/>
      <c r="O486" s="75" t="n"/>
      <c r="P486" s="75" t="n"/>
      <c r="Q486" s="75" t="n"/>
      <c r="R486" s="75" t="n"/>
      <c r="S486" s="75" t="n"/>
      <c r="T486" s="75" t="n"/>
      <c r="U486" s="75" t="n"/>
      <c r="V486" s="75" t="n"/>
      <c r="W486" s="75" t="n"/>
      <c r="X486" s="75" t="n"/>
      <c r="Y486" s="75" t="n"/>
      <c r="Z486" s="75" t="n"/>
      <c r="AA486" s="75" t="n"/>
      <c r="AB486" s="75" t="n"/>
      <c r="AC486" s="75" t="n"/>
      <c r="AD486" s="75" t="n"/>
      <c r="AE486" s="75" t="n"/>
      <c r="AF486" s="75" t="n"/>
      <c r="AG486" s="75" t="n"/>
      <c r="AH486" s="75" t="n"/>
      <c r="AI486" s="75" t="n"/>
      <c r="AJ486" s="75" t="n"/>
      <c r="AK486" s="75" t="n"/>
      <c r="AL486" s="75" t="n"/>
      <c r="AM486" s="75" t="n"/>
      <c r="AN486" s="75" t="n"/>
      <c r="AO486" s="75" t="n"/>
      <c r="AP486" s="75" t="n"/>
      <c r="AQ486" s="75" t="n"/>
      <c r="AR486" s="75" t="n"/>
      <c r="AS486" s="75" t="n"/>
      <c r="AT486" s="75" t="n"/>
      <c r="AU486" s="75" t="n"/>
      <c r="AV486" s="75" t="n"/>
      <c r="AW486" s="75" t="n"/>
      <c r="AX486" s="75" t="n"/>
      <c r="AY486" s="75" t="n"/>
      <c r="AZ486" s="75" t="n"/>
      <c r="BA486" s="75" t="n"/>
      <c r="BB486" s="75" t="n"/>
      <c r="BC486" s="75" t="n"/>
      <c r="BD486" s="75" t="n"/>
      <c r="BE486" s="75" t="n"/>
      <c r="BF486" s="75" t="n"/>
      <c r="BG486" s="75" t="n"/>
      <c r="BH486" s="75" t="n"/>
      <c r="BI486" s="75" t="n"/>
      <c r="BJ486" s="75" t="n"/>
      <c r="BK486" s="75" t="n"/>
      <c r="BL486" s="75" t="n"/>
      <c r="BM486" s="75" t="n"/>
      <c r="BN486" s="75" t="n"/>
      <c r="BO486" s="75" t="n"/>
      <c r="BP486" s="75" t="n"/>
      <c r="BQ486" s="75" t="n"/>
      <c r="BR486" s="75" t="n"/>
      <c r="BS486" s="75" t="n"/>
      <c r="BT486" s="75" t="n"/>
      <c r="BU486" s="75" t="n"/>
      <c r="BV486" s="75" t="n"/>
      <c r="BW486" s="75" t="n"/>
      <c r="BX486" s="75" t="n"/>
      <c r="BY486" s="75" t="n"/>
      <c r="BZ486" s="75" t="n"/>
      <c r="CA486" s="75" t="n"/>
      <c r="CB486" s="75" t="n"/>
      <c r="CC486" s="75" t="n"/>
      <c r="CD486" s="75" t="n"/>
      <c r="CE486" s="75" t="n"/>
      <c r="CF486" s="75" t="n"/>
      <c r="CG486" s="75" t="n"/>
      <c r="CH486" s="75" t="n"/>
      <c r="CI486" s="75" t="n"/>
      <c r="CJ486" s="75" t="n"/>
      <c r="CK486" s="75" t="n"/>
      <c r="CL486" s="75" t="n"/>
      <c r="CM486" s="75" t="n"/>
      <c r="CN486" s="75" t="n"/>
      <c r="CO486" s="75" t="n"/>
      <c r="CP486" s="75" t="n"/>
      <c r="CQ486" s="75" t="n"/>
      <c r="CR486" s="75" t="n"/>
      <c r="CS486" s="75" t="n"/>
      <c r="CT486" s="75" t="n"/>
      <c r="CU486" s="75" t="n"/>
      <c r="CV486" s="75" t="n"/>
      <c r="CW486" s="75" t="n"/>
      <c r="CX486" s="75" t="n"/>
      <c r="CY486" s="75" t="n"/>
      <c r="CZ486" s="75" t="n"/>
    </row>
    <row r="487">
      <c r="B487" s="134">
        <f>IF($A486="",0,COUNT($E487:$CZ487))</f>
        <v/>
      </c>
    </row>
    <row r="488">
      <c r="A488" s="5">
        <f>IF(MXAU!$C$40="","",MXAU!$C$40)</f>
        <v/>
      </c>
      <c r="B488" s="134">
        <f>IF($A488="",0,COUNT($E488:$CZ488))</f>
        <v/>
      </c>
      <c r="C488" s="135">
        <f>IF($A488="",0,IF($B488=0,0,MAX($E488:$CZ488)))</f>
        <v/>
      </c>
      <c r="D488" s="74">
        <f>BDS($A488,'Field Check'!$C$42,"headers=y","startcol=2","endcol=3","dir=h")</f>
        <v/>
      </c>
      <c r="E488" s="75" t="n"/>
      <c r="F488" s="75" t="n"/>
      <c r="G488" s="75" t="n"/>
      <c r="H488" s="75" t="n"/>
      <c r="I488" s="75" t="n"/>
      <c r="J488" s="75" t="n"/>
      <c r="K488" s="75" t="n"/>
      <c r="L488" s="75" t="n"/>
      <c r="M488" s="75" t="n"/>
      <c r="N488" s="75" t="n"/>
      <c r="O488" s="75" t="n"/>
      <c r="P488" s="75" t="n"/>
      <c r="Q488" s="75" t="n"/>
      <c r="R488" s="75" t="n"/>
      <c r="S488" s="75" t="n"/>
      <c r="T488" s="75" t="n"/>
      <c r="U488" s="75" t="n"/>
      <c r="V488" s="75" t="n"/>
      <c r="W488" s="75" t="n"/>
      <c r="X488" s="75" t="n"/>
      <c r="Y488" s="75" t="n"/>
      <c r="Z488" s="75" t="n"/>
      <c r="AA488" s="75" t="n"/>
      <c r="AB488" s="75" t="n"/>
      <c r="AC488" s="75" t="n"/>
      <c r="AD488" s="75" t="n"/>
      <c r="AE488" s="75" t="n"/>
      <c r="AF488" s="75" t="n"/>
      <c r="AG488" s="75" t="n"/>
      <c r="AH488" s="75" t="n"/>
      <c r="AI488" s="75" t="n"/>
      <c r="AJ488" s="75" t="n"/>
      <c r="AK488" s="75" t="n"/>
      <c r="AL488" s="75" t="n"/>
      <c r="AM488" s="75" t="n"/>
      <c r="AN488" s="75" t="n"/>
      <c r="AO488" s="75" t="n"/>
      <c r="AP488" s="75" t="n"/>
      <c r="AQ488" s="75" t="n"/>
      <c r="AR488" s="75" t="n"/>
      <c r="AS488" s="75" t="n"/>
      <c r="AT488" s="75" t="n"/>
      <c r="AU488" s="75" t="n"/>
      <c r="AV488" s="75" t="n"/>
      <c r="AW488" s="75" t="n"/>
      <c r="AX488" s="75" t="n"/>
      <c r="AY488" s="75" t="n"/>
      <c r="AZ488" s="75" t="n"/>
      <c r="BA488" s="75" t="n"/>
      <c r="BB488" s="75" t="n"/>
      <c r="BC488" s="75" t="n"/>
      <c r="BD488" s="75" t="n"/>
      <c r="BE488" s="75" t="n"/>
      <c r="BF488" s="75" t="n"/>
      <c r="BG488" s="75" t="n"/>
      <c r="BH488" s="75" t="n"/>
      <c r="BI488" s="75" t="n"/>
      <c r="BJ488" s="75" t="n"/>
      <c r="BK488" s="75" t="n"/>
      <c r="BL488" s="75" t="n"/>
      <c r="BM488" s="75" t="n"/>
      <c r="BN488" s="75" t="n"/>
      <c r="BO488" s="75" t="n"/>
      <c r="BP488" s="75" t="n"/>
      <c r="BQ488" s="75" t="n"/>
      <c r="BR488" s="75" t="n"/>
      <c r="BS488" s="75" t="n"/>
      <c r="BT488" s="75" t="n"/>
      <c r="BU488" s="75" t="n"/>
      <c r="BV488" s="75" t="n"/>
      <c r="BW488" s="75" t="n"/>
      <c r="BX488" s="75" t="n"/>
      <c r="BY488" s="75" t="n"/>
      <c r="BZ488" s="75" t="n"/>
      <c r="CA488" s="75" t="n"/>
      <c r="CB488" s="75" t="n"/>
      <c r="CC488" s="75" t="n"/>
      <c r="CD488" s="75" t="n"/>
      <c r="CE488" s="75" t="n"/>
      <c r="CF488" s="75" t="n"/>
      <c r="CG488" s="75" t="n"/>
      <c r="CH488" s="75" t="n"/>
      <c r="CI488" s="75" t="n"/>
      <c r="CJ488" s="75" t="n"/>
      <c r="CK488" s="75" t="n"/>
      <c r="CL488" s="75" t="n"/>
      <c r="CM488" s="75" t="n"/>
      <c r="CN488" s="75" t="n"/>
      <c r="CO488" s="75" t="n"/>
      <c r="CP488" s="75" t="n"/>
      <c r="CQ488" s="75" t="n"/>
      <c r="CR488" s="75" t="n"/>
      <c r="CS488" s="75" t="n"/>
      <c r="CT488" s="75" t="n"/>
      <c r="CU488" s="75" t="n"/>
      <c r="CV488" s="75" t="n"/>
      <c r="CW488" s="75" t="n"/>
      <c r="CX488" s="75" t="n"/>
      <c r="CY488" s="75" t="n"/>
      <c r="CZ488" s="75" t="n"/>
    </row>
    <row r="489">
      <c r="B489" s="134">
        <f>IF($A488="",0,COUNT($E489:$CZ489))</f>
        <v/>
      </c>
    </row>
    <row r="490">
      <c r="A490" s="5">
        <f>IF(MXAU!$C$41="","",MXAU!$C$41)</f>
        <v/>
      </c>
      <c r="B490" s="134">
        <f>IF($A490="",0,COUNT($E490:$CZ490))</f>
        <v/>
      </c>
      <c r="C490" s="135">
        <f>IF($A490="",0,IF($B490=0,0,MAX($E490:$CZ490)))</f>
        <v/>
      </c>
      <c r="D490" s="74">
        <f>BDS($A490,'Field Check'!$C$42,"headers=y","startcol=2","endcol=3","dir=h")</f>
        <v/>
      </c>
      <c r="E490" s="75" t="n"/>
      <c r="F490" s="75" t="n"/>
      <c r="G490" s="75" t="n"/>
      <c r="H490" s="75" t="n"/>
      <c r="I490" s="75" t="n"/>
      <c r="J490" s="75" t="n"/>
      <c r="K490" s="75" t="n"/>
      <c r="L490" s="75" t="n"/>
      <c r="M490" s="75" t="n"/>
      <c r="N490" s="75" t="n"/>
      <c r="O490" s="75" t="n"/>
      <c r="P490" s="75" t="n"/>
      <c r="Q490" s="75" t="n"/>
      <c r="R490" s="75" t="n"/>
      <c r="S490" s="75" t="n"/>
      <c r="T490" s="75" t="n"/>
      <c r="U490" s="75" t="n"/>
      <c r="V490" s="75" t="n"/>
      <c r="W490" s="75" t="n"/>
      <c r="X490" s="75" t="n"/>
      <c r="Y490" s="75" t="n"/>
      <c r="Z490" s="75" t="n"/>
      <c r="AA490" s="75" t="n"/>
      <c r="AB490" s="75" t="n"/>
      <c r="AC490" s="75" t="n"/>
      <c r="AD490" s="75" t="n"/>
      <c r="AE490" s="75" t="n"/>
      <c r="AF490" s="75" t="n"/>
      <c r="AG490" s="75" t="n"/>
      <c r="AH490" s="75" t="n"/>
      <c r="AI490" s="75" t="n"/>
      <c r="AJ490" s="75" t="n"/>
      <c r="AK490" s="75" t="n"/>
      <c r="AL490" s="75" t="n"/>
      <c r="AM490" s="75" t="n"/>
      <c r="AN490" s="75" t="n"/>
      <c r="AO490" s="75" t="n"/>
      <c r="AP490" s="75" t="n"/>
      <c r="AQ490" s="75" t="n"/>
      <c r="AR490" s="75" t="n"/>
      <c r="AS490" s="75" t="n"/>
      <c r="AT490" s="75" t="n"/>
      <c r="AU490" s="75" t="n"/>
      <c r="AV490" s="75" t="n"/>
      <c r="AW490" s="75" t="n"/>
      <c r="AX490" s="75" t="n"/>
      <c r="AY490" s="75" t="n"/>
      <c r="AZ490" s="75" t="n"/>
      <c r="BA490" s="75" t="n"/>
      <c r="BB490" s="75" t="n"/>
      <c r="BC490" s="75" t="n"/>
      <c r="BD490" s="75" t="n"/>
      <c r="BE490" s="75" t="n"/>
      <c r="BF490" s="75" t="n"/>
      <c r="BG490" s="75" t="n"/>
      <c r="BH490" s="75" t="n"/>
      <c r="BI490" s="75" t="n"/>
      <c r="BJ490" s="75" t="n"/>
      <c r="BK490" s="75" t="n"/>
      <c r="BL490" s="75" t="n"/>
      <c r="BM490" s="75" t="n"/>
      <c r="BN490" s="75" t="n"/>
      <c r="BO490" s="75" t="n"/>
      <c r="BP490" s="75" t="n"/>
      <c r="BQ490" s="75" t="n"/>
      <c r="BR490" s="75" t="n"/>
      <c r="BS490" s="75" t="n"/>
      <c r="BT490" s="75" t="n"/>
      <c r="BU490" s="75" t="n"/>
      <c r="BV490" s="75" t="n"/>
      <c r="BW490" s="75" t="n"/>
      <c r="BX490" s="75" t="n"/>
      <c r="BY490" s="75" t="n"/>
      <c r="BZ490" s="75" t="n"/>
      <c r="CA490" s="75" t="n"/>
      <c r="CB490" s="75" t="n"/>
      <c r="CC490" s="75" t="n"/>
      <c r="CD490" s="75" t="n"/>
      <c r="CE490" s="75" t="n"/>
      <c r="CF490" s="75" t="n"/>
      <c r="CG490" s="75" t="n"/>
      <c r="CH490" s="75" t="n"/>
      <c r="CI490" s="75" t="n"/>
      <c r="CJ490" s="75" t="n"/>
      <c r="CK490" s="75" t="n"/>
      <c r="CL490" s="75" t="n"/>
      <c r="CM490" s="75" t="n"/>
      <c r="CN490" s="75" t="n"/>
      <c r="CO490" s="75" t="n"/>
      <c r="CP490" s="75" t="n"/>
      <c r="CQ490" s="75" t="n"/>
      <c r="CR490" s="75" t="n"/>
      <c r="CS490" s="75" t="n"/>
      <c r="CT490" s="75" t="n"/>
      <c r="CU490" s="75" t="n"/>
      <c r="CV490" s="75" t="n"/>
      <c r="CW490" s="75" t="n"/>
      <c r="CX490" s="75" t="n"/>
      <c r="CY490" s="75" t="n"/>
      <c r="CZ490" s="75" t="n"/>
    </row>
    <row r="491">
      <c r="B491" s="134">
        <f>IF($A490="",0,COUNT($E491:$CZ491))</f>
        <v/>
      </c>
    </row>
    <row r="492">
      <c r="A492" s="5">
        <f>IF(MXAU!$C$42="","",MXAU!$C$42)</f>
        <v/>
      </c>
      <c r="B492" s="134">
        <f>IF($A492="",0,COUNT($E492:$CZ492))</f>
        <v/>
      </c>
      <c r="C492" s="135">
        <f>IF($A492="",0,IF($B492=0,0,MAX($E492:$CZ492)))</f>
        <v/>
      </c>
      <c r="D492" s="74">
        <f>BDS($A492,'Field Check'!$C$42,"headers=y","startcol=2","endcol=3","dir=h")</f>
        <v/>
      </c>
      <c r="E492" s="75" t="n"/>
      <c r="F492" s="75" t="n"/>
      <c r="G492" s="75" t="n"/>
      <c r="H492" s="75" t="n"/>
      <c r="I492" s="75" t="n"/>
      <c r="J492" s="75" t="n"/>
      <c r="K492" s="75" t="n"/>
      <c r="L492" s="75" t="n"/>
      <c r="M492" s="75" t="n"/>
      <c r="N492" s="75" t="n"/>
      <c r="O492" s="75" t="n"/>
      <c r="P492" s="75" t="n"/>
      <c r="Q492" s="75" t="n"/>
      <c r="R492" s="75" t="n"/>
      <c r="S492" s="75" t="n"/>
      <c r="T492" s="75" t="n"/>
      <c r="U492" s="75" t="n"/>
      <c r="V492" s="75" t="n"/>
      <c r="W492" s="75" t="n"/>
      <c r="X492" s="75" t="n"/>
      <c r="Y492" s="75" t="n"/>
      <c r="Z492" s="75" t="n"/>
      <c r="AA492" s="75" t="n"/>
      <c r="AB492" s="75" t="n"/>
      <c r="AC492" s="75" t="n"/>
      <c r="AD492" s="75" t="n"/>
      <c r="AE492" s="75" t="n"/>
      <c r="AF492" s="75" t="n"/>
      <c r="AG492" s="75" t="n"/>
      <c r="AH492" s="75" t="n"/>
      <c r="AI492" s="75" t="n"/>
      <c r="AJ492" s="75" t="n"/>
      <c r="AK492" s="75" t="n"/>
      <c r="AL492" s="75" t="n"/>
      <c r="AM492" s="75" t="n"/>
      <c r="AN492" s="75" t="n"/>
      <c r="AO492" s="75" t="n"/>
      <c r="AP492" s="75" t="n"/>
      <c r="AQ492" s="75" t="n"/>
      <c r="AR492" s="75" t="n"/>
      <c r="AS492" s="75" t="n"/>
      <c r="AT492" s="75" t="n"/>
      <c r="AU492" s="75" t="n"/>
      <c r="AV492" s="75" t="n"/>
      <c r="AW492" s="75" t="n"/>
      <c r="AX492" s="75" t="n"/>
      <c r="AY492" s="75" t="n"/>
      <c r="AZ492" s="75" t="n"/>
      <c r="BA492" s="75" t="n"/>
      <c r="BB492" s="75" t="n"/>
      <c r="BC492" s="75" t="n"/>
      <c r="BD492" s="75" t="n"/>
      <c r="BE492" s="75" t="n"/>
      <c r="BF492" s="75" t="n"/>
      <c r="BG492" s="75" t="n"/>
      <c r="BH492" s="75" t="n"/>
      <c r="BI492" s="75" t="n"/>
      <c r="BJ492" s="75" t="n"/>
      <c r="BK492" s="75" t="n"/>
      <c r="BL492" s="75" t="n"/>
      <c r="BM492" s="75" t="n"/>
      <c r="BN492" s="75" t="n"/>
      <c r="BO492" s="75" t="n"/>
      <c r="BP492" s="75" t="n"/>
      <c r="BQ492" s="75" t="n"/>
      <c r="BR492" s="75" t="n"/>
      <c r="BS492" s="75" t="n"/>
      <c r="BT492" s="75" t="n"/>
      <c r="BU492" s="75" t="n"/>
      <c r="BV492" s="75" t="n"/>
      <c r="BW492" s="75" t="n"/>
      <c r="BX492" s="75" t="n"/>
      <c r="BY492" s="75" t="n"/>
      <c r="BZ492" s="75" t="n"/>
      <c r="CA492" s="75" t="n"/>
      <c r="CB492" s="75" t="n"/>
      <c r="CC492" s="75" t="n"/>
      <c r="CD492" s="75" t="n"/>
      <c r="CE492" s="75" t="n"/>
      <c r="CF492" s="75" t="n"/>
      <c r="CG492" s="75" t="n"/>
      <c r="CH492" s="75" t="n"/>
      <c r="CI492" s="75" t="n"/>
      <c r="CJ492" s="75" t="n"/>
      <c r="CK492" s="75" t="n"/>
      <c r="CL492" s="75" t="n"/>
      <c r="CM492" s="75" t="n"/>
      <c r="CN492" s="75" t="n"/>
      <c r="CO492" s="75" t="n"/>
      <c r="CP492" s="75" t="n"/>
      <c r="CQ492" s="75" t="n"/>
      <c r="CR492" s="75" t="n"/>
      <c r="CS492" s="75" t="n"/>
      <c r="CT492" s="75" t="n"/>
      <c r="CU492" s="75" t="n"/>
      <c r="CV492" s="75" t="n"/>
      <c r="CW492" s="75" t="n"/>
      <c r="CX492" s="75" t="n"/>
      <c r="CY492" s="75" t="n"/>
      <c r="CZ492" s="75" t="n"/>
    </row>
    <row r="493">
      <c r="B493" s="134">
        <f>IF($A492="",0,COUNT($E493:$CZ493))</f>
        <v/>
      </c>
    </row>
    <row r="494">
      <c r="A494" s="5">
        <f>IF(MXAU!$C$43="","",MXAU!$C$43)</f>
        <v/>
      </c>
      <c r="B494" s="134">
        <f>IF($A494="",0,COUNT($E494:$CZ494))</f>
        <v/>
      </c>
      <c r="C494" s="135">
        <f>IF($A494="",0,IF($B494=0,0,MAX($E494:$CZ494)))</f>
        <v/>
      </c>
      <c r="D494" s="74">
        <f>BDS($A494,'Field Check'!$C$42,"headers=y","startcol=2","endcol=3","dir=h")</f>
        <v/>
      </c>
      <c r="E494" s="75" t="n"/>
      <c r="F494" s="75" t="n"/>
      <c r="G494" s="75" t="n"/>
      <c r="H494" s="75" t="n"/>
      <c r="I494" s="75" t="n"/>
      <c r="J494" s="75" t="n"/>
      <c r="K494" s="75" t="n"/>
      <c r="L494" s="75" t="n"/>
      <c r="M494" s="75" t="n"/>
      <c r="N494" s="75" t="n"/>
      <c r="O494" s="75" t="n"/>
      <c r="P494" s="75" t="n"/>
      <c r="Q494" s="75" t="n"/>
      <c r="R494" s="75" t="n"/>
      <c r="S494" s="75" t="n"/>
      <c r="T494" s="75" t="n"/>
      <c r="U494" s="75" t="n"/>
      <c r="V494" s="75" t="n"/>
      <c r="W494" s="75" t="n"/>
      <c r="X494" s="75" t="n"/>
      <c r="Y494" s="75" t="n"/>
      <c r="Z494" s="75" t="n"/>
      <c r="AA494" s="75" t="n"/>
      <c r="AB494" s="75" t="n"/>
      <c r="AC494" s="75" t="n"/>
      <c r="AD494" s="75" t="n"/>
      <c r="AE494" s="75" t="n"/>
      <c r="AF494" s="75" t="n"/>
      <c r="AG494" s="75" t="n"/>
      <c r="AH494" s="75" t="n"/>
      <c r="AI494" s="75" t="n"/>
      <c r="AJ494" s="75" t="n"/>
      <c r="AK494" s="75" t="n"/>
      <c r="AL494" s="75" t="n"/>
      <c r="AM494" s="75" t="n"/>
      <c r="AN494" s="75" t="n"/>
      <c r="AO494" s="75" t="n"/>
      <c r="AP494" s="75" t="n"/>
      <c r="AQ494" s="75" t="n"/>
      <c r="AR494" s="75" t="n"/>
      <c r="AS494" s="75" t="n"/>
      <c r="AT494" s="75" t="n"/>
      <c r="AU494" s="75" t="n"/>
      <c r="AV494" s="75" t="n"/>
      <c r="AW494" s="75" t="n"/>
      <c r="AX494" s="75" t="n"/>
      <c r="AY494" s="75" t="n"/>
      <c r="AZ494" s="75" t="n"/>
      <c r="BA494" s="75" t="n"/>
      <c r="BB494" s="75" t="n"/>
      <c r="BC494" s="75" t="n"/>
      <c r="BD494" s="75" t="n"/>
      <c r="BE494" s="75" t="n"/>
      <c r="BF494" s="75" t="n"/>
      <c r="BG494" s="75" t="n"/>
      <c r="BH494" s="75" t="n"/>
      <c r="BI494" s="75" t="n"/>
      <c r="BJ494" s="75" t="n"/>
      <c r="BK494" s="75" t="n"/>
      <c r="BL494" s="75" t="n"/>
      <c r="BM494" s="75" t="n"/>
      <c r="BN494" s="75" t="n"/>
      <c r="BO494" s="75" t="n"/>
      <c r="BP494" s="75" t="n"/>
      <c r="BQ494" s="75" t="n"/>
      <c r="BR494" s="75" t="n"/>
      <c r="BS494" s="75" t="n"/>
      <c r="BT494" s="75" t="n"/>
      <c r="BU494" s="75" t="n"/>
      <c r="BV494" s="75" t="n"/>
      <c r="BW494" s="75" t="n"/>
      <c r="BX494" s="75" t="n"/>
      <c r="BY494" s="75" t="n"/>
      <c r="BZ494" s="75" t="n"/>
      <c r="CA494" s="75" t="n"/>
      <c r="CB494" s="75" t="n"/>
      <c r="CC494" s="75" t="n"/>
      <c r="CD494" s="75" t="n"/>
      <c r="CE494" s="75" t="n"/>
      <c r="CF494" s="75" t="n"/>
      <c r="CG494" s="75" t="n"/>
      <c r="CH494" s="75" t="n"/>
      <c r="CI494" s="75" t="n"/>
      <c r="CJ494" s="75" t="n"/>
      <c r="CK494" s="75" t="n"/>
      <c r="CL494" s="75" t="n"/>
      <c r="CM494" s="75" t="n"/>
      <c r="CN494" s="75" t="n"/>
      <c r="CO494" s="75" t="n"/>
      <c r="CP494" s="75" t="n"/>
      <c r="CQ494" s="75" t="n"/>
      <c r="CR494" s="75" t="n"/>
      <c r="CS494" s="75" t="n"/>
      <c r="CT494" s="75" t="n"/>
      <c r="CU494" s="75" t="n"/>
      <c r="CV494" s="75" t="n"/>
      <c r="CW494" s="75" t="n"/>
      <c r="CX494" s="75" t="n"/>
      <c r="CY494" s="75" t="n"/>
      <c r="CZ494" s="75" t="n"/>
    </row>
    <row r="495">
      <c r="B495" s="134">
        <f>IF($A494="",0,COUNT($E495:$CZ495))</f>
        <v/>
      </c>
    </row>
    <row r="496">
      <c r="A496" s="5">
        <f>IF(MXAU!$C$44="","",MXAU!$C$44)</f>
        <v/>
      </c>
      <c r="B496" s="134">
        <f>IF($A496="",0,COUNT($E496:$CZ496))</f>
        <v/>
      </c>
      <c r="C496" s="135">
        <f>IF($A496="",0,IF($B496=0,0,MAX($E496:$CZ496)))</f>
        <v/>
      </c>
      <c r="D496" s="74">
        <f>BDS($A496,'Field Check'!$C$42,"headers=y","startcol=2","endcol=3","dir=h")</f>
        <v/>
      </c>
      <c r="E496" s="75" t="n"/>
      <c r="F496" s="75" t="n"/>
      <c r="G496" s="75" t="n"/>
      <c r="H496" s="75" t="n"/>
      <c r="I496" s="75" t="n"/>
      <c r="J496" s="75" t="n"/>
      <c r="K496" s="75" t="n"/>
      <c r="L496" s="75" t="n"/>
      <c r="M496" s="75" t="n"/>
      <c r="N496" s="75" t="n"/>
      <c r="O496" s="75" t="n"/>
      <c r="P496" s="75" t="n"/>
      <c r="Q496" s="75" t="n"/>
      <c r="R496" s="75" t="n"/>
      <c r="S496" s="75" t="n"/>
      <c r="T496" s="75" t="n"/>
      <c r="U496" s="75" t="n"/>
      <c r="V496" s="75" t="n"/>
      <c r="W496" s="75" t="n"/>
      <c r="X496" s="75" t="n"/>
      <c r="Y496" s="75" t="n"/>
      <c r="Z496" s="75" t="n"/>
      <c r="AA496" s="75" t="n"/>
      <c r="AB496" s="75" t="n"/>
      <c r="AC496" s="75" t="n"/>
      <c r="AD496" s="75" t="n"/>
      <c r="AE496" s="75" t="n"/>
      <c r="AF496" s="75" t="n"/>
      <c r="AG496" s="75" t="n"/>
      <c r="AH496" s="75" t="n"/>
      <c r="AI496" s="75" t="n"/>
      <c r="AJ496" s="75" t="n"/>
      <c r="AK496" s="75" t="n"/>
      <c r="AL496" s="75" t="n"/>
      <c r="AM496" s="75" t="n"/>
      <c r="AN496" s="75" t="n"/>
      <c r="AO496" s="75" t="n"/>
      <c r="AP496" s="75" t="n"/>
      <c r="AQ496" s="75" t="n"/>
      <c r="AR496" s="75" t="n"/>
      <c r="AS496" s="75" t="n"/>
      <c r="AT496" s="75" t="n"/>
      <c r="AU496" s="75" t="n"/>
      <c r="AV496" s="75" t="n"/>
      <c r="AW496" s="75" t="n"/>
      <c r="AX496" s="75" t="n"/>
      <c r="AY496" s="75" t="n"/>
      <c r="AZ496" s="75" t="n"/>
      <c r="BA496" s="75" t="n"/>
      <c r="BB496" s="75" t="n"/>
      <c r="BC496" s="75" t="n"/>
      <c r="BD496" s="75" t="n"/>
      <c r="BE496" s="75" t="n"/>
      <c r="BF496" s="75" t="n"/>
      <c r="BG496" s="75" t="n"/>
      <c r="BH496" s="75" t="n"/>
      <c r="BI496" s="75" t="n"/>
      <c r="BJ496" s="75" t="n"/>
      <c r="BK496" s="75" t="n"/>
      <c r="BL496" s="75" t="n"/>
      <c r="BM496" s="75" t="n"/>
      <c r="BN496" s="75" t="n"/>
      <c r="BO496" s="75" t="n"/>
      <c r="BP496" s="75" t="n"/>
      <c r="BQ496" s="75" t="n"/>
      <c r="BR496" s="75" t="n"/>
      <c r="BS496" s="75" t="n"/>
      <c r="BT496" s="75" t="n"/>
      <c r="BU496" s="75" t="n"/>
      <c r="BV496" s="75" t="n"/>
      <c r="BW496" s="75" t="n"/>
      <c r="BX496" s="75" t="n"/>
      <c r="BY496" s="75" t="n"/>
      <c r="BZ496" s="75" t="n"/>
      <c r="CA496" s="75" t="n"/>
      <c r="CB496" s="75" t="n"/>
      <c r="CC496" s="75" t="n"/>
      <c r="CD496" s="75" t="n"/>
      <c r="CE496" s="75" t="n"/>
      <c r="CF496" s="75" t="n"/>
      <c r="CG496" s="75" t="n"/>
      <c r="CH496" s="75" t="n"/>
      <c r="CI496" s="75" t="n"/>
      <c r="CJ496" s="75" t="n"/>
      <c r="CK496" s="75" t="n"/>
      <c r="CL496" s="75" t="n"/>
      <c r="CM496" s="75" t="n"/>
      <c r="CN496" s="75" t="n"/>
      <c r="CO496" s="75" t="n"/>
      <c r="CP496" s="75" t="n"/>
      <c r="CQ496" s="75" t="n"/>
      <c r="CR496" s="75" t="n"/>
      <c r="CS496" s="75" t="n"/>
      <c r="CT496" s="75" t="n"/>
      <c r="CU496" s="75" t="n"/>
      <c r="CV496" s="75" t="n"/>
      <c r="CW496" s="75" t="n"/>
      <c r="CX496" s="75" t="n"/>
      <c r="CY496" s="75" t="n"/>
      <c r="CZ496" s="75" t="n"/>
    </row>
    <row r="497">
      <c r="B497" s="134">
        <f>IF($A496="",0,COUNT($E497:$CZ497))</f>
        <v/>
      </c>
    </row>
    <row r="498">
      <c r="A498" s="5">
        <f>IF(MXAU!$C$45="","",MXAU!$C$45)</f>
        <v/>
      </c>
      <c r="B498" s="134">
        <f>IF($A498="",0,COUNT($E498:$CZ498))</f>
        <v/>
      </c>
      <c r="C498" s="135">
        <f>IF($A498="",0,IF($B498=0,0,MAX($E498:$CZ498)))</f>
        <v/>
      </c>
      <c r="D498" s="74">
        <f>BDS($A498,'Field Check'!$C$42,"headers=y","startcol=2","endcol=3","dir=h")</f>
        <v/>
      </c>
      <c r="E498" s="75" t="n"/>
      <c r="F498" s="75" t="n"/>
      <c r="G498" s="75" t="n"/>
      <c r="H498" s="75" t="n"/>
      <c r="I498" s="75" t="n"/>
      <c r="J498" s="75" t="n"/>
      <c r="K498" s="75" t="n"/>
      <c r="L498" s="75" t="n"/>
      <c r="M498" s="75" t="n"/>
      <c r="N498" s="75" t="n"/>
      <c r="O498" s="75" t="n"/>
      <c r="P498" s="75" t="n"/>
      <c r="Q498" s="75" t="n"/>
      <c r="R498" s="75" t="n"/>
      <c r="S498" s="75" t="n"/>
      <c r="T498" s="75" t="n"/>
      <c r="U498" s="75" t="n"/>
      <c r="V498" s="75" t="n"/>
      <c r="W498" s="75" t="n"/>
      <c r="X498" s="75" t="n"/>
      <c r="Y498" s="75" t="n"/>
      <c r="Z498" s="75" t="n"/>
      <c r="AA498" s="75" t="n"/>
      <c r="AB498" s="75" t="n"/>
      <c r="AC498" s="75" t="n"/>
      <c r="AD498" s="75" t="n"/>
      <c r="AE498" s="75" t="n"/>
      <c r="AF498" s="75" t="n"/>
      <c r="AG498" s="75" t="n"/>
      <c r="AH498" s="75" t="n"/>
      <c r="AI498" s="75" t="n"/>
      <c r="AJ498" s="75" t="n"/>
      <c r="AK498" s="75" t="n"/>
      <c r="AL498" s="75" t="n"/>
      <c r="AM498" s="75" t="n"/>
      <c r="AN498" s="75" t="n"/>
      <c r="AO498" s="75" t="n"/>
      <c r="AP498" s="75" t="n"/>
      <c r="AQ498" s="75" t="n"/>
      <c r="AR498" s="75" t="n"/>
      <c r="AS498" s="75" t="n"/>
      <c r="AT498" s="75" t="n"/>
      <c r="AU498" s="75" t="n"/>
      <c r="AV498" s="75" t="n"/>
      <c r="AW498" s="75" t="n"/>
      <c r="AX498" s="75" t="n"/>
      <c r="AY498" s="75" t="n"/>
      <c r="AZ498" s="75" t="n"/>
      <c r="BA498" s="75" t="n"/>
      <c r="BB498" s="75" t="n"/>
      <c r="BC498" s="75" t="n"/>
      <c r="BD498" s="75" t="n"/>
      <c r="BE498" s="75" t="n"/>
      <c r="BF498" s="75" t="n"/>
      <c r="BG498" s="75" t="n"/>
      <c r="BH498" s="75" t="n"/>
      <c r="BI498" s="75" t="n"/>
      <c r="BJ498" s="75" t="n"/>
      <c r="BK498" s="75" t="n"/>
      <c r="BL498" s="75" t="n"/>
      <c r="BM498" s="75" t="n"/>
      <c r="BN498" s="75" t="n"/>
      <c r="BO498" s="75" t="n"/>
      <c r="BP498" s="75" t="n"/>
      <c r="BQ498" s="75" t="n"/>
      <c r="BR498" s="75" t="n"/>
      <c r="BS498" s="75" t="n"/>
      <c r="BT498" s="75" t="n"/>
      <c r="BU498" s="75" t="n"/>
      <c r="BV498" s="75" t="n"/>
      <c r="BW498" s="75" t="n"/>
      <c r="BX498" s="75" t="n"/>
      <c r="BY498" s="75" t="n"/>
      <c r="BZ498" s="75" t="n"/>
      <c r="CA498" s="75" t="n"/>
      <c r="CB498" s="75" t="n"/>
      <c r="CC498" s="75" t="n"/>
      <c r="CD498" s="75" t="n"/>
      <c r="CE498" s="75" t="n"/>
      <c r="CF498" s="75" t="n"/>
      <c r="CG498" s="75" t="n"/>
      <c r="CH498" s="75" t="n"/>
      <c r="CI498" s="75" t="n"/>
      <c r="CJ498" s="75" t="n"/>
      <c r="CK498" s="75" t="n"/>
      <c r="CL498" s="75" t="n"/>
      <c r="CM498" s="75" t="n"/>
      <c r="CN498" s="75" t="n"/>
      <c r="CO498" s="75" t="n"/>
      <c r="CP498" s="75" t="n"/>
      <c r="CQ498" s="75" t="n"/>
      <c r="CR498" s="75" t="n"/>
      <c r="CS498" s="75" t="n"/>
      <c r="CT498" s="75" t="n"/>
      <c r="CU498" s="75" t="n"/>
      <c r="CV498" s="75" t="n"/>
      <c r="CW498" s="75" t="n"/>
      <c r="CX498" s="75" t="n"/>
      <c r="CY498" s="75" t="n"/>
      <c r="CZ498" s="75" t="n"/>
    </row>
    <row r="499">
      <c r="B499" s="134">
        <f>IF($A498="",0,COUNT($E499:$CZ499))</f>
        <v/>
      </c>
    </row>
    <row r="500">
      <c r="A500" s="5">
        <f>IF(MXAU!$C$46="","",MXAU!$C$46)</f>
        <v/>
      </c>
      <c r="B500" s="134">
        <f>IF($A500="",0,COUNT($E500:$CZ500))</f>
        <v/>
      </c>
      <c r="C500" s="135">
        <f>IF($A500="",0,IF($B500=0,0,MAX($E500:$CZ500)))</f>
        <v/>
      </c>
      <c r="D500" s="74">
        <f>BDS($A500,'Field Check'!$C$42,"headers=y","startcol=2","endcol=3","dir=h")</f>
        <v/>
      </c>
      <c r="E500" s="75" t="n"/>
      <c r="F500" s="75" t="n"/>
      <c r="G500" s="75" t="n"/>
      <c r="H500" s="75" t="n"/>
      <c r="I500" s="75" t="n"/>
      <c r="J500" s="75" t="n"/>
      <c r="K500" s="75" t="n"/>
      <c r="L500" s="75" t="n"/>
      <c r="M500" s="75" t="n"/>
      <c r="N500" s="75" t="n"/>
      <c r="O500" s="75" t="n"/>
      <c r="P500" s="75" t="n"/>
      <c r="Q500" s="75" t="n"/>
      <c r="R500" s="75" t="n"/>
      <c r="S500" s="75" t="n"/>
      <c r="T500" s="75" t="n"/>
      <c r="U500" s="75" t="n"/>
      <c r="V500" s="75" t="n"/>
      <c r="W500" s="75" t="n"/>
      <c r="X500" s="75" t="n"/>
      <c r="Y500" s="75" t="n"/>
      <c r="Z500" s="75" t="n"/>
      <c r="AA500" s="75" t="n"/>
      <c r="AB500" s="75" t="n"/>
      <c r="AC500" s="75" t="n"/>
      <c r="AD500" s="75" t="n"/>
      <c r="AE500" s="75" t="n"/>
      <c r="AF500" s="75" t="n"/>
      <c r="AG500" s="75" t="n"/>
      <c r="AH500" s="75" t="n"/>
      <c r="AI500" s="75" t="n"/>
      <c r="AJ500" s="75" t="n"/>
      <c r="AK500" s="75" t="n"/>
      <c r="AL500" s="75" t="n"/>
      <c r="AM500" s="75" t="n"/>
      <c r="AN500" s="75" t="n"/>
      <c r="AO500" s="75" t="n"/>
      <c r="AP500" s="75" t="n"/>
      <c r="AQ500" s="75" t="n"/>
      <c r="AR500" s="75" t="n"/>
      <c r="AS500" s="75" t="n"/>
      <c r="AT500" s="75" t="n"/>
      <c r="AU500" s="75" t="n"/>
      <c r="AV500" s="75" t="n"/>
      <c r="AW500" s="75" t="n"/>
      <c r="AX500" s="75" t="n"/>
      <c r="AY500" s="75" t="n"/>
      <c r="AZ500" s="75" t="n"/>
      <c r="BA500" s="75" t="n"/>
      <c r="BB500" s="75" t="n"/>
      <c r="BC500" s="75" t="n"/>
      <c r="BD500" s="75" t="n"/>
      <c r="BE500" s="75" t="n"/>
      <c r="BF500" s="75" t="n"/>
      <c r="BG500" s="75" t="n"/>
      <c r="BH500" s="75" t="n"/>
      <c r="BI500" s="75" t="n"/>
      <c r="BJ500" s="75" t="n"/>
      <c r="BK500" s="75" t="n"/>
      <c r="BL500" s="75" t="n"/>
      <c r="BM500" s="75" t="n"/>
      <c r="BN500" s="75" t="n"/>
      <c r="BO500" s="75" t="n"/>
      <c r="BP500" s="75" t="n"/>
      <c r="BQ500" s="75" t="n"/>
      <c r="BR500" s="75" t="n"/>
      <c r="BS500" s="75" t="n"/>
      <c r="BT500" s="75" t="n"/>
      <c r="BU500" s="75" t="n"/>
      <c r="BV500" s="75" t="n"/>
      <c r="BW500" s="75" t="n"/>
      <c r="BX500" s="75" t="n"/>
      <c r="BY500" s="75" t="n"/>
      <c r="BZ500" s="75" t="n"/>
      <c r="CA500" s="75" t="n"/>
      <c r="CB500" s="75" t="n"/>
      <c r="CC500" s="75" t="n"/>
      <c r="CD500" s="75" t="n"/>
      <c r="CE500" s="75" t="n"/>
      <c r="CF500" s="75" t="n"/>
      <c r="CG500" s="75" t="n"/>
      <c r="CH500" s="75" t="n"/>
      <c r="CI500" s="75" t="n"/>
      <c r="CJ500" s="75" t="n"/>
      <c r="CK500" s="75" t="n"/>
      <c r="CL500" s="75" t="n"/>
      <c r="CM500" s="75" t="n"/>
      <c r="CN500" s="75" t="n"/>
      <c r="CO500" s="75" t="n"/>
      <c r="CP500" s="75" t="n"/>
      <c r="CQ500" s="75" t="n"/>
      <c r="CR500" s="75" t="n"/>
      <c r="CS500" s="75" t="n"/>
      <c r="CT500" s="75" t="n"/>
      <c r="CU500" s="75" t="n"/>
      <c r="CV500" s="75" t="n"/>
      <c r="CW500" s="75" t="n"/>
      <c r="CX500" s="75" t="n"/>
      <c r="CY500" s="75" t="n"/>
      <c r="CZ500" s="75" t="n"/>
    </row>
    <row r="501">
      <c r="B501" s="134">
        <f>IF($A500="",0,COUNT($E501:$CZ501))</f>
        <v/>
      </c>
    </row>
    <row r="502">
      <c r="A502" s="5">
        <f>IF(MXAU!$C$47="","",MXAU!$C$47)</f>
        <v/>
      </c>
      <c r="B502" s="134">
        <f>IF($A502="",0,COUNT($E502:$CZ502))</f>
        <v/>
      </c>
      <c r="C502" s="135">
        <f>IF($A502="",0,IF($B502=0,0,MAX($E502:$CZ502)))</f>
        <v/>
      </c>
      <c r="D502" s="74">
        <f>BDS($A502,'Field Check'!$C$42,"headers=y","startcol=2","endcol=3","dir=h")</f>
        <v/>
      </c>
      <c r="E502" s="75" t="n"/>
      <c r="F502" s="75" t="n"/>
      <c r="G502" s="75" t="n"/>
      <c r="H502" s="75" t="n"/>
      <c r="I502" s="75" t="n"/>
      <c r="J502" s="75" t="n"/>
      <c r="K502" s="75" t="n"/>
      <c r="L502" s="75" t="n"/>
      <c r="M502" s="75" t="n"/>
      <c r="N502" s="75" t="n"/>
      <c r="O502" s="75" t="n"/>
      <c r="P502" s="75" t="n"/>
      <c r="Q502" s="75" t="n"/>
      <c r="R502" s="75" t="n"/>
      <c r="S502" s="75" t="n"/>
      <c r="T502" s="75" t="n"/>
      <c r="U502" s="75" t="n"/>
      <c r="V502" s="75" t="n"/>
      <c r="W502" s="75" t="n"/>
      <c r="X502" s="75" t="n"/>
      <c r="Y502" s="75" t="n"/>
      <c r="Z502" s="75" t="n"/>
      <c r="AA502" s="75" t="n"/>
      <c r="AB502" s="75" t="n"/>
      <c r="AC502" s="75" t="n"/>
      <c r="AD502" s="75" t="n"/>
      <c r="AE502" s="75" t="n"/>
      <c r="AF502" s="75" t="n"/>
      <c r="AG502" s="75" t="n"/>
      <c r="AH502" s="75" t="n"/>
      <c r="AI502" s="75" t="n"/>
      <c r="AJ502" s="75" t="n"/>
      <c r="AK502" s="75" t="n"/>
      <c r="AL502" s="75" t="n"/>
      <c r="AM502" s="75" t="n"/>
      <c r="AN502" s="75" t="n"/>
      <c r="AO502" s="75" t="n"/>
      <c r="AP502" s="75" t="n"/>
      <c r="AQ502" s="75" t="n"/>
      <c r="AR502" s="75" t="n"/>
      <c r="AS502" s="75" t="n"/>
      <c r="AT502" s="75" t="n"/>
      <c r="AU502" s="75" t="n"/>
      <c r="AV502" s="75" t="n"/>
      <c r="AW502" s="75" t="n"/>
      <c r="AX502" s="75" t="n"/>
      <c r="AY502" s="75" t="n"/>
      <c r="AZ502" s="75" t="n"/>
      <c r="BA502" s="75" t="n"/>
      <c r="BB502" s="75" t="n"/>
      <c r="BC502" s="75" t="n"/>
      <c r="BD502" s="75" t="n"/>
      <c r="BE502" s="75" t="n"/>
      <c r="BF502" s="75" t="n"/>
      <c r="BG502" s="75" t="n"/>
      <c r="BH502" s="75" t="n"/>
      <c r="BI502" s="75" t="n"/>
      <c r="BJ502" s="75" t="n"/>
      <c r="BK502" s="75" t="n"/>
      <c r="BL502" s="75" t="n"/>
      <c r="BM502" s="75" t="n"/>
      <c r="BN502" s="75" t="n"/>
      <c r="BO502" s="75" t="n"/>
      <c r="BP502" s="75" t="n"/>
      <c r="BQ502" s="75" t="n"/>
      <c r="BR502" s="75" t="n"/>
      <c r="BS502" s="75" t="n"/>
      <c r="BT502" s="75" t="n"/>
      <c r="BU502" s="75" t="n"/>
      <c r="BV502" s="75" t="n"/>
      <c r="BW502" s="75" t="n"/>
      <c r="BX502" s="75" t="n"/>
      <c r="BY502" s="75" t="n"/>
      <c r="BZ502" s="75" t="n"/>
      <c r="CA502" s="75" t="n"/>
      <c r="CB502" s="75" t="n"/>
      <c r="CC502" s="75" t="n"/>
      <c r="CD502" s="75" t="n"/>
      <c r="CE502" s="75" t="n"/>
      <c r="CF502" s="75" t="n"/>
      <c r="CG502" s="75" t="n"/>
      <c r="CH502" s="75" t="n"/>
      <c r="CI502" s="75" t="n"/>
      <c r="CJ502" s="75" t="n"/>
      <c r="CK502" s="75" t="n"/>
      <c r="CL502" s="75" t="n"/>
      <c r="CM502" s="75" t="n"/>
      <c r="CN502" s="75" t="n"/>
      <c r="CO502" s="75" t="n"/>
      <c r="CP502" s="75" t="n"/>
      <c r="CQ502" s="75" t="n"/>
      <c r="CR502" s="75" t="n"/>
      <c r="CS502" s="75" t="n"/>
      <c r="CT502" s="75" t="n"/>
      <c r="CU502" s="75" t="n"/>
      <c r="CV502" s="75" t="n"/>
      <c r="CW502" s="75" t="n"/>
      <c r="CX502" s="75" t="n"/>
      <c r="CY502" s="75" t="n"/>
      <c r="CZ502" s="75" t="n"/>
    </row>
    <row r="503">
      <c r="B503" s="134">
        <f>IF($A502="",0,COUNT($E503:$CZ503))</f>
        <v/>
      </c>
    </row>
    <row r="504">
      <c r="A504" s="5">
        <f>IF(MXAU!$C$48="","",MXAU!$C$48)</f>
        <v/>
      </c>
      <c r="B504" s="134">
        <f>IF($A504="",0,COUNT($E504:$CZ504))</f>
        <v/>
      </c>
      <c r="C504" s="135">
        <f>IF($A504="",0,IF($B504=0,0,MAX($E504:$CZ504)))</f>
        <v/>
      </c>
      <c r="D504" s="74">
        <f>BDS($A504,'Field Check'!$C$42,"headers=y","startcol=2","endcol=3","dir=h")</f>
        <v/>
      </c>
      <c r="E504" s="75" t="n"/>
      <c r="F504" s="75" t="n"/>
      <c r="G504" s="75" t="n"/>
      <c r="H504" s="75" t="n"/>
      <c r="I504" s="75" t="n"/>
      <c r="J504" s="75" t="n"/>
      <c r="K504" s="75" t="n"/>
      <c r="L504" s="75" t="n"/>
      <c r="M504" s="75" t="n"/>
      <c r="N504" s="75" t="n"/>
      <c r="O504" s="75" t="n"/>
      <c r="P504" s="75" t="n"/>
      <c r="Q504" s="75" t="n"/>
      <c r="R504" s="75" t="n"/>
      <c r="S504" s="75" t="n"/>
      <c r="T504" s="75" t="n"/>
      <c r="U504" s="75" t="n"/>
      <c r="V504" s="75" t="n"/>
      <c r="W504" s="75" t="n"/>
      <c r="X504" s="75" t="n"/>
      <c r="Y504" s="75" t="n"/>
      <c r="Z504" s="75" t="n"/>
      <c r="AA504" s="75" t="n"/>
      <c r="AB504" s="75" t="n"/>
      <c r="AC504" s="75" t="n"/>
      <c r="AD504" s="75" t="n"/>
      <c r="AE504" s="75" t="n"/>
      <c r="AF504" s="75" t="n"/>
      <c r="AG504" s="75" t="n"/>
      <c r="AH504" s="75" t="n"/>
      <c r="AI504" s="75" t="n"/>
      <c r="AJ504" s="75" t="n"/>
      <c r="AK504" s="75" t="n"/>
      <c r="AL504" s="75" t="n"/>
      <c r="AM504" s="75" t="n"/>
      <c r="AN504" s="75" t="n"/>
      <c r="AO504" s="75" t="n"/>
      <c r="AP504" s="75" t="n"/>
      <c r="AQ504" s="75" t="n"/>
      <c r="AR504" s="75" t="n"/>
      <c r="AS504" s="75" t="n"/>
      <c r="AT504" s="75" t="n"/>
      <c r="AU504" s="75" t="n"/>
      <c r="AV504" s="75" t="n"/>
      <c r="AW504" s="75" t="n"/>
      <c r="AX504" s="75" t="n"/>
      <c r="AY504" s="75" t="n"/>
      <c r="AZ504" s="75" t="n"/>
      <c r="BA504" s="75" t="n"/>
      <c r="BB504" s="75" t="n"/>
      <c r="BC504" s="75" t="n"/>
      <c r="BD504" s="75" t="n"/>
      <c r="BE504" s="75" t="n"/>
      <c r="BF504" s="75" t="n"/>
      <c r="BG504" s="75" t="n"/>
      <c r="BH504" s="75" t="n"/>
      <c r="BI504" s="75" t="n"/>
      <c r="BJ504" s="75" t="n"/>
      <c r="BK504" s="75" t="n"/>
      <c r="BL504" s="75" t="n"/>
      <c r="BM504" s="75" t="n"/>
      <c r="BN504" s="75" t="n"/>
      <c r="BO504" s="75" t="n"/>
      <c r="BP504" s="75" t="n"/>
      <c r="BQ504" s="75" t="n"/>
      <c r="BR504" s="75" t="n"/>
      <c r="BS504" s="75" t="n"/>
      <c r="BT504" s="75" t="n"/>
      <c r="BU504" s="75" t="n"/>
      <c r="BV504" s="75" t="n"/>
      <c r="BW504" s="75" t="n"/>
      <c r="BX504" s="75" t="n"/>
      <c r="BY504" s="75" t="n"/>
      <c r="BZ504" s="75" t="n"/>
      <c r="CA504" s="75" t="n"/>
      <c r="CB504" s="75" t="n"/>
      <c r="CC504" s="75" t="n"/>
      <c r="CD504" s="75" t="n"/>
      <c r="CE504" s="75" t="n"/>
      <c r="CF504" s="75" t="n"/>
      <c r="CG504" s="75" t="n"/>
      <c r="CH504" s="75" t="n"/>
      <c r="CI504" s="75" t="n"/>
      <c r="CJ504" s="75" t="n"/>
      <c r="CK504" s="75" t="n"/>
      <c r="CL504" s="75" t="n"/>
      <c r="CM504" s="75" t="n"/>
      <c r="CN504" s="75" t="n"/>
      <c r="CO504" s="75" t="n"/>
      <c r="CP504" s="75" t="n"/>
      <c r="CQ504" s="75" t="n"/>
      <c r="CR504" s="75" t="n"/>
      <c r="CS504" s="75" t="n"/>
      <c r="CT504" s="75" t="n"/>
      <c r="CU504" s="75" t="n"/>
      <c r="CV504" s="75" t="n"/>
      <c r="CW504" s="75" t="n"/>
      <c r="CX504" s="75" t="n"/>
      <c r="CY504" s="75" t="n"/>
      <c r="CZ504" s="75" t="n"/>
    </row>
    <row r="505">
      <c r="B505" s="134">
        <f>IF($A504="",0,COUNT($E505:$CZ505))</f>
        <v/>
      </c>
    </row>
    <row r="506">
      <c r="A506" s="5">
        <f>IF(MXAU!$C$49="","",MXAU!$C$49)</f>
        <v/>
      </c>
      <c r="B506" s="134">
        <f>IF($A506="",0,COUNT($E506:$CZ506))</f>
        <v/>
      </c>
      <c r="C506" s="135">
        <f>IF($A506="",0,IF($B506=0,0,MAX($E506:$CZ506)))</f>
        <v/>
      </c>
      <c r="D506" s="74">
        <f>BDS($A506,'Field Check'!$C$42,"headers=y","startcol=2","endcol=3","dir=h")</f>
        <v/>
      </c>
      <c r="E506" s="75" t="n"/>
      <c r="F506" s="75" t="n"/>
      <c r="G506" s="75" t="n"/>
      <c r="H506" s="75" t="n"/>
      <c r="I506" s="75" t="n"/>
      <c r="J506" s="75" t="n"/>
      <c r="K506" s="75" t="n"/>
      <c r="L506" s="75" t="n"/>
      <c r="M506" s="75" t="n"/>
      <c r="N506" s="75" t="n"/>
      <c r="O506" s="75" t="n"/>
      <c r="P506" s="75" t="n"/>
      <c r="Q506" s="75" t="n"/>
      <c r="R506" s="75" t="n"/>
      <c r="S506" s="75" t="n"/>
      <c r="T506" s="75" t="n"/>
      <c r="U506" s="75" t="n"/>
      <c r="V506" s="75" t="n"/>
      <c r="W506" s="75" t="n"/>
      <c r="X506" s="75" t="n"/>
      <c r="Y506" s="75" t="n"/>
      <c r="Z506" s="75" t="n"/>
      <c r="AA506" s="75" t="n"/>
      <c r="AB506" s="75" t="n"/>
      <c r="AC506" s="75" t="n"/>
      <c r="AD506" s="75" t="n"/>
      <c r="AE506" s="75" t="n"/>
      <c r="AF506" s="75" t="n"/>
      <c r="AG506" s="75" t="n"/>
      <c r="AH506" s="75" t="n"/>
      <c r="AI506" s="75" t="n"/>
      <c r="AJ506" s="75" t="n"/>
      <c r="AK506" s="75" t="n"/>
      <c r="AL506" s="75" t="n"/>
      <c r="AM506" s="75" t="n"/>
      <c r="AN506" s="75" t="n"/>
      <c r="AO506" s="75" t="n"/>
      <c r="AP506" s="75" t="n"/>
      <c r="AQ506" s="75" t="n"/>
      <c r="AR506" s="75" t="n"/>
      <c r="AS506" s="75" t="n"/>
      <c r="AT506" s="75" t="n"/>
      <c r="AU506" s="75" t="n"/>
      <c r="AV506" s="75" t="n"/>
      <c r="AW506" s="75" t="n"/>
      <c r="AX506" s="75" t="n"/>
      <c r="AY506" s="75" t="n"/>
      <c r="AZ506" s="75" t="n"/>
      <c r="BA506" s="75" t="n"/>
      <c r="BB506" s="75" t="n"/>
      <c r="BC506" s="75" t="n"/>
      <c r="BD506" s="75" t="n"/>
      <c r="BE506" s="75" t="n"/>
      <c r="BF506" s="75" t="n"/>
      <c r="BG506" s="75" t="n"/>
      <c r="BH506" s="75" t="n"/>
      <c r="BI506" s="75" t="n"/>
      <c r="BJ506" s="75" t="n"/>
      <c r="BK506" s="75" t="n"/>
      <c r="BL506" s="75" t="n"/>
      <c r="BM506" s="75" t="n"/>
      <c r="BN506" s="75" t="n"/>
      <c r="BO506" s="75" t="n"/>
      <c r="BP506" s="75" t="n"/>
      <c r="BQ506" s="75" t="n"/>
      <c r="BR506" s="75" t="n"/>
      <c r="BS506" s="75" t="n"/>
      <c r="BT506" s="75" t="n"/>
      <c r="BU506" s="75" t="n"/>
      <c r="BV506" s="75" t="n"/>
      <c r="BW506" s="75" t="n"/>
      <c r="BX506" s="75" t="n"/>
      <c r="BY506" s="75" t="n"/>
      <c r="BZ506" s="75" t="n"/>
      <c r="CA506" s="75" t="n"/>
      <c r="CB506" s="75" t="n"/>
      <c r="CC506" s="75" t="n"/>
      <c r="CD506" s="75" t="n"/>
      <c r="CE506" s="75" t="n"/>
      <c r="CF506" s="75" t="n"/>
      <c r="CG506" s="75" t="n"/>
      <c r="CH506" s="75" t="n"/>
      <c r="CI506" s="75" t="n"/>
      <c r="CJ506" s="75" t="n"/>
      <c r="CK506" s="75" t="n"/>
      <c r="CL506" s="75" t="n"/>
      <c r="CM506" s="75" t="n"/>
      <c r="CN506" s="75" t="n"/>
      <c r="CO506" s="75" t="n"/>
      <c r="CP506" s="75" t="n"/>
      <c r="CQ506" s="75" t="n"/>
      <c r="CR506" s="75" t="n"/>
      <c r="CS506" s="75" t="n"/>
      <c r="CT506" s="75" t="n"/>
      <c r="CU506" s="75" t="n"/>
      <c r="CV506" s="75" t="n"/>
      <c r="CW506" s="75" t="n"/>
      <c r="CX506" s="75" t="n"/>
      <c r="CY506" s="75" t="n"/>
      <c r="CZ506" s="75" t="n"/>
    </row>
    <row r="507">
      <c r="B507" s="134">
        <f>IF($A506="",0,COUNT($E507:$CZ507))</f>
        <v/>
      </c>
    </row>
    <row r="508">
      <c r="A508" s="5">
        <f>IF(MXAU!$C$50="","",MXAU!$C$50)</f>
        <v/>
      </c>
      <c r="B508" s="134">
        <f>IF($A508="",0,COUNT($E508:$CZ508))</f>
        <v/>
      </c>
      <c r="C508" s="135">
        <f>IF($A508="",0,IF($B508=0,0,MAX($E508:$CZ508)))</f>
        <v/>
      </c>
      <c r="D508" s="74">
        <f>BDS($A508,'Field Check'!$C$42,"headers=y","startcol=2","endcol=3","dir=h")</f>
        <v/>
      </c>
      <c r="E508" s="75" t="n"/>
      <c r="F508" s="75" t="n"/>
      <c r="G508" s="75" t="n"/>
      <c r="H508" s="75" t="n"/>
      <c r="I508" s="75" t="n"/>
      <c r="J508" s="75" t="n"/>
      <c r="K508" s="75" t="n"/>
      <c r="L508" s="75" t="n"/>
      <c r="M508" s="75" t="n"/>
      <c r="N508" s="75" t="n"/>
      <c r="O508" s="75" t="n"/>
      <c r="P508" s="75" t="n"/>
      <c r="Q508" s="75" t="n"/>
      <c r="R508" s="75" t="n"/>
      <c r="S508" s="75" t="n"/>
      <c r="T508" s="75" t="n"/>
      <c r="U508" s="75" t="n"/>
      <c r="V508" s="75" t="n"/>
      <c r="W508" s="75" t="n"/>
      <c r="X508" s="75" t="n"/>
      <c r="Y508" s="75" t="n"/>
      <c r="Z508" s="75" t="n"/>
      <c r="AA508" s="75" t="n"/>
      <c r="AB508" s="75" t="n"/>
      <c r="AC508" s="75" t="n"/>
      <c r="AD508" s="75" t="n"/>
      <c r="AE508" s="75" t="n"/>
      <c r="AF508" s="75" t="n"/>
      <c r="AG508" s="75" t="n"/>
      <c r="AH508" s="75" t="n"/>
      <c r="AI508" s="75" t="n"/>
      <c r="AJ508" s="75" t="n"/>
      <c r="AK508" s="75" t="n"/>
      <c r="AL508" s="75" t="n"/>
      <c r="AM508" s="75" t="n"/>
      <c r="AN508" s="75" t="n"/>
      <c r="AO508" s="75" t="n"/>
      <c r="AP508" s="75" t="n"/>
      <c r="AQ508" s="75" t="n"/>
      <c r="AR508" s="75" t="n"/>
      <c r="AS508" s="75" t="n"/>
      <c r="AT508" s="75" t="n"/>
      <c r="AU508" s="75" t="n"/>
      <c r="AV508" s="75" t="n"/>
      <c r="AW508" s="75" t="n"/>
      <c r="AX508" s="75" t="n"/>
      <c r="AY508" s="75" t="n"/>
      <c r="AZ508" s="75" t="n"/>
      <c r="BA508" s="75" t="n"/>
      <c r="BB508" s="75" t="n"/>
      <c r="BC508" s="75" t="n"/>
      <c r="BD508" s="75" t="n"/>
      <c r="BE508" s="75" t="n"/>
      <c r="BF508" s="75" t="n"/>
      <c r="BG508" s="75" t="n"/>
      <c r="BH508" s="75" t="n"/>
      <c r="BI508" s="75" t="n"/>
      <c r="BJ508" s="75" t="n"/>
      <c r="BK508" s="75" t="n"/>
      <c r="BL508" s="75" t="n"/>
      <c r="BM508" s="75" t="n"/>
      <c r="BN508" s="75" t="n"/>
      <c r="BO508" s="75" t="n"/>
      <c r="BP508" s="75" t="n"/>
      <c r="BQ508" s="75" t="n"/>
      <c r="BR508" s="75" t="n"/>
      <c r="BS508" s="75" t="n"/>
      <c r="BT508" s="75" t="n"/>
      <c r="BU508" s="75" t="n"/>
      <c r="BV508" s="75" t="n"/>
      <c r="BW508" s="75" t="n"/>
      <c r="BX508" s="75" t="n"/>
      <c r="BY508" s="75" t="n"/>
      <c r="BZ508" s="75" t="n"/>
      <c r="CA508" s="75" t="n"/>
      <c r="CB508" s="75" t="n"/>
      <c r="CC508" s="75" t="n"/>
      <c r="CD508" s="75" t="n"/>
      <c r="CE508" s="75" t="n"/>
      <c r="CF508" s="75" t="n"/>
      <c r="CG508" s="75" t="n"/>
      <c r="CH508" s="75" t="n"/>
      <c r="CI508" s="75" t="n"/>
      <c r="CJ508" s="75" t="n"/>
      <c r="CK508" s="75" t="n"/>
      <c r="CL508" s="75" t="n"/>
      <c r="CM508" s="75" t="n"/>
      <c r="CN508" s="75" t="n"/>
      <c r="CO508" s="75" t="n"/>
      <c r="CP508" s="75" t="n"/>
      <c r="CQ508" s="75" t="n"/>
      <c r="CR508" s="75" t="n"/>
      <c r="CS508" s="75" t="n"/>
      <c r="CT508" s="75" t="n"/>
      <c r="CU508" s="75" t="n"/>
      <c r="CV508" s="75" t="n"/>
      <c r="CW508" s="75" t="n"/>
      <c r="CX508" s="75" t="n"/>
      <c r="CY508" s="75" t="n"/>
      <c r="CZ508" s="75" t="n"/>
    </row>
    <row r="509">
      <c r="B509" s="134">
        <f>IF($A508="",0,COUNT($E509:$CZ509))</f>
        <v/>
      </c>
    </row>
    <row r="510">
      <c r="A510" s="5">
        <f>IF(MXAU!$C$51="","",MXAU!$C$51)</f>
        <v/>
      </c>
      <c r="B510" s="134">
        <f>IF($A510="",0,COUNT($E510:$CZ510))</f>
        <v/>
      </c>
      <c r="C510" s="135">
        <f>IF($A510="",0,IF($B510=0,0,MAX($E510:$CZ510)))</f>
        <v/>
      </c>
      <c r="D510" s="74">
        <f>BDS($A510,'Field Check'!$C$42,"headers=y","startcol=2","endcol=3","dir=h")</f>
        <v/>
      </c>
      <c r="E510" s="75" t="n"/>
      <c r="F510" s="75" t="n"/>
      <c r="G510" s="75" t="n"/>
      <c r="H510" s="75" t="n"/>
      <c r="I510" s="75" t="n"/>
      <c r="J510" s="75" t="n"/>
      <c r="K510" s="75" t="n"/>
      <c r="L510" s="75" t="n"/>
      <c r="M510" s="75" t="n"/>
      <c r="N510" s="75" t="n"/>
      <c r="O510" s="75" t="n"/>
      <c r="P510" s="75" t="n"/>
      <c r="Q510" s="75" t="n"/>
      <c r="R510" s="75" t="n"/>
      <c r="S510" s="75" t="n"/>
      <c r="T510" s="75" t="n"/>
      <c r="U510" s="75" t="n"/>
      <c r="V510" s="75" t="n"/>
      <c r="W510" s="75" t="n"/>
      <c r="X510" s="75" t="n"/>
      <c r="Y510" s="75" t="n"/>
      <c r="Z510" s="75" t="n"/>
      <c r="AA510" s="75" t="n"/>
      <c r="AB510" s="75" t="n"/>
      <c r="AC510" s="75" t="n"/>
      <c r="AD510" s="75" t="n"/>
      <c r="AE510" s="75" t="n"/>
      <c r="AF510" s="75" t="n"/>
      <c r="AG510" s="75" t="n"/>
      <c r="AH510" s="75" t="n"/>
      <c r="AI510" s="75" t="n"/>
      <c r="AJ510" s="75" t="n"/>
      <c r="AK510" s="75" t="n"/>
      <c r="AL510" s="75" t="n"/>
      <c r="AM510" s="75" t="n"/>
      <c r="AN510" s="75" t="n"/>
      <c r="AO510" s="75" t="n"/>
      <c r="AP510" s="75" t="n"/>
      <c r="AQ510" s="75" t="n"/>
      <c r="AR510" s="75" t="n"/>
      <c r="AS510" s="75" t="n"/>
      <c r="AT510" s="75" t="n"/>
      <c r="AU510" s="75" t="n"/>
      <c r="AV510" s="75" t="n"/>
      <c r="AW510" s="75" t="n"/>
      <c r="AX510" s="75" t="n"/>
      <c r="AY510" s="75" t="n"/>
      <c r="AZ510" s="75" t="n"/>
      <c r="BA510" s="75" t="n"/>
      <c r="BB510" s="75" t="n"/>
      <c r="BC510" s="75" t="n"/>
      <c r="BD510" s="75" t="n"/>
      <c r="BE510" s="75" t="n"/>
      <c r="BF510" s="75" t="n"/>
      <c r="BG510" s="75" t="n"/>
      <c r="BH510" s="75" t="n"/>
      <c r="BI510" s="75" t="n"/>
      <c r="BJ510" s="75" t="n"/>
      <c r="BK510" s="75" t="n"/>
      <c r="BL510" s="75" t="n"/>
      <c r="BM510" s="75" t="n"/>
      <c r="BN510" s="75" t="n"/>
      <c r="BO510" s="75" t="n"/>
      <c r="BP510" s="75" t="n"/>
      <c r="BQ510" s="75" t="n"/>
      <c r="BR510" s="75" t="n"/>
      <c r="BS510" s="75" t="n"/>
      <c r="BT510" s="75" t="n"/>
      <c r="BU510" s="75" t="n"/>
      <c r="BV510" s="75" t="n"/>
      <c r="BW510" s="75" t="n"/>
      <c r="BX510" s="75" t="n"/>
      <c r="BY510" s="75" t="n"/>
      <c r="BZ510" s="75" t="n"/>
      <c r="CA510" s="75" t="n"/>
      <c r="CB510" s="75" t="n"/>
      <c r="CC510" s="75" t="n"/>
      <c r="CD510" s="75" t="n"/>
      <c r="CE510" s="75" t="n"/>
      <c r="CF510" s="75" t="n"/>
      <c r="CG510" s="75" t="n"/>
      <c r="CH510" s="75" t="n"/>
      <c r="CI510" s="75" t="n"/>
      <c r="CJ510" s="75" t="n"/>
      <c r="CK510" s="75" t="n"/>
      <c r="CL510" s="75" t="n"/>
      <c r="CM510" s="75" t="n"/>
      <c r="CN510" s="75" t="n"/>
      <c r="CO510" s="75" t="n"/>
      <c r="CP510" s="75" t="n"/>
      <c r="CQ510" s="75" t="n"/>
      <c r="CR510" s="75" t="n"/>
      <c r="CS510" s="75" t="n"/>
      <c r="CT510" s="75" t="n"/>
      <c r="CU510" s="75" t="n"/>
      <c r="CV510" s="75" t="n"/>
      <c r="CW510" s="75" t="n"/>
      <c r="CX510" s="75" t="n"/>
      <c r="CY510" s="75" t="n"/>
      <c r="CZ510" s="75" t="n"/>
    </row>
    <row r="511">
      <c r="B511" s="134">
        <f>IF($A510="",0,COUNT($E511:$CZ511))</f>
        <v/>
      </c>
    </row>
    <row r="512">
      <c r="A512" s="5">
        <f>IF(MXAU!$C$52="","",MXAU!$C$52)</f>
        <v/>
      </c>
      <c r="B512" s="134">
        <f>IF($A512="",0,COUNT($E512:$CZ512))</f>
        <v/>
      </c>
      <c r="C512" s="135">
        <f>IF($A512="",0,IF($B512=0,0,MAX($E512:$CZ512)))</f>
        <v/>
      </c>
      <c r="D512" s="74">
        <f>BDS($A512,'Field Check'!$C$42,"headers=y","startcol=2","endcol=3","dir=h")</f>
        <v/>
      </c>
      <c r="E512" s="75" t="n"/>
      <c r="F512" s="75" t="n"/>
      <c r="G512" s="75" t="n"/>
      <c r="H512" s="75" t="n"/>
      <c r="I512" s="75" t="n"/>
      <c r="J512" s="75" t="n"/>
      <c r="K512" s="75" t="n"/>
      <c r="L512" s="75" t="n"/>
      <c r="M512" s="75" t="n"/>
      <c r="N512" s="75" t="n"/>
      <c r="O512" s="75" t="n"/>
      <c r="P512" s="75" t="n"/>
      <c r="Q512" s="75" t="n"/>
      <c r="R512" s="75" t="n"/>
      <c r="S512" s="75" t="n"/>
      <c r="T512" s="75" t="n"/>
      <c r="U512" s="75" t="n"/>
      <c r="V512" s="75" t="n"/>
      <c r="W512" s="75" t="n"/>
      <c r="X512" s="75" t="n"/>
      <c r="Y512" s="75" t="n"/>
      <c r="Z512" s="75" t="n"/>
      <c r="AA512" s="75" t="n"/>
      <c r="AB512" s="75" t="n"/>
      <c r="AC512" s="75" t="n"/>
      <c r="AD512" s="75" t="n"/>
      <c r="AE512" s="75" t="n"/>
      <c r="AF512" s="75" t="n"/>
      <c r="AG512" s="75" t="n"/>
      <c r="AH512" s="75" t="n"/>
      <c r="AI512" s="75" t="n"/>
      <c r="AJ512" s="75" t="n"/>
      <c r="AK512" s="75" t="n"/>
      <c r="AL512" s="75" t="n"/>
      <c r="AM512" s="75" t="n"/>
      <c r="AN512" s="75" t="n"/>
      <c r="AO512" s="75" t="n"/>
      <c r="AP512" s="75" t="n"/>
      <c r="AQ512" s="75" t="n"/>
      <c r="AR512" s="75" t="n"/>
      <c r="AS512" s="75" t="n"/>
      <c r="AT512" s="75" t="n"/>
      <c r="AU512" s="75" t="n"/>
      <c r="AV512" s="75" t="n"/>
      <c r="AW512" s="75" t="n"/>
      <c r="AX512" s="75" t="n"/>
      <c r="AY512" s="75" t="n"/>
      <c r="AZ512" s="75" t="n"/>
      <c r="BA512" s="75" t="n"/>
      <c r="BB512" s="75" t="n"/>
      <c r="BC512" s="75" t="n"/>
      <c r="BD512" s="75" t="n"/>
      <c r="BE512" s="75" t="n"/>
      <c r="BF512" s="75" t="n"/>
      <c r="BG512" s="75" t="n"/>
      <c r="BH512" s="75" t="n"/>
      <c r="BI512" s="75" t="n"/>
      <c r="BJ512" s="75" t="n"/>
      <c r="BK512" s="75" t="n"/>
      <c r="BL512" s="75" t="n"/>
      <c r="BM512" s="75" t="n"/>
      <c r="BN512" s="75" t="n"/>
      <c r="BO512" s="75" t="n"/>
      <c r="BP512" s="75" t="n"/>
      <c r="BQ512" s="75" t="n"/>
      <c r="BR512" s="75" t="n"/>
      <c r="BS512" s="75" t="n"/>
      <c r="BT512" s="75" t="n"/>
      <c r="BU512" s="75" t="n"/>
      <c r="BV512" s="75" t="n"/>
      <c r="BW512" s="75" t="n"/>
      <c r="BX512" s="75" t="n"/>
      <c r="BY512" s="75" t="n"/>
      <c r="BZ512" s="75" t="n"/>
      <c r="CA512" s="75" t="n"/>
      <c r="CB512" s="75" t="n"/>
      <c r="CC512" s="75" t="n"/>
      <c r="CD512" s="75" t="n"/>
      <c r="CE512" s="75" t="n"/>
      <c r="CF512" s="75" t="n"/>
      <c r="CG512" s="75" t="n"/>
      <c r="CH512" s="75" t="n"/>
      <c r="CI512" s="75" t="n"/>
      <c r="CJ512" s="75" t="n"/>
      <c r="CK512" s="75" t="n"/>
      <c r="CL512" s="75" t="n"/>
      <c r="CM512" s="75" t="n"/>
      <c r="CN512" s="75" t="n"/>
      <c r="CO512" s="75" t="n"/>
      <c r="CP512" s="75" t="n"/>
      <c r="CQ512" s="75" t="n"/>
      <c r="CR512" s="75" t="n"/>
      <c r="CS512" s="75" t="n"/>
      <c r="CT512" s="75" t="n"/>
      <c r="CU512" s="75" t="n"/>
      <c r="CV512" s="75" t="n"/>
      <c r="CW512" s="75" t="n"/>
      <c r="CX512" s="75" t="n"/>
      <c r="CY512" s="75" t="n"/>
      <c r="CZ512" s="75" t="n"/>
    </row>
    <row r="513">
      <c r="B513" s="134">
        <f>IF($A512="",0,COUNT($E513:$CZ513))</f>
        <v/>
      </c>
    </row>
    <row r="514">
      <c r="A514" s="5">
        <f>IF(MXAU!$C$53="","",MXAU!$C$53)</f>
        <v/>
      </c>
      <c r="B514" s="134">
        <f>IF($A514="",0,COUNT($E514:$CZ514))</f>
        <v/>
      </c>
      <c r="C514" s="135">
        <f>IF($A514="",0,IF($B514=0,0,MAX($E514:$CZ514)))</f>
        <v/>
      </c>
      <c r="D514" s="74">
        <f>BDS($A514,'Field Check'!$C$42,"headers=y","startcol=2","endcol=3","dir=h")</f>
        <v/>
      </c>
      <c r="E514" s="75" t="n"/>
      <c r="F514" s="75" t="n"/>
      <c r="G514" s="75" t="n"/>
      <c r="H514" s="75" t="n"/>
      <c r="I514" s="75" t="n"/>
      <c r="J514" s="75" t="n"/>
      <c r="K514" s="75" t="n"/>
      <c r="L514" s="75" t="n"/>
      <c r="M514" s="75" t="n"/>
      <c r="N514" s="75" t="n"/>
      <c r="O514" s="75" t="n"/>
      <c r="P514" s="75" t="n"/>
      <c r="Q514" s="75" t="n"/>
      <c r="R514" s="75" t="n"/>
      <c r="S514" s="75" t="n"/>
      <c r="T514" s="75" t="n"/>
      <c r="U514" s="75" t="n"/>
      <c r="V514" s="75" t="n"/>
      <c r="W514" s="75" t="n"/>
      <c r="X514" s="75" t="n"/>
      <c r="Y514" s="75" t="n"/>
      <c r="Z514" s="75" t="n"/>
      <c r="AA514" s="75" t="n"/>
      <c r="AB514" s="75" t="n"/>
      <c r="AC514" s="75" t="n"/>
      <c r="AD514" s="75" t="n"/>
      <c r="AE514" s="75" t="n"/>
      <c r="AF514" s="75" t="n"/>
      <c r="AG514" s="75" t="n"/>
      <c r="AH514" s="75" t="n"/>
      <c r="AI514" s="75" t="n"/>
      <c r="AJ514" s="75" t="n"/>
      <c r="AK514" s="75" t="n"/>
      <c r="AL514" s="75" t="n"/>
      <c r="AM514" s="75" t="n"/>
      <c r="AN514" s="75" t="n"/>
      <c r="AO514" s="75" t="n"/>
      <c r="AP514" s="75" t="n"/>
      <c r="AQ514" s="75" t="n"/>
      <c r="AR514" s="75" t="n"/>
      <c r="AS514" s="75" t="n"/>
      <c r="AT514" s="75" t="n"/>
      <c r="AU514" s="75" t="n"/>
      <c r="AV514" s="75" t="n"/>
      <c r="AW514" s="75" t="n"/>
      <c r="AX514" s="75" t="n"/>
      <c r="AY514" s="75" t="n"/>
      <c r="AZ514" s="75" t="n"/>
      <c r="BA514" s="75" t="n"/>
      <c r="BB514" s="75" t="n"/>
      <c r="BC514" s="75" t="n"/>
      <c r="BD514" s="75" t="n"/>
      <c r="BE514" s="75" t="n"/>
      <c r="BF514" s="75" t="n"/>
      <c r="BG514" s="75" t="n"/>
      <c r="BH514" s="75" t="n"/>
      <c r="BI514" s="75" t="n"/>
      <c r="BJ514" s="75" t="n"/>
      <c r="BK514" s="75" t="n"/>
      <c r="BL514" s="75" t="n"/>
      <c r="BM514" s="75" t="n"/>
      <c r="BN514" s="75" t="n"/>
      <c r="BO514" s="75" t="n"/>
      <c r="BP514" s="75" t="n"/>
      <c r="BQ514" s="75" t="n"/>
      <c r="BR514" s="75" t="n"/>
      <c r="BS514" s="75" t="n"/>
      <c r="BT514" s="75" t="n"/>
      <c r="BU514" s="75" t="n"/>
      <c r="BV514" s="75" t="n"/>
      <c r="BW514" s="75" t="n"/>
      <c r="BX514" s="75" t="n"/>
      <c r="BY514" s="75" t="n"/>
      <c r="BZ514" s="75" t="n"/>
      <c r="CA514" s="75" t="n"/>
      <c r="CB514" s="75" t="n"/>
      <c r="CC514" s="75" t="n"/>
      <c r="CD514" s="75" t="n"/>
      <c r="CE514" s="75" t="n"/>
      <c r="CF514" s="75" t="n"/>
      <c r="CG514" s="75" t="n"/>
      <c r="CH514" s="75" t="n"/>
      <c r="CI514" s="75" t="n"/>
      <c r="CJ514" s="75" t="n"/>
      <c r="CK514" s="75" t="n"/>
      <c r="CL514" s="75" t="n"/>
      <c r="CM514" s="75" t="n"/>
      <c r="CN514" s="75" t="n"/>
      <c r="CO514" s="75" t="n"/>
      <c r="CP514" s="75" t="n"/>
      <c r="CQ514" s="75" t="n"/>
      <c r="CR514" s="75" t="n"/>
      <c r="CS514" s="75" t="n"/>
      <c r="CT514" s="75" t="n"/>
      <c r="CU514" s="75" t="n"/>
      <c r="CV514" s="75" t="n"/>
      <c r="CW514" s="75" t="n"/>
      <c r="CX514" s="75" t="n"/>
      <c r="CY514" s="75" t="n"/>
      <c r="CZ514" s="75" t="n"/>
    </row>
    <row r="515">
      <c r="B515" s="134">
        <f>IF($A514="",0,COUNT($E515:$CZ515))</f>
        <v/>
      </c>
    </row>
    <row r="516">
      <c r="A516" s="5">
        <f>IF(MXAU!$C$54="","",MXAU!$C$54)</f>
        <v/>
      </c>
      <c r="B516" s="134">
        <f>IF($A516="",0,COUNT($E516:$CZ516))</f>
        <v/>
      </c>
      <c r="C516" s="135">
        <f>IF($A516="",0,IF($B516=0,0,MAX($E516:$CZ516)))</f>
        <v/>
      </c>
      <c r="D516" s="74">
        <f>BDS($A516,'Field Check'!$C$42,"headers=y","startcol=2","endcol=3","dir=h")</f>
        <v/>
      </c>
      <c r="E516" s="75" t="n"/>
      <c r="F516" s="75" t="n"/>
      <c r="G516" s="75" t="n"/>
      <c r="H516" s="75" t="n"/>
      <c r="I516" s="75" t="n"/>
      <c r="J516" s="75" t="n"/>
      <c r="K516" s="75" t="n"/>
      <c r="L516" s="75" t="n"/>
      <c r="M516" s="75" t="n"/>
      <c r="N516" s="75" t="n"/>
      <c r="O516" s="75" t="n"/>
      <c r="P516" s="75" t="n"/>
      <c r="Q516" s="75" t="n"/>
      <c r="R516" s="75" t="n"/>
      <c r="S516" s="75" t="n"/>
      <c r="T516" s="75" t="n"/>
      <c r="U516" s="75" t="n"/>
      <c r="V516" s="75" t="n"/>
      <c r="W516" s="75" t="n"/>
      <c r="X516" s="75" t="n"/>
      <c r="Y516" s="75" t="n"/>
      <c r="Z516" s="75" t="n"/>
      <c r="AA516" s="75" t="n"/>
      <c r="AB516" s="75" t="n"/>
      <c r="AC516" s="75" t="n"/>
      <c r="AD516" s="75" t="n"/>
      <c r="AE516" s="75" t="n"/>
      <c r="AF516" s="75" t="n"/>
      <c r="AG516" s="75" t="n"/>
      <c r="AH516" s="75" t="n"/>
      <c r="AI516" s="75" t="n"/>
      <c r="AJ516" s="75" t="n"/>
      <c r="AK516" s="75" t="n"/>
      <c r="AL516" s="75" t="n"/>
      <c r="AM516" s="75" t="n"/>
      <c r="AN516" s="75" t="n"/>
      <c r="AO516" s="75" t="n"/>
      <c r="AP516" s="75" t="n"/>
      <c r="AQ516" s="75" t="n"/>
      <c r="AR516" s="75" t="n"/>
      <c r="AS516" s="75" t="n"/>
      <c r="AT516" s="75" t="n"/>
      <c r="AU516" s="75" t="n"/>
      <c r="AV516" s="75" t="n"/>
      <c r="AW516" s="75" t="n"/>
      <c r="AX516" s="75" t="n"/>
      <c r="AY516" s="75" t="n"/>
      <c r="AZ516" s="75" t="n"/>
      <c r="BA516" s="75" t="n"/>
      <c r="BB516" s="75" t="n"/>
      <c r="BC516" s="75" t="n"/>
      <c r="BD516" s="75" t="n"/>
      <c r="BE516" s="75" t="n"/>
      <c r="BF516" s="75" t="n"/>
      <c r="BG516" s="75" t="n"/>
      <c r="BH516" s="75" t="n"/>
      <c r="BI516" s="75" t="n"/>
      <c r="BJ516" s="75" t="n"/>
      <c r="BK516" s="75" t="n"/>
      <c r="BL516" s="75" t="n"/>
      <c r="BM516" s="75" t="n"/>
      <c r="BN516" s="75" t="n"/>
      <c r="BO516" s="75" t="n"/>
      <c r="BP516" s="75" t="n"/>
      <c r="BQ516" s="75" t="n"/>
      <c r="BR516" s="75" t="n"/>
      <c r="BS516" s="75" t="n"/>
      <c r="BT516" s="75" t="n"/>
      <c r="BU516" s="75" t="n"/>
      <c r="BV516" s="75" t="n"/>
      <c r="BW516" s="75" t="n"/>
      <c r="BX516" s="75" t="n"/>
      <c r="BY516" s="75" t="n"/>
      <c r="BZ516" s="75" t="n"/>
      <c r="CA516" s="75" t="n"/>
      <c r="CB516" s="75" t="n"/>
      <c r="CC516" s="75" t="n"/>
      <c r="CD516" s="75" t="n"/>
      <c r="CE516" s="75" t="n"/>
      <c r="CF516" s="75" t="n"/>
      <c r="CG516" s="75" t="n"/>
      <c r="CH516" s="75" t="n"/>
      <c r="CI516" s="75" t="n"/>
      <c r="CJ516" s="75" t="n"/>
      <c r="CK516" s="75" t="n"/>
      <c r="CL516" s="75" t="n"/>
      <c r="CM516" s="75" t="n"/>
      <c r="CN516" s="75" t="n"/>
      <c r="CO516" s="75" t="n"/>
      <c r="CP516" s="75" t="n"/>
      <c r="CQ516" s="75" t="n"/>
      <c r="CR516" s="75" t="n"/>
      <c r="CS516" s="75" t="n"/>
      <c r="CT516" s="75" t="n"/>
      <c r="CU516" s="75" t="n"/>
      <c r="CV516" s="75" t="n"/>
      <c r="CW516" s="75" t="n"/>
      <c r="CX516" s="75" t="n"/>
      <c r="CY516" s="75" t="n"/>
      <c r="CZ516" s="75" t="n"/>
    </row>
    <row r="517">
      <c r="B517" s="134">
        <f>IF($A516="",0,COUNT($E517:$CZ517))</f>
        <v/>
      </c>
    </row>
    <row r="518">
      <c r="A518" s="5">
        <f>IF(MXAU!$C$55="","",MXAU!$C$55)</f>
        <v/>
      </c>
      <c r="B518" s="134">
        <f>IF($A518="",0,COUNT($E518:$CZ518))</f>
        <v/>
      </c>
      <c r="C518" s="135">
        <f>IF($A518="",0,IF($B518=0,0,MAX($E518:$CZ518)))</f>
        <v/>
      </c>
      <c r="D518" s="74">
        <f>BDS($A518,'Field Check'!$C$42,"headers=y","startcol=2","endcol=3","dir=h")</f>
        <v/>
      </c>
      <c r="E518" s="75" t="n"/>
      <c r="F518" s="75" t="n"/>
      <c r="G518" s="75" t="n"/>
      <c r="H518" s="75" t="n"/>
      <c r="I518" s="75" t="n"/>
      <c r="J518" s="75" t="n"/>
      <c r="K518" s="75" t="n"/>
      <c r="L518" s="75" t="n"/>
      <c r="M518" s="75" t="n"/>
      <c r="N518" s="75" t="n"/>
      <c r="O518" s="75" t="n"/>
      <c r="P518" s="75" t="n"/>
      <c r="Q518" s="75" t="n"/>
      <c r="R518" s="75" t="n"/>
      <c r="S518" s="75" t="n"/>
      <c r="T518" s="75" t="n"/>
      <c r="U518" s="75" t="n"/>
      <c r="V518" s="75" t="n"/>
      <c r="W518" s="75" t="n"/>
      <c r="X518" s="75" t="n"/>
      <c r="Y518" s="75" t="n"/>
      <c r="Z518" s="75" t="n"/>
      <c r="AA518" s="75" t="n"/>
      <c r="AB518" s="75" t="n"/>
      <c r="AC518" s="75" t="n"/>
      <c r="AD518" s="75" t="n"/>
      <c r="AE518" s="75" t="n"/>
      <c r="AF518" s="75" t="n"/>
      <c r="AG518" s="75" t="n"/>
      <c r="AH518" s="75" t="n"/>
      <c r="AI518" s="75" t="n"/>
      <c r="AJ518" s="75" t="n"/>
      <c r="AK518" s="75" t="n"/>
      <c r="AL518" s="75" t="n"/>
      <c r="AM518" s="75" t="n"/>
      <c r="AN518" s="75" t="n"/>
      <c r="AO518" s="75" t="n"/>
      <c r="AP518" s="75" t="n"/>
      <c r="AQ518" s="75" t="n"/>
      <c r="AR518" s="75" t="n"/>
      <c r="AS518" s="75" t="n"/>
      <c r="AT518" s="75" t="n"/>
      <c r="AU518" s="75" t="n"/>
      <c r="AV518" s="75" t="n"/>
      <c r="AW518" s="75" t="n"/>
      <c r="AX518" s="75" t="n"/>
      <c r="AY518" s="75" t="n"/>
      <c r="AZ518" s="75" t="n"/>
      <c r="BA518" s="75" t="n"/>
      <c r="BB518" s="75" t="n"/>
      <c r="BC518" s="75" t="n"/>
      <c r="BD518" s="75" t="n"/>
      <c r="BE518" s="75" t="n"/>
      <c r="BF518" s="75" t="n"/>
      <c r="BG518" s="75" t="n"/>
      <c r="BH518" s="75" t="n"/>
      <c r="BI518" s="75" t="n"/>
      <c r="BJ518" s="75" t="n"/>
      <c r="BK518" s="75" t="n"/>
      <c r="BL518" s="75" t="n"/>
      <c r="BM518" s="75" t="n"/>
      <c r="BN518" s="75" t="n"/>
      <c r="BO518" s="75" t="n"/>
      <c r="BP518" s="75" t="n"/>
      <c r="BQ518" s="75" t="n"/>
      <c r="BR518" s="75" t="n"/>
      <c r="BS518" s="75" t="n"/>
      <c r="BT518" s="75" t="n"/>
      <c r="BU518" s="75" t="n"/>
      <c r="BV518" s="75" t="n"/>
      <c r="BW518" s="75" t="n"/>
      <c r="BX518" s="75" t="n"/>
      <c r="BY518" s="75" t="n"/>
      <c r="BZ518" s="75" t="n"/>
      <c r="CA518" s="75" t="n"/>
      <c r="CB518" s="75" t="n"/>
      <c r="CC518" s="75" t="n"/>
      <c r="CD518" s="75" t="n"/>
      <c r="CE518" s="75" t="n"/>
      <c r="CF518" s="75" t="n"/>
      <c r="CG518" s="75" t="n"/>
      <c r="CH518" s="75" t="n"/>
      <c r="CI518" s="75" t="n"/>
      <c r="CJ518" s="75" t="n"/>
      <c r="CK518" s="75" t="n"/>
      <c r="CL518" s="75" t="n"/>
      <c r="CM518" s="75" t="n"/>
      <c r="CN518" s="75" t="n"/>
      <c r="CO518" s="75" t="n"/>
      <c r="CP518" s="75" t="n"/>
      <c r="CQ518" s="75" t="n"/>
      <c r="CR518" s="75" t="n"/>
      <c r="CS518" s="75" t="n"/>
      <c r="CT518" s="75" t="n"/>
      <c r="CU518" s="75" t="n"/>
      <c r="CV518" s="75" t="n"/>
      <c r="CW518" s="75" t="n"/>
      <c r="CX518" s="75" t="n"/>
      <c r="CY518" s="75" t="n"/>
      <c r="CZ518" s="75" t="n"/>
    </row>
    <row r="519">
      <c r="B519" s="134">
        <f>IF($A518="",0,COUNT($E519:$CZ519))</f>
        <v/>
      </c>
    </row>
    <row r="520">
      <c r="A520" s="5">
        <f>IF(MXAU!$C$56="","",MXAU!$C$56)</f>
        <v/>
      </c>
      <c r="B520" s="134">
        <f>IF($A520="",0,COUNT($E520:$CZ520))</f>
        <v/>
      </c>
      <c r="C520" s="135">
        <f>IF($A520="",0,IF($B520=0,0,MAX($E520:$CZ520)))</f>
        <v/>
      </c>
      <c r="D520" s="74">
        <f>BDS($A520,'Field Check'!$C$42,"headers=y","startcol=2","endcol=3","dir=h")</f>
        <v/>
      </c>
      <c r="E520" s="75" t="n"/>
      <c r="F520" s="75" t="n"/>
      <c r="G520" s="75" t="n"/>
      <c r="H520" s="75" t="n"/>
      <c r="I520" s="75" t="n"/>
      <c r="J520" s="75" t="n"/>
      <c r="K520" s="75" t="n"/>
      <c r="L520" s="75" t="n"/>
      <c r="M520" s="75" t="n"/>
      <c r="N520" s="75" t="n"/>
      <c r="O520" s="75" t="n"/>
      <c r="P520" s="75" t="n"/>
      <c r="Q520" s="75" t="n"/>
      <c r="R520" s="75" t="n"/>
      <c r="S520" s="75" t="n"/>
      <c r="T520" s="75" t="n"/>
      <c r="U520" s="75" t="n"/>
      <c r="V520" s="75" t="n"/>
      <c r="W520" s="75" t="n"/>
      <c r="X520" s="75" t="n"/>
      <c r="Y520" s="75" t="n"/>
      <c r="Z520" s="75" t="n"/>
      <c r="AA520" s="75" t="n"/>
      <c r="AB520" s="75" t="n"/>
      <c r="AC520" s="75" t="n"/>
      <c r="AD520" s="75" t="n"/>
      <c r="AE520" s="75" t="n"/>
      <c r="AF520" s="75" t="n"/>
      <c r="AG520" s="75" t="n"/>
      <c r="AH520" s="75" t="n"/>
      <c r="AI520" s="75" t="n"/>
      <c r="AJ520" s="75" t="n"/>
      <c r="AK520" s="75" t="n"/>
      <c r="AL520" s="75" t="n"/>
      <c r="AM520" s="75" t="n"/>
      <c r="AN520" s="75" t="n"/>
      <c r="AO520" s="75" t="n"/>
      <c r="AP520" s="75" t="n"/>
      <c r="AQ520" s="75" t="n"/>
      <c r="AR520" s="75" t="n"/>
      <c r="AS520" s="75" t="n"/>
      <c r="AT520" s="75" t="n"/>
      <c r="AU520" s="75" t="n"/>
      <c r="AV520" s="75" t="n"/>
      <c r="AW520" s="75" t="n"/>
      <c r="AX520" s="75" t="n"/>
      <c r="AY520" s="75" t="n"/>
      <c r="AZ520" s="75" t="n"/>
      <c r="BA520" s="75" t="n"/>
      <c r="BB520" s="75" t="n"/>
      <c r="BC520" s="75" t="n"/>
      <c r="BD520" s="75" t="n"/>
      <c r="BE520" s="75" t="n"/>
      <c r="BF520" s="75" t="n"/>
      <c r="BG520" s="75" t="n"/>
      <c r="BH520" s="75" t="n"/>
      <c r="BI520" s="75" t="n"/>
      <c r="BJ520" s="75" t="n"/>
      <c r="BK520" s="75" t="n"/>
      <c r="BL520" s="75" t="n"/>
      <c r="BM520" s="75" t="n"/>
      <c r="BN520" s="75" t="n"/>
      <c r="BO520" s="75" t="n"/>
      <c r="BP520" s="75" t="n"/>
      <c r="BQ520" s="75" t="n"/>
      <c r="BR520" s="75" t="n"/>
      <c r="BS520" s="75" t="n"/>
      <c r="BT520" s="75" t="n"/>
      <c r="BU520" s="75" t="n"/>
      <c r="BV520" s="75" t="n"/>
      <c r="BW520" s="75" t="n"/>
      <c r="BX520" s="75" t="n"/>
      <c r="BY520" s="75" t="n"/>
      <c r="BZ520" s="75" t="n"/>
      <c r="CA520" s="75" t="n"/>
      <c r="CB520" s="75" t="n"/>
      <c r="CC520" s="75" t="n"/>
      <c r="CD520" s="75" t="n"/>
      <c r="CE520" s="75" t="n"/>
      <c r="CF520" s="75" t="n"/>
      <c r="CG520" s="75" t="n"/>
      <c r="CH520" s="75" t="n"/>
      <c r="CI520" s="75" t="n"/>
      <c r="CJ520" s="75" t="n"/>
      <c r="CK520" s="75" t="n"/>
      <c r="CL520" s="75" t="n"/>
      <c r="CM520" s="75" t="n"/>
      <c r="CN520" s="75" t="n"/>
      <c r="CO520" s="75" t="n"/>
      <c r="CP520" s="75" t="n"/>
      <c r="CQ520" s="75" t="n"/>
      <c r="CR520" s="75" t="n"/>
      <c r="CS520" s="75" t="n"/>
      <c r="CT520" s="75" t="n"/>
      <c r="CU520" s="75" t="n"/>
      <c r="CV520" s="75" t="n"/>
      <c r="CW520" s="75" t="n"/>
      <c r="CX520" s="75" t="n"/>
      <c r="CY520" s="75" t="n"/>
      <c r="CZ520" s="75" t="n"/>
    </row>
    <row r="521">
      <c r="B521" s="134">
        <f>IF($A520="",0,COUNT($E521:$CZ521))</f>
        <v/>
      </c>
    </row>
    <row r="522">
      <c r="A522" s="5">
        <f>IF(MXAU!$C$57="","",MXAU!$C$57)</f>
        <v/>
      </c>
      <c r="B522" s="134">
        <f>IF($A522="",0,COUNT($E522:$CZ522))</f>
        <v/>
      </c>
      <c r="C522" s="135">
        <f>IF($A522="",0,IF($B522=0,0,MAX($E522:$CZ522)))</f>
        <v/>
      </c>
      <c r="D522" s="74">
        <f>BDS($A522,'Field Check'!$C$42,"headers=y","startcol=2","endcol=3","dir=h")</f>
        <v/>
      </c>
      <c r="E522" s="75" t="n"/>
      <c r="F522" s="75" t="n"/>
      <c r="G522" s="75" t="n"/>
      <c r="H522" s="75" t="n"/>
      <c r="I522" s="75" t="n"/>
      <c r="J522" s="75" t="n"/>
      <c r="K522" s="75" t="n"/>
      <c r="L522" s="75" t="n"/>
      <c r="M522" s="75" t="n"/>
      <c r="N522" s="75" t="n"/>
      <c r="O522" s="75" t="n"/>
      <c r="P522" s="75" t="n"/>
      <c r="Q522" s="75" t="n"/>
      <c r="R522" s="75" t="n"/>
      <c r="S522" s="75" t="n"/>
      <c r="T522" s="75" t="n"/>
      <c r="U522" s="75" t="n"/>
      <c r="V522" s="75" t="n"/>
      <c r="W522" s="75" t="n"/>
      <c r="X522" s="75" t="n"/>
      <c r="Y522" s="75" t="n"/>
      <c r="Z522" s="75" t="n"/>
      <c r="AA522" s="75" t="n"/>
      <c r="AB522" s="75" t="n"/>
      <c r="AC522" s="75" t="n"/>
      <c r="AD522" s="75" t="n"/>
      <c r="AE522" s="75" t="n"/>
      <c r="AF522" s="75" t="n"/>
      <c r="AG522" s="75" t="n"/>
      <c r="AH522" s="75" t="n"/>
      <c r="AI522" s="75" t="n"/>
      <c r="AJ522" s="75" t="n"/>
      <c r="AK522" s="75" t="n"/>
      <c r="AL522" s="75" t="n"/>
      <c r="AM522" s="75" t="n"/>
      <c r="AN522" s="75" t="n"/>
      <c r="AO522" s="75" t="n"/>
      <c r="AP522" s="75" t="n"/>
      <c r="AQ522" s="75" t="n"/>
      <c r="AR522" s="75" t="n"/>
      <c r="AS522" s="75" t="n"/>
      <c r="AT522" s="75" t="n"/>
      <c r="AU522" s="75" t="n"/>
      <c r="AV522" s="75" t="n"/>
      <c r="AW522" s="75" t="n"/>
      <c r="AX522" s="75" t="n"/>
      <c r="AY522" s="75" t="n"/>
      <c r="AZ522" s="75" t="n"/>
      <c r="BA522" s="75" t="n"/>
      <c r="BB522" s="75" t="n"/>
      <c r="BC522" s="75" t="n"/>
      <c r="BD522" s="75" t="n"/>
      <c r="BE522" s="75" t="n"/>
      <c r="BF522" s="75" t="n"/>
      <c r="BG522" s="75" t="n"/>
      <c r="BH522" s="75" t="n"/>
      <c r="BI522" s="75" t="n"/>
      <c r="BJ522" s="75" t="n"/>
      <c r="BK522" s="75" t="n"/>
      <c r="BL522" s="75" t="n"/>
      <c r="BM522" s="75" t="n"/>
      <c r="BN522" s="75" t="n"/>
      <c r="BO522" s="75" t="n"/>
      <c r="BP522" s="75" t="n"/>
      <c r="BQ522" s="75" t="n"/>
      <c r="BR522" s="75" t="n"/>
      <c r="BS522" s="75" t="n"/>
      <c r="BT522" s="75" t="n"/>
      <c r="BU522" s="75" t="n"/>
      <c r="BV522" s="75" t="n"/>
      <c r="BW522" s="75" t="n"/>
      <c r="BX522" s="75" t="n"/>
      <c r="BY522" s="75" t="n"/>
      <c r="BZ522" s="75" t="n"/>
      <c r="CA522" s="75" t="n"/>
      <c r="CB522" s="75" t="n"/>
      <c r="CC522" s="75" t="n"/>
      <c r="CD522" s="75" t="n"/>
      <c r="CE522" s="75" t="n"/>
      <c r="CF522" s="75" t="n"/>
      <c r="CG522" s="75" t="n"/>
      <c r="CH522" s="75" t="n"/>
      <c r="CI522" s="75" t="n"/>
      <c r="CJ522" s="75" t="n"/>
      <c r="CK522" s="75" t="n"/>
      <c r="CL522" s="75" t="n"/>
      <c r="CM522" s="75" t="n"/>
      <c r="CN522" s="75" t="n"/>
      <c r="CO522" s="75" t="n"/>
      <c r="CP522" s="75" t="n"/>
      <c r="CQ522" s="75" t="n"/>
      <c r="CR522" s="75" t="n"/>
      <c r="CS522" s="75" t="n"/>
      <c r="CT522" s="75" t="n"/>
      <c r="CU522" s="75" t="n"/>
      <c r="CV522" s="75" t="n"/>
      <c r="CW522" s="75" t="n"/>
      <c r="CX522" s="75" t="n"/>
      <c r="CY522" s="75" t="n"/>
      <c r="CZ522" s="75" t="n"/>
    </row>
    <row r="523">
      <c r="B523" s="134">
        <f>IF($A522="",0,COUNT($E523:$CZ523))</f>
        <v/>
      </c>
    </row>
    <row r="524">
      <c r="A524" s="5">
        <f>IF(MXAU!$C$58="","",MXAU!$C$58)</f>
        <v/>
      </c>
      <c r="B524" s="134">
        <f>IF($A524="",0,COUNT($E524:$CZ524))</f>
        <v/>
      </c>
      <c r="C524" s="135">
        <f>IF($A524="",0,IF($B524=0,0,MAX($E524:$CZ524)))</f>
        <v/>
      </c>
      <c r="D524" s="74">
        <f>BDS($A524,'Field Check'!$C$42,"headers=y","startcol=2","endcol=3","dir=h")</f>
        <v/>
      </c>
      <c r="E524" s="75" t="n"/>
      <c r="F524" s="75" t="n"/>
      <c r="G524" s="75" t="n"/>
      <c r="H524" s="75" t="n"/>
      <c r="I524" s="75" t="n"/>
      <c r="J524" s="75" t="n"/>
      <c r="K524" s="75" t="n"/>
      <c r="L524" s="75" t="n"/>
      <c r="M524" s="75" t="n"/>
      <c r="N524" s="75" t="n"/>
      <c r="O524" s="75" t="n"/>
      <c r="P524" s="75" t="n"/>
      <c r="Q524" s="75" t="n"/>
      <c r="R524" s="75" t="n"/>
      <c r="S524" s="75" t="n"/>
      <c r="T524" s="75" t="n"/>
      <c r="U524" s="75" t="n"/>
      <c r="V524" s="75" t="n"/>
      <c r="W524" s="75" t="n"/>
      <c r="X524" s="75" t="n"/>
      <c r="Y524" s="75" t="n"/>
      <c r="Z524" s="75" t="n"/>
      <c r="AA524" s="75" t="n"/>
      <c r="AB524" s="75" t="n"/>
      <c r="AC524" s="75" t="n"/>
      <c r="AD524" s="75" t="n"/>
      <c r="AE524" s="75" t="n"/>
      <c r="AF524" s="75" t="n"/>
      <c r="AG524" s="75" t="n"/>
      <c r="AH524" s="75" t="n"/>
      <c r="AI524" s="75" t="n"/>
      <c r="AJ524" s="75" t="n"/>
      <c r="AK524" s="75" t="n"/>
      <c r="AL524" s="75" t="n"/>
      <c r="AM524" s="75" t="n"/>
      <c r="AN524" s="75" t="n"/>
      <c r="AO524" s="75" t="n"/>
      <c r="AP524" s="75" t="n"/>
      <c r="AQ524" s="75" t="n"/>
      <c r="AR524" s="75" t="n"/>
      <c r="AS524" s="75" t="n"/>
      <c r="AT524" s="75" t="n"/>
      <c r="AU524" s="75" t="n"/>
      <c r="AV524" s="75" t="n"/>
      <c r="AW524" s="75" t="n"/>
      <c r="AX524" s="75" t="n"/>
      <c r="AY524" s="75" t="n"/>
      <c r="AZ524" s="75" t="n"/>
      <c r="BA524" s="75" t="n"/>
      <c r="BB524" s="75" t="n"/>
      <c r="BC524" s="75" t="n"/>
      <c r="BD524" s="75" t="n"/>
      <c r="BE524" s="75" t="n"/>
      <c r="BF524" s="75" t="n"/>
      <c r="BG524" s="75" t="n"/>
      <c r="BH524" s="75" t="n"/>
      <c r="BI524" s="75" t="n"/>
      <c r="BJ524" s="75" t="n"/>
      <c r="BK524" s="75" t="n"/>
      <c r="BL524" s="75" t="n"/>
      <c r="BM524" s="75" t="n"/>
      <c r="BN524" s="75" t="n"/>
      <c r="BO524" s="75" t="n"/>
      <c r="BP524" s="75" t="n"/>
      <c r="BQ524" s="75" t="n"/>
      <c r="BR524" s="75" t="n"/>
      <c r="BS524" s="75" t="n"/>
      <c r="BT524" s="75" t="n"/>
      <c r="BU524" s="75" t="n"/>
      <c r="BV524" s="75" t="n"/>
      <c r="BW524" s="75" t="n"/>
      <c r="BX524" s="75" t="n"/>
      <c r="BY524" s="75" t="n"/>
      <c r="BZ524" s="75" t="n"/>
      <c r="CA524" s="75" t="n"/>
      <c r="CB524" s="75" t="n"/>
      <c r="CC524" s="75" t="n"/>
      <c r="CD524" s="75" t="n"/>
      <c r="CE524" s="75" t="n"/>
      <c r="CF524" s="75" t="n"/>
      <c r="CG524" s="75" t="n"/>
      <c r="CH524" s="75" t="n"/>
      <c r="CI524" s="75" t="n"/>
      <c r="CJ524" s="75" t="n"/>
      <c r="CK524" s="75" t="n"/>
      <c r="CL524" s="75" t="n"/>
      <c r="CM524" s="75" t="n"/>
      <c r="CN524" s="75" t="n"/>
      <c r="CO524" s="75" t="n"/>
      <c r="CP524" s="75" t="n"/>
      <c r="CQ524" s="75" t="n"/>
      <c r="CR524" s="75" t="n"/>
      <c r="CS524" s="75" t="n"/>
      <c r="CT524" s="75" t="n"/>
      <c r="CU524" s="75" t="n"/>
      <c r="CV524" s="75" t="n"/>
      <c r="CW524" s="75" t="n"/>
      <c r="CX524" s="75" t="n"/>
      <c r="CY524" s="75" t="n"/>
      <c r="CZ524" s="75" t="n"/>
    </row>
    <row r="525">
      <c r="B525" s="134">
        <f>IF($A524="",0,COUNT($E525:$CZ525))</f>
        <v/>
      </c>
    </row>
    <row r="526">
      <c r="A526" s="5">
        <f>IF(MXAU!$C$59="","",MXAU!$C$59)</f>
        <v/>
      </c>
      <c r="B526" s="134">
        <f>IF($A526="",0,COUNT($E526:$CZ526))</f>
        <v/>
      </c>
      <c r="C526" s="135">
        <f>IF($A526="",0,IF($B526=0,0,MAX($E526:$CZ526)))</f>
        <v/>
      </c>
      <c r="D526" s="74">
        <f>BDS($A526,'Field Check'!$C$42,"headers=y","startcol=2","endcol=3","dir=h")</f>
        <v/>
      </c>
      <c r="E526" s="75" t="n"/>
      <c r="F526" s="75" t="n"/>
      <c r="G526" s="75" t="n"/>
      <c r="H526" s="75" t="n"/>
      <c r="I526" s="75" t="n"/>
      <c r="J526" s="75" t="n"/>
      <c r="K526" s="75" t="n"/>
      <c r="L526" s="75" t="n"/>
      <c r="M526" s="75" t="n"/>
      <c r="N526" s="75" t="n"/>
      <c r="O526" s="75" t="n"/>
      <c r="P526" s="75" t="n"/>
      <c r="Q526" s="75" t="n"/>
      <c r="R526" s="75" t="n"/>
      <c r="S526" s="75" t="n"/>
      <c r="T526" s="75" t="n"/>
      <c r="U526" s="75" t="n"/>
      <c r="V526" s="75" t="n"/>
      <c r="W526" s="75" t="n"/>
      <c r="X526" s="75" t="n"/>
      <c r="Y526" s="75" t="n"/>
      <c r="Z526" s="75" t="n"/>
      <c r="AA526" s="75" t="n"/>
      <c r="AB526" s="75" t="n"/>
      <c r="AC526" s="75" t="n"/>
      <c r="AD526" s="75" t="n"/>
      <c r="AE526" s="75" t="n"/>
      <c r="AF526" s="75" t="n"/>
      <c r="AG526" s="75" t="n"/>
      <c r="AH526" s="75" t="n"/>
      <c r="AI526" s="75" t="n"/>
      <c r="AJ526" s="75" t="n"/>
      <c r="AK526" s="75" t="n"/>
      <c r="AL526" s="75" t="n"/>
      <c r="AM526" s="75" t="n"/>
      <c r="AN526" s="75" t="n"/>
      <c r="AO526" s="75" t="n"/>
      <c r="AP526" s="75" t="n"/>
      <c r="AQ526" s="75" t="n"/>
      <c r="AR526" s="75" t="n"/>
      <c r="AS526" s="75" t="n"/>
      <c r="AT526" s="75" t="n"/>
      <c r="AU526" s="75" t="n"/>
      <c r="AV526" s="75" t="n"/>
      <c r="AW526" s="75" t="n"/>
      <c r="AX526" s="75" t="n"/>
      <c r="AY526" s="75" t="n"/>
      <c r="AZ526" s="75" t="n"/>
      <c r="BA526" s="75" t="n"/>
      <c r="BB526" s="75" t="n"/>
      <c r="BC526" s="75" t="n"/>
      <c r="BD526" s="75" t="n"/>
      <c r="BE526" s="75" t="n"/>
      <c r="BF526" s="75" t="n"/>
      <c r="BG526" s="75" t="n"/>
      <c r="BH526" s="75" t="n"/>
      <c r="BI526" s="75" t="n"/>
      <c r="BJ526" s="75" t="n"/>
      <c r="BK526" s="75" t="n"/>
      <c r="BL526" s="75" t="n"/>
      <c r="BM526" s="75" t="n"/>
      <c r="BN526" s="75" t="n"/>
      <c r="BO526" s="75" t="n"/>
      <c r="BP526" s="75" t="n"/>
      <c r="BQ526" s="75" t="n"/>
      <c r="BR526" s="75" t="n"/>
      <c r="BS526" s="75" t="n"/>
      <c r="BT526" s="75" t="n"/>
      <c r="BU526" s="75" t="n"/>
      <c r="BV526" s="75" t="n"/>
      <c r="BW526" s="75" t="n"/>
      <c r="BX526" s="75" t="n"/>
      <c r="BY526" s="75" t="n"/>
      <c r="BZ526" s="75" t="n"/>
      <c r="CA526" s="75" t="n"/>
      <c r="CB526" s="75" t="n"/>
      <c r="CC526" s="75" t="n"/>
      <c r="CD526" s="75" t="n"/>
      <c r="CE526" s="75" t="n"/>
      <c r="CF526" s="75" t="n"/>
      <c r="CG526" s="75" t="n"/>
      <c r="CH526" s="75" t="n"/>
      <c r="CI526" s="75" t="n"/>
      <c r="CJ526" s="75" t="n"/>
      <c r="CK526" s="75" t="n"/>
      <c r="CL526" s="75" t="n"/>
      <c r="CM526" s="75" t="n"/>
      <c r="CN526" s="75" t="n"/>
      <c r="CO526" s="75" t="n"/>
      <c r="CP526" s="75" t="n"/>
      <c r="CQ526" s="75" t="n"/>
      <c r="CR526" s="75" t="n"/>
      <c r="CS526" s="75" t="n"/>
      <c r="CT526" s="75" t="n"/>
      <c r="CU526" s="75" t="n"/>
      <c r="CV526" s="75" t="n"/>
      <c r="CW526" s="75" t="n"/>
      <c r="CX526" s="75" t="n"/>
      <c r="CY526" s="75" t="n"/>
      <c r="CZ526" s="75" t="n"/>
    </row>
    <row r="527">
      <c r="B527" s="134">
        <f>IF($A526="",0,COUNT($E527:$CZ527))</f>
        <v/>
      </c>
    </row>
    <row r="528">
      <c r="A528" s="5">
        <f>IF(MXAU!$C$60="","",MXAU!$C$60)</f>
        <v/>
      </c>
      <c r="B528" s="134">
        <f>IF($A528="",0,COUNT($E528:$CZ528))</f>
        <v/>
      </c>
      <c r="C528" s="135">
        <f>IF($A528="",0,IF($B528=0,0,MAX($E528:$CZ528)))</f>
        <v/>
      </c>
      <c r="D528" s="74">
        <f>BDS($A528,'Field Check'!$C$42,"headers=y","startcol=2","endcol=3","dir=h")</f>
        <v/>
      </c>
      <c r="E528" s="75" t="n"/>
      <c r="F528" s="75" t="n"/>
      <c r="G528" s="75" t="n"/>
      <c r="H528" s="75" t="n"/>
      <c r="I528" s="75" t="n"/>
      <c r="J528" s="75" t="n"/>
      <c r="K528" s="75" t="n"/>
      <c r="L528" s="75" t="n"/>
      <c r="M528" s="75" t="n"/>
      <c r="N528" s="75" t="n"/>
      <c r="O528" s="75" t="n"/>
      <c r="P528" s="75" t="n"/>
      <c r="Q528" s="75" t="n"/>
      <c r="R528" s="75" t="n"/>
      <c r="S528" s="75" t="n"/>
      <c r="T528" s="75" t="n"/>
      <c r="U528" s="75" t="n"/>
      <c r="V528" s="75" t="n"/>
      <c r="W528" s="75" t="n"/>
      <c r="X528" s="75" t="n"/>
      <c r="Y528" s="75" t="n"/>
      <c r="Z528" s="75" t="n"/>
      <c r="AA528" s="75" t="n"/>
      <c r="AB528" s="75" t="n"/>
      <c r="AC528" s="75" t="n"/>
      <c r="AD528" s="75" t="n"/>
      <c r="AE528" s="75" t="n"/>
      <c r="AF528" s="75" t="n"/>
      <c r="AG528" s="75" t="n"/>
      <c r="AH528" s="75" t="n"/>
      <c r="AI528" s="75" t="n"/>
      <c r="AJ528" s="75" t="n"/>
      <c r="AK528" s="75" t="n"/>
      <c r="AL528" s="75" t="n"/>
      <c r="AM528" s="75" t="n"/>
      <c r="AN528" s="75" t="n"/>
      <c r="AO528" s="75" t="n"/>
      <c r="AP528" s="75" t="n"/>
      <c r="AQ528" s="75" t="n"/>
      <c r="AR528" s="75" t="n"/>
      <c r="AS528" s="75" t="n"/>
      <c r="AT528" s="75" t="n"/>
      <c r="AU528" s="75" t="n"/>
      <c r="AV528" s="75" t="n"/>
      <c r="AW528" s="75" t="n"/>
      <c r="AX528" s="75" t="n"/>
      <c r="AY528" s="75" t="n"/>
      <c r="AZ528" s="75" t="n"/>
      <c r="BA528" s="75" t="n"/>
      <c r="BB528" s="75" t="n"/>
      <c r="BC528" s="75" t="n"/>
      <c r="BD528" s="75" t="n"/>
      <c r="BE528" s="75" t="n"/>
      <c r="BF528" s="75" t="n"/>
      <c r="BG528" s="75" t="n"/>
      <c r="BH528" s="75" t="n"/>
      <c r="BI528" s="75" t="n"/>
      <c r="BJ528" s="75" t="n"/>
      <c r="BK528" s="75" t="n"/>
      <c r="BL528" s="75" t="n"/>
      <c r="BM528" s="75" t="n"/>
      <c r="BN528" s="75" t="n"/>
      <c r="BO528" s="75" t="n"/>
      <c r="BP528" s="75" t="n"/>
      <c r="BQ528" s="75" t="n"/>
      <c r="BR528" s="75" t="n"/>
      <c r="BS528" s="75" t="n"/>
      <c r="BT528" s="75" t="n"/>
      <c r="BU528" s="75" t="n"/>
      <c r="BV528" s="75" t="n"/>
      <c r="BW528" s="75" t="n"/>
      <c r="BX528" s="75" t="n"/>
      <c r="BY528" s="75" t="n"/>
      <c r="BZ528" s="75" t="n"/>
      <c r="CA528" s="75" t="n"/>
      <c r="CB528" s="75" t="n"/>
      <c r="CC528" s="75" t="n"/>
      <c r="CD528" s="75" t="n"/>
      <c r="CE528" s="75" t="n"/>
      <c r="CF528" s="75" t="n"/>
      <c r="CG528" s="75" t="n"/>
      <c r="CH528" s="75" t="n"/>
      <c r="CI528" s="75" t="n"/>
      <c r="CJ528" s="75" t="n"/>
      <c r="CK528" s="75" t="n"/>
      <c r="CL528" s="75" t="n"/>
      <c r="CM528" s="75" t="n"/>
      <c r="CN528" s="75" t="n"/>
      <c r="CO528" s="75" t="n"/>
      <c r="CP528" s="75" t="n"/>
      <c r="CQ528" s="75" t="n"/>
      <c r="CR528" s="75" t="n"/>
      <c r="CS528" s="75" t="n"/>
      <c r="CT528" s="75" t="n"/>
      <c r="CU528" s="75" t="n"/>
      <c r="CV528" s="75" t="n"/>
      <c r="CW528" s="75" t="n"/>
      <c r="CX528" s="75" t="n"/>
      <c r="CY528" s="75" t="n"/>
      <c r="CZ528" s="75" t="n"/>
    </row>
    <row r="529">
      <c r="B529" s="134">
        <f>IF($A528="",0,COUNT($E529:$CZ529))</f>
        <v/>
      </c>
    </row>
    <row r="530">
      <c r="A530" s="5">
        <f>IF(MXAU!$C$61="","",MXAU!$C$61)</f>
        <v/>
      </c>
      <c r="B530" s="134">
        <f>IF($A530="",0,COUNT($E530:$CZ530))</f>
        <v/>
      </c>
      <c r="C530" s="135">
        <f>IF($A530="",0,IF($B530=0,0,MAX($E530:$CZ530)))</f>
        <v/>
      </c>
      <c r="D530" s="74">
        <f>BDS($A530,'Field Check'!$C$42,"headers=y","startcol=2","endcol=3","dir=h")</f>
        <v/>
      </c>
      <c r="E530" s="75" t="n"/>
      <c r="F530" s="75" t="n"/>
      <c r="G530" s="75" t="n"/>
      <c r="H530" s="75" t="n"/>
      <c r="I530" s="75" t="n"/>
      <c r="J530" s="75" t="n"/>
      <c r="K530" s="75" t="n"/>
      <c r="L530" s="75" t="n"/>
      <c r="M530" s="75" t="n"/>
      <c r="N530" s="75" t="n"/>
      <c r="O530" s="75" t="n"/>
      <c r="P530" s="75" t="n"/>
      <c r="Q530" s="75" t="n"/>
      <c r="R530" s="75" t="n"/>
      <c r="S530" s="75" t="n"/>
      <c r="T530" s="75" t="n"/>
      <c r="U530" s="75" t="n"/>
      <c r="V530" s="75" t="n"/>
      <c r="W530" s="75" t="n"/>
      <c r="X530" s="75" t="n"/>
      <c r="Y530" s="75" t="n"/>
      <c r="Z530" s="75" t="n"/>
      <c r="AA530" s="75" t="n"/>
      <c r="AB530" s="75" t="n"/>
      <c r="AC530" s="75" t="n"/>
      <c r="AD530" s="75" t="n"/>
      <c r="AE530" s="75" t="n"/>
      <c r="AF530" s="75" t="n"/>
      <c r="AG530" s="75" t="n"/>
      <c r="AH530" s="75" t="n"/>
      <c r="AI530" s="75" t="n"/>
      <c r="AJ530" s="75" t="n"/>
      <c r="AK530" s="75" t="n"/>
      <c r="AL530" s="75" t="n"/>
      <c r="AM530" s="75" t="n"/>
      <c r="AN530" s="75" t="n"/>
      <c r="AO530" s="75" t="n"/>
      <c r="AP530" s="75" t="n"/>
      <c r="AQ530" s="75" t="n"/>
      <c r="AR530" s="75" t="n"/>
      <c r="AS530" s="75" t="n"/>
      <c r="AT530" s="75" t="n"/>
      <c r="AU530" s="75" t="n"/>
      <c r="AV530" s="75" t="n"/>
      <c r="AW530" s="75" t="n"/>
      <c r="AX530" s="75" t="n"/>
      <c r="AY530" s="75" t="n"/>
      <c r="AZ530" s="75" t="n"/>
      <c r="BA530" s="75" t="n"/>
      <c r="BB530" s="75" t="n"/>
      <c r="BC530" s="75" t="n"/>
      <c r="BD530" s="75" t="n"/>
      <c r="BE530" s="75" t="n"/>
      <c r="BF530" s="75" t="n"/>
      <c r="BG530" s="75" t="n"/>
      <c r="BH530" s="75" t="n"/>
      <c r="BI530" s="75" t="n"/>
      <c r="BJ530" s="75" t="n"/>
      <c r="BK530" s="75" t="n"/>
      <c r="BL530" s="75" t="n"/>
      <c r="BM530" s="75" t="n"/>
      <c r="BN530" s="75" t="n"/>
      <c r="BO530" s="75" t="n"/>
      <c r="BP530" s="75" t="n"/>
      <c r="BQ530" s="75" t="n"/>
      <c r="BR530" s="75" t="n"/>
      <c r="BS530" s="75" t="n"/>
      <c r="BT530" s="75" t="n"/>
      <c r="BU530" s="75" t="n"/>
      <c r="BV530" s="75" t="n"/>
      <c r="BW530" s="75" t="n"/>
      <c r="BX530" s="75" t="n"/>
      <c r="BY530" s="75" t="n"/>
      <c r="BZ530" s="75" t="n"/>
      <c r="CA530" s="75" t="n"/>
      <c r="CB530" s="75" t="n"/>
      <c r="CC530" s="75" t="n"/>
      <c r="CD530" s="75" t="n"/>
      <c r="CE530" s="75" t="n"/>
      <c r="CF530" s="75" t="n"/>
      <c r="CG530" s="75" t="n"/>
      <c r="CH530" s="75" t="n"/>
      <c r="CI530" s="75" t="n"/>
      <c r="CJ530" s="75" t="n"/>
      <c r="CK530" s="75" t="n"/>
      <c r="CL530" s="75" t="n"/>
      <c r="CM530" s="75" t="n"/>
      <c r="CN530" s="75" t="n"/>
      <c r="CO530" s="75" t="n"/>
      <c r="CP530" s="75" t="n"/>
      <c r="CQ530" s="75" t="n"/>
      <c r="CR530" s="75" t="n"/>
      <c r="CS530" s="75" t="n"/>
      <c r="CT530" s="75" t="n"/>
      <c r="CU530" s="75" t="n"/>
      <c r="CV530" s="75" t="n"/>
      <c r="CW530" s="75" t="n"/>
      <c r="CX530" s="75" t="n"/>
      <c r="CY530" s="75" t="n"/>
      <c r="CZ530" s="75" t="n"/>
    </row>
    <row r="531">
      <c r="B531" s="134">
        <f>IF($A530="",0,COUNT($E531:$CZ531))</f>
        <v/>
      </c>
    </row>
    <row r="532">
      <c r="A532" s="5">
        <f>IF(MXAU!$C$62="","",MXAU!$C$62)</f>
        <v/>
      </c>
      <c r="B532" s="134">
        <f>IF($A532="",0,COUNT($E532:$CZ532))</f>
        <v/>
      </c>
      <c r="C532" s="135">
        <f>IF($A532="",0,IF($B532=0,0,MAX($E532:$CZ532)))</f>
        <v/>
      </c>
      <c r="D532" s="74">
        <f>BDS($A532,'Field Check'!$C$42,"headers=y","startcol=2","endcol=3","dir=h")</f>
        <v/>
      </c>
      <c r="E532" s="75" t="n"/>
      <c r="F532" s="75" t="n"/>
      <c r="G532" s="75" t="n"/>
      <c r="H532" s="75" t="n"/>
      <c r="I532" s="75" t="n"/>
      <c r="J532" s="75" t="n"/>
      <c r="K532" s="75" t="n"/>
      <c r="L532" s="75" t="n"/>
      <c r="M532" s="75" t="n"/>
      <c r="N532" s="75" t="n"/>
      <c r="O532" s="75" t="n"/>
      <c r="P532" s="75" t="n"/>
      <c r="Q532" s="75" t="n"/>
      <c r="R532" s="75" t="n"/>
      <c r="S532" s="75" t="n"/>
      <c r="T532" s="75" t="n"/>
      <c r="U532" s="75" t="n"/>
      <c r="V532" s="75" t="n"/>
      <c r="W532" s="75" t="n"/>
      <c r="X532" s="75" t="n"/>
      <c r="Y532" s="75" t="n"/>
      <c r="Z532" s="75" t="n"/>
      <c r="AA532" s="75" t="n"/>
      <c r="AB532" s="75" t="n"/>
      <c r="AC532" s="75" t="n"/>
      <c r="AD532" s="75" t="n"/>
      <c r="AE532" s="75" t="n"/>
      <c r="AF532" s="75" t="n"/>
      <c r="AG532" s="75" t="n"/>
      <c r="AH532" s="75" t="n"/>
      <c r="AI532" s="75" t="n"/>
      <c r="AJ532" s="75" t="n"/>
      <c r="AK532" s="75" t="n"/>
      <c r="AL532" s="75" t="n"/>
      <c r="AM532" s="75" t="n"/>
      <c r="AN532" s="75" t="n"/>
      <c r="AO532" s="75" t="n"/>
      <c r="AP532" s="75" t="n"/>
      <c r="AQ532" s="75" t="n"/>
      <c r="AR532" s="75" t="n"/>
      <c r="AS532" s="75" t="n"/>
      <c r="AT532" s="75" t="n"/>
      <c r="AU532" s="75" t="n"/>
      <c r="AV532" s="75" t="n"/>
      <c r="AW532" s="75" t="n"/>
      <c r="AX532" s="75" t="n"/>
      <c r="AY532" s="75" t="n"/>
      <c r="AZ532" s="75" t="n"/>
      <c r="BA532" s="75" t="n"/>
      <c r="BB532" s="75" t="n"/>
      <c r="BC532" s="75" t="n"/>
      <c r="BD532" s="75" t="n"/>
      <c r="BE532" s="75" t="n"/>
      <c r="BF532" s="75" t="n"/>
      <c r="BG532" s="75" t="n"/>
      <c r="BH532" s="75" t="n"/>
      <c r="BI532" s="75" t="n"/>
      <c r="BJ532" s="75" t="n"/>
      <c r="BK532" s="75" t="n"/>
      <c r="BL532" s="75" t="n"/>
      <c r="BM532" s="75" t="n"/>
      <c r="BN532" s="75" t="n"/>
      <c r="BO532" s="75" t="n"/>
      <c r="BP532" s="75" t="n"/>
      <c r="BQ532" s="75" t="n"/>
      <c r="BR532" s="75" t="n"/>
      <c r="BS532" s="75" t="n"/>
      <c r="BT532" s="75" t="n"/>
      <c r="BU532" s="75" t="n"/>
      <c r="BV532" s="75" t="n"/>
      <c r="BW532" s="75" t="n"/>
      <c r="BX532" s="75" t="n"/>
      <c r="BY532" s="75" t="n"/>
      <c r="BZ532" s="75" t="n"/>
      <c r="CA532" s="75" t="n"/>
      <c r="CB532" s="75" t="n"/>
      <c r="CC532" s="75" t="n"/>
      <c r="CD532" s="75" t="n"/>
      <c r="CE532" s="75" t="n"/>
      <c r="CF532" s="75" t="n"/>
      <c r="CG532" s="75" t="n"/>
      <c r="CH532" s="75" t="n"/>
      <c r="CI532" s="75" t="n"/>
      <c r="CJ532" s="75" t="n"/>
      <c r="CK532" s="75" t="n"/>
      <c r="CL532" s="75" t="n"/>
      <c r="CM532" s="75" t="n"/>
      <c r="CN532" s="75" t="n"/>
      <c r="CO532" s="75" t="n"/>
      <c r="CP532" s="75" t="n"/>
      <c r="CQ532" s="75" t="n"/>
      <c r="CR532" s="75" t="n"/>
      <c r="CS532" s="75" t="n"/>
      <c r="CT532" s="75" t="n"/>
      <c r="CU532" s="75" t="n"/>
      <c r="CV532" s="75" t="n"/>
      <c r="CW532" s="75" t="n"/>
      <c r="CX532" s="75" t="n"/>
      <c r="CY532" s="75" t="n"/>
      <c r="CZ532" s="75" t="n"/>
    </row>
    <row r="533">
      <c r="B533" s="134">
        <f>IF($A532="",0,COUNT($E533:$CZ533))</f>
        <v/>
      </c>
    </row>
    <row r="534">
      <c r="A534" s="5">
        <f>IF(MXAU!$C$63="","",MXAU!$C$63)</f>
        <v/>
      </c>
      <c r="B534" s="134">
        <f>IF($A534="",0,COUNT($E534:$CZ534))</f>
        <v/>
      </c>
      <c r="C534" s="135">
        <f>IF($A534="",0,IF($B534=0,0,MAX($E534:$CZ534)))</f>
        <v/>
      </c>
      <c r="D534" s="74">
        <f>BDS($A534,'Field Check'!$C$42,"headers=y","startcol=2","endcol=3","dir=h")</f>
        <v/>
      </c>
      <c r="E534" s="75" t="n"/>
      <c r="F534" s="75" t="n"/>
      <c r="G534" s="75" t="n"/>
      <c r="H534" s="75" t="n"/>
      <c r="I534" s="75" t="n"/>
      <c r="J534" s="75" t="n"/>
      <c r="K534" s="75" t="n"/>
      <c r="L534" s="75" t="n"/>
      <c r="M534" s="75" t="n"/>
      <c r="N534" s="75" t="n"/>
      <c r="O534" s="75" t="n"/>
      <c r="P534" s="75" t="n"/>
      <c r="Q534" s="75" t="n"/>
      <c r="R534" s="75" t="n"/>
      <c r="S534" s="75" t="n"/>
      <c r="T534" s="75" t="n"/>
      <c r="U534" s="75" t="n"/>
      <c r="V534" s="75" t="n"/>
      <c r="W534" s="75" t="n"/>
      <c r="X534" s="75" t="n"/>
      <c r="Y534" s="75" t="n"/>
      <c r="Z534" s="75" t="n"/>
      <c r="AA534" s="75" t="n"/>
      <c r="AB534" s="75" t="n"/>
      <c r="AC534" s="75" t="n"/>
      <c r="AD534" s="75" t="n"/>
      <c r="AE534" s="75" t="n"/>
      <c r="AF534" s="75" t="n"/>
      <c r="AG534" s="75" t="n"/>
      <c r="AH534" s="75" t="n"/>
      <c r="AI534" s="75" t="n"/>
      <c r="AJ534" s="75" t="n"/>
      <c r="AK534" s="75" t="n"/>
      <c r="AL534" s="75" t="n"/>
      <c r="AM534" s="75" t="n"/>
      <c r="AN534" s="75" t="n"/>
      <c r="AO534" s="75" t="n"/>
      <c r="AP534" s="75" t="n"/>
      <c r="AQ534" s="75" t="n"/>
      <c r="AR534" s="75" t="n"/>
      <c r="AS534" s="75" t="n"/>
      <c r="AT534" s="75" t="n"/>
      <c r="AU534" s="75" t="n"/>
      <c r="AV534" s="75" t="n"/>
      <c r="AW534" s="75" t="n"/>
      <c r="AX534" s="75" t="n"/>
      <c r="AY534" s="75" t="n"/>
      <c r="AZ534" s="75" t="n"/>
      <c r="BA534" s="75" t="n"/>
      <c r="BB534" s="75" t="n"/>
      <c r="BC534" s="75" t="n"/>
      <c r="BD534" s="75" t="n"/>
      <c r="BE534" s="75" t="n"/>
      <c r="BF534" s="75" t="n"/>
      <c r="BG534" s="75" t="n"/>
      <c r="BH534" s="75" t="n"/>
      <c r="BI534" s="75" t="n"/>
      <c r="BJ534" s="75" t="n"/>
      <c r="BK534" s="75" t="n"/>
      <c r="BL534" s="75" t="n"/>
      <c r="BM534" s="75" t="n"/>
      <c r="BN534" s="75" t="n"/>
      <c r="BO534" s="75" t="n"/>
      <c r="BP534" s="75" t="n"/>
      <c r="BQ534" s="75" t="n"/>
      <c r="BR534" s="75" t="n"/>
      <c r="BS534" s="75" t="n"/>
      <c r="BT534" s="75" t="n"/>
      <c r="BU534" s="75" t="n"/>
      <c r="BV534" s="75" t="n"/>
      <c r="BW534" s="75" t="n"/>
      <c r="BX534" s="75" t="n"/>
      <c r="BY534" s="75" t="n"/>
      <c r="BZ534" s="75" t="n"/>
      <c r="CA534" s="75" t="n"/>
      <c r="CB534" s="75" t="n"/>
      <c r="CC534" s="75" t="n"/>
      <c r="CD534" s="75" t="n"/>
      <c r="CE534" s="75" t="n"/>
      <c r="CF534" s="75" t="n"/>
      <c r="CG534" s="75" t="n"/>
      <c r="CH534" s="75" t="n"/>
      <c r="CI534" s="75" t="n"/>
      <c r="CJ534" s="75" t="n"/>
      <c r="CK534" s="75" t="n"/>
      <c r="CL534" s="75" t="n"/>
      <c r="CM534" s="75" t="n"/>
      <c r="CN534" s="75" t="n"/>
      <c r="CO534" s="75" t="n"/>
      <c r="CP534" s="75" t="n"/>
      <c r="CQ534" s="75" t="n"/>
      <c r="CR534" s="75" t="n"/>
      <c r="CS534" s="75" t="n"/>
      <c r="CT534" s="75" t="n"/>
      <c r="CU534" s="75" t="n"/>
      <c r="CV534" s="75" t="n"/>
      <c r="CW534" s="75" t="n"/>
      <c r="CX534" s="75" t="n"/>
      <c r="CY534" s="75" t="n"/>
      <c r="CZ534" s="75" t="n"/>
    </row>
    <row r="535">
      <c r="B535" s="134">
        <f>IF($A534="",0,COUNT($E535:$CZ535))</f>
        <v/>
      </c>
    </row>
    <row r="536">
      <c r="A536" s="5">
        <f>IF(MXAU!$C$64="","",MXAU!$C$64)</f>
        <v/>
      </c>
      <c r="B536" s="134">
        <f>IF($A536="",0,COUNT($E536:$CZ536))</f>
        <v/>
      </c>
      <c r="C536" s="135">
        <f>IF($A536="",0,IF($B536=0,0,MAX($E536:$CZ536)))</f>
        <v/>
      </c>
      <c r="D536" s="74">
        <f>BDS($A536,'Field Check'!$C$42,"headers=y","startcol=2","endcol=3","dir=h")</f>
        <v/>
      </c>
      <c r="E536" s="75" t="n"/>
      <c r="F536" s="75" t="n"/>
      <c r="G536" s="75" t="n"/>
      <c r="H536" s="75" t="n"/>
      <c r="I536" s="75" t="n"/>
      <c r="J536" s="75" t="n"/>
      <c r="K536" s="75" t="n"/>
      <c r="L536" s="75" t="n"/>
      <c r="M536" s="75" t="n"/>
      <c r="N536" s="75" t="n"/>
      <c r="O536" s="75" t="n"/>
      <c r="P536" s="75" t="n"/>
      <c r="Q536" s="75" t="n"/>
      <c r="R536" s="75" t="n"/>
      <c r="S536" s="75" t="n"/>
      <c r="T536" s="75" t="n"/>
      <c r="U536" s="75" t="n"/>
      <c r="V536" s="75" t="n"/>
      <c r="W536" s="75" t="n"/>
      <c r="X536" s="75" t="n"/>
      <c r="Y536" s="75" t="n"/>
      <c r="Z536" s="75" t="n"/>
      <c r="AA536" s="75" t="n"/>
      <c r="AB536" s="75" t="n"/>
      <c r="AC536" s="75" t="n"/>
      <c r="AD536" s="75" t="n"/>
      <c r="AE536" s="75" t="n"/>
      <c r="AF536" s="75" t="n"/>
      <c r="AG536" s="75" t="n"/>
      <c r="AH536" s="75" t="n"/>
      <c r="AI536" s="75" t="n"/>
      <c r="AJ536" s="75" t="n"/>
      <c r="AK536" s="75" t="n"/>
      <c r="AL536" s="75" t="n"/>
      <c r="AM536" s="75" t="n"/>
      <c r="AN536" s="75" t="n"/>
      <c r="AO536" s="75" t="n"/>
      <c r="AP536" s="75" t="n"/>
      <c r="AQ536" s="75" t="n"/>
      <c r="AR536" s="75" t="n"/>
      <c r="AS536" s="75" t="n"/>
      <c r="AT536" s="75" t="n"/>
      <c r="AU536" s="75" t="n"/>
      <c r="AV536" s="75" t="n"/>
      <c r="AW536" s="75" t="n"/>
      <c r="AX536" s="75" t="n"/>
      <c r="AY536" s="75" t="n"/>
      <c r="AZ536" s="75" t="n"/>
      <c r="BA536" s="75" t="n"/>
      <c r="BB536" s="75" t="n"/>
      <c r="BC536" s="75" t="n"/>
      <c r="BD536" s="75" t="n"/>
      <c r="BE536" s="75" t="n"/>
      <c r="BF536" s="75" t="n"/>
      <c r="BG536" s="75" t="n"/>
      <c r="BH536" s="75" t="n"/>
      <c r="BI536" s="75" t="n"/>
      <c r="BJ536" s="75" t="n"/>
      <c r="BK536" s="75" t="n"/>
      <c r="BL536" s="75" t="n"/>
      <c r="BM536" s="75" t="n"/>
      <c r="BN536" s="75" t="n"/>
      <c r="BO536" s="75" t="n"/>
      <c r="BP536" s="75" t="n"/>
      <c r="BQ536" s="75" t="n"/>
      <c r="BR536" s="75" t="n"/>
      <c r="BS536" s="75" t="n"/>
      <c r="BT536" s="75" t="n"/>
      <c r="BU536" s="75" t="n"/>
      <c r="BV536" s="75" t="n"/>
      <c r="BW536" s="75" t="n"/>
      <c r="BX536" s="75" t="n"/>
      <c r="BY536" s="75" t="n"/>
      <c r="BZ536" s="75" t="n"/>
      <c r="CA536" s="75" t="n"/>
      <c r="CB536" s="75" t="n"/>
      <c r="CC536" s="75" t="n"/>
      <c r="CD536" s="75" t="n"/>
      <c r="CE536" s="75" t="n"/>
      <c r="CF536" s="75" t="n"/>
      <c r="CG536" s="75" t="n"/>
      <c r="CH536" s="75" t="n"/>
      <c r="CI536" s="75" t="n"/>
      <c r="CJ536" s="75" t="n"/>
      <c r="CK536" s="75" t="n"/>
      <c r="CL536" s="75" t="n"/>
      <c r="CM536" s="75" t="n"/>
      <c r="CN536" s="75" t="n"/>
      <c r="CO536" s="75" t="n"/>
      <c r="CP536" s="75" t="n"/>
      <c r="CQ536" s="75" t="n"/>
      <c r="CR536" s="75" t="n"/>
      <c r="CS536" s="75" t="n"/>
      <c r="CT536" s="75" t="n"/>
      <c r="CU536" s="75" t="n"/>
      <c r="CV536" s="75" t="n"/>
      <c r="CW536" s="75" t="n"/>
      <c r="CX536" s="75" t="n"/>
      <c r="CY536" s="75" t="n"/>
      <c r="CZ536" s="75" t="n"/>
    </row>
    <row r="537">
      <c r="B537" s="134">
        <f>IF($A536="",0,COUNT($E537:$CZ537))</f>
        <v/>
      </c>
    </row>
    <row r="538">
      <c r="A538" s="5">
        <f>IF(MXAU!$C$65="","",MXAU!$C$65)</f>
        <v/>
      </c>
      <c r="B538" s="134">
        <f>IF($A538="",0,COUNT($E538:$CZ538))</f>
        <v/>
      </c>
      <c r="C538" s="135">
        <f>IF($A538="",0,IF($B538=0,0,MAX($E538:$CZ538)))</f>
        <v/>
      </c>
      <c r="D538" s="74">
        <f>BDS($A538,'Field Check'!$C$42,"headers=y","startcol=2","endcol=3","dir=h")</f>
        <v/>
      </c>
      <c r="E538" s="75" t="n"/>
      <c r="F538" s="75" t="n"/>
      <c r="G538" s="75" t="n"/>
      <c r="H538" s="75" t="n"/>
      <c r="I538" s="75" t="n"/>
      <c r="J538" s="75" t="n"/>
      <c r="K538" s="75" t="n"/>
      <c r="L538" s="75" t="n"/>
      <c r="M538" s="75" t="n"/>
      <c r="N538" s="75" t="n"/>
      <c r="O538" s="75" t="n"/>
      <c r="P538" s="75" t="n"/>
      <c r="Q538" s="75" t="n"/>
      <c r="R538" s="75" t="n"/>
      <c r="S538" s="75" t="n"/>
      <c r="T538" s="75" t="n"/>
      <c r="U538" s="75" t="n"/>
      <c r="V538" s="75" t="n"/>
      <c r="W538" s="75" t="n"/>
      <c r="X538" s="75" t="n"/>
      <c r="Y538" s="75" t="n"/>
      <c r="Z538" s="75" t="n"/>
      <c r="AA538" s="75" t="n"/>
      <c r="AB538" s="75" t="n"/>
      <c r="AC538" s="75" t="n"/>
      <c r="AD538" s="75" t="n"/>
      <c r="AE538" s="75" t="n"/>
      <c r="AF538" s="75" t="n"/>
      <c r="AG538" s="75" t="n"/>
      <c r="AH538" s="75" t="n"/>
      <c r="AI538" s="75" t="n"/>
      <c r="AJ538" s="75" t="n"/>
      <c r="AK538" s="75" t="n"/>
      <c r="AL538" s="75" t="n"/>
      <c r="AM538" s="75" t="n"/>
      <c r="AN538" s="75" t="n"/>
      <c r="AO538" s="75" t="n"/>
      <c r="AP538" s="75" t="n"/>
      <c r="AQ538" s="75" t="n"/>
      <c r="AR538" s="75" t="n"/>
      <c r="AS538" s="75" t="n"/>
      <c r="AT538" s="75" t="n"/>
      <c r="AU538" s="75" t="n"/>
      <c r="AV538" s="75" t="n"/>
      <c r="AW538" s="75" t="n"/>
      <c r="AX538" s="75" t="n"/>
      <c r="AY538" s="75" t="n"/>
      <c r="AZ538" s="75" t="n"/>
      <c r="BA538" s="75" t="n"/>
      <c r="BB538" s="75" t="n"/>
      <c r="BC538" s="75" t="n"/>
      <c r="BD538" s="75" t="n"/>
      <c r="BE538" s="75" t="n"/>
      <c r="BF538" s="75" t="n"/>
      <c r="BG538" s="75" t="n"/>
      <c r="BH538" s="75" t="n"/>
      <c r="BI538" s="75" t="n"/>
      <c r="BJ538" s="75" t="n"/>
      <c r="BK538" s="75" t="n"/>
      <c r="BL538" s="75" t="n"/>
      <c r="BM538" s="75" t="n"/>
      <c r="BN538" s="75" t="n"/>
      <c r="BO538" s="75" t="n"/>
      <c r="BP538" s="75" t="n"/>
      <c r="BQ538" s="75" t="n"/>
      <c r="BR538" s="75" t="n"/>
      <c r="BS538" s="75" t="n"/>
      <c r="BT538" s="75" t="n"/>
      <c r="BU538" s="75" t="n"/>
      <c r="BV538" s="75" t="n"/>
      <c r="BW538" s="75" t="n"/>
      <c r="BX538" s="75" t="n"/>
      <c r="BY538" s="75" t="n"/>
      <c r="BZ538" s="75" t="n"/>
      <c r="CA538" s="75" t="n"/>
      <c r="CB538" s="75" t="n"/>
      <c r="CC538" s="75" t="n"/>
      <c r="CD538" s="75" t="n"/>
      <c r="CE538" s="75" t="n"/>
      <c r="CF538" s="75" t="n"/>
      <c r="CG538" s="75" t="n"/>
      <c r="CH538" s="75" t="n"/>
      <c r="CI538" s="75" t="n"/>
      <c r="CJ538" s="75" t="n"/>
      <c r="CK538" s="75" t="n"/>
      <c r="CL538" s="75" t="n"/>
      <c r="CM538" s="75" t="n"/>
      <c r="CN538" s="75" t="n"/>
      <c r="CO538" s="75" t="n"/>
      <c r="CP538" s="75" t="n"/>
      <c r="CQ538" s="75" t="n"/>
      <c r="CR538" s="75" t="n"/>
      <c r="CS538" s="75" t="n"/>
      <c r="CT538" s="75" t="n"/>
      <c r="CU538" s="75" t="n"/>
      <c r="CV538" s="75" t="n"/>
      <c r="CW538" s="75" t="n"/>
      <c r="CX538" s="75" t="n"/>
      <c r="CY538" s="75" t="n"/>
      <c r="CZ538" s="75" t="n"/>
    </row>
    <row r="539">
      <c r="B539" s="134">
        <f>IF($A538="",0,COUNT($E539:$CZ539))</f>
        <v/>
      </c>
    </row>
    <row r="540">
      <c r="A540" s="5">
        <f>IF(MXAU!$C$66="","",MXAU!$C$66)</f>
        <v/>
      </c>
      <c r="B540" s="134">
        <f>IF($A540="",0,COUNT($E540:$CZ540))</f>
        <v/>
      </c>
      <c r="C540" s="135">
        <f>IF($A540="",0,IF($B540=0,0,MAX($E540:$CZ540)))</f>
        <v/>
      </c>
      <c r="D540" s="74">
        <f>BDS($A540,'Field Check'!$C$42,"headers=y","startcol=2","endcol=3","dir=h")</f>
        <v/>
      </c>
      <c r="E540" s="75" t="n"/>
      <c r="F540" s="75" t="n"/>
      <c r="G540" s="75" t="n"/>
      <c r="H540" s="75" t="n"/>
      <c r="I540" s="75" t="n"/>
      <c r="J540" s="75" t="n"/>
      <c r="K540" s="75" t="n"/>
      <c r="L540" s="75" t="n"/>
      <c r="M540" s="75" t="n"/>
      <c r="N540" s="75" t="n"/>
      <c r="O540" s="75" t="n"/>
      <c r="P540" s="75" t="n"/>
      <c r="Q540" s="75" t="n"/>
      <c r="R540" s="75" t="n"/>
      <c r="S540" s="75" t="n"/>
      <c r="T540" s="75" t="n"/>
      <c r="U540" s="75" t="n"/>
      <c r="V540" s="75" t="n"/>
      <c r="W540" s="75" t="n"/>
      <c r="X540" s="75" t="n"/>
      <c r="Y540" s="75" t="n"/>
      <c r="Z540" s="75" t="n"/>
      <c r="AA540" s="75" t="n"/>
      <c r="AB540" s="75" t="n"/>
      <c r="AC540" s="75" t="n"/>
      <c r="AD540" s="75" t="n"/>
      <c r="AE540" s="75" t="n"/>
      <c r="AF540" s="75" t="n"/>
      <c r="AG540" s="75" t="n"/>
      <c r="AH540" s="75" t="n"/>
      <c r="AI540" s="75" t="n"/>
      <c r="AJ540" s="75" t="n"/>
      <c r="AK540" s="75" t="n"/>
      <c r="AL540" s="75" t="n"/>
      <c r="AM540" s="75" t="n"/>
      <c r="AN540" s="75" t="n"/>
      <c r="AO540" s="75" t="n"/>
      <c r="AP540" s="75" t="n"/>
      <c r="AQ540" s="75" t="n"/>
      <c r="AR540" s="75" t="n"/>
      <c r="AS540" s="75" t="n"/>
      <c r="AT540" s="75" t="n"/>
      <c r="AU540" s="75" t="n"/>
      <c r="AV540" s="75" t="n"/>
      <c r="AW540" s="75" t="n"/>
      <c r="AX540" s="75" t="n"/>
      <c r="AY540" s="75" t="n"/>
      <c r="AZ540" s="75" t="n"/>
      <c r="BA540" s="75" t="n"/>
      <c r="BB540" s="75" t="n"/>
      <c r="BC540" s="75" t="n"/>
      <c r="BD540" s="75" t="n"/>
      <c r="BE540" s="75" t="n"/>
      <c r="BF540" s="75" t="n"/>
      <c r="BG540" s="75" t="n"/>
      <c r="BH540" s="75" t="n"/>
      <c r="BI540" s="75" t="n"/>
      <c r="BJ540" s="75" t="n"/>
      <c r="BK540" s="75" t="n"/>
      <c r="BL540" s="75" t="n"/>
      <c r="BM540" s="75" t="n"/>
      <c r="BN540" s="75" t="n"/>
      <c r="BO540" s="75" t="n"/>
      <c r="BP540" s="75" t="n"/>
      <c r="BQ540" s="75" t="n"/>
      <c r="BR540" s="75" t="n"/>
      <c r="BS540" s="75" t="n"/>
      <c r="BT540" s="75" t="n"/>
      <c r="BU540" s="75" t="n"/>
      <c r="BV540" s="75" t="n"/>
      <c r="BW540" s="75" t="n"/>
      <c r="BX540" s="75" t="n"/>
      <c r="BY540" s="75" t="n"/>
      <c r="BZ540" s="75" t="n"/>
      <c r="CA540" s="75" t="n"/>
      <c r="CB540" s="75" t="n"/>
      <c r="CC540" s="75" t="n"/>
      <c r="CD540" s="75" t="n"/>
      <c r="CE540" s="75" t="n"/>
      <c r="CF540" s="75" t="n"/>
      <c r="CG540" s="75" t="n"/>
      <c r="CH540" s="75" t="n"/>
      <c r="CI540" s="75" t="n"/>
      <c r="CJ540" s="75" t="n"/>
      <c r="CK540" s="75" t="n"/>
      <c r="CL540" s="75" t="n"/>
      <c r="CM540" s="75" t="n"/>
      <c r="CN540" s="75" t="n"/>
      <c r="CO540" s="75" t="n"/>
      <c r="CP540" s="75" t="n"/>
      <c r="CQ540" s="75" t="n"/>
      <c r="CR540" s="75" t="n"/>
      <c r="CS540" s="75" t="n"/>
      <c r="CT540" s="75" t="n"/>
      <c r="CU540" s="75" t="n"/>
      <c r="CV540" s="75" t="n"/>
      <c r="CW540" s="75" t="n"/>
      <c r="CX540" s="75" t="n"/>
      <c r="CY540" s="75" t="n"/>
      <c r="CZ540" s="75" t="n"/>
    </row>
    <row r="541">
      <c r="B541" s="134">
        <f>IF($A540="",0,COUNT($E541:$CZ541))</f>
        <v/>
      </c>
    </row>
    <row r="542">
      <c r="A542" s="5">
        <f>IF(MXAU!$C$67="","",MXAU!$C$67)</f>
        <v/>
      </c>
      <c r="B542" s="134">
        <f>IF($A542="",0,COUNT($E542:$CZ542))</f>
        <v/>
      </c>
      <c r="C542" s="135">
        <f>IF($A542="",0,IF($B542=0,0,MAX($E542:$CZ542)))</f>
        <v/>
      </c>
      <c r="D542" s="74">
        <f>BDS($A542,'Field Check'!$C$42,"headers=y","startcol=2","endcol=3","dir=h")</f>
        <v/>
      </c>
      <c r="E542" s="75" t="n"/>
      <c r="F542" s="75" t="n"/>
      <c r="G542" s="75" t="n"/>
      <c r="H542" s="75" t="n"/>
      <c r="I542" s="75" t="n"/>
      <c r="J542" s="75" t="n"/>
      <c r="K542" s="75" t="n"/>
      <c r="L542" s="75" t="n"/>
      <c r="M542" s="75" t="n"/>
      <c r="N542" s="75" t="n"/>
      <c r="O542" s="75" t="n"/>
      <c r="P542" s="75" t="n"/>
      <c r="Q542" s="75" t="n"/>
      <c r="R542" s="75" t="n"/>
      <c r="S542" s="75" t="n"/>
      <c r="T542" s="75" t="n"/>
      <c r="U542" s="75" t="n"/>
      <c r="V542" s="75" t="n"/>
      <c r="W542" s="75" t="n"/>
      <c r="X542" s="75" t="n"/>
      <c r="Y542" s="75" t="n"/>
      <c r="Z542" s="75" t="n"/>
      <c r="AA542" s="75" t="n"/>
      <c r="AB542" s="75" t="n"/>
      <c r="AC542" s="75" t="n"/>
      <c r="AD542" s="75" t="n"/>
      <c r="AE542" s="75" t="n"/>
      <c r="AF542" s="75" t="n"/>
      <c r="AG542" s="75" t="n"/>
      <c r="AH542" s="75" t="n"/>
      <c r="AI542" s="75" t="n"/>
      <c r="AJ542" s="75" t="n"/>
      <c r="AK542" s="75" t="n"/>
      <c r="AL542" s="75" t="n"/>
      <c r="AM542" s="75" t="n"/>
      <c r="AN542" s="75" t="n"/>
      <c r="AO542" s="75" t="n"/>
      <c r="AP542" s="75" t="n"/>
      <c r="AQ542" s="75" t="n"/>
      <c r="AR542" s="75" t="n"/>
      <c r="AS542" s="75" t="n"/>
      <c r="AT542" s="75" t="n"/>
      <c r="AU542" s="75" t="n"/>
      <c r="AV542" s="75" t="n"/>
      <c r="AW542" s="75" t="n"/>
      <c r="AX542" s="75" t="n"/>
      <c r="AY542" s="75" t="n"/>
      <c r="AZ542" s="75" t="n"/>
      <c r="BA542" s="75" t="n"/>
      <c r="BB542" s="75" t="n"/>
      <c r="BC542" s="75" t="n"/>
      <c r="BD542" s="75" t="n"/>
      <c r="BE542" s="75" t="n"/>
      <c r="BF542" s="75" t="n"/>
      <c r="BG542" s="75" t="n"/>
      <c r="BH542" s="75" t="n"/>
      <c r="BI542" s="75" t="n"/>
      <c r="BJ542" s="75" t="n"/>
      <c r="BK542" s="75" t="n"/>
      <c r="BL542" s="75" t="n"/>
      <c r="BM542" s="75" t="n"/>
      <c r="BN542" s="75" t="n"/>
      <c r="BO542" s="75" t="n"/>
      <c r="BP542" s="75" t="n"/>
      <c r="BQ542" s="75" t="n"/>
      <c r="BR542" s="75" t="n"/>
      <c r="BS542" s="75" t="n"/>
      <c r="BT542" s="75" t="n"/>
      <c r="BU542" s="75" t="n"/>
      <c r="BV542" s="75" t="n"/>
      <c r="BW542" s="75" t="n"/>
      <c r="BX542" s="75" t="n"/>
      <c r="BY542" s="75" t="n"/>
      <c r="BZ542" s="75" t="n"/>
      <c r="CA542" s="75" t="n"/>
      <c r="CB542" s="75" t="n"/>
      <c r="CC542" s="75" t="n"/>
      <c r="CD542" s="75" t="n"/>
      <c r="CE542" s="75" t="n"/>
      <c r="CF542" s="75" t="n"/>
      <c r="CG542" s="75" t="n"/>
      <c r="CH542" s="75" t="n"/>
      <c r="CI542" s="75" t="n"/>
      <c r="CJ542" s="75" t="n"/>
      <c r="CK542" s="75" t="n"/>
      <c r="CL542" s="75" t="n"/>
      <c r="CM542" s="75" t="n"/>
      <c r="CN542" s="75" t="n"/>
      <c r="CO542" s="75" t="n"/>
      <c r="CP542" s="75" t="n"/>
      <c r="CQ542" s="75" t="n"/>
      <c r="CR542" s="75" t="n"/>
      <c r="CS542" s="75" t="n"/>
      <c r="CT542" s="75" t="n"/>
      <c r="CU542" s="75" t="n"/>
      <c r="CV542" s="75" t="n"/>
      <c r="CW542" s="75" t="n"/>
      <c r="CX542" s="75" t="n"/>
      <c r="CY542" s="75" t="n"/>
      <c r="CZ542" s="75" t="n"/>
    </row>
    <row r="543">
      <c r="B543" s="134">
        <f>IF($A542="",0,COUNT($E543:$CZ543))</f>
        <v/>
      </c>
    </row>
    <row r="544">
      <c r="A544" s="5">
        <f>IF(MXAU!$C$68="","",MXAU!$C$68)</f>
        <v/>
      </c>
      <c r="B544" s="134">
        <f>IF($A544="",0,COUNT($E544:$CZ544))</f>
        <v/>
      </c>
      <c r="C544" s="135">
        <f>IF($A544="",0,IF($B544=0,0,MAX($E544:$CZ544)))</f>
        <v/>
      </c>
      <c r="D544" s="74">
        <f>BDS($A544,'Field Check'!$C$42,"headers=y","startcol=2","endcol=3","dir=h")</f>
        <v/>
      </c>
      <c r="E544" s="75" t="n"/>
      <c r="F544" s="75" t="n"/>
      <c r="G544" s="75" t="n"/>
      <c r="H544" s="75" t="n"/>
      <c r="I544" s="75" t="n"/>
      <c r="J544" s="75" t="n"/>
      <c r="K544" s="75" t="n"/>
      <c r="L544" s="75" t="n"/>
      <c r="M544" s="75" t="n"/>
      <c r="N544" s="75" t="n"/>
      <c r="O544" s="75" t="n"/>
      <c r="P544" s="75" t="n"/>
      <c r="Q544" s="75" t="n"/>
      <c r="R544" s="75" t="n"/>
      <c r="S544" s="75" t="n"/>
      <c r="T544" s="75" t="n"/>
      <c r="U544" s="75" t="n"/>
      <c r="V544" s="75" t="n"/>
      <c r="W544" s="75" t="n"/>
      <c r="X544" s="75" t="n"/>
      <c r="Y544" s="75" t="n"/>
      <c r="Z544" s="75" t="n"/>
      <c r="AA544" s="75" t="n"/>
      <c r="AB544" s="75" t="n"/>
      <c r="AC544" s="75" t="n"/>
      <c r="AD544" s="75" t="n"/>
      <c r="AE544" s="75" t="n"/>
      <c r="AF544" s="75" t="n"/>
      <c r="AG544" s="75" t="n"/>
      <c r="AH544" s="75" t="n"/>
      <c r="AI544" s="75" t="n"/>
      <c r="AJ544" s="75" t="n"/>
      <c r="AK544" s="75" t="n"/>
      <c r="AL544" s="75" t="n"/>
      <c r="AM544" s="75" t="n"/>
      <c r="AN544" s="75" t="n"/>
      <c r="AO544" s="75" t="n"/>
      <c r="AP544" s="75" t="n"/>
      <c r="AQ544" s="75" t="n"/>
      <c r="AR544" s="75" t="n"/>
      <c r="AS544" s="75" t="n"/>
      <c r="AT544" s="75" t="n"/>
      <c r="AU544" s="75" t="n"/>
      <c r="AV544" s="75" t="n"/>
      <c r="AW544" s="75" t="n"/>
      <c r="AX544" s="75" t="n"/>
      <c r="AY544" s="75" t="n"/>
      <c r="AZ544" s="75" t="n"/>
      <c r="BA544" s="75" t="n"/>
      <c r="BB544" s="75" t="n"/>
      <c r="BC544" s="75" t="n"/>
      <c r="BD544" s="75" t="n"/>
      <c r="BE544" s="75" t="n"/>
      <c r="BF544" s="75" t="n"/>
      <c r="BG544" s="75" t="n"/>
      <c r="BH544" s="75" t="n"/>
      <c r="BI544" s="75" t="n"/>
      <c r="BJ544" s="75" t="n"/>
      <c r="BK544" s="75" t="n"/>
      <c r="BL544" s="75" t="n"/>
      <c r="BM544" s="75" t="n"/>
      <c r="BN544" s="75" t="n"/>
      <c r="BO544" s="75" t="n"/>
      <c r="BP544" s="75" t="n"/>
      <c r="BQ544" s="75" t="n"/>
      <c r="BR544" s="75" t="n"/>
      <c r="BS544" s="75" t="n"/>
      <c r="BT544" s="75" t="n"/>
      <c r="BU544" s="75" t="n"/>
      <c r="BV544" s="75" t="n"/>
      <c r="BW544" s="75" t="n"/>
      <c r="BX544" s="75" t="n"/>
      <c r="BY544" s="75" t="n"/>
      <c r="BZ544" s="75" t="n"/>
      <c r="CA544" s="75" t="n"/>
      <c r="CB544" s="75" t="n"/>
      <c r="CC544" s="75" t="n"/>
      <c r="CD544" s="75" t="n"/>
      <c r="CE544" s="75" t="n"/>
      <c r="CF544" s="75" t="n"/>
      <c r="CG544" s="75" t="n"/>
      <c r="CH544" s="75" t="n"/>
      <c r="CI544" s="75" t="n"/>
      <c r="CJ544" s="75" t="n"/>
      <c r="CK544" s="75" t="n"/>
      <c r="CL544" s="75" t="n"/>
      <c r="CM544" s="75" t="n"/>
      <c r="CN544" s="75" t="n"/>
      <c r="CO544" s="75" t="n"/>
      <c r="CP544" s="75" t="n"/>
      <c r="CQ544" s="75" t="n"/>
      <c r="CR544" s="75" t="n"/>
      <c r="CS544" s="75" t="n"/>
      <c r="CT544" s="75" t="n"/>
      <c r="CU544" s="75" t="n"/>
      <c r="CV544" s="75" t="n"/>
      <c r="CW544" s="75" t="n"/>
      <c r="CX544" s="75" t="n"/>
      <c r="CY544" s="75" t="n"/>
      <c r="CZ544" s="75" t="n"/>
    </row>
    <row r="545">
      <c r="B545" s="134">
        <f>IF($A544="",0,COUNT($E545:$CZ545))</f>
        <v/>
      </c>
    </row>
    <row r="546">
      <c r="A546" s="5">
        <f>IF(MXAU!$C$69="","",MXAU!$C$69)</f>
        <v/>
      </c>
      <c r="B546" s="134">
        <f>IF($A546="",0,COUNT($E546:$CZ546))</f>
        <v/>
      </c>
      <c r="C546" s="135">
        <f>IF($A546="",0,IF($B546=0,0,MAX($E546:$CZ546)))</f>
        <v/>
      </c>
      <c r="D546" s="74">
        <f>BDS($A546,'Field Check'!$C$42,"headers=y","startcol=2","endcol=3","dir=h")</f>
        <v/>
      </c>
      <c r="E546" s="75" t="n"/>
      <c r="F546" s="75" t="n"/>
      <c r="G546" s="75" t="n"/>
      <c r="H546" s="75" t="n"/>
      <c r="I546" s="75" t="n"/>
      <c r="J546" s="75" t="n"/>
      <c r="K546" s="75" t="n"/>
      <c r="L546" s="75" t="n"/>
      <c r="M546" s="75" t="n"/>
      <c r="N546" s="75" t="n"/>
      <c r="O546" s="75" t="n"/>
      <c r="P546" s="75" t="n"/>
      <c r="Q546" s="75" t="n"/>
      <c r="R546" s="75" t="n"/>
      <c r="S546" s="75" t="n"/>
      <c r="T546" s="75" t="n"/>
      <c r="U546" s="75" t="n"/>
      <c r="V546" s="75" t="n"/>
      <c r="W546" s="75" t="n"/>
      <c r="X546" s="75" t="n"/>
      <c r="Y546" s="75" t="n"/>
      <c r="Z546" s="75" t="n"/>
      <c r="AA546" s="75" t="n"/>
      <c r="AB546" s="75" t="n"/>
      <c r="AC546" s="75" t="n"/>
      <c r="AD546" s="75" t="n"/>
      <c r="AE546" s="75" t="n"/>
      <c r="AF546" s="75" t="n"/>
      <c r="AG546" s="75" t="n"/>
      <c r="AH546" s="75" t="n"/>
      <c r="AI546" s="75" t="n"/>
      <c r="AJ546" s="75" t="n"/>
      <c r="AK546" s="75" t="n"/>
      <c r="AL546" s="75" t="n"/>
      <c r="AM546" s="75" t="n"/>
      <c r="AN546" s="75" t="n"/>
      <c r="AO546" s="75" t="n"/>
      <c r="AP546" s="75" t="n"/>
      <c r="AQ546" s="75" t="n"/>
      <c r="AR546" s="75" t="n"/>
      <c r="AS546" s="75" t="n"/>
      <c r="AT546" s="75" t="n"/>
      <c r="AU546" s="75" t="n"/>
      <c r="AV546" s="75" t="n"/>
      <c r="AW546" s="75" t="n"/>
      <c r="AX546" s="75" t="n"/>
      <c r="AY546" s="75" t="n"/>
      <c r="AZ546" s="75" t="n"/>
      <c r="BA546" s="75" t="n"/>
      <c r="BB546" s="75" t="n"/>
      <c r="BC546" s="75" t="n"/>
      <c r="BD546" s="75" t="n"/>
      <c r="BE546" s="75" t="n"/>
      <c r="BF546" s="75" t="n"/>
      <c r="BG546" s="75" t="n"/>
      <c r="BH546" s="75" t="n"/>
      <c r="BI546" s="75" t="n"/>
      <c r="BJ546" s="75" t="n"/>
      <c r="BK546" s="75" t="n"/>
      <c r="BL546" s="75" t="n"/>
      <c r="BM546" s="75" t="n"/>
      <c r="BN546" s="75" t="n"/>
      <c r="BO546" s="75" t="n"/>
      <c r="BP546" s="75" t="n"/>
      <c r="BQ546" s="75" t="n"/>
      <c r="BR546" s="75" t="n"/>
      <c r="BS546" s="75" t="n"/>
      <c r="BT546" s="75" t="n"/>
      <c r="BU546" s="75" t="n"/>
      <c r="BV546" s="75" t="n"/>
      <c r="BW546" s="75" t="n"/>
      <c r="BX546" s="75" t="n"/>
      <c r="BY546" s="75" t="n"/>
      <c r="BZ546" s="75" t="n"/>
      <c r="CA546" s="75" t="n"/>
      <c r="CB546" s="75" t="n"/>
      <c r="CC546" s="75" t="n"/>
      <c r="CD546" s="75" t="n"/>
      <c r="CE546" s="75" t="n"/>
      <c r="CF546" s="75" t="n"/>
      <c r="CG546" s="75" t="n"/>
      <c r="CH546" s="75" t="n"/>
      <c r="CI546" s="75" t="n"/>
      <c r="CJ546" s="75" t="n"/>
      <c r="CK546" s="75" t="n"/>
      <c r="CL546" s="75" t="n"/>
      <c r="CM546" s="75" t="n"/>
      <c r="CN546" s="75" t="n"/>
      <c r="CO546" s="75" t="n"/>
      <c r="CP546" s="75" t="n"/>
      <c r="CQ546" s="75" t="n"/>
      <c r="CR546" s="75" t="n"/>
      <c r="CS546" s="75" t="n"/>
      <c r="CT546" s="75" t="n"/>
      <c r="CU546" s="75" t="n"/>
      <c r="CV546" s="75" t="n"/>
      <c r="CW546" s="75" t="n"/>
      <c r="CX546" s="75" t="n"/>
      <c r="CY546" s="75" t="n"/>
      <c r="CZ546" s="75" t="n"/>
    </row>
    <row r="547">
      <c r="B547" s="134">
        <f>IF($A546="",0,COUNT($E547:$CZ547))</f>
        <v/>
      </c>
    </row>
    <row r="548">
      <c r="A548" s="5">
        <f>IF(MXAU!$C$70="","",MXAU!$C$70)</f>
        <v/>
      </c>
      <c r="B548" s="134">
        <f>IF($A548="",0,COUNT($E548:$CZ548))</f>
        <v/>
      </c>
      <c r="C548" s="135">
        <f>IF($A548="",0,IF($B548=0,0,MAX($E548:$CZ548)))</f>
        <v/>
      </c>
      <c r="D548" s="74">
        <f>BDS($A548,'Field Check'!$C$42,"headers=y","startcol=2","endcol=3","dir=h")</f>
        <v/>
      </c>
      <c r="E548" s="75" t="n"/>
      <c r="F548" s="75" t="n"/>
      <c r="G548" s="75" t="n"/>
      <c r="H548" s="75" t="n"/>
      <c r="I548" s="75" t="n"/>
      <c r="J548" s="75" t="n"/>
      <c r="K548" s="75" t="n"/>
      <c r="L548" s="75" t="n"/>
      <c r="M548" s="75" t="n"/>
      <c r="N548" s="75" t="n"/>
      <c r="O548" s="75" t="n"/>
      <c r="P548" s="75" t="n"/>
      <c r="Q548" s="75" t="n"/>
      <c r="R548" s="75" t="n"/>
      <c r="S548" s="75" t="n"/>
      <c r="T548" s="75" t="n"/>
      <c r="U548" s="75" t="n"/>
      <c r="V548" s="75" t="n"/>
      <c r="W548" s="75" t="n"/>
      <c r="X548" s="75" t="n"/>
      <c r="Y548" s="75" t="n"/>
      <c r="Z548" s="75" t="n"/>
      <c r="AA548" s="75" t="n"/>
      <c r="AB548" s="75" t="n"/>
      <c r="AC548" s="75" t="n"/>
      <c r="AD548" s="75" t="n"/>
      <c r="AE548" s="75" t="n"/>
      <c r="AF548" s="75" t="n"/>
      <c r="AG548" s="75" t="n"/>
      <c r="AH548" s="75" t="n"/>
      <c r="AI548" s="75" t="n"/>
      <c r="AJ548" s="75" t="n"/>
      <c r="AK548" s="75" t="n"/>
      <c r="AL548" s="75" t="n"/>
      <c r="AM548" s="75" t="n"/>
      <c r="AN548" s="75" t="n"/>
      <c r="AO548" s="75" t="n"/>
      <c r="AP548" s="75" t="n"/>
      <c r="AQ548" s="75" t="n"/>
      <c r="AR548" s="75" t="n"/>
      <c r="AS548" s="75" t="n"/>
      <c r="AT548" s="75" t="n"/>
      <c r="AU548" s="75" t="n"/>
      <c r="AV548" s="75" t="n"/>
      <c r="AW548" s="75" t="n"/>
      <c r="AX548" s="75" t="n"/>
      <c r="AY548" s="75" t="n"/>
      <c r="AZ548" s="75" t="n"/>
      <c r="BA548" s="75" t="n"/>
      <c r="BB548" s="75" t="n"/>
      <c r="BC548" s="75" t="n"/>
      <c r="BD548" s="75" t="n"/>
      <c r="BE548" s="75" t="n"/>
      <c r="BF548" s="75" t="n"/>
      <c r="BG548" s="75" t="n"/>
      <c r="BH548" s="75" t="n"/>
      <c r="BI548" s="75" t="n"/>
      <c r="BJ548" s="75" t="n"/>
      <c r="BK548" s="75" t="n"/>
      <c r="BL548" s="75" t="n"/>
      <c r="BM548" s="75" t="n"/>
      <c r="BN548" s="75" t="n"/>
      <c r="BO548" s="75" t="n"/>
      <c r="BP548" s="75" t="n"/>
      <c r="BQ548" s="75" t="n"/>
      <c r="BR548" s="75" t="n"/>
      <c r="BS548" s="75" t="n"/>
      <c r="BT548" s="75" t="n"/>
      <c r="BU548" s="75" t="n"/>
      <c r="BV548" s="75" t="n"/>
      <c r="BW548" s="75" t="n"/>
      <c r="BX548" s="75" t="n"/>
      <c r="BY548" s="75" t="n"/>
      <c r="BZ548" s="75" t="n"/>
      <c r="CA548" s="75" t="n"/>
      <c r="CB548" s="75" t="n"/>
      <c r="CC548" s="75" t="n"/>
      <c r="CD548" s="75" t="n"/>
      <c r="CE548" s="75" t="n"/>
      <c r="CF548" s="75" t="n"/>
      <c r="CG548" s="75" t="n"/>
      <c r="CH548" s="75" t="n"/>
      <c r="CI548" s="75" t="n"/>
      <c r="CJ548" s="75" t="n"/>
      <c r="CK548" s="75" t="n"/>
      <c r="CL548" s="75" t="n"/>
      <c r="CM548" s="75" t="n"/>
      <c r="CN548" s="75" t="n"/>
      <c r="CO548" s="75" t="n"/>
      <c r="CP548" s="75" t="n"/>
      <c r="CQ548" s="75" t="n"/>
      <c r="CR548" s="75" t="n"/>
      <c r="CS548" s="75" t="n"/>
      <c r="CT548" s="75" t="n"/>
      <c r="CU548" s="75" t="n"/>
      <c r="CV548" s="75" t="n"/>
      <c r="CW548" s="75" t="n"/>
      <c r="CX548" s="75" t="n"/>
      <c r="CY548" s="75" t="n"/>
      <c r="CZ548" s="75" t="n"/>
    </row>
    <row r="549">
      <c r="B549" s="134">
        <f>IF($A548="",0,COUNT($E549:$CZ549))</f>
        <v/>
      </c>
    </row>
    <row r="550">
      <c r="A550" s="5">
        <f>IF(MXAU!$C$71="","",MXAU!$C$71)</f>
        <v/>
      </c>
      <c r="B550" s="134">
        <f>IF($A550="",0,COUNT($E550:$CZ550))</f>
        <v/>
      </c>
      <c r="C550" s="135">
        <f>IF($A550="",0,IF($B550=0,0,MAX($E550:$CZ550)))</f>
        <v/>
      </c>
      <c r="D550" s="74">
        <f>BDS($A550,'Field Check'!$C$42,"headers=y","startcol=2","endcol=3","dir=h")</f>
        <v/>
      </c>
      <c r="E550" s="75" t="n"/>
      <c r="F550" s="75" t="n"/>
      <c r="G550" s="75" t="n"/>
      <c r="H550" s="75" t="n"/>
      <c r="I550" s="75" t="n"/>
      <c r="J550" s="75" t="n"/>
      <c r="K550" s="75" t="n"/>
      <c r="L550" s="75" t="n"/>
      <c r="M550" s="75" t="n"/>
      <c r="N550" s="75" t="n"/>
      <c r="O550" s="75" t="n"/>
      <c r="P550" s="75" t="n"/>
      <c r="Q550" s="75" t="n"/>
      <c r="R550" s="75" t="n"/>
      <c r="S550" s="75" t="n"/>
      <c r="T550" s="75" t="n"/>
      <c r="U550" s="75" t="n"/>
      <c r="V550" s="75" t="n"/>
      <c r="W550" s="75" t="n"/>
      <c r="X550" s="75" t="n"/>
      <c r="Y550" s="75" t="n"/>
      <c r="Z550" s="75" t="n"/>
      <c r="AA550" s="75" t="n"/>
      <c r="AB550" s="75" t="n"/>
      <c r="AC550" s="75" t="n"/>
      <c r="AD550" s="75" t="n"/>
      <c r="AE550" s="75" t="n"/>
      <c r="AF550" s="75" t="n"/>
      <c r="AG550" s="75" t="n"/>
      <c r="AH550" s="75" t="n"/>
      <c r="AI550" s="75" t="n"/>
      <c r="AJ550" s="75" t="n"/>
      <c r="AK550" s="75" t="n"/>
      <c r="AL550" s="75" t="n"/>
      <c r="AM550" s="75" t="n"/>
      <c r="AN550" s="75" t="n"/>
      <c r="AO550" s="75" t="n"/>
      <c r="AP550" s="75" t="n"/>
      <c r="AQ550" s="75" t="n"/>
      <c r="AR550" s="75" t="n"/>
      <c r="AS550" s="75" t="n"/>
      <c r="AT550" s="75" t="n"/>
      <c r="AU550" s="75" t="n"/>
      <c r="AV550" s="75" t="n"/>
      <c r="AW550" s="75" t="n"/>
      <c r="AX550" s="75" t="n"/>
      <c r="AY550" s="75" t="n"/>
      <c r="AZ550" s="75" t="n"/>
      <c r="BA550" s="75" t="n"/>
      <c r="BB550" s="75" t="n"/>
      <c r="BC550" s="75" t="n"/>
      <c r="BD550" s="75" t="n"/>
      <c r="BE550" s="75" t="n"/>
      <c r="BF550" s="75" t="n"/>
      <c r="BG550" s="75" t="n"/>
      <c r="BH550" s="75" t="n"/>
      <c r="BI550" s="75" t="n"/>
      <c r="BJ550" s="75" t="n"/>
      <c r="BK550" s="75" t="n"/>
      <c r="BL550" s="75" t="n"/>
      <c r="BM550" s="75" t="n"/>
      <c r="BN550" s="75" t="n"/>
      <c r="BO550" s="75" t="n"/>
      <c r="BP550" s="75" t="n"/>
      <c r="BQ550" s="75" t="n"/>
      <c r="BR550" s="75" t="n"/>
      <c r="BS550" s="75" t="n"/>
      <c r="BT550" s="75" t="n"/>
      <c r="BU550" s="75" t="n"/>
      <c r="BV550" s="75" t="n"/>
      <c r="BW550" s="75" t="n"/>
      <c r="BX550" s="75" t="n"/>
      <c r="BY550" s="75" t="n"/>
      <c r="BZ550" s="75" t="n"/>
      <c r="CA550" s="75" t="n"/>
      <c r="CB550" s="75" t="n"/>
      <c r="CC550" s="75" t="n"/>
      <c r="CD550" s="75" t="n"/>
      <c r="CE550" s="75" t="n"/>
      <c r="CF550" s="75" t="n"/>
      <c r="CG550" s="75" t="n"/>
      <c r="CH550" s="75" t="n"/>
      <c r="CI550" s="75" t="n"/>
      <c r="CJ550" s="75" t="n"/>
      <c r="CK550" s="75" t="n"/>
      <c r="CL550" s="75" t="n"/>
      <c r="CM550" s="75" t="n"/>
      <c r="CN550" s="75" t="n"/>
      <c r="CO550" s="75" t="n"/>
      <c r="CP550" s="75" t="n"/>
      <c r="CQ550" s="75" t="n"/>
      <c r="CR550" s="75" t="n"/>
      <c r="CS550" s="75" t="n"/>
      <c r="CT550" s="75" t="n"/>
      <c r="CU550" s="75" t="n"/>
      <c r="CV550" s="75" t="n"/>
      <c r="CW550" s="75" t="n"/>
      <c r="CX550" s="75" t="n"/>
      <c r="CY550" s="75" t="n"/>
      <c r="CZ550" s="75" t="n"/>
    </row>
    <row r="551">
      <c r="B551" s="134">
        <f>IF($A550="",0,COUNT($E551:$CZ551))</f>
        <v/>
      </c>
    </row>
    <row r="552">
      <c r="A552" s="5">
        <f>IF(MXAU!$C$72="","",MXAU!$C$72)</f>
        <v/>
      </c>
      <c r="B552" s="134">
        <f>IF($A552="",0,COUNT($E552:$CZ552))</f>
        <v/>
      </c>
      <c r="C552" s="135">
        <f>IF($A552="",0,IF($B552=0,0,MAX($E552:$CZ552)))</f>
        <v/>
      </c>
      <c r="D552" s="74">
        <f>BDS($A552,'Field Check'!$C$42,"headers=y","startcol=2","endcol=3","dir=h")</f>
        <v/>
      </c>
      <c r="E552" s="75" t="n"/>
      <c r="F552" s="75" t="n"/>
      <c r="G552" s="75" t="n"/>
      <c r="H552" s="75" t="n"/>
      <c r="I552" s="75" t="n"/>
      <c r="J552" s="75" t="n"/>
      <c r="K552" s="75" t="n"/>
      <c r="L552" s="75" t="n"/>
      <c r="M552" s="75" t="n"/>
      <c r="N552" s="75" t="n"/>
      <c r="O552" s="75" t="n"/>
      <c r="P552" s="75" t="n"/>
      <c r="Q552" s="75" t="n"/>
      <c r="R552" s="75" t="n"/>
      <c r="S552" s="75" t="n"/>
      <c r="T552" s="75" t="n"/>
      <c r="U552" s="75" t="n"/>
      <c r="V552" s="75" t="n"/>
      <c r="W552" s="75" t="n"/>
      <c r="X552" s="75" t="n"/>
      <c r="Y552" s="75" t="n"/>
      <c r="Z552" s="75" t="n"/>
      <c r="AA552" s="75" t="n"/>
      <c r="AB552" s="75" t="n"/>
      <c r="AC552" s="75" t="n"/>
      <c r="AD552" s="75" t="n"/>
      <c r="AE552" s="75" t="n"/>
      <c r="AF552" s="75" t="n"/>
      <c r="AG552" s="75" t="n"/>
      <c r="AH552" s="75" t="n"/>
      <c r="AI552" s="75" t="n"/>
      <c r="AJ552" s="75" t="n"/>
      <c r="AK552" s="75" t="n"/>
      <c r="AL552" s="75" t="n"/>
      <c r="AM552" s="75" t="n"/>
      <c r="AN552" s="75" t="n"/>
      <c r="AO552" s="75" t="n"/>
      <c r="AP552" s="75" t="n"/>
      <c r="AQ552" s="75" t="n"/>
      <c r="AR552" s="75" t="n"/>
      <c r="AS552" s="75" t="n"/>
      <c r="AT552" s="75" t="n"/>
      <c r="AU552" s="75" t="n"/>
      <c r="AV552" s="75" t="n"/>
      <c r="AW552" s="75" t="n"/>
      <c r="AX552" s="75" t="n"/>
      <c r="AY552" s="75" t="n"/>
      <c r="AZ552" s="75" t="n"/>
      <c r="BA552" s="75" t="n"/>
      <c r="BB552" s="75" t="n"/>
      <c r="BC552" s="75" t="n"/>
      <c r="BD552" s="75" t="n"/>
      <c r="BE552" s="75" t="n"/>
      <c r="BF552" s="75" t="n"/>
      <c r="BG552" s="75" t="n"/>
      <c r="BH552" s="75" t="n"/>
      <c r="BI552" s="75" t="n"/>
      <c r="BJ552" s="75" t="n"/>
      <c r="BK552" s="75" t="n"/>
      <c r="BL552" s="75" t="n"/>
      <c r="BM552" s="75" t="n"/>
      <c r="BN552" s="75" t="n"/>
      <c r="BO552" s="75" t="n"/>
      <c r="BP552" s="75" t="n"/>
      <c r="BQ552" s="75" t="n"/>
      <c r="BR552" s="75" t="n"/>
      <c r="BS552" s="75" t="n"/>
      <c r="BT552" s="75" t="n"/>
      <c r="BU552" s="75" t="n"/>
      <c r="BV552" s="75" t="n"/>
      <c r="BW552" s="75" t="n"/>
      <c r="BX552" s="75" t="n"/>
      <c r="BY552" s="75" t="n"/>
      <c r="BZ552" s="75" t="n"/>
      <c r="CA552" s="75" t="n"/>
      <c r="CB552" s="75" t="n"/>
      <c r="CC552" s="75" t="n"/>
      <c r="CD552" s="75" t="n"/>
      <c r="CE552" s="75" t="n"/>
      <c r="CF552" s="75" t="n"/>
      <c r="CG552" s="75" t="n"/>
      <c r="CH552" s="75" t="n"/>
      <c r="CI552" s="75" t="n"/>
      <c r="CJ552" s="75" t="n"/>
      <c r="CK552" s="75" t="n"/>
      <c r="CL552" s="75" t="n"/>
      <c r="CM552" s="75" t="n"/>
      <c r="CN552" s="75" t="n"/>
      <c r="CO552" s="75" t="n"/>
      <c r="CP552" s="75" t="n"/>
      <c r="CQ552" s="75" t="n"/>
      <c r="CR552" s="75" t="n"/>
      <c r="CS552" s="75" t="n"/>
      <c r="CT552" s="75" t="n"/>
      <c r="CU552" s="75" t="n"/>
      <c r="CV552" s="75" t="n"/>
      <c r="CW552" s="75" t="n"/>
      <c r="CX552" s="75" t="n"/>
      <c r="CY552" s="75" t="n"/>
      <c r="CZ552" s="75" t="n"/>
    </row>
    <row r="553">
      <c r="B553" s="134">
        <f>IF($A552="",0,COUNT($E553:$CZ553))</f>
        <v/>
      </c>
    </row>
    <row r="554">
      <c r="A554" s="5">
        <f>IF(MXAU!$C$73="","",MXAU!$C$73)</f>
        <v/>
      </c>
      <c r="B554" s="134">
        <f>IF($A554="",0,COUNT($E554:$CZ554))</f>
        <v/>
      </c>
      <c r="C554" s="135">
        <f>IF($A554="",0,IF($B554=0,0,MAX($E554:$CZ554)))</f>
        <v/>
      </c>
      <c r="D554" s="74">
        <f>BDS($A554,'Field Check'!$C$42,"headers=y","startcol=2","endcol=3","dir=h")</f>
        <v/>
      </c>
      <c r="E554" s="75" t="n"/>
      <c r="F554" s="75" t="n"/>
      <c r="G554" s="75" t="n"/>
      <c r="H554" s="75" t="n"/>
      <c r="I554" s="75" t="n"/>
      <c r="J554" s="75" t="n"/>
      <c r="K554" s="75" t="n"/>
      <c r="L554" s="75" t="n"/>
      <c r="M554" s="75" t="n"/>
      <c r="N554" s="75" t="n"/>
      <c r="O554" s="75" t="n"/>
      <c r="P554" s="75" t="n"/>
      <c r="Q554" s="75" t="n"/>
      <c r="R554" s="75" t="n"/>
      <c r="S554" s="75" t="n"/>
      <c r="T554" s="75" t="n"/>
      <c r="U554" s="75" t="n"/>
      <c r="V554" s="75" t="n"/>
      <c r="W554" s="75" t="n"/>
      <c r="X554" s="75" t="n"/>
      <c r="Y554" s="75" t="n"/>
      <c r="Z554" s="75" t="n"/>
      <c r="AA554" s="75" t="n"/>
      <c r="AB554" s="75" t="n"/>
      <c r="AC554" s="75" t="n"/>
      <c r="AD554" s="75" t="n"/>
      <c r="AE554" s="75" t="n"/>
      <c r="AF554" s="75" t="n"/>
      <c r="AG554" s="75" t="n"/>
      <c r="AH554" s="75" t="n"/>
      <c r="AI554" s="75" t="n"/>
      <c r="AJ554" s="75" t="n"/>
      <c r="AK554" s="75" t="n"/>
      <c r="AL554" s="75" t="n"/>
      <c r="AM554" s="75" t="n"/>
      <c r="AN554" s="75" t="n"/>
      <c r="AO554" s="75" t="n"/>
      <c r="AP554" s="75" t="n"/>
      <c r="AQ554" s="75" t="n"/>
      <c r="AR554" s="75" t="n"/>
      <c r="AS554" s="75" t="n"/>
      <c r="AT554" s="75" t="n"/>
      <c r="AU554" s="75" t="n"/>
      <c r="AV554" s="75" t="n"/>
      <c r="AW554" s="75" t="n"/>
      <c r="AX554" s="75" t="n"/>
      <c r="AY554" s="75" t="n"/>
      <c r="AZ554" s="75" t="n"/>
      <c r="BA554" s="75" t="n"/>
      <c r="BB554" s="75" t="n"/>
      <c r="BC554" s="75" t="n"/>
      <c r="BD554" s="75" t="n"/>
      <c r="BE554" s="75" t="n"/>
      <c r="BF554" s="75" t="n"/>
      <c r="BG554" s="75" t="n"/>
      <c r="BH554" s="75" t="n"/>
      <c r="BI554" s="75" t="n"/>
      <c r="BJ554" s="75" t="n"/>
      <c r="BK554" s="75" t="n"/>
      <c r="BL554" s="75" t="n"/>
      <c r="BM554" s="75" t="n"/>
      <c r="BN554" s="75" t="n"/>
      <c r="BO554" s="75" t="n"/>
      <c r="BP554" s="75" t="n"/>
      <c r="BQ554" s="75" t="n"/>
      <c r="BR554" s="75" t="n"/>
      <c r="BS554" s="75" t="n"/>
      <c r="BT554" s="75" t="n"/>
      <c r="BU554" s="75" t="n"/>
      <c r="BV554" s="75" t="n"/>
      <c r="BW554" s="75" t="n"/>
      <c r="BX554" s="75" t="n"/>
      <c r="BY554" s="75" t="n"/>
      <c r="BZ554" s="75" t="n"/>
      <c r="CA554" s="75" t="n"/>
      <c r="CB554" s="75" t="n"/>
      <c r="CC554" s="75" t="n"/>
      <c r="CD554" s="75" t="n"/>
      <c r="CE554" s="75" t="n"/>
      <c r="CF554" s="75" t="n"/>
      <c r="CG554" s="75" t="n"/>
      <c r="CH554" s="75" t="n"/>
      <c r="CI554" s="75" t="n"/>
      <c r="CJ554" s="75" t="n"/>
      <c r="CK554" s="75" t="n"/>
      <c r="CL554" s="75" t="n"/>
      <c r="CM554" s="75" t="n"/>
      <c r="CN554" s="75" t="n"/>
      <c r="CO554" s="75" t="n"/>
      <c r="CP554" s="75" t="n"/>
      <c r="CQ554" s="75" t="n"/>
      <c r="CR554" s="75" t="n"/>
      <c r="CS554" s="75" t="n"/>
      <c r="CT554" s="75" t="n"/>
      <c r="CU554" s="75" t="n"/>
      <c r="CV554" s="75" t="n"/>
      <c r="CW554" s="75" t="n"/>
      <c r="CX554" s="75" t="n"/>
      <c r="CY554" s="75" t="n"/>
      <c r="CZ554" s="75" t="n"/>
    </row>
    <row r="555">
      <c r="B555" s="134">
        <f>IF($A554="",0,COUNT($E555:$CZ555))</f>
        <v/>
      </c>
    </row>
    <row r="556">
      <c r="A556" s="5">
        <f>IF(MXAU!$C$74="","",MXAU!$C$74)</f>
        <v/>
      </c>
      <c r="B556" s="134">
        <f>IF($A556="",0,COUNT($E556:$CZ556))</f>
        <v/>
      </c>
      <c r="C556" s="135">
        <f>IF($A556="",0,IF($B556=0,0,MAX($E556:$CZ556)))</f>
        <v/>
      </c>
      <c r="D556" s="74">
        <f>BDS($A556,'Field Check'!$C$42,"headers=y","startcol=2","endcol=3","dir=h")</f>
        <v/>
      </c>
      <c r="E556" s="75" t="n"/>
      <c r="F556" s="75" t="n"/>
      <c r="G556" s="75" t="n"/>
      <c r="H556" s="75" t="n"/>
      <c r="I556" s="75" t="n"/>
      <c r="J556" s="75" t="n"/>
      <c r="K556" s="75" t="n"/>
      <c r="L556" s="75" t="n"/>
      <c r="M556" s="75" t="n"/>
      <c r="N556" s="75" t="n"/>
      <c r="O556" s="75" t="n"/>
      <c r="P556" s="75" t="n"/>
      <c r="Q556" s="75" t="n"/>
      <c r="R556" s="75" t="n"/>
      <c r="S556" s="75" t="n"/>
      <c r="T556" s="75" t="n"/>
      <c r="U556" s="75" t="n"/>
      <c r="V556" s="75" t="n"/>
      <c r="W556" s="75" t="n"/>
      <c r="X556" s="75" t="n"/>
      <c r="Y556" s="75" t="n"/>
      <c r="Z556" s="75" t="n"/>
      <c r="AA556" s="75" t="n"/>
      <c r="AB556" s="75" t="n"/>
      <c r="AC556" s="75" t="n"/>
      <c r="AD556" s="75" t="n"/>
      <c r="AE556" s="75" t="n"/>
      <c r="AF556" s="75" t="n"/>
      <c r="AG556" s="75" t="n"/>
      <c r="AH556" s="75" t="n"/>
      <c r="AI556" s="75" t="n"/>
      <c r="AJ556" s="75" t="n"/>
      <c r="AK556" s="75" t="n"/>
      <c r="AL556" s="75" t="n"/>
      <c r="AM556" s="75" t="n"/>
      <c r="AN556" s="75" t="n"/>
      <c r="AO556" s="75" t="n"/>
      <c r="AP556" s="75" t="n"/>
      <c r="AQ556" s="75" t="n"/>
      <c r="AR556" s="75" t="n"/>
      <c r="AS556" s="75" t="n"/>
      <c r="AT556" s="75" t="n"/>
      <c r="AU556" s="75" t="n"/>
      <c r="AV556" s="75" t="n"/>
      <c r="AW556" s="75" t="n"/>
      <c r="AX556" s="75" t="n"/>
      <c r="AY556" s="75" t="n"/>
      <c r="AZ556" s="75" t="n"/>
      <c r="BA556" s="75" t="n"/>
      <c r="BB556" s="75" t="n"/>
      <c r="BC556" s="75" t="n"/>
      <c r="BD556" s="75" t="n"/>
      <c r="BE556" s="75" t="n"/>
      <c r="BF556" s="75" t="n"/>
      <c r="BG556" s="75" t="n"/>
      <c r="BH556" s="75" t="n"/>
      <c r="BI556" s="75" t="n"/>
      <c r="BJ556" s="75" t="n"/>
      <c r="BK556" s="75" t="n"/>
      <c r="BL556" s="75" t="n"/>
      <c r="BM556" s="75" t="n"/>
      <c r="BN556" s="75" t="n"/>
      <c r="BO556" s="75" t="n"/>
      <c r="BP556" s="75" t="n"/>
      <c r="BQ556" s="75" t="n"/>
      <c r="BR556" s="75" t="n"/>
      <c r="BS556" s="75" t="n"/>
      <c r="BT556" s="75" t="n"/>
      <c r="BU556" s="75" t="n"/>
      <c r="BV556" s="75" t="n"/>
      <c r="BW556" s="75" t="n"/>
      <c r="BX556" s="75" t="n"/>
      <c r="BY556" s="75" t="n"/>
      <c r="BZ556" s="75" t="n"/>
      <c r="CA556" s="75" t="n"/>
      <c r="CB556" s="75" t="n"/>
      <c r="CC556" s="75" t="n"/>
      <c r="CD556" s="75" t="n"/>
      <c r="CE556" s="75" t="n"/>
      <c r="CF556" s="75" t="n"/>
      <c r="CG556" s="75" t="n"/>
      <c r="CH556" s="75" t="n"/>
      <c r="CI556" s="75" t="n"/>
      <c r="CJ556" s="75" t="n"/>
      <c r="CK556" s="75" t="n"/>
      <c r="CL556" s="75" t="n"/>
      <c r="CM556" s="75" t="n"/>
      <c r="CN556" s="75" t="n"/>
      <c r="CO556" s="75" t="n"/>
      <c r="CP556" s="75" t="n"/>
      <c r="CQ556" s="75" t="n"/>
      <c r="CR556" s="75" t="n"/>
      <c r="CS556" s="75" t="n"/>
      <c r="CT556" s="75" t="n"/>
      <c r="CU556" s="75" t="n"/>
      <c r="CV556" s="75" t="n"/>
      <c r="CW556" s="75" t="n"/>
      <c r="CX556" s="75" t="n"/>
      <c r="CY556" s="75" t="n"/>
      <c r="CZ556" s="75" t="n"/>
    </row>
    <row r="557">
      <c r="B557" s="134">
        <f>IF($A556="",0,COUNT($E557:$CZ557))</f>
        <v/>
      </c>
    </row>
    <row r="558">
      <c r="A558" s="5">
        <f>IF(MXAU!$C$75="","",MXAU!$C$75)</f>
        <v/>
      </c>
      <c r="B558" s="134">
        <f>IF($A558="",0,COUNT($E558:$CZ558))</f>
        <v/>
      </c>
      <c r="C558" s="135">
        <f>IF($A558="",0,IF($B558=0,0,MAX($E558:$CZ558)))</f>
        <v/>
      </c>
      <c r="D558" s="74">
        <f>BDS($A558,'Field Check'!$C$42,"headers=y","startcol=2","endcol=3","dir=h")</f>
        <v/>
      </c>
      <c r="E558" s="75" t="n"/>
      <c r="F558" s="75" t="n"/>
      <c r="G558" s="75" t="n"/>
      <c r="H558" s="75" t="n"/>
      <c r="I558" s="75" t="n"/>
      <c r="J558" s="75" t="n"/>
      <c r="K558" s="75" t="n"/>
      <c r="L558" s="75" t="n"/>
      <c r="M558" s="75" t="n"/>
      <c r="N558" s="75" t="n"/>
      <c r="O558" s="75" t="n"/>
      <c r="P558" s="75" t="n"/>
      <c r="Q558" s="75" t="n"/>
      <c r="R558" s="75" t="n"/>
      <c r="S558" s="75" t="n"/>
      <c r="T558" s="75" t="n"/>
      <c r="U558" s="75" t="n"/>
      <c r="V558" s="75" t="n"/>
      <c r="W558" s="75" t="n"/>
      <c r="X558" s="75" t="n"/>
      <c r="Y558" s="75" t="n"/>
      <c r="Z558" s="75" t="n"/>
      <c r="AA558" s="75" t="n"/>
      <c r="AB558" s="75" t="n"/>
      <c r="AC558" s="75" t="n"/>
      <c r="AD558" s="75" t="n"/>
      <c r="AE558" s="75" t="n"/>
      <c r="AF558" s="75" t="n"/>
      <c r="AG558" s="75" t="n"/>
      <c r="AH558" s="75" t="n"/>
      <c r="AI558" s="75" t="n"/>
      <c r="AJ558" s="75" t="n"/>
      <c r="AK558" s="75" t="n"/>
      <c r="AL558" s="75" t="n"/>
      <c r="AM558" s="75" t="n"/>
      <c r="AN558" s="75" t="n"/>
      <c r="AO558" s="75" t="n"/>
      <c r="AP558" s="75" t="n"/>
      <c r="AQ558" s="75" t="n"/>
      <c r="AR558" s="75" t="n"/>
      <c r="AS558" s="75" t="n"/>
      <c r="AT558" s="75" t="n"/>
      <c r="AU558" s="75" t="n"/>
      <c r="AV558" s="75" t="n"/>
      <c r="AW558" s="75" t="n"/>
      <c r="AX558" s="75" t="n"/>
      <c r="AY558" s="75" t="n"/>
      <c r="AZ558" s="75" t="n"/>
      <c r="BA558" s="75" t="n"/>
      <c r="BB558" s="75" t="n"/>
      <c r="BC558" s="75" t="n"/>
      <c r="BD558" s="75" t="n"/>
      <c r="BE558" s="75" t="n"/>
      <c r="BF558" s="75" t="n"/>
      <c r="BG558" s="75" t="n"/>
      <c r="BH558" s="75" t="n"/>
      <c r="BI558" s="75" t="n"/>
      <c r="BJ558" s="75" t="n"/>
      <c r="BK558" s="75" t="n"/>
      <c r="BL558" s="75" t="n"/>
      <c r="BM558" s="75" t="n"/>
      <c r="BN558" s="75" t="n"/>
      <c r="BO558" s="75" t="n"/>
      <c r="BP558" s="75" t="n"/>
      <c r="BQ558" s="75" t="n"/>
      <c r="BR558" s="75" t="n"/>
      <c r="BS558" s="75" t="n"/>
      <c r="BT558" s="75" t="n"/>
      <c r="BU558" s="75" t="n"/>
      <c r="BV558" s="75" t="n"/>
      <c r="BW558" s="75" t="n"/>
      <c r="BX558" s="75" t="n"/>
      <c r="BY558" s="75" t="n"/>
      <c r="BZ558" s="75" t="n"/>
      <c r="CA558" s="75" t="n"/>
      <c r="CB558" s="75" t="n"/>
      <c r="CC558" s="75" t="n"/>
      <c r="CD558" s="75" t="n"/>
      <c r="CE558" s="75" t="n"/>
      <c r="CF558" s="75" t="n"/>
      <c r="CG558" s="75" t="n"/>
      <c r="CH558" s="75" t="n"/>
      <c r="CI558" s="75" t="n"/>
      <c r="CJ558" s="75" t="n"/>
      <c r="CK558" s="75" t="n"/>
      <c r="CL558" s="75" t="n"/>
      <c r="CM558" s="75" t="n"/>
      <c r="CN558" s="75" t="n"/>
      <c r="CO558" s="75" t="n"/>
      <c r="CP558" s="75" t="n"/>
      <c r="CQ558" s="75" t="n"/>
      <c r="CR558" s="75" t="n"/>
      <c r="CS558" s="75" t="n"/>
      <c r="CT558" s="75" t="n"/>
      <c r="CU558" s="75" t="n"/>
      <c r="CV558" s="75" t="n"/>
      <c r="CW558" s="75" t="n"/>
      <c r="CX558" s="75" t="n"/>
      <c r="CY558" s="75" t="n"/>
      <c r="CZ558" s="75" t="n"/>
    </row>
    <row r="559">
      <c r="B559" s="134">
        <f>IF($A558="",0,COUNT($E559:$CZ559))</f>
        <v/>
      </c>
    </row>
    <row r="560">
      <c r="A560" s="5">
        <f>IF(MXAU!$C$76="","",MXAU!$C$76)</f>
        <v/>
      </c>
      <c r="B560" s="134">
        <f>IF($A560="",0,COUNT($E560:$CZ560))</f>
        <v/>
      </c>
      <c r="C560" s="135">
        <f>IF($A560="",0,IF($B560=0,0,MAX($E560:$CZ560)))</f>
        <v/>
      </c>
      <c r="D560" s="74">
        <f>BDS($A560,'Field Check'!$C$42,"headers=y","startcol=2","endcol=3","dir=h")</f>
        <v/>
      </c>
      <c r="E560" s="75" t="n"/>
      <c r="F560" s="75" t="n"/>
      <c r="G560" s="75" t="n"/>
      <c r="H560" s="75" t="n"/>
      <c r="I560" s="75" t="n"/>
      <c r="J560" s="75" t="n"/>
      <c r="K560" s="75" t="n"/>
      <c r="L560" s="75" t="n"/>
      <c r="M560" s="75" t="n"/>
      <c r="N560" s="75" t="n"/>
      <c r="O560" s="75" t="n"/>
      <c r="P560" s="75" t="n"/>
      <c r="Q560" s="75" t="n"/>
      <c r="R560" s="75" t="n"/>
      <c r="S560" s="75" t="n"/>
      <c r="T560" s="75" t="n"/>
      <c r="U560" s="75" t="n"/>
      <c r="V560" s="75" t="n"/>
      <c r="W560" s="75" t="n"/>
      <c r="X560" s="75" t="n"/>
      <c r="Y560" s="75" t="n"/>
      <c r="Z560" s="75" t="n"/>
      <c r="AA560" s="75" t="n"/>
      <c r="AB560" s="75" t="n"/>
      <c r="AC560" s="75" t="n"/>
      <c r="AD560" s="75" t="n"/>
      <c r="AE560" s="75" t="n"/>
      <c r="AF560" s="75" t="n"/>
      <c r="AG560" s="75" t="n"/>
      <c r="AH560" s="75" t="n"/>
      <c r="AI560" s="75" t="n"/>
      <c r="AJ560" s="75" t="n"/>
      <c r="AK560" s="75" t="n"/>
      <c r="AL560" s="75" t="n"/>
      <c r="AM560" s="75" t="n"/>
      <c r="AN560" s="75" t="n"/>
      <c r="AO560" s="75" t="n"/>
      <c r="AP560" s="75" t="n"/>
      <c r="AQ560" s="75" t="n"/>
      <c r="AR560" s="75" t="n"/>
      <c r="AS560" s="75" t="n"/>
      <c r="AT560" s="75" t="n"/>
      <c r="AU560" s="75" t="n"/>
      <c r="AV560" s="75" t="n"/>
      <c r="AW560" s="75" t="n"/>
      <c r="AX560" s="75" t="n"/>
      <c r="AY560" s="75" t="n"/>
      <c r="AZ560" s="75" t="n"/>
      <c r="BA560" s="75" t="n"/>
      <c r="BB560" s="75" t="n"/>
      <c r="BC560" s="75" t="n"/>
      <c r="BD560" s="75" t="n"/>
      <c r="BE560" s="75" t="n"/>
      <c r="BF560" s="75" t="n"/>
      <c r="BG560" s="75" t="n"/>
      <c r="BH560" s="75" t="n"/>
      <c r="BI560" s="75" t="n"/>
      <c r="BJ560" s="75" t="n"/>
      <c r="BK560" s="75" t="n"/>
      <c r="BL560" s="75" t="n"/>
      <c r="BM560" s="75" t="n"/>
      <c r="BN560" s="75" t="n"/>
      <c r="BO560" s="75" t="n"/>
      <c r="BP560" s="75" t="n"/>
      <c r="BQ560" s="75" t="n"/>
      <c r="BR560" s="75" t="n"/>
      <c r="BS560" s="75" t="n"/>
      <c r="BT560" s="75" t="n"/>
      <c r="BU560" s="75" t="n"/>
      <c r="BV560" s="75" t="n"/>
      <c r="BW560" s="75" t="n"/>
      <c r="BX560" s="75" t="n"/>
      <c r="BY560" s="75" t="n"/>
      <c r="BZ560" s="75" t="n"/>
      <c r="CA560" s="75" t="n"/>
      <c r="CB560" s="75" t="n"/>
      <c r="CC560" s="75" t="n"/>
      <c r="CD560" s="75" t="n"/>
      <c r="CE560" s="75" t="n"/>
      <c r="CF560" s="75" t="n"/>
      <c r="CG560" s="75" t="n"/>
      <c r="CH560" s="75" t="n"/>
      <c r="CI560" s="75" t="n"/>
      <c r="CJ560" s="75" t="n"/>
      <c r="CK560" s="75" t="n"/>
      <c r="CL560" s="75" t="n"/>
      <c r="CM560" s="75" t="n"/>
      <c r="CN560" s="75" t="n"/>
      <c r="CO560" s="75" t="n"/>
      <c r="CP560" s="75" t="n"/>
      <c r="CQ560" s="75" t="n"/>
      <c r="CR560" s="75" t="n"/>
      <c r="CS560" s="75" t="n"/>
      <c r="CT560" s="75" t="n"/>
      <c r="CU560" s="75" t="n"/>
      <c r="CV560" s="75" t="n"/>
      <c r="CW560" s="75" t="n"/>
      <c r="CX560" s="75" t="n"/>
      <c r="CY560" s="75" t="n"/>
      <c r="CZ560" s="75" t="n"/>
    </row>
    <row r="561">
      <c r="B561" s="134">
        <f>IF($A560="",0,COUNT($E561:$CZ561))</f>
        <v/>
      </c>
    </row>
    <row r="562">
      <c r="A562" s="5">
        <f>IF(MXAU!$C$77="","",MXAU!$C$77)</f>
        <v/>
      </c>
      <c r="B562" s="134">
        <f>IF($A562="",0,COUNT($E562:$CZ562))</f>
        <v/>
      </c>
      <c r="C562" s="135">
        <f>IF($A562="",0,IF($B562=0,0,MAX($E562:$CZ562)))</f>
        <v/>
      </c>
      <c r="D562" s="74">
        <f>BDS($A562,'Field Check'!$C$42,"headers=y","startcol=2","endcol=3","dir=h")</f>
        <v/>
      </c>
      <c r="E562" s="75" t="n"/>
      <c r="F562" s="75" t="n"/>
      <c r="G562" s="75" t="n"/>
      <c r="H562" s="75" t="n"/>
      <c r="I562" s="75" t="n"/>
      <c r="J562" s="75" t="n"/>
      <c r="K562" s="75" t="n"/>
      <c r="L562" s="75" t="n"/>
      <c r="M562" s="75" t="n"/>
      <c r="N562" s="75" t="n"/>
      <c r="O562" s="75" t="n"/>
      <c r="P562" s="75" t="n"/>
      <c r="Q562" s="75" t="n"/>
      <c r="R562" s="75" t="n"/>
      <c r="S562" s="75" t="n"/>
      <c r="T562" s="75" t="n"/>
      <c r="U562" s="75" t="n"/>
      <c r="V562" s="75" t="n"/>
      <c r="W562" s="75" t="n"/>
      <c r="X562" s="75" t="n"/>
      <c r="Y562" s="75" t="n"/>
      <c r="Z562" s="75" t="n"/>
      <c r="AA562" s="75" t="n"/>
      <c r="AB562" s="75" t="n"/>
      <c r="AC562" s="75" t="n"/>
      <c r="AD562" s="75" t="n"/>
      <c r="AE562" s="75" t="n"/>
      <c r="AF562" s="75" t="n"/>
      <c r="AG562" s="75" t="n"/>
      <c r="AH562" s="75" t="n"/>
      <c r="AI562" s="75" t="n"/>
      <c r="AJ562" s="75" t="n"/>
      <c r="AK562" s="75" t="n"/>
      <c r="AL562" s="75" t="n"/>
      <c r="AM562" s="75" t="n"/>
      <c r="AN562" s="75" t="n"/>
      <c r="AO562" s="75" t="n"/>
      <c r="AP562" s="75" t="n"/>
      <c r="AQ562" s="75" t="n"/>
      <c r="AR562" s="75" t="n"/>
      <c r="AS562" s="75" t="n"/>
      <c r="AT562" s="75" t="n"/>
      <c r="AU562" s="75" t="n"/>
      <c r="AV562" s="75" t="n"/>
      <c r="AW562" s="75" t="n"/>
      <c r="AX562" s="75" t="n"/>
      <c r="AY562" s="75" t="n"/>
      <c r="AZ562" s="75" t="n"/>
      <c r="BA562" s="75" t="n"/>
      <c r="BB562" s="75" t="n"/>
      <c r="BC562" s="75" t="n"/>
      <c r="BD562" s="75" t="n"/>
      <c r="BE562" s="75" t="n"/>
      <c r="BF562" s="75" t="n"/>
      <c r="BG562" s="75" t="n"/>
      <c r="BH562" s="75" t="n"/>
      <c r="BI562" s="75" t="n"/>
      <c r="BJ562" s="75" t="n"/>
      <c r="BK562" s="75" t="n"/>
      <c r="BL562" s="75" t="n"/>
      <c r="BM562" s="75" t="n"/>
      <c r="BN562" s="75" t="n"/>
      <c r="BO562" s="75" t="n"/>
      <c r="BP562" s="75" t="n"/>
      <c r="BQ562" s="75" t="n"/>
      <c r="BR562" s="75" t="n"/>
      <c r="BS562" s="75" t="n"/>
      <c r="BT562" s="75" t="n"/>
      <c r="BU562" s="75" t="n"/>
      <c r="BV562" s="75" t="n"/>
      <c r="BW562" s="75" t="n"/>
      <c r="BX562" s="75" t="n"/>
      <c r="BY562" s="75" t="n"/>
      <c r="BZ562" s="75" t="n"/>
      <c r="CA562" s="75" t="n"/>
      <c r="CB562" s="75" t="n"/>
      <c r="CC562" s="75" t="n"/>
      <c r="CD562" s="75" t="n"/>
      <c r="CE562" s="75" t="n"/>
      <c r="CF562" s="75" t="n"/>
      <c r="CG562" s="75" t="n"/>
      <c r="CH562" s="75" t="n"/>
      <c r="CI562" s="75" t="n"/>
      <c r="CJ562" s="75" t="n"/>
      <c r="CK562" s="75" t="n"/>
      <c r="CL562" s="75" t="n"/>
      <c r="CM562" s="75" t="n"/>
      <c r="CN562" s="75" t="n"/>
      <c r="CO562" s="75" t="n"/>
      <c r="CP562" s="75" t="n"/>
      <c r="CQ562" s="75" t="n"/>
      <c r="CR562" s="75" t="n"/>
      <c r="CS562" s="75" t="n"/>
      <c r="CT562" s="75" t="n"/>
      <c r="CU562" s="75" t="n"/>
      <c r="CV562" s="75" t="n"/>
      <c r="CW562" s="75" t="n"/>
      <c r="CX562" s="75" t="n"/>
      <c r="CY562" s="75" t="n"/>
      <c r="CZ562" s="75" t="n"/>
    </row>
    <row r="563">
      <c r="B563" s="134">
        <f>IF($A562="",0,COUNT($E563:$CZ563))</f>
        <v/>
      </c>
    </row>
    <row r="564">
      <c r="A564" s="5">
        <f>IF(MXAU!$C$78="","",MXAU!$C$78)</f>
        <v/>
      </c>
      <c r="B564" s="134">
        <f>IF($A564="",0,COUNT($E564:$CZ564))</f>
        <v/>
      </c>
      <c r="C564" s="135">
        <f>IF($A564="",0,IF($B564=0,0,MAX($E564:$CZ564)))</f>
        <v/>
      </c>
      <c r="D564" s="74">
        <f>BDS($A564,'Field Check'!$C$42,"headers=y","startcol=2","endcol=3","dir=h")</f>
        <v/>
      </c>
      <c r="E564" s="75" t="n"/>
      <c r="F564" s="75" t="n"/>
      <c r="G564" s="75" t="n"/>
      <c r="H564" s="75" t="n"/>
      <c r="I564" s="75" t="n"/>
      <c r="J564" s="75" t="n"/>
      <c r="K564" s="75" t="n"/>
      <c r="L564" s="75" t="n"/>
      <c r="M564" s="75" t="n"/>
      <c r="N564" s="75" t="n"/>
      <c r="O564" s="75" t="n"/>
      <c r="P564" s="75" t="n"/>
      <c r="Q564" s="75" t="n"/>
      <c r="R564" s="75" t="n"/>
      <c r="S564" s="75" t="n"/>
      <c r="T564" s="75" t="n"/>
      <c r="U564" s="75" t="n"/>
      <c r="V564" s="75" t="n"/>
      <c r="W564" s="75" t="n"/>
      <c r="X564" s="75" t="n"/>
      <c r="Y564" s="75" t="n"/>
      <c r="Z564" s="75" t="n"/>
      <c r="AA564" s="75" t="n"/>
      <c r="AB564" s="75" t="n"/>
      <c r="AC564" s="75" t="n"/>
      <c r="AD564" s="75" t="n"/>
      <c r="AE564" s="75" t="n"/>
      <c r="AF564" s="75" t="n"/>
      <c r="AG564" s="75" t="n"/>
      <c r="AH564" s="75" t="n"/>
      <c r="AI564" s="75" t="n"/>
      <c r="AJ564" s="75" t="n"/>
      <c r="AK564" s="75" t="n"/>
      <c r="AL564" s="75" t="n"/>
      <c r="AM564" s="75" t="n"/>
      <c r="AN564" s="75" t="n"/>
      <c r="AO564" s="75" t="n"/>
      <c r="AP564" s="75" t="n"/>
      <c r="AQ564" s="75" t="n"/>
      <c r="AR564" s="75" t="n"/>
      <c r="AS564" s="75" t="n"/>
      <c r="AT564" s="75" t="n"/>
      <c r="AU564" s="75" t="n"/>
      <c r="AV564" s="75" t="n"/>
      <c r="AW564" s="75" t="n"/>
      <c r="AX564" s="75" t="n"/>
      <c r="AY564" s="75" t="n"/>
      <c r="AZ564" s="75" t="n"/>
      <c r="BA564" s="75" t="n"/>
      <c r="BB564" s="75" t="n"/>
      <c r="BC564" s="75" t="n"/>
      <c r="BD564" s="75" t="n"/>
      <c r="BE564" s="75" t="n"/>
      <c r="BF564" s="75" t="n"/>
      <c r="BG564" s="75" t="n"/>
      <c r="BH564" s="75" t="n"/>
      <c r="BI564" s="75" t="n"/>
      <c r="BJ564" s="75" t="n"/>
      <c r="BK564" s="75" t="n"/>
      <c r="BL564" s="75" t="n"/>
      <c r="BM564" s="75" t="n"/>
      <c r="BN564" s="75" t="n"/>
      <c r="BO564" s="75" t="n"/>
      <c r="BP564" s="75" t="n"/>
      <c r="BQ564" s="75" t="n"/>
      <c r="BR564" s="75" t="n"/>
      <c r="BS564" s="75" t="n"/>
      <c r="BT564" s="75" t="n"/>
      <c r="BU564" s="75" t="n"/>
      <c r="BV564" s="75" t="n"/>
      <c r="BW564" s="75" t="n"/>
      <c r="BX564" s="75" t="n"/>
      <c r="BY564" s="75" t="n"/>
      <c r="BZ564" s="75" t="n"/>
      <c r="CA564" s="75" t="n"/>
      <c r="CB564" s="75" t="n"/>
      <c r="CC564" s="75" t="n"/>
      <c r="CD564" s="75" t="n"/>
      <c r="CE564" s="75" t="n"/>
      <c r="CF564" s="75" t="n"/>
      <c r="CG564" s="75" t="n"/>
      <c r="CH564" s="75" t="n"/>
      <c r="CI564" s="75" t="n"/>
      <c r="CJ564" s="75" t="n"/>
      <c r="CK564" s="75" t="n"/>
      <c r="CL564" s="75" t="n"/>
      <c r="CM564" s="75" t="n"/>
      <c r="CN564" s="75" t="n"/>
      <c r="CO564" s="75" t="n"/>
      <c r="CP564" s="75" t="n"/>
      <c r="CQ564" s="75" t="n"/>
      <c r="CR564" s="75" t="n"/>
      <c r="CS564" s="75" t="n"/>
      <c r="CT564" s="75" t="n"/>
      <c r="CU564" s="75" t="n"/>
      <c r="CV564" s="75" t="n"/>
      <c r="CW564" s="75" t="n"/>
      <c r="CX564" s="75" t="n"/>
      <c r="CY564" s="75" t="n"/>
      <c r="CZ564" s="75" t="n"/>
    </row>
    <row r="565">
      <c r="B565" s="134">
        <f>IF($A564="",0,COUNT($E565:$CZ565))</f>
        <v/>
      </c>
    </row>
    <row r="566">
      <c r="A566" s="5">
        <f>IF(MXAU!$C$79="","",MXAU!$C$79)</f>
        <v/>
      </c>
      <c r="B566" s="134">
        <f>IF($A566="",0,COUNT($E566:$CZ566))</f>
        <v/>
      </c>
      <c r="C566" s="135">
        <f>IF($A566="",0,IF($B566=0,0,MAX($E566:$CZ566)))</f>
        <v/>
      </c>
      <c r="D566" s="74">
        <f>BDS($A566,'Field Check'!$C$42,"headers=y","startcol=2","endcol=3","dir=h")</f>
        <v/>
      </c>
      <c r="E566" s="75" t="n"/>
      <c r="F566" s="75" t="n"/>
      <c r="G566" s="75" t="n"/>
      <c r="H566" s="75" t="n"/>
      <c r="I566" s="75" t="n"/>
      <c r="J566" s="75" t="n"/>
      <c r="K566" s="75" t="n"/>
      <c r="L566" s="75" t="n"/>
      <c r="M566" s="75" t="n"/>
      <c r="N566" s="75" t="n"/>
      <c r="O566" s="75" t="n"/>
      <c r="P566" s="75" t="n"/>
      <c r="Q566" s="75" t="n"/>
      <c r="R566" s="75" t="n"/>
      <c r="S566" s="75" t="n"/>
      <c r="T566" s="75" t="n"/>
      <c r="U566" s="75" t="n"/>
      <c r="V566" s="75" t="n"/>
      <c r="W566" s="75" t="n"/>
      <c r="X566" s="75" t="n"/>
      <c r="Y566" s="75" t="n"/>
      <c r="Z566" s="75" t="n"/>
      <c r="AA566" s="75" t="n"/>
      <c r="AB566" s="75" t="n"/>
      <c r="AC566" s="75" t="n"/>
      <c r="AD566" s="75" t="n"/>
      <c r="AE566" s="75" t="n"/>
      <c r="AF566" s="75" t="n"/>
      <c r="AG566" s="75" t="n"/>
      <c r="AH566" s="75" t="n"/>
      <c r="AI566" s="75" t="n"/>
      <c r="AJ566" s="75" t="n"/>
      <c r="AK566" s="75" t="n"/>
      <c r="AL566" s="75" t="n"/>
      <c r="AM566" s="75" t="n"/>
      <c r="AN566" s="75" t="n"/>
      <c r="AO566" s="75" t="n"/>
      <c r="AP566" s="75" t="n"/>
      <c r="AQ566" s="75" t="n"/>
      <c r="AR566" s="75" t="n"/>
      <c r="AS566" s="75" t="n"/>
      <c r="AT566" s="75" t="n"/>
      <c r="AU566" s="75" t="n"/>
      <c r="AV566" s="75" t="n"/>
      <c r="AW566" s="75" t="n"/>
      <c r="AX566" s="75" t="n"/>
      <c r="AY566" s="75" t="n"/>
      <c r="AZ566" s="75" t="n"/>
      <c r="BA566" s="75" t="n"/>
      <c r="BB566" s="75" t="n"/>
      <c r="BC566" s="75" t="n"/>
      <c r="BD566" s="75" t="n"/>
      <c r="BE566" s="75" t="n"/>
      <c r="BF566" s="75" t="n"/>
      <c r="BG566" s="75" t="n"/>
      <c r="BH566" s="75" t="n"/>
      <c r="BI566" s="75" t="n"/>
      <c r="BJ566" s="75" t="n"/>
      <c r="BK566" s="75" t="n"/>
      <c r="BL566" s="75" t="n"/>
      <c r="BM566" s="75" t="n"/>
      <c r="BN566" s="75" t="n"/>
      <c r="BO566" s="75" t="n"/>
      <c r="BP566" s="75" t="n"/>
      <c r="BQ566" s="75" t="n"/>
      <c r="BR566" s="75" t="n"/>
      <c r="BS566" s="75" t="n"/>
      <c r="BT566" s="75" t="n"/>
      <c r="BU566" s="75" t="n"/>
      <c r="BV566" s="75" t="n"/>
      <c r="BW566" s="75" t="n"/>
      <c r="BX566" s="75" t="n"/>
      <c r="BY566" s="75" t="n"/>
      <c r="BZ566" s="75" t="n"/>
      <c r="CA566" s="75" t="n"/>
      <c r="CB566" s="75" t="n"/>
      <c r="CC566" s="75" t="n"/>
      <c r="CD566" s="75" t="n"/>
      <c r="CE566" s="75" t="n"/>
      <c r="CF566" s="75" t="n"/>
      <c r="CG566" s="75" t="n"/>
      <c r="CH566" s="75" t="n"/>
      <c r="CI566" s="75" t="n"/>
      <c r="CJ566" s="75" t="n"/>
      <c r="CK566" s="75" t="n"/>
      <c r="CL566" s="75" t="n"/>
      <c r="CM566" s="75" t="n"/>
      <c r="CN566" s="75" t="n"/>
      <c r="CO566" s="75" t="n"/>
      <c r="CP566" s="75" t="n"/>
      <c r="CQ566" s="75" t="n"/>
      <c r="CR566" s="75" t="n"/>
      <c r="CS566" s="75" t="n"/>
      <c r="CT566" s="75" t="n"/>
      <c r="CU566" s="75" t="n"/>
      <c r="CV566" s="75" t="n"/>
      <c r="CW566" s="75" t="n"/>
      <c r="CX566" s="75" t="n"/>
      <c r="CY566" s="75" t="n"/>
      <c r="CZ566" s="75" t="n"/>
    </row>
    <row r="567">
      <c r="B567" s="134">
        <f>IF($A566="",0,COUNT($E567:$CZ567))</f>
        <v/>
      </c>
    </row>
    <row r="568">
      <c r="A568" s="5">
        <f>IF(MXAU!$C$80="","",MXAU!$C$80)</f>
        <v/>
      </c>
      <c r="B568" s="134">
        <f>IF($A568="",0,COUNT($E568:$CZ568))</f>
        <v/>
      </c>
      <c r="C568" s="135">
        <f>IF($A568="",0,IF($B568=0,0,MAX($E568:$CZ568)))</f>
        <v/>
      </c>
      <c r="D568" s="74">
        <f>BDS($A568,'Field Check'!$C$42,"headers=y","startcol=2","endcol=3","dir=h")</f>
        <v/>
      </c>
      <c r="E568" s="75" t="n"/>
      <c r="F568" s="75" t="n"/>
      <c r="G568" s="75" t="n"/>
      <c r="H568" s="75" t="n"/>
      <c r="I568" s="75" t="n"/>
      <c r="J568" s="75" t="n"/>
      <c r="K568" s="75" t="n"/>
      <c r="L568" s="75" t="n"/>
      <c r="M568" s="75" t="n"/>
      <c r="N568" s="75" t="n"/>
      <c r="O568" s="75" t="n"/>
      <c r="P568" s="75" t="n"/>
      <c r="Q568" s="75" t="n"/>
      <c r="R568" s="75" t="n"/>
      <c r="S568" s="75" t="n"/>
      <c r="T568" s="75" t="n"/>
      <c r="U568" s="75" t="n"/>
      <c r="V568" s="75" t="n"/>
      <c r="W568" s="75" t="n"/>
      <c r="X568" s="75" t="n"/>
      <c r="Y568" s="75" t="n"/>
      <c r="Z568" s="75" t="n"/>
      <c r="AA568" s="75" t="n"/>
      <c r="AB568" s="75" t="n"/>
      <c r="AC568" s="75" t="n"/>
      <c r="AD568" s="75" t="n"/>
      <c r="AE568" s="75" t="n"/>
      <c r="AF568" s="75" t="n"/>
      <c r="AG568" s="75" t="n"/>
      <c r="AH568" s="75" t="n"/>
      <c r="AI568" s="75" t="n"/>
      <c r="AJ568" s="75" t="n"/>
      <c r="AK568" s="75" t="n"/>
      <c r="AL568" s="75" t="n"/>
      <c r="AM568" s="75" t="n"/>
      <c r="AN568" s="75" t="n"/>
      <c r="AO568" s="75" t="n"/>
      <c r="AP568" s="75" t="n"/>
      <c r="AQ568" s="75" t="n"/>
      <c r="AR568" s="75" t="n"/>
      <c r="AS568" s="75" t="n"/>
      <c r="AT568" s="75" t="n"/>
      <c r="AU568" s="75" t="n"/>
      <c r="AV568" s="75" t="n"/>
      <c r="AW568" s="75" t="n"/>
      <c r="AX568" s="75" t="n"/>
      <c r="AY568" s="75" t="n"/>
      <c r="AZ568" s="75" t="n"/>
      <c r="BA568" s="75" t="n"/>
      <c r="BB568" s="75" t="n"/>
      <c r="BC568" s="75" t="n"/>
      <c r="BD568" s="75" t="n"/>
      <c r="BE568" s="75" t="n"/>
      <c r="BF568" s="75" t="n"/>
      <c r="BG568" s="75" t="n"/>
      <c r="BH568" s="75" t="n"/>
      <c r="BI568" s="75" t="n"/>
      <c r="BJ568" s="75" t="n"/>
      <c r="BK568" s="75" t="n"/>
      <c r="BL568" s="75" t="n"/>
      <c r="BM568" s="75" t="n"/>
      <c r="BN568" s="75" t="n"/>
      <c r="BO568" s="75" t="n"/>
      <c r="BP568" s="75" t="n"/>
      <c r="BQ568" s="75" t="n"/>
      <c r="BR568" s="75" t="n"/>
      <c r="BS568" s="75" t="n"/>
      <c r="BT568" s="75" t="n"/>
      <c r="BU568" s="75" t="n"/>
      <c r="BV568" s="75" t="n"/>
      <c r="BW568" s="75" t="n"/>
      <c r="BX568" s="75" t="n"/>
      <c r="BY568" s="75" t="n"/>
      <c r="BZ568" s="75" t="n"/>
      <c r="CA568" s="75" t="n"/>
      <c r="CB568" s="75" t="n"/>
      <c r="CC568" s="75" t="n"/>
      <c r="CD568" s="75" t="n"/>
      <c r="CE568" s="75" t="n"/>
      <c r="CF568" s="75" t="n"/>
      <c r="CG568" s="75" t="n"/>
      <c r="CH568" s="75" t="n"/>
      <c r="CI568" s="75" t="n"/>
      <c r="CJ568" s="75" t="n"/>
      <c r="CK568" s="75" t="n"/>
      <c r="CL568" s="75" t="n"/>
      <c r="CM568" s="75" t="n"/>
      <c r="CN568" s="75" t="n"/>
      <c r="CO568" s="75" t="n"/>
      <c r="CP568" s="75" t="n"/>
      <c r="CQ568" s="75" t="n"/>
      <c r="CR568" s="75" t="n"/>
      <c r="CS568" s="75" t="n"/>
      <c r="CT568" s="75" t="n"/>
      <c r="CU568" s="75" t="n"/>
      <c r="CV568" s="75" t="n"/>
      <c r="CW568" s="75" t="n"/>
      <c r="CX568" s="75" t="n"/>
      <c r="CY568" s="75" t="n"/>
      <c r="CZ568" s="75" t="n"/>
    </row>
    <row r="569">
      <c r="B569" s="134">
        <f>IF($A568="",0,COUNT($E569:$CZ569))</f>
        <v/>
      </c>
    </row>
    <row r="570">
      <c r="A570" s="5">
        <f>IF(MXAU!$C$81="","",MXAU!$C$81)</f>
        <v/>
      </c>
      <c r="B570" s="134">
        <f>IF($A570="",0,COUNT($E570:$CZ570))</f>
        <v/>
      </c>
      <c r="C570" s="135">
        <f>IF($A570="",0,IF($B570=0,0,MAX($E570:$CZ570)))</f>
        <v/>
      </c>
      <c r="D570" s="74">
        <f>BDS($A570,'Field Check'!$C$42,"headers=y","startcol=2","endcol=3","dir=h")</f>
        <v/>
      </c>
      <c r="E570" s="75" t="n"/>
      <c r="F570" s="75" t="n"/>
      <c r="G570" s="75" t="n"/>
      <c r="H570" s="75" t="n"/>
      <c r="I570" s="75" t="n"/>
      <c r="J570" s="75" t="n"/>
      <c r="K570" s="75" t="n"/>
      <c r="L570" s="75" t="n"/>
      <c r="M570" s="75" t="n"/>
      <c r="N570" s="75" t="n"/>
      <c r="O570" s="75" t="n"/>
      <c r="P570" s="75" t="n"/>
      <c r="Q570" s="75" t="n"/>
      <c r="R570" s="75" t="n"/>
      <c r="S570" s="75" t="n"/>
      <c r="T570" s="75" t="n"/>
      <c r="U570" s="75" t="n"/>
      <c r="V570" s="75" t="n"/>
      <c r="W570" s="75" t="n"/>
      <c r="X570" s="75" t="n"/>
      <c r="Y570" s="75" t="n"/>
      <c r="Z570" s="75" t="n"/>
      <c r="AA570" s="75" t="n"/>
      <c r="AB570" s="75" t="n"/>
      <c r="AC570" s="75" t="n"/>
      <c r="AD570" s="75" t="n"/>
      <c r="AE570" s="75" t="n"/>
      <c r="AF570" s="75" t="n"/>
      <c r="AG570" s="75" t="n"/>
      <c r="AH570" s="75" t="n"/>
      <c r="AI570" s="75" t="n"/>
      <c r="AJ570" s="75" t="n"/>
      <c r="AK570" s="75" t="n"/>
      <c r="AL570" s="75" t="n"/>
      <c r="AM570" s="75" t="n"/>
      <c r="AN570" s="75" t="n"/>
      <c r="AO570" s="75" t="n"/>
      <c r="AP570" s="75" t="n"/>
      <c r="AQ570" s="75" t="n"/>
      <c r="AR570" s="75" t="n"/>
      <c r="AS570" s="75" t="n"/>
      <c r="AT570" s="75" t="n"/>
      <c r="AU570" s="75" t="n"/>
      <c r="AV570" s="75" t="n"/>
      <c r="AW570" s="75" t="n"/>
      <c r="AX570" s="75" t="n"/>
      <c r="AY570" s="75" t="n"/>
      <c r="AZ570" s="75" t="n"/>
      <c r="BA570" s="75" t="n"/>
      <c r="BB570" s="75" t="n"/>
      <c r="BC570" s="75" t="n"/>
      <c r="BD570" s="75" t="n"/>
      <c r="BE570" s="75" t="n"/>
      <c r="BF570" s="75" t="n"/>
      <c r="BG570" s="75" t="n"/>
      <c r="BH570" s="75" t="n"/>
      <c r="BI570" s="75" t="n"/>
      <c r="BJ570" s="75" t="n"/>
      <c r="BK570" s="75" t="n"/>
      <c r="BL570" s="75" t="n"/>
      <c r="BM570" s="75" t="n"/>
      <c r="BN570" s="75" t="n"/>
      <c r="BO570" s="75" t="n"/>
      <c r="BP570" s="75" t="n"/>
      <c r="BQ570" s="75" t="n"/>
      <c r="BR570" s="75" t="n"/>
      <c r="BS570" s="75" t="n"/>
      <c r="BT570" s="75" t="n"/>
      <c r="BU570" s="75" t="n"/>
      <c r="BV570" s="75" t="n"/>
      <c r="BW570" s="75" t="n"/>
      <c r="BX570" s="75" t="n"/>
      <c r="BY570" s="75" t="n"/>
      <c r="BZ570" s="75" t="n"/>
      <c r="CA570" s="75" t="n"/>
      <c r="CB570" s="75" t="n"/>
      <c r="CC570" s="75" t="n"/>
      <c r="CD570" s="75" t="n"/>
      <c r="CE570" s="75" t="n"/>
      <c r="CF570" s="75" t="n"/>
      <c r="CG570" s="75" t="n"/>
      <c r="CH570" s="75" t="n"/>
      <c r="CI570" s="75" t="n"/>
      <c r="CJ570" s="75" t="n"/>
      <c r="CK570" s="75" t="n"/>
      <c r="CL570" s="75" t="n"/>
      <c r="CM570" s="75" t="n"/>
      <c r="CN570" s="75" t="n"/>
      <c r="CO570" s="75" t="n"/>
      <c r="CP570" s="75" t="n"/>
      <c r="CQ570" s="75" t="n"/>
      <c r="CR570" s="75" t="n"/>
      <c r="CS570" s="75" t="n"/>
      <c r="CT570" s="75" t="n"/>
      <c r="CU570" s="75" t="n"/>
      <c r="CV570" s="75" t="n"/>
      <c r="CW570" s="75" t="n"/>
      <c r="CX570" s="75" t="n"/>
      <c r="CY570" s="75" t="n"/>
      <c r="CZ570" s="75" t="n"/>
    </row>
    <row r="571">
      <c r="B571" s="134">
        <f>IF($A570="",0,COUNT($E571:$CZ571))</f>
        <v/>
      </c>
    </row>
    <row r="572">
      <c r="A572" s="5">
        <f>IF(MXAU!$C$82="","",MXAU!$C$82)</f>
        <v/>
      </c>
      <c r="B572" s="134">
        <f>IF($A572="",0,COUNT($E572:$CZ572))</f>
        <v/>
      </c>
      <c r="C572" s="135">
        <f>IF($A572="",0,IF($B572=0,0,MAX($E572:$CZ572)))</f>
        <v/>
      </c>
      <c r="D572" s="74">
        <f>BDS($A572,'Field Check'!$C$42,"headers=y","startcol=2","endcol=3","dir=h")</f>
        <v/>
      </c>
      <c r="E572" s="75" t="n"/>
      <c r="F572" s="75" t="n"/>
      <c r="G572" s="75" t="n"/>
      <c r="H572" s="75" t="n"/>
      <c r="I572" s="75" t="n"/>
      <c r="J572" s="75" t="n"/>
      <c r="K572" s="75" t="n"/>
      <c r="L572" s="75" t="n"/>
      <c r="M572" s="75" t="n"/>
      <c r="N572" s="75" t="n"/>
      <c r="O572" s="75" t="n"/>
      <c r="P572" s="75" t="n"/>
      <c r="Q572" s="75" t="n"/>
      <c r="R572" s="75" t="n"/>
      <c r="S572" s="75" t="n"/>
      <c r="T572" s="75" t="n"/>
      <c r="U572" s="75" t="n"/>
      <c r="V572" s="75" t="n"/>
      <c r="W572" s="75" t="n"/>
      <c r="X572" s="75" t="n"/>
      <c r="Y572" s="75" t="n"/>
      <c r="Z572" s="75" t="n"/>
      <c r="AA572" s="75" t="n"/>
      <c r="AB572" s="75" t="n"/>
      <c r="AC572" s="75" t="n"/>
      <c r="AD572" s="75" t="n"/>
      <c r="AE572" s="75" t="n"/>
      <c r="AF572" s="75" t="n"/>
      <c r="AG572" s="75" t="n"/>
      <c r="AH572" s="75" t="n"/>
      <c r="AI572" s="75" t="n"/>
      <c r="AJ572" s="75" t="n"/>
      <c r="AK572" s="75" t="n"/>
      <c r="AL572" s="75" t="n"/>
      <c r="AM572" s="75" t="n"/>
      <c r="AN572" s="75" t="n"/>
      <c r="AO572" s="75" t="n"/>
      <c r="AP572" s="75" t="n"/>
      <c r="AQ572" s="75" t="n"/>
      <c r="AR572" s="75" t="n"/>
      <c r="AS572" s="75" t="n"/>
      <c r="AT572" s="75" t="n"/>
      <c r="AU572" s="75" t="n"/>
      <c r="AV572" s="75" t="n"/>
      <c r="AW572" s="75" t="n"/>
      <c r="AX572" s="75" t="n"/>
      <c r="AY572" s="75" t="n"/>
      <c r="AZ572" s="75" t="n"/>
      <c r="BA572" s="75" t="n"/>
      <c r="BB572" s="75" t="n"/>
      <c r="BC572" s="75" t="n"/>
      <c r="BD572" s="75" t="n"/>
      <c r="BE572" s="75" t="n"/>
      <c r="BF572" s="75" t="n"/>
      <c r="BG572" s="75" t="n"/>
      <c r="BH572" s="75" t="n"/>
      <c r="BI572" s="75" t="n"/>
      <c r="BJ572" s="75" t="n"/>
      <c r="BK572" s="75" t="n"/>
      <c r="BL572" s="75" t="n"/>
      <c r="BM572" s="75" t="n"/>
      <c r="BN572" s="75" t="n"/>
      <c r="BO572" s="75" t="n"/>
      <c r="BP572" s="75" t="n"/>
      <c r="BQ572" s="75" t="n"/>
      <c r="BR572" s="75" t="n"/>
      <c r="BS572" s="75" t="n"/>
      <c r="BT572" s="75" t="n"/>
      <c r="BU572" s="75" t="n"/>
      <c r="BV572" s="75" t="n"/>
      <c r="BW572" s="75" t="n"/>
      <c r="BX572" s="75" t="n"/>
      <c r="BY572" s="75" t="n"/>
      <c r="BZ572" s="75" t="n"/>
      <c r="CA572" s="75" t="n"/>
      <c r="CB572" s="75" t="n"/>
      <c r="CC572" s="75" t="n"/>
      <c r="CD572" s="75" t="n"/>
      <c r="CE572" s="75" t="n"/>
      <c r="CF572" s="75" t="n"/>
      <c r="CG572" s="75" t="n"/>
      <c r="CH572" s="75" t="n"/>
      <c r="CI572" s="75" t="n"/>
      <c r="CJ572" s="75" t="n"/>
      <c r="CK572" s="75" t="n"/>
      <c r="CL572" s="75" t="n"/>
      <c r="CM572" s="75" t="n"/>
      <c r="CN572" s="75" t="n"/>
      <c r="CO572" s="75" t="n"/>
      <c r="CP572" s="75" t="n"/>
      <c r="CQ572" s="75" t="n"/>
      <c r="CR572" s="75" t="n"/>
      <c r="CS572" s="75" t="n"/>
      <c r="CT572" s="75" t="n"/>
      <c r="CU572" s="75" t="n"/>
      <c r="CV572" s="75" t="n"/>
      <c r="CW572" s="75" t="n"/>
      <c r="CX572" s="75" t="n"/>
      <c r="CY572" s="75" t="n"/>
      <c r="CZ572" s="75" t="n"/>
    </row>
    <row r="573">
      <c r="B573" s="134">
        <f>IF($A572="",0,COUNT($E573:$CZ573))</f>
        <v/>
      </c>
    </row>
    <row r="574">
      <c r="A574" s="5">
        <f>IF(MXAU!$C$83="","",MXAU!$C$83)</f>
        <v/>
      </c>
      <c r="B574" s="134">
        <f>IF($A574="",0,COUNT($E574:$CZ574))</f>
        <v/>
      </c>
      <c r="C574" s="135">
        <f>IF($A574="",0,IF($B574=0,0,MAX($E574:$CZ574)))</f>
        <v/>
      </c>
      <c r="D574" s="74">
        <f>BDS($A574,'Field Check'!$C$42,"headers=y","startcol=2","endcol=3","dir=h")</f>
        <v/>
      </c>
      <c r="E574" s="75" t="n"/>
      <c r="F574" s="75" t="n"/>
      <c r="G574" s="75" t="n"/>
      <c r="H574" s="75" t="n"/>
      <c r="I574" s="75" t="n"/>
      <c r="J574" s="75" t="n"/>
      <c r="K574" s="75" t="n"/>
      <c r="L574" s="75" t="n"/>
      <c r="M574" s="75" t="n"/>
      <c r="N574" s="75" t="n"/>
      <c r="O574" s="75" t="n"/>
      <c r="P574" s="75" t="n"/>
      <c r="Q574" s="75" t="n"/>
      <c r="R574" s="75" t="n"/>
      <c r="S574" s="75" t="n"/>
      <c r="T574" s="75" t="n"/>
      <c r="U574" s="75" t="n"/>
      <c r="V574" s="75" t="n"/>
      <c r="W574" s="75" t="n"/>
      <c r="X574" s="75" t="n"/>
      <c r="Y574" s="75" t="n"/>
      <c r="Z574" s="75" t="n"/>
      <c r="AA574" s="75" t="n"/>
      <c r="AB574" s="75" t="n"/>
      <c r="AC574" s="75" t="n"/>
      <c r="AD574" s="75" t="n"/>
      <c r="AE574" s="75" t="n"/>
      <c r="AF574" s="75" t="n"/>
      <c r="AG574" s="75" t="n"/>
      <c r="AH574" s="75" t="n"/>
      <c r="AI574" s="75" t="n"/>
      <c r="AJ574" s="75" t="n"/>
      <c r="AK574" s="75" t="n"/>
      <c r="AL574" s="75" t="n"/>
      <c r="AM574" s="75" t="n"/>
      <c r="AN574" s="75" t="n"/>
      <c r="AO574" s="75" t="n"/>
      <c r="AP574" s="75" t="n"/>
      <c r="AQ574" s="75" t="n"/>
      <c r="AR574" s="75" t="n"/>
      <c r="AS574" s="75" t="n"/>
      <c r="AT574" s="75" t="n"/>
      <c r="AU574" s="75" t="n"/>
      <c r="AV574" s="75" t="n"/>
      <c r="AW574" s="75" t="n"/>
      <c r="AX574" s="75" t="n"/>
      <c r="AY574" s="75" t="n"/>
      <c r="AZ574" s="75" t="n"/>
      <c r="BA574" s="75" t="n"/>
      <c r="BB574" s="75" t="n"/>
      <c r="BC574" s="75" t="n"/>
      <c r="BD574" s="75" t="n"/>
      <c r="BE574" s="75" t="n"/>
      <c r="BF574" s="75" t="n"/>
      <c r="BG574" s="75" t="n"/>
      <c r="BH574" s="75" t="n"/>
      <c r="BI574" s="75" t="n"/>
      <c r="BJ574" s="75" t="n"/>
      <c r="BK574" s="75" t="n"/>
      <c r="BL574" s="75" t="n"/>
      <c r="BM574" s="75" t="n"/>
      <c r="BN574" s="75" t="n"/>
      <c r="BO574" s="75" t="n"/>
      <c r="BP574" s="75" t="n"/>
      <c r="BQ574" s="75" t="n"/>
      <c r="BR574" s="75" t="n"/>
      <c r="BS574" s="75" t="n"/>
      <c r="BT574" s="75" t="n"/>
      <c r="BU574" s="75" t="n"/>
      <c r="BV574" s="75" t="n"/>
      <c r="BW574" s="75" t="n"/>
      <c r="BX574" s="75" t="n"/>
      <c r="BY574" s="75" t="n"/>
      <c r="BZ574" s="75" t="n"/>
      <c r="CA574" s="75" t="n"/>
      <c r="CB574" s="75" t="n"/>
      <c r="CC574" s="75" t="n"/>
      <c r="CD574" s="75" t="n"/>
      <c r="CE574" s="75" t="n"/>
      <c r="CF574" s="75" t="n"/>
      <c r="CG574" s="75" t="n"/>
      <c r="CH574" s="75" t="n"/>
      <c r="CI574" s="75" t="n"/>
      <c r="CJ574" s="75" t="n"/>
      <c r="CK574" s="75" t="n"/>
      <c r="CL574" s="75" t="n"/>
      <c r="CM574" s="75" t="n"/>
      <c r="CN574" s="75" t="n"/>
      <c r="CO574" s="75" t="n"/>
      <c r="CP574" s="75" t="n"/>
      <c r="CQ574" s="75" t="n"/>
      <c r="CR574" s="75" t="n"/>
      <c r="CS574" s="75" t="n"/>
      <c r="CT574" s="75" t="n"/>
      <c r="CU574" s="75" t="n"/>
      <c r="CV574" s="75" t="n"/>
      <c r="CW574" s="75" t="n"/>
      <c r="CX574" s="75" t="n"/>
      <c r="CY574" s="75" t="n"/>
      <c r="CZ574" s="75" t="n"/>
    </row>
    <row r="575">
      <c r="B575" s="134">
        <f>IF($A574="",0,COUNT($E575:$CZ575))</f>
        <v/>
      </c>
    </row>
    <row r="576">
      <c r="A576" s="5">
        <f>IF(MXAU!$C$84="","",MXAU!$C$84)</f>
        <v/>
      </c>
      <c r="B576" s="134">
        <f>IF($A576="",0,COUNT($E576:$CZ576))</f>
        <v/>
      </c>
      <c r="C576" s="135">
        <f>IF($A576="",0,IF($B576=0,0,MAX($E576:$CZ576)))</f>
        <v/>
      </c>
      <c r="D576" s="74">
        <f>BDS($A576,'Field Check'!$C$42,"headers=y","startcol=2","endcol=3","dir=h")</f>
        <v/>
      </c>
      <c r="E576" s="75" t="n"/>
      <c r="F576" s="75" t="n"/>
      <c r="G576" s="75" t="n"/>
      <c r="H576" s="75" t="n"/>
      <c r="I576" s="75" t="n"/>
      <c r="J576" s="75" t="n"/>
      <c r="K576" s="75" t="n"/>
      <c r="L576" s="75" t="n"/>
      <c r="M576" s="75" t="n"/>
      <c r="N576" s="75" t="n"/>
      <c r="O576" s="75" t="n"/>
      <c r="P576" s="75" t="n"/>
      <c r="Q576" s="75" t="n"/>
      <c r="R576" s="75" t="n"/>
      <c r="S576" s="75" t="n"/>
      <c r="T576" s="75" t="n"/>
      <c r="U576" s="75" t="n"/>
      <c r="V576" s="75" t="n"/>
      <c r="W576" s="75" t="n"/>
      <c r="X576" s="75" t="n"/>
      <c r="Y576" s="75" t="n"/>
      <c r="Z576" s="75" t="n"/>
      <c r="AA576" s="75" t="n"/>
      <c r="AB576" s="75" t="n"/>
      <c r="AC576" s="75" t="n"/>
      <c r="AD576" s="75" t="n"/>
      <c r="AE576" s="75" t="n"/>
      <c r="AF576" s="75" t="n"/>
      <c r="AG576" s="75" t="n"/>
      <c r="AH576" s="75" t="n"/>
      <c r="AI576" s="75" t="n"/>
      <c r="AJ576" s="75" t="n"/>
      <c r="AK576" s="75" t="n"/>
      <c r="AL576" s="75" t="n"/>
      <c r="AM576" s="75" t="n"/>
      <c r="AN576" s="75" t="n"/>
      <c r="AO576" s="75" t="n"/>
      <c r="AP576" s="75" t="n"/>
      <c r="AQ576" s="75" t="n"/>
      <c r="AR576" s="75" t="n"/>
      <c r="AS576" s="75" t="n"/>
      <c r="AT576" s="75" t="n"/>
      <c r="AU576" s="75" t="n"/>
      <c r="AV576" s="75" t="n"/>
      <c r="AW576" s="75" t="n"/>
      <c r="AX576" s="75" t="n"/>
      <c r="AY576" s="75" t="n"/>
      <c r="AZ576" s="75" t="n"/>
      <c r="BA576" s="75" t="n"/>
      <c r="BB576" s="75" t="n"/>
      <c r="BC576" s="75" t="n"/>
      <c r="BD576" s="75" t="n"/>
      <c r="BE576" s="75" t="n"/>
      <c r="BF576" s="75" t="n"/>
      <c r="BG576" s="75" t="n"/>
      <c r="BH576" s="75" t="n"/>
      <c r="BI576" s="75" t="n"/>
      <c r="BJ576" s="75" t="n"/>
      <c r="BK576" s="75" t="n"/>
      <c r="BL576" s="75" t="n"/>
      <c r="BM576" s="75" t="n"/>
      <c r="BN576" s="75" t="n"/>
      <c r="BO576" s="75" t="n"/>
      <c r="BP576" s="75" t="n"/>
      <c r="BQ576" s="75" t="n"/>
      <c r="BR576" s="75" t="n"/>
      <c r="BS576" s="75" t="n"/>
      <c r="BT576" s="75" t="n"/>
      <c r="BU576" s="75" t="n"/>
      <c r="BV576" s="75" t="n"/>
      <c r="BW576" s="75" t="n"/>
      <c r="BX576" s="75" t="n"/>
      <c r="BY576" s="75" t="n"/>
      <c r="BZ576" s="75" t="n"/>
      <c r="CA576" s="75" t="n"/>
      <c r="CB576" s="75" t="n"/>
      <c r="CC576" s="75" t="n"/>
      <c r="CD576" s="75" t="n"/>
      <c r="CE576" s="75" t="n"/>
      <c r="CF576" s="75" t="n"/>
      <c r="CG576" s="75" t="n"/>
      <c r="CH576" s="75" t="n"/>
      <c r="CI576" s="75" t="n"/>
      <c r="CJ576" s="75" t="n"/>
      <c r="CK576" s="75" t="n"/>
      <c r="CL576" s="75" t="n"/>
      <c r="CM576" s="75" t="n"/>
      <c r="CN576" s="75" t="n"/>
      <c r="CO576" s="75" t="n"/>
      <c r="CP576" s="75" t="n"/>
      <c r="CQ576" s="75" t="n"/>
      <c r="CR576" s="75" t="n"/>
      <c r="CS576" s="75" t="n"/>
      <c r="CT576" s="75" t="n"/>
      <c r="CU576" s="75" t="n"/>
      <c r="CV576" s="75" t="n"/>
      <c r="CW576" s="75" t="n"/>
      <c r="CX576" s="75" t="n"/>
      <c r="CY576" s="75" t="n"/>
      <c r="CZ576" s="75" t="n"/>
    </row>
    <row r="577">
      <c r="B577" s="134">
        <f>IF($A576="",0,COUNT($E577:$CZ577))</f>
        <v/>
      </c>
    </row>
    <row r="578">
      <c r="A578" s="5">
        <f>IF(MXAU!$C$85="","",MXAU!$C$85)</f>
        <v/>
      </c>
      <c r="B578" s="134">
        <f>IF($A578="",0,COUNT($E578:$CZ578))</f>
        <v/>
      </c>
      <c r="C578" s="135">
        <f>IF($A578="",0,IF($B578=0,0,MAX($E578:$CZ578)))</f>
        <v/>
      </c>
      <c r="D578" s="74">
        <f>BDS($A578,'Field Check'!$C$42,"headers=y","startcol=2","endcol=3","dir=h")</f>
        <v/>
      </c>
      <c r="E578" s="75" t="n"/>
      <c r="F578" s="75" t="n"/>
      <c r="G578" s="75" t="n"/>
      <c r="H578" s="75" t="n"/>
      <c r="I578" s="75" t="n"/>
      <c r="J578" s="75" t="n"/>
      <c r="K578" s="75" t="n"/>
      <c r="L578" s="75" t="n"/>
      <c r="M578" s="75" t="n"/>
      <c r="N578" s="75" t="n"/>
      <c r="O578" s="75" t="n"/>
      <c r="P578" s="75" t="n"/>
      <c r="Q578" s="75" t="n"/>
      <c r="R578" s="75" t="n"/>
      <c r="S578" s="75" t="n"/>
      <c r="T578" s="75" t="n"/>
      <c r="U578" s="75" t="n"/>
      <c r="V578" s="75" t="n"/>
      <c r="W578" s="75" t="n"/>
      <c r="X578" s="75" t="n"/>
      <c r="Y578" s="75" t="n"/>
      <c r="Z578" s="75" t="n"/>
      <c r="AA578" s="75" t="n"/>
      <c r="AB578" s="75" t="n"/>
      <c r="AC578" s="75" t="n"/>
      <c r="AD578" s="75" t="n"/>
      <c r="AE578" s="75" t="n"/>
      <c r="AF578" s="75" t="n"/>
      <c r="AG578" s="75" t="n"/>
      <c r="AH578" s="75" t="n"/>
      <c r="AI578" s="75" t="n"/>
      <c r="AJ578" s="75" t="n"/>
      <c r="AK578" s="75" t="n"/>
      <c r="AL578" s="75" t="n"/>
      <c r="AM578" s="75" t="n"/>
      <c r="AN578" s="75" t="n"/>
      <c r="AO578" s="75" t="n"/>
      <c r="AP578" s="75" t="n"/>
      <c r="AQ578" s="75" t="n"/>
      <c r="AR578" s="75" t="n"/>
      <c r="AS578" s="75" t="n"/>
      <c r="AT578" s="75" t="n"/>
      <c r="AU578" s="75" t="n"/>
      <c r="AV578" s="75" t="n"/>
      <c r="AW578" s="75" t="n"/>
      <c r="AX578" s="75" t="n"/>
      <c r="AY578" s="75" t="n"/>
      <c r="AZ578" s="75" t="n"/>
      <c r="BA578" s="75" t="n"/>
      <c r="BB578" s="75" t="n"/>
      <c r="BC578" s="75" t="n"/>
      <c r="BD578" s="75" t="n"/>
      <c r="BE578" s="75" t="n"/>
      <c r="BF578" s="75" t="n"/>
      <c r="BG578" s="75" t="n"/>
      <c r="BH578" s="75" t="n"/>
      <c r="BI578" s="75" t="n"/>
      <c r="BJ578" s="75" t="n"/>
      <c r="BK578" s="75" t="n"/>
      <c r="BL578" s="75" t="n"/>
      <c r="BM578" s="75" t="n"/>
      <c r="BN578" s="75" t="n"/>
      <c r="BO578" s="75" t="n"/>
      <c r="BP578" s="75" t="n"/>
      <c r="BQ578" s="75" t="n"/>
      <c r="BR578" s="75" t="n"/>
      <c r="BS578" s="75" t="n"/>
      <c r="BT578" s="75" t="n"/>
      <c r="BU578" s="75" t="n"/>
      <c r="BV578" s="75" t="n"/>
      <c r="BW578" s="75" t="n"/>
      <c r="BX578" s="75" t="n"/>
      <c r="BY578" s="75" t="n"/>
      <c r="BZ578" s="75" t="n"/>
      <c r="CA578" s="75" t="n"/>
      <c r="CB578" s="75" t="n"/>
      <c r="CC578" s="75" t="n"/>
      <c r="CD578" s="75" t="n"/>
      <c r="CE578" s="75" t="n"/>
      <c r="CF578" s="75" t="n"/>
      <c r="CG578" s="75" t="n"/>
      <c r="CH578" s="75" t="n"/>
      <c r="CI578" s="75" t="n"/>
      <c r="CJ578" s="75" t="n"/>
      <c r="CK578" s="75" t="n"/>
      <c r="CL578" s="75" t="n"/>
      <c r="CM578" s="75" t="n"/>
      <c r="CN578" s="75" t="n"/>
      <c r="CO578" s="75" t="n"/>
      <c r="CP578" s="75" t="n"/>
      <c r="CQ578" s="75" t="n"/>
      <c r="CR578" s="75" t="n"/>
      <c r="CS578" s="75" t="n"/>
      <c r="CT578" s="75" t="n"/>
      <c r="CU578" s="75" t="n"/>
      <c r="CV578" s="75" t="n"/>
      <c r="CW578" s="75" t="n"/>
      <c r="CX578" s="75" t="n"/>
      <c r="CY578" s="75" t="n"/>
      <c r="CZ578" s="75" t="n"/>
    </row>
    <row r="579">
      <c r="B579" s="134">
        <f>IF($A578="",0,COUNT($E579:$CZ579))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O309"/>
  <sheetViews>
    <sheetView workbookViewId="0">
      <pane xSplit="5" ySplit="15" topLeftCell="F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3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3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3" customWidth="1" min="39" max="39"/>
    <col width="10" customWidth="1" min="40" max="40"/>
    <col width="10" customWidth="1" min="41" max="41"/>
  </cols>
  <sheetData>
    <row r="2">
      <c r="B2" s="1" t="inlineStr">
        <is>
          <t>DIVIDEND ACCRUAL PER STOCK, PER CONTRACT</t>
        </is>
      </c>
    </row>
    <row r="3">
      <c r="B3" s="2" t="inlineStr">
        <is>
          <t>Gross cell = index shares x FX x window DPS / index divisor. Window DPS is Bloomberg's (Override tab matrix) unless the override switch is ON and you set your own for that stock + contract. Franked cell = gross x the stock's franked %.</t>
        </is>
      </c>
    </row>
    <row r="5">
      <c r="B5" s="3" t="inlineStr">
        <is>
          <t>CHECKS</t>
        </is>
      </c>
    </row>
    <row r="6">
      <c r="B6" s="5" t="inlineStr">
        <is>
          <t>AS51 members missing shares</t>
        </is>
      </c>
      <c r="C6" s="83">
        <f>SUMPRODUCT((AS51!$A$6:$A$275&lt;&gt;"")*(AS51!$B$6:$B$275=""))</f>
        <v/>
      </c>
      <c r="F6" s="2" t="inlineStr">
        <is>
          <t>Paste index shares into column B of the data tab. Anything counted here contributes nothing.</t>
        </is>
      </c>
    </row>
    <row r="7">
      <c r="B7" s="5" t="inlineStr">
        <is>
          <t>MXAU members missing shares</t>
        </is>
      </c>
      <c r="C7" s="83">
        <f>SUMPRODUCT((MXAU!$A$6:$A$175&lt;&gt;"")*(MXAU!$B$6:$B$175=""))</f>
        <v/>
      </c>
    </row>
    <row r="8">
      <c r="B8" s="5" t="inlineStr">
        <is>
          <t>Divisors entered (AS51 / MXAU)</t>
        </is>
      </c>
      <c r="C8" s="86">
        <f>IF(ISNUMBER(AS51!$B$3),"OK","MISSING")</f>
        <v/>
      </c>
      <c r="D8" s="86">
        <f>IF(ISNUMBER(MXAU!$B$3),"OK","MISSING")</f>
        <v/>
      </c>
      <c r="F8" s="2" t="inlineStr">
        <is>
          <t>B3 on each data tab. Without it every cell below is blank.</t>
        </is>
      </c>
    </row>
    <row r="9">
      <c r="B9" s="5" t="inlineStr">
        <is>
          <t>Payers declaring in another currency</t>
        </is>
      </c>
      <c r="C9" s="82">
        <f>SUMPRODUCT((AS51!$C$6:$C$275&lt;&gt;"")*(LEN(AS51!$P$6:$P$275)=3)*(AS51!$P$6:$P$275&lt;&gt;AS51!$D$2))+SUMPRODUCT((MXAU!$C$6:$C$175&lt;&gt;"")*(LEN(MXAU!$P$6:$P$175)=3)*(MXAU!$P$6:$P$175&lt;&gt;MXAU!$D$2))</f>
        <v/>
      </c>
      <c r="F9" s="2" t="inlineStr">
        <is>
          <t>Converted by the Dvd FX column - typically BHP and RIO (declare in USD).</t>
        </is>
      </c>
    </row>
    <row r="10">
      <c r="B10" s="5" t="inlineStr">
        <is>
          <t>Overrides</t>
        </is>
      </c>
      <c r="C10" s="86">
        <f>IF(Override!$C$4="ON","ON - "&amp;Override!$E$4&amp;" active","OFF")</f>
        <v/>
      </c>
    </row>
    <row r="11">
      <c r="B11" s="3" t="inlineStr">
        <is>
          <t>S&amp;P/ASX 200 (AS51)</t>
        </is>
      </c>
      <c r="F11" s="3" t="inlineStr">
        <is>
          <t>GROSS DIVIDEND (index pts)</t>
        </is>
      </c>
      <c r="W11" s="4" t="inlineStr">
        <is>
          <t>FRANKED PORTION (index pts)</t>
        </is>
      </c>
      <c r="AN11" s="3" t="inlineStr">
        <is>
          <t>SECTOR PICK</t>
        </is>
      </c>
    </row>
    <row r="12">
      <c r="B12" s="2" t="inlineStr">
        <is>
          <t>window start</t>
        </is>
      </c>
      <c r="F12" s="136">
        <f>IF(Expiries!$B16="","",Expiries!$J16)</f>
        <v/>
      </c>
      <c r="G12" s="136">
        <f>IF(Expiries!$B17="","",Expiries!$J17)</f>
        <v/>
      </c>
      <c r="H12" s="136">
        <f>IF(Expiries!$B18="","",Expiries!$J18)</f>
        <v/>
      </c>
      <c r="I12" s="136">
        <f>IF(Expiries!$B19="","",Expiries!$J19)</f>
        <v/>
      </c>
      <c r="J12" s="136">
        <f>IF(Expiries!$B20="","",Expiries!$J20)</f>
        <v/>
      </c>
      <c r="K12" s="136">
        <f>IF(Expiries!$B21="","",Expiries!$J21)</f>
        <v/>
      </c>
      <c r="L12" s="136">
        <f>IF(Expiries!$B22="","",Expiries!$J22)</f>
        <v/>
      </c>
      <c r="M12" s="136">
        <f>IF(Expiries!$B23="","",Expiries!$J23)</f>
        <v/>
      </c>
      <c r="N12" s="136">
        <f>IF(Expiries!$B24="","",Expiries!$J24)</f>
        <v/>
      </c>
      <c r="O12" s="136">
        <f>IF(Expiries!$B25="","",Expiries!$J25)</f>
        <v/>
      </c>
      <c r="P12" s="136">
        <f>IF(Expiries!$B26="","",Expiries!$J26)</f>
        <v/>
      </c>
      <c r="Q12" s="136">
        <f>IF(Expiries!$B27="","",Expiries!$J27)</f>
        <v/>
      </c>
      <c r="R12" s="136">
        <f>IF(Expiries!$B28="","",Expiries!$J28)</f>
        <v/>
      </c>
      <c r="S12" s="136">
        <f>IF(Expiries!$B29="","",Expiries!$J29)</f>
        <v/>
      </c>
      <c r="T12" s="136">
        <f>IF(Expiries!$B30="","",Expiries!$J30)</f>
        <v/>
      </c>
      <c r="U12" s="136">
        <f>IF(Expiries!$B31="","",Expiries!$J31)</f>
        <v/>
      </c>
      <c r="W12" s="136">
        <f>IF(Expiries!$B16="","",Expiries!$J16)</f>
        <v/>
      </c>
      <c r="X12" s="136">
        <f>IF(Expiries!$B17="","",Expiries!$J17)</f>
        <v/>
      </c>
      <c r="Y12" s="136">
        <f>IF(Expiries!$B18="","",Expiries!$J18)</f>
        <v/>
      </c>
      <c r="Z12" s="136">
        <f>IF(Expiries!$B19="","",Expiries!$J19)</f>
        <v/>
      </c>
      <c r="AA12" s="136">
        <f>IF(Expiries!$B20="","",Expiries!$J20)</f>
        <v/>
      </c>
      <c r="AB12" s="136">
        <f>IF(Expiries!$B21="","",Expiries!$J21)</f>
        <v/>
      </c>
      <c r="AC12" s="136">
        <f>IF(Expiries!$B22="","",Expiries!$J22)</f>
        <v/>
      </c>
      <c r="AD12" s="136">
        <f>IF(Expiries!$B23="","",Expiries!$J23)</f>
        <v/>
      </c>
      <c r="AE12" s="136">
        <f>IF(Expiries!$B24="","",Expiries!$J24)</f>
        <v/>
      </c>
      <c r="AF12" s="136">
        <f>IF(Expiries!$B25="","",Expiries!$J25)</f>
        <v/>
      </c>
      <c r="AG12" s="136">
        <f>IF(Expiries!$B26="","",Expiries!$J26)</f>
        <v/>
      </c>
      <c r="AH12" s="136">
        <f>IF(Expiries!$B27="","",Expiries!$J27)</f>
        <v/>
      </c>
      <c r="AI12" s="136">
        <f>IF(Expiries!$B28="","",Expiries!$J28)</f>
        <v/>
      </c>
      <c r="AJ12" s="136">
        <f>IF(Expiries!$B29="","",Expiries!$J29)</f>
        <v/>
      </c>
      <c r="AK12" s="136">
        <f>IF(Expiries!$B30="","",Expiries!$J30)</f>
        <v/>
      </c>
      <c r="AL12" s="136">
        <f>IF(Expiries!$B31="","",Expiries!$J31)</f>
        <v/>
      </c>
    </row>
    <row r="13">
      <c r="B13" s="3" t="inlineStr">
        <is>
          <t>expiry</t>
        </is>
      </c>
      <c r="F13" s="137">
        <f>IF(Expiries!$B16="","",Expiries!$F16)</f>
        <v/>
      </c>
      <c r="G13" s="137">
        <f>IF(Expiries!$B17="","",Expiries!$F17)</f>
        <v/>
      </c>
      <c r="H13" s="137">
        <f>IF(Expiries!$B18="","",Expiries!$F18)</f>
        <v/>
      </c>
      <c r="I13" s="137">
        <f>IF(Expiries!$B19="","",Expiries!$F19)</f>
        <v/>
      </c>
      <c r="J13" s="137">
        <f>IF(Expiries!$B20="","",Expiries!$F20)</f>
        <v/>
      </c>
      <c r="K13" s="137">
        <f>IF(Expiries!$B21="","",Expiries!$F21)</f>
        <v/>
      </c>
      <c r="L13" s="137">
        <f>IF(Expiries!$B22="","",Expiries!$F22)</f>
        <v/>
      </c>
      <c r="M13" s="137">
        <f>IF(Expiries!$B23="","",Expiries!$F23)</f>
        <v/>
      </c>
      <c r="N13" s="137">
        <f>IF(Expiries!$B24="","",Expiries!$F24)</f>
        <v/>
      </c>
      <c r="O13" s="137">
        <f>IF(Expiries!$B25="","",Expiries!$F25)</f>
        <v/>
      </c>
      <c r="P13" s="137">
        <f>IF(Expiries!$B26="","",Expiries!$F26)</f>
        <v/>
      </c>
      <c r="Q13" s="137">
        <f>IF(Expiries!$B27="","",Expiries!$F27)</f>
        <v/>
      </c>
      <c r="R13" s="137">
        <f>IF(Expiries!$B28="","",Expiries!$F28)</f>
        <v/>
      </c>
      <c r="S13" s="137">
        <f>IF(Expiries!$B29="","",Expiries!$F29)</f>
        <v/>
      </c>
      <c r="T13" s="137">
        <f>IF(Expiries!$B30="","",Expiries!$F30)</f>
        <v/>
      </c>
      <c r="U13" s="137">
        <f>IF(Expiries!$B31="","",Expiries!$F31)</f>
        <v/>
      </c>
      <c r="W13" s="137">
        <f>IF(Expiries!$B16="","",Expiries!$F16)</f>
        <v/>
      </c>
      <c r="X13" s="137">
        <f>IF(Expiries!$B17="","",Expiries!$F17)</f>
        <v/>
      </c>
      <c r="Y13" s="137">
        <f>IF(Expiries!$B18="","",Expiries!$F18)</f>
        <v/>
      </c>
      <c r="Z13" s="137">
        <f>IF(Expiries!$B19="","",Expiries!$F19)</f>
        <v/>
      </c>
      <c r="AA13" s="137">
        <f>IF(Expiries!$B20="","",Expiries!$F20)</f>
        <v/>
      </c>
      <c r="AB13" s="137">
        <f>IF(Expiries!$B21="","",Expiries!$F21)</f>
        <v/>
      </c>
      <c r="AC13" s="137">
        <f>IF(Expiries!$B22="","",Expiries!$F22)</f>
        <v/>
      </c>
      <c r="AD13" s="137">
        <f>IF(Expiries!$B23="","",Expiries!$F23)</f>
        <v/>
      </c>
      <c r="AE13" s="137">
        <f>IF(Expiries!$B24="","",Expiries!$F24)</f>
        <v/>
      </c>
      <c r="AF13" s="137">
        <f>IF(Expiries!$B25="","",Expiries!$F25)</f>
        <v/>
      </c>
      <c r="AG13" s="137">
        <f>IF(Expiries!$B26="","",Expiries!$F26)</f>
        <v/>
      </c>
      <c r="AH13" s="137">
        <f>IF(Expiries!$B27="","",Expiries!$F27)</f>
        <v/>
      </c>
      <c r="AI13" s="137">
        <f>IF(Expiries!$B28="","",Expiries!$F28)</f>
        <v/>
      </c>
      <c r="AJ13" s="137">
        <f>IF(Expiries!$B29="","",Expiries!$F29)</f>
        <v/>
      </c>
      <c r="AK13" s="137">
        <f>IF(Expiries!$B30="","",Expiries!$F30)</f>
        <v/>
      </c>
      <c r="AL13" s="137">
        <f>IF(Expiries!$B31="","",Expiries!$F31)</f>
        <v/>
      </c>
    </row>
    <row r="14">
      <c r="B14" s="2" t="inlineStr">
        <is>
          <t>covered?</t>
        </is>
      </c>
      <c r="F14" s="89">
        <f>IF(Expiries!$B16="","",Expiries!$L16)</f>
        <v/>
      </c>
      <c r="G14" s="89">
        <f>IF(Expiries!$B17="","",Expiries!$L17)</f>
        <v/>
      </c>
      <c r="H14" s="89">
        <f>IF(Expiries!$B18="","",Expiries!$L18)</f>
        <v/>
      </c>
      <c r="I14" s="89">
        <f>IF(Expiries!$B19="","",Expiries!$L19)</f>
        <v/>
      </c>
      <c r="J14" s="89">
        <f>IF(Expiries!$B20="","",Expiries!$L20)</f>
        <v/>
      </c>
      <c r="K14" s="89">
        <f>IF(Expiries!$B21="","",Expiries!$L21)</f>
        <v/>
      </c>
      <c r="L14" s="89">
        <f>IF(Expiries!$B22="","",Expiries!$L22)</f>
        <v/>
      </c>
      <c r="M14" s="89">
        <f>IF(Expiries!$B23="","",Expiries!$L23)</f>
        <v/>
      </c>
      <c r="N14" s="89">
        <f>IF(Expiries!$B24="","",Expiries!$L24)</f>
        <v/>
      </c>
      <c r="O14" s="89">
        <f>IF(Expiries!$B25="","",Expiries!$L25)</f>
        <v/>
      </c>
      <c r="P14" s="89">
        <f>IF(Expiries!$B26="","",Expiries!$L26)</f>
        <v/>
      </c>
      <c r="Q14" s="89">
        <f>IF(Expiries!$B27="","",Expiries!$L27)</f>
        <v/>
      </c>
      <c r="R14" s="89">
        <f>IF(Expiries!$B28="","",Expiries!$L28)</f>
        <v/>
      </c>
      <c r="S14" s="89">
        <f>IF(Expiries!$B29="","",Expiries!$L29)</f>
        <v/>
      </c>
      <c r="T14" s="89">
        <f>IF(Expiries!$B30="","",Expiries!$L30)</f>
        <v/>
      </c>
      <c r="U14" s="89">
        <f>IF(Expiries!$B31="","",Expiries!$L31)</f>
        <v/>
      </c>
      <c r="W14" s="89">
        <f>IF(Expiries!$B16="","",Expiries!$L16)</f>
        <v/>
      </c>
      <c r="X14" s="89">
        <f>IF(Expiries!$B17="","",Expiries!$L17)</f>
        <v/>
      </c>
      <c r="Y14" s="89">
        <f>IF(Expiries!$B18="","",Expiries!$L18)</f>
        <v/>
      </c>
      <c r="Z14" s="89">
        <f>IF(Expiries!$B19="","",Expiries!$L19)</f>
        <v/>
      </c>
      <c r="AA14" s="89">
        <f>IF(Expiries!$B20="","",Expiries!$L20)</f>
        <v/>
      </c>
      <c r="AB14" s="89">
        <f>IF(Expiries!$B21="","",Expiries!$L21)</f>
        <v/>
      </c>
      <c r="AC14" s="89">
        <f>IF(Expiries!$B22="","",Expiries!$L22)</f>
        <v/>
      </c>
      <c r="AD14" s="89">
        <f>IF(Expiries!$B23="","",Expiries!$L23)</f>
        <v/>
      </c>
      <c r="AE14" s="89">
        <f>IF(Expiries!$B24="","",Expiries!$L24)</f>
        <v/>
      </c>
      <c r="AF14" s="89">
        <f>IF(Expiries!$B25="","",Expiries!$L25)</f>
        <v/>
      </c>
      <c r="AG14" s="89">
        <f>IF(Expiries!$B26="","",Expiries!$L26)</f>
        <v/>
      </c>
      <c r="AH14" s="89">
        <f>IF(Expiries!$B27="","",Expiries!$L27)</f>
        <v/>
      </c>
      <c r="AI14" s="89">
        <f>IF(Expiries!$B28="","",Expiries!$L28)</f>
        <v/>
      </c>
      <c r="AJ14" s="89">
        <f>IF(Expiries!$B29="","",Expiries!$L29)</f>
        <v/>
      </c>
      <c r="AK14" s="89">
        <f>IF(Expiries!$B30="","",Expiries!$L30)</f>
        <v/>
      </c>
      <c r="AL14" s="89">
        <f>IF(Expiries!$B31="","",Expiries!$L31)</f>
        <v/>
      </c>
    </row>
    <row r="15">
      <c r="B15" s="54" t="inlineStr">
        <is>
          <t>Bloomberg Ticker</t>
        </is>
      </c>
      <c r="C15" s="54" t="inlineStr">
        <is>
          <t>Index
Shares</t>
        </is>
      </c>
      <c r="D15" s="54" t="inlineStr">
        <is>
          <t>Dvd FX</t>
        </is>
      </c>
      <c r="E15" s="54" t="inlineStr">
        <is>
          <t>Frank %</t>
        </is>
      </c>
      <c r="F15" s="54">
        <f>IF(Expiries!$B16="","",Expiries!$C16)</f>
        <v/>
      </c>
      <c r="G15" s="54">
        <f>IF(Expiries!$B17="","",Expiries!$C17)</f>
        <v/>
      </c>
      <c r="H15" s="54">
        <f>IF(Expiries!$B18="","",Expiries!$C18)</f>
        <v/>
      </c>
      <c r="I15" s="54">
        <f>IF(Expiries!$B19="","",Expiries!$C19)</f>
        <v/>
      </c>
      <c r="J15" s="54">
        <f>IF(Expiries!$B20="","",Expiries!$C20)</f>
        <v/>
      </c>
      <c r="K15" s="54">
        <f>IF(Expiries!$B21="","",Expiries!$C21)</f>
        <v/>
      </c>
      <c r="L15" s="54">
        <f>IF(Expiries!$B22="","",Expiries!$C22)</f>
        <v/>
      </c>
      <c r="M15" s="54">
        <f>IF(Expiries!$B23="","",Expiries!$C23)</f>
        <v/>
      </c>
      <c r="N15" s="54">
        <f>IF(Expiries!$B24="","",Expiries!$C24)</f>
        <v/>
      </c>
      <c r="O15" s="54">
        <f>IF(Expiries!$B25="","",Expiries!$C25)</f>
        <v/>
      </c>
      <c r="P15" s="54">
        <f>IF(Expiries!$B26="","",Expiries!$C26)</f>
        <v/>
      </c>
      <c r="Q15" s="54">
        <f>IF(Expiries!$B27="","",Expiries!$C27)</f>
        <v/>
      </c>
      <c r="R15" s="54">
        <f>IF(Expiries!$B28="","",Expiries!$C28)</f>
        <v/>
      </c>
      <c r="S15" s="54">
        <f>IF(Expiries!$B29="","",Expiries!$C29)</f>
        <v/>
      </c>
      <c r="T15" s="54">
        <f>IF(Expiries!$B30="","",Expiries!$C30)</f>
        <v/>
      </c>
      <c r="U15" s="54">
        <f>IF(Expiries!$B31="","",Expiries!$C31)</f>
        <v/>
      </c>
      <c r="W15" s="70">
        <f>IF(Expiries!$B16="","",Expiries!$C16)</f>
        <v/>
      </c>
      <c r="X15" s="70">
        <f>IF(Expiries!$B17="","",Expiries!$C17)</f>
        <v/>
      </c>
      <c r="Y15" s="70">
        <f>IF(Expiries!$B18="","",Expiries!$C18)</f>
        <v/>
      </c>
      <c r="Z15" s="70">
        <f>IF(Expiries!$B19="","",Expiries!$C19)</f>
        <v/>
      </c>
      <c r="AA15" s="70">
        <f>IF(Expiries!$B20="","",Expiries!$C20)</f>
        <v/>
      </c>
      <c r="AB15" s="70">
        <f>IF(Expiries!$B21="","",Expiries!$C21)</f>
        <v/>
      </c>
      <c r="AC15" s="70">
        <f>IF(Expiries!$B22="","",Expiries!$C22)</f>
        <v/>
      </c>
      <c r="AD15" s="70">
        <f>IF(Expiries!$B23="","",Expiries!$C23)</f>
        <v/>
      </c>
      <c r="AE15" s="70">
        <f>IF(Expiries!$B24="","",Expiries!$C24)</f>
        <v/>
      </c>
      <c r="AF15" s="70">
        <f>IF(Expiries!$B25="","",Expiries!$C25)</f>
        <v/>
      </c>
      <c r="AG15" s="70">
        <f>IF(Expiries!$B26="","",Expiries!$C26)</f>
        <v/>
      </c>
      <c r="AH15" s="70">
        <f>IF(Expiries!$B27="","",Expiries!$C27)</f>
        <v/>
      </c>
      <c r="AI15" s="70">
        <f>IF(Expiries!$B28="","",Expiries!$C28)</f>
        <v/>
      </c>
      <c r="AJ15" s="70">
        <f>IF(Expiries!$B29="","",Expiries!$C29)</f>
        <v/>
      </c>
      <c r="AK15" s="70">
        <f>IF(Expiries!$B30="","",Expiries!$C30)</f>
        <v/>
      </c>
      <c r="AL15" s="70">
        <f>IF(Expiries!$B31="","",Expiries!$C31)</f>
        <v/>
      </c>
      <c r="AN15" s="54" t="inlineStr">
        <is>
          <t>Cum gross
(pts)</t>
        </is>
      </c>
      <c r="AO15" s="70" t="inlineStr">
        <is>
          <t>Cum franked
(pts)</t>
        </is>
      </c>
    </row>
    <row r="16">
      <c r="B16" s="5">
        <f>IF(AS51!$C$6="","",AS51!$C$6)</f>
        <v/>
      </c>
      <c r="C16" s="90">
        <f>IF(AS51!$B$6="","",AS51!$B$6)</f>
        <v/>
      </c>
      <c r="D16" s="138">
        <f>IFERROR(AS51!$Q$6,1)</f>
        <v/>
      </c>
      <c r="E16" s="139">
        <f>IF($B16="","",IF(ISNUMBER(AS51!$I$6),AS51!$I$6,'Index Summary'!$C$7))</f>
        <v/>
      </c>
      <c r="F16" s="140">
        <f>IF(F$13="","",IF($B16="","",IFERROR($C16*$D16*IF((Override!$C$4="ON")*(COUNTIFS(Override!$B$11:$B$40,$B16,Override!$D$11:$D$40,1,Override!$E$11:$E$40,"&gt;=0")-COUNTIFS(Override!$B$11:$B$40,$B16,Override!$D$11:$D$40,1,Override!$E$11:$E$40,"&gt;=0",Override!$C$11:$C$40,"MXAU"))&gt;0,SUMIFS(Override!$E$11:$E$40,Override!$B$11:$B$40,$B16,Override!$D$11:$D$40,1)-SUMIFS(Override!$E$11:$E$40,Override!$B$11:$B$40,$B16,Override!$D$11:$D$40,1,Override!$C$11:$C$40,"MXAU"),Override!$C$51)/AS51!$B$3,"")))</f>
        <v/>
      </c>
      <c r="G16" s="140">
        <f>IF(G$13="","",IF($B16="","",IFERROR($C16*$D16*IF((Override!$C$4="ON")*(COUNTIFS(Override!$B$11:$B$40,$B16,Override!$D$11:$D$40,2,Override!$E$11:$E$40,"&gt;=0")-COUNTIFS(Override!$B$11:$B$40,$B16,Override!$D$11:$D$40,2,Override!$E$11:$E$40,"&gt;=0",Override!$C$11:$C$40,"MXAU"))&gt;0,SUMIFS(Override!$E$11:$E$40,Override!$B$11:$B$40,$B16,Override!$D$11:$D$40,2)-SUMIFS(Override!$E$11:$E$40,Override!$B$11:$B$40,$B16,Override!$D$11:$D$40,2,Override!$C$11:$C$40,"MXAU"),Override!$D$51)/AS51!$B$3,"")))</f>
        <v/>
      </c>
      <c r="H16" s="140">
        <f>IF(H$13="","",IF($B16="","",IFERROR($C16*$D16*IF((Override!$C$4="ON")*(COUNTIFS(Override!$B$11:$B$40,$B16,Override!$D$11:$D$40,3,Override!$E$11:$E$40,"&gt;=0")-COUNTIFS(Override!$B$11:$B$40,$B16,Override!$D$11:$D$40,3,Override!$E$11:$E$40,"&gt;=0",Override!$C$11:$C$40,"MXAU"))&gt;0,SUMIFS(Override!$E$11:$E$40,Override!$B$11:$B$40,$B16,Override!$D$11:$D$40,3)-SUMIFS(Override!$E$11:$E$40,Override!$B$11:$B$40,$B16,Override!$D$11:$D$40,3,Override!$C$11:$C$40,"MXAU"),Override!$E$51)/AS51!$B$3,"")))</f>
        <v/>
      </c>
      <c r="I16" s="140">
        <f>IF(I$13="","",IF($B16="","",IFERROR($C16*$D16*IF((Override!$C$4="ON")*(COUNTIFS(Override!$B$11:$B$40,$B16,Override!$D$11:$D$40,4,Override!$E$11:$E$40,"&gt;=0")-COUNTIFS(Override!$B$11:$B$40,$B16,Override!$D$11:$D$40,4,Override!$E$11:$E$40,"&gt;=0",Override!$C$11:$C$40,"MXAU"))&gt;0,SUMIFS(Override!$E$11:$E$40,Override!$B$11:$B$40,$B16,Override!$D$11:$D$40,4)-SUMIFS(Override!$E$11:$E$40,Override!$B$11:$B$40,$B16,Override!$D$11:$D$40,4,Override!$C$11:$C$40,"MXAU"),Override!$F$51)/AS51!$B$3,"")))</f>
        <v/>
      </c>
      <c r="J16" s="140">
        <f>IF(J$13="","",IF($B16="","",IFERROR($C16*$D16*IF((Override!$C$4="ON")*(COUNTIFS(Override!$B$11:$B$40,$B16,Override!$D$11:$D$40,5,Override!$E$11:$E$40,"&gt;=0")-COUNTIFS(Override!$B$11:$B$40,$B16,Override!$D$11:$D$40,5,Override!$E$11:$E$40,"&gt;=0",Override!$C$11:$C$40,"MXAU"))&gt;0,SUMIFS(Override!$E$11:$E$40,Override!$B$11:$B$40,$B16,Override!$D$11:$D$40,5)-SUMIFS(Override!$E$11:$E$40,Override!$B$11:$B$40,$B16,Override!$D$11:$D$40,5,Override!$C$11:$C$40,"MXAU"),Override!$G$51)/AS51!$B$3,"")))</f>
        <v/>
      </c>
      <c r="K16" s="140">
        <f>IF(K$13="","",IF($B16="","",IFERROR($C16*$D16*IF((Override!$C$4="ON")*(COUNTIFS(Override!$B$11:$B$40,$B16,Override!$D$11:$D$40,6,Override!$E$11:$E$40,"&gt;=0")-COUNTIFS(Override!$B$11:$B$40,$B16,Override!$D$11:$D$40,6,Override!$E$11:$E$40,"&gt;=0",Override!$C$11:$C$40,"MXAU"))&gt;0,SUMIFS(Override!$E$11:$E$40,Override!$B$11:$B$40,$B16,Override!$D$11:$D$40,6)-SUMIFS(Override!$E$11:$E$40,Override!$B$11:$B$40,$B16,Override!$D$11:$D$40,6,Override!$C$11:$C$40,"MXAU"),Override!$H$51)/AS51!$B$3,"")))</f>
        <v/>
      </c>
      <c r="L16" s="140">
        <f>IF(L$13="","",IF($B16="","",IFERROR($C16*$D16*IF((Override!$C$4="ON")*(COUNTIFS(Override!$B$11:$B$40,$B16,Override!$D$11:$D$40,7,Override!$E$11:$E$40,"&gt;=0")-COUNTIFS(Override!$B$11:$B$40,$B16,Override!$D$11:$D$40,7,Override!$E$11:$E$40,"&gt;=0",Override!$C$11:$C$40,"MXAU"))&gt;0,SUMIFS(Override!$E$11:$E$40,Override!$B$11:$B$40,$B16,Override!$D$11:$D$40,7)-SUMIFS(Override!$E$11:$E$40,Override!$B$11:$B$40,$B16,Override!$D$11:$D$40,7,Override!$C$11:$C$40,"MXAU"),Override!$I$51)/AS51!$B$3,"")))</f>
        <v/>
      </c>
      <c r="M16" s="140">
        <f>IF(M$13="","",IF($B16="","",IFERROR($C16*$D16*IF((Override!$C$4="ON")*(COUNTIFS(Override!$B$11:$B$40,$B16,Override!$D$11:$D$40,8,Override!$E$11:$E$40,"&gt;=0")-COUNTIFS(Override!$B$11:$B$40,$B16,Override!$D$11:$D$40,8,Override!$E$11:$E$40,"&gt;=0",Override!$C$11:$C$40,"MXAU"))&gt;0,SUMIFS(Override!$E$11:$E$40,Override!$B$11:$B$40,$B16,Override!$D$11:$D$40,8)-SUMIFS(Override!$E$11:$E$40,Override!$B$11:$B$40,$B16,Override!$D$11:$D$40,8,Override!$C$11:$C$40,"MXAU"),Override!$J$51)/AS51!$B$3,"")))</f>
        <v/>
      </c>
      <c r="N16" s="140">
        <f>IF(N$13="","",IF($B16="","",IFERROR($C16*$D16*IF((Override!$C$4="ON")*(COUNTIFS(Override!$B$11:$B$40,$B16,Override!$D$11:$D$40,9,Override!$E$11:$E$40,"&gt;=0")-COUNTIFS(Override!$B$11:$B$40,$B16,Override!$D$11:$D$40,9,Override!$E$11:$E$40,"&gt;=0",Override!$C$11:$C$40,"MXAU"))&gt;0,SUMIFS(Override!$E$11:$E$40,Override!$B$11:$B$40,$B16,Override!$D$11:$D$40,9)-SUMIFS(Override!$E$11:$E$40,Override!$B$11:$B$40,$B16,Override!$D$11:$D$40,9,Override!$C$11:$C$40,"MXAU"),Override!$K$51)/AS51!$B$3,"")))</f>
        <v/>
      </c>
      <c r="O16" s="140">
        <f>IF(O$13="","",IF($B16="","",IFERROR($C16*$D16*IF((Override!$C$4="ON")*(COUNTIFS(Override!$B$11:$B$40,$B16,Override!$D$11:$D$40,10,Override!$E$11:$E$40,"&gt;=0")-COUNTIFS(Override!$B$11:$B$40,$B16,Override!$D$11:$D$40,10,Override!$E$11:$E$40,"&gt;=0",Override!$C$11:$C$40,"MXAU"))&gt;0,SUMIFS(Override!$E$11:$E$40,Override!$B$11:$B$40,$B16,Override!$D$11:$D$40,10)-SUMIFS(Override!$E$11:$E$40,Override!$B$11:$B$40,$B16,Override!$D$11:$D$40,10,Override!$C$11:$C$40,"MXAU"),Override!$L$51)/AS51!$B$3,"")))</f>
        <v/>
      </c>
      <c r="P16" s="140">
        <f>IF(P$13="","",IF($B16="","",IFERROR($C16*$D16*IF((Override!$C$4="ON")*(COUNTIFS(Override!$B$11:$B$40,$B16,Override!$D$11:$D$40,11,Override!$E$11:$E$40,"&gt;=0")-COUNTIFS(Override!$B$11:$B$40,$B16,Override!$D$11:$D$40,11,Override!$E$11:$E$40,"&gt;=0",Override!$C$11:$C$40,"MXAU"))&gt;0,SUMIFS(Override!$E$11:$E$40,Override!$B$11:$B$40,$B16,Override!$D$11:$D$40,11)-SUMIFS(Override!$E$11:$E$40,Override!$B$11:$B$40,$B16,Override!$D$11:$D$40,11,Override!$C$11:$C$40,"MXAU"),Override!$M$51)/AS51!$B$3,"")))</f>
        <v/>
      </c>
      <c r="Q16" s="140">
        <f>IF(Q$13="","",IF($B16="","",IFERROR($C16*$D16*IF((Override!$C$4="ON")*(COUNTIFS(Override!$B$11:$B$40,$B16,Override!$D$11:$D$40,12,Override!$E$11:$E$40,"&gt;=0")-COUNTIFS(Override!$B$11:$B$40,$B16,Override!$D$11:$D$40,12,Override!$E$11:$E$40,"&gt;=0",Override!$C$11:$C$40,"MXAU"))&gt;0,SUMIFS(Override!$E$11:$E$40,Override!$B$11:$B$40,$B16,Override!$D$11:$D$40,12)-SUMIFS(Override!$E$11:$E$40,Override!$B$11:$B$40,$B16,Override!$D$11:$D$40,12,Override!$C$11:$C$40,"MXAU"),Override!$N$51)/AS51!$B$3,"")))</f>
        <v/>
      </c>
      <c r="R16" s="140">
        <f>IF(R$13="","",IF($B16="","",IFERROR($C16*$D16*IF((Override!$C$4="ON")*(COUNTIFS(Override!$B$11:$B$40,$B16,Override!$D$11:$D$40,13,Override!$E$11:$E$40,"&gt;=0")-COUNTIFS(Override!$B$11:$B$40,$B16,Override!$D$11:$D$40,13,Override!$E$11:$E$40,"&gt;=0",Override!$C$11:$C$40,"MXAU"))&gt;0,SUMIFS(Override!$E$11:$E$40,Override!$B$11:$B$40,$B16,Override!$D$11:$D$40,13)-SUMIFS(Override!$E$11:$E$40,Override!$B$11:$B$40,$B16,Override!$D$11:$D$40,13,Override!$C$11:$C$40,"MXAU"),Override!$O$51)/AS51!$B$3,"")))</f>
        <v/>
      </c>
      <c r="S16" s="140">
        <f>IF(S$13="","",IF($B16="","",IFERROR($C16*$D16*IF((Override!$C$4="ON")*(COUNTIFS(Override!$B$11:$B$40,$B16,Override!$D$11:$D$40,14,Override!$E$11:$E$40,"&gt;=0")-COUNTIFS(Override!$B$11:$B$40,$B16,Override!$D$11:$D$40,14,Override!$E$11:$E$40,"&gt;=0",Override!$C$11:$C$40,"MXAU"))&gt;0,SUMIFS(Override!$E$11:$E$40,Override!$B$11:$B$40,$B16,Override!$D$11:$D$40,14)-SUMIFS(Override!$E$11:$E$40,Override!$B$11:$B$40,$B16,Override!$D$11:$D$40,14,Override!$C$11:$C$40,"MXAU"),Override!$P$51)/AS51!$B$3,"")))</f>
        <v/>
      </c>
      <c r="T16" s="140">
        <f>IF(T$13="","",IF($B16="","",IFERROR($C16*$D16*IF((Override!$C$4="ON")*(COUNTIFS(Override!$B$11:$B$40,$B16,Override!$D$11:$D$40,15,Override!$E$11:$E$40,"&gt;=0")-COUNTIFS(Override!$B$11:$B$40,$B16,Override!$D$11:$D$40,15,Override!$E$11:$E$40,"&gt;=0",Override!$C$11:$C$40,"MXAU"))&gt;0,SUMIFS(Override!$E$11:$E$40,Override!$B$11:$B$40,$B16,Override!$D$11:$D$40,15)-SUMIFS(Override!$E$11:$E$40,Override!$B$11:$B$40,$B16,Override!$D$11:$D$40,15,Override!$C$11:$C$40,"MXAU"),Override!$Q$51)/AS51!$B$3,"")))</f>
        <v/>
      </c>
      <c r="U16" s="140">
        <f>IF(U$13="","",IF($B16="","",IFERROR($C16*$D16*IF((Override!$C$4="ON")*(COUNTIFS(Override!$B$11:$B$40,$B16,Override!$D$11:$D$40,16,Override!$E$11:$E$40,"&gt;=0")-COUNTIFS(Override!$B$11:$B$40,$B16,Override!$D$11:$D$40,16,Override!$E$11:$E$40,"&gt;=0",Override!$C$11:$C$40,"MXAU"))&gt;0,SUMIFS(Override!$E$11:$E$40,Override!$B$11:$B$40,$B16,Override!$D$11:$D$40,16)-SUMIFS(Override!$E$11:$E$40,Override!$B$11:$B$40,$B16,Override!$D$11:$D$40,16,Override!$C$11:$C$40,"MXAU"),Override!$R$51)/AS51!$B$3,"")))</f>
        <v/>
      </c>
      <c r="W16" s="140">
        <f>IF(W$13="","",IF($B16="","",IFERROR(F16*$E16/100,"")))</f>
        <v/>
      </c>
      <c r="X16" s="140">
        <f>IF(X$13="","",IF($B16="","",IFERROR(G16*$E16/100,"")))</f>
        <v/>
      </c>
      <c r="Y16" s="140">
        <f>IF(Y$13="","",IF($B16="","",IFERROR(H16*$E16/100,"")))</f>
        <v/>
      </c>
      <c r="Z16" s="140">
        <f>IF(Z$13="","",IF($B16="","",IFERROR(I16*$E16/100,"")))</f>
        <v/>
      </c>
      <c r="AA16" s="140">
        <f>IF(AA$13="","",IF($B16="","",IFERROR(J16*$E16/100,"")))</f>
        <v/>
      </c>
      <c r="AB16" s="140">
        <f>IF(AB$13="","",IF($B16="","",IFERROR(K16*$E16/100,"")))</f>
        <v/>
      </c>
      <c r="AC16" s="140">
        <f>IF(AC$13="","",IF($B16="","",IFERROR(L16*$E16/100,"")))</f>
        <v/>
      </c>
      <c r="AD16" s="140">
        <f>IF(AD$13="","",IF($B16="","",IFERROR(M16*$E16/100,"")))</f>
        <v/>
      </c>
      <c r="AE16" s="140">
        <f>IF(AE$13="","",IF($B16="","",IFERROR(N16*$E16/100,"")))</f>
        <v/>
      </c>
      <c r="AF16" s="140">
        <f>IF(AF$13="","",IF($B16="","",IFERROR(O16*$E16/100,"")))</f>
        <v/>
      </c>
      <c r="AG16" s="140">
        <f>IF(AG$13="","",IF($B16="","",IFERROR(P16*$E16/100,"")))</f>
        <v/>
      </c>
      <c r="AH16" s="140">
        <f>IF(AH$13="","",IF($B16="","",IFERROR(Q16*$E16/100,"")))</f>
        <v/>
      </c>
      <c r="AI16" s="140">
        <f>IF(AI$13="","",IF($B16="","",IFERROR(R16*$E16/100,"")))</f>
        <v/>
      </c>
      <c r="AJ16" s="140">
        <f>IF(AJ$13="","",IF($B16="","",IFERROR(S16*$E16/100,"")))</f>
        <v/>
      </c>
      <c r="AK16" s="140">
        <f>IF(AK$13="","",IF($B16="","",IFERROR(T16*$E16/100,"")))</f>
        <v/>
      </c>
      <c r="AL16" s="140">
        <f>IF(AL$13="","",IF($B16="","",IFERROR(U16*$E16/100,"")))</f>
        <v/>
      </c>
      <c r="AN16" s="140">
        <f>IF($B16="","",SUMIF($F$13:$U$13,"&lt;="&amp;Sector!$D$51,$F16:$U16))</f>
        <v/>
      </c>
      <c r="AO16" s="140">
        <f>IF($B16="","",SUMIF($W$13:$AL$13,"&lt;="&amp;Sector!$D$51,$W16:$AL16))</f>
        <v/>
      </c>
    </row>
    <row r="17">
      <c r="B17" s="5">
        <f>IF(AS51!$C$7="","",AS51!$C$7)</f>
        <v/>
      </c>
      <c r="C17" s="90">
        <f>IF(AS51!$B$7="","",AS51!$B$7)</f>
        <v/>
      </c>
      <c r="D17" s="138">
        <f>IFERROR(AS51!$Q$7,1)</f>
        <v/>
      </c>
      <c r="E17" s="139">
        <f>IF($B17="","",IF(ISNUMBER(AS51!$I$7),AS51!$I$7,'Index Summary'!$C$7))</f>
        <v/>
      </c>
      <c r="F17" s="140">
        <f>IF(F$13="","",IF($B17="","",IFERROR($C17*$D17*IF((Override!$C$4="ON")*(COUNTIFS(Override!$B$11:$B$40,$B17,Override!$D$11:$D$40,1,Override!$E$11:$E$40,"&gt;=0")-COUNTIFS(Override!$B$11:$B$40,$B17,Override!$D$11:$D$40,1,Override!$E$11:$E$40,"&gt;=0",Override!$C$11:$C$40,"MXAU"))&gt;0,SUMIFS(Override!$E$11:$E$40,Override!$B$11:$B$40,$B17,Override!$D$11:$D$40,1)-SUMIFS(Override!$E$11:$E$40,Override!$B$11:$B$40,$B17,Override!$D$11:$D$40,1,Override!$C$11:$C$40,"MXAU"),Override!$C$52)/AS51!$B$3,"")))</f>
        <v/>
      </c>
      <c r="G17" s="140">
        <f>IF(G$13="","",IF($B17="","",IFERROR($C17*$D17*IF((Override!$C$4="ON")*(COUNTIFS(Override!$B$11:$B$40,$B17,Override!$D$11:$D$40,2,Override!$E$11:$E$40,"&gt;=0")-COUNTIFS(Override!$B$11:$B$40,$B17,Override!$D$11:$D$40,2,Override!$E$11:$E$40,"&gt;=0",Override!$C$11:$C$40,"MXAU"))&gt;0,SUMIFS(Override!$E$11:$E$40,Override!$B$11:$B$40,$B17,Override!$D$11:$D$40,2)-SUMIFS(Override!$E$11:$E$40,Override!$B$11:$B$40,$B17,Override!$D$11:$D$40,2,Override!$C$11:$C$40,"MXAU"),Override!$D$52)/AS51!$B$3,"")))</f>
        <v/>
      </c>
      <c r="H17" s="140">
        <f>IF(H$13="","",IF($B17="","",IFERROR($C17*$D17*IF((Override!$C$4="ON")*(COUNTIFS(Override!$B$11:$B$40,$B17,Override!$D$11:$D$40,3,Override!$E$11:$E$40,"&gt;=0")-COUNTIFS(Override!$B$11:$B$40,$B17,Override!$D$11:$D$40,3,Override!$E$11:$E$40,"&gt;=0",Override!$C$11:$C$40,"MXAU"))&gt;0,SUMIFS(Override!$E$11:$E$40,Override!$B$11:$B$40,$B17,Override!$D$11:$D$40,3)-SUMIFS(Override!$E$11:$E$40,Override!$B$11:$B$40,$B17,Override!$D$11:$D$40,3,Override!$C$11:$C$40,"MXAU"),Override!$E$52)/AS51!$B$3,"")))</f>
        <v/>
      </c>
      <c r="I17" s="140">
        <f>IF(I$13="","",IF($B17="","",IFERROR($C17*$D17*IF((Override!$C$4="ON")*(COUNTIFS(Override!$B$11:$B$40,$B17,Override!$D$11:$D$40,4,Override!$E$11:$E$40,"&gt;=0")-COUNTIFS(Override!$B$11:$B$40,$B17,Override!$D$11:$D$40,4,Override!$E$11:$E$40,"&gt;=0",Override!$C$11:$C$40,"MXAU"))&gt;0,SUMIFS(Override!$E$11:$E$40,Override!$B$11:$B$40,$B17,Override!$D$11:$D$40,4)-SUMIFS(Override!$E$11:$E$40,Override!$B$11:$B$40,$B17,Override!$D$11:$D$40,4,Override!$C$11:$C$40,"MXAU"),Override!$F$52)/AS51!$B$3,"")))</f>
        <v/>
      </c>
      <c r="J17" s="140">
        <f>IF(J$13="","",IF($B17="","",IFERROR($C17*$D17*IF((Override!$C$4="ON")*(COUNTIFS(Override!$B$11:$B$40,$B17,Override!$D$11:$D$40,5,Override!$E$11:$E$40,"&gt;=0")-COUNTIFS(Override!$B$11:$B$40,$B17,Override!$D$11:$D$40,5,Override!$E$11:$E$40,"&gt;=0",Override!$C$11:$C$40,"MXAU"))&gt;0,SUMIFS(Override!$E$11:$E$40,Override!$B$11:$B$40,$B17,Override!$D$11:$D$40,5)-SUMIFS(Override!$E$11:$E$40,Override!$B$11:$B$40,$B17,Override!$D$11:$D$40,5,Override!$C$11:$C$40,"MXAU"),Override!$G$52)/AS51!$B$3,"")))</f>
        <v/>
      </c>
      <c r="K17" s="140">
        <f>IF(K$13="","",IF($B17="","",IFERROR($C17*$D17*IF((Override!$C$4="ON")*(COUNTIFS(Override!$B$11:$B$40,$B17,Override!$D$11:$D$40,6,Override!$E$11:$E$40,"&gt;=0")-COUNTIFS(Override!$B$11:$B$40,$B17,Override!$D$11:$D$40,6,Override!$E$11:$E$40,"&gt;=0",Override!$C$11:$C$40,"MXAU"))&gt;0,SUMIFS(Override!$E$11:$E$40,Override!$B$11:$B$40,$B17,Override!$D$11:$D$40,6)-SUMIFS(Override!$E$11:$E$40,Override!$B$11:$B$40,$B17,Override!$D$11:$D$40,6,Override!$C$11:$C$40,"MXAU"),Override!$H$52)/AS51!$B$3,"")))</f>
        <v/>
      </c>
      <c r="L17" s="140">
        <f>IF(L$13="","",IF($B17="","",IFERROR($C17*$D17*IF((Override!$C$4="ON")*(COUNTIFS(Override!$B$11:$B$40,$B17,Override!$D$11:$D$40,7,Override!$E$11:$E$40,"&gt;=0")-COUNTIFS(Override!$B$11:$B$40,$B17,Override!$D$11:$D$40,7,Override!$E$11:$E$40,"&gt;=0",Override!$C$11:$C$40,"MXAU"))&gt;0,SUMIFS(Override!$E$11:$E$40,Override!$B$11:$B$40,$B17,Override!$D$11:$D$40,7)-SUMIFS(Override!$E$11:$E$40,Override!$B$11:$B$40,$B17,Override!$D$11:$D$40,7,Override!$C$11:$C$40,"MXAU"),Override!$I$52)/AS51!$B$3,"")))</f>
        <v/>
      </c>
      <c r="M17" s="140">
        <f>IF(M$13="","",IF($B17="","",IFERROR($C17*$D17*IF((Override!$C$4="ON")*(COUNTIFS(Override!$B$11:$B$40,$B17,Override!$D$11:$D$40,8,Override!$E$11:$E$40,"&gt;=0")-COUNTIFS(Override!$B$11:$B$40,$B17,Override!$D$11:$D$40,8,Override!$E$11:$E$40,"&gt;=0",Override!$C$11:$C$40,"MXAU"))&gt;0,SUMIFS(Override!$E$11:$E$40,Override!$B$11:$B$40,$B17,Override!$D$11:$D$40,8)-SUMIFS(Override!$E$11:$E$40,Override!$B$11:$B$40,$B17,Override!$D$11:$D$40,8,Override!$C$11:$C$40,"MXAU"),Override!$J$52)/AS51!$B$3,"")))</f>
        <v/>
      </c>
      <c r="N17" s="140">
        <f>IF(N$13="","",IF($B17="","",IFERROR($C17*$D17*IF((Override!$C$4="ON")*(COUNTIFS(Override!$B$11:$B$40,$B17,Override!$D$11:$D$40,9,Override!$E$11:$E$40,"&gt;=0")-COUNTIFS(Override!$B$11:$B$40,$B17,Override!$D$11:$D$40,9,Override!$E$11:$E$40,"&gt;=0",Override!$C$11:$C$40,"MXAU"))&gt;0,SUMIFS(Override!$E$11:$E$40,Override!$B$11:$B$40,$B17,Override!$D$11:$D$40,9)-SUMIFS(Override!$E$11:$E$40,Override!$B$11:$B$40,$B17,Override!$D$11:$D$40,9,Override!$C$11:$C$40,"MXAU"),Override!$K$52)/AS51!$B$3,"")))</f>
        <v/>
      </c>
      <c r="O17" s="140">
        <f>IF(O$13="","",IF($B17="","",IFERROR($C17*$D17*IF((Override!$C$4="ON")*(COUNTIFS(Override!$B$11:$B$40,$B17,Override!$D$11:$D$40,10,Override!$E$11:$E$40,"&gt;=0")-COUNTIFS(Override!$B$11:$B$40,$B17,Override!$D$11:$D$40,10,Override!$E$11:$E$40,"&gt;=0",Override!$C$11:$C$40,"MXAU"))&gt;0,SUMIFS(Override!$E$11:$E$40,Override!$B$11:$B$40,$B17,Override!$D$11:$D$40,10)-SUMIFS(Override!$E$11:$E$40,Override!$B$11:$B$40,$B17,Override!$D$11:$D$40,10,Override!$C$11:$C$40,"MXAU"),Override!$L$52)/AS51!$B$3,"")))</f>
        <v/>
      </c>
      <c r="P17" s="140">
        <f>IF(P$13="","",IF($B17="","",IFERROR($C17*$D17*IF((Override!$C$4="ON")*(COUNTIFS(Override!$B$11:$B$40,$B17,Override!$D$11:$D$40,11,Override!$E$11:$E$40,"&gt;=0")-COUNTIFS(Override!$B$11:$B$40,$B17,Override!$D$11:$D$40,11,Override!$E$11:$E$40,"&gt;=0",Override!$C$11:$C$40,"MXAU"))&gt;0,SUMIFS(Override!$E$11:$E$40,Override!$B$11:$B$40,$B17,Override!$D$11:$D$40,11)-SUMIFS(Override!$E$11:$E$40,Override!$B$11:$B$40,$B17,Override!$D$11:$D$40,11,Override!$C$11:$C$40,"MXAU"),Override!$M$52)/AS51!$B$3,"")))</f>
        <v/>
      </c>
      <c r="Q17" s="140">
        <f>IF(Q$13="","",IF($B17="","",IFERROR($C17*$D17*IF((Override!$C$4="ON")*(COUNTIFS(Override!$B$11:$B$40,$B17,Override!$D$11:$D$40,12,Override!$E$11:$E$40,"&gt;=0")-COUNTIFS(Override!$B$11:$B$40,$B17,Override!$D$11:$D$40,12,Override!$E$11:$E$40,"&gt;=0",Override!$C$11:$C$40,"MXAU"))&gt;0,SUMIFS(Override!$E$11:$E$40,Override!$B$11:$B$40,$B17,Override!$D$11:$D$40,12)-SUMIFS(Override!$E$11:$E$40,Override!$B$11:$B$40,$B17,Override!$D$11:$D$40,12,Override!$C$11:$C$40,"MXAU"),Override!$N$52)/AS51!$B$3,"")))</f>
        <v/>
      </c>
      <c r="R17" s="140">
        <f>IF(R$13="","",IF($B17="","",IFERROR($C17*$D17*IF((Override!$C$4="ON")*(COUNTIFS(Override!$B$11:$B$40,$B17,Override!$D$11:$D$40,13,Override!$E$11:$E$40,"&gt;=0")-COUNTIFS(Override!$B$11:$B$40,$B17,Override!$D$11:$D$40,13,Override!$E$11:$E$40,"&gt;=0",Override!$C$11:$C$40,"MXAU"))&gt;0,SUMIFS(Override!$E$11:$E$40,Override!$B$11:$B$40,$B17,Override!$D$11:$D$40,13)-SUMIFS(Override!$E$11:$E$40,Override!$B$11:$B$40,$B17,Override!$D$11:$D$40,13,Override!$C$11:$C$40,"MXAU"),Override!$O$52)/AS51!$B$3,"")))</f>
        <v/>
      </c>
      <c r="S17" s="140">
        <f>IF(S$13="","",IF($B17="","",IFERROR($C17*$D17*IF((Override!$C$4="ON")*(COUNTIFS(Override!$B$11:$B$40,$B17,Override!$D$11:$D$40,14,Override!$E$11:$E$40,"&gt;=0")-COUNTIFS(Override!$B$11:$B$40,$B17,Override!$D$11:$D$40,14,Override!$E$11:$E$40,"&gt;=0",Override!$C$11:$C$40,"MXAU"))&gt;0,SUMIFS(Override!$E$11:$E$40,Override!$B$11:$B$40,$B17,Override!$D$11:$D$40,14)-SUMIFS(Override!$E$11:$E$40,Override!$B$11:$B$40,$B17,Override!$D$11:$D$40,14,Override!$C$11:$C$40,"MXAU"),Override!$P$52)/AS51!$B$3,"")))</f>
        <v/>
      </c>
      <c r="T17" s="140">
        <f>IF(T$13="","",IF($B17="","",IFERROR($C17*$D17*IF((Override!$C$4="ON")*(COUNTIFS(Override!$B$11:$B$40,$B17,Override!$D$11:$D$40,15,Override!$E$11:$E$40,"&gt;=0")-COUNTIFS(Override!$B$11:$B$40,$B17,Override!$D$11:$D$40,15,Override!$E$11:$E$40,"&gt;=0",Override!$C$11:$C$40,"MXAU"))&gt;0,SUMIFS(Override!$E$11:$E$40,Override!$B$11:$B$40,$B17,Override!$D$11:$D$40,15)-SUMIFS(Override!$E$11:$E$40,Override!$B$11:$B$40,$B17,Override!$D$11:$D$40,15,Override!$C$11:$C$40,"MXAU"),Override!$Q$52)/AS51!$B$3,"")))</f>
        <v/>
      </c>
      <c r="U17" s="140">
        <f>IF(U$13="","",IF($B17="","",IFERROR($C17*$D17*IF((Override!$C$4="ON")*(COUNTIFS(Override!$B$11:$B$40,$B17,Override!$D$11:$D$40,16,Override!$E$11:$E$40,"&gt;=0")-COUNTIFS(Override!$B$11:$B$40,$B17,Override!$D$11:$D$40,16,Override!$E$11:$E$40,"&gt;=0",Override!$C$11:$C$40,"MXAU"))&gt;0,SUMIFS(Override!$E$11:$E$40,Override!$B$11:$B$40,$B17,Override!$D$11:$D$40,16)-SUMIFS(Override!$E$11:$E$40,Override!$B$11:$B$40,$B17,Override!$D$11:$D$40,16,Override!$C$11:$C$40,"MXAU"),Override!$R$52)/AS51!$B$3,"")))</f>
        <v/>
      </c>
      <c r="W17" s="140">
        <f>IF(W$13="","",IF($B17="","",IFERROR(F17*$E17/100,"")))</f>
        <v/>
      </c>
      <c r="X17" s="140">
        <f>IF(X$13="","",IF($B17="","",IFERROR(G17*$E17/100,"")))</f>
        <v/>
      </c>
      <c r="Y17" s="140">
        <f>IF(Y$13="","",IF($B17="","",IFERROR(H17*$E17/100,"")))</f>
        <v/>
      </c>
      <c r="Z17" s="140">
        <f>IF(Z$13="","",IF($B17="","",IFERROR(I17*$E17/100,"")))</f>
        <v/>
      </c>
      <c r="AA17" s="140">
        <f>IF(AA$13="","",IF($B17="","",IFERROR(J17*$E17/100,"")))</f>
        <v/>
      </c>
      <c r="AB17" s="140">
        <f>IF(AB$13="","",IF($B17="","",IFERROR(K17*$E17/100,"")))</f>
        <v/>
      </c>
      <c r="AC17" s="140">
        <f>IF(AC$13="","",IF($B17="","",IFERROR(L17*$E17/100,"")))</f>
        <v/>
      </c>
      <c r="AD17" s="140">
        <f>IF(AD$13="","",IF($B17="","",IFERROR(M17*$E17/100,"")))</f>
        <v/>
      </c>
      <c r="AE17" s="140">
        <f>IF(AE$13="","",IF($B17="","",IFERROR(N17*$E17/100,"")))</f>
        <v/>
      </c>
      <c r="AF17" s="140">
        <f>IF(AF$13="","",IF($B17="","",IFERROR(O17*$E17/100,"")))</f>
        <v/>
      </c>
      <c r="AG17" s="140">
        <f>IF(AG$13="","",IF($B17="","",IFERROR(P17*$E17/100,"")))</f>
        <v/>
      </c>
      <c r="AH17" s="140">
        <f>IF(AH$13="","",IF($B17="","",IFERROR(Q17*$E17/100,"")))</f>
        <v/>
      </c>
      <c r="AI17" s="140">
        <f>IF(AI$13="","",IF($B17="","",IFERROR(R17*$E17/100,"")))</f>
        <v/>
      </c>
      <c r="AJ17" s="140">
        <f>IF(AJ$13="","",IF($B17="","",IFERROR(S17*$E17/100,"")))</f>
        <v/>
      </c>
      <c r="AK17" s="140">
        <f>IF(AK$13="","",IF($B17="","",IFERROR(T17*$E17/100,"")))</f>
        <v/>
      </c>
      <c r="AL17" s="140">
        <f>IF(AL$13="","",IF($B17="","",IFERROR(U17*$E17/100,"")))</f>
        <v/>
      </c>
      <c r="AN17" s="140">
        <f>IF($B17="","",SUMIF($F$13:$U$13,"&lt;="&amp;Sector!$D$51,$F17:$U17))</f>
        <v/>
      </c>
      <c r="AO17" s="140">
        <f>IF($B17="","",SUMIF($W$13:$AL$13,"&lt;="&amp;Sector!$D$51,$W17:$AL17))</f>
        <v/>
      </c>
    </row>
    <row r="18">
      <c r="B18" s="5">
        <f>IF(AS51!$C$8="","",AS51!$C$8)</f>
        <v/>
      </c>
      <c r="C18" s="90">
        <f>IF(AS51!$B$8="","",AS51!$B$8)</f>
        <v/>
      </c>
      <c r="D18" s="138">
        <f>IFERROR(AS51!$Q$8,1)</f>
        <v/>
      </c>
      <c r="E18" s="139">
        <f>IF($B18="","",IF(ISNUMBER(AS51!$I$8),AS51!$I$8,'Index Summary'!$C$7))</f>
        <v/>
      </c>
      <c r="F18" s="140">
        <f>IF(F$13="","",IF($B18="","",IFERROR($C18*$D18*IF((Override!$C$4="ON")*(COUNTIFS(Override!$B$11:$B$40,$B18,Override!$D$11:$D$40,1,Override!$E$11:$E$40,"&gt;=0")-COUNTIFS(Override!$B$11:$B$40,$B18,Override!$D$11:$D$40,1,Override!$E$11:$E$40,"&gt;=0",Override!$C$11:$C$40,"MXAU"))&gt;0,SUMIFS(Override!$E$11:$E$40,Override!$B$11:$B$40,$B18,Override!$D$11:$D$40,1)-SUMIFS(Override!$E$11:$E$40,Override!$B$11:$B$40,$B18,Override!$D$11:$D$40,1,Override!$C$11:$C$40,"MXAU"),Override!$C$53)/AS51!$B$3,"")))</f>
        <v/>
      </c>
      <c r="G18" s="140">
        <f>IF(G$13="","",IF($B18="","",IFERROR($C18*$D18*IF((Override!$C$4="ON")*(COUNTIFS(Override!$B$11:$B$40,$B18,Override!$D$11:$D$40,2,Override!$E$11:$E$40,"&gt;=0")-COUNTIFS(Override!$B$11:$B$40,$B18,Override!$D$11:$D$40,2,Override!$E$11:$E$40,"&gt;=0",Override!$C$11:$C$40,"MXAU"))&gt;0,SUMIFS(Override!$E$11:$E$40,Override!$B$11:$B$40,$B18,Override!$D$11:$D$40,2)-SUMIFS(Override!$E$11:$E$40,Override!$B$11:$B$40,$B18,Override!$D$11:$D$40,2,Override!$C$11:$C$40,"MXAU"),Override!$D$53)/AS51!$B$3,"")))</f>
        <v/>
      </c>
      <c r="H18" s="140">
        <f>IF(H$13="","",IF($B18="","",IFERROR($C18*$D18*IF((Override!$C$4="ON")*(COUNTIFS(Override!$B$11:$B$40,$B18,Override!$D$11:$D$40,3,Override!$E$11:$E$40,"&gt;=0")-COUNTIFS(Override!$B$11:$B$40,$B18,Override!$D$11:$D$40,3,Override!$E$11:$E$40,"&gt;=0",Override!$C$11:$C$40,"MXAU"))&gt;0,SUMIFS(Override!$E$11:$E$40,Override!$B$11:$B$40,$B18,Override!$D$11:$D$40,3)-SUMIFS(Override!$E$11:$E$40,Override!$B$11:$B$40,$B18,Override!$D$11:$D$40,3,Override!$C$11:$C$40,"MXAU"),Override!$E$53)/AS51!$B$3,"")))</f>
        <v/>
      </c>
      <c r="I18" s="140">
        <f>IF(I$13="","",IF($B18="","",IFERROR($C18*$D18*IF((Override!$C$4="ON")*(COUNTIFS(Override!$B$11:$B$40,$B18,Override!$D$11:$D$40,4,Override!$E$11:$E$40,"&gt;=0")-COUNTIFS(Override!$B$11:$B$40,$B18,Override!$D$11:$D$40,4,Override!$E$11:$E$40,"&gt;=0",Override!$C$11:$C$40,"MXAU"))&gt;0,SUMIFS(Override!$E$11:$E$40,Override!$B$11:$B$40,$B18,Override!$D$11:$D$40,4)-SUMIFS(Override!$E$11:$E$40,Override!$B$11:$B$40,$B18,Override!$D$11:$D$40,4,Override!$C$11:$C$40,"MXAU"),Override!$F$53)/AS51!$B$3,"")))</f>
        <v/>
      </c>
      <c r="J18" s="140">
        <f>IF(J$13="","",IF($B18="","",IFERROR($C18*$D18*IF((Override!$C$4="ON")*(COUNTIFS(Override!$B$11:$B$40,$B18,Override!$D$11:$D$40,5,Override!$E$11:$E$40,"&gt;=0")-COUNTIFS(Override!$B$11:$B$40,$B18,Override!$D$11:$D$40,5,Override!$E$11:$E$40,"&gt;=0",Override!$C$11:$C$40,"MXAU"))&gt;0,SUMIFS(Override!$E$11:$E$40,Override!$B$11:$B$40,$B18,Override!$D$11:$D$40,5)-SUMIFS(Override!$E$11:$E$40,Override!$B$11:$B$40,$B18,Override!$D$11:$D$40,5,Override!$C$11:$C$40,"MXAU"),Override!$G$53)/AS51!$B$3,"")))</f>
        <v/>
      </c>
      <c r="K18" s="140">
        <f>IF(K$13="","",IF($B18="","",IFERROR($C18*$D18*IF((Override!$C$4="ON")*(COUNTIFS(Override!$B$11:$B$40,$B18,Override!$D$11:$D$40,6,Override!$E$11:$E$40,"&gt;=0")-COUNTIFS(Override!$B$11:$B$40,$B18,Override!$D$11:$D$40,6,Override!$E$11:$E$40,"&gt;=0",Override!$C$11:$C$40,"MXAU"))&gt;0,SUMIFS(Override!$E$11:$E$40,Override!$B$11:$B$40,$B18,Override!$D$11:$D$40,6)-SUMIFS(Override!$E$11:$E$40,Override!$B$11:$B$40,$B18,Override!$D$11:$D$40,6,Override!$C$11:$C$40,"MXAU"),Override!$H$53)/AS51!$B$3,"")))</f>
        <v/>
      </c>
      <c r="L18" s="140">
        <f>IF(L$13="","",IF($B18="","",IFERROR($C18*$D18*IF((Override!$C$4="ON")*(COUNTIFS(Override!$B$11:$B$40,$B18,Override!$D$11:$D$40,7,Override!$E$11:$E$40,"&gt;=0")-COUNTIFS(Override!$B$11:$B$40,$B18,Override!$D$11:$D$40,7,Override!$E$11:$E$40,"&gt;=0",Override!$C$11:$C$40,"MXAU"))&gt;0,SUMIFS(Override!$E$11:$E$40,Override!$B$11:$B$40,$B18,Override!$D$11:$D$40,7)-SUMIFS(Override!$E$11:$E$40,Override!$B$11:$B$40,$B18,Override!$D$11:$D$40,7,Override!$C$11:$C$40,"MXAU"),Override!$I$53)/AS51!$B$3,"")))</f>
        <v/>
      </c>
      <c r="M18" s="140">
        <f>IF(M$13="","",IF($B18="","",IFERROR($C18*$D18*IF((Override!$C$4="ON")*(COUNTIFS(Override!$B$11:$B$40,$B18,Override!$D$11:$D$40,8,Override!$E$11:$E$40,"&gt;=0")-COUNTIFS(Override!$B$11:$B$40,$B18,Override!$D$11:$D$40,8,Override!$E$11:$E$40,"&gt;=0",Override!$C$11:$C$40,"MXAU"))&gt;0,SUMIFS(Override!$E$11:$E$40,Override!$B$11:$B$40,$B18,Override!$D$11:$D$40,8)-SUMIFS(Override!$E$11:$E$40,Override!$B$11:$B$40,$B18,Override!$D$11:$D$40,8,Override!$C$11:$C$40,"MXAU"),Override!$J$53)/AS51!$B$3,"")))</f>
        <v/>
      </c>
      <c r="N18" s="140">
        <f>IF(N$13="","",IF($B18="","",IFERROR($C18*$D18*IF((Override!$C$4="ON")*(COUNTIFS(Override!$B$11:$B$40,$B18,Override!$D$11:$D$40,9,Override!$E$11:$E$40,"&gt;=0")-COUNTIFS(Override!$B$11:$B$40,$B18,Override!$D$11:$D$40,9,Override!$E$11:$E$40,"&gt;=0",Override!$C$11:$C$40,"MXAU"))&gt;0,SUMIFS(Override!$E$11:$E$40,Override!$B$11:$B$40,$B18,Override!$D$11:$D$40,9)-SUMIFS(Override!$E$11:$E$40,Override!$B$11:$B$40,$B18,Override!$D$11:$D$40,9,Override!$C$11:$C$40,"MXAU"),Override!$K$53)/AS51!$B$3,"")))</f>
        <v/>
      </c>
      <c r="O18" s="140">
        <f>IF(O$13="","",IF($B18="","",IFERROR($C18*$D18*IF((Override!$C$4="ON")*(COUNTIFS(Override!$B$11:$B$40,$B18,Override!$D$11:$D$40,10,Override!$E$11:$E$40,"&gt;=0")-COUNTIFS(Override!$B$11:$B$40,$B18,Override!$D$11:$D$40,10,Override!$E$11:$E$40,"&gt;=0",Override!$C$11:$C$40,"MXAU"))&gt;0,SUMIFS(Override!$E$11:$E$40,Override!$B$11:$B$40,$B18,Override!$D$11:$D$40,10)-SUMIFS(Override!$E$11:$E$40,Override!$B$11:$B$40,$B18,Override!$D$11:$D$40,10,Override!$C$11:$C$40,"MXAU"),Override!$L$53)/AS51!$B$3,"")))</f>
        <v/>
      </c>
      <c r="P18" s="140">
        <f>IF(P$13="","",IF($B18="","",IFERROR($C18*$D18*IF((Override!$C$4="ON")*(COUNTIFS(Override!$B$11:$B$40,$B18,Override!$D$11:$D$40,11,Override!$E$11:$E$40,"&gt;=0")-COUNTIFS(Override!$B$11:$B$40,$B18,Override!$D$11:$D$40,11,Override!$E$11:$E$40,"&gt;=0",Override!$C$11:$C$40,"MXAU"))&gt;0,SUMIFS(Override!$E$11:$E$40,Override!$B$11:$B$40,$B18,Override!$D$11:$D$40,11)-SUMIFS(Override!$E$11:$E$40,Override!$B$11:$B$40,$B18,Override!$D$11:$D$40,11,Override!$C$11:$C$40,"MXAU"),Override!$M$53)/AS51!$B$3,"")))</f>
        <v/>
      </c>
      <c r="Q18" s="140">
        <f>IF(Q$13="","",IF($B18="","",IFERROR($C18*$D18*IF((Override!$C$4="ON")*(COUNTIFS(Override!$B$11:$B$40,$B18,Override!$D$11:$D$40,12,Override!$E$11:$E$40,"&gt;=0")-COUNTIFS(Override!$B$11:$B$40,$B18,Override!$D$11:$D$40,12,Override!$E$11:$E$40,"&gt;=0",Override!$C$11:$C$40,"MXAU"))&gt;0,SUMIFS(Override!$E$11:$E$40,Override!$B$11:$B$40,$B18,Override!$D$11:$D$40,12)-SUMIFS(Override!$E$11:$E$40,Override!$B$11:$B$40,$B18,Override!$D$11:$D$40,12,Override!$C$11:$C$40,"MXAU"),Override!$N$53)/AS51!$B$3,"")))</f>
        <v/>
      </c>
      <c r="R18" s="140">
        <f>IF(R$13="","",IF($B18="","",IFERROR($C18*$D18*IF((Override!$C$4="ON")*(COUNTIFS(Override!$B$11:$B$40,$B18,Override!$D$11:$D$40,13,Override!$E$11:$E$40,"&gt;=0")-COUNTIFS(Override!$B$11:$B$40,$B18,Override!$D$11:$D$40,13,Override!$E$11:$E$40,"&gt;=0",Override!$C$11:$C$40,"MXAU"))&gt;0,SUMIFS(Override!$E$11:$E$40,Override!$B$11:$B$40,$B18,Override!$D$11:$D$40,13)-SUMIFS(Override!$E$11:$E$40,Override!$B$11:$B$40,$B18,Override!$D$11:$D$40,13,Override!$C$11:$C$40,"MXAU"),Override!$O$53)/AS51!$B$3,"")))</f>
        <v/>
      </c>
      <c r="S18" s="140">
        <f>IF(S$13="","",IF($B18="","",IFERROR($C18*$D18*IF((Override!$C$4="ON")*(COUNTIFS(Override!$B$11:$B$40,$B18,Override!$D$11:$D$40,14,Override!$E$11:$E$40,"&gt;=0")-COUNTIFS(Override!$B$11:$B$40,$B18,Override!$D$11:$D$40,14,Override!$E$11:$E$40,"&gt;=0",Override!$C$11:$C$40,"MXAU"))&gt;0,SUMIFS(Override!$E$11:$E$40,Override!$B$11:$B$40,$B18,Override!$D$11:$D$40,14)-SUMIFS(Override!$E$11:$E$40,Override!$B$11:$B$40,$B18,Override!$D$11:$D$40,14,Override!$C$11:$C$40,"MXAU"),Override!$P$53)/AS51!$B$3,"")))</f>
        <v/>
      </c>
      <c r="T18" s="140">
        <f>IF(T$13="","",IF($B18="","",IFERROR($C18*$D18*IF((Override!$C$4="ON")*(COUNTIFS(Override!$B$11:$B$40,$B18,Override!$D$11:$D$40,15,Override!$E$11:$E$40,"&gt;=0")-COUNTIFS(Override!$B$11:$B$40,$B18,Override!$D$11:$D$40,15,Override!$E$11:$E$40,"&gt;=0",Override!$C$11:$C$40,"MXAU"))&gt;0,SUMIFS(Override!$E$11:$E$40,Override!$B$11:$B$40,$B18,Override!$D$11:$D$40,15)-SUMIFS(Override!$E$11:$E$40,Override!$B$11:$B$40,$B18,Override!$D$11:$D$40,15,Override!$C$11:$C$40,"MXAU"),Override!$Q$53)/AS51!$B$3,"")))</f>
        <v/>
      </c>
      <c r="U18" s="140">
        <f>IF(U$13="","",IF($B18="","",IFERROR($C18*$D18*IF((Override!$C$4="ON")*(COUNTIFS(Override!$B$11:$B$40,$B18,Override!$D$11:$D$40,16,Override!$E$11:$E$40,"&gt;=0")-COUNTIFS(Override!$B$11:$B$40,$B18,Override!$D$11:$D$40,16,Override!$E$11:$E$40,"&gt;=0",Override!$C$11:$C$40,"MXAU"))&gt;0,SUMIFS(Override!$E$11:$E$40,Override!$B$11:$B$40,$B18,Override!$D$11:$D$40,16)-SUMIFS(Override!$E$11:$E$40,Override!$B$11:$B$40,$B18,Override!$D$11:$D$40,16,Override!$C$11:$C$40,"MXAU"),Override!$R$53)/AS51!$B$3,"")))</f>
        <v/>
      </c>
      <c r="W18" s="140">
        <f>IF(W$13="","",IF($B18="","",IFERROR(F18*$E18/100,"")))</f>
        <v/>
      </c>
      <c r="X18" s="140">
        <f>IF(X$13="","",IF($B18="","",IFERROR(G18*$E18/100,"")))</f>
        <v/>
      </c>
      <c r="Y18" s="140">
        <f>IF(Y$13="","",IF($B18="","",IFERROR(H18*$E18/100,"")))</f>
        <v/>
      </c>
      <c r="Z18" s="140">
        <f>IF(Z$13="","",IF($B18="","",IFERROR(I18*$E18/100,"")))</f>
        <v/>
      </c>
      <c r="AA18" s="140">
        <f>IF(AA$13="","",IF($B18="","",IFERROR(J18*$E18/100,"")))</f>
        <v/>
      </c>
      <c r="AB18" s="140">
        <f>IF(AB$13="","",IF($B18="","",IFERROR(K18*$E18/100,"")))</f>
        <v/>
      </c>
      <c r="AC18" s="140">
        <f>IF(AC$13="","",IF($B18="","",IFERROR(L18*$E18/100,"")))</f>
        <v/>
      </c>
      <c r="AD18" s="140">
        <f>IF(AD$13="","",IF($B18="","",IFERROR(M18*$E18/100,"")))</f>
        <v/>
      </c>
      <c r="AE18" s="140">
        <f>IF(AE$13="","",IF($B18="","",IFERROR(N18*$E18/100,"")))</f>
        <v/>
      </c>
      <c r="AF18" s="140">
        <f>IF(AF$13="","",IF($B18="","",IFERROR(O18*$E18/100,"")))</f>
        <v/>
      </c>
      <c r="AG18" s="140">
        <f>IF(AG$13="","",IF($B18="","",IFERROR(P18*$E18/100,"")))</f>
        <v/>
      </c>
      <c r="AH18" s="140">
        <f>IF(AH$13="","",IF($B18="","",IFERROR(Q18*$E18/100,"")))</f>
        <v/>
      </c>
      <c r="AI18" s="140">
        <f>IF(AI$13="","",IF($B18="","",IFERROR(R18*$E18/100,"")))</f>
        <v/>
      </c>
      <c r="AJ18" s="140">
        <f>IF(AJ$13="","",IF($B18="","",IFERROR(S18*$E18/100,"")))</f>
        <v/>
      </c>
      <c r="AK18" s="140">
        <f>IF(AK$13="","",IF($B18="","",IFERROR(T18*$E18/100,"")))</f>
        <v/>
      </c>
      <c r="AL18" s="140">
        <f>IF(AL$13="","",IF($B18="","",IFERROR(U18*$E18/100,"")))</f>
        <v/>
      </c>
      <c r="AN18" s="140">
        <f>IF($B18="","",SUMIF($F$13:$U$13,"&lt;="&amp;Sector!$D$51,$F18:$U18))</f>
        <v/>
      </c>
      <c r="AO18" s="140">
        <f>IF($B18="","",SUMIF($W$13:$AL$13,"&lt;="&amp;Sector!$D$51,$W18:$AL18))</f>
        <v/>
      </c>
    </row>
    <row r="19">
      <c r="B19" s="5">
        <f>IF(AS51!$C$9="","",AS51!$C$9)</f>
        <v/>
      </c>
      <c r="C19" s="90">
        <f>IF(AS51!$B$9="","",AS51!$B$9)</f>
        <v/>
      </c>
      <c r="D19" s="138">
        <f>IFERROR(AS51!$Q$9,1)</f>
        <v/>
      </c>
      <c r="E19" s="139">
        <f>IF($B19="","",IF(ISNUMBER(AS51!$I$9),AS51!$I$9,'Index Summary'!$C$7))</f>
        <v/>
      </c>
      <c r="F19" s="140">
        <f>IF(F$13="","",IF($B19="","",IFERROR($C19*$D19*IF((Override!$C$4="ON")*(COUNTIFS(Override!$B$11:$B$40,$B19,Override!$D$11:$D$40,1,Override!$E$11:$E$40,"&gt;=0")-COUNTIFS(Override!$B$11:$B$40,$B19,Override!$D$11:$D$40,1,Override!$E$11:$E$40,"&gt;=0",Override!$C$11:$C$40,"MXAU"))&gt;0,SUMIFS(Override!$E$11:$E$40,Override!$B$11:$B$40,$B19,Override!$D$11:$D$40,1)-SUMIFS(Override!$E$11:$E$40,Override!$B$11:$B$40,$B19,Override!$D$11:$D$40,1,Override!$C$11:$C$40,"MXAU"),Override!$C$54)/AS51!$B$3,"")))</f>
        <v/>
      </c>
      <c r="G19" s="140">
        <f>IF(G$13="","",IF($B19="","",IFERROR($C19*$D19*IF((Override!$C$4="ON")*(COUNTIFS(Override!$B$11:$B$40,$B19,Override!$D$11:$D$40,2,Override!$E$11:$E$40,"&gt;=0")-COUNTIFS(Override!$B$11:$B$40,$B19,Override!$D$11:$D$40,2,Override!$E$11:$E$40,"&gt;=0",Override!$C$11:$C$40,"MXAU"))&gt;0,SUMIFS(Override!$E$11:$E$40,Override!$B$11:$B$40,$B19,Override!$D$11:$D$40,2)-SUMIFS(Override!$E$11:$E$40,Override!$B$11:$B$40,$B19,Override!$D$11:$D$40,2,Override!$C$11:$C$40,"MXAU"),Override!$D$54)/AS51!$B$3,"")))</f>
        <v/>
      </c>
      <c r="H19" s="140">
        <f>IF(H$13="","",IF($B19="","",IFERROR($C19*$D19*IF((Override!$C$4="ON")*(COUNTIFS(Override!$B$11:$B$40,$B19,Override!$D$11:$D$40,3,Override!$E$11:$E$40,"&gt;=0")-COUNTIFS(Override!$B$11:$B$40,$B19,Override!$D$11:$D$40,3,Override!$E$11:$E$40,"&gt;=0",Override!$C$11:$C$40,"MXAU"))&gt;0,SUMIFS(Override!$E$11:$E$40,Override!$B$11:$B$40,$B19,Override!$D$11:$D$40,3)-SUMIFS(Override!$E$11:$E$40,Override!$B$11:$B$40,$B19,Override!$D$11:$D$40,3,Override!$C$11:$C$40,"MXAU"),Override!$E$54)/AS51!$B$3,"")))</f>
        <v/>
      </c>
      <c r="I19" s="140">
        <f>IF(I$13="","",IF($B19="","",IFERROR($C19*$D19*IF((Override!$C$4="ON")*(COUNTIFS(Override!$B$11:$B$40,$B19,Override!$D$11:$D$40,4,Override!$E$11:$E$40,"&gt;=0")-COUNTIFS(Override!$B$11:$B$40,$B19,Override!$D$11:$D$40,4,Override!$E$11:$E$40,"&gt;=0",Override!$C$11:$C$40,"MXAU"))&gt;0,SUMIFS(Override!$E$11:$E$40,Override!$B$11:$B$40,$B19,Override!$D$11:$D$40,4)-SUMIFS(Override!$E$11:$E$40,Override!$B$11:$B$40,$B19,Override!$D$11:$D$40,4,Override!$C$11:$C$40,"MXAU"),Override!$F$54)/AS51!$B$3,"")))</f>
        <v/>
      </c>
      <c r="J19" s="140">
        <f>IF(J$13="","",IF($B19="","",IFERROR($C19*$D19*IF((Override!$C$4="ON")*(COUNTIFS(Override!$B$11:$B$40,$B19,Override!$D$11:$D$40,5,Override!$E$11:$E$40,"&gt;=0")-COUNTIFS(Override!$B$11:$B$40,$B19,Override!$D$11:$D$40,5,Override!$E$11:$E$40,"&gt;=0",Override!$C$11:$C$40,"MXAU"))&gt;0,SUMIFS(Override!$E$11:$E$40,Override!$B$11:$B$40,$B19,Override!$D$11:$D$40,5)-SUMIFS(Override!$E$11:$E$40,Override!$B$11:$B$40,$B19,Override!$D$11:$D$40,5,Override!$C$11:$C$40,"MXAU"),Override!$G$54)/AS51!$B$3,"")))</f>
        <v/>
      </c>
      <c r="K19" s="140">
        <f>IF(K$13="","",IF($B19="","",IFERROR($C19*$D19*IF((Override!$C$4="ON")*(COUNTIFS(Override!$B$11:$B$40,$B19,Override!$D$11:$D$40,6,Override!$E$11:$E$40,"&gt;=0")-COUNTIFS(Override!$B$11:$B$40,$B19,Override!$D$11:$D$40,6,Override!$E$11:$E$40,"&gt;=0",Override!$C$11:$C$40,"MXAU"))&gt;0,SUMIFS(Override!$E$11:$E$40,Override!$B$11:$B$40,$B19,Override!$D$11:$D$40,6)-SUMIFS(Override!$E$11:$E$40,Override!$B$11:$B$40,$B19,Override!$D$11:$D$40,6,Override!$C$11:$C$40,"MXAU"),Override!$H$54)/AS51!$B$3,"")))</f>
        <v/>
      </c>
      <c r="L19" s="140">
        <f>IF(L$13="","",IF($B19="","",IFERROR($C19*$D19*IF((Override!$C$4="ON")*(COUNTIFS(Override!$B$11:$B$40,$B19,Override!$D$11:$D$40,7,Override!$E$11:$E$40,"&gt;=0")-COUNTIFS(Override!$B$11:$B$40,$B19,Override!$D$11:$D$40,7,Override!$E$11:$E$40,"&gt;=0",Override!$C$11:$C$40,"MXAU"))&gt;0,SUMIFS(Override!$E$11:$E$40,Override!$B$11:$B$40,$B19,Override!$D$11:$D$40,7)-SUMIFS(Override!$E$11:$E$40,Override!$B$11:$B$40,$B19,Override!$D$11:$D$40,7,Override!$C$11:$C$40,"MXAU"),Override!$I$54)/AS51!$B$3,"")))</f>
        <v/>
      </c>
      <c r="M19" s="140">
        <f>IF(M$13="","",IF($B19="","",IFERROR($C19*$D19*IF((Override!$C$4="ON")*(COUNTIFS(Override!$B$11:$B$40,$B19,Override!$D$11:$D$40,8,Override!$E$11:$E$40,"&gt;=0")-COUNTIFS(Override!$B$11:$B$40,$B19,Override!$D$11:$D$40,8,Override!$E$11:$E$40,"&gt;=0",Override!$C$11:$C$40,"MXAU"))&gt;0,SUMIFS(Override!$E$11:$E$40,Override!$B$11:$B$40,$B19,Override!$D$11:$D$40,8)-SUMIFS(Override!$E$11:$E$40,Override!$B$11:$B$40,$B19,Override!$D$11:$D$40,8,Override!$C$11:$C$40,"MXAU"),Override!$J$54)/AS51!$B$3,"")))</f>
        <v/>
      </c>
      <c r="N19" s="140">
        <f>IF(N$13="","",IF($B19="","",IFERROR($C19*$D19*IF((Override!$C$4="ON")*(COUNTIFS(Override!$B$11:$B$40,$B19,Override!$D$11:$D$40,9,Override!$E$11:$E$40,"&gt;=0")-COUNTIFS(Override!$B$11:$B$40,$B19,Override!$D$11:$D$40,9,Override!$E$11:$E$40,"&gt;=0",Override!$C$11:$C$40,"MXAU"))&gt;0,SUMIFS(Override!$E$11:$E$40,Override!$B$11:$B$40,$B19,Override!$D$11:$D$40,9)-SUMIFS(Override!$E$11:$E$40,Override!$B$11:$B$40,$B19,Override!$D$11:$D$40,9,Override!$C$11:$C$40,"MXAU"),Override!$K$54)/AS51!$B$3,"")))</f>
        <v/>
      </c>
      <c r="O19" s="140">
        <f>IF(O$13="","",IF($B19="","",IFERROR($C19*$D19*IF((Override!$C$4="ON")*(COUNTIFS(Override!$B$11:$B$40,$B19,Override!$D$11:$D$40,10,Override!$E$11:$E$40,"&gt;=0")-COUNTIFS(Override!$B$11:$B$40,$B19,Override!$D$11:$D$40,10,Override!$E$11:$E$40,"&gt;=0",Override!$C$11:$C$40,"MXAU"))&gt;0,SUMIFS(Override!$E$11:$E$40,Override!$B$11:$B$40,$B19,Override!$D$11:$D$40,10)-SUMIFS(Override!$E$11:$E$40,Override!$B$11:$B$40,$B19,Override!$D$11:$D$40,10,Override!$C$11:$C$40,"MXAU"),Override!$L$54)/AS51!$B$3,"")))</f>
        <v/>
      </c>
      <c r="P19" s="140">
        <f>IF(P$13="","",IF($B19="","",IFERROR($C19*$D19*IF((Override!$C$4="ON")*(COUNTIFS(Override!$B$11:$B$40,$B19,Override!$D$11:$D$40,11,Override!$E$11:$E$40,"&gt;=0")-COUNTIFS(Override!$B$11:$B$40,$B19,Override!$D$11:$D$40,11,Override!$E$11:$E$40,"&gt;=0",Override!$C$11:$C$40,"MXAU"))&gt;0,SUMIFS(Override!$E$11:$E$40,Override!$B$11:$B$40,$B19,Override!$D$11:$D$40,11)-SUMIFS(Override!$E$11:$E$40,Override!$B$11:$B$40,$B19,Override!$D$11:$D$40,11,Override!$C$11:$C$40,"MXAU"),Override!$M$54)/AS51!$B$3,"")))</f>
        <v/>
      </c>
      <c r="Q19" s="140">
        <f>IF(Q$13="","",IF($B19="","",IFERROR($C19*$D19*IF((Override!$C$4="ON")*(COUNTIFS(Override!$B$11:$B$40,$B19,Override!$D$11:$D$40,12,Override!$E$11:$E$40,"&gt;=0")-COUNTIFS(Override!$B$11:$B$40,$B19,Override!$D$11:$D$40,12,Override!$E$11:$E$40,"&gt;=0",Override!$C$11:$C$40,"MXAU"))&gt;0,SUMIFS(Override!$E$11:$E$40,Override!$B$11:$B$40,$B19,Override!$D$11:$D$40,12)-SUMIFS(Override!$E$11:$E$40,Override!$B$11:$B$40,$B19,Override!$D$11:$D$40,12,Override!$C$11:$C$40,"MXAU"),Override!$N$54)/AS51!$B$3,"")))</f>
        <v/>
      </c>
      <c r="R19" s="140">
        <f>IF(R$13="","",IF($B19="","",IFERROR($C19*$D19*IF((Override!$C$4="ON")*(COUNTIFS(Override!$B$11:$B$40,$B19,Override!$D$11:$D$40,13,Override!$E$11:$E$40,"&gt;=0")-COUNTIFS(Override!$B$11:$B$40,$B19,Override!$D$11:$D$40,13,Override!$E$11:$E$40,"&gt;=0",Override!$C$11:$C$40,"MXAU"))&gt;0,SUMIFS(Override!$E$11:$E$40,Override!$B$11:$B$40,$B19,Override!$D$11:$D$40,13)-SUMIFS(Override!$E$11:$E$40,Override!$B$11:$B$40,$B19,Override!$D$11:$D$40,13,Override!$C$11:$C$40,"MXAU"),Override!$O$54)/AS51!$B$3,"")))</f>
        <v/>
      </c>
      <c r="S19" s="140">
        <f>IF(S$13="","",IF($B19="","",IFERROR($C19*$D19*IF((Override!$C$4="ON")*(COUNTIFS(Override!$B$11:$B$40,$B19,Override!$D$11:$D$40,14,Override!$E$11:$E$40,"&gt;=0")-COUNTIFS(Override!$B$11:$B$40,$B19,Override!$D$11:$D$40,14,Override!$E$11:$E$40,"&gt;=0",Override!$C$11:$C$40,"MXAU"))&gt;0,SUMIFS(Override!$E$11:$E$40,Override!$B$11:$B$40,$B19,Override!$D$11:$D$40,14)-SUMIFS(Override!$E$11:$E$40,Override!$B$11:$B$40,$B19,Override!$D$11:$D$40,14,Override!$C$11:$C$40,"MXAU"),Override!$P$54)/AS51!$B$3,"")))</f>
        <v/>
      </c>
      <c r="T19" s="140">
        <f>IF(T$13="","",IF($B19="","",IFERROR($C19*$D19*IF((Override!$C$4="ON")*(COUNTIFS(Override!$B$11:$B$40,$B19,Override!$D$11:$D$40,15,Override!$E$11:$E$40,"&gt;=0")-COUNTIFS(Override!$B$11:$B$40,$B19,Override!$D$11:$D$40,15,Override!$E$11:$E$40,"&gt;=0",Override!$C$11:$C$40,"MXAU"))&gt;0,SUMIFS(Override!$E$11:$E$40,Override!$B$11:$B$40,$B19,Override!$D$11:$D$40,15)-SUMIFS(Override!$E$11:$E$40,Override!$B$11:$B$40,$B19,Override!$D$11:$D$40,15,Override!$C$11:$C$40,"MXAU"),Override!$Q$54)/AS51!$B$3,"")))</f>
        <v/>
      </c>
      <c r="U19" s="140">
        <f>IF(U$13="","",IF($B19="","",IFERROR($C19*$D19*IF((Override!$C$4="ON")*(COUNTIFS(Override!$B$11:$B$40,$B19,Override!$D$11:$D$40,16,Override!$E$11:$E$40,"&gt;=0")-COUNTIFS(Override!$B$11:$B$40,$B19,Override!$D$11:$D$40,16,Override!$E$11:$E$40,"&gt;=0",Override!$C$11:$C$40,"MXAU"))&gt;0,SUMIFS(Override!$E$11:$E$40,Override!$B$11:$B$40,$B19,Override!$D$11:$D$40,16)-SUMIFS(Override!$E$11:$E$40,Override!$B$11:$B$40,$B19,Override!$D$11:$D$40,16,Override!$C$11:$C$40,"MXAU"),Override!$R$54)/AS51!$B$3,"")))</f>
        <v/>
      </c>
      <c r="W19" s="140">
        <f>IF(W$13="","",IF($B19="","",IFERROR(F19*$E19/100,"")))</f>
        <v/>
      </c>
      <c r="X19" s="140">
        <f>IF(X$13="","",IF($B19="","",IFERROR(G19*$E19/100,"")))</f>
        <v/>
      </c>
      <c r="Y19" s="140">
        <f>IF(Y$13="","",IF($B19="","",IFERROR(H19*$E19/100,"")))</f>
        <v/>
      </c>
      <c r="Z19" s="140">
        <f>IF(Z$13="","",IF($B19="","",IFERROR(I19*$E19/100,"")))</f>
        <v/>
      </c>
      <c r="AA19" s="140">
        <f>IF(AA$13="","",IF($B19="","",IFERROR(J19*$E19/100,"")))</f>
        <v/>
      </c>
      <c r="AB19" s="140">
        <f>IF(AB$13="","",IF($B19="","",IFERROR(K19*$E19/100,"")))</f>
        <v/>
      </c>
      <c r="AC19" s="140">
        <f>IF(AC$13="","",IF($B19="","",IFERROR(L19*$E19/100,"")))</f>
        <v/>
      </c>
      <c r="AD19" s="140">
        <f>IF(AD$13="","",IF($B19="","",IFERROR(M19*$E19/100,"")))</f>
        <v/>
      </c>
      <c r="AE19" s="140">
        <f>IF(AE$13="","",IF($B19="","",IFERROR(N19*$E19/100,"")))</f>
        <v/>
      </c>
      <c r="AF19" s="140">
        <f>IF(AF$13="","",IF($B19="","",IFERROR(O19*$E19/100,"")))</f>
        <v/>
      </c>
      <c r="AG19" s="140">
        <f>IF(AG$13="","",IF($B19="","",IFERROR(P19*$E19/100,"")))</f>
        <v/>
      </c>
      <c r="AH19" s="140">
        <f>IF(AH$13="","",IF($B19="","",IFERROR(Q19*$E19/100,"")))</f>
        <v/>
      </c>
      <c r="AI19" s="140">
        <f>IF(AI$13="","",IF($B19="","",IFERROR(R19*$E19/100,"")))</f>
        <v/>
      </c>
      <c r="AJ19" s="140">
        <f>IF(AJ$13="","",IF($B19="","",IFERROR(S19*$E19/100,"")))</f>
        <v/>
      </c>
      <c r="AK19" s="140">
        <f>IF(AK$13="","",IF($B19="","",IFERROR(T19*$E19/100,"")))</f>
        <v/>
      </c>
      <c r="AL19" s="140">
        <f>IF(AL$13="","",IF($B19="","",IFERROR(U19*$E19/100,"")))</f>
        <v/>
      </c>
      <c r="AN19" s="140">
        <f>IF($B19="","",SUMIF($F$13:$U$13,"&lt;="&amp;Sector!$D$51,$F19:$U19))</f>
        <v/>
      </c>
      <c r="AO19" s="140">
        <f>IF($B19="","",SUMIF($W$13:$AL$13,"&lt;="&amp;Sector!$D$51,$W19:$AL19))</f>
        <v/>
      </c>
    </row>
    <row r="20">
      <c r="B20" s="5">
        <f>IF(AS51!$C$10="","",AS51!$C$10)</f>
        <v/>
      </c>
      <c r="C20" s="90">
        <f>IF(AS51!$B$10="","",AS51!$B$10)</f>
        <v/>
      </c>
      <c r="D20" s="138">
        <f>IFERROR(AS51!$Q$10,1)</f>
        <v/>
      </c>
      <c r="E20" s="139">
        <f>IF($B20="","",IF(ISNUMBER(AS51!$I$10),AS51!$I$10,'Index Summary'!$C$7))</f>
        <v/>
      </c>
      <c r="F20" s="140">
        <f>IF(F$13="","",IF($B20="","",IFERROR($C20*$D20*IF((Override!$C$4="ON")*(COUNTIFS(Override!$B$11:$B$40,$B20,Override!$D$11:$D$40,1,Override!$E$11:$E$40,"&gt;=0")-COUNTIFS(Override!$B$11:$B$40,$B20,Override!$D$11:$D$40,1,Override!$E$11:$E$40,"&gt;=0",Override!$C$11:$C$40,"MXAU"))&gt;0,SUMIFS(Override!$E$11:$E$40,Override!$B$11:$B$40,$B20,Override!$D$11:$D$40,1)-SUMIFS(Override!$E$11:$E$40,Override!$B$11:$B$40,$B20,Override!$D$11:$D$40,1,Override!$C$11:$C$40,"MXAU"),Override!$C$55)/AS51!$B$3,"")))</f>
        <v/>
      </c>
      <c r="G20" s="140">
        <f>IF(G$13="","",IF($B20="","",IFERROR($C20*$D20*IF((Override!$C$4="ON")*(COUNTIFS(Override!$B$11:$B$40,$B20,Override!$D$11:$D$40,2,Override!$E$11:$E$40,"&gt;=0")-COUNTIFS(Override!$B$11:$B$40,$B20,Override!$D$11:$D$40,2,Override!$E$11:$E$40,"&gt;=0",Override!$C$11:$C$40,"MXAU"))&gt;0,SUMIFS(Override!$E$11:$E$40,Override!$B$11:$B$40,$B20,Override!$D$11:$D$40,2)-SUMIFS(Override!$E$11:$E$40,Override!$B$11:$B$40,$B20,Override!$D$11:$D$40,2,Override!$C$11:$C$40,"MXAU"),Override!$D$55)/AS51!$B$3,"")))</f>
        <v/>
      </c>
      <c r="H20" s="140">
        <f>IF(H$13="","",IF($B20="","",IFERROR($C20*$D20*IF((Override!$C$4="ON")*(COUNTIFS(Override!$B$11:$B$40,$B20,Override!$D$11:$D$40,3,Override!$E$11:$E$40,"&gt;=0")-COUNTIFS(Override!$B$11:$B$40,$B20,Override!$D$11:$D$40,3,Override!$E$11:$E$40,"&gt;=0",Override!$C$11:$C$40,"MXAU"))&gt;0,SUMIFS(Override!$E$11:$E$40,Override!$B$11:$B$40,$B20,Override!$D$11:$D$40,3)-SUMIFS(Override!$E$11:$E$40,Override!$B$11:$B$40,$B20,Override!$D$11:$D$40,3,Override!$C$11:$C$40,"MXAU"),Override!$E$55)/AS51!$B$3,"")))</f>
        <v/>
      </c>
      <c r="I20" s="140">
        <f>IF(I$13="","",IF($B20="","",IFERROR($C20*$D20*IF((Override!$C$4="ON")*(COUNTIFS(Override!$B$11:$B$40,$B20,Override!$D$11:$D$40,4,Override!$E$11:$E$40,"&gt;=0")-COUNTIFS(Override!$B$11:$B$40,$B20,Override!$D$11:$D$40,4,Override!$E$11:$E$40,"&gt;=0",Override!$C$11:$C$40,"MXAU"))&gt;0,SUMIFS(Override!$E$11:$E$40,Override!$B$11:$B$40,$B20,Override!$D$11:$D$40,4)-SUMIFS(Override!$E$11:$E$40,Override!$B$11:$B$40,$B20,Override!$D$11:$D$40,4,Override!$C$11:$C$40,"MXAU"),Override!$F$55)/AS51!$B$3,"")))</f>
        <v/>
      </c>
      <c r="J20" s="140">
        <f>IF(J$13="","",IF($B20="","",IFERROR($C20*$D20*IF((Override!$C$4="ON")*(COUNTIFS(Override!$B$11:$B$40,$B20,Override!$D$11:$D$40,5,Override!$E$11:$E$40,"&gt;=0")-COUNTIFS(Override!$B$11:$B$40,$B20,Override!$D$11:$D$40,5,Override!$E$11:$E$40,"&gt;=0",Override!$C$11:$C$40,"MXAU"))&gt;0,SUMIFS(Override!$E$11:$E$40,Override!$B$11:$B$40,$B20,Override!$D$11:$D$40,5)-SUMIFS(Override!$E$11:$E$40,Override!$B$11:$B$40,$B20,Override!$D$11:$D$40,5,Override!$C$11:$C$40,"MXAU"),Override!$G$55)/AS51!$B$3,"")))</f>
        <v/>
      </c>
      <c r="K20" s="140">
        <f>IF(K$13="","",IF($B20="","",IFERROR($C20*$D20*IF((Override!$C$4="ON")*(COUNTIFS(Override!$B$11:$B$40,$B20,Override!$D$11:$D$40,6,Override!$E$11:$E$40,"&gt;=0")-COUNTIFS(Override!$B$11:$B$40,$B20,Override!$D$11:$D$40,6,Override!$E$11:$E$40,"&gt;=0",Override!$C$11:$C$40,"MXAU"))&gt;0,SUMIFS(Override!$E$11:$E$40,Override!$B$11:$B$40,$B20,Override!$D$11:$D$40,6)-SUMIFS(Override!$E$11:$E$40,Override!$B$11:$B$40,$B20,Override!$D$11:$D$40,6,Override!$C$11:$C$40,"MXAU"),Override!$H$55)/AS51!$B$3,"")))</f>
        <v/>
      </c>
      <c r="L20" s="140">
        <f>IF(L$13="","",IF($B20="","",IFERROR($C20*$D20*IF((Override!$C$4="ON")*(COUNTIFS(Override!$B$11:$B$40,$B20,Override!$D$11:$D$40,7,Override!$E$11:$E$40,"&gt;=0")-COUNTIFS(Override!$B$11:$B$40,$B20,Override!$D$11:$D$40,7,Override!$E$11:$E$40,"&gt;=0",Override!$C$11:$C$40,"MXAU"))&gt;0,SUMIFS(Override!$E$11:$E$40,Override!$B$11:$B$40,$B20,Override!$D$11:$D$40,7)-SUMIFS(Override!$E$11:$E$40,Override!$B$11:$B$40,$B20,Override!$D$11:$D$40,7,Override!$C$11:$C$40,"MXAU"),Override!$I$55)/AS51!$B$3,"")))</f>
        <v/>
      </c>
      <c r="M20" s="140">
        <f>IF(M$13="","",IF($B20="","",IFERROR($C20*$D20*IF((Override!$C$4="ON")*(COUNTIFS(Override!$B$11:$B$40,$B20,Override!$D$11:$D$40,8,Override!$E$11:$E$40,"&gt;=0")-COUNTIFS(Override!$B$11:$B$40,$B20,Override!$D$11:$D$40,8,Override!$E$11:$E$40,"&gt;=0",Override!$C$11:$C$40,"MXAU"))&gt;0,SUMIFS(Override!$E$11:$E$40,Override!$B$11:$B$40,$B20,Override!$D$11:$D$40,8)-SUMIFS(Override!$E$11:$E$40,Override!$B$11:$B$40,$B20,Override!$D$11:$D$40,8,Override!$C$11:$C$40,"MXAU"),Override!$J$55)/AS51!$B$3,"")))</f>
        <v/>
      </c>
      <c r="N20" s="140">
        <f>IF(N$13="","",IF($B20="","",IFERROR($C20*$D20*IF((Override!$C$4="ON")*(COUNTIFS(Override!$B$11:$B$40,$B20,Override!$D$11:$D$40,9,Override!$E$11:$E$40,"&gt;=0")-COUNTIFS(Override!$B$11:$B$40,$B20,Override!$D$11:$D$40,9,Override!$E$11:$E$40,"&gt;=0",Override!$C$11:$C$40,"MXAU"))&gt;0,SUMIFS(Override!$E$11:$E$40,Override!$B$11:$B$40,$B20,Override!$D$11:$D$40,9)-SUMIFS(Override!$E$11:$E$40,Override!$B$11:$B$40,$B20,Override!$D$11:$D$40,9,Override!$C$11:$C$40,"MXAU"),Override!$K$55)/AS51!$B$3,"")))</f>
        <v/>
      </c>
      <c r="O20" s="140">
        <f>IF(O$13="","",IF($B20="","",IFERROR($C20*$D20*IF((Override!$C$4="ON")*(COUNTIFS(Override!$B$11:$B$40,$B20,Override!$D$11:$D$40,10,Override!$E$11:$E$40,"&gt;=0")-COUNTIFS(Override!$B$11:$B$40,$B20,Override!$D$11:$D$40,10,Override!$E$11:$E$40,"&gt;=0",Override!$C$11:$C$40,"MXAU"))&gt;0,SUMIFS(Override!$E$11:$E$40,Override!$B$11:$B$40,$B20,Override!$D$11:$D$40,10)-SUMIFS(Override!$E$11:$E$40,Override!$B$11:$B$40,$B20,Override!$D$11:$D$40,10,Override!$C$11:$C$40,"MXAU"),Override!$L$55)/AS51!$B$3,"")))</f>
        <v/>
      </c>
      <c r="P20" s="140">
        <f>IF(P$13="","",IF($B20="","",IFERROR($C20*$D20*IF((Override!$C$4="ON")*(COUNTIFS(Override!$B$11:$B$40,$B20,Override!$D$11:$D$40,11,Override!$E$11:$E$40,"&gt;=0")-COUNTIFS(Override!$B$11:$B$40,$B20,Override!$D$11:$D$40,11,Override!$E$11:$E$40,"&gt;=0",Override!$C$11:$C$40,"MXAU"))&gt;0,SUMIFS(Override!$E$11:$E$40,Override!$B$11:$B$40,$B20,Override!$D$11:$D$40,11)-SUMIFS(Override!$E$11:$E$40,Override!$B$11:$B$40,$B20,Override!$D$11:$D$40,11,Override!$C$11:$C$40,"MXAU"),Override!$M$55)/AS51!$B$3,"")))</f>
        <v/>
      </c>
      <c r="Q20" s="140">
        <f>IF(Q$13="","",IF($B20="","",IFERROR($C20*$D20*IF((Override!$C$4="ON")*(COUNTIFS(Override!$B$11:$B$40,$B20,Override!$D$11:$D$40,12,Override!$E$11:$E$40,"&gt;=0")-COUNTIFS(Override!$B$11:$B$40,$B20,Override!$D$11:$D$40,12,Override!$E$11:$E$40,"&gt;=0",Override!$C$11:$C$40,"MXAU"))&gt;0,SUMIFS(Override!$E$11:$E$40,Override!$B$11:$B$40,$B20,Override!$D$11:$D$40,12)-SUMIFS(Override!$E$11:$E$40,Override!$B$11:$B$40,$B20,Override!$D$11:$D$40,12,Override!$C$11:$C$40,"MXAU"),Override!$N$55)/AS51!$B$3,"")))</f>
        <v/>
      </c>
      <c r="R20" s="140">
        <f>IF(R$13="","",IF($B20="","",IFERROR($C20*$D20*IF((Override!$C$4="ON")*(COUNTIFS(Override!$B$11:$B$40,$B20,Override!$D$11:$D$40,13,Override!$E$11:$E$40,"&gt;=0")-COUNTIFS(Override!$B$11:$B$40,$B20,Override!$D$11:$D$40,13,Override!$E$11:$E$40,"&gt;=0",Override!$C$11:$C$40,"MXAU"))&gt;0,SUMIFS(Override!$E$11:$E$40,Override!$B$11:$B$40,$B20,Override!$D$11:$D$40,13)-SUMIFS(Override!$E$11:$E$40,Override!$B$11:$B$40,$B20,Override!$D$11:$D$40,13,Override!$C$11:$C$40,"MXAU"),Override!$O$55)/AS51!$B$3,"")))</f>
        <v/>
      </c>
      <c r="S20" s="140">
        <f>IF(S$13="","",IF($B20="","",IFERROR($C20*$D20*IF((Override!$C$4="ON")*(COUNTIFS(Override!$B$11:$B$40,$B20,Override!$D$11:$D$40,14,Override!$E$11:$E$40,"&gt;=0")-COUNTIFS(Override!$B$11:$B$40,$B20,Override!$D$11:$D$40,14,Override!$E$11:$E$40,"&gt;=0",Override!$C$11:$C$40,"MXAU"))&gt;0,SUMIFS(Override!$E$11:$E$40,Override!$B$11:$B$40,$B20,Override!$D$11:$D$40,14)-SUMIFS(Override!$E$11:$E$40,Override!$B$11:$B$40,$B20,Override!$D$11:$D$40,14,Override!$C$11:$C$40,"MXAU"),Override!$P$55)/AS51!$B$3,"")))</f>
        <v/>
      </c>
      <c r="T20" s="140">
        <f>IF(T$13="","",IF($B20="","",IFERROR($C20*$D20*IF((Override!$C$4="ON")*(COUNTIFS(Override!$B$11:$B$40,$B20,Override!$D$11:$D$40,15,Override!$E$11:$E$40,"&gt;=0")-COUNTIFS(Override!$B$11:$B$40,$B20,Override!$D$11:$D$40,15,Override!$E$11:$E$40,"&gt;=0",Override!$C$11:$C$40,"MXAU"))&gt;0,SUMIFS(Override!$E$11:$E$40,Override!$B$11:$B$40,$B20,Override!$D$11:$D$40,15)-SUMIFS(Override!$E$11:$E$40,Override!$B$11:$B$40,$B20,Override!$D$11:$D$40,15,Override!$C$11:$C$40,"MXAU"),Override!$Q$55)/AS51!$B$3,"")))</f>
        <v/>
      </c>
      <c r="U20" s="140">
        <f>IF(U$13="","",IF($B20="","",IFERROR($C20*$D20*IF((Override!$C$4="ON")*(COUNTIFS(Override!$B$11:$B$40,$B20,Override!$D$11:$D$40,16,Override!$E$11:$E$40,"&gt;=0")-COUNTIFS(Override!$B$11:$B$40,$B20,Override!$D$11:$D$40,16,Override!$E$11:$E$40,"&gt;=0",Override!$C$11:$C$40,"MXAU"))&gt;0,SUMIFS(Override!$E$11:$E$40,Override!$B$11:$B$40,$B20,Override!$D$11:$D$40,16)-SUMIFS(Override!$E$11:$E$40,Override!$B$11:$B$40,$B20,Override!$D$11:$D$40,16,Override!$C$11:$C$40,"MXAU"),Override!$R$55)/AS51!$B$3,"")))</f>
        <v/>
      </c>
      <c r="W20" s="140">
        <f>IF(W$13="","",IF($B20="","",IFERROR(F20*$E20/100,"")))</f>
        <v/>
      </c>
      <c r="X20" s="140">
        <f>IF(X$13="","",IF($B20="","",IFERROR(G20*$E20/100,"")))</f>
        <v/>
      </c>
      <c r="Y20" s="140">
        <f>IF(Y$13="","",IF($B20="","",IFERROR(H20*$E20/100,"")))</f>
        <v/>
      </c>
      <c r="Z20" s="140">
        <f>IF(Z$13="","",IF($B20="","",IFERROR(I20*$E20/100,"")))</f>
        <v/>
      </c>
      <c r="AA20" s="140">
        <f>IF(AA$13="","",IF($B20="","",IFERROR(J20*$E20/100,"")))</f>
        <v/>
      </c>
      <c r="AB20" s="140">
        <f>IF(AB$13="","",IF($B20="","",IFERROR(K20*$E20/100,"")))</f>
        <v/>
      </c>
      <c r="AC20" s="140">
        <f>IF(AC$13="","",IF($B20="","",IFERROR(L20*$E20/100,"")))</f>
        <v/>
      </c>
      <c r="AD20" s="140">
        <f>IF(AD$13="","",IF($B20="","",IFERROR(M20*$E20/100,"")))</f>
        <v/>
      </c>
      <c r="AE20" s="140">
        <f>IF(AE$13="","",IF($B20="","",IFERROR(N20*$E20/100,"")))</f>
        <v/>
      </c>
      <c r="AF20" s="140">
        <f>IF(AF$13="","",IF($B20="","",IFERROR(O20*$E20/100,"")))</f>
        <v/>
      </c>
      <c r="AG20" s="140">
        <f>IF(AG$13="","",IF($B20="","",IFERROR(P20*$E20/100,"")))</f>
        <v/>
      </c>
      <c r="AH20" s="140">
        <f>IF(AH$13="","",IF($B20="","",IFERROR(Q20*$E20/100,"")))</f>
        <v/>
      </c>
      <c r="AI20" s="140">
        <f>IF(AI$13="","",IF($B20="","",IFERROR(R20*$E20/100,"")))</f>
        <v/>
      </c>
      <c r="AJ20" s="140">
        <f>IF(AJ$13="","",IF($B20="","",IFERROR(S20*$E20/100,"")))</f>
        <v/>
      </c>
      <c r="AK20" s="140">
        <f>IF(AK$13="","",IF($B20="","",IFERROR(T20*$E20/100,"")))</f>
        <v/>
      </c>
      <c r="AL20" s="140">
        <f>IF(AL$13="","",IF($B20="","",IFERROR(U20*$E20/100,"")))</f>
        <v/>
      </c>
      <c r="AN20" s="140">
        <f>IF($B20="","",SUMIF($F$13:$U$13,"&lt;="&amp;Sector!$D$51,$F20:$U20))</f>
        <v/>
      </c>
      <c r="AO20" s="140">
        <f>IF($B20="","",SUMIF($W$13:$AL$13,"&lt;="&amp;Sector!$D$51,$W20:$AL20))</f>
        <v/>
      </c>
    </row>
    <row r="21">
      <c r="B21" s="5">
        <f>IF(AS51!$C$11="","",AS51!$C$11)</f>
        <v/>
      </c>
      <c r="C21" s="90">
        <f>IF(AS51!$B$11="","",AS51!$B$11)</f>
        <v/>
      </c>
      <c r="D21" s="138">
        <f>IFERROR(AS51!$Q$11,1)</f>
        <v/>
      </c>
      <c r="E21" s="139">
        <f>IF($B21="","",IF(ISNUMBER(AS51!$I$11),AS51!$I$11,'Index Summary'!$C$7))</f>
        <v/>
      </c>
      <c r="F21" s="140">
        <f>IF(F$13="","",IF($B21="","",IFERROR($C21*$D21*IF((Override!$C$4="ON")*(COUNTIFS(Override!$B$11:$B$40,$B21,Override!$D$11:$D$40,1,Override!$E$11:$E$40,"&gt;=0")-COUNTIFS(Override!$B$11:$B$40,$B21,Override!$D$11:$D$40,1,Override!$E$11:$E$40,"&gt;=0",Override!$C$11:$C$40,"MXAU"))&gt;0,SUMIFS(Override!$E$11:$E$40,Override!$B$11:$B$40,$B21,Override!$D$11:$D$40,1)-SUMIFS(Override!$E$11:$E$40,Override!$B$11:$B$40,$B21,Override!$D$11:$D$40,1,Override!$C$11:$C$40,"MXAU"),Override!$C$56)/AS51!$B$3,"")))</f>
        <v/>
      </c>
      <c r="G21" s="140">
        <f>IF(G$13="","",IF($B21="","",IFERROR($C21*$D21*IF((Override!$C$4="ON")*(COUNTIFS(Override!$B$11:$B$40,$B21,Override!$D$11:$D$40,2,Override!$E$11:$E$40,"&gt;=0")-COUNTIFS(Override!$B$11:$B$40,$B21,Override!$D$11:$D$40,2,Override!$E$11:$E$40,"&gt;=0",Override!$C$11:$C$40,"MXAU"))&gt;0,SUMIFS(Override!$E$11:$E$40,Override!$B$11:$B$40,$B21,Override!$D$11:$D$40,2)-SUMIFS(Override!$E$11:$E$40,Override!$B$11:$B$40,$B21,Override!$D$11:$D$40,2,Override!$C$11:$C$40,"MXAU"),Override!$D$56)/AS51!$B$3,"")))</f>
        <v/>
      </c>
      <c r="H21" s="140">
        <f>IF(H$13="","",IF($B21="","",IFERROR($C21*$D21*IF((Override!$C$4="ON")*(COUNTIFS(Override!$B$11:$B$40,$B21,Override!$D$11:$D$40,3,Override!$E$11:$E$40,"&gt;=0")-COUNTIFS(Override!$B$11:$B$40,$B21,Override!$D$11:$D$40,3,Override!$E$11:$E$40,"&gt;=0",Override!$C$11:$C$40,"MXAU"))&gt;0,SUMIFS(Override!$E$11:$E$40,Override!$B$11:$B$40,$B21,Override!$D$11:$D$40,3)-SUMIFS(Override!$E$11:$E$40,Override!$B$11:$B$40,$B21,Override!$D$11:$D$40,3,Override!$C$11:$C$40,"MXAU"),Override!$E$56)/AS51!$B$3,"")))</f>
        <v/>
      </c>
      <c r="I21" s="140">
        <f>IF(I$13="","",IF($B21="","",IFERROR($C21*$D21*IF((Override!$C$4="ON")*(COUNTIFS(Override!$B$11:$B$40,$B21,Override!$D$11:$D$40,4,Override!$E$11:$E$40,"&gt;=0")-COUNTIFS(Override!$B$11:$B$40,$B21,Override!$D$11:$D$40,4,Override!$E$11:$E$40,"&gt;=0",Override!$C$11:$C$40,"MXAU"))&gt;0,SUMIFS(Override!$E$11:$E$40,Override!$B$11:$B$40,$B21,Override!$D$11:$D$40,4)-SUMIFS(Override!$E$11:$E$40,Override!$B$11:$B$40,$B21,Override!$D$11:$D$40,4,Override!$C$11:$C$40,"MXAU"),Override!$F$56)/AS51!$B$3,"")))</f>
        <v/>
      </c>
      <c r="J21" s="140">
        <f>IF(J$13="","",IF($B21="","",IFERROR($C21*$D21*IF((Override!$C$4="ON")*(COUNTIFS(Override!$B$11:$B$40,$B21,Override!$D$11:$D$40,5,Override!$E$11:$E$40,"&gt;=0")-COUNTIFS(Override!$B$11:$B$40,$B21,Override!$D$11:$D$40,5,Override!$E$11:$E$40,"&gt;=0",Override!$C$11:$C$40,"MXAU"))&gt;0,SUMIFS(Override!$E$11:$E$40,Override!$B$11:$B$40,$B21,Override!$D$11:$D$40,5)-SUMIFS(Override!$E$11:$E$40,Override!$B$11:$B$40,$B21,Override!$D$11:$D$40,5,Override!$C$11:$C$40,"MXAU"),Override!$G$56)/AS51!$B$3,"")))</f>
        <v/>
      </c>
      <c r="K21" s="140">
        <f>IF(K$13="","",IF($B21="","",IFERROR($C21*$D21*IF((Override!$C$4="ON")*(COUNTIFS(Override!$B$11:$B$40,$B21,Override!$D$11:$D$40,6,Override!$E$11:$E$40,"&gt;=0")-COUNTIFS(Override!$B$11:$B$40,$B21,Override!$D$11:$D$40,6,Override!$E$11:$E$40,"&gt;=0",Override!$C$11:$C$40,"MXAU"))&gt;0,SUMIFS(Override!$E$11:$E$40,Override!$B$11:$B$40,$B21,Override!$D$11:$D$40,6)-SUMIFS(Override!$E$11:$E$40,Override!$B$11:$B$40,$B21,Override!$D$11:$D$40,6,Override!$C$11:$C$40,"MXAU"),Override!$H$56)/AS51!$B$3,"")))</f>
        <v/>
      </c>
      <c r="L21" s="140">
        <f>IF(L$13="","",IF($B21="","",IFERROR($C21*$D21*IF((Override!$C$4="ON")*(COUNTIFS(Override!$B$11:$B$40,$B21,Override!$D$11:$D$40,7,Override!$E$11:$E$40,"&gt;=0")-COUNTIFS(Override!$B$11:$B$40,$B21,Override!$D$11:$D$40,7,Override!$E$11:$E$40,"&gt;=0",Override!$C$11:$C$40,"MXAU"))&gt;0,SUMIFS(Override!$E$11:$E$40,Override!$B$11:$B$40,$B21,Override!$D$11:$D$40,7)-SUMIFS(Override!$E$11:$E$40,Override!$B$11:$B$40,$B21,Override!$D$11:$D$40,7,Override!$C$11:$C$40,"MXAU"),Override!$I$56)/AS51!$B$3,"")))</f>
        <v/>
      </c>
      <c r="M21" s="140">
        <f>IF(M$13="","",IF($B21="","",IFERROR($C21*$D21*IF((Override!$C$4="ON")*(COUNTIFS(Override!$B$11:$B$40,$B21,Override!$D$11:$D$40,8,Override!$E$11:$E$40,"&gt;=0")-COUNTIFS(Override!$B$11:$B$40,$B21,Override!$D$11:$D$40,8,Override!$E$11:$E$40,"&gt;=0",Override!$C$11:$C$40,"MXAU"))&gt;0,SUMIFS(Override!$E$11:$E$40,Override!$B$11:$B$40,$B21,Override!$D$11:$D$40,8)-SUMIFS(Override!$E$11:$E$40,Override!$B$11:$B$40,$B21,Override!$D$11:$D$40,8,Override!$C$11:$C$40,"MXAU"),Override!$J$56)/AS51!$B$3,"")))</f>
        <v/>
      </c>
      <c r="N21" s="140">
        <f>IF(N$13="","",IF($B21="","",IFERROR($C21*$D21*IF((Override!$C$4="ON")*(COUNTIFS(Override!$B$11:$B$40,$B21,Override!$D$11:$D$40,9,Override!$E$11:$E$40,"&gt;=0")-COUNTIFS(Override!$B$11:$B$40,$B21,Override!$D$11:$D$40,9,Override!$E$11:$E$40,"&gt;=0",Override!$C$11:$C$40,"MXAU"))&gt;0,SUMIFS(Override!$E$11:$E$40,Override!$B$11:$B$40,$B21,Override!$D$11:$D$40,9)-SUMIFS(Override!$E$11:$E$40,Override!$B$11:$B$40,$B21,Override!$D$11:$D$40,9,Override!$C$11:$C$40,"MXAU"),Override!$K$56)/AS51!$B$3,"")))</f>
        <v/>
      </c>
      <c r="O21" s="140">
        <f>IF(O$13="","",IF($B21="","",IFERROR($C21*$D21*IF((Override!$C$4="ON")*(COUNTIFS(Override!$B$11:$B$40,$B21,Override!$D$11:$D$40,10,Override!$E$11:$E$40,"&gt;=0")-COUNTIFS(Override!$B$11:$B$40,$B21,Override!$D$11:$D$40,10,Override!$E$11:$E$40,"&gt;=0",Override!$C$11:$C$40,"MXAU"))&gt;0,SUMIFS(Override!$E$11:$E$40,Override!$B$11:$B$40,$B21,Override!$D$11:$D$40,10)-SUMIFS(Override!$E$11:$E$40,Override!$B$11:$B$40,$B21,Override!$D$11:$D$40,10,Override!$C$11:$C$40,"MXAU"),Override!$L$56)/AS51!$B$3,"")))</f>
        <v/>
      </c>
      <c r="P21" s="140">
        <f>IF(P$13="","",IF($B21="","",IFERROR($C21*$D21*IF((Override!$C$4="ON")*(COUNTIFS(Override!$B$11:$B$40,$B21,Override!$D$11:$D$40,11,Override!$E$11:$E$40,"&gt;=0")-COUNTIFS(Override!$B$11:$B$40,$B21,Override!$D$11:$D$40,11,Override!$E$11:$E$40,"&gt;=0",Override!$C$11:$C$40,"MXAU"))&gt;0,SUMIFS(Override!$E$11:$E$40,Override!$B$11:$B$40,$B21,Override!$D$11:$D$40,11)-SUMIFS(Override!$E$11:$E$40,Override!$B$11:$B$40,$B21,Override!$D$11:$D$40,11,Override!$C$11:$C$40,"MXAU"),Override!$M$56)/AS51!$B$3,"")))</f>
        <v/>
      </c>
      <c r="Q21" s="140">
        <f>IF(Q$13="","",IF($B21="","",IFERROR($C21*$D21*IF((Override!$C$4="ON")*(COUNTIFS(Override!$B$11:$B$40,$B21,Override!$D$11:$D$40,12,Override!$E$11:$E$40,"&gt;=0")-COUNTIFS(Override!$B$11:$B$40,$B21,Override!$D$11:$D$40,12,Override!$E$11:$E$40,"&gt;=0",Override!$C$11:$C$40,"MXAU"))&gt;0,SUMIFS(Override!$E$11:$E$40,Override!$B$11:$B$40,$B21,Override!$D$11:$D$40,12)-SUMIFS(Override!$E$11:$E$40,Override!$B$11:$B$40,$B21,Override!$D$11:$D$40,12,Override!$C$11:$C$40,"MXAU"),Override!$N$56)/AS51!$B$3,"")))</f>
        <v/>
      </c>
      <c r="R21" s="140">
        <f>IF(R$13="","",IF($B21="","",IFERROR($C21*$D21*IF((Override!$C$4="ON")*(COUNTIFS(Override!$B$11:$B$40,$B21,Override!$D$11:$D$40,13,Override!$E$11:$E$40,"&gt;=0")-COUNTIFS(Override!$B$11:$B$40,$B21,Override!$D$11:$D$40,13,Override!$E$11:$E$40,"&gt;=0",Override!$C$11:$C$40,"MXAU"))&gt;0,SUMIFS(Override!$E$11:$E$40,Override!$B$11:$B$40,$B21,Override!$D$11:$D$40,13)-SUMIFS(Override!$E$11:$E$40,Override!$B$11:$B$40,$B21,Override!$D$11:$D$40,13,Override!$C$11:$C$40,"MXAU"),Override!$O$56)/AS51!$B$3,"")))</f>
        <v/>
      </c>
      <c r="S21" s="140">
        <f>IF(S$13="","",IF($B21="","",IFERROR($C21*$D21*IF((Override!$C$4="ON")*(COUNTIFS(Override!$B$11:$B$40,$B21,Override!$D$11:$D$40,14,Override!$E$11:$E$40,"&gt;=0")-COUNTIFS(Override!$B$11:$B$40,$B21,Override!$D$11:$D$40,14,Override!$E$11:$E$40,"&gt;=0",Override!$C$11:$C$40,"MXAU"))&gt;0,SUMIFS(Override!$E$11:$E$40,Override!$B$11:$B$40,$B21,Override!$D$11:$D$40,14)-SUMIFS(Override!$E$11:$E$40,Override!$B$11:$B$40,$B21,Override!$D$11:$D$40,14,Override!$C$11:$C$40,"MXAU"),Override!$P$56)/AS51!$B$3,"")))</f>
        <v/>
      </c>
      <c r="T21" s="140">
        <f>IF(T$13="","",IF($B21="","",IFERROR($C21*$D21*IF((Override!$C$4="ON")*(COUNTIFS(Override!$B$11:$B$40,$B21,Override!$D$11:$D$40,15,Override!$E$11:$E$40,"&gt;=0")-COUNTIFS(Override!$B$11:$B$40,$B21,Override!$D$11:$D$40,15,Override!$E$11:$E$40,"&gt;=0",Override!$C$11:$C$40,"MXAU"))&gt;0,SUMIFS(Override!$E$11:$E$40,Override!$B$11:$B$40,$B21,Override!$D$11:$D$40,15)-SUMIFS(Override!$E$11:$E$40,Override!$B$11:$B$40,$B21,Override!$D$11:$D$40,15,Override!$C$11:$C$40,"MXAU"),Override!$Q$56)/AS51!$B$3,"")))</f>
        <v/>
      </c>
      <c r="U21" s="140">
        <f>IF(U$13="","",IF($B21="","",IFERROR($C21*$D21*IF((Override!$C$4="ON")*(COUNTIFS(Override!$B$11:$B$40,$B21,Override!$D$11:$D$40,16,Override!$E$11:$E$40,"&gt;=0")-COUNTIFS(Override!$B$11:$B$40,$B21,Override!$D$11:$D$40,16,Override!$E$11:$E$40,"&gt;=0",Override!$C$11:$C$40,"MXAU"))&gt;0,SUMIFS(Override!$E$11:$E$40,Override!$B$11:$B$40,$B21,Override!$D$11:$D$40,16)-SUMIFS(Override!$E$11:$E$40,Override!$B$11:$B$40,$B21,Override!$D$11:$D$40,16,Override!$C$11:$C$40,"MXAU"),Override!$R$56)/AS51!$B$3,"")))</f>
        <v/>
      </c>
      <c r="W21" s="140">
        <f>IF(W$13="","",IF($B21="","",IFERROR(F21*$E21/100,"")))</f>
        <v/>
      </c>
      <c r="X21" s="140">
        <f>IF(X$13="","",IF($B21="","",IFERROR(G21*$E21/100,"")))</f>
        <v/>
      </c>
      <c r="Y21" s="140">
        <f>IF(Y$13="","",IF($B21="","",IFERROR(H21*$E21/100,"")))</f>
        <v/>
      </c>
      <c r="Z21" s="140">
        <f>IF(Z$13="","",IF($B21="","",IFERROR(I21*$E21/100,"")))</f>
        <v/>
      </c>
      <c r="AA21" s="140">
        <f>IF(AA$13="","",IF($B21="","",IFERROR(J21*$E21/100,"")))</f>
        <v/>
      </c>
      <c r="AB21" s="140">
        <f>IF(AB$13="","",IF($B21="","",IFERROR(K21*$E21/100,"")))</f>
        <v/>
      </c>
      <c r="AC21" s="140">
        <f>IF(AC$13="","",IF($B21="","",IFERROR(L21*$E21/100,"")))</f>
        <v/>
      </c>
      <c r="AD21" s="140">
        <f>IF(AD$13="","",IF($B21="","",IFERROR(M21*$E21/100,"")))</f>
        <v/>
      </c>
      <c r="AE21" s="140">
        <f>IF(AE$13="","",IF($B21="","",IFERROR(N21*$E21/100,"")))</f>
        <v/>
      </c>
      <c r="AF21" s="140">
        <f>IF(AF$13="","",IF($B21="","",IFERROR(O21*$E21/100,"")))</f>
        <v/>
      </c>
      <c r="AG21" s="140">
        <f>IF(AG$13="","",IF($B21="","",IFERROR(P21*$E21/100,"")))</f>
        <v/>
      </c>
      <c r="AH21" s="140">
        <f>IF(AH$13="","",IF($B21="","",IFERROR(Q21*$E21/100,"")))</f>
        <v/>
      </c>
      <c r="AI21" s="140">
        <f>IF(AI$13="","",IF($B21="","",IFERROR(R21*$E21/100,"")))</f>
        <v/>
      </c>
      <c r="AJ21" s="140">
        <f>IF(AJ$13="","",IF($B21="","",IFERROR(S21*$E21/100,"")))</f>
        <v/>
      </c>
      <c r="AK21" s="140">
        <f>IF(AK$13="","",IF($B21="","",IFERROR(T21*$E21/100,"")))</f>
        <v/>
      </c>
      <c r="AL21" s="140">
        <f>IF(AL$13="","",IF($B21="","",IFERROR(U21*$E21/100,"")))</f>
        <v/>
      </c>
      <c r="AN21" s="140">
        <f>IF($B21="","",SUMIF($F$13:$U$13,"&lt;="&amp;Sector!$D$51,$F21:$U21))</f>
        <v/>
      </c>
      <c r="AO21" s="140">
        <f>IF($B21="","",SUMIF($W$13:$AL$13,"&lt;="&amp;Sector!$D$51,$W21:$AL21))</f>
        <v/>
      </c>
    </row>
    <row r="22">
      <c r="B22" s="5">
        <f>IF(AS51!$C$12="","",AS51!$C$12)</f>
        <v/>
      </c>
      <c r="C22" s="90">
        <f>IF(AS51!$B$12="","",AS51!$B$12)</f>
        <v/>
      </c>
      <c r="D22" s="138">
        <f>IFERROR(AS51!$Q$12,1)</f>
        <v/>
      </c>
      <c r="E22" s="139">
        <f>IF($B22="","",IF(ISNUMBER(AS51!$I$12),AS51!$I$12,'Index Summary'!$C$7))</f>
        <v/>
      </c>
      <c r="F22" s="140">
        <f>IF(F$13="","",IF($B22="","",IFERROR($C22*$D22*IF((Override!$C$4="ON")*(COUNTIFS(Override!$B$11:$B$40,$B22,Override!$D$11:$D$40,1,Override!$E$11:$E$40,"&gt;=0")-COUNTIFS(Override!$B$11:$B$40,$B22,Override!$D$11:$D$40,1,Override!$E$11:$E$40,"&gt;=0",Override!$C$11:$C$40,"MXAU"))&gt;0,SUMIFS(Override!$E$11:$E$40,Override!$B$11:$B$40,$B22,Override!$D$11:$D$40,1)-SUMIFS(Override!$E$11:$E$40,Override!$B$11:$B$40,$B22,Override!$D$11:$D$40,1,Override!$C$11:$C$40,"MXAU"),Override!$C$57)/AS51!$B$3,"")))</f>
        <v/>
      </c>
      <c r="G22" s="140">
        <f>IF(G$13="","",IF($B22="","",IFERROR($C22*$D22*IF((Override!$C$4="ON")*(COUNTIFS(Override!$B$11:$B$40,$B22,Override!$D$11:$D$40,2,Override!$E$11:$E$40,"&gt;=0")-COUNTIFS(Override!$B$11:$B$40,$B22,Override!$D$11:$D$40,2,Override!$E$11:$E$40,"&gt;=0",Override!$C$11:$C$40,"MXAU"))&gt;0,SUMIFS(Override!$E$11:$E$40,Override!$B$11:$B$40,$B22,Override!$D$11:$D$40,2)-SUMIFS(Override!$E$11:$E$40,Override!$B$11:$B$40,$B22,Override!$D$11:$D$40,2,Override!$C$11:$C$40,"MXAU"),Override!$D$57)/AS51!$B$3,"")))</f>
        <v/>
      </c>
      <c r="H22" s="140">
        <f>IF(H$13="","",IF($B22="","",IFERROR($C22*$D22*IF((Override!$C$4="ON")*(COUNTIFS(Override!$B$11:$B$40,$B22,Override!$D$11:$D$40,3,Override!$E$11:$E$40,"&gt;=0")-COUNTIFS(Override!$B$11:$B$40,$B22,Override!$D$11:$D$40,3,Override!$E$11:$E$40,"&gt;=0",Override!$C$11:$C$40,"MXAU"))&gt;0,SUMIFS(Override!$E$11:$E$40,Override!$B$11:$B$40,$B22,Override!$D$11:$D$40,3)-SUMIFS(Override!$E$11:$E$40,Override!$B$11:$B$40,$B22,Override!$D$11:$D$40,3,Override!$C$11:$C$40,"MXAU"),Override!$E$57)/AS51!$B$3,"")))</f>
        <v/>
      </c>
      <c r="I22" s="140">
        <f>IF(I$13="","",IF($B22="","",IFERROR($C22*$D22*IF((Override!$C$4="ON")*(COUNTIFS(Override!$B$11:$B$40,$B22,Override!$D$11:$D$40,4,Override!$E$11:$E$40,"&gt;=0")-COUNTIFS(Override!$B$11:$B$40,$B22,Override!$D$11:$D$40,4,Override!$E$11:$E$40,"&gt;=0",Override!$C$11:$C$40,"MXAU"))&gt;0,SUMIFS(Override!$E$11:$E$40,Override!$B$11:$B$40,$B22,Override!$D$11:$D$40,4)-SUMIFS(Override!$E$11:$E$40,Override!$B$11:$B$40,$B22,Override!$D$11:$D$40,4,Override!$C$11:$C$40,"MXAU"),Override!$F$57)/AS51!$B$3,"")))</f>
        <v/>
      </c>
      <c r="J22" s="140">
        <f>IF(J$13="","",IF($B22="","",IFERROR($C22*$D22*IF((Override!$C$4="ON")*(COUNTIFS(Override!$B$11:$B$40,$B22,Override!$D$11:$D$40,5,Override!$E$11:$E$40,"&gt;=0")-COUNTIFS(Override!$B$11:$B$40,$B22,Override!$D$11:$D$40,5,Override!$E$11:$E$40,"&gt;=0",Override!$C$11:$C$40,"MXAU"))&gt;0,SUMIFS(Override!$E$11:$E$40,Override!$B$11:$B$40,$B22,Override!$D$11:$D$40,5)-SUMIFS(Override!$E$11:$E$40,Override!$B$11:$B$40,$B22,Override!$D$11:$D$40,5,Override!$C$11:$C$40,"MXAU"),Override!$G$57)/AS51!$B$3,"")))</f>
        <v/>
      </c>
      <c r="K22" s="140">
        <f>IF(K$13="","",IF($B22="","",IFERROR($C22*$D22*IF((Override!$C$4="ON")*(COUNTIFS(Override!$B$11:$B$40,$B22,Override!$D$11:$D$40,6,Override!$E$11:$E$40,"&gt;=0")-COUNTIFS(Override!$B$11:$B$40,$B22,Override!$D$11:$D$40,6,Override!$E$11:$E$40,"&gt;=0",Override!$C$11:$C$40,"MXAU"))&gt;0,SUMIFS(Override!$E$11:$E$40,Override!$B$11:$B$40,$B22,Override!$D$11:$D$40,6)-SUMIFS(Override!$E$11:$E$40,Override!$B$11:$B$40,$B22,Override!$D$11:$D$40,6,Override!$C$11:$C$40,"MXAU"),Override!$H$57)/AS51!$B$3,"")))</f>
        <v/>
      </c>
      <c r="L22" s="140">
        <f>IF(L$13="","",IF($B22="","",IFERROR($C22*$D22*IF((Override!$C$4="ON")*(COUNTIFS(Override!$B$11:$B$40,$B22,Override!$D$11:$D$40,7,Override!$E$11:$E$40,"&gt;=0")-COUNTIFS(Override!$B$11:$B$40,$B22,Override!$D$11:$D$40,7,Override!$E$11:$E$40,"&gt;=0",Override!$C$11:$C$40,"MXAU"))&gt;0,SUMIFS(Override!$E$11:$E$40,Override!$B$11:$B$40,$B22,Override!$D$11:$D$40,7)-SUMIFS(Override!$E$11:$E$40,Override!$B$11:$B$40,$B22,Override!$D$11:$D$40,7,Override!$C$11:$C$40,"MXAU"),Override!$I$57)/AS51!$B$3,"")))</f>
        <v/>
      </c>
      <c r="M22" s="140">
        <f>IF(M$13="","",IF($B22="","",IFERROR($C22*$D22*IF((Override!$C$4="ON")*(COUNTIFS(Override!$B$11:$B$40,$B22,Override!$D$11:$D$40,8,Override!$E$11:$E$40,"&gt;=0")-COUNTIFS(Override!$B$11:$B$40,$B22,Override!$D$11:$D$40,8,Override!$E$11:$E$40,"&gt;=0",Override!$C$11:$C$40,"MXAU"))&gt;0,SUMIFS(Override!$E$11:$E$40,Override!$B$11:$B$40,$B22,Override!$D$11:$D$40,8)-SUMIFS(Override!$E$11:$E$40,Override!$B$11:$B$40,$B22,Override!$D$11:$D$40,8,Override!$C$11:$C$40,"MXAU"),Override!$J$57)/AS51!$B$3,"")))</f>
        <v/>
      </c>
      <c r="N22" s="140">
        <f>IF(N$13="","",IF($B22="","",IFERROR($C22*$D22*IF((Override!$C$4="ON")*(COUNTIFS(Override!$B$11:$B$40,$B22,Override!$D$11:$D$40,9,Override!$E$11:$E$40,"&gt;=0")-COUNTIFS(Override!$B$11:$B$40,$B22,Override!$D$11:$D$40,9,Override!$E$11:$E$40,"&gt;=0",Override!$C$11:$C$40,"MXAU"))&gt;0,SUMIFS(Override!$E$11:$E$40,Override!$B$11:$B$40,$B22,Override!$D$11:$D$40,9)-SUMIFS(Override!$E$11:$E$40,Override!$B$11:$B$40,$B22,Override!$D$11:$D$40,9,Override!$C$11:$C$40,"MXAU"),Override!$K$57)/AS51!$B$3,"")))</f>
        <v/>
      </c>
      <c r="O22" s="140">
        <f>IF(O$13="","",IF($B22="","",IFERROR($C22*$D22*IF((Override!$C$4="ON")*(COUNTIFS(Override!$B$11:$B$40,$B22,Override!$D$11:$D$40,10,Override!$E$11:$E$40,"&gt;=0")-COUNTIFS(Override!$B$11:$B$40,$B22,Override!$D$11:$D$40,10,Override!$E$11:$E$40,"&gt;=0",Override!$C$11:$C$40,"MXAU"))&gt;0,SUMIFS(Override!$E$11:$E$40,Override!$B$11:$B$40,$B22,Override!$D$11:$D$40,10)-SUMIFS(Override!$E$11:$E$40,Override!$B$11:$B$40,$B22,Override!$D$11:$D$40,10,Override!$C$11:$C$40,"MXAU"),Override!$L$57)/AS51!$B$3,"")))</f>
        <v/>
      </c>
      <c r="P22" s="140">
        <f>IF(P$13="","",IF($B22="","",IFERROR($C22*$D22*IF((Override!$C$4="ON")*(COUNTIFS(Override!$B$11:$B$40,$B22,Override!$D$11:$D$40,11,Override!$E$11:$E$40,"&gt;=0")-COUNTIFS(Override!$B$11:$B$40,$B22,Override!$D$11:$D$40,11,Override!$E$11:$E$40,"&gt;=0",Override!$C$11:$C$40,"MXAU"))&gt;0,SUMIFS(Override!$E$11:$E$40,Override!$B$11:$B$40,$B22,Override!$D$11:$D$40,11)-SUMIFS(Override!$E$11:$E$40,Override!$B$11:$B$40,$B22,Override!$D$11:$D$40,11,Override!$C$11:$C$40,"MXAU"),Override!$M$57)/AS51!$B$3,"")))</f>
        <v/>
      </c>
      <c r="Q22" s="140">
        <f>IF(Q$13="","",IF($B22="","",IFERROR($C22*$D22*IF((Override!$C$4="ON")*(COUNTIFS(Override!$B$11:$B$40,$B22,Override!$D$11:$D$40,12,Override!$E$11:$E$40,"&gt;=0")-COUNTIFS(Override!$B$11:$B$40,$B22,Override!$D$11:$D$40,12,Override!$E$11:$E$40,"&gt;=0",Override!$C$11:$C$40,"MXAU"))&gt;0,SUMIFS(Override!$E$11:$E$40,Override!$B$11:$B$40,$B22,Override!$D$11:$D$40,12)-SUMIFS(Override!$E$11:$E$40,Override!$B$11:$B$40,$B22,Override!$D$11:$D$40,12,Override!$C$11:$C$40,"MXAU"),Override!$N$57)/AS51!$B$3,"")))</f>
        <v/>
      </c>
      <c r="R22" s="140">
        <f>IF(R$13="","",IF($B22="","",IFERROR($C22*$D22*IF((Override!$C$4="ON")*(COUNTIFS(Override!$B$11:$B$40,$B22,Override!$D$11:$D$40,13,Override!$E$11:$E$40,"&gt;=0")-COUNTIFS(Override!$B$11:$B$40,$B22,Override!$D$11:$D$40,13,Override!$E$11:$E$40,"&gt;=0",Override!$C$11:$C$40,"MXAU"))&gt;0,SUMIFS(Override!$E$11:$E$40,Override!$B$11:$B$40,$B22,Override!$D$11:$D$40,13)-SUMIFS(Override!$E$11:$E$40,Override!$B$11:$B$40,$B22,Override!$D$11:$D$40,13,Override!$C$11:$C$40,"MXAU"),Override!$O$57)/AS51!$B$3,"")))</f>
        <v/>
      </c>
      <c r="S22" s="140">
        <f>IF(S$13="","",IF($B22="","",IFERROR($C22*$D22*IF((Override!$C$4="ON")*(COUNTIFS(Override!$B$11:$B$40,$B22,Override!$D$11:$D$40,14,Override!$E$11:$E$40,"&gt;=0")-COUNTIFS(Override!$B$11:$B$40,$B22,Override!$D$11:$D$40,14,Override!$E$11:$E$40,"&gt;=0",Override!$C$11:$C$40,"MXAU"))&gt;0,SUMIFS(Override!$E$11:$E$40,Override!$B$11:$B$40,$B22,Override!$D$11:$D$40,14)-SUMIFS(Override!$E$11:$E$40,Override!$B$11:$B$40,$B22,Override!$D$11:$D$40,14,Override!$C$11:$C$40,"MXAU"),Override!$P$57)/AS51!$B$3,"")))</f>
        <v/>
      </c>
      <c r="T22" s="140">
        <f>IF(T$13="","",IF($B22="","",IFERROR($C22*$D22*IF((Override!$C$4="ON")*(COUNTIFS(Override!$B$11:$B$40,$B22,Override!$D$11:$D$40,15,Override!$E$11:$E$40,"&gt;=0")-COUNTIFS(Override!$B$11:$B$40,$B22,Override!$D$11:$D$40,15,Override!$E$11:$E$40,"&gt;=0",Override!$C$11:$C$40,"MXAU"))&gt;0,SUMIFS(Override!$E$11:$E$40,Override!$B$11:$B$40,$B22,Override!$D$11:$D$40,15)-SUMIFS(Override!$E$11:$E$40,Override!$B$11:$B$40,$B22,Override!$D$11:$D$40,15,Override!$C$11:$C$40,"MXAU"),Override!$Q$57)/AS51!$B$3,"")))</f>
        <v/>
      </c>
      <c r="U22" s="140">
        <f>IF(U$13="","",IF($B22="","",IFERROR($C22*$D22*IF((Override!$C$4="ON")*(COUNTIFS(Override!$B$11:$B$40,$B22,Override!$D$11:$D$40,16,Override!$E$11:$E$40,"&gt;=0")-COUNTIFS(Override!$B$11:$B$40,$B22,Override!$D$11:$D$40,16,Override!$E$11:$E$40,"&gt;=0",Override!$C$11:$C$40,"MXAU"))&gt;0,SUMIFS(Override!$E$11:$E$40,Override!$B$11:$B$40,$B22,Override!$D$11:$D$40,16)-SUMIFS(Override!$E$11:$E$40,Override!$B$11:$B$40,$B22,Override!$D$11:$D$40,16,Override!$C$11:$C$40,"MXAU"),Override!$R$57)/AS51!$B$3,"")))</f>
        <v/>
      </c>
      <c r="W22" s="140">
        <f>IF(W$13="","",IF($B22="","",IFERROR(F22*$E22/100,"")))</f>
        <v/>
      </c>
      <c r="X22" s="140">
        <f>IF(X$13="","",IF($B22="","",IFERROR(G22*$E22/100,"")))</f>
        <v/>
      </c>
      <c r="Y22" s="140">
        <f>IF(Y$13="","",IF($B22="","",IFERROR(H22*$E22/100,"")))</f>
        <v/>
      </c>
      <c r="Z22" s="140">
        <f>IF(Z$13="","",IF($B22="","",IFERROR(I22*$E22/100,"")))</f>
        <v/>
      </c>
      <c r="AA22" s="140">
        <f>IF(AA$13="","",IF($B22="","",IFERROR(J22*$E22/100,"")))</f>
        <v/>
      </c>
      <c r="AB22" s="140">
        <f>IF(AB$13="","",IF($B22="","",IFERROR(K22*$E22/100,"")))</f>
        <v/>
      </c>
      <c r="AC22" s="140">
        <f>IF(AC$13="","",IF($B22="","",IFERROR(L22*$E22/100,"")))</f>
        <v/>
      </c>
      <c r="AD22" s="140">
        <f>IF(AD$13="","",IF($B22="","",IFERROR(M22*$E22/100,"")))</f>
        <v/>
      </c>
      <c r="AE22" s="140">
        <f>IF(AE$13="","",IF($B22="","",IFERROR(N22*$E22/100,"")))</f>
        <v/>
      </c>
      <c r="AF22" s="140">
        <f>IF(AF$13="","",IF($B22="","",IFERROR(O22*$E22/100,"")))</f>
        <v/>
      </c>
      <c r="AG22" s="140">
        <f>IF(AG$13="","",IF($B22="","",IFERROR(P22*$E22/100,"")))</f>
        <v/>
      </c>
      <c r="AH22" s="140">
        <f>IF(AH$13="","",IF($B22="","",IFERROR(Q22*$E22/100,"")))</f>
        <v/>
      </c>
      <c r="AI22" s="140">
        <f>IF(AI$13="","",IF($B22="","",IFERROR(R22*$E22/100,"")))</f>
        <v/>
      </c>
      <c r="AJ22" s="140">
        <f>IF(AJ$13="","",IF($B22="","",IFERROR(S22*$E22/100,"")))</f>
        <v/>
      </c>
      <c r="AK22" s="140">
        <f>IF(AK$13="","",IF($B22="","",IFERROR(T22*$E22/100,"")))</f>
        <v/>
      </c>
      <c r="AL22" s="140">
        <f>IF(AL$13="","",IF($B22="","",IFERROR(U22*$E22/100,"")))</f>
        <v/>
      </c>
      <c r="AN22" s="140">
        <f>IF($B22="","",SUMIF($F$13:$U$13,"&lt;="&amp;Sector!$D$51,$F22:$U22))</f>
        <v/>
      </c>
      <c r="AO22" s="140">
        <f>IF($B22="","",SUMIF($W$13:$AL$13,"&lt;="&amp;Sector!$D$51,$W22:$AL22))</f>
        <v/>
      </c>
    </row>
    <row r="23">
      <c r="B23" s="5">
        <f>IF(AS51!$C$13="","",AS51!$C$13)</f>
        <v/>
      </c>
      <c r="C23" s="90">
        <f>IF(AS51!$B$13="","",AS51!$B$13)</f>
        <v/>
      </c>
      <c r="D23" s="138">
        <f>IFERROR(AS51!$Q$13,1)</f>
        <v/>
      </c>
      <c r="E23" s="139">
        <f>IF($B23="","",IF(ISNUMBER(AS51!$I$13),AS51!$I$13,'Index Summary'!$C$7))</f>
        <v/>
      </c>
      <c r="F23" s="140">
        <f>IF(F$13="","",IF($B23="","",IFERROR($C23*$D23*IF((Override!$C$4="ON")*(COUNTIFS(Override!$B$11:$B$40,$B23,Override!$D$11:$D$40,1,Override!$E$11:$E$40,"&gt;=0")-COUNTIFS(Override!$B$11:$B$40,$B23,Override!$D$11:$D$40,1,Override!$E$11:$E$40,"&gt;=0",Override!$C$11:$C$40,"MXAU"))&gt;0,SUMIFS(Override!$E$11:$E$40,Override!$B$11:$B$40,$B23,Override!$D$11:$D$40,1)-SUMIFS(Override!$E$11:$E$40,Override!$B$11:$B$40,$B23,Override!$D$11:$D$40,1,Override!$C$11:$C$40,"MXAU"),Override!$C$58)/AS51!$B$3,"")))</f>
        <v/>
      </c>
      <c r="G23" s="140">
        <f>IF(G$13="","",IF($B23="","",IFERROR($C23*$D23*IF((Override!$C$4="ON")*(COUNTIFS(Override!$B$11:$B$40,$B23,Override!$D$11:$D$40,2,Override!$E$11:$E$40,"&gt;=0")-COUNTIFS(Override!$B$11:$B$40,$B23,Override!$D$11:$D$40,2,Override!$E$11:$E$40,"&gt;=0",Override!$C$11:$C$40,"MXAU"))&gt;0,SUMIFS(Override!$E$11:$E$40,Override!$B$11:$B$40,$B23,Override!$D$11:$D$40,2)-SUMIFS(Override!$E$11:$E$40,Override!$B$11:$B$40,$B23,Override!$D$11:$D$40,2,Override!$C$11:$C$40,"MXAU"),Override!$D$58)/AS51!$B$3,"")))</f>
        <v/>
      </c>
      <c r="H23" s="140">
        <f>IF(H$13="","",IF($B23="","",IFERROR($C23*$D23*IF((Override!$C$4="ON")*(COUNTIFS(Override!$B$11:$B$40,$B23,Override!$D$11:$D$40,3,Override!$E$11:$E$40,"&gt;=0")-COUNTIFS(Override!$B$11:$B$40,$B23,Override!$D$11:$D$40,3,Override!$E$11:$E$40,"&gt;=0",Override!$C$11:$C$40,"MXAU"))&gt;0,SUMIFS(Override!$E$11:$E$40,Override!$B$11:$B$40,$B23,Override!$D$11:$D$40,3)-SUMIFS(Override!$E$11:$E$40,Override!$B$11:$B$40,$B23,Override!$D$11:$D$40,3,Override!$C$11:$C$40,"MXAU"),Override!$E$58)/AS51!$B$3,"")))</f>
        <v/>
      </c>
      <c r="I23" s="140">
        <f>IF(I$13="","",IF($B23="","",IFERROR($C23*$D23*IF((Override!$C$4="ON")*(COUNTIFS(Override!$B$11:$B$40,$B23,Override!$D$11:$D$40,4,Override!$E$11:$E$40,"&gt;=0")-COUNTIFS(Override!$B$11:$B$40,$B23,Override!$D$11:$D$40,4,Override!$E$11:$E$40,"&gt;=0",Override!$C$11:$C$40,"MXAU"))&gt;0,SUMIFS(Override!$E$11:$E$40,Override!$B$11:$B$40,$B23,Override!$D$11:$D$40,4)-SUMIFS(Override!$E$11:$E$40,Override!$B$11:$B$40,$B23,Override!$D$11:$D$40,4,Override!$C$11:$C$40,"MXAU"),Override!$F$58)/AS51!$B$3,"")))</f>
        <v/>
      </c>
      <c r="J23" s="140">
        <f>IF(J$13="","",IF($B23="","",IFERROR($C23*$D23*IF((Override!$C$4="ON")*(COUNTIFS(Override!$B$11:$B$40,$B23,Override!$D$11:$D$40,5,Override!$E$11:$E$40,"&gt;=0")-COUNTIFS(Override!$B$11:$B$40,$B23,Override!$D$11:$D$40,5,Override!$E$11:$E$40,"&gt;=0",Override!$C$11:$C$40,"MXAU"))&gt;0,SUMIFS(Override!$E$11:$E$40,Override!$B$11:$B$40,$B23,Override!$D$11:$D$40,5)-SUMIFS(Override!$E$11:$E$40,Override!$B$11:$B$40,$B23,Override!$D$11:$D$40,5,Override!$C$11:$C$40,"MXAU"),Override!$G$58)/AS51!$B$3,"")))</f>
        <v/>
      </c>
      <c r="K23" s="140">
        <f>IF(K$13="","",IF($B23="","",IFERROR($C23*$D23*IF((Override!$C$4="ON")*(COUNTIFS(Override!$B$11:$B$40,$B23,Override!$D$11:$D$40,6,Override!$E$11:$E$40,"&gt;=0")-COUNTIFS(Override!$B$11:$B$40,$B23,Override!$D$11:$D$40,6,Override!$E$11:$E$40,"&gt;=0",Override!$C$11:$C$40,"MXAU"))&gt;0,SUMIFS(Override!$E$11:$E$40,Override!$B$11:$B$40,$B23,Override!$D$11:$D$40,6)-SUMIFS(Override!$E$11:$E$40,Override!$B$11:$B$40,$B23,Override!$D$11:$D$40,6,Override!$C$11:$C$40,"MXAU"),Override!$H$58)/AS51!$B$3,"")))</f>
        <v/>
      </c>
      <c r="L23" s="140">
        <f>IF(L$13="","",IF($B23="","",IFERROR($C23*$D23*IF((Override!$C$4="ON")*(COUNTIFS(Override!$B$11:$B$40,$B23,Override!$D$11:$D$40,7,Override!$E$11:$E$40,"&gt;=0")-COUNTIFS(Override!$B$11:$B$40,$B23,Override!$D$11:$D$40,7,Override!$E$11:$E$40,"&gt;=0",Override!$C$11:$C$40,"MXAU"))&gt;0,SUMIFS(Override!$E$11:$E$40,Override!$B$11:$B$40,$B23,Override!$D$11:$D$40,7)-SUMIFS(Override!$E$11:$E$40,Override!$B$11:$B$40,$B23,Override!$D$11:$D$40,7,Override!$C$11:$C$40,"MXAU"),Override!$I$58)/AS51!$B$3,"")))</f>
        <v/>
      </c>
      <c r="M23" s="140">
        <f>IF(M$13="","",IF($B23="","",IFERROR($C23*$D23*IF((Override!$C$4="ON")*(COUNTIFS(Override!$B$11:$B$40,$B23,Override!$D$11:$D$40,8,Override!$E$11:$E$40,"&gt;=0")-COUNTIFS(Override!$B$11:$B$40,$B23,Override!$D$11:$D$40,8,Override!$E$11:$E$40,"&gt;=0",Override!$C$11:$C$40,"MXAU"))&gt;0,SUMIFS(Override!$E$11:$E$40,Override!$B$11:$B$40,$B23,Override!$D$11:$D$40,8)-SUMIFS(Override!$E$11:$E$40,Override!$B$11:$B$40,$B23,Override!$D$11:$D$40,8,Override!$C$11:$C$40,"MXAU"),Override!$J$58)/AS51!$B$3,"")))</f>
        <v/>
      </c>
      <c r="N23" s="140">
        <f>IF(N$13="","",IF($B23="","",IFERROR($C23*$D23*IF((Override!$C$4="ON")*(COUNTIFS(Override!$B$11:$B$40,$B23,Override!$D$11:$D$40,9,Override!$E$11:$E$40,"&gt;=0")-COUNTIFS(Override!$B$11:$B$40,$B23,Override!$D$11:$D$40,9,Override!$E$11:$E$40,"&gt;=0",Override!$C$11:$C$40,"MXAU"))&gt;0,SUMIFS(Override!$E$11:$E$40,Override!$B$11:$B$40,$B23,Override!$D$11:$D$40,9)-SUMIFS(Override!$E$11:$E$40,Override!$B$11:$B$40,$B23,Override!$D$11:$D$40,9,Override!$C$11:$C$40,"MXAU"),Override!$K$58)/AS51!$B$3,"")))</f>
        <v/>
      </c>
      <c r="O23" s="140">
        <f>IF(O$13="","",IF($B23="","",IFERROR($C23*$D23*IF((Override!$C$4="ON")*(COUNTIFS(Override!$B$11:$B$40,$B23,Override!$D$11:$D$40,10,Override!$E$11:$E$40,"&gt;=0")-COUNTIFS(Override!$B$11:$B$40,$B23,Override!$D$11:$D$40,10,Override!$E$11:$E$40,"&gt;=0",Override!$C$11:$C$40,"MXAU"))&gt;0,SUMIFS(Override!$E$11:$E$40,Override!$B$11:$B$40,$B23,Override!$D$11:$D$40,10)-SUMIFS(Override!$E$11:$E$40,Override!$B$11:$B$40,$B23,Override!$D$11:$D$40,10,Override!$C$11:$C$40,"MXAU"),Override!$L$58)/AS51!$B$3,"")))</f>
        <v/>
      </c>
      <c r="P23" s="140">
        <f>IF(P$13="","",IF($B23="","",IFERROR($C23*$D23*IF((Override!$C$4="ON")*(COUNTIFS(Override!$B$11:$B$40,$B23,Override!$D$11:$D$40,11,Override!$E$11:$E$40,"&gt;=0")-COUNTIFS(Override!$B$11:$B$40,$B23,Override!$D$11:$D$40,11,Override!$E$11:$E$40,"&gt;=0",Override!$C$11:$C$40,"MXAU"))&gt;0,SUMIFS(Override!$E$11:$E$40,Override!$B$11:$B$40,$B23,Override!$D$11:$D$40,11)-SUMIFS(Override!$E$11:$E$40,Override!$B$11:$B$40,$B23,Override!$D$11:$D$40,11,Override!$C$11:$C$40,"MXAU"),Override!$M$58)/AS51!$B$3,"")))</f>
        <v/>
      </c>
      <c r="Q23" s="140">
        <f>IF(Q$13="","",IF($B23="","",IFERROR($C23*$D23*IF((Override!$C$4="ON")*(COUNTIFS(Override!$B$11:$B$40,$B23,Override!$D$11:$D$40,12,Override!$E$11:$E$40,"&gt;=0")-COUNTIFS(Override!$B$11:$B$40,$B23,Override!$D$11:$D$40,12,Override!$E$11:$E$40,"&gt;=0",Override!$C$11:$C$40,"MXAU"))&gt;0,SUMIFS(Override!$E$11:$E$40,Override!$B$11:$B$40,$B23,Override!$D$11:$D$40,12)-SUMIFS(Override!$E$11:$E$40,Override!$B$11:$B$40,$B23,Override!$D$11:$D$40,12,Override!$C$11:$C$40,"MXAU"),Override!$N$58)/AS51!$B$3,"")))</f>
        <v/>
      </c>
      <c r="R23" s="140">
        <f>IF(R$13="","",IF($B23="","",IFERROR($C23*$D23*IF((Override!$C$4="ON")*(COUNTIFS(Override!$B$11:$B$40,$B23,Override!$D$11:$D$40,13,Override!$E$11:$E$40,"&gt;=0")-COUNTIFS(Override!$B$11:$B$40,$B23,Override!$D$11:$D$40,13,Override!$E$11:$E$40,"&gt;=0",Override!$C$11:$C$40,"MXAU"))&gt;0,SUMIFS(Override!$E$11:$E$40,Override!$B$11:$B$40,$B23,Override!$D$11:$D$40,13)-SUMIFS(Override!$E$11:$E$40,Override!$B$11:$B$40,$B23,Override!$D$11:$D$40,13,Override!$C$11:$C$40,"MXAU"),Override!$O$58)/AS51!$B$3,"")))</f>
        <v/>
      </c>
      <c r="S23" s="140">
        <f>IF(S$13="","",IF($B23="","",IFERROR($C23*$D23*IF((Override!$C$4="ON")*(COUNTIFS(Override!$B$11:$B$40,$B23,Override!$D$11:$D$40,14,Override!$E$11:$E$40,"&gt;=0")-COUNTIFS(Override!$B$11:$B$40,$B23,Override!$D$11:$D$40,14,Override!$E$11:$E$40,"&gt;=0",Override!$C$11:$C$40,"MXAU"))&gt;0,SUMIFS(Override!$E$11:$E$40,Override!$B$11:$B$40,$B23,Override!$D$11:$D$40,14)-SUMIFS(Override!$E$11:$E$40,Override!$B$11:$B$40,$B23,Override!$D$11:$D$40,14,Override!$C$11:$C$40,"MXAU"),Override!$P$58)/AS51!$B$3,"")))</f>
        <v/>
      </c>
      <c r="T23" s="140">
        <f>IF(T$13="","",IF($B23="","",IFERROR($C23*$D23*IF((Override!$C$4="ON")*(COUNTIFS(Override!$B$11:$B$40,$B23,Override!$D$11:$D$40,15,Override!$E$11:$E$40,"&gt;=0")-COUNTIFS(Override!$B$11:$B$40,$B23,Override!$D$11:$D$40,15,Override!$E$11:$E$40,"&gt;=0",Override!$C$11:$C$40,"MXAU"))&gt;0,SUMIFS(Override!$E$11:$E$40,Override!$B$11:$B$40,$B23,Override!$D$11:$D$40,15)-SUMIFS(Override!$E$11:$E$40,Override!$B$11:$B$40,$B23,Override!$D$11:$D$40,15,Override!$C$11:$C$40,"MXAU"),Override!$Q$58)/AS51!$B$3,"")))</f>
        <v/>
      </c>
      <c r="U23" s="140">
        <f>IF(U$13="","",IF($B23="","",IFERROR($C23*$D23*IF((Override!$C$4="ON")*(COUNTIFS(Override!$B$11:$B$40,$B23,Override!$D$11:$D$40,16,Override!$E$11:$E$40,"&gt;=0")-COUNTIFS(Override!$B$11:$B$40,$B23,Override!$D$11:$D$40,16,Override!$E$11:$E$40,"&gt;=0",Override!$C$11:$C$40,"MXAU"))&gt;0,SUMIFS(Override!$E$11:$E$40,Override!$B$11:$B$40,$B23,Override!$D$11:$D$40,16)-SUMIFS(Override!$E$11:$E$40,Override!$B$11:$B$40,$B23,Override!$D$11:$D$40,16,Override!$C$11:$C$40,"MXAU"),Override!$R$58)/AS51!$B$3,"")))</f>
        <v/>
      </c>
      <c r="W23" s="140">
        <f>IF(W$13="","",IF($B23="","",IFERROR(F23*$E23/100,"")))</f>
        <v/>
      </c>
      <c r="X23" s="140">
        <f>IF(X$13="","",IF($B23="","",IFERROR(G23*$E23/100,"")))</f>
        <v/>
      </c>
      <c r="Y23" s="140">
        <f>IF(Y$13="","",IF($B23="","",IFERROR(H23*$E23/100,"")))</f>
        <v/>
      </c>
      <c r="Z23" s="140">
        <f>IF(Z$13="","",IF($B23="","",IFERROR(I23*$E23/100,"")))</f>
        <v/>
      </c>
      <c r="AA23" s="140">
        <f>IF(AA$13="","",IF($B23="","",IFERROR(J23*$E23/100,"")))</f>
        <v/>
      </c>
      <c r="AB23" s="140">
        <f>IF(AB$13="","",IF($B23="","",IFERROR(K23*$E23/100,"")))</f>
        <v/>
      </c>
      <c r="AC23" s="140">
        <f>IF(AC$13="","",IF($B23="","",IFERROR(L23*$E23/100,"")))</f>
        <v/>
      </c>
      <c r="AD23" s="140">
        <f>IF(AD$13="","",IF($B23="","",IFERROR(M23*$E23/100,"")))</f>
        <v/>
      </c>
      <c r="AE23" s="140">
        <f>IF(AE$13="","",IF($B23="","",IFERROR(N23*$E23/100,"")))</f>
        <v/>
      </c>
      <c r="AF23" s="140">
        <f>IF(AF$13="","",IF($B23="","",IFERROR(O23*$E23/100,"")))</f>
        <v/>
      </c>
      <c r="AG23" s="140">
        <f>IF(AG$13="","",IF($B23="","",IFERROR(P23*$E23/100,"")))</f>
        <v/>
      </c>
      <c r="AH23" s="140">
        <f>IF(AH$13="","",IF($B23="","",IFERROR(Q23*$E23/100,"")))</f>
        <v/>
      </c>
      <c r="AI23" s="140">
        <f>IF(AI$13="","",IF($B23="","",IFERROR(R23*$E23/100,"")))</f>
        <v/>
      </c>
      <c r="AJ23" s="140">
        <f>IF(AJ$13="","",IF($B23="","",IFERROR(S23*$E23/100,"")))</f>
        <v/>
      </c>
      <c r="AK23" s="140">
        <f>IF(AK$13="","",IF($B23="","",IFERROR(T23*$E23/100,"")))</f>
        <v/>
      </c>
      <c r="AL23" s="140">
        <f>IF(AL$13="","",IF($B23="","",IFERROR(U23*$E23/100,"")))</f>
        <v/>
      </c>
      <c r="AN23" s="140">
        <f>IF($B23="","",SUMIF($F$13:$U$13,"&lt;="&amp;Sector!$D$51,$F23:$U23))</f>
        <v/>
      </c>
      <c r="AO23" s="140">
        <f>IF($B23="","",SUMIF($W$13:$AL$13,"&lt;="&amp;Sector!$D$51,$W23:$AL23))</f>
        <v/>
      </c>
    </row>
    <row r="24">
      <c r="B24" s="5">
        <f>IF(AS51!$C$14="","",AS51!$C$14)</f>
        <v/>
      </c>
      <c r="C24" s="90">
        <f>IF(AS51!$B$14="","",AS51!$B$14)</f>
        <v/>
      </c>
      <c r="D24" s="138">
        <f>IFERROR(AS51!$Q$14,1)</f>
        <v/>
      </c>
      <c r="E24" s="139">
        <f>IF($B24="","",IF(ISNUMBER(AS51!$I$14),AS51!$I$14,'Index Summary'!$C$7))</f>
        <v/>
      </c>
      <c r="F24" s="140">
        <f>IF(F$13="","",IF($B24="","",IFERROR($C24*$D24*IF((Override!$C$4="ON")*(COUNTIFS(Override!$B$11:$B$40,$B24,Override!$D$11:$D$40,1,Override!$E$11:$E$40,"&gt;=0")-COUNTIFS(Override!$B$11:$B$40,$B24,Override!$D$11:$D$40,1,Override!$E$11:$E$40,"&gt;=0",Override!$C$11:$C$40,"MXAU"))&gt;0,SUMIFS(Override!$E$11:$E$40,Override!$B$11:$B$40,$B24,Override!$D$11:$D$40,1)-SUMIFS(Override!$E$11:$E$40,Override!$B$11:$B$40,$B24,Override!$D$11:$D$40,1,Override!$C$11:$C$40,"MXAU"),Override!$C$59)/AS51!$B$3,"")))</f>
        <v/>
      </c>
      <c r="G24" s="140">
        <f>IF(G$13="","",IF($B24="","",IFERROR($C24*$D24*IF((Override!$C$4="ON")*(COUNTIFS(Override!$B$11:$B$40,$B24,Override!$D$11:$D$40,2,Override!$E$11:$E$40,"&gt;=0")-COUNTIFS(Override!$B$11:$B$40,$B24,Override!$D$11:$D$40,2,Override!$E$11:$E$40,"&gt;=0",Override!$C$11:$C$40,"MXAU"))&gt;0,SUMIFS(Override!$E$11:$E$40,Override!$B$11:$B$40,$B24,Override!$D$11:$D$40,2)-SUMIFS(Override!$E$11:$E$40,Override!$B$11:$B$40,$B24,Override!$D$11:$D$40,2,Override!$C$11:$C$40,"MXAU"),Override!$D$59)/AS51!$B$3,"")))</f>
        <v/>
      </c>
      <c r="H24" s="140">
        <f>IF(H$13="","",IF($B24="","",IFERROR($C24*$D24*IF((Override!$C$4="ON")*(COUNTIFS(Override!$B$11:$B$40,$B24,Override!$D$11:$D$40,3,Override!$E$11:$E$40,"&gt;=0")-COUNTIFS(Override!$B$11:$B$40,$B24,Override!$D$11:$D$40,3,Override!$E$11:$E$40,"&gt;=0",Override!$C$11:$C$40,"MXAU"))&gt;0,SUMIFS(Override!$E$11:$E$40,Override!$B$11:$B$40,$B24,Override!$D$11:$D$40,3)-SUMIFS(Override!$E$11:$E$40,Override!$B$11:$B$40,$B24,Override!$D$11:$D$40,3,Override!$C$11:$C$40,"MXAU"),Override!$E$59)/AS51!$B$3,"")))</f>
        <v/>
      </c>
      <c r="I24" s="140">
        <f>IF(I$13="","",IF($B24="","",IFERROR($C24*$D24*IF((Override!$C$4="ON")*(COUNTIFS(Override!$B$11:$B$40,$B24,Override!$D$11:$D$40,4,Override!$E$11:$E$40,"&gt;=0")-COUNTIFS(Override!$B$11:$B$40,$B24,Override!$D$11:$D$40,4,Override!$E$11:$E$40,"&gt;=0",Override!$C$11:$C$40,"MXAU"))&gt;0,SUMIFS(Override!$E$11:$E$40,Override!$B$11:$B$40,$B24,Override!$D$11:$D$40,4)-SUMIFS(Override!$E$11:$E$40,Override!$B$11:$B$40,$B24,Override!$D$11:$D$40,4,Override!$C$11:$C$40,"MXAU"),Override!$F$59)/AS51!$B$3,"")))</f>
        <v/>
      </c>
      <c r="J24" s="140">
        <f>IF(J$13="","",IF($B24="","",IFERROR($C24*$D24*IF((Override!$C$4="ON")*(COUNTIFS(Override!$B$11:$B$40,$B24,Override!$D$11:$D$40,5,Override!$E$11:$E$40,"&gt;=0")-COUNTIFS(Override!$B$11:$B$40,$B24,Override!$D$11:$D$40,5,Override!$E$11:$E$40,"&gt;=0",Override!$C$11:$C$40,"MXAU"))&gt;0,SUMIFS(Override!$E$11:$E$40,Override!$B$11:$B$40,$B24,Override!$D$11:$D$40,5)-SUMIFS(Override!$E$11:$E$40,Override!$B$11:$B$40,$B24,Override!$D$11:$D$40,5,Override!$C$11:$C$40,"MXAU"),Override!$G$59)/AS51!$B$3,"")))</f>
        <v/>
      </c>
      <c r="K24" s="140">
        <f>IF(K$13="","",IF($B24="","",IFERROR($C24*$D24*IF((Override!$C$4="ON")*(COUNTIFS(Override!$B$11:$B$40,$B24,Override!$D$11:$D$40,6,Override!$E$11:$E$40,"&gt;=0")-COUNTIFS(Override!$B$11:$B$40,$B24,Override!$D$11:$D$40,6,Override!$E$11:$E$40,"&gt;=0",Override!$C$11:$C$40,"MXAU"))&gt;0,SUMIFS(Override!$E$11:$E$40,Override!$B$11:$B$40,$B24,Override!$D$11:$D$40,6)-SUMIFS(Override!$E$11:$E$40,Override!$B$11:$B$40,$B24,Override!$D$11:$D$40,6,Override!$C$11:$C$40,"MXAU"),Override!$H$59)/AS51!$B$3,"")))</f>
        <v/>
      </c>
      <c r="L24" s="140">
        <f>IF(L$13="","",IF($B24="","",IFERROR($C24*$D24*IF((Override!$C$4="ON")*(COUNTIFS(Override!$B$11:$B$40,$B24,Override!$D$11:$D$40,7,Override!$E$11:$E$40,"&gt;=0")-COUNTIFS(Override!$B$11:$B$40,$B24,Override!$D$11:$D$40,7,Override!$E$11:$E$40,"&gt;=0",Override!$C$11:$C$40,"MXAU"))&gt;0,SUMIFS(Override!$E$11:$E$40,Override!$B$11:$B$40,$B24,Override!$D$11:$D$40,7)-SUMIFS(Override!$E$11:$E$40,Override!$B$11:$B$40,$B24,Override!$D$11:$D$40,7,Override!$C$11:$C$40,"MXAU"),Override!$I$59)/AS51!$B$3,"")))</f>
        <v/>
      </c>
      <c r="M24" s="140">
        <f>IF(M$13="","",IF($B24="","",IFERROR($C24*$D24*IF((Override!$C$4="ON")*(COUNTIFS(Override!$B$11:$B$40,$B24,Override!$D$11:$D$40,8,Override!$E$11:$E$40,"&gt;=0")-COUNTIFS(Override!$B$11:$B$40,$B24,Override!$D$11:$D$40,8,Override!$E$11:$E$40,"&gt;=0",Override!$C$11:$C$40,"MXAU"))&gt;0,SUMIFS(Override!$E$11:$E$40,Override!$B$11:$B$40,$B24,Override!$D$11:$D$40,8)-SUMIFS(Override!$E$11:$E$40,Override!$B$11:$B$40,$B24,Override!$D$11:$D$40,8,Override!$C$11:$C$40,"MXAU"),Override!$J$59)/AS51!$B$3,"")))</f>
        <v/>
      </c>
      <c r="N24" s="140">
        <f>IF(N$13="","",IF($B24="","",IFERROR($C24*$D24*IF((Override!$C$4="ON")*(COUNTIFS(Override!$B$11:$B$40,$B24,Override!$D$11:$D$40,9,Override!$E$11:$E$40,"&gt;=0")-COUNTIFS(Override!$B$11:$B$40,$B24,Override!$D$11:$D$40,9,Override!$E$11:$E$40,"&gt;=0",Override!$C$11:$C$40,"MXAU"))&gt;0,SUMIFS(Override!$E$11:$E$40,Override!$B$11:$B$40,$B24,Override!$D$11:$D$40,9)-SUMIFS(Override!$E$11:$E$40,Override!$B$11:$B$40,$B24,Override!$D$11:$D$40,9,Override!$C$11:$C$40,"MXAU"),Override!$K$59)/AS51!$B$3,"")))</f>
        <v/>
      </c>
      <c r="O24" s="140">
        <f>IF(O$13="","",IF($B24="","",IFERROR($C24*$D24*IF((Override!$C$4="ON")*(COUNTIFS(Override!$B$11:$B$40,$B24,Override!$D$11:$D$40,10,Override!$E$11:$E$40,"&gt;=0")-COUNTIFS(Override!$B$11:$B$40,$B24,Override!$D$11:$D$40,10,Override!$E$11:$E$40,"&gt;=0",Override!$C$11:$C$40,"MXAU"))&gt;0,SUMIFS(Override!$E$11:$E$40,Override!$B$11:$B$40,$B24,Override!$D$11:$D$40,10)-SUMIFS(Override!$E$11:$E$40,Override!$B$11:$B$40,$B24,Override!$D$11:$D$40,10,Override!$C$11:$C$40,"MXAU"),Override!$L$59)/AS51!$B$3,"")))</f>
        <v/>
      </c>
      <c r="P24" s="140">
        <f>IF(P$13="","",IF($B24="","",IFERROR($C24*$D24*IF((Override!$C$4="ON")*(COUNTIFS(Override!$B$11:$B$40,$B24,Override!$D$11:$D$40,11,Override!$E$11:$E$40,"&gt;=0")-COUNTIFS(Override!$B$11:$B$40,$B24,Override!$D$11:$D$40,11,Override!$E$11:$E$40,"&gt;=0",Override!$C$11:$C$40,"MXAU"))&gt;0,SUMIFS(Override!$E$11:$E$40,Override!$B$11:$B$40,$B24,Override!$D$11:$D$40,11)-SUMIFS(Override!$E$11:$E$40,Override!$B$11:$B$40,$B24,Override!$D$11:$D$40,11,Override!$C$11:$C$40,"MXAU"),Override!$M$59)/AS51!$B$3,"")))</f>
        <v/>
      </c>
      <c r="Q24" s="140">
        <f>IF(Q$13="","",IF($B24="","",IFERROR($C24*$D24*IF((Override!$C$4="ON")*(COUNTIFS(Override!$B$11:$B$40,$B24,Override!$D$11:$D$40,12,Override!$E$11:$E$40,"&gt;=0")-COUNTIFS(Override!$B$11:$B$40,$B24,Override!$D$11:$D$40,12,Override!$E$11:$E$40,"&gt;=0",Override!$C$11:$C$40,"MXAU"))&gt;0,SUMIFS(Override!$E$11:$E$40,Override!$B$11:$B$40,$B24,Override!$D$11:$D$40,12)-SUMIFS(Override!$E$11:$E$40,Override!$B$11:$B$40,$B24,Override!$D$11:$D$40,12,Override!$C$11:$C$40,"MXAU"),Override!$N$59)/AS51!$B$3,"")))</f>
        <v/>
      </c>
      <c r="R24" s="140">
        <f>IF(R$13="","",IF($B24="","",IFERROR($C24*$D24*IF((Override!$C$4="ON")*(COUNTIFS(Override!$B$11:$B$40,$B24,Override!$D$11:$D$40,13,Override!$E$11:$E$40,"&gt;=0")-COUNTIFS(Override!$B$11:$B$40,$B24,Override!$D$11:$D$40,13,Override!$E$11:$E$40,"&gt;=0",Override!$C$11:$C$40,"MXAU"))&gt;0,SUMIFS(Override!$E$11:$E$40,Override!$B$11:$B$40,$B24,Override!$D$11:$D$40,13)-SUMIFS(Override!$E$11:$E$40,Override!$B$11:$B$40,$B24,Override!$D$11:$D$40,13,Override!$C$11:$C$40,"MXAU"),Override!$O$59)/AS51!$B$3,"")))</f>
        <v/>
      </c>
      <c r="S24" s="140">
        <f>IF(S$13="","",IF($B24="","",IFERROR($C24*$D24*IF((Override!$C$4="ON")*(COUNTIFS(Override!$B$11:$B$40,$B24,Override!$D$11:$D$40,14,Override!$E$11:$E$40,"&gt;=0")-COUNTIFS(Override!$B$11:$B$40,$B24,Override!$D$11:$D$40,14,Override!$E$11:$E$40,"&gt;=0",Override!$C$11:$C$40,"MXAU"))&gt;0,SUMIFS(Override!$E$11:$E$40,Override!$B$11:$B$40,$B24,Override!$D$11:$D$40,14)-SUMIFS(Override!$E$11:$E$40,Override!$B$11:$B$40,$B24,Override!$D$11:$D$40,14,Override!$C$11:$C$40,"MXAU"),Override!$P$59)/AS51!$B$3,"")))</f>
        <v/>
      </c>
      <c r="T24" s="140">
        <f>IF(T$13="","",IF($B24="","",IFERROR($C24*$D24*IF((Override!$C$4="ON")*(COUNTIFS(Override!$B$11:$B$40,$B24,Override!$D$11:$D$40,15,Override!$E$11:$E$40,"&gt;=0")-COUNTIFS(Override!$B$11:$B$40,$B24,Override!$D$11:$D$40,15,Override!$E$11:$E$40,"&gt;=0",Override!$C$11:$C$40,"MXAU"))&gt;0,SUMIFS(Override!$E$11:$E$40,Override!$B$11:$B$40,$B24,Override!$D$11:$D$40,15)-SUMIFS(Override!$E$11:$E$40,Override!$B$11:$B$40,$B24,Override!$D$11:$D$40,15,Override!$C$11:$C$40,"MXAU"),Override!$Q$59)/AS51!$B$3,"")))</f>
        <v/>
      </c>
      <c r="U24" s="140">
        <f>IF(U$13="","",IF($B24="","",IFERROR($C24*$D24*IF((Override!$C$4="ON")*(COUNTIFS(Override!$B$11:$B$40,$B24,Override!$D$11:$D$40,16,Override!$E$11:$E$40,"&gt;=0")-COUNTIFS(Override!$B$11:$B$40,$B24,Override!$D$11:$D$40,16,Override!$E$11:$E$40,"&gt;=0",Override!$C$11:$C$40,"MXAU"))&gt;0,SUMIFS(Override!$E$11:$E$40,Override!$B$11:$B$40,$B24,Override!$D$11:$D$40,16)-SUMIFS(Override!$E$11:$E$40,Override!$B$11:$B$40,$B24,Override!$D$11:$D$40,16,Override!$C$11:$C$40,"MXAU"),Override!$R$59)/AS51!$B$3,"")))</f>
        <v/>
      </c>
      <c r="W24" s="140">
        <f>IF(W$13="","",IF($B24="","",IFERROR(F24*$E24/100,"")))</f>
        <v/>
      </c>
      <c r="X24" s="140">
        <f>IF(X$13="","",IF($B24="","",IFERROR(G24*$E24/100,"")))</f>
        <v/>
      </c>
      <c r="Y24" s="140">
        <f>IF(Y$13="","",IF($B24="","",IFERROR(H24*$E24/100,"")))</f>
        <v/>
      </c>
      <c r="Z24" s="140">
        <f>IF(Z$13="","",IF($B24="","",IFERROR(I24*$E24/100,"")))</f>
        <v/>
      </c>
      <c r="AA24" s="140">
        <f>IF(AA$13="","",IF($B24="","",IFERROR(J24*$E24/100,"")))</f>
        <v/>
      </c>
      <c r="AB24" s="140">
        <f>IF(AB$13="","",IF($B24="","",IFERROR(K24*$E24/100,"")))</f>
        <v/>
      </c>
      <c r="AC24" s="140">
        <f>IF(AC$13="","",IF($B24="","",IFERROR(L24*$E24/100,"")))</f>
        <v/>
      </c>
      <c r="AD24" s="140">
        <f>IF(AD$13="","",IF($B24="","",IFERROR(M24*$E24/100,"")))</f>
        <v/>
      </c>
      <c r="AE24" s="140">
        <f>IF(AE$13="","",IF($B24="","",IFERROR(N24*$E24/100,"")))</f>
        <v/>
      </c>
      <c r="AF24" s="140">
        <f>IF(AF$13="","",IF($B24="","",IFERROR(O24*$E24/100,"")))</f>
        <v/>
      </c>
      <c r="AG24" s="140">
        <f>IF(AG$13="","",IF($B24="","",IFERROR(P24*$E24/100,"")))</f>
        <v/>
      </c>
      <c r="AH24" s="140">
        <f>IF(AH$13="","",IF($B24="","",IFERROR(Q24*$E24/100,"")))</f>
        <v/>
      </c>
      <c r="AI24" s="140">
        <f>IF(AI$13="","",IF($B24="","",IFERROR(R24*$E24/100,"")))</f>
        <v/>
      </c>
      <c r="AJ24" s="140">
        <f>IF(AJ$13="","",IF($B24="","",IFERROR(S24*$E24/100,"")))</f>
        <v/>
      </c>
      <c r="AK24" s="140">
        <f>IF(AK$13="","",IF($B24="","",IFERROR(T24*$E24/100,"")))</f>
        <v/>
      </c>
      <c r="AL24" s="140">
        <f>IF(AL$13="","",IF($B24="","",IFERROR(U24*$E24/100,"")))</f>
        <v/>
      </c>
      <c r="AN24" s="140">
        <f>IF($B24="","",SUMIF($F$13:$U$13,"&lt;="&amp;Sector!$D$51,$F24:$U24))</f>
        <v/>
      </c>
      <c r="AO24" s="140">
        <f>IF($B24="","",SUMIF($W$13:$AL$13,"&lt;="&amp;Sector!$D$51,$W24:$AL24))</f>
        <v/>
      </c>
    </row>
    <row r="25">
      <c r="B25" s="5">
        <f>IF(AS51!$C$15="","",AS51!$C$15)</f>
        <v/>
      </c>
      <c r="C25" s="90">
        <f>IF(AS51!$B$15="","",AS51!$B$15)</f>
        <v/>
      </c>
      <c r="D25" s="138">
        <f>IFERROR(AS51!$Q$15,1)</f>
        <v/>
      </c>
      <c r="E25" s="139">
        <f>IF($B25="","",IF(ISNUMBER(AS51!$I$15),AS51!$I$15,'Index Summary'!$C$7))</f>
        <v/>
      </c>
      <c r="F25" s="140">
        <f>IF(F$13="","",IF($B25="","",IFERROR($C25*$D25*IF((Override!$C$4="ON")*(COUNTIFS(Override!$B$11:$B$40,$B25,Override!$D$11:$D$40,1,Override!$E$11:$E$40,"&gt;=0")-COUNTIFS(Override!$B$11:$B$40,$B25,Override!$D$11:$D$40,1,Override!$E$11:$E$40,"&gt;=0",Override!$C$11:$C$40,"MXAU"))&gt;0,SUMIFS(Override!$E$11:$E$40,Override!$B$11:$B$40,$B25,Override!$D$11:$D$40,1)-SUMIFS(Override!$E$11:$E$40,Override!$B$11:$B$40,$B25,Override!$D$11:$D$40,1,Override!$C$11:$C$40,"MXAU"),Override!$C$60)/AS51!$B$3,"")))</f>
        <v/>
      </c>
      <c r="G25" s="140">
        <f>IF(G$13="","",IF($B25="","",IFERROR($C25*$D25*IF((Override!$C$4="ON")*(COUNTIFS(Override!$B$11:$B$40,$B25,Override!$D$11:$D$40,2,Override!$E$11:$E$40,"&gt;=0")-COUNTIFS(Override!$B$11:$B$40,$B25,Override!$D$11:$D$40,2,Override!$E$11:$E$40,"&gt;=0",Override!$C$11:$C$40,"MXAU"))&gt;0,SUMIFS(Override!$E$11:$E$40,Override!$B$11:$B$40,$B25,Override!$D$11:$D$40,2)-SUMIFS(Override!$E$11:$E$40,Override!$B$11:$B$40,$B25,Override!$D$11:$D$40,2,Override!$C$11:$C$40,"MXAU"),Override!$D$60)/AS51!$B$3,"")))</f>
        <v/>
      </c>
      <c r="H25" s="140">
        <f>IF(H$13="","",IF($B25="","",IFERROR($C25*$D25*IF((Override!$C$4="ON")*(COUNTIFS(Override!$B$11:$B$40,$B25,Override!$D$11:$D$40,3,Override!$E$11:$E$40,"&gt;=0")-COUNTIFS(Override!$B$11:$B$40,$B25,Override!$D$11:$D$40,3,Override!$E$11:$E$40,"&gt;=0",Override!$C$11:$C$40,"MXAU"))&gt;0,SUMIFS(Override!$E$11:$E$40,Override!$B$11:$B$40,$B25,Override!$D$11:$D$40,3)-SUMIFS(Override!$E$11:$E$40,Override!$B$11:$B$40,$B25,Override!$D$11:$D$40,3,Override!$C$11:$C$40,"MXAU"),Override!$E$60)/AS51!$B$3,"")))</f>
        <v/>
      </c>
      <c r="I25" s="140">
        <f>IF(I$13="","",IF($B25="","",IFERROR($C25*$D25*IF((Override!$C$4="ON")*(COUNTIFS(Override!$B$11:$B$40,$B25,Override!$D$11:$D$40,4,Override!$E$11:$E$40,"&gt;=0")-COUNTIFS(Override!$B$11:$B$40,$B25,Override!$D$11:$D$40,4,Override!$E$11:$E$40,"&gt;=0",Override!$C$11:$C$40,"MXAU"))&gt;0,SUMIFS(Override!$E$11:$E$40,Override!$B$11:$B$40,$B25,Override!$D$11:$D$40,4)-SUMIFS(Override!$E$11:$E$40,Override!$B$11:$B$40,$B25,Override!$D$11:$D$40,4,Override!$C$11:$C$40,"MXAU"),Override!$F$60)/AS51!$B$3,"")))</f>
        <v/>
      </c>
      <c r="J25" s="140">
        <f>IF(J$13="","",IF($B25="","",IFERROR($C25*$D25*IF((Override!$C$4="ON")*(COUNTIFS(Override!$B$11:$B$40,$B25,Override!$D$11:$D$40,5,Override!$E$11:$E$40,"&gt;=0")-COUNTIFS(Override!$B$11:$B$40,$B25,Override!$D$11:$D$40,5,Override!$E$11:$E$40,"&gt;=0",Override!$C$11:$C$40,"MXAU"))&gt;0,SUMIFS(Override!$E$11:$E$40,Override!$B$11:$B$40,$B25,Override!$D$11:$D$40,5)-SUMIFS(Override!$E$11:$E$40,Override!$B$11:$B$40,$B25,Override!$D$11:$D$40,5,Override!$C$11:$C$40,"MXAU"),Override!$G$60)/AS51!$B$3,"")))</f>
        <v/>
      </c>
      <c r="K25" s="140">
        <f>IF(K$13="","",IF($B25="","",IFERROR($C25*$D25*IF((Override!$C$4="ON")*(COUNTIFS(Override!$B$11:$B$40,$B25,Override!$D$11:$D$40,6,Override!$E$11:$E$40,"&gt;=0")-COUNTIFS(Override!$B$11:$B$40,$B25,Override!$D$11:$D$40,6,Override!$E$11:$E$40,"&gt;=0",Override!$C$11:$C$40,"MXAU"))&gt;0,SUMIFS(Override!$E$11:$E$40,Override!$B$11:$B$40,$B25,Override!$D$11:$D$40,6)-SUMIFS(Override!$E$11:$E$40,Override!$B$11:$B$40,$B25,Override!$D$11:$D$40,6,Override!$C$11:$C$40,"MXAU"),Override!$H$60)/AS51!$B$3,"")))</f>
        <v/>
      </c>
      <c r="L25" s="140">
        <f>IF(L$13="","",IF($B25="","",IFERROR($C25*$D25*IF((Override!$C$4="ON")*(COUNTIFS(Override!$B$11:$B$40,$B25,Override!$D$11:$D$40,7,Override!$E$11:$E$40,"&gt;=0")-COUNTIFS(Override!$B$11:$B$40,$B25,Override!$D$11:$D$40,7,Override!$E$11:$E$40,"&gt;=0",Override!$C$11:$C$40,"MXAU"))&gt;0,SUMIFS(Override!$E$11:$E$40,Override!$B$11:$B$40,$B25,Override!$D$11:$D$40,7)-SUMIFS(Override!$E$11:$E$40,Override!$B$11:$B$40,$B25,Override!$D$11:$D$40,7,Override!$C$11:$C$40,"MXAU"),Override!$I$60)/AS51!$B$3,"")))</f>
        <v/>
      </c>
      <c r="M25" s="140">
        <f>IF(M$13="","",IF($B25="","",IFERROR($C25*$D25*IF((Override!$C$4="ON")*(COUNTIFS(Override!$B$11:$B$40,$B25,Override!$D$11:$D$40,8,Override!$E$11:$E$40,"&gt;=0")-COUNTIFS(Override!$B$11:$B$40,$B25,Override!$D$11:$D$40,8,Override!$E$11:$E$40,"&gt;=0",Override!$C$11:$C$40,"MXAU"))&gt;0,SUMIFS(Override!$E$11:$E$40,Override!$B$11:$B$40,$B25,Override!$D$11:$D$40,8)-SUMIFS(Override!$E$11:$E$40,Override!$B$11:$B$40,$B25,Override!$D$11:$D$40,8,Override!$C$11:$C$40,"MXAU"),Override!$J$60)/AS51!$B$3,"")))</f>
        <v/>
      </c>
      <c r="N25" s="140">
        <f>IF(N$13="","",IF($B25="","",IFERROR($C25*$D25*IF((Override!$C$4="ON")*(COUNTIFS(Override!$B$11:$B$40,$B25,Override!$D$11:$D$40,9,Override!$E$11:$E$40,"&gt;=0")-COUNTIFS(Override!$B$11:$B$40,$B25,Override!$D$11:$D$40,9,Override!$E$11:$E$40,"&gt;=0",Override!$C$11:$C$40,"MXAU"))&gt;0,SUMIFS(Override!$E$11:$E$40,Override!$B$11:$B$40,$B25,Override!$D$11:$D$40,9)-SUMIFS(Override!$E$11:$E$40,Override!$B$11:$B$40,$B25,Override!$D$11:$D$40,9,Override!$C$11:$C$40,"MXAU"),Override!$K$60)/AS51!$B$3,"")))</f>
        <v/>
      </c>
      <c r="O25" s="140">
        <f>IF(O$13="","",IF($B25="","",IFERROR($C25*$D25*IF((Override!$C$4="ON")*(COUNTIFS(Override!$B$11:$B$40,$B25,Override!$D$11:$D$40,10,Override!$E$11:$E$40,"&gt;=0")-COUNTIFS(Override!$B$11:$B$40,$B25,Override!$D$11:$D$40,10,Override!$E$11:$E$40,"&gt;=0",Override!$C$11:$C$40,"MXAU"))&gt;0,SUMIFS(Override!$E$11:$E$40,Override!$B$11:$B$40,$B25,Override!$D$11:$D$40,10)-SUMIFS(Override!$E$11:$E$40,Override!$B$11:$B$40,$B25,Override!$D$11:$D$40,10,Override!$C$11:$C$40,"MXAU"),Override!$L$60)/AS51!$B$3,"")))</f>
        <v/>
      </c>
      <c r="P25" s="140">
        <f>IF(P$13="","",IF($B25="","",IFERROR($C25*$D25*IF((Override!$C$4="ON")*(COUNTIFS(Override!$B$11:$B$40,$B25,Override!$D$11:$D$40,11,Override!$E$11:$E$40,"&gt;=0")-COUNTIFS(Override!$B$11:$B$40,$B25,Override!$D$11:$D$40,11,Override!$E$11:$E$40,"&gt;=0",Override!$C$11:$C$40,"MXAU"))&gt;0,SUMIFS(Override!$E$11:$E$40,Override!$B$11:$B$40,$B25,Override!$D$11:$D$40,11)-SUMIFS(Override!$E$11:$E$40,Override!$B$11:$B$40,$B25,Override!$D$11:$D$40,11,Override!$C$11:$C$40,"MXAU"),Override!$M$60)/AS51!$B$3,"")))</f>
        <v/>
      </c>
      <c r="Q25" s="140">
        <f>IF(Q$13="","",IF($B25="","",IFERROR($C25*$D25*IF((Override!$C$4="ON")*(COUNTIFS(Override!$B$11:$B$40,$B25,Override!$D$11:$D$40,12,Override!$E$11:$E$40,"&gt;=0")-COUNTIFS(Override!$B$11:$B$40,$B25,Override!$D$11:$D$40,12,Override!$E$11:$E$40,"&gt;=0",Override!$C$11:$C$40,"MXAU"))&gt;0,SUMIFS(Override!$E$11:$E$40,Override!$B$11:$B$40,$B25,Override!$D$11:$D$40,12)-SUMIFS(Override!$E$11:$E$40,Override!$B$11:$B$40,$B25,Override!$D$11:$D$40,12,Override!$C$11:$C$40,"MXAU"),Override!$N$60)/AS51!$B$3,"")))</f>
        <v/>
      </c>
      <c r="R25" s="140">
        <f>IF(R$13="","",IF($B25="","",IFERROR($C25*$D25*IF((Override!$C$4="ON")*(COUNTIFS(Override!$B$11:$B$40,$B25,Override!$D$11:$D$40,13,Override!$E$11:$E$40,"&gt;=0")-COUNTIFS(Override!$B$11:$B$40,$B25,Override!$D$11:$D$40,13,Override!$E$11:$E$40,"&gt;=0",Override!$C$11:$C$40,"MXAU"))&gt;0,SUMIFS(Override!$E$11:$E$40,Override!$B$11:$B$40,$B25,Override!$D$11:$D$40,13)-SUMIFS(Override!$E$11:$E$40,Override!$B$11:$B$40,$B25,Override!$D$11:$D$40,13,Override!$C$11:$C$40,"MXAU"),Override!$O$60)/AS51!$B$3,"")))</f>
        <v/>
      </c>
      <c r="S25" s="140">
        <f>IF(S$13="","",IF($B25="","",IFERROR($C25*$D25*IF((Override!$C$4="ON")*(COUNTIFS(Override!$B$11:$B$40,$B25,Override!$D$11:$D$40,14,Override!$E$11:$E$40,"&gt;=0")-COUNTIFS(Override!$B$11:$B$40,$B25,Override!$D$11:$D$40,14,Override!$E$11:$E$40,"&gt;=0",Override!$C$11:$C$40,"MXAU"))&gt;0,SUMIFS(Override!$E$11:$E$40,Override!$B$11:$B$40,$B25,Override!$D$11:$D$40,14)-SUMIFS(Override!$E$11:$E$40,Override!$B$11:$B$40,$B25,Override!$D$11:$D$40,14,Override!$C$11:$C$40,"MXAU"),Override!$P$60)/AS51!$B$3,"")))</f>
        <v/>
      </c>
      <c r="T25" s="140">
        <f>IF(T$13="","",IF($B25="","",IFERROR($C25*$D25*IF((Override!$C$4="ON")*(COUNTIFS(Override!$B$11:$B$40,$B25,Override!$D$11:$D$40,15,Override!$E$11:$E$40,"&gt;=0")-COUNTIFS(Override!$B$11:$B$40,$B25,Override!$D$11:$D$40,15,Override!$E$11:$E$40,"&gt;=0",Override!$C$11:$C$40,"MXAU"))&gt;0,SUMIFS(Override!$E$11:$E$40,Override!$B$11:$B$40,$B25,Override!$D$11:$D$40,15)-SUMIFS(Override!$E$11:$E$40,Override!$B$11:$B$40,$B25,Override!$D$11:$D$40,15,Override!$C$11:$C$40,"MXAU"),Override!$Q$60)/AS51!$B$3,"")))</f>
        <v/>
      </c>
      <c r="U25" s="140">
        <f>IF(U$13="","",IF($B25="","",IFERROR($C25*$D25*IF((Override!$C$4="ON")*(COUNTIFS(Override!$B$11:$B$40,$B25,Override!$D$11:$D$40,16,Override!$E$11:$E$40,"&gt;=0")-COUNTIFS(Override!$B$11:$B$40,$B25,Override!$D$11:$D$40,16,Override!$E$11:$E$40,"&gt;=0",Override!$C$11:$C$40,"MXAU"))&gt;0,SUMIFS(Override!$E$11:$E$40,Override!$B$11:$B$40,$B25,Override!$D$11:$D$40,16)-SUMIFS(Override!$E$11:$E$40,Override!$B$11:$B$40,$B25,Override!$D$11:$D$40,16,Override!$C$11:$C$40,"MXAU"),Override!$R$60)/AS51!$B$3,"")))</f>
        <v/>
      </c>
      <c r="W25" s="140">
        <f>IF(W$13="","",IF($B25="","",IFERROR(F25*$E25/100,"")))</f>
        <v/>
      </c>
      <c r="X25" s="140">
        <f>IF(X$13="","",IF($B25="","",IFERROR(G25*$E25/100,"")))</f>
        <v/>
      </c>
      <c r="Y25" s="140">
        <f>IF(Y$13="","",IF($B25="","",IFERROR(H25*$E25/100,"")))</f>
        <v/>
      </c>
      <c r="Z25" s="140">
        <f>IF(Z$13="","",IF($B25="","",IFERROR(I25*$E25/100,"")))</f>
        <v/>
      </c>
      <c r="AA25" s="140">
        <f>IF(AA$13="","",IF($B25="","",IFERROR(J25*$E25/100,"")))</f>
        <v/>
      </c>
      <c r="AB25" s="140">
        <f>IF(AB$13="","",IF($B25="","",IFERROR(K25*$E25/100,"")))</f>
        <v/>
      </c>
      <c r="AC25" s="140">
        <f>IF(AC$13="","",IF($B25="","",IFERROR(L25*$E25/100,"")))</f>
        <v/>
      </c>
      <c r="AD25" s="140">
        <f>IF(AD$13="","",IF($B25="","",IFERROR(M25*$E25/100,"")))</f>
        <v/>
      </c>
      <c r="AE25" s="140">
        <f>IF(AE$13="","",IF($B25="","",IFERROR(N25*$E25/100,"")))</f>
        <v/>
      </c>
      <c r="AF25" s="140">
        <f>IF(AF$13="","",IF($B25="","",IFERROR(O25*$E25/100,"")))</f>
        <v/>
      </c>
      <c r="AG25" s="140">
        <f>IF(AG$13="","",IF($B25="","",IFERROR(P25*$E25/100,"")))</f>
        <v/>
      </c>
      <c r="AH25" s="140">
        <f>IF(AH$13="","",IF($B25="","",IFERROR(Q25*$E25/100,"")))</f>
        <v/>
      </c>
      <c r="AI25" s="140">
        <f>IF(AI$13="","",IF($B25="","",IFERROR(R25*$E25/100,"")))</f>
        <v/>
      </c>
      <c r="AJ25" s="140">
        <f>IF(AJ$13="","",IF($B25="","",IFERROR(S25*$E25/100,"")))</f>
        <v/>
      </c>
      <c r="AK25" s="140">
        <f>IF(AK$13="","",IF($B25="","",IFERROR(T25*$E25/100,"")))</f>
        <v/>
      </c>
      <c r="AL25" s="140">
        <f>IF(AL$13="","",IF($B25="","",IFERROR(U25*$E25/100,"")))</f>
        <v/>
      </c>
      <c r="AN25" s="140">
        <f>IF($B25="","",SUMIF($F$13:$U$13,"&lt;="&amp;Sector!$D$51,$F25:$U25))</f>
        <v/>
      </c>
      <c r="AO25" s="140">
        <f>IF($B25="","",SUMIF($W$13:$AL$13,"&lt;="&amp;Sector!$D$51,$W25:$AL25))</f>
        <v/>
      </c>
    </row>
    <row r="26">
      <c r="B26" s="5">
        <f>IF(AS51!$C$16="","",AS51!$C$16)</f>
        <v/>
      </c>
      <c r="C26" s="90">
        <f>IF(AS51!$B$16="","",AS51!$B$16)</f>
        <v/>
      </c>
      <c r="D26" s="138">
        <f>IFERROR(AS51!$Q$16,1)</f>
        <v/>
      </c>
      <c r="E26" s="139">
        <f>IF($B26="","",IF(ISNUMBER(AS51!$I$16),AS51!$I$16,'Index Summary'!$C$7))</f>
        <v/>
      </c>
      <c r="F26" s="140">
        <f>IF(F$13="","",IF($B26="","",IFERROR($C26*$D26*IF((Override!$C$4="ON")*(COUNTIFS(Override!$B$11:$B$40,$B26,Override!$D$11:$D$40,1,Override!$E$11:$E$40,"&gt;=0")-COUNTIFS(Override!$B$11:$B$40,$B26,Override!$D$11:$D$40,1,Override!$E$11:$E$40,"&gt;=0",Override!$C$11:$C$40,"MXAU"))&gt;0,SUMIFS(Override!$E$11:$E$40,Override!$B$11:$B$40,$B26,Override!$D$11:$D$40,1)-SUMIFS(Override!$E$11:$E$40,Override!$B$11:$B$40,$B26,Override!$D$11:$D$40,1,Override!$C$11:$C$40,"MXAU"),Override!$C$61)/AS51!$B$3,"")))</f>
        <v/>
      </c>
      <c r="G26" s="140">
        <f>IF(G$13="","",IF($B26="","",IFERROR($C26*$D26*IF((Override!$C$4="ON")*(COUNTIFS(Override!$B$11:$B$40,$B26,Override!$D$11:$D$40,2,Override!$E$11:$E$40,"&gt;=0")-COUNTIFS(Override!$B$11:$B$40,$B26,Override!$D$11:$D$40,2,Override!$E$11:$E$40,"&gt;=0",Override!$C$11:$C$40,"MXAU"))&gt;0,SUMIFS(Override!$E$11:$E$40,Override!$B$11:$B$40,$B26,Override!$D$11:$D$40,2)-SUMIFS(Override!$E$11:$E$40,Override!$B$11:$B$40,$B26,Override!$D$11:$D$40,2,Override!$C$11:$C$40,"MXAU"),Override!$D$61)/AS51!$B$3,"")))</f>
        <v/>
      </c>
      <c r="H26" s="140">
        <f>IF(H$13="","",IF($B26="","",IFERROR($C26*$D26*IF((Override!$C$4="ON")*(COUNTIFS(Override!$B$11:$B$40,$B26,Override!$D$11:$D$40,3,Override!$E$11:$E$40,"&gt;=0")-COUNTIFS(Override!$B$11:$B$40,$B26,Override!$D$11:$D$40,3,Override!$E$11:$E$40,"&gt;=0",Override!$C$11:$C$40,"MXAU"))&gt;0,SUMIFS(Override!$E$11:$E$40,Override!$B$11:$B$40,$B26,Override!$D$11:$D$40,3)-SUMIFS(Override!$E$11:$E$40,Override!$B$11:$B$40,$B26,Override!$D$11:$D$40,3,Override!$C$11:$C$40,"MXAU"),Override!$E$61)/AS51!$B$3,"")))</f>
        <v/>
      </c>
      <c r="I26" s="140">
        <f>IF(I$13="","",IF($B26="","",IFERROR($C26*$D26*IF((Override!$C$4="ON")*(COUNTIFS(Override!$B$11:$B$40,$B26,Override!$D$11:$D$40,4,Override!$E$11:$E$40,"&gt;=0")-COUNTIFS(Override!$B$11:$B$40,$B26,Override!$D$11:$D$40,4,Override!$E$11:$E$40,"&gt;=0",Override!$C$11:$C$40,"MXAU"))&gt;0,SUMIFS(Override!$E$11:$E$40,Override!$B$11:$B$40,$B26,Override!$D$11:$D$40,4)-SUMIFS(Override!$E$11:$E$40,Override!$B$11:$B$40,$B26,Override!$D$11:$D$40,4,Override!$C$11:$C$40,"MXAU"),Override!$F$61)/AS51!$B$3,"")))</f>
        <v/>
      </c>
      <c r="J26" s="140">
        <f>IF(J$13="","",IF($B26="","",IFERROR($C26*$D26*IF((Override!$C$4="ON")*(COUNTIFS(Override!$B$11:$B$40,$B26,Override!$D$11:$D$40,5,Override!$E$11:$E$40,"&gt;=0")-COUNTIFS(Override!$B$11:$B$40,$B26,Override!$D$11:$D$40,5,Override!$E$11:$E$40,"&gt;=0",Override!$C$11:$C$40,"MXAU"))&gt;0,SUMIFS(Override!$E$11:$E$40,Override!$B$11:$B$40,$B26,Override!$D$11:$D$40,5)-SUMIFS(Override!$E$11:$E$40,Override!$B$11:$B$40,$B26,Override!$D$11:$D$40,5,Override!$C$11:$C$40,"MXAU"),Override!$G$61)/AS51!$B$3,"")))</f>
        <v/>
      </c>
      <c r="K26" s="140">
        <f>IF(K$13="","",IF($B26="","",IFERROR($C26*$D26*IF((Override!$C$4="ON")*(COUNTIFS(Override!$B$11:$B$40,$B26,Override!$D$11:$D$40,6,Override!$E$11:$E$40,"&gt;=0")-COUNTIFS(Override!$B$11:$B$40,$B26,Override!$D$11:$D$40,6,Override!$E$11:$E$40,"&gt;=0",Override!$C$11:$C$40,"MXAU"))&gt;0,SUMIFS(Override!$E$11:$E$40,Override!$B$11:$B$40,$B26,Override!$D$11:$D$40,6)-SUMIFS(Override!$E$11:$E$40,Override!$B$11:$B$40,$B26,Override!$D$11:$D$40,6,Override!$C$11:$C$40,"MXAU"),Override!$H$61)/AS51!$B$3,"")))</f>
        <v/>
      </c>
      <c r="L26" s="140">
        <f>IF(L$13="","",IF($B26="","",IFERROR($C26*$D26*IF((Override!$C$4="ON")*(COUNTIFS(Override!$B$11:$B$40,$B26,Override!$D$11:$D$40,7,Override!$E$11:$E$40,"&gt;=0")-COUNTIFS(Override!$B$11:$B$40,$B26,Override!$D$11:$D$40,7,Override!$E$11:$E$40,"&gt;=0",Override!$C$11:$C$40,"MXAU"))&gt;0,SUMIFS(Override!$E$11:$E$40,Override!$B$11:$B$40,$B26,Override!$D$11:$D$40,7)-SUMIFS(Override!$E$11:$E$40,Override!$B$11:$B$40,$B26,Override!$D$11:$D$40,7,Override!$C$11:$C$40,"MXAU"),Override!$I$61)/AS51!$B$3,"")))</f>
        <v/>
      </c>
      <c r="M26" s="140">
        <f>IF(M$13="","",IF($B26="","",IFERROR($C26*$D26*IF((Override!$C$4="ON")*(COUNTIFS(Override!$B$11:$B$40,$B26,Override!$D$11:$D$40,8,Override!$E$11:$E$40,"&gt;=0")-COUNTIFS(Override!$B$11:$B$40,$B26,Override!$D$11:$D$40,8,Override!$E$11:$E$40,"&gt;=0",Override!$C$11:$C$40,"MXAU"))&gt;0,SUMIFS(Override!$E$11:$E$40,Override!$B$11:$B$40,$B26,Override!$D$11:$D$40,8)-SUMIFS(Override!$E$11:$E$40,Override!$B$11:$B$40,$B26,Override!$D$11:$D$40,8,Override!$C$11:$C$40,"MXAU"),Override!$J$61)/AS51!$B$3,"")))</f>
        <v/>
      </c>
      <c r="N26" s="140">
        <f>IF(N$13="","",IF($B26="","",IFERROR($C26*$D26*IF((Override!$C$4="ON")*(COUNTIFS(Override!$B$11:$B$40,$B26,Override!$D$11:$D$40,9,Override!$E$11:$E$40,"&gt;=0")-COUNTIFS(Override!$B$11:$B$40,$B26,Override!$D$11:$D$40,9,Override!$E$11:$E$40,"&gt;=0",Override!$C$11:$C$40,"MXAU"))&gt;0,SUMIFS(Override!$E$11:$E$40,Override!$B$11:$B$40,$B26,Override!$D$11:$D$40,9)-SUMIFS(Override!$E$11:$E$40,Override!$B$11:$B$40,$B26,Override!$D$11:$D$40,9,Override!$C$11:$C$40,"MXAU"),Override!$K$61)/AS51!$B$3,"")))</f>
        <v/>
      </c>
      <c r="O26" s="140">
        <f>IF(O$13="","",IF($B26="","",IFERROR($C26*$D26*IF((Override!$C$4="ON")*(COUNTIFS(Override!$B$11:$B$40,$B26,Override!$D$11:$D$40,10,Override!$E$11:$E$40,"&gt;=0")-COUNTIFS(Override!$B$11:$B$40,$B26,Override!$D$11:$D$40,10,Override!$E$11:$E$40,"&gt;=0",Override!$C$11:$C$40,"MXAU"))&gt;0,SUMIFS(Override!$E$11:$E$40,Override!$B$11:$B$40,$B26,Override!$D$11:$D$40,10)-SUMIFS(Override!$E$11:$E$40,Override!$B$11:$B$40,$B26,Override!$D$11:$D$40,10,Override!$C$11:$C$40,"MXAU"),Override!$L$61)/AS51!$B$3,"")))</f>
        <v/>
      </c>
      <c r="P26" s="140">
        <f>IF(P$13="","",IF($B26="","",IFERROR($C26*$D26*IF((Override!$C$4="ON")*(COUNTIFS(Override!$B$11:$B$40,$B26,Override!$D$11:$D$40,11,Override!$E$11:$E$40,"&gt;=0")-COUNTIFS(Override!$B$11:$B$40,$B26,Override!$D$11:$D$40,11,Override!$E$11:$E$40,"&gt;=0",Override!$C$11:$C$40,"MXAU"))&gt;0,SUMIFS(Override!$E$11:$E$40,Override!$B$11:$B$40,$B26,Override!$D$11:$D$40,11)-SUMIFS(Override!$E$11:$E$40,Override!$B$11:$B$40,$B26,Override!$D$11:$D$40,11,Override!$C$11:$C$40,"MXAU"),Override!$M$61)/AS51!$B$3,"")))</f>
        <v/>
      </c>
      <c r="Q26" s="140">
        <f>IF(Q$13="","",IF($B26="","",IFERROR($C26*$D26*IF((Override!$C$4="ON")*(COUNTIFS(Override!$B$11:$B$40,$B26,Override!$D$11:$D$40,12,Override!$E$11:$E$40,"&gt;=0")-COUNTIFS(Override!$B$11:$B$40,$B26,Override!$D$11:$D$40,12,Override!$E$11:$E$40,"&gt;=0",Override!$C$11:$C$40,"MXAU"))&gt;0,SUMIFS(Override!$E$11:$E$40,Override!$B$11:$B$40,$B26,Override!$D$11:$D$40,12)-SUMIFS(Override!$E$11:$E$40,Override!$B$11:$B$40,$B26,Override!$D$11:$D$40,12,Override!$C$11:$C$40,"MXAU"),Override!$N$61)/AS51!$B$3,"")))</f>
        <v/>
      </c>
      <c r="R26" s="140">
        <f>IF(R$13="","",IF($B26="","",IFERROR($C26*$D26*IF((Override!$C$4="ON")*(COUNTIFS(Override!$B$11:$B$40,$B26,Override!$D$11:$D$40,13,Override!$E$11:$E$40,"&gt;=0")-COUNTIFS(Override!$B$11:$B$40,$B26,Override!$D$11:$D$40,13,Override!$E$11:$E$40,"&gt;=0",Override!$C$11:$C$40,"MXAU"))&gt;0,SUMIFS(Override!$E$11:$E$40,Override!$B$11:$B$40,$B26,Override!$D$11:$D$40,13)-SUMIFS(Override!$E$11:$E$40,Override!$B$11:$B$40,$B26,Override!$D$11:$D$40,13,Override!$C$11:$C$40,"MXAU"),Override!$O$61)/AS51!$B$3,"")))</f>
        <v/>
      </c>
      <c r="S26" s="140">
        <f>IF(S$13="","",IF($B26="","",IFERROR($C26*$D26*IF((Override!$C$4="ON")*(COUNTIFS(Override!$B$11:$B$40,$B26,Override!$D$11:$D$40,14,Override!$E$11:$E$40,"&gt;=0")-COUNTIFS(Override!$B$11:$B$40,$B26,Override!$D$11:$D$40,14,Override!$E$11:$E$40,"&gt;=0",Override!$C$11:$C$40,"MXAU"))&gt;0,SUMIFS(Override!$E$11:$E$40,Override!$B$11:$B$40,$B26,Override!$D$11:$D$40,14)-SUMIFS(Override!$E$11:$E$40,Override!$B$11:$B$40,$B26,Override!$D$11:$D$40,14,Override!$C$11:$C$40,"MXAU"),Override!$P$61)/AS51!$B$3,"")))</f>
        <v/>
      </c>
      <c r="T26" s="140">
        <f>IF(T$13="","",IF($B26="","",IFERROR($C26*$D26*IF((Override!$C$4="ON")*(COUNTIFS(Override!$B$11:$B$40,$B26,Override!$D$11:$D$40,15,Override!$E$11:$E$40,"&gt;=0")-COUNTIFS(Override!$B$11:$B$40,$B26,Override!$D$11:$D$40,15,Override!$E$11:$E$40,"&gt;=0",Override!$C$11:$C$40,"MXAU"))&gt;0,SUMIFS(Override!$E$11:$E$40,Override!$B$11:$B$40,$B26,Override!$D$11:$D$40,15)-SUMIFS(Override!$E$11:$E$40,Override!$B$11:$B$40,$B26,Override!$D$11:$D$40,15,Override!$C$11:$C$40,"MXAU"),Override!$Q$61)/AS51!$B$3,"")))</f>
        <v/>
      </c>
      <c r="U26" s="140">
        <f>IF(U$13="","",IF($B26="","",IFERROR($C26*$D26*IF((Override!$C$4="ON")*(COUNTIFS(Override!$B$11:$B$40,$B26,Override!$D$11:$D$40,16,Override!$E$11:$E$40,"&gt;=0")-COUNTIFS(Override!$B$11:$B$40,$B26,Override!$D$11:$D$40,16,Override!$E$11:$E$40,"&gt;=0",Override!$C$11:$C$40,"MXAU"))&gt;0,SUMIFS(Override!$E$11:$E$40,Override!$B$11:$B$40,$B26,Override!$D$11:$D$40,16)-SUMIFS(Override!$E$11:$E$40,Override!$B$11:$B$40,$B26,Override!$D$11:$D$40,16,Override!$C$11:$C$40,"MXAU"),Override!$R$61)/AS51!$B$3,"")))</f>
        <v/>
      </c>
      <c r="W26" s="140">
        <f>IF(W$13="","",IF($B26="","",IFERROR(F26*$E26/100,"")))</f>
        <v/>
      </c>
      <c r="X26" s="140">
        <f>IF(X$13="","",IF($B26="","",IFERROR(G26*$E26/100,"")))</f>
        <v/>
      </c>
      <c r="Y26" s="140">
        <f>IF(Y$13="","",IF($B26="","",IFERROR(H26*$E26/100,"")))</f>
        <v/>
      </c>
      <c r="Z26" s="140">
        <f>IF(Z$13="","",IF($B26="","",IFERROR(I26*$E26/100,"")))</f>
        <v/>
      </c>
      <c r="AA26" s="140">
        <f>IF(AA$13="","",IF($B26="","",IFERROR(J26*$E26/100,"")))</f>
        <v/>
      </c>
      <c r="AB26" s="140">
        <f>IF(AB$13="","",IF($B26="","",IFERROR(K26*$E26/100,"")))</f>
        <v/>
      </c>
      <c r="AC26" s="140">
        <f>IF(AC$13="","",IF($B26="","",IFERROR(L26*$E26/100,"")))</f>
        <v/>
      </c>
      <c r="AD26" s="140">
        <f>IF(AD$13="","",IF($B26="","",IFERROR(M26*$E26/100,"")))</f>
        <v/>
      </c>
      <c r="AE26" s="140">
        <f>IF(AE$13="","",IF($B26="","",IFERROR(N26*$E26/100,"")))</f>
        <v/>
      </c>
      <c r="AF26" s="140">
        <f>IF(AF$13="","",IF($B26="","",IFERROR(O26*$E26/100,"")))</f>
        <v/>
      </c>
      <c r="AG26" s="140">
        <f>IF(AG$13="","",IF($B26="","",IFERROR(P26*$E26/100,"")))</f>
        <v/>
      </c>
      <c r="AH26" s="140">
        <f>IF(AH$13="","",IF($B26="","",IFERROR(Q26*$E26/100,"")))</f>
        <v/>
      </c>
      <c r="AI26" s="140">
        <f>IF(AI$13="","",IF($B26="","",IFERROR(R26*$E26/100,"")))</f>
        <v/>
      </c>
      <c r="AJ26" s="140">
        <f>IF(AJ$13="","",IF($B26="","",IFERROR(S26*$E26/100,"")))</f>
        <v/>
      </c>
      <c r="AK26" s="140">
        <f>IF(AK$13="","",IF($B26="","",IFERROR(T26*$E26/100,"")))</f>
        <v/>
      </c>
      <c r="AL26" s="140">
        <f>IF(AL$13="","",IF($B26="","",IFERROR(U26*$E26/100,"")))</f>
        <v/>
      </c>
      <c r="AN26" s="140">
        <f>IF($B26="","",SUMIF($F$13:$U$13,"&lt;="&amp;Sector!$D$51,$F26:$U26))</f>
        <v/>
      </c>
      <c r="AO26" s="140">
        <f>IF($B26="","",SUMIF($W$13:$AL$13,"&lt;="&amp;Sector!$D$51,$W26:$AL26))</f>
        <v/>
      </c>
    </row>
    <row r="27">
      <c r="B27" s="5">
        <f>IF(AS51!$C$17="","",AS51!$C$17)</f>
        <v/>
      </c>
      <c r="C27" s="90">
        <f>IF(AS51!$B$17="","",AS51!$B$17)</f>
        <v/>
      </c>
      <c r="D27" s="138">
        <f>IFERROR(AS51!$Q$17,1)</f>
        <v/>
      </c>
      <c r="E27" s="139">
        <f>IF($B27="","",IF(ISNUMBER(AS51!$I$17),AS51!$I$17,'Index Summary'!$C$7))</f>
        <v/>
      </c>
      <c r="F27" s="140">
        <f>IF(F$13="","",IF($B27="","",IFERROR($C27*$D27*IF((Override!$C$4="ON")*(COUNTIFS(Override!$B$11:$B$40,$B27,Override!$D$11:$D$40,1,Override!$E$11:$E$40,"&gt;=0")-COUNTIFS(Override!$B$11:$B$40,$B27,Override!$D$11:$D$40,1,Override!$E$11:$E$40,"&gt;=0",Override!$C$11:$C$40,"MXAU"))&gt;0,SUMIFS(Override!$E$11:$E$40,Override!$B$11:$B$40,$B27,Override!$D$11:$D$40,1)-SUMIFS(Override!$E$11:$E$40,Override!$B$11:$B$40,$B27,Override!$D$11:$D$40,1,Override!$C$11:$C$40,"MXAU"),Override!$C$62)/AS51!$B$3,"")))</f>
        <v/>
      </c>
      <c r="G27" s="140">
        <f>IF(G$13="","",IF($B27="","",IFERROR($C27*$D27*IF((Override!$C$4="ON")*(COUNTIFS(Override!$B$11:$B$40,$B27,Override!$D$11:$D$40,2,Override!$E$11:$E$40,"&gt;=0")-COUNTIFS(Override!$B$11:$B$40,$B27,Override!$D$11:$D$40,2,Override!$E$11:$E$40,"&gt;=0",Override!$C$11:$C$40,"MXAU"))&gt;0,SUMIFS(Override!$E$11:$E$40,Override!$B$11:$B$40,$B27,Override!$D$11:$D$40,2)-SUMIFS(Override!$E$11:$E$40,Override!$B$11:$B$40,$B27,Override!$D$11:$D$40,2,Override!$C$11:$C$40,"MXAU"),Override!$D$62)/AS51!$B$3,"")))</f>
        <v/>
      </c>
      <c r="H27" s="140">
        <f>IF(H$13="","",IF($B27="","",IFERROR($C27*$D27*IF((Override!$C$4="ON")*(COUNTIFS(Override!$B$11:$B$40,$B27,Override!$D$11:$D$40,3,Override!$E$11:$E$40,"&gt;=0")-COUNTIFS(Override!$B$11:$B$40,$B27,Override!$D$11:$D$40,3,Override!$E$11:$E$40,"&gt;=0",Override!$C$11:$C$40,"MXAU"))&gt;0,SUMIFS(Override!$E$11:$E$40,Override!$B$11:$B$40,$B27,Override!$D$11:$D$40,3)-SUMIFS(Override!$E$11:$E$40,Override!$B$11:$B$40,$B27,Override!$D$11:$D$40,3,Override!$C$11:$C$40,"MXAU"),Override!$E$62)/AS51!$B$3,"")))</f>
        <v/>
      </c>
      <c r="I27" s="140">
        <f>IF(I$13="","",IF($B27="","",IFERROR($C27*$D27*IF((Override!$C$4="ON")*(COUNTIFS(Override!$B$11:$B$40,$B27,Override!$D$11:$D$40,4,Override!$E$11:$E$40,"&gt;=0")-COUNTIFS(Override!$B$11:$B$40,$B27,Override!$D$11:$D$40,4,Override!$E$11:$E$40,"&gt;=0",Override!$C$11:$C$40,"MXAU"))&gt;0,SUMIFS(Override!$E$11:$E$40,Override!$B$11:$B$40,$B27,Override!$D$11:$D$40,4)-SUMIFS(Override!$E$11:$E$40,Override!$B$11:$B$40,$B27,Override!$D$11:$D$40,4,Override!$C$11:$C$40,"MXAU"),Override!$F$62)/AS51!$B$3,"")))</f>
        <v/>
      </c>
      <c r="J27" s="140">
        <f>IF(J$13="","",IF($B27="","",IFERROR($C27*$D27*IF((Override!$C$4="ON")*(COUNTIFS(Override!$B$11:$B$40,$B27,Override!$D$11:$D$40,5,Override!$E$11:$E$40,"&gt;=0")-COUNTIFS(Override!$B$11:$B$40,$B27,Override!$D$11:$D$40,5,Override!$E$11:$E$40,"&gt;=0",Override!$C$11:$C$40,"MXAU"))&gt;0,SUMIFS(Override!$E$11:$E$40,Override!$B$11:$B$40,$B27,Override!$D$11:$D$40,5)-SUMIFS(Override!$E$11:$E$40,Override!$B$11:$B$40,$B27,Override!$D$11:$D$40,5,Override!$C$11:$C$40,"MXAU"),Override!$G$62)/AS51!$B$3,"")))</f>
        <v/>
      </c>
      <c r="K27" s="140">
        <f>IF(K$13="","",IF($B27="","",IFERROR($C27*$D27*IF((Override!$C$4="ON")*(COUNTIFS(Override!$B$11:$B$40,$B27,Override!$D$11:$D$40,6,Override!$E$11:$E$40,"&gt;=0")-COUNTIFS(Override!$B$11:$B$40,$B27,Override!$D$11:$D$40,6,Override!$E$11:$E$40,"&gt;=0",Override!$C$11:$C$40,"MXAU"))&gt;0,SUMIFS(Override!$E$11:$E$40,Override!$B$11:$B$40,$B27,Override!$D$11:$D$40,6)-SUMIFS(Override!$E$11:$E$40,Override!$B$11:$B$40,$B27,Override!$D$11:$D$40,6,Override!$C$11:$C$40,"MXAU"),Override!$H$62)/AS51!$B$3,"")))</f>
        <v/>
      </c>
      <c r="L27" s="140">
        <f>IF(L$13="","",IF($B27="","",IFERROR($C27*$D27*IF((Override!$C$4="ON")*(COUNTIFS(Override!$B$11:$B$40,$B27,Override!$D$11:$D$40,7,Override!$E$11:$E$40,"&gt;=0")-COUNTIFS(Override!$B$11:$B$40,$B27,Override!$D$11:$D$40,7,Override!$E$11:$E$40,"&gt;=0",Override!$C$11:$C$40,"MXAU"))&gt;0,SUMIFS(Override!$E$11:$E$40,Override!$B$11:$B$40,$B27,Override!$D$11:$D$40,7)-SUMIFS(Override!$E$11:$E$40,Override!$B$11:$B$40,$B27,Override!$D$11:$D$40,7,Override!$C$11:$C$40,"MXAU"),Override!$I$62)/AS51!$B$3,"")))</f>
        <v/>
      </c>
      <c r="M27" s="140">
        <f>IF(M$13="","",IF($B27="","",IFERROR($C27*$D27*IF((Override!$C$4="ON")*(COUNTIFS(Override!$B$11:$B$40,$B27,Override!$D$11:$D$40,8,Override!$E$11:$E$40,"&gt;=0")-COUNTIFS(Override!$B$11:$B$40,$B27,Override!$D$11:$D$40,8,Override!$E$11:$E$40,"&gt;=0",Override!$C$11:$C$40,"MXAU"))&gt;0,SUMIFS(Override!$E$11:$E$40,Override!$B$11:$B$40,$B27,Override!$D$11:$D$40,8)-SUMIFS(Override!$E$11:$E$40,Override!$B$11:$B$40,$B27,Override!$D$11:$D$40,8,Override!$C$11:$C$40,"MXAU"),Override!$J$62)/AS51!$B$3,"")))</f>
        <v/>
      </c>
      <c r="N27" s="140">
        <f>IF(N$13="","",IF($B27="","",IFERROR($C27*$D27*IF((Override!$C$4="ON")*(COUNTIFS(Override!$B$11:$B$40,$B27,Override!$D$11:$D$40,9,Override!$E$11:$E$40,"&gt;=0")-COUNTIFS(Override!$B$11:$B$40,$B27,Override!$D$11:$D$40,9,Override!$E$11:$E$40,"&gt;=0",Override!$C$11:$C$40,"MXAU"))&gt;0,SUMIFS(Override!$E$11:$E$40,Override!$B$11:$B$40,$B27,Override!$D$11:$D$40,9)-SUMIFS(Override!$E$11:$E$40,Override!$B$11:$B$40,$B27,Override!$D$11:$D$40,9,Override!$C$11:$C$40,"MXAU"),Override!$K$62)/AS51!$B$3,"")))</f>
        <v/>
      </c>
      <c r="O27" s="140">
        <f>IF(O$13="","",IF($B27="","",IFERROR($C27*$D27*IF((Override!$C$4="ON")*(COUNTIFS(Override!$B$11:$B$40,$B27,Override!$D$11:$D$40,10,Override!$E$11:$E$40,"&gt;=0")-COUNTIFS(Override!$B$11:$B$40,$B27,Override!$D$11:$D$40,10,Override!$E$11:$E$40,"&gt;=0",Override!$C$11:$C$40,"MXAU"))&gt;0,SUMIFS(Override!$E$11:$E$40,Override!$B$11:$B$40,$B27,Override!$D$11:$D$40,10)-SUMIFS(Override!$E$11:$E$40,Override!$B$11:$B$40,$B27,Override!$D$11:$D$40,10,Override!$C$11:$C$40,"MXAU"),Override!$L$62)/AS51!$B$3,"")))</f>
        <v/>
      </c>
      <c r="P27" s="140">
        <f>IF(P$13="","",IF($B27="","",IFERROR($C27*$D27*IF((Override!$C$4="ON")*(COUNTIFS(Override!$B$11:$B$40,$B27,Override!$D$11:$D$40,11,Override!$E$11:$E$40,"&gt;=0")-COUNTIFS(Override!$B$11:$B$40,$B27,Override!$D$11:$D$40,11,Override!$E$11:$E$40,"&gt;=0",Override!$C$11:$C$40,"MXAU"))&gt;0,SUMIFS(Override!$E$11:$E$40,Override!$B$11:$B$40,$B27,Override!$D$11:$D$40,11)-SUMIFS(Override!$E$11:$E$40,Override!$B$11:$B$40,$B27,Override!$D$11:$D$40,11,Override!$C$11:$C$40,"MXAU"),Override!$M$62)/AS51!$B$3,"")))</f>
        <v/>
      </c>
      <c r="Q27" s="140">
        <f>IF(Q$13="","",IF($B27="","",IFERROR($C27*$D27*IF((Override!$C$4="ON")*(COUNTIFS(Override!$B$11:$B$40,$B27,Override!$D$11:$D$40,12,Override!$E$11:$E$40,"&gt;=0")-COUNTIFS(Override!$B$11:$B$40,$B27,Override!$D$11:$D$40,12,Override!$E$11:$E$40,"&gt;=0",Override!$C$11:$C$40,"MXAU"))&gt;0,SUMIFS(Override!$E$11:$E$40,Override!$B$11:$B$40,$B27,Override!$D$11:$D$40,12)-SUMIFS(Override!$E$11:$E$40,Override!$B$11:$B$40,$B27,Override!$D$11:$D$40,12,Override!$C$11:$C$40,"MXAU"),Override!$N$62)/AS51!$B$3,"")))</f>
        <v/>
      </c>
      <c r="R27" s="140">
        <f>IF(R$13="","",IF($B27="","",IFERROR($C27*$D27*IF((Override!$C$4="ON")*(COUNTIFS(Override!$B$11:$B$40,$B27,Override!$D$11:$D$40,13,Override!$E$11:$E$40,"&gt;=0")-COUNTIFS(Override!$B$11:$B$40,$B27,Override!$D$11:$D$40,13,Override!$E$11:$E$40,"&gt;=0",Override!$C$11:$C$40,"MXAU"))&gt;0,SUMIFS(Override!$E$11:$E$40,Override!$B$11:$B$40,$B27,Override!$D$11:$D$40,13)-SUMIFS(Override!$E$11:$E$40,Override!$B$11:$B$40,$B27,Override!$D$11:$D$40,13,Override!$C$11:$C$40,"MXAU"),Override!$O$62)/AS51!$B$3,"")))</f>
        <v/>
      </c>
      <c r="S27" s="140">
        <f>IF(S$13="","",IF($B27="","",IFERROR($C27*$D27*IF((Override!$C$4="ON")*(COUNTIFS(Override!$B$11:$B$40,$B27,Override!$D$11:$D$40,14,Override!$E$11:$E$40,"&gt;=0")-COUNTIFS(Override!$B$11:$B$40,$B27,Override!$D$11:$D$40,14,Override!$E$11:$E$40,"&gt;=0",Override!$C$11:$C$40,"MXAU"))&gt;0,SUMIFS(Override!$E$11:$E$40,Override!$B$11:$B$40,$B27,Override!$D$11:$D$40,14)-SUMIFS(Override!$E$11:$E$40,Override!$B$11:$B$40,$B27,Override!$D$11:$D$40,14,Override!$C$11:$C$40,"MXAU"),Override!$P$62)/AS51!$B$3,"")))</f>
        <v/>
      </c>
      <c r="T27" s="140">
        <f>IF(T$13="","",IF($B27="","",IFERROR($C27*$D27*IF((Override!$C$4="ON")*(COUNTIFS(Override!$B$11:$B$40,$B27,Override!$D$11:$D$40,15,Override!$E$11:$E$40,"&gt;=0")-COUNTIFS(Override!$B$11:$B$40,$B27,Override!$D$11:$D$40,15,Override!$E$11:$E$40,"&gt;=0",Override!$C$11:$C$40,"MXAU"))&gt;0,SUMIFS(Override!$E$11:$E$40,Override!$B$11:$B$40,$B27,Override!$D$11:$D$40,15)-SUMIFS(Override!$E$11:$E$40,Override!$B$11:$B$40,$B27,Override!$D$11:$D$40,15,Override!$C$11:$C$40,"MXAU"),Override!$Q$62)/AS51!$B$3,"")))</f>
        <v/>
      </c>
      <c r="U27" s="140">
        <f>IF(U$13="","",IF($B27="","",IFERROR($C27*$D27*IF((Override!$C$4="ON")*(COUNTIFS(Override!$B$11:$B$40,$B27,Override!$D$11:$D$40,16,Override!$E$11:$E$40,"&gt;=0")-COUNTIFS(Override!$B$11:$B$40,$B27,Override!$D$11:$D$40,16,Override!$E$11:$E$40,"&gt;=0",Override!$C$11:$C$40,"MXAU"))&gt;0,SUMIFS(Override!$E$11:$E$40,Override!$B$11:$B$40,$B27,Override!$D$11:$D$40,16)-SUMIFS(Override!$E$11:$E$40,Override!$B$11:$B$40,$B27,Override!$D$11:$D$40,16,Override!$C$11:$C$40,"MXAU"),Override!$R$62)/AS51!$B$3,"")))</f>
        <v/>
      </c>
      <c r="W27" s="140">
        <f>IF(W$13="","",IF($B27="","",IFERROR(F27*$E27/100,"")))</f>
        <v/>
      </c>
      <c r="X27" s="140">
        <f>IF(X$13="","",IF($B27="","",IFERROR(G27*$E27/100,"")))</f>
        <v/>
      </c>
      <c r="Y27" s="140">
        <f>IF(Y$13="","",IF($B27="","",IFERROR(H27*$E27/100,"")))</f>
        <v/>
      </c>
      <c r="Z27" s="140">
        <f>IF(Z$13="","",IF($B27="","",IFERROR(I27*$E27/100,"")))</f>
        <v/>
      </c>
      <c r="AA27" s="140">
        <f>IF(AA$13="","",IF($B27="","",IFERROR(J27*$E27/100,"")))</f>
        <v/>
      </c>
      <c r="AB27" s="140">
        <f>IF(AB$13="","",IF($B27="","",IFERROR(K27*$E27/100,"")))</f>
        <v/>
      </c>
      <c r="AC27" s="140">
        <f>IF(AC$13="","",IF($B27="","",IFERROR(L27*$E27/100,"")))</f>
        <v/>
      </c>
      <c r="AD27" s="140">
        <f>IF(AD$13="","",IF($B27="","",IFERROR(M27*$E27/100,"")))</f>
        <v/>
      </c>
      <c r="AE27" s="140">
        <f>IF(AE$13="","",IF($B27="","",IFERROR(N27*$E27/100,"")))</f>
        <v/>
      </c>
      <c r="AF27" s="140">
        <f>IF(AF$13="","",IF($B27="","",IFERROR(O27*$E27/100,"")))</f>
        <v/>
      </c>
      <c r="AG27" s="140">
        <f>IF(AG$13="","",IF($B27="","",IFERROR(P27*$E27/100,"")))</f>
        <v/>
      </c>
      <c r="AH27" s="140">
        <f>IF(AH$13="","",IF($B27="","",IFERROR(Q27*$E27/100,"")))</f>
        <v/>
      </c>
      <c r="AI27" s="140">
        <f>IF(AI$13="","",IF($B27="","",IFERROR(R27*$E27/100,"")))</f>
        <v/>
      </c>
      <c r="AJ27" s="140">
        <f>IF(AJ$13="","",IF($B27="","",IFERROR(S27*$E27/100,"")))</f>
        <v/>
      </c>
      <c r="AK27" s="140">
        <f>IF(AK$13="","",IF($B27="","",IFERROR(T27*$E27/100,"")))</f>
        <v/>
      </c>
      <c r="AL27" s="140">
        <f>IF(AL$13="","",IF($B27="","",IFERROR(U27*$E27/100,"")))</f>
        <v/>
      </c>
      <c r="AN27" s="140">
        <f>IF($B27="","",SUMIF($F$13:$U$13,"&lt;="&amp;Sector!$D$51,$F27:$U27))</f>
        <v/>
      </c>
      <c r="AO27" s="140">
        <f>IF($B27="","",SUMIF($W$13:$AL$13,"&lt;="&amp;Sector!$D$51,$W27:$AL27))</f>
        <v/>
      </c>
    </row>
    <row r="28">
      <c r="B28" s="5">
        <f>IF(AS51!$C$18="","",AS51!$C$18)</f>
        <v/>
      </c>
      <c r="C28" s="90">
        <f>IF(AS51!$B$18="","",AS51!$B$18)</f>
        <v/>
      </c>
      <c r="D28" s="138">
        <f>IFERROR(AS51!$Q$18,1)</f>
        <v/>
      </c>
      <c r="E28" s="139">
        <f>IF($B28="","",IF(ISNUMBER(AS51!$I$18),AS51!$I$18,'Index Summary'!$C$7))</f>
        <v/>
      </c>
      <c r="F28" s="140">
        <f>IF(F$13="","",IF($B28="","",IFERROR($C28*$D28*IF((Override!$C$4="ON")*(COUNTIFS(Override!$B$11:$B$40,$B28,Override!$D$11:$D$40,1,Override!$E$11:$E$40,"&gt;=0")-COUNTIFS(Override!$B$11:$B$40,$B28,Override!$D$11:$D$40,1,Override!$E$11:$E$40,"&gt;=0",Override!$C$11:$C$40,"MXAU"))&gt;0,SUMIFS(Override!$E$11:$E$40,Override!$B$11:$B$40,$B28,Override!$D$11:$D$40,1)-SUMIFS(Override!$E$11:$E$40,Override!$B$11:$B$40,$B28,Override!$D$11:$D$40,1,Override!$C$11:$C$40,"MXAU"),Override!$C$63)/AS51!$B$3,"")))</f>
        <v/>
      </c>
      <c r="G28" s="140">
        <f>IF(G$13="","",IF($B28="","",IFERROR($C28*$D28*IF((Override!$C$4="ON")*(COUNTIFS(Override!$B$11:$B$40,$B28,Override!$D$11:$D$40,2,Override!$E$11:$E$40,"&gt;=0")-COUNTIFS(Override!$B$11:$B$40,$B28,Override!$D$11:$D$40,2,Override!$E$11:$E$40,"&gt;=0",Override!$C$11:$C$40,"MXAU"))&gt;0,SUMIFS(Override!$E$11:$E$40,Override!$B$11:$B$40,$B28,Override!$D$11:$D$40,2)-SUMIFS(Override!$E$11:$E$40,Override!$B$11:$B$40,$B28,Override!$D$11:$D$40,2,Override!$C$11:$C$40,"MXAU"),Override!$D$63)/AS51!$B$3,"")))</f>
        <v/>
      </c>
      <c r="H28" s="140">
        <f>IF(H$13="","",IF($B28="","",IFERROR($C28*$D28*IF((Override!$C$4="ON")*(COUNTIFS(Override!$B$11:$B$40,$B28,Override!$D$11:$D$40,3,Override!$E$11:$E$40,"&gt;=0")-COUNTIFS(Override!$B$11:$B$40,$B28,Override!$D$11:$D$40,3,Override!$E$11:$E$40,"&gt;=0",Override!$C$11:$C$40,"MXAU"))&gt;0,SUMIFS(Override!$E$11:$E$40,Override!$B$11:$B$40,$B28,Override!$D$11:$D$40,3)-SUMIFS(Override!$E$11:$E$40,Override!$B$11:$B$40,$B28,Override!$D$11:$D$40,3,Override!$C$11:$C$40,"MXAU"),Override!$E$63)/AS51!$B$3,"")))</f>
        <v/>
      </c>
      <c r="I28" s="140">
        <f>IF(I$13="","",IF($B28="","",IFERROR($C28*$D28*IF((Override!$C$4="ON")*(COUNTIFS(Override!$B$11:$B$40,$B28,Override!$D$11:$D$40,4,Override!$E$11:$E$40,"&gt;=0")-COUNTIFS(Override!$B$11:$B$40,$B28,Override!$D$11:$D$40,4,Override!$E$11:$E$40,"&gt;=0",Override!$C$11:$C$40,"MXAU"))&gt;0,SUMIFS(Override!$E$11:$E$40,Override!$B$11:$B$40,$B28,Override!$D$11:$D$40,4)-SUMIFS(Override!$E$11:$E$40,Override!$B$11:$B$40,$B28,Override!$D$11:$D$40,4,Override!$C$11:$C$40,"MXAU"),Override!$F$63)/AS51!$B$3,"")))</f>
        <v/>
      </c>
      <c r="J28" s="140">
        <f>IF(J$13="","",IF($B28="","",IFERROR($C28*$D28*IF((Override!$C$4="ON")*(COUNTIFS(Override!$B$11:$B$40,$B28,Override!$D$11:$D$40,5,Override!$E$11:$E$40,"&gt;=0")-COUNTIFS(Override!$B$11:$B$40,$B28,Override!$D$11:$D$40,5,Override!$E$11:$E$40,"&gt;=0",Override!$C$11:$C$40,"MXAU"))&gt;0,SUMIFS(Override!$E$11:$E$40,Override!$B$11:$B$40,$B28,Override!$D$11:$D$40,5)-SUMIFS(Override!$E$11:$E$40,Override!$B$11:$B$40,$B28,Override!$D$11:$D$40,5,Override!$C$11:$C$40,"MXAU"),Override!$G$63)/AS51!$B$3,"")))</f>
        <v/>
      </c>
      <c r="K28" s="140">
        <f>IF(K$13="","",IF($B28="","",IFERROR($C28*$D28*IF((Override!$C$4="ON")*(COUNTIFS(Override!$B$11:$B$40,$B28,Override!$D$11:$D$40,6,Override!$E$11:$E$40,"&gt;=0")-COUNTIFS(Override!$B$11:$B$40,$B28,Override!$D$11:$D$40,6,Override!$E$11:$E$40,"&gt;=0",Override!$C$11:$C$40,"MXAU"))&gt;0,SUMIFS(Override!$E$11:$E$40,Override!$B$11:$B$40,$B28,Override!$D$11:$D$40,6)-SUMIFS(Override!$E$11:$E$40,Override!$B$11:$B$40,$B28,Override!$D$11:$D$40,6,Override!$C$11:$C$40,"MXAU"),Override!$H$63)/AS51!$B$3,"")))</f>
        <v/>
      </c>
      <c r="L28" s="140">
        <f>IF(L$13="","",IF($B28="","",IFERROR($C28*$D28*IF((Override!$C$4="ON")*(COUNTIFS(Override!$B$11:$B$40,$B28,Override!$D$11:$D$40,7,Override!$E$11:$E$40,"&gt;=0")-COUNTIFS(Override!$B$11:$B$40,$B28,Override!$D$11:$D$40,7,Override!$E$11:$E$40,"&gt;=0",Override!$C$11:$C$40,"MXAU"))&gt;0,SUMIFS(Override!$E$11:$E$40,Override!$B$11:$B$40,$B28,Override!$D$11:$D$40,7)-SUMIFS(Override!$E$11:$E$40,Override!$B$11:$B$40,$B28,Override!$D$11:$D$40,7,Override!$C$11:$C$40,"MXAU"),Override!$I$63)/AS51!$B$3,"")))</f>
        <v/>
      </c>
      <c r="M28" s="140">
        <f>IF(M$13="","",IF($B28="","",IFERROR($C28*$D28*IF((Override!$C$4="ON")*(COUNTIFS(Override!$B$11:$B$40,$B28,Override!$D$11:$D$40,8,Override!$E$11:$E$40,"&gt;=0")-COUNTIFS(Override!$B$11:$B$40,$B28,Override!$D$11:$D$40,8,Override!$E$11:$E$40,"&gt;=0",Override!$C$11:$C$40,"MXAU"))&gt;0,SUMIFS(Override!$E$11:$E$40,Override!$B$11:$B$40,$B28,Override!$D$11:$D$40,8)-SUMIFS(Override!$E$11:$E$40,Override!$B$11:$B$40,$B28,Override!$D$11:$D$40,8,Override!$C$11:$C$40,"MXAU"),Override!$J$63)/AS51!$B$3,"")))</f>
        <v/>
      </c>
      <c r="N28" s="140">
        <f>IF(N$13="","",IF($B28="","",IFERROR($C28*$D28*IF((Override!$C$4="ON")*(COUNTIFS(Override!$B$11:$B$40,$B28,Override!$D$11:$D$40,9,Override!$E$11:$E$40,"&gt;=0")-COUNTIFS(Override!$B$11:$B$40,$B28,Override!$D$11:$D$40,9,Override!$E$11:$E$40,"&gt;=0",Override!$C$11:$C$40,"MXAU"))&gt;0,SUMIFS(Override!$E$11:$E$40,Override!$B$11:$B$40,$B28,Override!$D$11:$D$40,9)-SUMIFS(Override!$E$11:$E$40,Override!$B$11:$B$40,$B28,Override!$D$11:$D$40,9,Override!$C$11:$C$40,"MXAU"),Override!$K$63)/AS51!$B$3,"")))</f>
        <v/>
      </c>
      <c r="O28" s="140">
        <f>IF(O$13="","",IF($B28="","",IFERROR($C28*$D28*IF((Override!$C$4="ON")*(COUNTIFS(Override!$B$11:$B$40,$B28,Override!$D$11:$D$40,10,Override!$E$11:$E$40,"&gt;=0")-COUNTIFS(Override!$B$11:$B$40,$B28,Override!$D$11:$D$40,10,Override!$E$11:$E$40,"&gt;=0",Override!$C$11:$C$40,"MXAU"))&gt;0,SUMIFS(Override!$E$11:$E$40,Override!$B$11:$B$40,$B28,Override!$D$11:$D$40,10)-SUMIFS(Override!$E$11:$E$40,Override!$B$11:$B$40,$B28,Override!$D$11:$D$40,10,Override!$C$11:$C$40,"MXAU"),Override!$L$63)/AS51!$B$3,"")))</f>
        <v/>
      </c>
      <c r="P28" s="140">
        <f>IF(P$13="","",IF($B28="","",IFERROR($C28*$D28*IF((Override!$C$4="ON")*(COUNTIFS(Override!$B$11:$B$40,$B28,Override!$D$11:$D$40,11,Override!$E$11:$E$40,"&gt;=0")-COUNTIFS(Override!$B$11:$B$40,$B28,Override!$D$11:$D$40,11,Override!$E$11:$E$40,"&gt;=0",Override!$C$11:$C$40,"MXAU"))&gt;0,SUMIFS(Override!$E$11:$E$40,Override!$B$11:$B$40,$B28,Override!$D$11:$D$40,11)-SUMIFS(Override!$E$11:$E$40,Override!$B$11:$B$40,$B28,Override!$D$11:$D$40,11,Override!$C$11:$C$40,"MXAU"),Override!$M$63)/AS51!$B$3,"")))</f>
        <v/>
      </c>
      <c r="Q28" s="140">
        <f>IF(Q$13="","",IF($B28="","",IFERROR($C28*$D28*IF((Override!$C$4="ON")*(COUNTIFS(Override!$B$11:$B$40,$B28,Override!$D$11:$D$40,12,Override!$E$11:$E$40,"&gt;=0")-COUNTIFS(Override!$B$11:$B$40,$B28,Override!$D$11:$D$40,12,Override!$E$11:$E$40,"&gt;=0",Override!$C$11:$C$40,"MXAU"))&gt;0,SUMIFS(Override!$E$11:$E$40,Override!$B$11:$B$40,$B28,Override!$D$11:$D$40,12)-SUMIFS(Override!$E$11:$E$40,Override!$B$11:$B$40,$B28,Override!$D$11:$D$40,12,Override!$C$11:$C$40,"MXAU"),Override!$N$63)/AS51!$B$3,"")))</f>
        <v/>
      </c>
      <c r="R28" s="140">
        <f>IF(R$13="","",IF($B28="","",IFERROR($C28*$D28*IF((Override!$C$4="ON")*(COUNTIFS(Override!$B$11:$B$40,$B28,Override!$D$11:$D$40,13,Override!$E$11:$E$40,"&gt;=0")-COUNTIFS(Override!$B$11:$B$40,$B28,Override!$D$11:$D$40,13,Override!$E$11:$E$40,"&gt;=0",Override!$C$11:$C$40,"MXAU"))&gt;0,SUMIFS(Override!$E$11:$E$40,Override!$B$11:$B$40,$B28,Override!$D$11:$D$40,13)-SUMIFS(Override!$E$11:$E$40,Override!$B$11:$B$40,$B28,Override!$D$11:$D$40,13,Override!$C$11:$C$40,"MXAU"),Override!$O$63)/AS51!$B$3,"")))</f>
        <v/>
      </c>
      <c r="S28" s="140">
        <f>IF(S$13="","",IF($B28="","",IFERROR($C28*$D28*IF((Override!$C$4="ON")*(COUNTIFS(Override!$B$11:$B$40,$B28,Override!$D$11:$D$40,14,Override!$E$11:$E$40,"&gt;=0")-COUNTIFS(Override!$B$11:$B$40,$B28,Override!$D$11:$D$40,14,Override!$E$11:$E$40,"&gt;=0",Override!$C$11:$C$40,"MXAU"))&gt;0,SUMIFS(Override!$E$11:$E$40,Override!$B$11:$B$40,$B28,Override!$D$11:$D$40,14)-SUMIFS(Override!$E$11:$E$40,Override!$B$11:$B$40,$B28,Override!$D$11:$D$40,14,Override!$C$11:$C$40,"MXAU"),Override!$P$63)/AS51!$B$3,"")))</f>
        <v/>
      </c>
      <c r="T28" s="140">
        <f>IF(T$13="","",IF($B28="","",IFERROR($C28*$D28*IF((Override!$C$4="ON")*(COUNTIFS(Override!$B$11:$B$40,$B28,Override!$D$11:$D$40,15,Override!$E$11:$E$40,"&gt;=0")-COUNTIFS(Override!$B$11:$B$40,$B28,Override!$D$11:$D$40,15,Override!$E$11:$E$40,"&gt;=0",Override!$C$11:$C$40,"MXAU"))&gt;0,SUMIFS(Override!$E$11:$E$40,Override!$B$11:$B$40,$B28,Override!$D$11:$D$40,15)-SUMIFS(Override!$E$11:$E$40,Override!$B$11:$B$40,$B28,Override!$D$11:$D$40,15,Override!$C$11:$C$40,"MXAU"),Override!$Q$63)/AS51!$B$3,"")))</f>
        <v/>
      </c>
      <c r="U28" s="140">
        <f>IF(U$13="","",IF($B28="","",IFERROR($C28*$D28*IF((Override!$C$4="ON")*(COUNTIFS(Override!$B$11:$B$40,$B28,Override!$D$11:$D$40,16,Override!$E$11:$E$40,"&gt;=0")-COUNTIFS(Override!$B$11:$B$40,$B28,Override!$D$11:$D$40,16,Override!$E$11:$E$40,"&gt;=0",Override!$C$11:$C$40,"MXAU"))&gt;0,SUMIFS(Override!$E$11:$E$40,Override!$B$11:$B$40,$B28,Override!$D$11:$D$40,16)-SUMIFS(Override!$E$11:$E$40,Override!$B$11:$B$40,$B28,Override!$D$11:$D$40,16,Override!$C$11:$C$40,"MXAU"),Override!$R$63)/AS51!$B$3,"")))</f>
        <v/>
      </c>
      <c r="W28" s="140">
        <f>IF(W$13="","",IF($B28="","",IFERROR(F28*$E28/100,"")))</f>
        <v/>
      </c>
      <c r="X28" s="140">
        <f>IF(X$13="","",IF($B28="","",IFERROR(G28*$E28/100,"")))</f>
        <v/>
      </c>
      <c r="Y28" s="140">
        <f>IF(Y$13="","",IF($B28="","",IFERROR(H28*$E28/100,"")))</f>
        <v/>
      </c>
      <c r="Z28" s="140">
        <f>IF(Z$13="","",IF($B28="","",IFERROR(I28*$E28/100,"")))</f>
        <v/>
      </c>
      <c r="AA28" s="140">
        <f>IF(AA$13="","",IF($B28="","",IFERROR(J28*$E28/100,"")))</f>
        <v/>
      </c>
      <c r="AB28" s="140">
        <f>IF(AB$13="","",IF($B28="","",IFERROR(K28*$E28/100,"")))</f>
        <v/>
      </c>
      <c r="AC28" s="140">
        <f>IF(AC$13="","",IF($B28="","",IFERROR(L28*$E28/100,"")))</f>
        <v/>
      </c>
      <c r="AD28" s="140">
        <f>IF(AD$13="","",IF($B28="","",IFERROR(M28*$E28/100,"")))</f>
        <v/>
      </c>
      <c r="AE28" s="140">
        <f>IF(AE$13="","",IF($B28="","",IFERROR(N28*$E28/100,"")))</f>
        <v/>
      </c>
      <c r="AF28" s="140">
        <f>IF(AF$13="","",IF($B28="","",IFERROR(O28*$E28/100,"")))</f>
        <v/>
      </c>
      <c r="AG28" s="140">
        <f>IF(AG$13="","",IF($B28="","",IFERROR(P28*$E28/100,"")))</f>
        <v/>
      </c>
      <c r="AH28" s="140">
        <f>IF(AH$13="","",IF($B28="","",IFERROR(Q28*$E28/100,"")))</f>
        <v/>
      </c>
      <c r="AI28" s="140">
        <f>IF(AI$13="","",IF($B28="","",IFERROR(R28*$E28/100,"")))</f>
        <v/>
      </c>
      <c r="AJ28" s="140">
        <f>IF(AJ$13="","",IF($B28="","",IFERROR(S28*$E28/100,"")))</f>
        <v/>
      </c>
      <c r="AK28" s="140">
        <f>IF(AK$13="","",IF($B28="","",IFERROR(T28*$E28/100,"")))</f>
        <v/>
      </c>
      <c r="AL28" s="140">
        <f>IF(AL$13="","",IF($B28="","",IFERROR(U28*$E28/100,"")))</f>
        <v/>
      </c>
      <c r="AN28" s="140">
        <f>IF($B28="","",SUMIF($F$13:$U$13,"&lt;="&amp;Sector!$D$51,$F28:$U28))</f>
        <v/>
      </c>
      <c r="AO28" s="140">
        <f>IF($B28="","",SUMIF($W$13:$AL$13,"&lt;="&amp;Sector!$D$51,$W28:$AL28))</f>
        <v/>
      </c>
    </row>
    <row r="29">
      <c r="B29" s="5">
        <f>IF(AS51!$C$19="","",AS51!$C$19)</f>
        <v/>
      </c>
      <c r="C29" s="90">
        <f>IF(AS51!$B$19="","",AS51!$B$19)</f>
        <v/>
      </c>
      <c r="D29" s="138">
        <f>IFERROR(AS51!$Q$19,1)</f>
        <v/>
      </c>
      <c r="E29" s="139">
        <f>IF($B29="","",IF(ISNUMBER(AS51!$I$19),AS51!$I$19,'Index Summary'!$C$7))</f>
        <v/>
      </c>
      <c r="F29" s="140">
        <f>IF(F$13="","",IF($B29="","",IFERROR($C29*$D29*IF((Override!$C$4="ON")*(COUNTIFS(Override!$B$11:$B$40,$B29,Override!$D$11:$D$40,1,Override!$E$11:$E$40,"&gt;=0")-COUNTIFS(Override!$B$11:$B$40,$B29,Override!$D$11:$D$40,1,Override!$E$11:$E$40,"&gt;=0",Override!$C$11:$C$40,"MXAU"))&gt;0,SUMIFS(Override!$E$11:$E$40,Override!$B$11:$B$40,$B29,Override!$D$11:$D$40,1)-SUMIFS(Override!$E$11:$E$40,Override!$B$11:$B$40,$B29,Override!$D$11:$D$40,1,Override!$C$11:$C$40,"MXAU"),Override!$C$64)/AS51!$B$3,"")))</f>
        <v/>
      </c>
      <c r="G29" s="140">
        <f>IF(G$13="","",IF($B29="","",IFERROR($C29*$D29*IF((Override!$C$4="ON")*(COUNTIFS(Override!$B$11:$B$40,$B29,Override!$D$11:$D$40,2,Override!$E$11:$E$40,"&gt;=0")-COUNTIFS(Override!$B$11:$B$40,$B29,Override!$D$11:$D$40,2,Override!$E$11:$E$40,"&gt;=0",Override!$C$11:$C$40,"MXAU"))&gt;0,SUMIFS(Override!$E$11:$E$40,Override!$B$11:$B$40,$B29,Override!$D$11:$D$40,2)-SUMIFS(Override!$E$11:$E$40,Override!$B$11:$B$40,$B29,Override!$D$11:$D$40,2,Override!$C$11:$C$40,"MXAU"),Override!$D$64)/AS51!$B$3,"")))</f>
        <v/>
      </c>
      <c r="H29" s="140">
        <f>IF(H$13="","",IF($B29="","",IFERROR($C29*$D29*IF((Override!$C$4="ON")*(COUNTIFS(Override!$B$11:$B$40,$B29,Override!$D$11:$D$40,3,Override!$E$11:$E$40,"&gt;=0")-COUNTIFS(Override!$B$11:$B$40,$B29,Override!$D$11:$D$40,3,Override!$E$11:$E$40,"&gt;=0",Override!$C$11:$C$40,"MXAU"))&gt;0,SUMIFS(Override!$E$11:$E$40,Override!$B$11:$B$40,$B29,Override!$D$11:$D$40,3)-SUMIFS(Override!$E$11:$E$40,Override!$B$11:$B$40,$B29,Override!$D$11:$D$40,3,Override!$C$11:$C$40,"MXAU"),Override!$E$64)/AS51!$B$3,"")))</f>
        <v/>
      </c>
      <c r="I29" s="140">
        <f>IF(I$13="","",IF($B29="","",IFERROR($C29*$D29*IF((Override!$C$4="ON")*(COUNTIFS(Override!$B$11:$B$40,$B29,Override!$D$11:$D$40,4,Override!$E$11:$E$40,"&gt;=0")-COUNTIFS(Override!$B$11:$B$40,$B29,Override!$D$11:$D$40,4,Override!$E$11:$E$40,"&gt;=0",Override!$C$11:$C$40,"MXAU"))&gt;0,SUMIFS(Override!$E$11:$E$40,Override!$B$11:$B$40,$B29,Override!$D$11:$D$40,4)-SUMIFS(Override!$E$11:$E$40,Override!$B$11:$B$40,$B29,Override!$D$11:$D$40,4,Override!$C$11:$C$40,"MXAU"),Override!$F$64)/AS51!$B$3,"")))</f>
        <v/>
      </c>
      <c r="J29" s="140">
        <f>IF(J$13="","",IF($B29="","",IFERROR($C29*$D29*IF((Override!$C$4="ON")*(COUNTIFS(Override!$B$11:$B$40,$B29,Override!$D$11:$D$40,5,Override!$E$11:$E$40,"&gt;=0")-COUNTIFS(Override!$B$11:$B$40,$B29,Override!$D$11:$D$40,5,Override!$E$11:$E$40,"&gt;=0",Override!$C$11:$C$40,"MXAU"))&gt;0,SUMIFS(Override!$E$11:$E$40,Override!$B$11:$B$40,$B29,Override!$D$11:$D$40,5)-SUMIFS(Override!$E$11:$E$40,Override!$B$11:$B$40,$B29,Override!$D$11:$D$40,5,Override!$C$11:$C$40,"MXAU"),Override!$G$64)/AS51!$B$3,"")))</f>
        <v/>
      </c>
      <c r="K29" s="140">
        <f>IF(K$13="","",IF($B29="","",IFERROR($C29*$D29*IF((Override!$C$4="ON")*(COUNTIFS(Override!$B$11:$B$40,$B29,Override!$D$11:$D$40,6,Override!$E$11:$E$40,"&gt;=0")-COUNTIFS(Override!$B$11:$B$40,$B29,Override!$D$11:$D$40,6,Override!$E$11:$E$40,"&gt;=0",Override!$C$11:$C$40,"MXAU"))&gt;0,SUMIFS(Override!$E$11:$E$40,Override!$B$11:$B$40,$B29,Override!$D$11:$D$40,6)-SUMIFS(Override!$E$11:$E$40,Override!$B$11:$B$40,$B29,Override!$D$11:$D$40,6,Override!$C$11:$C$40,"MXAU"),Override!$H$64)/AS51!$B$3,"")))</f>
        <v/>
      </c>
      <c r="L29" s="140">
        <f>IF(L$13="","",IF($B29="","",IFERROR($C29*$D29*IF((Override!$C$4="ON")*(COUNTIFS(Override!$B$11:$B$40,$B29,Override!$D$11:$D$40,7,Override!$E$11:$E$40,"&gt;=0")-COUNTIFS(Override!$B$11:$B$40,$B29,Override!$D$11:$D$40,7,Override!$E$11:$E$40,"&gt;=0",Override!$C$11:$C$40,"MXAU"))&gt;0,SUMIFS(Override!$E$11:$E$40,Override!$B$11:$B$40,$B29,Override!$D$11:$D$40,7)-SUMIFS(Override!$E$11:$E$40,Override!$B$11:$B$40,$B29,Override!$D$11:$D$40,7,Override!$C$11:$C$40,"MXAU"),Override!$I$64)/AS51!$B$3,"")))</f>
        <v/>
      </c>
      <c r="M29" s="140">
        <f>IF(M$13="","",IF($B29="","",IFERROR($C29*$D29*IF((Override!$C$4="ON")*(COUNTIFS(Override!$B$11:$B$40,$B29,Override!$D$11:$D$40,8,Override!$E$11:$E$40,"&gt;=0")-COUNTIFS(Override!$B$11:$B$40,$B29,Override!$D$11:$D$40,8,Override!$E$11:$E$40,"&gt;=0",Override!$C$11:$C$40,"MXAU"))&gt;0,SUMIFS(Override!$E$11:$E$40,Override!$B$11:$B$40,$B29,Override!$D$11:$D$40,8)-SUMIFS(Override!$E$11:$E$40,Override!$B$11:$B$40,$B29,Override!$D$11:$D$40,8,Override!$C$11:$C$40,"MXAU"),Override!$J$64)/AS51!$B$3,"")))</f>
        <v/>
      </c>
      <c r="N29" s="140">
        <f>IF(N$13="","",IF($B29="","",IFERROR($C29*$D29*IF((Override!$C$4="ON")*(COUNTIFS(Override!$B$11:$B$40,$B29,Override!$D$11:$D$40,9,Override!$E$11:$E$40,"&gt;=0")-COUNTIFS(Override!$B$11:$B$40,$B29,Override!$D$11:$D$40,9,Override!$E$11:$E$40,"&gt;=0",Override!$C$11:$C$40,"MXAU"))&gt;0,SUMIFS(Override!$E$11:$E$40,Override!$B$11:$B$40,$B29,Override!$D$11:$D$40,9)-SUMIFS(Override!$E$11:$E$40,Override!$B$11:$B$40,$B29,Override!$D$11:$D$40,9,Override!$C$11:$C$40,"MXAU"),Override!$K$64)/AS51!$B$3,"")))</f>
        <v/>
      </c>
      <c r="O29" s="140">
        <f>IF(O$13="","",IF($B29="","",IFERROR($C29*$D29*IF((Override!$C$4="ON")*(COUNTIFS(Override!$B$11:$B$40,$B29,Override!$D$11:$D$40,10,Override!$E$11:$E$40,"&gt;=0")-COUNTIFS(Override!$B$11:$B$40,$B29,Override!$D$11:$D$40,10,Override!$E$11:$E$40,"&gt;=0",Override!$C$11:$C$40,"MXAU"))&gt;0,SUMIFS(Override!$E$11:$E$40,Override!$B$11:$B$40,$B29,Override!$D$11:$D$40,10)-SUMIFS(Override!$E$11:$E$40,Override!$B$11:$B$40,$B29,Override!$D$11:$D$40,10,Override!$C$11:$C$40,"MXAU"),Override!$L$64)/AS51!$B$3,"")))</f>
        <v/>
      </c>
      <c r="P29" s="140">
        <f>IF(P$13="","",IF($B29="","",IFERROR($C29*$D29*IF((Override!$C$4="ON")*(COUNTIFS(Override!$B$11:$B$40,$B29,Override!$D$11:$D$40,11,Override!$E$11:$E$40,"&gt;=0")-COUNTIFS(Override!$B$11:$B$40,$B29,Override!$D$11:$D$40,11,Override!$E$11:$E$40,"&gt;=0",Override!$C$11:$C$40,"MXAU"))&gt;0,SUMIFS(Override!$E$11:$E$40,Override!$B$11:$B$40,$B29,Override!$D$11:$D$40,11)-SUMIFS(Override!$E$11:$E$40,Override!$B$11:$B$40,$B29,Override!$D$11:$D$40,11,Override!$C$11:$C$40,"MXAU"),Override!$M$64)/AS51!$B$3,"")))</f>
        <v/>
      </c>
      <c r="Q29" s="140">
        <f>IF(Q$13="","",IF($B29="","",IFERROR($C29*$D29*IF((Override!$C$4="ON")*(COUNTIFS(Override!$B$11:$B$40,$B29,Override!$D$11:$D$40,12,Override!$E$11:$E$40,"&gt;=0")-COUNTIFS(Override!$B$11:$B$40,$B29,Override!$D$11:$D$40,12,Override!$E$11:$E$40,"&gt;=0",Override!$C$11:$C$40,"MXAU"))&gt;0,SUMIFS(Override!$E$11:$E$40,Override!$B$11:$B$40,$B29,Override!$D$11:$D$40,12)-SUMIFS(Override!$E$11:$E$40,Override!$B$11:$B$40,$B29,Override!$D$11:$D$40,12,Override!$C$11:$C$40,"MXAU"),Override!$N$64)/AS51!$B$3,"")))</f>
        <v/>
      </c>
      <c r="R29" s="140">
        <f>IF(R$13="","",IF($B29="","",IFERROR($C29*$D29*IF((Override!$C$4="ON")*(COUNTIFS(Override!$B$11:$B$40,$B29,Override!$D$11:$D$40,13,Override!$E$11:$E$40,"&gt;=0")-COUNTIFS(Override!$B$11:$B$40,$B29,Override!$D$11:$D$40,13,Override!$E$11:$E$40,"&gt;=0",Override!$C$11:$C$40,"MXAU"))&gt;0,SUMIFS(Override!$E$11:$E$40,Override!$B$11:$B$40,$B29,Override!$D$11:$D$40,13)-SUMIFS(Override!$E$11:$E$40,Override!$B$11:$B$40,$B29,Override!$D$11:$D$40,13,Override!$C$11:$C$40,"MXAU"),Override!$O$64)/AS51!$B$3,"")))</f>
        <v/>
      </c>
      <c r="S29" s="140">
        <f>IF(S$13="","",IF($B29="","",IFERROR($C29*$D29*IF((Override!$C$4="ON")*(COUNTIFS(Override!$B$11:$B$40,$B29,Override!$D$11:$D$40,14,Override!$E$11:$E$40,"&gt;=0")-COUNTIFS(Override!$B$11:$B$40,$B29,Override!$D$11:$D$40,14,Override!$E$11:$E$40,"&gt;=0",Override!$C$11:$C$40,"MXAU"))&gt;0,SUMIFS(Override!$E$11:$E$40,Override!$B$11:$B$40,$B29,Override!$D$11:$D$40,14)-SUMIFS(Override!$E$11:$E$40,Override!$B$11:$B$40,$B29,Override!$D$11:$D$40,14,Override!$C$11:$C$40,"MXAU"),Override!$P$64)/AS51!$B$3,"")))</f>
        <v/>
      </c>
      <c r="T29" s="140">
        <f>IF(T$13="","",IF($B29="","",IFERROR($C29*$D29*IF((Override!$C$4="ON")*(COUNTIFS(Override!$B$11:$B$40,$B29,Override!$D$11:$D$40,15,Override!$E$11:$E$40,"&gt;=0")-COUNTIFS(Override!$B$11:$B$40,$B29,Override!$D$11:$D$40,15,Override!$E$11:$E$40,"&gt;=0",Override!$C$11:$C$40,"MXAU"))&gt;0,SUMIFS(Override!$E$11:$E$40,Override!$B$11:$B$40,$B29,Override!$D$11:$D$40,15)-SUMIFS(Override!$E$11:$E$40,Override!$B$11:$B$40,$B29,Override!$D$11:$D$40,15,Override!$C$11:$C$40,"MXAU"),Override!$Q$64)/AS51!$B$3,"")))</f>
        <v/>
      </c>
      <c r="U29" s="140">
        <f>IF(U$13="","",IF($B29="","",IFERROR($C29*$D29*IF((Override!$C$4="ON")*(COUNTIFS(Override!$B$11:$B$40,$B29,Override!$D$11:$D$40,16,Override!$E$11:$E$40,"&gt;=0")-COUNTIFS(Override!$B$11:$B$40,$B29,Override!$D$11:$D$40,16,Override!$E$11:$E$40,"&gt;=0",Override!$C$11:$C$40,"MXAU"))&gt;0,SUMIFS(Override!$E$11:$E$40,Override!$B$11:$B$40,$B29,Override!$D$11:$D$40,16)-SUMIFS(Override!$E$11:$E$40,Override!$B$11:$B$40,$B29,Override!$D$11:$D$40,16,Override!$C$11:$C$40,"MXAU"),Override!$R$64)/AS51!$B$3,"")))</f>
        <v/>
      </c>
      <c r="W29" s="140">
        <f>IF(W$13="","",IF($B29="","",IFERROR(F29*$E29/100,"")))</f>
        <v/>
      </c>
      <c r="X29" s="140">
        <f>IF(X$13="","",IF($B29="","",IFERROR(G29*$E29/100,"")))</f>
        <v/>
      </c>
      <c r="Y29" s="140">
        <f>IF(Y$13="","",IF($B29="","",IFERROR(H29*$E29/100,"")))</f>
        <v/>
      </c>
      <c r="Z29" s="140">
        <f>IF(Z$13="","",IF($B29="","",IFERROR(I29*$E29/100,"")))</f>
        <v/>
      </c>
      <c r="AA29" s="140">
        <f>IF(AA$13="","",IF($B29="","",IFERROR(J29*$E29/100,"")))</f>
        <v/>
      </c>
      <c r="AB29" s="140">
        <f>IF(AB$13="","",IF($B29="","",IFERROR(K29*$E29/100,"")))</f>
        <v/>
      </c>
      <c r="AC29" s="140">
        <f>IF(AC$13="","",IF($B29="","",IFERROR(L29*$E29/100,"")))</f>
        <v/>
      </c>
      <c r="AD29" s="140">
        <f>IF(AD$13="","",IF($B29="","",IFERROR(M29*$E29/100,"")))</f>
        <v/>
      </c>
      <c r="AE29" s="140">
        <f>IF(AE$13="","",IF($B29="","",IFERROR(N29*$E29/100,"")))</f>
        <v/>
      </c>
      <c r="AF29" s="140">
        <f>IF(AF$13="","",IF($B29="","",IFERROR(O29*$E29/100,"")))</f>
        <v/>
      </c>
      <c r="AG29" s="140">
        <f>IF(AG$13="","",IF($B29="","",IFERROR(P29*$E29/100,"")))</f>
        <v/>
      </c>
      <c r="AH29" s="140">
        <f>IF(AH$13="","",IF($B29="","",IFERROR(Q29*$E29/100,"")))</f>
        <v/>
      </c>
      <c r="AI29" s="140">
        <f>IF(AI$13="","",IF($B29="","",IFERROR(R29*$E29/100,"")))</f>
        <v/>
      </c>
      <c r="AJ29" s="140">
        <f>IF(AJ$13="","",IF($B29="","",IFERROR(S29*$E29/100,"")))</f>
        <v/>
      </c>
      <c r="AK29" s="140">
        <f>IF(AK$13="","",IF($B29="","",IFERROR(T29*$E29/100,"")))</f>
        <v/>
      </c>
      <c r="AL29" s="140">
        <f>IF(AL$13="","",IF($B29="","",IFERROR(U29*$E29/100,"")))</f>
        <v/>
      </c>
      <c r="AN29" s="140">
        <f>IF($B29="","",SUMIF($F$13:$U$13,"&lt;="&amp;Sector!$D$51,$F29:$U29))</f>
        <v/>
      </c>
      <c r="AO29" s="140">
        <f>IF($B29="","",SUMIF($W$13:$AL$13,"&lt;="&amp;Sector!$D$51,$W29:$AL29))</f>
        <v/>
      </c>
    </row>
    <row r="30">
      <c r="B30" s="5">
        <f>IF(AS51!$C$20="","",AS51!$C$20)</f>
        <v/>
      </c>
      <c r="C30" s="90">
        <f>IF(AS51!$B$20="","",AS51!$B$20)</f>
        <v/>
      </c>
      <c r="D30" s="138">
        <f>IFERROR(AS51!$Q$20,1)</f>
        <v/>
      </c>
      <c r="E30" s="139">
        <f>IF($B30="","",IF(ISNUMBER(AS51!$I$20),AS51!$I$20,'Index Summary'!$C$7))</f>
        <v/>
      </c>
      <c r="F30" s="140">
        <f>IF(F$13="","",IF($B30="","",IFERROR($C30*$D30*IF((Override!$C$4="ON")*(COUNTIFS(Override!$B$11:$B$40,$B30,Override!$D$11:$D$40,1,Override!$E$11:$E$40,"&gt;=0")-COUNTIFS(Override!$B$11:$B$40,$B30,Override!$D$11:$D$40,1,Override!$E$11:$E$40,"&gt;=0",Override!$C$11:$C$40,"MXAU"))&gt;0,SUMIFS(Override!$E$11:$E$40,Override!$B$11:$B$40,$B30,Override!$D$11:$D$40,1)-SUMIFS(Override!$E$11:$E$40,Override!$B$11:$B$40,$B30,Override!$D$11:$D$40,1,Override!$C$11:$C$40,"MXAU"),Override!$C$65)/AS51!$B$3,"")))</f>
        <v/>
      </c>
      <c r="G30" s="140">
        <f>IF(G$13="","",IF($B30="","",IFERROR($C30*$D30*IF((Override!$C$4="ON")*(COUNTIFS(Override!$B$11:$B$40,$B30,Override!$D$11:$D$40,2,Override!$E$11:$E$40,"&gt;=0")-COUNTIFS(Override!$B$11:$B$40,$B30,Override!$D$11:$D$40,2,Override!$E$11:$E$40,"&gt;=0",Override!$C$11:$C$40,"MXAU"))&gt;0,SUMIFS(Override!$E$11:$E$40,Override!$B$11:$B$40,$B30,Override!$D$11:$D$40,2)-SUMIFS(Override!$E$11:$E$40,Override!$B$11:$B$40,$B30,Override!$D$11:$D$40,2,Override!$C$11:$C$40,"MXAU"),Override!$D$65)/AS51!$B$3,"")))</f>
        <v/>
      </c>
      <c r="H30" s="140">
        <f>IF(H$13="","",IF($B30="","",IFERROR($C30*$D30*IF((Override!$C$4="ON")*(COUNTIFS(Override!$B$11:$B$40,$B30,Override!$D$11:$D$40,3,Override!$E$11:$E$40,"&gt;=0")-COUNTIFS(Override!$B$11:$B$40,$B30,Override!$D$11:$D$40,3,Override!$E$11:$E$40,"&gt;=0",Override!$C$11:$C$40,"MXAU"))&gt;0,SUMIFS(Override!$E$11:$E$40,Override!$B$11:$B$40,$B30,Override!$D$11:$D$40,3)-SUMIFS(Override!$E$11:$E$40,Override!$B$11:$B$40,$B30,Override!$D$11:$D$40,3,Override!$C$11:$C$40,"MXAU"),Override!$E$65)/AS51!$B$3,"")))</f>
        <v/>
      </c>
      <c r="I30" s="140">
        <f>IF(I$13="","",IF($B30="","",IFERROR($C30*$D30*IF((Override!$C$4="ON")*(COUNTIFS(Override!$B$11:$B$40,$B30,Override!$D$11:$D$40,4,Override!$E$11:$E$40,"&gt;=0")-COUNTIFS(Override!$B$11:$B$40,$B30,Override!$D$11:$D$40,4,Override!$E$11:$E$40,"&gt;=0",Override!$C$11:$C$40,"MXAU"))&gt;0,SUMIFS(Override!$E$11:$E$40,Override!$B$11:$B$40,$B30,Override!$D$11:$D$40,4)-SUMIFS(Override!$E$11:$E$40,Override!$B$11:$B$40,$B30,Override!$D$11:$D$40,4,Override!$C$11:$C$40,"MXAU"),Override!$F$65)/AS51!$B$3,"")))</f>
        <v/>
      </c>
      <c r="J30" s="140">
        <f>IF(J$13="","",IF($B30="","",IFERROR($C30*$D30*IF((Override!$C$4="ON")*(COUNTIFS(Override!$B$11:$B$40,$B30,Override!$D$11:$D$40,5,Override!$E$11:$E$40,"&gt;=0")-COUNTIFS(Override!$B$11:$B$40,$B30,Override!$D$11:$D$40,5,Override!$E$11:$E$40,"&gt;=0",Override!$C$11:$C$40,"MXAU"))&gt;0,SUMIFS(Override!$E$11:$E$40,Override!$B$11:$B$40,$B30,Override!$D$11:$D$40,5)-SUMIFS(Override!$E$11:$E$40,Override!$B$11:$B$40,$B30,Override!$D$11:$D$40,5,Override!$C$11:$C$40,"MXAU"),Override!$G$65)/AS51!$B$3,"")))</f>
        <v/>
      </c>
      <c r="K30" s="140">
        <f>IF(K$13="","",IF($B30="","",IFERROR($C30*$D30*IF((Override!$C$4="ON")*(COUNTIFS(Override!$B$11:$B$40,$B30,Override!$D$11:$D$40,6,Override!$E$11:$E$40,"&gt;=0")-COUNTIFS(Override!$B$11:$B$40,$B30,Override!$D$11:$D$40,6,Override!$E$11:$E$40,"&gt;=0",Override!$C$11:$C$40,"MXAU"))&gt;0,SUMIFS(Override!$E$11:$E$40,Override!$B$11:$B$40,$B30,Override!$D$11:$D$40,6)-SUMIFS(Override!$E$11:$E$40,Override!$B$11:$B$40,$B30,Override!$D$11:$D$40,6,Override!$C$11:$C$40,"MXAU"),Override!$H$65)/AS51!$B$3,"")))</f>
        <v/>
      </c>
      <c r="L30" s="140">
        <f>IF(L$13="","",IF($B30="","",IFERROR($C30*$D30*IF((Override!$C$4="ON")*(COUNTIFS(Override!$B$11:$B$40,$B30,Override!$D$11:$D$40,7,Override!$E$11:$E$40,"&gt;=0")-COUNTIFS(Override!$B$11:$B$40,$B30,Override!$D$11:$D$40,7,Override!$E$11:$E$40,"&gt;=0",Override!$C$11:$C$40,"MXAU"))&gt;0,SUMIFS(Override!$E$11:$E$40,Override!$B$11:$B$40,$B30,Override!$D$11:$D$40,7)-SUMIFS(Override!$E$11:$E$40,Override!$B$11:$B$40,$B30,Override!$D$11:$D$40,7,Override!$C$11:$C$40,"MXAU"),Override!$I$65)/AS51!$B$3,"")))</f>
        <v/>
      </c>
      <c r="M30" s="140">
        <f>IF(M$13="","",IF($B30="","",IFERROR($C30*$D30*IF((Override!$C$4="ON")*(COUNTIFS(Override!$B$11:$B$40,$B30,Override!$D$11:$D$40,8,Override!$E$11:$E$40,"&gt;=0")-COUNTIFS(Override!$B$11:$B$40,$B30,Override!$D$11:$D$40,8,Override!$E$11:$E$40,"&gt;=0",Override!$C$11:$C$40,"MXAU"))&gt;0,SUMIFS(Override!$E$11:$E$40,Override!$B$11:$B$40,$B30,Override!$D$11:$D$40,8)-SUMIFS(Override!$E$11:$E$40,Override!$B$11:$B$40,$B30,Override!$D$11:$D$40,8,Override!$C$11:$C$40,"MXAU"),Override!$J$65)/AS51!$B$3,"")))</f>
        <v/>
      </c>
      <c r="N30" s="140">
        <f>IF(N$13="","",IF($B30="","",IFERROR($C30*$D30*IF((Override!$C$4="ON")*(COUNTIFS(Override!$B$11:$B$40,$B30,Override!$D$11:$D$40,9,Override!$E$11:$E$40,"&gt;=0")-COUNTIFS(Override!$B$11:$B$40,$B30,Override!$D$11:$D$40,9,Override!$E$11:$E$40,"&gt;=0",Override!$C$11:$C$40,"MXAU"))&gt;0,SUMIFS(Override!$E$11:$E$40,Override!$B$11:$B$40,$B30,Override!$D$11:$D$40,9)-SUMIFS(Override!$E$11:$E$40,Override!$B$11:$B$40,$B30,Override!$D$11:$D$40,9,Override!$C$11:$C$40,"MXAU"),Override!$K$65)/AS51!$B$3,"")))</f>
        <v/>
      </c>
      <c r="O30" s="140">
        <f>IF(O$13="","",IF($B30="","",IFERROR($C30*$D30*IF((Override!$C$4="ON")*(COUNTIFS(Override!$B$11:$B$40,$B30,Override!$D$11:$D$40,10,Override!$E$11:$E$40,"&gt;=0")-COUNTIFS(Override!$B$11:$B$40,$B30,Override!$D$11:$D$40,10,Override!$E$11:$E$40,"&gt;=0",Override!$C$11:$C$40,"MXAU"))&gt;0,SUMIFS(Override!$E$11:$E$40,Override!$B$11:$B$40,$B30,Override!$D$11:$D$40,10)-SUMIFS(Override!$E$11:$E$40,Override!$B$11:$B$40,$B30,Override!$D$11:$D$40,10,Override!$C$11:$C$40,"MXAU"),Override!$L$65)/AS51!$B$3,"")))</f>
        <v/>
      </c>
      <c r="P30" s="140">
        <f>IF(P$13="","",IF($B30="","",IFERROR($C30*$D30*IF((Override!$C$4="ON")*(COUNTIFS(Override!$B$11:$B$40,$B30,Override!$D$11:$D$40,11,Override!$E$11:$E$40,"&gt;=0")-COUNTIFS(Override!$B$11:$B$40,$B30,Override!$D$11:$D$40,11,Override!$E$11:$E$40,"&gt;=0",Override!$C$11:$C$40,"MXAU"))&gt;0,SUMIFS(Override!$E$11:$E$40,Override!$B$11:$B$40,$B30,Override!$D$11:$D$40,11)-SUMIFS(Override!$E$11:$E$40,Override!$B$11:$B$40,$B30,Override!$D$11:$D$40,11,Override!$C$11:$C$40,"MXAU"),Override!$M$65)/AS51!$B$3,"")))</f>
        <v/>
      </c>
      <c r="Q30" s="140">
        <f>IF(Q$13="","",IF($B30="","",IFERROR($C30*$D30*IF((Override!$C$4="ON")*(COUNTIFS(Override!$B$11:$B$40,$B30,Override!$D$11:$D$40,12,Override!$E$11:$E$40,"&gt;=0")-COUNTIFS(Override!$B$11:$B$40,$B30,Override!$D$11:$D$40,12,Override!$E$11:$E$40,"&gt;=0",Override!$C$11:$C$40,"MXAU"))&gt;0,SUMIFS(Override!$E$11:$E$40,Override!$B$11:$B$40,$B30,Override!$D$11:$D$40,12)-SUMIFS(Override!$E$11:$E$40,Override!$B$11:$B$40,$B30,Override!$D$11:$D$40,12,Override!$C$11:$C$40,"MXAU"),Override!$N$65)/AS51!$B$3,"")))</f>
        <v/>
      </c>
      <c r="R30" s="140">
        <f>IF(R$13="","",IF($B30="","",IFERROR($C30*$D30*IF((Override!$C$4="ON")*(COUNTIFS(Override!$B$11:$B$40,$B30,Override!$D$11:$D$40,13,Override!$E$11:$E$40,"&gt;=0")-COUNTIFS(Override!$B$11:$B$40,$B30,Override!$D$11:$D$40,13,Override!$E$11:$E$40,"&gt;=0",Override!$C$11:$C$40,"MXAU"))&gt;0,SUMIFS(Override!$E$11:$E$40,Override!$B$11:$B$40,$B30,Override!$D$11:$D$40,13)-SUMIFS(Override!$E$11:$E$40,Override!$B$11:$B$40,$B30,Override!$D$11:$D$40,13,Override!$C$11:$C$40,"MXAU"),Override!$O$65)/AS51!$B$3,"")))</f>
        <v/>
      </c>
      <c r="S30" s="140">
        <f>IF(S$13="","",IF($B30="","",IFERROR($C30*$D30*IF((Override!$C$4="ON")*(COUNTIFS(Override!$B$11:$B$40,$B30,Override!$D$11:$D$40,14,Override!$E$11:$E$40,"&gt;=0")-COUNTIFS(Override!$B$11:$B$40,$B30,Override!$D$11:$D$40,14,Override!$E$11:$E$40,"&gt;=0",Override!$C$11:$C$40,"MXAU"))&gt;0,SUMIFS(Override!$E$11:$E$40,Override!$B$11:$B$40,$B30,Override!$D$11:$D$40,14)-SUMIFS(Override!$E$11:$E$40,Override!$B$11:$B$40,$B30,Override!$D$11:$D$40,14,Override!$C$11:$C$40,"MXAU"),Override!$P$65)/AS51!$B$3,"")))</f>
        <v/>
      </c>
      <c r="T30" s="140">
        <f>IF(T$13="","",IF($B30="","",IFERROR($C30*$D30*IF((Override!$C$4="ON")*(COUNTIFS(Override!$B$11:$B$40,$B30,Override!$D$11:$D$40,15,Override!$E$11:$E$40,"&gt;=0")-COUNTIFS(Override!$B$11:$B$40,$B30,Override!$D$11:$D$40,15,Override!$E$11:$E$40,"&gt;=0",Override!$C$11:$C$40,"MXAU"))&gt;0,SUMIFS(Override!$E$11:$E$40,Override!$B$11:$B$40,$B30,Override!$D$11:$D$40,15)-SUMIFS(Override!$E$11:$E$40,Override!$B$11:$B$40,$B30,Override!$D$11:$D$40,15,Override!$C$11:$C$40,"MXAU"),Override!$Q$65)/AS51!$B$3,"")))</f>
        <v/>
      </c>
      <c r="U30" s="140">
        <f>IF(U$13="","",IF($B30="","",IFERROR($C30*$D30*IF((Override!$C$4="ON")*(COUNTIFS(Override!$B$11:$B$40,$B30,Override!$D$11:$D$40,16,Override!$E$11:$E$40,"&gt;=0")-COUNTIFS(Override!$B$11:$B$40,$B30,Override!$D$11:$D$40,16,Override!$E$11:$E$40,"&gt;=0",Override!$C$11:$C$40,"MXAU"))&gt;0,SUMIFS(Override!$E$11:$E$40,Override!$B$11:$B$40,$B30,Override!$D$11:$D$40,16)-SUMIFS(Override!$E$11:$E$40,Override!$B$11:$B$40,$B30,Override!$D$11:$D$40,16,Override!$C$11:$C$40,"MXAU"),Override!$R$65)/AS51!$B$3,"")))</f>
        <v/>
      </c>
      <c r="W30" s="140">
        <f>IF(W$13="","",IF($B30="","",IFERROR(F30*$E30/100,"")))</f>
        <v/>
      </c>
      <c r="X30" s="140">
        <f>IF(X$13="","",IF($B30="","",IFERROR(G30*$E30/100,"")))</f>
        <v/>
      </c>
      <c r="Y30" s="140">
        <f>IF(Y$13="","",IF($B30="","",IFERROR(H30*$E30/100,"")))</f>
        <v/>
      </c>
      <c r="Z30" s="140">
        <f>IF(Z$13="","",IF($B30="","",IFERROR(I30*$E30/100,"")))</f>
        <v/>
      </c>
      <c r="AA30" s="140">
        <f>IF(AA$13="","",IF($B30="","",IFERROR(J30*$E30/100,"")))</f>
        <v/>
      </c>
      <c r="AB30" s="140">
        <f>IF(AB$13="","",IF($B30="","",IFERROR(K30*$E30/100,"")))</f>
        <v/>
      </c>
      <c r="AC30" s="140">
        <f>IF(AC$13="","",IF($B30="","",IFERROR(L30*$E30/100,"")))</f>
        <v/>
      </c>
      <c r="AD30" s="140">
        <f>IF(AD$13="","",IF($B30="","",IFERROR(M30*$E30/100,"")))</f>
        <v/>
      </c>
      <c r="AE30" s="140">
        <f>IF(AE$13="","",IF($B30="","",IFERROR(N30*$E30/100,"")))</f>
        <v/>
      </c>
      <c r="AF30" s="140">
        <f>IF(AF$13="","",IF($B30="","",IFERROR(O30*$E30/100,"")))</f>
        <v/>
      </c>
      <c r="AG30" s="140">
        <f>IF(AG$13="","",IF($B30="","",IFERROR(P30*$E30/100,"")))</f>
        <v/>
      </c>
      <c r="AH30" s="140">
        <f>IF(AH$13="","",IF($B30="","",IFERROR(Q30*$E30/100,"")))</f>
        <v/>
      </c>
      <c r="AI30" s="140">
        <f>IF(AI$13="","",IF($B30="","",IFERROR(R30*$E30/100,"")))</f>
        <v/>
      </c>
      <c r="AJ30" s="140">
        <f>IF(AJ$13="","",IF($B30="","",IFERROR(S30*$E30/100,"")))</f>
        <v/>
      </c>
      <c r="AK30" s="140">
        <f>IF(AK$13="","",IF($B30="","",IFERROR(T30*$E30/100,"")))</f>
        <v/>
      </c>
      <c r="AL30" s="140">
        <f>IF(AL$13="","",IF($B30="","",IFERROR(U30*$E30/100,"")))</f>
        <v/>
      </c>
      <c r="AN30" s="140">
        <f>IF($B30="","",SUMIF($F$13:$U$13,"&lt;="&amp;Sector!$D$51,$F30:$U30))</f>
        <v/>
      </c>
      <c r="AO30" s="140">
        <f>IF($B30="","",SUMIF($W$13:$AL$13,"&lt;="&amp;Sector!$D$51,$W30:$AL30))</f>
        <v/>
      </c>
    </row>
    <row r="31">
      <c r="B31" s="5">
        <f>IF(AS51!$C$21="","",AS51!$C$21)</f>
        <v/>
      </c>
      <c r="C31" s="90">
        <f>IF(AS51!$B$21="","",AS51!$B$21)</f>
        <v/>
      </c>
      <c r="D31" s="138">
        <f>IFERROR(AS51!$Q$21,1)</f>
        <v/>
      </c>
      <c r="E31" s="139">
        <f>IF($B31="","",IF(ISNUMBER(AS51!$I$21),AS51!$I$21,'Index Summary'!$C$7))</f>
        <v/>
      </c>
      <c r="F31" s="140">
        <f>IF(F$13="","",IF($B31="","",IFERROR($C31*$D31*IF((Override!$C$4="ON")*(COUNTIFS(Override!$B$11:$B$40,$B31,Override!$D$11:$D$40,1,Override!$E$11:$E$40,"&gt;=0")-COUNTIFS(Override!$B$11:$B$40,$B31,Override!$D$11:$D$40,1,Override!$E$11:$E$40,"&gt;=0",Override!$C$11:$C$40,"MXAU"))&gt;0,SUMIFS(Override!$E$11:$E$40,Override!$B$11:$B$40,$B31,Override!$D$11:$D$40,1)-SUMIFS(Override!$E$11:$E$40,Override!$B$11:$B$40,$B31,Override!$D$11:$D$40,1,Override!$C$11:$C$40,"MXAU"),Override!$C$66)/AS51!$B$3,"")))</f>
        <v/>
      </c>
      <c r="G31" s="140">
        <f>IF(G$13="","",IF($B31="","",IFERROR($C31*$D31*IF((Override!$C$4="ON")*(COUNTIFS(Override!$B$11:$B$40,$B31,Override!$D$11:$D$40,2,Override!$E$11:$E$40,"&gt;=0")-COUNTIFS(Override!$B$11:$B$40,$B31,Override!$D$11:$D$40,2,Override!$E$11:$E$40,"&gt;=0",Override!$C$11:$C$40,"MXAU"))&gt;0,SUMIFS(Override!$E$11:$E$40,Override!$B$11:$B$40,$B31,Override!$D$11:$D$40,2)-SUMIFS(Override!$E$11:$E$40,Override!$B$11:$B$40,$B31,Override!$D$11:$D$40,2,Override!$C$11:$C$40,"MXAU"),Override!$D$66)/AS51!$B$3,"")))</f>
        <v/>
      </c>
      <c r="H31" s="140">
        <f>IF(H$13="","",IF($B31="","",IFERROR($C31*$D31*IF((Override!$C$4="ON")*(COUNTIFS(Override!$B$11:$B$40,$B31,Override!$D$11:$D$40,3,Override!$E$11:$E$40,"&gt;=0")-COUNTIFS(Override!$B$11:$B$40,$B31,Override!$D$11:$D$40,3,Override!$E$11:$E$40,"&gt;=0",Override!$C$11:$C$40,"MXAU"))&gt;0,SUMIFS(Override!$E$11:$E$40,Override!$B$11:$B$40,$B31,Override!$D$11:$D$40,3)-SUMIFS(Override!$E$11:$E$40,Override!$B$11:$B$40,$B31,Override!$D$11:$D$40,3,Override!$C$11:$C$40,"MXAU"),Override!$E$66)/AS51!$B$3,"")))</f>
        <v/>
      </c>
      <c r="I31" s="140">
        <f>IF(I$13="","",IF($B31="","",IFERROR($C31*$D31*IF((Override!$C$4="ON")*(COUNTIFS(Override!$B$11:$B$40,$B31,Override!$D$11:$D$40,4,Override!$E$11:$E$40,"&gt;=0")-COUNTIFS(Override!$B$11:$B$40,$B31,Override!$D$11:$D$40,4,Override!$E$11:$E$40,"&gt;=0",Override!$C$11:$C$40,"MXAU"))&gt;0,SUMIFS(Override!$E$11:$E$40,Override!$B$11:$B$40,$B31,Override!$D$11:$D$40,4)-SUMIFS(Override!$E$11:$E$40,Override!$B$11:$B$40,$B31,Override!$D$11:$D$40,4,Override!$C$11:$C$40,"MXAU"),Override!$F$66)/AS51!$B$3,"")))</f>
        <v/>
      </c>
      <c r="J31" s="140">
        <f>IF(J$13="","",IF($B31="","",IFERROR($C31*$D31*IF((Override!$C$4="ON")*(COUNTIFS(Override!$B$11:$B$40,$B31,Override!$D$11:$D$40,5,Override!$E$11:$E$40,"&gt;=0")-COUNTIFS(Override!$B$11:$B$40,$B31,Override!$D$11:$D$40,5,Override!$E$11:$E$40,"&gt;=0",Override!$C$11:$C$40,"MXAU"))&gt;0,SUMIFS(Override!$E$11:$E$40,Override!$B$11:$B$40,$B31,Override!$D$11:$D$40,5)-SUMIFS(Override!$E$11:$E$40,Override!$B$11:$B$40,$B31,Override!$D$11:$D$40,5,Override!$C$11:$C$40,"MXAU"),Override!$G$66)/AS51!$B$3,"")))</f>
        <v/>
      </c>
      <c r="K31" s="140">
        <f>IF(K$13="","",IF($B31="","",IFERROR($C31*$D31*IF((Override!$C$4="ON")*(COUNTIFS(Override!$B$11:$B$40,$B31,Override!$D$11:$D$40,6,Override!$E$11:$E$40,"&gt;=0")-COUNTIFS(Override!$B$11:$B$40,$B31,Override!$D$11:$D$40,6,Override!$E$11:$E$40,"&gt;=0",Override!$C$11:$C$40,"MXAU"))&gt;0,SUMIFS(Override!$E$11:$E$40,Override!$B$11:$B$40,$B31,Override!$D$11:$D$40,6)-SUMIFS(Override!$E$11:$E$40,Override!$B$11:$B$40,$B31,Override!$D$11:$D$40,6,Override!$C$11:$C$40,"MXAU"),Override!$H$66)/AS51!$B$3,"")))</f>
        <v/>
      </c>
      <c r="L31" s="140">
        <f>IF(L$13="","",IF($B31="","",IFERROR($C31*$D31*IF((Override!$C$4="ON")*(COUNTIFS(Override!$B$11:$B$40,$B31,Override!$D$11:$D$40,7,Override!$E$11:$E$40,"&gt;=0")-COUNTIFS(Override!$B$11:$B$40,$B31,Override!$D$11:$D$40,7,Override!$E$11:$E$40,"&gt;=0",Override!$C$11:$C$40,"MXAU"))&gt;0,SUMIFS(Override!$E$11:$E$40,Override!$B$11:$B$40,$B31,Override!$D$11:$D$40,7)-SUMIFS(Override!$E$11:$E$40,Override!$B$11:$B$40,$B31,Override!$D$11:$D$40,7,Override!$C$11:$C$40,"MXAU"),Override!$I$66)/AS51!$B$3,"")))</f>
        <v/>
      </c>
      <c r="M31" s="140">
        <f>IF(M$13="","",IF($B31="","",IFERROR($C31*$D31*IF((Override!$C$4="ON")*(COUNTIFS(Override!$B$11:$B$40,$B31,Override!$D$11:$D$40,8,Override!$E$11:$E$40,"&gt;=0")-COUNTIFS(Override!$B$11:$B$40,$B31,Override!$D$11:$D$40,8,Override!$E$11:$E$40,"&gt;=0",Override!$C$11:$C$40,"MXAU"))&gt;0,SUMIFS(Override!$E$11:$E$40,Override!$B$11:$B$40,$B31,Override!$D$11:$D$40,8)-SUMIFS(Override!$E$11:$E$40,Override!$B$11:$B$40,$B31,Override!$D$11:$D$40,8,Override!$C$11:$C$40,"MXAU"),Override!$J$66)/AS51!$B$3,"")))</f>
        <v/>
      </c>
      <c r="N31" s="140">
        <f>IF(N$13="","",IF($B31="","",IFERROR($C31*$D31*IF((Override!$C$4="ON")*(COUNTIFS(Override!$B$11:$B$40,$B31,Override!$D$11:$D$40,9,Override!$E$11:$E$40,"&gt;=0")-COUNTIFS(Override!$B$11:$B$40,$B31,Override!$D$11:$D$40,9,Override!$E$11:$E$40,"&gt;=0",Override!$C$11:$C$40,"MXAU"))&gt;0,SUMIFS(Override!$E$11:$E$40,Override!$B$11:$B$40,$B31,Override!$D$11:$D$40,9)-SUMIFS(Override!$E$11:$E$40,Override!$B$11:$B$40,$B31,Override!$D$11:$D$40,9,Override!$C$11:$C$40,"MXAU"),Override!$K$66)/AS51!$B$3,"")))</f>
        <v/>
      </c>
      <c r="O31" s="140">
        <f>IF(O$13="","",IF($B31="","",IFERROR($C31*$D31*IF((Override!$C$4="ON")*(COUNTIFS(Override!$B$11:$B$40,$B31,Override!$D$11:$D$40,10,Override!$E$11:$E$40,"&gt;=0")-COUNTIFS(Override!$B$11:$B$40,$B31,Override!$D$11:$D$40,10,Override!$E$11:$E$40,"&gt;=0",Override!$C$11:$C$40,"MXAU"))&gt;0,SUMIFS(Override!$E$11:$E$40,Override!$B$11:$B$40,$B31,Override!$D$11:$D$40,10)-SUMIFS(Override!$E$11:$E$40,Override!$B$11:$B$40,$B31,Override!$D$11:$D$40,10,Override!$C$11:$C$40,"MXAU"),Override!$L$66)/AS51!$B$3,"")))</f>
        <v/>
      </c>
      <c r="P31" s="140">
        <f>IF(P$13="","",IF($B31="","",IFERROR($C31*$D31*IF((Override!$C$4="ON")*(COUNTIFS(Override!$B$11:$B$40,$B31,Override!$D$11:$D$40,11,Override!$E$11:$E$40,"&gt;=0")-COUNTIFS(Override!$B$11:$B$40,$B31,Override!$D$11:$D$40,11,Override!$E$11:$E$40,"&gt;=0",Override!$C$11:$C$40,"MXAU"))&gt;0,SUMIFS(Override!$E$11:$E$40,Override!$B$11:$B$40,$B31,Override!$D$11:$D$40,11)-SUMIFS(Override!$E$11:$E$40,Override!$B$11:$B$40,$B31,Override!$D$11:$D$40,11,Override!$C$11:$C$40,"MXAU"),Override!$M$66)/AS51!$B$3,"")))</f>
        <v/>
      </c>
      <c r="Q31" s="140">
        <f>IF(Q$13="","",IF($B31="","",IFERROR($C31*$D31*IF((Override!$C$4="ON")*(COUNTIFS(Override!$B$11:$B$40,$B31,Override!$D$11:$D$40,12,Override!$E$11:$E$40,"&gt;=0")-COUNTIFS(Override!$B$11:$B$40,$B31,Override!$D$11:$D$40,12,Override!$E$11:$E$40,"&gt;=0",Override!$C$11:$C$40,"MXAU"))&gt;0,SUMIFS(Override!$E$11:$E$40,Override!$B$11:$B$40,$B31,Override!$D$11:$D$40,12)-SUMIFS(Override!$E$11:$E$40,Override!$B$11:$B$40,$B31,Override!$D$11:$D$40,12,Override!$C$11:$C$40,"MXAU"),Override!$N$66)/AS51!$B$3,"")))</f>
        <v/>
      </c>
      <c r="R31" s="140">
        <f>IF(R$13="","",IF($B31="","",IFERROR($C31*$D31*IF((Override!$C$4="ON")*(COUNTIFS(Override!$B$11:$B$40,$B31,Override!$D$11:$D$40,13,Override!$E$11:$E$40,"&gt;=0")-COUNTIFS(Override!$B$11:$B$40,$B31,Override!$D$11:$D$40,13,Override!$E$11:$E$40,"&gt;=0",Override!$C$11:$C$40,"MXAU"))&gt;0,SUMIFS(Override!$E$11:$E$40,Override!$B$11:$B$40,$B31,Override!$D$11:$D$40,13)-SUMIFS(Override!$E$11:$E$40,Override!$B$11:$B$40,$B31,Override!$D$11:$D$40,13,Override!$C$11:$C$40,"MXAU"),Override!$O$66)/AS51!$B$3,"")))</f>
        <v/>
      </c>
      <c r="S31" s="140">
        <f>IF(S$13="","",IF($B31="","",IFERROR($C31*$D31*IF((Override!$C$4="ON")*(COUNTIFS(Override!$B$11:$B$40,$B31,Override!$D$11:$D$40,14,Override!$E$11:$E$40,"&gt;=0")-COUNTIFS(Override!$B$11:$B$40,$B31,Override!$D$11:$D$40,14,Override!$E$11:$E$40,"&gt;=0",Override!$C$11:$C$40,"MXAU"))&gt;0,SUMIFS(Override!$E$11:$E$40,Override!$B$11:$B$40,$B31,Override!$D$11:$D$40,14)-SUMIFS(Override!$E$11:$E$40,Override!$B$11:$B$40,$B31,Override!$D$11:$D$40,14,Override!$C$11:$C$40,"MXAU"),Override!$P$66)/AS51!$B$3,"")))</f>
        <v/>
      </c>
      <c r="T31" s="140">
        <f>IF(T$13="","",IF($B31="","",IFERROR($C31*$D31*IF((Override!$C$4="ON")*(COUNTIFS(Override!$B$11:$B$40,$B31,Override!$D$11:$D$40,15,Override!$E$11:$E$40,"&gt;=0")-COUNTIFS(Override!$B$11:$B$40,$B31,Override!$D$11:$D$40,15,Override!$E$11:$E$40,"&gt;=0",Override!$C$11:$C$40,"MXAU"))&gt;0,SUMIFS(Override!$E$11:$E$40,Override!$B$11:$B$40,$B31,Override!$D$11:$D$40,15)-SUMIFS(Override!$E$11:$E$40,Override!$B$11:$B$40,$B31,Override!$D$11:$D$40,15,Override!$C$11:$C$40,"MXAU"),Override!$Q$66)/AS51!$B$3,"")))</f>
        <v/>
      </c>
      <c r="U31" s="140">
        <f>IF(U$13="","",IF($B31="","",IFERROR($C31*$D31*IF((Override!$C$4="ON")*(COUNTIFS(Override!$B$11:$B$40,$B31,Override!$D$11:$D$40,16,Override!$E$11:$E$40,"&gt;=0")-COUNTIFS(Override!$B$11:$B$40,$B31,Override!$D$11:$D$40,16,Override!$E$11:$E$40,"&gt;=0",Override!$C$11:$C$40,"MXAU"))&gt;0,SUMIFS(Override!$E$11:$E$40,Override!$B$11:$B$40,$B31,Override!$D$11:$D$40,16)-SUMIFS(Override!$E$11:$E$40,Override!$B$11:$B$40,$B31,Override!$D$11:$D$40,16,Override!$C$11:$C$40,"MXAU"),Override!$R$66)/AS51!$B$3,"")))</f>
        <v/>
      </c>
      <c r="W31" s="140">
        <f>IF(W$13="","",IF($B31="","",IFERROR(F31*$E31/100,"")))</f>
        <v/>
      </c>
      <c r="X31" s="140">
        <f>IF(X$13="","",IF($B31="","",IFERROR(G31*$E31/100,"")))</f>
        <v/>
      </c>
      <c r="Y31" s="140">
        <f>IF(Y$13="","",IF($B31="","",IFERROR(H31*$E31/100,"")))</f>
        <v/>
      </c>
      <c r="Z31" s="140">
        <f>IF(Z$13="","",IF($B31="","",IFERROR(I31*$E31/100,"")))</f>
        <v/>
      </c>
      <c r="AA31" s="140">
        <f>IF(AA$13="","",IF($B31="","",IFERROR(J31*$E31/100,"")))</f>
        <v/>
      </c>
      <c r="AB31" s="140">
        <f>IF(AB$13="","",IF($B31="","",IFERROR(K31*$E31/100,"")))</f>
        <v/>
      </c>
      <c r="AC31" s="140">
        <f>IF(AC$13="","",IF($B31="","",IFERROR(L31*$E31/100,"")))</f>
        <v/>
      </c>
      <c r="AD31" s="140">
        <f>IF(AD$13="","",IF($B31="","",IFERROR(M31*$E31/100,"")))</f>
        <v/>
      </c>
      <c r="AE31" s="140">
        <f>IF(AE$13="","",IF($B31="","",IFERROR(N31*$E31/100,"")))</f>
        <v/>
      </c>
      <c r="AF31" s="140">
        <f>IF(AF$13="","",IF($B31="","",IFERROR(O31*$E31/100,"")))</f>
        <v/>
      </c>
      <c r="AG31" s="140">
        <f>IF(AG$13="","",IF($B31="","",IFERROR(P31*$E31/100,"")))</f>
        <v/>
      </c>
      <c r="AH31" s="140">
        <f>IF(AH$13="","",IF($B31="","",IFERROR(Q31*$E31/100,"")))</f>
        <v/>
      </c>
      <c r="AI31" s="140">
        <f>IF(AI$13="","",IF($B31="","",IFERROR(R31*$E31/100,"")))</f>
        <v/>
      </c>
      <c r="AJ31" s="140">
        <f>IF(AJ$13="","",IF($B31="","",IFERROR(S31*$E31/100,"")))</f>
        <v/>
      </c>
      <c r="AK31" s="140">
        <f>IF(AK$13="","",IF($B31="","",IFERROR(T31*$E31/100,"")))</f>
        <v/>
      </c>
      <c r="AL31" s="140">
        <f>IF(AL$13="","",IF($B31="","",IFERROR(U31*$E31/100,"")))</f>
        <v/>
      </c>
      <c r="AN31" s="140">
        <f>IF($B31="","",SUMIF($F$13:$U$13,"&lt;="&amp;Sector!$D$51,$F31:$U31))</f>
        <v/>
      </c>
      <c r="AO31" s="140">
        <f>IF($B31="","",SUMIF($W$13:$AL$13,"&lt;="&amp;Sector!$D$51,$W31:$AL31))</f>
        <v/>
      </c>
    </row>
    <row r="32">
      <c r="B32" s="5">
        <f>IF(AS51!$C$22="","",AS51!$C$22)</f>
        <v/>
      </c>
      <c r="C32" s="90">
        <f>IF(AS51!$B$22="","",AS51!$B$22)</f>
        <v/>
      </c>
      <c r="D32" s="138">
        <f>IFERROR(AS51!$Q$22,1)</f>
        <v/>
      </c>
      <c r="E32" s="139">
        <f>IF($B32="","",IF(ISNUMBER(AS51!$I$22),AS51!$I$22,'Index Summary'!$C$7))</f>
        <v/>
      </c>
      <c r="F32" s="140">
        <f>IF(F$13="","",IF($B32="","",IFERROR($C32*$D32*IF((Override!$C$4="ON")*(COUNTIFS(Override!$B$11:$B$40,$B32,Override!$D$11:$D$40,1,Override!$E$11:$E$40,"&gt;=0")-COUNTIFS(Override!$B$11:$B$40,$B32,Override!$D$11:$D$40,1,Override!$E$11:$E$40,"&gt;=0",Override!$C$11:$C$40,"MXAU"))&gt;0,SUMIFS(Override!$E$11:$E$40,Override!$B$11:$B$40,$B32,Override!$D$11:$D$40,1)-SUMIFS(Override!$E$11:$E$40,Override!$B$11:$B$40,$B32,Override!$D$11:$D$40,1,Override!$C$11:$C$40,"MXAU"),Override!$C$67)/AS51!$B$3,"")))</f>
        <v/>
      </c>
      <c r="G32" s="140">
        <f>IF(G$13="","",IF($B32="","",IFERROR($C32*$D32*IF((Override!$C$4="ON")*(COUNTIFS(Override!$B$11:$B$40,$B32,Override!$D$11:$D$40,2,Override!$E$11:$E$40,"&gt;=0")-COUNTIFS(Override!$B$11:$B$40,$B32,Override!$D$11:$D$40,2,Override!$E$11:$E$40,"&gt;=0",Override!$C$11:$C$40,"MXAU"))&gt;0,SUMIFS(Override!$E$11:$E$40,Override!$B$11:$B$40,$B32,Override!$D$11:$D$40,2)-SUMIFS(Override!$E$11:$E$40,Override!$B$11:$B$40,$B32,Override!$D$11:$D$40,2,Override!$C$11:$C$40,"MXAU"),Override!$D$67)/AS51!$B$3,"")))</f>
        <v/>
      </c>
      <c r="H32" s="140">
        <f>IF(H$13="","",IF($B32="","",IFERROR($C32*$D32*IF((Override!$C$4="ON")*(COUNTIFS(Override!$B$11:$B$40,$B32,Override!$D$11:$D$40,3,Override!$E$11:$E$40,"&gt;=0")-COUNTIFS(Override!$B$11:$B$40,$B32,Override!$D$11:$D$40,3,Override!$E$11:$E$40,"&gt;=0",Override!$C$11:$C$40,"MXAU"))&gt;0,SUMIFS(Override!$E$11:$E$40,Override!$B$11:$B$40,$B32,Override!$D$11:$D$40,3)-SUMIFS(Override!$E$11:$E$40,Override!$B$11:$B$40,$B32,Override!$D$11:$D$40,3,Override!$C$11:$C$40,"MXAU"),Override!$E$67)/AS51!$B$3,"")))</f>
        <v/>
      </c>
      <c r="I32" s="140">
        <f>IF(I$13="","",IF($B32="","",IFERROR($C32*$D32*IF((Override!$C$4="ON")*(COUNTIFS(Override!$B$11:$B$40,$B32,Override!$D$11:$D$40,4,Override!$E$11:$E$40,"&gt;=0")-COUNTIFS(Override!$B$11:$B$40,$B32,Override!$D$11:$D$40,4,Override!$E$11:$E$40,"&gt;=0",Override!$C$11:$C$40,"MXAU"))&gt;0,SUMIFS(Override!$E$11:$E$40,Override!$B$11:$B$40,$B32,Override!$D$11:$D$40,4)-SUMIFS(Override!$E$11:$E$40,Override!$B$11:$B$40,$B32,Override!$D$11:$D$40,4,Override!$C$11:$C$40,"MXAU"),Override!$F$67)/AS51!$B$3,"")))</f>
        <v/>
      </c>
      <c r="J32" s="140">
        <f>IF(J$13="","",IF($B32="","",IFERROR($C32*$D32*IF((Override!$C$4="ON")*(COUNTIFS(Override!$B$11:$B$40,$B32,Override!$D$11:$D$40,5,Override!$E$11:$E$40,"&gt;=0")-COUNTIFS(Override!$B$11:$B$40,$B32,Override!$D$11:$D$40,5,Override!$E$11:$E$40,"&gt;=0",Override!$C$11:$C$40,"MXAU"))&gt;0,SUMIFS(Override!$E$11:$E$40,Override!$B$11:$B$40,$B32,Override!$D$11:$D$40,5)-SUMIFS(Override!$E$11:$E$40,Override!$B$11:$B$40,$B32,Override!$D$11:$D$40,5,Override!$C$11:$C$40,"MXAU"),Override!$G$67)/AS51!$B$3,"")))</f>
        <v/>
      </c>
      <c r="K32" s="140">
        <f>IF(K$13="","",IF($B32="","",IFERROR($C32*$D32*IF((Override!$C$4="ON")*(COUNTIFS(Override!$B$11:$B$40,$B32,Override!$D$11:$D$40,6,Override!$E$11:$E$40,"&gt;=0")-COUNTIFS(Override!$B$11:$B$40,$B32,Override!$D$11:$D$40,6,Override!$E$11:$E$40,"&gt;=0",Override!$C$11:$C$40,"MXAU"))&gt;0,SUMIFS(Override!$E$11:$E$40,Override!$B$11:$B$40,$B32,Override!$D$11:$D$40,6)-SUMIFS(Override!$E$11:$E$40,Override!$B$11:$B$40,$B32,Override!$D$11:$D$40,6,Override!$C$11:$C$40,"MXAU"),Override!$H$67)/AS51!$B$3,"")))</f>
        <v/>
      </c>
      <c r="L32" s="140">
        <f>IF(L$13="","",IF($B32="","",IFERROR($C32*$D32*IF((Override!$C$4="ON")*(COUNTIFS(Override!$B$11:$B$40,$B32,Override!$D$11:$D$40,7,Override!$E$11:$E$40,"&gt;=0")-COUNTIFS(Override!$B$11:$B$40,$B32,Override!$D$11:$D$40,7,Override!$E$11:$E$40,"&gt;=0",Override!$C$11:$C$40,"MXAU"))&gt;0,SUMIFS(Override!$E$11:$E$40,Override!$B$11:$B$40,$B32,Override!$D$11:$D$40,7)-SUMIFS(Override!$E$11:$E$40,Override!$B$11:$B$40,$B32,Override!$D$11:$D$40,7,Override!$C$11:$C$40,"MXAU"),Override!$I$67)/AS51!$B$3,"")))</f>
        <v/>
      </c>
      <c r="M32" s="140">
        <f>IF(M$13="","",IF($B32="","",IFERROR($C32*$D32*IF((Override!$C$4="ON")*(COUNTIFS(Override!$B$11:$B$40,$B32,Override!$D$11:$D$40,8,Override!$E$11:$E$40,"&gt;=0")-COUNTIFS(Override!$B$11:$B$40,$B32,Override!$D$11:$D$40,8,Override!$E$11:$E$40,"&gt;=0",Override!$C$11:$C$40,"MXAU"))&gt;0,SUMIFS(Override!$E$11:$E$40,Override!$B$11:$B$40,$B32,Override!$D$11:$D$40,8)-SUMIFS(Override!$E$11:$E$40,Override!$B$11:$B$40,$B32,Override!$D$11:$D$40,8,Override!$C$11:$C$40,"MXAU"),Override!$J$67)/AS51!$B$3,"")))</f>
        <v/>
      </c>
      <c r="N32" s="140">
        <f>IF(N$13="","",IF($B32="","",IFERROR($C32*$D32*IF((Override!$C$4="ON")*(COUNTIFS(Override!$B$11:$B$40,$B32,Override!$D$11:$D$40,9,Override!$E$11:$E$40,"&gt;=0")-COUNTIFS(Override!$B$11:$B$40,$B32,Override!$D$11:$D$40,9,Override!$E$11:$E$40,"&gt;=0",Override!$C$11:$C$40,"MXAU"))&gt;0,SUMIFS(Override!$E$11:$E$40,Override!$B$11:$B$40,$B32,Override!$D$11:$D$40,9)-SUMIFS(Override!$E$11:$E$40,Override!$B$11:$B$40,$B32,Override!$D$11:$D$40,9,Override!$C$11:$C$40,"MXAU"),Override!$K$67)/AS51!$B$3,"")))</f>
        <v/>
      </c>
      <c r="O32" s="140">
        <f>IF(O$13="","",IF($B32="","",IFERROR($C32*$D32*IF((Override!$C$4="ON")*(COUNTIFS(Override!$B$11:$B$40,$B32,Override!$D$11:$D$40,10,Override!$E$11:$E$40,"&gt;=0")-COUNTIFS(Override!$B$11:$B$40,$B32,Override!$D$11:$D$40,10,Override!$E$11:$E$40,"&gt;=0",Override!$C$11:$C$40,"MXAU"))&gt;0,SUMIFS(Override!$E$11:$E$40,Override!$B$11:$B$40,$B32,Override!$D$11:$D$40,10)-SUMIFS(Override!$E$11:$E$40,Override!$B$11:$B$40,$B32,Override!$D$11:$D$40,10,Override!$C$11:$C$40,"MXAU"),Override!$L$67)/AS51!$B$3,"")))</f>
        <v/>
      </c>
      <c r="P32" s="140">
        <f>IF(P$13="","",IF($B32="","",IFERROR($C32*$D32*IF((Override!$C$4="ON")*(COUNTIFS(Override!$B$11:$B$40,$B32,Override!$D$11:$D$40,11,Override!$E$11:$E$40,"&gt;=0")-COUNTIFS(Override!$B$11:$B$40,$B32,Override!$D$11:$D$40,11,Override!$E$11:$E$40,"&gt;=0",Override!$C$11:$C$40,"MXAU"))&gt;0,SUMIFS(Override!$E$11:$E$40,Override!$B$11:$B$40,$B32,Override!$D$11:$D$40,11)-SUMIFS(Override!$E$11:$E$40,Override!$B$11:$B$40,$B32,Override!$D$11:$D$40,11,Override!$C$11:$C$40,"MXAU"),Override!$M$67)/AS51!$B$3,"")))</f>
        <v/>
      </c>
      <c r="Q32" s="140">
        <f>IF(Q$13="","",IF($B32="","",IFERROR($C32*$D32*IF((Override!$C$4="ON")*(COUNTIFS(Override!$B$11:$B$40,$B32,Override!$D$11:$D$40,12,Override!$E$11:$E$40,"&gt;=0")-COUNTIFS(Override!$B$11:$B$40,$B32,Override!$D$11:$D$40,12,Override!$E$11:$E$40,"&gt;=0",Override!$C$11:$C$40,"MXAU"))&gt;0,SUMIFS(Override!$E$11:$E$40,Override!$B$11:$B$40,$B32,Override!$D$11:$D$40,12)-SUMIFS(Override!$E$11:$E$40,Override!$B$11:$B$40,$B32,Override!$D$11:$D$40,12,Override!$C$11:$C$40,"MXAU"),Override!$N$67)/AS51!$B$3,"")))</f>
        <v/>
      </c>
      <c r="R32" s="140">
        <f>IF(R$13="","",IF($B32="","",IFERROR($C32*$D32*IF((Override!$C$4="ON")*(COUNTIFS(Override!$B$11:$B$40,$B32,Override!$D$11:$D$40,13,Override!$E$11:$E$40,"&gt;=0")-COUNTIFS(Override!$B$11:$B$40,$B32,Override!$D$11:$D$40,13,Override!$E$11:$E$40,"&gt;=0",Override!$C$11:$C$40,"MXAU"))&gt;0,SUMIFS(Override!$E$11:$E$40,Override!$B$11:$B$40,$B32,Override!$D$11:$D$40,13)-SUMIFS(Override!$E$11:$E$40,Override!$B$11:$B$40,$B32,Override!$D$11:$D$40,13,Override!$C$11:$C$40,"MXAU"),Override!$O$67)/AS51!$B$3,"")))</f>
        <v/>
      </c>
      <c r="S32" s="140">
        <f>IF(S$13="","",IF($B32="","",IFERROR($C32*$D32*IF((Override!$C$4="ON")*(COUNTIFS(Override!$B$11:$B$40,$B32,Override!$D$11:$D$40,14,Override!$E$11:$E$40,"&gt;=0")-COUNTIFS(Override!$B$11:$B$40,$B32,Override!$D$11:$D$40,14,Override!$E$11:$E$40,"&gt;=0",Override!$C$11:$C$40,"MXAU"))&gt;0,SUMIFS(Override!$E$11:$E$40,Override!$B$11:$B$40,$B32,Override!$D$11:$D$40,14)-SUMIFS(Override!$E$11:$E$40,Override!$B$11:$B$40,$B32,Override!$D$11:$D$40,14,Override!$C$11:$C$40,"MXAU"),Override!$P$67)/AS51!$B$3,"")))</f>
        <v/>
      </c>
      <c r="T32" s="140">
        <f>IF(T$13="","",IF($B32="","",IFERROR($C32*$D32*IF((Override!$C$4="ON")*(COUNTIFS(Override!$B$11:$B$40,$B32,Override!$D$11:$D$40,15,Override!$E$11:$E$40,"&gt;=0")-COUNTIFS(Override!$B$11:$B$40,$B32,Override!$D$11:$D$40,15,Override!$E$11:$E$40,"&gt;=0",Override!$C$11:$C$40,"MXAU"))&gt;0,SUMIFS(Override!$E$11:$E$40,Override!$B$11:$B$40,$B32,Override!$D$11:$D$40,15)-SUMIFS(Override!$E$11:$E$40,Override!$B$11:$B$40,$B32,Override!$D$11:$D$40,15,Override!$C$11:$C$40,"MXAU"),Override!$Q$67)/AS51!$B$3,"")))</f>
        <v/>
      </c>
      <c r="U32" s="140">
        <f>IF(U$13="","",IF($B32="","",IFERROR($C32*$D32*IF((Override!$C$4="ON")*(COUNTIFS(Override!$B$11:$B$40,$B32,Override!$D$11:$D$40,16,Override!$E$11:$E$40,"&gt;=0")-COUNTIFS(Override!$B$11:$B$40,$B32,Override!$D$11:$D$40,16,Override!$E$11:$E$40,"&gt;=0",Override!$C$11:$C$40,"MXAU"))&gt;0,SUMIFS(Override!$E$11:$E$40,Override!$B$11:$B$40,$B32,Override!$D$11:$D$40,16)-SUMIFS(Override!$E$11:$E$40,Override!$B$11:$B$40,$B32,Override!$D$11:$D$40,16,Override!$C$11:$C$40,"MXAU"),Override!$R$67)/AS51!$B$3,"")))</f>
        <v/>
      </c>
      <c r="W32" s="140">
        <f>IF(W$13="","",IF($B32="","",IFERROR(F32*$E32/100,"")))</f>
        <v/>
      </c>
      <c r="X32" s="140">
        <f>IF(X$13="","",IF($B32="","",IFERROR(G32*$E32/100,"")))</f>
        <v/>
      </c>
      <c r="Y32" s="140">
        <f>IF(Y$13="","",IF($B32="","",IFERROR(H32*$E32/100,"")))</f>
        <v/>
      </c>
      <c r="Z32" s="140">
        <f>IF(Z$13="","",IF($B32="","",IFERROR(I32*$E32/100,"")))</f>
        <v/>
      </c>
      <c r="AA32" s="140">
        <f>IF(AA$13="","",IF($B32="","",IFERROR(J32*$E32/100,"")))</f>
        <v/>
      </c>
      <c r="AB32" s="140">
        <f>IF(AB$13="","",IF($B32="","",IFERROR(K32*$E32/100,"")))</f>
        <v/>
      </c>
      <c r="AC32" s="140">
        <f>IF(AC$13="","",IF($B32="","",IFERROR(L32*$E32/100,"")))</f>
        <v/>
      </c>
      <c r="AD32" s="140">
        <f>IF(AD$13="","",IF($B32="","",IFERROR(M32*$E32/100,"")))</f>
        <v/>
      </c>
      <c r="AE32" s="140">
        <f>IF(AE$13="","",IF($B32="","",IFERROR(N32*$E32/100,"")))</f>
        <v/>
      </c>
      <c r="AF32" s="140">
        <f>IF(AF$13="","",IF($B32="","",IFERROR(O32*$E32/100,"")))</f>
        <v/>
      </c>
      <c r="AG32" s="140">
        <f>IF(AG$13="","",IF($B32="","",IFERROR(P32*$E32/100,"")))</f>
        <v/>
      </c>
      <c r="AH32" s="140">
        <f>IF(AH$13="","",IF($B32="","",IFERROR(Q32*$E32/100,"")))</f>
        <v/>
      </c>
      <c r="AI32" s="140">
        <f>IF(AI$13="","",IF($B32="","",IFERROR(R32*$E32/100,"")))</f>
        <v/>
      </c>
      <c r="AJ32" s="140">
        <f>IF(AJ$13="","",IF($B32="","",IFERROR(S32*$E32/100,"")))</f>
        <v/>
      </c>
      <c r="AK32" s="140">
        <f>IF(AK$13="","",IF($B32="","",IFERROR(T32*$E32/100,"")))</f>
        <v/>
      </c>
      <c r="AL32" s="140">
        <f>IF(AL$13="","",IF($B32="","",IFERROR(U32*$E32/100,"")))</f>
        <v/>
      </c>
      <c r="AN32" s="140">
        <f>IF($B32="","",SUMIF($F$13:$U$13,"&lt;="&amp;Sector!$D$51,$F32:$U32))</f>
        <v/>
      </c>
      <c r="AO32" s="140">
        <f>IF($B32="","",SUMIF($W$13:$AL$13,"&lt;="&amp;Sector!$D$51,$W32:$AL32))</f>
        <v/>
      </c>
    </row>
    <row r="33">
      <c r="B33" s="5">
        <f>IF(AS51!$C$23="","",AS51!$C$23)</f>
        <v/>
      </c>
      <c r="C33" s="90">
        <f>IF(AS51!$B$23="","",AS51!$B$23)</f>
        <v/>
      </c>
      <c r="D33" s="138">
        <f>IFERROR(AS51!$Q$23,1)</f>
        <v/>
      </c>
      <c r="E33" s="139">
        <f>IF($B33="","",IF(ISNUMBER(AS51!$I$23),AS51!$I$23,'Index Summary'!$C$7))</f>
        <v/>
      </c>
      <c r="F33" s="140">
        <f>IF(F$13="","",IF($B33="","",IFERROR($C33*$D33*IF((Override!$C$4="ON")*(COUNTIFS(Override!$B$11:$B$40,$B33,Override!$D$11:$D$40,1,Override!$E$11:$E$40,"&gt;=0")-COUNTIFS(Override!$B$11:$B$40,$B33,Override!$D$11:$D$40,1,Override!$E$11:$E$40,"&gt;=0",Override!$C$11:$C$40,"MXAU"))&gt;0,SUMIFS(Override!$E$11:$E$40,Override!$B$11:$B$40,$B33,Override!$D$11:$D$40,1)-SUMIFS(Override!$E$11:$E$40,Override!$B$11:$B$40,$B33,Override!$D$11:$D$40,1,Override!$C$11:$C$40,"MXAU"),Override!$C$68)/AS51!$B$3,"")))</f>
        <v/>
      </c>
      <c r="G33" s="140">
        <f>IF(G$13="","",IF($B33="","",IFERROR($C33*$D33*IF((Override!$C$4="ON")*(COUNTIFS(Override!$B$11:$B$40,$B33,Override!$D$11:$D$40,2,Override!$E$11:$E$40,"&gt;=0")-COUNTIFS(Override!$B$11:$B$40,$B33,Override!$D$11:$D$40,2,Override!$E$11:$E$40,"&gt;=0",Override!$C$11:$C$40,"MXAU"))&gt;0,SUMIFS(Override!$E$11:$E$40,Override!$B$11:$B$40,$B33,Override!$D$11:$D$40,2)-SUMIFS(Override!$E$11:$E$40,Override!$B$11:$B$40,$B33,Override!$D$11:$D$40,2,Override!$C$11:$C$40,"MXAU"),Override!$D$68)/AS51!$B$3,"")))</f>
        <v/>
      </c>
      <c r="H33" s="140">
        <f>IF(H$13="","",IF($B33="","",IFERROR($C33*$D33*IF((Override!$C$4="ON")*(COUNTIFS(Override!$B$11:$B$40,$B33,Override!$D$11:$D$40,3,Override!$E$11:$E$40,"&gt;=0")-COUNTIFS(Override!$B$11:$B$40,$B33,Override!$D$11:$D$40,3,Override!$E$11:$E$40,"&gt;=0",Override!$C$11:$C$40,"MXAU"))&gt;0,SUMIFS(Override!$E$11:$E$40,Override!$B$11:$B$40,$B33,Override!$D$11:$D$40,3)-SUMIFS(Override!$E$11:$E$40,Override!$B$11:$B$40,$B33,Override!$D$11:$D$40,3,Override!$C$11:$C$40,"MXAU"),Override!$E$68)/AS51!$B$3,"")))</f>
        <v/>
      </c>
      <c r="I33" s="140">
        <f>IF(I$13="","",IF($B33="","",IFERROR($C33*$D33*IF((Override!$C$4="ON")*(COUNTIFS(Override!$B$11:$B$40,$B33,Override!$D$11:$D$40,4,Override!$E$11:$E$40,"&gt;=0")-COUNTIFS(Override!$B$11:$B$40,$B33,Override!$D$11:$D$40,4,Override!$E$11:$E$40,"&gt;=0",Override!$C$11:$C$40,"MXAU"))&gt;0,SUMIFS(Override!$E$11:$E$40,Override!$B$11:$B$40,$B33,Override!$D$11:$D$40,4)-SUMIFS(Override!$E$11:$E$40,Override!$B$11:$B$40,$B33,Override!$D$11:$D$40,4,Override!$C$11:$C$40,"MXAU"),Override!$F$68)/AS51!$B$3,"")))</f>
        <v/>
      </c>
      <c r="J33" s="140">
        <f>IF(J$13="","",IF($B33="","",IFERROR($C33*$D33*IF((Override!$C$4="ON")*(COUNTIFS(Override!$B$11:$B$40,$B33,Override!$D$11:$D$40,5,Override!$E$11:$E$40,"&gt;=0")-COUNTIFS(Override!$B$11:$B$40,$B33,Override!$D$11:$D$40,5,Override!$E$11:$E$40,"&gt;=0",Override!$C$11:$C$40,"MXAU"))&gt;0,SUMIFS(Override!$E$11:$E$40,Override!$B$11:$B$40,$B33,Override!$D$11:$D$40,5)-SUMIFS(Override!$E$11:$E$40,Override!$B$11:$B$40,$B33,Override!$D$11:$D$40,5,Override!$C$11:$C$40,"MXAU"),Override!$G$68)/AS51!$B$3,"")))</f>
        <v/>
      </c>
      <c r="K33" s="140">
        <f>IF(K$13="","",IF($B33="","",IFERROR($C33*$D33*IF((Override!$C$4="ON")*(COUNTIFS(Override!$B$11:$B$40,$B33,Override!$D$11:$D$40,6,Override!$E$11:$E$40,"&gt;=0")-COUNTIFS(Override!$B$11:$B$40,$B33,Override!$D$11:$D$40,6,Override!$E$11:$E$40,"&gt;=0",Override!$C$11:$C$40,"MXAU"))&gt;0,SUMIFS(Override!$E$11:$E$40,Override!$B$11:$B$40,$B33,Override!$D$11:$D$40,6)-SUMIFS(Override!$E$11:$E$40,Override!$B$11:$B$40,$B33,Override!$D$11:$D$40,6,Override!$C$11:$C$40,"MXAU"),Override!$H$68)/AS51!$B$3,"")))</f>
        <v/>
      </c>
      <c r="L33" s="140">
        <f>IF(L$13="","",IF($B33="","",IFERROR($C33*$D33*IF((Override!$C$4="ON")*(COUNTIFS(Override!$B$11:$B$40,$B33,Override!$D$11:$D$40,7,Override!$E$11:$E$40,"&gt;=0")-COUNTIFS(Override!$B$11:$B$40,$B33,Override!$D$11:$D$40,7,Override!$E$11:$E$40,"&gt;=0",Override!$C$11:$C$40,"MXAU"))&gt;0,SUMIFS(Override!$E$11:$E$40,Override!$B$11:$B$40,$B33,Override!$D$11:$D$40,7)-SUMIFS(Override!$E$11:$E$40,Override!$B$11:$B$40,$B33,Override!$D$11:$D$40,7,Override!$C$11:$C$40,"MXAU"),Override!$I$68)/AS51!$B$3,"")))</f>
        <v/>
      </c>
      <c r="M33" s="140">
        <f>IF(M$13="","",IF($B33="","",IFERROR($C33*$D33*IF((Override!$C$4="ON")*(COUNTIFS(Override!$B$11:$B$40,$B33,Override!$D$11:$D$40,8,Override!$E$11:$E$40,"&gt;=0")-COUNTIFS(Override!$B$11:$B$40,$B33,Override!$D$11:$D$40,8,Override!$E$11:$E$40,"&gt;=0",Override!$C$11:$C$40,"MXAU"))&gt;0,SUMIFS(Override!$E$11:$E$40,Override!$B$11:$B$40,$B33,Override!$D$11:$D$40,8)-SUMIFS(Override!$E$11:$E$40,Override!$B$11:$B$40,$B33,Override!$D$11:$D$40,8,Override!$C$11:$C$40,"MXAU"),Override!$J$68)/AS51!$B$3,"")))</f>
        <v/>
      </c>
      <c r="N33" s="140">
        <f>IF(N$13="","",IF($B33="","",IFERROR($C33*$D33*IF((Override!$C$4="ON")*(COUNTIFS(Override!$B$11:$B$40,$B33,Override!$D$11:$D$40,9,Override!$E$11:$E$40,"&gt;=0")-COUNTIFS(Override!$B$11:$B$40,$B33,Override!$D$11:$D$40,9,Override!$E$11:$E$40,"&gt;=0",Override!$C$11:$C$40,"MXAU"))&gt;0,SUMIFS(Override!$E$11:$E$40,Override!$B$11:$B$40,$B33,Override!$D$11:$D$40,9)-SUMIFS(Override!$E$11:$E$40,Override!$B$11:$B$40,$B33,Override!$D$11:$D$40,9,Override!$C$11:$C$40,"MXAU"),Override!$K$68)/AS51!$B$3,"")))</f>
        <v/>
      </c>
      <c r="O33" s="140">
        <f>IF(O$13="","",IF($B33="","",IFERROR($C33*$D33*IF((Override!$C$4="ON")*(COUNTIFS(Override!$B$11:$B$40,$B33,Override!$D$11:$D$40,10,Override!$E$11:$E$40,"&gt;=0")-COUNTIFS(Override!$B$11:$B$40,$B33,Override!$D$11:$D$40,10,Override!$E$11:$E$40,"&gt;=0",Override!$C$11:$C$40,"MXAU"))&gt;0,SUMIFS(Override!$E$11:$E$40,Override!$B$11:$B$40,$B33,Override!$D$11:$D$40,10)-SUMIFS(Override!$E$11:$E$40,Override!$B$11:$B$40,$B33,Override!$D$11:$D$40,10,Override!$C$11:$C$40,"MXAU"),Override!$L$68)/AS51!$B$3,"")))</f>
        <v/>
      </c>
      <c r="P33" s="140">
        <f>IF(P$13="","",IF($B33="","",IFERROR($C33*$D33*IF((Override!$C$4="ON")*(COUNTIFS(Override!$B$11:$B$40,$B33,Override!$D$11:$D$40,11,Override!$E$11:$E$40,"&gt;=0")-COUNTIFS(Override!$B$11:$B$40,$B33,Override!$D$11:$D$40,11,Override!$E$11:$E$40,"&gt;=0",Override!$C$11:$C$40,"MXAU"))&gt;0,SUMIFS(Override!$E$11:$E$40,Override!$B$11:$B$40,$B33,Override!$D$11:$D$40,11)-SUMIFS(Override!$E$11:$E$40,Override!$B$11:$B$40,$B33,Override!$D$11:$D$40,11,Override!$C$11:$C$40,"MXAU"),Override!$M$68)/AS51!$B$3,"")))</f>
        <v/>
      </c>
      <c r="Q33" s="140">
        <f>IF(Q$13="","",IF($B33="","",IFERROR($C33*$D33*IF((Override!$C$4="ON")*(COUNTIFS(Override!$B$11:$B$40,$B33,Override!$D$11:$D$40,12,Override!$E$11:$E$40,"&gt;=0")-COUNTIFS(Override!$B$11:$B$40,$B33,Override!$D$11:$D$40,12,Override!$E$11:$E$40,"&gt;=0",Override!$C$11:$C$40,"MXAU"))&gt;0,SUMIFS(Override!$E$11:$E$40,Override!$B$11:$B$40,$B33,Override!$D$11:$D$40,12)-SUMIFS(Override!$E$11:$E$40,Override!$B$11:$B$40,$B33,Override!$D$11:$D$40,12,Override!$C$11:$C$40,"MXAU"),Override!$N$68)/AS51!$B$3,"")))</f>
        <v/>
      </c>
      <c r="R33" s="140">
        <f>IF(R$13="","",IF($B33="","",IFERROR($C33*$D33*IF((Override!$C$4="ON")*(COUNTIFS(Override!$B$11:$B$40,$B33,Override!$D$11:$D$40,13,Override!$E$11:$E$40,"&gt;=0")-COUNTIFS(Override!$B$11:$B$40,$B33,Override!$D$11:$D$40,13,Override!$E$11:$E$40,"&gt;=0",Override!$C$11:$C$40,"MXAU"))&gt;0,SUMIFS(Override!$E$11:$E$40,Override!$B$11:$B$40,$B33,Override!$D$11:$D$40,13)-SUMIFS(Override!$E$11:$E$40,Override!$B$11:$B$40,$B33,Override!$D$11:$D$40,13,Override!$C$11:$C$40,"MXAU"),Override!$O$68)/AS51!$B$3,"")))</f>
        <v/>
      </c>
      <c r="S33" s="140">
        <f>IF(S$13="","",IF($B33="","",IFERROR($C33*$D33*IF((Override!$C$4="ON")*(COUNTIFS(Override!$B$11:$B$40,$B33,Override!$D$11:$D$40,14,Override!$E$11:$E$40,"&gt;=0")-COUNTIFS(Override!$B$11:$B$40,$B33,Override!$D$11:$D$40,14,Override!$E$11:$E$40,"&gt;=0",Override!$C$11:$C$40,"MXAU"))&gt;0,SUMIFS(Override!$E$11:$E$40,Override!$B$11:$B$40,$B33,Override!$D$11:$D$40,14)-SUMIFS(Override!$E$11:$E$40,Override!$B$11:$B$40,$B33,Override!$D$11:$D$40,14,Override!$C$11:$C$40,"MXAU"),Override!$P$68)/AS51!$B$3,"")))</f>
        <v/>
      </c>
      <c r="T33" s="140">
        <f>IF(T$13="","",IF($B33="","",IFERROR($C33*$D33*IF((Override!$C$4="ON")*(COUNTIFS(Override!$B$11:$B$40,$B33,Override!$D$11:$D$40,15,Override!$E$11:$E$40,"&gt;=0")-COUNTIFS(Override!$B$11:$B$40,$B33,Override!$D$11:$D$40,15,Override!$E$11:$E$40,"&gt;=0",Override!$C$11:$C$40,"MXAU"))&gt;0,SUMIFS(Override!$E$11:$E$40,Override!$B$11:$B$40,$B33,Override!$D$11:$D$40,15)-SUMIFS(Override!$E$11:$E$40,Override!$B$11:$B$40,$B33,Override!$D$11:$D$40,15,Override!$C$11:$C$40,"MXAU"),Override!$Q$68)/AS51!$B$3,"")))</f>
        <v/>
      </c>
      <c r="U33" s="140">
        <f>IF(U$13="","",IF($B33="","",IFERROR($C33*$D33*IF((Override!$C$4="ON")*(COUNTIFS(Override!$B$11:$B$40,$B33,Override!$D$11:$D$40,16,Override!$E$11:$E$40,"&gt;=0")-COUNTIFS(Override!$B$11:$B$40,$B33,Override!$D$11:$D$40,16,Override!$E$11:$E$40,"&gt;=0",Override!$C$11:$C$40,"MXAU"))&gt;0,SUMIFS(Override!$E$11:$E$40,Override!$B$11:$B$40,$B33,Override!$D$11:$D$40,16)-SUMIFS(Override!$E$11:$E$40,Override!$B$11:$B$40,$B33,Override!$D$11:$D$40,16,Override!$C$11:$C$40,"MXAU"),Override!$R$68)/AS51!$B$3,"")))</f>
        <v/>
      </c>
      <c r="W33" s="140">
        <f>IF(W$13="","",IF($B33="","",IFERROR(F33*$E33/100,"")))</f>
        <v/>
      </c>
      <c r="X33" s="140">
        <f>IF(X$13="","",IF($B33="","",IFERROR(G33*$E33/100,"")))</f>
        <v/>
      </c>
      <c r="Y33" s="140">
        <f>IF(Y$13="","",IF($B33="","",IFERROR(H33*$E33/100,"")))</f>
        <v/>
      </c>
      <c r="Z33" s="140">
        <f>IF(Z$13="","",IF($B33="","",IFERROR(I33*$E33/100,"")))</f>
        <v/>
      </c>
      <c r="AA33" s="140">
        <f>IF(AA$13="","",IF($B33="","",IFERROR(J33*$E33/100,"")))</f>
        <v/>
      </c>
      <c r="AB33" s="140">
        <f>IF(AB$13="","",IF($B33="","",IFERROR(K33*$E33/100,"")))</f>
        <v/>
      </c>
      <c r="AC33" s="140">
        <f>IF(AC$13="","",IF($B33="","",IFERROR(L33*$E33/100,"")))</f>
        <v/>
      </c>
      <c r="AD33" s="140">
        <f>IF(AD$13="","",IF($B33="","",IFERROR(M33*$E33/100,"")))</f>
        <v/>
      </c>
      <c r="AE33" s="140">
        <f>IF(AE$13="","",IF($B33="","",IFERROR(N33*$E33/100,"")))</f>
        <v/>
      </c>
      <c r="AF33" s="140">
        <f>IF(AF$13="","",IF($B33="","",IFERROR(O33*$E33/100,"")))</f>
        <v/>
      </c>
      <c r="AG33" s="140">
        <f>IF(AG$13="","",IF($B33="","",IFERROR(P33*$E33/100,"")))</f>
        <v/>
      </c>
      <c r="AH33" s="140">
        <f>IF(AH$13="","",IF($B33="","",IFERROR(Q33*$E33/100,"")))</f>
        <v/>
      </c>
      <c r="AI33" s="140">
        <f>IF(AI$13="","",IF($B33="","",IFERROR(R33*$E33/100,"")))</f>
        <v/>
      </c>
      <c r="AJ33" s="140">
        <f>IF(AJ$13="","",IF($B33="","",IFERROR(S33*$E33/100,"")))</f>
        <v/>
      </c>
      <c r="AK33" s="140">
        <f>IF(AK$13="","",IF($B33="","",IFERROR(T33*$E33/100,"")))</f>
        <v/>
      </c>
      <c r="AL33" s="140">
        <f>IF(AL$13="","",IF($B33="","",IFERROR(U33*$E33/100,"")))</f>
        <v/>
      </c>
      <c r="AN33" s="140">
        <f>IF($B33="","",SUMIF($F$13:$U$13,"&lt;="&amp;Sector!$D$51,$F33:$U33))</f>
        <v/>
      </c>
      <c r="AO33" s="140">
        <f>IF($B33="","",SUMIF($W$13:$AL$13,"&lt;="&amp;Sector!$D$51,$W33:$AL33))</f>
        <v/>
      </c>
    </row>
    <row r="34">
      <c r="B34" s="5">
        <f>IF(AS51!$C$24="","",AS51!$C$24)</f>
        <v/>
      </c>
      <c r="C34" s="90">
        <f>IF(AS51!$B$24="","",AS51!$B$24)</f>
        <v/>
      </c>
      <c r="D34" s="138">
        <f>IFERROR(AS51!$Q$24,1)</f>
        <v/>
      </c>
      <c r="E34" s="139">
        <f>IF($B34="","",IF(ISNUMBER(AS51!$I$24),AS51!$I$24,'Index Summary'!$C$7))</f>
        <v/>
      </c>
      <c r="F34" s="140">
        <f>IF(F$13="","",IF($B34="","",IFERROR($C34*$D34*IF((Override!$C$4="ON")*(COUNTIFS(Override!$B$11:$B$40,$B34,Override!$D$11:$D$40,1,Override!$E$11:$E$40,"&gt;=0")-COUNTIFS(Override!$B$11:$B$40,$B34,Override!$D$11:$D$40,1,Override!$E$11:$E$40,"&gt;=0",Override!$C$11:$C$40,"MXAU"))&gt;0,SUMIFS(Override!$E$11:$E$40,Override!$B$11:$B$40,$B34,Override!$D$11:$D$40,1)-SUMIFS(Override!$E$11:$E$40,Override!$B$11:$B$40,$B34,Override!$D$11:$D$40,1,Override!$C$11:$C$40,"MXAU"),Override!$C$69)/AS51!$B$3,"")))</f>
        <v/>
      </c>
      <c r="G34" s="140">
        <f>IF(G$13="","",IF($B34="","",IFERROR($C34*$D34*IF((Override!$C$4="ON")*(COUNTIFS(Override!$B$11:$B$40,$B34,Override!$D$11:$D$40,2,Override!$E$11:$E$40,"&gt;=0")-COUNTIFS(Override!$B$11:$B$40,$B34,Override!$D$11:$D$40,2,Override!$E$11:$E$40,"&gt;=0",Override!$C$11:$C$40,"MXAU"))&gt;0,SUMIFS(Override!$E$11:$E$40,Override!$B$11:$B$40,$B34,Override!$D$11:$D$40,2)-SUMIFS(Override!$E$11:$E$40,Override!$B$11:$B$40,$B34,Override!$D$11:$D$40,2,Override!$C$11:$C$40,"MXAU"),Override!$D$69)/AS51!$B$3,"")))</f>
        <v/>
      </c>
      <c r="H34" s="140">
        <f>IF(H$13="","",IF($B34="","",IFERROR($C34*$D34*IF((Override!$C$4="ON")*(COUNTIFS(Override!$B$11:$B$40,$B34,Override!$D$11:$D$40,3,Override!$E$11:$E$40,"&gt;=0")-COUNTIFS(Override!$B$11:$B$40,$B34,Override!$D$11:$D$40,3,Override!$E$11:$E$40,"&gt;=0",Override!$C$11:$C$40,"MXAU"))&gt;0,SUMIFS(Override!$E$11:$E$40,Override!$B$11:$B$40,$B34,Override!$D$11:$D$40,3)-SUMIFS(Override!$E$11:$E$40,Override!$B$11:$B$40,$B34,Override!$D$11:$D$40,3,Override!$C$11:$C$40,"MXAU"),Override!$E$69)/AS51!$B$3,"")))</f>
        <v/>
      </c>
      <c r="I34" s="140">
        <f>IF(I$13="","",IF($B34="","",IFERROR($C34*$D34*IF((Override!$C$4="ON")*(COUNTIFS(Override!$B$11:$B$40,$B34,Override!$D$11:$D$40,4,Override!$E$11:$E$40,"&gt;=0")-COUNTIFS(Override!$B$11:$B$40,$B34,Override!$D$11:$D$40,4,Override!$E$11:$E$40,"&gt;=0",Override!$C$11:$C$40,"MXAU"))&gt;0,SUMIFS(Override!$E$11:$E$40,Override!$B$11:$B$40,$B34,Override!$D$11:$D$40,4)-SUMIFS(Override!$E$11:$E$40,Override!$B$11:$B$40,$B34,Override!$D$11:$D$40,4,Override!$C$11:$C$40,"MXAU"),Override!$F$69)/AS51!$B$3,"")))</f>
        <v/>
      </c>
      <c r="J34" s="140">
        <f>IF(J$13="","",IF($B34="","",IFERROR($C34*$D34*IF((Override!$C$4="ON")*(COUNTIFS(Override!$B$11:$B$40,$B34,Override!$D$11:$D$40,5,Override!$E$11:$E$40,"&gt;=0")-COUNTIFS(Override!$B$11:$B$40,$B34,Override!$D$11:$D$40,5,Override!$E$11:$E$40,"&gt;=0",Override!$C$11:$C$40,"MXAU"))&gt;0,SUMIFS(Override!$E$11:$E$40,Override!$B$11:$B$40,$B34,Override!$D$11:$D$40,5)-SUMIFS(Override!$E$11:$E$40,Override!$B$11:$B$40,$B34,Override!$D$11:$D$40,5,Override!$C$11:$C$40,"MXAU"),Override!$G$69)/AS51!$B$3,"")))</f>
        <v/>
      </c>
      <c r="K34" s="140">
        <f>IF(K$13="","",IF($B34="","",IFERROR($C34*$D34*IF((Override!$C$4="ON")*(COUNTIFS(Override!$B$11:$B$40,$B34,Override!$D$11:$D$40,6,Override!$E$11:$E$40,"&gt;=0")-COUNTIFS(Override!$B$11:$B$40,$B34,Override!$D$11:$D$40,6,Override!$E$11:$E$40,"&gt;=0",Override!$C$11:$C$40,"MXAU"))&gt;0,SUMIFS(Override!$E$11:$E$40,Override!$B$11:$B$40,$B34,Override!$D$11:$D$40,6)-SUMIFS(Override!$E$11:$E$40,Override!$B$11:$B$40,$B34,Override!$D$11:$D$40,6,Override!$C$11:$C$40,"MXAU"),Override!$H$69)/AS51!$B$3,"")))</f>
        <v/>
      </c>
      <c r="L34" s="140">
        <f>IF(L$13="","",IF($B34="","",IFERROR($C34*$D34*IF((Override!$C$4="ON")*(COUNTIFS(Override!$B$11:$B$40,$B34,Override!$D$11:$D$40,7,Override!$E$11:$E$40,"&gt;=0")-COUNTIFS(Override!$B$11:$B$40,$B34,Override!$D$11:$D$40,7,Override!$E$11:$E$40,"&gt;=0",Override!$C$11:$C$40,"MXAU"))&gt;0,SUMIFS(Override!$E$11:$E$40,Override!$B$11:$B$40,$B34,Override!$D$11:$D$40,7)-SUMIFS(Override!$E$11:$E$40,Override!$B$11:$B$40,$B34,Override!$D$11:$D$40,7,Override!$C$11:$C$40,"MXAU"),Override!$I$69)/AS51!$B$3,"")))</f>
        <v/>
      </c>
      <c r="M34" s="140">
        <f>IF(M$13="","",IF($B34="","",IFERROR($C34*$D34*IF((Override!$C$4="ON")*(COUNTIFS(Override!$B$11:$B$40,$B34,Override!$D$11:$D$40,8,Override!$E$11:$E$40,"&gt;=0")-COUNTIFS(Override!$B$11:$B$40,$B34,Override!$D$11:$D$40,8,Override!$E$11:$E$40,"&gt;=0",Override!$C$11:$C$40,"MXAU"))&gt;0,SUMIFS(Override!$E$11:$E$40,Override!$B$11:$B$40,$B34,Override!$D$11:$D$40,8)-SUMIFS(Override!$E$11:$E$40,Override!$B$11:$B$40,$B34,Override!$D$11:$D$40,8,Override!$C$11:$C$40,"MXAU"),Override!$J$69)/AS51!$B$3,"")))</f>
        <v/>
      </c>
      <c r="N34" s="140">
        <f>IF(N$13="","",IF($B34="","",IFERROR($C34*$D34*IF((Override!$C$4="ON")*(COUNTIFS(Override!$B$11:$B$40,$B34,Override!$D$11:$D$40,9,Override!$E$11:$E$40,"&gt;=0")-COUNTIFS(Override!$B$11:$B$40,$B34,Override!$D$11:$D$40,9,Override!$E$11:$E$40,"&gt;=0",Override!$C$11:$C$40,"MXAU"))&gt;0,SUMIFS(Override!$E$11:$E$40,Override!$B$11:$B$40,$B34,Override!$D$11:$D$40,9)-SUMIFS(Override!$E$11:$E$40,Override!$B$11:$B$40,$B34,Override!$D$11:$D$40,9,Override!$C$11:$C$40,"MXAU"),Override!$K$69)/AS51!$B$3,"")))</f>
        <v/>
      </c>
      <c r="O34" s="140">
        <f>IF(O$13="","",IF($B34="","",IFERROR($C34*$D34*IF((Override!$C$4="ON")*(COUNTIFS(Override!$B$11:$B$40,$B34,Override!$D$11:$D$40,10,Override!$E$11:$E$40,"&gt;=0")-COUNTIFS(Override!$B$11:$B$40,$B34,Override!$D$11:$D$40,10,Override!$E$11:$E$40,"&gt;=0",Override!$C$11:$C$40,"MXAU"))&gt;0,SUMIFS(Override!$E$11:$E$40,Override!$B$11:$B$40,$B34,Override!$D$11:$D$40,10)-SUMIFS(Override!$E$11:$E$40,Override!$B$11:$B$40,$B34,Override!$D$11:$D$40,10,Override!$C$11:$C$40,"MXAU"),Override!$L$69)/AS51!$B$3,"")))</f>
        <v/>
      </c>
      <c r="P34" s="140">
        <f>IF(P$13="","",IF($B34="","",IFERROR($C34*$D34*IF((Override!$C$4="ON")*(COUNTIFS(Override!$B$11:$B$40,$B34,Override!$D$11:$D$40,11,Override!$E$11:$E$40,"&gt;=0")-COUNTIFS(Override!$B$11:$B$40,$B34,Override!$D$11:$D$40,11,Override!$E$11:$E$40,"&gt;=0",Override!$C$11:$C$40,"MXAU"))&gt;0,SUMIFS(Override!$E$11:$E$40,Override!$B$11:$B$40,$B34,Override!$D$11:$D$40,11)-SUMIFS(Override!$E$11:$E$40,Override!$B$11:$B$40,$B34,Override!$D$11:$D$40,11,Override!$C$11:$C$40,"MXAU"),Override!$M$69)/AS51!$B$3,"")))</f>
        <v/>
      </c>
      <c r="Q34" s="140">
        <f>IF(Q$13="","",IF($B34="","",IFERROR($C34*$D34*IF((Override!$C$4="ON")*(COUNTIFS(Override!$B$11:$B$40,$B34,Override!$D$11:$D$40,12,Override!$E$11:$E$40,"&gt;=0")-COUNTIFS(Override!$B$11:$B$40,$B34,Override!$D$11:$D$40,12,Override!$E$11:$E$40,"&gt;=0",Override!$C$11:$C$40,"MXAU"))&gt;0,SUMIFS(Override!$E$11:$E$40,Override!$B$11:$B$40,$B34,Override!$D$11:$D$40,12)-SUMIFS(Override!$E$11:$E$40,Override!$B$11:$B$40,$B34,Override!$D$11:$D$40,12,Override!$C$11:$C$40,"MXAU"),Override!$N$69)/AS51!$B$3,"")))</f>
        <v/>
      </c>
      <c r="R34" s="140">
        <f>IF(R$13="","",IF($B34="","",IFERROR($C34*$D34*IF((Override!$C$4="ON")*(COUNTIFS(Override!$B$11:$B$40,$B34,Override!$D$11:$D$40,13,Override!$E$11:$E$40,"&gt;=0")-COUNTIFS(Override!$B$11:$B$40,$B34,Override!$D$11:$D$40,13,Override!$E$11:$E$40,"&gt;=0",Override!$C$11:$C$40,"MXAU"))&gt;0,SUMIFS(Override!$E$11:$E$40,Override!$B$11:$B$40,$B34,Override!$D$11:$D$40,13)-SUMIFS(Override!$E$11:$E$40,Override!$B$11:$B$40,$B34,Override!$D$11:$D$40,13,Override!$C$11:$C$40,"MXAU"),Override!$O$69)/AS51!$B$3,"")))</f>
        <v/>
      </c>
      <c r="S34" s="140">
        <f>IF(S$13="","",IF($B34="","",IFERROR($C34*$D34*IF((Override!$C$4="ON")*(COUNTIFS(Override!$B$11:$B$40,$B34,Override!$D$11:$D$40,14,Override!$E$11:$E$40,"&gt;=0")-COUNTIFS(Override!$B$11:$B$40,$B34,Override!$D$11:$D$40,14,Override!$E$11:$E$40,"&gt;=0",Override!$C$11:$C$40,"MXAU"))&gt;0,SUMIFS(Override!$E$11:$E$40,Override!$B$11:$B$40,$B34,Override!$D$11:$D$40,14)-SUMIFS(Override!$E$11:$E$40,Override!$B$11:$B$40,$B34,Override!$D$11:$D$40,14,Override!$C$11:$C$40,"MXAU"),Override!$P$69)/AS51!$B$3,"")))</f>
        <v/>
      </c>
      <c r="T34" s="140">
        <f>IF(T$13="","",IF($B34="","",IFERROR($C34*$D34*IF((Override!$C$4="ON")*(COUNTIFS(Override!$B$11:$B$40,$B34,Override!$D$11:$D$40,15,Override!$E$11:$E$40,"&gt;=0")-COUNTIFS(Override!$B$11:$B$40,$B34,Override!$D$11:$D$40,15,Override!$E$11:$E$40,"&gt;=0",Override!$C$11:$C$40,"MXAU"))&gt;0,SUMIFS(Override!$E$11:$E$40,Override!$B$11:$B$40,$B34,Override!$D$11:$D$40,15)-SUMIFS(Override!$E$11:$E$40,Override!$B$11:$B$40,$B34,Override!$D$11:$D$40,15,Override!$C$11:$C$40,"MXAU"),Override!$Q$69)/AS51!$B$3,"")))</f>
        <v/>
      </c>
      <c r="U34" s="140">
        <f>IF(U$13="","",IF($B34="","",IFERROR($C34*$D34*IF((Override!$C$4="ON")*(COUNTIFS(Override!$B$11:$B$40,$B34,Override!$D$11:$D$40,16,Override!$E$11:$E$40,"&gt;=0")-COUNTIFS(Override!$B$11:$B$40,$B34,Override!$D$11:$D$40,16,Override!$E$11:$E$40,"&gt;=0",Override!$C$11:$C$40,"MXAU"))&gt;0,SUMIFS(Override!$E$11:$E$40,Override!$B$11:$B$40,$B34,Override!$D$11:$D$40,16)-SUMIFS(Override!$E$11:$E$40,Override!$B$11:$B$40,$B34,Override!$D$11:$D$40,16,Override!$C$11:$C$40,"MXAU"),Override!$R$69)/AS51!$B$3,"")))</f>
        <v/>
      </c>
      <c r="W34" s="140">
        <f>IF(W$13="","",IF($B34="","",IFERROR(F34*$E34/100,"")))</f>
        <v/>
      </c>
      <c r="X34" s="140">
        <f>IF(X$13="","",IF($B34="","",IFERROR(G34*$E34/100,"")))</f>
        <v/>
      </c>
      <c r="Y34" s="140">
        <f>IF(Y$13="","",IF($B34="","",IFERROR(H34*$E34/100,"")))</f>
        <v/>
      </c>
      <c r="Z34" s="140">
        <f>IF(Z$13="","",IF($B34="","",IFERROR(I34*$E34/100,"")))</f>
        <v/>
      </c>
      <c r="AA34" s="140">
        <f>IF(AA$13="","",IF($B34="","",IFERROR(J34*$E34/100,"")))</f>
        <v/>
      </c>
      <c r="AB34" s="140">
        <f>IF(AB$13="","",IF($B34="","",IFERROR(K34*$E34/100,"")))</f>
        <v/>
      </c>
      <c r="AC34" s="140">
        <f>IF(AC$13="","",IF($B34="","",IFERROR(L34*$E34/100,"")))</f>
        <v/>
      </c>
      <c r="AD34" s="140">
        <f>IF(AD$13="","",IF($B34="","",IFERROR(M34*$E34/100,"")))</f>
        <v/>
      </c>
      <c r="AE34" s="140">
        <f>IF(AE$13="","",IF($B34="","",IFERROR(N34*$E34/100,"")))</f>
        <v/>
      </c>
      <c r="AF34" s="140">
        <f>IF(AF$13="","",IF($B34="","",IFERROR(O34*$E34/100,"")))</f>
        <v/>
      </c>
      <c r="AG34" s="140">
        <f>IF(AG$13="","",IF($B34="","",IFERROR(P34*$E34/100,"")))</f>
        <v/>
      </c>
      <c r="AH34" s="140">
        <f>IF(AH$13="","",IF($B34="","",IFERROR(Q34*$E34/100,"")))</f>
        <v/>
      </c>
      <c r="AI34" s="140">
        <f>IF(AI$13="","",IF($B34="","",IFERROR(R34*$E34/100,"")))</f>
        <v/>
      </c>
      <c r="AJ34" s="140">
        <f>IF(AJ$13="","",IF($B34="","",IFERROR(S34*$E34/100,"")))</f>
        <v/>
      </c>
      <c r="AK34" s="140">
        <f>IF(AK$13="","",IF($B34="","",IFERROR(T34*$E34/100,"")))</f>
        <v/>
      </c>
      <c r="AL34" s="140">
        <f>IF(AL$13="","",IF($B34="","",IFERROR(U34*$E34/100,"")))</f>
        <v/>
      </c>
      <c r="AN34" s="140">
        <f>IF($B34="","",SUMIF($F$13:$U$13,"&lt;="&amp;Sector!$D$51,$F34:$U34))</f>
        <v/>
      </c>
      <c r="AO34" s="140">
        <f>IF($B34="","",SUMIF($W$13:$AL$13,"&lt;="&amp;Sector!$D$51,$W34:$AL34))</f>
        <v/>
      </c>
    </row>
    <row r="35">
      <c r="B35" s="5">
        <f>IF(AS51!$C$25="","",AS51!$C$25)</f>
        <v/>
      </c>
      <c r="C35" s="90">
        <f>IF(AS51!$B$25="","",AS51!$B$25)</f>
        <v/>
      </c>
      <c r="D35" s="138">
        <f>IFERROR(AS51!$Q$25,1)</f>
        <v/>
      </c>
      <c r="E35" s="139">
        <f>IF($B35="","",IF(ISNUMBER(AS51!$I$25),AS51!$I$25,'Index Summary'!$C$7))</f>
        <v/>
      </c>
      <c r="F35" s="140">
        <f>IF(F$13="","",IF($B35="","",IFERROR($C35*$D35*IF((Override!$C$4="ON")*(COUNTIFS(Override!$B$11:$B$40,$B35,Override!$D$11:$D$40,1,Override!$E$11:$E$40,"&gt;=0")-COUNTIFS(Override!$B$11:$B$40,$B35,Override!$D$11:$D$40,1,Override!$E$11:$E$40,"&gt;=0",Override!$C$11:$C$40,"MXAU"))&gt;0,SUMIFS(Override!$E$11:$E$40,Override!$B$11:$B$40,$B35,Override!$D$11:$D$40,1)-SUMIFS(Override!$E$11:$E$40,Override!$B$11:$B$40,$B35,Override!$D$11:$D$40,1,Override!$C$11:$C$40,"MXAU"),Override!$C$70)/AS51!$B$3,"")))</f>
        <v/>
      </c>
      <c r="G35" s="140">
        <f>IF(G$13="","",IF($B35="","",IFERROR($C35*$D35*IF((Override!$C$4="ON")*(COUNTIFS(Override!$B$11:$B$40,$B35,Override!$D$11:$D$40,2,Override!$E$11:$E$40,"&gt;=0")-COUNTIFS(Override!$B$11:$B$40,$B35,Override!$D$11:$D$40,2,Override!$E$11:$E$40,"&gt;=0",Override!$C$11:$C$40,"MXAU"))&gt;0,SUMIFS(Override!$E$11:$E$40,Override!$B$11:$B$40,$B35,Override!$D$11:$D$40,2)-SUMIFS(Override!$E$11:$E$40,Override!$B$11:$B$40,$B35,Override!$D$11:$D$40,2,Override!$C$11:$C$40,"MXAU"),Override!$D$70)/AS51!$B$3,"")))</f>
        <v/>
      </c>
      <c r="H35" s="140">
        <f>IF(H$13="","",IF($B35="","",IFERROR($C35*$D35*IF((Override!$C$4="ON")*(COUNTIFS(Override!$B$11:$B$40,$B35,Override!$D$11:$D$40,3,Override!$E$11:$E$40,"&gt;=0")-COUNTIFS(Override!$B$11:$B$40,$B35,Override!$D$11:$D$40,3,Override!$E$11:$E$40,"&gt;=0",Override!$C$11:$C$40,"MXAU"))&gt;0,SUMIFS(Override!$E$11:$E$40,Override!$B$11:$B$40,$B35,Override!$D$11:$D$40,3)-SUMIFS(Override!$E$11:$E$40,Override!$B$11:$B$40,$B35,Override!$D$11:$D$40,3,Override!$C$11:$C$40,"MXAU"),Override!$E$70)/AS51!$B$3,"")))</f>
        <v/>
      </c>
      <c r="I35" s="140">
        <f>IF(I$13="","",IF($B35="","",IFERROR($C35*$D35*IF((Override!$C$4="ON")*(COUNTIFS(Override!$B$11:$B$40,$B35,Override!$D$11:$D$40,4,Override!$E$11:$E$40,"&gt;=0")-COUNTIFS(Override!$B$11:$B$40,$B35,Override!$D$11:$D$40,4,Override!$E$11:$E$40,"&gt;=0",Override!$C$11:$C$40,"MXAU"))&gt;0,SUMIFS(Override!$E$11:$E$40,Override!$B$11:$B$40,$B35,Override!$D$11:$D$40,4)-SUMIFS(Override!$E$11:$E$40,Override!$B$11:$B$40,$B35,Override!$D$11:$D$40,4,Override!$C$11:$C$40,"MXAU"),Override!$F$70)/AS51!$B$3,"")))</f>
        <v/>
      </c>
      <c r="J35" s="140">
        <f>IF(J$13="","",IF($B35="","",IFERROR($C35*$D35*IF((Override!$C$4="ON")*(COUNTIFS(Override!$B$11:$B$40,$B35,Override!$D$11:$D$40,5,Override!$E$11:$E$40,"&gt;=0")-COUNTIFS(Override!$B$11:$B$40,$B35,Override!$D$11:$D$40,5,Override!$E$11:$E$40,"&gt;=0",Override!$C$11:$C$40,"MXAU"))&gt;0,SUMIFS(Override!$E$11:$E$40,Override!$B$11:$B$40,$B35,Override!$D$11:$D$40,5)-SUMIFS(Override!$E$11:$E$40,Override!$B$11:$B$40,$B35,Override!$D$11:$D$40,5,Override!$C$11:$C$40,"MXAU"),Override!$G$70)/AS51!$B$3,"")))</f>
        <v/>
      </c>
      <c r="K35" s="140">
        <f>IF(K$13="","",IF($B35="","",IFERROR($C35*$D35*IF((Override!$C$4="ON")*(COUNTIFS(Override!$B$11:$B$40,$B35,Override!$D$11:$D$40,6,Override!$E$11:$E$40,"&gt;=0")-COUNTIFS(Override!$B$11:$B$40,$B35,Override!$D$11:$D$40,6,Override!$E$11:$E$40,"&gt;=0",Override!$C$11:$C$40,"MXAU"))&gt;0,SUMIFS(Override!$E$11:$E$40,Override!$B$11:$B$40,$B35,Override!$D$11:$D$40,6)-SUMIFS(Override!$E$11:$E$40,Override!$B$11:$B$40,$B35,Override!$D$11:$D$40,6,Override!$C$11:$C$40,"MXAU"),Override!$H$70)/AS51!$B$3,"")))</f>
        <v/>
      </c>
      <c r="L35" s="140">
        <f>IF(L$13="","",IF($B35="","",IFERROR($C35*$D35*IF((Override!$C$4="ON")*(COUNTIFS(Override!$B$11:$B$40,$B35,Override!$D$11:$D$40,7,Override!$E$11:$E$40,"&gt;=0")-COUNTIFS(Override!$B$11:$B$40,$B35,Override!$D$11:$D$40,7,Override!$E$11:$E$40,"&gt;=0",Override!$C$11:$C$40,"MXAU"))&gt;0,SUMIFS(Override!$E$11:$E$40,Override!$B$11:$B$40,$B35,Override!$D$11:$D$40,7)-SUMIFS(Override!$E$11:$E$40,Override!$B$11:$B$40,$B35,Override!$D$11:$D$40,7,Override!$C$11:$C$40,"MXAU"),Override!$I$70)/AS51!$B$3,"")))</f>
        <v/>
      </c>
      <c r="M35" s="140">
        <f>IF(M$13="","",IF($B35="","",IFERROR($C35*$D35*IF((Override!$C$4="ON")*(COUNTIFS(Override!$B$11:$B$40,$B35,Override!$D$11:$D$40,8,Override!$E$11:$E$40,"&gt;=0")-COUNTIFS(Override!$B$11:$B$40,$B35,Override!$D$11:$D$40,8,Override!$E$11:$E$40,"&gt;=0",Override!$C$11:$C$40,"MXAU"))&gt;0,SUMIFS(Override!$E$11:$E$40,Override!$B$11:$B$40,$B35,Override!$D$11:$D$40,8)-SUMIFS(Override!$E$11:$E$40,Override!$B$11:$B$40,$B35,Override!$D$11:$D$40,8,Override!$C$11:$C$40,"MXAU"),Override!$J$70)/AS51!$B$3,"")))</f>
        <v/>
      </c>
      <c r="N35" s="140">
        <f>IF(N$13="","",IF($B35="","",IFERROR($C35*$D35*IF((Override!$C$4="ON")*(COUNTIFS(Override!$B$11:$B$40,$B35,Override!$D$11:$D$40,9,Override!$E$11:$E$40,"&gt;=0")-COUNTIFS(Override!$B$11:$B$40,$B35,Override!$D$11:$D$40,9,Override!$E$11:$E$40,"&gt;=0",Override!$C$11:$C$40,"MXAU"))&gt;0,SUMIFS(Override!$E$11:$E$40,Override!$B$11:$B$40,$B35,Override!$D$11:$D$40,9)-SUMIFS(Override!$E$11:$E$40,Override!$B$11:$B$40,$B35,Override!$D$11:$D$40,9,Override!$C$11:$C$40,"MXAU"),Override!$K$70)/AS51!$B$3,"")))</f>
        <v/>
      </c>
      <c r="O35" s="140">
        <f>IF(O$13="","",IF($B35="","",IFERROR($C35*$D35*IF((Override!$C$4="ON")*(COUNTIFS(Override!$B$11:$B$40,$B35,Override!$D$11:$D$40,10,Override!$E$11:$E$40,"&gt;=0")-COUNTIFS(Override!$B$11:$B$40,$B35,Override!$D$11:$D$40,10,Override!$E$11:$E$40,"&gt;=0",Override!$C$11:$C$40,"MXAU"))&gt;0,SUMIFS(Override!$E$11:$E$40,Override!$B$11:$B$40,$B35,Override!$D$11:$D$40,10)-SUMIFS(Override!$E$11:$E$40,Override!$B$11:$B$40,$B35,Override!$D$11:$D$40,10,Override!$C$11:$C$40,"MXAU"),Override!$L$70)/AS51!$B$3,"")))</f>
        <v/>
      </c>
      <c r="P35" s="140">
        <f>IF(P$13="","",IF($B35="","",IFERROR($C35*$D35*IF((Override!$C$4="ON")*(COUNTIFS(Override!$B$11:$B$40,$B35,Override!$D$11:$D$40,11,Override!$E$11:$E$40,"&gt;=0")-COUNTIFS(Override!$B$11:$B$40,$B35,Override!$D$11:$D$40,11,Override!$E$11:$E$40,"&gt;=0",Override!$C$11:$C$40,"MXAU"))&gt;0,SUMIFS(Override!$E$11:$E$40,Override!$B$11:$B$40,$B35,Override!$D$11:$D$40,11)-SUMIFS(Override!$E$11:$E$40,Override!$B$11:$B$40,$B35,Override!$D$11:$D$40,11,Override!$C$11:$C$40,"MXAU"),Override!$M$70)/AS51!$B$3,"")))</f>
        <v/>
      </c>
      <c r="Q35" s="140">
        <f>IF(Q$13="","",IF($B35="","",IFERROR($C35*$D35*IF((Override!$C$4="ON")*(COUNTIFS(Override!$B$11:$B$40,$B35,Override!$D$11:$D$40,12,Override!$E$11:$E$40,"&gt;=0")-COUNTIFS(Override!$B$11:$B$40,$B35,Override!$D$11:$D$40,12,Override!$E$11:$E$40,"&gt;=0",Override!$C$11:$C$40,"MXAU"))&gt;0,SUMIFS(Override!$E$11:$E$40,Override!$B$11:$B$40,$B35,Override!$D$11:$D$40,12)-SUMIFS(Override!$E$11:$E$40,Override!$B$11:$B$40,$B35,Override!$D$11:$D$40,12,Override!$C$11:$C$40,"MXAU"),Override!$N$70)/AS51!$B$3,"")))</f>
        <v/>
      </c>
      <c r="R35" s="140">
        <f>IF(R$13="","",IF($B35="","",IFERROR($C35*$D35*IF((Override!$C$4="ON")*(COUNTIFS(Override!$B$11:$B$40,$B35,Override!$D$11:$D$40,13,Override!$E$11:$E$40,"&gt;=0")-COUNTIFS(Override!$B$11:$B$40,$B35,Override!$D$11:$D$40,13,Override!$E$11:$E$40,"&gt;=0",Override!$C$11:$C$40,"MXAU"))&gt;0,SUMIFS(Override!$E$11:$E$40,Override!$B$11:$B$40,$B35,Override!$D$11:$D$40,13)-SUMIFS(Override!$E$11:$E$40,Override!$B$11:$B$40,$B35,Override!$D$11:$D$40,13,Override!$C$11:$C$40,"MXAU"),Override!$O$70)/AS51!$B$3,"")))</f>
        <v/>
      </c>
      <c r="S35" s="140">
        <f>IF(S$13="","",IF($B35="","",IFERROR($C35*$D35*IF((Override!$C$4="ON")*(COUNTIFS(Override!$B$11:$B$40,$B35,Override!$D$11:$D$40,14,Override!$E$11:$E$40,"&gt;=0")-COUNTIFS(Override!$B$11:$B$40,$B35,Override!$D$11:$D$40,14,Override!$E$11:$E$40,"&gt;=0",Override!$C$11:$C$40,"MXAU"))&gt;0,SUMIFS(Override!$E$11:$E$40,Override!$B$11:$B$40,$B35,Override!$D$11:$D$40,14)-SUMIFS(Override!$E$11:$E$40,Override!$B$11:$B$40,$B35,Override!$D$11:$D$40,14,Override!$C$11:$C$40,"MXAU"),Override!$P$70)/AS51!$B$3,"")))</f>
        <v/>
      </c>
      <c r="T35" s="140">
        <f>IF(T$13="","",IF($B35="","",IFERROR($C35*$D35*IF((Override!$C$4="ON")*(COUNTIFS(Override!$B$11:$B$40,$B35,Override!$D$11:$D$40,15,Override!$E$11:$E$40,"&gt;=0")-COUNTIFS(Override!$B$11:$B$40,$B35,Override!$D$11:$D$40,15,Override!$E$11:$E$40,"&gt;=0",Override!$C$11:$C$40,"MXAU"))&gt;0,SUMIFS(Override!$E$11:$E$40,Override!$B$11:$B$40,$B35,Override!$D$11:$D$40,15)-SUMIFS(Override!$E$11:$E$40,Override!$B$11:$B$40,$B35,Override!$D$11:$D$40,15,Override!$C$11:$C$40,"MXAU"),Override!$Q$70)/AS51!$B$3,"")))</f>
        <v/>
      </c>
      <c r="U35" s="140">
        <f>IF(U$13="","",IF($B35="","",IFERROR($C35*$D35*IF((Override!$C$4="ON")*(COUNTIFS(Override!$B$11:$B$40,$B35,Override!$D$11:$D$40,16,Override!$E$11:$E$40,"&gt;=0")-COUNTIFS(Override!$B$11:$B$40,$B35,Override!$D$11:$D$40,16,Override!$E$11:$E$40,"&gt;=0",Override!$C$11:$C$40,"MXAU"))&gt;0,SUMIFS(Override!$E$11:$E$40,Override!$B$11:$B$40,$B35,Override!$D$11:$D$40,16)-SUMIFS(Override!$E$11:$E$40,Override!$B$11:$B$40,$B35,Override!$D$11:$D$40,16,Override!$C$11:$C$40,"MXAU"),Override!$R$70)/AS51!$B$3,"")))</f>
        <v/>
      </c>
      <c r="W35" s="140">
        <f>IF(W$13="","",IF($B35="","",IFERROR(F35*$E35/100,"")))</f>
        <v/>
      </c>
      <c r="X35" s="140">
        <f>IF(X$13="","",IF($B35="","",IFERROR(G35*$E35/100,"")))</f>
        <v/>
      </c>
      <c r="Y35" s="140">
        <f>IF(Y$13="","",IF($B35="","",IFERROR(H35*$E35/100,"")))</f>
        <v/>
      </c>
      <c r="Z35" s="140">
        <f>IF(Z$13="","",IF($B35="","",IFERROR(I35*$E35/100,"")))</f>
        <v/>
      </c>
      <c r="AA35" s="140">
        <f>IF(AA$13="","",IF($B35="","",IFERROR(J35*$E35/100,"")))</f>
        <v/>
      </c>
      <c r="AB35" s="140">
        <f>IF(AB$13="","",IF($B35="","",IFERROR(K35*$E35/100,"")))</f>
        <v/>
      </c>
      <c r="AC35" s="140">
        <f>IF(AC$13="","",IF($B35="","",IFERROR(L35*$E35/100,"")))</f>
        <v/>
      </c>
      <c r="AD35" s="140">
        <f>IF(AD$13="","",IF($B35="","",IFERROR(M35*$E35/100,"")))</f>
        <v/>
      </c>
      <c r="AE35" s="140">
        <f>IF(AE$13="","",IF($B35="","",IFERROR(N35*$E35/100,"")))</f>
        <v/>
      </c>
      <c r="AF35" s="140">
        <f>IF(AF$13="","",IF($B35="","",IFERROR(O35*$E35/100,"")))</f>
        <v/>
      </c>
      <c r="AG35" s="140">
        <f>IF(AG$13="","",IF($B35="","",IFERROR(P35*$E35/100,"")))</f>
        <v/>
      </c>
      <c r="AH35" s="140">
        <f>IF(AH$13="","",IF($B35="","",IFERROR(Q35*$E35/100,"")))</f>
        <v/>
      </c>
      <c r="AI35" s="140">
        <f>IF(AI$13="","",IF($B35="","",IFERROR(R35*$E35/100,"")))</f>
        <v/>
      </c>
      <c r="AJ35" s="140">
        <f>IF(AJ$13="","",IF($B35="","",IFERROR(S35*$E35/100,"")))</f>
        <v/>
      </c>
      <c r="AK35" s="140">
        <f>IF(AK$13="","",IF($B35="","",IFERROR(T35*$E35/100,"")))</f>
        <v/>
      </c>
      <c r="AL35" s="140">
        <f>IF(AL$13="","",IF($B35="","",IFERROR(U35*$E35/100,"")))</f>
        <v/>
      </c>
      <c r="AN35" s="140">
        <f>IF($B35="","",SUMIF($F$13:$U$13,"&lt;="&amp;Sector!$D$51,$F35:$U35))</f>
        <v/>
      </c>
      <c r="AO35" s="140">
        <f>IF($B35="","",SUMIF($W$13:$AL$13,"&lt;="&amp;Sector!$D$51,$W35:$AL35))</f>
        <v/>
      </c>
    </row>
    <row r="36">
      <c r="B36" s="5">
        <f>IF(AS51!$C$26="","",AS51!$C$26)</f>
        <v/>
      </c>
      <c r="C36" s="90">
        <f>IF(AS51!$B$26="","",AS51!$B$26)</f>
        <v/>
      </c>
      <c r="D36" s="138">
        <f>IFERROR(AS51!$Q$26,1)</f>
        <v/>
      </c>
      <c r="E36" s="139">
        <f>IF($B36="","",IF(ISNUMBER(AS51!$I$26),AS51!$I$26,'Index Summary'!$C$7))</f>
        <v/>
      </c>
      <c r="F36" s="140">
        <f>IF(F$13="","",IF($B36="","",IFERROR($C36*$D36*IF((Override!$C$4="ON")*(COUNTIFS(Override!$B$11:$B$40,$B36,Override!$D$11:$D$40,1,Override!$E$11:$E$40,"&gt;=0")-COUNTIFS(Override!$B$11:$B$40,$B36,Override!$D$11:$D$40,1,Override!$E$11:$E$40,"&gt;=0",Override!$C$11:$C$40,"MXAU"))&gt;0,SUMIFS(Override!$E$11:$E$40,Override!$B$11:$B$40,$B36,Override!$D$11:$D$40,1)-SUMIFS(Override!$E$11:$E$40,Override!$B$11:$B$40,$B36,Override!$D$11:$D$40,1,Override!$C$11:$C$40,"MXAU"),Override!$C$71)/AS51!$B$3,"")))</f>
        <v/>
      </c>
      <c r="G36" s="140">
        <f>IF(G$13="","",IF($B36="","",IFERROR($C36*$D36*IF((Override!$C$4="ON")*(COUNTIFS(Override!$B$11:$B$40,$B36,Override!$D$11:$D$40,2,Override!$E$11:$E$40,"&gt;=0")-COUNTIFS(Override!$B$11:$B$40,$B36,Override!$D$11:$D$40,2,Override!$E$11:$E$40,"&gt;=0",Override!$C$11:$C$40,"MXAU"))&gt;0,SUMIFS(Override!$E$11:$E$40,Override!$B$11:$B$40,$B36,Override!$D$11:$D$40,2)-SUMIFS(Override!$E$11:$E$40,Override!$B$11:$B$40,$B36,Override!$D$11:$D$40,2,Override!$C$11:$C$40,"MXAU"),Override!$D$71)/AS51!$B$3,"")))</f>
        <v/>
      </c>
      <c r="H36" s="140">
        <f>IF(H$13="","",IF($B36="","",IFERROR($C36*$D36*IF((Override!$C$4="ON")*(COUNTIFS(Override!$B$11:$B$40,$B36,Override!$D$11:$D$40,3,Override!$E$11:$E$40,"&gt;=0")-COUNTIFS(Override!$B$11:$B$40,$B36,Override!$D$11:$D$40,3,Override!$E$11:$E$40,"&gt;=0",Override!$C$11:$C$40,"MXAU"))&gt;0,SUMIFS(Override!$E$11:$E$40,Override!$B$11:$B$40,$B36,Override!$D$11:$D$40,3)-SUMIFS(Override!$E$11:$E$40,Override!$B$11:$B$40,$B36,Override!$D$11:$D$40,3,Override!$C$11:$C$40,"MXAU"),Override!$E$71)/AS51!$B$3,"")))</f>
        <v/>
      </c>
      <c r="I36" s="140">
        <f>IF(I$13="","",IF($B36="","",IFERROR($C36*$D36*IF((Override!$C$4="ON")*(COUNTIFS(Override!$B$11:$B$40,$B36,Override!$D$11:$D$40,4,Override!$E$11:$E$40,"&gt;=0")-COUNTIFS(Override!$B$11:$B$40,$B36,Override!$D$11:$D$40,4,Override!$E$11:$E$40,"&gt;=0",Override!$C$11:$C$40,"MXAU"))&gt;0,SUMIFS(Override!$E$11:$E$40,Override!$B$11:$B$40,$B36,Override!$D$11:$D$40,4)-SUMIFS(Override!$E$11:$E$40,Override!$B$11:$B$40,$B36,Override!$D$11:$D$40,4,Override!$C$11:$C$40,"MXAU"),Override!$F$71)/AS51!$B$3,"")))</f>
        <v/>
      </c>
      <c r="J36" s="140">
        <f>IF(J$13="","",IF($B36="","",IFERROR($C36*$D36*IF((Override!$C$4="ON")*(COUNTIFS(Override!$B$11:$B$40,$B36,Override!$D$11:$D$40,5,Override!$E$11:$E$40,"&gt;=0")-COUNTIFS(Override!$B$11:$B$40,$B36,Override!$D$11:$D$40,5,Override!$E$11:$E$40,"&gt;=0",Override!$C$11:$C$40,"MXAU"))&gt;0,SUMIFS(Override!$E$11:$E$40,Override!$B$11:$B$40,$B36,Override!$D$11:$D$40,5)-SUMIFS(Override!$E$11:$E$40,Override!$B$11:$B$40,$B36,Override!$D$11:$D$40,5,Override!$C$11:$C$40,"MXAU"),Override!$G$71)/AS51!$B$3,"")))</f>
        <v/>
      </c>
      <c r="K36" s="140">
        <f>IF(K$13="","",IF($B36="","",IFERROR($C36*$D36*IF((Override!$C$4="ON")*(COUNTIFS(Override!$B$11:$B$40,$B36,Override!$D$11:$D$40,6,Override!$E$11:$E$40,"&gt;=0")-COUNTIFS(Override!$B$11:$B$40,$B36,Override!$D$11:$D$40,6,Override!$E$11:$E$40,"&gt;=0",Override!$C$11:$C$40,"MXAU"))&gt;0,SUMIFS(Override!$E$11:$E$40,Override!$B$11:$B$40,$B36,Override!$D$11:$D$40,6)-SUMIFS(Override!$E$11:$E$40,Override!$B$11:$B$40,$B36,Override!$D$11:$D$40,6,Override!$C$11:$C$40,"MXAU"),Override!$H$71)/AS51!$B$3,"")))</f>
        <v/>
      </c>
      <c r="L36" s="140">
        <f>IF(L$13="","",IF($B36="","",IFERROR($C36*$D36*IF((Override!$C$4="ON")*(COUNTIFS(Override!$B$11:$B$40,$B36,Override!$D$11:$D$40,7,Override!$E$11:$E$40,"&gt;=0")-COUNTIFS(Override!$B$11:$B$40,$B36,Override!$D$11:$D$40,7,Override!$E$11:$E$40,"&gt;=0",Override!$C$11:$C$40,"MXAU"))&gt;0,SUMIFS(Override!$E$11:$E$40,Override!$B$11:$B$40,$B36,Override!$D$11:$D$40,7)-SUMIFS(Override!$E$11:$E$40,Override!$B$11:$B$40,$B36,Override!$D$11:$D$40,7,Override!$C$11:$C$40,"MXAU"),Override!$I$71)/AS51!$B$3,"")))</f>
        <v/>
      </c>
      <c r="M36" s="140">
        <f>IF(M$13="","",IF($B36="","",IFERROR($C36*$D36*IF((Override!$C$4="ON")*(COUNTIFS(Override!$B$11:$B$40,$B36,Override!$D$11:$D$40,8,Override!$E$11:$E$40,"&gt;=0")-COUNTIFS(Override!$B$11:$B$40,$B36,Override!$D$11:$D$40,8,Override!$E$11:$E$40,"&gt;=0",Override!$C$11:$C$40,"MXAU"))&gt;0,SUMIFS(Override!$E$11:$E$40,Override!$B$11:$B$40,$B36,Override!$D$11:$D$40,8)-SUMIFS(Override!$E$11:$E$40,Override!$B$11:$B$40,$B36,Override!$D$11:$D$40,8,Override!$C$11:$C$40,"MXAU"),Override!$J$71)/AS51!$B$3,"")))</f>
        <v/>
      </c>
      <c r="N36" s="140">
        <f>IF(N$13="","",IF($B36="","",IFERROR($C36*$D36*IF((Override!$C$4="ON")*(COUNTIFS(Override!$B$11:$B$40,$B36,Override!$D$11:$D$40,9,Override!$E$11:$E$40,"&gt;=0")-COUNTIFS(Override!$B$11:$B$40,$B36,Override!$D$11:$D$40,9,Override!$E$11:$E$40,"&gt;=0",Override!$C$11:$C$40,"MXAU"))&gt;0,SUMIFS(Override!$E$11:$E$40,Override!$B$11:$B$40,$B36,Override!$D$11:$D$40,9)-SUMIFS(Override!$E$11:$E$40,Override!$B$11:$B$40,$B36,Override!$D$11:$D$40,9,Override!$C$11:$C$40,"MXAU"),Override!$K$71)/AS51!$B$3,"")))</f>
        <v/>
      </c>
      <c r="O36" s="140">
        <f>IF(O$13="","",IF($B36="","",IFERROR($C36*$D36*IF((Override!$C$4="ON")*(COUNTIFS(Override!$B$11:$B$40,$B36,Override!$D$11:$D$40,10,Override!$E$11:$E$40,"&gt;=0")-COUNTIFS(Override!$B$11:$B$40,$B36,Override!$D$11:$D$40,10,Override!$E$11:$E$40,"&gt;=0",Override!$C$11:$C$40,"MXAU"))&gt;0,SUMIFS(Override!$E$11:$E$40,Override!$B$11:$B$40,$B36,Override!$D$11:$D$40,10)-SUMIFS(Override!$E$11:$E$40,Override!$B$11:$B$40,$B36,Override!$D$11:$D$40,10,Override!$C$11:$C$40,"MXAU"),Override!$L$71)/AS51!$B$3,"")))</f>
        <v/>
      </c>
      <c r="P36" s="140">
        <f>IF(P$13="","",IF($B36="","",IFERROR($C36*$D36*IF((Override!$C$4="ON")*(COUNTIFS(Override!$B$11:$B$40,$B36,Override!$D$11:$D$40,11,Override!$E$11:$E$40,"&gt;=0")-COUNTIFS(Override!$B$11:$B$40,$B36,Override!$D$11:$D$40,11,Override!$E$11:$E$40,"&gt;=0",Override!$C$11:$C$40,"MXAU"))&gt;0,SUMIFS(Override!$E$11:$E$40,Override!$B$11:$B$40,$B36,Override!$D$11:$D$40,11)-SUMIFS(Override!$E$11:$E$40,Override!$B$11:$B$40,$B36,Override!$D$11:$D$40,11,Override!$C$11:$C$40,"MXAU"),Override!$M$71)/AS51!$B$3,"")))</f>
        <v/>
      </c>
      <c r="Q36" s="140">
        <f>IF(Q$13="","",IF($B36="","",IFERROR($C36*$D36*IF((Override!$C$4="ON")*(COUNTIFS(Override!$B$11:$B$40,$B36,Override!$D$11:$D$40,12,Override!$E$11:$E$40,"&gt;=0")-COUNTIFS(Override!$B$11:$B$40,$B36,Override!$D$11:$D$40,12,Override!$E$11:$E$40,"&gt;=0",Override!$C$11:$C$40,"MXAU"))&gt;0,SUMIFS(Override!$E$11:$E$40,Override!$B$11:$B$40,$B36,Override!$D$11:$D$40,12)-SUMIFS(Override!$E$11:$E$40,Override!$B$11:$B$40,$B36,Override!$D$11:$D$40,12,Override!$C$11:$C$40,"MXAU"),Override!$N$71)/AS51!$B$3,"")))</f>
        <v/>
      </c>
      <c r="R36" s="140">
        <f>IF(R$13="","",IF($B36="","",IFERROR($C36*$D36*IF((Override!$C$4="ON")*(COUNTIFS(Override!$B$11:$B$40,$B36,Override!$D$11:$D$40,13,Override!$E$11:$E$40,"&gt;=0")-COUNTIFS(Override!$B$11:$B$40,$B36,Override!$D$11:$D$40,13,Override!$E$11:$E$40,"&gt;=0",Override!$C$11:$C$40,"MXAU"))&gt;0,SUMIFS(Override!$E$11:$E$40,Override!$B$11:$B$40,$B36,Override!$D$11:$D$40,13)-SUMIFS(Override!$E$11:$E$40,Override!$B$11:$B$40,$B36,Override!$D$11:$D$40,13,Override!$C$11:$C$40,"MXAU"),Override!$O$71)/AS51!$B$3,"")))</f>
        <v/>
      </c>
      <c r="S36" s="140">
        <f>IF(S$13="","",IF($B36="","",IFERROR($C36*$D36*IF((Override!$C$4="ON")*(COUNTIFS(Override!$B$11:$B$40,$B36,Override!$D$11:$D$40,14,Override!$E$11:$E$40,"&gt;=0")-COUNTIFS(Override!$B$11:$B$40,$B36,Override!$D$11:$D$40,14,Override!$E$11:$E$40,"&gt;=0",Override!$C$11:$C$40,"MXAU"))&gt;0,SUMIFS(Override!$E$11:$E$40,Override!$B$11:$B$40,$B36,Override!$D$11:$D$40,14)-SUMIFS(Override!$E$11:$E$40,Override!$B$11:$B$40,$B36,Override!$D$11:$D$40,14,Override!$C$11:$C$40,"MXAU"),Override!$P$71)/AS51!$B$3,"")))</f>
        <v/>
      </c>
      <c r="T36" s="140">
        <f>IF(T$13="","",IF($B36="","",IFERROR($C36*$D36*IF((Override!$C$4="ON")*(COUNTIFS(Override!$B$11:$B$40,$B36,Override!$D$11:$D$40,15,Override!$E$11:$E$40,"&gt;=0")-COUNTIFS(Override!$B$11:$B$40,$B36,Override!$D$11:$D$40,15,Override!$E$11:$E$40,"&gt;=0",Override!$C$11:$C$40,"MXAU"))&gt;0,SUMIFS(Override!$E$11:$E$40,Override!$B$11:$B$40,$B36,Override!$D$11:$D$40,15)-SUMIFS(Override!$E$11:$E$40,Override!$B$11:$B$40,$B36,Override!$D$11:$D$40,15,Override!$C$11:$C$40,"MXAU"),Override!$Q$71)/AS51!$B$3,"")))</f>
        <v/>
      </c>
      <c r="U36" s="140">
        <f>IF(U$13="","",IF($B36="","",IFERROR($C36*$D36*IF((Override!$C$4="ON")*(COUNTIFS(Override!$B$11:$B$40,$B36,Override!$D$11:$D$40,16,Override!$E$11:$E$40,"&gt;=0")-COUNTIFS(Override!$B$11:$B$40,$B36,Override!$D$11:$D$40,16,Override!$E$11:$E$40,"&gt;=0",Override!$C$11:$C$40,"MXAU"))&gt;0,SUMIFS(Override!$E$11:$E$40,Override!$B$11:$B$40,$B36,Override!$D$11:$D$40,16)-SUMIFS(Override!$E$11:$E$40,Override!$B$11:$B$40,$B36,Override!$D$11:$D$40,16,Override!$C$11:$C$40,"MXAU"),Override!$R$71)/AS51!$B$3,"")))</f>
        <v/>
      </c>
      <c r="W36" s="140">
        <f>IF(W$13="","",IF($B36="","",IFERROR(F36*$E36/100,"")))</f>
        <v/>
      </c>
      <c r="X36" s="140">
        <f>IF(X$13="","",IF($B36="","",IFERROR(G36*$E36/100,"")))</f>
        <v/>
      </c>
      <c r="Y36" s="140">
        <f>IF(Y$13="","",IF($B36="","",IFERROR(H36*$E36/100,"")))</f>
        <v/>
      </c>
      <c r="Z36" s="140">
        <f>IF(Z$13="","",IF($B36="","",IFERROR(I36*$E36/100,"")))</f>
        <v/>
      </c>
      <c r="AA36" s="140">
        <f>IF(AA$13="","",IF($B36="","",IFERROR(J36*$E36/100,"")))</f>
        <v/>
      </c>
      <c r="AB36" s="140">
        <f>IF(AB$13="","",IF($B36="","",IFERROR(K36*$E36/100,"")))</f>
        <v/>
      </c>
      <c r="AC36" s="140">
        <f>IF(AC$13="","",IF($B36="","",IFERROR(L36*$E36/100,"")))</f>
        <v/>
      </c>
      <c r="AD36" s="140">
        <f>IF(AD$13="","",IF($B36="","",IFERROR(M36*$E36/100,"")))</f>
        <v/>
      </c>
      <c r="AE36" s="140">
        <f>IF(AE$13="","",IF($B36="","",IFERROR(N36*$E36/100,"")))</f>
        <v/>
      </c>
      <c r="AF36" s="140">
        <f>IF(AF$13="","",IF($B36="","",IFERROR(O36*$E36/100,"")))</f>
        <v/>
      </c>
      <c r="AG36" s="140">
        <f>IF(AG$13="","",IF($B36="","",IFERROR(P36*$E36/100,"")))</f>
        <v/>
      </c>
      <c r="AH36" s="140">
        <f>IF(AH$13="","",IF($B36="","",IFERROR(Q36*$E36/100,"")))</f>
        <v/>
      </c>
      <c r="AI36" s="140">
        <f>IF(AI$13="","",IF($B36="","",IFERROR(R36*$E36/100,"")))</f>
        <v/>
      </c>
      <c r="AJ36" s="140">
        <f>IF(AJ$13="","",IF($B36="","",IFERROR(S36*$E36/100,"")))</f>
        <v/>
      </c>
      <c r="AK36" s="140">
        <f>IF(AK$13="","",IF($B36="","",IFERROR(T36*$E36/100,"")))</f>
        <v/>
      </c>
      <c r="AL36" s="140">
        <f>IF(AL$13="","",IF($B36="","",IFERROR(U36*$E36/100,"")))</f>
        <v/>
      </c>
      <c r="AN36" s="140">
        <f>IF($B36="","",SUMIF($F$13:$U$13,"&lt;="&amp;Sector!$D$51,$F36:$U36))</f>
        <v/>
      </c>
      <c r="AO36" s="140">
        <f>IF($B36="","",SUMIF($W$13:$AL$13,"&lt;="&amp;Sector!$D$51,$W36:$AL36))</f>
        <v/>
      </c>
    </row>
    <row r="37">
      <c r="B37" s="5">
        <f>IF(AS51!$C$27="","",AS51!$C$27)</f>
        <v/>
      </c>
      <c r="C37" s="90">
        <f>IF(AS51!$B$27="","",AS51!$B$27)</f>
        <v/>
      </c>
      <c r="D37" s="138">
        <f>IFERROR(AS51!$Q$27,1)</f>
        <v/>
      </c>
      <c r="E37" s="139">
        <f>IF($B37="","",IF(ISNUMBER(AS51!$I$27),AS51!$I$27,'Index Summary'!$C$7))</f>
        <v/>
      </c>
      <c r="F37" s="140">
        <f>IF(F$13="","",IF($B37="","",IFERROR($C37*$D37*IF((Override!$C$4="ON")*(COUNTIFS(Override!$B$11:$B$40,$B37,Override!$D$11:$D$40,1,Override!$E$11:$E$40,"&gt;=0")-COUNTIFS(Override!$B$11:$B$40,$B37,Override!$D$11:$D$40,1,Override!$E$11:$E$40,"&gt;=0",Override!$C$11:$C$40,"MXAU"))&gt;0,SUMIFS(Override!$E$11:$E$40,Override!$B$11:$B$40,$B37,Override!$D$11:$D$40,1)-SUMIFS(Override!$E$11:$E$40,Override!$B$11:$B$40,$B37,Override!$D$11:$D$40,1,Override!$C$11:$C$40,"MXAU"),Override!$C$72)/AS51!$B$3,"")))</f>
        <v/>
      </c>
      <c r="G37" s="140">
        <f>IF(G$13="","",IF($B37="","",IFERROR($C37*$D37*IF((Override!$C$4="ON")*(COUNTIFS(Override!$B$11:$B$40,$B37,Override!$D$11:$D$40,2,Override!$E$11:$E$40,"&gt;=0")-COUNTIFS(Override!$B$11:$B$40,$B37,Override!$D$11:$D$40,2,Override!$E$11:$E$40,"&gt;=0",Override!$C$11:$C$40,"MXAU"))&gt;0,SUMIFS(Override!$E$11:$E$40,Override!$B$11:$B$40,$B37,Override!$D$11:$D$40,2)-SUMIFS(Override!$E$11:$E$40,Override!$B$11:$B$40,$B37,Override!$D$11:$D$40,2,Override!$C$11:$C$40,"MXAU"),Override!$D$72)/AS51!$B$3,"")))</f>
        <v/>
      </c>
      <c r="H37" s="140">
        <f>IF(H$13="","",IF($B37="","",IFERROR($C37*$D37*IF((Override!$C$4="ON")*(COUNTIFS(Override!$B$11:$B$40,$B37,Override!$D$11:$D$40,3,Override!$E$11:$E$40,"&gt;=0")-COUNTIFS(Override!$B$11:$B$40,$B37,Override!$D$11:$D$40,3,Override!$E$11:$E$40,"&gt;=0",Override!$C$11:$C$40,"MXAU"))&gt;0,SUMIFS(Override!$E$11:$E$40,Override!$B$11:$B$40,$B37,Override!$D$11:$D$40,3)-SUMIFS(Override!$E$11:$E$40,Override!$B$11:$B$40,$B37,Override!$D$11:$D$40,3,Override!$C$11:$C$40,"MXAU"),Override!$E$72)/AS51!$B$3,"")))</f>
        <v/>
      </c>
      <c r="I37" s="140">
        <f>IF(I$13="","",IF($B37="","",IFERROR($C37*$D37*IF((Override!$C$4="ON")*(COUNTIFS(Override!$B$11:$B$40,$B37,Override!$D$11:$D$40,4,Override!$E$11:$E$40,"&gt;=0")-COUNTIFS(Override!$B$11:$B$40,$B37,Override!$D$11:$D$40,4,Override!$E$11:$E$40,"&gt;=0",Override!$C$11:$C$40,"MXAU"))&gt;0,SUMIFS(Override!$E$11:$E$40,Override!$B$11:$B$40,$B37,Override!$D$11:$D$40,4)-SUMIFS(Override!$E$11:$E$40,Override!$B$11:$B$40,$B37,Override!$D$11:$D$40,4,Override!$C$11:$C$40,"MXAU"),Override!$F$72)/AS51!$B$3,"")))</f>
        <v/>
      </c>
      <c r="J37" s="140">
        <f>IF(J$13="","",IF($B37="","",IFERROR($C37*$D37*IF((Override!$C$4="ON")*(COUNTIFS(Override!$B$11:$B$40,$B37,Override!$D$11:$D$40,5,Override!$E$11:$E$40,"&gt;=0")-COUNTIFS(Override!$B$11:$B$40,$B37,Override!$D$11:$D$40,5,Override!$E$11:$E$40,"&gt;=0",Override!$C$11:$C$40,"MXAU"))&gt;0,SUMIFS(Override!$E$11:$E$40,Override!$B$11:$B$40,$B37,Override!$D$11:$D$40,5)-SUMIFS(Override!$E$11:$E$40,Override!$B$11:$B$40,$B37,Override!$D$11:$D$40,5,Override!$C$11:$C$40,"MXAU"),Override!$G$72)/AS51!$B$3,"")))</f>
        <v/>
      </c>
      <c r="K37" s="140">
        <f>IF(K$13="","",IF($B37="","",IFERROR($C37*$D37*IF((Override!$C$4="ON")*(COUNTIFS(Override!$B$11:$B$40,$B37,Override!$D$11:$D$40,6,Override!$E$11:$E$40,"&gt;=0")-COUNTIFS(Override!$B$11:$B$40,$B37,Override!$D$11:$D$40,6,Override!$E$11:$E$40,"&gt;=0",Override!$C$11:$C$40,"MXAU"))&gt;0,SUMIFS(Override!$E$11:$E$40,Override!$B$11:$B$40,$B37,Override!$D$11:$D$40,6)-SUMIFS(Override!$E$11:$E$40,Override!$B$11:$B$40,$B37,Override!$D$11:$D$40,6,Override!$C$11:$C$40,"MXAU"),Override!$H$72)/AS51!$B$3,"")))</f>
        <v/>
      </c>
      <c r="L37" s="140">
        <f>IF(L$13="","",IF($B37="","",IFERROR($C37*$D37*IF((Override!$C$4="ON")*(COUNTIFS(Override!$B$11:$B$40,$B37,Override!$D$11:$D$40,7,Override!$E$11:$E$40,"&gt;=0")-COUNTIFS(Override!$B$11:$B$40,$B37,Override!$D$11:$D$40,7,Override!$E$11:$E$40,"&gt;=0",Override!$C$11:$C$40,"MXAU"))&gt;0,SUMIFS(Override!$E$11:$E$40,Override!$B$11:$B$40,$B37,Override!$D$11:$D$40,7)-SUMIFS(Override!$E$11:$E$40,Override!$B$11:$B$40,$B37,Override!$D$11:$D$40,7,Override!$C$11:$C$40,"MXAU"),Override!$I$72)/AS51!$B$3,"")))</f>
        <v/>
      </c>
      <c r="M37" s="140">
        <f>IF(M$13="","",IF($B37="","",IFERROR($C37*$D37*IF((Override!$C$4="ON")*(COUNTIFS(Override!$B$11:$B$40,$B37,Override!$D$11:$D$40,8,Override!$E$11:$E$40,"&gt;=0")-COUNTIFS(Override!$B$11:$B$40,$B37,Override!$D$11:$D$40,8,Override!$E$11:$E$40,"&gt;=0",Override!$C$11:$C$40,"MXAU"))&gt;0,SUMIFS(Override!$E$11:$E$40,Override!$B$11:$B$40,$B37,Override!$D$11:$D$40,8)-SUMIFS(Override!$E$11:$E$40,Override!$B$11:$B$40,$B37,Override!$D$11:$D$40,8,Override!$C$11:$C$40,"MXAU"),Override!$J$72)/AS51!$B$3,"")))</f>
        <v/>
      </c>
      <c r="N37" s="140">
        <f>IF(N$13="","",IF($B37="","",IFERROR($C37*$D37*IF((Override!$C$4="ON")*(COUNTIFS(Override!$B$11:$B$40,$B37,Override!$D$11:$D$40,9,Override!$E$11:$E$40,"&gt;=0")-COUNTIFS(Override!$B$11:$B$40,$B37,Override!$D$11:$D$40,9,Override!$E$11:$E$40,"&gt;=0",Override!$C$11:$C$40,"MXAU"))&gt;0,SUMIFS(Override!$E$11:$E$40,Override!$B$11:$B$40,$B37,Override!$D$11:$D$40,9)-SUMIFS(Override!$E$11:$E$40,Override!$B$11:$B$40,$B37,Override!$D$11:$D$40,9,Override!$C$11:$C$40,"MXAU"),Override!$K$72)/AS51!$B$3,"")))</f>
        <v/>
      </c>
      <c r="O37" s="140">
        <f>IF(O$13="","",IF($B37="","",IFERROR($C37*$D37*IF((Override!$C$4="ON")*(COUNTIFS(Override!$B$11:$B$40,$B37,Override!$D$11:$D$40,10,Override!$E$11:$E$40,"&gt;=0")-COUNTIFS(Override!$B$11:$B$40,$B37,Override!$D$11:$D$40,10,Override!$E$11:$E$40,"&gt;=0",Override!$C$11:$C$40,"MXAU"))&gt;0,SUMIFS(Override!$E$11:$E$40,Override!$B$11:$B$40,$B37,Override!$D$11:$D$40,10)-SUMIFS(Override!$E$11:$E$40,Override!$B$11:$B$40,$B37,Override!$D$11:$D$40,10,Override!$C$11:$C$40,"MXAU"),Override!$L$72)/AS51!$B$3,"")))</f>
        <v/>
      </c>
      <c r="P37" s="140">
        <f>IF(P$13="","",IF($B37="","",IFERROR($C37*$D37*IF((Override!$C$4="ON")*(COUNTIFS(Override!$B$11:$B$40,$B37,Override!$D$11:$D$40,11,Override!$E$11:$E$40,"&gt;=0")-COUNTIFS(Override!$B$11:$B$40,$B37,Override!$D$11:$D$40,11,Override!$E$11:$E$40,"&gt;=0",Override!$C$11:$C$40,"MXAU"))&gt;0,SUMIFS(Override!$E$11:$E$40,Override!$B$11:$B$40,$B37,Override!$D$11:$D$40,11)-SUMIFS(Override!$E$11:$E$40,Override!$B$11:$B$40,$B37,Override!$D$11:$D$40,11,Override!$C$11:$C$40,"MXAU"),Override!$M$72)/AS51!$B$3,"")))</f>
        <v/>
      </c>
      <c r="Q37" s="140">
        <f>IF(Q$13="","",IF($B37="","",IFERROR($C37*$D37*IF((Override!$C$4="ON")*(COUNTIFS(Override!$B$11:$B$40,$B37,Override!$D$11:$D$40,12,Override!$E$11:$E$40,"&gt;=0")-COUNTIFS(Override!$B$11:$B$40,$B37,Override!$D$11:$D$40,12,Override!$E$11:$E$40,"&gt;=0",Override!$C$11:$C$40,"MXAU"))&gt;0,SUMIFS(Override!$E$11:$E$40,Override!$B$11:$B$40,$B37,Override!$D$11:$D$40,12)-SUMIFS(Override!$E$11:$E$40,Override!$B$11:$B$40,$B37,Override!$D$11:$D$40,12,Override!$C$11:$C$40,"MXAU"),Override!$N$72)/AS51!$B$3,"")))</f>
        <v/>
      </c>
      <c r="R37" s="140">
        <f>IF(R$13="","",IF($B37="","",IFERROR($C37*$D37*IF((Override!$C$4="ON")*(COUNTIFS(Override!$B$11:$B$40,$B37,Override!$D$11:$D$40,13,Override!$E$11:$E$40,"&gt;=0")-COUNTIFS(Override!$B$11:$B$40,$B37,Override!$D$11:$D$40,13,Override!$E$11:$E$40,"&gt;=0",Override!$C$11:$C$40,"MXAU"))&gt;0,SUMIFS(Override!$E$11:$E$40,Override!$B$11:$B$40,$B37,Override!$D$11:$D$40,13)-SUMIFS(Override!$E$11:$E$40,Override!$B$11:$B$40,$B37,Override!$D$11:$D$40,13,Override!$C$11:$C$40,"MXAU"),Override!$O$72)/AS51!$B$3,"")))</f>
        <v/>
      </c>
      <c r="S37" s="140">
        <f>IF(S$13="","",IF($B37="","",IFERROR($C37*$D37*IF((Override!$C$4="ON")*(COUNTIFS(Override!$B$11:$B$40,$B37,Override!$D$11:$D$40,14,Override!$E$11:$E$40,"&gt;=0")-COUNTIFS(Override!$B$11:$B$40,$B37,Override!$D$11:$D$40,14,Override!$E$11:$E$40,"&gt;=0",Override!$C$11:$C$40,"MXAU"))&gt;0,SUMIFS(Override!$E$11:$E$40,Override!$B$11:$B$40,$B37,Override!$D$11:$D$40,14)-SUMIFS(Override!$E$11:$E$40,Override!$B$11:$B$40,$B37,Override!$D$11:$D$40,14,Override!$C$11:$C$40,"MXAU"),Override!$P$72)/AS51!$B$3,"")))</f>
        <v/>
      </c>
      <c r="T37" s="140">
        <f>IF(T$13="","",IF($B37="","",IFERROR($C37*$D37*IF((Override!$C$4="ON")*(COUNTIFS(Override!$B$11:$B$40,$B37,Override!$D$11:$D$40,15,Override!$E$11:$E$40,"&gt;=0")-COUNTIFS(Override!$B$11:$B$40,$B37,Override!$D$11:$D$40,15,Override!$E$11:$E$40,"&gt;=0",Override!$C$11:$C$40,"MXAU"))&gt;0,SUMIFS(Override!$E$11:$E$40,Override!$B$11:$B$40,$B37,Override!$D$11:$D$40,15)-SUMIFS(Override!$E$11:$E$40,Override!$B$11:$B$40,$B37,Override!$D$11:$D$40,15,Override!$C$11:$C$40,"MXAU"),Override!$Q$72)/AS51!$B$3,"")))</f>
        <v/>
      </c>
      <c r="U37" s="140">
        <f>IF(U$13="","",IF($B37="","",IFERROR($C37*$D37*IF((Override!$C$4="ON")*(COUNTIFS(Override!$B$11:$B$40,$B37,Override!$D$11:$D$40,16,Override!$E$11:$E$40,"&gt;=0")-COUNTIFS(Override!$B$11:$B$40,$B37,Override!$D$11:$D$40,16,Override!$E$11:$E$40,"&gt;=0",Override!$C$11:$C$40,"MXAU"))&gt;0,SUMIFS(Override!$E$11:$E$40,Override!$B$11:$B$40,$B37,Override!$D$11:$D$40,16)-SUMIFS(Override!$E$11:$E$40,Override!$B$11:$B$40,$B37,Override!$D$11:$D$40,16,Override!$C$11:$C$40,"MXAU"),Override!$R$72)/AS51!$B$3,"")))</f>
        <v/>
      </c>
      <c r="W37" s="140">
        <f>IF(W$13="","",IF($B37="","",IFERROR(F37*$E37/100,"")))</f>
        <v/>
      </c>
      <c r="X37" s="140">
        <f>IF(X$13="","",IF($B37="","",IFERROR(G37*$E37/100,"")))</f>
        <v/>
      </c>
      <c r="Y37" s="140">
        <f>IF(Y$13="","",IF($B37="","",IFERROR(H37*$E37/100,"")))</f>
        <v/>
      </c>
      <c r="Z37" s="140">
        <f>IF(Z$13="","",IF($B37="","",IFERROR(I37*$E37/100,"")))</f>
        <v/>
      </c>
      <c r="AA37" s="140">
        <f>IF(AA$13="","",IF($B37="","",IFERROR(J37*$E37/100,"")))</f>
        <v/>
      </c>
      <c r="AB37" s="140">
        <f>IF(AB$13="","",IF($B37="","",IFERROR(K37*$E37/100,"")))</f>
        <v/>
      </c>
      <c r="AC37" s="140">
        <f>IF(AC$13="","",IF($B37="","",IFERROR(L37*$E37/100,"")))</f>
        <v/>
      </c>
      <c r="AD37" s="140">
        <f>IF(AD$13="","",IF($B37="","",IFERROR(M37*$E37/100,"")))</f>
        <v/>
      </c>
      <c r="AE37" s="140">
        <f>IF(AE$13="","",IF($B37="","",IFERROR(N37*$E37/100,"")))</f>
        <v/>
      </c>
      <c r="AF37" s="140">
        <f>IF(AF$13="","",IF($B37="","",IFERROR(O37*$E37/100,"")))</f>
        <v/>
      </c>
      <c r="AG37" s="140">
        <f>IF(AG$13="","",IF($B37="","",IFERROR(P37*$E37/100,"")))</f>
        <v/>
      </c>
      <c r="AH37" s="140">
        <f>IF(AH$13="","",IF($B37="","",IFERROR(Q37*$E37/100,"")))</f>
        <v/>
      </c>
      <c r="AI37" s="140">
        <f>IF(AI$13="","",IF($B37="","",IFERROR(R37*$E37/100,"")))</f>
        <v/>
      </c>
      <c r="AJ37" s="140">
        <f>IF(AJ$13="","",IF($B37="","",IFERROR(S37*$E37/100,"")))</f>
        <v/>
      </c>
      <c r="AK37" s="140">
        <f>IF(AK$13="","",IF($B37="","",IFERROR(T37*$E37/100,"")))</f>
        <v/>
      </c>
      <c r="AL37" s="140">
        <f>IF(AL$13="","",IF($B37="","",IFERROR(U37*$E37/100,"")))</f>
        <v/>
      </c>
      <c r="AN37" s="140">
        <f>IF($B37="","",SUMIF($F$13:$U$13,"&lt;="&amp;Sector!$D$51,$F37:$U37))</f>
        <v/>
      </c>
      <c r="AO37" s="140">
        <f>IF($B37="","",SUMIF($W$13:$AL$13,"&lt;="&amp;Sector!$D$51,$W37:$AL37))</f>
        <v/>
      </c>
    </row>
    <row r="38">
      <c r="B38" s="5">
        <f>IF(AS51!$C$28="","",AS51!$C$28)</f>
        <v/>
      </c>
      <c r="C38" s="90">
        <f>IF(AS51!$B$28="","",AS51!$B$28)</f>
        <v/>
      </c>
      <c r="D38" s="138">
        <f>IFERROR(AS51!$Q$28,1)</f>
        <v/>
      </c>
      <c r="E38" s="139">
        <f>IF($B38="","",IF(ISNUMBER(AS51!$I$28),AS51!$I$28,'Index Summary'!$C$7))</f>
        <v/>
      </c>
      <c r="F38" s="140">
        <f>IF(F$13="","",IF($B38="","",IFERROR($C38*$D38*IF((Override!$C$4="ON")*(COUNTIFS(Override!$B$11:$B$40,$B38,Override!$D$11:$D$40,1,Override!$E$11:$E$40,"&gt;=0")-COUNTIFS(Override!$B$11:$B$40,$B38,Override!$D$11:$D$40,1,Override!$E$11:$E$40,"&gt;=0",Override!$C$11:$C$40,"MXAU"))&gt;0,SUMIFS(Override!$E$11:$E$40,Override!$B$11:$B$40,$B38,Override!$D$11:$D$40,1)-SUMIFS(Override!$E$11:$E$40,Override!$B$11:$B$40,$B38,Override!$D$11:$D$40,1,Override!$C$11:$C$40,"MXAU"),Override!$C$73)/AS51!$B$3,"")))</f>
        <v/>
      </c>
      <c r="G38" s="140">
        <f>IF(G$13="","",IF($B38="","",IFERROR($C38*$D38*IF((Override!$C$4="ON")*(COUNTIFS(Override!$B$11:$B$40,$B38,Override!$D$11:$D$40,2,Override!$E$11:$E$40,"&gt;=0")-COUNTIFS(Override!$B$11:$B$40,$B38,Override!$D$11:$D$40,2,Override!$E$11:$E$40,"&gt;=0",Override!$C$11:$C$40,"MXAU"))&gt;0,SUMIFS(Override!$E$11:$E$40,Override!$B$11:$B$40,$B38,Override!$D$11:$D$40,2)-SUMIFS(Override!$E$11:$E$40,Override!$B$11:$B$40,$B38,Override!$D$11:$D$40,2,Override!$C$11:$C$40,"MXAU"),Override!$D$73)/AS51!$B$3,"")))</f>
        <v/>
      </c>
      <c r="H38" s="140">
        <f>IF(H$13="","",IF($B38="","",IFERROR($C38*$D38*IF((Override!$C$4="ON")*(COUNTIFS(Override!$B$11:$B$40,$B38,Override!$D$11:$D$40,3,Override!$E$11:$E$40,"&gt;=0")-COUNTIFS(Override!$B$11:$B$40,$B38,Override!$D$11:$D$40,3,Override!$E$11:$E$40,"&gt;=0",Override!$C$11:$C$40,"MXAU"))&gt;0,SUMIFS(Override!$E$11:$E$40,Override!$B$11:$B$40,$B38,Override!$D$11:$D$40,3)-SUMIFS(Override!$E$11:$E$40,Override!$B$11:$B$40,$B38,Override!$D$11:$D$40,3,Override!$C$11:$C$40,"MXAU"),Override!$E$73)/AS51!$B$3,"")))</f>
        <v/>
      </c>
      <c r="I38" s="140">
        <f>IF(I$13="","",IF($B38="","",IFERROR($C38*$D38*IF((Override!$C$4="ON")*(COUNTIFS(Override!$B$11:$B$40,$B38,Override!$D$11:$D$40,4,Override!$E$11:$E$40,"&gt;=0")-COUNTIFS(Override!$B$11:$B$40,$B38,Override!$D$11:$D$40,4,Override!$E$11:$E$40,"&gt;=0",Override!$C$11:$C$40,"MXAU"))&gt;0,SUMIFS(Override!$E$11:$E$40,Override!$B$11:$B$40,$B38,Override!$D$11:$D$40,4)-SUMIFS(Override!$E$11:$E$40,Override!$B$11:$B$40,$B38,Override!$D$11:$D$40,4,Override!$C$11:$C$40,"MXAU"),Override!$F$73)/AS51!$B$3,"")))</f>
        <v/>
      </c>
      <c r="J38" s="140">
        <f>IF(J$13="","",IF($B38="","",IFERROR($C38*$D38*IF((Override!$C$4="ON")*(COUNTIFS(Override!$B$11:$B$40,$B38,Override!$D$11:$D$40,5,Override!$E$11:$E$40,"&gt;=0")-COUNTIFS(Override!$B$11:$B$40,$B38,Override!$D$11:$D$40,5,Override!$E$11:$E$40,"&gt;=0",Override!$C$11:$C$40,"MXAU"))&gt;0,SUMIFS(Override!$E$11:$E$40,Override!$B$11:$B$40,$B38,Override!$D$11:$D$40,5)-SUMIFS(Override!$E$11:$E$40,Override!$B$11:$B$40,$B38,Override!$D$11:$D$40,5,Override!$C$11:$C$40,"MXAU"),Override!$G$73)/AS51!$B$3,"")))</f>
        <v/>
      </c>
      <c r="K38" s="140">
        <f>IF(K$13="","",IF($B38="","",IFERROR($C38*$D38*IF((Override!$C$4="ON")*(COUNTIFS(Override!$B$11:$B$40,$B38,Override!$D$11:$D$40,6,Override!$E$11:$E$40,"&gt;=0")-COUNTIFS(Override!$B$11:$B$40,$B38,Override!$D$11:$D$40,6,Override!$E$11:$E$40,"&gt;=0",Override!$C$11:$C$40,"MXAU"))&gt;0,SUMIFS(Override!$E$11:$E$40,Override!$B$11:$B$40,$B38,Override!$D$11:$D$40,6)-SUMIFS(Override!$E$11:$E$40,Override!$B$11:$B$40,$B38,Override!$D$11:$D$40,6,Override!$C$11:$C$40,"MXAU"),Override!$H$73)/AS51!$B$3,"")))</f>
        <v/>
      </c>
      <c r="L38" s="140">
        <f>IF(L$13="","",IF($B38="","",IFERROR($C38*$D38*IF((Override!$C$4="ON")*(COUNTIFS(Override!$B$11:$B$40,$B38,Override!$D$11:$D$40,7,Override!$E$11:$E$40,"&gt;=0")-COUNTIFS(Override!$B$11:$B$40,$B38,Override!$D$11:$D$40,7,Override!$E$11:$E$40,"&gt;=0",Override!$C$11:$C$40,"MXAU"))&gt;0,SUMIFS(Override!$E$11:$E$40,Override!$B$11:$B$40,$B38,Override!$D$11:$D$40,7)-SUMIFS(Override!$E$11:$E$40,Override!$B$11:$B$40,$B38,Override!$D$11:$D$40,7,Override!$C$11:$C$40,"MXAU"),Override!$I$73)/AS51!$B$3,"")))</f>
        <v/>
      </c>
      <c r="M38" s="140">
        <f>IF(M$13="","",IF($B38="","",IFERROR($C38*$D38*IF((Override!$C$4="ON")*(COUNTIFS(Override!$B$11:$B$40,$B38,Override!$D$11:$D$40,8,Override!$E$11:$E$40,"&gt;=0")-COUNTIFS(Override!$B$11:$B$40,$B38,Override!$D$11:$D$40,8,Override!$E$11:$E$40,"&gt;=0",Override!$C$11:$C$40,"MXAU"))&gt;0,SUMIFS(Override!$E$11:$E$40,Override!$B$11:$B$40,$B38,Override!$D$11:$D$40,8)-SUMIFS(Override!$E$11:$E$40,Override!$B$11:$B$40,$B38,Override!$D$11:$D$40,8,Override!$C$11:$C$40,"MXAU"),Override!$J$73)/AS51!$B$3,"")))</f>
        <v/>
      </c>
      <c r="N38" s="140">
        <f>IF(N$13="","",IF($B38="","",IFERROR($C38*$D38*IF((Override!$C$4="ON")*(COUNTIFS(Override!$B$11:$B$40,$B38,Override!$D$11:$D$40,9,Override!$E$11:$E$40,"&gt;=0")-COUNTIFS(Override!$B$11:$B$40,$B38,Override!$D$11:$D$40,9,Override!$E$11:$E$40,"&gt;=0",Override!$C$11:$C$40,"MXAU"))&gt;0,SUMIFS(Override!$E$11:$E$40,Override!$B$11:$B$40,$B38,Override!$D$11:$D$40,9)-SUMIFS(Override!$E$11:$E$40,Override!$B$11:$B$40,$B38,Override!$D$11:$D$40,9,Override!$C$11:$C$40,"MXAU"),Override!$K$73)/AS51!$B$3,"")))</f>
        <v/>
      </c>
      <c r="O38" s="140">
        <f>IF(O$13="","",IF($B38="","",IFERROR($C38*$D38*IF((Override!$C$4="ON")*(COUNTIFS(Override!$B$11:$B$40,$B38,Override!$D$11:$D$40,10,Override!$E$11:$E$40,"&gt;=0")-COUNTIFS(Override!$B$11:$B$40,$B38,Override!$D$11:$D$40,10,Override!$E$11:$E$40,"&gt;=0",Override!$C$11:$C$40,"MXAU"))&gt;0,SUMIFS(Override!$E$11:$E$40,Override!$B$11:$B$40,$B38,Override!$D$11:$D$40,10)-SUMIFS(Override!$E$11:$E$40,Override!$B$11:$B$40,$B38,Override!$D$11:$D$40,10,Override!$C$11:$C$40,"MXAU"),Override!$L$73)/AS51!$B$3,"")))</f>
        <v/>
      </c>
      <c r="P38" s="140">
        <f>IF(P$13="","",IF($B38="","",IFERROR($C38*$D38*IF((Override!$C$4="ON")*(COUNTIFS(Override!$B$11:$B$40,$B38,Override!$D$11:$D$40,11,Override!$E$11:$E$40,"&gt;=0")-COUNTIFS(Override!$B$11:$B$40,$B38,Override!$D$11:$D$40,11,Override!$E$11:$E$40,"&gt;=0",Override!$C$11:$C$40,"MXAU"))&gt;0,SUMIFS(Override!$E$11:$E$40,Override!$B$11:$B$40,$B38,Override!$D$11:$D$40,11)-SUMIFS(Override!$E$11:$E$40,Override!$B$11:$B$40,$B38,Override!$D$11:$D$40,11,Override!$C$11:$C$40,"MXAU"),Override!$M$73)/AS51!$B$3,"")))</f>
        <v/>
      </c>
      <c r="Q38" s="140">
        <f>IF(Q$13="","",IF($B38="","",IFERROR($C38*$D38*IF((Override!$C$4="ON")*(COUNTIFS(Override!$B$11:$B$40,$B38,Override!$D$11:$D$40,12,Override!$E$11:$E$40,"&gt;=0")-COUNTIFS(Override!$B$11:$B$40,$B38,Override!$D$11:$D$40,12,Override!$E$11:$E$40,"&gt;=0",Override!$C$11:$C$40,"MXAU"))&gt;0,SUMIFS(Override!$E$11:$E$40,Override!$B$11:$B$40,$B38,Override!$D$11:$D$40,12)-SUMIFS(Override!$E$11:$E$40,Override!$B$11:$B$40,$B38,Override!$D$11:$D$40,12,Override!$C$11:$C$40,"MXAU"),Override!$N$73)/AS51!$B$3,"")))</f>
        <v/>
      </c>
      <c r="R38" s="140">
        <f>IF(R$13="","",IF($B38="","",IFERROR($C38*$D38*IF((Override!$C$4="ON")*(COUNTIFS(Override!$B$11:$B$40,$B38,Override!$D$11:$D$40,13,Override!$E$11:$E$40,"&gt;=0")-COUNTIFS(Override!$B$11:$B$40,$B38,Override!$D$11:$D$40,13,Override!$E$11:$E$40,"&gt;=0",Override!$C$11:$C$40,"MXAU"))&gt;0,SUMIFS(Override!$E$11:$E$40,Override!$B$11:$B$40,$B38,Override!$D$11:$D$40,13)-SUMIFS(Override!$E$11:$E$40,Override!$B$11:$B$40,$B38,Override!$D$11:$D$40,13,Override!$C$11:$C$40,"MXAU"),Override!$O$73)/AS51!$B$3,"")))</f>
        <v/>
      </c>
      <c r="S38" s="140">
        <f>IF(S$13="","",IF($B38="","",IFERROR($C38*$D38*IF((Override!$C$4="ON")*(COUNTIFS(Override!$B$11:$B$40,$B38,Override!$D$11:$D$40,14,Override!$E$11:$E$40,"&gt;=0")-COUNTIFS(Override!$B$11:$B$40,$B38,Override!$D$11:$D$40,14,Override!$E$11:$E$40,"&gt;=0",Override!$C$11:$C$40,"MXAU"))&gt;0,SUMIFS(Override!$E$11:$E$40,Override!$B$11:$B$40,$B38,Override!$D$11:$D$40,14)-SUMIFS(Override!$E$11:$E$40,Override!$B$11:$B$40,$B38,Override!$D$11:$D$40,14,Override!$C$11:$C$40,"MXAU"),Override!$P$73)/AS51!$B$3,"")))</f>
        <v/>
      </c>
      <c r="T38" s="140">
        <f>IF(T$13="","",IF($B38="","",IFERROR($C38*$D38*IF((Override!$C$4="ON")*(COUNTIFS(Override!$B$11:$B$40,$B38,Override!$D$11:$D$40,15,Override!$E$11:$E$40,"&gt;=0")-COUNTIFS(Override!$B$11:$B$40,$B38,Override!$D$11:$D$40,15,Override!$E$11:$E$40,"&gt;=0",Override!$C$11:$C$40,"MXAU"))&gt;0,SUMIFS(Override!$E$11:$E$40,Override!$B$11:$B$40,$B38,Override!$D$11:$D$40,15)-SUMIFS(Override!$E$11:$E$40,Override!$B$11:$B$40,$B38,Override!$D$11:$D$40,15,Override!$C$11:$C$40,"MXAU"),Override!$Q$73)/AS51!$B$3,"")))</f>
        <v/>
      </c>
      <c r="U38" s="140">
        <f>IF(U$13="","",IF($B38="","",IFERROR($C38*$D38*IF((Override!$C$4="ON")*(COUNTIFS(Override!$B$11:$B$40,$B38,Override!$D$11:$D$40,16,Override!$E$11:$E$40,"&gt;=0")-COUNTIFS(Override!$B$11:$B$40,$B38,Override!$D$11:$D$40,16,Override!$E$11:$E$40,"&gt;=0",Override!$C$11:$C$40,"MXAU"))&gt;0,SUMIFS(Override!$E$11:$E$40,Override!$B$11:$B$40,$B38,Override!$D$11:$D$40,16)-SUMIFS(Override!$E$11:$E$40,Override!$B$11:$B$40,$B38,Override!$D$11:$D$40,16,Override!$C$11:$C$40,"MXAU"),Override!$R$73)/AS51!$B$3,"")))</f>
        <v/>
      </c>
      <c r="W38" s="140">
        <f>IF(W$13="","",IF($B38="","",IFERROR(F38*$E38/100,"")))</f>
        <v/>
      </c>
      <c r="X38" s="140">
        <f>IF(X$13="","",IF($B38="","",IFERROR(G38*$E38/100,"")))</f>
        <v/>
      </c>
      <c r="Y38" s="140">
        <f>IF(Y$13="","",IF($B38="","",IFERROR(H38*$E38/100,"")))</f>
        <v/>
      </c>
      <c r="Z38" s="140">
        <f>IF(Z$13="","",IF($B38="","",IFERROR(I38*$E38/100,"")))</f>
        <v/>
      </c>
      <c r="AA38" s="140">
        <f>IF(AA$13="","",IF($B38="","",IFERROR(J38*$E38/100,"")))</f>
        <v/>
      </c>
      <c r="AB38" s="140">
        <f>IF(AB$13="","",IF($B38="","",IFERROR(K38*$E38/100,"")))</f>
        <v/>
      </c>
      <c r="AC38" s="140">
        <f>IF(AC$13="","",IF($B38="","",IFERROR(L38*$E38/100,"")))</f>
        <v/>
      </c>
      <c r="AD38" s="140">
        <f>IF(AD$13="","",IF($B38="","",IFERROR(M38*$E38/100,"")))</f>
        <v/>
      </c>
      <c r="AE38" s="140">
        <f>IF(AE$13="","",IF($B38="","",IFERROR(N38*$E38/100,"")))</f>
        <v/>
      </c>
      <c r="AF38" s="140">
        <f>IF(AF$13="","",IF($B38="","",IFERROR(O38*$E38/100,"")))</f>
        <v/>
      </c>
      <c r="AG38" s="140">
        <f>IF(AG$13="","",IF($B38="","",IFERROR(P38*$E38/100,"")))</f>
        <v/>
      </c>
      <c r="AH38" s="140">
        <f>IF(AH$13="","",IF($B38="","",IFERROR(Q38*$E38/100,"")))</f>
        <v/>
      </c>
      <c r="AI38" s="140">
        <f>IF(AI$13="","",IF($B38="","",IFERROR(R38*$E38/100,"")))</f>
        <v/>
      </c>
      <c r="AJ38" s="140">
        <f>IF(AJ$13="","",IF($B38="","",IFERROR(S38*$E38/100,"")))</f>
        <v/>
      </c>
      <c r="AK38" s="140">
        <f>IF(AK$13="","",IF($B38="","",IFERROR(T38*$E38/100,"")))</f>
        <v/>
      </c>
      <c r="AL38" s="140">
        <f>IF(AL$13="","",IF($B38="","",IFERROR(U38*$E38/100,"")))</f>
        <v/>
      </c>
      <c r="AN38" s="140">
        <f>IF($B38="","",SUMIF($F$13:$U$13,"&lt;="&amp;Sector!$D$51,$F38:$U38))</f>
        <v/>
      </c>
      <c r="AO38" s="140">
        <f>IF($B38="","",SUMIF($W$13:$AL$13,"&lt;="&amp;Sector!$D$51,$W38:$AL38))</f>
        <v/>
      </c>
    </row>
    <row r="39">
      <c r="B39" s="5">
        <f>IF(AS51!$C$29="","",AS51!$C$29)</f>
        <v/>
      </c>
      <c r="C39" s="90">
        <f>IF(AS51!$B$29="","",AS51!$B$29)</f>
        <v/>
      </c>
      <c r="D39" s="138">
        <f>IFERROR(AS51!$Q$29,1)</f>
        <v/>
      </c>
      <c r="E39" s="139">
        <f>IF($B39="","",IF(ISNUMBER(AS51!$I$29),AS51!$I$29,'Index Summary'!$C$7))</f>
        <v/>
      </c>
      <c r="F39" s="140">
        <f>IF(F$13="","",IF($B39="","",IFERROR($C39*$D39*IF((Override!$C$4="ON")*(COUNTIFS(Override!$B$11:$B$40,$B39,Override!$D$11:$D$40,1,Override!$E$11:$E$40,"&gt;=0")-COUNTIFS(Override!$B$11:$B$40,$B39,Override!$D$11:$D$40,1,Override!$E$11:$E$40,"&gt;=0",Override!$C$11:$C$40,"MXAU"))&gt;0,SUMIFS(Override!$E$11:$E$40,Override!$B$11:$B$40,$B39,Override!$D$11:$D$40,1)-SUMIFS(Override!$E$11:$E$40,Override!$B$11:$B$40,$B39,Override!$D$11:$D$40,1,Override!$C$11:$C$40,"MXAU"),Override!$C$74)/AS51!$B$3,"")))</f>
        <v/>
      </c>
      <c r="G39" s="140">
        <f>IF(G$13="","",IF($B39="","",IFERROR($C39*$D39*IF((Override!$C$4="ON")*(COUNTIFS(Override!$B$11:$B$40,$B39,Override!$D$11:$D$40,2,Override!$E$11:$E$40,"&gt;=0")-COUNTIFS(Override!$B$11:$B$40,$B39,Override!$D$11:$D$40,2,Override!$E$11:$E$40,"&gt;=0",Override!$C$11:$C$40,"MXAU"))&gt;0,SUMIFS(Override!$E$11:$E$40,Override!$B$11:$B$40,$B39,Override!$D$11:$D$40,2)-SUMIFS(Override!$E$11:$E$40,Override!$B$11:$B$40,$B39,Override!$D$11:$D$40,2,Override!$C$11:$C$40,"MXAU"),Override!$D$74)/AS51!$B$3,"")))</f>
        <v/>
      </c>
      <c r="H39" s="140">
        <f>IF(H$13="","",IF($B39="","",IFERROR($C39*$D39*IF((Override!$C$4="ON")*(COUNTIFS(Override!$B$11:$B$40,$B39,Override!$D$11:$D$40,3,Override!$E$11:$E$40,"&gt;=0")-COUNTIFS(Override!$B$11:$B$40,$B39,Override!$D$11:$D$40,3,Override!$E$11:$E$40,"&gt;=0",Override!$C$11:$C$40,"MXAU"))&gt;0,SUMIFS(Override!$E$11:$E$40,Override!$B$11:$B$40,$B39,Override!$D$11:$D$40,3)-SUMIFS(Override!$E$11:$E$40,Override!$B$11:$B$40,$B39,Override!$D$11:$D$40,3,Override!$C$11:$C$40,"MXAU"),Override!$E$74)/AS51!$B$3,"")))</f>
        <v/>
      </c>
      <c r="I39" s="140">
        <f>IF(I$13="","",IF($B39="","",IFERROR($C39*$D39*IF((Override!$C$4="ON")*(COUNTIFS(Override!$B$11:$B$40,$B39,Override!$D$11:$D$40,4,Override!$E$11:$E$40,"&gt;=0")-COUNTIFS(Override!$B$11:$B$40,$B39,Override!$D$11:$D$40,4,Override!$E$11:$E$40,"&gt;=0",Override!$C$11:$C$40,"MXAU"))&gt;0,SUMIFS(Override!$E$11:$E$40,Override!$B$11:$B$40,$B39,Override!$D$11:$D$40,4)-SUMIFS(Override!$E$11:$E$40,Override!$B$11:$B$40,$B39,Override!$D$11:$D$40,4,Override!$C$11:$C$40,"MXAU"),Override!$F$74)/AS51!$B$3,"")))</f>
        <v/>
      </c>
      <c r="J39" s="140">
        <f>IF(J$13="","",IF($B39="","",IFERROR($C39*$D39*IF((Override!$C$4="ON")*(COUNTIFS(Override!$B$11:$B$40,$B39,Override!$D$11:$D$40,5,Override!$E$11:$E$40,"&gt;=0")-COUNTIFS(Override!$B$11:$B$40,$B39,Override!$D$11:$D$40,5,Override!$E$11:$E$40,"&gt;=0",Override!$C$11:$C$40,"MXAU"))&gt;0,SUMIFS(Override!$E$11:$E$40,Override!$B$11:$B$40,$B39,Override!$D$11:$D$40,5)-SUMIFS(Override!$E$11:$E$40,Override!$B$11:$B$40,$B39,Override!$D$11:$D$40,5,Override!$C$11:$C$40,"MXAU"),Override!$G$74)/AS51!$B$3,"")))</f>
        <v/>
      </c>
      <c r="K39" s="140">
        <f>IF(K$13="","",IF($B39="","",IFERROR($C39*$D39*IF((Override!$C$4="ON")*(COUNTIFS(Override!$B$11:$B$40,$B39,Override!$D$11:$D$40,6,Override!$E$11:$E$40,"&gt;=0")-COUNTIFS(Override!$B$11:$B$40,$B39,Override!$D$11:$D$40,6,Override!$E$11:$E$40,"&gt;=0",Override!$C$11:$C$40,"MXAU"))&gt;0,SUMIFS(Override!$E$11:$E$40,Override!$B$11:$B$40,$B39,Override!$D$11:$D$40,6)-SUMIFS(Override!$E$11:$E$40,Override!$B$11:$B$40,$B39,Override!$D$11:$D$40,6,Override!$C$11:$C$40,"MXAU"),Override!$H$74)/AS51!$B$3,"")))</f>
        <v/>
      </c>
      <c r="L39" s="140">
        <f>IF(L$13="","",IF($B39="","",IFERROR($C39*$D39*IF((Override!$C$4="ON")*(COUNTIFS(Override!$B$11:$B$40,$B39,Override!$D$11:$D$40,7,Override!$E$11:$E$40,"&gt;=0")-COUNTIFS(Override!$B$11:$B$40,$B39,Override!$D$11:$D$40,7,Override!$E$11:$E$40,"&gt;=0",Override!$C$11:$C$40,"MXAU"))&gt;0,SUMIFS(Override!$E$11:$E$40,Override!$B$11:$B$40,$B39,Override!$D$11:$D$40,7)-SUMIFS(Override!$E$11:$E$40,Override!$B$11:$B$40,$B39,Override!$D$11:$D$40,7,Override!$C$11:$C$40,"MXAU"),Override!$I$74)/AS51!$B$3,"")))</f>
        <v/>
      </c>
      <c r="M39" s="140">
        <f>IF(M$13="","",IF($B39="","",IFERROR($C39*$D39*IF((Override!$C$4="ON")*(COUNTIFS(Override!$B$11:$B$40,$B39,Override!$D$11:$D$40,8,Override!$E$11:$E$40,"&gt;=0")-COUNTIFS(Override!$B$11:$B$40,$B39,Override!$D$11:$D$40,8,Override!$E$11:$E$40,"&gt;=0",Override!$C$11:$C$40,"MXAU"))&gt;0,SUMIFS(Override!$E$11:$E$40,Override!$B$11:$B$40,$B39,Override!$D$11:$D$40,8)-SUMIFS(Override!$E$11:$E$40,Override!$B$11:$B$40,$B39,Override!$D$11:$D$40,8,Override!$C$11:$C$40,"MXAU"),Override!$J$74)/AS51!$B$3,"")))</f>
        <v/>
      </c>
      <c r="N39" s="140">
        <f>IF(N$13="","",IF($B39="","",IFERROR($C39*$D39*IF((Override!$C$4="ON")*(COUNTIFS(Override!$B$11:$B$40,$B39,Override!$D$11:$D$40,9,Override!$E$11:$E$40,"&gt;=0")-COUNTIFS(Override!$B$11:$B$40,$B39,Override!$D$11:$D$40,9,Override!$E$11:$E$40,"&gt;=0",Override!$C$11:$C$40,"MXAU"))&gt;0,SUMIFS(Override!$E$11:$E$40,Override!$B$11:$B$40,$B39,Override!$D$11:$D$40,9)-SUMIFS(Override!$E$11:$E$40,Override!$B$11:$B$40,$B39,Override!$D$11:$D$40,9,Override!$C$11:$C$40,"MXAU"),Override!$K$74)/AS51!$B$3,"")))</f>
        <v/>
      </c>
      <c r="O39" s="140">
        <f>IF(O$13="","",IF($B39="","",IFERROR($C39*$D39*IF((Override!$C$4="ON")*(COUNTIFS(Override!$B$11:$B$40,$B39,Override!$D$11:$D$40,10,Override!$E$11:$E$40,"&gt;=0")-COUNTIFS(Override!$B$11:$B$40,$B39,Override!$D$11:$D$40,10,Override!$E$11:$E$40,"&gt;=0",Override!$C$11:$C$40,"MXAU"))&gt;0,SUMIFS(Override!$E$11:$E$40,Override!$B$11:$B$40,$B39,Override!$D$11:$D$40,10)-SUMIFS(Override!$E$11:$E$40,Override!$B$11:$B$40,$B39,Override!$D$11:$D$40,10,Override!$C$11:$C$40,"MXAU"),Override!$L$74)/AS51!$B$3,"")))</f>
        <v/>
      </c>
      <c r="P39" s="140">
        <f>IF(P$13="","",IF($B39="","",IFERROR($C39*$D39*IF((Override!$C$4="ON")*(COUNTIFS(Override!$B$11:$B$40,$B39,Override!$D$11:$D$40,11,Override!$E$11:$E$40,"&gt;=0")-COUNTIFS(Override!$B$11:$B$40,$B39,Override!$D$11:$D$40,11,Override!$E$11:$E$40,"&gt;=0",Override!$C$11:$C$40,"MXAU"))&gt;0,SUMIFS(Override!$E$11:$E$40,Override!$B$11:$B$40,$B39,Override!$D$11:$D$40,11)-SUMIFS(Override!$E$11:$E$40,Override!$B$11:$B$40,$B39,Override!$D$11:$D$40,11,Override!$C$11:$C$40,"MXAU"),Override!$M$74)/AS51!$B$3,"")))</f>
        <v/>
      </c>
      <c r="Q39" s="140">
        <f>IF(Q$13="","",IF($B39="","",IFERROR($C39*$D39*IF((Override!$C$4="ON")*(COUNTIFS(Override!$B$11:$B$40,$B39,Override!$D$11:$D$40,12,Override!$E$11:$E$40,"&gt;=0")-COUNTIFS(Override!$B$11:$B$40,$B39,Override!$D$11:$D$40,12,Override!$E$11:$E$40,"&gt;=0",Override!$C$11:$C$40,"MXAU"))&gt;0,SUMIFS(Override!$E$11:$E$40,Override!$B$11:$B$40,$B39,Override!$D$11:$D$40,12)-SUMIFS(Override!$E$11:$E$40,Override!$B$11:$B$40,$B39,Override!$D$11:$D$40,12,Override!$C$11:$C$40,"MXAU"),Override!$N$74)/AS51!$B$3,"")))</f>
        <v/>
      </c>
      <c r="R39" s="140">
        <f>IF(R$13="","",IF($B39="","",IFERROR($C39*$D39*IF((Override!$C$4="ON")*(COUNTIFS(Override!$B$11:$B$40,$B39,Override!$D$11:$D$40,13,Override!$E$11:$E$40,"&gt;=0")-COUNTIFS(Override!$B$11:$B$40,$B39,Override!$D$11:$D$40,13,Override!$E$11:$E$40,"&gt;=0",Override!$C$11:$C$40,"MXAU"))&gt;0,SUMIFS(Override!$E$11:$E$40,Override!$B$11:$B$40,$B39,Override!$D$11:$D$40,13)-SUMIFS(Override!$E$11:$E$40,Override!$B$11:$B$40,$B39,Override!$D$11:$D$40,13,Override!$C$11:$C$40,"MXAU"),Override!$O$74)/AS51!$B$3,"")))</f>
        <v/>
      </c>
      <c r="S39" s="140">
        <f>IF(S$13="","",IF($B39="","",IFERROR($C39*$D39*IF((Override!$C$4="ON")*(COUNTIFS(Override!$B$11:$B$40,$B39,Override!$D$11:$D$40,14,Override!$E$11:$E$40,"&gt;=0")-COUNTIFS(Override!$B$11:$B$40,$B39,Override!$D$11:$D$40,14,Override!$E$11:$E$40,"&gt;=0",Override!$C$11:$C$40,"MXAU"))&gt;0,SUMIFS(Override!$E$11:$E$40,Override!$B$11:$B$40,$B39,Override!$D$11:$D$40,14)-SUMIFS(Override!$E$11:$E$40,Override!$B$11:$B$40,$B39,Override!$D$11:$D$40,14,Override!$C$11:$C$40,"MXAU"),Override!$P$74)/AS51!$B$3,"")))</f>
        <v/>
      </c>
      <c r="T39" s="140">
        <f>IF(T$13="","",IF($B39="","",IFERROR($C39*$D39*IF((Override!$C$4="ON")*(COUNTIFS(Override!$B$11:$B$40,$B39,Override!$D$11:$D$40,15,Override!$E$11:$E$40,"&gt;=0")-COUNTIFS(Override!$B$11:$B$40,$B39,Override!$D$11:$D$40,15,Override!$E$11:$E$40,"&gt;=0",Override!$C$11:$C$40,"MXAU"))&gt;0,SUMIFS(Override!$E$11:$E$40,Override!$B$11:$B$40,$B39,Override!$D$11:$D$40,15)-SUMIFS(Override!$E$11:$E$40,Override!$B$11:$B$40,$B39,Override!$D$11:$D$40,15,Override!$C$11:$C$40,"MXAU"),Override!$Q$74)/AS51!$B$3,"")))</f>
        <v/>
      </c>
      <c r="U39" s="140">
        <f>IF(U$13="","",IF($B39="","",IFERROR($C39*$D39*IF((Override!$C$4="ON")*(COUNTIFS(Override!$B$11:$B$40,$B39,Override!$D$11:$D$40,16,Override!$E$11:$E$40,"&gt;=0")-COUNTIFS(Override!$B$11:$B$40,$B39,Override!$D$11:$D$40,16,Override!$E$11:$E$40,"&gt;=0",Override!$C$11:$C$40,"MXAU"))&gt;0,SUMIFS(Override!$E$11:$E$40,Override!$B$11:$B$40,$B39,Override!$D$11:$D$40,16)-SUMIFS(Override!$E$11:$E$40,Override!$B$11:$B$40,$B39,Override!$D$11:$D$40,16,Override!$C$11:$C$40,"MXAU"),Override!$R$74)/AS51!$B$3,"")))</f>
        <v/>
      </c>
      <c r="W39" s="140">
        <f>IF(W$13="","",IF($B39="","",IFERROR(F39*$E39/100,"")))</f>
        <v/>
      </c>
      <c r="X39" s="140">
        <f>IF(X$13="","",IF($B39="","",IFERROR(G39*$E39/100,"")))</f>
        <v/>
      </c>
      <c r="Y39" s="140">
        <f>IF(Y$13="","",IF($B39="","",IFERROR(H39*$E39/100,"")))</f>
        <v/>
      </c>
      <c r="Z39" s="140">
        <f>IF(Z$13="","",IF($B39="","",IFERROR(I39*$E39/100,"")))</f>
        <v/>
      </c>
      <c r="AA39" s="140">
        <f>IF(AA$13="","",IF($B39="","",IFERROR(J39*$E39/100,"")))</f>
        <v/>
      </c>
      <c r="AB39" s="140">
        <f>IF(AB$13="","",IF($B39="","",IFERROR(K39*$E39/100,"")))</f>
        <v/>
      </c>
      <c r="AC39" s="140">
        <f>IF(AC$13="","",IF($B39="","",IFERROR(L39*$E39/100,"")))</f>
        <v/>
      </c>
      <c r="AD39" s="140">
        <f>IF(AD$13="","",IF($B39="","",IFERROR(M39*$E39/100,"")))</f>
        <v/>
      </c>
      <c r="AE39" s="140">
        <f>IF(AE$13="","",IF($B39="","",IFERROR(N39*$E39/100,"")))</f>
        <v/>
      </c>
      <c r="AF39" s="140">
        <f>IF(AF$13="","",IF($B39="","",IFERROR(O39*$E39/100,"")))</f>
        <v/>
      </c>
      <c r="AG39" s="140">
        <f>IF(AG$13="","",IF($B39="","",IFERROR(P39*$E39/100,"")))</f>
        <v/>
      </c>
      <c r="AH39" s="140">
        <f>IF(AH$13="","",IF($B39="","",IFERROR(Q39*$E39/100,"")))</f>
        <v/>
      </c>
      <c r="AI39" s="140">
        <f>IF(AI$13="","",IF($B39="","",IFERROR(R39*$E39/100,"")))</f>
        <v/>
      </c>
      <c r="AJ39" s="140">
        <f>IF(AJ$13="","",IF($B39="","",IFERROR(S39*$E39/100,"")))</f>
        <v/>
      </c>
      <c r="AK39" s="140">
        <f>IF(AK$13="","",IF($B39="","",IFERROR(T39*$E39/100,"")))</f>
        <v/>
      </c>
      <c r="AL39" s="140">
        <f>IF(AL$13="","",IF($B39="","",IFERROR(U39*$E39/100,"")))</f>
        <v/>
      </c>
      <c r="AN39" s="140">
        <f>IF($B39="","",SUMIF($F$13:$U$13,"&lt;="&amp;Sector!$D$51,$F39:$U39))</f>
        <v/>
      </c>
      <c r="AO39" s="140">
        <f>IF($B39="","",SUMIF($W$13:$AL$13,"&lt;="&amp;Sector!$D$51,$W39:$AL39))</f>
        <v/>
      </c>
    </row>
    <row r="40">
      <c r="B40" s="5">
        <f>IF(AS51!$C$30="","",AS51!$C$30)</f>
        <v/>
      </c>
      <c r="C40" s="90">
        <f>IF(AS51!$B$30="","",AS51!$B$30)</f>
        <v/>
      </c>
      <c r="D40" s="138">
        <f>IFERROR(AS51!$Q$30,1)</f>
        <v/>
      </c>
      <c r="E40" s="139">
        <f>IF($B40="","",IF(ISNUMBER(AS51!$I$30),AS51!$I$30,'Index Summary'!$C$7))</f>
        <v/>
      </c>
      <c r="F40" s="140">
        <f>IF(F$13="","",IF($B40="","",IFERROR($C40*$D40*IF((Override!$C$4="ON")*(COUNTIFS(Override!$B$11:$B$40,$B40,Override!$D$11:$D$40,1,Override!$E$11:$E$40,"&gt;=0")-COUNTIFS(Override!$B$11:$B$40,$B40,Override!$D$11:$D$40,1,Override!$E$11:$E$40,"&gt;=0",Override!$C$11:$C$40,"MXAU"))&gt;0,SUMIFS(Override!$E$11:$E$40,Override!$B$11:$B$40,$B40,Override!$D$11:$D$40,1)-SUMIFS(Override!$E$11:$E$40,Override!$B$11:$B$40,$B40,Override!$D$11:$D$40,1,Override!$C$11:$C$40,"MXAU"),Override!$C$75)/AS51!$B$3,"")))</f>
        <v/>
      </c>
      <c r="G40" s="140">
        <f>IF(G$13="","",IF($B40="","",IFERROR($C40*$D40*IF((Override!$C$4="ON")*(COUNTIFS(Override!$B$11:$B$40,$B40,Override!$D$11:$D$40,2,Override!$E$11:$E$40,"&gt;=0")-COUNTIFS(Override!$B$11:$B$40,$B40,Override!$D$11:$D$40,2,Override!$E$11:$E$40,"&gt;=0",Override!$C$11:$C$40,"MXAU"))&gt;0,SUMIFS(Override!$E$11:$E$40,Override!$B$11:$B$40,$B40,Override!$D$11:$D$40,2)-SUMIFS(Override!$E$11:$E$40,Override!$B$11:$B$40,$B40,Override!$D$11:$D$40,2,Override!$C$11:$C$40,"MXAU"),Override!$D$75)/AS51!$B$3,"")))</f>
        <v/>
      </c>
      <c r="H40" s="140">
        <f>IF(H$13="","",IF($B40="","",IFERROR($C40*$D40*IF((Override!$C$4="ON")*(COUNTIFS(Override!$B$11:$B$40,$B40,Override!$D$11:$D$40,3,Override!$E$11:$E$40,"&gt;=0")-COUNTIFS(Override!$B$11:$B$40,$B40,Override!$D$11:$D$40,3,Override!$E$11:$E$40,"&gt;=0",Override!$C$11:$C$40,"MXAU"))&gt;0,SUMIFS(Override!$E$11:$E$40,Override!$B$11:$B$40,$B40,Override!$D$11:$D$40,3)-SUMIFS(Override!$E$11:$E$40,Override!$B$11:$B$40,$B40,Override!$D$11:$D$40,3,Override!$C$11:$C$40,"MXAU"),Override!$E$75)/AS51!$B$3,"")))</f>
        <v/>
      </c>
      <c r="I40" s="140">
        <f>IF(I$13="","",IF($B40="","",IFERROR($C40*$D40*IF((Override!$C$4="ON")*(COUNTIFS(Override!$B$11:$B$40,$B40,Override!$D$11:$D$40,4,Override!$E$11:$E$40,"&gt;=0")-COUNTIFS(Override!$B$11:$B$40,$B40,Override!$D$11:$D$40,4,Override!$E$11:$E$40,"&gt;=0",Override!$C$11:$C$40,"MXAU"))&gt;0,SUMIFS(Override!$E$11:$E$40,Override!$B$11:$B$40,$B40,Override!$D$11:$D$40,4)-SUMIFS(Override!$E$11:$E$40,Override!$B$11:$B$40,$B40,Override!$D$11:$D$40,4,Override!$C$11:$C$40,"MXAU"),Override!$F$75)/AS51!$B$3,"")))</f>
        <v/>
      </c>
      <c r="J40" s="140">
        <f>IF(J$13="","",IF($B40="","",IFERROR($C40*$D40*IF((Override!$C$4="ON")*(COUNTIFS(Override!$B$11:$B$40,$B40,Override!$D$11:$D$40,5,Override!$E$11:$E$40,"&gt;=0")-COUNTIFS(Override!$B$11:$B$40,$B40,Override!$D$11:$D$40,5,Override!$E$11:$E$40,"&gt;=0",Override!$C$11:$C$40,"MXAU"))&gt;0,SUMIFS(Override!$E$11:$E$40,Override!$B$11:$B$40,$B40,Override!$D$11:$D$40,5)-SUMIFS(Override!$E$11:$E$40,Override!$B$11:$B$40,$B40,Override!$D$11:$D$40,5,Override!$C$11:$C$40,"MXAU"),Override!$G$75)/AS51!$B$3,"")))</f>
        <v/>
      </c>
      <c r="K40" s="140">
        <f>IF(K$13="","",IF($B40="","",IFERROR($C40*$D40*IF((Override!$C$4="ON")*(COUNTIFS(Override!$B$11:$B$40,$B40,Override!$D$11:$D$40,6,Override!$E$11:$E$40,"&gt;=0")-COUNTIFS(Override!$B$11:$B$40,$B40,Override!$D$11:$D$40,6,Override!$E$11:$E$40,"&gt;=0",Override!$C$11:$C$40,"MXAU"))&gt;0,SUMIFS(Override!$E$11:$E$40,Override!$B$11:$B$40,$B40,Override!$D$11:$D$40,6)-SUMIFS(Override!$E$11:$E$40,Override!$B$11:$B$40,$B40,Override!$D$11:$D$40,6,Override!$C$11:$C$40,"MXAU"),Override!$H$75)/AS51!$B$3,"")))</f>
        <v/>
      </c>
      <c r="L40" s="140">
        <f>IF(L$13="","",IF($B40="","",IFERROR($C40*$D40*IF((Override!$C$4="ON")*(COUNTIFS(Override!$B$11:$B$40,$B40,Override!$D$11:$D$40,7,Override!$E$11:$E$40,"&gt;=0")-COUNTIFS(Override!$B$11:$B$40,$B40,Override!$D$11:$D$40,7,Override!$E$11:$E$40,"&gt;=0",Override!$C$11:$C$40,"MXAU"))&gt;0,SUMIFS(Override!$E$11:$E$40,Override!$B$11:$B$40,$B40,Override!$D$11:$D$40,7)-SUMIFS(Override!$E$11:$E$40,Override!$B$11:$B$40,$B40,Override!$D$11:$D$40,7,Override!$C$11:$C$40,"MXAU"),Override!$I$75)/AS51!$B$3,"")))</f>
        <v/>
      </c>
      <c r="M40" s="140">
        <f>IF(M$13="","",IF($B40="","",IFERROR($C40*$D40*IF((Override!$C$4="ON")*(COUNTIFS(Override!$B$11:$B$40,$B40,Override!$D$11:$D$40,8,Override!$E$11:$E$40,"&gt;=0")-COUNTIFS(Override!$B$11:$B$40,$B40,Override!$D$11:$D$40,8,Override!$E$11:$E$40,"&gt;=0",Override!$C$11:$C$40,"MXAU"))&gt;0,SUMIFS(Override!$E$11:$E$40,Override!$B$11:$B$40,$B40,Override!$D$11:$D$40,8)-SUMIFS(Override!$E$11:$E$40,Override!$B$11:$B$40,$B40,Override!$D$11:$D$40,8,Override!$C$11:$C$40,"MXAU"),Override!$J$75)/AS51!$B$3,"")))</f>
        <v/>
      </c>
      <c r="N40" s="140">
        <f>IF(N$13="","",IF($B40="","",IFERROR($C40*$D40*IF((Override!$C$4="ON")*(COUNTIFS(Override!$B$11:$B$40,$B40,Override!$D$11:$D$40,9,Override!$E$11:$E$40,"&gt;=0")-COUNTIFS(Override!$B$11:$B$40,$B40,Override!$D$11:$D$40,9,Override!$E$11:$E$40,"&gt;=0",Override!$C$11:$C$40,"MXAU"))&gt;0,SUMIFS(Override!$E$11:$E$40,Override!$B$11:$B$40,$B40,Override!$D$11:$D$40,9)-SUMIFS(Override!$E$11:$E$40,Override!$B$11:$B$40,$B40,Override!$D$11:$D$40,9,Override!$C$11:$C$40,"MXAU"),Override!$K$75)/AS51!$B$3,"")))</f>
        <v/>
      </c>
      <c r="O40" s="140">
        <f>IF(O$13="","",IF($B40="","",IFERROR($C40*$D40*IF((Override!$C$4="ON")*(COUNTIFS(Override!$B$11:$B$40,$B40,Override!$D$11:$D$40,10,Override!$E$11:$E$40,"&gt;=0")-COUNTIFS(Override!$B$11:$B$40,$B40,Override!$D$11:$D$40,10,Override!$E$11:$E$40,"&gt;=0",Override!$C$11:$C$40,"MXAU"))&gt;0,SUMIFS(Override!$E$11:$E$40,Override!$B$11:$B$40,$B40,Override!$D$11:$D$40,10)-SUMIFS(Override!$E$11:$E$40,Override!$B$11:$B$40,$B40,Override!$D$11:$D$40,10,Override!$C$11:$C$40,"MXAU"),Override!$L$75)/AS51!$B$3,"")))</f>
        <v/>
      </c>
      <c r="P40" s="140">
        <f>IF(P$13="","",IF($B40="","",IFERROR($C40*$D40*IF((Override!$C$4="ON")*(COUNTIFS(Override!$B$11:$B$40,$B40,Override!$D$11:$D$40,11,Override!$E$11:$E$40,"&gt;=0")-COUNTIFS(Override!$B$11:$B$40,$B40,Override!$D$11:$D$40,11,Override!$E$11:$E$40,"&gt;=0",Override!$C$11:$C$40,"MXAU"))&gt;0,SUMIFS(Override!$E$11:$E$40,Override!$B$11:$B$40,$B40,Override!$D$11:$D$40,11)-SUMIFS(Override!$E$11:$E$40,Override!$B$11:$B$40,$B40,Override!$D$11:$D$40,11,Override!$C$11:$C$40,"MXAU"),Override!$M$75)/AS51!$B$3,"")))</f>
        <v/>
      </c>
      <c r="Q40" s="140">
        <f>IF(Q$13="","",IF($B40="","",IFERROR($C40*$D40*IF((Override!$C$4="ON")*(COUNTIFS(Override!$B$11:$B$40,$B40,Override!$D$11:$D$40,12,Override!$E$11:$E$40,"&gt;=0")-COUNTIFS(Override!$B$11:$B$40,$B40,Override!$D$11:$D$40,12,Override!$E$11:$E$40,"&gt;=0",Override!$C$11:$C$40,"MXAU"))&gt;0,SUMIFS(Override!$E$11:$E$40,Override!$B$11:$B$40,$B40,Override!$D$11:$D$40,12)-SUMIFS(Override!$E$11:$E$40,Override!$B$11:$B$40,$B40,Override!$D$11:$D$40,12,Override!$C$11:$C$40,"MXAU"),Override!$N$75)/AS51!$B$3,"")))</f>
        <v/>
      </c>
      <c r="R40" s="140">
        <f>IF(R$13="","",IF($B40="","",IFERROR($C40*$D40*IF((Override!$C$4="ON")*(COUNTIFS(Override!$B$11:$B$40,$B40,Override!$D$11:$D$40,13,Override!$E$11:$E$40,"&gt;=0")-COUNTIFS(Override!$B$11:$B$40,$B40,Override!$D$11:$D$40,13,Override!$E$11:$E$40,"&gt;=0",Override!$C$11:$C$40,"MXAU"))&gt;0,SUMIFS(Override!$E$11:$E$40,Override!$B$11:$B$40,$B40,Override!$D$11:$D$40,13)-SUMIFS(Override!$E$11:$E$40,Override!$B$11:$B$40,$B40,Override!$D$11:$D$40,13,Override!$C$11:$C$40,"MXAU"),Override!$O$75)/AS51!$B$3,"")))</f>
        <v/>
      </c>
      <c r="S40" s="140">
        <f>IF(S$13="","",IF($B40="","",IFERROR($C40*$D40*IF((Override!$C$4="ON")*(COUNTIFS(Override!$B$11:$B$40,$B40,Override!$D$11:$D$40,14,Override!$E$11:$E$40,"&gt;=0")-COUNTIFS(Override!$B$11:$B$40,$B40,Override!$D$11:$D$40,14,Override!$E$11:$E$40,"&gt;=0",Override!$C$11:$C$40,"MXAU"))&gt;0,SUMIFS(Override!$E$11:$E$40,Override!$B$11:$B$40,$B40,Override!$D$11:$D$40,14)-SUMIFS(Override!$E$11:$E$40,Override!$B$11:$B$40,$B40,Override!$D$11:$D$40,14,Override!$C$11:$C$40,"MXAU"),Override!$P$75)/AS51!$B$3,"")))</f>
        <v/>
      </c>
      <c r="T40" s="140">
        <f>IF(T$13="","",IF($B40="","",IFERROR($C40*$D40*IF((Override!$C$4="ON")*(COUNTIFS(Override!$B$11:$B$40,$B40,Override!$D$11:$D$40,15,Override!$E$11:$E$40,"&gt;=0")-COUNTIFS(Override!$B$11:$B$40,$B40,Override!$D$11:$D$40,15,Override!$E$11:$E$40,"&gt;=0",Override!$C$11:$C$40,"MXAU"))&gt;0,SUMIFS(Override!$E$11:$E$40,Override!$B$11:$B$40,$B40,Override!$D$11:$D$40,15)-SUMIFS(Override!$E$11:$E$40,Override!$B$11:$B$40,$B40,Override!$D$11:$D$40,15,Override!$C$11:$C$40,"MXAU"),Override!$Q$75)/AS51!$B$3,"")))</f>
        <v/>
      </c>
      <c r="U40" s="140">
        <f>IF(U$13="","",IF($B40="","",IFERROR($C40*$D40*IF((Override!$C$4="ON")*(COUNTIFS(Override!$B$11:$B$40,$B40,Override!$D$11:$D$40,16,Override!$E$11:$E$40,"&gt;=0")-COUNTIFS(Override!$B$11:$B$40,$B40,Override!$D$11:$D$40,16,Override!$E$11:$E$40,"&gt;=0",Override!$C$11:$C$40,"MXAU"))&gt;0,SUMIFS(Override!$E$11:$E$40,Override!$B$11:$B$40,$B40,Override!$D$11:$D$40,16)-SUMIFS(Override!$E$11:$E$40,Override!$B$11:$B$40,$B40,Override!$D$11:$D$40,16,Override!$C$11:$C$40,"MXAU"),Override!$R$75)/AS51!$B$3,"")))</f>
        <v/>
      </c>
      <c r="W40" s="140">
        <f>IF(W$13="","",IF($B40="","",IFERROR(F40*$E40/100,"")))</f>
        <v/>
      </c>
      <c r="X40" s="140">
        <f>IF(X$13="","",IF($B40="","",IFERROR(G40*$E40/100,"")))</f>
        <v/>
      </c>
      <c r="Y40" s="140">
        <f>IF(Y$13="","",IF($B40="","",IFERROR(H40*$E40/100,"")))</f>
        <v/>
      </c>
      <c r="Z40" s="140">
        <f>IF(Z$13="","",IF($B40="","",IFERROR(I40*$E40/100,"")))</f>
        <v/>
      </c>
      <c r="AA40" s="140">
        <f>IF(AA$13="","",IF($B40="","",IFERROR(J40*$E40/100,"")))</f>
        <v/>
      </c>
      <c r="AB40" s="140">
        <f>IF(AB$13="","",IF($B40="","",IFERROR(K40*$E40/100,"")))</f>
        <v/>
      </c>
      <c r="AC40" s="140">
        <f>IF(AC$13="","",IF($B40="","",IFERROR(L40*$E40/100,"")))</f>
        <v/>
      </c>
      <c r="AD40" s="140">
        <f>IF(AD$13="","",IF($B40="","",IFERROR(M40*$E40/100,"")))</f>
        <v/>
      </c>
      <c r="AE40" s="140">
        <f>IF(AE$13="","",IF($B40="","",IFERROR(N40*$E40/100,"")))</f>
        <v/>
      </c>
      <c r="AF40" s="140">
        <f>IF(AF$13="","",IF($B40="","",IFERROR(O40*$E40/100,"")))</f>
        <v/>
      </c>
      <c r="AG40" s="140">
        <f>IF(AG$13="","",IF($B40="","",IFERROR(P40*$E40/100,"")))</f>
        <v/>
      </c>
      <c r="AH40" s="140">
        <f>IF(AH$13="","",IF($B40="","",IFERROR(Q40*$E40/100,"")))</f>
        <v/>
      </c>
      <c r="AI40" s="140">
        <f>IF(AI$13="","",IF($B40="","",IFERROR(R40*$E40/100,"")))</f>
        <v/>
      </c>
      <c r="AJ40" s="140">
        <f>IF(AJ$13="","",IF($B40="","",IFERROR(S40*$E40/100,"")))</f>
        <v/>
      </c>
      <c r="AK40" s="140">
        <f>IF(AK$13="","",IF($B40="","",IFERROR(T40*$E40/100,"")))</f>
        <v/>
      </c>
      <c r="AL40" s="140">
        <f>IF(AL$13="","",IF($B40="","",IFERROR(U40*$E40/100,"")))</f>
        <v/>
      </c>
      <c r="AN40" s="140">
        <f>IF($B40="","",SUMIF($F$13:$U$13,"&lt;="&amp;Sector!$D$51,$F40:$U40))</f>
        <v/>
      </c>
      <c r="AO40" s="140">
        <f>IF($B40="","",SUMIF($W$13:$AL$13,"&lt;="&amp;Sector!$D$51,$W40:$AL40))</f>
        <v/>
      </c>
    </row>
    <row r="41">
      <c r="B41" s="5">
        <f>IF(AS51!$C$31="","",AS51!$C$31)</f>
        <v/>
      </c>
      <c r="C41" s="90">
        <f>IF(AS51!$B$31="","",AS51!$B$31)</f>
        <v/>
      </c>
      <c r="D41" s="138">
        <f>IFERROR(AS51!$Q$31,1)</f>
        <v/>
      </c>
      <c r="E41" s="139">
        <f>IF($B41="","",IF(ISNUMBER(AS51!$I$31),AS51!$I$31,'Index Summary'!$C$7))</f>
        <v/>
      </c>
      <c r="F41" s="140">
        <f>IF(F$13="","",IF($B41="","",IFERROR($C41*$D41*IF((Override!$C$4="ON")*(COUNTIFS(Override!$B$11:$B$40,$B41,Override!$D$11:$D$40,1,Override!$E$11:$E$40,"&gt;=0")-COUNTIFS(Override!$B$11:$B$40,$B41,Override!$D$11:$D$40,1,Override!$E$11:$E$40,"&gt;=0",Override!$C$11:$C$40,"MXAU"))&gt;0,SUMIFS(Override!$E$11:$E$40,Override!$B$11:$B$40,$B41,Override!$D$11:$D$40,1)-SUMIFS(Override!$E$11:$E$40,Override!$B$11:$B$40,$B41,Override!$D$11:$D$40,1,Override!$C$11:$C$40,"MXAU"),Override!$C$76)/AS51!$B$3,"")))</f>
        <v/>
      </c>
      <c r="G41" s="140">
        <f>IF(G$13="","",IF($B41="","",IFERROR($C41*$D41*IF((Override!$C$4="ON")*(COUNTIFS(Override!$B$11:$B$40,$B41,Override!$D$11:$D$40,2,Override!$E$11:$E$40,"&gt;=0")-COUNTIFS(Override!$B$11:$B$40,$B41,Override!$D$11:$D$40,2,Override!$E$11:$E$40,"&gt;=0",Override!$C$11:$C$40,"MXAU"))&gt;0,SUMIFS(Override!$E$11:$E$40,Override!$B$11:$B$40,$B41,Override!$D$11:$D$40,2)-SUMIFS(Override!$E$11:$E$40,Override!$B$11:$B$40,$B41,Override!$D$11:$D$40,2,Override!$C$11:$C$40,"MXAU"),Override!$D$76)/AS51!$B$3,"")))</f>
        <v/>
      </c>
      <c r="H41" s="140">
        <f>IF(H$13="","",IF($B41="","",IFERROR($C41*$D41*IF((Override!$C$4="ON")*(COUNTIFS(Override!$B$11:$B$40,$B41,Override!$D$11:$D$40,3,Override!$E$11:$E$40,"&gt;=0")-COUNTIFS(Override!$B$11:$B$40,$B41,Override!$D$11:$D$40,3,Override!$E$11:$E$40,"&gt;=0",Override!$C$11:$C$40,"MXAU"))&gt;0,SUMIFS(Override!$E$11:$E$40,Override!$B$11:$B$40,$B41,Override!$D$11:$D$40,3)-SUMIFS(Override!$E$11:$E$40,Override!$B$11:$B$40,$B41,Override!$D$11:$D$40,3,Override!$C$11:$C$40,"MXAU"),Override!$E$76)/AS51!$B$3,"")))</f>
        <v/>
      </c>
      <c r="I41" s="140">
        <f>IF(I$13="","",IF($B41="","",IFERROR($C41*$D41*IF((Override!$C$4="ON")*(COUNTIFS(Override!$B$11:$B$40,$B41,Override!$D$11:$D$40,4,Override!$E$11:$E$40,"&gt;=0")-COUNTIFS(Override!$B$11:$B$40,$B41,Override!$D$11:$D$40,4,Override!$E$11:$E$40,"&gt;=0",Override!$C$11:$C$40,"MXAU"))&gt;0,SUMIFS(Override!$E$11:$E$40,Override!$B$11:$B$40,$B41,Override!$D$11:$D$40,4)-SUMIFS(Override!$E$11:$E$40,Override!$B$11:$B$40,$B41,Override!$D$11:$D$40,4,Override!$C$11:$C$40,"MXAU"),Override!$F$76)/AS51!$B$3,"")))</f>
        <v/>
      </c>
      <c r="J41" s="140">
        <f>IF(J$13="","",IF($B41="","",IFERROR($C41*$D41*IF((Override!$C$4="ON")*(COUNTIFS(Override!$B$11:$B$40,$B41,Override!$D$11:$D$40,5,Override!$E$11:$E$40,"&gt;=0")-COUNTIFS(Override!$B$11:$B$40,$B41,Override!$D$11:$D$40,5,Override!$E$11:$E$40,"&gt;=0",Override!$C$11:$C$40,"MXAU"))&gt;0,SUMIFS(Override!$E$11:$E$40,Override!$B$11:$B$40,$B41,Override!$D$11:$D$40,5)-SUMIFS(Override!$E$11:$E$40,Override!$B$11:$B$40,$B41,Override!$D$11:$D$40,5,Override!$C$11:$C$40,"MXAU"),Override!$G$76)/AS51!$B$3,"")))</f>
        <v/>
      </c>
      <c r="K41" s="140">
        <f>IF(K$13="","",IF($B41="","",IFERROR($C41*$D41*IF((Override!$C$4="ON")*(COUNTIFS(Override!$B$11:$B$40,$B41,Override!$D$11:$D$40,6,Override!$E$11:$E$40,"&gt;=0")-COUNTIFS(Override!$B$11:$B$40,$B41,Override!$D$11:$D$40,6,Override!$E$11:$E$40,"&gt;=0",Override!$C$11:$C$40,"MXAU"))&gt;0,SUMIFS(Override!$E$11:$E$40,Override!$B$11:$B$40,$B41,Override!$D$11:$D$40,6)-SUMIFS(Override!$E$11:$E$40,Override!$B$11:$B$40,$B41,Override!$D$11:$D$40,6,Override!$C$11:$C$40,"MXAU"),Override!$H$76)/AS51!$B$3,"")))</f>
        <v/>
      </c>
      <c r="L41" s="140">
        <f>IF(L$13="","",IF($B41="","",IFERROR($C41*$D41*IF((Override!$C$4="ON")*(COUNTIFS(Override!$B$11:$B$40,$B41,Override!$D$11:$D$40,7,Override!$E$11:$E$40,"&gt;=0")-COUNTIFS(Override!$B$11:$B$40,$B41,Override!$D$11:$D$40,7,Override!$E$11:$E$40,"&gt;=0",Override!$C$11:$C$40,"MXAU"))&gt;0,SUMIFS(Override!$E$11:$E$40,Override!$B$11:$B$40,$B41,Override!$D$11:$D$40,7)-SUMIFS(Override!$E$11:$E$40,Override!$B$11:$B$40,$B41,Override!$D$11:$D$40,7,Override!$C$11:$C$40,"MXAU"),Override!$I$76)/AS51!$B$3,"")))</f>
        <v/>
      </c>
      <c r="M41" s="140">
        <f>IF(M$13="","",IF($B41="","",IFERROR($C41*$D41*IF((Override!$C$4="ON")*(COUNTIFS(Override!$B$11:$B$40,$B41,Override!$D$11:$D$40,8,Override!$E$11:$E$40,"&gt;=0")-COUNTIFS(Override!$B$11:$B$40,$B41,Override!$D$11:$D$40,8,Override!$E$11:$E$40,"&gt;=0",Override!$C$11:$C$40,"MXAU"))&gt;0,SUMIFS(Override!$E$11:$E$40,Override!$B$11:$B$40,$B41,Override!$D$11:$D$40,8)-SUMIFS(Override!$E$11:$E$40,Override!$B$11:$B$40,$B41,Override!$D$11:$D$40,8,Override!$C$11:$C$40,"MXAU"),Override!$J$76)/AS51!$B$3,"")))</f>
        <v/>
      </c>
      <c r="N41" s="140">
        <f>IF(N$13="","",IF($B41="","",IFERROR($C41*$D41*IF((Override!$C$4="ON")*(COUNTIFS(Override!$B$11:$B$40,$B41,Override!$D$11:$D$40,9,Override!$E$11:$E$40,"&gt;=0")-COUNTIFS(Override!$B$11:$B$40,$B41,Override!$D$11:$D$40,9,Override!$E$11:$E$40,"&gt;=0",Override!$C$11:$C$40,"MXAU"))&gt;0,SUMIFS(Override!$E$11:$E$40,Override!$B$11:$B$40,$B41,Override!$D$11:$D$40,9)-SUMIFS(Override!$E$11:$E$40,Override!$B$11:$B$40,$B41,Override!$D$11:$D$40,9,Override!$C$11:$C$40,"MXAU"),Override!$K$76)/AS51!$B$3,"")))</f>
        <v/>
      </c>
      <c r="O41" s="140">
        <f>IF(O$13="","",IF($B41="","",IFERROR($C41*$D41*IF((Override!$C$4="ON")*(COUNTIFS(Override!$B$11:$B$40,$B41,Override!$D$11:$D$40,10,Override!$E$11:$E$40,"&gt;=0")-COUNTIFS(Override!$B$11:$B$40,$B41,Override!$D$11:$D$40,10,Override!$E$11:$E$40,"&gt;=0",Override!$C$11:$C$40,"MXAU"))&gt;0,SUMIFS(Override!$E$11:$E$40,Override!$B$11:$B$40,$B41,Override!$D$11:$D$40,10)-SUMIFS(Override!$E$11:$E$40,Override!$B$11:$B$40,$B41,Override!$D$11:$D$40,10,Override!$C$11:$C$40,"MXAU"),Override!$L$76)/AS51!$B$3,"")))</f>
        <v/>
      </c>
      <c r="P41" s="140">
        <f>IF(P$13="","",IF($B41="","",IFERROR($C41*$D41*IF((Override!$C$4="ON")*(COUNTIFS(Override!$B$11:$B$40,$B41,Override!$D$11:$D$40,11,Override!$E$11:$E$40,"&gt;=0")-COUNTIFS(Override!$B$11:$B$40,$B41,Override!$D$11:$D$40,11,Override!$E$11:$E$40,"&gt;=0",Override!$C$11:$C$40,"MXAU"))&gt;0,SUMIFS(Override!$E$11:$E$40,Override!$B$11:$B$40,$B41,Override!$D$11:$D$40,11)-SUMIFS(Override!$E$11:$E$40,Override!$B$11:$B$40,$B41,Override!$D$11:$D$40,11,Override!$C$11:$C$40,"MXAU"),Override!$M$76)/AS51!$B$3,"")))</f>
        <v/>
      </c>
      <c r="Q41" s="140">
        <f>IF(Q$13="","",IF($B41="","",IFERROR($C41*$D41*IF((Override!$C$4="ON")*(COUNTIFS(Override!$B$11:$B$40,$B41,Override!$D$11:$D$40,12,Override!$E$11:$E$40,"&gt;=0")-COUNTIFS(Override!$B$11:$B$40,$B41,Override!$D$11:$D$40,12,Override!$E$11:$E$40,"&gt;=0",Override!$C$11:$C$40,"MXAU"))&gt;0,SUMIFS(Override!$E$11:$E$40,Override!$B$11:$B$40,$B41,Override!$D$11:$D$40,12)-SUMIFS(Override!$E$11:$E$40,Override!$B$11:$B$40,$B41,Override!$D$11:$D$40,12,Override!$C$11:$C$40,"MXAU"),Override!$N$76)/AS51!$B$3,"")))</f>
        <v/>
      </c>
      <c r="R41" s="140">
        <f>IF(R$13="","",IF($B41="","",IFERROR($C41*$D41*IF((Override!$C$4="ON")*(COUNTIFS(Override!$B$11:$B$40,$B41,Override!$D$11:$D$40,13,Override!$E$11:$E$40,"&gt;=0")-COUNTIFS(Override!$B$11:$B$40,$B41,Override!$D$11:$D$40,13,Override!$E$11:$E$40,"&gt;=0",Override!$C$11:$C$40,"MXAU"))&gt;0,SUMIFS(Override!$E$11:$E$40,Override!$B$11:$B$40,$B41,Override!$D$11:$D$40,13)-SUMIFS(Override!$E$11:$E$40,Override!$B$11:$B$40,$B41,Override!$D$11:$D$40,13,Override!$C$11:$C$40,"MXAU"),Override!$O$76)/AS51!$B$3,"")))</f>
        <v/>
      </c>
      <c r="S41" s="140">
        <f>IF(S$13="","",IF($B41="","",IFERROR($C41*$D41*IF((Override!$C$4="ON")*(COUNTIFS(Override!$B$11:$B$40,$B41,Override!$D$11:$D$40,14,Override!$E$11:$E$40,"&gt;=0")-COUNTIFS(Override!$B$11:$B$40,$B41,Override!$D$11:$D$40,14,Override!$E$11:$E$40,"&gt;=0",Override!$C$11:$C$40,"MXAU"))&gt;0,SUMIFS(Override!$E$11:$E$40,Override!$B$11:$B$40,$B41,Override!$D$11:$D$40,14)-SUMIFS(Override!$E$11:$E$40,Override!$B$11:$B$40,$B41,Override!$D$11:$D$40,14,Override!$C$11:$C$40,"MXAU"),Override!$P$76)/AS51!$B$3,"")))</f>
        <v/>
      </c>
      <c r="T41" s="140">
        <f>IF(T$13="","",IF($B41="","",IFERROR($C41*$D41*IF((Override!$C$4="ON")*(COUNTIFS(Override!$B$11:$B$40,$B41,Override!$D$11:$D$40,15,Override!$E$11:$E$40,"&gt;=0")-COUNTIFS(Override!$B$11:$B$40,$B41,Override!$D$11:$D$40,15,Override!$E$11:$E$40,"&gt;=0",Override!$C$11:$C$40,"MXAU"))&gt;0,SUMIFS(Override!$E$11:$E$40,Override!$B$11:$B$40,$B41,Override!$D$11:$D$40,15)-SUMIFS(Override!$E$11:$E$40,Override!$B$11:$B$40,$B41,Override!$D$11:$D$40,15,Override!$C$11:$C$40,"MXAU"),Override!$Q$76)/AS51!$B$3,"")))</f>
        <v/>
      </c>
      <c r="U41" s="140">
        <f>IF(U$13="","",IF($B41="","",IFERROR($C41*$D41*IF((Override!$C$4="ON")*(COUNTIFS(Override!$B$11:$B$40,$B41,Override!$D$11:$D$40,16,Override!$E$11:$E$40,"&gt;=0")-COUNTIFS(Override!$B$11:$B$40,$B41,Override!$D$11:$D$40,16,Override!$E$11:$E$40,"&gt;=0",Override!$C$11:$C$40,"MXAU"))&gt;0,SUMIFS(Override!$E$11:$E$40,Override!$B$11:$B$40,$B41,Override!$D$11:$D$40,16)-SUMIFS(Override!$E$11:$E$40,Override!$B$11:$B$40,$B41,Override!$D$11:$D$40,16,Override!$C$11:$C$40,"MXAU"),Override!$R$76)/AS51!$B$3,"")))</f>
        <v/>
      </c>
      <c r="W41" s="140">
        <f>IF(W$13="","",IF($B41="","",IFERROR(F41*$E41/100,"")))</f>
        <v/>
      </c>
      <c r="X41" s="140">
        <f>IF(X$13="","",IF($B41="","",IFERROR(G41*$E41/100,"")))</f>
        <v/>
      </c>
      <c r="Y41" s="140">
        <f>IF(Y$13="","",IF($B41="","",IFERROR(H41*$E41/100,"")))</f>
        <v/>
      </c>
      <c r="Z41" s="140">
        <f>IF(Z$13="","",IF($B41="","",IFERROR(I41*$E41/100,"")))</f>
        <v/>
      </c>
      <c r="AA41" s="140">
        <f>IF(AA$13="","",IF($B41="","",IFERROR(J41*$E41/100,"")))</f>
        <v/>
      </c>
      <c r="AB41" s="140">
        <f>IF(AB$13="","",IF($B41="","",IFERROR(K41*$E41/100,"")))</f>
        <v/>
      </c>
      <c r="AC41" s="140">
        <f>IF(AC$13="","",IF($B41="","",IFERROR(L41*$E41/100,"")))</f>
        <v/>
      </c>
      <c r="AD41" s="140">
        <f>IF(AD$13="","",IF($B41="","",IFERROR(M41*$E41/100,"")))</f>
        <v/>
      </c>
      <c r="AE41" s="140">
        <f>IF(AE$13="","",IF($B41="","",IFERROR(N41*$E41/100,"")))</f>
        <v/>
      </c>
      <c r="AF41" s="140">
        <f>IF(AF$13="","",IF($B41="","",IFERROR(O41*$E41/100,"")))</f>
        <v/>
      </c>
      <c r="AG41" s="140">
        <f>IF(AG$13="","",IF($B41="","",IFERROR(P41*$E41/100,"")))</f>
        <v/>
      </c>
      <c r="AH41" s="140">
        <f>IF(AH$13="","",IF($B41="","",IFERROR(Q41*$E41/100,"")))</f>
        <v/>
      </c>
      <c r="AI41" s="140">
        <f>IF(AI$13="","",IF($B41="","",IFERROR(R41*$E41/100,"")))</f>
        <v/>
      </c>
      <c r="AJ41" s="140">
        <f>IF(AJ$13="","",IF($B41="","",IFERROR(S41*$E41/100,"")))</f>
        <v/>
      </c>
      <c r="AK41" s="140">
        <f>IF(AK$13="","",IF($B41="","",IFERROR(T41*$E41/100,"")))</f>
        <v/>
      </c>
      <c r="AL41" s="140">
        <f>IF(AL$13="","",IF($B41="","",IFERROR(U41*$E41/100,"")))</f>
        <v/>
      </c>
      <c r="AN41" s="140">
        <f>IF($B41="","",SUMIF($F$13:$U$13,"&lt;="&amp;Sector!$D$51,$F41:$U41))</f>
        <v/>
      </c>
      <c r="AO41" s="140">
        <f>IF($B41="","",SUMIF($W$13:$AL$13,"&lt;="&amp;Sector!$D$51,$W41:$AL41))</f>
        <v/>
      </c>
    </row>
    <row r="42">
      <c r="B42" s="5">
        <f>IF(AS51!$C$32="","",AS51!$C$32)</f>
        <v/>
      </c>
      <c r="C42" s="90">
        <f>IF(AS51!$B$32="","",AS51!$B$32)</f>
        <v/>
      </c>
      <c r="D42" s="138">
        <f>IFERROR(AS51!$Q$32,1)</f>
        <v/>
      </c>
      <c r="E42" s="139">
        <f>IF($B42="","",IF(ISNUMBER(AS51!$I$32),AS51!$I$32,'Index Summary'!$C$7))</f>
        <v/>
      </c>
      <c r="F42" s="140">
        <f>IF(F$13="","",IF($B42="","",IFERROR($C42*$D42*IF((Override!$C$4="ON")*(COUNTIFS(Override!$B$11:$B$40,$B42,Override!$D$11:$D$40,1,Override!$E$11:$E$40,"&gt;=0")-COUNTIFS(Override!$B$11:$B$40,$B42,Override!$D$11:$D$40,1,Override!$E$11:$E$40,"&gt;=0",Override!$C$11:$C$40,"MXAU"))&gt;0,SUMIFS(Override!$E$11:$E$40,Override!$B$11:$B$40,$B42,Override!$D$11:$D$40,1)-SUMIFS(Override!$E$11:$E$40,Override!$B$11:$B$40,$B42,Override!$D$11:$D$40,1,Override!$C$11:$C$40,"MXAU"),Override!$C$77)/AS51!$B$3,"")))</f>
        <v/>
      </c>
      <c r="G42" s="140">
        <f>IF(G$13="","",IF($B42="","",IFERROR($C42*$D42*IF((Override!$C$4="ON")*(COUNTIFS(Override!$B$11:$B$40,$B42,Override!$D$11:$D$40,2,Override!$E$11:$E$40,"&gt;=0")-COUNTIFS(Override!$B$11:$B$40,$B42,Override!$D$11:$D$40,2,Override!$E$11:$E$40,"&gt;=0",Override!$C$11:$C$40,"MXAU"))&gt;0,SUMIFS(Override!$E$11:$E$40,Override!$B$11:$B$40,$B42,Override!$D$11:$D$40,2)-SUMIFS(Override!$E$11:$E$40,Override!$B$11:$B$40,$B42,Override!$D$11:$D$40,2,Override!$C$11:$C$40,"MXAU"),Override!$D$77)/AS51!$B$3,"")))</f>
        <v/>
      </c>
      <c r="H42" s="140">
        <f>IF(H$13="","",IF($B42="","",IFERROR($C42*$D42*IF((Override!$C$4="ON")*(COUNTIFS(Override!$B$11:$B$40,$B42,Override!$D$11:$D$40,3,Override!$E$11:$E$40,"&gt;=0")-COUNTIFS(Override!$B$11:$B$40,$B42,Override!$D$11:$D$40,3,Override!$E$11:$E$40,"&gt;=0",Override!$C$11:$C$40,"MXAU"))&gt;0,SUMIFS(Override!$E$11:$E$40,Override!$B$11:$B$40,$B42,Override!$D$11:$D$40,3)-SUMIFS(Override!$E$11:$E$40,Override!$B$11:$B$40,$B42,Override!$D$11:$D$40,3,Override!$C$11:$C$40,"MXAU"),Override!$E$77)/AS51!$B$3,"")))</f>
        <v/>
      </c>
      <c r="I42" s="140">
        <f>IF(I$13="","",IF($B42="","",IFERROR($C42*$D42*IF((Override!$C$4="ON")*(COUNTIFS(Override!$B$11:$B$40,$B42,Override!$D$11:$D$40,4,Override!$E$11:$E$40,"&gt;=0")-COUNTIFS(Override!$B$11:$B$40,$B42,Override!$D$11:$D$40,4,Override!$E$11:$E$40,"&gt;=0",Override!$C$11:$C$40,"MXAU"))&gt;0,SUMIFS(Override!$E$11:$E$40,Override!$B$11:$B$40,$B42,Override!$D$11:$D$40,4)-SUMIFS(Override!$E$11:$E$40,Override!$B$11:$B$40,$B42,Override!$D$11:$D$40,4,Override!$C$11:$C$40,"MXAU"),Override!$F$77)/AS51!$B$3,"")))</f>
        <v/>
      </c>
      <c r="J42" s="140">
        <f>IF(J$13="","",IF($B42="","",IFERROR($C42*$D42*IF((Override!$C$4="ON")*(COUNTIFS(Override!$B$11:$B$40,$B42,Override!$D$11:$D$40,5,Override!$E$11:$E$40,"&gt;=0")-COUNTIFS(Override!$B$11:$B$40,$B42,Override!$D$11:$D$40,5,Override!$E$11:$E$40,"&gt;=0",Override!$C$11:$C$40,"MXAU"))&gt;0,SUMIFS(Override!$E$11:$E$40,Override!$B$11:$B$40,$B42,Override!$D$11:$D$40,5)-SUMIFS(Override!$E$11:$E$40,Override!$B$11:$B$40,$B42,Override!$D$11:$D$40,5,Override!$C$11:$C$40,"MXAU"),Override!$G$77)/AS51!$B$3,"")))</f>
        <v/>
      </c>
      <c r="K42" s="140">
        <f>IF(K$13="","",IF($B42="","",IFERROR($C42*$D42*IF((Override!$C$4="ON")*(COUNTIFS(Override!$B$11:$B$40,$B42,Override!$D$11:$D$40,6,Override!$E$11:$E$40,"&gt;=0")-COUNTIFS(Override!$B$11:$B$40,$B42,Override!$D$11:$D$40,6,Override!$E$11:$E$40,"&gt;=0",Override!$C$11:$C$40,"MXAU"))&gt;0,SUMIFS(Override!$E$11:$E$40,Override!$B$11:$B$40,$B42,Override!$D$11:$D$40,6)-SUMIFS(Override!$E$11:$E$40,Override!$B$11:$B$40,$B42,Override!$D$11:$D$40,6,Override!$C$11:$C$40,"MXAU"),Override!$H$77)/AS51!$B$3,"")))</f>
        <v/>
      </c>
      <c r="L42" s="140">
        <f>IF(L$13="","",IF($B42="","",IFERROR($C42*$D42*IF((Override!$C$4="ON")*(COUNTIFS(Override!$B$11:$B$40,$B42,Override!$D$11:$D$40,7,Override!$E$11:$E$40,"&gt;=0")-COUNTIFS(Override!$B$11:$B$40,$B42,Override!$D$11:$D$40,7,Override!$E$11:$E$40,"&gt;=0",Override!$C$11:$C$40,"MXAU"))&gt;0,SUMIFS(Override!$E$11:$E$40,Override!$B$11:$B$40,$B42,Override!$D$11:$D$40,7)-SUMIFS(Override!$E$11:$E$40,Override!$B$11:$B$40,$B42,Override!$D$11:$D$40,7,Override!$C$11:$C$40,"MXAU"),Override!$I$77)/AS51!$B$3,"")))</f>
        <v/>
      </c>
      <c r="M42" s="140">
        <f>IF(M$13="","",IF($B42="","",IFERROR($C42*$D42*IF((Override!$C$4="ON")*(COUNTIFS(Override!$B$11:$B$40,$B42,Override!$D$11:$D$40,8,Override!$E$11:$E$40,"&gt;=0")-COUNTIFS(Override!$B$11:$B$40,$B42,Override!$D$11:$D$40,8,Override!$E$11:$E$40,"&gt;=0",Override!$C$11:$C$40,"MXAU"))&gt;0,SUMIFS(Override!$E$11:$E$40,Override!$B$11:$B$40,$B42,Override!$D$11:$D$40,8)-SUMIFS(Override!$E$11:$E$40,Override!$B$11:$B$40,$B42,Override!$D$11:$D$40,8,Override!$C$11:$C$40,"MXAU"),Override!$J$77)/AS51!$B$3,"")))</f>
        <v/>
      </c>
      <c r="N42" s="140">
        <f>IF(N$13="","",IF($B42="","",IFERROR($C42*$D42*IF((Override!$C$4="ON")*(COUNTIFS(Override!$B$11:$B$40,$B42,Override!$D$11:$D$40,9,Override!$E$11:$E$40,"&gt;=0")-COUNTIFS(Override!$B$11:$B$40,$B42,Override!$D$11:$D$40,9,Override!$E$11:$E$40,"&gt;=0",Override!$C$11:$C$40,"MXAU"))&gt;0,SUMIFS(Override!$E$11:$E$40,Override!$B$11:$B$40,$B42,Override!$D$11:$D$40,9)-SUMIFS(Override!$E$11:$E$40,Override!$B$11:$B$40,$B42,Override!$D$11:$D$40,9,Override!$C$11:$C$40,"MXAU"),Override!$K$77)/AS51!$B$3,"")))</f>
        <v/>
      </c>
      <c r="O42" s="140">
        <f>IF(O$13="","",IF($B42="","",IFERROR($C42*$D42*IF((Override!$C$4="ON")*(COUNTIFS(Override!$B$11:$B$40,$B42,Override!$D$11:$D$40,10,Override!$E$11:$E$40,"&gt;=0")-COUNTIFS(Override!$B$11:$B$40,$B42,Override!$D$11:$D$40,10,Override!$E$11:$E$40,"&gt;=0",Override!$C$11:$C$40,"MXAU"))&gt;0,SUMIFS(Override!$E$11:$E$40,Override!$B$11:$B$40,$B42,Override!$D$11:$D$40,10)-SUMIFS(Override!$E$11:$E$40,Override!$B$11:$B$40,$B42,Override!$D$11:$D$40,10,Override!$C$11:$C$40,"MXAU"),Override!$L$77)/AS51!$B$3,"")))</f>
        <v/>
      </c>
      <c r="P42" s="140">
        <f>IF(P$13="","",IF($B42="","",IFERROR($C42*$D42*IF((Override!$C$4="ON")*(COUNTIFS(Override!$B$11:$B$40,$B42,Override!$D$11:$D$40,11,Override!$E$11:$E$40,"&gt;=0")-COUNTIFS(Override!$B$11:$B$40,$B42,Override!$D$11:$D$40,11,Override!$E$11:$E$40,"&gt;=0",Override!$C$11:$C$40,"MXAU"))&gt;0,SUMIFS(Override!$E$11:$E$40,Override!$B$11:$B$40,$B42,Override!$D$11:$D$40,11)-SUMIFS(Override!$E$11:$E$40,Override!$B$11:$B$40,$B42,Override!$D$11:$D$40,11,Override!$C$11:$C$40,"MXAU"),Override!$M$77)/AS51!$B$3,"")))</f>
        <v/>
      </c>
      <c r="Q42" s="140">
        <f>IF(Q$13="","",IF($B42="","",IFERROR($C42*$D42*IF((Override!$C$4="ON")*(COUNTIFS(Override!$B$11:$B$40,$B42,Override!$D$11:$D$40,12,Override!$E$11:$E$40,"&gt;=0")-COUNTIFS(Override!$B$11:$B$40,$B42,Override!$D$11:$D$40,12,Override!$E$11:$E$40,"&gt;=0",Override!$C$11:$C$40,"MXAU"))&gt;0,SUMIFS(Override!$E$11:$E$40,Override!$B$11:$B$40,$B42,Override!$D$11:$D$40,12)-SUMIFS(Override!$E$11:$E$40,Override!$B$11:$B$40,$B42,Override!$D$11:$D$40,12,Override!$C$11:$C$40,"MXAU"),Override!$N$77)/AS51!$B$3,"")))</f>
        <v/>
      </c>
      <c r="R42" s="140">
        <f>IF(R$13="","",IF($B42="","",IFERROR($C42*$D42*IF((Override!$C$4="ON")*(COUNTIFS(Override!$B$11:$B$40,$B42,Override!$D$11:$D$40,13,Override!$E$11:$E$40,"&gt;=0")-COUNTIFS(Override!$B$11:$B$40,$B42,Override!$D$11:$D$40,13,Override!$E$11:$E$40,"&gt;=0",Override!$C$11:$C$40,"MXAU"))&gt;0,SUMIFS(Override!$E$11:$E$40,Override!$B$11:$B$40,$B42,Override!$D$11:$D$40,13)-SUMIFS(Override!$E$11:$E$40,Override!$B$11:$B$40,$B42,Override!$D$11:$D$40,13,Override!$C$11:$C$40,"MXAU"),Override!$O$77)/AS51!$B$3,"")))</f>
        <v/>
      </c>
      <c r="S42" s="140">
        <f>IF(S$13="","",IF($B42="","",IFERROR($C42*$D42*IF((Override!$C$4="ON")*(COUNTIFS(Override!$B$11:$B$40,$B42,Override!$D$11:$D$40,14,Override!$E$11:$E$40,"&gt;=0")-COUNTIFS(Override!$B$11:$B$40,$B42,Override!$D$11:$D$40,14,Override!$E$11:$E$40,"&gt;=0",Override!$C$11:$C$40,"MXAU"))&gt;0,SUMIFS(Override!$E$11:$E$40,Override!$B$11:$B$40,$B42,Override!$D$11:$D$40,14)-SUMIFS(Override!$E$11:$E$40,Override!$B$11:$B$40,$B42,Override!$D$11:$D$40,14,Override!$C$11:$C$40,"MXAU"),Override!$P$77)/AS51!$B$3,"")))</f>
        <v/>
      </c>
      <c r="T42" s="140">
        <f>IF(T$13="","",IF($B42="","",IFERROR($C42*$D42*IF((Override!$C$4="ON")*(COUNTIFS(Override!$B$11:$B$40,$B42,Override!$D$11:$D$40,15,Override!$E$11:$E$40,"&gt;=0")-COUNTIFS(Override!$B$11:$B$40,$B42,Override!$D$11:$D$40,15,Override!$E$11:$E$40,"&gt;=0",Override!$C$11:$C$40,"MXAU"))&gt;0,SUMIFS(Override!$E$11:$E$40,Override!$B$11:$B$40,$B42,Override!$D$11:$D$40,15)-SUMIFS(Override!$E$11:$E$40,Override!$B$11:$B$40,$B42,Override!$D$11:$D$40,15,Override!$C$11:$C$40,"MXAU"),Override!$Q$77)/AS51!$B$3,"")))</f>
        <v/>
      </c>
      <c r="U42" s="140">
        <f>IF(U$13="","",IF($B42="","",IFERROR($C42*$D42*IF((Override!$C$4="ON")*(COUNTIFS(Override!$B$11:$B$40,$B42,Override!$D$11:$D$40,16,Override!$E$11:$E$40,"&gt;=0")-COUNTIFS(Override!$B$11:$B$40,$B42,Override!$D$11:$D$40,16,Override!$E$11:$E$40,"&gt;=0",Override!$C$11:$C$40,"MXAU"))&gt;0,SUMIFS(Override!$E$11:$E$40,Override!$B$11:$B$40,$B42,Override!$D$11:$D$40,16)-SUMIFS(Override!$E$11:$E$40,Override!$B$11:$B$40,$B42,Override!$D$11:$D$40,16,Override!$C$11:$C$40,"MXAU"),Override!$R$77)/AS51!$B$3,"")))</f>
        <v/>
      </c>
      <c r="W42" s="140">
        <f>IF(W$13="","",IF($B42="","",IFERROR(F42*$E42/100,"")))</f>
        <v/>
      </c>
      <c r="X42" s="140">
        <f>IF(X$13="","",IF($B42="","",IFERROR(G42*$E42/100,"")))</f>
        <v/>
      </c>
      <c r="Y42" s="140">
        <f>IF(Y$13="","",IF($B42="","",IFERROR(H42*$E42/100,"")))</f>
        <v/>
      </c>
      <c r="Z42" s="140">
        <f>IF(Z$13="","",IF($B42="","",IFERROR(I42*$E42/100,"")))</f>
        <v/>
      </c>
      <c r="AA42" s="140">
        <f>IF(AA$13="","",IF($B42="","",IFERROR(J42*$E42/100,"")))</f>
        <v/>
      </c>
      <c r="AB42" s="140">
        <f>IF(AB$13="","",IF($B42="","",IFERROR(K42*$E42/100,"")))</f>
        <v/>
      </c>
      <c r="AC42" s="140">
        <f>IF(AC$13="","",IF($B42="","",IFERROR(L42*$E42/100,"")))</f>
        <v/>
      </c>
      <c r="AD42" s="140">
        <f>IF(AD$13="","",IF($B42="","",IFERROR(M42*$E42/100,"")))</f>
        <v/>
      </c>
      <c r="AE42" s="140">
        <f>IF(AE$13="","",IF($B42="","",IFERROR(N42*$E42/100,"")))</f>
        <v/>
      </c>
      <c r="AF42" s="140">
        <f>IF(AF$13="","",IF($B42="","",IFERROR(O42*$E42/100,"")))</f>
        <v/>
      </c>
      <c r="AG42" s="140">
        <f>IF(AG$13="","",IF($B42="","",IFERROR(P42*$E42/100,"")))</f>
        <v/>
      </c>
      <c r="AH42" s="140">
        <f>IF(AH$13="","",IF($B42="","",IFERROR(Q42*$E42/100,"")))</f>
        <v/>
      </c>
      <c r="AI42" s="140">
        <f>IF(AI$13="","",IF($B42="","",IFERROR(R42*$E42/100,"")))</f>
        <v/>
      </c>
      <c r="AJ42" s="140">
        <f>IF(AJ$13="","",IF($B42="","",IFERROR(S42*$E42/100,"")))</f>
        <v/>
      </c>
      <c r="AK42" s="140">
        <f>IF(AK$13="","",IF($B42="","",IFERROR(T42*$E42/100,"")))</f>
        <v/>
      </c>
      <c r="AL42" s="140">
        <f>IF(AL$13="","",IF($B42="","",IFERROR(U42*$E42/100,"")))</f>
        <v/>
      </c>
      <c r="AN42" s="140">
        <f>IF($B42="","",SUMIF($F$13:$U$13,"&lt;="&amp;Sector!$D$51,$F42:$U42))</f>
        <v/>
      </c>
      <c r="AO42" s="140">
        <f>IF($B42="","",SUMIF($W$13:$AL$13,"&lt;="&amp;Sector!$D$51,$W42:$AL42))</f>
        <v/>
      </c>
    </row>
    <row r="43">
      <c r="B43" s="5">
        <f>IF(AS51!$C$33="","",AS51!$C$33)</f>
        <v/>
      </c>
      <c r="C43" s="90">
        <f>IF(AS51!$B$33="","",AS51!$B$33)</f>
        <v/>
      </c>
      <c r="D43" s="138">
        <f>IFERROR(AS51!$Q$33,1)</f>
        <v/>
      </c>
      <c r="E43" s="139">
        <f>IF($B43="","",IF(ISNUMBER(AS51!$I$33),AS51!$I$33,'Index Summary'!$C$7))</f>
        <v/>
      </c>
      <c r="F43" s="140">
        <f>IF(F$13="","",IF($B43="","",IFERROR($C43*$D43*IF((Override!$C$4="ON")*(COUNTIFS(Override!$B$11:$B$40,$B43,Override!$D$11:$D$40,1,Override!$E$11:$E$40,"&gt;=0")-COUNTIFS(Override!$B$11:$B$40,$B43,Override!$D$11:$D$40,1,Override!$E$11:$E$40,"&gt;=0",Override!$C$11:$C$40,"MXAU"))&gt;0,SUMIFS(Override!$E$11:$E$40,Override!$B$11:$B$40,$B43,Override!$D$11:$D$40,1)-SUMIFS(Override!$E$11:$E$40,Override!$B$11:$B$40,$B43,Override!$D$11:$D$40,1,Override!$C$11:$C$40,"MXAU"),Override!$C$78)/AS51!$B$3,"")))</f>
        <v/>
      </c>
      <c r="G43" s="140">
        <f>IF(G$13="","",IF($B43="","",IFERROR($C43*$D43*IF((Override!$C$4="ON")*(COUNTIFS(Override!$B$11:$B$40,$B43,Override!$D$11:$D$40,2,Override!$E$11:$E$40,"&gt;=0")-COUNTIFS(Override!$B$11:$B$40,$B43,Override!$D$11:$D$40,2,Override!$E$11:$E$40,"&gt;=0",Override!$C$11:$C$40,"MXAU"))&gt;0,SUMIFS(Override!$E$11:$E$40,Override!$B$11:$B$40,$B43,Override!$D$11:$D$40,2)-SUMIFS(Override!$E$11:$E$40,Override!$B$11:$B$40,$B43,Override!$D$11:$D$40,2,Override!$C$11:$C$40,"MXAU"),Override!$D$78)/AS51!$B$3,"")))</f>
        <v/>
      </c>
      <c r="H43" s="140">
        <f>IF(H$13="","",IF($B43="","",IFERROR($C43*$D43*IF((Override!$C$4="ON")*(COUNTIFS(Override!$B$11:$B$40,$B43,Override!$D$11:$D$40,3,Override!$E$11:$E$40,"&gt;=0")-COUNTIFS(Override!$B$11:$B$40,$B43,Override!$D$11:$D$40,3,Override!$E$11:$E$40,"&gt;=0",Override!$C$11:$C$40,"MXAU"))&gt;0,SUMIFS(Override!$E$11:$E$40,Override!$B$11:$B$40,$B43,Override!$D$11:$D$40,3)-SUMIFS(Override!$E$11:$E$40,Override!$B$11:$B$40,$B43,Override!$D$11:$D$40,3,Override!$C$11:$C$40,"MXAU"),Override!$E$78)/AS51!$B$3,"")))</f>
        <v/>
      </c>
      <c r="I43" s="140">
        <f>IF(I$13="","",IF($B43="","",IFERROR($C43*$D43*IF((Override!$C$4="ON")*(COUNTIFS(Override!$B$11:$B$40,$B43,Override!$D$11:$D$40,4,Override!$E$11:$E$40,"&gt;=0")-COUNTIFS(Override!$B$11:$B$40,$B43,Override!$D$11:$D$40,4,Override!$E$11:$E$40,"&gt;=0",Override!$C$11:$C$40,"MXAU"))&gt;0,SUMIFS(Override!$E$11:$E$40,Override!$B$11:$B$40,$B43,Override!$D$11:$D$40,4)-SUMIFS(Override!$E$11:$E$40,Override!$B$11:$B$40,$B43,Override!$D$11:$D$40,4,Override!$C$11:$C$40,"MXAU"),Override!$F$78)/AS51!$B$3,"")))</f>
        <v/>
      </c>
      <c r="J43" s="140">
        <f>IF(J$13="","",IF($B43="","",IFERROR($C43*$D43*IF((Override!$C$4="ON")*(COUNTIFS(Override!$B$11:$B$40,$B43,Override!$D$11:$D$40,5,Override!$E$11:$E$40,"&gt;=0")-COUNTIFS(Override!$B$11:$B$40,$B43,Override!$D$11:$D$40,5,Override!$E$11:$E$40,"&gt;=0",Override!$C$11:$C$40,"MXAU"))&gt;0,SUMIFS(Override!$E$11:$E$40,Override!$B$11:$B$40,$B43,Override!$D$11:$D$40,5)-SUMIFS(Override!$E$11:$E$40,Override!$B$11:$B$40,$B43,Override!$D$11:$D$40,5,Override!$C$11:$C$40,"MXAU"),Override!$G$78)/AS51!$B$3,"")))</f>
        <v/>
      </c>
      <c r="K43" s="140">
        <f>IF(K$13="","",IF($B43="","",IFERROR($C43*$D43*IF((Override!$C$4="ON")*(COUNTIFS(Override!$B$11:$B$40,$B43,Override!$D$11:$D$40,6,Override!$E$11:$E$40,"&gt;=0")-COUNTIFS(Override!$B$11:$B$40,$B43,Override!$D$11:$D$40,6,Override!$E$11:$E$40,"&gt;=0",Override!$C$11:$C$40,"MXAU"))&gt;0,SUMIFS(Override!$E$11:$E$40,Override!$B$11:$B$40,$B43,Override!$D$11:$D$40,6)-SUMIFS(Override!$E$11:$E$40,Override!$B$11:$B$40,$B43,Override!$D$11:$D$40,6,Override!$C$11:$C$40,"MXAU"),Override!$H$78)/AS51!$B$3,"")))</f>
        <v/>
      </c>
      <c r="L43" s="140">
        <f>IF(L$13="","",IF($B43="","",IFERROR($C43*$D43*IF((Override!$C$4="ON")*(COUNTIFS(Override!$B$11:$B$40,$B43,Override!$D$11:$D$40,7,Override!$E$11:$E$40,"&gt;=0")-COUNTIFS(Override!$B$11:$B$40,$B43,Override!$D$11:$D$40,7,Override!$E$11:$E$40,"&gt;=0",Override!$C$11:$C$40,"MXAU"))&gt;0,SUMIFS(Override!$E$11:$E$40,Override!$B$11:$B$40,$B43,Override!$D$11:$D$40,7)-SUMIFS(Override!$E$11:$E$40,Override!$B$11:$B$40,$B43,Override!$D$11:$D$40,7,Override!$C$11:$C$40,"MXAU"),Override!$I$78)/AS51!$B$3,"")))</f>
        <v/>
      </c>
      <c r="M43" s="140">
        <f>IF(M$13="","",IF($B43="","",IFERROR($C43*$D43*IF((Override!$C$4="ON")*(COUNTIFS(Override!$B$11:$B$40,$B43,Override!$D$11:$D$40,8,Override!$E$11:$E$40,"&gt;=0")-COUNTIFS(Override!$B$11:$B$40,$B43,Override!$D$11:$D$40,8,Override!$E$11:$E$40,"&gt;=0",Override!$C$11:$C$40,"MXAU"))&gt;0,SUMIFS(Override!$E$11:$E$40,Override!$B$11:$B$40,$B43,Override!$D$11:$D$40,8)-SUMIFS(Override!$E$11:$E$40,Override!$B$11:$B$40,$B43,Override!$D$11:$D$40,8,Override!$C$11:$C$40,"MXAU"),Override!$J$78)/AS51!$B$3,"")))</f>
        <v/>
      </c>
      <c r="N43" s="140">
        <f>IF(N$13="","",IF($B43="","",IFERROR($C43*$D43*IF((Override!$C$4="ON")*(COUNTIFS(Override!$B$11:$B$40,$B43,Override!$D$11:$D$40,9,Override!$E$11:$E$40,"&gt;=0")-COUNTIFS(Override!$B$11:$B$40,$B43,Override!$D$11:$D$40,9,Override!$E$11:$E$40,"&gt;=0",Override!$C$11:$C$40,"MXAU"))&gt;0,SUMIFS(Override!$E$11:$E$40,Override!$B$11:$B$40,$B43,Override!$D$11:$D$40,9)-SUMIFS(Override!$E$11:$E$40,Override!$B$11:$B$40,$B43,Override!$D$11:$D$40,9,Override!$C$11:$C$40,"MXAU"),Override!$K$78)/AS51!$B$3,"")))</f>
        <v/>
      </c>
      <c r="O43" s="140">
        <f>IF(O$13="","",IF($B43="","",IFERROR($C43*$D43*IF((Override!$C$4="ON")*(COUNTIFS(Override!$B$11:$B$40,$B43,Override!$D$11:$D$40,10,Override!$E$11:$E$40,"&gt;=0")-COUNTIFS(Override!$B$11:$B$40,$B43,Override!$D$11:$D$40,10,Override!$E$11:$E$40,"&gt;=0",Override!$C$11:$C$40,"MXAU"))&gt;0,SUMIFS(Override!$E$11:$E$40,Override!$B$11:$B$40,$B43,Override!$D$11:$D$40,10)-SUMIFS(Override!$E$11:$E$40,Override!$B$11:$B$40,$B43,Override!$D$11:$D$40,10,Override!$C$11:$C$40,"MXAU"),Override!$L$78)/AS51!$B$3,"")))</f>
        <v/>
      </c>
      <c r="P43" s="140">
        <f>IF(P$13="","",IF($B43="","",IFERROR($C43*$D43*IF((Override!$C$4="ON")*(COUNTIFS(Override!$B$11:$B$40,$B43,Override!$D$11:$D$40,11,Override!$E$11:$E$40,"&gt;=0")-COUNTIFS(Override!$B$11:$B$40,$B43,Override!$D$11:$D$40,11,Override!$E$11:$E$40,"&gt;=0",Override!$C$11:$C$40,"MXAU"))&gt;0,SUMIFS(Override!$E$11:$E$40,Override!$B$11:$B$40,$B43,Override!$D$11:$D$40,11)-SUMIFS(Override!$E$11:$E$40,Override!$B$11:$B$40,$B43,Override!$D$11:$D$40,11,Override!$C$11:$C$40,"MXAU"),Override!$M$78)/AS51!$B$3,"")))</f>
        <v/>
      </c>
      <c r="Q43" s="140">
        <f>IF(Q$13="","",IF($B43="","",IFERROR($C43*$D43*IF((Override!$C$4="ON")*(COUNTIFS(Override!$B$11:$B$40,$B43,Override!$D$11:$D$40,12,Override!$E$11:$E$40,"&gt;=0")-COUNTIFS(Override!$B$11:$B$40,$B43,Override!$D$11:$D$40,12,Override!$E$11:$E$40,"&gt;=0",Override!$C$11:$C$40,"MXAU"))&gt;0,SUMIFS(Override!$E$11:$E$40,Override!$B$11:$B$40,$B43,Override!$D$11:$D$40,12)-SUMIFS(Override!$E$11:$E$40,Override!$B$11:$B$40,$B43,Override!$D$11:$D$40,12,Override!$C$11:$C$40,"MXAU"),Override!$N$78)/AS51!$B$3,"")))</f>
        <v/>
      </c>
      <c r="R43" s="140">
        <f>IF(R$13="","",IF($B43="","",IFERROR($C43*$D43*IF((Override!$C$4="ON")*(COUNTIFS(Override!$B$11:$B$40,$B43,Override!$D$11:$D$40,13,Override!$E$11:$E$40,"&gt;=0")-COUNTIFS(Override!$B$11:$B$40,$B43,Override!$D$11:$D$40,13,Override!$E$11:$E$40,"&gt;=0",Override!$C$11:$C$40,"MXAU"))&gt;0,SUMIFS(Override!$E$11:$E$40,Override!$B$11:$B$40,$B43,Override!$D$11:$D$40,13)-SUMIFS(Override!$E$11:$E$40,Override!$B$11:$B$40,$B43,Override!$D$11:$D$40,13,Override!$C$11:$C$40,"MXAU"),Override!$O$78)/AS51!$B$3,"")))</f>
        <v/>
      </c>
      <c r="S43" s="140">
        <f>IF(S$13="","",IF($B43="","",IFERROR($C43*$D43*IF((Override!$C$4="ON")*(COUNTIFS(Override!$B$11:$B$40,$B43,Override!$D$11:$D$40,14,Override!$E$11:$E$40,"&gt;=0")-COUNTIFS(Override!$B$11:$B$40,$B43,Override!$D$11:$D$40,14,Override!$E$11:$E$40,"&gt;=0",Override!$C$11:$C$40,"MXAU"))&gt;0,SUMIFS(Override!$E$11:$E$40,Override!$B$11:$B$40,$B43,Override!$D$11:$D$40,14)-SUMIFS(Override!$E$11:$E$40,Override!$B$11:$B$40,$B43,Override!$D$11:$D$40,14,Override!$C$11:$C$40,"MXAU"),Override!$P$78)/AS51!$B$3,"")))</f>
        <v/>
      </c>
      <c r="T43" s="140">
        <f>IF(T$13="","",IF($B43="","",IFERROR($C43*$D43*IF((Override!$C$4="ON")*(COUNTIFS(Override!$B$11:$B$40,$B43,Override!$D$11:$D$40,15,Override!$E$11:$E$40,"&gt;=0")-COUNTIFS(Override!$B$11:$B$40,$B43,Override!$D$11:$D$40,15,Override!$E$11:$E$40,"&gt;=0",Override!$C$11:$C$40,"MXAU"))&gt;0,SUMIFS(Override!$E$11:$E$40,Override!$B$11:$B$40,$B43,Override!$D$11:$D$40,15)-SUMIFS(Override!$E$11:$E$40,Override!$B$11:$B$40,$B43,Override!$D$11:$D$40,15,Override!$C$11:$C$40,"MXAU"),Override!$Q$78)/AS51!$B$3,"")))</f>
        <v/>
      </c>
      <c r="U43" s="140">
        <f>IF(U$13="","",IF($B43="","",IFERROR($C43*$D43*IF((Override!$C$4="ON")*(COUNTIFS(Override!$B$11:$B$40,$B43,Override!$D$11:$D$40,16,Override!$E$11:$E$40,"&gt;=0")-COUNTIFS(Override!$B$11:$B$40,$B43,Override!$D$11:$D$40,16,Override!$E$11:$E$40,"&gt;=0",Override!$C$11:$C$40,"MXAU"))&gt;0,SUMIFS(Override!$E$11:$E$40,Override!$B$11:$B$40,$B43,Override!$D$11:$D$40,16)-SUMIFS(Override!$E$11:$E$40,Override!$B$11:$B$40,$B43,Override!$D$11:$D$40,16,Override!$C$11:$C$40,"MXAU"),Override!$R$78)/AS51!$B$3,"")))</f>
        <v/>
      </c>
      <c r="W43" s="140">
        <f>IF(W$13="","",IF($B43="","",IFERROR(F43*$E43/100,"")))</f>
        <v/>
      </c>
      <c r="X43" s="140">
        <f>IF(X$13="","",IF($B43="","",IFERROR(G43*$E43/100,"")))</f>
        <v/>
      </c>
      <c r="Y43" s="140">
        <f>IF(Y$13="","",IF($B43="","",IFERROR(H43*$E43/100,"")))</f>
        <v/>
      </c>
      <c r="Z43" s="140">
        <f>IF(Z$13="","",IF($B43="","",IFERROR(I43*$E43/100,"")))</f>
        <v/>
      </c>
      <c r="AA43" s="140">
        <f>IF(AA$13="","",IF($B43="","",IFERROR(J43*$E43/100,"")))</f>
        <v/>
      </c>
      <c r="AB43" s="140">
        <f>IF(AB$13="","",IF($B43="","",IFERROR(K43*$E43/100,"")))</f>
        <v/>
      </c>
      <c r="AC43" s="140">
        <f>IF(AC$13="","",IF($B43="","",IFERROR(L43*$E43/100,"")))</f>
        <v/>
      </c>
      <c r="AD43" s="140">
        <f>IF(AD$13="","",IF($B43="","",IFERROR(M43*$E43/100,"")))</f>
        <v/>
      </c>
      <c r="AE43" s="140">
        <f>IF(AE$13="","",IF($B43="","",IFERROR(N43*$E43/100,"")))</f>
        <v/>
      </c>
      <c r="AF43" s="140">
        <f>IF(AF$13="","",IF($B43="","",IFERROR(O43*$E43/100,"")))</f>
        <v/>
      </c>
      <c r="AG43" s="140">
        <f>IF(AG$13="","",IF($B43="","",IFERROR(P43*$E43/100,"")))</f>
        <v/>
      </c>
      <c r="AH43" s="140">
        <f>IF(AH$13="","",IF($B43="","",IFERROR(Q43*$E43/100,"")))</f>
        <v/>
      </c>
      <c r="AI43" s="140">
        <f>IF(AI$13="","",IF($B43="","",IFERROR(R43*$E43/100,"")))</f>
        <v/>
      </c>
      <c r="AJ43" s="140">
        <f>IF(AJ$13="","",IF($B43="","",IFERROR(S43*$E43/100,"")))</f>
        <v/>
      </c>
      <c r="AK43" s="140">
        <f>IF(AK$13="","",IF($B43="","",IFERROR(T43*$E43/100,"")))</f>
        <v/>
      </c>
      <c r="AL43" s="140">
        <f>IF(AL$13="","",IF($B43="","",IFERROR(U43*$E43/100,"")))</f>
        <v/>
      </c>
      <c r="AN43" s="140">
        <f>IF($B43="","",SUMIF($F$13:$U$13,"&lt;="&amp;Sector!$D$51,$F43:$U43))</f>
        <v/>
      </c>
      <c r="AO43" s="140">
        <f>IF($B43="","",SUMIF($W$13:$AL$13,"&lt;="&amp;Sector!$D$51,$W43:$AL43))</f>
        <v/>
      </c>
    </row>
    <row r="44">
      <c r="B44" s="5">
        <f>IF(AS51!$C$34="","",AS51!$C$34)</f>
        <v/>
      </c>
      <c r="C44" s="90">
        <f>IF(AS51!$B$34="","",AS51!$B$34)</f>
        <v/>
      </c>
      <c r="D44" s="138">
        <f>IFERROR(AS51!$Q$34,1)</f>
        <v/>
      </c>
      <c r="E44" s="139">
        <f>IF($B44="","",IF(ISNUMBER(AS51!$I$34),AS51!$I$34,'Index Summary'!$C$7))</f>
        <v/>
      </c>
      <c r="F44" s="140">
        <f>IF(F$13="","",IF($B44="","",IFERROR($C44*$D44*IF((Override!$C$4="ON")*(COUNTIFS(Override!$B$11:$B$40,$B44,Override!$D$11:$D$40,1,Override!$E$11:$E$40,"&gt;=0")-COUNTIFS(Override!$B$11:$B$40,$B44,Override!$D$11:$D$40,1,Override!$E$11:$E$40,"&gt;=0",Override!$C$11:$C$40,"MXAU"))&gt;0,SUMIFS(Override!$E$11:$E$40,Override!$B$11:$B$40,$B44,Override!$D$11:$D$40,1)-SUMIFS(Override!$E$11:$E$40,Override!$B$11:$B$40,$B44,Override!$D$11:$D$40,1,Override!$C$11:$C$40,"MXAU"),Override!$C$79)/AS51!$B$3,"")))</f>
        <v/>
      </c>
      <c r="G44" s="140">
        <f>IF(G$13="","",IF($B44="","",IFERROR($C44*$D44*IF((Override!$C$4="ON")*(COUNTIFS(Override!$B$11:$B$40,$B44,Override!$D$11:$D$40,2,Override!$E$11:$E$40,"&gt;=0")-COUNTIFS(Override!$B$11:$B$40,$B44,Override!$D$11:$D$40,2,Override!$E$11:$E$40,"&gt;=0",Override!$C$11:$C$40,"MXAU"))&gt;0,SUMIFS(Override!$E$11:$E$40,Override!$B$11:$B$40,$B44,Override!$D$11:$D$40,2)-SUMIFS(Override!$E$11:$E$40,Override!$B$11:$B$40,$B44,Override!$D$11:$D$40,2,Override!$C$11:$C$40,"MXAU"),Override!$D$79)/AS51!$B$3,"")))</f>
        <v/>
      </c>
      <c r="H44" s="140">
        <f>IF(H$13="","",IF($B44="","",IFERROR($C44*$D44*IF((Override!$C$4="ON")*(COUNTIFS(Override!$B$11:$B$40,$B44,Override!$D$11:$D$40,3,Override!$E$11:$E$40,"&gt;=0")-COUNTIFS(Override!$B$11:$B$40,$B44,Override!$D$11:$D$40,3,Override!$E$11:$E$40,"&gt;=0",Override!$C$11:$C$40,"MXAU"))&gt;0,SUMIFS(Override!$E$11:$E$40,Override!$B$11:$B$40,$B44,Override!$D$11:$D$40,3)-SUMIFS(Override!$E$11:$E$40,Override!$B$11:$B$40,$B44,Override!$D$11:$D$40,3,Override!$C$11:$C$40,"MXAU"),Override!$E$79)/AS51!$B$3,"")))</f>
        <v/>
      </c>
      <c r="I44" s="140">
        <f>IF(I$13="","",IF($B44="","",IFERROR($C44*$D44*IF((Override!$C$4="ON")*(COUNTIFS(Override!$B$11:$B$40,$B44,Override!$D$11:$D$40,4,Override!$E$11:$E$40,"&gt;=0")-COUNTIFS(Override!$B$11:$B$40,$B44,Override!$D$11:$D$40,4,Override!$E$11:$E$40,"&gt;=0",Override!$C$11:$C$40,"MXAU"))&gt;0,SUMIFS(Override!$E$11:$E$40,Override!$B$11:$B$40,$B44,Override!$D$11:$D$40,4)-SUMIFS(Override!$E$11:$E$40,Override!$B$11:$B$40,$B44,Override!$D$11:$D$40,4,Override!$C$11:$C$40,"MXAU"),Override!$F$79)/AS51!$B$3,"")))</f>
        <v/>
      </c>
      <c r="J44" s="140">
        <f>IF(J$13="","",IF($B44="","",IFERROR($C44*$D44*IF((Override!$C$4="ON")*(COUNTIFS(Override!$B$11:$B$40,$B44,Override!$D$11:$D$40,5,Override!$E$11:$E$40,"&gt;=0")-COUNTIFS(Override!$B$11:$B$40,$B44,Override!$D$11:$D$40,5,Override!$E$11:$E$40,"&gt;=0",Override!$C$11:$C$40,"MXAU"))&gt;0,SUMIFS(Override!$E$11:$E$40,Override!$B$11:$B$40,$B44,Override!$D$11:$D$40,5)-SUMIFS(Override!$E$11:$E$40,Override!$B$11:$B$40,$B44,Override!$D$11:$D$40,5,Override!$C$11:$C$40,"MXAU"),Override!$G$79)/AS51!$B$3,"")))</f>
        <v/>
      </c>
      <c r="K44" s="140">
        <f>IF(K$13="","",IF($B44="","",IFERROR($C44*$D44*IF((Override!$C$4="ON")*(COUNTIFS(Override!$B$11:$B$40,$B44,Override!$D$11:$D$40,6,Override!$E$11:$E$40,"&gt;=0")-COUNTIFS(Override!$B$11:$B$40,$B44,Override!$D$11:$D$40,6,Override!$E$11:$E$40,"&gt;=0",Override!$C$11:$C$40,"MXAU"))&gt;0,SUMIFS(Override!$E$11:$E$40,Override!$B$11:$B$40,$B44,Override!$D$11:$D$40,6)-SUMIFS(Override!$E$11:$E$40,Override!$B$11:$B$40,$B44,Override!$D$11:$D$40,6,Override!$C$11:$C$40,"MXAU"),Override!$H$79)/AS51!$B$3,"")))</f>
        <v/>
      </c>
      <c r="L44" s="140">
        <f>IF(L$13="","",IF($B44="","",IFERROR($C44*$D44*IF((Override!$C$4="ON")*(COUNTIFS(Override!$B$11:$B$40,$B44,Override!$D$11:$D$40,7,Override!$E$11:$E$40,"&gt;=0")-COUNTIFS(Override!$B$11:$B$40,$B44,Override!$D$11:$D$40,7,Override!$E$11:$E$40,"&gt;=0",Override!$C$11:$C$40,"MXAU"))&gt;0,SUMIFS(Override!$E$11:$E$40,Override!$B$11:$B$40,$B44,Override!$D$11:$D$40,7)-SUMIFS(Override!$E$11:$E$40,Override!$B$11:$B$40,$B44,Override!$D$11:$D$40,7,Override!$C$11:$C$40,"MXAU"),Override!$I$79)/AS51!$B$3,"")))</f>
        <v/>
      </c>
      <c r="M44" s="140">
        <f>IF(M$13="","",IF($B44="","",IFERROR($C44*$D44*IF((Override!$C$4="ON")*(COUNTIFS(Override!$B$11:$B$40,$B44,Override!$D$11:$D$40,8,Override!$E$11:$E$40,"&gt;=0")-COUNTIFS(Override!$B$11:$B$40,$B44,Override!$D$11:$D$40,8,Override!$E$11:$E$40,"&gt;=0",Override!$C$11:$C$40,"MXAU"))&gt;0,SUMIFS(Override!$E$11:$E$40,Override!$B$11:$B$40,$B44,Override!$D$11:$D$40,8)-SUMIFS(Override!$E$11:$E$40,Override!$B$11:$B$40,$B44,Override!$D$11:$D$40,8,Override!$C$11:$C$40,"MXAU"),Override!$J$79)/AS51!$B$3,"")))</f>
        <v/>
      </c>
      <c r="N44" s="140">
        <f>IF(N$13="","",IF($B44="","",IFERROR($C44*$D44*IF((Override!$C$4="ON")*(COUNTIFS(Override!$B$11:$B$40,$B44,Override!$D$11:$D$40,9,Override!$E$11:$E$40,"&gt;=0")-COUNTIFS(Override!$B$11:$B$40,$B44,Override!$D$11:$D$40,9,Override!$E$11:$E$40,"&gt;=0",Override!$C$11:$C$40,"MXAU"))&gt;0,SUMIFS(Override!$E$11:$E$40,Override!$B$11:$B$40,$B44,Override!$D$11:$D$40,9)-SUMIFS(Override!$E$11:$E$40,Override!$B$11:$B$40,$B44,Override!$D$11:$D$40,9,Override!$C$11:$C$40,"MXAU"),Override!$K$79)/AS51!$B$3,"")))</f>
        <v/>
      </c>
      <c r="O44" s="140">
        <f>IF(O$13="","",IF($B44="","",IFERROR($C44*$D44*IF((Override!$C$4="ON")*(COUNTIFS(Override!$B$11:$B$40,$B44,Override!$D$11:$D$40,10,Override!$E$11:$E$40,"&gt;=0")-COUNTIFS(Override!$B$11:$B$40,$B44,Override!$D$11:$D$40,10,Override!$E$11:$E$40,"&gt;=0",Override!$C$11:$C$40,"MXAU"))&gt;0,SUMIFS(Override!$E$11:$E$40,Override!$B$11:$B$40,$B44,Override!$D$11:$D$40,10)-SUMIFS(Override!$E$11:$E$40,Override!$B$11:$B$40,$B44,Override!$D$11:$D$40,10,Override!$C$11:$C$40,"MXAU"),Override!$L$79)/AS51!$B$3,"")))</f>
        <v/>
      </c>
      <c r="P44" s="140">
        <f>IF(P$13="","",IF($B44="","",IFERROR($C44*$D44*IF((Override!$C$4="ON")*(COUNTIFS(Override!$B$11:$B$40,$B44,Override!$D$11:$D$40,11,Override!$E$11:$E$40,"&gt;=0")-COUNTIFS(Override!$B$11:$B$40,$B44,Override!$D$11:$D$40,11,Override!$E$11:$E$40,"&gt;=0",Override!$C$11:$C$40,"MXAU"))&gt;0,SUMIFS(Override!$E$11:$E$40,Override!$B$11:$B$40,$B44,Override!$D$11:$D$40,11)-SUMIFS(Override!$E$11:$E$40,Override!$B$11:$B$40,$B44,Override!$D$11:$D$40,11,Override!$C$11:$C$40,"MXAU"),Override!$M$79)/AS51!$B$3,"")))</f>
        <v/>
      </c>
      <c r="Q44" s="140">
        <f>IF(Q$13="","",IF($B44="","",IFERROR($C44*$D44*IF((Override!$C$4="ON")*(COUNTIFS(Override!$B$11:$B$40,$B44,Override!$D$11:$D$40,12,Override!$E$11:$E$40,"&gt;=0")-COUNTIFS(Override!$B$11:$B$40,$B44,Override!$D$11:$D$40,12,Override!$E$11:$E$40,"&gt;=0",Override!$C$11:$C$40,"MXAU"))&gt;0,SUMIFS(Override!$E$11:$E$40,Override!$B$11:$B$40,$B44,Override!$D$11:$D$40,12)-SUMIFS(Override!$E$11:$E$40,Override!$B$11:$B$40,$B44,Override!$D$11:$D$40,12,Override!$C$11:$C$40,"MXAU"),Override!$N$79)/AS51!$B$3,"")))</f>
        <v/>
      </c>
      <c r="R44" s="140">
        <f>IF(R$13="","",IF($B44="","",IFERROR($C44*$D44*IF((Override!$C$4="ON")*(COUNTIFS(Override!$B$11:$B$40,$B44,Override!$D$11:$D$40,13,Override!$E$11:$E$40,"&gt;=0")-COUNTIFS(Override!$B$11:$B$40,$B44,Override!$D$11:$D$40,13,Override!$E$11:$E$40,"&gt;=0",Override!$C$11:$C$40,"MXAU"))&gt;0,SUMIFS(Override!$E$11:$E$40,Override!$B$11:$B$40,$B44,Override!$D$11:$D$40,13)-SUMIFS(Override!$E$11:$E$40,Override!$B$11:$B$40,$B44,Override!$D$11:$D$40,13,Override!$C$11:$C$40,"MXAU"),Override!$O$79)/AS51!$B$3,"")))</f>
        <v/>
      </c>
      <c r="S44" s="140">
        <f>IF(S$13="","",IF($B44="","",IFERROR($C44*$D44*IF((Override!$C$4="ON")*(COUNTIFS(Override!$B$11:$B$40,$B44,Override!$D$11:$D$40,14,Override!$E$11:$E$40,"&gt;=0")-COUNTIFS(Override!$B$11:$B$40,$B44,Override!$D$11:$D$40,14,Override!$E$11:$E$40,"&gt;=0",Override!$C$11:$C$40,"MXAU"))&gt;0,SUMIFS(Override!$E$11:$E$40,Override!$B$11:$B$40,$B44,Override!$D$11:$D$40,14)-SUMIFS(Override!$E$11:$E$40,Override!$B$11:$B$40,$B44,Override!$D$11:$D$40,14,Override!$C$11:$C$40,"MXAU"),Override!$P$79)/AS51!$B$3,"")))</f>
        <v/>
      </c>
      <c r="T44" s="140">
        <f>IF(T$13="","",IF($B44="","",IFERROR($C44*$D44*IF((Override!$C$4="ON")*(COUNTIFS(Override!$B$11:$B$40,$B44,Override!$D$11:$D$40,15,Override!$E$11:$E$40,"&gt;=0")-COUNTIFS(Override!$B$11:$B$40,$B44,Override!$D$11:$D$40,15,Override!$E$11:$E$40,"&gt;=0",Override!$C$11:$C$40,"MXAU"))&gt;0,SUMIFS(Override!$E$11:$E$40,Override!$B$11:$B$40,$B44,Override!$D$11:$D$40,15)-SUMIFS(Override!$E$11:$E$40,Override!$B$11:$B$40,$B44,Override!$D$11:$D$40,15,Override!$C$11:$C$40,"MXAU"),Override!$Q$79)/AS51!$B$3,"")))</f>
        <v/>
      </c>
      <c r="U44" s="140">
        <f>IF(U$13="","",IF($B44="","",IFERROR($C44*$D44*IF((Override!$C$4="ON")*(COUNTIFS(Override!$B$11:$B$40,$B44,Override!$D$11:$D$40,16,Override!$E$11:$E$40,"&gt;=0")-COUNTIFS(Override!$B$11:$B$40,$B44,Override!$D$11:$D$40,16,Override!$E$11:$E$40,"&gt;=0",Override!$C$11:$C$40,"MXAU"))&gt;0,SUMIFS(Override!$E$11:$E$40,Override!$B$11:$B$40,$B44,Override!$D$11:$D$40,16)-SUMIFS(Override!$E$11:$E$40,Override!$B$11:$B$40,$B44,Override!$D$11:$D$40,16,Override!$C$11:$C$40,"MXAU"),Override!$R$79)/AS51!$B$3,"")))</f>
        <v/>
      </c>
      <c r="W44" s="140">
        <f>IF(W$13="","",IF($B44="","",IFERROR(F44*$E44/100,"")))</f>
        <v/>
      </c>
      <c r="X44" s="140">
        <f>IF(X$13="","",IF($B44="","",IFERROR(G44*$E44/100,"")))</f>
        <v/>
      </c>
      <c r="Y44" s="140">
        <f>IF(Y$13="","",IF($B44="","",IFERROR(H44*$E44/100,"")))</f>
        <v/>
      </c>
      <c r="Z44" s="140">
        <f>IF(Z$13="","",IF($B44="","",IFERROR(I44*$E44/100,"")))</f>
        <v/>
      </c>
      <c r="AA44" s="140">
        <f>IF(AA$13="","",IF($B44="","",IFERROR(J44*$E44/100,"")))</f>
        <v/>
      </c>
      <c r="AB44" s="140">
        <f>IF(AB$13="","",IF($B44="","",IFERROR(K44*$E44/100,"")))</f>
        <v/>
      </c>
      <c r="AC44" s="140">
        <f>IF(AC$13="","",IF($B44="","",IFERROR(L44*$E44/100,"")))</f>
        <v/>
      </c>
      <c r="AD44" s="140">
        <f>IF(AD$13="","",IF($B44="","",IFERROR(M44*$E44/100,"")))</f>
        <v/>
      </c>
      <c r="AE44" s="140">
        <f>IF(AE$13="","",IF($B44="","",IFERROR(N44*$E44/100,"")))</f>
        <v/>
      </c>
      <c r="AF44" s="140">
        <f>IF(AF$13="","",IF($B44="","",IFERROR(O44*$E44/100,"")))</f>
        <v/>
      </c>
      <c r="AG44" s="140">
        <f>IF(AG$13="","",IF($B44="","",IFERROR(P44*$E44/100,"")))</f>
        <v/>
      </c>
      <c r="AH44" s="140">
        <f>IF(AH$13="","",IF($B44="","",IFERROR(Q44*$E44/100,"")))</f>
        <v/>
      </c>
      <c r="AI44" s="140">
        <f>IF(AI$13="","",IF($B44="","",IFERROR(R44*$E44/100,"")))</f>
        <v/>
      </c>
      <c r="AJ44" s="140">
        <f>IF(AJ$13="","",IF($B44="","",IFERROR(S44*$E44/100,"")))</f>
        <v/>
      </c>
      <c r="AK44" s="140">
        <f>IF(AK$13="","",IF($B44="","",IFERROR(T44*$E44/100,"")))</f>
        <v/>
      </c>
      <c r="AL44" s="140">
        <f>IF(AL$13="","",IF($B44="","",IFERROR(U44*$E44/100,"")))</f>
        <v/>
      </c>
      <c r="AN44" s="140">
        <f>IF($B44="","",SUMIF($F$13:$U$13,"&lt;="&amp;Sector!$D$51,$F44:$U44))</f>
        <v/>
      </c>
      <c r="AO44" s="140">
        <f>IF($B44="","",SUMIF($W$13:$AL$13,"&lt;="&amp;Sector!$D$51,$W44:$AL44))</f>
        <v/>
      </c>
    </row>
    <row r="45">
      <c r="B45" s="5">
        <f>IF(AS51!$C$35="","",AS51!$C$35)</f>
        <v/>
      </c>
      <c r="C45" s="90">
        <f>IF(AS51!$B$35="","",AS51!$B$35)</f>
        <v/>
      </c>
      <c r="D45" s="138">
        <f>IFERROR(AS51!$Q$35,1)</f>
        <v/>
      </c>
      <c r="E45" s="139">
        <f>IF($B45="","",IF(ISNUMBER(AS51!$I$35),AS51!$I$35,'Index Summary'!$C$7))</f>
        <v/>
      </c>
      <c r="F45" s="140">
        <f>IF(F$13="","",IF($B45="","",IFERROR($C45*$D45*IF((Override!$C$4="ON")*(COUNTIFS(Override!$B$11:$B$40,$B45,Override!$D$11:$D$40,1,Override!$E$11:$E$40,"&gt;=0")-COUNTIFS(Override!$B$11:$B$40,$B45,Override!$D$11:$D$40,1,Override!$E$11:$E$40,"&gt;=0",Override!$C$11:$C$40,"MXAU"))&gt;0,SUMIFS(Override!$E$11:$E$40,Override!$B$11:$B$40,$B45,Override!$D$11:$D$40,1)-SUMIFS(Override!$E$11:$E$40,Override!$B$11:$B$40,$B45,Override!$D$11:$D$40,1,Override!$C$11:$C$40,"MXAU"),Override!$C$80)/AS51!$B$3,"")))</f>
        <v/>
      </c>
      <c r="G45" s="140">
        <f>IF(G$13="","",IF($B45="","",IFERROR($C45*$D45*IF((Override!$C$4="ON")*(COUNTIFS(Override!$B$11:$B$40,$B45,Override!$D$11:$D$40,2,Override!$E$11:$E$40,"&gt;=0")-COUNTIFS(Override!$B$11:$B$40,$B45,Override!$D$11:$D$40,2,Override!$E$11:$E$40,"&gt;=0",Override!$C$11:$C$40,"MXAU"))&gt;0,SUMIFS(Override!$E$11:$E$40,Override!$B$11:$B$40,$B45,Override!$D$11:$D$40,2)-SUMIFS(Override!$E$11:$E$40,Override!$B$11:$B$40,$B45,Override!$D$11:$D$40,2,Override!$C$11:$C$40,"MXAU"),Override!$D$80)/AS51!$B$3,"")))</f>
        <v/>
      </c>
      <c r="H45" s="140">
        <f>IF(H$13="","",IF($B45="","",IFERROR($C45*$D45*IF((Override!$C$4="ON")*(COUNTIFS(Override!$B$11:$B$40,$B45,Override!$D$11:$D$40,3,Override!$E$11:$E$40,"&gt;=0")-COUNTIFS(Override!$B$11:$B$40,$B45,Override!$D$11:$D$40,3,Override!$E$11:$E$40,"&gt;=0",Override!$C$11:$C$40,"MXAU"))&gt;0,SUMIFS(Override!$E$11:$E$40,Override!$B$11:$B$40,$B45,Override!$D$11:$D$40,3)-SUMIFS(Override!$E$11:$E$40,Override!$B$11:$B$40,$B45,Override!$D$11:$D$40,3,Override!$C$11:$C$40,"MXAU"),Override!$E$80)/AS51!$B$3,"")))</f>
        <v/>
      </c>
      <c r="I45" s="140">
        <f>IF(I$13="","",IF($B45="","",IFERROR($C45*$D45*IF((Override!$C$4="ON")*(COUNTIFS(Override!$B$11:$B$40,$B45,Override!$D$11:$D$40,4,Override!$E$11:$E$40,"&gt;=0")-COUNTIFS(Override!$B$11:$B$40,$B45,Override!$D$11:$D$40,4,Override!$E$11:$E$40,"&gt;=0",Override!$C$11:$C$40,"MXAU"))&gt;0,SUMIFS(Override!$E$11:$E$40,Override!$B$11:$B$40,$B45,Override!$D$11:$D$40,4)-SUMIFS(Override!$E$11:$E$40,Override!$B$11:$B$40,$B45,Override!$D$11:$D$40,4,Override!$C$11:$C$40,"MXAU"),Override!$F$80)/AS51!$B$3,"")))</f>
        <v/>
      </c>
      <c r="J45" s="140">
        <f>IF(J$13="","",IF($B45="","",IFERROR($C45*$D45*IF((Override!$C$4="ON")*(COUNTIFS(Override!$B$11:$B$40,$B45,Override!$D$11:$D$40,5,Override!$E$11:$E$40,"&gt;=0")-COUNTIFS(Override!$B$11:$B$40,$B45,Override!$D$11:$D$40,5,Override!$E$11:$E$40,"&gt;=0",Override!$C$11:$C$40,"MXAU"))&gt;0,SUMIFS(Override!$E$11:$E$40,Override!$B$11:$B$40,$B45,Override!$D$11:$D$40,5)-SUMIFS(Override!$E$11:$E$40,Override!$B$11:$B$40,$B45,Override!$D$11:$D$40,5,Override!$C$11:$C$40,"MXAU"),Override!$G$80)/AS51!$B$3,"")))</f>
        <v/>
      </c>
      <c r="K45" s="140">
        <f>IF(K$13="","",IF($B45="","",IFERROR($C45*$D45*IF((Override!$C$4="ON")*(COUNTIFS(Override!$B$11:$B$40,$B45,Override!$D$11:$D$40,6,Override!$E$11:$E$40,"&gt;=0")-COUNTIFS(Override!$B$11:$B$40,$B45,Override!$D$11:$D$40,6,Override!$E$11:$E$40,"&gt;=0",Override!$C$11:$C$40,"MXAU"))&gt;0,SUMIFS(Override!$E$11:$E$40,Override!$B$11:$B$40,$B45,Override!$D$11:$D$40,6)-SUMIFS(Override!$E$11:$E$40,Override!$B$11:$B$40,$B45,Override!$D$11:$D$40,6,Override!$C$11:$C$40,"MXAU"),Override!$H$80)/AS51!$B$3,"")))</f>
        <v/>
      </c>
      <c r="L45" s="140">
        <f>IF(L$13="","",IF($B45="","",IFERROR($C45*$D45*IF((Override!$C$4="ON")*(COUNTIFS(Override!$B$11:$B$40,$B45,Override!$D$11:$D$40,7,Override!$E$11:$E$40,"&gt;=0")-COUNTIFS(Override!$B$11:$B$40,$B45,Override!$D$11:$D$40,7,Override!$E$11:$E$40,"&gt;=0",Override!$C$11:$C$40,"MXAU"))&gt;0,SUMIFS(Override!$E$11:$E$40,Override!$B$11:$B$40,$B45,Override!$D$11:$D$40,7)-SUMIFS(Override!$E$11:$E$40,Override!$B$11:$B$40,$B45,Override!$D$11:$D$40,7,Override!$C$11:$C$40,"MXAU"),Override!$I$80)/AS51!$B$3,"")))</f>
        <v/>
      </c>
      <c r="M45" s="140">
        <f>IF(M$13="","",IF($B45="","",IFERROR($C45*$D45*IF((Override!$C$4="ON")*(COUNTIFS(Override!$B$11:$B$40,$B45,Override!$D$11:$D$40,8,Override!$E$11:$E$40,"&gt;=0")-COUNTIFS(Override!$B$11:$B$40,$B45,Override!$D$11:$D$40,8,Override!$E$11:$E$40,"&gt;=0",Override!$C$11:$C$40,"MXAU"))&gt;0,SUMIFS(Override!$E$11:$E$40,Override!$B$11:$B$40,$B45,Override!$D$11:$D$40,8)-SUMIFS(Override!$E$11:$E$40,Override!$B$11:$B$40,$B45,Override!$D$11:$D$40,8,Override!$C$11:$C$40,"MXAU"),Override!$J$80)/AS51!$B$3,"")))</f>
        <v/>
      </c>
      <c r="N45" s="140">
        <f>IF(N$13="","",IF($B45="","",IFERROR($C45*$D45*IF((Override!$C$4="ON")*(COUNTIFS(Override!$B$11:$B$40,$B45,Override!$D$11:$D$40,9,Override!$E$11:$E$40,"&gt;=0")-COUNTIFS(Override!$B$11:$B$40,$B45,Override!$D$11:$D$40,9,Override!$E$11:$E$40,"&gt;=0",Override!$C$11:$C$40,"MXAU"))&gt;0,SUMIFS(Override!$E$11:$E$40,Override!$B$11:$B$40,$B45,Override!$D$11:$D$40,9)-SUMIFS(Override!$E$11:$E$40,Override!$B$11:$B$40,$B45,Override!$D$11:$D$40,9,Override!$C$11:$C$40,"MXAU"),Override!$K$80)/AS51!$B$3,"")))</f>
        <v/>
      </c>
      <c r="O45" s="140">
        <f>IF(O$13="","",IF($B45="","",IFERROR($C45*$D45*IF((Override!$C$4="ON")*(COUNTIFS(Override!$B$11:$B$40,$B45,Override!$D$11:$D$40,10,Override!$E$11:$E$40,"&gt;=0")-COUNTIFS(Override!$B$11:$B$40,$B45,Override!$D$11:$D$40,10,Override!$E$11:$E$40,"&gt;=0",Override!$C$11:$C$40,"MXAU"))&gt;0,SUMIFS(Override!$E$11:$E$40,Override!$B$11:$B$40,$B45,Override!$D$11:$D$40,10)-SUMIFS(Override!$E$11:$E$40,Override!$B$11:$B$40,$B45,Override!$D$11:$D$40,10,Override!$C$11:$C$40,"MXAU"),Override!$L$80)/AS51!$B$3,"")))</f>
        <v/>
      </c>
      <c r="P45" s="140">
        <f>IF(P$13="","",IF($B45="","",IFERROR($C45*$D45*IF((Override!$C$4="ON")*(COUNTIFS(Override!$B$11:$B$40,$B45,Override!$D$11:$D$40,11,Override!$E$11:$E$40,"&gt;=0")-COUNTIFS(Override!$B$11:$B$40,$B45,Override!$D$11:$D$40,11,Override!$E$11:$E$40,"&gt;=0",Override!$C$11:$C$40,"MXAU"))&gt;0,SUMIFS(Override!$E$11:$E$40,Override!$B$11:$B$40,$B45,Override!$D$11:$D$40,11)-SUMIFS(Override!$E$11:$E$40,Override!$B$11:$B$40,$B45,Override!$D$11:$D$40,11,Override!$C$11:$C$40,"MXAU"),Override!$M$80)/AS51!$B$3,"")))</f>
        <v/>
      </c>
      <c r="Q45" s="140">
        <f>IF(Q$13="","",IF($B45="","",IFERROR($C45*$D45*IF((Override!$C$4="ON")*(COUNTIFS(Override!$B$11:$B$40,$B45,Override!$D$11:$D$40,12,Override!$E$11:$E$40,"&gt;=0")-COUNTIFS(Override!$B$11:$B$40,$B45,Override!$D$11:$D$40,12,Override!$E$11:$E$40,"&gt;=0",Override!$C$11:$C$40,"MXAU"))&gt;0,SUMIFS(Override!$E$11:$E$40,Override!$B$11:$B$40,$B45,Override!$D$11:$D$40,12)-SUMIFS(Override!$E$11:$E$40,Override!$B$11:$B$40,$B45,Override!$D$11:$D$40,12,Override!$C$11:$C$40,"MXAU"),Override!$N$80)/AS51!$B$3,"")))</f>
        <v/>
      </c>
      <c r="R45" s="140">
        <f>IF(R$13="","",IF($B45="","",IFERROR($C45*$D45*IF((Override!$C$4="ON")*(COUNTIFS(Override!$B$11:$B$40,$B45,Override!$D$11:$D$40,13,Override!$E$11:$E$40,"&gt;=0")-COUNTIFS(Override!$B$11:$B$40,$B45,Override!$D$11:$D$40,13,Override!$E$11:$E$40,"&gt;=0",Override!$C$11:$C$40,"MXAU"))&gt;0,SUMIFS(Override!$E$11:$E$40,Override!$B$11:$B$40,$B45,Override!$D$11:$D$40,13)-SUMIFS(Override!$E$11:$E$40,Override!$B$11:$B$40,$B45,Override!$D$11:$D$40,13,Override!$C$11:$C$40,"MXAU"),Override!$O$80)/AS51!$B$3,"")))</f>
        <v/>
      </c>
      <c r="S45" s="140">
        <f>IF(S$13="","",IF($B45="","",IFERROR($C45*$D45*IF((Override!$C$4="ON")*(COUNTIFS(Override!$B$11:$B$40,$B45,Override!$D$11:$D$40,14,Override!$E$11:$E$40,"&gt;=0")-COUNTIFS(Override!$B$11:$B$40,$B45,Override!$D$11:$D$40,14,Override!$E$11:$E$40,"&gt;=0",Override!$C$11:$C$40,"MXAU"))&gt;0,SUMIFS(Override!$E$11:$E$40,Override!$B$11:$B$40,$B45,Override!$D$11:$D$40,14)-SUMIFS(Override!$E$11:$E$40,Override!$B$11:$B$40,$B45,Override!$D$11:$D$40,14,Override!$C$11:$C$40,"MXAU"),Override!$P$80)/AS51!$B$3,"")))</f>
        <v/>
      </c>
      <c r="T45" s="140">
        <f>IF(T$13="","",IF($B45="","",IFERROR($C45*$D45*IF((Override!$C$4="ON")*(COUNTIFS(Override!$B$11:$B$40,$B45,Override!$D$11:$D$40,15,Override!$E$11:$E$40,"&gt;=0")-COUNTIFS(Override!$B$11:$B$40,$B45,Override!$D$11:$D$40,15,Override!$E$11:$E$40,"&gt;=0",Override!$C$11:$C$40,"MXAU"))&gt;0,SUMIFS(Override!$E$11:$E$40,Override!$B$11:$B$40,$B45,Override!$D$11:$D$40,15)-SUMIFS(Override!$E$11:$E$40,Override!$B$11:$B$40,$B45,Override!$D$11:$D$40,15,Override!$C$11:$C$40,"MXAU"),Override!$Q$80)/AS51!$B$3,"")))</f>
        <v/>
      </c>
      <c r="U45" s="140">
        <f>IF(U$13="","",IF($B45="","",IFERROR($C45*$D45*IF((Override!$C$4="ON")*(COUNTIFS(Override!$B$11:$B$40,$B45,Override!$D$11:$D$40,16,Override!$E$11:$E$40,"&gt;=0")-COUNTIFS(Override!$B$11:$B$40,$B45,Override!$D$11:$D$40,16,Override!$E$11:$E$40,"&gt;=0",Override!$C$11:$C$40,"MXAU"))&gt;0,SUMIFS(Override!$E$11:$E$40,Override!$B$11:$B$40,$B45,Override!$D$11:$D$40,16)-SUMIFS(Override!$E$11:$E$40,Override!$B$11:$B$40,$B45,Override!$D$11:$D$40,16,Override!$C$11:$C$40,"MXAU"),Override!$R$80)/AS51!$B$3,"")))</f>
        <v/>
      </c>
      <c r="W45" s="140">
        <f>IF(W$13="","",IF($B45="","",IFERROR(F45*$E45/100,"")))</f>
        <v/>
      </c>
      <c r="X45" s="140">
        <f>IF(X$13="","",IF($B45="","",IFERROR(G45*$E45/100,"")))</f>
        <v/>
      </c>
      <c r="Y45" s="140">
        <f>IF(Y$13="","",IF($B45="","",IFERROR(H45*$E45/100,"")))</f>
        <v/>
      </c>
      <c r="Z45" s="140">
        <f>IF(Z$13="","",IF($B45="","",IFERROR(I45*$E45/100,"")))</f>
        <v/>
      </c>
      <c r="AA45" s="140">
        <f>IF(AA$13="","",IF($B45="","",IFERROR(J45*$E45/100,"")))</f>
        <v/>
      </c>
      <c r="AB45" s="140">
        <f>IF(AB$13="","",IF($B45="","",IFERROR(K45*$E45/100,"")))</f>
        <v/>
      </c>
      <c r="AC45" s="140">
        <f>IF(AC$13="","",IF($B45="","",IFERROR(L45*$E45/100,"")))</f>
        <v/>
      </c>
      <c r="AD45" s="140">
        <f>IF(AD$13="","",IF($B45="","",IFERROR(M45*$E45/100,"")))</f>
        <v/>
      </c>
      <c r="AE45" s="140">
        <f>IF(AE$13="","",IF($B45="","",IFERROR(N45*$E45/100,"")))</f>
        <v/>
      </c>
      <c r="AF45" s="140">
        <f>IF(AF$13="","",IF($B45="","",IFERROR(O45*$E45/100,"")))</f>
        <v/>
      </c>
      <c r="AG45" s="140">
        <f>IF(AG$13="","",IF($B45="","",IFERROR(P45*$E45/100,"")))</f>
        <v/>
      </c>
      <c r="AH45" s="140">
        <f>IF(AH$13="","",IF($B45="","",IFERROR(Q45*$E45/100,"")))</f>
        <v/>
      </c>
      <c r="AI45" s="140">
        <f>IF(AI$13="","",IF($B45="","",IFERROR(R45*$E45/100,"")))</f>
        <v/>
      </c>
      <c r="AJ45" s="140">
        <f>IF(AJ$13="","",IF($B45="","",IFERROR(S45*$E45/100,"")))</f>
        <v/>
      </c>
      <c r="AK45" s="140">
        <f>IF(AK$13="","",IF($B45="","",IFERROR(T45*$E45/100,"")))</f>
        <v/>
      </c>
      <c r="AL45" s="140">
        <f>IF(AL$13="","",IF($B45="","",IFERROR(U45*$E45/100,"")))</f>
        <v/>
      </c>
      <c r="AN45" s="140">
        <f>IF($B45="","",SUMIF($F$13:$U$13,"&lt;="&amp;Sector!$D$51,$F45:$U45))</f>
        <v/>
      </c>
      <c r="AO45" s="140">
        <f>IF($B45="","",SUMIF($W$13:$AL$13,"&lt;="&amp;Sector!$D$51,$W45:$AL45))</f>
        <v/>
      </c>
    </row>
    <row r="46">
      <c r="B46" s="5">
        <f>IF(AS51!$C$36="","",AS51!$C$36)</f>
        <v/>
      </c>
      <c r="C46" s="90">
        <f>IF(AS51!$B$36="","",AS51!$B$36)</f>
        <v/>
      </c>
      <c r="D46" s="138">
        <f>IFERROR(AS51!$Q$36,1)</f>
        <v/>
      </c>
      <c r="E46" s="139">
        <f>IF($B46="","",IF(ISNUMBER(AS51!$I$36),AS51!$I$36,'Index Summary'!$C$7))</f>
        <v/>
      </c>
      <c r="F46" s="140">
        <f>IF(F$13="","",IF($B46="","",IFERROR($C46*$D46*IF((Override!$C$4="ON")*(COUNTIFS(Override!$B$11:$B$40,$B46,Override!$D$11:$D$40,1,Override!$E$11:$E$40,"&gt;=0")-COUNTIFS(Override!$B$11:$B$40,$B46,Override!$D$11:$D$40,1,Override!$E$11:$E$40,"&gt;=0",Override!$C$11:$C$40,"MXAU"))&gt;0,SUMIFS(Override!$E$11:$E$40,Override!$B$11:$B$40,$B46,Override!$D$11:$D$40,1)-SUMIFS(Override!$E$11:$E$40,Override!$B$11:$B$40,$B46,Override!$D$11:$D$40,1,Override!$C$11:$C$40,"MXAU"),Override!$C$81)/AS51!$B$3,"")))</f>
        <v/>
      </c>
      <c r="G46" s="140">
        <f>IF(G$13="","",IF($B46="","",IFERROR($C46*$D46*IF((Override!$C$4="ON")*(COUNTIFS(Override!$B$11:$B$40,$B46,Override!$D$11:$D$40,2,Override!$E$11:$E$40,"&gt;=0")-COUNTIFS(Override!$B$11:$B$40,$B46,Override!$D$11:$D$40,2,Override!$E$11:$E$40,"&gt;=0",Override!$C$11:$C$40,"MXAU"))&gt;0,SUMIFS(Override!$E$11:$E$40,Override!$B$11:$B$40,$B46,Override!$D$11:$D$40,2)-SUMIFS(Override!$E$11:$E$40,Override!$B$11:$B$40,$B46,Override!$D$11:$D$40,2,Override!$C$11:$C$40,"MXAU"),Override!$D$81)/AS51!$B$3,"")))</f>
        <v/>
      </c>
      <c r="H46" s="140">
        <f>IF(H$13="","",IF($B46="","",IFERROR($C46*$D46*IF((Override!$C$4="ON")*(COUNTIFS(Override!$B$11:$B$40,$B46,Override!$D$11:$D$40,3,Override!$E$11:$E$40,"&gt;=0")-COUNTIFS(Override!$B$11:$B$40,$B46,Override!$D$11:$D$40,3,Override!$E$11:$E$40,"&gt;=0",Override!$C$11:$C$40,"MXAU"))&gt;0,SUMIFS(Override!$E$11:$E$40,Override!$B$11:$B$40,$B46,Override!$D$11:$D$40,3)-SUMIFS(Override!$E$11:$E$40,Override!$B$11:$B$40,$B46,Override!$D$11:$D$40,3,Override!$C$11:$C$40,"MXAU"),Override!$E$81)/AS51!$B$3,"")))</f>
        <v/>
      </c>
      <c r="I46" s="140">
        <f>IF(I$13="","",IF($B46="","",IFERROR($C46*$D46*IF((Override!$C$4="ON")*(COUNTIFS(Override!$B$11:$B$40,$B46,Override!$D$11:$D$40,4,Override!$E$11:$E$40,"&gt;=0")-COUNTIFS(Override!$B$11:$B$40,$B46,Override!$D$11:$D$40,4,Override!$E$11:$E$40,"&gt;=0",Override!$C$11:$C$40,"MXAU"))&gt;0,SUMIFS(Override!$E$11:$E$40,Override!$B$11:$B$40,$B46,Override!$D$11:$D$40,4)-SUMIFS(Override!$E$11:$E$40,Override!$B$11:$B$40,$B46,Override!$D$11:$D$40,4,Override!$C$11:$C$40,"MXAU"),Override!$F$81)/AS51!$B$3,"")))</f>
        <v/>
      </c>
      <c r="J46" s="140">
        <f>IF(J$13="","",IF($B46="","",IFERROR($C46*$D46*IF((Override!$C$4="ON")*(COUNTIFS(Override!$B$11:$B$40,$B46,Override!$D$11:$D$40,5,Override!$E$11:$E$40,"&gt;=0")-COUNTIFS(Override!$B$11:$B$40,$B46,Override!$D$11:$D$40,5,Override!$E$11:$E$40,"&gt;=0",Override!$C$11:$C$40,"MXAU"))&gt;0,SUMIFS(Override!$E$11:$E$40,Override!$B$11:$B$40,$B46,Override!$D$11:$D$40,5)-SUMIFS(Override!$E$11:$E$40,Override!$B$11:$B$40,$B46,Override!$D$11:$D$40,5,Override!$C$11:$C$40,"MXAU"),Override!$G$81)/AS51!$B$3,"")))</f>
        <v/>
      </c>
      <c r="K46" s="140">
        <f>IF(K$13="","",IF($B46="","",IFERROR($C46*$D46*IF((Override!$C$4="ON")*(COUNTIFS(Override!$B$11:$B$40,$B46,Override!$D$11:$D$40,6,Override!$E$11:$E$40,"&gt;=0")-COUNTIFS(Override!$B$11:$B$40,$B46,Override!$D$11:$D$40,6,Override!$E$11:$E$40,"&gt;=0",Override!$C$11:$C$40,"MXAU"))&gt;0,SUMIFS(Override!$E$11:$E$40,Override!$B$11:$B$40,$B46,Override!$D$11:$D$40,6)-SUMIFS(Override!$E$11:$E$40,Override!$B$11:$B$40,$B46,Override!$D$11:$D$40,6,Override!$C$11:$C$40,"MXAU"),Override!$H$81)/AS51!$B$3,"")))</f>
        <v/>
      </c>
      <c r="L46" s="140">
        <f>IF(L$13="","",IF($B46="","",IFERROR($C46*$D46*IF((Override!$C$4="ON")*(COUNTIFS(Override!$B$11:$B$40,$B46,Override!$D$11:$D$40,7,Override!$E$11:$E$40,"&gt;=0")-COUNTIFS(Override!$B$11:$B$40,$B46,Override!$D$11:$D$40,7,Override!$E$11:$E$40,"&gt;=0",Override!$C$11:$C$40,"MXAU"))&gt;0,SUMIFS(Override!$E$11:$E$40,Override!$B$11:$B$40,$B46,Override!$D$11:$D$40,7)-SUMIFS(Override!$E$11:$E$40,Override!$B$11:$B$40,$B46,Override!$D$11:$D$40,7,Override!$C$11:$C$40,"MXAU"),Override!$I$81)/AS51!$B$3,"")))</f>
        <v/>
      </c>
      <c r="M46" s="140">
        <f>IF(M$13="","",IF($B46="","",IFERROR($C46*$D46*IF((Override!$C$4="ON")*(COUNTIFS(Override!$B$11:$B$40,$B46,Override!$D$11:$D$40,8,Override!$E$11:$E$40,"&gt;=0")-COUNTIFS(Override!$B$11:$B$40,$B46,Override!$D$11:$D$40,8,Override!$E$11:$E$40,"&gt;=0",Override!$C$11:$C$40,"MXAU"))&gt;0,SUMIFS(Override!$E$11:$E$40,Override!$B$11:$B$40,$B46,Override!$D$11:$D$40,8)-SUMIFS(Override!$E$11:$E$40,Override!$B$11:$B$40,$B46,Override!$D$11:$D$40,8,Override!$C$11:$C$40,"MXAU"),Override!$J$81)/AS51!$B$3,"")))</f>
        <v/>
      </c>
      <c r="N46" s="140">
        <f>IF(N$13="","",IF($B46="","",IFERROR($C46*$D46*IF((Override!$C$4="ON")*(COUNTIFS(Override!$B$11:$B$40,$B46,Override!$D$11:$D$40,9,Override!$E$11:$E$40,"&gt;=0")-COUNTIFS(Override!$B$11:$B$40,$B46,Override!$D$11:$D$40,9,Override!$E$11:$E$40,"&gt;=0",Override!$C$11:$C$40,"MXAU"))&gt;0,SUMIFS(Override!$E$11:$E$40,Override!$B$11:$B$40,$B46,Override!$D$11:$D$40,9)-SUMIFS(Override!$E$11:$E$40,Override!$B$11:$B$40,$B46,Override!$D$11:$D$40,9,Override!$C$11:$C$40,"MXAU"),Override!$K$81)/AS51!$B$3,"")))</f>
        <v/>
      </c>
      <c r="O46" s="140">
        <f>IF(O$13="","",IF($B46="","",IFERROR($C46*$D46*IF((Override!$C$4="ON")*(COUNTIFS(Override!$B$11:$B$40,$B46,Override!$D$11:$D$40,10,Override!$E$11:$E$40,"&gt;=0")-COUNTIFS(Override!$B$11:$B$40,$B46,Override!$D$11:$D$40,10,Override!$E$11:$E$40,"&gt;=0",Override!$C$11:$C$40,"MXAU"))&gt;0,SUMIFS(Override!$E$11:$E$40,Override!$B$11:$B$40,$B46,Override!$D$11:$D$40,10)-SUMIFS(Override!$E$11:$E$40,Override!$B$11:$B$40,$B46,Override!$D$11:$D$40,10,Override!$C$11:$C$40,"MXAU"),Override!$L$81)/AS51!$B$3,"")))</f>
        <v/>
      </c>
      <c r="P46" s="140">
        <f>IF(P$13="","",IF($B46="","",IFERROR($C46*$D46*IF((Override!$C$4="ON")*(COUNTIFS(Override!$B$11:$B$40,$B46,Override!$D$11:$D$40,11,Override!$E$11:$E$40,"&gt;=0")-COUNTIFS(Override!$B$11:$B$40,$B46,Override!$D$11:$D$40,11,Override!$E$11:$E$40,"&gt;=0",Override!$C$11:$C$40,"MXAU"))&gt;0,SUMIFS(Override!$E$11:$E$40,Override!$B$11:$B$40,$B46,Override!$D$11:$D$40,11)-SUMIFS(Override!$E$11:$E$40,Override!$B$11:$B$40,$B46,Override!$D$11:$D$40,11,Override!$C$11:$C$40,"MXAU"),Override!$M$81)/AS51!$B$3,"")))</f>
        <v/>
      </c>
      <c r="Q46" s="140">
        <f>IF(Q$13="","",IF($B46="","",IFERROR($C46*$D46*IF((Override!$C$4="ON")*(COUNTIFS(Override!$B$11:$B$40,$B46,Override!$D$11:$D$40,12,Override!$E$11:$E$40,"&gt;=0")-COUNTIFS(Override!$B$11:$B$40,$B46,Override!$D$11:$D$40,12,Override!$E$11:$E$40,"&gt;=0",Override!$C$11:$C$40,"MXAU"))&gt;0,SUMIFS(Override!$E$11:$E$40,Override!$B$11:$B$40,$B46,Override!$D$11:$D$40,12)-SUMIFS(Override!$E$11:$E$40,Override!$B$11:$B$40,$B46,Override!$D$11:$D$40,12,Override!$C$11:$C$40,"MXAU"),Override!$N$81)/AS51!$B$3,"")))</f>
        <v/>
      </c>
      <c r="R46" s="140">
        <f>IF(R$13="","",IF($B46="","",IFERROR($C46*$D46*IF((Override!$C$4="ON")*(COUNTIFS(Override!$B$11:$B$40,$B46,Override!$D$11:$D$40,13,Override!$E$11:$E$40,"&gt;=0")-COUNTIFS(Override!$B$11:$B$40,$B46,Override!$D$11:$D$40,13,Override!$E$11:$E$40,"&gt;=0",Override!$C$11:$C$40,"MXAU"))&gt;0,SUMIFS(Override!$E$11:$E$40,Override!$B$11:$B$40,$B46,Override!$D$11:$D$40,13)-SUMIFS(Override!$E$11:$E$40,Override!$B$11:$B$40,$B46,Override!$D$11:$D$40,13,Override!$C$11:$C$40,"MXAU"),Override!$O$81)/AS51!$B$3,"")))</f>
        <v/>
      </c>
      <c r="S46" s="140">
        <f>IF(S$13="","",IF($B46="","",IFERROR($C46*$D46*IF((Override!$C$4="ON")*(COUNTIFS(Override!$B$11:$B$40,$B46,Override!$D$11:$D$40,14,Override!$E$11:$E$40,"&gt;=0")-COUNTIFS(Override!$B$11:$B$40,$B46,Override!$D$11:$D$40,14,Override!$E$11:$E$40,"&gt;=0",Override!$C$11:$C$40,"MXAU"))&gt;0,SUMIFS(Override!$E$11:$E$40,Override!$B$11:$B$40,$B46,Override!$D$11:$D$40,14)-SUMIFS(Override!$E$11:$E$40,Override!$B$11:$B$40,$B46,Override!$D$11:$D$40,14,Override!$C$11:$C$40,"MXAU"),Override!$P$81)/AS51!$B$3,"")))</f>
        <v/>
      </c>
      <c r="T46" s="140">
        <f>IF(T$13="","",IF($B46="","",IFERROR($C46*$D46*IF((Override!$C$4="ON")*(COUNTIFS(Override!$B$11:$B$40,$B46,Override!$D$11:$D$40,15,Override!$E$11:$E$40,"&gt;=0")-COUNTIFS(Override!$B$11:$B$40,$B46,Override!$D$11:$D$40,15,Override!$E$11:$E$40,"&gt;=0",Override!$C$11:$C$40,"MXAU"))&gt;0,SUMIFS(Override!$E$11:$E$40,Override!$B$11:$B$40,$B46,Override!$D$11:$D$40,15)-SUMIFS(Override!$E$11:$E$40,Override!$B$11:$B$40,$B46,Override!$D$11:$D$40,15,Override!$C$11:$C$40,"MXAU"),Override!$Q$81)/AS51!$B$3,"")))</f>
        <v/>
      </c>
      <c r="U46" s="140">
        <f>IF(U$13="","",IF($B46="","",IFERROR($C46*$D46*IF((Override!$C$4="ON")*(COUNTIFS(Override!$B$11:$B$40,$B46,Override!$D$11:$D$40,16,Override!$E$11:$E$40,"&gt;=0")-COUNTIFS(Override!$B$11:$B$40,$B46,Override!$D$11:$D$40,16,Override!$E$11:$E$40,"&gt;=0",Override!$C$11:$C$40,"MXAU"))&gt;0,SUMIFS(Override!$E$11:$E$40,Override!$B$11:$B$40,$B46,Override!$D$11:$D$40,16)-SUMIFS(Override!$E$11:$E$40,Override!$B$11:$B$40,$B46,Override!$D$11:$D$40,16,Override!$C$11:$C$40,"MXAU"),Override!$R$81)/AS51!$B$3,"")))</f>
        <v/>
      </c>
      <c r="W46" s="140">
        <f>IF(W$13="","",IF($B46="","",IFERROR(F46*$E46/100,"")))</f>
        <v/>
      </c>
      <c r="X46" s="140">
        <f>IF(X$13="","",IF($B46="","",IFERROR(G46*$E46/100,"")))</f>
        <v/>
      </c>
      <c r="Y46" s="140">
        <f>IF(Y$13="","",IF($B46="","",IFERROR(H46*$E46/100,"")))</f>
        <v/>
      </c>
      <c r="Z46" s="140">
        <f>IF(Z$13="","",IF($B46="","",IFERROR(I46*$E46/100,"")))</f>
        <v/>
      </c>
      <c r="AA46" s="140">
        <f>IF(AA$13="","",IF($B46="","",IFERROR(J46*$E46/100,"")))</f>
        <v/>
      </c>
      <c r="AB46" s="140">
        <f>IF(AB$13="","",IF($B46="","",IFERROR(K46*$E46/100,"")))</f>
        <v/>
      </c>
      <c r="AC46" s="140">
        <f>IF(AC$13="","",IF($B46="","",IFERROR(L46*$E46/100,"")))</f>
        <v/>
      </c>
      <c r="AD46" s="140">
        <f>IF(AD$13="","",IF($B46="","",IFERROR(M46*$E46/100,"")))</f>
        <v/>
      </c>
      <c r="AE46" s="140">
        <f>IF(AE$13="","",IF($B46="","",IFERROR(N46*$E46/100,"")))</f>
        <v/>
      </c>
      <c r="AF46" s="140">
        <f>IF(AF$13="","",IF($B46="","",IFERROR(O46*$E46/100,"")))</f>
        <v/>
      </c>
      <c r="AG46" s="140">
        <f>IF(AG$13="","",IF($B46="","",IFERROR(P46*$E46/100,"")))</f>
        <v/>
      </c>
      <c r="AH46" s="140">
        <f>IF(AH$13="","",IF($B46="","",IFERROR(Q46*$E46/100,"")))</f>
        <v/>
      </c>
      <c r="AI46" s="140">
        <f>IF(AI$13="","",IF($B46="","",IFERROR(R46*$E46/100,"")))</f>
        <v/>
      </c>
      <c r="AJ46" s="140">
        <f>IF(AJ$13="","",IF($B46="","",IFERROR(S46*$E46/100,"")))</f>
        <v/>
      </c>
      <c r="AK46" s="140">
        <f>IF(AK$13="","",IF($B46="","",IFERROR(T46*$E46/100,"")))</f>
        <v/>
      </c>
      <c r="AL46" s="140">
        <f>IF(AL$13="","",IF($B46="","",IFERROR(U46*$E46/100,"")))</f>
        <v/>
      </c>
      <c r="AN46" s="140">
        <f>IF($B46="","",SUMIF($F$13:$U$13,"&lt;="&amp;Sector!$D$51,$F46:$U46))</f>
        <v/>
      </c>
      <c r="AO46" s="140">
        <f>IF($B46="","",SUMIF($W$13:$AL$13,"&lt;="&amp;Sector!$D$51,$W46:$AL46))</f>
        <v/>
      </c>
    </row>
    <row r="47">
      <c r="B47" s="5">
        <f>IF(AS51!$C$37="","",AS51!$C$37)</f>
        <v/>
      </c>
      <c r="C47" s="90">
        <f>IF(AS51!$B$37="","",AS51!$B$37)</f>
        <v/>
      </c>
      <c r="D47" s="138">
        <f>IFERROR(AS51!$Q$37,1)</f>
        <v/>
      </c>
      <c r="E47" s="139">
        <f>IF($B47="","",IF(ISNUMBER(AS51!$I$37),AS51!$I$37,'Index Summary'!$C$7))</f>
        <v/>
      </c>
      <c r="F47" s="140">
        <f>IF(F$13="","",IF($B47="","",IFERROR($C47*$D47*IF((Override!$C$4="ON")*(COUNTIFS(Override!$B$11:$B$40,$B47,Override!$D$11:$D$40,1,Override!$E$11:$E$40,"&gt;=0")-COUNTIFS(Override!$B$11:$B$40,$B47,Override!$D$11:$D$40,1,Override!$E$11:$E$40,"&gt;=0",Override!$C$11:$C$40,"MXAU"))&gt;0,SUMIFS(Override!$E$11:$E$40,Override!$B$11:$B$40,$B47,Override!$D$11:$D$40,1)-SUMIFS(Override!$E$11:$E$40,Override!$B$11:$B$40,$B47,Override!$D$11:$D$40,1,Override!$C$11:$C$40,"MXAU"),Override!$C$82)/AS51!$B$3,"")))</f>
        <v/>
      </c>
      <c r="G47" s="140">
        <f>IF(G$13="","",IF($B47="","",IFERROR($C47*$D47*IF((Override!$C$4="ON")*(COUNTIFS(Override!$B$11:$B$40,$B47,Override!$D$11:$D$40,2,Override!$E$11:$E$40,"&gt;=0")-COUNTIFS(Override!$B$11:$B$40,$B47,Override!$D$11:$D$40,2,Override!$E$11:$E$40,"&gt;=0",Override!$C$11:$C$40,"MXAU"))&gt;0,SUMIFS(Override!$E$11:$E$40,Override!$B$11:$B$40,$B47,Override!$D$11:$D$40,2)-SUMIFS(Override!$E$11:$E$40,Override!$B$11:$B$40,$B47,Override!$D$11:$D$40,2,Override!$C$11:$C$40,"MXAU"),Override!$D$82)/AS51!$B$3,"")))</f>
        <v/>
      </c>
      <c r="H47" s="140">
        <f>IF(H$13="","",IF($B47="","",IFERROR($C47*$D47*IF((Override!$C$4="ON")*(COUNTIFS(Override!$B$11:$B$40,$B47,Override!$D$11:$D$40,3,Override!$E$11:$E$40,"&gt;=0")-COUNTIFS(Override!$B$11:$B$40,$B47,Override!$D$11:$D$40,3,Override!$E$11:$E$40,"&gt;=0",Override!$C$11:$C$40,"MXAU"))&gt;0,SUMIFS(Override!$E$11:$E$40,Override!$B$11:$B$40,$B47,Override!$D$11:$D$40,3)-SUMIFS(Override!$E$11:$E$40,Override!$B$11:$B$40,$B47,Override!$D$11:$D$40,3,Override!$C$11:$C$40,"MXAU"),Override!$E$82)/AS51!$B$3,"")))</f>
        <v/>
      </c>
      <c r="I47" s="140">
        <f>IF(I$13="","",IF($B47="","",IFERROR($C47*$D47*IF((Override!$C$4="ON")*(COUNTIFS(Override!$B$11:$B$40,$B47,Override!$D$11:$D$40,4,Override!$E$11:$E$40,"&gt;=0")-COUNTIFS(Override!$B$11:$B$40,$B47,Override!$D$11:$D$40,4,Override!$E$11:$E$40,"&gt;=0",Override!$C$11:$C$40,"MXAU"))&gt;0,SUMIFS(Override!$E$11:$E$40,Override!$B$11:$B$40,$B47,Override!$D$11:$D$40,4)-SUMIFS(Override!$E$11:$E$40,Override!$B$11:$B$40,$B47,Override!$D$11:$D$40,4,Override!$C$11:$C$40,"MXAU"),Override!$F$82)/AS51!$B$3,"")))</f>
        <v/>
      </c>
      <c r="J47" s="140">
        <f>IF(J$13="","",IF($B47="","",IFERROR($C47*$D47*IF((Override!$C$4="ON")*(COUNTIFS(Override!$B$11:$B$40,$B47,Override!$D$11:$D$40,5,Override!$E$11:$E$40,"&gt;=0")-COUNTIFS(Override!$B$11:$B$40,$B47,Override!$D$11:$D$40,5,Override!$E$11:$E$40,"&gt;=0",Override!$C$11:$C$40,"MXAU"))&gt;0,SUMIFS(Override!$E$11:$E$40,Override!$B$11:$B$40,$B47,Override!$D$11:$D$40,5)-SUMIFS(Override!$E$11:$E$40,Override!$B$11:$B$40,$B47,Override!$D$11:$D$40,5,Override!$C$11:$C$40,"MXAU"),Override!$G$82)/AS51!$B$3,"")))</f>
        <v/>
      </c>
      <c r="K47" s="140">
        <f>IF(K$13="","",IF($B47="","",IFERROR($C47*$D47*IF((Override!$C$4="ON")*(COUNTIFS(Override!$B$11:$B$40,$B47,Override!$D$11:$D$40,6,Override!$E$11:$E$40,"&gt;=0")-COUNTIFS(Override!$B$11:$B$40,$B47,Override!$D$11:$D$40,6,Override!$E$11:$E$40,"&gt;=0",Override!$C$11:$C$40,"MXAU"))&gt;0,SUMIFS(Override!$E$11:$E$40,Override!$B$11:$B$40,$B47,Override!$D$11:$D$40,6)-SUMIFS(Override!$E$11:$E$40,Override!$B$11:$B$40,$B47,Override!$D$11:$D$40,6,Override!$C$11:$C$40,"MXAU"),Override!$H$82)/AS51!$B$3,"")))</f>
        <v/>
      </c>
      <c r="L47" s="140">
        <f>IF(L$13="","",IF($B47="","",IFERROR($C47*$D47*IF((Override!$C$4="ON")*(COUNTIFS(Override!$B$11:$B$40,$B47,Override!$D$11:$D$40,7,Override!$E$11:$E$40,"&gt;=0")-COUNTIFS(Override!$B$11:$B$40,$B47,Override!$D$11:$D$40,7,Override!$E$11:$E$40,"&gt;=0",Override!$C$11:$C$40,"MXAU"))&gt;0,SUMIFS(Override!$E$11:$E$40,Override!$B$11:$B$40,$B47,Override!$D$11:$D$40,7)-SUMIFS(Override!$E$11:$E$40,Override!$B$11:$B$40,$B47,Override!$D$11:$D$40,7,Override!$C$11:$C$40,"MXAU"),Override!$I$82)/AS51!$B$3,"")))</f>
        <v/>
      </c>
      <c r="M47" s="140">
        <f>IF(M$13="","",IF($B47="","",IFERROR($C47*$D47*IF((Override!$C$4="ON")*(COUNTIFS(Override!$B$11:$B$40,$B47,Override!$D$11:$D$40,8,Override!$E$11:$E$40,"&gt;=0")-COUNTIFS(Override!$B$11:$B$40,$B47,Override!$D$11:$D$40,8,Override!$E$11:$E$40,"&gt;=0",Override!$C$11:$C$40,"MXAU"))&gt;0,SUMIFS(Override!$E$11:$E$40,Override!$B$11:$B$40,$B47,Override!$D$11:$D$40,8)-SUMIFS(Override!$E$11:$E$40,Override!$B$11:$B$40,$B47,Override!$D$11:$D$40,8,Override!$C$11:$C$40,"MXAU"),Override!$J$82)/AS51!$B$3,"")))</f>
        <v/>
      </c>
      <c r="N47" s="140">
        <f>IF(N$13="","",IF($B47="","",IFERROR($C47*$D47*IF((Override!$C$4="ON")*(COUNTIFS(Override!$B$11:$B$40,$B47,Override!$D$11:$D$40,9,Override!$E$11:$E$40,"&gt;=0")-COUNTIFS(Override!$B$11:$B$40,$B47,Override!$D$11:$D$40,9,Override!$E$11:$E$40,"&gt;=0",Override!$C$11:$C$40,"MXAU"))&gt;0,SUMIFS(Override!$E$11:$E$40,Override!$B$11:$B$40,$B47,Override!$D$11:$D$40,9)-SUMIFS(Override!$E$11:$E$40,Override!$B$11:$B$40,$B47,Override!$D$11:$D$40,9,Override!$C$11:$C$40,"MXAU"),Override!$K$82)/AS51!$B$3,"")))</f>
        <v/>
      </c>
      <c r="O47" s="140">
        <f>IF(O$13="","",IF($B47="","",IFERROR($C47*$D47*IF((Override!$C$4="ON")*(COUNTIFS(Override!$B$11:$B$40,$B47,Override!$D$11:$D$40,10,Override!$E$11:$E$40,"&gt;=0")-COUNTIFS(Override!$B$11:$B$40,$B47,Override!$D$11:$D$40,10,Override!$E$11:$E$40,"&gt;=0",Override!$C$11:$C$40,"MXAU"))&gt;0,SUMIFS(Override!$E$11:$E$40,Override!$B$11:$B$40,$B47,Override!$D$11:$D$40,10)-SUMIFS(Override!$E$11:$E$40,Override!$B$11:$B$40,$B47,Override!$D$11:$D$40,10,Override!$C$11:$C$40,"MXAU"),Override!$L$82)/AS51!$B$3,"")))</f>
        <v/>
      </c>
      <c r="P47" s="140">
        <f>IF(P$13="","",IF($B47="","",IFERROR($C47*$D47*IF((Override!$C$4="ON")*(COUNTIFS(Override!$B$11:$B$40,$B47,Override!$D$11:$D$40,11,Override!$E$11:$E$40,"&gt;=0")-COUNTIFS(Override!$B$11:$B$40,$B47,Override!$D$11:$D$40,11,Override!$E$11:$E$40,"&gt;=0",Override!$C$11:$C$40,"MXAU"))&gt;0,SUMIFS(Override!$E$11:$E$40,Override!$B$11:$B$40,$B47,Override!$D$11:$D$40,11)-SUMIFS(Override!$E$11:$E$40,Override!$B$11:$B$40,$B47,Override!$D$11:$D$40,11,Override!$C$11:$C$40,"MXAU"),Override!$M$82)/AS51!$B$3,"")))</f>
        <v/>
      </c>
      <c r="Q47" s="140">
        <f>IF(Q$13="","",IF($B47="","",IFERROR($C47*$D47*IF((Override!$C$4="ON")*(COUNTIFS(Override!$B$11:$B$40,$B47,Override!$D$11:$D$40,12,Override!$E$11:$E$40,"&gt;=0")-COUNTIFS(Override!$B$11:$B$40,$B47,Override!$D$11:$D$40,12,Override!$E$11:$E$40,"&gt;=0",Override!$C$11:$C$40,"MXAU"))&gt;0,SUMIFS(Override!$E$11:$E$40,Override!$B$11:$B$40,$B47,Override!$D$11:$D$40,12)-SUMIFS(Override!$E$11:$E$40,Override!$B$11:$B$40,$B47,Override!$D$11:$D$40,12,Override!$C$11:$C$40,"MXAU"),Override!$N$82)/AS51!$B$3,"")))</f>
        <v/>
      </c>
      <c r="R47" s="140">
        <f>IF(R$13="","",IF($B47="","",IFERROR($C47*$D47*IF((Override!$C$4="ON")*(COUNTIFS(Override!$B$11:$B$40,$B47,Override!$D$11:$D$40,13,Override!$E$11:$E$40,"&gt;=0")-COUNTIFS(Override!$B$11:$B$40,$B47,Override!$D$11:$D$40,13,Override!$E$11:$E$40,"&gt;=0",Override!$C$11:$C$40,"MXAU"))&gt;0,SUMIFS(Override!$E$11:$E$40,Override!$B$11:$B$40,$B47,Override!$D$11:$D$40,13)-SUMIFS(Override!$E$11:$E$40,Override!$B$11:$B$40,$B47,Override!$D$11:$D$40,13,Override!$C$11:$C$40,"MXAU"),Override!$O$82)/AS51!$B$3,"")))</f>
        <v/>
      </c>
      <c r="S47" s="140">
        <f>IF(S$13="","",IF($B47="","",IFERROR($C47*$D47*IF((Override!$C$4="ON")*(COUNTIFS(Override!$B$11:$B$40,$B47,Override!$D$11:$D$40,14,Override!$E$11:$E$40,"&gt;=0")-COUNTIFS(Override!$B$11:$B$40,$B47,Override!$D$11:$D$40,14,Override!$E$11:$E$40,"&gt;=0",Override!$C$11:$C$40,"MXAU"))&gt;0,SUMIFS(Override!$E$11:$E$40,Override!$B$11:$B$40,$B47,Override!$D$11:$D$40,14)-SUMIFS(Override!$E$11:$E$40,Override!$B$11:$B$40,$B47,Override!$D$11:$D$40,14,Override!$C$11:$C$40,"MXAU"),Override!$P$82)/AS51!$B$3,"")))</f>
        <v/>
      </c>
      <c r="T47" s="140">
        <f>IF(T$13="","",IF($B47="","",IFERROR($C47*$D47*IF((Override!$C$4="ON")*(COUNTIFS(Override!$B$11:$B$40,$B47,Override!$D$11:$D$40,15,Override!$E$11:$E$40,"&gt;=0")-COUNTIFS(Override!$B$11:$B$40,$B47,Override!$D$11:$D$40,15,Override!$E$11:$E$40,"&gt;=0",Override!$C$11:$C$40,"MXAU"))&gt;0,SUMIFS(Override!$E$11:$E$40,Override!$B$11:$B$40,$B47,Override!$D$11:$D$40,15)-SUMIFS(Override!$E$11:$E$40,Override!$B$11:$B$40,$B47,Override!$D$11:$D$40,15,Override!$C$11:$C$40,"MXAU"),Override!$Q$82)/AS51!$B$3,"")))</f>
        <v/>
      </c>
      <c r="U47" s="140">
        <f>IF(U$13="","",IF($B47="","",IFERROR($C47*$D47*IF((Override!$C$4="ON")*(COUNTIFS(Override!$B$11:$B$40,$B47,Override!$D$11:$D$40,16,Override!$E$11:$E$40,"&gt;=0")-COUNTIFS(Override!$B$11:$B$40,$B47,Override!$D$11:$D$40,16,Override!$E$11:$E$40,"&gt;=0",Override!$C$11:$C$40,"MXAU"))&gt;0,SUMIFS(Override!$E$11:$E$40,Override!$B$11:$B$40,$B47,Override!$D$11:$D$40,16)-SUMIFS(Override!$E$11:$E$40,Override!$B$11:$B$40,$B47,Override!$D$11:$D$40,16,Override!$C$11:$C$40,"MXAU"),Override!$R$82)/AS51!$B$3,"")))</f>
        <v/>
      </c>
      <c r="W47" s="140">
        <f>IF(W$13="","",IF($B47="","",IFERROR(F47*$E47/100,"")))</f>
        <v/>
      </c>
      <c r="X47" s="140">
        <f>IF(X$13="","",IF($B47="","",IFERROR(G47*$E47/100,"")))</f>
        <v/>
      </c>
      <c r="Y47" s="140">
        <f>IF(Y$13="","",IF($B47="","",IFERROR(H47*$E47/100,"")))</f>
        <v/>
      </c>
      <c r="Z47" s="140">
        <f>IF(Z$13="","",IF($B47="","",IFERROR(I47*$E47/100,"")))</f>
        <v/>
      </c>
      <c r="AA47" s="140">
        <f>IF(AA$13="","",IF($B47="","",IFERROR(J47*$E47/100,"")))</f>
        <v/>
      </c>
      <c r="AB47" s="140">
        <f>IF(AB$13="","",IF($B47="","",IFERROR(K47*$E47/100,"")))</f>
        <v/>
      </c>
      <c r="AC47" s="140">
        <f>IF(AC$13="","",IF($B47="","",IFERROR(L47*$E47/100,"")))</f>
        <v/>
      </c>
      <c r="AD47" s="140">
        <f>IF(AD$13="","",IF($B47="","",IFERROR(M47*$E47/100,"")))</f>
        <v/>
      </c>
      <c r="AE47" s="140">
        <f>IF(AE$13="","",IF($B47="","",IFERROR(N47*$E47/100,"")))</f>
        <v/>
      </c>
      <c r="AF47" s="140">
        <f>IF(AF$13="","",IF($B47="","",IFERROR(O47*$E47/100,"")))</f>
        <v/>
      </c>
      <c r="AG47" s="140">
        <f>IF(AG$13="","",IF($B47="","",IFERROR(P47*$E47/100,"")))</f>
        <v/>
      </c>
      <c r="AH47" s="140">
        <f>IF(AH$13="","",IF($B47="","",IFERROR(Q47*$E47/100,"")))</f>
        <v/>
      </c>
      <c r="AI47" s="140">
        <f>IF(AI$13="","",IF($B47="","",IFERROR(R47*$E47/100,"")))</f>
        <v/>
      </c>
      <c r="AJ47" s="140">
        <f>IF(AJ$13="","",IF($B47="","",IFERROR(S47*$E47/100,"")))</f>
        <v/>
      </c>
      <c r="AK47" s="140">
        <f>IF(AK$13="","",IF($B47="","",IFERROR(T47*$E47/100,"")))</f>
        <v/>
      </c>
      <c r="AL47" s="140">
        <f>IF(AL$13="","",IF($B47="","",IFERROR(U47*$E47/100,"")))</f>
        <v/>
      </c>
      <c r="AN47" s="140">
        <f>IF($B47="","",SUMIF($F$13:$U$13,"&lt;="&amp;Sector!$D$51,$F47:$U47))</f>
        <v/>
      </c>
      <c r="AO47" s="140">
        <f>IF($B47="","",SUMIF($W$13:$AL$13,"&lt;="&amp;Sector!$D$51,$W47:$AL47))</f>
        <v/>
      </c>
    </row>
    <row r="48">
      <c r="B48" s="5">
        <f>IF(AS51!$C$38="","",AS51!$C$38)</f>
        <v/>
      </c>
      <c r="C48" s="90">
        <f>IF(AS51!$B$38="","",AS51!$B$38)</f>
        <v/>
      </c>
      <c r="D48" s="138">
        <f>IFERROR(AS51!$Q$38,1)</f>
        <v/>
      </c>
      <c r="E48" s="139">
        <f>IF($B48="","",IF(ISNUMBER(AS51!$I$38),AS51!$I$38,'Index Summary'!$C$7))</f>
        <v/>
      </c>
      <c r="F48" s="140">
        <f>IF(F$13="","",IF($B48="","",IFERROR($C48*$D48*IF((Override!$C$4="ON")*(COUNTIFS(Override!$B$11:$B$40,$B48,Override!$D$11:$D$40,1,Override!$E$11:$E$40,"&gt;=0")-COUNTIFS(Override!$B$11:$B$40,$B48,Override!$D$11:$D$40,1,Override!$E$11:$E$40,"&gt;=0",Override!$C$11:$C$40,"MXAU"))&gt;0,SUMIFS(Override!$E$11:$E$40,Override!$B$11:$B$40,$B48,Override!$D$11:$D$40,1)-SUMIFS(Override!$E$11:$E$40,Override!$B$11:$B$40,$B48,Override!$D$11:$D$40,1,Override!$C$11:$C$40,"MXAU"),Override!$C$83)/AS51!$B$3,"")))</f>
        <v/>
      </c>
      <c r="G48" s="140">
        <f>IF(G$13="","",IF($B48="","",IFERROR($C48*$D48*IF((Override!$C$4="ON")*(COUNTIFS(Override!$B$11:$B$40,$B48,Override!$D$11:$D$40,2,Override!$E$11:$E$40,"&gt;=0")-COUNTIFS(Override!$B$11:$B$40,$B48,Override!$D$11:$D$40,2,Override!$E$11:$E$40,"&gt;=0",Override!$C$11:$C$40,"MXAU"))&gt;0,SUMIFS(Override!$E$11:$E$40,Override!$B$11:$B$40,$B48,Override!$D$11:$D$40,2)-SUMIFS(Override!$E$11:$E$40,Override!$B$11:$B$40,$B48,Override!$D$11:$D$40,2,Override!$C$11:$C$40,"MXAU"),Override!$D$83)/AS51!$B$3,"")))</f>
        <v/>
      </c>
      <c r="H48" s="140">
        <f>IF(H$13="","",IF($B48="","",IFERROR($C48*$D48*IF((Override!$C$4="ON")*(COUNTIFS(Override!$B$11:$B$40,$B48,Override!$D$11:$D$40,3,Override!$E$11:$E$40,"&gt;=0")-COUNTIFS(Override!$B$11:$B$40,$B48,Override!$D$11:$D$40,3,Override!$E$11:$E$40,"&gt;=0",Override!$C$11:$C$40,"MXAU"))&gt;0,SUMIFS(Override!$E$11:$E$40,Override!$B$11:$B$40,$B48,Override!$D$11:$D$40,3)-SUMIFS(Override!$E$11:$E$40,Override!$B$11:$B$40,$B48,Override!$D$11:$D$40,3,Override!$C$11:$C$40,"MXAU"),Override!$E$83)/AS51!$B$3,"")))</f>
        <v/>
      </c>
      <c r="I48" s="140">
        <f>IF(I$13="","",IF($B48="","",IFERROR($C48*$D48*IF((Override!$C$4="ON")*(COUNTIFS(Override!$B$11:$B$40,$B48,Override!$D$11:$D$40,4,Override!$E$11:$E$40,"&gt;=0")-COUNTIFS(Override!$B$11:$B$40,$B48,Override!$D$11:$D$40,4,Override!$E$11:$E$40,"&gt;=0",Override!$C$11:$C$40,"MXAU"))&gt;0,SUMIFS(Override!$E$11:$E$40,Override!$B$11:$B$40,$B48,Override!$D$11:$D$40,4)-SUMIFS(Override!$E$11:$E$40,Override!$B$11:$B$40,$B48,Override!$D$11:$D$40,4,Override!$C$11:$C$40,"MXAU"),Override!$F$83)/AS51!$B$3,"")))</f>
        <v/>
      </c>
      <c r="J48" s="140">
        <f>IF(J$13="","",IF($B48="","",IFERROR($C48*$D48*IF((Override!$C$4="ON")*(COUNTIFS(Override!$B$11:$B$40,$B48,Override!$D$11:$D$40,5,Override!$E$11:$E$40,"&gt;=0")-COUNTIFS(Override!$B$11:$B$40,$B48,Override!$D$11:$D$40,5,Override!$E$11:$E$40,"&gt;=0",Override!$C$11:$C$40,"MXAU"))&gt;0,SUMIFS(Override!$E$11:$E$40,Override!$B$11:$B$40,$B48,Override!$D$11:$D$40,5)-SUMIFS(Override!$E$11:$E$40,Override!$B$11:$B$40,$B48,Override!$D$11:$D$40,5,Override!$C$11:$C$40,"MXAU"),Override!$G$83)/AS51!$B$3,"")))</f>
        <v/>
      </c>
      <c r="K48" s="140">
        <f>IF(K$13="","",IF($B48="","",IFERROR($C48*$D48*IF((Override!$C$4="ON")*(COUNTIFS(Override!$B$11:$B$40,$B48,Override!$D$11:$D$40,6,Override!$E$11:$E$40,"&gt;=0")-COUNTIFS(Override!$B$11:$B$40,$B48,Override!$D$11:$D$40,6,Override!$E$11:$E$40,"&gt;=0",Override!$C$11:$C$40,"MXAU"))&gt;0,SUMIFS(Override!$E$11:$E$40,Override!$B$11:$B$40,$B48,Override!$D$11:$D$40,6)-SUMIFS(Override!$E$11:$E$40,Override!$B$11:$B$40,$B48,Override!$D$11:$D$40,6,Override!$C$11:$C$40,"MXAU"),Override!$H$83)/AS51!$B$3,"")))</f>
        <v/>
      </c>
      <c r="L48" s="140">
        <f>IF(L$13="","",IF($B48="","",IFERROR($C48*$D48*IF((Override!$C$4="ON")*(COUNTIFS(Override!$B$11:$B$40,$B48,Override!$D$11:$D$40,7,Override!$E$11:$E$40,"&gt;=0")-COUNTIFS(Override!$B$11:$B$40,$B48,Override!$D$11:$D$40,7,Override!$E$11:$E$40,"&gt;=0",Override!$C$11:$C$40,"MXAU"))&gt;0,SUMIFS(Override!$E$11:$E$40,Override!$B$11:$B$40,$B48,Override!$D$11:$D$40,7)-SUMIFS(Override!$E$11:$E$40,Override!$B$11:$B$40,$B48,Override!$D$11:$D$40,7,Override!$C$11:$C$40,"MXAU"),Override!$I$83)/AS51!$B$3,"")))</f>
        <v/>
      </c>
      <c r="M48" s="140">
        <f>IF(M$13="","",IF($B48="","",IFERROR($C48*$D48*IF((Override!$C$4="ON")*(COUNTIFS(Override!$B$11:$B$40,$B48,Override!$D$11:$D$40,8,Override!$E$11:$E$40,"&gt;=0")-COUNTIFS(Override!$B$11:$B$40,$B48,Override!$D$11:$D$40,8,Override!$E$11:$E$40,"&gt;=0",Override!$C$11:$C$40,"MXAU"))&gt;0,SUMIFS(Override!$E$11:$E$40,Override!$B$11:$B$40,$B48,Override!$D$11:$D$40,8)-SUMIFS(Override!$E$11:$E$40,Override!$B$11:$B$40,$B48,Override!$D$11:$D$40,8,Override!$C$11:$C$40,"MXAU"),Override!$J$83)/AS51!$B$3,"")))</f>
        <v/>
      </c>
      <c r="N48" s="140">
        <f>IF(N$13="","",IF($B48="","",IFERROR($C48*$D48*IF((Override!$C$4="ON")*(COUNTIFS(Override!$B$11:$B$40,$B48,Override!$D$11:$D$40,9,Override!$E$11:$E$40,"&gt;=0")-COUNTIFS(Override!$B$11:$B$40,$B48,Override!$D$11:$D$40,9,Override!$E$11:$E$40,"&gt;=0",Override!$C$11:$C$40,"MXAU"))&gt;0,SUMIFS(Override!$E$11:$E$40,Override!$B$11:$B$40,$B48,Override!$D$11:$D$40,9)-SUMIFS(Override!$E$11:$E$40,Override!$B$11:$B$40,$B48,Override!$D$11:$D$40,9,Override!$C$11:$C$40,"MXAU"),Override!$K$83)/AS51!$B$3,"")))</f>
        <v/>
      </c>
      <c r="O48" s="140">
        <f>IF(O$13="","",IF($B48="","",IFERROR($C48*$D48*IF((Override!$C$4="ON")*(COUNTIFS(Override!$B$11:$B$40,$B48,Override!$D$11:$D$40,10,Override!$E$11:$E$40,"&gt;=0")-COUNTIFS(Override!$B$11:$B$40,$B48,Override!$D$11:$D$40,10,Override!$E$11:$E$40,"&gt;=0",Override!$C$11:$C$40,"MXAU"))&gt;0,SUMIFS(Override!$E$11:$E$40,Override!$B$11:$B$40,$B48,Override!$D$11:$D$40,10)-SUMIFS(Override!$E$11:$E$40,Override!$B$11:$B$40,$B48,Override!$D$11:$D$40,10,Override!$C$11:$C$40,"MXAU"),Override!$L$83)/AS51!$B$3,"")))</f>
        <v/>
      </c>
      <c r="P48" s="140">
        <f>IF(P$13="","",IF($B48="","",IFERROR($C48*$D48*IF((Override!$C$4="ON")*(COUNTIFS(Override!$B$11:$B$40,$B48,Override!$D$11:$D$40,11,Override!$E$11:$E$40,"&gt;=0")-COUNTIFS(Override!$B$11:$B$40,$B48,Override!$D$11:$D$40,11,Override!$E$11:$E$40,"&gt;=0",Override!$C$11:$C$40,"MXAU"))&gt;0,SUMIFS(Override!$E$11:$E$40,Override!$B$11:$B$40,$B48,Override!$D$11:$D$40,11)-SUMIFS(Override!$E$11:$E$40,Override!$B$11:$B$40,$B48,Override!$D$11:$D$40,11,Override!$C$11:$C$40,"MXAU"),Override!$M$83)/AS51!$B$3,"")))</f>
        <v/>
      </c>
      <c r="Q48" s="140">
        <f>IF(Q$13="","",IF($B48="","",IFERROR($C48*$D48*IF((Override!$C$4="ON")*(COUNTIFS(Override!$B$11:$B$40,$B48,Override!$D$11:$D$40,12,Override!$E$11:$E$40,"&gt;=0")-COUNTIFS(Override!$B$11:$B$40,$B48,Override!$D$11:$D$40,12,Override!$E$11:$E$40,"&gt;=0",Override!$C$11:$C$40,"MXAU"))&gt;0,SUMIFS(Override!$E$11:$E$40,Override!$B$11:$B$40,$B48,Override!$D$11:$D$40,12)-SUMIFS(Override!$E$11:$E$40,Override!$B$11:$B$40,$B48,Override!$D$11:$D$40,12,Override!$C$11:$C$40,"MXAU"),Override!$N$83)/AS51!$B$3,"")))</f>
        <v/>
      </c>
      <c r="R48" s="140">
        <f>IF(R$13="","",IF($B48="","",IFERROR($C48*$D48*IF((Override!$C$4="ON")*(COUNTIFS(Override!$B$11:$B$40,$B48,Override!$D$11:$D$40,13,Override!$E$11:$E$40,"&gt;=0")-COUNTIFS(Override!$B$11:$B$40,$B48,Override!$D$11:$D$40,13,Override!$E$11:$E$40,"&gt;=0",Override!$C$11:$C$40,"MXAU"))&gt;0,SUMIFS(Override!$E$11:$E$40,Override!$B$11:$B$40,$B48,Override!$D$11:$D$40,13)-SUMIFS(Override!$E$11:$E$40,Override!$B$11:$B$40,$B48,Override!$D$11:$D$40,13,Override!$C$11:$C$40,"MXAU"),Override!$O$83)/AS51!$B$3,"")))</f>
        <v/>
      </c>
      <c r="S48" s="140">
        <f>IF(S$13="","",IF($B48="","",IFERROR($C48*$D48*IF((Override!$C$4="ON")*(COUNTIFS(Override!$B$11:$B$40,$B48,Override!$D$11:$D$40,14,Override!$E$11:$E$40,"&gt;=0")-COUNTIFS(Override!$B$11:$B$40,$B48,Override!$D$11:$D$40,14,Override!$E$11:$E$40,"&gt;=0",Override!$C$11:$C$40,"MXAU"))&gt;0,SUMIFS(Override!$E$11:$E$40,Override!$B$11:$B$40,$B48,Override!$D$11:$D$40,14)-SUMIFS(Override!$E$11:$E$40,Override!$B$11:$B$40,$B48,Override!$D$11:$D$40,14,Override!$C$11:$C$40,"MXAU"),Override!$P$83)/AS51!$B$3,"")))</f>
        <v/>
      </c>
      <c r="T48" s="140">
        <f>IF(T$13="","",IF($B48="","",IFERROR($C48*$D48*IF((Override!$C$4="ON")*(COUNTIFS(Override!$B$11:$B$40,$B48,Override!$D$11:$D$40,15,Override!$E$11:$E$40,"&gt;=0")-COUNTIFS(Override!$B$11:$B$40,$B48,Override!$D$11:$D$40,15,Override!$E$11:$E$40,"&gt;=0",Override!$C$11:$C$40,"MXAU"))&gt;0,SUMIFS(Override!$E$11:$E$40,Override!$B$11:$B$40,$B48,Override!$D$11:$D$40,15)-SUMIFS(Override!$E$11:$E$40,Override!$B$11:$B$40,$B48,Override!$D$11:$D$40,15,Override!$C$11:$C$40,"MXAU"),Override!$Q$83)/AS51!$B$3,"")))</f>
        <v/>
      </c>
      <c r="U48" s="140">
        <f>IF(U$13="","",IF($B48="","",IFERROR($C48*$D48*IF((Override!$C$4="ON")*(COUNTIFS(Override!$B$11:$B$40,$B48,Override!$D$11:$D$40,16,Override!$E$11:$E$40,"&gt;=0")-COUNTIFS(Override!$B$11:$B$40,$B48,Override!$D$11:$D$40,16,Override!$E$11:$E$40,"&gt;=0",Override!$C$11:$C$40,"MXAU"))&gt;0,SUMIFS(Override!$E$11:$E$40,Override!$B$11:$B$40,$B48,Override!$D$11:$D$40,16)-SUMIFS(Override!$E$11:$E$40,Override!$B$11:$B$40,$B48,Override!$D$11:$D$40,16,Override!$C$11:$C$40,"MXAU"),Override!$R$83)/AS51!$B$3,"")))</f>
        <v/>
      </c>
      <c r="W48" s="140">
        <f>IF(W$13="","",IF($B48="","",IFERROR(F48*$E48/100,"")))</f>
        <v/>
      </c>
      <c r="X48" s="140">
        <f>IF(X$13="","",IF($B48="","",IFERROR(G48*$E48/100,"")))</f>
        <v/>
      </c>
      <c r="Y48" s="140">
        <f>IF(Y$13="","",IF($B48="","",IFERROR(H48*$E48/100,"")))</f>
        <v/>
      </c>
      <c r="Z48" s="140">
        <f>IF(Z$13="","",IF($B48="","",IFERROR(I48*$E48/100,"")))</f>
        <v/>
      </c>
      <c r="AA48" s="140">
        <f>IF(AA$13="","",IF($B48="","",IFERROR(J48*$E48/100,"")))</f>
        <v/>
      </c>
      <c r="AB48" s="140">
        <f>IF(AB$13="","",IF($B48="","",IFERROR(K48*$E48/100,"")))</f>
        <v/>
      </c>
      <c r="AC48" s="140">
        <f>IF(AC$13="","",IF($B48="","",IFERROR(L48*$E48/100,"")))</f>
        <v/>
      </c>
      <c r="AD48" s="140">
        <f>IF(AD$13="","",IF($B48="","",IFERROR(M48*$E48/100,"")))</f>
        <v/>
      </c>
      <c r="AE48" s="140">
        <f>IF(AE$13="","",IF($B48="","",IFERROR(N48*$E48/100,"")))</f>
        <v/>
      </c>
      <c r="AF48" s="140">
        <f>IF(AF$13="","",IF($B48="","",IFERROR(O48*$E48/100,"")))</f>
        <v/>
      </c>
      <c r="AG48" s="140">
        <f>IF(AG$13="","",IF($B48="","",IFERROR(P48*$E48/100,"")))</f>
        <v/>
      </c>
      <c r="AH48" s="140">
        <f>IF(AH$13="","",IF($B48="","",IFERROR(Q48*$E48/100,"")))</f>
        <v/>
      </c>
      <c r="AI48" s="140">
        <f>IF(AI$13="","",IF($B48="","",IFERROR(R48*$E48/100,"")))</f>
        <v/>
      </c>
      <c r="AJ48" s="140">
        <f>IF(AJ$13="","",IF($B48="","",IFERROR(S48*$E48/100,"")))</f>
        <v/>
      </c>
      <c r="AK48" s="140">
        <f>IF(AK$13="","",IF($B48="","",IFERROR(T48*$E48/100,"")))</f>
        <v/>
      </c>
      <c r="AL48" s="140">
        <f>IF(AL$13="","",IF($B48="","",IFERROR(U48*$E48/100,"")))</f>
        <v/>
      </c>
      <c r="AN48" s="140">
        <f>IF($B48="","",SUMIF($F$13:$U$13,"&lt;="&amp;Sector!$D$51,$F48:$U48))</f>
        <v/>
      </c>
      <c r="AO48" s="140">
        <f>IF($B48="","",SUMIF($W$13:$AL$13,"&lt;="&amp;Sector!$D$51,$W48:$AL48))</f>
        <v/>
      </c>
    </row>
    <row r="49">
      <c r="B49" s="5">
        <f>IF(AS51!$C$39="","",AS51!$C$39)</f>
        <v/>
      </c>
      <c r="C49" s="90">
        <f>IF(AS51!$B$39="","",AS51!$B$39)</f>
        <v/>
      </c>
      <c r="D49" s="138">
        <f>IFERROR(AS51!$Q$39,1)</f>
        <v/>
      </c>
      <c r="E49" s="139">
        <f>IF($B49="","",IF(ISNUMBER(AS51!$I$39),AS51!$I$39,'Index Summary'!$C$7))</f>
        <v/>
      </c>
      <c r="F49" s="140">
        <f>IF(F$13="","",IF($B49="","",IFERROR($C49*$D49*IF((Override!$C$4="ON")*(COUNTIFS(Override!$B$11:$B$40,$B49,Override!$D$11:$D$40,1,Override!$E$11:$E$40,"&gt;=0")-COUNTIFS(Override!$B$11:$B$40,$B49,Override!$D$11:$D$40,1,Override!$E$11:$E$40,"&gt;=0",Override!$C$11:$C$40,"MXAU"))&gt;0,SUMIFS(Override!$E$11:$E$40,Override!$B$11:$B$40,$B49,Override!$D$11:$D$40,1)-SUMIFS(Override!$E$11:$E$40,Override!$B$11:$B$40,$B49,Override!$D$11:$D$40,1,Override!$C$11:$C$40,"MXAU"),Override!$C$84)/AS51!$B$3,"")))</f>
        <v/>
      </c>
      <c r="G49" s="140">
        <f>IF(G$13="","",IF($B49="","",IFERROR($C49*$D49*IF((Override!$C$4="ON")*(COUNTIFS(Override!$B$11:$B$40,$B49,Override!$D$11:$D$40,2,Override!$E$11:$E$40,"&gt;=0")-COUNTIFS(Override!$B$11:$B$40,$B49,Override!$D$11:$D$40,2,Override!$E$11:$E$40,"&gt;=0",Override!$C$11:$C$40,"MXAU"))&gt;0,SUMIFS(Override!$E$11:$E$40,Override!$B$11:$B$40,$B49,Override!$D$11:$D$40,2)-SUMIFS(Override!$E$11:$E$40,Override!$B$11:$B$40,$B49,Override!$D$11:$D$40,2,Override!$C$11:$C$40,"MXAU"),Override!$D$84)/AS51!$B$3,"")))</f>
        <v/>
      </c>
      <c r="H49" s="140">
        <f>IF(H$13="","",IF($B49="","",IFERROR($C49*$D49*IF((Override!$C$4="ON")*(COUNTIFS(Override!$B$11:$B$40,$B49,Override!$D$11:$D$40,3,Override!$E$11:$E$40,"&gt;=0")-COUNTIFS(Override!$B$11:$B$40,$B49,Override!$D$11:$D$40,3,Override!$E$11:$E$40,"&gt;=0",Override!$C$11:$C$40,"MXAU"))&gt;0,SUMIFS(Override!$E$11:$E$40,Override!$B$11:$B$40,$B49,Override!$D$11:$D$40,3)-SUMIFS(Override!$E$11:$E$40,Override!$B$11:$B$40,$B49,Override!$D$11:$D$40,3,Override!$C$11:$C$40,"MXAU"),Override!$E$84)/AS51!$B$3,"")))</f>
        <v/>
      </c>
      <c r="I49" s="140">
        <f>IF(I$13="","",IF($B49="","",IFERROR($C49*$D49*IF((Override!$C$4="ON")*(COUNTIFS(Override!$B$11:$B$40,$B49,Override!$D$11:$D$40,4,Override!$E$11:$E$40,"&gt;=0")-COUNTIFS(Override!$B$11:$B$40,$B49,Override!$D$11:$D$40,4,Override!$E$11:$E$40,"&gt;=0",Override!$C$11:$C$40,"MXAU"))&gt;0,SUMIFS(Override!$E$11:$E$40,Override!$B$11:$B$40,$B49,Override!$D$11:$D$40,4)-SUMIFS(Override!$E$11:$E$40,Override!$B$11:$B$40,$B49,Override!$D$11:$D$40,4,Override!$C$11:$C$40,"MXAU"),Override!$F$84)/AS51!$B$3,"")))</f>
        <v/>
      </c>
      <c r="J49" s="140">
        <f>IF(J$13="","",IF($B49="","",IFERROR($C49*$D49*IF((Override!$C$4="ON")*(COUNTIFS(Override!$B$11:$B$40,$B49,Override!$D$11:$D$40,5,Override!$E$11:$E$40,"&gt;=0")-COUNTIFS(Override!$B$11:$B$40,$B49,Override!$D$11:$D$40,5,Override!$E$11:$E$40,"&gt;=0",Override!$C$11:$C$40,"MXAU"))&gt;0,SUMIFS(Override!$E$11:$E$40,Override!$B$11:$B$40,$B49,Override!$D$11:$D$40,5)-SUMIFS(Override!$E$11:$E$40,Override!$B$11:$B$40,$B49,Override!$D$11:$D$40,5,Override!$C$11:$C$40,"MXAU"),Override!$G$84)/AS51!$B$3,"")))</f>
        <v/>
      </c>
      <c r="K49" s="140">
        <f>IF(K$13="","",IF($B49="","",IFERROR($C49*$D49*IF((Override!$C$4="ON")*(COUNTIFS(Override!$B$11:$B$40,$B49,Override!$D$11:$D$40,6,Override!$E$11:$E$40,"&gt;=0")-COUNTIFS(Override!$B$11:$B$40,$B49,Override!$D$11:$D$40,6,Override!$E$11:$E$40,"&gt;=0",Override!$C$11:$C$40,"MXAU"))&gt;0,SUMIFS(Override!$E$11:$E$40,Override!$B$11:$B$40,$B49,Override!$D$11:$D$40,6)-SUMIFS(Override!$E$11:$E$40,Override!$B$11:$B$40,$B49,Override!$D$11:$D$40,6,Override!$C$11:$C$40,"MXAU"),Override!$H$84)/AS51!$B$3,"")))</f>
        <v/>
      </c>
      <c r="L49" s="140">
        <f>IF(L$13="","",IF($B49="","",IFERROR($C49*$D49*IF((Override!$C$4="ON")*(COUNTIFS(Override!$B$11:$B$40,$B49,Override!$D$11:$D$40,7,Override!$E$11:$E$40,"&gt;=0")-COUNTIFS(Override!$B$11:$B$40,$B49,Override!$D$11:$D$40,7,Override!$E$11:$E$40,"&gt;=0",Override!$C$11:$C$40,"MXAU"))&gt;0,SUMIFS(Override!$E$11:$E$40,Override!$B$11:$B$40,$B49,Override!$D$11:$D$40,7)-SUMIFS(Override!$E$11:$E$40,Override!$B$11:$B$40,$B49,Override!$D$11:$D$40,7,Override!$C$11:$C$40,"MXAU"),Override!$I$84)/AS51!$B$3,"")))</f>
        <v/>
      </c>
      <c r="M49" s="140">
        <f>IF(M$13="","",IF($B49="","",IFERROR($C49*$D49*IF((Override!$C$4="ON")*(COUNTIFS(Override!$B$11:$B$40,$B49,Override!$D$11:$D$40,8,Override!$E$11:$E$40,"&gt;=0")-COUNTIFS(Override!$B$11:$B$40,$B49,Override!$D$11:$D$40,8,Override!$E$11:$E$40,"&gt;=0",Override!$C$11:$C$40,"MXAU"))&gt;0,SUMIFS(Override!$E$11:$E$40,Override!$B$11:$B$40,$B49,Override!$D$11:$D$40,8)-SUMIFS(Override!$E$11:$E$40,Override!$B$11:$B$40,$B49,Override!$D$11:$D$40,8,Override!$C$11:$C$40,"MXAU"),Override!$J$84)/AS51!$B$3,"")))</f>
        <v/>
      </c>
      <c r="N49" s="140">
        <f>IF(N$13="","",IF($B49="","",IFERROR($C49*$D49*IF((Override!$C$4="ON")*(COUNTIFS(Override!$B$11:$B$40,$B49,Override!$D$11:$D$40,9,Override!$E$11:$E$40,"&gt;=0")-COUNTIFS(Override!$B$11:$B$40,$B49,Override!$D$11:$D$40,9,Override!$E$11:$E$40,"&gt;=0",Override!$C$11:$C$40,"MXAU"))&gt;0,SUMIFS(Override!$E$11:$E$40,Override!$B$11:$B$40,$B49,Override!$D$11:$D$40,9)-SUMIFS(Override!$E$11:$E$40,Override!$B$11:$B$40,$B49,Override!$D$11:$D$40,9,Override!$C$11:$C$40,"MXAU"),Override!$K$84)/AS51!$B$3,"")))</f>
        <v/>
      </c>
      <c r="O49" s="140">
        <f>IF(O$13="","",IF($B49="","",IFERROR($C49*$D49*IF((Override!$C$4="ON")*(COUNTIFS(Override!$B$11:$B$40,$B49,Override!$D$11:$D$40,10,Override!$E$11:$E$40,"&gt;=0")-COUNTIFS(Override!$B$11:$B$40,$B49,Override!$D$11:$D$40,10,Override!$E$11:$E$40,"&gt;=0",Override!$C$11:$C$40,"MXAU"))&gt;0,SUMIFS(Override!$E$11:$E$40,Override!$B$11:$B$40,$B49,Override!$D$11:$D$40,10)-SUMIFS(Override!$E$11:$E$40,Override!$B$11:$B$40,$B49,Override!$D$11:$D$40,10,Override!$C$11:$C$40,"MXAU"),Override!$L$84)/AS51!$B$3,"")))</f>
        <v/>
      </c>
      <c r="P49" s="140">
        <f>IF(P$13="","",IF($B49="","",IFERROR($C49*$D49*IF((Override!$C$4="ON")*(COUNTIFS(Override!$B$11:$B$40,$B49,Override!$D$11:$D$40,11,Override!$E$11:$E$40,"&gt;=0")-COUNTIFS(Override!$B$11:$B$40,$B49,Override!$D$11:$D$40,11,Override!$E$11:$E$40,"&gt;=0",Override!$C$11:$C$40,"MXAU"))&gt;0,SUMIFS(Override!$E$11:$E$40,Override!$B$11:$B$40,$B49,Override!$D$11:$D$40,11)-SUMIFS(Override!$E$11:$E$40,Override!$B$11:$B$40,$B49,Override!$D$11:$D$40,11,Override!$C$11:$C$40,"MXAU"),Override!$M$84)/AS51!$B$3,"")))</f>
        <v/>
      </c>
      <c r="Q49" s="140">
        <f>IF(Q$13="","",IF($B49="","",IFERROR($C49*$D49*IF((Override!$C$4="ON")*(COUNTIFS(Override!$B$11:$B$40,$B49,Override!$D$11:$D$40,12,Override!$E$11:$E$40,"&gt;=0")-COUNTIFS(Override!$B$11:$B$40,$B49,Override!$D$11:$D$40,12,Override!$E$11:$E$40,"&gt;=0",Override!$C$11:$C$40,"MXAU"))&gt;0,SUMIFS(Override!$E$11:$E$40,Override!$B$11:$B$40,$B49,Override!$D$11:$D$40,12)-SUMIFS(Override!$E$11:$E$40,Override!$B$11:$B$40,$B49,Override!$D$11:$D$40,12,Override!$C$11:$C$40,"MXAU"),Override!$N$84)/AS51!$B$3,"")))</f>
        <v/>
      </c>
      <c r="R49" s="140">
        <f>IF(R$13="","",IF($B49="","",IFERROR($C49*$D49*IF((Override!$C$4="ON")*(COUNTIFS(Override!$B$11:$B$40,$B49,Override!$D$11:$D$40,13,Override!$E$11:$E$40,"&gt;=0")-COUNTIFS(Override!$B$11:$B$40,$B49,Override!$D$11:$D$40,13,Override!$E$11:$E$40,"&gt;=0",Override!$C$11:$C$40,"MXAU"))&gt;0,SUMIFS(Override!$E$11:$E$40,Override!$B$11:$B$40,$B49,Override!$D$11:$D$40,13)-SUMIFS(Override!$E$11:$E$40,Override!$B$11:$B$40,$B49,Override!$D$11:$D$40,13,Override!$C$11:$C$40,"MXAU"),Override!$O$84)/AS51!$B$3,"")))</f>
        <v/>
      </c>
      <c r="S49" s="140">
        <f>IF(S$13="","",IF($B49="","",IFERROR($C49*$D49*IF((Override!$C$4="ON")*(COUNTIFS(Override!$B$11:$B$40,$B49,Override!$D$11:$D$40,14,Override!$E$11:$E$40,"&gt;=0")-COUNTIFS(Override!$B$11:$B$40,$B49,Override!$D$11:$D$40,14,Override!$E$11:$E$40,"&gt;=0",Override!$C$11:$C$40,"MXAU"))&gt;0,SUMIFS(Override!$E$11:$E$40,Override!$B$11:$B$40,$B49,Override!$D$11:$D$40,14)-SUMIFS(Override!$E$11:$E$40,Override!$B$11:$B$40,$B49,Override!$D$11:$D$40,14,Override!$C$11:$C$40,"MXAU"),Override!$P$84)/AS51!$B$3,"")))</f>
        <v/>
      </c>
      <c r="T49" s="140">
        <f>IF(T$13="","",IF($B49="","",IFERROR($C49*$D49*IF((Override!$C$4="ON")*(COUNTIFS(Override!$B$11:$B$40,$B49,Override!$D$11:$D$40,15,Override!$E$11:$E$40,"&gt;=0")-COUNTIFS(Override!$B$11:$B$40,$B49,Override!$D$11:$D$40,15,Override!$E$11:$E$40,"&gt;=0",Override!$C$11:$C$40,"MXAU"))&gt;0,SUMIFS(Override!$E$11:$E$40,Override!$B$11:$B$40,$B49,Override!$D$11:$D$40,15)-SUMIFS(Override!$E$11:$E$40,Override!$B$11:$B$40,$B49,Override!$D$11:$D$40,15,Override!$C$11:$C$40,"MXAU"),Override!$Q$84)/AS51!$B$3,"")))</f>
        <v/>
      </c>
      <c r="U49" s="140">
        <f>IF(U$13="","",IF($B49="","",IFERROR($C49*$D49*IF((Override!$C$4="ON")*(COUNTIFS(Override!$B$11:$B$40,$B49,Override!$D$11:$D$40,16,Override!$E$11:$E$40,"&gt;=0")-COUNTIFS(Override!$B$11:$B$40,$B49,Override!$D$11:$D$40,16,Override!$E$11:$E$40,"&gt;=0",Override!$C$11:$C$40,"MXAU"))&gt;0,SUMIFS(Override!$E$11:$E$40,Override!$B$11:$B$40,$B49,Override!$D$11:$D$40,16)-SUMIFS(Override!$E$11:$E$40,Override!$B$11:$B$40,$B49,Override!$D$11:$D$40,16,Override!$C$11:$C$40,"MXAU"),Override!$R$84)/AS51!$B$3,"")))</f>
        <v/>
      </c>
      <c r="W49" s="140">
        <f>IF(W$13="","",IF($B49="","",IFERROR(F49*$E49/100,"")))</f>
        <v/>
      </c>
      <c r="X49" s="140">
        <f>IF(X$13="","",IF($B49="","",IFERROR(G49*$E49/100,"")))</f>
        <v/>
      </c>
      <c r="Y49" s="140">
        <f>IF(Y$13="","",IF($B49="","",IFERROR(H49*$E49/100,"")))</f>
        <v/>
      </c>
      <c r="Z49" s="140">
        <f>IF(Z$13="","",IF($B49="","",IFERROR(I49*$E49/100,"")))</f>
        <v/>
      </c>
      <c r="AA49" s="140">
        <f>IF(AA$13="","",IF($B49="","",IFERROR(J49*$E49/100,"")))</f>
        <v/>
      </c>
      <c r="AB49" s="140">
        <f>IF(AB$13="","",IF($B49="","",IFERROR(K49*$E49/100,"")))</f>
        <v/>
      </c>
      <c r="AC49" s="140">
        <f>IF(AC$13="","",IF($B49="","",IFERROR(L49*$E49/100,"")))</f>
        <v/>
      </c>
      <c r="AD49" s="140">
        <f>IF(AD$13="","",IF($B49="","",IFERROR(M49*$E49/100,"")))</f>
        <v/>
      </c>
      <c r="AE49" s="140">
        <f>IF(AE$13="","",IF($B49="","",IFERROR(N49*$E49/100,"")))</f>
        <v/>
      </c>
      <c r="AF49" s="140">
        <f>IF(AF$13="","",IF($B49="","",IFERROR(O49*$E49/100,"")))</f>
        <v/>
      </c>
      <c r="AG49" s="140">
        <f>IF(AG$13="","",IF($B49="","",IFERROR(P49*$E49/100,"")))</f>
        <v/>
      </c>
      <c r="AH49" s="140">
        <f>IF(AH$13="","",IF($B49="","",IFERROR(Q49*$E49/100,"")))</f>
        <v/>
      </c>
      <c r="AI49" s="140">
        <f>IF(AI$13="","",IF($B49="","",IFERROR(R49*$E49/100,"")))</f>
        <v/>
      </c>
      <c r="AJ49" s="140">
        <f>IF(AJ$13="","",IF($B49="","",IFERROR(S49*$E49/100,"")))</f>
        <v/>
      </c>
      <c r="AK49" s="140">
        <f>IF(AK$13="","",IF($B49="","",IFERROR(T49*$E49/100,"")))</f>
        <v/>
      </c>
      <c r="AL49" s="140">
        <f>IF(AL$13="","",IF($B49="","",IFERROR(U49*$E49/100,"")))</f>
        <v/>
      </c>
      <c r="AN49" s="140">
        <f>IF($B49="","",SUMIF($F$13:$U$13,"&lt;="&amp;Sector!$D$51,$F49:$U49))</f>
        <v/>
      </c>
      <c r="AO49" s="140">
        <f>IF($B49="","",SUMIF($W$13:$AL$13,"&lt;="&amp;Sector!$D$51,$W49:$AL49))</f>
        <v/>
      </c>
    </row>
    <row r="50">
      <c r="B50" s="5">
        <f>IF(AS51!$C$40="","",AS51!$C$40)</f>
        <v/>
      </c>
      <c r="C50" s="90">
        <f>IF(AS51!$B$40="","",AS51!$B$40)</f>
        <v/>
      </c>
      <c r="D50" s="138">
        <f>IFERROR(AS51!$Q$40,1)</f>
        <v/>
      </c>
      <c r="E50" s="139">
        <f>IF($B50="","",IF(ISNUMBER(AS51!$I$40),AS51!$I$40,'Index Summary'!$C$7))</f>
        <v/>
      </c>
      <c r="F50" s="140">
        <f>IF(F$13="","",IF($B50="","",IFERROR($C50*$D50*IF((Override!$C$4="ON")*(COUNTIFS(Override!$B$11:$B$40,$B50,Override!$D$11:$D$40,1,Override!$E$11:$E$40,"&gt;=0")-COUNTIFS(Override!$B$11:$B$40,$B50,Override!$D$11:$D$40,1,Override!$E$11:$E$40,"&gt;=0",Override!$C$11:$C$40,"MXAU"))&gt;0,SUMIFS(Override!$E$11:$E$40,Override!$B$11:$B$40,$B50,Override!$D$11:$D$40,1)-SUMIFS(Override!$E$11:$E$40,Override!$B$11:$B$40,$B50,Override!$D$11:$D$40,1,Override!$C$11:$C$40,"MXAU"),Override!$C$85)/AS51!$B$3,"")))</f>
        <v/>
      </c>
      <c r="G50" s="140">
        <f>IF(G$13="","",IF($B50="","",IFERROR($C50*$D50*IF((Override!$C$4="ON")*(COUNTIFS(Override!$B$11:$B$40,$B50,Override!$D$11:$D$40,2,Override!$E$11:$E$40,"&gt;=0")-COUNTIFS(Override!$B$11:$B$40,$B50,Override!$D$11:$D$40,2,Override!$E$11:$E$40,"&gt;=0",Override!$C$11:$C$40,"MXAU"))&gt;0,SUMIFS(Override!$E$11:$E$40,Override!$B$11:$B$40,$B50,Override!$D$11:$D$40,2)-SUMIFS(Override!$E$11:$E$40,Override!$B$11:$B$40,$B50,Override!$D$11:$D$40,2,Override!$C$11:$C$40,"MXAU"),Override!$D$85)/AS51!$B$3,"")))</f>
        <v/>
      </c>
      <c r="H50" s="140">
        <f>IF(H$13="","",IF($B50="","",IFERROR($C50*$D50*IF((Override!$C$4="ON")*(COUNTIFS(Override!$B$11:$B$40,$B50,Override!$D$11:$D$40,3,Override!$E$11:$E$40,"&gt;=0")-COUNTIFS(Override!$B$11:$B$40,$B50,Override!$D$11:$D$40,3,Override!$E$11:$E$40,"&gt;=0",Override!$C$11:$C$40,"MXAU"))&gt;0,SUMIFS(Override!$E$11:$E$40,Override!$B$11:$B$40,$B50,Override!$D$11:$D$40,3)-SUMIFS(Override!$E$11:$E$40,Override!$B$11:$B$40,$B50,Override!$D$11:$D$40,3,Override!$C$11:$C$40,"MXAU"),Override!$E$85)/AS51!$B$3,"")))</f>
        <v/>
      </c>
      <c r="I50" s="140">
        <f>IF(I$13="","",IF($B50="","",IFERROR($C50*$D50*IF((Override!$C$4="ON")*(COUNTIFS(Override!$B$11:$B$40,$B50,Override!$D$11:$D$40,4,Override!$E$11:$E$40,"&gt;=0")-COUNTIFS(Override!$B$11:$B$40,$B50,Override!$D$11:$D$40,4,Override!$E$11:$E$40,"&gt;=0",Override!$C$11:$C$40,"MXAU"))&gt;0,SUMIFS(Override!$E$11:$E$40,Override!$B$11:$B$40,$B50,Override!$D$11:$D$40,4)-SUMIFS(Override!$E$11:$E$40,Override!$B$11:$B$40,$B50,Override!$D$11:$D$40,4,Override!$C$11:$C$40,"MXAU"),Override!$F$85)/AS51!$B$3,"")))</f>
        <v/>
      </c>
      <c r="J50" s="140">
        <f>IF(J$13="","",IF($B50="","",IFERROR($C50*$D50*IF((Override!$C$4="ON")*(COUNTIFS(Override!$B$11:$B$40,$B50,Override!$D$11:$D$40,5,Override!$E$11:$E$40,"&gt;=0")-COUNTIFS(Override!$B$11:$B$40,$B50,Override!$D$11:$D$40,5,Override!$E$11:$E$40,"&gt;=0",Override!$C$11:$C$40,"MXAU"))&gt;0,SUMIFS(Override!$E$11:$E$40,Override!$B$11:$B$40,$B50,Override!$D$11:$D$40,5)-SUMIFS(Override!$E$11:$E$40,Override!$B$11:$B$40,$B50,Override!$D$11:$D$40,5,Override!$C$11:$C$40,"MXAU"),Override!$G$85)/AS51!$B$3,"")))</f>
        <v/>
      </c>
      <c r="K50" s="140">
        <f>IF(K$13="","",IF($B50="","",IFERROR($C50*$D50*IF((Override!$C$4="ON")*(COUNTIFS(Override!$B$11:$B$40,$B50,Override!$D$11:$D$40,6,Override!$E$11:$E$40,"&gt;=0")-COUNTIFS(Override!$B$11:$B$40,$B50,Override!$D$11:$D$40,6,Override!$E$11:$E$40,"&gt;=0",Override!$C$11:$C$40,"MXAU"))&gt;0,SUMIFS(Override!$E$11:$E$40,Override!$B$11:$B$40,$B50,Override!$D$11:$D$40,6)-SUMIFS(Override!$E$11:$E$40,Override!$B$11:$B$40,$B50,Override!$D$11:$D$40,6,Override!$C$11:$C$40,"MXAU"),Override!$H$85)/AS51!$B$3,"")))</f>
        <v/>
      </c>
      <c r="L50" s="140">
        <f>IF(L$13="","",IF($B50="","",IFERROR($C50*$D50*IF((Override!$C$4="ON")*(COUNTIFS(Override!$B$11:$B$40,$B50,Override!$D$11:$D$40,7,Override!$E$11:$E$40,"&gt;=0")-COUNTIFS(Override!$B$11:$B$40,$B50,Override!$D$11:$D$40,7,Override!$E$11:$E$40,"&gt;=0",Override!$C$11:$C$40,"MXAU"))&gt;0,SUMIFS(Override!$E$11:$E$40,Override!$B$11:$B$40,$B50,Override!$D$11:$D$40,7)-SUMIFS(Override!$E$11:$E$40,Override!$B$11:$B$40,$B50,Override!$D$11:$D$40,7,Override!$C$11:$C$40,"MXAU"),Override!$I$85)/AS51!$B$3,"")))</f>
        <v/>
      </c>
      <c r="M50" s="140">
        <f>IF(M$13="","",IF($B50="","",IFERROR($C50*$D50*IF((Override!$C$4="ON")*(COUNTIFS(Override!$B$11:$B$40,$B50,Override!$D$11:$D$40,8,Override!$E$11:$E$40,"&gt;=0")-COUNTIFS(Override!$B$11:$B$40,$B50,Override!$D$11:$D$40,8,Override!$E$11:$E$40,"&gt;=0",Override!$C$11:$C$40,"MXAU"))&gt;0,SUMIFS(Override!$E$11:$E$40,Override!$B$11:$B$40,$B50,Override!$D$11:$D$40,8)-SUMIFS(Override!$E$11:$E$40,Override!$B$11:$B$40,$B50,Override!$D$11:$D$40,8,Override!$C$11:$C$40,"MXAU"),Override!$J$85)/AS51!$B$3,"")))</f>
        <v/>
      </c>
      <c r="N50" s="140">
        <f>IF(N$13="","",IF($B50="","",IFERROR($C50*$D50*IF((Override!$C$4="ON")*(COUNTIFS(Override!$B$11:$B$40,$B50,Override!$D$11:$D$40,9,Override!$E$11:$E$40,"&gt;=0")-COUNTIFS(Override!$B$11:$B$40,$B50,Override!$D$11:$D$40,9,Override!$E$11:$E$40,"&gt;=0",Override!$C$11:$C$40,"MXAU"))&gt;0,SUMIFS(Override!$E$11:$E$40,Override!$B$11:$B$40,$B50,Override!$D$11:$D$40,9)-SUMIFS(Override!$E$11:$E$40,Override!$B$11:$B$40,$B50,Override!$D$11:$D$40,9,Override!$C$11:$C$40,"MXAU"),Override!$K$85)/AS51!$B$3,"")))</f>
        <v/>
      </c>
      <c r="O50" s="140">
        <f>IF(O$13="","",IF($B50="","",IFERROR($C50*$D50*IF((Override!$C$4="ON")*(COUNTIFS(Override!$B$11:$B$40,$B50,Override!$D$11:$D$40,10,Override!$E$11:$E$40,"&gt;=0")-COUNTIFS(Override!$B$11:$B$40,$B50,Override!$D$11:$D$40,10,Override!$E$11:$E$40,"&gt;=0",Override!$C$11:$C$40,"MXAU"))&gt;0,SUMIFS(Override!$E$11:$E$40,Override!$B$11:$B$40,$B50,Override!$D$11:$D$40,10)-SUMIFS(Override!$E$11:$E$40,Override!$B$11:$B$40,$B50,Override!$D$11:$D$40,10,Override!$C$11:$C$40,"MXAU"),Override!$L$85)/AS51!$B$3,"")))</f>
        <v/>
      </c>
      <c r="P50" s="140">
        <f>IF(P$13="","",IF($B50="","",IFERROR($C50*$D50*IF((Override!$C$4="ON")*(COUNTIFS(Override!$B$11:$B$40,$B50,Override!$D$11:$D$40,11,Override!$E$11:$E$40,"&gt;=0")-COUNTIFS(Override!$B$11:$B$40,$B50,Override!$D$11:$D$40,11,Override!$E$11:$E$40,"&gt;=0",Override!$C$11:$C$40,"MXAU"))&gt;0,SUMIFS(Override!$E$11:$E$40,Override!$B$11:$B$40,$B50,Override!$D$11:$D$40,11)-SUMIFS(Override!$E$11:$E$40,Override!$B$11:$B$40,$B50,Override!$D$11:$D$40,11,Override!$C$11:$C$40,"MXAU"),Override!$M$85)/AS51!$B$3,"")))</f>
        <v/>
      </c>
      <c r="Q50" s="140">
        <f>IF(Q$13="","",IF($B50="","",IFERROR($C50*$D50*IF((Override!$C$4="ON")*(COUNTIFS(Override!$B$11:$B$40,$B50,Override!$D$11:$D$40,12,Override!$E$11:$E$40,"&gt;=0")-COUNTIFS(Override!$B$11:$B$40,$B50,Override!$D$11:$D$40,12,Override!$E$11:$E$40,"&gt;=0",Override!$C$11:$C$40,"MXAU"))&gt;0,SUMIFS(Override!$E$11:$E$40,Override!$B$11:$B$40,$B50,Override!$D$11:$D$40,12)-SUMIFS(Override!$E$11:$E$40,Override!$B$11:$B$40,$B50,Override!$D$11:$D$40,12,Override!$C$11:$C$40,"MXAU"),Override!$N$85)/AS51!$B$3,"")))</f>
        <v/>
      </c>
      <c r="R50" s="140">
        <f>IF(R$13="","",IF($B50="","",IFERROR($C50*$D50*IF((Override!$C$4="ON")*(COUNTIFS(Override!$B$11:$B$40,$B50,Override!$D$11:$D$40,13,Override!$E$11:$E$40,"&gt;=0")-COUNTIFS(Override!$B$11:$B$40,$B50,Override!$D$11:$D$40,13,Override!$E$11:$E$40,"&gt;=0",Override!$C$11:$C$40,"MXAU"))&gt;0,SUMIFS(Override!$E$11:$E$40,Override!$B$11:$B$40,$B50,Override!$D$11:$D$40,13)-SUMIFS(Override!$E$11:$E$40,Override!$B$11:$B$40,$B50,Override!$D$11:$D$40,13,Override!$C$11:$C$40,"MXAU"),Override!$O$85)/AS51!$B$3,"")))</f>
        <v/>
      </c>
      <c r="S50" s="140">
        <f>IF(S$13="","",IF($B50="","",IFERROR($C50*$D50*IF((Override!$C$4="ON")*(COUNTIFS(Override!$B$11:$B$40,$B50,Override!$D$11:$D$40,14,Override!$E$11:$E$40,"&gt;=0")-COUNTIFS(Override!$B$11:$B$40,$B50,Override!$D$11:$D$40,14,Override!$E$11:$E$40,"&gt;=0",Override!$C$11:$C$40,"MXAU"))&gt;0,SUMIFS(Override!$E$11:$E$40,Override!$B$11:$B$40,$B50,Override!$D$11:$D$40,14)-SUMIFS(Override!$E$11:$E$40,Override!$B$11:$B$40,$B50,Override!$D$11:$D$40,14,Override!$C$11:$C$40,"MXAU"),Override!$P$85)/AS51!$B$3,"")))</f>
        <v/>
      </c>
      <c r="T50" s="140">
        <f>IF(T$13="","",IF($B50="","",IFERROR($C50*$D50*IF((Override!$C$4="ON")*(COUNTIFS(Override!$B$11:$B$40,$B50,Override!$D$11:$D$40,15,Override!$E$11:$E$40,"&gt;=0")-COUNTIFS(Override!$B$11:$B$40,$B50,Override!$D$11:$D$40,15,Override!$E$11:$E$40,"&gt;=0",Override!$C$11:$C$40,"MXAU"))&gt;0,SUMIFS(Override!$E$11:$E$40,Override!$B$11:$B$40,$B50,Override!$D$11:$D$40,15)-SUMIFS(Override!$E$11:$E$40,Override!$B$11:$B$40,$B50,Override!$D$11:$D$40,15,Override!$C$11:$C$40,"MXAU"),Override!$Q$85)/AS51!$B$3,"")))</f>
        <v/>
      </c>
      <c r="U50" s="140">
        <f>IF(U$13="","",IF($B50="","",IFERROR($C50*$D50*IF((Override!$C$4="ON")*(COUNTIFS(Override!$B$11:$B$40,$B50,Override!$D$11:$D$40,16,Override!$E$11:$E$40,"&gt;=0")-COUNTIFS(Override!$B$11:$B$40,$B50,Override!$D$11:$D$40,16,Override!$E$11:$E$40,"&gt;=0",Override!$C$11:$C$40,"MXAU"))&gt;0,SUMIFS(Override!$E$11:$E$40,Override!$B$11:$B$40,$B50,Override!$D$11:$D$40,16)-SUMIFS(Override!$E$11:$E$40,Override!$B$11:$B$40,$B50,Override!$D$11:$D$40,16,Override!$C$11:$C$40,"MXAU"),Override!$R$85)/AS51!$B$3,"")))</f>
        <v/>
      </c>
      <c r="W50" s="140">
        <f>IF(W$13="","",IF($B50="","",IFERROR(F50*$E50/100,"")))</f>
        <v/>
      </c>
      <c r="X50" s="140">
        <f>IF(X$13="","",IF($B50="","",IFERROR(G50*$E50/100,"")))</f>
        <v/>
      </c>
      <c r="Y50" s="140">
        <f>IF(Y$13="","",IF($B50="","",IFERROR(H50*$E50/100,"")))</f>
        <v/>
      </c>
      <c r="Z50" s="140">
        <f>IF(Z$13="","",IF($B50="","",IFERROR(I50*$E50/100,"")))</f>
        <v/>
      </c>
      <c r="AA50" s="140">
        <f>IF(AA$13="","",IF($B50="","",IFERROR(J50*$E50/100,"")))</f>
        <v/>
      </c>
      <c r="AB50" s="140">
        <f>IF(AB$13="","",IF($B50="","",IFERROR(K50*$E50/100,"")))</f>
        <v/>
      </c>
      <c r="AC50" s="140">
        <f>IF(AC$13="","",IF($B50="","",IFERROR(L50*$E50/100,"")))</f>
        <v/>
      </c>
      <c r="AD50" s="140">
        <f>IF(AD$13="","",IF($B50="","",IFERROR(M50*$E50/100,"")))</f>
        <v/>
      </c>
      <c r="AE50" s="140">
        <f>IF(AE$13="","",IF($B50="","",IFERROR(N50*$E50/100,"")))</f>
        <v/>
      </c>
      <c r="AF50" s="140">
        <f>IF(AF$13="","",IF($B50="","",IFERROR(O50*$E50/100,"")))</f>
        <v/>
      </c>
      <c r="AG50" s="140">
        <f>IF(AG$13="","",IF($B50="","",IFERROR(P50*$E50/100,"")))</f>
        <v/>
      </c>
      <c r="AH50" s="140">
        <f>IF(AH$13="","",IF($B50="","",IFERROR(Q50*$E50/100,"")))</f>
        <v/>
      </c>
      <c r="AI50" s="140">
        <f>IF(AI$13="","",IF($B50="","",IFERROR(R50*$E50/100,"")))</f>
        <v/>
      </c>
      <c r="AJ50" s="140">
        <f>IF(AJ$13="","",IF($B50="","",IFERROR(S50*$E50/100,"")))</f>
        <v/>
      </c>
      <c r="AK50" s="140">
        <f>IF(AK$13="","",IF($B50="","",IFERROR(T50*$E50/100,"")))</f>
        <v/>
      </c>
      <c r="AL50" s="140">
        <f>IF(AL$13="","",IF($B50="","",IFERROR(U50*$E50/100,"")))</f>
        <v/>
      </c>
      <c r="AN50" s="140">
        <f>IF($B50="","",SUMIF($F$13:$U$13,"&lt;="&amp;Sector!$D$51,$F50:$U50))</f>
        <v/>
      </c>
      <c r="AO50" s="140">
        <f>IF($B50="","",SUMIF($W$13:$AL$13,"&lt;="&amp;Sector!$D$51,$W50:$AL50))</f>
        <v/>
      </c>
    </row>
    <row r="51">
      <c r="B51" s="5">
        <f>IF(AS51!$C$41="","",AS51!$C$41)</f>
        <v/>
      </c>
      <c r="C51" s="90">
        <f>IF(AS51!$B$41="","",AS51!$B$41)</f>
        <v/>
      </c>
      <c r="D51" s="138">
        <f>IFERROR(AS51!$Q$41,1)</f>
        <v/>
      </c>
      <c r="E51" s="139">
        <f>IF($B51="","",IF(ISNUMBER(AS51!$I$41),AS51!$I$41,'Index Summary'!$C$7))</f>
        <v/>
      </c>
      <c r="F51" s="140">
        <f>IF(F$13="","",IF($B51="","",IFERROR($C51*$D51*IF((Override!$C$4="ON")*(COUNTIFS(Override!$B$11:$B$40,$B51,Override!$D$11:$D$40,1,Override!$E$11:$E$40,"&gt;=0")-COUNTIFS(Override!$B$11:$B$40,$B51,Override!$D$11:$D$40,1,Override!$E$11:$E$40,"&gt;=0",Override!$C$11:$C$40,"MXAU"))&gt;0,SUMIFS(Override!$E$11:$E$40,Override!$B$11:$B$40,$B51,Override!$D$11:$D$40,1)-SUMIFS(Override!$E$11:$E$40,Override!$B$11:$B$40,$B51,Override!$D$11:$D$40,1,Override!$C$11:$C$40,"MXAU"),Override!$C$86)/AS51!$B$3,"")))</f>
        <v/>
      </c>
      <c r="G51" s="140">
        <f>IF(G$13="","",IF($B51="","",IFERROR($C51*$D51*IF((Override!$C$4="ON")*(COUNTIFS(Override!$B$11:$B$40,$B51,Override!$D$11:$D$40,2,Override!$E$11:$E$40,"&gt;=0")-COUNTIFS(Override!$B$11:$B$40,$B51,Override!$D$11:$D$40,2,Override!$E$11:$E$40,"&gt;=0",Override!$C$11:$C$40,"MXAU"))&gt;0,SUMIFS(Override!$E$11:$E$40,Override!$B$11:$B$40,$B51,Override!$D$11:$D$40,2)-SUMIFS(Override!$E$11:$E$40,Override!$B$11:$B$40,$B51,Override!$D$11:$D$40,2,Override!$C$11:$C$40,"MXAU"),Override!$D$86)/AS51!$B$3,"")))</f>
        <v/>
      </c>
      <c r="H51" s="140">
        <f>IF(H$13="","",IF($B51="","",IFERROR($C51*$D51*IF((Override!$C$4="ON")*(COUNTIFS(Override!$B$11:$B$40,$B51,Override!$D$11:$D$40,3,Override!$E$11:$E$40,"&gt;=0")-COUNTIFS(Override!$B$11:$B$40,$B51,Override!$D$11:$D$40,3,Override!$E$11:$E$40,"&gt;=0",Override!$C$11:$C$40,"MXAU"))&gt;0,SUMIFS(Override!$E$11:$E$40,Override!$B$11:$B$40,$B51,Override!$D$11:$D$40,3)-SUMIFS(Override!$E$11:$E$40,Override!$B$11:$B$40,$B51,Override!$D$11:$D$40,3,Override!$C$11:$C$40,"MXAU"),Override!$E$86)/AS51!$B$3,"")))</f>
        <v/>
      </c>
      <c r="I51" s="140">
        <f>IF(I$13="","",IF($B51="","",IFERROR($C51*$D51*IF((Override!$C$4="ON")*(COUNTIFS(Override!$B$11:$B$40,$B51,Override!$D$11:$D$40,4,Override!$E$11:$E$40,"&gt;=0")-COUNTIFS(Override!$B$11:$B$40,$B51,Override!$D$11:$D$40,4,Override!$E$11:$E$40,"&gt;=0",Override!$C$11:$C$40,"MXAU"))&gt;0,SUMIFS(Override!$E$11:$E$40,Override!$B$11:$B$40,$B51,Override!$D$11:$D$40,4)-SUMIFS(Override!$E$11:$E$40,Override!$B$11:$B$40,$B51,Override!$D$11:$D$40,4,Override!$C$11:$C$40,"MXAU"),Override!$F$86)/AS51!$B$3,"")))</f>
        <v/>
      </c>
      <c r="J51" s="140">
        <f>IF(J$13="","",IF($B51="","",IFERROR($C51*$D51*IF((Override!$C$4="ON")*(COUNTIFS(Override!$B$11:$B$40,$B51,Override!$D$11:$D$40,5,Override!$E$11:$E$40,"&gt;=0")-COUNTIFS(Override!$B$11:$B$40,$B51,Override!$D$11:$D$40,5,Override!$E$11:$E$40,"&gt;=0",Override!$C$11:$C$40,"MXAU"))&gt;0,SUMIFS(Override!$E$11:$E$40,Override!$B$11:$B$40,$B51,Override!$D$11:$D$40,5)-SUMIFS(Override!$E$11:$E$40,Override!$B$11:$B$40,$B51,Override!$D$11:$D$40,5,Override!$C$11:$C$40,"MXAU"),Override!$G$86)/AS51!$B$3,"")))</f>
        <v/>
      </c>
      <c r="K51" s="140">
        <f>IF(K$13="","",IF($B51="","",IFERROR($C51*$D51*IF((Override!$C$4="ON")*(COUNTIFS(Override!$B$11:$B$40,$B51,Override!$D$11:$D$40,6,Override!$E$11:$E$40,"&gt;=0")-COUNTIFS(Override!$B$11:$B$40,$B51,Override!$D$11:$D$40,6,Override!$E$11:$E$40,"&gt;=0",Override!$C$11:$C$40,"MXAU"))&gt;0,SUMIFS(Override!$E$11:$E$40,Override!$B$11:$B$40,$B51,Override!$D$11:$D$40,6)-SUMIFS(Override!$E$11:$E$40,Override!$B$11:$B$40,$B51,Override!$D$11:$D$40,6,Override!$C$11:$C$40,"MXAU"),Override!$H$86)/AS51!$B$3,"")))</f>
        <v/>
      </c>
      <c r="L51" s="140">
        <f>IF(L$13="","",IF($B51="","",IFERROR($C51*$D51*IF((Override!$C$4="ON")*(COUNTIFS(Override!$B$11:$B$40,$B51,Override!$D$11:$D$40,7,Override!$E$11:$E$40,"&gt;=0")-COUNTIFS(Override!$B$11:$B$40,$B51,Override!$D$11:$D$40,7,Override!$E$11:$E$40,"&gt;=0",Override!$C$11:$C$40,"MXAU"))&gt;0,SUMIFS(Override!$E$11:$E$40,Override!$B$11:$B$40,$B51,Override!$D$11:$D$40,7)-SUMIFS(Override!$E$11:$E$40,Override!$B$11:$B$40,$B51,Override!$D$11:$D$40,7,Override!$C$11:$C$40,"MXAU"),Override!$I$86)/AS51!$B$3,"")))</f>
        <v/>
      </c>
      <c r="M51" s="140">
        <f>IF(M$13="","",IF($B51="","",IFERROR($C51*$D51*IF((Override!$C$4="ON")*(COUNTIFS(Override!$B$11:$B$40,$B51,Override!$D$11:$D$40,8,Override!$E$11:$E$40,"&gt;=0")-COUNTIFS(Override!$B$11:$B$40,$B51,Override!$D$11:$D$40,8,Override!$E$11:$E$40,"&gt;=0",Override!$C$11:$C$40,"MXAU"))&gt;0,SUMIFS(Override!$E$11:$E$40,Override!$B$11:$B$40,$B51,Override!$D$11:$D$40,8)-SUMIFS(Override!$E$11:$E$40,Override!$B$11:$B$40,$B51,Override!$D$11:$D$40,8,Override!$C$11:$C$40,"MXAU"),Override!$J$86)/AS51!$B$3,"")))</f>
        <v/>
      </c>
      <c r="N51" s="140">
        <f>IF(N$13="","",IF($B51="","",IFERROR($C51*$D51*IF((Override!$C$4="ON")*(COUNTIFS(Override!$B$11:$B$40,$B51,Override!$D$11:$D$40,9,Override!$E$11:$E$40,"&gt;=0")-COUNTIFS(Override!$B$11:$B$40,$B51,Override!$D$11:$D$40,9,Override!$E$11:$E$40,"&gt;=0",Override!$C$11:$C$40,"MXAU"))&gt;0,SUMIFS(Override!$E$11:$E$40,Override!$B$11:$B$40,$B51,Override!$D$11:$D$40,9)-SUMIFS(Override!$E$11:$E$40,Override!$B$11:$B$40,$B51,Override!$D$11:$D$40,9,Override!$C$11:$C$40,"MXAU"),Override!$K$86)/AS51!$B$3,"")))</f>
        <v/>
      </c>
      <c r="O51" s="140">
        <f>IF(O$13="","",IF($B51="","",IFERROR($C51*$D51*IF((Override!$C$4="ON")*(COUNTIFS(Override!$B$11:$B$40,$B51,Override!$D$11:$D$40,10,Override!$E$11:$E$40,"&gt;=0")-COUNTIFS(Override!$B$11:$B$40,$B51,Override!$D$11:$D$40,10,Override!$E$11:$E$40,"&gt;=0",Override!$C$11:$C$40,"MXAU"))&gt;0,SUMIFS(Override!$E$11:$E$40,Override!$B$11:$B$40,$B51,Override!$D$11:$D$40,10)-SUMIFS(Override!$E$11:$E$40,Override!$B$11:$B$40,$B51,Override!$D$11:$D$40,10,Override!$C$11:$C$40,"MXAU"),Override!$L$86)/AS51!$B$3,"")))</f>
        <v/>
      </c>
      <c r="P51" s="140">
        <f>IF(P$13="","",IF($B51="","",IFERROR($C51*$D51*IF((Override!$C$4="ON")*(COUNTIFS(Override!$B$11:$B$40,$B51,Override!$D$11:$D$40,11,Override!$E$11:$E$40,"&gt;=0")-COUNTIFS(Override!$B$11:$B$40,$B51,Override!$D$11:$D$40,11,Override!$E$11:$E$40,"&gt;=0",Override!$C$11:$C$40,"MXAU"))&gt;0,SUMIFS(Override!$E$11:$E$40,Override!$B$11:$B$40,$B51,Override!$D$11:$D$40,11)-SUMIFS(Override!$E$11:$E$40,Override!$B$11:$B$40,$B51,Override!$D$11:$D$40,11,Override!$C$11:$C$40,"MXAU"),Override!$M$86)/AS51!$B$3,"")))</f>
        <v/>
      </c>
      <c r="Q51" s="140">
        <f>IF(Q$13="","",IF($B51="","",IFERROR($C51*$D51*IF((Override!$C$4="ON")*(COUNTIFS(Override!$B$11:$B$40,$B51,Override!$D$11:$D$40,12,Override!$E$11:$E$40,"&gt;=0")-COUNTIFS(Override!$B$11:$B$40,$B51,Override!$D$11:$D$40,12,Override!$E$11:$E$40,"&gt;=0",Override!$C$11:$C$40,"MXAU"))&gt;0,SUMIFS(Override!$E$11:$E$40,Override!$B$11:$B$40,$B51,Override!$D$11:$D$40,12)-SUMIFS(Override!$E$11:$E$40,Override!$B$11:$B$40,$B51,Override!$D$11:$D$40,12,Override!$C$11:$C$40,"MXAU"),Override!$N$86)/AS51!$B$3,"")))</f>
        <v/>
      </c>
      <c r="R51" s="140">
        <f>IF(R$13="","",IF($B51="","",IFERROR($C51*$D51*IF((Override!$C$4="ON")*(COUNTIFS(Override!$B$11:$B$40,$B51,Override!$D$11:$D$40,13,Override!$E$11:$E$40,"&gt;=0")-COUNTIFS(Override!$B$11:$B$40,$B51,Override!$D$11:$D$40,13,Override!$E$11:$E$40,"&gt;=0",Override!$C$11:$C$40,"MXAU"))&gt;0,SUMIFS(Override!$E$11:$E$40,Override!$B$11:$B$40,$B51,Override!$D$11:$D$40,13)-SUMIFS(Override!$E$11:$E$40,Override!$B$11:$B$40,$B51,Override!$D$11:$D$40,13,Override!$C$11:$C$40,"MXAU"),Override!$O$86)/AS51!$B$3,"")))</f>
        <v/>
      </c>
      <c r="S51" s="140">
        <f>IF(S$13="","",IF($B51="","",IFERROR($C51*$D51*IF((Override!$C$4="ON")*(COUNTIFS(Override!$B$11:$B$40,$B51,Override!$D$11:$D$40,14,Override!$E$11:$E$40,"&gt;=0")-COUNTIFS(Override!$B$11:$B$40,$B51,Override!$D$11:$D$40,14,Override!$E$11:$E$40,"&gt;=0",Override!$C$11:$C$40,"MXAU"))&gt;0,SUMIFS(Override!$E$11:$E$40,Override!$B$11:$B$40,$B51,Override!$D$11:$D$40,14)-SUMIFS(Override!$E$11:$E$40,Override!$B$11:$B$40,$B51,Override!$D$11:$D$40,14,Override!$C$11:$C$40,"MXAU"),Override!$P$86)/AS51!$B$3,"")))</f>
        <v/>
      </c>
      <c r="T51" s="140">
        <f>IF(T$13="","",IF($B51="","",IFERROR($C51*$D51*IF((Override!$C$4="ON")*(COUNTIFS(Override!$B$11:$B$40,$B51,Override!$D$11:$D$40,15,Override!$E$11:$E$40,"&gt;=0")-COUNTIFS(Override!$B$11:$B$40,$B51,Override!$D$11:$D$40,15,Override!$E$11:$E$40,"&gt;=0",Override!$C$11:$C$40,"MXAU"))&gt;0,SUMIFS(Override!$E$11:$E$40,Override!$B$11:$B$40,$B51,Override!$D$11:$D$40,15)-SUMIFS(Override!$E$11:$E$40,Override!$B$11:$B$40,$B51,Override!$D$11:$D$40,15,Override!$C$11:$C$40,"MXAU"),Override!$Q$86)/AS51!$B$3,"")))</f>
        <v/>
      </c>
      <c r="U51" s="140">
        <f>IF(U$13="","",IF($B51="","",IFERROR($C51*$D51*IF((Override!$C$4="ON")*(COUNTIFS(Override!$B$11:$B$40,$B51,Override!$D$11:$D$40,16,Override!$E$11:$E$40,"&gt;=0")-COUNTIFS(Override!$B$11:$B$40,$B51,Override!$D$11:$D$40,16,Override!$E$11:$E$40,"&gt;=0",Override!$C$11:$C$40,"MXAU"))&gt;0,SUMIFS(Override!$E$11:$E$40,Override!$B$11:$B$40,$B51,Override!$D$11:$D$40,16)-SUMIFS(Override!$E$11:$E$40,Override!$B$11:$B$40,$B51,Override!$D$11:$D$40,16,Override!$C$11:$C$40,"MXAU"),Override!$R$86)/AS51!$B$3,"")))</f>
        <v/>
      </c>
      <c r="W51" s="140">
        <f>IF(W$13="","",IF($B51="","",IFERROR(F51*$E51/100,"")))</f>
        <v/>
      </c>
      <c r="X51" s="140">
        <f>IF(X$13="","",IF($B51="","",IFERROR(G51*$E51/100,"")))</f>
        <v/>
      </c>
      <c r="Y51" s="140">
        <f>IF(Y$13="","",IF($B51="","",IFERROR(H51*$E51/100,"")))</f>
        <v/>
      </c>
      <c r="Z51" s="140">
        <f>IF(Z$13="","",IF($B51="","",IFERROR(I51*$E51/100,"")))</f>
        <v/>
      </c>
      <c r="AA51" s="140">
        <f>IF(AA$13="","",IF($B51="","",IFERROR(J51*$E51/100,"")))</f>
        <v/>
      </c>
      <c r="AB51" s="140">
        <f>IF(AB$13="","",IF($B51="","",IFERROR(K51*$E51/100,"")))</f>
        <v/>
      </c>
      <c r="AC51" s="140">
        <f>IF(AC$13="","",IF($B51="","",IFERROR(L51*$E51/100,"")))</f>
        <v/>
      </c>
      <c r="AD51" s="140">
        <f>IF(AD$13="","",IF($B51="","",IFERROR(M51*$E51/100,"")))</f>
        <v/>
      </c>
      <c r="AE51" s="140">
        <f>IF(AE$13="","",IF($B51="","",IFERROR(N51*$E51/100,"")))</f>
        <v/>
      </c>
      <c r="AF51" s="140">
        <f>IF(AF$13="","",IF($B51="","",IFERROR(O51*$E51/100,"")))</f>
        <v/>
      </c>
      <c r="AG51" s="140">
        <f>IF(AG$13="","",IF($B51="","",IFERROR(P51*$E51/100,"")))</f>
        <v/>
      </c>
      <c r="AH51" s="140">
        <f>IF(AH$13="","",IF($B51="","",IFERROR(Q51*$E51/100,"")))</f>
        <v/>
      </c>
      <c r="AI51" s="140">
        <f>IF(AI$13="","",IF($B51="","",IFERROR(R51*$E51/100,"")))</f>
        <v/>
      </c>
      <c r="AJ51" s="140">
        <f>IF(AJ$13="","",IF($B51="","",IFERROR(S51*$E51/100,"")))</f>
        <v/>
      </c>
      <c r="AK51" s="140">
        <f>IF(AK$13="","",IF($B51="","",IFERROR(T51*$E51/100,"")))</f>
        <v/>
      </c>
      <c r="AL51" s="140">
        <f>IF(AL$13="","",IF($B51="","",IFERROR(U51*$E51/100,"")))</f>
        <v/>
      </c>
      <c r="AN51" s="140">
        <f>IF($B51="","",SUMIF($F$13:$U$13,"&lt;="&amp;Sector!$D$51,$F51:$U51))</f>
        <v/>
      </c>
      <c r="AO51" s="140">
        <f>IF($B51="","",SUMIF($W$13:$AL$13,"&lt;="&amp;Sector!$D$51,$W51:$AL51))</f>
        <v/>
      </c>
    </row>
    <row r="52">
      <c r="B52" s="5">
        <f>IF(AS51!$C$42="","",AS51!$C$42)</f>
        <v/>
      </c>
      <c r="C52" s="90">
        <f>IF(AS51!$B$42="","",AS51!$B$42)</f>
        <v/>
      </c>
      <c r="D52" s="138">
        <f>IFERROR(AS51!$Q$42,1)</f>
        <v/>
      </c>
      <c r="E52" s="139">
        <f>IF($B52="","",IF(ISNUMBER(AS51!$I$42),AS51!$I$42,'Index Summary'!$C$7))</f>
        <v/>
      </c>
      <c r="F52" s="140">
        <f>IF(F$13="","",IF($B52="","",IFERROR($C52*$D52*IF((Override!$C$4="ON")*(COUNTIFS(Override!$B$11:$B$40,$B52,Override!$D$11:$D$40,1,Override!$E$11:$E$40,"&gt;=0")-COUNTIFS(Override!$B$11:$B$40,$B52,Override!$D$11:$D$40,1,Override!$E$11:$E$40,"&gt;=0",Override!$C$11:$C$40,"MXAU"))&gt;0,SUMIFS(Override!$E$11:$E$40,Override!$B$11:$B$40,$B52,Override!$D$11:$D$40,1)-SUMIFS(Override!$E$11:$E$40,Override!$B$11:$B$40,$B52,Override!$D$11:$D$40,1,Override!$C$11:$C$40,"MXAU"),Override!$C$87)/AS51!$B$3,"")))</f>
        <v/>
      </c>
      <c r="G52" s="140">
        <f>IF(G$13="","",IF($B52="","",IFERROR($C52*$D52*IF((Override!$C$4="ON")*(COUNTIFS(Override!$B$11:$B$40,$B52,Override!$D$11:$D$40,2,Override!$E$11:$E$40,"&gt;=0")-COUNTIFS(Override!$B$11:$B$40,$B52,Override!$D$11:$D$40,2,Override!$E$11:$E$40,"&gt;=0",Override!$C$11:$C$40,"MXAU"))&gt;0,SUMIFS(Override!$E$11:$E$40,Override!$B$11:$B$40,$B52,Override!$D$11:$D$40,2)-SUMIFS(Override!$E$11:$E$40,Override!$B$11:$B$40,$B52,Override!$D$11:$D$40,2,Override!$C$11:$C$40,"MXAU"),Override!$D$87)/AS51!$B$3,"")))</f>
        <v/>
      </c>
      <c r="H52" s="140">
        <f>IF(H$13="","",IF($B52="","",IFERROR($C52*$D52*IF((Override!$C$4="ON")*(COUNTIFS(Override!$B$11:$B$40,$B52,Override!$D$11:$D$40,3,Override!$E$11:$E$40,"&gt;=0")-COUNTIFS(Override!$B$11:$B$40,$B52,Override!$D$11:$D$40,3,Override!$E$11:$E$40,"&gt;=0",Override!$C$11:$C$40,"MXAU"))&gt;0,SUMIFS(Override!$E$11:$E$40,Override!$B$11:$B$40,$B52,Override!$D$11:$D$40,3)-SUMIFS(Override!$E$11:$E$40,Override!$B$11:$B$40,$B52,Override!$D$11:$D$40,3,Override!$C$11:$C$40,"MXAU"),Override!$E$87)/AS51!$B$3,"")))</f>
        <v/>
      </c>
      <c r="I52" s="140">
        <f>IF(I$13="","",IF($B52="","",IFERROR($C52*$D52*IF((Override!$C$4="ON")*(COUNTIFS(Override!$B$11:$B$40,$B52,Override!$D$11:$D$40,4,Override!$E$11:$E$40,"&gt;=0")-COUNTIFS(Override!$B$11:$B$40,$B52,Override!$D$11:$D$40,4,Override!$E$11:$E$40,"&gt;=0",Override!$C$11:$C$40,"MXAU"))&gt;0,SUMIFS(Override!$E$11:$E$40,Override!$B$11:$B$40,$B52,Override!$D$11:$D$40,4)-SUMIFS(Override!$E$11:$E$40,Override!$B$11:$B$40,$B52,Override!$D$11:$D$40,4,Override!$C$11:$C$40,"MXAU"),Override!$F$87)/AS51!$B$3,"")))</f>
        <v/>
      </c>
      <c r="J52" s="140">
        <f>IF(J$13="","",IF($B52="","",IFERROR($C52*$D52*IF((Override!$C$4="ON")*(COUNTIFS(Override!$B$11:$B$40,$B52,Override!$D$11:$D$40,5,Override!$E$11:$E$40,"&gt;=0")-COUNTIFS(Override!$B$11:$B$40,$B52,Override!$D$11:$D$40,5,Override!$E$11:$E$40,"&gt;=0",Override!$C$11:$C$40,"MXAU"))&gt;0,SUMIFS(Override!$E$11:$E$40,Override!$B$11:$B$40,$B52,Override!$D$11:$D$40,5)-SUMIFS(Override!$E$11:$E$40,Override!$B$11:$B$40,$B52,Override!$D$11:$D$40,5,Override!$C$11:$C$40,"MXAU"),Override!$G$87)/AS51!$B$3,"")))</f>
        <v/>
      </c>
      <c r="K52" s="140">
        <f>IF(K$13="","",IF($B52="","",IFERROR($C52*$D52*IF((Override!$C$4="ON")*(COUNTIFS(Override!$B$11:$B$40,$B52,Override!$D$11:$D$40,6,Override!$E$11:$E$40,"&gt;=0")-COUNTIFS(Override!$B$11:$B$40,$B52,Override!$D$11:$D$40,6,Override!$E$11:$E$40,"&gt;=0",Override!$C$11:$C$40,"MXAU"))&gt;0,SUMIFS(Override!$E$11:$E$40,Override!$B$11:$B$40,$B52,Override!$D$11:$D$40,6)-SUMIFS(Override!$E$11:$E$40,Override!$B$11:$B$40,$B52,Override!$D$11:$D$40,6,Override!$C$11:$C$40,"MXAU"),Override!$H$87)/AS51!$B$3,"")))</f>
        <v/>
      </c>
      <c r="L52" s="140">
        <f>IF(L$13="","",IF($B52="","",IFERROR($C52*$D52*IF((Override!$C$4="ON")*(COUNTIFS(Override!$B$11:$B$40,$B52,Override!$D$11:$D$40,7,Override!$E$11:$E$40,"&gt;=0")-COUNTIFS(Override!$B$11:$B$40,$B52,Override!$D$11:$D$40,7,Override!$E$11:$E$40,"&gt;=0",Override!$C$11:$C$40,"MXAU"))&gt;0,SUMIFS(Override!$E$11:$E$40,Override!$B$11:$B$40,$B52,Override!$D$11:$D$40,7)-SUMIFS(Override!$E$11:$E$40,Override!$B$11:$B$40,$B52,Override!$D$11:$D$40,7,Override!$C$11:$C$40,"MXAU"),Override!$I$87)/AS51!$B$3,"")))</f>
        <v/>
      </c>
      <c r="M52" s="140">
        <f>IF(M$13="","",IF($B52="","",IFERROR($C52*$D52*IF((Override!$C$4="ON")*(COUNTIFS(Override!$B$11:$B$40,$B52,Override!$D$11:$D$40,8,Override!$E$11:$E$40,"&gt;=0")-COUNTIFS(Override!$B$11:$B$40,$B52,Override!$D$11:$D$40,8,Override!$E$11:$E$40,"&gt;=0",Override!$C$11:$C$40,"MXAU"))&gt;0,SUMIFS(Override!$E$11:$E$40,Override!$B$11:$B$40,$B52,Override!$D$11:$D$40,8)-SUMIFS(Override!$E$11:$E$40,Override!$B$11:$B$40,$B52,Override!$D$11:$D$40,8,Override!$C$11:$C$40,"MXAU"),Override!$J$87)/AS51!$B$3,"")))</f>
        <v/>
      </c>
      <c r="N52" s="140">
        <f>IF(N$13="","",IF($B52="","",IFERROR($C52*$D52*IF((Override!$C$4="ON")*(COUNTIFS(Override!$B$11:$B$40,$B52,Override!$D$11:$D$40,9,Override!$E$11:$E$40,"&gt;=0")-COUNTIFS(Override!$B$11:$B$40,$B52,Override!$D$11:$D$40,9,Override!$E$11:$E$40,"&gt;=0",Override!$C$11:$C$40,"MXAU"))&gt;0,SUMIFS(Override!$E$11:$E$40,Override!$B$11:$B$40,$B52,Override!$D$11:$D$40,9)-SUMIFS(Override!$E$11:$E$40,Override!$B$11:$B$40,$B52,Override!$D$11:$D$40,9,Override!$C$11:$C$40,"MXAU"),Override!$K$87)/AS51!$B$3,"")))</f>
        <v/>
      </c>
      <c r="O52" s="140">
        <f>IF(O$13="","",IF($B52="","",IFERROR($C52*$D52*IF((Override!$C$4="ON")*(COUNTIFS(Override!$B$11:$B$40,$B52,Override!$D$11:$D$40,10,Override!$E$11:$E$40,"&gt;=0")-COUNTIFS(Override!$B$11:$B$40,$B52,Override!$D$11:$D$40,10,Override!$E$11:$E$40,"&gt;=0",Override!$C$11:$C$40,"MXAU"))&gt;0,SUMIFS(Override!$E$11:$E$40,Override!$B$11:$B$40,$B52,Override!$D$11:$D$40,10)-SUMIFS(Override!$E$11:$E$40,Override!$B$11:$B$40,$B52,Override!$D$11:$D$40,10,Override!$C$11:$C$40,"MXAU"),Override!$L$87)/AS51!$B$3,"")))</f>
        <v/>
      </c>
      <c r="P52" s="140">
        <f>IF(P$13="","",IF($B52="","",IFERROR($C52*$D52*IF((Override!$C$4="ON")*(COUNTIFS(Override!$B$11:$B$40,$B52,Override!$D$11:$D$40,11,Override!$E$11:$E$40,"&gt;=0")-COUNTIFS(Override!$B$11:$B$40,$B52,Override!$D$11:$D$40,11,Override!$E$11:$E$40,"&gt;=0",Override!$C$11:$C$40,"MXAU"))&gt;0,SUMIFS(Override!$E$11:$E$40,Override!$B$11:$B$40,$B52,Override!$D$11:$D$40,11)-SUMIFS(Override!$E$11:$E$40,Override!$B$11:$B$40,$B52,Override!$D$11:$D$40,11,Override!$C$11:$C$40,"MXAU"),Override!$M$87)/AS51!$B$3,"")))</f>
        <v/>
      </c>
      <c r="Q52" s="140">
        <f>IF(Q$13="","",IF($B52="","",IFERROR($C52*$D52*IF((Override!$C$4="ON")*(COUNTIFS(Override!$B$11:$B$40,$B52,Override!$D$11:$D$40,12,Override!$E$11:$E$40,"&gt;=0")-COUNTIFS(Override!$B$11:$B$40,$B52,Override!$D$11:$D$40,12,Override!$E$11:$E$40,"&gt;=0",Override!$C$11:$C$40,"MXAU"))&gt;0,SUMIFS(Override!$E$11:$E$40,Override!$B$11:$B$40,$B52,Override!$D$11:$D$40,12)-SUMIFS(Override!$E$11:$E$40,Override!$B$11:$B$40,$B52,Override!$D$11:$D$40,12,Override!$C$11:$C$40,"MXAU"),Override!$N$87)/AS51!$B$3,"")))</f>
        <v/>
      </c>
      <c r="R52" s="140">
        <f>IF(R$13="","",IF($B52="","",IFERROR($C52*$D52*IF((Override!$C$4="ON")*(COUNTIFS(Override!$B$11:$B$40,$B52,Override!$D$11:$D$40,13,Override!$E$11:$E$40,"&gt;=0")-COUNTIFS(Override!$B$11:$B$40,$B52,Override!$D$11:$D$40,13,Override!$E$11:$E$40,"&gt;=0",Override!$C$11:$C$40,"MXAU"))&gt;0,SUMIFS(Override!$E$11:$E$40,Override!$B$11:$B$40,$B52,Override!$D$11:$D$40,13)-SUMIFS(Override!$E$11:$E$40,Override!$B$11:$B$40,$B52,Override!$D$11:$D$40,13,Override!$C$11:$C$40,"MXAU"),Override!$O$87)/AS51!$B$3,"")))</f>
        <v/>
      </c>
      <c r="S52" s="140">
        <f>IF(S$13="","",IF($B52="","",IFERROR($C52*$D52*IF((Override!$C$4="ON")*(COUNTIFS(Override!$B$11:$B$40,$B52,Override!$D$11:$D$40,14,Override!$E$11:$E$40,"&gt;=0")-COUNTIFS(Override!$B$11:$B$40,$B52,Override!$D$11:$D$40,14,Override!$E$11:$E$40,"&gt;=0",Override!$C$11:$C$40,"MXAU"))&gt;0,SUMIFS(Override!$E$11:$E$40,Override!$B$11:$B$40,$B52,Override!$D$11:$D$40,14)-SUMIFS(Override!$E$11:$E$40,Override!$B$11:$B$40,$B52,Override!$D$11:$D$40,14,Override!$C$11:$C$40,"MXAU"),Override!$P$87)/AS51!$B$3,"")))</f>
        <v/>
      </c>
      <c r="T52" s="140">
        <f>IF(T$13="","",IF($B52="","",IFERROR($C52*$D52*IF((Override!$C$4="ON")*(COUNTIFS(Override!$B$11:$B$40,$B52,Override!$D$11:$D$40,15,Override!$E$11:$E$40,"&gt;=0")-COUNTIFS(Override!$B$11:$B$40,$B52,Override!$D$11:$D$40,15,Override!$E$11:$E$40,"&gt;=0",Override!$C$11:$C$40,"MXAU"))&gt;0,SUMIFS(Override!$E$11:$E$40,Override!$B$11:$B$40,$B52,Override!$D$11:$D$40,15)-SUMIFS(Override!$E$11:$E$40,Override!$B$11:$B$40,$B52,Override!$D$11:$D$40,15,Override!$C$11:$C$40,"MXAU"),Override!$Q$87)/AS51!$B$3,"")))</f>
        <v/>
      </c>
      <c r="U52" s="140">
        <f>IF(U$13="","",IF($B52="","",IFERROR($C52*$D52*IF((Override!$C$4="ON")*(COUNTIFS(Override!$B$11:$B$40,$B52,Override!$D$11:$D$40,16,Override!$E$11:$E$40,"&gt;=0")-COUNTIFS(Override!$B$11:$B$40,$B52,Override!$D$11:$D$40,16,Override!$E$11:$E$40,"&gt;=0",Override!$C$11:$C$40,"MXAU"))&gt;0,SUMIFS(Override!$E$11:$E$40,Override!$B$11:$B$40,$B52,Override!$D$11:$D$40,16)-SUMIFS(Override!$E$11:$E$40,Override!$B$11:$B$40,$B52,Override!$D$11:$D$40,16,Override!$C$11:$C$40,"MXAU"),Override!$R$87)/AS51!$B$3,"")))</f>
        <v/>
      </c>
      <c r="W52" s="140">
        <f>IF(W$13="","",IF($B52="","",IFERROR(F52*$E52/100,"")))</f>
        <v/>
      </c>
      <c r="X52" s="140">
        <f>IF(X$13="","",IF($B52="","",IFERROR(G52*$E52/100,"")))</f>
        <v/>
      </c>
      <c r="Y52" s="140">
        <f>IF(Y$13="","",IF($B52="","",IFERROR(H52*$E52/100,"")))</f>
        <v/>
      </c>
      <c r="Z52" s="140">
        <f>IF(Z$13="","",IF($B52="","",IFERROR(I52*$E52/100,"")))</f>
        <v/>
      </c>
      <c r="AA52" s="140">
        <f>IF(AA$13="","",IF($B52="","",IFERROR(J52*$E52/100,"")))</f>
        <v/>
      </c>
      <c r="AB52" s="140">
        <f>IF(AB$13="","",IF($B52="","",IFERROR(K52*$E52/100,"")))</f>
        <v/>
      </c>
      <c r="AC52" s="140">
        <f>IF(AC$13="","",IF($B52="","",IFERROR(L52*$E52/100,"")))</f>
        <v/>
      </c>
      <c r="AD52" s="140">
        <f>IF(AD$13="","",IF($B52="","",IFERROR(M52*$E52/100,"")))</f>
        <v/>
      </c>
      <c r="AE52" s="140">
        <f>IF(AE$13="","",IF($B52="","",IFERROR(N52*$E52/100,"")))</f>
        <v/>
      </c>
      <c r="AF52" s="140">
        <f>IF(AF$13="","",IF($B52="","",IFERROR(O52*$E52/100,"")))</f>
        <v/>
      </c>
      <c r="AG52" s="140">
        <f>IF(AG$13="","",IF($B52="","",IFERROR(P52*$E52/100,"")))</f>
        <v/>
      </c>
      <c r="AH52" s="140">
        <f>IF(AH$13="","",IF($B52="","",IFERROR(Q52*$E52/100,"")))</f>
        <v/>
      </c>
      <c r="AI52" s="140">
        <f>IF(AI$13="","",IF($B52="","",IFERROR(R52*$E52/100,"")))</f>
        <v/>
      </c>
      <c r="AJ52" s="140">
        <f>IF(AJ$13="","",IF($B52="","",IFERROR(S52*$E52/100,"")))</f>
        <v/>
      </c>
      <c r="AK52" s="140">
        <f>IF(AK$13="","",IF($B52="","",IFERROR(T52*$E52/100,"")))</f>
        <v/>
      </c>
      <c r="AL52" s="140">
        <f>IF(AL$13="","",IF($B52="","",IFERROR(U52*$E52/100,"")))</f>
        <v/>
      </c>
      <c r="AN52" s="140">
        <f>IF($B52="","",SUMIF($F$13:$U$13,"&lt;="&amp;Sector!$D$51,$F52:$U52))</f>
        <v/>
      </c>
      <c r="AO52" s="140">
        <f>IF($B52="","",SUMIF($W$13:$AL$13,"&lt;="&amp;Sector!$D$51,$W52:$AL52))</f>
        <v/>
      </c>
    </row>
    <row r="53">
      <c r="B53" s="5">
        <f>IF(AS51!$C$43="","",AS51!$C$43)</f>
        <v/>
      </c>
      <c r="C53" s="90">
        <f>IF(AS51!$B$43="","",AS51!$B$43)</f>
        <v/>
      </c>
      <c r="D53" s="138">
        <f>IFERROR(AS51!$Q$43,1)</f>
        <v/>
      </c>
      <c r="E53" s="139">
        <f>IF($B53="","",IF(ISNUMBER(AS51!$I$43),AS51!$I$43,'Index Summary'!$C$7))</f>
        <v/>
      </c>
      <c r="F53" s="140">
        <f>IF(F$13="","",IF($B53="","",IFERROR($C53*$D53*IF((Override!$C$4="ON")*(COUNTIFS(Override!$B$11:$B$40,$B53,Override!$D$11:$D$40,1,Override!$E$11:$E$40,"&gt;=0")-COUNTIFS(Override!$B$11:$B$40,$B53,Override!$D$11:$D$40,1,Override!$E$11:$E$40,"&gt;=0",Override!$C$11:$C$40,"MXAU"))&gt;0,SUMIFS(Override!$E$11:$E$40,Override!$B$11:$B$40,$B53,Override!$D$11:$D$40,1)-SUMIFS(Override!$E$11:$E$40,Override!$B$11:$B$40,$B53,Override!$D$11:$D$40,1,Override!$C$11:$C$40,"MXAU"),Override!$C$88)/AS51!$B$3,"")))</f>
        <v/>
      </c>
      <c r="G53" s="140">
        <f>IF(G$13="","",IF($B53="","",IFERROR($C53*$D53*IF((Override!$C$4="ON")*(COUNTIFS(Override!$B$11:$B$40,$B53,Override!$D$11:$D$40,2,Override!$E$11:$E$40,"&gt;=0")-COUNTIFS(Override!$B$11:$B$40,$B53,Override!$D$11:$D$40,2,Override!$E$11:$E$40,"&gt;=0",Override!$C$11:$C$40,"MXAU"))&gt;0,SUMIFS(Override!$E$11:$E$40,Override!$B$11:$B$40,$B53,Override!$D$11:$D$40,2)-SUMIFS(Override!$E$11:$E$40,Override!$B$11:$B$40,$B53,Override!$D$11:$D$40,2,Override!$C$11:$C$40,"MXAU"),Override!$D$88)/AS51!$B$3,"")))</f>
        <v/>
      </c>
      <c r="H53" s="140">
        <f>IF(H$13="","",IF($B53="","",IFERROR($C53*$D53*IF((Override!$C$4="ON")*(COUNTIFS(Override!$B$11:$B$40,$B53,Override!$D$11:$D$40,3,Override!$E$11:$E$40,"&gt;=0")-COUNTIFS(Override!$B$11:$B$40,$B53,Override!$D$11:$D$40,3,Override!$E$11:$E$40,"&gt;=0",Override!$C$11:$C$40,"MXAU"))&gt;0,SUMIFS(Override!$E$11:$E$40,Override!$B$11:$B$40,$B53,Override!$D$11:$D$40,3)-SUMIFS(Override!$E$11:$E$40,Override!$B$11:$B$40,$B53,Override!$D$11:$D$40,3,Override!$C$11:$C$40,"MXAU"),Override!$E$88)/AS51!$B$3,"")))</f>
        <v/>
      </c>
      <c r="I53" s="140">
        <f>IF(I$13="","",IF($B53="","",IFERROR($C53*$D53*IF((Override!$C$4="ON")*(COUNTIFS(Override!$B$11:$B$40,$B53,Override!$D$11:$D$40,4,Override!$E$11:$E$40,"&gt;=0")-COUNTIFS(Override!$B$11:$B$40,$B53,Override!$D$11:$D$40,4,Override!$E$11:$E$40,"&gt;=0",Override!$C$11:$C$40,"MXAU"))&gt;0,SUMIFS(Override!$E$11:$E$40,Override!$B$11:$B$40,$B53,Override!$D$11:$D$40,4)-SUMIFS(Override!$E$11:$E$40,Override!$B$11:$B$40,$B53,Override!$D$11:$D$40,4,Override!$C$11:$C$40,"MXAU"),Override!$F$88)/AS51!$B$3,"")))</f>
        <v/>
      </c>
      <c r="J53" s="140">
        <f>IF(J$13="","",IF($B53="","",IFERROR($C53*$D53*IF((Override!$C$4="ON")*(COUNTIFS(Override!$B$11:$B$40,$B53,Override!$D$11:$D$40,5,Override!$E$11:$E$40,"&gt;=0")-COUNTIFS(Override!$B$11:$B$40,$B53,Override!$D$11:$D$40,5,Override!$E$11:$E$40,"&gt;=0",Override!$C$11:$C$40,"MXAU"))&gt;0,SUMIFS(Override!$E$11:$E$40,Override!$B$11:$B$40,$B53,Override!$D$11:$D$40,5)-SUMIFS(Override!$E$11:$E$40,Override!$B$11:$B$40,$B53,Override!$D$11:$D$40,5,Override!$C$11:$C$40,"MXAU"),Override!$G$88)/AS51!$B$3,"")))</f>
        <v/>
      </c>
      <c r="K53" s="140">
        <f>IF(K$13="","",IF($B53="","",IFERROR($C53*$D53*IF((Override!$C$4="ON")*(COUNTIFS(Override!$B$11:$B$40,$B53,Override!$D$11:$D$40,6,Override!$E$11:$E$40,"&gt;=0")-COUNTIFS(Override!$B$11:$B$40,$B53,Override!$D$11:$D$40,6,Override!$E$11:$E$40,"&gt;=0",Override!$C$11:$C$40,"MXAU"))&gt;0,SUMIFS(Override!$E$11:$E$40,Override!$B$11:$B$40,$B53,Override!$D$11:$D$40,6)-SUMIFS(Override!$E$11:$E$40,Override!$B$11:$B$40,$B53,Override!$D$11:$D$40,6,Override!$C$11:$C$40,"MXAU"),Override!$H$88)/AS51!$B$3,"")))</f>
        <v/>
      </c>
      <c r="L53" s="140">
        <f>IF(L$13="","",IF($B53="","",IFERROR($C53*$D53*IF((Override!$C$4="ON")*(COUNTIFS(Override!$B$11:$B$40,$B53,Override!$D$11:$D$40,7,Override!$E$11:$E$40,"&gt;=0")-COUNTIFS(Override!$B$11:$B$40,$B53,Override!$D$11:$D$40,7,Override!$E$11:$E$40,"&gt;=0",Override!$C$11:$C$40,"MXAU"))&gt;0,SUMIFS(Override!$E$11:$E$40,Override!$B$11:$B$40,$B53,Override!$D$11:$D$40,7)-SUMIFS(Override!$E$11:$E$40,Override!$B$11:$B$40,$B53,Override!$D$11:$D$40,7,Override!$C$11:$C$40,"MXAU"),Override!$I$88)/AS51!$B$3,"")))</f>
        <v/>
      </c>
      <c r="M53" s="140">
        <f>IF(M$13="","",IF($B53="","",IFERROR($C53*$D53*IF((Override!$C$4="ON")*(COUNTIFS(Override!$B$11:$B$40,$B53,Override!$D$11:$D$40,8,Override!$E$11:$E$40,"&gt;=0")-COUNTIFS(Override!$B$11:$B$40,$B53,Override!$D$11:$D$40,8,Override!$E$11:$E$40,"&gt;=0",Override!$C$11:$C$40,"MXAU"))&gt;0,SUMIFS(Override!$E$11:$E$40,Override!$B$11:$B$40,$B53,Override!$D$11:$D$40,8)-SUMIFS(Override!$E$11:$E$40,Override!$B$11:$B$40,$B53,Override!$D$11:$D$40,8,Override!$C$11:$C$40,"MXAU"),Override!$J$88)/AS51!$B$3,"")))</f>
        <v/>
      </c>
      <c r="N53" s="140">
        <f>IF(N$13="","",IF($B53="","",IFERROR($C53*$D53*IF((Override!$C$4="ON")*(COUNTIFS(Override!$B$11:$B$40,$B53,Override!$D$11:$D$40,9,Override!$E$11:$E$40,"&gt;=0")-COUNTIFS(Override!$B$11:$B$40,$B53,Override!$D$11:$D$40,9,Override!$E$11:$E$40,"&gt;=0",Override!$C$11:$C$40,"MXAU"))&gt;0,SUMIFS(Override!$E$11:$E$40,Override!$B$11:$B$40,$B53,Override!$D$11:$D$40,9)-SUMIFS(Override!$E$11:$E$40,Override!$B$11:$B$40,$B53,Override!$D$11:$D$40,9,Override!$C$11:$C$40,"MXAU"),Override!$K$88)/AS51!$B$3,"")))</f>
        <v/>
      </c>
      <c r="O53" s="140">
        <f>IF(O$13="","",IF($B53="","",IFERROR($C53*$D53*IF((Override!$C$4="ON")*(COUNTIFS(Override!$B$11:$B$40,$B53,Override!$D$11:$D$40,10,Override!$E$11:$E$40,"&gt;=0")-COUNTIFS(Override!$B$11:$B$40,$B53,Override!$D$11:$D$40,10,Override!$E$11:$E$40,"&gt;=0",Override!$C$11:$C$40,"MXAU"))&gt;0,SUMIFS(Override!$E$11:$E$40,Override!$B$11:$B$40,$B53,Override!$D$11:$D$40,10)-SUMIFS(Override!$E$11:$E$40,Override!$B$11:$B$40,$B53,Override!$D$11:$D$40,10,Override!$C$11:$C$40,"MXAU"),Override!$L$88)/AS51!$B$3,"")))</f>
        <v/>
      </c>
      <c r="P53" s="140">
        <f>IF(P$13="","",IF($B53="","",IFERROR($C53*$D53*IF((Override!$C$4="ON")*(COUNTIFS(Override!$B$11:$B$40,$B53,Override!$D$11:$D$40,11,Override!$E$11:$E$40,"&gt;=0")-COUNTIFS(Override!$B$11:$B$40,$B53,Override!$D$11:$D$40,11,Override!$E$11:$E$40,"&gt;=0",Override!$C$11:$C$40,"MXAU"))&gt;0,SUMIFS(Override!$E$11:$E$40,Override!$B$11:$B$40,$B53,Override!$D$11:$D$40,11)-SUMIFS(Override!$E$11:$E$40,Override!$B$11:$B$40,$B53,Override!$D$11:$D$40,11,Override!$C$11:$C$40,"MXAU"),Override!$M$88)/AS51!$B$3,"")))</f>
        <v/>
      </c>
      <c r="Q53" s="140">
        <f>IF(Q$13="","",IF($B53="","",IFERROR($C53*$D53*IF((Override!$C$4="ON")*(COUNTIFS(Override!$B$11:$B$40,$B53,Override!$D$11:$D$40,12,Override!$E$11:$E$40,"&gt;=0")-COUNTIFS(Override!$B$11:$B$40,$B53,Override!$D$11:$D$40,12,Override!$E$11:$E$40,"&gt;=0",Override!$C$11:$C$40,"MXAU"))&gt;0,SUMIFS(Override!$E$11:$E$40,Override!$B$11:$B$40,$B53,Override!$D$11:$D$40,12)-SUMIFS(Override!$E$11:$E$40,Override!$B$11:$B$40,$B53,Override!$D$11:$D$40,12,Override!$C$11:$C$40,"MXAU"),Override!$N$88)/AS51!$B$3,"")))</f>
        <v/>
      </c>
      <c r="R53" s="140">
        <f>IF(R$13="","",IF($B53="","",IFERROR($C53*$D53*IF((Override!$C$4="ON")*(COUNTIFS(Override!$B$11:$B$40,$B53,Override!$D$11:$D$40,13,Override!$E$11:$E$40,"&gt;=0")-COUNTIFS(Override!$B$11:$B$40,$B53,Override!$D$11:$D$40,13,Override!$E$11:$E$40,"&gt;=0",Override!$C$11:$C$40,"MXAU"))&gt;0,SUMIFS(Override!$E$11:$E$40,Override!$B$11:$B$40,$B53,Override!$D$11:$D$40,13)-SUMIFS(Override!$E$11:$E$40,Override!$B$11:$B$40,$B53,Override!$D$11:$D$40,13,Override!$C$11:$C$40,"MXAU"),Override!$O$88)/AS51!$B$3,"")))</f>
        <v/>
      </c>
      <c r="S53" s="140">
        <f>IF(S$13="","",IF($B53="","",IFERROR($C53*$D53*IF((Override!$C$4="ON")*(COUNTIFS(Override!$B$11:$B$40,$B53,Override!$D$11:$D$40,14,Override!$E$11:$E$40,"&gt;=0")-COUNTIFS(Override!$B$11:$B$40,$B53,Override!$D$11:$D$40,14,Override!$E$11:$E$40,"&gt;=0",Override!$C$11:$C$40,"MXAU"))&gt;0,SUMIFS(Override!$E$11:$E$40,Override!$B$11:$B$40,$B53,Override!$D$11:$D$40,14)-SUMIFS(Override!$E$11:$E$40,Override!$B$11:$B$40,$B53,Override!$D$11:$D$40,14,Override!$C$11:$C$40,"MXAU"),Override!$P$88)/AS51!$B$3,"")))</f>
        <v/>
      </c>
      <c r="T53" s="140">
        <f>IF(T$13="","",IF($B53="","",IFERROR($C53*$D53*IF((Override!$C$4="ON")*(COUNTIFS(Override!$B$11:$B$40,$B53,Override!$D$11:$D$40,15,Override!$E$11:$E$40,"&gt;=0")-COUNTIFS(Override!$B$11:$B$40,$B53,Override!$D$11:$D$40,15,Override!$E$11:$E$40,"&gt;=0",Override!$C$11:$C$40,"MXAU"))&gt;0,SUMIFS(Override!$E$11:$E$40,Override!$B$11:$B$40,$B53,Override!$D$11:$D$40,15)-SUMIFS(Override!$E$11:$E$40,Override!$B$11:$B$40,$B53,Override!$D$11:$D$40,15,Override!$C$11:$C$40,"MXAU"),Override!$Q$88)/AS51!$B$3,"")))</f>
        <v/>
      </c>
      <c r="U53" s="140">
        <f>IF(U$13="","",IF($B53="","",IFERROR($C53*$D53*IF((Override!$C$4="ON")*(COUNTIFS(Override!$B$11:$B$40,$B53,Override!$D$11:$D$40,16,Override!$E$11:$E$40,"&gt;=0")-COUNTIFS(Override!$B$11:$B$40,$B53,Override!$D$11:$D$40,16,Override!$E$11:$E$40,"&gt;=0",Override!$C$11:$C$40,"MXAU"))&gt;0,SUMIFS(Override!$E$11:$E$40,Override!$B$11:$B$40,$B53,Override!$D$11:$D$40,16)-SUMIFS(Override!$E$11:$E$40,Override!$B$11:$B$40,$B53,Override!$D$11:$D$40,16,Override!$C$11:$C$40,"MXAU"),Override!$R$88)/AS51!$B$3,"")))</f>
        <v/>
      </c>
      <c r="W53" s="140">
        <f>IF(W$13="","",IF($B53="","",IFERROR(F53*$E53/100,"")))</f>
        <v/>
      </c>
      <c r="X53" s="140">
        <f>IF(X$13="","",IF($B53="","",IFERROR(G53*$E53/100,"")))</f>
        <v/>
      </c>
      <c r="Y53" s="140">
        <f>IF(Y$13="","",IF($B53="","",IFERROR(H53*$E53/100,"")))</f>
        <v/>
      </c>
      <c r="Z53" s="140">
        <f>IF(Z$13="","",IF($B53="","",IFERROR(I53*$E53/100,"")))</f>
        <v/>
      </c>
      <c r="AA53" s="140">
        <f>IF(AA$13="","",IF($B53="","",IFERROR(J53*$E53/100,"")))</f>
        <v/>
      </c>
      <c r="AB53" s="140">
        <f>IF(AB$13="","",IF($B53="","",IFERROR(K53*$E53/100,"")))</f>
        <v/>
      </c>
      <c r="AC53" s="140">
        <f>IF(AC$13="","",IF($B53="","",IFERROR(L53*$E53/100,"")))</f>
        <v/>
      </c>
      <c r="AD53" s="140">
        <f>IF(AD$13="","",IF($B53="","",IFERROR(M53*$E53/100,"")))</f>
        <v/>
      </c>
      <c r="AE53" s="140">
        <f>IF(AE$13="","",IF($B53="","",IFERROR(N53*$E53/100,"")))</f>
        <v/>
      </c>
      <c r="AF53" s="140">
        <f>IF(AF$13="","",IF($B53="","",IFERROR(O53*$E53/100,"")))</f>
        <v/>
      </c>
      <c r="AG53" s="140">
        <f>IF(AG$13="","",IF($B53="","",IFERROR(P53*$E53/100,"")))</f>
        <v/>
      </c>
      <c r="AH53" s="140">
        <f>IF(AH$13="","",IF($B53="","",IFERROR(Q53*$E53/100,"")))</f>
        <v/>
      </c>
      <c r="AI53" s="140">
        <f>IF(AI$13="","",IF($B53="","",IFERROR(R53*$E53/100,"")))</f>
        <v/>
      </c>
      <c r="AJ53" s="140">
        <f>IF(AJ$13="","",IF($B53="","",IFERROR(S53*$E53/100,"")))</f>
        <v/>
      </c>
      <c r="AK53" s="140">
        <f>IF(AK$13="","",IF($B53="","",IFERROR(T53*$E53/100,"")))</f>
        <v/>
      </c>
      <c r="AL53" s="140">
        <f>IF(AL$13="","",IF($B53="","",IFERROR(U53*$E53/100,"")))</f>
        <v/>
      </c>
      <c r="AN53" s="140">
        <f>IF($B53="","",SUMIF($F$13:$U$13,"&lt;="&amp;Sector!$D$51,$F53:$U53))</f>
        <v/>
      </c>
      <c r="AO53" s="140">
        <f>IF($B53="","",SUMIF($W$13:$AL$13,"&lt;="&amp;Sector!$D$51,$W53:$AL53))</f>
        <v/>
      </c>
    </row>
    <row r="54">
      <c r="B54" s="5">
        <f>IF(AS51!$C$44="","",AS51!$C$44)</f>
        <v/>
      </c>
      <c r="C54" s="90">
        <f>IF(AS51!$B$44="","",AS51!$B$44)</f>
        <v/>
      </c>
      <c r="D54" s="138">
        <f>IFERROR(AS51!$Q$44,1)</f>
        <v/>
      </c>
      <c r="E54" s="139">
        <f>IF($B54="","",IF(ISNUMBER(AS51!$I$44),AS51!$I$44,'Index Summary'!$C$7))</f>
        <v/>
      </c>
      <c r="F54" s="140">
        <f>IF(F$13="","",IF($B54="","",IFERROR($C54*$D54*IF((Override!$C$4="ON")*(COUNTIFS(Override!$B$11:$B$40,$B54,Override!$D$11:$D$40,1,Override!$E$11:$E$40,"&gt;=0")-COUNTIFS(Override!$B$11:$B$40,$B54,Override!$D$11:$D$40,1,Override!$E$11:$E$40,"&gt;=0",Override!$C$11:$C$40,"MXAU"))&gt;0,SUMIFS(Override!$E$11:$E$40,Override!$B$11:$B$40,$B54,Override!$D$11:$D$40,1)-SUMIFS(Override!$E$11:$E$40,Override!$B$11:$B$40,$B54,Override!$D$11:$D$40,1,Override!$C$11:$C$40,"MXAU"),Override!$C$89)/AS51!$B$3,"")))</f>
        <v/>
      </c>
      <c r="G54" s="140">
        <f>IF(G$13="","",IF($B54="","",IFERROR($C54*$D54*IF((Override!$C$4="ON")*(COUNTIFS(Override!$B$11:$B$40,$B54,Override!$D$11:$D$40,2,Override!$E$11:$E$40,"&gt;=0")-COUNTIFS(Override!$B$11:$B$40,$B54,Override!$D$11:$D$40,2,Override!$E$11:$E$40,"&gt;=0",Override!$C$11:$C$40,"MXAU"))&gt;0,SUMIFS(Override!$E$11:$E$40,Override!$B$11:$B$40,$B54,Override!$D$11:$D$40,2)-SUMIFS(Override!$E$11:$E$40,Override!$B$11:$B$40,$B54,Override!$D$11:$D$40,2,Override!$C$11:$C$40,"MXAU"),Override!$D$89)/AS51!$B$3,"")))</f>
        <v/>
      </c>
      <c r="H54" s="140">
        <f>IF(H$13="","",IF($B54="","",IFERROR($C54*$D54*IF((Override!$C$4="ON")*(COUNTIFS(Override!$B$11:$B$40,$B54,Override!$D$11:$D$40,3,Override!$E$11:$E$40,"&gt;=0")-COUNTIFS(Override!$B$11:$B$40,$B54,Override!$D$11:$D$40,3,Override!$E$11:$E$40,"&gt;=0",Override!$C$11:$C$40,"MXAU"))&gt;0,SUMIFS(Override!$E$11:$E$40,Override!$B$11:$B$40,$B54,Override!$D$11:$D$40,3)-SUMIFS(Override!$E$11:$E$40,Override!$B$11:$B$40,$B54,Override!$D$11:$D$40,3,Override!$C$11:$C$40,"MXAU"),Override!$E$89)/AS51!$B$3,"")))</f>
        <v/>
      </c>
      <c r="I54" s="140">
        <f>IF(I$13="","",IF($B54="","",IFERROR($C54*$D54*IF((Override!$C$4="ON")*(COUNTIFS(Override!$B$11:$B$40,$B54,Override!$D$11:$D$40,4,Override!$E$11:$E$40,"&gt;=0")-COUNTIFS(Override!$B$11:$B$40,$B54,Override!$D$11:$D$40,4,Override!$E$11:$E$40,"&gt;=0",Override!$C$11:$C$40,"MXAU"))&gt;0,SUMIFS(Override!$E$11:$E$40,Override!$B$11:$B$40,$B54,Override!$D$11:$D$40,4)-SUMIFS(Override!$E$11:$E$40,Override!$B$11:$B$40,$B54,Override!$D$11:$D$40,4,Override!$C$11:$C$40,"MXAU"),Override!$F$89)/AS51!$B$3,"")))</f>
        <v/>
      </c>
      <c r="J54" s="140">
        <f>IF(J$13="","",IF($B54="","",IFERROR($C54*$D54*IF((Override!$C$4="ON")*(COUNTIFS(Override!$B$11:$B$40,$B54,Override!$D$11:$D$40,5,Override!$E$11:$E$40,"&gt;=0")-COUNTIFS(Override!$B$11:$B$40,$B54,Override!$D$11:$D$40,5,Override!$E$11:$E$40,"&gt;=0",Override!$C$11:$C$40,"MXAU"))&gt;0,SUMIFS(Override!$E$11:$E$40,Override!$B$11:$B$40,$B54,Override!$D$11:$D$40,5)-SUMIFS(Override!$E$11:$E$40,Override!$B$11:$B$40,$B54,Override!$D$11:$D$40,5,Override!$C$11:$C$40,"MXAU"),Override!$G$89)/AS51!$B$3,"")))</f>
        <v/>
      </c>
      <c r="K54" s="140">
        <f>IF(K$13="","",IF($B54="","",IFERROR($C54*$D54*IF((Override!$C$4="ON")*(COUNTIFS(Override!$B$11:$B$40,$B54,Override!$D$11:$D$40,6,Override!$E$11:$E$40,"&gt;=0")-COUNTIFS(Override!$B$11:$B$40,$B54,Override!$D$11:$D$40,6,Override!$E$11:$E$40,"&gt;=0",Override!$C$11:$C$40,"MXAU"))&gt;0,SUMIFS(Override!$E$11:$E$40,Override!$B$11:$B$40,$B54,Override!$D$11:$D$40,6)-SUMIFS(Override!$E$11:$E$40,Override!$B$11:$B$40,$B54,Override!$D$11:$D$40,6,Override!$C$11:$C$40,"MXAU"),Override!$H$89)/AS51!$B$3,"")))</f>
        <v/>
      </c>
      <c r="L54" s="140">
        <f>IF(L$13="","",IF($B54="","",IFERROR($C54*$D54*IF((Override!$C$4="ON")*(COUNTIFS(Override!$B$11:$B$40,$B54,Override!$D$11:$D$40,7,Override!$E$11:$E$40,"&gt;=0")-COUNTIFS(Override!$B$11:$B$40,$B54,Override!$D$11:$D$40,7,Override!$E$11:$E$40,"&gt;=0",Override!$C$11:$C$40,"MXAU"))&gt;0,SUMIFS(Override!$E$11:$E$40,Override!$B$11:$B$40,$B54,Override!$D$11:$D$40,7)-SUMIFS(Override!$E$11:$E$40,Override!$B$11:$B$40,$B54,Override!$D$11:$D$40,7,Override!$C$11:$C$40,"MXAU"),Override!$I$89)/AS51!$B$3,"")))</f>
        <v/>
      </c>
      <c r="M54" s="140">
        <f>IF(M$13="","",IF($B54="","",IFERROR($C54*$D54*IF((Override!$C$4="ON")*(COUNTIFS(Override!$B$11:$B$40,$B54,Override!$D$11:$D$40,8,Override!$E$11:$E$40,"&gt;=0")-COUNTIFS(Override!$B$11:$B$40,$B54,Override!$D$11:$D$40,8,Override!$E$11:$E$40,"&gt;=0",Override!$C$11:$C$40,"MXAU"))&gt;0,SUMIFS(Override!$E$11:$E$40,Override!$B$11:$B$40,$B54,Override!$D$11:$D$40,8)-SUMIFS(Override!$E$11:$E$40,Override!$B$11:$B$40,$B54,Override!$D$11:$D$40,8,Override!$C$11:$C$40,"MXAU"),Override!$J$89)/AS51!$B$3,"")))</f>
        <v/>
      </c>
      <c r="N54" s="140">
        <f>IF(N$13="","",IF($B54="","",IFERROR($C54*$D54*IF((Override!$C$4="ON")*(COUNTIFS(Override!$B$11:$B$40,$B54,Override!$D$11:$D$40,9,Override!$E$11:$E$40,"&gt;=0")-COUNTIFS(Override!$B$11:$B$40,$B54,Override!$D$11:$D$40,9,Override!$E$11:$E$40,"&gt;=0",Override!$C$11:$C$40,"MXAU"))&gt;0,SUMIFS(Override!$E$11:$E$40,Override!$B$11:$B$40,$B54,Override!$D$11:$D$40,9)-SUMIFS(Override!$E$11:$E$40,Override!$B$11:$B$40,$B54,Override!$D$11:$D$40,9,Override!$C$11:$C$40,"MXAU"),Override!$K$89)/AS51!$B$3,"")))</f>
        <v/>
      </c>
      <c r="O54" s="140">
        <f>IF(O$13="","",IF($B54="","",IFERROR($C54*$D54*IF((Override!$C$4="ON")*(COUNTIFS(Override!$B$11:$B$40,$B54,Override!$D$11:$D$40,10,Override!$E$11:$E$40,"&gt;=0")-COUNTIFS(Override!$B$11:$B$40,$B54,Override!$D$11:$D$40,10,Override!$E$11:$E$40,"&gt;=0",Override!$C$11:$C$40,"MXAU"))&gt;0,SUMIFS(Override!$E$11:$E$40,Override!$B$11:$B$40,$B54,Override!$D$11:$D$40,10)-SUMIFS(Override!$E$11:$E$40,Override!$B$11:$B$40,$B54,Override!$D$11:$D$40,10,Override!$C$11:$C$40,"MXAU"),Override!$L$89)/AS51!$B$3,"")))</f>
        <v/>
      </c>
      <c r="P54" s="140">
        <f>IF(P$13="","",IF($B54="","",IFERROR($C54*$D54*IF((Override!$C$4="ON")*(COUNTIFS(Override!$B$11:$B$40,$B54,Override!$D$11:$D$40,11,Override!$E$11:$E$40,"&gt;=0")-COUNTIFS(Override!$B$11:$B$40,$B54,Override!$D$11:$D$40,11,Override!$E$11:$E$40,"&gt;=0",Override!$C$11:$C$40,"MXAU"))&gt;0,SUMIFS(Override!$E$11:$E$40,Override!$B$11:$B$40,$B54,Override!$D$11:$D$40,11)-SUMIFS(Override!$E$11:$E$40,Override!$B$11:$B$40,$B54,Override!$D$11:$D$40,11,Override!$C$11:$C$40,"MXAU"),Override!$M$89)/AS51!$B$3,"")))</f>
        <v/>
      </c>
      <c r="Q54" s="140">
        <f>IF(Q$13="","",IF($B54="","",IFERROR($C54*$D54*IF((Override!$C$4="ON")*(COUNTIFS(Override!$B$11:$B$40,$B54,Override!$D$11:$D$40,12,Override!$E$11:$E$40,"&gt;=0")-COUNTIFS(Override!$B$11:$B$40,$B54,Override!$D$11:$D$40,12,Override!$E$11:$E$40,"&gt;=0",Override!$C$11:$C$40,"MXAU"))&gt;0,SUMIFS(Override!$E$11:$E$40,Override!$B$11:$B$40,$B54,Override!$D$11:$D$40,12)-SUMIFS(Override!$E$11:$E$40,Override!$B$11:$B$40,$B54,Override!$D$11:$D$40,12,Override!$C$11:$C$40,"MXAU"),Override!$N$89)/AS51!$B$3,"")))</f>
        <v/>
      </c>
      <c r="R54" s="140">
        <f>IF(R$13="","",IF($B54="","",IFERROR($C54*$D54*IF((Override!$C$4="ON")*(COUNTIFS(Override!$B$11:$B$40,$B54,Override!$D$11:$D$40,13,Override!$E$11:$E$40,"&gt;=0")-COUNTIFS(Override!$B$11:$B$40,$B54,Override!$D$11:$D$40,13,Override!$E$11:$E$40,"&gt;=0",Override!$C$11:$C$40,"MXAU"))&gt;0,SUMIFS(Override!$E$11:$E$40,Override!$B$11:$B$40,$B54,Override!$D$11:$D$40,13)-SUMIFS(Override!$E$11:$E$40,Override!$B$11:$B$40,$B54,Override!$D$11:$D$40,13,Override!$C$11:$C$40,"MXAU"),Override!$O$89)/AS51!$B$3,"")))</f>
        <v/>
      </c>
      <c r="S54" s="140">
        <f>IF(S$13="","",IF($B54="","",IFERROR($C54*$D54*IF((Override!$C$4="ON")*(COUNTIFS(Override!$B$11:$B$40,$B54,Override!$D$11:$D$40,14,Override!$E$11:$E$40,"&gt;=0")-COUNTIFS(Override!$B$11:$B$40,$B54,Override!$D$11:$D$40,14,Override!$E$11:$E$40,"&gt;=0",Override!$C$11:$C$40,"MXAU"))&gt;0,SUMIFS(Override!$E$11:$E$40,Override!$B$11:$B$40,$B54,Override!$D$11:$D$40,14)-SUMIFS(Override!$E$11:$E$40,Override!$B$11:$B$40,$B54,Override!$D$11:$D$40,14,Override!$C$11:$C$40,"MXAU"),Override!$P$89)/AS51!$B$3,"")))</f>
        <v/>
      </c>
      <c r="T54" s="140">
        <f>IF(T$13="","",IF($B54="","",IFERROR($C54*$D54*IF((Override!$C$4="ON")*(COUNTIFS(Override!$B$11:$B$40,$B54,Override!$D$11:$D$40,15,Override!$E$11:$E$40,"&gt;=0")-COUNTIFS(Override!$B$11:$B$40,$B54,Override!$D$11:$D$40,15,Override!$E$11:$E$40,"&gt;=0",Override!$C$11:$C$40,"MXAU"))&gt;0,SUMIFS(Override!$E$11:$E$40,Override!$B$11:$B$40,$B54,Override!$D$11:$D$40,15)-SUMIFS(Override!$E$11:$E$40,Override!$B$11:$B$40,$B54,Override!$D$11:$D$40,15,Override!$C$11:$C$40,"MXAU"),Override!$Q$89)/AS51!$B$3,"")))</f>
        <v/>
      </c>
      <c r="U54" s="140">
        <f>IF(U$13="","",IF($B54="","",IFERROR($C54*$D54*IF((Override!$C$4="ON")*(COUNTIFS(Override!$B$11:$B$40,$B54,Override!$D$11:$D$40,16,Override!$E$11:$E$40,"&gt;=0")-COUNTIFS(Override!$B$11:$B$40,$B54,Override!$D$11:$D$40,16,Override!$E$11:$E$40,"&gt;=0",Override!$C$11:$C$40,"MXAU"))&gt;0,SUMIFS(Override!$E$11:$E$40,Override!$B$11:$B$40,$B54,Override!$D$11:$D$40,16)-SUMIFS(Override!$E$11:$E$40,Override!$B$11:$B$40,$B54,Override!$D$11:$D$40,16,Override!$C$11:$C$40,"MXAU"),Override!$R$89)/AS51!$B$3,"")))</f>
        <v/>
      </c>
      <c r="W54" s="140">
        <f>IF(W$13="","",IF($B54="","",IFERROR(F54*$E54/100,"")))</f>
        <v/>
      </c>
      <c r="X54" s="140">
        <f>IF(X$13="","",IF($B54="","",IFERROR(G54*$E54/100,"")))</f>
        <v/>
      </c>
      <c r="Y54" s="140">
        <f>IF(Y$13="","",IF($B54="","",IFERROR(H54*$E54/100,"")))</f>
        <v/>
      </c>
      <c r="Z54" s="140">
        <f>IF(Z$13="","",IF($B54="","",IFERROR(I54*$E54/100,"")))</f>
        <v/>
      </c>
      <c r="AA54" s="140">
        <f>IF(AA$13="","",IF($B54="","",IFERROR(J54*$E54/100,"")))</f>
        <v/>
      </c>
      <c r="AB54" s="140">
        <f>IF(AB$13="","",IF($B54="","",IFERROR(K54*$E54/100,"")))</f>
        <v/>
      </c>
      <c r="AC54" s="140">
        <f>IF(AC$13="","",IF($B54="","",IFERROR(L54*$E54/100,"")))</f>
        <v/>
      </c>
      <c r="AD54" s="140">
        <f>IF(AD$13="","",IF($B54="","",IFERROR(M54*$E54/100,"")))</f>
        <v/>
      </c>
      <c r="AE54" s="140">
        <f>IF(AE$13="","",IF($B54="","",IFERROR(N54*$E54/100,"")))</f>
        <v/>
      </c>
      <c r="AF54" s="140">
        <f>IF(AF$13="","",IF($B54="","",IFERROR(O54*$E54/100,"")))</f>
        <v/>
      </c>
      <c r="AG54" s="140">
        <f>IF(AG$13="","",IF($B54="","",IFERROR(P54*$E54/100,"")))</f>
        <v/>
      </c>
      <c r="AH54" s="140">
        <f>IF(AH$13="","",IF($B54="","",IFERROR(Q54*$E54/100,"")))</f>
        <v/>
      </c>
      <c r="AI54" s="140">
        <f>IF(AI$13="","",IF($B54="","",IFERROR(R54*$E54/100,"")))</f>
        <v/>
      </c>
      <c r="AJ54" s="140">
        <f>IF(AJ$13="","",IF($B54="","",IFERROR(S54*$E54/100,"")))</f>
        <v/>
      </c>
      <c r="AK54" s="140">
        <f>IF(AK$13="","",IF($B54="","",IFERROR(T54*$E54/100,"")))</f>
        <v/>
      </c>
      <c r="AL54" s="140">
        <f>IF(AL$13="","",IF($B54="","",IFERROR(U54*$E54/100,"")))</f>
        <v/>
      </c>
      <c r="AN54" s="140">
        <f>IF($B54="","",SUMIF($F$13:$U$13,"&lt;="&amp;Sector!$D$51,$F54:$U54))</f>
        <v/>
      </c>
      <c r="AO54" s="140">
        <f>IF($B54="","",SUMIF($W$13:$AL$13,"&lt;="&amp;Sector!$D$51,$W54:$AL54))</f>
        <v/>
      </c>
    </row>
    <row r="55">
      <c r="B55" s="5">
        <f>IF(AS51!$C$45="","",AS51!$C$45)</f>
        <v/>
      </c>
      <c r="C55" s="90">
        <f>IF(AS51!$B$45="","",AS51!$B$45)</f>
        <v/>
      </c>
      <c r="D55" s="138">
        <f>IFERROR(AS51!$Q$45,1)</f>
        <v/>
      </c>
      <c r="E55" s="139">
        <f>IF($B55="","",IF(ISNUMBER(AS51!$I$45),AS51!$I$45,'Index Summary'!$C$7))</f>
        <v/>
      </c>
      <c r="F55" s="140">
        <f>IF(F$13="","",IF($B55="","",IFERROR($C55*$D55*IF((Override!$C$4="ON")*(COUNTIFS(Override!$B$11:$B$40,$B55,Override!$D$11:$D$40,1,Override!$E$11:$E$40,"&gt;=0")-COUNTIFS(Override!$B$11:$B$40,$B55,Override!$D$11:$D$40,1,Override!$E$11:$E$40,"&gt;=0",Override!$C$11:$C$40,"MXAU"))&gt;0,SUMIFS(Override!$E$11:$E$40,Override!$B$11:$B$40,$B55,Override!$D$11:$D$40,1)-SUMIFS(Override!$E$11:$E$40,Override!$B$11:$B$40,$B55,Override!$D$11:$D$40,1,Override!$C$11:$C$40,"MXAU"),Override!$C$90)/AS51!$B$3,"")))</f>
        <v/>
      </c>
      <c r="G55" s="140">
        <f>IF(G$13="","",IF($B55="","",IFERROR($C55*$D55*IF((Override!$C$4="ON")*(COUNTIFS(Override!$B$11:$B$40,$B55,Override!$D$11:$D$40,2,Override!$E$11:$E$40,"&gt;=0")-COUNTIFS(Override!$B$11:$B$40,$B55,Override!$D$11:$D$40,2,Override!$E$11:$E$40,"&gt;=0",Override!$C$11:$C$40,"MXAU"))&gt;0,SUMIFS(Override!$E$11:$E$40,Override!$B$11:$B$40,$B55,Override!$D$11:$D$40,2)-SUMIFS(Override!$E$11:$E$40,Override!$B$11:$B$40,$B55,Override!$D$11:$D$40,2,Override!$C$11:$C$40,"MXAU"),Override!$D$90)/AS51!$B$3,"")))</f>
        <v/>
      </c>
      <c r="H55" s="140">
        <f>IF(H$13="","",IF($B55="","",IFERROR($C55*$D55*IF((Override!$C$4="ON")*(COUNTIFS(Override!$B$11:$B$40,$B55,Override!$D$11:$D$40,3,Override!$E$11:$E$40,"&gt;=0")-COUNTIFS(Override!$B$11:$B$40,$B55,Override!$D$11:$D$40,3,Override!$E$11:$E$40,"&gt;=0",Override!$C$11:$C$40,"MXAU"))&gt;0,SUMIFS(Override!$E$11:$E$40,Override!$B$11:$B$40,$B55,Override!$D$11:$D$40,3)-SUMIFS(Override!$E$11:$E$40,Override!$B$11:$B$40,$B55,Override!$D$11:$D$40,3,Override!$C$11:$C$40,"MXAU"),Override!$E$90)/AS51!$B$3,"")))</f>
        <v/>
      </c>
      <c r="I55" s="140">
        <f>IF(I$13="","",IF($B55="","",IFERROR($C55*$D55*IF((Override!$C$4="ON")*(COUNTIFS(Override!$B$11:$B$40,$B55,Override!$D$11:$D$40,4,Override!$E$11:$E$40,"&gt;=0")-COUNTIFS(Override!$B$11:$B$40,$B55,Override!$D$11:$D$40,4,Override!$E$11:$E$40,"&gt;=0",Override!$C$11:$C$40,"MXAU"))&gt;0,SUMIFS(Override!$E$11:$E$40,Override!$B$11:$B$40,$B55,Override!$D$11:$D$40,4)-SUMIFS(Override!$E$11:$E$40,Override!$B$11:$B$40,$B55,Override!$D$11:$D$40,4,Override!$C$11:$C$40,"MXAU"),Override!$F$90)/AS51!$B$3,"")))</f>
        <v/>
      </c>
      <c r="J55" s="140">
        <f>IF(J$13="","",IF($B55="","",IFERROR($C55*$D55*IF((Override!$C$4="ON")*(COUNTIFS(Override!$B$11:$B$40,$B55,Override!$D$11:$D$40,5,Override!$E$11:$E$40,"&gt;=0")-COUNTIFS(Override!$B$11:$B$40,$B55,Override!$D$11:$D$40,5,Override!$E$11:$E$40,"&gt;=0",Override!$C$11:$C$40,"MXAU"))&gt;0,SUMIFS(Override!$E$11:$E$40,Override!$B$11:$B$40,$B55,Override!$D$11:$D$40,5)-SUMIFS(Override!$E$11:$E$40,Override!$B$11:$B$40,$B55,Override!$D$11:$D$40,5,Override!$C$11:$C$40,"MXAU"),Override!$G$90)/AS51!$B$3,"")))</f>
        <v/>
      </c>
      <c r="K55" s="140">
        <f>IF(K$13="","",IF($B55="","",IFERROR($C55*$D55*IF((Override!$C$4="ON")*(COUNTIFS(Override!$B$11:$B$40,$B55,Override!$D$11:$D$40,6,Override!$E$11:$E$40,"&gt;=0")-COUNTIFS(Override!$B$11:$B$40,$B55,Override!$D$11:$D$40,6,Override!$E$11:$E$40,"&gt;=0",Override!$C$11:$C$40,"MXAU"))&gt;0,SUMIFS(Override!$E$11:$E$40,Override!$B$11:$B$40,$B55,Override!$D$11:$D$40,6)-SUMIFS(Override!$E$11:$E$40,Override!$B$11:$B$40,$B55,Override!$D$11:$D$40,6,Override!$C$11:$C$40,"MXAU"),Override!$H$90)/AS51!$B$3,"")))</f>
        <v/>
      </c>
      <c r="L55" s="140">
        <f>IF(L$13="","",IF($B55="","",IFERROR($C55*$D55*IF((Override!$C$4="ON")*(COUNTIFS(Override!$B$11:$B$40,$B55,Override!$D$11:$D$40,7,Override!$E$11:$E$40,"&gt;=0")-COUNTIFS(Override!$B$11:$B$40,$B55,Override!$D$11:$D$40,7,Override!$E$11:$E$40,"&gt;=0",Override!$C$11:$C$40,"MXAU"))&gt;0,SUMIFS(Override!$E$11:$E$40,Override!$B$11:$B$40,$B55,Override!$D$11:$D$40,7)-SUMIFS(Override!$E$11:$E$40,Override!$B$11:$B$40,$B55,Override!$D$11:$D$40,7,Override!$C$11:$C$40,"MXAU"),Override!$I$90)/AS51!$B$3,"")))</f>
        <v/>
      </c>
      <c r="M55" s="140">
        <f>IF(M$13="","",IF($B55="","",IFERROR($C55*$D55*IF((Override!$C$4="ON")*(COUNTIFS(Override!$B$11:$B$40,$B55,Override!$D$11:$D$40,8,Override!$E$11:$E$40,"&gt;=0")-COUNTIFS(Override!$B$11:$B$40,$B55,Override!$D$11:$D$40,8,Override!$E$11:$E$40,"&gt;=0",Override!$C$11:$C$40,"MXAU"))&gt;0,SUMIFS(Override!$E$11:$E$40,Override!$B$11:$B$40,$B55,Override!$D$11:$D$40,8)-SUMIFS(Override!$E$11:$E$40,Override!$B$11:$B$40,$B55,Override!$D$11:$D$40,8,Override!$C$11:$C$40,"MXAU"),Override!$J$90)/AS51!$B$3,"")))</f>
        <v/>
      </c>
      <c r="N55" s="140">
        <f>IF(N$13="","",IF($B55="","",IFERROR($C55*$D55*IF((Override!$C$4="ON")*(COUNTIFS(Override!$B$11:$B$40,$B55,Override!$D$11:$D$40,9,Override!$E$11:$E$40,"&gt;=0")-COUNTIFS(Override!$B$11:$B$40,$B55,Override!$D$11:$D$40,9,Override!$E$11:$E$40,"&gt;=0",Override!$C$11:$C$40,"MXAU"))&gt;0,SUMIFS(Override!$E$11:$E$40,Override!$B$11:$B$40,$B55,Override!$D$11:$D$40,9)-SUMIFS(Override!$E$11:$E$40,Override!$B$11:$B$40,$B55,Override!$D$11:$D$40,9,Override!$C$11:$C$40,"MXAU"),Override!$K$90)/AS51!$B$3,"")))</f>
        <v/>
      </c>
      <c r="O55" s="140">
        <f>IF(O$13="","",IF($B55="","",IFERROR($C55*$D55*IF((Override!$C$4="ON")*(COUNTIFS(Override!$B$11:$B$40,$B55,Override!$D$11:$D$40,10,Override!$E$11:$E$40,"&gt;=0")-COUNTIFS(Override!$B$11:$B$40,$B55,Override!$D$11:$D$40,10,Override!$E$11:$E$40,"&gt;=0",Override!$C$11:$C$40,"MXAU"))&gt;0,SUMIFS(Override!$E$11:$E$40,Override!$B$11:$B$40,$B55,Override!$D$11:$D$40,10)-SUMIFS(Override!$E$11:$E$40,Override!$B$11:$B$40,$B55,Override!$D$11:$D$40,10,Override!$C$11:$C$40,"MXAU"),Override!$L$90)/AS51!$B$3,"")))</f>
        <v/>
      </c>
      <c r="P55" s="140">
        <f>IF(P$13="","",IF($B55="","",IFERROR($C55*$D55*IF((Override!$C$4="ON")*(COUNTIFS(Override!$B$11:$B$40,$B55,Override!$D$11:$D$40,11,Override!$E$11:$E$40,"&gt;=0")-COUNTIFS(Override!$B$11:$B$40,$B55,Override!$D$11:$D$40,11,Override!$E$11:$E$40,"&gt;=0",Override!$C$11:$C$40,"MXAU"))&gt;0,SUMIFS(Override!$E$11:$E$40,Override!$B$11:$B$40,$B55,Override!$D$11:$D$40,11)-SUMIFS(Override!$E$11:$E$40,Override!$B$11:$B$40,$B55,Override!$D$11:$D$40,11,Override!$C$11:$C$40,"MXAU"),Override!$M$90)/AS51!$B$3,"")))</f>
        <v/>
      </c>
      <c r="Q55" s="140">
        <f>IF(Q$13="","",IF($B55="","",IFERROR($C55*$D55*IF((Override!$C$4="ON")*(COUNTIFS(Override!$B$11:$B$40,$B55,Override!$D$11:$D$40,12,Override!$E$11:$E$40,"&gt;=0")-COUNTIFS(Override!$B$11:$B$40,$B55,Override!$D$11:$D$40,12,Override!$E$11:$E$40,"&gt;=0",Override!$C$11:$C$40,"MXAU"))&gt;0,SUMIFS(Override!$E$11:$E$40,Override!$B$11:$B$40,$B55,Override!$D$11:$D$40,12)-SUMIFS(Override!$E$11:$E$40,Override!$B$11:$B$40,$B55,Override!$D$11:$D$40,12,Override!$C$11:$C$40,"MXAU"),Override!$N$90)/AS51!$B$3,"")))</f>
        <v/>
      </c>
      <c r="R55" s="140">
        <f>IF(R$13="","",IF($B55="","",IFERROR($C55*$D55*IF((Override!$C$4="ON")*(COUNTIFS(Override!$B$11:$B$40,$B55,Override!$D$11:$D$40,13,Override!$E$11:$E$40,"&gt;=0")-COUNTIFS(Override!$B$11:$B$40,$B55,Override!$D$11:$D$40,13,Override!$E$11:$E$40,"&gt;=0",Override!$C$11:$C$40,"MXAU"))&gt;0,SUMIFS(Override!$E$11:$E$40,Override!$B$11:$B$40,$B55,Override!$D$11:$D$40,13)-SUMIFS(Override!$E$11:$E$40,Override!$B$11:$B$40,$B55,Override!$D$11:$D$40,13,Override!$C$11:$C$40,"MXAU"),Override!$O$90)/AS51!$B$3,"")))</f>
        <v/>
      </c>
      <c r="S55" s="140">
        <f>IF(S$13="","",IF($B55="","",IFERROR($C55*$D55*IF((Override!$C$4="ON")*(COUNTIFS(Override!$B$11:$B$40,$B55,Override!$D$11:$D$40,14,Override!$E$11:$E$40,"&gt;=0")-COUNTIFS(Override!$B$11:$B$40,$B55,Override!$D$11:$D$40,14,Override!$E$11:$E$40,"&gt;=0",Override!$C$11:$C$40,"MXAU"))&gt;0,SUMIFS(Override!$E$11:$E$40,Override!$B$11:$B$40,$B55,Override!$D$11:$D$40,14)-SUMIFS(Override!$E$11:$E$40,Override!$B$11:$B$40,$B55,Override!$D$11:$D$40,14,Override!$C$11:$C$40,"MXAU"),Override!$P$90)/AS51!$B$3,"")))</f>
        <v/>
      </c>
      <c r="T55" s="140">
        <f>IF(T$13="","",IF($B55="","",IFERROR($C55*$D55*IF((Override!$C$4="ON")*(COUNTIFS(Override!$B$11:$B$40,$B55,Override!$D$11:$D$40,15,Override!$E$11:$E$40,"&gt;=0")-COUNTIFS(Override!$B$11:$B$40,$B55,Override!$D$11:$D$40,15,Override!$E$11:$E$40,"&gt;=0",Override!$C$11:$C$40,"MXAU"))&gt;0,SUMIFS(Override!$E$11:$E$40,Override!$B$11:$B$40,$B55,Override!$D$11:$D$40,15)-SUMIFS(Override!$E$11:$E$40,Override!$B$11:$B$40,$B55,Override!$D$11:$D$40,15,Override!$C$11:$C$40,"MXAU"),Override!$Q$90)/AS51!$B$3,"")))</f>
        <v/>
      </c>
      <c r="U55" s="140">
        <f>IF(U$13="","",IF($B55="","",IFERROR($C55*$D55*IF((Override!$C$4="ON")*(COUNTIFS(Override!$B$11:$B$40,$B55,Override!$D$11:$D$40,16,Override!$E$11:$E$40,"&gt;=0")-COUNTIFS(Override!$B$11:$B$40,$B55,Override!$D$11:$D$40,16,Override!$E$11:$E$40,"&gt;=0",Override!$C$11:$C$40,"MXAU"))&gt;0,SUMIFS(Override!$E$11:$E$40,Override!$B$11:$B$40,$B55,Override!$D$11:$D$40,16)-SUMIFS(Override!$E$11:$E$40,Override!$B$11:$B$40,$B55,Override!$D$11:$D$40,16,Override!$C$11:$C$40,"MXAU"),Override!$R$90)/AS51!$B$3,"")))</f>
        <v/>
      </c>
      <c r="W55" s="140">
        <f>IF(W$13="","",IF($B55="","",IFERROR(F55*$E55/100,"")))</f>
        <v/>
      </c>
      <c r="X55" s="140">
        <f>IF(X$13="","",IF($B55="","",IFERROR(G55*$E55/100,"")))</f>
        <v/>
      </c>
      <c r="Y55" s="140">
        <f>IF(Y$13="","",IF($B55="","",IFERROR(H55*$E55/100,"")))</f>
        <v/>
      </c>
      <c r="Z55" s="140">
        <f>IF(Z$13="","",IF($B55="","",IFERROR(I55*$E55/100,"")))</f>
        <v/>
      </c>
      <c r="AA55" s="140">
        <f>IF(AA$13="","",IF($B55="","",IFERROR(J55*$E55/100,"")))</f>
        <v/>
      </c>
      <c r="AB55" s="140">
        <f>IF(AB$13="","",IF($B55="","",IFERROR(K55*$E55/100,"")))</f>
        <v/>
      </c>
      <c r="AC55" s="140">
        <f>IF(AC$13="","",IF($B55="","",IFERROR(L55*$E55/100,"")))</f>
        <v/>
      </c>
      <c r="AD55" s="140">
        <f>IF(AD$13="","",IF($B55="","",IFERROR(M55*$E55/100,"")))</f>
        <v/>
      </c>
      <c r="AE55" s="140">
        <f>IF(AE$13="","",IF($B55="","",IFERROR(N55*$E55/100,"")))</f>
        <v/>
      </c>
      <c r="AF55" s="140">
        <f>IF(AF$13="","",IF($B55="","",IFERROR(O55*$E55/100,"")))</f>
        <v/>
      </c>
      <c r="AG55" s="140">
        <f>IF(AG$13="","",IF($B55="","",IFERROR(P55*$E55/100,"")))</f>
        <v/>
      </c>
      <c r="AH55" s="140">
        <f>IF(AH$13="","",IF($B55="","",IFERROR(Q55*$E55/100,"")))</f>
        <v/>
      </c>
      <c r="AI55" s="140">
        <f>IF(AI$13="","",IF($B55="","",IFERROR(R55*$E55/100,"")))</f>
        <v/>
      </c>
      <c r="AJ55" s="140">
        <f>IF(AJ$13="","",IF($B55="","",IFERROR(S55*$E55/100,"")))</f>
        <v/>
      </c>
      <c r="AK55" s="140">
        <f>IF(AK$13="","",IF($B55="","",IFERROR(T55*$E55/100,"")))</f>
        <v/>
      </c>
      <c r="AL55" s="140">
        <f>IF(AL$13="","",IF($B55="","",IFERROR(U55*$E55/100,"")))</f>
        <v/>
      </c>
      <c r="AN55" s="140">
        <f>IF($B55="","",SUMIF($F$13:$U$13,"&lt;="&amp;Sector!$D$51,$F55:$U55))</f>
        <v/>
      </c>
      <c r="AO55" s="140">
        <f>IF($B55="","",SUMIF($W$13:$AL$13,"&lt;="&amp;Sector!$D$51,$W55:$AL55))</f>
        <v/>
      </c>
    </row>
    <row r="56">
      <c r="B56" s="5">
        <f>IF(AS51!$C$46="","",AS51!$C$46)</f>
        <v/>
      </c>
      <c r="C56" s="90">
        <f>IF(AS51!$B$46="","",AS51!$B$46)</f>
        <v/>
      </c>
      <c r="D56" s="138">
        <f>IFERROR(AS51!$Q$46,1)</f>
        <v/>
      </c>
      <c r="E56" s="139">
        <f>IF($B56="","",IF(ISNUMBER(AS51!$I$46),AS51!$I$46,'Index Summary'!$C$7))</f>
        <v/>
      </c>
      <c r="F56" s="140">
        <f>IF(F$13="","",IF($B56="","",IFERROR($C56*$D56*IF((Override!$C$4="ON")*(COUNTIFS(Override!$B$11:$B$40,$B56,Override!$D$11:$D$40,1,Override!$E$11:$E$40,"&gt;=0")-COUNTIFS(Override!$B$11:$B$40,$B56,Override!$D$11:$D$40,1,Override!$E$11:$E$40,"&gt;=0",Override!$C$11:$C$40,"MXAU"))&gt;0,SUMIFS(Override!$E$11:$E$40,Override!$B$11:$B$40,$B56,Override!$D$11:$D$40,1)-SUMIFS(Override!$E$11:$E$40,Override!$B$11:$B$40,$B56,Override!$D$11:$D$40,1,Override!$C$11:$C$40,"MXAU"),Override!$C$91)/AS51!$B$3,"")))</f>
        <v/>
      </c>
      <c r="G56" s="140">
        <f>IF(G$13="","",IF($B56="","",IFERROR($C56*$D56*IF((Override!$C$4="ON")*(COUNTIFS(Override!$B$11:$B$40,$B56,Override!$D$11:$D$40,2,Override!$E$11:$E$40,"&gt;=0")-COUNTIFS(Override!$B$11:$B$40,$B56,Override!$D$11:$D$40,2,Override!$E$11:$E$40,"&gt;=0",Override!$C$11:$C$40,"MXAU"))&gt;0,SUMIFS(Override!$E$11:$E$40,Override!$B$11:$B$40,$B56,Override!$D$11:$D$40,2)-SUMIFS(Override!$E$11:$E$40,Override!$B$11:$B$40,$B56,Override!$D$11:$D$40,2,Override!$C$11:$C$40,"MXAU"),Override!$D$91)/AS51!$B$3,"")))</f>
        <v/>
      </c>
      <c r="H56" s="140">
        <f>IF(H$13="","",IF($B56="","",IFERROR($C56*$D56*IF((Override!$C$4="ON")*(COUNTIFS(Override!$B$11:$B$40,$B56,Override!$D$11:$D$40,3,Override!$E$11:$E$40,"&gt;=0")-COUNTIFS(Override!$B$11:$B$40,$B56,Override!$D$11:$D$40,3,Override!$E$11:$E$40,"&gt;=0",Override!$C$11:$C$40,"MXAU"))&gt;0,SUMIFS(Override!$E$11:$E$40,Override!$B$11:$B$40,$B56,Override!$D$11:$D$40,3)-SUMIFS(Override!$E$11:$E$40,Override!$B$11:$B$40,$B56,Override!$D$11:$D$40,3,Override!$C$11:$C$40,"MXAU"),Override!$E$91)/AS51!$B$3,"")))</f>
        <v/>
      </c>
      <c r="I56" s="140">
        <f>IF(I$13="","",IF($B56="","",IFERROR($C56*$D56*IF((Override!$C$4="ON")*(COUNTIFS(Override!$B$11:$B$40,$B56,Override!$D$11:$D$40,4,Override!$E$11:$E$40,"&gt;=0")-COUNTIFS(Override!$B$11:$B$40,$B56,Override!$D$11:$D$40,4,Override!$E$11:$E$40,"&gt;=0",Override!$C$11:$C$40,"MXAU"))&gt;0,SUMIFS(Override!$E$11:$E$40,Override!$B$11:$B$40,$B56,Override!$D$11:$D$40,4)-SUMIFS(Override!$E$11:$E$40,Override!$B$11:$B$40,$B56,Override!$D$11:$D$40,4,Override!$C$11:$C$40,"MXAU"),Override!$F$91)/AS51!$B$3,"")))</f>
        <v/>
      </c>
      <c r="J56" s="140">
        <f>IF(J$13="","",IF($B56="","",IFERROR($C56*$D56*IF((Override!$C$4="ON")*(COUNTIFS(Override!$B$11:$B$40,$B56,Override!$D$11:$D$40,5,Override!$E$11:$E$40,"&gt;=0")-COUNTIFS(Override!$B$11:$B$40,$B56,Override!$D$11:$D$40,5,Override!$E$11:$E$40,"&gt;=0",Override!$C$11:$C$40,"MXAU"))&gt;0,SUMIFS(Override!$E$11:$E$40,Override!$B$11:$B$40,$B56,Override!$D$11:$D$40,5)-SUMIFS(Override!$E$11:$E$40,Override!$B$11:$B$40,$B56,Override!$D$11:$D$40,5,Override!$C$11:$C$40,"MXAU"),Override!$G$91)/AS51!$B$3,"")))</f>
        <v/>
      </c>
      <c r="K56" s="140">
        <f>IF(K$13="","",IF($B56="","",IFERROR($C56*$D56*IF((Override!$C$4="ON")*(COUNTIFS(Override!$B$11:$B$40,$B56,Override!$D$11:$D$40,6,Override!$E$11:$E$40,"&gt;=0")-COUNTIFS(Override!$B$11:$B$40,$B56,Override!$D$11:$D$40,6,Override!$E$11:$E$40,"&gt;=0",Override!$C$11:$C$40,"MXAU"))&gt;0,SUMIFS(Override!$E$11:$E$40,Override!$B$11:$B$40,$B56,Override!$D$11:$D$40,6)-SUMIFS(Override!$E$11:$E$40,Override!$B$11:$B$40,$B56,Override!$D$11:$D$40,6,Override!$C$11:$C$40,"MXAU"),Override!$H$91)/AS51!$B$3,"")))</f>
        <v/>
      </c>
      <c r="L56" s="140">
        <f>IF(L$13="","",IF($B56="","",IFERROR($C56*$D56*IF((Override!$C$4="ON")*(COUNTIFS(Override!$B$11:$B$40,$B56,Override!$D$11:$D$40,7,Override!$E$11:$E$40,"&gt;=0")-COUNTIFS(Override!$B$11:$B$40,$B56,Override!$D$11:$D$40,7,Override!$E$11:$E$40,"&gt;=0",Override!$C$11:$C$40,"MXAU"))&gt;0,SUMIFS(Override!$E$11:$E$40,Override!$B$11:$B$40,$B56,Override!$D$11:$D$40,7)-SUMIFS(Override!$E$11:$E$40,Override!$B$11:$B$40,$B56,Override!$D$11:$D$40,7,Override!$C$11:$C$40,"MXAU"),Override!$I$91)/AS51!$B$3,"")))</f>
        <v/>
      </c>
      <c r="M56" s="140">
        <f>IF(M$13="","",IF($B56="","",IFERROR($C56*$D56*IF((Override!$C$4="ON")*(COUNTIFS(Override!$B$11:$B$40,$B56,Override!$D$11:$D$40,8,Override!$E$11:$E$40,"&gt;=0")-COUNTIFS(Override!$B$11:$B$40,$B56,Override!$D$11:$D$40,8,Override!$E$11:$E$40,"&gt;=0",Override!$C$11:$C$40,"MXAU"))&gt;0,SUMIFS(Override!$E$11:$E$40,Override!$B$11:$B$40,$B56,Override!$D$11:$D$40,8)-SUMIFS(Override!$E$11:$E$40,Override!$B$11:$B$40,$B56,Override!$D$11:$D$40,8,Override!$C$11:$C$40,"MXAU"),Override!$J$91)/AS51!$B$3,"")))</f>
        <v/>
      </c>
      <c r="N56" s="140">
        <f>IF(N$13="","",IF($B56="","",IFERROR($C56*$D56*IF((Override!$C$4="ON")*(COUNTIFS(Override!$B$11:$B$40,$B56,Override!$D$11:$D$40,9,Override!$E$11:$E$40,"&gt;=0")-COUNTIFS(Override!$B$11:$B$40,$B56,Override!$D$11:$D$40,9,Override!$E$11:$E$40,"&gt;=0",Override!$C$11:$C$40,"MXAU"))&gt;0,SUMIFS(Override!$E$11:$E$40,Override!$B$11:$B$40,$B56,Override!$D$11:$D$40,9)-SUMIFS(Override!$E$11:$E$40,Override!$B$11:$B$40,$B56,Override!$D$11:$D$40,9,Override!$C$11:$C$40,"MXAU"),Override!$K$91)/AS51!$B$3,"")))</f>
        <v/>
      </c>
      <c r="O56" s="140">
        <f>IF(O$13="","",IF($B56="","",IFERROR($C56*$D56*IF((Override!$C$4="ON")*(COUNTIFS(Override!$B$11:$B$40,$B56,Override!$D$11:$D$40,10,Override!$E$11:$E$40,"&gt;=0")-COUNTIFS(Override!$B$11:$B$40,$B56,Override!$D$11:$D$40,10,Override!$E$11:$E$40,"&gt;=0",Override!$C$11:$C$40,"MXAU"))&gt;0,SUMIFS(Override!$E$11:$E$40,Override!$B$11:$B$40,$B56,Override!$D$11:$D$40,10)-SUMIFS(Override!$E$11:$E$40,Override!$B$11:$B$40,$B56,Override!$D$11:$D$40,10,Override!$C$11:$C$40,"MXAU"),Override!$L$91)/AS51!$B$3,"")))</f>
        <v/>
      </c>
      <c r="P56" s="140">
        <f>IF(P$13="","",IF($B56="","",IFERROR($C56*$D56*IF((Override!$C$4="ON")*(COUNTIFS(Override!$B$11:$B$40,$B56,Override!$D$11:$D$40,11,Override!$E$11:$E$40,"&gt;=0")-COUNTIFS(Override!$B$11:$B$40,$B56,Override!$D$11:$D$40,11,Override!$E$11:$E$40,"&gt;=0",Override!$C$11:$C$40,"MXAU"))&gt;0,SUMIFS(Override!$E$11:$E$40,Override!$B$11:$B$40,$B56,Override!$D$11:$D$40,11)-SUMIFS(Override!$E$11:$E$40,Override!$B$11:$B$40,$B56,Override!$D$11:$D$40,11,Override!$C$11:$C$40,"MXAU"),Override!$M$91)/AS51!$B$3,"")))</f>
        <v/>
      </c>
      <c r="Q56" s="140">
        <f>IF(Q$13="","",IF($B56="","",IFERROR($C56*$D56*IF((Override!$C$4="ON")*(COUNTIFS(Override!$B$11:$B$40,$B56,Override!$D$11:$D$40,12,Override!$E$11:$E$40,"&gt;=0")-COUNTIFS(Override!$B$11:$B$40,$B56,Override!$D$11:$D$40,12,Override!$E$11:$E$40,"&gt;=0",Override!$C$11:$C$40,"MXAU"))&gt;0,SUMIFS(Override!$E$11:$E$40,Override!$B$11:$B$40,$B56,Override!$D$11:$D$40,12)-SUMIFS(Override!$E$11:$E$40,Override!$B$11:$B$40,$B56,Override!$D$11:$D$40,12,Override!$C$11:$C$40,"MXAU"),Override!$N$91)/AS51!$B$3,"")))</f>
        <v/>
      </c>
      <c r="R56" s="140">
        <f>IF(R$13="","",IF($B56="","",IFERROR($C56*$D56*IF((Override!$C$4="ON")*(COUNTIFS(Override!$B$11:$B$40,$B56,Override!$D$11:$D$40,13,Override!$E$11:$E$40,"&gt;=0")-COUNTIFS(Override!$B$11:$B$40,$B56,Override!$D$11:$D$40,13,Override!$E$11:$E$40,"&gt;=0",Override!$C$11:$C$40,"MXAU"))&gt;0,SUMIFS(Override!$E$11:$E$40,Override!$B$11:$B$40,$B56,Override!$D$11:$D$40,13)-SUMIFS(Override!$E$11:$E$40,Override!$B$11:$B$40,$B56,Override!$D$11:$D$40,13,Override!$C$11:$C$40,"MXAU"),Override!$O$91)/AS51!$B$3,"")))</f>
        <v/>
      </c>
      <c r="S56" s="140">
        <f>IF(S$13="","",IF($B56="","",IFERROR($C56*$D56*IF((Override!$C$4="ON")*(COUNTIFS(Override!$B$11:$B$40,$B56,Override!$D$11:$D$40,14,Override!$E$11:$E$40,"&gt;=0")-COUNTIFS(Override!$B$11:$B$40,$B56,Override!$D$11:$D$40,14,Override!$E$11:$E$40,"&gt;=0",Override!$C$11:$C$40,"MXAU"))&gt;0,SUMIFS(Override!$E$11:$E$40,Override!$B$11:$B$40,$B56,Override!$D$11:$D$40,14)-SUMIFS(Override!$E$11:$E$40,Override!$B$11:$B$40,$B56,Override!$D$11:$D$40,14,Override!$C$11:$C$40,"MXAU"),Override!$P$91)/AS51!$B$3,"")))</f>
        <v/>
      </c>
      <c r="T56" s="140">
        <f>IF(T$13="","",IF($B56="","",IFERROR($C56*$D56*IF((Override!$C$4="ON")*(COUNTIFS(Override!$B$11:$B$40,$B56,Override!$D$11:$D$40,15,Override!$E$11:$E$40,"&gt;=0")-COUNTIFS(Override!$B$11:$B$40,$B56,Override!$D$11:$D$40,15,Override!$E$11:$E$40,"&gt;=0",Override!$C$11:$C$40,"MXAU"))&gt;0,SUMIFS(Override!$E$11:$E$40,Override!$B$11:$B$40,$B56,Override!$D$11:$D$40,15)-SUMIFS(Override!$E$11:$E$40,Override!$B$11:$B$40,$B56,Override!$D$11:$D$40,15,Override!$C$11:$C$40,"MXAU"),Override!$Q$91)/AS51!$B$3,"")))</f>
        <v/>
      </c>
      <c r="U56" s="140">
        <f>IF(U$13="","",IF($B56="","",IFERROR($C56*$D56*IF((Override!$C$4="ON")*(COUNTIFS(Override!$B$11:$B$40,$B56,Override!$D$11:$D$40,16,Override!$E$11:$E$40,"&gt;=0")-COUNTIFS(Override!$B$11:$B$40,$B56,Override!$D$11:$D$40,16,Override!$E$11:$E$40,"&gt;=0",Override!$C$11:$C$40,"MXAU"))&gt;0,SUMIFS(Override!$E$11:$E$40,Override!$B$11:$B$40,$B56,Override!$D$11:$D$40,16)-SUMIFS(Override!$E$11:$E$40,Override!$B$11:$B$40,$B56,Override!$D$11:$D$40,16,Override!$C$11:$C$40,"MXAU"),Override!$R$91)/AS51!$B$3,"")))</f>
        <v/>
      </c>
      <c r="W56" s="140">
        <f>IF(W$13="","",IF($B56="","",IFERROR(F56*$E56/100,"")))</f>
        <v/>
      </c>
      <c r="X56" s="140">
        <f>IF(X$13="","",IF($B56="","",IFERROR(G56*$E56/100,"")))</f>
        <v/>
      </c>
      <c r="Y56" s="140">
        <f>IF(Y$13="","",IF($B56="","",IFERROR(H56*$E56/100,"")))</f>
        <v/>
      </c>
      <c r="Z56" s="140">
        <f>IF(Z$13="","",IF($B56="","",IFERROR(I56*$E56/100,"")))</f>
        <v/>
      </c>
      <c r="AA56" s="140">
        <f>IF(AA$13="","",IF($B56="","",IFERROR(J56*$E56/100,"")))</f>
        <v/>
      </c>
      <c r="AB56" s="140">
        <f>IF(AB$13="","",IF($B56="","",IFERROR(K56*$E56/100,"")))</f>
        <v/>
      </c>
      <c r="AC56" s="140">
        <f>IF(AC$13="","",IF($B56="","",IFERROR(L56*$E56/100,"")))</f>
        <v/>
      </c>
      <c r="AD56" s="140">
        <f>IF(AD$13="","",IF($B56="","",IFERROR(M56*$E56/100,"")))</f>
        <v/>
      </c>
      <c r="AE56" s="140">
        <f>IF(AE$13="","",IF($B56="","",IFERROR(N56*$E56/100,"")))</f>
        <v/>
      </c>
      <c r="AF56" s="140">
        <f>IF(AF$13="","",IF($B56="","",IFERROR(O56*$E56/100,"")))</f>
        <v/>
      </c>
      <c r="AG56" s="140">
        <f>IF(AG$13="","",IF($B56="","",IFERROR(P56*$E56/100,"")))</f>
        <v/>
      </c>
      <c r="AH56" s="140">
        <f>IF(AH$13="","",IF($B56="","",IFERROR(Q56*$E56/100,"")))</f>
        <v/>
      </c>
      <c r="AI56" s="140">
        <f>IF(AI$13="","",IF($B56="","",IFERROR(R56*$E56/100,"")))</f>
        <v/>
      </c>
      <c r="AJ56" s="140">
        <f>IF(AJ$13="","",IF($B56="","",IFERROR(S56*$E56/100,"")))</f>
        <v/>
      </c>
      <c r="AK56" s="140">
        <f>IF(AK$13="","",IF($B56="","",IFERROR(T56*$E56/100,"")))</f>
        <v/>
      </c>
      <c r="AL56" s="140">
        <f>IF(AL$13="","",IF($B56="","",IFERROR(U56*$E56/100,"")))</f>
        <v/>
      </c>
      <c r="AN56" s="140">
        <f>IF($B56="","",SUMIF($F$13:$U$13,"&lt;="&amp;Sector!$D$51,$F56:$U56))</f>
        <v/>
      </c>
      <c r="AO56" s="140">
        <f>IF($B56="","",SUMIF($W$13:$AL$13,"&lt;="&amp;Sector!$D$51,$W56:$AL56))</f>
        <v/>
      </c>
    </row>
    <row r="57">
      <c r="B57" s="5">
        <f>IF(AS51!$C$47="","",AS51!$C$47)</f>
        <v/>
      </c>
      <c r="C57" s="90">
        <f>IF(AS51!$B$47="","",AS51!$B$47)</f>
        <v/>
      </c>
      <c r="D57" s="138">
        <f>IFERROR(AS51!$Q$47,1)</f>
        <v/>
      </c>
      <c r="E57" s="139">
        <f>IF($B57="","",IF(ISNUMBER(AS51!$I$47),AS51!$I$47,'Index Summary'!$C$7))</f>
        <v/>
      </c>
      <c r="F57" s="140">
        <f>IF(F$13="","",IF($B57="","",IFERROR($C57*$D57*IF((Override!$C$4="ON")*(COUNTIFS(Override!$B$11:$B$40,$B57,Override!$D$11:$D$40,1,Override!$E$11:$E$40,"&gt;=0")-COUNTIFS(Override!$B$11:$B$40,$B57,Override!$D$11:$D$40,1,Override!$E$11:$E$40,"&gt;=0",Override!$C$11:$C$40,"MXAU"))&gt;0,SUMIFS(Override!$E$11:$E$40,Override!$B$11:$B$40,$B57,Override!$D$11:$D$40,1)-SUMIFS(Override!$E$11:$E$40,Override!$B$11:$B$40,$B57,Override!$D$11:$D$40,1,Override!$C$11:$C$40,"MXAU"),Override!$C$92)/AS51!$B$3,"")))</f>
        <v/>
      </c>
      <c r="G57" s="140">
        <f>IF(G$13="","",IF($B57="","",IFERROR($C57*$D57*IF((Override!$C$4="ON")*(COUNTIFS(Override!$B$11:$B$40,$B57,Override!$D$11:$D$40,2,Override!$E$11:$E$40,"&gt;=0")-COUNTIFS(Override!$B$11:$B$40,$B57,Override!$D$11:$D$40,2,Override!$E$11:$E$40,"&gt;=0",Override!$C$11:$C$40,"MXAU"))&gt;0,SUMIFS(Override!$E$11:$E$40,Override!$B$11:$B$40,$B57,Override!$D$11:$D$40,2)-SUMIFS(Override!$E$11:$E$40,Override!$B$11:$B$40,$B57,Override!$D$11:$D$40,2,Override!$C$11:$C$40,"MXAU"),Override!$D$92)/AS51!$B$3,"")))</f>
        <v/>
      </c>
      <c r="H57" s="140">
        <f>IF(H$13="","",IF($B57="","",IFERROR($C57*$D57*IF((Override!$C$4="ON")*(COUNTIFS(Override!$B$11:$B$40,$B57,Override!$D$11:$D$40,3,Override!$E$11:$E$40,"&gt;=0")-COUNTIFS(Override!$B$11:$B$40,$B57,Override!$D$11:$D$40,3,Override!$E$11:$E$40,"&gt;=0",Override!$C$11:$C$40,"MXAU"))&gt;0,SUMIFS(Override!$E$11:$E$40,Override!$B$11:$B$40,$B57,Override!$D$11:$D$40,3)-SUMIFS(Override!$E$11:$E$40,Override!$B$11:$B$40,$B57,Override!$D$11:$D$40,3,Override!$C$11:$C$40,"MXAU"),Override!$E$92)/AS51!$B$3,"")))</f>
        <v/>
      </c>
      <c r="I57" s="140">
        <f>IF(I$13="","",IF($B57="","",IFERROR($C57*$D57*IF((Override!$C$4="ON")*(COUNTIFS(Override!$B$11:$B$40,$B57,Override!$D$11:$D$40,4,Override!$E$11:$E$40,"&gt;=0")-COUNTIFS(Override!$B$11:$B$40,$B57,Override!$D$11:$D$40,4,Override!$E$11:$E$40,"&gt;=0",Override!$C$11:$C$40,"MXAU"))&gt;0,SUMIFS(Override!$E$11:$E$40,Override!$B$11:$B$40,$B57,Override!$D$11:$D$40,4)-SUMIFS(Override!$E$11:$E$40,Override!$B$11:$B$40,$B57,Override!$D$11:$D$40,4,Override!$C$11:$C$40,"MXAU"),Override!$F$92)/AS51!$B$3,"")))</f>
        <v/>
      </c>
      <c r="J57" s="140">
        <f>IF(J$13="","",IF($B57="","",IFERROR($C57*$D57*IF((Override!$C$4="ON")*(COUNTIFS(Override!$B$11:$B$40,$B57,Override!$D$11:$D$40,5,Override!$E$11:$E$40,"&gt;=0")-COUNTIFS(Override!$B$11:$B$40,$B57,Override!$D$11:$D$40,5,Override!$E$11:$E$40,"&gt;=0",Override!$C$11:$C$40,"MXAU"))&gt;0,SUMIFS(Override!$E$11:$E$40,Override!$B$11:$B$40,$B57,Override!$D$11:$D$40,5)-SUMIFS(Override!$E$11:$E$40,Override!$B$11:$B$40,$B57,Override!$D$11:$D$40,5,Override!$C$11:$C$40,"MXAU"),Override!$G$92)/AS51!$B$3,"")))</f>
        <v/>
      </c>
      <c r="K57" s="140">
        <f>IF(K$13="","",IF($B57="","",IFERROR($C57*$D57*IF((Override!$C$4="ON")*(COUNTIFS(Override!$B$11:$B$40,$B57,Override!$D$11:$D$40,6,Override!$E$11:$E$40,"&gt;=0")-COUNTIFS(Override!$B$11:$B$40,$B57,Override!$D$11:$D$40,6,Override!$E$11:$E$40,"&gt;=0",Override!$C$11:$C$40,"MXAU"))&gt;0,SUMIFS(Override!$E$11:$E$40,Override!$B$11:$B$40,$B57,Override!$D$11:$D$40,6)-SUMIFS(Override!$E$11:$E$40,Override!$B$11:$B$40,$B57,Override!$D$11:$D$40,6,Override!$C$11:$C$40,"MXAU"),Override!$H$92)/AS51!$B$3,"")))</f>
        <v/>
      </c>
      <c r="L57" s="140">
        <f>IF(L$13="","",IF($B57="","",IFERROR($C57*$D57*IF((Override!$C$4="ON")*(COUNTIFS(Override!$B$11:$B$40,$B57,Override!$D$11:$D$40,7,Override!$E$11:$E$40,"&gt;=0")-COUNTIFS(Override!$B$11:$B$40,$B57,Override!$D$11:$D$40,7,Override!$E$11:$E$40,"&gt;=0",Override!$C$11:$C$40,"MXAU"))&gt;0,SUMIFS(Override!$E$11:$E$40,Override!$B$11:$B$40,$B57,Override!$D$11:$D$40,7)-SUMIFS(Override!$E$11:$E$40,Override!$B$11:$B$40,$B57,Override!$D$11:$D$40,7,Override!$C$11:$C$40,"MXAU"),Override!$I$92)/AS51!$B$3,"")))</f>
        <v/>
      </c>
      <c r="M57" s="140">
        <f>IF(M$13="","",IF($B57="","",IFERROR($C57*$D57*IF((Override!$C$4="ON")*(COUNTIFS(Override!$B$11:$B$40,$B57,Override!$D$11:$D$40,8,Override!$E$11:$E$40,"&gt;=0")-COUNTIFS(Override!$B$11:$B$40,$B57,Override!$D$11:$D$40,8,Override!$E$11:$E$40,"&gt;=0",Override!$C$11:$C$40,"MXAU"))&gt;0,SUMIFS(Override!$E$11:$E$40,Override!$B$11:$B$40,$B57,Override!$D$11:$D$40,8)-SUMIFS(Override!$E$11:$E$40,Override!$B$11:$B$40,$B57,Override!$D$11:$D$40,8,Override!$C$11:$C$40,"MXAU"),Override!$J$92)/AS51!$B$3,"")))</f>
        <v/>
      </c>
      <c r="N57" s="140">
        <f>IF(N$13="","",IF($B57="","",IFERROR($C57*$D57*IF((Override!$C$4="ON")*(COUNTIFS(Override!$B$11:$B$40,$B57,Override!$D$11:$D$40,9,Override!$E$11:$E$40,"&gt;=0")-COUNTIFS(Override!$B$11:$B$40,$B57,Override!$D$11:$D$40,9,Override!$E$11:$E$40,"&gt;=0",Override!$C$11:$C$40,"MXAU"))&gt;0,SUMIFS(Override!$E$11:$E$40,Override!$B$11:$B$40,$B57,Override!$D$11:$D$40,9)-SUMIFS(Override!$E$11:$E$40,Override!$B$11:$B$40,$B57,Override!$D$11:$D$40,9,Override!$C$11:$C$40,"MXAU"),Override!$K$92)/AS51!$B$3,"")))</f>
        <v/>
      </c>
      <c r="O57" s="140">
        <f>IF(O$13="","",IF($B57="","",IFERROR($C57*$D57*IF((Override!$C$4="ON")*(COUNTIFS(Override!$B$11:$B$40,$B57,Override!$D$11:$D$40,10,Override!$E$11:$E$40,"&gt;=0")-COUNTIFS(Override!$B$11:$B$40,$B57,Override!$D$11:$D$40,10,Override!$E$11:$E$40,"&gt;=0",Override!$C$11:$C$40,"MXAU"))&gt;0,SUMIFS(Override!$E$11:$E$40,Override!$B$11:$B$40,$B57,Override!$D$11:$D$40,10)-SUMIFS(Override!$E$11:$E$40,Override!$B$11:$B$40,$B57,Override!$D$11:$D$40,10,Override!$C$11:$C$40,"MXAU"),Override!$L$92)/AS51!$B$3,"")))</f>
        <v/>
      </c>
      <c r="P57" s="140">
        <f>IF(P$13="","",IF($B57="","",IFERROR($C57*$D57*IF((Override!$C$4="ON")*(COUNTIFS(Override!$B$11:$B$40,$B57,Override!$D$11:$D$40,11,Override!$E$11:$E$40,"&gt;=0")-COUNTIFS(Override!$B$11:$B$40,$B57,Override!$D$11:$D$40,11,Override!$E$11:$E$40,"&gt;=0",Override!$C$11:$C$40,"MXAU"))&gt;0,SUMIFS(Override!$E$11:$E$40,Override!$B$11:$B$40,$B57,Override!$D$11:$D$40,11)-SUMIFS(Override!$E$11:$E$40,Override!$B$11:$B$40,$B57,Override!$D$11:$D$40,11,Override!$C$11:$C$40,"MXAU"),Override!$M$92)/AS51!$B$3,"")))</f>
        <v/>
      </c>
      <c r="Q57" s="140">
        <f>IF(Q$13="","",IF($B57="","",IFERROR($C57*$D57*IF((Override!$C$4="ON")*(COUNTIFS(Override!$B$11:$B$40,$B57,Override!$D$11:$D$40,12,Override!$E$11:$E$40,"&gt;=0")-COUNTIFS(Override!$B$11:$B$40,$B57,Override!$D$11:$D$40,12,Override!$E$11:$E$40,"&gt;=0",Override!$C$11:$C$40,"MXAU"))&gt;0,SUMIFS(Override!$E$11:$E$40,Override!$B$11:$B$40,$B57,Override!$D$11:$D$40,12)-SUMIFS(Override!$E$11:$E$40,Override!$B$11:$B$40,$B57,Override!$D$11:$D$40,12,Override!$C$11:$C$40,"MXAU"),Override!$N$92)/AS51!$B$3,"")))</f>
        <v/>
      </c>
      <c r="R57" s="140">
        <f>IF(R$13="","",IF($B57="","",IFERROR($C57*$D57*IF((Override!$C$4="ON")*(COUNTIFS(Override!$B$11:$B$40,$B57,Override!$D$11:$D$40,13,Override!$E$11:$E$40,"&gt;=0")-COUNTIFS(Override!$B$11:$B$40,$B57,Override!$D$11:$D$40,13,Override!$E$11:$E$40,"&gt;=0",Override!$C$11:$C$40,"MXAU"))&gt;0,SUMIFS(Override!$E$11:$E$40,Override!$B$11:$B$40,$B57,Override!$D$11:$D$40,13)-SUMIFS(Override!$E$11:$E$40,Override!$B$11:$B$40,$B57,Override!$D$11:$D$40,13,Override!$C$11:$C$40,"MXAU"),Override!$O$92)/AS51!$B$3,"")))</f>
        <v/>
      </c>
      <c r="S57" s="140">
        <f>IF(S$13="","",IF($B57="","",IFERROR($C57*$D57*IF((Override!$C$4="ON")*(COUNTIFS(Override!$B$11:$B$40,$B57,Override!$D$11:$D$40,14,Override!$E$11:$E$40,"&gt;=0")-COUNTIFS(Override!$B$11:$B$40,$B57,Override!$D$11:$D$40,14,Override!$E$11:$E$40,"&gt;=0",Override!$C$11:$C$40,"MXAU"))&gt;0,SUMIFS(Override!$E$11:$E$40,Override!$B$11:$B$40,$B57,Override!$D$11:$D$40,14)-SUMIFS(Override!$E$11:$E$40,Override!$B$11:$B$40,$B57,Override!$D$11:$D$40,14,Override!$C$11:$C$40,"MXAU"),Override!$P$92)/AS51!$B$3,"")))</f>
        <v/>
      </c>
      <c r="T57" s="140">
        <f>IF(T$13="","",IF($B57="","",IFERROR($C57*$D57*IF((Override!$C$4="ON")*(COUNTIFS(Override!$B$11:$B$40,$B57,Override!$D$11:$D$40,15,Override!$E$11:$E$40,"&gt;=0")-COUNTIFS(Override!$B$11:$B$40,$B57,Override!$D$11:$D$40,15,Override!$E$11:$E$40,"&gt;=0",Override!$C$11:$C$40,"MXAU"))&gt;0,SUMIFS(Override!$E$11:$E$40,Override!$B$11:$B$40,$B57,Override!$D$11:$D$40,15)-SUMIFS(Override!$E$11:$E$40,Override!$B$11:$B$40,$B57,Override!$D$11:$D$40,15,Override!$C$11:$C$40,"MXAU"),Override!$Q$92)/AS51!$B$3,"")))</f>
        <v/>
      </c>
      <c r="U57" s="140">
        <f>IF(U$13="","",IF($B57="","",IFERROR($C57*$D57*IF((Override!$C$4="ON")*(COUNTIFS(Override!$B$11:$B$40,$B57,Override!$D$11:$D$40,16,Override!$E$11:$E$40,"&gt;=0")-COUNTIFS(Override!$B$11:$B$40,$B57,Override!$D$11:$D$40,16,Override!$E$11:$E$40,"&gt;=0",Override!$C$11:$C$40,"MXAU"))&gt;0,SUMIFS(Override!$E$11:$E$40,Override!$B$11:$B$40,$B57,Override!$D$11:$D$40,16)-SUMIFS(Override!$E$11:$E$40,Override!$B$11:$B$40,$B57,Override!$D$11:$D$40,16,Override!$C$11:$C$40,"MXAU"),Override!$R$92)/AS51!$B$3,"")))</f>
        <v/>
      </c>
      <c r="W57" s="140">
        <f>IF(W$13="","",IF($B57="","",IFERROR(F57*$E57/100,"")))</f>
        <v/>
      </c>
      <c r="X57" s="140">
        <f>IF(X$13="","",IF($B57="","",IFERROR(G57*$E57/100,"")))</f>
        <v/>
      </c>
      <c r="Y57" s="140">
        <f>IF(Y$13="","",IF($B57="","",IFERROR(H57*$E57/100,"")))</f>
        <v/>
      </c>
      <c r="Z57" s="140">
        <f>IF(Z$13="","",IF($B57="","",IFERROR(I57*$E57/100,"")))</f>
        <v/>
      </c>
      <c r="AA57" s="140">
        <f>IF(AA$13="","",IF($B57="","",IFERROR(J57*$E57/100,"")))</f>
        <v/>
      </c>
      <c r="AB57" s="140">
        <f>IF(AB$13="","",IF($B57="","",IFERROR(K57*$E57/100,"")))</f>
        <v/>
      </c>
      <c r="AC57" s="140">
        <f>IF(AC$13="","",IF($B57="","",IFERROR(L57*$E57/100,"")))</f>
        <v/>
      </c>
      <c r="AD57" s="140">
        <f>IF(AD$13="","",IF($B57="","",IFERROR(M57*$E57/100,"")))</f>
        <v/>
      </c>
      <c r="AE57" s="140">
        <f>IF(AE$13="","",IF($B57="","",IFERROR(N57*$E57/100,"")))</f>
        <v/>
      </c>
      <c r="AF57" s="140">
        <f>IF(AF$13="","",IF($B57="","",IFERROR(O57*$E57/100,"")))</f>
        <v/>
      </c>
      <c r="AG57" s="140">
        <f>IF(AG$13="","",IF($B57="","",IFERROR(P57*$E57/100,"")))</f>
        <v/>
      </c>
      <c r="AH57" s="140">
        <f>IF(AH$13="","",IF($B57="","",IFERROR(Q57*$E57/100,"")))</f>
        <v/>
      </c>
      <c r="AI57" s="140">
        <f>IF(AI$13="","",IF($B57="","",IFERROR(R57*$E57/100,"")))</f>
        <v/>
      </c>
      <c r="AJ57" s="140">
        <f>IF(AJ$13="","",IF($B57="","",IFERROR(S57*$E57/100,"")))</f>
        <v/>
      </c>
      <c r="AK57" s="140">
        <f>IF(AK$13="","",IF($B57="","",IFERROR(T57*$E57/100,"")))</f>
        <v/>
      </c>
      <c r="AL57" s="140">
        <f>IF(AL$13="","",IF($B57="","",IFERROR(U57*$E57/100,"")))</f>
        <v/>
      </c>
      <c r="AN57" s="140">
        <f>IF($B57="","",SUMIF($F$13:$U$13,"&lt;="&amp;Sector!$D$51,$F57:$U57))</f>
        <v/>
      </c>
      <c r="AO57" s="140">
        <f>IF($B57="","",SUMIF($W$13:$AL$13,"&lt;="&amp;Sector!$D$51,$W57:$AL57))</f>
        <v/>
      </c>
    </row>
    <row r="58">
      <c r="B58" s="5">
        <f>IF(AS51!$C$48="","",AS51!$C$48)</f>
        <v/>
      </c>
      <c r="C58" s="90">
        <f>IF(AS51!$B$48="","",AS51!$B$48)</f>
        <v/>
      </c>
      <c r="D58" s="138">
        <f>IFERROR(AS51!$Q$48,1)</f>
        <v/>
      </c>
      <c r="E58" s="139">
        <f>IF($B58="","",IF(ISNUMBER(AS51!$I$48),AS51!$I$48,'Index Summary'!$C$7))</f>
        <v/>
      </c>
      <c r="F58" s="140">
        <f>IF(F$13="","",IF($B58="","",IFERROR($C58*$D58*IF((Override!$C$4="ON")*(COUNTIFS(Override!$B$11:$B$40,$B58,Override!$D$11:$D$40,1,Override!$E$11:$E$40,"&gt;=0")-COUNTIFS(Override!$B$11:$B$40,$B58,Override!$D$11:$D$40,1,Override!$E$11:$E$40,"&gt;=0",Override!$C$11:$C$40,"MXAU"))&gt;0,SUMIFS(Override!$E$11:$E$40,Override!$B$11:$B$40,$B58,Override!$D$11:$D$40,1)-SUMIFS(Override!$E$11:$E$40,Override!$B$11:$B$40,$B58,Override!$D$11:$D$40,1,Override!$C$11:$C$40,"MXAU"),Override!$C$93)/AS51!$B$3,"")))</f>
        <v/>
      </c>
      <c r="G58" s="140">
        <f>IF(G$13="","",IF($B58="","",IFERROR($C58*$D58*IF((Override!$C$4="ON")*(COUNTIFS(Override!$B$11:$B$40,$B58,Override!$D$11:$D$40,2,Override!$E$11:$E$40,"&gt;=0")-COUNTIFS(Override!$B$11:$B$40,$B58,Override!$D$11:$D$40,2,Override!$E$11:$E$40,"&gt;=0",Override!$C$11:$C$40,"MXAU"))&gt;0,SUMIFS(Override!$E$11:$E$40,Override!$B$11:$B$40,$B58,Override!$D$11:$D$40,2)-SUMIFS(Override!$E$11:$E$40,Override!$B$11:$B$40,$B58,Override!$D$11:$D$40,2,Override!$C$11:$C$40,"MXAU"),Override!$D$93)/AS51!$B$3,"")))</f>
        <v/>
      </c>
      <c r="H58" s="140">
        <f>IF(H$13="","",IF($B58="","",IFERROR($C58*$D58*IF((Override!$C$4="ON")*(COUNTIFS(Override!$B$11:$B$40,$B58,Override!$D$11:$D$40,3,Override!$E$11:$E$40,"&gt;=0")-COUNTIFS(Override!$B$11:$B$40,$B58,Override!$D$11:$D$40,3,Override!$E$11:$E$40,"&gt;=0",Override!$C$11:$C$40,"MXAU"))&gt;0,SUMIFS(Override!$E$11:$E$40,Override!$B$11:$B$40,$B58,Override!$D$11:$D$40,3)-SUMIFS(Override!$E$11:$E$40,Override!$B$11:$B$40,$B58,Override!$D$11:$D$40,3,Override!$C$11:$C$40,"MXAU"),Override!$E$93)/AS51!$B$3,"")))</f>
        <v/>
      </c>
      <c r="I58" s="140">
        <f>IF(I$13="","",IF($B58="","",IFERROR($C58*$D58*IF((Override!$C$4="ON")*(COUNTIFS(Override!$B$11:$B$40,$B58,Override!$D$11:$D$40,4,Override!$E$11:$E$40,"&gt;=0")-COUNTIFS(Override!$B$11:$B$40,$B58,Override!$D$11:$D$40,4,Override!$E$11:$E$40,"&gt;=0",Override!$C$11:$C$40,"MXAU"))&gt;0,SUMIFS(Override!$E$11:$E$40,Override!$B$11:$B$40,$B58,Override!$D$11:$D$40,4)-SUMIFS(Override!$E$11:$E$40,Override!$B$11:$B$40,$B58,Override!$D$11:$D$40,4,Override!$C$11:$C$40,"MXAU"),Override!$F$93)/AS51!$B$3,"")))</f>
        <v/>
      </c>
      <c r="J58" s="140">
        <f>IF(J$13="","",IF($B58="","",IFERROR($C58*$D58*IF((Override!$C$4="ON")*(COUNTIFS(Override!$B$11:$B$40,$B58,Override!$D$11:$D$40,5,Override!$E$11:$E$40,"&gt;=0")-COUNTIFS(Override!$B$11:$B$40,$B58,Override!$D$11:$D$40,5,Override!$E$11:$E$40,"&gt;=0",Override!$C$11:$C$40,"MXAU"))&gt;0,SUMIFS(Override!$E$11:$E$40,Override!$B$11:$B$40,$B58,Override!$D$11:$D$40,5)-SUMIFS(Override!$E$11:$E$40,Override!$B$11:$B$40,$B58,Override!$D$11:$D$40,5,Override!$C$11:$C$40,"MXAU"),Override!$G$93)/AS51!$B$3,"")))</f>
        <v/>
      </c>
      <c r="K58" s="140">
        <f>IF(K$13="","",IF($B58="","",IFERROR($C58*$D58*IF((Override!$C$4="ON")*(COUNTIFS(Override!$B$11:$B$40,$B58,Override!$D$11:$D$40,6,Override!$E$11:$E$40,"&gt;=0")-COUNTIFS(Override!$B$11:$B$40,$B58,Override!$D$11:$D$40,6,Override!$E$11:$E$40,"&gt;=0",Override!$C$11:$C$40,"MXAU"))&gt;0,SUMIFS(Override!$E$11:$E$40,Override!$B$11:$B$40,$B58,Override!$D$11:$D$40,6)-SUMIFS(Override!$E$11:$E$40,Override!$B$11:$B$40,$B58,Override!$D$11:$D$40,6,Override!$C$11:$C$40,"MXAU"),Override!$H$93)/AS51!$B$3,"")))</f>
        <v/>
      </c>
      <c r="L58" s="140">
        <f>IF(L$13="","",IF($B58="","",IFERROR($C58*$D58*IF((Override!$C$4="ON")*(COUNTIFS(Override!$B$11:$B$40,$B58,Override!$D$11:$D$40,7,Override!$E$11:$E$40,"&gt;=0")-COUNTIFS(Override!$B$11:$B$40,$B58,Override!$D$11:$D$40,7,Override!$E$11:$E$40,"&gt;=0",Override!$C$11:$C$40,"MXAU"))&gt;0,SUMIFS(Override!$E$11:$E$40,Override!$B$11:$B$40,$B58,Override!$D$11:$D$40,7)-SUMIFS(Override!$E$11:$E$40,Override!$B$11:$B$40,$B58,Override!$D$11:$D$40,7,Override!$C$11:$C$40,"MXAU"),Override!$I$93)/AS51!$B$3,"")))</f>
        <v/>
      </c>
      <c r="M58" s="140">
        <f>IF(M$13="","",IF($B58="","",IFERROR($C58*$D58*IF((Override!$C$4="ON")*(COUNTIFS(Override!$B$11:$B$40,$B58,Override!$D$11:$D$40,8,Override!$E$11:$E$40,"&gt;=0")-COUNTIFS(Override!$B$11:$B$40,$B58,Override!$D$11:$D$40,8,Override!$E$11:$E$40,"&gt;=0",Override!$C$11:$C$40,"MXAU"))&gt;0,SUMIFS(Override!$E$11:$E$40,Override!$B$11:$B$40,$B58,Override!$D$11:$D$40,8)-SUMIFS(Override!$E$11:$E$40,Override!$B$11:$B$40,$B58,Override!$D$11:$D$40,8,Override!$C$11:$C$40,"MXAU"),Override!$J$93)/AS51!$B$3,"")))</f>
        <v/>
      </c>
      <c r="N58" s="140">
        <f>IF(N$13="","",IF($B58="","",IFERROR($C58*$D58*IF((Override!$C$4="ON")*(COUNTIFS(Override!$B$11:$B$40,$B58,Override!$D$11:$D$40,9,Override!$E$11:$E$40,"&gt;=0")-COUNTIFS(Override!$B$11:$B$40,$B58,Override!$D$11:$D$40,9,Override!$E$11:$E$40,"&gt;=0",Override!$C$11:$C$40,"MXAU"))&gt;0,SUMIFS(Override!$E$11:$E$40,Override!$B$11:$B$40,$B58,Override!$D$11:$D$40,9)-SUMIFS(Override!$E$11:$E$40,Override!$B$11:$B$40,$B58,Override!$D$11:$D$40,9,Override!$C$11:$C$40,"MXAU"),Override!$K$93)/AS51!$B$3,"")))</f>
        <v/>
      </c>
      <c r="O58" s="140">
        <f>IF(O$13="","",IF($B58="","",IFERROR($C58*$D58*IF((Override!$C$4="ON")*(COUNTIFS(Override!$B$11:$B$40,$B58,Override!$D$11:$D$40,10,Override!$E$11:$E$40,"&gt;=0")-COUNTIFS(Override!$B$11:$B$40,$B58,Override!$D$11:$D$40,10,Override!$E$11:$E$40,"&gt;=0",Override!$C$11:$C$40,"MXAU"))&gt;0,SUMIFS(Override!$E$11:$E$40,Override!$B$11:$B$40,$B58,Override!$D$11:$D$40,10)-SUMIFS(Override!$E$11:$E$40,Override!$B$11:$B$40,$B58,Override!$D$11:$D$40,10,Override!$C$11:$C$40,"MXAU"),Override!$L$93)/AS51!$B$3,"")))</f>
        <v/>
      </c>
      <c r="P58" s="140">
        <f>IF(P$13="","",IF($B58="","",IFERROR($C58*$D58*IF((Override!$C$4="ON")*(COUNTIFS(Override!$B$11:$B$40,$B58,Override!$D$11:$D$40,11,Override!$E$11:$E$40,"&gt;=0")-COUNTIFS(Override!$B$11:$B$40,$B58,Override!$D$11:$D$40,11,Override!$E$11:$E$40,"&gt;=0",Override!$C$11:$C$40,"MXAU"))&gt;0,SUMIFS(Override!$E$11:$E$40,Override!$B$11:$B$40,$B58,Override!$D$11:$D$40,11)-SUMIFS(Override!$E$11:$E$40,Override!$B$11:$B$40,$B58,Override!$D$11:$D$40,11,Override!$C$11:$C$40,"MXAU"),Override!$M$93)/AS51!$B$3,"")))</f>
        <v/>
      </c>
      <c r="Q58" s="140">
        <f>IF(Q$13="","",IF($B58="","",IFERROR($C58*$D58*IF((Override!$C$4="ON")*(COUNTIFS(Override!$B$11:$B$40,$B58,Override!$D$11:$D$40,12,Override!$E$11:$E$40,"&gt;=0")-COUNTIFS(Override!$B$11:$B$40,$B58,Override!$D$11:$D$40,12,Override!$E$11:$E$40,"&gt;=0",Override!$C$11:$C$40,"MXAU"))&gt;0,SUMIFS(Override!$E$11:$E$40,Override!$B$11:$B$40,$B58,Override!$D$11:$D$40,12)-SUMIFS(Override!$E$11:$E$40,Override!$B$11:$B$40,$B58,Override!$D$11:$D$40,12,Override!$C$11:$C$40,"MXAU"),Override!$N$93)/AS51!$B$3,"")))</f>
        <v/>
      </c>
      <c r="R58" s="140">
        <f>IF(R$13="","",IF($B58="","",IFERROR($C58*$D58*IF((Override!$C$4="ON")*(COUNTIFS(Override!$B$11:$B$40,$B58,Override!$D$11:$D$40,13,Override!$E$11:$E$40,"&gt;=0")-COUNTIFS(Override!$B$11:$B$40,$B58,Override!$D$11:$D$40,13,Override!$E$11:$E$40,"&gt;=0",Override!$C$11:$C$40,"MXAU"))&gt;0,SUMIFS(Override!$E$11:$E$40,Override!$B$11:$B$40,$B58,Override!$D$11:$D$40,13)-SUMIFS(Override!$E$11:$E$40,Override!$B$11:$B$40,$B58,Override!$D$11:$D$40,13,Override!$C$11:$C$40,"MXAU"),Override!$O$93)/AS51!$B$3,"")))</f>
        <v/>
      </c>
      <c r="S58" s="140">
        <f>IF(S$13="","",IF($B58="","",IFERROR($C58*$D58*IF((Override!$C$4="ON")*(COUNTIFS(Override!$B$11:$B$40,$B58,Override!$D$11:$D$40,14,Override!$E$11:$E$40,"&gt;=0")-COUNTIFS(Override!$B$11:$B$40,$B58,Override!$D$11:$D$40,14,Override!$E$11:$E$40,"&gt;=0",Override!$C$11:$C$40,"MXAU"))&gt;0,SUMIFS(Override!$E$11:$E$40,Override!$B$11:$B$40,$B58,Override!$D$11:$D$40,14)-SUMIFS(Override!$E$11:$E$40,Override!$B$11:$B$40,$B58,Override!$D$11:$D$40,14,Override!$C$11:$C$40,"MXAU"),Override!$P$93)/AS51!$B$3,"")))</f>
        <v/>
      </c>
      <c r="T58" s="140">
        <f>IF(T$13="","",IF($B58="","",IFERROR($C58*$D58*IF((Override!$C$4="ON")*(COUNTIFS(Override!$B$11:$B$40,$B58,Override!$D$11:$D$40,15,Override!$E$11:$E$40,"&gt;=0")-COUNTIFS(Override!$B$11:$B$40,$B58,Override!$D$11:$D$40,15,Override!$E$11:$E$40,"&gt;=0",Override!$C$11:$C$40,"MXAU"))&gt;0,SUMIFS(Override!$E$11:$E$40,Override!$B$11:$B$40,$B58,Override!$D$11:$D$40,15)-SUMIFS(Override!$E$11:$E$40,Override!$B$11:$B$40,$B58,Override!$D$11:$D$40,15,Override!$C$11:$C$40,"MXAU"),Override!$Q$93)/AS51!$B$3,"")))</f>
        <v/>
      </c>
      <c r="U58" s="140">
        <f>IF(U$13="","",IF($B58="","",IFERROR($C58*$D58*IF((Override!$C$4="ON")*(COUNTIFS(Override!$B$11:$B$40,$B58,Override!$D$11:$D$40,16,Override!$E$11:$E$40,"&gt;=0")-COUNTIFS(Override!$B$11:$B$40,$B58,Override!$D$11:$D$40,16,Override!$E$11:$E$40,"&gt;=0",Override!$C$11:$C$40,"MXAU"))&gt;0,SUMIFS(Override!$E$11:$E$40,Override!$B$11:$B$40,$B58,Override!$D$11:$D$40,16)-SUMIFS(Override!$E$11:$E$40,Override!$B$11:$B$40,$B58,Override!$D$11:$D$40,16,Override!$C$11:$C$40,"MXAU"),Override!$R$93)/AS51!$B$3,"")))</f>
        <v/>
      </c>
      <c r="W58" s="140">
        <f>IF(W$13="","",IF($B58="","",IFERROR(F58*$E58/100,"")))</f>
        <v/>
      </c>
      <c r="X58" s="140">
        <f>IF(X$13="","",IF($B58="","",IFERROR(G58*$E58/100,"")))</f>
        <v/>
      </c>
      <c r="Y58" s="140">
        <f>IF(Y$13="","",IF($B58="","",IFERROR(H58*$E58/100,"")))</f>
        <v/>
      </c>
      <c r="Z58" s="140">
        <f>IF(Z$13="","",IF($B58="","",IFERROR(I58*$E58/100,"")))</f>
        <v/>
      </c>
      <c r="AA58" s="140">
        <f>IF(AA$13="","",IF($B58="","",IFERROR(J58*$E58/100,"")))</f>
        <v/>
      </c>
      <c r="AB58" s="140">
        <f>IF(AB$13="","",IF($B58="","",IFERROR(K58*$E58/100,"")))</f>
        <v/>
      </c>
      <c r="AC58" s="140">
        <f>IF(AC$13="","",IF($B58="","",IFERROR(L58*$E58/100,"")))</f>
        <v/>
      </c>
      <c r="AD58" s="140">
        <f>IF(AD$13="","",IF($B58="","",IFERROR(M58*$E58/100,"")))</f>
        <v/>
      </c>
      <c r="AE58" s="140">
        <f>IF(AE$13="","",IF($B58="","",IFERROR(N58*$E58/100,"")))</f>
        <v/>
      </c>
      <c r="AF58" s="140">
        <f>IF(AF$13="","",IF($B58="","",IFERROR(O58*$E58/100,"")))</f>
        <v/>
      </c>
      <c r="AG58" s="140">
        <f>IF(AG$13="","",IF($B58="","",IFERROR(P58*$E58/100,"")))</f>
        <v/>
      </c>
      <c r="AH58" s="140">
        <f>IF(AH$13="","",IF($B58="","",IFERROR(Q58*$E58/100,"")))</f>
        <v/>
      </c>
      <c r="AI58" s="140">
        <f>IF(AI$13="","",IF($B58="","",IFERROR(R58*$E58/100,"")))</f>
        <v/>
      </c>
      <c r="AJ58" s="140">
        <f>IF(AJ$13="","",IF($B58="","",IFERROR(S58*$E58/100,"")))</f>
        <v/>
      </c>
      <c r="AK58" s="140">
        <f>IF(AK$13="","",IF($B58="","",IFERROR(T58*$E58/100,"")))</f>
        <v/>
      </c>
      <c r="AL58" s="140">
        <f>IF(AL$13="","",IF($B58="","",IFERROR(U58*$E58/100,"")))</f>
        <v/>
      </c>
      <c r="AN58" s="140">
        <f>IF($B58="","",SUMIF($F$13:$U$13,"&lt;="&amp;Sector!$D$51,$F58:$U58))</f>
        <v/>
      </c>
      <c r="AO58" s="140">
        <f>IF($B58="","",SUMIF($W$13:$AL$13,"&lt;="&amp;Sector!$D$51,$W58:$AL58))</f>
        <v/>
      </c>
    </row>
    <row r="59">
      <c r="B59" s="5">
        <f>IF(AS51!$C$49="","",AS51!$C$49)</f>
        <v/>
      </c>
      <c r="C59" s="90">
        <f>IF(AS51!$B$49="","",AS51!$B$49)</f>
        <v/>
      </c>
      <c r="D59" s="138">
        <f>IFERROR(AS51!$Q$49,1)</f>
        <v/>
      </c>
      <c r="E59" s="139">
        <f>IF($B59="","",IF(ISNUMBER(AS51!$I$49),AS51!$I$49,'Index Summary'!$C$7))</f>
        <v/>
      </c>
      <c r="F59" s="140">
        <f>IF(F$13="","",IF($B59="","",IFERROR($C59*$D59*IF((Override!$C$4="ON")*(COUNTIFS(Override!$B$11:$B$40,$B59,Override!$D$11:$D$40,1,Override!$E$11:$E$40,"&gt;=0")-COUNTIFS(Override!$B$11:$B$40,$B59,Override!$D$11:$D$40,1,Override!$E$11:$E$40,"&gt;=0",Override!$C$11:$C$40,"MXAU"))&gt;0,SUMIFS(Override!$E$11:$E$40,Override!$B$11:$B$40,$B59,Override!$D$11:$D$40,1)-SUMIFS(Override!$E$11:$E$40,Override!$B$11:$B$40,$B59,Override!$D$11:$D$40,1,Override!$C$11:$C$40,"MXAU"),Override!$C$94)/AS51!$B$3,"")))</f>
        <v/>
      </c>
      <c r="G59" s="140">
        <f>IF(G$13="","",IF($B59="","",IFERROR($C59*$D59*IF((Override!$C$4="ON")*(COUNTIFS(Override!$B$11:$B$40,$B59,Override!$D$11:$D$40,2,Override!$E$11:$E$40,"&gt;=0")-COUNTIFS(Override!$B$11:$B$40,$B59,Override!$D$11:$D$40,2,Override!$E$11:$E$40,"&gt;=0",Override!$C$11:$C$40,"MXAU"))&gt;0,SUMIFS(Override!$E$11:$E$40,Override!$B$11:$B$40,$B59,Override!$D$11:$D$40,2)-SUMIFS(Override!$E$11:$E$40,Override!$B$11:$B$40,$B59,Override!$D$11:$D$40,2,Override!$C$11:$C$40,"MXAU"),Override!$D$94)/AS51!$B$3,"")))</f>
        <v/>
      </c>
      <c r="H59" s="140">
        <f>IF(H$13="","",IF($B59="","",IFERROR($C59*$D59*IF((Override!$C$4="ON")*(COUNTIFS(Override!$B$11:$B$40,$B59,Override!$D$11:$D$40,3,Override!$E$11:$E$40,"&gt;=0")-COUNTIFS(Override!$B$11:$B$40,$B59,Override!$D$11:$D$40,3,Override!$E$11:$E$40,"&gt;=0",Override!$C$11:$C$40,"MXAU"))&gt;0,SUMIFS(Override!$E$11:$E$40,Override!$B$11:$B$40,$B59,Override!$D$11:$D$40,3)-SUMIFS(Override!$E$11:$E$40,Override!$B$11:$B$40,$B59,Override!$D$11:$D$40,3,Override!$C$11:$C$40,"MXAU"),Override!$E$94)/AS51!$B$3,"")))</f>
        <v/>
      </c>
      <c r="I59" s="140">
        <f>IF(I$13="","",IF($B59="","",IFERROR($C59*$D59*IF((Override!$C$4="ON")*(COUNTIFS(Override!$B$11:$B$40,$B59,Override!$D$11:$D$40,4,Override!$E$11:$E$40,"&gt;=0")-COUNTIFS(Override!$B$11:$B$40,$B59,Override!$D$11:$D$40,4,Override!$E$11:$E$40,"&gt;=0",Override!$C$11:$C$40,"MXAU"))&gt;0,SUMIFS(Override!$E$11:$E$40,Override!$B$11:$B$40,$B59,Override!$D$11:$D$40,4)-SUMIFS(Override!$E$11:$E$40,Override!$B$11:$B$40,$B59,Override!$D$11:$D$40,4,Override!$C$11:$C$40,"MXAU"),Override!$F$94)/AS51!$B$3,"")))</f>
        <v/>
      </c>
      <c r="J59" s="140">
        <f>IF(J$13="","",IF($B59="","",IFERROR($C59*$D59*IF((Override!$C$4="ON")*(COUNTIFS(Override!$B$11:$B$40,$B59,Override!$D$11:$D$40,5,Override!$E$11:$E$40,"&gt;=0")-COUNTIFS(Override!$B$11:$B$40,$B59,Override!$D$11:$D$40,5,Override!$E$11:$E$40,"&gt;=0",Override!$C$11:$C$40,"MXAU"))&gt;0,SUMIFS(Override!$E$11:$E$40,Override!$B$11:$B$40,$B59,Override!$D$11:$D$40,5)-SUMIFS(Override!$E$11:$E$40,Override!$B$11:$B$40,$B59,Override!$D$11:$D$40,5,Override!$C$11:$C$40,"MXAU"),Override!$G$94)/AS51!$B$3,"")))</f>
        <v/>
      </c>
      <c r="K59" s="140">
        <f>IF(K$13="","",IF($B59="","",IFERROR($C59*$D59*IF((Override!$C$4="ON")*(COUNTIFS(Override!$B$11:$B$40,$B59,Override!$D$11:$D$40,6,Override!$E$11:$E$40,"&gt;=0")-COUNTIFS(Override!$B$11:$B$40,$B59,Override!$D$11:$D$40,6,Override!$E$11:$E$40,"&gt;=0",Override!$C$11:$C$40,"MXAU"))&gt;0,SUMIFS(Override!$E$11:$E$40,Override!$B$11:$B$40,$B59,Override!$D$11:$D$40,6)-SUMIFS(Override!$E$11:$E$40,Override!$B$11:$B$40,$B59,Override!$D$11:$D$40,6,Override!$C$11:$C$40,"MXAU"),Override!$H$94)/AS51!$B$3,"")))</f>
        <v/>
      </c>
      <c r="L59" s="140">
        <f>IF(L$13="","",IF($B59="","",IFERROR($C59*$D59*IF((Override!$C$4="ON")*(COUNTIFS(Override!$B$11:$B$40,$B59,Override!$D$11:$D$40,7,Override!$E$11:$E$40,"&gt;=0")-COUNTIFS(Override!$B$11:$B$40,$B59,Override!$D$11:$D$40,7,Override!$E$11:$E$40,"&gt;=0",Override!$C$11:$C$40,"MXAU"))&gt;0,SUMIFS(Override!$E$11:$E$40,Override!$B$11:$B$40,$B59,Override!$D$11:$D$40,7)-SUMIFS(Override!$E$11:$E$40,Override!$B$11:$B$40,$B59,Override!$D$11:$D$40,7,Override!$C$11:$C$40,"MXAU"),Override!$I$94)/AS51!$B$3,"")))</f>
        <v/>
      </c>
      <c r="M59" s="140">
        <f>IF(M$13="","",IF($B59="","",IFERROR($C59*$D59*IF((Override!$C$4="ON")*(COUNTIFS(Override!$B$11:$B$40,$B59,Override!$D$11:$D$40,8,Override!$E$11:$E$40,"&gt;=0")-COUNTIFS(Override!$B$11:$B$40,$B59,Override!$D$11:$D$40,8,Override!$E$11:$E$40,"&gt;=0",Override!$C$11:$C$40,"MXAU"))&gt;0,SUMIFS(Override!$E$11:$E$40,Override!$B$11:$B$40,$B59,Override!$D$11:$D$40,8)-SUMIFS(Override!$E$11:$E$40,Override!$B$11:$B$40,$B59,Override!$D$11:$D$40,8,Override!$C$11:$C$40,"MXAU"),Override!$J$94)/AS51!$B$3,"")))</f>
        <v/>
      </c>
      <c r="N59" s="140">
        <f>IF(N$13="","",IF($B59="","",IFERROR($C59*$D59*IF((Override!$C$4="ON")*(COUNTIFS(Override!$B$11:$B$40,$B59,Override!$D$11:$D$40,9,Override!$E$11:$E$40,"&gt;=0")-COUNTIFS(Override!$B$11:$B$40,$B59,Override!$D$11:$D$40,9,Override!$E$11:$E$40,"&gt;=0",Override!$C$11:$C$40,"MXAU"))&gt;0,SUMIFS(Override!$E$11:$E$40,Override!$B$11:$B$40,$B59,Override!$D$11:$D$40,9)-SUMIFS(Override!$E$11:$E$40,Override!$B$11:$B$40,$B59,Override!$D$11:$D$40,9,Override!$C$11:$C$40,"MXAU"),Override!$K$94)/AS51!$B$3,"")))</f>
        <v/>
      </c>
      <c r="O59" s="140">
        <f>IF(O$13="","",IF($B59="","",IFERROR($C59*$D59*IF((Override!$C$4="ON")*(COUNTIFS(Override!$B$11:$B$40,$B59,Override!$D$11:$D$40,10,Override!$E$11:$E$40,"&gt;=0")-COUNTIFS(Override!$B$11:$B$40,$B59,Override!$D$11:$D$40,10,Override!$E$11:$E$40,"&gt;=0",Override!$C$11:$C$40,"MXAU"))&gt;0,SUMIFS(Override!$E$11:$E$40,Override!$B$11:$B$40,$B59,Override!$D$11:$D$40,10)-SUMIFS(Override!$E$11:$E$40,Override!$B$11:$B$40,$B59,Override!$D$11:$D$40,10,Override!$C$11:$C$40,"MXAU"),Override!$L$94)/AS51!$B$3,"")))</f>
        <v/>
      </c>
      <c r="P59" s="140">
        <f>IF(P$13="","",IF($B59="","",IFERROR($C59*$D59*IF((Override!$C$4="ON")*(COUNTIFS(Override!$B$11:$B$40,$B59,Override!$D$11:$D$40,11,Override!$E$11:$E$40,"&gt;=0")-COUNTIFS(Override!$B$11:$B$40,$B59,Override!$D$11:$D$40,11,Override!$E$11:$E$40,"&gt;=0",Override!$C$11:$C$40,"MXAU"))&gt;0,SUMIFS(Override!$E$11:$E$40,Override!$B$11:$B$40,$B59,Override!$D$11:$D$40,11)-SUMIFS(Override!$E$11:$E$40,Override!$B$11:$B$40,$B59,Override!$D$11:$D$40,11,Override!$C$11:$C$40,"MXAU"),Override!$M$94)/AS51!$B$3,"")))</f>
        <v/>
      </c>
      <c r="Q59" s="140">
        <f>IF(Q$13="","",IF($B59="","",IFERROR($C59*$D59*IF((Override!$C$4="ON")*(COUNTIFS(Override!$B$11:$B$40,$B59,Override!$D$11:$D$40,12,Override!$E$11:$E$40,"&gt;=0")-COUNTIFS(Override!$B$11:$B$40,$B59,Override!$D$11:$D$40,12,Override!$E$11:$E$40,"&gt;=0",Override!$C$11:$C$40,"MXAU"))&gt;0,SUMIFS(Override!$E$11:$E$40,Override!$B$11:$B$40,$B59,Override!$D$11:$D$40,12)-SUMIFS(Override!$E$11:$E$40,Override!$B$11:$B$40,$B59,Override!$D$11:$D$40,12,Override!$C$11:$C$40,"MXAU"),Override!$N$94)/AS51!$B$3,"")))</f>
        <v/>
      </c>
      <c r="R59" s="140">
        <f>IF(R$13="","",IF($B59="","",IFERROR($C59*$D59*IF((Override!$C$4="ON")*(COUNTIFS(Override!$B$11:$B$40,$B59,Override!$D$11:$D$40,13,Override!$E$11:$E$40,"&gt;=0")-COUNTIFS(Override!$B$11:$B$40,$B59,Override!$D$11:$D$40,13,Override!$E$11:$E$40,"&gt;=0",Override!$C$11:$C$40,"MXAU"))&gt;0,SUMIFS(Override!$E$11:$E$40,Override!$B$11:$B$40,$B59,Override!$D$11:$D$40,13)-SUMIFS(Override!$E$11:$E$40,Override!$B$11:$B$40,$B59,Override!$D$11:$D$40,13,Override!$C$11:$C$40,"MXAU"),Override!$O$94)/AS51!$B$3,"")))</f>
        <v/>
      </c>
      <c r="S59" s="140">
        <f>IF(S$13="","",IF($B59="","",IFERROR($C59*$D59*IF((Override!$C$4="ON")*(COUNTIFS(Override!$B$11:$B$40,$B59,Override!$D$11:$D$40,14,Override!$E$11:$E$40,"&gt;=0")-COUNTIFS(Override!$B$11:$B$40,$B59,Override!$D$11:$D$40,14,Override!$E$11:$E$40,"&gt;=0",Override!$C$11:$C$40,"MXAU"))&gt;0,SUMIFS(Override!$E$11:$E$40,Override!$B$11:$B$40,$B59,Override!$D$11:$D$40,14)-SUMIFS(Override!$E$11:$E$40,Override!$B$11:$B$40,$B59,Override!$D$11:$D$40,14,Override!$C$11:$C$40,"MXAU"),Override!$P$94)/AS51!$B$3,"")))</f>
        <v/>
      </c>
      <c r="T59" s="140">
        <f>IF(T$13="","",IF($B59="","",IFERROR($C59*$D59*IF((Override!$C$4="ON")*(COUNTIFS(Override!$B$11:$B$40,$B59,Override!$D$11:$D$40,15,Override!$E$11:$E$40,"&gt;=0")-COUNTIFS(Override!$B$11:$B$40,$B59,Override!$D$11:$D$40,15,Override!$E$11:$E$40,"&gt;=0",Override!$C$11:$C$40,"MXAU"))&gt;0,SUMIFS(Override!$E$11:$E$40,Override!$B$11:$B$40,$B59,Override!$D$11:$D$40,15)-SUMIFS(Override!$E$11:$E$40,Override!$B$11:$B$40,$B59,Override!$D$11:$D$40,15,Override!$C$11:$C$40,"MXAU"),Override!$Q$94)/AS51!$B$3,"")))</f>
        <v/>
      </c>
      <c r="U59" s="140">
        <f>IF(U$13="","",IF($B59="","",IFERROR($C59*$D59*IF((Override!$C$4="ON")*(COUNTIFS(Override!$B$11:$B$40,$B59,Override!$D$11:$D$40,16,Override!$E$11:$E$40,"&gt;=0")-COUNTIFS(Override!$B$11:$B$40,$B59,Override!$D$11:$D$40,16,Override!$E$11:$E$40,"&gt;=0",Override!$C$11:$C$40,"MXAU"))&gt;0,SUMIFS(Override!$E$11:$E$40,Override!$B$11:$B$40,$B59,Override!$D$11:$D$40,16)-SUMIFS(Override!$E$11:$E$40,Override!$B$11:$B$40,$B59,Override!$D$11:$D$40,16,Override!$C$11:$C$40,"MXAU"),Override!$R$94)/AS51!$B$3,"")))</f>
        <v/>
      </c>
      <c r="W59" s="140">
        <f>IF(W$13="","",IF($B59="","",IFERROR(F59*$E59/100,"")))</f>
        <v/>
      </c>
      <c r="X59" s="140">
        <f>IF(X$13="","",IF($B59="","",IFERROR(G59*$E59/100,"")))</f>
        <v/>
      </c>
      <c r="Y59" s="140">
        <f>IF(Y$13="","",IF($B59="","",IFERROR(H59*$E59/100,"")))</f>
        <v/>
      </c>
      <c r="Z59" s="140">
        <f>IF(Z$13="","",IF($B59="","",IFERROR(I59*$E59/100,"")))</f>
        <v/>
      </c>
      <c r="AA59" s="140">
        <f>IF(AA$13="","",IF($B59="","",IFERROR(J59*$E59/100,"")))</f>
        <v/>
      </c>
      <c r="AB59" s="140">
        <f>IF(AB$13="","",IF($B59="","",IFERROR(K59*$E59/100,"")))</f>
        <v/>
      </c>
      <c r="AC59" s="140">
        <f>IF(AC$13="","",IF($B59="","",IFERROR(L59*$E59/100,"")))</f>
        <v/>
      </c>
      <c r="AD59" s="140">
        <f>IF(AD$13="","",IF($B59="","",IFERROR(M59*$E59/100,"")))</f>
        <v/>
      </c>
      <c r="AE59" s="140">
        <f>IF(AE$13="","",IF($B59="","",IFERROR(N59*$E59/100,"")))</f>
        <v/>
      </c>
      <c r="AF59" s="140">
        <f>IF(AF$13="","",IF($B59="","",IFERROR(O59*$E59/100,"")))</f>
        <v/>
      </c>
      <c r="AG59" s="140">
        <f>IF(AG$13="","",IF($B59="","",IFERROR(P59*$E59/100,"")))</f>
        <v/>
      </c>
      <c r="AH59" s="140">
        <f>IF(AH$13="","",IF($B59="","",IFERROR(Q59*$E59/100,"")))</f>
        <v/>
      </c>
      <c r="AI59" s="140">
        <f>IF(AI$13="","",IF($B59="","",IFERROR(R59*$E59/100,"")))</f>
        <v/>
      </c>
      <c r="AJ59" s="140">
        <f>IF(AJ$13="","",IF($B59="","",IFERROR(S59*$E59/100,"")))</f>
        <v/>
      </c>
      <c r="AK59" s="140">
        <f>IF(AK$13="","",IF($B59="","",IFERROR(T59*$E59/100,"")))</f>
        <v/>
      </c>
      <c r="AL59" s="140">
        <f>IF(AL$13="","",IF($B59="","",IFERROR(U59*$E59/100,"")))</f>
        <v/>
      </c>
      <c r="AN59" s="140">
        <f>IF($B59="","",SUMIF($F$13:$U$13,"&lt;="&amp;Sector!$D$51,$F59:$U59))</f>
        <v/>
      </c>
      <c r="AO59" s="140">
        <f>IF($B59="","",SUMIF($W$13:$AL$13,"&lt;="&amp;Sector!$D$51,$W59:$AL59))</f>
        <v/>
      </c>
    </row>
    <row r="60">
      <c r="B60" s="5">
        <f>IF(AS51!$C$50="","",AS51!$C$50)</f>
        <v/>
      </c>
      <c r="C60" s="90">
        <f>IF(AS51!$B$50="","",AS51!$B$50)</f>
        <v/>
      </c>
      <c r="D60" s="138">
        <f>IFERROR(AS51!$Q$50,1)</f>
        <v/>
      </c>
      <c r="E60" s="139">
        <f>IF($B60="","",IF(ISNUMBER(AS51!$I$50),AS51!$I$50,'Index Summary'!$C$7))</f>
        <v/>
      </c>
      <c r="F60" s="140">
        <f>IF(F$13="","",IF($B60="","",IFERROR($C60*$D60*IF((Override!$C$4="ON")*(COUNTIFS(Override!$B$11:$B$40,$B60,Override!$D$11:$D$40,1,Override!$E$11:$E$40,"&gt;=0")-COUNTIFS(Override!$B$11:$B$40,$B60,Override!$D$11:$D$40,1,Override!$E$11:$E$40,"&gt;=0",Override!$C$11:$C$40,"MXAU"))&gt;0,SUMIFS(Override!$E$11:$E$40,Override!$B$11:$B$40,$B60,Override!$D$11:$D$40,1)-SUMIFS(Override!$E$11:$E$40,Override!$B$11:$B$40,$B60,Override!$D$11:$D$40,1,Override!$C$11:$C$40,"MXAU"),Override!$C$95)/AS51!$B$3,"")))</f>
        <v/>
      </c>
      <c r="G60" s="140">
        <f>IF(G$13="","",IF($B60="","",IFERROR($C60*$D60*IF((Override!$C$4="ON")*(COUNTIFS(Override!$B$11:$B$40,$B60,Override!$D$11:$D$40,2,Override!$E$11:$E$40,"&gt;=0")-COUNTIFS(Override!$B$11:$B$40,$B60,Override!$D$11:$D$40,2,Override!$E$11:$E$40,"&gt;=0",Override!$C$11:$C$40,"MXAU"))&gt;0,SUMIFS(Override!$E$11:$E$40,Override!$B$11:$B$40,$B60,Override!$D$11:$D$40,2)-SUMIFS(Override!$E$11:$E$40,Override!$B$11:$B$40,$B60,Override!$D$11:$D$40,2,Override!$C$11:$C$40,"MXAU"),Override!$D$95)/AS51!$B$3,"")))</f>
        <v/>
      </c>
      <c r="H60" s="140">
        <f>IF(H$13="","",IF($B60="","",IFERROR($C60*$D60*IF((Override!$C$4="ON")*(COUNTIFS(Override!$B$11:$B$40,$B60,Override!$D$11:$D$40,3,Override!$E$11:$E$40,"&gt;=0")-COUNTIFS(Override!$B$11:$B$40,$B60,Override!$D$11:$D$40,3,Override!$E$11:$E$40,"&gt;=0",Override!$C$11:$C$40,"MXAU"))&gt;0,SUMIFS(Override!$E$11:$E$40,Override!$B$11:$B$40,$B60,Override!$D$11:$D$40,3)-SUMIFS(Override!$E$11:$E$40,Override!$B$11:$B$40,$B60,Override!$D$11:$D$40,3,Override!$C$11:$C$40,"MXAU"),Override!$E$95)/AS51!$B$3,"")))</f>
        <v/>
      </c>
      <c r="I60" s="140">
        <f>IF(I$13="","",IF($B60="","",IFERROR($C60*$D60*IF((Override!$C$4="ON")*(COUNTIFS(Override!$B$11:$B$40,$B60,Override!$D$11:$D$40,4,Override!$E$11:$E$40,"&gt;=0")-COUNTIFS(Override!$B$11:$B$40,$B60,Override!$D$11:$D$40,4,Override!$E$11:$E$40,"&gt;=0",Override!$C$11:$C$40,"MXAU"))&gt;0,SUMIFS(Override!$E$11:$E$40,Override!$B$11:$B$40,$B60,Override!$D$11:$D$40,4)-SUMIFS(Override!$E$11:$E$40,Override!$B$11:$B$40,$B60,Override!$D$11:$D$40,4,Override!$C$11:$C$40,"MXAU"),Override!$F$95)/AS51!$B$3,"")))</f>
        <v/>
      </c>
      <c r="J60" s="140">
        <f>IF(J$13="","",IF($B60="","",IFERROR($C60*$D60*IF((Override!$C$4="ON")*(COUNTIFS(Override!$B$11:$B$40,$B60,Override!$D$11:$D$40,5,Override!$E$11:$E$40,"&gt;=0")-COUNTIFS(Override!$B$11:$B$40,$B60,Override!$D$11:$D$40,5,Override!$E$11:$E$40,"&gt;=0",Override!$C$11:$C$40,"MXAU"))&gt;0,SUMIFS(Override!$E$11:$E$40,Override!$B$11:$B$40,$B60,Override!$D$11:$D$40,5)-SUMIFS(Override!$E$11:$E$40,Override!$B$11:$B$40,$B60,Override!$D$11:$D$40,5,Override!$C$11:$C$40,"MXAU"),Override!$G$95)/AS51!$B$3,"")))</f>
        <v/>
      </c>
      <c r="K60" s="140">
        <f>IF(K$13="","",IF($B60="","",IFERROR($C60*$D60*IF((Override!$C$4="ON")*(COUNTIFS(Override!$B$11:$B$40,$B60,Override!$D$11:$D$40,6,Override!$E$11:$E$40,"&gt;=0")-COUNTIFS(Override!$B$11:$B$40,$B60,Override!$D$11:$D$40,6,Override!$E$11:$E$40,"&gt;=0",Override!$C$11:$C$40,"MXAU"))&gt;0,SUMIFS(Override!$E$11:$E$40,Override!$B$11:$B$40,$B60,Override!$D$11:$D$40,6)-SUMIFS(Override!$E$11:$E$40,Override!$B$11:$B$40,$B60,Override!$D$11:$D$40,6,Override!$C$11:$C$40,"MXAU"),Override!$H$95)/AS51!$B$3,"")))</f>
        <v/>
      </c>
      <c r="L60" s="140">
        <f>IF(L$13="","",IF($B60="","",IFERROR($C60*$D60*IF((Override!$C$4="ON")*(COUNTIFS(Override!$B$11:$B$40,$B60,Override!$D$11:$D$40,7,Override!$E$11:$E$40,"&gt;=0")-COUNTIFS(Override!$B$11:$B$40,$B60,Override!$D$11:$D$40,7,Override!$E$11:$E$40,"&gt;=0",Override!$C$11:$C$40,"MXAU"))&gt;0,SUMIFS(Override!$E$11:$E$40,Override!$B$11:$B$40,$B60,Override!$D$11:$D$40,7)-SUMIFS(Override!$E$11:$E$40,Override!$B$11:$B$40,$B60,Override!$D$11:$D$40,7,Override!$C$11:$C$40,"MXAU"),Override!$I$95)/AS51!$B$3,"")))</f>
        <v/>
      </c>
      <c r="M60" s="140">
        <f>IF(M$13="","",IF($B60="","",IFERROR($C60*$D60*IF((Override!$C$4="ON")*(COUNTIFS(Override!$B$11:$B$40,$B60,Override!$D$11:$D$40,8,Override!$E$11:$E$40,"&gt;=0")-COUNTIFS(Override!$B$11:$B$40,$B60,Override!$D$11:$D$40,8,Override!$E$11:$E$40,"&gt;=0",Override!$C$11:$C$40,"MXAU"))&gt;0,SUMIFS(Override!$E$11:$E$40,Override!$B$11:$B$40,$B60,Override!$D$11:$D$40,8)-SUMIFS(Override!$E$11:$E$40,Override!$B$11:$B$40,$B60,Override!$D$11:$D$40,8,Override!$C$11:$C$40,"MXAU"),Override!$J$95)/AS51!$B$3,"")))</f>
        <v/>
      </c>
      <c r="N60" s="140">
        <f>IF(N$13="","",IF($B60="","",IFERROR($C60*$D60*IF((Override!$C$4="ON")*(COUNTIFS(Override!$B$11:$B$40,$B60,Override!$D$11:$D$40,9,Override!$E$11:$E$40,"&gt;=0")-COUNTIFS(Override!$B$11:$B$40,$B60,Override!$D$11:$D$40,9,Override!$E$11:$E$40,"&gt;=0",Override!$C$11:$C$40,"MXAU"))&gt;0,SUMIFS(Override!$E$11:$E$40,Override!$B$11:$B$40,$B60,Override!$D$11:$D$40,9)-SUMIFS(Override!$E$11:$E$40,Override!$B$11:$B$40,$B60,Override!$D$11:$D$40,9,Override!$C$11:$C$40,"MXAU"),Override!$K$95)/AS51!$B$3,"")))</f>
        <v/>
      </c>
      <c r="O60" s="140">
        <f>IF(O$13="","",IF($B60="","",IFERROR($C60*$D60*IF((Override!$C$4="ON")*(COUNTIFS(Override!$B$11:$B$40,$B60,Override!$D$11:$D$40,10,Override!$E$11:$E$40,"&gt;=0")-COUNTIFS(Override!$B$11:$B$40,$B60,Override!$D$11:$D$40,10,Override!$E$11:$E$40,"&gt;=0",Override!$C$11:$C$40,"MXAU"))&gt;0,SUMIFS(Override!$E$11:$E$40,Override!$B$11:$B$40,$B60,Override!$D$11:$D$40,10)-SUMIFS(Override!$E$11:$E$40,Override!$B$11:$B$40,$B60,Override!$D$11:$D$40,10,Override!$C$11:$C$40,"MXAU"),Override!$L$95)/AS51!$B$3,"")))</f>
        <v/>
      </c>
      <c r="P60" s="140">
        <f>IF(P$13="","",IF($B60="","",IFERROR($C60*$D60*IF((Override!$C$4="ON")*(COUNTIFS(Override!$B$11:$B$40,$B60,Override!$D$11:$D$40,11,Override!$E$11:$E$40,"&gt;=0")-COUNTIFS(Override!$B$11:$B$40,$B60,Override!$D$11:$D$40,11,Override!$E$11:$E$40,"&gt;=0",Override!$C$11:$C$40,"MXAU"))&gt;0,SUMIFS(Override!$E$11:$E$40,Override!$B$11:$B$40,$B60,Override!$D$11:$D$40,11)-SUMIFS(Override!$E$11:$E$40,Override!$B$11:$B$40,$B60,Override!$D$11:$D$40,11,Override!$C$11:$C$40,"MXAU"),Override!$M$95)/AS51!$B$3,"")))</f>
        <v/>
      </c>
      <c r="Q60" s="140">
        <f>IF(Q$13="","",IF($B60="","",IFERROR($C60*$D60*IF((Override!$C$4="ON")*(COUNTIFS(Override!$B$11:$B$40,$B60,Override!$D$11:$D$40,12,Override!$E$11:$E$40,"&gt;=0")-COUNTIFS(Override!$B$11:$B$40,$B60,Override!$D$11:$D$40,12,Override!$E$11:$E$40,"&gt;=0",Override!$C$11:$C$40,"MXAU"))&gt;0,SUMIFS(Override!$E$11:$E$40,Override!$B$11:$B$40,$B60,Override!$D$11:$D$40,12)-SUMIFS(Override!$E$11:$E$40,Override!$B$11:$B$40,$B60,Override!$D$11:$D$40,12,Override!$C$11:$C$40,"MXAU"),Override!$N$95)/AS51!$B$3,"")))</f>
        <v/>
      </c>
      <c r="R60" s="140">
        <f>IF(R$13="","",IF($B60="","",IFERROR($C60*$D60*IF((Override!$C$4="ON")*(COUNTIFS(Override!$B$11:$B$40,$B60,Override!$D$11:$D$40,13,Override!$E$11:$E$40,"&gt;=0")-COUNTIFS(Override!$B$11:$B$40,$B60,Override!$D$11:$D$40,13,Override!$E$11:$E$40,"&gt;=0",Override!$C$11:$C$40,"MXAU"))&gt;0,SUMIFS(Override!$E$11:$E$40,Override!$B$11:$B$40,$B60,Override!$D$11:$D$40,13)-SUMIFS(Override!$E$11:$E$40,Override!$B$11:$B$40,$B60,Override!$D$11:$D$40,13,Override!$C$11:$C$40,"MXAU"),Override!$O$95)/AS51!$B$3,"")))</f>
        <v/>
      </c>
      <c r="S60" s="140">
        <f>IF(S$13="","",IF($B60="","",IFERROR($C60*$D60*IF((Override!$C$4="ON")*(COUNTIFS(Override!$B$11:$B$40,$B60,Override!$D$11:$D$40,14,Override!$E$11:$E$40,"&gt;=0")-COUNTIFS(Override!$B$11:$B$40,$B60,Override!$D$11:$D$40,14,Override!$E$11:$E$40,"&gt;=0",Override!$C$11:$C$40,"MXAU"))&gt;0,SUMIFS(Override!$E$11:$E$40,Override!$B$11:$B$40,$B60,Override!$D$11:$D$40,14)-SUMIFS(Override!$E$11:$E$40,Override!$B$11:$B$40,$B60,Override!$D$11:$D$40,14,Override!$C$11:$C$40,"MXAU"),Override!$P$95)/AS51!$B$3,"")))</f>
        <v/>
      </c>
      <c r="T60" s="140">
        <f>IF(T$13="","",IF($B60="","",IFERROR($C60*$D60*IF((Override!$C$4="ON")*(COUNTIFS(Override!$B$11:$B$40,$B60,Override!$D$11:$D$40,15,Override!$E$11:$E$40,"&gt;=0")-COUNTIFS(Override!$B$11:$B$40,$B60,Override!$D$11:$D$40,15,Override!$E$11:$E$40,"&gt;=0",Override!$C$11:$C$40,"MXAU"))&gt;0,SUMIFS(Override!$E$11:$E$40,Override!$B$11:$B$40,$B60,Override!$D$11:$D$40,15)-SUMIFS(Override!$E$11:$E$40,Override!$B$11:$B$40,$B60,Override!$D$11:$D$40,15,Override!$C$11:$C$40,"MXAU"),Override!$Q$95)/AS51!$B$3,"")))</f>
        <v/>
      </c>
      <c r="U60" s="140">
        <f>IF(U$13="","",IF($B60="","",IFERROR($C60*$D60*IF((Override!$C$4="ON")*(COUNTIFS(Override!$B$11:$B$40,$B60,Override!$D$11:$D$40,16,Override!$E$11:$E$40,"&gt;=0")-COUNTIFS(Override!$B$11:$B$40,$B60,Override!$D$11:$D$40,16,Override!$E$11:$E$40,"&gt;=0",Override!$C$11:$C$40,"MXAU"))&gt;0,SUMIFS(Override!$E$11:$E$40,Override!$B$11:$B$40,$B60,Override!$D$11:$D$40,16)-SUMIFS(Override!$E$11:$E$40,Override!$B$11:$B$40,$B60,Override!$D$11:$D$40,16,Override!$C$11:$C$40,"MXAU"),Override!$R$95)/AS51!$B$3,"")))</f>
        <v/>
      </c>
      <c r="W60" s="140">
        <f>IF(W$13="","",IF($B60="","",IFERROR(F60*$E60/100,"")))</f>
        <v/>
      </c>
      <c r="X60" s="140">
        <f>IF(X$13="","",IF($B60="","",IFERROR(G60*$E60/100,"")))</f>
        <v/>
      </c>
      <c r="Y60" s="140">
        <f>IF(Y$13="","",IF($B60="","",IFERROR(H60*$E60/100,"")))</f>
        <v/>
      </c>
      <c r="Z60" s="140">
        <f>IF(Z$13="","",IF($B60="","",IFERROR(I60*$E60/100,"")))</f>
        <v/>
      </c>
      <c r="AA60" s="140">
        <f>IF(AA$13="","",IF($B60="","",IFERROR(J60*$E60/100,"")))</f>
        <v/>
      </c>
      <c r="AB60" s="140">
        <f>IF(AB$13="","",IF($B60="","",IFERROR(K60*$E60/100,"")))</f>
        <v/>
      </c>
      <c r="AC60" s="140">
        <f>IF(AC$13="","",IF($B60="","",IFERROR(L60*$E60/100,"")))</f>
        <v/>
      </c>
      <c r="AD60" s="140">
        <f>IF(AD$13="","",IF($B60="","",IFERROR(M60*$E60/100,"")))</f>
        <v/>
      </c>
      <c r="AE60" s="140">
        <f>IF(AE$13="","",IF($B60="","",IFERROR(N60*$E60/100,"")))</f>
        <v/>
      </c>
      <c r="AF60" s="140">
        <f>IF(AF$13="","",IF($B60="","",IFERROR(O60*$E60/100,"")))</f>
        <v/>
      </c>
      <c r="AG60" s="140">
        <f>IF(AG$13="","",IF($B60="","",IFERROR(P60*$E60/100,"")))</f>
        <v/>
      </c>
      <c r="AH60" s="140">
        <f>IF(AH$13="","",IF($B60="","",IFERROR(Q60*$E60/100,"")))</f>
        <v/>
      </c>
      <c r="AI60" s="140">
        <f>IF(AI$13="","",IF($B60="","",IFERROR(R60*$E60/100,"")))</f>
        <v/>
      </c>
      <c r="AJ60" s="140">
        <f>IF(AJ$13="","",IF($B60="","",IFERROR(S60*$E60/100,"")))</f>
        <v/>
      </c>
      <c r="AK60" s="140">
        <f>IF(AK$13="","",IF($B60="","",IFERROR(T60*$E60/100,"")))</f>
        <v/>
      </c>
      <c r="AL60" s="140">
        <f>IF(AL$13="","",IF($B60="","",IFERROR(U60*$E60/100,"")))</f>
        <v/>
      </c>
      <c r="AN60" s="140">
        <f>IF($B60="","",SUMIF($F$13:$U$13,"&lt;="&amp;Sector!$D$51,$F60:$U60))</f>
        <v/>
      </c>
      <c r="AO60" s="140">
        <f>IF($B60="","",SUMIF($W$13:$AL$13,"&lt;="&amp;Sector!$D$51,$W60:$AL60))</f>
        <v/>
      </c>
    </row>
    <row r="61">
      <c r="B61" s="5">
        <f>IF(AS51!$C$51="","",AS51!$C$51)</f>
        <v/>
      </c>
      <c r="C61" s="90">
        <f>IF(AS51!$B$51="","",AS51!$B$51)</f>
        <v/>
      </c>
      <c r="D61" s="138">
        <f>IFERROR(AS51!$Q$51,1)</f>
        <v/>
      </c>
      <c r="E61" s="139">
        <f>IF($B61="","",IF(ISNUMBER(AS51!$I$51),AS51!$I$51,'Index Summary'!$C$7))</f>
        <v/>
      </c>
      <c r="F61" s="140">
        <f>IF(F$13="","",IF($B61="","",IFERROR($C61*$D61*IF((Override!$C$4="ON")*(COUNTIFS(Override!$B$11:$B$40,$B61,Override!$D$11:$D$40,1,Override!$E$11:$E$40,"&gt;=0")-COUNTIFS(Override!$B$11:$B$40,$B61,Override!$D$11:$D$40,1,Override!$E$11:$E$40,"&gt;=0",Override!$C$11:$C$40,"MXAU"))&gt;0,SUMIFS(Override!$E$11:$E$40,Override!$B$11:$B$40,$B61,Override!$D$11:$D$40,1)-SUMIFS(Override!$E$11:$E$40,Override!$B$11:$B$40,$B61,Override!$D$11:$D$40,1,Override!$C$11:$C$40,"MXAU"),Override!$C$96)/AS51!$B$3,"")))</f>
        <v/>
      </c>
      <c r="G61" s="140">
        <f>IF(G$13="","",IF($B61="","",IFERROR($C61*$D61*IF((Override!$C$4="ON")*(COUNTIFS(Override!$B$11:$B$40,$B61,Override!$D$11:$D$40,2,Override!$E$11:$E$40,"&gt;=0")-COUNTIFS(Override!$B$11:$B$40,$B61,Override!$D$11:$D$40,2,Override!$E$11:$E$40,"&gt;=0",Override!$C$11:$C$40,"MXAU"))&gt;0,SUMIFS(Override!$E$11:$E$40,Override!$B$11:$B$40,$B61,Override!$D$11:$D$40,2)-SUMIFS(Override!$E$11:$E$40,Override!$B$11:$B$40,$B61,Override!$D$11:$D$40,2,Override!$C$11:$C$40,"MXAU"),Override!$D$96)/AS51!$B$3,"")))</f>
        <v/>
      </c>
      <c r="H61" s="140">
        <f>IF(H$13="","",IF($B61="","",IFERROR($C61*$D61*IF((Override!$C$4="ON")*(COUNTIFS(Override!$B$11:$B$40,$B61,Override!$D$11:$D$40,3,Override!$E$11:$E$40,"&gt;=0")-COUNTIFS(Override!$B$11:$B$40,$B61,Override!$D$11:$D$40,3,Override!$E$11:$E$40,"&gt;=0",Override!$C$11:$C$40,"MXAU"))&gt;0,SUMIFS(Override!$E$11:$E$40,Override!$B$11:$B$40,$B61,Override!$D$11:$D$40,3)-SUMIFS(Override!$E$11:$E$40,Override!$B$11:$B$40,$B61,Override!$D$11:$D$40,3,Override!$C$11:$C$40,"MXAU"),Override!$E$96)/AS51!$B$3,"")))</f>
        <v/>
      </c>
      <c r="I61" s="140">
        <f>IF(I$13="","",IF($B61="","",IFERROR($C61*$D61*IF((Override!$C$4="ON")*(COUNTIFS(Override!$B$11:$B$40,$B61,Override!$D$11:$D$40,4,Override!$E$11:$E$40,"&gt;=0")-COUNTIFS(Override!$B$11:$B$40,$B61,Override!$D$11:$D$40,4,Override!$E$11:$E$40,"&gt;=0",Override!$C$11:$C$40,"MXAU"))&gt;0,SUMIFS(Override!$E$11:$E$40,Override!$B$11:$B$40,$B61,Override!$D$11:$D$40,4)-SUMIFS(Override!$E$11:$E$40,Override!$B$11:$B$40,$B61,Override!$D$11:$D$40,4,Override!$C$11:$C$40,"MXAU"),Override!$F$96)/AS51!$B$3,"")))</f>
        <v/>
      </c>
      <c r="J61" s="140">
        <f>IF(J$13="","",IF($B61="","",IFERROR($C61*$D61*IF((Override!$C$4="ON")*(COUNTIFS(Override!$B$11:$B$40,$B61,Override!$D$11:$D$40,5,Override!$E$11:$E$40,"&gt;=0")-COUNTIFS(Override!$B$11:$B$40,$B61,Override!$D$11:$D$40,5,Override!$E$11:$E$40,"&gt;=0",Override!$C$11:$C$40,"MXAU"))&gt;0,SUMIFS(Override!$E$11:$E$40,Override!$B$11:$B$40,$B61,Override!$D$11:$D$40,5)-SUMIFS(Override!$E$11:$E$40,Override!$B$11:$B$40,$B61,Override!$D$11:$D$40,5,Override!$C$11:$C$40,"MXAU"),Override!$G$96)/AS51!$B$3,"")))</f>
        <v/>
      </c>
      <c r="K61" s="140">
        <f>IF(K$13="","",IF($B61="","",IFERROR($C61*$D61*IF((Override!$C$4="ON")*(COUNTIFS(Override!$B$11:$B$40,$B61,Override!$D$11:$D$40,6,Override!$E$11:$E$40,"&gt;=0")-COUNTIFS(Override!$B$11:$B$40,$B61,Override!$D$11:$D$40,6,Override!$E$11:$E$40,"&gt;=0",Override!$C$11:$C$40,"MXAU"))&gt;0,SUMIFS(Override!$E$11:$E$40,Override!$B$11:$B$40,$B61,Override!$D$11:$D$40,6)-SUMIFS(Override!$E$11:$E$40,Override!$B$11:$B$40,$B61,Override!$D$11:$D$40,6,Override!$C$11:$C$40,"MXAU"),Override!$H$96)/AS51!$B$3,"")))</f>
        <v/>
      </c>
      <c r="L61" s="140">
        <f>IF(L$13="","",IF($B61="","",IFERROR($C61*$D61*IF((Override!$C$4="ON")*(COUNTIFS(Override!$B$11:$B$40,$B61,Override!$D$11:$D$40,7,Override!$E$11:$E$40,"&gt;=0")-COUNTIFS(Override!$B$11:$B$40,$B61,Override!$D$11:$D$40,7,Override!$E$11:$E$40,"&gt;=0",Override!$C$11:$C$40,"MXAU"))&gt;0,SUMIFS(Override!$E$11:$E$40,Override!$B$11:$B$40,$B61,Override!$D$11:$D$40,7)-SUMIFS(Override!$E$11:$E$40,Override!$B$11:$B$40,$B61,Override!$D$11:$D$40,7,Override!$C$11:$C$40,"MXAU"),Override!$I$96)/AS51!$B$3,"")))</f>
        <v/>
      </c>
      <c r="M61" s="140">
        <f>IF(M$13="","",IF($B61="","",IFERROR($C61*$D61*IF((Override!$C$4="ON")*(COUNTIFS(Override!$B$11:$B$40,$B61,Override!$D$11:$D$40,8,Override!$E$11:$E$40,"&gt;=0")-COUNTIFS(Override!$B$11:$B$40,$B61,Override!$D$11:$D$40,8,Override!$E$11:$E$40,"&gt;=0",Override!$C$11:$C$40,"MXAU"))&gt;0,SUMIFS(Override!$E$11:$E$40,Override!$B$11:$B$40,$B61,Override!$D$11:$D$40,8)-SUMIFS(Override!$E$11:$E$40,Override!$B$11:$B$40,$B61,Override!$D$11:$D$40,8,Override!$C$11:$C$40,"MXAU"),Override!$J$96)/AS51!$B$3,"")))</f>
        <v/>
      </c>
      <c r="N61" s="140">
        <f>IF(N$13="","",IF($B61="","",IFERROR($C61*$D61*IF((Override!$C$4="ON")*(COUNTIFS(Override!$B$11:$B$40,$B61,Override!$D$11:$D$40,9,Override!$E$11:$E$40,"&gt;=0")-COUNTIFS(Override!$B$11:$B$40,$B61,Override!$D$11:$D$40,9,Override!$E$11:$E$40,"&gt;=0",Override!$C$11:$C$40,"MXAU"))&gt;0,SUMIFS(Override!$E$11:$E$40,Override!$B$11:$B$40,$B61,Override!$D$11:$D$40,9)-SUMIFS(Override!$E$11:$E$40,Override!$B$11:$B$40,$B61,Override!$D$11:$D$40,9,Override!$C$11:$C$40,"MXAU"),Override!$K$96)/AS51!$B$3,"")))</f>
        <v/>
      </c>
      <c r="O61" s="140">
        <f>IF(O$13="","",IF($B61="","",IFERROR($C61*$D61*IF((Override!$C$4="ON")*(COUNTIFS(Override!$B$11:$B$40,$B61,Override!$D$11:$D$40,10,Override!$E$11:$E$40,"&gt;=0")-COUNTIFS(Override!$B$11:$B$40,$B61,Override!$D$11:$D$40,10,Override!$E$11:$E$40,"&gt;=0",Override!$C$11:$C$40,"MXAU"))&gt;0,SUMIFS(Override!$E$11:$E$40,Override!$B$11:$B$40,$B61,Override!$D$11:$D$40,10)-SUMIFS(Override!$E$11:$E$40,Override!$B$11:$B$40,$B61,Override!$D$11:$D$40,10,Override!$C$11:$C$40,"MXAU"),Override!$L$96)/AS51!$B$3,"")))</f>
        <v/>
      </c>
      <c r="P61" s="140">
        <f>IF(P$13="","",IF($B61="","",IFERROR($C61*$D61*IF((Override!$C$4="ON")*(COUNTIFS(Override!$B$11:$B$40,$B61,Override!$D$11:$D$40,11,Override!$E$11:$E$40,"&gt;=0")-COUNTIFS(Override!$B$11:$B$40,$B61,Override!$D$11:$D$40,11,Override!$E$11:$E$40,"&gt;=0",Override!$C$11:$C$40,"MXAU"))&gt;0,SUMIFS(Override!$E$11:$E$40,Override!$B$11:$B$40,$B61,Override!$D$11:$D$40,11)-SUMIFS(Override!$E$11:$E$40,Override!$B$11:$B$40,$B61,Override!$D$11:$D$40,11,Override!$C$11:$C$40,"MXAU"),Override!$M$96)/AS51!$B$3,"")))</f>
        <v/>
      </c>
      <c r="Q61" s="140">
        <f>IF(Q$13="","",IF($B61="","",IFERROR($C61*$D61*IF((Override!$C$4="ON")*(COUNTIFS(Override!$B$11:$B$40,$B61,Override!$D$11:$D$40,12,Override!$E$11:$E$40,"&gt;=0")-COUNTIFS(Override!$B$11:$B$40,$B61,Override!$D$11:$D$40,12,Override!$E$11:$E$40,"&gt;=0",Override!$C$11:$C$40,"MXAU"))&gt;0,SUMIFS(Override!$E$11:$E$40,Override!$B$11:$B$40,$B61,Override!$D$11:$D$40,12)-SUMIFS(Override!$E$11:$E$40,Override!$B$11:$B$40,$B61,Override!$D$11:$D$40,12,Override!$C$11:$C$40,"MXAU"),Override!$N$96)/AS51!$B$3,"")))</f>
        <v/>
      </c>
      <c r="R61" s="140">
        <f>IF(R$13="","",IF($B61="","",IFERROR($C61*$D61*IF((Override!$C$4="ON")*(COUNTIFS(Override!$B$11:$B$40,$B61,Override!$D$11:$D$40,13,Override!$E$11:$E$40,"&gt;=0")-COUNTIFS(Override!$B$11:$B$40,$B61,Override!$D$11:$D$40,13,Override!$E$11:$E$40,"&gt;=0",Override!$C$11:$C$40,"MXAU"))&gt;0,SUMIFS(Override!$E$11:$E$40,Override!$B$11:$B$40,$B61,Override!$D$11:$D$40,13)-SUMIFS(Override!$E$11:$E$40,Override!$B$11:$B$40,$B61,Override!$D$11:$D$40,13,Override!$C$11:$C$40,"MXAU"),Override!$O$96)/AS51!$B$3,"")))</f>
        <v/>
      </c>
      <c r="S61" s="140">
        <f>IF(S$13="","",IF($B61="","",IFERROR($C61*$D61*IF((Override!$C$4="ON")*(COUNTIFS(Override!$B$11:$B$40,$B61,Override!$D$11:$D$40,14,Override!$E$11:$E$40,"&gt;=0")-COUNTIFS(Override!$B$11:$B$40,$B61,Override!$D$11:$D$40,14,Override!$E$11:$E$40,"&gt;=0",Override!$C$11:$C$40,"MXAU"))&gt;0,SUMIFS(Override!$E$11:$E$40,Override!$B$11:$B$40,$B61,Override!$D$11:$D$40,14)-SUMIFS(Override!$E$11:$E$40,Override!$B$11:$B$40,$B61,Override!$D$11:$D$40,14,Override!$C$11:$C$40,"MXAU"),Override!$P$96)/AS51!$B$3,"")))</f>
        <v/>
      </c>
      <c r="T61" s="140">
        <f>IF(T$13="","",IF($B61="","",IFERROR($C61*$D61*IF((Override!$C$4="ON")*(COUNTIFS(Override!$B$11:$B$40,$B61,Override!$D$11:$D$40,15,Override!$E$11:$E$40,"&gt;=0")-COUNTIFS(Override!$B$11:$B$40,$B61,Override!$D$11:$D$40,15,Override!$E$11:$E$40,"&gt;=0",Override!$C$11:$C$40,"MXAU"))&gt;0,SUMIFS(Override!$E$11:$E$40,Override!$B$11:$B$40,$B61,Override!$D$11:$D$40,15)-SUMIFS(Override!$E$11:$E$40,Override!$B$11:$B$40,$B61,Override!$D$11:$D$40,15,Override!$C$11:$C$40,"MXAU"),Override!$Q$96)/AS51!$B$3,"")))</f>
        <v/>
      </c>
      <c r="U61" s="140">
        <f>IF(U$13="","",IF($B61="","",IFERROR($C61*$D61*IF((Override!$C$4="ON")*(COUNTIFS(Override!$B$11:$B$40,$B61,Override!$D$11:$D$40,16,Override!$E$11:$E$40,"&gt;=0")-COUNTIFS(Override!$B$11:$B$40,$B61,Override!$D$11:$D$40,16,Override!$E$11:$E$40,"&gt;=0",Override!$C$11:$C$40,"MXAU"))&gt;0,SUMIFS(Override!$E$11:$E$40,Override!$B$11:$B$40,$B61,Override!$D$11:$D$40,16)-SUMIFS(Override!$E$11:$E$40,Override!$B$11:$B$40,$B61,Override!$D$11:$D$40,16,Override!$C$11:$C$40,"MXAU"),Override!$R$96)/AS51!$B$3,"")))</f>
        <v/>
      </c>
      <c r="W61" s="140">
        <f>IF(W$13="","",IF($B61="","",IFERROR(F61*$E61/100,"")))</f>
        <v/>
      </c>
      <c r="X61" s="140">
        <f>IF(X$13="","",IF($B61="","",IFERROR(G61*$E61/100,"")))</f>
        <v/>
      </c>
      <c r="Y61" s="140">
        <f>IF(Y$13="","",IF($B61="","",IFERROR(H61*$E61/100,"")))</f>
        <v/>
      </c>
      <c r="Z61" s="140">
        <f>IF(Z$13="","",IF($B61="","",IFERROR(I61*$E61/100,"")))</f>
        <v/>
      </c>
      <c r="AA61" s="140">
        <f>IF(AA$13="","",IF($B61="","",IFERROR(J61*$E61/100,"")))</f>
        <v/>
      </c>
      <c r="AB61" s="140">
        <f>IF(AB$13="","",IF($B61="","",IFERROR(K61*$E61/100,"")))</f>
        <v/>
      </c>
      <c r="AC61" s="140">
        <f>IF(AC$13="","",IF($B61="","",IFERROR(L61*$E61/100,"")))</f>
        <v/>
      </c>
      <c r="AD61" s="140">
        <f>IF(AD$13="","",IF($B61="","",IFERROR(M61*$E61/100,"")))</f>
        <v/>
      </c>
      <c r="AE61" s="140">
        <f>IF(AE$13="","",IF($B61="","",IFERROR(N61*$E61/100,"")))</f>
        <v/>
      </c>
      <c r="AF61" s="140">
        <f>IF(AF$13="","",IF($B61="","",IFERROR(O61*$E61/100,"")))</f>
        <v/>
      </c>
      <c r="AG61" s="140">
        <f>IF(AG$13="","",IF($B61="","",IFERROR(P61*$E61/100,"")))</f>
        <v/>
      </c>
      <c r="AH61" s="140">
        <f>IF(AH$13="","",IF($B61="","",IFERROR(Q61*$E61/100,"")))</f>
        <v/>
      </c>
      <c r="AI61" s="140">
        <f>IF(AI$13="","",IF($B61="","",IFERROR(R61*$E61/100,"")))</f>
        <v/>
      </c>
      <c r="AJ61" s="140">
        <f>IF(AJ$13="","",IF($B61="","",IFERROR(S61*$E61/100,"")))</f>
        <v/>
      </c>
      <c r="AK61" s="140">
        <f>IF(AK$13="","",IF($B61="","",IFERROR(T61*$E61/100,"")))</f>
        <v/>
      </c>
      <c r="AL61" s="140">
        <f>IF(AL$13="","",IF($B61="","",IFERROR(U61*$E61/100,"")))</f>
        <v/>
      </c>
      <c r="AN61" s="140">
        <f>IF($B61="","",SUMIF($F$13:$U$13,"&lt;="&amp;Sector!$D$51,$F61:$U61))</f>
        <v/>
      </c>
      <c r="AO61" s="140">
        <f>IF($B61="","",SUMIF($W$13:$AL$13,"&lt;="&amp;Sector!$D$51,$W61:$AL61))</f>
        <v/>
      </c>
    </row>
    <row r="62">
      <c r="B62" s="5">
        <f>IF(AS51!$C$52="","",AS51!$C$52)</f>
        <v/>
      </c>
      <c r="C62" s="90">
        <f>IF(AS51!$B$52="","",AS51!$B$52)</f>
        <v/>
      </c>
      <c r="D62" s="138">
        <f>IFERROR(AS51!$Q$52,1)</f>
        <v/>
      </c>
      <c r="E62" s="139">
        <f>IF($B62="","",IF(ISNUMBER(AS51!$I$52),AS51!$I$52,'Index Summary'!$C$7))</f>
        <v/>
      </c>
      <c r="F62" s="140">
        <f>IF(F$13="","",IF($B62="","",IFERROR($C62*$D62*IF((Override!$C$4="ON")*(COUNTIFS(Override!$B$11:$B$40,$B62,Override!$D$11:$D$40,1,Override!$E$11:$E$40,"&gt;=0")-COUNTIFS(Override!$B$11:$B$40,$B62,Override!$D$11:$D$40,1,Override!$E$11:$E$40,"&gt;=0",Override!$C$11:$C$40,"MXAU"))&gt;0,SUMIFS(Override!$E$11:$E$40,Override!$B$11:$B$40,$B62,Override!$D$11:$D$40,1)-SUMIFS(Override!$E$11:$E$40,Override!$B$11:$B$40,$B62,Override!$D$11:$D$40,1,Override!$C$11:$C$40,"MXAU"),Override!$C$97)/AS51!$B$3,"")))</f>
        <v/>
      </c>
      <c r="G62" s="140">
        <f>IF(G$13="","",IF($B62="","",IFERROR($C62*$D62*IF((Override!$C$4="ON")*(COUNTIFS(Override!$B$11:$B$40,$B62,Override!$D$11:$D$40,2,Override!$E$11:$E$40,"&gt;=0")-COUNTIFS(Override!$B$11:$B$40,$B62,Override!$D$11:$D$40,2,Override!$E$11:$E$40,"&gt;=0",Override!$C$11:$C$40,"MXAU"))&gt;0,SUMIFS(Override!$E$11:$E$40,Override!$B$11:$B$40,$B62,Override!$D$11:$D$40,2)-SUMIFS(Override!$E$11:$E$40,Override!$B$11:$B$40,$B62,Override!$D$11:$D$40,2,Override!$C$11:$C$40,"MXAU"),Override!$D$97)/AS51!$B$3,"")))</f>
        <v/>
      </c>
      <c r="H62" s="140">
        <f>IF(H$13="","",IF($B62="","",IFERROR($C62*$D62*IF((Override!$C$4="ON")*(COUNTIFS(Override!$B$11:$B$40,$B62,Override!$D$11:$D$40,3,Override!$E$11:$E$40,"&gt;=0")-COUNTIFS(Override!$B$11:$B$40,$B62,Override!$D$11:$D$40,3,Override!$E$11:$E$40,"&gt;=0",Override!$C$11:$C$40,"MXAU"))&gt;0,SUMIFS(Override!$E$11:$E$40,Override!$B$11:$B$40,$B62,Override!$D$11:$D$40,3)-SUMIFS(Override!$E$11:$E$40,Override!$B$11:$B$40,$B62,Override!$D$11:$D$40,3,Override!$C$11:$C$40,"MXAU"),Override!$E$97)/AS51!$B$3,"")))</f>
        <v/>
      </c>
      <c r="I62" s="140">
        <f>IF(I$13="","",IF($B62="","",IFERROR($C62*$D62*IF((Override!$C$4="ON")*(COUNTIFS(Override!$B$11:$B$40,$B62,Override!$D$11:$D$40,4,Override!$E$11:$E$40,"&gt;=0")-COUNTIFS(Override!$B$11:$B$40,$B62,Override!$D$11:$D$40,4,Override!$E$11:$E$40,"&gt;=0",Override!$C$11:$C$40,"MXAU"))&gt;0,SUMIFS(Override!$E$11:$E$40,Override!$B$11:$B$40,$B62,Override!$D$11:$D$40,4)-SUMIFS(Override!$E$11:$E$40,Override!$B$11:$B$40,$B62,Override!$D$11:$D$40,4,Override!$C$11:$C$40,"MXAU"),Override!$F$97)/AS51!$B$3,"")))</f>
        <v/>
      </c>
      <c r="J62" s="140">
        <f>IF(J$13="","",IF($B62="","",IFERROR($C62*$D62*IF((Override!$C$4="ON")*(COUNTIFS(Override!$B$11:$B$40,$B62,Override!$D$11:$D$40,5,Override!$E$11:$E$40,"&gt;=0")-COUNTIFS(Override!$B$11:$B$40,$B62,Override!$D$11:$D$40,5,Override!$E$11:$E$40,"&gt;=0",Override!$C$11:$C$40,"MXAU"))&gt;0,SUMIFS(Override!$E$11:$E$40,Override!$B$11:$B$40,$B62,Override!$D$11:$D$40,5)-SUMIFS(Override!$E$11:$E$40,Override!$B$11:$B$40,$B62,Override!$D$11:$D$40,5,Override!$C$11:$C$40,"MXAU"),Override!$G$97)/AS51!$B$3,"")))</f>
        <v/>
      </c>
      <c r="K62" s="140">
        <f>IF(K$13="","",IF($B62="","",IFERROR($C62*$D62*IF((Override!$C$4="ON")*(COUNTIFS(Override!$B$11:$B$40,$B62,Override!$D$11:$D$40,6,Override!$E$11:$E$40,"&gt;=0")-COUNTIFS(Override!$B$11:$B$40,$B62,Override!$D$11:$D$40,6,Override!$E$11:$E$40,"&gt;=0",Override!$C$11:$C$40,"MXAU"))&gt;0,SUMIFS(Override!$E$11:$E$40,Override!$B$11:$B$40,$B62,Override!$D$11:$D$40,6)-SUMIFS(Override!$E$11:$E$40,Override!$B$11:$B$40,$B62,Override!$D$11:$D$40,6,Override!$C$11:$C$40,"MXAU"),Override!$H$97)/AS51!$B$3,"")))</f>
        <v/>
      </c>
      <c r="L62" s="140">
        <f>IF(L$13="","",IF($B62="","",IFERROR($C62*$D62*IF((Override!$C$4="ON")*(COUNTIFS(Override!$B$11:$B$40,$B62,Override!$D$11:$D$40,7,Override!$E$11:$E$40,"&gt;=0")-COUNTIFS(Override!$B$11:$B$40,$B62,Override!$D$11:$D$40,7,Override!$E$11:$E$40,"&gt;=0",Override!$C$11:$C$40,"MXAU"))&gt;0,SUMIFS(Override!$E$11:$E$40,Override!$B$11:$B$40,$B62,Override!$D$11:$D$40,7)-SUMIFS(Override!$E$11:$E$40,Override!$B$11:$B$40,$B62,Override!$D$11:$D$40,7,Override!$C$11:$C$40,"MXAU"),Override!$I$97)/AS51!$B$3,"")))</f>
        <v/>
      </c>
      <c r="M62" s="140">
        <f>IF(M$13="","",IF($B62="","",IFERROR($C62*$D62*IF((Override!$C$4="ON")*(COUNTIFS(Override!$B$11:$B$40,$B62,Override!$D$11:$D$40,8,Override!$E$11:$E$40,"&gt;=0")-COUNTIFS(Override!$B$11:$B$40,$B62,Override!$D$11:$D$40,8,Override!$E$11:$E$40,"&gt;=0",Override!$C$11:$C$40,"MXAU"))&gt;0,SUMIFS(Override!$E$11:$E$40,Override!$B$11:$B$40,$B62,Override!$D$11:$D$40,8)-SUMIFS(Override!$E$11:$E$40,Override!$B$11:$B$40,$B62,Override!$D$11:$D$40,8,Override!$C$11:$C$40,"MXAU"),Override!$J$97)/AS51!$B$3,"")))</f>
        <v/>
      </c>
      <c r="N62" s="140">
        <f>IF(N$13="","",IF($B62="","",IFERROR($C62*$D62*IF((Override!$C$4="ON")*(COUNTIFS(Override!$B$11:$B$40,$B62,Override!$D$11:$D$40,9,Override!$E$11:$E$40,"&gt;=0")-COUNTIFS(Override!$B$11:$B$40,$B62,Override!$D$11:$D$40,9,Override!$E$11:$E$40,"&gt;=0",Override!$C$11:$C$40,"MXAU"))&gt;0,SUMIFS(Override!$E$11:$E$40,Override!$B$11:$B$40,$B62,Override!$D$11:$D$40,9)-SUMIFS(Override!$E$11:$E$40,Override!$B$11:$B$40,$B62,Override!$D$11:$D$40,9,Override!$C$11:$C$40,"MXAU"),Override!$K$97)/AS51!$B$3,"")))</f>
        <v/>
      </c>
      <c r="O62" s="140">
        <f>IF(O$13="","",IF($B62="","",IFERROR($C62*$D62*IF((Override!$C$4="ON")*(COUNTIFS(Override!$B$11:$B$40,$B62,Override!$D$11:$D$40,10,Override!$E$11:$E$40,"&gt;=0")-COUNTIFS(Override!$B$11:$B$40,$B62,Override!$D$11:$D$40,10,Override!$E$11:$E$40,"&gt;=0",Override!$C$11:$C$40,"MXAU"))&gt;0,SUMIFS(Override!$E$11:$E$40,Override!$B$11:$B$40,$B62,Override!$D$11:$D$40,10)-SUMIFS(Override!$E$11:$E$40,Override!$B$11:$B$40,$B62,Override!$D$11:$D$40,10,Override!$C$11:$C$40,"MXAU"),Override!$L$97)/AS51!$B$3,"")))</f>
        <v/>
      </c>
      <c r="P62" s="140">
        <f>IF(P$13="","",IF($B62="","",IFERROR($C62*$D62*IF((Override!$C$4="ON")*(COUNTIFS(Override!$B$11:$B$40,$B62,Override!$D$11:$D$40,11,Override!$E$11:$E$40,"&gt;=0")-COUNTIFS(Override!$B$11:$B$40,$B62,Override!$D$11:$D$40,11,Override!$E$11:$E$40,"&gt;=0",Override!$C$11:$C$40,"MXAU"))&gt;0,SUMIFS(Override!$E$11:$E$40,Override!$B$11:$B$40,$B62,Override!$D$11:$D$40,11)-SUMIFS(Override!$E$11:$E$40,Override!$B$11:$B$40,$B62,Override!$D$11:$D$40,11,Override!$C$11:$C$40,"MXAU"),Override!$M$97)/AS51!$B$3,"")))</f>
        <v/>
      </c>
      <c r="Q62" s="140">
        <f>IF(Q$13="","",IF($B62="","",IFERROR($C62*$D62*IF((Override!$C$4="ON")*(COUNTIFS(Override!$B$11:$B$40,$B62,Override!$D$11:$D$40,12,Override!$E$11:$E$40,"&gt;=0")-COUNTIFS(Override!$B$11:$B$40,$B62,Override!$D$11:$D$40,12,Override!$E$11:$E$40,"&gt;=0",Override!$C$11:$C$40,"MXAU"))&gt;0,SUMIFS(Override!$E$11:$E$40,Override!$B$11:$B$40,$B62,Override!$D$11:$D$40,12)-SUMIFS(Override!$E$11:$E$40,Override!$B$11:$B$40,$B62,Override!$D$11:$D$40,12,Override!$C$11:$C$40,"MXAU"),Override!$N$97)/AS51!$B$3,"")))</f>
        <v/>
      </c>
      <c r="R62" s="140">
        <f>IF(R$13="","",IF($B62="","",IFERROR($C62*$D62*IF((Override!$C$4="ON")*(COUNTIFS(Override!$B$11:$B$40,$B62,Override!$D$11:$D$40,13,Override!$E$11:$E$40,"&gt;=0")-COUNTIFS(Override!$B$11:$B$40,$B62,Override!$D$11:$D$40,13,Override!$E$11:$E$40,"&gt;=0",Override!$C$11:$C$40,"MXAU"))&gt;0,SUMIFS(Override!$E$11:$E$40,Override!$B$11:$B$40,$B62,Override!$D$11:$D$40,13)-SUMIFS(Override!$E$11:$E$40,Override!$B$11:$B$40,$B62,Override!$D$11:$D$40,13,Override!$C$11:$C$40,"MXAU"),Override!$O$97)/AS51!$B$3,"")))</f>
        <v/>
      </c>
      <c r="S62" s="140">
        <f>IF(S$13="","",IF($B62="","",IFERROR($C62*$D62*IF((Override!$C$4="ON")*(COUNTIFS(Override!$B$11:$B$40,$B62,Override!$D$11:$D$40,14,Override!$E$11:$E$40,"&gt;=0")-COUNTIFS(Override!$B$11:$B$40,$B62,Override!$D$11:$D$40,14,Override!$E$11:$E$40,"&gt;=0",Override!$C$11:$C$40,"MXAU"))&gt;0,SUMIFS(Override!$E$11:$E$40,Override!$B$11:$B$40,$B62,Override!$D$11:$D$40,14)-SUMIFS(Override!$E$11:$E$40,Override!$B$11:$B$40,$B62,Override!$D$11:$D$40,14,Override!$C$11:$C$40,"MXAU"),Override!$P$97)/AS51!$B$3,"")))</f>
        <v/>
      </c>
      <c r="T62" s="140">
        <f>IF(T$13="","",IF($B62="","",IFERROR($C62*$D62*IF((Override!$C$4="ON")*(COUNTIFS(Override!$B$11:$B$40,$B62,Override!$D$11:$D$40,15,Override!$E$11:$E$40,"&gt;=0")-COUNTIFS(Override!$B$11:$B$40,$B62,Override!$D$11:$D$40,15,Override!$E$11:$E$40,"&gt;=0",Override!$C$11:$C$40,"MXAU"))&gt;0,SUMIFS(Override!$E$11:$E$40,Override!$B$11:$B$40,$B62,Override!$D$11:$D$40,15)-SUMIFS(Override!$E$11:$E$40,Override!$B$11:$B$40,$B62,Override!$D$11:$D$40,15,Override!$C$11:$C$40,"MXAU"),Override!$Q$97)/AS51!$B$3,"")))</f>
        <v/>
      </c>
      <c r="U62" s="140">
        <f>IF(U$13="","",IF($B62="","",IFERROR($C62*$D62*IF((Override!$C$4="ON")*(COUNTIFS(Override!$B$11:$B$40,$B62,Override!$D$11:$D$40,16,Override!$E$11:$E$40,"&gt;=0")-COUNTIFS(Override!$B$11:$B$40,$B62,Override!$D$11:$D$40,16,Override!$E$11:$E$40,"&gt;=0",Override!$C$11:$C$40,"MXAU"))&gt;0,SUMIFS(Override!$E$11:$E$40,Override!$B$11:$B$40,$B62,Override!$D$11:$D$40,16)-SUMIFS(Override!$E$11:$E$40,Override!$B$11:$B$40,$B62,Override!$D$11:$D$40,16,Override!$C$11:$C$40,"MXAU"),Override!$R$97)/AS51!$B$3,"")))</f>
        <v/>
      </c>
      <c r="W62" s="140">
        <f>IF(W$13="","",IF($B62="","",IFERROR(F62*$E62/100,"")))</f>
        <v/>
      </c>
      <c r="X62" s="140">
        <f>IF(X$13="","",IF($B62="","",IFERROR(G62*$E62/100,"")))</f>
        <v/>
      </c>
      <c r="Y62" s="140">
        <f>IF(Y$13="","",IF($B62="","",IFERROR(H62*$E62/100,"")))</f>
        <v/>
      </c>
      <c r="Z62" s="140">
        <f>IF(Z$13="","",IF($B62="","",IFERROR(I62*$E62/100,"")))</f>
        <v/>
      </c>
      <c r="AA62" s="140">
        <f>IF(AA$13="","",IF($B62="","",IFERROR(J62*$E62/100,"")))</f>
        <v/>
      </c>
      <c r="AB62" s="140">
        <f>IF(AB$13="","",IF($B62="","",IFERROR(K62*$E62/100,"")))</f>
        <v/>
      </c>
      <c r="AC62" s="140">
        <f>IF(AC$13="","",IF($B62="","",IFERROR(L62*$E62/100,"")))</f>
        <v/>
      </c>
      <c r="AD62" s="140">
        <f>IF(AD$13="","",IF($B62="","",IFERROR(M62*$E62/100,"")))</f>
        <v/>
      </c>
      <c r="AE62" s="140">
        <f>IF(AE$13="","",IF($B62="","",IFERROR(N62*$E62/100,"")))</f>
        <v/>
      </c>
      <c r="AF62" s="140">
        <f>IF(AF$13="","",IF($B62="","",IFERROR(O62*$E62/100,"")))</f>
        <v/>
      </c>
      <c r="AG62" s="140">
        <f>IF(AG$13="","",IF($B62="","",IFERROR(P62*$E62/100,"")))</f>
        <v/>
      </c>
      <c r="AH62" s="140">
        <f>IF(AH$13="","",IF($B62="","",IFERROR(Q62*$E62/100,"")))</f>
        <v/>
      </c>
      <c r="AI62" s="140">
        <f>IF(AI$13="","",IF($B62="","",IFERROR(R62*$E62/100,"")))</f>
        <v/>
      </c>
      <c r="AJ62" s="140">
        <f>IF(AJ$13="","",IF($B62="","",IFERROR(S62*$E62/100,"")))</f>
        <v/>
      </c>
      <c r="AK62" s="140">
        <f>IF(AK$13="","",IF($B62="","",IFERROR(T62*$E62/100,"")))</f>
        <v/>
      </c>
      <c r="AL62" s="140">
        <f>IF(AL$13="","",IF($B62="","",IFERROR(U62*$E62/100,"")))</f>
        <v/>
      </c>
      <c r="AN62" s="140">
        <f>IF($B62="","",SUMIF($F$13:$U$13,"&lt;="&amp;Sector!$D$51,$F62:$U62))</f>
        <v/>
      </c>
      <c r="AO62" s="140">
        <f>IF($B62="","",SUMIF($W$13:$AL$13,"&lt;="&amp;Sector!$D$51,$W62:$AL62))</f>
        <v/>
      </c>
    </row>
    <row r="63">
      <c r="B63" s="5">
        <f>IF(AS51!$C$53="","",AS51!$C$53)</f>
        <v/>
      </c>
      <c r="C63" s="90">
        <f>IF(AS51!$B$53="","",AS51!$B$53)</f>
        <v/>
      </c>
      <c r="D63" s="138">
        <f>IFERROR(AS51!$Q$53,1)</f>
        <v/>
      </c>
      <c r="E63" s="139">
        <f>IF($B63="","",IF(ISNUMBER(AS51!$I$53),AS51!$I$53,'Index Summary'!$C$7))</f>
        <v/>
      </c>
      <c r="F63" s="140">
        <f>IF(F$13="","",IF($B63="","",IFERROR($C63*$D63*IF((Override!$C$4="ON")*(COUNTIFS(Override!$B$11:$B$40,$B63,Override!$D$11:$D$40,1,Override!$E$11:$E$40,"&gt;=0")-COUNTIFS(Override!$B$11:$B$40,$B63,Override!$D$11:$D$40,1,Override!$E$11:$E$40,"&gt;=0",Override!$C$11:$C$40,"MXAU"))&gt;0,SUMIFS(Override!$E$11:$E$40,Override!$B$11:$B$40,$B63,Override!$D$11:$D$40,1)-SUMIFS(Override!$E$11:$E$40,Override!$B$11:$B$40,$B63,Override!$D$11:$D$40,1,Override!$C$11:$C$40,"MXAU"),Override!$C$98)/AS51!$B$3,"")))</f>
        <v/>
      </c>
      <c r="G63" s="140">
        <f>IF(G$13="","",IF($B63="","",IFERROR($C63*$D63*IF((Override!$C$4="ON")*(COUNTIFS(Override!$B$11:$B$40,$B63,Override!$D$11:$D$40,2,Override!$E$11:$E$40,"&gt;=0")-COUNTIFS(Override!$B$11:$B$40,$B63,Override!$D$11:$D$40,2,Override!$E$11:$E$40,"&gt;=0",Override!$C$11:$C$40,"MXAU"))&gt;0,SUMIFS(Override!$E$11:$E$40,Override!$B$11:$B$40,$B63,Override!$D$11:$D$40,2)-SUMIFS(Override!$E$11:$E$40,Override!$B$11:$B$40,$B63,Override!$D$11:$D$40,2,Override!$C$11:$C$40,"MXAU"),Override!$D$98)/AS51!$B$3,"")))</f>
        <v/>
      </c>
      <c r="H63" s="140">
        <f>IF(H$13="","",IF($B63="","",IFERROR($C63*$D63*IF((Override!$C$4="ON")*(COUNTIFS(Override!$B$11:$B$40,$B63,Override!$D$11:$D$40,3,Override!$E$11:$E$40,"&gt;=0")-COUNTIFS(Override!$B$11:$B$40,$B63,Override!$D$11:$D$40,3,Override!$E$11:$E$40,"&gt;=0",Override!$C$11:$C$40,"MXAU"))&gt;0,SUMIFS(Override!$E$11:$E$40,Override!$B$11:$B$40,$B63,Override!$D$11:$D$40,3)-SUMIFS(Override!$E$11:$E$40,Override!$B$11:$B$40,$B63,Override!$D$11:$D$40,3,Override!$C$11:$C$40,"MXAU"),Override!$E$98)/AS51!$B$3,"")))</f>
        <v/>
      </c>
      <c r="I63" s="140">
        <f>IF(I$13="","",IF($B63="","",IFERROR($C63*$D63*IF((Override!$C$4="ON")*(COUNTIFS(Override!$B$11:$B$40,$B63,Override!$D$11:$D$40,4,Override!$E$11:$E$40,"&gt;=0")-COUNTIFS(Override!$B$11:$B$40,$B63,Override!$D$11:$D$40,4,Override!$E$11:$E$40,"&gt;=0",Override!$C$11:$C$40,"MXAU"))&gt;0,SUMIFS(Override!$E$11:$E$40,Override!$B$11:$B$40,$B63,Override!$D$11:$D$40,4)-SUMIFS(Override!$E$11:$E$40,Override!$B$11:$B$40,$B63,Override!$D$11:$D$40,4,Override!$C$11:$C$40,"MXAU"),Override!$F$98)/AS51!$B$3,"")))</f>
        <v/>
      </c>
      <c r="J63" s="140">
        <f>IF(J$13="","",IF($B63="","",IFERROR($C63*$D63*IF((Override!$C$4="ON")*(COUNTIFS(Override!$B$11:$B$40,$B63,Override!$D$11:$D$40,5,Override!$E$11:$E$40,"&gt;=0")-COUNTIFS(Override!$B$11:$B$40,$B63,Override!$D$11:$D$40,5,Override!$E$11:$E$40,"&gt;=0",Override!$C$11:$C$40,"MXAU"))&gt;0,SUMIFS(Override!$E$11:$E$40,Override!$B$11:$B$40,$B63,Override!$D$11:$D$40,5)-SUMIFS(Override!$E$11:$E$40,Override!$B$11:$B$40,$B63,Override!$D$11:$D$40,5,Override!$C$11:$C$40,"MXAU"),Override!$G$98)/AS51!$B$3,"")))</f>
        <v/>
      </c>
      <c r="K63" s="140">
        <f>IF(K$13="","",IF($B63="","",IFERROR($C63*$D63*IF((Override!$C$4="ON")*(COUNTIFS(Override!$B$11:$B$40,$B63,Override!$D$11:$D$40,6,Override!$E$11:$E$40,"&gt;=0")-COUNTIFS(Override!$B$11:$B$40,$B63,Override!$D$11:$D$40,6,Override!$E$11:$E$40,"&gt;=0",Override!$C$11:$C$40,"MXAU"))&gt;0,SUMIFS(Override!$E$11:$E$40,Override!$B$11:$B$40,$B63,Override!$D$11:$D$40,6)-SUMIFS(Override!$E$11:$E$40,Override!$B$11:$B$40,$B63,Override!$D$11:$D$40,6,Override!$C$11:$C$40,"MXAU"),Override!$H$98)/AS51!$B$3,"")))</f>
        <v/>
      </c>
      <c r="L63" s="140">
        <f>IF(L$13="","",IF($B63="","",IFERROR($C63*$D63*IF((Override!$C$4="ON")*(COUNTIFS(Override!$B$11:$B$40,$B63,Override!$D$11:$D$40,7,Override!$E$11:$E$40,"&gt;=0")-COUNTIFS(Override!$B$11:$B$40,$B63,Override!$D$11:$D$40,7,Override!$E$11:$E$40,"&gt;=0",Override!$C$11:$C$40,"MXAU"))&gt;0,SUMIFS(Override!$E$11:$E$40,Override!$B$11:$B$40,$B63,Override!$D$11:$D$40,7)-SUMIFS(Override!$E$11:$E$40,Override!$B$11:$B$40,$B63,Override!$D$11:$D$40,7,Override!$C$11:$C$40,"MXAU"),Override!$I$98)/AS51!$B$3,"")))</f>
        <v/>
      </c>
      <c r="M63" s="140">
        <f>IF(M$13="","",IF($B63="","",IFERROR($C63*$D63*IF((Override!$C$4="ON")*(COUNTIFS(Override!$B$11:$B$40,$B63,Override!$D$11:$D$40,8,Override!$E$11:$E$40,"&gt;=0")-COUNTIFS(Override!$B$11:$B$40,$B63,Override!$D$11:$D$40,8,Override!$E$11:$E$40,"&gt;=0",Override!$C$11:$C$40,"MXAU"))&gt;0,SUMIFS(Override!$E$11:$E$40,Override!$B$11:$B$40,$B63,Override!$D$11:$D$40,8)-SUMIFS(Override!$E$11:$E$40,Override!$B$11:$B$40,$B63,Override!$D$11:$D$40,8,Override!$C$11:$C$40,"MXAU"),Override!$J$98)/AS51!$B$3,"")))</f>
        <v/>
      </c>
      <c r="N63" s="140">
        <f>IF(N$13="","",IF($B63="","",IFERROR($C63*$D63*IF((Override!$C$4="ON")*(COUNTIFS(Override!$B$11:$B$40,$B63,Override!$D$11:$D$40,9,Override!$E$11:$E$40,"&gt;=0")-COUNTIFS(Override!$B$11:$B$40,$B63,Override!$D$11:$D$40,9,Override!$E$11:$E$40,"&gt;=0",Override!$C$11:$C$40,"MXAU"))&gt;0,SUMIFS(Override!$E$11:$E$40,Override!$B$11:$B$40,$B63,Override!$D$11:$D$40,9)-SUMIFS(Override!$E$11:$E$40,Override!$B$11:$B$40,$B63,Override!$D$11:$D$40,9,Override!$C$11:$C$40,"MXAU"),Override!$K$98)/AS51!$B$3,"")))</f>
        <v/>
      </c>
      <c r="O63" s="140">
        <f>IF(O$13="","",IF($B63="","",IFERROR($C63*$D63*IF((Override!$C$4="ON")*(COUNTIFS(Override!$B$11:$B$40,$B63,Override!$D$11:$D$40,10,Override!$E$11:$E$40,"&gt;=0")-COUNTIFS(Override!$B$11:$B$40,$B63,Override!$D$11:$D$40,10,Override!$E$11:$E$40,"&gt;=0",Override!$C$11:$C$40,"MXAU"))&gt;0,SUMIFS(Override!$E$11:$E$40,Override!$B$11:$B$40,$B63,Override!$D$11:$D$40,10)-SUMIFS(Override!$E$11:$E$40,Override!$B$11:$B$40,$B63,Override!$D$11:$D$40,10,Override!$C$11:$C$40,"MXAU"),Override!$L$98)/AS51!$B$3,"")))</f>
        <v/>
      </c>
      <c r="P63" s="140">
        <f>IF(P$13="","",IF($B63="","",IFERROR($C63*$D63*IF((Override!$C$4="ON")*(COUNTIFS(Override!$B$11:$B$40,$B63,Override!$D$11:$D$40,11,Override!$E$11:$E$40,"&gt;=0")-COUNTIFS(Override!$B$11:$B$40,$B63,Override!$D$11:$D$40,11,Override!$E$11:$E$40,"&gt;=0",Override!$C$11:$C$40,"MXAU"))&gt;0,SUMIFS(Override!$E$11:$E$40,Override!$B$11:$B$40,$B63,Override!$D$11:$D$40,11)-SUMIFS(Override!$E$11:$E$40,Override!$B$11:$B$40,$B63,Override!$D$11:$D$40,11,Override!$C$11:$C$40,"MXAU"),Override!$M$98)/AS51!$B$3,"")))</f>
        <v/>
      </c>
      <c r="Q63" s="140">
        <f>IF(Q$13="","",IF($B63="","",IFERROR($C63*$D63*IF((Override!$C$4="ON")*(COUNTIFS(Override!$B$11:$B$40,$B63,Override!$D$11:$D$40,12,Override!$E$11:$E$40,"&gt;=0")-COUNTIFS(Override!$B$11:$B$40,$B63,Override!$D$11:$D$40,12,Override!$E$11:$E$40,"&gt;=0",Override!$C$11:$C$40,"MXAU"))&gt;0,SUMIFS(Override!$E$11:$E$40,Override!$B$11:$B$40,$B63,Override!$D$11:$D$40,12)-SUMIFS(Override!$E$11:$E$40,Override!$B$11:$B$40,$B63,Override!$D$11:$D$40,12,Override!$C$11:$C$40,"MXAU"),Override!$N$98)/AS51!$B$3,"")))</f>
        <v/>
      </c>
      <c r="R63" s="140">
        <f>IF(R$13="","",IF($B63="","",IFERROR($C63*$D63*IF((Override!$C$4="ON")*(COUNTIFS(Override!$B$11:$B$40,$B63,Override!$D$11:$D$40,13,Override!$E$11:$E$40,"&gt;=0")-COUNTIFS(Override!$B$11:$B$40,$B63,Override!$D$11:$D$40,13,Override!$E$11:$E$40,"&gt;=0",Override!$C$11:$C$40,"MXAU"))&gt;0,SUMIFS(Override!$E$11:$E$40,Override!$B$11:$B$40,$B63,Override!$D$11:$D$40,13)-SUMIFS(Override!$E$11:$E$40,Override!$B$11:$B$40,$B63,Override!$D$11:$D$40,13,Override!$C$11:$C$40,"MXAU"),Override!$O$98)/AS51!$B$3,"")))</f>
        <v/>
      </c>
      <c r="S63" s="140">
        <f>IF(S$13="","",IF($B63="","",IFERROR($C63*$D63*IF((Override!$C$4="ON")*(COUNTIFS(Override!$B$11:$B$40,$B63,Override!$D$11:$D$40,14,Override!$E$11:$E$40,"&gt;=0")-COUNTIFS(Override!$B$11:$B$40,$B63,Override!$D$11:$D$40,14,Override!$E$11:$E$40,"&gt;=0",Override!$C$11:$C$40,"MXAU"))&gt;0,SUMIFS(Override!$E$11:$E$40,Override!$B$11:$B$40,$B63,Override!$D$11:$D$40,14)-SUMIFS(Override!$E$11:$E$40,Override!$B$11:$B$40,$B63,Override!$D$11:$D$40,14,Override!$C$11:$C$40,"MXAU"),Override!$P$98)/AS51!$B$3,"")))</f>
        <v/>
      </c>
      <c r="T63" s="140">
        <f>IF(T$13="","",IF($B63="","",IFERROR($C63*$D63*IF((Override!$C$4="ON")*(COUNTIFS(Override!$B$11:$B$40,$B63,Override!$D$11:$D$40,15,Override!$E$11:$E$40,"&gt;=0")-COUNTIFS(Override!$B$11:$B$40,$B63,Override!$D$11:$D$40,15,Override!$E$11:$E$40,"&gt;=0",Override!$C$11:$C$40,"MXAU"))&gt;0,SUMIFS(Override!$E$11:$E$40,Override!$B$11:$B$40,$B63,Override!$D$11:$D$40,15)-SUMIFS(Override!$E$11:$E$40,Override!$B$11:$B$40,$B63,Override!$D$11:$D$40,15,Override!$C$11:$C$40,"MXAU"),Override!$Q$98)/AS51!$B$3,"")))</f>
        <v/>
      </c>
      <c r="U63" s="140">
        <f>IF(U$13="","",IF($B63="","",IFERROR($C63*$D63*IF((Override!$C$4="ON")*(COUNTIFS(Override!$B$11:$B$40,$B63,Override!$D$11:$D$40,16,Override!$E$11:$E$40,"&gt;=0")-COUNTIFS(Override!$B$11:$B$40,$B63,Override!$D$11:$D$40,16,Override!$E$11:$E$40,"&gt;=0",Override!$C$11:$C$40,"MXAU"))&gt;0,SUMIFS(Override!$E$11:$E$40,Override!$B$11:$B$40,$B63,Override!$D$11:$D$40,16)-SUMIFS(Override!$E$11:$E$40,Override!$B$11:$B$40,$B63,Override!$D$11:$D$40,16,Override!$C$11:$C$40,"MXAU"),Override!$R$98)/AS51!$B$3,"")))</f>
        <v/>
      </c>
      <c r="W63" s="140">
        <f>IF(W$13="","",IF($B63="","",IFERROR(F63*$E63/100,"")))</f>
        <v/>
      </c>
      <c r="X63" s="140">
        <f>IF(X$13="","",IF($B63="","",IFERROR(G63*$E63/100,"")))</f>
        <v/>
      </c>
      <c r="Y63" s="140">
        <f>IF(Y$13="","",IF($B63="","",IFERROR(H63*$E63/100,"")))</f>
        <v/>
      </c>
      <c r="Z63" s="140">
        <f>IF(Z$13="","",IF($B63="","",IFERROR(I63*$E63/100,"")))</f>
        <v/>
      </c>
      <c r="AA63" s="140">
        <f>IF(AA$13="","",IF($B63="","",IFERROR(J63*$E63/100,"")))</f>
        <v/>
      </c>
      <c r="AB63" s="140">
        <f>IF(AB$13="","",IF($B63="","",IFERROR(K63*$E63/100,"")))</f>
        <v/>
      </c>
      <c r="AC63" s="140">
        <f>IF(AC$13="","",IF($B63="","",IFERROR(L63*$E63/100,"")))</f>
        <v/>
      </c>
      <c r="AD63" s="140">
        <f>IF(AD$13="","",IF($B63="","",IFERROR(M63*$E63/100,"")))</f>
        <v/>
      </c>
      <c r="AE63" s="140">
        <f>IF(AE$13="","",IF($B63="","",IFERROR(N63*$E63/100,"")))</f>
        <v/>
      </c>
      <c r="AF63" s="140">
        <f>IF(AF$13="","",IF($B63="","",IFERROR(O63*$E63/100,"")))</f>
        <v/>
      </c>
      <c r="AG63" s="140">
        <f>IF(AG$13="","",IF($B63="","",IFERROR(P63*$E63/100,"")))</f>
        <v/>
      </c>
      <c r="AH63" s="140">
        <f>IF(AH$13="","",IF($B63="","",IFERROR(Q63*$E63/100,"")))</f>
        <v/>
      </c>
      <c r="AI63" s="140">
        <f>IF(AI$13="","",IF($B63="","",IFERROR(R63*$E63/100,"")))</f>
        <v/>
      </c>
      <c r="AJ63" s="140">
        <f>IF(AJ$13="","",IF($B63="","",IFERROR(S63*$E63/100,"")))</f>
        <v/>
      </c>
      <c r="AK63" s="140">
        <f>IF(AK$13="","",IF($B63="","",IFERROR(T63*$E63/100,"")))</f>
        <v/>
      </c>
      <c r="AL63" s="140">
        <f>IF(AL$13="","",IF($B63="","",IFERROR(U63*$E63/100,"")))</f>
        <v/>
      </c>
      <c r="AN63" s="140">
        <f>IF($B63="","",SUMIF($F$13:$U$13,"&lt;="&amp;Sector!$D$51,$F63:$U63))</f>
        <v/>
      </c>
      <c r="AO63" s="140">
        <f>IF($B63="","",SUMIF($W$13:$AL$13,"&lt;="&amp;Sector!$D$51,$W63:$AL63))</f>
        <v/>
      </c>
    </row>
    <row r="64">
      <c r="B64" s="5">
        <f>IF(AS51!$C$54="","",AS51!$C$54)</f>
        <v/>
      </c>
      <c r="C64" s="90">
        <f>IF(AS51!$B$54="","",AS51!$B$54)</f>
        <v/>
      </c>
      <c r="D64" s="138">
        <f>IFERROR(AS51!$Q$54,1)</f>
        <v/>
      </c>
      <c r="E64" s="139">
        <f>IF($B64="","",IF(ISNUMBER(AS51!$I$54),AS51!$I$54,'Index Summary'!$C$7))</f>
        <v/>
      </c>
      <c r="F64" s="140">
        <f>IF(F$13="","",IF($B64="","",IFERROR($C64*$D64*IF((Override!$C$4="ON")*(COUNTIFS(Override!$B$11:$B$40,$B64,Override!$D$11:$D$40,1,Override!$E$11:$E$40,"&gt;=0")-COUNTIFS(Override!$B$11:$B$40,$B64,Override!$D$11:$D$40,1,Override!$E$11:$E$40,"&gt;=0",Override!$C$11:$C$40,"MXAU"))&gt;0,SUMIFS(Override!$E$11:$E$40,Override!$B$11:$B$40,$B64,Override!$D$11:$D$40,1)-SUMIFS(Override!$E$11:$E$40,Override!$B$11:$B$40,$B64,Override!$D$11:$D$40,1,Override!$C$11:$C$40,"MXAU"),Override!$C$99)/AS51!$B$3,"")))</f>
        <v/>
      </c>
      <c r="G64" s="140">
        <f>IF(G$13="","",IF($B64="","",IFERROR($C64*$D64*IF((Override!$C$4="ON")*(COUNTIFS(Override!$B$11:$B$40,$B64,Override!$D$11:$D$40,2,Override!$E$11:$E$40,"&gt;=0")-COUNTIFS(Override!$B$11:$B$40,$B64,Override!$D$11:$D$40,2,Override!$E$11:$E$40,"&gt;=0",Override!$C$11:$C$40,"MXAU"))&gt;0,SUMIFS(Override!$E$11:$E$40,Override!$B$11:$B$40,$B64,Override!$D$11:$D$40,2)-SUMIFS(Override!$E$11:$E$40,Override!$B$11:$B$40,$B64,Override!$D$11:$D$40,2,Override!$C$11:$C$40,"MXAU"),Override!$D$99)/AS51!$B$3,"")))</f>
        <v/>
      </c>
      <c r="H64" s="140">
        <f>IF(H$13="","",IF($B64="","",IFERROR($C64*$D64*IF((Override!$C$4="ON")*(COUNTIFS(Override!$B$11:$B$40,$B64,Override!$D$11:$D$40,3,Override!$E$11:$E$40,"&gt;=0")-COUNTIFS(Override!$B$11:$B$40,$B64,Override!$D$11:$D$40,3,Override!$E$11:$E$40,"&gt;=0",Override!$C$11:$C$40,"MXAU"))&gt;0,SUMIFS(Override!$E$11:$E$40,Override!$B$11:$B$40,$B64,Override!$D$11:$D$40,3)-SUMIFS(Override!$E$11:$E$40,Override!$B$11:$B$40,$B64,Override!$D$11:$D$40,3,Override!$C$11:$C$40,"MXAU"),Override!$E$99)/AS51!$B$3,"")))</f>
        <v/>
      </c>
      <c r="I64" s="140">
        <f>IF(I$13="","",IF($B64="","",IFERROR($C64*$D64*IF((Override!$C$4="ON")*(COUNTIFS(Override!$B$11:$B$40,$B64,Override!$D$11:$D$40,4,Override!$E$11:$E$40,"&gt;=0")-COUNTIFS(Override!$B$11:$B$40,$B64,Override!$D$11:$D$40,4,Override!$E$11:$E$40,"&gt;=0",Override!$C$11:$C$40,"MXAU"))&gt;0,SUMIFS(Override!$E$11:$E$40,Override!$B$11:$B$40,$B64,Override!$D$11:$D$40,4)-SUMIFS(Override!$E$11:$E$40,Override!$B$11:$B$40,$B64,Override!$D$11:$D$40,4,Override!$C$11:$C$40,"MXAU"),Override!$F$99)/AS51!$B$3,"")))</f>
        <v/>
      </c>
      <c r="J64" s="140">
        <f>IF(J$13="","",IF($B64="","",IFERROR($C64*$D64*IF((Override!$C$4="ON")*(COUNTIFS(Override!$B$11:$B$40,$B64,Override!$D$11:$D$40,5,Override!$E$11:$E$40,"&gt;=0")-COUNTIFS(Override!$B$11:$B$40,$B64,Override!$D$11:$D$40,5,Override!$E$11:$E$40,"&gt;=0",Override!$C$11:$C$40,"MXAU"))&gt;0,SUMIFS(Override!$E$11:$E$40,Override!$B$11:$B$40,$B64,Override!$D$11:$D$40,5)-SUMIFS(Override!$E$11:$E$40,Override!$B$11:$B$40,$B64,Override!$D$11:$D$40,5,Override!$C$11:$C$40,"MXAU"),Override!$G$99)/AS51!$B$3,"")))</f>
        <v/>
      </c>
      <c r="K64" s="140">
        <f>IF(K$13="","",IF($B64="","",IFERROR($C64*$D64*IF((Override!$C$4="ON")*(COUNTIFS(Override!$B$11:$B$40,$B64,Override!$D$11:$D$40,6,Override!$E$11:$E$40,"&gt;=0")-COUNTIFS(Override!$B$11:$B$40,$B64,Override!$D$11:$D$40,6,Override!$E$11:$E$40,"&gt;=0",Override!$C$11:$C$40,"MXAU"))&gt;0,SUMIFS(Override!$E$11:$E$40,Override!$B$11:$B$40,$B64,Override!$D$11:$D$40,6)-SUMIFS(Override!$E$11:$E$40,Override!$B$11:$B$40,$B64,Override!$D$11:$D$40,6,Override!$C$11:$C$40,"MXAU"),Override!$H$99)/AS51!$B$3,"")))</f>
        <v/>
      </c>
      <c r="L64" s="140">
        <f>IF(L$13="","",IF($B64="","",IFERROR($C64*$D64*IF((Override!$C$4="ON")*(COUNTIFS(Override!$B$11:$B$40,$B64,Override!$D$11:$D$40,7,Override!$E$11:$E$40,"&gt;=0")-COUNTIFS(Override!$B$11:$B$40,$B64,Override!$D$11:$D$40,7,Override!$E$11:$E$40,"&gt;=0",Override!$C$11:$C$40,"MXAU"))&gt;0,SUMIFS(Override!$E$11:$E$40,Override!$B$11:$B$40,$B64,Override!$D$11:$D$40,7)-SUMIFS(Override!$E$11:$E$40,Override!$B$11:$B$40,$B64,Override!$D$11:$D$40,7,Override!$C$11:$C$40,"MXAU"),Override!$I$99)/AS51!$B$3,"")))</f>
        <v/>
      </c>
      <c r="M64" s="140">
        <f>IF(M$13="","",IF($B64="","",IFERROR($C64*$D64*IF((Override!$C$4="ON")*(COUNTIFS(Override!$B$11:$B$40,$B64,Override!$D$11:$D$40,8,Override!$E$11:$E$40,"&gt;=0")-COUNTIFS(Override!$B$11:$B$40,$B64,Override!$D$11:$D$40,8,Override!$E$11:$E$40,"&gt;=0",Override!$C$11:$C$40,"MXAU"))&gt;0,SUMIFS(Override!$E$11:$E$40,Override!$B$11:$B$40,$B64,Override!$D$11:$D$40,8)-SUMIFS(Override!$E$11:$E$40,Override!$B$11:$B$40,$B64,Override!$D$11:$D$40,8,Override!$C$11:$C$40,"MXAU"),Override!$J$99)/AS51!$B$3,"")))</f>
        <v/>
      </c>
      <c r="N64" s="140">
        <f>IF(N$13="","",IF($B64="","",IFERROR($C64*$D64*IF((Override!$C$4="ON")*(COUNTIFS(Override!$B$11:$B$40,$B64,Override!$D$11:$D$40,9,Override!$E$11:$E$40,"&gt;=0")-COUNTIFS(Override!$B$11:$B$40,$B64,Override!$D$11:$D$40,9,Override!$E$11:$E$40,"&gt;=0",Override!$C$11:$C$40,"MXAU"))&gt;0,SUMIFS(Override!$E$11:$E$40,Override!$B$11:$B$40,$B64,Override!$D$11:$D$40,9)-SUMIFS(Override!$E$11:$E$40,Override!$B$11:$B$40,$B64,Override!$D$11:$D$40,9,Override!$C$11:$C$40,"MXAU"),Override!$K$99)/AS51!$B$3,"")))</f>
        <v/>
      </c>
      <c r="O64" s="140">
        <f>IF(O$13="","",IF($B64="","",IFERROR($C64*$D64*IF((Override!$C$4="ON")*(COUNTIFS(Override!$B$11:$B$40,$B64,Override!$D$11:$D$40,10,Override!$E$11:$E$40,"&gt;=0")-COUNTIFS(Override!$B$11:$B$40,$B64,Override!$D$11:$D$40,10,Override!$E$11:$E$40,"&gt;=0",Override!$C$11:$C$40,"MXAU"))&gt;0,SUMIFS(Override!$E$11:$E$40,Override!$B$11:$B$40,$B64,Override!$D$11:$D$40,10)-SUMIFS(Override!$E$11:$E$40,Override!$B$11:$B$40,$B64,Override!$D$11:$D$40,10,Override!$C$11:$C$40,"MXAU"),Override!$L$99)/AS51!$B$3,"")))</f>
        <v/>
      </c>
      <c r="P64" s="140">
        <f>IF(P$13="","",IF($B64="","",IFERROR($C64*$D64*IF((Override!$C$4="ON")*(COUNTIFS(Override!$B$11:$B$40,$B64,Override!$D$11:$D$40,11,Override!$E$11:$E$40,"&gt;=0")-COUNTIFS(Override!$B$11:$B$40,$B64,Override!$D$11:$D$40,11,Override!$E$11:$E$40,"&gt;=0",Override!$C$11:$C$40,"MXAU"))&gt;0,SUMIFS(Override!$E$11:$E$40,Override!$B$11:$B$40,$B64,Override!$D$11:$D$40,11)-SUMIFS(Override!$E$11:$E$40,Override!$B$11:$B$40,$B64,Override!$D$11:$D$40,11,Override!$C$11:$C$40,"MXAU"),Override!$M$99)/AS51!$B$3,"")))</f>
        <v/>
      </c>
      <c r="Q64" s="140">
        <f>IF(Q$13="","",IF($B64="","",IFERROR($C64*$D64*IF((Override!$C$4="ON")*(COUNTIFS(Override!$B$11:$B$40,$B64,Override!$D$11:$D$40,12,Override!$E$11:$E$40,"&gt;=0")-COUNTIFS(Override!$B$11:$B$40,$B64,Override!$D$11:$D$40,12,Override!$E$11:$E$40,"&gt;=0",Override!$C$11:$C$40,"MXAU"))&gt;0,SUMIFS(Override!$E$11:$E$40,Override!$B$11:$B$40,$B64,Override!$D$11:$D$40,12)-SUMIFS(Override!$E$11:$E$40,Override!$B$11:$B$40,$B64,Override!$D$11:$D$40,12,Override!$C$11:$C$40,"MXAU"),Override!$N$99)/AS51!$B$3,"")))</f>
        <v/>
      </c>
      <c r="R64" s="140">
        <f>IF(R$13="","",IF($B64="","",IFERROR($C64*$D64*IF((Override!$C$4="ON")*(COUNTIFS(Override!$B$11:$B$40,$B64,Override!$D$11:$D$40,13,Override!$E$11:$E$40,"&gt;=0")-COUNTIFS(Override!$B$11:$B$40,$B64,Override!$D$11:$D$40,13,Override!$E$11:$E$40,"&gt;=0",Override!$C$11:$C$40,"MXAU"))&gt;0,SUMIFS(Override!$E$11:$E$40,Override!$B$11:$B$40,$B64,Override!$D$11:$D$40,13)-SUMIFS(Override!$E$11:$E$40,Override!$B$11:$B$40,$B64,Override!$D$11:$D$40,13,Override!$C$11:$C$40,"MXAU"),Override!$O$99)/AS51!$B$3,"")))</f>
        <v/>
      </c>
      <c r="S64" s="140">
        <f>IF(S$13="","",IF($B64="","",IFERROR($C64*$D64*IF((Override!$C$4="ON")*(COUNTIFS(Override!$B$11:$B$40,$B64,Override!$D$11:$D$40,14,Override!$E$11:$E$40,"&gt;=0")-COUNTIFS(Override!$B$11:$B$40,$B64,Override!$D$11:$D$40,14,Override!$E$11:$E$40,"&gt;=0",Override!$C$11:$C$40,"MXAU"))&gt;0,SUMIFS(Override!$E$11:$E$40,Override!$B$11:$B$40,$B64,Override!$D$11:$D$40,14)-SUMIFS(Override!$E$11:$E$40,Override!$B$11:$B$40,$B64,Override!$D$11:$D$40,14,Override!$C$11:$C$40,"MXAU"),Override!$P$99)/AS51!$B$3,"")))</f>
        <v/>
      </c>
      <c r="T64" s="140">
        <f>IF(T$13="","",IF($B64="","",IFERROR($C64*$D64*IF((Override!$C$4="ON")*(COUNTIFS(Override!$B$11:$B$40,$B64,Override!$D$11:$D$40,15,Override!$E$11:$E$40,"&gt;=0")-COUNTIFS(Override!$B$11:$B$40,$B64,Override!$D$11:$D$40,15,Override!$E$11:$E$40,"&gt;=0",Override!$C$11:$C$40,"MXAU"))&gt;0,SUMIFS(Override!$E$11:$E$40,Override!$B$11:$B$40,$B64,Override!$D$11:$D$40,15)-SUMIFS(Override!$E$11:$E$40,Override!$B$11:$B$40,$B64,Override!$D$11:$D$40,15,Override!$C$11:$C$40,"MXAU"),Override!$Q$99)/AS51!$B$3,"")))</f>
        <v/>
      </c>
      <c r="U64" s="140">
        <f>IF(U$13="","",IF($B64="","",IFERROR($C64*$D64*IF((Override!$C$4="ON")*(COUNTIFS(Override!$B$11:$B$40,$B64,Override!$D$11:$D$40,16,Override!$E$11:$E$40,"&gt;=0")-COUNTIFS(Override!$B$11:$B$40,$B64,Override!$D$11:$D$40,16,Override!$E$11:$E$40,"&gt;=0",Override!$C$11:$C$40,"MXAU"))&gt;0,SUMIFS(Override!$E$11:$E$40,Override!$B$11:$B$40,$B64,Override!$D$11:$D$40,16)-SUMIFS(Override!$E$11:$E$40,Override!$B$11:$B$40,$B64,Override!$D$11:$D$40,16,Override!$C$11:$C$40,"MXAU"),Override!$R$99)/AS51!$B$3,"")))</f>
        <v/>
      </c>
      <c r="W64" s="140">
        <f>IF(W$13="","",IF($B64="","",IFERROR(F64*$E64/100,"")))</f>
        <v/>
      </c>
      <c r="X64" s="140">
        <f>IF(X$13="","",IF($B64="","",IFERROR(G64*$E64/100,"")))</f>
        <v/>
      </c>
      <c r="Y64" s="140">
        <f>IF(Y$13="","",IF($B64="","",IFERROR(H64*$E64/100,"")))</f>
        <v/>
      </c>
      <c r="Z64" s="140">
        <f>IF(Z$13="","",IF($B64="","",IFERROR(I64*$E64/100,"")))</f>
        <v/>
      </c>
      <c r="AA64" s="140">
        <f>IF(AA$13="","",IF($B64="","",IFERROR(J64*$E64/100,"")))</f>
        <v/>
      </c>
      <c r="AB64" s="140">
        <f>IF(AB$13="","",IF($B64="","",IFERROR(K64*$E64/100,"")))</f>
        <v/>
      </c>
      <c r="AC64" s="140">
        <f>IF(AC$13="","",IF($B64="","",IFERROR(L64*$E64/100,"")))</f>
        <v/>
      </c>
      <c r="AD64" s="140">
        <f>IF(AD$13="","",IF($B64="","",IFERROR(M64*$E64/100,"")))</f>
        <v/>
      </c>
      <c r="AE64" s="140">
        <f>IF(AE$13="","",IF($B64="","",IFERROR(N64*$E64/100,"")))</f>
        <v/>
      </c>
      <c r="AF64" s="140">
        <f>IF(AF$13="","",IF($B64="","",IFERROR(O64*$E64/100,"")))</f>
        <v/>
      </c>
      <c r="AG64" s="140">
        <f>IF(AG$13="","",IF($B64="","",IFERROR(P64*$E64/100,"")))</f>
        <v/>
      </c>
      <c r="AH64" s="140">
        <f>IF(AH$13="","",IF($B64="","",IFERROR(Q64*$E64/100,"")))</f>
        <v/>
      </c>
      <c r="AI64" s="140">
        <f>IF(AI$13="","",IF($B64="","",IFERROR(R64*$E64/100,"")))</f>
        <v/>
      </c>
      <c r="AJ64" s="140">
        <f>IF(AJ$13="","",IF($B64="","",IFERROR(S64*$E64/100,"")))</f>
        <v/>
      </c>
      <c r="AK64" s="140">
        <f>IF(AK$13="","",IF($B64="","",IFERROR(T64*$E64/100,"")))</f>
        <v/>
      </c>
      <c r="AL64" s="140">
        <f>IF(AL$13="","",IF($B64="","",IFERROR(U64*$E64/100,"")))</f>
        <v/>
      </c>
      <c r="AN64" s="140">
        <f>IF($B64="","",SUMIF($F$13:$U$13,"&lt;="&amp;Sector!$D$51,$F64:$U64))</f>
        <v/>
      </c>
      <c r="AO64" s="140">
        <f>IF($B64="","",SUMIF($W$13:$AL$13,"&lt;="&amp;Sector!$D$51,$W64:$AL64))</f>
        <v/>
      </c>
    </row>
    <row r="65">
      <c r="B65" s="5">
        <f>IF(AS51!$C$55="","",AS51!$C$55)</f>
        <v/>
      </c>
      <c r="C65" s="90">
        <f>IF(AS51!$B$55="","",AS51!$B$55)</f>
        <v/>
      </c>
      <c r="D65" s="138">
        <f>IFERROR(AS51!$Q$55,1)</f>
        <v/>
      </c>
      <c r="E65" s="139">
        <f>IF($B65="","",IF(ISNUMBER(AS51!$I$55),AS51!$I$55,'Index Summary'!$C$7))</f>
        <v/>
      </c>
      <c r="F65" s="140">
        <f>IF(F$13="","",IF($B65="","",IFERROR($C65*$D65*IF((Override!$C$4="ON")*(COUNTIFS(Override!$B$11:$B$40,$B65,Override!$D$11:$D$40,1,Override!$E$11:$E$40,"&gt;=0")-COUNTIFS(Override!$B$11:$B$40,$B65,Override!$D$11:$D$40,1,Override!$E$11:$E$40,"&gt;=0",Override!$C$11:$C$40,"MXAU"))&gt;0,SUMIFS(Override!$E$11:$E$40,Override!$B$11:$B$40,$B65,Override!$D$11:$D$40,1)-SUMIFS(Override!$E$11:$E$40,Override!$B$11:$B$40,$B65,Override!$D$11:$D$40,1,Override!$C$11:$C$40,"MXAU"),Override!$C$100)/AS51!$B$3,"")))</f>
        <v/>
      </c>
      <c r="G65" s="140">
        <f>IF(G$13="","",IF($B65="","",IFERROR($C65*$D65*IF((Override!$C$4="ON")*(COUNTIFS(Override!$B$11:$B$40,$B65,Override!$D$11:$D$40,2,Override!$E$11:$E$40,"&gt;=0")-COUNTIFS(Override!$B$11:$B$40,$B65,Override!$D$11:$D$40,2,Override!$E$11:$E$40,"&gt;=0",Override!$C$11:$C$40,"MXAU"))&gt;0,SUMIFS(Override!$E$11:$E$40,Override!$B$11:$B$40,$B65,Override!$D$11:$D$40,2)-SUMIFS(Override!$E$11:$E$40,Override!$B$11:$B$40,$B65,Override!$D$11:$D$40,2,Override!$C$11:$C$40,"MXAU"),Override!$D$100)/AS51!$B$3,"")))</f>
        <v/>
      </c>
      <c r="H65" s="140">
        <f>IF(H$13="","",IF($B65="","",IFERROR($C65*$D65*IF((Override!$C$4="ON")*(COUNTIFS(Override!$B$11:$B$40,$B65,Override!$D$11:$D$40,3,Override!$E$11:$E$40,"&gt;=0")-COUNTIFS(Override!$B$11:$B$40,$B65,Override!$D$11:$D$40,3,Override!$E$11:$E$40,"&gt;=0",Override!$C$11:$C$40,"MXAU"))&gt;0,SUMIFS(Override!$E$11:$E$40,Override!$B$11:$B$40,$B65,Override!$D$11:$D$40,3)-SUMIFS(Override!$E$11:$E$40,Override!$B$11:$B$40,$B65,Override!$D$11:$D$40,3,Override!$C$11:$C$40,"MXAU"),Override!$E$100)/AS51!$B$3,"")))</f>
        <v/>
      </c>
      <c r="I65" s="140">
        <f>IF(I$13="","",IF($B65="","",IFERROR($C65*$D65*IF((Override!$C$4="ON")*(COUNTIFS(Override!$B$11:$B$40,$B65,Override!$D$11:$D$40,4,Override!$E$11:$E$40,"&gt;=0")-COUNTIFS(Override!$B$11:$B$40,$B65,Override!$D$11:$D$40,4,Override!$E$11:$E$40,"&gt;=0",Override!$C$11:$C$40,"MXAU"))&gt;0,SUMIFS(Override!$E$11:$E$40,Override!$B$11:$B$40,$B65,Override!$D$11:$D$40,4)-SUMIFS(Override!$E$11:$E$40,Override!$B$11:$B$40,$B65,Override!$D$11:$D$40,4,Override!$C$11:$C$40,"MXAU"),Override!$F$100)/AS51!$B$3,"")))</f>
        <v/>
      </c>
      <c r="J65" s="140">
        <f>IF(J$13="","",IF($B65="","",IFERROR($C65*$D65*IF((Override!$C$4="ON")*(COUNTIFS(Override!$B$11:$B$40,$B65,Override!$D$11:$D$40,5,Override!$E$11:$E$40,"&gt;=0")-COUNTIFS(Override!$B$11:$B$40,$B65,Override!$D$11:$D$40,5,Override!$E$11:$E$40,"&gt;=0",Override!$C$11:$C$40,"MXAU"))&gt;0,SUMIFS(Override!$E$11:$E$40,Override!$B$11:$B$40,$B65,Override!$D$11:$D$40,5)-SUMIFS(Override!$E$11:$E$40,Override!$B$11:$B$40,$B65,Override!$D$11:$D$40,5,Override!$C$11:$C$40,"MXAU"),Override!$G$100)/AS51!$B$3,"")))</f>
        <v/>
      </c>
      <c r="K65" s="140">
        <f>IF(K$13="","",IF($B65="","",IFERROR($C65*$D65*IF((Override!$C$4="ON")*(COUNTIFS(Override!$B$11:$B$40,$B65,Override!$D$11:$D$40,6,Override!$E$11:$E$40,"&gt;=0")-COUNTIFS(Override!$B$11:$B$40,$B65,Override!$D$11:$D$40,6,Override!$E$11:$E$40,"&gt;=0",Override!$C$11:$C$40,"MXAU"))&gt;0,SUMIFS(Override!$E$11:$E$40,Override!$B$11:$B$40,$B65,Override!$D$11:$D$40,6)-SUMIFS(Override!$E$11:$E$40,Override!$B$11:$B$40,$B65,Override!$D$11:$D$40,6,Override!$C$11:$C$40,"MXAU"),Override!$H$100)/AS51!$B$3,"")))</f>
        <v/>
      </c>
      <c r="L65" s="140">
        <f>IF(L$13="","",IF($B65="","",IFERROR($C65*$D65*IF((Override!$C$4="ON")*(COUNTIFS(Override!$B$11:$B$40,$B65,Override!$D$11:$D$40,7,Override!$E$11:$E$40,"&gt;=0")-COUNTIFS(Override!$B$11:$B$40,$B65,Override!$D$11:$D$40,7,Override!$E$11:$E$40,"&gt;=0",Override!$C$11:$C$40,"MXAU"))&gt;0,SUMIFS(Override!$E$11:$E$40,Override!$B$11:$B$40,$B65,Override!$D$11:$D$40,7)-SUMIFS(Override!$E$11:$E$40,Override!$B$11:$B$40,$B65,Override!$D$11:$D$40,7,Override!$C$11:$C$40,"MXAU"),Override!$I$100)/AS51!$B$3,"")))</f>
        <v/>
      </c>
      <c r="M65" s="140">
        <f>IF(M$13="","",IF($B65="","",IFERROR($C65*$D65*IF((Override!$C$4="ON")*(COUNTIFS(Override!$B$11:$B$40,$B65,Override!$D$11:$D$40,8,Override!$E$11:$E$40,"&gt;=0")-COUNTIFS(Override!$B$11:$B$40,$B65,Override!$D$11:$D$40,8,Override!$E$11:$E$40,"&gt;=0",Override!$C$11:$C$40,"MXAU"))&gt;0,SUMIFS(Override!$E$11:$E$40,Override!$B$11:$B$40,$B65,Override!$D$11:$D$40,8)-SUMIFS(Override!$E$11:$E$40,Override!$B$11:$B$40,$B65,Override!$D$11:$D$40,8,Override!$C$11:$C$40,"MXAU"),Override!$J$100)/AS51!$B$3,"")))</f>
        <v/>
      </c>
      <c r="N65" s="140">
        <f>IF(N$13="","",IF($B65="","",IFERROR($C65*$D65*IF((Override!$C$4="ON")*(COUNTIFS(Override!$B$11:$B$40,$B65,Override!$D$11:$D$40,9,Override!$E$11:$E$40,"&gt;=0")-COUNTIFS(Override!$B$11:$B$40,$B65,Override!$D$11:$D$40,9,Override!$E$11:$E$40,"&gt;=0",Override!$C$11:$C$40,"MXAU"))&gt;0,SUMIFS(Override!$E$11:$E$40,Override!$B$11:$B$40,$B65,Override!$D$11:$D$40,9)-SUMIFS(Override!$E$11:$E$40,Override!$B$11:$B$40,$B65,Override!$D$11:$D$40,9,Override!$C$11:$C$40,"MXAU"),Override!$K$100)/AS51!$B$3,"")))</f>
        <v/>
      </c>
      <c r="O65" s="140">
        <f>IF(O$13="","",IF($B65="","",IFERROR($C65*$D65*IF((Override!$C$4="ON")*(COUNTIFS(Override!$B$11:$B$40,$B65,Override!$D$11:$D$40,10,Override!$E$11:$E$40,"&gt;=0")-COUNTIFS(Override!$B$11:$B$40,$B65,Override!$D$11:$D$40,10,Override!$E$11:$E$40,"&gt;=0",Override!$C$11:$C$40,"MXAU"))&gt;0,SUMIFS(Override!$E$11:$E$40,Override!$B$11:$B$40,$B65,Override!$D$11:$D$40,10)-SUMIFS(Override!$E$11:$E$40,Override!$B$11:$B$40,$B65,Override!$D$11:$D$40,10,Override!$C$11:$C$40,"MXAU"),Override!$L$100)/AS51!$B$3,"")))</f>
        <v/>
      </c>
      <c r="P65" s="140">
        <f>IF(P$13="","",IF($B65="","",IFERROR($C65*$D65*IF((Override!$C$4="ON")*(COUNTIFS(Override!$B$11:$B$40,$B65,Override!$D$11:$D$40,11,Override!$E$11:$E$40,"&gt;=0")-COUNTIFS(Override!$B$11:$B$40,$B65,Override!$D$11:$D$40,11,Override!$E$11:$E$40,"&gt;=0",Override!$C$11:$C$40,"MXAU"))&gt;0,SUMIFS(Override!$E$11:$E$40,Override!$B$11:$B$40,$B65,Override!$D$11:$D$40,11)-SUMIFS(Override!$E$11:$E$40,Override!$B$11:$B$40,$B65,Override!$D$11:$D$40,11,Override!$C$11:$C$40,"MXAU"),Override!$M$100)/AS51!$B$3,"")))</f>
        <v/>
      </c>
      <c r="Q65" s="140">
        <f>IF(Q$13="","",IF($B65="","",IFERROR($C65*$D65*IF((Override!$C$4="ON")*(COUNTIFS(Override!$B$11:$B$40,$B65,Override!$D$11:$D$40,12,Override!$E$11:$E$40,"&gt;=0")-COUNTIFS(Override!$B$11:$B$40,$B65,Override!$D$11:$D$40,12,Override!$E$11:$E$40,"&gt;=0",Override!$C$11:$C$40,"MXAU"))&gt;0,SUMIFS(Override!$E$11:$E$40,Override!$B$11:$B$40,$B65,Override!$D$11:$D$40,12)-SUMIFS(Override!$E$11:$E$40,Override!$B$11:$B$40,$B65,Override!$D$11:$D$40,12,Override!$C$11:$C$40,"MXAU"),Override!$N$100)/AS51!$B$3,"")))</f>
        <v/>
      </c>
      <c r="R65" s="140">
        <f>IF(R$13="","",IF($B65="","",IFERROR($C65*$D65*IF((Override!$C$4="ON")*(COUNTIFS(Override!$B$11:$B$40,$B65,Override!$D$11:$D$40,13,Override!$E$11:$E$40,"&gt;=0")-COUNTIFS(Override!$B$11:$B$40,$B65,Override!$D$11:$D$40,13,Override!$E$11:$E$40,"&gt;=0",Override!$C$11:$C$40,"MXAU"))&gt;0,SUMIFS(Override!$E$11:$E$40,Override!$B$11:$B$40,$B65,Override!$D$11:$D$40,13)-SUMIFS(Override!$E$11:$E$40,Override!$B$11:$B$40,$B65,Override!$D$11:$D$40,13,Override!$C$11:$C$40,"MXAU"),Override!$O$100)/AS51!$B$3,"")))</f>
        <v/>
      </c>
      <c r="S65" s="140">
        <f>IF(S$13="","",IF($B65="","",IFERROR($C65*$D65*IF((Override!$C$4="ON")*(COUNTIFS(Override!$B$11:$B$40,$B65,Override!$D$11:$D$40,14,Override!$E$11:$E$40,"&gt;=0")-COUNTIFS(Override!$B$11:$B$40,$B65,Override!$D$11:$D$40,14,Override!$E$11:$E$40,"&gt;=0",Override!$C$11:$C$40,"MXAU"))&gt;0,SUMIFS(Override!$E$11:$E$40,Override!$B$11:$B$40,$B65,Override!$D$11:$D$40,14)-SUMIFS(Override!$E$11:$E$40,Override!$B$11:$B$40,$B65,Override!$D$11:$D$40,14,Override!$C$11:$C$40,"MXAU"),Override!$P$100)/AS51!$B$3,"")))</f>
        <v/>
      </c>
      <c r="T65" s="140">
        <f>IF(T$13="","",IF($B65="","",IFERROR($C65*$D65*IF((Override!$C$4="ON")*(COUNTIFS(Override!$B$11:$B$40,$B65,Override!$D$11:$D$40,15,Override!$E$11:$E$40,"&gt;=0")-COUNTIFS(Override!$B$11:$B$40,$B65,Override!$D$11:$D$40,15,Override!$E$11:$E$40,"&gt;=0",Override!$C$11:$C$40,"MXAU"))&gt;0,SUMIFS(Override!$E$11:$E$40,Override!$B$11:$B$40,$B65,Override!$D$11:$D$40,15)-SUMIFS(Override!$E$11:$E$40,Override!$B$11:$B$40,$B65,Override!$D$11:$D$40,15,Override!$C$11:$C$40,"MXAU"),Override!$Q$100)/AS51!$B$3,"")))</f>
        <v/>
      </c>
      <c r="U65" s="140">
        <f>IF(U$13="","",IF($B65="","",IFERROR($C65*$D65*IF((Override!$C$4="ON")*(COUNTIFS(Override!$B$11:$B$40,$B65,Override!$D$11:$D$40,16,Override!$E$11:$E$40,"&gt;=0")-COUNTIFS(Override!$B$11:$B$40,$B65,Override!$D$11:$D$40,16,Override!$E$11:$E$40,"&gt;=0",Override!$C$11:$C$40,"MXAU"))&gt;0,SUMIFS(Override!$E$11:$E$40,Override!$B$11:$B$40,$B65,Override!$D$11:$D$40,16)-SUMIFS(Override!$E$11:$E$40,Override!$B$11:$B$40,$B65,Override!$D$11:$D$40,16,Override!$C$11:$C$40,"MXAU"),Override!$R$100)/AS51!$B$3,"")))</f>
        <v/>
      </c>
      <c r="W65" s="140">
        <f>IF(W$13="","",IF($B65="","",IFERROR(F65*$E65/100,"")))</f>
        <v/>
      </c>
      <c r="X65" s="140">
        <f>IF(X$13="","",IF($B65="","",IFERROR(G65*$E65/100,"")))</f>
        <v/>
      </c>
      <c r="Y65" s="140">
        <f>IF(Y$13="","",IF($B65="","",IFERROR(H65*$E65/100,"")))</f>
        <v/>
      </c>
      <c r="Z65" s="140">
        <f>IF(Z$13="","",IF($B65="","",IFERROR(I65*$E65/100,"")))</f>
        <v/>
      </c>
      <c r="AA65" s="140">
        <f>IF(AA$13="","",IF($B65="","",IFERROR(J65*$E65/100,"")))</f>
        <v/>
      </c>
      <c r="AB65" s="140">
        <f>IF(AB$13="","",IF($B65="","",IFERROR(K65*$E65/100,"")))</f>
        <v/>
      </c>
      <c r="AC65" s="140">
        <f>IF(AC$13="","",IF($B65="","",IFERROR(L65*$E65/100,"")))</f>
        <v/>
      </c>
      <c r="AD65" s="140">
        <f>IF(AD$13="","",IF($B65="","",IFERROR(M65*$E65/100,"")))</f>
        <v/>
      </c>
      <c r="AE65" s="140">
        <f>IF(AE$13="","",IF($B65="","",IFERROR(N65*$E65/100,"")))</f>
        <v/>
      </c>
      <c r="AF65" s="140">
        <f>IF(AF$13="","",IF($B65="","",IFERROR(O65*$E65/100,"")))</f>
        <v/>
      </c>
      <c r="AG65" s="140">
        <f>IF(AG$13="","",IF($B65="","",IFERROR(P65*$E65/100,"")))</f>
        <v/>
      </c>
      <c r="AH65" s="140">
        <f>IF(AH$13="","",IF($B65="","",IFERROR(Q65*$E65/100,"")))</f>
        <v/>
      </c>
      <c r="AI65" s="140">
        <f>IF(AI$13="","",IF($B65="","",IFERROR(R65*$E65/100,"")))</f>
        <v/>
      </c>
      <c r="AJ65" s="140">
        <f>IF(AJ$13="","",IF($B65="","",IFERROR(S65*$E65/100,"")))</f>
        <v/>
      </c>
      <c r="AK65" s="140">
        <f>IF(AK$13="","",IF($B65="","",IFERROR(T65*$E65/100,"")))</f>
        <v/>
      </c>
      <c r="AL65" s="140">
        <f>IF(AL$13="","",IF($B65="","",IFERROR(U65*$E65/100,"")))</f>
        <v/>
      </c>
      <c r="AN65" s="140">
        <f>IF($B65="","",SUMIF($F$13:$U$13,"&lt;="&amp;Sector!$D$51,$F65:$U65))</f>
        <v/>
      </c>
      <c r="AO65" s="140">
        <f>IF($B65="","",SUMIF($W$13:$AL$13,"&lt;="&amp;Sector!$D$51,$W65:$AL65))</f>
        <v/>
      </c>
    </row>
    <row r="66">
      <c r="B66" s="5">
        <f>IF(AS51!$C$56="","",AS51!$C$56)</f>
        <v/>
      </c>
      <c r="C66" s="90">
        <f>IF(AS51!$B$56="","",AS51!$B$56)</f>
        <v/>
      </c>
      <c r="D66" s="138">
        <f>IFERROR(AS51!$Q$56,1)</f>
        <v/>
      </c>
      <c r="E66" s="139">
        <f>IF($B66="","",IF(ISNUMBER(AS51!$I$56),AS51!$I$56,'Index Summary'!$C$7))</f>
        <v/>
      </c>
      <c r="F66" s="140">
        <f>IF(F$13="","",IF($B66="","",IFERROR($C66*$D66*IF((Override!$C$4="ON")*(COUNTIFS(Override!$B$11:$B$40,$B66,Override!$D$11:$D$40,1,Override!$E$11:$E$40,"&gt;=0")-COUNTIFS(Override!$B$11:$B$40,$B66,Override!$D$11:$D$40,1,Override!$E$11:$E$40,"&gt;=0",Override!$C$11:$C$40,"MXAU"))&gt;0,SUMIFS(Override!$E$11:$E$40,Override!$B$11:$B$40,$B66,Override!$D$11:$D$40,1)-SUMIFS(Override!$E$11:$E$40,Override!$B$11:$B$40,$B66,Override!$D$11:$D$40,1,Override!$C$11:$C$40,"MXAU"),Override!$C$101)/AS51!$B$3,"")))</f>
        <v/>
      </c>
      <c r="G66" s="140">
        <f>IF(G$13="","",IF($B66="","",IFERROR($C66*$D66*IF((Override!$C$4="ON")*(COUNTIFS(Override!$B$11:$B$40,$B66,Override!$D$11:$D$40,2,Override!$E$11:$E$40,"&gt;=0")-COUNTIFS(Override!$B$11:$B$40,$B66,Override!$D$11:$D$40,2,Override!$E$11:$E$40,"&gt;=0",Override!$C$11:$C$40,"MXAU"))&gt;0,SUMIFS(Override!$E$11:$E$40,Override!$B$11:$B$40,$B66,Override!$D$11:$D$40,2)-SUMIFS(Override!$E$11:$E$40,Override!$B$11:$B$40,$B66,Override!$D$11:$D$40,2,Override!$C$11:$C$40,"MXAU"),Override!$D$101)/AS51!$B$3,"")))</f>
        <v/>
      </c>
      <c r="H66" s="140">
        <f>IF(H$13="","",IF($B66="","",IFERROR($C66*$D66*IF((Override!$C$4="ON")*(COUNTIFS(Override!$B$11:$B$40,$B66,Override!$D$11:$D$40,3,Override!$E$11:$E$40,"&gt;=0")-COUNTIFS(Override!$B$11:$B$40,$B66,Override!$D$11:$D$40,3,Override!$E$11:$E$40,"&gt;=0",Override!$C$11:$C$40,"MXAU"))&gt;0,SUMIFS(Override!$E$11:$E$40,Override!$B$11:$B$40,$B66,Override!$D$11:$D$40,3)-SUMIFS(Override!$E$11:$E$40,Override!$B$11:$B$40,$B66,Override!$D$11:$D$40,3,Override!$C$11:$C$40,"MXAU"),Override!$E$101)/AS51!$B$3,"")))</f>
        <v/>
      </c>
      <c r="I66" s="140">
        <f>IF(I$13="","",IF($B66="","",IFERROR($C66*$D66*IF((Override!$C$4="ON")*(COUNTIFS(Override!$B$11:$B$40,$B66,Override!$D$11:$D$40,4,Override!$E$11:$E$40,"&gt;=0")-COUNTIFS(Override!$B$11:$B$40,$B66,Override!$D$11:$D$40,4,Override!$E$11:$E$40,"&gt;=0",Override!$C$11:$C$40,"MXAU"))&gt;0,SUMIFS(Override!$E$11:$E$40,Override!$B$11:$B$40,$B66,Override!$D$11:$D$40,4)-SUMIFS(Override!$E$11:$E$40,Override!$B$11:$B$40,$B66,Override!$D$11:$D$40,4,Override!$C$11:$C$40,"MXAU"),Override!$F$101)/AS51!$B$3,"")))</f>
        <v/>
      </c>
      <c r="J66" s="140">
        <f>IF(J$13="","",IF($B66="","",IFERROR($C66*$D66*IF((Override!$C$4="ON")*(COUNTIFS(Override!$B$11:$B$40,$B66,Override!$D$11:$D$40,5,Override!$E$11:$E$40,"&gt;=0")-COUNTIFS(Override!$B$11:$B$40,$B66,Override!$D$11:$D$40,5,Override!$E$11:$E$40,"&gt;=0",Override!$C$11:$C$40,"MXAU"))&gt;0,SUMIFS(Override!$E$11:$E$40,Override!$B$11:$B$40,$B66,Override!$D$11:$D$40,5)-SUMIFS(Override!$E$11:$E$40,Override!$B$11:$B$40,$B66,Override!$D$11:$D$40,5,Override!$C$11:$C$40,"MXAU"),Override!$G$101)/AS51!$B$3,"")))</f>
        <v/>
      </c>
      <c r="K66" s="140">
        <f>IF(K$13="","",IF($B66="","",IFERROR($C66*$D66*IF((Override!$C$4="ON")*(COUNTIFS(Override!$B$11:$B$40,$B66,Override!$D$11:$D$40,6,Override!$E$11:$E$40,"&gt;=0")-COUNTIFS(Override!$B$11:$B$40,$B66,Override!$D$11:$D$40,6,Override!$E$11:$E$40,"&gt;=0",Override!$C$11:$C$40,"MXAU"))&gt;0,SUMIFS(Override!$E$11:$E$40,Override!$B$11:$B$40,$B66,Override!$D$11:$D$40,6)-SUMIFS(Override!$E$11:$E$40,Override!$B$11:$B$40,$B66,Override!$D$11:$D$40,6,Override!$C$11:$C$40,"MXAU"),Override!$H$101)/AS51!$B$3,"")))</f>
        <v/>
      </c>
      <c r="L66" s="140">
        <f>IF(L$13="","",IF($B66="","",IFERROR($C66*$D66*IF((Override!$C$4="ON")*(COUNTIFS(Override!$B$11:$B$40,$B66,Override!$D$11:$D$40,7,Override!$E$11:$E$40,"&gt;=0")-COUNTIFS(Override!$B$11:$B$40,$B66,Override!$D$11:$D$40,7,Override!$E$11:$E$40,"&gt;=0",Override!$C$11:$C$40,"MXAU"))&gt;0,SUMIFS(Override!$E$11:$E$40,Override!$B$11:$B$40,$B66,Override!$D$11:$D$40,7)-SUMIFS(Override!$E$11:$E$40,Override!$B$11:$B$40,$B66,Override!$D$11:$D$40,7,Override!$C$11:$C$40,"MXAU"),Override!$I$101)/AS51!$B$3,"")))</f>
        <v/>
      </c>
      <c r="M66" s="140">
        <f>IF(M$13="","",IF($B66="","",IFERROR($C66*$D66*IF((Override!$C$4="ON")*(COUNTIFS(Override!$B$11:$B$40,$B66,Override!$D$11:$D$40,8,Override!$E$11:$E$40,"&gt;=0")-COUNTIFS(Override!$B$11:$B$40,$B66,Override!$D$11:$D$40,8,Override!$E$11:$E$40,"&gt;=0",Override!$C$11:$C$40,"MXAU"))&gt;0,SUMIFS(Override!$E$11:$E$40,Override!$B$11:$B$40,$B66,Override!$D$11:$D$40,8)-SUMIFS(Override!$E$11:$E$40,Override!$B$11:$B$40,$B66,Override!$D$11:$D$40,8,Override!$C$11:$C$40,"MXAU"),Override!$J$101)/AS51!$B$3,"")))</f>
        <v/>
      </c>
      <c r="N66" s="140">
        <f>IF(N$13="","",IF($B66="","",IFERROR($C66*$D66*IF((Override!$C$4="ON")*(COUNTIFS(Override!$B$11:$B$40,$B66,Override!$D$11:$D$40,9,Override!$E$11:$E$40,"&gt;=0")-COUNTIFS(Override!$B$11:$B$40,$B66,Override!$D$11:$D$40,9,Override!$E$11:$E$40,"&gt;=0",Override!$C$11:$C$40,"MXAU"))&gt;0,SUMIFS(Override!$E$11:$E$40,Override!$B$11:$B$40,$B66,Override!$D$11:$D$40,9)-SUMIFS(Override!$E$11:$E$40,Override!$B$11:$B$40,$B66,Override!$D$11:$D$40,9,Override!$C$11:$C$40,"MXAU"),Override!$K$101)/AS51!$B$3,"")))</f>
        <v/>
      </c>
      <c r="O66" s="140">
        <f>IF(O$13="","",IF($B66="","",IFERROR($C66*$D66*IF((Override!$C$4="ON")*(COUNTIFS(Override!$B$11:$B$40,$B66,Override!$D$11:$D$40,10,Override!$E$11:$E$40,"&gt;=0")-COUNTIFS(Override!$B$11:$B$40,$B66,Override!$D$11:$D$40,10,Override!$E$11:$E$40,"&gt;=0",Override!$C$11:$C$40,"MXAU"))&gt;0,SUMIFS(Override!$E$11:$E$40,Override!$B$11:$B$40,$B66,Override!$D$11:$D$40,10)-SUMIFS(Override!$E$11:$E$40,Override!$B$11:$B$40,$B66,Override!$D$11:$D$40,10,Override!$C$11:$C$40,"MXAU"),Override!$L$101)/AS51!$B$3,"")))</f>
        <v/>
      </c>
      <c r="P66" s="140">
        <f>IF(P$13="","",IF($B66="","",IFERROR($C66*$D66*IF((Override!$C$4="ON")*(COUNTIFS(Override!$B$11:$B$40,$B66,Override!$D$11:$D$40,11,Override!$E$11:$E$40,"&gt;=0")-COUNTIFS(Override!$B$11:$B$40,$B66,Override!$D$11:$D$40,11,Override!$E$11:$E$40,"&gt;=0",Override!$C$11:$C$40,"MXAU"))&gt;0,SUMIFS(Override!$E$11:$E$40,Override!$B$11:$B$40,$B66,Override!$D$11:$D$40,11)-SUMIFS(Override!$E$11:$E$40,Override!$B$11:$B$40,$B66,Override!$D$11:$D$40,11,Override!$C$11:$C$40,"MXAU"),Override!$M$101)/AS51!$B$3,"")))</f>
        <v/>
      </c>
      <c r="Q66" s="140">
        <f>IF(Q$13="","",IF($B66="","",IFERROR($C66*$D66*IF((Override!$C$4="ON")*(COUNTIFS(Override!$B$11:$B$40,$B66,Override!$D$11:$D$40,12,Override!$E$11:$E$40,"&gt;=0")-COUNTIFS(Override!$B$11:$B$40,$B66,Override!$D$11:$D$40,12,Override!$E$11:$E$40,"&gt;=0",Override!$C$11:$C$40,"MXAU"))&gt;0,SUMIFS(Override!$E$11:$E$40,Override!$B$11:$B$40,$B66,Override!$D$11:$D$40,12)-SUMIFS(Override!$E$11:$E$40,Override!$B$11:$B$40,$B66,Override!$D$11:$D$40,12,Override!$C$11:$C$40,"MXAU"),Override!$N$101)/AS51!$B$3,"")))</f>
        <v/>
      </c>
      <c r="R66" s="140">
        <f>IF(R$13="","",IF($B66="","",IFERROR($C66*$D66*IF((Override!$C$4="ON")*(COUNTIFS(Override!$B$11:$B$40,$B66,Override!$D$11:$D$40,13,Override!$E$11:$E$40,"&gt;=0")-COUNTIFS(Override!$B$11:$B$40,$B66,Override!$D$11:$D$40,13,Override!$E$11:$E$40,"&gt;=0",Override!$C$11:$C$40,"MXAU"))&gt;0,SUMIFS(Override!$E$11:$E$40,Override!$B$11:$B$40,$B66,Override!$D$11:$D$40,13)-SUMIFS(Override!$E$11:$E$40,Override!$B$11:$B$40,$B66,Override!$D$11:$D$40,13,Override!$C$11:$C$40,"MXAU"),Override!$O$101)/AS51!$B$3,"")))</f>
        <v/>
      </c>
      <c r="S66" s="140">
        <f>IF(S$13="","",IF($B66="","",IFERROR($C66*$D66*IF((Override!$C$4="ON")*(COUNTIFS(Override!$B$11:$B$40,$B66,Override!$D$11:$D$40,14,Override!$E$11:$E$40,"&gt;=0")-COUNTIFS(Override!$B$11:$B$40,$B66,Override!$D$11:$D$40,14,Override!$E$11:$E$40,"&gt;=0",Override!$C$11:$C$40,"MXAU"))&gt;0,SUMIFS(Override!$E$11:$E$40,Override!$B$11:$B$40,$B66,Override!$D$11:$D$40,14)-SUMIFS(Override!$E$11:$E$40,Override!$B$11:$B$40,$B66,Override!$D$11:$D$40,14,Override!$C$11:$C$40,"MXAU"),Override!$P$101)/AS51!$B$3,"")))</f>
        <v/>
      </c>
      <c r="T66" s="140">
        <f>IF(T$13="","",IF($B66="","",IFERROR($C66*$D66*IF((Override!$C$4="ON")*(COUNTIFS(Override!$B$11:$B$40,$B66,Override!$D$11:$D$40,15,Override!$E$11:$E$40,"&gt;=0")-COUNTIFS(Override!$B$11:$B$40,$B66,Override!$D$11:$D$40,15,Override!$E$11:$E$40,"&gt;=0",Override!$C$11:$C$40,"MXAU"))&gt;0,SUMIFS(Override!$E$11:$E$40,Override!$B$11:$B$40,$B66,Override!$D$11:$D$40,15)-SUMIFS(Override!$E$11:$E$40,Override!$B$11:$B$40,$B66,Override!$D$11:$D$40,15,Override!$C$11:$C$40,"MXAU"),Override!$Q$101)/AS51!$B$3,"")))</f>
        <v/>
      </c>
      <c r="U66" s="140">
        <f>IF(U$13="","",IF($B66="","",IFERROR($C66*$D66*IF((Override!$C$4="ON")*(COUNTIFS(Override!$B$11:$B$40,$B66,Override!$D$11:$D$40,16,Override!$E$11:$E$40,"&gt;=0")-COUNTIFS(Override!$B$11:$B$40,$B66,Override!$D$11:$D$40,16,Override!$E$11:$E$40,"&gt;=0",Override!$C$11:$C$40,"MXAU"))&gt;0,SUMIFS(Override!$E$11:$E$40,Override!$B$11:$B$40,$B66,Override!$D$11:$D$40,16)-SUMIFS(Override!$E$11:$E$40,Override!$B$11:$B$40,$B66,Override!$D$11:$D$40,16,Override!$C$11:$C$40,"MXAU"),Override!$R$101)/AS51!$B$3,"")))</f>
        <v/>
      </c>
      <c r="W66" s="140">
        <f>IF(W$13="","",IF($B66="","",IFERROR(F66*$E66/100,"")))</f>
        <v/>
      </c>
      <c r="X66" s="140">
        <f>IF(X$13="","",IF($B66="","",IFERROR(G66*$E66/100,"")))</f>
        <v/>
      </c>
      <c r="Y66" s="140">
        <f>IF(Y$13="","",IF($B66="","",IFERROR(H66*$E66/100,"")))</f>
        <v/>
      </c>
      <c r="Z66" s="140">
        <f>IF(Z$13="","",IF($B66="","",IFERROR(I66*$E66/100,"")))</f>
        <v/>
      </c>
      <c r="AA66" s="140">
        <f>IF(AA$13="","",IF($B66="","",IFERROR(J66*$E66/100,"")))</f>
        <v/>
      </c>
      <c r="AB66" s="140">
        <f>IF(AB$13="","",IF($B66="","",IFERROR(K66*$E66/100,"")))</f>
        <v/>
      </c>
      <c r="AC66" s="140">
        <f>IF(AC$13="","",IF($B66="","",IFERROR(L66*$E66/100,"")))</f>
        <v/>
      </c>
      <c r="AD66" s="140">
        <f>IF(AD$13="","",IF($B66="","",IFERROR(M66*$E66/100,"")))</f>
        <v/>
      </c>
      <c r="AE66" s="140">
        <f>IF(AE$13="","",IF($B66="","",IFERROR(N66*$E66/100,"")))</f>
        <v/>
      </c>
      <c r="AF66" s="140">
        <f>IF(AF$13="","",IF($B66="","",IFERROR(O66*$E66/100,"")))</f>
        <v/>
      </c>
      <c r="AG66" s="140">
        <f>IF(AG$13="","",IF($B66="","",IFERROR(P66*$E66/100,"")))</f>
        <v/>
      </c>
      <c r="AH66" s="140">
        <f>IF(AH$13="","",IF($B66="","",IFERROR(Q66*$E66/100,"")))</f>
        <v/>
      </c>
      <c r="AI66" s="140">
        <f>IF(AI$13="","",IF($B66="","",IFERROR(R66*$E66/100,"")))</f>
        <v/>
      </c>
      <c r="AJ66" s="140">
        <f>IF(AJ$13="","",IF($B66="","",IFERROR(S66*$E66/100,"")))</f>
        <v/>
      </c>
      <c r="AK66" s="140">
        <f>IF(AK$13="","",IF($B66="","",IFERROR(T66*$E66/100,"")))</f>
        <v/>
      </c>
      <c r="AL66" s="140">
        <f>IF(AL$13="","",IF($B66="","",IFERROR(U66*$E66/100,"")))</f>
        <v/>
      </c>
      <c r="AN66" s="140">
        <f>IF($B66="","",SUMIF($F$13:$U$13,"&lt;="&amp;Sector!$D$51,$F66:$U66))</f>
        <v/>
      </c>
      <c r="AO66" s="140">
        <f>IF($B66="","",SUMIF($W$13:$AL$13,"&lt;="&amp;Sector!$D$51,$W66:$AL66))</f>
        <v/>
      </c>
    </row>
    <row r="67">
      <c r="B67" s="5">
        <f>IF(AS51!$C$57="","",AS51!$C$57)</f>
        <v/>
      </c>
      <c r="C67" s="90">
        <f>IF(AS51!$B$57="","",AS51!$B$57)</f>
        <v/>
      </c>
      <c r="D67" s="138">
        <f>IFERROR(AS51!$Q$57,1)</f>
        <v/>
      </c>
      <c r="E67" s="139">
        <f>IF($B67="","",IF(ISNUMBER(AS51!$I$57),AS51!$I$57,'Index Summary'!$C$7))</f>
        <v/>
      </c>
      <c r="F67" s="140">
        <f>IF(F$13="","",IF($B67="","",IFERROR($C67*$D67*IF((Override!$C$4="ON")*(COUNTIFS(Override!$B$11:$B$40,$B67,Override!$D$11:$D$40,1,Override!$E$11:$E$40,"&gt;=0")-COUNTIFS(Override!$B$11:$B$40,$B67,Override!$D$11:$D$40,1,Override!$E$11:$E$40,"&gt;=0",Override!$C$11:$C$40,"MXAU"))&gt;0,SUMIFS(Override!$E$11:$E$40,Override!$B$11:$B$40,$B67,Override!$D$11:$D$40,1)-SUMIFS(Override!$E$11:$E$40,Override!$B$11:$B$40,$B67,Override!$D$11:$D$40,1,Override!$C$11:$C$40,"MXAU"),Override!$C$102)/AS51!$B$3,"")))</f>
        <v/>
      </c>
      <c r="G67" s="140">
        <f>IF(G$13="","",IF($B67="","",IFERROR($C67*$D67*IF((Override!$C$4="ON")*(COUNTIFS(Override!$B$11:$B$40,$B67,Override!$D$11:$D$40,2,Override!$E$11:$E$40,"&gt;=0")-COUNTIFS(Override!$B$11:$B$40,$B67,Override!$D$11:$D$40,2,Override!$E$11:$E$40,"&gt;=0",Override!$C$11:$C$40,"MXAU"))&gt;0,SUMIFS(Override!$E$11:$E$40,Override!$B$11:$B$40,$B67,Override!$D$11:$D$40,2)-SUMIFS(Override!$E$11:$E$40,Override!$B$11:$B$40,$B67,Override!$D$11:$D$40,2,Override!$C$11:$C$40,"MXAU"),Override!$D$102)/AS51!$B$3,"")))</f>
        <v/>
      </c>
      <c r="H67" s="140">
        <f>IF(H$13="","",IF($B67="","",IFERROR($C67*$D67*IF((Override!$C$4="ON")*(COUNTIFS(Override!$B$11:$B$40,$B67,Override!$D$11:$D$40,3,Override!$E$11:$E$40,"&gt;=0")-COUNTIFS(Override!$B$11:$B$40,$B67,Override!$D$11:$D$40,3,Override!$E$11:$E$40,"&gt;=0",Override!$C$11:$C$40,"MXAU"))&gt;0,SUMIFS(Override!$E$11:$E$40,Override!$B$11:$B$40,$B67,Override!$D$11:$D$40,3)-SUMIFS(Override!$E$11:$E$40,Override!$B$11:$B$40,$B67,Override!$D$11:$D$40,3,Override!$C$11:$C$40,"MXAU"),Override!$E$102)/AS51!$B$3,"")))</f>
        <v/>
      </c>
      <c r="I67" s="140">
        <f>IF(I$13="","",IF($B67="","",IFERROR($C67*$D67*IF((Override!$C$4="ON")*(COUNTIFS(Override!$B$11:$B$40,$B67,Override!$D$11:$D$40,4,Override!$E$11:$E$40,"&gt;=0")-COUNTIFS(Override!$B$11:$B$40,$B67,Override!$D$11:$D$40,4,Override!$E$11:$E$40,"&gt;=0",Override!$C$11:$C$40,"MXAU"))&gt;0,SUMIFS(Override!$E$11:$E$40,Override!$B$11:$B$40,$B67,Override!$D$11:$D$40,4)-SUMIFS(Override!$E$11:$E$40,Override!$B$11:$B$40,$B67,Override!$D$11:$D$40,4,Override!$C$11:$C$40,"MXAU"),Override!$F$102)/AS51!$B$3,"")))</f>
        <v/>
      </c>
      <c r="J67" s="140">
        <f>IF(J$13="","",IF($B67="","",IFERROR($C67*$D67*IF((Override!$C$4="ON")*(COUNTIFS(Override!$B$11:$B$40,$B67,Override!$D$11:$D$40,5,Override!$E$11:$E$40,"&gt;=0")-COUNTIFS(Override!$B$11:$B$40,$B67,Override!$D$11:$D$40,5,Override!$E$11:$E$40,"&gt;=0",Override!$C$11:$C$40,"MXAU"))&gt;0,SUMIFS(Override!$E$11:$E$40,Override!$B$11:$B$40,$B67,Override!$D$11:$D$40,5)-SUMIFS(Override!$E$11:$E$40,Override!$B$11:$B$40,$B67,Override!$D$11:$D$40,5,Override!$C$11:$C$40,"MXAU"),Override!$G$102)/AS51!$B$3,"")))</f>
        <v/>
      </c>
      <c r="K67" s="140">
        <f>IF(K$13="","",IF($B67="","",IFERROR($C67*$D67*IF((Override!$C$4="ON")*(COUNTIFS(Override!$B$11:$B$40,$B67,Override!$D$11:$D$40,6,Override!$E$11:$E$40,"&gt;=0")-COUNTIFS(Override!$B$11:$B$40,$B67,Override!$D$11:$D$40,6,Override!$E$11:$E$40,"&gt;=0",Override!$C$11:$C$40,"MXAU"))&gt;0,SUMIFS(Override!$E$11:$E$40,Override!$B$11:$B$40,$B67,Override!$D$11:$D$40,6)-SUMIFS(Override!$E$11:$E$40,Override!$B$11:$B$40,$B67,Override!$D$11:$D$40,6,Override!$C$11:$C$40,"MXAU"),Override!$H$102)/AS51!$B$3,"")))</f>
        <v/>
      </c>
      <c r="L67" s="140">
        <f>IF(L$13="","",IF($B67="","",IFERROR($C67*$D67*IF((Override!$C$4="ON")*(COUNTIFS(Override!$B$11:$B$40,$B67,Override!$D$11:$D$40,7,Override!$E$11:$E$40,"&gt;=0")-COUNTIFS(Override!$B$11:$B$40,$B67,Override!$D$11:$D$40,7,Override!$E$11:$E$40,"&gt;=0",Override!$C$11:$C$40,"MXAU"))&gt;0,SUMIFS(Override!$E$11:$E$40,Override!$B$11:$B$40,$B67,Override!$D$11:$D$40,7)-SUMIFS(Override!$E$11:$E$40,Override!$B$11:$B$40,$B67,Override!$D$11:$D$40,7,Override!$C$11:$C$40,"MXAU"),Override!$I$102)/AS51!$B$3,"")))</f>
        <v/>
      </c>
      <c r="M67" s="140">
        <f>IF(M$13="","",IF($B67="","",IFERROR($C67*$D67*IF((Override!$C$4="ON")*(COUNTIFS(Override!$B$11:$B$40,$B67,Override!$D$11:$D$40,8,Override!$E$11:$E$40,"&gt;=0")-COUNTIFS(Override!$B$11:$B$40,$B67,Override!$D$11:$D$40,8,Override!$E$11:$E$40,"&gt;=0",Override!$C$11:$C$40,"MXAU"))&gt;0,SUMIFS(Override!$E$11:$E$40,Override!$B$11:$B$40,$B67,Override!$D$11:$D$40,8)-SUMIFS(Override!$E$11:$E$40,Override!$B$11:$B$40,$B67,Override!$D$11:$D$40,8,Override!$C$11:$C$40,"MXAU"),Override!$J$102)/AS51!$B$3,"")))</f>
        <v/>
      </c>
      <c r="N67" s="140">
        <f>IF(N$13="","",IF($B67="","",IFERROR($C67*$D67*IF((Override!$C$4="ON")*(COUNTIFS(Override!$B$11:$B$40,$B67,Override!$D$11:$D$40,9,Override!$E$11:$E$40,"&gt;=0")-COUNTIFS(Override!$B$11:$B$40,$B67,Override!$D$11:$D$40,9,Override!$E$11:$E$40,"&gt;=0",Override!$C$11:$C$40,"MXAU"))&gt;0,SUMIFS(Override!$E$11:$E$40,Override!$B$11:$B$40,$B67,Override!$D$11:$D$40,9)-SUMIFS(Override!$E$11:$E$40,Override!$B$11:$B$40,$B67,Override!$D$11:$D$40,9,Override!$C$11:$C$40,"MXAU"),Override!$K$102)/AS51!$B$3,"")))</f>
        <v/>
      </c>
      <c r="O67" s="140">
        <f>IF(O$13="","",IF($B67="","",IFERROR($C67*$D67*IF((Override!$C$4="ON")*(COUNTIFS(Override!$B$11:$B$40,$B67,Override!$D$11:$D$40,10,Override!$E$11:$E$40,"&gt;=0")-COUNTIFS(Override!$B$11:$B$40,$B67,Override!$D$11:$D$40,10,Override!$E$11:$E$40,"&gt;=0",Override!$C$11:$C$40,"MXAU"))&gt;0,SUMIFS(Override!$E$11:$E$40,Override!$B$11:$B$40,$B67,Override!$D$11:$D$40,10)-SUMIFS(Override!$E$11:$E$40,Override!$B$11:$B$40,$B67,Override!$D$11:$D$40,10,Override!$C$11:$C$40,"MXAU"),Override!$L$102)/AS51!$B$3,"")))</f>
        <v/>
      </c>
      <c r="P67" s="140">
        <f>IF(P$13="","",IF($B67="","",IFERROR($C67*$D67*IF((Override!$C$4="ON")*(COUNTIFS(Override!$B$11:$B$40,$B67,Override!$D$11:$D$40,11,Override!$E$11:$E$40,"&gt;=0")-COUNTIFS(Override!$B$11:$B$40,$B67,Override!$D$11:$D$40,11,Override!$E$11:$E$40,"&gt;=0",Override!$C$11:$C$40,"MXAU"))&gt;0,SUMIFS(Override!$E$11:$E$40,Override!$B$11:$B$40,$B67,Override!$D$11:$D$40,11)-SUMIFS(Override!$E$11:$E$40,Override!$B$11:$B$40,$B67,Override!$D$11:$D$40,11,Override!$C$11:$C$40,"MXAU"),Override!$M$102)/AS51!$B$3,"")))</f>
        <v/>
      </c>
      <c r="Q67" s="140">
        <f>IF(Q$13="","",IF($B67="","",IFERROR($C67*$D67*IF((Override!$C$4="ON")*(COUNTIFS(Override!$B$11:$B$40,$B67,Override!$D$11:$D$40,12,Override!$E$11:$E$40,"&gt;=0")-COUNTIFS(Override!$B$11:$B$40,$B67,Override!$D$11:$D$40,12,Override!$E$11:$E$40,"&gt;=0",Override!$C$11:$C$40,"MXAU"))&gt;0,SUMIFS(Override!$E$11:$E$40,Override!$B$11:$B$40,$B67,Override!$D$11:$D$40,12)-SUMIFS(Override!$E$11:$E$40,Override!$B$11:$B$40,$B67,Override!$D$11:$D$40,12,Override!$C$11:$C$40,"MXAU"),Override!$N$102)/AS51!$B$3,"")))</f>
        <v/>
      </c>
      <c r="R67" s="140">
        <f>IF(R$13="","",IF($B67="","",IFERROR($C67*$D67*IF((Override!$C$4="ON")*(COUNTIFS(Override!$B$11:$B$40,$B67,Override!$D$11:$D$40,13,Override!$E$11:$E$40,"&gt;=0")-COUNTIFS(Override!$B$11:$B$40,$B67,Override!$D$11:$D$40,13,Override!$E$11:$E$40,"&gt;=0",Override!$C$11:$C$40,"MXAU"))&gt;0,SUMIFS(Override!$E$11:$E$40,Override!$B$11:$B$40,$B67,Override!$D$11:$D$40,13)-SUMIFS(Override!$E$11:$E$40,Override!$B$11:$B$40,$B67,Override!$D$11:$D$40,13,Override!$C$11:$C$40,"MXAU"),Override!$O$102)/AS51!$B$3,"")))</f>
        <v/>
      </c>
      <c r="S67" s="140">
        <f>IF(S$13="","",IF($B67="","",IFERROR($C67*$D67*IF((Override!$C$4="ON")*(COUNTIFS(Override!$B$11:$B$40,$B67,Override!$D$11:$D$40,14,Override!$E$11:$E$40,"&gt;=0")-COUNTIFS(Override!$B$11:$B$40,$B67,Override!$D$11:$D$40,14,Override!$E$11:$E$40,"&gt;=0",Override!$C$11:$C$40,"MXAU"))&gt;0,SUMIFS(Override!$E$11:$E$40,Override!$B$11:$B$40,$B67,Override!$D$11:$D$40,14)-SUMIFS(Override!$E$11:$E$40,Override!$B$11:$B$40,$B67,Override!$D$11:$D$40,14,Override!$C$11:$C$40,"MXAU"),Override!$P$102)/AS51!$B$3,"")))</f>
        <v/>
      </c>
      <c r="T67" s="140">
        <f>IF(T$13="","",IF($B67="","",IFERROR($C67*$D67*IF((Override!$C$4="ON")*(COUNTIFS(Override!$B$11:$B$40,$B67,Override!$D$11:$D$40,15,Override!$E$11:$E$40,"&gt;=0")-COUNTIFS(Override!$B$11:$B$40,$B67,Override!$D$11:$D$40,15,Override!$E$11:$E$40,"&gt;=0",Override!$C$11:$C$40,"MXAU"))&gt;0,SUMIFS(Override!$E$11:$E$40,Override!$B$11:$B$40,$B67,Override!$D$11:$D$40,15)-SUMIFS(Override!$E$11:$E$40,Override!$B$11:$B$40,$B67,Override!$D$11:$D$40,15,Override!$C$11:$C$40,"MXAU"),Override!$Q$102)/AS51!$B$3,"")))</f>
        <v/>
      </c>
      <c r="U67" s="140">
        <f>IF(U$13="","",IF($B67="","",IFERROR($C67*$D67*IF((Override!$C$4="ON")*(COUNTIFS(Override!$B$11:$B$40,$B67,Override!$D$11:$D$40,16,Override!$E$11:$E$40,"&gt;=0")-COUNTIFS(Override!$B$11:$B$40,$B67,Override!$D$11:$D$40,16,Override!$E$11:$E$40,"&gt;=0",Override!$C$11:$C$40,"MXAU"))&gt;0,SUMIFS(Override!$E$11:$E$40,Override!$B$11:$B$40,$B67,Override!$D$11:$D$40,16)-SUMIFS(Override!$E$11:$E$40,Override!$B$11:$B$40,$B67,Override!$D$11:$D$40,16,Override!$C$11:$C$40,"MXAU"),Override!$R$102)/AS51!$B$3,"")))</f>
        <v/>
      </c>
      <c r="W67" s="140">
        <f>IF(W$13="","",IF($B67="","",IFERROR(F67*$E67/100,"")))</f>
        <v/>
      </c>
      <c r="X67" s="140">
        <f>IF(X$13="","",IF($B67="","",IFERROR(G67*$E67/100,"")))</f>
        <v/>
      </c>
      <c r="Y67" s="140">
        <f>IF(Y$13="","",IF($B67="","",IFERROR(H67*$E67/100,"")))</f>
        <v/>
      </c>
      <c r="Z67" s="140">
        <f>IF(Z$13="","",IF($B67="","",IFERROR(I67*$E67/100,"")))</f>
        <v/>
      </c>
      <c r="AA67" s="140">
        <f>IF(AA$13="","",IF($B67="","",IFERROR(J67*$E67/100,"")))</f>
        <v/>
      </c>
      <c r="AB67" s="140">
        <f>IF(AB$13="","",IF($B67="","",IFERROR(K67*$E67/100,"")))</f>
        <v/>
      </c>
      <c r="AC67" s="140">
        <f>IF(AC$13="","",IF($B67="","",IFERROR(L67*$E67/100,"")))</f>
        <v/>
      </c>
      <c r="AD67" s="140">
        <f>IF(AD$13="","",IF($B67="","",IFERROR(M67*$E67/100,"")))</f>
        <v/>
      </c>
      <c r="AE67" s="140">
        <f>IF(AE$13="","",IF($B67="","",IFERROR(N67*$E67/100,"")))</f>
        <v/>
      </c>
      <c r="AF67" s="140">
        <f>IF(AF$13="","",IF($B67="","",IFERROR(O67*$E67/100,"")))</f>
        <v/>
      </c>
      <c r="AG67" s="140">
        <f>IF(AG$13="","",IF($B67="","",IFERROR(P67*$E67/100,"")))</f>
        <v/>
      </c>
      <c r="AH67" s="140">
        <f>IF(AH$13="","",IF($B67="","",IFERROR(Q67*$E67/100,"")))</f>
        <v/>
      </c>
      <c r="AI67" s="140">
        <f>IF(AI$13="","",IF($B67="","",IFERROR(R67*$E67/100,"")))</f>
        <v/>
      </c>
      <c r="AJ67" s="140">
        <f>IF(AJ$13="","",IF($B67="","",IFERROR(S67*$E67/100,"")))</f>
        <v/>
      </c>
      <c r="AK67" s="140">
        <f>IF(AK$13="","",IF($B67="","",IFERROR(T67*$E67/100,"")))</f>
        <v/>
      </c>
      <c r="AL67" s="140">
        <f>IF(AL$13="","",IF($B67="","",IFERROR(U67*$E67/100,"")))</f>
        <v/>
      </c>
      <c r="AN67" s="140">
        <f>IF($B67="","",SUMIF($F$13:$U$13,"&lt;="&amp;Sector!$D$51,$F67:$U67))</f>
        <v/>
      </c>
      <c r="AO67" s="140">
        <f>IF($B67="","",SUMIF($W$13:$AL$13,"&lt;="&amp;Sector!$D$51,$W67:$AL67))</f>
        <v/>
      </c>
    </row>
    <row r="68">
      <c r="B68" s="5">
        <f>IF(AS51!$C$58="","",AS51!$C$58)</f>
        <v/>
      </c>
      <c r="C68" s="90">
        <f>IF(AS51!$B$58="","",AS51!$B$58)</f>
        <v/>
      </c>
      <c r="D68" s="138">
        <f>IFERROR(AS51!$Q$58,1)</f>
        <v/>
      </c>
      <c r="E68" s="139">
        <f>IF($B68="","",IF(ISNUMBER(AS51!$I$58),AS51!$I$58,'Index Summary'!$C$7))</f>
        <v/>
      </c>
      <c r="F68" s="140">
        <f>IF(F$13="","",IF($B68="","",IFERROR($C68*$D68*IF((Override!$C$4="ON")*(COUNTIFS(Override!$B$11:$B$40,$B68,Override!$D$11:$D$40,1,Override!$E$11:$E$40,"&gt;=0")-COUNTIFS(Override!$B$11:$B$40,$B68,Override!$D$11:$D$40,1,Override!$E$11:$E$40,"&gt;=0",Override!$C$11:$C$40,"MXAU"))&gt;0,SUMIFS(Override!$E$11:$E$40,Override!$B$11:$B$40,$B68,Override!$D$11:$D$40,1)-SUMIFS(Override!$E$11:$E$40,Override!$B$11:$B$40,$B68,Override!$D$11:$D$40,1,Override!$C$11:$C$40,"MXAU"),Override!$C$103)/AS51!$B$3,"")))</f>
        <v/>
      </c>
      <c r="G68" s="140">
        <f>IF(G$13="","",IF($B68="","",IFERROR($C68*$D68*IF((Override!$C$4="ON")*(COUNTIFS(Override!$B$11:$B$40,$B68,Override!$D$11:$D$40,2,Override!$E$11:$E$40,"&gt;=0")-COUNTIFS(Override!$B$11:$B$40,$B68,Override!$D$11:$D$40,2,Override!$E$11:$E$40,"&gt;=0",Override!$C$11:$C$40,"MXAU"))&gt;0,SUMIFS(Override!$E$11:$E$40,Override!$B$11:$B$40,$B68,Override!$D$11:$D$40,2)-SUMIFS(Override!$E$11:$E$40,Override!$B$11:$B$40,$B68,Override!$D$11:$D$40,2,Override!$C$11:$C$40,"MXAU"),Override!$D$103)/AS51!$B$3,"")))</f>
        <v/>
      </c>
      <c r="H68" s="140">
        <f>IF(H$13="","",IF($B68="","",IFERROR($C68*$D68*IF((Override!$C$4="ON")*(COUNTIFS(Override!$B$11:$B$40,$B68,Override!$D$11:$D$40,3,Override!$E$11:$E$40,"&gt;=0")-COUNTIFS(Override!$B$11:$B$40,$B68,Override!$D$11:$D$40,3,Override!$E$11:$E$40,"&gt;=0",Override!$C$11:$C$40,"MXAU"))&gt;0,SUMIFS(Override!$E$11:$E$40,Override!$B$11:$B$40,$B68,Override!$D$11:$D$40,3)-SUMIFS(Override!$E$11:$E$40,Override!$B$11:$B$40,$B68,Override!$D$11:$D$40,3,Override!$C$11:$C$40,"MXAU"),Override!$E$103)/AS51!$B$3,"")))</f>
        <v/>
      </c>
      <c r="I68" s="140">
        <f>IF(I$13="","",IF($B68="","",IFERROR($C68*$D68*IF((Override!$C$4="ON")*(COUNTIFS(Override!$B$11:$B$40,$B68,Override!$D$11:$D$40,4,Override!$E$11:$E$40,"&gt;=0")-COUNTIFS(Override!$B$11:$B$40,$B68,Override!$D$11:$D$40,4,Override!$E$11:$E$40,"&gt;=0",Override!$C$11:$C$40,"MXAU"))&gt;0,SUMIFS(Override!$E$11:$E$40,Override!$B$11:$B$40,$B68,Override!$D$11:$D$40,4)-SUMIFS(Override!$E$11:$E$40,Override!$B$11:$B$40,$B68,Override!$D$11:$D$40,4,Override!$C$11:$C$40,"MXAU"),Override!$F$103)/AS51!$B$3,"")))</f>
        <v/>
      </c>
      <c r="J68" s="140">
        <f>IF(J$13="","",IF($B68="","",IFERROR($C68*$D68*IF((Override!$C$4="ON")*(COUNTIFS(Override!$B$11:$B$40,$B68,Override!$D$11:$D$40,5,Override!$E$11:$E$40,"&gt;=0")-COUNTIFS(Override!$B$11:$B$40,$B68,Override!$D$11:$D$40,5,Override!$E$11:$E$40,"&gt;=0",Override!$C$11:$C$40,"MXAU"))&gt;0,SUMIFS(Override!$E$11:$E$40,Override!$B$11:$B$40,$B68,Override!$D$11:$D$40,5)-SUMIFS(Override!$E$11:$E$40,Override!$B$11:$B$40,$B68,Override!$D$11:$D$40,5,Override!$C$11:$C$40,"MXAU"),Override!$G$103)/AS51!$B$3,"")))</f>
        <v/>
      </c>
      <c r="K68" s="140">
        <f>IF(K$13="","",IF($B68="","",IFERROR($C68*$D68*IF((Override!$C$4="ON")*(COUNTIFS(Override!$B$11:$B$40,$B68,Override!$D$11:$D$40,6,Override!$E$11:$E$40,"&gt;=0")-COUNTIFS(Override!$B$11:$B$40,$B68,Override!$D$11:$D$40,6,Override!$E$11:$E$40,"&gt;=0",Override!$C$11:$C$40,"MXAU"))&gt;0,SUMIFS(Override!$E$11:$E$40,Override!$B$11:$B$40,$B68,Override!$D$11:$D$40,6)-SUMIFS(Override!$E$11:$E$40,Override!$B$11:$B$40,$B68,Override!$D$11:$D$40,6,Override!$C$11:$C$40,"MXAU"),Override!$H$103)/AS51!$B$3,"")))</f>
        <v/>
      </c>
      <c r="L68" s="140">
        <f>IF(L$13="","",IF($B68="","",IFERROR($C68*$D68*IF((Override!$C$4="ON")*(COUNTIFS(Override!$B$11:$B$40,$B68,Override!$D$11:$D$40,7,Override!$E$11:$E$40,"&gt;=0")-COUNTIFS(Override!$B$11:$B$40,$B68,Override!$D$11:$D$40,7,Override!$E$11:$E$40,"&gt;=0",Override!$C$11:$C$40,"MXAU"))&gt;0,SUMIFS(Override!$E$11:$E$40,Override!$B$11:$B$40,$B68,Override!$D$11:$D$40,7)-SUMIFS(Override!$E$11:$E$40,Override!$B$11:$B$40,$B68,Override!$D$11:$D$40,7,Override!$C$11:$C$40,"MXAU"),Override!$I$103)/AS51!$B$3,"")))</f>
        <v/>
      </c>
      <c r="M68" s="140">
        <f>IF(M$13="","",IF($B68="","",IFERROR($C68*$D68*IF((Override!$C$4="ON")*(COUNTIFS(Override!$B$11:$B$40,$B68,Override!$D$11:$D$40,8,Override!$E$11:$E$40,"&gt;=0")-COUNTIFS(Override!$B$11:$B$40,$B68,Override!$D$11:$D$40,8,Override!$E$11:$E$40,"&gt;=0",Override!$C$11:$C$40,"MXAU"))&gt;0,SUMIFS(Override!$E$11:$E$40,Override!$B$11:$B$40,$B68,Override!$D$11:$D$40,8)-SUMIFS(Override!$E$11:$E$40,Override!$B$11:$B$40,$B68,Override!$D$11:$D$40,8,Override!$C$11:$C$40,"MXAU"),Override!$J$103)/AS51!$B$3,"")))</f>
        <v/>
      </c>
      <c r="N68" s="140">
        <f>IF(N$13="","",IF($B68="","",IFERROR($C68*$D68*IF((Override!$C$4="ON")*(COUNTIFS(Override!$B$11:$B$40,$B68,Override!$D$11:$D$40,9,Override!$E$11:$E$40,"&gt;=0")-COUNTIFS(Override!$B$11:$B$40,$B68,Override!$D$11:$D$40,9,Override!$E$11:$E$40,"&gt;=0",Override!$C$11:$C$40,"MXAU"))&gt;0,SUMIFS(Override!$E$11:$E$40,Override!$B$11:$B$40,$B68,Override!$D$11:$D$40,9)-SUMIFS(Override!$E$11:$E$40,Override!$B$11:$B$40,$B68,Override!$D$11:$D$40,9,Override!$C$11:$C$40,"MXAU"),Override!$K$103)/AS51!$B$3,"")))</f>
        <v/>
      </c>
      <c r="O68" s="140">
        <f>IF(O$13="","",IF($B68="","",IFERROR($C68*$D68*IF((Override!$C$4="ON")*(COUNTIFS(Override!$B$11:$B$40,$B68,Override!$D$11:$D$40,10,Override!$E$11:$E$40,"&gt;=0")-COUNTIFS(Override!$B$11:$B$40,$B68,Override!$D$11:$D$40,10,Override!$E$11:$E$40,"&gt;=0",Override!$C$11:$C$40,"MXAU"))&gt;0,SUMIFS(Override!$E$11:$E$40,Override!$B$11:$B$40,$B68,Override!$D$11:$D$40,10)-SUMIFS(Override!$E$11:$E$40,Override!$B$11:$B$40,$B68,Override!$D$11:$D$40,10,Override!$C$11:$C$40,"MXAU"),Override!$L$103)/AS51!$B$3,"")))</f>
        <v/>
      </c>
      <c r="P68" s="140">
        <f>IF(P$13="","",IF($B68="","",IFERROR($C68*$D68*IF((Override!$C$4="ON")*(COUNTIFS(Override!$B$11:$B$40,$B68,Override!$D$11:$D$40,11,Override!$E$11:$E$40,"&gt;=0")-COUNTIFS(Override!$B$11:$B$40,$B68,Override!$D$11:$D$40,11,Override!$E$11:$E$40,"&gt;=0",Override!$C$11:$C$40,"MXAU"))&gt;0,SUMIFS(Override!$E$11:$E$40,Override!$B$11:$B$40,$B68,Override!$D$11:$D$40,11)-SUMIFS(Override!$E$11:$E$40,Override!$B$11:$B$40,$B68,Override!$D$11:$D$40,11,Override!$C$11:$C$40,"MXAU"),Override!$M$103)/AS51!$B$3,"")))</f>
        <v/>
      </c>
      <c r="Q68" s="140">
        <f>IF(Q$13="","",IF($B68="","",IFERROR($C68*$D68*IF((Override!$C$4="ON")*(COUNTIFS(Override!$B$11:$B$40,$B68,Override!$D$11:$D$40,12,Override!$E$11:$E$40,"&gt;=0")-COUNTIFS(Override!$B$11:$B$40,$B68,Override!$D$11:$D$40,12,Override!$E$11:$E$40,"&gt;=0",Override!$C$11:$C$40,"MXAU"))&gt;0,SUMIFS(Override!$E$11:$E$40,Override!$B$11:$B$40,$B68,Override!$D$11:$D$40,12)-SUMIFS(Override!$E$11:$E$40,Override!$B$11:$B$40,$B68,Override!$D$11:$D$40,12,Override!$C$11:$C$40,"MXAU"),Override!$N$103)/AS51!$B$3,"")))</f>
        <v/>
      </c>
      <c r="R68" s="140">
        <f>IF(R$13="","",IF($B68="","",IFERROR($C68*$D68*IF((Override!$C$4="ON")*(COUNTIFS(Override!$B$11:$B$40,$B68,Override!$D$11:$D$40,13,Override!$E$11:$E$40,"&gt;=0")-COUNTIFS(Override!$B$11:$B$40,$B68,Override!$D$11:$D$40,13,Override!$E$11:$E$40,"&gt;=0",Override!$C$11:$C$40,"MXAU"))&gt;0,SUMIFS(Override!$E$11:$E$40,Override!$B$11:$B$40,$B68,Override!$D$11:$D$40,13)-SUMIFS(Override!$E$11:$E$40,Override!$B$11:$B$40,$B68,Override!$D$11:$D$40,13,Override!$C$11:$C$40,"MXAU"),Override!$O$103)/AS51!$B$3,"")))</f>
        <v/>
      </c>
      <c r="S68" s="140">
        <f>IF(S$13="","",IF($B68="","",IFERROR($C68*$D68*IF((Override!$C$4="ON")*(COUNTIFS(Override!$B$11:$B$40,$B68,Override!$D$11:$D$40,14,Override!$E$11:$E$40,"&gt;=0")-COUNTIFS(Override!$B$11:$B$40,$B68,Override!$D$11:$D$40,14,Override!$E$11:$E$40,"&gt;=0",Override!$C$11:$C$40,"MXAU"))&gt;0,SUMIFS(Override!$E$11:$E$40,Override!$B$11:$B$40,$B68,Override!$D$11:$D$40,14)-SUMIFS(Override!$E$11:$E$40,Override!$B$11:$B$40,$B68,Override!$D$11:$D$40,14,Override!$C$11:$C$40,"MXAU"),Override!$P$103)/AS51!$B$3,"")))</f>
        <v/>
      </c>
      <c r="T68" s="140">
        <f>IF(T$13="","",IF($B68="","",IFERROR($C68*$D68*IF((Override!$C$4="ON")*(COUNTIFS(Override!$B$11:$B$40,$B68,Override!$D$11:$D$40,15,Override!$E$11:$E$40,"&gt;=0")-COUNTIFS(Override!$B$11:$B$40,$B68,Override!$D$11:$D$40,15,Override!$E$11:$E$40,"&gt;=0",Override!$C$11:$C$40,"MXAU"))&gt;0,SUMIFS(Override!$E$11:$E$40,Override!$B$11:$B$40,$B68,Override!$D$11:$D$40,15)-SUMIFS(Override!$E$11:$E$40,Override!$B$11:$B$40,$B68,Override!$D$11:$D$40,15,Override!$C$11:$C$40,"MXAU"),Override!$Q$103)/AS51!$B$3,"")))</f>
        <v/>
      </c>
      <c r="U68" s="140">
        <f>IF(U$13="","",IF($B68="","",IFERROR($C68*$D68*IF((Override!$C$4="ON")*(COUNTIFS(Override!$B$11:$B$40,$B68,Override!$D$11:$D$40,16,Override!$E$11:$E$40,"&gt;=0")-COUNTIFS(Override!$B$11:$B$40,$B68,Override!$D$11:$D$40,16,Override!$E$11:$E$40,"&gt;=0",Override!$C$11:$C$40,"MXAU"))&gt;0,SUMIFS(Override!$E$11:$E$40,Override!$B$11:$B$40,$B68,Override!$D$11:$D$40,16)-SUMIFS(Override!$E$11:$E$40,Override!$B$11:$B$40,$B68,Override!$D$11:$D$40,16,Override!$C$11:$C$40,"MXAU"),Override!$R$103)/AS51!$B$3,"")))</f>
        <v/>
      </c>
      <c r="W68" s="140">
        <f>IF(W$13="","",IF($B68="","",IFERROR(F68*$E68/100,"")))</f>
        <v/>
      </c>
      <c r="X68" s="140">
        <f>IF(X$13="","",IF($B68="","",IFERROR(G68*$E68/100,"")))</f>
        <v/>
      </c>
      <c r="Y68" s="140">
        <f>IF(Y$13="","",IF($B68="","",IFERROR(H68*$E68/100,"")))</f>
        <v/>
      </c>
      <c r="Z68" s="140">
        <f>IF(Z$13="","",IF($B68="","",IFERROR(I68*$E68/100,"")))</f>
        <v/>
      </c>
      <c r="AA68" s="140">
        <f>IF(AA$13="","",IF($B68="","",IFERROR(J68*$E68/100,"")))</f>
        <v/>
      </c>
      <c r="AB68" s="140">
        <f>IF(AB$13="","",IF($B68="","",IFERROR(K68*$E68/100,"")))</f>
        <v/>
      </c>
      <c r="AC68" s="140">
        <f>IF(AC$13="","",IF($B68="","",IFERROR(L68*$E68/100,"")))</f>
        <v/>
      </c>
      <c r="AD68" s="140">
        <f>IF(AD$13="","",IF($B68="","",IFERROR(M68*$E68/100,"")))</f>
        <v/>
      </c>
      <c r="AE68" s="140">
        <f>IF(AE$13="","",IF($B68="","",IFERROR(N68*$E68/100,"")))</f>
        <v/>
      </c>
      <c r="AF68" s="140">
        <f>IF(AF$13="","",IF($B68="","",IFERROR(O68*$E68/100,"")))</f>
        <v/>
      </c>
      <c r="AG68" s="140">
        <f>IF(AG$13="","",IF($B68="","",IFERROR(P68*$E68/100,"")))</f>
        <v/>
      </c>
      <c r="AH68" s="140">
        <f>IF(AH$13="","",IF($B68="","",IFERROR(Q68*$E68/100,"")))</f>
        <v/>
      </c>
      <c r="AI68" s="140">
        <f>IF(AI$13="","",IF($B68="","",IFERROR(R68*$E68/100,"")))</f>
        <v/>
      </c>
      <c r="AJ68" s="140">
        <f>IF(AJ$13="","",IF($B68="","",IFERROR(S68*$E68/100,"")))</f>
        <v/>
      </c>
      <c r="AK68" s="140">
        <f>IF(AK$13="","",IF($B68="","",IFERROR(T68*$E68/100,"")))</f>
        <v/>
      </c>
      <c r="AL68" s="140">
        <f>IF(AL$13="","",IF($B68="","",IFERROR(U68*$E68/100,"")))</f>
        <v/>
      </c>
      <c r="AN68" s="140">
        <f>IF($B68="","",SUMIF($F$13:$U$13,"&lt;="&amp;Sector!$D$51,$F68:$U68))</f>
        <v/>
      </c>
      <c r="AO68" s="140">
        <f>IF($B68="","",SUMIF($W$13:$AL$13,"&lt;="&amp;Sector!$D$51,$W68:$AL68))</f>
        <v/>
      </c>
    </row>
    <row r="69">
      <c r="B69" s="5">
        <f>IF(AS51!$C$59="","",AS51!$C$59)</f>
        <v/>
      </c>
      <c r="C69" s="90">
        <f>IF(AS51!$B$59="","",AS51!$B$59)</f>
        <v/>
      </c>
      <c r="D69" s="138">
        <f>IFERROR(AS51!$Q$59,1)</f>
        <v/>
      </c>
      <c r="E69" s="139">
        <f>IF($B69="","",IF(ISNUMBER(AS51!$I$59),AS51!$I$59,'Index Summary'!$C$7))</f>
        <v/>
      </c>
      <c r="F69" s="140">
        <f>IF(F$13="","",IF($B69="","",IFERROR($C69*$D69*IF((Override!$C$4="ON")*(COUNTIFS(Override!$B$11:$B$40,$B69,Override!$D$11:$D$40,1,Override!$E$11:$E$40,"&gt;=0")-COUNTIFS(Override!$B$11:$B$40,$B69,Override!$D$11:$D$40,1,Override!$E$11:$E$40,"&gt;=0",Override!$C$11:$C$40,"MXAU"))&gt;0,SUMIFS(Override!$E$11:$E$40,Override!$B$11:$B$40,$B69,Override!$D$11:$D$40,1)-SUMIFS(Override!$E$11:$E$40,Override!$B$11:$B$40,$B69,Override!$D$11:$D$40,1,Override!$C$11:$C$40,"MXAU"),Override!$C$104)/AS51!$B$3,"")))</f>
        <v/>
      </c>
      <c r="G69" s="140">
        <f>IF(G$13="","",IF($B69="","",IFERROR($C69*$D69*IF((Override!$C$4="ON")*(COUNTIFS(Override!$B$11:$B$40,$B69,Override!$D$11:$D$40,2,Override!$E$11:$E$40,"&gt;=0")-COUNTIFS(Override!$B$11:$B$40,$B69,Override!$D$11:$D$40,2,Override!$E$11:$E$40,"&gt;=0",Override!$C$11:$C$40,"MXAU"))&gt;0,SUMIFS(Override!$E$11:$E$40,Override!$B$11:$B$40,$B69,Override!$D$11:$D$40,2)-SUMIFS(Override!$E$11:$E$40,Override!$B$11:$B$40,$B69,Override!$D$11:$D$40,2,Override!$C$11:$C$40,"MXAU"),Override!$D$104)/AS51!$B$3,"")))</f>
        <v/>
      </c>
      <c r="H69" s="140">
        <f>IF(H$13="","",IF($B69="","",IFERROR($C69*$D69*IF((Override!$C$4="ON")*(COUNTIFS(Override!$B$11:$B$40,$B69,Override!$D$11:$D$40,3,Override!$E$11:$E$40,"&gt;=0")-COUNTIFS(Override!$B$11:$B$40,$B69,Override!$D$11:$D$40,3,Override!$E$11:$E$40,"&gt;=0",Override!$C$11:$C$40,"MXAU"))&gt;0,SUMIFS(Override!$E$11:$E$40,Override!$B$11:$B$40,$B69,Override!$D$11:$D$40,3)-SUMIFS(Override!$E$11:$E$40,Override!$B$11:$B$40,$B69,Override!$D$11:$D$40,3,Override!$C$11:$C$40,"MXAU"),Override!$E$104)/AS51!$B$3,"")))</f>
        <v/>
      </c>
      <c r="I69" s="140">
        <f>IF(I$13="","",IF($B69="","",IFERROR($C69*$D69*IF((Override!$C$4="ON")*(COUNTIFS(Override!$B$11:$B$40,$B69,Override!$D$11:$D$40,4,Override!$E$11:$E$40,"&gt;=0")-COUNTIFS(Override!$B$11:$B$40,$B69,Override!$D$11:$D$40,4,Override!$E$11:$E$40,"&gt;=0",Override!$C$11:$C$40,"MXAU"))&gt;0,SUMIFS(Override!$E$11:$E$40,Override!$B$11:$B$40,$B69,Override!$D$11:$D$40,4)-SUMIFS(Override!$E$11:$E$40,Override!$B$11:$B$40,$B69,Override!$D$11:$D$40,4,Override!$C$11:$C$40,"MXAU"),Override!$F$104)/AS51!$B$3,"")))</f>
        <v/>
      </c>
      <c r="J69" s="140">
        <f>IF(J$13="","",IF($B69="","",IFERROR($C69*$D69*IF((Override!$C$4="ON")*(COUNTIFS(Override!$B$11:$B$40,$B69,Override!$D$11:$D$40,5,Override!$E$11:$E$40,"&gt;=0")-COUNTIFS(Override!$B$11:$B$40,$B69,Override!$D$11:$D$40,5,Override!$E$11:$E$40,"&gt;=0",Override!$C$11:$C$40,"MXAU"))&gt;0,SUMIFS(Override!$E$11:$E$40,Override!$B$11:$B$40,$B69,Override!$D$11:$D$40,5)-SUMIFS(Override!$E$11:$E$40,Override!$B$11:$B$40,$B69,Override!$D$11:$D$40,5,Override!$C$11:$C$40,"MXAU"),Override!$G$104)/AS51!$B$3,"")))</f>
        <v/>
      </c>
      <c r="K69" s="140">
        <f>IF(K$13="","",IF($B69="","",IFERROR($C69*$D69*IF((Override!$C$4="ON")*(COUNTIFS(Override!$B$11:$B$40,$B69,Override!$D$11:$D$40,6,Override!$E$11:$E$40,"&gt;=0")-COUNTIFS(Override!$B$11:$B$40,$B69,Override!$D$11:$D$40,6,Override!$E$11:$E$40,"&gt;=0",Override!$C$11:$C$40,"MXAU"))&gt;0,SUMIFS(Override!$E$11:$E$40,Override!$B$11:$B$40,$B69,Override!$D$11:$D$40,6)-SUMIFS(Override!$E$11:$E$40,Override!$B$11:$B$40,$B69,Override!$D$11:$D$40,6,Override!$C$11:$C$40,"MXAU"),Override!$H$104)/AS51!$B$3,"")))</f>
        <v/>
      </c>
      <c r="L69" s="140">
        <f>IF(L$13="","",IF($B69="","",IFERROR($C69*$D69*IF((Override!$C$4="ON")*(COUNTIFS(Override!$B$11:$B$40,$B69,Override!$D$11:$D$40,7,Override!$E$11:$E$40,"&gt;=0")-COUNTIFS(Override!$B$11:$B$40,$B69,Override!$D$11:$D$40,7,Override!$E$11:$E$40,"&gt;=0",Override!$C$11:$C$40,"MXAU"))&gt;0,SUMIFS(Override!$E$11:$E$40,Override!$B$11:$B$40,$B69,Override!$D$11:$D$40,7)-SUMIFS(Override!$E$11:$E$40,Override!$B$11:$B$40,$B69,Override!$D$11:$D$40,7,Override!$C$11:$C$40,"MXAU"),Override!$I$104)/AS51!$B$3,"")))</f>
        <v/>
      </c>
      <c r="M69" s="140">
        <f>IF(M$13="","",IF($B69="","",IFERROR($C69*$D69*IF((Override!$C$4="ON")*(COUNTIFS(Override!$B$11:$B$40,$B69,Override!$D$11:$D$40,8,Override!$E$11:$E$40,"&gt;=0")-COUNTIFS(Override!$B$11:$B$40,$B69,Override!$D$11:$D$40,8,Override!$E$11:$E$40,"&gt;=0",Override!$C$11:$C$40,"MXAU"))&gt;0,SUMIFS(Override!$E$11:$E$40,Override!$B$11:$B$40,$B69,Override!$D$11:$D$40,8)-SUMIFS(Override!$E$11:$E$40,Override!$B$11:$B$40,$B69,Override!$D$11:$D$40,8,Override!$C$11:$C$40,"MXAU"),Override!$J$104)/AS51!$B$3,"")))</f>
        <v/>
      </c>
      <c r="N69" s="140">
        <f>IF(N$13="","",IF($B69="","",IFERROR($C69*$D69*IF((Override!$C$4="ON")*(COUNTIFS(Override!$B$11:$B$40,$B69,Override!$D$11:$D$40,9,Override!$E$11:$E$40,"&gt;=0")-COUNTIFS(Override!$B$11:$B$40,$B69,Override!$D$11:$D$40,9,Override!$E$11:$E$40,"&gt;=0",Override!$C$11:$C$40,"MXAU"))&gt;0,SUMIFS(Override!$E$11:$E$40,Override!$B$11:$B$40,$B69,Override!$D$11:$D$40,9)-SUMIFS(Override!$E$11:$E$40,Override!$B$11:$B$40,$B69,Override!$D$11:$D$40,9,Override!$C$11:$C$40,"MXAU"),Override!$K$104)/AS51!$B$3,"")))</f>
        <v/>
      </c>
      <c r="O69" s="140">
        <f>IF(O$13="","",IF($B69="","",IFERROR($C69*$D69*IF((Override!$C$4="ON")*(COUNTIFS(Override!$B$11:$B$40,$B69,Override!$D$11:$D$40,10,Override!$E$11:$E$40,"&gt;=0")-COUNTIFS(Override!$B$11:$B$40,$B69,Override!$D$11:$D$40,10,Override!$E$11:$E$40,"&gt;=0",Override!$C$11:$C$40,"MXAU"))&gt;0,SUMIFS(Override!$E$11:$E$40,Override!$B$11:$B$40,$B69,Override!$D$11:$D$40,10)-SUMIFS(Override!$E$11:$E$40,Override!$B$11:$B$40,$B69,Override!$D$11:$D$40,10,Override!$C$11:$C$40,"MXAU"),Override!$L$104)/AS51!$B$3,"")))</f>
        <v/>
      </c>
      <c r="P69" s="140">
        <f>IF(P$13="","",IF($B69="","",IFERROR($C69*$D69*IF((Override!$C$4="ON")*(COUNTIFS(Override!$B$11:$B$40,$B69,Override!$D$11:$D$40,11,Override!$E$11:$E$40,"&gt;=0")-COUNTIFS(Override!$B$11:$B$40,$B69,Override!$D$11:$D$40,11,Override!$E$11:$E$40,"&gt;=0",Override!$C$11:$C$40,"MXAU"))&gt;0,SUMIFS(Override!$E$11:$E$40,Override!$B$11:$B$40,$B69,Override!$D$11:$D$40,11)-SUMIFS(Override!$E$11:$E$40,Override!$B$11:$B$40,$B69,Override!$D$11:$D$40,11,Override!$C$11:$C$40,"MXAU"),Override!$M$104)/AS51!$B$3,"")))</f>
        <v/>
      </c>
      <c r="Q69" s="140">
        <f>IF(Q$13="","",IF($B69="","",IFERROR($C69*$D69*IF((Override!$C$4="ON")*(COUNTIFS(Override!$B$11:$B$40,$B69,Override!$D$11:$D$40,12,Override!$E$11:$E$40,"&gt;=0")-COUNTIFS(Override!$B$11:$B$40,$B69,Override!$D$11:$D$40,12,Override!$E$11:$E$40,"&gt;=0",Override!$C$11:$C$40,"MXAU"))&gt;0,SUMIFS(Override!$E$11:$E$40,Override!$B$11:$B$40,$B69,Override!$D$11:$D$40,12)-SUMIFS(Override!$E$11:$E$40,Override!$B$11:$B$40,$B69,Override!$D$11:$D$40,12,Override!$C$11:$C$40,"MXAU"),Override!$N$104)/AS51!$B$3,"")))</f>
        <v/>
      </c>
      <c r="R69" s="140">
        <f>IF(R$13="","",IF($B69="","",IFERROR($C69*$D69*IF((Override!$C$4="ON")*(COUNTIFS(Override!$B$11:$B$40,$B69,Override!$D$11:$D$40,13,Override!$E$11:$E$40,"&gt;=0")-COUNTIFS(Override!$B$11:$B$40,$B69,Override!$D$11:$D$40,13,Override!$E$11:$E$40,"&gt;=0",Override!$C$11:$C$40,"MXAU"))&gt;0,SUMIFS(Override!$E$11:$E$40,Override!$B$11:$B$40,$B69,Override!$D$11:$D$40,13)-SUMIFS(Override!$E$11:$E$40,Override!$B$11:$B$40,$B69,Override!$D$11:$D$40,13,Override!$C$11:$C$40,"MXAU"),Override!$O$104)/AS51!$B$3,"")))</f>
        <v/>
      </c>
      <c r="S69" s="140">
        <f>IF(S$13="","",IF($B69="","",IFERROR($C69*$D69*IF((Override!$C$4="ON")*(COUNTIFS(Override!$B$11:$B$40,$B69,Override!$D$11:$D$40,14,Override!$E$11:$E$40,"&gt;=0")-COUNTIFS(Override!$B$11:$B$40,$B69,Override!$D$11:$D$40,14,Override!$E$11:$E$40,"&gt;=0",Override!$C$11:$C$40,"MXAU"))&gt;0,SUMIFS(Override!$E$11:$E$40,Override!$B$11:$B$40,$B69,Override!$D$11:$D$40,14)-SUMIFS(Override!$E$11:$E$40,Override!$B$11:$B$40,$B69,Override!$D$11:$D$40,14,Override!$C$11:$C$40,"MXAU"),Override!$P$104)/AS51!$B$3,"")))</f>
        <v/>
      </c>
      <c r="T69" s="140">
        <f>IF(T$13="","",IF($B69="","",IFERROR($C69*$D69*IF((Override!$C$4="ON")*(COUNTIFS(Override!$B$11:$B$40,$B69,Override!$D$11:$D$40,15,Override!$E$11:$E$40,"&gt;=0")-COUNTIFS(Override!$B$11:$B$40,$B69,Override!$D$11:$D$40,15,Override!$E$11:$E$40,"&gt;=0",Override!$C$11:$C$40,"MXAU"))&gt;0,SUMIFS(Override!$E$11:$E$40,Override!$B$11:$B$40,$B69,Override!$D$11:$D$40,15)-SUMIFS(Override!$E$11:$E$40,Override!$B$11:$B$40,$B69,Override!$D$11:$D$40,15,Override!$C$11:$C$40,"MXAU"),Override!$Q$104)/AS51!$B$3,"")))</f>
        <v/>
      </c>
      <c r="U69" s="140">
        <f>IF(U$13="","",IF($B69="","",IFERROR($C69*$D69*IF((Override!$C$4="ON")*(COUNTIFS(Override!$B$11:$B$40,$B69,Override!$D$11:$D$40,16,Override!$E$11:$E$40,"&gt;=0")-COUNTIFS(Override!$B$11:$B$40,$B69,Override!$D$11:$D$40,16,Override!$E$11:$E$40,"&gt;=0",Override!$C$11:$C$40,"MXAU"))&gt;0,SUMIFS(Override!$E$11:$E$40,Override!$B$11:$B$40,$B69,Override!$D$11:$D$40,16)-SUMIFS(Override!$E$11:$E$40,Override!$B$11:$B$40,$B69,Override!$D$11:$D$40,16,Override!$C$11:$C$40,"MXAU"),Override!$R$104)/AS51!$B$3,"")))</f>
        <v/>
      </c>
      <c r="W69" s="140">
        <f>IF(W$13="","",IF($B69="","",IFERROR(F69*$E69/100,"")))</f>
        <v/>
      </c>
      <c r="X69" s="140">
        <f>IF(X$13="","",IF($B69="","",IFERROR(G69*$E69/100,"")))</f>
        <v/>
      </c>
      <c r="Y69" s="140">
        <f>IF(Y$13="","",IF($B69="","",IFERROR(H69*$E69/100,"")))</f>
        <v/>
      </c>
      <c r="Z69" s="140">
        <f>IF(Z$13="","",IF($B69="","",IFERROR(I69*$E69/100,"")))</f>
        <v/>
      </c>
      <c r="AA69" s="140">
        <f>IF(AA$13="","",IF($B69="","",IFERROR(J69*$E69/100,"")))</f>
        <v/>
      </c>
      <c r="AB69" s="140">
        <f>IF(AB$13="","",IF($B69="","",IFERROR(K69*$E69/100,"")))</f>
        <v/>
      </c>
      <c r="AC69" s="140">
        <f>IF(AC$13="","",IF($B69="","",IFERROR(L69*$E69/100,"")))</f>
        <v/>
      </c>
      <c r="AD69" s="140">
        <f>IF(AD$13="","",IF($B69="","",IFERROR(M69*$E69/100,"")))</f>
        <v/>
      </c>
      <c r="AE69" s="140">
        <f>IF(AE$13="","",IF($B69="","",IFERROR(N69*$E69/100,"")))</f>
        <v/>
      </c>
      <c r="AF69" s="140">
        <f>IF(AF$13="","",IF($B69="","",IFERROR(O69*$E69/100,"")))</f>
        <v/>
      </c>
      <c r="AG69" s="140">
        <f>IF(AG$13="","",IF($B69="","",IFERROR(P69*$E69/100,"")))</f>
        <v/>
      </c>
      <c r="AH69" s="140">
        <f>IF(AH$13="","",IF($B69="","",IFERROR(Q69*$E69/100,"")))</f>
        <v/>
      </c>
      <c r="AI69" s="140">
        <f>IF(AI$13="","",IF($B69="","",IFERROR(R69*$E69/100,"")))</f>
        <v/>
      </c>
      <c r="AJ69" s="140">
        <f>IF(AJ$13="","",IF($B69="","",IFERROR(S69*$E69/100,"")))</f>
        <v/>
      </c>
      <c r="AK69" s="140">
        <f>IF(AK$13="","",IF($B69="","",IFERROR(T69*$E69/100,"")))</f>
        <v/>
      </c>
      <c r="AL69" s="140">
        <f>IF(AL$13="","",IF($B69="","",IFERROR(U69*$E69/100,"")))</f>
        <v/>
      </c>
      <c r="AN69" s="140">
        <f>IF($B69="","",SUMIF($F$13:$U$13,"&lt;="&amp;Sector!$D$51,$F69:$U69))</f>
        <v/>
      </c>
      <c r="AO69" s="140">
        <f>IF($B69="","",SUMIF($W$13:$AL$13,"&lt;="&amp;Sector!$D$51,$W69:$AL69))</f>
        <v/>
      </c>
    </row>
    <row r="70">
      <c r="B70" s="5">
        <f>IF(AS51!$C$60="","",AS51!$C$60)</f>
        <v/>
      </c>
      <c r="C70" s="90">
        <f>IF(AS51!$B$60="","",AS51!$B$60)</f>
        <v/>
      </c>
      <c r="D70" s="138">
        <f>IFERROR(AS51!$Q$60,1)</f>
        <v/>
      </c>
      <c r="E70" s="139">
        <f>IF($B70="","",IF(ISNUMBER(AS51!$I$60),AS51!$I$60,'Index Summary'!$C$7))</f>
        <v/>
      </c>
      <c r="F70" s="140">
        <f>IF(F$13="","",IF($B70="","",IFERROR($C70*$D70*IF((Override!$C$4="ON")*(COUNTIFS(Override!$B$11:$B$40,$B70,Override!$D$11:$D$40,1,Override!$E$11:$E$40,"&gt;=0")-COUNTIFS(Override!$B$11:$B$40,$B70,Override!$D$11:$D$40,1,Override!$E$11:$E$40,"&gt;=0",Override!$C$11:$C$40,"MXAU"))&gt;0,SUMIFS(Override!$E$11:$E$40,Override!$B$11:$B$40,$B70,Override!$D$11:$D$40,1)-SUMIFS(Override!$E$11:$E$40,Override!$B$11:$B$40,$B70,Override!$D$11:$D$40,1,Override!$C$11:$C$40,"MXAU"),Override!$C$105)/AS51!$B$3,"")))</f>
        <v/>
      </c>
      <c r="G70" s="140">
        <f>IF(G$13="","",IF($B70="","",IFERROR($C70*$D70*IF((Override!$C$4="ON")*(COUNTIFS(Override!$B$11:$B$40,$B70,Override!$D$11:$D$40,2,Override!$E$11:$E$40,"&gt;=0")-COUNTIFS(Override!$B$11:$B$40,$B70,Override!$D$11:$D$40,2,Override!$E$11:$E$40,"&gt;=0",Override!$C$11:$C$40,"MXAU"))&gt;0,SUMIFS(Override!$E$11:$E$40,Override!$B$11:$B$40,$B70,Override!$D$11:$D$40,2)-SUMIFS(Override!$E$11:$E$40,Override!$B$11:$B$40,$B70,Override!$D$11:$D$40,2,Override!$C$11:$C$40,"MXAU"),Override!$D$105)/AS51!$B$3,"")))</f>
        <v/>
      </c>
      <c r="H70" s="140">
        <f>IF(H$13="","",IF($B70="","",IFERROR($C70*$D70*IF((Override!$C$4="ON")*(COUNTIFS(Override!$B$11:$B$40,$B70,Override!$D$11:$D$40,3,Override!$E$11:$E$40,"&gt;=0")-COUNTIFS(Override!$B$11:$B$40,$B70,Override!$D$11:$D$40,3,Override!$E$11:$E$40,"&gt;=0",Override!$C$11:$C$40,"MXAU"))&gt;0,SUMIFS(Override!$E$11:$E$40,Override!$B$11:$B$40,$B70,Override!$D$11:$D$40,3)-SUMIFS(Override!$E$11:$E$40,Override!$B$11:$B$40,$B70,Override!$D$11:$D$40,3,Override!$C$11:$C$40,"MXAU"),Override!$E$105)/AS51!$B$3,"")))</f>
        <v/>
      </c>
      <c r="I70" s="140">
        <f>IF(I$13="","",IF($B70="","",IFERROR($C70*$D70*IF((Override!$C$4="ON")*(COUNTIFS(Override!$B$11:$B$40,$B70,Override!$D$11:$D$40,4,Override!$E$11:$E$40,"&gt;=0")-COUNTIFS(Override!$B$11:$B$40,$B70,Override!$D$11:$D$40,4,Override!$E$11:$E$40,"&gt;=0",Override!$C$11:$C$40,"MXAU"))&gt;0,SUMIFS(Override!$E$11:$E$40,Override!$B$11:$B$40,$B70,Override!$D$11:$D$40,4)-SUMIFS(Override!$E$11:$E$40,Override!$B$11:$B$40,$B70,Override!$D$11:$D$40,4,Override!$C$11:$C$40,"MXAU"),Override!$F$105)/AS51!$B$3,"")))</f>
        <v/>
      </c>
      <c r="J70" s="140">
        <f>IF(J$13="","",IF($B70="","",IFERROR($C70*$D70*IF((Override!$C$4="ON")*(COUNTIFS(Override!$B$11:$B$40,$B70,Override!$D$11:$D$40,5,Override!$E$11:$E$40,"&gt;=0")-COUNTIFS(Override!$B$11:$B$40,$B70,Override!$D$11:$D$40,5,Override!$E$11:$E$40,"&gt;=0",Override!$C$11:$C$40,"MXAU"))&gt;0,SUMIFS(Override!$E$11:$E$40,Override!$B$11:$B$40,$B70,Override!$D$11:$D$40,5)-SUMIFS(Override!$E$11:$E$40,Override!$B$11:$B$40,$B70,Override!$D$11:$D$40,5,Override!$C$11:$C$40,"MXAU"),Override!$G$105)/AS51!$B$3,"")))</f>
        <v/>
      </c>
      <c r="K70" s="140">
        <f>IF(K$13="","",IF($B70="","",IFERROR($C70*$D70*IF((Override!$C$4="ON")*(COUNTIFS(Override!$B$11:$B$40,$B70,Override!$D$11:$D$40,6,Override!$E$11:$E$40,"&gt;=0")-COUNTIFS(Override!$B$11:$B$40,$B70,Override!$D$11:$D$40,6,Override!$E$11:$E$40,"&gt;=0",Override!$C$11:$C$40,"MXAU"))&gt;0,SUMIFS(Override!$E$11:$E$40,Override!$B$11:$B$40,$B70,Override!$D$11:$D$40,6)-SUMIFS(Override!$E$11:$E$40,Override!$B$11:$B$40,$B70,Override!$D$11:$D$40,6,Override!$C$11:$C$40,"MXAU"),Override!$H$105)/AS51!$B$3,"")))</f>
        <v/>
      </c>
      <c r="L70" s="140">
        <f>IF(L$13="","",IF($B70="","",IFERROR($C70*$D70*IF((Override!$C$4="ON")*(COUNTIFS(Override!$B$11:$B$40,$B70,Override!$D$11:$D$40,7,Override!$E$11:$E$40,"&gt;=0")-COUNTIFS(Override!$B$11:$B$40,$B70,Override!$D$11:$D$40,7,Override!$E$11:$E$40,"&gt;=0",Override!$C$11:$C$40,"MXAU"))&gt;0,SUMIFS(Override!$E$11:$E$40,Override!$B$11:$B$40,$B70,Override!$D$11:$D$40,7)-SUMIFS(Override!$E$11:$E$40,Override!$B$11:$B$40,$B70,Override!$D$11:$D$40,7,Override!$C$11:$C$40,"MXAU"),Override!$I$105)/AS51!$B$3,"")))</f>
        <v/>
      </c>
      <c r="M70" s="140">
        <f>IF(M$13="","",IF($B70="","",IFERROR($C70*$D70*IF((Override!$C$4="ON")*(COUNTIFS(Override!$B$11:$B$40,$B70,Override!$D$11:$D$40,8,Override!$E$11:$E$40,"&gt;=0")-COUNTIFS(Override!$B$11:$B$40,$B70,Override!$D$11:$D$40,8,Override!$E$11:$E$40,"&gt;=0",Override!$C$11:$C$40,"MXAU"))&gt;0,SUMIFS(Override!$E$11:$E$40,Override!$B$11:$B$40,$B70,Override!$D$11:$D$40,8)-SUMIFS(Override!$E$11:$E$40,Override!$B$11:$B$40,$B70,Override!$D$11:$D$40,8,Override!$C$11:$C$40,"MXAU"),Override!$J$105)/AS51!$B$3,"")))</f>
        <v/>
      </c>
      <c r="N70" s="140">
        <f>IF(N$13="","",IF($B70="","",IFERROR($C70*$D70*IF((Override!$C$4="ON")*(COUNTIFS(Override!$B$11:$B$40,$B70,Override!$D$11:$D$40,9,Override!$E$11:$E$40,"&gt;=0")-COUNTIFS(Override!$B$11:$B$40,$B70,Override!$D$11:$D$40,9,Override!$E$11:$E$40,"&gt;=0",Override!$C$11:$C$40,"MXAU"))&gt;0,SUMIFS(Override!$E$11:$E$40,Override!$B$11:$B$40,$B70,Override!$D$11:$D$40,9)-SUMIFS(Override!$E$11:$E$40,Override!$B$11:$B$40,$B70,Override!$D$11:$D$40,9,Override!$C$11:$C$40,"MXAU"),Override!$K$105)/AS51!$B$3,"")))</f>
        <v/>
      </c>
      <c r="O70" s="140">
        <f>IF(O$13="","",IF($B70="","",IFERROR($C70*$D70*IF((Override!$C$4="ON")*(COUNTIFS(Override!$B$11:$B$40,$B70,Override!$D$11:$D$40,10,Override!$E$11:$E$40,"&gt;=0")-COUNTIFS(Override!$B$11:$B$40,$B70,Override!$D$11:$D$40,10,Override!$E$11:$E$40,"&gt;=0",Override!$C$11:$C$40,"MXAU"))&gt;0,SUMIFS(Override!$E$11:$E$40,Override!$B$11:$B$40,$B70,Override!$D$11:$D$40,10)-SUMIFS(Override!$E$11:$E$40,Override!$B$11:$B$40,$B70,Override!$D$11:$D$40,10,Override!$C$11:$C$40,"MXAU"),Override!$L$105)/AS51!$B$3,"")))</f>
        <v/>
      </c>
      <c r="P70" s="140">
        <f>IF(P$13="","",IF($B70="","",IFERROR($C70*$D70*IF((Override!$C$4="ON")*(COUNTIFS(Override!$B$11:$B$40,$B70,Override!$D$11:$D$40,11,Override!$E$11:$E$40,"&gt;=0")-COUNTIFS(Override!$B$11:$B$40,$B70,Override!$D$11:$D$40,11,Override!$E$11:$E$40,"&gt;=0",Override!$C$11:$C$40,"MXAU"))&gt;0,SUMIFS(Override!$E$11:$E$40,Override!$B$11:$B$40,$B70,Override!$D$11:$D$40,11)-SUMIFS(Override!$E$11:$E$40,Override!$B$11:$B$40,$B70,Override!$D$11:$D$40,11,Override!$C$11:$C$40,"MXAU"),Override!$M$105)/AS51!$B$3,"")))</f>
        <v/>
      </c>
      <c r="Q70" s="140">
        <f>IF(Q$13="","",IF($B70="","",IFERROR($C70*$D70*IF((Override!$C$4="ON")*(COUNTIFS(Override!$B$11:$B$40,$B70,Override!$D$11:$D$40,12,Override!$E$11:$E$40,"&gt;=0")-COUNTIFS(Override!$B$11:$B$40,$B70,Override!$D$11:$D$40,12,Override!$E$11:$E$40,"&gt;=0",Override!$C$11:$C$40,"MXAU"))&gt;0,SUMIFS(Override!$E$11:$E$40,Override!$B$11:$B$40,$B70,Override!$D$11:$D$40,12)-SUMIFS(Override!$E$11:$E$40,Override!$B$11:$B$40,$B70,Override!$D$11:$D$40,12,Override!$C$11:$C$40,"MXAU"),Override!$N$105)/AS51!$B$3,"")))</f>
        <v/>
      </c>
      <c r="R70" s="140">
        <f>IF(R$13="","",IF($B70="","",IFERROR($C70*$D70*IF((Override!$C$4="ON")*(COUNTIFS(Override!$B$11:$B$40,$B70,Override!$D$11:$D$40,13,Override!$E$11:$E$40,"&gt;=0")-COUNTIFS(Override!$B$11:$B$40,$B70,Override!$D$11:$D$40,13,Override!$E$11:$E$40,"&gt;=0",Override!$C$11:$C$40,"MXAU"))&gt;0,SUMIFS(Override!$E$11:$E$40,Override!$B$11:$B$40,$B70,Override!$D$11:$D$40,13)-SUMIFS(Override!$E$11:$E$40,Override!$B$11:$B$40,$B70,Override!$D$11:$D$40,13,Override!$C$11:$C$40,"MXAU"),Override!$O$105)/AS51!$B$3,"")))</f>
        <v/>
      </c>
      <c r="S70" s="140">
        <f>IF(S$13="","",IF($B70="","",IFERROR($C70*$D70*IF((Override!$C$4="ON")*(COUNTIFS(Override!$B$11:$B$40,$B70,Override!$D$11:$D$40,14,Override!$E$11:$E$40,"&gt;=0")-COUNTIFS(Override!$B$11:$B$40,$B70,Override!$D$11:$D$40,14,Override!$E$11:$E$40,"&gt;=0",Override!$C$11:$C$40,"MXAU"))&gt;0,SUMIFS(Override!$E$11:$E$40,Override!$B$11:$B$40,$B70,Override!$D$11:$D$40,14)-SUMIFS(Override!$E$11:$E$40,Override!$B$11:$B$40,$B70,Override!$D$11:$D$40,14,Override!$C$11:$C$40,"MXAU"),Override!$P$105)/AS51!$B$3,"")))</f>
        <v/>
      </c>
      <c r="T70" s="140">
        <f>IF(T$13="","",IF($B70="","",IFERROR($C70*$D70*IF((Override!$C$4="ON")*(COUNTIFS(Override!$B$11:$B$40,$B70,Override!$D$11:$D$40,15,Override!$E$11:$E$40,"&gt;=0")-COUNTIFS(Override!$B$11:$B$40,$B70,Override!$D$11:$D$40,15,Override!$E$11:$E$40,"&gt;=0",Override!$C$11:$C$40,"MXAU"))&gt;0,SUMIFS(Override!$E$11:$E$40,Override!$B$11:$B$40,$B70,Override!$D$11:$D$40,15)-SUMIFS(Override!$E$11:$E$40,Override!$B$11:$B$40,$B70,Override!$D$11:$D$40,15,Override!$C$11:$C$40,"MXAU"),Override!$Q$105)/AS51!$B$3,"")))</f>
        <v/>
      </c>
      <c r="U70" s="140">
        <f>IF(U$13="","",IF($B70="","",IFERROR($C70*$D70*IF((Override!$C$4="ON")*(COUNTIFS(Override!$B$11:$B$40,$B70,Override!$D$11:$D$40,16,Override!$E$11:$E$40,"&gt;=0")-COUNTIFS(Override!$B$11:$B$40,$B70,Override!$D$11:$D$40,16,Override!$E$11:$E$40,"&gt;=0",Override!$C$11:$C$40,"MXAU"))&gt;0,SUMIFS(Override!$E$11:$E$40,Override!$B$11:$B$40,$B70,Override!$D$11:$D$40,16)-SUMIFS(Override!$E$11:$E$40,Override!$B$11:$B$40,$B70,Override!$D$11:$D$40,16,Override!$C$11:$C$40,"MXAU"),Override!$R$105)/AS51!$B$3,"")))</f>
        <v/>
      </c>
      <c r="W70" s="140">
        <f>IF(W$13="","",IF($B70="","",IFERROR(F70*$E70/100,"")))</f>
        <v/>
      </c>
      <c r="X70" s="140">
        <f>IF(X$13="","",IF($B70="","",IFERROR(G70*$E70/100,"")))</f>
        <v/>
      </c>
      <c r="Y70" s="140">
        <f>IF(Y$13="","",IF($B70="","",IFERROR(H70*$E70/100,"")))</f>
        <v/>
      </c>
      <c r="Z70" s="140">
        <f>IF(Z$13="","",IF($B70="","",IFERROR(I70*$E70/100,"")))</f>
        <v/>
      </c>
      <c r="AA70" s="140">
        <f>IF(AA$13="","",IF($B70="","",IFERROR(J70*$E70/100,"")))</f>
        <v/>
      </c>
      <c r="AB70" s="140">
        <f>IF(AB$13="","",IF($B70="","",IFERROR(K70*$E70/100,"")))</f>
        <v/>
      </c>
      <c r="AC70" s="140">
        <f>IF(AC$13="","",IF($B70="","",IFERROR(L70*$E70/100,"")))</f>
        <v/>
      </c>
      <c r="AD70" s="140">
        <f>IF(AD$13="","",IF($B70="","",IFERROR(M70*$E70/100,"")))</f>
        <v/>
      </c>
      <c r="AE70" s="140">
        <f>IF(AE$13="","",IF($B70="","",IFERROR(N70*$E70/100,"")))</f>
        <v/>
      </c>
      <c r="AF70" s="140">
        <f>IF(AF$13="","",IF($B70="","",IFERROR(O70*$E70/100,"")))</f>
        <v/>
      </c>
      <c r="AG70" s="140">
        <f>IF(AG$13="","",IF($B70="","",IFERROR(P70*$E70/100,"")))</f>
        <v/>
      </c>
      <c r="AH70" s="140">
        <f>IF(AH$13="","",IF($B70="","",IFERROR(Q70*$E70/100,"")))</f>
        <v/>
      </c>
      <c r="AI70" s="140">
        <f>IF(AI$13="","",IF($B70="","",IFERROR(R70*$E70/100,"")))</f>
        <v/>
      </c>
      <c r="AJ70" s="140">
        <f>IF(AJ$13="","",IF($B70="","",IFERROR(S70*$E70/100,"")))</f>
        <v/>
      </c>
      <c r="AK70" s="140">
        <f>IF(AK$13="","",IF($B70="","",IFERROR(T70*$E70/100,"")))</f>
        <v/>
      </c>
      <c r="AL70" s="140">
        <f>IF(AL$13="","",IF($B70="","",IFERROR(U70*$E70/100,"")))</f>
        <v/>
      </c>
      <c r="AN70" s="140">
        <f>IF($B70="","",SUMIF($F$13:$U$13,"&lt;="&amp;Sector!$D$51,$F70:$U70))</f>
        <v/>
      </c>
      <c r="AO70" s="140">
        <f>IF($B70="","",SUMIF($W$13:$AL$13,"&lt;="&amp;Sector!$D$51,$W70:$AL70))</f>
        <v/>
      </c>
    </row>
    <row r="71">
      <c r="B71" s="5">
        <f>IF(AS51!$C$61="","",AS51!$C$61)</f>
        <v/>
      </c>
      <c r="C71" s="90">
        <f>IF(AS51!$B$61="","",AS51!$B$61)</f>
        <v/>
      </c>
      <c r="D71" s="138">
        <f>IFERROR(AS51!$Q$61,1)</f>
        <v/>
      </c>
      <c r="E71" s="139">
        <f>IF($B71="","",IF(ISNUMBER(AS51!$I$61),AS51!$I$61,'Index Summary'!$C$7))</f>
        <v/>
      </c>
      <c r="F71" s="140">
        <f>IF(F$13="","",IF($B71="","",IFERROR($C71*$D71*IF((Override!$C$4="ON")*(COUNTIFS(Override!$B$11:$B$40,$B71,Override!$D$11:$D$40,1,Override!$E$11:$E$40,"&gt;=0")-COUNTIFS(Override!$B$11:$B$40,$B71,Override!$D$11:$D$40,1,Override!$E$11:$E$40,"&gt;=0",Override!$C$11:$C$40,"MXAU"))&gt;0,SUMIFS(Override!$E$11:$E$40,Override!$B$11:$B$40,$B71,Override!$D$11:$D$40,1)-SUMIFS(Override!$E$11:$E$40,Override!$B$11:$B$40,$B71,Override!$D$11:$D$40,1,Override!$C$11:$C$40,"MXAU"),Override!$C$106)/AS51!$B$3,"")))</f>
        <v/>
      </c>
      <c r="G71" s="140">
        <f>IF(G$13="","",IF($B71="","",IFERROR($C71*$D71*IF((Override!$C$4="ON")*(COUNTIFS(Override!$B$11:$B$40,$B71,Override!$D$11:$D$40,2,Override!$E$11:$E$40,"&gt;=0")-COUNTIFS(Override!$B$11:$B$40,$B71,Override!$D$11:$D$40,2,Override!$E$11:$E$40,"&gt;=0",Override!$C$11:$C$40,"MXAU"))&gt;0,SUMIFS(Override!$E$11:$E$40,Override!$B$11:$B$40,$B71,Override!$D$11:$D$40,2)-SUMIFS(Override!$E$11:$E$40,Override!$B$11:$B$40,$B71,Override!$D$11:$D$40,2,Override!$C$11:$C$40,"MXAU"),Override!$D$106)/AS51!$B$3,"")))</f>
        <v/>
      </c>
      <c r="H71" s="140">
        <f>IF(H$13="","",IF($B71="","",IFERROR($C71*$D71*IF((Override!$C$4="ON")*(COUNTIFS(Override!$B$11:$B$40,$B71,Override!$D$11:$D$40,3,Override!$E$11:$E$40,"&gt;=0")-COUNTIFS(Override!$B$11:$B$40,$B71,Override!$D$11:$D$40,3,Override!$E$11:$E$40,"&gt;=0",Override!$C$11:$C$40,"MXAU"))&gt;0,SUMIFS(Override!$E$11:$E$40,Override!$B$11:$B$40,$B71,Override!$D$11:$D$40,3)-SUMIFS(Override!$E$11:$E$40,Override!$B$11:$B$40,$B71,Override!$D$11:$D$40,3,Override!$C$11:$C$40,"MXAU"),Override!$E$106)/AS51!$B$3,"")))</f>
        <v/>
      </c>
      <c r="I71" s="140">
        <f>IF(I$13="","",IF($B71="","",IFERROR($C71*$D71*IF((Override!$C$4="ON")*(COUNTIFS(Override!$B$11:$B$40,$B71,Override!$D$11:$D$40,4,Override!$E$11:$E$40,"&gt;=0")-COUNTIFS(Override!$B$11:$B$40,$B71,Override!$D$11:$D$40,4,Override!$E$11:$E$40,"&gt;=0",Override!$C$11:$C$40,"MXAU"))&gt;0,SUMIFS(Override!$E$11:$E$40,Override!$B$11:$B$40,$B71,Override!$D$11:$D$40,4)-SUMIFS(Override!$E$11:$E$40,Override!$B$11:$B$40,$B71,Override!$D$11:$D$40,4,Override!$C$11:$C$40,"MXAU"),Override!$F$106)/AS51!$B$3,"")))</f>
        <v/>
      </c>
      <c r="J71" s="140">
        <f>IF(J$13="","",IF($B71="","",IFERROR($C71*$D71*IF((Override!$C$4="ON")*(COUNTIFS(Override!$B$11:$B$40,$B71,Override!$D$11:$D$40,5,Override!$E$11:$E$40,"&gt;=0")-COUNTIFS(Override!$B$11:$B$40,$B71,Override!$D$11:$D$40,5,Override!$E$11:$E$40,"&gt;=0",Override!$C$11:$C$40,"MXAU"))&gt;0,SUMIFS(Override!$E$11:$E$40,Override!$B$11:$B$40,$B71,Override!$D$11:$D$40,5)-SUMIFS(Override!$E$11:$E$40,Override!$B$11:$B$40,$B71,Override!$D$11:$D$40,5,Override!$C$11:$C$40,"MXAU"),Override!$G$106)/AS51!$B$3,"")))</f>
        <v/>
      </c>
      <c r="K71" s="140">
        <f>IF(K$13="","",IF($B71="","",IFERROR($C71*$D71*IF((Override!$C$4="ON")*(COUNTIFS(Override!$B$11:$B$40,$B71,Override!$D$11:$D$40,6,Override!$E$11:$E$40,"&gt;=0")-COUNTIFS(Override!$B$11:$B$40,$B71,Override!$D$11:$D$40,6,Override!$E$11:$E$40,"&gt;=0",Override!$C$11:$C$40,"MXAU"))&gt;0,SUMIFS(Override!$E$11:$E$40,Override!$B$11:$B$40,$B71,Override!$D$11:$D$40,6)-SUMIFS(Override!$E$11:$E$40,Override!$B$11:$B$40,$B71,Override!$D$11:$D$40,6,Override!$C$11:$C$40,"MXAU"),Override!$H$106)/AS51!$B$3,"")))</f>
        <v/>
      </c>
      <c r="L71" s="140">
        <f>IF(L$13="","",IF($B71="","",IFERROR($C71*$D71*IF((Override!$C$4="ON")*(COUNTIFS(Override!$B$11:$B$40,$B71,Override!$D$11:$D$40,7,Override!$E$11:$E$40,"&gt;=0")-COUNTIFS(Override!$B$11:$B$40,$B71,Override!$D$11:$D$40,7,Override!$E$11:$E$40,"&gt;=0",Override!$C$11:$C$40,"MXAU"))&gt;0,SUMIFS(Override!$E$11:$E$40,Override!$B$11:$B$40,$B71,Override!$D$11:$D$40,7)-SUMIFS(Override!$E$11:$E$40,Override!$B$11:$B$40,$B71,Override!$D$11:$D$40,7,Override!$C$11:$C$40,"MXAU"),Override!$I$106)/AS51!$B$3,"")))</f>
        <v/>
      </c>
      <c r="M71" s="140">
        <f>IF(M$13="","",IF($B71="","",IFERROR($C71*$D71*IF((Override!$C$4="ON")*(COUNTIFS(Override!$B$11:$B$40,$B71,Override!$D$11:$D$40,8,Override!$E$11:$E$40,"&gt;=0")-COUNTIFS(Override!$B$11:$B$40,$B71,Override!$D$11:$D$40,8,Override!$E$11:$E$40,"&gt;=0",Override!$C$11:$C$40,"MXAU"))&gt;0,SUMIFS(Override!$E$11:$E$40,Override!$B$11:$B$40,$B71,Override!$D$11:$D$40,8)-SUMIFS(Override!$E$11:$E$40,Override!$B$11:$B$40,$B71,Override!$D$11:$D$40,8,Override!$C$11:$C$40,"MXAU"),Override!$J$106)/AS51!$B$3,"")))</f>
        <v/>
      </c>
      <c r="N71" s="140">
        <f>IF(N$13="","",IF($B71="","",IFERROR($C71*$D71*IF((Override!$C$4="ON")*(COUNTIFS(Override!$B$11:$B$40,$B71,Override!$D$11:$D$40,9,Override!$E$11:$E$40,"&gt;=0")-COUNTIFS(Override!$B$11:$B$40,$B71,Override!$D$11:$D$40,9,Override!$E$11:$E$40,"&gt;=0",Override!$C$11:$C$40,"MXAU"))&gt;0,SUMIFS(Override!$E$11:$E$40,Override!$B$11:$B$40,$B71,Override!$D$11:$D$40,9)-SUMIFS(Override!$E$11:$E$40,Override!$B$11:$B$40,$B71,Override!$D$11:$D$40,9,Override!$C$11:$C$40,"MXAU"),Override!$K$106)/AS51!$B$3,"")))</f>
        <v/>
      </c>
      <c r="O71" s="140">
        <f>IF(O$13="","",IF($B71="","",IFERROR($C71*$D71*IF((Override!$C$4="ON")*(COUNTIFS(Override!$B$11:$B$40,$B71,Override!$D$11:$D$40,10,Override!$E$11:$E$40,"&gt;=0")-COUNTIFS(Override!$B$11:$B$40,$B71,Override!$D$11:$D$40,10,Override!$E$11:$E$40,"&gt;=0",Override!$C$11:$C$40,"MXAU"))&gt;0,SUMIFS(Override!$E$11:$E$40,Override!$B$11:$B$40,$B71,Override!$D$11:$D$40,10)-SUMIFS(Override!$E$11:$E$40,Override!$B$11:$B$40,$B71,Override!$D$11:$D$40,10,Override!$C$11:$C$40,"MXAU"),Override!$L$106)/AS51!$B$3,"")))</f>
        <v/>
      </c>
      <c r="P71" s="140">
        <f>IF(P$13="","",IF($B71="","",IFERROR($C71*$D71*IF((Override!$C$4="ON")*(COUNTIFS(Override!$B$11:$B$40,$B71,Override!$D$11:$D$40,11,Override!$E$11:$E$40,"&gt;=0")-COUNTIFS(Override!$B$11:$B$40,$B71,Override!$D$11:$D$40,11,Override!$E$11:$E$40,"&gt;=0",Override!$C$11:$C$40,"MXAU"))&gt;0,SUMIFS(Override!$E$11:$E$40,Override!$B$11:$B$40,$B71,Override!$D$11:$D$40,11)-SUMIFS(Override!$E$11:$E$40,Override!$B$11:$B$40,$B71,Override!$D$11:$D$40,11,Override!$C$11:$C$40,"MXAU"),Override!$M$106)/AS51!$B$3,"")))</f>
        <v/>
      </c>
      <c r="Q71" s="140">
        <f>IF(Q$13="","",IF($B71="","",IFERROR($C71*$D71*IF((Override!$C$4="ON")*(COUNTIFS(Override!$B$11:$B$40,$B71,Override!$D$11:$D$40,12,Override!$E$11:$E$40,"&gt;=0")-COUNTIFS(Override!$B$11:$B$40,$B71,Override!$D$11:$D$40,12,Override!$E$11:$E$40,"&gt;=0",Override!$C$11:$C$40,"MXAU"))&gt;0,SUMIFS(Override!$E$11:$E$40,Override!$B$11:$B$40,$B71,Override!$D$11:$D$40,12)-SUMIFS(Override!$E$11:$E$40,Override!$B$11:$B$40,$B71,Override!$D$11:$D$40,12,Override!$C$11:$C$40,"MXAU"),Override!$N$106)/AS51!$B$3,"")))</f>
        <v/>
      </c>
      <c r="R71" s="140">
        <f>IF(R$13="","",IF($B71="","",IFERROR($C71*$D71*IF((Override!$C$4="ON")*(COUNTIFS(Override!$B$11:$B$40,$B71,Override!$D$11:$D$40,13,Override!$E$11:$E$40,"&gt;=0")-COUNTIFS(Override!$B$11:$B$40,$B71,Override!$D$11:$D$40,13,Override!$E$11:$E$40,"&gt;=0",Override!$C$11:$C$40,"MXAU"))&gt;0,SUMIFS(Override!$E$11:$E$40,Override!$B$11:$B$40,$B71,Override!$D$11:$D$40,13)-SUMIFS(Override!$E$11:$E$40,Override!$B$11:$B$40,$B71,Override!$D$11:$D$40,13,Override!$C$11:$C$40,"MXAU"),Override!$O$106)/AS51!$B$3,"")))</f>
        <v/>
      </c>
      <c r="S71" s="140">
        <f>IF(S$13="","",IF($B71="","",IFERROR($C71*$D71*IF((Override!$C$4="ON")*(COUNTIFS(Override!$B$11:$B$40,$B71,Override!$D$11:$D$40,14,Override!$E$11:$E$40,"&gt;=0")-COUNTIFS(Override!$B$11:$B$40,$B71,Override!$D$11:$D$40,14,Override!$E$11:$E$40,"&gt;=0",Override!$C$11:$C$40,"MXAU"))&gt;0,SUMIFS(Override!$E$11:$E$40,Override!$B$11:$B$40,$B71,Override!$D$11:$D$40,14)-SUMIFS(Override!$E$11:$E$40,Override!$B$11:$B$40,$B71,Override!$D$11:$D$40,14,Override!$C$11:$C$40,"MXAU"),Override!$P$106)/AS51!$B$3,"")))</f>
        <v/>
      </c>
      <c r="T71" s="140">
        <f>IF(T$13="","",IF($B71="","",IFERROR($C71*$D71*IF((Override!$C$4="ON")*(COUNTIFS(Override!$B$11:$B$40,$B71,Override!$D$11:$D$40,15,Override!$E$11:$E$40,"&gt;=0")-COUNTIFS(Override!$B$11:$B$40,$B71,Override!$D$11:$D$40,15,Override!$E$11:$E$40,"&gt;=0",Override!$C$11:$C$40,"MXAU"))&gt;0,SUMIFS(Override!$E$11:$E$40,Override!$B$11:$B$40,$B71,Override!$D$11:$D$40,15)-SUMIFS(Override!$E$11:$E$40,Override!$B$11:$B$40,$B71,Override!$D$11:$D$40,15,Override!$C$11:$C$40,"MXAU"),Override!$Q$106)/AS51!$B$3,"")))</f>
        <v/>
      </c>
      <c r="U71" s="140">
        <f>IF(U$13="","",IF($B71="","",IFERROR($C71*$D71*IF((Override!$C$4="ON")*(COUNTIFS(Override!$B$11:$B$40,$B71,Override!$D$11:$D$40,16,Override!$E$11:$E$40,"&gt;=0")-COUNTIFS(Override!$B$11:$B$40,$B71,Override!$D$11:$D$40,16,Override!$E$11:$E$40,"&gt;=0",Override!$C$11:$C$40,"MXAU"))&gt;0,SUMIFS(Override!$E$11:$E$40,Override!$B$11:$B$40,$B71,Override!$D$11:$D$40,16)-SUMIFS(Override!$E$11:$E$40,Override!$B$11:$B$40,$B71,Override!$D$11:$D$40,16,Override!$C$11:$C$40,"MXAU"),Override!$R$106)/AS51!$B$3,"")))</f>
        <v/>
      </c>
      <c r="W71" s="140">
        <f>IF(W$13="","",IF($B71="","",IFERROR(F71*$E71/100,"")))</f>
        <v/>
      </c>
      <c r="X71" s="140">
        <f>IF(X$13="","",IF($B71="","",IFERROR(G71*$E71/100,"")))</f>
        <v/>
      </c>
      <c r="Y71" s="140">
        <f>IF(Y$13="","",IF($B71="","",IFERROR(H71*$E71/100,"")))</f>
        <v/>
      </c>
      <c r="Z71" s="140">
        <f>IF(Z$13="","",IF($B71="","",IFERROR(I71*$E71/100,"")))</f>
        <v/>
      </c>
      <c r="AA71" s="140">
        <f>IF(AA$13="","",IF($B71="","",IFERROR(J71*$E71/100,"")))</f>
        <v/>
      </c>
      <c r="AB71" s="140">
        <f>IF(AB$13="","",IF($B71="","",IFERROR(K71*$E71/100,"")))</f>
        <v/>
      </c>
      <c r="AC71" s="140">
        <f>IF(AC$13="","",IF($B71="","",IFERROR(L71*$E71/100,"")))</f>
        <v/>
      </c>
      <c r="AD71" s="140">
        <f>IF(AD$13="","",IF($B71="","",IFERROR(M71*$E71/100,"")))</f>
        <v/>
      </c>
      <c r="AE71" s="140">
        <f>IF(AE$13="","",IF($B71="","",IFERROR(N71*$E71/100,"")))</f>
        <v/>
      </c>
      <c r="AF71" s="140">
        <f>IF(AF$13="","",IF($B71="","",IFERROR(O71*$E71/100,"")))</f>
        <v/>
      </c>
      <c r="AG71" s="140">
        <f>IF(AG$13="","",IF($B71="","",IFERROR(P71*$E71/100,"")))</f>
        <v/>
      </c>
      <c r="AH71" s="140">
        <f>IF(AH$13="","",IF($B71="","",IFERROR(Q71*$E71/100,"")))</f>
        <v/>
      </c>
      <c r="AI71" s="140">
        <f>IF(AI$13="","",IF($B71="","",IFERROR(R71*$E71/100,"")))</f>
        <v/>
      </c>
      <c r="AJ71" s="140">
        <f>IF(AJ$13="","",IF($B71="","",IFERROR(S71*$E71/100,"")))</f>
        <v/>
      </c>
      <c r="AK71" s="140">
        <f>IF(AK$13="","",IF($B71="","",IFERROR(T71*$E71/100,"")))</f>
        <v/>
      </c>
      <c r="AL71" s="140">
        <f>IF(AL$13="","",IF($B71="","",IFERROR(U71*$E71/100,"")))</f>
        <v/>
      </c>
      <c r="AN71" s="140">
        <f>IF($B71="","",SUMIF($F$13:$U$13,"&lt;="&amp;Sector!$D$51,$F71:$U71))</f>
        <v/>
      </c>
      <c r="AO71" s="140">
        <f>IF($B71="","",SUMIF($W$13:$AL$13,"&lt;="&amp;Sector!$D$51,$W71:$AL71))</f>
        <v/>
      </c>
    </row>
    <row r="72">
      <c r="B72" s="5">
        <f>IF(AS51!$C$62="","",AS51!$C$62)</f>
        <v/>
      </c>
      <c r="C72" s="90">
        <f>IF(AS51!$B$62="","",AS51!$B$62)</f>
        <v/>
      </c>
      <c r="D72" s="138">
        <f>IFERROR(AS51!$Q$62,1)</f>
        <v/>
      </c>
      <c r="E72" s="139">
        <f>IF($B72="","",IF(ISNUMBER(AS51!$I$62),AS51!$I$62,'Index Summary'!$C$7))</f>
        <v/>
      </c>
      <c r="F72" s="140">
        <f>IF(F$13="","",IF($B72="","",IFERROR($C72*$D72*IF((Override!$C$4="ON")*(COUNTIFS(Override!$B$11:$B$40,$B72,Override!$D$11:$D$40,1,Override!$E$11:$E$40,"&gt;=0")-COUNTIFS(Override!$B$11:$B$40,$B72,Override!$D$11:$D$40,1,Override!$E$11:$E$40,"&gt;=0",Override!$C$11:$C$40,"MXAU"))&gt;0,SUMIFS(Override!$E$11:$E$40,Override!$B$11:$B$40,$B72,Override!$D$11:$D$40,1)-SUMIFS(Override!$E$11:$E$40,Override!$B$11:$B$40,$B72,Override!$D$11:$D$40,1,Override!$C$11:$C$40,"MXAU"),Override!$C$107)/AS51!$B$3,"")))</f>
        <v/>
      </c>
      <c r="G72" s="140">
        <f>IF(G$13="","",IF($B72="","",IFERROR($C72*$D72*IF((Override!$C$4="ON")*(COUNTIFS(Override!$B$11:$B$40,$B72,Override!$D$11:$D$40,2,Override!$E$11:$E$40,"&gt;=0")-COUNTIFS(Override!$B$11:$B$40,$B72,Override!$D$11:$D$40,2,Override!$E$11:$E$40,"&gt;=0",Override!$C$11:$C$40,"MXAU"))&gt;0,SUMIFS(Override!$E$11:$E$40,Override!$B$11:$B$40,$B72,Override!$D$11:$D$40,2)-SUMIFS(Override!$E$11:$E$40,Override!$B$11:$B$40,$B72,Override!$D$11:$D$40,2,Override!$C$11:$C$40,"MXAU"),Override!$D$107)/AS51!$B$3,"")))</f>
        <v/>
      </c>
      <c r="H72" s="140">
        <f>IF(H$13="","",IF($B72="","",IFERROR($C72*$D72*IF((Override!$C$4="ON")*(COUNTIFS(Override!$B$11:$B$40,$B72,Override!$D$11:$D$40,3,Override!$E$11:$E$40,"&gt;=0")-COUNTIFS(Override!$B$11:$B$40,$B72,Override!$D$11:$D$40,3,Override!$E$11:$E$40,"&gt;=0",Override!$C$11:$C$40,"MXAU"))&gt;0,SUMIFS(Override!$E$11:$E$40,Override!$B$11:$B$40,$B72,Override!$D$11:$D$40,3)-SUMIFS(Override!$E$11:$E$40,Override!$B$11:$B$40,$B72,Override!$D$11:$D$40,3,Override!$C$11:$C$40,"MXAU"),Override!$E$107)/AS51!$B$3,"")))</f>
        <v/>
      </c>
      <c r="I72" s="140">
        <f>IF(I$13="","",IF($B72="","",IFERROR($C72*$D72*IF((Override!$C$4="ON")*(COUNTIFS(Override!$B$11:$B$40,$B72,Override!$D$11:$D$40,4,Override!$E$11:$E$40,"&gt;=0")-COUNTIFS(Override!$B$11:$B$40,$B72,Override!$D$11:$D$40,4,Override!$E$11:$E$40,"&gt;=0",Override!$C$11:$C$40,"MXAU"))&gt;0,SUMIFS(Override!$E$11:$E$40,Override!$B$11:$B$40,$B72,Override!$D$11:$D$40,4)-SUMIFS(Override!$E$11:$E$40,Override!$B$11:$B$40,$B72,Override!$D$11:$D$40,4,Override!$C$11:$C$40,"MXAU"),Override!$F$107)/AS51!$B$3,"")))</f>
        <v/>
      </c>
      <c r="J72" s="140">
        <f>IF(J$13="","",IF($B72="","",IFERROR($C72*$D72*IF((Override!$C$4="ON")*(COUNTIFS(Override!$B$11:$B$40,$B72,Override!$D$11:$D$40,5,Override!$E$11:$E$40,"&gt;=0")-COUNTIFS(Override!$B$11:$B$40,$B72,Override!$D$11:$D$40,5,Override!$E$11:$E$40,"&gt;=0",Override!$C$11:$C$40,"MXAU"))&gt;0,SUMIFS(Override!$E$11:$E$40,Override!$B$11:$B$40,$B72,Override!$D$11:$D$40,5)-SUMIFS(Override!$E$11:$E$40,Override!$B$11:$B$40,$B72,Override!$D$11:$D$40,5,Override!$C$11:$C$40,"MXAU"),Override!$G$107)/AS51!$B$3,"")))</f>
        <v/>
      </c>
      <c r="K72" s="140">
        <f>IF(K$13="","",IF($B72="","",IFERROR($C72*$D72*IF((Override!$C$4="ON")*(COUNTIFS(Override!$B$11:$B$40,$B72,Override!$D$11:$D$40,6,Override!$E$11:$E$40,"&gt;=0")-COUNTIFS(Override!$B$11:$B$40,$B72,Override!$D$11:$D$40,6,Override!$E$11:$E$40,"&gt;=0",Override!$C$11:$C$40,"MXAU"))&gt;0,SUMIFS(Override!$E$11:$E$40,Override!$B$11:$B$40,$B72,Override!$D$11:$D$40,6)-SUMIFS(Override!$E$11:$E$40,Override!$B$11:$B$40,$B72,Override!$D$11:$D$40,6,Override!$C$11:$C$40,"MXAU"),Override!$H$107)/AS51!$B$3,"")))</f>
        <v/>
      </c>
      <c r="L72" s="140">
        <f>IF(L$13="","",IF($B72="","",IFERROR($C72*$D72*IF((Override!$C$4="ON")*(COUNTIFS(Override!$B$11:$B$40,$B72,Override!$D$11:$D$40,7,Override!$E$11:$E$40,"&gt;=0")-COUNTIFS(Override!$B$11:$B$40,$B72,Override!$D$11:$D$40,7,Override!$E$11:$E$40,"&gt;=0",Override!$C$11:$C$40,"MXAU"))&gt;0,SUMIFS(Override!$E$11:$E$40,Override!$B$11:$B$40,$B72,Override!$D$11:$D$40,7)-SUMIFS(Override!$E$11:$E$40,Override!$B$11:$B$40,$B72,Override!$D$11:$D$40,7,Override!$C$11:$C$40,"MXAU"),Override!$I$107)/AS51!$B$3,"")))</f>
        <v/>
      </c>
      <c r="M72" s="140">
        <f>IF(M$13="","",IF($B72="","",IFERROR($C72*$D72*IF((Override!$C$4="ON")*(COUNTIFS(Override!$B$11:$B$40,$B72,Override!$D$11:$D$40,8,Override!$E$11:$E$40,"&gt;=0")-COUNTIFS(Override!$B$11:$B$40,$B72,Override!$D$11:$D$40,8,Override!$E$11:$E$40,"&gt;=0",Override!$C$11:$C$40,"MXAU"))&gt;0,SUMIFS(Override!$E$11:$E$40,Override!$B$11:$B$40,$B72,Override!$D$11:$D$40,8)-SUMIFS(Override!$E$11:$E$40,Override!$B$11:$B$40,$B72,Override!$D$11:$D$40,8,Override!$C$11:$C$40,"MXAU"),Override!$J$107)/AS51!$B$3,"")))</f>
        <v/>
      </c>
      <c r="N72" s="140">
        <f>IF(N$13="","",IF($B72="","",IFERROR($C72*$D72*IF((Override!$C$4="ON")*(COUNTIFS(Override!$B$11:$B$40,$B72,Override!$D$11:$D$40,9,Override!$E$11:$E$40,"&gt;=0")-COUNTIFS(Override!$B$11:$B$40,$B72,Override!$D$11:$D$40,9,Override!$E$11:$E$40,"&gt;=0",Override!$C$11:$C$40,"MXAU"))&gt;0,SUMIFS(Override!$E$11:$E$40,Override!$B$11:$B$40,$B72,Override!$D$11:$D$40,9)-SUMIFS(Override!$E$11:$E$40,Override!$B$11:$B$40,$B72,Override!$D$11:$D$40,9,Override!$C$11:$C$40,"MXAU"),Override!$K$107)/AS51!$B$3,"")))</f>
        <v/>
      </c>
      <c r="O72" s="140">
        <f>IF(O$13="","",IF($B72="","",IFERROR($C72*$D72*IF((Override!$C$4="ON")*(COUNTIFS(Override!$B$11:$B$40,$B72,Override!$D$11:$D$40,10,Override!$E$11:$E$40,"&gt;=0")-COUNTIFS(Override!$B$11:$B$40,$B72,Override!$D$11:$D$40,10,Override!$E$11:$E$40,"&gt;=0",Override!$C$11:$C$40,"MXAU"))&gt;0,SUMIFS(Override!$E$11:$E$40,Override!$B$11:$B$40,$B72,Override!$D$11:$D$40,10)-SUMIFS(Override!$E$11:$E$40,Override!$B$11:$B$40,$B72,Override!$D$11:$D$40,10,Override!$C$11:$C$40,"MXAU"),Override!$L$107)/AS51!$B$3,"")))</f>
        <v/>
      </c>
      <c r="P72" s="140">
        <f>IF(P$13="","",IF($B72="","",IFERROR($C72*$D72*IF((Override!$C$4="ON")*(COUNTIFS(Override!$B$11:$B$40,$B72,Override!$D$11:$D$40,11,Override!$E$11:$E$40,"&gt;=0")-COUNTIFS(Override!$B$11:$B$40,$B72,Override!$D$11:$D$40,11,Override!$E$11:$E$40,"&gt;=0",Override!$C$11:$C$40,"MXAU"))&gt;0,SUMIFS(Override!$E$11:$E$40,Override!$B$11:$B$40,$B72,Override!$D$11:$D$40,11)-SUMIFS(Override!$E$11:$E$40,Override!$B$11:$B$40,$B72,Override!$D$11:$D$40,11,Override!$C$11:$C$40,"MXAU"),Override!$M$107)/AS51!$B$3,"")))</f>
        <v/>
      </c>
      <c r="Q72" s="140">
        <f>IF(Q$13="","",IF($B72="","",IFERROR($C72*$D72*IF((Override!$C$4="ON")*(COUNTIFS(Override!$B$11:$B$40,$B72,Override!$D$11:$D$40,12,Override!$E$11:$E$40,"&gt;=0")-COUNTIFS(Override!$B$11:$B$40,$B72,Override!$D$11:$D$40,12,Override!$E$11:$E$40,"&gt;=0",Override!$C$11:$C$40,"MXAU"))&gt;0,SUMIFS(Override!$E$11:$E$40,Override!$B$11:$B$40,$B72,Override!$D$11:$D$40,12)-SUMIFS(Override!$E$11:$E$40,Override!$B$11:$B$40,$B72,Override!$D$11:$D$40,12,Override!$C$11:$C$40,"MXAU"),Override!$N$107)/AS51!$B$3,"")))</f>
        <v/>
      </c>
      <c r="R72" s="140">
        <f>IF(R$13="","",IF($B72="","",IFERROR($C72*$D72*IF((Override!$C$4="ON")*(COUNTIFS(Override!$B$11:$B$40,$B72,Override!$D$11:$D$40,13,Override!$E$11:$E$40,"&gt;=0")-COUNTIFS(Override!$B$11:$B$40,$B72,Override!$D$11:$D$40,13,Override!$E$11:$E$40,"&gt;=0",Override!$C$11:$C$40,"MXAU"))&gt;0,SUMIFS(Override!$E$11:$E$40,Override!$B$11:$B$40,$B72,Override!$D$11:$D$40,13)-SUMIFS(Override!$E$11:$E$40,Override!$B$11:$B$40,$B72,Override!$D$11:$D$40,13,Override!$C$11:$C$40,"MXAU"),Override!$O$107)/AS51!$B$3,"")))</f>
        <v/>
      </c>
      <c r="S72" s="140">
        <f>IF(S$13="","",IF($B72="","",IFERROR($C72*$D72*IF((Override!$C$4="ON")*(COUNTIFS(Override!$B$11:$B$40,$B72,Override!$D$11:$D$40,14,Override!$E$11:$E$40,"&gt;=0")-COUNTIFS(Override!$B$11:$B$40,$B72,Override!$D$11:$D$40,14,Override!$E$11:$E$40,"&gt;=0",Override!$C$11:$C$40,"MXAU"))&gt;0,SUMIFS(Override!$E$11:$E$40,Override!$B$11:$B$40,$B72,Override!$D$11:$D$40,14)-SUMIFS(Override!$E$11:$E$40,Override!$B$11:$B$40,$B72,Override!$D$11:$D$40,14,Override!$C$11:$C$40,"MXAU"),Override!$P$107)/AS51!$B$3,"")))</f>
        <v/>
      </c>
      <c r="T72" s="140">
        <f>IF(T$13="","",IF($B72="","",IFERROR($C72*$D72*IF((Override!$C$4="ON")*(COUNTIFS(Override!$B$11:$B$40,$B72,Override!$D$11:$D$40,15,Override!$E$11:$E$40,"&gt;=0")-COUNTIFS(Override!$B$11:$B$40,$B72,Override!$D$11:$D$40,15,Override!$E$11:$E$40,"&gt;=0",Override!$C$11:$C$40,"MXAU"))&gt;0,SUMIFS(Override!$E$11:$E$40,Override!$B$11:$B$40,$B72,Override!$D$11:$D$40,15)-SUMIFS(Override!$E$11:$E$40,Override!$B$11:$B$40,$B72,Override!$D$11:$D$40,15,Override!$C$11:$C$40,"MXAU"),Override!$Q$107)/AS51!$B$3,"")))</f>
        <v/>
      </c>
      <c r="U72" s="140">
        <f>IF(U$13="","",IF($B72="","",IFERROR($C72*$D72*IF((Override!$C$4="ON")*(COUNTIFS(Override!$B$11:$B$40,$B72,Override!$D$11:$D$40,16,Override!$E$11:$E$40,"&gt;=0")-COUNTIFS(Override!$B$11:$B$40,$B72,Override!$D$11:$D$40,16,Override!$E$11:$E$40,"&gt;=0",Override!$C$11:$C$40,"MXAU"))&gt;0,SUMIFS(Override!$E$11:$E$40,Override!$B$11:$B$40,$B72,Override!$D$11:$D$40,16)-SUMIFS(Override!$E$11:$E$40,Override!$B$11:$B$40,$B72,Override!$D$11:$D$40,16,Override!$C$11:$C$40,"MXAU"),Override!$R$107)/AS51!$B$3,"")))</f>
        <v/>
      </c>
      <c r="W72" s="140">
        <f>IF(W$13="","",IF($B72="","",IFERROR(F72*$E72/100,"")))</f>
        <v/>
      </c>
      <c r="X72" s="140">
        <f>IF(X$13="","",IF($B72="","",IFERROR(G72*$E72/100,"")))</f>
        <v/>
      </c>
      <c r="Y72" s="140">
        <f>IF(Y$13="","",IF($B72="","",IFERROR(H72*$E72/100,"")))</f>
        <v/>
      </c>
      <c r="Z72" s="140">
        <f>IF(Z$13="","",IF($B72="","",IFERROR(I72*$E72/100,"")))</f>
        <v/>
      </c>
      <c r="AA72" s="140">
        <f>IF(AA$13="","",IF($B72="","",IFERROR(J72*$E72/100,"")))</f>
        <v/>
      </c>
      <c r="AB72" s="140">
        <f>IF(AB$13="","",IF($B72="","",IFERROR(K72*$E72/100,"")))</f>
        <v/>
      </c>
      <c r="AC72" s="140">
        <f>IF(AC$13="","",IF($B72="","",IFERROR(L72*$E72/100,"")))</f>
        <v/>
      </c>
      <c r="AD72" s="140">
        <f>IF(AD$13="","",IF($B72="","",IFERROR(M72*$E72/100,"")))</f>
        <v/>
      </c>
      <c r="AE72" s="140">
        <f>IF(AE$13="","",IF($B72="","",IFERROR(N72*$E72/100,"")))</f>
        <v/>
      </c>
      <c r="AF72" s="140">
        <f>IF(AF$13="","",IF($B72="","",IFERROR(O72*$E72/100,"")))</f>
        <v/>
      </c>
      <c r="AG72" s="140">
        <f>IF(AG$13="","",IF($B72="","",IFERROR(P72*$E72/100,"")))</f>
        <v/>
      </c>
      <c r="AH72" s="140">
        <f>IF(AH$13="","",IF($B72="","",IFERROR(Q72*$E72/100,"")))</f>
        <v/>
      </c>
      <c r="AI72" s="140">
        <f>IF(AI$13="","",IF($B72="","",IFERROR(R72*$E72/100,"")))</f>
        <v/>
      </c>
      <c r="AJ72" s="140">
        <f>IF(AJ$13="","",IF($B72="","",IFERROR(S72*$E72/100,"")))</f>
        <v/>
      </c>
      <c r="AK72" s="140">
        <f>IF(AK$13="","",IF($B72="","",IFERROR(T72*$E72/100,"")))</f>
        <v/>
      </c>
      <c r="AL72" s="140">
        <f>IF(AL$13="","",IF($B72="","",IFERROR(U72*$E72/100,"")))</f>
        <v/>
      </c>
      <c r="AN72" s="140">
        <f>IF($B72="","",SUMIF($F$13:$U$13,"&lt;="&amp;Sector!$D$51,$F72:$U72))</f>
        <v/>
      </c>
      <c r="AO72" s="140">
        <f>IF($B72="","",SUMIF($W$13:$AL$13,"&lt;="&amp;Sector!$D$51,$W72:$AL72))</f>
        <v/>
      </c>
    </row>
    <row r="73">
      <c r="B73" s="5">
        <f>IF(AS51!$C$63="","",AS51!$C$63)</f>
        <v/>
      </c>
      <c r="C73" s="90">
        <f>IF(AS51!$B$63="","",AS51!$B$63)</f>
        <v/>
      </c>
      <c r="D73" s="138">
        <f>IFERROR(AS51!$Q$63,1)</f>
        <v/>
      </c>
      <c r="E73" s="139">
        <f>IF($B73="","",IF(ISNUMBER(AS51!$I$63),AS51!$I$63,'Index Summary'!$C$7))</f>
        <v/>
      </c>
      <c r="F73" s="140">
        <f>IF(F$13="","",IF($B73="","",IFERROR($C73*$D73*IF((Override!$C$4="ON")*(COUNTIFS(Override!$B$11:$B$40,$B73,Override!$D$11:$D$40,1,Override!$E$11:$E$40,"&gt;=0")-COUNTIFS(Override!$B$11:$B$40,$B73,Override!$D$11:$D$40,1,Override!$E$11:$E$40,"&gt;=0",Override!$C$11:$C$40,"MXAU"))&gt;0,SUMIFS(Override!$E$11:$E$40,Override!$B$11:$B$40,$B73,Override!$D$11:$D$40,1)-SUMIFS(Override!$E$11:$E$40,Override!$B$11:$B$40,$B73,Override!$D$11:$D$40,1,Override!$C$11:$C$40,"MXAU"),Override!$C$108)/AS51!$B$3,"")))</f>
        <v/>
      </c>
      <c r="G73" s="140">
        <f>IF(G$13="","",IF($B73="","",IFERROR($C73*$D73*IF((Override!$C$4="ON")*(COUNTIFS(Override!$B$11:$B$40,$B73,Override!$D$11:$D$40,2,Override!$E$11:$E$40,"&gt;=0")-COUNTIFS(Override!$B$11:$B$40,$B73,Override!$D$11:$D$40,2,Override!$E$11:$E$40,"&gt;=0",Override!$C$11:$C$40,"MXAU"))&gt;0,SUMIFS(Override!$E$11:$E$40,Override!$B$11:$B$40,$B73,Override!$D$11:$D$40,2)-SUMIFS(Override!$E$11:$E$40,Override!$B$11:$B$40,$B73,Override!$D$11:$D$40,2,Override!$C$11:$C$40,"MXAU"),Override!$D$108)/AS51!$B$3,"")))</f>
        <v/>
      </c>
      <c r="H73" s="140">
        <f>IF(H$13="","",IF($B73="","",IFERROR($C73*$D73*IF((Override!$C$4="ON")*(COUNTIFS(Override!$B$11:$B$40,$B73,Override!$D$11:$D$40,3,Override!$E$11:$E$40,"&gt;=0")-COUNTIFS(Override!$B$11:$B$40,$B73,Override!$D$11:$D$40,3,Override!$E$11:$E$40,"&gt;=0",Override!$C$11:$C$40,"MXAU"))&gt;0,SUMIFS(Override!$E$11:$E$40,Override!$B$11:$B$40,$B73,Override!$D$11:$D$40,3)-SUMIFS(Override!$E$11:$E$40,Override!$B$11:$B$40,$B73,Override!$D$11:$D$40,3,Override!$C$11:$C$40,"MXAU"),Override!$E$108)/AS51!$B$3,"")))</f>
        <v/>
      </c>
      <c r="I73" s="140">
        <f>IF(I$13="","",IF($B73="","",IFERROR($C73*$D73*IF((Override!$C$4="ON")*(COUNTIFS(Override!$B$11:$B$40,$B73,Override!$D$11:$D$40,4,Override!$E$11:$E$40,"&gt;=0")-COUNTIFS(Override!$B$11:$B$40,$B73,Override!$D$11:$D$40,4,Override!$E$11:$E$40,"&gt;=0",Override!$C$11:$C$40,"MXAU"))&gt;0,SUMIFS(Override!$E$11:$E$40,Override!$B$11:$B$40,$B73,Override!$D$11:$D$40,4)-SUMIFS(Override!$E$11:$E$40,Override!$B$11:$B$40,$B73,Override!$D$11:$D$40,4,Override!$C$11:$C$40,"MXAU"),Override!$F$108)/AS51!$B$3,"")))</f>
        <v/>
      </c>
      <c r="J73" s="140">
        <f>IF(J$13="","",IF($B73="","",IFERROR($C73*$D73*IF((Override!$C$4="ON")*(COUNTIFS(Override!$B$11:$B$40,$B73,Override!$D$11:$D$40,5,Override!$E$11:$E$40,"&gt;=0")-COUNTIFS(Override!$B$11:$B$40,$B73,Override!$D$11:$D$40,5,Override!$E$11:$E$40,"&gt;=0",Override!$C$11:$C$40,"MXAU"))&gt;0,SUMIFS(Override!$E$11:$E$40,Override!$B$11:$B$40,$B73,Override!$D$11:$D$40,5)-SUMIFS(Override!$E$11:$E$40,Override!$B$11:$B$40,$B73,Override!$D$11:$D$40,5,Override!$C$11:$C$40,"MXAU"),Override!$G$108)/AS51!$B$3,"")))</f>
        <v/>
      </c>
      <c r="K73" s="140">
        <f>IF(K$13="","",IF($B73="","",IFERROR($C73*$D73*IF((Override!$C$4="ON")*(COUNTIFS(Override!$B$11:$B$40,$B73,Override!$D$11:$D$40,6,Override!$E$11:$E$40,"&gt;=0")-COUNTIFS(Override!$B$11:$B$40,$B73,Override!$D$11:$D$40,6,Override!$E$11:$E$40,"&gt;=0",Override!$C$11:$C$40,"MXAU"))&gt;0,SUMIFS(Override!$E$11:$E$40,Override!$B$11:$B$40,$B73,Override!$D$11:$D$40,6)-SUMIFS(Override!$E$11:$E$40,Override!$B$11:$B$40,$B73,Override!$D$11:$D$40,6,Override!$C$11:$C$40,"MXAU"),Override!$H$108)/AS51!$B$3,"")))</f>
        <v/>
      </c>
      <c r="L73" s="140">
        <f>IF(L$13="","",IF($B73="","",IFERROR($C73*$D73*IF((Override!$C$4="ON")*(COUNTIFS(Override!$B$11:$B$40,$B73,Override!$D$11:$D$40,7,Override!$E$11:$E$40,"&gt;=0")-COUNTIFS(Override!$B$11:$B$40,$B73,Override!$D$11:$D$40,7,Override!$E$11:$E$40,"&gt;=0",Override!$C$11:$C$40,"MXAU"))&gt;0,SUMIFS(Override!$E$11:$E$40,Override!$B$11:$B$40,$B73,Override!$D$11:$D$40,7)-SUMIFS(Override!$E$11:$E$40,Override!$B$11:$B$40,$B73,Override!$D$11:$D$40,7,Override!$C$11:$C$40,"MXAU"),Override!$I$108)/AS51!$B$3,"")))</f>
        <v/>
      </c>
      <c r="M73" s="140">
        <f>IF(M$13="","",IF($B73="","",IFERROR($C73*$D73*IF((Override!$C$4="ON")*(COUNTIFS(Override!$B$11:$B$40,$B73,Override!$D$11:$D$40,8,Override!$E$11:$E$40,"&gt;=0")-COUNTIFS(Override!$B$11:$B$40,$B73,Override!$D$11:$D$40,8,Override!$E$11:$E$40,"&gt;=0",Override!$C$11:$C$40,"MXAU"))&gt;0,SUMIFS(Override!$E$11:$E$40,Override!$B$11:$B$40,$B73,Override!$D$11:$D$40,8)-SUMIFS(Override!$E$11:$E$40,Override!$B$11:$B$40,$B73,Override!$D$11:$D$40,8,Override!$C$11:$C$40,"MXAU"),Override!$J$108)/AS51!$B$3,"")))</f>
        <v/>
      </c>
      <c r="N73" s="140">
        <f>IF(N$13="","",IF($B73="","",IFERROR($C73*$D73*IF((Override!$C$4="ON")*(COUNTIFS(Override!$B$11:$B$40,$B73,Override!$D$11:$D$40,9,Override!$E$11:$E$40,"&gt;=0")-COUNTIFS(Override!$B$11:$B$40,$B73,Override!$D$11:$D$40,9,Override!$E$11:$E$40,"&gt;=0",Override!$C$11:$C$40,"MXAU"))&gt;0,SUMIFS(Override!$E$11:$E$40,Override!$B$11:$B$40,$B73,Override!$D$11:$D$40,9)-SUMIFS(Override!$E$11:$E$40,Override!$B$11:$B$40,$B73,Override!$D$11:$D$40,9,Override!$C$11:$C$40,"MXAU"),Override!$K$108)/AS51!$B$3,"")))</f>
        <v/>
      </c>
      <c r="O73" s="140">
        <f>IF(O$13="","",IF($B73="","",IFERROR($C73*$D73*IF((Override!$C$4="ON")*(COUNTIFS(Override!$B$11:$B$40,$B73,Override!$D$11:$D$40,10,Override!$E$11:$E$40,"&gt;=0")-COUNTIFS(Override!$B$11:$B$40,$B73,Override!$D$11:$D$40,10,Override!$E$11:$E$40,"&gt;=0",Override!$C$11:$C$40,"MXAU"))&gt;0,SUMIFS(Override!$E$11:$E$40,Override!$B$11:$B$40,$B73,Override!$D$11:$D$40,10)-SUMIFS(Override!$E$11:$E$40,Override!$B$11:$B$40,$B73,Override!$D$11:$D$40,10,Override!$C$11:$C$40,"MXAU"),Override!$L$108)/AS51!$B$3,"")))</f>
        <v/>
      </c>
      <c r="P73" s="140">
        <f>IF(P$13="","",IF($B73="","",IFERROR($C73*$D73*IF((Override!$C$4="ON")*(COUNTIFS(Override!$B$11:$B$40,$B73,Override!$D$11:$D$40,11,Override!$E$11:$E$40,"&gt;=0")-COUNTIFS(Override!$B$11:$B$40,$B73,Override!$D$11:$D$40,11,Override!$E$11:$E$40,"&gt;=0",Override!$C$11:$C$40,"MXAU"))&gt;0,SUMIFS(Override!$E$11:$E$40,Override!$B$11:$B$40,$B73,Override!$D$11:$D$40,11)-SUMIFS(Override!$E$11:$E$40,Override!$B$11:$B$40,$B73,Override!$D$11:$D$40,11,Override!$C$11:$C$40,"MXAU"),Override!$M$108)/AS51!$B$3,"")))</f>
        <v/>
      </c>
      <c r="Q73" s="140">
        <f>IF(Q$13="","",IF($B73="","",IFERROR($C73*$D73*IF((Override!$C$4="ON")*(COUNTIFS(Override!$B$11:$B$40,$B73,Override!$D$11:$D$40,12,Override!$E$11:$E$40,"&gt;=0")-COUNTIFS(Override!$B$11:$B$40,$B73,Override!$D$11:$D$40,12,Override!$E$11:$E$40,"&gt;=0",Override!$C$11:$C$40,"MXAU"))&gt;0,SUMIFS(Override!$E$11:$E$40,Override!$B$11:$B$40,$B73,Override!$D$11:$D$40,12)-SUMIFS(Override!$E$11:$E$40,Override!$B$11:$B$40,$B73,Override!$D$11:$D$40,12,Override!$C$11:$C$40,"MXAU"),Override!$N$108)/AS51!$B$3,"")))</f>
        <v/>
      </c>
      <c r="R73" s="140">
        <f>IF(R$13="","",IF($B73="","",IFERROR($C73*$D73*IF((Override!$C$4="ON")*(COUNTIFS(Override!$B$11:$B$40,$B73,Override!$D$11:$D$40,13,Override!$E$11:$E$40,"&gt;=0")-COUNTIFS(Override!$B$11:$B$40,$B73,Override!$D$11:$D$40,13,Override!$E$11:$E$40,"&gt;=0",Override!$C$11:$C$40,"MXAU"))&gt;0,SUMIFS(Override!$E$11:$E$40,Override!$B$11:$B$40,$B73,Override!$D$11:$D$40,13)-SUMIFS(Override!$E$11:$E$40,Override!$B$11:$B$40,$B73,Override!$D$11:$D$40,13,Override!$C$11:$C$40,"MXAU"),Override!$O$108)/AS51!$B$3,"")))</f>
        <v/>
      </c>
      <c r="S73" s="140">
        <f>IF(S$13="","",IF($B73="","",IFERROR($C73*$D73*IF((Override!$C$4="ON")*(COUNTIFS(Override!$B$11:$B$40,$B73,Override!$D$11:$D$40,14,Override!$E$11:$E$40,"&gt;=0")-COUNTIFS(Override!$B$11:$B$40,$B73,Override!$D$11:$D$40,14,Override!$E$11:$E$40,"&gt;=0",Override!$C$11:$C$40,"MXAU"))&gt;0,SUMIFS(Override!$E$11:$E$40,Override!$B$11:$B$40,$B73,Override!$D$11:$D$40,14)-SUMIFS(Override!$E$11:$E$40,Override!$B$11:$B$40,$B73,Override!$D$11:$D$40,14,Override!$C$11:$C$40,"MXAU"),Override!$P$108)/AS51!$B$3,"")))</f>
        <v/>
      </c>
      <c r="T73" s="140">
        <f>IF(T$13="","",IF($B73="","",IFERROR($C73*$D73*IF((Override!$C$4="ON")*(COUNTIFS(Override!$B$11:$B$40,$B73,Override!$D$11:$D$40,15,Override!$E$11:$E$40,"&gt;=0")-COUNTIFS(Override!$B$11:$B$40,$B73,Override!$D$11:$D$40,15,Override!$E$11:$E$40,"&gt;=0",Override!$C$11:$C$40,"MXAU"))&gt;0,SUMIFS(Override!$E$11:$E$40,Override!$B$11:$B$40,$B73,Override!$D$11:$D$40,15)-SUMIFS(Override!$E$11:$E$40,Override!$B$11:$B$40,$B73,Override!$D$11:$D$40,15,Override!$C$11:$C$40,"MXAU"),Override!$Q$108)/AS51!$B$3,"")))</f>
        <v/>
      </c>
      <c r="U73" s="140">
        <f>IF(U$13="","",IF($B73="","",IFERROR($C73*$D73*IF((Override!$C$4="ON")*(COUNTIFS(Override!$B$11:$B$40,$B73,Override!$D$11:$D$40,16,Override!$E$11:$E$40,"&gt;=0")-COUNTIFS(Override!$B$11:$B$40,$B73,Override!$D$11:$D$40,16,Override!$E$11:$E$40,"&gt;=0",Override!$C$11:$C$40,"MXAU"))&gt;0,SUMIFS(Override!$E$11:$E$40,Override!$B$11:$B$40,$B73,Override!$D$11:$D$40,16)-SUMIFS(Override!$E$11:$E$40,Override!$B$11:$B$40,$B73,Override!$D$11:$D$40,16,Override!$C$11:$C$40,"MXAU"),Override!$R$108)/AS51!$B$3,"")))</f>
        <v/>
      </c>
      <c r="W73" s="140">
        <f>IF(W$13="","",IF($B73="","",IFERROR(F73*$E73/100,"")))</f>
        <v/>
      </c>
      <c r="X73" s="140">
        <f>IF(X$13="","",IF($B73="","",IFERROR(G73*$E73/100,"")))</f>
        <v/>
      </c>
      <c r="Y73" s="140">
        <f>IF(Y$13="","",IF($B73="","",IFERROR(H73*$E73/100,"")))</f>
        <v/>
      </c>
      <c r="Z73" s="140">
        <f>IF(Z$13="","",IF($B73="","",IFERROR(I73*$E73/100,"")))</f>
        <v/>
      </c>
      <c r="AA73" s="140">
        <f>IF(AA$13="","",IF($B73="","",IFERROR(J73*$E73/100,"")))</f>
        <v/>
      </c>
      <c r="AB73" s="140">
        <f>IF(AB$13="","",IF($B73="","",IFERROR(K73*$E73/100,"")))</f>
        <v/>
      </c>
      <c r="AC73" s="140">
        <f>IF(AC$13="","",IF($B73="","",IFERROR(L73*$E73/100,"")))</f>
        <v/>
      </c>
      <c r="AD73" s="140">
        <f>IF(AD$13="","",IF($B73="","",IFERROR(M73*$E73/100,"")))</f>
        <v/>
      </c>
      <c r="AE73" s="140">
        <f>IF(AE$13="","",IF($B73="","",IFERROR(N73*$E73/100,"")))</f>
        <v/>
      </c>
      <c r="AF73" s="140">
        <f>IF(AF$13="","",IF($B73="","",IFERROR(O73*$E73/100,"")))</f>
        <v/>
      </c>
      <c r="AG73" s="140">
        <f>IF(AG$13="","",IF($B73="","",IFERROR(P73*$E73/100,"")))</f>
        <v/>
      </c>
      <c r="AH73" s="140">
        <f>IF(AH$13="","",IF($B73="","",IFERROR(Q73*$E73/100,"")))</f>
        <v/>
      </c>
      <c r="AI73" s="140">
        <f>IF(AI$13="","",IF($B73="","",IFERROR(R73*$E73/100,"")))</f>
        <v/>
      </c>
      <c r="AJ73" s="140">
        <f>IF(AJ$13="","",IF($B73="","",IFERROR(S73*$E73/100,"")))</f>
        <v/>
      </c>
      <c r="AK73" s="140">
        <f>IF(AK$13="","",IF($B73="","",IFERROR(T73*$E73/100,"")))</f>
        <v/>
      </c>
      <c r="AL73" s="140">
        <f>IF(AL$13="","",IF($B73="","",IFERROR(U73*$E73/100,"")))</f>
        <v/>
      </c>
      <c r="AN73" s="140">
        <f>IF($B73="","",SUMIF($F$13:$U$13,"&lt;="&amp;Sector!$D$51,$F73:$U73))</f>
        <v/>
      </c>
      <c r="AO73" s="140">
        <f>IF($B73="","",SUMIF($W$13:$AL$13,"&lt;="&amp;Sector!$D$51,$W73:$AL73))</f>
        <v/>
      </c>
    </row>
    <row r="74">
      <c r="B74" s="5">
        <f>IF(AS51!$C$64="","",AS51!$C$64)</f>
        <v/>
      </c>
      <c r="C74" s="90">
        <f>IF(AS51!$B$64="","",AS51!$B$64)</f>
        <v/>
      </c>
      <c r="D74" s="138">
        <f>IFERROR(AS51!$Q$64,1)</f>
        <v/>
      </c>
      <c r="E74" s="139">
        <f>IF($B74="","",IF(ISNUMBER(AS51!$I$64),AS51!$I$64,'Index Summary'!$C$7))</f>
        <v/>
      </c>
      <c r="F74" s="140">
        <f>IF(F$13="","",IF($B74="","",IFERROR($C74*$D74*IF((Override!$C$4="ON")*(COUNTIFS(Override!$B$11:$B$40,$B74,Override!$D$11:$D$40,1,Override!$E$11:$E$40,"&gt;=0")-COUNTIFS(Override!$B$11:$B$40,$B74,Override!$D$11:$D$40,1,Override!$E$11:$E$40,"&gt;=0",Override!$C$11:$C$40,"MXAU"))&gt;0,SUMIFS(Override!$E$11:$E$40,Override!$B$11:$B$40,$B74,Override!$D$11:$D$40,1)-SUMIFS(Override!$E$11:$E$40,Override!$B$11:$B$40,$B74,Override!$D$11:$D$40,1,Override!$C$11:$C$40,"MXAU"),Override!$C$109)/AS51!$B$3,"")))</f>
        <v/>
      </c>
      <c r="G74" s="140">
        <f>IF(G$13="","",IF($B74="","",IFERROR($C74*$D74*IF((Override!$C$4="ON")*(COUNTIFS(Override!$B$11:$B$40,$B74,Override!$D$11:$D$40,2,Override!$E$11:$E$40,"&gt;=0")-COUNTIFS(Override!$B$11:$B$40,$B74,Override!$D$11:$D$40,2,Override!$E$11:$E$40,"&gt;=0",Override!$C$11:$C$40,"MXAU"))&gt;0,SUMIFS(Override!$E$11:$E$40,Override!$B$11:$B$40,$B74,Override!$D$11:$D$40,2)-SUMIFS(Override!$E$11:$E$40,Override!$B$11:$B$40,$B74,Override!$D$11:$D$40,2,Override!$C$11:$C$40,"MXAU"),Override!$D$109)/AS51!$B$3,"")))</f>
        <v/>
      </c>
      <c r="H74" s="140">
        <f>IF(H$13="","",IF($B74="","",IFERROR($C74*$D74*IF((Override!$C$4="ON")*(COUNTIFS(Override!$B$11:$B$40,$B74,Override!$D$11:$D$40,3,Override!$E$11:$E$40,"&gt;=0")-COUNTIFS(Override!$B$11:$B$40,$B74,Override!$D$11:$D$40,3,Override!$E$11:$E$40,"&gt;=0",Override!$C$11:$C$40,"MXAU"))&gt;0,SUMIFS(Override!$E$11:$E$40,Override!$B$11:$B$40,$B74,Override!$D$11:$D$40,3)-SUMIFS(Override!$E$11:$E$40,Override!$B$11:$B$40,$B74,Override!$D$11:$D$40,3,Override!$C$11:$C$40,"MXAU"),Override!$E$109)/AS51!$B$3,"")))</f>
        <v/>
      </c>
      <c r="I74" s="140">
        <f>IF(I$13="","",IF($B74="","",IFERROR($C74*$D74*IF((Override!$C$4="ON")*(COUNTIFS(Override!$B$11:$B$40,$B74,Override!$D$11:$D$40,4,Override!$E$11:$E$40,"&gt;=0")-COUNTIFS(Override!$B$11:$B$40,$B74,Override!$D$11:$D$40,4,Override!$E$11:$E$40,"&gt;=0",Override!$C$11:$C$40,"MXAU"))&gt;0,SUMIFS(Override!$E$11:$E$40,Override!$B$11:$B$40,$B74,Override!$D$11:$D$40,4)-SUMIFS(Override!$E$11:$E$40,Override!$B$11:$B$40,$B74,Override!$D$11:$D$40,4,Override!$C$11:$C$40,"MXAU"),Override!$F$109)/AS51!$B$3,"")))</f>
        <v/>
      </c>
      <c r="J74" s="140">
        <f>IF(J$13="","",IF($B74="","",IFERROR($C74*$D74*IF((Override!$C$4="ON")*(COUNTIFS(Override!$B$11:$B$40,$B74,Override!$D$11:$D$40,5,Override!$E$11:$E$40,"&gt;=0")-COUNTIFS(Override!$B$11:$B$40,$B74,Override!$D$11:$D$40,5,Override!$E$11:$E$40,"&gt;=0",Override!$C$11:$C$40,"MXAU"))&gt;0,SUMIFS(Override!$E$11:$E$40,Override!$B$11:$B$40,$B74,Override!$D$11:$D$40,5)-SUMIFS(Override!$E$11:$E$40,Override!$B$11:$B$40,$B74,Override!$D$11:$D$40,5,Override!$C$11:$C$40,"MXAU"),Override!$G$109)/AS51!$B$3,"")))</f>
        <v/>
      </c>
      <c r="K74" s="140">
        <f>IF(K$13="","",IF($B74="","",IFERROR($C74*$D74*IF((Override!$C$4="ON")*(COUNTIFS(Override!$B$11:$B$40,$B74,Override!$D$11:$D$40,6,Override!$E$11:$E$40,"&gt;=0")-COUNTIFS(Override!$B$11:$B$40,$B74,Override!$D$11:$D$40,6,Override!$E$11:$E$40,"&gt;=0",Override!$C$11:$C$40,"MXAU"))&gt;0,SUMIFS(Override!$E$11:$E$40,Override!$B$11:$B$40,$B74,Override!$D$11:$D$40,6)-SUMIFS(Override!$E$11:$E$40,Override!$B$11:$B$40,$B74,Override!$D$11:$D$40,6,Override!$C$11:$C$40,"MXAU"),Override!$H$109)/AS51!$B$3,"")))</f>
        <v/>
      </c>
      <c r="L74" s="140">
        <f>IF(L$13="","",IF($B74="","",IFERROR($C74*$D74*IF((Override!$C$4="ON")*(COUNTIFS(Override!$B$11:$B$40,$B74,Override!$D$11:$D$40,7,Override!$E$11:$E$40,"&gt;=0")-COUNTIFS(Override!$B$11:$B$40,$B74,Override!$D$11:$D$40,7,Override!$E$11:$E$40,"&gt;=0",Override!$C$11:$C$40,"MXAU"))&gt;0,SUMIFS(Override!$E$11:$E$40,Override!$B$11:$B$40,$B74,Override!$D$11:$D$40,7)-SUMIFS(Override!$E$11:$E$40,Override!$B$11:$B$40,$B74,Override!$D$11:$D$40,7,Override!$C$11:$C$40,"MXAU"),Override!$I$109)/AS51!$B$3,"")))</f>
        <v/>
      </c>
      <c r="M74" s="140">
        <f>IF(M$13="","",IF($B74="","",IFERROR($C74*$D74*IF((Override!$C$4="ON")*(COUNTIFS(Override!$B$11:$B$40,$B74,Override!$D$11:$D$40,8,Override!$E$11:$E$40,"&gt;=0")-COUNTIFS(Override!$B$11:$B$40,$B74,Override!$D$11:$D$40,8,Override!$E$11:$E$40,"&gt;=0",Override!$C$11:$C$40,"MXAU"))&gt;0,SUMIFS(Override!$E$11:$E$40,Override!$B$11:$B$40,$B74,Override!$D$11:$D$40,8)-SUMIFS(Override!$E$11:$E$40,Override!$B$11:$B$40,$B74,Override!$D$11:$D$40,8,Override!$C$11:$C$40,"MXAU"),Override!$J$109)/AS51!$B$3,"")))</f>
        <v/>
      </c>
      <c r="N74" s="140">
        <f>IF(N$13="","",IF($B74="","",IFERROR($C74*$D74*IF((Override!$C$4="ON")*(COUNTIFS(Override!$B$11:$B$40,$B74,Override!$D$11:$D$40,9,Override!$E$11:$E$40,"&gt;=0")-COUNTIFS(Override!$B$11:$B$40,$B74,Override!$D$11:$D$40,9,Override!$E$11:$E$40,"&gt;=0",Override!$C$11:$C$40,"MXAU"))&gt;0,SUMIFS(Override!$E$11:$E$40,Override!$B$11:$B$40,$B74,Override!$D$11:$D$40,9)-SUMIFS(Override!$E$11:$E$40,Override!$B$11:$B$40,$B74,Override!$D$11:$D$40,9,Override!$C$11:$C$40,"MXAU"),Override!$K$109)/AS51!$B$3,"")))</f>
        <v/>
      </c>
      <c r="O74" s="140">
        <f>IF(O$13="","",IF($B74="","",IFERROR($C74*$D74*IF((Override!$C$4="ON")*(COUNTIFS(Override!$B$11:$B$40,$B74,Override!$D$11:$D$40,10,Override!$E$11:$E$40,"&gt;=0")-COUNTIFS(Override!$B$11:$B$40,$B74,Override!$D$11:$D$40,10,Override!$E$11:$E$40,"&gt;=0",Override!$C$11:$C$40,"MXAU"))&gt;0,SUMIFS(Override!$E$11:$E$40,Override!$B$11:$B$40,$B74,Override!$D$11:$D$40,10)-SUMIFS(Override!$E$11:$E$40,Override!$B$11:$B$40,$B74,Override!$D$11:$D$40,10,Override!$C$11:$C$40,"MXAU"),Override!$L$109)/AS51!$B$3,"")))</f>
        <v/>
      </c>
      <c r="P74" s="140">
        <f>IF(P$13="","",IF($B74="","",IFERROR($C74*$D74*IF((Override!$C$4="ON")*(COUNTIFS(Override!$B$11:$B$40,$B74,Override!$D$11:$D$40,11,Override!$E$11:$E$40,"&gt;=0")-COUNTIFS(Override!$B$11:$B$40,$B74,Override!$D$11:$D$40,11,Override!$E$11:$E$40,"&gt;=0",Override!$C$11:$C$40,"MXAU"))&gt;0,SUMIFS(Override!$E$11:$E$40,Override!$B$11:$B$40,$B74,Override!$D$11:$D$40,11)-SUMIFS(Override!$E$11:$E$40,Override!$B$11:$B$40,$B74,Override!$D$11:$D$40,11,Override!$C$11:$C$40,"MXAU"),Override!$M$109)/AS51!$B$3,"")))</f>
        <v/>
      </c>
      <c r="Q74" s="140">
        <f>IF(Q$13="","",IF($B74="","",IFERROR($C74*$D74*IF((Override!$C$4="ON")*(COUNTIFS(Override!$B$11:$B$40,$B74,Override!$D$11:$D$40,12,Override!$E$11:$E$40,"&gt;=0")-COUNTIFS(Override!$B$11:$B$40,$B74,Override!$D$11:$D$40,12,Override!$E$11:$E$40,"&gt;=0",Override!$C$11:$C$40,"MXAU"))&gt;0,SUMIFS(Override!$E$11:$E$40,Override!$B$11:$B$40,$B74,Override!$D$11:$D$40,12)-SUMIFS(Override!$E$11:$E$40,Override!$B$11:$B$40,$B74,Override!$D$11:$D$40,12,Override!$C$11:$C$40,"MXAU"),Override!$N$109)/AS51!$B$3,"")))</f>
        <v/>
      </c>
      <c r="R74" s="140">
        <f>IF(R$13="","",IF($B74="","",IFERROR($C74*$D74*IF((Override!$C$4="ON")*(COUNTIFS(Override!$B$11:$B$40,$B74,Override!$D$11:$D$40,13,Override!$E$11:$E$40,"&gt;=0")-COUNTIFS(Override!$B$11:$B$40,$B74,Override!$D$11:$D$40,13,Override!$E$11:$E$40,"&gt;=0",Override!$C$11:$C$40,"MXAU"))&gt;0,SUMIFS(Override!$E$11:$E$40,Override!$B$11:$B$40,$B74,Override!$D$11:$D$40,13)-SUMIFS(Override!$E$11:$E$40,Override!$B$11:$B$40,$B74,Override!$D$11:$D$40,13,Override!$C$11:$C$40,"MXAU"),Override!$O$109)/AS51!$B$3,"")))</f>
        <v/>
      </c>
      <c r="S74" s="140">
        <f>IF(S$13="","",IF($B74="","",IFERROR($C74*$D74*IF((Override!$C$4="ON")*(COUNTIFS(Override!$B$11:$B$40,$B74,Override!$D$11:$D$40,14,Override!$E$11:$E$40,"&gt;=0")-COUNTIFS(Override!$B$11:$B$40,$B74,Override!$D$11:$D$40,14,Override!$E$11:$E$40,"&gt;=0",Override!$C$11:$C$40,"MXAU"))&gt;0,SUMIFS(Override!$E$11:$E$40,Override!$B$11:$B$40,$B74,Override!$D$11:$D$40,14)-SUMIFS(Override!$E$11:$E$40,Override!$B$11:$B$40,$B74,Override!$D$11:$D$40,14,Override!$C$11:$C$40,"MXAU"),Override!$P$109)/AS51!$B$3,"")))</f>
        <v/>
      </c>
      <c r="T74" s="140">
        <f>IF(T$13="","",IF($B74="","",IFERROR($C74*$D74*IF((Override!$C$4="ON")*(COUNTIFS(Override!$B$11:$B$40,$B74,Override!$D$11:$D$40,15,Override!$E$11:$E$40,"&gt;=0")-COUNTIFS(Override!$B$11:$B$40,$B74,Override!$D$11:$D$40,15,Override!$E$11:$E$40,"&gt;=0",Override!$C$11:$C$40,"MXAU"))&gt;0,SUMIFS(Override!$E$11:$E$40,Override!$B$11:$B$40,$B74,Override!$D$11:$D$40,15)-SUMIFS(Override!$E$11:$E$40,Override!$B$11:$B$40,$B74,Override!$D$11:$D$40,15,Override!$C$11:$C$40,"MXAU"),Override!$Q$109)/AS51!$B$3,"")))</f>
        <v/>
      </c>
      <c r="U74" s="140">
        <f>IF(U$13="","",IF($B74="","",IFERROR($C74*$D74*IF((Override!$C$4="ON")*(COUNTIFS(Override!$B$11:$B$40,$B74,Override!$D$11:$D$40,16,Override!$E$11:$E$40,"&gt;=0")-COUNTIFS(Override!$B$11:$B$40,$B74,Override!$D$11:$D$40,16,Override!$E$11:$E$40,"&gt;=0",Override!$C$11:$C$40,"MXAU"))&gt;0,SUMIFS(Override!$E$11:$E$40,Override!$B$11:$B$40,$B74,Override!$D$11:$D$40,16)-SUMIFS(Override!$E$11:$E$40,Override!$B$11:$B$40,$B74,Override!$D$11:$D$40,16,Override!$C$11:$C$40,"MXAU"),Override!$R$109)/AS51!$B$3,"")))</f>
        <v/>
      </c>
      <c r="W74" s="140">
        <f>IF(W$13="","",IF($B74="","",IFERROR(F74*$E74/100,"")))</f>
        <v/>
      </c>
      <c r="X74" s="140">
        <f>IF(X$13="","",IF($B74="","",IFERROR(G74*$E74/100,"")))</f>
        <v/>
      </c>
      <c r="Y74" s="140">
        <f>IF(Y$13="","",IF($B74="","",IFERROR(H74*$E74/100,"")))</f>
        <v/>
      </c>
      <c r="Z74" s="140">
        <f>IF(Z$13="","",IF($B74="","",IFERROR(I74*$E74/100,"")))</f>
        <v/>
      </c>
      <c r="AA74" s="140">
        <f>IF(AA$13="","",IF($B74="","",IFERROR(J74*$E74/100,"")))</f>
        <v/>
      </c>
      <c r="AB74" s="140">
        <f>IF(AB$13="","",IF($B74="","",IFERROR(K74*$E74/100,"")))</f>
        <v/>
      </c>
      <c r="AC74" s="140">
        <f>IF(AC$13="","",IF($B74="","",IFERROR(L74*$E74/100,"")))</f>
        <v/>
      </c>
      <c r="AD74" s="140">
        <f>IF(AD$13="","",IF($B74="","",IFERROR(M74*$E74/100,"")))</f>
        <v/>
      </c>
      <c r="AE74" s="140">
        <f>IF(AE$13="","",IF($B74="","",IFERROR(N74*$E74/100,"")))</f>
        <v/>
      </c>
      <c r="AF74" s="140">
        <f>IF(AF$13="","",IF($B74="","",IFERROR(O74*$E74/100,"")))</f>
        <v/>
      </c>
      <c r="AG74" s="140">
        <f>IF(AG$13="","",IF($B74="","",IFERROR(P74*$E74/100,"")))</f>
        <v/>
      </c>
      <c r="AH74" s="140">
        <f>IF(AH$13="","",IF($B74="","",IFERROR(Q74*$E74/100,"")))</f>
        <v/>
      </c>
      <c r="AI74" s="140">
        <f>IF(AI$13="","",IF($B74="","",IFERROR(R74*$E74/100,"")))</f>
        <v/>
      </c>
      <c r="AJ74" s="140">
        <f>IF(AJ$13="","",IF($B74="","",IFERROR(S74*$E74/100,"")))</f>
        <v/>
      </c>
      <c r="AK74" s="140">
        <f>IF(AK$13="","",IF($B74="","",IFERROR(T74*$E74/100,"")))</f>
        <v/>
      </c>
      <c r="AL74" s="140">
        <f>IF(AL$13="","",IF($B74="","",IFERROR(U74*$E74/100,"")))</f>
        <v/>
      </c>
      <c r="AN74" s="140">
        <f>IF($B74="","",SUMIF($F$13:$U$13,"&lt;="&amp;Sector!$D$51,$F74:$U74))</f>
        <v/>
      </c>
      <c r="AO74" s="140">
        <f>IF($B74="","",SUMIF($W$13:$AL$13,"&lt;="&amp;Sector!$D$51,$W74:$AL74))</f>
        <v/>
      </c>
    </row>
    <row r="75">
      <c r="B75" s="5">
        <f>IF(AS51!$C$65="","",AS51!$C$65)</f>
        <v/>
      </c>
      <c r="C75" s="90">
        <f>IF(AS51!$B$65="","",AS51!$B$65)</f>
        <v/>
      </c>
      <c r="D75" s="138">
        <f>IFERROR(AS51!$Q$65,1)</f>
        <v/>
      </c>
      <c r="E75" s="139">
        <f>IF($B75="","",IF(ISNUMBER(AS51!$I$65),AS51!$I$65,'Index Summary'!$C$7))</f>
        <v/>
      </c>
      <c r="F75" s="140">
        <f>IF(F$13="","",IF($B75="","",IFERROR($C75*$D75*IF((Override!$C$4="ON")*(COUNTIFS(Override!$B$11:$B$40,$B75,Override!$D$11:$D$40,1,Override!$E$11:$E$40,"&gt;=0")-COUNTIFS(Override!$B$11:$B$40,$B75,Override!$D$11:$D$40,1,Override!$E$11:$E$40,"&gt;=0",Override!$C$11:$C$40,"MXAU"))&gt;0,SUMIFS(Override!$E$11:$E$40,Override!$B$11:$B$40,$B75,Override!$D$11:$D$40,1)-SUMIFS(Override!$E$11:$E$40,Override!$B$11:$B$40,$B75,Override!$D$11:$D$40,1,Override!$C$11:$C$40,"MXAU"),Override!$C$110)/AS51!$B$3,"")))</f>
        <v/>
      </c>
      <c r="G75" s="140">
        <f>IF(G$13="","",IF($B75="","",IFERROR($C75*$D75*IF((Override!$C$4="ON")*(COUNTIFS(Override!$B$11:$B$40,$B75,Override!$D$11:$D$40,2,Override!$E$11:$E$40,"&gt;=0")-COUNTIFS(Override!$B$11:$B$40,$B75,Override!$D$11:$D$40,2,Override!$E$11:$E$40,"&gt;=0",Override!$C$11:$C$40,"MXAU"))&gt;0,SUMIFS(Override!$E$11:$E$40,Override!$B$11:$B$40,$B75,Override!$D$11:$D$40,2)-SUMIFS(Override!$E$11:$E$40,Override!$B$11:$B$40,$B75,Override!$D$11:$D$40,2,Override!$C$11:$C$40,"MXAU"),Override!$D$110)/AS51!$B$3,"")))</f>
        <v/>
      </c>
      <c r="H75" s="140">
        <f>IF(H$13="","",IF($B75="","",IFERROR($C75*$D75*IF((Override!$C$4="ON")*(COUNTIFS(Override!$B$11:$B$40,$B75,Override!$D$11:$D$40,3,Override!$E$11:$E$40,"&gt;=0")-COUNTIFS(Override!$B$11:$B$40,$B75,Override!$D$11:$D$40,3,Override!$E$11:$E$40,"&gt;=0",Override!$C$11:$C$40,"MXAU"))&gt;0,SUMIFS(Override!$E$11:$E$40,Override!$B$11:$B$40,$B75,Override!$D$11:$D$40,3)-SUMIFS(Override!$E$11:$E$40,Override!$B$11:$B$40,$B75,Override!$D$11:$D$40,3,Override!$C$11:$C$40,"MXAU"),Override!$E$110)/AS51!$B$3,"")))</f>
        <v/>
      </c>
      <c r="I75" s="140">
        <f>IF(I$13="","",IF($B75="","",IFERROR($C75*$D75*IF((Override!$C$4="ON")*(COUNTIFS(Override!$B$11:$B$40,$B75,Override!$D$11:$D$40,4,Override!$E$11:$E$40,"&gt;=0")-COUNTIFS(Override!$B$11:$B$40,$B75,Override!$D$11:$D$40,4,Override!$E$11:$E$40,"&gt;=0",Override!$C$11:$C$40,"MXAU"))&gt;0,SUMIFS(Override!$E$11:$E$40,Override!$B$11:$B$40,$B75,Override!$D$11:$D$40,4)-SUMIFS(Override!$E$11:$E$40,Override!$B$11:$B$40,$B75,Override!$D$11:$D$40,4,Override!$C$11:$C$40,"MXAU"),Override!$F$110)/AS51!$B$3,"")))</f>
        <v/>
      </c>
      <c r="J75" s="140">
        <f>IF(J$13="","",IF($B75="","",IFERROR($C75*$D75*IF((Override!$C$4="ON")*(COUNTIFS(Override!$B$11:$B$40,$B75,Override!$D$11:$D$40,5,Override!$E$11:$E$40,"&gt;=0")-COUNTIFS(Override!$B$11:$B$40,$B75,Override!$D$11:$D$40,5,Override!$E$11:$E$40,"&gt;=0",Override!$C$11:$C$40,"MXAU"))&gt;0,SUMIFS(Override!$E$11:$E$40,Override!$B$11:$B$40,$B75,Override!$D$11:$D$40,5)-SUMIFS(Override!$E$11:$E$40,Override!$B$11:$B$40,$B75,Override!$D$11:$D$40,5,Override!$C$11:$C$40,"MXAU"),Override!$G$110)/AS51!$B$3,"")))</f>
        <v/>
      </c>
      <c r="K75" s="140">
        <f>IF(K$13="","",IF($B75="","",IFERROR($C75*$D75*IF((Override!$C$4="ON")*(COUNTIFS(Override!$B$11:$B$40,$B75,Override!$D$11:$D$40,6,Override!$E$11:$E$40,"&gt;=0")-COUNTIFS(Override!$B$11:$B$40,$B75,Override!$D$11:$D$40,6,Override!$E$11:$E$40,"&gt;=0",Override!$C$11:$C$40,"MXAU"))&gt;0,SUMIFS(Override!$E$11:$E$40,Override!$B$11:$B$40,$B75,Override!$D$11:$D$40,6)-SUMIFS(Override!$E$11:$E$40,Override!$B$11:$B$40,$B75,Override!$D$11:$D$40,6,Override!$C$11:$C$40,"MXAU"),Override!$H$110)/AS51!$B$3,"")))</f>
        <v/>
      </c>
      <c r="L75" s="140">
        <f>IF(L$13="","",IF($B75="","",IFERROR($C75*$D75*IF((Override!$C$4="ON")*(COUNTIFS(Override!$B$11:$B$40,$B75,Override!$D$11:$D$40,7,Override!$E$11:$E$40,"&gt;=0")-COUNTIFS(Override!$B$11:$B$40,$B75,Override!$D$11:$D$40,7,Override!$E$11:$E$40,"&gt;=0",Override!$C$11:$C$40,"MXAU"))&gt;0,SUMIFS(Override!$E$11:$E$40,Override!$B$11:$B$40,$B75,Override!$D$11:$D$40,7)-SUMIFS(Override!$E$11:$E$40,Override!$B$11:$B$40,$B75,Override!$D$11:$D$40,7,Override!$C$11:$C$40,"MXAU"),Override!$I$110)/AS51!$B$3,"")))</f>
        <v/>
      </c>
      <c r="M75" s="140">
        <f>IF(M$13="","",IF($B75="","",IFERROR($C75*$D75*IF((Override!$C$4="ON")*(COUNTIFS(Override!$B$11:$B$40,$B75,Override!$D$11:$D$40,8,Override!$E$11:$E$40,"&gt;=0")-COUNTIFS(Override!$B$11:$B$40,$B75,Override!$D$11:$D$40,8,Override!$E$11:$E$40,"&gt;=0",Override!$C$11:$C$40,"MXAU"))&gt;0,SUMIFS(Override!$E$11:$E$40,Override!$B$11:$B$40,$B75,Override!$D$11:$D$40,8)-SUMIFS(Override!$E$11:$E$40,Override!$B$11:$B$40,$B75,Override!$D$11:$D$40,8,Override!$C$11:$C$40,"MXAU"),Override!$J$110)/AS51!$B$3,"")))</f>
        <v/>
      </c>
      <c r="N75" s="140">
        <f>IF(N$13="","",IF($B75="","",IFERROR($C75*$D75*IF((Override!$C$4="ON")*(COUNTIFS(Override!$B$11:$B$40,$B75,Override!$D$11:$D$40,9,Override!$E$11:$E$40,"&gt;=0")-COUNTIFS(Override!$B$11:$B$40,$B75,Override!$D$11:$D$40,9,Override!$E$11:$E$40,"&gt;=0",Override!$C$11:$C$40,"MXAU"))&gt;0,SUMIFS(Override!$E$11:$E$40,Override!$B$11:$B$40,$B75,Override!$D$11:$D$40,9)-SUMIFS(Override!$E$11:$E$40,Override!$B$11:$B$40,$B75,Override!$D$11:$D$40,9,Override!$C$11:$C$40,"MXAU"),Override!$K$110)/AS51!$B$3,"")))</f>
        <v/>
      </c>
      <c r="O75" s="140">
        <f>IF(O$13="","",IF($B75="","",IFERROR($C75*$D75*IF((Override!$C$4="ON")*(COUNTIFS(Override!$B$11:$B$40,$B75,Override!$D$11:$D$40,10,Override!$E$11:$E$40,"&gt;=0")-COUNTIFS(Override!$B$11:$B$40,$B75,Override!$D$11:$D$40,10,Override!$E$11:$E$40,"&gt;=0",Override!$C$11:$C$40,"MXAU"))&gt;0,SUMIFS(Override!$E$11:$E$40,Override!$B$11:$B$40,$B75,Override!$D$11:$D$40,10)-SUMIFS(Override!$E$11:$E$40,Override!$B$11:$B$40,$B75,Override!$D$11:$D$40,10,Override!$C$11:$C$40,"MXAU"),Override!$L$110)/AS51!$B$3,"")))</f>
        <v/>
      </c>
      <c r="P75" s="140">
        <f>IF(P$13="","",IF($B75="","",IFERROR($C75*$D75*IF((Override!$C$4="ON")*(COUNTIFS(Override!$B$11:$B$40,$B75,Override!$D$11:$D$40,11,Override!$E$11:$E$40,"&gt;=0")-COUNTIFS(Override!$B$11:$B$40,$B75,Override!$D$11:$D$40,11,Override!$E$11:$E$40,"&gt;=0",Override!$C$11:$C$40,"MXAU"))&gt;0,SUMIFS(Override!$E$11:$E$40,Override!$B$11:$B$40,$B75,Override!$D$11:$D$40,11)-SUMIFS(Override!$E$11:$E$40,Override!$B$11:$B$40,$B75,Override!$D$11:$D$40,11,Override!$C$11:$C$40,"MXAU"),Override!$M$110)/AS51!$B$3,"")))</f>
        <v/>
      </c>
      <c r="Q75" s="140">
        <f>IF(Q$13="","",IF($B75="","",IFERROR($C75*$D75*IF((Override!$C$4="ON")*(COUNTIFS(Override!$B$11:$B$40,$B75,Override!$D$11:$D$40,12,Override!$E$11:$E$40,"&gt;=0")-COUNTIFS(Override!$B$11:$B$40,$B75,Override!$D$11:$D$40,12,Override!$E$11:$E$40,"&gt;=0",Override!$C$11:$C$40,"MXAU"))&gt;0,SUMIFS(Override!$E$11:$E$40,Override!$B$11:$B$40,$B75,Override!$D$11:$D$40,12)-SUMIFS(Override!$E$11:$E$40,Override!$B$11:$B$40,$B75,Override!$D$11:$D$40,12,Override!$C$11:$C$40,"MXAU"),Override!$N$110)/AS51!$B$3,"")))</f>
        <v/>
      </c>
      <c r="R75" s="140">
        <f>IF(R$13="","",IF($B75="","",IFERROR($C75*$D75*IF((Override!$C$4="ON")*(COUNTIFS(Override!$B$11:$B$40,$B75,Override!$D$11:$D$40,13,Override!$E$11:$E$40,"&gt;=0")-COUNTIFS(Override!$B$11:$B$40,$B75,Override!$D$11:$D$40,13,Override!$E$11:$E$40,"&gt;=0",Override!$C$11:$C$40,"MXAU"))&gt;0,SUMIFS(Override!$E$11:$E$40,Override!$B$11:$B$40,$B75,Override!$D$11:$D$40,13)-SUMIFS(Override!$E$11:$E$40,Override!$B$11:$B$40,$B75,Override!$D$11:$D$40,13,Override!$C$11:$C$40,"MXAU"),Override!$O$110)/AS51!$B$3,"")))</f>
        <v/>
      </c>
      <c r="S75" s="140">
        <f>IF(S$13="","",IF($B75="","",IFERROR($C75*$D75*IF((Override!$C$4="ON")*(COUNTIFS(Override!$B$11:$B$40,$B75,Override!$D$11:$D$40,14,Override!$E$11:$E$40,"&gt;=0")-COUNTIFS(Override!$B$11:$B$40,$B75,Override!$D$11:$D$40,14,Override!$E$11:$E$40,"&gt;=0",Override!$C$11:$C$40,"MXAU"))&gt;0,SUMIFS(Override!$E$11:$E$40,Override!$B$11:$B$40,$B75,Override!$D$11:$D$40,14)-SUMIFS(Override!$E$11:$E$40,Override!$B$11:$B$40,$B75,Override!$D$11:$D$40,14,Override!$C$11:$C$40,"MXAU"),Override!$P$110)/AS51!$B$3,"")))</f>
        <v/>
      </c>
      <c r="T75" s="140">
        <f>IF(T$13="","",IF($B75="","",IFERROR($C75*$D75*IF((Override!$C$4="ON")*(COUNTIFS(Override!$B$11:$B$40,$B75,Override!$D$11:$D$40,15,Override!$E$11:$E$40,"&gt;=0")-COUNTIFS(Override!$B$11:$B$40,$B75,Override!$D$11:$D$40,15,Override!$E$11:$E$40,"&gt;=0",Override!$C$11:$C$40,"MXAU"))&gt;0,SUMIFS(Override!$E$11:$E$40,Override!$B$11:$B$40,$B75,Override!$D$11:$D$40,15)-SUMIFS(Override!$E$11:$E$40,Override!$B$11:$B$40,$B75,Override!$D$11:$D$40,15,Override!$C$11:$C$40,"MXAU"),Override!$Q$110)/AS51!$B$3,"")))</f>
        <v/>
      </c>
      <c r="U75" s="140">
        <f>IF(U$13="","",IF($B75="","",IFERROR($C75*$D75*IF((Override!$C$4="ON")*(COUNTIFS(Override!$B$11:$B$40,$B75,Override!$D$11:$D$40,16,Override!$E$11:$E$40,"&gt;=0")-COUNTIFS(Override!$B$11:$B$40,$B75,Override!$D$11:$D$40,16,Override!$E$11:$E$40,"&gt;=0",Override!$C$11:$C$40,"MXAU"))&gt;0,SUMIFS(Override!$E$11:$E$40,Override!$B$11:$B$40,$B75,Override!$D$11:$D$40,16)-SUMIFS(Override!$E$11:$E$40,Override!$B$11:$B$40,$B75,Override!$D$11:$D$40,16,Override!$C$11:$C$40,"MXAU"),Override!$R$110)/AS51!$B$3,"")))</f>
        <v/>
      </c>
      <c r="W75" s="140">
        <f>IF(W$13="","",IF($B75="","",IFERROR(F75*$E75/100,"")))</f>
        <v/>
      </c>
      <c r="X75" s="140">
        <f>IF(X$13="","",IF($B75="","",IFERROR(G75*$E75/100,"")))</f>
        <v/>
      </c>
      <c r="Y75" s="140">
        <f>IF(Y$13="","",IF($B75="","",IFERROR(H75*$E75/100,"")))</f>
        <v/>
      </c>
      <c r="Z75" s="140">
        <f>IF(Z$13="","",IF($B75="","",IFERROR(I75*$E75/100,"")))</f>
        <v/>
      </c>
      <c r="AA75" s="140">
        <f>IF(AA$13="","",IF($B75="","",IFERROR(J75*$E75/100,"")))</f>
        <v/>
      </c>
      <c r="AB75" s="140">
        <f>IF(AB$13="","",IF($B75="","",IFERROR(K75*$E75/100,"")))</f>
        <v/>
      </c>
      <c r="AC75" s="140">
        <f>IF(AC$13="","",IF($B75="","",IFERROR(L75*$E75/100,"")))</f>
        <v/>
      </c>
      <c r="AD75" s="140">
        <f>IF(AD$13="","",IF($B75="","",IFERROR(M75*$E75/100,"")))</f>
        <v/>
      </c>
      <c r="AE75" s="140">
        <f>IF(AE$13="","",IF($B75="","",IFERROR(N75*$E75/100,"")))</f>
        <v/>
      </c>
      <c r="AF75" s="140">
        <f>IF(AF$13="","",IF($B75="","",IFERROR(O75*$E75/100,"")))</f>
        <v/>
      </c>
      <c r="AG75" s="140">
        <f>IF(AG$13="","",IF($B75="","",IFERROR(P75*$E75/100,"")))</f>
        <v/>
      </c>
      <c r="AH75" s="140">
        <f>IF(AH$13="","",IF($B75="","",IFERROR(Q75*$E75/100,"")))</f>
        <v/>
      </c>
      <c r="AI75" s="140">
        <f>IF(AI$13="","",IF($B75="","",IFERROR(R75*$E75/100,"")))</f>
        <v/>
      </c>
      <c r="AJ75" s="140">
        <f>IF(AJ$13="","",IF($B75="","",IFERROR(S75*$E75/100,"")))</f>
        <v/>
      </c>
      <c r="AK75" s="140">
        <f>IF(AK$13="","",IF($B75="","",IFERROR(T75*$E75/100,"")))</f>
        <v/>
      </c>
      <c r="AL75" s="140">
        <f>IF(AL$13="","",IF($B75="","",IFERROR(U75*$E75/100,"")))</f>
        <v/>
      </c>
      <c r="AN75" s="140">
        <f>IF($B75="","",SUMIF($F$13:$U$13,"&lt;="&amp;Sector!$D$51,$F75:$U75))</f>
        <v/>
      </c>
      <c r="AO75" s="140">
        <f>IF($B75="","",SUMIF($W$13:$AL$13,"&lt;="&amp;Sector!$D$51,$W75:$AL75))</f>
        <v/>
      </c>
    </row>
    <row r="76">
      <c r="B76" s="5">
        <f>IF(AS51!$C$66="","",AS51!$C$66)</f>
        <v/>
      </c>
      <c r="C76" s="90">
        <f>IF(AS51!$B$66="","",AS51!$B$66)</f>
        <v/>
      </c>
      <c r="D76" s="138">
        <f>IFERROR(AS51!$Q$66,1)</f>
        <v/>
      </c>
      <c r="E76" s="139">
        <f>IF($B76="","",IF(ISNUMBER(AS51!$I$66),AS51!$I$66,'Index Summary'!$C$7))</f>
        <v/>
      </c>
      <c r="F76" s="140">
        <f>IF(F$13="","",IF($B76="","",IFERROR($C76*$D76*IF((Override!$C$4="ON")*(COUNTIFS(Override!$B$11:$B$40,$B76,Override!$D$11:$D$40,1,Override!$E$11:$E$40,"&gt;=0")-COUNTIFS(Override!$B$11:$B$40,$B76,Override!$D$11:$D$40,1,Override!$E$11:$E$40,"&gt;=0",Override!$C$11:$C$40,"MXAU"))&gt;0,SUMIFS(Override!$E$11:$E$40,Override!$B$11:$B$40,$B76,Override!$D$11:$D$40,1)-SUMIFS(Override!$E$11:$E$40,Override!$B$11:$B$40,$B76,Override!$D$11:$D$40,1,Override!$C$11:$C$40,"MXAU"),Override!$C$111)/AS51!$B$3,"")))</f>
        <v/>
      </c>
      <c r="G76" s="140">
        <f>IF(G$13="","",IF($B76="","",IFERROR($C76*$D76*IF((Override!$C$4="ON")*(COUNTIFS(Override!$B$11:$B$40,$B76,Override!$D$11:$D$40,2,Override!$E$11:$E$40,"&gt;=0")-COUNTIFS(Override!$B$11:$B$40,$B76,Override!$D$11:$D$40,2,Override!$E$11:$E$40,"&gt;=0",Override!$C$11:$C$40,"MXAU"))&gt;0,SUMIFS(Override!$E$11:$E$40,Override!$B$11:$B$40,$B76,Override!$D$11:$D$40,2)-SUMIFS(Override!$E$11:$E$40,Override!$B$11:$B$40,$B76,Override!$D$11:$D$40,2,Override!$C$11:$C$40,"MXAU"),Override!$D$111)/AS51!$B$3,"")))</f>
        <v/>
      </c>
      <c r="H76" s="140">
        <f>IF(H$13="","",IF($B76="","",IFERROR($C76*$D76*IF((Override!$C$4="ON")*(COUNTIFS(Override!$B$11:$B$40,$B76,Override!$D$11:$D$40,3,Override!$E$11:$E$40,"&gt;=0")-COUNTIFS(Override!$B$11:$B$40,$B76,Override!$D$11:$D$40,3,Override!$E$11:$E$40,"&gt;=0",Override!$C$11:$C$40,"MXAU"))&gt;0,SUMIFS(Override!$E$11:$E$40,Override!$B$11:$B$40,$B76,Override!$D$11:$D$40,3)-SUMIFS(Override!$E$11:$E$40,Override!$B$11:$B$40,$B76,Override!$D$11:$D$40,3,Override!$C$11:$C$40,"MXAU"),Override!$E$111)/AS51!$B$3,"")))</f>
        <v/>
      </c>
      <c r="I76" s="140">
        <f>IF(I$13="","",IF($B76="","",IFERROR($C76*$D76*IF((Override!$C$4="ON")*(COUNTIFS(Override!$B$11:$B$40,$B76,Override!$D$11:$D$40,4,Override!$E$11:$E$40,"&gt;=0")-COUNTIFS(Override!$B$11:$B$40,$B76,Override!$D$11:$D$40,4,Override!$E$11:$E$40,"&gt;=0",Override!$C$11:$C$40,"MXAU"))&gt;0,SUMIFS(Override!$E$11:$E$40,Override!$B$11:$B$40,$B76,Override!$D$11:$D$40,4)-SUMIFS(Override!$E$11:$E$40,Override!$B$11:$B$40,$B76,Override!$D$11:$D$40,4,Override!$C$11:$C$40,"MXAU"),Override!$F$111)/AS51!$B$3,"")))</f>
        <v/>
      </c>
      <c r="J76" s="140">
        <f>IF(J$13="","",IF($B76="","",IFERROR($C76*$D76*IF((Override!$C$4="ON")*(COUNTIFS(Override!$B$11:$B$40,$B76,Override!$D$11:$D$40,5,Override!$E$11:$E$40,"&gt;=0")-COUNTIFS(Override!$B$11:$B$40,$B76,Override!$D$11:$D$40,5,Override!$E$11:$E$40,"&gt;=0",Override!$C$11:$C$40,"MXAU"))&gt;0,SUMIFS(Override!$E$11:$E$40,Override!$B$11:$B$40,$B76,Override!$D$11:$D$40,5)-SUMIFS(Override!$E$11:$E$40,Override!$B$11:$B$40,$B76,Override!$D$11:$D$40,5,Override!$C$11:$C$40,"MXAU"),Override!$G$111)/AS51!$B$3,"")))</f>
        <v/>
      </c>
      <c r="K76" s="140">
        <f>IF(K$13="","",IF($B76="","",IFERROR($C76*$D76*IF((Override!$C$4="ON")*(COUNTIFS(Override!$B$11:$B$40,$B76,Override!$D$11:$D$40,6,Override!$E$11:$E$40,"&gt;=0")-COUNTIFS(Override!$B$11:$B$40,$B76,Override!$D$11:$D$40,6,Override!$E$11:$E$40,"&gt;=0",Override!$C$11:$C$40,"MXAU"))&gt;0,SUMIFS(Override!$E$11:$E$40,Override!$B$11:$B$40,$B76,Override!$D$11:$D$40,6)-SUMIFS(Override!$E$11:$E$40,Override!$B$11:$B$40,$B76,Override!$D$11:$D$40,6,Override!$C$11:$C$40,"MXAU"),Override!$H$111)/AS51!$B$3,"")))</f>
        <v/>
      </c>
      <c r="L76" s="140">
        <f>IF(L$13="","",IF($B76="","",IFERROR($C76*$D76*IF((Override!$C$4="ON")*(COUNTIFS(Override!$B$11:$B$40,$B76,Override!$D$11:$D$40,7,Override!$E$11:$E$40,"&gt;=0")-COUNTIFS(Override!$B$11:$B$40,$B76,Override!$D$11:$D$40,7,Override!$E$11:$E$40,"&gt;=0",Override!$C$11:$C$40,"MXAU"))&gt;0,SUMIFS(Override!$E$11:$E$40,Override!$B$11:$B$40,$B76,Override!$D$11:$D$40,7)-SUMIFS(Override!$E$11:$E$40,Override!$B$11:$B$40,$B76,Override!$D$11:$D$40,7,Override!$C$11:$C$40,"MXAU"),Override!$I$111)/AS51!$B$3,"")))</f>
        <v/>
      </c>
      <c r="M76" s="140">
        <f>IF(M$13="","",IF($B76="","",IFERROR($C76*$D76*IF((Override!$C$4="ON")*(COUNTIFS(Override!$B$11:$B$40,$B76,Override!$D$11:$D$40,8,Override!$E$11:$E$40,"&gt;=0")-COUNTIFS(Override!$B$11:$B$40,$B76,Override!$D$11:$D$40,8,Override!$E$11:$E$40,"&gt;=0",Override!$C$11:$C$40,"MXAU"))&gt;0,SUMIFS(Override!$E$11:$E$40,Override!$B$11:$B$40,$B76,Override!$D$11:$D$40,8)-SUMIFS(Override!$E$11:$E$40,Override!$B$11:$B$40,$B76,Override!$D$11:$D$40,8,Override!$C$11:$C$40,"MXAU"),Override!$J$111)/AS51!$B$3,"")))</f>
        <v/>
      </c>
      <c r="N76" s="140">
        <f>IF(N$13="","",IF($B76="","",IFERROR($C76*$D76*IF((Override!$C$4="ON")*(COUNTIFS(Override!$B$11:$B$40,$B76,Override!$D$11:$D$40,9,Override!$E$11:$E$40,"&gt;=0")-COUNTIFS(Override!$B$11:$B$40,$B76,Override!$D$11:$D$40,9,Override!$E$11:$E$40,"&gt;=0",Override!$C$11:$C$40,"MXAU"))&gt;0,SUMIFS(Override!$E$11:$E$40,Override!$B$11:$B$40,$B76,Override!$D$11:$D$40,9)-SUMIFS(Override!$E$11:$E$40,Override!$B$11:$B$40,$B76,Override!$D$11:$D$40,9,Override!$C$11:$C$40,"MXAU"),Override!$K$111)/AS51!$B$3,"")))</f>
        <v/>
      </c>
      <c r="O76" s="140">
        <f>IF(O$13="","",IF($B76="","",IFERROR($C76*$D76*IF((Override!$C$4="ON")*(COUNTIFS(Override!$B$11:$B$40,$B76,Override!$D$11:$D$40,10,Override!$E$11:$E$40,"&gt;=0")-COUNTIFS(Override!$B$11:$B$40,$B76,Override!$D$11:$D$40,10,Override!$E$11:$E$40,"&gt;=0",Override!$C$11:$C$40,"MXAU"))&gt;0,SUMIFS(Override!$E$11:$E$40,Override!$B$11:$B$40,$B76,Override!$D$11:$D$40,10)-SUMIFS(Override!$E$11:$E$40,Override!$B$11:$B$40,$B76,Override!$D$11:$D$40,10,Override!$C$11:$C$40,"MXAU"),Override!$L$111)/AS51!$B$3,"")))</f>
        <v/>
      </c>
      <c r="P76" s="140">
        <f>IF(P$13="","",IF($B76="","",IFERROR($C76*$D76*IF((Override!$C$4="ON")*(COUNTIFS(Override!$B$11:$B$40,$B76,Override!$D$11:$D$40,11,Override!$E$11:$E$40,"&gt;=0")-COUNTIFS(Override!$B$11:$B$40,$B76,Override!$D$11:$D$40,11,Override!$E$11:$E$40,"&gt;=0",Override!$C$11:$C$40,"MXAU"))&gt;0,SUMIFS(Override!$E$11:$E$40,Override!$B$11:$B$40,$B76,Override!$D$11:$D$40,11)-SUMIFS(Override!$E$11:$E$40,Override!$B$11:$B$40,$B76,Override!$D$11:$D$40,11,Override!$C$11:$C$40,"MXAU"),Override!$M$111)/AS51!$B$3,"")))</f>
        <v/>
      </c>
      <c r="Q76" s="140">
        <f>IF(Q$13="","",IF($B76="","",IFERROR($C76*$D76*IF((Override!$C$4="ON")*(COUNTIFS(Override!$B$11:$B$40,$B76,Override!$D$11:$D$40,12,Override!$E$11:$E$40,"&gt;=0")-COUNTIFS(Override!$B$11:$B$40,$B76,Override!$D$11:$D$40,12,Override!$E$11:$E$40,"&gt;=0",Override!$C$11:$C$40,"MXAU"))&gt;0,SUMIFS(Override!$E$11:$E$40,Override!$B$11:$B$40,$B76,Override!$D$11:$D$40,12)-SUMIFS(Override!$E$11:$E$40,Override!$B$11:$B$40,$B76,Override!$D$11:$D$40,12,Override!$C$11:$C$40,"MXAU"),Override!$N$111)/AS51!$B$3,"")))</f>
        <v/>
      </c>
      <c r="R76" s="140">
        <f>IF(R$13="","",IF($B76="","",IFERROR($C76*$D76*IF((Override!$C$4="ON")*(COUNTIFS(Override!$B$11:$B$40,$B76,Override!$D$11:$D$40,13,Override!$E$11:$E$40,"&gt;=0")-COUNTIFS(Override!$B$11:$B$40,$B76,Override!$D$11:$D$40,13,Override!$E$11:$E$40,"&gt;=0",Override!$C$11:$C$40,"MXAU"))&gt;0,SUMIFS(Override!$E$11:$E$40,Override!$B$11:$B$40,$B76,Override!$D$11:$D$40,13)-SUMIFS(Override!$E$11:$E$40,Override!$B$11:$B$40,$B76,Override!$D$11:$D$40,13,Override!$C$11:$C$40,"MXAU"),Override!$O$111)/AS51!$B$3,"")))</f>
        <v/>
      </c>
      <c r="S76" s="140">
        <f>IF(S$13="","",IF($B76="","",IFERROR($C76*$D76*IF((Override!$C$4="ON")*(COUNTIFS(Override!$B$11:$B$40,$B76,Override!$D$11:$D$40,14,Override!$E$11:$E$40,"&gt;=0")-COUNTIFS(Override!$B$11:$B$40,$B76,Override!$D$11:$D$40,14,Override!$E$11:$E$40,"&gt;=0",Override!$C$11:$C$40,"MXAU"))&gt;0,SUMIFS(Override!$E$11:$E$40,Override!$B$11:$B$40,$B76,Override!$D$11:$D$40,14)-SUMIFS(Override!$E$11:$E$40,Override!$B$11:$B$40,$B76,Override!$D$11:$D$40,14,Override!$C$11:$C$40,"MXAU"),Override!$P$111)/AS51!$B$3,"")))</f>
        <v/>
      </c>
      <c r="T76" s="140">
        <f>IF(T$13="","",IF($B76="","",IFERROR($C76*$D76*IF((Override!$C$4="ON")*(COUNTIFS(Override!$B$11:$B$40,$B76,Override!$D$11:$D$40,15,Override!$E$11:$E$40,"&gt;=0")-COUNTIFS(Override!$B$11:$B$40,$B76,Override!$D$11:$D$40,15,Override!$E$11:$E$40,"&gt;=0",Override!$C$11:$C$40,"MXAU"))&gt;0,SUMIFS(Override!$E$11:$E$40,Override!$B$11:$B$40,$B76,Override!$D$11:$D$40,15)-SUMIFS(Override!$E$11:$E$40,Override!$B$11:$B$40,$B76,Override!$D$11:$D$40,15,Override!$C$11:$C$40,"MXAU"),Override!$Q$111)/AS51!$B$3,"")))</f>
        <v/>
      </c>
      <c r="U76" s="140">
        <f>IF(U$13="","",IF($B76="","",IFERROR($C76*$D76*IF((Override!$C$4="ON")*(COUNTIFS(Override!$B$11:$B$40,$B76,Override!$D$11:$D$40,16,Override!$E$11:$E$40,"&gt;=0")-COUNTIFS(Override!$B$11:$B$40,$B76,Override!$D$11:$D$40,16,Override!$E$11:$E$40,"&gt;=0",Override!$C$11:$C$40,"MXAU"))&gt;0,SUMIFS(Override!$E$11:$E$40,Override!$B$11:$B$40,$B76,Override!$D$11:$D$40,16)-SUMIFS(Override!$E$11:$E$40,Override!$B$11:$B$40,$B76,Override!$D$11:$D$40,16,Override!$C$11:$C$40,"MXAU"),Override!$R$111)/AS51!$B$3,"")))</f>
        <v/>
      </c>
      <c r="W76" s="140">
        <f>IF(W$13="","",IF($B76="","",IFERROR(F76*$E76/100,"")))</f>
        <v/>
      </c>
      <c r="X76" s="140">
        <f>IF(X$13="","",IF($B76="","",IFERROR(G76*$E76/100,"")))</f>
        <v/>
      </c>
      <c r="Y76" s="140">
        <f>IF(Y$13="","",IF($B76="","",IFERROR(H76*$E76/100,"")))</f>
        <v/>
      </c>
      <c r="Z76" s="140">
        <f>IF(Z$13="","",IF($B76="","",IFERROR(I76*$E76/100,"")))</f>
        <v/>
      </c>
      <c r="AA76" s="140">
        <f>IF(AA$13="","",IF($B76="","",IFERROR(J76*$E76/100,"")))</f>
        <v/>
      </c>
      <c r="AB76" s="140">
        <f>IF(AB$13="","",IF($B76="","",IFERROR(K76*$E76/100,"")))</f>
        <v/>
      </c>
      <c r="AC76" s="140">
        <f>IF(AC$13="","",IF($B76="","",IFERROR(L76*$E76/100,"")))</f>
        <v/>
      </c>
      <c r="AD76" s="140">
        <f>IF(AD$13="","",IF($B76="","",IFERROR(M76*$E76/100,"")))</f>
        <v/>
      </c>
      <c r="AE76" s="140">
        <f>IF(AE$13="","",IF($B76="","",IFERROR(N76*$E76/100,"")))</f>
        <v/>
      </c>
      <c r="AF76" s="140">
        <f>IF(AF$13="","",IF($B76="","",IFERROR(O76*$E76/100,"")))</f>
        <v/>
      </c>
      <c r="AG76" s="140">
        <f>IF(AG$13="","",IF($B76="","",IFERROR(P76*$E76/100,"")))</f>
        <v/>
      </c>
      <c r="AH76" s="140">
        <f>IF(AH$13="","",IF($B76="","",IFERROR(Q76*$E76/100,"")))</f>
        <v/>
      </c>
      <c r="AI76" s="140">
        <f>IF(AI$13="","",IF($B76="","",IFERROR(R76*$E76/100,"")))</f>
        <v/>
      </c>
      <c r="AJ76" s="140">
        <f>IF(AJ$13="","",IF($B76="","",IFERROR(S76*$E76/100,"")))</f>
        <v/>
      </c>
      <c r="AK76" s="140">
        <f>IF(AK$13="","",IF($B76="","",IFERROR(T76*$E76/100,"")))</f>
        <v/>
      </c>
      <c r="AL76" s="140">
        <f>IF(AL$13="","",IF($B76="","",IFERROR(U76*$E76/100,"")))</f>
        <v/>
      </c>
      <c r="AN76" s="140">
        <f>IF($B76="","",SUMIF($F$13:$U$13,"&lt;="&amp;Sector!$D$51,$F76:$U76))</f>
        <v/>
      </c>
      <c r="AO76" s="140">
        <f>IF($B76="","",SUMIF($W$13:$AL$13,"&lt;="&amp;Sector!$D$51,$W76:$AL76))</f>
        <v/>
      </c>
    </row>
    <row r="77">
      <c r="B77" s="5">
        <f>IF(AS51!$C$67="","",AS51!$C$67)</f>
        <v/>
      </c>
      <c r="C77" s="90">
        <f>IF(AS51!$B$67="","",AS51!$B$67)</f>
        <v/>
      </c>
      <c r="D77" s="138">
        <f>IFERROR(AS51!$Q$67,1)</f>
        <v/>
      </c>
      <c r="E77" s="139">
        <f>IF($B77="","",IF(ISNUMBER(AS51!$I$67),AS51!$I$67,'Index Summary'!$C$7))</f>
        <v/>
      </c>
      <c r="F77" s="140">
        <f>IF(F$13="","",IF($B77="","",IFERROR($C77*$D77*IF((Override!$C$4="ON")*(COUNTIFS(Override!$B$11:$B$40,$B77,Override!$D$11:$D$40,1,Override!$E$11:$E$40,"&gt;=0")-COUNTIFS(Override!$B$11:$B$40,$B77,Override!$D$11:$D$40,1,Override!$E$11:$E$40,"&gt;=0",Override!$C$11:$C$40,"MXAU"))&gt;0,SUMIFS(Override!$E$11:$E$40,Override!$B$11:$B$40,$B77,Override!$D$11:$D$40,1)-SUMIFS(Override!$E$11:$E$40,Override!$B$11:$B$40,$B77,Override!$D$11:$D$40,1,Override!$C$11:$C$40,"MXAU"),Override!$C$112)/AS51!$B$3,"")))</f>
        <v/>
      </c>
      <c r="G77" s="140">
        <f>IF(G$13="","",IF($B77="","",IFERROR($C77*$D77*IF((Override!$C$4="ON")*(COUNTIFS(Override!$B$11:$B$40,$B77,Override!$D$11:$D$40,2,Override!$E$11:$E$40,"&gt;=0")-COUNTIFS(Override!$B$11:$B$40,$B77,Override!$D$11:$D$40,2,Override!$E$11:$E$40,"&gt;=0",Override!$C$11:$C$40,"MXAU"))&gt;0,SUMIFS(Override!$E$11:$E$40,Override!$B$11:$B$40,$B77,Override!$D$11:$D$40,2)-SUMIFS(Override!$E$11:$E$40,Override!$B$11:$B$40,$B77,Override!$D$11:$D$40,2,Override!$C$11:$C$40,"MXAU"),Override!$D$112)/AS51!$B$3,"")))</f>
        <v/>
      </c>
      <c r="H77" s="140">
        <f>IF(H$13="","",IF($B77="","",IFERROR($C77*$D77*IF((Override!$C$4="ON")*(COUNTIFS(Override!$B$11:$B$40,$B77,Override!$D$11:$D$40,3,Override!$E$11:$E$40,"&gt;=0")-COUNTIFS(Override!$B$11:$B$40,$B77,Override!$D$11:$D$40,3,Override!$E$11:$E$40,"&gt;=0",Override!$C$11:$C$40,"MXAU"))&gt;0,SUMIFS(Override!$E$11:$E$40,Override!$B$11:$B$40,$B77,Override!$D$11:$D$40,3)-SUMIFS(Override!$E$11:$E$40,Override!$B$11:$B$40,$B77,Override!$D$11:$D$40,3,Override!$C$11:$C$40,"MXAU"),Override!$E$112)/AS51!$B$3,"")))</f>
        <v/>
      </c>
      <c r="I77" s="140">
        <f>IF(I$13="","",IF($B77="","",IFERROR($C77*$D77*IF((Override!$C$4="ON")*(COUNTIFS(Override!$B$11:$B$40,$B77,Override!$D$11:$D$40,4,Override!$E$11:$E$40,"&gt;=0")-COUNTIFS(Override!$B$11:$B$40,$B77,Override!$D$11:$D$40,4,Override!$E$11:$E$40,"&gt;=0",Override!$C$11:$C$40,"MXAU"))&gt;0,SUMIFS(Override!$E$11:$E$40,Override!$B$11:$B$40,$B77,Override!$D$11:$D$40,4)-SUMIFS(Override!$E$11:$E$40,Override!$B$11:$B$40,$B77,Override!$D$11:$D$40,4,Override!$C$11:$C$40,"MXAU"),Override!$F$112)/AS51!$B$3,"")))</f>
        <v/>
      </c>
      <c r="J77" s="140">
        <f>IF(J$13="","",IF($B77="","",IFERROR($C77*$D77*IF((Override!$C$4="ON")*(COUNTIFS(Override!$B$11:$B$40,$B77,Override!$D$11:$D$40,5,Override!$E$11:$E$40,"&gt;=0")-COUNTIFS(Override!$B$11:$B$40,$B77,Override!$D$11:$D$40,5,Override!$E$11:$E$40,"&gt;=0",Override!$C$11:$C$40,"MXAU"))&gt;0,SUMIFS(Override!$E$11:$E$40,Override!$B$11:$B$40,$B77,Override!$D$11:$D$40,5)-SUMIFS(Override!$E$11:$E$40,Override!$B$11:$B$40,$B77,Override!$D$11:$D$40,5,Override!$C$11:$C$40,"MXAU"),Override!$G$112)/AS51!$B$3,"")))</f>
        <v/>
      </c>
      <c r="K77" s="140">
        <f>IF(K$13="","",IF($B77="","",IFERROR($C77*$D77*IF((Override!$C$4="ON")*(COUNTIFS(Override!$B$11:$B$40,$B77,Override!$D$11:$D$40,6,Override!$E$11:$E$40,"&gt;=0")-COUNTIFS(Override!$B$11:$B$40,$B77,Override!$D$11:$D$40,6,Override!$E$11:$E$40,"&gt;=0",Override!$C$11:$C$40,"MXAU"))&gt;0,SUMIFS(Override!$E$11:$E$40,Override!$B$11:$B$40,$B77,Override!$D$11:$D$40,6)-SUMIFS(Override!$E$11:$E$40,Override!$B$11:$B$40,$B77,Override!$D$11:$D$40,6,Override!$C$11:$C$40,"MXAU"),Override!$H$112)/AS51!$B$3,"")))</f>
        <v/>
      </c>
      <c r="L77" s="140">
        <f>IF(L$13="","",IF($B77="","",IFERROR($C77*$D77*IF((Override!$C$4="ON")*(COUNTIFS(Override!$B$11:$B$40,$B77,Override!$D$11:$D$40,7,Override!$E$11:$E$40,"&gt;=0")-COUNTIFS(Override!$B$11:$B$40,$B77,Override!$D$11:$D$40,7,Override!$E$11:$E$40,"&gt;=0",Override!$C$11:$C$40,"MXAU"))&gt;0,SUMIFS(Override!$E$11:$E$40,Override!$B$11:$B$40,$B77,Override!$D$11:$D$40,7)-SUMIFS(Override!$E$11:$E$40,Override!$B$11:$B$40,$B77,Override!$D$11:$D$40,7,Override!$C$11:$C$40,"MXAU"),Override!$I$112)/AS51!$B$3,"")))</f>
        <v/>
      </c>
      <c r="M77" s="140">
        <f>IF(M$13="","",IF($B77="","",IFERROR($C77*$D77*IF((Override!$C$4="ON")*(COUNTIFS(Override!$B$11:$B$40,$B77,Override!$D$11:$D$40,8,Override!$E$11:$E$40,"&gt;=0")-COUNTIFS(Override!$B$11:$B$40,$B77,Override!$D$11:$D$40,8,Override!$E$11:$E$40,"&gt;=0",Override!$C$11:$C$40,"MXAU"))&gt;0,SUMIFS(Override!$E$11:$E$40,Override!$B$11:$B$40,$B77,Override!$D$11:$D$40,8)-SUMIFS(Override!$E$11:$E$40,Override!$B$11:$B$40,$B77,Override!$D$11:$D$40,8,Override!$C$11:$C$40,"MXAU"),Override!$J$112)/AS51!$B$3,"")))</f>
        <v/>
      </c>
      <c r="N77" s="140">
        <f>IF(N$13="","",IF($B77="","",IFERROR($C77*$D77*IF((Override!$C$4="ON")*(COUNTIFS(Override!$B$11:$B$40,$B77,Override!$D$11:$D$40,9,Override!$E$11:$E$40,"&gt;=0")-COUNTIFS(Override!$B$11:$B$40,$B77,Override!$D$11:$D$40,9,Override!$E$11:$E$40,"&gt;=0",Override!$C$11:$C$40,"MXAU"))&gt;0,SUMIFS(Override!$E$11:$E$40,Override!$B$11:$B$40,$B77,Override!$D$11:$D$40,9)-SUMIFS(Override!$E$11:$E$40,Override!$B$11:$B$40,$B77,Override!$D$11:$D$40,9,Override!$C$11:$C$40,"MXAU"),Override!$K$112)/AS51!$B$3,"")))</f>
        <v/>
      </c>
      <c r="O77" s="140">
        <f>IF(O$13="","",IF($B77="","",IFERROR($C77*$D77*IF((Override!$C$4="ON")*(COUNTIFS(Override!$B$11:$B$40,$B77,Override!$D$11:$D$40,10,Override!$E$11:$E$40,"&gt;=0")-COUNTIFS(Override!$B$11:$B$40,$B77,Override!$D$11:$D$40,10,Override!$E$11:$E$40,"&gt;=0",Override!$C$11:$C$40,"MXAU"))&gt;0,SUMIFS(Override!$E$11:$E$40,Override!$B$11:$B$40,$B77,Override!$D$11:$D$40,10)-SUMIFS(Override!$E$11:$E$40,Override!$B$11:$B$40,$B77,Override!$D$11:$D$40,10,Override!$C$11:$C$40,"MXAU"),Override!$L$112)/AS51!$B$3,"")))</f>
        <v/>
      </c>
      <c r="P77" s="140">
        <f>IF(P$13="","",IF($B77="","",IFERROR($C77*$D77*IF((Override!$C$4="ON")*(COUNTIFS(Override!$B$11:$B$40,$B77,Override!$D$11:$D$40,11,Override!$E$11:$E$40,"&gt;=0")-COUNTIFS(Override!$B$11:$B$40,$B77,Override!$D$11:$D$40,11,Override!$E$11:$E$40,"&gt;=0",Override!$C$11:$C$40,"MXAU"))&gt;0,SUMIFS(Override!$E$11:$E$40,Override!$B$11:$B$40,$B77,Override!$D$11:$D$40,11)-SUMIFS(Override!$E$11:$E$40,Override!$B$11:$B$40,$B77,Override!$D$11:$D$40,11,Override!$C$11:$C$40,"MXAU"),Override!$M$112)/AS51!$B$3,"")))</f>
        <v/>
      </c>
      <c r="Q77" s="140">
        <f>IF(Q$13="","",IF($B77="","",IFERROR($C77*$D77*IF((Override!$C$4="ON")*(COUNTIFS(Override!$B$11:$B$40,$B77,Override!$D$11:$D$40,12,Override!$E$11:$E$40,"&gt;=0")-COUNTIFS(Override!$B$11:$B$40,$B77,Override!$D$11:$D$40,12,Override!$E$11:$E$40,"&gt;=0",Override!$C$11:$C$40,"MXAU"))&gt;0,SUMIFS(Override!$E$11:$E$40,Override!$B$11:$B$40,$B77,Override!$D$11:$D$40,12)-SUMIFS(Override!$E$11:$E$40,Override!$B$11:$B$40,$B77,Override!$D$11:$D$40,12,Override!$C$11:$C$40,"MXAU"),Override!$N$112)/AS51!$B$3,"")))</f>
        <v/>
      </c>
      <c r="R77" s="140">
        <f>IF(R$13="","",IF($B77="","",IFERROR($C77*$D77*IF((Override!$C$4="ON")*(COUNTIFS(Override!$B$11:$B$40,$B77,Override!$D$11:$D$40,13,Override!$E$11:$E$40,"&gt;=0")-COUNTIFS(Override!$B$11:$B$40,$B77,Override!$D$11:$D$40,13,Override!$E$11:$E$40,"&gt;=0",Override!$C$11:$C$40,"MXAU"))&gt;0,SUMIFS(Override!$E$11:$E$40,Override!$B$11:$B$40,$B77,Override!$D$11:$D$40,13)-SUMIFS(Override!$E$11:$E$40,Override!$B$11:$B$40,$B77,Override!$D$11:$D$40,13,Override!$C$11:$C$40,"MXAU"),Override!$O$112)/AS51!$B$3,"")))</f>
        <v/>
      </c>
      <c r="S77" s="140">
        <f>IF(S$13="","",IF($B77="","",IFERROR($C77*$D77*IF((Override!$C$4="ON")*(COUNTIFS(Override!$B$11:$B$40,$B77,Override!$D$11:$D$40,14,Override!$E$11:$E$40,"&gt;=0")-COUNTIFS(Override!$B$11:$B$40,$B77,Override!$D$11:$D$40,14,Override!$E$11:$E$40,"&gt;=0",Override!$C$11:$C$40,"MXAU"))&gt;0,SUMIFS(Override!$E$11:$E$40,Override!$B$11:$B$40,$B77,Override!$D$11:$D$40,14)-SUMIFS(Override!$E$11:$E$40,Override!$B$11:$B$40,$B77,Override!$D$11:$D$40,14,Override!$C$11:$C$40,"MXAU"),Override!$P$112)/AS51!$B$3,"")))</f>
        <v/>
      </c>
      <c r="T77" s="140">
        <f>IF(T$13="","",IF($B77="","",IFERROR($C77*$D77*IF((Override!$C$4="ON")*(COUNTIFS(Override!$B$11:$B$40,$B77,Override!$D$11:$D$40,15,Override!$E$11:$E$40,"&gt;=0")-COUNTIFS(Override!$B$11:$B$40,$B77,Override!$D$11:$D$40,15,Override!$E$11:$E$40,"&gt;=0",Override!$C$11:$C$40,"MXAU"))&gt;0,SUMIFS(Override!$E$11:$E$40,Override!$B$11:$B$40,$B77,Override!$D$11:$D$40,15)-SUMIFS(Override!$E$11:$E$40,Override!$B$11:$B$40,$B77,Override!$D$11:$D$40,15,Override!$C$11:$C$40,"MXAU"),Override!$Q$112)/AS51!$B$3,"")))</f>
        <v/>
      </c>
      <c r="U77" s="140">
        <f>IF(U$13="","",IF($B77="","",IFERROR($C77*$D77*IF((Override!$C$4="ON")*(COUNTIFS(Override!$B$11:$B$40,$B77,Override!$D$11:$D$40,16,Override!$E$11:$E$40,"&gt;=0")-COUNTIFS(Override!$B$11:$B$40,$B77,Override!$D$11:$D$40,16,Override!$E$11:$E$40,"&gt;=0",Override!$C$11:$C$40,"MXAU"))&gt;0,SUMIFS(Override!$E$11:$E$40,Override!$B$11:$B$40,$B77,Override!$D$11:$D$40,16)-SUMIFS(Override!$E$11:$E$40,Override!$B$11:$B$40,$B77,Override!$D$11:$D$40,16,Override!$C$11:$C$40,"MXAU"),Override!$R$112)/AS51!$B$3,"")))</f>
        <v/>
      </c>
      <c r="W77" s="140">
        <f>IF(W$13="","",IF($B77="","",IFERROR(F77*$E77/100,"")))</f>
        <v/>
      </c>
      <c r="X77" s="140">
        <f>IF(X$13="","",IF($B77="","",IFERROR(G77*$E77/100,"")))</f>
        <v/>
      </c>
      <c r="Y77" s="140">
        <f>IF(Y$13="","",IF($B77="","",IFERROR(H77*$E77/100,"")))</f>
        <v/>
      </c>
      <c r="Z77" s="140">
        <f>IF(Z$13="","",IF($B77="","",IFERROR(I77*$E77/100,"")))</f>
        <v/>
      </c>
      <c r="AA77" s="140">
        <f>IF(AA$13="","",IF($B77="","",IFERROR(J77*$E77/100,"")))</f>
        <v/>
      </c>
      <c r="AB77" s="140">
        <f>IF(AB$13="","",IF($B77="","",IFERROR(K77*$E77/100,"")))</f>
        <v/>
      </c>
      <c r="AC77" s="140">
        <f>IF(AC$13="","",IF($B77="","",IFERROR(L77*$E77/100,"")))</f>
        <v/>
      </c>
      <c r="AD77" s="140">
        <f>IF(AD$13="","",IF($B77="","",IFERROR(M77*$E77/100,"")))</f>
        <v/>
      </c>
      <c r="AE77" s="140">
        <f>IF(AE$13="","",IF($B77="","",IFERROR(N77*$E77/100,"")))</f>
        <v/>
      </c>
      <c r="AF77" s="140">
        <f>IF(AF$13="","",IF($B77="","",IFERROR(O77*$E77/100,"")))</f>
        <v/>
      </c>
      <c r="AG77" s="140">
        <f>IF(AG$13="","",IF($B77="","",IFERROR(P77*$E77/100,"")))</f>
        <v/>
      </c>
      <c r="AH77" s="140">
        <f>IF(AH$13="","",IF($B77="","",IFERROR(Q77*$E77/100,"")))</f>
        <v/>
      </c>
      <c r="AI77" s="140">
        <f>IF(AI$13="","",IF($B77="","",IFERROR(R77*$E77/100,"")))</f>
        <v/>
      </c>
      <c r="AJ77" s="140">
        <f>IF(AJ$13="","",IF($B77="","",IFERROR(S77*$E77/100,"")))</f>
        <v/>
      </c>
      <c r="AK77" s="140">
        <f>IF(AK$13="","",IF($B77="","",IFERROR(T77*$E77/100,"")))</f>
        <v/>
      </c>
      <c r="AL77" s="140">
        <f>IF(AL$13="","",IF($B77="","",IFERROR(U77*$E77/100,"")))</f>
        <v/>
      </c>
      <c r="AN77" s="140">
        <f>IF($B77="","",SUMIF($F$13:$U$13,"&lt;="&amp;Sector!$D$51,$F77:$U77))</f>
        <v/>
      </c>
      <c r="AO77" s="140">
        <f>IF($B77="","",SUMIF($W$13:$AL$13,"&lt;="&amp;Sector!$D$51,$W77:$AL77))</f>
        <v/>
      </c>
    </row>
    <row r="78">
      <c r="B78" s="5">
        <f>IF(AS51!$C$68="","",AS51!$C$68)</f>
        <v/>
      </c>
      <c r="C78" s="90">
        <f>IF(AS51!$B$68="","",AS51!$B$68)</f>
        <v/>
      </c>
      <c r="D78" s="138">
        <f>IFERROR(AS51!$Q$68,1)</f>
        <v/>
      </c>
      <c r="E78" s="139">
        <f>IF($B78="","",IF(ISNUMBER(AS51!$I$68),AS51!$I$68,'Index Summary'!$C$7))</f>
        <v/>
      </c>
      <c r="F78" s="140">
        <f>IF(F$13="","",IF($B78="","",IFERROR($C78*$D78*IF((Override!$C$4="ON")*(COUNTIFS(Override!$B$11:$B$40,$B78,Override!$D$11:$D$40,1,Override!$E$11:$E$40,"&gt;=0")-COUNTIFS(Override!$B$11:$B$40,$B78,Override!$D$11:$D$40,1,Override!$E$11:$E$40,"&gt;=0",Override!$C$11:$C$40,"MXAU"))&gt;0,SUMIFS(Override!$E$11:$E$40,Override!$B$11:$B$40,$B78,Override!$D$11:$D$40,1)-SUMIFS(Override!$E$11:$E$40,Override!$B$11:$B$40,$B78,Override!$D$11:$D$40,1,Override!$C$11:$C$40,"MXAU"),Override!$C$113)/AS51!$B$3,"")))</f>
        <v/>
      </c>
      <c r="G78" s="140">
        <f>IF(G$13="","",IF($B78="","",IFERROR($C78*$D78*IF((Override!$C$4="ON")*(COUNTIFS(Override!$B$11:$B$40,$B78,Override!$D$11:$D$40,2,Override!$E$11:$E$40,"&gt;=0")-COUNTIFS(Override!$B$11:$B$40,$B78,Override!$D$11:$D$40,2,Override!$E$11:$E$40,"&gt;=0",Override!$C$11:$C$40,"MXAU"))&gt;0,SUMIFS(Override!$E$11:$E$40,Override!$B$11:$B$40,$B78,Override!$D$11:$D$40,2)-SUMIFS(Override!$E$11:$E$40,Override!$B$11:$B$40,$B78,Override!$D$11:$D$40,2,Override!$C$11:$C$40,"MXAU"),Override!$D$113)/AS51!$B$3,"")))</f>
        <v/>
      </c>
      <c r="H78" s="140">
        <f>IF(H$13="","",IF($B78="","",IFERROR($C78*$D78*IF((Override!$C$4="ON")*(COUNTIFS(Override!$B$11:$B$40,$B78,Override!$D$11:$D$40,3,Override!$E$11:$E$40,"&gt;=0")-COUNTIFS(Override!$B$11:$B$40,$B78,Override!$D$11:$D$40,3,Override!$E$11:$E$40,"&gt;=0",Override!$C$11:$C$40,"MXAU"))&gt;0,SUMIFS(Override!$E$11:$E$40,Override!$B$11:$B$40,$B78,Override!$D$11:$D$40,3)-SUMIFS(Override!$E$11:$E$40,Override!$B$11:$B$40,$B78,Override!$D$11:$D$40,3,Override!$C$11:$C$40,"MXAU"),Override!$E$113)/AS51!$B$3,"")))</f>
        <v/>
      </c>
      <c r="I78" s="140">
        <f>IF(I$13="","",IF($B78="","",IFERROR($C78*$D78*IF((Override!$C$4="ON")*(COUNTIFS(Override!$B$11:$B$40,$B78,Override!$D$11:$D$40,4,Override!$E$11:$E$40,"&gt;=0")-COUNTIFS(Override!$B$11:$B$40,$B78,Override!$D$11:$D$40,4,Override!$E$11:$E$40,"&gt;=0",Override!$C$11:$C$40,"MXAU"))&gt;0,SUMIFS(Override!$E$11:$E$40,Override!$B$11:$B$40,$B78,Override!$D$11:$D$40,4)-SUMIFS(Override!$E$11:$E$40,Override!$B$11:$B$40,$B78,Override!$D$11:$D$40,4,Override!$C$11:$C$40,"MXAU"),Override!$F$113)/AS51!$B$3,"")))</f>
        <v/>
      </c>
      <c r="J78" s="140">
        <f>IF(J$13="","",IF($B78="","",IFERROR($C78*$D78*IF((Override!$C$4="ON")*(COUNTIFS(Override!$B$11:$B$40,$B78,Override!$D$11:$D$40,5,Override!$E$11:$E$40,"&gt;=0")-COUNTIFS(Override!$B$11:$B$40,$B78,Override!$D$11:$D$40,5,Override!$E$11:$E$40,"&gt;=0",Override!$C$11:$C$40,"MXAU"))&gt;0,SUMIFS(Override!$E$11:$E$40,Override!$B$11:$B$40,$B78,Override!$D$11:$D$40,5)-SUMIFS(Override!$E$11:$E$40,Override!$B$11:$B$40,$B78,Override!$D$11:$D$40,5,Override!$C$11:$C$40,"MXAU"),Override!$G$113)/AS51!$B$3,"")))</f>
        <v/>
      </c>
      <c r="K78" s="140">
        <f>IF(K$13="","",IF($B78="","",IFERROR($C78*$D78*IF((Override!$C$4="ON")*(COUNTIFS(Override!$B$11:$B$40,$B78,Override!$D$11:$D$40,6,Override!$E$11:$E$40,"&gt;=0")-COUNTIFS(Override!$B$11:$B$40,$B78,Override!$D$11:$D$40,6,Override!$E$11:$E$40,"&gt;=0",Override!$C$11:$C$40,"MXAU"))&gt;0,SUMIFS(Override!$E$11:$E$40,Override!$B$11:$B$40,$B78,Override!$D$11:$D$40,6)-SUMIFS(Override!$E$11:$E$40,Override!$B$11:$B$40,$B78,Override!$D$11:$D$40,6,Override!$C$11:$C$40,"MXAU"),Override!$H$113)/AS51!$B$3,"")))</f>
        <v/>
      </c>
      <c r="L78" s="140">
        <f>IF(L$13="","",IF($B78="","",IFERROR($C78*$D78*IF((Override!$C$4="ON")*(COUNTIFS(Override!$B$11:$B$40,$B78,Override!$D$11:$D$40,7,Override!$E$11:$E$40,"&gt;=0")-COUNTIFS(Override!$B$11:$B$40,$B78,Override!$D$11:$D$40,7,Override!$E$11:$E$40,"&gt;=0",Override!$C$11:$C$40,"MXAU"))&gt;0,SUMIFS(Override!$E$11:$E$40,Override!$B$11:$B$40,$B78,Override!$D$11:$D$40,7)-SUMIFS(Override!$E$11:$E$40,Override!$B$11:$B$40,$B78,Override!$D$11:$D$40,7,Override!$C$11:$C$40,"MXAU"),Override!$I$113)/AS51!$B$3,"")))</f>
        <v/>
      </c>
      <c r="M78" s="140">
        <f>IF(M$13="","",IF($B78="","",IFERROR($C78*$D78*IF((Override!$C$4="ON")*(COUNTIFS(Override!$B$11:$B$40,$B78,Override!$D$11:$D$40,8,Override!$E$11:$E$40,"&gt;=0")-COUNTIFS(Override!$B$11:$B$40,$B78,Override!$D$11:$D$40,8,Override!$E$11:$E$40,"&gt;=0",Override!$C$11:$C$40,"MXAU"))&gt;0,SUMIFS(Override!$E$11:$E$40,Override!$B$11:$B$40,$B78,Override!$D$11:$D$40,8)-SUMIFS(Override!$E$11:$E$40,Override!$B$11:$B$40,$B78,Override!$D$11:$D$40,8,Override!$C$11:$C$40,"MXAU"),Override!$J$113)/AS51!$B$3,"")))</f>
        <v/>
      </c>
      <c r="N78" s="140">
        <f>IF(N$13="","",IF($B78="","",IFERROR($C78*$D78*IF((Override!$C$4="ON")*(COUNTIFS(Override!$B$11:$B$40,$B78,Override!$D$11:$D$40,9,Override!$E$11:$E$40,"&gt;=0")-COUNTIFS(Override!$B$11:$B$40,$B78,Override!$D$11:$D$40,9,Override!$E$11:$E$40,"&gt;=0",Override!$C$11:$C$40,"MXAU"))&gt;0,SUMIFS(Override!$E$11:$E$40,Override!$B$11:$B$40,$B78,Override!$D$11:$D$40,9)-SUMIFS(Override!$E$11:$E$40,Override!$B$11:$B$40,$B78,Override!$D$11:$D$40,9,Override!$C$11:$C$40,"MXAU"),Override!$K$113)/AS51!$B$3,"")))</f>
        <v/>
      </c>
      <c r="O78" s="140">
        <f>IF(O$13="","",IF($B78="","",IFERROR($C78*$D78*IF((Override!$C$4="ON")*(COUNTIFS(Override!$B$11:$B$40,$B78,Override!$D$11:$D$40,10,Override!$E$11:$E$40,"&gt;=0")-COUNTIFS(Override!$B$11:$B$40,$B78,Override!$D$11:$D$40,10,Override!$E$11:$E$40,"&gt;=0",Override!$C$11:$C$40,"MXAU"))&gt;0,SUMIFS(Override!$E$11:$E$40,Override!$B$11:$B$40,$B78,Override!$D$11:$D$40,10)-SUMIFS(Override!$E$11:$E$40,Override!$B$11:$B$40,$B78,Override!$D$11:$D$40,10,Override!$C$11:$C$40,"MXAU"),Override!$L$113)/AS51!$B$3,"")))</f>
        <v/>
      </c>
      <c r="P78" s="140">
        <f>IF(P$13="","",IF($B78="","",IFERROR($C78*$D78*IF((Override!$C$4="ON")*(COUNTIFS(Override!$B$11:$B$40,$B78,Override!$D$11:$D$40,11,Override!$E$11:$E$40,"&gt;=0")-COUNTIFS(Override!$B$11:$B$40,$B78,Override!$D$11:$D$40,11,Override!$E$11:$E$40,"&gt;=0",Override!$C$11:$C$40,"MXAU"))&gt;0,SUMIFS(Override!$E$11:$E$40,Override!$B$11:$B$40,$B78,Override!$D$11:$D$40,11)-SUMIFS(Override!$E$11:$E$40,Override!$B$11:$B$40,$B78,Override!$D$11:$D$40,11,Override!$C$11:$C$40,"MXAU"),Override!$M$113)/AS51!$B$3,"")))</f>
        <v/>
      </c>
      <c r="Q78" s="140">
        <f>IF(Q$13="","",IF($B78="","",IFERROR($C78*$D78*IF((Override!$C$4="ON")*(COUNTIFS(Override!$B$11:$B$40,$B78,Override!$D$11:$D$40,12,Override!$E$11:$E$40,"&gt;=0")-COUNTIFS(Override!$B$11:$B$40,$B78,Override!$D$11:$D$40,12,Override!$E$11:$E$40,"&gt;=0",Override!$C$11:$C$40,"MXAU"))&gt;0,SUMIFS(Override!$E$11:$E$40,Override!$B$11:$B$40,$B78,Override!$D$11:$D$40,12)-SUMIFS(Override!$E$11:$E$40,Override!$B$11:$B$40,$B78,Override!$D$11:$D$40,12,Override!$C$11:$C$40,"MXAU"),Override!$N$113)/AS51!$B$3,"")))</f>
        <v/>
      </c>
      <c r="R78" s="140">
        <f>IF(R$13="","",IF($B78="","",IFERROR($C78*$D78*IF((Override!$C$4="ON")*(COUNTIFS(Override!$B$11:$B$40,$B78,Override!$D$11:$D$40,13,Override!$E$11:$E$40,"&gt;=0")-COUNTIFS(Override!$B$11:$B$40,$B78,Override!$D$11:$D$40,13,Override!$E$11:$E$40,"&gt;=0",Override!$C$11:$C$40,"MXAU"))&gt;0,SUMIFS(Override!$E$11:$E$40,Override!$B$11:$B$40,$B78,Override!$D$11:$D$40,13)-SUMIFS(Override!$E$11:$E$40,Override!$B$11:$B$40,$B78,Override!$D$11:$D$40,13,Override!$C$11:$C$40,"MXAU"),Override!$O$113)/AS51!$B$3,"")))</f>
        <v/>
      </c>
      <c r="S78" s="140">
        <f>IF(S$13="","",IF($B78="","",IFERROR($C78*$D78*IF((Override!$C$4="ON")*(COUNTIFS(Override!$B$11:$B$40,$B78,Override!$D$11:$D$40,14,Override!$E$11:$E$40,"&gt;=0")-COUNTIFS(Override!$B$11:$B$40,$B78,Override!$D$11:$D$40,14,Override!$E$11:$E$40,"&gt;=0",Override!$C$11:$C$40,"MXAU"))&gt;0,SUMIFS(Override!$E$11:$E$40,Override!$B$11:$B$40,$B78,Override!$D$11:$D$40,14)-SUMIFS(Override!$E$11:$E$40,Override!$B$11:$B$40,$B78,Override!$D$11:$D$40,14,Override!$C$11:$C$40,"MXAU"),Override!$P$113)/AS51!$B$3,"")))</f>
        <v/>
      </c>
      <c r="T78" s="140">
        <f>IF(T$13="","",IF($B78="","",IFERROR($C78*$D78*IF((Override!$C$4="ON")*(COUNTIFS(Override!$B$11:$B$40,$B78,Override!$D$11:$D$40,15,Override!$E$11:$E$40,"&gt;=0")-COUNTIFS(Override!$B$11:$B$40,$B78,Override!$D$11:$D$40,15,Override!$E$11:$E$40,"&gt;=0",Override!$C$11:$C$40,"MXAU"))&gt;0,SUMIFS(Override!$E$11:$E$40,Override!$B$11:$B$40,$B78,Override!$D$11:$D$40,15)-SUMIFS(Override!$E$11:$E$40,Override!$B$11:$B$40,$B78,Override!$D$11:$D$40,15,Override!$C$11:$C$40,"MXAU"),Override!$Q$113)/AS51!$B$3,"")))</f>
        <v/>
      </c>
      <c r="U78" s="140">
        <f>IF(U$13="","",IF($B78="","",IFERROR($C78*$D78*IF((Override!$C$4="ON")*(COUNTIFS(Override!$B$11:$B$40,$B78,Override!$D$11:$D$40,16,Override!$E$11:$E$40,"&gt;=0")-COUNTIFS(Override!$B$11:$B$40,$B78,Override!$D$11:$D$40,16,Override!$E$11:$E$40,"&gt;=0",Override!$C$11:$C$40,"MXAU"))&gt;0,SUMIFS(Override!$E$11:$E$40,Override!$B$11:$B$40,$B78,Override!$D$11:$D$40,16)-SUMIFS(Override!$E$11:$E$40,Override!$B$11:$B$40,$B78,Override!$D$11:$D$40,16,Override!$C$11:$C$40,"MXAU"),Override!$R$113)/AS51!$B$3,"")))</f>
        <v/>
      </c>
      <c r="W78" s="140">
        <f>IF(W$13="","",IF($B78="","",IFERROR(F78*$E78/100,"")))</f>
        <v/>
      </c>
      <c r="X78" s="140">
        <f>IF(X$13="","",IF($B78="","",IFERROR(G78*$E78/100,"")))</f>
        <v/>
      </c>
      <c r="Y78" s="140">
        <f>IF(Y$13="","",IF($B78="","",IFERROR(H78*$E78/100,"")))</f>
        <v/>
      </c>
      <c r="Z78" s="140">
        <f>IF(Z$13="","",IF($B78="","",IFERROR(I78*$E78/100,"")))</f>
        <v/>
      </c>
      <c r="AA78" s="140">
        <f>IF(AA$13="","",IF($B78="","",IFERROR(J78*$E78/100,"")))</f>
        <v/>
      </c>
      <c r="AB78" s="140">
        <f>IF(AB$13="","",IF($B78="","",IFERROR(K78*$E78/100,"")))</f>
        <v/>
      </c>
      <c r="AC78" s="140">
        <f>IF(AC$13="","",IF($B78="","",IFERROR(L78*$E78/100,"")))</f>
        <v/>
      </c>
      <c r="AD78" s="140">
        <f>IF(AD$13="","",IF($B78="","",IFERROR(M78*$E78/100,"")))</f>
        <v/>
      </c>
      <c r="AE78" s="140">
        <f>IF(AE$13="","",IF($B78="","",IFERROR(N78*$E78/100,"")))</f>
        <v/>
      </c>
      <c r="AF78" s="140">
        <f>IF(AF$13="","",IF($B78="","",IFERROR(O78*$E78/100,"")))</f>
        <v/>
      </c>
      <c r="AG78" s="140">
        <f>IF(AG$13="","",IF($B78="","",IFERROR(P78*$E78/100,"")))</f>
        <v/>
      </c>
      <c r="AH78" s="140">
        <f>IF(AH$13="","",IF($B78="","",IFERROR(Q78*$E78/100,"")))</f>
        <v/>
      </c>
      <c r="AI78" s="140">
        <f>IF(AI$13="","",IF($B78="","",IFERROR(R78*$E78/100,"")))</f>
        <v/>
      </c>
      <c r="AJ78" s="140">
        <f>IF(AJ$13="","",IF($B78="","",IFERROR(S78*$E78/100,"")))</f>
        <v/>
      </c>
      <c r="AK78" s="140">
        <f>IF(AK$13="","",IF($B78="","",IFERROR(T78*$E78/100,"")))</f>
        <v/>
      </c>
      <c r="AL78" s="140">
        <f>IF(AL$13="","",IF($B78="","",IFERROR(U78*$E78/100,"")))</f>
        <v/>
      </c>
      <c r="AN78" s="140">
        <f>IF($B78="","",SUMIF($F$13:$U$13,"&lt;="&amp;Sector!$D$51,$F78:$U78))</f>
        <v/>
      </c>
      <c r="AO78" s="140">
        <f>IF($B78="","",SUMIF($W$13:$AL$13,"&lt;="&amp;Sector!$D$51,$W78:$AL78))</f>
        <v/>
      </c>
    </row>
    <row r="79">
      <c r="B79" s="5">
        <f>IF(AS51!$C$69="","",AS51!$C$69)</f>
        <v/>
      </c>
      <c r="C79" s="90">
        <f>IF(AS51!$B$69="","",AS51!$B$69)</f>
        <v/>
      </c>
      <c r="D79" s="138">
        <f>IFERROR(AS51!$Q$69,1)</f>
        <v/>
      </c>
      <c r="E79" s="139">
        <f>IF($B79="","",IF(ISNUMBER(AS51!$I$69),AS51!$I$69,'Index Summary'!$C$7))</f>
        <v/>
      </c>
      <c r="F79" s="140">
        <f>IF(F$13="","",IF($B79="","",IFERROR($C79*$D79*IF((Override!$C$4="ON")*(COUNTIFS(Override!$B$11:$B$40,$B79,Override!$D$11:$D$40,1,Override!$E$11:$E$40,"&gt;=0")-COUNTIFS(Override!$B$11:$B$40,$B79,Override!$D$11:$D$40,1,Override!$E$11:$E$40,"&gt;=0",Override!$C$11:$C$40,"MXAU"))&gt;0,SUMIFS(Override!$E$11:$E$40,Override!$B$11:$B$40,$B79,Override!$D$11:$D$40,1)-SUMIFS(Override!$E$11:$E$40,Override!$B$11:$B$40,$B79,Override!$D$11:$D$40,1,Override!$C$11:$C$40,"MXAU"),Override!$C$114)/AS51!$B$3,"")))</f>
        <v/>
      </c>
      <c r="G79" s="140">
        <f>IF(G$13="","",IF($B79="","",IFERROR($C79*$D79*IF((Override!$C$4="ON")*(COUNTIFS(Override!$B$11:$B$40,$B79,Override!$D$11:$D$40,2,Override!$E$11:$E$40,"&gt;=0")-COUNTIFS(Override!$B$11:$B$40,$B79,Override!$D$11:$D$40,2,Override!$E$11:$E$40,"&gt;=0",Override!$C$11:$C$40,"MXAU"))&gt;0,SUMIFS(Override!$E$11:$E$40,Override!$B$11:$B$40,$B79,Override!$D$11:$D$40,2)-SUMIFS(Override!$E$11:$E$40,Override!$B$11:$B$40,$B79,Override!$D$11:$D$40,2,Override!$C$11:$C$40,"MXAU"),Override!$D$114)/AS51!$B$3,"")))</f>
        <v/>
      </c>
      <c r="H79" s="140">
        <f>IF(H$13="","",IF($B79="","",IFERROR($C79*$D79*IF((Override!$C$4="ON")*(COUNTIFS(Override!$B$11:$B$40,$B79,Override!$D$11:$D$40,3,Override!$E$11:$E$40,"&gt;=0")-COUNTIFS(Override!$B$11:$B$40,$B79,Override!$D$11:$D$40,3,Override!$E$11:$E$40,"&gt;=0",Override!$C$11:$C$40,"MXAU"))&gt;0,SUMIFS(Override!$E$11:$E$40,Override!$B$11:$B$40,$B79,Override!$D$11:$D$40,3)-SUMIFS(Override!$E$11:$E$40,Override!$B$11:$B$40,$B79,Override!$D$11:$D$40,3,Override!$C$11:$C$40,"MXAU"),Override!$E$114)/AS51!$B$3,"")))</f>
        <v/>
      </c>
      <c r="I79" s="140">
        <f>IF(I$13="","",IF($B79="","",IFERROR($C79*$D79*IF((Override!$C$4="ON")*(COUNTIFS(Override!$B$11:$B$40,$B79,Override!$D$11:$D$40,4,Override!$E$11:$E$40,"&gt;=0")-COUNTIFS(Override!$B$11:$B$40,$B79,Override!$D$11:$D$40,4,Override!$E$11:$E$40,"&gt;=0",Override!$C$11:$C$40,"MXAU"))&gt;0,SUMIFS(Override!$E$11:$E$40,Override!$B$11:$B$40,$B79,Override!$D$11:$D$40,4)-SUMIFS(Override!$E$11:$E$40,Override!$B$11:$B$40,$B79,Override!$D$11:$D$40,4,Override!$C$11:$C$40,"MXAU"),Override!$F$114)/AS51!$B$3,"")))</f>
        <v/>
      </c>
      <c r="J79" s="140">
        <f>IF(J$13="","",IF($B79="","",IFERROR($C79*$D79*IF((Override!$C$4="ON")*(COUNTIFS(Override!$B$11:$B$40,$B79,Override!$D$11:$D$40,5,Override!$E$11:$E$40,"&gt;=0")-COUNTIFS(Override!$B$11:$B$40,$B79,Override!$D$11:$D$40,5,Override!$E$11:$E$40,"&gt;=0",Override!$C$11:$C$40,"MXAU"))&gt;0,SUMIFS(Override!$E$11:$E$40,Override!$B$11:$B$40,$B79,Override!$D$11:$D$40,5)-SUMIFS(Override!$E$11:$E$40,Override!$B$11:$B$40,$B79,Override!$D$11:$D$40,5,Override!$C$11:$C$40,"MXAU"),Override!$G$114)/AS51!$B$3,"")))</f>
        <v/>
      </c>
      <c r="K79" s="140">
        <f>IF(K$13="","",IF($B79="","",IFERROR($C79*$D79*IF((Override!$C$4="ON")*(COUNTIFS(Override!$B$11:$B$40,$B79,Override!$D$11:$D$40,6,Override!$E$11:$E$40,"&gt;=0")-COUNTIFS(Override!$B$11:$B$40,$B79,Override!$D$11:$D$40,6,Override!$E$11:$E$40,"&gt;=0",Override!$C$11:$C$40,"MXAU"))&gt;0,SUMIFS(Override!$E$11:$E$40,Override!$B$11:$B$40,$B79,Override!$D$11:$D$40,6)-SUMIFS(Override!$E$11:$E$40,Override!$B$11:$B$40,$B79,Override!$D$11:$D$40,6,Override!$C$11:$C$40,"MXAU"),Override!$H$114)/AS51!$B$3,"")))</f>
        <v/>
      </c>
      <c r="L79" s="140">
        <f>IF(L$13="","",IF($B79="","",IFERROR($C79*$D79*IF((Override!$C$4="ON")*(COUNTIFS(Override!$B$11:$B$40,$B79,Override!$D$11:$D$40,7,Override!$E$11:$E$40,"&gt;=0")-COUNTIFS(Override!$B$11:$B$40,$B79,Override!$D$11:$D$40,7,Override!$E$11:$E$40,"&gt;=0",Override!$C$11:$C$40,"MXAU"))&gt;0,SUMIFS(Override!$E$11:$E$40,Override!$B$11:$B$40,$B79,Override!$D$11:$D$40,7)-SUMIFS(Override!$E$11:$E$40,Override!$B$11:$B$40,$B79,Override!$D$11:$D$40,7,Override!$C$11:$C$40,"MXAU"),Override!$I$114)/AS51!$B$3,"")))</f>
        <v/>
      </c>
      <c r="M79" s="140">
        <f>IF(M$13="","",IF($B79="","",IFERROR($C79*$D79*IF((Override!$C$4="ON")*(COUNTIFS(Override!$B$11:$B$40,$B79,Override!$D$11:$D$40,8,Override!$E$11:$E$40,"&gt;=0")-COUNTIFS(Override!$B$11:$B$40,$B79,Override!$D$11:$D$40,8,Override!$E$11:$E$40,"&gt;=0",Override!$C$11:$C$40,"MXAU"))&gt;0,SUMIFS(Override!$E$11:$E$40,Override!$B$11:$B$40,$B79,Override!$D$11:$D$40,8)-SUMIFS(Override!$E$11:$E$40,Override!$B$11:$B$40,$B79,Override!$D$11:$D$40,8,Override!$C$11:$C$40,"MXAU"),Override!$J$114)/AS51!$B$3,"")))</f>
        <v/>
      </c>
      <c r="N79" s="140">
        <f>IF(N$13="","",IF($B79="","",IFERROR($C79*$D79*IF((Override!$C$4="ON")*(COUNTIFS(Override!$B$11:$B$40,$B79,Override!$D$11:$D$40,9,Override!$E$11:$E$40,"&gt;=0")-COUNTIFS(Override!$B$11:$B$40,$B79,Override!$D$11:$D$40,9,Override!$E$11:$E$40,"&gt;=0",Override!$C$11:$C$40,"MXAU"))&gt;0,SUMIFS(Override!$E$11:$E$40,Override!$B$11:$B$40,$B79,Override!$D$11:$D$40,9)-SUMIFS(Override!$E$11:$E$40,Override!$B$11:$B$40,$B79,Override!$D$11:$D$40,9,Override!$C$11:$C$40,"MXAU"),Override!$K$114)/AS51!$B$3,"")))</f>
        <v/>
      </c>
      <c r="O79" s="140">
        <f>IF(O$13="","",IF($B79="","",IFERROR($C79*$D79*IF((Override!$C$4="ON")*(COUNTIFS(Override!$B$11:$B$40,$B79,Override!$D$11:$D$40,10,Override!$E$11:$E$40,"&gt;=0")-COUNTIFS(Override!$B$11:$B$40,$B79,Override!$D$11:$D$40,10,Override!$E$11:$E$40,"&gt;=0",Override!$C$11:$C$40,"MXAU"))&gt;0,SUMIFS(Override!$E$11:$E$40,Override!$B$11:$B$40,$B79,Override!$D$11:$D$40,10)-SUMIFS(Override!$E$11:$E$40,Override!$B$11:$B$40,$B79,Override!$D$11:$D$40,10,Override!$C$11:$C$40,"MXAU"),Override!$L$114)/AS51!$B$3,"")))</f>
        <v/>
      </c>
      <c r="P79" s="140">
        <f>IF(P$13="","",IF($B79="","",IFERROR($C79*$D79*IF((Override!$C$4="ON")*(COUNTIFS(Override!$B$11:$B$40,$B79,Override!$D$11:$D$40,11,Override!$E$11:$E$40,"&gt;=0")-COUNTIFS(Override!$B$11:$B$40,$B79,Override!$D$11:$D$40,11,Override!$E$11:$E$40,"&gt;=0",Override!$C$11:$C$40,"MXAU"))&gt;0,SUMIFS(Override!$E$11:$E$40,Override!$B$11:$B$40,$B79,Override!$D$11:$D$40,11)-SUMIFS(Override!$E$11:$E$40,Override!$B$11:$B$40,$B79,Override!$D$11:$D$40,11,Override!$C$11:$C$40,"MXAU"),Override!$M$114)/AS51!$B$3,"")))</f>
        <v/>
      </c>
      <c r="Q79" s="140">
        <f>IF(Q$13="","",IF($B79="","",IFERROR($C79*$D79*IF((Override!$C$4="ON")*(COUNTIFS(Override!$B$11:$B$40,$B79,Override!$D$11:$D$40,12,Override!$E$11:$E$40,"&gt;=0")-COUNTIFS(Override!$B$11:$B$40,$B79,Override!$D$11:$D$40,12,Override!$E$11:$E$40,"&gt;=0",Override!$C$11:$C$40,"MXAU"))&gt;0,SUMIFS(Override!$E$11:$E$40,Override!$B$11:$B$40,$B79,Override!$D$11:$D$40,12)-SUMIFS(Override!$E$11:$E$40,Override!$B$11:$B$40,$B79,Override!$D$11:$D$40,12,Override!$C$11:$C$40,"MXAU"),Override!$N$114)/AS51!$B$3,"")))</f>
        <v/>
      </c>
      <c r="R79" s="140">
        <f>IF(R$13="","",IF($B79="","",IFERROR($C79*$D79*IF((Override!$C$4="ON")*(COUNTIFS(Override!$B$11:$B$40,$B79,Override!$D$11:$D$40,13,Override!$E$11:$E$40,"&gt;=0")-COUNTIFS(Override!$B$11:$B$40,$B79,Override!$D$11:$D$40,13,Override!$E$11:$E$40,"&gt;=0",Override!$C$11:$C$40,"MXAU"))&gt;0,SUMIFS(Override!$E$11:$E$40,Override!$B$11:$B$40,$B79,Override!$D$11:$D$40,13)-SUMIFS(Override!$E$11:$E$40,Override!$B$11:$B$40,$B79,Override!$D$11:$D$40,13,Override!$C$11:$C$40,"MXAU"),Override!$O$114)/AS51!$B$3,"")))</f>
        <v/>
      </c>
      <c r="S79" s="140">
        <f>IF(S$13="","",IF($B79="","",IFERROR($C79*$D79*IF((Override!$C$4="ON")*(COUNTIFS(Override!$B$11:$B$40,$B79,Override!$D$11:$D$40,14,Override!$E$11:$E$40,"&gt;=0")-COUNTIFS(Override!$B$11:$B$40,$B79,Override!$D$11:$D$40,14,Override!$E$11:$E$40,"&gt;=0",Override!$C$11:$C$40,"MXAU"))&gt;0,SUMIFS(Override!$E$11:$E$40,Override!$B$11:$B$40,$B79,Override!$D$11:$D$40,14)-SUMIFS(Override!$E$11:$E$40,Override!$B$11:$B$40,$B79,Override!$D$11:$D$40,14,Override!$C$11:$C$40,"MXAU"),Override!$P$114)/AS51!$B$3,"")))</f>
        <v/>
      </c>
      <c r="T79" s="140">
        <f>IF(T$13="","",IF($B79="","",IFERROR($C79*$D79*IF((Override!$C$4="ON")*(COUNTIFS(Override!$B$11:$B$40,$B79,Override!$D$11:$D$40,15,Override!$E$11:$E$40,"&gt;=0")-COUNTIFS(Override!$B$11:$B$40,$B79,Override!$D$11:$D$40,15,Override!$E$11:$E$40,"&gt;=0",Override!$C$11:$C$40,"MXAU"))&gt;0,SUMIFS(Override!$E$11:$E$40,Override!$B$11:$B$40,$B79,Override!$D$11:$D$40,15)-SUMIFS(Override!$E$11:$E$40,Override!$B$11:$B$40,$B79,Override!$D$11:$D$40,15,Override!$C$11:$C$40,"MXAU"),Override!$Q$114)/AS51!$B$3,"")))</f>
        <v/>
      </c>
      <c r="U79" s="140">
        <f>IF(U$13="","",IF($B79="","",IFERROR($C79*$D79*IF((Override!$C$4="ON")*(COUNTIFS(Override!$B$11:$B$40,$B79,Override!$D$11:$D$40,16,Override!$E$11:$E$40,"&gt;=0")-COUNTIFS(Override!$B$11:$B$40,$B79,Override!$D$11:$D$40,16,Override!$E$11:$E$40,"&gt;=0",Override!$C$11:$C$40,"MXAU"))&gt;0,SUMIFS(Override!$E$11:$E$40,Override!$B$11:$B$40,$B79,Override!$D$11:$D$40,16)-SUMIFS(Override!$E$11:$E$40,Override!$B$11:$B$40,$B79,Override!$D$11:$D$40,16,Override!$C$11:$C$40,"MXAU"),Override!$R$114)/AS51!$B$3,"")))</f>
        <v/>
      </c>
      <c r="W79" s="140">
        <f>IF(W$13="","",IF($B79="","",IFERROR(F79*$E79/100,"")))</f>
        <v/>
      </c>
      <c r="X79" s="140">
        <f>IF(X$13="","",IF($B79="","",IFERROR(G79*$E79/100,"")))</f>
        <v/>
      </c>
      <c r="Y79" s="140">
        <f>IF(Y$13="","",IF($B79="","",IFERROR(H79*$E79/100,"")))</f>
        <v/>
      </c>
      <c r="Z79" s="140">
        <f>IF(Z$13="","",IF($B79="","",IFERROR(I79*$E79/100,"")))</f>
        <v/>
      </c>
      <c r="AA79" s="140">
        <f>IF(AA$13="","",IF($B79="","",IFERROR(J79*$E79/100,"")))</f>
        <v/>
      </c>
      <c r="AB79" s="140">
        <f>IF(AB$13="","",IF($B79="","",IFERROR(K79*$E79/100,"")))</f>
        <v/>
      </c>
      <c r="AC79" s="140">
        <f>IF(AC$13="","",IF($B79="","",IFERROR(L79*$E79/100,"")))</f>
        <v/>
      </c>
      <c r="AD79" s="140">
        <f>IF(AD$13="","",IF($B79="","",IFERROR(M79*$E79/100,"")))</f>
        <v/>
      </c>
      <c r="AE79" s="140">
        <f>IF(AE$13="","",IF($B79="","",IFERROR(N79*$E79/100,"")))</f>
        <v/>
      </c>
      <c r="AF79" s="140">
        <f>IF(AF$13="","",IF($B79="","",IFERROR(O79*$E79/100,"")))</f>
        <v/>
      </c>
      <c r="AG79" s="140">
        <f>IF(AG$13="","",IF($B79="","",IFERROR(P79*$E79/100,"")))</f>
        <v/>
      </c>
      <c r="AH79" s="140">
        <f>IF(AH$13="","",IF($B79="","",IFERROR(Q79*$E79/100,"")))</f>
        <v/>
      </c>
      <c r="AI79" s="140">
        <f>IF(AI$13="","",IF($B79="","",IFERROR(R79*$E79/100,"")))</f>
        <v/>
      </c>
      <c r="AJ79" s="140">
        <f>IF(AJ$13="","",IF($B79="","",IFERROR(S79*$E79/100,"")))</f>
        <v/>
      </c>
      <c r="AK79" s="140">
        <f>IF(AK$13="","",IF($B79="","",IFERROR(T79*$E79/100,"")))</f>
        <v/>
      </c>
      <c r="AL79" s="140">
        <f>IF(AL$13="","",IF($B79="","",IFERROR(U79*$E79/100,"")))</f>
        <v/>
      </c>
      <c r="AN79" s="140">
        <f>IF($B79="","",SUMIF($F$13:$U$13,"&lt;="&amp;Sector!$D$51,$F79:$U79))</f>
        <v/>
      </c>
      <c r="AO79" s="140">
        <f>IF($B79="","",SUMIF($W$13:$AL$13,"&lt;="&amp;Sector!$D$51,$W79:$AL79))</f>
        <v/>
      </c>
    </row>
    <row r="80">
      <c r="B80" s="5">
        <f>IF(AS51!$C$70="","",AS51!$C$70)</f>
        <v/>
      </c>
      <c r="C80" s="90">
        <f>IF(AS51!$B$70="","",AS51!$B$70)</f>
        <v/>
      </c>
      <c r="D80" s="138">
        <f>IFERROR(AS51!$Q$70,1)</f>
        <v/>
      </c>
      <c r="E80" s="139">
        <f>IF($B80="","",IF(ISNUMBER(AS51!$I$70),AS51!$I$70,'Index Summary'!$C$7))</f>
        <v/>
      </c>
      <c r="F80" s="140">
        <f>IF(F$13="","",IF($B80="","",IFERROR($C80*$D80*IF((Override!$C$4="ON")*(COUNTIFS(Override!$B$11:$B$40,$B80,Override!$D$11:$D$40,1,Override!$E$11:$E$40,"&gt;=0")-COUNTIFS(Override!$B$11:$B$40,$B80,Override!$D$11:$D$40,1,Override!$E$11:$E$40,"&gt;=0",Override!$C$11:$C$40,"MXAU"))&gt;0,SUMIFS(Override!$E$11:$E$40,Override!$B$11:$B$40,$B80,Override!$D$11:$D$40,1)-SUMIFS(Override!$E$11:$E$40,Override!$B$11:$B$40,$B80,Override!$D$11:$D$40,1,Override!$C$11:$C$40,"MXAU"),Override!$C$115)/AS51!$B$3,"")))</f>
        <v/>
      </c>
      <c r="G80" s="140">
        <f>IF(G$13="","",IF($B80="","",IFERROR($C80*$D80*IF((Override!$C$4="ON")*(COUNTIFS(Override!$B$11:$B$40,$B80,Override!$D$11:$D$40,2,Override!$E$11:$E$40,"&gt;=0")-COUNTIFS(Override!$B$11:$B$40,$B80,Override!$D$11:$D$40,2,Override!$E$11:$E$40,"&gt;=0",Override!$C$11:$C$40,"MXAU"))&gt;0,SUMIFS(Override!$E$11:$E$40,Override!$B$11:$B$40,$B80,Override!$D$11:$D$40,2)-SUMIFS(Override!$E$11:$E$40,Override!$B$11:$B$40,$B80,Override!$D$11:$D$40,2,Override!$C$11:$C$40,"MXAU"),Override!$D$115)/AS51!$B$3,"")))</f>
        <v/>
      </c>
      <c r="H80" s="140">
        <f>IF(H$13="","",IF($B80="","",IFERROR($C80*$D80*IF((Override!$C$4="ON")*(COUNTIFS(Override!$B$11:$B$40,$B80,Override!$D$11:$D$40,3,Override!$E$11:$E$40,"&gt;=0")-COUNTIFS(Override!$B$11:$B$40,$B80,Override!$D$11:$D$40,3,Override!$E$11:$E$40,"&gt;=0",Override!$C$11:$C$40,"MXAU"))&gt;0,SUMIFS(Override!$E$11:$E$40,Override!$B$11:$B$40,$B80,Override!$D$11:$D$40,3)-SUMIFS(Override!$E$11:$E$40,Override!$B$11:$B$40,$B80,Override!$D$11:$D$40,3,Override!$C$11:$C$40,"MXAU"),Override!$E$115)/AS51!$B$3,"")))</f>
        <v/>
      </c>
      <c r="I80" s="140">
        <f>IF(I$13="","",IF($B80="","",IFERROR($C80*$D80*IF((Override!$C$4="ON")*(COUNTIFS(Override!$B$11:$B$40,$B80,Override!$D$11:$D$40,4,Override!$E$11:$E$40,"&gt;=0")-COUNTIFS(Override!$B$11:$B$40,$B80,Override!$D$11:$D$40,4,Override!$E$11:$E$40,"&gt;=0",Override!$C$11:$C$40,"MXAU"))&gt;0,SUMIFS(Override!$E$11:$E$40,Override!$B$11:$B$40,$B80,Override!$D$11:$D$40,4)-SUMIFS(Override!$E$11:$E$40,Override!$B$11:$B$40,$B80,Override!$D$11:$D$40,4,Override!$C$11:$C$40,"MXAU"),Override!$F$115)/AS51!$B$3,"")))</f>
        <v/>
      </c>
      <c r="J80" s="140">
        <f>IF(J$13="","",IF($B80="","",IFERROR($C80*$D80*IF((Override!$C$4="ON")*(COUNTIFS(Override!$B$11:$B$40,$B80,Override!$D$11:$D$40,5,Override!$E$11:$E$40,"&gt;=0")-COUNTIFS(Override!$B$11:$B$40,$B80,Override!$D$11:$D$40,5,Override!$E$11:$E$40,"&gt;=0",Override!$C$11:$C$40,"MXAU"))&gt;0,SUMIFS(Override!$E$11:$E$40,Override!$B$11:$B$40,$B80,Override!$D$11:$D$40,5)-SUMIFS(Override!$E$11:$E$40,Override!$B$11:$B$40,$B80,Override!$D$11:$D$40,5,Override!$C$11:$C$40,"MXAU"),Override!$G$115)/AS51!$B$3,"")))</f>
        <v/>
      </c>
      <c r="K80" s="140">
        <f>IF(K$13="","",IF($B80="","",IFERROR($C80*$D80*IF((Override!$C$4="ON")*(COUNTIFS(Override!$B$11:$B$40,$B80,Override!$D$11:$D$40,6,Override!$E$11:$E$40,"&gt;=0")-COUNTIFS(Override!$B$11:$B$40,$B80,Override!$D$11:$D$40,6,Override!$E$11:$E$40,"&gt;=0",Override!$C$11:$C$40,"MXAU"))&gt;0,SUMIFS(Override!$E$11:$E$40,Override!$B$11:$B$40,$B80,Override!$D$11:$D$40,6)-SUMIFS(Override!$E$11:$E$40,Override!$B$11:$B$40,$B80,Override!$D$11:$D$40,6,Override!$C$11:$C$40,"MXAU"),Override!$H$115)/AS51!$B$3,"")))</f>
        <v/>
      </c>
      <c r="L80" s="140">
        <f>IF(L$13="","",IF($B80="","",IFERROR($C80*$D80*IF((Override!$C$4="ON")*(COUNTIFS(Override!$B$11:$B$40,$B80,Override!$D$11:$D$40,7,Override!$E$11:$E$40,"&gt;=0")-COUNTIFS(Override!$B$11:$B$40,$B80,Override!$D$11:$D$40,7,Override!$E$11:$E$40,"&gt;=0",Override!$C$11:$C$40,"MXAU"))&gt;0,SUMIFS(Override!$E$11:$E$40,Override!$B$11:$B$40,$B80,Override!$D$11:$D$40,7)-SUMIFS(Override!$E$11:$E$40,Override!$B$11:$B$40,$B80,Override!$D$11:$D$40,7,Override!$C$11:$C$40,"MXAU"),Override!$I$115)/AS51!$B$3,"")))</f>
        <v/>
      </c>
      <c r="M80" s="140">
        <f>IF(M$13="","",IF($B80="","",IFERROR($C80*$D80*IF((Override!$C$4="ON")*(COUNTIFS(Override!$B$11:$B$40,$B80,Override!$D$11:$D$40,8,Override!$E$11:$E$40,"&gt;=0")-COUNTIFS(Override!$B$11:$B$40,$B80,Override!$D$11:$D$40,8,Override!$E$11:$E$40,"&gt;=0",Override!$C$11:$C$40,"MXAU"))&gt;0,SUMIFS(Override!$E$11:$E$40,Override!$B$11:$B$40,$B80,Override!$D$11:$D$40,8)-SUMIFS(Override!$E$11:$E$40,Override!$B$11:$B$40,$B80,Override!$D$11:$D$40,8,Override!$C$11:$C$40,"MXAU"),Override!$J$115)/AS51!$B$3,"")))</f>
        <v/>
      </c>
      <c r="N80" s="140">
        <f>IF(N$13="","",IF($B80="","",IFERROR($C80*$D80*IF((Override!$C$4="ON")*(COUNTIFS(Override!$B$11:$B$40,$B80,Override!$D$11:$D$40,9,Override!$E$11:$E$40,"&gt;=0")-COUNTIFS(Override!$B$11:$B$40,$B80,Override!$D$11:$D$40,9,Override!$E$11:$E$40,"&gt;=0",Override!$C$11:$C$40,"MXAU"))&gt;0,SUMIFS(Override!$E$11:$E$40,Override!$B$11:$B$40,$B80,Override!$D$11:$D$40,9)-SUMIFS(Override!$E$11:$E$40,Override!$B$11:$B$40,$B80,Override!$D$11:$D$40,9,Override!$C$11:$C$40,"MXAU"),Override!$K$115)/AS51!$B$3,"")))</f>
        <v/>
      </c>
      <c r="O80" s="140">
        <f>IF(O$13="","",IF($B80="","",IFERROR($C80*$D80*IF((Override!$C$4="ON")*(COUNTIFS(Override!$B$11:$B$40,$B80,Override!$D$11:$D$40,10,Override!$E$11:$E$40,"&gt;=0")-COUNTIFS(Override!$B$11:$B$40,$B80,Override!$D$11:$D$40,10,Override!$E$11:$E$40,"&gt;=0",Override!$C$11:$C$40,"MXAU"))&gt;0,SUMIFS(Override!$E$11:$E$40,Override!$B$11:$B$40,$B80,Override!$D$11:$D$40,10)-SUMIFS(Override!$E$11:$E$40,Override!$B$11:$B$40,$B80,Override!$D$11:$D$40,10,Override!$C$11:$C$40,"MXAU"),Override!$L$115)/AS51!$B$3,"")))</f>
        <v/>
      </c>
      <c r="P80" s="140">
        <f>IF(P$13="","",IF($B80="","",IFERROR($C80*$D80*IF((Override!$C$4="ON")*(COUNTIFS(Override!$B$11:$B$40,$B80,Override!$D$11:$D$40,11,Override!$E$11:$E$40,"&gt;=0")-COUNTIFS(Override!$B$11:$B$40,$B80,Override!$D$11:$D$40,11,Override!$E$11:$E$40,"&gt;=0",Override!$C$11:$C$40,"MXAU"))&gt;0,SUMIFS(Override!$E$11:$E$40,Override!$B$11:$B$40,$B80,Override!$D$11:$D$40,11)-SUMIFS(Override!$E$11:$E$40,Override!$B$11:$B$40,$B80,Override!$D$11:$D$40,11,Override!$C$11:$C$40,"MXAU"),Override!$M$115)/AS51!$B$3,"")))</f>
        <v/>
      </c>
      <c r="Q80" s="140">
        <f>IF(Q$13="","",IF($B80="","",IFERROR($C80*$D80*IF((Override!$C$4="ON")*(COUNTIFS(Override!$B$11:$B$40,$B80,Override!$D$11:$D$40,12,Override!$E$11:$E$40,"&gt;=0")-COUNTIFS(Override!$B$11:$B$40,$B80,Override!$D$11:$D$40,12,Override!$E$11:$E$40,"&gt;=0",Override!$C$11:$C$40,"MXAU"))&gt;0,SUMIFS(Override!$E$11:$E$40,Override!$B$11:$B$40,$B80,Override!$D$11:$D$40,12)-SUMIFS(Override!$E$11:$E$40,Override!$B$11:$B$40,$B80,Override!$D$11:$D$40,12,Override!$C$11:$C$40,"MXAU"),Override!$N$115)/AS51!$B$3,"")))</f>
        <v/>
      </c>
      <c r="R80" s="140">
        <f>IF(R$13="","",IF($B80="","",IFERROR($C80*$D80*IF((Override!$C$4="ON")*(COUNTIFS(Override!$B$11:$B$40,$B80,Override!$D$11:$D$40,13,Override!$E$11:$E$40,"&gt;=0")-COUNTIFS(Override!$B$11:$B$40,$B80,Override!$D$11:$D$40,13,Override!$E$11:$E$40,"&gt;=0",Override!$C$11:$C$40,"MXAU"))&gt;0,SUMIFS(Override!$E$11:$E$40,Override!$B$11:$B$40,$B80,Override!$D$11:$D$40,13)-SUMIFS(Override!$E$11:$E$40,Override!$B$11:$B$40,$B80,Override!$D$11:$D$40,13,Override!$C$11:$C$40,"MXAU"),Override!$O$115)/AS51!$B$3,"")))</f>
        <v/>
      </c>
      <c r="S80" s="140">
        <f>IF(S$13="","",IF($B80="","",IFERROR($C80*$D80*IF((Override!$C$4="ON")*(COUNTIFS(Override!$B$11:$B$40,$B80,Override!$D$11:$D$40,14,Override!$E$11:$E$40,"&gt;=0")-COUNTIFS(Override!$B$11:$B$40,$B80,Override!$D$11:$D$40,14,Override!$E$11:$E$40,"&gt;=0",Override!$C$11:$C$40,"MXAU"))&gt;0,SUMIFS(Override!$E$11:$E$40,Override!$B$11:$B$40,$B80,Override!$D$11:$D$40,14)-SUMIFS(Override!$E$11:$E$40,Override!$B$11:$B$40,$B80,Override!$D$11:$D$40,14,Override!$C$11:$C$40,"MXAU"),Override!$P$115)/AS51!$B$3,"")))</f>
        <v/>
      </c>
      <c r="T80" s="140">
        <f>IF(T$13="","",IF($B80="","",IFERROR($C80*$D80*IF((Override!$C$4="ON")*(COUNTIFS(Override!$B$11:$B$40,$B80,Override!$D$11:$D$40,15,Override!$E$11:$E$40,"&gt;=0")-COUNTIFS(Override!$B$11:$B$40,$B80,Override!$D$11:$D$40,15,Override!$E$11:$E$40,"&gt;=0",Override!$C$11:$C$40,"MXAU"))&gt;0,SUMIFS(Override!$E$11:$E$40,Override!$B$11:$B$40,$B80,Override!$D$11:$D$40,15)-SUMIFS(Override!$E$11:$E$40,Override!$B$11:$B$40,$B80,Override!$D$11:$D$40,15,Override!$C$11:$C$40,"MXAU"),Override!$Q$115)/AS51!$B$3,"")))</f>
        <v/>
      </c>
      <c r="U80" s="140">
        <f>IF(U$13="","",IF($B80="","",IFERROR($C80*$D80*IF((Override!$C$4="ON")*(COUNTIFS(Override!$B$11:$B$40,$B80,Override!$D$11:$D$40,16,Override!$E$11:$E$40,"&gt;=0")-COUNTIFS(Override!$B$11:$B$40,$B80,Override!$D$11:$D$40,16,Override!$E$11:$E$40,"&gt;=0",Override!$C$11:$C$40,"MXAU"))&gt;0,SUMIFS(Override!$E$11:$E$40,Override!$B$11:$B$40,$B80,Override!$D$11:$D$40,16)-SUMIFS(Override!$E$11:$E$40,Override!$B$11:$B$40,$B80,Override!$D$11:$D$40,16,Override!$C$11:$C$40,"MXAU"),Override!$R$115)/AS51!$B$3,"")))</f>
        <v/>
      </c>
      <c r="W80" s="140">
        <f>IF(W$13="","",IF($B80="","",IFERROR(F80*$E80/100,"")))</f>
        <v/>
      </c>
      <c r="X80" s="140">
        <f>IF(X$13="","",IF($B80="","",IFERROR(G80*$E80/100,"")))</f>
        <v/>
      </c>
      <c r="Y80" s="140">
        <f>IF(Y$13="","",IF($B80="","",IFERROR(H80*$E80/100,"")))</f>
        <v/>
      </c>
      <c r="Z80" s="140">
        <f>IF(Z$13="","",IF($B80="","",IFERROR(I80*$E80/100,"")))</f>
        <v/>
      </c>
      <c r="AA80" s="140">
        <f>IF(AA$13="","",IF($B80="","",IFERROR(J80*$E80/100,"")))</f>
        <v/>
      </c>
      <c r="AB80" s="140">
        <f>IF(AB$13="","",IF($B80="","",IFERROR(K80*$E80/100,"")))</f>
        <v/>
      </c>
      <c r="AC80" s="140">
        <f>IF(AC$13="","",IF($B80="","",IFERROR(L80*$E80/100,"")))</f>
        <v/>
      </c>
      <c r="AD80" s="140">
        <f>IF(AD$13="","",IF($B80="","",IFERROR(M80*$E80/100,"")))</f>
        <v/>
      </c>
      <c r="AE80" s="140">
        <f>IF(AE$13="","",IF($B80="","",IFERROR(N80*$E80/100,"")))</f>
        <v/>
      </c>
      <c r="AF80" s="140">
        <f>IF(AF$13="","",IF($B80="","",IFERROR(O80*$E80/100,"")))</f>
        <v/>
      </c>
      <c r="AG80" s="140">
        <f>IF(AG$13="","",IF($B80="","",IFERROR(P80*$E80/100,"")))</f>
        <v/>
      </c>
      <c r="AH80" s="140">
        <f>IF(AH$13="","",IF($B80="","",IFERROR(Q80*$E80/100,"")))</f>
        <v/>
      </c>
      <c r="AI80" s="140">
        <f>IF(AI$13="","",IF($B80="","",IFERROR(R80*$E80/100,"")))</f>
        <v/>
      </c>
      <c r="AJ80" s="140">
        <f>IF(AJ$13="","",IF($B80="","",IFERROR(S80*$E80/100,"")))</f>
        <v/>
      </c>
      <c r="AK80" s="140">
        <f>IF(AK$13="","",IF($B80="","",IFERROR(T80*$E80/100,"")))</f>
        <v/>
      </c>
      <c r="AL80" s="140">
        <f>IF(AL$13="","",IF($B80="","",IFERROR(U80*$E80/100,"")))</f>
        <v/>
      </c>
      <c r="AN80" s="140">
        <f>IF($B80="","",SUMIF($F$13:$U$13,"&lt;="&amp;Sector!$D$51,$F80:$U80))</f>
        <v/>
      </c>
      <c r="AO80" s="140">
        <f>IF($B80="","",SUMIF($W$13:$AL$13,"&lt;="&amp;Sector!$D$51,$W80:$AL80))</f>
        <v/>
      </c>
    </row>
    <row r="81">
      <c r="B81" s="5">
        <f>IF(AS51!$C$71="","",AS51!$C$71)</f>
        <v/>
      </c>
      <c r="C81" s="90">
        <f>IF(AS51!$B$71="","",AS51!$B$71)</f>
        <v/>
      </c>
      <c r="D81" s="138">
        <f>IFERROR(AS51!$Q$71,1)</f>
        <v/>
      </c>
      <c r="E81" s="139">
        <f>IF($B81="","",IF(ISNUMBER(AS51!$I$71),AS51!$I$71,'Index Summary'!$C$7))</f>
        <v/>
      </c>
      <c r="F81" s="140">
        <f>IF(F$13="","",IF($B81="","",IFERROR($C81*$D81*IF((Override!$C$4="ON")*(COUNTIFS(Override!$B$11:$B$40,$B81,Override!$D$11:$D$40,1,Override!$E$11:$E$40,"&gt;=0")-COUNTIFS(Override!$B$11:$B$40,$B81,Override!$D$11:$D$40,1,Override!$E$11:$E$40,"&gt;=0",Override!$C$11:$C$40,"MXAU"))&gt;0,SUMIFS(Override!$E$11:$E$40,Override!$B$11:$B$40,$B81,Override!$D$11:$D$40,1)-SUMIFS(Override!$E$11:$E$40,Override!$B$11:$B$40,$B81,Override!$D$11:$D$40,1,Override!$C$11:$C$40,"MXAU"),Override!$C$116)/AS51!$B$3,"")))</f>
        <v/>
      </c>
      <c r="G81" s="140">
        <f>IF(G$13="","",IF($B81="","",IFERROR($C81*$D81*IF((Override!$C$4="ON")*(COUNTIFS(Override!$B$11:$B$40,$B81,Override!$D$11:$D$40,2,Override!$E$11:$E$40,"&gt;=0")-COUNTIFS(Override!$B$11:$B$40,$B81,Override!$D$11:$D$40,2,Override!$E$11:$E$40,"&gt;=0",Override!$C$11:$C$40,"MXAU"))&gt;0,SUMIFS(Override!$E$11:$E$40,Override!$B$11:$B$40,$B81,Override!$D$11:$D$40,2)-SUMIFS(Override!$E$11:$E$40,Override!$B$11:$B$40,$B81,Override!$D$11:$D$40,2,Override!$C$11:$C$40,"MXAU"),Override!$D$116)/AS51!$B$3,"")))</f>
        <v/>
      </c>
      <c r="H81" s="140">
        <f>IF(H$13="","",IF($B81="","",IFERROR($C81*$D81*IF((Override!$C$4="ON")*(COUNTIFS(Override!$B$11:$B$40,$B81,Override!$D$11:$D$40,3,Override!$E$11:$E$40,"&gt;=0")-COUNTIFS(Override!$B$11:$B$40,$B81,Override!$D$11:$D$40,3,Override!$E$11:$E$40,"&gt;=0",Override!$C$11:$C$40,"MXAU"))&gt;0,SUMIFS(Override!$E$11:$E$40,Override!$B$11:$B$40,$B81,Override!$D$11:$D$40,3)-SUMIFS(Override!$E$11:$E$40,Override!$B$11:$B$40,$B81,Override!$D$11:$D$40,3,Override!$C$11:$C$40,"MXAU"),Override!$E$116)/AS51!$B$3,"")))</f>
        <v/>
      </c>
      <c r="I81" s="140">
        <f>IF(I$13="","",IF($B81="","",IFERROR($C81*$D81*IF((Override!$C$4="ON")*(COUNTIFS(Override!$B$11:$B$40,$B81,Override!$D$11:$D$40,4,Override!$E$11:$E$40,"&gt;=0")-COUNTIFS(Override!$B$11:$B$40,$B81,Override!$D$11:$D$40,4,Override!$E$11:$E$40,"&gt;=0",Override!$C$11:$C$40,"MXAU"))&gt;0,SUMIFS(Override!$E$11:$E$40,Override!$B$11:$B$40,$B81,Override!$D$11:$D$40,4)-SUMIFS(Override!$E$11:$E$40,Override!$B$11:$B$40,$B81,Override!$D$11:$D$40,4,Override!$C$11:$C$40,"MXAU"),Override!$F$116)/AS51!$B$3,"")))</f>
        <v/>
      </c>
      <c r="J81" s="140">
        <f>IF(J$13="","",IF($B81="","",IFERROR($C81*$D81*IF((Override!$C$4="ON")*(COUNTIFS(Override!$B$11:$B$40,$B81,Override!$D$11:$D$40,5,Override!$E$11:$E$40,"&gt;=0")-COUNTIFS(Override!$B$11:$B$40,$B81,Override!$D$11:$D$40,5,Override!$E$11:$E$40,"&gt;=0",Override!$C$11:$C$40,"MXAU"))&gt;0,SUMIFS(Override!$E$11:$E$40,Override!$B$11:$B$40,$B81,Override!$D$11:$D$40,5)-SUMIFS(Override!$E$11:$E$40,Override!$B$11:$B$40,$B81,Override!$D$11:$D$40,5,Override!$C$11:$C$40,"MXAU"),Override!$G$116)/AS51!$B$3,"")))</f>
        <v/>
      </c>
      <c r="K81" s="140">
        <f>IF(K$13="","",IF($B81="","",IFERROR($C81*$D81*IF((Override!$C$4="ON")*(COUNTIFS(Override!$B$11:$B$40,$B81,Override!$D$11:$D$40,6,Override!$E$11:$E$40,"&gt;=0")-COUNTIFS(Override!$B$11:$B$40,$B81,Override!$D$11:$D$40,6,Override!$E$11:$E$40,"&gt;=0",Override!$C$11:$C$40,"MXAU"))&gt;0,SUMIFS(Override!$E$11:$E$40,Override!$B$11:$B$40,$B81,Override!$D$11:$D$40,6)-SUMIFS(Override!$E$11:$E$40,Override!$B$11:$B$40,$B81,Override!$D$11:$D$40,6,Override!$C$11:$C$40,"MXAU"),Override!$H$116)/AS51!$B$3,"")))</f>
        <v/>
      </c>
      <c r="L81" s="140">
        <f>IF(L$13="","",IF($B81="","",IFERROR($C81*$D81*IF((Override!$C$4="ON")*(COUNTIFS(Override!$B$11:$B$40,$B81,Override!$D$11:$D$40,7,Override!$E$11:$E$40,"&gt;=0")-COUNTIFS(Override!$B$11:$B$40,$B81,Override!$D$11:$D$40,7,Override!$E$11:$E$40,"&gt;=0",Override!$C$11:$C$40,"MXAU"))&gt;0,SUMIFS(Override!$E$11:$E$40,Override!$B$11:$B$40,$B81,Override!$D$11:$D$40,7)-SUMIFS(Override!$E$11:$E$40,Override!$B$11:$B$40,$B81,Override!$D$11:$D$40,7,Override!$C$11:$C$40,"MXAU"),Override!$I$116)/AS51!$B$3,"")))</f>
        <v/>
      </c>
      <c r="M81" s="140">
        <f>IF(M$13="","",IF($B81="","",IFERROR($C81*$D81*IF((Override!$C$4="ON")*(COUNTIFS(Override!$B$11:$B$40,$B81,Override!$D$11:$D$40,8,Override!$E$11:$E$40,"&gt;=0")-COUNTIFS(Override!$B$11:$B$40,$B81,Override!$D$11:$D$40,8,Override!$E$11:$E$40,"&gt;=0",Override!$C$11:$C$40,"MXAU"))&gt;0,SUMIFS(Override!$E$11:$E$40,Override!$B$11:$B$40,$B81,Override!$D$11:$D$40,8)-SUMIFS(Override!$E$11:$E$40,Override!$B$11:$B$40,$B81,Override!$D$11:$D$40,8,Override!$C$11:$C$40,"MXAU"),Override!$J$116)/AS51!$B$3,"")))</f>
        <v/>
      </c>
      <c r="N81" s="140">
        <f>IF(N$13="","",IF($B81="","",IFERROR($C81*$D81*IF((Override!$C$4="ON")*(COUNTIFS(Override!$B$11:$B$40,$B81,Override!$D$11:$D$40,9,Override!$E$11:$E$40,"&gt;=0")-COUNTIFS(Override!$B$11:$B$40,$B81,Override!$D$11:$D$40,9,Override!$E$11:$E$40,"&gt;=0",Override!$C$11:$C$40,"MXAU"))&gt;0,SUMIFS(Override!$E$11:$E$40,Override!$B$11:$B$40,$B81,Override!$D$11:$D$40,9)-SUMIFS(Override!$E$11:$E$40,Override!$B$11:$B$40,$B81,Override!$D$11:$D$40,9,Override!$C$11:$C$40,"MXAU"),Override!$K$116)/AS51!$B$3,"")))</f>
        <v/>
      </c>
      <c r="O81" s="140">
        <f>IF(O$13="","",IF($B81="","",IFERROR($C81*$D81*IF((Override!$C$4="ON")*(COUNTIFS(Override!$B$11:$B$40,$B81,Override!$D$11:$D$40,10,Override!$E$11:$E$40,"&gt;=0")-COUNTIFS(Override!$B$11:$B$40,$B81,Override!$D$11:$D$40,10,Override!$E$11:$E$40,"&gt;=0",Override!$C$11:$C$40,"MXAU"))&gt;0,SUMIFS(Override!$E$11:$E$40,Override!$B$11:$B$40,$B81,Override!$D$11:$D$40,10)-SUMIFS(Override!$E$11:$E$40,Override!$B$11:$B$40,$B81,Override!$D$11:$D$40,10,Override!$C$11:$C$40,"MXAU"),Override!$L$116)/AS51!$B$3,"")))</f>
        <v/>
      </c>
      <c r="P81" s="140">
        <f>IF(P$13="","",IF($B81="","",IFERROR($C81*$D81*IF((Override!$C$4="ON")*(COUNTIFS(Override!$B$11:$B$40,$B81,Override!$D$11:$D$40,11,Override!$E$11:$E$40,"&gt;=0")-COUNTIFS(Override!$B$11:$B$40,$B81,Override!$D$11:$D$40,11,Override!$E$11:$E$40,"&gt;=0",Override!$C$11:$C$40,"MXAU"))&gt;0,SUMIFS(Override!$E$11:$E$40,Override!$B$11:$B$40,$B81,Override!$D$11:$D$40,11)-SUMIFS(Override!$E$11:$E$40,Override!$B$11:$B$40,$B81,Override!$D$11:$D$40,11,Override!$C$11:$C$40,"MXAU"),Override!$M$116)/AS51!$B$3,"")))</f>
        <v/>
      </c>
      <c r="Q81" s="140">
        <f>IF(Q$13="","",IF($B81="","",IFERROR($C81*$D81*IF((Override!$C$4="ON")*(COUNTIFS(Override!$B$11:$B$40,$B81,Override!$D$11:$D$40,12,Override!$E$11:$E$40,"&gt;=0")-COUNTIFS(Override!$B$11:$B$40,$B81,Override!$D$11:$D$40,12,Override!$E$11:$E$40,"&gt;=0",Override!$C$11:$C$40,"MXAU"))&gt;0,SUMIFS(Override!$E$11:$E$40,Override!$B$11:$B$40,$B81,Override!$D$11:$D$40,12)-SUMIFS(Override!$E$11:$E$40,Override!$B$11:$B$40,$B81,Override!$D$11:$D$40,12,Override!$C$11:$C$40,"MXAU"),Override!$N$116)/AS51!$B$3,"")))</f>
        <v/>
      </c>
      <c r="R81" s="140">
        <f>IF(R$13="","",IF($B81="","",IFERROR($C81*$D81*IF((Override!$C$4="ON")*(COUNTIFS(Override!$B$11:$B$40,$B81,Override!$D$11:$D$40,13,Override!$E$11:$E$40,"&gt;=0")-COUNTIFS(Override!$B$11:$B$40,$B81,Override!$D$11:$D$40,13,Override!$E$11:$E$40,"&gt;=0",Override!$C$11:$C$40,"MXAU"))&gt;0,SUMIFS(Override!$E$11:$E$40,Override!$B$11:$B$40,$B81,Override!$D$11:$D$40,13)-SUMIFS(Override!$E$11:$E$40,Override!$B$11:$B$40,$B81,Override!$D$11:$D$40,13,Override!$C$11:$C$40,"MXAU"),Override!$O$116)/AS51!$B$3,"")))</f>
        <v/>
      </c>
      <c r="S81" s="140">
        <f>IF(S$13="","",IF($B81="","",IFERROR($C81*$D81*IF((Override!$C$4="ON")*(COUNTIFS(Override!$B$11:$B$40,$B81,Override!$D$11:$D$40,14,Override!$E$11:$E$40,"&gt;=0")-COUNTIFS(Override!$B$11:$B$40,$B81,Override!$D$11:$D$40,14,Override!$E$11:$E$40,"&gt;=0",Override!$C$11:$C$40,"MXAU"))&gt;0,SUMIFS(Override!$E$11:$E$40,Override!$B$11:$B$40,$B81,Override!$D$11:$D$40,14)-SUMIFS(Override!$E$11:$E$40,Override!$B$11:$B$40,$B81,Override!$D$11:$D$40,14,Override!$C$11:$C$40,"MXAU"),Override!$P$116)/AS51!$B$3,"")))</f>
        <v/>
      </c>
      <c r="T81" s="140">
        <f>IF(T$13="","",IF($B81="","",IFERROR($C81*$D81*IF((Override!$C$4="ON")*(COUNTIFS(Override!$B$11:$B$40,$B81,Override!$D$11:$D$40,15,Override!$E$11:$E$40,"&gt;=0")-COUNTIFS(Override!$B$11:$B$40,$B81,Override!$D$11:$D$40,15,Override!$E$11:$E$40,"&gt;=0",Override!$C$11:$C$40,"MXAU"))&gt;0,SUMIFS(Override!$E$11:$E$40,Override!$B$11:$B$40,$B81,Override!$D$11:$D$40,15)-SUMIFS(Override!$E$11:$E$40,Override!$B$11:$B$40,$B81,Override!$D$11:$D$40,15,Override!$C$11:$C$40,"MXAU"),Override!$Q$116)/AS51!$B$3,"")))</f>
        <v/>
      </c>
      <c r="U81" s="140">
        <f>IF(U$13="","",IF($B81="","",IFERROR($C81*$D81*IF((Override!$C$4="ON")*(COUNTIFS(Override!$B$11:$B$40,$B81,Override!$D$11:$D$40,16,Override!$E$11:$E$40,"&gt;=0")-COUNTIFS(Override!$B$11:$B$40,$B81,Override!$D$11:$D$40,16,Override!$E$11:$E$40,"&gt;=0",Override!$C$11:$C$40,"MXAU"))&gt;0,SUMIFS(Override!$E$11:$E$40,Override!$B$11:$B$40,$B81,Override!$D$11:$D$40,16)-SUMIFS(Override!$E$11:$E$40,Override!$B$11:$B$40,$B81,Override!$D$11:$D$40,16,Override!$C$11:$C$40,"MXAU"),Override!$R$116)/AS51!$B$3,"")))</f>
        <v/>
      </c>
      <c r="W81" s="140">
        <f>IF(W$13="","",IF($B81="","",IFERROR(F81*$E81/100,"")))</f>
        <v/>
      </c>
      <c r="X81" s="140">
        <f>IF(X$13="","",IF($B81="","",IFERROR(G81*$E81/100,"")))</f>
        <v/>
      </c>
      <c r="Y81" s="140">
        <f>IF(Y$13="","",IF($B81="","",IFERROR(H81*$E81/100,"")))</f>
        <v/>
      </c>
      <c r="Z81" s="140">
        <f>IF(Z$13="","",IF($B81="","",IFERROR(I81*$E81/100,"")))</f>
        <v/>
      </c>
      <c r="AA81" s="140">
        <f>IF(AA$13="","",IF($B81="","",IFERROR(J81*$E81/100,"")))</f>
        <v/>
      </c>
      <c r="AB81" s="140">
        <f>IF(AB$13="","",IF($B81="","",IFERROR(K81*$E81/100,"")))</f>
        <v/>
      </c>
      <c r="AC81" s="140">
        <f>IF(AC$13="","",IF($B81="","",IFERROR(L81*$E81/100,"")))</f>
        <v/>
      </c>
      <c r="AD81" s="140">
        <f>IF(AD$13="","",IF($B81="","",IFERROR(M81*$E81/100,"")))</f>
        <v/>
      </c>
      <c r="AE81" s="140">
        <f>IF(AE$13="","",IF($B81="","",IFERROR(N81*$E81/100,"")))</f>
        <v/>
      </c>
      <c r="AF81" s="140">
        <f>IF(AF$13="","",IF($B81="","",IFERROR(O81*$E81/100,"")))</f>
        <v/>
      </c>
      <c r="AG81" s="140">
        <f>IF(AG$13="","",IF($B81="","",IFERROR(P81*$E81/100,"")))</f>
        <v/>
      </c>
      <c r="AH81" s="140">
        <f>IF(AH$13="","",IF($B81="","",IFERROR(Q81*$E81/100,"")))</f>
        <v/>
      </c>
      <c r="AI81" s="140">
        <f>IF(AI$13="","",IF($B81="","",IFERROR(R81*$E81/100,"")))</f>
        <v/>
      </c>
      <c r="AJ81" s="140">
        <f>IF(AJ$13="","",IF($B81="","",IFERROR(S81*$E81/100,"")))</f>
        <v/>
      </c>
      <c r="AK81" s="140">
        <f>IF(AK$13="","",IF($B81="","",IFERROR(T81*$E81/100,"")))</f>
        <v/>
      </c>
      <c r="AL81" s="140">
        <f>IF(AL$13="","",IF($B81="","",IFERROR(U81*$E81/100,"")))</f>
        <v/>
      </c>
      <c r="AN81" s="140">
        <f>IF($B81="","",SUMIF($F$13:$U$13,"&lt;="&amp;Sector!$D$51,$F81:$U81))</f>
        <v/>
      </c>
      <c r="AO81" s="140">
        <f>IF($B81="","",SUMIF($W$13:$AL$13,"&lt;="&amp;Sector!$D$51,$W81:$AL81))</f>
        <v/>
      </c>
    </row>
    <row r="82">
      <c r="B82" s="5">
        <f>IF(AS51!$C$72="","",AS51!$C$72)</f>
        <v/>
      </c>
      <c r="C82" s="90">
        <f>IF(AS51!$B$72="","",AS51!$B$72)</f>
        <v/>
      </c>
      <c r="D82" s="138">
        <f>IFERROR(AS51!$Q$72,1)</f>
        <v/>
      </c>
      <c r="E82" s="139">
        <f>IF($B82="","",IF(ISNUMBER(AS51!$I$72),AS51!$I$72,'Index Summary'!$C$7))</f>
        <v/>
      </c>
      <c r="F82" s="140">
        <f>IF(F$13="","",IF($B82="","",IFERROR($C82*$D82*IF((Override!$C$4="ON")*(COUNTIFS(Override!$B$11:$B$40,$B82,Override!$D$11:$D$40,1,Override!$E$11:$E$40,"&gt;=0")-COUNTIFS(Override!$B$11:$B$40,$B82,Override!$D$11:$D$40,1,Override!$E$11:$E$40,"&gt;=0",Override!$C$11:$C$40,"MXAU"))&gt;0,SUMIFS(Override!$E$11:$E$40,Override!$B$11:$B$40,$B82,Override!$D$11:$D$40,1)-SUMIFS(Override!$E$11:$E$40,Override!$B$11:$B$40,$B82,Override!$D$11:$D$40,1,Override!$C$11:$C$40,"MXAU"),Override!$C$117)/AS51!$B$3,"")))</f>
        <v/>
      </c>
      <c r="G82" s="140">
        <f>IF(G$13="","",IF($B82="","",IFERROR($C82*$D82*IF((Override!$C$4="ON")*(COUNTIFS(Override!$B$11:$B$40,$B82,Override!$D$11:$D$40,2,Override!$E$11:$E$40,"&gt;=0")-COUNTIFS(Override!$B$11:$B$40,$B82,Override!$D$11:$D$40,2,Override!$E$11:$E$40,"&gt;=0",Override!$C$11:$C$40,"MXAU"))&gt;0,SUMIFS(Override!$E$11:$E$40,Override!$B$11:$B$40,$B82,Override!$D$11:$D$40,2)-SUMIFS(Override!$E$11:$E$40,Override!$B$11:$B$40,$B82,Override!$D$11:$D$40,2,Override!$C$11:$C$40,"MXAU"),Override!$D$117)/AS51!$B$3,"")))</f>
        <v/>
      </c>
      <c r="H82" s="140">
        <f>IF(H$13="","",IF($B82="","",IFERROR($C82*$D82*IF((Override!$C$4="ON")*(COUNTIFS(Override!$B$11:$B$40,$B82,Override!$D$11:$D$40,3,Override!$E$11:$E$40,"&gt;=0")-COUNTIFS(Override!$B$11:$B$40,$B82,Override!$D$11:$D$40,3,Override!$E$11:$E$40,"&gt;=0",Override!$C$11:$C$40,"MXAU"))&gt;0,SUMIFS(Override!$E$11:$E$40,Override!$B$11:$B$40,$B82,Override!$D$11:$D$40,3)-SUMIFS(Override!$E$11:$E$40,Override!$B$11:$B$40,$B82,Override!$D$11:$D$40,3,Override!$C$11:$C$40,"MXAU"),Override!$E$117)/AS51!$B$3,"")))</f>
        <v/>
      </c>
      <c r="I82" s="140">
        <f>IF(I$13="","",IF($B82="","",IFERROR($C82*$D82*IF((Override!$C$4="ON")*(COUNTIFS(Override!$B$11:$B$40,$B82,Override!$D$11:$D$40,4,Override!$E$11:$E$40,"&gt;=0")-COUNTIFS(Override!$B$11:$B$40,$B82,Override!$D$11:$D$40,4,Override!$E$11:$E$40,"&gt;=0",Override!$C$11:$C$40,"MXAU"))&gt;0,SUMIFS(Override!$E$11:$E$40,Override!$B$11:$B$40,$B82,Override!$D$11:$D$40,4)-SUMIFS(Override!$E$11:$E$40,Override!$B$11:$B$40,$B82,Override!$D$11:$D$40,4,Override!$C$11:$C$40,"MXAU"),Override!$F$117)/AS51!$B$3,"")))</f>
        <v/>
      </c>
      <c r="J82" s="140">
        <f>IF(J$13="","",IF($B82="","",IFERROR($C82*$D82*IF((Override!$C$4="ON")*(COUNTIFS(Override!$B$11:$B$40,$B82,Override!$D$11:$D$40,5,Override!$E$11:$E$40,"&gt;=0")-COUNTIFS(Override!$B$11:$B$40,$B82,Override!$D$11:$D$40,5,Override!$E$11:$E$40,"&gt;=0",Override!$C$11:$C$40,"MXAU"))&gt;0,SUMIFS(Override!$E$11:$E$40,Override!$B$11:$B$40,$B82,Override!$D$11:$D$40,5)-SUMIFS(Override!$E$11:$E$40,Override!$B$11:$B$40,$B82,Override!$D$11:$D$40,5,Override!$C$11:$C$40,"MXAU"),Override!$G$117)/AS51!$B$3,"")))</f>
        <v/>
      </c>
      <c r="K82" s="140">
        <f>IF(K$13="","",IF($B82="","",IFERROR($C82*$D82*IF((Override!$C$4="ON")*(COUNTIFS(Override!$B$11:$B$40,$B82,Override!$D$11:$D$40,6,Override!$E$11:$E$40,"&gt;=0")-COUNTIFS(Override!$B$11:$B$40,$B82,Override!$D$11:$D$40,6,Override!$E$11:$E$40,"&gt;=0",Override!$C$11:$C$40,"MXAU"))&gt;0,SUMIFS(Override!$E$11:$E$40,Override!$B$11:$B$40,$B82,Override!$D$11:$D$40,6)-SUMIFS(Override!$E$11:$E$40,Override!$B$11:$B$40,$B82,Override!$D$11:$D$40,6,Override!$C$11:$C$40,"MXAU"),Override!$H$117)/AS51!$B$3,"")))</f>
        <v/>
      </c>
      <c r="L82" s="140">
        <f>IF(L$13="","",IF($B82="","",IFERROR($C82*$D82*IF((Override!$C$4="ON")*(COUNTIFS(Override!$B$11:$B$40,$B82,Override!$D$11:$D$40,7,Override!$E$11:$E$40,"&gt;=0")-COUNTIFS(Override!$B$11:$B$40,$B82,Override!$D$11:$D$40,7,Override!$E$11:$E$40,"&gt;=0",Override!$C$11:$C$40,"MXAU"))&gt;0,SUMIFS(Override!$E$11:$E$40,Override!$B$11:$B$40,$B82,Override!$D$11:$D$40,7)-SUMIFS(Override!$E$11:$E$40,Override!$B$11:$B$40,$B82,Override!$D$11:$D$40,7,Override!$C$11:$C$40,"MXAU"),Override!$I$117)/AS51!$B$3,"")))</f>
        <v/>
      </c>
      <c r="M82" s="140">
        <f>IF(M$13="","",IF($B82="","",IFERROR($C82*$D82*IF((Override!$C$4="ON")*(COUNTIFS(Override!$B$11:$B$40,$B82,Override!$D$11:$D$40,8,Override!$E$11:$E$40,"&gt;=0")-COUNTIFS(Override!$B$11:$B$40,$B82,Override!$D$11:$D$40,8,Override!$E$11:$E$40,"&gt;=0",Override!$C$11:$C$40,"MXAU"))&gt;0,SUMIFS(Override!$E$11:$E$40,Override!$B$11:$B$40,$B82,Override!$D$11:$D$40,8)-SUMIFS(Override!$E$11:$E$40,Override!$B$11:$B$40,$B82,Override!$D$11:$D$40,8,Override!$C$11:$C$40,"MXAU"),Override!$J$117)/AS51!$B$3,"")))</f>
        <v/>
      </c>
      <c r="N82" s="140">
        <f>IF(N$13="","",IF($B82="","",IFERROR($C82*$D82*IF((Override!$C$4="ON")*(COUNTIFS(Override!$B$11:$B$40,$B82,Override!$D$11:$D$40,9,Override!$E$11:$E$40,"&gt;=0")-COUNTIFS(Override!$B$11:$B$40,$B82,Override!$D$11:$D$40,9,Override!$E$11:$E$40,"&gt;=0",Override!$C$11:$C$40,"MXAU"))&gt;0,SUMIFS(Override!$E$11:$E$40,Override!$B$11:$B$40,$B82,Override!$D$11:$D$40,9)-SUMIFS(Override!$E$11:$E$40,Override!$B$11:$B$40,$B82,Override!$D$11:$D$40,9,Override!$C$11:$C$40,"MXAU"),Override!$K$117)/AS51!$B$3,"")))</f>
        <v/>
      </c>
      <c r="O82" s="140">
        <f>IF(O$13="","",IF($B82="","",IFERROR($C82*$D82*IF((Override!$C$4="ON")*(COUNTIFS(Override!$B$11:$B$40,$B82,Override!$D$11:$D$40,10,Override!$E$11:$E$40,"&gt;=0")-COUNTIFS(Override!$B$11:$B$40,$B82,Override!$D$11:$D$40,10,Override!$E$11:$E$40,"&gt;=0",Override!$C$11:$C$40,"MXAU"))&gt;0,SUMIFS(Override!$E$11:$E$40,Override!$B$11:$B$40,$B82,Override!$D$11:$D$40,10)-SUMIFS(Override!$E$11:$E$40,Override!$B$11:$B$40,$B82,Override!$D$11:$D$40,10,Override!$C$11:$C$40,"MXAU"),Override!$L$117)/AS51!$B$3,"")))</f>
        <v/>
      </c>
      <c r="P82" s="140">
        <f>IF(P$13="","",IF($B82="","",IFERROR($C82*$D82*IF((Override!$C$4="ON")*(COUNTIFS(Override!$B$11:$B$40,$B82,Override!$D$11:$D$40,11,Override!$E$11:$E$40,"&gt;=0")-COUNTIFS(Override!$B$11:$B$40,$B82,Override!$D$11:$D$40,11,Override!$E$11:$E$40,"&gt;=0",Override!$C$11:$C$40,"MXAU"))&gt;0,SUMIFS(Override!$E$11:$E$40,Override!$B$11:$B$40,$B82,Override!$D$11:$D$40,11)-SUMIFS(Override!$E$11:$E$40,Override!$B$11:$B$40,$B82,Override!$D$11:$D$40,11,Override!$C$11:$C$40,"MXAU"),Override!$M$117)/AS51!$B$3,"")))</f>
        <v/>
      </c>
      <c r="Q82" s="140">
        <f>IF(Q$13="","",IF($B82="","",IFERROR($C82*$D82*IF((Override!$C$4="ON")*(COUNTIFS(Override!$B$11:$B$40,$B82,Override!$D$11:$D$40,12,Override!$E$11:$E$40,"&gt;=0")-COUNTIFS(Override!$B$11:$B$40,$B82,Override!$D$11:$D$40,12,Override!$E$11:$E$40,"&gt;=0",Override!$C$11:$C$40,"MXAU"))&gt;0,SUMIFS(Override!$E$11:$E$40,Override!$B$11:$B$40,$B82,Override!$D$11:$D$40,12)-SUMIFS(Override!$E$11:$E$40,Override!$B$11:$B$40,$B82,Override!$D$11:$D$40,12,Override!$C$11:$C$40,"MXAU"),Override!$N$117)/AS51!$B$3,"")))</f>
        <v/>
      </c>
      <c r="R82" s="140">
        <f>IF(R$13="","",IF($B82="","",IFERROR($C82*$D82*IF((Override!$C$4="ON")*(COUNTIFS(Override!$B$11:$B$40,$B82,Override!$D$11:$D$40,13,Override!$E$11:$E$40,"&gt;=0")-COUNTIFS(Override!$B$11:$B$40,$B82,Override!$D$11:$D$40,13,Override!$E$11:$E$40,"&gt;=0",Override!$C$11:$C$40,"MXAU"))&gt;0,SUMIFS(Override!$E$11:$E$40,Override!$B$11:$B$40,$B82,Override!$D$11:$D$40,13)-SUMIFS(Override!$E$11:$E$40,Override!$B$11:$B$40,$B82,Override!$D$11:$D$40,13,Override!$C$11:$C$40,"MXAU"),Override!$O$117)/AS51!$B$3,"")))</f>
        <v/>
      </c>
      <c r="S82" s="140">
        <f>IF(S$13="","",IF($B82="","",IFERROR($C82*$D82*IF((Override!$C$4="ON")*(COUNTIFS(Override!$B$11:$B$40,$B82,Override!$D$11:$D$40,14,Override!$E$11:$E$40,"&gt;=0")-COUNTIFS(Override!$B$11:$B$40,$B82,Override!$D$11:$D$40,14,Override!$E$11:$E$40,"&gt;=0",Override!$C$11:$C$40,"MXAU"))&gt;0,SUMIFS(Override!$E$11:$E$40,Override!$B$11:$B$40,$B82,Override!$D$11:$D$40,14)-SUMIFS(Override!$E$11:$E$40,Override!$B$11:$B$40,$B82,Override!$D$11:$D$40,14,Override!$C$11:$C$40,"MXAU"),Override!$P$117)/AS51!$B$3,"")))</f>
        <v/>
      </c>
      <c r="T82" s="140">
        <f>IF(T$13="","",IF($B82="","",IFERROR($C82*$D82*IF((Override!$C$4="ON")*(COUNTIFS(Override!$B$11:$B$40,$B82,Override!$D$11:$D$40,15,Override!$E$11:$E$40,"&gt;=0")-COUNTIFS(Override!$B$11:$B$40,$B82,Override!$D$11:$D$40,15,Override!$E$11:$E$40,"&gt;=0",Override!$C$11:$C$40,"MXAU"))&gt;0,SUMIFS(Override!$E$11:$E$40,Override!$B$11:$B$40,$B82,Override!$D$11:$D$40,15)-SUMIFS(Override!$E$11:$E$40,Override!$B$11:$B$40,$B82,Override!$D$11:$D$40,15,Override!$C$11:$C$40,"MXAU"),Override!$Q$117)/AS51!$B$3,"")))</f>
        <v/>
      </c>
      <c r="U82" s="140">
        <f>IF(U$13="","",IF($B82="","",IFERROR($C82*$D82*IF((Override!$C$4="ON")*(COUNTIFS(Override!$B$11:$B$40,$B82,Override!$D$11:$D$40,16,Override!$E$11:$E$40,"&gt;=0")-COUNTIFS(Override!$B$11:$B$40,$B82,Override!$D$11:$D$40,16,Override!$E$11:$E$40,"&gt;=0",Override!$C$11:$C$40,"MXAU"))&gt;0,SUMIFS(Override!$E$11:$E$40,Override!$B$11:$B$40,$B82,Override!$D$11:$D$40,16)-SUMIFS(Override!$E$11:$E$40,Override!$B$11:$B$40,$B82,Override!$D$11:$D$40,16,Override!$C$11:$C$40,"MXAU"),Override!$R$117)/AS51!$B$3,"")))</f>
        <v/>
      </c>
      <c r="W82" s="140">
        <f>IF(W$13="","",IF($B82="","",IFERROR(F82*$E82/100,"")))</f>
        <v/>
      </c>
      <c r="X82" s="140">
        <f>IF(X$13="","",IF($B82="","",IFERROR(G82*$E82/100,"")))</f>
        <v/>
      </c>
      <c r="Y82" s="140">
        <f>IF(Y$13="","",IF($B82="","",IFERROR(H82*$E82/100,"")))</f>
        <v/>
      </c>
      <c r="Z82" s="140">
        <f>IF(Z$13="","",IF($B82="","",IFERROR(I82*$E82/100,"")))</f>
        <v/>
      </c>
      <c r="AA82" s="140">
        <f>IF(AA$13="","",IF($B82="","",IFERROR(J82*$E82/100,"")))</f>
        <v/>
      </c>
      <c r="AB82" s="140">
        <f>IF(AB$13="","",IF($B82="","",IFERROR(K82*$E82/100,"")))</f>
        <v/>
      </c>
      <c r="AC82" s="140">
        <f>IF(AC$13="","",IF($B82="","",IFERROR(L82*$E82/100,"")))</f>
        <v/>
      </c>
      <c r="AD82" s="140">
        <f>IF(AD$13="","",IF($B82="","",IFERROR(M82*$E82/100,"")))</f>
        <v/>
      </c>
      <c r="AE82" s="140">
        <f>IF(AE$13="","",IF($B82="","",IFERROR(N82*$E82/100,"")))</f>
        <v/>
      </c>
      <c r="AF82" s="140">
        <f>IF(AF$13="","",IF($B82="","",IFERROR(O82*$E82/100,"")))</f>
        <v/>
      </c>
      <c r="AG82" s="140">
        <f>IF(AG$13="","",IF($B82="","",IFERROR(P82*$E82/100,"")))</f>
        <v/>
      </c>
      <c r="AH82" s="140">
        <f>IF(AH$13="","",IF($B82="","",IFERROR(Q82*$E82/100,"")))</f>
        <v/>
      </c>
      <c r="AI82" s="140">
        <f>IF(AI$13="","",IF($B82="","",IFERROR(R82*$E82/100,"")))</f>
        <v/>
      </c>
      <c r="AJ82" s="140">
        <f>IF(AJ$13="","",IF($B82="","",IFERROR(S82*$E82/100,"")))</f>
        <v/>
      </c>
      <c r="AK82" s="140">
        <f>IF(AK$13="","",IF($B82="","",IFERROR(T82*$E82/100,"")))</f>
        <v/>
      </c>
      <c r="AL82" s="140">
        <f>IF(AL$13="","",IF($B82="","",IFERROR(U82*$E82/100,"")))</f>
        <v/>
      </c>
      <c r="AN82" s="140">
        <f>IF($B82="","",SUMIF($F$13:$U$13,"&lt;="&amp;Sector!$D$51,$F82:$U82))</f>
        <v/>
      </c>
      <c r="AO82" s="140">
        <f>IF($B82="","",SUMIF($W$13:$AL$13,"&lt;="&amp;Sector!$D$51,$W82:$AL82))</f>
        <v/>
      </c>
    </row>
    <row r="83">
      <c r="B83" s="5">
        <f>IF(AS51!$C$73="","",AS51!$C$73)</f>
        <v/>
      </c>
      <c r="C83" s="90">
        <f>IF(AS51!$B$73="","",AS51!$B$73)</f>
        <v/>
      </c>
      <c r="D83" s="138">
        <f>IFERROR(AS51!$Q$73,1)</f>
        <v/>
      </c>
      <c r="E83" s="139">
        <f>IF($B83="","",IF(ISNUMBER(AS51!$I$73),AS51!$I$73,'Index Summary'!$C$7))</f>
        <v/>
      </c>
      <c r="F83" s="140">
        <f>IF(F$13="","",IF($B83="","",IFERROR($C83*$D83*IF((Override!$C$4="ON")*(COUNTIFS(Override!$B$11:$B$40,$B83,Override!$D$11:$D$40,1,Override!$E$11:$E$40,"&gt;=0")-COUNTIFS(Override!$B$11:$B$40,$B83,Override!$D$11:$D$40,1,Override!$E$11:$E$40,"&gt;=0",Override!$C$11:$C$40,"MXAU"))&gt;0,SUMIFS(Override!$E$11:$E$40,Override!$B$11:$B$40,$B83,Override!$D$11:$D$40,1)-SUMIFS(Override!$E$11:$E$40,Override!$B$11:$B$40,$B83,Override!$D$11:$D$40,1,Override!$C$11:$C$40,"MXAU"),Override!$C$118)/AS51!$B$3,"")))</f>
        <v/>
      </c>
      <c r="G83" s="140">
        <f>IF(G$13="","",IF($B83="","",IFERROR($C83*$D83*IF((Override!$C$4="ON")*(COUNTIFS(Override!$B$11:$B$40,$B83,Override!$D$11:$D$40,2,Override!$E$11:$E$40,"&gt;=0")-COUNTIFS(Override!$B$11:$B$40,$B83,Override!$D$11:$D$40,2,Override!$E$11:$E$40,"&gt;=0",Override!$C$11:$C$40,"MXAU"))&gt;0,SUMIFS(Override!$E$11:$E$40,Override!$B$11:$B$40,$B83,Override!$D$11:$D$40,2)-SUMIFS(Override!$E$11:$E$40,Override!$B$11:$B$40,$B83,Override!$D$11:$D$40,2,Override!$C$11:$C$40,"MXAU"),Override!$D$118)/AS51!$B$3,"")))</f>
        <v/>
      </c>
      <c r="H83" s="140">
        <f>IF(H$13="","",IF($B83="","",IFERROR($C83*$D83*IF((Override!$C$4="ON")*(COUNTIFS(Override!$B$11:$B$40,$B83,Override!$D$11:$D$40,3,Override!$E$11:$E$40,"&gt;=0")-COUNTIFS(Override!$B$11:$B$40,$B83,Override!$D$11:$D$40,3,Override!$E$11:$E$40,"&gt;=0",Override!$C$11:$C$40,"MXAU"))&gt;0,SUMIFS(Override!$E$11:$E$40,Override!$B$11:$B$40,$B83,Override!$D$11:$D$40,3)-SUMIFS(Override!$E$11:$E$40,Override!$B$11:$B$40,$B83,Override!$D$11:$D$40,3,Override!$C$11:$C$40,"MXAU"),Override!$E$118)/AS51!$B$3,"")))</f>
        <v/>
      </c>
      <c r="I83" s="140">
        <f>IF(I$13="","",IF($B83="","",IFERROR($C83*$D83*IF((Override!$C$4="ON")*(COUNTIFS(Override!$B$11:$B$40,$B83,Override!$D$11:$D$40,4,Override!$E$11:$E$40,"&gt;=0")-COUNTIFS(Override!$B$11:$B$40,$B83,Override!$D$11:$D$40,4,Override!$E$11:$E$40,"&gt;=0",Override!$C$11:$C$40,"MXAU"))&gt;0,SUMIFS(Override!$E$11:$E$40,Override!$B$11:$B$40,$B83,Override!$D$11:$D$40,4)-SUMIFS(Override!$E$11:$E$40,Override!$B$11:$B$40,$B83,Override!$D$11:$D$40,4,Override!$C$11:$C$40,"MXAU"),Override!$F$118)/AS51!$B$3,"")))</f>
        <v/>
      </c>
      <c r="J83" s="140">
        <f>IF(J$13="","",IF($B83="","",IFERROR($C83*$D83*IF((Override!$C$4="ON")*(COUNTIFS(Override!$B$11:$B$40,$B83,Override!$D$11:$D$40,5,Override!$E$11:$E$40,"&gt;=0")-COUNTIFS(Override!$B$11:$B$40,$B83,Override!$D$11:$D$40,5,Override!$E$11:$E$40,"&gt;=0",Override!$C$11:$C$40,"MXAU"))&gt;0,SUMIFS(Override!$E$11:$E$40,Override!$B$11:$B$40,$B83,Override!$D$11:$D$40,5)-SUMIFS(Override!$E$11:$E$40,Override!$B$11:$B$40,$B83,Override!$D$11:$D$40,5,Override!$C$11:$C$40,"MXAU"),Override!$G$118)/AS51!$B$3,"")))</f>
        <v/>
      </c>
      <c r="K83" s="140">
        <f>IF(K$13="","",IF($B83="","",IFERROR($C83*$D83*IF((Override!$C$4="ON")*(COUNTIFS(Override!$B$11:$B$40,$B83,Override!$D$11:$D$40,6,Override!$E$11:$E$40,"&gt;=0")-COUNTIFS(Override!$B$11:$B$40,$B83,Override!$D$11:$D$40,6,Override!$E$11:$E$40,"&gt;=0",Override!$C$11:$C$40,"MXAU"))&gt;0,SUMIFS(Override!$E$11:$E$40,Override!$B$11:$B$40,$B83,Override!$D$11:$D$40,6)-SUMIFS(Override!$E$11:$E$40,Override!$B$11:$B$40,$B83,Override!$D$11:$D$40,6,Override!$C$11:$C$40,"MXAU"),Override!$H$118)/AS51!$B$3,"")))</f>
        <v/>
      </c>
      <c r="L83" s="140">
        <f>IF(L$13="","",IF($B83="","",IFERROR($C83*$D83*IF((Override!$C$4="ON")*(COUNTIFS(Override!$B$11:$B$40,$B83,Override!$D$11:$D$40,7,Override!$E$11:$E$40,"&gt;=0")-COUNTIFS(Override!$B$11:$B$40,$B83,Override!$D$11:$D$40,7,Override!$E$11:$E$40,"&gt;=0",Override!$C$11:$C$40,"MXAU"))&gt;0,SUMIFS(Override!$E$11:$E$40,Override!$B$11:$B$40,$B83,Override!$D$11:$D$40,7)-SUMIFS(Override!$E$11:$E$40,Override!$B$11:$B$40,$B83,Override!$D$11:$D$40,7,Override!$C$11:$C$40,"MXAU"),Override!$I$118)/AS51!$B$3,"")))</f>
        <v/>
      </c>
      <c r="M83" s="140">
        <f>IF(M$13="","",IF($B83="","",IFERROR($C83*$D83*IF((Override!$C$4="ON")*(COUNTIFS(Override!$B$11:$B$40,$B83,Override!$D$11:$D$40,8,Override!$E$11:$E$40,"&gt;=0")-COUNTIFS(Override!$B$11:$B$40,$B83,Override!$D$11:$D$40,8,Override!$E$11:$E$40,"&gt;=0",Override!$C$11:$C$40,"MXAU"))&gt;0,SUMIFS(Override!$E$11:$E$40,Override!$B$11:$B$40,$B83,Override!$D$11:$D$40,8)-SUMIFS(Override!$E$11:$E$40,Override!$B$11:$B$40,$B83,Override!$D$11:$D$40,8,Override!$C$11:$C$40,"MXAU"),Override!$J$118)/AS51!$B$3,"")))</f>
        <v/>
      </c>
      <c r="N83" s="140">
        <f>IF(N$13="","",IF($B83="","",IFERROR($C83*$D83*IF((Override!$C$4="ON")*(COUNTIFS(Override!$B$11:$B$40,$B83,Override!$D$11:$D$40,9,Override!$E$11:$E$40,"&gt;=0")-COUNTIFS(Override!$B$11:$B$40,$B83,Override!$D$11:$D$40,9,Override!$E$11:$E$40,"&gt;=0",Override!$C$11:$C$40,"MXAU"))&gt;0,SUMIFS(Override!$E$11:$E$40,Override!$B$11:$B$40,$B83,Override!$D$11:$D$40,9)-SUMIFS(Override!$E$11:$E$40,Override!$B$11:$B$40,$B83,Override!$D$11:$D$40,9,Override!$C$11:$C$40,"MXAU"),Override!$K$118)/AS51!$B$3,"")))</f>
        <v/>
      </c>
      <c r="O83" s="140">
        <f>IF(O$13="","",IF($B83="","",IFERROR($C83*$D83*IF((Override!$C$4="ON")*(COUNTIFS(Override!$B$11:$B$40,$B83,Override!$D$11:$D$40,10,Override!$E$11:$E$40,"&gt;=0")-COUNTIFS(Override!$B$11:$B$40,$B83,Override!$D$11:$D$40,10,Override!$E$11:$E$40,"&gt;=0",Override!$C$11:$C$40,"MXAU"))&gt;0,SUMIFS(Override!$E$11:$E$40,Override!$B$11:$B$40,$B83,Override!$D$11:$D$40,10)-SUMIFS(Override!$E$11:$E$40,Override!$B$11:$B$40,$B83,Override!$D$11:$D$40,10,Override!$C$11:$C$40,"MXAU"),Override!$L$118)/AS51!$B$3,"")))</f>
        <v/>
      </c>
      <c r="P83" s="140">
        <f>IF(P$13="","",IF($B83="","",IFERROR($C83*$D83*IF((Override!$C$4="ON")*(COUNTIFS(Override!$B$11:$B$40,$B83,Override!$D$11:$D$40,11,Override!$E$11:$E$40,"&gt;=0")-COUNTIFS(Override!$B$11:$B$40,$B83,Override!$D$11:$D$40,11,Override!$E$11:$E$40,"&gt;=0",Override!$C$11:$C$40,"MXAU"))&gt;0,SUMIFS(Override!$E$11:$E$40,Override!$B$11:$B$40,$B83,Override!$D$11:$D$40,11)-SUMIFS(Override!$E$11:$E$40,Override!$B$11:$B$40,$B83,Override!$D$11:$D$40,11,Override!$C$11:$C$40,"MXAU"),Override!$M$118)/AS51!$B$3,"")))</f>
        <v/>
      </c>
      <c r="Q83" s="140">
        <f>IF(Q$13="","",IF($B83="","",IFERROR($C83*$D83*IF((Override!$C$4="ON")*(COUNTIFS(Override!$B$11:$B$40,$B83,Override!$D$11:$D$40,12,Override!$E$11:$E$40,"&gt;=0")-COUNTIFS(Override!$B$11:$B$40,$B83,Override!$D$11:$D$40,12,Override!$E$11:$E$40,"&gt;=0",Override!$C$11:$C$40,"MXAU"))&gt;0,SUMIFS(Override!$E$11:$E$40,Override!$B$11:$B$40,$B83,Override!$D$11:$D$40,12)-SUMIFS(Override!$E$11:$E$40,Override!$B$11:$B$40,$B83,Override!$D$11:$D$40,12,Override!$C$11:$C$40,"MXAU"),Override!$N$118)/AS51!$B$3,"")))</f>
        <v/>
      </c>
      <c r="R83" s="140">
        <f>IF(R$13="","",IF($B83="","",IFERROR($C83*$D83*IF((Override!$C$4="ON")*(COUNTIFS(Override!$B$11:$B$40,$B83,Override!$D$11:$D$40,13,Override!$E$11:$E$40,"&gt;=0")-COUNTIFS(Override!$B$11:$B$40,$B83,Override!$D$11:$D$40,13,Override!$E$11:$E$40,"&gt;=0",Override!$C$11:$C$40,"MXAU"))&gt;0,SUMIFS(Override!$E$11:$E$40,Override!$B$11:$B$40,$B83,Override!$D$11:$D$40,13)-SUMIFS(Override!$E$11:$E$40,Override!$B$11:$B$40,$B83,Override!$D$11:$D$40,13,Override!$C$11:$C$40,"MXAU"),Override!$O$118)/AS51!$B$3,"")))</f>
        <v/>
      </c>
      <c r="S83" s="140">
        <f>IF(S$13="","",IF($B83="","",IFERROR($C83*$D83*IF((Override!$C$4="ON")*(COUNTIFS(Override!$B$11:$B$40,$B83,Override!$D$11:$D$40,14,Override!$E$11:$E$40,"&gt;=0")-COUNTIFS(Override!$B$11:$B$40,$B83,Override!$D$11:$D$40,14,Override!$E$11:$E$40,"&gt;=0",Override!$C$11:$C$40,"MXAU"))&gt;0,SUMIFS(Override!$E$11:$E$40,Override!$B$11:$B$40,$B83,Override!$D$11:$D$40,14)-SUMIFS(Override!$E$11:$E$40,Override!$B$11:$B$40,$B83,Override!$D$11:$D$40,14,Override!$C$11:$C$40,"MXAU"),Override!$P$118)/AS51!$B$3,"")))</f>
        <v/>
      </c>
      <c r="T83" s="140">
        <f>IF(T$13="","",IF($B83="","",IFERROR($C83*$D83*IF((Override!$C$4="ON")*(COUNTIFS(Override!$B$11:$B$40,$B83,Override!$D$11:$D$40,15,Override!$E$11:$E$40,"&gt;=0")-COUNTIFS(Override!$B$11:$B$40,$B83,Override!$D$11:$D$40,15,Override!$E$11:$E$40,"&gt;=0",Override!$C$11:$C$40,"MXAU"))&gt;0,SUMIFS(Override!$E$11:$E$40,Override!$B$11:$B$40,$B83,Override!$D$11:$D$40,15)-SUMIFS(Override!$E$11:$E$40,Override!$B$11:$B$40,$B83,Override!$D$11:$D$40,15,Override!$C$11:$C$40,"MXAU"),Override!$Q$118)/AS51!$B$3,"")))</f>
        <v/>
      </c>
      <c r="U83" s="140">
        <f>IF(U$13="","",IF($B83="","",IFERROR($C83*$D83*IF((Override!$C$4="ON")*(COUNTIFS(Override!$B$11:$B$40,$B83,Override!$D$11:$D$40,16,Override!$E$11:$E$40,"&gt;=0")-COUNTIFS(Override!$B$11:$B$40,$B83,Override!$D$11:$D$40,16,Override!$E$11:$E$40,"&gt;=0",Override!$C$11:$C$40,"MXAU"))&gt;0,SUMIFS(Override!$E$11:$E$40,Override!$B$11:$B$40,$B83,Override!$D$11:$D$40,16)-SUMIFS(Override!$E$11:$E$40,Override!$B$11:$B$40,$B83,Override!$D$11:$D$40,16,Override!$C$11:$C$40,"MXAU"),Override!$R$118)/AS51!$B$3,"")))</f>
        <v/>
      </c>
      <c r="W83" s="140">
        <f>IF(W$13="","",IF($B83="","",IFERROR(F83*$E83/100,"")))</f>
        <v/>
      </c>
      <c r="X83" s="140">
        <f>IF(X$13="","",IF($B83="","",IFERROR(G83*$E83/100,"")))</f>
        <v/>
      </c>
      <c r="Y83" s="140">
        <f>IF(Y$13="","",IF($B83="","",IFERROR(H83*$E83/100,"")))</f>
        <v/>
      </c>
      <c r="Z83" s="140">
        <f>IF(Z$13="","",IF($B83="","",IFERROR(I83*$E83/100,"")))</f>
        <v/>
      </c>
      <c r="AA83" s="140">
        <f>IF(AA$13="","",IF($B83="","",IFERROR(J83*$E83/100,"")))</f>
        <v/>
      </c>
      <c r="AB83" s="140">
        <f>IF(AB$13="","",IF($B83="","",IFERROR(K83*$E83/100,"")))</f>
        <v/>
      </c>
      <c r="AC83" s="140">
        <f>IF(AC$13="","",IF($B83="","",IFERROR(L83*$E83/100,"")))</f>
        <v/>
      </c>
      <c r="AD83" s="140">
        <f>IF(AD$13="","",IF($B83="","",IFERROR(M83*$E83/100,"")))</f>
        <v/>
      </c>
      <c r="AE83" s="140">
        <f>IF(AE$13="","",IF($B83="","",IFERROR(N83*$E83/100,"")))</f>
        <v/>
      </c>
      <c r="AF83" s="140">
        <f>IF(AF$13="","",IF($B83="","",IFERROR(O83*$E83/100,"")))</f>
        <v/>
      </c>
      <c r="AG83" s="140">
        <f>IF(AG$13="","",IF($B83="","",IFERROR(P83*$E83/100,"")))</f>
        <v/>
      </c>
      <c r="AH83" s="140">
        <f>IF(AH$13="","",IF($B83="","",IFERROR(Q83*$E83/100,"")))</f>
        <v/>
      </c>
      <c r="AI83" s="140">
        <f>IF(AI$13="","",IF($B83="","",IFERROR(R83*$E83/100,"")))</f>
        <v/>
      </c>
      <c r="AJ83" s="140">
        <f>IF(AJ$13="","",IF($B83="","",IFERROR(S83*$E83/100,"")))</f>
        <v/>
      </c>
      <c r="AK83" s="140">
        <f>IF(AK$13="","",IF($B83="","",IFERROR(T83*$E83/100,"")))</f>
        <v/>
      </c>
      <c r="AL83" s="140">
        <f>IF(AL$13="","",IF($B83="","",IFERROR(U83*$E83/100,"")))</f>
        <v/>
      </c>
      <c r="AN83" s="140">
        <f>IF($B83="","",SUMIF($F$13:$U$13,"&lt;="&amp;Sector!$D$51,$F83:$U83))</f>
        <v/>
      </c>
      <c r="AO83" s="140">
        <f>IF($B83="","",SUMIF($W$13:$AL$13,"&lt;="&amp;Sector!$D$51,$W83:$AL83))</f>
        <v/>
      </c>
    </row>
    <row r="84">
      <c r="B84" s="5">
        <f>IF(AS51!$C$74="","",AS51!$C$74)</f>
        <v/>
      </c>
      <c r="C84" s="90">
        <f>IF(AS51!$B$74="","",AS51!$B$74)</f>
        <v/>
      </c>
      <c r="D84" s="138">
        <f>IFERROR(AS51!$Q$74,1)</f>
        <v/>
      </c>
      <c r="E84" s="139">
        <f>IF($B84="","",IF(ISNUMBER(AS51!$I$74),AS51!$I$74,'Index Summary'!$C$7))</f>
        <v/>
      </c>
      <c r="F84" s="140">
        <f>IF(F$13="","",IF($B84="","",IFERROR($C84*$D84*IF((Override!$C$4="ON")*(COUNTIFS(Override!$B$11:$B$40,$B84,Override!$D$11:$D$40,1,Override!$E$11:$E$40,"&gt;=0")-COUNTIFS(Override!$B$11:$B$40,$B84,Override!$D$11:$D$40,1,Override!$E$11:$E$40,"&gt;=0",Override!$C$11:$C$40,"MXAU"))&gt;0,SUMIFS(Override!$E$11:$E$40,Override!$B$11:$B$40,$B84,Override!$D$11:$D$40,1)-SUMIFS(Override!$E$11:$E$40,Override!$B$11:$B$40,$B84,Override!$D$11:$D$40,1,Override!$C$11:$C$40,"MXAU"),Override!$C$119)/AS51!$B$3,"")))</f>
        <v/>
      </c>
      <c r="G84" s="140">
        <f>IF(G$13="","",IF($B84="","",IFERROR($C84*$D84*IF((Override!$C$4="ON")*(COUNTIFS(Override!$B$11:$B$40,$B84,Override!$D$11:$D$40,2,Override!$E$11:$E$40,"&gt;=0")-COUNTIFS(Override!$B$11:$B$40,$B84,Override!$D$11:$D$40,2,Override!$E$11:$E$40,"&gt;=0",Override!$C$11:$C$40,"MXAU"))&gt;0,SUMIFS(Override!$E$11:$E$40,Override!$B$11:$B$40,$B84,Override!$D$11:$D$40,2)-SUMIFS(Override!$E$11:$E$40,Override!$B$11:$B$40,$B84,Override!$D$11:$D$40,2,Override!$C$11:$C$40,"MXAU"),Override!$D$119)/AS51!$B$3,"")))</f>
        <v/>
      </c>
      <c r="H84" s="140">
        <f>IF(H$13="","",IF($B84="","",IFERROR($C84*$D84*IF((Override!$C$4="ON")*(COUNTIFS(Override!$B$11:$B$40,$B84,Override!$D$11:$D$40,3,Override!$E$11:$E$40,"&gt;=0")-COUNTIFS(Override!$B$11:$B$40,$B84,Override!$D$11:$D$40,3,Override!$E$11:$E$40,"&gt;=0",Override!$C$11:$C$40,"MXAU"))&gt;0,SUMIFS(Override!$E$11:$E$40,Override!$B$11:$B$40,$B84,Override!$D$11:$D$40,3)-SUMIFS(Override!$E$11:$E$40,Override!$B$11:$B$40,$B84,Override!$D$11:$D$40,3,Override!$C$11:$C$40,"MXAU"),Override!$E$119)/AS51!$B$3,"")))</f>
        <v/>
      </c>
      <c r="I84" s="140">
        <f>IF(I$13="","",IF($B84="","",IFERROR($C84*$D84*IF((Override!$C$4="ON")*(COUNTIFS(Override!$B$11:$B$40,$B84,Override!$D$11:$D$40,4,Override!$E$11:$E$40,"&gt;=0")-COUNTIFS(Override!$B$11:$B$40,$B84,Override!$D$11:$D$40,4,Override!$E$11:$E$40,"&gt;=0",Override!$C$11:$C$40,"MXAU"))&gt;0,SUMIFS(Override!$E$11:$E$40,Override!$B$11:$B$40,$B84,Override!$D$11:$D$40,4)-SUMIFS(Override!$E$11:$E$40,Override!$B$11:$B$40,$B84,Override!$D$11:$D$40,4,Override!$C$11:$C$40,"MXAU"),Override!$F$119)/AS51!$B$3,"")))</f>
        <v/>
      </c>
      <c r="J84" s="140">
        <f>IF(J$13="","",IF($B84="","",IFERROR($C84*$D84*IF((Override!$C$4="ON")*(COUNTIFS(Override!$B$11:$B$40,$B84,Override!$D$11:$D$40,5,Override!$E$11:$E$40,"&gt;=0")-COUNTIFS(Override!$B$11:$B$40,$B84,Override!$D$11:$D$40,5,Override!$E$11:$E$40,"&gt;=0",Override!$C$11:$C$40,"MXAU"))&gt;0,SUMIFS(Override!$E$11:$E$40,Override!$B$11:$B$40,$B84,Override!$D$11:$D$40,5)-SUMIFS(Override!$E$11:$E$40,Override!$B$11:$B$40,$B84,Override!$D$11:$D$40,5,Override!$C$11:$C$40,"MXAU"),Override!$G$119)/AS51!$B$3,"")))</f>
        <v/>
      </c>
      <c r="K84" s="140">
        <f>IF(K$13="","",IF($B84="","",IFERROR($C84*$D84*IF((Override!$C$4="ON")*(COUNTIFS(Override!$B$11:$B$40,$B84,Override!$D$11:$D$40,6,Override!$E$11:$E$40,"&gt;=0")-COUNTIFS(Override!$B$11:$B$40,$B84,Override!$D$11:$D$40,6,Override!$E$11:$E$40,"&gt;=0",Override!$C$11:$C$40,"MXAU"))&gt;0,SUMIFS(Override!$E$11:$E$40,Override!$B$11:$B$40,$B84,Override!$D$11:$D$40,6)-SUMIFS(Override!$E$11:$E$40,Override!$B$11:$B$40,$B84,Override!$D$11:$D$40,6,Override!$C$11:$C$40,"MXAU"),Override!$H$119)/AS51!$B$3,"")))</f>
        <v/>
      </c>
      <c r="L84" s="140">
        <f>IF(L$13="","",IF($B84="","",IFERROR($C84*$D84*IF((Override!$C$4="ON")*(COUNTIFS(Override!$B$11:$B$40,$B84,Override!$D$11:$D$40,7,Override!$E$11:$E$40,"&gt;=0")-COUNTIFS(Override!$B$11:$B$40,$B84,Override!$D$11:$D$40,7,Override!$E$11:$E$40,"&gt;=0",Override!$C$11:$C$40,"MXAU"))&gt;0,SUMIFS(Override!$E$11:$E$40,Override!$B$11:$B$40,$B84,Override!$D$11:$D$40,7)-SUMIFS(Override!$E$11:$E$40,Override!$B$11:$B$40,$B84,Override!$D$11:$D$40,7,Override!$C$11:$C$40,"MXAU"),Override!$I$119)/AS51!$B$3,"")))</f>
        <v/>
      </c>
      <c r="M84" s="140">
        <f>IF(M$13="","",IF($B84="","",IFERROR($C84*$D84*IF((Override!$C$4="ON")*(COUNTIFS(Override!$B$11:$B$40,$B84,Override!$D$11:$D$40,8,Override!$E$11:$E$40,"&gt;=0")-COUNTIFS(Override!$B$11:$B$40,$B84,Override!$D$11:$D$40,8,Override!$E$11:$E$40,"&gt;=0",Override!$C$11:$C$40,"MXAU"))&gt;0,SUMIFS(Override!$E$11:$E$40,Override!$B$11:$B$40,$B84,Override!$D$11:$D$40,8)-SUMIFS(Override!$E$11:$E$40,Override!$B$11:$B$40,$B84,Override!$D$11:$D$40,8,Override!$C$11:$C$40,"MXAU"),Override!$J$119)/AS51!$B$3,"")))</f>
        <v/>
      </c>
      <c r="N84" s="140">
        <f>IF(N$13="","",IF($B84="","",IFERROR($C84*$D84*IF((Override!$C$4="ON")*(COUNTIFS(Override!$B$11:$B$40,$B84,Override!$D$11:$D$40,9,Override!$E$11:$E$40,"&gt;=0")-COUNTIFS(Override!$B$11:$B$40,$B84,Override!$D$11:$D$40,9,Override!$E$11:$E$40,"&gt;=0",Override!$C$11:$C$40,"MXAU"))&gt;0,SUMIFS(Override!$E$11:$E$40,Override!$B$11:$B$40,$B84,Override!$D$11:$D$40,9)-SUMIFS(Override!$E$11:$E$40,Override!$B$11:$B$40,$B84,Override!$D$11:$D$40,9,Override!$C$11:$C$40,"MXAU"),Override!$K$119)/AS51!$B$3,"")))</f>
        <v/>
      </c>
      <c r="O84" s="140">
        <f>IF(O$13="","",IF($B84="","",IFERROR($C84*$D84*IF((Override!$C$4="ON")*(COUNTIFS(Override!$B$11:$B$40,$B84,Override!$D$11:$D$40,10,Override!$E$11:$E$40,"&gt;=0")-COUNTIFS(Override!$B$11:$B$40,$B84,Override!$D$11:$D$40,10,Override!$E$11:$E$40,"&gt;=0",Override!$C$11:$C$40,"MXAU"))&gt;0,SUMIFS(Override!$E$11:$E$40,Override!$B$11:$B$40,$B84,Override!$D$11:$D$40,10)-SUMIFS(Override!$E$11:$E$40,Override!$B$11:$B$40,$B84,Override!$D$11:$D$40,10,Override!$C$11:$C$40,"MXAU"),Override!$L$119)/AS51!$B$3,"")))</f>
        <v/>
      </c>
      <c r="P84" s="140">
        <f>IF(P$13="","",IF($B84="","",IFERROR($C84*$D84*IF((Override!$C$4="ON")*(COUNTIFS(Override!$B$11:$B$40,$B84,Override!$D$11:$D$40,11,Override!$E$11:$E$40,"&gt;=0")-COUNTIFS(Override!$B$11:$B$40,$B84,Override!$D$11:$D$40,11,Override!$E$11:$E$40,"&gt;=0",Override!$C$11:$C$40,"MXAU"))&gt;0,SUMIFS(Override!$E$11:$E$40,Override!$B$11:$B$40,$B84,Override!$D$11:$D$40,11)-SUMIFS(Override!$E$11:$E$40,Override!$B$11:$B$40,$B84,Override!$D$11:$D$40,11,Override!$C$11:$C$40,"MXAU"),Override!$M$119)/AS51!$B$3,"")))</f>
        <v/>
      </c>
      <c r="Q84" s="140">
        <f>IF(Q$13="","",IF($B84="","",IFERROR($C84*$D84*IF((Override!$C$4="ON")*(COUNTIFS(Override!$B$11:$B$40,$B84,Override!$D$11:$D$40,12,Override!$E$11:$E$40,"&gt;=0")-COUNTIFS(Override!$B$11:$B$40,$B84,Override!$D$11:$D$40,12,Override!$E$11:$E$40,"&gt;=0",Override!$C$11:$C$40,"MXAU"))&gt;0,SUMIFS(Override!$E$11:$E$40,Override!$B$11:$B$40,$B84,Override!$D$11:$D$40,12)-SUMIFS(Override!$E$11:$E$40,Override!$B$11:$B$40,$B84,Override!$D$11:$D$40,12,Override!$C$11:$C$40,"MXAU"),Override!$N$119)/AS51!$B$3,"")))</f>
        <v/>
      </c>
      <c r="R84" s="140">
        <f>IF(R$13="","",IF($B84="","",IFERROR($C84*$D84*IF((Override!$C$4="ON")*(COUNTIFS(Override!$B$11:$B$40,$B84,Override!$D$11:$D$40,13,Override!$E$11:$E$40,"&gt;=0")-COUNTIFS(Override!$B$11:$B$40,$B84,Override!$D$11:$D$40,13,Override!$E$11:$E$40,"&gt;=0",Override!$C$11:$C$40,"MXAU"))&gt;0,SUMIFS(Override!$E$11:$E$40,Override!$B$11:$B$40,$B84,Override!$D$11:$D$40,13)-SUMIFS(Override!$E$11:$E$40,Override!$B$11:$B$40,$B84,Override!$D$11:$D$40,13,Override!$C$11:$C$40,"MXAU"),Override!$O$119)/AS51!$B$3,"")))</f>
        <v/>
      </c>
      <c r="S84" s="140">
        <f>IF(S$13="","",IF($B84="","",IFERROR($C84*$D84*IF((Override!$C$4="ON")*(COUNTIFS(Override!$B$11:$B$40,$B84,Override!$D$11:$D$40,14,Override!$E$11:$E$40,"&gt;=0")-COUNTIFS(Override!$B$11:$B$40,$B84,Override!$D$11:$D$40,14,Override!$E$11:$E$40,"&gt;=0",Override!$C$11:$C$40,"MXAU"))&gt;0,SUMIFS(Override!$E$11:$E$40,Override!$B$11:$B$40,$B84,Override!$D$11:$D$40,14)-SUMIFS(Override!$E$11:$E$40,Override!$B$11:$B$40,$B84,Override!$D$11:$D$40,14,Override!$C$11:$C$40,"MXAU"),Override!$P$119)/AS51!$B$3,"")))</f>
        <v/>
      </c>
      <c r="T84" s="140">
        <f>IF(T$13="","",IF($B84="","",IFERROR($C84*$D84*IF((Override!$C$4="ON")*(COUNTIFS(Override!$B$11:$B$40,$B84,Override!$D$11:$D$40,15,Override!$E$11:$E$40,"&gt;=0")-COUNTIFS(Override!$B$11:$B$40,$B84,Override!$D$11:$D$40,15,Override!$E$11:$E$40,"&gt;=0",Override!$C$11:$C$40,"MXAU"))&gt;0,SUMIFS(Override!$E$11:$E$40,Override!$B$11:$B$40,$B84,Override!$D$11:$D$40,15)-SUMIFS(Override!$E$11:$E$40,Override!$B$11:$B$40,$B84,Override!$D$11:$D$40,15,Override!$C$11:$C$40,"MXAU"),Override!$Q$119)/AS51!$B$3,"")))</f>
        <v/>
      </c>
      <c r="U84" s="140">
        <f>IF(U$13="","",IF($B84="","",IFERROR($C84*$D84*IF((Override!$C$4="ON")*(COUNTIFS(Override!$B$11:$B$40,$B84,Override!$D$11:$D$40,16,Override!$E$11:$E$40,"&gt;=0")-COUNTIFS(Override!$B$11:$B$40,$B84,Override!$D$11:$D$40,16,Override!$E$11:$E$40,"&gt;=0",Override!$C$11:$C$40,"MXAU"))&gt;0,SUMIFS(Override!$E$11:$E$40,Override!$B$11:$B$40,$B84,Override!$D$11:$D$40,16)-SUMIFS(Override!$E$11:$E$40,Override!$B$11:$B$40,$B84,Override!$D$11:$D$40,16,Override!$C$11:$C$40,"MXAU"),Override!$R$119)/AS51!$B$3,"")))</f>
        <v/>
      </c>
      <c r="W84" s="140">
        <f>IF(W$13="","",IF($B84="","",IFERROR(F84*$E84/100,"")))</f>
        <v/>
      </c>
      <c r="X84" s="140">
        <f>IF(X$13="","",IF($B84="","",IFERROR(G84*$E84/100,"")))</f>
        <v/>
      </c>
      <c r="Y84" s="140">
        <f>IF(Y$13="","",IF($B84="","",IFERROR(H84*$E84/100,"")))</f>
        <v/>
      </c>
      <c r="Z84" s="140">
        <f>IF(Z$13="","",IF($B84="","",IFERROR(I84*$E84/100,"")))</f>
        <v/>
      </c>
      <c r="AA84" s="140">
        <f>IF(AA$13="","",IF($B84="","",IFERROR(J84*$E84/100,"")))</f>
        <v/>
      </c>
      <c r="AB84" s="140">
        <f>IF(AB$13="","",IF($B84="","",IFERROR(K84*$E84/100,"")))</f>
        <v/>
      </c>
      <c r="AC84" s="140">
        <f>IF(AC$13="","",IF($B84="","",IFERROR(L84*$E84/100,"")))</f>
        <v/>
      </c>
      <c r="AD84" s="140">
        <f>IF(AD$13="","",IF($B84="","",IFERROR(M84*$E84/100,"")))</f>
        <v/>
      </c>
      <c r="AE84" s="140">
        <f>IF(AE$13="","",IF($B84="","",IFERROR(N84*$E84/100,"")))</f>
        <v/>
      </c>
      <c r="AF84" s="140">
        <f>IF(AF$13="","",IF($B84="","",IFERROR(O84*$E84/100,"")))</f>
        <v/>
      </c>
      <c r="AG84" s="140">
        <f>IF(AG$13="","",IF($B84="","",IFERROR(P84*$E84/100,"")))</f>
        <v/>
      </c>
      <c r="AH84" s="140">
        <f>IF(AH$13="","",IF($B84="","",IFERROR(Q84*$E84/100,"")))</f>
        <v/>
      </c>
      <c r="AI84" s="140">
        <f>IF(AI$13="","",IF($B84="","",IFERROR(R84*$E84/100,"")))</f>
        <v/>
      </c>
      <c r="AJ84" s="140">
        <f>IF(AJ$13="","",IF($B84="","",IFERROR(S84*$E84/100,"")))</f>
        <v/>
      </c>
      <c r="AK84" s="140">
        <f>IF(AK$13="","",IF($B84="","",IFERROR(T84*$E84/100,"")))</f>
        <v/>
      </c>
      <c r="AL84" s="140">
        <f>IF(AL$13="","",IF($B84="","",IFERROR(U84*$E84/100,"")))</f>
        <v/>
      </c>
      <c r="AN84" s="140">
        <f>IF($B84="","",SUMIF($F$13:$U$13,"&lt;="&amp;Sector!$D$51,$F84:$U84))</f>
        <v/>
      </c>
      <c r="AO84" s="140">
        <f>IF($B84="","",SUMIF($W$13:$AL$13,"&lt;="&amp;Sector!$D$51,$W84:$AL84))</f>
        <v/>
      </c>
    </row>
    <row r="85">
      <c r="B85" s="5">
        <f>IF(AS51!$C$75="","",AS51!$C$75)</f>
        <v/>
      </c>
      <c r="C85" s="90">
        <f>IF(AS51!$B$75="","",AS51!$B$75)</f>
        <v/>
      </c>
      <c r="D85" s="138">
        <f>IFERROR(AS51!$Q$75,1)</f>
        <v/>
      </c>
      <c r="E85" s="139">
        <f>IF($B85="","",IF(ISNUMBER(AS51!$I$75),AS51!$I$75,'Index Summary'!$C$7))</f>
        <v/>
      </c>
      <c r="F85" s="140">
        <f>IF(F$13="","",IF($B85="","",IFERROR($C85*$D85*IF((Override!$C$4="ON")*(COUNTIFS(Override!$B$11:$B$40,$B85,Override!$D$11:$D$40,1,Override!$E$11:$E$40,"&gt;=0")-COUNTIFS(Override!$B$11:$B$40,$B85,Override!$D$11:$D$40,1,Override!$E$11:$E$40,"&gt;=0",Override!$C$11:$C$40,"MXAU"))&gt;0,SUMIFS(Override!$E$11:$E$40,Override!$B$11:$B$40,$B85,Override!$D$11:$D$40,1)-SUMIFS(Override!$E$11:$E$40,Override!$B$11:$B$40,$B85,Override!$D$11:$D$40,1,Override!$C$11:$C$40,"MXAU"),Override!$C$120)/AS51!$B$3,"")))</f>
        <v/>
      </c>
      <c r="G85" s="140">
        <f>IF(G$13="","",IF($B85="","",IFERROR($C85*$D85*IF((Override!$C$4="ON")*(COUNTIFS(Override!$B$11:$B$40,$B85,Override!$D$11:$D$40,2,Override!$E$11:$E$40,"&gt;=0")-COUNTIFS(Override!$B$11:$B$40,$B85,Override!$D$11:$D$40,2,Override!$E$11:$E$40,"&gt;=0",Override!$C$11:$C$40,"MXAU"))&gt;0,SUMIFS(Override!$E$11:$E$40,Override!$B$11:$B$40,$B85,Override!$D$11:$D$40,2)-SUMIFS(Override!$E$11:$E$40,Override!$B$11:$B$40,$B85,Override!$D$11:$D$40,2,Override!$C$11:$C$40,"MXAU"),Override!$D$120)/AS51!$B$3,"")))</f>
        <v/>
      </c>
      <c r="H85" s="140">
        <f>IF(H$13="","",IF($B85="","",IFERROR($C85*$D85*IF((Override!$C$4="ON")*(COUNTIFS(Override!$B$11:$B$40,$B85,Override!$D$11:$D$40,3,Override!$E$11:$E$40,"&gt;=0")-COUNTIFS(Override!$B$11:$B$40,$B85,Override!$D$11:$D$40,3,Override!$E$11:$E$40,"&gt;=0",Override!$C$11:$C$40,"MXAU"))&gt;0,SUMIFS(Override!$E$11:$E$40,Override!$B$11:$B$40,$B85,Override!$D$11:$D$40,3)-SUMIFS(Override!$E$11:$E$40,Override!$B$11:$B$40,$B85,Override!$D$11:$D$40,3,Override!$C$11:$C$40,"MXAU"),Override!$E$120)/AS51!$B$3,"")))</f>
        <v/>
      </c>
      <c r="I85" s="140">
        <f>IF(I$13="","",IF($B85="","",IFERROR($C85*$D85*IF((Override!$C$4="ON")*(COUNTIFS(Override!$B$11:$B$40,$B85,Override!$D$11:$D$40,4,Override!$E$11:$E$40,"&gt;=0")-COUNTIFS(Override!$B$11:$B$40,$B85,Override!$D$11:$D$40,4,Override!$E$11:$E$40,"&gt;=0",Override!$C$11:$C$40,"MXAU"))&gt;0,SUMIFS(Override!$E$11:$E$40,Override!$B$11:$B$40,$B85,Override!$D$11:$D$40,4)-SUMIFS(Override!$E$11:$E$40,Override!$B$11:$B$40,$B85,Override!$D$11:$D$40,4,Override!$C$11:$C$40,"MXAU"),Override!$F$120)/AS51!$B$3,"")))</f>
        <v/>
      </c>
      <c r="J85" s="140">
        <f>IF(J$13="","",IF($B85="","",IFERROR($C85*$D85*IF((Override!$C$4="ON")*(COUNTIFS(Override!$B$11:$B$40,$B85,Override!$D$11:$D$40,5,Override!$E$11:$E$40,"&gt;=0")-COUNTIFS(Override!$B$11:$B$40,$B85,Override!$D$11:$D$40,5,Override!$E$11:$E$40,"&gt;=0",Override!$C$11:$C$40,"MXAU"))&gt;0,SUMIFS(Override!$E$11:$E$40,Override!$B$11:$B$40,$B85,Override!$D$11:$D$40,5)-SUMIFS(Override!$E$11:$E$40,Override!$B$11:$B$40,$B85,Override!$D$11:$D$40,5,Override!$C$11:$C$40,"MXAU"),Override!$G$120)/AS51!$B$3,"")))</f>
        <v/>
      </c>
      <c r="K85" s="140">
        <f>IF(K$13="","",IF($B85="","",IFERROR($C85*$D85*IF((Override!$C$4="ON")*(COUNTIFS(Override!$B$11:$B$40,$B85,Override!$D$11:$D$40,6,Override!$E$11:$E$40,"&gt;=0")-COUNTIFS(Override!$B$11:$B$40,$B85,Override!$D$11:$D$40,6,Override!$E$11:$E$40,"&gt;=0",Override!$C$11:$C$40,"MXAU"))&gt;0,SUMIFS(Override!$E$11:$E$40,Override!$B$11:$B$40,$B85,Override!$D$11:$D$40,6)-SUMIFS(Override!$E$11:$E$40,Override!$B$11:$B$40,$B85,Override!$D$11:$D$40,6,Override!$C$11:$C$40,"MXAU"),Override!$H$120)/AS51!$B$3,"")))</f>
        <v/>
      </c>
      <c r="L85" s="140">
        <f>IF(L$13="","",IF($B85="","",IFERROR($C85*$D85*IF((Override!$C$4="ON")*(COUNTIFS(Override!$B$11:$B$40,$B85,Override!$D$11:$D$40,7,Override!$E$11:$E$40,"&gt;=0")-COUNTIFS(Override!$B$11:$B$40,$B85,Override!$D$11:$D$40,7,Override!$E$11:$E$40,"&gt;=0",Override!$C$11:$C$40,"MXAU"))&gt;0,SUMIFS(Override!$E$11:$E$40,Override!$B$11:$B$40,$B85,Override!$D$11:$D$40,7)-SUMIFS(Override!$E$11:$E$40,Override!$B$11:$B$40,$B85,Override!$D$11:$D$40,7,Override!$C$11:$C$40,"MXAU"),Override!$I$120)/AS51!$B$3,"")))</f>
        <v/>
      </c>
      <c r="M85" s="140">
        <f>IF(M$13="","",IF($B85="","",IFERROR($C85*$D85*IF((Override!$C$4="ON")*(COUNTIFS(Override!$B$11:$B$40,$B85,Override!$D$11:$D$40,8,Override!$E$11:$E$40,"&gt;=0")-COUNTIFS(Override!$B$11:$B$40,$B85,Override!$D$11:$D$40,8,Override!$E$11:$E$40,"&gt;=0",Override!$C$11:$C$40,"MXAU"))&gt;0,SUMIFS(Override!$E$11:$E$40,Override!$B$11:$B$40,$B85,Override!$D$11:$D$40,8)-SUMIFS(Override!$E$11:$E$40,Override!$B$11:$B$40,$B85,Override!$D$11:$D$40,8,Override!$C$11:$C$40,"MXAU"),Override!$J$120)/AS51!$B$3,"")))</f>
        <v/>
      </c>
      <c r="N85" s="140">
        <f>IF(N$13="","",IF($B85="","",IFERROR($C85*$D85*IF((Override!$C$4="ON")*(COUNTIFS(Override!$B$11:$B$40,$B85,Override!$D$11:$D$40,9,Override!$E$11:$E$40,"&gt;=0")-COUNTIFS(Override!$B$11:$B$40,$B85,Override!$D$11:$D$40,9,Override!$E$11:$E$40,"&gt;=0",Override!$C$11:$C$40,"MXAU"))&gt;0,SUMIFS(Override!$E$11:$E$40,Override!$B$11:$B$40,$B85,Override!$D$11:$D$40,9)-SUMIFS(Override!$E$11:$E$40,Override!$B$11:$B$40,$B85,Override!$D$11:$D$40,9,Override!$C$11:$C$40,"MXAU"),Override!$K$120)/AS51!$B$3,"")))</f>
        <v/>
      </c>
      <c r="O85" s="140">
        <f>IF(O$13="","",IF($B85="","",IFERROR($C85*$D85*IF((Override!$C$4="ON")*(COUNTIFS(Override!$B$11:$B$40,$B85,Override!$D$11:$D$40,10,Override!$E$11:$E$40,"&gt;=0")-COUNTIFS(Override!$B$11:$B$40,$B85,Override!$D$11:$D$40,10,Override!$E$11:$E$40,"&gt;=0",Override!$C$11:$C$40,"MXAU"))&gt;0,SUMIFS(Override!$E$11:$E$40,Override!$B$11:$B$40,$B85,Override!$D$11:$D$40,10)-SUMIFS(Override!$E$11:$E$40,Override!$B$11:$B$40,$B85,Override!$D$11:$D$40,10,Override!$C$11:$C$40,"MXAU"),Override!$L$120)/AS51!$B$3,"")))</f>
        <v/>
      </c>
      <c r="P85" s="140">
        <f>IF(P$13="","",IF($B85="","",IFERROR($C85*$D85*IF((Override!$C$4="ON")*(COUNTIFS(Override!$B$11:$B$40,$B85,Override!$D$11:$D$40,11,Override!$E$11:$E$40,"&gt;=0")-COUNTIFS(Override!$B$11:$B$40,$B85,Override!$D$11:$D$40,11,Override!$E$11:$E$40,"&gt;=0",Override!$C$11:$C$40,"MXAU"))&gt;0,SUMIFS(Override!$E$11:$E$40,Override!$B$11:$B$40,$B85,Override!$D$11:$D$40,11)-SUMIFS(Override!$E$11:$E$40,Override!$B$11:$B$40,$B85,Override!$D$11:$D$40,11,Override!$C$11:$C$40,"MXAU"),Override!$M$120)/AS51!$B$3,"")))</f>
        <v/>
      </c>
      <c r="Q85" s="140">
        <f>IF(Q$13="","",IF($B85="","",IFERROR($C85*$D85*IF((Override!$C$4="ON")*(COUNTIFS(Override!$B$11:$B$40,$B85,Override!$D$11:$D$40,12,Override!$E$11:$E$40,"&gt;=0")-COUNTIFS(Override!$B$11:$B$40,$B85,Override!$D$11:$D$40,12,Override!$E$11:$E$40,"&gt;=0",Override!$C$11:$C$40,"MXAU"))&gt;0,SUMIFS(Override!$E$11:$E$40,Override!$B$11:$B$40,$B85,Override!$D$11:$D$40,12)-SUMIFS(Override!$E$11:$E$40,Override!$B$11:$B$40,$B85,Override!$D$11:$D$40,12,Override!$C$11:$C$40,"MXAU"),Override!$N$120)/AS51!$B$3,"")))</f>
        <v/>
      </c>
      <c r="R85" s="140">
        <f>IF(R$13="","",IF($B85="","",IFERROR($C85*$D85*IF((Override!$C$4="ON")*(COUNTIFS(Override!$B$11:$B$40,$B85,Override!$D$11:$D$40,13,Override!$E$11:$E$40,"&gt;=0")-COUNTIFS(Override!$B$11:$B$40,$B85,Override!$D$11:$D$40,13,Override!$E$11:$E$40,"&gt;=0",Override!$C$11:$C$40,"MXAU"))&gt;0,SUMIFS(Override!$E$11:$E$40,Override!$B$11:$B$40,$B85,Override!$D$11:$D$40,13)-SUMIFS(Override!$E$11:$E$40,Override!$B$11:$B$40,$B85,Override!$D$11:$D$40,13,Override!$C$11:$C$40,"MXAU"),Override!$O$120)/AS51!$B$3,"")))</f>
        <v/>
      </c>
      <c r="S85" s="140">
        <f>IF(S$13="","",IF($B85="","",IFERROR($C85*$D85*IF((Override!$C$4="ON")*(COUNTIFS(Override!$B$11:$B$40,$B85,Override!$D$11:$D$40,14,Override!$E$11:$E$40,"&gt;=0")-COUNTIFS(Override!$B$11:$B$40,$B85,Override!$D$11:$D$40,14,Override!$E$11:$E$40,"&gt;=0",Override!$C$11:$C$40,"MXAU"))&gt;0,SUMIFS(Override!$E$11:$E$40,Override!$B$11:$B$40,$B85,Override!$D$11:$D$40,14)-SUMIFS(Override!$E$11:$E$40,Override!$B$11:$B$40,$B85,Override!$D$11:$D$40,14,Override!$C$11:$C$40,"MXAU"),Override!$P$120)/AS51!$B$3,"")))</f>
        <v/>
      </c>
      <c r="T85" s="140">
        <f>IF(T$13="","",IF($B85="","",IFERROR($C85*$D85*IF((Override!$C$4="ON")*(COUNTIFS(Override!$B$11:$B$40,$B85,Override!$D$11:$D$40,15,Override!$E$11:$E$40,"&gt;=0")-COUNTIFS(Override!$B$11:$B$40,$B85,Override!$D$11:$D$40,15,Override!$E$11:$E$40,"&gt;=0",Override!$C$11:$C$40,"MXAU"))&gt;0,SUMIFS(Override!$E$11:$E$40,Override!$B$11:$B$40,$B85,Override!$D$11:$D$40,15)-SUMIFS(Override!$E$11:$E$40,Override!$B$11:$B$40,$B85,Override!$D$11:$D$40,15,Override!$C$11:$C$40,"MXAU"),Override!$Q$120)/AS51!$B$3,"")))</f>
        <v/>
      </c>
      <c r="U85" s="140">
        <f>IF(U$13="","",IF($B85="","",IFERROR($C85*$D85*IF((Override!$C$4="ON")*(COUNTIFS(Override!$B$11:$B$40,$B85,Override!$D$11:$D$40,16,Override!$E$11:$E$40,"&gt;=0")-COUNTIFS(Override!$B$11:$B$40,$B85,Override!$D$11:$D$40,16,Override!$E$11:$E$40,"&gt;=0",Override!$C$11:$C$40,"MXAU"))&gt;0,SUMIFS(Override!$E$11:$E$40,Override!$B$11:$B$40,$B85,Override!$D$11:$D$40,16)-SUMIFS(Override!$E$11:$E$40,Override!$B$11:$B$40,$B85,Override!$D$11:$D$40,16,Override!$C$11:$C$40,"MXAU"),Override!$R$120)/AS51!$B$3,"")))</f>
        <v/>
      </c>
      <c r="W85" s="140">
        <f>IF(W$13="","",IF($B85="","",IFERROR(F85*$E85/100,"")))</f>
        <v/>
      </c>
      <c r="X85" s="140">
        <f>IF(X$13="","",IF($B85="","",IFERROR(G85*$E85/100,"")))</f>
        <v/>
      </c>
      <c r="Y85" s="140">
        <f>IF(Y$13="","",IF($B85="","",IFERROR(H85*$E85/100,"")))</f>
        <v/>
      </c>
      <c r="Z85" s="140">
        <f>IF(Z$13="","",IF($B85="","",IFERROR(I85*$E85/100,"")))</f>
        <v/>
      </c>
      <c r="AA85" s="140">
        <f>IF(AA$13="","",IF($B85="","",IFERROR(J85*$E85/100,"")))</f>
        <v/>
      </c>
      <c r="AB85" s="140">
        <f>IF(AB$13="","",IF($B85="","",IFERROR(K85*$E85/100,"")))</f>
        <v/>
      </c>
      <c r="AC85" s="140">
        <f>IF(AC$13="","",IF($B85="","",IFERROR(L85*$E85/100,"")))</f>
        <v/>
      </c>
      <c r="AD85" s="140">
        <f>IF(AD$13="","",IF($B85="","",IFERROR(M85*$E85/100,"")))</f>
        <v/>
      </c>
      <c r="AE85" s="140">
        <f>IF(AE$13="","",IF($B85="","",IFERROR(N85*$E85/100,"")))</f>
        <v/>
      </c>
      <c r="AF85" s="140">
        <f>IF(AF$13="","",IF($B85="","",IFERROR(O85*$E85/100,"")))</f>
        <v/>
      </c>
      <c r="AG85" s="140">
        <f>IF(AG$13="","",IF($B85="","",IFERROR(P85*$E85/100,"")))</f>
        <v/>
      </c>
      <c r="AH85" s="140">
        <f>IF(AH$13="","",IF($B85="","",IFERROR(Q85*$E85/100,"")))</f>
        <v/>
      </c>
      <c r="AI85" s="140">
        <f>IF(AI$13="","",IF($B85="","",IFERROR(R85*$E85/100,"")))</f>
        <v/>
      </c>
      <c r="AJ85" s="140">
        <f>IF(AJ$13="","",IF($B85="","",IFERROR(S85*$E85/100,"")))</f>
        <v/>
      </c>
      <c r="AK85" s="140">
        <f>IF(AK$13="","",IF($B85="","",IFERROR(T85*$E85/100,"")))</f>
        <v/>
      </c>
      <c r="AL85" s="140">
        <f>IF(AL$13="","",IF($B85="","",IFERROR(U85*$E85/100,"")))</f>
        <v/>
      </c>
      <c r="AN85" s="140">
        <f>IF($B85="","",SUMIF($F$13:$U$13,"&lt;="&amp;Sector!$D$51,$F85:$U85))</f>
        <v/>
      </c>
      <c r="AO85" s="140">
        <f>IF($B85="","",SUMIF($W$13:$AL$13,"&lt;="&amp;Sector!$D$51,$W85:$AL85))</f>
        <v/>
      </c>
    </row>
    <row r="86">
      <c r="B86" s="5">
        <f>IF(AS51!$C$76="","",AS51!$C$76)</f>
        <v/>
      </c>
      <c r="C86" s="90">
        <f>IF(AS51!$B$76="","",AS51!$B$76)</f>
        <v/>
      </c>
      <c r="D86" s="138">
        <f>IFERROR(AS51!$Q$76,1)</f>
        <v/>
      </c>
      <c r="E86" s="139">
        <f>IF($B86="","",IF(ISNUMBER(AS51!$I$76),AS51!$I$76,'Index Summary'!$C$7))</f>
        <v/>
      </c>
      <c r="F86" s="140">
        <f>IF(F$13="","",IF($B86="","",IFERROR($C86*$D86*IF((Override!$C$4="ON")*(COUNTIFS(Override!$B$11:$B$40,$B86,Override!$D$11:$D$40,1,Override!$E$11:$E$40,"&gt;=0")-COUNTIFS(Override!$B$11:$B$40,$B86,Override!$D$11:$D$40,1,Override!$E$11:$E$40,"&gt;=0",Override!$C$11:$C$40,"MXAU"))&gt;0,SUMIFS(Override!$E$11:$E$40,Override!$B$11:$B$40,$B86,Override!$D$11:$D$40,1)-SUMIFS(Override!$E$11:$E$40,Override!$B$11:$B$40,$B86,Override!$D$11:$D$40,1,Override!$C$11:$C$40,"MXAU"),Override!$C$121)/AS51!$B$3,"")))</f>
        <v/>
      </c>
      <c r="G86" s="140">
        <f>IF(G$13="","",IF($B86="","",IFERROR($C86*$D86*IF((Override!$C$4="ON")*(COUNTIFS(Override!$B$11:$B$40,$B86,Override!$D$11:$D$40,2,Override!$E$11:$E$40,"&gt;=0")-COUNTIFS(Override!$B$11:$B$40,$B86,Override!$D$11:$D$40,2,Override!$E$11:$E$40,"&gt;=0",Override!$C$11:$C$40,"MXAU"))&gt;0,SUMIFS(Override!$E$11:$E$40,Override!$B$11:$B$40,$B86,Override!$D$11:$D$40,2)-SUMIFS(Override!$E$11:$E$40,Override!$B$11:$B$40,$B86,Override!$D$11:$D$40,2,Override!$C$11:$C$40,"MXAU"),Override!$D$121)/AS51!$B$3,"")))</f>
        <v/>
      </c>
      <c r="H86" s="140">
        <f>IF(H$13="","",IF($B86="","",IFERROR($C86*$D86*IF((Override!$C$4="ON")*(COUNTIFS(Override!$B$11:$B$40,$B86,Override!$D$11:$D$40,3,Override!$E$11:$E$40,"&gt;=0")-COUNTIFS(Override!$B$11:$B$40,$B86,Override!$D$11:$D$40,3,Override!$E$11:$E$40,"&gt;=0",Override!$C$11:$C$40,"MXAU"))&gt;0,SUMIFS(Override!$E$11:$E$40,Override!$B$11:$B$40,$B86,Override!$D$11:$D$40,3)-SUMIFS(Override!$E$11:$E$40,Override!$B$11:$B$40,$B86,Override!$D$11:$D$40,3,Override!$C$11:$C$40,"MXAU"),Override!$E$121)/AS51!$B$3,"")))</f>
        <v/>
      </c>
      <c r="I86" s="140">
        <f>IF(I$13="","",IF($B86="","",IFERROR($C86*$D86*IF((Override!$C$4="ON")*(COUNTIFS(Override!$B$11:$B$40,$B86,Override!$D$11:$D$40,4,Override!$E$11:$E$40,"&gt;=0")-COUNTIFS(Override!$B$11:$B$40,$B86,Override!$D$11:$D$40,4,Override!$E$11:$E$40,"&gt;=0",Override!$C$11:$C$40,"MXAU"))&gt;0,SUMIFS(Override!$E$11:$E$40,Override!$B$11:$B$40,$B86,Override!$D$11:$D$40,4)-SUMIFS(Override!$E$11:$E$40,Override!$B$11:$B$40,$B86,Override!$D$11:$D$40,4,Override!$C$11:$C$40,"MXAU"),Override!$F$121)/AS51!$B$3,"")))</f>
        <v/>
      </c>
      <c r="J86" s="140">
        <f>IF(J$13="","",IF($B86="","",IFERROR($C86*$D86*IF((Override!$C$4="ON")*(COUNTIFS(Override!$B$11:$B$40,$B86,Override!$D$11:$D$40,5,Override!$E$11:$E$40,"&gt;=0")-COUNTIFS(Override!$B$11:$B$40,$B86,Override!$D$11:$D$40,5,Override!$E$11:$E$40,"&gt;=0",Override!$C$11:$C$40,"MXAU"))&gt;0,SUMIFS(Override!$E$11:$E$40,Override!$B$11:$B$40,$B86,Override!$D$11:$D$40,5)-SUMIFS(Override!$E$11:$E$40,Override!$B$11:$B$40,$B86,Override!$D$11:$D$40,5,Override!$C$11:$C$40,"MXAU"),Override!$G$121)/AS51!$B$3,"")))</f>
        <v/>
      </c>
      <c r="K86" s="140">
        <f>IF(K$13="","",IF($B86="","",IFERROR($C86*$D86*IF((Override!$C$4="ON")*(COUNTIFS(Override!$B$11:$B$40,$B86,Override!$D$11:$D$40,6,Override!$E$11:$E$40,"&gt;=0")-COUNTIFS(Override!$B$11:$B$40,$B86,Override!$D$11:$D$40,6,Override!$E$11:$E$40,"&gt;=0",Override!$C$11:$C$40,"MXAU"))&gt;0,SUMIFS(Override!$E$11:$E$40,Override!$B$11:$B$40,$B86,Override!$D$11:$D$40,6)-SUMIFS(Override!$E$11:$E$40,Override!$B$11:$B$40,$B86,Override!$D$11:$D$40,6,Override!$C$11:$C$40,"MXAU"),Override!$H$121)/AS51!$B$3,"")))</f>
        <v/>
      </c>
      <c r="L86" s="140">
        <f>IF(L$13="","",IF($B86="","",IFERROR($C86*$D86*IF((Override!$C$4="ON")*(COUNTIFS(Override!$B$11:$B$40,$B86,Override!$D$11:$D$40,7,Override!$E$11:$E$40,"&gt;=0")-COUNTIFS(Override!$B$11:$B$40,$B86,Override!$D$11:$D$40,7,Override!$E$11:$E$40,"&gt;=0",Override!$C$11:$C$40,"MXAU"))&gt;0,SUMIFS(Override!$E$11:$E$40,Override!$B$11:$B$40,$B86,Override!$D$11:$D$40,7)-SUMIFS(Override!$E$11:$E$40,Override!$B$11:$B$40,$B86,Override!$D$11:$D$40,7,Override!$C$11:$C$40,"MXAU"),Override!$I$121)/AS51!$B$3,"")))</f>
        <v/>
      </c>
      <c r="M86" s="140">
        <f>IF(M$13="","",IF($B86="","",IFERROR($C86*$D86*IF((Override!$C$4="ON")*(COUNTIFS(Override!$B$11:$B$40,$B86,Override!$D$11:$D$40,8,Override!$E$11:$E$40,"&gt;=0")-COUNTIFS(Override!$B$11:$B$40,$B86,Override!$D$11:$D$40,8,Override!$E$11:$E$40,"&gt;=0",Override!$C$11:$C$40,"MXAU"))&gt;0,SUMIFS(Override!$E$11:$E$40,Override!$B$11:$B$40,$B86,Override!$D$11:$D$40,8)-SUMIFS(Override!$E$11:$E$40,Override!$B$11:$B$40,$B86,Override!$D$11:$D$40,8,Override!$C$11:$C$40,"MXAU"),Override!$J$121)/AS51!$B$3,"")))</f>
        <v/>
      </c>
      <c r="N86" s="140">
        <f>IF(N$13="","",IF($B86="","",IFERROR($C86*$D86*IF((Override!$C$4="ON")*(COUNTIFS(Override!$B$11:$B$40,$B86,Override!$D$11:$D$40,9,Override!$E$11:$E$40,"&gt;=0")-COUNTIFS(Override!$B$11:$B$40,$B86,Override!$D$11:$D$40,9,Override!$E$11:$E$40,"&gt;=0",Override!$C$11:$C$40,"MXAU"))&gt;0,SUMIFS(Override!$E$11:$E$40,Override!$B$11:$B$40,$B86,Override!$D$11:$D$40,9)-SUMIFS(Override!$E$11:$E$40,Override!$B$11:$B$40,$B86,Override!$D$11:$D$40,9,Override!$C$11:$C$40,"MXAU"),Override!$K$121)/AS51!$B$3,"")))</f>
        <v/>
      </c>
      <c r="O86" s="140">
        <f>IF(O$13="","",IF($B86="","",IFERROR($C86*$D86*IF((Override!$C$4="ON")*(COUNTIFS(Override!$B$11:$B$40,$B86,Override!$D$11:$D$40,10,Override!$E$11:$E$40,"&gt;=0")-COUNTIFS(Override!$B$11:$B$40,$B86,Override!$D$11:$D$40,10,Override!$E$11:$E$40,"&gt;=0",Override!$C$11:$C$40,"MXAU"))&gt;0,SUMIFS(Override!$E$11:$E$40,Override!$B$11:$B$40,$B86,Override!$D$11:$D$40,10)-SUMIFS(Override!$E$11:$E$40,Override!$B$11:$B$40,$B86,Override!$D$11:$D$40,10,Override!$C$11:$C$40,"MXAU"),Override!$L$121)/AS51!$B$3,"")))</f>
        <v/>
      </c>
      <c r="P86" s="140">
        <f>IF(P$13="","",IF($B86="","",IFERROR($C86*$D86*IF((Override!$C$4="ON")*(COUNTIFS(Override!$B$11:$B$40,$B86,Override!$D$11:$D$40,11,Override!$E$11:$E$40,"&gt;=0")-COUNTIFS(Override!$B$11:$B$40,$B86,Override!$D$11:$D$40,11,Override!$E$11:$E$40,"&gt;=0",Override!$C$11:$C$40,"MXAU"))&gt;0,SUMIFS(Override!$E$11:$E$40,Override!$B$11:$B$40,$B86,Override!$D$11:$D$40,11)-SUMIFS(Override!$E$11:$E$40,Override!$B$11:$B$40,$B86,Override!$D$11:$D$40,11,Override!$C$11:$C$40,"MXAU"),Override!$M$121)/AS51!$B$3,"")))</f>
        <v/>
      </c>
      <c r="Q86" s="140">
        <f>IF(Q$13="","",IF($B86="","",IFERROR($C86*$D86*IF((Override!$C$4="ON")*(COUNTIFS(Override!$B$11:$B$40,$B86,Override!$D$11:$D$40,12,Override!$E$11:$E$40,"&gt;=0")-COUNTIFS(Override!$B$11:$B$40,$B86,Override!$D$11:$D$40,12,Override!$E$11:$E$40,"&gt;=0",Override!$C$11:$C$40,"MXAU"))&gt;0,SUMIFS(Override!$E$11:$E$40,Override!$B$11:$B$40,$B86,Override!$D$11:$D$40,12)-SUMIFS(Override!$E$11:$E$40,Override!$B$11:$B$40,$B86,Override!$D$11:$D$40,12,Override!$C$11:$C$40,"MXAU"),Override!$N$121)/AS51!$B$3,"")))</f>
        <v/>
      </c>
      <c r="R86" s="140">
        <f>IF(R$13="","",IF($B86="","",IFERROR($C86*$D86*IF((Override!$C$4="ON")*(COUNTIFS(Override!$B$11:$B$40,$B86,Override!$D$11:$D$40,13,Override!$E$11:$E$40,"&gt;=0")-COUNTIFS(Override!$B$11:$B$40,$B86,Override!$D$11:$D$40,13,Override!$E$11:$E$40,"&gt;=0",Override!$C$11:$C$40,"MXAU"))&gt;0,SUMIFS(Override!$E$11:$E$40,Override!$B$11:$B$40,$B86,Override!$D$11:$D$40,13)-SUMIFS(Override!$E$11:$E$40,Override!$B$11:$B$40,$B86,Override!$D$11:$D$40,13,Override!$C$11:$C$40,"MXAU"),Override!$O$121)/AS51!$B$3,"")))</f>
        <v/>
      </c>
      <c r="S86" s="140">
        <f>IF(S$13="","",IF($B86="","",IFERROR($C86*$D86*IF((Override!$C$4="ON")*(COUNTIFS(Override!$B$11:$B$40,$B86,Override!$D$11:$D$40,14,Override!$E$11:$E$40,"&gt;=0")-COUNTIFS(Override!$B$11:$B$40,$B86,Override!$D$11:$D$40,14,Override!$E$11:$E$40,"&gt;=0",Override!$C$11:$C$40,"MXAU"))&gt;0,SUMIFS(Override!$E$11:$E$40,Override!$B$11:$B$40,$B86,Override!$D$11:$D$40,14)-SUMIFS(Override!$E$11:$E$40,Override!$B$11:$B$40,$B86,Override!$D$11:$D$40,14,Override!$C$11:$C$40,"MXAU"),Override!$P$121)/AS51!$B$3,"")))</f>
        <v/>
      </c>
      <c r="T86" s="140">
        <f>IF(T$13="","",IF($B86="","",IFERROR($C86*$D86*IF((Override!$C$4="ON")*(COUNTIFS(Override!$B$11:$B$40,$B86,Override!$D$11:$D$40,15,Override!$E$11:$E$40,"&gt;=0")-COUNTIFS(Override!$B$11:$B$40,$B86,Override!$D$11:$D$40,15,Override!$E$11:$E$40,"&gt;=0",Override!$C$11:$C$40,"MXAU"))&gt;0,SUMIFS(Override!$E$11:$E$40,Override!$B$11:$B$40,$B86,Override!$D$11:$D$40,15)-SUMIFS(Override!$E$11:$E$40,Override!$B$11:$B$40,$B86,Override!$D$11:$D$40,15,Override!$C$11:$C$40,"MXAU"),Override!$Q$121)/AS51!$B$3,"")))</f>
        <v/>
      </c>
      <c r="U86" s="140">
        <f>IF(U$13="","",IF($B86="","",IFERROR($C86*$D86*IF((Override!$C$4="ON")*(COUNTIFS(Override!$B$11:$B$40,$B86,Override!$D$11:$D$40,16,Override!$E$11:$E$40,"&gt;=0")-COUNTIFS(Override!$B$11:$B$40,$B86,Override!$D$11:$D$40,16,Override!$E$11:$E$40,"&gt;=0",Override!$C$11:$C$40,"MXAU"))&gt;0,SUMIFS(Override!$E$11:$E$40,Override!$B$11:$B$40,$B86,Override!$D$11:$D$40,16)-SUMIFS(Override!$E$11:$E$40,Override!$B$11:$B$40,$B86,Override!$D$11:$D$40,16,Override!$C$11:$C$40,"MXAU"),Override!$R$121)/AS51!$B$3,"")))</f>
        <v/>
      </c>
      <c r="W86" s="140">
        <f>IF(W$13="","",IF($B86="","",IFERROR(F86*$E86/100,"")))</f>
        <v/>
      </c>
      <c r="X86" s="140">
        <f>IF(X$13="","",IF($B86="","",IFERROR(G86*$E86/100,"")))</f>
        <v/>
      </c>
      <c r="Y86" s="140">
        <f>IF(Y$13="","",IF($B86="","",IFERROR(H86*$E86/100,"")))</f>
        <v/>
      </c>
      <c r="Z86" s="140">
        <f>IF(Z$13="","",IF($B86="","",IFERROR(I86*$E86/100,"")))</f>
        <v/>
      </c>
      <c r="AA86" s="140">
        <f>IF(AA$13="","",IF($B86="","",IFERROR(J86*$E86/100,"")))</f>
        <v/>
      </c>
      <c r="AB86" s="140">
        <f>IF(AB$13="","",IF($B86="","",IFERROR(K86*$E86/100,"")))</f>
        <v/>
      </c>
      <c r="AC86" s="140">
        <f>IF(AC$13="","",IF($B86="","",IFERROR(L86*$E86/100,"")))</f>
        <v/>
      </c>
      <c r="AD86" s="140">
        <f>IF(AD$13="","",IF($B86="","",IFERROR(M86*$E86/100,"")))</f>
        <v/>
      </c>
      <c r="AE86" s="140">
        <f>IF(AE$13="","",IF($B86="","",IFERROR(N86*$E86/100,"")))</f>
        <v/>
      </c>
      <c r="AF86" s="140">
        <f>IF(AF$13="","",IF($B86="","",IFERROR(O86*$E86/100,"")))</f>
        <v/>
      </c>
      <c r="AG86" s="140">
        <f>IF(AG$13="","",IF($B86="","",IFERROR(P86*$E86/100,"")))</f>
        <v/>
      </c>
      <c r="AH86" s="140">
        <f>IF(AH$13="","",IF($B86="","",IFERROR(Q86*$E86/100,"")))</f>
        <v/>
      </c>
      <c r="AI86" s="140">
        <f>IF(AI$13="","",IF($B86="","",IFERROR(R86*$E86/100,"")))</f>
        <v/>
      </c>
      <c r="AJ86" s="140">
        <f>IF(AJ$13="","",IF($B86="","",IFERROR(S86*$E86/100,"")))</f>
        <v/>
      </c>
      <c r="AK86" s="140">
        <f>IF(AK$13="","",IF($B86="","",IFERROR(T86*$E86/100,"")))</f>
        <v/>
      </c>
      <c r="AL86" s="140">
        <f>IF(AL$13="","",IF($B86="","",IFERROR(U86*$E86/100,"")))</f>
        <v/>
      </c>
      <c r="AN86" s="140">
        <f>IF($B86="","",SUMIF($F$13:$U$13,"&lt;="&amp;Sector!$D$51,$F86:$U86))</f>
        <v/>
      </c>
      <c r="AO86" s="140">
        <f>IF($B86="","",SUMIF($W$13:$AL$13,"&lt;="&amp;Sector!$D$51,$W86:$AL86))</f>
        <v/>
      </c>
    </row>
    <row r="87">
      <c r="B87" s="5">
        <f>IF(AS51!$C$77="","",AS51!$C$77)</f>
        <v/>
      </c>
      <c r="C87" s="90">
        <f>IF(AS51!$B$77="","",AS51!$B$77)</f>
        <v/>
      </c>
      <c r="D87" s="138">
        <f>IFERROR(AS51!$Q$77,1)</f>
        <v/>
      </c>
      <c r="E87" s="139">
        <f>IF($B87="","",IF(ISNUMBER(AS51!$I$77),AS51!$I$77,'Index Summary'!$C$7))</f>
        <v/>
      </c>
      <c r="F87" s="140">
        <f>IF(F$13="","",IF($B87="","",IFERROR($C87*$D87*IF((Override!$C$4="ON")*(COUNTIFS(Override!$B$11:$B$40,$B87,Override!$D$11:$D$40,1,Override!$E$11:$E$40,"&gt;=0")-COUNTIFS(Override!$B$11:$B$40,$B87,Override!$D$11:$D$40,1,Override!$E$11:$E$40,"&gt;=0",Override!$C$11:$C$40,"MXAU"))&gt;0,SUMIFS(Override!$E$11:$E$40,Override!$B$11:$B$40,$B87,Override!$D$11:$D$40,1)-SUMIFS(Override!$E$11:$E$40,Override!$B$11:$B$40,$B87,Override!$D$11:$D$40,1,Override!$C$11:$C$40,"MXAU"),Override!$C$122)/AS51!$B$3,"")))</f>
        <v/>
      </c>
      <c r="G87" s="140">
        <f>IF(G$13="","",IF($B87="","",IFERROR($C87*$D87*IF((Override!$C$4="ON")*(COUNTIFS(Override!$B$11:$B$40,$B87,Override!$D$11:$D$40,2,Override!$E$11:$E$40,"&gt;=0")-COUNTIFS(Override!$B$11:$B$40,$B87,Override!$D$11:$D$40,2,Override!$E$11:$E$40,"&gt;=0",Override!$C$11:$C$40,"MXAU"))&gt;0,SUMIFS(Override!$E$11:$E$40,Override!$B$11:$B$40,$B87,Override!$D$11:$D$40,2)-SUMIFS(Override!$E$11:$E$40,Override!$B$11:$B$40,$B87,Override!$D$11:$D$40,2,Override!$C$11:$C$40,"MXAU"),Override!$D$122)/AS51!$B$3,"")))</f>
        <v/>
      </c>
      <c r="H87" s="140">
        <f>IF(H$13="","",IF($B87="","",IFERROR($C87*$D87*IF((Override!$C$4="ON")*(COUNTIFS(Override!$B$11:$B$40,$B87,Override!$D$11:$D$40,3,Override!$E$11:$E$40,"&gt;=0")-COUNTIFS(Override!$B$11:$B$40,$B87,Override!$D$11:$D$40,3,Override!$E$11:$E$40,"&gt;=0",Override!$C$11:$C$40,"MXAU"))&gt;0,SUMIFS(Override!$E$11:$E$40,Override!$B$11:$B$40,$B87,Override!$D$11:$D$40,3)-SUMIFS(Override!$E$11:$E$40,Override!$B$11:$B$40,$B87,Override!$D$11:$D$40,3,Override!$C$11:$C$40,"MXAU"),Override!$E$122)/AS51!$B$3,"")))</f>
        <v/>
      </c>
      <c r="I87" s="140">
        <f>IF(I$13="","",IF($B87="","",IFERROR($C87*$D87*IF((Override!$C$4="ON")*(COUNTIFS(Override!$B$11:$B$40,$B87,Override!$D$11:$D$40,4,Override!$E$11:$E$40,"&gt;=0")-COUNTIFS(Override!$B$11:$B$40,$B87,Override!$D$11:$D$40,4,Override!$E$11:$E$40,"&gt;=0",Override!$C$11:$C$40,"MXAU"))&gt;0,SUMIFS(Override!$E$11:$E$40,Override!$B$11:$B$40,$B87,Override!$D$11:$D$40,4)-SUMIFS(Override!$E$11:$E$40,Override!$B$11:$B$40,$B87,Override!$D$11:$D$40,4,Override!$C$11:$C$40,"MXAU"),Override!$F$122)/AS51!$B$3,"")))</f>
        <v/>
      </c>
      <c r="J87" s="140">
        <f>IF(J$13="","",IF($B87="","",IFERROR($C87*$D87*IF((Override!$C$4="ON")*(COUNTIFS(Override!$B$11:$B$40,$B87,Override!$D$11:$D$40,5,Override!$E$11:$E$40,"&gt;=0")-COUNTIFS(Override!$B$11:$B$40,$B87,Override!$D$11:$D$40,5,Override!$E$11:$E$40,"&gt;=0",Override!$C$11:$C$40,"MXAU"))&gt;0,SUMIFS(Override!$E$11:$E$40,Override!$B$11:$B$40,$B87,Override!$D$11:$D$40,5)-SUMIFS(Override!$E$11:$E$40,Override!$B$11:$B$40,$B87,Override!$D$11:$D$40,5,Override!$C$11:$C$40,"MXAU"),Override!$G$122)/AS51!$B$3,"")))</f>
        <v/>
      </c>
      <c r="K87" s="140">
        <f>IF(K$13="","",IF($B87="","",IFERROR($C87*$D87*IF((Override!$C$4="ON")*(COUNTIFS(Override!$B$11:$B$40,$B87,Override!$D$11:$D$40,6,Override!$E$11:$E$40,"&gt;=0")-COUNTIFS(Override!$B$11:$B$40,$B87,Override!$D$11:$D$40,6,Override!$E$11:$E$40,"&gt;=0",Override!$C$11:$C$40,"MXAU"))&gt;0,SUMIFS(Override!$E$11:$E$40,Override!$B$11:$B$40,$B87,Override!$D$11:$D$40,6)-SUMIFS(Override!$E$11:$E$40,Override!$B$11:$B$40,$B87,Override!$D$11:$D$40,6,Override!$C$11:$C$40,"MXAU"),Override!$H$122)/AS51!$B$3,"")))</f>
        <v/>
      </c>
      <c r="L87" s="140">
        <f>IF(L$13="","",IF($B87="","",IFERROR($C87*$D87*IF((Override!$C$4="ON")*(COUNTIFS(Override!$B$11:$B$40,$B87,Override!$D$11:$D$40,7,Override!$E$11:$E$40,"&gt;=0")-COUNTIFS(Override!$B$11:$B$40,$B87,Override!$D$11:$D$40,7,Override!$E$11:$E$40,"&gt;=0",Override!$C$11:$C$40,"MXAU"))&gt;0,SUMIFS(Override!$E$11:$E$40,Override!$B$11:$B$40,$B87,Override!$D$11:$D$40,7)-SUMIFS(Override!$E$11:$E$40,Override!$B$11:$B$40,$B87,Override!$D$11:$D$40,7,Override!$C$11:$C$40,"MXAU"),Override!$I$122)/AS51!$B$3,"")))</f>
        <v/>
      </c>
      <c r="M87" s="140">
        <f>IF(M$13="","",IF($B87="","",IFERROR($C87*$D87*IF((Override!$C$4="ON")*(COUNTIFS(Override!$B$11:$B$40,$B87,Override!$D$11:$D$40,8,Override!$E$11:$E$40,"&gt;=0")-COUNTIFS(Override!$B$11:$B$40,$B87,Override!$D$11:$D$40,8,Override!$E$11:$E$40,"&gt;=0",Override!$C$11:$C$40,"MXAU"))&gt;0,SUMIFS(Override!$E$11:$E$40,Override!$B$11:$B$40,$B87,Override!$D$11:$D$40,8)-SUMIFS(Override!$E$11:$E$40,Override!$B$11:$B$40,$B87,Override!$D$11:$D$40,8,Override!$C$11:$C$40,"MXAU"),Override!$J$122)/AS51!$B$3,"")))</f>
        <v/>
      </c>
      <c r="N87" s="140">
        <f>IF(N$13="","",IF($B87="","",IFERROR($C87*$D87*IF((Override!$C$4="ON")*(COUNTIFS(Override!$B$11:$B$40,$B87,Override!$D$11:$D$40,9,Override!$E$11:$E$40,"&gt;=0")-COUNTIFS(Override!$B$11:$B$40,$B87,Override!$D$11:$D$40,9,Override!$E$11:$E$40,"&gt;=0",Override!$C$11:$C$40,"MXAU"))&gt;0,SUMIFS(Override!$E$11:$E$40,Override!$B$11:$B$40,$B87,Override!$D$11:$D$40,9)-SUMIFS(Override!$E$11:$E$40,Override!$B$11:$B$40,$B87,Override!$D$11:$D$40,9,Override!$C$11:$C$40,"MXAU"),Override!$K$122)/AS51!$B$3,"")))</f>
        <v/>
      </c>
      <c r="O87" s="140">
        <f>IF(O$13="","",IF($B87="","",IFERROR($C87*$D87*IF((Override!$C$4="ON")*(COUNTIFS(Override!$B$11:$B$40,$B87,Override!$D$11:$D$40,10,Override!$E$11:$E$40,"&gt;=0")-COUNTIFS(Override!$B$11:$B$40,$B87,Override!$D$11:$D$40,10,Override!$E$11:$E$40,"&gt;=0",Override!$C$11:$C$40,"MXAU"))&gt;0,SUMIFS(Override!$E$11:$E$40,Override!$B$11:$B$40,$B87,Override!$D$11:$D$40,10)-SUMIFS(Override!$E$11:$E$40,Override!$B$11:$B$40,$B87,Override!$D$11:$D$40,10,Override!$C$11:$C$40,"MXAU"),Override!$L$122)/AS51!$B$3,"")))</f>
        <v/>
      </c>
      <c r="P87" s="140">
        <f>IF(P$13="","",IF($B87="","",IFERROR($C87*$D87*IF((Override!$C$4="ON")*(COUNTIFS(Override!$B$11:$B$40,$B87,Override!$D$11:$D$40,11,Override!$E$11:$E$40,"&gt;=0")-COUNTIFS(Override!$B$11:$B$40,$B87,Override!$D$11:$D$40,11,Override!$E$11:$E$40,"&gt;=0",Override!$C$11:$C$40,"MXAU"))&gt;0,SUMIFS(Override!$E$11:$E$40,Override!$B$11:$B$40,$B87,Override!$D$11:$D$40,11)-SUMIFS(Override!$E$11:$E$40,Override!$B$11:$B$40,$B87,Override!$D$11:$D$40,11,Override!$C$11:$C$40,"MXAU"),Override!$M$122)/AS51!$B$3,"")))</f>
        <v/>
      </c>
      <c r="Q87" s="140">
        <f>IF(Q$13="","",IF($B87="","",IFERROR($C87*$D87*IF((Override!$C$4="ON")*(COUNTIFS(Override!$B$11:$B$40,$B87,Override!$D$11:$D$40,12,Override!$E$11:$E$40,"&gt;=0")-COUNTIFS(Override!$B$11:$B$40,$B87,Override!$D$11:$D$40,12,Override!$E$11:$E$40,"&gt;=0",Override!$C$11:$C$40,"MXAU"))&gt;0,SUMIFS(Override!$E$11:$E$40,Override!$B$11:$B$40,$B87,Override!$D$11:$D$40,12)-SUMIFS(Override!$E$11:$E$40,Override!$B$11:$B$40,$B87,Override!$D$11:$D$40,12,Override!$C$11:$C$40,"MXAU"),Override!$N$122)/AS51!$B$3,"")))</f>
        <v/>
      </c>
      <c r="R87" s="140">
        <f>IF(R$13="","",IF($B87="","",IFERROR($C87*$D87*IF((Override!$C$4="ON")*(COUNTIFS(Override!$B$11:$B$40,$B87,Override!$D$11:$D$40,13,Override!$E$11:$E$40,"&gt;=0")-COUNTIFS(Override!$B$11:$B$40,$B87,Override!$D$11:$D$40,13,Override!$E$11:$E$40,"&gt;=0",Override!$C$11:$C$40,"MXAU"))&gt;0,SUMIFS(Override!$E$11:$E$40,Override!$B$11:$B$40,$B87,Override!$D$11:$D$40,13)-SUMIFS(Override!$E$11:$E$40,Override!$B$11:$B$40,$B87,Override!$D$11:$D$40,13,Override!$C$11:$C$40,"MXAU"),Override!$O$122)/AS51!$B$3,"")))</f>
        <v/>
      </c>
      <c r="S87" s="140">
        <f>IF(S$13="","",IF($B87="","",IFERROR($C87*$D87*IF((Override!$C$4="ON")*(COUNTIFS(Override!$B$11:$B$40,$B87,Override!$D$11:$D$40,14,Override!$E$11:$E$40,"&gt;=0")-COUNTIFS(Override!$B$11:$B$40,$B87,Override!$D$11:$D$40,14,Override!$E$11:$E$40,"&gt;=0",Override!$C$11:$C$40,"MXAU"))&gt;0,SUMIFS(Override!$E$11:$E$40,Override!$B$11:$B$40,$B87,Override!$D$11:$D$40,14)-SUMIFS(Override!$E$11:$E$40,Override!$B$11:$B$40,$B87,Override!$D$11:$D$40,14,Override!$C$11:$C$40,"MXAU"),Override!$P$122)/AS51!$B$3,"")))</f>
        <v/>
      </c>
      <c r="T87" s="140">
        <f>IF(T$13="","",IF($B87="","",IFERROR($C87*$D87*IF((Override!$C$4="ON")*(COUNTIFS(Override!$B$11:$B$40,$B87,Override!$D$11:$D$40,15,Override!$E$11:$E$40,"&gt;=0")-COUNTIFS(Override!$B$11:$B$40,$B87,Override!$D$11:$D$40,15,Override!$E$11:$E$40,"&gt;=0",Override!$C$11:$C$40,"MXAU"))&gt;0,SUMIFS(Override!$E$11:$E$40,Override!$B$11:$B$40,$B87,Override!$D$11:$D$40,15)-SUMIFS(Override!$E$11:$E$40,Override!$B$11:$B$40,$B87,Override!$D$11:$D$40,15,Override!$C$11:$C$40,"MXAU"),Override!$Q$122)/AS51!$B$3,"")))</f>
        <v/>
      </c>
      <c r="U87" s="140">
        <f>IF(U$13="","",IF($B87="","",IFERROR($C87*$D87*IF((Override!$C$4="ON")*(COUNTIFS(Override!$B$11:$B$40,$B87,Override!$D$11:$D$40,16,Override!$E$11:$E$40,"&gt;=0")-COUNTIFS(Override!$B$11:$B$40,$B87,Override!$D$11:$D$40,16,Override!$E$11:$E$40,"&gt;=0",Override!$C$11:$C$40,"MXAU"))&gt;0,SUMIFS(Override!$E$11:$E$40,Override!$B$11:$B$40,$B87,Override!$D$11:$D$40,16)-SUMIFS(Override!$E$11:$E$40,Override!$B$11:$B$40,$B87,Override!$D$11:$D$40,16,Override!$C$11:$C$40,"MXAU"),Override!$R$122)/AS51!$B$3,"")))</f>
        <v/>
      </c>
      <c r="W87" s="140">
        <f>IF(W$13="","",IF($B87="","",IFERROR(F87*$E87/100,"")))</f>
        <v/>
      </c>
      <c r="X87" s="140">
        <f>IF(X$13="","",IF($B87="","",IFERROR(G87*$E87/100,"")))</f>
        <v/>
      </c>
      <c r="Y87" s="140">
        <f>IF(Y$13="","",IF($B87="","",IFERROR(H87*$E87/100,"")))</f>
        <v/>
      </c>
      <c r="Z87" s="140">
        <f>IF(Z$13="","",IF($B87="","",IFERROR(I87*$E87/100,"")))</f>
        <v/>
      </c>
      <c r="AA87" s="140">
        <f>IF(AA$13="","",IF($B87="","",IFERROR(J87*$E87/100,"")))</f>
        <v/>
      </c>
      <c r="AB87" s="140">
        <f>IF(AB$13="","",IF($B87="","",IFERROR(K87*$E87/100,"")))</f>
        <v/>
      </c>
      <c r="AC87" s="140">
        <f>IF(AC$13="","",IF($B87="","",IFERROR(L87*$E87/100,"")))</f>
        <v/>
      </c>
      <c r="AD87" s="140">
        <f>IF(AD$13="","",IF($B87="","",IFERROR(M87*$E87/100,"")))</f>
        <v/>
      </c>
      <c r="AE87" s="140">
        <f>IF(AE$13="","",IF($B87="","",IFERROR(N87*$E87/100,"")))</f>
        <v/>
      </c>
      <c r="AF87" s="140">
        <f>IF(AF$13="","",IF($B87="","",IFERROR(O87*$E87/100,"")))</f>
        <v/>
      </c>
      <c r="AG87" s="140">
        <f>IF(AG$13="","",IF($B87="","",IFERROR(P87*$E87/100,"")))</f>
        <v/>
      </c>
      <c r="AH87" s="140">
        <f>IF(AH$13="","",IF($B87="","",IFERROR(Q87*$E87/100,"")))</f>
        <v/>
      </c>
      <c r="AI87" s="140">
        <f>IF(AI$13="","",IF($B87="","",IFERROR(R87*$E87/100,"")))</f>
        <v/>
      </c>
      <c r="AJ87" s="140">
        <f>IF(AJ$13="","",IF($B87="","",IFERROR(S87*$E87/100,"")))</f>
        <v/>
      </c>
      <c r="AK87" s="140">
        <f>IF(AK$13="","",IF($B87="","",IFERROR(T87*$E87/100,"")))</f>
        <v/>
      </c>
      <c r="AL87" s="140">
        <f>IF(AL$13="","",IF($B87="","",IFERROR(U87*$E87/100,"")))</f>
        <v/>
      </c>
      <c r="AN87" s="140">
        <f>IF($B87="","",SUMIF($F$13:$U$13,"&lt;="&amp;Sector!$D$51,$F87:$U87))</f>
        <v/>
      </c>
      <c r="AO87" s="140">
        <f>IF($B87="","",SUMIF($W$13:$AL$13,"&lt;="&amp;Sector!$D$51,$W87:$AL87))</f>
        <v/>
      </c>
    </row>
    <row r="88">
      <c r="B88" s="5">
        <f>IF(AS51!$C$78="","",AS51!$C$78)</f>
        <v/>
      </c>
      <c r="C88" s="90">
        <f>IF(AS51!$B$78="","",AS51!$B$78)</f>
        <v/>
      </c>
      <c r="D88" s="138">
        <f>IFERROR(AS51!$Q$78,1)</f>
        <v/>
      </c>
      <c r="E88" s="139">
        <f>IF($B88="","",IF(ISNUMBER(AS51!$I$78),AS51!$I$78,'Index Summary'!$C$7))</f>
        <v/>
      </c>
      <c r="F88" s="140">
        <f>IF(F$13="","",IF($B88="","",IFERROR($C88*$D88*IF((Override!$C$4="ON")*(COUNTIFS(Override!$B$11:$B$40,$B88,Override!$D$11:$D$40,1,Override!$E$11:$E$40,"&gt;=0")-COUNTIFS(Override!$B$11:$B$40,$B88,Override!$D$11:$D$40,1,Override!$E$11:$E$40,"&gt;=0",Override!$C$11:$C$40,"MXAU"))&gt;0,SUMIFS(Override!$E$11:$E$40,Override!$B$11:$B$40,$B88,Override!$D$11:$D$40,1)-SUMIFS(Override!$E$11:$E$40,Override!$B$11:$B$40,$B88,Override!$D$11:$D$40,1,Override!$C$11:$C$40,"MXAU"),Override!$C$123)/AS51!$B$3,"")))</f>
        <v/>
      </c>
      <c r="G88" s="140">
        <f>IF(G$13="","",IF($B88="","",IFERROR($C88*$D88*IF((Override!$C$4="ON")*(COUNTIFS(Override!$B$11:$B$40,$B88,Override!$D$11:$D$40,2,Override!$E$11:$E$40,"&gt;=0")-COUNTIFS(Override!$B$11:$B$40,$B88,Override!$D$11:$D$40,2,Override!$E$11:$E$40,"&gt;=0",Override!$C$11:$C$40,"MXAU"))&gt;0,SUMIFS(Override!$E$11:$E$40,Override!$B$11:$B$40,$B88,Override!$D$11:$D$40,2)-SUMIFS(Override!$E$11:$E$40,Override!$B$11:$B$40,$B88,Override!$D$11:$D$40,2,Override!$C$11:$C$40,"MXAU"),Override!$D$123)/AS51!$B$3,"")))</f>
        <v/>
      </c>
      <c r="H88" s="140">
        <f>IF(H$13="","",IF($B88="","",IFERROR($C88*$D88*IF((Override!$C$4="ON")*(COUNTIFS(Override!$B$11:$B$40,$B88,Override!$D$11:$D$40,3,Override!$E$11:$E$40,"&gt;=0")-COUNTIFS(Override!$B$11:$B$40,$B88,Override!$D$11:$D$40,3,Override!$E$11:$E$40,"&gt;=0",Override!$C$11:$C$40,"MXAU"))&gt;0,SUMIFS(Override!$E$11:$E$40,Override!$B$11:$B$40,$B88,Override!$D$11:$D$40,3)-SUMIFS(Override!$E$11:$E$40,Override!$B$11:$B$40,$B88,Override!$D$11:$D$40,3,Override!$C$11:$C$40,"MXAU"),Override!$E$123)/AS51!$B$3,"")))</f>
        <v/>
      </c>
      <c r="I88" s="140">
        <f>IF(I$13="","",IF($B88="","",IFERROR($C88*$D88*IF((Override!$C$4="ON")*(COUNTIFS(Override!$B$11:$B$40,$B88,Override!$D$11:$D$40,4,Override!$E$11:$E$40,"&gt;=0")-COUNTIFS(Override!$B$11:$B$40,$B88,Override!$D$11:$D$40,4,Override!$E$11:$E$40,"&gt;=0",Override!$C$11:$C$40,"MXAU"))&gt;0,SUMIFS(Override!$E$11:$E$40,Override!$B$11:$B$40,$B88,Override!$D$11:$D$40,4)-SUMIFS(Override!$E$11:$E$40,Override!$B$11:$B$40,$B88,Override!$D$11:$D$40,4,Override!$C$11:$C$40,"MXAU"),Override!$F$123)/AS51!$B$3,"")))</f>
        <v/>
      </c>
      <c r="J88" s="140">
        <f>IF(J$13="","",IF($B88="","",IFERROR($C88*$D88*IF((Override!$C$4="ON")*(COUNTIFS(Override!$B$11:$B$40,$B88,Override!$D$11:$D$40,5,Override!$E$11:$E$40,"&gt;=0")-COUNTIFS(Override!$B$11:$B$40,$B88,Override!$D$11:$D$40,5,Override!$E$11:$E$40,"&gt;=0",Override!$C$11:$C$40,"MXAU"))&gt;0,SUMIFS(Override!$E$11:$E$40,Override!$B$11:$B$40,$B88,Override!$D$11:$D$40,5)-SUMIFS(Override!$E$11:$E$40,Override!$B$11:$B$40,$B88,Override!$D$11:$D$40,5,Override!$C$11:$C$40,"MXAU"),Override!$G$123)/AS51!$B$3,"")))</f>
        <v/>
      </c>
      <c r="K88" s="140">
        <f>IF(K$13="","",IF($B88="","",IFERROR($C88*$D88*IF((Override!$C$4="ON")*(COUNTIFS(Override!$B$11:$B$40,$B88,Override!$D$11:$D$40,6,Override!$E$11:$E$40,"&gt;=0")-COUNTIFS(Override!$B$11:$B$40,$B88,Override!$D$11:$D$40,6,Override!$E$11:$E$40,"&gt;=0",Override!$C$11:$C$40,"MXAU"))&gt;0,SUMIFS(Override!$E$11:$E$40,Override!$B$11:$B$40,$B88,Override!$D$11:$D$40,6)-SUMIFS(Override!$E$11:$E$40,Override!$B$11:$B$40,$B88,Override!$D$11:$D$40,6,Override!$C$11:$C$40,"MXAU"),Override!$H$123)/AS51!$B$3,"")))</f>
        <v/>
      </c>
      <c r="L88" s="140">
        <f>IF(L$13="","",IF($B88="","",IFERROR($C88*$D88*IF((Override!$C$4="ON")*(COUNTIFS(Override!$B$11:$B$40,$B88,Override!$D$11:$D$40,7,Override!$E$11:$E$40,"&gt;=0")-COUNTIFS(Override!$B$11:$B$40,$B88,Override!$D$11:$D$40,7,Override!$E$11:$E$40,"&gt;=0",Override!$C$11:$C$40,"MXAU"))&gt;0,SUMIFS(Override!$E$11:$E$40,Override!$B$11:$B$40,$B88,Override!$D$11:$D$40,7)-SUMIFS(Override!$E$11:$E$40,Override!$B$11:$B$40,$B88,Override!$D$11:$D$40,7,Override!$C$11:$C$40,"MXAU"),Override!$I$123)/AS51!$B$3,"")))</f>
        <v/>
      </c>
      <c r="M88" s="140">
        <f>IF(M$13="","",IF($B88="","",IFERROR($C88*$D88*IF((Override!$C$4="ON")*(COUNTIFS(Override!$B$11:$B$40,$B88,Override!$D$11:$D$40,8,Override!$E$11:$E$40,"&gt;=0")-COUNTIFS(Override!$B$11:$B$40,$B88,Override!$D$11:$D$40,8,Override!$E$11:$E$40,"&gt;=0",Override!$C$11:$C$40,"MXAU"))&gt;0,SUMIFS(Override!$E$11:$E$40,Override!$B$11:$B$40,$B88,Override!$D$11:$D$40,8)-SUMIFS(Override!$E$11:$E$40,Override!$B$11:$B$40,$B88,Override!$D$11:$D$40,8,Override!$C$11:$C$40,"MXAU"),Override!$J$123)/AS51!$B$3,"")))</f>
        <v/>
      </c>
      <c r="N88" s="140">
        <f>IF(N$13="","",IF($B88="","",IFERROR($C88*$D88*IF((Override!$C$4="ON")*(COUNTIFS(Override!$B$11:$B$40,$B88,Override!$D$11:$D$40,9,Override!$E$11:$E$40,"&gt;=0")-COUNTIFS(Override!$B$11:$B$40,$B88,Override!$D$11:$D$40,9,Override!$E$11:$E$40,"&gt;=0",Override!$C$11:$C$40,"MXAU"))&gt;0,SUMIFS(Override!$E$11:$E$40,Override!$B$11:$B$40,$B88,Override!$D$11:$D$40,9)-SUMIFS(Override!$E$11:$E$40,Override!$B$11:$B$40,$B88,Override!$D$11:$D$40,9,Override!$C$11:$C$40,"MXAU"),Override!$K$123)/AS51!$B$3,"")))</f>
        <v/>
      </c>
      <c r="O88" s="140">
        <f>IF(O$13="","",IF($B88="","",IFERROR($C88*$D88*IF((Override!$C$4="ON")*(COUNTIFS(Override!$B$11:$B$40,$B88,Override!$D$11:$D$40,10,Override!$E$11:$E$40,"&gt;=0")-COUNTIFS(Override!$B$11:$B$40,$B88,Override!$D$11:$D$40,10,Override!$E$11:$E$40,"&gt;=0",Override!$C$11:$C$40,"MXAU"))&gt;0,SUMIFS(Override!$E$11:$E$40,Override!$B$11:$B$40,$B88,Override!$D$11:$D$40,10)-SUMIFS(Override!$E$11:$E$40,Override!$B$11:$B$40,$B88,Override!$D$11:$D$40,10,Override!$C$11:$C$40,"MXAU"),Override!$L$123)/AS51!$B$3,"")))</f>
        <v/>
      </c>
      <c r="P88" s="140">
        <f>IF(P$13="","",IF($B88="","",IFERROR($C88*$D88*IF((Override!$C$4="ON")*(COUNTIFS(Override!$B$11:$B$40,$B88,Override!$D$11:$D$40,11,Override!$E$11:$E$40,"&gt;=0")-COUNTIFS(Override!$B$11:$B$40,$B88,Override!$D$11:$D$40,11,Override!$E$11:$E$40,"&gt;=0",Override!$C$11:$C$40,"MXAU"))&gt;0,SUMIFS(Override!$E$11:$E$40,Override!$B$11:$B$40,$B88,Override!$D$11:$D$40,11)-SUMIFS(Override!$E$11:$E$40,Override!$B$11:$B$40,$B88,Override!$D$11:$D$40,11,Override!$C$11:$C$40,"MXAU"),Override!$M$123)/AS51!$B$3,"")))</f>
        <v/>
      </c>
      <c r="Q88" s="140">
        <f>IF(Q$13="","",IF($B88="","",IFERROR($C88*$D88*IF((Override!$C$4="ON")*(COUNTIFS(Override!$B$11:$B$40,$B88,Override!$D$11:$D$40,12,Override!$E$11:$E$40,"&gt;=0")-COUNTIFS(Override!$B$11:$B$40,$B88,Override!$D$11:$D$40,12,Override!$E$11:$E$40,"&gt;=0",Override!$C$11:$C$40,"MXAU"))&gt;0,SUMIFS(Override!$E$11:$E$40,Override!$B$11:$B$40,$B88,Override!$D$11:$D$40,12)-SUMIFS(Override!$E$11:$E$40,Override!$B$11:$B$40,$B88,Override!$D$11:$D$40,12,Override!$C$11:$C$40,"MXAU"),Override!$N$123)/AS51!$B$3,"")))</f>
        <v/>
      </c>
      <c r="R88" s="140">
        <f>IF(R$13="","",IF($B88="","",IFERROR($C88*$D88*IF((Override!$C$4="ON")*(COUNTIFS(Override!$B$11:$B$40,$B88,Override!$D$11:$D$40,13,Override!$E$11:$E$40,"&gt;=0")-COUNTIFS(Override!$B$11:$B$40,$B88,Override!$D$11:$D$40,13,Override!$E$11:$E$40,"&gt;=0",Override!$C$11:$C$40,"MXAU"))&gt;0,SUMIFS(Override!$E$11:$E$40,Override!$B$11:$B$40,$B88,Override!$D$11:$D$40,13)-SUMIFS(Override!$E$11:$E$40,Override!$B$11:$B$40,$B88,Override!$D$11:$D$40,13,Override!$C$11:$C$40,"MXAU"),Override!$O$123)/AS51!$B$3,"")))</f>
        <v/>
      </c>
      <c r="S88" s="140">
        <f>IF(S$13="","",IF($B88="","",IFERROR($C88*$D88*IF((Override!$C$4="ON")*(COUNTIFS(Override!$B$11:$B$40,$B88,Override!$D$11:$D$40,14,Override!$E$11:$E$40,"&gt;=0")-COUNTIFS(Override!$B$11:$B$40,$B88,Override!$D$11:$D$40,14,Override!$E$11:$E$40,"&gt;=0",Override!$C$11:$C$40,"MXAU"))&gt;0,SUMIFS(Override!$E$11:$E$40,Override!$B$11:$B$40,$B88,Override!$D$11:$D$40,14)-SUMIFS(Override!$E$11:$E$40,Override!$B$11:$B$40,$B88,Override!$D$11:$D$40,14,Override!$C$11:$C$40,"MXAU"),Override!$P$123)/AS51!$B$3,"")))</f>
        <v/>
      </c>
      <c r="T88" s="140">
        <f>IF(T$13="","",IF($B88="","",IFERROR($C88*$D88*IF((Override!$C$4="ON")*(COUNTIFS(Override!$B$11:$B$40,$B88,Override!$D$11:$D$40,15,Override!$E$11:$E$40,"&gt;=0")-COUNTIFS(Override!$B$11:$B$40,$B88,Override!$D$11:$D$40,15,Override!$E$11:$E$40,"&gt;=0",Override!$C$11:$C$40,"MXAU"))&gt;0,SUMIFS(Override!$E$11:$E$40,Override!$B$11:$B$40,$B88,Override!$D$11:$D$40,15)-SUMIFS(Override!$E$11:$E$40,Override!$B$11:$B$40,$B88,Override!$D$11:$D$40,15,Override!$C$11:$C$40,"MXAU"),Override!$Q$123)/AS51!$B$3,"")))</f>
        <v/>
      </c>
      <c r="U88" s="140">
        <f>IF(U$13="","",IF($B88="","",IFERROR($C88*$D88*IF((Override!$C$4="ON")*(COUNTIFS(Override!$B$11:$B$40,$B88,Override!$D$11:$D$40,16,Override!$E$11:$E$40,"&gt;=0")-COUNTIFS(Override!$B$11:$B$40,$B88,Override!$D$11:$D$40,16,Override!$E$11:$E$40,"&gt;=0",Override!$C$11:$C$40,"MXAU"))&gt;0,SUMIFS(Override!$E$11:$E$40,Override!$B$11:$B$40,$B88,Override!$D$11:$D$40,16)-SUMIFS(Override!$E$11:$E$40,Override!$B$11:$B$40,$B88,Override!$D$11:$D$40,16,Override!$C$11:$C$40,"MXAU"),Override!$R$123)/AS51!$B$3,"")))</f>
        <v/>
      </c>
      <c r="W88" s="140">
        <f>IF(W$13="","",IF($B88="","",IFERROR(F88*$E88/100,"")))</f>
        <v/>
      </c>
      <c r="X88" s="140">
        <f>IF(X$13="","",IF($B88="","",IFERROR(G88*$E88/100,"")))</f>
        <v/>
      </c>
      <c r="Y88" s="140">
        <f>IF(Y$13="","",IF($B88="","",IFERROR(H88*$E88/100,"")))</f>
        <v/>
      </c>
      <c r="Z88" s="140">
        <f>IF(Z$13="","",IF($B88="","",IFERROR(I88*$E88/100,"")))</f>
        <v/>
      </c>
      <c r="AA88" s="140">
        <f>IF(AA$13="","",IF($B88="","",IFERROR(J88*$E88/100,"")))</f>
        <v/>
      </c>
      <c r="AB88" s="140">
        <f>IF(AB$13="","",IF($B88="","",IFERROR(K88*$E88/100,"")))</f>
        <v/>
      </c>
      <c r="AC88" s="140">
        <f>IF(AC$13="","",IF($B88="","",IFERROR(L88*$E88/100,"")))</f>
        <v/>
      </c>
      <c r="AD88" s="140">
        <f>IF(AD$13="","",IF($B88="","",IFERROR(M88*$E88/100,"")))</f>
        <v/>
      </c>
      <c r="AE88" s="140">
        <f>IF(AE$13="","",IF($B88="","",IFERROR(N88*$E88/100,"")))</f>
        <v/>
      </c>
      <c r="AF88" s="140">
        <f>IF(AF$13="","",IF($B88="","",IFERROR(O88*$E88/100,"")))</f>
        <v/>
      </c>
      <c r="AG88" s="140">
        <f>IF(AG$13="","",IF($B88="","",IFERROR(P88*$E88/100,"")))</f>
        <v/>
      </c>
      <c r="AH88" s="140">
        <f>IF(AH$13="","",IF($B88="","",IFERROR(Q88*$E88/100,"")))</f>
        <v/>
      </c>
      <c r="AI88" s="140">
        <f>IF(AI$13="","",IF($B88="","",IFERROR(R88*$E88/100,"")))</f>
        <v/>
      </c>
      <c r="AJ88" s="140">
        <f>IF(AJ$13="","",IF($B88="","",IFERROR(S88*$E88/100,"")))</f>
        <v/>
      </c>
      <c r="AK88" s="140">
        <f>IF(AK$13="","",IF($B88="","",IFERROR(T88*$E88/100,"")))</f>
        <v/>
      </c>
      <c r="AL88" s="140">
        <f>IF(AL$13="","",IF($B88="","",IFERROR(U88*$E88/100,"")))</f>
        <v/>
      </c>
      <c r="AN88" s="140">
        <f>IF($B88="","",SUMIF($F$13:$U$13,"&lt;="&amp;Sector!$D$51,$F88:$U88))</f>
        <v/>
      </c>
      <c r="AO88" s="140">
        <f>IF($B88="","",SUMIF($W$13:$AL$13,"&lt;="&amp;Sector!$D$51,$W88:$AL88))</f>
        <v/>
      </c>
    </row>
    <row r="89">
      <c r="B89" s="5">
        <f>IF(AS51!$C$79="","",AS51!$C$79)</f>
        <v/>
      </c>
      <c r="C89" s="90">
        <f>IF(AS51!$B$79="","",AS51!$B$79)</f>
        <v/>
      </c>
      <c r="D89" s="138">
        <f>IFERROR(AS51!$Q$79,1)</f>
        <v/>
      </c>
      <c r="E89" s="139">
        <f>IF($B89="","",IF(ISNUMBER(AS51!$I$79),AS51!$I$79,'Index Summary'!$C$7))</f>
        <v/>
      </c>
      <c r="F89" s="140">
        <f>IF(F$13="","",IF($B89="","",IFERROR($C89*$D89*IF((Override!$C$4="ON")*(COUNTIFS(Override!$B$11:$B$40,$B89,Override!$D$11:$D$40,1,Override!$E$11:$E$40,"&gt;=0")-COUNTIFS(Override!$B$11:$B$40,$B89,Override!$D$11:$D$40,1,Override!$E$11:$E$40,"&gt;=0",Override!$C$11:$C$40,"MXAU"))&gt;0,SUMIFS(Override!$E$11:$E$40,Override!$B$11:$B$40,$B89,Override!$D$11:$D$40,1)-SUMIFS(Override!$E$11:$E$40,Override!$B$11:$B$40,$B89,Override!$D$11:$D$40,1,Override!$C$11:$C$40,"MXAU"),Override!$C$124)/AS51!$B$3,"")))</f>
        <v/>
      </c>
      <c r="G89" s="140">
        <f>IF(G$13="","",IF($B89="","",IFERROR($C89*$D89*IF((Override!$C$4="ON")*(COUNTIFS(Override!$B$11:$B$40,$B89,Override!$D$11:$D$40,2,Override!$E$11:$E$40,"&gt;=0")-COUNTIFS(Override!$B$11:$B$40,$B89,Override!$D$11:$D$40,2,Override!$E$11:$E$40,"&gt;=0",Override!$C$11:$C$40,"MXAU"))&gt;0,SUMIFS(Override!$E$11:$E$40,Override!$B$11:$B$40,$B89,Override!$D$11:$D$40,2)-SUMIFS(Override!$E$11:$E$40,Override!$B$11:$B$40,$B89,Override!$D$11:$D$40,2,Override!$C$11:$C$40,"MXAU"),Override!$D$124)/AS51!$B$3,"")))</f>
        <v/>
      </c>
      <c r="H89" s="140">
        <f>IF(H$13="","",IF($B89="","",IFERROR($C89*$D89*IF((Override!$C$4="ON")*(COUNTIFS(Override!$B$11:$B$40,$B89,Override!$D$11:$D$40,3,Override!$E$11:$E$40,"&gt;=0")-COUNTIFS(Override!$B$11:$B$40,$B89,Override!$D$11:$D$40,3,Override!$E$11:$E$40,"&gt;=0",Override!$C$11:$C$40,"MXAU"))&gt;0,SUMIFS(Override!$E$11:$E$40,Override!$B$11:$B$40,$B89,Override!$D$11:$D$40,3)-SUMIFS(Override!$E$11:$E$40,Override!$B$11:$B$40,$B89,Override!$D$11:$D$40,3,Override!$C$11:$C$40,"MXAU"),Override!$E$124)/AS51!$B$3,"")))</f>
        <v/>
      </c>
      <c r="I89" s="140">
        <f>IF(I$13="","",IF($B89="","",IFERROR($C89*$D89*IF((Override!$C$4="ON")*(COUNTIFS(Override!$B$11:$B$40,$B89,Override!$D$11:$D$40,4,Override!$E$11:$E$40,"&gt;=0")-COUNTIFS(Override!$B$11:$B$40,$B89,Override!$D$11:$D$40,4,Override!$E$11:$E$40,"&gt;=0",Override!$C$11:$C$40,"MXAU"))&gt;0,SUMIFS(Override!$E$11:$E$40,Override!$B$11:$B$40,$B89,Override!$D$11:$D$40,4)-SUMIFS(Override!$E$11:$E$40,Override!$B$11:$B$40,$B89,Override!$D$11:$D$40,4,Override!$C$11:$C$40,"MXAU"),Override!$F$124)/AS51!$B$3,"")))</f>
        <v/>
      </c>
      <c r="J89" s="140">
        <f>IF(J$13="","",IF($B89="","",IFERROR($C89*$D89*IF((Override!$C$4="ON")*(COUNTIFS(Override!$B$11:$B$40,$B89,Override!$D$11:$D$40,5,Override!$E$11:$E$40,"&gt;=0")-COUNTIFS(Override!$B$11:$B$40,$B89,Override!$D$11:$D$40,5,Override!$E$11:$E$40,"&gt;=0",Override!$C$11:$C$40,"MXAU"))&gt;0,SUMIFS(Override!$E$11:$E$40,Override!$B$11:$B$40,$B89,Override!$D$11:$D$40,5)-SUMIFS(Override!$E$11:$E$40,Override!$B$11:$B$40,$B89,Override!$D$11:$D$40,5,Override!$C$11:$C$40,"MXAU"),Override!$G$124)/AS51!$B$3,"")))</f>
        <v/>
      </c>
      <c r="K89" s="140">
        <f>IF(K$13="","",IF($B89="","",IFERROR($C89*$D89*IF((Override!$C$4="ON")*(COUNTIFS(Override!$B$11:$B$40,$B89,Override!$D$11:$D$40,6,Override!$E$11:$E$40,"&gt;=0")-COUNTIFS(Override!$B$11:$B$40,$B89,Override!$D$11:$D$40,6,Override!$E$11:$E$40,"&gt;=0",Override!$C$11:$C$40,"MXAU"))&gt;0,SUMIFS(Override!$E$11:$E$40,Override!$B$11:$B$40,$B89,Override!$D$11:$D$40,6)-SUMIFS(Override!$E$11:$E$40,Override!$B$11:$B$40,$B89,Override!$D$11:$D$40,6,Override!$C$11:$C$40,"MXAU"),Override!$H$124)/AS51!$B$3,"")))</f>
        <v/>
      </c>
      <c r="L89" s="140">
        <f>IF(L$13="","",IF($B89="","",IFERROR($C89*$D89*IF((Override!$C$4="ON")*(COUNTIFS(Override!$B$11:$B$40,$B89,Override!$D$11:$D$40,7,Override!$E$11:$E$40,"&gt;=0")-COUNTIFS(Override!$B$11:$B$40,$B89,Override!$D$11:$D$40,7,Override!$E$11:$E$40,"&gt;=0",Override!$C$11:$C$40,"MXAU"))&gt;0,SUMIFS(Override!$E$11:$E$40,Override!$B$11:$B$40,$B89,Override!$D$11:$D$40,7)-SUMIFS(Override!$E$11:$E$40,Override!$B$11:$B$40,$B89,Override!$D$11:$D$40,7,Override!$C$11:$C$40,"MXAU"),Override!$I$124)/AS51!$B$3,"")))</f>
        <v/>
      </c>
      <c r="M89" s="140">
        <f>IF(M$13="","",IF($B89="","",IFERROR($C89*$D89*IF((Override!$C$4="ON")*(COUNTIFS(Override!$B$11:$B$40,$B89,Override!$D$11:$D$40,8,Override!$E$11:$E$40,"&gt;=0")-COUNTIFS(Override!$B$11:$B$40,$B89,Override!$D$11:$D$40,8,Override!$E$11:$E$40,"&gt;=0",Override!$C$11:$C$40,"MXAU"))&gt;0,SUMIFS(Override!$E$11:$E$40,Override!$B$11:$B$40,$B89,Override!$D$11:$D$40,8)-SUMIFS(Override!$E$11:$E$40,Override!$B$11:$B$40,$B89,Override!$D$11:$D$40,8,Override!$C$11:$C$40,"MXAU"),Override!$J$124)/AS51!$B$3,"")))</f>
        <v/>
      </c>
      <c r="N89" s="140">
        <f>IF(N$13="","",IF($B89="","",IFERROR($C89*$D89*IF((Override!$C$4="ON")*(COUNTIFS(Override!$B$11:$B$40,$B89,Override!$D$11:$D$40,9,Override!$E$11:$E$40,"&gt;=0")-COUNTIFS(Override!$B$11:$B$40,$B89,Override!$D$11:$D$40,9,Override!$E$11:$E$40,"&gt;=0",Override!$C$11:$C$40,"MXAU"))&gt;0,SUMIFS(Override!$E$11:$E$40,Override!$B$11:$B$40,$B89,Override!$D$11:$D$40,9)-SUMIFS(Override!$E$11:$E$40,Override!$B$11:$B$40,$B89,Override!$D$11:$D$40,9,Override!$C$11:$C$40,"MXAU"),Override!$K$124)/AS51!$B$3,"")))</f>
        <v/>
      </c>
      <c r="O89" s="140">
        <f>IF(O$13="","",IF($B89="","",IFERROR($C89*$D89*IF((Override!$C$4="ON")*(COUNTIFS(Override!$B$11:$B$40,$B89,Override!$D$11:$D$40,10,Override!$E$11:$E$40,"&gt;=0")-COUNTIFS(Override!$B$11:$B$40,$B89,Override!$D$11:$D$40,10,Override!$E$11:$E$40,"&gt;=0",Override!$C$11:$C$40,"MXAU"))&gt;0,SUMIFS(Override!$E$11:$E$40,Override!$B$11:$B$40,$B89,Override!$D$11:$D$40,10)-SUMIFS(Override!$E$11:$E$40,Override!$B$11:$B$40,$B89,Override!$D$11:$D$40,10,Override!$C$11:$C$40,"MXAU"),Override!$L$124)/AS51!$B$3,"")))</f>
        <v/>
      </c>
      <c r="P89" s="140">
        <f>IF(P$13="","",IF($B89="","",IFERROR($C89*$D89*IF((Override!$C$4="ON")*(COUNTIFS(Override!$B$11:$B$40,$B89,Override!$D$11:$D$40,11,Override!$E$11:$E$40,"&gt;=0")-COUNTIFS(Override!$B$11:$B$40,$B89,Override!$D$11:$D$40,11,Override!$E$11:$E$40,"&gt;=0",Override!$C$11:$C$40,"MXAU"))&gt;0,SUMIFS(Override!$E$11:$E$40,Override!$B$11:$B$40,$B89,Override!$D$11:$D$40,11)-SUMIFS(Override!$E$11:$E$40,Override!$B$11:$B$40,$B89,Override!$D$11:$D$40,11,Override!$C$11:$C$40,"MXAU"),Override!$M$124)/AS51!$B$3,"")))</f>
        <v/>
      </c>
      <c r="Q89" s="140">
        <f>IF(Q$13="","",IF($B89="","",IFERROR($C89*$D89*IF((Override!$C$4="ON")*(COUNTIFS(Override!$B$11:$B$40,$B89,Override!$D$11:$D$40,12,Override!$E$11:$E$40,"&gt;=0")-COUNTIFS(Override!$B$11:$B$40,$B89,Override!$D$11:$D$40,12,Override!$E$11:$E$40,"&gt;=0",Override!$C$11:$C$40,"MXAU"))&gt;0,SUMIFS(Override!$E$11:$E$40,Override!$B$11:$B$40,$B89,Override!$D$11:$D$40,12)-SUMIFS(Override!$E$11:$E$40,Override!$B$11:$B$40,$B89,Override!$D$11:$D$40,12,Override!$C$11:$C$40,"MXAU"),Override!$N$124)/AS51!$B$3,"")))</f>
        <v/>
      </c>
      <c r="R89" s="140">
        <f>IF(R$13="","",IF($B89="","",IFERROR($C89*$D89*IF((Override!$C$4="ON")*(COUNTIFS(Override!$B$11:$B$40,$B89,Override!$D$11:$D$40,13,Override!$E$11:$E$40,"&gt;=0")-COUNTIFS(Override!$B$11:$B$40,$B89,Override!$D$11:$D$40,13,Override!$E$11:$E$40,"&gt;=0",Override!$C$11:$C$40,"MXAU"))&gt;0,SUMIFS(Override!$E$11:$E$40,Override!$B$11:$B$40,$B89,Override!$D$11:$D$40,13)-SUMIFS(Override!$E$11:$E$40,Override!$B$11:$B$40,$B89,Override!$D$11:$D$40,13,Override!$C$11:$C$40,"MXAU"),Override!$O$124)/AS51!$B$3,"")))</f>
        <v/>
      </c>
      <c r="S89" s="140">
        <f>IF(S$13="","",IF($B89="","",IFERROR($C89*$D89*IF((Override!$C$4="ON")*(COUNTIFS(Override!$B$11:$B$40,$B89,Override!$D$11:$D$40,14,Override!$E$11:$E$40,"&gt;=0")-COUNTIFS(Override!$B$11:$B$40,$B89,Override!$D$11:$D$40,14,Override!$E$11:$E$40,"&gt;=0",Override!$C$11:$C$40,"MXAU"))&gt;0,SUMIFS(Override!$E$11:$E$40,Override!$B$11:$B$40,$B89,Override!$D$11:$D$40,14)-SUMIFS(Override!$E$11:$E$40,Override!$B$11:$B$40,$B89,Override!$D$11:$D$40,14,Override!$C$11:$C$40,"MXAU"),Override!$P$124)/AS51!$B$3,"")))</f>
        <v/>
      </c>
      <c r="T89" s="140">
        <f>IF(T$13="","",IF($B89="","",IFERROR($C89*$D89*IF((Override!$C$4="ON")*(COUNTIFS(Override!$B$11:$B$40,$B89,Override!$D$11:$D$40,15,Override!$E$11:$E$40,"&gt;=0")-COUNTIFS(Override!$B$11:$B$40,$B89,Override!$D$11:$D$40,15,Override!$E$11:$E$40,"&gt;=0",Override!$C$11:$C$40,"MXAU"))&gt;0,SUMIFS(Override!$E$11:$E$40,Override!$B$11:$B$40,$B89,Override!$D$11:$D$40,15)-SUMIFS(Override!$E$11:$E$40,Override!$B$11:$B$40,$B89,Override!$D$11:$D$40,15,Override!$C$11:$C$40,"MXAU"),Override!$Q$124)/AS51!$B$3,"")))</f>
        <v/>
      </c>
      <c r="U89" s="140">
        <f>IF(U$13="","",IF($B89="","",IFERROR($C89*$D89*IF((Override!$C$4="ON")*(COUNTIFS(Override!$B$11:$B$40,$B89,Override!$D$11:$D$40,16,Override!$E$11:$E$40,"&gt;=0")-COUNTIFS(Override!$B$11:$B$40,$B89,Override!$D$11:$D$40,16,Override!$E$11:$E$40,"&gt;=0",Override!$C$11:$C$40,"MXAU"))&gt;0,SUMIFS(Override!$E$11:$E$40,Override!$B$11:$B$40,$B89,Override!$D$11:$D$40,16)-SUMIFS(Override!$E$11:$E$40,Override!$B$11:$B$40,$B89,Override!$D$11:$D$40,16,Override!$C$11:$C$40,"MXAU"),Override!$R$124)/AS51!$B$3,"")))</f>
        <v/>
      </c>
      <c r="W89" s="140">
        <f>IF(W$13="","",IF($B89="","",IFERROR(F89*$E89/100,"")))</f>
        <v/>
      </c>
      <c r="X89" s="140">
        <f>IF(X$13="","",IF($B89="","",IFERROR(G89*$E89/100,"")))</f>
        <v/>
      </c>
      <c r="Y89" s="140">
        <f>IF(Y$13="","",IF($B89="","",IFERROR(H89*$E89/100,"")))</f>
        <v/>
      </c>
      <c r="Z89" s="140">
        <f>IF(Z$13="","",IF($B89="","",IFERROR(I89*$E89/100,"")))</f>
        <v/>
      </c>
      <c r="AA89" s="140">
        <f>IF(AA$13="","",IF($B89="","",IFERROR(J89*$E89/100,"")))</f>
        <v/>
      </c>
      <c r="AB89" s="140">
        <f>IF(AB$13="","",IF($B89="","",IFERROR(K89*$E89/100,"")))</f>
        <v/>
      </c>
      <c r="AC89" s="140">
        <f>IF(AC$13="","",IF($B89="","",IFERROR(L89*$E89/100,"")))</f>
        <v/>
      </c>
      <c r="AD89" s="140">
        <f>IF(AD$13="","",IF($B89="","",IFERROR(M89*$E89/100,"")))</f>
        <v/>
      </c>
      <c r="AE89" s="140">
        <f>IF(AE$13="","",IF($B89="","",IFERROR(N89*$E89/100,"")))</f>
        <v/>
      </c>
      <c r="AF89" s="140">
        <f>IF(AF$13="","",IF($B89="","",IFERROR(O89*$E89/100,"")))</f>
        <v/>
      </c>
      <c r="AG89" s="140">
        <f>IF(AG$13="","",IF($B89="","",IFERROR(P89*$E89/100,"")))</f>
        <v/>
      </c>
      <c r="AH89" s="140">
        <f>IF(AH$13="","",IF($B89="","",IFERROR(Q89*$E89/100,"")))</f>
        <v/>
      </c>
      <c r="AI89" s="140">
        <f>IF(AI$13="","",IF($B89="","",IFERROR(R89*$E89/100,"")))</f>
        <v/>
      </c>
      <c r="AJ89" s="140">
        <f>IF(AJ$13="","",IF($B89="","",IFERROR(S89*$E89/100,"")))</f>
        <v/>
      </c>
      <c r="AK89" s="140">
        <f>IF(AK$13="","",IF($B89="","",IFERROR(T89*$E89/100,"")))</f>
        <v/>
      </c>
      <c r="AL89" s="140">
        <f>IF(AL$13="","",IF($B89="","",IFERROR(U89*$E89/100,"")))</f>
        <v/>
      </c>
      <c r="AN89" s="140">
        <f>IF($B89="","",SUMIF($F$13:$U$13,"&lt;="&amp;Sector!$D$51,$F89:$U89))</f>
        <v/>
      </c>
      <c r="AO89" s="140">
        <f>IF($B89="","",SUMIF($W$13:$AL$13,"&lt;="&amp;Sector!$D$51,$W89:$AL89))</f>
        <v/>
      </c>
    </row>
    <row r="90">
      <c r="B90" s="5">
        <f>IF(AS51!$C$80="","",AS51!$C$80)</f>
        <v/>
      </c>
      <c r="C90" s="90">
        <f>IF(AS51!$B$80="","",AS51!$B$80)</f>
        <v/>
      </c>
      <c r="D90" s="138">
        <f>IFERROR(AS51!$Q$80,1)</f>
        <v/>
      </c>
      <c r="E90" s="139">
        <f>IF($B90="","",IF(ISNUMBER(AS51!$I$80),AS51!$I$80,'Index Summary'!$C$7))</f>
        <v/>
      </c>
      <c r="F90" s="140">
        <f>IF(F$13="","",IF($B90="","",IFERROR($C90*$D90*IF((Override!$C$4="ON")*(COUNTIFS(Override!$B$11:$B$40,$B90,Override!$D$11:$D$40,1,Override!$E$11:$E$40,"&gt;=0")-COUNTIFS(Override!$B$11:$B$40,$B90,Override!$D$11:$D$40,1,Override!$E$11:$E$40,"&gt;=0",Override!$C$11:$C$40,"MXAU"))&gt;0,SUMIFS(Override!$E$11:$E$40,Override!$B$11:$B$40,$B90,Override!$D$11:$D$40,1)-SUMIFS(Override!$E$11:$E$40,Override!$B$11:$B$40,$B90,Override!$D$11:$D$40,1,Override!$C$11:$C$40,"MXAU"),Override!$C$125)/AS51!$B$3,"")))</f>
        <v/>
      </c>
      <c r="G90" s="140">
        <f>IF(G$13="","",IF($B90="","",IFERROR($C90*$D90*IF((Override!$C$4="ON")*(COUNTIFS(Override!$B$11:$B$40,$B90,Override!$D$11:$D$40,2,Override!$E$11:$E$40,"&gt;=0")-COUNTIFS(Override!$B$11:$B$40,$B90,Override!$D$11:$D$40,2,Override!$E$11:$E$40,"&gt;=0",Override!$C$11:$C$40,"MXAU"))&gt;0,SUMIFS(Override!$E$11:$E$40,Override!$B$11:$B$40,$B90,Override!$D$11:$D$40,2)-SUMIFS(Override!$E$11:$E$40,Override!$B$11:$B$40,$B90,Override!$D$11:$D$40,2,Override!$C$11:$C$40,"MXAU"),Override!$D$125)/AS51!$B$3,"")))</f>
        <v/>
      </c>
      <c r="H90" s="140">
        <f>IF(H$13="","",IF($B90="","",IFERROR($C90*$D90*IF((Override!$C$4="ON")*(COUNTIFS(Override!$B$11:$B$40,$B90,Override!$D$11:$D$40,3,Override!$E$11:$E$40,"&gt;=0")-COUNTIFS(Override!$B$11:$B$40,$B90,Override!$D$11:$D$40,3,Override!$E$11:$E$40,"&gt;=0",Override!$C$11:$C$40,"MXAU"))&gt;0,SUMIFS(Override!$E$11:$E$40,Override!$B$11:$B$40,$B90,Override!$D$11:$D$40,3)-SUMIFS(Override!$E$11:$E$40,Override!$B$11:$B$40,$B90,Override!$D$11:$D$40,3,Override!$C$11:$C$40,"MXAU"),Override!$E$125)/AS51!$B$3,"")))</f>
        <v/>
      </c>
      <c r="I90" s="140">
        <f>IF(I$13="","",IF($B90="","",IFERROR($C90*$D90*IF((Override!$C$4="ON")*(COUNTIFS(Override!$B$11:$B$40,$B90,Override!$D$11:$D$40,4,Override!$E$11:$E$40,"&gt;=0")-COUNTIFS(Override!$B$11:$B$40,$B90,Override!$D$11:$D$40,4,Override!$E$11:$E$40,"&gt;=0",Override!$C$11:$C$40,"MXAU"))&gt;0,SUMIFS(Override!$E$11:$E$40,Override!$B$11:$B$40,$B90,Override!$D$11:$D$40,4)-SUMIFS(Override!$E$11:$E$40,Override!$B$11:$B$40,$B90,Override!$D$11:$D$40,4,Override!$C$11:$C$40,"MXAU"),Override!$F$125)/AS51!$B$3,"")))</f>
        <v/>
      </c>
      <c r="J90" s="140">
        <f>IF(J$13="","",IF($B90="","",IFERROR($C90*$D90*IF((Override!$C$4="ON")*(COUNTIFS(Override!$B$11:$B$40,$B90,Override!$D$11:$D$40,5,Override!$E$11:$E$40,"&gt;=0")-COUNTIFS(Override!$B$11:$B$40,$B90,Override!$D$11:$D$40,5,Override!$E$11:$E$40,"&gt;=0",Override!$C$11:$C$40,"MXAU"))&gt;0,SUMIFS(Override!$E$11:$E$40,Override!$B$11:$B$40,$B90,Override!$D$11:$D$40,5)-SUMIFS(Override!$E$11:$E$40,Override!$B$11:$B$40,$B90,Override!$D$11:$D$40,5,Override!$C$11:$C$40,"MXAU"),Override!$G$125)/AS51!$B$3,"")))</f>
        <v/>
      </c>
      <c r="K90" s="140">
        <f>IF(K$13="","",IF($B90="","",IFERROR($C90*$D90*IF((Override!$C$4="ON")*(COUNTIFS(Override!$B$11:$B$40,$B90,Override!$D$11:$D$40,6,Override!$E$11:$E$40,"&gt;=0")-COUNTIFS(Override!$B$11:$B$40,$B90,Override!$D$11:$D$40,6,Override!$E$11:$E$40,"&gt;=0",Override!$C$11:$C$40,"MXAU"))&gt;0,SUMIFS(Override!$E$11:$E$40,Override!$B$11:$B$40,$B90,Override!$D$11:$D$40,6)-SUMIFS(Override!$E$11:$E$40,Override!$B$11:$B$40,$B90,Override!$D$11:$D$40,6,Override!$C$11:$C$40,"MXAU"),Override!$H$125)/AS51!$B$3,"")))</f>
        <v/>
      </c>
      <c r="L90" s="140">
        <f>IF(L$13="","",IF($B90="","",IFERROR($C90*$D90*IF((Override!$C$4="ON")*(COUNTIFS(Override!$B$11:$B$40,$B90,Override!$D$11:$D$40,7,Override!$E$11:$E$40,"&gt;=0")-COUNTIFS(Override!$B$11:$B$40,$B90,Override!$D$11:$D$40,7,Override!$E$11:$E$40,"&gt;=0",Override!$C$11:$C$40,"MXAU"))&gt;0,SUMIFS(Override!$E$11:$E$40,Override!$B$11:$B$40,$B90,Override!$D$11:$D$40,7)-SUMIFS(Override!$E$11:$E$40,Override!$B$11:$B$40,$B90,Override!$D$11:$D$40,7,Override!$C$11:$C$40,"MXAU"),Override!$I$125)/AS51!$B$3,"")))</f>
        <v/>
      </c>
      <c r="M90" s="140">
        <f>IF(M$13="","",IF($B90="","",IFERROR($C90*$D90*IF((Override!$C$4="ON")*(COUNTIFS(Override!$B$11:$B$40,$B90,Override!$D$11:$D$40,8,Override!$E$11:$E$40,"&gt;=0")-COUNTIFS(Override!$B$11:$B$40,$B90,Override!$D$11:$D$40,8,Override!$E$11:$E$40,"&gt;=0",Override!$C$11:$C$40,"MXAU"))&gt;0,SUMIFS(Override!$E$11:$E$40,Override!$B$11:$B$40,$B90,Override!$D$11:$D$40,8)-SUMIFS(Override!$E$11:$E$40,Override!$B$11:$B$40,$B90,Override!$D$11:$D$40,8,Override!$C$11:$C$40,"MXAU"),Override!$J$125)/AS51!$B$3,"")))</f>
        <v/>
      </c>
      <c r="N90" s="140">
        <f>IF(N$13="","",IF($B90="","",IFERROR($C90*$D90*IF((Override!$C$4="ON")*(COUNTIFS(Override!$B$11:$B$40,$B90,Override!$D$11:$D$40,9,Override!$E$11:$E$40,"&gt;=0")-COUNTIFS(Override!$B$11:$B$40,$B90,Override!$D$11:$D$40,9,Override!$E$11:$E$40,"&gt;=0",Override!$C$11:$C$40,"MXAU"))&gt;0,SUMIFS(Override!$E$11:$E$40,Override!$B$11:$B$40,$B90,Override!$D$11:$D$40,9)-SUMIFS(Override!$E$11:$E$40,Override!$B$11:$B$40,$B90,Override!$D$11:$D$40,9,Override!$C$11:$C$40,"MXAU"),Override!$K$125)/AS51!$B$3,"")))</f>
        <v/>
      </c>
      <c r="O90" s="140">
        <f>IF(O$13="","",IF($B90="","",IFERROR($C90*$D90*IF((Override!$C$4="ON")*(COUNTIFS(Override!$B$11:$B$40,$B90,Override!$D$11:$D$40,10,Override!$E$11:$E$40,"&gt;=0")-COUNTIFS(Override!$B$11:$B$40,$B90,Override!$D$11:$D$40,10,Override!$E$11:$E$40,"&gt;=0",Override!$C$11:$C$40,"MXAU"))&gt;0,SUMIFS(Override!$E$11:$E$40,Override!$B$11:$B$40,$B90,Override!$D$11:$D$40,10)-SUMIFS(Override!$E$11:$E$40,Override!$B$11:$B$40,$B90,Override!$D$11:$D$40,10,Override!$C$11:$C$40,"MXAU"),Override!$L$125)/AS51!$B$3,"")))</f>
        <v/>
      </c>
      <c r="P90" s="140">
        <f>IF(P$13="","",IF($B90="","",IFERROR($C90*$D90*IF((Override!$C$4="ON")*(COUNTIFS(Override!$B$11:$B$40,$B90,Override!$D$11:$D$40,11,Override!$E$11:$E$40,"&gt;=0")-COUNTIFS(Override!$B$11:$B$40,$B90,Override!$D$11:$D$40,11,Override!$E$11:$E$40,"&gt;=0",Override!$C$11:$C$40,"MXAU"))&gt;0,SUMIFS(Override!$E$11:$E$40,Override!$B$11:$B$40,$B90,Override!$D$11:$D$40,11)-SUMIFS(Override!$E$11:$E$40,Override!$B$11:$B$40,$B90,Override!$D$11:$D$40,11,Override!$C$11:$C$40,"MXAU"),Override!$M$125)/AS51!$B$3,"")))</f>
        <v/>
      </c>
      <c r="Q90" s="140">
        <f>IF(Q$13="","",IF($B90="","",IFERROR($C90*$D90*IF((Override!$C$4="ON")*(COUNTIFS(Override!$B$11:$B$40,$B90,Override!$D$11:$D$40,12,Override!$E$11:$E$40,"&gt;=0")-COUNTIFS(Override!$B$11:$B$40,$B90,Override!$D$11:$D$40,12,Override!$E$11:$E$40,"&gt;=0",Override!$C$11:$C$40,"MXAU"))&gt;0,SUMIFS(Override!$E$11:$E$40,Override!$B$11:$B$40,$B90,Override!$D$11:$D$40,12)-SUMIFS(Override!$E$11:$E$40,Override!$B$11:$B$40,$B90,Override!$D$11:$D$40,12,Override!$C$11:$C$40,"MXAU"),Override!$N$125)/AS51!$B$3,"")))</f>
        <v/>
      </c>
      <c r="R90" s="140">
        <f>IF(R$13="","",IF($B90="","",IFERROR($C90*$D90*IF((Override!$C$4="ON")*(COUNTIFS(Override!$B$11:$B$40,$B90,Override!$D$11:$D$40,13,Override!$E$11:$E$40,"&gt;=0")-COUNTIFS(Override!$B$11:$B$40,$B90,Override!$D$11:$D$40,13,Override!$E$11:$E$40,"&gt;=0",Override!$C$11:$C$40,"MXAU"))&gt;0,SUMIFS(Override!$E$11:$E$40,Override!$B$11:$B$40,$B90,Override!$D$11:$D$40,13)-SUMIFS(Override!$E$11:$E$40,Override!$B$11:$B$40,$B90,Override!$D$11:$D$40,13,Override!$C$11:$C$40,"MXAU"),Override!$O$125)/AS51!$B$3,"")))</f>
        <v/>
      </c>
      <c r="S90" s="140">
        <f>IF(S$13="","",IF($B90="","",IFERROR($C90*$D90*IF((Override!$C$4="ON")*(COUNTIFS(Override!$B$11:$B$40,$B90,Override!$D$11:$D$40,14,Override!$E$11:$E$40,"&gt;=0")-COUNTIFS(Override!$B$11:$B$40,$B90,Override!$D$11:$D$40,14,Override!$E$11:$E$40,"&gt;=0",Override!$C$11:$C$40,"MXAU"))&gt;0,SUMIFS(Override!$E$11:$E$40,Override!$B$11:$B$40,$B90,Override!$D$11:$D$40,14)-SUMIFS(Override!$E$11:$E$40,Override!$B$11:$B$40,$B90,Override!$D$11:$D$40,14,Override!$C$11:$C$40,"MXAU"),Override!$P$125)/AS51!$B$3,"")))</f>
        <v/>
      </c>
      <c r="T90" s="140">
        <f>IF(T$13="","",IF($B90="","",IFERROR($C90*$D90*IF((Override!$C$4="ON")*(COUNTIFS(Override!$B$11:$B$40,$B90,Override!$D$11:$D$40,15,Override!$E$11:$E$40,"&gt;=0")-COUNTIFS(Override!$B$11:$B$40,$B90,Override!$D$11:$D$40,15,Override!$E$11:$E$40,"&gt;=0",Override!$C$11:$C$40,"MXAU"))&gt;0,SUMIFS(Override!$E$11:$E$40,Override!$B$11:$B$40,$B90,Override!$D$11:$D$40,15)-SUMIFS(Override!$E$11:$E$40,Override!$B$11:$B$40,$B90,Override!$D$11:$D$40,15,Override!$C$11:$C$40,"MXAU"),Override!$Q$125)/AS51!$B$3,"")))</f>
        <v/>
      </c>
      <c r="U90" s="140">
        <f>IF(U$13="","",IF($B90="","",IFERROR($C90*$D90*IF((Override!$C$4="ON")*(COUNTIFS(Override!$B$11:$B$40,$B90,Override!$D$11:$D$40,16,Override!$E$11:$E$40,"&gt;=0")-COUNTIFS(Override!$B$11:$B$40,$B90,Override!$D$11:$D$40,16,Override!$E$11:$E$40,"&gt;=0",Override!$C$11:$C$40,"MXAU"))&gt;0,SUMIFS(Override!$E$11:$E$40,Override!$B$11:$B$40,$B90,Override!$D$11:$D$40,16)-SUMIFS(Override!$E$11:$E$40,Override!$B$11:$B$40,$B90,Override!$D$11:$D$40,16,Override!$C$11:$C$40,"MXAU"),Override!$R$125)/AS51!$B$3,"")))</f>
        <v/>
      </c>
      <c r="W90" s="140">
        <f>IF(W$13="","",IF($B90="","",IFERROR(F90*$E90/100,"")))</f>
        <v/>
      </c>
      <c r="X90" s="140">
        <f>IF(X$13="","",IF($B90="","",IFERROR(G90*$E90/100,"")))</f>
        <v/>
      </c>
      <c r="Y90" s="140">
        <f>IF(Y$13="","",IF($B90="","",IFERROR(H90*$E90/100,"")))</f>
        <v/>
      </c>
      <c r="Z90" s="140">
        <f>IF(Z$13="","",IF($B90="","",IFERROR(I90*$E90/100,"")))</f>
        <v/>
      </c>
      <c r="AA90" s="140">
        <f>IF(AA$13="","",IF($B90="","",IFERROR(J90*$E90/100,"")))</f>
        <v/>
      </c>
      <c r="AB90" s="140">
        <f>IF(AB$13="","",IF($B90="","",IFERROR(K90*$E90/100,"")))</f>
        <v/>
      </c>
      <c r="AC90" s="140">
        <f>IF(AC$13="","",IF($B90="","",IFERROR(L90*$E90/100,"")))</f>
        <v/>
      </c>
      <c r="AD90" s="140">
        <f>IF(AD$13="","",IF($B90="","",IFERROR(M90*$E90/100,"")))</f>
        <v/>
      </c>
      <c r="AE90" s="140">
        <f>IF(AE$13="","",IF($B90="","",IFERROR(N90*$E90/100,"")))</f>
        <v/>
      </c>
      <c r="AF90" s="140">
        <f>IF(AF$13="","",IF($B90="","",IFERROR(O90*$E90/100,"")))</f>
        <v/>
      </c>
      <c r="AG90" s="140">
        <f>IF(AG$13="","",IF($B90="","",IFERROR(P90*$E90/100,"")))</f>
        <v/>
      </c>
      <c r="AH90" s="140">
        <f>IF(AH$13="","",IF($B90="","",IFERROR(Q90*$E90/100,"")))</f>
        <v/>
      </c>
      <c r="AI90" s="140">
        <f>IF(AI$13="","",IF($B90="","",IFERROR(R90*$E90/100,"")))</f>
        <v/>
      </c>
      <c r="AJ90" s="140">
        <f>IF(AJ$13="","",IF($B90="","",IFERROR(S90*$E90/100,"")))</f>
        <v/>
      </c>
      <c r="AK90" s="140">
        <f>IF(AK$13="","",IF($B90="","",IFERROR(T90*$E90/100,"")))</f>
        <v/>
      </c>
      <c r="AL90" s="140">
        <f>IF(AL$13="","",IF($B90="","",IFERROR(U90*$E90/100,"")))</f>
        <v/>
      </c>
      <c r="AN90" s="140">
        <f>IF($B90="","",SUMIF($F$13:$U$13,"&lt;="&amp;Sector!$D$51,$F90:$U90))</f>
        <v/>
      </c>
      <c r="AO90" s="140">
        <f>IF($B90="","",SUMIF($W$13:$AL$13,"&lt;="&amp;Sector!$D$51,$W90:$AL90))</f>
        <v/>
      </c>
    </row>
    <row r="91">
      <c r="B91" s="5">
        <f>IF(AS51!$C$81="","",AS51!$C$81)</f>
        <v/>
      </c>
      <c r="C91" s="90">
        <f>IF(AS51!$B$81="","",AS51!$B$81)</f>
        <v/>
      </c>
      <c r="D91" s="138">
        <f>IFERROR(AS51!$Q$81,1)</f>
        <v/>
      </c>
      <c r="E91" s="139">
        <f>IF($B91="","",IF(ISNUMBER(AS51!$I$81),AS51!$I$81,'Index Summary'!$C$7))</f>
        <v/>
      </c>
      <c r="F91" s="140">
        <f>IF(F$13="","",IF($B91="","",IFERROR($C91*$D91*IF((Override!$C$4="ON")*(COUNTIFS(Override!$B$11:$B$40,$B91,Override!$D$11:$D$40,1,Override!$E$11:$E$40,"&gt;=0")-COUNTIFS(Override!$B$11:$B$40,$B91,Override!$D$11:$D$40,1,Override!$E$11:$E$40,"&gt;=0",Override!$C$11:$C$40,"MXAU"))&gt;0,SUMIFS(Override!$E$11:$E$40,Override!$B$11:$B$40,$B91,Override!$D$11:$D$40,1)-SUMIFS(Override!$E$11:$E$40,Override!$B$11:$B$40,$B91,Override!$D$11:$D$40,1,Override!$C$11:$C$40,"MXAU"),Override!$C$126)/AS51!$B$3,"")))</f>
        <v/>
      </c>
      <c r="G91" s="140">
        <f>IF(G$13="","",IF($B91="","",IFERROR($C91*$D91*IF((Override!$C$4="ON")*(COUNTIFS(Override!$B$11:$B$40,$B91,Override!$D$11:$D$40,2,Override!$E$11:$E$40,"&gt;=0")-COUNTIFS(Override!$B$11:$B$40,$B91,Override!$D$11:$D$40,2,Override!$E$11:$E$40,"&gt;=0",Override!$C$11:$C$40,"MXAU"))&gt;0,SUMIFS(Override!$E$11:$E$40,Override!$B$11:$B$40,$B91,Override!$D$11:$D$40,2)-SUMIFS(Override!$E$11:$E$40,Override!$B$11:$B$40,$B91,Override!$D$11:$D$40,2,Override!$C$11:$C$40,"MXAU"),Override!$D$126)/AS51!$B$3,"")))</f>
        <v/>
      </c>
      <c r="H91" s="140">
        <f>IF(H$13="","",IF($B91="","",IFERROR($C91*$D91*IF((Override!$C$4="ON")*(COUNTIFS(Override!$B$11:$B$40,$B91,Override!$D$11:$D$40,3,Override!$E$11:$E$40,"&gt;=0")-COUNTIFS(Override!$B$11:$B$40,$B91,Override!$D$11:$D$40,3,Override!$E$11:$E$40,"&gt;=0",Override!$C$11:$C$40,"MXAU"))&gt;0,SUMIFS(Override!$E$11:$E$40,Override!$B$11:$B$40,$B91,Override!$D$11:$D$40,3)-SUMIFS(Override!$E$11:$E$40,Override!$B$11:$B$40,$B91,Override!$D$11:$D$40,3,Override!$C$11:$C$40,"MXAU"),Override!$E$126)/AS51!$B$3,"")))</f>
        <v/>
      </c>
      <c r="I91" s="140">
        <f>IF(I$13="","",IF($B91="","",IFERROR($C91*$D91*IF((Override!$C$4="ON")*(COUNTIFS(Override!$B$11:$B$40,$B91,Override!$D$11:$D$40,4,Override!$E$11:$E$40,"&gt;=0")-COUNTIFS(Override!$B$11:$B$40,$B91,Override!$D$11:$D$40,4,Override!$E$11:$E$40,"&gt;=0",Override!$C$11:$C$40,"MXAU"))&gt;0,SUMIFS(Override!$E$11:$E$40,Override!$B$11:$B$40,$B91,Override!$D$11:$D$40,4)-SUMIFS(Override!$E$11:$E$40,Override!$B$11:$B$40,$B91,Override!$D$11:$D$40,4,Override!$C$11:$C$40,"MXAU"),Override!$F$126)/AS51!$B$3,"")))</f>
        <v/>
      </c>
      <c r="J91" s="140">
        <f>IF(J$13="","",IF($B91="","",IFERROR($C91*$D91*IF((Override!$C$4="ON")*(COUNTIFS(Override!$B$11:$B$40,$B91,Override!$D$11:$D$40,5,Override!$E$11:$E$40,"&gt;=0")-COUNTIFS(Override!$B$11:$B$40,$B91,Override!$D$11:$D$40,5,Override!$E$11:$E$40,"&gt;=0",Override!$C$11:$C$40,"MXAU"))&gt;0,SUMIFS(Override!$E$11:$E$40,Override!$B$11:$B$40,$B91,Override!$D$11:$D$40,5)-SUMIFS(Override!$E$11:$E$40,Override!$B$11:$B$40,$B91,Override!$D$11:$D$40,5,Override!$C$11:$C$40,"MXAU"),Override!$G$126)/AS51!$B$3,"")))</f>
        <v/>
      </c>
      <c r="K91" s="140">
        <f>IF(K$13="","",IF($B91="","",IFERROR($C91*$D91*IF((Override!$C$4="ON")*(COUNTIFS(Override!$B$11:$B$40,$B91,Override!$D$11:$D$40,6,Override!$E$11:$E$40,"&gt;=0")-COUNTIFS(Override!$B$11:$B$40,$B91,Override!$D$11:$D$40,6,Override!$E$11:$E$40,"&gt;=0",Override!$C$11:$C$40,"MXAU"))&gt;0,SUMIFS(Override!$E$11:$E$40,Override!$B$11:$B$40,$B91,Override!$D$11:$D$40,6)-SUMIFS(Override!$E$11:$E$40,Override!$B$11:$B$40,$B91,Override!$D$11:$D$40,6,Override!$C$11:$C$40,"MXAU"),Override!$H$126)/AS51!$B$3,"")))</f>
        <v/>
      </c>
      <c r="L91" s="140">
        <f>IF(L$13="","",IF($B91="","",IFERROR($C91*$D91*IF((Override!$C$4="ON")*(COUNTIFS(Override!$B$11:$B$40,$B91,Override!$D$11:$D$40,7,Override!$E$11:$E$40,"&gt;=0")-COUNTIFS(Override!$B$11:$B$40,$B91,Override!$D$11:$D$40,7,Override!$E$11:$E$40,"&gt;=0",Override!$C$11:$C$40,"MXAU"))&gt;0,SUMIFS(Override!$E$11:$E$40,Override!$B$11:$B$40,$B91,Override!$D$11:$D$40,7)-SUMIFS(Override!$E$11:$E$40,Override!$B$11:$B$40,$B91,Override!$D$11:$D$40,7,Override!$C$11:$C$40,"MXAU"),Override!$I$126)/AS51!$B$3,"")))</f>
        <v/>
      </c>
      <c r="M91" s="140">
        <f>IF(M$13="","",IF($B91="","",IFERROR($C91*$D91*IF((Override!$C$4="ON")*(COUNTIFS(Override!$B$11:$B$40,$B91,Override!$D$11:$D$40,8,Override!$E$11:$E$40,"&gt;=0")-COUNTIFS(Override!$B$11:$B$40,$B91,Override!$D$11:$D$40,8,Override!$E$11:$E$40,"&gt;=0",Override!$C$11:$C$40,"MXAU"))&gt;0,SUMIFS(Override!$E$11:$E$40,Override!$B$11:$B$40,$B91,Override!$D$11:$D$40,8)-SUMIFS(Override!$E$11:$E$40,Override!$B$11:$B$40,$B91,Override!$D$11:$D$40,8,Override!$C$11:$C$40,"MXAU"),Override!$J$126)/AS51!$B$3,"")))</f>
        <v/>
      </c>
      <c r="N91" s="140">
        <f>IF(N$13="","",IF($B91="","",IFERROR($C91*$D91*IF((Override!$C$4="ON")*(COUNTIFS(Override!$B$11:$B$40,$B91,Override!$D$11:$D$40,9,Override!$E$11:$E$40,"&gt;=0")-COUNTIFS(Override!$B$11:$B$40,$B91,Override!$D$11:$D$40,9,Override!$E$11:$E$40,"&gt;=0",Override!$C$11:$C$40,"MXAU"))&gt;0,SUMIFS(Override!$E$11:$E$40,Override!$B$11:$B$40,$B91,Override!$D$11:$D$40,9)-SUMIFS(Override!$E$11:$E$40,Override!$B$11:$B$40,$B91,Override!$D$11:$D$40,9,Override!$C$11:$C$40,"MXAU"),Override!$K$126)/AS51!$B$3,"")))</f>
        <v/>
      </c>
      <c r="O91" s="140">
        <f>IF(O$13="","",IF($B91="","",IFERROR($C91*$D91*IF((Override!$C$4="ON")*(COUNTIFS(Override!$B$11:$B$40,$B91,Override!$D$11:$D$40,10,Override!$E$11:$E$40,"&gt;=0")-COUNTIFS(Override!$B$11:$B$40,$B91,Override!$D$11:$D$40,10,Override!$E$11:$E$40,"&gt;=0",Override!$C$11:$C$40,"MXAU"))&gt;0,SUMIFS(Override!$E$11:$E$40,Override!$B$11:$B$40,$B91,Override!$D$11:$D$40,10)-SUMIFS(Override!$E$11:$E$40,Override!$B$11:$B$40,$B91,Override!$D$11:$D$40,10,Override!$C$11:$C$40,"MXAU"),Override!$L$126)/AS51!$B$3,"")))</f>
        <v/>
      </c>
      <c r="P91" s="140">
        <f>IF(P$13="","",IF($B91="","",IFERROR($C91*$D91*IF((Override!$C$4="ON")*(COUNTIFS(Override!$B$11:$B$40,$B91,Override!$D$11:$D$40,11,Override!$E$11:$E$40,"&gt;=0")-COUNTIFS(Override!$B$11:$B$40,$B91,Override!$D$11:$D$40,11,Override!$E$11:$E$40,"&gt;=0",Override!$C$11:$C$40,"MXAU"))&gt;0,SUMIFS(Override!$E$11:$E$40,Override!$B$11:$B$40,$B91,Override!$D$11:$D$40,11)-SUMIFS(Override!$E$11:$E$40,Override!$B$11:$B$40,$B91,Override!$D$11:$D$40,11,Override!$C$11:$C$40,"MXAU"),Override!$M$126)/AS51!$B$3,"")))</f>
        <v/>
      </c>
      <c r="Q91" s="140">
        <f>IF(Q$13="","",IF($B91="","",IFERROR($C91*$D91*IF((Override!$C$4="ON")*(COUNTIFS(Override!$B$11:$B$40,$B91,Override!$D$11:$D$40,12,Override!$E$11:$E$40,"&gt;=0")-COUNTIFS(Override!$B$11:$B$40,$B91,Override!$D$11:$D$40,12,Override!$E$11:$E$40,"&gt;=0",Override!$C$11:$C$40,"MXAU"))&gt;0,SUMIFS(Override!$E$11:$E$40,Override!$B$11:$B$40,$B91,Override!$D$11:$D$40,12)-SUMIFS(Override!$E$11:$E$40,Override!$B$11:$B$40,$B91,Override!$D$11:$D$40,12,Override!$C$11:$C$40,"MXAU"),Override!$N$126)/AS51!$B$3,"")))</f>
        <v/>
      </c>
      <c r="R91" s="140">
        <f>IF(R$13="","",IF($B91="","",IFERROR($C91*$D91*IF((Override!$C$4="ON")*(COUNTIFS(Override!$B$11:$B$40,$B91,Override!$D$11:$D$40,13,Override!$E$11:$E$40,"&gt;=0")-COUNTIFS(Override!$B$11:$B$40,$B91,Override!$D$11:$D$40,13,Override!$E$11:$E$40,"&gt;=0",Override!$C$11:$C$40,"MXAU"))&gt;0,SUMIFS(Override!$E$11:$E$40,Override!$B$11:$B$40,$B91,Override!$D$11:$D$40,13)-SUMIFS(Override!$E$11:$E$40,Override!$B$11:$B$40,$B91,Override!$D$11:$D$40,13,Override!$C$11:$C$40,"MXAU"),Override!$O$126)/AS51!$B$3,"")))</f>
        <v/>
      </c>
      <c r="S91" s="140">
        <f>IF(S$13="","",IF($B91="","",IFERROR($C91*$D91*IF((Override!$C$4="ON")*(COUNTIFS(Override!$B$11:$B$40,$B91,Override!$D$11:$D$40,14,Override!$E$11:$E$40,"&gt;=0")-COUNTIFS(Override!$B$11:$B$40,$B91,Override!$D$11:$D$40,14,Override!$E$11:$E$40,"&gt;=0",Override!$C$11:$C$40,"MXAU"))&gt;0,SUMIFS(Override!$E$11:$E$40,Override!$B$11:$B$40,$B91,Override!$D$11:$D$40,14)-SUMIFS(Override!$E$11:$E$40,Override!$B$11:$B$40,$B91,Override!$D$11:$D$40,14,Override!$C$11:$C$40,"MXAU"),Override!$P$126)/AS51!$B$3,"")))</f>
        <v/>
      </c>
      <c r="T91" s="140">
        <f>IF(T$13="","",IF($B91="","",IFERROR($C91*$D91*IF((Override!$C$4="ON")*(COUNTIFS(Override!$B$11:$B$40,$B91,Override!$D$11:$D$40,15,Override!$E$11:$E$40,"&gt;=0")-COUNTIFS(Override!$B$11:$B$40,$B91,Override!$D$11:$D$40,15,Override!$E$11:$E$40,"&gt;=0",Override!$C$11:$C$40,"MXAU"))&gt;0,SUMIFS(Override!$E$11:$E$40,Override!$B$11:$B$40,$B91,Override!$D$11:$D$40,15)-SUMIFS(Override!$E$11:$E$40,Override!$B$11:$B$40,$B91,Override!$D$11:$D$40,15,Override!$C$11:$C$40,"MXAU"),Override!$Q$126)/AS51!$B$3,"")))</f>
        <v/>
      </c>
      <c r="U91" s="140">
        <f>IF(U$13="","",IF($B91="","",IFERROR($C91*$D91*IF((Override!$C$4="ON")*(COUNTIFS(Override!$B$11:$B$40,$B91,Override!$D$11:$D$40,16,Override!$E$11:$E$40,"&gt;=0")-COUNTIFS(Override!$B$11:$B$40,$B91,Override!$D$11:$D$40,16,Override!$E$11:$E$40,"&gt;=0",Override!$C$11:$C$40,"MXAU"))&gt;0,SUMIFS(Override!$E$11:$E$40,Override!$B$11:$B$40,$B91,Override!$D$11:$D$40,16)-SUMIFS(Override!$E$11:$E$40,Override!$B$11:$B$40,$B91,Override!$D$11:$D$40,16,Override!$C$11:$C$40,"MXAU"),Override!$R$126)/AS51!$B$3,"")))</f>
        <v/>
      </c>
      <c r="W91" s="140">
        <f>IF(W$13="","",IF($B91="","",IFERROR(F91*$E91/100,"")))</f>
        <v/>
      </c>
      <c r="X91" s="140">
        <f>IF(X$13="","",IF($B91="","",IFERROR(G91*$E91/100,"")))</f>
        <v/>
      </c>
      <c r="Y91" s="140">
        <f>IF(Y$13="","",IF($B91="","",IFERROR(H91*$E91/100,"")))</f>
        <v/>
      </c>
      <c r="Z91" s="140">
        <f>IF(Z$13="","",IF($B91="","",IFERROR(I91*$E91/100,"")))</f>
        <v/>
      </c>
      <c r="AA91" s="140">
        <f>IF(AA$13="","",IF($B91="","",IFERROR(J91*$E91/100,"")))</f>
        <v/>
      </c>
      <c r="AB91" s="140">
        <f>IF(AB$13="","",IF($B91="","",IFERROR(K91*$E91/100,"")))</f>
        <v/>
      </c>
      <c r="AC91" s="140">
        <f>IF(AC$13="","",IF($B91="","",IFERROR(L91*$E91/100,"")))</f>
        <v/>
      </c>
      <c r="AD91" s="140">
        <f>IF(AD$13="","",IF($B91="","",IFERROR(M91*$E91/100,"")))</f>
        <v/>
      </c>
      <c r="AE91" s="140">
        <f>IF(AE$13="","",IF($B91="","",IFERROR(N91*$E91/100,"")))</f>
        <v/>
      </c>
      <c r="AF91" s="140">
        <f>IF(AF$13="","",IF($B91="","",IFERROR(O91*$E91/100,"")))</f>
        <v/>
      </c>
      <c r="AG91" s="140">
        <f>IF(AG$13="","",IF($B91="","",IFERROR(P91*$E91/100,"")))</f>
        <v/>
      </c>
      <c r="AH91" s="140">
        <f>IF(AH$13="","",IF($B91="","",IFERROR(Q91*$E91/100,"")))</f>
        <v/>
      </c>
      <c r="AI91" s="140">
        <f>IF(AI$13="","",IF($B91="","",IFERROR(R91*$E91/100,"")))</f>
        <v/>
      </c>
      <c r="AJ91" s="140">
        <f>IF(AJ$13="","",IF($B91="","",IFERROR(S91*$E91/100,"")))</f>
        <v/>
      </c>
      <c r="AK91" s="140">
        <f>IF(AK$13="","",IF($B91="","",IFERROR(T91*$E91/100,"")))</f>
        <v/>
      </c>
      <c r="AL91" s="140">
        <f>IF(AL$13="","",IF($B91="","",IFERROR(U91*$E91/100,"")))</f>
        <v/>
      </c>
      <c r="AN91" s="140">
        <f>IF($B91="","",SUMIF($F$13:$U$13,"&lt;="&amp;Sector!$D$51,$F91:$U91))</f>
        <v/>
      </c>
      <c r="AO91" s="140">
        <f>IF($B91="","",SUMIF($W$13:$AL$13,"&lt;="&amp;Sector!$D$51,$W91:$AL91))</f>
        <v/>
      </c>
    </row>
    <row r="92">
      <c r="B92" s="5">
        <f>IF(AS51!$C$82="","",AS51!$C$82)</f>
        <v/>
      </c>
      <c r="C92" s="90">
        <f>IF(AS51!$B$82="","",AS51!$B$82)</f>
        <v/>
      </c>
      <c r="D92" s="138">
        <f>IFERROR(AS51!$Q$82,1)</f>
        <v/>
      </c>
      <c r="E92" s="139">
        <f>IF($B92="","",IF(ISNUMBER(AS51!$I$82),AS51!$I$82,'Index Summary'!$C$7))</f>
        <v/>
      </c>
      <c r="F92" s="140">
        <f>IF(F$13="","",IF($B92="","",IFERROR($C92*$D92*IF((Override!$C$4="ON")*(COUNTIFS(Override!$B$11:$B$40,$B92,Override!$D$11:$D$40,1,Override!$E$11:$E$40,"&gt;=0")-COUNTIFS(Override!$B$11:$B$40,$B92,Override!$D$11:$D$40,1,Override!$E$11:$E$40,"&gt;=0",Override!$C$11:$C$40,"MXAU"))&gt;0,SUMIFS(Override!$E$11:$E$40,Override!$B$11:$B$40,$B92,Override!$D$11:$D$40,1)-SUMIFS(Override!$E$11:$E$40,Override!$B$11:$B$40,$B92,Override!$D$11:$D$40,1,Override!$C$11:$C$40,"MXAU"),Override!$C$127)/AS51!$B$3,"")))</f>
        <v/>
      </c>
      <c r="G92" s="140">
        <f>IF(G$13="","",IF($B92="","",IFERROR($C92*$D92*IF((Override!$C$4="ON")*(COUNTIFS(Override!$B$11:$B$40,$B92,Override!$D$11:$D$40,2,Override!$E$11:$E$40,"&gt;=0")-COUNTIFS(Override!$B$11:$B$40,$B92,Override!$D$11:$D$40,2,Override!$E$11:$E$40,"&gt;=0",Override!$C$11:$C$40,"MXAU"))&gt;0,SUMIFS(Override!$E$11:$E$40,Override!$B$11:$B$40,$B92,Override!$D$11:$D$40,2)-SUMIFS(Override!$E$11:$E$40,Override!$B$11:$B$40,$B92,Override!$D$11:$D$40,2,Override!$C$11:$C$40,"MXAU"),Override!$D$127)/AS51!$B$3,"")))</f>
        <v/>
      </c>
      <c r="H92" s="140">
        <f>IF(H$13="","",IF($B92="","",IFERROR($C92*$D92*IF((Override!$C$4="ON")*(COUNTIFS(Override!$B$11:$B$40,$B92,Override!$D$11:$D$40,3,Override!$E$11:$E$40,"&gt;=0")-COUNTIFS(Override!$B$11:$B$40,$B92,Override!$D$11:$D$40,3,Override!$E$11:$E$40,"&gt;=0",Override!$C$11:$C$40,"MXAU"))&gt;0,SUMIFS(Override!$E$11:$E$40,Override!$B$11:$B$40,$B92,Override!$D$11:$D$40,3)-SUMIFS(Override!$E$11:$E$40,Override!$B$11:$B$40,$B92,Override!$D$11:$D$40,3,Override!$C$11:$C$40,"MXAU"),Override!$E$127)/AS51!$B$3,"")))</f>
        <v/>
      </c>
      <c r="I92" s="140">
        <f>IF(I$13="","",IF($B92="","",IFERROR($C92*$D92*IF((Override!$C$4="ON")*(COUNTIFS(Override!$B$11:$B$40,$B92,Override!$D$11:$D$40,4,Override!$E$11:$E$40,"&gt;=0")-COUNTIFS(Override!$B$11:$B$40,$B92,Override!$D$11:$D$40,4,Override!$E$11:$E$40,"&gt;=0",Override!$C$11:$C$40,"MXAU"))&gt;0,SUMIFS(Override!$E$11:$E$40,Override!$B$11:$B$40,$B92,Override!$D$11:$D$40,4)-SUMIFS(Override!$E$11:$E$40,Override!$B$11:$B$40,$B92,Override!$D$11:$D$40,4,Override!$C$11:$C$40,"MXAU"),Override!$F$127)/AS51!$B$3,"")))</f>
        <v/>
      </c>
      <c r="J92" s="140">
        <f>IF(J$13="","",IF($B92="","",IFERROR($C92*$D92*IF((Override!$C$4="ON")*(COUNTIFS(Override!$B$11:$B$40,$B92,Override!$D$11:$D$40,5,Override!$E$11:$E$40,"&gt;=0")-COUNTIFS(Override!$B$11:$B$40,$B92,Override!$D$11:$D$40,5,Override!$E$11:$E$40,"&gt;=0",Override!$C$11:$C$40,"MXAU"))&gt;0,SUMIFS(Override!$E$11:$E$40,Override!$B$11:$B$40,$B92,Override!$D$11:$D$40,5)-SUMIFS(Override!$E$11:$E$40,Override!$B$11:$B$40,$B92,Override!$D$11:$D$40,5,Override!$C$11:$C$40,"MXAU"),Override!$G$127)/AS51!$B$3,"")))</f>
        <v/>
      </c>
      <c r="K92" s="140">
        <f>IF(K$13="","",IF($B92="","",IFERROR($C92*$D92*IF((Override!$C$4="ON")*(COUNTIFS(Override!$B$11:$B$40,$B92,Override!$D$11:$D$40,6,Override!$E$11:$E$40,"&gt;=0")-COUNTIFS(Override!$B$11:$B$40,$B92,Override!$D$11:$D$40,6,Override!$E$11:$E$40,"&gt;=0",Override!$C$11:$C$40,"MXAU"))&gt;0,SUMIFS(Override!$E$11:$E$40,Override!$B$11:$B$40,$B92,Override!$D$11:$D$40,6)-SUMIFS(Override!$E$11:$E$40,Override!$B$11:$B$40,$B92,Override!$D$11:$D$40,6,Override!$C$11:$C$40,"MXAU"),Override!$H$127)/AS51!$B$3,"")))</f>
        <v/>
      </c>
      <c r="L92" s="140">
        <f>IF(L$13="","",IF($B92="","",IFERROR($C92*$D92*IF((Override!$C$4="ON")*(COUNTIFS(Override!$B$11:$B$40,$B92,Override!$D$11:$D$40,7,Override!$E$11:$E$40,"&gt;=0")-COUNTIFS(Override!$B$11:$B$40,$B92,Override!$D$11:$D$40,7,Override!$E$11:$E$40,"&gt;=0",Override!$C$11:$C$40,"MXAU"))&gt;0,SUMIFS(Override!$E$11:$E$40,Override!$B$11:$B$40,$B92,Override!$D$11:$D$40,7)-SUMIFS(Override!$E$11:$E$40,Override!$B$11:$B$40,$B92,Override!$D$11:$D$40,7,Override!$C$11:$C$40,"MXAU"),Override!$I$127)/AS51!$B$3,"")))</f>
        <v/>
      </c>
      <c r="M92" s="140">
        <f>IF(M$13="","",IF($B92="","",IFERROR($C92*$D92*IF((Override!$C$4="ON")*(COUNTIFS(Override!$B$11:$B$40,$B92,Override!$D$11:$D$40,8,Override!$E$11:$E$40,"&gt;=0")-COUNTIFS(Override!$B$11:$B$40,$B92,Override!$D$11:$D$40,8,Override!$E$11:$E$40,"&gt;=0",Override!$C$11:$C$40,"MXAU"))&gt;0,SUMIFS(Override!$E$11:$E$40,Override!$B$11:$B$40,$B92,Override!$D$11:$D$40,8)-SUMIFS(Override!$E$11:$E$40,Override!$B$11:$B$40,$B92,Override!$D$11:$D$40,8,Override!$C$11:$C$40,"MXAU"),Override!$J$127)/AS51!$B$3,"")))</f>
        <v/>
      </c>
      <c r="N92" s="140">
        <f>IF(N$13="","",IF($B92="","",IFERROR($C92*$D92*IF((Override!$C$4="ON")*(COUNTIFS(Override!$B$11:$B$40,$B92,Override!$D$11:$D$40,9,Override!$E$11:$E$40,"&gt;=0")-COUNTIFS(Override!$B$11:$B$40,$B92,Override!$D$11:$D$40,9,Override!$E$11:$E$40,"&gt;=0",Override!$C$11:$C$40,"MXAU"))&gt;0,SUMIFS(Override!$E$11:$E$40,Override!$B$11:$B$40,$B92,Override!$D$11:$D$40,9)-SUMIFS(Override!$E$11:$E$40,Override!$B$11:$B$40,$B92,Override!$D$11:$D$40,9,Override!$C$11:$C$40,"MXAU"),Override!$K$127)/AS51!$B$3,"")))</f>
        <v/>
      </c>
      <c r="O92" s="140">
        <f>IF(O$13="","",IF($B92="","",IFERROR($C92*$D92*IF((Override!$C$4="ON")*(COUNTIFS(Override!$B$11:$B$40,$B92,Override!$D$11:$D$40,10,Override!$E$11:$E$40,"&gt;=0")-COUNTIFS(Override!$B$11:$B$40,$B92,Override!$D$11:$D$40,10,Override!$E$11:$E$40,"&gt;=0",Override!$C$11:$C$40,"MXAU"))&gt;0,SUMIFS(Override!$E$11:$E$40,Override!$B$11:$B$40,$B92,Override!$D$11:$D$40,10)-SUMIFS(Override!$E$11:$E$40,Override!$B$11:$B$40,$B92,Override!$D$11:$D$40,10,Override!$C$11:$C$40,"MXAU"),Override!$L$127)/AS51!$B$3,"")))</f>
        <v/>
      </c>
      <c r="P92" s="140">
        <f>IF(P$13="","",IF($B92="","",IFERROR($C92*$D92*IF((Override!$C$4="ON")*(COUNTIFS(Override!$B$11:$B$40,$B92,Override!$D$11:$D$40,11,Override!$E$11:$E$40,"&gt;=0")-COUNTIFS(Override!$B$11:$B$40,$B92,Override!$D$11:$D$40,11,Override!$E$11:$E$40,"&gt;=0",Override!$C$11:$C$40,"MXAU"))&gt;0,SUMIFS(Override!$E$11:$E$40,Override!$B$11:$B$40,$B92,Override!$D$11:$D$40,11)-SUMIFS(Override!$E$11:$E$40,Override!$B$11:$B$40,$B92,Override!$D$11:$D$40,11,Override!$C$11:$C$40,"MXAU"),Override!$M$127)/AS51!$B$3,"")))</f>
        <v/>
      </c>
      <c r="Q92" s="140">
        <f>IF(Q$13="","",IF($B92="","",IFERROR($C92*$D92*IF((Override!$C$4="ON")*(COUNTIFS(Override!$B$11:$B$40,$B92,Override!$D$11:$D$40,12,Override!$E$11:$E$40,"&gt;=0")-COUNTIFS(Override!$B$11:$B$40,$B92,Override!$D$11:$D$40,12,Override!$E$11:$E$40,"&gt;=0",Override!$C$11:$C$40,"MXAU"))&gt;0,SUMIFS(Override!$E$11:$E$40,Override!$B$11:$B$40,$B92,Override!$D$11:$D$40,12)-SUMIFS(Override!$E$11:$E$40,Override!$B$11:$B$40,$B92,Override!$D$11:$D$40,12,Override!$C$11:$C$40,"MXAU"),Override!$N$127)/AS51!$B$3,"")))</f>
        <v/>
      </c>
      <c r="R92" s="140">
        <f>IF(R$13="","",IF($B92="","",IFERROR($C92*$D92*IF((Override!$C$4="ON")*(COUNTIFS(Override!$B$11:$B$40,$B92,Override!$D$11:$D$40,13,Override!$E$11:$E$40,"&gt;=0")-COUNTIFS(Override!$B$11:$B$40,$B92,Override!$D$11:$D$40,13,Override!$E$11:$E$40,"&gt;=0",Override!$C$11:$C$40,"MXAU"))&gt;0,SUMIFS(Override!$E$11:$E$40,Override!$B$11:$B$40,$B92,Override!$D$11:$D$40,13)-SUMIFS(Override!$E$11:$E$40,Override!$B$11:$B$40,$B92,Override!$D$11:$D$40,13,Override!$C$11:$C$40,"MXAU"),Override!$O$127)/AS51!$B$3,"")))</f>
        <v/>
      </c>
      <c r="S92" s="140">
        <f>IF(S$13="","",IF($B92="","",IFERROR($C92*$D92*IF((Override!$C$4="ON")*(COUNTIFS(Override!$B$11:$B$40,$B92,Override!$D$11:$D$40,14,Override!$E$11:$E$40,"&gt;=0")-COUNTIFS(Override!$B$11:$B$40,$B92,Override!$D$11:$D$40,14,Override!$E$11:$E$40,"&gt;=0",Override!$C$11:$C$40,"MXAU"))&gt;0,SUMIFS(Override!$E$11:$E$40,Override!$B$11:$B$40,$B92,Override!$D$11:$D$40,14)-SUMIFS(Override!$E$11:$E$40,Override!$B$11:$B$40,$B92,Override!$D$11:$D$40,14,Override!$C$11:$C$40,"MXAU"),Override!$P$127)/AS51!$B$3,"")))</f>
        <v/>
      </c>
      <c r="T92" s="140">
        <f>IF(T$13="","",IF($B92="","",IFERROR($C92*$D92*IF((Override!$C$4="ON")*(COUNTIFS(Override!$B$11:$B$40,$B92,Override!$D$11:$D$40,15,Override!$E$11:$E$40,"&gt;=0")-COUNTIFS(Override!$B$11:$B$40,$B92,Override!$D$11:$D$40,15,Override!$E$11:$E$40,"&gt;=0",Override!$C$11:$C$40,"MXAU"))&gt;0,SUMIFS(Override!$E$11:$E$40,Override!$B$11:$B$40,$B92,Override!$D$11:$D$40,15)-SUMIFS(Override!$E$11:$E$40,Override!$B$11:$B$40,$B92,Override!$D$11:$D$40,15,Override!$C$11:$C$40,"MXAU"),Override!$Q$127)/AS51!$B$3,"")))</f>
        <v/>
      </c>
      <c r="U92" s="140">
        <f>IF(U$13="","",IF($B92="","",IFERROR($C92*$D92*IF((Override!$C$4="ON")*(COUNTIFS(Override!$B$11:$B$40,$B92,Override!$D$11:$D$40,16,Override!$E$11:$E$40,"&gt;=0")-COUNTIFS(Override!$B$11:$B$40,$B92,Override!$D$11:$D$40,16,Override!$E$11:$E$40,"&gt;=0",Override!$C$11:$C$40,"MXAU"))&gt;0,SUMIFS(Override!$E$11:$E$40,Override!$B$11:$B$40,$B92,Override!$D$11:$D$40,16)-SUMIFS(Override!$E$11:$E$40,Override!$B$11:$B$40,$B92,Override!$D$11:$D$40,16,Override!$C$11:$C$40,"MXAU"),Override!$R$127)/AS51!$B$3,"")))</f>
        <v/>
      </c>
      <c r="W92" s="140">
        <f>IF(W$13="","",IF($B92="","",IFERROR(F92*$E92/100,"")))</f>
        <v/>
      </c>
      <c r="X92" s="140">
        <f>IF(X$13="","",IF($B92="","",IFERROR(G92*$E92/100,"")))</f>
        <v/>
      </c>
      <c r="Y92" s="140">
        <f>IF(Y$13="","",IF($B92="","",IFERROR(H92*$E92/100,"")))</f>
        <v/>
      </c>
      <c r="Z92" s="140">
        <f>IF(Z$13="","",IF($B92="","",IFERROR(I92*$E92/100,"")))</f>
        <v/>
      </c>
      <c r="AA92" s="140">
        <f>IF(AA$13="","",IF($B92="","",IFERROR(J92*$E92/100,"")))</f>
        <v/>
      </c>
      <c r="AB92" s="140">
        <f>IF(AB$13="","",IF($B92="","",IFERROR(K92*$E92/100,"")))</f>
        <v/>
      </c>
      <c r="AC92" s="140">
        <f>IF(AC$13="","",IF($B92="","",IFERROR(L92*$E92/100,"")))</f>
        <v/>
      </c>
      <c r="AD92" s="140">
        <f>IF(AD$13="","",IF($B92="","",IFERROR(M92*$E92/100,"")))</f>
        <v/>
      </c>
      <c r="AE92" s="140">
        <f>IF(AE$13="","",IF($B92="","",IFERROR(N92*$E92/100,"")))</f>
        <v/>
      </c>
      <c r="AF92" s="140">
        <f>IF(AF$13="","",IF($B92="","",IFERROR(O92*$E92/100,"")))</f>
        <v/>
      </c>
      <c r="AG92" s="140">
        <f>IF(AG$13="","",IF($B92="","",IFERROR(P92*$E92/100,"")))</f>
        <v/>
      </c>
      <c r="AH92" s="140">
        <f>IF(AH$13="","",IF($B92="","",IFERROR(Q92*$E92/100,"")))</f>
        <v/>
      </c>
      <c r="AI92" s="140">
        <f>IF(AI$13="","",IF($B92="","",IFERROR(R92*$E92/100,"")))</f>
        <v/>
      </c>
      <c r="AJ92" s="140">
        <f>IF(AJ$13="","",IF($B92="","",IFERROR(S92*$E92/100,"")))</f>
        <v/>
      </c>
      <c r="AK92" s="140">
        <f>IF(AK$13="","",IF($B92="","",IFERROR(T92*$E92/100,"")))</f>
        <v/>
      </c>
      <c r="AL92" s="140">
        <f>IF(AL$13="","",IF($B92="","",IFERROR(U92*$E92/100,"")))</f>
        <v/>
      </c>
      <c r="AN92" s="140">
        <f>IF($B92="","",SUMIF($F$13:$U$13,"&lt;="&amp;Sector!$D$51,$F92:$U92))</f>
        <v/>
      </c>
      <c r="AO92" s="140">
        <f>IF($B92="","",SUMIF($W$13:$AL$13,"&lt;="&amp;Sector!$D$51,$W92:$AL92))</f>
        <v/>
      </c>
    </row>
    <row r="93">
      <c r="B93" s="5">
        <f>IF(AS51!$C$83="","",AS51!$C$83)</f>
        <v/>
      </c>
      <c r="C93" s="90">
        <f>IF(AS51!$B$83="","",AS51!$B$83)</f>
        <v/>
      </c>
      <c r="D93" s="138">
        <f>IFERROR(AS51!$Q$83,1)</f>
        <v/>
      </c>
      <c r="E93" s="139">
        <f>IF($B93="","",IF(ISNUMBER(AS51!$I$83),AS51!$I$83,'Index Summary'!$C$7))</f>
        <v/>
      </c>
      <c r="F93" s="140">
        <f>IF(F$13="","",IF($B93="","",IFERROR($C93*$D93*IF((Override!$C$4="ON")*(COUNTIFS(Override!$B$11:$B$40,$B93,Override!$D$11:$D$40,1,Override!$E$11:$E$40,"&gt;=0")-COUNTIFS(Override!$B$11:$B$40,$B93,Override!$D$11:$D$40,1,Override!$E$11:$E$40,"&gt;=0",Override!$C$11:$C$40,"MXAU"))&gt;0,SUMIFS(Override!$E$11:$E$40,Override!$B$11:$B$40,$B93,Override!$D$11:$D$40,1)-SUMIFS(Override!$E$11:$E$40,Override!$B$11:$B$40,$B93,Override!$D$11:$D$40,1,Override!$C$11:$C$40,"MXAU"),Override!$C$128)/AS51!$B$3,"")))</f>
        <v/>
      </c>
      <c r="G93" s="140">
        <f>IF(G$13="","",IF($B93="","",IFERROR($C93*$D93*IF((Override!$C$4="ON")*(COUNTIFS(Override!$B$11:$B$40,$B93,Override!$D$11:$D$40,2,Override!$E$11:$E$40,"&gt;=0")-COUNTIFS(Override!$B$11:$B$40,$B93,Override!$D$11:$D$40,2,Override!$E$11:$E$40,"&gt;=0",Override!$C$11:$C$40,"MXAU"))&gt;0,SUMIFS(Override!$E$11:$E$40,Override!$B$11:$B$40,$B93,Override!$D$11:$D$40,2)-SUMIFS(Override!$E$11:$E$40,Override!$B$11:$B$40,$B93,Override!$D$11:$D$40,2,Override!$C$11:$C$40,"MXAU"),Override!$D$128)/AS51!$B$3,"")))</f>
        <v/>
      </c>
      <c r="H93" s="140">
        <f>IF(H$13="","",IF($B93="","",IFERROR($C93*$D93*IF((Override!$C$4="ON")*(COUNTIFS(Override!$B$11:$B$40,$B93,Override!$D$11:$D$40,3,Override!$E$11:$E$40,"&gt;=0")-COUNTIFS(Override!$B$11:$B$40,$B93,Override!$D$11:$D$40,3,Override!$E$11:$E$40,"&gt;=0",Override!$C$11:$C$40,"MXAU"))&gt;0,SUMIFS(Override!$E$11:$E$40,Override!$B$11:$B$40,$B93,Override!$D$11:$D$40,3)-SUMIFS(Override!$E$11:$E$40,Override!$B$11:$B$40,$B93,Override!$D$11:$D$40,3,Override!$C$11:$C$40,"MXAU"),Override!$E$128)/AS51!$B$3,"")))</f>
        <v/>
      </c>
      <c r="I93" s="140">
        <f>IF(I$13="","",IF($B93="","",IFERROR($C93*$D93*IF((Override!$C$4="ON")*(COUNTIFS(Override!$B$11:$B$40,$B93,Override!$D$11:$D$40,4,Override!$E$11:$E$40,"&gt;=0")-COUNTIFS(Override!$B$11:$B$40,$B93,Override!$D$11:$D$40,4,Override!$E$11:$E$40,"&gt;=0",Override!$C$11:$C$40,"MXAU"))&gt;0,SUMIFS(Override!$E$11:$E$40,Override!$B$11:$B$40,$B93,Override!$D$11:$D$40,4)-SUMIFS(Override!$E$11:$E$40,Override!$B$11:$B$40,$B93,Override!$D$11:$D$40,4,Override!$C$11:$C$40,"MXAU"),Override!$F$128)/AS51!$B$3,"")))</f>
        <v/>
      </c>
      <c r="J93" s="140">
        <f>IF(J$13="","",IF($B93="","",IFERROR($C93*$D93*IF((Override!$C$4="ON")*(COUNTIFS(Override!$B$11:$B$40,$B93,Override!$D$11:$D$40,5,Override!$E$11:$E$40,"&gt;=0")-COUNTIFS(Override!$B$11:$B$40,$B93,Override!$D$11:$D$40,5,Override!$E$11:$E$40,"&gt;=0",Override!$C$11:$C$40,"MXAU"))&gt;0,SUMIFS(Override!$E$11:$E$40,Override!$B$11:$B$40,$B93,Override!$D$11:$D$40,5)-SUMIFS(Override!$E$11:$E$40,Override!$B$11:$B$40,$B93,Override!$D$11:$D$40,5,Override!$C$11:$C$40,"MXAU"),Override!$G$128)/AS51!$B$3,"")))</f>
        <v/>
      </c>
      <c r="K93" s="140">
        <f>IF(K$13="","",IF($B93="","",IFERROR($C93*$D93*IF((Override!$C$4="ON")*(COUNTIFS(Override!$B$11:$B$40,$B93,Override!$D$11:$D$40,6,Override!$E$11:$E$40,"&gt;=0")-COUNTIFS(Override!$B$11:$B$40,$B93,Override!$D$11:$D$40,6,Override!$E$11:$E$40,"&gt;=0",Override!$C$11:$C$40,"MXAU"))&gt;0,SUMIFS(Override!$E$11:$E$40,Override!$B$11:$B$40,$B93,Override!$D$11:$D$40,6)-SUMIFS(Override!$E$11:$E$40,Override!$B$11:$B$40,$B93,Override!$D$11:$D$40,6,Override!$C$11:$C$40,"MXAU"),Override!$H$128)/AS51!$B$3,"")))</f>
        <v/>
      </c>
      <c r="L93" s="140">
        <f>IF(L$13="","",IF($B93="","",IFERROR($C93*$D93*IF((Override!$C$4="ON")*(COUNTIFS(Override!$B$11:$B$40,$B93,Override!$D$11:$D$40,7,Override!$E$11:$E$40,"&gt;=0")-COUNTIFS(Override!$B$11:$B$40,$B93,Override!$D$11:$D$40,7,Override!$E$11:$E$40,"&gt;=0",Override!$C$11:$C$40,"MXAU"))&gt;0,SUMIFS(Override!$E$11:$E$40,Override!$B$11:$B$40,$B93,Override!$D$11:$D$40,7)-SUMIFS(Override!$E$11:$E$40,Override!$B$11:$B$40,$B93,Override!$D$11:$D$40,7,Override!$C$11:$C$40,"MXAU"),Override!$I$128)/AS51!$B$3,"")))</f>
        <v/>
      </c>
      <c r="M93" s="140">
        <f>IF(M$13="","",IF($B93="","",IFERROR($C93*$D93*IF((Override!$C$4="ON")*(COUNTIFS(Override!$B$11:$B$40,$B93,Override!$D$11:$D$40,8,Override!$E$11:$E$40,"&gt;=0")-COUNTIFS(Override!$B$11:$B$40,$B93,Override!$D$11:$D$40,8,Override!$E$11:$E$40,"&gt;=0",Override!$C$11:$C$40,"MXAU"))&gt;0,SUMIFS(Override!$E$11:$E$40,Override!$B$11:$B$40,$B93,Override!$D$11:$D$40,8)-SUMIFS(Override!$E$11:$E$40,Override!$B$11:$B$40,$B93,Override!$D$11:$D$40,8,Override!$C$11:$C$40,"MXAU"),Override!$J$128)/AS51!$B$3,"")))</f>
        <v/>
      </c>
      <c r="N93" s="140">
        <f>IF(N$13="","",IF($B93="","",IFERROR($C93*$D93*IF((Override!$C$4="ON")*(COUNTIFS(Override!$B$11:$B$40,$B93,Override!$D$11:$D$40,9,Override!$E$11:$E$40,"&gt;=0")-COUNTIFS(Override!$B$11:$B$40,$B93,Override!$D$11:$D$40,9,Override!$E$11:$E$40,"&gt;=0",Override!$C$11:$C$40,"MXAU"))&gt;0,SUMIFS(Override!$E$11:$E$40,Override!$B$11:$B$40,$B93,Override!$D$11:$D$40,9)-SUMIFS(Override!$E$11:$E$40,Override!$B$11:$B$40,$B93,Override!$D$11:$D$40,9,Override!$C$11:$C$40,"MXAU"),Override!$K$128)/AS51!$B$3,"")))</f>
        <v/>
      </c>
      <c r="O93" s="140">
        <f>IF(O$13="","",IF($B93="","",IFERROR($C93*$D93*IF((Override!$C$4="ON")*(COUNTIFS(Override!$B$11:$B$40,$B93,Override!$D$11:$D$40,10,Override!$E$11:$E$40,"&gt;=0")-COUNTIFS(Override!$B$11:$B$40,$B93,Override!$D$11:$D$40,10,Override!$E$11:$E$40,"&gt;=0",Override!$C$11:$C$40,"MXAU"))&gt;0,SUMIFS(Override!$E$11:$E$40,Override!$B$11:$B$40,$B93,Override!$D$11:$D$40,10)-SUMIFS(Override!$E$11:$E$40,Override!$B$11:$B$40,$B93,Override!$D$11:$D$40,10,Override!$C$11:$C$40,"MXAU"),Override!$L$128)/AS51!$B$3,"")))</f>
        <v/>
      </c>
      <c r="P93" s="140">
        <f>IF(P$13="","",IF($B93="","",IFERROR($C93*$D93*IF((Override!$C$4="ON")*(COUNTIFS(Override!$B$11:$B$40,$B93,Override!$D$11:$D$40,11,Override!$E$11:$E$40,"&gt;=0")-COUNTIFS(Override!$B$11:$B$40,$B93,Override!$D$11:$D$40,11,Override!$E$11:$E$40,"&gt;=0",Override!$C$11:$C$40,"MXAU"))&gt;0,SUMIFS(Override!$E$11:$E$40,Override!$B$11:$B$40,$B93,Override!$D$11:$D$40,11)-SUMIFS(Override!$E$11:$E$40,Override!$B$11:$B$40,$B93,Override!$D$11:$D$40,11,Override!$C$11:$C$40,"MXAU"),Override!$M$128)/AS51!$B$3,"")))</f>
        <v/>
      </c>
      <c r="Q93" s="140">
        <f>IF(Q$13="","",IF($B93="","",IFERROR($C93*$D93*IF((Override!$C$4="ON")*(COUNTIFS(Override!$B$11:$B$40,$B93,Override!$D$11:$D$40,12,Override!$E$11:$E$40,"&gt;=0")-COUNTIFS(Override!$B$11:$B$40,$B93,Override!$D$11:$D$40,12,Override!$E$11:$E$40,"&gt;=0",Override!$C$11:$C$40,"MXAU"))&gt;0,SUMIFS(Override!$E$11:$E$40,Override!$B$11:$B$40,$B93,Override!$D$11:$D$40,12)-SUMIFS(Override!$E$11:$E$40,Override!$B$11:$B$40,$B93,Override!$D$11:$D$40,12,Override!$C$11:$C$40,"MXAU"),Override!$N$128)/AS51!$B$3,"")))</f>
        <v/>
      </c>
      <c r="R93" s="140">
        <f>IF(R$13="","",IF($B93="","",IFERROR($C93*$D93*IF((Override!$C$4="ON")*(COUNTIFS(Override!$B$11:$B$40,$B93,Override!$D$11:$D$40,13,Override!$E$11:$E$40,"&gt;=0")-COUNTIFS(Override!$B$11:$B$40,$B93,Override!$D$11:$D$40,13,Override!$E$11:$E$40,"&gt;=0",Override!$C$11:$C$40,"MXAU"))&gt;0,SUMIFS(Override!$E$11:$E$40,Override!$B$11:$B$40,$B93,Override!$D$11:$D$40,13)-SUMIFS(Override!$E$11:$E$40,Override!$B$11:$B$40,$B93,Override!$D$11:$D$40,13,Override!$C$11:$C$40,"MXAU"),Override!$O$128)/AS51!$B$3,"")))</f>
        <v/>
      </c>
      <c r="S93" s="140">
        <f>IF(S$13="","",IF($B93="","",IFERROR($C93*$D93*IF((Override!$C$4="ON")*(COUNTIFS(Override!$B$11:$B$40,$B93,Override!$D$11:$D$40,14,Override!$E$11:$E$40,"&gt;=0")-COUNTIFS(Override!$B$11:$B$40,$B93,Override!$D$11:$D$40,14,Override!$E$11:$E$40,"&gt;=0",Override!$C$11:$C$40,"MXAU"))&gt;0,SUMIFS(Override!$E$11:$E$40,Override!$B$11:$B$40,$B93,Override!$D$11:$D$40,14)-SUMIFS(Override!$E$11:$E$40,Override!$B$11:$B$40,$B93,Override!$D$11:$D$40,14,Override!$C$11:$C$40,"MXAU"),Override!$P$128)/AS51!$B$3,"")))</f>
        <v/>
      </c>
      <c r="T93" s="140">
        <f>IF(T$13="","",IF($B93="","",IFERROR($C93*$D93*IF((Override!$C$4="ON")*(COUNTIFS(Override!$B$11:$B$40,$B93,Override!$D$11:$D$40,15,Override!$E$11:$E$40,"&gt;=0")-COUNTIFS(Override!$B$11:$B$40,$B93,Override!$D$11:$D$40,15,Override!$E$11:$E$40,"&gt;=0",Override!$C$11:$C$40,"MXAU"))&gt;0,SUMIFS(Override!$E$11:$E$40,Override!$B$11:$B$40,$B93,Override!$D$11:$D$40,15)-SUMIFS(Override!$E$11:$E$40,Override!$B$11:$B$40,$B93,Override!$D$11:$D$40,15,Override!$C$11:$C$40,"MXAU"),Override!$Q$128)/AS51!$B$3,"")))</f>
        <v/>
      </c>
      <c r="U93" s="140">
        <f>IF(U$13="","",IF($B93="","",IFERROR($C93*$D93*IF((Override!$C$4="ON")*(COUNTIFS(Override!$B$11:$B$40,$B93,Override!$D$11:$D$40,16,Override!$E$11:$E$40,"&gt;=0")-COUNTIFS(Override!$B$11:$B$40,$B93,Override!$D$11:$D$40,16,Override!$E$11:$E$40,"&gt;=0",Override!$C$11:$C$40,"MXAU"))&gt;0,SUMIFS(Override!$E$11:$E$40,Override!$B$11:$B$40,$B93,Override!$D$11:$D$40,16)-SUMIFS(Override!$E$11:$E$40,Override!$B$11:$B$40,$B93,Override!$D$11:$D$40,16,Override!$C$11:$C$40,"MXAU"),Override!$R$128)/AS51!$B$3,"")))</f>
        <v/>
      </c>
      <c r="W93" s="140">
        <f>IF(W$13="","",IF($B93="","",IFERROR(F93*$E93/100,"")))</f>
        <v/>
      </c>
      <c r="X93" s="140">
        <f>IF(X$13="","",IF($B93="","",IFERROR(G93*$E93/100,"")))</f>
        <v/>
      </c>
      <c r="Y93" s="140">
        <f>IF(Y$13="","",IF($B93="","",IFERROR(H93*$E93/100,"")))</f>
        <v/>
      </c>
      <c r="Z93" s="140">
        <f>IF(Z$13="","",IF($B93="","",IFERROR(I93*$E93/100,"")))</f>
        <v/>
      </c>
      <c r="AA93" s="140">
        <f>IF(AA$13="","",IF($B93="","",IFERROR(J93*$E93/100,"")))</f>
        <v/>
      </c>
      <c r="AB93" s="140">
        <f>IF(AB$13="","",IF($B93="","",IFERROR(K93*$E93/100,"")))</f>
        <v/>
      </c>
      <c r="AC93" s="140">
        <f>IF(AC$13="","",IF($B93="","",IFERROR(L93*$E93/100,"")))</f>
        <v/>
      </c>
      <c r="AD93" s="140">
        <f>IF(AD$13="","",IF($B93="","",IFERROR(M93*$E93/100,"")))</f>
        <v/>
      </c>
      <c r="AE93" s="140">
        <f>IF(AE$13="","",IF($B93="","",IFERROR(N93*$E93/100,"")))</f>
        <v/>
      </c>
      <c r="AF93" s="140">
        <f>IF(AF$13="","",IF($B93="","",IFERROR(O93*$E93/100,"")))</f>
        <v/>
      </c>
      <c r="AG93" s="140">
        <f>IF(AG$13="","",IF($B93="","",IFERROR(P93*$E93/100,"")))</f>
        <v/>
      </c>
      <c r="AH93" s="140">
        <f>IF(AH$13="","",IF($B93="","",IFERROR(Q93*$E93/100,"")))</f>
        <v/>
      </c>
      <c r="AI93" s="140">
        <f>IF(AI$13="","",IF($B93="","",IFERROR(R93*$E93/100,"")))</f>
        <v/>
      </c>
      <c r="AJ93" s="140">
        <f>IF(AJ$13="","",IF($B93="","",IFERROR(S93*$E93/100,"")))</f>
        <v/>
      </c>
      <c r="AK93" s="140">
        <f>IF(AK$13="","",IF($B93="","",IFERROR(T93*$E93/100,"")))</f>
        <v/>
      </c>
      <c r="AL93" s="140">
        <f>IF(AL$13="","",IF($B93="","",IFERROR(U93*$E93/100,"")))</f>
        <v/>
      </c>
      <c r="AN93" s="140">
        <f>IF($B93="","",SUMIF($F$13:$U$13,"&lt;="&amp;Sector!$D$51,$F93:$U93))</f>
        <v/>
      </c>
      <c r="AO93" s="140">
        <f>IF($B93="","",SUMIF($W$13:$AL$13,"&lt;="&amp;Sector!$D$51,$W93:$AL93))</f>
        <v/>
      </c>
    </row>
    <row r="94">
      <c r="B94" s="5">
        <f>IF(AS51!$C$84="","",AS51!$C$84)</f>
        <v/>
      </c>
      <c r="C94" s="90">
        <f>IF(AS51!$B$84="","",AS51!$B$84)</f>
        <v/>
      </c>
      <c r="D94" s="138">
        <f>IFERROR(AS51!$Q$84,1)</f>
        <v/>
      </c>
      <c r="E94" s="139">
        <f>IF($B94="","",IF(ISNUMBER(AS51!$I$84),AS51!$I$84,'Index Summary'!$C$7))</f>
        <v/>
      </c>
      <c r="F94" s="140">
        <f>IF(F$13="","",IF($B94="","",IFERROR($C94*$D94*IF((Override!$C$4="ON")*(COUNTIFS(Override!$B$11:$B$40,$B94,Override!$D$11:$D$40,1,Override!$E$11:$E$40,"&gt;=0")-COUNTIFS(Override!$B$11:$B$40,$B94,Override!$D$11:$D$40,1,Override!$E$11:$E$40,"&gt;=0",Override!$C$11:$C$40,"MXAU"))&gt;0,SUMIFS(Override!$E$11:$E$40,Override!$B$11:$B$40,$B94,Override!$D$11:$D$40,1)-SUMIFS(Override!$E$11:$E$40,Override!$B$11:$B$40,$B94,Override!$D$11:$D$40,1,Override!$C$11:$C$40,"MXAU"),Override!$C$129)/AS51!$B$3,"")))</f>
        <v/>
      </c>
      <c r="G94" s="140">
        <f>IF(G$13="","",IF($B94="","",IFERROR($C94*$D94*IF((Override!$C$4="ON")*(COUNTIFS(Override!$B$11:$B$40,$B94,Override!$D$11:$D$40,2,Override!$E$11:$E$40,"&gt;=0")-COUNTIFS(Override!$B$11:$B$40,$B94,Override!$D$11:$D$40,2,Override!$E$11:$E$40,"&gt;=0",Override!$C$11:$C$40,"MXAU"))&gt;0,SUMIFS(Override!$E$11:$E$40,Override!$B$11:$B$40,$B94,Override!$D$11:$D$40,2)-SUMIFS(Override!$E$11:$E$40,Override!$B$11:$B$40,$B94,Override!$D$11:$D$40,2,Override!$C$11:$C$40,"MXAU"),Override!$D$129)/AS51!$B$3,"")))</f>
        <v/>
      </c>
      <c r="H94" s="140">
        <f>IF(H$13="","",IF($B94="","",IFERROR($C94*$D94*IF((Override!$C$4="ON")*(COUNTIFS(Override!$B$11:$B$40,$B94,Override!$D$11:$D$40,3,Override!$E$11:$E$40,"&gt;=0")-COUNTIFS(Override!$B$11:$B$40,$B94,Override!$D$11:$D$40,3,Override!$E$11:$E$40,"&gt;=0",Override!$C$11:$C$40,"MXAU"))&gt;0,SUMIFS(Override!$E$11:$E$40,Override!$B$11:$B$40,$B94,Override!$D$11:$D$40,3)-SUMIFS(Override!$E$11:$E$40,Override!$B$11:$B$40,$B94,Override!$D$11:$D$40,3,Override!$C$11:$C$40,"MXAU"),Override!$E$129)/AS51!$B$3,"")))</f>
        <v/>
      </c>
      <c r="I94" s="140">
        <f>IF(I$13="","",IF($B94="","",IFERROR($C94*$D94*IF((Override!$C$4="ON")*(COUNTIFS(Override!$B$11:$B$40,$B94,Override!$D$11:$D$40,4,Override!$E$11:$E$40,"&gt;=0")-COUNTIFS(Override!$B$11:$B$40,$B94,Override!$D$11:$D$40,4,Override!$E$11:$E$40,"&gt;=0",Override!$C$11:$C$40,"MXAU"))&gt;0,SUMIFS(Override!$E$11:$E$40,Override!$B$11:$B$40,$B94,Override!$D$11:$D$40,4)-SUMIFS(Override!$E$11:$E$40,Override!$B$11:$B$40,$B94,Override!$D$11:$D$40,4,Override!$C$11:$C$40,"MXAU"),Override!$F$129)/AS51!$B$3,"")))</f>
        <v/>
      </c>
      <c r="J94" s="140">
        <f>IF(J$13="","",IF($B94="","",IFERROR($C94*$D94*IF((Override!$C$4="ON")*(COUNTIFS(Override!$B$11:$B$40,$B94,Override!$D$11:$D$40,5,Override!$E$11:$E$40,"&gt;=0")-COUNTIFS(Override!$B$11:$B$40,$B94,Override!$D$11:$D$40,5,Override!$E$11:$E$40,"&gt;=0",Override!$C$11:$C$40,"MXAU"))&gt;0,SUMIFS(Override!$E$11:$E$40,Override!$B$11:$B$40,$B94,Override!$D$11:$D$40,5)-SUMIFS(Override!$E$11:$E$40,Override!$B$11:$B$40,$B94,Override!$D$11:$D$40,5,Override!$C$11:$C$40,"MXAU"),Override!$G$129)/AS51!$B$3,"")))</f>
        <v/>
      </c>
      <c r="K94" s="140">
        <f>IF(K$13="","",IF($B94="","",IFERROR($C94*$D94*IF((Override!$C$4="ON")*(COUNTIFS(Override!$B$11:$B$40,$B94,Override!$D$11:$D$40,6,Override!$E$11:$E$40,"&gt;=0")-COUNTIFS(Override!$B$11:$B$40,$B94,Override!$D$11:$D$40,6,Override!$E$11:$E$40,"&gt;=0",Override!$C$11:$C$40,"MXAU"))&gt;0,SUMIFS(Override!$E$11:$E$40,Override!$B$11:$B$40,$B94,Override!$D$11:$D$40,6)-SUMIFS(Override!$E$11:$E$40,Override!$B$11:$B$40,$B94,Override!$D$11:$D$40,6,Override!$C$11:$C$40,"MXAU"),Override!$H$129)/AS51!$B$3,"")))</f>
        <v/>
      </c>
      <c r="L94" s="140">
        <f>IF(L$13="","",IF($B94="","",IFERROR($C94*$D94*IF((Override!$C$4="ON")*(COUNTIFS(Override!$B$11:$B$40,$B94,Override!$D$11:$D$40,7,Override!$E$11:$E$40,"&gt;=0")-COUNTIFS(Override!$B$11:$B$40,$B94,Override!$D$11:$D$40,7,Override!$E$11:$E$40,"&gt;=0",Override!$C$11:$C$40,"MXAU"))&gt;0,SUMIFS(Override!$E$11:$E$40,Override!$B$11:$B$40,$B94,Override!$D$11:$D$40,7)-SUMIFS(Override!$E$11:$E$40,Override!$B$11:$B$40,$B94,Override!$D$11:$D$40,7,Override!$C$11:$C$40,"MXAU"),Override!$I$129)/AS51!$B$3,"")))</f>
        <v/>
      </c>
      <c r="M94" s="140">
        <f>IF(M$13="","",IF($B94="","",IFERROR($C94*$D94*IF((Override!$C$4="ON")*(COUNTIFS(Override!$B$11:$B$40,$B94,Override!$D$11:$D$40,8,Override!$E$11:$E$40,"&gt;=0")-COUNTIFS(Override!$B$11:$B$40,$B94,Override!$D$11:$D$40,8,Override!$E$11:$E$40,"&gt;=0",Override!$C$11:$C$40,"MXAU"))&gt;0,SUMIFS(Override!$E$11:$E$40,Override!$B$11:$B$40,$B94,Override!$D$11:$D$40,8)-SUMIFS(Override!$E$11:$E$40,Override!$B$11:$B$40,$B94,Override!$D$11:$D$40,8,Override!$C$11:$C$40,"MXAU"),Override!$J$129)/AS51!$B$3,"")))</f>
        <v/>
      </c>
      <c r="N94" s="140">
        <f>IF(N$13="","",IF($B94="","",IFERROR($C94*$D94*IF((Override!$C$4="ON")*(COUNTIFS(Override!$B$11:$B$40,$B94,Override!$D$11:$D$40,9,Override!$E$11:$E$40,"&gt;=0")-COUNTIFS(Override!$B$11:$B$40,$B94,Override!$D$11:$D$40,9,Override!$E$11:$E$40,"&gt;=0",Override!$C$11:$C$40,"MXAU"))&gt;0,SUMIFS(Override!$E$11:$E$40,Override!$B$11:$B$40,$B94,Override!$D$11:$D$40,9)-SUMIFS(Override!$E$11:$E$40,Override!$B$11:$B$40,$B94,Override!$D$11:$D$40,9,Override!$C$11:$C$40,"MXAU"),Override!$K$129)/AS51!$B$3,"")))</f>
        <v/>
      </c>
      <c r="O94" s="140">
        <f>IF(O$13="","",IF($B94="","",IFERROR($C94*$D94*IF((Override!$C$4="ON")*(COUNTIFS(Override!$B$11:$B$40,$B94,Override!$D$11:$D$40,10,Override!$E$11:$E$40,"&gt;=0")-COUNTIFS(Override!$B$11:$B$40,$B94,Override!$D$11:$D$40,10,Override!$E$11:$E$40,"&gt;=0",Override!$C$11:$C$40,"MXAU"))&gt;0,SUMIFS(Override!$E$11:$E$40,Override!$B$11:$B$40,$B94,Override!$D$11:$D$40,10)-SUMIFS(Override!$E$11:$E$40,Override!$B$11:$B$40,$B94,Override!$D$11:$D$40,10,Override!$C$11:$C$40,"MXAU"),Override!$L$129)/AS51!$B$3,"")))</f>
        <v/>
      </c>
      <c r="P94" s="140">
        <f>IF(P$13="","",IF($B94="","",IFERROR($C94*$D94*IF((Override!$C$4="ON")*(COUNTIFS(Override!$B$11:$B$40,$B94,Override!$D$11:$D$40,11,Override!$E$11:$E$40,"&gt;=0")-COUNTIFS(Override!$B$11:$B$40,$B94,Override!$D$11:$D$40,11,Override!$E$11:$E$40,"&gt;=0",Override!$C$11:$C$40,"MXAU"))&gt;0,SUMIFS(Override!$E$11:$E$40,Override!$B$11:$B$40,$B94,Override!$D$11:$D$40,11)-SUMIFS(Override!$E$11:$E$40,Override!$B$11:$B$40,$B94,Override!$D$11:$D$40,11,Override!$C$11:$C$40,"MXAU"),Override!$M$129)/AS51!$B$3,"")))</f>
        <v/>
      </c>
      <c r="Q94" s="140">
        <f>IF(Q$13="","",IF($B94="","",IFERROR($C94*$D94*IF((Override!$C$4="ON")*(COUNTIFS(Override!$B$11:$B$40,$B94,Override!$D$11:$D$40,12,Override!$E$11:$E$40,"&gt;=0")-COUNTIFS(Override!$B$11:$B$40,$B94,Override!$D$11:$D$40,12,Override!$E$11:$E$40,"&gt;=0",Override!$C$11:$C$40,"MXAU"))&gt;0,SUMIFS(Override!$E$11:$E$40,Override!$B$11:$B$40,$B94,Override!$D$11:$D$40,12)-SUMIFS(Override!$E$11:$E$40,Override!$B$11:$B$40,$B94,Override!$D$11:$D$40,12,Override!$C$11:$C$40,"MXAU"),Override!$N$129)/AS51!$B$3,"")))</f>
        <v/>
      </c>
      <c r="R94" s="140">
        <f>IF(R$13="","",IF($B94="","",IFERROR($C94*$D94*IF((Override!$C$4="ON")*(COUNTIFS(Override!$B$11:$B$40,$B94,Override!$D$11:$D$40,13,Override!$E$11:$E$40,"&gt;=0")-COUNTIFS(Override!$B$11:$B$40,$B94,Override!$D$11:$D$40,13,Override!$E$11:$E$40,"&gt;=0",Override!$C$11:$C$40,"MXAU"))&gt;0,SUMIFS(Override!$E$11:$E$40,Override!$B$11:$B$40,$B94,Override!$D$11:$D$40,13)-SUMIFS(Override!$E$11:$E$40,Override!$B$11:$B$40,$B94,Override!$D$11:$D$40,13,Override!$C$11:$C$40,"MXAU"),Override!$O$129)/AS51!$B$3,"")))</f>
        <v/>
      </c>
      <c r="S94" s="140">
        <f>IF(S$13="","",IF($B94="","",IFERROR($C94*$D94*IF((Override!$C$4="ON")*(COUNTIFS(Override!$B$11:$B$40,$B94,Override!$D$11:$D$40,14,Override!$E$11:$E$40,"&gt;=0")-COUNTIFS(Override!$B$11:$B$40,$B94,Override!$D$11:$D$40,14,Override!$E$11:$E$40,"&gt;=0",Override!$C$11:$C$40,"MXAU"))&gt;0,SUMIFS(Override!$E$11:$E$40,Override!$B$11:$B$40,$B94,Override!$D$11:$D$40,14)-SUMIFS(Override!$E$11:$E$40,Override!$B$11:$B$40,$B94,Override!$D$11:$D$40,14,Override!$C$11:$C$40,"MXAU"),Override!$P$129)/AS51!$B$3,"")))</f>
        <v/>
      </c>
      <c r="T94" s="140">
        <f>IF(T$13="","",IF($B94="","",IFERROR($C94*$D94*IF((Override!$C$4="ON")*(COUNTIFS(Override!$B$11:$B$40,$B94,Override!$D$11:$D$40,15,Override!$E$11:$E$40,"&gt;=0")-COUNTIFS(Override!$B$11:$B$40,$B94,Override!$D$11:$D$40,15,Override!$E$11:$E$40,"&gt;=0",Override!$C$11:$C$40,"MXAU"))&gt;0,SUMIFS(Override!$E$11:$E$40,Override!$B$11:$B$40,$B94,Override!$D$11:$D$40,15)-SUMIFS(Override!$E$11:$E$40,Override!$B$11:$B$40,$B94,Override!$D$11:$D$40,15,Override!$C$11:$C$40,"MXAU"),Override!$Q$129)/AS51!$B$3,"")))</f>
        <v/>
      </c>
      <c r="U94" s="140">
        <f>IF(U$13="","",IF($B94="","",IFERROR($C94*$D94*IF((Override!$C$4="ON")*(COUNTIFS(Override!$B$11:$B$40,$B94,Override!$D$11:$D$40,16,Override!$E$11:$E$40,"&gt;=0")-COUNTIFS(Override!$B$11:$B$40,$B94,Override!$D$11:$D$40,16,Override!$E$11:$E$40,"&gt;=0",Override!$C$11:$C$40,"MXAU"))&gt;0,SUMIFS(Override!$E$11:$E$40,Override!$B$11:$B$40,$B94,Override!$D$11:$D$40,16)-SUMIFS(Override!$E$11:$E$40,Override!$B$11:$B$40,$B94,Override!$D$11:$D$40,16,Override!$C$11:$C$40,"MXAU"),Override!$R$129)/AS51!$B$3,"")))</f>
        <v/>
      </c>
      <c r="W94" s="140">
        <f>IF(W$13="","",IF($B94="","",IFERROR(F94*$E94/100,"")))</f>
        <v/>
      </c>
      <c r="X94" s="140">
        <f>IF(X$13="","",IF($B94="","",IFERROR(G94*$E94/100,"")))</f>
        <v/>
      </c>
      <c r="Y94" s="140">
        <f>IF(Y$13="","",IF($B94="","",IFERROR(H94*$E94/100,"")))</f>
        <v/>
      </c>
      <c r="Z94" s="140">
        <f>IF(Z$13="","",IF($B94="","",IFERROR(I94*$E94/100,"")))</f>
        <v/>
      </c>
      <c r="AA94" s="140">
        <f>IF(AA$13="","",IF($B94="","",IFERROR(J94*$E94/100,"")))</f>
        <v/>
      </c>
      <c r="AB94" s="140">
        <f>IF(AB$13="","",IF($B94="","",IFERROR(K94*$E94/100,"")))</f>
        <v/>
      </c>
      <c r="AC94" s="140">
        <f>IF(AC$13="","",IF($B94="","",IFERROR(L94*$E94/100,"")))</f>
        <v/>
      </c>
      <c r="AD94" s="140">
        <f>IF(AD$13="","",IF($B94="","",IFERROR(M94*$E94/100,"")))</f>
        <v/>
      </c>
      <c r="AE94" s="140">
        <f>IF(AE$13="","",IF($B94="","",IFERROR(N94*$E94/100,"")))</f>
        <v/>
      </c>
      <c r="AF94" s="140">
        <f>IF(AF$13="","",IF($B94="","",IFERROR(O94*$E94/100,"")))</f>
        <v/>
      </c>
      <c r="AG94" s="140">
        <f>IF(AG$13="","",IF($B94="","",IFERROR(P94*$E94/100,"")))</f>
        <v/>
      </c>
      <c r="AH94" s="140">
        <f>IF(AH$13="","",IF($B94="","",IFERROR(Q94*$E94/100,"")))</f>
        <v/>
      </c>
      <c r="AI94" s="140">
        <f>IF(AI$13="","",IF($B94="","",IFERROR(R94*$E94/100,"")))</f>
        <v/>
      </c>
      <c r="AJ94" s="140">
        <f>IF(AJ$13="","",IF($B94="","",IFERROR(S94*$E94/100,"")))</f>
        <v/>
      </c>
      <c r="AK94" s="140">
        <f>IF(AK$13="","",IF($B94="","",IFERROR(T94*$E94/100,"")))</f>
        <v/>
      </c>
      <c r="AL94" s="140">
        <f>IF(AL$13="","",IF($B94="","",IFERROR(U94*$E94/100,"")))</f>
        <v/>
      </c>
      <c r="AN94" s="140">
        <f>IF($B94="","",SUMIF($F$13:$U$13,"&lt;="&amp;Sector!$D$51,$F94:$U94))</f>
        <v/>
      </c>
      <c r="AO94" s="140">
        <f>IF($B94="","",SUMIF($W$13:$AL$13,"&lt;="&amp;Sector!$D$51,$W94:$AL94))</f>
        <v/>
      </c>
    </row>
    <row r="95">
      <c r="B95" s="5">
        <f>IF(AS51!$C$85="","",AS51!$C$85)</f>
        <v/>
      </c>
      <c r="C95" s="90">
        <f>IF(AS51!$B$85="","",AS51!$B$85)</f>
        <v/>
      </c>
      <c r="D95" s="138">
        <f>IFERROR(AS51!$Q$85,1)</f>
        <v/>
      </c>
      <c r="E95" s="139">
        <f>IF($B95="","",IF(ISNUMBER(AS51!$I$85),AS51!$I$85,'Index Summary'!$C$7))</f>
        <v/>
      </c>
      <c r="F95" s="140">
        <f>IF(F$13="","",IF($B95="","",IFERROR($C95*$D95*IF((Override!$C$4="ON")*(COUNTIFS(Override!$B$11:$B$40,$B95,Override!$D$11:$D$40,1,Override!$E$11:$E$40,"&gt;=0")-COUNTIFS(Override!$B$11:$B$40,$B95,Override!$D$11:$D$40,1,Override!$E$11:$E$40,"&gt;=0",Override!$C$11:$C$40,"MXAU"))&gt;0,SUMIFS(Override!$E$11:$E$40,Override!$B$11:$B$40,$B95,Override!$D$11:$D$40,1)-SUMIFS(Override!$E$11:$E$40,Override!$B$11:$B$40,$B95,Override!$D$11:$D$40,1,Override!$C$11:$C$40,"MXAU"),Override!$C$130)/AS51!$B$3,"")))</f>
        <v/>
      </c>
      <c r="G95" s="140">
        <f>IF(G$13="","",IF($B95="","",IFERROR($C95*$D95*IF((Override!$C$4="ON")*(COUNTIFS(Override!$B$11:$B$40,$B95,Override!$D$11:$D$40,2,Override!$E$11:$E$40,"&gt;=0")-COUNTIFS(Override!$B$11:$B$40,$B95,Override!$D$11:$D$40,2,Override!$E$11:$E$40,"&gt;=0",Override!$C$11:$C$40,"MXAU"))&gt;0,SUMIFS(Override!$E$11:$E$40,Override!$B$11:$B$40,$B95,Override!$D$11:$D$40,2)-SUMIFS(Override!$E$11:$E$40,Override!$B$11:$B$40,$B95,Override!$D$11:$D$40,2,Override!$C$11:$C$40,"MXAU"),Override!$D$130)/AS51!$B$3,"")))</f>
        <v/>
      </c>
      <c r="H95" s="140">
        <f>IF(H$13="","",IF($B95="","",IFERROR($C95*$D95*IF((Override!$C$4="ON")*(COUNTIFS(Override!$B$11:$B$40,$B95,Override!$D$11:$D$40,3,Override!$E$11:$E$40,"&gt;=0")-COUNTIFS(Override!$B$11:$B$40,$B95,Override!$D$11:$D$40,3,Override!$E$11:$E$40,"&gt;=0",Override!$C$11:$C$40,"MXAU"))&gt;0,SUMIFS(Override!$E$11:$E$40,Override!$B$11:$B$40,$B95,Override!$D$11:$D$40,3)-SUMIFS(Override!$E$11:$E$40,Override!$B$11:$B$40,$B95,Override!$D$11:$D$40,3,Override!$C$11:$C$40,"MXAU"),Override!$E$130)/AS51!$B$3,"")))</f>
        <v/>
      </c>
      <c r="I95" s="140">
        <f>IF(I$13="","",IF($B95="","",IFERROR($C95*$D95*IF((Override!$C$4="ON")*(COUNTIFS(Override!$B$11:$B$40,$B95,Override!$D$11:$D$40,4,Override!$E$11:$E$40,"&gt;=0")-COUNTIFS(Override!$B$11:$B$40,$B95,Override!$D$11:$D$40,4,Override!$E$11:$E$40,"&gt;=0",Override!$C$11:$C$40,"MXAU"))&gt;0,SUMIFS(Override!$E$11:$E$40,Override!$B$11:$B$40,$B95,Override!$D$11:$D$40,4)-SUMIFS(Override!$E$11:$E$40,Override!$B$11:$B$40,$B95,Override!$D$11:$D$40,4,Override!$C$11:$C$40,"MXAU"),Override!$F$130)/AS51!$B$3,"")))</f>
        <v/>
      </c>
      <c r="J95" s="140">
        <f>IF(J$13="","",IF($B95="","",IFERROR($C95*$D95*IF((Override!$C$4="ON")*(COUNTIFS(Override!$B$11:$B$40,$B95,Override!$D$11:$D$40,5,Override!$E$11:$E$40,"&gt;=0")-COUNTIFS(Override!$B$11:$B$40,$B95,Override!$D$11:$D$40,5,Override!$E$11:$E$40,"&gt;=0",Override!$C$11:$C$40,"MXAU"))&gt;0,SUMIFS(Override!$E$11:$E$40,Override!$B$11:$B$40,$B95,Override!$D$11:$D$40,5)-SUMIFS(Override!$E$11:$E$40,Override!$B$11:$B$40,$B95,Override!$D$11:$D$40,5,Override!$C$11:$C$40,"MXAU"),Override!$G$130)/AS51!$B$3,"")))</f>
        <v/>
      </c>
      <c r="K95" s="140">
        <f>IF(K$13="","",IF($B95="","",IFERROR($C95*$D95*IF((Override!$C$4="ON")*(COUNTIFS(Override!$B$11:$B$40,$B95,Override!$D$11:$D$40,6,Override!$E$11:$E$40,"&gt;=0")-COUNTIFS(Override!$B$11:$B$40,$B95,Override!$D$11:$D$40,6,Override!$E$11:$E$40,"&gt;=0",Override!$C$11:$C$40,"MXAU"))&gt;0,SUMIFS(Override!$E$11:$E$40,Override!$B$11:$B$40,$B95,Override!$D$11:$D$40,6)-SUMIFS(Override!$E$11:$E$40,Override!$B$11:$B$40,$B95,Override!$D$11:$D$40,6,Override!$C$11:$C$40,"MXAU"),Override!$H$130)/AS51!$B$3,"")))</f>
        <v/>
      </c>
      <c r="L95" s="140">
        <f>IF(L$13="","",IF($B95="","",IFERROR($C95*$D95*IF((Override!$C$4="ON")*(COUNTIFS(Override!$B$11:$B$40,$B95,Override!$D$11:$D$40,7,Override!$E$11:$E$40,"&gt;=0")-COUNTIFS(Override!$B$11:$B$40,$B95,Override!$D$11:$D$40,7,Override!$E$11:$E$40,"&gt;=0",Override!$C$11:$C$40,"MXAU"))&gt;0,SUMIFS(Override!$E$11:$E$40,Override!$B$11:$B$40,$B95,Override!$D$11:$D$40,7)-SUMIFS(Override!$E$11:$E$40,Override!$B$11:$B$40,$B95,Override!$D$11:$D$40,7,Override!$C$11:$C$40,"MXAU"),Override!$I$130)/AS51!$B$3,"")))</f>
        <v/>
      </c>
      <c r="M95" s="140">
        <f>IF(M$13="","",IF($B95="","",IFERROR($C95*$D95*IF((Override!$C$4="ON")*(COUNTIFS(Override!$B$11:$B$40,$B95,Override!$D$11:$D$40,8,Override!$E$11:$E$40,"&gt;=0")-COUNTIFS(Override!$B$11:$B$40,$B95,Override!$D$11:$D$40,8,Override!$E$11:$E$40,"&gt;=0",Override!$C$11:$C$40,"MXAU"))&gt;0,SUMIFS(Override!$E$11:$E$40,Override!$B$11:$B$40,$B95,Override!$D$11:$D$40,8)-SUMIFS(Override!$E$11:$E$40,Override!$B$11:$B$40,$B95,Override!$D$11:$D$40,8,Override!$C$11:$C$40,"MXAU"),Override!$J$130)/AS51!$B$3,"")))</f>
        <v/>
      </c>
      <c r="N95" s="140">
        <f>IF(N$13="","",IF($B95="","",IFERROR($C95*$D95*IF((Override!$C$4="ON")*(COUNTIFS(Override!$B$11:$B$40,$B95,Override!$D$11:$D$40,9,Override!$E$11:$E$40,"&gt;=0")-COUNTIFS(Override!$B$11:$B$40,$B95,Override!$D$11:$D$40,9,Override!$E$11:$E$40,"&gt;=0",Override!$C$11:$C$40,"MXAU"))&gt;0,SUMIFS(Override!$E$11:$E$40,Override!$B$11:$B$40,$B95,Override!$D$11:$D$40,9)-SUMIFS(Override!$E$11:$E$40,Override!$B$11:$B$40,$B95,Override!$D$11:$D$40,9,Override!$C$11:$C$40,"MXAU"),Override!$K$130)/AS51!$B$3,"")))</f>
        <v/>
      </c>
      <c r="O95" s="140">
        <f>IF(O$13="","",IF($B95="","",IFERROR($C95*$D95*IF((Override!$C$4="ON")*(COUNTIFS(Override!$B$11:$B$40,$B95,Override!$D$11:$D$40,10,Override!$E$11:$E$40,"&gt;=0")-COUNTIFS(Override!$B$11:$B$40,$B95,Override!$D$11:$D$40,10,Override!$E$11:$E$40,"&gt;=0",Override!$C$11:$C$40,"MXAU"))&gt;0,SUMIFS(Override!$E$11:$E$40,Override!$B$11:$B$40,$B95,Override!$D$11:$D$40,10)-SUMIFS(Override!$E$11:$E$40,Override!$B$11:$B$40,$B95,Override!$D$11:$D$40,10,Override!$C$11:$C$40,"MXAU"),Override!$L$130)/AS51!$B$3,"")))</f>
        <v/>
      </c>
      <c r="P95" s="140">
        <f>IF(P$13="","",IF($B95="","",IFERROR($C95*$D95*IF((Override!$C$4="ON")*(COUNTIFS(Override!$B$11:$B$40,$B95,Override!$D$11:$D$40,11,Override!$E$11:$E$40,"&gt;=0")-COUNTIFS(Override!$B$11:$B$40,$B95,Override!$D$11:$D$40,11,Override!$E$11:$E$40,"&gt;=0",Override!$C$11:$C$40,"MXAU"))&gt;0,SUMIFS(Override!$E$11:$E$40,Override!$B$11:$B$40,$B95,Override!$D$11:$D$40,11)-SUMIFS(Override!$E$11:$E$40,Override!$B$11:$B$40,$B95,Override!$D$11:$D$40,11,Override!$C$11:$C$40,"MXAU"),Override!$M$130)/AS51!$B$3,"")))</f>
        <v/>
      </c>
      <c r="Q95" s="140">
        <f>IF(Q$13="","",IF($B95="","",IFERROR($C95*$D95*IF((Override!$C$4="ON")*(COUNTIFS(Override!$B$11:$B$40,$B95,Override!$D$11:$D$40,12,Override!$E$11:$E$40,"&gt;=0")-COUNTIFS(Override!$B$11:$B$40,$B95,Override!$D$11:$D$40,12,Override!$E$11:$E$40,"&gt;=0",Override!$C$11:$C$40,"MXAU"))&gt;0,SUMIFS(Override!$E$11:$E$40,Override!$B$11:$B$40,$B95,Override!$D$11:$D$40,12)-SUMIFS(Override!$E$11:$E$40,Override!$B$11:$B$40,$B95,Override!$D$11:$D$40,12,Override!$C$11:$C$40,"MXAU"),Override!$N$130)/AS51!$B$3,"")))</f>
        <v/>
      </c>
      <c r="R95" s="140">
        <f>IF(R$13="","",IF($B95="","",IFERROR($C95*$D95*IF((Override!$C$4="ON")*(COUNTIFS(Override!$B$11:$B$40,$B95,Override!$D$11:$D$40,13,Override!$E$11:$E$40,"&gt;=0")-COUNTIFS(Override!$B$11:$B$40,$B95,Override!$D$11:$D$40,13,Override!$E$11:$E$40,"&gt;=0",Override!$C$11:$C$40,"MXAU"))&gt;0,SUMIFS(Override!$E$11:$E$40,Override!$B$11:$B$40,$B95,Override!$D$11:$D$40,13)-SUMIFS(Override!$E$11:$E$40,Override!$B$11:$B$40,$B95,Override!$D$11:$D$40,13,Override!$C$11:$C$40,"MXAU"),Override!$O$130)/AS51!$B$3,"")))</f>
        <v/>
      </c>
      <c r="S95" s="140">
        <f>IF(S$13="","",IF($B95="","",IFERROR($C95*$D95*IF((Override!$C$4="ON")*(COUNTIFS(Override!$B$11:$B$40,$B95,Override!$D$11:$D$40,14,Override!$E$11:$E$40,"&gt;=0")-COUNTIFS(Override!$B$11:$B$40,$B95,Override!$D$11:$D$40,14,Override!$E$11:$E$40,"&gt;=0",Override!$C$11:$C$40,"MXAU"))&gt;0,SUMIFS(Override!$E$11:$E$40,Override!$B$11:$B$40,$B95,Override!$D$11:$D$40,14)-SUMIFS(Override!$E$11:$E$40,Override!$B$11:$B$40,$B95,Override!$D$11:$D$40,14,Override!$C$11:$C$40,"MXAU"),Override!$P$130)/AS51!$B$3,"")))</f>
        <v/>
      </c>
      <c r="T95" s="140">
        <f>IF(T$13="","",IF($B95="","",IFERROR($C95*$D95*IF((Override!$C$4="ON")*(COUNTIFS(Override!$B$11:$B$40,$B95,Override!$D$11:$D$40,15,Override!$E$11:$E$40,"&gt;=0")-COUNTIFS(Override!$B$11:$B$40,$B95,Override!$D$11:$D$40,15,Override!$E$11:$E$40,"&gt;=0",Override!$C$11:$C$40,"MXAU"))&gt;0,SUMIFS(Override!$E$11:$E$40,Override!$B$11:$B$40,$B95,Override!$D$11:$D$40,15)-SUMIFS(Override!$E$11:$E$40,Override!$B$11:$B$40,$B95,Override!$D$11:$D$40,15,Override!$C$11:$C$40,"MXAU"),Override!$Q$130)/AS51!$B$3,"")))</f>
        <v/>
      </c>
      <c r="U95" s="140">
        <f>IF(U$13="","",IF($B95="","",IFERROR($C95*$D95*IF((Override!$C$4="ON")*(COUNTIFS(Override!$B$11:$B$40,$B95,Override!$D$11:$D$40,16,Override!$E$11:$E$40,"&gt;=0")-COUNTIFS(Override!$B$11:$B$40,$B95,Override!$D$11:$D$40,16,Override!$E$11:$E$40,"&gt;=0",Override!$C$11:$C$40,"MXAU"))&gt;0,SUMIFS(Override!$E$11:$E$40,Override!$B$11:$B$40,$B95,Override!$D$11:$D$40,16)-SUMIFS(Override!$E$11:$E$40,Override!$B$11:$B$40,$B95,Override!$D$11:$D$40,16,Override!$C$11:$C$40,"MXAU"),Override!$R$130)/AS51!$B$3,"")))</f>
        <v/>
      </c>
      <c r="W95" s="140">
        <f>IF(W$13="","",IF($B95="","",IFERROR(F95*$E95/100,"")))</f>
        <v/>
      </c>
      <c r="X95" s="140">
        <f>IF(X$13="","",IF($B95="","",IFERROR(G95*$E95/100,"")))</f>
        <v/>
      </c>
      <c r="Y95" s="140">
        <f>IF(Y$13="","",IF($B95="","",IFERROR(H95*$E95/100,"")))</f>
        <v/>
      </c>
      <c r="Z95" s="140">
        <f>IF(Z$13="","",IF($B95="","",IFERROR(I95*$E95/100,"")))</f>
        <v/>
      </c>
      <c r="AA95" s="140">
        <f>IF(AA$13="","",IF($B95="","",IFERROR(J95*$E95/100,"")))</f>
        <v/>
      </c>
      <c r="AB95" s="140">
        <f>IF(AB$13="","",IF($B95="","",IFERROR(K95*$E95/100,"")))</f>
        <v/>
      </c>
      <c r="AC95" s="140">
        <f>IF(AC$13="","",IF($B95="","",IFERROR(L95*$E95/100,"")))</f>
        <v/>
      </c>
      <c r="AD95" s="140">
        <f>IF(AD$13="","",IF($B95="","",IFERROR(M95*$E95/100,"")))</f>
        <v/>
      </c>
      <c r="AE95" s="140">
        <f>IF(AE$13="","",IF($B95="","",IFERROR(N95*$E95/100,"")))</f>
        <v/>
      </c>
      <c r="AF95" s="140">
        <f>IF(AF$13="","",IF($B95="","",IFERROR(O95*$E95/100,"")))</f>
        <v/>
      </c>
      <c r="AG95" s="140">
        <f>IF(AG$13="","",IF($B95="","",IFERROR(P95*$E95/100,"")))</f>
        <v/>
      </c>
      <c r="AH95" s="140">
        <f>IF(AH$13="","",IF($B95="","",IFERROR(Q95*$E95/100,"")))</f>
        <v/>
      </c>
      <c r="AI95" s="140">
        <f>IF(AI$13="","",IF($B95="","",IFERROR(R95*$E95/100,"")))</f>
        <v/>
      </c>
      <c r="AJ95" s="140">
        <f>IF(AJ$13="","",IF($B95="","",IFERROR(S95*$E95/100,"")))</f>
        <v/>
      </c>
      <c r="AK95" s="140">
        <f>IF(AK$13="","",IF($B95="","",IFERROR(T95*$E95/100,"")))</f>
        <v/>
      </c>
      <c r="AL95" s="140">
        <f>IF(AL$13="","",IF($B95="","",IFERROR(U95*$E95/100,"")))</f>
        <v/>
      </c>
      <c r="AN95" s="140">
        <f>IF($B95="","",SUMIF($F$13:$U$13,"&lt;="&amp;Sector!$D$51,$F95:$U95))</f>
        <v/>
      </c>
      <c r="AO95" s="140">
        <f>IF($B95="","",SUMIF($W$13:$AL$13,"&lt;="&amp;Sector!$D$51,$W95:$AL95))</f>
        <v/>
      </c>
    </row>
    <row r="96">
      <c r="B96" s="5">
        <f>IF(AS51!$C$86="","",AS51!$C$86)</f>
        <v/>
      </c>
      <c r="C96" s="90">
        <f>IF(AS51!$B$86="","",AS51!$B$86)</f>
        <v/>
      </c>
      <c r="D96" s="138">
        <f>IFERROR(AS51!$Q$86,1)</f>
        <v/>
      </c>
      <c r="E96" s="139">
        <f>IF($B96="","",IF(ISNUMBER(AS51!$I$86),AS51!$I$86,'Index Summary'!$C$7))</f>
        <v/>
      </c>
      <c r="F96" s="140">
        <f>IF(F$13="","",IF($B96="","",IFERROR($C96*$D96*IF((Override!$C$4="ON")*(COUNTIFS(Override!$B$11:$B$40,$B96,Override!$D$11:$D$40,1,Override!$E$11:$E$40,"&gt;=0")-COUNTIFS(Override!$B$11:$B$40,$B96,Override!$D$11:$D$40,1,Override!$E$11:$E$40,"&gt;=0",Override!$C$11:$C$40,"MXAU"))&gt;0,SUMIFS(Override!$E$11:$E$40,Override!$B$11:$B$40,$B96,Override!$D$11:$D$40,1)-SUMIFS(Override!$E$11:$E$40,Override!$B$11:$B$40,$B96,Override!$D$11:$D$40,1,Override!$C$11:$C$40,"MXAU"),Override!$C$131)/AS51!$B$3,"")))</f>
        <v/>
      </c>
      <c r="G96" s="140">
        <f>IF(G$13="","",IF($B96="","",IFERROR($C96*$D96*IF((Override!$C$4="ON")*(COUNTIFS(Override!$B$11:$B$40,$B96,Override!$D$11:$D$40,2,Override!$E$11:$E$40,"&gt;=0")-COUNTIFS(Override!$B$11:$B$40,$B96,Override!$D$11:$D$40,2,Override!$E$11:$E$40,"&gt;=0",Override!$C$11:$C$40,"MXAU"))&gt;0,SUMIFS(Override!$E$11:$E$40,Override!$B$11:$B$40,$B96,Override!$D$11:$D$40,2)-SUMIFS(Override!$E$11:$E$40,Override!$B$11:$B$40,$B96,Override!$D$11:$D$40,2,Override!$C$11:$C$40,"MXAU"),Override!$D$131)/AS51!$B$3,"")))</f>
        <v/>
      </c>
      <c r="H96" s="140">
        <f>IF(H$13="","",IF($B96="","",IFERROR($C96*$D96*IF((Override!$C$4="ON")*(COUNTIFS(Override!$B$11:$B$40,$B96,Override!$D$11:$D$40,3,Override!$E$11:$E$40,"&gt;=0")-COUNTIFS(Override!$B$11:$B$40,$B96,Override!$D$11:$D$40,3,Override!$E$11:$E$40,"&gt;=0",Override!$C$11:$C$40,"MXAU"))&gt;0,SUMIFS(Override!$E$11:$E$40,Override!$B$11:$B$40,$B96,Override!$D$11:$D$40,3)-SUMIFS(Override!$E$11:$E$40,Override!$B$11:$B$40,$B96,Override!$D$11:$D$40,3,Override!$C$11:$C$40,"MXAU"),Override!$E$131)/AS51!$B$3,"")))</f>
        <v/>
      </c>
      <c r="I96" s="140">
        <f>IF(I$13="","",IF($B96="","",IFERROR($C96*$D96*IF((Override!$C$4="ON")*(COUNTIFS(Override!$B$11:$B$40,$B96,Override!$D$11:$D$40,4,Override!$E$11:$E$40,"&gt;=0")-COUNTIFS(Override!$B$11:$B$40,$B96,Override!$D$11:$D$40,4,Override!$E$11:$E$40,"&gt;=0",Override!$C$11:$C$40,"MXAU"))&gt;0,SUMIFS(Override!$E$11:$E$40,Override!$B$11:$B$40,$B96,Override!$D$11:$D$40,4)-SUMIFS(Override!$E$11:$E$40,Override!$B$11:$B$40,$B96,Override!$D$11:$D$40,4,Override!$C$11:$C$40,"MXAU"),Override!$F$131)/AS51!$B$3,"")))</f>
        <v/>
      </c>
      <c r="J96" s="140">
        <f>IF(J$13="","",IF($B96="","",IFERROR($C96*$D96*IF((Override!$C$4="ON")*(COUNTIFS(Override!$B$11:$B$40,$B96,Override!$D$11:$D$40,5,Override!$E$11:$E$40,"&gt;=0")-COUNTIFS(Override!$B$11:$B$40,$B96,Override!$D$11:$D$40,5,Override!$E$11:$E$40,"&gt;=0",Override!$C$11:$C$40,"MXAU"))&gt;0,SUMIFS(Override!$E$11:$E$40,Override!$B$11:$B$40,$B96,Override!$D$11:$D$40,5)-SUMIFS(Override!$E$11:$E$40,Override!$B$11:$B$40,$B96,Override!$D$11:$D$40,5,Override!$C$11:$C$40,"MXAU"),Override!$G$131)/AS51!$B$3,"")))</f>
        <v/>
      </c>
      <c r="K96" s="140">
        <f>IF(K$13="","",IF($B96="","",IFERROR($C96*$D96*IF((Override!$C$4="ON")*(COUNTIFS(Override!$B$11:$B$40,$B96,Override!$D$11:$D$40,6,Override!$E$11:$E$40,"&gt;=0")-COUNTIFS(Override!$B$11:$B$40,$B96,Override!$D$11:$D$40,6,Override!$E$11:$E$40,"&gt;=0",Override!$C$11:$C$40,"MXAU"))&gt;0,SUMIFS(Override!$E$11:$E$40,Override!$B$11:$B$40,$B96,Override!$D$11:$D$40,6)-SUMIFS(Override!$E$11:$E$40,Override!$B$11:$B$40,$B96,Override!$D$11:$D$40,6,Override!$C$11:$C$40,"MXAU"),Override!$H$131)/AS51!$B$3,"")))</f>
        <v/>
      </c>
      <c r="L96" s="140">
        <f>IF(L$13="","",IF($B96="","",IFERROR($C96*$D96*IF((Override!$C$4="ON")*(COUNTIFS(Override!$B$11:$B$40,$B96,Override!$D$11:$D$40,7,Override!$E$11:$E$40,"&gt;=0")-COUNTIFS(Override!$B$11:$B$40,$B96,Override!$D$11:$D$40,7,Override!$E$11:$E$40,"&gt;=0",Override!$C$11:$C$40,"MXAU"))&gt;0,SUMIFS(Override!$E$11:$E$40,Override!$B$11:$B$40,$B96,Override!$D$11:$D$40,7)-SUMIFS(Override!$E$11:$E$40,Override!$B$11:$B$40,$B96,Override!$D$11:$D$40,7,Override!$C$11:$C$40,"MXAU"),Override!$I$131)/AS51!$B$3,"")))</f>
        <v/>
      </c>
      <c r="M96" s="140">
        <f>IF(M$13="","",IF($B96="","",IFERROR($C96*$D96*IF((Override!$C$4="ON")*(COUNTIFS(Override!$B$11:$B$40,$B96,Override!$D$11:$D$40,8,Override!$E$11:$E$40,"&gt;=0")-COUNTIFS(Override!$B$11:$B$40,$B96,Override!$D$11:$D$40,8,Override!$E$11:$E$40,"&gt;=0",Override!$C$11:$C$40,"MXAU"))&gt;0,SUMIFS(Override!$E$11:$E$40,Override!$B$11:$B$40,$B96,Override!$D$11:$D$40,8)-SUMIFS(Override!$E$11:$E$40,Override!$B$11:$B$40,$B96,Override!$D$11:$D$40,8,Override!$C$11:$C$40,"MXAU"),Override!$J$131)/AS51!$B$3,"")))</f>
        <v/>
      </c>
      <c r="N96" s="140">
        <f>IF(N$13="","",IF($B96="","",IFERROR($C96*$D96*IF((Override!$C$4="ON")*(COUNTIFS(Override!$B$11:$B$40,$B96,Override!$D$11:$D$40,9,Override!$E$11:$E$40,"&gt;=0")-COUNTIFS(Override!$B$11:$B$40,$B96,Override!$D$11:$D$40,9,Override!$E$11:$E$40,"&gt;=0",Override!$C$11:$C$40,"MXAU"))&gt;0,SUMIFS(Override!$E$11:$E$40,Override!$B$11:$B$40,$B96,Override!$D$11:$D$40,9)-SUMIFS(Override!$E$11:$E$40,Override!$B$11:$B$40,$B96,Override!$D$11:$D$40,9,Override!$C$11:$C$40,"MXAU"),Override!$K$131)/AS51!$B$3,"")))</f>
        <v/>
      </c>
      <c r="O96" s="140">
        <f>IF(O$13="","",IF($B96="","",IFERROR($C96*$D96*IF((Override!$C$4="ON")*(COUNTIFS(Override!$B$11:$B$40,$B96,Override!$D$11:$D$40,10,Override!$E$11:$E$40,"&gt;=0")-COUNTIFS(Override!$B$11:$B$40,$B96,Override!$D$11:$D$40,10,Override!$E$11:$E$40,"&gt;=0",Override!$C$11:$C$40,"MXAU"))&gt;0,SUMIFS(Override!$E$11:$E$40,Override!$B$11:$B$40,$B96,Override!$D$11:$D$40,10)-SUMIFS(Override!$E$11:$E$40,Override!$B$11:$B$40,$B96,Override!$D$11:$D$40,10,Override!$C$11:$C$40,"MXAU"),Override!$L$131)/AS51!$B$3,"")))</f>
        <v/>
      </c>
      <c r="P96" s="140">
        <f>IF(P$13="","",IF($B96="","",IFERROR($C96*$D96*IF((Override!$C$4="ON")*(COUNTIFS(Override!$B$11:$B$40,$B96,Override!$D$11:$D$40,11,Override!$E$11:$E$40,"&gt;=0")-COUNTIFS(Override!$B$11:$B$40,$B96,Override!$D$11:$D$40,11,Override!$E$11:$E$40,"&gt;=0",Override!$C$11:$C$40,"MXAU"))&gt;0,SUMIFS(Override!$E$11:$E$40,Override!$B$11:$B$40,$B96,Override!$D$11:$D$40,11)-SUMIFS(Override!$E$11:$E$40,Override!$B$11:$B$40,$B96,Override!$D$11:$D$40,11,Override!$C$11:$C$40,"MXAU"),Override!$M$131)/AS51!$B$3,"")))</f>
        <v/>
      </c>
      <c r="Q96" s="140">
        <f>IF(Q$13="","",IF($B96="","",IFERROR($C96*$D96*IF((Override!$C$4="ON")*(COUNTIFS(Override!$B$11:$B$40,$B96,Override!$D$11:$D$40,12,Override!$E$11:$E$40,"&gt;=0")-COUNTIFS(Override!$B$11:$B$40,$B96,Override!$D$11:$D$40,12,Override!$E$11:$E$40,"&gt;=0",Override!$C$11:$C$40,"MXAU"))&gt;0,SUMIFS(Override!$E$11:$E$40,Override!$B$11:$B$40,$B96,Override!$D$11:$D$40,12)-SUMIFS(Override!$E$11:$E$40,Override!$B$11:$B$40,$B96,Override!$D$11:$D$40,12,Override!$C$11:$C$40,"MXAU"),Override!$N$131)/AS51!$B$3,"")))</f>
        <v/>
      </c>
      <c r="R96" s="140">
        <f>IF(R$13="","",IF($B96="","",IFERROR($C96*$D96*IF((Override!$C$4="ON")*(COUNTIFS(Override!$B$11:$B$40,$B96,Override!$D$11:$D$40,13,Override!$E$11:$E$40,"&gt;=0")-COUNTIFS(Override!$B$11:$B$40,$B96,Override!$D$11:$D$40,13,Override!$E$11:$E$40,"&gt;=0",Override!$C$11:$C$40,"MXAU"))&gt;0,SUMIFS(Override!$E$11:$E$40,Override!$B$11:$B$40,$B96,Override!$D$11:$D$40,13)-SUMIFS(Override!$E$11:$E$40,Override!$B$11:$B$40,$B96,Override!$D$11:$D$40,13,Override!$C$11:$C$40,"MXAU"),Override!$O$131)/AS51!$B$3,"")))</f>
        <v/>
      </c>
      <c r="S96" s="140">
        <f>IF(S$13="","",IF($B96="","",IFERROR($C96*$D96*IF((Override!$C$4="ON")*(COUNTIFS(Override!$B$11:$B$40,$B96,Override!$D$11:$D$40,14,Override!$E$11:$E$40,"&gt;=0")-COUNTIFS(Override!$B$11:$B$40,$B96,Override!$D$11:$D$40,14,Override!$E$11:$E$40,"&gt;=0",Override!$C$11:$C$40,"MXAU"))&gt;0,SUMIFS(Override!$E$11:$E$40,Override!$B$11:$B$40,$B96,Override!$D$11:$D$40,14)-SUMIFS(Override!$E$11:$E$40,Override!$B$11:$B$40,$B96,Override!$D$11:$D$40,14,Override!$C$11:$C$40,"MXAU"),Override!$P$131)/AS51!$B$3,"")))</f>
        <v/>
      </c>
      <c r="T96" s="140">
        <f>IF(T$13="","",IF($B96="","",IFERROR($C96*$D96*IF((Override!$C$4="ON")*(COUNTIFS(Override!$B$11:$B$40,$B96,Override!$D$11:$D$40,15,Override!$E$11:$E$40,"&gt;=0")-COUNTIFS(Override!$B$11:$B$40,$B96,Override!$D$11:$D$40,15,Override!$E$11:$E$40,"&gt;=0",Override!$C$11:$C$40,"MXAU"))&gt;0,SUMIFS(Override!$E$11:$E$40,Override!$B$11:$B$40,$B96,Override!$D$11:$D$40,15)-SUMIFS(Override!$E$11:$E$40,Override!$B$11:$B$40,$B96,Override!$D$11:$D$40,15,Override!$C$11:$C$40,"MXAU"),Override!$Q$131)/AS51!$B$3,"")))</f>
        <v/>
      </c>
      <c r="U96" s="140">
        <f>IF(U$13="","",IF($B96="","",IFERROR($C96*$D96*IF((Override!$C$4="ON")*(COUNTIFS(Override!$B$11:$B$40,$B96,Override!$D$11:$D$40,16,Override!$E$11:$E$40,"&gt;=0")-COUNTIFS(Override!$B$11:$B$40,$B96,Override!$D$11:$D$40,16,Override!$E$11:$E$40,"&gt;=0",Override!$C$11:$C$40,"MXAU"))&gt;0,SUMIFS(Override!$E$11:$E$40,Override!$B$11:$B$40,$B96,Override!$D$11:$D$40,16)-SUMIFS(Override!$E$11:$E$40,Override!$B$11:$B$40,$B96,Override!$D$11:$D$40,16,Override!$C$11:$C$40,"MXAU"),Override!$R$131)/AS51!$B$3,"")))</f>
        <v/>
      </c>
      <c r="W96" s="140">
        <f>IF(W$13="","",IF($B96="","",IFERROR(F96*$E96/100,"")))</f>
        <v/>
      </c>
      <c r="X96" s="140">
        <f>IF(X$13="","",IF($B96="","",IFERROR(G96*$E96/100,"")))</f>
        <v/>
      </c>
      <c r="Y96" s="140">
        <f>IF(Y$13="","",IF($B96="","",IFERROR(H96*$E96/100,"")))</f>
        <v/>
      </c>
      <c r="Z96" s="140">
        <f>IF(Z$13="","",IF($B96="","",IFERROR(I96*$E96/100,"")))</f>
        <v/>
      </c>
      <c r="AA96" s="140">
        <f>IF(AA$13="","",IF($B96="","",IFERROR(J96*$E96/100,"")))</f>
        <v/>
      </c>
      <c r="AB96" s="140">
        <f>IF(AB$13="","",IF($B96="","",IFERROR(K96*$E96/100,"")))</f>
        <v/>
      </c>
      <c r="AC96" s="140">
        <f>IF(AC$13="","",IF($B96="","",IFERROR(L96*$E96/100,"")))</f>
        <v/>
      </c>
      <c r="AD96" s="140">
        <f>IF(AD$13="","",IF($B96="","",IFERROR(M96*$E96/100,"")))</f>
        <v/>
      </c>
      <c r="AE96" s="140">
        <f>IF(AE$13="","",IF($B96="","",IFERROR(N96*$E96/100,"")))</f>
        <v/>
      </c>
      <c r="AF96" s="140">
        <f>IF(AF$13="","",IF($B96="","",IFERROR(O96*$E96/100,"")))</f>
        <v/>
      </c>
      <c r="AG96" s="140">
        <f>IF(AG$13="","",IF($B96="","",IFERROR(P96*$E96/100,"")))</f>
        <v/>
      </c>
      <c r="AH96" s="140">
        <f>IF(AH$13="","",IF($B96="","",IFERROR(Q96*$E96/100,"")))</f>
        <v/>
      </c>
      <c r="AI96" s="140">
        <f>IF(AI$13="","",IF($B96="","",IFERROR(R96*$E96/100,"")))</f>
        <v/>
      </c>
      <c r="AJ96" s="140">
        <f>IF(AJ$13="","",IF($B96="","",IFERROR(S96*$E96/100,"")))</f>
        <v/>
      </c>
      <c r="AK96" s="140">
        <f>IF(AK$13="","",IF($B96="","",IFERROR(T96*$E96/100,"")))</f>
        <v/>
      </c>
      <c r="AL96" s="140">
        <f>IF(AL$13="","",IF($B96="","",IFERROR(U96*$E96/100,"")))</f>
        <v/>
      </c>
      <c r="AN96" s="140">
        <f>IF($B96="","",SUMIF($F$13:$U$13,"&lt;="&amp;Sector!$D$51,$F96:$U96))</f>
        <v/>
      </c>
      <c r="AO96" s="140">
        <f>IF($B96="","",SUMIF($W$13:$AL$13,"&lt;="&amp;Sector!$D$51,$W96:$AL96))</f>
        <v/>
      </c>
    </row>
    <row r="97">
      <c r="B97" s="5">
        <f>IF(AS51!$C$87="","",AS51!$C$87)</f>
        <v/>
      </c>
      <c r="C97" s="90">
        <f>IF(AS51!$B$87="","",AS51!$B$87)</f>
        <v/>
      </c>
      <c r="D97" s="138">
        <f>IFERROR(AS51!$Q$87,1)</f>
        <v/>
      </c>
      <c r="E97" s="139">
        <f>IF($B97="","",IF(ISNUMBER(AS51!$I$87),AS51!$I$87,'Index Summary'!$C$7))</f>
        <v/>
      </c>
      <c r="F97" s="140">
        <f>IF(F$13="","",IF($B97="","",IFERROR($C97*$D97*IF((Override!$C$4="ON")*(COUNTIFS(Override!$B$11:$B$40,$B97,Override!$D$11:$D$40,1,Override!$E$11:$E$40,"&gt;=0")-COUNTIFS(Override!$B$11:$B$40,$B97,Override!$D$11:$D$40,1,Override!$E$11:$E$40,"&gt;=0",Override!$C$11:$C$40,"MXAU"))&gt;0,SUMIFS(Override!$E$11:$E$40,Override!$B$11:$B$40,$B97,Override!$D$11:$D$40,1)-SUMIFS(Override!$E$11:$E$40,Override!$B$11:$B$40,$B97,Override!$D$11:$D$40,1,Override!$C$11:$C$40,"MXAU"),Override!$C$132)/AS51!$B$3,"")))</f>
        <v/>
      </c>
      <c r="G97" s="140">
        <f>IF(G$13="","",IF($B97="","",IFERROR($C97*$D97*IF((Override!$C$4="ON")*(COUNTIFS(Override!$B$11:$B$40,$B97,Override!$D$11:$D$40,2,Override!$E$11:$E$40,"&gt;=0")-COUNTIFS(Override!$B$11:$B$40,$B97,Override!$D$11:$D$40,2,Override!$E$11:$E$40,"&gt;=0",Override!$C$11:$C$40,"MXAU"))&gt;0,SUMIFS(Override!$E$11:$E$40,Override!$B$11:$B$40,$B97,Override!$D$11:$D$40,2)-SUMIFS(Override!$E$11:$E$40,Override!$B$11:$B$40,$B97,Override!$D$11:$D$40,2,Override!$C$11:$C$40,"MXAU"),Override!$D$132)/AS51!$B$3,"")))</f>
        <v/>
      </c>
      <c r="H97" s="140">
        <f>IF(H$13="","",IF($B97="","",IFERROR($C97*$D97*IF((Override!$C$4="ON")*(COUNTIFS(Override!$B$11:$B$40,$B97,Override!$D$11:$D$40,3,Override!$E$11:$E$40,"&gt;=0")-COUNTIFS(Override!$B$11:$B$40,$B97,Override!$D$11:$D$40,3,Override!$E$11:$E$40,"&gt;=0",Override!$C$11:$C$40,"MXAU"))&gt;0,SUMIFS(Override!$E$11:$E$40,Override!$B$11:$B$40,$B97,Override!$D$11:$D$40,3)-SUMIFS(Override!$E$11:$E$40,Override!$B$11:$B$40,$B97,Override!$D$11:$D$40,3,Override!$C$11:$C$40,"MXAU"),Override!$E$132)/AS51!$B$3,"")))</f>
        <v/>
      </c>
      <c r="I97" s="140">
        <f>IF(I$13="","",IF($B97="","",IFERROR($C97*$D97*IF((Override!$C$4="ON")*(COUNTIFS(Override!$B$11:$B$40,$B97,Override!$D$11:$D$40,4,Override!$E$11:$E$40,"&gt;=0")-COUNTIFS(Override!$B$11:$B$40,$B97,Override!$D$11:$D$40,4,Override!$E$11:$E$40,"&gt;=0",Override!$C$11:$C$40,"MXAU"))&gt;0,SUMIFS(Override!$E$11:$E$40,Override!$B$11:$B$40,$B97,Override!$D$11:$D$40,4)-SUMIFS(Override!$E$11:$E$40,Override!$B$11:$B$40,$B97,Override!$D$11:$D$40,4,Override!$C$11:$C$40,"MXAU"),Override!$F$132)/AS51!$B$3,"")))</f>
        <v/>
      </c>
      <c r="J97" s="140">
        <f>IF(J$13="","",IF($B97="","",IFERROR($C97*$D97*IF((Override!$C$4="ON")*(COUNTIFS(Override!$B$11:$B$40,$B97,Override!$D$11:$D$40,5,Override!$E$11:$E$40,"&gt;=0")-COUNTIFS(Override!$B$11:$B$40,$B97,Override!$D$11:$D$40,5,Override!$E$11:$E$40,"&gt;=0",Override!$C$11:$C$40,"MXAU"))&gt;0,SUMIFS(Override!$E$11:$E$40,Override!$B$11:$B$40,$B97,Override!$D$11:$D$40,5)-SUMIFS(Override!$E$11:$E$40,Override!$B$11:$B$40,$B97,Override!$D$11:$D$40,5,Override!$C$11:$C$40,"MXAU"),Override!$G$132)/AS51!$B$3,"")))</f>
        <v/>
      </c>
      <c r="K97" s="140">
        <f>IF(K$13="","",IF($B97="","",IFERROR($C97*$D97*IF((Override!$C$4="ON")*(COUNTIFS(Override!$B$11:$B$40,$B97,Override!$D$11:$D$40,6,Override!$E$11:$E$40,"&gt;=0")-COUNTIFS(Override!$B$11:$B$40,$B97,Override!$D$11:$D$40,6,Override!$E$11:$E$40,"&gt;=0",Override!$C$11:$C$40,"MXAU"))&gt;0,SUMIFS(Override!$E$11:$E$40,Override!$B$11:$B$40,$B97,Override!$D$11:$D$40,6)-SUMIFS(Override!$E$11:$E$40,Override!$B$11:$B$40,$B97,Override!$D$11:$D$40,6,Override!$C$11:$C$40,"MXAU"),Override!$H$132)/AS51!$B$3,"")))</f>
        <v/>
      </c>
      <c r="L97" s="140">
        <f>IF(L$13="","",IF($B97="","",IFERROR($C97*$D97*IF((Override!$C$4="ON")*(COUNTIFS(Override!$B$11:$B$40,$B97,Override!$D$11:$D$40,7,Override!$E$11:$E$40,"&gt;=0")-COUNTIFS(Override!$B$11:$B$40,$B97,Override!$D$11:$D$40,7,Override!$E$11:$E$40,"&gt;=0",Override!$C$11:$C$40,"MXAU"))&gt;0,SUMIFS(Override!$E$11:$E$40,Override!$B$11:$B$40,$B97,Override!$D$11:$D$40,7)-SUMIFS(Override!$E$11:$E$40,Override!$B$11:$B$40,$B97,Override!$D$11:$D$40,7,Override!$C$11:$C$40,"MXAU"),Override!$I$132)/AS51!$B$3,"")))</f>
        <v/>
      </c>
      <c r="M97" s="140">
        <f>IF(M$13="","",IF($B97="","",IFERROR($C97*$D97*IF((Override!$C$4="ON")*(COUNTIFS(Override!$B$11:$B$40,$B97,Override!$D$11:$D$40,8,Override!$E$11:$E$40,"&gt;=0")-COUNTIFS(Override!$B$11:$B$40,$B97,Override!$D$11:$D$40,8,Override!$E$11:$E$40,"&gt;=0",Override!$C$11:$C$40,"MXAU"))&gt;0,SUMIFS(Override!$E$11:$E$40,Override!$B$11:$B$40,$B97,Override!$D$11:$D$40,8)-SUMIFS(Override!$E$11:$E$40,Override!$B$11:$B$40,$B97,Override!$D$11:$D$40,8,Override!$C$11:$C$40,"MXAU"),Override!$J$132)/AS51!$B$3,"")))</f>
        <v/>
      </c>
      <c r="N97" s="140">
        <f>IF(N$13="","",IF($B97="","",IFERROR($C97*$D97*IF((Override!$C$4="ON")*(COUNTIFS(Override!$B$11:$B$40,$B97,Override!$D$11:$D$40,9,Override!$E$11:$E$40,"&gt;=0")-COUNTIFS(Override!$B$11:$B$40,$B97,Override!$D$11:$D$40,9,Override!$E$11:$E$40,"&gt;=0",Override!$C$11:$C$40,"MXAU"))&gt;0,SUMIFS(Override!$E$11:$E$40,Override!$B$11:$B$40,$B97,Override!$D$11:$D$40,9)-SUMIFS(Override!$E$11:$E$40,Override!$B$11:$B$40,$B97,Override!$D$11:$D$40,9,Override!$C$11:$C$40,"MXAU"),Override!$K$132)/AS51!$B$3,"")))</f>
        <v/>
      </c>
      <c r="O97" s="140">
        <f>IF(O$13="","",IF($B97="","",IFERROR($C97*$D97*IF((Override!$C$4="ON")*(COUNTIFS(Override!$B$11:$B$40,$B97,Override!$D$11:$D$40,10,Override!$E$11:$E$40,"&gt;=0")-COUNTIFS(Override!$B$11:$B$40,$B97,Override!$D$11:$D$40,10,Override!$E$11:$E$40,"&gt;=0",Override!$C$11:$C$40,"MXAU"))&gt;0,SUMIFS(Override!$E$11:$E$40,Override!$B$11:$B$40,$B97,Override!$D$11:$D$40,10)-SUMIFS(Override!$E$11:$E$40,Override!$B$11:$B$40,$B97,Override!$D$11:$D$40,10,Override!$C$11:$C$40,"MXAU"),Override!$L$132)/AS51!$B$3,"")))</f>
        <v/>
      </c>
      <c r="P97" s="140">
        <f>IF(P$13="","",IF($B97="","",IFERROR($C97*$D97*IF((Override!$C$4="ON")*(COUNTIFS(Override!$B$11:$B$40,$B97,Override!$D$11:$D$40,11,Override!$E$11:$E$40,"&gt;=0")-COUNTIFS(Override!$B$11:$B$40,$B97,Override!$D$11:$D$40,11,Override!$E$11:$E$40,"&gt;=0",Override!$C$11:$C$40,"MXAU"))&gt;0,SUMIFS(Override!$E$11:$E$40,Override!$B$11:$B$40,$B97,Override!$D$11:$D$40,11)-SUMIFS(Override!$E$11:$E$40,Override!$B$11:$B$40,$B97,Override!$D$11:$D$40,11,Override!$C$11:$C$40,"MXAU"),Override!$M$132)/AS51!$B$3,"")))</f>
        <v/>
      </c>
      <c r="Q97" s="140">
        <f>IF(Q$13="","",IF($B97="","",IFERROR($C97*$D97*IF((Override!$C$4="ON")*(COUNTIFS(Override!$B$11:$B$40,$B97,Override!$D$11:$D$40,12,Override!$E$11:$E$40,"&gt;=0")-COUNTIFS(Override!$B$11:$B$40,$B97,Override!$D$11:$D$40,12,Override!$E$11:$E$40,"&gt;=0",Override!$C$11:$C$40,"MXAU"))&gt;0,SUMIFS(Override!$E$11:$E$40,Override!$B$11:$B$40,$B97,Override!$D$11:$D$40,12)-SUMIFS(Override!$E$11:$E$40,Override!$B$11:$B$40,$B97,Override!$D$11:$D$40,12,Override!$C$11:$C$40,"MXAU"),Override!$N$132)/AS51!$B$3,"")))</f>
        <v/>
      </c>
      <c r="R97" s="140">
        <f>IF(R$13="","",IF($B97="","",IFERROR($C97*$D97*IF((Override!$C$4="ON")*(COUNTIFS(Override!$B$11:$B$40,$B97,Override!$D$11:$D$40,13,Override!$E$11:$E$40,"&gt;=0")-COUNTIFS(Override!$B$11:$B$40,$B97,Override!$D$11:$D$40,13,Override!$E$11:$E$40,"&gt;=0",Override!$C$11:$C$40,"MXAU"))&gt;0,SUMIFS(Override!$E$11:$E$40,Override!$B$11:$B$40,$B97,Override!$D$11:$D$40,13)-SUMIFS(Override!$E$11:$E$40,Override!$B$11:$B$40,$B97,Override!$D$11:$D$40,13,Override!$C$11:$C$40,"MXAU"),Override!$O$132)/AS51!$B$3,"")))</f>
        <v/>
      </c>
      <c r="S97" s="140">
        <f>IF(S$13="","",IF($B97="","",IFERROR($C97*$D97*IF((Override!$C$4="ON")*(COUNTIFS(Override!$B$11:$B$40,$B97,Override!$D$11:$D$40,14,Override!$E$11:$E$40,"&gt;=0")-COUNTIFS(Override!$B$11:$B$40,$B97,Override!$D$11:$D$40,14,Override!$E$11:$E$40,"&gt;=0",Override!$C$11:$C$40,"MXAU"))&gt;0,SUMIFS(Override!$E$11:$E$40,Override!$B$11:$B$40,$B97,Override!$D$11:$D$40,14)-SUMIFS(Override!$E$11:$E$40,Override!$B$11:$B$40,$B97,Override!$D$11:$D$40,14,Override!$C$11:$C$40,"MXAU"),Override!$P$132)/AS51!$B$3,"")))</f>
        <v/>
      </c>
      <c r="T97" s="140">
        <f>IF(T$13="","",IF($B97="","",IFERROR($C97*$D97*IF((Override!$C$4="ON")*(COUNTIFS(Override!$B$11:$B$40,$B97,Override!$D$11:$D$40,15,Override!$E$11:$E$40,"&gt;=0")-COUNTIFS(Override!$B$11:$B$40,$B97,Override!$D$11:$D$40,15,Override!$E$11:$E$40,"&gt;=0",Override!$C$11:$C$40,"MXAU"))&gt;0,SUMIFS(Override!$E$11:$E$40,Override!$B$11:$B$40,$B97,Override!$D$11:$D$40,15)-SUMIFS(Override!$E$11:$E$40,Override!$B$11:$B$40,$B97,Override!$D$11:$D$40,15,Override!$C$11:$C$40,"MXAU"),Override!$Q$132)/AS51!$B$3,"")))</f>
        <v/>
      </c>
      <c r="U97" s="140">
        <f>IF(U$13="","",IF($B97="","",IFERROR($C97*$D97*IF((Override!$C$4="ON")*(COUNTIFS(Override!$B$11:$B$40,$B97,Override!$D$11:$D$40,16,Override!$E$11:$E$40,"&gt;=0")-COUNTIFS(Override!$B$11:$B$40,$B97,Override!$D$11:$D$40,16,Override!$E$11:$E$40,"&gt;=0",Override!$C$11:$C$40,"MXAU"))&gt;0,SUMIFS(Override!$E$11:$E$40,Override!$B$11:$B$40,$B97,Override!$D$11:$D$40,16)-SUMIFS(Override!$E$11:$E$40,Override!$B$11:$B$40,$B97,Override!$D$11:$D$40,16,Override!$C$11:$C$40,"MXAU"),Override!$R$132)/AS51!$B$3,"")))</f>
        <v/>
      </c>
      <c r="W97" s="140">
        <f>IF(W$13="","",IF($B97="","",IFERROR(F97*$E97/100,"")))</f>
        <v/>
      </c>
      <c r="X97" s="140">
        <f>IF(X$13="","",IF($B97="","",IFERROR(G97*$E97/100,"")))</f>
        <v/>
      </c>
      <c r="Y97" s="140">
        <f>IF(Y$13="","",IF($B97="","",IFERROR(H97*$E97/100,"")))</f>
        <v/>
      </c>
      <c r="Z97" s="140">
        <f>IF(Z$13="","",IF($B97="","",IFERROR(I97*$E97/100,"")))</f>
        <v/>
      </c>
      <c r="AA97" s="140">
        <f>IF(AA$13="","",IF($B97="","",IFERROR(J97*$E97/100,"")))</f>
        <v/>
      </c>
      <c r="AB97" s="140">
        <f>IF(AB$13="","",IF($B97="","",IFERROR(K97*$E97/100,"")))</f>
        <v/>
      </c>
      <c r="AC97" s="140">
        <f>IF(AC$13="","",IF($B97="","",IFERROR(L97*$E97/100,"")))</f>
        <v/>
      </c>
      <c r="AD97" s="140">
        <f>IF(AD$13="","",IF($B97="","",IFERROR(M97*$E97/100,"")))</f>
        <v/>
      </c>
      <c r="AE97" s="140">
        <f>IF(AE$13="","",IF($B97="","",IFERROR(N97*$E97/100,"")))</f>
        <v/>
      </c>
      <c r="AF97" s="140">
        <f>IF(AF$13="","",IF($B97="","",IFERROR(O97*$E97/100,"")))</f>
        <v/>
      </c>
      <c r="AG97" s="140">
        <f>IF(AG$13="","",IF($B97="","",IFERROR(P97*$E97/100,"")))</f>
        <v/>
      </c>
      <c r="AH97" s="140">
        <f>IF(AH$13="","",IF($B97="","",IFERROR(Q97*$E97/100,"")))</f>
        <v/>
      </c>
      <c r="AI97" s="140">
        <f>IF(AI$13="","",IF($B97="","",IFERROR(R97*$E97/100,"")))</f>
        <v/>
      </c>
      <c r="AJ97" s="140">
        <f>IF(AJ$13="","",IF($B97="","",IFERROR(S97*$E97/100,"")))</f>
        <v/>
      </c>
      <c r="AK97" s="140">
        <f>IF(AK$13="","",IF($B97="","",IFERROR(T97*$E97/100,"")))</f>
        <v/>
      </c>
      <c r="AL97" s="140">
        <f>IF(AL$13="","",IF($B97="","",IFERROR(U97*$E97/100,"")))</f>
        <v/>
      </c>
      <c r="AN97" s="140">
        <f>IF($B97="","",SUMIF($F$13:$U$13,"&lt;="&amp;Sector!$D$51,$F97:$U97))</f>
        <v/>
      </c>
      <c r="AO97" s="140">
        <f>IF($B97="","",SUMIF($W$13:$AL$13,"&lt;="&amp;Sector!$D$51,$W97:$AL97))</f>
        <v/>
      </c>
    </row>
    <row r="98">
      <c r="B98" s="5">
        <f>IF(AS51!$C$88="","",AS51!$C$88)</f>
        <v/>
      </c>
      <c r="C98" s="90">
        <f>IF(AS51!$B$88="","",AS51!$B$88)</f>
        <v/>
      </c>
      <c r="D98" s="138">
        <f>IFERROR(AS51!$Q$88,1)</f>
        <v/>
      </c>
      <c r="E98" s="139">
        <f>IF($B98="","",IF(ISNUMBER(AS51!$I$88),AS51!$I$88,'Index Summary'!$C$7))</f>
        <v/>
      </c>
      <c r="F98" s="140">
        <f>IF(F$13="","",IF($B98="","",IFERROR($C98*$D98*IF((Override!$C$4="ON")*(COUNTIFS(Override!$B$11:$B$40,$B98,Override!$D$11:$D$40,1,Override!$E$11:$E$40,"&gt;=0")-COUNTIFS(Override!$B$11:$B$40,$B98,Override!$D$11:$D$40,1,Override!$E$11:$E$40,"&gt;=0",Override!$C$11:$C$40,"MXAU"))&gt;0,SUMIFS(Override!$E$11:$E$40,Override!$B$11:$B$40,$B98,Override!$D$11:$D$40,1)-SUMIFS(Override!$E$11:$E$40,Override!$B$11:$B$40,$B98,Override!$D$11:$D$40,1,Override!$C$11:$C$40,"MXAU"),Override!$C$133)/AS51!$B$3,"")))</f>
        <v/>
      </c>
      <c r="G98" s="140">
        <f>IF(G$13="","",IF($B98="","",IFERROR($C98*$D98*IF((Override!$C$4="ON")*(COUNTIFS(Override!$B$11:$B$40,$B98,Override!$D$11:$D$40,2,Override!$E$11:$E$40,"&gt;=0")-COUNTIFS(Override!$B$11:$B$40,$B98,Override!$D$11:$D$40,2,Override!$E$11:$E$40,"&gt;=0",Override!$C$11:$C$40,"MXAU"))&gt;0,SUMIFS(Override!$E$11:$E$40,Override!$B$11:$B$40,$B98,Override!$D$11:$D$40,2)-SUMIFS(Override!$E$11:$E$40,Override!$B$11:$B$40,$B98,Override!$D$11:$D$40,2,Override!$C$11:$C$40,"MXAU"),Override!$D$133)/AS51!$B$3,"")))</f>
        <v/>
      </c>
      <c r="H98" s="140">
        <f>IF(H$13="","",IF($B98="","",IFERROR($C98*$D98*IF((Override!$C$4="ON")*(COUNTIFS(Override!$B$11:$B$40,$B98,Override!$D$11:$D$40,3,Override!$E$11:$E$40,"&gt;=0")-COUNTIFS(Override!$B$11:$B$40,$B98,Override!$D$11:$D$40,3,Override!$E$11:$E$40,"&gt;=0",Override!$C$11:$C$40,"MXAU"))&gt;0,SUMIFS(Override!$E$11:$E$40,Override!$B$11:$B$40,$B98,Override!$D$11:$D$40,3)-SUMIFS(Override!$E$11:$E$40,Override!$B$11:$B$40,$B98,Override!$D$11:$D$40,3,Override!$C$11:$C$40,"MXAU"),Override!$E$133)/AS51!$B$3,"")))</f>
        <v/>
      </c>
      <c r="I98" s="140">
        <f>IF(I$13="","",IF($B98="","",IFERROR($C98*$D98*IF((Override!$C$4="ON")*(COUNTIFS(Override!$B$11:$B$40,$B98,Override!$D$11:$D$40,4,Override!$E$11:$E$40,"&gt;=0")-COUNTIFS(Override!$B$11:$B$40,$B98,Override!$D$11:$D$40,4,Override!$E$11:$E$40,"&gt;=0",Override!$C$11:$C$40,"MXAU"))&gt;0,SUMIFS(Override!$E$11:$E$40,Override!$B$11:$B$40,$B98,Override!$D$11:$D$40,4)-SUMIFS(Override!$E$11:$E$40,Override!$B$11:$B$40,$B98,Override!$D$11:$D$40,4,Override!$C$11:$C$40,"MXAU"),Override!$F$133)/AS51!$B$3,"")))</f>
        <v/>
      </c>
      <c r="J98" s="140">
        <f>IF(J$13="","",IF($B98="","",IFERROR($C98*$D98*IF((Override!$C$4="ON")*(COUNTIFS(Override!$B$11:$B$40,$B98,Override!$D$11:$D$40,5,Override!$E$11:$E$40,"&gt;=0")-COUNTIFS(Override!$B$11:$B$40,$B98,Override!$D$11:$D$40,5,Override!$E$11:$E$40,"&gt;=0",Override!$C$11:$C$40,"MXAU"))&gt;0,SUMIFS(Override!$E$11:$E$40,Override!$B$11:$B$40,$B98,Override!$D$11:$D$40,5)-SUMIFS(Override!$E$11:$E$40,Override!$B$11:$B$40,$B98,Override!$D$11:$D$40,5,Override!$C$11:$C$40,"MXAU"),Override!$G$133)/AS51!$B$3,"")))</f>
        <v/>
      </c>
      <c r="K98" s="140">
        <f>IF(K$13="","",IF($B98="","",IFERROR($C98*$D98*IF((Override!$C$4="ON")*(COUNTIFS(Override!$B$11:$B$40,$B98,Override!$D$11:$D$40,6,Override!$E$11:$E$40,"&gt;=0")-COUNTIFS(Override!$B$11:$B$40,$B98,Override!$D$11:$D$40,6,Override!$E$11:$E$40,"&gt;=0",Override!$C$11:$C$40,"MXAU"))&gt;0,SUMIFS(Override!$E$11:$E$40,Override!$B$11:$B$40,$B98,Override!$D$11:$D$40,6)-SUMIFS(Override!$E$11:$E$40,Override!$B$11:$B$40,$B98,Override!$D$11:$D$40,6,Override!$C$11:$C$40,"MXAU"),Override!$H$133)/AS51!$B$3,"")))</f>
        <v/>
      </c>
      <c r="L98" s="140">
        <f>IF(L$13="","",IF($B98="","",IFERROR($C98*$D98*IF((Override!$C$4="ON")*(COUNTIFS(Override!$B$11:$B$40,$B98,Override!$D$11:$D$40,7,Override!$E$11:$E$40,"&gt;=0")-COUNTIFS(Override!$B$11:$B$40,$B98,Override!$D$11:$D$40,7,Override!$E$11:$E$40,"&gt;=0",Override!$C$11:$C$40,"MXAU"))&gt;0,SUMIFS(Override!$E$11:$E$40,Override!$B$11:$B$40,$B98,Override!$D$11:$D$40,7)-SUMIFS(Override!$E$11:$E$40,Override!$B$11:$B$40,$B98,Override!$D$11:$D$40,7,Override!$C$11:$C$40,"MXAU"),Override!$I$133)/AS51!$B$3,"")))</f>
        <v/>
      </c>
      <c r="M98" s="140">
        <f>IF(M$13="","",IF($B98="","",IFERROR($C98*$D98*IF((Override!$C$4="ON")*(COUNTIFS(Override!$B$11:$B$40,$B98,Override!$D$11:$D$40,8,Override!$E$11:$E$40,"&gt;=0")-COUNTIFS(Override!$B$11:$B$40,$B98,Override!$D$11:$D$40,8,Override!$E$11:$E$40,"&gt;=0",Override!$C$11:$C$40,"MXAU"))&gt;0,SUMIFS(Override!$E$11:$E$40,Override!$B$11:$B$40,$B98,Override!$D$11:$D$40,8)-SUMIFS(Override!$E$11:$E$40,Override!$B$11:$B$40,$B98,Override!$D$11:$D$40,8,Override!$C$11:$C$40,"MXAU"),Override!$J$133)/AS51!$B$3,"")))</f>
        <v/>
      </c>
      <c r="N98" s="140">
        <f>IF(N$13="","",IF($B98="","",IFERROR($C98*$D98*IF((Override!$C$4="ON")*(COUNTIFS(Override!$B$11:$B$40,$B98,Override!$D$11:$D$40,9,Override!$E$11:$E$40,"&gt;=0")-COUNTIFS(Override!$B$11:$B$40,$B98,Override!$D$11:$D$40,9,Override!$E$11:$E$40,"&gt;=0",Override!$C$11:$C$40,"MXAU"))&gt;0,SUMIFS(Override!$E$11:$E$40,Override!$B$11:$B$40,$B98,Override!$D$11:$D$40,9)-SUMIFS(Override!$E$11:$E$40,Override!$B$11:$B$40,$B98,Override!$D$11:$D$40,9,Override!$C$11:$C$40,"MXAU"),Override!$K$133)/AS51!$B$3,"")))</f>
        <v/>
      </c>
      <c r="O98" s="140">
        <f>IF(O$13="","",IF($B98="","",IFERROR($C98*$D98*IF((Override!$C$4="ON")*(COUNTIFS(Override!$B$11:$B$40,$B98,Override!$D$11:$D$40,10,Override!$E$11:$E$40,"&gt;=0")-COUNTIFS(Override!$B$11:$B$40,$B98,Override!$D$11:$D$40,10,Override!$E$11:$E$40,"&gt;=0",Override!$C$11:$C$40,"MXAU"))&gt;0,SUMIFS(Override!$E$11:$E$40,Override!$B$11:$B$40,$B98,Override!$D$11:$D$40,10)-SUMIFS(Override!$E$11:$E$40,Override!$B$11:$B$40,$B98,Override!$D$11:$D$40,10,Override!$C$11:$C$40,"MXAU"),Override!$L$133)/AS51!$B$3,"")))</f>
        <v/>
      </c>
      <c r="P98" s="140">
        <f>IF(P$13="","",IF($B98="","",IFERROR($C98*$D98*IF((Override!$C$4="ON")*(COUNTIFS(Override!$B$11:$B$40,$B98,Override!$D$11:$D$40,11,Override!$E$11:$E$40,"&gt;=0")-COUNTIFS(Override!$B$11:$B$40,$B98,Override!$D$11:$D$40,11,Override!$E$11:$E$40,"&gt;=0",Override!$C$11:$C$40,"MXAU"))&gt;0,SUMIFS(Override!$E$11:$E$40,Override!$B$11:$B$40,$B98,Override!$D$11:$D$40,11)-SUMIFS(Override!$E$11:$E$40,Override!$B$11:$B$40,$B98,Override!$D$11:$D$40,11,Override!$C$11:$C$40,"MXAU"),Override!$M$133)/AS51!$B$3,"")))</f>
        <v/>
      </c>
      <c r="Q98" s="140">
        <f>IF(Q$13="","",IF($B98="","",IFERROR($C98*$D98*IF((Override!$C$4="ON")*(COUNTIFS(Override!$B$11:$B$40,$B98,Override!$D$11:$D$40,12,Override!$E$11:$E$40,"&gt;=0")-COUNTIFS(Override!$B$11:$B$40,$B98,Override!$D$11:$D$40,12,Override!$E$11:$E$40,"&gt;=0",Override!$C$11:$C$40,"MXAU"))&gt;0,SUMIFS(Override!$E$11:$E$40,Override!$B$11:$B$40,$B98,Override!$D$11:$D$40,12)-SUMIFS(Override!$E$11:$E$40,Override!$B$11:$B$40,$B98,Override!$D$11:$D$40,12,Override!$C$11:$C$40,"MXAU"),Override!$N$133)/AS51!$B$3,"")))</f>
        <v/>
      </c>
      <c r="R98" s="140">
        <f>IF(R$13="","",IF($B98="","",IFERROR($C98*$D98*IF((Override!$C$4="ON")*(COUNTIFS(Override!$B$11:$B$40,$B98,Override!$D$11:$D$40,13,Override!$E$11:$E$40,"&gt;=0")-COUNTIFS(Override!$B$11:$B$40,$B98,Override!$D$11:$D$40,13,Override!$E$11:$E$40,"&gt;=0",Override!$C$11:$C$40,"MXAU"))&gt;0,SUMIFS(Override!$E$11:$E$40,Override!$B$11:$B$40,$B98,Override!$D$11:$D$40,13)-SUMIFS(Override!$E$11:$E$40,Override!$B$11:$B$40,$B98,Override!$D$11:$D$40,13,Override!$C$11:$C$40,"MXAU"),Override!$O$133)/AS51!$B$3,"")))</f>
        <v/>
      </c>
      <c r="S98" s="140">
        <f>IF(S$13="","",IF($B98="","",IFERROR($C98*$D98*IF((Override!$C$4="ON")*(COUNTIFS(Override!$B$11:$B$40,$B98,Override!$D$11:$D$40,14,Override!$E$11:$E$40,"&gt;=0")-COUNTIFS(Override!$B$11:$B$40,$B98,Override!$D$11:$D$40,14,Override!$E$11:$E$40,"&gt;=0",Override!$C$11:$C$40,"MXAU"))&gt;0,SUMIFS(Override!$E$11:$E$40,Override!$B$11:$B$40,$B98,Override!$D$11:$D$40,14)-SUMIFS(Override!$E$11:$E$40,Override!$B$11:$B$40,$B98,Override!$D$11:$D$40,14,Override!$C$11:$C$40,"MXAU"),Override!$P$133)/AS51!$B$3,"")))</f>
        <v/>
      </c>
      <c r="T98" s="140">
        <f>IF(T$13="","",IF($B98="","",IFERROR($C98*$D98*IF((Override!$C$4="ON")*(COUNTIFS(Override!$B$11:$B$40,$B98,Override!$D$11:$D$40,15,Override!$E$11:$E$40,"&gt;=0")-COUNTIFS(Override!$B$11:$B$40,$B98,Override!$D$11:$D$40,15,Override!$E$11:$E$40,"&gt;=0",Override!$C$11:$C$40,"MXAU"))&gt;0,SUMIFS(Override!$E$11:$E$40,Override!$B$11:$B$40,$B98,Override!$D$11:$D$40,15)-SUMIFS(Override!$E$11:$E$40,Override!$B$11:$B$40,$B98,Override!$D$11:$D$40,15,Override!$C$11:$C$40,"MXAU"),Override!$Q$133)/AS51!$B$3,"")))</f>
        <v/>
      </c>
      <c r="U98" s="140">
        <f>IF(U$13="","",IF($B98="","",IFERROR($C98*$D98*IF((Override!$C$4="ON")*(COUNTIFS(Override!$B$11:$B$40,$B98,Override!$D$11:$D$40,16,Override!$E$11:$E$40,"&gt;=0")-COUNTIFS(Override!$B$11:$B$40,$B98,Override!$D$11:$D$40,16,Override!$E$11:$E$40,"&gt;=0",Override!$C$11:$C$40,"MXAU"))&gt;0,SUMIFS(Override!$E$11:$E$40,Override!$B$11:$B$40,$B98,Override!$D$11:$D$40,16)-SUMIFS(Override!$E$11:$E$40,Override!$B$11:$B$40,$B98,Override!$D$11:$D$40,16,Override!$C$11:$C$40,"MXAU"),Override!$R$133)/AS51!$B$3,"")))</f>
        <v/>
      </c>
      <c r="W98" s="140">
        <f>IF(W$13="","",IF($B98="","",IFERROR(F98*$E98/100,"")))</f>
        <v/>
      </c>
      <c r="X98" s="140">
        <f>IF(X$13="","",IF($B98="","",IFERROR(G98*$E98/100,"")))</f>
        <v/>
      </c>
      <c r="Y98" s="140">
        <f>IF(Y$13="","",IF($B98="","",IFERROR(H98*$E98/100,"")))</f>
        <v/>
      </c>
      <c r="Z98" s="140">
        <f>IF(Z$13="","",IF($B98="","",IFERROR(I98*$E98/100,"")))</f>
        <v/>
      </c>
      <c r="AA98" s="140">
        <f>IF(AA$13="","",IF($B98="","",IFERROR(J98*$E98/100,"")))</f>
        <v/>
      </c>
      <c r="AB98" s="140">
        <f>IF(AB$13="","",IF($B98="","",IFERROR(K98*$E98/100,"")))</f>
        <v/>
      </c>
      <c r="AC98" s="140">
        <f>IF(AC$13="","",IF($B98="","",IFERROR(L98*$E98/100,"")))</f>
        <v/>
      </c>
      <c r="AD98" s="140">
        <f>IF(AD$13="","",IF($B98="","",IFERROR(M98*$E98/100,"")))</f>
        <v/>
      </c>
      <c r="AE98" s="140">
        <f>IF(AE$13="","",IF($B98="","",IFERROR(N98*$E98/100,"")))</f>
        <v/>
      </c>
      <c r="AF98" s="140">
        <f>IF(AF$13="","",IF($B98="","",IFERROR(O98*$E98/100,"")))</f>
        <v/>
      </c>
      <c r="AG98" s="140">
        <f>IF(AG$13="","",IF($B98="","",IFERROR(P98*$E98/100,"")))</f>
        <v/>
      </c>
      <c r="AH98" s="140">
        <f>IF(AH$13="","",IF($B98="","",IFERROR(Q98*$E98/100,"")))</f>
        <v/>
      </c>
      <c r="AI98" s="140">
        <f>IF(AI$13="","",IF($B98="","",IFERROR(R98*$E98/100,"")))</f>
        <v/>
      </c>
      <c r="AJ98" s="140">
        <f>IF(AJ$13="","",IF($B98="","",IFERROR(S98*$E98/100,"")))</f>
        <v/>
      </c>
      <c r="AK98" s="140">
        <f>IF(AK$13="","",IF($B98="","",IFERROR(T98*$E98/100,"")))</f>
        <v/>
      </c>
      <c r="AL98" s="140">
        <f>IF(AL$13="","",IF($B98="","",IFERROR(U98*$E98/100,"")))</f>
        <v/>
      </c>
      <c r="AN98" s="140">
        <f>IF($B98="","",SUMIF($F$13:$U$13,"&lt;="&amp;Sector!$D$51,$F98:$U98))</f>
        <v/>
      </c>
      <c r="AO98" s="140">
        <f>IF($B98="","",SUMIF($W$13:$AL$13,"&lt;="&amp;Sector!$D$51,$W98:$AL98))</f>
        <v/>
      </c>
    </row>
    <row r="99">
      <c r="B99" s="5">
        <f>IF(AS51!$C$89="","",AS51!$C$89)</f>
        <v/>
      </c>
      <c r="C99" s="90">
        <f>IF(AS51!$B$89="","",AS51!$B$89)</f>
        <v/>
      </c>
      <c r="D99" s="138">
        <f>IFERROR(AS51!$Q$89,1)</f>
        <v/>
      </c>
      <c r="E99" s="139">
        <f>IF($B99="","",IF(ISNUMBER(AS51!$I$89),AS51!$I$89,'Index Summary'!$C$7))</f>
        <v/>
      </c>
      <c r="F99" s="140">
        <f>IF(F$13="","",IF($B99="","",IFERROR($C99*$D99*IF((Override!$C$4="ON")*(COUNTIFS(Override!$B$11:$B$40,$B99,Override!$D$11:$D$40,1,Override!$E$11:$E$40,"&gt;=0")-COUNTIFS(Override!$B$11:$B$40,$B99,Override!$D$11:$D$40,1,Override!$E$11:$E$40,"&gt;=0",Override!$C$11:$C$40,"MXAU"))&gt;0,SUMIFS(Override!$E$11:$E$40,Override!$B$11:$B$40,$B99,Override!$D$11:$D$40,1)-SUMIFS(Override!$E$11:$E$40,Override!$B$11:$B$40,$B99,Override!$D$11:$D$40,1,Override!$C$11:$C$40,"MXAU"),Override!$C$134)/AS51!$B$3,"")))</f>
        <v/>
      </c>
      <c r="G99" s="140">
        <f>IF(G$13="","",IF($B99="","",IFERROR($C99*$D99*IF((Override!$C$4="ON")*(COUNTIFS(Override!$B$11:$B$40,$B99,Override!$D$11:$D$40,2,Override!$E$11:$E$40,"&gt;=0")-COUNTIFS(Override!$B$11:$B$40,$B99,Override!$D$11:$D$40,2,Override!$E$11:$E$40,"&gt;=0",Override!$C$11:$C$40,"MXAU"))&gt;0,SUMIFS(Override!$E$11:$E$40,Override!$B$11:$B$40,$B99,Override!$D$11:$D$40,2)-SUMIFS(Override!$E$11:$E$40,Override!$B$11:$B$40,$B99,Override!$D$11:$D$40,2,Override!$C$11:$C$40,"MXAU"),Override!$D$134)/AS51!$B$3,"")))</f>
        <v/>
      </c>
      <c r="H99" s="140">
        <f>IF(H$13="","",IF($B99="","",IFERROR($C99*$D99*IF((Override!$C$4="ON")*(COUNTIFS(Override!$B$11:$B$40,$B99,Override!$D$11:$D$40,3,Override!$E$11:$E$40,"&gt;=0")-COUNTIFS(Override!$B$11:$B$40,$B99,Override!$D$11:$D$40,3,Override!$E$11:$E$40,"&gt;=0",Override!$C$11:$C$40,"MXAU"))&gt;0,SUMIFS(Override!$E$11:$E$40,Override!$B$11:$B$40,$B99,Override!$D$11:$D$40,3)-SUMIFS(Override!$E$11:$E$40,Override!$B$11:$B$40,$B99,Override!$D$11:$D$40,3,Override!$C$11:$C$40,"MXAU"),Override!$E$134)/AS51!$B$3,"")))</f>
        <v/>
      </c>
      <c r="I99" s="140">
        <f>IF(I$13="","",IF($B99="","",IFERROR($C99*$D99*IF((Override!$C$4="ON")*(COUNTIFS(Override!$B$11:$B$40,$B99,Override!$D$11:$D$40,4,Override!$E$11:$E$40,"&gt;=0")-COUNTIFS(Override!$B$11:$B$40,$B99,Override!$D$11:$D$40,4,Override!$E$11:$E$40,"&gt;=0",Override!$C$11:$C$40,"MXAU"))&gt;0,SUMIFS(Override!$E$11:$E$40,Override!$B$11:$B$40,$B99,Override!$D$11:$D$40,4)-SUMIFS(Override!$E$11:$E$40,Override!$B$11:$B$40,$B99,Override!$D$11:$D$40,4,Override!$C$11:$C$40,"MXAU"),Override!$F$134)/AS51!$B$3,"")))</f>
        <v/>
      </c>
      <c r="J99" s="140">
        <f>IF(J$13="","",IF($B99="","",IFERROR($C99*$D99*IF((Override!$C$4="ON")*(COUNTIFS(Override!$B$11:$B$40,$B99,Override!$D$11:$D$40,5,Override!$E$11:$E$40,"&gt;=0")-COUNTIFS(Override!$B$11:$B$40,$B99,Override!$D$11:$D$40,5,Override!$E$11:$E$40,"&gt;=0",Override!$C$11:$C$40,"MXAU"))&gt;0,SUMIFS(Override!$E$11:$E$40,Override!$B$11:$B$40,$B99,Override!$D$11:$D$40,5)-SUMIFS(Override!$E$11:$E$40,Override!$B$11:$B$40,$B99,Override!$D$11:$D$40,5,Override!$C$11:$C$40,"MXAU"),Override!$G$134)/AS51!$B$3,"")))</f>
        <v/>
      </c>
      <c r="K99" s="140">
        <f>IF(K$13="","",IF($B99="","",IFERROR($C99*$D99*IF((Override!$C$4="ON")*(COUNTIFS(Override!$B$11:$B$40,$B99,Override!$D$11:$D$40,6,Override!$E$11:$E$40,"&gt;=0")-COUNTIFS(Override!$B$11:$B$40,$B99,Override!$D$11:$D$40,6,Override!$E$11:$E$40,"&gt;=0",Override!$C$11:$C$40,"MXAU"))&gt;0,SUMIFS(Override!$E$11:$E$40,Override!$B$11:$B$40,$B99,Override!$D$11:$D$40,6)-SUMIFS(Override!$E$11:$E$40,Override!$B$11:$B$40,$B99,Override!$D$11:$D$40,6,Override!$C$11:$C$40,"MXAU"),Override!$H$134)/AS51!$B$3,"")))</f>
        <v/>
      </c>
      <c r="L99" s="140">
        <f>IF(L$13="","",IF($B99="","",IFERROR($C99*$D99*IF((Override!$C$4="ON")*(COUNTIFS(Override!$B$11:$B$40,$B99,Override!$D$11:$D$40,7,Override!$E$11:$E$40,"&gt;=0")-COUNTIFS(Override!$B$11:$B$40,$B99,Override!$D$11:$D$40,7,Override!$E$11:$E$40,"&gt;=0",Override!$C$11:$C$40,"MXAU"))&gt;0,SUMIFS(Override!$E$11:$E$40,Override!$B$11:$B$40,$B99,Override!$D$11:$D$40,7)-SUMIFS(Override!$E$11:$E$40,Override!$B$11:$B$40,$B99,Override!$D$11:$D$40,7,Override!$C$11:$C$40,"MXAU"),Override!$I$134)/AS51!$B$3,"")))</f>
        <v/>
      </c>
      <c r="M99" s="140">
        <f>IF(M$13="","",IF($B99="","",IFERROR($C99*$D99*IF((Override!$C$4="ON")*(COUNTIFS(Override!$B$11:$B$40,$B99,Override!$D$11:$D$40,8,Override!$E$11:$E$40,"&gt;=0")-COUNTIFS(Override!$B$11:$B$40,$B99,Override!$D$11:$D$40,8,Override!$E$11:$E$40,"&gt;=0",Override!$C$11:$C$40,"MXAU"))&gt;0,SUMIFS(Override!$E$11:$E$40,Override!$B$11:$B$40,$B99,Override!$D$11:$D$40,8)-SUMIFS(Override!$E$11:$E$40,Override!$B$11:$B$40,$B99,Override!$D$11:$D$40,8,Override!$C$11:$C$40,"MXAU"),Override!$J$134)/AS51!$B$3,"")))</f>
        <v/>
      </c>
      <c r="N99" s="140">
        <f>IF(N$13="","",IF($B99="","",IFERROR($C99*$D99*IF((Override!$C$4="ON")*(COUNTIFS(Override!$B$11:$B$40,$B99,Override!$D$11:$D$40,9,Override!$E$11:$E$40,"&gt;=0")-COUNTIFS(Override!$B$11:$B$40,$B99,Override!$D$11:$D$40,9,Override!$E$11:$E$40,"&gt;=0",Override!$C$11:$C$40,"MXAU"))&gt;0,SUMIFS(Override!$E$11:$E$40,Override!$B$11:$B$40,$B99,Override!$D$11:$D$40,9)-SUMIFS(Override!$E$11:$E$40,Override!$B$11:$B$40,$B99,Override!$D$11:$D$40,9,Override!$C$11:$C$40,"MXAU"),Override!$K$134)/AS51!$B$3,"")))</f>
        <v/>
      </c>
      <c r="O99" s="140">
        <f>IF(O$13="","",IF($B99="","",IFERROR($C99*$D99*IF((Override!$C$4="ON")*(COUNTIFS(Override!$B$11:$B$40,$B99,Override!$D$11:$D$40,10,Override!$E$11:$E$40,"&gt;=0")-COUNTIFS(Override!$B$11:$B$40,$B99,Override!$D$11:$D$40,10,Override!$E$11:$E$40,"&gt;=0",Override!$C$11:$C$40,"MXAU"))&gt;0,SUMIFS(Override!$E$11:$E$40,Override!$B$11:$B$40,$B99,Override!$D$11:$D$40,10)-SUMIFS(Override!$E$11:$E$40,Override!$B$11:$B$40,$B99,Override!$D$11:$D$40,10,Override!$C$11:$C$40,"MXAU"),Override!$L$134)/AS51!$B$3,"")))</f>
        <v/>
      </c>
      <c r="P99" s="140">
        <f>IF(P$13="","",IF($B99="","",IFERROR($C99*$D99*IF((Override!$C$4="ON")*(COUNTIFS(Override!$B$11:$B$40,$B99,Override!$D$11:$D$40,11,Override!$E$11:$E$40,"&gt;=0")-COUNTIFS(Override!$B$11:$B$40,$B99,Override!$D$11:$D$40,11,Override!$E$11:$E$40,"&gt;=0",Override!$C$11:$C$40,"MXAU"))&gt;0,SUMIFS(Override!$E$11:$E$40,Override!$B$11:$B$40,$B99,Override!$D$11:$D$40,11)-SUMIFS(Override!$E$11:$E$40,Override!$B$11:$B$40,$B99,Override!$D$11:$D$40,11,Override!$C$11:$C$40,"MXAU"),Override!$M$134)/AS51!$B$3,"")))</f>
        <v/>
      </c>
      <c r="Q99" s="140">
        <f>IF(Q$13="","",IF($B99="","",IFERROR($C99*$D99*IF((Override!$C$4="ON")*(COUNTIFS(Override!$B$11:$B$40,$B99,Override!$D$11:$D$40,12,Override!$E$11:$E$40,"&gt;=0")-COUNTIFS(Override!$B$11:$B$40,$B99,Override!$D$11:$D$40,12,Override!$E$11:$E$40,"&gt;=0",Override!$C$11:$C$40,"MXAU"))&gt;0,SUMIFS(Override!$E$11:$E$40,Override!$B$11:$B$40,$B99,Override!$D$11:$D$40,12)-SUMIFS(Override!$E$11:$E$40,Override!$B$11:$B$40,$B99,Override!$D$11:$D$40,12,Override!$C$11:$C$40,"MXAU"),Override!$N$134)/AS51!$B$3,"")))</f>
        <v/>
      </c>
      <c r="R99" s="140">
        <f>IF(R$13="","",IF($B99="","",IFERROR($C99*$D99*IF((Override!$C$4="ON")*(COUNTIFS(Override!$B$11:$B$40,$B99,Override!$D$11:$D$40,13,Override!$E$11:$E$40,"&gt;=0")-COUNTIFS(Override!$B$11:$B$40,$B99,Override!$D$11:$D$40,13,Override!$E$11:$E$40,"&gt;=0",Override!$C$11:$C$40,"MXAU"))&gt;0,SUMIFS(Override!$E$11:$E$40,Override!$B$11:$B$40,$B99,Override!$D$11:$D$40,13)-SUMIFS(Override!$E$11:$E$40,Override!$B$11:$B$40,$B99,Override!$D$11:$D$40,13,Override!$C$11:$C$40,"MXAU"),Override!$O$134)/AS51!$B$3,"")))</f>
        <v/>
      </c>
      <c r="S99" s="140">
        <f>IF(S$13="","",IF($B99="","",IFERROR($C99*$D99*IF((Override!$C$4="ON")*(COUNTIFS(Override!$B$11:$B$40,$B99,Override!$D$11:$D$40,14,Override!$E$11:$E$40,"&gt;=0")-COUNTIFS(Override!$B$11:$B$40,$B99,Override!$D$11:$D$40,14,Override!$E$11:$E$40,"&gt;=0",Override!$C$11:$C$40,"MXAU"))&gt;0,SUMIFS(Override!$E$11:$E$40,Override!$B$11:$B$40,$B99,Override!$D$11:$D$40,14)-SUMIFS(Override!$E$11:$E$40,Override!$B$11:$B$40,$B99,Override!$D$11:$D$40,14,Override!$C$11:$C$40,"MXAU"),Override!$P$134)/AS51!$B$3,"")))</f>
        <v/>
      </c>
      <c r="T99" s="140">
        <f>IF(T$13="","",IF($B99="","",IFERROR($C99*$D99*IF((Override!$C$4="ON")*(COUNTIFS(Override!$B$11:$B$40,$B99,Override!$D$11:$D$40,15,Override!$E$11:$E$40,"&gt;=0")-COUNTIFS(Override!$B$11:$B$40,$B99,Override!$D$11:$D$40,15,Override!$E$11:$E$40,"&gt;=0",Override!$C$11:$C$40,"MXAU"))&gt;0,SUMIFS(Override!$E$11:$E$40,Override!$B$11:$B$40,$B99,Override!$D$11:$D$40,15)-SUMIFS(Override!$E$11:$E$40,Override!$B$11:$B$40,$B99,Override!$D$11:$D$40,15,Override!$C$11:$C$40,"MXAU"),Override!$Q$134)/AS51!$B$3,"")))</f>
        <v/>
      </c>
      <c r="U99" s="140">
        <f>IF(U$13="","",IF($B99="","",IFERROR($C99*$D99*IF((Override!$C$4="ON")*(COUNTIFS(Override!$B$11:$B$40,$B99,Override!$D$11:$D$40,16,Override!$E$11:$E$40,"&gt;=0")-COUNTIFS(Override!$B$11:$B$40,$B99,Override!$D$11:$D$40,16,Override!$E$11:$E$40,"&gt;=0",Override!$C$11:$C$40,"MXAU"))&gt;0,SUMIFS(Override!$E$11:$E$40,Override!$B$11:$B$40,$B99,Override!$D$11:$D$40,16)-SUMIFS(Override!$E$11:$E$40,Override!$B$11:$B$40,$B99,Override!$D$11:$D$40,16,Override!$C$11:$C$40,"MXAU"),Override!$R$134)/AS51!$B$3,"")))</f>
        <v/>
      </c>
      <c r="W99" s="140">
        <f>IF(W$13="","",IF($B99="","",IFERROR(F99*$E99/100,"")))</f>
        <v/>
      </c>
      <c r="X99" s="140">
        <f>IF(X$13="","",IF($B99="","",IFERROR(G99*$E99/100,"")))</f>
        <v/>
      </c>
      <c r="Y99" s="140">
        <f>IF(Y$13="","",IF($B99="","",IFERROR(H99*$E99/100,"")))</f>
        <v/>
      </c>
      <c r="Z99" s="140">
        <f>IF(Z$13="","",IF($B99="","",IFERROR(I99*$E99/100,"")))</f>
        <v/>
      </c>
      <c r="AA99" s="140">
        <f>IF(AA$13="","",IF($B99="","",IFERROR(J99*$E99/100,"")))</f>
        <v/>
      </c>
      <c r="AB99" s="140">
        <f>IF(AB$13="","",IF($B99="","",IFERROR(K99*$E99/100,"")))</f>
        <v/>
      </c>
      <c r="AC99" s="140">
        <f>IF(AC$13="","",IF($B99="","",IFERROR(L99*$E99/100,"")))</f>
        <v/>
      </c>
      <c r="AD99" s="140">
        <f>IF(AD$13="","",IF($B99="","",IFERROR(M99*$E99/100,"")))</f>
        <v/>
      </c>
      <c r="AE99" s="140">
        <f>IF(AE$13="","",IF($B99="","",IFERROR(N99*$E99/100,"")))</f>
        <v/>
      </c>
      <c r="AF99" s="140">
        <f>IF(AF$13="","",IF($B99="","",IFERROR(O99*$E99/100,"")))</f>
        <v/>
      </c>
      <c r="AG99" s="140">
        <f>IF(AG$13="","",IF($B99="","",IFERROR(P99*$E99/100,"")))</f>
        <v/>
      </c>
      <c r="AH99" s="140">
        <f>IF(AH$13="","",IF($B99="","",IFERROR(Q99*$E99/100,"")))</f>
        <v/>
      </c>
      <c r="AI99" s="140">
        <f>IF(AI$13="","",IF($B99="","",IFERROR(R99*$E99/100,"")))</f>
        <v/>
      </c>
      <c r="AJ99" s="140">
        <f>IF(AJ$13="","",IF($B99="","",IFERROR(S99*$E99/100,"")))</f>
        <v/>
      </c>
      <c r="AK99" s="140">
        <f>IF(AK$13="","",IF($B99="","",IFERROR(T99*$E99/100,"")))</f>
        <v/>
      </c>
      <c r="AL99" s="140">
        <f>IF(AL$13="","",IF($B99="","",IFERROR(U99*$E99/100,"")))</f>
        <v/>
      </c>
      <c r="AN99" s="140">
        <f>IF($B99="","",SUMIF($F$13:$U$13,"&lt;="&amp;Sector!$D$51,$F99:$U99))</f>
        <v/>
      </c>
      <c r="AO99" s="140">
        <f>IF($B99="","",SUMIF($W$13:$AL$13,"&lt;="&amp;Sector!$D$51,$W99:$AL99))</f>
        <v/>
      </c>
    </row>
    <row r="100">
      <c r="B100" s="5">
        <f>IF(AS51!$C$90="","",AS51!$C$90)</f>
        <v/>
      </c>
      <c r="C100" s="90">
        <f>IF(AS51!$B$90="","",AS51!$B$90)</f>
        <v/>
      </c>
      <c r="D100" s="138">
        <f>IFERROR(AS51!$Q$90,1)</f>
        <v/>
      </c>
      <c r="E100" s="139">
        <f>IF($B100="","",IF(ISNUMBER(AS51!$I$90),AS51!$I$90,'Index Summary'!$C$7))</f>
        <v/>
      </c>
      <c r="F100" s="140">
        <f>IF(F$13="","",IF($B100="","",IFERROR($C100*$D100*IF((Override!$C$4="ON")*(COUNTIFS(Override!$B$11:$B$40,$B100,Override!$D$11:$D$40,1,Override!$E$11:$E$40,"&gt;=0")-COUNTIFS(Override!$B$11:$B$40,$B100,Override!$D$11:$D$40,1,Override!$E$11:$E$40,"&gt;=0",Override!$C$11:$C$40,"MXAU"))&gt;0,SUMIFS(Override!$E$11:$E$40,Override!$B$11:$B$40,$B100,Override!$D$11:$D$40,1)-SUMIFS(Override!$E$11:$E$40,Override!$B$11:$B$40,$B100,Override!$D$11:$D$40,1,Override!$C$11:$C$40,"MXAU"),Override!$C$135)/AS51!$B$3,"")))</f>
        <v/>
      </c>
      <c r="G100" s="140">
        <f>IF(G$13="","",IF($B100="","",IFERROR($C100*$D100*IF((Override!$C$4="ON")*(COUNTIFS(Override!$B$11:$B$40,$B100,Override!$D$11:$D$40,2,Override!$E$11:$E$40,"&gt;=0")-COUNTIFS(Override!$B$11:$B$40,$B100,Override!$D$11:$D$40,2,Override!$E$11:$E$40,"&gt;=0",Override!$C$11:$C$40,"MXAU"))&gt;0,SUMIFS(Override!$E$11:$E$40,Override!$B$11:$B$40,$B100,Override!$D$11:$D$40,2)-SUMIFS(Override!$E$11:$E$40,Override!$B$11:$B$40,$B100,Override!$D$11:$D$40,2,Override!$C$11:$C$40,"MXAU"),Override!$D$135)/AS51!$B$3,"")))</f>
        <v/>
      </c>
      <c r="H100" s="140">
        <f>IF(H$13="","",IF($B100="","",IFERROR($C100*$D100*IF((Override!$C$4="ON")*(COUNTIFS(Override!$B$11:$B$40,$B100,Override!$D$11:$D$40,3,Override!$E$11:$E$40,"&gt;=0")-COUNTIFS(Override!$B$11:$B$40,$B100,Override!$D$11:$D$40,3,Override!$E$11:$E$40,"&gt;=0",Override!$C$11:$C$40,"MXAU"))&gt;0,SUMIFS(Override!$E$11:$E$40,Override!$B$11:$B$40,$B100,Override!$D$11:$D$40,3)-SUMIFS(Override!$E$11:$E$40,Override!$B$11:$B$40,$B100,Override!$D$11:$D$40,3,Override!$C$11:$C$40,"MXAU"),Override!$E$135)/AS51!$B$3,"")))</f>
        <v/>
      </c>
      <c r="I100" s="140">
        <f>IF(I$13="","",IF($B100="","",IFERROR($C100*$D100*IF((Override!$C$4="ON")*(COUNTIFS(Override!$B$11:$B$40,$B100,Override!$D$11:$D$40,4,Override!$E$11:$E$40,"&gt;=0")-COUNTIFS(Override!$B$11:$B$40,$B100,Override!$D$11:$D$40,4,Override!$E$11:$E$40,"&gt;=0",Override!$C$11:$C$40,"MXAU"))&gt;0,SUMIFS(Override!$E$11:$E$40,Override!$B$11:$B$40,$B100,Override!$D$11:$D$40,4)-SUMIFS(Override!$E$11:$E$40,Override!$B$11:$B$40,$B100,Override!$D$11:$D$40,4,Override!$C$11:$C$40,"MXAU"),Override!$F$135)/AS51!$B$3,"")))</f>
        <v/>
      </c>
      <c r="J100" s="140">
        <f>IF(J$13="","",IF($B100="","",IFERROR($C100*$D100*IF((Override!$C$4="ON")*(COUNTIFS(Override!$B$11:$B$40,$B100,Override!$D$11:$D$40,5,Override!$E$11:$E$40,"&gt;=0")-COUNTIFS(Override!$B$11:$B$40,$B100,Override!$D$11:$D$40,5,Override!$E$11:$E$40,"&gt;=0",Override!$C$11:$C$40,"MXAU"))&gt;0,SUMIFS(Override!$E$11:$E$40,Override!$B$11:$B$40,$B100,Override!$D$11:$D$40,5)-SUMIFS(Override!$E$11:$E$40,Override!$B$11:$B$40,$B100,Override!$D$11:$D$40,5,Override!$C$11:$C$40,"MXAU"),Override!$G$135)/AS51!$B$3,"")))</f>
        <v/>
      </c>
      <c r="K100" s="140">
        <f>IF(K$13="","",IF($B100="","",IFERROR($C100*$D100*IF((Override!$C$4="ON")*(COUNTIFS(Override!$B$11:$B$40,$B100,Override!$D$11:$D$40,6,Override!$E$11:$E$40,"&gt;=0")-COUNTIFS(Override!$B$11:$B$40,$B100,Override!$D$11:$D$40,6,Override!$E$11:$E$40,"&gt;=0",Override!$C$11:$C$40,"MXAU"))&gt;0,SUMIFS(Override!$E$11:$E$40,Override!$B$11:$B$40,$B100,Override!$D$11:$D$40,6)-SUMIFS(Override!$E$11:$E$40,Override!$B$11:$B$40,$B100,Override!$D$11:$D$40,6,Override!$C$11:$C$40,"MXAU"),Override!$H$135)/AS51!$B$3,"")))</f>
        <v/>
      </c>
      <c r="L100" s="140">
        <f>IF(L$13="","",IF($B100="","",IFERROR($C100*$D100*IF((Override!$C$4="ON")*(COUNTIFS(Override!$B$11:$B$40,$B100,Override!$D$11:$D$40,7,Override!$E$11:$E$40,"&gt;=0")-COUNTIFS(Override!$B$11:$B$40,$B100,Override!$D$11:$D$40,7,Override!$E$11:$E$40,"&gt;=0",Override!$C$11:$C$40,"MXAU"))&gt;0,SUMIFS(Override!$E$11:$E$40,Override!$B$11:$B$40,$B100,Override!$D$11:$D$40,7)-SUMIFS(Override!$E$11:$E$40,Override!$B$11:$B$40,$B100,Override!$D$11:$D$40,7,Override!$C$11:$C$40,"MXAU"),Override!$I$135)/AS51!$B$3,"")))</f>
        <v/>
      </c>
      <c r="M100" s="140">
        <f>IF(M$13="","",IF($B100="","",IFERROR($C100*$D100*IF((Override!$C$4="ON")*(COUNTIFS(Override!$B$11:$B$40,$B100,Override!$D$11:$D$40,8,Override!$E$11:$E$40,"&gt;=0")-COUNTIFS(Override!$B$11:$B$40,$B100,Override!$D$11:$D$40,8,Override!$E$11:$E$40,"&gt;=0",Override!$C$11:$C$40,"MXAU"))&gt;0,SUMIFS(Override!$E$11:$E$40,Override!$B$11:$B$40,$B100,Override!$D$11:$D$40,8)-SUMIFS(Override!$E$11:$E$40,Override!$B$11:$B$40,$B100,Override!$D$11:$D$40,8,Override!$C$11:$C$40,"MXAU"),Override!$J$135)/AS51!$B$3,"")))</f>
        <v/>
      </c>
      <c r="N100" s="140">
        <f>IF(N$13="","",IF($B100="","",IFERROR($C100*$D100*IF((Override!$C$4="ON")*(COUNTIFS(Override!$B$11:$B$40,$B100,Override!$D$11:$D$40,9,Override!$E$11:$E$40,"&gt;=0")-COUNTIFS(Override!$B$11:$B$40,$B100,Override!$D$11:$D$40,9,Override!$E$11:$E$40,"&gt;=0",Override!$C$11:$C$40,"MXAU"))&gt;0,SUMIFS(Override!$E$11:$E$40,Override!$B$11:$B$40,$B100,Override!$D$11:$D$40,9)-SUMIFS(Override!$E$11:$E$40,Override!$B$11:$B$40,$B100,Override!$D$11:$D$40,9,Override!$C$11:$C$40,"MXAU"),Override!$K$135)/AS51!$B$3,"")))</f>
        <v/>
      </c>
      <c r="O100" s="140">
        <f>IF(O$13="","",IF($B100="","",IFERROR($C100*$D100*IF((Override!$C$4="ON")*(COUNTIFS(Override!$B$11:$B$40,$B100,Override!$D$11:$D$40,10,Override!$E$11:$E$40,"&gt;=0")-COUNTIFS(Override!$B$11:$B$40,$B100,Override!$D$11:$D$40,10,Override!$E$11:$E$40,"&gt;=0",Override!$C$11:$C$40,"MXAU"))&gt;0,SUMIFS(Override!$E$11:$E$40,Override!$B$11:$B$40,$B100,Override!$D$11:$D$40,10)-SUMIFS(Override!$E$11:$E$40,Override!$B$11:$B$40,$B100,Override!$D$11:$D$40,10,Override!$C$11:$C$40,"MXAU"),Override!$L$135)/AS51!$B$3,"")))</f>
        <v/>
      </c>
      <c r="P100" s="140">
        <f>IF(P$13="","",IF($B100="","",IFERROR($C100*$D100*IF((Override!$C$4="ON")*(COUNTIFS(Override!$B$11:$B$40,$B100,Override!$D$11:$D$40,11,Override!$E$11:$E$40,"&gt;=0")-COUNTIFS(Override!$B$11:$B$40,$B100,Override!$D$11:$D$40,11,Override!$E$11:$E$40,"&gt;=0",Override!$C$11:$C$40,"MXAU"))&gt;0,SUMIFS(Override!$E$11:$E$40,Override!$B$11:$B$40,$B100,Override!$D$11:$D$40,11)-SUMIFS(Override!$E$11:$E$40,Override!$B$11:$B$40,$B100,Override!$D$11:$D$40,11,Override!$C$11:$C$40,"MXAU"),Override!$M$135)/AS51!$B$3,"")))</f>
        <v/>
      </c>
      <c r="Q100" s="140">
        <f>IF(Q$13="","",IF($B100="","",IFERROR($C100*$D100*IF((Override!$C$4="ON")*(COUNTIFS(Override!$B$11:$B$40,$B100,Override!$D$11:$D$40,12,Override!$E$11:$E$40,"&gt;=0")-COUNTIFS(Override!$B$11:$B$40,$B100,Override!$D$11:$D$40,12,Override!$E$11:$E$40,"&gt;=0",Override!$C$11:$C$40,"MXAU"))&gt;0,SUMIFS(Override!$E$11:$E$40,Override!$B$11:$B$40,$B100,Override!$D$11:$D$40,12)-SUMIFS(Override!$E$11:$E$40,Override!$B$11:$B$40,$B100,Override!$D$11:$D$40,12,Override!$C$11:$C$40,"MXAU"),Override!$N$135)/AS51!$B$3,"")))</f>
        <v/>
      </c>
      <c r="R100" s="140">
        <f>IF(R$13="","",IF($B100="","",IFERROR($C100*$D100*IF((Override!$C$4="ON")*(COUNTIFS(Override!$B$11:$B$40,$B100,Override!$D$11:$D$40,13,Override!$E$11:$E$40,"&gt;=0")-COUNTIFS(Override!$B$11:$B$40,$B100,Override!$D$11:$D$40,13,Override!$E$11:$E$40,"&gt;=0",Override!$C$11:$C$40,"MXAU"))&gt;0,SUMIFS(Override!$E$11:$E$40,Override!$B$11:$B$40,$B100,Override!$D$11:$D$40,13)-SUMIFS(Override!$E$11:$E$40,Override!$B$11:$B$40,$B100,Override!$D$11:$D$40,13,Override!$C$11:$C$40,"MXAU"),Override!$O$135)/AS51!$B$3,"")))</f>
        <v/>
      </c>
      <c r="S100" s="140">
        <f>IF(S$13="","",IF($B100="","",IFERROR($C100*$D100*IF((Override!$C$4="ON")*(COUNTIFS(Override!$B$11:$B$40,$B100,Override!$D$11:$D$40,14,Override!$E$11:$E$40,"&gt;=0")-COUNTIFS(Override!$B$11:$B$40,$B100,Override!$D$11:$D$40,14,Override!$E$11:$E$40,"&gt;=0",Override!$C$11:$C$40,"MXAU"))&gt;0,SUMIFS(Override!$E$11:$E$40,Override!$B$11:$B$40,$B100,Override!$D$11:$D$40,14)-SUMIFS(Override!$E$11:$E$40,Override!$B$11:$B$40,$B100,Override!$D$11:$D$40,14,Override!$C$11:$C$40,"MXAU"),Override!$P$135)/AS51!$B$3,"")))</f>
        <v/>
      </c>
      <c r="T100" s="140">
        <f>IF(T$13="","",IF($B100="","",IFERROR($C100*$D100*IF((Override!$C$4="ON")*(COUNTIFS(Override!$B$11:$B$40,$B100,Override!$D$11:$D$40,15,Override!$E$11:$E$40,"&gt;=0")-COUNTIFS(Override!$B$11:$B$40,$B100,Override!$D$11:$D$40,15,Override!$E$11:$E$40,"&gt;=0",Override!$C$11:$C$40,"MXAU"))&gt;0,SUMIFS(Override!$E$11:$E$40,Override!$B$11:$B$40,$B100,Override!$D$11:$D$40,15)-SUMIFS(Override!$E$11:$E$40,Override!$B$11:$B$40,$B100,Override!$D$11:$D$40,15,Override!$C$11:$C$40,"MXAU"),Override!$Q$135)/AS51!$B$3,"")))</f>
        <v/>
      </c>
      <c r="U100" s="140">
        <f>IF(U$13="","",IF($B100="","",IFERROR($C100*$D100*IF((Override!$C$4="ON")*(COUNTIFS(Override!$B$11:$B$40,$B100,Override!$D$11:$D$40,16,Override!$E$11:$E$40,"&gt;=0")-COUNTIFS(Override!$B$11:$B$40,$B100,Override!$D$11:$D$40,16,Override!$E$11:$E$40,"&gt;=0",Override!$C$11:$C$40,"MXAU"))&gt;0,SUMIFS(Override!$E$11:$E$40,Override!$B$11:$B$40,$B100,Override!$D$11:$D$40,16)-SUMIFS(Override!$E$11:$E$40,Override!$B$11:$B$40,$B100,Override!$D$11:$D$40,16,Override!$C$11:$C$40,"MXAU"),Override!$R$135)/AS51!$B$3,"")))</f>
        <v/>
      </c>
      <c r="W100" s="140">
        <f>IF(W$13="","",IF($B100="","",IFERROR(F100*$E100/100,"")))</f>
        <v/>
      </c>
      <c r="X100" s="140">
        <f>IF(X$13="","",IF($B100="","",IFERROR(G100*$E100/100,"")))</f>
        <v/>
      </c>
      <c r="Y100" s="140">
        <f>IF(Y$13="","",IF($B100="","",IFERROR(H100*$E100/100,"")))</f>
        <v/>
      </c>
      <c r="Z100" s="140">
        <f>IF(Z$13="","",IF($B100="","",IFERROR(I100*$E100/100,"")))</f>
        <v/>
      </c>
      <c r="AA100" s="140">
        <f>IF(AA$13="","",IF($B100="","",IFERROR(J100*$E100/100,"")))</f>
        <v/>
      </c>
      <c r="AB100" s="140">
        <f>IF(AB$13="","",IF($B100="","",IFERROR(K100*$E100/100,"")))</f>
        <v/>
      </c>
      <c r="AC100" s="140">
        <f>IF(AC$13="","",IF($B100="","",IFERROR(L100*$E100/100,"")))</f>
        <v/>
      </c>
      <c r="AD100" s="140">
        <f>IF(AD$13="","",IF($B100="","",IFERROR(M100*$E100/100,"")))</f>
        <v/>
      </c>
      <c r="AE100" s="140">
        <f>IF(AE$13="","",IF($B100="","",IFERROR(N100*$E100/100,"")))</f>
        <v/>
      </c>
      <c r="AF100" s="140">
        <f>IF(AF$13="","",IF($B100="","",IFERROR(O100*$E100/100,"")))</f>
        <v/>
      </c>
      <c r="AG100" s="140">
        <f>IF(AG$13="","",IF($B100="","",IFERROR(P100*$E100/100,"")))</f>
        <v/>
      </c>
      <c r="AH100" s="140">
        <f>IF(AH$13="","",IF($B100="","",IFERROR(Q100*$E100/100,"")))</f>
        <v/>
      </c>
      <c r="AI100" s="140">
        <f>IF(AI$13="","",IF($B100="","",IFERROR(R100*$E100/100,"")))</f>
        <v/>
      </c>
      <c r="AJ100" s="140">
        <f>IF(AJ$13="","",IF($B100="","",IFERROR(S100*$E100/100,"")))</f>
        <v/>
      </c>
      <c r="AK100" s="140">
        <f>IF(AK$13="","",IF($B100="","",IFERROR(T100*$E100/100,"")))</f>
        <v/>
      </c>
      <c r="AL100" s="140">
        <f>IF(AL$13="","",IF($B100="","",IFERROR(U100*$E100/100,"")))</f>
        <v/>
      </c>
      <c r="AN100" s="140">
        <f>IF($B100="","",SUMIF($F$13:$U$13,"&lt;="&amp;Sector!$D$51,$F100:$U100))</f>
        <v/>
      </c>
      <c r="AO100" s="140">
        <f>IF($B100="","",SUMIF($W$13:$AL$13,"&lt;="&amp;Sector!$D$51,$W100:$AL100))</f>
        <v/>
      </c>
    </row>
    <row r="101">
      <c r="B101" s="5">
        <f>IF(AS51!$C$91="","",AS51!$C$91)</f>
        <v/>
      </c>
      <c r="C101" s="90">
        <f>IF(AS51!$B$91="","",AS51!$B$91)</f>
        <v/>
      </c>
      <c r="D101" s="138">
        <f>IFERROR(AS51!$Q$91,1)</f>
        <v/>
      </c>
      <c r="E101" s="139">
        <f>IF($B101="","",IF(ISNUMBER(AS51!$I$91),AS51!$I$91,'Index Summary'!$C$7))</f>
        <v/>
      </c>
      <c r="F101" s="140">
        <f>IF(F$13="","",IF($B101="","",IFERROR($C101*$D101*IF((Override!$C$4="ON")*(COUNTIFS(Override!$B$11:$B$40,$B101,Override!$D$11:$D$40,1,Override!$E$11:$E$40,"&gt;=0")-COUNTIFS(Override!$B$11:$B$40,$B101,Override!$D$11:$D$40,1,Override!$E$11:$E$40,"&gt;=0",Override!$C$11:$C$40,"MXAU"))&gt;0,SUMIFS(Override!$E$11:$E$40,Override!$B$11:$B$40,$B101,Override!$D$11:$D$40,1)-SUMIFS(Override!$E$11:$E$40,Override!$B$11:$B$40,$B101,Override!$D$11:$D$40,1,Override!$C$11:$C$40,"MXAU"),Override!$C$136)/AS51!$B$3,"")))</f>
        <v/>
      </c>
      <c r="G101" s="140">
        <f>IF(G$13="","",IF($B101="","",IFERROR($C101*$D101*IF((Override!$C$4="ON")*(COUNTIFS(Override!$B$11:$B$40,$B101,Override!$D$11:$D$40,2,Override!$E$11:$E$40,"&gt;=0")-COUNTIFS(Override!$B$11:$B$40,$B101,Override!$D$11:$D$40,2,Override!$E$11:$E$40,"&gt;=0",Override!$C$11:$C$40,"MXAU"))&gt;0,SUMIFS(Override!$E$11:$E$40,Override!$B$11:$B$40,$B101,Override!$D$11:$D$40,2)-SUMIFS(Override!$E$11:$E$40,Override!$B$11:$B$40,$B101,Override!$D$11:$D$40,2,Override!$C$11:$C$40,"MXAU"),Override!$D$136)/AS51!$B$3,"")))</f>
        <v/>
      </c>
      <c r="H101" s="140">
        <f>IF(H$13="","",IF($B101="","",IFERROR($C101*$D101*IF((Override!$C$4="ON")*(COUNTIFS(Override!$B$11:$B$40,$B101,Override!$D$11:$D$40,3,Override!$E$11:$E$40,"&gt;=0")-COUNTIFS(Override!$B$11:$B$40,$B101,Override!$D$11:$D$40,3,Override!$E$11:$E$40,"&gt;=0",Override!$C$11:$C$40,"MXAU"))&gt;0,SUMIFS(Override!$E$11:$E$40,Override!$B$11:$B$40,$B101,Override!$D$11:$D$40,3)-SUMIFS(Override!$E$11:$E$40,Override!$B$11:$B$40,$B101,Override!$D$11:$D$40,3,Override!$C$11:$C$40,"MXAU"),Override!$E$136)/AS51!$B$3,"")))</f>
        <v/>
      </c>
      <c r="I101" s="140">
        <f>IF(I$13="","",IF($B101="","",IFERROR($C101*$D101*IF((Override!$C$4="ON")*(COUNTIFS(Override!$B$11:$B$40,$B101,Override!$D$11:$D$40,4,Override!$E$11:$E$40,"&gt;=0")-COUNTIFS(Override!$B$11:$B$40,$B101,Override!$D$11:$D$40,4,Override!$E$11:$E$40,"&gt;=0",Override!$C$11:$C$40,"MXAU"))&gt;0,SUMIFS(Override!$E$11:$E$40,Override!$B$11:$B$40,$B101,Override!$D$11:$D$40,4)-SUMIFS(Override!$E$11:$E$40,Override!$B$11:$B$40,$B101,Override!$D$11:$D$40,4,Override!$C$11:$C$40,"MXAU"),Override!$F$136)/AS51!$B$3,"")))</f>
        <v/>
      </c>
      <c r="J101" s="140">
        <f>IF(J$13="","",IF($B101="","",IFERROR($C101*$D101*IF((Override!$C$4="ON")*(COUNTIFS(Override!$B$11:$B$40,$B101,Override!$D$11:$D$40,5,Override!$E$11:$E$40,"&gt;=0")-COUNTIFS(Override!$B$11:$B$40,$B101,Override!$D$11:$D$40,5,Override!$E$11:$E$40,"&gt;=0",Override!$C$11:$C$40,"MXAU"))&gt;0,SUMIFS(Override!$E$11:$E$40,Override!$B$11:$B$40,$B101,Override!$D$11:$D$40,5)-SUMIFS(Override!$E$11:$E$40,Override!$B$11:$B$40,$B101,Override!$D$11:$D$40,5,Override!$C$11:$C$40,"MXAU"),Override!$G$136)/AS51!$B$3,"")))</f>
        <v/>
      </c>
      <c r="K101" s="140">
        <f>IF(K$13="","",IF($B101="","",IFERROR($C101*$D101*IF((Override!$C$4="ON")*(COUNTIFS(Override!$B$11:$B$40,$B101,Override!$D$11:$D$40,6,Override!$E$11:$E$40,"&gt;=0")-COUNTIFS(Override!$B$11:$B$40,$B101,Override!$D$11:$D$40,6,Override!$E$11:$E$40,"&gt;=0",Override!$C$11:$C$40,"MXAU"))&gt;0,SUMIFS(Override!$E$11:$E$40,Override!$B$11:$B$40,$B101,Override!$D$11:$D$40,6)-SUMIFS(Override!$E$11:$E$40,Override!$B$11:$B$40,$B101,Override!$D$11:$D$40,6,Override!$C$11:$C$40,"MXAU"),Override!$H$136)/AS51!$B$3,"")))</f>
        <v/>
      </c>
      <c r="L101" s="140">
        <f>IF(L$13="","",IF($B101="","",IFERROR($C101*$D101*IF((Override!$C$4="ON")*(COUNTIFS(Override!$B$11:$B$40,$B101,Override!$D$11:$D$40,7,Override!$E$11:$E$40,"&gt;=0")-COUNTIFS(Override!$B$11:$B$40,$B101,Override!$D$11:$D$40,7,Override!$E$11:$E$40,"&gt;=0",Override!$C$11:$C$40,"MXAU"))&gt;0,SUMIFS(Override!$E$11:$E$40,Override!$B$11:$B$40,$B101,Override!$D$11:$D$40,7)-SUMIFS(Override!$E$11:$E$40,Override!$B$11:$B$40,$B101,Override!$D$11:$D$40,7,Override!$C$11:$C$40,"MXAU"),Override!$I$136)/AS51!$B$3,"")))</f>
        <v/>
      </c>
      <c r="M101" s="140">
        <f>IF(M$13="","",IF($B101="","",IFERROR($C101*$D101*IF((Override!$C$4="ON")*(COUNTIFS(Override!$B$11:$B$40,$B101,Override!$D$11:$D$40,8,Override!$E$11:$E$40,"&gt;=0")-COUNTIFS(Override!$B$11:$B$40,$B101,Override!$D$11:$D$40,8,Override!$E$11:$E$40,"&gt;=0",Override!$C$11:$C$40,"MXAU"))&gt;0,SUMIFS(Override!$E$11:$E$40,Override!$B$11:$B$40,$B101,Override!$D$11:$D$40,8)-SUMIFS(Override!$E$11:$E$40,Override!$B$11:$B$40,$B101,Override!$D$11:$D$40,8,Override!$C$11:$C$40,"MXAU"),Override!$J$136)/AS51!$B$3,"")))</f>
        <v/>
      </c>
      <c r="N101" s="140">
        <f>IF(N$13="","",IF($B101="","",IFERROR($C101*$D101*IF((Override!$C$4="ON")*(COUNTIFS(Override!$B$11:$B$40,$B101,Override!$D$11:$D$40,9,Override!$E$11:$E$40,"&gt;=0")-COUNTIFS(Override!$B$11:$B$40,$B101,Override!$D$11:$D$40,9,Override!$E$11:$E$40,"&gt;=0",Override!$C$11:$C$40,"MXAU"))&gt;0,SUMIFS(Override!$E$11:$E$40,Override!$B$11:$B$40,$B101,Override!$D$11:$D$40,9)-SUMIFS(Override!$E$11:$E$40,Override!$B$11:$B$40,$B101,Override!$D$11:$D$40,9,Override!$C$11:$C$40,"MXAU"),Override!$K$136)/AS51!$B$3,"")))</f>
        <v/>
      </c>
      <c r="O101" s="140">
        <f>IF(O$13="","",IF($B101="","",IFERROR($C101*$D101*IF((Override!$C$4="ON")*(COUNTIFS(Override!$B$11:$B$40,$B101,Override!$D$11:$D$40,10,Override!$E$11:$E$40,"&gt;=0")-COUNTIFS(Override!$B$11:$B$40,$B101,Override!$D$11:$D$40,10,Override!$E$11:$E$40,"&gt;=0",Override!$C$11:$C$40,"MXAU"))&gt;0,SUMIFS(Override!$E$11:$E$40,Override!$B$11:$B$40,$B101,Override!$D$11:$D$40,10)-SUMIFS(Override!$E$11:$E$40,Override!$B$11:$B$40,$B101,Override!$D$11:$D$40,10,Override!$C$11:$C$40,"MXAU"),Override!$L$136)/AS51!$B$3,"")))</f>
        <v/>
      </c>
      <c r="P101" s="140">
        <f>IF(P$13="","",IF($B101="","",IFERROR($C101*$D101*IF((Override!$C$4="ON")*(COUNTIFS(Override!$B$11:$B$40,$B101,Override!$D$11:$D$40,11,Override!$E$11:$E$40,"&gt;=0")-COUNTIFS(Override!$B$11:$B$40,$B101,Override!$D$11:$D$40,11,Override!$E$11:$E$40,"&gt;=0",Override!$C$11:$C$40,"MXAU"))&gt;0,SUMIFS(Override!$E$11:$E$40,Override!$B$11:$B$40,$B101,Override!$D$11:$D$40,11)-SUMIFS(Override!$E$11:$E$40,Override!$B$11:$B$40,$B101,Override!$D$11:$D$40,11,Override!$C$11:$C$40,"MXAU"),Override!$M$136)/AS51!$B$3,"")))</f>
        <v/>
      </c>
      <c r="Q101" s="140">
        <f>IF(Q$13="","",IF($B101="","",IFERROR($C101*$D101*IF((Override!$C$4="ON")*(COUNTIFS(Override!$B$11:$B$40,$B101,Override!$D$11:$D$40,12,Override!$E$11:$E$40,"&gt;=0")-COUNTIFS(Override!$B$11:$B$40,$B101,Override!$D$11:$D$40,12,Override!$E$11:$E$40,"&gt;=0",Override!$C$11:$C$40,"MXAU"))&gt;0,SUMIFS(Override!$E$11:$E$40,Override!$B$11:$B$40,$B101,Override!$D$11:$D$40,12)-SUMIFS(Override!$E$11:$E$40,Override!$B$11:$B$40,$B101,Override!$D$11:$D$40,12,Override!$C$11:$C$40,"MXAU"),Override!$N$136)/AS51!$B$3,"")))</f>
        <v/>
      </c>
      <c r="R101" s="140">
        <f>IF(R$13="","",IF($B101="","",IFERROR($C101*$D101*IF((Override!$C$4="ON")*(COUNTIFS(Override!$B$11:$B$40,$B101,Override!$D$11:$D$40,13,Override!$E$11:$E$40,"&gt;=0")-COUNTIFS(Override!$B$11:$B$40,$B101,Override!$D$11:$D$40,13,Override!$E$11:$E$40,"&gt;=0",Override!$C$11:$C$40,"MXAU"))&gt;0,SUMIFS(Override!$E$11:$E$40,Override!$B$11:$B$40,$B101,Override!$D$11:$D$40,13)-SUMIFS(Override!$E$11:$E$40,Override!$B$11:$B$40,$B101,Override!$D$11:$D$40,13,Override!$C$11:$C$40,"MXAU"),Override!$O$136)/AS51!$B$3,"")))</f>
        <v/>
      </c>
      <c r="S101" s="140">
        <f>IF(S$13="","",IF($B101="","",IFERROR($C101*$D101*IF((Override!$C$4="ON")*(COUNTIFS(Override!$B$11:$B$40,$B101,Override!$D$11:$D$40,14,Override!$E$11:$E$40,"&gt;=0")-COUNTIFS(Override!$B$11:$B$40,$B101,Override!$D$11:$D$40,14,Override!$E$11:$E$40,"&gt;=0",Override!$C$11:$C$40,"MXAU"))&gt;0,SUMIFS(Override!$E$11:$E$40,Override!$B$11:$B$40,$B101,Override!$D$11:$D$40,14)-SUMIFS(Override!$E$11:$E$40,Override!$B$11:$B$40,$B101,Override!$D$11:$D$40,14,Override!$C$11:$C$40,"MXAU"),Override!$P$136)/AS51!$B$3,"")))</f>
        <v/>
      </c>
      <c r="T101" s="140">
        <f>IF(T$13="","",IF($B101="","",IFERROR($C101*$D101*IF((Override!$C$4="ON")*(COUNTIFS(Override!$B$11:$B$40,$B101,Override!$D$11:$D$40,15,Override!$E$11:$E$40,"&gt;=0")-COUNTIFS(Override!$B$11:$B$40,$B101,Override!$D$11:$D$40,15,Override!$E$11:$E$40,"&gt;=0",Override!$C$11:$C$40,"MXAU"))&gt;0,SUMIFS(Override!$E$11:$E$40,Override!$B$11:$B$40,$B101,Override!$D$11:$D$40,15)-SUMIFS(Override!$E$11:$E$40,Override!$B$11:$B$40,$B101,Override!$D$11:$D$40,15,Override!$C$11:$C$40,"MXAU"),Override!$Q$136)/AS51!$B$3,"")))</f>
        <v/>
      </c>
      <c r="U101" s="140">
        <f>IF(U$13="","",IF($B101="","",IFERROR($C101*$D101*IF((Override!$C$4="ON")*(COUNTIFS(Override!$B$11:$B$40,$B101,Override!$D$11:$D$40,16,Override!$E$11:$E$40,"&gt;=0")-COUNTIFS(Override!$B$11:$B$40,$B101,Override!$D$11:$D$40,16,Override!$E$11:$E$40,"&gt;=0",Override!$C$11:$C$40,"MXAU"))&gt;0,SUMIFS(Override!$E$11:$E$40,Override!$B$11:$B$40,$B101,Override!$D$11:$D$40,16)-SUMIFS(Override!$E$11:$E$40,Override!$B$11:$B$40,$B101,Override!$D$11:$D$40,16,Override!$C$11:$C$40,"MXAU"),Override!$R$136)/AS51!$B$3,"")))</f>
        <v/>
      </c>
      <c r="W101" s="140">
        <f>IF(W$13="","",IF($B101="","",IFERROR(F101*$E101/100,"")))</f>
        <v/>
      </c>
      <c r="X101" s="140">
        <f>IF(X$13="","",IF($B101="","",IFERROR(G101*$E101/100,"")))</f>
        <v/>
      </c>
      <c r="Y101" s="140">
        <f>IF(Y$13="","",IF($B101="","",IFERROR(H101*$E101/100,"")))</f>
        <v/>
      </c>
      <c r="Z101" s="140">
        <f>IF(Z$13="","",IF($B101="","",IFERROR(I101*$E101/100,"")))</f>
        <v/>
      </c>
      <c r="AA101" s="140">
        <f>IF(AA$13="","",IF($B101="","",IFERROR(J101*$E101/100,"")))</f>
        <v/>
      </c>
      <c r="AB101" s="140">
        <f>IF(AB$13="","",IF($B101="","",IFERROR(K101*$E101/100,"")))</f>
        <v/>
      </c>
      <c r="AC101" s="140">
        <f>IF(AC$13="","",IF($B101="","",IFERROR(L101*$E101/100,"")))</f>
        <v/>
      </c>
      <c r="AD101" s="140">
        <f>IF(AD$13="","",IF($B101="","",IFERROR(M101*$E101/100,"")))</f>
        <v/>
      </c>
      <c r="AE101" s="140">
        <f>IF(AE$13="","",IF($B101="","",IFERROR(N101*$E101/100,"")))</f>
        <v/>
      </c>
      <c r="AF101" s="140">
        <f>IF(AF$13="","",IF($B101="","",IFERROR(O101*$E101/100,"")))</f>
        <v/>
      </c>
      <c r="AG101" s="140">
        <f>IF(AG$13="","",IF($B101="","",IFERROR(P101*$E101/100,"")))</f>
        <v/>
      </c>
      <c r="AH101" s="140">
        <f>IF(AH$13="","",IF($B101="","",IFERROR(Q101*$E101/100,"")))</f>
        <v/>
      </c>
      <c r="AI101" s="140">
        <f>IF(AI$13="","",IF($B101="","",IFERROR(R101*$E101/100,"")))</f>
        <v/>
      </c>
      <c r="AJ101" s="140">
        <f>IF(AJ$13="","",IF($B101="","",IFERROR(S101*$E101/100,"")))</f>
        <v/>
      </c>
      <c r="AK101" s="140">
        <f>IF(AK$13="","",IF($B101="","",IFERROR(T101*$E101/100,"")))</f>
        <v/>
      </c>
      <c r="AL101" s="140">
        <f>IF(AL$13="","",IF($B101="","",IFERROR(U101*$E101/100,"")))</f>
        <v/>
      </c>
      <c r="AN101" s="140">
        <f>IF($B101="","",SUMIF($F$13:$U$13,"&lt;="&amp;Sector!$D$51,$F101:$U101))</f>
        <v/>
      </c>
      <c r="AO101" s="140">
        <f>IF($B101="","",SUMIF($W$13:$AL$13,"&lt;="&amp;Sector!$D$51,$W101:$AL101))</f>
        <v/>
      </c>
    </row>
    <row r="102">
      <c r="B102" s="5">
        <f>IF(AS51!$C$92="","",AS51!$C$92)</f>
        <v/>
      </c>
      <c r="C102" s="90">
        <f>IF(AS51!$B$92="","",AS51!$B$92)</f>
        <v/>
      </c>
      <c r="D102" s="138">
        <f>IFERROR(AS51!$Q$92,1)</f>
        <v/>
      </c>
      <c r="E102" s="139">
        <f>IF($B102="","",IF(ISNUMBER(AS51!$I$92),AS51!$I$92,'Index Summary'!$C$7))</f>
        <v/>
      </c>
      <c r="F102" s="140">
        <f>IF(F$13="","",IF($B102="","",IFERROR($C102*$D102*IF((Override!$C$4="ON")*(COUNTIFS(Override!$B$11:$B$40,$B102,Override!$D$11:$D$40,1,Override!$E$11:$E$40,"&gt;=0")-COUNTIFS(Override!$B$11:$B$40,$B102,Override!$D$11:$D$40,1,Override!$E$11:$E$40,"&gt;=0",Override!$C$11:$C$40,"MXAU"))&gt;0,SUMIFS(Override!$E$11:$E$40,Override!$B$11:$B$40,$B102,Override!$D$11:$D$40,1)-SUMIFS(Override!$E$11:$E$40,Override!$B$11:$B$40,$B102,Override!$D$11:$D$40,1,Override!$C$11:$C$40,"MXAU"),Override!$C$137)/AS51!$B$3,"")))</f>
        <v/>
      </c>
      <c r="G102" s="140">
        <f>IF(G$13="","",IF($B102="","",IFERROR($C102*$D102*IF((Override!$C$4="ON")*(COUNTIFS(Override!$B$11:$B$40,$B102,Override!$D$11:$D$40,2,Override!$E$11:$E$40,"&gt;=0")-COUNTIFS(Override!$B$11:$B$40,$B102,Override!$D$11:$D$40,2,Override!$E$11:$E$40,"&gt;=0",Override!$C$11:$C$40,"MXAU"))&gt;0,SUMIFS(Override!$E$11:$E$40,Override!$B$11:$B$40,$B102,Override!$D$11:$D$40,2)-SUMIFS(Override!$E$11:$E$40,Override!$B$11:$B$40,$B102,Override!$D$11:$D$40,2,Override!$C$11:$C$40,"MXAU"),Override!$D$137)/AS51!$B$3,"")))</f>
        <v/>
      </c>
      <c r="H102" s="140">
        <f>IF(H$13="","",IF($B102="","",IFERROR($C102*$D102*IF((Override!$C$4="ON")*(COUNTIFS(Override!$B$11:$B$40,$B102,Override!$D$11:$D$40,3,Override!$E$11:$E$40,"&gt;=0")-COUNTIFS(Override!$B$11:$B$40,$B102,Override!$D$11:$D$40,3,Override!$E$11:$E$40,"&gt;=0",Override!$C$11:$C$40,"MXAU"))&gt;0,SUMIFS(Override!$E$11:$E$40,Override!$B$11:$B$40,$B102,Override!$D$11:$D$40,3)-SUMIFS(Override!$E$11:$E$40,Override!$B$11:$B$40,$B102,Override!$D$11:$D$40,3,Override!$C$11:$C$40,"MXAU"),Override!$E$137)/AS51!$B$3,"")))</f>
        <v/>
      </c>
      <c r="I102" s="140">
        <f>IF(I$13="","",IF($B102="","",IFERROR($C102*$D102*IF((Override!$C$4="ON")*(COUNTIFS(Override!$B$11:$B$40,$B102,Override!$D$11:$D$40,4,Override!$E$11:$E$40,"&gt;=0")-COUNTIFS(Override!$B$11:$B$40,$B102,Override!$D$11:$D$40,4,Override!$E$11:$E$40,"&gt;=0",Override!$C$11:$C$40,"MXAU"))&gt;0,SUMIFS(Override!$E$11:$E$40,Override!$B$11:$B$40,$B102,Override!$D$11:$D$40,4)-SUMIFS(Override!$E$11:$E$40,Override!$B$11:$B$40,$B102,Override!$D$11:$D$40,4,Override!$C$11:$C$40,"MXAU"),Override!$F$137)/AS51!$B$3,"")))</f>
        <v/>
      </c>
      <c r="J102" s="140">
        <f>IF(J$13="","",IF($B102="","",IFERROR($C102*$D102*IF((Override!$C$4="ON")*(COUNTIFS(Override!$B$11:$B$40,$B102,Override!$D$11:$D$40,5,Override!$E$11:$E$40,"&gt;=0")-COUNTIFS(Override!$B$11:$B$40,$B102,Override!$D$11:$D$40,5,Override!$E$11:$E$40,"&gt;=0",Override!$C$11:$C$40,"MXAU"))&gt;0,SUMIFS(Override!$E$11:$E$40,Override!$B$11:$B$40,$B102,Override!$D$11:$D$40,5)-SUMIFS(Override!$E$11:$E$40,Override!$B$11:$B$40,$B102,Override!$D$11:$D$40,5,Override!$C$11:$C$40,"MXAU"),Override!$G$137)/AS51!$B$3,"")))</f>
        <v/>
      </c>
      <c r="K102" s="140">
        <f>IF(K$13="","",IF($B102="","",IFERROR($C102*$D102*IF((Override!$C$4="ON")*(COUNTIFS(Override!$B$11:$B$40,$B102,Override!$D$11:$D$40,6,Override!$E$11:$E$40,"&gt;=0")-COUNTIFS(Override!$B$11:$B$40,$B102,Override!$D$11:$D$40,6,Override!$E$11:$E$40,"&gt;=0",Override!$C$11:$C$40,"MXAU"))&gt;0,SUMIFS(Override!$E$11:$E$40,Override!$B$11:$B$40,$B102,Override!$D$11:$D$40,6)-SUMIFS(Override!$E$11:$E$40,Override!$B$11:$B$40,$B102,Override!$D$11:$D$40,6,Override!$C$11:$C$40,"MXAU"),Override!$H$137)/AS51!$B$3,"")))</f>
        <v/>
      </c>
      <c r="L102" s="140">
        <f>IF(L$13="","",IF($B102="","",IFERROR($C102*$D102*IF((Override!$C$4="ON")*(COUNTIFS(Override!$B$11:$B$40,$B102,Override!$D$11:$D$40,7,Override!$E$11:$E$40,"&gt;=0")-COUNTIFS(Override!$B$11:$B$40,$B102,Override!$D$11:$D$40,7,Override!$E$11:$E$40,"&gt;=0",Override!$C$11:$C$40,"MXAU"))&gt;0,SUMIFS(Override!$E$11:$E$40,Override!$B$11:$B$40,$B102,Override!$D$11:$D$40,7)-SUMIFS(Override!$E$11:$E$40,Override!$B$11:$B$40,$B102,Override!$D$11:$D$40,7,Override!$C$11:$C$40,"MXAU"),Override!$I$137)/AS51!$B$3,"")))</f>
        <v/>
      </c>
      <c r="M102" s="140">
        <f>IF(M$13="","",IF($B102="","",IFERROR($C102*$D102*IF((Override!$C$4="ON")*(COUNTIFS(Override!$B$11:$B$40,$B102,Override!$D$11:$D$40,8,Override!$E$11:$E$40,"&gt;=0")-COUNTIFS(Override!$B$11:$B$40,$B102,Override!$D$11:$D$40,8,Override!$E$11:$E$40,"&gt;=0",Override!$C$11:$C$40,"MXAU"))&gt;0,SUMIFS(Override!$E$11:$E$40,Override!$B$11:$B$40,$B102,Override!$D$11:$D$40,8)-SUMIFS(Override!$E$11:$E$40,Override!$B$11:$B$40,$B102,Override!$D$11:$D$40,8,Override!$C$11:$C$40,"MXAU"),Override!$J$137)/AS51!$B$3,"")))</f>
        <v/>
      </c>
      <c r="N102" s="140">
        <f>IF(N$13="","",IF($B102="","",IFERROR($C102*$D102*IF((Override!$C$4="ON")*(COUNTIFS(Override!$B$11:$B$40,$B102,Override!$D$11:$D$40,9,Override!$E$11:$E$40,"&gt;=0")-COUNTIFS(Override!$B$11:$B$40,$B102,Override!$D$11:$D$40,9,Override!$E$11:$E$40,"&gt;=0",Override!$C$11:$C$40,"MXAU"))&gt;0,SUMIFS(Override!$E$11:$E$40,Override!$B$11:$B$40,$B102,Override!$D$11:$D$40,9)-SUMIFS(Override!$E$11:$E$40,Override!$B$11:$B$40,$B102,Override!$D$11:$D$40,9,Override!$C$11:$C$40,"MXAU"),Override!$K$137)/AS51!$B$3,"")))</f>
        <v/>
      </c>
      <c r="O102" s="140">
        <f>IF(O$13="","",IF($B102="","",IFERROR($C102*$D102*IF((Override!$C$4="ON")*(COUNTIFS(Override!$B$11:$B$40,$B102,Override!$D$11:$D$40,10,Override!$E$11:$E$40,"&gt;=0")-COUNTIFS(Override!$B$11:$B$40,$B102,Override!$D$11:$D$40,10,Override!$E$11:$E$40,"&gt;=0",Override!$C$11:$C$40,"MXAU"))&gt;0,SUMIFS(Override!$E$11:$E$40,Override!$B$11:$B$40,$B102,Override!$D$11:$D$40,10)-SUMIFS(Override!$E$11:$E$40,Override!$B$11:$B$40,$B102,Override!$D$11:$D$40,10,Override!$C$11:$C$40,"MXAU"),Override!$L$137)/AS51!$B$3,"")))</f>
        <v/>
      </c>
      <c r="P102" s="140">
        <f>IF(P$13="","",IF($B102="","",IFERROR($C102*$D102*IF((Override!$C$4="ON")*(COUNTIFS(Override!$B$11:$B$40,$B102,Override!$D$11:$D$40,11,Override!$E$11:$E$40,"&gt;=0")-COUNTIFS(Override!$B$11:$B$40,$B102,Override!$D$11:$D$40,11,Override!$E$11:$E$40,"&gt;=0",Override!$C$11:$C$40,"MXAU"))&gt;0,SUMIFS(Override!$E$11:$E$40,Override!$B$11:$B$40,$B102,Override!$D$11:$D$40,11)-SUMIFS(Override!$E$11:$E$40,Override!$B$11:$B$40,$B102,Override!$D$11:$D$40,11,Override!$C$11:$C$40,"MXAU"),Override!$M$137)/AS51!$B$3,"")))</f>
        <v/>
      </c>
      <c r="Q102" s="140">
        <f>IF(Q$13="","",IF($B102="","",IFERROR($C102*$D102*IF((Override!$C$4="ON")*(COUNTIFS(Override!$B$11:$B$40,$B102,Override!$D$11:$D$40,12,Override!$E$11:$E$40,"&gt;=0")-COUNTIFS(Override!$B$11:$B$40,$B102,Override!$D$11:$D$40,12,Override!$E$11:$E$40,"&gt;=0",Override!$C$11:$C$40,"MXAU"))&gt;0,SUMIFS(Override!$E$11:$E$40,Override!$B$11:$B$40,$B102,Override!$D$11:$D$40,12)-SUMIFS(Override!$E$11:$E$40,Override!$B$11:$B$40,$B102,Override!$D$11:$D$40,12,Override!$C$11:$C$40,"MXAU"),Override!$N$137)/AS51!$B$3,"")))</f>
        <v/>
      </c>
      <c r="R102" s="140">
        <f>IF(R$13="","",IF($B102="","",IFERROR($C102*$D102*IF((Override!$C$4="ON")*(COUNTIFS(Override!$B$11:$B$40,$B102,Override!$D$11:$D$40,13,Override!$E$11:$E$40,"&gt;=0")-COUNTIFS(Override!$B$11:$B$40,$B102,Override!$D$11:$D$40,13,Override!$E$11:$E$40,"&gt;=0",Override!$C$11:$C$40,"MXAU"))&gt;0,SUMIFS(Override!$E$11:$E$40,Override!$B$11:$B$40,$B102,Override!$D$11:$D$40,13)-SUMIFS(Override!$E$11:$E$40,Override!$B$11:$B$40,$B102,Override!$D$11:$D$40,13,Override!$C$11:$C$40,"MXAU"),Override!$O$137)/AS51!$B$3,"")))</f>
        <v/>
      </c>
      <c r="S102" s="140">
        <f>IF(S$13="","",IF($B102="","",IFERROR($C102*$D102*IF((Override!$C$4="ON")*(COUNTIFS(Override!$B$11:$B$40,$B102,Override!$D$11:$D$40,14,Override!$E$11:$E$40,"&gt;=0")-COUNTIFS(Override!$B$11:$B$40,$B102,Override!$D$11:$D$40,14,Override!$E$11:$E$40,"&gt;=0",Override!$C$11:$C$40,"MXAU"))&gt;0,SUMIFS(Override!$E$11:$E$40,Override!$B$11:$B$40,$B102,Override!$D$11:$D$40,14)-SUMIFS(Override!$E$11:$E$40,Override!$B$11:$B$40,$B102,Override!$D$11:$D$40,14,Override!$C$11:$C$40,"MXAU"),Override!$P$137)/AS51!$B$3,"")))</f>
        <v/>
      </c>
      <c r="T102" s="140">
        <f>IF(T$13="","",IF($B102="","",IFERROR($C102*$D102*IF((Override!$C$4="ON")*(COUNTIFS(Override!$B$11:$B$40,$B102,Override!$D$11:$D$40,15,Override!$E$11:$E$40,"&gt;=0")-COUNTIFS(Override!$B$11:$B$40,$B102,Override!$D$11:$D$40,15,Override!$E$11:$E$40,"&gt;=0",Override!$C$11:$C$40,"MXAU"))&gt;0,SUMIFS(Override!$E$11:$E$40,Override!$B$11:$B$40,$B102,Override!$D$11:$D$40,15)-SUMIFS(Override!$E$11:$E$40,Override!$B$11:$B$40,$B102,Override!$D$11:$D$40,15,Override!$C$11:$C$40,"MXAU"),Override!$Q$137)/AS51!$B$3,"")))</f>
        <v/>
      </c>
      <c r="U102" s="140">
        <f>IF(U$13="","",IF($B102="","",IFERROR($C102*$D102*IF((Override!$C$4="ON")*(COUNTIFS(Override!$B$11:$B$40,$B102,Override!$D$11:$D$40,16,Override!$E$11:$E$40,"&gt;=0")-COUNTIFS(Override!$B$11:$B$40,$B102,Override!$D$11:$D$40,16,Override!$E$11:$E$40,"&gt;=0",Override!$C$11:$C$40,"MXAU"))&gt;0,SUMIFS(Override!$E$11:$E$40,Override!$B$11:$B$40,$B102,Override!$D$11:$D$40,16)-SUMIFS(Override!$E$11:$E$40,Override!$B$11:$B$40,$B102,Override!$D$11:$D$40,16,Override!$C$11:$C$40,"MXAU"),Override!$R$137)/AS51!$B$3,"")))</f>
        <v/>
      </c>
      <c r="W102" s="140">
        <f>IF(W$13="","",IF($B102="","",IFERROR(F102*$E102/100,"")))</f>
        <v/>
      </c>
      <c r="X102" s="140">
        <f>IF(X$13="","",IF($B102="","",IFERROR(G102*$E102/100,"")))</f>
        <v/>
      </c>
      <c r="Y102" s="140">
        <f>IF(Y$13="","",IF($B102="","",IFERROR(H102*$E102/100,"")))</f>
        <v/>
      </c>
      <c r="Z102" s="140">
        <f>IF(Z$13="","",IF($B102="","",IFERROR(I102*$E102/100,"")))</f>
        <v/>
      </c>
      <c r="AA102" s="140">
        <f>IF(AA$13="","",IF($B102="","",IFERROR(J102*$E102/100,"")))</f>
        <v/>
      </c>
      <c r="AB102" s="140">
        <f>IF(AB$13="","",IF($B102="","",IFERROR(K102*$E102/100,"")))</f>
        <v/>
      </c>
      <c r="AC102" s="140">
        <f>IF(AC$13="","",IF($B102="","",IFERROR(L102*$E102/100,"")))</f>
        <v/>
      </c>
      <c r="AD102" s="140">
        <f>IF(AD$13="","",IF($B102="","",IFERROR(M102*$E102/100,"")))</f>
        <v/>
      </c>
      <c r="AE102" s="140">
        <f>IF(AE$13="","",IF($B102="","",IFERROR(N102*$E102/100,"")))</f>
        <v/>
      </c>
      <c r="AF102" s="140">
        <f>IF(AF$13="","",IF($B102="","",IFERROR(O102*$E102/100,"")))</f>
        <v/>
      </c>
      <c r="AG102" s="140">
        <f>IF(AG$13="","",IF($B102="","",IFERROR(P102*$E102/100,"")))</f>
        <v/>
      </c>
      <c r="AH102" s="140">
        <f>IF(AH$13="","",IF($B102="","",IFERROR(Q102*$E102/100,"")))</f>
        <v/>
      </c>
      <c r="AI102" s="140">
        <f>IF(AI$13="","",IF($B102="","",IFERROR(R102*$E102/100,"")))</f>
        <v/>
      </c>
      <c r="AJ102" s="140">
        <f>IF(AJ$13="","",IF($B102="","",IFERROR(S102*$E102/100,"")))</f>
        <v/>
      </c>
      <c r="AK102" s="140">
        <f>IF(AK$13="","",IF($B102="","",IFERROR(T102*$E102/100,"")))</f>
        <v/>
      </c>
      <c r="AL102" s="140">
        <f>IF(AL$13="","",IF($B102="","",IFERROR(U102*$E102/100,"")))</f>
        <v/>
      </c>
      <c r="AN102" s="140">
        <f>IF($B102="","",SUMIF($F$13:$U$13,"&lt;="&amp;Sector!$D$51,$F102:$U102))</f>
        <v/>
      </c>
      <c r="AO102" s="140">
        <f>IF($B102="","",SUMIF($W$13:$AL$13,"&lt;="&amp;Sector!$D$51,$W102:$AL102))</f>
        <v/>
      </c>
    </row>
    <row r="103">
      <c r="B103" s="5">
        <f>IF(AS51!$C$93="","",AS51!$C$93)</f>
        <v/>
      </c>
      <c r="C103" s="90">
        <f>IF(AS51!$B$93="","",AS51!$B$93)</f>
        <v/>
      </c>
      <c r="D103" s="138">
        <f>IFERROR(AS51!$Q$93,1)</f>
        <v/>
      </c>
      <c r="E103" s="139">
        <f>IF($B103="","",IF(ISNUMBER(AS51!$I$93),AS51!$I$93,'Index Summary'!$C$7))</f>
        <v/>
      </c>
      <c r="F103" s="140">
        <f>IF(F$13="","",IF($B103="","",IFERROR($C103*$D103*IF((Override!$C$4="ON")*(COUNTIFS(Override!$B$11:$B$40,$B103,Override!$D$11:$D$40,1,Override!$E$11:$E$40,"&gt;=0")-COUNTIFS(Override!$B$11:$B$40,$B103,Override!$D$11:$D$40,1,Override!$E$11:$E$40,"&gt;=0",Override!$C$11:$C$40,"MXAU"))&gt;0,SUMIFS(Override!$E$11:$E$40,Override!$B$11:$B$40,$B103,Override!$D$11:$D$40,1)-SUMIFS(Override!$E$11:$E$40,Override!$B$11:$B$40,$B103,Override!$D$11:$D$40,1,Override!$C$11:$C$40,"MXAU"),Override!$C$138)/AS51!$B$3,"")))</f>
        <v/>
      </c>
      <c r="G103" s="140">
        <f>IF(G$13="","",IF($B103="","",IFERROR($C103*$D103*IF((Override!$C$4="ON")*(COUNTIFS(Override!$B$11:$B$40,$B103,Override!$D$11:$D$40,2,Override!$E$11:$E$40,"&gt;=0")-COUNTIFS(Override!$B$11:$B$40,$B103,Override!$D$11:$D$40,2,Override!$E$11:$E$40,"&gt;=0",Override!$C$11:$C$40,"MXAU"))&gt;0,SUMIFS(Override!$E$11:$E$40,Override!$B$11:$B$40,$B103,Override!$D$11:$D$40,2)-SUMIFS(Override!$E$11:$E$40,Override!$B$11:$B$40,$B103,Override!$D$11:$D$40,2,Override!$C$11:$C$40,"MXAU"),Override!$D$138)/AS51!$B$3,"")))</f>
        <v/>
      </c>
      <c r="H103" s="140">
        <f>IF(H$13="","",IF($B103="","",IFERROR($C103*$D103*IF((Override!$C$4="ON")*(COUNTIFS(Override!$B$11:$B$40,$B103,Override!$D$11:$D$40,3,Override!$E$11:$E$40,"&gt;=0")-COUNTIFS(Override!$B$11:$B$40,$B103,Override!$D$11:$D$40,3,Override!$E$11:$E$40,"&gt;=0",Override!$C$11:$C$40,"MXAU"))&gt;0,SUMIFS(Override!$E$11:$E$40,Override!$B$11:$B$40,$B103,Override!$D$11:$D$40,3)-SUMIFS(Override!$E$11:$E$40,Override!$B$11:$B$40,$B103,Override!$D$11:$D$40,3,Override!$C$11:$C$40,"MXAU"),Override!$E$138)/AS51!$B$3,"")))</f>
        <v/>
      </c>
      <c r="I103" s="140">
        <f>IF(I$13="","",IF($B103="","",IFERROR($C103*$D103*IF((Override!$C$4="ON")*(COUNTIFS(Override!$B$11:$B$40,$B103,Override!$D$11:$D$40,4,Override!$E$11:$E$40,"&gt;=0")-COUNTIFS(Override!$B$11:$B$40,$B103,Override!$D$11:$D$40,4,Override!$E$11:$E$40,"&gt;=0",Override!$C$11:$C$40,"MXAU"))&gt;0,SUMIFS(Override!$E$11:$E$40,Override!$B$11:$B$40,$B103,Override!$D$11:$D$40,4)-SUMIFS(Override!$E$11:$E$40,Override!$B$11:$B$40,$B103,Override!$D$11:$D$40,4,Override!$C$11:$C$40,"MXAU"),Override!$F$138)/AS51!$B$3,"")))</f>
        <v/>
      </c>
      <c r="J103" s="140">
        <f>IF(J$13="","",IF($B103="","",IFERROR($C103*$D103*IF((Override!$C$4="ON")*(COUNTIFS(Override!$B$11:$B$40,$B103,Override!$D$11:$D$40,5,Override!$E$11:$E$40,"&gt;=0")-COUNTIFS(Override!$B$11:$B$40,$B103,Override!$D$11:$D$40,5,Override!$E$11:$E$40,"&gt;=0",Override!$C$11:$C$40,"MXAU"))&gt;0,SUMIFS(Override!$E$11:$E$40,Override!$B$11:$B$40,$B103,Override!$D$11:$D$40,5)-SUMIFS(Override!$E$11:$E$40,Override!$B$11:$B$40,$B103,Override!$D$11:$D$40,5,Override!$C$11:$C$40,"MXAU"),Override!$G$138)/AS51!$B$3,"")))</f>
        <v/>
      </c>
      <c r="K103" s="140">
        <f>IF(K$13="","",IF($B103="","",IFERROR($C103*$D103*IF((Override!$C$4="ON")*(COUNTIFS(Override!$B$11:$B$40,$B103,Override!$D$11:$D$40,6,Override!$E$11:$E$40,"&gt;=0")-COUNTIFS(Override!$B$11:$B$40,$B103,Override!$D$11:$D$40,6,Override!$E$11:$E$40,"&gt;=0",Override!$C$11:$C$40,"MXAU"))&gt;0,SUMIFS(Override!$E$11:$E$40,Override!$B$11:$B$40,$B103,Override!$D$11:$D$40,6)-SUMIFS(Override!$E$11:$E$40,Override!$B$11:$B$40,$B103,Override!$D$11:$D$40,6,Override!$C$11:$C$40,"MXAU"),Override!$H$138)/AS51!$B$3,"")))</f>
        <v/>
      </c>
      <c r="L103" s="140">
        <f>IF(L$13="","",IF($B103="","",IFERROR($C103*$D103*IF((Override!$C$4="ON")*(COUNTIFS(Override!$B$11:$B$40,$B103,Override!$D$11:$D$40,7,Override!$E$11:$E$40,"&gt;=0")-COUNTIFS(Override!$B$11:$B$40,$B103,Override!$D$11:$D$40,7,Override!$E$11:$E$40,"&gt;=0",Override!$C$11:$C$40,"MXAU"))&gt;0,SUMIFS(Override!$E$11:$E$40,Override!$B$11:$B$40,$B103,Override!$D$11:$D$40,7)-SUMIFS(Override!$E$11:$E$40,Override!$B$11:$B$40,$B103,Override!$D$11:$D$40,7,Override!$C$11:$C$40,"MXAU"),Override!$I$138)/AS51!$B$3,"")))</f>
        <v/>
      </c>
      <c r="M103" s="140">
        <f>IF(M$13="","",IF($B103="","",IFERROR($C103*$D103*IF((Override!$C$4="ON")*(COUNTIFS(Override!$B$11:$B$40,$B103,Override!$D$11:$D$40,8,Override!$E$11:$E$40,"&gt;=0")-COUNTIFS(Override!$B$11:$B$40,$B103,Override!$D$11:$D$40,8,Override!$E$11:$E$40,"&gt;=0",Override!$C$11:$C$40,"MXAU"))&gt;0,SUMIFS(Override!$E$11:$E$40,Override!$B$11:$B$40,$B103,Override!$D$11:$D$40,8)-SUMIFS(Override!$E$11:$E$40,Override!$B$11:$B$40,$B103,Override!$D$11:$D$40,8,Override!$C$11:$C$40,"MXAU"),Override!$J$138)/AS51!$B$3,"")))</f>
        <v/>
      </c>
      <c r="N103" s="140">
        <f>IF(N$13="","",IF($B103="","",IFERROR($C103*$D103*IF((Override!$C$4="ON")*(COUNTIFS(Override!$B$11:$B$40,$B103,Override!$D$11:$D$40,9,Override!$E$11:$E$40,"&gt;=0")-COUNTIFS(Override!$B$11:$B$40,$B103,Override!$D$11:$D$40,9,Override!$E$11:$E$40,"&gt;=0",Override!$C$11:$C$40,"MXAU"))&gt;0,SUMIFS(Override!$E$11:$E$40,Override!$B$11:$B$40,$B103,Override!$D$11:$D$40,9)-SUMIFS(Override!$E$11:$E$40,Override!$B$11:$B$40,$B103,Override!$D$11:$D$40,9,Override!$C$11:$C$40,"MXAU"),Override!$K$138)/AS51!$B$3,"")))</f>
        <v/>
      </c>
      <c r="O103" s="140">
        <f>IF(O$13="","",IF($B103="","",IFERROR($C103*$D103*IF((Override!$C$4="ON")*(COUNTIFS(Override!$B$11:$B$40,$B103,Override!$D$11:$D$40,10,Override!$E$11:$E$40,"&gt;=0")-COUNTIFS(Override!$B$11:$B$40,$B103,Override!$D$11:$D$40,10,Override!$E$11:$E$40,"&gt;=0",Override!$C$11:$C$40,"MXAU"))&gt;0,SUMIFS(Override!$E$11:$E$40,Override!$B$11:$B$40,$B103,Override!$D$11:$D$40,10)-SUMIFS(Override!$E$11:$E$40,Override!$B$11:$B$40,$B103,Override!$D$11:$D$40,10,Override!$C$11:$C$40,"MXAU"),Override!$L$138)/AS51!$B$3,"")))</f>
        <v/>
      </c>
      <c r="P103" s="140">
        <f>IF(P$13="","",IF($B103="","",IFERROR($C103*$D103*IF((Override!$C$4="ON")*(COUNTIFS(Override!$B$11:$B$40,$B103,Override!$D$11:$D$40,11,Override!$E$11:$E$40,"&gt;=0")-COUNTIFS(Override!$B$11:$B$40,$B103,Override!$D$11:$D$40,11,Override!$E$11:$E$40,"&gt;=0",Override!$C$11:$C$40,"MXAU"))&gt;0,SUMIFS(Override!$E$11:$E$40,Override!$B$11:$B$40,$B103,Override!$D$11:$D$40,11)-SUMIFS(Override!$E$11:$E$40,Override!$B$11:$B$40,$B103,Override!$D$11:$D$40,11,Override!$C$11:$C$40,"MXAU"),Override!$M$138)/AS51!$B$3,"")))</f>
        <v/>
      </c>
      <c r="Q103" s="140">
        <f>IF(Q$13="","",IF($B103="","",IFERROR($C103*$D103*IF((Override!$C$4="ON")*(COUNTIFS(Override!$B$11:$B$40,$B103,Override!$D$11:$D$40,12,Override!$E$11:$E$40,"&gt;=0")-COUNTIFS(Override!$B$11:$B$40,$B103,Override!$D$11:$D$40,12,Override!$E$11:$E$40,"&gt;=0",Override!$C$11:$C$40,"MXAU"))&gt;0,SUMIFS(Override!$E$11:$E$40,Override!$B$11:$B$40,$B103,Override!$D$11:$D$40,12)-SUMIFS(Override!$E$11:$E$40,Override!$B$11:$B$40,$B103,Override!$D$11:$D$40,12,Override!$C$11:$C$40,"MXAU"),Override!$N$138)/AS51!$B$3,"")))</f>
        <v/>
      </c>
      <c r="R103" s="140">
        <f>IF(R$13="","",IF($B103="","",IFERROR($C103*$D103*IF((Override!$C$4="ON")*(COUNTIFS(Override!$B$11:$B$40,$B103,Override!$D$11:$D$40,13,Override!$E$11:$E$40,"&gt;=0")-COUNTIFS(Override!$B$11:$B$40,$B103,Override!$D$11:$D$40,13,Override!$E$11:$E$40,"&gt;=0",Override!$C$11:$C$40,"MXAU"))&gt;0,SUMIFS(Override!$E$11:$E$40,Override!$B$11:$B$40,$B103,Override!$D$11:$D$40,13)-SUMIFS(Override!$E$11:$E$40,Override!$B$11:$B$40,$B103,Override!$D$11:$D$40,13,Override!$C$11:$C$40,"MXAU"),Override!$O$138)/AS51!$B$3,"")))</f>
        <v/>
      </c>
      <c r="S103" s="140">
        <f>IF(S$13="","",IF($B103="","",IFERROR($C103*$D103*IF((Override!$C$4="ON")*(COUNTIFS(Override!$B$11:$B$40,$B103,Override!$D$11:$D$40,14,Override!$E$11:$E$40,"&gt;=0")-COUNTIFS(Override!$B$11:$B$40,$B103,Override!$D$11:$D$40,14,Override!$E$11:$E$40,"&gt;=0",Override!$C$11:$C$40,"MXAU"))&gt;0,SUMIFS(Override!$E$11:$E$40,Override!$B$11:$B$40,$B103,Override!$D$11:$D$40,14)-SUMIFS(Override!$E$11:$E$40,Override!$B$11:$B$40,$B103,Override!$D$11:$D$40,14,Override!$C$11:$C$40,"MXAU"),Override!$P$138)/AS51!$B$3,"")))</f>
        <v/>
      </c>
      <c r="T103" s="140">
        <f>IF(T$13="","",IF($B103="","",IFERROR($C103*$D103*IF((Override!$C$4="ON")*(COUNTIFS(Override!$B$11:$B$40,$B103,Override!$D$11:$D$40,15,Override!$E$11:$E$40,"&gt;=0")-COUNTIFS(Override!$B$11:$B$40,$B103,Override!$D$11:$D$40,15,Override!$E$11:$E$40,"&gt;=0",Override!$C$11:$C$40,"MXAU"))&gt;0,SUMIFS(Override!$E$11:$E$40,Override!$B$11:$B$40,$B103,Override!$D$11:$D$40,15)-SUMIFS(Override!$E$11:$E$40,Override!$B$11:$B$40,$B103,Override!$D$11:$D$40,15,Override!$C$11:$C$40,"MXAU"),Override!$Q$138)/AS51!$B$3,"")))</f>
        <v/>
      </c>
      <c r="U103" s="140">
        <f>IF(U$13="","",IF($B103="","",IFERROR($C103*$D103*IF((Override!$C$4="ON")*(COUNTIFS(Override!$B$11:$B$40,$B103,Override!$D$11:$D$40,16,Override!$E$11:$E$40,"&gt;=0")-COUNTIFS(Override!$B$11:$B$40,$B103,Override!$D$11:$D$40,16,Override!$E$11:$E$40,"&gt;=0",Override!$C$11:$C$40,"MXAU"))&gt;0,SUMIFS(Override!$E$11:$E$40,Override!$B$11:$B$40,$B103,Override!$D$11:$D$40,16)-SUMIFS(Override!$E$11:$E$40,Override!$B$11:$B$40,$B103,Override!$D$11:$D$40,16,Override!$C$11:$C$40,"MXAU"),Override!$R$138)/AS51!$B$3,"")))</f>
        <v/>
      </c>
      <c r="W103" s="140">
        <f>IF(W$13="","",IF($B103="","",IFERROR(F103*$E103/100,"")))</f>
        <v/>
      </c>
      <c r="X103" s="140">
        <f>IF(X$13="","",IF($B103="","",IFERROR(G103*$E103/100,"")))</f>
        <v/>
      </c>
      <c r="Y103" s="140">
        <f>IF(Y$13="","",IF($B103="","",IFERROR(H103*$E103/100,"")))</f>
        <v/>
      </c>
      <c r="Z103" s="140">
        <f>IF(Z$13="","",IF($B103="","",IFERROR(I103*$E103/100,"")))</f>
        <v/>
      </c>
      <c r="AA103" s="140">
        <f>IF(AA$13="","",IF($B103="","",IFERROR(J103*$E103/100,"")))</f>
        <v/>
      </c>
      <c r="AB103" s="140">
        <f>IF(AB$13="","",IF($B103="","",IFERROR(K103*$E103/100,"")))</f>
        <v/>
      </c>
      <c r="AC103" s="140">
        <f>IF(AC$13="","",IF($B103="","",IFERROR(L103*$E103/100,"")))</f>
        <v/>
      </c>
      <c r="AD103" s="140">
        <f>IF(AD$13="","",IF($B103="","",IFERROR(M103*$E103/100,"")))</f>
        <v/>
      </c>
      <c r="AE103" s="140">
        <f>IF(AE$13="","",IF($B103="","",IFERROR(N103*$E103/100,"")))</f>
        <v/>
      </c>
      <c r="AF103" s="140">
        <f>IF(AF$13="","",IF($B103="","",IFERROR(O103*$E103/100,"")))</f>
        <v/>
      </c>
      <c r="AG103" s="140">
        <f>IF(AG$13="","",IF($B103="","",IFERROR(P103*$E103/100,"")))</f>
        <v/>
      </c>
      <c r="AH103" s="140">
        <f>IF(AH$13="","",IF($B103="","",IFERROR(Q103*$E103/100,"")))</f>
        <v/>
      </c>
      <c r="AI103" s="140">
        <f>IF(AI$13="","",IF($B103="","",IFERROR(R103*$E103/100,"")))</f>
        <v/>
      </c>
      <c r="AJ103" s="140">
        <f>IF(AJ$13="","",IF($B103="","",IFERROR(S103*$E103/100,"")))</f>
        <v/>
      </c>
      <c r="AK103" s="140">
        <f>IF(AK$13="","",IF($B103="","",IFERROR(T103*$E103/100,"")))</f>
        <v/>
      </c>
      <c r="AL103" s="140">
        <f>IF(AL$13="","",IF($B103="","",IFERROR(U103*$E103/100,"")))</f>
        <v/>
      </c>
      <c r="AN103" s="140">
        <f>IF($B103="","",SUMIF($F$13:$U$13,"&lt;="&amp;Sector!$D$51,$F103:$U103))</f>
        <v/>
      </c>
      <c r="AO103" s="140">
        <f>IF($B103="","",SUMIF($W$13:$AL$13,"&lt;="&amp;Sector!$D$51,$W103:$AL103))</f>
        <v/>
      </c>
    </row>
    <row r="104">
      <c r="B104" s="5">
        <f>IF(AS51!$C$94="","",AS51!$C$94)</f>
        <v/>
      </c>
      <c r="C104" s="90">
        <f>IF(AS51!$B$94="","",AS51!$B$94)</f>
        <v/>
      </c>
      <c r="D104" s="138">
        <f>IFERROR(AS51!$Q$94,1)</f>
        <v/>
      </c>
      <c r="E104" s="139">
        <f>IF($B104="","",IF(ISNUMBER(AS51!$I$94),AS51!$I$94,'Index Summary'!$C$7))</f>
        <v/>
      </c>
      <c r="F104" s="140">
        <f>IF(F$13="","",IF($B104="","",IFERROR($C104*$D104*IF((Override!$C$4="ON")*(COUNTIFS(Override!$B$11:$B$40,$B104,Override!$D$11:$D$40,1,Override!$E$11:$E$40,"&gt;=0")-COUNTIFS(Override!$B$11:$B$40,$B104,Override!$D$11:$D$40,1,Override!$E$11:$E$40,"&gt;=0",Override!$C$11:$C$40,"MXAU"))&gt;0,SUMIFS(Override!$E$11:$E$40,Override!$B$11:$B$40,$B104,Override!$D$11:$D$40,1)-SUMIFS(Override!$E$11:$E$40,Override!$B$11:$B$40,$B104,Override!$D$11:$D$40,1,Override!$C$11:$C$40,"MXAU"),Override!$C$139)/AS51!$B$3,"")))</f>
        <v/>
      </c>
      <c r="G104" s="140">
        <f>IF(G$13="","",IF($B104="","",IFERROR($C104*$D104*IF((Override!$C$4="ON")*(COUNTIFS(Override!$B$11:$B$40,$B104,Override!$D$11:$D$40,2,Override!$E$11:$E$40,"&gt;=0")-COUNTIFS(Override!$B$11:$B$40,$B104,Override!$D$11:$D$40,2,Override!$E$11:$E$40,"&gt;=0",Override!$C$11:$C$40,"MXAU"))&gt;0,SUMIFS(Override!$E$11:$E$40,Override!$B$11:$B$40,$B104,Override!$D$11:$D$40,2)-SUMIFS(Override!$E$11:$E$40,Override!$B$11:$B$40,$B104,Override!$D$11:$D$40,2,Override!$C$11:$C$40,"MXAU"),Override!$D$139)/AS51!$B$3,"")))</f>
        <v/>
      </c>
      <c r="H104" s="140">
        <f>IF(H$13="","",IF($B104="","",IFERROR($C104*$D104*IF((Override!$C$4="ON")*(COUNTIFS(Override!$B$11:$B$40,$B104,Override!$D$11:$D$40,3,Override!$E$11:$E$40,"&gt;=0")-COUNTIFS(Override!$B$11:$B$40,$B104,Override!$D$11:$D$40,3,Override!$E$11:$E$40,"&gt;=0",Override!$C$11:$C$40,"MXAU"))&gt;0,SUMIFS(Override!$E$11:$E$40,Override!$B$11:$B$40,$B104,Override!$D$11:$D$40,3)-SUMIFS(Override!$E$11:$E$40,Override!$B$11:$B$40,$B104,Override!$D$11:$D$40,3,Override!$C$11:$C$40,"MXAU"),Override!$E$139)/AS51!$B$3,"")))</f>
        <v/>
      </c>
      <c r="I104" s="140">
        <f>IF(I$13="","",IF($B104="","",IFERROR($C104*$D104*IF((Override!$C$4="ON")*(COUNTIFS(Override!$B$11:$B$40,$B104,Override!$D$11:$D$40,4,Override!$E$11:$E$40,"&gt;=0")-COUNTIFS(Override!$B$11:$B$40,$B104,Override!$D$11:$D$40,4,Override!$E$11:$E$40,"&gt;=0",Override!$C$11:$C$40,"MXAU"))&gt;0,SUMIFS(Override!$E$11:$E$40,Override!$B$11:$B$40,$B104,Override!$D$11:$D$40,4)-SUMIFS(Override!$E$11:$E$40,Override!$B$11:$B$40,$B104,Override!$D$11:$D$40,4,Override!$C$11:$C$40,"MXAU"),Override!$F$139)/AS51!$B$3,"")))</f>
        <v/>
      </c>
      <c r="J104" s="140">
        <f>IF(J$13="","",IF($B104="","",IFERROR($C104*$D104*IF((Override!$C$4="ON")*(COUNTIFS(Override!$B$11:$B$40,$B104,Override!$D$11:$D$40,5,Override!$E$11:$E$40,"&gt;=0")-COUNTIFS(Override!$B$11:$B$40,$B104,Override!$D$11:$D$40,5,Override!$E$11:$E$40,"&gt;=0",Override!$C$11:$C$40,"MXAU"))&gt;0,SUMIFS(Override!$E$11:$E$40,Override!$B$11:$B$40,$B104,Override!$D$11:$D$40,5)-SUMIFS(Override!$E$11:$E$40,Override!$B$11:$B$40,$B104,Override!$D$11:$D$40,5,Override!$C$11:$C$40,"MXAU"),Override!$G$139)/AS51!$B$3,"")))</f>
        <v/>
      </c>
      <c r="K104" s="140">
        <f>IF(K$13="","",IF($B104="","",IFERROR($C104*$D104*IF((Override!$C$4="ON")*(COUNTIFS(Override!$B$11:$B$40,$B104,Override!$D$11:$D$40,6,Override!$E$11:$E$40,"&gt;=0")-COUNTIFS(Override!$B$11:$B$40,$B104,Override!$D$11:$D$40,6,Override!$E$11:$E$40,"&gt;=0",Override!$C$11:$C$40,"MXAU"))&gt;0,SUMIFS(Override!$E$11:$E$40,Override!$B$11:$B$40,$B104,Override!$D$11:$D$40,6)-SUMIFS(Override!$E$11:$E$40,Override!$B$11:$B$40,$B104,Override!$D$11:$D$40,6,Override!$C$11:$C$40,"MXAU"),Override!$H$139)/AS51!$B$3,"")))</f>
        <v/>
      </c>
      <c r="L104" s="140">
        <f>IF(L$13="","",IF($B104="","",IFERROR($C104*$D104*IF((Override!$C$4="ON")*(COUNTIFS(Override!$B$11:$B$40,$B104,Override!$D$11:$D$40,7,Override!$E$11:$E$40,"&gt;=0")-COUNTIFS(Override!$B$11:$B$40,$B104,Override!$D$11:$D$40,7,Override!$E$11:$E$40,"&gt;=0",Override!$C$11:$C$40,"MXAU"))&gt;0,SUMIFS(Override!$E$11:$E$40,Override!$B$11:$B$40,$B104,Override!$D$11:$D$40,7)-SUMIFS(Override!$E$11:$E$40,Override!$B$11:$B$40,$B104,Override!$D$11:$D$40,7,Override!$C$11:$C$40,"MXAU"),Override!$I$139)/AS51!$B$3,"")))</f>
        <v/>
      </c>
      <c r="M104" s="140">
        <f>IF(M$13="","",IF($B104="","",IFERROR($C104*$D104*IF((Override!$C$4="ON")*(COUNTIFS(Override!$B$11:$B$40,$B104,Override!$D$11:$D$40,8,Override!$E$11:$E$40,"&gt;=0")-COUNTIFS(Override!$B$11:$B$40,$B104,Override!$D$11:$D$40,8,Override!$E$11:$E$40,"&gt;=0",Override!$C$11:$C$40,"MXAU"))&gt;0,SUMIFS(Override!$E$11:$E$40,Override!$B$11:$B$40,$B104,Override!$D$11:$D$40,8)-SUMIFS(Override!$E$11:$E$40,Override!$B$11:$B$40,$B104,Override!$D$11:$D$40,8,Override!$C$11:$C$40,"MXAU"),Override!$J$139)/AS51!$B$3,"")))</f>
        <v/>
      </c>
      <c r="N104" s="140">
        <f>IF(N$13="","",IF($B104="","",IFERROR($C104*$D104*IF((Override!$C$4="ON")*(COUNTIFS(Override!$B$11:$B$40,$B104,Override!$D$11:$D$40,9,Override!$E$11:$E$40,"&gt;=0")-COUNTIFS(Override!$B$11:$B$40,$B104,Override!$D$11:$D$40,9,Override!$E$11:$E$40,"&gt;=0",Override!$C$11:$C$40,"MXAU"))&gt;0,SUMIFS(Override!$E$11:$E$40,Override!$B$11:$B$40,$B104,Override!$D$11:$D$40,9)-SUMIFS(Override!$E$11:$E$40,Override!$B$11:$B$40,$B104,Override!$D$11:$D$40,9,Override!$C$11:$C$40,"MXAU"),Override!$K$139)/AS51!$B$3,"")))</f>
        <v/>
      </c>
      <c r="O104" s="140">
        <f>IF(O$13="","",IF($B104="","",IFERROR($C104*$D104*IF((Override!$C$4="ON")*(COUNTIFS(Override!$B$11:$B$40,$B104,Override!$D$11:$D$40,10,Override!$E$11:$E$40,"&gt;=0")-COUNTIFS(Override!$B$11:$B$40,$B104,Override!$D$11:$D$40,10,Override!$E$11:$E$40,"&gt;=0",Override!$C$11:$C$40,"MXAU"))&gt;0,SUMIFS(Override!$E$11:$E$40,Override!$B$11:$B$40,$B104,Override!$D$11:$D$40,10)-SUMIFS(Override!$E$11:$E$40,Override!$B$11:$B$40,$B104,Override!$D$11:$D$40,10,Override!$C$11:$C$40,"MXAU"),Override!$L$139)/AS51!$B$3,"")))</f>
        <v/>
      </c>
      <c r="P104" s="140">
        <f>IF(P$13="","",IF($B104="","",IFERROR($C104*$D104*IF((Override!$C$4="ON")*(COUNTIFS(Override!$B$11:$B$40,$B104,Override!$D$11:$D$40,11,Override!$E$11:$E$40,"&gt;=0")-COUNTIFS(Override!$B$11:$B$40,$B104,Override!$D$11:$D$40,11,Override!$E$11:$E$40,"&gt;=0",Override!$C$11:$C$40,"MXAU"))&gt;0,SUMIFS(Override!$E$11:$E$40,Override!$B$11:$B$40,$B104,Override!$D$11:$D$40,11)-SUMIFS(Override!$E$11:$E$40,Override!$B$11:$B$40,$B104,Override!$D$11:$D$40,11,Override!$C$11:$C$40,"MXAU"),Override!$M$139)/AS51!$B$3,"")))</f>
        <v/>
      </c>
      <c r="Q104" s="140">
        <f>IF(Q$13="","",IF($B104="","",IFERROR($C104*$D104*IF((Override!$C$4="ON")*(COUNTIFS(Override!$B$11:$B$40,$B104,Override!$D$11:$D$40,12,Override!$E$11:$E$40,"&gt;=0")-COUNTIFS(Override!$B$11:$B$40,$B104,Override!$D$11:$D$40,12,Override!$E$11:$E$40,"&gt;=0",Override!$C$11:$C$40,"MXAU"))&gt;0,SUMIFS(Override!$E$11:$E$40,Override!$B$11:$B$40,$B104,Override!$D$11:$D$40,12)-SUMIFS(Override!$E$11:$E$40,Override!$B$11:$B$40,$B104,Override!$D$11:$D$40,12,Override!$C$11:$C$40,"MXAU"),Override!$N$139)/AS51!$B$3,"")))</f>
        <v/>
      </c>
      <c r="R104" s="140">
        <f>IF(R$13="","",IF($B104="","",IFERROR($C104*$D104*IF((Override!$C$4="ON")*(COUNTIFS(Override!$B$11:$B$40,$B104,Override!$D$11:$D$40,13,Override!$E$11:$E$40,"&gt;=0")-COUNTIFS(Override!$B$11:$B$40,$B104,Override!$D$11:$D$40,13,Override!$E$11:$E$40,"&gt;=0",Override!$C$11:$C$40,"MXAU"))&gt;0,SUMIFS(Override!$E$11:$E$40,Override!$B$11:$B$40,$B104,Override!$D$11:$D$40,13)-SUMIFS(Override!$E$11:$E$40,Override!$B$11:$B$40,$B104,Override!$D$11:$D$40,13,Override!$C$11:$C$40,"MXAU"),Override!$O$139)/AS51!$B$3,"")))</f>
        <v/>
      </c>
      <c r="S104" s="140">
        <f>IF(S$13="","",IF($B104="","",IFERROR($C104*$D104*IF((Override!$C$4="ON")*(COUNTIFS(Override!$B$11:$B$40,$B104,Override!$D$11:$D$40,14,Override!$E$11:$E$40,"&gt;=0")-COUNTIFS(Override!$B$11:$B$40,$B104,Override!$D$11:$D$40,14,Override!$E$11:$E$40,"&gt;=0",Override!$C$11:$C$40,"MXAU"))&gt;0,SUMIFS(Override!$E$11:$E$40,Override!$B$11:$B$40,$B104,Override!$D$11:$D$40,14)-SUMIFS(Override!$E$11:$E$40,Override!$B$11:$B$40,$B104,Override!$D$11:$D$40,14,Override!$C$11:$C$40,"MXAU"),Override!$P$139)/AS51!$B$3,"")))</f>
        <v/>
      </c>
      <c r="T104" s="140">
        <f>IF(T$13="","",IF($B104="","",IFERROR($C104*$D104*IF((Override!$C$4="ON")*(COUNTIFS(Override!$B$11:$B$40,$B104,Override!$D$11:$D$40,15,Override!$E$11:$E$40,"&gt;=0")-COUNTIFS(Override!$B$11:$B$40,$B104,Override!$D$11:$D$40,15,Override!$E$11:$E$40,"&gt;=0",Override!$C$11:$C$40,"MXAU"))&gt;0,SUMIFS(Override!$E$11:$E$40,Override!$B$11:$B$40,$B104,Override!$D$11:$D$40,15)-SUMIFS(Override!$E$11:$E$40,Override!$B$11:$B$40,$B104,Override!$D$11:$D$40,15,Override!$C$11:$C$40,"MXAU"),Override!$Q$139)/AS51!$B$3,"")))</f>
        <v/>
      </c>
      <c r="U104" s="140">
        <f>IF(U$13="","",IF($B104="","",IFERROR($C104*$D104*IF((Override!$C$4="ON")*(COUNTIFS(Override!$B$11:$B$40,$B104,Override!$D$11:$D$40,16,Override!$E$11:$E$40,"&gt;=0")-COUNTIFS(Override!$B$11:$B$40,$B104,Override!$D$11:$D$40,16,Override!$E$11:$E$40,"&gt;=0",Override!$C$11:$C$40,"MXAU"))&gt;0,SUMIFS(Override!$E$11:$E$40,Override!$B$11:$B$40,$B104,Override!$D$11:$D$40,16)-SUMIFS(Override!$E$11:$E$40,Override!$B$11:$B$40,$B104,Override!$D$11:$D$40,16,Override!$C$11:$C$40,"MXAU"),Override!$R$139)/AS51!$B$3,"")))</f>
        <v/>
      </c>
      <c r="W104" s="140">
        <f>IF(W$13="","",IF($B104="","",IFERROR(F104*$E104/100,"")))</f>
        <v/>
      </c>
      <c r="X104" s="140">
        <f>IF(X$13="","",IF($B104="","",IFERROR(G104*$E104/100,"")))</f>
        <v/>
      </c>
      <c r="Y104" s="140">
        <f>IF(Y$13="","",IF($B104="","",IFERROR(H104*$E104/100,"")))</f>
        <v/>
      </c>
      <c r="Z104" s="140">
        <f>IF(Z$13="","",IF($B104="","",IFERROR(I104*$E104/100,"")))</f>
        <v/>
      </c>
      <c r="AA104" s="140">
        <f>IF(AA$13="","",IF($B104="","",IFERROR(J104*$E104/100,"")))</f>
        <v/>
      </c>
      <c r="AB104" s="140">
        <f>IF(AB$13="","",IF($B104="","",IFERROR(K104*$E104/100,"")))</f>
        <v/>
      </c>
      <c r="AC104" s="140">
        <f>IF(AC$13="","",IF($B104="","",IFERROR(L104*$E104/100,"")))</f>
        <v/>
      </c>
      <c r="AD104" s="140">
        <f>IF(AD$13="","",IF($B104="","",IFERROR(M104*$E104/100,"")))</f>
        <v/>
      </c>
      <c r="AE104" s="140">
        <f>IF(AE$13="","",IF($B104="","",IFERROR(N104*$E104/100,"")))</f>
        <v/>
      </c>
      <c r="AF104" s="140">
        <f>IF(AF$13="","",IF($B104="","",IFERROR(O104*$E104/100,"")))</f>
        <v/>
      </c>
      <c r="AG104" s="140">
        <f>IF(AG$13="","",IF($B104="","",IFERROR(P104*$E104/100,"")))</f>
        <v/>
      </c>
      <c r="AH104" s="140">
        <f>IF(AH$13="","",IF($B104="","",IFERROR(Q104*$E104/100,"")))</f>
        <v/>
      </c>
      <c r="AI104" s="140">
        <f>IF(AI$13="","",IF($B104="","",IFERROR(R104*$E104/100,"")))</f>
        <v/>
      </c>
      <c r="AJ104" s="140">
        <f>IF(AJ$13="","",IF($B104="","",IFERROR(S104*$E104/100,"")))</f>
        <v/>
      </c>
      <c r="AK104" s="140">
        <f>IF(AK$13="","",IF($B104="","",IFERROR(T104*$E104/100,"")))</f>
        <v/>
      </c>
      <c r="AL104" s="140">
        <f>IF(AL$13="","",IF($B104="","",IFERROR(U104*$E104/100,"")))</f>
        <v/>
      </c>
      <c r="AN104" s="140">
        <f>IF($B104="","",SUMIF($F$13:$U$13,"&lt;="&amp;Sector!$D$51,$F104:$U104))</f>
        <v/>
      </c>
      <c r="AO104" s="140">
        <f>IF($B104="","",SUMIF($W$13:$AL$13,"&lt;="&amp;Sector!$D$51,$W104:$AL104))</f>
        <v/>
      </c>
    </row>
    <row r="105">
      <c r="B105" s="5">
        <f>IF(AS51!$C$95="","",AS51!$C$95)</f>
        <v/>
      </c>
      <c r="C105" s="90">
        <f>IF(AS51!$B$95="","",AS51!$B$95)</f>
        <v/>
      </c>
      <c r="D105" s="138">
        <f>IFERROR(AS51!$Q$95,1)</f>
        <v/>
      </c>
      <c r="E105" s="139">
        <f>IF($B105="","",IF(ISNUMBER(AS51!$I$95),AS51!$I$95,'Index Summary'!$C$7))</f>
        <v/>
      </c>
      <c r="F105" s="140">
        <f>IF(F$13="","",IF($B105="","",IFERROR($C105*$D105*IF((Override!$C$4="ON")*(COUNTIFS(Override!$B$11:$B$40,$B105,Override!$D$11:$D$40,1,Override!$E$11:$E$40,"&gt;=0")-COUNTIFS(Override!$B$11:$B$40,$B105,Override!$D$11:$D$40,1,Override!$E$11:$E$40,"&gt;=0",Override!$C$11:$C$40,"MXAU"))&gt;0,SUMIFS(Override!$E$11:$E$40,Override!$B$11:$B$40,$B105,Override!$D$11:$D$40,1)-SUMIFS(Override!$E$11:$E$40,Override!$B$11:$B$40,$B105,Override!$D$11:$D$40,1,Override!$C$11:$C$40,"MXAU"),Override!$C$140)/AS51!$B$3,"")))</f>
        <v/>
      </c>
      <c r="G105" s="140">
        <f>IF(G$13="","",IF($B105="","",IFERROR($C105*$D105*IF((Override!$C$4="ON")*(COUNTIFS(Override!$B$11:$B$40,$B105,Override!$D$11:$D$40,2,Override!$E$11:$E$40,"&gt;=0")-COUNTIFS(Override!$B$11:$B$40,$B105,Override!$D$11:$D$40,2,Override!$E$11:$E$40,"&gt;=0",Override!$C$11:$C$40,"MXAU"))&gt;0,SUMIFS(Override!$E$11:$E$40,Override!$B$11:$B$40,$B105,Override!$D$11:$D$40,2)-SUMIFS(Override!$E$11:$E$40,Override!$B$11:$B$40,$B105,Override!$D$11:$D$40,2,Override!$C$11:$C$40,"MXAU"),Override!$D$140)/AS51!$B$3,"")))</f>
        <v/>
      </c>
      <c r="H105" s="140">
        <f>IF(H$13="","",IF($B105="","",IFERROR($C105*$D105*IF((Override!$C$4="ON")*(COUNTIFS(Override!$B$11:$B$40,$B105,Override!$D$11:$D$40,3,Override!$E$11:$E$40,"&gt;=0")-COUNTIFS(Override!$B$11:$B$40,$B105,Override!$D$11:$D$40,3,Override!$E$11:$E$40,"&gt;=0",Override!$C$11:$C$40,"MXAU"))&gt;0,SUMIFS(Override!$E$11:$E$40,Override!$B$11:$B$40,$B105,Override!$D$11:$D$40,3)-SUMIFS(Override!$E$11:$E$40,Override!$B$11:$B$40,$B105,Override!$D$11:$D$40,3,Override!$C$11:$C$40,"MXAU"),Override!$E$140)/AS51!$B$3,"")))</f>
        <v/>
      </c>
      <c r="I105" s="140">
        <f>IF(I$13="","",IF($B105="","",IFERROR($C105*$D105*IF((Override!$C$4="ON")*(COUNTIFS(Override!$B$11:$B$40,$B105,Override!$D$11:$D$40,4,Override!$E$11:$E$40,"&gt;=0")-COUNTIFS(Override!$B$11:$B$40,$B105,Override!$D$11:$D$40,4,Override!$E$11:$E$40,"&gt;=0",Override!$C$11:$C$40,"MXAU"))&gt;0,SUMIFS(Override!$E$11:$E$40,Override!$B$11:$B$40,$B105,Override!$D$11:$D$40,4)-SUMIFS(Override!$E$11:$E$40,Override!$B$11:$B$40,$B105,Override!$D$11:$D$40,4,Override!$C$11:$C$40,"MXAU"),Override!$F$140)/AS51!$B$3,"")))</f>
        <v/>
      </c>
      <c r="J105" s="140">
        <f>IF(J$13="","",IF($B105="","",IFERROR($C105*$D105*IF((Override!$C$4="ON")*(COUNTIFS(Override!$B$11:$B$40,$B105,Override!$D$11:$D$40,5,Override!$E$11:$E$40,"&gt;=0")-COUNTIFS(Override!$B$11:$B$40,$B105,Override!$D$11:$D$40,5,Override!$E$11:$E$40,"&gt;=0",Override!$C$11:$C$40,"MXAU"))&gt;0,SUMIFS(Override!$E$11:$E$40,Override!$B$11:$B$40,$B105,Override!$D$11:$D$40,5)-SUMIFS(Override!$E$11:$E$40,Override!$B$11:$B$40,$B105,Override!$D$11:$D$40,5,Override!$C$11:$C$40,"MXAU"),Override!$G$140)/AS51!$B$3,"")))</f>
        <v/>
      </c>
      <c r="K105" s="140">
        <f>IF(K$13="","",IF($B105="","",IFERROR($C105*$D105*IF((Override!$C$4="ON")*(COUNTIFS(Override!$B$11:$B$40,$B105,Override!$D$11:$D$40,6,Override!$E$11:$E$40,"&gt;=0")-COUNTIFS(Override!$B$11:$B$40,$B105,Override!$D$11:$D$40,6,Override!$E$11:$E$40,"&gt;=0",Override!$C$11:$C$40,"MXAU"))&gt;0,SUMIFS(Override!$E$11:$E$40,Override!$B$11:$B$40,$B105,Override!$D$11:$D$40,6)-SUMIFS(Override!$E$11:$E$40,Override!$B$11:$B$40,$B105,Override!$D$11:$D$40,6,Override!$C$11:$C$40,"MXAU"),Override!$H$140)/AS51!$B$3,"")))</f>
        <v/>
      </c>
      <c r="L105" s="140">
        <f>IF(L$13="","",IF($B105="","",IFERROR($C105*$D105*IF((Override!$C$4="ON")*(COUNTIFS(Override!$B$11:$B$40,$B105,Override!$D$11:$D$40,7,Override!$E$11:$E$40,"&gt;=0")-COUNTIFS(Override!$B$11:$B$40,$B105,Override!$D$11:$D$40,7,Override!$E$11:$E$40,"&gt;=0",Override!$C$11:$C$40,"MXAU"))&gt;0,SUMIFS(Override!$E$11:$E$40,Override!$B$11:$B$40,$B105,Override!$D$11:$D$40,7)-SUMIFS(Override!$E$11:$E$40,Override!$B$11:$B$40,$B105,Override!$D$11:$D$40,7,Override!$C$11:$C$40,"MXAU"),Override!$I$140)/AS51!$B$3,"")))</f>
        <v/>
      </c>
      <c r="M105" s="140">
        <f>IF(M$13="","",IF($B105="","",IFERROR($C105*$D105*IF((Override!$C$4="ON")*(COUNTIFS(Override!$B$11:$B$40,$B105,Override!$D$11:$D$40,8,Override!$E$11:$E$40,"&gt;=0")-COUNTIFS(Override!$B$11:$B$40,$B105,Override!$D$11:$D$40,8,Override!$E$11:$E$40,"&gt;=0",Override!$C$11:$C$40,"MXAU"))&gt;0,SUMIFS(Override!$E$11:$E$40,Override!$B$11:$B$40,$B105,Override!$D$11:$D$40,8)-SUMIFS(Override!$E$11:$E$40,Override!$B$11:$B$40,$B105,Override!$D$11:$D$40,8,Override!$C$11:$C$40,"MXAU"),Override!$J$140)/AS51!$B$3,"")))</f>
        <v/>
      </c>
      <c r="N105" s="140">
        <f>IF(N$13="","",IF($B105="","",IFERROR($C105*$D105*IF((Override!$C$4="ON")*(COUNTIFS(Override!$B$11:$B$40,$B105,Override!$D$11:$D$40,9,Override!$E$11:$E$40,"&gt;=0")-COUNTIFS(Override!$B$11:$B$40,$B105,Override!$D$11:$D$40,9,Override!$E$11:$E$40,"&gt;=0",Override!$C$11:$C$40,"MXAU"))&gt;0,SUMIFS(Override!$E$11:$E$40,Override!$B$11:$B$40,$B105,Override!$D$11:$D$40,9)-SUMIFS(Override!$E$11:$E$40,Override!$B$11:$B$40,$B105,Override!$D$11:$D$40,9,Override!$C$11:$C$40,"MXAU"),Override!$K$140)/AS51!$B$3,"")))</f>
        <v/>
      </c>
      <c r="O105" s="140">
        <f>IF(O$13="","",IF($B105="","",IFERROR($C105*$D105*IF((Override!$C$4="ON")*(COUNTIFS(Override!$B$11:$B$40,$B105,Override!$D$11:$D$40,10,Override!$E$11:$E$40,"&gt;=0")-COUNTIFS(Override!$B$11:$B$40,$B105,Override!$D$11:$D$40,10,Override!$E$11:$E$40,"&gt;=0",Override!$C$11:$C$40,"MXAU"))&gt;0,SUMIFS(Override!$E$11:$E$40,Override!$B$11:$B$40,$B105,Override!$D$11:$D$40,10)-SUMIFS(Override!$E$11:$E$40,Override!$B$11:$B$40,$B105,Override!$D$11:$D$40,10,Override!$C$11:$C$40,"MXAU"),Override!$L$140)/AS51!$B$3,"")))</f>
        <v/>
      </c>
      <c r="P105" s="140">
        <f>IF(P$13="","",IF($B105="","",IFERROR($C105*$D105*IF((Override!$C$4="ON")*(COUNTIFS(Override!$B$11:$B$40,$B105,Override!$D$11:$D$40,11,Override!$E$11:$E$40,"&gt;=0")-COUNTIFS(Override!$B$11:$B$40,$B105,Override!$D$11:$D$40,11,Override!$E$11:$E$40,"&gt;=0",Override!$C$11:$C$40,"MXAU"))&gt;0,SUMIFS(Override!$E$11:$E$40,Override!$B$11:$B$40,$B105,Override!$D$11:$D$40,11)-SUMIFS(Override!$E$11:$E$40,Override!$B$11:$B$40,$B105,Override!$D$11:$D$40,11,Override!$C$11:$C$40,"MXAU"),Override!$M$140)/AS51!$B$3,"")))</f>
        <v/>
      </c>
      <c r="Q105" s="140">
        <f>IF(Q$13="","",IF($B105="","",IFERROR($C105*$D105*IF((Override!$C$4="ON")*(COUNTIFS(Override!$B$11:$B$40,$B105,Override!$D$11:$D$40,12,Override!$E$11:$E$40,"&gt;=0")-COUNTIFS(Override!$B$11:$B$40,$B105,Override!$D$11:$D$40,12,Override!$E$11:$E$40,"&gt;=0",Override!$C$11:$C$40,"MXAU"))&gt;0,SUMIFS(Override!$E$11:$E$40,Override!$B$11:$B$40,$B105,Override!$D$11:$D$40,12)-SUMIFS(Override!$E$11:$E$40,Override!$B$11:$B$40,$B105,Override!$D$11:$D$40,12,Override!$C$11:$C$40,"MXAU"),Override!$N$140)/AS51!$B$3,"")))</f>
        <v/>
      </c>
      <c r="R105" s="140">
        <f>IF(R$13="","",IF($B105="","",IFERROR($C105*$D105*IF((Override!$C$4="ON")*(COUNTIFS(Override!$B$11:$B$40,$B105,Override!$D$11:$D$40,13,Override!$E$11:$E$40,"&gt;=0")-COUNTIFS(Override!$B$11:$B$40,$B105,Override!$D$11:$D$40,13,Override!$E$11:$E$40,"&gt;=0",Override!$C$11:$C$40,"MXAU"))&gt;0,SUMIFS(Override!$E$11:$E$40,Override!$B$11:$B$40,$B105,Override!$D$11:$D$40,13)-SUMIFS(Override!$E$11:$E$40,Override!$B$11:$B$40,$B105,Override!$D$11:$D$40,13,Override!$C$11:$C$40,"MXAU"),Override!$O$140)/AS51!$B$3,"")))</f>
        <v/>
      </c>
      <c r="S105" s="140">
        <f>IF(S$13="","",IF($B105="","",IFERROR($C105*$D105*IF((Override!$C$4="ON")*(COUNTIFS(Override!$B$11:$B$40,$B105,Override!$D$11:$D$40,14,Override!$E$11:$E$40,"&gt;=0")-COUNTIFS(Override!$B$11:$B$40,$B105,Override!$D$11:$D$40,14,Override!$E$11:$E$40,"&gt;=0",Override!$C$11:$C$40,"MXAU"))&gt;0,SUMIFS(Override!$E$11:$E$40,Override!$B$11:$B$40,$B105,Override!$D$11:$D$40,14)-SUMIFS(Override!$E$11:$E$40,Override!$B$11:$B$40,$B105,Override!$D$11:$D$40,14,Override!$C$11:$C$40,"MXAU"),Override!$P$140)/AS51!$B$3,"")))</f>
        <v/>
      </c>
      <c r="T105" s="140">
        <f>IF(T$13="","",IF($B105="","",IFERROR($C105*$D105*IF((Override!$C$4="ON")*(COUNTIFS(Override!$B$11:$B$40,$B105,Override!$D$11:$D$40,15,Override!$E$11:$E$40,"&gt;=0")-COUNTIFS(Override!$B$11:$B$40,$B105,Override!$D$11:$D$40,15,Override!$E$11:$E$40,"&gt;=0",Override!$C$11:$C$40,"MXAU"))&gt;0,SUMIFS(Override!$E$11:$E$40,Override!$B$11:$B$40,$B105,Override!$D$11:$D$40,15)-SUMIFS(Override!$E$11:$E$40,Override!$B$11:$B$40,$B105,Override!$D$11:$D$40,15,Override!$C$11:$C$40,"MXAU"),Override!$Q$140)/AS51!$B$3,"")))</f>
        <v/>
      </c>
      <c r="U105" s="140">
        <f>IF(U$13="","",IF($B105="","",IFERROR($C105*$D105*IF((Override!$C$4="ON")*(COUNTIFS(Override!$B$11:$B$40,$B105,Override!$D$11:$D$40,16,Override!$E$11:$E$40,"&gt;=0")-COUNTIFS(Override!$B$11:$B$40,$B105,Override!$D$11:$D$40,16,Override!$E$11:$E$40,"&gt;=0",Override!$C$11:$C$40,"MXAU"))&gt;0,SUMIFS(Override!$E$11:$E$40,Override!$B$11:$B$40,$B105,Override!$D$11:$D$40,16)-SUMIFS(Override!$E$11:$E$40,Override!$B$11:$B$40,$B105,Override!$D$11:$D$40,16,Override!$C$11:$C$40,"MXAU"),Override!$R$140)/AS51!$B$3,"")))</f>
        <v/>
      </c>
      <c r="W105" s="140">
        <f>IF(W$13="","",IF($B105="","",IFERROR(F105*$E105/100,"")))</f>
        <v/>
      </c>
      <c r="X105" s="140">
        <f>IF(X$13="","",IF($B105="","",IFERROR(G105*$E105/100,"")))</f>
        <v/>
      </c>
      <c r="Y105" s="140">
        <f>IF(Y$13="","",IF($B105="","",IFERROR(H105*$E105/100,"")))</f>
        <v/>
      </c>
      <c r="Z105" s="140">
        <f>IF(Z$13="","",IF($B105="","",IFERROR(I105*$E105/100,"")))</f>
        <v/>
      </c>
      <c r="AA105" s="140">
        <f>IF(AA$13="","",IF($B105="","",IFERROR(J105*$E105/100,"")))</f>
        <v/>
      </c>
      <c r="AB105" s="140">
        <f>IF(AB$13="","",IF($B105="","",IFERROR(K105*$E105/100,"")))</f>
        <v/>
      </c>
      <c r="AC105" s="140">
        <f>IF(AC$13="","",IF($B105="","",IFERROR(L105*$E105/100,"")))</f>
        <v/>
      </c>
      <c r="AD105" s="140">
        <f>IF(AD$13="","",IF($B105="","",IFERROR(M105*$E105/100,"")))</f>
        <v/>
      </c>
      <c r="AE105" s="140">
        <f>IF(AE$13="","",IF($B105="","",IFERROR(N105*$E105/100,"")))</f>
        <v/>
      </c>
      <c r="AF105" s="140">
        <f>IF(AF$13="","",IF($B105="","",IFERROR(O105*$E105/100,"")))</f>
        <v/>
      </c>
      <c r="AG105" s="140">
        <f>IF(AG$13="","",IF($B105="","",IFERROR(P105*$E105/100,"")))</f>
        <v/>
      </c>
      <c r="AH105" s="140">
        <f>IF(AH$13="","",IF($B105="","",IFERROR(Q105*$E105/100,"")))</f>
        <v/>
      </c>
      <c r="AI105" s="140">
        <f>IF(AI$13="","",IF($B105="","",IFERROR(R105*$E105/100,"")))</f>
        <v/>
      </c>
      <c r="AJ105" s="140">
        <f>IF(AJ$13="","",IF($B105="","",IFERROR(S105*$E105/100,"")))</f>
        <v/>
      </c>
      <c r="AK105" s="140">
        <f>IF(AK$13="","",IF($B105="","",IFERROR(T105*$E105/100,"")))</f>
        <v/>
      </c>
      <c r="AL105" s="140">
        <f>IF(AL$13="","",IF($B105="","",IFERROR(U105*$E105/100,"")))</f>
        <v/>
      </c>
      <c r="AN105" s="140">
        <f>IF($B105="","",SUMIF($F$13:$U$13,"&lt;="&amp;Sector!$D$51,$F105:$U105))</f>
        <v/>
      </c>
      <c r="AO105" s="140">
        <f>IF($B105="","",SUMIF($W$13:$AL$13,"&lt;="&amp;Sector!$D$51,$W105:$AL105))</f>
        <v/>
      </c>
    </row>
    <row r="106">
      <c r="B106" s="5">
        <f>IF(AS51!$C$96="","",AS51!$C$96)</f>
        <v/>
      </c>
      <c r="C106" s="90">
        <f>IF(AS51!$B$96="","",AS51!$B$96)</f>
        <v/>
      </c>
      <c r="D106" s="138">
        <f>IFERROR(AS51!$Q$96,1)</f>
        <v/>
      </c>
      <c r="E106" s="139">
        <f>IF($B106="","",IF(ISNUMBER(AS51!$I$96),AS51!$I$96,'Index Summary'!$C$7))</f>
        <v/>
      </c>
      <c r="F106" s="140">
        <f>IF(F$13="","",IF($B106="","",IFERROR($C106*$D106*IF((Override!$C$4="ON")*(COUNTIFS(Override!$B$11:$B$40,$B106,Override!$D$11:$D$40,1,Override!$E$11:$E$40,"&gt;=0")-COUNTIFS(Override!$B$11:$B$40,$B106,Override!$D$11:$D$40,1,Override!$E$11:$E$40,"&gt;=0",Override!$C$11:$C$40,"MXAU"))&gt;0,SUMIFS(Override!$E$11:$E$40,Override!$B$11:$B$40,$B106,Override!$D$11:$D$40,1)-SUMIFS(Override!$E$11:$E$40,Override!$B$11:$B$40,$B106,Override!$D$11:$D$40,1,Override!$C$11:$C$40,"MXAU"),Override!$C$141)/AS51!$B$3,"")))</f>
        <v/>
      </c>
      <c r="G106" s="140">
        <f>IF(G$13="","",IF($B106="","",IFERROR($C106*$D106*IF((Override!$C$4="ON")*(COUNTIFS(Override!$B$11:$B$40,$B106,Override!$D$11:$D$40,2,Override!$E$11:$E$40,"&gt;=0")-COUNTIFS(Override!$B$11:$B$40,$B106,Override!$D$11:$D$40,2,Override!$E$11:$E$40,"&gt;=0",Override!$C$11:$C$40,"MXAU"))&gt;0,SUMIFS(Override!$E$11:$E$40,Override!$B$11:$B$40,$B106,Override!$D$11:$D$40,2)-SUMIFS(Override!$E$11:$E$40,Override!$B$11:$B$40,$B106,Override!$D$11:$D$40,2,Override!$C$11:$C$40,"MXAU"),Override!$D$141)/AS51!$B$3,"")))</f>
        <v/>
      </c>
      <c r="H106" s="140">
        <f>IF(H$13="","",IF($B106="","",IFERROR($C106*$D106*IF((Override!$C$4="ON")*(COUNTIFS(Override!$B$11:$B$40,$B106,Override!$D$11:$D$40,3,Override!$E$11:$E$40,"&gt;=0")-COUNTIFS(Override!$B$11:$B$40,$B106,Override!$D$11:$D$40,3,Override!$E$11:$E$40,"&gt;=0",Override!$C$11:$C$40,"MXAU"))&gt;0,SUMIFS(Override!$E$11:$E$40,Override!$B$11:$B$40,$B106,Override!$D$11:$D$40,3)-SUMIFS(Override!$E$11:$E$40,Override!$B$11:$B$40,$B106,Override!$D$11:$D$40,3,Override!$C$11:$C$40,"MXAU"),Override!$E$141)/AS51!$B$3,"")))</f>
        <v/>
      </c>
      <c r="I106" s="140">
        <f>IF(I$13="","",IF($B106="","",IFERROR($C106*$D106*IF((Override!$C$4="ON")*(COUNTIFS(Override!$B$11:$B$40,$B106,Override!$D$11:$D$40,4,Override!$E$11:$E$40,"&gt;=0")-COUNTIFS(Override!$B$11:$B$40,$B106,Override!$D$11:$D$40,4,Override!$E$11:$E$40,"&gt;=0",Override!$C$11:$C$40,"MXAU"))&gt;0,SUMIFS(Override!$E$11:$E$40,Override!$B$11:$B$40,$B106,Override!$D$11:$D$40,4)-SUMIFS(Override!$E$11:$E$40,Override!$B$11:$B$40,$B106,Override!$D$11:$D$40,4,Override!$C$11:$C$40,"MXAU"),Override!$F$141)/AS51!$B$3,"")))</f>
        <v/>
      </c>
      <c r="J106" s="140">
        <f>IF(J$13="","",IF($B106="","",IFERROR($C106*$D106*IF((Override!$C$4="ON")*(COUNTIFS(Override!$B$11:$B$40,$B106,Override!$D$11:$D$40,5,Override!$E$11:$E$40,"&gt;=0")-COUNTIFS(Override!$B$11:$B$40,$B106,Override!$D$11:$D$40,5,Override!$E$11:$E$40,"&gt;=0",Override!$C$11:$C$40,"MXAU"))&gt;0,SUMIFS(Override!$E$11:$E$40,Override!$B$11:$B$40,$B106,Override!$D$11:$D$40,5)-SUMIFS(Override!$E$11:$E$40,Override!$B$11:$B$40,$B106,Override!$D$11:$D$40,5,Override!$C$11:$C$40,"MXAU"),Override!$G$141)/AS51!$B$3,"")))</f>
        <v/>
      </c>
      <c r="K106" s="140">
        <f>IF(K$13="","",IF($B106="","",IFERROR($C106*$D106*IF((Override!$C$4="ON")*(COUNTIFS(Override!$B$11:$B$40,$B106,Override!$D$11:$D$40,6,Override!$E$11:$E$40,"&gt;=0")-COUNTIFS(Override!$B$11:$B$40,$B106,Override!$D$11:$D$40,6,Override!$E$11:$E$40,"&gt;=0",Override!$C$11:$C$40,"MXAU"))&gt;0,SUMIFS(Override!$E$11:$E$40,Override!$B$11:$B$40,$B106,Override!$D$11:$D$40,6)-SUMIFS(Override!$E$11:$E$40,Override!$B$11:$B$40,$B106,Override!$D$11:$D$40,6,Override!$C$11:$C$40,"MXAU"),Override!$H$141)/AS51!$B$3,"")))</f>
        <v/>
      </c>
      <c r="L106" s="140">
        <f>IF(L$13="","",IF($B106="","",IFERROR($C106*$D106*IF((Override!$C$4="ON")*(COUNTIFS(Override!$B$11:$B$40,$B106,Override!$D$11:$D$40,7,Override!$E$11:$E$40,"&gt;=0")-COUNTIFS(Override!$B$11:$B$40,$B106,Override!$D$11:$D$40,7,Override!$E$11:$E$40,"&gt;=0",Override!$C$11:$C$40,"MXAU"))&gt;0,SUMIFS(Override!$E$11:$E$40,Override!$B$11:$B$40,$B106,Override!$D$11:$D$40,7)-SUMIFS(Override!$E$11:$E$40,Override!$B$11:$B$40,$B106,Override!$D$11:$D$40,7,Override!$C$11:$C$40,"MXAU"),Override!$I$141)/AS51!$B$3,"")))</f>
        <v/>
      </c>
      <c r="M106" s="140">
        <f>IF(M$13="","",IF($B106="","",IFERROR($C106*$D106*IF((Override!$C$4="ON")*(COUNTIFS(Override!$B$11:$B$40,$B106,Override!$D$11:$D$40,8,Override!$E$11:$E$40,"&gt;=0")-COUNTIFS(Override!$B$11:$B$40,$B106,Override!$D$11:$D$40,8,Override!$E$11:$E$40,"&gt;=0",Override!$C$11:$C$40,"MXAU"))&gt;0,SUMIFS(Override!$E$11:$E$40,Override!$B$11:$B$40,$B106,Override!$D$11:$D$40,8)-SUMIFS(Override!$E$11:$E$40,Override!$B$11:$B$40,$B106,Override!$D$11:$D$40,8,Override!$C$11:$C$40,"MXAU"),Override!$J$141)/AS51!$B$3,"")))</f>
        <v/>
      </c>
      <c r="N106" s="140">
        <f>IF(N$13="","",IF($B106="","",IFERROR($C106*$D106*IF((Override!$C$4="ON")*(COUNTIFS(Override!$B$11:$B$40,$B106,Override!$D$11:$D$40,9,Override!$E$11:$E$40,"&gt;=0")-COUNTIFS(Override!$B$11:$B$40,$B106,Override!$D$11:$D$40,9,Override!$E$11:$E$40,"&gt;=0",Override!$C$11:$C$40,"MXAU"))&gt;0,SUMIFS(Override!$E$11:$E$40,Override!$B$11:$B$40,$B106,Override!$D$11:$D$40,9)-SUMIFS(Override!$E$11:$E$40,Override!$B$11:$B$40,$B106,Override!$D$11:$D$40,9,Override!$C$11:$C$40,"MXAU"),Override!$K$141)/AS51!$B$3,"")))</f>
        <v/>
      </c>
      <c r="O106" s="140">
        <f>IF(O$13="","",IF($B106="","",IFERROR($C106*$D106*IF((Override!$C$4="ON")*(COUNTIFS(Override!$B$11:$B$40,$B106,Override!$D$11:$D$40,10,Override!$E$11:$E$40,"&gt;=0")-COUNTIFS(Override!$B$11:$B$40,$B106,Override!$D$11:$D$40,10,Override!$E$11:$E$40,"&gt;=0",Override!$C$11:$C$40,"MXAU"))&gt;0,SUMIFS(Override!$E$11:$E$40,Override!$B$11:$B$40,$B106,Override!$D$11:$D$40,10)-SUMIFS(Override!$E$11:$E$40,Override!$B$11:$B$40,$B106,Override!$D$11:$D$40,10,Override!$C$11:$C$40,"MXAU"),Override!$L$141)/AS51!$B$3,"")))</f>
        <v/>
      </c>
      <c r="P106" s="140">
        <f>IF(P$13="","",IF($B106="","",IFERROR($C106*$D106*IF((Override!$C$4="ON")*(COUNTIFS(Override!$B$11:$B$40,$B106,Override!$D$11:$D$40,11,Override!$E$11:$E$40,"&gt;=0")-COUNTIFS(Override!$B$11:$B$40,$B106,Override!$D$11:$D$40,11,Override!$E$11:$E$40,"&gt;=0",Override!$C$11:$C$40,"MXAU"))&gt;0,SUMIFS(Override!$E$11:$E$40,Override!$B$11:$B$40,$B106,Override!$D$11:$D$40,11)-SUMIFS(Override!$E$11:$E$40,Override!$B$11:$B$40,$B106,Override!$D$11:$D$40,11,Override!$C$11:$C$40,"MXAU"),Override!$M$141)/AS51!$B$3,"")))</f>
        <v/>
      </c>
      <c r="Q106" s="140">
        <f>IF(Q$13="","",IF($B106="","",IFERROR($C106*$D106*IF((Override!$C$4="ON")*(COUNTIFS(Override!$B$11:$B$40,$B106,Override!$D$11:$D$40,12,Override!$E$11:$E$40,"&gt;=0")-COUNTIFS(Override!$B$11:$B$40,$B106,Override!$D$11:$D$40,12,Override!$E$11:$E$40,"&gt;=0",Override!$C$11:$C$40,"MXAU"))&gt;0,SUMIFS(Override!$E$11:$E$40,Override!$B$11:$B$40,$B106,Override!$D$11:$D$40,12)-SUMIFS(Override!$E$11:$E$40,Override!$B$11:$B$40,$B106,Override!$D$11:$D$40,12,Override!$C$11:$C$40,"MXAU"),Override!$N$141)/AS51!$B$3,"")))</f>
        <v/>
      </c>
      <c r="R106" s="140">
        <f>IF(R$13="","",IF($B106="","",IFERROR($C106*$D106*IF((Override!$C$4="ON")*(COUNTIFS(Override!$B$11:$B$40,$B106,Override!$D$11:$D$40,13,Override!$E$11:$E$40,"&gt;=0")-COUNTIFS(Override!$B$11:$B$40,$B106,Override!$D$11:$D$40,13,Override!$E$11:$E$40,"&gt;=0",Override!$C$11:$C$40,"MXAU"))&gt;0,SUMIFS(Override!$E$11:$E$40,Override!$B$11:$B$40,$B106,Override!$D$11:$D$40,13)-SUMIFS(Override!$E$11:$E$40,Override!$B$11:$B$40,$B106,Override!$D$11:$D$40,13,Override!$C$11:$C$40,"MXAU"),Override!$O$141)/AS51!$B$3,"")))</f>
        <v/>
      </c>
      <c r="S106" s="140">
        <f>IF(S$13="","",IF($B106="","",IFERROR($C106*$D106*IF((Override!$C$4="ON")*(COUNTIFS(Override!$B$11:$B$40,$B106,Override!$D$11:$D$40,14,Override!$E$11:$E$40,"&gt;=0")-COUNTIFS(Override!$B$11:$B$40,$B106,Override!$D$11:$D$40,14,Override!$E$11:$E$40,"&gt;=0",Override!$C$11:$C$40,"MXAU"))&gt;0,SUMIFS(Override!$E$11:$E$40,Override!$B$11:$B$40,$B106,Override!$D$11:$D$40,14)-SUMIFS(Override!$E$11:$E$40,Override!$B$11:$B$40,$B106,Override!$D$11:$D$40,14,Override!$C$11:$C$40,"MXAU"),Override!$P$141)/AS51!$B$3,"")))</f>
        <v/>
      </c>
      <c r="T106" s="140">
        <f>IF(T$13="","",IF($B106="","",IFERROR($C106*$D106*IF((Override!$C$4="ON")*(COUNTIFS(Override!$B$11:$B$40,$B106,Override!$D$11:$D$40,15,Override!$E$11:$E$40,"&gt;=0")-COUNTIFS(Override!$B$11:$B$40,$B106,Override!$D$11:$D$40,15,Override!$E$11:$E$40,"&gt;=0",Override!$C$11:$C$40,"MXAU"))&gt;0,SUMIFS(Override!$E$11:$E$40,Override!$B$11:$B$40,$B106,Override!$D$11:$D$40,15)-SUMIFS(Override!$E$11:$E$40,Override!$B$11:$B$40,$B106,Override!$D$11:$D$40,15,Override!$C$11:$C$40,"MXAU"),Override!$Q$141)/AS51!$B$3,"")))</f>
        <v/>
      </c>
      <c r="U106" s="140">
        <f>IF(U$13="","",IF($B106="","",IFERROR($C106*$D106*IF((Override!$C$4="ON")*(COUNTIFS(Override!$B$11:$B$40,$B106,Override!$D$11:$D$40,16,Override!$E$11:$E$40,"&gt;=0")-COUNTIFS(Override!$B$11:$B$40,$B106,Override!$D$11:$D$40,16,Override!$E$11:$E$40,"&gt;=0",Override!$C$11:$C$40,"MXAU"))&gt;0,SUMIFS(Override!$E$11:$E$40,Override!$B$11:$B$40,$B106,Override!$D$11:$D$40,16)-SUMIFS(Override!$E$11:$E$40,Override!$B$11:$B$40,$B106,Override!$D$11:$D$40,16,Override!$C$11:$C$40,"MXAU"),Override!$R$141)/AS51!$B$3,"")))</f>
        <v/>
      </c>
      <c r="W106" s="140">
        <f>IF(W$13="","",IF($B106="","",IFERROR(F106*$E106/100,"")))</f>
        <v/>
      </c>
      <c r="X106" s="140">
        <f>IF(X$13="","",IF($B106="","",IFERROR(G106*$E106/100,"")))</f>
        <v/>
      </c>
      <c r="Y106" s="140">
        <f>IF(Y$13="","",IF($B106="","",IFERROR(H106*$E106/100,"")))</f>
        <v/>
      </c>
      <c r="Z106" s="140">
        <f>IF(Z$13="","",IF($B106="","",IFERROR(I106*$E106/100,"")))</f>
        <v/>
      </c>
      <c r="AA106" s="140">
        <f>IF(AA$13="","",IF($B106="","",IFERROR(J106*$E106/100,"")))</f>
        <v/>
      </c>
      <c r="AB106" s="140">
        <f>IF(AB$13="","",IF($B106="","",IFERROR(K106*$E106/100,"")))</f>
        <v/>
      </c>
      <c r="AC106" s="140">
        <f>IF(AC$13="","",IF($B106="","",IFERROR(L106*$E106/100,"")))</f>
        <v/>
      </c>
      <c r="AD106" s="140">
        <f>IF(AD$13="","",IF($B106="","",IFERROR(M106*$E106/100,"")))</f>
        <v/>
      </c>
      <c r="AE106" s="140">
        <f>IF(AE$13="","",IF($B106="","",IFERROR(N106*$E106/100,"")))</f>
        <v/>
      </c>
      <c r="AF106" s="140">
        <f>IF(AF$13="","",IF($B106="","",IFERROR(O106*$E106/100,"")))</f>
        <v/>
      </c>
      <c r="AG106" s="140">
        <f>IF(AG$13="","",IF($B106="","",IFERROR(P106*$E106/100,"")))</f>
        <v/>
      </c>
      <c r="AH106" s="140">
        <f>IF(AH$13="","",IF($B106="","",IFERROR(Q106*$E106/100,"")))</f>
        <v/>
      </c>
      <c r="AI106" s="140">
        <f>IF(AI$13="","",IF($B106="","",IFERROR(R106*$E106/100,"")))</f>
        <v/>
      </c>
      <c r="AJ106" s="140">
        <f>IF(AJ$13="","",IF($B106="","",IFERROR(S106*$E106/100,"")))</f>
        <v/>
      </c>
      <c r="AK106" s="140">
        <f>IF(AK$13="","",IF($B106="","",IFERROR(T106*$E106/100,"")))</f>
        <v/>
      </c>
      <c r="AL106" s="140">
        <f>IF(AL$13="","",IF($B106="","",IFERROR(U106*$E106/100,"")))</f>
        <v/>
      </c>
      <c r="AN106" s="140">
        <f>IF($B106="","",SUMIF($F$13:$U$13,"&lt;="&amp;Sector!$D$51,$F106:$U106))</f>
        <v/>
      </c>
      <c r="AO106" s="140">
        <f>IF($B106="","",SUMIF($W$13:$AL$13,"&lt;="&amp;Sector!$D$51,$W106:$AL106))</f>
        <v/>
      </c>
    </row>
    <row r="107">
      <c r="B107" s="5">
        <f>IF(AS51!$C$97="","",AS51!$C$97)</f>
        <v/>
      </c>
      <c r="C107" s="90">
        <f>IF(AS51!$B$97="","",AS51!$B$97)</f>
        <v/>
      </c>
      <c r="D107" s="138">
        <f>IFERROR(AS51!$Q$97,1)</f>
        <v/>
      </c>
      <c r="E107" s="139">
        <f>IF($B107="","",IF(ISNUMBER(AS51!$I$97),AS51!$I$97,'Index Summary'!$C$7))</f>
        <v/>
      </c>
      <c r="F107" s="140">
        <f>IF(F$13="","",IF($B107="","",IFERROR($C107*$D107*IF((Override!$C$4="ON")*(COUNTIFS(Override!$B$11:$B$40,$B107,Override!$D$11:$D$40,1,Override!$E$11:$E$40,"&gt;=0")-COUNTIFS(Override!$B$11:$B$40,$B107,Override!$D$11:$D$40,1,Override!$E$11:$E$40,"&gt;=0",Override!$C$11:$C$40,"MXAU"))&gt;0,SUMIFS(Override!$E$11:$E$40,Override!$B$11:$B$40,$B107,Override!$D$11:$D$40,1)-SUMIFS(Override!$E$11:$E$40,Override!$B$11:$B$40,$B107,Override!$D$11:$D$40,1,Override!$C$11:$C$40,"MXAU"),Override!$C$142)/AS51!$B$3,"")))</f>
        <v/>
      </c>
      <c r="G107" s="140">
        <f>IF(G$13="","",IF($B107="","",IFERROR($C107*$D107*IF((Override!$C$4="ON")*(COUNTIFS(Override!$B$11:$B$40,$B107,Override!$D$11:$D$40,2,Override!$E$11:$E$40,"&gt;=0")-COUNTIFS(Override!$B$11:$B$40,$B107,Override!$D$11:$D$40,2,Override!$E$11:$E$40,"&gt;=0",Override!$C$11:$C$40,"MXAU"))&gt;0,SUMIFS(Override!$E$11:$E$40,Override!$B$11:$B$40,$B107,Override!$D$11:$D$40,2)-SUMIFS(Override!$E$11:$E$40,Override!$B$11:$B$40,$B107,Override!$D$11:$D$40,2,Override!$C$11:$C$40,"MXAU"),Override!$D$142)/AS51!$B$3,"")))</f>
        <v/>
      </c>
      <c r="H107" s="140">
        <f>IF(H$13="","",IF($B107="","",IFERROR($C107*$D107*IF((Override!$C$4="ON")*(COUNTIFS(Override!$B$11:$B$40,$B107,Override!$D$11:$D$40,3,Override!$E$11:$E$40,"&gt;=0")-COUNTIFS(Override!$B$11:$B$40,$B107,Override!$D$11:$D$40,3,Override!$E$11:$E$40,"&gt;=0",Override!$C$11:$C$40,"MXAU"))&gt;0,SUMIFS(Override!$E$11:$E$40,Override!$B$11:$B$40,$B107,Override!$D$11:$D$40,3)-SUMIFS(Override!$E$11:$E$40,Override!$B$11:$B$40,$B107,Override!$D$11:$D$40,3,Override!$C$11:$C$40,"MXAU"),Override!$E$142)/AS51!$B$3,"")))</f>
        <v/>
      </c>
      <c r="I107" s="140">
        <f>IF(I$13="","",IF($B107="","",IFERROR($C107*$D107*IF((Override!$C$4="ON")*(COUNTIFS(Override!$B$11:$B$40,$B107,Override!$D$11:$D$40,4,Override!$E$11:$E$40,"&gt;=0")-COUNTIFS(Override!$B$11:$B$40,$B107,Override!$D$11:$D$40,4,Override!$E$11:$E$40,"&gt;=0",Override!$C$11:$C$40,"MXAU"))&gt;0,SUMIFS(Override!$E$11:$E$40,Override!$B$11:$B$40,$B107,Override!$D$11:$D$40,4)-SUMIFS(Override!$E$11:$E$40,Override!$B$11:$B$40,$B107,Override!$D$11:$D$40,4,Override!$C$11:$C$40,"MXAU"),Override!$F$142)/AS51!$B$3,"")))</f>
        <v/>
      </c>
      <c r="J107" s="140">
        <f>IF(J$13="","",IF($B107="","",IFERROR($C107*$D107*IF((Override!$C$4="ON")*(COUNTIFS(Override!$B$11:$B$40,$B107,Override!$D$11:$D$40,5,Override!$E$11:$E$40,"&gt;=0")-COUNTIFS(Override!$B$11:$B$40,$B107,Override!$D$11:$D$40,5,Override!$E$11:$E$40,"&gt;=0",Override!$C$11:$C$40,"MXAU"))&gt;0,SUMIFS(Override!$E$11:$E$40,Override!$B$11:$B$40,$B107,Override!$D$11:$D$40,5)-SUMIFS(Override!$E$11:$E$40,Override!$B$11:$B$40,$B107,Override!$D$11:$D$40,5,Override!$C$11:$C$40,"MXAU"),Override!$G$142)/AS51!$B$3,"")))</f>
        <v/>
      </c>
      <c r="K107" s="140">
        <f>IF(K$13="","",IF($B107="","",IFERROR($C107*$D107*IF((Override!$C$4="ON")*(COUNTIFS(Override!$B$11:$B$40,$B107,Override!$D$11:$D$40,6,Override!$E$11:$E$40,"&gt;=0")-COUNTIFS(Override!$B$11:$B$40,$B107,Override!$D$11:$D$40,6,Override!$E$11:$E$40,"&gt;=0",Override!$C$11:$C$40,"MXAU"))&gt;0,SUMIFS(Override!$E$11:$E$40,Override!$B$11:$B$40,$B107,Override!$D$11:$D$40,6)-SUMIFS(Override!$E$11:$E$40,Override!$B$11:$B$40,$B107,Override!$D$11:$D$40,6,Override!$C$11:$C$40,"MXAU"),Override!$H$142)/AS51!$B$3,"")))</f>
        <v/>
      </c>
      <c r="L107" s="140">
        <f>IF(L$13="","",IF($B107="","",IFERROR($C107*$D107*IF((Override!$C$4="ON")*(COUNTIFS(Override!$B$11:$B$40,$B107,Override!$D$11:$D$40,7,Override!$E$11:$E$40,"&gt;=0")-COUNTIFS(Override!$B$11:$B$40,$B107,Override!$D$11:$D$40,7,Override!$E$11:$E$40,"&gt;=0",Override!$C$11:$C$40,"MXAU"))&gt;0,SUMIFS(Override!$E$11:$E$40,Override!$B$11:$B$40,$B107,Override!$D$11:$D$40,7)-SUMIFS(Override!$E$11:$E$40,Override!$B$11:$B$40,$B107,Override!$D$11:$D$40,7,Override!$C$11:$C$40,"MXAU"),Override!$I$142)/AS51!$B$3,"")))</f>
        <v/>
      </c>
      <c r="M107" s="140">
        <f>IF(M$13="","",IF($B107="","",IFERROR($C107*$D107*IF((Override!$C$4="ON")*(COUNTIFS(Override!$B$11:$B$40,$B107,Override!$D$11:$D$40,8,Override!$E$11:$E$40,"&gt;=0")-COUNTIFS(Override!$B$11:$B$40,$B107,Override!$D$11:$D$40,8,Override!$E$11:$E$40,"&gt;=0",Override!$C$11:$C$40,"MXAU"))&gt;0,SUMIFS(Override!$E$11:$E$40,Override!$B$11:$B$40,$B107,Override!$D$11:$D$40,8)-SUMIFS(Override!$E$11:$E$40,Override!$B$11:$B$40,$B107,Override!$D$11:$D$40,8,Override!$C$11:$C$40,"MXAU"),Override!$J$142)/AS51!$B$3,"")))</f>
        <v/>
      </c>
      <c r="N107" s="140">
        <f>IF(N$13="","",IF($B107="","",IFERROR($C107*$D107*IF((Override!$C$4="ON")*(COUNTIFS(Override!$B$11:$B$40,$B107,Override!$D$11:$D$40,9,Override!$E$11:$E$40,"&gt;=0")-COUNTIFS(Override!$B$11:$B$40,$B107,Override!$D$11:$D$40,9,Override!$E$11:$E$40,"&gt;=0",Override!$C$11:$C$40,"MXAU"))&gt;0,SUMIFS(Override!$E$11:$E$40,Override!$B$11:$B$40,$B107,Override!$D$11:$D$40,9)-SUMIFS(Override!$E$11:$E$40,Override!$B$11:$B$40,$B107,Override!$D$11:$D$40,9,Override!$C$11:$C$40,"MXAU"),Override!$K$142)/AS51!$B$3,"")))</f>
        <v/>
      </c>
      <c r="O107" s="140">
        <f>IF(O$13="","",IF($B107="","",IFERROR($C107*$D107*IF((Override!$C$4="ON")*(COUNTIFS(Override!$B$11:$B$40,$B107,Override!$D$11:$D$40,10,Override!$E$11:$E$40,"&gt;=0")-COUNTIFS(Override!$B$11:$B$40,$B107,Override!$D$11:$D$40,10,Override!$E$11:$E$40,"&gt;=0",Override!$C$11:$C$40,"MXAU"))&gt;0,SUMIFS(Override!$E$11:$E$40,Override!$B$11:$B$40,$B107,Override!$D$11:$D$40,10)-SUMIFS(Override!$E$11:$E$40,Override!$B$11:$B$40,$B107,Override!$D$11:$D$40,10,Override!$C$11:$C$40,"MXAU"),Override!$L$142)/AS51!$B$3,"")))</f>
        <v/>
      </c>
      <c r="P107" s="140">
        <f>IF(P$13="","",IF($B107="","",IFERROR($C107*$D107*IF((Override!$C$4="ON")*(COUNTIFS(Override!$B$11:$B$40,$B107,Override!$D$11:$D$40,11,Override!$E$11:$E$40,"&gt;=0")-COUNTIFS(Override!$B$11:$B$40,$B107,Override!$D$11:$D$40,11,Override!$E$11:$E$40,"&gt;=0",Override!$C$11:$C$40,"MXAU"))&gt;0,SUMIFS(Override!$E$11:$E$40,Override!$B$11:$B$40,$B107,Override!$D$11:$D$40,11)-SUMIFS(Override!$E$11:$E$40,Override!$B$11:$B$40,$B107,Override!$D$11:$D$40,11,Override!$C$11:$C$40,"MXAU"),Override!$M$142)/AS51!$B$3,"")))</f>
        <v/>
      </c>
      <c r="Q107" s="140">
        <f>IF(Q$13="","",IF($B107="","",IFERROR($C107*$D107*IF((Override!$C$4="ON")*(COUNTIFS(Override!$B$11:$B$40,$B107,Override!$D$11:$D$40,12,Override!$E$11:$E$40,"&gt;=0")-COUNTIFS(Override!$B$11:$B$40,$B107,Override!$D$11:$D$40,12,Override!$E$11:$E$40,"&gt;=0",Override!$C$11:$C$40,"MXAU"))&gt;0,SUMIFS(Override!$E$11:$E$40,Override!$B$11:$B$40,$B107,Override!$D$11:$D$40,12)-SUMIFS(Override!$E$11:$E$40,Override!$B$11:$B$40,$B107,Override!$D$11:$D$40,12,Override!$C$11:$C$40,"MXAU"),Override!$N$142)/AS51!$B$3,"")))</f>
        <v/>
      </c>
      <c r="R107" s="140">
        <f>IF(R$13="","",IF($B107="","",IFERROR($C107*$D107*IF((Override!$C$4="ON")*(COUNTIFS(Override!$B$11:$B$40,$B107,Override!$D$11:$D$40,13,Override!$E$11:$E$40,"&gt;=0")-COUNTIFS(Override!$B$11:$B$40,$B107,Override!$D$11:$D$40,13,Override!$E$11:$E$40,"&gt;=0",Override!$C$11:$C$40,"MXAU"))&gt;0,SUMIFS(Override!$E$11:$E$40,Override!$B$11:$B$40,$B107,Override!$D$11:$D$40,13)-SUMIFS(Override!$E$11:$E$40,Override!$B$11:$B$40,$B107,Override!$D$11:$D$40,13,Override!$C$11:$C$40,"MXAU"),Override!$O$142)/AS51!$B$3,"")))</f>
        <v/>
      </c>
      <c r="S107" s="140">
        <f>IF(S$13="","",IF($B107="","",IFERROR($C107*$D107*IF((Override!$C$4="ON")*(COUNTIFS(Override!$B$11:$B$40,$B107,Override!$D$11:$D$40,14,Override!$E$11:$E$40,"&gt;=0")-COUNTIFS(Override!$B$11:$B$40,$B107,Override!$D$11:$D$40,14,Override!$E$11:$E$40,"&gt;=0",Override!$C$11:$C$40,"MXAU"))&gt;0,SUMIFS(Override!$E$11:$E$40,Override!$B$11:$B$40,$B107,Override!$D$11:$D$40,14)-SUMIFS(Override!$E$11:$E$40,Override!$B$11:$B$40,$B107,Override!$D$11:$D$40,14,Override!$C$11:$C$40,"MXAU"),Override!$P$142)/AS51!$B$3,"")))</f>
        <v/>
      </c>
      <c r="T107" s="140">
        <f>IF(T$13="","",IF($B107="","",IFERROR($C107*$D107*IF((Override!$C$4="ON")*(COUNTIFS(Override!$B$11:$B$40,$B107,Override!$D$11:$D$40,15,Override!$E$11:$E$40,"&gt;=0")-COUNTIFS(Override!$B$11:$B$40,$B107,Override!$D$11:$D$40,15,Override!$E$11:$E$40,"&gt;=0",Override!$C$11:$C$40,"MXAU"))&gt;0,SUMIFS(Override!$E$11:$E$40,Override!$B$11:$B$40,$B107,Override!$D$11:$D$40,15)-SUMIFS(Override!$E$11:$E$40,Override!$B$11:$B$40,$B107,Override!$D$11:$D$40,15,Override!$C$11:$C$40,"MXAU"),Override!$Q$142)/AS51!$B$3,"")))</f>
        <v/>
      </c>
      <c r="U107" s="140">
        <f>IF(U$13="","",IF($B107="","",IFERROR($C107*$D107*IF((Override!$C$4="ON")*(COUNTIFS(Override!$B$11:$B$40,$B107,Override!$D$11:$D$40,16,Override!$E$11:$E$40,"&gt;=0")-COUNTIFS(Override!$B$11:$B$40,$B107,Override!$D$11:$D$40,16,Override!$E$11:$E$40,"&gt;=0",Override!$C$11:$C$40,"MXAU"))&gt;0,SUMIFS(Override!$E$11:$E$40,Override!$B$11:$B$40,$B107,Override!$D$11:$D$40,16)-SUMIFS(Override!$E$11:$E$40,Override!$B$11:$B$40,$B107,Override!$D$11:$D$40,16,Override!$C$11:$C$40,"MXAU"),Override!$R$142)/AS51!$B$3,"")))</f>
        <v/>
      </c>
      <c r="W107" s="140">
        <f>IF(W$13="","",IF($B107="","",IFERROR(F107*$E107/100,"")))</f>
        <v/>
      </c>
      <c r="X107" s="140">
        <f>IF(X$13="","",IF($B107="","",IFERROR(G107*$E107/100,"")))</f>
        <v/>
      </c>
      <c r="Y107" s="140">
        <f>IF(Y$13="","",IF($B107="","",IFERROR(H107*$E107/100,"")))</f>
        <v/>
      </c>
      <c r="Z107" s="140">
        <f>IF(Z$13="","",IF($B107="","",IFERROR(I107*$E107/100,"")))</f>
        <v/>
      </c>
      <c r="AA107" s="140">
        <f>IF(AA$13="","",IF($B107="","",IFERROR(J107*$E107/100,"")))</f>
        <v/>
      </c>
      <c r="AB107" s="140">
        <f>IF(AB$13="","",IF($B107="","",IFERROR(K107*$E107/100,"")))</f>
        <v/>
      </c>
      <c r="AC107" s="140">
        <f>IF(AC$13="","",IF($B107="","",IFERROR(L107*$E107/100,"")))</f>
        <v/>
      </c>
      <c r="AD107" s="140">
        <f>IF(AD$13="","",IF($B107="","",IFERROR(M107*$E107/100,"")))</f>
        <v/>
      </c>
      <c r="AE107" s="140">
        <f>IF(AE$13="","",IF($B107="","",IFERROR(N107*$E107/100,"")))</f>
        <v/>
      </c>
      <c r="AF107" s="140">
        <f>IF(AF$13="","",IF($B107="","",IFERROR(O107*$E107/100,"")))</f>
        <v/>
      </c>
      <c r="AG107" s="140">
        <f>IF(AG$13="","",IF($B107="","",IFERROR(P107*$E107/100,"")))</f>
        <v/>
      </c>
      <c r="AH107" s="140">
        <f>IF(AH$13="","",IF($B107="","",IFERROR(Q107*$E107/100,"")))</f>
        <v/>
      </c>
      <c r="AI107" s="140">
        <f>IF(AI$13="","",IF($B107="","",IFERROR(R107*$E107/100,"")))</f>
        <v/>
      </c>
      <c r="AJ107" s="140">
        <f>IF(AJ$13="","",IF($B107="","",IFERROR(S107*$E107/100,"")))</f>
        <v/>
      </c>
      <c r="AK107" s="140">
        <f>IF(AK$13="","",IF($B107="","",IFERROR(T107*$E107/100,"")))</f>
        <v/>
      </c>
      <c r="AL107" s="140">
        <f>IF(AL$13="","",IF($B107="","",IFERROR(U107*$E107/100,"")))</f>
        <v/>
      </c>
      <c r="AN107" s="140">
        <f>IF($B107="","",SUMIF($F$13:$U$13,"&lt;="&amp;Sector!$D$51,$F107:$U107))</f>
        <v/>
      </c>
      <c r="AO107" s="140">
        <f>IF($B107="","",SUMIF($W$13:$AL$13,"&lt;="&amp;Sector!$D$51,$W107:$AL107))</f>
        <v/>
      </c>
    </row>
    <row r="108">
      <c r="B108" s="5">
        <f>IF(AS51!$C$98="","",AS51!$C$98)</f>
        <v/>
      </c>
      <c r="C108" s="90">
        <f>IF(AS51!$B$98="","",AS51!$B$98)</f>
        <v/>
      </c>
      <c r="D108" s="138">
        <f>IFERROR(AS51!$Q$98,1)</f>
        <v/>
      </c>
      <c r="E108" s="139">
        <f>IF($B108="","",IF(ISNUMBER(AS51!$I$98),AS51!$I$98,'Index Summary'!$C$7))</f>
        <v/>
      </c>
      <c r="F108" s="140">
        <f>IF(F$13="","",IF($B108="","",IFERROR($C108*$D108*IF((Override!$C$4="ON")*(COUNTIFS(Override!$B$11:$B$40,$B108,Override!$D$11:$D$40,1,Override!$E$11:$E$40,"&gt;=0")-COUNTIFS(Override!$B$11:$B$40,$B108,Override!$D$11:$D$40,1,Override!$E$11:$E$40,"&gt;=0",Override!$C$11:$C$40,"MXAU"))&gt;0,SUMIFS(Override!$E$11:$E$40,Override!$B$11:$B$40,$B108,Override!$D$11:$D$40,1)-SUMIFS(Override!$E$11:$E$40,Override!$B$11:$B$40,$B108,Override!$D$11:$D$40,1,Override!$C$11:$C$40,"MXAU"),Override!$C$143)/AS51!$B$3,"")))</f>
        <v/>
      </c>
      <c r="G108" s="140">
        <f>IF(G$13="","",IF($B108="","",IFERROR($C108*$D108*IF((Override!$C$4="ON")*(COUNTIFS(Override!$B$11:$B$40,$B108,Override!$D$11:$D$40,2,Override!$E$11:$E$40,"&gt;=0")-COUNTIFS(Override!$B$11:$B$40,$B108,Override!$D$11:$D$40,2,Override!$E$11:$E$40,"&gt;=0",Override!$C$11:$C$40,"MXAU"))&gt;0,SUMIFS(Override!$E$11:$E$40,Override!$B$11:$B$40,$B108,Override!$D$11:$D$40,2)-SUMIFS(Override!$E$11:$E$40,Override!$B$11:$B$40,$B108,Override!$D$11:$D$40,2,Override!$C$11:$C$40,"MXAU"),Override!$D$143)/AS51!$B$3,"")))</f>
        <v/>
      </c>
      <c r="H108" s="140">
        <f>IF(H$13="","",IF($B108="","",IFERROR($C108*$D108*IF((Override!$C$4="ON")*(COUNTIFS(Override!$B$11:$B$40,$B108,Override!$D$11:$D$40,3,Override!$E$11:$E$40,"&gt;=0")-COUNTIFS(Override!$B$11:$B$40,$B108,Override!$D$11:$D$40,3,Override!$E$11:$E$40,"&gt;=0",Override!$C$11:$C$40,"MXAU"))&gt;0,SUMIFS(Override!$E$11:$E$40,Override!$B$11:$B$40,$B108,Override!$D$11:$D$40,3)-SUMIFS(Override!$E$11:$E$40,Override!$B$11:$B$40,$B108,Override!$D$11:$D$40,3,Override!$C$11:$C$40,"MXAU"),Override!$E$143)/AS51!$B$3,"")))</f>
        <v/>
      </c>
      <c r="I108" s="140">
        <f>IF(I$13="","",IF($B108="","",IFERROR($C108*$D108*IF((Override!$C$4="ON")*(COUNTIFS(Override!$B$11:$B$40,$B108,Override!$D$11:$D$40,4,Override!$E$11:$E$40,"&gt;=0")-COUNTIFS(Override!$B$11:$B$40,$B108,Override!$D$11:$D$40,4,Override!$E$11:$E$40,"&gt;=0",Override!$C$11:$C$40,"MXAU"))&gt;0,SUMIFS(Override!$E$11:$E$40,Override!$B$11:$B$40,$B108,Override!$D$11:$D$40,4)-SUMIFS(Override!$E$11:$E$40,Override!$B$11:$B$40,$B108,Override!$D$11:$D$40,4,Override!$C$11:$C$40,"MXAU"),Override!$F$143)/AS51!$B$3,"")))</f>
        <v/>
      </c>
      <c r="J108" s="140">
        <f>IF(J$13="","",IF($B108="","",IFERROR($C108*$D108*IF((Override!$C$4="ON")*(COUNTIFS(Override!$B$11:$B$40,$B108,Override!$D$11:$D$40,5,Override!$E$11:$E$40,"&gt;=0")-COUNTIFS(Override!$B$11:$B$40,$B108,Override!$D$11:$D$40,5,Override!$E$11:$E$40,"&gt;=0",Override!$C$11:$C$40,"MXAU"))&gt;0,SUMIFS(Override!$E$11:$E$40,Override!$B$11:$B$40,$B108,Override!$D$11:$D$40,5)-SUMIFS(Override!$E$11:$E$40,Override!$B$11:$B$40,$B108,Override!$D$11:$D$40,5,Override!$C$11:$C$40,"MXAU"),Override!$G$143)/AS51!$B$3,"")))</f>
        <v/>
      </c>
      <c r="K108" s="140">
        <f>IF(K$13="","",IF($B108="","",IFERROR($C108*$D108*IF((Override!$C$4="ON")*(COUNTIFS(Override!$B$11:$B$40,$B108,Override!$D$11:$D$40,6,Override!$E$11:$E$40,"&gt;=0")-COUNTIFS(Override!$B$11:$B$40,$B108,Override!$D$11:$D$40,6,Override!$E$11:$E$40,"&gt;=0",Override!$C$11:$C$40,"MXAU"))&gt;0,SUMIFS(Override!$E$11:$E$40,Override!$B$11:$B$40,$B108,Override!$D$11:$D$40,6)-SUMIFS(Override!$E$11:$E$40,Override!$B$11:$B$40,$B108,Override!$D$11:$D$40,6,Override!$C$11:$C$40,"MXAU"),Override!$H$143)/AS51!$B$3,"")))</f>
        <v/>
      </c>
      <c r="L108" s="140">
        <f>IF(L$13="","",IF($B108="","",IFERROR($C108*$D108*IF((Override!$C$4="ON")*(COUNTIFS(Override!$B$11:$B$40,$B108,Override!$D$11:$D$40,7,Override!$E$11:$E$40,"&gt;=0")-COUNTIFS(Override!$B$11:$B$40,$B108,Override!$D$11:$D$40,7,Override!$E$11:$E$40,"&gt;=0",Override!$C$11:$C$40,"MXAU"))&gt;0,SUMIFS(Override!$E$11:$E$40,Override!$B$11:$B$40,$B108,Override!$D$11:$D$40,7)-SUMIFS(Override!$E$11:$E$40,Override!$B$11:$B$40,$B108,Override!$D$11:$D$40,7,Override!$C$11:$C$40,"MXAU"),Override!$I$143)/AS51!$B$3,"")))</f>
        <v/>
      </c>
      <c r="M108" s="140">
        <f>IF(M$13="","",IF($B108="","",IFERROR($C108*$D108*IF((Override!$C$4="ON")*(COUNTIFS(Override!$B$11:$B$40,$B108,Override!$D$11:$D$40,8,Override!$E$11:$E$40,"&gt;=0")-COUNTIFS(Override!$B$11:$B$40,$B108,Override!$D$11:$D$40,8,Override!$E$11:$E$40,"&gt;=0",Override!$C$11:$C$40,"MXAU"))&gt;0,SUMIFS(Override!$E$11:$E$40,Override!$B$11:$B$40,$B108,Override!$D$11:$D$40,8)-SUMIFS(Override!$E$11:$E$40,Override!$B$11:$B$40,$B108,Override!$D$11:$D$40,8,Override!$C$11:$C$40,"MXAU"),Override!$J$143)/AS51!$B$3,"")))</f>
        <v/>
      </c>
      <c r="N108" s="140">
        <f>IF(N$13="","",IF($B108="","",IFERROR($C108*$D108*IF((Override!$C$4="ON")*(COUNTIFS(Override!$B$11:$B$40,$B108,Override!$D$11:$D$40,9,Override!$E$11:$E$40,"&gt;=0")-COUNTIFS(Override!$B$11:$B$40,$B108,Override!$D$11:$D$40,9,Override!$E$11:$E$40,"&gt;=0",Override!$C$11:$C$40,"MXAU"))&gt;0,SUMIFS(Override!$E$11:$E$40,Override!$B$11:$B$40,$B108,Override!$D$11:$D$40,9)-SUMIFS(Override!$E$11:$E$40,Override!$B$11:$B$40,$B108,Override!$D$11:$D$40,9,Override!$C$11:$C$40,"MXAU"),Override!$K$143)/AS51!$B$3,"")))</f>
        <v/>
      </c>
      <c r="O108" s="140">
        <f>IF(O$13="","",IF($B108="","",IFERROR($C108*$D108*IF((Override!$C$4="ON")*(COUNTIFS(Override!$B$11:$B$40,$B108,Override!$D$11:$D$40,10,Override!$E$11:$E$40,"&gt;=0")-COUNTIFS(Override!$B$11:$B$40,$B108,Override!$D$11:$D$40,10,Override!$E$11:$E$40,"&gt;=0",Override!$C$11:$C$40,"MXAU"))&gt;0,SUMIFS(Override!$E$11:$E$40,Override!$B$11:$B$40,$B108,Override!$D$11:$D$40,10)-SUMIFS(Override!$E$11:$E$40,Override!$B$11:$B$40,$B108,Override!$D$11:$D$40,10,Override!$C$11:$C$40,"MXAU"),Override!$L$143)/AS51!$B$3,"")))</f>
        <v/>
      </c>
      <c r="P108" s="140">
        <f>IF(P$13="","",IF($B108="","",IFERROR($C108*$D108*IF((Override!$C$4="ON")*(COUNTIFS(Override!$B$11:$B$40,$B108,Override!$D$11:$D$40,11,Override!$E$11:$E$40,"&gt;=0")-COUNTIFS(Override!$B$11:$B$40,$B108,Override!$D$11:$D$40,11,Override!$E$11:$E$40,"&gt;=0",Override!$C$11:$C$40,"MXAU"))&gt;0,SUMIFS(Override!$E$11:$E$40,Override!$B$11:$B$40,$B108,Override!$D$11:$D$40,11)-SUMIFS(Override!$E$11:$E$40,Override!$B$11:$B$40,$B108,Override!$D$11:$D$40,11,Override!$C$11:$C$40,"MXAU"),Override!$M$143)/AS51!$B$3,"")))</f>
        <v/>
      </c>
      <c r="Q108" s="140">
        <f>IF(Q$13="","",IF($B108="","",IFERROR($C108*$D108*IF((Override!$C$4="ON")*(COUNTIFS(Override!$B$11:$B$40,$B108,Override!$D$11:$D$40,12,Override!$E$11:$E$40,"&gt;=0")-COUNTIFS(Override!$B$11:$B$40,$B108,Override!$D$11:$D$40,12,Override!$E$11:$E$40,"&gt;=0",Override!$C$11:$C$40,"MXAU"))&gt;0,SUMIFS(Override!$E$11:$E$40,Override!$B$11:$B$40,$B108,Override!$D$11:$D$40,12)-SUMIFS(Override!$E$11:$E$40,Override!$B$11:$B$40,$B108,Override!$D$11:$D$40,12,Override!$C$11:$C$40,"MXAU"),Override!$N$143)/AS51!$B$3,"")))</f>
        <v/>
      </c>
      <c r="R108" s="140">
        <f>IF(R$13="","",IF($B108="","",IFERROR($C108*$D108*IF((Override!$C$4="ON")*(COUNTIFS(Override!$B$11:$B$40,$B108,Override!$D$11:$D$40,13,Override!$E$11:$E$40,"&gt;=0")-COUNTIFS(Override!$B$11:$B$40,$B108,Override!$D$11:$D$40,13,Override!$E$11:$E$40,"&gt;=0",Override!$C$11:$C$40,"MXAU"))&gt;0,SUMIFS(Override!$E$11:$E$40,Override!$B$11:$B$40,$B108,Override!$D$11:$D$40,13)-SUMIFS(Override!$E$11:$E$40,Override!$B$11:$B$40,$B108,Override!$D$11:$D$40,13,Override!$C$11:$C$40,"MXAU"),Override!$O$143)/AS51!$B$3,"")))</f>
        <v/>
      </c>
      <c r="S108" s="140">
        <f>IF(S$13="","",IF($B108="","",IFERROR($C108*$D108*IF((Override!$C$4="ON")*(COUNTIFS(Override!$B$11:$B$40,$B108,Override!$D$11:$D$40,14,Override!$E$11:$E$40,"&gt;=0")-COUNTIFS(Override!$B$11:$B$40,$B108,Override!$D$11:$D$40,14,Override!$E$11:$E$40,"&gt;=0",Override!$C$11:$C$40,"MXAU"))&gt;0,SUMIFS(Override!$E$11:$E$40,Override!$B$11:$B$40,$B108,Override!$D$11:$D$40,14)-SUMIFS(Override!$E$11:$E$40,Override!$B$11:$B$40,$B108,Override!$D$11:$D$40,14,Override!$C$11:$C$40,"MXAU"),Override!$P$143)/AS51!$B$3,"")))</f>
        <v/>
      </c>
      <c r="T108" s="140">
        <f>IF(T$13="","",IF($B108="","",IFERROR($C108*$D108*IF((Override!$C$4="ON")*(COUNTIFS(Override!$B$11:$B$40,$B108,Override!$D$11:$D$40,15,Override!$E$11:$E$40,"&gt;=0")-COUNTIFS(Override!$B$11:$B$40,$B108,Override!$D$11:$D$40,15,Override!$E$11:$E$40,"&gt;=0",Override!$C$11:$C$40,"MXAU"))&gt;0,SUMIFS(Override!$E$11:$E$40,Override!$B$11:$B$40,$B108,Override!$D$11:$D$40,15)-SUMIFS(Override!$E$11:$E$40,Override!$B$11:$B$40,$B108,Override!$D$11:$D$40,15,Override!$C$11:$C$40,"MXAU"),Override!$Q$143)/AS51!$B$3,"")))</f>
        <v/>
      </c>
      <c r="U108" s="140">
        <f>IF(U$13="","",IF($B108="","",IFERROR($C108*$D108*IF((Override!$C$4="ON")*(COUNTIFS(Override!$B$11:$B$40,$B108,Override!$D$11:$D$40,16,Override!$E$11:$E$40,"&gt;=0")-COUNTIFS(Override!$B$11:$B$40,$B108,Override!$D$11:$D$40,16,Override!$E$11:$E$40,"&gt;=0",Override!$C$11:$C$40,"MXAU"))&gt;0,SUMIFS(Override!$E$11:$E$40,Override!$B$11:$B$40,$B108,Override!$D$11:$D$40,16)-SUMIFS(Override!$E$11:$E$40,Override!$B$11:$B$40,$B108,Override!$D$11:$D$40,16,Override!$C$11:$C$40,"MXAU"),Override!$R$143)/AS51!$B$3,"")))</f>
        <v/>
      </c>
      <c r="W108" s="140">
        <f>IF(W$13="","",IF($B108="","",IFERROR(F108*$E108/100,"")))</f>
        <v/>
      </c>
      <c r="X108" s="140">
        <f>IF(X$13="","",IF($B108="","",IFERROR(G108*$E108/100,"")))</f>
        <v/>
      </c>
      <c r="Y108" s="140">
        <f>IF(Y$13="","",IF($B108="","",IFERROR(H108*$E108/100,"")))</f>
        <v/>
      </c>
      <c r="Z108" s="140">
        <f>IF(Z$13="","",IF($B108="","",IFERROR(I108*$E108/100,"")))</f>
        <v/>
      </c>
      <c r="AA108" s="140">
        <f>IF(AA$13="","",IF($B108="","",IFERROR(J108*$E108/100,"")))</f>
        <v/>
      </c>
      <c r="AB108" s="140">
        <f>IF(AB$13="","",IF($B108="","",IFERROR(K108*$E108/100,"")))</f>
        <v/>
      </c>
      <c r="AC108" s="140">
        <f>IF(AC$13="","",IF($B108="","",IFERROR(L108*$E108/100,"")))</f>
        <v/>
      </c>
      <c r="AD108" s="140">
        <f>IF(AD$13="","",IF($B108="","",IFERROR(M108*$E108/100,"")))</f>
        <v/>
      </c>
      <c r="AE108" s="140">
        <f>IF(AE$13="","",IF($B108="","",IFERROR(N108*$E108/100,"")))</f>
        <v/>
      </c>
      <c r="AF108" s="140">
        <f>IF(AF$13="","",IF($B108="","",IFERROR(O108*$E108/100,"")))</f>
        <v/>
      </c>
      <c r="AG108" s="140">
        <f>IF(AG$13="","",IF($B108="","",IFERROR(P108*$E108/100,"")))</f>
        <v/>
      </c>
      <c r="AH108" s="140">
        <f>IF(AH$13="","",IF($B108="","",IFERROR(Q108*$E108/100,"")))</f>
        <v/>
      </c>
      <c r="AI108" s="140">
        <f>IF(AI$13="","",IF($B108="","",IFERROR(R108*$E108/100,"")))</f>
        <v/>
      </c>
      <c r="AJ108" s="140">
        <f>IF(AJ$13="","",IF($B108="","",IFERROR(S108*$E108/100,"")))</f>
        <v/>
      </c>
      <c r="AK108" s="140">
        <f>IF(AK$13="","",IF($B108="","",IFERROR(T108*$E108/100,"")))</f>
        <v/>
      </c>
      <c r="AL108" s="140">
        <f>IF(AL$13="","",IF($B108="","",IFERROR(U108*$E108/100,"")))</f>
        <v/>
      </c>
      <c r="AN108" s="140">
        <f>IF($B108="","",SUMIF($F$13:$U$13,"&lt;="&amp;Sector!$D$51,$F108:$U108))</f>
        <v/>
      </c>
      <c r="AO108" s="140">
        <f>IF($B108="","",SUMIF($W$13:$AL$13,"&lt;="&amp;Sector!$D$51,$W108:$AL108))</f>
        <v/>
      </c>
    </row>
    <row r="109">
      <c r="B109" s="5">
        <f>IF(AS51!$C$99="","",AS51!$C$99)</f>
        <v/>
      </c>
      <c r="C109" s="90">
        <f>IF(AS51!$B$99="","",AS51!$B$99)</f>
        <v/>
      </c>
      <c r="D109" s="138">
        <f>IFERROR(AS51!$Q$99,1)</f>
        <v/>
      </c>
      <c r="E109" s="139">
        <f>IF($B109="","",IF(ISNUMBER(AS51!$I$99),AS51!$I$99,'Index Summary'!$C$7))</f>
        <v/>
      </c>
      <c r="F109" s="140">
        <f>IF(F$13="","",IF($B109="","",IFERROR($C109*$D109*IF((Override!$C$4="ON")*(COUNTIFS(Override!$B$11:$B$40,$B109,Override!$D$11:$D$40,1,Override!$E$11:$E$40,"&gt;=0")-COUNTIFS(Override!$B$11:$B$40,$B109,Override!$D$11:$D$40,1,Override!$E$11:$E$40,"&gt;=0",Override!$C$11:$C$40,"MXAU"))&gt;0,SUMIFS(Override!$E$11:$E$40,Override!$B$11:$B$40,$B109,Override!$D$11:$D$40,1)-SUMIFS(Override!$E$11:$E$40,Override!$B$11:$B$40,$B109,Override!$D$11:$D$40,1,Override!$C$11:$C$40,"MXAU"),Override!$C$144)/AS51!$B$3,"")))</f>
        <v/>
      </c>
      <c r="G109" s="140">
        <f>IF(G$13="","",IF($B109="","",IFERROR($C109*$D109*IF((Override!$C$4="ON")*(COUNTIFS(Override!$B$11:$B$40,$B109,Override!$D$11:$D$40,2,Override!$E$11:$E$40,"&gt;=0")-COUNTIFS(Override!$B$11:$B$40,$B109,Override!$D$11:$D$40,2,Override!$E$11:$E$40,"&gt;=0",Override!$C$11:$C$40,"MXAU"))&gt;0,SUMIFS(Override!$E$11:$E$40,Override!$B$11:$B$40,$B109,Override!$D$11:$D$40,2)-SUMIFS(Override!$E$11:$E$40,Override!$B$11:$B$40,$B109,Override!$D$11:$D$40,2,Override!$C$11:$C$40,"MXAU"),Override!$D$144)/AS51!$B$3,"")))</f>
        <v/>
      </c>
      <c r="H109" s="140">
        <f>IF(H$13="","",IF($B109="","",IFERROR($C109*$D109*IF((Override!$C$4="ON")*(COUNTIFS(Override!$B$11:$B$40,$B109,Override!$D$11:$D$40,3,Override!$E$11:$E$40,"&gt;=0")-COUNTIFS(Override!$B$11:$B$40,$B109,Override!$D$11:$D$40,3,Override!$E$11:$E$40,"&gt;=0",Override!$C$11:$C$40,"MXAU"))&gt;0,SUMIFS(Override!$E$11:$E$40,Override!$B$11:$B$40,$B109,Override!$D$11:$D$40,3)-SUMIFS(Override!$E$11:$E$40,Override!$B$11:$B$40,$B109,Override!$D$11:$D$40,3,Override!$C$11:$C$40,"MXAU"),Override!$E$144)/AS51!$B$3,"")))</f>
        <v/>
      </c>
      <c r="I109" s="140">
        <f>IF(I$13="","",IF($B109="","",IFERROR($C109*$D109*IF((Override!$C$4="ON")*(COUNTIFS(Override!$B$11:$B$40,$B109,Override!$D$11:$D$40,4,Override!$E$11:$E$40,"&gt;=0")-COUNTIFS(Override!$B$11:$B$40,$B109,Override!$D$11:$D$40,4,Override!$E$11:$E$40,"&gt;=0",Override!$C$11:$C$40,"MXAU"))&gt;0,SUMIFS(Override!$E$11:$E$40,Override!$B$11:$B$40,$B109,Override!$D$11:$D$40,4)-SUMIFS(Override!$E$11:$E$40,Override!$B$11:$B$40,$B109,Override!$D$11:$D$40,4,Override!$C$11:$C$40,"MXAU"),Override!$F$144)/AS51!$B$3,"")))</f>
        <v/>
      </c>
      <c r="J109" s="140">
        <f>IF(J$13="","",IF($B109="","",IFERROR($C109*$D109*IF((Override!$C$4="ON")*(COUNTIFS(Override!$B$11:$B$40,$B109,Override!$D$11:$D$40,5,Override!$E$11:$E$40,"&gt;=0")-COUNTIFS(Override!$B$11:$B$40,$B109,Override!$D$11:$D$40,5,Override!$E$11:$E$40,"&gt;=0",Override!$C$11:$C$40,"MXAU"))&gt;0,SUMIFS(Override!$E$11:$E$40,Override!$B$11:$B$40,$B109,Override!$D$11:$D$40,5)-SUMIFS(Override!$E$11:$E$40,Override!$B$11:$B$40,$B109,Override!$D$11:$D$40,5,Override!$C$11:$C$40,"MXAU"),Override!$G$144)/AS51!$B$3,"")))</f>
        <v/>
      </c>
      <c r="K109" s="140">
        <f>IF(K$13="","",IF($B109="","",IFERROR($C109*$D109*IF((Override!$C$4="ON")*(COUNTIFS(Override!$B$11:$B$40,$B109,Override!$D$11:$D$40,6,Override!$E$11:$E$40,"&gt;=0")-COUNTIFS(Override!$B$11:$B$40,$B109,Override!$D$11:$D$40,6,Override!$E$11:$E$40,"&gt;=0",Override!$C$11:$C$40,"MXAU"))&gt;0,SUMIFS(Override!$E$11:$E$40,Override!$B$11:$B$40,$B109,Override!$D$11:$D$40,6)-SUMIFS(Override!$E$11:$E$40,Override!$B$11:$B$40,$B109,Override!$D$11:$D$40,6,Override!$C$11:$C$40,"MXAU"),Override!$H$144)/AS51!$B$3,"")))</f>
        <v/>
      </c>
      <c r="L109" s="140">
        <f>IF(L$13="","",IF($B109="","",IFERROR($C109*$D109*IF((Override!$C$4="ON")*(COUNTIFS(Override!$B$11:$B$40,$B109,Override!$D$11:$D$40,7,Override!$E$11:$E$40,"&gt;=0")-COUNTIFS(Override!$B$11:$B$40,$B109,Override!$D$11:$D$40,7,Override!$E$11:$E$40,"&gt;=0",Override!$C$11:$C$40,"MXAU"))&gt;0,SUMIFS(Override!$E$11:$E$40,Override!$B$11:$B$40,$B109,Override!$D$11:$D$40,7)-SUMIFS(Override!$E$11:$E$40,Override!$B$11:$B$40,$B109,Override!$D$11:$D$40,7,Override!$C$11:$C$40,"MXAU"),Override!$I$144)/AS51!$B$3,"")))</f>
        <v/>
      </c>
      <c r="M109" s="140">
        <f>IF(M$13="","",IF($B109="","",IFERROR($C109*$D109*IF((Override!$C$4="ON")*(COUNTIFS(Override!$B$11:$B$40,$B109,Override!$D$11:$D$40,8,Override!$E$11:$E$40,"&gt;=0")-COUNTIFS(Override!$B$11:$B$40,$B109,Override!$D$11:$D$40,8,Override!$E$11:$E$40,"&gt;=0",Override!$C$11:$C$40,"MXAU"))&gt;0,SUMIFS(Override!$E$11:$E$40,Override!$B$11:$B$40,$B109,Override!$D$11:$D$40,8)-SUMIFS(Override!$E$11:$E$40,Override!$B$11:$B$40,$B109,Override!$D$11:$D$40,8,Override!$C$11:$C$40,"MXAU"),Override!$J$144)/AS51!$B$3,"")))</f>
        <v/>
      </c>
      <c r="N109" s="140">
        <f>IF(N$13="","",IF($B109="","",IFERROR($C109*$D109*IF((Override!$C$4="ON")*(COUNTIFS(Override!$B$11:$B$40,$B109,Override!$D$11:$D$40,9,Override!$E$11:$E$40,"&gt;=0")-COUNTIFS(Override!$B$11:$B$40,$B109,Override!$D$11:$D$40,9,Override!$E$11:$E$40,"&gt;=0",Override!$C$11:$C$40,"MXAU"))&gt;0,SUMIFS(Override!$E$11:$E$40,Override!$B$11:$B$40,$B109,Override!$D$11:$D$40,9)-SUMIFS(Override!$E$11:$E$40,Override!$B$11:$B$40,$B109,Override!$D$11:$D$40,9,Override!$C$11:$C$40,"MXAU"),Override!$K$144)/AS51!$B$3,"")))</f>
        <v/>
      </c>
      <c r="O109" s="140">
        <f>IF(O$13="","",IF($B109="","",IFERROR($C109*$D109*IF((Override!$C$4="ON")*(COUNTIFS(Override!$B$11:$B$40,$B109,Override!$D$11:$D$40,10,Override!$E$11:$E$40,"&gt;=0")-COUNTIFS(Override!$B$11:$B$40,$B109,Override!$D$11:$D$40,10,Override!$E$11:$E$40,"&gt;=0",Override!$C$11:$C$40,"MXAU"))&gt;0,SUMIFS(Override!$E$11:$E$40,Override!$B$11:$B$40,$B109,Override!$D$11:$D$40,10)-SUMIFS(Override!$E$11:$E$40,Override!$B$11:$B$40,$B109,Override!$D$11:$D$40,10,Override!$C$11:$C$40,"MXAU"),Override!$L$144)/AS51!$B$3,"")))</f>
        <v/>
      </c>
      <c r="P109" s="140">
        <f>IF(P$13="","",IF($B109="","",IFERROR($C109*$D109*IF((Override!$C$4="ON")*(COUNTIFS(Override!$B$11:$B$40,$B109,Override!$D$11:$D$40,11,Override!$E$11:$E$40,"&gt;=0")-COUNTIFS(Override!$B$11:$B$40,$B109,Override!$D$11:$D$40,11,Override!$E$11:$E$40,"&gt;=0",Override!$C$11:$C$40,"MXAU"))&gt;0,SUMIFS(Override!$E$11:$E$40,Override!$B$11:$B$40,$B109,Override!$D$11:$D$40,11)-SUMIFS(Override!$E$11:$E$40,Override!$B$11:$B$40,$B109,Override!$D$11:$D$40,11,Override!$C$11:$C$40,"MXAU"),Override!$M$144)/AS51!$B$3,"")))</f>
        <v/>
      </c>
      <c r="Q109" s="140">
        <f>IF(Q$13="","",IF($B109="","",IFERROR($C109*$D109*IF((Override!$C$4="ON")*(COUNTIFS(Override!$B$11:$B$40,$B109,Override!$D$11:$D$40,12,Override!$E$11:$E$40,"&gt;=0")-COUNTIFS(Override!$B$11:$B$40,$B109,Override!$D$11:$D$40,12,Override!$E$11:$E$40,"&gt;=0",Override!$C$11:$C$40,"MXAU"))&gt;0,SUMIFS(Override!$E$11:$E$40,Override!$B$11:$B$40,$B109,Override!$D$11:$D$40,12)-SUMIFS(Override!$E$11:$E$40,Override!$B$11:$B$40,$B109,Override!$D$11:$D$40,12,Override!$C$11:$C$40,"MXAU"),Override!$N$144)/AS51!$B$3,"")))</f>
        <v/>
      </c>
      <c r="R109" s="140">
        <f>IF(R$13="","",IF($B109="","",IFERROR($C109*$D109*IF((Override!$C$4="ON")*(COUNTIFS(Override!$B$11:$B$40,$B109,Override!$D$11:$D$40,13,Override!$E$11:$E$40,"&gt;=0")-COUNTIFS(Override!$B$11:$B$40,$B109,Override!$D$11:$D$40,13,Override!$E$11:$E$40,"&gt;=0",Override!$C$11:$C$40,"MXAU"))&gt;0,SUMIFS(Override!$E$11:$E$40,Override!$B$11:$B$40,$B109,Override!$D$11:$D$40,13)-SUMIFS(Override!$E$11:$E$40,Override!$B$11:$B$40,$B109,Override!$D$11:$D$40,13,Override!$C$11:$C$40,"MXAU"),Override!$O$144)/AS51!$B$3,"")))</f>
        <v/>
      </c>
      <c r="S109" s="140">
        <f>IF(S$13="","",IF($B109="","",IFERROR($C109*$D109*IF((Override!$C$4="ON")*(COUNTIFS(Override!$B$11:$B$40,$B109,Override!$D$11:$D$40,14,Override!$E$11:$E$40,"&gt;=0")-COUNTIFS(Override!$B$11:$B$40,$B109,Override!$D$11:$D$40,14,Override!$E$11:$E$40,"&gt;=0",Override!$C$11:$C$40,"MXAU"))&gt;0,SUMIFS(Override!$E$11:$E$40,Override!$B$11:$B$40,$B109,Override!$D$11:$D$40,14)-SUMIFS(Override!$E$11:$E$40,Override!$B$11:$B$40,$B109,Override!$D$11:$D$40,14,Override!$C$11:$C$40,"MXAU"),Override!$P$144)/AS51!$B$3,"")))</f>
        <v/>
      </c>
      <c r="T109" s="140">
        <f>IF(T$13="","",IF($B109="","",IFERROR($C109*$D109*IF((Override!$C$4="ON")*(COUNTIFS(Override!$B$11:$B$40,$B109,Override!$D$11:$D$40,15,Override!$E$11:$E$40,"&gt;=0")-COUNTIFS(Override!$B$11:$B$40,$B109,Override!$D$11:$D$40,15,Override!$E$11:$E$40,"&gt;=0",Override!$C$11:$C$40,"MXAU"))&gt;0,SUMIFS(Override!$E$11:$E$40,Override!$B$11:$B$40,$B109,Override!$D$11:$D$40,15)-SUMIFS(Override!$E$11:$E$40,Override!$B$11:$B$40,$B109,Override!$D$11:$D$40,15,Override!$C$11:$C$40,"MXAU"),Override!$Q$144)/AS51!$B$3,"")))</f>
        <v/>
      </c>
      <c r="U109" s="140">
        <f>IF(U$13="","",IF($B109="","",IFERROR($C109*$D109*IF((Override!$C$4="ON")*(COUNTIFS(Override!$B$11:$B$40,$B109,Override!$D$11:$D$40,16,Override!$E$11:$E$40,"&gt;=0")-COUNTIFS(Override!$B$11:$B$40,$B109,Override!$D$11:$D$40,16,Override!$E$11:$E$40,"&gt;=0",Override!$C$11:$C$40,"MXAU"))&gt;0,SUMIFS(Override!$E$11:$E$40,Override!$B$11:$B$40,$B109,Override!$D$11:$D$40,16)-SUMIFS(Override!$E$11:$E$40,Override!$B$11:$B$40,$B109,Override!$D$11:$D$40,16,Override!$C$11:$C$40,"MXAU"),Override!$R$144)/AS51!$B$3,"")))</f>
        <v/>
      </c>
      <c r="W109" s="140">
        <f>IF(W$13="","",IF($B109="","",IFERROR(F109*$E109/100,"")))</f>
        <v/>
      </c>
      <c r="X109" s="140">
        <f>IF(X$13="","",IF($B109="","",IFERROR(G109*$E109/100,"")))</f>
        <v/>
      </c>
      <c r="Y109" s="140">
        <f>IF(Y$13="","",IF($B109="","",IFERROR(H109*$E109/100,"")))</f>
        <v/>
      </c>
      <c r="Z109" s="140">
        <f>IF(Z$13="","",IF($B109="","",IFERROR(I109*$E109/100,"")))</f>
        <v/>
      </c>
      <c r="AA109" s="140">
        <f>IF(AA$13="","",IF($B109="","",IFERROR(J109*$E109/100,"")))</f>
        <v/>
      </c>
      <c r="AB109" s="140">
        <f>IF(AB$13="","",IF($B109="","",IFERROR(K109*$E109/100,"")))</f>
        <v/>
      </c>
      <c r="AC109" s="140">
        <f>IF(AC$13="","",IF($B109="","",IFERROR(L109*$E109/100,"")))</f>
        <v/>
      </c>
      <c r="AD109" s="140">
        <f>IF(AD$13="","",IF($B109="","",IFERROR(M109*$E109/100,"")))</f>
        <v/>
      </c>
      <c r="AE109" s="140">
        <f>IF(AE$13="","",IF($B109="","",IFERROR(N109*$E109/100,"")))</f>
        <v/>
      </c>
      <c r="AF109" s="140">
        <f>IF(AF$13="","",IF($B109="","",IFERROR(O109*$E109/100,"")))</f>
        <v/>
      </c>
      <c r="AG109" s="140">
        <f>IF(AG$13="","",IF($B109="","",IFERROR(P109*$E109/100,"")))</f>
        <v/>
      </c>
      <c r="AH109" s="140">
        <f>IF(AH$13="","",IF($B109="","",IFERROR(Q109*$E109/100,"")))</f>
        <v/>
      </c>
      <c r="AI109" s="140">
        <f>IF(AI$13="","",IF($B109="","",IFERROR(R109*$E109/100,"")))</f>
        <v/>
      </c>
      <c r="AJ109" s="140">
        <f>IF(AJ$13="","",IF($B109="","",IFERROR(S109*$E109/100,"")))</f>
        <v/>
      </c>
      <c r="AK109" s="140">
        <f>IF(AK$13="","",IF($B109="","",IFERROR(T109*$E109/100,"")))</f>
        <v/>
      </c>
      <c r="AL109" s="140">
        <f>IF(AL$13="","",IF($B109="","",IFERROR(U109*$E109/100,"")))</f>
        <v/>
      </c>
      <c r="AN109" s="140">
        <f>IF($B109="","",SUMIF($F$13:$U$13,"&lt;="&amp;Sector!$D$51,$F109:$U109))</f>
        <v/>
      </c>
      <c r="AO109" s="140">
        <f>IF($B109="","",SUMIF($W$13:$AL$13,"&lt;="&amp;Sector!$D$51,$W109:$AL109))</f>
        <v/>
      </c>
    </row>
    <row r="110">
      <c r="B110" s="5">
        <f>IF(AS51!$C$100="","",AS51!$C$100)</f>
        <v/>
      </c>
      <c r="C110" s="90">
        <f>IF(AS51!$B$100="","",AS51!$B$100)</f>
        <v/>
      </c>
      <c r="D110" s="138">
        <f>IFERROR(AS51!$Q$100,1)</f>
        <v/>
      </c>
      <c r="E110" s="139">
        <f>IF($B110="","",IF(ISNUMBER(AS51!$I$100),AS51!$I$100,'Index Summary'!$C$7))</f>
        <v/>
      </c>
      <c r="F110" s="140">
        <f>IF(F$13="","",IF($B110="","",IFERROR($C110*$D110*IF((Override!$C$4="ON")*(COUNTIFS(Override!$B$11:$B$40,$B110,Override!$D$11:$D$40,1,Override!$E$11:$E$40,"&gt;=0")-COUNTIFS(Override!$B$11:$B$40,$B110,Override!$D$11:$D$40,1,Override!$E$11:$E$40,"&gt;=0",Override!$C$11:$C$40,"MXAU"))&gt;0,SUMIFS(Override!$E$11:$E$40,Override!$B$11:$B$40,$B110,Override!$D$11:$D$40,1)-SUMIFS(Override!$E$11:$E$40,Override!$B$11:$B$40,$B110,Override!$D$11:$D$40,1,Override!$C$11:$C$40,"MXAU"),Override!$C$145)/AS51!$B$3,"")))</f>
        <v/>
      </c>
      <c r="G110" s="140">
        <f>IF(G$13="","",IF($B110="","",IFERROR($C110*$D110*IF((Override!$C$4="ON")*(COUNTIFS(Override!$B$11:$B$40,$B110,Override!$D$11:$D$40,2,Override!$E$11:$E$40,"&gt;=0")-COUNTIFS(Override!$B$11:$B$40,$B110,Override!$D$11:$D$40,2,Override!$E$11:$E$40,"&gt;=0",Override!$C$11:$C$40,"MXAU"))&gt;0,SUMIFS(Override!$E$11:$E$40,Override!$B$11:$B$40,$B110,Override!$D$11:$D$40,2)-SUMIFS(Override!$E$11:$E$40,Override!$B$11:$B$40,$B110,Override!$D$11:$D$40,2,Override!$C$11:$C$40,"MXAU"),Override!$D$145)/AS51!$B$3,"")))</f>
        <v/>
      </c>
      <c r="H110" s="140">
        <f>IF(H$13="","",IF($B110="","",IFERROR($C110*$D110*IF((Override!$C$4="ON")*(COUNTIFS(Override!$B$11:$B$40,$B110,Override!$D$11:$D$40,3,Override!$E$11:$E$40,"&gt;=0")-COUNTIFS(Override!$B$11:$B$40,$B110,Override!$D$11:$D$40,3,Override!$E$11:$E$40,"&gt;=0",Override!$C$11:$C$40,"MXAU"))&gt;0,SUMIFS(Override!$E$11:$E$40,Override!$B$11:$B$40,$B110,Override!$D$11:$D$40,3)-SUMIFS(Override!$E$11:$E$40,Override!$B$11:$B$40,$B110,Override!$D$11:$D$40,3,Override!$C$11:$C$40,"MXAU"),Override!$E$145)/AS51!$B$3,"")))</f>
        <v/>
      </c>
      <c r="I110" s="140">
        <f>IF(I$13="","",IF($B110="","",IFERROR($C110*$D110*IF((Override!$C$4="ON")*(COUNTIFS(Override!$B$11:$B$40,$B110,Override!$D$11:$D$40,4,Override!$E$11:$E$40,"&gt;=0")-COUNTIFS(Override!$B$11:$B$40,$B110,Override!$D$11:$D$40,4,Override!$E$11:$E$40,"&gt;=0",Override!$C$11:$C$40,"MXAU"))&gt;0,SUMIFS(Override!$E$11:$E$40,Override!$B$11:$B$40,$B110,Override!$D$11:$D$40,4)-SUMIFS(Override!$E$11:$E$40,Override!$B$11:$B$40,$B110,Override!$D$11:$D$40,4,Override!$C$11:$C$40,"MXAU"),Override!$F$145)/AS51!$B$3,"")))</f>
        <v/>
      </c>
      <c r="J110" s="140">
        <f>IF(J$13="","",IF($B110="","",IFERROR($C110*$D110*IF((Override!$C$4="ON")*(COUNTIFS(Override!$B$11:$B$40,$B110,Override!$D$11:$D$40,5,Override!$E$11:$E$40,"&gt;=0")-COUNTIFS(Override!$B$11:$B$40,$B110,Override!$D$11:$D$40,5,Override!$E$11:$E$40,"&gt;=0",Override!$C$11:$C$40,"MXAU"))&gt;0,SUMIFS(Override!$E$11:$E$40,Override!$B$11:$B$40,$B110,Override!$D$11:$D$40,5)-SUMIFS(Override!$E$11:$E$40,Override!$B$11:$B$40,$B110,Override!$D$11:$D$40,5,Override!$C$11:$C$40,"MXAU"),Override!$G$145)/AS51!$B$3,"")))</f>
        <v/>
      </c>
      <c r="K110" s="140">
        <f>IF(K$13="","",IF($B110="","",IFERROR($C110*$D110*IF((Override!$C$4="ON")*(COUNTIFS(Override!$B$11:$B$40,$B110,Override!$D$11:$D$40,6,Override!$E$11:$E$40,"&gt;=0")-COUNTIFS(Override!$B$11:$B$40,$B110,Override!$D$11:$D$40,6,Override!$E$11:$E$40,"&gt;=0",Override!$C$11:$C$40,"MXAU"))&gt;0,SUMIFS(Override!$E$11:$E$40,Override!$B$11:$B$40,$B110,Override!$D$11:$D$40,6)-SUMIFS(Override!$E$11:$E$40,Override!$B$11:$B$40,$B110,Override!$D$11:$D$40,6,Override!$C$11:$C$40,"MXAU"),Override!$H$145)/AS51!$B$3,"")))</f>
        <v/>
      </c>
      <c r="L110" s="140">
        <f>IF(L$13="","",IF($B110="","",IFERROR($C110*$D110*IF((Override!$C$4="ON")*(COUNTIFS(Override!$B$11:$B$40,$B110,Override!$D$11:$D$40,7,Override!$E$11:$E$40,"&gt;=0")-COUNTIFS(Override!$B$11:$B$40,$B110,Override!$D$11:$D$40,7,Override!$E$11:$E$40,"&gt;=0",Override!$C$11:$C$40,"MXAU"))&gt;0,SUMIFS(Override!$E$11:$E$40,Override!$B$11:$B$40,$B110,Override!$D$11:$D$40,7)-SUMIFS(Override!$E$11:$E$40,Override!$B$11:$B$40,$B110,Override!$D$11:$D$40,7,Override!$C$11:$C$40,"MXAU"),Override!$I$145)/AS51!$B$3,"")))</f>
        <v/>
      </c>
      <c r="M110" s="140">
        <f>IF(M$13="","",IF($B110="","",IFERROR($C110*$D110*IF((Override!$C$4="ON")*(COUNTIFS(Override!$B$11:$B$40,$B110,Override!$D$11:$D$40,8,Override!$E$11:$E$40,"&gt;=0")-COUNTIFS(Override!$B$11:$B$40,$B110,Override!$D$11:$D$40,8,Override!$E$11:$E$40,"&gt;=0",Override!$C$11:$C$40,"MXAU"))&gt;0,SUMIFS(Override!$E$11:$E$40,Override!$B$11:$B$40,$B110,Override!$D$11:$D$40,8)-SUMIFS(Override!$E$11:$E$40,Override!$B$11:$B$40,$B110,Override!$D$11:$D$40,8,Override!$C$11:$C$40,"MXAU"),Override!$J$145)/AS51!$B$3,"")))</f>
        <v/>
      </c>
      <c r="N110" s="140">
        <f>IF(N$13="","",IF($B110="","",IFERROR($C110*$D110*IF((Override!$C$4="ON")*(COUNTIFS(Override!$B$11:$B$40,$B110,Override!$D$11:$D$40,9,Override!$E$11:$E$40,"&gt;=0")-COUNTIFS(Override!$B$11:$B$40,$B110,Override!$D$11:$D$40,9,Override!$E$11:$E$40,"&gt;=0",Override!$C$11:$C$40,"MXAU"))&gt;0,SUMIFS(Override!$E$11:$E$40,Override!$B$11:$B$40,$B110,Override!$D$11:$D$40,9)-SUMIFS(Override!$E$11:$E$40,Override!$B$11:$B$40,$B110,Override!$D$11:$D$40,9,Override!$C$11:$C$40,"MXAU"),Override!$K$145)/AS51!$B$3,"")))</f>
        <v/>
      </c>
      <c r="O110" s="140">
        <f>IF(O$13="","",IF($B110="","",IFERROR($C110*$D110*IF((Override!$C$4="ON")*(COUNTIFS(Override!$B$11:$B$40,$B110,Override!$D$11:$D$40,10,Override!$E$11:$E$40,"&gt;=0")-COUNTIFS(Override!$B$11:$B$40,$B110,Override!$D$11:$D$40,10,Override!$E$11:$E$40,"&gt;=0",Override!$C$11:$C$40,"MXAU"))&gt;0,SUMIFS(Override!$E$11:$E$40,Override!$B$11:$B$40,$B110,Override!$D$11:$D$40,10)-SUMIFS(Override!$E$11:$E$40,Override!$B$11:$B$40,$B110,Override!$D$11:$D$40,10,Override!$C$11:$C$40,"MXAU"),Override!$L$145)/AS51!$B$3,"")))</f>
        <v/>
      </c>
      <c r="P110" s="140">
        <f>IF(P$13="","",IF($B110="","",IFERROR($C110*$D110*IF((Override!$C$4="ON")*(COUNTIFS(Override!$B$11:$B$40,$B110,Override!$D$11:$D$40,11,Override!$E$11:$E$40,"&gt;=0")-COUNTIFS(Override!$B$11:$B$40,$B110,Override!$D$11:$D$40,11,Override!$E$11:$E$40,"&gt;=0",Override!$C$11:$C$40,"MXAU"))&gt;0,SUMIFS(Override!$E$11:$E$40,Override!$B$11:$B$40,$B110,Override!$D$11:$D$40,11)-SUMIFS(Override!$E$11:$E$40,Override!$B$11:$B$40,$B110,Override!$D$11:$D$40,11,Override!$C$11:$C$40,"MXAU"),Override!$M$145)/AS51!$B$3,"")))</f>
        <v/>
      </c>
      <c r="Q110" s="140">
        <f>IF(Q$13="","",IF($B110="","",IFERROR($C110*$D110*IF((Override!$C$4="ON")*(COUNTIFS(Override!$B$11:$B$40,$B110,Override!$D$11:$D$40,12,Override!$E$11:$E$40,"&gt;=0")-COUNTIFS(Override!$B$11:$B$40,$B110,Override!$D$11:$D$40,12,Override!$E$11:$E$40,"&gt;=0",Override!$C$11:$C$40,"MXAU"))&gt;0,SUMIFS(Override!$E$11:$E$40,Override!$B$11:$B$40,$B110,Override!$D$11:$D$40,12)-SUMIFS(Override!$E$11:$E$40,Override!$B$11:$B$40,$B110,Override!$D$11:$D$40,12,Override!$C$11:$C$40,"MXAU"),Override!$N$145)/AS51!$B$3,"")))</f>
        <v/>
      </c>
      <c r="R110" s="140">
        <f>IF(R$13="","",IF($B110="","",IFERROR($C110*$D110*IF((Override!$C$4="ON")*(COUNTIFS(Override!$B$11:$B$40,$B110,Override!$D$11:$D$40,13,Override!$E$11:$E$40,"&gt;=0")-COUNTIFS(Override!$B$11:$B$40,$B110,Override!$D$11:$D$40,13,Override!$E$11:$E$40,"&gt;=0",Override!$C$11:$C$40,"MXAU"))&gt;0,SUMIFS(Override!$E$11:$E$40,Override!$B$11:$B$40,$B110,Override!$D$11:$D$40,13)-SUMIFS(Override!$E$11:$E$40,Override!$B$11:$B$40,$B110,Override!$D$11:$D$40,13,Override!$C$11:$C$40,"MXAU"),Override!$O$145)/AS51!$B$3,"")))</f>
        <v/>
      </c>
      <c r="S110" s="140">
        <f>IF(S$13="","",IF($B110="","",IFERROR($C110*$D110*IF((Override!$C$4="ON")*(COUNTIFS(Override!$B$11:$B$40,$B110,Override!$D$11:$D$40,14,Override!$E$11:$E$40,"&gt;=0")-COUNTIFS(Override!$B$11:$B$40,$B110,Override!$D$11:$D$40,14,Override!$E$11:$E$40,"&gt;=0",Override!$C$11:$C$40,"MXAU"))&gt;0,SUMIFS(Override!$E$11:$E$40,Override!$B$11:$B$40,$B110,Override!$D$11:$D$40,14)-SUMIFS(Override!$E$11:$E$40,Override!$B$11:$B$40,$B110,Override!$D$11:$D$40,14,Override!$C$11:$C$40,"MXAU"),Override!$P$145)/AS51!$B$3,"")))</f>
        <v/>
      </c>
      <c r="T110" s="140">
        <f>IF(T$13="","",IF($B110="","",IFERROR($C110*$D110*IF((Override!$C$4="ON")*(COUNTIFS(Override!$B$11:$B$40,$B110,Override!$D$11:$D$40,15,Override!$E$11:$E$40,"&gt;=0")-COUNTIFS(Override!$B$11:$B$40,$B110,Override!$D$11:$D$40,15,Override!$E$11:$E$40,"&gt;=0",Override!$C$11:$C$40,"MXAU"))&gt;0,SUMIFS(Override!$E$11:$E$40,Override!$B$11:$B$40,$B110,Override!$D$11:$D$40,15)-SUMIFS(Override!$E$11:$E$40,Override!$B$11:$B$40,$B110,Override!$D$11:$D$40,15,Override!$C$11:$C$40,"MXAU"),Override!$Q$145)/AS51!$B$3,"")))</f>
        <v/>
      </c>
      <c r="U110" s="140">
        <f>IF(U$13="","",IF($B110="","",IFERROR($C110*$D110*IF((Override!$C$4="ON")*(COUNTIFS(Override!$B$11:$B$40,$B110,Override!$D$11:$D$40,16,Override!$E$11:$E$40,"&gt;=0")-COUNTIFS(Override!$B$11:$B$40,$B110,Override!$D$11:$D$40,16,Override!$E$11:$E$40,"&gt;=0",Override!$C$11:$C$40,"MXAU"))&gt;0,SUMIFS(Override!$E$11:$E$40,Override!$B$11:$B$40,$B110,Override!$D$11:$D$40,16)-SUMIFS(Override!$E$11:$E$40,Override!$B$11:$B$40,$B110,Override!$D$11:$D$40,16,Override!$C$11:$C$40,"MXAU"),Override!$R$145)/AS51!$B$3,"")))</f>
        <v/>
      </c>
      <c r="W110" s="140">
        <f>IF(W$13="","",IF($B110="","",IFERROR(F110*$E110/100,"")))</f>
        <v/>
      </c>
      <c r="X110" s="140">
        <f>IF(X$13="","",IF($B110="","",IFERROR(G110*$E110/100,"")))</f>
        <v/>
      </c>
      <c r="Y110" s="140">
        <f>IF(Y$13="","",IF($B110="","",IFERROR(H110*$E110/100,"")))</f>
        <v/>
      </c>
      <c r="Z110" s="140">
        <f>IF(Z$13="","",IF($B110="","",IFERROR(I110*$E110/100,"")))</f>
        <v/>
      </c>
      <c r="AA110" s="140">
        <f>IF(AA$13="","",IF($B110="","",IFERROR(J110*$E110/100,"")))</f>
        <v/>
      </c>
      <c r="AB110" s="140">
        <f>IF(AB$13="","",IF($B110="","",IFERROR(K110*$E110/100,"")))</f>
        <v/>
      </c>
      <c r="AC110" s="140">
        <f>IF(AC$13="","",IF($B110="","",IFERROR(L110*$E110/100,"")))</f>
        <v/>
      </c>
      <c r="AD110" s="140">
        <f>IF(AD$13="","",IF($B110="","",IFERROR(M110*$E110/100,"")))</f>
        <v/>
      </c>
      <c r="AE110" s="140">
        <f>IF(AE$13="","",IF($B110="","",IFERROR(N110*$E110/100,"")))</f>
        <v/>
      </c>
      <c r="AF110" s="140">
        <f>IF(AF$13="","",IF($B110="","",IFERROR(O110*$E110/100,"")))</f>
        <v/>
      </c>
      <c r="AG110" s="140">
        <f>IF(AG$13="","",IF($B110="","",IFERROR(P110*$E110/100,"")))</f>
        <v/>
      </c>
      <c r="AH110" s="140">
        <f>IF(AH$13="","",IF($B110="","",IFERROR(Q110*$E110/100,"")))</f>
        <v/>
      </c>
      <c r="AI110" s="140">
        <f>IF(AI$13="","",IF($B110="","",IFERROR(R110*$E110/100,"")))</f>
        <v/>
      </c>
      <c r="AJ110" s="140">
        <f>IF(AJ$13="","",IF($B110="","",IFERROR(S110*$E110/100,"")))</f>
        <v/>
      </c>
      <c r="AK110" s="140">
        <f>IF(AK$13="","",IF($B110="","",IFERROR(T110*$E110/100,"")))</f>
        <v/>
      </c>
      <c r="AL110" s="140">
        <f>IF(AL$13="","",IF($B110="","",IFERROR(U110*$E110/100,"")))</f>
        <v/>
      </c>
      <c r="AN110" s="140">
        <f>IF($B110="","",SUMIF($F$13:$U$13,"&lt;="&amp;Sector!$D$51,$F110:$U110))</f>
        <v/>
      </c>
      <c r="AO110" s="140">
        <f>IF($B110="","",SUMIF($W$13:$AL$13,"&lt;="&amp;Sector!$D$51,$W110:$AL110))</f>
        <v/>
      </c>
    </row>
    <row r="111">
      <c r="B111" s="5">
        <f>IF(AS51!$C$101="","",AS51!$C$101)</f>
        <v/>
      </c>
      <c r="C111" s="90">
        <f>IF(AS51!$B$101="","",AS51!$B$101)</f>
        <v/>
      </c>
      <c r="D111" s="138">
        <f>IFERROR(AS51!$Q$101,1)</f>
        <v/>
      </c>
      <c r="E111" s="139">
        <f>IF($B111="","",IF(ISNUMBER(AS51!$I$101),AS51!$I$101,'Index Summary'!$C$7))</f>
        <v/>
      </c>
      <c r="F111" s="140">
        <f>IF(F$13="","",IF($B111="","",IFERROR($C111*$D111*IF((Override!$C$4="ON")*(COUNTIFS(Override!$B$11:$B$40,$B111,Override!$D$11:$D$40,1,Override!$E$11:$E$40,"&gt;=0")-COUNTIFS(Override!$B$11:$B$40,$B111,Override!$D$11:$D$40,1,Override!$E$11:$E$40,"&gt;=0",Override!$C$11:$C$40,"MXAU"))&gt;0,SUMIFS(Override!$E$11:$E$40,Override!$B$11:$B$40,$B111,Override!$D$11:$D$40,1)-SUMIFS(Override!$E$11:$E$40,Override!$B$11:$B$40,$B111,Override!$D$11:$D$40,1,Override!$C$11:$C$40,"MXAU"),Override!$C$146)/AS51!$B$3,"")))</f>
        <v/>
      </c>
      <c r="G111" s="140">
        <f>IF(G$13="","",IF($B111="","",IFERROR($C111*$D111*IF((Override!$C$4="ON")*(COUNTIFS(Override!$B$11:$B$40,$B111,Override!$D$11:$D$40,2,Override!$E$11:$E$40,"&gt;=0")-COUNTIFS(Override!$B$11:$B$40,$B111,Override!$D$11:$D$40,2,Override!$E$11:$E$40,"&gt;=0",Override!$C$11:$C$40,"MXAU"))&gt;0,SUMIFS(Override!$E$11:$E$40,Override!$B$11:$B$40,$B111,Override!$D$11:$D$40,2)-SUMIFS(Override!$E$11:$E$40,Override!$B$11:$B$40,$B111,Override!$D$11:$D$40,2,Override!$C$11:$C$40,"MXAU"),Override!$D$146)/AS51!$B$3,"")))</f>
        <v/>
      </c>
      <c r="H111" s="140">
        <f>IF(H$13="","",IF($B111="","",IFERROR($C111*$D111*IF((Override!$C$4="ON")*(COUNTIFS(Override!$B$11:$B$40,$B111,Override!$D$11:$D$40,3,Override!$E$11:$E$40,"&gt;=0")-COUNTIFS(Override!$B$11:$B$40,$B111,Override!$D$11:$D$40,3,Override!$E$11:$E$40,"&gt;=0",Override!$C$11:$C$40,"MXAU"))&gt;0,SUMIFS(Override!$E$11:$E$40,Override!$B$11:$B$40,$B111,Override!$D$11:$D$40,3)-SUMIFS(Override!$E$11:$E$40,Override!$B$11:$B$40,$B111,Override!$D$11:$D$40,3,Override!$C$11:$C$40,"MXAU"),Override!$E$146)/AS51!$B$3,"")))</f>
        <v/>
      </c>
      <c r="I111" s="140">
        <f>IF(I$13="","",IF($B111="","",IFERROR($C111*$D111*IF((Override!$C$4="ON")*(COUNTIFS(Override!$B$11:$B$40,$B111,Override!$D$11:$D$40,4,Override!$E$11:$E$40,"&gt;=0")-COUNTIFS(Override!$B$11:$B$40,$B111,Override!$D$11:$D$40,4,Override!$E$11:$E$40,"&gt;=0",Override!$C$11:$C$40,"MXAU"))&gt;0,SUMIFS(Override!$E$11:$E$40,Override!$B$11:$B$40,$B111,Override!$D$11:$D$40,4)-SUMIFS(Override!$E$11:$E$40,Override!$B$11:$B$40,$B111,Override!$D$11:$D$40,4,Override!$C$11:$C$40,"MXAU"),Override!$F$146)/AS51!$B$3,"")))</f>
        <v/>
      </c>
      <c r="J111" s="140">
        <f>IF(J$13="","",IF($B111="","",IFERROR($C111*$D111*IF((Override!$C$4="ON")*(COUNTIFS(Override!$B$11:$B$40,$B111,Override!$D$11:$D$40,5,Override!$E$11:$E$40,"&gt;=0")-COUNTIFS(Override!$B$11:$B$40,$B111,Override!$D$11:$D$40,5,Override!$E$11:$E$40,"&gt;=0",Override!$C$11:$C$40,"MXAU"))&gt;0,SUMIFS(Override!$E$11:$E$40,Override!$B$11:$B$40,$B111,Override!$D$11:$D$40,5)-SUMIFS(Override!$E$11:$E$40,Override!$B$11:$B$40,$B111,Override!$D$11:$D$40,5,Override!$C$11:$C$40,"MXAU"),Override!$G$146)/AS51!$B$3,"")))</f>
        <v/>
      </c>
      <c r="K111" s="140">
        <f>IF(K$13="","",IF($B111="","",IFERROR($C111*$D111*IF((Override!$C$4="ON")*(COUNTIFS(Override!$B$11:$B$40,$B111,Override!$D$11:$D$40,6,Override!$E$11:$E$40,"&gt;=0")-COUNTIFS(Override!$B$11:$B$40,$B111,Override!$D$11:$D$40,6,Override!$E$11:$E$40,"&gt;=0",Override!$C$11:$C$40,"MXAU"))&gt;0,SUMIFS(Override!$E$11:$E$40,Override!$B$11:$B$40,$B111,Override!$D$11:$D$40,6)-SUMIFS(Override!$E$11:$E$40,Override!$B$11:$B$40,$B111,Override!$D$11:$D$40,6,Override!$C$11:$C$40,"MXAU"),Override!$H$146)/AS51!$B$3,"")))</f>
        <v/>
      </c>
      <c r="L111" s="140">
        <f>IF(L$13="","",IF($B111="","",IFERROR($C111*$D111*IF((Override!$C$4="ON")*(COUNTIFS(Override!$B$11:$B$40,$B111,Override!$D$11:$D$40,7,Override!$E$11:$E$40,"&gt;=0")-COUNTIFS(Override!$B$11:$B$40,$B111,Override!$D$11:$D$40,7,Override!$E$11:$E$40,"&gt;=0",Override!$C$11:$C$40,"MXAU"))&gt;0,SUMIFS(Override!$E$11:$E$40,Override!$B$11:$B$40,$B111,Override!$D$11:$D$40,7)-SUMIFS(Override!$E$11:$E$40,Override!$B$11:$B$40,$B111,Override!$D$11:$D$40,7,Override!$C$11:$C$40,"MXAU"),Override!$I$146)/AS51!$B$3,"")))</f>
        <v/>
      </c>
      <c r="M111" s="140">
        <f>IF(M$13="","",IF($B111="","",IFERROR($C111*$D111*IF((Override!$C$4="ON")*(COUNTIFS(Override!$B$11:$B$40,$B111,Override!$D$11:$D$40,8,Override!$E$11:$E$40,"&gt;=0")-COUNTIFS(Override!$B$11:$B$40,$B111,Override!$D$11:$D$40,8,Override!$E$11:$E$40,"&gt;=0",Override!$C$11:$C$40,"MXAU"))&gt;0,SUMIFS(Override!$E$11:$E$40,Override!$B$11:$B$40,$B111,Override!$D$11:$D$40,8)-SUMIFS(Override!$E$11:$E$40,Override!$B$11:$B$40,$B111,Override!$D$11:$D$40,8,Override!$C$11:$C$40,"MXAU"),Override!$J$146)/AS51!$B$3,"")))</f>
        <v/>
      </c>
      <c r="N111" s="140">
        <f>IF(N$13="","",IF($B111="","",IFERROR($C111*$D111*IF((Override!$C$4="ON")*(COUNTIFS(Override!$B$11:$B$40,$B111,Override!$D$11:$D$40,9,Override!$E$11:$E$40,"&gt;=0")-COUNTIFS(Override!$B$11:$B$40,$B111,Override!$D$11:$D$40,9,Override!$E$11:$E$40,"&gt;=0",Override!$C$11:$C$40,"MXAU"))&gt;0,SUMIFS(Override!$E$11:$E$40,Override!$B$11:$B$40,$B111,Override!$D$11:$D$40,9)-SUMIFS(Override!$E$11:$E$40,Override!$B$11:$B$40,$B111,Override!$D$11:$D$40,9,Override!$C$11:$C$40,"MXAU"),Override!$K$146)/AS51!$B$3,"")))</f>
        <v/>
      </c>
      <c r="O111" s="140">
        <f>IF(O$13="","",IF($B111="","",IFERROR($C111*$D111*IF((Override!$C$4="ON")*(COUNTIFS(Override!$B$11:$B$40,$B111,Override!$D$11:$D$40,10,Override!$E$11:$E$40,"&gt;=0")-COUNTIFS(Override!$B$11:$B$40,$B111,Override!$D$11:$D$40,10,Override!$E$11:$E$40,"&gt;=0",Override!$C$11:$C$40,"MXAU"))&gt;0,SUMIFS(Override!$E$11:$E$40,Override!$B$11:$B$40,$B111,Override!$D$11:$D$40,10)-SUMIFS(Override!$E$11:$E$40,Override!$B$11:$B$40,$B111,Override!$D$11:$D$40,10,Override!$C$11:$C$40,"MXAU"),Override!$L$146)/AS51!$B$3,"")))</f>
        <v/>
      </c>
      <c r="P111" s="140">
        <f>IF(P$13="","",IF($B111="","",IFERROR($C111*$D111*IF((Override!$C$4="ON")*(COUNTIFS(Override!$B$11:$B$40,$B111,Override!$D$11:$D$40,11,Override!$E$11:$E$40,"&gt;=0")-COUNTIFS(Override!$B$11:$B$40,$B111,Override!$D$11:$D$40,11,Override!$E$11:$E$40,"&gt;=0",Override!$C$11:$C$40,"MXAU"))&gt;0,SUMIFS(Override!$E$11:$E$40,Override!$B$11:$B$40,$B111,Override!$D$11:$D$40,11)-SUMIFS(Override!$E$11:$E$40,Override!$B$11:$B$40,$B111,Override!$D$11:$D$40,11,Override!$C$11:$C$40,"MXAU"),Override!$M$146)/AS51!$B$3,"")))</f>
        <v/>
      </c>
      <c r="Q111" s="140">
        <f>IF(Q$13="","",IF($B111="","",IFERROR($C111*$D111*IF((Override!$C$4="ON")*(COUNTIFS(Override!$B$11:$B$40,$B111,Override!$D$11:$D$40,12,Override!$E$11:$E$40,"&gt;=0")-COUNTIFS(Override!$B$11:$B$40,$B111,Override!$D$11:$D$40,12,Override!$E$11:$E$40,"&gt;=0",Override!$C$11:$C$40,"MXAU"))&gt;0,SUMIFS(Override!$E$11:$E$40,Override!$B$11:$B$40,$B111,Override!$D$11:$D$40,12)-SUMIFS(Override!$E$11:$E$40,Override!$B$11:$B$40,$B111,Override!$D$11:$D$40,12,Override!$C$11:$C$40,"MXAU"),Override!$N$146)/AS51!$B$3,"")))</f>
        <v/>
      </c>
      <c r="R111" s="140">
        <f>IF(R$13="","",IF($B111="","",IFERROR($C111*$D111*IF((Override!$C$4="ON")*(COUNTIFS(Override!$B$11:$B$40,$B111,Override!$D$11:$D$40,13,Override!$E$11:$E$40,"&gt;=0")-COUNTIFS(Override!$B$11:$B$40,$B111,Override!$D$11:$D$40,13,Override!$E$11:$E$40,"&gt;=0",Override!$C$11:$C$40,"MXAU"))&gt;0,SUMIFS(Override!$E$11:$E$40,Override!$B$11:$B$40,$B111,Override!$D$11:$D$40,13)-SUMIFS(Override!$E$11:$E$40,Override!$B$11:$B$40,$B111,Override!$D$11:$D$40,13,Override!$C$11:$C$40,"MXAU"),Override!$O$146)/AS51!$B$3,"")))</f>
        <v/>
      </c>
      <c r="S111" s="140">
        <f>IF(S$13="","",IF($B111="","",IFERROR($C111*$D111*IF((Override!$C$4="ON")*(COUNTIFS(Override!$B$11:$B$40,$B111,Override!$D$11:$D$40,14,Override!$E$11:$E$40,"&gt;=0")-COUNTIFS(Override!$B$11:$B$40,$B111,Override!$D$11:$D$40,14,Override!$E$11:$E$40,"&gt;=0",Override!$C$11:$C$40,"MXAU"))&gt;0,SUMIFS(Override!$E$11:$E$40,Override!$B$11:$B$40,$B111,Override!$D$11:$D$40,14)-SUMIFS(Override!$E$11:$E$40,Override!$B$11:$B$40,$B111,Override!$D$11:$D$40,14,Override!$C$11:$C$40,"MXAU"),Override!$P$146)/AS51!$B$3,"")))</f>
        <v/>
      </c>
      <c r="T111" s="140">
        <f>IF(T$13="","",IF($B111="","",IFERROR($C111*$D111*IF((Override!$C$4="ON")*(COUNTIFS(Override!$B$11:$B$40,$B111,Override!$D$11:$D$40,15,Override!$E$11:$E$40,"&gt;=0")-COUNTIFS(Override!$B$11:$B$40,$B111,Override!$D$11:$D$40,15,Override!$E$11:$E$40,"&gt;=0",Override!$C$11:$C$40,"MXAU"))&gt;0,SUMIFS(Override!$E$11:$E$40,Override!$B$11:$B$40,$B111,Override!$D$11:$D$40,15)-SUMIFS(Override!$E$11:$E$40,Override!$B$11:$B$40,$B111,Override!$D$11:$D$40,15,Override!$C$11:$C$40,"MXAU"),Override!$Q$146)/AS51!$B$3,"")))</f>
        <v/>
      </c>
      <c r="U111" s="140">
        <f>IF(U$13="","",IF($B111="","",IFERROR($C111*$D111*IF((Override!$C$4="ON")*(COUNTIFS(Override!$B$11:$B$40,$B111,Override!$D$11:$D$40,16,Override!$E$11:$E$40,"&gt;=0")-COUNTIFS(Override!$B$11:$B$40,$B111,Override!$D$11:$D$40,16,Override!$E$11:$E$40,"&gt;=0",Override!$C$11:$C$40,"MXAU"))&gt;0,SUMIFS(Override!$E$11:$E$40,Override!$B$11:$B$40,$B111,Override!$D$11:$D$40,16)-SUMIFS(Override!$E$11:$E$40,Override!$B$11:$B$40,$B111,Override!$D$11:$D$40,16,Override!$C$11:$C$40,"MXAU"),Override!$R$146)/AS51!$B$3,"")))</f>
        <v/>
      </c>
      <c r="W111" s="140">
        <f>IF(W$13="","",IF($B111="","",IFERROR(F111*$E111/100,"")))</f>
        <v/>
      </c>
      <c r="X111" s="140">
        <f>IF(X$13="","",IF($B111="","",IFERROR(G111*$E111/100,"")))</f>
        <v/>
      </c>
      <c r="Y111" s="140">
        <f>IF(Y$13="","",IF($B111="","",IFERROR(H111*$E111/100,"")))</f>
        <v/>
      </c>
      <c r="Z111" s="140">
        <f>IF(Z$13="","",IF($B111="","",IFERROR(I111*$E111/100,"")))</f>
        <v/>
      </c>
      <c r="AA111" s="140">
        <f>IF(AA$13="","",IF($B111="","",IFERROR(J111*$E111/100,"")))</f>
        <v/>
      </c>
      <c r="AB111" s="140">
        <f>IF(AB$13="","",IF($B111="","",IFERROR(K111*$E111/100,"")))</f>
        <v/>
      </c>
      <c r="AC111" s="140">
        <f>IF(AC$13="","",IF($B111="","",IFERROR(L111*$E111/100,"")))</f>
        <v/>
      </c>
      <c r="AD111" s="140">
        <f>IF(AD$13="","",IF($B111="","",IFERROR(M111*$E111/100,"")))</f>
        <v/>
      </c>
      <c r="AE111" s="140">
        <f>IF(AE$13="","",IF($B111="","",IFERROR(N111*$E111/100,"")))</f>
        <v/>
      </c>
      <c r="AF111" s="140">
        <f>IF(AF$13="","",IF($B111="","",IFERROR(O111*$E111/100,"")))</f>
        <v/>
      </c>
      <c r="AG111" s="140">
        <f>IF(AG$13="","",IF($B111="","",IFERROR(P111*$E111/100,"")))</f>
        <v/>
      </c>
      <c r="AH111" s="140">
        <f>IF(AH$13="","",IF($B111="","",IFERROR(Q111*$E111/100,"")))</f>
        <v/>
      </c>
      <c r="AI111" s="140">
        <f>IF(AI$13="","",IF($B111="","",IFERROR(R111*$E111/100,"")))</f>
        <v/>
      </c>
      <c r="AJ111" s="140">
        <f>IF(AJ$13="","",IF($B111="","",IFERROR(S111*$E111/100,"")))</f>
        <v/>
      </c>
      <c r="AK111" s="140">
        <f>IF(AK$13="","",IF($B111="","",IFERROR(T111*$E111/100,"")))</f>
        <v/>
      </c>
      <c r="AL111" s="140">
        <f>IF(AL$13="","",IF($B111="","",IFERROR(U111*$E111/100,"")))</f>
        <v/>
      </c>
      <c r="AN111" s="140">
        <f>IF($B111="","",SUMIF($F$13:$U$13,"&lt;="&amp;Sector!$D$51,$F111:$U111))</f>
        <v/>
      </c>
      <c r="AO111" s="140">
        <f>IF($B111="","",SUMIF($W$13:$AL$13,"&lt;="&amp;Sector!$D$51,$W111:$AL111))</f>
        <v/>
      </c>
    </row>
    <row r="112">
      <c r="B112" s="5">
        <f>IF(AS51!$C$102="","",AS51!$C$102)</f>
        <v/>
      </c>
      <c r="C112" s="90">
        <f>IF(AS51!$B$102="","",AS51!$B$102)</f>
        <v/>
      </c>
      <c r="D112" s="138">
        <f>IFERROR(AS51!$Q$102,1)</f>
        <v/>
      </c>
      <c r="E112" s="139">
        <f>IF($B112="","",IF(ISNUMBER(AS51!$I$102),AS51!$I$102,'Index Summary'!$C$7))</f>
        <v/>
      </c>
      <c r="F112" s="140">
        <f>IF(F$13="","",IF($B112="","",IFERROR($C112*$D112*IF((Override!$C$4="ON")*(COUNTIFS(Override!$B$11:$B$40,$B112,Override!$D$11:$D$40,1,Override!$E$11:$E$40,"&gt;=0")-COUNTIFS(Override!$B$11:$B$40,$B112,Override!$D$11:$D$40,1,Override!$E$11:$E$40,"&gt;=0",Override!$C$11:$C$40,"MXAU"))&gt;0,SUMIFS(Override!$E$11:$E$40,Override!$B$11:$B$40,$B112,Override!$D$11:$D$40,1)-SUMIFS(Override!$E$11:$E$40,Override!$B$11:$B$40,$B112,Override!$D$11:$D$40,1,Override!$C$11:$C$40,"MXAU"),Override!$C$147)/AS51!$B$3,"")))</f>
        <v/>
      </c>
      <c r="G112" s="140">
        <f>IF(G$13="","",IF($B112="","",IFERROR($C112*$D112*IF((Override!$C$4="ON")*(COUNTIFS(Override!$B$11:$B$40,$B112,Override!$D$11:$D$40,2,Override!$E$11:$E$40,"&gt;=0")-COUNTIFS(Override!$B$11:$B$40,$B112,Override!$D$11:$D$40,2,Override!$E$11:$E$40,"&gt;=0",Override!$C$11:$C$40,"MXAU"))&gt;0,SUMIFS(Override!$E$11:$E$40,Override!$B$11:$B$40,$B112,Override!$D$11:$D$40,2)-SUMIFS(Override!$E$11:$E$40,Override!$B$11:$B$40,$B112,Override!$D$11:$D$40,2,Override!$C$11:$C$40,"MXAU"),Override!$D$147)/AS51!$B$3,"")))</f>
        <v/>
      </c>
      <c r="H112" s="140">
        <f>IF(H$13="","",IF($B112="","",IFERROR($C112*$D112*IF((Override!$C$4="ON")*(COUNTIFS(Override!$B$11:$B$40,$B112,Override!$D$11:$D$40,3,Override!$E$11:$E$40,"&gt;=0")-COUNTIFS(Override!$B$11:$B$40,$B112,Override!$D$11:$D$40,3,Override!$E$11:$E$40,"&gt;=0",Override!$C$11:$C$40,"MXAU"))&gt;0,SUMIFS(Override!$E$11:$E$40,Override!$B$11:$B$40,$B112,Override!$D$11:$D$40,3)-SUMIFS(Override!$E$11:$E$40,Override!$B$11:$B$40,$B112,Override!$D$11:$D$40,3,Override!$C$11:$C$40,"MXAU"),Override!$E$147)/AS51!$B$3,"")))</f>
        <v/>
      </c>
      <c r="I112" s="140">
        <f>IF(I$13="","",IF($B112="","",IFERROR($C112*$D112*IF((Override!$C$4="ON")*(COUNTIFS(Override!$B$11:$B$40,$B112,Override!$D$11:$D$40,4,Override!$E$11:$E$40,"&gt;=0")-COUNTIFS(Override!$B$11:$B$40,$B112,Override!$D$11:$D$40,4,Override!$E$11:$E$40,"&gt;=0",Override!$C$11:$C$40,"MXAU"))&gt;0,SUMIFS(Override!$E$11:$E$40,Override!$B$11:$B$40,$B112,Override!$D$11:$D$40,4)-SUMIFS(Override!$E$11:$E$40,Override!$B$11:$B$40,$B112,Override!$D$11:$D$40,4,Override!$C$11:$C$40,"MXAU"),Override!$F$147)/AS51!$B$3,"")))</f>
        <v/>
      </c>
      <c r="J112" s="140">
        <f>IF(J$13="","",IF($B112="","",IFERROR($C112*$D112*IF((Override!$C$4="ON")*(COUNTIFS(Override!$B$11:$B$40,$B112,Override!$D$11:$D$40,5,Override!$E$11:$E$40,"&gt;=0")-COUNTIFS(Override!$B$11:$B$40,$B112,Override!$D$11:$D$40,5,Override!$E$11:$E$40,"&gt;=0",Override!$C$11:$C$40,"MXAU"))&gt;0,SUMIFS(Override!$E$11:$E$40,Override!$B$11:$B$40,$B112,Override!$D$11:$D$40,5)-SUMIFS(Override!$E$11:$E$40,Override!$B$11:$B$40,$B112,Override!$D$11:$D$40,5,Override!$C$11:$C$40,"MXAU"),Override!$G$147)/AS51!$B$3,"")))</f>
        <v/>
      </c>
      <c r="K112" s="140">
        <f>IF(K$13="","",IF($B112="","",IFERROR($C112*$D112*IF((Override!$C$4="ON")*(COUNTIFS(Override!$B$11:$B$40,$B112,Override!$D$11:$D$40,6,Override!$E$11:$E$40,"&gt;=0")-COUNTIFS(Override!$B$11:$B$40,$B112,Override!$D$11:$D$40,6,Override!$E$11:$E$40,"&gt;=0",Override!$C$11:$C$40,"MXAU"))&gt;0,SUMIFS(Override!$E$11:$E$40,Override!$B$11:$B$40,$B112,Override!$D$11:$D$40,6)-SUMIFS(Override!$E$11:$E$40,Override!$B$11:$B$40,$B112,Override!$D$11:$D$40,6,Override!$C$11:$C$40,"MXAU"),Override!$H$147)/AS51!$B$3,"")))</f>
        <v/>
      </c>
      <c r="L112" s="140">
        <f>IF(L$13="","",IF($B112="","",IFERROR($C112*$D112*IF((Override!$C$4="ON")*(COUNTIFS(Override!$B$11:$B$40,$B112,Override!$D$11:$D$40,7,Override!$E$11:$E$40,"&gt;=0")-COUNTIFS(Override!$B$11:$B$40,$B112,Override!$D$11:$D$40,7,Override!$E$11:$E$40,"&gt;=0",Override!$C$11:$C$40,"MXAU"))&gt;0,SUMIFS(Override!$E$11:$E$40,Override!$B$11:$B$40,$B112,Override!$D$11:$D$40,7)-SUMIFS(Override!$E$11:$E$40,Override!$B$11:$B$40,$B112,Override!$D$11:$D$40,7,Override!$C$11:$C$40,"MXAU"),Override!$I$147)/AS51!$B$3,"")))</f>
        <v/>
      </c>
      <c r="M112" s="140">
        <f>IF(M$13="","",IF($B112="","",IFERROR($C112*$D112*IF((Override!$C$4="ON")*(COUNTIFS(Override!$B$11:$B$40,$B112,Override!$D$11:$D$40,8,Override!$E$11:$E$40,"&gt;=0")-COUNTIFS(Override!$B$11:$B$40,$B112,Override!$D$11:$D$40,8,Override!$E$11:$E$40,"&gt;=0",Override!$C$11:$C$40,"MXAU"))&gt;0,SUMIFS(Override!$E$11:$E$40,Override!$B$11:$B$40,$B112,Override!$D$11:$D$40,8)-SUMIFS(Override!$E$11:$E$40,Override!$B$11:$B$40,$B112,Override!$D$11:$D$40,8,Override!$C$11:$C$40,"MXAU"),Override!$J$147)/AS51!$B$3,"")))</f>
        <v/>
      </c>
      <c r="N112" s="140">
        <f>IF(N$13="","",IF($B112="","",IFERROR($C112*$D112*IF((Override!$C$4="ON")*(COUNTIFS(Override!$B$11:$B$40,$B112,Override!$D$11:$D$40,9,Override!$E$11:$E$40,"&gt;=0")-COUNTIFS(Override!$B$11:$B$40,$B112,Override!$D$11:$D$40,9,Override!$E$11:$E$40,"&gt;=0",Override!$C$11:$C$40,"MXAU"))&gt;0,SUMIFS(Override!$E$11:$E$40,Override!$B$11:$B$40,$B112,Override!$D$11:$D$40,9)-SUMIFS(Override!$E$11:$E$40,Override!$B$11:$B$40,$B112,Override!$D$11:$D$40,9,Override!$C$11:$C$40,"MXAU"),Override!$K$147)/AS51!$B$3,"")))</f>
        <v/>
      </c>
      <c r="O112" s="140">
        <f>IF(O$13="","",IF($B112="","",IFERROR($C112*$D112*IF((Override!$C$4="ON")*(COUNTIFS(Override!$B$11:$B$40,$B112,Override!$D$11:$D$40,10,Override!$E$11:$E$40,"&gt;=0")-COUNTIFS(Override!$B$11:$B$40,$B112,Override!$D$11:$D$40,10,Override!$E$11:$E$40,"&gt;=0",Override!$C$11:$C$40,"MXAU"))&gt;0,SUMIFS(Override!$E$11:$E$40,Override!$B$11:$B$40,$B112,Override!$D$11:$D$40,10)-SUMIFS(Override!$E$11:$E$40,Override!$B$11:$B$40,$B112,Override!$D$11:$D$40,10,Override!$C$11:$C$40,"MXAU"),Override!$L$147)/AS51!$B$3,"")))</f>
        <v/>
      </c>
      <c r="P112" s="140">
        <f>IF(P$13="","",IF($B112="","",IFERROR($C112*$D112*IF((Override!$C$4="ON")*(COUNTIFS(Override!$B$11:$B$40,$B112,Override!$D$11:$D$40,11,Override!$E$11:$E$40,"&gt;=0")-COUNTIFS(Override!$B$11:$B$40,$B112,Override!$D$11:$D$40,11,Override!$E$11:$E$40,"&gt;=0",Override!$C$11:$C$40,"MXAU"))&gt;0,SUMIFS(Override!$E$11:$E$40,Override!$B$11:$B$40,$B112,Override!$D$11:$D$40,11)-SUMIFS(Override!$E$11:$E$40,Override!$B$11:$B$40,$B112,Override!$D$11:$D$40,11,Override!$C$11:$C$40,"MXAU"),Override!$M$147)/AS51!$B$3,"")))</f>
        <v/>
      </c>
      <c r="Q112" s="140">
        <f>IF(Q$13="","",IF($B112="","",IFERROR($C112*$D112*IF((Override!$C$4="ON")*(COUNTIFS(Override!$B$11:$B$40,$B112,Override!$D$11:$D$40,12,Override!$E$11:$E$40,"&gt;=0")-COUNTIFS(Override!$B$11:$B$40,$B112,Override!$D$11:$D$40,12,Override!$E$11:$E$40,"&gt;=0",Override!$C$11:$C$40,"MXAU"))&gt;0,SUMIFS(Override!$E$11:$E$40,Override!$B$11:$B$40,$B112,Override!$D$11:$D$40,12)-SUMIFS(Override!$E$11:$E$40,Override!$B$11:$B$40,$B112,Override!$D$11:$D$40,12,Override!$C$11:$C$40,"MXAU"),Override!$N$147)/AS51!$B$3,"")))</f>
        <v/>
      </c>
      <c r="R112" s="140">
        <f>IF(R$13="","",IF($B112="","",IFERROR($C112*$D112*IF((Override!$C$4="ON")*(COUNTIFS(Override!$B$11:$B$40,$B112,Override!$D$11:$D$40,13,Override!$E$11:$E$40,"&gt;=0")-COUNTIFS(Override!$B$11:$B$40,$B112,Override!$D$11:$D$40,13,Override!$E$11:$E$40,"&gt;=0",Override!$C$11:$C$40,"MXAU"))&gt;0,SUMIFS(Override!$E$11:$E$40,Override!$B$11:$B$40,$B112,Override!$D$11:$D$40,13)-SUMIFS(Override!$E$11:$E$40,Override!$B$11:$B$40,$B112,Override!$D$11:$D$40,13,Override!$C$11:$C$40,"MXAU"),Override!$O$147)/AS51!$B$3,"")))</f>
        <v/>
      </c>
      <c r="S112" s="140">
        <f>IF(S$13="","",IF($B112="","",IFERROR($C112*$D112*IF((Override!$C$4="ON")*(COUNTIFS(Override!$B$11:$B$40,$B112,Override!$D$11:$D$40,14,Override!$E$11:$E$40,"&gt;=0")-COUNTIFS(Override!$B$11:$B$40,$B112,Override!$D$11:$D$40,14,Override!$E$11:$E$40,"&gt;=0",Override!$C$11:$C$40,"MXAU"))&gt;0,SUMIFS(Override!$E$11:$E$40,Override!$B$11:$B$40,$B112,Override!$D$11:$D$40,14)-SUMIFS(Override!$E$11:$E$40,Override!$B$11:$B$40,$B112,Override!$D$11:$D$40,14,Override!$C$11:$C$40,"MXAU"),Override!$P$147)/AS51!$B$3,"")))</f>
        <v/>
      </c>
      <c r="T112" s="140">
        <f>IF(T$13="","",IF($B112="","",IFERROR($C112*$D112*IF((Override!$C$4="ON")*(COUNTIFS(Override!$B$11:$B$40,$B112,Override!$D$11:$D$40,15,Override!$E$11:$E$40,"&gt;=0")-COUNTIFS(Override!$B$11:$B$40,$B112,Override!$D$11:$D$40,15,Override!$E$11:$E$40,"&gt;=0",Override!$C$11:$C$40,"MXAU"))&gt;0,SUMIFS(Override!$E$11:$E$40,Override!$B$11:$B$40,$B112,Override!$D$11:$D$40,15)-SUMIFS(Override!$E$11:$E$40,Override!$B$11:$B$40,$B112,Override!$D$11:$D$40,15,Override!$C$11:$C$40,"MXAU"),Override!$Q$147)/AS51!$B$3,"")))</f>
        <v/>
      </c>
      <c r="U112" s="140">
        <f>IF(U$13="","",IF($B112="","",IFERROR($C112*$D112*IF((Override!$C$4="ON")*(COUNTIFS(Override!$B$11:$B$40,$B112,Override!$D$11:$D$40,16,Override!$E$11:$E$40,"&gt;=0")-COUNTIFS(Override!$B$11:$B$40,$B112,Override!$D$11:$D$40,16,Override!$E$11:$E$40,"&gt;=0",Override!$C$11:$C$40,"MXAU"))&gt;0,SUMIFS(Override!$E$11:$E$40,Override!$B$11:$B$40,$B112,Override!$D$11:$D$40,16)-SUMIFS(Override!$E$11:$E$40,Override!$B$11:$B$40,$B112,Override!$D$11:$D$40,16,Override!$C$11:$C$40,"MXAU"),Override!$R$147)/AS51!$B$3,"")))</f>
        <v/>
      </c>
      <c r="W112" s="140">
        <f>IF(W$13="","",IF($B112="","",IFERROR(F112*$E112/100,"")))</f>
        <v/>
      </c>
      <c r="X112" s="140">
        <f>IF(X$13="","",IF($B112="","",IFERROR(G112*$E112/100,"")))</f>
        <v/>
      </c>
      <c r="Y112" s="140">
        <f>IF(Y$13="","",IF($B112="","",IFERROR(H112*$E112/100,"")))</f>
        <v/>
      </c>
      <c r="Z112" s="140">
        <f>IF(Z$13="","",IF($B112="","",IFERROR(I112*$E112/100,"")))</f>
        <v/>
      </c>
      <c r="AA112" s="140">
        <f>IF(AA$13="","",IF($B112="","",IFERROR(J112*$E112/100,"")))</f>
        <v/>
      </c>
      <c r="AB112" s="140">
        <f>IF(AB$13="","",IF($B112="","",IFERROR(K112*$E112/100,"")))</f>
        <v/>
      </c>
      <c r="AC112" s="140">
        <f>IF(AC$13="","",IF($B112="","",IFERROR(L112*$E112/100,"")))</f>
        <v/>
      </c>
      <c r="AD112" s="140">
        <f>IF(AD$13="","",IF($B112="","",IFERROR(M112*$E112/100,"")))</f>
        <v/>
      </c>
      <c r="AE112" s="140">
        <f>IF(AE$13="","",IF($B112="","",IFERROR(N112*$E112/100,"")))</f>
        <v/>
      </c>
      <c r="AF112" s="140">
        <f>IF(AF$13="","",IF($B112="","",IFERROR(O112*$E112/100,"")))</f>
        <v/>
      </c>
      <c r="AG112" s="140">
        <f>IF(AG$13="","",IF($B112="","",IFERROR(P112*$E112/100,"")))</f>
        <v/>
      </c>
      <c r="AH112" s="140">
        <f>IF(AH$13="","",IF($B112="","",IFERROR(Q112*$E112/100,"")))</f>
        <v/>
      </c>
      <c r="AI112" s="140">
        <f>IF(AI$13="","",IF($B112="","",IFERROR(R112*$E112/100,"")))</f>
        <v/>
      </c>
      <c r="AJ112" s="140">
        <f>IF(AJ$13="","",IF($B112="","",IFERROR(S112*$E112/100,"")))</f>
        <v/>
      </c>
      <c r="AK112" s="140">
        <f>IF(AK$13="","",IF($B112="","",IFERROR(T112*$E112/100,"")))</f>
        <v/>
      </c>
      <c r="AL112" s="140">
        <f>IF(AL$13="","",IF($B112="","",IFERROR(U112*$E112/100,"")))</f>
        <v/>
      </c>
      <c r="AN112" s="140">
        <f>IF($B112="","",SUMIF($F$13:$U$13,"&lt;="&amp;Sector!$D$51,$F112:$U112))</f>
        <v/>
      </c>
      <c r="AO112" s="140">
        <f>IF($B112="","",SUMIF($W$13:$AL$13,"&lt;="&amp;Sector!$D$51,$W112:$AL112))</f>
        <v/>
      </c>
    </row>
    <row r="113">
      <c r="B113" s="5">
        <f>IF(AS51!$C$103="","",AS51!$C$103)</f>
        <v/>
      </c>
      <c r="C113" s="90">
        <f>IF(AS51!$B$103="","",AS51!$B$103)</f>
        <v/>
      </c>
      <c r="D113" s="138">
        <f>IFERROR(AS51!$Q$103,1)</f>
        <v/>
      </c>
      <c r="E113" s="139">
        <f>IF($B113="","",IF(ISNUMBER(AS51!$I$103),AS51!$I$103,'Index Summary'!$C$7))</f>
        <v/>
      </c>
      <c r="F113" s="140">
        <f>IF(F$13="","",IF($B113="","",IFERROR($C113*$D113*IF((Override!$C$4="ON")*(COUNTIFS(Override!$B$11:$B$40,$B113,Override!$D$11:$D$40,1,Override!$E$11:$E$40,"&gt;=0")-COUNTIFS(Override!$B$11:$B$40,$B113,Override!$D$11:$D$40,1,Override!$E$11:$E$40,"&gt;=0",Override!$C$11:$C$40,"MXAU"))&gt;0,SUMIFS(Override!$E$11:$E$40,Override!$B$11:$B$40,$B113,Override!$D$11:$D$40,1)-SUMIFS(Override!$E$11:$E$40,Override!$B$11:$B$40,$B113,Override!$D$11:$D$40,1,Override!$C$11:$C$40,"MXAU"),Override!$C$148)/AS51!$B$3,"")))</f>
        <v/>
      </c>
      <c r="G113" s="140">
        <f>IF(G$13="","",IF($B113="","",IFERROR($C113*$D113*IF((Override!$C$4="ON")*(COUNTIFS(Override!$B$11:$B$40,$B113,Override!$D$11:$D$40,2,Override!$E$11:$E$40,"&gt;=0")-COUNTIFS(Override!$B$11:$B$40,$B113,Override!$D$11:$D$40,2,Override!$E$11:$E$40,"&gt;=0",Override!$C$11:$C$40,"MXAU"))&gt;0,SUMIFS(Override!$E$11:$E$40,Override!$B$11:$B$40,$B113,Override!$D$11:$D$40,2)-SUMIFS(Override!$E$11:$E$40,Override!$B$11:$B$40,$B113,Override!$D$11:$D$40,2,Override!$C$11:$C$40,"MXAU"),Override!$D$148)/AS51!$B$3,"")))</f>
        <v/>
      </c>
      <c r="H113" s="140">
        <f>IF(H$13="","",IF($B113="","",IFERROR($C113*$D113*IF((Override!$C$4="ON")*(COUNTIFS(Override!$B$11:$B$40,$B113,Override!$D$11:$D$40,3,Override!$E$11:$E$40,"&gt;=0")-COUNTIFS(Override!$B$11:$B$40,$B113,Override!$D$11:$D$40,3,Override!$E$11:$E$40,"&gt;=0",Override!$C$11:$C$40,"MXAU"))&gt;0,SUMIFS(Override!$E$11:$E$40,Override!$B$11:$B$40,$B113,Override!$D$11:$D$40,3)-SUMIFS(Override!$E$11:$E$40,Override!$B$11:$B$40,$B113,Override!$D$11:$D$40,3,Override!$C$11:$C$40,"MXAU"),Override!$E$148)/AS51!$B$3,"")))</f>
        <v/>
      </c>
      <c r="I113" s="140">
        <f>IF(I$13="","",IF($B113="","",IFERROR($C113*$D113*IF((Override!$C$4="ON")*(COUNTIFS(Override!$B$11:$B$40,$B113,Override!$D$11:$D$40,4,Override!$E$11:$E$40,"&gt;=0")-COUNTIFS(Override!$B$11:$B$40,$B113,Override!$D$11:$D$40,4,Override!$E$11:$E$40,"&gt;=0",Override!$C$11:$C$40,"MXAU"))&gt;0,SUMIFS(Override!$E$11:$E$40,Override!$B$11:$B$40,$B113,Override!$D$11:$D$40,4)-SUMIFS(Override!$E$11:$E$40,Override!$B$11:$B$40,$B113,Override!$D$11:$D$40,4,Override!$C$11:$C$40,"MXAU"),Override!$F$148)/AS51!$B$3,"")))</f>
        <v/>
      </c>
      <c r="J113" s="140">
        <f>IF(J$13="","",IF($B113="","",IFERROR($C113*$D113*IF((Override!$C$4="ON")*(COUNTIFS(Override!$B$11:$B$40,$B113,Override!$D$11:$D$40,5,Override!$E$11:$E$40,"&gt;=0")-COUNTIFS(Override!$B$11:$B$40,$B113,Override!$D$11:$D$40,5,Override!$E$11:$E$40,"&gt;=0",Override!$C$11:$C$40,"MXAU"))&gt;0,SUMIFS(Override!$E$11:$E$40,Override!$B$11:$B$40,$B113,Override!$D$11:$D$40,5)-SUMIFS(Override!$E$11:$E$40,Override!$B$11:$B$40,$B113,Override!$D$11:$D$40,5,Override!$C$11:$C$40,"MXAU"),Override!$G$148)/AS51!$B$3,"")))</f>
        <v/>
      </c>
      <c r="K113" s="140">
        <f>IF(K$13="","",IF($B113="","",IFERROR($C113*$D113*IF((Override!$C$4="ON")*(COUNTIFS(Override!$B$11:$B$40,$B113,Override!$D$11:$D$40,6,Override!$E$11:$E$40,"&gt;=0")-COUNTIFS(Override!$B$11:$B$40,$B113,Override!$D$11:$D$40,6,Override!$E$11:$E$40,"&gt;=0",Override!$C$11:$C$40,"MXAU"))&gt;0,SUMIFS(Override!$E$11:$E$40,Override!$B$11:$B$40,$B113,Override!$D$11:$D$40,6)-SUMIFS(Override!$E$11:$E$40,Override!$B$11:$B$40,$B113,Override!$D$11:$D$40,6,Override!$C$11:$C$40,"MXAU"),Override!$H$148)/AS51!$B$3,"")))</f>
        <v/>
      </c>
      <c r="L113" s="140">
        <f>IF(L$13="","",IF($B113="","",IFERROR($C113*$D113*IF((Override!$C$4="ON")*(COUNTIFS(Override!$B$11:$B$40,$B113,Override!$D$11:$D$40,7,Override!$E$11:$E$40,"&gt;=0")-COUNTIFS(Override!$B$11:$B$40,$B113,Override!$D$11:$D$40,7,Override!$E$11:$E$40,"&gt;=0",Override!$C$11:$C$40,"MXAU"))&gt;0,SUMIFS(Override!$E$11:$E$40,Override!$B$11:$B$40,$B113,Override!$D$11:$D$40,7)-SUMIFS(Override!$E$11:$E$40,Override!$B$11:$B$40,$B113,Override!$D$11:$D$40,7,Override!$C$11:$C$40,"MXAU"),Override!$I$148)/AS51!$B$3,"")))</f>
        <v/>
      </c>
      <c r="M113" s="140">
        <f>IF(M$13="","",IF($B113="","",IFERROR($C113*$D113*IF((Override!$C$4="ON")*(COUNTIFS(Override!$B$11:$B$40,$B113,Override!$D$11:$D$40,8,Override!$E$11:$E$40,"&gt;=0")-COUNTIFS(Override!$B$11:$B$40,$B113,Override!$D$11:$D$40,8,Override!$E$11:$E$40,"&gt;=0",Override!$C$11:$C$40,"MXAU"))&gt;0,SUMIFS(Override!$E$11:$E$40,Override!$B$11:$B$40,$B113,Override!$D$11:$D$40,8)-SUMIFS(Override!$E$11:$E$40,Override!$B$11:$B$40,$B113,Override!$D$11:$D$40,8,Override!$C$11:$C$40,"MXAU"),Override!$J$148)/AS51!$B$3,"")))</f>
        <v/>
      </c>
      <c r="N113" s="140">
        <f>IF(N$13="","",IF($B113="","",IFERROR($C113*$D113*IF((Override!$C$4="ON")*(COUNTIFS(Override!$B$11:$B$40,$B113,Override!$D$11:$D$40,9,Override!$E$11:$E$40,"&gt;=0")-COUNTIFS(Override!$B$11:$B$40,$B113,Override!$D$11:$D$40,9,Override!$E$11:$E$40,"&gt;=0",Override!$C$11:$C$40,"MXAU"))&gt;0,SUMIFS(Override!$E$11:$E$40,Override!$B$11:$B$40,$B113,Override!$D$11:$D$40,9)-SUMIFS(Override!$E$11:$E$40,Override!$B$11:$B$40,$B113,Override!$D$11:$D$40,9,Override!$C$11:$C$40,"MXAU"),Override!$K$148)/AS51!$B$3,"")))</f>
        <v/>
      </c>
      <c r="O113" s="140">
        <f>IF(O$13="","",IF($B113="","",IFERROR($C113*$D113*IF((Override!$C$4="ON")*(COUNTIFS(Override!$B$11:$B$40,$B113,Override!$D$11:$D$40,10,Override!$E$11:$E$40,"&gt;=0")-COUNTIFS(Override!$B$11:$B$40,$B113,Override!$D$11:$D$40,10,Override!$E$11:$E$40,"&gt;=0",Override!$C$11:$C$40,"MXAU"))&gt;0,SUMIFS(Override!$E$11:$E$40,Override!$B$11:$B$40,$B113,Override!$D$11:$D$40,10)-SUMIFS(Override!$E$11:$E$40,Override!$B$11:$B$40,$B113,Override!$D$11:$D$40,10,Override!$C$11:$C$40,"MXAU"),Override!$L$148)/AS51!$B$3,"")))</f>
        <v/>
      </c>
      <c r="P113" s="140">
        <f>IF(P$13="","",IF($B113="","",IFERROR($C113*$D113*IF((Override!$C$4="ON")*(COUNTIFS(Override!$B$11:$B$40,$B113,Override!$D$11:$D$40,11,Override!$E$11:$E$40,"&gt;=0")-COUNTIFS(Override!$B$11:$B$40,$B113,Override!$D$11:$D$40,11,Override!$E$11:$E$40,"&gt;=0",Override!$C$11:$C$40,"MXAU"))&gt;0,SUMIFS(Override!$E$11:$E$40,Override!$B$11:$B$40,$B113,Override!$D$11:$D$40,11)-SUMIFS(Override!$E$11:$E$40,Override!$B$11:$B$40,$B113,Override!$D$11:$D$40,11,Override!$C$11:$C$40,"MXAU"),Override!$M$148)/AS51!$B$3,"")))</f>
        <v/>
      </c>
      <c r="Q113" s="140">
        <f>IF(Q$13="","",IF($B113="","",IFERROR($C113*$D113*IF((Override!$C$4="ON")*(COUNTIFS(Override!$B$11:$B$40,$B113,Override!$D$11:$D$40,12,Override!$E$11:$E$40,"&gt;=0")-COUNTIFS(Override!$B$11:$B$40,$B113,Override!$D$11:$D$40,12,Override!$E$11:$E$40,"&gt;=0",Override!$C$11:$C$40,"MXAU"))&gt;0,SUMIFS(Override!$E$11:$E$40,Override!$B$11:$B$40,$B113,Override!$D$11:$D$40,12)-SUMIFS(Override!$E$11:$E$40,Override!$B$11:$B$40,$B113,Override!$D$11:$D$40,12,Override!$C$11:$C$40,"MXAU"),Override!$N$148)/AS51!$B$3,"")))</f>
        <v/>
      </c>
      <c r="R113" s="140">
        <f>IF(R$13="","",IF($B113="","",IFERROR($C113*$D113*IF((Override!$C$4="ON")*(COUNTIFS(Override!$B$11:$B$40,$B113,Override!$D$11:$D$40,13,Override!$E$11:$E$40,"&gt;=0")-COUNTIFS(Override!$B$11:$B$40,$B113,Override!$D$11:$D$40,13,Override!$E$11:$E$40,"&gt;=0",Override!$C$11:$C$40,"MXAU"))&gt;0,SUMIFS(Override!$E$11:$E$40,Override!$B$11:$B$40,$B113,Override!$D$11:$D$40,13)-SUMIFS(Override!$E$11:$E$40,Override!$B$11:$B$40,$B113,Override!$D$11:$D$40,13,Override!$C$11:$C$40,"MXAU"),Override!$O$148)/AS51!$B$3,"")))</f>
        <v/>
      </c>
      <c r="S113" s="140">
        <f>IF(S$13="","",IF($B113="","",IFERROR($C113*$D113*IF((Override!$C$4="ON")*(COUNTIFS(Override!$B$11:$B$40,$B113,Override!$D$11:$D$40,14,Override!$E$11:$E$40,"&gt;=0")-COUNTIFS(Override!$B$11:$B$40,$B113,Override!$D$11:$D$40,14,Override!$E$11:$E$40,"&gt;=0",Override!$C$11:$C$40,"MXAU"))&gt;0,SUMIFS(Override!$E$11:$E$40,Override!$B$11:$B$40,$B113,Override!$D$11:$D$40,14)-SUMIFS(Override!$E$11:$E$40,Override!$B$11:$B$40,$B113,Override!$D$11:$D$40,14,Override!$C$11:$C$40,"MXAU"),Override!$P$148)/AS51!$B$3,"")))</f>
        <v/>
      </c>
      <c r="T113" s="140">
        <f>IF(T$13="","",IF($B113="","",IFERROR($C113*$D113*IF((Override!$C$4="ON")*(COUNTIFS(Override!$B$11:$B$40,$B113,Override!$D$11:$D$40,15,Override!$E$11:$E$40,"&gt;=0")-COUNTIFS(Override!$B$11:$B$40,$B113,Override!$D$11:$D$40,15,Override!$E$11:$E$40,"&gt;=0",Override!$C$11:$C$40,"MXAU"))&gt;0,SUMIFS(Override!$E$11:$E$40,Override!$B$11:$B$40,$B113,Override!$D$11:$D$40,15)-SUMIFS(Override!$E$11:$E$40,Override!$B$11:$B$40,$B113,Override!$D$11:$D$40,15,Override!$C$11:$C$40,"MXAU"),Override!$Q$148)/AS51!$B$3,"")))</f>
        <v/>
      </c>
      <c r="U113" s="140">
        <f>IF(U$13="","",IF($B113="","",IFERROR($C113*$D113*IF((Override!$C$4="ON")*(COUNTIFS(Override!$B$11:$B$40,$B113,Override!$D$11:$D$40,16,Override!$E$11:$E$40,"&gt;=0")-COUNTIFS(Override!$B$11:$B$40,$B113,Override!$D$11:$D$40,16,Override!$E$11:$E$40,"&gt;=0",Override!$C$11:$C$40,"MXAU"))&gt;0,SUMIFS(Override!$E$11:$E$40,Override!$B$11:$B$40,$B113,Override!$D$11:$D$40,16)-SUMIFS(Override!$E$11:$E$40,Override!$B$11:$B$40,$B113,Override!$D$11:$D$40,16,Override!$C$11:$C$40,"MXAU"),Override!$R$148)/AS51!$B$3,"")))</f>
        <v/>
      </c>
      <c r="W113" s="140">
        <f>IF(W$13="","",IF($B113="","",IFERROR(F113*$E113/100,"")))</f>
        <v/>
      </c>
      <c r="X113" s="140">
        <f>IF(X$13="","",IF($B113="","",IFERROR(G113*$E113/100,"")))</f>
        <v/>
      </c>
      <c r="Y113" s="140">
        <f>IF(Y$13="","",IF($B113="","",IFERROR(H113*$E113/100,"")))</f>
        <v/>
      </c>
      <c r="Z113" s="140">
        <f>IF(Z$13="","",IF($B113="","",IFERROR(I113*$E113/100,"")))</f>
        <v/>
      </c>
      <c r="AA113" s="140">
        <f>IF(AA$13="","",IF($B113="","",IFERROR(J113*$E113/100,"")))</f>
        <v/>
      </c>
      <c r="AB113" s="140">
        <f>IF(AB$13="","",IF($B113="","",IFERROR(K113*$E113/100,"")))</f>
        <v/>
      </c>
      <c r="AC113" s="140">
        <f>IF(AC$13="","",IF($B113="","",IFERROR(L113*$E113/100,"")))</f>
        <v/>
      </c>
      <c r="AD113" s="140">
        <f>IF(AD$13="","",IF($B113="","",IFERROR(M113*$E113/100,"")))</f>
        <v/>
      </c>
      <c r="AE113" s="140">
        <f>IF(AE$13="","",IF($B113="","",IFERROR(N113*$E113/100,"")))</f>
        <v/>
      </c>
      <c r="AF113" s="140">
        <f>IF(AF$13="","",IF($B113="","",IFERROR(O113*$E113/100,"")))</f>
        <v/>
      </c>
      <c r="AG113" s="140">
        <f>IF(AG$13="","",IF($B113="","",IFERROR(P113*$E113/100,"")))</f>
        <v/>
      </c>
      <c r="AH113" s="140">
        <f>IF(AH$13="","",IF($B113="","",IFERROR(Q113*$E113/100,"")))</f>
        <v/>
      </c>
      <c r="AI113" s="140">
        <f>IF(AI$13="","",IF($B113="","",IFERROR(R113*$E113/100,"")))</f>
        <v/>
      </c>
      <c r="AJ113" s="140">
        <f>IF(AJ$13="","",IF($B113="","",IFERROR(S113*$E113/100,"")))</f>
        <v/>
      </c>
      <c r="AK113" s="140">
        <f>IF(AK$13="","",IF($B113="","",IFERROR(T113*$E113/100,"")))</f>
        <v/>
      </c>
      <c r="AL113" s="140">
        <f>IF(AL$13="","",IF($B113="","",IFERROR(U113*$E113/100,"")))</f>
        <v/>
      </c>
      <c r="AN113" s="140">
        <f>IF($B113="","",SUMIF($F$13:$U$13,"&lt;="&amp;Sector!$D$51,$F113:$U113))</f>
        <v/>
      </c>
      <c r="AO113" s="140">
        <f>IF($B113="","",SUMIF($W$13:$AL$13,"&lt;="&amp;Sector!$D$51,$W113:$AL113))</f>
        <v/>
      </c>
    </row>
    <row r="114">
      <c r="B114" s="5">
        <f>IF(AS51!$C$104="","",AS51!$C$104)</f>
        <v/>
      </c>
      <c r="C114" s="90">
        <f>IF(AS51!$B$104="","",AS51!$B$104)</f>
        <v/>
      </c>
      <c r="D114" s="138">
        <f>IFERROR(AS51!$Q$104,1)</f>
        <v/>
      </c>
      <c r="E114" s="139">
        <f>IF($B114="","",IF(ISNUMBER(AS51!$I$104),AS51!$I$104,'Index Summary'!$C$7))</f>
        <v/>
      </c>
      <c r="F114" s="140">
        <f>IF(F$13="","",IF($B114="","",IFERROR($C114*$D114*IF((Override!$C$4="ON")*(COUNTIFS(Override!$B$11:$B$40,$B114,Override!$D$11:$D$40,1,Override!$E$11:$E$40,"&gt;=0")-COUNTIFS(Override!$B$11:$B$40,$B114,Override!$D$11:$D$40,1,Override!$E$11:$E$40,"&gt;=0",Override!$C$11:$C$40,"MXAU"))&gt;0,SUMIFS(Override!$E$11:$E$40,Override!$B$11:$B$40,$B114,Override!$D$11:$D$40,1)-SUMIFS(Override!$E$11:$E$40,Override!$B$11:$B$40,$B114,Override!$D$11:$D$40,1,Override!$C$11:$C$40,"MXAU"),Override!$C$149)/AS51!$B$3,"")))</f>
        <v/>
      </c>
      <c r="G114" s="140">
        <f>IF(G$13="","",IF($B114="","",IFERROR($C114*$D114*IF((Override!$C$4="ON")*(COUNTIFS(Override!$B$11:$B$40,$B114,Override!$D$11:$D$40,2,Override!$E$11:$E$40,"&gt;=0")-COUNTIFS(Override!$B$11:$B$40,$B114,Override!$D$11:$D$40,2,Override!$E$11:$E$40,"&gt;=0",Override!$C$11:$C$40,"MXAU"))&gt;0,SUMIFS(Override!$E$11:$E$40,Override!$B$11:$B$40,$B114,Override!$D$11:$D$40,2)-SUMIFS(Override!$E$11:$E$40,Override!$B$11:$B$40,$B114,Override!$D$11:$D$40,2,Override!$C$11:$C$40,"MXAU"),Override!$D$149)/AS51!$B$3,"")))</f>
        <v/>
      </c>
      <c r="H114" s="140">
        <f>IF(H$13="","",IF($B114="","",IFERROR($C114*$D114*IF((Override!$C$4="ON")*(COUNTIFS(Override!$B$11:$B$40,$B114,Override!$D$11:$D$40,3,Override!$E$11:$E$40,"&gt;=0")-COUNTIFS(Override!$B$11:$B$40,$B114,Override!$D$11:$D$40,3,Override!$E$11:$E$40,"&gt;=0",Override!$C$11:$C$40,"MXAU"))&gt;0,SUMIFS(Override!$E$11:$E$40,Override!$B$11:$B$40,$B114,Override!$D$11:$D$40,3)-SUMIFS(Override!$E$11:$E$40,Override!$B$11:$B$40,$B114,Override!$D$11:$D$40,3,Override!$C$11:$C$40,"MXAU"),Override!$E$149)/AS51!$B$3,"")))</f>
        <v/>
      </c>
      <c r="I114" s="140">
        <f>IF(I$13="","",IF($B114="","",IFERROR($C114*$D114*IF((Override!$C$4="ON")*(COUNTIFS(Override!$B$11:$B$40,$B114,Override!$D$11:$D$40,4,Override!$E$11:$E$40,"&gt;=0")-COUNTIFS(Override!$B$11:$B$40,$B114,Override!$D$11:$D$40,4,Override!$E$11:$E$40,"&gt;=0",Override!$C$11:$C$40,"MXAU"))&gt;0,SUMIFS(Override!$E$11:$E$40,Override!$B$11:$B$40,$B114,Override!$D$11:$D$40,4)-SUMIFS(Override!$E$11:$E$40,Override!$B$11:$B$40,$B114,Override!$D$11:$D$40,4,Override!$C$11:$C$40,"MXAU"),Override!$F$149)/AS51!$B$3,"")))</f>
        <v/>
      </c>
      <c r="J114" s="140">
        <f>IF(J$13="","",IF($B114="","",IFERROR($C114*$D114*IF((Override!$C$4="ON")*(COUNTIFS(Override!$B$11:$B$40,$B114,Override!$D$11:$D$40,5,Override!$E$11:$E$40,"&gt;=0")-COUNTIFS(Override!$B$11:$B$40,$B114,Override!$D$11:$D$40,5,Override!$E$11:$E$40,"&gt;=0",Override!$C$11:$C$40,"MXAU"))&gt;0,SUMIFS(Override!$E$11:$E$40,Override!$B$11:$B$40,$B114,Override!$D$11:$D$40,5)-SUMIFS(Override!$E$11:$E$40,Override!$B$11:$B$40,$B114,Override!$D$11:$D$40,5,Override!$C$11:$C$40,"MXAU"),Override!$G$149)/AS51!$B$3,"")))</f>
        <v/>
      </c>
      <c r="K114" s="140">
        <f>IF(K$13="","",IF($B114="","",IFERROR($C114*$D114*IF((Override!$C$4="ON")*(COUNTIFS(Override!$B$11:$B$40,$B114,Override!$D$11:$D$40,6,Override!$E$11:$E$40,"&gt;=0")-COUNTIFS(Override!$B$11:$B$40,$B114,Override!$D$11:$D$40,6,Override!$E$11:$E$40,"&gt;=0",Override!$C$11:$C$40,"MXAU"))&gt;0,SUMIFS(Override!$E$11:$E$40,Override!$B$11:$B$40,$B114,Override!$D$11:$D$40,6)-SUMIFS(Override!$E$11:$E$40,Override!$B$11:$B$40,$B114,Override!$D$11:$D$40,6,Override!$C$11:$C$40,"MXAU"),Override!$H$149)/AS51!$B$3,"")))</f>
        <v/>
      </c>
      <c r="L114" s="140">
        <f>IF(L$13="","",IF($B114="","",IFERROR($C114*$D114*IF((Override!$C$4="ON")*(COUNTIFS(Override!$B$11:$B$40,$B114,Override!$D$11:$D$40,7,Override!$E$11:$E$40,"&gt;=0")-COUNTIFS(Override!$B$11:$B$40,$B114,Override!$D$11:$D$40,7,Override!$E$11:$E$40,"&gt;=0",Override!$C$11:$C$40,"MXAU"))&gt;0,SUMIFS(Override!$E$11:$E$40,Override!$B$11:$B$40,$B114,Override!$D$11:$D$40,7)-SUMIFS(Override!$E$11:$E$40,Override!$B$11:$B$40,$B114,Override!$D$11:$D$40,7,Override!$C$11:$C$40,"MXAU"),Override!$I$149)/AS51!$B$3,"")))</f>
        <v/>
      </c>
      <c r="M114" s="140">
        <f>IF(M$13="","",IF($B114="","",IFERROR($C114*$D114*IF((Override!$C$4="ON")*(COUNTIFS(Override!$B$11:$B$40,$B114,Override!$D$11:$D$40,8,Override!$E$11:$E$40,"&gt;=0")-COUNTIFS(Override!$B$11:$B$40,$B114,Override!$D$11:$D$40,8,Override!$E$11:$E$40,"&gt;=0",Override!$C$11:$C$40,"MXAU"))&gt;0,SUMIFS(Override!$E$11:$E$40,Override!$B$11:$B$40,$B114,Override!$D$11:$D$40,8)-SUMIFS(Override!$E$11:$E$40,Override!$B$11:$B$40,$B114,Override!$D$11:$D$40,8,Override!$C$11:$C$40,"MXAU"),Override!$J$149)/AS51!$B$3,"")))</f>
        <v/>
      </c>
      <c r="N114" s="140">
        <f>IF(N$13="","",IF($B114="","",IFERROR($C114*$D114*IF((Override!$C$4="ON")*(COUNTIFS(Override!$B$11:$B$40,$B114,Override!$D$11:$D$40,9,Override!$E$11:$E$40,"&gt;=0")-COUNTIFS(Override!$B$11:$B$40,$B114,Override!$D$11:$D$40,9,Override!$E$11:$E$40,"&gt;=0",Override!$C$11:$C$40,"MXAU"))&gt;0,SUMIFS(Override!$E$11:$E$40,Override!$B$11:$B$40,$B114,Override!$D$11:$D$40,9)-SUMIFS(Override!$E$11:$E$40,Override!$B$11:$B$40,$B114,Override!$D$11:$D$40,9,Override!$C$11:$C$40,"MXAU"),Override!$K$149)/AS51!$B$3,"")))</f>
        <v/>
      </c>
      <c r="O114" s="140">
        <f>IF(O$13="","",IF($B114="","",IFERROR($C114*$D114*IF((Override!$C$4="ON")*(COUNTIFS(Override!$B$11:$B$40,$B114,Override!$D$11:$D$40,10,Override!$E$11:$E$40,"&gt;=0")-COUNTIFS(Override!$B$11:$B$40,$B114,Override!$D$11:$D$40,10,Override!$E$11:$E$40,"&gt;=0",Override!$C$11:$C$40,"MXAU"))&gt;0,SUMIFS(Override!$E$11:$E$40,Override!$B$11:$B$40,$B114,Override!$D$11:$D$40,10)-SUMIFS(Override!$E$11:$E$40,Override!$B$11:$B$40,$B114,Override!$D$11:$D$40,10,Override!$C$11:$C$40,"MXAU"),Override!$L$149)/AS51!$B$3,"")))</f>
        <v/>
      </c>
      <c r="P114" s="140">
        <f>IF(P$13="","",IF($B114="","",IFERROR($C114*$D114*IF((Override!$C$4="ON")*(COUNTIFS(Override!$B$11:$B$40,$B114,Override!$D$11:$D$40,11,Override!$E$11:$E$40,"&gt;=0")-COUNTIFS(Override!$B$11:$B$40,$B114,Override!$D$11:$D$40,11,Override!$E$11:$E$40,"&gt;=0",Override!$C$11:$C$40,"MXAU"))&gt;0,SUMIFS(Override!$E$11:$E$40,Override!$B$11:$B$40,$B114,Override!$D$11:$D$40,11)-SUMIFS(Override!$E$11:$E$40,Override!$B$11:$B$40,$B114,Override!$D$11:$D$40,11,Override!$C$11:$C$40,"MXAU"),Override!$M$149)/AS51!$B$3,"")))</f>
        <v/>
      </c>
      <c r="Q114" s="140">
        <f>IF(Q$13="","",IF($B114="","",IFERROR($C114*$D114*IF((Override!$C$4="ON")*(COUNTIFS(Override!$B$11:$B$40,$B114,Override!$D$11:$D$40,12,Override!$E$11:$E$40,"&gt;=0")-COUNTIFS(Override!$B$11:$B$40,$B114,Override!$D$11:$D$40,12,Override!$E$11:$E$40,"&gt;=0",Override!$C$11:$C$40,"MXAU"))&gt;0,SUMIFS(Override!$E$11:$E$40,Override!$B$11:$B$40,$B114,Override!$D$11:$D$40,12)-SUMIFS(Override!$E$11:$E$40,Override!$B$11:$B$40,$B114,Override!$D$11:$D$40,12,Override!$C$11:$C$40,"MXAU"),Override!$N$149)/AS51!$B$3,"")))</f>
        <v/>
      </c>
      <c r="R114" s="140">
        <f>IF(R$13="","",IF($B114="","",IFERROR($C114*$D114*IF((Override!$C$4="ON")*(COUNTIFS(Override!$B$11:$B$40,$B114,Override!$D$11:$D$40,13,Override!$E$11:$E$40,"&gt;=0")-COUNTIFS(Override!$B$11:$B$40,$B114,Override!$D$11:$D$40,13,Override!$E$11:$E$40,"&gt;=0",Override!$C$11:$C$40,"MXAU"))&gt;0,SUMIFS(Override!$E$11:$E$40,Override!$B$11:$B$40,$B114,Override!$D$11:$D$40,13)-SUMIFS(Override!$E$11:$E$40,Override!$B$11:$B$40,$B114,Override!$D$11:$D$40,13,Override!$C$11:$C$40,"MXAU"),Override!$O$149)/AS51!$B$3,"")))</f>
        <v/>
      </c>
      <c r="S114" s="140">
        <f>IF(S$13="","",IF($B114="","",IFERROR($C114*$D114*IF((Override!$C$4="ON")*(COUNTIFS(Override!$B$11:$B$40,$B114,Override!$D$11:$D$40,14,Override!$E$11:$E$40,"&gt;=0")-COUNTIFS(Override!$B$11:$B$40,$B114,Override!$D$11:$D$40,14,Override!$E$11:$E$40,"&gt;=0",Override!$C$11:$C$40,"MXAU"))&gt;0,SUMIFS(Override!$E$11:$E$40,Override!$B$11:$B$40,$B114,Override!$D$11:$D$40,14)-SUMIFS(Override!$E$11:$E$40,Override!$B$11:$B$40,$B114,Override!$D$11:$D$40,14,Override!$C$11:$C$40,"MXAU"),Override!$P$149)/AS51!$B$3,"")))</f>
        <v/>
      </c>
      <c r="T114" s="140">
        <f>IF(T$13="","",IF($B114="","",IFERROR($C114*$D114*IF((Override!$C$4="ON")*(COUNTIFS(Override!$B$11:$B$40,$B114,Override!$D$11:$D$40,15,Override!$E$11:$E$40,"&gt;=0")-COUNTIFS(Override!$B$11:$B$40,$B114,Override!$D$11:$D$40,15,Override!$E$11:$E$40,"&gt;=0",Override!$C$11:$C$40,"MXAU"))&gt;0,SUMIFS(Override!$E$11:$E$40,Override!$B$11:$B$40,$B114,Override!$D$11:$D$40,15)-SUMIFS(Override!$E$11:$E$40,Override!$B$11:$B$40,$B114,Override!$D$11:$D$40,15,Override!$C$11:$C$40,"MXAU"),Override!$Q$149)/AS51!$B$3,"")))</f>
        <v/>
      </c>
      <c r="U114" s="140">
        <f>IF(U$13="","",IF($B114="","",IFERROR($C114*$D114*IF((Override!$C$4="ON")*(COUNTIFS(Override!$B$11:$B$40,$B114,Override!$D$11:$D$40,16,Override!$E$11:$E$40,"&gt;=0")-COUNTIFS(Override!$B$11:$B$40,$B114,Override!$D$11:$D$40,16,Override!$E$11:$E$40,"&gt;=0",Override!$C$11:$C$40,"MXAU"))&gt;0,SUMIFS(Override!$E$11:$E$40,Override!$B$11:$B$40,$B114,Override!$D$11:$D$40,16)-SUMIFS(Override!$E$11:$E$40,Override!$B$11:$B$40,$B114,Override!$D$11:$D$40,16,Override!$C$11:$C$40,"MXAU"),Override!$R$149)/AS51!$B$3,"")))</f>
        <v/>
      </c>
      <c r="W114" s="140">
        <f>IF(W$13="","",IF($B114="","",IFERROR(F114*$E114/100,"")))</f>
        <v/>
      </c>
      <c r="X114" s="140">
        <f>IF(X$13="","",IF($B114="","",IFERROR(G114*$E114/100,"")))</f>
        <v/>
      </c>
      <c r="Y114" s="140">
        <f>IF(Y$13="","",IF($B114="","",IFERROR(H114*$E114/100,"")))</f>
        <v/>
      </c>
      <c r="Z114" s="140">
        <f>IF(Z$13="","",IF($B114="","",IFERROR(I114*$E114/100,"")))</f>
        <v/>
      </c>
      <c r="AA114" s="140">
        <f>IF(AA$13="","",IF($B114="","",IFERROR(J114*$E114/100,"")))</f>
        <v/>
      </c>
      <c r="AB114" s="140">
        <f>IF(AB$13="","",IF($B114="","",IFERROR(K114*$E114/100,"")))</f>
        <v/>
      </c>
      <c r="AC114" s="140">
        <f>IF(AC$13="","",IF($B114="","",IFERROR(L114*$E114/100,"")))</f>
        <v/>
      </c>
      <c r="AD114" s="140">
        <f>IF(AD$13="","",IF($B114="","",IFERROR(M114*$E114/100,"")))</f>
        <v/>
      </c>
      <c r="AE114" s="140">
        <f>IF(AE$13="","",IF($B114="","",IFERROR(N114*$E114/100,"")))</f>
        <v/>
      </c>
      <c r="AF114" s="140">
        <f>IF(AF$13="","",IF($B114="","",IFERROR(O114*$E114/100,"")))</f>
        <v/>
      </c>
      <c r="AG114" s="140">
        <f>IF(AG$13="","",IF($B114="","",IFERROR(P114*$E114/100,"")))</f>
        <v/>
      </c>
      <c r="AH114" s="140">
        <f>IF(AH$13="","",IF($B114="","",IFERROR(Q114*$E114/100,"")))</f>
        <v/>
      </c>
      <c r="AI114" s="140">
        <f>IF(AI$13="","",IF($B114="","",IFERROR(R114*$E114/100,"")))</f>
        <v/>
      </c>
      <c r="AJ114" s="140">
        <f>IF(AJ$13="","",IF($B114="","",IFERROR(S114*$E114/100,"")))</f>
        <v/>
      </c>
      <c r="AK114" s="140">
        <f>IF(AK$13="","",IF($B114="","",IFERROR(T114*$E114/100,"")))</f>
        <v/>
      </c>
      <c r="AL114" s="140">
        <f>IF(AL$13="","",IF($B114="","",IFERROR(U114*$E114/100,"")))</f>
        <v/>
      </c>
      <c r="AN114" s="140">
        <f>IF($B114="","",SUMIF($F$13:$U$13,"&lt;="&amp;Sector!$D$51,$F114:$U114))</f>
        <v/>
      </c>
      <c r="AO114" s="140">
        <f>IF($B114="","",SUMIF($W$13:$AL$13,"&lt;="&amp;Sector!$D$51,$W114:$AL114))</f>
        <v/>
      </c>
    </row>
    <row r="115">
      <c r="B115" s="5">
        <f>IF(AS51!$C$105="","",AS51!$C$105)</f>
        <v/>
      </c>
      <c r="C115" s="90">
        <f>IF(AS51!$B$105="","",AS51!$B$105)</f>
        <v/>
      </c>
      <c r="D115" s="138">
        <f>IFERROR(AS51!$Q$105,1)</f>
        <v/>
      </c>
      <c r="E115" s="139">
        <f>IF($B115="","",IF(ISNUMBER(AS51!$I$105),AS51!$I$105,'Index Summary'!$C$7))</f>
        <v/>
      </c>
      <c r="F115" s="140">
        <f>IF(F$13="","",IF($B115="","",IFERROR($C115*$D115*IF((Override!$C$4="ON")*(COUNTIFS(Override!$B$11:$B$40,$B115,Override!$D$11:$D$40,1,Override!$E$11:$E$40,"&gt;=0")-COUNTIFS(Override!$B$11:$B$40,$B115,Override!$D$11:$D$40,1,Override!$E$11:$E$40,"&gt;=0",Override!$C$11:$C$40,"MXAU"))&gt;0,SUMIFS(Override!$E$11:$E$40,Override!$B$11:$B$40,$B115,Override!$D$11:$D$40,1)-SUMIFS(Override!$E$11:$E$40,Override!$B$11:$B$40,$B115,Override!$D$11:$D$40,1,Override!$C$11:$C$40,"MXAU"),Override!$C$150)/AS51!$B$3,"")))</f>
        <v/>
      </c>
      <c r="G115" s="140">
        <f>IF(G$13="","",IF($B115="","",IFERROR($C115*$D115*IF((Override!$C$4="ON")*(COUNTIFS(Override!$B$11:$B$40,$B115,Override!$D$11:$D$40,2,Override!$E$11:$E$40,"&gt;=0")-COUNTIFS(Override!$B$11:$B$40,$B115,Override!$D$11:$D$40,2,Override!$E$11:$E$40,"&gt;=0",Override!$C$11:$C$40,"MXAU"))&gt;0,SUMIFS(Override!$E$11:$E$40,Override!$B$11:$B$40,$B115,Override!$D$11:$D$40,2)-SUMIFS(Override!$E$11:$E$40,Override!$B$11:$B$40,$B115,Override!$D$11:$D$40,2,Override!$C$11:$C$40,"MXAU"),Override!$D$150)/AS51!$B$3,"")))</f>
        <v/>
      </c>
      <c r="H115" s="140">
        <f>IF(H$13="","",IF($B115="","",IFERROR($C115*$D115*IF((Override!$C$4="ON")*(COUNTIFS(Override!$B$11:$B$40,$B115,Override!$D$11:$D$40,3,Override!$E$11:$E$40,"&gt;=0")-COUNTIFS(Override!$B$11:$B$40,$B115,Override!$D$11:$D$40,3,Override!$E$11:$E$40,"&gt;=0",Override!$C$11:$C$40,"MXAU"))&gt;0,SUMIFS(Override!$E$11:$E$40,Override!$B$11:$B$40,$B115,Override!$D$11:$D$40,3)-SUMIFS(Override!$E$11:$E$40,Override!$B$11:$B$40,$B115,Override!$D$11:$D$40,3,Override!$C$11:$C$40,"MXAU"),Override!$E$150)/AS51!$B$3,"")))</f>
        <v/>
      </c>
      <c r="I115" s="140">
        <f>IF(I$13="","",IF($B115="","",IFERROR($C115*$D115*IF((Override!$C$4="ON")*(COUNTIFS(Override!$B$11:$B$40,$B115,Override!$D$11:$D$40,4,Override!$E$11:$E$40,"&gt;=0")-COUNTIFS(Override!$B$11:$B$40,$B115,Override!$D$11:$D$40,4,Override!$E$11:$E$40,"&gt;=0",Override!$C$11:$C$40,"MXAU"))&gt;0,SUMIFS(Override!$E$11:$E$40,Override!$B$11:$B$40,$B115,Override!$D$11:$D$40,4)-SUMIFS(Override!$E$11:$E$40,Override!$B$11:$B$40,$B115,Override!$D$11:$D$40,4,Override!$C$11:$C$40,"MXAU"),Override!$F$150)/AS51!$B$3,"")))</f>
        <v/>
      </c>
      <c r="J115" s="140">
        <f>IF(J$13="","",IF($B115="","",IFERROR($C115*$D115*IF((Override!$C$4="ON")*(COUNTIFS(Override!$B$11:$B$40,$B115,Override!$D$11:$D$40,5,Override!$E$11:$E$40,"&gt;=0")-COUNTIFS(Override!$B$11:$B$40,$B115,Override!$D$11:$D$40,5,Override!$E$11:$E$40,"&gt;=0",Override!$C$11:$C$40,"MXAU"))&gt;0,SUMIFS(Override!$E$11:$E$40,Override!$B$11:$B$40,$B115,Override!$D$11:$D$40,5)-SUMIFS(Override!$E$11:$E$40,Override!$B$11:$B$40,$B115,Override!$D$11:$D$40,5,Override!$C$11:$C$40,"MXAU"),Override!$G$150)/AS51!$B$3,"")))</f>
        <v/>
      </c>
      <c r="K115" s="140">
        <f>IF(K$13="","",IF($B115="","",IFERROR($C115*$D115*IF((Override!$C$4="ON")*(COUNTIFS(Override!$B$11:$B$40,$B115,Override!$D$11:$D$40,6,Override!$E$11:$E$40,"&gt;=0")-COUNTIFS(Override!$B$11:$B$40,$B115,Override!$D$11:$D$40,6,Override!$E$11:$E$40,"&gt;=0",Override!$C$11:$C$40,"MXAU"))&gt;0,SUMIFS(Override!$E$11:$E$40,Override!$B$11:$B$40,$B115,Override!$D$11:$D$40,6)-SUMIFS(Override!$E$11:$E$40,Override!$B$11:$B$40,$B115,Override!$D$11:$D$40,6,Override!$C$11:$C$40,"MXAU"),Override!$H$150)/AS51!$B$3,"")))</f>
        <v/>
      </c>
      <c r="L115" s="140">
        <f>IF(L$13="","",IF($B115="","",IFERROR($C115*$D115*IF((Override!$C$4="ON")*(COUNTIFS(Override!$B$11:$B$40,$B115,Override!$D$11:$D$40,7,Override!$E$11:$E$40,"&gt;=0")-COUNTIFS(Override!$B$11:$B$40,$B115,Override!$D$11:$D$40,7,Override!$E$11:$E$40,"&gt;=0",Override!$C$11:$C$40,"MXAU"))&gt;0,SUMIFS(Override!$E$11:$E$40,Override!$B$11:$B$40,$B115,Override!$D$11:$D$40,7)-SUMIFS(Override!$E$11:$E$40,Override!$B$11:$B$40,$B115,Override!$D$11:$D$40,7,Override!$C$11:$C$40,"MXAU"),Override!$I$150)/AS51!$B$3,"")))</f>
        <v/>
      </c>
      <c r="M115" s="140">
        <f>IF(M$13="","",IF($B115="","",IFERROR($C115*$D115*IF((Override!$C$4="ON")*(COUNTIFS(Override!$B$11:$B$40,$B115,Override!$D$11:$D$40,8,Override!$E$11:$E$40,"&gt;=0")-COUNTIFS(Override!$B$11:$B$40,$B115,Override!$D$11:$D$40,8,Override!$E$11:$E$40,"&gt;=0",Override!$C$11:$C$40,"MXAU"))&gt;0,SUMIFS(Override!$E$11:$E$40,Override!$B$11:$B$40,$B115,Override!$D$11:$D$40,8)-SUMIFS(Override!$E$11:$E$40,Override!$B$11:$B$40,$B115,Override!$D$11:$D$40,8,Override!$C$11:$C$40,"MXAU"),Override!$J$150)/AS51!$B$3,"")))</f>
        <v/>
      </c>
      <c r="N115" s="140">
        <f>IF(N$13="","",IF($B115="","",IFERROR($C115*$D115*IF((Override!$C$4="ON")*(COUNTIFS(Override!$B$11:$B$40,$B115,Override!$D$11:$D$40,9,Override!$E$11:$E$40,"&gt;=0")-COUNTIFS(Override!$B$11:$B$40,$B115,Override!$D$11:$D$40,9,Override!$E$11:$E$40,"&gt;=0",Override!$C$11:$C$40,"MXAU"))&gt;0,SUMIFS(Override!$E$11:$E$40,Override!$B$11:$B$40,$B115,Override!$D$11:$D$40,9)-SUMIFS(Override!$E$11:$E$40,Override!$B$11:$B$40,$B115,Override!$D$11:$D$40,9,Override!$C$11:$C$40,"MXAU"),Override!$K$150)/AS51!$B$3,"")))</f>
        <v/>
      </c>
      <c r="O115" s="140">
        <f>IF(O$13="","",IF($B115="","",IFERROR($C115*$D115*IF((Override!$C$4="ON")*(COUNTIFS(Override!$B$11:$B$40,$B115,Override!$D$11:$D$40,10,Override!$E$11:$E$40,"&gt;=0")-COUNTIFS(Override!$B$11:$B$40,$B115,Override!$D$11:$D$40,10,Override!$E$11:$E$40,"&gt;=0",Override!$C$11:$C$40,"MXAU"))&gt;0,SUMIFS(Override!$E$11:$E$40,Override!$B$11:$B$40,$B115,Override!$D$11:$D$40,10)-SUMIFS(Override!$E$11:$E$40,Override!$B$11:$B$40,$B115,Override!$D$11:$D$40,10,Override!$C$11:$C$40,"MXAU"),Override!$L$150)/AS51!$B$3,"")))</f>
        <v/>
      </c>
      <c r="P115" s="140">
        <f>IF(P$13="","",IF($B115="","",IFERROR($C115*$D115*IF((Override!$C$4="ON")*(COUNTIFS(Override!$B$11:$B$40,$B115,Override!$D$11:$D$40,11,Override!$E$11:$E$40,"&gt;=0")-COUNTIFS(Override!$B$11:$B$40,$B115,Override!$D$11:$D$40,11,Override!$E$11:$E$40,"&gt;=0",Override!$C$11:$C$40,"MXAU"))&gt;0,SUMIFS(Override!$E$11:$E$40,Override!$B$11:$B$40,$B115,Override!$D$11:$D$40,11)-SUMIFS(Override!$E$11:$E$40,Override!$B$11:$B$40,$B115,Override!$D$11:$D$40,11,Override!$C$11:$C$40,"MXAU"),Override!$M$150)/AS51!$B$3,"")))</f>
        <v/>
      </c>
      <c r="Q115" s="140">
        <f>IF(Q$13="","",IF($B115="","",IFERROR($C115*$D115*IF((Override!$C$4="ON")*(COUNTIFS(Override!$B$11:$B$40,$B115,Override!$D$11:$D$40,12,Override!$E$11:$E$40,"&gt;=0")-COUNTIFS(Override!$B$11:$B$40,$B115,Override!$D$11:$D$40,12,Override!$E$11:$E$40,"&gt;=0",Override!$C$11:$C$40,"MXAU"))&gt;0,SUMIFS(Override!$E$11:$E$40,Override!$B$11:$B$40,$B115,Override!$D$11:$D$40,12)-SUMIFS(Override!$E$11:$E$40,Override!$B$11:$B$40,$B115,Override!$D$11:$D$40,12,Override!$C$11:$C$40,"MXAU"),Override!$N$150)/AS51!$B$3,"")))</f>
        <v/>
      </c>
      <c r="R115" s="140">
        <f>IF(R$13="","",IF($B115="","",IFERROR($C115*$D115*IF((Override!$C$4="ON")*(COUNTIFS(Override!$B$11:$B$40,$B115,Override!$D$11:$D$40,13,Override!$E$11:$E$40,"&gt;=0")-COUNTIFS(Override!$B$11:$B$40,$B115,Override!$D$11:$D$40,13,Override!$E$11:$E$40,"&gt;=0",Override!$C$11:$C$40,"MXAU"))&gt;0,SUMIFS(Override!$E$11:$E$40,Override!$B$11:$B$40,$B115,Override!$D$11:$D$40,13)-SUMIFS(Override!$E$11:$E$40,Override!$B$11:$B$40,$B115,Override!$D$11:$D$40,13,Override!$C$11:$C$40,"MXAU"),Override!$O$150)/AS51!$B$3,"")))</f>
        <v/>
      </c>
      <c r="S115" s="140">
        <f>IF(S$13="","",IF($B115="","",IFERROR($C115*$D115*IF((Override!$C$4="ON")*(COUNTIFS(Override!$B$11:$B$40,$B115,Override!$D$11:$D$40,14,Override!$E$11:$E$40,"&gt;=0")-COUNTIFS(Override!$B$11:$B$40,$B115,Override!$D$11:$D$40,14,Override!$E$11:$E$40,"&gt;=0",Override!$C$11:$C$40,"MXAU"))&gt;0,SUMIFS(Override!$E$11:$E$40,Override!$B$11:$B$40,$B115,Override!$D$11:$D$40,14)-SUMIFS(Override!$E$11:$E$40,Override!$B$11:$B$40,$B115,Override!$D$11:$D$40,14,Override!$C$11:$C$40,"MXAU"),Override!$P$150)/AS51!$B$3,"")))</f>
        <v/>
      </c>
      <c r="T115" s="140">
        <f>IF(T$13="","",IF($B115="","",IFERROR($C115*$D115*IF((Override!$C$4="ON")*(COUNTIFS(Override!$B$11:$B$40,$B115,Override!$D$11:$D$40,15,Override!$E$11:$E$40,"&gt;=0")-COUNTIFS(Override!$B$11:$B$40,$B115,Override!$D$11:$D$40,15,Override!$E$11:$E$40,"&gt;=0",Override!$C$11:$C$40,"MXAU"))&gt;0,SUMIFS(Override!$E$11:$E$40,Override!$B$11:$B$40,$B115,Override!$D$11:$D$40,15)-SUMIFS(Override!$E$11:$E$40,Override!$B$11:$B$40,$B115,Override!$D$11:$D$40,15,Override!$C$11:$C$40,"MXAU"),Override!$Q$150)/AS51!$B$3,"")))</f>
        <v/>
      </c>
      <c r="U115" s="140">
        <f>IF(U$13="","",IF($B115="","",IFERROR($C115*$D115*IF((Override!$C$4="ON")*(COUNTIFS(Override!$B$11:$B$40,$B115,Override!$D$11:$D$40,16,Override!$E$11:$E$40,"&gt;=0")-COUNTIFS(Override!$B$11:$B$40,$B115,Override!$D$11:$D$40,16,Override!$E$11:$E$40,"&gt;=0",Override!$C$11:$C$40,"MXAU"))&gt;0,SUMIFS(Override!$E$11:$E$40,Override!$B$11:$B$40,$B115,Override!$D$11:$D$40,16)-SUMIFS(Override!$E$11:$E$40,Override!$B$11:$B$40,$B115,Override!$D$11:$D$40,16,Override!$C$11:$C$40,"MXAU"),Override!$R$150)/AS51!$B$3,"")))</f>
        <v/>
      </c>
      <c r="W115" s="140">
        <f>IF(W$13="","",IF($B115="","",IFERROR(F115*$E115/100,"")))</f>
        <v/>
      </c>
      <c r="X115" s="140">
        <f>IF(X$13="","",IF($B115="","",IFERROR(G115*$E115/100,"")))</f>
        <v/>
      </c>
      <c r="Y115" s="140">
        <f>IF(Y$13="","",IF($B115="","",IFERROR(H115*$E115/100,"")))</f>
        <v/>
      </c>
      <c r="Z115" s="140">
        <f>IF(Z$13="","",IF($B115="","",IFERROR(I115*$E115/100,"")))</f>
        <v/>
      </c>
      <c r="AA115" s="140">
        <f>IF(AA$13="","",IF($B115="","",IFERROR(J115*$E115/100,"")))</f>
        <v/>
      </c>
      <c r="AB115" s="140">
        <f>IF(AB$13="","",IF($B115="","",IFERROR(K115*$E115/100,"")))</f>
        <v/>
      </c>
      <c r="AC115" s="140">
        <f>IF(AC$13="","",IF($B115="","",IFERROR(L115*$E115/100,"")))</f>
        <v/>
      </c>
      <c r="AD115" s="140">
        <f>IF(AD$13="","",IF($B115="","",IFERROR(M115*$E115/100,"")))</f>
        <v/>
      </c>
      <c r="AE115" s="140">
        <f>IF(AE$13="","",IF($B115="","",IFERROR(N115*$E115/100,"")))</f>
        <v/>
      </c>
      <c r="AF115" s="140">
        <f>IF(AF$13="","",IF($B115="","",IFERROR(O115*$E115/100,"")))</f>
        <v/>
      </c>
      <c r="AG115" s="140">
        <f>IF(AG$13="","",IF($B115="","",IFERROR(P115*$E115/100,"")))</f>
        <v/>
      </c>
      <c r="AH115" s="140">
        <f>IF(AH$13="","",IF($B115="","",IFERROR(Q115*$E115/100,"")))</f>
        <v/>
      </c>
      <c r="AI115" s="140">
        <f>IF(AI$13="","",IF($B115="","",IFERROR(R115*$E115/100,"")))</f>
        <v/>
      </c>
      <c r="AJ115" s="140">
        <f>IF(AJ$13="","",IF($B115="","",IFERROR(S115*$E115/100,"")))</f>
        <v/>
      </c>
      <c r="AK115" s="140">
        <f>IF(AK$13="","",IF($B115="","",IFERROR(T115*$E115/100,"")))</f>
        <v/>
      </c>
      <c r="AL115" s="140">
        <f>IF(AL$13="","",IF($B115="","",IFERROR(U115*$E115/100,"")))</f>
        <v/>
      </c>
      <c r="AN115" s="140">
        <f>IF($B115="","",SUMIF($F$13:$U$13,"&lt;="&amp;Sector!$D$51,$F115:$U115))</f>
        <v/>
      </c>
      <c r="AO115" s="140">
        <f>IF($B115="","",SUMIF($W$13:$AL$13,"&lt;="&amp;Sector!$D$51,$W115:$AL115))</f>
        <v/>
      </c>
    </row>
    <row r="116">
      <c r="B116" s="5">
        <f>IF(AS51!$C$106="","",AS51!$C$106)</f>
        <v/>
      </c>
      <c r="C116" s="90">
        <f>IF(AS51!$B$106="","",AS51!$B$106)</f>
        <v/>
      </c>
      <c r="D116" s="138">
        <f>IFERROR(AS51!$Q$106,1)</f>
        <v/>
      </c>
      <c r="E116" s="139">
        <f>IF($B116="","",IF(ISNUMBER(AS51!$I$106),AS51!$I$106,'Index Summary'!$C$7))</f>
        <v/>
      </c>
      <c r="F116" s="140">
        <f>IF(F$13="","",IF($B116="","",IFERROR($C116*$D116*IF((Override!$C$4="ON")*(COUNTIFS(Override!$B$11:$B$40,$B116,Override!$D$11:$D$40,1,Override!$E$11:$E$40,"&gt;=0")-COUNTIFS(Override!$B$11:$B$40,$B116,Override!$D$11:$D$40,1,Override!$E$11:$E$40,"&gt;=0",Override!$C$11:$C$40,"MXAU"))&gt;0,SUMIFS(Override!$E$11:$E$40,Override!$B$11:$B$40,$B116,Override!$D$11:$D$40,1)-SUMIFS(Override!$E$11:$E$40,Override!$B$11:$B$40,$B116,Override!$D$11:$D$40,1,Override!$C$11:$C$40,"MXAU"),Override!$C$151)/AS51!$B$3,"")))</f>
        <v/>
      </c>
      <c r="G116" s="140">
        <f>IF(G$13="","",IF($B116="","",IFERROR($C116*$D116*IF((Override!$C$4="ON")*(COUNTIFS(Override!$B$11:$B$40,$B116,Override!$D$11:$D$40,2,Override!$E$11:$E$40,"&gt;=0")-COUNTIFS(Override!$B$11:$B$40,$B116,Override!$D$11:$D$40,2,Override!$E$11:$E$40,"&gt;=0",Override!$C$11:$C$40,"MXAU"))&gt;0,SUMIFS(Override!$E$11:$E$40,Override!$B$11:$B$40,$B116,Override!$D$11:$D$40,2)-SUMIFS(Override!$E$11:$E$40,Override!$B$11:$B$40,$B116,Override!$D$11:$D$40,2,Override!$C$11:$C$40,"MXAU"),Override!$D$151)/AS51!$B$3,"")))</f>
        <v/>
      </c>
      <c r="H116" s="140">
        <f>IF(H$13="","",IF($B116="","",IFERROR($C116*$D116*IF((Override!$C$4="ON")*(COUNTIFS(Override!$B$11:$B$40,$B116,Override!$D$11:$D$40,3,Override!$E$11:$E$40,"&gt;=0")-COUNTIFS(Override!$B$11:$B$40,$B116,Override!$D$11:$D$40,3,Override!$E$11:$E$40,"&gt;=0",Override!$C$11:$C$40,"MXAU"))&gt;0,SUMIFS(Override!$E$11:$E$40,Override!$B$11:$B$40,$B116,Override!$D$11:$D$40,3)-SUMIFS(Override!$E$11:$E$40,Override!$B$11:$B$40,$B116,Override!$D$11:$D$40,3,Override!$C$11:$C$40,"MXAU"),Override!$E$151)/AS51!$B$3,"")))</f>
        <v/>
      </c>
      <c r="I116" s="140">
        <f>IF(I$13="","",IF($B116="","",IFERROR($C116*$D116*IF((Override!$C$4="ON")*(COUNTIFS(Override!$B$11:$B$40,$B116,Override!$D$11:$D$40,4,Override!$E$11:$E$40,"&gt;=0")-COUNTIFS(Override!$B$11:$B$40,$B116,Override!$D$11:$D$40,4,Override!$E$11:$E$40,"&gt;=0",Override!$C$11:$C$40,"MXAU"))&gt;0,SUMIFS(Override!$E$11:$E$40,Override!$B$11:$B$40,$B116,Override!$D$11:$D$40,4)-SUMIFS(Override!$E$11:$E$40,Override!$B$11:$B$40,$B116,Override!$D$11:$D$40,4,Override!$C$11:$C$40,"MXAU"),Override!$F$151)/AS51!$B$3,"")))</f>
        <v/>
      </c>
      <c r="J116" s="140">
        <f>IF(J$13="","",IF($B116="","",IFERROR($C116*$D116*IF((Override!$C$4="ON")*(COUNTIFS(Override!$B$11:$B$40,$B116,Override!$D$11:$D$40,5,Override!$E$11:$E$40,"&gt;=0")-COUNTIFS(Override!$B$11:$B$40,$B116,Override!$D$11:$D$40,5,Override!$E$11:$E$40,"&gt;=0",Override!$C$11:$C$40,"MXAU"))&gt;0,SUMIFS(Override!$E$11:$E$40,Override!$B$11:$B$40,$B116,Override!$D$11:$D$40,5)-SUMIFS(Override!$E$11:$E$40,Override!$B$11:$B$40,$B116,Override!$D$11:$D$40,5,Override!$C$11:$C$40,"MXAU"),Override!$G$151)/AS51!$B$3,"")))</f>
        <v/>
      </c>
      <c r="K116" s="140">
        <f>IF(K$13="","",IF($B116="","",IFERROR($C116*$D116*IF((Override!$C$4="ON")*(COUNTIFS(Override!$B$11:$B$40,$B116,Override!$D$11:$D$40,6,Override!$E$11:$E$40,"&gt;=0")-COUNTIFS(Override!$B$11:$B$40,$B116,Override!$D$11:$D$40,6,Override!$E$11:$E$40,"&gt;=0",Override!$C$11:$C$40,"MXAU"))&gt;0,SUMIFS(Override!$E$11:$E$40,Override!$B$11:$B$40,$B116,Override!$D$11:$D$40,6)-SUMIFS(Override!$E$11:$E$40,Override!$B$11:$B$40,$B116,Override!$D$11:$D$40,6,Override!$C$11:$C$40,"MXAU"),Override!$H$151)/AS51!$B$3,"")))</f>
        <v/>
      </c>
      <c r="L116" s="140">
        <f>IF(L$13="","",IF($B116="","",IFERROR($C116*$D116*IF((Override!$C$4="ON")*(COUNTIFS(Override!$B$11:$B$40,$B116,Override!$D$11:$D$40,7,Override!$E$11:$E$40,"&gt;=0")-COUNTIFS(Override!$B$11:$B$40,$B116,Override!$D$11:$D$40,7,Override!$E$11:$E$40,"&gt;=0",Override!$C$11:$C$40,"MXAU"))&gt;0,SUMIFS(Override!$E$11:$E$40,Override!$B$11:$B$40,$B116,Override!$D$11:$D$40,7)-SUMIFS(Override!$E$11:$E$40,Override!$B$11:$B$40,$B116,Override!$D$11:$D$40,7,Override!$C$11:$C$40,"MXAU"),Override!$I$151)/AS51!$B$3,"")))</f>
        <v/>
      </c>
      <c r="M116" s="140">
        <f>IF(M$13="","",IF($B116="","",IFERROR($C116*$D116*IF((Override!$C$4="ON")*(COUNTIFS(Override!$B$11:$B$40,$B116,Override!$D$11:$D$40,8,Override!$E$11:$E$40,"&gt;=0")-COUNTIFS(Override!$B$11:$B$40,$B116,Override!$D$11:$D$40,8,Override!$E$11:$E$40,"&gt;=0",Override!$C$11:$C$40,"MXAU"))&gt;0,SUMIFS(Override!$E$11:$E$40,Override!$B$11:$B$40,$B116,Override!$D$11:$D$40,8)-SUMIFS(Override!$E$11:$E$40,Override!$B$11:$B$40,$B116,Override!$D$11:$D$40,8,Override!$C$11:$C$40,"MXAU"),Override!$J$151)/AS51!$B$3,"")))</f>
        <v/>
      </c>
      <c r="N116" s="140">
        <f>IF(N$13="","",IF($B116="","",IFERROR($C116*$D116*IF((Override!$C$4="ON")*(COUNTIFS(Override!$B$11:$B$40,$B116,Override!$D$11:$D$40,9,Override!$E$11:$E$40,"&gt;=0")-COUNTIFS(Override!$B$11:$B$40,$B116,Override!$D$11:$D$40,9,Override!$E$11:$E$40,"&gt;=0",Override!$C$11:$C$40,"MXAU"))&gt;0,SUMIFS(Override!$E$11:$E$40,Override!$B$11:$B$40,$B116,Override!$D$11:$D$40,9)-SUMIFS(Override!$E$11:$E$40,Override!$B$11:$B$40,$B116,Override!$D$11:$D$40,9,Override!$C$11:$C$40,"MXAU"),Override!$K$151)/AS51!$B$3,"")))</f>
        <v/>
      </c>
      <c r="O116" s="140">
        <f>IF(O$13="","",IF($B116="","",IFERROR($C116*$D116*IF((Override!$C$4="ON")*(COUNTIFS(Override!$B$11:$B$40,$B116,Override!$D$11:$D$40,10,Override!$E$11:$E$40,"&gt;=0")-COUNTIFS(Override!$B$11:$B$40,$B116,Override!$D$11:$D$40,10,Override!$E$11:$E$40,"&gt;=0",Override!$C$11:$C$40,"MXAU"))&gt;0,SUMIFS(Override!$E$11:$E$40,Override!$B$11:$B$40,$B116,Override!$D$11:$D$40,10)-SUMIFS(Override!$E$11:$E$40,Override!$B$11:$B$40,$B116,Override!$D$11:$D$40,10,Override!$C$11:$C$40,"MXAU"),Override!$L$151)/AS51!$B$3,"")))</f>
        <v/>
      </c>
      <c r="P116" s="140">
        <f>IF(P$13="","",IF($B116="","",IFERROR($C116*$D116*IF((Override!$C$4="ON")*(COUNTIFS(Override!$B$11:$B$40,$B116,Override!$D$11:$D$40,11,Override!$E$11:$E$40,"&gt;=0")-COUNTIFS(Override!$B$11:$B$40,$B116,Override!$D$11:$D$40,11,Override!$E$11:$E$40,"&gt;=0",Override!$C$11:$C$40,"MXAU"))&gt;0,SUMIFS(Override!$E$11:$E$40,Override!$B$11:$B$40,$B116,Override!$D$11:$D$40,11)-SUMIFS(Override!$E$11:$E$40,Override!$B$11:$B$40,$B116,Override!$D$11:$D$40,11,Override!$C$11:$C$40,"MXAU"),Override!$M$151)/AS51!$B$3,"")))</f>
        <v/>
      </c>
      <c r="Q116" s="140">
        <f>IF(Q$13="","",IF($B116="","",IFERROR($C116*$D116*IF((Override!$C$4="ON")*(COUNTIFS(Override!$B$11:$B$40,$B116,Override!$D$11:$D$40,12,Override!$E$11:$E$40,"&gt;=0")-COUNTIFS(Override!$B$11:$B$40,$B116,Override!$D$11:$D$40,12,Override!$E$11:$E$40,"&gt;=0",Override!$C$11:$C$40,"MXAU"))&gt;0,SUMIFS(Override!$E$11:$E$40,Override!$B$11:$B$40,$B116,Override!$D$11:$D$40,12)-SUMIFS(Override!$E$11:$E$40,Override!$B$11:$B$40,$B116,Override!$D$11:$D$40,12,Override!$C$11:$C$40,"MXAU"),Override!$N$151)/AS51!$B$3,"")))</f>
        <v/>
      </c>
      <c r="R116" s="140">
        <f>IF(R$13="","",IF($B116="","",IFERROR($C116*$D116*IF((Override!$C$4="ON")*(COUNTIFS(Override!$B$11:$B$40,$B116,Override!$D$11:$D$40,13,Override!$E$11:$E$40,"&gt;=0")-COUNTIFS(Override!$B$11:$B$40,$B116,Override!$D$11:$D$40,13,Override!$E$11:$E$40,"&gt;=0",Override!$C$11:$C$40,"MXAU"))&gt;0,SUMIFS(Override!$E$11:$E$40,Override!$B$11:$B$40,$B116,Override!$D$11:$D$40,13)-SUMIFS(Override!$E$11:$E$40,Override!$B$11:$B$40,$B116,Override!$D$11:$D$40,13,Override!$C$11:$C$40,"MXAU"),Override!$O$151)/AS51!$B$3,"")))</f>
        <v/>
      </c>
      <c r="S116" s="140">
        <f>IF(S$13="","",IF($B116="","",IFERROR($C116*$D116*IF((Override!$C$4="ON")*(COUNTIFS(Override!$B$11:$B$40,$B116,Override!$D$11:$D$40,14,Override!$E$11:$E$40,"&gt;=0")-COUNTIFS(Override!$B$11:$B$40,$B116,Override!$D$11:$D$40,14,Override!$E$11:$E$40,"&gt;=0",Override!$C$11:$C$40,"MXAU"))&gt;0,SUMIFS(Override!$E$11:$E$40,Override!$B$11:$B$40,$B116,Override!$D$11:$D$40,14)-SUMIFS(Override!$E$11:$E$40,Override!$B$11:$B$40,$B116,Override!$D$11:$D$40,14,Override!$C$11:$C$40,"MXAU"),Override!$P$151)/AS51!$B$3,"")))</f>
        <v/>
      </c>
      <c r="T116" s="140">
        <f>IF(T$13="","",IF($B116="","",IFERROR($C116*$D116*IF((Override!$C$4="ON")*(COUNTIFS(Override!$B$11:$B$40,$B116,Override!$D$11:$D$40,15,Override!$E$11:$E$40,"&gt;=0")-COUNTIFS(Override!$B$11:$B$40,$B116,Override!$D$11:$D$40,15,Override!$E$11:$E$40,"&gt;=0",Override!$C$11:$C$40,"MXAU"))&gt;0,SUMIFS(Override!$E$11:$E$40,Override!$B$11:$B$40,$B116,Override!$D$11:$D$40,15)-SUMIFS(Override!$E$11:$E$40,Override!$B$11:$B$40,$B116,Override!$D$11:$D$40,15,Override!$C$11:$C$40,"MXAU"),Override!$Q$151)/AS51!$B$3,"")))</f>
        <v/>
      </c>
      <c r="U116" s="140">
        <f>IF(U$13="","",IF($B116="","",IFERROR($C116*$D116*IF((Override!$C$4="ON")*(COUNTIFS(Override!$B$11:$B$40,$B116,Override!$D$11:$D$40,16,Override!$E$11:$E$40,"&gt;=0")-COUNTIFS(Override!$B$11:$B$40,$B116,Override!$D$11:$D$40,16,Override!$E$11:$E$40,"&gt;=0",Override!$C$11:$C$40,"MXAU"))&gt;0,SUMIFS(Override!$E$11:$E$40,Override!$B$11:$B$40,$B116,Override!$D$11:$D$40,16)-SUMIFS(Override!$E$11:$E$40,Override!$B$11:$B$40,$B116,Override!$D$11:$D$40,16,Override!$C$11:$C$40,"MXAU"),Override!$R$151)/AS51!$B$3,"")))</f>
        <v/>
      </c>
      <c r="W116" s="140">
        <f>IF(W$13="","",IF($B116="","",IFERROR(F116*$E116/100,"")))</f>
        <v/>
      </c>
      <c r="X116" s="140">
        <f>IF(X$13="","",IF($B116="","",IFERROR(G116*$E116/100,"")))</f>
        <v/>
      </c>
      <c r="Y116" s="140">
        <f>IF(Y$13="","",IF($B116="","",IFERROR(H116*$E116/100,"")))</f>
        <v/>
      </c>
      <c r="Z116" s="140">
        <f>IF(Z$13="","",IF($B116="","",IFERROR(I116*$E116/100,"")))</f>
        <v/>
      </c>
      <c r="AA116" s="140">
        <f>IF(AA$13="","",IF($B116="","",IFERROR(J116*$E116/100,"")))</f>
        <v/>
      </c>
      <c r="AB116" s="140">
        <f>IF(AB$13="","",IF($B116="","",IFERROR(K116*$E116/100,"")))</f>
        <v/>
      </c>
      <c r="AC116" s="140">
        <f>IF(AC$13="","",IF($B116="","",IFERROR(L116*$E116/100,"")))</f>
        <v/>
      </c>
      <c r="AD116" s="140">
        <f>IF(AD$13="","",IF($B116="","",IFERROR(M116*$E116/100,"")))</f>
        <v/>
      </c>
      <c r="AE116" s="140">
        <f>IF(AE$13="","",IF($B116="","",IFERROR(N116*$E116/100,"")))</f>
        <v/>
      </c>
      <c r="AF116" s="140">
        <f>IF(AF$13="","",IF($B116="","",IFERROR(O116*$E116/100,"")))</f>
        <v/>
      </c>
      <c r="AG116" s="140">
        <f>IF(AG$13="","",IF($B116="","",IFERROR(P116*$E116/100,"")))</f>
        <v/>
      </c>
      <c r="AH116" s="140">
        <f>IF(AH$13="","",IF($B116="","",IFERROR(Q116*$E116/100,"")))</f>
        <v/>
      </c>
      <c r="AI116" s="140">
        <f>IF(AI$13="","",IF($B116="","",IFERROR(R116*$E116/100,"")))</f>
        <v/>
      </c>
      <c r="AJ116" s="140">
        <f>IF(AJ$13="","",IF($B116="","",IFERROR(S116*$E116/100,"")))</f>
        <v/>
      </c>
      <c r="AK116" s="140">
        <f>IF(AK$13="","",IF($B116="","",IFERROR(T116*$E116/100,"")))</f>
        <v/>
      </c>
      <c r="AL116" s="140">
        <f>IF(AL$13="","",IF($B116="","",IFERROR(U116*$E116/100,"")))</f>
        <v/>
      </c>
      <c r="AN116" s="140">
        <f>IF($B116="","",SUMIF($F$13:$U$13,"&lt;="&amp;Sector!$D$51,$F116:$U116))</f>
        <v/>
      </c>
      <c r="AO116" s="140">
        <f>IF($B116="","",SUMIF($W$13:$AL$13,"&lt;="&amp;Sector!$D$51,$W116:$AL116))</f>
        <v/>
      </c>
    </row>
    <row r="117">
      <c r="B117" s="5">
        <f>IF(AS51!$C$107="","",AS51!$C$107)</f>
        <v/>
      </c>
      <c r="C117" s="90">
        <f>IF(AS51!$B$107="","",AS51!$B$107)</f>
        <v/>
      </c>
      <c r="D117" s="138">
        <f>IFERROR(AS51!$Q$107,1)</f>
        <v/>
      </c>
      <c r="E117" s="139">
        <f>IF($B117="","",IF(ISNUMBER(AS51!$I$107),AS51!$I$107,'Index Summary'!$C$7))</f>
        <v/>
      </c>
      <c r="F117" s="140">
        <f>IF(F$13="","",IF($B117="","",IFERROR($C117*$D117*IF((Override!$C$4="ON")*(COUNTIFS(Override!$B$11:$B$40,$B117,Override!$D$11:$D$40,1,Override!$E$11:$E$40,"&gt;=0")-COUNTIFS(Override!$B$11:$B$40,$B117,Override!$D$11:$D$40,1,Override!$E$11:$E$40,"&gt;=0",Override!$C$11:$C$40,"MXAU"))&gt;0,SUMIFS(Override!$E$11:$E$40,Override!$B$11:$B$40,$B117,Override!$D$11:$D$40,1)-SUMIFS(Override!$E$11:$E$40,Override!$B$11:$B$40,$B117,Override!$D$11:$D$40,1,Override!$C$11:$C$40,"MXAU"),Override!$C$152)/AS51!$B$3,"")))</f>
        <v/>
      </c>
      <c r="G117" s="140">
        <f>IF(G$13="","",IF($B117="","",IFERROR($C117*$D117*IF((Override!$C$4="ON")*(COUNTIFS(Override!$B$11:$B$40,$B117,Override!$D$11:$D$40,2,Override!$E$11:$E$40,"&gt;=0")-COUNTIFS(Override!$B$11:$B$40,$B117,Override!$D$11:$D$40,2,Override!$E$11:$E$40,"&gt;=0",Override!$C$11:$C$40,"MXAU"))&gt;0,SUMIFS(Override!$E$11:$E$40,Override!$B$11:$B$40,$B117,Override!$D$11:$D$40,2)-SUMIFS(Override!$E$11:$E$40,Override!$B$11:$B$40,$B117,Override!$D$11:$D$40,2,Override!$C$11:$C$40,"MXAU"),Override!$D$152)/AS51!$B$3,"")))</f>
        <v/>
      </c>
      <c r="H117" s="140">
        <f>IF(H$13="","",IF($B117="","",IFERROR($C117*$D117*IF((Override!$C$4="ON")*(COUNTIFS(Override!$B$11:$B$40,$B117,Override!$D$11:$D$40,3,Override!$E$11:$E$40,"&gt;=0")-COUNTIFS(Override!$B$11:$B$40,$B117,Override!$D$11:$D$40,3,Override!$E$11:$E$40,"&gt;=0",Override!$C$11:$C$40,"MXAU"))&gt;0,SUMIFS(Override!$E$11:$E$40,Override!$B$11:$B$40,$B117,Override!$D$11:$D$40,3)-SUMIFS(Override!$E$11:$E$40,Override!$B$11:$B$40,$B117,Override!$D$11:$D$40,3,Override!$C$11:$C$40,"MXAU"),Override!$E$152)/AS51!$B$3,"")))</f>
        <v/>
      </c>
      <c r="I117" s="140">
        <f>IF(I$13="","",IF($B117="","",IFERROR($C117*$D117*IF((Override!$C$4="ON")*(COUNTIFS(Override!$B$11:$B$40,$B117,Override!$D$11:$D$40,4,Override!$E$11:$E$40,"&gt;=0")-COUNTIFS(Override!$B$11:$B$40,$B117,Override!$D$11:$D$40,4,Override!$E$11:$E$40,"&gt;=0",Override!$C$11:$C$40,"MXAU"))&gt;0,SUMIFS(Override!$E$11:$E$40,Override!$B$11:$B$40,$B117,Override!$D$11:$D$40,4)-SUMIFS(Override!$E$11:$E$40,Override!$B$11:$B$40,$B117,Override!$D$11:$D$40,4,Override!$C$11:$C$40,"MXAU"),Override!$F$152)/AS51!$B$3,"")))</f>
        <v/>
      </c>
      <c r="J117" s="140">
        <f>IF(J$13="","",IF($B117="","",IFERROR($C117*$D117*IF((Override!$C$4="ON")*(COUNTIFS(Override!$B$11:$B$40,$B117,Override!$D$11:$D$40,5,Override!$E$11:$E$40,"&gt;=0")-COUNTIFS(Override!$B$11:$B$40,$B117,Override!$D$11:$D$40,5,Override!$E$11:$E$40,"&gt;=0",Override!$C$11:$C$40,"MXAU"))&gt;0,SUMIFS(Override!$E$11:$E$40,Override!$B$11:$B$40,$B117,Override!$D$11:$D$40,5)-SUMIFS(Override!$E$11:$E$40,Override!$B$11:$B$40,$B117,Override!$D$11:$D$40,5,Override!$C$11:$C$40,"MXAU"),Override!$G$152)/AS51!$B$3,"")))</f>
        <v/>
      </c>
      <c r="K117" s="140">
        <f>IF(K$13="","",IF($B117="","",IFERROR($C117*$D117*IF((Override!$C$4="ON")*(COUNTIFS(Override!$B$11:$B$40,$B117,Override!$D$11:$D$40,6,Override!$E$11:$E$40,"&gt;=0")-COUNTIFS(Override!$B$11:$B$40,$B117,Override!$D$11:$D$40,6,Override!$E$11:$E$40,"&gt;=0",Override!$C$11:$C$40,"MXAU"))&gt;0,SUMIFS(Override!$E$11:$E$40,Override!$B$11:$B$40,$B117,Override!$D$11:$D$40,6)-SUMIFS(Override!$E$11:$E$40,Override!$B$11:$B$40,$B117,Override!$D$11:$D$40,6,Override!$C$11:$C$40,"MXAU"),Override!$H$152)/AS51!$B$3,"")))</f>
        <v/>
      </c>
      <c r="L117" s="140">
        <f>IF(L$13="","",IF($B117="","",IFERROR($C117*$D117*IF((Override!$C$4="ON")*(COUNTIFS(Override!$B$11:$B$40,$B117,Override!$D$11:$D$40,7,Override!$E$11:$E$40,"&gt;=0")-COUNTIFS(Override!$B$11:$B$40,$B117,Override!$D$11:$D$40,7,Override!$E$11:$E$40,"&gt;=0",Override!$C$11:$C$40,"MXAU"))&gt;0,SUMIFS(Override!$E$11:$E$40,Override!$B$11:$B$40,$B117,Override!$D$11:$D$40,7)-SUMIFS(Override!$E$11:$E$40,Override!$B$11:$B$40,$B117,Override!$D$11:$D$40,7,Override!$C$11:$C$40,"MXAU"),Override!$I$152)/AS51!$B$3,"")))</f>
        <v/>
      </c>
      <c r="M117" s="140">
        <f>IF(M$13="","",IF($B117="","",IFERROR($C117*$D117*IF((Override!$C$4="ON")*(COUNTIFS(Override!$B$11:$B$40,$B117,Override!$D$11:$D$40,8,Override!$E$11:$E$40,"&gt;=0")-COUNTIFS(Override!$B$11:$B$40,$B117,Override!$D$11:$D$40,8,Override!$E$11:$E$40,"&gt;=0",Override!$C$11:$C$40,"MXAU"))&gt;0,SUMIFS(Override!$E$11:$E$40,Override!$B$11:$B$40,$B117,Override!$D$11:$D$40,8)-SUMIFS(Override!$E$11:$E$40,Override!$B$11:$B$40,$B117,Override!$D$11:$D$40,8,Override!$C$11:$C$40,"MXAU"),Override!$J$152)/AS51!$B$3,"")))</f>
        <v/>
      </c>
      <c r="N117" s="140">
        <f>IF(N$13="","",IF($B117="","",IFERROR($C117*$D117*IF((Override!$C$4="ON")*(COUNTIFS(Override!$B$11:$B$40,$B117,Override!$D$11:$D$40,9,Override!$E$11:$E$40,"&gt;=0")-COUNTIFS(Override!$B$11:$B$40,$B117,Override!$D$11:$D$40,9,Override!$E$11:$E$40,"&gt;=0",Override!$C$11:$C$40,"MXAU"))&gt;0,SUMIFS(Override!$E$11:$E$40,Override!$B$11:$B$40,$B117,Override!$D$11:$D$40,9)-SUMIFS(Override!$E$11:$E$40,Override!$B$11:$B$40,$B117,Override!$D$11:$D$40,9,Override!$C$11:$C$40,"MXAU"),Override!$K$152)/AS51!$B$3,"")))</f>
        <v/>
      </c>
      <c r="O117" s="140">
        <f>IF(O$13="","",IF($B117="","",IFERROR($C117*$D117*IF((Override!$C$4="ON")*(COUNTIFS(Override!$B$11:$B$40,$B117,Override!$D$11:$D$40,10,Override!$E$11:$E$40,"&gt;=0")-COUNTIFS(Override!$B$11:$B$40,$B117,Override!$D$11:$D$40,10,Override!$E$11:$E$40,"&gt;=0",Override!$C$11:$C$40,"MXAU"))&gt;0,SUMIFS(Override!$E$11:$E$40,Override!$B$11:$B$40,$B117,Override!$D$11:$D$40,10)-SUMIFS(Override!$E$11:$E$40,Override!$B$11:$B$40,$B117,Override!$D$11:$D$40,10,Override!$C$11:$C$40,"MXAU"),Override!$L$152)/AS51!$B$3,"")))</f>
        <v/>
      </c>
      <c r="P117" s="140">
        <f>IF(P$13="","",IF($B117="","",IFERROR($C117*$D117*IF((Override!$C$4="ON")*(COUNTIFS(Override!$B$11:$B$40,$B117,Override!$D$11:$D$40,11,Override!$E$11:$E$40,"&gt;=0")-COUNTIFS(Override!$B$11:$B$40,$B117,Override!$D$11:$D$40,11,Override!$E$11:$E$40,"&gt;=0",Override!$C$11:$C$40,"MXAU"))&gt;0,SUMIFS(Override!$E$11:$E$40,Override!$B$11:$B$40,$B117,Override!$D$11:$D$40,11)-SUMIFS(Override!$E$11:$E$40,Override!$B$11:$B$40,$B117,Override!$D$11:$D$40,11,Override!$C$11:$C$40,"MXAU"),Override!$M$152)/AS51!$B$3,"")))</f>
        <v/>
      </c>
      <c r="Q117" s="140">
        <f>IF(Q$13="","",IF($B117="","",IFERROR($C117*$D117*IF((Override!$C$4="ON")*(COUNTIFS(Override!$B$11:$B$40,$B117,Override!$D$11:$D$40,12,Override!$E$11:$E$40,"&gt;=0")-COUNTIFS(Override!$B$11:$B$40,$B117,Override!$D$11:$D$40,12,Override!$E$11:$E$40,"&gt;=0",Override!$C$11:$C$40,"MXAU"))&gt;0,SUMIFS(Override!$E$11:$E$40,Override!$B$11:$B$40,$B117,Override!$D$11:$D$40,12)-SUMIFS(Override!$E$11:$E$40,Override!$B$11:$B$40,$B117,Override!$D$11:$D$40,12,Override!$C$11:$C$40,"MXAU"),Override!$N$152)/AS51!$B$3,"")))</f>
        <v/>
      </c>
      <c r="R117" s="140">
        <f>IF(R$13="","",IF($B117="","",IFERROR($C117*$D117*IF((Override!$C$4="ON")*(COUNTIFS(Override!$B$11:$B$40,$B117,Override!$D$11:$D$40,13,Override!$E$11:$E$40,"&gt;=0")-COUNTIFS(Override!$B$11:$B$40,$B117,Override!$D$11:$D$40,13,Override!$E$11:$E$40,"&gt;=0",Override!$C$11:$C$40,"MXAU"))&gt;0,SUMIFS(Override!$E$11:$E$40,Override!$B$11:$B$40,$B117,Override!$D$11:$D$40,13)-SUMIFS(Override!$E$11:$E$40,Override!$B$11:$B$40,$B117,Override!$D$11:$D$40,13,Override!$C$11:$C$40,"MXAU"),Override!$O$152)/AS51!$B$3,"")))</f>
        <v/>
      </c>
      <c r="S117" s="140">
        <f>IF(S$13="","",IF($B117="","",IFERROR($C117*$D117*IF((Override!$C$4="ON")*(COUNTIFS(Override!$B$11:$B$40,$B117,Override!$D$11:$D$40,14,Override!$E$11:$E$40,"&gt;=0")-COUNTIFS(Override!$B$11:$B$40,$B117,Override!$D$11:$D$40,14,Override!$E$11:$E$40,"&gt;=0",Override!$C$11:$C$40,"MXAU"))&gt;0,SUMIFS(Override!$E$11:$E$40,Override!$B$11:$B$40,$B117,Override!$D$11:$D$40,14)-SUMIFS(Override!$E$11:$E$40,Override!$B$11:$B$40,$B117,Override!$D$11:$D$40,14,Override!$C$11:$C$40,"MXAU"),Override!$P$152)/AS51!$B$3,"")))</f>
        <v/>
      </c>
      <c r="T117" s="140">
        <f>IF(T$13="","",IF($B117="","",IFERROR($C117*$D117*IF((Override!$C$4="ON")*(COUNTIFS(Override!$B$11:$B$40,$B117,Override!$D$11:$D$40,15,Override!$E$11:$E$40,"&gt;=0")-COUNTIFS(Override!$B$11:$B$40,$B117,Override!$D$11:$D$40,15,Override!$E$11:$E$40,"&gt;=0",Override!$C$11:$C$40,"MXAU"))&gt;0,SUMIFS(Override!$E$11:$E$40,Override!$B$11:$B$40,$B117,Override!$D$11:$D$40,15)-SUMIFS(Override!$E$11:$E$40,Override!$B$11:$B$40,$B117,Override!$D$11:$D$40,15,Override!$C$11:$C$40,"MXAU"),Override!$Q$152)/AS51!$B$3,"")))</f>
        <v/>
      </c>
      <c r="U117" s="140">
        <f>IF(U$13="","",IF($B117="","",IFERROR($C117*$D117*IF((Override!$C$4="ON")*(COUNTIFS(Override!$B$11:$B$40,$B117,Override!$D$11:$D$40,16,Override!$E$11:$E$40,"&gt;=0")-COUNTIFS(Override!$B$11:$B$40,$B117,Override!$D$11:$D$40,16,Override!$E$11:$E$40,"&gt;=0",Override!$C$11:$C$40,"MXAU"))&gt;0,SUMIFS(Override!$E$11:$E$40,Override!$B$11:$B$40,$B117,Override!$D$11:$D$40,16)-SUMIFS(Override!$E$11:$E$40,Override!$B$11:$B$40,$B117,Override!$D$11:$D$40,16,Override!$C$11:$C$40,"MXAU"),Override!$R$152)/AS51!$B$3,"")))</f>
        <v/>
      </c>
      <c r="W117" s="140">
        <f>IF(W$13="","",IF($B117="","",IFERROR(F117*$E117/100,"")))</f>
        <v/>
      </c>
      <c r="X117" s="140">
        <f>IF(X$13="","",IF($B117="","",IFERROR(G117*$E117/100,"")))</f>
        <v/>
      </c>
      <c r="Y117" s="140">
        <f>IF(Y$13="","",IF($B117="","",IFERROR(H117*$E117/100,"")))</f>
        <v/>
      </c>
      <c r="Z117" s="140">
        <f>IF(Z$13="","",IF($B117="","",IFERROR(I117*$E117/100,"")))</f>
        <v/>
      </c>
      <c r="AA117" s="140">
        <f>IF(AA$13="","",IF($B117="","",IFERROR(J117*$E117/100,"")))</f>
        <v/>
      </c>
      <c r="AB117" s="140">
        <f>IF(AB$13="","",IF($B117="","",IFERROR(K117*$E117/100,"")))</f>
        <v/>
      </c>
      <c r="AC117" s="140">
        <f>IF(AC$13="","",IF($B117="","",IFERROR(L117*$E117/100,"")))</f>
        <v/>
      </c>
      <c r="AD117" s="140">
        <f>IF(AD$13="","",IF($B117="","",IFERROR(M117*$E117/100,"")))</f>
        <v/>
      </c>
      <c r="AE117" s="140">
        <f>IF(AE$13="","",IF($B117="","",IFERROR(N117*$E117/100,"")))</f>
        <v/>
      </c>
      <c r="AF117" s="140">
        <f>IF(AF$13="","",IF($B117="","",IFERROR(O117*$E117/100,"")))</f>
        <v/>
      </c>
      <c r="AG117" s="140">
        <f>IF(AG$13="","",IF($B117="","",IFERROR(P117*$E117/100,"")))</f>
        <v/>
      </c>
      <c r="AH117" s="140">
        <f>IF(AH$13="","",IF($B117="","",IFERROR(Q117*$E117/100,"")))</f>
        <v/>
      </c>
      <c r="AI117" s="140">
        <f>IF(AI$13="","",IF($B117="","",IFERROR(R117*$E117/100,"")))</f>
        <v/>
      </c>
      <c r="AJ117" s="140">
        <f>IF(AJ$13="","",IF($B117="","",IFERROR(S117*$E117/100,"")))</f>
        <v/>
      </c>
      <c r="AK117" s="140">
        <f>IF(AK$13="","",IF($B117="","",IFERROR(T117*$E117/100,"")))</f>
        <v/>
      </c>
      <c r="AL117" s="140">
        <f>IF(AL$13="","",IF($B117="","",IFERROR(U117*$E117/100,"")))</f>
        <v/>
      </c>
      <c r="AN117" s="140">
        <f>IF($B117="","",SUMIF($F$13:$U$13,"&lt;="&amp;Sector!$D$51,$F117:$U117))</f>
        <v/>
      </c>
      <c r="AO117" s="140">
        <f>IF($B117="","",SUMIF($W$13:$AL$13,"&lt;="&amp;Sector!$D$51,$W117:$AL117))</f>
        <v/>
      </c>
    </row>
    <row r="118">
      <c r="B118" s="5">
        <f>IF(AS51!$C$108="","",AS51!$C$108)</f>
        <v/>
      </c>
      <c r="C118" s="90">
        <f>IF(AS51!$B$108="","",AS51!$B$108)</f>
        <v/>
      </c>
      <c r="D118" s="138">
        <f>IFERROR(AS51!$Q$108,1)</f>
        <v/>
      </c>
      <c r="E118" s="139">
        <f>IF($B118="","",IF(ISNUMBER(AS51!$I$108),AS51!$I$108,'Index Summary'!$C$7))</f>
        <v/>
      </c>
      <c r="F118" s="140">
        <f>IF(F$13="","",IF($B118="","",IFERROR($C118*$D118*IF((Override!$C$4="ON")*(COUNTIFS(Override!$B$11:$B$40,$B118,Override!$D$11:$D$40,1,Override!$E$11:$E$40,"&gt;=0")-COUNTIFS(Override!$B$11:$B$40,$B118,Override!$D$11:$D$40,1,Override!$E$11:$E$40,"&gt;=0",Override!$C$11:$C$40,"MXAU"))&gt;0,SUMIFS(Override!$E$11:$E$40,Override!$B$11:$B$40,$B118,Override!$D$11:$D$40,1)-SUMIFS(Override!$E$11:$E$40,Override!$B$11:$B$40,$B118,Override!$D$11:$D$40,1,Override!$C$11:$C$40,"MXAU"),Override!$C$153)/AS51!$B$3,"")))</f>
        <v/>
      </c>
      <c r="G118" s="140">
        <f>IF(G$13="","",IF($B118="","",IFERROR($C118*$D118*IF((Override!$C$4="ON")*(COUNTIFS(Override!$B$11:$B$40,$B118,Override!$D$11:$D$40,2,Override!$E$11:$E$40,"&gt;=0")-COUNTIFS(Override!$B$11:$B$40,$B118,Override!$D$11:$D$40,2,Override!$E$11:$E$40,"&gt;=0",Override!$C$11:$C$40,"MXAU"))&gt;0,SUMIFS(Override!$E$11:$E$40,Override!$B$11:$B$40,$B118,Override!$D$11:$D$40,2)-SUMIFS(Override!$E$11:$E$40,Override!$B$11:$B$40,$B118,Override!$D$11:$D$40,2,Override!$C$11:$C$40,"MXAU"),Override!$D$153)/AS51!$B$3,"")))</f>
        <v/>
      </c>
      <c r="H118" s="140">
        <f>IF(H$13="","",IF($B118="","",IFERROR($C118*$D118*IF((Override!$C$4="ON")*(COUNTIFS(Override!$B$11:$B$40,$B118,Override!$D$11:$D$40,3,Override!$E$11:$E$40,"&gt;=0")-COUNTIFS(Override!$B$11:$B$40,$B118,Override!$D$11:$D$40,3,Override!$E$11:$E$40,"&gt;=0",Override!$C$11:$C$40,"MXAU"))&gt;0,SUMIFS(Override!$E$11:$E$40,Override!$B$11:$B$40,$B118,Override!$D$11:$D$40,3)-SUMIFS(Override!$E$11:$E$40,Override!$B$11:$B$40,$B118,Override!$D$11:$D$40,3,Override!$C$11:$C$40,"MXAU"),Override!$E$153)/AS51!$B$3,"")))</f>
        <v/>
      </c>
      <c r="I118" s="140">
        <f>IF(I$13="","",IF($B118="","",IFERROR($C118*$D118*IF((Override!$C$4="ON")*(COUNTIFS(Override!$B$11:$B$40,$B118,Override!$D$11:$D$40,4,Override!$E$11:$E$40,"&gt;=0")-COUNTIFS(Override!$B$11:$B$40,$B118,Override!$D$11:$D$40,4,Override!$E$11:$E$40,"&gt;=0",Override!$C$11:$C$40,"MXAU"))&gt;0,SUMIFS(Override!$E$11:$E$40,Override!$B$11:$B$40,$B118,Override!$D$11:$D$40,4)-SUMIFS(Override!$E$11:$E$40,Override!$B$11:$B$40,$B118,Override!$D$11:$D$40,4,Override!$C$11:$C$40,"MXAU"),Override!$F$153)/AS51!$B$3,"")))</f>
        <v/>
      </c>
      <c r="J118" s="140">
        <f>IF(J$13="","",IF($B118="","",IFERROR($C118*$D118*IF((Override!$C$4="ON")*(COUNTIFS(Override!$B$11:$B$40,$B118,Override!$D$11:$D$40,5,Override!$E$11:$E$40,"&gt;=0")-COUNTIFS(Override!$B$11:$B$40,$B118,Override!$D$11:$D$40,5,Override!$E$11:$E$40,"&gt;=0",Override!$C$11:$C$40,"MXAU"))&gt;0,SUMIFS(Override!$E$11:$E$40,Override!$B$11:$B$40,$B118,Override!$D$11:$D$40,5)-SUMIFS(Override!$E$11:$E$40,Override!$B$11:$B$40,$B118,Override!$D$11:$D$40,5,Override!$C$11:$C$40,"MXAU"),Override!$G$153)/AS51!$B$3,"")))</f>
        <v/>
      </c>
      <c r="K118" s="140">
        <f>IF(K$13="","",IF($B118="","",IFERROR($C118*$D118*IF((Override!$C$4="ON")*(COUNTIFS(Override!$B$11:$B$40,$B118,Override!$D$11:$D$40,6,Override!$E$11:$E$40,"&gt;=0")-COUNTIFS(Override!$B$11:$B$40,$B118,Override!$D$11:$D$40,6,Override!$E$11:$E$40,"&gt;=0",Override!$C$11:$C$40,"MXAU"))&gt;0,SUMIFS(Override!$E$11:$E$40,Override!$B$11:$B$40,$B118,Override!$D$11:$D$40,6)-SUMIFS(Override!$E$11:$E$40,Override!$B$11:$B$40,$B118,Override!$D$11:$D$40,6,Override!$C$11:$C$40,"MXAU"),Override!$H$153)/AS51!$B$3,"")))</f>
        <v/>
      </c>
      <c r="L118" s="140">
        <f>IF(L$13="","",IF($B118="","",IFERROR($C118*$D118*IF((Override!$C$4="ON")*(COUNTIFS(Override!$B$11:$B$40,$B118,Override!$D$11:$D$40,7,Override!$E$11:$E$40,"&gt;=0")-COUNTIFS(Override!$B$11:$B$40,$B118,Override!$D$11:$D$40,7,Override!$E$11:$E$40,"&gt;=0",Override!$C$11:$C$40,"MXAU"))&gt;0,SUMIFS(Override!$E$11:$E$40,Override!$B$11:$B$40,$B118,Override!$D$11:$D$40,7)-SUMIFS(Override!$E$11:$E$40,Override!$B$11:$B$40,$B118,Override!$D$11:$D$40,7,Override!$C$11:$C$40,"MXAU"),Override!$I$153)/AS51!$B$3,"")))</f>
        <v/>
      </c>
      <c r="M118" s="140">
        <f>IF(M$13="","",IF($B118="","",IFERROR($C118*$D118*IF((Override!$C$4="ON")*(COUNTIFS(Override!$B$11:$B$40,$B118,Override!$D$11:$D$40,8,Override!$E$11:$E$40,"&gt;=0")-COUNTIFS(Override!$B$11:$B$40,$B118,Override!$D$11:$D$40,8,Override!$E$11:$E$40,"&gt;=0",Override!$C$11:$C$40,"MXAU"))&gt;0,SUMIFS(Override!$E$11:$E$40,Override!$B$11:$B$40,$B118,Override!$D$11:$D$40,8)-SUMIFS(Override!$E$11:$E$40,Override!$B$11:$B$40,$B118,Override!$D$11:$D$40,8,Override!$C$11:$C$40,"MXAU"),Override!$J$153)/AS51!$B$3,"")))</f>
        <v/>
      </c>
      <c r="N118" s="140">
        <f>IF(N$13="","",IF($B118="","",IFERROR($C118*$D118*IF((Override!$C$4="ON")*(COUNTIFS(Override!$B$11:$B$40,$B118,Override!$D$11:$D$40,9,Override!$E$11:$E$40,"&gt;=0")-COUNTIFS(Override!$B$11:$B$40,$B118,Override!$D$11:$D$40,9,Override!$E$11:$E$40,"&gt;=0",Override!$C$11:$C$40,"MXAU"))&gt;0,SUMIFS(Override!$E$11:$E$40,Override!$B$11:$B$40,$B118,Override!$D$11:$D$40,9)-SUMIFS(Override!$E$11:$E$40,Override!$B$11:$B$40,$B118,Override!$D$11:$D$40,9,Override!$C$11:$C$40,"MXAU"),Override!$K$153)/AS51!$B$3,"")))</f>
        <v/>
      </c>
      <c r="O118" s="140">
        <f>IF(O$13="","",IF($B118="","",IFERROR($C118*$D118*IF((Override!$C$4="ON")*(COUNTIFS(Override!$B$11:$B$40,$B118,Override!$D$11:$D$40,10,Override!$E$11:$E$40,"&gt;=0")-COUNTIFS(Override!$B$11:$B$40,$B118,Override!$D$11:$D$40,10,Override!$E$11:$E$40,"&gt;=0",Override!$C$11:$C$40,"MXAU"))&gt;0,SUMIFS(Override!$E$11:$E$40,Override!$B$11:$B$40,$B118,Override!$D$11:$D$40,10)-SUMIFS(Override!$E$11:$E$40,Override!$B$11:$B$40,$B118,Override!$D$11:$D$40,10,Override!$C$11:$C$40,"MXAU"),Override!$L$153)/AS51!$B$3,"")))</f>
        <v/>
      </c>
      <c r="P118" s="140">
        <f>IF(P$13="","",IF($B118="","",IFERROR($C118*$D118*IF((Override!$C$4="ON")*(COUNTIFS(Override!$B$11:$B$40,$B118,Override!$D$11:$D$40,11,Override!$E$11:$E$40,"&gt;=0")-COUNTIFS(Override!$B$11:$B$40,$B118,Override!$D$11:$D$40,11,Override!$E$11:$E$40,"&gt;=0",Override!$C$11:$C$40,"MXAU"))&gt;0,SUMIFS(Override!$E$11:$E$40,Override!$B$11:$B$40,$B118,Override!$D$11:$D$40,11)-SUMIFS(Override!$E$11:$E$40,Override!$B$11:$B$40,$B118,Override!$D$11:$D$40,11,Override!$C$11:$C$40,"MXAU"),Override!$M$153)/AS51!$B$3,"")))</f>
        <v/>
      </c>
      <c r="Q118" s="140">
        <f>IF(Q$13="","",IF($B118="","",IFERROR($C118*$D118*IF((Override!$C$4="ON")*(COUNTIFS(Override!$B$11:$B$40,$B118,Override!$D$11:$D$40,12,Override!$E$11:$E$40,"&gt;=0")-COUNTIFS(Override!$B$11:$B$40,$B118,Override!$D$11:$D$40,12,Override!$E$11:$E$40,"&gt;=0",Override!$C$11:$C$40,"MXAU"))&gt;0,SUMIFS(Override!$E$11:$E$40,Override!$B$11:$B$40,$B118,Override!$D$11:$D$40,12)-SUMIFS(Override!$E$11:$E$40,Override!$B$11:$B$40,$B118,Override!$D$11:$D$40,12,Override!$C$11:$C$40,"MXAU"),Override!$N$153)/AS51!$B$3,"")))</f>
        <v/>
      </c>
      <c r="R118" s="140">
        <f>IF(R$13="","",IF($B118="","",IFERROR($C118*$D118*IF((Override!$C$4="ON")*(COUNTIFS(Override!$B$11:$B$40,$B118,Override!$D$11:$D$40,13,Override!$E$11:$E$40,"&gt;=0")-COUNTIFS(Override!$B$11:$B$40,$B118,Override!$D$11:$D$40,13,Override!$E$11:$E$40,"&gt;=0",Override!$C$11:$C$40,"MXAU"))&gt;0,SUMIFS(Override!$E$11:$E$40,Override!$B$11:$B$40,$B118,Override!$D$11:$D$40,13)-SUMIFS(Override!$E$11:$E$40,Override!$B$11:$B$40,$B118,Override!$D$11:$D$40,13,Override!$C$11:$C$40,"MXAU"),Override!$O$153)/AS51!$B$3,"")))</f>
        <v/>
      </c>
      <c r="S118" s="140">
        <f>IF(S$13="","",IF($B118="","",IFERROR($C118*$D118*IF((Override!$C$4="ON")*(COUNTIFS(Override!$B$11:$B$40,$B118,Override!$D$11:$D$40,14,Override!$E$11:$E$40,"&gt;=0")-COUNTIFS(Override!$B$11:$B$40,$B118,Override!$D$11:$D$40,14,Override!$E$11:$E$40,"&gt;=0",Override!$C$11:$C$40,"MXAU"))&gt;0,SUMIFS(Override!$E$11:$E$40,Override!$B$11:$B$40,$B118,Override!$D$11:$D$40,14)-SUMIFS(Override!$E$11:$E$40,Override!$B$11:$B$40,$B118,Override!$D$11:$D$40,14,Override!$C$11:$C$40,"MXAU"),Override!$P$153)/AS51!$B$3,"")))</f>
        <v/>
      </c>
      <c r="T118" s="140">
        <f>IF(T$13="","",IF($B118="","",IFERROR($C118*$D118*IF((Override!$C$4="ON")*(COUNTIFS(Override!$B$11:$B$40,$B118,Override!$D$11:$D$40,15,Override!$E$11:$E$40,"&gt;=0")-COUNTIFS(Override!$B$11:$B$40,$B118,Override!$D$11:$D$40,15,Override!$E$11:$E$40,"&gt;=0",Override!$C$11:$C$40,"MXAU"))&gt;0,SUMIFS(Override!$E$11:$E$40,Override!$B$11:$B$40,$B118,Override!$D$11:$D$40,15)-SUMIFS(Override!$E$11:$E$40,Override!$B$11:$B$40,$B118,Override!$D$11:$D$40,15,Override!$C$11:$C$40,"MXAU"),Override!$Q$153)/AS51!$B$3,"")))</f>
        <v/>
      </c>
      <c r="U118" s="140">
        <f>IF(U$13="","",IF($B118="","",IFERROR($C118*$D118*IF((Override!$C$4="ON")*(COUNTIFS(Override!$B$11:$B$40,$B118,Override!$D$11:$D$40,16,Override!$E$11:$E$40,"&gt;=0")-COUNTIFS(Override!$B$11:$B$40,$B118,Override!$D$11:$D$40,16,Override!$E$11:$E$40,"&gt;=0",Override!$C$11:$C$40,"MXAU"))&gt;0,SUMIFS(Override!$E$11:$E$40,Override!$B$11:$B$40,$B118,Override!$D$11:$D$40,16)-SUMIFS(Override!$E$11:$E$40,Override!$B$11:$B$40,$B118,Override!$D$11:$D$40,16,Override!$C$11:$C$40,"MXAU"),Override!$R$153)/AS51!$B$3,"")))</f>
        <v/>
      </c>
      <c r="W118" s="140">
        <f>IF(W$13="","",IF($B118="","",IFERROR(F118*$E118/100,"")))</f>
        <v/>
      </c>
      <c r="X118" s="140">
        <f>IF(X$13="","",IF($B118="","",IFERROR(G118*$E118/100,"")))</f>
        <v/>
      </c>
      <c r="Y118" s="140">
        <f>IF(Y$13="","",IF($B118="","",IFERROR(H118*$E118/100,"")))</f>
        <v/>
      </c>
      <c r="Z118" s="140">
        <f>IF(Z$13="","",IF($B118="","",IFERROR(I118*$E118/100,"")))</f>
        <v/>
      </c>
      <c r="AA118" s="140">
        <f>IF(AA$13="","",IF($B118="","",IFERROR(J118*$E118/100,"")))</f>
        <v/>
      </c>
      <c r="AB118" s="140">
        <f>IF(AB$13="","",IF($B118="","",IFERROR(K118*$E118/100,"")))</f>
        <v/>
      </c>
      <c r="AC118" s="140">
        <f>IF(AC$13="","",IF($B118="","",IFERROR(L118*$E118/100,"")))</f>
        <v/>
      </c>
      <c r="AD118" s="140">
        <f>IF(AD$13="","",IF($B118="","",IFERROR(M118*$E118/100,"")))</f>
        <v/>
      </c>
      <c r="AE118" s="140">
        <f>IF(AE$13="","",IF($B118="","",IFERROR(N118*$E118/100,"")))</f>
        <v/>
      </c>
      <c r="AF118" s="140">
        <f>IF(AF$13="","",IF($B118="","",IFERROR(O118*$E118/100,"")))</f>
        <v/>
      </c>
      <c r="AG118" s="140">
        <f>IF(AG$13="","",IF($B118="","",IFERROR(P118*$E118/100,"")))</f>
        <v/>
      </c>
      <c r="AH118" s="140">
        <f>IF(AH$13="","",IF($B118="","",IFERROR(Q118*$E118/100,"")))</f>
        <v/>
      </c>
      <c r="AI118" s="140">
        <f>IF(AI$13="","",IF($B118="","",IFERROR(R118*$E118/100,"")))</f>
        <v/>
      </c>
      <c r="AJ118" s="140">
        <f>IF(AJ$13="","",IF($B118="","",IFERROR(S118*$E118/100,"")))</f>
        <v/>
      </c>
      <c r="AK118" s="140">
        <f>IF(AK$13="","",IF($B118="","",IFERROR(T118*$E118/100,"")))</f>
        <v/>
      </c>
      <c r="AL118" s="140">
        <f>IF(AL$13="","",IF($B118="","",IFERROR(U118*$E118/100,"")))</f>
        <v/>
      </c>
      <c r="AN118" s="140">
        <f>IF($B118="","",SUMIF($F$13:$U$13,"&lt;="&amp;Sector!$D$51,$F118:$U118))</f>
        <v/>
      </c>
      <c r="AO118" s="140">
        <f>IF($B118="","",SUMIF($W$13:$AL$13,"&lt;="&amp;Sector!$D$51,$W118:$AL118))</f>
        <v/>
      </c>
    </row>
    <row r="119">
      <c r="B119" s="5">
        <f>IF(AS51!$C$109="","",AS51!$C$109)</f>
        <v/>
      </c>
      <c r="C119" s="90">
        <f>IF(AS51!$B$109="","",AS51!$B$109)</f>
        <v/>
      </c>
      <c r="D119" s="138">
        <f>IFERROR(AS51!$Q$109,1)</f>
        <v/>
      </c>
      <c r="E119" s="139">
        <f>IF($B119="","",IF(ISNUMBER(AS51!$I$109),AS51!$I$109,'Index Summary'!$C$7))</f>
        <v/>
      </c>
      <c r="F119" s="140">
        <f>IF(F$13="","",IF($B119="","",IFERROR($C119*$D119*IF((Override!$C$4="ON")*(COUNTIFS(Override!$B$11:$B$40,$B119,Override!$D$11:$D$40,1,Override!$E$11:$E$40,"&gt;=0")-COUNTIFS(Override!$B$11:$B$40,$B119,Override!$D$11:$D$40,1,Override!$E$11:$E$40,"&gt;=0",Override!$C$11:$C$40,"MXAU"))&gt;0,SUMIFS(Override!$E$11:$E$40,Override!$B$11:$B$40,$B119,Override!$D$11:$D$40,1)-SUMIFS(Override!$E$11:$E$40,Override!$B$11:$B$40,$B119,Override!$D$11:$D$40,1,Override!$C$11:$C$40,"MXAU"),Override!$C$154)/AS51!$B$3,"")))</f>
        <v/>
      </c>
      <c r="G119" s="140">
        <f>IF(G$13="","",IF($B119="","",IFERROR($C119*$D119*IF((Override!$C$4="ON")*(COUNTIFS(Override!$B$11:$B$40,$B119,Override!$D$11:$D$40,2,Override!$E$11:$E$40,"&gt;=0")-COUNTIFS(Override!$B$11:$B$40,$B119,Override!$D$11:$D$40,2,Override!$E$11:$E$40,"&gt;=0",Override!$C$11:$C$40,"MXAU"))&gt;0,SUMIFS(Override!$E$11:$E$40,Override!$B$11:$B$40,$B119,Override!$D$11:$D$40,2)-SUMIFS(Override!$E$11:$E$40,Override!$B$11:$B$40,$B119,Override!$D$11:$D$40,2,Override!$C$11:$C$40,"MXAU"),Override!$D$154)/AS51!$B$3,"")))</f>
        <v/>
      </c>
      <c r="H119" s="140">
        <f>IF(H$13="","",IF($B119="","",IFERROR($C119*$D119*IF((Override!$C$4="ON")*(COUNTIFS(Override!$B$11:$B$40,$B119,Override!$D$11:$D$40,3,Override!$E$11:$E$40,"&gt;=0")-COUNTIFS(Override!$B$11:$B$40,$B119,Override!$D$11:$D$40,3,Override!$E$11:$E$40,"&gt;=0",Override!$C$11:$C$40,"MXAU"))&gt;0,SUMIFS(Override!$E$11:$E$40,Override!$B$11:$B$40,$B119,Override!$D$11:$D$40,3)-SUMIFS(Override!$E$11:$E$40,Override!$B$11:$B$40,$B119,Override!$D$11:$D$40,3,Override!$C$11:$C$40,"MXAU"),Override!$E$154)/AS51!$B$3,"")))</f>
        <v/>
      </c>
      <c r="I119" s="140">
        <f>IF(I$13="","",IF($B119="","",IFERROR($C119*$D119*IF((Override!$C$4="ON")*(COUNTIFS(Override!$B$11:$B$40,$B119,Override!$D$11:$D$40,4,Override!$E$11:$E$40,"&gt;=0")-COUNTIFS(Override!$B$11:$B$40,$B119,Override!$D$11:$D$40,4,Override!$E$11:$E$40,"&gt;=0",Override!$C$11:$C$40,"MXAU"))&gt;0,SUMIFS(Override!$E$11:$E$40,Override!$B$11:$B$40,$B119,Override!$D$11:$D$40,4)-SUMIFS(Override!$E$11:$E$40,Override!$B$11:$B$40,$B119,Override!$D$11:$D$40,4,Override!$C$11:$C$40,"MXAU"),Override!$F$154)/AS51!$B$3,"")))</f>
        <v/>
      </c>
      <c r="J119" s="140">
        <f>IF(J$13="","",IF($B119="","",IFERROR($C119*$D119*IF((Override!$C$4="ON")*(COUNTIFS(Override!$B$11:$B$40,$B119,Override!$D$11:$D$40,5,Override!$E$11:$E$40,"&gt;=0")-COUNTIFS(Override!$B$11:$B$40,$B119,Override!$D$11:$D$40,5,Override!$E$11:$E$40,"&gt;=0",Override!$C$11:$C$40,"MXAU"))&gt;0,SUMIFS(Override!$E$11:$E$40,Override!$B$11:$B$40,$B119,Override!$D$11:$D$40,5)-SUMIFS(Override!$E$11:$E$40,Override!$B$11:$B$40,$B119,Override!$D$11:$D$40,5,Override!$C$11:$C$40,"MXAU"),Override!$G$154)/AS51!$B$3,"")))</f>
        <v/>
      </c>
      <c r="K119" s="140">
        <f>IF(K$13="","",IF($B119="","",IFERROR($C119*$D119*IF((Override!$C$4="ON")*(COUNTIFS(Override!$B$11:$B$40,$B119,Override!$D$11:$D$40,6,Override!$E$11:$E$40,"&gt;=0")-COUNTIFS(Override!$B$11:$B$40,$B119,Override!$D$11:$D$40,6,Override!$E$11:$E$40,"&gt;=0",Override!$C$11:$C$40,"MXAU"))&gt;0,SUMIFS(Override!$E$11:$E$40,Override!$B$11:$B$40,$B119,Override!$D$11:$D$40,6)-SUMIFS(Override!$E$11:$E$40,Override!$B$11:$B$40,$B119,Override!$D$11:$D$40,6,Override!$C$11:$C$40,"MXAU"),Override!$H$154)/AS51!$B$3,"")))</f>
        <v/>
      </c>
      <c r="L119" s="140">
        <f>IF(L$13="","",IF($B119="","",IFERROR($C119*$D119*IF((Override!$C$4="ON")*(COUNTIFS(Override!$B$11:$B$40,$B119,Override!$D$11:$D$40,7,Override!$E$11:$E$40,"&gt;=0")-COUNTIFS(Override!$B$11:$B$40,$B119,Override!$D$11:$D$40,7,Override!$E$11:$E$40,"&gt;=0",Override!$C$11:$C$40,"MXAU"))&gt;0,SUMIFS(Override!$E$11:$E$40,Override!$B$11:$B$40,$B119,Override!$D$11:$D$40,7)-SUMIFS(Override!$E$11:$E$40,Override!$B$11:$B$40,$B119,Override!$D$11:$D$40,7,Override!$C$11:$C$40,"MXAU"),Override!$I$154)/AS51!$B$3,"")))</f>
        <v/>
      </c>
      <c r="M119" s="140">
        <f>IF(M$13="","",IF($B119="","",IFERROR($C119*$D119*IF((Override!$C$4="ON")*(COUNTIFS(Override!$B$11:$B$40,$B119,Override!$D$11:$D$40,8,Override!$E$11:$E$40,"&gt;=0")-COUNTIFS(Override!$B$11:$B$40,$B119,Override!$D$11:$D$40,8,Override!$E$11:$E$40,"&gt;=0",Override!$C$11:$C$40,"MXAU"))&gt;0,SUMIFS(Override!$E$11:$E$40,Override!$B$11:$B$40,$B119,Override!$D$11:$D$40,8)-SUMIFS(Override!$E$11:$E$40,Override!$B$11:$B$40,$B119,Override!$D$11:$D$40,8,Override!$C$11:$C$40,"MXAU"),Override!$J$154)/AS51!$B$3,"")))</f>
        <v/>
      </c>
      <c r="N119" s="140">
        <f>IF(N$13="","",IF($B119="","",IFERROR($C119*$D119*IF((Override!$C$4="ON")*(COUNTIFS(Override!$B$11:$B$40,$B119,Override!$D$11:$D$40,9,Override!$E$11:$E$40,"&gt;=0")-COUNTIFS(Override!$B$11:$B$40,$B119,Override!$D$11:$D$40,9,Override!$E$11:$E$40,"&gt;=0",Override!$C$11:$C$40,"MXAU"))&gt;0,SUMIFS(Override!$E$11:$E$40,Override!$B$11:$B$40,$B119,Override!$D$11:$D$40,9)-SUMIFS(Override!$E$11:$E$40,Override!$B$11:$B$40,$B119,Override!$D$11:$D$40,9,Override!$C$11:$C$40,"MXAU"),Override!$K$154)/AS51!$B$3,"")))</f>
        <v/>
      </c>
      <c r="O119" s="140">
        <f>IF(O$13="","",IF($B119="","",IFERROR($C119*$D119*IF((Override!$C$4="ON")*(COUNTIFS(Override!$B$11:$B$40,$B119,Override!$D$11:$D$40,10,Override!$E$11:$E$40,"&gt;=0")-COUNTIFS(Override!$B$11:$B$40,$B119,Override!$D$11:$D$40,10,Override!$E$11:$E$40,"&gt;=0",Override!$C$11:$C$40,"MXAU"))&gt;0,SUMIFS(Override!$E$11:$E$40,Override!$B$11:$B$40,$B119,Override!$D$11:$D$40,10)-SUMIFS(Override!$E$11:$E$40,Override!$B$11:$B$40,$B119,Override!$D$11:$D$40,10,Override!$C$11:$C$40,"MXAU"),Override!$L$154)/AS51!$B$3,"")))</f>
        <v/>
      </c>
      <c r="P119" s="140">
        <f>IF(P$13="","",IF($B119="","",IFERROR($C119*$D119*IF((Override!$C$4="ON")*(COUNTIFS(Override!$B$11:$B$40,$B119,Override!$D$11:$D$40,11,Override!$E$11:$E$40,"&gt;=0")-COUNTIFS(Override!$B$11:$B$40,$B119,Override!$D$11:$D$40,11,Override!$E$11:$E$40,"&gt;=0",Override!$C$11:$C$40,"MXAU"))&gt;0,SUMIFS(Override!$E$11:$E$40,Override!$B$11:$B$40,$B119,Override!$D$11:$D$40,11)-SUMIFS(Override!$E$11:$E$40,Override!$B$11:$B$40,$B119,Override!$D$11:$D$40,11,Override!$C$11:$C$40,"MXAU"),Override!$M$154)/AS51!$B$3,"")))</f>
        <v/>
      </c>
      <c r="Q119" s="140">
        <f>IF(Q$13="","",IF($B119="","",IFERROR($C119*$D119*IF((Override!$C$4="ON")*(COUNTIFS(Override!$B$11:$B$40,$B119,Override!$D$11:$D$40,12,Override!$E$11:$E$40,"&gt;=0")-COUNTIFS(Override!$B$11:$B$40,$B119,Override!$D$11:$D$40,12,Override!$E$11:$E$40,"&gt;=0",Override!$C$11:$C$40,"MXAU"))&gt;0,SUMIFS(Override!$E$11:$E$40,Override!$B$11:$B$40,$B119,Override!$D$11:$D$40,12)-SUMIFS(Override!$E$11:$E$40,Override!$B$11:$B$40,$B119,Override!$D$11:$D$40,12,Override!$C$11:$C$40,"MXAU"),Override!$N$154)/AS51!$B$3,"")))</f>
        <v/>
      </c>
      <c r="R119" s="140">
        <f>IF(R$13="","",IF($B119="","",IFERROR($C119*$D119*IF((Override!$C$4="ON")*(COUNTIFS(Override!$B$11:$B$40,$B119,Override!$D$11:$D$40,13,Override!$E$11:$E$40,"&gt;=0")-COUNTIFS(Override!$B$11:$B$40,$B119,Override!$D$11:$D$40,13,Override!$E$11:$E$40,"&gt;=0",Override!$C$11:$C$40,"MXAU"))&gt;0,SUMIFS(Override!$E$11:$E$40,Override!$B$11:$B$40,$B119,Override!$D$11:$D$40,13)-SUMIFS(Override!$E$11:$E$40,Override!$B$11:$B$40,$B119,Override!$D$11:$D$40,13,Override!$C$11:$C$40,"MXAU"),Override!$O$154)/AS51!$B$3,"")))</f>
        <v/>
      </c>
      <c r="S119" s="140">
        <f>IF(S$13="","",IF($B119="","",IFERROR($C119*$D119*IF((Override!$C$4="ON")*(COUNTIFS(Override!$B$11:$B$40,$B119,Override!$D$11:$D$40,14,Override!$E$11:$E$40,"&gt;=0")-COUNTIFS(Override!$B$11:$B$40,$B119,Override!$D$11:$D$40,14,Override!$E$11:$E$40,"&gt;=0",Override!$C$11:$C$40,"MXAU"))&gt;0,SUMIFS(Override!$E$11:$E$40,Override!$B$11:$B$40,$B119,Override!$D$11:$D$40,14)-SUMIFS(Override!$E$11:$E$40,Override!$B$11:$B$40,$B119,Override!$D$11:$D$40,14,Override!$C$11:$C$40,"MXAU"),Override!$P$154)/AS51!$B$3,"")))</f>
        <v/>
      </c>
      <c r="T119" s="140">
        <f>IF(T$13="","",IF($B119="","",IFERROR($C119*$D119*IF((Override!$C$4="ON")*(COUNTIFS(Override!$B$11:$B$40,$B119,Override!$D$11:$D$40,15,Override!$E$11:$E$40,"&gt;=0")-COUNTIFS(Override!$B$11:$B$40,$B119,Override!$D$11:$D$40,15,Override!$E$11:$E$40,"&gt;=0",Override!$C$11:$C$40,"MXAU"))&gt;0,SUMIFS(Override!$E$11:$E$40,Override!$B$11:$B$40,$B119,Override!$D$11:$D$40,15)-SUMIFS(Override!$E$11:$E$40,Override!$B$11:$B$40,$B119,Override!$D$11:$D$40,15,Override!$C$11:$C$40,"MXAU"),Override!$Q$154)/AS51!$B$3,"")))</f>
        <v/>
      </c>
      <c r="U119" s="140">
        <f>IF(U$13="","",IF($B119="","",IFERROR($C119*$D119*IF((Override!$C$4="ON")*(COUNTIFS(Override!$B$11:$B$40,$B119,Override!$D$11:$D$40,16,Override!$E$11:$E$40,"&gt;=0")-COUNTIFS(Override!$B$11:$B$40,$B119,Override!$D$11:$D$40,16,Override!$E$11:$E$40,"&gt;=0",Override!$C$11:$C$40,"MXAU"))&gt;0,SUMIFS(Override!$E$11:$E$40,Override!$B$11:$B$40,$B119,Override!$D$11:$D$40,16)-SUMIFS(Override!$E$11:$E$40,Override!$B$11:$B$40,$B119,Override!$D$11:$D$40,16,Override!$C$11:$C$40,"MXAU"),Override!$R$154)/AS51!$B$3,"")))</f>
        <v/>
      </c>
      <c r="W119" s="140">
        <f>IF(W$13="","",IF($B119="","",IFERROR(F119*$E119/100,"")))</f>
        <v/>
      </c>
      <c r="X119" s="140">
        <f>IF(X$13="","",IF($B119="","",IFERROR(G119*$E119/100,"")))</f>
        <v/>
      </c>
      <c r="Y119" s="140">
        <f>IF(Y$13="","",IF($B119="","",IFERROR(H119*$E119/100,"")))</f>
        <v/>
      </c>
      <c r="Z119" s="140">
        <f>IF(Z$13="","",IF($B119="","",IFERROR(I119*$E119/100,"")))</f>
        <v/>
      </c>
      <c r="AA119" s="140">
        <f>IF(AA$13="","",IF($B119="","",IFERROR(J119*$E119/100,"")))</f>
        <v/>
      </c>
      <c r="AB119" s="140">
        <f>IF(AB$13="","",IF($B119="","",IFERROR(K119*$E119/100,"")))</f>
        <v/>
      </c>
      <c r="AC119" s="140">
        <f>IF(AC$13="","",IF($B119="","",IFERROR(L119*$E119/100,"")))</f>
        <v/>
      </c>
      <c r="AD119" s="140">
        <f>IF(AD$13="","",IF($B119="","",IFERROR(M119*$E119/100,"")))</f>
        <v/>
      </c>
      <c r="AE119" s="140">
        <f>IF(AE$13="","",IF($B119="","",IFERROR(N119*$E119/100,"")))</f>
        <v/>
      </c>
      <c r="AF119" s="140">
        <f>IF(AF$13="","",IF($B119="","",IFERROR(O119*$E119/100,"")))</f>
        <v/>
      </c>
      <c r="AG119" s="140">
        <f>IF(AG$13="","",IF($B119="","",IFERROR(P119*$E119/100,"")))</f>
        <v/>
      </c>
      <c r="AH119" s="140">
        <f>IF(AH$13="","",IF($B119="","",IFERROR(Q119*$E119/100,"")))</f>
        <v/>
      </c>
      <c r="AI119" s="140">
        <f>IF(AI$13="","",IF($B119="","",IFERROR(R119*$E119/100,"")))</f>
        <v/>
      </c>
      <c r="AJ119" s="140">
        <f>IF(AJ$13="","",IF($B119="","",IFERROR(S119*$E119/100,"")))</f>
        <v/>
      </c>
      <c r="AK119" s="140">
        <f>IF(AK$13="","",IF($B119="","",IFERROR(T119*$E119/100,"")))</f>
        <v/>
      </c>
      <c r="AL119" s="140">
        <f>IF(AL$13="","",IF($B119="","",IFERROR(U119*$E119/100,"")))</f>
        <v/>
      </c>
      <c r="AN119" s="140">
        <f>IF($B119="","",SUMIF($F$13:$U$13,"&lt;="&amp;Sector!$D$51,$F119:$U119))</f>
        <v/>
      </c>
      <c r="AO119" s="140">
        <f>IF($B119="","",SUMIF($W$13:$AL$13,"&lt;="&amp;Sector!$D$51,$W119:$AL119))</f>
        <v/>
      </c>
    </row>
    <row r="120">
      <c r="B120" s="5">
        <f>IF(AS51!$C$110="","",AS51!$C$110)</f>
        <v/>
      </c>
      <c r="C120" s="90">
        <f>IF(AS51!$B$110="","",AS51!$B$110)</f>
        <v/>
      </c>
      <c r="D120" s="138">
        <f>IFERROR(AS51!$Q$110,1)</f>
        <v/>
      </c>
      <c r="E120" s="139">
        <f>IF($B120="","",IF(ISNUMBER(AS51!$I$110),AS51!$I$110,'Index Summary'!$C$7))</f>
        <v/>
      </c>
      <c r="F120" s="140">
        <f>IF(F$13="","",IF($B120="","",IFERROR($C120*$D120*IF((Override!$C$4="ON")*(COUNTIFS(Override!$B$11:$B$40,$B120,Override!$D$11:$D$40,1,Override!$E$11:$E$40,"&gt;=0")-COUNTIFS(Override!$B$11:$B$40,$B120,Override!$D$11:$D$40,1,Override!$E$11:$E$40,"&gt;=0",Override!$C$11:$C$40,"MXAU"))&gt;0,SUMIFS(Override!$E$11:$E$40,Override!$B$11:$B$40,$B120,Override!$D$11:$D$40,1)-SUMIFS(Override!$E$11:$E$40,Override!$B$11:$B$40,$B120,Override!$D$11:$D$40,1,Override!$C$11:$C$40,"MXAU"),Override!$C$155)/AS51!$B$3,"")))</f>
        <v/>
      </c>
      <c r="G120" s="140">
        <f>IF(G$13="","",IF($B120="","",IFERROR($C120*$D120*IF((Override!$C$4="ON")*(COUNTIFS(Override!$B$11:$B$40,$B120,Override!$D$11:$D$40,2,Override!$E$11:$E$40,"&gt;=0")-COUNTIFS(Override!$B$11:$B$40,$B120,Override!$D$11:$D$40,2,Override!$E$11:$E$40,"&gt;=0",Override!$C$11:$C$40,"MXAU"))&gt;0,SUMIFS(Override!$E$11:$E$40,Override!$B$11:$B$40,$B120,Override!$D$11:$D$40,2)-SUMIFS(Override!$E$11:$E$40,Override!$B$11:$B$40,$B120,Override!$D$11:$D$40,2,Override!$C$11:$C$40,"MXAU"),Override!$D$155)/AS51!$B$3,"")))</f>
        <v/>
      </c>
      <c r="H120" s="140">
        <f>IF(H$13="","",IF($B120="","",IFERROR($C120*$D120*IF((Override!$C$4="ON")*(COUNTIFS(Override!$B$11:$B$40,$B120,Override!$D$11:$D$40,3,Override!$E$11:$E$40,"&gt;=0")-COUNTIFS(Override!$B$11:$B$40,$B120,Override!$D$11:$D$40,3,Override!$E$11:$E$40,"&gt;=0",Override!$C$11:$C$40,"MXAU"))&gt;0,SUMIFS(Override!$E$11:$E$40,Override!$B$11:$B$40,$B120,Override!$D$11:$D$40,3)-SUMIFS(Override!$E$11:$E$40,Override!$B$11:$B$40,$B120,Override!$D$11:$D$40,3,Override!$C$11:$C$40,"MXAU"),Override!$E$155)/AS51!$B$3,"")))</f>
        <v/>
      </c>
      <c r="I120" s="140">
        <f>IF(I$13="","",IF($B120="","",IFERROR($C120*$D120*IF((Override!$C$4="ON")*(COUNTIFS(Override!$B$11:$B$40,$B120,Override!$D$11:$D$40,4,Override!$E$11:$E$40,"&gt;=0")-COUNTIFS(Override!$B$11:$B$40,$B120,Override!$D$11:$D$40,4,Override!$E$11:$E$40,"&gt;=0",Override!$C$11:$C$40,"MXAU"))&gt;0,SUMIFS(Override!$E$11:$E$40,Override!$B$11:$B$40,$B120,Override!$D$11:$D$40,4)-SUMIFS(Override!$E$11:$E$40,Override!$B$11:$B$40,$B120,Override!$D$11:$D$40,4,Override!$C$11:$C$40,"MXAU"),Override!$F$155)/AS51!$B$3,"")))</f>
        <v/>
      </c>
      <c r="J120" s="140">
        <f>IF(J$13="","",IF($B120="","",IFERROR($C120*$D120*IF((Override!$C$4="ON")*(COUNTIFS(Override!$B$11:$B$40,$B120,Override!$D$11:$D$40,5,Override!$E$11:$E$40,"&gt;=0")-COUNTIFS(Override!$B$11:$B$40,$B120,Override!$D$11:$D$40,5,Override!$E$11:$E$40,"&gt;=0",Override!$C$11:$C$40,"MXAU"))&gt;0,SUMIFS(Override!$E$11:$E$40,Override!$B$11:$B$40,$B120,Override!$D$11:$D$40,5)-SUMIFS(Override!$E$11:$E$40,Override!$B$11:$B$40,$B120,Override!$D$11:$D$40,5,Override!$C$11:$C$40,"MXAU"),Override!$G$155)/AS51!$B$3,"")))</f>
        <v/>
      </c>
      <c r="K120" s="140">
        <f>IF(K$13="","",IF($B120="","",IFERROR($C120*$D120*IF((Override!$C$4="ON")*(COUNTIFS(Override!$B$11:$B$40,$B120,Override!$D$11:$D$40,6,Override!$E$11:$E$40,"&gt;=0")-COUNTIFS(Override!$B$11:$B$40,$B120,Override!$D$11:$D$40,6,Override!$E$11:$E$40,"&gt;=0",Override!$C$11:$C$40,"MXAU"))&gt;0,SUMIFS(Override!$E$11:$E$40,Override!$B$11:$B$40,$B120,Override!$D$11:$D$40,6)-SUMIFS(Override!$E$11:$E$40,Override!$B$11:$B$40,$B120,Override!$D$11:$D$40,6,Override!$C$11:$C$40,"MXAU"),Override!$H$155)/AS51!$B$3,"")))</f>
        <v/>
      </c>
      <c r="L120" s="140">
        <f>IF(L$13="","",IF($B120="","",IFERROR($C120*$D120*IF((Override!$C$4="ON")*(COUNTIFS(Override!$B$11:$B$40,$B120,Override!$D$11:$D$40,7,Override!$E$11:$E$40,"&gt;=0")-COUNTIFS(Override!$B$11:$B$40,$B120,Override!$D$11:$D$40,7,Override!$E$11:$E$40,"&gt;=0",Override!$C$11:$C$40,"MXAU"))&gt;0,SUMIFS(Override!$E$11:$E$40,Override!$B$11:$B$40,$B120,Override!$D$11:$D$40,7)-SUMIFS(Override!$E$11:$E$40,Override!$B$11:$B$40,$B120,Override!$D$11:$D$40,7,Override!$C$11:$C$40,"MXAU"),Override!$I$155)/AS51!$B$3,"")))</f>
        <v/>
      </c>
      <c r="M120" s="140">
        <f>IF(M$13="","",IF($B120="","",IFERROR($C120*$D120*IF((Override!$C$4="ON")*(COUNTIFS(Override!$B$11:$B$40,$B120,Override!$D$11:$D$40,8,Override!$E$11:$E$40,"&gt;=0")-COUNTIFS(Override!$B$11:$B$40,$B120,Override!$D$11:$D$40,8,Override!$E$11:$E$40,"&gt;=0",Override!$C$11:$C$40,"MXAU"))&gt;0,SUMIFS(Override!$E$11:$E$40,Override!$B$11:$B$40,$B120,Override!$D$11:$D$40,8)-SUMIFS(Override!$E$11:$E$40,Override!$B$11:$B$40,$B120,Override!$D$11:$D$40,8,Override!$C$11:$C$40,"MXAU"),Override!$J$155)/AS51!$B$3,"")))</f>
        <v/>
      </c>
      <c r="N120" s="140">
        <f>IF(N$13="","",IF($B120="","",IFERROR($C120*$D120*IF((Override!$C$4="ON")*(COUNTIFS(Override!$B$11:$B$40,$B120,Override!$D$11:$D$40,9,Override!$E$11:$E$40,"&gt;=0")-COUNTIFS(Override!$B$11:$B$40,$B120,Override!$D$11:$D$40,9,Override!$E$11:$E$40,"&gt;=0",Override!$C$11:$C$40,"MXAU"))&gt;0,SUMIFS(Override!$E$11:$E$40,Override!$B$11:$B$40,$B120,Override!$D$11:$D$40,9)-SUMIFS(Override!$E$11:$E$40,Override!$B$11:$B$40,$B120,Override!$D$11:$D$40,9,Override!$C$11:$C$40,"MXAU"),Override!$K$155)/AS51!$B$3,"")))</f>
        <v/>
      </c>
      <c r="O120" s="140">
        <f>IF(O$13="","",IF($B120="","",IFERROR($C120*$D120*IF((Override!$C$4="ON")*(COUNTIFS(Override!$B$11:$B$40,$B120,Override!$D$11:$D$40,10,Override!$E$11:$E$40,"&gt;=0")-COUNTIFS(Override!$B$11:$B$40,$B120,Override!$D$11:$D$40,10,Override!$E$11:$E$40,"&gt;=0",Override!$C$11:$C$40,"MXAU"))&gt;0,SUMIFS(Override!$E$11:$E$40,Override!$B$11:$B$40,$B120,Override!$D$11:$D$40,10)-SUMIFS(Override!$E$11:$E$40,Override!$B$11:$B$40,$B120,Override!$D$11:$D$40,10,Override!$C$11:$C$40,"MXAU"),Override!$L$155)/AS51!$B$3,"")))</f>
        <v/>
      </c>
      <c r="P120" s="140">
        <f>IF(P$13="","",IF($B120="","",IFERROR($C120*$D120*IF((Override!$C$4="ON")*(COUNTIFS(Override!$B$11:$B$40,$B120,Override!$D$11:$D$40,11,Override!$E$11:$E$40,"&gt;=0")-COUNTIFS(Override!$B$11:$B$40,$B120,Override!$D$11:$D$40,11,Override!$E$11:$E$40,"&gt;=0",Override!$C$11:$C$40,"MXAU"))&gt;0,SUMIFS(Override!$E$11:$E$40,Override!$B$11:$B$40,$B120,Override!$D$11:$D$40,11)-SUMIFS(Override!$E$11:$E$40,Override!$B$11:$B$40,$B120,Override!$D$11:$D$40,11,Override!$C$11:$C$40,"MXAU"),Override!$M$155)/AS51!$B$3,"")))</f>
        <v/>
      </c>
      <c r="Q120" s="140">
        <f>IF(Q$13="","",IF($B120="","",IFERROR($C120*$D120*IF((Override!$C$4="ON")*(COUNTIFS(Override!$B$11:$B$40,$B120,Override!$D$11:$D$40,12,Override!$E$11:$E$40,"&gt;=0")-COUNTIFS(Override!$B$11:$B$40,$B120,Override!$D$11:$D$40,12,Override!$E$11:$E$40,"&gt;=0",Override!$C$11:$C$40,"MXAU"))&gt;0,SUMIFS(Override!$E$11:$E$40,Override!$B$11:$B$40,$B120,Override!$D$11:$D$40,12)-SUMIFS(Override!$E$11:$E$40,Override!$B$11:$B$40,$B120,Override!$D$11:$D$40,12,Override!$C$11:$C$40,"MXAU"),Override!$N$155)/AS51!$B$3,"")))</f>
        <v/>
      </c>
      <c r="R120" s="140">
        <f>IF(R$13="","",IF($B120="","",IFERROR($C120*$D120*IF((Override!$C$4="ON")*(COUNTIFS(Override!$B$11:$B$40,$B120,Override!$D$11:$D$40,13,Override!$E$11:$E$40,"&gt;=0")-COUNTIFS(Override!$B$11:$B$40,$B120,Override!$D$11:$D$40,13,Override!$E$11:$E$40,"&gt;=0",Override!$C$11:$C$40,"MXAU"))&gt;0,SUMIFS(Override!$E$11:$E$40,Override!$B$11:$B$40,$B120,Override!$D$11:$D$40,13)-SUMIFS(Override!$E$11:$E$40,Override!$B$11:$B$40,$B120,Override!$D$11:$D$40,13,Override!$C$11:$C$40,"MXAU"),Override!$O$155)/AS51!$B$3,"")))</f>
        <v/>
      </c>
      <c r="S120" s="140">
        <f>IF(S$13="","",IF($B120="","",IFERROR($C120*$D120*IF((Override!$C$4="ON")*(COUNTIFS(Override!$B$11:$B$40,$B120,Override!$D$11:$D$40,14,Override!$E$11:$E$40,"&gt;=0")-COUNTIFS(Override!$B$11:$B$40,$B120,Override!$D$11:$D$40,14,Override!$E$11:$E$40,"&gt;=0",Override!$C$11:$C$40,"MXAU"))&gt;0,SUMIFS(Override!$E$11:$E$40,Override!$B$11:$B$40,$B120,Override!$D$11:$D$40,14)-SUMIFS(Override!$E$11:$E$40,Override!$B$11:$B$40,$B120,Override!$D$11:$D$40,14,Override!$C$11:$C$40,"MXAU"),Override!$P$155)/AS51!$B$3,"")))</f>
        <v/>
      </c>
      <c r="T120" s="140">
        <f>IF(T$13="","",IF($B120="","",IFERROR($C120*$D120*IF((Override!$C$4="ON")*(COUNTIFS(Override!$B$11:$B$40,$B120,Override!$D$11:$D$40,15,Override!$E$11:$E$40,"&gt;=0")-COUNTIFS(Override!$B$11:$B$40,$B120,Override!$D$11:$D$40,15,Override!$E$11:$E$40,"&gt;=0",Override!$C$11:$C$40,"MXAU"))&gt;0,SUMIFS(Override!$E$11:$E$40,Override!$B$11:$B$40,$B120,Override!$D$11:$D$40,15)-SUMIFS(Override!$E$11:$E$40,Override!$B$11:$B$40,$B120,Override!$D$11:$D$40,15,Override!$C$11:$C$40,"MXAU"),Override!$Q$155)/AS51!$B$3,"")))</f>
        <v/>
      </c>
      <c r="U120" s="140">
        <f>IF(U$13="","",IF($B120="","",IFERROR($C120*$D120*IF((Override!$C$4="ON")*(COUNTIFS(Override!$B$11:$B$40,$B120,Override!$D$11:$D$40,16,Override!$E$11:$E$40,"&gt;=0")-COUNTIFS(Override!$B$11:$B$40,$B120,Override!$D$11:$D$40,16,Override!$E$11:$E$40,"&gt;=0",Override!$C$11:$C$40,"MXAU"))&gt;0,SUMIFS(Override!$E$11:$E$40,Override!$B$11:$B$40,$B120,Override!$D$11:$D$40,16)-SUMIFS(Override!$E$11:$E$40,Override!$B$11:$B$40,$B120,Override!$D$11:$D$40,16,Override!$C$11:$C$40,"MXAU"),Override!$R$155)/AS51!$B$3,"")))</f>
        <v/>
      </c>
      <c r="W120" s="140">
        <f>IF(W$13="","",IF($B120="","",IFERROR(F120*$E120/100,"")))</f>
        <v/>
      </c>
      <c r="X120" s="140">
        <f>IF(X$13="","",IF($B120="","",IFERROR(G120*$E120/100,"")))</f>
        <v/>
      </c>
      <c r="Y120" s="140">
        <f>IF(Y$13="","",IF($B120="","",IFERROR(H120*$E120/100,"")))</f>
        <v/>
      </c>
      <c r="Z120" s="140">
        <f>IF(Z$13="","",IF($B120="","",IFERROR(I120*$E120/100,"")))</f>
        <v/>
      </c>
      <c r="AA120" s="140">
        <f>IF(AA$13="","",IF($B120="","",IFERROR(J120*$E120/100,"")))</f>
        <v/>
      </c>
      <c r="AB120" s="140">
        <f>IF(AB$13="","",IF($B120="","",IFERROR(K120*$E120/100,"")))</f>
        <v/>
      </c>
      <c r="AC120" s="140">
        <f>IF(AC$13="","",IF($B120="","",IFERROR(L120*$E120/100,"")))</f>
        <v/>
      </c>
      <c r="AD120" s="140">
        <f>IF(AD$13="","",IF($B120="","",IFERROR(M120*$E120/100,"")))</f>
        <v/>
      </c>
      <c r="AE120" s="140">
        <f>IF(AE$13="","",IF($B120="","",IFERROR(N120*$E120/100,"")))</f>
        <v/>
      </c>
      <c r="AF120" s="140">
        <f>IF(AF$13="","",IF($B120="","",IFERROR(O120*$E120/100,"")))</f>
        <v/>
      </c>
      <c r="AG120" s="140">
        <f>IF(AG$13="","",IF($B120="","",IFERROR(P120*$E120/100,"")))</f>
        <v/>
      </c>
      <c r="AH120" s="140">
        <f>IF(AH$13="","",IF($B120="","",IFERROR(Q120*$E120/100,"")))</f>
        <v/>
      </c>
      <c r="AI120" s="140">
        <f>IF(AI$13="","",IF($B120="","",IFERROR(R120*$E120/100,"")))</f>
        <v/>
      </c>
      <c r="AJ120" s="140">
        <f>IF(AJ$13="","",IF($B120="","",IFERROR(S120*$E120/100,"")))</f>
        <v/>
      </c>
      <c r="AK120" s="140">
        <f>IF(AK$13="","",IF($B120="","",IFERROR(T120*$E120/100,"")))</f>
        <v/>
      </c>
      <c r="AL120" s="140">
        <f>IF(AL$13="","",IF($B120="","",IFERROR(U120*$E120/100,"")))</f>
        <v/>
      </c>
      <c r="AN120" s="140">
        <f>IF($B120="","",SUMIF($F$13:$U$13,"&lt;="&amp;Sector!$D$51,$F120:$U120))</f>
        <v/>
      </c>
      <c r="AO120" s="140">
        <f>IF($B120="","",SUMIF($W$13:$AL$13,"&lt;="&amp;Sector!$D$51,$W120:$AL120))</f>
        <v/>
      </c>
    </row>
    <row r="121">
      <c r="B121" s="5">
        <f>IF(AS51!$C$111="","",AS51!$C$111)</f>
        <v/>
      </c>
      <c r="C121" s="90">
        <f>IF(AS51!$B$111="","",AS51!$B$111)</f>
        <v/>
      </c>
      <c r="D121" s="138">
        <f>IFERROR(AS51!$Q$111,1)</f>
        <v/>
      </c>
      <c r="E121" s="139">
        <f>IF($B121="","",IF(ISNUMBER(AS51!$I$111),AS51!$I$111,'Index Summary'!$C$7))</f>
        <v/>
      </c>
      <c r="F121" s="140">
        <f>IF(F$13="","",IF($B121="","",IFERROR($C121*$D121*IF((Override!$C$4="ON")*(COUNTIFS(Override!$B$11:$B$40,$B121,Override!$D$11:$D$40,1,Override!$E$11:$E$40,"&gt;=0")-COUNTIFS(Override!$B$11:$B$40,$B121,Override!$D$11:$D$40,1,Override!$E$11:$E$40,"&gt;=0",Override!$C$11:$C$40,"MXAU"))&gt;0,SUMIFS(Override!$E$11:$E$40,Override!$B$11:$B$40,$B121,Override!$D$11:$D$40,1)-SUMIFS(Override!$E$11:$E$40,Override!$B$11:$B$40,$B121,Override!$D$11:$D$40,1,Override!$C$11:$C$40,"MXAU"),Override!$C$156)/AS51!$B$3,"")))</f>
        <v/>
      </c>
      <c r="G121" s="140">
        <f>IF(G$13="","",IF($B121="","",IFERROR($C121*$D121*IF((Override!$C$4="ON")*(COUNTIFS(Override!$B$11:$B$40,$B121,Override!$D$11:$D$40,2,Override!$E$11:$E$40,"&gt;=0")-COUNTIFS(Override!$B$11:$B$40,$B121,Override!$D$11:$D$40,2,Override!$E$11:$E$40,"&gt;=0",Override!$C$11:$C$40,"MXAU"))&gt;0,SUMIFS(Override!$E$11:$E$40,Override!$B$11:$B$40,$B121,Override!$D$11:$D$40,2)-SUMIFS(Override!$E$11:$E$40,Override!$B$11:$B$40,$B121,Override!$D$11:$D$40,2,Override!$C$11:$C$40,"MXAU"),Override!$D$156)/AS51!$B$3,"")))</f>
        <v/>
      </c>
      <c r="H121" s="140">
        <f>IF(H$13="","",IF($B121="","",IFERROR($C121*$D121*IF((Override!$C$4="ON")*(COUNTIFS(Override!$B$11:$B$40,$B121,Override!$D$11:$D$40,3,Override!$E$11:$E$40,"&gt;=0")-COUNTIFS(Override!$B$11:$B$40,$B121,Override!$D$11:$D$40,3,Override!$E$11:$E$40,"&gt;=0",Override!$C$11:$C$40,"MXAU"))&gt;0,SUMIFS(Override!$E$11:$E$40,Override!$B$11:$B$40,$B121,Override!$D$11:$D$40,3)-SUMIFS(Override!$E$11:$E$40,Override!$B$11:$B$40,$B121,Override!$D$11:$D$40,3,Override!$C$11:$C$40,"MXAU"),Override!$E$156)/AS51!$B$3,"")))</f>
        <v/>
      </c>
      <c r="I121" s="140">
        <f>IF(I$13="","",IF($B121="","",IFERROR($C121*$D121*IF((Override!$C$4="ON")*(COUNTIFS(Override!$B$11:$B$40,$B121,Override!$D$11:$D$40,4,Override!$E$11:$E$40,"&gt;=0")-COUNTIFS(Override!$B$11:$B$40,$B121,Override!$D$11:$D$40,4,Override!$E$11:$E$40,"&gt;=0",Override!$C$11:$C$40,"MXAU"))&gt;0,SUMIFS(Override!$E$11:$E$40,Override!$B$11:$B$40,$B121,Override!$D$11:$D$40,4)-SUMIFS(Override!$E$11:$E$40,Override!$B$11:$B$40,$B121,Override!$D$11:$D$40,4,Override!$C$11:$C$40,"MXAU"),Override!$F$156)/AS51!$B$3,"")))</f>
        <v/>
      </c>
      <c r="J121" s="140">
        <f>IF(J$13="","",IF($B121="","",IFERROR($C121*$D121*IF((Override!$C$4="ON")*(COUNTIFS(Override!$B$11:$B$40,$B121,Override!$D$11:$D$40,5,Override!$E$11:$E$40,"&gt;=0")-COUNTIFS(Override!$B$11:$B$40,$B121,Override!$D$11:$D$40,5,Override!$E$11:$E$40,"&gt;=0",Override!$C$11:$C$40,"MXAU"))&gt;0,SUMIFS(Override!$E$11:$E$40,Override!$B$11:$B$40,$B121,Override!$D$11:$D$40,5)-SUMIFS(Override!$E$11:$E$40,Override!$B$11:$B$40,$B121,Override!$D$11:$D$40,5,Override!$C$11:$C$40,"MXAU"),Override!$G$156)/AS51!$B$3,"")))</f>
        <v/>
      </c>
      <c r="K121" s="140">
        <f>IF(K$13="","",IF($B121="","",IFERROR($C121*$D121*IF((Override!$C$4="ON")*(COUNTIFS(Override!$B$11:$B$40,$B121,Override!$D$11:$D$40,6,Override!$E$11:$E$40,"&gt;=0")-COUNTIFS(Override!$B$11:$B$40,$B121,Override!$D$11:$D$40,6,Override!$E$11:$E$40,"&gt;=0",Override!$C$11:$C$40,"MXAU"))&gt;0,SUMIFS(Override!$E$11:$E$40,Override!$B$11:$B$40,$B121,Override!$D$11:$D$40,6)-SUMIFS(Override!$E$11:$E$40,Override!$B$11:$B$40,$B121,Override!$D$11:$D$40,6,Override!$C$11:$C$40,"MXAU"),Override!$H$156)/AS51!$B$3,"")))</f>
        <v/>
      </c>
      <c r="L121" s="140">
        <f>IF(L$13="","",IF($B121="","",IFERROR($C121*$D121*IF((Override!$C$4="ON")*(COUNTIFS(Override!$B$11:$B$40,$B121,Override!$D$11:$D$40,7,Override!$E$11:$E$40,"&gt;=0")-COUNTIFS(Override!$B$11:$B$40,$B121,Override!$D$11:$D$40,7,Override!$E$11:$E$40,"&gt;=0",Override!$C$11:$C$40,"MXAU"))&gt;0,SUMIFS(Override!$E$11:$E$40,Override!$B$11:$B$40,$B121,Override!$D$11:$D$40,7)-SUMIFS(Override!$E$11:$E$40,Override!$B$11:$B$40,$B121,Override!$D$11:$D$40,7,Override!$C$11:$C$40,"MXAU"),Override!$I$156)/AS51!$B$3,"")))</f>
        <v/>
      </c>
      <c r="M121" s="140">
        <f>IF(M$13="","",IF($B121="","",IFERROR($C121*$D121*IF((Override!$C$4="ON")*(COUNTIFS(Override!$B$11:$B$40,$B121,Override!$D$11:$D$40,8,Override!$E$11:$E$40,"&gt;=0")-COUNTIFS(Override!$B$11:$B$40,$B121,Override!$D$11:$D$40,8,Override!$E$11:$E$40,"&gt;=0",Override!$C$11:$C$40,"MXAU"))&gt;0,SUMIFS(Override!$E$11:$E$40,Override!$B$11:$B$40,$B121,Override!$D$11:$D$40,8)-SUMIFS(Override!$E$11:$E$40,Override!$B$11:$B$40,$B121,Override!$D$11:$D$40,8,Override!$C$11:$C$40,"MXAU"),Override!$J$156)/AS51!$B$3,"")))</f>
        <v/>
      </c>
      <c r="N121" s="140">
        <f>IF(N$13="","",IF($B121="","",IFERROR($C121*$D121*IF((Override!$C$4="ON")*(COUNTIFS(Override!$B$11:$B$40,$B121,Override!$D$11:$D$40,9,Override!$E$11:$E$40,"&gt;=0")-COUNTIFS(Override!$B$11:$B$40,$B121,Override!$D$11:$D$40,9,Override!$E$11:$E$40,"&gt;=0",Override!$C$11:$C$40,"MXAU"))&gt;0,SUMIFS(Override!$E$11:$E$40,Override!$B$11:$B$40,$B121,Override!$D$11:$D$40,9)-SUMIFS(Override!$E$11:$E$40,Override!$B$11:$B$40,$B121,Override!$D$11:$D$40,9,Override!$C$11:$C$40,"MXAU"),Override!$K$156)/AS51!$B$3,"")))</f>
        <v/>
      </c>
      <c r="O121" s="140">
        <f>IF(O$13="","",IF($B121="","",IFERROR($C121*$D121*IF((Override!$C$4="ON")*(COUNTIFS(Override!$B$11:$B$40,$B121,Override!$D$11:$D$40,10,Override!$E$11:$E$40,"&gt;=0")-COUNTIFS(Override!$B$11:$B$40,$B121,Override!$D$11:$D$40,10,Override!$E$11:$E$40,"&gt;=0",Override!$C$11:$C$40,"MXAU"))&gt;0,SUMIFS(Override!$E$11:$E$40,Override!$B$11:$B$40,$B121,Override!$D$11:$D$40,10)-SUMIFS(Override!$E$11:$E$40,Override!$B$11:$B$40,$B121,Override!$D$11:$D$40,10,Override!$C$11:$C$40,"MXAU"),Override!$L$156)/AS51!$B$3,"")))</f>
        <v/>
      </c>
      <c r="P121" s="140">
        <f>IF(P$13="","",IF($B121="","",IFERROR($C121*$D121*IF((Override!$C$4="ON")*(COUNTIFS(Override!$B$11:$B$40,$B121,Override!$D$11:$D$40,11,Override!$E$11:$E$40,"&gt;=0")-COUNTIFS(Override!$B$11:$B$40,$B121,Override!$D$11:$D$40,11,Override!$E$11:$E$40,"&gt;=0",Override!$C$11:$C$40,"MXAU"))&gt;0,SUMIFS(Override!$E$11:$E$40,Override!$B$11:$B$40,$B121,Override!$D$11:$D$40,11)-SUMIFS(Override!$E$11:$E$40,Override!$B$11:$B$40,$B121,Override!$D$11:$D$40,11,Override!$C$11:$C$40,"MXAU"),Override!$M$156)/AS51!$B$3,"")))</f>
        <v/>
      </c>
      <c r="Q121" s="140">
        <f>IF(Q$13="","",IF($B121="","",IFERROR($C121*$D121*IF((Override!$C$4="ON")*(COUNTIFS(Override!$B$11:$B$40,$B121,Override!$D$11:$D$40,12,Override!$E$11:$E$40,"&gt;=0")-COUNTIFS(Override!$B$11:$B$40,$B121,Override!$D$11:$D$40,12,Override!$E$11:$E$40,"&gt;=0",Override!$C$11:$C$40,"MXAU"))&gt;0,SUMIFS(Override!$E$11:$E$40,Override!$B$11:$B$40,$B121,Override!$D$11:$D$40,12)-SUMIFS(Override!$E$11:$E$40,Override!$B$11:$B$40,$B121,Override!$D$11:$D$40,12,Override!$C$11:$C$40,"MXAU"),Override!$N$156)/AS51!$B$3,"")))</f>
        <v/>
      </c>
      <c r="R121" s="140">
        <f>IF(R$13="","",IF($B121="","",IFERROR($C121*$D121*IF((Override!$C$4="ON")*(COUNTIFS(Override!$B$11:$B$40,$B121,Override!$D$11:$D$40,13,Override!$E$11:$E$40,"&gt;=0")-COUNTIFS(Override!$B$11:$B$40,$B121,Override!$D$11:$D$40,13,Override!$E$11:$E$40,"&gt;=0",Override!$C$11:$C$40,"MXAU"))&gt;0,SUMIFS(Override!$E$11:$E$40,Override!$B$11:$B$40,$B121,Override!$D$11:$D$40,13)-SUMIFS(Override!$E$11:$E$40,Override!$B$11:$B$40,$B121,Override!$D$11:$D$40,13,Override!$C$11:$C$40,"MXAU"),Override!$O$156)/AS51!$B$3,"")))</f>
        <v/>
      </c>
      <c r="S121" s="140">
        <f>IF(S$13="","",IF($B121="","",IFERROR($C121*$D121*IF((Override!$C$4="ON")*(COUNTIFS(Override!$B$11:$B$40,$B121,Override!$D$11:$D$40,14,Override!$E$11:$E$40,"&gt;=0")-COUNTIFS(Override!$B$11:$B$40,$B121,Override!$D$11:$D$40,14,Override!$E$11:$E$40,"&gt;=0",Override!$C$11:$C$40,"MXAU"))&gt;0,SUMIFS(Override!$E$11:$E$40,Override!$B$11:$B$40,$B121,Override!$D$11:$D$40,14)-SUMIFS(Override!$E$11:$E$40,Override!$B$11:$B$40,$B121,Override!$D$11:$D$40,14,Override!$C$11:$C$40,"MXAU"),Override!$P$156)/AS51!$B$3,"")))</f>
        <v/>
      </c>
      <c r="T121" s="140">
        <f>IF(T$13="","",IF($B121="","",IFERROR($C121*$D121*IF((Override!$C$4="ON")*(COUNTIFS(Override!$B$11:$B$40,$B121,Override!$D$11:$D$40,15,Override!$E$11:$E$40,"&gt;=0")-COUNTIFS(Override!$B$11:$B$40,$B121,Override!$D$11:$D$40,15,Override!$E$11:$E$40,"&gt;=0",Override!$C$11:$C$40,"MXAU"))&gt;0,SUMIFS(Override!$E$11:$E$40,Override!$B$11:$B$40,$B121,Override!$D$11:$D$40,15)-SUMIFS(Override!$E$11:$E$40,Override!$B$11:$B$40,$B121,Override!$D$11:$D$40,15,Override!$C$11:$C$40,"MXAU"),Override!$Q$156)/AS51!$B$3,"")))</f>
        <v/>
      </c>
      <c r="U121" s="140">
        <f>IF(U$13="","",IF($B121="","",IFERROR($C121*$D121*IF((Override!$C$4="ON")*(COUNTIFS(Override!$B$11:$B$40,$B121,Override!$D$11:$D$40,16,Override!$E$11:$E$40,"&gt;=0")-COUNTIFS(Override!$B$11:$B$40,$B121,Override!$D$11:$D$40,16,Override!$E$11:$E$40,"&gt;=0",Override!$C$11:$C$40,"MXAU"))&gt;0,SUMIFS(Override!$E$11:$E$40,Override!$B$11:$B$40,$B121,Override!$D$11:$D$40,16)-SUMIFS(Override!$E$11:$E$40,Override!$B$11:$B$40,$B121,Override!$D$11:$D$40,16,Override!$C$11:$C$40,"MXAU"),Override!$R$156)/AS51!$B$3,"")))</f>
        <v/>
      </c>
      <c r="W121" s="140">
        <f>IF(W$13="","",IF($B121="","",IFERROR(F121*$E121/100,"")))</f>
        <v/>
      </c>
      <c r="X121" s="140">
        <f>IF(X$13="","",IF($B121="","",IFERROR(G121*$E121/100,"")))</f>
        <v/>
      </c>
      <c r="Y121" s="140">
        <f>IF(Y$13="","",IF($B121="","",IFERROR(H121*$E121/100,"")))</f>
        <v/>
      </c>
      <c r="Z121" s="140">
        <f>IF(Z$13="","",IF($B121="","",IFERROR(I121*$E121/100,"")))</f>
        <v/>
      </c>
      <c r="AA121" s="140">
        <f>IF(AA$13="","",IF($B121="","",IFERROR(J121*$E121/100,"")))</f>
        <v/>
      </c>
      <c r="AB121" s="140">
        <f>IF(AB$13="","",IF($B121="","",IFERROR(K121*$E121/100,"")))</f>
        <v/>
      </c>
      <c r="AC121" s="140">
        <f>IF(AC$13="","",IF($B121="","",IFERROR(L121*$E121/100,"")))</f>
        <v/>
      </c>
      <c r="AD121" s="140">
        <f>IF(AD$13="","",IF($B121="","",IFERROR(M121*$E121/100,"")))</f>
        <v/>
      </c>
      <c r="AE121" s="140">
        <f>IF(AE$13="","",IF($B121="","",IFERROR(N121*$E121/100,"")))</f>
        <v/>
      </c>
      <c r="AF121" s="140">
        <f>IF(AF$13="","",IF($B121="","",IFERROR(O121*$E121/100,"")))</f>
        <v/>
      </c>
      <c r="AG121" s="140">
        <f>IF(AG$13="","",IF($B121="","",IFERROR(P121*$E121/100,"")))</f>
        <v/>
      </c>
      <c r="AH121" s="140">
        <f>IF(AH$13="","",IF($B121="","",IFERROR(Q121*$E121/100,"")))</f>
        <v/>
      </c>
      <c r="AI121" s="140">
        <f>IF(AI$13="","",IF($B121="","",IFERROR(R121*$E121/100,"")))</f>
        <v/>
      </c>
      <c r="AJ121" s="140">
        <f>IF(AJ$13="","",IF($B121="","",IFERROR(S121*$E121/100,"")))</f>
        <v/>
      </c>
      <c r="AK121" s="140">
        <f>IF(AK$13="","",IF($B121="","",IFERROR(T121*$E121/100,"")))</f>
        <v/>
      </c>
      <c r="AL121" s="140">
        <f>IF(AL$13="","",IF($B121="","",IFERROR(U121*$E121/100,"")))</f>
        <v/>
      </c>
      <c r="AN121" s="140">
        <f>IF($B121="","",SUMIF($F$13:$U$13,"&lt;="&amp;Sector!$D$51,$F121:$U121))</f>
        <v/>
      </c>
      <c r="AO121" s="140">
        <f>IF($B121="","",SUMIF($W$13:$AL$13,"&lt;="&amp;Sector!$D$51,$W121:$AL121))</f>
        <v/>
      </c>
    </row>
    <row r="122">
      <c r="B122" s="5">
        <f>IF(AS51!$C$112="","",AS51!$C$112)</f>
        <v/>
      </c>
      <c r="C122" s="90">
        <f>IF(AS51!$B$112="","",AS51!$B$112)</f>
        <v/>
      </c>
      <c r="D122" s="138">
        <f>IFERROR(AS51!$Q$112,1)</f>
        <v/>
      </c>
      <c r="E122" s="139">
        <f>IF($B122="","",IF(ISNUMBER(AS51!$I$112),AS51!$I$112,'Index Summary'!$C$7))</f>
        <v/>
      </c>
      <c r="F122" s="140">
        <f>IF(F$13="","",IF($B122="","",IFERROR($C122*$D122*IF((Override!$C$4="ON")*(COUNTIFS(Override!$B$11:$B$40,$B122,Override!$D$11:$D$40,1,Override!$E$11:$E$40,"&gt;=0")-COUNTIFS(Override!$B$11:$B$40,$B122,Override!$D$11:$D$40,1,Override!$E$11:$E$40,"&gt;=0",Override!$C$11:$C$40,"MXAU"))&gt;0,SUMIFS(Override!$E$11:$E$40,Override!$B$11:$B$40,$B122,Override!$D$11:$D$40,1)-SUMIFS(Override!$E$11:$E$40,Override!$B$11:$B$40,$B122,Override!$D$11:$D$40,1,Override!$C$11:$C$40,"MXAU"),Override!$C$157)/AS51!$B$3,"")))</f>
        <v/>
      </c>
      <c r="G122" s="140">
        <f>IF(G$13="","",IF($B122="","",IFERROR($C122*$D122*IF((Override!$C$4="ON")*(COUNTIFS(Override!$B$11:$B$40,$B122,Override!$D$11:$D$40,2,Override!$E$11:$E$40,"&gt;=0")-COUNTIFS(Override!$B$11:$B$40,$B122,Override!$D$11:$D$40,2,Override!$E$11:$E$40,"&gt;=0",Override!$C$11:$C$40,"MXAU"))&gt;0,SUMIFS(Override!$E$11:$E$40,Override!$B$11:$B$40,$B122,Override!$D$11:$D$40,2)-SUMIFS(Override!$E$11:$E$40,Override!$B$11:$B$40,$B122,Override!$D$11:$D$40,2,Override!$C$11:$C$40,"MXAU"),Override!$D$157)/AS51!$B$3,"")))</f>
        <v/>
      </c>
      <c r="H122" s="140">
        <f>IF(H$13="","",IF($B122="","",IFERROR($C122*$D122*IF((Override!$C$4="ON")*(COUNTIFS(Override!$B$11:$B$40,$B122,Override!$D$11:$D$40,3,Override!$E$11:$E$40,"&gt;=0")-COUNTIFS(Override!$B$11:$B$40,$B122,Override!$D$11:$D$40,3,Override!$E$11:$E$40,"&gt;=0",Override!$C$11:$C$40,"MXAU"))&gt;0,SUMIFS(Override!$E$11:$E$40,Override!$B$11:$B$40,$B122,Override!$D$11:$D$40,3)-SUMIFS(Override!$E$11:$E$40,Override!$B$11:$B$40,$B122,Override!$D$11:$D$40,3,Override!$C$11:$C$40,"MXAU"),Override!$E$157)/AS51!$B$3,"")))</f>
        <v/>
      </c>
      <c r="I122" s="140">
        <f>IF(I$13="","",IF($B122="","",IFERROR($C122*$D122*IF((Override!$C$4="ON")*(COUNTIFS(Override!$B$11:$B$40,$B122,Override!$D$11:$D$40,4,Override!$E$11:$E$40,"&gt;=0")-COUNTIFS(Override!$B$11:$B$40,$B122,Override!$D$11:$D$40,4,Override!$E$11:$E$40,"&gt;=0",Override!$C$11:$C$40,"MXAU"))&gt;0,SUMIFS(Override!$E$11:$E$40,Override!$B$11:$B$40,$B122,Override!$D$11:$D$40,4)-SUMIFS(Override!$E$11:$E$40,Override!$B$11:$B$40,$B122,Override!$D$11:$D$40,4,Override!$C$11:$C$40,"MXAU"),Override!$F$157)/AS51!$B$3,"")))</f>
        <v/>
      </c>
      <c r="J122" s="140">
        <f>IF(J$13="","",IF($B122="","",IFERROR($C122*$D122*IF((Override!$C$4="ON")*(COUNTIFS(Override!$B$11:$B$40,$B122,Override!$D$11:$D$40,5,Override!$E$11:$E$40,"&gt;=0")-COUNTIFS(Override!$B$11:$B$40,$B122,Override!$D$11:$D$40,5,Override!$E$11:$E$40,"&gt;=0",Override!$C$11:$C$40,"MXAU"))&gt;0,SUMIFS(Override!$E$11:$E$40,Override!$B$11:$B$40,$B122,Override!$D$11:$D$40,5)-SUMIFS(Override!$E$11:$E$40,Override!$B$11:$B$40,$B122,Override!$D$11:$D$40,5,Override!$C$11:$C$40,"MXAU"),Override!$G$157)/AS51!$B$3,"")))</f>
        <v/>
      </c>
      <c r="K122" s="140">
        <f>IF(K$13="","",IF($B122="","",IFERROR($C122*$D122*IF((Override!$C$4="ON")*(COUNTIFS(Override!$B$11:$B$40,$B122,Override!$D$11:$D$40,6,Override!$E$11:$E$40,"&gt;=0")-COUNTIFS(Override!$B$11:$B$40,$B122,Override!$D$11:$D$40,6,Override!$E$11:$E$40,"&gt;=0",Override!$C$11:$C$40,"MXAU"))&gt;0,SUMIFS(Override!$E$11:$E$40,Override!$B$11:$B$40,$B122,Override!$D$11:$D$40,6)-SUMIFS(Override!$E$11:$E$40,Override!$B$11:$B$40,$B122,Override!$D$11:$D$40,6,Override!$C$11:$C$40,"MXAU"),Override!$H$157)/AS51!$B$3,"")))</f>
        <v/>
      </c>
      <c r="L122" s="140">
        <f>IF(L$13="","",IF($B122="","",IFERROR($C122*$D122*IF((Override!$C$4="ON")*(COUNTIFS(Override!$B$11:$B$40,$B122,Override!$D$11:$D$40,7,Override!$E$11:$E$40,"&gt;=0")-COUNTIFS(Override!$B$11:$B$40,$B122,Override!$D$11:$D$40,7,Override!$E$11:$E$40,"&gt;=0",Override!$C$11:$C$40,"MXAU"))&gt;0,SUMIFS(Override!$E$11:$E$40,Override!$B$11:$B$40,$B122,Override!$D$11:$D$40,7)-SUMIFS(Override!$E$11:$E$40,Override!$B$11:$B$40,$B122,Override!$D$11:$D$40,7,Override!$C$11:$C$40,"MXAU"),Override!$I$157)/AS51!$B$3,"")))</f>
        <v/>
      </c>
      <c r="M122" s="140">
        <f>IF(M$13="","",IF($B122="","",IFERROR($C122*$D122*IF((Override!$C$4="ON")*(COUNTIFS(Override!$B$11:$B$40,$B122,Override!$D$11:$D$40,8,Override!$E$11:$E$40,"&gt;=0")-COUNTIFS(Override!$B$11:$B$40,$B122,Override!$D$11:$D$40,8,Override!$E$11:$E$40,"&gt;=0",Override!$C$11:$C$40,"MXAU"))&gt;0,SUMIFS(Override!$E$11:$E$40,Override!$B$11:$B$40,$B122,Override!$D$11:$D$40,8)-SUMIFS(Override!$E$11:$E$40,Override!$B$11:$B$40,$B122,Override!$D$11:$D$40,8,Override!$C$11:$C$40,"MXAU"),Override!$J$157)/AS51!$B$3,"")))</f>
        <v/>
      </c>
      <c r="N122" s="140">
        <f>IF(N$13="","",IF($B122="","",IFERROR($C122*$D122*IF((Override!$C$4="ON")*(COUNTIFS(Override!$B$11:$B$40,$B122,Override!$D$11:$D$40,9,Override!$E$11:$E$40,"&gt;=0")-COUNTIFS(Override!$B$11:$B$40,$B122,Override!$D$11:$D$40,9,Override!$E$11:$E$40,"&gt;=0",Override!$C$11:$C$40,"MXAU"))&gt;0,SUMIFS(Override!$E$11:$E$40,Override!$B$11:$B$40,$B122,Override!$D$11:$D$40,9)-SUMIFS(Override!$E$11:$E$40,Override!$B$11:$B$40,$B122,Override!$D$11:$D$40,9,Override!$C$11:$C$40,"MXAU"),Override!$K$157)/AS51!$B$3,"")))</f>
        <v/>
      </c>
      <c r="O122" s="140">
        <f>IF(O$13="","",IF($B122="","",IFERROR($C122*$D122*IF((Override!$C$4="ON")*(COUNTIFS(Override!$B$11:$B$40,$B122,Override!$D$11:$D$40,10,Override!$E$11:$E$40,"&gt;=0")-COUNTIFS(Override!$B$11:$B$40,$B122,Override!$D$11:$D$40,10,Override!$E$11:$E$40,"&gt;=0",Override!$C$11:$C$40,"MXAU"))&gt;0,SUMIFS(Override!$E$11:$E$40,Override!$B$11:$B$40,$B122,Override!$D$11:$D$40,10)-SUMIFS(Override!$E$11:$E$40,Override!$B$11:$B$40,$B122,Override!$D$11:$D$40,10,Override!$C$11:$C$40,"MXAU"),Override!$L$157)/AS51!$B$3,"")))</f>
        <v/>
      </c>
      <c r="P122" s="140">
        <f>IF(P$13="","",IF($B122="","",IFERROR($C122*$D122*IF((Override!$C$4="ON")*(COUNTIFS(Override!$B$11:$B$40,$B122,Override!$D$11:$D$40,11,Override!$E$11:$E$40,"&gt;=0")-COUNTIFS(Override!$B$11:$B$40,$B122,Override!$D$11:$D$40,11,Override!$E$11:$E$40,"&gt;=0",Override!$C$11:$C$40,"MXAU"))&gt;0,SUMIFS(Override!$E$11:$E$40,Override!$B$11:$B$40,$B122,Override!$D$11:$D$40,11)-SUMIFS(Override!$E$11:$E$40,Override!$B$11:$B$40,$B122,Override!$D$11:$D$40,11,Override!$C$11:$C$40,"MXAU"),Override!$M$157)/AS51!$B$3,"")))</f>
        <v/>
      </c>
      <c r="Q122" s="140">
        <f>IF(Q$13="","",IF($B122="","",IFERROR($C122*$D122*IF((Override!$C$4="ON")*(COUNTIFS(Override!$B$11:$B$40,$B122,Override!$D$11:$D$40,12,Override!$E$11:$E$40,"&gt;=0")-COUNTIFS(Override!$B$11:$B$40,$B122,Override!$D$11:$D$40,12,Override!$E$11:$E$40,"&gt;=0",Override!$C$11:$C$40,"MXAU"))&gt;0,SUMIFS(Override!$E$11:$E$40,Override!$B$11:$B$40,$B122,Override!$D$11:$D$40,12)-SUMIFS(Override!$E$11:$E$40,Override!$B$11:$B$40,$B122,Override!$D$11:$D$40,12,Override!$C$11:$C$40,"MXAU"),Override!$N$157)/AS51!$B$3,"")))</f>
        <v/>
      </c>
      <c r="R122" s="140">
        <f>IF(R$13="","",IF($B122="","",IFERROR($C122*$D122*IF((Override!$C$4="ON")*(COUNTIFS(Override!$B$11:$B$40,$B122,Override!$D$11:$D$40,13,Override!$E$11:$E$40,"&gt;=0")-COUNTIFS(Override!$B$11:$B$40,$B122,Override!$D$11:$D$40,13,Override!$E$11:$E$40,"&gt;=0",Override!$C$11:$C$40,"MXAU"))&gt;0,SUMIFS(Override!$E$11:$E$40,Override!$B$11:$B$40,$B122,Override!$D$11:$D$40,13)-SUMIFS(Override!$E$11:$E$40,Override!$B$11:$B$40,$B122,Override!$D$11:$D$40,13,Override!$C$11:$C$40,"MXAU"),Override!$O$157)/AS51!$B$3,"")))</f>
        <v/>
      </c>
      <c r="S122" s="140">
        <f>IF(S$13="","",IF($B122="","",IFERROR($C122*$D122*IF((Override!$C$4="ON")*(COUNTIFS(Override!$B$11:$B$40,$B122,Override!$D$11:$D$40,14,Override!$E$11:$E$40,"&gt;=0")-COUNTIFS(Override!$B$11:$B$40,$B122,Override!$D$11:$D$40,14,Override!$E$11:$E$40,"&gt;=0",Override!$C$11:$C$40,"MXAU"))&gt;0,SUMIFS(Override!$E$11:$E$40,Override!$B$11:$B$40,$B122,Override!$D$11:$D$40,14)-SUMIFS(Override!$E$11:$E$40,Override!$B$11:$B$40,$B122,Override!$D$11:$D$40,14,Override!$C$11:$C$40,"MXAU"),Override!$P$157)/AS51!$B$3,"")))</f>
        <v/>
      </c>
      <c r="T122" s="140">
        <f>IF(T$13="","",IF($B122="","",IFERROR($C122*$D122*IF((Override!$C$4="ON")*(COUNTIFS(Override!$B$11:$B$40,$B122,Override!$D$11:$D$40,15,Override!$E$11:$E$40,"&gt;=0")-COUNTIFS(Override!$B$11:$B$40,$B122,Override!$D$11:$D$40,15,Override!$E$11:$E$40,"&gt;=0",Override!$C$11:$C$40,"MXAU"))&gt;0,SUMIFS(Override!$E$11:$E$40,Override!$B$11:$B$40,$B122,Override!$D$11:$D$40,15)-SUMIFS(Override!$E$11:$E$40,Override!$B$11:$B$40,$B122,Override!$D$11:$D$40,15,Override!$C$11:$C$40,"MXAU"),Override!$Q$157)/AS51!$B$3,"")))</f>
        <v/>
      </c>
      <c r="U122" s="140">
        <f>IF(U$13="","",IF($B122="","",IFERROR($C122*$D122*IF((Override!$C$4="ON")*(COUNTIFS(Override!$B$11:$B$40,$B122,Override!$D$11:$D$40,16,Override!$E$11:$E$40,"&gt;=0")-COUNTIFS(Override!$B$11:$B$40,$B122,Override!$D$11:$D$40,16,Override!$E$11:$E$40,"&gt;=0",Override!$C$11:$C$40,"MXAU"))&gt;0,SUMIFS(Override!$E$11:$E$40,Override!$B$11:$B$40,$B122,Override!$D$11:$D$40,16)-SUMIFS(Override!$E$11:$E$40,Override!$B$11:$B$40,$B122,Override!$D$11:$D$40,16,Override!$C$11:$C$40,"MXAU"),Override!$R$157)/AS51!$B$3,"")))</f>
        <v/>
      </c>
      <c r="W122" s="140">
        <f>IF(W$13="","",IF($B122="","",IFERROR(F122*$E122/100,"")))</f>
        <v/>
      </c>
      <c r="X122" s="140">
        <f>IF(X$13="","",IF($B122="","",IFERROR(G122*$E122/100,"")))</f>
        <v/>
      </c>
      <c r="Y122" s="140">
        <f>IF(Y$13="","",IF($B122="","",IFERROR(H122*$E122/100,"")))</f>
        <v/>
      </c>
      <c r="Z122" s="140">
        <f>IF(Z$13="","",IF($B122="","",IFERROR(I122*$E122/100,"")))</f>
        <v/>
      </c>
      <c r="AA122" s="140">
        <f>IF(AA$13="","",IF($B122="","",IFERROR(J122*$E122/100,"")))</f>
        <v/>
      </c>
      <c r="AB122" s="140">
        <f>IF(AB$13="","",IF($B122="","",IFERROR(K122*$E122/100,"")))</f>
        <v/>
      </c>
      <c r="AC122" s="140">
        <f>IF(AC$13="","",IF($B122="","",IFERROR(L122*$E122/100,"")))</f>
        <v/>
      </c>
      <c r="AD122" s="140">
        <f>IF(AD$13="","",IF($B122="","",IFERROR(M122*$E122/100,"")))</f>
        <v/>
      </c>
      <c r="AE122" s="140">
        <f>IF(AE$13="","",IF($B122="","",IFERROR(N122*$E122/100,"")))</f>
        <v/>
      </c>
      <c r="AF122" s="140">
        <f>IF(AF$13="","",IF($B122="","",IFERROR(O122*$E122/100,"")))</f>
        <v/>
      </c>
      <c r="AG122" s="140">
        <f>IF(AG$13="","",IF($B122="","",IFERROR(P122*$E122/100,"")))</f>
        <v/>
      </c>
      <c r="AH122" s="140">
        <f>IF(AH$13="","",IF($B122="","",IFERROR(Q122*$E122/100,"")))</f>
        <v/>
      </c>
      <c r="AI122" s="140">
        <f>IF(AI$13="","",IF($B122="","",IFERROR(R122*$E122/100,"")))</f>
        <v/>
      </c>
      <c r="AJ122" s="140">
        <f>IF(AJ$13="","",IF($B122="","",IFERROR(S122*$E122/100,"")))</f>
        <v/>
      </c>
      <c r="AK122" s="140">
        <f>IF(AK$13="","",IF($B122="","",IFERROR(T122*$E122/100,"")))</f>
        <v/>
      </c>
      <c r="AL122" s="140">
        <f>IF(AL$13="","",IF($B122="","",IFERROR(U122*$E122/100,"")))</f>
        <v/>
      </c>
      <c r="AN122" s="140">
        <f>IF($B122="","",SUMIF($F$13:$U$13,"&lt;="&amp;Sector!$D$51,$F122:$U122))</f>
        <v/>
      </c>
      <c r="AO122" s="140">
        <f>IF($B122="","",SUMIF($W$13:$AL$13,"&lt;="&amp;Sector!$D$51,$W122:$AL122))</f>
        <v/>
      </c>
    </row>
    <row r="123">
      <c r="B123" s="5">
        <f>IF(AS51!$C$113="","",AS51!$C$113)</f>
        <v/>
      </c>
      <c r="C123" s="90">
        <f>IF(AS51!$B$113="","",AS51!$B$113)</f>
        <v/>
      </c>
      <c r="D123" s="138">
        <f>IFERROR(AS51!$Q$113,1)</f>
        <v/>
      </c>
      <c r="E123" s="139">
        <f>IF($B123="","",IF(ISNUMBER(AS51!$I$113),AS51!$I$113,'Index Summary'!$C$7))</f>
        <v/>
      </c>
      <c r="F123" s="140">
        <f>IF(F$13="","",IF($B123="","",IFERROR($C123*$D123*IF((Override!$C$4="ON")*(COUNTIFS(Override!$B$11:$B$40,$B123,Override!$D$11:$D$40,1,Override!$E$11:$E$40,"&gt;=0")-COUNTIFS(Override!$B$11:$B$40,$B123,Override!$D$11:$D$40,1,Override!$E$11:$E$40,"&gt;=0",Override!$C$11:$C$40,"MXAU"))&gt;0,SUMIFS(Override!$E$11:$E$40,Override!$B$11:$B$40,$B123,Override!$D$11:$D$40,1)-SUMIFS(Override!$E$11:$E$40,Override!$B$11:$B$40,$B123,Override!$D$11:$D$40,1,Override!$C$11:$C$40,"MXAU"),Override!$C$158)/AS51!$B$3,"")))</f>
        <v/>
      </c>
      <c r="G123" s="140">
        <f>IF(G$13="","",IF($B123="","",IFERROR($C123*$D123*IF((Override!$C$4="ON")*(COUNTIFS(Override!$B$11:$B$40,$B123,Override!$D$11:$D$40,2,Override!$E$11:$E$40,"&gt;=0")-COUNTIFS(Override!$B$11:$B$40,$B123,Override!$D$11:$D$40,2,Override!$E$11:$E$40,"&gt;=0",Override!$C$11:$C$40,"MXAU"))&gt;0,SUMIFS(Override!$E$11:$E$40,Override!$B$11:$B$40,$B123,Override!$D$11:$D$40,2)-SUMIFS(Override!$E$11:$E$40,Override!$B$11:$B$40,$B123,Override!$D$11:$D$40,2,Override!$C$11:$C$40,"MXAU"),Override!$D$158)/AS51!$B$3,"")))</f>
        <v/>
      </c>
      <c r="H123" s="140">
        <f>IF(H$13="","",IF($B123="","",IFERROR($C123*$D123*IF((Override!$C$4="ON")*(COUNTIFS(Override!$B$11:$B$40,$B123,Override!$D$11:$D$40,3,Override!$E$11:$E$40,"&gt;=0")-COUNTIFS(Override!$B$11:$B$40,$B123,Override!$D$11:$D$40,3,Override!$E$11:$E$40,"&gt;=0",Override!$C$11:$C$40,"MXAU"))&gt;0,SUMIFS(Override!$E$11:$E$40,Override!$B$11:$B$40,$B123,Override!$D$11:$D$40,3)-SUMIFS(Override!$E$11:$E$40,Override!$B$11:$B$40,$B123,Override!$D$11:$D$40,3,Override!$C$11:$C$40,"MXAU"),Override!$E$158)/AS51!$B$3,"")))</f>
        <v/>
      </c>
      <c r="I123" s="140">
        <f>IF(I$13="","",IF($B123="","",IFERROR($C123*$D123*IF((Override!$C$4="ON")*(COUNTIFS(Override!$B$11:$B$40,$B123,Override!$D$11:$D$40,4,Override!$E$11:$E$40,"&gt;=0")-COUNTIFS(Override!$B$11:$B$40,$B123,Override!$D$11:$D$40,4,Override!$E$11:$E$40,"&gt;=0",Override!$C$11:$C$40,"MXAU"))&gt;0,SUMIFS(Override!$E$11:$E$40,Override!$B$11:$B$40,$B123,Override!$D$11:$D$40,4)-SUMIFS(Override!$E$11:$E$40,Override!$B$11:$B$40,$B123,Override!$D$11:$D$40,4,Override!$C$11:$C$40,"MXAU"),Override!$F$158)/AS51!$B$3,"")))</f>
        <v/>
      </c>
      <c r="J123" s="140">
        <f>IF(J$13="","",IF($B123="","",IFERROR($C123*$D123*IF((Override!$C$4="ON")*(COUNTIFS(Override!$B$11:$B$40,$B123,Override!$D$11:$D$40,5,Override!$E$11:$E$40,"&gt;=0")-COUNTIFS(Override!$B$11:$B$40,$B123,Override!$D$11:$D$40,5,Override!$E$11:$E$40,"&gt;=0",Override!$C$11:$C$40,"MXAU"))&gt;0,SUMIFS(Override!$E$11:$E$40,Override!$B$11:$B$40,$B123,Override!$D$11:$D$40,5)-SUMIFS(Override!$E$11:$E$40,Override!$B$11:$B$40,$B123,Override!$D$11:$D$40,5,Override!$C$11:$C$40,"MXAU"),Override!$G$158)/AS51!$B$3,"")))</f>
        <v/>
      </c>
      <c r="K123" s="140">
        <f>IF(K$13="","",IF($B123="","",IFERROR($C123*$D123*IF((Override!$C$4="ON")*(COUNTIFS(Override!$B$11:$B$40,$B123,Override!$D$11:$D$40,6,Override!$E$11:$E$40,"&gt;=0")-COUNTIFS(Override!$B$11:$B$40,$B123,Override!$D$11:$D$40,6,Override!$E$11:$E$40,"&gt;=0",Override!$C$11:$C$40,"MXAU"))&gt;0,SUMIFS(Override!$E$11:$E$40,Override!$B$11:$B$40,$B123,Override!$D$11:$D$40,6)-SUMIFS(Override!$E$11:$E$40,Override!$B$11:$B$40,$B123,Override!$D$11:$D$40,6,Override!$C$11:$C$40,"MXAU"),Override!$H$158)/AS51!$B$3,"")))</f>
        <v/>
      </c>
      <c r="L123" s="140">
        <f>IF(L$13="","",IF($B123="","",IFERROR($C123*$D123*IF((Override!$C$4="ON")*(COUNTIFS(Override!$B$11:$B$40,$B123,Override!$D$11:$D$40,7,Override!$E$11:$E$40,"&gt;=0")-COUNTIFS(Override!$B$11:$B$40,$B123,Override!$D$11:$D$40,7,Override!$E$11:$E$40,"&gt;=0",Override!$C$11:$C$40,"MXAU"))&gt;0,SUMIFS(Override!$E$11:$E$40,Override!$B$11:$B$40,$B123,Override!$D$11:$D$40,7)-SUMIFS(Override!$E$11:$E$40,Override!$B$11:$B$40,$B123,Override!$D$11:$D$40,7,Override!$C$11:$C$40,"MXAU"),Override!$I$158)/AS51!$B$3,"")))</f>
        <v/>
      </c>
      <c r="M123" s="140">
        <f>IF(M$13="","",IF($B123="","",IFERROR($C123*$D123*IF((Override!$C$4="ON")*(COUNTIFS(Override!$B$11:$B$40,$B123,Override!$D$11:$D$40,8,Override!$E$11:$E$40,"&gt;=0")-COUNTIFS(Override!$B$11:$B$40,$B123,Override!$D$11:$D$40,8,Override!$E$11:$E$40,"&gt;=0",Override!$C$11:$C$40,"MXAU"))&gt;0,SUMIFS(Override!$E$11:$E$40,Override!$B$11:$B$40,$B123,Override!$D$11:$D$40,8)-SUMIFS(Override!$E$11:$E$40,Override!$B$11:$B$40,$B123,Override!$D$11:$D$40,8,Override!$C$11:$C$40,"MXAU"),Override!$J$158)/AS51!$B$3,"")))</f>
        <v/>
      </c>
      <c r="N123" s="140">
        <f>IF(N$13="","",IF($B123="","",IFERROR($C123*$D123*IF((Override!$C$4="ON")*(COUNTIFS(Override!$B$11:$B$40,$B123,Override!$D$11:$D$40,9,Override!$E$11:$E$40,"&gt;=0")-COUNTIFS(Override!$B$11:$B$40,$B123,Override!$D$11:$D$40,9,Override!$E$11:$E$40,"&gt;=0",Override!$C$11:$C$40,"MXAU"))&gt;0,SUMIFS(Override!$E$11:$E$40,Override!$B$11:$B$40,$B123,Override!$D$11:$D$40,9)-SUMIFS(Override!$E$11:$E$40,Override!$B$11:$B$40,$B123,Override!$D$11:$D$40,9,Override!$C$11:$C$40,"MXAU"),Override!$K$158)/AS51!$B$3,"")))</f>
        <v/>
      </c>
      <c r="O123" s="140">
        <f>IF(O$13="","",IF($B123="","",IFERROR($C123*$D123*IF((Override!$C$4="ON")*(COUNTIFS(Override!$B$11:$B$40,$B123,Override!$D$11:$D$40,10,Override!$E$11:$E$40,"&gt;=0")-COUNTIFS(Override!$B$11:$B$40,$B123,Override!$D$11:$D$40,10,Override!$E$11:$E$40,"&gt;=0",Override!$C$11:$C$40,"MXAU"))&gt;0,SUMIFS(Override!$E$11:$E$40,Override!$B$11:$B$40,$B123,Override!$D$11:$D$40,10)-SUMIFS(Override!$E$11:$E$40,Override!$B$11:$B$40,$B123,Override!$D$11:$D$40,10,Override!$C$11:$C$40,"MXAU"),Override!$L$158)/AS51!$B$3,"")))</f>
        <v/>
      </c>
      <c r="P123" s="140">
        <f>IF(P$13="","",IF($B123="","",IFERROR($C123*$D123*IF((Override!$C$4="ON")*(COUNTIFS(Override!$B$11:$B$40,$B123,Override!$D$11:$D$40,11,Override!$E$11:$E$40,"&gt;=0")-COUNTIFS(Override!$B$11:$B$40,$B123,Override!$D$11:$D$40,11,Override!$E$11:$E$40,"&gt;=0",Override!$C$11:$C$40,"MXAU"))&gt;0,SUMIFS(Override!$E$11:$E$40,Override!$B$11:$B$40,$B123,Override!$D$11:$D$40,11)-SUMIFS(Override!$E$11:$E$40,Override!$B$11:$B$40,$B123,Override!$D$11:$D$40,11,Override!$C$11:$C$40,"MXAU"),Override!$M$158)/AS51!$B$3,"")))</f>
        <v/>
      </c>
      <c r="Q123" s="140">
        <f>IF(Q$13="","",IF($B123="","",IFERROR($C123*$D123*IF((Override!$C$4="ON")*(COUNTIFS(Override!$B$11:$B$40,$B123,Override!$D$11:$D$40,12,Override!$E$11:$E$40,"&gt;=0")-COUNTIFS(Override!$B$11:$B$40,$B123,Override!$D$11:$D$40,12,Override!$E$11:$E$40,"&gt;=0",Override!$C$11:$C$40,"MXAU"))&gt;0,SUMIFS(Override!$E$11:$E$40,Override!$B$11:$B$40,$B123,Override!$D$11:$D$40,12)-SUMIFS(Override!$E$11:$E$40,Override!$B$11:$B$40,$B123,Override!$D$11:$D$40,12,Override!$C$11:$C$40,"MXAU"),Override!$N$158)/AS51!$B$3,"")))</f>
        <v/>
      </c>
      <c r="R123" s="140">
        <f>IF(R$13="","",IF($B123="","",IFERROR($C123*$D123*IF((Override!$C$4="ON")*(COUNTIFS(Override!$B$11:$B$40,$B123,Override!$D$11:$D$40,13,Override!$E$11:$E$40,"&gt;=0")-COUNTIFS(Override!$B$11:$B$40,$B123,Override!$D$11:$D$40,13,Override!$E$11:$E$40,"&gt;=0",Override!$C$11:$C$40,"MXAU"))&gt;0,SUMIFS(Override!$E$11:$E$40,Override!$B$11:$B$40,$B123,Override!$D$11:$D$40,13)-SUMIFS(Override!$E$11:$E$40,Override!$B$11:$B$40,$B123,Override!$D$11:$D$40,13,Override!$C$11:$C$40,"MXAU"),Override!$O$158)/AS51!$B$3,"")))</f>
        <v/>
      </c>
      <c r="S123" s="140">
        <f>IF(S$13="","",IF($B123="","",IFERROR($C123*$D123*IF((Override!$C$4="ON")*(COUNTIFS(Override!$B$11:$B$40,$B123,Override!$D$11:$D$40,14,Override!$E$11:$E$40,"&gt;=0")-COUNTIFS(Override!$B$11:$B$40,$B123,Override!$D$11:$D$40,14,Override!$E$11:$E$40,"&gt;=0",Override!$C$11:$C$40,"MXAU"))&gt;0,SUMIFS(Override!$E$11:$E$40,Override!$B$11:$B$40,$B123,Override!$D$11:$D$40,14)-SUMIFS(Override!$E$11:$E$40,Override!$B$11:$B$40,$B123,Override!$D$11:$D$40,14,Override!$C$11:$C$40,"MXAU"),Override!$P$158)/AS51!$B$3,"")))</f>
        <v/>
      </c>
      <c r="T123" s="140">
        <f>IF(T$13="","",IF($B123="","",IFERROR($C123*$D123*IF((Override!$C$4="ON")*(COUNTIFS(Override!$B$11:$B$40,$B123,Override!$D$11:$D$40,15,Override!$E$11:$E$40,"&gt;=0")-COUNTIFS(Override!$B$11:$B$40,$B123,Override!$D$11:$D$40,15,Override!$E$11:$E$40,"&gt;=0",Override!$C$11:$C$40,"MXAU"))&gt;0,SUMIFS(Override!$E$11:$E$40,Override!$B$11:$B$40,$B123,Override!$D$11:$D$40,15)-SUMIFS(Override!$E$11:$E$40,Override!$B$11:$B$40,$B123,Override!$D$11:$D$40,15,Override!$C$11:$C$40,"MXAU"),Override!$Q$158)/AS51!$B$3,"")))</f>
        <v/>
      </c>
      <c r="U123" s="140">
        <f>IF(U$13="","",IF($B123="","",IFERROR($C123*$D123*IF((Override!$C$4="ON")*(COUNTIFS(Override!$B$11:$B$40,$B123,Override!$D$11:$D$40,16,Override!$E$11:$E$40,"&gt;=0")-COUNTIFS(Override!$B$11:$B$40,$B123,Override!$D$11:$D$40,16,Override!$E$11:$E$40,"&gt;=0",Override!$C$11:$C$40,"MXAU"))&gt;0,SUMIFS(Override!$E$11:$E$40,Override!$B$11:$B$40,$B123,Override!$D$11:$D$40,16)-SUMIFS(Override!$E$11:$E$40,Override!$B$11:$B$40,$B123,Override!$D$11:$D$40,16,Override!$C$11:$C$40,"MXAU"),Override!$R$158)/AS51!$B$3,"")))</f>
        <v/>
      </c>
      <c r="W123" s="140">
        <f>IF(W$13="","",IF($B123="","",IFERROR(F123*$E123/100,"")))</f>
        <v/>
      </c>
      <c r="X123" s="140">
        <f>IF(X$13="","",IF($B123="","",IFERROR(G123*$E123/100,"")))</f>
        <v/>
      </c>
      <c r="Y123" s="140">
        <f>IF(Y$13="","",IF($B123="","",IFERROR(H123*$E123/100,"")))</f>
        <v/>
      </c>
      <c r="Z123" s="140">
        <f>IF(Z$13="","",IF($B123="","",IFERROR(I123*$E123/100,"")))</f>
        <v/>
      </c>
      <c r="AA123" s="140">
        <f>IF(AA$13="","",IF($B123="","",IFERROR(J123*$E123/100,"")))</f>
        <v/>
      </c>
      <c r="AB123" s="140">
        <f>IF(AB$13="","",IF($B123="","",IFERROR(K123*$E123/100,"")))</f>
        <v/>
      </c>
      <c r="AC123" s="140">
        <f>IF(AC$13="","",IF($B123="","",IFERROR(L123*$E123/100,"")))</f>
        <v/>
      </c>
      <c r="AD123" s="140">
        <f>IF(AD$13="","",IF($B123="","",IFERROR(M123*$E123/100,"")))</f>
        <v/>
      </c>
      <c r="AE123" s="140">
        <f>IF(AE$13="","",IF($B123="","",IFERROR(N123*$E123/100,"")))</f>
        <v/>
      </c>
      <c r="AF123" s="140">
        <f>IF(AF$13="","",IF($B123="","",IFERROR(O123*$E123/100,"")))</f>
        <v/>
      </c>
      <c r="AG123" s="140">
        <f>IF(AG$13="","",IF($B123="","",IFERROR(P123*$E123/100,"")))</f>
        <v/>
      </c>
      <c r="AH123" s="140">
        <f>IF(AH$13="","",IF($B123="","",IFERROR(Q123*$E123/100,"")))</f>
        <v/>
      </c>
      <c r="AI123" s="140">
        <f>IF(AI$13="","",IF($B123="","",IFERROR(R123*$E123/100,"")))</f>
        <v/>
      </c>
      <c r="AJ123" s="140">
        <f>IF(AJ$13="","",IF($B123="","",IFERROR(S123*$E123/100,"")))</f>
        <v/>
      </c>
      <c r="AK123" s="140">
        <f>IF(AK$13="","",IF($B123="","",IFERROR(T123*$E123/100,"")))</f>
        <v/>
      </c>
      <c r="AL123" s="140">
        <f>IF(AL$13="","",IF($B123="","",IFERROR(U123*$E123/100,"")))</f>
        <v/>
      </c>
      <c r="AN123" s="140">
        <f>IF($B123="","",SUMIF($F$13:$U$13,"&lt;="&amp;Sector!$D$51,$F123:$U123))</f>
        <v/>
      </c>
      <c r="AO123" s="140">
        <f>IF($B123="","",SUMIF($W$13:$AL$13,"&lt;="&amp;Sector!$D$51,$W123:$AL123))</f>
        <v/>
      </c>
    </row>
    <row r="124">
      <c r="B124" s="5">
        <f>IF(AS51!$C$114="","",AS51!$C$114)</f>
        <v/>
      </c>
      <c r="C124" s="90">
        <f>IF(AS51!$B$114="","",AS51!$B$114)</f>
        <v/>
      </c>
      <c r="D124" s="138">
        <f>IFERROR(AS51!$Q$114,1)</f>
        <v/>
      </c>
      <c r="E124" s="139">
        <f>IF($B124="","",IF(ISNUMBER(AS51!$I$114),AS51!$I$114,'Index Summary'!$C$7))</f>
        <v/>
      </c>
      <c r="F124" s="140">
        <f>IF(F$13="","",IF($B124="","",IFERROR($C124*$D124*IF((Override!$C$4="ON")*(COUNTIFS(Override!$B$11:$B$40,$B124,Override!$D$11:$D$40,1,Override!$E$11:$E$40,"&gt;=0")-COUNTIFS(Override!$B$11:$B$40,$B124,Override!$D$11:$D$40,1,Override!$E$11:$E$40,"&gt;=0",Override!$C$11:$C$40,"MXAU"))&gt;0,SUMIFS(Override!$E$11:$E$40,Override!$B$11:$B$40,$B124,Override!$D$11:$D$40,1)-SUMIFS(Override!$E$11:$E$40,Override!$B$11:$B$40,$B124,Override!$D$11:$D$40,1,Override!$C$11:$C$40,"MXAU"),Override!$C$159)/AS51!$B$3,"")))</f>
        <v/>
      </c>
      <c r="G124" s="140">
        <f>IF(G$13="","",IF($B124="","",IFERROR($C124*$D124*IF((Override!$C$4="ON")*(COUNTIFS(Override!$B$11:$B$40,$B124,Override!$D$11:$D$40,2,Override!$E$11:$E$40,"&gt;=0")-COUNTIFS(Override!$B$11:$B$40,$B124,Override!$D$11:$D$40,2,Override!$E$11:$E$40,"&gt;=0",Override!$C$11:$C$40,"MXAU"))&gt;0,SUMIFS(Override!$E$11:$E$40,Override!$B$11:$B$40,$B124,Override!$D$11:$D$40,2)-SUMIFS(Override!$E$11:$E$40,Override!$B$11:$B$40,$B124,Override!$D$11:$D$40,2,Override!$C$11:$C$40,"MXAU"),Override!$D$159)/AS51!$B$3,"")))</f>
        <v/>
      </c>
      <c r="H124" s="140">
        <f>IF(H$13="","",IF($B124="","",IFERROR($C124*$D124*IF((Override!$C$4="ON")*(COUNTIFS(Override!$B$11:$B$40,$B124,Override!$D$11:$D$40,3,Override!$E$11:$E$40,"&gt;=0")-COUNTIFS(Override!$B$11:$B$40,$B124,Override!$D$11:$D$40,3,Override!$E$11:$E$40,"&gt;=0",Override!$C$11:$C$40,"MXAU"))&gt;0,SUMIFS(Override!$E$11:$E$40,Override!$B$11:$B$40,$B124,Override!$D$11:$D$40,3)-SUMIFS(Override!$E$11:$E$40,Override!$B$11:$B$40,$B124,Override!$D$11:$D$40,3,Override!$C$11:$C$40,"MXAU"),Override!$E$159)/AS51!$B$3,"")))</f>
        <v/>
      </c>
      <c r="I124" s="140">
        <f>IF(I$13="","",IF($B124="","",IFERROR($C124*$D124*IF((Override!$C$4="ON")*(COUNTIFS(Override!$B$11:$B$40,$B124,Override!$D$11:$D$40,4,Override!$E$11:$E$40,"&gt;=0")-COUNTIFS(Override!$B$11:$B$40,$B124,Override!$D$11:$D$40,4,Override!$E$11:$E$40,"&gt;=0",Override!$C$11:$C$40,"MXAU"))&gt;0,SUMIFS(Override!$E$11:$E$40,Override!$B$11:$B$40,$B124,Override!$D$11:$D$40,4)-SUMIFS(Override!$E$11:$E$40,Override!$B$11:$B$40,$B124,Override!$D$11:$D$40,4,Override!$C$11:$C$40,"MXAU"),Override!$F$159)/AS51!$B$3,"")))</f>
        <v/>
      </c>
      <c r="J124" s="140">
        <f>IF(J$13="","",IF($B124="","",IFERROR($C124*$D124*IF((Override!$C$4="ON")*(COUNTIFS(Override!$B$11:$B$40,$B124,Override!$D$11:$D$40,5,Override!$E$11:$E$40,"&gt;=0")-COUNTIFS(Override!$B$11:$B$40,$B124,Override!$D$11:$D$40,5,Override!$E$11:$E$40,"&gt;=0",Override!$C$11:$C$40,"MXAU"))&gt;0,SUMIFS(Override!$E$11:$E$40,Override!$B$11:$B$40,$B124,Override!$D$11:$D$40,5)-SUMIFS(Override!$E$11:$E$40,Override!$B$11:$B$40,$B124,Override!$D$11:$D$40,5,Override!$C$11:$C$40,"MXAU"),Override!$G$159)/AS51!$B$3,"")))</f>
        <v/>
      </c>
      <c r="K124" s="140">
        <f>IF(K$13="","",IF($B124="","",IFERROR($C124*$D124*IF((Override!$C$4="ON")*(COUNTIFS(Override!$B$11:$B$40,$B124,Override!$D$11:$D$40,6,Override!$E$11:$E$40,"&gt;=0")-COUNTIFS(Override!$B$11:$B$40,$B124,Override!$D$11:$D$40,6,Override!$E$11:$E$40,"&gt;=0",Override!$C$11:$C$40,"MXAU"))&gt;0,SUMIFS(Override!$E$11:$E$40,Override!$B$11:$B$40,$B124,Override!$D$11:$D$40,6)-SUMIFS(Override!$E$11:$E$40,Override!$B$11:$B$40,$B124,Override!$D$11:$D$40,6,Override!$C$11:$C$40,"MXAU"),Override!$H$159)/AS51!$B$3,"")))</f>
        <v/>
      </c>
      <c r="L124" s="140">
        <f>IF(L$13="","",IF($B124="","",IFERROR($C124*$D124*IF((Override!$C$4="ON")*(COUNTIFS(Override!$B$11:$B$40,$B124,Override!$D$11:$D$40,7,Override!$E$11:$E$40,"&gt;=0")-COUNTIFS(Override!$B$11:$B$40,$B124,Override!$D$11:$D$40,7,Override!$E$11:$E$40,"&gt;=0",Override!$C$11:$C$40,"MXAU"))&gt;0,SUMIFS(Override!$E$11:$E$40,Override!$B$11:$B$40,$B124,Override!$D$11:$D$40,7)-SUMIFS(Override!$E$11:$E$40,Override!$B$11:$B$40,$B124,Override!$D$11:$D$40,7,Override!$C$11:$C$40,"MXAU"),Override!$I$159)/AS51!$B$3,"")))</f>
        <v/>
      </c>
      <c r="M124" s="140">
        <f>IF(M$13="","",IF($B124="","",IFERROR($C124*$D124*IF((Override!$C$4="ON")*(COUNTIFS(Override!$B$11:$B$40,$B124,Override!$D$11:$D$40,8,Override!$E$11:$E$40,"&gt;=0")-COUNTIFS(Override!$B$11:$B$40,$B124,Override!$D$11:$D$40,8,Override!$E$11:$E$40,"&gt;=0",Override!$C$11:$C$40,"MXAU"))&gt;0,SUMIFS(Override!$E$11:$E$40,Override!$B$11:$B$40,$B124,Override!$D$11:$D$40,8)-SUMIFS(Override!$E$11:$E$40,Override!$B$11:$B$40,$B124,Override!$D$11:$D$40,8,Override!$C$11:$C$40,"MXAU"),Override!$J$159)/AS51!$B$3,"")))</f>
        <v/>
      </c>
      <c r="N124" s="140">
        <f>IF(N$13="","",IF($B124="","",IFERROR($C124*$D124*IF((Override!$C$4="ON")*(COUNTIFS(Override!$B$11:$B$40,$B124,Override!$D$11:$D$40,9,Override!$E$11:$E$40,"&gt;=0")-COUNTIFS(Override!$B$11:$B$40,$B124,Override!$D$11:$D$40,9,Override!$E$11:$E$40,"&gt;=0",Override!$C$11:$C$40,"MXAU"))&gt;0,SUMIFS(Override!$E$11:$E$40,Override!$B$11:$B$40,$B124,Override!$D$11:$D$40,9)-SUMIFS(Override!$E$11:$E$40,Override!$B$11:$B$40,$B124,Override!$D$11:$D$40,9,Override!$C$11:$C$40,"MXAU"),Override!$K$159)/AS51!$B$3,"")))</f>
        <v/>
      </c>
      <c r="O124" s="140">
        <f>IF(O$13="","",IF($B124="","",IFERROR($C124*$D124*IF((Override!$C$4="ON")*(COUNTIFS(Override!$B$11:$B$40,$B124,Override!$D$11:$D$40,10,Override!$E$11:$E$40,"&gt;=0")-COUNTIFS(Override!$B$11:$B$40,$B124,Override!$D$11:$D$40,10,Override!$E$11:$E$40,"&gt;=0",Override!$C$11:$C$40,"MXAU"))&gt;0,SUMIFS(Override!$E$11:$E$40,Override!$B$11:$B$40,$B124,Override!$D$11:$D$40,10)-SUMIFS(Override!$E$11:$E$40,Override!$B$11:$B$40,$B124,Override!$D$11:$D$40,10,Override!$C$11:$C$40,"MXAU"),Override!$L$159)/AS51!$B$3,"")))</f>
        <v/>
      </c>
      <c r="P124" s="140">
        <f>IF(P$13="","",IF($B124="","",IFERROR($C124*$D124*IF((Override!$C$4="ON")*(COUNTIFS(Override!$B$11:$B$40,$B124,Override!$D$11:$D$40,11,Override!$E$11:$E$40,"&gt;=0")-COUNTIFS(Override!$B$11:$B$40,$B124,Override!$D$11:$D$40,11,Override!$E$11:$E$40,"&gt;=0",Override!$C$11:$C$40,"MXAU"))&gt;0,SUMIFS(Override!$E$11:$E$40,Override!$B$11:$B$40,$B124,Override!$D$11:$D$40,11)-SUMIFS(Override!$E$11:$E$40,Override!$B$11:$B$40,$B124,Override!$D$11:$D$40,11,Override!$C$11:$C$40,"MXAU"),Override!$M$159)/AS51!$B$3,"")))</f>
        <v/>
      </c>
      <c r="Q124" s="140">
        <f>IF(Q$13="","",IF($B124="","",IFERROR($C124*$D124*IF((Override!$C$4="ON")*(COUNTIFS(Override!$B$11:$B$40,$B124,Override!$D$11:$D$40,12,Override!$E$11:$E$40,"&gt;=0")-COUNTIFS(Override!$B$11:$B$40,$B124,Override!$D$11:$D$40,12,Override!$E$11:$E$40,"&gt;=0",Override!$C$11:$C$40,"MXAU"))&gt;0,SUMIFS(Override!$E$11:$E$40,Override!$B$11:$B$40,$B124,Override!$D$11:$D$40,12)-SUMIFS(Override!$E$11:$E$40,Override!$B$11:$B$40,$B124,Override!$D$11:$D$40,12,Override!$C$11:$C$40,"MXAU"),Override!$N$159)/AS51!$B$3,"")))</f>
        <v/>
      </c>
      <c r="R124" s="140">
        <f>IF(R$13="","",IF($B124="","",IFERROR($C124*$D124*IF((Override!$C$4="ON")*(COUNTIFS(Override!$B$11:$B$40,$B124,Override!$D$11:$D$40,13,Override!$E$11:$E$40,"&gt;=0")-COUNTIFS(Override!$B$11:$B$40,$B124,Override!$D$11:$D$40,13,Override!$E$11:$E$40,"&gt;=0",Override!$C$11:$C$40,"MXAU"))&gt;0,SUMIFS(Override!$E$11:$E$40,Override!$B$11:$B$40,$B124,Override!$D$11:$D$40,13)-SUMIFS(Override!$E$11:$E$40,Override!$B$11:$B$40,$B124,Override!$D$11:$D$40,13,Override!$C$11:$C$40,"MXAU"),Override!$O$159)/AS51!$B$3,"")))</f>
        <v/>
      </c>
      <c r="S124" s="140">
        <f>IF(S$13="","",IF($B124="","",IFERROR($C124*$D124*IF((Override!$C$4="ON")*(COUNTIFS(Override!$B$11:$B$40,$B124,Override!$D$11:$D$40,14,Override!$E$11:$E$40,"&gt;=0")-COUNTIFS(Override!$B$11:$B$40,$B124,Override!$D$11:$D$40,14,Override!$E$11:$E$40,"&gt;=0",Override!$C$11:$C$40,"MXAU"))&gt;0,SUMIFS(Override!$E$11:$E$40,Override!$B$11:$B$40,$B124,Override!$D$11:$D$40,14)-SUMIFS(Override!$E$11:$E$40,Override!$B$11:$B$40,$B124,Override!$D$11:$D$40,14,Override!$C$11:$C$40,"MXAU"),Override!$P$159)/AS51!$B$3,"")))</f>
        <v/>
      </c>
      <c r="T124" s="140">
        <f>IF(T$13="","",IF($B124="","",IFERROR($C124*$D124*IF((Override!$C$4="ON")*(COUNTIFS(Override!$B$11:$B$40,$B124,Override!$D$11:$D$40,15,Override!$E$11:$E$40,"&gt;=0")-COUNTIFS(Override!$B$11:$B$40,$B124,Override!$D$11:$D$40,15,Override!$E$11:$E$40,"&gt;=0",Override!$C$11:$C$40,"MXAU"))&gt;0,SUMIFS(Override!$E$11:$E$40,Override!$B$11:$B$40,$B124,Override!$D$11:$D$40,15)-SUMIFS(Override!$E$11:$E$40,Override!$B$11:$B$40,$B124,Override!$D$11:$D$40,15,Override!$C$11:$C$40,"MXAU"),Override!$Q$159)/AS51!$B$3,"")))</f>
        <v/>
      </c>
      <c r="U124" s="140">
        <f>IF(U$13="","",IF($B124="","",IFERROR($C124*$D124*IF((Override!$C$4="ON")*(COUNTIFS(Override!$B$11:$B$40,$B124,Override!$D$11:$D$40,16,Override!$E$11:$E$40,"&gt;=0")-COUNTIFS(Override!$B$11:$B$40,$B124,Override!$D$11:$D$40,16,Override!$E$11:$E$40,"&gt;=0",Override!$C$11:$C$40,"MXAU"))&gt;0,SUMIFS(Override!$E$11:$E$40,Override!$B$11:$B$40,$B124,Override!$D$11:$D$40,16)-SUMIFS(Override!$E$11:$E$40,Override!$B$11:$B$40,$B124,Override!$D$11:$D$40,16,Override!$C$11:$C$40,"MXAU"),Override!$R$159)/AS51!$B$3,"")))</f>
        <v/>
      </c>
      <c r="W124" s="140">
        <f>IF(W$13="","",IF($B124="","",IFERROR(F124*$E124/100,"")))</f>
        <v/>
      </c>
      <c r="X124" s="140">
        <f>IF(X$13="","",IF($B124="","",IFERROR(G124*$E124/100,"")))</f>
        <v/>
      </c>
      <c r="Y124" s="140">
        <f>IF(Y$13="","",IF($B124="","",IFERROR(H124*$E124/100,"")))</f>
        <v/>
      </c>
      <c r="Z124" s="140">
        <f>IF(Z$13="","",IF($B124="","",IFERROR(I124*$E124/100,"")))</f>
        <v/>
      </c>
      <c r="AA124" s="140">
        <f>IF(AA$13="","",IF($B124="","",IFERROR(J124*$E124/100,"")))</f>
        <v/>
      </c>
      <c r="AB124" s="140">
        <f>IF(AB$13="","",IF($B124="","",IFERROR(K124*$E124/100,"")))</f>
        <v/>
      </c>
      <c r="AC124" s="140">
        <f>IF(AC$13="","",IF($B124="","",IFERROR(L124*$E124/100,"")))</f>
        <v/>
      </c>
      <c r="AD124" s="140">
        <f>IF(AD$13="","",IF($B124="","",IFERROR(M124*$E124/100,"")))</f>
        <v/>
      </c>
      <c r="AE124" s="140">
        <f>IF(AE$13="","",IF($B124="","",IFERROR(N124*$E124/100,"")))</f>
        <v/>
      </c>
      <c r="AF124" s="140">
        <f>IF(AF$13="","",IF($B124="","",IFERROR(O124*$E124/100,"")))</f>
        <v/>
      </c>
      <c r="AG124" s="140">
        <f>IF(AG$13="","",IF($B124="","",IFERROR(P124*$E124/100,"")))</f>
        <v/>
      </c>
      <c r="AH124" s="140">
        <f>IF(AH$13="","",IF($B124="","",IFERROR(Q124*$E124/100,"")))</f>
        <v/>
      </c>
      <c r="AI124" s="140">
        <f>IF(AI$13="","",IF($B124="","",IFERROR(R124*$E124/100,"")))</f>
        <v/>
      </c>
      <c r="AJ124" s="140">
        <f>IF(AJ$13="","",IF($B124="","",IFERROR(S124*$E124/100,"")))</f>
        <v/>
      </c>
      <c r="AK124" s="140">
        <f>IF(AK$13="","",IF($B124="","",IFERROR(T124*$E124/100,"")))</f>
        <v/>
      </c>
      <c r="AL124" s="140">
        <f>IF(AL$13="","",IF($B124="","",IFERROR(U124*$E124/100,"")))</f>
        <v/>
      </c>
      <c r="AN124" s="140">
        <f>IF($B124="","",SUMIF($F$13:$U$13,"&lt;="&amp;Sector!$D$51,$F124:$U124))</f>
        <v/>
      </c>
      <c r="AO124" s="140">
        <f>IF($B124="","",SUMIF($W$13:$AL$13,"&lt;="&amp;Sector!$D$51,$W124:$AL124))</f>
        <v/>
      </c>
    </row>
    <row r="125">
      <c r="B125" s="5">
        <f>IF(AS51!$C$115="","",AS51!$C$115)</f>
        <v/>
      </c>
      <c r="C125" s="90">
        <f>IF(AS51!$B$115="","",AS51!$B$115)</f>
        <v/>
      </c>
      <c r="D125" s="138">
        <f>IFERROR(AS51!$Q$115,1)</f>
        <v/>
      </c>
      <c r="E125" s="139">
        <f>IF($B125="","",IF(ISNUMBER(AS51!$I$115),AS51!$I$115,'Index Summary'!$C$7))</f>
        <v/>
      </c>
      <c r="F125" s="140">
        <f>IF(F$13="","",IF($B125="","",IFERROR($C125*$D125*IF((Override!$C$4="ON")*(COUNTIFS(Override!$B$11:$B$40,$B125,Override!$D$11:$D$40,1,Override!$E$11:$E$40,"&gt;=0")-COUNTIFS(Override!$B$11:$B$40,$B125,Override!$D$11:$D$40,1,Override!$E$11:$E$40,"&gt;=0",Override!$C$11:$C$40,"MXAU"))&gt;0,SUMIFS(Override!$E$11:$E$40,Override!$B$11:$B$40,$B125,Override!$D$11:$D$40,1)-SUMIFS(Override!$E$11:$E$40,Override!$B$11:$B$40,$B125,Override!$D$11:$D$40,1,Override!$C$11:$C$40,"MXAU"),Override!$C$160)/AS51!$B$3,"")))</f>
        <v/>
      </c>
      <c r="G125" s="140">
        <f>IF(G$13="","",IF($B125="","",IFERROR($C125*$D125*IF((Override!$C$4="ON")*(COUNTIFS(Override!$B$11:$B$40,$B125,Override!$D$11:$D$40,2,Override!$E$11:$E$40,"&gt;=0")-COUNTIFS(Override!$B$11:$B$40,$B125,Override!$D$11:$D$40,2,Override!$E$11:$E$40,"&gt;=0",Override!$C$11:$C$40,"MXAU"))&gt;0,SUMIFS(Override!$E$11:$E$40,Override!$B$11:$B$40,$B125,Override!$D$11:$D$40,2)-SUMIFS(Override!$E$11:$E$40,Override!$B$11:$B$40,$B125,Override!$D$11:$D$40,2,Override!$C$11:$C$40,"MXAU"),Override!$D$160)/AS51!$B$3,"")))</f>
        <v/>
      </c>
      <c r="H125" s="140">
        <f>IF(H$13="","",IF($B125="","",IFERROR($C125*$D125*IF((Override!$C$4="ON")*(COUNTIFS(Override!$B$11:$B$40,$B125,Override!$D$11:$D$40,3,Override!$E$11:$E$40,"&gt;=0")-COUNTIFS(Override!$B$11:$B$40,$B125,Override!$D$11:$D$40,3,Override!$E$11:$E$40,"&gt;=0",Override!$C$11:$C$40,"MXAU"))&gt;0,SUMIFS(Override!$E$11:$E$40,Override!$B$11:$B$40,$B125,Override!$D$11:$D$40,3)-SUMIFS(Override!$E$11:$E$40,Override!$B$11:$B$40,$B125,Override!$D$11:$D$40,3,Override!$C$11:$C$40,"MXAU"),Override!$E$160)/AS51!$B$3,"")))</f>
        <v/>
      </c>
      <c r="I125" s="140">
        <f>IF(I$13="","",IF($B125="","",IFERROR($C125*$D125*IF((Override!$C$4="ON")*(COUNTIFS(Override!$B$11:$B$40,$B125,Override!$D$11:$D$40,4,Override!$E$11:$E$40,"&gt;=0")-COUNTIFS(Override!$B$11:$B$40,$B125,Override!$D$11:$D$40,4,Override!$E$11:$E$40,"&gt;=0",Override!$C$11:$C$40,"MXAU"))&gt;0,SUMIFS(Override!$E$11:$E$40,Override!$B$11:$B$40,$B125,Override!$D$11:$D$40,4)-SUMIFS(Override!$E$11:$E$40,Override!$B$11:$B$40,$B125,Override!$D$11:$D$40,4,Override!$C$11:$C$40,"MXAU"),Override!$F$160)/AS51!$B$3,"")))</f>
        <v/>
      </c>
      <c r="J125" s="140">
        <f>IF(J$13="","",IF($B125="","",IFERROR($C125*$D125*IF((Override!$C$4="ON")*(COUNTIFS(Override!$B$11:$B$40,$B125,Override!$D$11:$D$40,5,Override!$E$11:$E$40,"&gt;=0")-COUNTIFS(Override!$B$11:$B$40,$B125,Override!$D$11:$D$40,5,Override!$E$11:$E$40,"&gt;=0",Override!$C$11:$C$40,"MXAU"))&gt;0,SUMIFS(Override!$E$11:$E$40,Override!$B$11:$B$40,$B125,Override!$D$11:$D$40,5)-SUMIFS(Override!$E$11:$E$40,Override!$B$11:$B$40,$B125,Override!$D$11:$D$40,5,Override!$C$11:$C$40,"MXAU"),Override!$G$160)/AS51!$B$3,"")))</f>
        <v/>
      </c>
      <c r="K125" s="140">
        <f>IF(K$13="","",IF($B125="","",IFERROR($C125*$D125*IF((Override!$C$4="ON")*(COUNTIFS(Override!$B$11:$B$40,$B125,Override!$D$11:$D$40,6,Override!$E$11:$E$40,"&gt;=0")-COUNTIFS(Override!$B$11:$B$40,$B125,Override!$D$11:$D$40,6,Override!$E$11:$E$40,"&gt;=0",Override!$C$11:$C$40,"MXAU"))&gt;0,SUMIFS(Override!$E$11:$E$40,Override!$B$11:$B$40,$B125,Override!$D$11:$D$40,6)-SUMIFS(Override!$E$11:$E$40,Override!$B$11:$B$40,$B125,Override!$D$11:$D$40,6,Override!$C$11:$C$40,"MXAU"),Override!$H$160)/AS51!$B$3,"")))</f>
        <v/>
      </c>
      <c r="L125" s="140">
        <f>IF(L$13="","",IF($B125="","",IFERROR($C125*$D125*IF((Override!$C$4="ON")*(COUNTIFS(Override!$B$11:$B$40,$B125,Override!$D$11:$D$40,7,Override!$E$11:$E$40,"&gt;=0")-COUNTIFS(Override!$B$11:$B$40,$B125,Override!$D$11:$D$40,7,Override!$E$11:$E$40,"&gt;=0",Override!$C$11:$C$40,"MXAU"))&gt;0,SUMIFS(Override!$E$11:$E$40,Override!$B$11:$B$40,$B125,Override!$D$11:$D$40,7)-SUMIFS(Override!$E$11:$E$40,Override!$B$11:$B$40,$B125,Override!$D$11:$D$40,7,Override!$C$11:$C$40,"MXAU"),Override!$I$160)/AS51!$B$3,"")))</f>
        <v/>
      </c>
      <c r="M125" s="140">
        <f>IF(M$13="","",IF($B125="","",IFERROR($C125*$D125*IF((Override!$C$4="ON")*(COUNTIFS(Override!$B$11:$B$40,$B125,Override!$D$11:$D$40,8,Override!$E$11:$E$40,"&gt;=0")-COUNTIFS(Override!$B$11:$B$40,$B125,Override!$D$11:$D$40,8,Override!$E$11:$E$40,"&gt;=0",Override!$C$11:$C$40,"MXAU"))&gt;0,SUMIFS(Override!$E$11:$E$40,Override!$B$11:$B$40,$B125,Override!$D$11:$D$40,8)-SUMIFS(Override!$E$11:$E$40,Override!$B$11:$B$40,$B125,Override!$D$11:$D$40,8,Override!$C$11:$C$40,"MXAU"),Override!$J$160)/AS51!$B$3,"")))</f>
        <v/>
      </c>
      <c r="N125" s="140">
        <f>IF(N$13="","",IF($B125="","",IFERROR($C125*$D125*IF((Override!$C$4="ON")*(COUNTIFS(Override!$B$11:$B$40,$B125,Override!$D$11:$D$40,9,Override!$E$11:$E$40,"&gt;=0")-COUNTIFS(Override!$B$11:$B$40,$B125,Override!$D$11:$D$40,9,Override!$E$11:$E$40,"&gt;=0",Override!$C$11:$C$40,"MXAU"))&gt;0,SUMIFS(Override!$E$11:$E$40,Override!$B$11:$B$40,$B125,Override!$D$11:$D$40,9)-SUMIFS(Override!$E$11:$E$40,Override!$B$11:$B$40,$B125,Override!$D$11:$D$40,9,Override!$C$11:$C$40,"MXAU"),Override!$K$160)/AS51!$B$3,"")))</f>
        <v/>
      </c>
      <c r="O125" s="140">
        <f>IF(O$13="","",IF($B125="","",IFERROR($C125*$D125*IF((Override!$C$4="ON")*(COUNTIFS(Override!$B$11:$B$40,$B125,Override!$D$11:$D$40,10,Override!$E$11:$E$40,"&gt;=0")-COUNTIFS(Override!$B$11:$B$40,$B125,Override!$D$11:$D$40,10,Override!$E$11:$E$40,"&gt;=0",Override!$C$11:$C$40,"MXAU"))&gt;0,SUMIFS(Override!$E$11:$E$40,Override!$B$11:$B$40,$B125,Override!$D$11:$D$40,10)-SUMIFS(Override!$E$11:$E$40,Override!$B$11:$B$40,$B125,Override!$D$11:$D$40,10,Override!$C$11:$C$40,"MXAU"),Override!$L$160)/AS51!$B$3,"")))</f>
        <v/>
      </c>
      <c r="P125" s="140">
        <f>IF(P$13="","",IF($B125="","",IFERROR($C125*$D125*IF((Override!$C$4="ON")*(COUNTIFS(Override!$B$11:$B$40,$B125,Override!$D$11:$D$40,11,Override!$E$11:$E$40,"&gt;=0")-COUNTIFS(Override!$B$11:$B$40,$B125,Override!$D$11:$D$40,11,Override!$E$11:$E$40,"&gt;=0",Override!$C$11:$C$40,"MXAU"))&gt;0,SUMIFS(Override!$E$11:$E$40,Override!$B$11:$B$40,$B125,Override!$D$11:$D$40,11)-SUMIFS(Override!$E$11:$E$40,Override!$B$11:$B$40,$B125,Override!$D$11:$D$40,11,Override!$C$11:$C$40,"MXAU"),Override!$M$160)/AS51!$B$3,"")))</f>
        <v/>
      </c>
      <c r="Q125" s="140">
        <f>IF(Q$13="","",IF($B125="","",IFERROR($C125*$D125*IF((Override!$C$4="ON")*(COUNTIFS(Override!$B$11:$B$40,$B125,Override!$D$11:$D$40,12,Override!$E$11:$E$40,"&gt;=0")-COUNTIFS(Override!$B$11:$B$40,$B125,Override!$D$11:$D$40,12,Override!$E$11:$E$40,"&gt;=0",Override!$C$11:$C$40,"MXAU"))&gt;0,SUMIFS(Override!$E$11:$E$40,Override!$B$11:$B$40,$B125,Override!$D$11:$D$40,12)-SUMIFS(Override!$E$11:$E$40,Override!$B$11:$B$40,$B125,Override!$D$11:$D$40,12,Override!$C$11:$C$40,"MXAU"),Override!$N$160)/AS51!$B$3,"")))</f>
        <v/>
      </c>
      <c r="R125" s="140">
        <f>IF(R$13="","",IF($B125="","",IFERROR($C125*$D125*IF((Override!$C$4="ON")*(COUNTIFS(Override!$B$11:$B$40,$B125,Override!$D$11:$D$40,13,Override!$E$11:$E$40,"&gt;=0")-COUNTIFS(Override!$B$11:$B$40,$B125,Override!$D$11:$D$40,13,Override!$E$11:$E$40,"&gt;=0",Override!$C$11:$C$40,"MXAU"))&gt;0,SUMIFS(Override!$E$11:$E$40,Override!$B$11:$B$40,$B125,Override!$D$11:$D$40,13)-SUMIFS(Override!$E$11:$E$40,Override!$B$11:$B$40,$B125,Override!$D$11:$D$40,13,Override!$C$11:$C$40,"MXAU"),Override!$O$160)/AS51!$B$3,"")))</f>
        <v/>
      </c>
      <c r="S125" s="140">
        <f>IF(S$13="","",IF($B125="","",IFERROR($C125*$D125*IF((Override!$C$4="ON")*(COUNTIFS(Override!$B$11:$B$40,$B125,Override!$D$11:$D$40,14,Override!$E$11:$E$40,"&gt;=0")-COUNTIFS(Override!$B$11:$B$40,$B125,Override!$D$11:$D$40,14,Override!$E$11:$E$40,"&gt;=0",Override!$C$11:$C$40,"MXAU"))&gt;0,SUMIFS(Override!$E$11:$E$40,Override!$B$11:$B$40,$B125,Override!$D$11:$D$40,14)-SUMIFS(Override!$E$11:$E$40,Override!$B$11:$B$40,$B125,Override!$D$11:$D$40,14,Override!$C$11:$C$40,"MXAU"),Override!$P$160)/AS51!$B$3,"")))</f>
        <v/>
      </c>
      <c r="T125" s="140">
        <f>IF(T$13="","",IF($B125="","",IFERROR($C125*$D125*IF((Override!$C$4="ON")*(COUNTIFS(Override!$B$11:$B$40,$B125,Override!$D$11:$D$40,15,Override!$E$11:$E$40,"&gt;=0")-COUNTIFS(Override!$B$11:$B$40,$B125,Override!$D$11:$D$40,15,Override!$E$11:$E$40,"&gt;=0",Override!$C$11:$C$40,"MXAU"))&gt;0,SUMIFS(Override!$E$11:$E$40,Override!$B$11:$B$40,$B125,Override!$D$11:$D$40,15)-SUMIFS(Override!$E$11:$E$40,Override!$B$11:$B$40,$B125,Override!$D$11:$D$40,15,Override!$C$11:$C$40,"MXAU"),Override!$Q$160)/AS51!$B$3,"")))</f>
        <v/>
      </c>
      <c r="U125" s="140">
        <f>IF(U$13="","",IF($B125="","",IFERROR($C125*$D125*IF((Override!$C$4="ON")*(COUNTIFS(Override!$B$11:$B$40,$B125,Override!$D$11:$D$40,16,Override!$E$11:$E$40,"&gt;=0")-COUNTIFS(Override!$B$11:$B$40,$B125,Override!$D$11:$D$40,16,Override!$E$11:$E$40,"&gt;=0",Override!$C$11:$C$40,"MXAU"))&gt;0,SUMIFS(Override!$E$11:$E$40,Override!$B$11:$B$40,$B125,Override!$D$11:$D$40,16)-SUMIFS(Override!$E$11:$E$40,Override!$B$11:$B$40,$B125,Override!$D$11:$D$40,16,Override!$C$11:$C$40,"MXAU"),Override!$R$160)/AS51!$B$3,"")))</f>
        <v/>
      </c>
      <c r="W125" s="140">
        <f>IF(W$13="","",IF($B125="","",IFERROR(F125*$E125/100,"")))</f>
        <v/>
      </c>
      <c r="X125" s="140">
        <f>IF(X$13="","",IF($B125="","",IFERROR(G125*$E125/100,"")))</f>
        <v/>
      </c>
      <c r="Y125" s="140">
        <f>IF(Y$13="","",IF($B125="","",IFERROR(H125*$E125/100,"")))</f>
        <v/>
      </c>
      <c r="Z125" s="140">
        <f>IF(Z$13="","",IF($B125="","",IFERROR(I125*$E125/100,"")))</f>
        <v/>
      </c>
      <c r="AA125" s="140">
        <f>IF(AA$13="","",IF($B125="","",IFERROR(J125*$E125/100,"")))</f>
        <v/>
      </c>
      <c r="AB125" s="140">
        <f>IF(AB$13="","",IF($B125="","",IFERROR(K125*$E125/100,"")))</f>
        <v/>
      </c>
      <c r="AC125" s="140">
        <f>IF(AC$13="","",IF($B125="","",IFERROR(L125*$E125/100,"")))</f>
        <v/>
      </c>
      <c r="AD125" s="140">
        <f>IF(AD$13="","",IF($B125="","",IFERROR(M125*$E125/100,"")))</f>
        <v/>
      </c>
      <c r="AE125" s="140">
        <f>IF(AE$13="","",IF($B125="","",IFERROR(N125*$E125/100,"")))</f>
        <v/>
      </c>
      <c r="AF125" s="140">
        <f>IF(AF$13="","",IF($B125="","",IFERROR(O125*$E125/100,"")))</f>
        <v/>
      </c>
      <c r="AG125" s="140">
        <f>IF(AG$13="","",IF($B125="","",IFERROR(P125*$E125/100,"")))</f>
        <v/>
      </c>
      <c r="AH125" s="140">
        <f>IF(AH$13="","",IF($B125="","",IFERROR(Q125*$E125/100,"")))</f>
        <v/>
      </c>
      <c r="AI125" s="140">
        <f>IF(AI$13="","",IF($B125="","",IFERROR(R125*$E125/100,"")))</f>
        <v/>
      </c>
      <c r="AJ125" s="140">
        <f>IF(AJ$13="","",IF($B125="","",IFERROR(S125*$E125/100,"")))</f>
        <v/>
      </c>
      <c r="AK125" s="140">
        <f>IF(AK$13="","",IF($B125="","",IFERROR(T125*$E125/100,"")))</f>
        <v/>
      </c>
      <c r="AL125" s="140">
        <f>IF(AL$13="","",IF($B125="","",IFERROR(U125*$E125/100,"")))</f>
        <v/>
      </c>
      <c r="AN125" s="140">
        <f>IF($B125="","",SUMIF($F$13:$U$13,"&lt;="&amp;Sector!$D$51,$F125:$U125))</f>
        <v/>
      </c>
      <c r="AO125" s="140">
        <f>IF($B125="","",SUMIF($W$13:$AL$13,"&lt;="&amp;Sector!$D$51,$W125:$AL125))</f>
        <v/>
      </c>
    </row>
    <row r="126">
      <c r="B126" s="5">
        <f>IF(AS51!$C$116="","",AS51!$C$116)</f>
        <v/>
      </c>
      <c r="C126" s="90">
        <f>IF(AS51!$B$116="","",AS51!$B$116)</f>
        <v/>
      </c>
      <c r="D126" s="138">
        <f>IFERROR(AS51!$Q$116,1)</f>
        <v/>
      </c>
      <c r="E126" s="139">
        <f>IF($B126="","",IF(ISNUMBER(AS51!$I$116),AS51!$I$116,'Index Summary'!$C$7))</f>
        <v/>
      </c>
      <c r="F126" s="140">
        <f>IF(F$13="","",IF($B126="","",IFERROR($C126*$D126*IF((Override!$C$4="ON")*(COUNTIFS(Override!$B$11:$B$40,$B126,Override!$D$11:$D$40,1,Override!$E$11:$E$40,"&gt;=0")-COUNTIFS(Override!$B$11:$B$40,$B126,Override!$D$11:$D$40,1,Override!$E$11:$E$40,"&gt;=0",Override!$C$11:$C$40,"MXAU"))&gt;0,SUMIFS(Override!$E$11:$E$40,Override!$B$11:$B$40,$B126,Override!$D$11:$D$40,1)-SUMIFS(Override!$E$11:$E$40,Override!$B$11:$B$40,$B126,Override!$D$11:$D$40,1,Override!$C$11:$C$40,"MXAU"),Override!$C$161)/AS51!$B$3,"")))</f>
        <v/>
      </c>
      <c r="G126" s="140">
        <f>IF(G$13="","",IF($B126="","",IFERROR($C126*$D126*IF((Override!$C$4="ON")*(COUNTIFS(Override!$B$11:$B$40,$B126,Override!$D$11:$D$40,2,Override!$E$11:$E$40,"&gt;=0")-COUNTIFS(Override!$B$11:$B$40,$B126,Override!$D$11:$D$40,2,Override!$E$11:$E$40,"&gt;=0",Override!$C$11:$C$40,"MXAU"))&gt;0,SUMIFS(Override!$E$11:$E$40,Override!$B$11:$B$40,$B126,Override!$D$11:$D$40,2)-SUMIFS(Override!$E$11:$E$40,Override!$B$11:$B$40,$B126,Override!$D$11:$D$40,2,Override!$C$11:$C$40,"MXAU"),Override!$D$161)/AS51!$B$3,"")))</f>
        <v/>
      </c>
      <c r="H126" s="140">
        <f>IF(H$13="","",IF($B126="","",IFERROR($C126*$D126*IF((Override!$C$4="ON")*(COUNTIFS(Override!$B$11:$B$40,$B126,Override!$D$11:$D$40,3,Override!$E$11:$E$40,"&gt;=0")-COUNTIFS(Override!$B$11:$B$40,$B126,Override!$D$11:$D$40,3,Override!$E$11:$E$40,"&gt;=0",Override!$C$11:$C$40,"MXAU"))&gt;0,SUMIFS(Override!$E$11:$E$40,Override!$B$11:$B$40,$B126,Override!$D$11:$D$40,3)-SUMIFS(Override!$E$11:$E$40,Override!$B$11:$B$40,$B126,Override!$D$11:$D$40,3,Override!$C$11:$C$40,"MXAU"),Override!$E$161)/AS51!$B$3,"")))</f>
        <v/>
      </c>
      <c r="I126" s="140">
        <f>IF(I$13="","",IF($B126="","",IFERROR($C126*$D126*IF((Override!$C$4="ON")*(COUNTIFS(Override!$B$11:$B$40,$B126,Override!$D$11:$D$40,4,Override!$E$11:$E$40,"&gt;=0")-COUNTIFS(Override!$B$11:$B$40,$B126,Override!$D$11:$D$40,4,Override!$E$11:$E$40,"&gt;=0",Override!$C$11:$C$40,"MXAU"))&gt;0,SUMIFS(Override!$E$11:$E$40,Override!$B$11:$B$40,$B126,Override!$D$11:$D$40,4)-SUMIFS(Override!$E$11:$E$40,Override!$B$11:$B$40,$B126,Override!$D$11:$D$40,4,Override!$C$11:$C$40,"MXAU"),Override!$F$161)/AS51!$B$3,"")))</f>
        <v/>
      </c>
      <c r="J126" s="140">
        <f>IF(J$13="","",IF($B126="","",IFERROR($C126*$D126*IF((Override!$C$4="ON")*(COUNTIFS(Override!$B$11:$B$40,$B126,Override!$D$11:$D$40,5,Override!$E$11:$E$40,"&gt;=0")-COUNTIFS(Override!$B$11:$B$40,$B126,Override!$D$11:$D$40,5,Override!$E$11:$E$40,"&gt;=0",Override!$C$11:$C$40,"MXAU"))&gt;0,SUMIFS(Override!$E$11:$E$40,Override!$B$11:$B$40,$B126,Override!$D$11:$D$40,5)-SUMIFS(Override!$E$11:$E$40,Override!$B$11:$B$40,$B126,Override!$D$11:$D$40,5,Override!$C$11:$C$40,"MXAU"),Override!$G$161)/AS51!$B$3,"")))</f>
        <v/>
      </c>
      <c r="K126" s="140">
        <f>IF(K$13="","",IF($B126="","",IFERROR($C126*$D126*IF((Override!$C$4="ON")*(COUNTIFS(Override!$B$11:$B$40,$B126,Override!$D$11:$D$40,6,Override!$E$11:$E$40,"&gt;=0")-COUNTIFS(Override!$B$11:$B$40,$B126,Override!$D$11:$D$40,6,Override!$E$11:$E$40,"&gt;=0",Override!$C$11:$C$40,"MXAU"))&gt;0,SUMIFS(Override!$E$11:$E$40,Override!$B$11:$B$40,$B126,Override!$D$11:$D$40,6)-SUMIFS(Override!$E$11:$E$40,Override!$B$11:$B$40,$B126,Override!$D$11:$D$40,6,Override!$C$11:$C$40,"MXAU"),Override!$H$161)/AS51!$B$3,"")))</f>
        <v/>
      </c>
      <c r="L126" s="140">
        <f>IF(L$13="","",IF($B126="","",IFERROR($C126*$D126*IF((Override!$C$4="ON")*(COUNTIFS(Override!$B$11:$B$40,$B126,Override!$D$11:$D$40,7,Override!$E$11:$E$40,"&gt;=0")-COUNTIFS(Override!$B$11:$B$40,$B126,Override!$D$11:$D$40,7,Override!$E$11:$E$40,"&gt;=0",Override!$C$11:$C$40,"MXAU"))&gt;0,SUMIFS(Override!$E$11:$E$40,Override!$B$11:$B$40,$B126,Override!$D$11:$D$40,7)-SUMIFS(Override!$E$11:$E$40,Override!$B$11:$B$40,$B126,Override!$D$11:$D$40,7,Override!$C$11:$C$40,"MXAU"),Override!$I$161)/AS51!$B$3,"")))</f>
        <v/>
      </c>
      <c r="M126" s="140">
        <f>IF(M$13="","",IF($B126="","",IFERROR($C126*$D126*IF((Override!$C$4="ON")*(COUNTIFS(Override!$B$11:$B$40,$B126,Override!$D$11:$D$40,8,Override!$E$11:$E$40,"&gt;=0")-COUNTIFS(Override!$B$11:$B$40,$B126,Override!$D$11:$D$40,8,Override!$E$11:$E$40,"&gt;=0",Override!$C$11:$C$40,"MXAU"))&gt;0,SUMIFS(Override!$E$11:$E$40,Override!$B$11:$B$40,$B126,Override!$D$11:$D$40,8)-SUMIFS(Override!$E$11:$E$40,Override!$B$11:$B$40,$B126,Override!$D$11:$D$40,8,Override!$C$11:$C$40,"MXAU"),Override!$J$161)/AS51!$B$3,"")))</f>
        <v/>
      </c>
      <c r="N126" s="140">
        <f>IF(N$13="","",IF($B126="","",IFERROR($C126*$D126*IF((Override!$C$4="ON")*(COUNTIFS(Override!$B$11:$B$40,$B126,Override!$D$11:$D$40,9,Override!$E$11:$E$40,"&gt;=0")-COUNTIFS(Override!$B$11:$B$40,$B126,Override!$D$11:$D$40,9,Override!$E$11:$E$40,"&gt;=0",Override!$C$11:$C$40,"MXAU"))&gt;0,SUMIFS(Override!$E$11:$E$40,Override!$B$11:$B$40,$B126,Override!$D$11:$D$40,9)-SUMIFS(Override!$E$11:$E$40,Override!$B$11:$B$40,$B126,Override!$D$11:$D$40,9,Override!$C$11:$C$40,"MXAU"),Override!$K$161)/AS51!$B$3,"")))</f>
        <v/>
      </c>
      <c r="O126" s="140">
        <f>IF(O$13="","",IF($B126="","",IFERROR($C126*$D126*IF((Override!$C$4="ON")*(COUNTIFS(Override!$B$11:$B$40,$B126,Override!$D$11:$D$40,10,Override!$E$11:$E$40,"&gt;=0")-COUNTIFS(Override!$B$11:$B$40,$B126,Override!$D$11:$D$40,10,Override!$E$11:$E$40,"&gt;=0",Override!$C$11:$C$40,"MXAU"))&gt;0,SUMIFS(Override!$E$11:$E$40,Override!$B$11:$B$40,$B126,Override!$D$11:$D$40,10)-SUMIFS(Override!$E$11:$E$40,Override!$B$11:$B$40,$B126,Override!$D$11:$D$40,10,Override!$C$11:$C$40,"MXAU"),Override!$L$161)/AS51!$B$3,"")))</f>
        <v/>
      </c>
      <c r="P126" s="140">
        <f>IF(P$13="","",IF($B126="","",IFERROR($C126*$D126*IF((Override!$C$4="ON")*(COUNTIFS(Override!$B$11:$B$40,$B126,Override!$D$11:$D$40,11,Override!$E$11:$E$40,"&gt;=0")-COUNTIFS(Override!$B$11:$B$40,$B126,Override!$D$11:$D$40,11,Override!$E$11:$E$40,"&gt;=0",Override!$C$11:$C$40,"MXAU"))&gt;0,SUMIFS(Override!$E$11:$E$40,Override!$B$11:$B$40,$B126,Override!$D$11:$D$40,11)-SUMIFS(Override!$E$11:$E$40,Override!$B$11:$B$40,$B126,Override!$D$11:$D$40,11,Override!$C$11:$C$40,"MXAU"),Override!$M$161)/AS51!$B$3,"")))</f>
        <v/>
      </c>
      <c r="Q126" s="140">
        <f>IF(Q$13="","",IF($B126="","",IFERROR($C126*$D126*IF((Override!$C$4="ON")*(COUNTIFS(Override!$B$11:$B$40,$B126,Override!$D$11:$D$40,12,Override!$E$11:$E$40,"&gt;=0")-COUNTIFS(Override!$B$11:$B$40,$B126,Override!$D$11:$D$40,12,Override!$E$11:$E$40,"&gt;=0",Override!$C$11:$C$40,"MXAU"))&gt;0,SUMIFS(Override!$E$11:$E$40,Override!$B$11:$B$40,$B126,Override!$D$11:$D$40,12)-SUMIFS(Override!$E$11:$E$40,Override!$B$11:$B$40,$B126,Override!$D$11:$D$40,12,Override!$C$11:$C$40,"MXAU"),Override!$N$161)/AS51!$B$3,"")))</f>
        <v/>
      </c>
      <c r="R126" s="140">
        <f>IF(R$13="","",IF($B126="","",IFERROR($C126*$D126*IF((Override!$C$4="ON")*(COUNTIFS(Override!$B$11:$B$40,$B126,Override!$D$11:$D$40,13,Override!$E$11:$E$40,"&gt;=0")-COUNTIFS(Override!$B$11:$B$40,$B126,Override!$D$11:$D$40,13,Override!$E$11:$E$40,"&gt;=0",Override!$C$11:$C$40,"MXAU"))&gt;0,SUMIFS(Override!$E$11:$E$40,Override!$B$11:$B$40,$B126,Override!$D$11:$D$40,13)-SUMIFS(Override!$E$11:$E$40,Override!$B$11:$B$40,$B126,Override!$D$11:$D$40,13,Override!$C$11:$C$40,"MXAU"),Override!$O$161)/AS51!$B$3,"")))</f>
        <v/>
      </c>
      <c r="S126" s="140">
        <f>IF(S$13="","",IF($B126="","",IFERROR($C126*$D126*IF((Override!$C$4="ON")*(COUNTIFS(Override!$B$11:$B$40,$B126,Override!$D$11:$D$40,14,Override!$E$11:$E$40,"&gt;=0")-COUNTIFS(Override!$B$11:$B$40,$B126,Override!$D$11:$D$40,14,Override!$E$11:$E$40,"&gt;=0",Override!$C$11:$C$40,"MXAU"))&gt;0,SUMIFS(Override!$E$11:$E$40,Override!$B$11:$B$40,$B126,Override!$D$11:$D$40,14)-SUMIFS(Override!$E$11:$E$40,Override!$B$11:$B$40,$B126,Override!$D$11:$D$40,14,Override!$C$11:$C$40,"MXAU"),Override!$P$161)/AS51!$B$3,"")))</f>
        <v/>
      </c>
      <c r="T126" s="140">
        <f>IF(T$13="","",IF($B126="","",IFERROR($C126*$D126*IF((Override!$C$4="ON")*(COUNTIFS(Override!$B$11:$B$40,$B126,Override!$D$11:$D$40,15,Override!$E$11:$E$40,"&gt;=0")-COUNTIFS(Override!$B$11:$B$40,$B126,Override!$D$11:$D$40,15,Override!$E$11:$E$40,"&gt;=0",Override!$C$11:$C$40,"MXAU"))&gt;0,SUMIFS(Override!$E$11:$E$40,Override!$B$11:$B$40,$B126,Override!$D$11:$D$40,15)-SUMIFS(Override!$E$11:$E$40,Override!$B$11:$B$40,$B126,Override!$D$11:$D$40,15,Override!$C$11:$C$40,"MXAU"),Override!$Q$161)/AS51!$B$3,"")))</f>
        <v/>
      </c>
      <c r="U126" s="140">
        <f>IF(U$13="","",IF($B126="","",IFERROR($C126*$D126*IF((Override!$C$4="ON")*(COUNTIFS(Override!$B$11:$B$40,$B126,Override!$D$11:$D$40,16,Override!$E$11:$E$40,"&gt;=0")-COUNTIFS(Override!$B$11:$B$40,$B126,Override!$D$11:$D$40,16,Override!$E$11:$E$40,"&gt;=0",Override!$C$11:$C$40,"MXAU"))&gt;0,SUMIFS(Override!$E$11:$E$40,Override!$B$11:$B$40,$B126,Override!$D$11:$D$40,16)-SUMIFS(Override!$E$11:$E$40,Override!$B$11:$B$40,$B126,Override!$D$11:$D$40,16,Override!$C$11:$C$40,"MXAU"),Override!$R$161)/AS51!$B$3,"")))</f>
        <v/>
      </c>
      <c r="W126" s="140">
        <f>IF(W$13="","",IF($B126="","",IFERROR(F126*$E126/100,"")))</f>
        <v/>
      </c>
      <c r="X126" s="140">
        <f>IF(X$13="","",IF($B126="","",IFERROR(G126*$E126/100,"")))</f>
        <v/>
      </c>
      <c r="Y126" s="140">
        <f>IF(Y$13="","",IF($B126="","",IFERROR(H126*$E126/100,"")))</f>
        <v/>
      </c>
      <c r="Z126" s="140">
        <f>IF(Z$13="","",IF($B126="","",IFERROR(I126*$E126/100,"")))</f>
        <v/>
      </c>
      <c r="AA126" s="140">
        <f>IF(AA$13="","",IF($B126="","",IFERROR(J126*$E126/100,"")))</f>
        <v/>
      </c>
      <c r="AB126" s="140">
        <f>IF(AB$13="","",IF($B126="","",IFERROR(K126*$E126/100,"")))</f>
        <v/>
      </c>
      <c r="AC126" s="140">
        <f>IF(AC$13="","",IF($B126="","",IFERROR(L126*$E126/100,"")))</f>
        <v/>
      </c>
      <c r="AD126" s="140">
        <f>IF(AD$13="","",IF($B126="","",IFERROR(M126*$E126/100,"")))</f>
        <v/>
      </c>
      <c r="AE126" s="140">
        <f>IF(AE$13="","",IF($B126="","",IFERROR(N126*$E126/100,"")))</f>
        <v/>
      </c>
      <c r="AF126" s="140">
        <f>IF(AF$13="","",IF($B126="","",IFERROR(O126*$E126/100,"")))</f>
        <v/>
      </c>
      <c r="AG126" s="140">
        <f>IF(AG$13="","",IF($B126="","",IFERROR(P126*$E126/100,"")))</f>
        <v/>
      </c>
      <c r="AH126" s="140">
        <f>IF(AH$13="","",IF($B126="","",IFERROR(Q126*$E126/100,"")))</f>
        <v/>
      </c>
      <c r="AI126" s="140">
        <f>IF(AI$13="","",IF($B126="","",IFERROR(R126*$E126/100,"")))</f>
        <v/>
      </c>
      <c r="AJ126" s="140">
        <f>IF(AJ$13="","",IF($B126="","",IFERROR(S126*$E126/100,"")))</f>
        <v/>
      </c>
      <c r="AK126" s="140">
        <f>IF(AK$13="","",IF($B126="","",IFERROR(T126*$E126/100,"")))</f>
        <v/>
      </c>
      <c r="AL126" s="140">
        <f>IF(AL$13="","",IF($B126="","",IFERROR(U126*$E126/100,"")))</f>
        <v/>
      </c>
      <c r="AN126" s="140">
        <f>IF($B126="","",SUMIF($F$13:$U$13,"&lt;="&amp;Sector!$D$51,$F126:$U126))</f>
        <v/>
      </c>
      <c r="AO126" s="140">
        <f>IF($B126="","",SUMIF($W$13:$AL$13,"&lt;="&amp;Sector!$D$51,$W126:$AL126))</f>
        <v/>
      </c>
    </row>
    <row r="127">
      <c r="B127" s="5">
        <f>IF(AS51!$C$117="","",AS51!$C$117)</f>
        <v/>
      </c>
      <c r="C127" s="90">
        <f>IF(AS51!$B$117="","",AS51!$B$117)</f>
        <v/>
      </c>
      <c r="D127" s="138">
        <f>IFERROR(AS51!$Q$117,1)</f>
        <v/>
      </c>
      <c r="E127" s="139">
        <f>IF($B127="","",IF(ISNUMBER(AS51!$I$117),AS51!$I$117,'Index Summary'!$C$7))</f>
        <v/>
      </c>
      <c r="F127" s="140">
        <f>IF(F$13="","",IF($B127="","",IFERROR($C127*$D127*IF((Override!$C$4="ON")*(COUNTIFS(Override!$B$11:$B$40,$B127,Override!$D$11:$D$40,1,Override!$E$11:$E$40,"&gt;=0")-COUNTIFS(Override!$B$11:$B$40,$B127,Override!$D$11:$D$40,1,Override!$E$11:$E$40,"&gt;=0",Override!$C$11:$C$40,"MXAU"))&gt;0,SUMIFS(Override!$E$11:$E$40,Override!$B$11:$B$40,$B127,Override!$D$11:$D$40,1)-SUMIFS(Override!$E$11:$E$40,Override!$B$11:$B$40,$B127,Override!$D$11:$D$40,1,Override!$C$11:$C$40,"MXAU"),Override!$C$162)/AS51!$B$3,"")))</f>
        <v/>
      </c>
      <c r="G127" s="140">
        <f>IF(G$13="","",IF($B127="","",IFERROR($C127*$D127*IF((Override!$C$4="ON")*(COUNTIFS(Override!$B$11:$B$40,$B127,Override!$D$11:$D$40,2,Override!$E$11:$E$40,"&gt;=0")-COUNTIFS(Override!$B$11:$B$40,$B127,Override!$D$11:$D$40,2,Override!$E$11:$E$40,"&gt;=0",Override!$C$11:$C$40,"MXAU"))&gt;0,SUMIFS(Override!$E$11:$E$40,Override!$B$11:$B$40,$B127,Override!$D$11:$D$40,2)-SUMIFS(Override!$E$11:$E$40,Override!$B$11:$B$40,$B127,Override!$D$11:$D$40,2,Override!$C$11:$C$40,"MXAU"),Override!$D$162)/AS51!$B$3,"")))</f>
        <v/>
      </c>
      <c r="H127" s="140">
        <f>IF(H$13="","",IF($B127="","",IFERROR($C127*$D127*IF((Override!$C$4="ON")*(COUNTIFS(Override!$B$11:$B$40,$B127,Override!$D$11:$D$40,3,Override!$E$11:$E$40,"&gt;=0")-COUNTIFS(Override!$B$11:$B$40,$B127,Override!$D$11:$D$40,3,Override!$E$11:$E$40,"&gt;=0",Override!$C$11:$C$40,"MXAU"))&gt;0,SUMIFS(Override!$E$11:$E$40,Override!$B$11:$B$40,$B127,Override!$D$11:$D$40,3)-SUMIFS(Override!$E$11:$E$40,Override!$B$11:$B$40,$B127,Override!$D$11:$D$40,3,Override!$C$11:$C$40,"MXAU"),Override!$E$162)/AS51!$B$3,"")))</f>
        <v/>
      </c>
      <c r="I127" s="140">
        <f>IF(I$13="","",IF($B127="","",IFERROR($C127*$D127*IF((Override!$C$4="ON")*(COUNTIFS(Override!$B$11:$B$40,$B127,Override!$D$11:$D$40,4,Override!$E$11:$E$40,"&gt;=0")-COUNTIFS(Override!$B$11:$B$40,$B127,Override!$D$11:$D$40,4,Override!$E$11:$E$40,"&gt;=0",Override!$C$11:$C$40,"MXAU"))&gt;0,SUMIFS(Override!$E$11:$E$40,Override!$B$11:$B$40,$B127,Override!$D$11:$D$40,4)-SUMIFS(Override!$E$11:$E$40,Override!$B$11:$B$40,$B127,Override!$D$11:$D$40,4,Override!$C$11:$C$40,"MXAU"),Override!$F$162)/AS51!$B$3,"")))</f>
        <v/>
      </c>
      <c r="J127" s="140">
        <f>IF(J$13="","",IF($B127="","",IFERROR($C127*$D127*IF((Override!$C$4="ON")*(COUNTIFS(Override!$B$11:$B$40,$B127,Override!$D$11:$D$40,5,Override!$E$11:$E$40,"&gt;=0")-COUNTIFS(Override!$B$11:$B$40,$B127,Override!$D$11:$D$40,5,Override!$E$11:$E$40,"&gt;=0",Override!$C$11:$C$40,"MXAU"))&gt;0,SUMIFS(Override!$E$11:$E$40,Override!$B$11:$B$40,$B127,Override!$D$11:$D$40,5)-SUMIFS(Override!$E$11:$E$40,Override!$B$11:$B$40,$B127,Override!$D$11:$D$40,5,Override!$C$11:$C$40,"MXAU"),Override!$G$162)/AS51!$B$3,"")))</f>
        <v/>
      </c>
      <c r="K127" s="140">
        <f>IF(K$13="","",IF($B127="","",IFERROR($C127*$D127*IF((Override!$C$4="ON")*(COUNTIFS(Override!$B$11:$B$40,$B127,Override!$D$11:$D$40,6,Override!$E$11:$E$40,"&gt;=0")-COUNTIFS(Override!$B$11:$B$40,$B127,Override!$D$11:$D$40,6,Override!$E$11:$E$40,"&gt;=0",Override!$C$11:$C$40,"MXAU"))&gt;0,SUMIFS(Override!$E$11:$E$40,Override!$B$11:$B$40,$B127,Override!$D$11:$D$40,6)-SUMIFS(Override!$E$11:$E$40,Override!$B$11:$B$40,$B127,Override!$D$11:$D$40,6,Override!$C$11:$C$40,"MXAU"),Override!$H$162)/AS51!$B$3,"")))</f>
        <v/>
      </c>
      <c r="L127" s="140">
        <f>IF(L$13="","",IF($B127="","",IFERROR($C127*$D127*IF((Override!$C$4="ON")*(COUNTIFS(Override!$B$11:$B$40,$B127,Override!$D$11:$D$40,7,Override!$E$11:$E$40,"&gt;=0")-COUNTIFS(Override!$B$11:$B$40,$B127,Override!$D$11:$D$40,7,Override!$E$11:$E$40,"&gt;=0",Override!$C$11:$C$40,"MXAU"))&gt;0,SUMIFS(Override!$E$11:$E$40,Override!$B$11:$B$40,$B127,Override!$D$11:$D$40,7)-SUMIFS(Override!$E$11:$E$40,Override!$B$11:$B$40,$B127,Override!$D$11:$D$40,7,Override!$C$11:$C$40,"MXAU"),Override!$I$162)/AS51!$B$3,"")))</f>
        <v/>
      </c>
      <c r="M127" s="140">
        <f>IF(M$13="","",IF($B127="","",IFERROR($C127*$D127*IF((Override!$C$4="ON")*(COUNTIFS(Override!$B$11:$B$40,$B127,Override!$D$11:$D$40,8,Override!$E$11:$E$40,"&gt;=0")-COUNTIFS(Override!$B$11:$B$40,$B127,Override!$D$11:$D$40,8,Override!$E$11:$E$40,"&gt;=0",Override!$C$11:$C$40,"MXAU"))&gt;0,SUMIFS(Override!$E$11:$E$40,Override!$B$11:$B$40,$B127,Override!$D$11:$D$40,8)-SUMIFS(Override!$E$11:$E$40,Override!$B$11:$B$40,$B127,Override!$D$11:$D$40,8,Override!$C$11:$C$40,"MXAU"),Override!$J$162)/AS51!$B$3,"")))</f>
        <v/>
      </c>
      <c r="N127" s="140">
        <f>IF(N$13="","",IF($B127="","",IFERROR($C127*$D127*IF((Override!$C$4="ON")*(COUNTIFS(Override!$B$11:$B$40,$B127,Override!$D$11:$D$40,9,Override!$E$11:$E$40,"&gt;=0")-COUNTIFS(Override!$B$11:$B$40,$B127,Override!$D$11:$D$40,9,Override!$E$11:$E$40,"&gt;=0",Override!$C$11:$C$40,"MXAU"))&gt;0,SUMIFS(Override!$E$11:$E$40,Override!$B$11:$B$40,$B127,Override!$D$11:$D$40,9)-SUMIFS(Override!$E$11:$E$40,Override!$B$11:$B$40,$B127,Override!$D$11:$D$40,9,Override!$C$11:$C$40,"MXAU"),Override!$K$162)/AS51!$B$3,"")))</f>
        <v/>
      </c>
      <c r="O127" s="140">
        <f>IF(O$13="","",IF($B127="","",IFERROR($C127*$D127*IF((Override!$C$4="ON")*(COUNTIFS(Override!$B$11:$B$40,$B127,Override!$D$11:$D$40,10,Override!$E$11:$E$40,"&gt;=0")-COUNTIFS(Override!$B$11:$B$40,$B127,Override!$D$11:$D$40,10,Override!$E$11:$E$40,"&gt;=0",Override!$C$11:$C$40,"MXAU"))&gt;0,SUMIFS(Override!$E$11:$E$40,Override!$B$11:$B$40,$B127,Override!$D$11:$D$40,10)-SUMIFS(Override!$E$11:$E$40,Override!$B$11:$B$40,$B127,Override!$D$11:$D$40,10,Override!$C$11:$C$40,"MXAU"),Override!$L$162)/AS51!$B$3,"")))</f>
        <v/>
      </c>
      <c r="P127" s="140">
        <f>IF(P$13="","",IF($B127="","",IFERROR($C127*$D127*IF((Override!$C$4="ON")*(COUNTIFS(Override!$B$11:$B$40,$B127,Override!$D$11:$D$40,11,Override!$E$11:$E$40,"&gt;=0")-COUNTIFS(Override!$B$11:$B$40,$B127,Override!$D$11:$D$40,11,Override!$E$11:$E$40,"&gt;=0",Override!$C$11:$C$40,"MXAU"))&gt;0,SUMIFS(Override!$E$11:$E$40,Override!$B$11:$B$40,$B127,Override!$D$11:$D$40,11)-SUMIFS(Override!$E$11:$E$40,Override!$B$11:$B$40,$B127,Override!$D$11:$D$40,11,Override!$C$11:$C$40,"MXAU"),Override!$M$162)/AS51!$B$3,"")))</f>
        <v/>
      </c>
      <c r="Q127" s="140">
        <f>IF(Q$13="","",IF($B127="","",IFERROR($C127*$D127*IF((Override!$C$4="ON")*(COUNTIFS(Override!$B$11:$B$40,$B127,Override!$D$11:$D$40,12,Override!$E$11:$E$40,"&gt;=0")-COUNTIFS(Override!$B$11:$B$40,$B127,Override!$D$11:$D$40,12,Override!$E$11:$E$40,"&gt;=0",Override!$C$11:$C$40,"MXAU"))&gt;0,SUMIFS(Override!$E$11:$E$40,Override!$B$11:$B$40,$B127,Override!$D$11:$D$40,12)-SUMIFS(Override!$E$11:$E$40,Override!$B$11:$B$40,$B127,Override!$D$11:$D$40,12,Override!$C$11:$C$40,"MXAU"),Override!$N$162)/AS51!$B$3,"")))</f>
        <v/>
      </c>
      <c r="R127" s="140">
        <f>IF(R$13="","",IF($B127="","",IFERROR($C127*$D127*IF((Override!$C$4="ON")*(COUNTIFS(Override!$B$11:$B$40,$B127,Override!$D$11:$D$40,13,Override!$E$11:$E$40,"&gt;=0")-COUNTIFS(Override!$B$11:$B$40,$B127,Override!$D$11:$D$40,13,Override!$E$11:$E$40,"&gt;=0",Override!$C$11:$C$40,"MXAU"))&gt;0,SUMIFS(Override!$E$11:$E$40,Override!$B$11:$B$40,$B127,Override!$D$11:$D$40,13)-SUMIFS(Override!$E$11:$E$40,Override!$B$11:$B$40,$B127,Override!$D$11:$D$40,13,Override!$C$11:$C$40,"MXAU"),Override!$O$162)/AS51!$B$3,"")))</f>
        <v/>
      </c>
      <c r="S127" s="140">
        <f>IF(S$13="","",IF($B127="","",IFERROR($C127*$D127*IF((Override!$C$4="ON")*(COUNTIFS(Override!$B$11:$B$40,$B127,Override!$D$11:$D$40,14,Override!$E$11:$E$40,"&gt;=0")-COUNTIFS(Override!$B$11:$B$40,$B127,Override!$D$11:$D$40,14,Override!$E$11:$E$40,"&gt;=0",Override!$C$11:$C$40,"MXAU"))&gt;0,SUMIFS(Override!$E$11:$E$40,Override!$B$11:$B$40,$B127,Override!$D$11:$D$40,14)-SUMIFS(Override!$E$11:$E$40,Override!$B$11:$B$40,$B127,Override!$D$11:$D$40,14,Override!$C$11:$C$40,"MXAU"),Override!$P$162)/AS51!$B$3,"")))</f>
        <v/>
      </c>
      <c r="T127" s="140">
        <f>IF(T$13="","",IF($B127="","",IFERROR($C127*$D127*IF((Override!$C$4="ON")*(COUNTIFS(Override!$B$11:$B$40,$B127,Override!$D$11:$D$40,15,Override!$E$11:$E$40,"&gt;=0")-COUNTIFS(Override!$B$11:$B$40,$B127,Override!$D$11:$D$40,15,Override!$E$11:$E$40,"&gt;=0",Override!$C$11:$C$40,"MXAU"))&gt;0,SUMIFS(Override!$E$11:$E$40,Override!$B$11:$B$40,$B127,Override!$D$11:$D$40,15)-SUMIFS(Override!$E$11:$E$40,Override!$B$11:$B$40,$B127,Override!$D$11:$D$40,15,Override!$C$11:$C$40,"MXAU"),Override!$Q$162)/AS51!$B$3,"")))</f>
        <v/>
      </c>
      <c r="U127" s="140">
        <f>IF(U$13="","",IF($B127="","",IFERROR($C127*$D127*IF((Override!$C$4="ON")*(COUNTIFS(Override!$B$11:$B$40,$B127,Override!$D$11:$D$40,16,Override!$E$11:$E$40,"&gt;=0")-COUNTIFS(Override!$B$11:$B$40,$B127,Override!$D$11:$D$40,16,Override!$E$11:$E$40,"&gt;=0",Override!$C$11:$C$40,"MXAU"))&gt;0,SUMIFS(Override!$E$11:$E$40,Override!$B$11:$B$40,$B127,Override!$D$11:$D$40,16)-SUMIFS(Override!$E$11:$E$40,Override!$B$11:$B$40,$B127,Override!$D$11:$D$40,16,Override!$C$11:$C$40,"MXAU"),Override!$R$162)/AS51!$B$3,"")))</f>
        <v/>
      </c>
      <c r="W127" s="140">
        <f>IF(W$13="","",IF($B127="","",IFERROR(F127*$E127/100,"")))</f>
        <v/>
      </c>
      <c r="X127" s="140">
        <f>IF(X$13="","",IF($B127="","",IFERROR(G127*$E127/100,"")))</f>
        <v/>
      </c>
      <c r="Y127" s="140">
        <f>IF(Y$13="","",IF($B127="","",IFERROR(H127*$E127/100,"")))</f>
        <v/>
      </c>
      <c r="Z127" s="140">
        <f>IF(Z$13="","",IF($B127="","",IFERROR(I127*$E127/100,"")))</f>
        <v/>
      </c>
      <c r="AA127" s="140">
        <f>IF(AA$13="","",IF($B127="","",IFERROR(J127*$E127/100,"")))</f>
        <v/>
      </c>
      <c r="AB127" s="140">
        <f>IF(AB$13="","",IF($B127="","",IFERROR(K127*$E127/100,"")))</f>
        <v/>
      </c>
      <c r="AC127" s="140">
        <f>IF(AC$13="","",IF($B127="","",IFERROR(L127*$E127/100,"")))</f>
        <v/>
      </c>
      <c r="AD127" s="140">
        <f>IF(AD$13="","",IF($B127="","",IFERROR(M127*$E127/100,"")))</f>
        <v/>
      </c>
      <c r="AE127" s="140">
        <f>IF(AE$13="","",IF($B127="","",IFERROR(N127*$E127/100,"")))</f>
        <v/>
      </c>
      <c r="AF127" s="140">
        <f>IF(AF$13="","",IF($B127="","",IFERROR(O127*$E127/100,"")))</f>
        <v/>
      </c>
      <c r="AG127" s="140">
        <f>IF(AG$13="","",IF($B127="","",IFERROR(P127*$E127/100,"")))</f>
        <v/>
      </c>
      <c r="AH127" s="140">
        <f>IF(AH$13="","",IF($B127="","",IFERROR(Q127*$E127/100,"")))</f>
        <v/>
      </c>
      <c r="AI127" s="140">
        <f>IF(AI$13="","",IF($B127="","",IFERROR(R127*$E127/100,"")))</f>
        <v/>
      </c>
      <c r="AJ127" s="140">
        <f>IF(AJ$13="","",IF($B127="","",IFERROR(S127*$E127/100,"")))</f>
        <v/>
      </c>
      <c r="AK127" s="140">
        <f>IF(AK$13="","",IF($B127="","",IFERROR(T127*$E127/100,"")))</f>
        <v/>
      </c>
      <c r="AL127" s="140">
        <f>IF(AL$13="","",IF($B127="","",IFERROR(U127*$E127/100,"")))</f>
        <v/>
      </c>
      <c r="AN127" s="140">
        <f>IF($B127="","",SUMIF($F$13:$U$13,"&lt;="&amp;Sector!$D$51,$F127:$U127))</f>
        <v/>
      </c>
      <c r="AO127" s="140">
        <f>IF($B127="","",SUMIF($W$13:$AL$13,"&lt;="&amp;Sector!$D$51,$W127:$AL127))</f>
        <v/>
      </c>
    </row>
    <row r="128">
      <c r="B128" s="5">
        <f>IF(AS51!$C$118="","",AS51!$C$118)</f>
        <v/>
      </c>
      <c r="C128" s="90">
        <f>IF(AS51!$B$118="","",AS51!$B$118)</f>
        <v/>
      </c>
      <c r="D128" s="138">
        <f>IFERROR(AS51!$Q$118,1)</f>
        <v/>
      </c>
      <c r="E128" s="139">
        <f>IF($B128="","",IF(ISNUMBER(AS51!$I$118),AS51!$I$118,'Index Summary'!$C$7))</f>
        <v/>
      </c>
      <c r="F128" s="140">
        <f>IF(F$13="","",IF($B128="","",IFERROR($C128*$D128*IF((Override!$C$4="ON")*(COUNTIFS(Override!$B$11:$B$40,$B128,Override!$D$11:$D$40,1,Override!$E$11:$E$40,"&gt;=0")-COUNTIFS(Override!$B$11:$B$40,$B128,Override!$D$11:$D$40,1,Override!$E$11:$E$40,"&gt;=0",Override!$C$11:$C$40,"MXAU"))&gt;0,SUMIFS(Override!$E$11:$E$40,Override!$B$11:$B$40,$B128,Override!$D$11:$D$40,1)-SUMIFS(Override!$E$11:$E$40,Override!$B$11:$B$40,$B128,Override!$D$11:$D$40,1,Override!$C$11:$C$40,"MXAU"),Override!$C$163)/AS51!$B$3,"")))</f>
        <v/>
      </c>
      <c r="G128" s="140">
        <f>IF(G$13="","",IF($B128="","",IFERROR($C128*$D128*IF((Override!$C$4="ON")*(COUNTIFS(Override!$B$11:$B$40,$B128,Override!$D$11:$D$40,2,Override!$E$11:$E$40,"&gt;=0")-COUNTIFS(Override!$B$11:$B$40,$B128,Override!$D$11:$D$40,2,Override!$E$11:$E$40,"&gt;=0",Override!$C$11:$C$40,"MXAU"))&gt;0,SUMIFS(Override!$E$11:$E$40,Override!$B$11:$B$40,$B128,Override!$D$11:$D$40,2)-SUMIFS(Override!$E$11:$E$40,Override!$B$11:$B$40,$B128,Override!$D$11:$D$40,2,Override!$C$11:$C$40,"MXAU"),Override!$D$163)/AS51!$B$3,"")))</f>
        <v/>
      </c>
      <c r="H128" s="140">
        <f>IF(H$13="","",IF($B128="","",IFERROR($C128*$D128*IF((Override!$C$4="ON")*(COUNTIFS(Override!$B$11:$B$40,$B128,Override!$D$11:$D$40,3,Override!$E$11:$E$40,"&gt;=0")-COUNTIFS(Override!$B$11:$B$40,$B128,Override!$D$11:$D$40,3,Override!$E$11:$E$40,"&gt;=0",Override!$C$11:$C$40,"MXAU"))&gt;0,SUMIFS(Override!$E$11:$E$40,Override!$B$11:$B$40,$B128,Override!$D$11:$D$40,3)-SUMIFS(Override!$E$11:$E$40,Override!$B$11:$B$40,$B128,Override!$D$11:$D$40,3,Override!$C$11:$C$40,"MXAU"),Override!$E$163)/AS51!$B$3,"")))</f>
        <v/>
      </c>
      <c r="I128" s="140">
        <f>IF(I$13="","",IF($B128="","",IFERROR($C128*$D128*IF((Override!$C$4="ON")*(COUNTIFS(Override!$B$11:$B$40,$B128,Override!$D$11:$D$40,4,Override!$E$11:$E$40,"&gt;=0")-COUNTIFS(Override!$B$11:$B$40,$B128,Override!$D$11:$D$40,4,Override!$E$11:$E$40,"&gt;=0",Override!$C$11:$C$40,"MXAU"))&gt;0,SUMIFS(Override!$E$11:$E$40,Override!$B$11:$B$40,$B128,Override!$D$11:$D$40,4)-SUMIFS(Override!$E$11:$E$40,Override!$B$11:$B$40,$B128,Override!$D$11:$D$40,4,Override!$C$11:$C$40,"MXAU"),Override!$F$163)/AS51!$B$3,"")))</f>
        <v/>
      </c>
      <c r="J128" s="140">
        <f>IF(J$13="","",IF($B128="","",IFERROR($C128*$D128*IF((Override!$C$4="ON")*(COUNTIFS(Override!$B$11:$B$40,$B128,Override!$D$11:$D$40,5,Override!$E$11:$E$40,"&gt;=0")-COUNTIFS(Override!$B$11:$B$40,$B128,Override!$D$11:$D$40,5,Override!$E$11:$E$40,"&gt;=0",Override!$C$11:$C$40,"MXAU"))&gt;0,SUMIFS(Override!$E$11:$E$40,Override!$B$11:$B$40,$B128,Override!$D$11:$D$40,5)-SUMIFS(Override!$E$11:$E$40,Override!$B$11:$B$40,$B128,Override!$D$11:$D$40,5,Override!$C$11:$C$40,"MXAU"),Override!$G$163)/AS51!$B$3,"")))</f>
        <v/>
      </c>
      <c r="K128" s="140">
        <f>IF(K$13="","",IF($B128="","",IFERROR($C128*$D128*IF((Override!$C$4="ON")*(COUNTIFS(Override!$B$11:$B$40,$B128,Override!$D$11:$D$40,6,Override!$E$11:$E$40,"&gt;=0")-COUNTIFS(Override!$B$11:$B$40,$B128,Override!$D$11:$D$40,6,Override!$E$11:$E$40,"&gt;=0",Override!$C$11:$C$40,"MXAU"))&gt;0,SUMIFS(Override!$E$11:$E$40,Override!$B$11:$B$40,$B128,Override!$D$11:$D$40,6)-SUMIFS(Override!$E$11:$E$40,Override!$B$11:$B$40,$B128,Override!$D$11:$D$40,6,Override!$C$11:$C$40,"MXAU"),Override!$H$163)/AS51!$B$3,"")))</f>
        <v/>
      </c>
      <c r="L128" s="140">
        <f>IF(L$13="","",IF($B128="","",IFERROR($C128*$D128*IF((Override!$C$4="ON")*(COUNTIFS(Override!$B$11:$B$40,$B128,Override!$D$11:$D$40,7,Override!$E$11:$E$40,"&gt;=0")-COUNTIFS(Override!$B$11:$B$40,$B128,Override!$D$11:$D$40,7,Override!$E$11:$E$40,"&gt;=0",Override!$C$11:$C$40,"MXAU"))&gt;0,SUMIFS(Override!$E$11:$E$40,Override!$B$11:$B$40,$B128,Override!$D$11:$D$40,7)-SUMIFS(Override!$E$11:$E$40,Override!$B$11:$B$40,$B128,Override!$D$11:$D$40,7,Override!$C$11:$C$40,"MXAU"),Override!$I$163)/AS51!$B$3,"")))</f>
        <v/>
      </c>
      <c r="M128" s="140">
        <f>IF(M$13="","",IF($B128="","",IFERROR($C128*$D128*IF((Override!$C$4="ON")*(COUNTIFS(Override!$B$11:$B$40,$B128,Override!$D$11:$D$40,8,Override!$E$11:$E$40,"&gt;=0")-COUNTIFS(Override!$B$11:$B$40,$B128,Override!$D$11:$D$40,8,Override!$E$11:$E$40,"&gt;=0",Override!$C$11:$C$40,"MXAU"))&gt;0,SUMIFS(Override!$E$11:$E$40,Override!$B$11:$B$40,$B128,Override!$D$11:$D$40,8)-SUMIFS(Override!$E$11:$E$40,Override!$B$11:$B$40,$B128,Override!$D$11:$D$40,8,Override!$C$11:$C$40,"MXAU"),Override!$J$163)/AS51!$B$3,"")))</f>
        <v/>
      </c>
      <c r="N128" s="140">
        <f>IF(N$13="","",IF($B128="","",IFERROR($C128*$D128*IF((Override!$C$4="ON")*(COUNTIFS(Override!$B$11:$B$40,$B128,Override!$D$11:$D$40,9,Override!$E$11:$E$40,"&gt;=0")-COUNTIFS(Override!$B$11:$B$40,$B128,Override!$D$11:$D$40,9,Override!$E$11:$E$40,"&gt;=0",Override!$C$11:$C$40,"MXAU"))&gt;0,SUMIFS(Override!$E$11:$E$40,Override!$B$11:$B$40,$B128,Override!$D$11:$D$40,9)-SUMIFS(Override!$E$11:$E$40,Override!$B$11:$B$40,$B128,Override!$D$11:$D$40,9,Override!$C$11:$C$40,"MXAU"),Override!$K$163)/AS51!$B$3,"")))</f>
        <v/>
      </c>
      <c r="O128" s="140">
        <f>IF(O$13="","",IF($B128="","",IFERROR($C128*$D128*IF((Override!$C$4="ON")*(COUNTIFS(Override!$B$11:$B$40,$B128,Override!$D$11:$D$40,10,Override!$E$11:$E$40,"&gt;=0")-COUNTIFS(Override!$B$11:$B$40,$B128,Override!$D$11:$D$40,10,Override!$E$11:$E$40,"&gt;=0",Override!$C$11:$C$40,"MXAU"))&gt;0,SUMIFS(Override!$E$11:$E$40,Override!$B$11:$B$40,$B128,Override!$D$11:$D$40,10)-SUMIFS(Override!$E$11:$E$40,Override!$B$11:$B$40,$B128,Override!$D$11:$D$40,10,Override!$C$11:$C$40,"MXAU"),Override!$L$163)/AS51!$B$3,"")))</f>
        <v/>
      </c>
      <c r="P128" s="140">
        <f>IF(P$13="","",IF($B128="","",IFERROR($C128*$D128*IF((Override!$C$4="ON")*(COUNTIFS(Override!$B$11:$B$40,$B128,Override!$D$11:$D$40,11,Override!$E$11:$E$40,"&gt;=0")-COUNTIFS(Override!$B$11:$B$40,$B128,Override!$D$11:$D$40,11,Override!$E$11:$E$40,"&gt;=0",Override!$C$11:$C$40,"MXAU"))&gt;0,SUMIFS(Override!$E$11:$E$40,Override!$B$11:$B$40,$B128,Override!$D$11:$D$40,11)-SUMIFS(Override!$E$11:$E$40,Override!$B$11:$B$40,$B128,Override!$D$11:$D$40,11,Override!$C$11:$C$40,"MXAU"),Override!$M$163)/AS51!$B$3,"")))</f>
        <v/>
      </c>
      <c r="Q128" s="140">
        <f>IF(Q$13="","",IF($B128="","",IFERROR($C128*$D128*IF((Override!$C$4="ON")*(COUNTIFS(Override!$B$11:$B$40,$B128,Override!$D$11:$D$40,12,Override!$E$11:$E$40,"&gt;=0")-COUNTIFS(Override!$B$11:$B$40,$B128,Override!$D$11:$D$40,12,Override!$E$11:$E$40,"&gt;=0",Override!$C$11:$C$40,"MXAU"))&gt;0,SUMIFS(Override!$E$11:$E$40,Override!$B$11:$B$40,$B128,Override!$D$11:$D$40,12)-SUMIFS(Override!$E$11:$E$40,Override!$B$11:$B$40,$B128,Override!$D$11:$D$40,12,Override!$C$11:$C$40,"MXAU"),Override!$N$163)/AS51!$B$3,"")))</f>
        <v/>
      </c>
      <c r="R128" s="140">
        <f>IF(R$13="","",IF($B128="","",IFERROR($C128*$D128*IF((Override!$C$4="ON")*(COUNTIFS(Override!$B$11:$B$40,$B128,Override!$D$11:$D$40,13,Override!$E$11:$E$40,"&gt;=0")-COUNTIFS(Override!$B$11:$B$40,$B128,Override!$D$11:$D$40,13,Override!$E$11:$E$40,"&gt;=0",Override!$C$11:$C$40,"MXAU"))&gt;0,SUMIFS(Override!$E$11:$E$40,Override!$B$11:$B$40,$B128,Override!$D$11:$D$40,13)-SUMIFS(Override!$E$11:$E$40,Override!$B$11:$B$40,$B128,Override!$D$11:$D$40,13,Override!$C$11:$C$40,"MXAU"),Override!$O$163)/AS51!$B$3,"")))</f>
        <v/>
      </c>
      <c r="S128" s="140">
        <f>IF(S$13="","",IF($B128="","",IFERROR($C128*$D128*IF((Override!$C$4="ON")*(COUNTIFS(Override!$B$11:$B$40,$B128,Override!$D$11:$D$40,14,Override!$E$11:$E$40,"&gt;=0")-COUNTIFS(Override!$B$11:$B$40,$B128,Override!$D$11:$D$40,14,Override!$E$11:$E$40,"&gt;=0",Override!$C$11:$C$40,"MXAU"))&gt;0,SUMIFS(Override!$E$11:$E$40,Override!$B$11:$B$40,$B128,Override!$D$11:$D$40,14)-SUMIFS(Override!$E$11:$E$40,Override!$B$11:$B$40,$B128,Override!$D$11:$D$40,14,Override!$C$11:$C$40,"MXAU"),Override!$P$163)/AS51!$B$3,"")))</f>
        <v/>
      </c>
      <c r="T128" s="140">
        <f>IF(T$13="","",IF($B128="","",IFERROR($C128*$D128*IF((Override!$C$4="ON")*(COUNTIFS(Override!$B$11:$B$40,$B128,Override!$D$11:$D$40,15,Override!$E$11:$E$40,"&gt;=0")-COUNTIFS(Override!$B$11:$B$40,$B128,Override!$D$11:$D$40,15,Override!$E$11:$E$40,"&gt;=0",Override!$C$11:$C$40,"MXAU"))&gt;0,SUMIFS(Override!$E$11:$E$40,Override!$B$11:$B$40,$B128,Override!$D$11:$D$40,15)-SUMIFS(Override!$E$11:$E$40,Override!$B$11:$B$40,$B128,Override!$D$11:$D$40,15,Override!$C$11:$C$40,"MXAU"),Override!$Q$163)/AS51!$B$3,"")))</f>
        <v/>
      </c>
      <c r="U128" s="140">
        <f>IF(U$13="","",IF($B128="","",IFERROR($C128*$D128*IF((Override!$C$4="ON")*(COUNTIFS(Override!$B$11:$B$40,$B128,Override!$D$11:$D$40,16,Override!$E$11:$E$40,"&gt;=0")-COUNTIFS(Override!$B$11:$B$40,$B128,Override!$D$11:$D$40,16,Override!$E$11:$E$40,"&gt;=0",Override!$C$11:$C$40,"MXAU"))&gt;0,SUMIFS(Override!$E$11:$E$40,Override!$B$11:$B$40,$B128,Override!$D$11:$D$40,16)-SUMIFS(Override!$E$11:$E$40,Override!$B$11:$B$40,$B128,Override!$D$11:$D$40,16,Override!$C$11:$C$40,"MXAU"),Override!$R$163)/AS51!$B$3,"")))</f>
        <v/>
      </c>
      <c r="W128" s="140">
        <f>IF(W$13="","",IF($B128="","",IFERROR(F128*$E128/100,"")))</f>
        <v/>
      </c>
      <c r="X128" s="140">
        <f>IF(X$13="","",IF($B128="","",IFERROR(G128*$E128/100,"")))</f>
        <v/>
      </c>
      <c r="Y128" s="140">
        <f>IF(Y$13="","",IF($B128="","",IFERROR(H128*$E128/100,"")))</f>
        <v/>
      </c>
      <c r="Z128" s="140">
        <f>IF(Z$13="","",IF($B128="","",IFERROR(I128*$E128/100,"")))</f>
        <v/>
      </c>
      <c r="AA128" s="140">
        <f>IF(AA$13="","",IF($B128="","",IFERROR(J128*$E128/100,"")))</f>
        <v/>
      </c>
      <c r="AB128" s="140">
        <f>IF(AB$13="","",IF($B128="","",IFERROR(K128*$E128/100,"")))</f>
        <v/>
      </c>
      <c r="AC128" s="140">
        <f>IF(AC$13="","",IF($B128="","",IFERROR(L128*$E128/100,"")))</f>
        <v/>
      </c>
      <c r="AD128" s="140">
        <f>IF(AD$13="","",IF($B128="","",IFERROR(M128*$E128/100,"")))</f>
        <v/>
      </c>
      <c r="AE128" s="140">
        <f>IF(AE$13="","",IF($B128="","",IFERROR(N128*$E128/100,"")))</f>
        <v/>
      </c>
      <c r="AF128" s="140">
        <f>IF(AF$13="","",IF($B128="","",IFERROR(O128*$E128/100,"")))</f>
        <v/>
      </c>
      <c r="AG128" s="140">
        <f>IF(AG$13="","",IF($B128="","",IFERROR(P128*$E128/100,"")))</f>
        <v/>
      </c>
      <c r="AH128" s="140">
        <f>IF(AH$13="","",IF($B128="","",IFERROR(Q128*$E128/100,"")))</f>
        <v/>
      </c>
      <c r="AI128" s="140">
        <f>IF(AI$13="","",IF($B128="","",IFERROR(R128*$E128/100,"")))</f>
        <v/>
      </c>
      <c r="AJ128" s="140">
        <f>IF(AJ$13="","",IF($B128="","",IFERROR(S128*$E128/100,"")))</f>
        <v/>
      </c>
      <c r="AK128" s="140">
        <f>IF(AK$13="","",IF($B128="","",IFERROR(T128*$E128/100,"")))</f>
        <v/>
      </c>
      <c r="AL128" s="140">
        <f>IF(AL$13="","",IF($B128="","",IFERROR(U128*$E128/100,"")))</f>
        <v/>
      </c>
      <c r="AN128" s="140">
        <f>IF($B128="","",SUMIF($F$13:$U$13,"&lt;="&amp;Sector!$D$51,$F128:$U128))</f>
        <v/>
      </c>
      <c r="AO128" s="140">
        <f>IF($B128="","",SUMIF($W$13:$AL$13,"&lt;="&amp;Sector!$D$51,$W128:$AL128))</f>
        <v/>
      </c>
    </row>
    <row r="129">
      <c r="B129" s="5">
        <f>IF(AS51!$C$119="","",AS51!$C$119)</f>
        <v/>
      </c>
      <c r="C129" s="90">
        <f>IF(AS51!$B$119="","",AS51!$B$119)</f>
        <v/>
      </c>
      <c r="D129" s="138">
        <f>IFERROR(AS51!$Q$119,1)</f>
        <v/>
      </c>
      <c r="E129" s="139">
        <f>IF($B129="","",IF(ISNUMBER(AS51!$I$119),AS51!$I$119,'Index Summary'!$C$7))</f>
        <v/>
      </c>
      <c r="F129" s="140">
        <f>IF(F$13="","",IF($B129="","",IFERROR($C129*$D129*IF((Override!$C$4="ON")*(COUNTIFS(Override!$B$11:$B$40,$B129,Override!$D$11:$D$40,1,Override!$E$11:$E$40,"&gt;=0")-COUNTIFS(Override!$B$11:$B$40,$B129,Override!$D$11:$D$40,1,Override!$E$11:$E$40,"&gt;=0",Override!$C$11:$C$40,"MXAU"))&gt;0,SUMIFS(Override!$E$11:$E$40,Override!$B$11:$B$40,$B129,Override!$D$11:$D$40,1)-SUMIFS(Override!$E$11:$E$40,Override!$B$11:$B$40,$B129,Override!$D$11:$D$40,1,Override!$C$11:$C$40,"MXAU"),Override!$C$164)/AS51!$B$3,"")))</f>
        <v/>
      </c>
      <c r="G129" s="140">
        <f>IF(G$13="","",IF($B129="","",IFERROR($C129*$D129*IF((Override!$C$4="ON")*(COUNTIFS(Override!$B$11:$B$40,$B129,Override!$D$11:$D$40,2,Override!$E$11:$E$40,"&gt;=0")-COUNTIFS(Override!$B$11:$B$40,$B129,Override!$D$11:$D$40,2,Override!$E$11:$E$40,"&gt;=0",Override!$C$11:$C$40,"MXAU"))&gt;0,SUMIFS(Override!$E$11:$E$40,Override!$B$11:$B$40,$B129,Override!$D$11:$D$40,2)-SUMIFS(Override!$E$11:$E$40,Override!$B$11:$B$40,$B129,Override!$D$11:$D$40,2,Override!$C$11:$C$40,"MXAU"),Override!$D$164)/AS51!$B$3,"")))</f>
        <v/>
      </c>
      <c r="H129" s="140">
        <f>IF(H$13="","",IF($B129="","",IFERROR($C129*$D129*IF((Override!$C$4="ON")*(COUNTIFS(Override!$B$11:$B$40,$B129,Override!$D$11:$D$40,3,Override!$E$11:$E$40,"&gt;=0")-COUNTIFS(Override!$B$11:$B$40,$B129,Override!$D$11:$D$40,3,Override!$E$11:$E$40,"&gt;=0",Override!$C$11:$C$40,"MXAU"))&gt;0,SUMIFS(Override!$E$11:$E$40,Override!$B$11:$B$40,$B129,Override!$D$11:$D$40,3)-SUMIFS(Override!$E$11:$E$40,Override!$B$11:$B$40,$B129,Override!$D$11:$D$40,3,Override!$C$11:$C$40,"MXAU"),Override!$E$164)/AS51!$B$3,"")))</f>
        <v/>
      </c>
      <c r="I129" s="140">
        <f>IF(I$13="","",IF($B129="","",IFERROR($C129*$D129*IF((Override!$C$4="ON")*(COUNTIFS(Override!$B$11:$B$40,$B129,Override!$D$11:$D$40,4,Override!$E$11:$E$40,"&gt;=0")-COUNTIFS(Override!$B$11:$B$40,$B129,Override!$D$11:$D$40,4,Override!$E$11:$E$40,"&gt;=0",Override!$C$11:$C$40,"MXAU"))&gt;0,SUMIFS(Override!$E$11:$E$40,Override!$B$11:$B$40,$B129,Override!$D$11:$D$40,4)-SUMIFS(Override!$E$11:$E$40,Override!$B$11:$B$40,$B129,Override!$D$11:$D$40,4,Override!$C$11:$C$40,"MXAU"),Override!$F$164)/AS51!$B$3,"")))</f>
        <v/>
      </c>
      <c r="J129" s="140">
        <f>IF(J$13="","",IF($B129="","",IFERROR($C129*$D129*IF((Override!$C$4="ON")*(COUNTIFS(Override!$B$11:$B$40,$B129,Override!$D$11:$D$40,5,Override!$E$11:$E$40,"&gt;=0")-COUNTIFS(Override!$B$11:$B$40,$B129,Override!$D$11:$D$40,5,Override!$E$11:$E$40,"&gt;=0",Override!$C$11:$C$40,"MXAU"))&gt;0,SUMIFS(Override!$E$11:$E$40,Override!$B$11:$B$40,$B129,Override!$D$11:$D$40,5)-SUMIFS(Override!$E$11:$E$40,Override!$B$11:$B$40,$B129,Override!$D$11:$D$40,5,Override!$C$11:$C$40,"MXAU"),Override!$G$164)/AS51!$B$3,"")))</f>
        <v/>
      </c>
      <c r="K129" s="140">
        <f>IF(K$13="","",IF($B129="","",IFERROR($C129*$D129*IF((Override!$C$4="ON")*(COUNTIFS(Override!$B$11:$B$40,$B129,Override!$D$11:$D$40,6,Override!$E$11:$E$40,"&gt;=0")-COUNTIFS(Override!$B$11:$B$40,$B129,Override!$D$11:$D$40,6,Override!$E$11:$E$40,"&gt;=0",Override!$C$11:$C$40,"MXAU"))&gt;0,SUMIFS(Override!$E$11:$E$40,Override!$B$11:$B$40,$B129,Override!$D$11:$D$40,6)-SUMIFS(Override!$E$11:$E$40,Override!$B$11:$B$40,$B129,Override!$D$11:$D$40,6,Override!$C$11:$C$40,"MXAU"),Override!$H$164)/AS51!$B$3,"")))</f>
        <v/>
      </c>
      <c r="L129" s="140">
        <f>IF(L$13="","",IF($B129="","",IFERROR($C129*$D129*IF((Override!$C$4="ON")*(COUNTIFS(Override!$B$11:$B$40,$B129,Override!$D$11:$D$40,7,Override!$E$11:$E$40,"&gt;=0")-COUNTIFS(Override!$B$11:$B$40,$B129,Override!$D$11:$D$40,7,Override!$E$11:$E$40,"&gt;=0",Override!$C$11:$C$40,"MXAU"))&gt;0,SUMIFS(Override!$E$11:$E$40,Override!$B$11:$B$40,$B129,Override!$D$11:$D$40,7)-SUMIFS(Override!$E$11:$E$40,Override!$B$11:$B$40,$B129,Override!$D$11:$D$40,7,Override!$C$11:$C$40,"MXAU"),Override!$I$164)/AS51!$B$3,"")))</f>
        <v/>
      </c>
      <c r="M129" s="140">
        <f>IF(M$13="","",IF($B129="","",IFERROR($C129*$D129*IF((Override!$C$4="ON")*(COUNTIFS(Override!$B$11:$B$40,$B129,Override!$D$11:$D$40,8,Override!$E$11:$E$40,"&gt;=0")-COUNTIFS(Override!$B$11:$B$40,$B129,Override!$D$11:$D$40,8,Override!$E$11:$E$40,"&gt;=0",Override!$C$11:$C$40,"MXAU"))&gt;0,SUMIFS(Override!$E$11:$E$40,Override!$B$11:$B$40,$B129,Override!$D$11:$D$40,8)-SUMIFS(Override!$E$11:$E$40,Override!$B$11:$B$40,$B129,Override!$D$11:$D$40,8,Override!$C$11:$C$40,"MXAU"),Override!$J$164)/AS51!$B$3,"")))</f>
        <v/>
      </c>
      <c r="N129" s="140">
        <f>IF(N$13="","",IF($B129="","",IFERROR($C129*$D129*IF((Override!$C$4="ON")*(COUNTIFS(Override!$B$11:$B$40,$B129,Override!$D$11:$D$40,9,Override!$E$11:$E$40,"&gt;=0")-COUNTIFS(Override!$B$11:$B$40,$B129,Override!$D$11:$D$40,9,Override!$E$11:$E$40,"&gt;=0",Override!$C$11:$C$40,"MXAU"))&gt;0,SUMIFS(Override!$E$11:$E$40,Override!$B$11:$B$40,$B129,Override!$D$11:$D$40,9)-SUMIFS(Override!$E$11:$E$40,Override!$B$11:$B$40,$B129,Override!$D$11:$D$40,9,Override!$C$11:$C$40,"MXAU"),Override!$K$164)/AS51!$B$3,"")))</f>
        <v/>
      </c>
      <c r="O129" s="140">
        <f>IF(O$13="","",IF($B129="","",IFERROR($C129*$D129*IF((Override!$C$4="ON")*(COUNTIFS(Override!$B$11:$B$40,$B129,Override!$D$11:$D$40,10,Override!$E$11:$E$40,"&gt;=0")-COUNTIFS(Override!$B$11:$B$40,$B129,Override!$D$11:$D$40,10,Override!$E$11:$E$40,"&gt;=0",Override!$C$11:$C$40,"MXAU"))&gt;0,SUMIFS(Override!$E$11:$E$40,Override!$B$11:$B$40,$B129,Override!$D$11:$D$40,10)-SUMIFS(Override!$E$11:$E$40,Override!$B$11:$B$40,$B129,Override!$D$11:$D$40,10,Override!$C$11:$C$40,"MXAU"),Override!$L$164)/AS51!$B$3,"")))</f>
        <v/>
      </c>
      <c r="P129" s="140">
        <f>IF(P$13="","",IF($B129="","",IFERROR($C129*$D129*IF((Override!$C$4="ON")*(COUNTIFS(Override!$B$11:$B$40,$B129,Override!$D$11:$D$40,11,Override!$E$11:$E$40,"&gt;=0")-COUNTIFS(Override!$B$11:$B$40,$B129,Override!$D$11:$D$40,11,Override!$E$11:$E$40,"&gt;=0",Override!$C$11:$C$40,"MXAU"))&gt;0,SUMIFS(Override!$E$11:$E$40,Override!$B$11:$B$40,$B129,Override!$D$11:$D$40,11)-SUMIFS(Override!$E$11:$E$40,Override!$B$11:$B$40,$B129,Override!$D$11:$D$40,11,Override!$C$11:$C$40,"MXAU"),Override!$M$164)/AS51!$B$3,"")))</f>
        <v/>
      </c>
      <c r="Q129" s="140">
        <f>IF(Q$13="","",IF($B129="","",IFERROR($C129*$D129*IF((Override!$C$4="ON")*(COUNTIFS(Override!$B$11:$B$40,$B129,Override!$D$11:$D$40,12,Override!$E$11:$E$40,"&gt;=0")-COUNTIFS(Override!$B$11:$B$40,$B129,Override!$D$11:$D$40,12,Override!$E$11:$E$40,"&gt;=0",Override!$C$11:$C$40,"MXAU"))&gt;0,SUMIFS(Override!$E$11:$E$40,Override!$B$11:$B$40,$B129,Override!$D$11:$D$40,12)-SUMIFS(Override!$E$11:$E$40,Override!$B$11:$B$40,$B129,Override!$D$11:$D$40,12,Override!$C$11:$C$40,"MXAU"),Override!$N$164)/AS51!$B$3,"")))</f>
        <v/>
      </c>
      <c r="R129" s="140">
        <f>IF(R$13="","",IF($B129="","",IFERROR($C129*$D129*IF((Override!$C$4="ON")*(COUNTIFS(Override!$B$11:$B$40,$B129,Override!$D$11:$D$40,13,Override!$E$11:$E$40,"&gt;=0")-COUNTIFS(Override!$B$11:$B$40,$B129,Override!$D$11:$D$40,13,Override!$E$11:$E$40,"&gt;=0",Override!$C$11:$C$40,"MXAU"))&gt;0,SUMIFS(Override!$E$11:$E$40,Override!$B$11:$B$40,$B129,Override!$D$11:$D$40,13)-SUMIFS(Override!$E$11:$E$40,Override!$B$11:$B$40,$B129,Override!$D$11:$D$40,13,Override!$C$11:$C$40,"MXAU"),Override!$O$164)/AS51!$B$3,"")))</f>
        <v/>
      </c>
      <c r="S129" s="140">
        <f>IF(S$13="","",IF($B129="","",IFERROR($C129*$D129*IF((Override!$C$4="ON")*(COUNTIFS(Override!$B$11:$B$40,$B129,Override!$D$11:$D$40,14,Override!$E$11:$E$40,"&gt;=0")-COUNTIFS(Override!$B$11:$B$40,$B129,Override!$D$11:$D$40,14,Override!$E$11:$E$40,"&gt;=0",Override!$C$11:$C$40,"MXAU"))&gt;0,SUMIFS(Override!$E$11:$E$40,Override!$B$11:$B$40,$B129,Override!$D$11:$D$40,14)-SUMIFS(Override!$E$11:$E$40,Override!$B$11:$B$40,$B129,Override!$D$11:$D$40,14,Override!$C$11:$C$40,"MXAU"),Override!$P$164)/AS51!$B$3,"")))</f>
        <v/>
      </c>
      <c r="T129" s="140">
        <f>IF(T$13="","",IF($B129="","",IFERROR($C129*$D129*IF((Override!$C$4="ON")*(COUNTIFS(Override!$B$11:$B$40,$B129,Override!$D$11:$D$40,15,Override!$E$11:$E$40,"&gt;=0")-COUNTIFS(Override!$B$11:$B$40,$B129,Override!$D$11:$D$40,15,Override!$E$11:$E$40,"&gt;=0",Override!$C$11:$C$40,"MXAU"))&gt;0,SUMIFS(Override!$E$11:$E$40,Override!$B$11:$B$40,$B129,Override!$D$11:$D$40,15)-SUMIFS(Override!$E$11:$E$40,Override!$B$11:$B$40,$B129,Override!$D$11:$D$40,15,Override!$C$11:$C$40,"MXAU"),Override!$Q$164)/AS51!$B$3,"")))</f>
        <v/>
      </c>
      <c r="U129" s="140">
        <f>IF(U$13="","",IF($B129="","",IFERROR($C129*$D129*IF((Override!$C$4="ON")*(COUNTIFS(Override!$B$11:$B$40,$B129,Override!$D$11:$D$40,16,Override!$E$11:$E$40,"&gt;=0")-COUNTIFS(Override!$B$11:$B$40,$B129,Override!$D$11:$D$40,16,Override!$E$11:$E$40,"&gt;=0",Override!$C$11:$C$40,"MXAU"))&gt;0,SUMIFS(Override!$E$11:$E$40,Override!$B$11:$B$40,$B129,Override!$D$11:$D$40,16)-SUMIFS(Override!$E$11:$E$40,Override!$B$11:$B$40,$B129,Override!$D$11:$D$40,16,Override!$C$11:$C$40,"MXAU"),Override!$R$164)/AS51!$B$3,"")))</f>
        <v/>
      </c>
      <c r="W129" s="140">
        <f>IF(W$13="","",IF($B129="","",IFERROR(F129*$E129/100,"")))</f>
        <v/>
      </c>
      <c r="X129" s="140">
        <f>IF(X$13="","",IF($B129="","",IFERROR(G129*$E129/100,"")))</f>
        <v/>
      </c>
      <c r="Y129" s="140">
        <f>IF(Y$13="","",IF($B129="","",IFERROR(H129*$E129/100,"")))</f>
        <v/>
      </c>
      <c r="Z129" s="140">
        <f>IF(Z$13="","",IF($B129="","",IFERROR(I129*$E129/100,"")))</f>
        <v/>
      </c>
      <c r="AA129" s="140">
        <f>IF(AA$13="","",IF($B129="","",IFERROR(J129*$E129/100,"")))</f>
        <v/>
      </c>
      <c r="AB129" s="140">
        <f>IF(AB$13="","",IF($B129="","",IFERROR(K129*$E129/100,"")))</f>
        <v/>
      </c>
      <c r="AC129" s="140">
        <f>IF(AC$13="","",IF($B129="","",IFERROR(L129*$E129/100,"")))</f>
        <v/>
      </c>
      <c r="AD129" s="140">
        <f>IF(AD$13="","",IF($B129="","",IFERROR(M129*$E129/100,"")))</f>
        <v/>
      </c>
      <c r="AE129" s="140">
        <f>IF(AE$13="","",IF($B129="","",IFERROR(N129*$E129/100,"")))</f>
        <v/>
      </c>
      <c r="AF129" s="140">
        <f>IF(AF$13="","",IF($B129="","",IFERROR(O129*$E129/100,"")))</f>
        <v/>
      </c>
      <c r="AG129" s="140">
        <f>IF(AG$13="","",IF($B129="","",IFERROR(P129*$E129/100,"")))</f>
        <v/>
      </c>
      <c r="AH129" s="140">
        <f>IF(AH$13="","",IF($B129="","",IFERROR(Q129*$E129/100,"")))</f>
        <v/>
      </c>
      <c r="AI129" s="140">
        <f>IF(AI$13="","",IF($B129="","",IFERROR(R129*$E129/100,"")))</f>
        <v/>
      </c>
      <c r="AJ129" s="140">
        <f>IF(AJ$13="","",IF($B129="","",IFERROR(S129*$E129/100,"")))</f>
        <v/>
      </c>
      <c r="AK129" s="140">
        <f>IF(AK$13="","",IF($B129="","",IFERROR(T129*$E129/100,"")))</f>
        <v/>
      </c>
      <c r="AL129" s="140">
        <f>IF(AL$13="","",IF($B129="","",IFERROR(U129*$E129/100,"")))</f>
        <v/>
      </c>
      <c r="AN129" s="140">
        <f>IF($B129="","",SUMIF($F$13:$U$13,"&lt;="&amp;Sector!$D$51,$F129:$U129))</f>
        <v/>
      </c>
      <c r="AO129" s="140">
        <f>IF($B129="","",SUMIF($W$13:$AL$13,"&lt;="&amp;Sector!$D$51,$W129:$AL129))</f>
        <v/>
      </c>
    </row>
    <row r="130">
      <c r="B130" s="5">
        <f>IF(AS51!$C$120="","",AS51!$C$120)</f>
        <v/>
      </c>
      <c r="C130" s="90">
        <f>IF(AS51!$B$120="","",AS51!$B$120)</f>
        <v/>
      </c>
      <c r="D130" s="138">
        <f>IFERROR(AS51!$Q$120,1)</f>
        <v/>
      </c>
      <c r="E130" s="139">
        <f>IF($B130="","",IF(ISNUMBER(AS51!$I$120),AS51!$I$120,'Index Summary'!$C$7))</f>
        <v/>
      </c>
      <c r="F130" s="140">
        <f>IF(F$13="","",IF($B130="","",IFERROR($C130*$D130*IF((Override!$C$4="ON")*(COUNTIFS(Override!$B$11:$B$40,$B130,Override!$D$11:$D$40,1,Override!$E$11:$E$40,"&gt;=0")-COUNTIFS(Override!$B$11:$B$40,$B130,Override!$D$11:$D$40,1,Override!$E$11:$E$40,"&gt;=0",Override!$C$11:$C$40,"MXAU"))&gt;0,SUMIFS(Override!$E$11:$E$40,Override!$B$11:$B$40,$B130,Override!$D$11:$D$40,1)-SUMIFS(Override!$E$11:$E$40,Override!$B$11:$B$40,$B130,Override!$D$11:$D$40,1,Override!$C$11:$C$40,"MXAU"),Override!$C$165)/AS51!$B$3,"")))</f>
        <v/>
      </c>
      <c r="G130" s="140">
        <f>IF(G$13="","",IF($B130="","",IFERROR($C130*$D130*IF((Override!$C$4="ON")*(COUNTIFS(Override!$B$11:$B$40,$B130,Override!$D$11:$D$40,2,Override!$E$11:$E$40,"&gt;=0")-COUNTIFS(Override!$B$11:$B$40,$B130,Override!$D$11:$D$40,2,Override!$E$11:$E$40,"&gt;=0",Override!$C$11:$C$40,"MXAU"))&gt;0,SUMIFS(Override!$E$11:$E$40,Override!$B$11:$B$40,$B130,Override!$D$11:$D$40,2)-SUMIFS(Override!$E$11:$E$40,Override!$B$11:$B$40,$B130,Override!$D$11:$D$40,2,Override!$C$11:$C$40,"MXAU"),Override!$D$165)/AS51!$B$3,"")))</f>
        <v/>
      </c>
      <c r="H130" s="140">
        <f>IF(H$13="","",IF($B130="","",IFERROR($C130*$D130*IF((Override!$C$4="ON")*(COUNTIFS(Override!$B$11:$B$40,$B130,Override!$D$11:$D$40,3,Override!$E$11:$E$40,"&gt;=0")-COUNTIFS(Override!$B$11:$B$40,$B130,Override!$D$11:$D$40,3,Override!$E$11:$E$40,"&gt;=0",Override!$C$11:$C$40,"MXAU"))&gt;0,SUMIFS(Override!$E$11:$E$40,Override!$B$11:$B$40,$B130,Override!$D$11:$D$40,3)-SUMIFS(Override!$E$11:$E$40,Override!$B$11:$B$40,$B130,Override!$D$11:$D$40,3,Override!$C$11:$C$40,"MXAU"),Override!$E$165)/AS51!$B$3,"")))</f>
        <v/>
      </c>
      <c r="I130" s="140">
        <f>IF(I$13="","",IF($B130="","",IFERROR($C130*$D130*IF((Override!$C$4="ON")*(COUNTIFS(Override!$B$11:$B$40,$B130,Override!$D$11:$D$40,4,Override!$E$11:$E$40,"&gt;=0")-COUNTIFS(Override!$B$11:$B$40,$B130,Override!$D$11:$D$40,4,Override!$E$11:$E$40,"&gt;=0",Override!$C$11:$C$40,"MXAU"))&gt;0,SUMIFS(Override!$E$11:$E$40,Override!$B$11:$B$40,$B130,Override!$D$11:$D$40,4)-SUMIFS(Override!$E$11:$E$40,Override!$B$11:$B$40,$B130,Override!$D$11:$D$40,4,Override!$C$11:$C$40,"MXAU"),Override!$F$165)/AS51!$B$3,"")))</f>
        <v/>
      </c>
      <c r="J130" s="140">
        <f>IF(J$13="","",IF($B130="","",IFERROR($C130*$D130*IF((Override!$C$4="ON")*(COUNTIFS(Override!$B$11:$B$40,$B130,Override!$D$11:$D$40,5,Override!$E$11:$E$40,"&gt;=0")-COUNTIFS(Override!$B$11:$B$40,$B130,Override!$D$11:$D$40,5,Override!$E$11:$E$40,"&gt;=0",Override!$C$11:$C$40,"MXAU"))&gt;0,SUMIFS(Override!$E$11:$E$40,Override!$B$11:$B$40,$B130,Override!$D$11:$D$40,5)-SUMIFS(Override!$E$11:$E$40,Override!$B$11:$B$40,$B130,Override!$D$11:$D$40,5,Override!$C$11:$C$40,"MXAU"),Override!$G$165)/AS51!$B$3,"")))</f>
        <v/>
      </c>
      <c r="K130" s="140">
        <f>IF(K$13="","",IF($B130="","",IFERROR($C130*$D130*IF((Override!$C$4="ON")*(COUNTIFS(Override!$B$11:$B$40,$B130,Override!$D$11:$D$40,6,Override!$E$11:$E$40,"&gt;=0")-COUNTIFS(Override!$B$11:$B$40,$B130,Override!$D$11:$D$40,6,Override!$E$11:$E$40,"&gt;=0",Override!$C$11:$C$40,"MXAU"))&gt;0,SUMIFS(Override!$E$11:$E$40,Override!$B$11:$B$40,$B130,Override!$D$11:$D$40,6)-SUMIFS(Override!$E$11:$E$40,Override!$B$11:$B$40,$B130,Override!$D$11:$D$40,6,Override!$C$11:$C$40,"MXAU"),Override!$H$165)/AS51!$B$3,"")))</f>
        <v/>
      </c>
      <c r="L130" s="140">
        <f>IF(L$13="","",IF($B130="","",IFERROR($C130*$D130*IF((Override!$C$4="ON")*(COUNTIFS(Override!$B$11:$B$40,$B130,Override!$D$11:$D$40,7,Override!$E$11:$E$40,"&gt;=0")-COUNTIFS(Override!$B$11:$B$40,$B130,Override!$D$11:$D$40,7,Override!$E$11:$E$40,"&gt;=0",Override!$C$11:$C$40,"MXAU"))&gt;0,SUMIFS(Override!$E$11:$E$40,Override!$B$11:$B$40,$B130,Override!$D$11:$D$40,7)-SUMIFS(Override!$E$11:$E$40,Override!$B$11:$B$40,$B130,Override!$D$11:$D$40,7,Override!$C$11:$C$40,"MXAU"),Override!$I$165)/AS51!$B$3,"")))</f>
        <v/>
      </c>
      <c r="M130" s="140">
        <f>IF(M$13="","",IF($B130="","",IFERROR($C130*$D130*IF((Override!$C$4="ON")*(COUNTIFS(Override!$B$11:$B$40,$B130,Override!$D$11:$D$40,8,Override!$E$11:$E$40,"&gt;=0")-COUNTIFS(Override!$B$11:$B$40,$B130,Override!$D$11:$D$40,8,Override!$E$11:$E$40,"&gt;=0",Override!$C$11:$C$40,"MXAU"))&gt;0,SUMIFS(Override!$E$11:$E$40,Override!$B$11:$B$40,$B130,Override!$D$11:$D$40,8)-SUMIFS(Override!$E$11:$E$40,Override!$B$11:$B$40,$B130,Override!$D$11:$D$40,8,Override!$C$11:$C$40,"MXAU"),Override!$J$165)/AS51!$B$3,"")))</f>
        <v/>
      </c>
      <c r="N130" s="140">
        <f>IF(N$13="","",IF($B130="","",IFERROR($C130*$D130*IF((Override!$C$4="ON")*(COUNTIFS(Override!$B$11:$B$40,$B130,Override!$D$11:$D$40,9,Override!$E$11:$E$40,"&gt;=0")-COUNTIFS(Override!$B$11:$B$40,$B130,Override!$D$11:$D$40,9,Override!$E$11:$E$40,"&gt;=0",Override!$C$11:$C$40,"MXAU"))&gt;0,SUMIFS(Override!$E$11:$E$40,Override!$B$11:$B$40,$B130,Override!$D$11:$D$40,9)-SUMIFS(Override!$E$11:$E$40,Override!$B$11:$B$40,$B130,Override!$D$11:$D$40,9,Override!$C$11:$C$40,"MXAU"),Override!$K$165)/AS51!$B$3,"")))</f>
        <v/>
      </c>
      <c r="O130" s="140">
        <f>IF(O$13="","",IF($B130="","",IFERROR($C130*$D130*IF((Override!$C$4="ON")*(COUNTIFS(Override!$B$11:$B$40,$B130,Override!$D$11:$D$40,10,Override!$E$11:$E$40,"&gt;=0")-COUNTIFS(Override!$B$11:$B$40,$B130,Override!$D$11:$D$40,10,Override!$E$11:$E$40,"&gt;=0",Override!$C$11:$C$40,"MXAU"))&gt;0,SUMIFS(Override!$E$11:$E$40,Override!$B$11:$B$40,$B130,Override!$D$11:$D$40,10)-SUMIFS(Override!$E$11:$E$40,Override!$B$11:$B$40,$B130,Override!$D$11:$D$40,10,Override!$C$11:$C$40,"MXAU"),Override!$L$165)/AS51!$B$3,"")))</f>
        <v/>
      </c>
      <c r="P130" s="140">
        <f>IF(P$13="","",IF($B130="","",IFERROR($C130*$D130*IF((Override!$C$4="ON")*(COUNTIFS(Override!$B$11:$B$40,$B130,Override!$D$11:$D$40,11,Override!$E$11:$E$40,"&gt;=0")-COUNTIFS(Override!$B$11:$B$40,$B130,Override!$D$11:$D$40,11,Override!$E$11:$E$40,"&gt;=0",Override!$C$11:$C$40,"MXAU"))&gt;0,SUMIFS(Override!$E$11:$E$40,Override!$B$11:$B$40,$B130,Override!$D$11:$D$40,11)-SUMIFS(Override!$E$11:$E$40,Override!$B$11:$B$40,$B130,Override!$D$11:$D$40,11,Override!$C$11:$C$40,"MXAU"),Override!$M$165)/AS51!$B$3,"")))</f>
        <v/>
      </c>
      <c r="Q130" s="140">
        <f>IF(Q$13="","",IF($B130="","",IFERROR($C130*$D130*IF((Override!$C$4="ON")*(COUNTIFS(Override!$B$11:$B$40,$B130,Override!$D$11:$D$40,12,Override!$E$11:$E$40,"&gt;=0")-COUNTIFS(Override!$B$11:$B$40,$B130,Override!$D$11:$D$40,12,Override!$E$11:$E$40,"&gt;=0",Override!$C$11:$C$40,"MXAU"))&gt;0,SUMIFS(Override!$E$11:$E$40,Override!$B$11:$B$40,$B130,Override!$D$11:$D$40,12)-SUMIFS(Override!$E$11:$E$40,Override!$B$11:$B$40,$B130,Override!$D$11:$D$40,12,Override!$C$11:$C$40,"MXAU"),Override!$N$165)/AS51!$B$3,"")))</f>
        <v/>
      </c>
      <c r="R130" s="140">
        <f>IF(R$13="","",IF($B130="","",IFERROR($C130*$D130*IF((Override!$C$4="ON")*(COUNTIFS(Override!$B$11:$B$40,$B130,Override!$D$11:$D$40,13,Override!$E$11:$E$40,"&gt;=0")-COUNTIFS(Override!$B$11:$B$40,$B130,Override!$D$11:$D$40,13,Override!$E$11:$E$40,"&gt;=0",Override!$C$11:$C$40,"MXAU"))&gt;0,SUMIFS(Override!$E$11:$E$40,Override!$B$11:$B$40,$B130,Override!$D$11:$D$40,13)-SUMIFS(Override!$E$11:$E$40,Override!$B$11:$B$40,$B130,Override!$D$11:$D$40,13,Override!$C$11:$C$40,"MXAU"),Override!$O$165)/AS51!$B$3,"")))</f>
        <v/>
      </c>
      <c r="S130" s="140">
        <f>IF(S$13="","",IF($B130="","",IFERROR($C130*$D130*IF((Override!$C$4="ON")*(COUNTIFS(Override!$B$11:$B$40,$B130,Override!$D$11:$D$40,14,Override!$E$11:$E$40,"&gt;=0")-COUNTIFS(Override!$B$11:$B$40,$B130,Override!$D$11:$D$40,14,Override!$E$11:$E$40,"&gt;=0",Override!$C$11:$C$40,"MXAU"))&gt;0,SUMIFS(Override!$E$11:$E$40,Override!$B$11:$B$40,$B130,Override!$D$11:$D$40,14)-SUMIFS(Override!$E$11:$E$40,Override!$B$11:$B$40,$B130,Override!$D$11:$D$40,14,Override!$C$11:$C$40,"MXAU"),Override!$P$165)/AS51!$B$3,"")))</f>
        <v/>
      </c>
      <c r="T130" s="140">
        <f>IF(T$13="","",IF($B130="","",IFERROR($C130*$D130*IF((Override!$C$4="ON")*(COUNTIFS(Override!$B$11:$B$40,$B130,Override!$D$11:$D$40,15,Override!$E$11:$E$40,"&gt;=0")-COUNTIFS(Override!$B$11:$B$40,$B130,Override!$D$11:$D$40,15,Override!$E$11:$E$40,"&gt;=0",Override!$C$11:$C$40,"MXAU"))&gt;0,SUMIFS(Override!$E$11:$E$40,Override!$B$11:$B$40,$B130,Override!$D$11:$D$40,15)-SUMIFS(Override!$E$11:$E$40,Override!$B$11:$B$40,$B130,Override!$D$11:$D$40,15,Override!$C$11:$C$40,"MXAU"),Override!$Q$165)/AS51!$B$3,"")))</f>
        <v/>
      </c>
      <c r="U130" s="140">
        <f>IF(U$13="","",IF($B130="","",IFERROR($C130*$D130*IF((Override!$C$4="ON")*(COUNTIFS(Override!$B$11:$B$40,$B130,Override!$D$11:$D$40,16,Override!$E$11:$E$40,"&gt;=0")-COUNTIFS(Override!$B$11:$B$40,$B130,Override!$D$11:$D$40,16,Override!$E$11:$E$40,"&gt;=0",Override!$C$11:$C$40,"MXAU"))&gt;0,SUMIFS(Override!$E$11:$E$40,Override!$B$11:$B$40,$B130,Override!$D$11:$D$40,16)-SUMIFS(Override!$E$11:$E$40,Override!$B$11:$B$40,$B130,Override!$D$11:$D$40,16,Override!$C$11:$C$40,"MXAU"),Override!$R$165)/AS51!$B$3,"")))</f>
        <v/>
      </c>
      <c r="W130" s="140">
        <f>IF(W$13="","",IF($B130="","",IFERROR(F130*$E130/100,"")))</f>
        <v/>
      </c>
      <c r="X130" s="140">
        <f>IF(X$13="","",IF($B130="","",IFERROR(G130*$E130/100,"")))</f>
        <v/>
      </c>
      <c r="Y130" s="140">
        <f>IF(Y$13="","",IF($B130="","",IFERROR(H130*$E130/100,"")))</f>
        <v/>
      </c>
      <c r="Z130" s="140">
        <f>IF(Z$13="","",IF($B130="","",IFERROR(I130*$E130/100,"")))</f>
        <v/>
      </c>
      <c r="AA130" s="140">
        <f>IF(AA$13="","",IF($B130="","",IFERROR(J130*$E130/100,"")))</f>
        <v/>
      </c>
      <c r="AB130" s="140">
        <f>IF(AB$13="","",IF($B130="","",IFERROR(K130*$E130/100,"")))</f>
        <v/>
      </c>
      <c r="AC130" s="140">
        <f>IF(AC$13="","",IF($B130="","",IFERROR(L130*$E130/100,"")))</f>
        <v/>
      </c>
      <c r="AD130" s="140">
        <f>IF(AD$13="","",IF($B130="","",IFERROR(M130*$E130/100,"")))</f>
        <v/>
      </c>
      <c r="AE130" s="140">
        <f>IF(AE$13="","",IF($B130="","",IFERROR(N130*$E130/100,"")))</f>
        <v/>
      </c>
      <c r="AF130" s="140">
        <f>IF(AF$13="","",IF($B130="","",IFERROR(O130*$E130/100,"")))</f>
        <v/>
      </c>
      <c r="AG130" s="140">
        <f>IF(AG$13="","",IF($B130="","",IFERROR(P130*$E130/100,"")))</f>
        <v/>
      </c>
      <c r="AH130" s="140">
        <f>IF(AH$13="","",IF($B130="","",IFERROR(Q130*$E130/100,"")))</f>
        <v/>
      </c>
      <c r="AI130" s="140">
        <f>IF(AI$13="","",IF($B130="","",IFERROR(R130*$E130/100,"")))</f>
        <v/>
      </c>
      <c r="AJ130" s="140">
        <f>IF(AJ$13="","",IF($B130="","",IFERROR(S130*$E130/100,"")))</f>
        <v/>
      </c>
      <c r="AK130" s="140">
        <f>IF(AK$13="","",IF($B130="","",IFERROR(T130*$E130/100,"")))</f>
        <v/>
      </c>
      <c r="AL130" s="140">
        <f>IF(AL$13="","",IF($B130="","",IFERROR(U130*$E130/100,"")))</f>
        <v/>
      </c>
      <c r="AN130" s="140">
        <f>IF($B130="","",SUMIF($F$13:$U$13,"&lt;="&amp;Sector!$D$51,$F130:$U130))</f>
        <v/>
      </c>
      <c r="AO130" s="140">
        <f>IF($B130="","",SUMIF($W$13:$AL$13,"&lt;="&amp;Sector!$D$51,$W130:$AL130))</f>
        <v/>
      </c>
    </row>
    <row r="131">
      <c r="B131" s="5">
        <f>IF(AS51!$C$121="","",AS51!$C$121)</f>
        <v/>
      </c>
      <c r="C131" s="90">
        <f>IF(AS51!$B$121="","",AS51!$B$121)</f>
        <v/>
      </c>
      <c r="D131" s="138">
        <f>IFERROR(AS51!$Q$121,1)</f>
        <v/>
      </c>
      <c r="E131" s="139">
        <f>IF($B131="","",IF(ISNUMBER(AS51!$I$121),AS51!$I$121,'Index Summary'!$C$7))</f>
        <v/>
      </c>
      <c r="F131" s="140">
        <f>IF(F$13="","",IF($B131="","",IFERROR($C131*$D131*IF((Override!$C$4="ON")*(COUNTIFS(Override!$B$11:$B$40,$B131,Override!$D$11:$D$40,1,Override!$E$11:$E$40,"&gt;=0")-COUNTIFS(Override!$B$11:$B$40,$B131,Override!$D$11:$D$40,1,Override!$E$11:$E$40,"&gt;=0",Override!$C$11:$C$40,"MXAU"))&gt;0,SUMIFS(Override!$E$11:$E$40,Override!$B$11:$B$40,$B131,Override!$D$11:$D$40,1)-SUMIFS(Override!$E$11:$E$40,Override!$B$11:$B$40,$B131,Override!$D$11:$D$40,1,Override!$C$11:$C$40,"MXAU"),Override!$C$166)/AS51!$B$3,"")))</f>
        <v/>
      </c>
      <c r="G131" s="140">
        <f>IF(G$13="","",IF($B131="","",IFERROR($C131*$D131*IF((Override!$C$4="ON")*(COUNTIFS(Override!$B$11:$B$40,$B131,Override!$D$11:$D$40,2,Override!$E$11:$E$40,"&gt;=0")-COUNTIFS(Override!$B$11:$B$40,$B131,Override!$D$11:$D$40,2,Override!$E$11:$E$40,"&gt;=0",Override!$C$11:$C$40,"MXAU"))&gt;0,SUMIFS(Override!$E$11:$E$40,Override!$B$11:$B$40,$B131,Override!$D$11:$D$40,2)-SUMIFS(Override!$E$11:$E$40,Override!$B$11:$B$40,$B131,Override!$D$11:$D$40,2,Override!$C$11:$C$40,"MXAU"),Override!$D$166)/AS51!$B$3,"")))</f>
        <v/>
      </c>
      <c r="H131" s="140">
        <f>IF(H$13="","",IF($B131="","",IFERROR($C131*$D131*IF((Override!$C$4="ON")*(COUNTIFS(Override!$B$11:$B$40,$B131,Override!$D$11:$D$40,3,Override!$E$11:$E$40,"&gt;=0")-COUNTIFS(Override!$B$11:$B$40,$B131,Override!$D$11:$D$40,3,Override!$E$11:$E$40,"&gt;=0",Override!$C$11:$C$40,"MXAU"))&gt;0,SUMIFS(Override!$E$11:$E$40,Override!$B$11:$B$40,$B131,Override!$D$11:$D$40,3)-SUMIFS(Override!$E$11:$E$40,Override!$B$11:$B$40,$B131,Override!$D$11:$D$40,3,Override!$C$11:$C$40,"MXAU"),Override!$E$166)/AS51!$B$3,"")))</f>
        <v/>
      </c>
      <c r="I131" s="140">
        <f>IF(I$13="","",IF($B131="","",IFERROR($C131*$D131*IF((Override!$C$4="ON")*(COUNTIFS(Override!$B$11:$B$40,$B131,Override!$D$11:$D$40,4,Override!$E$11:$E$40,"&gt;=0")-COUNTIFS(Override!$B$11:$B$40,$B131,Override!$D$11:$D$40,4,Override!$E$11:$E$40,"&gt;=0",Override!$C$11:$C$40,"MXAU"))&gt;0,SUMIFS(Override!$E$11:$E$40,Override!$B$11:$B$40,$B131,Override!$D$11:$D$40,4)-SUMIFS(Override!$E$11:$E$40,Override!$B$11:$B$40,$B131,Override!$D$11:$D$40,4,Override!$C$11:$C$40,"MXAU"),Override!$F$166)/AS51!$B$3,"")))</f>
        <v/>
      </c>
      <c r="J131" s="140">
        <f>IF(J$13="","",IF($B131="","",IFERROR($C131*$D131*IF((Override!$C$4="ON")*(COUNTIFS(Override!$B$11:$B$40,$B131,Override!$D$11:$D$40,5,Override!$E$11:$E$40,"&gt;=0")-COUNTIFS(Override!$B$11:$B$40,$B131,Override!$D$11:$D$40,5,Override!$E$11:$E$40,"&gt;=0",Override!$C$11:$C$40,"MXAU"))&gt;0,SUMIFS(Override!$E$11:$E$40,Override!$B$11:$B$40,$B131,Override!$D$11:$D$40,5)-SUMIFS(Override!$E$11:$E$40,Override!$B$11:$B$40,$B131,Override!$D$11:$D$40,5,Override!$C$11:$C$40,"MXAU"),Override!$G$166)/AS51!$B$3,"")))</f>
        <v/>
      </c>
      <c r="K131" s="140">
        <f>IF(K$13="","",IF($B131="","",IFERROR($C131*$D131*IF((Override!$C$4="ON")*(COUNTIFS(Override!$B$11:$B$40,$B131,Override!$D$11:$D$40,6,Override!$E$11:$E$40,"&gt;=0")-COUNTIFS(Override!$B$11:$B$40,$B131,Override!$D$11:$D$40,6,Override!$E$11:$E$40,"&gt;=0",Override!$C$11:$C$40,"MXAU"))&gt;0,SUMIFS(Override!$E$11:$E$40,Override!$B$11:$B$40,$B131,Override!$D$11:$D$40,6)-SUMIFS(Override!$E$11:$E$40,Override!$B$11:$B$40,$B131,Override!$D$11:$D$40,6,Override!$C$11:$C$40,"MXAU"),Override!$H$166)/AS51!$B$3,"")))</f>
        <v/>
      </c>
      <c r="L131" s="140">
        <f>IF(L$13="","",IF($B131="","",IFERROR($C131*$D131*IF((Override!$C$4="ON")*(COUNTIFS(Override!$B$11:$B$40,$B131,Override!$D$11:$D$40,7,Override!$E$11:$E$40,"&gt;=0")-COUNTIFS(Override!$B$11:$B$40,$B131,Override!$D$11:$D$40,7,Override!$E$11:$E$40,"&gt;=0",Override!$C$11:$C$40,"MXAU"))&gt;0,SUMIFS(Override!$E$11:$E$40,Override!$B$11:$B$40,$B131,Override!$D$11:$D$40,7)-SUMIFS(Override!$E$11:$E$40,Override!$B$11:$B$40,$B131,Override!$D$11:$D$40,7,Override!$C$11:$C$40,"MXAU"),Override!$I$166)/AS51!$B$3,"")))</f>
        <v/>
      </c>
      <c r="M131" s="140">
        <f>IF(M$13="","",IF($B131="","",IFERROR($C131*$D131*IF((Override!$C$4="ON")*(COUNTIFS(Override!$B$11:$B$40,$B131,Override!$D$11:$D$40,8,Override!$E$11:$E$40,"&gt;=0")-COUNTIFS(Override!$B$11:$B$40,$B131,Override!$D$11:$D$40,8,Override!$E$11:$E$40,"&gt;=0",Override!$C$11:$C$40,"MXAU"))&gt;0,SUMIFS(Override!$E$11:$E$40,Override!$B$11:$B$40,$B131,Override!$D$11:$D$40,8)-SUMIFS(Override!$E$11:$E$40,Override!$B$11:$B$40,$B131,Override!$D$11:$D$40,8,Override!$C$11:$C$40,"MXAU"),Override!$J$166)/AS51!$B$3,"")))</f>
        <v/>
      </c>
      <c r="N131" s="140">
        <f>IF(N$13="","",IF($B131="","",IFERROR($C131*$D131*IF((Override!$C$4="ON")*(COUNTIFS(Override!$B$11:$B$40,$B131,Override!$D$11:$D$40,9,Override!$E$11:$E$40,"&gt;=0")-COUNTIFS(Override!$B$11:$B$40,$B131,Override!$D$11:$D$40,9,Override!$E$11:$E$40,"&gt;=0",Override!$C$11:$C$40,"MXAU"))&gt;0,SUMIFS(Override!$E$11:$E$40,Override!$B$11:$B$40,$B131,Override!$D$11:$D$40,9)-SUMIFS(Override!$E$11:$E$40,Override!$B$11:$B$40,$B131,Override!$D$11:$D$40,9,Override!$C$11:$C$40,"MXAU"),Override!$K$166)/AS51!$B$3,"")))</f>
        <v/>
      </c>
      <c r="O131" s="140">
        <f>IF(O$13="","",IF($B131="","",IFERROR($C131*$D131*IF((Override!$C$4="ON")*(COUNTIFS(Override!$B$11:$B$40,$B131,Override!$D$11:$D$40,10,Override!$E$11:$E$40,"&gt;=0")-COUNTIFS(Override!$B$11:$B$40,$B131,Override!$D$11:$D$40,10,Override!$E$11:$E$40,"&gt;=0",Override!$C$11:$C$40,"MXAU"))&gt;0,SUMIFS(Override!$E$11:$E$40,Override!$B$11:$B$40,$B131,Override!$D$11:$D$40,10)-SUMIFS(Override!$E$11:$E$40,Override!$B$11:$B$40,$B131,Override!$D$11:$D$40,10,Override!$C$11:$C$40,"MXAU"),Override!$L$166)/AS51!$B$3,"")))</f>
        <v/>
      </c>
      <c r="P131" s="140">
        <f>IF(P$13="","",IF($B131="","",IFERROR($C131*$D131*IF((Override!$C$4="ON")*(COUNTIFS(Override!$B$11:$B$40,$B131,Override!$D$11:$D$40,11,Override!$E$11:$E$40,"&gt;=0")-COUNTIFS(Override!$B$11:$B$40,$B131,Override!$D$11:$D$40,11,Override!$E$11:$E$40,"&gt;=0",Override!$C$11:$C$40,"MXAU"))&gt;0,SUMIFS(Override!$E$11:$E$40,Override!$B$11:$B$40,$B131,Override!$D$11:$D$40,11)-SUMIFS(Override!$E$11:$E$40,Override!$B$11:$B$40,$B131,Override!$D$11:$D$40,11,Override!$C$11:$C$40,"MXAU"),Override!$M$166)/AS51!$B$3,"")))</f>
        <v/>
      </c>
      <c r="Q131" s="140">
        <f>IF(Q$13="","",IF($B131="","",IFERROR($C131*$D131*IF((Override!$C$4="ON")*(COUNTIFS(Override!$B$11:$B$40,$B131,Override!$D$11:$D$40,12,Override!$E$11:$E$40,"&gt;=0")-COUNTIFS(Override!$B$11:$B$40,$B131,Override!$D$11:$D$40,12,Override!$E$11:$E$40,"&gt;=0",Override!$C$11:$C$40,"MXAU"))&gt;0,SUMIFS(Override!$E$11:$E$40,Override!$B$11:$B$40,$B131,Override!$D$11:$D$40,12)-SUMIFS(Override!$E$11:$E$40,Override!$B$11:$B$40,$B131,Override!$D$11:$D$40,12,Override!$C$11:$C$40,"MXAU"),Override!$N$166)/AS51!$B$3,"")))</f>
        <v/>
      </c>
      <c r="R131" s="140">
        <f>IF(R$13="","",IF($B131="","",IFERROR($C131*$D131*IF((Override!$C$4="ON")*(COUNTIFS(Override!$B$11:$B$40,$B131,Override!$D$11:$D$40,13,Override!$E$11:$E$40,"&gt;=0")-COUNTIFS(Override!$B$11:$B$40,$B131,Override!$D$11:$D$40,13,Override!$E$11:$E$40,"&gt;=0",Override!$C$11:$C$40,"MXAU"))&gt;0,SUMIFS(Override!$E$11:$E$40,Override!$B$11:$B$40,$B131,Override!$D$11:$D$40,13)-SUMIFS(Override!$E$11:$E$40,Override!$B$11:$B$40,$B131,Override!$D$11:$D$40,13,Override!$C$11:$C$40,"MXAU"),Override!$O$166)/AS51!$B$3,"")))</f>
        <v/>
      </c>
      <c r="S131" s="140">
        <f>IF(S$13="","",IF($B131="","",IFERROR($C131*$D131*IF((Override!$C$4="ON")*(COUNTIFS(Override!$B$11:$B$40,$B131,Override!$D$11:$D$40,14,Override!$E$11:$E$40,"&gt;=0")-COUNTIFS(Override!$B$11:$B$40,$B131,Override!$D$11:$D$40,14,Override!$E$11:$E$40,"&gt;=0",Override!$C$11:$C$40,"MXAU"))&gt;0,SUMIFS(Override!$E$11:$E$40,Override!$B$11:$B$40,$B131,Override!$D$11:$D$40,14)-SUMIFS(Override!$E$11:$E$40,Override!$B$11:$B$40,$B131,Override!$D$11:$D$40,14,Override!$C$11:$C$40,"MXAU"),Override!$P$166)/AS51!$B$3,"")))</f>
        <v/>
      </c>
      <c r="T131" s="140">
        <f>IF(T$13="","",IF($B131="","",IFERROR($C131*$D131*IF((Override!$C$4="ON")*(COUNTIFS(Override!$B$11:$B$40,$B131,Override!$D$11:$D$40,15,Override!$E$11:$E$40,"&gt;=0")-COUNTIFS(Override!$B$11:$B$40,$B131,Override!$D$11:$D$40,15,Override!$E$11:$E$40,"&gt;=0",Override!$C$11:$C$40,"MXAU"))&gt;0,SUMIFS(Override!$E$11:$E$40,Override!$B$11:$B$40,$B131,Override!$D$11:$D$40,15)-SUMIFS(Override!$E$11:$E$40,Override!$B$11:$B$40,$B131,Override!$D$11:$D$40,15,Override!$C$11:$C$40,"MXAU"),Override!$Q$166)/AS51!$B$3,"")))</f>
        <v/>
      </c>
      <c r="U131" s="140">
        <f>IF(U$13="","",IF($B131="","",IFERROR($C131*$D131*IF((Override!$C$4="ON")*(COUNTIFS(Override!$B$11:$B$40,$B131,Override!$D$11:$D$40,16,Override!$E$11:$E$40,"&gt;=0")-COUNTIFS(Override!$B$11:$B$40,$B131,Override!$D$11:$D$40,16,Override!$E$11:$E$40,"&gt;=0",Override!$C$11:$C$40,"MXAU"))&gt;0,SUMIFS(Override!$E$11:$E$40,Override!$B$11:$B$40,$B131,Override!$D$11:$D$40,16)-SUMIFS(Override!$E$11:$E$40,Override!$B$11:$B$40,$B131,Override!$D$11:$D$40,16,Override!$C$11:$C$40,"MXAU"),Override!$R$166)/AS51!$B$3,"")))</f>
        <v/>
      </c>
      <c r="W131" s="140">
        <f>IF(W$13="","",IF($B131="","",IFERROR(F131*$E131/100,"")))</f>
        <v/>
      </c>
      <c r="X131" s="140">
        <f>IF(X$13="","",IF($B131="","",IFERROR(G131*$E131/100,"")))</f>
        <v/>
      </c>
      <c r="Y131" s="140">
        <f>IF(Y$13="","",IF($B131="","",IFERROR(H131*$E131/100,"")))</f>
        <v/>
      </c>
      <c r="Z131" s="140">
        <f>IF(Z$13="","",IF($B131="","",IFERROR(I131*$E131/100,"")))</f>
        <v/>
      </c>
      <c r="AA131" s="140">
        <f>IF(AA$13="","",IF($B131="","",IFERROR(J131*$E131/100,"")))</f>
        <v/>
      </c>
      <c r="AB131" s="140">
        <f>IF(AB$13="","",IF($B131="","",IFERROR(K131*$E131/100,"")))</f>
        <v/>
      </c>
      <c r="AC131" s="140">
        <f>IF(AC$13="","",IF($B131="","",IFERROR(L131*$E131/100,"")))</f>
        <v/>
      </c>
      <c r="AD131" s="140">
        <f>IF(AD$13="","",IF($B131="","",IFERROR(M131*$E131/100,"")))</f>
        <v/>
      </c>
      <c r="AE131" s="140">
        <f>IF(AE$13="","",IF($B131="","",IFERROR(N131*$E131/100,"")))</f>
        <v/>
      </c>
      <c r="AF131" s="140">
        <f>IF(AF$13="","",IF($B131="","",IFERROR(O131*$E131/100,"")))</f>
        <v/>
      </c>
      <c r="AG131" s="140">
        <f>IF(AG$13="","",IF($B131="","",IFERROR(P131*$E131/100,"")))</f>
        <v/>
      </c>
      <c r="AH131" s="140">
        <f>IF(AH$13="","",IF($B131="","",IFERROR(Q131*$E131/100,"")))</f>
        <v/>
      </c>
      <c r="AI131" s="140">
        <f>IF(AI$13="","",IF($B131="","",IFERROR(R131*$E131/100,"")))</f>
        <v/>
      </c>
      <c r="AJ131" s="140">
        <f>IF(AJ$13="","",IF($B131="","",IFERROR(S131*$E131/100,"")))</f>
        <v/>
      </c>
      <c r="AK131" s="140">
        <f>IF(AK$13="","",IF($B131="","",IFERROR(T131*$E131/100,"")))</f>
        <v/>
      </c>
      <c r="AL131" s="140">
        <f>IF(AL$13="","",IF($B131="","",IFERROR(U131*$E131/100,"")))</f>
        <v/>
      </c>
      <c r="AN131" s="140">
        <f>IF($B131="","",SUMIF($F$13:$U$13,"&lt;="&amp;Sector!$D$51,$F131:$U131))</f>
        <v/>
      </c>
      <c r="AO131" s="140">
        <f>IF($B131="","",SUMIF($W$13:$AL$13,"&lt;="&amp;Sector!$D$51,$W131:$AL131))</f>
        <v/>
      </c>
    </row>
    <row r="132">
      <c r="B132" s="5">
        <f>IF(AS51!$C$122="","",AS51!$C$122)</f>
        <v/>
      </c>
      <c r="C132" s="90">
        <f>IF(AS51!$B$122="","",AS51!$B$122)</f>
        <v/>
      </c>
      <c r="D132" s="138">
        <f>IFERROR(AS51!$Q$122,1)</f>
        <v/>
      </c>
      <c r="E132" s="139">
        <f>IF($B132="","",IF(ISNUMBER(AS51!$I$122),AS51!$I$122,'Index Summary'!$C$7))</f>
        <v/>
      </c>
      <c r="F132" s="140">
        <f>IF(F$13="","",IF($B132="","",IFERROR($C132*$D132*IF((Override!$C$4="ON")*(COUNTIFS(Override!$B$11:$B$40,$B132,Override!$D$11:$D$40,1,Override!$E$11:$E$40,"&gt;=0")-COUNTIFS(Override!$B$11:$B$40,$B132,Override!$D$11:$D$40,1,Override!$E$11:$E$40,"&gt;=0",Override!$C$11:$C$40,"MXAU"))&gt;0,SUMIFS(Override!$E$11:$E$40,Override!$B$11:$B$40,$B132,Override!$D$11:$D$40,1)-SUMIFS(Override!$E$11:$E$40,Override!$B$11:$B$40,$B132,Override!$D$11:$D$40,1,Override!$C$11:$C$40,"MXAU"),Override!$C$167)/AS51!$B$3,"")))</f>
        <v/>
      </c>
      <c r="G132" s="140">
        <f>IF(G$13="","",IF($B132="","",IFERROR($C132*$D132*IF((Override!$C$4="ON")*(COUNTIFS(Override!$B$11:$B$40,$B132,Override!$D$11:$D$40,2,Override!$E$11:$E$40,"&gt;=0")-COUNTIFS(Override!$B$11:$B$40,$B132,Override!$D$11:$D$40,2,Override!$E$11:$E$40,"&gt;=0",Override!$C$11:$C$40,"MXAU"))&gt;0,SUMIFS(Override!$E$11:$E$40,Override!$B$11:$B$40,$B132,Override!$D$11:$D$40,2)-SUMIFS(Override!$E$11:$E$40,Override!$B$11:$B$40,$B132,Override!$D$11:$D$40,2,Override!$C$11:$C$40,"MXAU"),Override!$D$167)/AS51!$B$3,"")))</f>
        <v/>
      </c>
      <c r="H132" s="140">
        <f>IF(H$13="","",IF($B132="","",IFERROR($C132*$D132*IF((Override!$C$4="ON")*(COUNTIFS(Override!$B$11:$B$40,$B132,Override!$D$11:$D$40,3,Override!$E$11:$E$40,"&gt;=0")-COUNTIFS(Override!$B$11:$B$40,$B132,Override!$D$11:$D$40,3,Override!$E$11:$E$40,"&gt;=0",Override!$C$11:$C$40,"MXAU"))&gt;0,SUMIFS(Override!$E$11:$E$40,Override!$B$11:$B$40,$B132,Override!$D$11:$D$40,3)-SUMIFS(Override!$E$11:$E$40,Override!$B$11:$B$40,$B132,Override!$D$11:$D$40,3,Override!$C$11:$C$40,"MXAU"),Override!$E$167)/AS51!$B$3,"")))</f>
        <v/>
      </c>
      <c r="I132" s="140">
        <f>IF(I$13="","",IF($B132="","",IFERROR($C132*$D132*IF((Override!$C$4="ON")*(COUNTIFS(Override!$B$11:$B$40,$B132,Override!$D$11:$D$40,4,Override!$E$11:$E$40,"&gt;=0")-COUNTIFS(Override!$B$11:$B$40,$B132,Override!$D$11:$D$40,4,Override!$E$11:$E$40,"&gt;=0",Override!$C$11:$C$40,"MXAU"))&gt;0,SUMIFS(Override!$E$11:$E$40,Override!$B$11:$B$40,$B132,Override!$D$11:$D$40,4)-SUMIFS(Override!$E$11:$E$40,Override!$B$11:$B$40,$B132,Override!$D$11:$D$40,4,Override!$C$11:$C$40,"MXAU"),Override!$F$167)/AS51!$B$3,"")))</f>
        <v/>
      </c>
      <c r="J132" s="140">
        <f>IF(J$13="","",IF($B132="","",IFERROR($C132*$D132*IF((Override!$C$4="ON")*(COUNTIFS(Override!$B$11:$B$40,$B132,Override!$D$11:$D$40,5,Override!$E$11:$E$40,"&gt;=0")-COUNTIFS(Override!$B$11:$B$40,$B132,Override!$D$11:$D$40,5,Override!$E$11:$E$40,"&gt;=0",Override!$C$11:$C$40,"MXAU"))&gt;0,SUMIFS(Override!$E$11:$E$40,Override!$B$11:$B$40,$B132,Override!$D$11:$D$40,5)-SUMIFS(Override!$E$11:$E$40,Override!$B$11:$B$40,$B132,Override!$D$11:$D$40,5,Override!$C$11:$C$40,"MXAU"),Override!$G$167)/AS51!$B$3,"")))</f>
        <v/>
      </c>
      <c r="K132" s="140">
        <f>IF(K$13="","",IF($B132="","",IFERROR($C132*$D132*IF((Override!$C$4="ON")*(COUNTIFS(Override!$B$11:$B$40,$B132,Override!$D$11:$D$40,6,Override!$E$11:$E$40,"&gt;=0")-COUNTIFS(Override!$B$11:$B$40,$B132,Override!$D$11:$D$40,6,Override!$E$11:$E$40,"&gt;=0",Override!$C$11:$C$40,"MXAU"))&gt;0,SUMIFS(Override!$E$11:$E$40,Override!$B$11:$B$40,$B132,Override!$D$11:$D$40,6)-SUMIFS(Override!$E$11:$E$40,Override!$B$11:$B$40,$B132,Override!$D$11:$D$40,6,Override!$C$11:$C$40,"MXAU"),Override!$H$167)/AS51!$B$3,"")))</f>
        <v/>
      </c>
      <c r="L132" s="140">
        <f>IF(L$13="","",IF($B132="","",IFERROR($C132*$D132*IF((Override!$C$4="ON")*(COUNTIFS(Override!$B$11:$B$40,$B132,Override!$D$11:$D$40,7,Override!$E$11:$E$40,"&gt;=0")-COUNTIFS(Override!$B$11:$B$40,$B132,Override!$D$11:$D$40,7,Override!$E$11:$E$40,"&gt;=0",Override!$C$11:$C$40,"MXAU"))&gt;0,SUMIFS(Override!$E$11:$E$40,Override!$B$11:$B$40,$B132,Override!$D$11:$D$40,7)-SUMIFS(Override!$E$11:$E$40,Override!$B$11:$B$40,$B132,Override!$D$11:$D$40,7,Override!$C$11:$C$40,"MXAU"),Override!$I$167)/AS51!$B$3,"")))</f>
        <v/>
      </c>
      <c r="M132" s="140">
        <f>IF(M$13="","",IF($B132="","",IFERROR($C132*$D132*IF((Override!$C$4="ON")*(COUNTIFS(Override!$B$11:$B$40,$B132,Override!$D$11:$D$40,8,Override!$E$11:$E$40,"&gt;=0")-COUNTIFS(Override!$B$11:$B$40,$B132,Override!$D$11:$D$40,8,Override!$E$11:$E$40,"&gt;=0",Override!$C$11:$C$40,"MXAU"))&gt;0,SUMIFS(Override!$E$11:$E$40,Override!$B$11:$B$40,$B132,Override!$D$11:$D$40,8)-SUMIFS(Override!$E$11:$E$40,Override!$B$11:$B$40,$B132,Override!$D$11:$D$40,8,Override!$C$11:$C$40,"MXAU"),Override!$J$167)/AS51!$B$3,"")))</f>
        <v/>
      </c>
      <c r="N132" s="140">
        <f>IF(N$13="","",IF($B132="","",IFERROR($C132*$D132*IF((Override!$C$4="ON")*(COUNTIFS(Override!$B$11:$B$40,$B132,Override!$D$11:$D$40,9,Override!$E$11:$E$40,"&gt;=0")-COUNTIFS(Override!$B$11:$B$40,$B132,Override!$D$11:$D$40,9,Override!$E$11:$E$40,"&gt;=0",Override!$C$11:$C$40,"MXAU"))&gt;0,SUMIFS(Override!$E$11:$E$40,Override!$B$11:$B$40,$B132,Override!$D$11:$D$40,9)-SUMIFS(Override!$E$11:$E$40,Override!$B$11:$B$40,$B132,Override!$D$11:$D$40,9,Override!$C$11:$C$40,"MXAU"),Override!$K$167)/AS51!$B$3,"")))</f>
        <v/>
      </c>
      <c r="O132" s="140">
        <f>IF(O$13="","",IF($B132="","",IFERROR($C132*$D132*IF((Override!$C$4="ON")*(COUNTIFS(Override!$B$11:$B$40,$B132,Override!$D$11:$D$40,10,Override!$E$11:$E$40,"&gt;=0")-COUNTIFS(Override!$B$11:$B$40,$B132,Override!$D$11:$D$40,10,Override!$E$11:$E$40,"&gt;=0",Override!$C$11:$C$40,"MXAU"))&gt;0,SUMIFS(Override!$E$11:$E$40,Override!$B$11:$B$40,$B132,Override!$D$11:$D$40,10)-SUMIFS(Override!$E$11:$E$40,Override!$B$11:$B$40,$B132,Override!$D$11:$D$40,10,Override!$C$11:$C$40,"MXAU"),Override!$L$167)/AS51!$B$3,"")))</f>
        <v/>
      </c>
      <c r="P132" s="140">
        <f>IF(P$13="","",IF($B132="","",IFERROR($C132*$D132*IF((Override!$C$4="ON")*(COUNTIFS(Override!$B$11:$B$40,$B132,Override!$D$11:$D$40,11,Override!$E$11:$E$40,"&gt;=0")-COUNTIFS(Override!$B$11:$B$40,$B132,Override!$D$11:$D$40,11,Override!$E$11:$E$40,"&gt;=0",Override!$C$11:$C$40,"MXAU"))&gt;0,SUMIFS(Override!$E$11:$E$40,Override!$B$11:$B$40,$B132,Override!$D$11:$D$40,11)-SUMIFS(Override!$E$11:$E$40,Override!$B$11:$B$40,$B132,Override!$D$11:$D$40,11,Override!$C$11:$C$40,"MXAU"),Override!$M$167)/AS51!$B$3,"")))</f>
        <v/>
      </c>
      <c r="Q132" s="140">
        <f>IF(Q$13="","",IF($B132="","",IFERROR($C132*$D132*IF((Override!$C$4="ON")*(COUNTIFS(Override!$B$11:$B$40,$B132,Override!$D$11:$D$40,12,Override!$E$11:$E$40,"&gt;=0")-COUNTIFS(Override!$B$11:$B$40,$B132,Override!$D$11:$D$40,12,Override!$E$11:$E$40,"&gt;=0",Override!$C$11:$C$40,"MXAU"))&gt;0,SUMIFS(Override!$E$11:$E$40,Override!$B$11:$B$40,$B132,Override!$D$11:$D$40,12)-SUMIFS(Override!$E$11:$E$40,Override!$B$11:$B$40,$B132,Override!$D$11:$D$40,12,Override!$C$11:$C$40,"MXAU"),Override!$N$167)/AS51!$B$3,"")))</f>
        <v/>
      </c>
      <c r="R132" s="140">
        <f>IF(R$13="","",IF($B132="","",IFERROR($C132*$D132*IF((Override!$C$4="ON")*(COUNTIFS(Override!$B$11:$B$40,$B132,Override!$D$11:$D$40,13,Override!$E$11:$E$40,"&gt;=0")-COUNTIFS(Override!$B$11:$B$40,$B132,Override!$D$11:$D$40,13,Override!$E$11:$E$40,"&gt;=0",Override!$C$11:$C$40,"MXAU"))&gt;0,SUMIFS(Override!$E$11:$E$40,Override!$B$11:$B$40,$B132,Override!$D$11:$D$40,13)-SUMIFS(Override!$E$11:$E$40,Override!$B$11:$B$40,$B132,Override!$D$11:$D$40,13,Override!$C$11:$C$40,"MXAU"),Override!$O$167)/AS51!$B$3,"")))</f>
        <v/>
      </c>
      <c r="S132" s="140">
        <f>IF(S$13="","",IF($B132="","",IFERROR($C132*$D132*IF((Override!$C$4="ON")*(COUNTIFS(Override!$B$11:$B$40,$B132,Override!$D$11:$D$40,14,Override!$E$11:$E$40,"&gt;=0")-COUNTIFS(Override!$B$11:$B$40,$B132,Override!$D$11:$D$40,14,Override!$E$11:$E$40,"&gt;=0",Override!$C$11:$C$40,"MXAU"))&gt;0,SUMIFS(Override!$E$11:$E$40,Override!$B$11:$B$40,$B132,Override!$D$11:$D$40,14)-SUMIFS(Override!$E$11:$E$40,Override!$B$11:$B$40,$B132,Override!$D$11:$D$40,14,Override!$C$11:$C$40,"MXAU"),Override!$P$167)/AS51!$B$3,"")))</f>
        <v/>
      </c>
      <c r="T132" s="140">
        <f>IF(T$13="","",IF($B132="","",IFERROR($C132*$D132*IF((Override!$C$4="ON")*(COUNTIFS(Override!$B$11:$B$40,$B132,Override!$D$11:$D$40,15,Override!$E$11:$E$40,"&gt;=0")-COUNTIFS(Override!$B$11:$B$40,$B132,Override!$D$11:$D$40,15,Override!$E$11:$E$40,"&gt;=0",Override!$C$11:$C$40,"MXAU"))&gt;0,SUMIFS(Override!$E$11:$E$40,Override!$B$11:$B$40,$B132,Override!$D$11:$D$40,15)-SUMIFS(Override!$E$11:$E$40,Override!$B$11:$B$40,$B132,Override!$D$11:$D$40,15,Override!$C$11:$C$40,"MXAU"),Override!$Q$167)/AS51!$B$3,"")))</f>
        <v/>
      </c>
      <c r="U132" s="140">
        <f>IF(U$13="","",IF($B132="","",IFERROR($C132*$D132*IF((Override!$C$4="ON")*(COUNTIFS(Override!$B$11:$B$40,$B132,Override!$D$11:$D$40,16,Override!$E$11:$E$40,"&gt;=0")-COUNTIFS(Override!$B$11:$B$40,$B132,Override!$D$11:$D$40,16,Override!$E$11:$E$40,"&gt;=0",Override!$C$11:$C$40,"MXAU"))&gt;0,SUMIFS(Override!$E$11:$E$40,Override!$B$11:$B$40,$B132,Override!$D$11:$D$40,16)-SUMIFS(Override!$E$11:$E$40,Override!$B$11:$B$40,$B132,Override!$D$11:$D$40,16,Override!$C$11:$C$40,"MXAU"),Override!$R$167)/AS51!$B$3,"")))</f>
        <v/>
      </c>
      <c r="W132" s="140">
        <f>IF(W$13="","",IF($B132="","",IFERROR(F132*$E132/100,"")))</f>
        <v/>
      </c>
      <c r="X132" s="140">
        <f>IF(X$13="","",IF($B132="","",IFERROR(G132*$E132/100,"")))</f>
        <v/>
      </c>
      <c r="Y132" s="140">
        <f>IF(Y$13="","",IF($B132="","",IFERROR(H132*$E132/100,"")))</f>
        <v/>
      </c>
      <c r="Z132" s="140">
        <f>IF(Z$13="","",IF($B132="","",IFERROR(I132*$E132/100,"")))</f>
        <v/>
      </c>
      <c r="AA132" s="140">
        <f>IF(AA$13="","",IF($B132="","",IFERROR(J132*$E132/100,"")))</f>
        <v/>
      </c>
      <c r="AB132" s="140">
        <f>IF(AB$13="","",IF($B132="","",IFERROR(K132*$E132/100,"")))</f>
        <v/>
      </c>
      <c r="AC132" s="140">
        <f>IF(AC$13="","",IF($B132="","",IFERROR(L132*$E132/100,"")))</f>
        <v/>
      </c>
      <c r="AD132" s="140">
        <f>IF(AD$13="","",IF($B132="","",IFERROR(M132*$E132/100,"")))</f>
        <v/>
      </c>
      <c r="AE132" s="140">
        <f>IF(AE$13="","",IF($B132="","",IFERROR(N132*$E132/100,"")))</f>
        <v/>
      </c>
      <c r="AF132" s="140">
        <f>IF(AF$13="","",IF($B132="","",IFERROR(O132*$E132/100,"")))</f>
        <v/>
      </c>
      <c r="AG132" s="140">
        <f>IF(AG$13="","",IF($B132="","",IFERROR(P132*$E132/100,"")))</f>
        <v/>
      </c>
      <c r="AH132" s="140">
        <f>IF(AH$13="","",IF($B132="","",IFERROR(Q132*$E132/100,"")))</f>
        <v/>
      </c>
      <c r="AI132" s="140">
        <f>IF(AI$13="","",IF($B132="","",IFERROR(R132*$E132/100,"")))</f>
        <v/>
      </c>
      <c r="AJ132" s="140">
        <f>IF(AJ$13="","",IF($B132="","",IFERROR(S132*$E132/100,"")))</f>
        <v/>
      </c>
      <c r="AK132" s="140">
        <f>IF(AK$13="","",IF($B132="","",IFERROR(T132*$E132/100,"")))</f>
        <v/>
      </c>
      <c r="AL132" s="140">
        <f>IF(AL$13="","",IF($B132="","",IFERROR(U132*$E132/100,"")))</f>
        <v/>
      </c>
      <c r="AN132" s="140">
        <f>IF($B132="","",SUMIF($F$13:$U$13,"&lt;="&amp;Sector!$D$51,$F132:$U132))</f>
        <v/>
      </c>
      <c r="AO132" s="140">
        <f>IF($B132="","",SUMIF($W$13:$AL$13,"&lt;="&amp;Sector!$D$51,$W132:$AL132))</f>
        <v/>
      </c>
    </row>
    <row r="133">
      <c r="B133" s="5">
        <f>IF(AS51!$C$123="","",AS51!$C$123)</f>
        <v/>
      </c>
      <c r="C133" s="90">
        <f>IF(AS51!$B$123="","",AS51!$B$123)</f>
        <v/>
      </c>
      <c r="D133" s="138">
        <f>IFERROR(AS51!$Q$123,1)</f>
        <v/>
      </c>
      <c r="E133" s="139">
        <f>IF($B133="","",IF(ISNUMBER(AS51!$I$123),AS51!$I$123,'Index Summary'!$C$7))</f>
        <v/>
      </c>
      <c r="F133" s="140">
        <f>IF(F$13="","",IF($B133="","",IFERROR($C133*$D133*IF((Override!$C$4="ON")*(COUNTIFS(Override!$B$11:$B$40,$B133,Override!$D$11:$D$40,1,Override!$E$11:$E$40,"&gt;=0")-COUNTIFS(Override!$B$11:$B$40,$B133,Override!$D$11:$D$40,1,Override!$E$11:$E$40,"&gt;=0",Override!$C$11:$C$40,"MXAU"))&gt;0,SUMIFS(Override!$E$11:$E$40,Override!$B$11:$B$40,$B133,Override!$D$11:$D$40,1)-SUMIFS(Override!$E$11:$E$40,Override!$B$11:$B$40,$B133,Override!$D$11:$D$40,1,Override!$C$11:$C$40,"MXAU"),Override!$C$168)/AS51!$B$3,"")))</f>
        <v/>
      </c>
      <c r="G133" s="140">
        <f>IF(G$13="","",IF($B133="","",IFERROR($C133*$D133*IF((Override!$C$4="ON")*(COUNTIFS(Override!$B$11:$B$40,$B133,Override!$D$11:$D$40,2,Override!$E$11:$E$40,"&gt;=0")-COUNTIFS(Override!$B$11:$B$40,$B133,Override!$D$11:$D$40,2,Override!$E$11:$E$40,"&gt;=0",Override!$C$11:$C$40,"MXAU"))&gt;0,SUMIFS(Override!$E$11:$E$40,Override!$B$11:$B$40,$B133,Override!$D$11:$D$40,2)-SUMIFS(Override!$E$11:$E$40,Override!$B$11:$B$40,$B133,Override!$D$11:$D$40,2,Override!$C$11:$C$40,"MXAU"),Override!$D$168)/AS51!$B$3,"")))</f>
        <v/>
      </c>
      <c r="H133" s="140">
        <f>IF(H$13="","",IF($B133="","",IFERROR($C133*$D133*IF((Override!$C$4="ON")*(COUNTIFS(Override!$B$11:$B$40,$B133,Override!$D$11:$D$40,3,Override!$E$11:$E$40,"&gt;=0")-COUNTIFS(Override!$B$11:$B$40,$B133,Override!$D$11:$D$40,3,Override!$E$11:$E$40,"&gt;=0",Override!$C$11:$C$40,"MXAU"))&gt;0,SUMIFS(Override!$E$11:$E$40,Override!$B$11:$B$40,$B133,Override!$D$11:$D$40,3)-SUMIFS(Override!$E$11:$E$40,Override!$B$11:$B$40,$B133,Override!$D$11:$D$40,3,Override!$C$11:$C$40,"MXAU"),Override!$E$168)/AS51!$B$3,"")))</f>
        <v/>
      </c>
      <c r="I133" s="140">
        <f>IF(I$13="","",IF($B133="","",IFERROR($C133*$D133*IF((Override!$C$4="ON")*(COUNTIFS(Override!$B$11:$B$40,$B133,Override!$D$11:$D$40,4,Override!$E$11:$E$40,"&gt;=0")-COUNTIFS(Override!$B$11:$B$40,$B133,Override!$D$11:$D$40,4,Override!$E$11:$E$40,"&gt;=0",Override!$C$11:$C$40,"MXAU"))&gt;0,SUMIFS(Override!$E$11:$E$40,Override!$B$11:$B$40,$B133,Override!$D$11:$D$40,4)-SUMIFS(Override!$E$11:$E$40,Override!$B$11:$B$40,$B133,Override!$D$11:$D$40,4,Override!$C$11:$C$40,"MXAU"),Override!$F$168)/AS51!$B$3,"")))</f>
        <v/>
      </c>
      <c r="J133" s="140">
        <f>IF(J$13="","",IF($B133="","",IFERROR($C133*$D133*IF((Override!$C$4="ON")*(COUNTIFS(Override!$B$11:$B$40,$B133,Override!$D$11:$D$40,5,Override!$E$11:$E$40,"&gt;=0")-COUNTIFS(Override!$B$11:$B$40,$B133,Override!$D$11:$D$40,5,Override!$E$11:$E$40,"&gt;=0",Override!$C$11:$C$40,"MXAU"))&gt;0,SUMIFS(Override!$E$11:$E$40,Override!$B$11:$B$40,$B133,Override!$D$11:$D$40,5)-SUMIFS(Override!$E$11:$E$40,Override!$B$11:$B$40,$B133,Override!$D$11:$D$40,5,Override!$C$11:$C$40,"MXAU"),Override!$G$168)/AS51!$B$3,"")))</f>
        <v/>
      </c>
      <c r="K133" s="140">
        <f>IF(K$13="","",IF($B133="","",IFERROR($C133*$D133*IF((Override!$C$4="ON")*(COUNTIFS(Override!$B$11:$B$40,$B133,Override!$D$11:$D$40,6,Override!$E$11:$E$40,"&gt;=0")-COUNTIFS(Override!$B$11:$B$40,$B133,Override!$D$11:$D$40,6,Override!$E$11:$E$40,"&gt;=0",Override!$C$11:$C$40,"MXAU"))&gt;0,SUMIFS(Override!$E$11:$E$40,Override!$B$11:$B$40,$B133,Override!$D$11:$D$40,6)-SUMIFS(Override!$E$11:$E$40,Override!$B$11:$B$40,$B133,Override!$D$11:$D$40,6,Override!$C$11:$C$40,"MXAU"),Override!$H$168)/AS51!$B$3,"")))</f>
        <v/>
      </c>
      <c r="L133" s="140">
        <f>IF(L$13="","",IF($B133="","",IFERROR($C133*$D133*IF((Override!$C$4="ON")*(COUNTIFS(Override!$B$11:$B$40,$B133,Override!$D$11:$D$40,7,Override!$E$11:$E$40,"&gt;=0")-COUNTIFS(Override!$B$11:$B$40,$B133,Override!$D$11:$D$40,7,Override!$E$11:$E$40,"&gt;=0",Override!$C$11:$C$40,"MXAU"))&gt;0,SUMIFS(Override!$E$11:$E$40,Override!$B$11:$B$40,$B133,Override!$D$11:$D$40,7)-SUMIFS(Override!$E$11:$E$40,Override!$B$11:$B$40,$B133,Override!$D$11:$D$40,7,Override!$C$11:$C$40,"MXAU"),Override!$I$168)/AS51!$B$3,"")))</f>
        <v/>
      </c>
      <c r="M133" s="140">
        <f>IF(M$13="","",IF($B133="","",IFERROR($C133*$D133*IF((Override!$C$4="ON")*(COUNTIFS(Override!$B$11:$B$40,$B133,Override!$D$11:$D$40,8,Override!$E$11:$E$40,"&gt;=0")-COUNTIFS(Override!$B$11:$B$40,$B133,Override!$D$11:$D$40,8,Override!$E$11:$E$40,"&gt;=0",Override!$C$11:$C$40,"MXAU"))&gt;0,SUMIFS(Override!$E$11:$E$40,Override!$B$11:$B$40,$B133,Override!$D$11:$D$40,8)-SUMIFS(Override!$E$11:$E$40,Override!$B$11:$B$40,$B133,Override!$D$11:$D$40,8,Override!$C$11:$C$40,"MXAU"),Override!$J$168)/AS51!$B$3,"")))</f>
        <v/>
      </c>
      <c r="N133" s="140">
        <f>IF(N$13="","",IF($B133="","",IFERROR($C133*$D133*IF((Override!$C$4="ON")*(COUNTIFS(Override!$B$11:$B$40,$B133,Override!$D$11:$D$40,9,Override!$E$11:$E$40,"&gt;=0")-COUNTIFS(Override!$B$11:$B$40,$B133,Override!$D$11:$D$40,9,Override!$E$11:$E$40,"&gt;=0",Override!$C$11:$C$40,"MXAU"))&gt;0,SUMIFS(Override!$E$11:$E$40,Override!$B$11:$B$40,$B133,Override!$D$11:$D$40,9)-SUMIFS(Override!$E$11:$E$40,Override!$B$11:$B$40,$B133,Override!$D$11:$D$40,9,Override!$C$11:$C$40,"MXAU"),Override!$K$168)/AS51!$B$3,"")))</f>
        <v/>
      </c>
      <c r="O133" s="140">
        <f>IF(O$13="","",IF($B133="","",IFERROR($C133*$D133*IF((Override!$C$4="ON")*(COUNTIFS(Override!$B$11:$B$40,$B133,Override!$D$11:$D$40,10,Override!$E$11:$E$40,"&gt;=0")-COUNTIFS(Override!$B$11:$B$40,$B133,Override!$D$11:$D$40,10,Override!$E$11:$E$40,"&gt;=0",Override!$C$11:$C$40,"MXAU"))&gt;0,SUMIFS(Override!$E$11:$E$40,Override!$B$11:$B$40,$B133,Override!$D$11:$D$40,10)-SUMIFS(Override!$E$11:$E$40,Override!$B$11:$B$40,$B133,Override!$D$11:$D$40,10,Override!$C$11:$C$40,"MXAU"),Override!$L$168)/AS51!$B$3,"")))</f>
        <v/>
      </c>
      <c r="P133" s="140">
        <f>IF(P$13="","",IF($B133="","",IFERROR($C133*$D133*IF((Override!$C$4="ON")*(COUNTIFS(Override!$B$11:$B$40,$B133,Override!$D$11:$D$40,11,Override!$E$11:$E$40,"&gt;=0")-COUNTIFS(Override!$B$11:$B$40,$B133,Override!$D$11:$D$40,11,Override!$E$11:$E$40,"&gt;=0",Override!$C$11:$C$40,"MXAU"))&gt;0,SUMIFS(Override!$E$11:$E$40,Override!$B$11:$B$40,$B133,Override!$D$11:$D$40,11)-SUMIFS(Override!$E$11:$E$40,Override!$B$11:$B$40,$B133,Override!$D$11:$D$40,11,Override!$C$11:$C$40,"MXAU"),Override!$M$168)/AS51!$B$3,"")))</f>
        <v/>
      </c>
      <c r="Q133" s="140">
        <f>IF(Q$13="","",IF($B133="","",IFERROR($C133*$D133*IF((Override!$C$4="ON")*(COUNTIFS(Override!$B$11:$B$40,$B133,Override!$D$11:$D$40,12,Override!$E$11:$E$40,"&gt;=0")-COUNTIFS(Override!$B$11:$B$40,$B133,Override!$D$11:$D$40,12,Override!$E$11:$E$40,"&gt;=0",Override!$C$11:$C$40,"MXAU"))&gt;0,SUMIFS(Override!$E$11:$E$40,Override!$B$11:$B$40,$B133,Override!$D$11:$D$40,12)-SUMIFS(Override!$E$11:$E$40,Override!$B$11:$B$40,$B133,Override!$D$11:$D$40,12,Override!$C$11:$C$40,"MXAU"),Override!$N$168)/AS51!$B$3,"")))</f>
        <v/>
      </c>
      <c r="R133" s="140">
        <f>IF(R$13="","",IF($B133="","",IFERROR($C133*$D133*IF((Override!$C$4="ON")*(COUNTIFS(Override!$B$11:$B$40,$B133,Override!$D$11:$D$40,13,Override!$E$11:$E$40,"&gt;=0")-COUNTIFS(Override!$B$11:$B$40,$B133,Override!$D$11:$D$40,13,Override!$E$11:$E$40,"&gt;=0",Override!$C$11:$C$40,"MXAU"))&gt;0,SUMIFS(Override!$E$11:$E$40,Override!$B$11:$B$40,$B133,Override!$D$11:$D$40,13)-SUMIFS(Override!$E$11:$E$40,Override!$B$11:$B$40,$B133,Override!$D$11:$D$40,13,Override!$C$11:$C$40,"MXAU"),Override!$O$168)/AS51!$B$3,"")))</f>
        <v/>
      </c>
      <c r="S133" s="140">
        <f>IF(S$13="","",IF($B133="","",IFERROR($C133*$D133*IF((Override!$C$4="ON")*(COUNTIFS(Override!$B$11:$B$40,$B133,Override!$D$11:$D$40,14,Override!$E$11:$E$40,"&gt;=0")-COUNTIFS(Override!$B$11:$B$40,$B133,Override!$D$11:$D$40,14,Override!$E$11:$E$40,"&gt;=0",Override!$C$11:$C$40,"MXAU"))&gt;0,SUMIFS(Override!$E$11:$E$40,Override!$B$11:$B$40,$B133,Override!$D$11:$D$40,14)-SUMIFS(Override!$E$11:$E$40,Override!$B$11:$B$40,$B133,Override!$D$11:$D$40,14,Override!$C$11:$C$40,"MXAU"),Override!$P$168)/AS51!$B$3,"")))</f>
        <v/>
      </c>
      <c r="T133" s="140">
        <f>IF(T$13="","",IF($B133="","",IFERROR($C133*$D133*IF((Override!$C$4="ON")*(COUNTIFS(Override!$B$11:$B$40,$B133,Override!$D$11:$D$40,15,Override!$E$11:$E$40,"&gt;=0")-COUNTIFS(Override!$B$11:$B$40,$B133,Override!$D$11:$D$40,15,Override!$E$11:$E$40,"&gt;=0",Override!$C$11:$C$40,"MXAU"))&gt;0,SUMIFS(Override!$E$11:$E$40,Override!$B$11:$B$40,$B133,Override!$D$11:$D$40,15)-SUMIFS(Override!$E$11:$E$40,Override!$B$11:$B$40,$B133,Override!$D$11:$D$40,15,Override!$C$11:$C$40,"MXAU"),Override!$Q$168)/AS51!$B$3,"")))</f>
        <v/>
      </c>
      <c r="U133" s="140">
        <f>IF(U$13="","",IF($B133="","",IFERROR($C133*$D133*IF((Override!$C$4="ON")*(COUNTIFS(Override!$B$11:$B$40,$B133,Override!$D$11:$D$40,16,Override!$E$11:$E$40,"&gt;=0")-COUNTIFS(Override!$B$11:$B$40,$B133,Override!$D$11:$D$40,16,Override!$E$11:$E$40,"&gt;=0",Override!$C$11:$C$40,"MXAU"))&gt;0,SUMIFS(Override!$E$11:$E$40,Override!$B$11:$B$40,$B133,Override!$D$11:$D$40,16)-SUMIFS(Override!$E$11:$E$40,Override!$B$11:$B$40,$B133,Override!$D$11:$D$40,16,Override!$C$11:$C$40,"MXAU"),Override!$R$168)/AS51!$B$3,"")))</f>
        <v/>
      </c>
      <c r="W133" s="140">
        <f>IF(W$13="","",IF($B133="","",IFERROR(F133*$E133/100,"")))</f>
        <v/>
      </c>
      <c r="X133" s="140">
        <f>IF(X$13="","",IF($B133="","",IFERROR(G133*$E133/100,"")))</f>
        <v/>
      </c>
      <c r="Y133" s="140">
        <f>IF(Y$13="","",IF($B133="","",IFERROR(H133*$E133/100,"")))</f>
        <v/>
      </c>
      <c r="Z133" s="140">
        <f>IF(Z$13="","",IF($B133="","",IFERROR(I133*$E133/100,"")))</f>
        <v/>
      </c>
      <c r="AA133" s="140">
        <f>IF(AA$13="","",IF($B133="","",IFERROR(J133*$E133/100,"")))</f>
        <v/>
      </c>
      <c r="AB133" s="140">
        <f>IF(AB$13="","",IF($B133="","",IFERROR(K133*$E133/100,"")))</f>
        <v/>
      </c>
      <c r="AC133" s="140">
        <f>IF(AC$13="","",IF($B133="","",IFERROR(L133*$E133/100,"")))</f>
        <v/>
      </c>
      <c r="AD133" s="140">
        <f>IF(AD$13="","",IF($B133="","",IFERROR(M133*$E133/100,"")))</f>
        <v/>
      </c>
      <c r="AE133" s="140">
        <f>IF(AE$13="","",IF($B133="","",IFERROR(N133*$E133/100,"")))</f>
        <v/>
      </c>
      <c r="AF133" s="140">
        <f>IF(AF$13="","",IF($B133="","",IFERROR(O133*$E133/100,"")))</f>
        <v/>
      </c>
      <c r="AG133" s="140">
        <f>IF(AG$13="","",IF($B133="","",IFERROR(P133*$E133/100,"")))</f>
        <v/>
      </c>
      <c r="AH133" s="140">
        <f>IF(AH$13="","",IF($B133="","",IFERROR(Q133*$E133/100,"")))</f>
        <v/>
      </c>
      <c r="AI133" s="140">
        <f>IF(AI$13="","",IF($B133="","",IFERROR(R133*$E133/100,"")))</f>
        <v/>
      </c>
      <c r="AJ133" s="140">
        <f>IF(AJ$13="","",IF($B133="","",IFERROR(S133*$E133/100,"")))</f>
        <v/>
      </c>
      <c r="AK133" s="140">
        <f>IF(AK$13="","",IF($B133="","",IFERROR(T133*$E133/100,"")))</f>
        <v/>
      </c>
      <c r="AL133" s="140">
        <f>IF(AL$13="","",IF($B133="","",IFERROR(U133*$E133/100,"")))</f>
        <v/>
      </c>
      <c r="AN133" s="140">
        <f>IF($B133="","",SUMIF($F$13:$U$13,"&lt;="&amp;Sector!$D$51,$F133:$U133))</f>
        <v/>
      </c>
      <c r="AO133" s="140">
        <f>IF($B133="","",SUMIF($W$13:$AL$13,"&lt;="&amp;Sector!$D$51,$W133:$AL133))</f>
        <v/>
      </c>
    </row>
    <row r="134">
      <c r="B134" s="5">
        <f>IF(AS51!$C$124="","",AS51!$C$124)</f>
        <v/>
      </c>
      <c r="C134" s="90">
        <f>IF(AS51!$B$124="","",AS51!$B$124)</f>
        <v/>
      </c>
      <c r="D134" s="138">
        <f>IFERROR(AS51!$Q$124,1)</f>
        <v/>
      </c>
      <c r="E134" s="139">
        <f>IF($B134="","",IF(ISNUMBER(AS51!$I$124),AS51!$I$124,'Index Summary'!$C$7))</f>
        <v/>
      </c>
      <c r="F134" s="140">
        <f>IF(F$13="","",IF($B134="","",IFERROR($C134*$D134*IF((Override!$C$4="ON")*(COUNTIFS(Override!$B$11:$B$40,$B134,Override!$D$11:$D$40,1,Override!$E$11:$E$40,"&gt;=0")-COUNTIFS(Override!$B$11:$B$40,$B134,Override!$D$11:$D$40,1,Override!$E$11:$E$40,"&gt;=0",Override!$C$11:$C$40,"MXAU"))&gt;0,SUMIFS(Override!$E$11:$E$40,Override!$B$11:$B$40,$B134,Override!$D$11:$D$40,1)-SUMIFS(Override!$E$11:$E$40,Override!$B$11:$B$40,$B134,Override!$D$11:$D$40,1,Override!$C$11:$C$40,"MXAU"),Override!$C$169)/AS51!$B$3,"")))</f>
        <v/>
      </c>
      <c r="G134" s="140">
        <f>IF(G$13="","",IF($B134="","",IFERROR($C134*$D134*IF((Override!$C$4="ON")*(COUNTIFS(Override!$B$11:$B$40,$B134,Override!$D$11:$D$40,2,Override!$E$11:$E$40,"&gt;=0")-COUNTIFS(Override!$B$11:$B$40,$B134,Override!$D$11:$D$40,2,Override!$E$11:$E$40,"&gt;=0",Override!$C$11:$C$40,"MXAU"))&gt;0,SUMIFS(Override!$E$11:$E$40,Override!$B$11:$B$40,$B134,Override!$D$11:$D$40,2)-SUMIFS(Override!$E$11:$E$40,Override!$B$11:$B$40,$B134,Override!$D$11:$D$40,2,Override!$C$11:$C$40,"MXAU"),Override!$D$169)/AS51!$B$3,"")))</f>
        <v/>
      </c>
      <c r="H134" s="140">
        <f>IF(H$13="","",IF($B134="","",IFERROR($C134*$D134*IF((Override!$C$4="ON")*(COUNTIFS(Override!$B$11:$B$40,$B134,Override!$D$11:$D$40,3,Override!$E$11:$E$40,"&gt;=0")-COUNTIFS(Override!$B$11:$B$40,$B134,Override!$D$11:$D$40,3,Override!$E$11:$E$40,"&gt;=0",Override!$C$11:$C$40,"MXAU"))&gt;0,SUMIFS(Override!$E$11:$E$40,Override!$B$11:$B$40,$B134,Override!$D$11:$D$40,3)-SUMIFS(Override!$E$11:$E$40,Override!$B$11:$B$40,$B134,Override!$D$11:$D$40,3,Override!$C$11:$C$40,"MXAU"),Override!$E$169)/AS51!$B$3,"")))</f>
        <v/>
      </c>
      <c r="I134" s="140">
        <f>IF(I$13="","",IF($B134="","",IFERROR($C134*$D134*IF((Override!$C$4="ON")*(COUNTIFS(Override!$B$11:$B$40,$B134,Override!$D$11:$D$40,4,Override!$E$11:$E$40,"&gt;=0")-COUNTIFS(Override!$B$11:$B$40,$B134,Override!$D$11:$D$40,4,Override!$E$11:$E$40,"&gt;=0",Override!$C$11:$C$40,"MXAU"))&gt;0,SUMIFS(Override!$E$11:$E$40,Override!$B$11:$B$40,$B134,Override!$D$11:$D$40,4)-SUMIFS(Override!$E$11:$E$40,Override!$B$11:$B$40,$B134,Override!$D$11:$D$40,4,Override!$C$11:$C$40,"MXAU"),Override!$F$169)/AS51!$B$3,"")))</f>
        <v/>
      </c>
      <c r="J134" s="140">
        <f>IF(J$13="","",IF($B134="","",IFERROR($C134*$D134*IF((Override!$C$4="ON")*(COUNTIFS(Override!$B$11:$B$40,$B134,Override!$D$11:$D$40,5,Override!$E$11:$E$40,"&gt;=0")-COUNTIFS(Override!$B$11:$B$40,$B134,Override!$D$11:$D$40,5,Override!$E$11:$E$40,"&gt;=0",Override!$C$11:$C$40,"MXAU"))&gt;0,SUMIFS(Override!$E$11:$E$40,Override!$B$11:$B$40,$B134,Override!$D$11:$D$40,5)-SUMIFS(Override!$E$11:$E$40,Override!$B$11:$B$40,$B134,Override!$D$11:$D$40,5,Override!$C$11:$C$40,"MXAU"),Override!$G$169)/AS51!$B$3,"")))</f>
        <v/>
      </c>
      <c r="K134" s="140">
        <f>IF(K$13="","",IF($B134="","",IFERROR($C134*$D134*IF((Override!$C$4="ON")*(COUNTIFS(Override!$B$11:$B$40,$B134,Override!$D$11:$D$40,6,Override!$E$11:$E$40,"&gt;=0")-COUNTIFS(Override!$B$11:$B$40,$B134,Override!$D$11:$D$40,6,Override!$E$11:$E$40,"&gt;=0",Override!$C$11:$C$40,"MXAU"))&gt;0,SUMIFS(Override!$E$11:$E$40,Override!$B$11:$B$40,$B134,Override!$D$11:$D$40,6)-SUMIFS(Override!$E$11:$E$40,Override!$B$11:$B$40,$B134,Override!$D$11:$D$40,6,Override!$C$11:$C$40,"MXAU"),Override!$H$169)/AS51!$B$3,"")))</f>
        <v/>
      </c>
      <c r="L134" s="140">
        <f>IF(L$13="","",IF($B134="","",IFERROR($C134*$D134*IF((Override!$C$4="ON")*(COUNTIFS(Override!$B$11:$B$40,$B134,Override!$D$11:$D$40,7,Override!$E$11:$E$40,"&gt;=0")-COUNTIFS(Override!$B$11:$B$40,$B134,Override!$D$11:$D$40,7,Override!$E$11:$E$40,"&gt;=0",Override!$C$11:$C$40,"MXAU"))&gt;0,SUMIFS(Override!$E$11:$E$40,Override!$B$11:$B$40,$B134,Override!$D$11:$D$40,7)-SUMIFS(Override!$E$11:$E$40,Override!$B$11:$B$40,$B134,Override!$D$11:$D$40,7,Override!$C$11:$C$40,"MXAU"),Override!$I$169)/AS51!$B$3,"")))</f>
        <v/>
      </c>
      <c r="M134" s="140">
        <f>IF(M$13="","",IF($B134="","",IFERROR($C134*$D134*IF((Override!$C$4="ON")*(COUNTIFS(Override!$B$11:$B$40,$B134,Override!$D$11:$D$40,8,Override!$E$11:$E$40,"&gt;=0")-COUNTIFS(Override!$B$11:$B$40,$B134,Override!$D$11:$D$40,8,Override!$E$11:$E$40,"&gt;=0",Override!$C$11:$C$40,"MXAU"))&gt;0,SUMIFS(Override!$E$11:$E$40,Override!$B$11:$B$40,$B134,Override!$D$11:$D$40,8)-SUMIFS(Override!$E$11:$E$40,Override!$B$11:$B$40,$B134,Override!$D$11:$D$40,8,Override!$C$11:$C$40,"MXAU"),Override!$J$169)/AS51!$B$3,"")))</f>
        <v/>
      </c>
      <c r="N134" s="140">
        <f>IF(N$13="","",IF($B134="","",IFERROR($C134*$D134*IF((Override!$C$4="ON")*(COUNTIFS(Override!$B$11:$B$40,$B134,Override!$D$11:$D$40,9,Override!$E$11:$E$40,"&gt;=0")-COUNTIFS(Override!$B$11:$B$40,$B134,Override!$D$11:$D$40,9,Override!$E$11:$E$40,"&gt;=0",Override!$C$11:$C$40,"MXAU"))&gt;0,SUMIFS(Override!$E$11:$E$40,Override!$B$11:$B$40,$B134,Override!$D$11:$D$40,9)-SUMIFS(Override!$E$11:$E$40,Override!$B$11:$B$40,$B134,Override!$D$11:$D$40,9,Override!$C$11:$C$40,"MXAU"),Override!$K$169)/AS51!$B$3,"")))</f>
        <v/>
      </c>
      <c r="O134" s="140">
        <f>IF(O$13="","",IF($B134="","",IFERROR($C134*$D134*IF((Override!$C$4="ON")*(COUNTIFS(Override!$B$11:$B$40,$B134,Override!$D$11:$D$40,10,Override!$E$11:$E$40,"&gt;=0")-COUNTIFS(Override!$B$11:$B$40,$B134,Override!$D$11:$D$40,10,Override!$E$11:$E$40,"&gt;=0",Override!$C$11:$C$40,"MXAU"))&gt;0,SUMIFS(Override!$E$11:$E$40,Override!$B$11:$B$40,$B134,Override!$D$11:$D$40,10)-SUMIFS(Override!$E$11:$E$40,Override!$B$11:$B$40,$B134,Override!$D$11:$D$40,10,Override!$C$11:$C$40,"MXAU"),Override!$L$169)/AS51!$B$3,"")))</f>
        <v/>
      </c>
      <c r="P134" s="140">
        <f>IF(P$13="","",IF($B134="","",IFERROR($C134*$D134*IF((Override!$C$4="ON")*(COUNTIFS(Override!$B$11:$B$40,$B134,Override!$D$11:$D$40,11,Override!$E$11:$E$40,"&gt;=0")-COUNTIFS(Override!$B$11:$B$40,$B134,Override!$D$11:$D$40,11,Override!$E$11:$E$40,"&gt;=0",Override!$C$11:$C$40,"MXAU"))&gt;0,SUMIFS(Override!$E$11:$E$40,Override!$B$11:$B$40,$B134,Override!$D$11:$D$40,11)-SUMIFS(Override!$E$11:$E$40,Override!$B$11:$B$40,$B134,Override!$D$11:$D$40,11,Override!$C$11:$C$40,"MXAU"),Override!$M$169)/AS51!$B$3,"")))</f>
        <v/>
      </c>
      <c r="Q134" s="140">
        <f>IF(Q$13="","",IF($B134="","",IFERROR($C134*$D134*IF((Override!$C$4="ON")*(COUNTIFS(Override!$B$11:$B$40,$B134,Override!$D$11:$D$40,12,Override!$E$11:$E$40,"&gt;=0")-COUNTIFS(Override!$B$11:$B$40,$B134,Override!$D$11:$D$40,12,Override!$E$11:$E$40,"&gt;=0",Override!$C$11:$C$40,"MXAU"))&gt;0,SUMIFS(Override!$E$11:$E$40,Override!$B$11:$B$40,$B134,Override!$D$11:$D$40,12)-SUMIFS(Override!$E$11:$E$40,Override!$B$11:$B$40,$B134,Override!$D$11:$D$40,12,Override!$C$11:$C$40,"MXAU"),Override!$N$169)/AS51!$B$3,"")))</f>
        <v/>
      </c>
      <c r="R134" s="140">
        <f>IF(R$13="","",IF($B134="","",IFERROR($C134*$D134*IF((Override!$C$4="ON")*(COUNTIFS(Override!$B$11:$B$40,$B134,Override!$D$11:$D$40,13,Override!$E$11:$E$40,"&gt;=0")-COUNTIFS(Override!$B$11:$B$40,$B134,Override!$D$11:$D$40,13,Override!$E$11:$E$40,"&gt;=0",Override!$C$11:$C$40,"MXAU"))&gt;0,SUMIFS(Override!$E$11:$E$40,Override!$B$11:$B$40,$B134,Override!$D$11:$D$40,13)-SUMIFS(Override!$E$11:$E$40,Override!$B$11:$B$40,$B134,Override!$D$11:$D$40,13,Override!$C$11:$C$40,"MXAU"),Override!$O$169)/AS51!$B$3,"")))</f>
        <v/>
      </c>
      <c r="S134" s="140">
        <f>IF(S$13="","",IF($B134="","",IFERROR($C134*$D134*IF((Override!$C$4="ON")*(COUNTIFS(Override!$B$11:$B$40,$B134,Override!$D$11:$D$40,14,Override!$E$11:$E$40,"&gt;=0")-COUNTIFS(Override!$B$11:$B$40,$B134,Override!$D$11:$D$40,14,Override!$E$11:$E$40,"&gt;=0",Override!$C$11:$C$40,"MXAU"))&gt;0,SUMIFS(Override!$E$11:$E$40,Override!$B$11:$B$40,$B134,Override!$D$11:$D$40,14)-SUMIFS(Override!$E$11:$E$40,Override!$B$11:$B$40,$B134,Override!$D$11:$D$40,14,Override!$C$11:$C$40,"MXAU"),Override!$P$169)/AS51!$B$3,"")))</f>
        <v/>
      </c>
      <c r="T134" s="140">
        <f>IF(T$13="","",IF($B134="","",IFERROR($C134*$D134*IF((Override!$C$4="ON")*(COUNTIFS(Override!$B$11:$B$40,$B134,Override!$D$11:$D$40,15,Override!$E$11:$E$40,"&gt;=0")-COUNTIFS(Override!$B$11:$B$40,$B134,Override!$D$11:$D$40,15,Override!$E$11:$E$40,"&gt;=0",Override!$C$11:$C$40,"MXAU"))&gt;0,SUMIFS(Override!$E$11:$E$40,Override!$B$11:$B$40,$B134,Override!$D$11:$D$40,15)-SUMIFS(Override!$E$11:$E$40,Override!$B$11:$B$40,$B134,Override!$D$11:$D$40,15,Override!$C$11:$C$40,"MXAU"),Override!$Q$169)/AS51!$B$3,"")))</f>
        <v/>
      </c>
      <c r="U134" s="140">
        <f>IF(U$13="","",IF($B134="","",IFERROR($C134*$D134*IF((Override!$C$4="ON")*(COUNTIFS(Override!$B$11:$B$40,$B134,Override!$D$11:$D$40,16,Override!$E$11:$E$40,"&gt;=0")-COUNTIFS(Override!$B$11:$B$40,$B134,Override!$D$11:$D$40,16,Override!$E$11:$E$40,"&gt;=0",Override!$C$11:$C$40,"MXAU"))&gt;0,SUMIFS(Override!$E$11:$E$40,Override!$B$11:$B$40,$B134,Override!$D$11:$D$40,16)-SUMIFS(Override!$E$11:$E$40,Override!$B$11:$B$40,$B134,Override!$D$11:$D$40,16,Override!$C$11:$C$40,"MXAU"),Override!$R$169)/AS51!$B$3,"")))</f>
        <v/>
      </c>
      <c r="W134" s="140">
        <f>IF(W$13="","",IF($B134="","",IFERROR(F134*$E134/100,"")))</f>
        <v/>
      </c>
      <c r="X134" s="140">
        <f>IF(X$13="","",IF($B134="","",IFERROR(G134*$E134/100,"")))</f>
        <v/>
      </c>
      <c r="Y134" s="140">
        <f>IF(Y$13="","",IF($B134="","",IFERROR(H134*$E134/100,"")))</f>
        <v/>
      </c>
      <c r="Z134" s="140">
        <f>IF(Z$13="","",IF($B134="","",IFERROR(I134*$E134/100,"")))</f>
        <v/>
      </c>
      <c r="AA134" s="140">
        <f>IF(AA$13="","",IF($B134="","",IFERROR(J134*$E134/100,"")))</f>
        <v/>
      </c>
      <c r="AB134" s="140">
        <f>IF(AB$13="","",IF($B134="","",IFERROR(K134*$E134/100,"")))</f>
        <v/>
      </c>
      <c r="AC134" s="140">
        <f>IF(AC$13="","",IF($B134="","",IFERROR(L134*$E134/100,"")))</f>
        <v/>
      </c>
      <c r="AD134" s="140">
        <f>IF(AD$13="","",IF($B134="","",IFERROR(M134*$E134/100,"")))</f>
        <v/>
      </c>
      <c r="AE134" s="140">
        <f>IF(AE$13="","",IF($B134="","",IFERROR(N134*$E134/100,"")))</f>
        <v/>
      </c>
      <c r="AF134" s="140">
        <f>IF(AF$13="","",IF($B134="","",IFERROR(O134*$E134/100,"")))</f>
        <v/>
      </c>
      <c r="AG134" s="140">
        <f>IF(AG$13="","",IF($B134="","",IFERROR(P134*$E134/100,"")))</f>
        <v/>
      </c>
      <c r="AH134" s="140">
        <f>IF(AH$13="","",IF($B134="","",IFERROR(Q134*$E134/100,"")))</f>
        <v/>
      </c>
      <c r="AI134" s="140">
        <f>IF(AI$13="","",IF($B134="","",IFERROR(R134*$E134/100,"")))</f>
        <v/>
      </c>
      <c r="AJ134" s="140">
        <f>IF(AJ$13="","",IF($B134="","",IFERROR(S134*$E134/100,"")))</f>
        <v/>
      </c>
      <c r="AK134" s="140">
        <f>IF(AK$13="","",IF($B134="","",IFERROR(T134*$E134/100,"")))</f>
        <v/>
      </c>
      <c r="AL134" s="140">
        <f>IF(AL$13="","",IF($B134="","",IFERROR(U134*$E134/100,"")))</f>
        <v/>
      </c>
      <c r="AN134" s="140">
        <f>IF($B134="","",SUMIF($F$13:$U$13,"&lt;="&amp;Sector!$D$51,$F134:$U134))</f>
        <v/>
      </c>
      <c r="AO134" s="140">
        <f>IF($B134="","",SUMIF($W$13:$AL$13,"&lt;="&amp;Sector!$D$51,$W134:$AL134))</f>
        <v/>
      </c>
    </row>
    <row r="135">
      <c r="B135" s="5">
        <f>IF(AS51!$C$125="","",AS51!$C$125)</f>
        <v/>
      </c>
      <c r="C135" s="90">
        <f>IF(AS51!$B$125="","",AS51!$B$125)</f>
        <v/>
      </c>
      <c r="D135" s="138">
        <f>IFERROR(AS51!$Q$125,1)</f>
        <v/>
      </c>
      <c r="E135" s="139">
        <f>IF($B135="","",IF(ISNUMBER(AS51!$I$125),AS51!$I$125,'Index Summary'!$C$7))</f>
        <v/>
      </c>
      <c r="F135" s="140">
        <f>IF(F$13="","",IF($B135="","",IFERROR($C135*$D135*IF((Override!$C$4="ON")*(COUNTIFS(Override!$B$11:$B$40,$B135,Override!$D$11:$D$40,1,Override!$E$11:$E$40,"&gt;=0")-COUNTIFS(Override!$B$11:$B$40,$B135,Override!$D$11:$D$40,1,Override!$E$11:$E$40,"&gt;=0",Override!$C$11:$C$40,"MXAU"))&gt;0,SUMIFS(Override!$E$11:$E$40,Override!$B$11:$B$40,$B135,Override!$D$11:$D$40,1)-SUMIFS(Override!$E$11:$E$40,Override!$B$11:$B$40,$B135,Override!$D$11:$D$40,1,Override!$C$11:$C$40,"MXAU"),Override!$C$170)/AS51!$B$3,"")))</f>
        <v/>
      </c>
      <c r="G135" s="140">
        <f>IF(G$13="","",IF($B135="","",IFERROR($C135*$D135*IF((Override!$C$4="ON")*(COUNTIFS(Override!$B$11:$B$40,$B135,Override!$D$11:$D$40,2,Override!$E$11:$E$40,"&gt;=0")-COUNTIFS(Override!$B$11:$B$40,$B135,Override!$D$11:$D$40,2,Override!$E$11:$E$40,"&gt;=0",Override!$C$11:$C$40,"MXAU"))&gt;0,SUMIFS(Override!$E$11:$E$40,Override!$B$11:$B$40,$B135,Override!$D$11:$D$40,2)-SUMIFS(Override!$E$11:$E$40,Override!$B$11:$B$40,$B135,Override!$D$11:$D$40,2,Override!$C$11:$C$40,"MXAU"),Override!$D$170)/AS51!$B$3,"")))</f>
        <v/>
      </c>
      <c r="H135" s="140">
        <f>IF(H$13="","",IF($B135="","",IFERROR($C135*$D135*IF((Override!$C$4="ON")*(COUNTIFS(Override!$B$11:$B$40,$B135,Override!$D$11:$D$40,3,Override!$E$11:$E$40,"&gt;=0")-COUNTIFS(Override!$B$11:$B$40,$B135,Override!$D$11:$D$40,3,Override!$E$11:$E$40,"&gt;=0",Override!$C$11:$C$40,"MXAU"))&gt;0,SUMIFS(Override!$E$11:$E$40,Override!$B$11:$B$40,$B135,Override!$D$11:$D$40,3)-SUMIFS(Override!$E$11:$E$40,Override!$B$11:$B$40,$B135,Override!$D$11:$D$40,3,Override!$C$11:$C$40,"MXAU"),Override!$E$170)/AS51!$B$3,"")))</f>
        <v/>
      </c>
      <c r="I135" s="140">
        <f>IF(I$13="","",IF($B135="","",IFERROR($C135*$D135*IF((Override!$C$4="ON")*(COUNTIFS(Override!$B$11:$B$40,$B135,Override!$D$11:$D$40,4,Override!$E$11:$E$40,"&gt;=0")-COUNTIFS(Override!$B$11:$B$40,$B135,Override!$D$11:$D$40,4,Override!$E$11:$E$40,"&gt;=0",Override!$C$11:$C$40,"MXAU"))&gt;0,SUMIFS(Override!$E$11:$E$40,Override!$B$11:$B$40,$B135,Override!$D$11:$D$40,4)-SUMIFS(Override!$E$11:$E$40,Override!$B$11:$B$40,$B135,Override!$D$11:$D$40,4,Override!$C$11:$C$40,"MXAU"),Override!$F$170)/AS51!$B$3,"")))</f>
        <v/>
      </c>
      <c r="J135" s="140">
        <f>IF(J$13="","",IF($B135="","",IFERROR($C135*$D135*IF((Override!$C$4="ON")*(COUNTIFS(Override!$B$11:$B$40,$B135,Override!$D$11:$D$40,5,Override!$E$11:$E$40,"&gt;=0")-COUNTIFS(Override!$B$11:$B$40,$B135,Override!$D$11:$D$40,5,Override!$E$11:$E$40,"&gt;=0",Override!$C$11:$C$40,"MXAU"))&gt;0,SUMIFS(Override!$E$11:$E$40,Override!$B$11:$B$40,$B135,Override!$D$11:$D$40,5)-SUMIFS(Override!$E$11:$E$40,Override!$B$11:$B$40,$B135,Override!$D$11:$D$40,5,Override!$C$11:$C$40,"MXAU"),Override!$G$170)/AS51!$B$3,"")))</f>
        <v/>
      </c>
      <c r="K135" s="140">
        <f>IF(K$13="","",IF($B135="","",IFERROR($C135*$D135*IF((Override!$C$4="ON")*(COUNTIFS(Override!$B$11:$B$40,$B135,Override!$D$11:$D$40,6,Override!$E$11:$E$40,"&gt;=0")-COUNTIFS(Override!$B$11:$B$40,$B135,Override!$D$11:$D$40,6,Override!$E$11:$E$40,"&gt;=0",Override!$C$11:$C$40,"MXAU"))&gt;0,SUMIFS(Override!$E$11:$E$40,Override!$B$11:$B$40,$B135,Override!$D$11:$D$40,6)-SUMIFS(Override!$E$11:$E$40,Override!$B$11:$B$40,$B135,Override!$D$11:$D$40,6,Override!$C$11:$C$40,"MXAU"),Override!$H$170)/AS51!$B$3,"")))</f>
        <v/>
      </c>
      <c r="L135" s="140">
        <f>IF(L$13="","",IF($B135="","",IFERROR($C135*$D135*IF((Override!$C$4="ON")*(COUNTIFS(Override!$B$11:$B$40,$B135,Override!$D$11:$D$40,7,Override!$E$11:$E$40,"&gt;=0")-COUNTIFS(Override!$B$11:$B$40,$B135,Override!$D$11:$D$40,7,Override!$E$11:$E$40,"&gt;=0",Override!$C$11:$C$40,"MXAU"))&gt;0,SUMIFS(Override!$E$11:$E$40,Override!$B$11:$B$40,$B135,Override!$D$11:$D$40,7)-SUMIFS(Override!$E$11:$E$40,Override!$B$11:$B$40,$B135,Override!$D$11:$D$40,7,Override!$C$11:$C$40,"MXAU"),Override!$I$170)/AS51!$B$3,"")))</f>
        <v/>
      </c>
      <c r="M135" s="140">
        <f>IF(M$13="","",IF($B135="","",IFERROR($C135*$D135*IF((Override!$C$4="ON")*(COUNTIFS(Override!$B$11:$B$40,$B135,Override!$D$11:$D$40,8,Override!$E$11:$E$40,"&gt;=0")-COUNTIFS(Override!$B$11:$B$40,$B135,Override!$D$11:$D$40,8,Override!$E$11:$E$40,"&gt;=0",Override!$C$11:$C$40,"MXAU"))&gt;0,SUMIFS(Override!$E$11:$E$40,Override!$B$11:$B$40,$B135,Override!$D$11:$D$40,8)-SUMIFS(Override!$E$11:$E$40,Override!$B$11:$B$40,$B135,Override!$D$11:$D$40,8,Override!$C$11:$C$40,"MXAU"),Override!$J$170)/AS51!$B$3,"")))</f>
        <v/>
      </c>
      <c r="N135" s="140">
        <f>IF(N$13="","",IF($B135="","",IFERROR($C135*$D135*IF((Override!$C$4="ON")*(COUNTIFS(Override!$B$11:$B$40,$B135,Override!$D$11:$D$40,9,Override!$E$11:$E$40,"&gt;=0")-COUNTIFS(Override!$B$11:$B$40,$B135,Override!$D$11:$D$40,9,Override!$E$11:$E$40,"&gt;=0",Override!$C$11:$C$40,"MXAU"))&gt;0,SUMIFS(Override!$E$11:$E$40,Override!$B$11:$B$40,$B135,Override!$D$11:$D$40,9)-SUMIFS(Override!$E$11:$E$40,Override!$B$11:$B$40,$B135,Override!$D$11:$D$40,9,Override!$C$11:$C$40,"MXAU"),Override!$K$170)/AS51!$B$3,"")))</f>
        <v/>
      </c>
      <c r="O135" s="140">
        <f>IF(O$13="","",IF($B135="","",IFERROR($C135*$D135*IF((Override!$C$4="ON")*(COUNTIFS(Override!$B$11:$B$40,$B135,Override!$D$11:$D$40,10,Override!$E$11:$E$40,"&gt;=0")-COUNTIFS(Override!$B$11:$B$40,$B135,Override!$D$11:$D$40,10,Override!$E$11:$E$40,"&gt;=0",Override!$C$11:$C$40,"MXAU"))&gt;0,SUMIFS(Override!$E$11:$E$40,Override!$B$11:$B$40,$B135,Override!$D$11:$D$40,10)-SUMIFS(Override!$E$11:$E$40,Override!$B$11:$B$40,$B135,Override!$D$11:$D$40,10,Override!$C$11:$C$40,"MXAU"),Override!$L$170)/AS51!$B$3,"")))</f>
        <v/>
      </c>
      <c r="P135" s="140">
        <f>IF(P$13="","",IF($B135="","",IFERROR($C135*$D135*IF((Override!$C$4="ON")*(COUNTIFS(Override!$B$11:$B$40,$B135,Override!$D$11:$D$40,11,Override!$E$11:$E$40,"&gt;=0")-COUNTIFS(Override!$B$11:$B$40,$B135,Override!$D$11:$D$40,11,Override!$E$11:$E$40,"&gt;=0",Override!$C$11:$C$40,"MXAU"))&gt;0,SUMIFS(Override!$E$11:$E$40,Override!$B$11:$B$40,$B135,Override!$D$11:$D$40,11)-SUMIFS(Override!$E$11:$E$40,Override!$B$11:$B$40,$B135,Override!$D$11:$D$40,11,Override!$C$11:$C$40,"MXAU"),Override!$M$170)/AS51!$B$3,"")))</f>
        <v/>
      </c>
      <c r="Q135" s="140">
        <f>IF(Q$13="","",IF($B135="","",IFERROR($C135*$D135*IF((Override!$C$4="ON")*(COUNTIFS(Override!$B$11:$B$40,$B135,Override!$D$11:$D$40,12,Override!$E$11:$E$40,"&gt;=0")-COUNTIFS(Override!$B$11:$B$40,$B135,Override!$D$11:$D$40,12,Override!$E$11:$E$40,"&gt;=0",Override!$C$11:$C$40,"MXAU"))&gt;0,SUMIFS(Override!$E$11:$E$40,Override!$B$11:$B$40,$B135,Override!$D$11:$D$40,12)-SUMIFS(Override!$E$11:$E$40,Override!$B$11:$B$40,$B135,Override!$D$11:$D$40,12,Override!$C$11:$C$40,"MXAU"),Override!$N$170)/AS51!$B$3,"")))</f>
        <v/>
      </c>
      <c r="R135" s="140">
        <f>IF(R$13="","",IF($B135="","",IFERROR($C135*$D135*IF((Override!$C$4="ON")*(COUNTIFS(Override!$B$11:$B$40,$B135,Override!$D$11:$D$40,13,Override!$E$11:$E$40,"&gt;=0")-COUNTIFS(Override!$B$11:$B$40,$B135,Override!$D$11:$D$40,13,Override!$E$11:$E$40,"&gt;=0",Override!$C$11:$C$40,"MXAU"))&gt;0,SUMIFS(Override!$E$11:$E$40,Override!$B$11:$B$40,$B135,Override!$D$11:$D$40,13)-SUMIFS(Override!$E$11:$E$40,Override!$B$11:$B$40,$B135,Override!$D$11:$D$40,13,Override!$C$11:$C$40,"MXAU"),Override!$O$170)/AS51!$B$3,"")))</f>
        <v/>
      </c>
      <c r="S135" s="140">
        <f>IF(S$13="","",IF($B135="","",IFERROR($C135*$D135*IF((Override!$C$4="ON")*(COUNTIFS(Override!$B$11:$B$40,$B135,Override!$D$11:$D$40,14,Override!$E$11:$E$40,"&gt;=0")-COUNTIFS(Override!$B$11:$B$40,$B135,Override!$D$11:$D$40,14,Override!$E$11:$E$40,"&gt;=0",Override!$C$11:$C$40,"MXAU"))&gt;0,SUMIFS(Override!$E$11:$E$40,Override!$B$11:$B$40,$B135,Override!$D$11:$D$40,14)-SUMIFS(Override!$E$11:$E$40,Override!$B$11:$B$40,$B135,Override!$D$11:$D$40,14,Override!$C$11:$C$40,"MXAU"),Override!$P$170)/AS51!$B$3,"")))</f>
        <v/>
      </c>
      <c r="T135" s="140">
        <f>IF(T$13="","",IF($B135="","",IFERROR($C135*$D135*IF((Override!$C$4="ON")*(COUNTIFS(Override!$B$11:$B$40,$B135,Override!$D$11:$D$40,15,Override!$E$11:$E$40,"&gt;=0")-COUNTIFS(Override!$B$11:$B$40,$B135,Override!$D$11:$D$40,15,Override!$E$11:$E$40,"&gt;=0",Override!$C$11:$C$40,"MXAU"))&gt;0,SUMIFS(Override!$E$11:$E$40,Override!$B$11:$B$40,$B135,Override!$D$11:$D$40,15)-SUMIFS(Override!$E$11:$E$40,Override!$B$11:$B$40,$B135,Override!$D$11:$D$40,15,Override!$C$11:$C$40,"MXAU"),Override!$Q$170)/AS51!$B$3,"")))</f>
        <v/>
      </c>
      <c r="U135" s="140">
        <f>IF(U$13="","",IF($B135="","",IFERROR($C135*$D135*IF((Override!$C$4="ON")*(COUNTIFS(Override!$B$11:$B$40,$B135,Override!$D$11:$D$40,16,Override!$E$11:$E$40,"&gt;=0")-COUNTIFS(Override!$B$11:$B$40,$B135,Override!$D$11:$D$40,16,Override!$E$11:$E$40,"&gt;=0",Override!$C$11:$C$40,"MXAU"))&gt;0,SUMIFS(Override!$E$11:$E$40,Override!$B$11:$B$40,$B135,Override!$D$11:$D$40,16)-SUMIFS(Override!$E$11:$E$40,Override!$B$11:$B$40,$B135,Override!$D$11:$D$40,16,Override!$C$11:$C$40,"MXAU"),Override!$R$170)/AS51!$B$3,"")))</f>
        <v/>
      </c>
      <c r="W135" s="140">
        <f>IF(W$13="","",IF($B135="","",IFERROR(F135*$E135/100,"")))</f>
        <v/>
      </c>
      <c r="X135" s="140">
        <f>IF(X$13="","",IF($B135="","",IFERROR(G135*$E135/100,"")))</f>
        <v/>
      </c>
      <c r="Y135" s="140">
        <f>IF(Y$13="","",IF($B135="","",IFERROR(H135*$E135/100,"")))</f>
        <v/>
      </c>
      <c r="Z135" s="140">
        <f>IF(Z$13="","",IF($B135="","",IFERROR(I135*$E135/100,"")))</f>
        <v/>
      </c>
      <c r="AA135" s="140">
        <f>IF(AA$13="","",IF($B135="","",IFERROR(J135*$E135/100,"")))</f>
        <v/>
      </c>
      <c r="AB135" s="140">
        <f>IF(AB$13="","",IF($B135="","",IFERROR(K135*$E135/100,"")))</f>
        <v/>
      </c>
      <c r="AC135" s="140">
        <f>IF(AC$13="","",IF($B135="","",IFERROR(L135*$E135/100,"")))</f>
        <v/>
      </c>
      <c r="AD135" s="140">
        <f>IF(AD$13="","",IF($B135="","",IFERROR(M135*$E135/100,"")))</f>
        <v/>
      </c>
      <c r="AE135" s="140">
        <f>IF(AE$13="","",IF($B135="","",IFERROR(N135*$E135/100,"")))</f>
        <v/>
      </c>
      <c r="AF135" s="140">
        <f>IF(AF$13="","",IF($B135="","",IFERROR(O135*$E135/100,"")))</f>
        <v/>
      </c>
      <c r="AG135" s="140">
        <f>IF(AG$13="","",IF($B135="","",IFERROR(P135*$E135/100,"")))</f>
        <v/>
      </c>
      <c r="AH135" s="140">
        <f>IF(AH$13="","",IF($B135="","",IFERROR(Q135*$E135/100,"")))</f>
        <v/>
      </c>
      <c r="AI135" s="140">
        <f>IF(AI$13="","",IF($B135="","",IFERROR(R135*$E135/100,"")))</f>
        <v/>
      </c>
      <c r="AJ135" s="140">
        <f>IF(AJ$13="","",IF($B135="","",IFERROR(S135*$E135/100,"")))</f>
        <v/>
      </c>
      <c r="AK135" s="140">
        <f>IF(AK$13="","",IF($B135="","",IFERROR(T135*$E135/100,"")))</f>
        <v/>
      </c>
      <c r="AL135" s="140">
        <f>IF(AL$13="","",IF($B135="","",IFERROR(U135*$E135/100,"")))</f>
        <v/>
      </c>
      <c r="AN135" s="140">
        <f>IF($B135="","",SUMIF($F$13:$U$13,"&lt;="&amp;Sector!$D$51,$F135:$U135))</f>
        <v/>
      </c>
      <c r="AO135" s="140">
        <f>IF($B135="","",SUMIF($W$13:$AL$13,"&lt;="&amp;Sector!$D$51,$W135:$AL135))</f>
        <v/>
      </c>
    </row>
    <row r="136">
      <c r="B136" s="5">
        <f>IF(AS51!$C$126="","",AS51!$C$126)</f>
        <v/>
      </c>
      <c r="C136" s="90">
        <f>IF(AS51!$B$126="","",AS51!$B$126)</f>
        <v/>
      </c>
      <c r="D136" s="138">
        <f>IFERROR(AS51!$Q$126,1)</f>
        <v/>
      </c>
      <c r="E136" s="139">
        <f>IF($B136="","",IF(ISNUMBER(AS51!$I$126),AS51!$I$126,'Index Summary'!$C$7))</f>
        <v/>
      </c>
      <c r="F136" s="140">
        <f>IF(F$13="","",IF($B136="","",IFERROR($C136*$D136*IF((Override!$C$4="ON")*(COUNTIFS(Override!$B$11:$B$40,$B136,Override!$D$11:$D$40,1,Override!$E$11:$E$40,"&gt;=0")-COUNTIFS(Override!$B$11:$B$40,$B136,Override!$D$11:$D$40,1,Override!$E$11:$E$40,"&gt;=0",Override!$C$11:$C$40,"MXAU"))&gt;0,SUMIFS(Override!$E$11:$E$40,Override!$B$11:$B$40,$B136,Override!$D$11:$D$40,1)-SUMIFS(Override!$E$11:$E$40,Override!$B$11:$B$40,$B136,Override!$D$11:$D$40,1,Override!$C$11:$C$40,"MXAU"),Override!$C$171)/AS51!$B$3,"")))</f>
        <v/>
      </c>
      <c r="G136" s="140">
        <f>IF(G$13="","",IF($B136="","",IFERROR($C136*$D136*IF((Override!$C$4="ON")*(COUNTIFS(Override!$B$11:$B$40,$B136,Override!$D$11:$D$40,2,Override!$E$11:$E$40,"&gt;=0")-COUNTIFS(Override!$B$11:$B$40,$B136,Override!$D$11:$D$40,2,Override!$E$11:$E$40,"&gt;=0",Override!$C$11:$C$40,"MXAU"))&gt;0,SUMIFS(Override!$E$11:$E$40,Override!$B$11:$B$40,$B136,Override!$D$11:$D$40,2)-SUMIFS(Override!$E$11:$E$40,Override!$B$11:$B$40,$B136,Override!$D$11:$D$40,2,Override!$C$11:$C$40,"MXAU"),Override!$D$171)/AS51!$B$3,"")))</f>
        <v/>
      </c>
      <c r="H136" s="140">
        <f>IF(H$13="","",IF($B136="","",IFERROR($C136*$D136*IF((Override!$C$4="ON")*(COUNTIFS(Override!$B$11:$B$40,$B136,Override!$D$11:$D$40,3,Override!$E$11:$E$40,"&gt;=0")-COUNTIFS(Override!$B$11:$B$40,$B136,Override!$D$11:$D$40,3,Override!$E$11:$E$40,"&gt;=0",Override!$C$11:$C$40,"MXAU"))&gt;0,SUMIFS(Override!$E$11:$E$40,Override!$B$11:$B$40,$B136,Override!$D$11:$D$40,3)-SUMIFS(Override!$E$11:$E$40,Override!$B$11:$B$40,$B136,Override!$D$11:$D$40,3,Override!$C$11:$C$40,"MXAU"),Override!$E$171)/AS51!$B$3,"")))</f>
        <v/>
      </c>
      <c r="I136" s="140">
        <f>IF(I$13="","",IF($B136="","",IFERROR($C136*$D136*IF((Override!$C$4="ON")*(COUNTIFS(Override!$B$11:$B$40,$B136,Override!$D$11:$D$40,4,Override!$E$11:$E$40,"&gt;=0")-COUNTIFS(Override!$B$11:$B$40,$B136,Override!$D$11:$D$40,4,Override!$E$11:$E$40,"&gt;=0",Override!$C$11:$C$40,"MXAU"))&gt;0,SUMIFS(Override!$E$11:$E$40,Override!$B$11:$B$40,$B136,Override!$D$11:$D$40,4)-SUMIFS(Override!$E$11:$E$40,Override!$B$11:$B$40,$B136,Override!$D$11:$D$40,4,Override!$C$11:$C$40,"MXAU"),Override!$F$171)/AS51!$B$3,"")))</f>
        <v/>
      </c>
      <c r="J136" s="140">
        <f>IF(J$13="","",IF($B136="","",IFERROR($C136*$D136*IF((Override!$C$4="ON")*(COUNTIFS(Override!$B$11:$B$40,$B136,Override!$D$11:$D$40,5,Override!$E$11:$E$40,"&gt;=0")-COUNTIFS(Override!$B$11:$B$40,$B136,Override!$D$11:$D$40,5,Override!$E$11:$E$40,"&gt;=0",Override!$C$11:$C$40,"MXAU"))&gt;0,SUMIFS(Override!$E$11:$E$40,Override!$B$11:$B$40,$B136,Override!$D$11:$D$40,5)-SUMIFS(Override!$E$11:$E$40,Override!$B$11:$B$40,$B136,Override!$D$11:$D$40,5,Override!$C$11:$C$40,"MXAU"),Override!$G$171)/AS51!$B$3,"")))</f>
        <v/>
      </c>
      <c r="K136" s="140">
        <f>IF(K$13="","",IF($B136="","",IFERROR($C136*$D136*IF((Override!$C$4="ON")*(COUNTIFS(Override!$B$11:$B$40,$B136,Override!$D$11:$D$40,6,Override!$E$11:$E$40,"&gt;=0")-COUNTIFS(Override!$B$11:$B$40,$B136,Override!$D$11:$D$40,6,Override!$E$11:$E$40,"&gt;=0",Override!$C$11:$C$40,"MXAU"))&gt;0,SUMIFS(Override!$E$11:$E$40,Override!$B$11:$B$40,$B136,Override!$D$11:$D$40,6)-SUMIFS(Override!$E$11:$E$40,Override!$B$11:$B$40,$B136,Override!$D$11:$D$40,6,Override!$C$11:$C$40,"MXAU"),Override!$H$171)/AS51!$B$3,"")))</f>
        <v/>
      </c>
      <c r="L136" s="140">
        <f>IF(L$13="","",IF($B136="","",IFERROR($C136*$D136*IF((Override!$C$4="ON")*(COUNTIFS(Override!$B$11:$B$40,$B136,Override!$D$11:$D$40,7,Override!$E$11:$E$40,"&gt;=0")-COUNTIFS(Override!$B$11:$B$40,$B136,Override!$D$11:$D$40,7,Override!$E$11:$E$40,"&gt;=0",Override!$C$11:$C$40,"MXAU"))&gt;0,SUMIFS(Override!$E$11:$E$40,Override!$B$11:$B$40,$B136,Override!$D$11:$D$40,7)-SUMIFS(Override!$E$11:$E$40,Override!$B$11:$B$40,$B136,Override!$D$11:$D$40,7,Override!$C$11:$C$40,"MXAU"),Override!$I$171)/AS51!$B$3,"")))</f>
        <v/>
      </c>
      <c r="M136" s="140">
        <f>IF(M$13="","",IF($B136="","",IFERROR($C136*$D136*IF((Override!$C$4="ON")*(COUNTIFS(Override!$B$11:$B$40,$B136,Override!$D$11:$D$40,8,Override!$E$11:$E$40,"&gt;=0")-COUNTIFS(Override!$B$11:$B$40,$B136,Override!$D$11:$D$40,8,Override!$E$11:$E$40,"&gt;=0",Override!$C$11:$C$40,"MXAU"))&gt;0,SUMIFS(Override!$E$11:$E$40,Override!$B$11:$B$40,$B136,Override!$D$11:$D$40,8)-SUMIFS(Override!$E$11:$E$40,Override!$B$11:$B$40,$B136,Override!$D$11:$D$40,8,Override!$C$11:$C$40,"MXAU"),Override!$J$171)/AS51!$B$3,"")))</f>
        <v/>
      </c>
      <c r="N136" s="140">
        <f>IF(N$13="","",IF($B136="","",IFERROR($C136*$D136*IF((Override!$C$4="ON")*(COUNTIFS(Override!$B$11:$B$40,$B136,Override!$D$11:$D$40,9,Override!$E$11:$E$40,"&gt;=0")-COUNTIFS(Override!$B$11:$B$40,$B136,Override!$D$11:$D$40,9,Override!$E$11:$E$40,"&gt;=0",Override!$C$11:$C$40,"MXAU"))&gt;0,SUMIFS(Override!$E$11:$E$40,Override!$B$11:$B$40,$B136,Override!$D$11:$D$40,9)-SUMIFS(Override!$E$11:$E$40,Override!$B$11:$B$40,$B136,Override!$D$11:$D$40,9,Override!$C$11:$C$40,"MXAU"),Override!$K$171)/AS51!$B$3,"")))</f>
        <v/>
      </c>
      <c r="O136" s="140">
        <f>IF(O$13="","",IF($B136="","",IFERROR($C136*$D136*IF((Override!$C$4="ON")*(COUNTIFS(Override!$B$11:$B$40,$B136,Override!$D$11:$D$40,10,Override!$E$11:$E$40,"&gt;=0")-COUNTIFS(Override!$B$11:$B$40,$B136,Override!$D$11:$D$40,10,Override!$E$11:$E$40,"&gt;=0",Override!$C$11:$C$40,"MXAU"))&gt;0,SUMIFS(Override!$E$11:$E$40,Override!$B$11:$B$40,$B136,Override!$D$11:$D$40,10)-SUMIFS(Override!$E$11:$E$40,Override!$B$11:$B$40,$B136,Override!$D$11:$D$40,10,Override!$C$11:$C$40,"MXAU"),Override!$L$171)/AS51!$B$3,"")))</f>
        <v/>
      </c>
      <c r="P136" s="140">
        <f>IF(P$13="","",IF($B136="","",IFERROR($C136*$D136*IF((Override!$C$4="ON")*(COUNTIFS(Override!$B$11:$B$40,$B136,Override!$D$11:$D$40,11,Override!$E$11:$E$40,"&gt;=0")-COUNTIFS(Override!$B$11:$B$40,$B136,Override!$D$11:$D$40,11,Override!$E$11:$E$40,"&gt;=0",Override!$C$11:$C$40,"MXAU"))&gt;0,SUMIFS(Override!$E$11:$E$40,Override!$B$11:$B$40,$B136,Override!$D$11:$D$40,11)-SUMIFS(Override!$E$11:$E$40,Override!$B$11:$B$40,$B136,Override!$D$11:$D$40,11,Override!$C$11:$C$40,"MXAU"),Override!$M$171)/AS51!$B$3,"")))</f>
        <v/>
      </c>
      <c r="Q136" s="140">
        <f>IF(Q$13="","",IF($B136="","",IFERROR($C136*$D136*IF((Override!$C$4="ON")*(COUNTIFS(Override!$B$11:$B$40,$B136,Override!$D$11:$D$40,12,Override!$E$11:$E$40,"&gt;=0")-COUNTIFS(Override!$B$11:$B$40,$B136,Override!$D$11:$D$40,12,Override!$E$11:$E$40,"&gt;=0",Override!$C$11:$C$40,"MXAU"))&gt;0,SUMIFS(Override!$E$11:$E$40,Override!$B$11:$B$40,$B136,Override!$D$11:$D$40,12)-SUMIFS(Override!$E$11:$E$40,Override!$B$11:$B$40,$B136,Override!$D$11:$D$40,12,Override!$C$11:$C$40,"MXAU"),Override!$N$171)/AS51!$B$3,"")))</f>
        <v/>
      </c>
      <c r="R136" s="140">
        <f>IF(R$13="","",IF($B136="","",IFERROR($C136*$D136*IF((Override!$C$4="ON")*(COUNTIFS(Override!$B$11:$B$40,$B136,Override!$D$11:$D$40,13,Override!$E$11:$E$40,"&gt;=0")-COUNTIFS(Override!$B$11:$B$40,$B136,Override!$D$11:$D$40,13,Override!$E$11:$E$40,"&gt;=0",Override!$C$11:$C$40,"MXAU"))&gt;0,SUMIFS(Override!$E$11:$E$40,Override!$B$11:$B$40,$B136,Override!$D$11:$D$40,13)-SUMIFS(Override!$E$11:$E$40,Override!$B$11:$B$40,$B136,Override!$D$11:$D$40,13,Override!$C$11:$C$40,"MXAU"),Override!$O$171)/AS51!$B$3,"")))</f>
        <v/>
      </c>
      <c r="S136" s="140">
        <f>IF(S$13="","",IF($B136="","",IFERROR($C136*$D136*IF((Override!$C$4="ON")*(COUNTIFS(Override!$B$11:$B$40,$B136,Override!$D$11:$D$40,14,Override!$E$11:$E$40,"&gt;=0")-COUNTIFS(Override!$B$11:$B$40,$B136,Override!$D$11:$D$40,14,Override!$E$11:$E$40,"&gt;=0",Override!$C$11:$C$40,"MXAU"))&gt;0,SUMIFS(Override!$E$11:$E$40,Override!$B$11:$B$40,$B136,Override!$D$11:$D$40,14)-SUMIFS(Override!$E$11:$E$40,Override!$B$11:$B$40,$B136,Override!$D$11:$D$40,14,Override!$C$11:$C$40,"MXAU"),Override!$P$171)/AS51!$B$3,"")))</f>
        <v/>
      </c>
      <c r="T136" s="140">
        <f>IF(T$13="","",IF($B136="","",IFERROR($C136*$D136*IF((Override!$C$4="ON")*(COUNTIFS(Override!$B$11:$B$40,$B136,Override!$D$11:$D$40,15,Override!$E$11:$E$40,"&gt;=0")-COUNTIFS(Override!$B$11:$B$40,$B136,Override!$D$11:$D$40,15,Override!$E$11:$E$40,"&gt;=0",Override!$C$11:$C$40,"MXAU"))&gt;0,SUMIFS(Override!$E$11:$E$40,Override!$B$11:$B$40,$B136,Override!$D$11:$D$40,15)-SUMIFS(Override!$E$11:$E$40,Override!$B$11:$B$40,$B136,Override!$D$11:$D$40,15,Override!$C$11:$C$40,"MXAU"),Override!$Q$171)/AS51!$B$3,"")))</f>
        <v/>
      </c>
      <c r="U136" s="140">
        <f>IF(U$13="","",IF($B136="","",IFERROR($C136*$D136*IF((Override!$C$4="ON")*(COUNTIFS(Override!$B$11:$B$40,$B136,Override!$D$11:$D$40,16,Override!$E$11:$E$40,"&gt;=0")-COUNTIFS(Override!$B$11:$B$40,$B136,Override!$D$11:$D$40,16,Override!$E$11:$E$40,"&gt;=0",Override!$C$11:$C$40,"MXAU"))&gt;0,SUMIFS(Override!$E$11:$E$40,Override!$B$11:$B$40,$B136,Override!$D$11:$D$40,16)-SUMIFS(Override!$E$11:$E$40,Override!$B$11:$B$40,$B136,Override!$D$11:$D$40,16,Override!$C$11:$C$40,"MXAU"),Override!$R$171)/AS51!$B$3,"")))</f>
        <v/>
      </c>
      <c r="W136" s="140">
        <f>IF(W$13="","",IF($B136="","",IFERROR(F136*$E136/100,"")))</f>
        <v/>
      </c>
      <c r="X136" s="140">
        <f>IF(X$13="","",IF($B136="","",IFERROR(G136*$E136/100,"")))</f>
        <v/>
      </c>
      <c r="Y136" s="140">
        <f>IF(Y$13="","",IF($B136="","",IFERROR(H136*$E136/100,"")))</f>
        <v/>
      </c>
      <c r="Z136" s="140">
        <f>IF(Z$13="","",IF($B136="","",IFERROR(I136*$E136/100,"")))</f>
        <v/>
      </c>
      <c r="AA136" s="140">
        <f>IF(AA$13="","",IF($B136="","",IFERROR(J136*$E136/100,"")))</f>
        <v/>
      </c>
      <c r="AB136" s="140">
        <f>IF(AB$13="","",IF($B136="","",IFERROR(K136*$E136/100,"")))</f>
        <v/>
      </c>
      <c r="AC136" s="140">
        <f>IF(AC$13="","",IF($B136="","",IFERROR(L136*$E136/100,"")))</f>
        <v/>
      </c>
      <c r="AD136" s="140">
        <f>IF(AD$13="","",IF($B136="","",IFERROR(M136*$E136/100,"")))</f>
        <v/>
      </c>
      <c r="AE136" s="140">
        <f>IF(AE$13="","",IF($B136="","",IFERROR(N136*$E136/100,"")))</f>
        <v/>
      </c>
      <c r="AF136" s="140">
        <f>IF(AF$13="","",IF($B136="","",IFERROR(O136*$E136/100,"")))</f>
        <v/>
      </c>
      <c r="AG136" s="140">
        <f>IF(AG$13="","",IF($B136="","",IFERROR(P136*$E136/100,"")))</f>
        <v/>
      </c>
      <c r="AH136" s="140">
        <f>IF(AH$13="","",IF($B136="","",IFERROR(Q136*$E136/100,"")))</f>
        <v/>
      </c>
      <c r="AI136" s="140">
        <f>IF(AI$13="","",IF($B136="","",IFERROR(R136*$E136/100,"")))</f>
        <v/>
      </c>
      <c r="AJ136" s="140">
        <f>IF(AJ$13="","",IF($B136="","",IFERROR(S136*$E136/100,"")))</f>
        <v/>
      </c>
      <c r="AK136" s="140">
        <f>IF(AK$13="","",IF($B136="","",IFERROR(T136*$E136/100,"")))</f>
        <v/>
      </c>
      <c r="AL136" s="140">
        <f>IF(AL$13="","",IF($B136="","",IFERROR(U136*$E136/100,"")))</f>
        <v/>
      </c>
      <c r="AN136" s="140">
        <f>IF($B136="","",SUMIF($F$13:$U$13,"&lt;="&amp;Sector!$D$51,$F136:$U136))</f>
        <v/>
      </c>
      <c r="AO136" s="140">
        <f>IF($B136="","",SUMIF($W$13:$AL$13,"&lt;="&amp;Sector!$D$51,$W136:$AL136))</f>
        <v/>
      </c>
    </row>
    <row r="137">
      <c r="B137" s="5">
        <f>IF(AS51!$C$127="","",AS51!$C$127)</f>
        <v/>
      </c>
      <c r="C137" s="90">
        <f>IF(AS51!$B$127="","",AS51!$B$127)</f>
        <v/>
      </c>
      <c r="D137" s="138">
        <f>IFERROR(AS51!$Q$127,1)</f>
        <v/>
      </c>
      <c r="E137" s="139">
        <f>IF($B137="","",IF(ISNUMBER(AS51!$I$127),AS51!$I$127,'Index Summary'!$C$7))</f>
        <v/>
      </c>
      <c r="F137" s="140">
        <f>IF(F$13="","",IF($B137="","",IFERROR($C137*$D137*IF((Override!$C$4="ON")*(COUNTIFS(Override!$B$11:$B$40,$B137,Override!$D$11:$D$40,1,Override!$E$11:$E$40,"&gt;=0")-COUNTIFS(Override!$B$11:$B$40,$B137,Override!$D$11:$D$40,1,Override!$E$11:$E$40,"&gt;=0",Override!$C$11:$C$40,"MXAU"))&gt;0,SUMIFS(Override!$E$11:$E$40,Override!$B$11:$B$40,$B137,Override!$D$11:$D$40,1)-SUMIFS(Override!$E$11:$E$40,Override!$B$11:$B$40,$B137,Override!$D$11:$D$40,1,Override!$C$11:$C$40,"MXAU"),Override!$C$172)/AS51!$B$3,"")))</f>
        <v/>
      </c>
      <c r="G137" s="140">
        <f>IF(G$13="","",IF($B137="","",IFERROR($C137*$D137*IF((Override!$C$4="ON")*(COUNTIFS(Override!$B$11:$B$40,$B137,Override!$D$11:$D$40,2,Override!$E$11:$E$40,"&gt;=0")-COUNTIFS(Override!$B$11:$B$40,$B137,Override!$D$11:$D$40,2,Override!$E$11:$E$40,"&gt;=0",Override!$C$11:$C$40,"MXAU"))&gt;0,SUMIFS(Override!$E$11:$E$40,Override!$B$11:$B$40,$B137,Override!$D$11:$D$40,2)-SUMIFS(Override!$E$11:$E$40,Override!$B$11:$B$40,$B137,Override!$D$11:$D$40,2,Override!$C$11:$C$40,"MXAU"),Override!$D$172)/AS51!$B$3,"")))</f>
        <v/>
      </c>
      <c r="H137" s="140">
        <f>IF(H$13="","",IF($B137="","",IFERROR($C137*$D137*IF((Override!$C$4="ON")*(COUNTIFS(Override!$B$11:$B$40,$B137,Override!$D$11:$D$40,3,Override!$E$11:$E$40,"&gt;=0")-COUNTIFS(Override!$B$11:$B$40,$B137,Override!$D$11:$D$40,3,Override!$E$11:$E$40,"&gt;=0",Override!$C$11:$C$40,"MXAU"))&gt;0,SUMIFS(Override!$E$11:$E$40,Override!$B$11:$B$40,$B137,Override!$D$11:$D$40,3)-SUMIFS(Override!$E$11:$E$40,Override!$B$11:$B$40,$B137,Override!$D$11:$D$40,3,Override!$C$11:$C$40,"MXAU"),Override!$E$172)/AS51!$B$3,"")))</f>
        <v/>
      </c>
      <c r="I137" s="140">
        <f>IF(I$13="","",IF($B137="","",IFERROR($C137*$D137*IF((Override!$C$4="ON")*(COUNTIFS(Override!$B$11:$B$40,$B137,Override!$D$11:$D$40,4,Override!$E$11:$E$40,"&gt;=0")-COUNTIFS(Override!$B$11:$B$40,$B137,Override!$D$11:$D$40,4,Override!$E$11:$E$40,"&gt;=0",Override!$C$11:$C$40,"MXAU"))&gt;0,SUMIFS(Override!$E$11:$E$40,Override!$B$11:$B$40,$B137,Override!$D$11:$D$40,4)-SUMIFS(Override!$E$11:$E$40,Override!$B$11:$B$40,$B137,Override!$D$11:$D$40,4,Override!$C$11:$C$40,"MXAU"),Override!$F$172)/AS51!$B$3,"")))</f>
        <v/>
      </c>
      <c r="J137" s="140">
        <f>IF(J$13="","",IF($B137="","",IFERROR($C137*$D137*IF((Override!$C$4="ON")*(COUNTIFS(Override!$B$11:$B$40,$B137,Override!$D$11:$D$40,5,Override!$E$11:$E$40,"&gt;=0")-COUNTIFS(Override!$B$11:$B$40,$B137,Override!$D$11:$D$40,5,Override!$E$11:$E$40,"&gt;=0",Override!$C$11:$C$40,"MXAU"))&gt;0,SUMIFS(Override!$E$11:$E$40,Override!$B$11:$B$40,$B137,Override!$D$11:$D$40,5)-SUMIFS(Override!$E$11:$E$40,Override!$B$11:$B$40,$B137,Override!$D$11:$D$40,5,Override!$C$11:$C$40,"MXAU"),Override!$G$172)/AS51!$B$3,"")))</f>
        <v/>
      </c>
      <c r="K137" s="140">
        <f>IF(K$13="","",IF($B137="","",IFERROR($C137*$D137*IF((Override!$C$4="ON")*(COUNTIFS(Override!$B$11:$B$40,$B137,Override!$D$11:$D$40,6,Override!$E$11:$E$40,"&gt;=0")-COUNTIFS(Override!$B$11:$B$40,$B137,Override!$D$11:$D$40,6,Override!$E$11:$E$40,"&gt;=0",Override!$C$11:$C$40,"MXAU"))&gt;0,SUMIFS(Override!$E$11:$E$40,Override!$B$11:$B$40,$B137,Override!$D$11:$D$40,6)-SUMIFS(Override!$E$11:$E$40,Override!$B$11:$B$40,$B137,Override!$D$11:$D$40,6,Override!$C$11:$C$40,"MXAU"),Override!$H$172)/AS51!$B$3,"")))</f>
        <v/>
      </c>
      <c r="L137" s="140">
        <f>IF(L$13="","",IF($B137="","",IFERROR($C137*$D137*IF((Override!$C$4="ON")*(COUNTIFS(Override!$B$11:$B$40,$B137,Override!$D$11:$D$40,7,Override!$E$11:$E$40,"&gt;=0")-COUNTIFS(Override!$B$11:$B$40,$B137,Override!$D$11:$D$40,7,Override!$E$11:$E$40,"&gt;=0",Override!$C$11:$C$40,"MXAU"))&gt;0,SUMIFS(Override!$E$11:$E$40,Override!$B$11:$B$40,$B137,Override!$D$11:$D$40,7)-SUMIFS(Override!$E$11:$E$40,Override!$B$11:$B$40,$B137,Override!$D$11:$D$40,7,Override!$C$11:$C$40,"MXAU"),Override!$I$172)/AS51!$B$3,"")))</f>
        <v/>
      </c>
      <c r="M137" s="140">
        <f>IF(M$13="","",IF($B137="","",IFERROR($C137*$D137*IF((Override!$C$4="ON")*(COUNTIFS(Override!$B$11:$B$40,$B137,Override!$D$11:$D$40,8,Override!$E$11:$E$40,"&gt;=0")-COUNTIFS(Override!$B$11:$B$40,$B137,Override!$D$11:$D$40,8,Override!$E$11:$E$40,"&gt;=0",Override!$C$11:$C$40,"MXAU"))&gt;0,SUMIFS(Override!$E$11:$E$40,Override!$B$11:$B$40,$B137,Override!$D$11:$D$40,8)-SUMIFS(Override!$E$11:$E$40,Override!$B$11:$B$40,$B137,Override!$D$11:$D$40,8,Override!$C$11:$C$40,"MXAU"),Override!$J$172)/AS51!$B$3,"")))</f>
        <v/>
      </c>
      <c r="N137" s="140">
        <f>IF(N$13="","",IF($B137="","",IFERROR($C137*$D137*IF((Override!$C$4="ON")*(COUNTIFS(Override!$B$11:$B$40,$B137,Override!$D$11:$D$40,9,Override!$E$11:$E$40,"&gt;=0")-COUNTIFS(Override!$B$11:$B$40,$B137,Override!$D$11:$D$40,9,Override!$E$11:$E$40,"&gt;=0",Override!$C$11:$C$40,"MXAU"))&gt;0,SUMIFS(Override!$E$11:$E$40,Override!$B$11:$B$40,$B137,Override!$D$11:$D$40,9)-SUMIFS(Override!$E$11:$E$40,Override!$B$11:$B$40,$B137,Override!$D$11:$D$40,9,Override!$C$11:$C$40,"MXAU"),Override!$K$172)/AS51!$B$3,"")))</f>
        <v/>
      </c>
      <c r="O137" s="140">
        <f>IF(O$13="","",IF($B137="","",IFERROR($C137*$D137*IF((Override!$C$4="ON")*(COUNTIFS(Override!$B$11:$B$40,$B137,Override!$D$11:$D$40,10,Override!$E$11:$E$40,"&gt;=0")-COUNTIFS(Override!$B$11:$B$40,$B137,Override!$D$11:$D$40,10,Override!$E$11:$E$40,"&gt;=0",Override!$C$11:$C$40,"MXAU"))&gt;0,SUMIFS(Override!$E$11:$E$40,Override!$B$11:$B$40,$B137,Override!$D$11:$D$40,10)-SUMIFS(Override!$E$11:$E$40,Override!$B$11:$B$40,$B137,Override!$D$11:$D$40,10,Override!$C$11:$C$40,"MXAU"),Override!$L$172)/AS51!$B$3,"")))</f>
        <v/>
      </c>
      <c r="P137" s="140">
        <f>IF(P$13="","",IF($B137="","",IFERROR($C137*$D137*IF((Override!$C$4="ON")*(COUNTIFS(Override!$B$11:$B$40,$B137,Override!$D$11:$D$40,11,Override!$E$11:$E$40,"&gt;=0")-COUNTIFS(Override!$B$11:$B$40,$B137,Override!$D$11:$D$40,11,Override!$E$11:$E$40,"&gt;=0",Override!$C$11:$C$40,"MXAU"))&gt;0,SUMIFS(Override!$E$11:$E$40,Override!$B$11:$B$40,$B137,Override!$D$11:$D$40,11)-SUMIFS(Override!$E$11:$E$40,Override!$B$11:$B$40,$B137,Override!$D$11:$D$40,11,Override!$C$11:$C$40,"MXAU"),Override!$M$172)/AS51!$B$3,"")))</f>
        <v/>
      </c>
      <c r="Q137" s="140">
        <f>IF(Q$13="","",IF($B137="","",IFERROR($C137*$D137*IF((Override!$C$4="ON")*(COUNTIFS(Override!$B$11:$B$40,$B137,Override!$D$11:$D$40,12,Override!$E$11:$E$40,"&gt;=0")-COUNTIFS(Override!$B$11:$B$40,$B137,Override!$D$11:$D$40,12,Override!$E$11:$E$40,"&gt;=0",Override!$C$11:$C$40,"MXAU"))&gt;0,SUMIFS(Override!$E$11:$E$40,Override!$B$11:$B$40,$B137,Override!$D$11:$D$40,12)-SUMIFS(Override!$E$11:$E$40,Override!$B$11:$B$40,$B137,Override!$D$11:$D$40,12,Override!$C$11:$C$40,"MXAU"),Override!$N$172)/AS51!$B$3,"")))</f>
        <v/>
      </c>
      <c r="R137" s="140">
        <f>IF(R$13="","",IF($B137="","",IFERROR($C137*$D137*IF((Override!$C$4="ON")*(COUNTIFS(Override!$B$11:$B$40,$B137,Override!$D$11:$D$40,13,Override!$E$11:$E$40,"&gt;=0")-COUNTIFS(Override!$B$11:$B$40,$B137,Override!$D$11:$D$40,13,Override!$E$11:$E$40,"&gt;=0",Override!$C$11:$C$40,"MXAU"))&gt;0,SUMIFS(Override!$E$11:$E$40,Override!$B$11:$B$40,$B137,Override!$D$11:$D$40,13)-SUMIFS(Override!$E$11:$E$40,Override!$B$11:$B$40,$B137,Override!$D$11:$D$40,13,Override!$C$11:$C$40,"MXAU"),Override!$O$172)/AS51!$B$3,"")))</f>
        <v/>
      </c>
      <c r="S137" s="140">
        <f>IF(S$13="","",IF($B137="","",IFERROR($C137*$D137*IF((Override!$C$4="ON")*(COUNTIFS(Override!$B$11:$B$40,$B137,Override!$D$11:$D$40,14,Override!$E$11:$E$40,"&gt;=0")-COUNTIFS(Override!$B$11:$B$40,$B137,Override!$D$11:$D$40,14,Override!$E$11:$E$40,"&gt;=0",Override!$C$11:$C$40,"MXAU"))&gt;0,SUMIFS(Override!$E$11:$E$40,Override!$B$11:$B$40,$B137,Override!$D$11:$D$40,14)-SUMIFS(Override!$E$11:$E$40,Override!$B$11:$B$40,$B137,Override!$D$11:$D$40,14,Override!$C$11:$C$40,"MXAU"),Override!$P$172)/AS51!$B$3,"")))</f>
        <v/>
      </c>
      <c r="T137" s="140">
        <f>IF(T$13="","",IF($B137="","",IFERROR($C137*$D137*IF((Override!$C$4="ON")*(COUNTIFS(Override!$B$11:$B$40,$B137,Override!$D$11:$D$40,15,Override!$E$11:$E$40,"&gt;=0")-COUNTIFS(Override!$B$11:$B$40,$B137,Override!$D$11:$D$40,15,Override!$E$11:$E$40,"&gt;=0",Override!$C$11:$C$40,"MXAU"))&gt;0,SUMIFS(Override!$E$11:$E$40,Override!$B$11:$B$40,$B137,Override!$D$11:$D$40,15)-SUMIFS(Override!$E$11:$E$40,Override!$B$11:$B$40,$B137,Override!$D$11:$D$40,15,Override!$C$11:$C$40,"MXAU"),Override!$Q$172)/AS51!$B$3,"")))</f>
        <v/>
      </c>
      <c r="U137" s="140">
        <f>IF(U$13="","",IF($B137="","",IFERROR($C137*$D137*IF((Override!$C$4="ON")*(COUNTIFS(Override!$B$11:$B$40,$B137,Override!$D$11:$D$40,16,Override!$E$11:$E$40,"&gt;=0")-COUNTIFS(Override!$B$11:$B$40,$B137,Override!$D$11:$D$40,16,Override!$E$11:$E$40,"&gt;=0",Override!$C$11:$C$40,"MXAU"))&gt;0,SUMIFS(Override!$E$11:$E$40,Override!$B$11:$B$40,$B137,Override!$D$11:$D$40,16)-SUMIFS(Override!$E$11:$E$40,Override!$B$11:$B$40,$B137,Override!$D$11:$D$40,16,Override!$C$11:$C$40,"MXAU"),Override!$R$172)/AS51!$B$3,"")))</f>
        <v/>
      </c>
      <c r="W137" s="140">
        <f>IF(W$13="","",IF($B137="","",IFERROR(F137*$E137/100,"")))</f>
        <v/>
      </c>
      <c r="X137" s="140">
        <f>IF(X$13="","",IF($B137="","",IFERROR(G137*$E137/100,"")))</f>
        <v/>
      </c>
      <c r="Y137" s="140">
        <f>IF(Y$13="","",IF($B137="","",IFERROR(H137*$E137/100,"")))</f>
        <v/>
      </c>
      <c r="Z137" s="140">
        <f>IF(Z$13="","",IF($B137="","",IFERROR(I137*$E137/100,"")))</f>
        <v/>
      </c>
      <c r="AA137" s="140">
        <f>IF(AA$13="","",IF($B137="","",IFERROR(J137*$E137/100,"")))</f>
        <v/>
      </c>
      <c r="AB137" s="140">
        <f>IF(AB$13="","",IF($B137="","",IFERROR(K137*$E137/100,"")))</f>
        <v/>
      </c>
      <c r="AC137" s="140">
        <f>IF(AC$13="","",IF($B137="","",IFERROR(L137*$E137/100,"")))</f>
        <v/>
      </c>
      <c r="AD137" s="140">
        <f>IF(AD$13="","",IF($B137="","",IFERROR(M137*$E137/100,"")))</f>
        <v/>
      </c>
      <c r="AE137" s="140">
        <f>IF(AE$13="","",IF($B137="","",IFERROR(N137*$E137/100,"")))</f>
        <v/>
      </c>
      <c r="AF137" s="140">
        <f>IF(AF$13="","",IF($B137="","",IFERROR(O137*$E137/100,"")))</f>
        <v/>
      </c>
      <c r="AG137" s="140">
        <f>IF(AG$13="","",IF($B137="","",IFERROR(P137*$E137/100,"")))</f>
        <v/>
      </c>
      <c r="AH137" s="140">
        <f>IF(AH$13="","",IF($B137="","",IFERROR(Q137*$E137/100,"")))</f>
        <v/>
      </c>
      <c r="AI137" s="140">
        <f>IF(AI$13="","",IF($B137="","",IFERROR(R137*$E137/100,"")))</f>
        <v/>
      </c>
      <c r="AJ137" s="140">
        <f>IF(AJ$13="","",IF($B137="","",IFERROR(S137*$E137/100,"")))</f>
        <v/>
      </c>
      <c r="AK137" s="140">
        <f>IF(AK$13="","",IF($B137="","",IFERROR(T137*$E137/100,"")))</f>
        <v/>
      </c>
      <c r="AL137" s="140">
        <f>IF(AL$13="","",IF($B137="","",IFERROR(U137*$E137/100,"")))</f>
        <v/>
      </c>
      <c r="AN137" s="140">
        <f>IF($B137="","",SUMIF($F$13:$U$13,"&lt;="&amp;Sector!$D$51,$F137:$U137))</f>
        <v/>
      </c>
      <c r="AO137" s="140">
        <f>IF($B137="","",SUMIF($W$13:$AL$13,"&lt;="&amp;Sector!$D$51,$W137:$AL137))</f>
        <v/>
      </c>
    </row>
    <row r="138">
      <c r="B138" s="5">
        <f>IF(AS51!$C$128="","",AS51!$C$128)</f>
        <v/>
      </c>
      <c r="C138" s="90">
        <f>IF(AS51!$B$128="","",AS51!$B$128)</f>
        <v/>
      </c>
      <c r="D138" s="138">
        <f>IFERROR(AS51!$Q$128,1)</f>
        <v/>
      </c>
      <c r="E138" s="139">
        <f>IF($B138="","",IF(ISNUMBER(AS51!$I$128),AS51!$I$128,'Index Summary'!$C$7))</f>
        <v/>
      </c>
      <c r="F138" s="140">
        <f>IF(F$13="","",IF($B138="","",IFERROR($C138*$D138*IF((Override!$C$4="ON")*(COUNTIFS(Override!$B$11:$B$40,$B138,Override!$D$11:$D$40,1,Override!$E$11:$E$40,"&gt;=0")-COUNTIFS(Override!$B$11:$B$40,$B138,Override!$D$11:$D$40,1,Override!$E$11:$E$40,"&gt;=0",Override!$C$11:$C$40,"MXAU"))&gt;0,SUMIFS(Override!$E$11:$E$40,Override!$B$11:$B$40,$B138,Override!$D$11:$D$40,1)-SUMIFS(Override!$E$11:$E$40,Override!$B$11:$B$40,$B138,Override!$D$11:$D$40,1,Override!$C$11:$C$40,"MXAU"),Override!$C$173)/AS51!$B$3,"")))</f>
        <v/>
      </c>
      <c r="G138" s="140">
        <f>IF(G$13="","",IF($B138="","",IFERROR($C138*$D138*IF((Override!$C$4="ON")*(COUNTIFS(Override!$B$11:$B$40,$B138,Override!$D$11:$D$40,2,Override!$E$11:$E$40,"&gt;=0")-COUNTIFS(Override!$B$11:$B$40,$B138,Override!$D$11:$D$40,2,Override!$E$11:$E$40,"&gt;=0",Override!$C$11:$C$40,"MXAU"))&gt;0,SUMIFS(Override!$E$11:$E$40,Override!$B$11:$B$40,$B138,Override!$D$11:$D$40,2)-SUMIFS(Override!$E$11:$E$40,Override!$B$11:$B$40,$B138,Override!$D$11:$D$40,2,Override!$C$11:$C$40,"MXAU"),Override!$D$173)/AS51!$B$3,"")))</f>
        <v/>
      </c>
      <c r="H138" s="140">
        <f>IF(H$13="","",IF($B138="","",IFERROR($C138*$D138*IF((Override!$C$4="ON")*(COUNTIFS(Override!$B$11:$B$40,$B138,Override!$D$11:$D$40,3,Override!$E$11:$E$40,"&gt;=0")-COUNTIFS(Override!$B$11:$B$40,$B138,Override!$D$11:$D$40,3,Override!$E$11:$E$40,"&gt;=0",Override!$C$11:$C$40,"MXAU"))&gt;0,SUMIFS(Override!$E$11:$E$40,Override!$B$11:$B$40,$B138,Override!$D$11:$D$40,3)-SUMIFS(Override!$E$11:$E$40,Override!$B$11:$B$40,$B138,Override!$D$11:$D$40,3,Override!$C$11:$C$40,"MXAU"),Override!$E$173)/AS51!$B$3,"")))</f>
        <v/>
      </c>
      <c r="I138" s="140">
        <f>IF(I$13="","",IF($B138="","",IFERROR($C138*$D138*IF((Override!$C$4="ON")*(COUNTIFS(Override!$B$11:$B$40,$B138,Override!$D$11:$D$40,4,Override!$E$11:$E$40,"&gt;=0")-COUNTIFS(Override!$B$11:$B$40,$B138,Override!$D$11:$D$40,4,Override!$E$11:$E$40,"&gt;=0",Override!$C$11:$C$40,"MXAU"))&gt;0,SUMIFS(Override!$E$11:$E$40,Override!$B$11:$B$40,$B138,Override!$D$11:$D$40,4)-SUMIFS(Override!$E$11:$E$40,Override!$B$11:$B$40,$B138,Override!$D$11:$D$40,4,Override!$C$11:$C$40,"MXAU"),Override!$F$173)/AS51!$B$3,"")))</f>
        <v/>
      </c>
      <c r="J138" s="140">
        <f>IF(J$13="","",IF($B138="","",IFERROR($C138*$D138*IF((Override!$C$4="ON")*(COUNTIFS(Override!$B$11:$B$40,$B138,Override!$D$11:$D$40,5,Override!$E$11:$E$40,"&gt;=0")-COUNTIFS(Override!$B$11:$B$40,$B138,Override!$D$11:$D$40,5,Override!$E$11:$E$40,"&gt;=0",Override!$C$11:$C$40,"MXAU"))&gt;0,SUMIFS(Override!$E$11:$E$40,Override!$B$11:$B$40,$B138,Override!$D$11:$D$40,5)-SUMIFS(Override!$E$11:$E$40,Override!$B$11:$B$40,$B138,Override!$D$11:$D$40,5,Override!$C$11:$C$40,"MXAU"),Override!$G$173)/AS51!$B$3,"")))</f>
        <v/>
      </c>
      <c r="K138" s="140">
        <f>IF(K$13="","",IF($B138="","",IFERROR($C138*$D138*IF((Override!$C$4="ON")*(COUNTIFS(Override!$B$11:$B$40,$B138,Override!$D$11:$D$40,6,Override!$E$11:$E$40,"&gt;=0")-COUNTIFS(Override!$B$11:$B$40,$B138,Override!$D$11:$D$40,6,Override!$E$11:$E$40,"&gt;=0",Override!$C$11:$C$40,"MXAU"))&gt;0,SUMIFS(Override!$E$11:$E$40,Override!$B$11:$B$40,$B138,Override!$D$11:$D$40,6)-SUMIFS(Override!$E$11:$E$40,Override!$B$11:$B$40,$B138,Override!$D$11:$D$40,6,Override!$C$11:$C$40,"MXAU"),Override!$H$173)/AS51!$B$3,"")))</f>
        <v/>
      </c>
      <c r="L138" s="140">
        <f>IF(L$13="","",IF($B138="","",IFERROR($C138*$D138*IF((Override!$C$4="ON")*(COUNTIFS(Override!$B$11:$B$40,$B138,Override!$D$11:$D$40,7,Override!$E$11:$E$40,"&gt;=0")-COUNTIFS(Override!$B$11:$B$40,$B138,Override!$D$11:$D$40,7,Override!$E$11:$E$40,"&gt;=0",Override!$C$11:$C$40,"MXAU"))&gt;0,SUMIFS(Override!$E$11:$E$40,Override!$B$11:$B$40,$B138,Override!$D$11:$D$40,7)-SUMIFS(Override!$E$11:$E$40,Override!$B$11:$B$40,$B138,Override!$D$11:$D$40,7,Override!$C$11:$C$40,"MXAU"),Override!$I$173)/AS51!$B$3,"")))</f>
        <v/>
      </c>
      <c r="M138" s="140">
        <f>IF(M$13="","",IF($B138="","",IFERROR($C138*$D138*IF((Override!$C$4="ON")*(COUNTIFS(Override!$B$11:$B$40,$B138,Override!$D$11:$D$40,8,Override!$E$11:$E$40,"&gt;=0")-COUNTIFS(Override!$B$11:$B$40,$B138,Override!$D$11:$D$40,8,Override!$E$11:$E$40,"&gt;=0",Override!$C$11:$C$40,"MXAU"))&gt;0,SUMIFS(Override!$E$11:$E$40,Override!$B$11:$B$40,$B138,Override!$D$11:$D$40,8)-SUMIFS(Override!$E$11:$E$40,Override!$B$11:$B$40,$B138,Override!$D$11:$D$40,8,Override!$C$11:$C$40,"MXAU"),Override!$J$173)/AS51!$B$3,"")))</f>
        <v/>
      </c>
      <c r="N138" s="140">
        <f>IF(N$13="","",IF($B138="","",IFERROR($C138*$D138*IF((Override!$C$4="ON")*(COUNTIFS(Override!$B$11:$B$40,$B138,Override!$D$11:$D$40,9,Override!$E$11:$E$40,"&gt;=0")-COUNTIFS(Override!$B$11:$B$40,$B138,Override!$D$11:$D$40,9,Override!$E$11:$E$40,"&gt;=0",Override!$C$11:$C$40,"MXAU"))&gt;0,SUMIFS(Override!$E$11:$E$40,Override!$B$11:$B$40,$B138,Override!$D$11:$D$40,9)-SUMIFS(Override!$E$11:$E$40,Override!$B$11:$B$40,$B138,Override!$D$11:$D$40,9,Override!$C$11:$C$40,"MXAU"),Override!$K$173)/AS51!$B$3,"")))</f>
        <v/>
      </c>
      <c r="O138" s="140">
        <f>IF(O$13="","",IF($B138="","",IFERROR($C138*$D138*IF((Override!$C$4="ON")*(COUNTIFS(Override!$B$11:$B$40,$B138,Override!$D$11:$D$40,10,Override!$E$11:$E$40,"&gt;=0")-COUNTIFS(Override!$B$11:$B$40,$B138,Override!$D$11:$D$40,10,Override!$E$11:$E$40,"&gt;=0",Override!$C$11:$C$40,"MXAU"))&gt;0,SUMIFS(Override!$E$11:$E$40,Override!$B$11:$B$40,$B138,Override!$D$11:$D$40,10)-SUMIFS(Override!$E$11:$E$40,Override!$B$11:$B$40,$B138,Override!$D$11:$D$40,10,Override!$C$11:$C$40,"MXAU"),Override!$L$173)/AS51!$B$3,"")))</f>
        <v/>
      </c>
      <c r="P138" s="140">
        <f>IF(P$13="","",IF($B138="","",IFERROR($C138*$D138*IF((Override!$C$4="ON")*(COUNTIFS(Override!$B$11:$B$40,$B138,Override!$D$11:$D$40,11,Override!$E$11:$E$40,"&gt;=0")-COUNTIFS(Override!$B$11:$B$40,$B138,Override!$D$11:$D$40,11,Override!$E$11:$E$40,"&gt;=0",Override!$C$11:$C$40,"MXAU"))&gt;0,SUMIFS(Override!$E$11:$E$40,Override!$B$11:$B$40,$B138,Override!$D$11:$D$40,11)-SUMIFS(Override!$E$11:$E$40,Override!$B$11:$B$40,$B138,Override!$D$11:$D$40,11,Override!$C$11:$C$40,"MXAU"),Override!$M$173)/AS51!$B$3,"")))</f>
        <v/>
      </c>
      <c r="Q138" s="140">
        <f>IF(Q$13="","",IF($B138="","",IFERROR($C138*$D138*IF((Override!$C$4="ON")*(COUNTIFS(Override!$B$11:$B$40,$B138,Override!$D$11:$D$40,12,Override!$E$11:$E$40,"&gt;=0")-COUNTIFS(Override!$B$11:$B$40,$B138,Override!$D$11:$D$40,12,Override!$E$11:$E$40,"&gt;=0",Override!$C$11:$C$40,"MXAU"))&gt;0,SUMIFS(Override!$E$11:$E$40,Override!$B$11:$B$40,$B138,Override!$D$11:$D$40,12)-SUMIFS(Override!$E$11:$E$40,Override!$B$11:$B$40,$B138,Override!$D$11:$D$40,12,Override!$C$11:$C$40,"MXAU"),Override!$N$173)/AS51!$B$3,"")))</f>
        <v/>
      </c>
      <c r="R138" s="140">
        <f>IF(R$13="","",IF($B138="","",IFERROR($C138*$D138*IF((Override!$C$4="ON")*(COUNTIFS(Override!$B$11:$B$40,$B138,Override!$D$11:$D$40,13,Override!$E$11:$E$40,"&gt;=0")-COUNTIFS(Override!$B$11:$B$40,$B138,Override!$D$11:$D$40,13,Override!$E$11:$E$40,"&gt;=0",Override!$C$11:$C$40,"MXAU"))&gt;0,SUMIFS(Override!$E$11:$E$40,Override!$B$11:$B$40,$B138,Override!$D$11:$D$40,13)-SUMIFS(Override!$E$11:$E$40,Override!$B$11:$B$40,$B138,Override!$D$11:$D$40,13,Override!$C$11:$C$40,"MXAU"),Override!$O$173)/AS51!$B$3,"")))</f>
        <v/>
      </c>
      <c r="S138" s="140">
        <f>IF(S$13="","",IF($B138="","",IFERROR($C138*$D138*IF((Override!$C$4="ON")*(COUNTIFS(Override!$B$11:$B$40,$B138,Override!$D$11:$D$40,14,Override!$E$11:$E$40,"&gt;=0")-COUNTIFS(Override!$B$11:$B$40,$B138,Override!$D$11:$D$40,14,Override!$E$11:$E$40,"&gt;=0",Override!$C$11:$C$40,"MXAU"))&gt;0,SUMIFS(Override!$E$11:$E$40,Override!$B$11:$B$40,$B138,Override!$D$11:$D$40,14)-SUMIFS(Override!$E$11:$E$40,Override!$B$11:$B$40,$B138,Override!$D$11:$D$40,14,Override!$C$11:$C$40,"MXAU"),Override!$P$173)/AS51!$B$3,"")))</f>
        <v/>
      </c>
      <c r="T138" s="140">
        <f>IF(T$13="","",IF($B138="","",IFERROR($C138*$D138*IF((Override!$C$4="ON")*(COUNTIFS(Override!$B$11:$B$40,$B138,Override!$D$11:$D$40,15,Override!$E$11:$E$40,"&gt;=0")-COUNTIFS(Override!$B$11:$B$40,$B138,Override!$D$11:$D$40,15,Override!$E$11:$E$40,"&gt;=0",Override!$C$11:$C$40,"MXAU"))&gt;0,SUMIFS(Override!$E$11:$E$40,Override!$B$11:$B$40,$B138,Override!$D$11:$D$40,15)-SUMIFS(Override!$E$11:$E$40,Override!$B$11:$B$40,$B138,Override!$D$11:$D$40,15,Override!$C$11:$C$40,"MXAU"),Override!$Q$173)/AS51!$B$3,"")))</f>
        <v/>
      </c>
      <c r="U138" s="140">
        <f>IF(U$13="","",IF($B138="","",IFERROR($C138*$D138*IF((Override!$C$4="ON")*(COUNTIFS(Override!$B$11:$B$40,$B138,Override!$D$11:$D$40,16,Override!$E$11:$E$40,"&gt;=0")-COUNTIFS(Override!$B$11:$B$40,$B138,Override!$D$11:$D$40,16,Override!$E$11:$E$40,"&gt;=0",Override!$C$11:$C$40,"MXAU"))&gt;0,SUMIFS(Override!$E$11:$E$40,Override!$B$11:$B$40,$B138,Override!$D$11:$D$40,16)-SUMIFS(Override!$E$11:$E$40,Override!$B$11:$B$40,$B138,Override!$D$11:$D$40,16,Override!$C$11:$C$40,"MXAU"),Override!$R$173)/AS51!$B$3,"")))</f>
        <v/>
      </c>
      <c r="W138" s="140">
        <f>IF(W$13="","",IF($B138="","",IFERROR(F138*$E138/100,"")))</f>
        <v/>
      </c>
      <c r="X138" s="140">
        <f>IF(X$13="","",IF($B138="","",IFERROR(G138*$E138/100,"")))</f>
        <v/>
      </c>
      <c r="Y138" s="140">
        <f>IF(Y$13="","",IF($B138="","",IFERROR(H138*$E138/100,"")))</f>
        <v/>
      </c>
      <c r="Z138" s="140">
        <f>IF(Z$13="","",IF($B138="","",IFERROR(I138*$E138/100,"")))</f>
        <v/>
      </c>
      <c r="AA138" s="140">
        <f>IF(AA$13="","",IF($B138="","",IFERROR(J138*$E138/100,"")))</f>
        <v/>
      </c>
      <c r="AB138" s="140">
        <f>IF(AB$13="","",IF($B138="","",IFERROR(K138*$E138/100,"")))</f>
        <v/>
      </c>
      <c r="AC138" s="140">
        <f>IF(AC$13="","",IF($B138="","",IFERROR(L138*$E138/100,"")))</f>
        <v/>
      </c>
      <c r="AD138" s="140">
        <f>IF(AD$13="","",IF($B138="","",IFERROR(M138*$E138/100,"")))</f>
        <v/>
      </c>
      <c r="AE138" s="140">
        <f>IF(AE$13="","",IF($B138="","",IFERROR(N138*$E138/100,"")))</f>
        <v/>
      </c>
      <c r="AF138" s="140">
        <f>IF(AF$13="","",IF($B138="","",IFERROR(O138*$E138/100,"")))</f>
        <v/>
      </c>
      <c r="AG138" s="140">
        <f>IF(AG$13="","",IF($B138="","",IFERROR(P138*$E138/100,"")))</f>
        <v/>
      </c>
      <c r="AH138" s="140">
        <f>IF(AH$13="","",IF($B138="","",IFERROR(Q138*$E138/100,"")))</f>
        <v/>
      </c>
      <c r="AI138" s="140">
        <f>IF(AI$13="","",IF($B138="","",IFERROR(R138*$E138/100,"")))</f>
        <v/>
      </c>
      <c r="AJ138" s="140">
        <f>IF(AJ$13="","",IF($B138="","",IFERROR(S138*$E138/100,"")))</f>
        <v/>
      </c>
      <c r="AK138" s="140">
        <f>IF(AK$13="","",IF($B138="","",IFERROR(T138*$E138/100,"")))</f>
        <v/>
      </c>
      <c r="AL138" s="140">
        <f>IF(AL$13="","",IF($B138="","",IFERROR(U138*$E138/100,"")))</f>
        <v/>
      </c>
      <c r="AN138" s="140">
        <f>IF($B138="","",SUMIF($F$13:$U$13,"&lt;="&amp;Sector!$D$51,$F138:$U138))</f>
        <v/>
      </c>
      <c r="AO138" s="140">
        <f>IF($B138="","",SUMIF($W$13:$AL$13,"&lt;="&amp;Sector!$D$51,$W138:$AL138))</f>
        <v/>
      </c>
    </row>
    <row r="139">
      <c r="B139" s="5">
        <f>IF(AS51!$C$129="","",AS51!$C$129)</f>
        <v/>
      </c>
      <c r="C139" s="90">
        <f>IF(AS51!$B$129="","",AS51!$B$129)</f>
        <v/>
      </c>
      <c r="D139" s="138">
        <f>IFERROR(AS51!$Q$129,1)</f>
        <v/>
      </c>
      <c r="E139" s="139">
        <f>IF($B139="","",IF(ISNUMBER(AS51!$I$129),AS51!$I$129,'Index Summary'!$C$7))</f>
        <v/>
      </c>
      <c r="F139" s="140">
        <f>IF(F$13="","",IF($B139="","",IFERROR($C139*$D139*IF((Override!$C$4="ON")*(COUNTIFS(Override!$B$11:$B$40,$B139,Override!$D$11:$D$40,1,Override!$E$11:$E$40,"&gt;=0")-COUNTIFS(Override!$B$11:$B$40,$B139,Override!$D$11:$D$40,1,Override!$E$11:$E$40,"&gt;=0",Override!$C$11:$C$40,"MXAU"))&gt;0,SUMIFS(Override!$E$11:$E$40,Override!$B$11:$B$40,$B139,Override!$D$11:$D$40,1)-SUMIFS(Override!$E$11:$E$40,Override!$B$11:$B$40,$B139,Override!$D$11:$D$40,1,Override!$C$11:$C$40,"MXAU"),Override!$C$174)/AS51!$B$3,"")))</f>
        <v/>
      </c>
      <c r="G139" s="140">
        <f>IF(G$13="","",IF($B139="","",IFERROR($C139*$D139*IF((Override!$C$4="ON")*(COUNTIFS(Override!$B$11:$B$40,$B139,Override!$D$11:$D$40,2,Override!$E$11:$E$40,"&gt;=0")-COUNTIFS(Override!$B$11:$B$40,$B139,Override!$D$11:$D$40,2,Override!$E$11:$E$40,"&gt;=0",Override!$C$11:$C$40,"MXAU"))&gt;0,SUMIFS(Override!$E$11:$E$40,Override!$B$11:$B$40,$B139,Override!$D$11:$D$40,2)-SUMIFS(Override!$E$11:$E$40,Override!$B$11:$B$40,$B139,Override!$D$11:$D$40,2,Override!$C$11:$C$40,"MXAU"),Override!$D$174)/AS51!$B$3,"")))</f>
        <v/>
      </c>
      <c r="H139" s="140">
        <f>IF(H$13="","",IF($B139="","",IFERROR($C139*$D139*IF((Override!$C$4="ON")*(COUNTIFS(Override!$B$11:$B$40,$B139,Override!$D$11:$D$40,3,Override!$E$11:$E$40,"&gt;=0")-COUNTIFS(Override!$B$11:$B$40,$B139,Override!$D$11:$D$40,3,Override!$E$11:$E$40,"&gt;=0",Override!$C$11:$C$40,"MXAU"))&gt;0,SUMIFS(Override!$E$11:$E$40,Override!$B$11:$B$40,$B139,Override!$D$11:$D$40,3)-SUMIFS(Override!$E$11:$E$40,Override!$B$11:$B$40,$B139,Override!$D$11:$D$40,3,Override!$C$11:$C$40,"MXAU"),Override!$E$174)/AS51!$B$3,"")))</f>
        <v/>
      </c>
      <c r="I139" s="140">
        <f>IF(I$13="","",IF($B139="","",IFERROR($C139*$D139*IF((Override!$C$4="ON")*(COUNTIFS(Override!$B$11:$B$40,$B139,Override!$D$11:$D$40,4,Override!$E$11:$E$40,"&gt;=0")-COUNTIFS(Override!$B$11:$B$40,$B139,Override!$D$11:$D$40,4,Override!$E$11:$E$40,"&gt;=0",Override!$C$11:$C$40,"MXAU"))&gt;0,SUMIFS(Override!$E$11:$E$40,Override!$B$11:$B$40,$B139,Override!$D$11:$D$40,4)-SUMIFS(Override!$E$11:$E$40,Override!$B$11:$B$40,$B139,Override!$D$11:$D$40,4,Override!$C$11:$C$40,"MXAU"),Override!$F$174)/AS51!$B$3,"")))</f>
        <v/>
      </c>
      <c r="J139" s="140">
        <f>IF(J$13="","",IF($B139="","",IFERROR($C139*$D139*IF((Override!$C$4="ON")*(COUNTIFS(Override!$B$11:$B$40,$B139,Override!$D$11:$D$40,5,Override!$E$11:$E$40,"&gt;=0")-COUNTIFS(Override!$B$11:$B$40,$B139,Override!$D$11:$D$40,5,Override!$E$11:$E$40,"&gt;=0",Override!$C$11:$C$40,"MXAU"))&gt;0,SUMIFS(Override!$E$11:$E$40,Override!$B$11:$B$40,$B139,Override!$D$11:$D$40,5)-SUMIFS(Override!$E$11:$E$40,Override!$B$11:$B$40,$B139,Override!$D$11:$D$40,5,Override!$C$11:$C$40,"MXAU"),Override!$G$174)/AS51!$B$3,"")))</f>
        <v/>
      </c>
      <c r="K139" s="140">
        <f>IF(K$13="","",IF($B139="","",IFERROR($C139*$D139*IF((Override!$C$4="ON")*(COUNTIFS(Override!$B$11:$B$40,$B139,Override!$D$11:$D$40,6,Override!$E$11:$E$40,"&gt;=0")-COUNTIFS(Override!$B$11:$B$40,$B139,Override!$D$11:$D$40,6,Override!$E$11:$E$40,"&gt;=0",Override!$C$11:$C$40,"MXAU"))&gt;0,SUMIFS(Override!$E$11:$E$40,Override!$B$11:$B$40,$B139,Override!$D$11:$D$40,6)-SUMIFS(Override!$E$11:$E$40,Override!$B$11:$B$40,$B139,Override!$D$11:$D$40,6,Override!$C$11:$C$40,"MXAU"),Override!$H$174)/AS51!$B$3,"")))</f>
        <v/>
      </c>
      <c r="L139" s="140">
        <f>IF(L$13="","",IF($B139="","",IFERROR($C139*$D139*IF((Override!$C$4="ON")*(COUNTIFS(Override!$B$11:$B$40,$B139,Override!$D$11:$D$40,7,Override!$E$11:$E$40,"&gt;=0")-COUNTIFS(Override!$B$11:$B$40,$B139,Override!$D$11:$D$40,7,Override!$E$11:$E$40,"&gt;=0",Override!$C$11:$C$40,"MXAU"))&gt;0,SUMIFS(Override!$E$11:$E$40,Override!$B$11:$B$40,$B139,Override!$D$11:$D$40,7)-SUMIFS(Override!$E$11:$E$40,Override!$B$11:$B$40,$B139,Override!$D$11:$D$40,7,Override!$C$11:$C$40,"MXAU"),Override!$I$174)/AS51!$B$3,"")))</f>
        <v/>
      </c>
      <c r="M139" s="140">
        <f>IF(M$13="","",IF($B139="","",IFERROR($C139*$D139*IF((Override!$C$4="ON")*(COUNTIFS(Override!$B$11:$B$40,$B139,Override!$D$11:$D$40,8,Override!$E$11:$E$40,"&gt;=0")-COUNTIFS(Override!$B$11:$B$40,$B139,Override!$D$11:$D$40,8,Override!$E$11:$E$40,"&gt;=0",Override!$C$11:$C$40,"MXAU"))&gt;0,SUMIFS(Override!$E$11:$E$40,Override!$B$11:$B$40,$B139,Override!$D$11:$D$40,8)-SUMIFS(Override!$E$11:$E$40,Override!$B$11:$B$40,$B139,Override!$D$11:$D$40,8,Override!$C$11:$C$40,"MXAU"),Override!$J$174)/AS51!$B$3,"")))</f>
        <v/>
      </c>
      <c r="N139" s="140">
        <f>IF(N$13="","",IF($B139="","",IFERROR($C139*$D139*IF((Override!$C$4="ON")*(COUNTIFS(Override!$B$11:$B$40,$B139,Override!$D$11:$D$40,9,Override!$E$11:$E$40,"&gt;=0")-COUNTIFS(Override!$B$11:$B$40,$B139,Override!$D$11:$D$40,9,Override!$E$11:$E$40,"&gt;=0",Override!$C$11:$C$40,"MXAU"))&gt;0,SUMIFS(Override!$E$11:$E$40,Override!$B$11:$B$40,$B139,Override!$D$11:$D$40,9)-SUMIFS(Override!$E$11:$E$40,Override!$B$11:$B$40,$B139,Override!$D$11:$D$40,9,Override!$C$11:$C$40,"MXAU"),Override!$K$174)/AS51!$B$3,"")))</f>
        <v/>
      </c>
      <c r="O139" s="140">
        <f>IF(O$13="","",IF($B139="","",IFERROR($C139*$D139*IF((Override!$C$4="ON")*(COUNTIFS(Override!$B$11:$B$40,$B139,Override!$D$11:$D$40,10,Override!$E$11:$E$40,"&gt;=0")-COUNTIFS(Override!$B$11:$B$40,$B139,Override!$D$11:$D$40,10,Override!$E$11:$E$40,"&gt;=0",Override!$C$11:$C$40,"MXAU"))&gt;0,SUMIFS(Override!$E$11:$E$40,Override!$B$11:$B$40,$B139,Override!$D$11:$D$40,10)-SUMIFS(Override!$E$11:$E$40,Override!$B$11:$B$40,$B139,Override!$D$11:$D$40,10,Override!$C$11:$C$40,"MXAU"),Override!$L$174)/AS51!$B$3,"")))</f>
        <v/>
      </c>
      <c r="P139" s="140">
        <f>IF(P$13="","",IF($B139="","",IFERROR($C139*$D139*IF((Override!$C$4="ON")*(COUNTIFS(Override!$B$11:$B$40,$B139,Override!$D$11:$D$40,11,Override!$E$11:$E$40,"&gt;=0")-COUNTIFS(Override!$B$11:$B$40,$B139,Override!$D$11:$D$40,11,Override!$E$11:$E$40,"&gt;=0",Override!$C$11:$C$40,"MXAU"))&gt;0,SUMIFS(Override!$E$11:$E$40,Override!$B$11:$B$40,$B139,Override!$D$11:$D$40,11)-SUMIFS(Override!$E$11:$E$40,Override!$B$11:$B$40,$B139,Override!$D$11:$D$40,11,Override!$C$11:$C$40,"MXAU"),Override!$M$174)/AS51!$B$3,"")))</f>
        <v/>
      </c>
      <c r="Q139" s="140">
        <f>IF(Q$13="","",IF($B139="","",IFERROR($C139*$D139*IF((Override!$C$4="ON")*(COUNTIFS(Override!$B$11:$B$40,$B139,Override!$D$11:$D$40,12,Override!$E$11:$E$40,"&gt;=0")-COUNTIFS(Override!$B$11:$B$40,$B139,Override!$D$11:$D$40,12,Override!$E$11:$E$40,"&gt;=0",Override!$C$11:$C$40,"MXAU"))&gt;0,SUMIFS(Override!$E$11:$E$40,Override!$B$11:$B$40,$B139,Override!$D$11:$D$40,12)-SUMIFS(Override!$E$11:$E$40,Override!$B$11:$B$40,$B139,Override!$D$11:$D$40,12,Override!$C$11:$C$40,"MXAU"),Override!$N$174)/AS51!$B$3,"")))</f>
        <v/>
      </c>
      <c r="R139" s="140">
        <f>IF(R$13="","",IF($B139="","",IFERROR($C139*$D139*IF((Override!$C$4="ON")*(COUNTIFS(Override!$B$11:$B$40,$B139,Override!$D$11:$D$40,13,Override!$E$11:$E$40,"&gt;=0")-COUNTIFS(Override!$B$11:$B$40,$B139,Override!$D$11:$D$40,13,Override!$E$11:$E$40,"&gt;=0",Override!$C$11:$C$40,"MXAU"))&gt;0,SUMIFS(Override!$E$11:$E$40,Override!$B$11:$B$40,$B139,Override!$D$11:$D$40,13)-SUMIFS(Override!$E$11:$E$40,Override!$B$11:$B$40,$B139,Override!$D$11:$D$40,13,Override!$C$11:$C$40,"MXAU"),Override!$O$174)/AS51!$B$3,"")))</f>
        <v/>
      </c>
      <c r="S139" s="140">
        <f>IF(S$13="","",IF($B139="","",IFERROR($C139*$D139*IF((Override!$C$4="ON")*(COUNTIFS(Override!$B$11:$B$40,$B139,Override!$D$11:$D$40,14,Override!$E$11:$E$40,"&gt;=0")-COUNTIFS(Override!$B$11:$B$40,$B139,Override!$D$11:$D$40,14,Override!$E$11:$E$40,"&gt;=0",Override!$C$11:$C$40,"MXAU"))&gt;0,SUMIFS(Override!$E$11:$E$40,Override!$B$11:$B$40,$B139,Override!$D$11:$D$40,14)-SUMIFS(Override!$E$11:$E$40,Override!$B$11:$B$40,$B139,Override!$D$11:$D$40,14,Override!$C$11:$C$40,"MXAU"),Override!$P$174)/AS51!$B$3,"")))</f>
        <v/>
      </c>
      <c r="T139" s="140">
        <f>IF(T$13="","",IF($B139="","",IFERROR($C139*$D139*IF((Override!$C$4="ON")*(COUNTIFS(Override!$B$11:$B$40,$B139,Override!$D$11:$D$40,15,Override!$E$11:$E$40,"&gt;=0")-COUNTIFS(Override!$B$11:$B$40,$B139,Override!$D$11:$D$40,15,Override!$E$11:$E$40,"&gt;=0",Override!$C$11:$C$40,"MXAU"))&gt;0,SUMIFS(Override!$E$11:$E$40,Override!$B$11:$B$40,$B139,Override!$D$11:$D$40,15)-SUMIFS(Override!$E$11:$E$40,Override!$B$11:$B$40,$B139,Override!$D$11:$D$40,15,Override!$C$11:$C$40,"MXAU"),Override!$Q$174)/AS51!$B$3,"")))</f>
        <v/>
      </c>
      <c r="U139" s="140">
        <f>IF(U$13="","",IF($B139="","",IFERROR($C139*$D139*IF((Override!$C$4="ON")*(COUNTIFS(Override!$B$11:$B$40,$B139,Override!$D$11:$D$40,16,Override!$E$11:$E$40,"&gt;=0")-COUNTIFS(Override!$B$11:$B$40,$B139,Override!$D$11:$D$40,16,Override!$E$11:$E$40,"&gt;=0",Override!$C$11:$C$40,"MXAU"))&gt;0,SUMIFS(Override!$E$11:$E$40,Override!$B$11:$B$40,$B139,Override!$D$11:$D$40,16)-SUMIFS(Override!$E$11:$E$40,Override!$B$11:$B$40,$B139,Override!$D$11:$D$40,16,Override!$C$11:$C$40,"MXAU"),Override!$R$174)/AS51!$B$3,"")))</f>
        <v/>
      </c>
      <c r="W139" s="140">
        <f>IF(W$13="","",IF($B139="","",IFERROR(F139*$E139/100,"")))</f>
        <v/>
      </c>
      <c r="X139" s="140">
        <f>IF(X$13="","",IF($B139="","",IFERROR(G139*$E139/100,"")))</f>
        <v/>
      </c>
      <c r="Y139" s="140">
        <f>IF(Y$13="","",IF($B139="","",IFERROR(H139*$E139/100,"")))</f>
        <v/>
      </c>
      <c r="Z139" s="140">
        <f>IF(Z$13="","",IF($B139="","",IFERROR(I139*$E139/100,"")))</f>
        <v/>
      </c>
      <c r="AA139" s="140">
        <f>IF(AA$13="","",IF($B139="","",IFERROR(J139*$E139/100,"")))</f>
        <v/>
      </c>
      <c r="AB139" s="140">
        <f>IF(AB$13="","",IF($B139="","",IFERROR(K139*$E139/100,"")))</f>
        <v/>
      </c>
      <c r="AC139" s="140">
        <f>IF(AC$13="","",IF($B139="","",IFERROR(L139*$E139/100,"")))</f>
        <v/>
      </c>
      <c r="AD139" s="140">
        <f>IF(AD$13="","",IF($B139="","",IFERROR(M139*$E139/100,"")))</f>
        <v/>
      </c>
      <c r="AE139" s="140">
        <f>IF(AE$13="","",IF($B139="","",IFERROR(N139*$E139/100,"")))</f>
        <v/>
      </c>
      <c r="AF139" s="140">
        <f>IF(AF$13="","",IF($B139="","",IFERROR(O139*$E139/100,"")))</f>
        <v/>
      </c>
      <c r="AG139" s="140">
        <f>IF(AG$13="","",IF($B139="","",IFERROR(P139*$E139/100,"")))</f>
        <v/>
      </c>
      <c r="AH139" s="140">
        <f>IF(AH$13="","",IF($B139="","",IFERROR(Q139*$E139/100,"")))</f>
        <v/>
      </c>
      <c r="AI139" s="140">
        <f>IF(AI$13="","",IF($B139="","",IFERROR(R139*$E139/100,"")))</f>
        <v/>
      </c>
      <c r="AJ139" s="140">
        <f>IF(AJ$13="","",IF($B139="","",IFERROR(S139*$E139/100,"")))</f>
        <v/>
      </c>
      <c r="AK139" s="140">
        <f>IF(AK$13="","",IF($B139="","",IFERROR(T139*$E139/100,"")))</f>
        <v/>
      </c>
      <c r="AL139" s="140">
        <f>IF(AL$13="","",IF($B139="","",IFERROR(U139*$E139/100,"")))</f>
        <v/>
      </c>
      <c r="AN139" s="140">
        <f>IF($B139="","",SUMIF($F$13:$U$13,"&lt;="&amp;Sector!$D$51,$F139:$U139))</f>
        <v/>
      </c>
      <c r="AO139" s="140">
        <f>IF($B139="","",SUMIF($W$13:$AL$13,"&lt;="&amp;Sector!$D$51,$W139:$AL139))</f>
        <v/>
      </c>
    </row>
    <row r="140">
      <c r="B140" s="5">
        <f>IF(AS51!$C$130="","",AS51!$C$130)</f>
        <v/>
      </c>
      <c r="C140" s="90">
        <f>IF(AS51!$B$130="","",AS51!$B$130)</f>
        <v/>
      </c>
      <c r="D140" s="138">
        <f>IFERROR(AS51!$Q$130,1)</f>
        <v/>
      </c>
      <c r="E140" s="139">
        <f>IF($B140="","",IF(ISNUMBER(AS51!$I$130),AS51!$I$130,'Index Summary'!$C$7))</f>
        <v/>
      </c>
      <c r="F140" s="140">
        <f>IF(F$13="","",IF($B140="","",IFERROR($C140*$D140*IF((Override!$C$4="ON")*(COUNTIFS(Override!$B$11:$B$40,$B140,Override!$D$11:$D$40,1,Override!$E$11:$E$40,"&gt;=0")-COUNTIFS(Override!$B$11:$B$40,$B140,Override!$D$11:$D$40,1,Override!$E$11:$E$40,"&gt;=0",Override!$C$11:$C$40,"MXAU"))&gt;0,SUMIFS(Override!$E$11:$E$40,Override!$B$11:$B$40,$B140,Override!$D$11:$D$40,1)-SUMIFS(Override!$E$11:$E$40,Override!$B$11:$B$40,$B140,Override!$D$11:$D$40,1,Override!$C$11:$C$40,"MXAU"),Override!$C$175)/AS51!$B$3,"")))</f>
        <v/>
      </c>
      <c r="G140" s="140">
        <f>IF(G$13="","",IF($B140="","",IFERROR($C140*$D140*IF((Override!$C$4="ON")*(COUNTIFS(Override!$B$11:$B$40,$B140,Override!$D$11:$D$40,2,Override!$E$11:$E$40,"&gt;=0")-COUNTIFS(Override!$B$11:$B$40,$B140,Override!$D$11:$D$40,2,Override!$E$11:$E$40,"&gt;=0",Override!$C$11:$C$40,"MXAU"))&gt;0,SUMIFS(Override!$E$11:$E$40,Override!$B$11:$B$40,$B140,Override!$D$11:$D$40,2)-SUMIFS(Override!$E$11:$E$40,Override!$B$11:$B$40,$B140,Override!$D$11:$D$40,2,Override!$C$11:$C$40,"MXAU"),Override!$D$175)/AS51!$B$3,"")))</f>
        <v/>
      </c>
      <c r="H140" s="140">
        <f>IF(H$13="","",IF($B140="","",IFERROR($C140*$D140*IF((Override!$C$4="ON")*(COUNTIFS(Override!$B$11:$B$40,$B140,Override!$D$11:$D$40,3,Override!$E$11:$E$40,"&gt;=0")-COUNTIFS(Override!$B$11:$B$40,$B140,Override!$D$11:$D$40,3,Override!$E$11:$E$40,"&gt;=0",Override!$C$11:$C$40,"MXAU"))&gt;0,SUMIFS(Override!$E$11:$E$40,Override!$B$11:$B$40,$B140,Override!$D$11:$D$40,3)-SUMIFS(Override!$E$11:$E$40,Override!$B$11:$B$40,$B140,Override!$D$11:$D$40,3,Override!$C$11:$C$40,"MXAU"),Override!$E$175)/AS51!$B$3,"")))</f>
        <v/>
      </c>
      <c r="I140" s="140">
        <f>IF(I$13="","",IF($B140="","",IFERROR($C140*$D140*IF((Override!$C$4="ON")*(COUNTIFS(Override!$B$11:$B$40,$B140,Override!$D$11:$D$40,4,Override!$E$11:$E$40,"&gt;=0")-COUNTIFS(Override!$B$11:$B$40,$B140,Override!$D$11:$D$40,4,Override!$E$11:$E$40,"&gt;=0",Override!$C$11:$C$40,"MXAU"))&gt;0,SUMIFS(Override!$E$11:$E$40,Override!$B$11:$B$40,$B140,Override!$D$11:$D$40,4)-SUMIFS(Override!$E$11:$E$40,Override!$B$11:$B$40,$B140,Override!$D$11:$D$40,4,Override!$C$11:$C$40,"MXAU"),Override!$F$175)/AS51!$B$3,"")))</f>
        <v/>
      </c>
      <c r="J140" s="140">
        <f>IF(J$13="","",IF($B140="","",IFERROR($C140*$D140*IF((Override!$C$4="ON")*(COUNTIFS(Override!$B$11:$B$40,$B140,Override!$D$11:$D$40,5,Override!$E$11:$E$40,"&gt;=0")-COUNTIFS(Override!$B$11:$B$40,$B140,Override!$D$11:$D$40,5,Override!$E$11:$E$40,"&gt;=0",Override!$C$11:$C$40,"MXAU"))&gt;0,SUMIFS(Override!$E$11:$E$40,Override!$B$11:$B$40,$B140,Override!$D$11:$D$40,5)-SUMIFS(Override!$E$11:$E$40,Override!$B$11:$B$40,$B140,Override!$D$11:$D$40,5,Override!$C$11:$C$40,"MXAU"),Override!$G$175)/AS51!$B$3,"")))</f>
        <v/>
      </c>
      <c r="K140" s="140">
        <f>IF(K$13="","",IF($B140="","",IFERROR($C140*$D140*IF((Override!$C$4="ON")*(COUNTIFS(Override!$B$11:$B$40,$B140,Override!$D$11:$D$40,6,Override!$E$11:$E$40,"&gt;=0")-COUNTIFS(Override!$B$11:$B$40,$B140,Override!$D$11:$D$40,6,Override!$E$11:$E$40,"&gt;=0",Override!$C$11:$C$40,"MXAU"))&gt;0,SUMIFS(Override!$E$11:$E$40,Override!$B$11:$B$40,$B140,Override!$D$11:$D$40,6)-SUMIFS(Override!$E$11:$E$40,Override!$B$11:$B$40,$B140,Override!$D$11:$D$40,6,Override!$C$11:$C$40,"MXAU"),Override!$H$175)/AS51!$B$3,"")))</f>
        <v/>
      </c>
      <c r="L140" s="140">
        <f>IF(L$13="","",IF($B140="","",IFERROR($C140*$D140*IF((Override!$C$4="ON")*(COUNTIFS(Override!$B$11:$B$40,$B140,Override!$D$11:$D$40,7,Override!$E$11:$E$40,"&gt;=0")-COUNTIFS(Override!$B$11:$B$40,$B140,Override!$D$11:$D$40,7,Override!$E$11:$E$40,"&gt;=0",Override!$C$11:$C$40,"MXAU"))&gt;0,SUMIFS(Override!$E$11:$E$40,Override!$B$11:$B$40,$B140,Override!$D$11:$D$40,7)-SUMIFS(Override!$E$11:$E$40,Override!$B$11:$B$40,$B140,Override!$D$11:$D$40,7,Override!$C$11:$C$40,"MXAU"),Override!$I$175)/AS51!$B$3,"")))</f>
        <v/>
      </c>
      <c r="M140" s="140">
        <f>IF(M$13="","",IF($B140="","",IFERROR($C140*$D140*IF((Override!$C$4="ON")*(COUNTIFS(Override!$B$11:$B$40,$B140,Override!$D$11:$D$40,8,Override!$E$11:$E$40,"&gt;=0")-COUNTIFS(Override!$B$11:$B$40,$B140,Override!$D$11:$D$40,8,Override!$E$11:$E$40,"&gt;=0",Override!$C$11:$C$40,"MXAU"))&gt;0,SUMIFS(Override!$E$11:$E$40,Override!$B$11:$B$40,$B140,Override!$D$11:$D$40,8)-SUMIFS(Override!$E$11:$E$40,Override!$B$11:$B$40,$B140,Override!$D$11:$D$40,8,Override!$C$11:$C$40,"MXAU"),Override!$J$175)/AS51!$B$3,"")))</f>
        <v/>
      </c>
      <c r="N140" s="140">
        <f>IF(N$13="","",IF($B140="","",IFERROR($C140*$D140*IF((Override!$C$4="ON")*(COUNTIFS(Override!$B$11:$B$40,$B140,Override!$D$11:$D$40,9,Override!$E$11:$E$40,"&gt;=0")-COUNTIFS(Override!$B$11:$B$40,$B140,Override!$D$11:$D$40,9,Override!$E$11:$E$40,"&gt;=0",Override!$C$11:$C$40,"MXAU"))&gt;0,SUMIFS(Override!$E$11:$E$40,Override!$B$11:$B$40,$B140,Override!$D$11:$D$40,9)-SUMIFS(Override!$E$11:$E$40,Override!$B$11:$B$40,$B140,Override!$D$11:$D$40,9,Override!$C$11:$C$40,"MXAU"),Override!$K$175)/AS51!$B$3,"")))</f>
        <v/>
      </c>
      <c r="O140" s="140">
        <f>IF(O$13="","",IF($B140="","",IFERROR($C140*$D140*IF((Override!$C$4="ON")*(COUNTIFS(Override!$B$11:$B$40,$B140,Override!$D$11:$D$40,10,Override!$E$11:$E$40,"&gt;=0")-COUNTIFS(Override!$B$11:$B$40,$B140,Override!$D$11:$D$40,10,Override!$E$11:$E$40,"&gt;=0",Override!$C$11:$C$40,"MXAU"))&gt;0,SUMIFS(Override!$E$11:$E$40,Override!$B$11:$B$40,$B140,Override!$D$11:$D$40,10)-SUMIFS(Override!$E$11:$E$40,Override!$B$11:$B$40,$B140,Override!$D$11:$D$40,10,Override!$C$11:$C$40,"MXAU"),Override!$L$175)/AS51!$B$3,"")))</f>
        <v/>
      </c>
      <c r="P140" s="140">
        <f>IF(P$13="","",IF($B140="","",IFERROR($C140*$D140*IF((Override!$C$4="ON")*(COUNTIFS(Override!$B$11:$B$40,$B140,Override!$D$11:$D$40,11,Override!$E$11:$E$40,"&gt;=0")-COUNTIFS(Override!$B$11:$B$40,$B140,Override!$D$11:$D$40,11,Override!$E$11:$E$40,"&gt;=0",Override!$C$11:$C$40,"MXAU"))&gt;0,SUMIFS(Override!$E$11:$E$40,Override!$B$11:$B$40,$B140,Override!$D$11:$D$40,11)-SUMIFS(Override!$E$11:$E$40,Override!$B$11:$B$40,$B140,Override!$D$11:$D$40,11,Override!$C$11:$C$40,"MXAU"),Override!$M$175)/AS51!$B$3,"")))</f>
        <v/>
      </c>
      <c r="Q140" s="140">
        <f>IF(Q$13="","",IF($B140="","",IFERROR($C140*$D140*IF((Override!$C$4="ON")*(COUNTIFS(Override!$B$11:$B$40,$B140,Override!$D$11:$D$40,12,Override!$E$11:$E$40,"&gt;=0")-COUNTIFS(Override!$B$11:$B$40,$B140,Override!$D$11:$D$40,12,Override!$E$11:$E$40,"&gt;=0",Override!$C$11:$C$40,"MXAU"))&gt;0,SUMIFS(Override!$E$11:$E$40,Override!$B$11:$B$40,$B140,Override!$D$11:$D$40,12)-SUMIFS(Override!$E$11:$E$40,Override!$B$11:$B$40,$B140,Override!$D$11:$D$40,12,Override!$C$11:$C$40,"MXAU"),Override!$N$175)/AS51!$B$3,"")))</f>
        <v/>
      </c>
      <c r="R140" s="140">
        <f>IF(R$13="","",IF($B140="","",IFERROR($C140*$D140*IF((Override!$C$4="ON")*(COUNTIFS(Override!$B$11:$B$40,$B140,Override!$D$11:$D$40,13,Override!$E$11:$E$40,"&gt;=0")-COUNTIFS(Override!$B$11:$B$40,$B140,Override!$D$11:$D$40,13,Override!$E$11:$E$40,"&gt;=0",Override!$C$11:$C$40,"MXAU"))&gt;0,SUMIFS(Override!$E$11:$E$40,Override!$B$11:$B$40,$B140,Override!$D$11:$D$40,13)-SUMIFS(Override!$E$11:$E$40,Override!$B$11:$B$40,$B140,Override!$D$11:$D$40,13,Override!$C$11:$C$40,"MXAU"),Override!$O$175)/AS51!$B$3,"")))</f>
        <v/>
      </c>
      <c r="S140" s="140">
        <f>IF(S$13="","",IF($B140="","",IFERROR($C140*$D140*IF((Override!$C$4="ON")*(COUNTIFS(Override!$B$11:$B$40,$B140,Override!$D$11:$D$40,14,Override!$E$11:$E$40,"&gt;=0")-COUNTIFS(Override!$B$11:$B$40,$B140,Override!$D$11:$D$40,14,Override!$E$11:$E$40,"&gt;=0",Override!$C$11:$C$40,"MXAU"))&gt;0,SUMIFS(Override!$E$11:$E$40,Override!$B$11:$B$40,$B140,Override!$D$11:$D$40,14)-SUMIFS(Override!$E$11:$E$40,Override!$B$11:$B$40,$B140,Override!$D$11:$D$40,14,Override!$C$11:$C$40,"MXAU"),Override!$P$175)/AS51!$B$3,"")))</f>
        <v/>
      </c>
      <c r="T140" s="140">
        <f>IF(T$13="","",IF($B140="","",IFERROR($C140*$D140*IF((Override!$C$4="ON")*(COUNTIFS(Override!$B$11:$B$40,$B140,Override!$D$11:$D$40,15,Override!$E$11:$E$40,"&gt;=0")-COUNTIFS(Override!$B$11:$B$40,$B140,Override!$D$11:$D$40,15,Override!$E$11:$E$40,"&gt;=0",Override!$C$11:$C$40,"MXAU"))&gt;0,SUMIFS(Override!$E$11:$E$40,Override!$B$11:$B$40,$B140,Override!$D$11:$D$40,15)-SUMIFS(Override!$E$11:$E$40,Override!$B$11:$B$40,$B140,Override!$D$11:$D$40,15,Override!$C$11:$C$40,"MXAU"),Override!$Q$175)/AS51!$B$3,"")))</f>
        <v/>
      </c>
      <c r="U140" s="140">
        <f>IF(U$13="","",IF($B140="","",IFERROR($C140*$D140*IF((Override!$C$4="ON")*(COUNTIFS(Override!$B$11:$B$40,$B140,Override!$D$11:$D$40,16,Override!$E$11:$E$40,"&gt;=0")-COUNTIFS(Override!$B$11:$B$40,$B140,Override!$D$11:$D$40,16,Override!$E$11:$E$40,"&gt;=0",Override!$C$11:$C$40,"MXAU"))&gt;0,SUMIFS(Override!$E$11:$E$40,Override!$B$11:$B$40,$B140,Override!$D$11:$D$40,16)-SUMIFS(Override!$E$11:$E$40,Override!$B$11:$B$40,$B140,Override!$D$11:$D$40,16,Override!$C$11:$C$40,"MXAU"),Override!$R$175)/AS51!$B$3,"")))</f>
        <v/>
      </c>
      <c r="W140" s="140">
        <f>IF(W$13="","",IF($B140="","",IFERROR(F140*$E140/100,"")))</f>
        <v/>
      </c>
      <c r="X140" s="140">
        <f>IF(X$13="","",IF($B140="","",IFERROR(G140*$E140/100,"")))</f>
        <v/>
      </c>
      <c r="Y140" s="140">
        <f>IF(Y$13="","",IF($B140="","",IFERROR(H140*$E140/100,"")))</f>
        <v/>
      </c>
      <c r="Z140" s="140">
        <f>IF(Z$13="","",IF($B140="","",IFERROR(I140*$E140/100,"")))</f>
        <v/>
      </c>
      <c r="AA140" s="140">
        <f>IF(AA$13="","",IF($B140="","",IFERROR(J140*$E140/100,"")))</f>
        <v/>
      </c>
      <c r="AB140" s="140">
        <f>IF(AB$13="","",IF($B140="","",IFERROR(K140*$E140/100,"")))</f>
        <v/>
      </c>
      <c r="AC140" s="140">
        <f>IF(AC$13="","",IF($B140="","",IFERROR(L140*$E140/100,"")))</f>
        <v/>
      </c>
      <c r="AD140" s="140">
        <f>IF(AD$13="","",IF($B140="","",IFERROR(M140*$E140/100,"")))</f>
        <v/>
      </c>
      <c r="AE140" s="140">
        <f>IF(AE$13="","",IF($B140="","",IFERROR(N140*$E140/100,"")))</f>
        <v/>
      </c>
      <c r="AF140" s="140">
        <f>IF(AF$13="","",IF($B140="","",IFERROR(O140*$E140/100,"")))</f>
        <v/>
      </c>
      <c r="AG140" s="140">
        <f>IF(AG$13="","",IF($B140="","",IFERROR(P140*$E140/100,"")))</f>
        <v/>
      </c>
      <c r="AH140" s="140">
        <f>IF(AH$13="","",IF($B140="","",IFERROR(Q140*$E140/100,"")))</f>
        <v/>
      </c>
      <c r="AI140" s="140">
        <f>IF(AI$13="","",IF($B140="","",IFERROR(R140*$E140/100,"")))</f>
        <v/>
      </c>
      <c r="AJ140" s="140">
        <f>IF(AJ$13="","",IF($B140="","",IFERROR(S140*$E140/100,"")))</f>
        <v/>
      </c>
      <c r="AK140" s="140">
        <f>IF(AK$13="","",IF($B140="","",IFERROR(T140*$E140/100,"")))</f>
        <v/>
      </c>
      <c r="AL140" s="140">
        <f>IF(AL$13="","",IF($B140="","",IFERROR(U140*$E140/100,"")))</f>
        <v/>
      </c>
      <c r="AN140" s="140">
        <f>IF($B140="","",SUMIF($F$13:$U$13,"&lt;="&amp;Sector!$D$51,$F140:$U140))</f>
        <v/>
      </c>
      <c r="AO140" s="140">
        <f>IF($B140="","",SUMIF($W$13:$AL$13,"&lt;="&amp;Sector!$D$51,$W140:$AL140))</f>
        <v/>
      </c>
    </row>
    <row r="141">
      <c r="B141" s="5">
        <f>IF(AS51!$C$131="","",AS51!$C$131)</f>
        <v/>
      </c>
      <c r="C141" s="90">
        <f>IF(AS51!$B$131="","",AS51!$B$131)</f>
        <v/>
      </c>
      <c r="D141" s="138">
        <f>IFERROR(AS51!$Q$131,1)</f>
        <v/>
      </c>
      <c r="E141" s="139">
        <f>IF($B141="","",IF(ISNUMBER(AS51!$I$131),AS51!$I$131,'Index Summary'!$C$7))</f>
        <v/>
      </c>
      <c r="F141" s="140">
        <f>IF(F$13="","",IF($B141="","",IFERROR($C141*$D141*IF((Override!$C$4="ON")*(COUNTIFS(Override!$B$11:$B$40,$B141,Override!$D$11:$D$40,1,Override!$E$11:$E$40,"&gt;=0")-COUNTIFS(Override!$B$11:$B$40,$B141,Override!$D$11:$D$40,1,Override!$E$11:$E$40,"&gt;=0",Override!$C$11:$C$40,"MXAU"))&gt;0,SUMIFS(Override!$E$11:$E$40,Override!$B$11:$B$40,$B141,Override!$D$11:$D$40,1)-SUMIFS(Override!$E$11:$E$40,Override!$B$11:$B$40,$B141,Override!$D$11:$D$40,1,Override!$C$11:$C$40,"MXAU"),Override!$C$176)/AS51!$B$3,"")))</f>
        <v/>
      </c>
      <c r="G141" s="140">
        <f>IF(G$13="","",IF($B141="","",IFERROR($C141*$D141*IF((Override!$C$4="ON")*(COUNTIFS(Override!$B$11:$B$40,$B141,Override!$D$11:$D$40,2,Override!$E$11:$E$40,"&gt;=0")-COUNTIFS(Override!$B$11:$B$40,$B141,Override!$D$11:$D$40,2,Override!$E$11:$E$40,"&gt;=0",Override!$C$11:$C$40,"MXAU"))&gt;0,SUMIFS(Override!$E$11:$E$40,Override!$B$11:$B$40,$B141,Override!$D$11:$D$40,2)-SUMIFS(Override!$E$11:$E$40,Override!$B$11:$B$40,$B141,Override!$D$11:$D$40,2,Override!$C$11:$C$40,"MXAU"),Override!$D$176)/AS51!$B$3,"")))</f>
        <v/>
      </c>
      <c r="H141" s="140">
        <f>IF(H$13="","",IF($B141="","",IFERROR($C141*$D141*IF((Override!$C$4="ON")*(COUNTIFS(Override!$B$11:$B$40,$B141,Override!$D$11:$D$40,3,Override!$E$11:$E$40,"&gt;=0")-COUNTIFS(Override!$B$11:$B$40,$B141,Override!$D$11:$D$40,3,Override!$E$11:$E$40,"&gt;=0",Override!$C$11:$C$40,"MXAU"))&gt;0,SUMIFS(Override!$E$11:$E$40,Override!$B$11:$B$40,$B141,Override!$D$11:$D$40,3)-SUMIFS(Override!$E$11:$E$40,Override!$B$11:$B$40,$B141,Override!$D$11:$D$40,3,Override!$C$11:$C$40,"MXAU"),Override!$E$176)/AS51!$B$3,"")))</f>
        <v/>
      </c>
      <c r="I141" s="140">
        <f>IF(I$13="","",IF($B141="","",IFERROR($C141*$D141*IF((Override!$C$4="ON")*(COUNTIFS(Override!$B$11:$B$40,$B141,Override!$D$11:$D$40,4,Override!$E$11:$E$40,"&gt;=0")-COUNTIFS(Override!$B$11:$B$40,$B141,Override!$D$11:$D$40,4,Override!$E$11:$E$40,"&gt;=0",Override!$C$11:$C$40,"MXAU"))&gt;0,SUMIFS(Override!$E$11:$E$40,Override!$B$11:$B$40,$B141,Override!$D$11:$D$40,4)-SUMIFS(Override!$E$11:$E$40,Override!$B$11:$B$40,$B141,Override!$D$11:$D$40,4,Override!$C$11:$C$40,"MXAU"),Override!$F$176)/AS51!$B$3,"")))</f>
        <v/>
      </c>
      <c r="J141" s="140">
        <f>IF(J$13="","",IF($B141="","",IFERROR($C141*$D141*IF((Override!$C$4="ON")*(COUNTIFS(Override!$B$11:$B$40,$B141,Override!$D$11:$D$40,5,Override!$E$11:$E$40,"&gt;=0")-COUNTIFS(Override!$B$11:$B$40,$B141,Override!$D$11:$D$40,5,Override!$E$11:$E$40,"&gt;=0",Override!$C$11:$C$40,"MXAU"))&gt;0,SUMIFS(Override!$E$11:$E$40,Override!$B$11:$B$40,$B141,Override!$D$11:$D$40,5)-SUMIFS(Override!$E$11:$E$40,Override!$B$11:$B$40,$B141,Override!$D$11:$D$40,5,Override!$C$11:$C$40,"MXAU"),Override!$G$176)/AS51!$B$3,"")))</f>
        <v/>
      </c>
      <c r="K141" s="140">
        <f>IF(K$13="","",IF($B141="","",IFERROR($C141*$D141*IF((Override!$C$4="ON")*(COUNTIFS(Override!$B$11:$B$40,$B141,Override!$D$11:$D$40,6,Override!$E$11:$E$40,"&gt;=0")-COUNTIFS(Override!$B$11:$B$40,$B141,Override!$D$11:$D$40,6,Override!$E$11:$E$40,"&gt;=0",Override!$C$11:$C$40,"MXAU"))&gt;0,SUMIFS(Override!$E$11:$E$40,Override!$B$11:$B$40,$B141,Override!$D$11:$D$40,6)-SUMIFS(Override!$E$11:$E$40,Override!$B$11:$B$40,$B141,Override!$D$11:$D$40,6,Override!$C$11:$C$40,"MXAU"),Override!$H$176)/AS51!$B$3,"")))</f>
        <v/>
      </c>
      <c r="L141" s="140">
        <f>IF(L$13="","",IF($B141="","",IFERROR($C141*$D141*IF((Override!$C$4="ON")*(COUNTIFS(Override!$B$11:$B$40,$B141,Override!$D$11:$D$40,7,Override!$E$11:$E$40,"&gt;=0")-COUNTIFS(Override!$B$11:$B$40,$B141,Override!$D$11:$D$40,7,Override!$E$11:$E$40,"&gt;=0",Override!$C$11:$C$40,"MXAU"))&gt;0,SUMIFS(Override!$E$11:$E$40,Override!$B$11:$B$40,$B141,Override!$D$11:$D$40,7)-SUMIFS(Override!$E$11:$E$40,Override!$B$11:$B$40,$B141,Override!$D$11:$D$40,7,Override!$C$11:$C$40,"MXAU"),Override!$I$176)/AS51!$B$3,"")))</f>
        <v/>
      </c>
      <c r="M141" s="140">
        <f>IF(M$13="","",IF($B141="","",IFERROR($C141*$D141*IF((Override!$C$4="ON")*(COUNTIFS(Override!$B$11:$B$40,$B141,Override!$D$11:$D$40,8,Override!$E$11:$E$40,"&gt;=0")-COUNTIFS(Override!$B$11:$B$40,$B141,Override!$D$11:$D$40,8,Override!$E$11:$E$40,"&gt;=0",Override!$C$11:$C$40,"MXAU"))&gt;0,SUMIFS(Override!$E$11:$E$40,Override!$B$11:$B$40,$B141,Override!$D$11:$D$40,8)-SUMIFS(Override!$E$11:$E$40,Override!$B$11:$B$40,$B141,Override!$D$11:$D$40,8,Override!$C$11:$C$40,"MXAU"),Override!$J$176)/AS51!$B$3,"")))</f>
        <v/>
      </c>
      <c r="N141" s="140">
        <f>IF(N$13="","",IF($B141="","",IFERROR($C141*$D141*IF((Override!$C$4="ON")*(COUNTIFS(Override!$B$11:$B$40,$B141,Override!$D$11:$D$40,9,Override!$E$11:$E$40,"&gt;=0")-COUNTIFS(Override!$B$11:$B$40,$B141,Override!$D$11:$D$40,9,Override!$E$11:$E$40,"&gt;=0",Override!$C$11:$C$40,"MXAU"))&gt;0,SUMIFS(Override!$E$11:$E$40,Override!$B$11:$B$40,$B141,Override!$D$11:$D$40,9)-SUMIFS(Override!$E$11:$E$40,Override!$B$11:$B$40,$B141,Override!$D$11:$D$40,9,Override!$C$11:$C$40,"MXAU"),Override!$K$176)/AS51!$B$3,"")))</f>
        <v/>
      </c>
      <c r="O141" s="140">
        <f>IF(O$13="","",IF($B141="","",IFERROR($C141*$D141*IF((Override!$C$4="ON")*(COUNTIFS(Override!$B$11:$B$40,$B141,Override!$D$11:$D$40,10,Override!$E$11:$E$40,"&gt;=0")-COUNTIFS(Override!$B$11:$B$40,$B141,Override!$D$11:$D$40,10,Override!$E$11:$E$40,"&gt;=0",Override!$C$11:$C$40,"MXAU"))&gt;0,SUMIFS(Override!$E$11:$E$40,Override!$B$11:$B$40,$B141,Override!$D$11:$D$40,10)-SUMIFS(Override!$E$11:$E$40,Override!$B$11:$B$40,$B141,Override!$D$11:$D$40,10,Override!$C$11:$C$40,"MXAU"),Override!$L$176)/AS51!$B$3,"")))</f>
        <v/>
      </c>
      <c r="P141" s="140">
        <f>IF(P$13="","",IF($B141="","",IFERROR($C141*$D141*IF((Override!$C$4="ON")*(COUNTIFS(Override!$B$11:$B$40,$B141,Override!$D$11:$D$40,11,Override!$E$11:$E$40,"&gt;=0")-COUNTIFS(Override!$B$11:$B$40,$B141,Override!$D$11:$D$40,11,Override!$E$11:$E$40,"&gt;=0",Override!$C$11:$C$40,"MXAU"))&gt;0,SUMIFS(Override!$E$11:$E$40,Override!$B$11:$B$40,$B141,Override!$D$11:$D$40,11)-SUMIFS(Override!$E$11:$E$40,Override!$B$11:$B$40,$B141,Override!$D$11:$D$40,11,Override!$C$11:$C$40,"MXAU"),Override!$M$176)/AS51!$B$3,"")))</f>
        <v/>
      </c>
      <c r="Q141" s="140">
        <f>IF(Q$13="","",IF($B141="","",IFERROR($C141*$D141*IF((Override!$C$4="ON")*(COUNTIFS(Override!$B$11:$B$40,$B141,Override!$D$11:$D$40,12,Override!$E$11:$E$40,"&gt;=0")-COUNTIFS(Override!$B$11:$B$40,$B141,Override!$D$11:$D$40,12,Override!$E$11:$E$40,"&gt;=0",Override!$C$11:$C$40,"MXAU"))&gt;0,SUMIFS(Override!$E$11:$E$40,Override!$B$11:$B$40,$B141,Override!$D$11:$D$40,12)-SUMIFS(Override!$E$11:$E$40,Override!$B$11:$B$40,$B141,Override!$D$11:$D$40,12,Override!$C$11:$C$40,"MXAU"),Override!$N$176)/AS51!$B$3,"")))</f>
        <v/>
      </c>
      <c r="R141" s="140">
        <f>IF(R$13="","",IF($B141="","",IFERROR($C141*$D141*IF((Override!$C$4="ON")*(COUNTIFS(Override!$B$11:$B$40,$B141,Override!$D$11:$D$40,13,Override!$E$11:$E$40,"&gt;=0")-COUNTIFS(Override!$B$11:$B$40,$B141,Override!$D$11:$D$40,13,Override!$E$11:$E$40,"&gt;=0",Override!$C$11:$C$40,"MXAU"))&gt;0,SUMIFS(Override!$E$11:$E$40,Override!$B$11:$B$40,$B141,Override!$D$11:$D$40,13)-SUMIFS(Override!$E$11:$E$40,Override!$B$11:$B$40,$B141,Override!$D$11:$D$40,13,Override!$C$11:$C$40,"MXAU"),Override!$O$176)/AS51!$B$3,"")))</f>
        <v/>
      </c>
      <c r="S141" s="140">
        <f>IF(S$13="","",IF($B141="","",IFERROR($C141*$D141*IF((Override!$C$4="ON")*(COUNTIFS(Override!$B$11:$B$40,$B141,Override!$D$11:$D$40,14,Override!$E$11:$E$40,"&gt;=0")-COUNTIFS(Override!$B$11:$B$40,$B141,Override!$D$11:$D$40,14,Override!$E$11:$E$40,"&gt;=0",Override!$C$11:$C$40,"MXAU"))&gt;0,SUMIFS(Override!$E$11:$E$40,Override!$B$11:$B$40,$B141,Override!$D$11:$D$40,14)-SUMIFS(Override!$E$11:$E$40,Override!$B$11:$B$40,$B141,Override!$D$11:$D$40,14,Override!$C$11:$C$40,"MXAU"),Override!$P$176)/AS51!$B$3,"")))</f>
        <v/>
      </c>
      <c r="T141" s="140">
        <f>IF(T$13="","",IF($B141="","",IFERROR($C141*$D141*IF((Override!$C$4="ON")*(COUNTIFS(Override!$B$11:$B$40,$B141,Override!$D$11:$D$40,15,Override!$E$11:$E$40,"&gt;=0")-COUNTIFS(Override!$B$11:$B$40,$B141,Override!$D$11:$D$40,15,Override!$E$11:$E$40,"&gt;=0",Override!$C$11:$C$40,"MXAU"))&gt;0,SUMIFS(Override!$E$11:$E$40,Override!$B$11:$B$40,$B141,Override!$D$11:$D$40,15)-SUMIFS(Override!$E$11:$E$40,Override!$B$11:$B$40,$B141,Override!$D$11:$D$40,15,Override!$C$11:$C$40,"MXAU"),Override!$Q$176)/AS51!$B$3,"")))</f>
        <v/>
      </c>
      <c r="U141" s="140">
        <f>IF(U$13="","",IF($B141="","",IFERROR($C141*$D141*IF((Override!$C$4="ON")*(COUNTIFS(Override!$B$11:$B$40,$B141,Override!$D$11:$D$40,16,Override!$E$11:$E$40,"&gt;=0")-COUNTIFS(Override!$B$11:$B$40,$B141,Override!$D$11:$D$40,16,Override!$E$11:$E$40,"&gt;=0",Override!$C$11:$C$40,"MXAU"))&gt;0,SUMIFS(Override!$E$11:$E$40,Override!$B$11:$B$40,$B141,Override!$D$11:$D$40,16)-SUMIFS(Override!$E$11:$E$40,Override!$B$11:$B$40,$B141,Override!$D$11:$D$40,16,Override!$C$11:$C$40,"MXAU"),Override!$R$176)/AS51!$B$3,"")))</f>
        <v/>
      </c>
      <c r="W141" s="140">
        <f>IF(W$13="","",IF($B141="","",IFERROR(F141*$E141/100,"")))</f>
        <v/>
      </c>
      <c r="X141" s="140">
        <f>IF(X$13="","",IF($B141="","",IFERROR(G141*$E141/100,"")))</f>
        <v/>
      </c>
      <c r="Y141" s="140">
        <f>IF(Y$13="","",IF($B141="","",IFERROR(H141*$E141/100,"")))</f>
        <v/>
      </c>
      <c r="Z141" s="140">
        <f>IF(Z$13="","",IF($B141="","",IFERROR(I141*$E141/100,"")))</f>
        <v/>
      </c>
      <c r="AA141" s="140">
        <f>IF(AA$13="","",IF($B141="","",IFERROR(J141*$E141/100,"")))</f>
        <v/>
      </c>
      <c r="AB141" s="140">
        <f>IF(AB$13="","",IF($B141="","",IFERROR(K141*$E141/100,"")))</f>
        <v/>
      </c>
      <c r="AC141" s="140">
        <f>IF(AC$13="","",IF($B141="","",IFERROR(L141*$E141/100,"")))</f>
        <v/>
      </c>
      <c r="AD141" s="140">
        <f>IF(AD$13="","",IF($B141="","",IFERROR(M141*$E141/100,"")))</f>
        <v/>
      </c>
      <c r="AE141" s="140">
        <f>IF(AE$13="","",IF($B141="","",IFERROR(N141*$E141/100,"")))</f>
        <v/>
      </c>
      <c r="AF141" s="140">
        <f>IF(AF$13="","",IF($B141="","",IFERROR(O141*$E141/100,"")))</f>
        <v/>
      </c>
      <c r="AG141" s="140">
        <f>IF(AG$13="","",IF($B141="","",IFERROR(P141*$E141/100,"")))</f>
        <v/>
      </c>
      <c r="AH141" s="140">
        <f>IF(AH$13="","",IF($B141="","",IFERROR(Q141*$E141/100,"")))</f>
        <v/>
      </c>
      <c r="AI141" s="140">
        <f>IF(AI$13="","",IF($B141="","",IFERROR(R141*$E141/100,"")))</f>
        <v/>
      </c>
      <c r="AJ141" s="140">
        <f>IF(AJ$13="","",IF($B141="","",IFERROR(S141*$E141/100,"")))</f>
        <v/>
      </c>
      <c r="AK141" s="140">
        <f>IF(AK$13="","",IF($B141="","",IFERROR(T141*$E141/100,"")))</f>
        <v/>
      </c>
      <c r="AL141" s="140">
        <f>IF(AL$13="","",IF($B141="","",IFERROR(U141*$E141/100,"")))</f>
        <v/>
      </c>
      <c r="AN141" s="140">
        <f>IF($B141="","",SUMIF($F$13:$U$13,"&lt;="&amp;Sector!$D$51,$F141:$U141))</f>
        <v/>
      </c>
      <c r="AO141" s="140">
        <f>IF($B141="","",SUMIF($W$13:$AL$13,"&lt;="&amp;Sector!$D$51,$W141:$AL141))</f>
        <v/>
      </c>
    </row>
    <row r="142">
      <c r="B142" s="5">
        <f>IF(AS51!$C$132="","",AS51!$C$132)</f>
        <v/>
      </c>
      <c r="C142" s="90">
        <f>IF(AS51!$B$132="","",AS51!$B$132)</f>
        <v/>
      </c>
      <c r="D142" s="138">
        <f>IFERROR(AS51!$Q$132,1)</f>
        <v/>
      </c>
      <c r="E142" s="139">
        <f>IF($B142="","",IF(ISNUMBER(AS51!$I$132),AS51!$I$132,'Index Summary'!$C$7))</f>
        <v/>
      </c>
      <c r="F142" s="140">
        <f>IF(F$13="","",IF($B142="","",IFERROR($C142*$D142*IF((Override!$C$4="ON")*(COUNTIFS(Override!$B$11:$B$40,$B142,Override!$D$11:$D$40,1,Override!$E$11:$E$40,"&gt;=0")-COUNTIFS(Override!$B$11:$B$40,$B142,Override!$D$11:$D$40,1,Override!$E$11:$E$40,"&gt;=0",Override!$C$11:$C$40,"MXAU"))&gt;0,SUMIFS(Override!$E$11:$E$40,Override!$B$11:$B$40,$B142,Override!$D$11:$D$40,1)-SUMIFS(Override!$E$11:$E$40,Override!$B$11:$B$40,$B142,Override!$D$11:$D$40,1,Override!$C$11:$C$40,"MXAU"),Override!$C$177)/AS51!$B$3,"")))</f>
        <v/>
      </c>
      <c r="G142" s="140">
        <f>IF(G$13="","",IF($B142="","",IFERROR($C142*$D142*IF((Override!$C$4="ON")*(COUNTIFS(Override!$B$11:$B$40,$B142,Override!$D$11:$D$40,2,Override!$E$11:$E$40,"&gt;=0")-COUNTIFS(Override!$B$11:$B$40,$B142,Override!$D$11:$D$40,2,Override!$E$11:$E$40,"&gt;=0",Override!$C$11:$C$40,"MXAU"))&gt;0,SUMIFS(Override!$E$11:$E$40,Override!$B$11:$B$40,$B142,Override!$D$11:$D$40,2)-SUMIFS(Override!$E$11:$E$40,Override!$B$11:$B$40,$B142,Override!$D$11:$D$40,2,Override!$C$11:$C$40,"MXAU"),Override!$D$177)/AS51!$B$3,"")))</f>
        <v/>
      </c>
      <c r="H142" s="140">
        <f>IF(H$13="","",IF($B142="","",IFERROR($C142*$D142*IF((Override!$C$4="ON")*(COUNTIFS(Override!$B$11:$B$40,$B142,Override!$D$11:$D$40,3,Override!$E$11:$E$40,"&gt;=0")-COUNTIFS(Override!$B$11:$B$40,$B142,Override!$D$11:$D$40,3,Override!$E$11:$E$40,"&gt;=0",Override!$C$11:$C$40,"MXAU"))&gt;0,SUMIFS(Override!$E$11:$E$40,Override!$B$11:$B$40,$B142,Override!$D$11:$D$40,3)-SUMIFS(Override!$E$11:$E$40,Override!$B$11:$B$40,$B142,Override!$D$11:$D$40,3,Override!$C$11:$C$40,"MXAU"),Override!$E$177)/AS51!$B$3,"")))</f>
        <v/>
      </c>
      <c r="I142" s="140">
        <f>IF(I$13="","",IF($B142="","",IFERROR($C142*$D142*IF((Override!$C$4="ON")*(COUNTIFS(Override!$B$11:$B$40,$B142,Override!$D$11:$D$40,4,Override!$E$11:$E$40,"&gt;=0")-COUNTIFS(Override!$B$11:$B$40,$B142,Override!$D$11:$D$40,4,Override!$E$11:$E$40,"&gt;=0",Override!$C$11:$C$40,"MXAU"))&gt;0,SUMIFS(Override!$E$11:$E$40,Override!$B$11:$B$40,$B142,Override!$D$11:$D$40,4)-SUMIFS(Override!$E$11:$E$40,Override!$B$11:$B$40,$B142,Override!$D$11:$D$40,4,Override!$C$11:$C$40,"MXAU"),Override!$F$177)/AS51!$B$3,"")))</f>
        <v/>
      </c>
      <c r="J142" s="140">
        <f>IF(J$13="","",IF($B142="","",IFERROR($C142*$D142*IF((Override!$C$4="ON")*(COUNTIFS(Override!$B$11:$B$40,$B142,Override!$D$11:$D$40,5,Override!$E$11:$E$40,"&gt;=0")-COUNTIFS(Override!$B$11:$B$40,$B142,Override!$D$11:$D$40,5,Override!$E$11:$E$40,"&gt;=0",Override!$C$11:$C$40,"MXAU"))&gt;0,SUMIFS(Override!$E$11:$E$40,Override!$B$11:$B$40,$B142,Override!$D$11:$D$40,5)-SUMIFS(Override!$E$11:$E$40,Override!$B$11:$B$40,$B142,Override!$D$11:$D$40,5,Override!$C$11:$C$40,"MXAU"),Override!$G$177)/AS51!$B$3,"")))</f>
        <v/>
      </c>
      <c r="K142" s="140">
        <f>IF(K$13="","",IF($B142="","",IFERROR($C142*$D142*IF((Override!$C$4="ON")*(COUNTIFS(Override!$B$11:$B$40,$B142,Override!$D$11:$D$40,6,Override!$E$11:$E$40,"&gt;=0")-COUNTIFS(Override!$B$11:$B$40,$B142,Override!$D$11:$D$40,6,Override!$E$11:$E$40,"&gt;=0",Override!$C$11:$C$40,"MXAU"))&gt;0,SUMIFS(Override!$E$11:$E$40,Override!$B$11:$B$40,$B142,Override!$D$11:$D$40,6)-SUMIFS(Override!$E$11:$E$40,Override!$B$11:$B$40,$B142,Override!$D$11:$D$40,6,Override!$C$11:$C$40,"MXAU"),Override!$H$177)/AS51!$B$3,"")))</f>
        <v/>
      </c>
      <c r="L142" s="140">
        <f>IF(L$13="","",IF($B142="","",IFERROR($C142*$D142*IF((Override!$C$4="ON")*(COUNTIFS(Override!$B$11:$B$40,$B142,Override!$D$11:$D$40,7,Override!$E$11:$E$40,"&gt;=0")-COUNTIFS(Override!$B$11:$B$40,$B142,Override!$D$11:$D$40,7,Override!$E$11:$E$40,"&gt;=0",Override!$C$11:$C$40,"MXAU"))&gt;0,SUMIFS(Override!$E$11:$E$40,Override!$B$11:$B$40,$B142,Override!$D$11:$D$40,7)-SUMIFS(Override!$E$11:$E$40,Override!$B$11:$B$40,$B142,Override!$D$11:$D$40,7,Override!$C$11:$C$40,"MXAU"),Override!$I$177)/AS51!$B$3,"")))</f>
        <v/>
      </c>
      <c r="M142" s="140">
        <f>IF(M$13="","",IF($B142="","",IFERROR($C142*$D142*IF((Override!$C$4="ON")*(COUNTIFS(Override!$B$11:$B$40,$B142,Override!$D$11:$D$40,8,Override!$E$11:$E$40,"&gt;=0")-COUNTIFS(Override!$B$11:$B$40,$B142,Override!$D$11:$D$40,8,Override!$E$11:$E$40,"&gt;=0",Override!$C$11:$C$40,"MXAU"))&gt;0,SUMIFS(Override!$E$11:$E$40,Override!$B$11:$B$40,$B142,Override!$D$11:$D$40,8)-SUMIFS(Override!$E$11:$E$40,Override!$B$11:$B$40,$B142,Override!$D$11:$D$40,8,Override!$C$11:$C$40,"MXAU"),Override!$J$177)/AS51!$B$3,"")))</f>
        <v/>
      </c>
      <c r="N142" s="140">
        <f>IF(N$13="","",IF($B142="","",IFERROR($C142*$D142*IF((Override!$C$4="ON")*(COUNTIFS(Override!$B$11:$B$40,$B142,Override!$D$11:$D$40,9,Override!$E$11:$E$40,"&gt;=0")-COUNTIFS(Override!$B$11:$B$40,$B142,Override!$D$11:$D$40,9,Override!$E$11:$E$40,"&gt;=0",Override!$C$11:$C$40,"MXAU"))&gt;0,SUMIFS(Override!$E$11:$E$40,Override!$B$11:$B$40,$B142,Override!$D$11:$D$40,9)-SUMIFS(Override!$E$11:$E$40,Override!$B$11:$B$40,$B142,Override!$D$11:$D$40,9,Override!$C$11:$C$40,"MXAU"),Override!$K$177)/AS51!$B$3,"")))</f>
        <v/>
      </c>
      <c r="O142" s="140">
        <f>IF(O$13="","",IF($B142="","",IFERROR($C142*$D142*IF((Override!$C$4="ON")*(COUNTIFS(Override!$B$11:$B$40,$B142,Override!$D$11:$D$40,10,Override!$E$11:$E$40,"&gt;=0")-COUNTIFS(Override!$B$11:$B$40,$B142,Override!$D$11:$D$40,10,Override!$E$11:$E$40,"&gt;=0",Override!$C$11:$C$40,"MXAU"))&gt;0,SUMIFS(Override!$E$11:$E$40,Override!$B$11:$B$40,$B142,Override!$D$11:$D$40,10)-SUMIFS(Override!$E$11:$E$40,Override!$B$11:$B$40,$B142,Override!$D$11:$D$40,10,Override!$C$11:$C$40,"MXAU"),Override!$L$177)/AS51!$B$3,"")))</f>
        <v/>
      </c>
      <c r="P142" s="140">
        <f>IF(P$13="","",IF($B142="","",IFERROR($C142*$D142*IF((Override!$C$4="ON")*(COUNTIFS(Override!$B$11:$B$40,$B142,Override!$D$11:$D$40,11,Override!$E$11:$E$40,"&gt;=0")-COUNTIFS(Override!$B$11:$B$40,$B142,Override!$D$11:$D$40,11,Override!$E$11:$E$40,"&gt;=0",Override!$C$11:$C$40,"MXAU"))&gt;0,SUMIFS(Override!$E$11:$E$40,Override!$B$11:$B$40,$B142,Override!$D$11:$D$40,11)-SUMIFS(Override!$E$11:$E$40,Override!$B$11:$B$40,$B142,Override!$D$11:$D$40,11,Override!$C$11:$C$40,"MXAU"),Override!$M$177)/AS51!$B$3,"")))</f>
        <v/>
      </c>
      <c r="Q142" s="140">
        <f>IF(Q$13="","",IF($B142="","",IFERROR($C142*$D142*IF((Override!$C$4="ON")*(COUNTIFS(Override!$B$11:$B$40,$B142,Override!$D$11:$D$40,12,Override!$E$11:$E$40,"&gt;=0")-COUNTIFS(Override!$B$11:$B$40,$B142,Override!$D$11:$D$40,12,Override!$E$11:$E$40,"&gt;=0",Override!$C$11:$C$40,"MXAU"))&gt;0,SUMIFS(Override!$E$11:$E$40,Override!$B$11:$B$40,$B142,Override!$D$11:$D$40,12)-SUMIFS(Override!$E$11:$E$40,Override!$B$11:$B$40,$B142,Override!$D$11:$D$40,12,Override!$C$11:$C$40,"MXAU"),Override!$N$177)/AS51!$B$3,"")))</f>
        <v/>
      </c>
      <c r="R142" s="140">
        <f>IF(R$13="","",IF($B142="","",IFERROR($C142*$D142*IF((Override!$C$4="ON")*(COUNTIFS(Override!$B$11:$B$40,$B142,Override!$D$11:$D$40,13,Override!$E$11:$E$40,"&gt;=0")-COUNTIFS(Override!$B$11:$B$40,$B142,Override!$D$11:$D$40,13,Override!$E$11:$E$40,"&gt;=0",Override!$C$11:$C$40,"MXAU"))&gt;0,SUMIFS(Override!$E$11:$E$40,Override!$B$11:$B$40,$B142,Override!$D$11:$D$40,13)-SUMIFS(Override!$E$11:$E$40,Override!$B$11:$B$40,$B142,Override!$D$11:$D$40,13,Override!$C$11:$C$40,"MXAU"),Override!$O$177)/AS51!$B$3,"")))</f>
        <v/>
      </c>
      <c r="S142" s="140">
        <f>IF(S$13="","",IF($B142="","",IFERROR($C142*$D142*IF((Override!$C$4="ON")*(COUNTIFS(Override!$B$11:$B$40,$B142,Override!$D$11:$D$40,14,Override!$E$11:$E$40,"&gt;=0")-COUNTIFS(Override!$B$11:$B$40,$B142,Override!$D$11:$D$40,14,Override!$E$11:$E$40,"&gt;=0",Override!$C$11:$C$40,"MXAU"))&gt;0,SUMIFS(Override!$E$11:$E$40,Override!$B$11:$B$40,$B142,Override!$D$11:$D$40,14)-SUMIFS(Override!$E$11:$E$40,Override!$B$11:$B$40,$B142,Override!$D$11:$D$40,14,Override!$C$11:$C$40,"MXAU"),Override!$P$177)/AS51!$B$3,"")))</f>
        <v/>
      </c>
      <c r="T142" s="140">
        <f>IF(T$13="","",IF($B142="","",IFERROR($C142*$D142*IF((Override!$C$4="ON")*(COUNTIFS(Override!$B$11:$B$40,$B142,Override!$D$11:$D$40,15,Override!$E$11:$E$40,"&gt;=0")-COUNTIFS(Override!$B$11:$B$40,$B142,Override!$D$11:$D$40,15,Override!$E$11:$E$40,"&gt;=0",Override!$C$11:$C$40,"MXAU"))&gt;0,SUMIFS(Override!$E$11:$E$40,Override!$B$11:$B$40,$B142,Override!$D$11:$D$40,15)-SUMIFS(Override!$E$11:$E$40,Override!$B$11:$B$40,$B142,Override!$D$11:$D$40,15,Override!$C$11:$C$40,"MXAU"),Override!$Q$177)/AS51!$B$3,"")))</f>
        <v/>
      </c>
      <c r="U142" s="140">
        <f>IF(U$13="","",IF($B142="","",IFERROR($C142*$D142*IF((Override!$C$4="ON")*(COUNTIFS(Override!$B$11:$B$40,$B142,Override!$D$11:$D$40,16,Override!$E$11:$E$40,"&gt;=0")-COUNTIFS(Override!$B$11:$B$40,$B142,Override!$D$11:$D$40,16,Override!$E$11:$E$40,"&gt;=0",Override!$C$11:$C$40,"MXAU"))&gt;0,SUMIFS(Override!$E$11:$E$40,Override!$B$11:$B$40,$B142,Override!$D$11:$D$40,16)-SUMIFS(Override!$E$11:$E$40,Override!$B$11:$B$40,$B142,Override!$D$11:$D$40,16,Override!$C$11:$C$40,"MXAU"),Override!$R$177)/AS51!$B$3,"")))</f>
        <v/>
      </c>
      <c r="W142" s="140">
        <f>IF(W$13="","",IF($B142="","",IFERROR(F142*$E142/100,"")))</f>
        <v/>
      </c>
      <c r="X142" s="140">
        <f>IF(X$13="","",IF($B142="","",IFERROR(G142*$E142/100,"")))</f>
        <v/>
      </c>
      <c r="Y142" s="140">
        <f>IF(Y$13="","",IF($B142="","",IFERROR(H142*$E142/100,"")))</f>
        <v/>
      </c>
      <c r="Z142" s="140">
        <f>IF(Z$13="","",IF($B142="","",IFERROR(I142*$E142/100,"")))</f>
        <v/>
      </c>
      <c r="AA142" s="140">
        <f>IF(AA$13="","",IF($B142="","",IFERROR(J142*$E142/100,"")))</f>
        <v/>
      </c>
      <c r="AB142" s="140">
        <f>IF(AB$13="","",IF($B142="","",IFERROR(K142*$E142/100,"")))</f>
        <v/>
      </c>
      <c r="AC142" s="140">
        <f>IF(AC$13="","",IF($B142="","",IFERROR(L142*$E142/100,"")))</f>
        <v/>
      </c>
      <c r="AD142" s="140">
        <f>IF(AD$13="","",IF($B142="","",IFERROR(M142*$E142/100,"")))</f>
        <v/>
      </c>
      <c r="AE142" s="140">
        <f>IF(AE$13="","",IF($B142="","",IFERROR(N142*$E142/100,"")))</f>
        <v/>
      </c>
      <c r="AF142" s="140">
        <f>IF(AF$13="","",IF($B142="","",IFERROR(O142*$E142/100,"")))</f>
        <v/>
      </c>
      <c r="AG142" s="140">
        <f>IF(AG$13="","",IF($B142="","",IFERROR(P142*$E142/100,"")))</f>
        <v/>
      </c>
      <c r="AH142" s="140">
        <f>IF(AH$13="","",IF($B142="","",IFERROR(Q142*$E142/100,"")))</f>
        <v/>
      </c>
      <c r="AI142" s="140">
        <f>IF(AI$13="","",IF($B142="","",IFERROR(R142*$E142/100,"")))</f>
        <v/>
      </c>
      <c r="AJ142" s="140">
        <f>IF(AJ$13="","",IF($B142="","",IFERROR(S142*$E142/100,"")))</f>
        <v/>
      </c>
      <c r="AK142" s="140">
        <f>IF(AK$13="","",IF($B142="","",IFERROR(T142*$E142/100,"")))</f>
        <v/>
      </c>
      <c r="AL142" s="140">
        <f>IF(AL$13="","",IF($B142="","",IFERROR(U142*$E142/100,"")))</f>
        <v/>
      </c>
      <c r="AN142" s="140">
        <f>IF($B142="","",SUMIF($F$13:$U$13,"&lt;="&amp;Sector!$D$51,$F142:$U142))</f>
        <v/>
      </c>
      <c r="AO142" s="140">
        <f>IF($B142="","",SUMIF($W$13:$AL$13,"&lt;="&amp;Sector!$D$51,$W142:$AL142))</f>
        <v/>
      </c>
    </row>
    <row r="143">
      <c r="B143" s="5">
        <f>IF(AS51!$C$133="","",AS51!$C$133)</f>
        <v/>
      </c>
      <c r="C143" s="90">
        <f>IF(AS51!$B$133="","",AS51!$B$133)</f>
        <v/>
      </c>
      <c r="D143" s="138">
        <f>IFERROR(AS51!$Q$133,1)</f>
        <v/>
      </c>
      <c r="E143" s="139">
        <f>IF($B143="","",IF(ISNUMBER(AS51!$I$133),AS51!$I$133,'Index Summary'!$C$7))</f>
        <v/>
      </c>
      <c r="F143" s="140">
        <f>IF(F$13="","",IF($B143="","",IFERROR($C143*$D143*IF((Override!$C$4="ON")*(COUNTIFS(Override!$B$11:$B$40,$B143,Override!$D$11:$D$40,1,Override!$E$11:$E$40,"&gt;=0")-COUNTIFS(Override!$B$11:$B$40,$B143,Override!$D$11:$D$40,1,Override!$E$11:$E$40,"&gt;=0",Override!$C$11:$C$40,"MXAU"))&gt;0,SUMIFS(Override!$E$11:$E$40,Override!$B$11:$B$40,$B143,Override!$D$11:$D$40,1)-SUMIFS(Override!$E$11:$E$40,Override!$B$11:$B$40,$B143,Override!$D$11:$D$40,1,Override!$C$11:$C$40,"MXAU"),Override!$C$178)/AS51!$B$3,"")))</f>
        <v/>
      </c>
      <c r="G143" s="140">
        <f>IF(G$13="","",IF($B143="","",IFERROR($C143*$D143*IF((Override!$C$4="ON")*(COUNTIFS(Override!$B$11:$B$40,$B143,Override!$D$11:$D$40,2,Override!$E$11:$E$40,"&gt;=0")-COUNTIFS(Override!$B$11:$B$40,$B143,Override!$D$11:$D$40,2,Override!$E$11:$E$40,"&gt;=0",Override!$C$11:$C$40,"MXAU"))&gt;0,SUMIFS(Override!$E$11:$E$40,Override!$B$11:$B$40,$B143,Override!$D$11:$D$40,2)-SUMIFS(Override!$E$11:$E$40,Override!$B$11:$B$40,$B143,Override!$D$11:$D$40,2,Override!$C$11:$C$40,"MXAU"),Override!$D$178)/AS51!$B$3,"")))</f>
        <v/>
      </c>
      <c r="H143" s="140">
        <f>IF(H$13="","",IF($B143="","",IFERROR($C143*$D143*IF((Override!$C$4="ON")*(COUNTIFS(Override!$B$11:$B$40,$B143,Override!$D$11:$D$40,3,Override!$E$11:$E$40,"&gt;=0")-COUNTIFS(Override!$B$11:$B$40,$B143,Override!$D$11:$D$40,3,Override!$E$11:$E$40,"&gt;=0",Override!$C$11:$C$40,"MXAU"))&gt;0,SUMIFS(Override!$E$11:$E$40,Override!$B$11:$B$40,$B143,Override!$D$11:$D$40,3)-SUMIFS(Override!$E$11:$E$40,Override!$B$11:$B$40,$B143,Override!$D$11:$D$40,3,Override!$C$11:$C$40,"MXAU"),Override!$E$178)/AS51!$B$3,"")))</f>
        <v/>
      </c>
      <c r="I143" s="140">
        <f>IF(I$13="","",IF($B143="","",IFERROR($C143*$D143*IF((Override!$C$4="ON")*(COUNTIFS(Override!$B$11:$B$40,$B143,Override!$D$11:$D$40,4,Override!$E$11:$E$40,"&gt;=0")-COUNTIFS(Override!$B$11:$B$40,$B143,Override!$D$11:$D$40,4,Override!$E$11:$E$40,"&gt;=0",Override!$C$11:$C$40,"MXAU"))&gt;0,SUMIFS(Override!$E$11:$E$40,Override!$B$11:$B$40,$B143,Override!$D$11:$D$40,4)-SUMIFS(Override!$E$11:$E$40,Override!$B$11:$B$40,$B143,Override!$D$11:$D$40,4,Override!$C$11:$C$40,"MXAU"),Override!$F$178)/AS51!$B$3,"")))</f>
        <v/>
      </c>
      <c r="J143" s="140">
        <f>IF(J$13="","",IF($B143="","",IFERROR($C143*$D143*IF((Override!$C$4="ON")*(COUNTIFS(Override!$B$11:$B$40,$B143,Override!$D$11:$D$40,5,Override!$E$11:$E$40,"&gt;=0")-COUNTIFS(Override!$B$11:$B$40,$B143,Override!$D$11:$D$40,5,Override!$E$11:$E$40,"&gt;=0",Override!$C$11:$C$40,"MXAU"))&gt;0,SUMIFS(Override!$E$11:$E$40,Override!$B$11:$B$40,$B143,Override!$D$11:$D$40,5)-SUMIFS(Override!$E$11:$E$40,Override!$B$11:$B$40,$B143,Override!$D$11:$D$40,5,Override!$C$11:$C$40,"MXAU"),Override!$G$178)/AS51!$B$3,"")))</f>
        <v/>
      </c>
      <c r="K143" s="140">
        <f>IF(K$13="","",IF($B143="","",IFERROR($C143*$D143*IF((Override!$C$4="ON")*(COUNTIFS(Override!$B$11:$B$40,$B143,Override!$D$11:$D$40,6,Override!$E$11:$E$40,"&gt;=0")-COUNTIFS(Override!$B$11:$B$40,$B143,Override!$D$11:$D$40,6,Override!$E$11:$E$40,"&gt;=0",Override!$C$11:$C$40,"MXAU"))&gt;0,SUMIFS(Override!$E$11:$E$40,Override!$B$11:$B$40,$B143,Override!$D$11:$D$40,6)-SUMIFS(Override!$E$11:$E$40,Override!$B$11:$B$40,$B143,Override!$D$11:$D$40,6,Override!$C$11:$C$40,"MXAU"),Override!$H$178)/AS51!$B$3,"")))</f>
        <v/>
      </c>
      <c r="L143" s="140">
        <f>IF(L$13="","",IF($B143="","",IFERROR($C143*$D143*IF((Override!$C$4="ON")*(COUNTIFS(Override!$B$11:$B$40,$B143,Override!$D$11:$D$40,7,Override!$E$11:$E$40,"&gt;=0")-COUNTIFS(Override!$B$11:$B$40,$B143,Override!$D$11:$D$40,7,Override!$E$11:$E$40,"&gt;=0",Override!$C$11:$C$40,"MXAU"))&gt;0,SUMIFS(Override!$E$11:$E$40,Override!$B$11:$B$40,$B143,Override!$D$11:$D$40,7)-SUMIFS(Override!$E$11:$E$40,Override!$B$11:$B$40,$B143,Override!$D$11:$D$40,7,Override!$C$11:$C$40,"MXAU"),Override!$I$178)/AS51!$B$3,"")))</f>
        <v/>
      </c>
      <c r="M143" s="140">
        <f>IF(M$13="","",IF($B143="","",IFERROR($C143*$D143*IF((Override!$C$4="ON")*(COUNTIFS(Override!$B$11:$B$40,$B143,Override!$D$11:$D$40,8,Override!$E$11:$E$40,"&gt;=0")-COUNTIFS(Override!$B$11:$B$40,$B143,Override!$D$11:$D$40,8,Override!$E$11:$E$40,"&gt;=0",Override!$C$11:$C$40,"MXAU"))&gt;0,SUMIFS(Override!$E$11:$E$40,Override!$B$11:$B$40,$B143,Override!$D$11:$D$40,8)-SUMIFS(Override!$E$11:$E$40,Override!$B$11:$B$40,$B143,Override!$D$11:$D$40,8,Override!$C$11:$C$40,"MXAU"),Override!$J$178)/AS51!$B$3,"")))</f>
        <v/>
      </c>
      <c r="N143" s="140">
        <f>IF(N$13="","",IF($B143="","",IFERROR($C143*$D143*IF((Override!$C$4="ON")*(COUNTIFS(Override!$B$11:$B$40,$B143,Override!$D$11:$D$40,9,Override!$E$11:$E$40,"&gt;=0")-COUNTIFS(Override!$B$11:$B$40,$B143,Override!$D$11:$D$40,9,Override!$E$11:$E$40,"&gt;=0",Override!$C$11:$C$40,"MXAU"))&gt;0,SUMIFS(Override!$E$11:$E$40,Override!$B$11:$B$40,$B143,Override!$D$11:$D$40,9)-SUMIFS(Override!$E$11:$E$40,Override!$B$11:$B$40,$B143,Override!$D$11:$D$40,9,Override!$C$11:$C$40,"MXAU"),Override!$K$178)/AS51!$B$3,"")))</f>
        <v/>
      </c>
      <c r="O143" s="140">
        <f>IF(O$13="","",IF($B143="","",IFERROR($C143*$D143*IF((Override!$C$4="ON")*(COUNTIFS(Override!$B$11:$B$40,$B143,Override!$D$11:$D$40,10,Override!$E$11:$E$40,"&gt;=0")-COUNTIFS(Override!$B$11:$B$40,$B143,Override!$D$11:$D$40,10,Override!$E$11:$E$40,"&gt;=0",Override!$C$11:$C$40,"MXAU"))&gt;0,SUMIFS(Override!$E$11:$E$40,Override!$B$11:$B$40,$B143,Override!$D$11:$D$40,10)-SUMIFS(Override!$E$11:$E$40,Override!$B$11:$B$40,$B143,Override!$D$11:$D$40,10,Override!$C$11:$C$40,"MXAU"),Override!$L$178)/AS51!$B$3,"")))</f>
        <v/>
      </c>
      <c r="P143" s="140">
        <f>IF(P$13="","",IF($B143="","",IFERROR($C143*$D143*IF((Override!$C$4="ON")*(COUNTIFS(Override!$B$11:$B$40,$B143,Override!$D$11:$D$40,11,Override!$E$11:$E$40,"&gt;=0")-COUNTIFS(Override!$B$11:$B$40,$B143,Override!$D$11:$D$40,11,Override!$E$11:$E$40,"&gt;=0",Override!$C$11:$C$40,"MXAU"))&gt;0,SUMIFS(Override!$E$11:$E$40,Override!$B$11:$B$40,$B143,Override!$D$11:$D$40,11)-SUMIFS(Override!$E$11:$E$40,Override!$B$11:$B$40,$B143,Override!$D$11:$D$40,11,Override!$C$11:$C$40,"MXAU"),Override!$M$178)/AS51!$B$3,"")))</f>
        <v/>
      </c>
      <c r="Q143" s="140">
        <f>IF(Q$13="","",IF($B143="","",IFERROR($C143*$D143*IF((Override!$C$4="ON")*(COUNTIFS(Override!$B$11:$B$40,$B143,Override!$D$11:$D$40,12,Override!$E$11:$E$40,"&gt;=0")-COUNTIFS(Override!$B$11:$B$40,$B143,Override!$D$11:$D$40,12,Override!$E$11:$E$40,"&gt;=0",Override!$C$11:$C$40,"MXAU"))&gt;0,SUMIFS(Override!$E$11:$E$40,Override!$B$11:$B$40,$B143,Override!$D$11:$D$40,12)-SUMIFS(Override!$E$11:$E$40,Override!$B$11:$B$40,$B143,Override!$D$11:$D$40,12,Override!$C$11:$C$40,"MXAU"),Override!$N$178)/AS51!$B$3,"")))</f>
        <v/>
      </c>
      <c r="R143" s="140">
        <f>IF(R$13="","",IF($B143="","",IFERROR($C143*$D143*IF((Override!$C$4="ON")*(COUNTIFS(Override!$B$11:$B$40,$B143,Override!$D$11:$D$40,13,Override!$E$11:$E$40,"&gt;=0")-COUNTIFS(Override!$B$11:$B$40,$B143,Override!$D$11:$D$40,13,Override!$E$11:$E$40,"&gt;=0",Override!$C$11:$C$40,"MXAU"))&gt;0,SUMIFS(Override!$E$11:$E$40,Override!$B$11:$B$40,$B143,Override!$D$11:$D$40,13)-SUMIFS(Override!$E$11:$E$40,Override!$B$11:$B$40,$B143,Override!$D$11:$D$40,13,Override!$C$11:$C$40,"MXAU"),Override!$O$178)/AS51!$B$3,"")))</f>
        <v/>
      </c>
      <c r="S143" s="140">
        <f>IF(S$13="","",IF($B143="","",IFERROR($C143*$D143*IF((Override!$C$4="ON")*(COUNTIFS(Override!$B$11:$B$40,$B143,Override!$D$11:$D$40,14,Override!$E$11:$E$40,"&gt;=0")-COUNTIFS(Override!$B$11:$B$40,$B143,Override!$D$11:$D$40,14,Override!$E$11:$E$40,"&gt;=0",Override!$C$11:$C$40,"MXAU"))&gt;0,SUMIFS(Override!$E$11:$E$40,Override!$B$11:$B$40,$B143,Override!$D$11:$D$40,14)-SUMIFS(Override!$E$11:$E$40,Override!$B$11:$B$40,$B143,Override!$D$11:$D$40,14,Override!$C$11:$C$40,"MXAU"),Override!$P$178)/AS51!$B$3,"")))</f>
        <v/>
      </c>
      <c r="T143" s="140">
        <f>IF(T$13="","",IF($B143="","",IFERROR($C143*$D143*IF((Override!$C$4="ON")*(COUNTIFS(Override!$B$11:$B$40,$B143,Override!$D$11:$D$40,15,Override!$E$11:$E$40,"&gt;=0")-COUNTIFS(Override!$B$11:$B$40,$B143,Override!$D$11:$D$40,15,Override!$E$11:$E$40,"&gt;=0",Override!$C$11:$C$40,"MXAU"))&gt;0,SUMIFS(Override!$E$11:$E$40,Override!$B$11:$B$40,$B143,Override!$D$11:$D$40,15)-SUMIFS(Override!$E$11:$E$40,Override!$B$11:$B$40,$B143,Override!$D$11:$D$40,15,Override!$C$11:$C$40,"MXAU"),Override!$Q$178)/AS51!$B$3,"")))</f>
        <v/>
      </c>
      <c r="U143" s="140">
        <f>IF(U$13="","",IF($B143="","",IFERROR($C143*$D143*IF((Override!$C$4="ON")*(COUNTIFS(Override!$B$11:$B$40,$B143,Override!$D$11:$D$40,16,Override!$E$11:$E$40,"&gt;=0")-COUNTIFS(Override!$B$11:$B$40,$B143,Override!$D$11:$D$40,16,Override!$E$11:$E$40,"&gt;=0",Override!$C$11:$C$40,"MXAU"))&gt;0,SUMIFS(Override!$E$11:$E$40,Override!$B$11:$B$40,$B143,Override!$D$11:$D$40,16)-SUMIFS(Override!$E$11:$E$40,Override!$B$11:$B$40,$B143,Override!$D$11:$D$40,16,Override!$C$11:$C$40,"MXAU"),Override!$R$178)/AS51!$B$3,"")))</f>
        <v/>
      </c>
      <c r="W143" s="140">
        <f>IF(W$13="","",IF($B143="","",IFERROR(F143*$E143/100,"")))</f>
        <v/>
      </c>
      <c r="X143" s="140">
        <f>IF(X$13="","",IF($B143="","",IFERROR(G143*$E143/100,"")))</f>
        <v/>
      </c>
      <c r="Y143" s="140">
        <f>IF(Y$13="","",IF($B143="","",IFERROR(H143*$E143/100,"")))</f>
        <v/>
      </c>
      <c r="Z143" s="140">
        <f>IF(Z$13="","",IF($B143="","",IFERROR(I143*$E143/100,"")))</f>
        <v/>
      </c>
      <c r="AA143" s="140">
        <f>IF(AA$13="","",IF($B143="","",IFERROR(J143*$E143/100,"")))</f>
        <v/>
      </c>
      <c r="AB143" s="140">
        <f>IF(AB$13="","",IF($B143="","",IFERROR(K143*$E143/100,"")))</f>
        <v/>
      </c>
      <c r="AC143" s="140">
        <f>IF(AC$13="","",IF($B143="","",IFERROR(L143*$E143/100,"")))</f>
        <v/>
      </c>
      <c r="AD143" s="140">
        <f>IF(AD$13="","",IF($B143="","",IFERROR(M143*$E143/100,"")))</f>
        <v/>
      </c>
      <c r="AE143" s="140">
        <f>IF(AE$13="","",IF($B143="","",IFERROR(N143*$E143/100,"")))</f>
        <v/>
      </c>
      <c r="AF143" s="140">
        <f>IF(AF$13="","",IF($B143="","",IFERROR(O143*$E143/100,"")))</f>
        <v/>
      </c>
      <c r="AG143" s="140">
        <f>IF(AG$13="","",IF($B143="","",IFERROR(P143*$E143/100,"")))</f>
        <v/>
      </c>
      <c r="AH143" s="140">
        <f>IF(AH$13="","",IF($B143="","",IFERROR(Q143*$E143/100,"")))</f>
        <v/>
      </c>
      <c r="AI143" s="140">
        <f>IF(AI$13="","",IF($B143="","",IFERROR(R143*$E143/100,"")))</f>
        <v/>
      </c>
      <c r="AJ143" s="140">
        <f>IF(AJ$13="","",IF($B143="","",IFERROR(S143*$E143/100,"")))</f>
        <v/>
      </c>
      <c r="AK143" s="140">
        <f>IF(AK$13="","",IF($B143="","",IFERROR(T143*$E143/100,"")))</f>
        <v/>
      </c>
      <c r="AL143" s="140">
        <f>IF(AL$13="","",IF($B143="","",IFERROR(U143*$E143/100,"")))</f>
        <v/>
      </c>
      <c r="AN143" s="140">
        <f>IF($B143="","",SUMIF($F$13:$U$13,"&lt;="&amp;Sector!$D$51,$F143:$U143))</f>
        <v/>
      </c>
      <c r="AO143" s="140">
        <f>IF($B143="","",SUMIF($W$13:$AL$13,"&lt;="&amp;Sector!$D$51,$W143:$AL143))</f>
        <v/>
      </c>
    </row>
    <row r="144">
      <c r="B144" s="5">
        <f>IF(AS51!$C$134="","",AS51!$C$134)</f>
        <v/>
      </c>
      <c r="C144" s="90">
        <f>IF(AS51!$B$134="","",AS51!$B$134)</f>
        <v/>
      </c>
      <c r="D144" s="138">
        <f>IFERROR(AS51!$Q$134,1)</f>
        <v/>
      </c>
      <c r="E144" s="139">
        <f>IF($B144="","",IF(ISNUMBER(AS51!$I$134),AS51!$I$134,'Index Summary'!$C$7))</f>
        <v/>
      </c>
      <c r="F144" s="140">
        <f>IF(F$13="","",IF($B144="","",IFERROR($C144*$D144*IF((Override!$C$4="ON")*(COUNTIFS(Override!$B$11:$B$40,$B144,Override!$D$11:$D$40,1,Override!$E$11:$E$40,"&gt;=0")-COUNTIFS(Override!$B$11:$B$40,$B144,Override!$D$11:$D$40,1,Override!$E$11:$E$40,"&gt;=0",Override!$C$11:$C$40,"MXAU"))&gt;0,SUMIFS(Override!$E$11:$E$40,Override!$B$11:$B$40,$B144,Override!$D$11:$D$40,1)-SUMIFS(Override!$E$11:$E$40,Override!$B$11:$B$40,$B144,Override!$D$11:$D$40,1,Override!$C$11:$C$40,"MXAU"),Override!$C$179)/AS51!$B$3,"")))</f>
        <v/>
      </c>
      <c r="G144" s="140">
        <f>IF(G$13="","",IF($B144="","",IFERROR($C144*$D144*IF((Override!$C$4="ON")*(COUNTIFS(Override!$B$11:$B$40,$B144,Override!$D$11:$D$40,2,Override!$E$11:$E$40,"&gt;=0")-COUNTIFS(Override!$B$11:$B$40,$B144,Override!$D$11:$D$40,2,Override!$E$11:$E$40,"&gt;=0",Override!$C$11:$C$40,"MXAU"))&gt;0,SUMIFS(Override!$E$11:$E$40,Override!$B$11:$B$40,$B144,Override!$D$11:$D$40,2)-SUMIFS(Override!$E$11:$E$40,Override!$B$11:$B$40,$B144,Override!$D$11:$D$40,2,Override!$C$11:$C$40,"MXAU"),Override!$D$179)/AS51!$B$3,"")))</f>
        <v/>
      </c>
      <c r="H144" s="140">
        <f>IF(H$13="","",IF($B144="","",IFERROR($C144*$D144*IF((Override!$C$4="ON")*(COUNTIFS(Override!$B$11:$B$40,$B144,Override!$D$11:$D$40,3,Override!$E$11:$E$40,"&gt;=0")-COUNTIFS(Override!$B$11:$B$40,$B144,Override!$D$11:$D$40,3,Override!$E$11:$E$40,"&gt;=0",Override!$C$11:$C$40,"MXAU"))&gt;0,SUMIFS(Override!$E$11:$E$40,Override!$B$11:$B$40,$B144,Override!$D$11:$D$40,3)-SUMIFS(Override!$E$11:$E$40,Override!$B$11:$B$40,$B144,Override!$D$11:$D$40,3,Override!$C$11:$C$40,"MXAU"),Override!$E$179)/AS51!$B$3,"")))</f>
        <v/>
      </c>
      <c r="I144" s="140">
        <f>IF(I$13="","",IF($B144="","",IFERROR($C144*$D144*IF((Override!$C$4="ON")*(COUNTIFS(Override!$B$11:$B$40,$B144,Override!$D$11:$D$40,4,Override!$E$11:$E$40,"&gt;=0")-COUNTIFS(Override!$B$11:$B$40,$B144,Override!$D$11:$D$40,4,Override!$E$11:$E$40,"&gt;=0",Override!$C$11:$C$40,"MXAU"))&gt;0,SUMIFS(Override!$E$11:$E$40,Override!$B$11:$B$40,$B144,Override!$D$11:$D$40,4)-SUMIFS(Override!$E$11:$E$40,Override!$B$11:$B$40,$B144,Override!$D$11:$D$40,4,Override!$C$11:$C$40,"MXAU"),Override!$F$179)/AS51!$B$3,"")))</f>
        <v/>
      </c>
      <c r="J144" s="140">
        <f>IF(J$13="","",IF($B144="","",IFERROR($C144*$D144*IF((Override!$C$4="ON")*(COUNTIFS(Override!$B$11:$B$40,$B144,Override!$D$11:$D$40,5,Override!$E$11:$E$40,"&gt;=0")-COUNTIFS(Override!$B$11:$B$40,$B144,Override!$D$11:$D$40,5,Override!$E$11:$E$40,"&gt;=0",Override!$C$11:$C$40,"MXAU"))&gt;0,SUMIFS(Override!$E$11:$E$40,Override!$B$11:$B$40,$B144,Override!$D$11:$D$40,5)-SUMIFS(Override!$E$11:$E$40,Override!$B$11:$B$40,$B144,Override!$D$11:$D$40,5,Override!$C$11:$C$40,"MXAU"),Override!$G$179)/AS51!$B$3,"")))</f>
        <v/>
      </c>
      <c r="K144" s="140">
        <f>IF(K$13="","",IF($B144="","",IFERROR($C144*$D144*IF((Override!$C$4="ON")*(COUNTIFS(Override!$B$11:$B$40,$B144,Override!$D$11:$D$40,6,Override!$E$11:$E$40,"&gt;=0")-COUNTIFS(Override!$B$11:$B$40,$B144,Override!$D$11:$D$40,6,Override!$E$11:$E$40,"&gt;=0",Override!$C$11:$C$40,"MXAU"))&gt;0,SUMIFS(Override!$E$11:$E$40,Override!$B$11:$B$40,$B144,Override!$D$11:$D$40,6)-SUMIFS(Override!$E$11:$E$40,Override!$B$11:$B$40,$B144,Override!$D$11:$D$40,6,Override!$C$11:$C$40,"MXAU"),Override!$H$179)/AS51!$B$3,"")))</f>
        <v/>
      </c>
      <c r="L144" s="140">
        <f>IF(L$13="","",IF($B144="","",IFERROR($C144*$D144*IF((Override!$C$4="ON")*(COUNTIFS(Override!$B$11:$B$40,$B144,Override!$D$11:$D$40,7,Override!$E$11:$E$40,"&gt;=0")-COUNTIFS(Override!$B$11:$B$40,$B144,Override!$D$11:$D$40,7,Override!$E$11:$E$40,"&gt;=0",Override!$C$11:$C$40,"MXAU"))&gt;0,SUMIFS(Override!$E$11:$E$40,Override!$B$11:$B$40,$B144,Override!$D$11:$D$40,7)-SUMIFS(Override!$E$11:$E$40,Override!$B$11:$B$40,$B144,Override!$D$11:$D$40,7,Override!$C$11:$C$40,"MXAU"),Override!$I$179)/AS51!$B$3,"")))</f>
        <v/>
      </c>
      <c r="M144" s="140">
        <f>IF(M$13="","",IF($B144="","",IFERROR($C144*$D144*IF((Override!$C$4="ON")*(COUNTIFS(Override!$B$11:$B$40,$B144,Override!$D$11:$D$40,8,Override!$E$11:$E$40,"&gt;=0")-COUNTIFS(Override!$B$11:$B$40,$B144,Override!$D$11:$D$40,8,Override!$E$11:$E$40,"&gt;=0",Override!$C$11:$C$40,"MXAU"))&gt;0,SUMIFS(Override!$E$11:$E$40,Override!$B$11:$B$40,$B144,Override!$D$11:$D$40,8)-SUMIFS(Override!$E$11:$E$40,Override!$B$11:$B$40,$B144,Override!$D$11:$D$40,8,Override!$C$11:$C$40,"MXAU"),Override!$J$179)/AS51!$B$3,"")))</f>
        <v/>
      </c>
      <c r="N144" s="140">
        <f>IF(N$13="","",IF($B144="","",IFERROR($C144*$D144*IF((Override!$C$4="ON")*(COUNTIFS(Override!$B$11:$B$40,$B144,Override!$D$11:$D$40,9,Override!$E$11:$E$40,"&gt;=0")-COUNTIFS(Override!$B$11:$B$40,$B144,Override!$D$11:$D$40,9,Override!$E$11:$E$40,"&gt;=0",Override!$C$11:$C$40,"MXAU"))&gt;0,SUMIFS(Override!$E$11:$E$40,Override!$B$11:$B$40,$B144,Override!$D$11:$D$40,9)-SUMIFS(Override!$E$11:$E$40,Override!$B$11:$B$40,$B144,Override!$D$11:$D$40,9,Override!$C$11:$C$40,"MXAU"),Override!$K$179)/AS51!$B$3,"")))</f>
        <v/>
      </c>
      <c r="O144" s="140">
        <f>IF(O$13="","",IF($B144="","",IFERROR($C144*$D144*IF((Override!$C$4="ON")*(COUNTIFS(Override!$B$11:$B$40,$B144,Override!$D$11:$D$40,10,Override!$E$11:$E$40,"&gt;=0")-COUNTIFS(Override!$B$11:$B$40,$B144,Override!$D$11:$D$40,10,Override!$E$11:$E$40,"&gt;=0",Override!$C$11:$C$40,"MXAU"))&gt;0,SUMIFS(Override!$E$11:$E$40,Override!$B$11:$B$40,$B144,Override!$D$11:$D$40,10)-SUMIFS(Override!$E$11:$E$40,Override!$B$11:$B$40,$B144,Override!$D$11:$D$40,10,Override!$C$11:$C$40,"MXAU"),Override!$L$179)/AS51!$B$3,"")))</f>
        <v/>
      </c>
      <c r="P144" s="140">
        <f>IF(P$13="","",IF($B144="","",IFERROR($C144*$D144*IF((Override!$C$4="ON")*(COUNTIFS(Override!$B$11:$B$40,$B144,Override!$D$11:$D$40,11,Override!$E$11:$E$40,"&gt;=0")-COUNTIFS(Override!$B$11:$B$40,$B144,Override!$D$11:$D$40,11,Override!$E$11:$E$40,"&gt;=0",Override!$C$11:$C$40,"MXAU"))&gt;0,SUMIFS(Override!$E$11:$E$40,Override!$B$11:$B$40,$B144,Override!$D$11:$D$40,11)-SUMIFS(Override!$E$11:$E$40,Override!$B$11:$B$40,$B144,Override!$D$11:$D$40,11,Override!$C$11:$C$40,"MXAU"),Override!$M$179)/AS51!$B$3,"")))</f>
        <v/>
      </c>
      <c r="Q144" s="140">
        <f>IF(Q$13="","",IF($B144="","",IFERROR($C144*$D144*IF((Override!$C$4="ON")*(COUNTIFS(Override!$B$11:$B$40,$B144,Override!$D$11:$D$40,12,Override!$E$11:$E$40,"&gt;=0")-COUNTIFS(Override!$B$11:$B$40,$B144,Override!$D$11:$D$40,12,Override!$E$11:$E$40,"&gt;=0",Override!$C$11:$C$40,"MXAU"))&gt;0,SUMIFS(Override!$E$11:$E$40,Override!$B$11:$B$40,$B144,Override!$D$11:$D$40,12)-SUMIFS(Override!$E$11:$E$40,Override!$B$11:$B$40,$B144,Override!$D$11:$D$40,12,Override!$C$11:$C$40,"MXAU"),Override!$N$179)/AS51!$B$3,"")))</f>
        <v/>
      </c>
      <c r="R144" s="140">
        <f>IF(R$13="","",IF($B144="","",IFERROR($C144*$D144*IF((Override!$C$4="ON")*(COUNTIFS(Override!$B$11:$B$40,$B144,Override!$D$11:$D$40,13,Override!$E$11:$E$40,"&gt;=0")-COUNTIFS(Override!$B$11:$B$40,$B144,Override!$D$11:$D$40,13,Override!$E$11:$E$40,"&gt;=0",Override!$C$11:$C$40,"MXAU"))&gt;0,SUMIFS(Override!$E$11:$E$40,Override!$B$11:$B$40,$B144,Override!$D$11:$D$40,13)-SUMIFS(Override!$E$11:$E$40,Override!$B$11:$B$40,$B144,Override!$D$11:$D$40,13,Override!$C$11:$C$40,"MXAU"),Override!$O$179)/AS51!$B$3,"")))</f>
        <v/>
      </c>
      <c r="S144" s="140">
        <f>IF(S$13="","",IF($B144="","",IFERROR($C144*$D144*IF((Override!$C$4="ON")*(COUNTIFS(Override!$B$11:$B$40,$B144,Override!$D$11:$D$40,14,Override!$E$11:$E$40,"&gt;=0")-COUNTIFS(Override!$B$11:$B$40,$B144,Override!$D$11:$D$40,14,Override!$E$11:$E$40,"&gt;=0",Override!$C$11:$C$40,"MXAU"))&gt;0,SUMIFS(Override!$E$11:$E$40,Override!$B$11:$B$40,$B144,Override!$D$11:$D$40,14)-SUMIFS(Override!$E$11:$E$40,Override!$B$11:$B$40,$B144,Override!$D$11:$D$40,14,Override!$C$11:$C$40,"MXAU"),Override!$P$179)/AS51!$B$3,"")))</f>
        <v/>
      </c>
      <c r="T144" s="140">
        <f>IF(T$13="","",IF($B144="","",IFERROR($C144*$D144*IF((Override!$C$4="ON")*(COUNTIFS(Override!$B$11:$B$40,$B144,Override!$D$11:$D$40,15,Override!$E$11:$E$40,"&gt;=0")-COUNTIFS(Override!$B$11:$B$40,$B144,Override!$D$11:$D$40,15,Override!$E$11:$E$40,"&gt;=0",Override!$C$11:$C$40,"MXAU"))&gt;0,SUMIFS(Override!$E$11:$E$40,Override!$B$11:$B$40,$B144,Override!$D$11:$D$40,15)-SUMIFS(Override!$E$11:$E$40,Override!$B$11:$B$40,$B144,Override!$D$11:$D$40,15,Override!$C$11:$C$40,"MXAU"),Override!$Q$179)/AS51!$B$3,"")))</f>
        <v/>
      </c>
      <c r="U144" s="140">
        <f>IF(U$13="","",IF($B144="","",IFERROR($C144*$D144*IF((Override!$C$4="ON")*(COUNTIFS(Override!$B$11:$B$40,$B144,Override!$D$11:$D$40,16,Override!$E$11:$E$40,"&gt;=0")-COUNTIFS(Override!$B$11:$B$40,$B144,Override!$D$11:$D$40,16,Override!$E$11:$E$40,"&gt;=0",Override!$C$11:$C$40,"MXAU"))&gt;0,SUMIFS(Override!$E$11:$E$40,Override!$B$11:$B$40,$B144,Override!$D$11:$D$40,16)-SUMIFS(Override!$E$11:$E$40,Override!$B$11:$B$40,$B144,Override!$D$11:$D$40,16,Override!$C$11:$C$40,"MXAU"),Override!$R$179)/AS51!$B$3,"")))</f>
        <v/>
      </c>
      <c r="W144" s="140">
        <f>IF(W$13="","",IF($B144="","",IFERROR(F144*$E144/100,"")))</f>
        <v/>
      </c>
      <c r="X144" s="140">
        <f>IF(X$13="","",IF($B144="","",IFERROR(G144*$E144/100,"")))</f>
        <v/>
      </c>
      <c r="Y144" s="140">
        <f>IF(Y$13="","",IF($B144="","",IFERROR(H144*$E144/100,"")))</f>
        <v/>
      </c>
      <c r="Z144" s="140">
        <f>IF(Z$13="","",IF($B144="","",IFERROR(I144*$E144/100,"")))</f>
        <v/>
      </c>
      <c r="AA144" s="140">
        <f>IF(AA$13="","",IF($B144="","",IFERROR(J144*$E144/100,"")))</f>
        <v/>
      </c>
      <c r="AB144" s="140">
        <f>IF(AB$13="","",IF($B144="","",IFERROR(K144*$E144/100,"")))</f>
        <v/>
      </c>
      <c r="AC144" s="140">
        <f>IF(AC$13="","",IF($B144="","",IFERROR(L144*$E144/100,"")))</f>
        <v/>
      </c>
      <c r="AD144" s="140">
        <f>IF(AD$13="","",IF($B144="","",IFERROR(M144*$E144/100,"")))</f>
        <v/>
      </c>
      <c r="AE144" s="140">
        <f>IF(AE$13="","",IF($B144="","",IFERROR(N144*$E144/100,"")))</f>
        <v/>
      </c>
      <c r="AF144" s="140">
        <f>IF(AF$13="","",IF($B144="","",IFERROR(O144*$E144/100,"")))</f>
        <v/>
      </c>
      <c r="AG144" s="140">
        <f>IF(AG$13="","",IF($B144="","",IFERROR(P144*$E144/100,"")))</f>
        <v/>
      </c>
      <c r="AH144" s="140">
        <f>IF(AH$13="","",IF($B144="","",IFERROR(Q144*$E144/100,"")))</f>
        <v/>
      </c>
      <c r="AI144" s="140">
        <f>IF(AI$13="","",IF($B144="","",IFERROR(R144*$E144/100,"")))</f>
        <v/>
      </c>
      <c r="AJ144" s="140">
        <f>IF(AJ$13="","",IF($B144="","",IFERROR(S144*$E144/100,"")))</f>
        <v/>
      </c>
      <c r="AK144" s="140">
        <f>IF(AK$13="","",IF($B144="","",IFERROR(T144*$E144/100,"")))</f>
        <v/>
      </c>
      <c r="AL144" s="140">
        <f>IF(AL$13="","",IF($B144="","",IFERROR(U144*$E144/100,"")))</f>
        <v/>
      </c>
      <c r="AN144" s="140">
        <f>IF($B144="","",SUMIF($F$13:$U$13,"&lt;="&amp;Sector!$D$51,$F144:$U144))</f>
        <v/>
      </c>
      <c r="AO144" s="140">
        <f>IF($B144="","",SUMIF($W$13:$AL$13,"&lt;="&amp;Sector!$D$51,$W144:$AL144))</f>
        <v/>
      </c>
    </row>
    <row r="145">
      <c r="B145" s="5">
        <f>IF(AS51!$C$135="","",AS51!$C$135)</f>
        <v/>
      </c>
      <c r="C145" s="90">
        <f>IF(AS51!$B$135="","",AS51!$B$135)</f>
        <v/>
      </c>
      <c r="D145" s="138">
        <f>IFERROR(AS51!$Q$135,1)</f>
        <v/>
      </c>
      <c r="E145" s="139">
        <f>IF($B145="","",IF(ISNUMBER(AS51!$I$135),AS51!$I$135,'Index Summary'!$C$7))</f>
        <v/>
      </c>
      <c r="F145" s="140">
        <f>IF(F$13="","",IF($B145="","",IFERROR($C145*$D145*IF((Override!$C$4="ON")*(COUNTIFS(Override!$B$11:$B$40,$B145,Override!$D$11:$D$40,1,Override!$E$11:$E$40,"&gt;=0")-COUNTIFS(Override!$B$11:$B$40,$B145,Override!$D$11:$D$40,1,Override!$E$11:$E$40,"&gt;=0",Override!$C$11:$C$40,"MXAU"))&gt;0,SUMIFS(Override!$E$11:$E$40,Override!$B$11:$B$40,$B145,Override!$D$11:$D$40,1)-SUMIFS(Override!$E$11:$E$40,Override!$B$11:$B$40,$B145,Override!$D$11:$D$40,1,Override!$C$11:$C$40,"MXAU"),Override!$C$180)/AS51!$B$3,"")))</f>
        <v/>
      </c>
      <c r="G145" s="140">
        <f>IF(G$13="","",IF($B145="","",IFERROR($C145*$D145*IF((Override!$C$4="ON")*(COUNTIFS(Override!$B$11:$B$40,$B145,Override!$D$11:$D$40,2,Override!$E$11:$E$40,"&gt;=0")-COUNTIFS(Override!$B$11:$B$40,$B145,Override!$D$11:$D$40,2,Override!$E$11:$E$40,"&gt;=0",Override!$C$11:$C$40,"MXAU"))&gt;0,SUMIFS(Override!$E$11:$E$40,Override!$B$11:$B$40,$B145,Override!$D$11:$D$40,2)-SUMIFS(Override!$E$11:$E$40,Override!$B$11:$B$40,$B145,Override!$D$11:$D$40,2,Override!$C$11:$C$40,"MXAU"),Override!$D$180)/AS51!$B$3,"")))</f>
        <v/>
      </c>
      <c r="H145" s="140">
        <f>IF(H$13="","",IF($B145="","",IFERROR($C145*$D145*IF((Override!$C$4="ON")*(COUNTIFS(Override!$B$11:$B$40,$B145,Override!$D$11:$D$40,3,Override!$E$11:$E$40,"&gt;=0")-COUNTIFS(Override!$B$11:$B$40,$B145,Override!$D$11:$D$40,3,Override!$E$11:$E$40,"&gt;=0",Override!$C$11:$C$40,"MXAU"))&gt;0,SUMIFS(Override!$E$11:$E$40,Override!$B$11:$B$40,$B145,Override!$D$11:$D$40,3)-SUMIFS(Override!$E$11:$E$40,Override!$B$11:$B$40,$B145,Override!$D$11:$D$40,3,Override!$C$11:$C$40,"MXAU"),Override!$E$180)/AS51!$B$3,"")))</f>
        <v/>
      </c>
      <c r="I145" s="140">
        <f>IF(I$13="","",IF($B145="","",IFERROR($C145*$D145*IF((Override!$C$4="ON")*(COUNTIFS(Override!$B$11:$B$40,$B145,Override!$D$11:$D$40,4,Override!$E$11:$E$40,"&gt;=0")-COUNTIFS(Override!$B$11:$B$40,$B145,Override!$D$11:$D$40,4,Override!$E$11:$E$40,"&gt;=0",Override!$C$11:$C$40,"MXAU"))&gt;0,SUMIFS(Override!$E$11:$E$40,Override!$B$11:$B$40,$B145,Override!$D$11:$D$40,4)-SUMIFS(Override!$E$11:$E$40,Override!$B$11:$B$40,$B145,Override!$D$11:$D$40,4,Override!$C$11:$C$40,"MXAU"),Override!$F$180)/AS51!$B$3,"")))</f>
        <v/>
      </c>
      <c r="J145" s="140">
        <f>IF(J$13="","",IF($B145="","",IFERROR($C145*$D145*IF((Override!$C$4="ON")*(COUNTIFS(Override!$B$11:$B$40,$B145,Override!$D$11:$D$40,5,Override!$E$11:$E$40,"&gt;=0")-COUNTIFS(Override!$B$11:$B$40,$B145,Override!$D$11:$D$40,5,Override!$E$11:$E$40,"&gt;=0",Override!$C$11:$C$40,"MXAU"))&gt;0,SUMIFS(Override!$E$11:$E$40,Override!$B$11:$B$40,$B145,Override!$D$11:$D$40,5)-SUMIFS(Override!$E$11:$E$40,Override!$B$11:$B$40,$B145,Override!$D$11:$D$40,5,Override!$C$11:$C$40,"MXAU"),Override!$G$180)/AS51!$B$3,"")))</f>
        <v/>
      </c>
      <c r="K145" s="140">
        <f>IF(K$13="","",IF($B145="","",IFERROR($C145*$D145*IF((Override!$C$4="ON")*(COUNTIFS(Override!$B$11:$B$40,$B145,Override!$D$11:$D$40,6,Override!$E$11:$E$40,"&gt;=0")-COUNTIFS(Override!$B$11:$B$40,$B145,Override!$D$11:$D$40,6,Override!$E$11:$E$40,"&gt;=0",Override!$C$11:$C$40,"MXAU"))&gt;0,SUMIFS(Override!$E$11:$E$40,Override!$B$11:$B$40,$B145,Override!$D$11:$D$40,6)-SUMIFS(Override!$E$11:$E$40,Override!$B$11:$B$40,$B145,Override!$D$11:$D$40,6,Override!$C$11:$C$40,"MXAU"),Override!$H$180)/AS51!$B$3,"")))</f>
        <v/>
      </c>
      <c r="L145" s="140">
        <f>IF(L$13="","",IF($B145="","",IFERROR($C145*$D145*IF((Override!$C$4="ON")*(COUNTIFS(Override!$B$11:$B$40,$B145,Override!$D$11:$D$40,7,Override!$E$11:$E$40,"&gt;=0")-COUNTIFS(Override!$B$11:$B$40,$B145,Override!$D$11:$D$40,7,Override!$E$11:$E$40,"&gt;=0",Override!$C$11:$C$40,"MXAU"))&gt;0,SUMIFS(Override!$E$11:$E$40,Override!$B$11:$B$40,$B145,Override!$D$11:$D$40,7)-SUMIFS(Override!$E$11:$E$40,Override!$B$11:$B$40,$B145,Override!$D$11:$D$40,7,Override!$C$11:$C$40,"MXAU"),Override!$I$180)/AS51!$B$3,"")))</f>
        <v/>
      </c>
      <c r="M145" s="140">
        <f>IF(M$13="","",IF($B145="","",IFERROR($C145*$D145*IF((Override!$C$4="ON")*(COUNTIFS(Override!$B$11:$B$40,$B145,Override!$D$11:$D$40,8,Override!$E$11:$E$40,"&gt;=0")-COUNTIFS(Override!$B$11:$B$40,$B145,Override!$D$11:$D$40,8,Override!$E$11:$E$40,"&gt;=0",Override!$C$11:$C$40,"MXAU"))&gt;0,SUMIFS(Override!$E$11:$E$40,Override!$B$11:$B$40,$B145,Override!$D$11:$D$40,8)-SUMIFS(Override!$E$11:$E$40,Override!$B$11:$B$40,$B145,Override!$D$11:$D$40,8,Override!$C$11:$C$40,"MXAU"),Override!$J$180)/AS51!$B$3,"")))</f>
        <v/>
      </c>
      <c r="N145" s="140">
        <f>IF(N$13="","",IF($B145="","",IFERROR($C145*$D145*IF((Override!$C$4="ON")*(COUNTIFS(Override!$B$11:$B$40,$B145,Override!$D$11:$D$40,9,Override!$E$11:$E$40,"&gt;=0")-COUNTIFS(Override!$B$11:$B$40,$B145,Override!$D$11:$D$40,9,Override!$E$11:$E$40,"&gt;=0",Override!$C$11:$C$40,"MXAU"))&gt;0,SUMIFS(Override!$E$11:$E$40,Override!$B$11:$B$40,$B145,Override!$D$11:$D$40,9)-SUMIFS(Override!$E$11:$E$40,Override!$B$11:$B$40,$B145,Override!$D$11:$D$40,9,Override!$C$11:$C$40,"MXAU"),Override!$K$180)/AS51!$B$3,"")))</f>
        <v/>
      </c>
      <c r="O145" s="140">
        <f>IF(O$13="","",IF($B145="","",IFERROR($C145*$D145*IF((Override!$C$4="ON")*(COUNTIFS(Override!$B$11:$B$40,$B145,Override!$D$11:$D$40,10,Override!$E$11:$E$40,"&gt;=0")-COUNTIFS(Override!$B$11:$B$40,$B145,Override!$D$11:$D$40,10,Override!$E$11:$E$40,"&gt;=0",Override!$C$11:$C$40,"MXAU"))&gt;0,SUMIFS(Override!$E$11:$E$40,Override!$B$11:$B$40,$B145,Override!$D$11:$D$40,10)-SUMIFS(Override!$E$11:$E$40,Override!$B$11:$B$40,$B145,Override!$D$11:$D$40,10,Override!$C$11:$C$40,"MXAU"),Override!$L$180)/AS51!$B$3,"")))</f>
        <v/>
      </c>
      <c r="P145" s="140">
        <f>IF(P$13="","",IF($B145="","",IFERROR($C145*$D145*IF((Override!$C$4="ON")*(COUNTIFS(Override!$B$11:$B$40,$B145,Override!$D$11:$D$40,11,Override!$E$11:$E$40,"&gt;=0")-COUNTIFS(Override!$B$11:$B$40,$B145,Override!$D$11:$D$40,11,Override!$E$11:$E$40,"&gt;=0",Override!$C$11:$C$40,"MXAU"))&gt;0,SUMIFS(Override!$E$11:$E$40,Override!$B$11:$B$40,$B145,Override!$D$11:$D$40,11)-SUMIFS(Override!$E$11:$E$40,Override!$B$11:$B$40,$B145,Override!$D$11:$D$40,11,Override!$C$11:$C$40,"MXAU"),Override!$M$180)/AS51!$B$3,"")))</f>
        <v/>
      </c>
      <c r="Q145" s="140">
        <f>IF(Q$13="","",IF($B145="","",IFERROR($C145*$D145*IF((Override!$C$4="ON")*(COUNTIFS(Override!$B$11:$B$40,$B145,Override!$D$11:$D$40,12,Override!$E$11:$E$40,"&gt;=0")-COUNTIFS(Override!$B$11:$B$40,$B145,Override!$D$11:$D$40,12,Override!$E$11:$E$40,"&gt;=0",Override!$C$11:$C$40,"MXAU"))&gt;0,SUMIFS(Override!$E$11:$E$40,Override!$B$11:$B$40,$B145,Override!$D$11:$D$40,12)-SUMIFS(Override!$E$11:$E$40,Override!$B$11:$B$40,$B145,Override!$D$11:$D$40,12,Override!$C$11:$C$40,"MXAU"),Override!$N$180)/AS51!$B$3,"")))</f>
        <v/>
      </c>
      <c r="R145" s="140">
        <f>IF(R$13="","",IF($B145="","",IFERROR($C145*$D145*IF((Override!$C$4="ON")*(COUNTIFS(Override!$B$11:$B$40,$B145,Override!$D$11:$D$40,13,Override!$E$11:$E$40,"&gt;=0")-COUNTIFS(Override!$B$11:$B$40,$B145,Override!$D$11:$D$40,13,Override!$E$11:$E$40,"&gt;=0",Override!$C$11:$C$40,"MXAU"))&gt;0,SUMIFS(Override!$E$11:$E$40,Override!$B$11:$B$40,$B145,Override!$D$11:$D$40,13)-SUMIFS(Override!$E$11:$E$40,Override!$B$11:$B$40,$B145,Override!$D$11:$D$40,13,Override!$C$11:$C$40,"MXAU"),Override!$O$180)/AS51!$B$3,"")))</f>
        <v/>
      </c>
      <c r="S145" s="140">
        <f>IF(S$13="","",IF($B145="","",IFERROR($C145*$D145*IF((Override!$C$4="ON")*(COUNTIFS(Override!$B$11:$B$40,$B145,Override!$D$11:$D$40,14,Override!$E$11:$E$40,"&gt;=0")-COUNTIFS(Override!$B$11:$B$40,$B145,Override!$D$11:$D$40,14,Override!$E$11:$E$40,"&gt;=0",Override!$C$11:$C$40,"MXAU"))&gt;0,SUMIFS(Override!$E$11:$E$40,Override!$B$11:$B$40,$B145,Override!$D$11:$D$40,14)-SUMIFS(Override!$E$11:$E$40,Override!$B$11:$B$40,$B145,Override!$D$11:$D$40,14,Override!$C$11:$C$40,"MXAU"),Override!$P$180)/AS51!$B$3,"")))</f>
        <v/>
      </c>
      <c r="T145" s="140">
        <f>IF(T$13="","",IF($B145="","",IFERROR($C145*$D145*IF((Override!$C$4="ON")*(COUNTIFS(Override!$B$11:$B$40,$B145,Override!$D$11:$D$40,15,Override!$E$11:$E$40,"&gt;=0")-COUNTIFS(Override!$B$11:$B$40,$B145,Override!$D$11:$D$40,15,Override!$E$11:$E$40,"&gt;=0",Override!$C$11:$C$40,"MXAU"))&gt;0,SUMIFS(Override!$E$11:$E$40,Override!$B$11:$B$40,$B145,Override!$D$11:$D$40,15)-SUMIFS(Override!$E$11:$E$40,Override!$B$11:$B$40,$B145,Override!$D$11:$D$40,15,Override!$C$11:$C$40,"MXAU"),Override!$Q$180)/AS51!$B$3,"")))</f>
        <v/>
      </c>
      <c r="U145" s="140">
        <f>IF(U$13="","",IF($B145="","",IFERROR($C145*$D145*IF((Override!$C$4="ON")*(COUNTIFS(Override!$B$11:$B$40,$B145,Override!$D$11:$D$40,16,Override!$E$11:$E$40,"&gt;=0")-COUNTIFS(Override!$B$11:$B$40,$B145,Override!$D$11:$D$40,16,Override!$E$11:$E$40,"&gt;=0",Override!$C$11:$C$40,"MXAU"))&gt;0,SUMIFS(Override!$E$11:$E$40,Override!$B$11:$B$40,$B145,Override!$D$11:$D$40,16)-SUMIFS(Override!$E$11:$E$40,Override!$B$11:$B$40,$B145,Override!$D$11:$D$40,16,Override!$C$11:$C$40,"MXAU"),Override!$R$180)/AS51!$B$3,"")))</f>
        <v/>
      </c>
      <c r="W145" s="140">
        <f>IF(W$13="","",IF($B145="","",IFERROR(F145*$E145/100,"")))</f>
        <v/>
      </c>
      <c r="X145" s="140">
        <f>IF(X$13="","",IF($B145="","",IFERROR(G145*$E145/100,"")))</f>
        <v/>
      </c>
      <c r="Y145" s="140">
        <f>IF(Y$13="","",IF($B145="","",IFERROR(H145*$E145/100,"")))</f>
        <v/>
      </c>
      <c r="Z145" s="140">
        <f>IF(Z$13="","",IF($B145="","",IFERROR(I145*$E145/100,"")))</f>
        <v/>
      </c>
      <c r="AA145" s="140">
        <f>IF(AA$13="","",IF($B145="","",IFERROR(J145*$E145/100,"")))</f>
        <v/>
      </c>
      <c r="AB145" s="140">
        <f>IF(AB$13="","",IF($B145="","",IFERROR(K145*$E145/100,"")))</f>
        <v/>
      </c>
      <c r="AC145" s="140">
        <f>IF(AC$13="","",IF($B145="","",IFERROR(L145*$E145/100,"")))</f>
        <v/>
      </c>
      <c r="AD145" s="140">
        <f>IF(AD$13="","",IF($B145="","",IFERROR(M145*$E145/100,"")))</f>
        <v/>
      </c>
      <c r="AE145" s="140">
        <f>IF(AE$13="","",IF($B145="","",IFERROR(N145*$E145/100,"")))</f>
        <v/>
      </c>
      <c r="AF145" s="140">
        <f>IF(AF$13="","",IF($B145="","",IFERROR(O145*$E145/100,"")))</f>
        <v/>
      </c>
      <c r="AG145" s="140">
        <f>IF(AG$13="","",IF($B145="","",IFERROR(P145*$E145/100,"")))</f>
        <v/>
      </c>
      <c r="AH145" s="140">
        <f>IF(AH$13="","",IF($B145="","",IFERROR(Q145*$E145/100,"")))</f>
        <v/>
      </c>
      <c r="AI145" s="140">
        <f>IF(AI$13="","",IF($B145="","",IFERROR(R145*$E145/100,"")))</f>
        <v/>
      </c>
      <c r="AJ145" s="140">
        <f>IF(AJ$13="","",IF($B145="","",IFERROR(S145*$E145/100,"")))</f>
        <v/>
      </c>
      <c r="AK145" s="140">
        <f>IF(AK$13="","",IF($B145="","",IFERROR(T145*$E145/100,"")))</f>
        <v/>
      </c>
      <c r="AL145" s="140">
        <f>IF(AL$13="","",IF($B145="","",IFERROR(U145*$E145/100,"")))</f>
        <v/>
      </c>
      <c r="AN145" s="140">
        <f>IF($B145="","",SUMIF($F$13:$U$13,"&lt;="&amp;Sector!$D$51,$F145:$U145))</f>
        <v/>
      </c>
      <c r="AO145" s="140">
        <f>IF($B145="","",SUMIF($W$13:$AL$13,"&lt;="&amp;Sector!$D$51,$W145:$AL145))</f>
        <v/>
      </c>
    </row>
    <row r="146">
      <c r="B146" s="5">
        <f>IF(AS51!$C$136="","",AS51!$C$136)</f>
        <v/>
      </c>
      <c r="C146" s="90">
        <f>IF(AS51!$B$136="","",AS51!$B$136)</f>
        <v/>
      </c>
      <c r="D146" s="138">
        <f>IFERROR(AS51!$Q$136,1)</f>
        <v/>
      </c>
      <c r="E146" s="139">
        <f>IF($B146="","",IF(ISNUMBER(AS51!$I$136),AS51!$I$136,'Index Summary'!$C$7))</f>
        <v/>
      </c>
      <c r="F146" s="140">
        <f>IF(F$13="","",IF($B146="","",IFERROR($C146*$D146*IF((Override!$C$4="ON")*(COUNTIFS(Override!$B$11:$B$40,$B146,Override!$D$11:$D$40,1,Override!$E$11:$E$40,"&gt;=0")-COUNTIFS(Override!$B$11:$B$40,$B146,Override!$D$11:$D$40,1,Override!$E$11:$E$40,"&gt;=0",Override!$C$11:$C$40,"MXAU"))&gt;0,SUMIFS(Override!$E$11:$E$40,Override!$B$11:$B$40,$B146,Override!$D$11:$D$40,1)-SUMIFS(Override!$E$11:$E$40,Override!$B$11:$B$40,$B146,Override!$D$11:$D$40,1,Override!$C$11:$C$40,"MXAU"),Override!$C$181)/AS51!$B$3,"")))</f>
        <v/>
      </c>
      <c r="G146" s="140">
        <f>IF(G$13="","",IF($B146="","",IFERROR($C146*$D146*IF((Override!$C$4="ON")*(COUNTIFS(Override!$B$11:$B$40,$B146,Override!$D$11:$D$40,2,Override!$E$11:$E$40,"&gt;=0")-COUNTIFS(Override!$B$11:$B$40,$B146,Override!$D$11:$D$40,2,Override!$E$11:$E$40,"&gt;=0",Override!$C$11:$C$40,"MXAU"))&gt;0,SUMIFS(Override!$E$11:$E$40,Override!$B$11:$B$40,$B146,Override!$D$11:$D$40,2)-SUMIFS(Override!$E$11:$E$40,Override!$B$11:$B$40,$B146,Override!$D$11:$D$40,2,Override!$C$11:$C$40,"MXAU"),Override!$D$181)/AS51!$B$3,"")))</f>
        <v/>
      </c>
      <c r="H146" s="140">
        <f>IF(H$13="","",IF($B146="","",IFERROR($C146*$D146*IF((Override!$C$4="ON")*(COUNTIFS(Override!$B$11:$B$40,$B146,Override!$D$11:$D$40,3,Override!$E$11:$E$40,"&gt;=0")-COUNTIFS(Override!$B$11:$B$40,$B146,Override!$D$11:$D$40,3,Override!$E$11:$E$40,"&gt;=0",Override!$C$11:$C$40,"MXAU"))&gt;0,SUMIFS(Override!$E$11:$E$40,Override!$B$11:$B$40,$B146,Override!$D$11:$D$40,3)-SUMIFS(Override!$E$11:$E$40,Override!$B$11:$B$40,$B146,Override!$D$11:$D$40,3,Override!$C$11:$C$40,"MXAU"),Override!$E$181)/AS51!$B$3,"")))</f>
        <v/>
      </c>
      <c r="I146" s="140">
        <f>IF(I$13="","",IF($B146="","",IFERROR($C146*$D146*IF((Override!$C$4="ON")*(COUNTIFS(Override!$B$11:$B$40,$B146,Override!$D$11:$D$40,4,Override!$E$11:$E$40,"&gt;=0")-COUNTIFS(Override!$B$11:$B$40,$B146,Override!$D$11:$D$40,4,Override!$E$11:$E$40,"&gt;=0",Override!$C$11:$C$40,"MXAU"))&gt;0,SUMIFS(Override!$E$11:$E$40,Override!$B$11:$B$40,$B146,Override!$D$11:$D$40,4)-SUMIFS(Override!$E$11:$E$40,Override!$B$11:$B$40,$B146,Override!$D$11:$D$40,4,Override!$C$11:$C$40,"MXAU"),Override!$F$181)/AS51!$B$3,"")))</f>
        <v/>
      </c>
      <c r="J146" s="140">
        <f>IF(J$13="","",IF($B146="","",IFERROR($C146*$D146*IF((Override!$C$4="ON")*(COUNTIFS(Override!$B$11:$B$40,$B146,Override!$D$11:$D$40,5,Override!$E$11:$E$40,"&gt;=0")-COUNTIFS(Override!$B$11:$B$40,$B146,Override!$D$11:$D$40,5,Override!$E$11:$E$40,"&gt;=0",Override!$C$11:$C$40,"MXAU"))&gt;0,SUMIFS(Override!$E$11:$E$40,Override!$B$11:$B$40,$B146,Override!$D$11:$D$40,5)-SUMIFS(Override!$E$11:$E$40,Override!$B$11:$B$40,$B146,Override!$D$11:$D$40,5,Override!$C$11:$C$40,"MXAU"),Override!$G$181)/AS51!$B$3,"")))</f>
        <v/>
      </c>
      <c r="K146" s="140">
        <f>IF(K$13="","",IF($B146="","",IFERROR($C146*$D146*IF((Override!$C$4="ON")*(COUNTIFS(Override!$B$11:$B$40,$B146,Override!$D$11:$D$40,6,Override!$E$11:$E$40,"&gt;=0")-COUNTIFS(Override!$B$11:$B$40,$B146,Override!$D$11:$D$40,6,Override!$E$11:$E$40,"&gt;=0",Override!$C$11:$C$40,"MXAU"))&gt;0,SUMIFS(Override!$E$11:$E$40,Override!$B$11:$B$40,$B146,Override!$D$11:$D$40,6)-SUMIFS(Override!$E$11:$E$40,Override!$B$11:$B$40,$B146,Override!$D$11:$D$40,6,Override!$C$11:$C$40,"MXAU"),Override!$H$181)/AS51!$B$3,"")))</f>
        <v/>
      </c>
      <c r="L146" s="140">
        <f>IF(L$13="","",IF($B146="","",IFERROR($C146*$D146*IF((Override!$C$4="ON")*(COUNTIFS(Override!$B$11:$B$40,$B146,Override!$D$11:$D$40,7,Override!$E$11:$E$40,"&gt;=0")-COUNTIFS(Override!$B$11:$B$40,$B146,Override!$D$11:$D$40,7,Override!$E$11:$E$40,"&gt;=0",Override!$C$11:$C$40,"MXAU"))&gt;0,SUMIFS(Override!$E$11:$E$40,Override!$B$11:$B$40,$B146,Override!$D$11:$D$40,7)-SUMIFS(Override!$E$11:$E$40,Override!$B$11:$B$40,$B146,Override!$D$11:$D$40,7,Override!$C$11:$C$40,"MXAU"),Override!$I$181)/AS51!$B$3,"")))</f>
        <v/>
      </c>
      <c r="M146" s="140">
        <f>IF(M$13="","",IF($B146="","",IFERROR($C146*$D146*IF((Override!$C$4="ON")*(COUNTIFS(Override!$B$11:$B$40,$B146,Override!$D$11:$D$40,8,Override!$E$11:$E$40,"&gt;=0")-COUNTIFS(Override!$B$11:$B$40,$B146,Override!$D$11:$D$40,8,Override!$E$11:$E$40,"&gt;=0",Override!$C$11:$C$40,"MXAU"))&gt;0,SUMIFS(Override!$E$11:$E$40,Override!$B$11:$B$40,$B146,Override!$D$11:$D$40,8)-SUMIFS(Override!$E$11:$E$40,Override!$B$11:$B$40,$B146,Override!$D$11:$D$40,8,Override!$C$11:$C$40,"MXAU"),Override!$J$181)/AS51!$B$3,"")))</f>
        <v/>
      </c>
      <c r="N146" s="140">
        <f>IF(N$13="","",IF($B146="","",IFERROR($C146*$D146*IF((Override!$C$4="ON")*(COUNTIFS(Override!$B$11:$B$40,$B146,Override!$D$11:$D$40,9,Override!$E$11:$E$40,"&gt;=0")-COUNTIFS(Override!$B$11:$B$40,$B146,Override!$D$11:$D$40,9,Override!$E$11:$E$40,"&gt;=0",Override!$C$11:$C$40,"MXAU"))&gt;0,SUMIFS(Override!$E$11:$E$40,Override!$B$11:$B$40,$B146,Override!$D$11:$D$40,9)-SUMIFS(Override!$E$11:$E$40,Override!$B$11:$B$40,$B146,Override!$D$11:$D$40,9,Override!$C$11:$C$40,"MXAU"),Override!$K$181)/AS51!$B$3,"")))</f>
        <v/>
      </c>
      <c r="O146" s="140">
        <f>IF(O$13="","",IF($B146="","",IFERROR($C146*$D146*IF((Override!$C$4="ON")*(COUNTIFS(Override!$B$11:$B$40,$B146,Override!$D$11:$D$40,10,Override!$E$11:$E$40,"&gt;=0")-COUNTIFS(Override!$B$11:$B$40,$B146,Override!$D$11:$D$40,10,Override!$E$11:$E$40,"&gt;=0",Override!$C$11:$C$40,"MXAU"))&gt;0,SUMIFS(Override!$E$11:$E$40,Override!$B$11:$B$40,$B146,Override!$D$11:$D$40,10)-SUMIFS(Override!$E$11:$E$40,Override!$B$11:$B$40,$B146,Override!$D$11:$D$40,10,Override!$C$11:$C$40,"MXAU"),Override!$L$181)/AS51!$B$3,"")))</f>
        <v/>
      </c>
      <c r="P146" s="140">
        <f>IF(P$13="","",IF($B146="","",IFERROR($C146*$D146*IF((Override!$C$4="ON")*(COUNTIFS(Override!$B$11:$B$40,$B146,Override!$D$11:$D$40,11,Override!$E$11:$E$40,"&gt;=0")-COUNTIFS(Override!$B$11:$B$40,$B146,Override!$D$11:$D$40,11,Override!$E$11:$E$40,"&gt;=0",Override!$C$11:$C$40,"MXAU"))&gt;0,SUMIFS(Override!$E$11:$E$40,Override!$B$11:$B$40,$B146,Override!$D$11:$D$40,11)-SUMIFS(Override!$E$11:$E$40,Override!$B$11:$B$40,$B146,Override!$D$11:$D$40,11,Override!$C$11:$C$40,"MXAU"),Override!$M$181)/AS51!$B$3,"")))</f>
        <v/>
      </c>
      <c r="Q146" s="140">
        <f>IF(Q$13="","",IF($B146="","",IFERROR($C146*$D146*IF((Override!$C$4="ON")*(COUNTIFS(Override!$B$11:$B$40,$B146,Override!$D$11:$D$40,12,Override!$E$11:$E$40,"&gt;=0")-COUNTIFS(Override!$B$11:$B$40,$B146,Override!$D$11:$D$40,12,Override!$E$11:$E$40,"&gt;=0",Override!$C$11:$C$40,"MXAU"))&gt;0,SUMIFS(Override!$E$11:$E$40,Override!$B$11:$B$40,$B146,Override!$D$11:$D$40,12)-SUMIFS(Override!$E$11:$E$40,Override!$B$11:$B$40,$B146,Override!$D$11:$D$40,12,Override!$C$11:$C$40,"MXAU"),Override!$N$181)/AS51!$B$3,"")))</f>
        <v/>
      </c>
      <c r="R146" s="140">
        <f>IF(R$13="","",IF($B146="","",IFERROR($C146*$D146*IF((Override!$C$4="ON")*(COUNTIFS(Override!$B$11:$B$40,$B146,Override!$D$11:$D$40,13,Override!$E$11:$E$40,"&gt;=0")-COUNTIFS(Override!$B$11:$B$40,$B146,Override!$D$11:$D$40,13,Override!$E$11:$E$40,"&gt;=0",Override!$C$11:$C$40,"MXAU"))&gt;0,SUMIFS(Override!$E$11:$E$40,Override!$B$11:$B$40,$B146,Override!$D$11:$D$40,13)-SUMIFS(Override!$E$11:$E$40,Override!$B$11:$B$40,$B146,Override!$D$11:$D$40,13,Override!$C$11:$C$40,"MXAU"),Override!$O$181)/AS51!$B$3,"")))</f>
        <v/>
      </c>
      <c r="S146" s="140">
        <f>IF(S$13="","",IF($B146="","",IFERROR($C146*$D146*IF((Override!$C$4="ON")*(COUNTIFS(Override!$B$11:$B$40,$B146,Override!$D$11:$D$40,14,Override!$E$11:$E$40,"&gt;=0")-COUNTIFS(Override!$B$11:$B$40,$B146,Override!$D$11:$D$40,14,Override!$E$11:$E$40,"&gt;=0",Override!$C$11:$C$40,"MXAU"))&gt;0,SUMIFS(Override!$E$11:$E$40,Override!$B$11:$B$40,$B146,Override!$D$11:$D$40,14)-SUMIFS(Override!$E$11:$E$40,Override!$B$11:$B$40,$B146,Override!$D$11:$D$40,14,Override!$C$11:$C$40,"MXAU"),Override!$P$181)/AS51!$B$3,"")))</f>
        <v/>
      </c>
      <c r="T146" s="140">
        <f>IF(T$13="","",IF($B146="","",IFERROR($C146*$D146*IF((Override!$C$4="ON")*(COUNTIFS(Override!$B$11:$B$40,$B146,Override!$D$11:$D$40,15,Override!$E$11:$E$40,"&gt;=0")-COUNTIFS(Override!$B$11:$B$40,$B146,Override!$D$11:$D$40,15,Override!$E$11:$E$40,"&gt;=0",Override!$C$11:$C$40,"MXAU"))&gt;0,SUMIFS(Override!$E$11:$E$40,Override!$B$11:$B$40,$B146,Override!$D$11:$D$40,15)-SUMIFS(Override!$E$11:$E$40,Override!$B$11:$B$40,$B146,Override!$D$11:$D$40,15,Override!$C$11:$C$40,"MXAU"),Override!$Q$181)/AS51!$B$3,"")))</f>
        <v/>
      </c>
      <c r="U146" s="140">
        <f>IF(U$13="","",IF($B146="","",IFERROR($C146*$D146*IF((Override!$C$4="ON")*(COUNTIFS(Override!$B$11:$B$40,$B146,Override!$D$11:$D$40,16,Override!$E$11:$E$40,"&gt;=0")-COUNTIFS(Override!$B$11:$B$40,$B146,Override!$D$11:$D$40,16,Override!$E$11:$E$40,"&gt;=0",Override!$C$11:$C$40,"MXAU"))&gt;0,SUMIFS(Override!$E$11:$E$40,Override!$B$11:$B$40,$B146,Override!$D$11:$D$40,16)-SUMIFS(Override!$E$11:$E$40,Override!$B$11:$B$40,$B146,Override!$D$11:$D$40,16,Override!$C$11:$C$40,"MXAU"),Override!$R$181)/AS51!$B$3,"")))</f>
        <v/>
      </c>
      <c r="W146" s="140">
        <f>IF(W$13="","",IF($B146="","",IFERROR(F146*$E146/100,"")))</f>
        <v/>
      </c>
      <c r="X146" s="140">
        <f>IF(X$13="","",IF($B146="","",IFERROR(G146*$E146/100,"")))</f>
        <v/>
      </c>
      <c r="Y146" s="140">
        <f>IF(Y$13="","",IF($B146="","",IFERROR(H146*$E146/100,"")))</f>
        <v/>
      </c>
      <c r="Z146" s="140">
        <f>IF(Z$13="","",IF($B146="","",IFERROR(I146*$E146/100,"")))</f>
        <v/>
      </c>
      <c r="AA146" s="140">
        <f>IF(AA$13="","",IF($B146="","",IFERROR(J146*$E146/100,"")))</f>
        <v/>
      </c>
      <c r="AB146" s="140">
        <f>IF(AB$13="","",IF($B146="","",IFERROR(K146*$E146/100,"")))</f>
        <v/>
      </c>
      <c r="AC146" s="140">
        <f>IF(AC$13="","",IF($B146="","",IFERROR(L146*$E146/100,"")))</f>
        <v/>
      </c>
      <c r="AD146" s="140">
        <f>IF(AD$13="","",IF($B146="","",IFERROR(M146*$E146/100,"")))</f>
        <v/>
      </c>
      <c r="AE146" s="140">
        <f>IF(AE$13="","",IF($B146="","",IFERROR(N146*$E146/100,"")))</f>
        <v/>
      </c>
      <c r="AF146" s="140">
        <f>IF(AF$13="","",IF($B146="","",IFERROR(O146*$E146/100,"")))</f>
        <v/>
      </c>
      <c r="AG146" s="140">
        <f>IF(AG$13="","",IF($B146="","",IFERROR(P146*$E146/100,"")))</f>
        <v/>
      </c>
      <c r="AH146" s="140">
        <f>IF(AH$13="","",IF($B146="","",IFERROR(Q146*$E146/100,"")))</f>
        <v/>
      </c>
      <c r="AI146" s="140">
        <f>IF(AI$13="","",IF($B146="","",IFERROR(R146*$E146/100,"")))</f>
        <v/>
      </c>
      <c r="AJ146" s="140">
        <f>IF(AJ$13="","",IF($B146="","",IFERROR(S146*$E146/100,"")))</f>
        <v/>
      </c>
      <c r="AK146" s="140">
        <f>IF(AK$13="","",IF($B146="","",IFERROR(T146*$E146/100,"")))</f>
        <v/>
      </c>
      <c r="AL146" s="140">
        <f>IF(AL$13="","",IF($B146="","",IFERROR(U146*$E146/100,"")))</f>
        <v/>
      </c>
      <c r="AN146" s="140">
        <f>IF($B146="","",SUMIF($F$13:$U$13,"&lt;="&amp;Sector!$D$51,$F146:$U146))</f>
        <v/>
      </c>
      <c r="AO146" s="140">
        <f>IF($B146="","",SUMIF($W$13:$AL$13,"&lt;="&amp;Sector!$D$51,$W146:$AL146))</f>
        <v/>
      </c>
    </row>
    <row r="147">
      <c r="B147" s="5">
        <f>IF(AS51!$C$137="","",AS51!$C$137)</f>
        <v/>
      </c>
      <c r="C147" s="90">
        <f>IF(AS51!$B$137="","",AS51!$B$137)</f>
        <v/>
      </c>
      <c r="D147" s="138">
        <f>IFERROR(AS51!$Q$137,1)</f>
        <v/>
      </c>
      <c r="E147" s="139">
        <f>IF($B147="","",IF(ISNUMBER(AS51!$I$137),AS51!$I$137,'Index Summary'!$C$7))</f>
        <v/>
      </c>
      <c r="F147" s="140">
        <f>IF(F$13="","",IF($B147="","",IFERROR($C147*$D147*IF((Override!$C$4="ON")*(COUNTIFS(Override!$B$11:$B$40,$B147,Override!$D$11:$D$40,1,Override!$E$11:$E$40,"&gt;=0")-COUNTIFS(Override!$B$11:$B$40,$B147,Override!$D$11:$D$40,1,Override!$E$11:$E$40,"&gt;=0",Override!$C$11:$C$40,"MXAU"))&gt;0,SUMIFS(Override!$E$11:$E$40,Override!$B$11:$B$40,$B147,Override!$D$11:$D$40,1)-SUMIFS(Override!$E$11:$E$40,Override!$B$11:$B$40,$B147,Override!$D$11:$D$40,1,Override!$C$11:$C$40,"MXAU"),Override!$C$182)/AS51!$B$3,"")))</f>
        <v/>
      </c>
      <c r="G147" s="140">
        <f>IF(G$13="","",IF($B147="","",IFERROR($C147*$D147*IF((Override!$C$4="ON")*(COUNTIFS(Override!$B$11:$B$40,$B147,Override!$D$11:$D$40,2,Override!$E$11:$E$40,"&gt;=0")-COUNTIFS(Override!$B$11:$B$40,$B147,Override!$D$11:$D$40,2,Override!$E$11:$E$40,"&gt;=0",Override!$C$11:$C$40,"MXAU"))&gt;0,SUMIFS(Override!$E$11:$E$40,Override!$B$11:$B$40,$B147,Override!$D$11:$D$40,2)-SUMIFS(Override!$E$11:$E$40,Override!$B$11:$B$40,$B147,Override!$D$11:$D$40,2,Override!$C$11:$C$40,"MXAU"),Override!$D$182)/AS51!$B$3,"")))</f>
        <v/>
      </c>
      <c r="H147" s="140">
        <f>IF(H$13="","",IF($B147="","",IFERROR($C147*$D147*IF((Override!$C$4="ON")*(COUNTIFS(Override!$B$11:$B$40,$B147,Override!$D$11:$D$40,3,Override!$E$11:$E$40,"&gt;=0")-COUNTIFS(Override!$B$11:$B$40,$B147,Override!$D$11:$D$40,3,Override!$E$11:$E$40,"&gt;=0",Override!$C$11:$C$40,"MXAU"))&gt;0,SUMIFS(Override!$E$11:$E$40,Override!$B$11:$B$40,$B147,Override!$D$11:$D$40,3)-SUMIFS(Override!$E$11:$E$40,Override!$B$11:$B$40,$B147,Override!$D$11:$D$40,3,Override!$C$11:$C$40,"MXAU"),Override!$E$182)/AS51!$B$3,"")))</f>
        <v/>
      </c>
      <c r="I147" s="140">
        <f>IF(I$13="","",IF($B147="","",IFERROR($C147*$D147*IF((Override!$C$4="ON")*(COUNTIFS(Override!$B$11:$B$40,$B147,Override!$D$11:$D$40,4,Override!$E$11:$E$40,"&gt;=0")-COUNTIFS(Override!$B$11:$B$40,$B147,Override!$D$11:$D$40,4,Override!$E$11:$E$40,"&gt;=0",Override!$C$11:$C$40,"MXAU"))&gt;0,SUMIFS(Override!$E$11:$E$40,Override!$B$11:$B$40,$B147,Override!$D$11:$D$40,4)-SUMIFS(Override!$E$11:$E$40,Override!$B$11:$B$40,$B147,Override!$D$11:$D$40,4,Override!$C$11:$C$40,"MXAU"),Override!$F$182)/AS51!$B$3,"")))</f>
        <v/>
      </c>
      <c r="J147" s="140">
        <f>IF(J$13="","",IF($B147="","",IFERROR($C147*$D147*IF((Override!$C$4="ON")*(COUNTIFS(Override!$B$11:$B$40,$B147,Override!$D$11:$D$40,5,Override!$E$11:$E$40,"&gt;=0")-COUNTIFS(Override!$B$11:$B$40,$B147,Override!$D$11:$D$40,5,Override!$E$11:$E$40,"&gt;=0",Override!$C$11:$C$40,"MXAU"))&gt;0,SUMIFS(Override!$E$11:$E$40,Override!$B$11:$B$40,$B147,Override!$D$11:$D$40,5)-SUMIFS(Override!$E$11:$E$40,Override!$B$11:$B$40,$B147,Override!$D$11:$D$40,5,Override!$C$11:$C$40,"MXAU"),Override!$G$182)/AS51!$B$3,"")))</f>
        <v/>
      </c>
      <c r="K147" s="140">
        <f>IF(K$13="","",IF($B147="","",IFERROR($C147*$D147*IF((Override!$C$4="ON")*(COUNTIFS(Override!$B$11:$B$40,$B147,Override!$D$11:$D$40,6,Override!$E$11:$E$40,"&gt;=0")-COUNTIFS(Override!$B$11:$B$40,$B147,Override!$D$11:$D$40,6,Override!$E$11:$E$40,"&gt;=0",Override!$C$11:$C$40,"MXAU"))&gt;0,SUMIFS(Override!$E$11:$E$40,Override!$B$11:$B$40,$B147,Override!$D$11:$D$40,6)-SUMIFS(Override!$E$11:$E$40,Override!$B$11:$B$40,$B147,Override!$D$11:$D$40,6,Override!$C$11:$C$40,"MXAU"),Override!$H$182)/AS51!$B$3,"")))</f>
        <v/>
      </c>
      <c r="L147" s="140">
        <f>IF(L$13="","",IF($B147="","",IFERROR($C147*$D147*IF((Override!$C$4="ON")*(COUNTIFS(Override!$B$11:$B$40,$B147,Override!$D$11:$D$40,7,Override!$E$11:$E$40,"&gt;=0")-COUNTIFS(Override!$B$11:$B$40,$B147,Override!$D$11:$D$40,7,Override!$E$11:$E$40,"&gt;=0",Override!$C$11:$C$40,"MXAU"))&gt;0,SUMIFS(Override!$E$11:$E$40,Override!$B$11:$B$40,$B147,Override!$D$11:$D$40,7)-SUMIFS(Override!$E$11:$E$40,Override!$B$11:$B$40,$B147,Override!$D$11:$D$40,7,Override!$C$11:$C$40,"MXAU"),Override!$I$182)/AS51!$B$3,"")))</f>
        <v/>
      </c>
      <c r="M147" s="140">
        <f>IF(M$13="","",IF($B147="","",IFERROR($C147*$D147*IF((Override!$C$4="ON")*(COUNTIFS(Override!$B$11:$B$40,$B147,Override!$D$11:$D$40,8,Override!$E$11:$E$40,"&gt;=0")-COUNTIFS(Override!$B$11:$B$40,$B147,Override!$D$11:$D$40,8,Override!$E$11:$E$40,"&gt;=0",Override!$C$11:$C$40,"MXAU"))&gt;0,SUMIFS(Override!$E$11:$E$40,Override!$B$11:$B$40,$B147,Override!$D$11:$D$40,8)-SUMIFS(Override!$E$11:$E$40,Override!$B$11:$B$40,$B147,Override!$D$11:$D$40,8,Override!$C$11:$C$40,"MXAU"),Override!$J$182)/AS51!$B$3,"")))</f>
        <v/>
      </c>
      <c r="N147" s="140">
        <f>IF(N$13="","",IF($B147="","",IFERROR($C147*$D147*IF((Override!$C$4="ON")*(COUNTIFS(Override!$B$11:$B$40,$B147,Override!$D$11:$D$40,9,Override!$E$11:$E$40,"&gt;=0")-COUNTIFS(Override!$B$11:$B$40,$B147,Override!$D$11:$D$40,9,Override!$E$11:$E$40,"&gt;=0",Override!$C$11:$C$40,"MXAU"))&gt;0,SUMIFS(Override!$E$11:$E$40,Override!$B$11:$B$40,$B147,Override!$D$11:$D$40,9)-SUMIFS(Override!$E$11:$E$40,Override!$B$11:$B$40,$B147,Override!$D$11:$D$40,9,Override!$C$11:$C$40,"MXAU"),Override!$K$182)/AS51!$B$3,"")))</f>
        <v/>
      </c>
      <c r="O147" s="140">
        <f>IF(O$13="","",IF($B147="","",IFERROR($C147*$D147*IF((Override!$C$4="ON")*(COUNTIFS(Override!$B$11:$B$40,$B147,Override!$D$11:$D$40,10,Override!$E$11:$E$40,"&gt;=0")-COUNTIFS(Override!$B$11:$B$40,$B147,Override!$D$11:$D$40,10,Override!$E$11:$E$40,"&gt;=0",Override!$C$11:$C$40,"MXAU"))&gt;0,SUMIFS(Override!$E$11:$E$40,Override!$B$11:$B$40,$B147,Override!$D$11:$D$40,10)-SUMIFS(Override!$E$11:$E$40,Override!$B$11:$B$40,$B147,Override!$D$11:$D$40,10,Override!$C$11:$C$40,"MXAU"),Override!$L$182)/AS51!$B$3,"")))</f>
        <v/>
      </c>
      <c r="P147" s="140">
        <f>IF(P$13="","",IF($B147="","",IFERROR($C147*$D147*IF((Override!$C$4="ON")*(COUNTIFS(Override!$B$11:$B$40,$B147,Override!$D$11:$D$40,11,Override!$E$11:$E$40,"&gt;=0")-COUNTIFS(Override!$B$11:$B$40,$B147,Override!$D$11:$D$40,11,Override!$E$11:$E$40,"&gt;=0",Override!$C$11:$C$40,"MXAU"))&gt;0,SUMIFS(Override!$E$11:$E$40,Override!$B$11:$B$40,$B147,Override!$D$11:$D$40,11)-SUMIFS(Override!$E$11:$E$40,Override!$B$11:$B$40,$B147,Override!$D$11:$D$40,11,Override!$C$11:$C$40,"MXAU"),Override!$M$182)/AS51!$B$3,"")))</f>
        <v/>
      </c>
      <c r="Q147" s="140">
        <f>IF(Q$13="","",IF($B147="","",IFERROR($C147*$D147*IF((Override!$C$4="ON")*(COUNTIFS(Override!$B$11:$B$40,$B147,Override!$D$11:$D$40,12,Override!$E$11:$E$40,"&gt;=0")-COUNTIFS(Override!$B$11:$B$40,$B147,Override!$D$11:$D$40,12,Override!$E$11:$E$40,"&gt;=0",Override!$C$11:$C$40,"MXAU"))&gt;0,SUMIFS(Override!$E$11:$E$40,Override!$B$11:$B$40,$B147,Override!$D$11:$D$40,12)-SUMIFS(Override!$E$11:$E$40,Override!$B$11:$B$40,$B147,Override!$D$11:$D$40,12,Override!$C$11:$C$40,"MXAU"),Override!$N$182)/AS51!$B$3,"")))</f>
        <v/>
      </c>
      <c r="R147" s="140">
        <f>IF(R$13="","",IF($B147="","",IFERROR($C147*$D147*IF((Override!$C$4="ON")*(COUNTIFS(Override!$B$11:$B$40,$B147,Override!$D$11:$D$40,13,Override!$E$11:$E$40,"&gt;=0")-COUNTIFS(Override!$B$11:$B$40,$B147,Override!$D$11:$D$40,13,Override!$E$11:$E$40,"&gt;=0",Override!$C$11:$C$40,"MXAU"))&gt;0,SUMIFS(Override!$E$11:$E$40,Override!$B$11:$B$40,$B147,Override!$D$11:$D$40,13)-SUMIFS(Override!$E$11:$E$40,Override!$B$11:$B$40,$B147,Override!$D$11:$D$40,13,Override!$C$11:$C$40,"MXAU"),Override!$O$182)/AS51!$B$3,"")))</f>
        <v/>
      </c>
      <c r="S147" s="140">
        <f>IF(S$13="","",IF($B147="","",IFERROR($C147*$D147*IF((Override!$C$4="ON")*(COUNTIFS(Override!$B$11:$B$40,$B147,Override!$D$11:$D$40,14,Override!$E$11:$E$40,"&gt;=0")-COUNTIFS(Override!$B$11:$B$40,$B147,Override!$D$11:$D$40,14,Override!$E$11:$E$40,"&gt;=0",Override!$C$11:$C$40,"MXAU"))&gt;0,SUMIFS(Override!$E$11:$E$40,Override!$B$11:$B$40,$B147,Override!$D$11:$D$40,14)-SUMIFS(Override!$E$11:$E$40,Override!$B$11:$B$40,$B147,Override!$D$11:$D$40,14,Override!$C$11:$C$40,"MXAU"),Override!$P$182)/AS51!$B$3,"")))</f>
        <v/>
      </c>
      <c r="T147" s="140">
        <f>IF(T$13="","",IF($B147="","",IFERROR($C147*$D147*IF((Override!$C$4="ON")*(COUNTIFS(Override!$B$11:$B$40,$B147,Override!$D$11:$D$40,15,Override!$E$11:$E$40,"&gt;=0")-COUNTIFS(Override!$B$11:$B$40,$B147,Override!$D$11:$D$40,15,Override!$E$11:$E$40,"&gt;=0",Override!$C$11:$C$40,"MXAU"))&gt;0,SUMIFS(Override!$E$11:$E$40,Override!$B$11:$B$40,$B147,Override!$D$11:$D$40,15)-SUMIFS(Override!$E$11:$E$40,Override!$B$11:$B$40,$B147,Override!$D$11:$D$40,15,Override!$C$11:$C$40,"MXAU"),Override!$Q$182)/AS51!$B$3,"")))</f>
        <v/>
      </c>
      <c r="U147" s="140">
        <f>IF(U$13="","",IF($B147="","",IFERROR($C147*$D147*IF((Override!$C$4="ON")*(COUNTIFS(Override!$B$11:$B$40,$B147,Override!$D$11:$D$40,16,Override!$E$11:$E$40,"&gt;=0")-COUNTIFS(Override!$B$11:$B$40,$B147,Override!$D$11:$D$40,16,Override!$E$11:$E$40,"&gt;=0",Override!$C$11:$C$40,"MXAU"))&gt;0,SUMIFS(Override!$E$11:$E$40,Override!$B$11:$B$40,$B147,Override!$D$11:$D$40,16)-SUMIFS(Override!$E$11:$E$40,Override!$B$11:$B$40,$B147,Override!$D$11:$D$40,16,Override!$C$11:$C$40,"MXAU"),Override!$R$182)/AS51!$B$3,"")))</f>
        <v/>
      </c>
      <c r="W147" s="140">
        <f>IF(W$13="","",IF($B147="","",IFERROR(F147*$E147/100,"")))</f>
        <v/>
      </c>
      <c r="X147" s="140">
        <f>IF(X$13="","",IF($B147="","",IFERROR(G147*$E147/100,"")))</f>
        <v/>
      </c>
      <c r="Y147" s="140">
        <f>IF(Y$13="","",IF($B147="","",IFERROR(H147*$E147/100,"")))</f>
        <v/>
      </c>
      <c r="Z147" s="140">
        <f>IF(Z$13="","",IF($B147="","",IFERROR(I147*$E147/100,"")))</f>
        <v/>
      </c>
      <c r="AA147" s="140">
        <f>IF(AA$13="","",IF($B147="","",IFERROR(J147*$E147/100,"")))</f>
        <v/>
      </c>
      <c r="AB147" s="140">
        <f>IF(AB$13="","",IF($B147="","",IFERROR(K147*$E147/100,"")))</f>
        <v/>
      </c>
      <c r="AC147" s="140">
        <f>IF(AC$13="","",IF($B147="","",IFERROR(L147*$E147/100,"")))</f>
        <v/>
      </c>
      <c r="AD147" s="140">
        <f>IF(AD$13="","",IF($B147="","",IFERROR(M147*$E147/100,"")))</f>
        <v/>
      </c>
      <c r="AE147" s="140">
        <f>IF(AE$13="","",IF($B147="","",IFERROR(N147*$E147/100,"")))</f>
        <v/>
      </c>
      <c r="AF147" s="140">
        <f>IF(AF$13="","",IF($B147="","",IFERROR(O147*$E147/100,"")))</f>
        <v/>
      </c>
      <c r="AG147" s="140">
        <f>IF(AG$13="","",IF($B147="","",IFERROR(P147*$E147/100,"")))</f>
        <v/>
      </c>
      <c r="AH147" s="140">
        <f>IF(AH$13="","",IF($B147="","",IFERROR(Q147*$E147/100,"")))</f>
        <v/>
      </c>
      <c r="AI147" s="140">
        <f>IF(AI$13="","",IF($B147="","",IFERROR(R147*$E147/100,"")))</f>
        <v/>
      </c>
      <c r="AJ147" s="140">
        <f>IF(AJ$13="","",IF($B147="","",IFERROR(S147*$E147/100,"")))</f>
        <v/>
      </c>
      <c r="AK147" s="140">
        <f>IF(AK$13="","",IF($B147="","",IFERROR(T147*$E147/100,"")))</f>
        <v/>
      </c>
      <c r="AL147" s="140">
        <f>IF(AL$13="","",IF($B147="","",IFERROR(U147*$E147/100,"")))</f>
        <v/>
      </c>
      <c r="AN147" s="140">
        <f>IF($B147="","",SUMIF($F$13:$U$13,"&lt;="&amp;Sector!$D$51,$F147:$U147))</f>
        <v/>
      </c>
      <c r="AO147" s="140">
        <f>IF($B147="","",SUMIF($W$13:$AL$13,"&lt;="&amp;Sector!$D$51,$W147:$AL147))</f>
        <v/>
      </c>
    </row>
    <row r="148">
      <c r="B148" s="5">
        <f>IF(AS51!$C$138="","",AS51!$C$138)</f>
        <v/>
      </c>
      <c r="C148" s="90">
        <f>IF(AS51!$B$138="","",AS51!$B$138)</f>
        <v/>
      </c>
      <c r="D148" s="138">
        <f>IFERROR(AS51!$Q$138,1)</f>
        <v/>
      </c>
      <c r="E148" s="139">
        <f>IF($B148="","",IF(ISNUMBER(AS51!$I$138),AS51!$I$138,'Index Summary'!$C$7))</f>
        <v/>
      </c>
      <c r="F148" s="140">
        <f>IF(F$13="","",IF($B148="","",IFERROR($C148*$D148*IF((Override!$C$4="ON")*(COUNTIFS(Override!$B$11:$B$40,$B148,Override!$D$11:$D$40,1,Override!$E$11:$E$40,"&gt;=0")-COUNTIFS(Override!$B$11:$B$40,$B148,Override!$D$11:$D$40,1,Override!$E$11:$E$40,"&gt;=0",Override!$C$11:$C$40,"MXAU"))&gt;0,SUMIFS(Override!$E$11:$E$40,Override!$B$11:$B$40,$B148,Override!$D$11:$D$40,1)-SUMIFS(Override!$E$11:$E$40,Override!$B$11:$B$40,$B148,Override!$D$11:$D$40,1,Override!$C$11:$C$40,"MXAU"),Override!$C$183)/AS51!$B$3,"")))</f>
        <v/>
      </c>
      <c r="G148" s="140">
        <f>IF(G$13="","",IF($B148="","",IFERROR($C148*$D148*IF((Override!$C$4="ON")*(COUNTIFS(Override!$B$11:$B$40,$B148,Override!$D$11:$D$40,2,Override!$E$11:$E$40,"&gt;=0")-COUNTIFS(Override!$B$11:$B$40,$B148,Override!$D$11:$D$40,2,Override!$E$11:$E$40,"&gt;=0",Override!$C$11:$C$40,"MXAU"))&gt;0,SUMIFS(Override!$E$11:$E$40,Override!$B$11:$B$40,$B148,Override!$D$11:$D$40,2)-SUMIFS(Override!$E$11:$E$40,Override!$B$11:$B$40,$B148,Override!$D$11:$D$40,2,Override!$C$11:$C$40,"MXAU"),Override!$D$183)/AS51!$B$3,"")))</f>
        <v/>
      </c>
      <c r="H148" s="140">
        <f>IF(H$13="","",IF($B148="","",IFERROR($C148*$D148*IF((Override!$C$4="ON")*(COUNTIFS(Override!$B$11:$B$40,$B148,Override!$D$11:$D$40,3,Override!$E$11:$E$40,"&gt;=0")-COUNTIFS(Override!$B$11:$B$40,$B148,Override!$D$11:$D$40,3,Override!$E$11:$E$40,"&gt;=0",Override!$C$11:$C$40,"MXAU"))&gt;0,SUMIFS(Override!$E$11:$E$40,Override!$B$11:$B$40,$B148,Override!$D$11:$D$40,3)-SUMIFS(Override!$E$11:$E$40,Override!$B$11:$B$40,$B148,Override!$D$11:$D$40,3,Override!$C$11:$C$40,"MXAU"),Override!$E$183)/AS51!$B$3,"")))</f>
        <v/>
      </c>
      <c r="I148" s="140">
        <f>IF(I$13="","",IF($B148="","",IFERROR($C148*$D148*IF((Override!$C$4="ON")*(COUNTIFS(Override!$B$11:$B$40,$B148,Override!$D$11:$D$40,4,Override!$E$11:$E$40,"&gt;=0")-COUNTIFS(Override!$B$11:$B$40,$B148,Override!$D$11:$D$40,4,Override!$E$11:$E$40,"&gt;=0",Override!$C$11:$C$40,"MXAU"))&gt;0,SUMIFS(Override!$E$11:$E$40,Override!$B$11:$B$40,$B148,Override!$D$11:$D$40,4)-SUMIFS(Override!$E$11:$E$40,Override!$B$11:$B$40,$B148,Override!$D$11:$D$40,4,Override!$C$11:$C$40,"MXAU"),Override!$F$183)/AS51!$B$3,"")))</f>
        <v/>
      </c>
      <c r="J148" s="140">
        <f>IF(J$13="","",IF($B148="","",IFERROR($C148*$D148*IF((Override!$C$4="ON")*(COUNTIFS(Override!$B$11:$B$40,$B148,Override!$D$11:$D$40,5,Override!$E$11:$E$40,"&gt;=0")-COUNTIFS(Override!$B$11:$B$40,$B148,Override!$D$11:$D$40,5,Override!$E$11:$E$40,"&gt;=0",Override!$C$11:$C$40,"MXAU"))&gt;0,SUMIFS(Override!$E$11:$E$40,Override!$B$11:$B$40,$B148,Override!$D$11:$D$40,5)-SUMIFS(Override!$E$11:$E$40,Override!$B$11:$B$40,$B148,Override!$D$11:$D$40,5,Override!$C$11:$C$40,"MXAU"),Override!$G$183)/AS51!$B$3,"")))</f>
        <v/>
      </c>
      <c r="K148" s="140">
        <f>IF(K$13="","",IF($B148="","",IFERROR($C148*$D148*IF((Override!$C$4="ON")*(COUNTIFS(Override!$B$11:$B$40,$B148,Override!$D$11:$D$40,6,Override!$E$11:$E$40,"&gt;=0")-COUNTIFS(Override!$B$11:$B$40,$B148,Override!$D$11:$D$40,6,Override!$E$11:$E$40,"&gt;=0",Override!$C$11:$C$40,"MXAU"))&gt;0,SUMIFS(Override!$E$11:$E$40,Override!$B$11:$B$40,$B148,Override!$D$11:$D$40,6)-SUMIFS(Override!$E$11:$E$40,Override!$B$11:$B$40,$B148,Override!$D$11:$D$40,6,Override!$C$11:$C$40,"MXAU"),Override!$H$183)/AS51!$B$3,"")))</f>
        <v/>
      </c>
      <c r="L148" s="140">
        <f>IF(L$13="","",IF($B148="","",IFERROR($C148*$D148*IF((Override!$C$4="ON")*(COUNTIFS(Override!$B$11:$B$40,$B148,Override!$D$11:$D$40,7,Override!$E$11:$E$40,"&gt;=0")-COUNTIFS(Override!$B$11:$B$40,$B148,Override!$D$11:$D$40,7,Override!$E$11:$E$40,"&gt;=0",Override!$C$11:$C$40,"MXAU"))&gt;0,SUMIFS(Override!$E$11:$E$40,Override!$B$11:$B$40,$B148,Override!$D$11:$D$40,7)-SUMIFS(Override!$E$11:$E$40,Override!$B$11:$B$40,$B148,Override!$D$11:$D$40,7,Override!$C$11:$C$40,"MXAU"),Override!$I$183)/AS51!$B$3,"")))</f>
        <v/>
      </c>
      <c r="M148" s="140">
        <f>IF(M$13="","",IF($B148="","",IFERROR($C148*$D148*IF((Override!$C$4="ON")*(COUNTIFS(Override!$B$11:$B$40,$B148,Override!$D$11:$D$40,8,Override!$E$11:$E$40,"&gt;=0")-COUNTIFS(Override!$B$11:$B$40,$B148,Override!$D$11:$D$40,8,Override!$E$11:$E$40,"&gt;=0",Override!$C$11:$C$40,"MXAU"))&gt;0,SUMIFS(Override!$E$11:$E$40,Override!$B$11:$B$40,$B148,Override!$D$11:$D$40,8)-SUMIFS(Override!$E$11:$E$40,Override!$B$11:$B$40,$B148,Override!$D$11:$D$40,8,Override!$C$11:$C$40,"MXAU"),Override!$J$183)/AS51!$B$3,"")))</f>
        <v/>
      </c>
      <c r="N148" s="140">
        <f>IF(N$13="","",IF($B148="","",IFERROR($C148*$D148*IF((Override!$C$4="ON")*(COUNTIFS(Override!$B$11:$B$40,$B148,Override!$D$11:$D$40,9,Override!$E$11:$E$40,"&gt;=0")-COUNTIFS(Override!$B$11:$B$40,$B148,Override!$D$11:$D$40,9,Override!$E$11:$E$40,"&gt;=0",Override!$C$11:$C$40,"MXAU"))&gt;0,SUMIFS(Override!$E$11:$E$40,Override!$B$11:$B$40,$B148,Override!$D$11:$D$40,9)-SUMIFS(Override!$E$11:$E$40,Override!$B$11:$B$40,$B148,Override!$D$11:$D$40,9,Override!$C$11:$C$40,"MXAU"),Override!$K$183)/AS51!$B$3,"")))</f>
        <v/>
      </c>
      <c r="O148" s="140">
        <f>IF(O$13="","",IF($B148="","",IFERROR($C148*$D148*IF((Override!$C$4="ON")*(COUNTIFS(Override!$B$11:$B$40,$B148,Override!$D$11:$D$40,10,Override!$E$11:$E$40,"&gt;=0")-COUNTIFS(Override!$B$11:$B$40,$B148,Override!$D$11:$D$40,10,Override!$E$11:$E$40,"&gt;=0",Override!$C$11:$C$40,"MXAU"))&gt;0,SUMIFS(Override!$E$11:$E$40,Override!$B$11:$B$40,$B148,Override!$D$11:$D$40,10)-SUMIFS(Override!$E$11:$E$40,Override!$B$11:$B$40,$B148,Override!$D$11:$D$40,10,Override!$C$11:$C$40,"MXAU"),Override!$L$183)/AS51!$B$3,"")))</f>
        <v/>
      </c>
      <c r="P148" s="140">
        <f>IF(P$13="","",IF($B148="","",IFERROR($C148*$D148*IF((Override!$C$4="ON")*(COUNTIFS(Override!$B$11:$B$40,$B148,Override!$D$11:$D$40,11,Override!$E$11:$E$40,"&gt;=0")-COUNTIFS(Override!$B$11:$B$40,$B148,Override!$D$11:$D$40,11,Override!$E$11:$E$40,"&gt;=0",Override!$C$11:$C$40,"MXAU"))&gt;0,SUMIFS(Override!$E$11:$E$40,Override!$B$11:$B$40,$B148,Override!$D$11:$D$40,11)-SUMIFS(Override!$E$11:$E$40,Override!$B$11:$B$40,$B148,Override!$D$11:$D$40,11,Override!$C$11:$C$40,"MXAU"),Override!$M$183)/AS51!$B$3,"")))</f>
        <v/>
      </c>
      <c r="Q148" s="140">
        <f>IF(Q$13="","",IF($B148="","",IFERROR($C148*$D148*IF((Override!$C$4="ON")*(COUNTIFS(Override!$B$11:$B$40,$B148,Override!$D$11:$D$40,12,Override!$E$11:$E$40,"&gt;=0")-COUNTIFS(Override!$B$11:$B$40,$B148,Override!$D$11:$D$40,12,Override!$E$11:$E$40,"&gt;=0",Override!$C$11:$C$40,"MXAU"))&gt;0,SUMIFS(Override!$E$11:$E$40,Override!$B$11:$B$40,$B148,Override!$D$11:$D$40,12)-SUMIFS(Override!$E$11:$E$40,Override!$B$11:$B$40,$B148,Override!$D$11:$D$40,12,Override!$C$11:$C$40,"MXAU"),Override!$N$183)/AS51!$B$3,"")))</f>
        <v/>
      </c>
      <c r="R148" s="140">
        <f>IF(R$13="","",IF($B148="","",IFERROR($C148*$D148*IF((Override!$C$4="ON")*(COUNTIFS(Override!$B$11:$B$40,$B148,Override!$D$11:$D$40,13,Override!$E$11:$E$40,"&gt;=0")-COUNTIFS(Override!$B$11:$B$40,$B148,Override!$D$11:$D$40,13,Override!$E$11:$E$40,"&gt;=0",Override!$C$11:$C$40,"MXAU"))&gt;0,SUMIFS(Override!$E$11:$E$40,Override!$B$11:$B$40,$B148,Override!$D$11:$D$40,13)-SUMIFS(Override!$E$11:$E$40,Override!$B$11:$B$40,$B148,Override!$D$11:$D$40,13,Override!$C$11:$C$40,"MXAU"),Override!$O$183)/AS51!$B$3,"")))</f>
        <v/>
      </c>
      <c r="S148" s="140">
        <f>IF(S$13="","",IF($B148="","",IFERROR($C148*$D148*IF((Override!$C$4="ON")*(COUNTIFS(Override!$B$11:$B$40,$B148,Override!$D$11:$D$40,14,Override!$E$11:$E$40,"&gt;=0")-COUNTIFS(Override!$B$11:$B$40,$B148,Override!$D$11:$D$40,14,Override!$E$11:$E$40,"&gt;=0",Override!$C$11:$C$40,"MXAU"))&gt;0,SUMIFS(Override!$E$11:$E$40,Override!$B$11:$B$40,$B148,Override!$D$11:$D$40,14)-SUMIFS(Override!$E$11:$E$40,Override!$B$11:$B$40,$B148,Override!$D$11:$D$40,14,Override!$C$11:$C$40,"MXAU"),Override!$P$183)/AS51!$B$3,"")))</f>
        <v/>
      </c>
      <c r="T148" s="140">
        <f>IF(T$13="","",IF($B148="","",IFERROR($C148*$D148*IF((Override!$C$4="ON")*(COUNTIFS(Override!$B$11:$B$40,$B148,Override!$D$11:$D$40,15,Override!$E$11:$E$40,"&gt;=0")-COUNTIFS(Override!$B$11:$B$40,$B148,Override!$D$11:$D$40,15,Override!$E$11:$E$40,"&gt;=0",Override!$C$11:$C$40,"MXAU"))&gt;0,SUMIFS(Override!$E$11:$E$40,Override!$B$11:$B$40,$B148,Override!$D$11:$D$40,15)-SUMIFS(Override!$E$11:$E$40,Override!$B$11:$B$40,$B148,Override!$D$11:$D$40,15,Override!$C$11:$C$40,"MXAU"),Override!$Q$183)/AS51!$B$3,"")))</f>
        <v/>
      </c>
      <c r="U148" s="140">
        <f>IF(U$13="","",IF($B148="","",IFERROR($C148*$D148*IF((Override!$C$4="ON")*(COUNTIFS(Override!$B$11:$B$40,$B148,Override!$D$11:$D$40,16,Override!$E$11:$E$40,"&gt;=0")-COUNTIFS(Override!$B$11:$B$40,$B148,Override!$D$11:$D$40,16,Override!$E$11:$E$40,"&gt;=0",Override!$C$11:$C$40,"MXAU"))&gt;0,SUMIFS(Override!$E$11:$E$40,Override!$B$11:$B$40,$B148,Override!$D$11:$D$40,16)-SUMIFS(Override!$E$11:$E$40,Override!$B$11:$B$40,$B148,Override!$D$11:$D$40,16,Override!$C$11:$C$40,"MXAU"),Override!$R$183)/AS51!$B$3,"")))</f>
        <v/>
      </c>
      <c r="W148" s="140">
        <f>IF(W$13="","",IF($B148="","",IFERROR(F148*$E148/100,"")))</f>
        <v/>
      </c>
      <c r="X148" s="140">
        <f>IF(X$13="","",IF($B148="","",IFERROR(G148*$E148/100,"")))</f>
        <v/>
      </c>
      <c r="Y148" s="140">
        <f>IF(Y$13="","",IF($B148="","",IFERROR(H148*$E148/100,"")))</f>
        <v/>
      </c>
      <c r="Z148" s="140">
        <f>IF(Z$13="","",IF($B148="","",IFERROR(I148*$E148/100,"")))</f>
        <v/>
      </c>
      <c r="AA148" s="140">
        <f>IF(AA$13="","",IF($B148="","",IFERROR(J148*$E148/100,"")))</f>
        <v/>
      </c>
      <c r="AB148" s="140">
        <f>IF(AB$13="","",IF($B148="","",IFERROR(K148*$E148/100,"")))</f>
        <v/>
      </c>
      <c r="AC148" s="140">
        <f>IF(AC$13="","",IF($B148="","",IFERROR(L148*$E148/100,"")))</f>
        <v/>
      </c>
      <c r="AD148" s="140">
        <f>IF(AD$13="","",IF($B148="","",IFERROR(M148*$E148/100,"")))</f>
        <v/>
      </c>
      <c r="AE148" s="140">
        <f>IF(AE$13="","",IF($B148="","",IFERROR(N148*$E148/100,"")))</f>
        <v/>
      </c>
      <c r="AF148" s="140">
        <f>IF(AF$13="","",IF($B148="","",IFERROR(O148*$E148/100,"")))</f>
        <v/>
      </c>
      <c r="AG148" s="140">
        <f>IF(AG$13="","",IF($B148="","",IFERROR(P148*$E148/100,"")))</f>
        <v/>
      </c>
      <c r="AH148" s="140">
        <f>IF(AH$13="","",IF($B148="","",IFERROR(Q148*$E148/100,"")))</f>
        <v/>
      </c>
      <c r="AI148" s="140">
        <f>IF(AI$13="","",IF($B148="","",IFERROR(R148*$E148/100,"")))</f>
        <v/>
      </c>
      <c r="AJ148" s="140">
        <f>IF(AJ$13="","",IF($B148="","",IFERROR(S148*$E148/100,"")))</f>
        <v/>
      </c>
      <c r="AK148" s="140">
        <f>IF(AK$13="","",IF($B148="","",IFERROR(T148*$E148/100,"")))</f>
        <v/>
      </c>
      <c r="AL148" s="140">
        <f>IF(AL$13="","",IF($B148="","",IFERROR(U148*$E148/100,"")))</f>
        <v/>
      </c>
      <c r="AN148" s="140">
        <f>IF($B148="","",SUMIF($F$13:$U$13,"&lt;="&amp;Sector!$D$51,$F148:$U148))</f>
        <v/>
      </c>
      <c r="AO148" s="140">
        <f>IF($B148="","",SUMIF($W$13:$AL$13,"&lt;="&amp;Sector!$D$51,$W148:$AL148))</f>
        <v/>
      </c>
    </row>
    <row r="149">
      <c r="B149" s="5">
        <f>IF(AS51!$C$139="","",AS51!$C$139)</f>
        <v/>
      </c>
      <c r="C149" s="90">
        <f>IF(AS51!$B$139="","",AS51!$B$139)</f>
        <v/>
      </c>
      <c r="D149" s="138">
        <f>IFERROR(AS51!$Q$139,1)</f>
        <v/>
      </c>
      <c r="E149" s="139">
        <f>IF($B149="","",IF(ISNUMBER(AS51!$I$139),AS51!$I$139,'Index Summary'!$C$7))</f>
        <v/>
      </c>
      <c r="F149" s="140">
        <f>IF(F$13="","",IF($B149="","",IFERROR($C149*$D149*IF((Override!$C$4="ON")*(COUNTIFS(Override!$B$11:$B$40,$B149,Override!$D$11:$D$40,1,Override!$E$11:$E$40,"&gt;=0")-COUNTIFS(Override!$B$11:$B$40,$B149,Override!$D$11:$D$40,1,Override!$E$11:$E$40,"&gt;=0",Override!$C$11:$C$40,"MXAU"))&gt;0,SUMIFS(Override!$E$11:$E$40,Override!$B$11:$B$40,$B149,Override!$D$11:$D$40,1)-SUMIFS(Override!$E$11:$E$40,Override!$B$11:$B$40,$B149,Override!$D$11:$D$40,1,Override!$C$11:$C$40,"MXAU"),Override!$C$184)/AS51!$B$3,"")))</f>
        <v/>
      </c>
      <c r="G149" s="140">
        <f>IF(G$13="","",IF($B149="","",IFERROR($C149*$D149*IF((Override!$C$4="ON")*(COUNTIFS(Override!$B$11:$B$40,$B149,Override!$D$11:$D$40,2,Override!$E$11:$E$40,"&gt;=0")-COUNTIFS(Override!$B$11:$B$40,$B149,Override!$D$11:$D$40,2,Override!$E$11:$E$40,"&gt;=0",Override!$C$11:$C$40,"MXAU"))&gt;0,SUMIFS(Override!$E$11:$E$40,Override!$B$11:$B$40,$B149,Override!$D$11:$D$40,2)-SUMIFS(Override!$E$11:$E$40,Override!$B$11:$B$40,$B149,Override!$D$11:$D$40,2,Override!$C$11:$C$40,"MXAU"),Override!$D$184)/AS51!$B$3,"")))</f>
        <v/>
      </c>
      <c r="H149" s="140">
        <f>IF(H$13="","",IF($B149="","",IFERROR($C149*$D149*IF((Override!$C$4="ON")*(COUNTIFS(Override!$B$11:$B$40,$B149,Override!$D$11:$D$40,3,Override!$E$11:$E$40,"&gt;=0")-COUNTIFS(Override!$B$11:$B$40,$B149,Override!$D$11:$D$40,3,Override!$E$11:$E$40,"&gt;=0",Override!$C$11:$C$40,"MXAU"))&gt;0,SUMIFS(Override!$E$11:$E$40,Override!$B$11:$B$40,$B149,Override!$D$11:$D$40,3)-SUMIFS(Override!$E$11:$E$40,Override!$B$11:$B$40,$B149,Override!$D$11:$D$40,3,Override!$C$11:$C$40,"MXAU"),Override!$E$184)/AS51!$B$3,"")))</f>
        <v/>
      </c>
      <c r="I149" s="140">
        <f>IF(I$13="","",IF($B149="","",IFERROR($C149*$D149*IF((Override!$C$4="ON")*(COUNTIFS(Override!$B$11:$B$40,$B149,Override!$D$11:$D$40,4,Override!$E$11:$E$40,"&gt;=0")-COUNTIFS(Override!$B$11:$B$40,$B149,Override!$D$11:$D$40,4,Override!$E$11:$E$40,"&gt;=0",Override!$C$11:$C$40,"MXAU"))&gt;0,SUMIFS(Override!$E$11:$E$40,Override!$B$11:$B$40,$B149,Override!$D$11:$D$40,4)-SUMIFS(Override!$E$11:$E$40,Override!$B$11:$B$40,$B149,Override!$D$11:$D$40,4,Override!$C$11:$C$40,"MXAU"),Override!$F$184)/AS51!$B$3,"")))</f>
        <v/>
      </c>
      <c r="J149" s="140">
        <f>IF(J$13="","",IF($B149="","",IFERROR($C149*$D149*IF((Override!$C$4="ON")*(COUNTIFS(Override!$B$11:$B$40,$B149,Override!$D$11:$D$40,5,Override!$E$11:$E$40,"&gt;=0")-COUNTIFS(Override!$B$11:$B$40,$B149,Override!$D$11:$D$40,5,Override!$E$11:$E$40,"&gt;=0",Override!$C$11:$C$40,"MXAU"))&gt;0,SUMIFS(Override!$E$11:$E$40,Override!$B$11:$B$40,$B149,Override!$D$11:$D$40,5)-SUMIFS(Override!$E$11:$E$40,Override!$B$11:$B$40,$B149,Override!$D$11:$D$40,5,Override!$C$11:$C$40,"MXAU"),Override!$G$184)/AS51!$B$3,"")))</f>
        <v/>
      </c>
      <c r="K149" s="140">
        <f>IF(K$13="","",IF($B149="","",IFERROR($C149*$D149*IF((Override!$C$4="ON")*(COUNTIFS(Override!$B$11:$B$40,$B149,Override!$D$11:$D$40,6,Override!$E$11:$E$40,"&gt;=0")-COUNTIFS(Override!$B$11:$B$40,$B149,Override!$D$11:$D$40,6,Override!$E$11:$E$40,"&gt;=0",Override!$C$11:$C$40,"MXAU"))&gt;0,SUMIFS(Override!$E$11:$E$40,Override!$B$11:$B$40,$B149,Override!$D$11:$D$40,6)-SUMIFS(Override!$E$11:$E$40,Override!$B$11:$B$40,$B149,Override!$D$11:$D$40,6,Override!$C$11:$C$40,"MXAU"),Override!$H$184)/AS51!$B$3,"")))</f>
        <v/>
      </c>
      <c r="L149" s="140">
        <f>IF(L$13="","",IF($B149="","",IFERROR($C149*$D149*IF((Override!$C$4="ON")*(COUNTIFS(Override!$B$11:$B$40,$B149,Override!$D$11:$D$40,7,Override!$E$11:$E$40,"&gt;=0")-COUNTIFS(Override!$B$11:$B$40,$B149,Override!$D$11:$D$40,7,Override!$E$11:$E$40,"&gt;=0",Override!$C$11:$C$40,"MXAU"))&gt;0,SUMIFS(Override!$E$11:$E$40,Override!$B$11:$B$40,$B149,Override!$D$11:$D$40,7)-SUMIFS(Override!$E$11:$E$40,Override!$B$11:$B$40,$B149,Override!$D$11:$D$40,7,Override!$C$11:$C$40,"MXAU"),Override!$I$184)/AS51!$B$3,"")))</f>
        <v/>
      </c>
      <c r="M149" s="140">
        <f>IF(M$13="","",IF($B149="","",IFERROR($C149*$D149*IF((Override!$C$4="ON")*(COUNTIFS(Override!$B$11:$B$40,$B149,Override!$D$11:$D$40,8,Override!$E$11:$E$40,"&gt;=0")-COUNTIFS(Override!$B$11:$B$40,$B149,Override!$D$11:$D$40,8,Override!$E$11:$E$40,"&gt;=0",Override!$C$11:$C$40,"MXAU"))&gt;0,SUMIFS(Override!$E$11:$E$40,Override!$B$11:$B$40,$B149,Override!$D$11:$D$40,8)-SUMIFS(Override!$E$11:$E$40,Override!$B$11:$B$40,$B149,Override!$D$11:$D$40,8,Override!$C$11:$C$40,"MXAU"),Override!$J$184)/AS51!$B$3,"")))</f>
        <v/>
      </c>
      <c r="N149" s="140">
        <f>IF(N$13="","",IF($B149="","",IFERROR($C149*$D149*IF((Override!$C$4="ON")*(COUNTIFS(Override!$B$11:$B$40,$B149,Override!$D$11:$D$40,9,Override!$E$11:$E$40,"&gt;=0")-COUNTIFS(Override!$B$11:$B$40,$B149,Override!$D$11:$D$40,9,Override!$E$11:$E$40,"&gt;=0",Override!$C$11:$C$40,"MXAU"))&gt;0,SUMIFS(Override!$E$11:$E$40,Override!$B$11:$B$40,$B149,Override!$D$11:$D$40,9)-SUMIFS(Override!$E$11:$E$40,Override!$B$11:$B$40,$B149,Override!$D$11:$D$40,9,Override!$C$11:$C$40,"MXAU"),Override!$K$184)/AS51!$B$3,"")))</f>
        <v/>
      </c>
      <c r="O149" s="140">
        <f>IF(O$13="","",IF($B149="","",IFERROR($C149*$D149*IF((Override!$C$4="ON")*(COUNTIFS(Override!$B$11:$B$40,$B149,Override!$D$11:$D$40,10,Override!$E$11:$E$40,"&gt;=0")-COUNTIFS(Override!$B$11:$B$40,$B149,Override!$D$11:$D$40,10,Override!$E$11:$E$40,"&gt;=0",Override!$C$11:$C$40,"MXAU"))&gt;0,SUMIFS(Override!$E$11:$E$40,Override!$B$11:$B$40,$B149,Override!$D$11:$D$40,10)-SUMIFS(Override!$E$11:$E$40,Override!$B$11:$B$40,$B149,Override!$D$11:$D$40,10,Override!$C$11:$C$40,"MXAU"),Override!$L$184)/AS51!$B$3,"")))</f>
        <v/>
      </c>
      <c r="P149" s="140">
        <f>IF(P$13="","",IF($B149="","",IFERROR($C149*$D149*IF((Override!$C$4="ON")*(COUNTIFS(Override!$B$11:$B$40,$B149,Override!$D$11:$D$40,11,Override!$E$11:$E$40,"&gt;=0")-COUNTIFS(Override!$B$11:$B$40,$B149,Override!$D$11:$D$40,11,Override!$E$11:$E$40,"&gt;=0",Override!$C$11:$C$40,"MXAU"))&gt;0,SUMIFS(Override!$E$11:$E$40,Override!$B$11:$B$40,$B149,Override!$D$11:$D$40,11)-SUMIFS(Override!$E$11:$E$40,Override!$B$11:$B$40,$B149,Override!$D$11:$D$40,11,Override!$C$11:$C$40,"MXAU"),Override!$M$184)/AS51!$B$3,"")))</f>
        <v/>
      </c>
      <c r="Q149" s="140">
        <f>IF(Q$13="","",IF($B149="","",IFERROR($C149*$D149*IF((Override!$C$4="ON")*(COUNTIFS(Override!$B$11:$B$40,$B149,Override!$D$11:$D$40,12,Override!$E$11:$E$40,"&gt;=0")-COUNTIFS(Override!$B$11:$B$40,$B149,Override!$D$11:$D$40,12,Override!$E$11:$E$40,"&gt;=0",Override!$C$11:$C$40,"MXAU"))&gt;0,SUMIFS(Override!$E$11:$E$40,Override!$B$11:$B$40,$B149,Override!$D$11:$D$40,12)-SUMIFS(Override!$E$11:$E$40,Override!$B$11:$B$40,$B149,Override!$D$11:$D$40,12,Override!$C$11:$C$40,"MXAU"),Override!$N$184)/AS51!$B$3,"")))</f>
        <v/>
      </c>
      <c r="R149" s="140">
        <f>IF(R$13="","",IF($B149="","",IFERROR($C149*$D149*IF((Override!$C$4="ON")*(COUNTIFS(Override!$B$11:$B$40,$B149,Override!$D$11:$D$40,13,Override!$E$11:$E$40,"&gt;=0")-COUNTIFS(Override!$B$11:$B$40,$B149,Override!$D$11:$D$40,13,Override!$E$11:$E$40,"&gt;=0",Override!$C$11:$C$40,"MXAU"))&gt;0,SUMIFS(Override!$E$11:$E$40,Override!$B$11:$B$40,$B149,Override!$D$11:$D$40,13)-SUMIFS(Override!$E$11:$E$40,Override!$B$11:$B$40,$B149,Override!$D$11:$D$40,13,Override!$C$11:$C$40,"MXAU"),Override!$O$184)/AS51!$B$3,"")))</f>
        <v/>
      </c>
      <c r="S149" s="140">
        <f>IF(S$13="","",IF($B149="","",IFERROR($C149*$D149*IF((Override!$C$4="ON")*(COUNTIFS(Override!$B$11:$B$40,$B149,Override!$D$11:$D$40,14,Override!$E$11:$E$40,"&gt;=0")-COUNTIFS(Override!$B$11:$B$40,$B149,Override!$D$11:$D$40,14,Override!$E$11:$E$40,"&gt;=0",Override!$C$11:$C$40,"MXAU"))&gt;0,SUMIFS(Override!$E$11:$E$40,Override!$B$11:$B$40,$B149,Override!$D$11:$D$40,14)-SUMIFS(Override!$E$11:$E$40,Override!$B$11:$B$40,$B149,Override!$D$11:$D$40,14,Override!$C$11:$C$40,"MXAU"),Override!$P$184)/AS51!$B$3,"")))</f>
        <v/>
      </c>
      <c r="T149" s="140">
        <f>IF(T$13="","",IF($B149="","",IFERROR($C149*$D149*IF((Override!$C$4="ON")*(COUNTIFS(Override!$B$11:$B$40,$B149,Override!$D$11:$D$40,15,Override!$E$11:$E$40,"&gt;=0")-COUNTIFS(Override!$B$11:$B$40,$B149,Override!$D$11:$D$40,15,Override!$E$11:$E$40,"&gt;=0",Override!$C$11:$C$40,"MXAU"))&gt;0,SUMIFS(Override!$E$11:$E$40,Override!$B$11:$B$40,$B149,Override!$D$11:$D$40,15)-SUMIFS(Override!$E$11:$E$40,Override!$B$11:$B$40,$B149,Override!$D$11:$D$40,15,Override!$C$11:$C$40,"MXAU"),Override!$Q$184)/AS51!$B$3,"")))</f>
        <v/>
      </c>
      <c r="U149" s="140">
        <f>IF(U$13="","",IF($B149="","",IFERROR($C149*$D149*IF((Override!$C$4="ON")*(COUNTIFS(Override!$B$11:$B$40,$B149,Override!$D$11:$D$40,16,Override!$E$11:$E$40,"&gt;=0")-COUNTIFS(Override!$B$11:$B$40,$B149,Override!$D$11:$D$40,16,Override!$E$11:$E$40,"&gt;=0",Override!$C$11:$C$40,"MXAU"))&gt;0,SUMIFS(Override!$E$11:$E$40,Override!$B$11:$B$40,$B149,Override!$D$11:$D$40,16)-SUMIFS(Override!$E$11:$E$40,Override!$B$11:$B$40,$B149,Override!$D$11:$D$40,16,Override!$C$11:$C$40,"MXAU"),Override!$R$184)/AS51!$B$3,"")))</f>
        <v/>
      </c>
      <c r="W149" s="140">
        <f>IF(W$13="","",IF($B149="","",IFERROR(F149*$E149/100,"")))</f>
        <v/>
      </c>
      <c r="X149" s="140">
        <f>IF(X$13="","",IF($B149="","",IFERROR(G149*$E149/100,"")))</f>
        <v/>
      </c>
      <c r="Y149" s="140">
        <f>IF(Y$13="","",IF($B149="","",IFERROR(H149*$E149/100,"")))</f>
        <v/>
      </c>
      <c r="Z149" s="140">
        <f>IF(Z$13="","",IF($B149="","",IFERROR(I149*$E149/100,"")))</f>
        <v/>
      </c>
      <c r="AA149" s="140">
        <f>IF(AA$13="","",IF($B149="","",IFERROR(J149*$E149/100,"")))</f>
        <v/>
      </c>
      <c r="AB149" s="140">
        <f>IF(AB$13="","",IF($B149="","",IFERROR(K149*$E149/100,"")))</f>
        <v/>
      </c>
      <c r="AC149" s="140">
        <f>IF(AC$13="","",IF($B149="","",IFERROR(L149*$E149/100,"")))</f>
        <v/>
      </c>
      <c r="AD149" s="140">
        <f>IF(AD$13="","",IF($B149="","",IFERROR(M149*$E149/100,"")))</f>
        <v/>
      </c>
      <c r="AE149" s="140">
        <f>IF(AE$13="","",IF($B149="","",IFERROR(N149*$E149/100,"")))</f>
        <v/>
      </c>
      <c r="AF149" s="140">
        <f>IF(AF$13="","",IF($B149="","",IFERROR(O149*$E149/100,"")))</f>
        <v/>
      </c>
      <c r="AG149" s="140">
        <f>IF(AG$13="","",IF($B149="","",IFERROR(P149*$E149/100,"")))</f>
        <v/>
      </c>
      <c r="AH149" s="140">
        <f>IF(AH$13="","",IF($B149="","",IFERROR(Q149*$E149/100,"")))</f>
        <v/>
      </c>
      <c r="AI149" s="140">
        <f>IF(AI$13="","",IF($B149="","",IFERROR(R149*$E149/100,"")))</f>
        <v/>
      </c>
      <c r="AJ149" s="140">
        <f>IF(AJ$13="","",IF($B149="","",IFERROR(S149*$E149/100,"")))</f>
        <v/>
      </c>
      <c r="AK149" s="140">
        <f>IF(AK$13="","",IF($B149="","",IFERROR(T149*$E149/100,"")))</f>
        <v/>
      </c>
      <c r="AL149" s="140">
        <f>IF(AL$13="","",IF($B149="","",IFERROR(U149*$E149/100,"")))</f>
        <v/>
      </c>
      <c r="AN149" s="140">
        <f>IF($B149="","",SUMIF($F$13:$U$13,"&lt;="&amp;Sector!$D$51,$F149:$U149))</f>
        <v/>
      </c>
      <c r="AO149" s="140">
        <f>IF($B149="","",SUMIF($W$13:$AL$13,"&lt;="&amp;Sector!$D$51,$W149:$AL149))</f>
        <v/>
      </c>
    </row>
    <row r="150">
      <c r="B150" s="5">
        <f>IF(AS51!$C$140="","",AS51!$C$140)</f>
        <v/>
      </c>
      <c r="C150" s="90">
        <f>IF(AS51!$B$140="","",AS51!$B$140)</f>
        <v/>
      </c>
      <c r="D150" s="138">
        <f>IFERROR(AS51!$Q$140,1)</f>
        <v/>
      </c>
      <c r="E150" s="139">
        <f>IF($B150="","",IF(ISNUMBER(AS51!$I$140),AS51!$I$140,'Index Summary'!$C$7))</f>
        <v/>
      </c>
      <c r="F150" s="140">
        <f>IF(F$13="","",IF($B150="","",IFERROR($C150*$D150*IF((Override!$C$4="ON")*(COUNTIFS(Override!$B$11:$B$40,$B150,Override!$D$11:$D$40,1,Override!$E$11:$E$40,"&gt;=0")-COUNTIFS(Override!$B$11:$B$40,$B150,Override!$D$11:$D$40,1,Override!$E$11:$E$40,"&gt;=0",Override!$C$11:$C$40,"MXAU"))&gt;0,SUMIFS(Override!$E$11:$E$40,Override!$B$11:$B$40,$B150,Override!$D$11:$D$40,1)-SUMIFS(Override!$E$11:$E$40,Override!$B$11:$B$40,$B150,Override!$D$11:$D$40,1,Override!$C$11:$C$40,"MXAU"),Override!$C$185)/AS51!$B$3,"")))</f>
        <v/>
      </c>
      <c r="G150" s="140">
        <f>IF(G$13="","",IF($B150="","",IFERROR($C150*$D150*IF((Override!$C$4="ON")*(COUNTIFS(Override!$B$11:$B$40,$B150,Override!$D$11:$D$40,2,Override!$E$11:$E$40,"&gt;=0")-COUNTIFS(Override!$B$11:$B$40,$B150,Override!$D$11:$D$40,2,Override!$E$11:$E$40,"&gt;=0",Override!$C$11:$C$40,"MXAU"))&gt;0,SUMIFS(Override!$E$11:$E$40,Override!$B$11:$B$40,$B150,Override!$D$11:$D$40,2)-SUMIFS(Override!$E$11:$E$40,Override!$B$11:$B$40,$B150,Override!$D$11:$D$40,2,Override!$C$11:$C$40,"MXAU"),Override!$D$185)/AS51!$B$3,"")))</f>
        <v/>
      </c>
      <c r="H150" s="140">
        <f>IF(H$13="","",IF($B150="","",IFERROR($C150*$D150*IF((Override!$C$4="ON")*(COUNTIFS(Override!$B$11:$B$40,$B150,Override!$D$11:$D$40,3,Override!$E$11:$E$40,"&gt;=0")-COUNTIFS(Override!$B$11:$B$40,$B150,Override!$D$11:$D$40,3,Override!$E$11:$E$40,"&gt;=0",Override!$C$11:$C$40,"MXAU"))&gt;0,SUMIFS(Override!$E$11:$E$40,Override!$B$11:$B$40,$B150,Override!$D$11:$D$40,3)-SUMIFS(Override!$E$11:$E$40,Override!$B$11:$B$40,$B150,Override!$D$11:$D$40,3,Override!$C$11:$C$40,"MXAU"),Override!$E$185)/AS51!$B$3,"")))</f>
        <v/>
      </c>
      <c r="I150" s="140">
        <f>IF(I$13="","",IF($B150="","",IFERROR($C150*$D150*IF((Override!$C$4="ON")*(COUNTIFS(Override!$B$11:$B$40,$B150,Override!$D$11:$D$40,4,Override!$E$11:$E$40,"&gt;=0")-COUNTIFS(Override!$B$11:$B$40,$B150,Override!$D$11:$D$40,4,Override!$E$11:$E$40,"&gt;=0",Override!$C$11:$C$40,"MXAU"))&gt;0,SUMIFS(Override!$E$11:$E$40,Override!$B$11:$B$40,$B150,Override!$D$11:$D$40,4)-SUMIFS(Override!$E$11:$E$40,Override!$B$11:$B$40,$B150,Override!$D$11:$D$40,4,Override!$C$11:$C$40,"MXAU"),Override!$F$185)/AS51!$B$3,"")))</f>
        <v/>
      </c>
      <c r="J150" s="140">
        <f>IF(J$13="","",IF($B150="","",IFERROR($C150*$D150*IF((Override!$C$4="ON")*(COUNTIFS(Override!$B$11:$B$40,$B150,Override!$D$11:$D$40,5,Override!$E$11:$E$40,"&gt;=0")-COUNTIFS(Override!$B$11:$B$40,$B150,Override!$D$11:$D$40,5,Override!$E$11:$E$40,"&gt;=0",Override!$C$11:$C$40,"MXAU"))&gt;0,SUMIFS(Override!$E$11:$E$40,Override!$B$11:$B$40,$B150,Override!$D$11:$D$40,5)-SUMIFS(Override!$E$11:$E$40,Override!$B$11:$B$40,$B150,Override!$D$11:$D$40,5,Override!$C$11:$C$40,"MXAU"),Override!$G$185)/AS51!$B$3,"")))</f>
        <v/>
      </c>
      <c r="K150" s="140">
        <f>IF(K$13="","",IF($B150="","",IFERROR($C150*$D150*IF((Override!$C$4="ON")*(COUNTIFS(Override!$B$11:$B$40,$B150,Override!$D$11:$D$40,6,Override!$E$11:$E$40,"&gt;=0")-COUNTIFS(Override!$B$11:$B$40,$B150,Override!$D$11:$D$40,6,Override!$E$11:$E$40,"&gt;=0",Override!$C$11:$C$40,"MXAU"))&gt;0,SUMIFS(Override!$E$11:$E$40,Override!$B$11:$B$40,$B150,Override!$D$11:$D$40,6)-SUMIFS(Override!$E$11:$E$40,Override!$B$11:$B$40,$B150,Override!$D$11:$D$40,6,Override!$C$11:$C$40,"MXAU"),Override!$H$185)/AS51!$B$3,"")))</f>
        <v/>
      </c>
      <c r="L150" s="140">
        <f>IF(L$13="","",IF($B150="","",IFERROR($C150*$D150*IF((Override!$C$4="ON")*(COUNTIFS(Override!$B$11:$B$40,$B150,Override!$D$11:$D$40,7,Override!$E$11:$E$40,"&gt;=0")-COUNTIFS(Override!$B$11:$B$40,$B150,Override!$D$11:$D$40,7,Override!$E$11:$E$40,"&gt;=0",Override!$C$11:$C$40,"MXAU"))&gt;0,SUMIFS(Override!$E$11:$E$40,Override!$B$11:$B$40,$B150,Override!$D$11:$D$40,7)-SUMIFS(Override!$E$11:$E$40,Override!$B$11:$B$40,$B150,Override!$D$11:$D$40,7,Override!$C$11:$C$40,"MXAU"),Override!$I$185)/AS51!$B$3,"")))</f>
        <v/>
      </c>
      <c r="M150" s="140">
        <f>IF(M$13="","",IF($B150="","",IFERROR($C150*$D150*IF((Override!$C$4="ON")*(COUNTIFS(Override!$B$11:$B$40,$B150,Override!$D$11:$D$40,8,Override!$E$11:$E$40,"&gt;=0")-COUNTIFS(Override!$B$11:$B$40,$B150,Override!$D$11:$D$40,8,Override!$E$11:$E$40,"&gt;=0",Override!$C$11:$C$40,"MXAU"))&gt;0,SUMIFS(Override!$E$11:$E$40,Override!$B$11:$B$40,$B150,Override!$D$11:$D$40,8)-SUMIFS(Override!$E$11:$E$40,Override!$B$11:$B$40,$B150,Override!$D$11:$D$40,8,Override!$C$11:$C$40,"MXAU"),Override!$J$185)/AS51!$B$3,"")))</f>
        <v/>
      </c>
      <c r="N150" s="140">
        <f>IF(N$13="","",IF($B150="","",IFERROR($C150*$D150*IF((Override!$C$4="ON")*(COUNTIFS(Override!$B$11:$B$40,$B150,Override!$D$11:$D$40,9,Override!$E$11:$E$40,"&gt;=0")-COUNTIFS(Override!$B$11:$B$40,$B150,Override!$D$11:$D$40,9,Override!$E$11:$E$40,"&gt;=0",Override!$C$11:$C$40,"MXAU"))&gt;0,SUMIFS(Override!$E$11:$E$40,Override!$B$11:$B$40,$B150,Override!$D$11:$D$40,9)-SUMIFS(Override!$E$11:$E$40,Override!$B$11:$B$40,$B150,Override!$D$11:$D$40,9,Override!$C$11:$C$40,"MXAU"),Override!$K$185)/AS51!$B$3,"")))</f>
        <v/>
      </c>
      <c r="O150" s="140">
        <f>IF(O$13="","",IF($B150="","",IFERROR($C150*$D150*IF((Override!$C$4="ON")*(COUNTIFS(Override!$B$11:$B$40,$B150,Override!$D$11:$D$40,10,Override!$E$11:$E$40,"&gt;=0")-COUNTIFS(Override!$B$11:$B$40,$B150,Override!$D$11:$D$40,10,Override!$E$11:$E$40,"&gt;=0",Override!$C$11:$C$40,"MXAU"))&gt;0,SUMIFS(Override!$E$11:$E$40,Override!$B$11:$B$40,$B150,Override!$D$11:$D$40,10)-SUMIFS(Override!$E$11:$E$40,Override!$B$11:$B$40,$B150,Override!$D$11:$D$40,10,Override!$C$11:$C$40,"MXAU"),Override!$L$185)/AS51!$B$3,"")))</f>
        <v/>
      </c>
      <c r="P150" s="140">
        <f>IF(P$13="","",IF($B150="","",IFERROR($C150*$D150*IF((Override!$C$4="ON")*(COUNTIFS(Override!$B$11:$B$40,$B150,Override!$D$11:$D$40,11,Override!$E$11:$E$40,"&gt;=0")-COUNTIFS(Override!$B$11:$B$40,$B150,Override!$D$11:$D$40,11,Override!$E$11:$E$40,"&gt;=0",Override!$C$11:$C$40,"MXAU"))&gt;0,SUMIFS(Override!$E$11:$E$40,Override!$B$11:$B$40,$B150,Override!$D$11:$D$40,11)-SUMIFS(Override!$E$11:$E$40,Override!$B$11:$B$40,$B150,Override!$D$11:$D$40,11,Override!$C$11:$C$40,"MXAU"),Override!$M$185)/AS51!$B$3,"")))</f>
        <v/>
      </c>
      <c r="Q150" s="140">
        <f>IF(Q$13="","",IF($B150="","",IFERROR($C150*$D150*IF((Override!$C$4="ON")*(COUNTIFS(Override!$B$11:$B$40,$B150,Override!$D$11:$D$40,12,Override!$E$11:$E$40,"&gt;=0")-COUNTIFS(Override!$B$11:$B$40,$B150,Override!$D$11:$D$40,12,Override!$E$11:$E$40,"&gt;=0",Override!$C$11:$C$40,"MXAU"))&gt;0,SUMIFS(Override!$E$11:$E$40,Override!$B$11:$B$40,$B150,Override!$D$11:$D$40,12)-SUMIFS(Override!$E$11:$E$40,Override!$B$11:$B$40,$B150,Override!$D$11:$D$40,12,Override!$C$11:$C$40,"MXAU"),Override!$N$185)/AS51!$B$3,"")))</f>
        <v/>
      </c>
      <c r="R150" s="140">
        <f>IF(R$13="","",IF($B150="","",IFERROR($C150*$D150*IF((Override!$C$4="ON")*(COUNTIFS(Override!$B$11:$B$40,$B150,Override!$D$11:$D$40,13,Override!$E$11:$E$40,"&gt;=0")-COUNTIFS(Override!$B$11:$B$40,$B150,Override!$D$11:$D$40,13,Override!$E$11:$E$40,"&gt;=0",Override!$C$11:$C$40,"MXAU"))&gt;0,SUMIFS(Override!$E$11:$E$40,Override!$B$11:$B$40,$B150,Override!$D$11:$D$40,13)-SUMIFS(Override!$E$11:$E$40,Override!$B$11:$B$40,$B150,Override!$D$11:$D$40,13,Override!$C$11:$C$40,"MXAU"),Override!$O$185)/AS51!$B$3,"")))</f>
        <v/>
      </c>
      <c r="S150" s="140">
        <f>IF(S$13="","",IF($B150="","",IFERROR($C150*$D150*IF((Override!$C$4="ON")*(COUNTIFS(Override!$B$11:$B$40,$B150,Override!$D$11:$D$40,14,Override!$E$11:$E$40,"&gt;=0")-COUNTIFS(Override!$B$11:$B$40,$B150,Override!$D$11:$D$40,14,Override!$E$11:$E$40,"&gt;=0",Override!$C$11:$C$40,"MXAU"))&gt;0,SUMIFS(Override!$E$11:$E$40,Override!$B$11:$B$40,$B150,Override!$D$11:$D$40,14)-SUMIFS(Override!$E$11:$E$40,Override!$B$11:$B$40,$B150,Override!$D$11:$D$40,14,Override!$C$11:$C$40,"MXAU"),Override!$P$185)/AS51!$B$3,"")))</f>
        <v/>
      </c>
      <c r="T150" s="140">
        <f>IF(T$13="","",IF($B150="","",IFERROR($C150*$D150*IF((Override!$C$4="ON")*(COUNTIFS(Override!$B$11:$B$40,$B150,Override!$D$11:$D$40,15,Override!$E$11:$E$40,"&gt;=0")-COUNTIFS(Override!$B$11:$B$40,$B150,Override!$D$11:$D$40,15,Override!$E$11:$E$40,"&gt;=0",Override!$C$11:$C$40,"MXAU"))&gt;0,SUMIFS(Override!$E$11:$E$40,Override!$B$11:$B$40,$B150,Override!$D$11:$D$40,15)-SUMIFS(Override!$E$11:$E$40,Override!$B$11:$B$40,$B150,Override!$D$11:$D$40,15,Override!$C$11:$C$40,"MXAU"),Override!$Q$185)/AS51!$B$3,"")))</f>
        <v/>
      </c>
      <c r="U150" s="140">
        <f>IF(U$13="","",IF($B150="","",IFERROR($C150*$D150*IF((Override!$C$4="ON")*(COUNTIFS(Override!$B$11:$B$40,$B150,Override!$D$11:$D$40,16,Override!$E$11:$E$40,"&gt;=0")-COUNTIFS(Override!$B$11:$B$40,$B150,Override!$D$11:$D$40,16,Override!$E$11:$E$40,"&gt;=0",Override!$C$11:$C$40,"MXAU"))&gt;0,SUMIFS(Override!$E$11:$E$40,Override!$B$11:$B$40,$B150,Override!$D$11:$D$40,16)-SUMIFS(Override!$E$11:$E$40,Override!$B$11:$B$40,$B150,Override!$D$11:$D$40,16,Override!$C$11:$C$40,"MXAU"),Override!$R$185)/AS51!$B$3,"")))</f>
        <v/>
      </c>
      <c r="W150" s="140">
        <f>IF(W$13="","",IF($B150="","",IFERROR(F150*$E150/100,"")))</f>
        <v/>
      </c>
      <c r="X150" s="140">
        <f>IF(X$13="","",IF($B150="","",IFERROR(G150*$E150/100,"")))</f>
        <v/>
      </c>
      <c r="Y150" s="140">
        <f>IF(Y$13="","",IF($B150="","",IFERROR(H150*$E150/100,"")))</f>
        <v/>
      </c>
      <c r="Z150" s="140">
        <f>IF(Z$13="","",IF($B150="","",IFERROR(I150*$E150/100,"")))</f>
        <v/>
      </c>
      <c r="AA150" s="140">
        <f>IF(AA$13="","",IF($B150="","",IFERROR(J150*$E150/100,"")))</f>
        <v/>
      </c>
      <c r="AB150" s="140">
        <f>IF(AB$13="","",IF($B150="","",IFERROR(K150*$E150/100,"")))</f>
        <v/>
      </c>
      <c r="AC150" s="140">
        <f>IF(AC$13="","",IF($B150="","",IFERROR(L150*$E150/100,"")))</f>
        <v/>
      </c>
      <c r="AD150" s="140">
        <f>IF(AD$13="","",IF($B150="","",IFERROR(M150*$E150/100,"")))</f>
        <v/>
      </c>
      <c r="AE150" s="140">
        <f>IF(AE$13="","",IF($B150="","",IFERROR(N150*$E150/100,"")))</f>
        <v/>
      </c>
      <c r="AF150" s="140">
        <f>IF(AF$13="","",IF($B150="","",IFERROR(O150*$E150/100,"")))</f>
        <v/>
      </c>
      <c r="AG150" s="140">
        <f>IF(AG$13="","",IF($B150="","",IFERROR(P150*$E150/100,"")))</f>
        <v/>
      </c>
      <c r="AH150" s="140">
        <f>IF(AH$13="","",IF($B150="","",IFERROR(Q150*$E150/100,"")))</f>
        <v/>
      </c>
      <c r="AI150" s="140">
        <f>IF(AI$13="","",IF($B150="","",IFERROR(R150*$E150/100,"")))</f>
        <v/>
      </c>
      <c r="AJ150" s="140">
        <f>IF(AJ$13="","",IF($B150="","",IFERROR(S150*$E150/100,"")))</f>
        <v/>
      </c>
      <c r="AK150" s="140">
        <f>IF(AK$13="","",IF($B150="","",IFERROR(T150*$E150/100,"")))</f>
        <v/>
      </c>
      <c r="AL150" s="140">
        <f>IF(AL$13="","",IF($B150="","",IFERROR(U150*$E150/100,"")))</f>
        <v/>
      </c>
      <c r="AN150" s="140">
        <f>IF($B150="","",SUMIF($F$13:$U$13,"&lt;="&amp;Sector!$D$51,$F150:$U150))</f>
        <v/>
      </c>
      <c r="AO150" s="140">
        <f>IF($B150="","",SUMIF($W$13:$AL$13,"&lt;="&amp;Sector!$D$51,$W150:$AL150))</f>
        <v/>
      </c>
    </row>
    <row r="151">
      <c r="B151" s="5">
        <f>IF(AS51!$C$141="","",AS51!$C$141)</f>
        <v/>
      </c>
      <c r="C151" s="90">
        <f>IF(AS51!$B$141="","",AS51!$B$141)</f>
        <v/>
      </c>
      <c r="D151" s="138">
        <f>IFERROR(AS51!$Q$141,1)</f>
        <v/>
      </c>
      <c r="E151" s="139">
        <f>IF($B151="","",IF(ISNUMBER(AS51!$I$141),AS51!$I$141,'Index Summary'!$C$7))</f>
        <v/>
      </c>
      <c r="F151" s="140">
        <f>IF(F$13="","",IF($B151="","",IFERROR($C151*$D151*IF((Override!$C$4="ON")*(COUNTIFS(Override!$B$11:$B$40,$B151,Override!$D$11:$D$40,1,Override!$E$11:$E$40,"&gt;=0")-COUNTIFS(Override!$B$11:$B$40,$B151,Override!$D$11:$D$40,1,Override!$E$11:$E$40,"&gt;=0",Override!$C$11:$C$40,"MXAU"))&gt;0,SUMIFS(Override!$E$11:$E$40,Override!$B$11:$B$40,$B151,Override!$D$11:$D$40,1)-SUMIFS(Override!$E$11:$E$40,Override!$B$11:$B$40,$B151,Override!$D$11:$D$40,1,Override!$C$11:$C$40,"MXAU"),Override!$C$186)/AS51!$B$3,"")))</f>
        <v/>
      </c>
      <c r="G151" s="140">
        <f>IF(G$13="","",IF($B151="","",IFERROR($C151*$D151*IF((Override!$C$4="ON")*(COUNTIFS(Override!$B$11:$B$40,$B151,Override!$D$11:$D$40,2,Override!$E$11:$E$40,"&gt;=0")-COUNTIFS(Override!$B$11:$B$40,$B151,Override!$D$11:$D$40,2,Override!$E$11:$E$40,"&gt;=0",Override!$C$11:$C$40,"MXAU"))&gt;0,SUMIFS(Override!$E$11:$E$40,Override!$B$11:$B$40,$B151,Override!$D$11:$D$40,2)-SUMIFS(Override!$E$11:$E$40,Override!$B$11:$B$40,$B151,Override!$D$11:$D$40,2,Override!$C$11:$C$40,"MXAU"),Override!$D$186)/AS51!$B$3,"")))</f>
        <v/>
      </c>
      <c r="H151" s="140">
        <f>IF(H$13="","",IF($B151="","",IFERROR($C151*$D151*IF((Override!$C$4="ON")*(COUNTIFS(Override!$B$11:$B$40,$B151,Override!$D$11:$D$40,3,Override!$E$11:$E$40,"&gt;=0")-COUNTIFS(Override!$B$11:$B$40,$B151,Override!$D$11:$D$40,3,Override!$E$11:$E$40,"&gt;=0",Override!$C$11:$C$40,"MXAU"))&gt;0,SUMIFS(Override!$E$11:$E$40,Override!$B$11:$B$40,$B151,Override!$D$11:$D$40,3)-SUMIFS(Override!$E$11:$E$40,Override!$B$11:$B$40,$B151,Override!$D$11:$D$40,3,Override!$C$11:$C$40,"MXAU"),Override!$E$186)/AS51!$B$3,"")))</f>
        <v/>
      </c>
      <c r="I151" s="140">
        <f>IF(I$13="","",IF($B151="","",IFERROR($C151*$D151*IF((Override!$C$4="ON")*(COUNTIFS(Override!$B$11:$B$40,$B151,Override!$D$11:$D$40,4,Override!$E$11:$E$40,"&gt;=0")-COUNTIFS(Override!$B$11:$B$40,$B151,Override!$D$11:$D$40,4,Override!$E$11:$E$40,"&gt;=0",Override!$C$11:$C$40,"MXAU"))&gt;0,SUMIFS(Override!$E$11:$E$40,Override!$B$11:$B$40,$B151,Override!$D$11:$D$40,4)-SUMIFS(Override!$E$11:$E$40,Override!$B$11:$B$40,$B151,Override!$D$11:$D$40,4,Override!$C$11:$C$40,"MXAU"),Override!$F$186)/AS51!$B$3,"")))</f>
        <v/>
      </c>
      <c r="J151" s="140">
        <f>IF(J$13="","",IF($B151="","",IFERROR($C151*$D151*IF((Override!$C$4="ON")*(COUNTIFS(Override!$B$11:$B$40,$B151,Override!$D$11:$D$40,5,Override!$E$11:$E$40,"&gt;=0")-COUNTIFS(Override!$B$11:$B$40,$B151,Override!$D$11:$D$40,5,Override!$E$11:$E$40,"&gt;=0",Override!$C$11:$C$40,"MXAU"))&gt;0,SUMIFS(Override!$E$11:$E$40,Override!$B$11:$B$40,$B151,Override!$D$11:$D$40,5)-SUMIFS(Override!$E$11:$E$40,Override!$B$11:$B$40,$B151,Override!$D$11:$D$40,5,Override!$C$11:$C$40,"MXAU"),Override!$G$186)/AS51!$B$3,"")))</f>
        <v/>
      </c>
      <c r="K151" s="140">
        <f>IF(K$13="","",IF($B151="","",IFERROR($C151*$D151*IF((Override!$C$4="ON")*(COUNTIFS(Override!$B$11:$B$40,$B151,Override!$D$11:$D$40,6,Override!$E$11:$E$40,"&gt;=0")-COUNTIFS(Override!$B$11:$B$40,$B151,Override!$D$11:$D$40,6,Override!$E$11:$E$40,"&gt;=0",Override!$C$11:$C$40,"MXAU"))&gt;0,SUMIFS(Override!$E$11:$E$40,Override!$B$11:$B$40,$B151,Override!$D$11:$D$40,6)-SUMIFS(Override!$E$11:$E$40,Override!$B$11:$B$40,$B151,Override!$D$11:$D$40,6,Override!$C$11:$C$40,"MXAU"),Override!$H$186)/AS51!$B$3,"")))</f>
        <v/>
      </c>
      <c r="L151" s="140">
        <f>IF(L$13="","",IF($B151="","",IFERROR($C151*$D151*IF((Override!$C$4="ON")*(COUNTIFS(Override!$B$11:$B$40,$B151,Override!$D$11:$D$40,7,Override!$E$11:$E$40,"&gt;=0")-COUNTIFS(Override!$B$11:$B$40,$B151,Override!$D$11:$D$40,7,Override!$E$11:$E$40,"&gt;=0",Override!$C$11:$C$40,"MXAU"))&gt;0,SUMIFS(Override!$E$11:$E$40,Override!$B$11:$B$40,$B151,Override!$D$11:$D$40,7)-SUMIFS(Override!$E$11:$E$40,Override!$B$11:$B$40,$B151,Override!$D$11:$D$40,7,Override!$C$11:$C$40,"MXAU"),Override!$I$186)/AS51!$B$3,"")))</f>
        <v/>
      </c>
      <c r="M151" s="140">
        <f>IF(M$13="","",IF($B151="","",IFERROR($C151*$D151*IF((Override!$C$4="ON")*(COUNTIFS(Override!$B$11:$B$40,$B151,Override!$D$11:$D$40,8,Override!$E$11:$E$40,"&gt;=0")-COUNTIFS(Override!$B$11:$B$40,$B151,Override!$D$11:$D$40,8,Override!$E$11:$E$40,"&gt;=0",Override!$C$11:$C$40,"MXAU"))&gt;0,SUMIFS(Override!$E$11:$E$40,Override!$B$11:$B$40,$B151,Override!$D$11:$D$40,8)-SUMIFS(Override!$E$11:$E$40,Override!$B$11:$B$40,$B151,Override!$D$11:$D$40,8,Override!$C$11:$C$40,"MXAU"),Override!$J$186)/AS51!$B$3,"")))</f>
        <v/>
      </c>
      <c r="N151" s="140">
        <f>IF(N$13="","",IF($B151="","",IFERROR($C151*$D151*IF((Override!$C$4="ON")*(COUNTIFS(Override!$B$11:$B$40,$B151,Override!$D$11:$D$40,9,Override!$E$11:$E$40,"&gt;=0")-COUNTIFS(Override!$B$11:$B$40,$B151,Override!$D$11:$D$40,9,Override!$E$11:$E$40,"&gt;=0",Override!$C$11:$C$40,"MXAU"))&gt;0,SUMIFS(Override!$E$11:$E$40,Override!$B$11:$B$40,$B151,Override!$D$11:$D$40,9)-SUMIFS(Override!$E$11:$E$40,Override!$B$11:$B$40,$B151,Override!$D$11:$D$40,9,Override!$C$11:$C$40,"MXAU"),Override!$K$186)/AS51!$B$3,"")))</f>
        <v/>
      </c>
      <c r="O151" s="140">
        <f>IF(O$13="","",IF($B151="","",IFERROR($C151*$D151*IF((Override!$C$4="ON")*(COUNTIFS(Override!$B$11:$B$40,$B151,Override!$D$11:$D$40,10,Override!$E$11:$E$40,"&gt;=0")-COUNTIFS(Override!$B$11:$B$40,$B151,Override!$D$11:$D$40,10,Override!$E$11:$E$40,"&gt;=0",Override!$C$11:$C$40,"MXAU"))&gt;0,SUMIFS(Override!$E$11:$E$40,Override!$B$11:$B$40,$B151,Override!$D$11:$D$40,10)-SUMIFS(Override!$E$11:$E$40,Override!$B$11:$B$40,$B151,Override!$D$11:$D$40,10,Override!$C$11:$C$40,"MXAU"),Override!$L$186)/AS51!$B$3,"")))</f>
        <v/>
      </c>
      <c r="P151" s="140">
        <f>IF(P$13="","",IF($B151="","",IFERROR($C151*$D151*IF((Override!$C$4="ON")*(COUNTIFS(Override!$B$11:$B$40,$B151,Override!$D$11:$D$40,11,Override!$E$11:$E$40,"&gt;=0")-COUNTIFS(Override!$B$11:$B$40,$B151,Override!$D$11:$D$40,11,Override!$E$11:$E$40,"&gt;=0",Override!$C$11:$C$40,"MXAU"))&gt;0,SUMIFS(Override!$E$11:$E$40,Override!$B$11:$B$40,$B151,Override!$D$11:$D$40,11)-SUMIFS(Override!$E$11:$E$40,Override!$B$11:$B$40,$B151,Override!$D$11:$D$40,11,Override!$C$11:$C$40,"MXAU"),Override!$M$186)/AS51!$B$3,"")))</f>
        <v/>
      </c>
      <c r="Q151" s="140">
        <f>IF(Q$13="","",IF($B151="","",IFERROR($C151*$D151*IF((Override!$C$4="ON")*(COUNTIFS(Override!$B$11:$B$40,$B151,Override!$D$11:$D$40,12,Override!$E$11:$E$40,"&gt;=0")-COUNTIFS(Override!$B$11:$B$40,$B151,Override!$D$11:$D$40,12,Override!$E$11:$E$40,"&gt;=0",Override!$C$11:$C$40,"MXAU"))&gt;0,SUMIFS(Override!$E$11:$E$40,Override!$B$11:$B$40,$B151,Override!$D$11:$D$40,12)-SUMIFS(Override!$E$11:$E$40,Override!$B$11:$B$40,$B151,Override!$D$11:$D$40,12,Override!$C$11:$C$40,"MXAU"),Override!$N$186)/AS51!$B$3,"")))</f>
        <v/>
      </c>
      <c r="R151" s="140">
        <f>IF(R$13="","",IF($B151="","",IFERROR($C151*$D151*IF((Override!$C$4="ON")*(COUNTIFS(Override!$B$11:$B$40,$B151,Override!$D$11:$D$40,13,Override!$E$11:$E$40,"&gt;=0")-COUNTIFS(Override!$B$11:$B$40,$B151,Override!$D$11:$D$40,13,Override!$E$11:$E$40,"&gt;=0",Override!$C$11:$C$40,"MXAU"))&gt;0,SUMIFS(Override!$E$11:$E$40,Override!$B$11:$B$40,$B151,Override!$D$11:$D$40,13)-SUMIFS(Override!$E$11:$E$40,Override!$B$11:$B$40,$B151,Override!$D$11:$D$40,13,Override!$C$11:$C$40,"MXAU"),Override!$O$186)/AS51!$B$3,"")))</f>
        <v/>
      </c>
      <c r="S151" s="140">
        <f>IF(S$13="","",IF($B151="","",IFERROR($C151*$D151*IF((Override!$C$4="ON")*(COUNTIFS(Override!$B$11:$B$40,$B151,Override!$D$11:$D$40,14,Override!$E$11:$E$40,"&gt;=0")-COUNTIFS(Override!$B$11:$B$40,$B151,Override!$D$11:$D$40,14,Override!$E$11:$E$40,"&gt;=0",Override!$C$11:$C$40,"MXAU"))&gt;0,SUMIFS(Override!$E$11:$E$40,Override!$B$11:$B$40,$B151,Override!$D$11:$D$40,14)-SUMIFS(Override!$E$11:$E$40,Override!$B$11:$B$40,$B151,Override!$D$11:$D$40,14,Override!$C$11:$C$40,"MXAU"),Override!$P$186)/AS51!$B$3,"")))</f>
        <v/>
      </c>
      <c r="T151" s="140">
        <f>IF(T$13="","",IF($B151="","",IFERROR($C151*$D151*IF((Override!$C$4="ON")*(COUNTIFS(Override!$B$11:$B$40,$B151,Override!$D$11:$D$40,15,Override!$E$11:$E$40,"&gt;=0")-COUNTIFS(Override!$B$11:$B$40,$B151,Override!$D$11:$D$40,15,Override!$E$11:$E$40,"&gt;=0",Override!$C$11:$C$40,"MXAU"))&gt;0,SUMIFS(Override!$E$11:$E$40,Override!$B$11:$B$40,$B151,Override!$D$11:$D$40,15)-SUMIFS(Override!$E$11:$E$40,Override!$B$11:$B$40,$B151,Override!$D$11:$D$40,15,Override!$C$11:$C$40,"MXAU"),Override!$Q$186)/AS51!$B$3,"")))</f>
        <v/>
      </c>
      <c r="U151" s="140">
        <f>IF(U$13="","",IF($B151="","",IFERROR($C151*$D151*IF((Override!$C$4="ON")*(COUNTIFS(Override!$B$11:$B$40,$B151,Override!$D$11:$D$40,16,Override!$E$11:$E$40,"&gt;=0")-COUNTIFS(Override!$B$11:$B$40,$B151,Override!$D$11:$D$40,16,Override!$E$11:$E$40,"&gt;=0",Override!$C$11:$C$40,"MXAU"))&gt;0,SUMIFS(Override!$E$11:$E$40,Override!$B$11:$B$40,$B151,Override!$D$11:$D$40,16)-SUMIFS(Override!$E$11:$E$40,Override!$B$11:$B$40,$B151,Override!$D$11:$D$40,16,Override!$C$11:$C$40,"MXAU"),Override!$R$186)/AS51!$B$3,"")))</f>
        <v/>
      </c>
      <c r="W151" s="140">
        <f>IF(W$13="","",IF($B151="","",IFERROR(F151*$E151/100,"")))</f>
        <v/>
      </c>
      <c r="X151" s="140">
        <f>IF(X$13="","",IF($B151="","",IFERROR(G151*$E151/100,"")))</f>
        <v/>
      </c>
      <c r="Y151" s="140">
        <f>IF(Y$13="","",IF($B151="","",IFERROR(H151*$E151/100,"")))</f>
        <v/>
      </c>
      <c r="Z151" s="140">
        <f>IF(Z$13="","",IF($B151="","",IFERROR(I151*$E151/100,"")))</f>
        <v/>
      </c>
      <c r="AA151" s="140">
        <f>IF(AA$13="","",IF($B151="","",IFERROR(J151*$E151/100,"")))</f>
        <v/>
      </c>
      <c r="AB151" s="140">
        <f>IF(AB$13="","",IF($B151="","",IFERROR(K151*$E151/100,"")))</f>
        <v/>
      </c>
      <c r="AC151" s="140">
        <f>IF(AC$13="","",IF($B151="","",IFERROR(L151*$E151/100,"")))</f>
        <v/>
      </c>
      <c r="AD151" s="140">
        <f>IF(AD$13="","",IF($B151="","",IFERROR(M151*$E151/100,"")))</f>
        <v/>
      </c>
      <c r="AE151" s="140">
        <f>IF(AE$13="","",IF($B151="","",IFERROR(N151*$E151/100,"")))</f>
        <v/>
      </c>
      <c r="AF151" s="140">
        <f>IF(AF$13="","",IF($B151="","",IFERROR(O151*$E151/100,"")))</f>
        <v/>
      </c>
      <c r="AG151" s="140">
        <f>IF(AG$13="","",IF($B151="","",IFERROR(P151*$E151/100,"")))</f>
        <v/>
      </c>
      <c r="AH151" s="140">
        <f>IF(AH$13="","",IF($B151="","",IFERROR(Q151*$E151/100,"")))</f>
        <v/>
      </c>
      <c r="AI151" s="140">
        <f>IF(AI$13="","",IF($B151="","",IFERROR(R151*$E151/100,"")))</f>
        <v/>
      </c>
      <c r="AJ151" s="140">
        <f>IF(AJ$13="","",IF($B151="","",IFERROR(S151*$E151/100,"")))</f>
        <v/>
      </c>
      <c r="AK151" s="140">
        <f>IF(AK$13="","",IF($B151="","",IFERROR(T151*$E151/100,"")))</f>
        <v/>
      </c>
      <c r="AL151" s="140">
        <f>IF(AL$13="","",IF($B151="","",IFERROR(U151*$E151/100,"")))</f>
        <v/>
      </c>
      <c r="AN151" s="140">
        <f>IF($B151="","",SUMIF($F$13:$U$13,"&lt;="&amp;Sector!$D$51,$F151:$U151))</f>
        <v/>
      </c>
      <c r="AO151" s="140">
        <f>IF($B151="","",SUMIF($W$13:$AL$13,"&lt;="&amp;Sector!$D$51,$W151:$AL151))</f>
        <v/>
      </c>
    </row>
    <row r="152">
      <c r="B152" s="5">
        <f>IF(AS51!$C$142="","",AS51!$C$142)</f>
        <v/>
      </c>
      <c r="C152" s="90">
        <f>IF(AS51!$B$142="","",AS51!$B$142)</f>
        <v/>
      </c>
      <c r="D152" s="138">
        <f>IFERROR(AS51!$Q$142,1)</f>
        <v/>
      </c>
      <c r="E152" s="139">
        <f>IF($B152="","",IF(ISNUMBER(AS51!$I$142),AS51!$I$142,'Index Summary'!$C$7))</f>
        <v/>
      </c>
      <c r="F152" s="140">
        <f>IF(F$13="","",IF($B152="","",IFERROR($C152*$D152*IF((Override!$C$4="ON")*(COUNTIFS(Override!$B$11:$B$40,$B152,Override!$D$11:$D$40,1,Override!$E$11:$E$40,"&gt;=0")-COUNTIFS(Override!$B$11:$B$40,$B152,Override!$D$11:$D$40,1,Override!$E$11:$E$40,"&gt;=0",Override!$C$11:$C$40,"MXAU"))&gt;0,SUMIFS(Override!$E$11:$E$40,Override!$B$11:$B$40,$B152,Override!$D$11:$D$40,1)-SUMIFS(Override!$E$11:$E$40,Override!$B$11:$B$40,$B152,Override!$D$11:$D$40,1,Override!$C$11:$C$40,"MXAU"),Override!$C$187)/AS51!$B$3,"")))</f>
        <v/>
      </c>
      <c r="G152" s="140">
        <f>IF(G$13="","",IF($B152="","",IFERROR($C152*$D152*IF((Override!$C$4="ON")*(COUNTIFS(Override!$B$11:$B$40,$B152,Override!$D$11:$D$40,2,Override!$E$11:$E$40,"&gt;=0")-COUNTIFS(Override!$B$11:$B$40,$B152,Override!$D$11:$D$40,2,Override!$E$11:$E$40,"&gt;=0",Override!$C$11:$C$40,"MXAU"))&gt;0,SUMIFS(Override!$E$11:$E$40,Override!$B$11:$B$40,$B152,Override!$D$11:$D$40,2)-SUMIFS(Override!$E$11:$E$40,Override!$B$11:$B$40,$B152,Override!$D$11:$D$40,2,Override!$C$11:$C$40,"MXAU"),Override!$D$187)/AS51!$B$3,"")))</f>
        <v/>
      </c>
      <c r="H152" s="140">
        <f>IF(H$13="","",IF($B152="","",IFERROR($C152*$D152*IF((Override!$C$4="ON")*(COUNTIFS(Override!$B$11:$B$40,$B152,Override!$D$11:$D$40,3,Override!$E$11:$E$40,"&gt;=0")-COUNTIFS(Override!$B$11:$B$40,$B152,Override!$D$11:$D$40,3,Override!$E$11:$E$40,"&gt;=0",Override!$C$11:$C$40,"MXAU"))&gt;0,SUMIFS(Override!$E$11:$E$40,Override!$B$11:$B$40,$B152,Override!$D$11:$D$40,3)-SUMIFS(Override!$E$11:$E$40,Override!$B$11:$B$40,$B152,Override!$D$11:$D$40,3,Override!$C$11:$C$40,"MXAU"),Override!$E$187)/AS51!$B$3,"")))</f>
        <v/>
      </c>
      <c r="I152" s="140">
        <f>IF(I$13="","",IF($B152="","",IFERROR($C152*$D152*IF((Override!$C$4="ON")*(COUNTIFS(Override!$B$11:$B$40,$B152,Override!$D$11:$D$40,4,Override!$E$11:$E$40,"&gt;=0")-COUNTIFS(Override!$B$11:$B$40,$B152,Override!$D$11:$D$40,4,Override!$E$11:$E$40,"&gt;=0",Override!$C$11:$C$40,"MXAU"))&gt;0,SUMIFS(Override!$E$11:$E$40,Override!$B$11:$B$40,$B152,Override!$D$11:$D$40,4)-SUMIFS(Override!$E$11:$E$40,Override!$B$11:$B$40,$B152,Override!$D$11:$D$40,4,Override!$C$11:$C$40,"MXAU"),Override!$F$187)/AS51!$B$3,"")))</f>
        <v/>
      </c>
      <c r="J152" s="140">
        <f>IF(J$13="","",IF($B152="","",IFERROR($C152*$D152*IF((Override!$C$4="ON")*(COUNTIFS(Override!$B$11:$B$40,$B152,Override!$D$11:$D$40,5,Override!$E$11:$E$40,"&gt;=0")-COUNTIFS(Override!$B$11:$B$40,$B152,Override!$D$11:$D$40,5,Override!$E$11:$E$40,"&gt;=0",Override!$C$11:$C$40,"MXAU"))&gt;0,SUMIFS(Override!$E$11:$E$40,Override!$B$11:$B$40,$B152,Override!$D$11:$D$40,5)-SUMIFS(Override!$E$11:$E$40,Override!$B$11:$B$40,$B152,Override!$D$11:$D$40,5,Override!$C$11:$C$40,"MXAU"),Override!$G$187)/AS51!$B$3,"")))</f>
        <v/>
      </c>
      <c r="K152" s="140">
        <f>IF(K$13="","",IF($B152="","",IFERROR($C152*$D152*IF((Override!$C$4="ON")*(COUNTIFS(Override!$B$11:$B$40,$B152,Override!$D$11:$D$40,6,Override!$E$11:$E$40,"&gt;=0")-COUNTIFS(Override!$B$11:$B$40,$B152,Override!$D$11:$D$40,6,Override!$E$11:$E$40,"&gt;=0",Override!$C$11:$C$40,"MXAU"))&gt;0,SUMIFS(Override!$E$11:$E$40,Override!$B$11:$B$40,$B152,Override!$D$11:$D$40,6)-SUMIFS(Override!$E$11:$E$40,Override!$B$11:$B$40,$B152,Override!$D$11:$D$40,6,Override!$C$11:$C$40,"MXAU"),Override!$H$187)/AS51!$B$3,"")))</f>
        <v/>
      </c>
      <c r="L152" s="140">
        <f>IF(L$13="","",IF($B152="","",IFERROR($C152*$D152*IF((Override!$C$4="ON")*(COUNTIFS(Override!$B$11:$B$40,$B152,Override!$D$11:$D$40,7,Override!$E$11:$E$40,"&gt;=0")-COUNTIFS(Override!$B$11:$B$40,$B152,Override!$D$11:$D$40,7,Override!$E$11:$E$40,"&gt;=0",Override!$C$11:$C$40,"MXAU"))&gt;0,SUMIFS(Override!$E$11:$E$40,Override!$B$11:$B$40,$B152,Override!$D$11:$D$40,7)-SUMIFS(Override!$E$11:$E$40,Override!$B$11:$B$40,$B152,Override!$D$11:$D$40,7,Override!$C$11:$C$40,"MXAU"),Override!$I$187)/AS51!$B$3,"")))</f>
        <v/>
      </c>
      <c r="M152" s="140">
        <f>IF(M$13="","",IF($B152="","",IFERROR($C152*$D152*IF((Override!$C$4="ON")*(COUNTIFS(Override!$B$11:$B$40,$B152,Override!$D$11:$D$40,8,Override!$E$11:$E$40,"&gt;=0")-COUNTIFS(Override!$B$11:$B$40,$B152,Override!$D$11:$D$40,8,Override!$E$11:$E$40,"&gt;=0",Override!$C$11:$C$40,"MXAU"))&gt;0,SUMIFS(Override!$E$11:$E$40,Override!$B$11:$B$40,$B152,Override!$D$11:$D$40,8)-SUMIFS(Override!$E$11:$E$40,Override!$B$11:$B$40,$B152,Override!$D$11:$D$40,8,Override!$C$11:$C$40,"MXAU"),Override!$J$187)/AS51!$B$3,"")))</f>
        <v/>
      </c>
      <c r="N152" s="140">
        <f>IF(N$13="","",IF($B152="","",IFERROR($C152*$D152*IF((Override!$C$4="ON")*(COUNTIFS(Override!$B$11:$B$40,$B152,Override!$D$11:$D$40,9,Override!$E$11:$E$40,"&gt;=0")-COUNTIFS(Override!$B$11:$B$40,$B152,Override!$D$11:$D$40,9,Override!$E$11:$E$40,"&gt;=0",Override!$C$11:$C$40,"MXAU"))&gt;0,SUMIFS(Override!$E$11:$E$40,Override!$B$11:$B$40,$B152,Override!$D$11:$D$40,9)-SUMIFS(Override!$E$11:$E$40,Override!$B$11:$B$40,$B152,Override!$D$11:$D$40,9,Override!$C$11:$C$40,"MXAU"),Override!$K$187)/AS51!$B$3,"")))</f>
        <v/>
      </c>
      <c r="O152" s="140">
        <f>IF(O$13="","",IF($B152="","",IFERROR($C152*$D152*IF((Override!$C$4="ON")*(COUNTIFS(Override!$B$11:$B$40,$B152,Override!$D$11:$D$40,10,Override!$E$11:$E$40,"&gt;=0")-COUNTIFS(Override!$B$11:$B$40,$B152,Override!$D$11:$D$40,10,Override!$E$11:$E$40,"&gt;=0",Override!$C$11:$C$40,"MXAU"))&gt;0,SUMIFS(Override!$E$11:$E$40,Override!$B$11:$B$40,$B152,Override!$D$11:$D$40,10)-SUMIFS(Override!$E$11:$E$40,Override!$B$11:$B$40,$B152,Override!$D$11:$D$40,10,Override!$C$11:$C$40,"MXAU"),Override!$L$187)/AS51!$B$3,"")))</f>
        <v/>
      </c>
      <c r="P152" s="140">
        <f>IF(P$13="","",IF($B152="","",IFERROR($C152*$D152*IF((Override!$C$4="ON")*(COUNTIFS(Override!$B$11:$B$40,$B152,Override!$D$11:$D$40,11,Override!$E$11:$E$40,"&gt;=0")-COUNTIFS(Override!$B$11:$B$40,$B152,Override!$D$11:$D$40,11,Override!$E$11:$E$40,"&gt;=0",Override!$C$11:$C$40,"MXAU"))&gt;0,SUMIFS(Override!$E$11:$E$40,Override!$B$11:$B$40,$B152,Override!$D$11:$D$40,11)-SUMIFS(Override!$E$11:$E$40,Override!$B$11:$B$40,$B152,Override!$D$11:$D$40,11,Override!$C$11:$C$40,"MXAU"),Override!$M$187)/AS51!$B$3,"")))</f>
        <v/>
      </c>
      <c r="Q152" s="140">
        <f>IF(Q$13="","",IF($B152="","",IFERROR($C152*$D152*IF((Override!$C$4="ON")*(COUNTIFS(Override!$B$11:$B$40,$B152,Override!$D$11:$D$40,12,Override!$E$11:$E$40,"&gt;=0")-COUNTIFS(Override!$B$11:$B$40,$B152,Override!$D$11:$D$40,12,Override!$E$11:$E$40,"&gt;=0",Override!$C$11:$C$40,"MXAU"))&gt;0,SUMIFS(Override!$E$11:$E$40,Override!$B$11:$B$40,$B152,Override!$D$11:$D$40,12)-SUMIFS(Override!$E$11:$E$40,Override!$B$11:$B$40,$B152,Override!$D$11:$D$40,12,Override!$C$11:$C$40,"MXAU"),Override!$N$187)/AS51!$B$3,"")))</f>
        <v/>
      </c>
      <c r="R152" s="140">
        <f>IF(R$13="","",IF($B152="","",IFERROR($C152*$D152*IF((Override!$C$4="ON")*(COUNTIFS(Override!$B$11:$B$40,$B152,Override!$D$11:$D$40,13,Override!$E$11:$E$40,"&gt;=0")-COUNTIFS(Override!$B$11:$B$40,$B152,Override!$D$11:$D$40,13,Override!$E$11:$E$40,"&gt;=0",Override!$C$11:$C$40,"MXAU"))&gt;0,SUMIFS(Override!$E$11:$E$40,Override!$B$11:$B$40,$B152,Override!$D$11:$D$40,13)-SUMIFS(Override!$E$11:$E$40,Override!$B$11:$B$40,$B152,Override!$D$11:$D$40,13,Override!$C$11:$C$40,"MXAU"),Override!$O$187)/AS51!$B$3,"")))</f>
        <v/>
      </c>
      <c r="S152" s="140">
        <f>IF(S$13="","",IF($B152="","",IFERROR($C152*$D152*IF((Override!$C$4="ON")*(COUNTIFS(Override!$B$11:$B$40,$B152,Override!$D$11:$D$40,14,Override!$E$11:$E$40,"&gt;=0")-COUNTIFS(Override!$B$11:$B$40,$B152,Override!$D$11:$D$40,14,Override!$E$11:$E$40,"&gt;=0",Override!$C$11:$C$40,"MXAU"))&gt;0,SUMIFS(Override!$E$11:$E$40,Override!$B$11:$B$40,$B152,Override!$D$11:$D$40,14)-SUMIFS(Override!$E$11:$E$40,Override!$B$11:$B$40,$B152,Override!$D$11:$D$40,14,Override!$C$11:$C$40,"MXAU"),Override!$P$187)/AS51!$B$3,"")))</f>
        <v/>
      </c>
      <c r="T152" s="140">
        <f>IF(T$13="","",IF($B152="","",IFERROR($C152*$D152*IF((Override!$C$4="ON")*(COUNTIFS(Override!$B$11:$B$40,$B152,Override!$D$11:$D$40,15,Override!$E$11:$E$40,"&gt;=0")-COUNTIFS(Override!$B$11:$B$40,$B152,Override!$D$11:$D$40,15,Override!$E$11:$E$40,"&gt;=0",Override!$C$11:$C$40,"MXAU"))&gt;0,SUMIFS(Override!$E$11:$E$40,Override!$B$11:$B$40,$B152,Override!$D$11:$D$40,15)-SUMIFS(Override!$E$11:$E$40,Override!$B$11:$B$40,$B152,Override!$D$11:$D$40,15,Override!$C$11:$C$40,"MXAU"),Override!$Q$187)/AS51!$B$3,"")))</f>
        <v/>
      </c>
      <c r="U152" s="140">
        <f>IF(U$13="","",IF($B152="","",IFERROR($C152*$D152*IF((Override!$C$4="ON")*(COUNTIFS(Override!$B$11:$B$40,$B152,Override!$D$11:$D$40,16,Override!$E$11:$E$40,"&gt;=0")-COUNTIFS(Override!$B$11:$B$40,$B152,Override!$D$11:$D$40,16,Override!$E$11:$E$40,"&gt;=0",Override!$C$11:$C$40,"MXAU"))&gt;0,SUMIFS(Override!$E$11:$E$40,Override!$B$11:$B$40,$B152,Override!$D$11:$D$40,16)-SUMIFS(Override!$E$11:$E$40,Override!$B$11:$B$40,$B152,Override!$D$11:$D$40,16,Override!$C$11:$C$40,"MXAU"),Override!$R$187)/AS51!$B$3,"")))</f>
        <v/>
      </c>
      <c r="W152" s="140">
        <f>IF(W$13="","",IF($B152="","",IFERROR(F152*$E152/100,"")))</f>
        <v/>
      </c>
      <c r="X152" s="140">
        <f>IF(X$13="","",IF($B152="","",IFERROR(G152*$E152/100,"")))</f>
        <v/>
      </c>
      <c r="Y152" s="140">
        <f>IF(Y$13="","",IF($B152="","",IFERROR(H152*$E152/100,"")))</f>
        <v/>
      </c>
      <c r="Z152" s="140">
        <f>IF(Z$13="","",IF($B152="","",IFERROR(I152*$E152/100,"")))</f>
        <v/>
      </c>
      <c r="AA152" s="140">
        <f>IF(AA$13="","",IF($B152="","",IFERROR(J152*$E152/100,"")))</f>
        <v/>
      </c>
      <c r="AB152" s="140">
        <f>IF(AB$13="","",IF($B152="","",IFERROR(K152*$E152/100,"")))</f>
        <v/>
      </c>
      <c r="AC152" s="140">
        <f>IF(AC$13="","",IF($B152="","",IFERROR(L152*$E152/100,"")))</f>
        <v/>
      </c>
      <c r="AD152" s="140">
        <f>IF(AD$13="","",IF($B152="","",IFERROR(M152*$E152/100,"")))</f>
        <v/>
      </c>
      <c r="AE152" s="140">
        <f>IF(AE$13="","",IF($B152="","",IFERROR(N152*$E152/100,"")))</f>
        <v/>
      </c>
      <c r="AF152" s="140">
        <f>IF(AF$13="","",IF($B152="","",IFERROR(O152*$E152/100,"")))</f>
        <v/>
      </c>
      <c r="AG152" s="140">
        <f>IF(AG$13="","",IF($B152="","",IFERROR(P152*$E152/100,"")))</f>
        <v/>
      </c>
      <c r="AH152" s="140">
        <f>IF(AH$13="","",IF($B152="","",IFERROR(Q152*$E152/100,"")))</f>
        <v/>
      </c>
      <c r="AI152" s="140">
        <f>IF(AI$13="","",IF($B152="","",IFERROR(R152*$E152/100,"")))</f>
        <v/>
      </c>
      <c r="AJ152" s="140">
        <f>IF(AJ$13="","",IF($B152="","",IFERROR(S152*$E152/100,"")))</f>
        <v/>
      </c>
      <c r="AK152" s="140">
        <f>IF(AK$13="","",IF($B152="","",IFERROR(T152*$E152/100,"")))</f>
        <v/>
      </c>
      <c r="AL152" s="140">
        <f>IF(AL$13="","",IF($B152="","",IFERROR(U152*$E152/100,"")))</f>
        <v/>
      </c>
      <c r="AN152" s="140">
        <f>IF($B152="","",SUMIF($F$13:$U$13,"&lt;="&amp;Sector!$D$51,$F152:$U152))</f>
        <v/>
      </c>
      <c r="AO152" s="140">
        <f>IF($B152="","",SUMIF($W$13:$AL$13,"&lt;="&amp;Sector!$D$51,$W152:$AL152))</f>
        <v/>
      </c>
    </row>
    <row r="153">
      <c r="B153" s="5">
        <f>IF(AS51!$C$143="","",AS51!$C$143)</f>
        <v/>
      </c>
      <c r="C153" s="90">
        <f>IF(AS51!$B$143="","",AS51!$B$143)</f>
        <v/>
      </c>
      <c r="D153" s="138">
        <f>IFERROR(AS51!$Q$143,1)</f>
        <v/>
      </c>
      <c r="E153" s="139">
        <f>IF($B153="","",IF(ISNUMBER(AS51!$I$143),AS51!$I$143,'Index Summary'!$C$7))</f>
        <v/>
      </c>
      <c r="F153" s="140">
        <f>IF(F$13="","",IF($B153="","",IFERROR($C153*$D153*IF((Override!$C$4="ON")*(COUNTIFS(Override!$B$11:$B$40,$B153,Override!$D$11:$D$40,1,Override!$E$11:$E$40,"&gt;=0")-COUNTIFS(Override!$B$11:$B$40,$B153,Override!$D$11:$D$40,1,Override!$E$11:$E$40,"&gt;=0",Override!$C$11:$C$40,"MXAU"))&gt;0,SUMIFS(Override!$E$11:$E$40,Override!$B$11:$B$40,$B153,Override!$D$11:$D$40,1)-SUMIFS(Override!$E$11:$E$40,Override!$B$11:$B$40,$B153,Override!$D$11:$D$40,1,Override!$C$11:$C$40,"MXAU"),Override!$C$188)/AS51!$B$3,"")))</f>
        <v/>
      </c>
      <c r="G153" s="140">
        <f>IF(G$13="","",IF($B153="","",IFERROR($C153*$D153*IF((Override!$C$4="ON")*(COUNTIFS(Override!$B$11:$B$40,$B153,Override!$D$11:$D$40,2,Override!$E$11:$E$40,"&gt;=0")-COUNTIFS(Override!$B$11:$B$40,$B153,Override!$D$11:$D$40,2,Override!$E$11:$E$40,"&gt;=0",Override!$C$11:$C$40,"MXAU"))&gt;0,SUMIFS(Override!$E$11:$E$40,Override!$B$11:$B$40,$B153,Override!$D$11:$D$40,2)-SUMIFS(Override!$E$11:$E$40,Override!$B$11:$B$40,$B153,Override!$D$11:$D$40,2,Override!$C$11:$C$40,"MXAU"),Override!$D$188)/AS51!$B$3,"")))</f>
        <v/>
      </c>
      <c r="H153" s="140">
        <f>IF(H$13="","",IF($B153="","",IFERROR($C153*$D153*IF((Override!$C$4="ON")*(COUNTIFS(Override!$B$11:$B$40,$B153,Override!$D$11:$D$40,3,Override!$E$11:$E$40,"&gt;=0")-COUNTIFS(Override!$B$11:$B$40,$B153,Override!$D$11:$D$40,3,Override!$E$11:$E$40,"&gt;=0",Override!$C$11:$C$40,"MXAU"))&gt;0,SUMIFS(Override!$E$11:$E$40,Override!$B$11:$B$40,$B153,Override!$D$11:$D$40,3)-SUMIFS(Override!$E$11:$E$40,Override!$B$11:$B$40,$B153,Override!$D$11:$D$40,3,Override!$C$11:$C$40,"MXAU"),Override!$E$188)/AS51!$B$3,"")))</f>
        <v/>
      </c>
      <c r="I153" s="140">
        <f>IF(I$13="","",IF($B153="","",IFERROR($C153*$D153*IF((Override!$C$4="ON")*(COUNTIFS(Override!$B$11:$B$40,$B153,Override!$D$11:$D$40,4,Override!$E$11:$E$40,"&gt;=0")-COUNTIFS(Override!$B$11:$B$40,$B153,Override!$D$11:$D$40,4,Override!$E$11:$E$40,"&gt;=0",Override!$C$11:$C$40,"MXAU"))&gt;0,SUMIFS(Override!$E$11:$E$40,Override!$B$11:$B$40,$B153,Override!$D$11:$D$40,4)-SUMIFS(Override!$E$11:$E$40,Override!$B$11:$B$40,$B153,Override!$D$11:$D$40,4,Override!$C$11:$C$40,"MXAU"),Override!$F$188)/AS51!$B$3,"")))</f>
        <v/>
      </c>
      <c r="J153" s="140">
        <f>IF(J$13="","",IF($B153="","",IFERROR($C153*$D153*IF((Override!$C$4="ON")*(COUNTIFS(Override!$B$11:$B$40,$B153,Override!$D$11:$D$40,5,Override!$E$11:$E$40,"&gt;=0")-COUNTIFS(Override!$B$11:$B$40,$B153,Override!$D$11:$D$40,5,Override!$E$11:$E$40,"&gt;=0",Override!$C$11:$C$40,"MXAU"))&gt;0,SUMIFS(Override!$E$11:$E$40,Override!$B$11:$B$40,$B153,Override!$D$11:$D$40,5)-SUMIFS(Override!$E$11:$E$40,Override!$B$11:$B$40,$B153,Override!$D$11:$D$40,5,Override!$C$11:$C$40,"MXAU"),Override!$G$188)/AS51!$B$3,"")))</f>
        <v/>
      </c>
      <c r="K153" s="140">
        <f>IF(K$13="","",IF($B153="","",IFERROR($C153*$D153*IF((Override!$C$4="ON")*(COUNTIFS(Override!$B$11:$B$40,$B153,Override!$D$11:$D$40,6,Override!$E$11:$E$40,"&gt;=0")-COUNTIFS(Override!$B$11:$B$40,$B153,Override!$D$11:$D$40,6,Override!$E$11:$E$40,"&gt;=0",Override!$C$11:$C$40,"MXAU"))&gt;0,SUMIFS(Override!$E$11:$E$40,Override!$B$11:$B$40,$B153,Override!$D$11:$D$40,6)-SUMIFS(Override!$E$11:$E$40,Override!$B$11:$B$40,$B153,Override!$D$11:$D$40,6,Override!$C$11:$C$40,"MXAU"),Override!$H$188)/AS51!$B$3,"")))</f>
        <v/>
      </c>
      <c r="L153" s="140">
        <f>IF(L$13="","",IF($B153="","",IFERROR($C153*$D153*IF((Override!$C$4="ON")*(COUNTIFS(Override!$B$11:$B$40,$B153,Override!$D$11:$D$40,7,Override!$E$11:$E$40,"&gt;=0")-COUNTIFS(Override!$B$11:$B$40,$B153,Override!$D$11:$D$40,7,Override!$E$11:$E$40,"&gt;=0",Override!$C$11:$C$40,"MXAU"))&gt;0,SUMIFS(Override!$E$11:$E$40,Override!$B$11:$B$40,$B153,Override!$D$11:$D$40,7)-SUMIFS(Override!$E$11:$E$40,Override!$B$11:$B$40,$B153,Override!$D$11:$D$40,7,Override!$C$11:$C$40,"MXAU"),Override!$I$188)/AS51!$B$3,"")))</f>
        <v/>
      </c>
      <c r="M153" s="140">
        <f>IF(M$13="","",IF($B153="","",IFERROR($C153*$D153*IF((Override!$C$4="ON")*(COUNTIFS(Override!$B$11:$B$40,$B153,Override!$D$11:$D$40,8,Override!$E$11:$E$40,"&gt;=0")-COUNTIFS(Override!$B$11:$B$40,$B153,Override!$D$11:$D$40,8,Override!$E$11:$E$40,"&gt;=0",Override!$C$11:$C$40,"MXAU"))&gt;0,SUMIFS(Override!$E$11:$E$40,Override!$B$11:$B$40,$B153,Override!$D$11:$D$40,8)-SUMIFS(Override!$E$11:$E$40,Override!$B$11:$B$40,$B153,Override!$D$11:$D$40,8,Override!$C$11:$C$40,"MXAU"),Override!$J$188)/AS51!$B$3,"")))</f>
        <v/>
      </c>
      <c r="N153" s="140">
        <f>IF(N$13="","",IF($B153="","",IFERROR($C153*$D153*IF((Override!$C$4="ON")*(COUNTIFS(Override!$B$11:$B$40,$B153,Override!$D$11:$D$40,9,Override!$E$11:$E$40,"&gt;=0")-COUNTIFS(Override!$B$11:$B$40,$B153,Override!$D$11:$D$40,9,Override!$E$11:$E$40,"&gt;=0",Override!$C$11:$C$40,"MXAU"))&gt;0,SUMIFS(Override!$E$11:$E$40,Override!$B$11:$B$40,$B153,Override!$D$11:$D$40,9)-SUMIFS(Override!$E$11:$E$40,Override!$B$11:$B$40,$B153,Override!$D$11:$D$40,9,Override!$C$11:$C$40,"MXAU"),Override!$K$188)/AS51!$B$3,"")))</f>
        <v/>
      </c>
      <c r="O153" s="140">
        <f>IF(O$13="","",IF($B153="","",IFERROR($C153*$D153*IF((Override!$C$4="ON")*(COUNTIFS(Override!$B$11:$B$40,$B153,Override!$D$11:$D$40,10,Override!$E$11:$E$40,"&gt;=0")-COUNTIFS(Override!$B$11:$B$40,$B153,Override!$D$11:$D$40,10,Override!$E$11:$E$40,"&gt;=0",Override!$C$11:$C$40,"MXAU"))&gt;0,SUMIFS(Override!$E$11:$E$40,Override!$B$11:$B$40,$B153,Override!$D$11:$D$40,10)-SUMIFS(Override!$E$11:$E$40,Override!$B$11:$B$40,$B153,Override!$D$11:$D$40,10,Override!$C$11:$C$40,"MXAU"),Override!$L$188)/AS51!$B$3,"")))</f>
        <v/>
      </c>
      <c r="P153" s="140">
        <f>IF(P$13="","",IF($B153="","",IFERROR($C153*$D153*IF((Override!$C$4="ON")*(COUNTIFS(Override!$B$11:$B$40,$B153,Override!$D$11:$D$40,11,Override!$E$11:$E$40,"&gt;=0")-COUNTIFS(Override!$B$11:$B$40,$B153,Override!$D$11:$D$40,11,Override!$E$11:$E$40,"&gt;=0",Override!$C$11:$C$40,"MXAU"))&gt;0,SUMIFS(Override!$E$11:$E$40,Override!$B$11:$B$40,$B153,Override!$D$11:$D$40,11)-SUMIFS(Override!$E$11:$E$40,Override!$B$11:$B$40,$B153,Override!$D$11:$D$40,11,Override!$C$11:$C$40,"MXAU"),Override!$M$188)/AS51!$B$3,"")))</f>
        <v/>
      </c>
      <c r="Q153" s="140">
        <f>IF(Q$13="","",IF($B153="","",IFERROR($C153*$D153*IF((Override!$C$4="ON")*(COUNTIFS(Override!$B$11:$B$40,$B153,Override!$D$11:$D$40,12,Override!$E$11:$E$40,"&gt;=0")-COUNTIFS(Override!$B$11:$B$40,$B153,Override!$D$11:$D$40,12,Override!$E$11:$E$40,"&gt;=0",Override!$C$11:$C$40,"MXAU"))&gt;0,SUMIFS(Override!$E$11:$E$40,Override!$B$11:$B$40,$B153,Override!$D$11:$D$40,12)-SUMIFS(Override!$E$11:$E$40,Override!$B$11:$B$40,$B153,Override!$D$11:$D$40,12,Override!$C$11:$C$40,"MXAU"),Override!$N$188)/AS51!$B$3,"")))</f>
        <v/>
      </c>
      <c r="R153" s="140">
        <f>IF(R$13="","",IF($B153="","",IFERROR($C153*$D153*IF((Override!$C$4="ON")*(COUNTIFS(Override!$B$11:$B$40,$B153,Override!$D$11:$D$40,13,Override!$E$11:$E$40,"&gt;=0")-COUNTIFS(Override!$B$11:$B$40,$B153,Override!$D$11:$D$40,13,Override!$E$11:$E$40,"&gt;=0",Override!$C$11:$C$40,"MXAU"))&gt;0,SUMIFS(Override!$E$11:$E$40,Override!$B$11:$B$40,$B153,Override!$D$11:$D$40,13)-SUMIFS(Override!$E$11:$E$40,Override!$B$11:$B$40,$B153,Override!$D$11:$D$40,13,Override!$C$11:$C$40,"MXAU"),Override!$O$188)/AS51!$B$3,"")))</f>
        <v/>
      </c>
      <c r="S153" s="140">
        <f>IF(S$13="","",IF($B153="","",IFERROR($C153*$D153*IF((Override!$C$4="ON")*(COUNTIFS(Override!$B$11:$B$40,$B153,Override!$D$11:$D$40,14,Override!$E$11:$E$40,"&gt;=0")-COUNTIFS(Override!$B$11:$B$40,$B153,Override!$D$11:$D$40,14,Override!$E$11:$E$40,"&gt;=0",Override!$C$11:$C$40,"MXAU"))&gt;0,SUMIFS(Override!$E$11:$E$40,Override!$B$11:$B$40,$B153,Override!$D$11:$D$40,14)-SUMIFS(Override!$E$11:$E$40,Override!$B$11:$B$40,$B153,Override!$D$11:$D$40,14,Override!$C$11:$C$40,"MXAU"),Override!$P$188)/AS51!$B$3,"")))</f>
        <v/>
      </c>
      <c r="T153" s="140">
        <f>IF(T$13="","",IF($B153="","",IFERROR($C153*$D153*IF((Override!$C$4="ON")*(COUNTIFS(Override!$B$11:$B$40,$B153,Override!$D$11:$D$40,15,Override!$E$11:$E$40,"&gt;=0")-COUNTIFS(Override!$B$11:$B$40,$B153,Override!$D$11:$D$40,15,Override!$E$11:$E$40,"&gt;=0",Override!$C$11:$C$40,"MXAU"))&gt;0,SUMIFS(Override!$E$11:$E$40,Override!$B$11:$B$40,$B153,Override!$D$11:$D$40,15)-SUMIFS(Override!$E$11:$E$40,Override!$B$11:$B$40,$B153,Override!$D$11:$D$40,15,Override!$C$11:$C$40,"MXAU"),Override!$Q$188)/AS51!$B$3,"")))</f>
        <v/>
      </c>
      <c r="U153" s="140">
        <f>IF(U$13="","",IF($B153="","",IFERROR($C153*$D153*IF((Override!$C$4="ON")*(COUNTIFS(Override!$B$11:$B$40,$B153,Override!$D$11:$D$40,16,Override!$E$11:$E$40,"&gt;=0")-COUNTIFS(Override!$B$11:$B$40,$B153,Override!$D$11:$D$40,16,Override!$E$11:$E$40,"&gt;=0",Override!$C$11:$C$40,"MXAU"))&gt;0,SUMIFS(Override!$E$11:$E$40,Override!$B$11:$B$40,$B153,Override!$D$11:$D$40,16)-SUMIFS(Override!$E$11:$E$40,Override!$B$11:$B$40,$B153,Override!$D$11:$D$40,16,Override!$C$11:$C$40,"MXAU"),Override!$R$188)/AS51!$B$3,"")))</f>
        <v/>
      </c>
      <c r="W153" s="140">
        <f>IF(W$13="","",IF($B153="","",IFERROR(F153*$E153/100,"")))</f>
        <v/>
      </c>
      <c r="X153" s="140">
        <f>IF(X$13="","",IF($B153="","",IFERROR(G153*$E153/100,"")))</f>
        <v/>
      </c>
      <c r="Y153" s="140">
        <f>IF(Y$13="","",IF($B153="","",IFERROR(H153*$E153/100,"")))</f>
        <v/>
      </c>
      <c r="Z153" s="140">
        <f>IF(Z$13="","",IF($B153="","",IFERROR(I153*$E153/100,"")))</f>
        <v/>
      </c>
      <c r="AA153" s="140">
        <f>IF(AA$13="","",IF($B153="","",IFERROR(J153*$E153/100,"")))</f>
        <v/>
      </c>
      <c r="AB153" s="140">
        <f>IF(AB$13="","",IF($B153="","",IFERROR(K153*$E153/100,"")))</f>
        <v/>
      </c>
      <c r="AC153" s="140">
        <f>IF(AC$13="","",IF($B153="","",IFERROR(L153*$E153/100,"")))</f>
        <v/>
      </c>
      <c r="AD153" s="140">
        <f>IF(AD$13="","",IF($B153="","",IFERROR(M153*$E153/100,"")))</f>
        <v/>
      </c>
      <c r="AE153" s="140">
        <f>IF(AE$13="","",IF($B153="","",IFERROR(N153*$E153/100,"")))</f>
        <v/>
      </c>
      <c r="AF153" s="140">
        <f>IF(AF$13="","",IF($B153="","",IFERROR(O153*$E153/100,"")))</f>
        <v/>
      </c>
      <c r="AG153" s="140">
        <f>IF(AG$13="","",IF($B153="","",IFERROR(P153*$E153/100,"")))</f>
        <v/>
      </c>
      <c r="AH153" s="140">
        <f>IF(AH$13="","",IF($B153="","",IFERROR(Q153*$E153/100,"")))</f>
        <v/>
      </c>
      <c r="AI153" s="140">
        <f>IF(AI$13="","",IF($B153="","",IFERROR(R153*$E153/100,"")))</f>
        <v/>
      </c>
      <c r="AJ153" s="140">
        <f>IF(AJ$13="","",IF($B153="","",IFERROR(S153*$E153/100,"")))</f>
        <v/>
      </c>
      <c r="AK153" s="140">
        <f>IF(AK$13="","",IF($B153="","",IFERROR(T153*$E153/100,"")))</f>
        <v/>
      </c>
      <c r="AL153" s="140">
        <f>IF(AL$13="","",IF($B153="","",IFERROR(U153*$E153/100,"")))</f>
        <v/>
      </c>
      <c r="AN153" s="140">
        <f>IF($B153="","",SUMIF($F$13:$U$13,"&lt;="&amp;Sector!$D$51,$F153:$U153))</f>
        <v/>
      </c>
      <c r="AO153" s="140">
        <f>IF($B153="","",SUMIF($W$13:$AL$13,"&lt;="&amp;Sector!$D$51,$W153:$AL153))</f>
        <v/>
      </c>
    </row>
    <row r="154">
      <c r="B154" s="5">
        <f>IF(AS51!$C$144="","",AS51!$C$144)</f>
        <v/>
      </c>
      <c r="C154" s="90">
        <f>IF(AS51!$B$144="","",AS51!$B$144)</f>
        <v/>
      </c>
      <c r="D154" s="138">
        <f>IFERROR(AS51!$Q$144,1)</f>
        <v/>
      </c>
      <c r="E154" s="139">
        <f>IF($B154="","",IF(ISNUMBER(AS51!$I$144),AS51!$I$144,'Index Summary'!$C$7))</f>
        <v/>
      </c>
      <c r="F154" s="140">
        <f>IF(F$13="","",IF($B154="","",IFERROR($C154*$D154*IF((Override!$C$4="ON")*(COUNTIFS(Override!$B$11:$B$40,$B154,Override!$D$11:$D$40,1,Override!$E$11:$E$40,"&gt;=0")-COUNTIFS(Override!$B$11:$B$40,$B154,Override!$D$11:$D$40,1,Override!$E$11:$E$40,"&gt;=0",Override!$C$11:$C$40,"MXAU"))&gt;0,SUMIFS(Override!$E$11:$E$40,Override!$B$11:$B$40,$B154,Override!$D$11:$D$40,1)-SUMIFS(Override!$E$11:$E$40,Override!$B$11:$B$40,$B154,Override!$D$11:$D$40,1,Override!$C$11:$C$40,"MXAU"),Override!$C$189)/AS51!$B$3,"")))</f>
        <v/>
      </c>
      <c r="G154" s="140">
        <f>IF(G$13="","",IF($B154="","",IFERROR($C154*$D154*IF((Override!$C$4="ON")*(COUNTIFS(Override!$B$11:$B$40,$B154,Override!$D$11:$D$40,2,Override!$E$11:$E$40,"&gt;=0")-COUNTIFS(Override!$B$11:$B$40,$B154,Override!$D$11:$D$40,2,Override!$E$11:$E$40,"&gt;=0",Override!$C$11:$C$40,"MXAU"))&gt;0,SUMIFS(Override!$E$11:$E$40,Override!$B$11:$B$40,$B154,Override!$D$11:$D$40,2)-SUMIFS(Override!$E$11:$E$40,Override!$B$11:$B$40,$B154,Override!$D$11:$D$40,2,Override!$C$11:$C$40,"MXAU"),Override!$D$189)/AS51!$B$3,"")))</f>
        <v/>
      </c>
      <c r="H154" s="140">
        <f>IF(H$13="","",IF($B154="","",IFERROR($C154*$D154*IF((Override!$C$4="ON")*(COUNTIFS(Override!$B$11:$B$40,$B154,Override!$D$11:$D$40,3,Override!$E$11:$E$40,"&gt;=0")-COUNTIFS(Override!$B$11:$B$40,$B154,Override!$D$11:$D$40,3,Override!$E$11:$E$40,"&gt;=0",Override!$C$11:$C$40,"MXAU"))&gt;0,SUMIFS(Override!$E$11:$E$40,Override!$B$11:$B$40,$B154,Override!$D$11:$D$40,3)-SUMIFS(Override!$E$11:$E$40,Override!$B$11:$B$40,$B154,Override!$D$11:$D$40,3,Override!$C$11:$C$40,"MXAU"),Override!$E$189)/AS51!$B$3,"")))</f>
        <v/>
      </c>
      <c r="I154" s="140">
        <f>IF(I$13="","",IF($B154="","",IFERROR($C154*$D154*IF((Override!$C$4="ON")*(COUNTIFS(Override!$B$11:$B$40,$B154,Override!$D$11:$D$40,4,Override!$E$11:$E$40,"&gt;=0")-COUNTIFS(Override!$B$11:$B$40,$B154,Override!$D$11:$D$40,4,Override!$E$11:$E$40,"&gt;=0",Override!$C$11:$C$40,"MXAU"))&gt;0,SUMIFS(Override!$E$11:$E$40,Override!$B$11:$B$40,$B154,Override!$D$11:$D$40,4)-SUMIFS(Override!$E$11:$E$40,Override!$B$11:$B$40,$B154,Override!$D$11:$D$40,4,Override!$C$11:$C$40,"MXAU"),Override!$F$189)/AS51!$B$3,"")))</f>
        <v/>
      </c>
      <c r="J154" s="140">
        <f>IF(J$13="","",IF($B154="","",IFERROR($C154*$D154*IF((Override!$C$4="ON")*(COUNTIFS(Override!$B$11:$B$40,$B154,Override!$D$11:$D$40,5,Override!$E$11:$E$40,"&gt;=0")-COUNTIFS(Override!$B$11:$B$40,$B154,Override!$D$11:$D$40,5,Override!$E$11:$E$40,"&gt;=0",Override!$C$11:$C$40,"MXAU"))&gt;0,SUMIFS(Override!$E$11:$E$40,Override!$B$11:$B$40,$B154,Override!$D$11:$D$40,5)-SUMIFS(Override!$E$11:$E$40,Override!$B$11:$B$40,$B154,Override!$D$11:$D$40,5,Override!$C$11:$C$40,"MXAU"),Override!$G$189)/AS51!$B$3,"")))</f>
        <v/>
      </c>
      <c r="K154" s="140">
        <f>IF(K$13="","",IF($B154="","",IFERROR($C154*$D154*IF((Override!$C$4="ON")*(COUNTIFS(Override!$B$11:$B$40,$B154,Override!$D$11:$D$40,6,Override!$E$11:$E$40,"&gt;=0")-COUNTIFS(Override!$B$11:$B$40,$B154,Override!$D$11:$D$40,6,Override!$E$11:$E$40,"&gt;=0",Override!$C$11:$C$40,"MXAU"))&gt;0,SUMIFS(Override!$E$11:$E$40,Override!$B$11:$B$40,$B154,Override!$D$11:$D$40,6)-SUMIFS(Override!$E$11:$E$40,Override!$B$11:$B$40,$B154,Override!$D$11:$D$40,6,Override!$C$11:$C$40,"MXAU"),Override!$H$189)/AS51!$B$3,"")))</f>
        <v/>
      </c>
      <c r="L154" s="140">
        <f>IF(L$13="","",IF($B154="","",IFERROR($C154*$D154*IF((Override!$C$4="ON")*(COUNTIFS(Override!$B$11:$B$40,$B154,Override!$D$11:$D$40,7,Override!$E$11:$E$40,"&gt;=0")-COUNTIFS(Override!$B$11:$B$40,$B154,Override!$D$11:$D$40,7,Override!$E$11:$E$40,"&gt;=0",Override!$C$11:$C$40,"MXAU"))&gt;0,SUMIFS(Override!$E$11:$E$40,Override!$B$11:$B$40,$B154,Override!$D$11:$D$40,7)-SUMIFS(Override!$E$11:$E$40,Override!$B$11:$B$40,$B154,Override!$D$11:$D$40,7,Override!$C$11:$C$40,"MXAU"),Override!$I$189)/AS51!$B$3,"")))</f>
        <v/>
      </c>
      <c r="M154" s="140">
        <f>IF(M$13="","",IF($B154="","",IFERROR($C154*$D154*IF((Override!$C$4="ON")*(COUNTIFS(Override!$B$11:$B$40,$B154,Override!$D$11:$D$40,8,Override!$E$11:$E$40,"&gt;=0")-COUNTIFS(Override!$B$11:$B$40,$B154,Override!$D$11:$D$40,8,Override!$E$11:$E$40,"&gt;=0",Override!$C$11:$C$40,"MXAU"))&gt;0,SUMIFS(Override!$E$11:$E$40,Override!$B$11:$B$40,$B154,Override!$D$11:$D$40,8)-SUMIFS(Override!$E$11:$E$40,Override!$B$11:$B$40,$B154,Override!$D$11:$D$40,8,Override!$C$11:$C$40,"MXAU"),Override!$J$189)/AS51!$B$3,"")))</f>
        <v/>
      </c>
      <c r="N154" s="140">
        <f>IF(N$13="","",IF($B154="","",IFERROR($C154*$D154*IF((Override!$C$4="ON")*(COUNTIFS(Override!$B$11:$B$40,$B154,Override!$D$11:$D$40,9,Override!$E$11:$E$40,"&gt;=0")-COUNTIFS(Override!$B$11:$B$40,$B154,Override!$D$11:$D$40,9,Override!$E$11:$E$40,"&gt;=0",Override!$C$11:$C$40,"MXAU"))&gt;0,SUMIFS(Override!$E$11:$E$40,Override!$B$11:$B$40,$B154,Override!$D$11:$D$40,9)-SUMIFS(Override!$E$11:$E$40,Override!$B$11:$B$40,$B154,Override!$D$11:$D$40,9,Override!$C$11:$C$40,"MXAU"),Override!$K$189)/AS51!$B$3,"")))</f>
        <v/>
      </c>
      <c r="O154" s="140">
        <f>IF(O$13="","",IF($B154="","",IFERROR($C154*$D154*IF((Override!$C$4="ON")*(COUNTIFS(Override!$B$11:$B$40,$B154,Override!$D$11:$D$40,10,Override!$E$11:$E$40,"&gt;=0")-COUNTIFS(Override!$B$11:$B$40,$B154,Override!$D$11:$D$40,10,Override!$E$11:$E$40,"&gt;=0",Override!$C$11:$C$40,"MXAU"))&gt;0,SUMIFS(Override!$E$11:$E$40,Override!$B$11:$B$40,$B154,Override!$D$11:$D$40,10)-SUMIFS(Override!$E$11:$E$40,Override!$B$11:$B$40,$B154,Override!$D$11:$D$40,10,Override!$C$11:$C$40,"MXAU"),Override!$L$189)/AS51!$B$3,"")))</f>
        <v/>
      </c>
      <c r="P154" s="140">
        <f>IF(P$13="","",IF($B154="","",IFERROR($C154*$D154*IF((Override!$C$4="ON")*(COUNTIFS(Override!$B$11:$B$40,$B154,Override!$D$11:$D$40,11,Override!$E$11:$E$40,"&gt;=0")-COUNTIFS(Override!$B$11:$B$40,$B154,Override!$D$11:$D$40,11,Override!$E$11:$E$40,"&gt;=0",Override!$C$11:$C$40,"MXAU"))&gt;0,SUMIFS(Override!$E$11:$E$40,Override!$B$11:$B$40,$B154,Override!$D$11:$D$40,11)-SUMIFS(Override!$E$11:$E$40,Override!$B$11:$B$40,$B154,Override!$D$11:$D$40,11,Override!$C$11:$C$40,"MXAU"),Override!$M$189)/AS51!$B$3,"")))</f>
        <v/>
      </c>
      <c r="Q154" s="140">
        <f>IF(Q$13="","",IF($B154="","",IFERROR($C154*$D154*IF((Override!$C$4="ON")*(COUNTIFS(Override!$B$11:$B$40,$B154,Override!$D$11:$D$40,12,Override!$E$11:$E$40,"&gt;=0")-COUNTIFS(Override!$B$11:$B$40,$B154,Override!$D$11:$D$40,12,Override!$E$11:$E$40,"&gt;=0",Override!$C$11:$C$40,"MXAU"))&gt;0,SUMIFS(Override!$E$11:$E$40,Override!$B$11:$B$40,$B154,Override!$D$11:$D$40,12)-SUMIFS(Override!$E$11:$E$40,Override!$B$11:$B$40,$B154,Override!$D$11:$D$40,12,Override!$C$11:$C$40,"MXAU"),Override!$N$189)/AS51!$B$3,"")))</f>
        <v/>
      </c>
      <c r="R154" s="140">
        <f>IF(R$13="","",IF($B154="","",IFERROR($C154*$D154*IF((Override!$C$4="ON")*(COUNTIFS(Override!$B$11:$B$40,$B154,Override!$D$11:$D$40,13,Override!$E$11:$E$40,"&gt;=0")-COUNTIFS(Override!$B$11:$B$40,$B154,Override!$D$11:$D$40,13,Override!$E$11:$E$40,"&gt;=0",Override!$C$11:$C$40,"MXAU"))&gt;0,SUMIFS(Override!$E$11:$E$40,Override!$B$11:$B$40,$B154,Override!$D$11:$D$40,13)-SUMIFS(Override!$E$11:$E$40,Override!$B$11:$B$40,$B154,Override!$D$11:$D$40,13,Override!$C$11:$C$40,"MXAU"),Override!$O$189)/AS51!$B$3,"")))</f>
        <v/>
      </c>
      <c r="S154" s="140">
        <f>IF(S$13="","",IF($B154="","",IFERROR($C154*$D154*IF((Override!$C$4="ON")*(COUNTIFS(Override!$B$11:$B$40,$B154,Override!$D$11:$D$40,14,Override!$E$11:$E$40,"&gt;=0")-COUNTIFS(Override!$B$11:$B$40,$B154,Override!$D$11:$D$40,14,Override!$E$11:$E$40,"&gt;=0",Override!$C$11:$C$40,"MXAU"))&gt;0,SUMIFS(Override!$E$11:$E$40,Override!$B$11:$B$40,$B154,Override!$D$11:$D$40,14)-SUMIFS(Override!$E$11:$E$40,Override!$B$11:$B$40,$B154,Override!$D$11:$D$40,14,Override!$C$11:$C$40,"MXAU"),Override!$P$189)/AS51!$B$3,"")))</f>
        <v/>
      </c>
      <c r="T154" s="140">
        <f>IF(T$13="","",IF($B154="","",IFERROR($C154*$D154*IF((Override!$C$4="ON")*(COUNTIFS(Override!$B$11:$B$40,$B154,Override!$D$11:$D$40,15,Override!$E$11:$E$40,"&gt;=0")-COUNTIFS(Override!$B$11:$B$40,$B154,Override!$D$11:$D$40,15,Override!$E$11:$E$40,"&gt;=0",Override!$C$11:$C$40,"MXAU"))&gt;0,SUMIFS(Override!$E$11:$E$40,Override!$B$11:$B$40,$B154,Override!$D$11:$D$40,15)-SUMIFS(Override!$E$11:$E$40,Override!$B$11:$B$40,$B154,Override!$D$11:$D$40,15,Override!$C$11:$C$40,"MXAU"),Override!$Q$189)/AS51!$B$3,"")))</f>
        <v/>
      </c>
      <c r="U154" s="140">
        <f>IF(U$13="","",IF($B154="","",IFERROR($C154*$D154*IF((Override!$C$4="ON")*(COUNTIFS(Override!$B$11:$B$40,$B154,Override!$D$11:$D$40,16,Override!$E$11:$E$40,"&gt;=0")-COUNTIFS(Override!$B$11:$B$40,$B154,Override!$D$11:$D$40,16,Override!$E$11:$E$40,"&gt;=0",Override!$C$11:$C$40,"MXAU"))&gt;0,SUMIFS(Override!$E$11:$E$40,Override!$B$11:$B$40,$B154,Override!$D$11:$D$40,16)-SUMIFS(Override!$E$11:$E$40,Override!$B$11:$B$40,$B154,Override!$D$11:$D$40,16,Override!$C$11:$C$40,"MXAU"),Override!$R$189)/AS51!$B$3,"")))</f>
        <v/>
      </c>
      <c r="W154" s="140">
        <f>IF(W$13="","",IF($B154="","",IFERROR(F154*$E154/100,"")))</f>
        <v/>
      </c>
      <c r="X154" s="140">
        <f>IF(X$13="","",IF($B154="","",IFERROR(G154*$E154/100,"")))</f>
        <v/>
      </c>
      <c r="Y154" s="140">
        <f>IF(Y$13="","",IF($B154="","",IFERROR(H154*$E154/100,"")))</f>
        <v/>
      </c>
      <c r="Z154" s="140">
        <f>IF(Z$13="","",IF($B154="","",IFERROR(I154*$E154/100,"")))</f>
        <v/>
      </c>
      <c r="AA154" s="140">
        <f>IF(AA$13="","",IF($B154="","",IFERROR(J154*$E154/100,"")))</f>
        <v/>
      </c>
      <c r="AB154" s="140">
        <f>IF(AB$13="","",IF($B154="","",IFERROR(K154*$E154/100,"")))</f>
        <v/>
      </c>
      <c r="AC154" s="140">
        <f>IF(AC$13="","",IF($B154="","",IFERROR(L154*$E154/100,"")))</f>
        <v/>
      </c>
      <c r="AD154" s="140">
        <f>IF(AD$13="","",IF($B154="","",IFERROR(M154*$E154/100,"")))</f>
        <v/>
      </c>
      <c r="AE154" s="140">
        <f>IF(AE$13="","",IF($B154="","",IFERROR(N154*$E154/100,"")))</f>
        <v/>
      </c>
      <c r="AF154" s="140">
        <f>IF(AF$13="","",IF($B154="","",IFERROR(O154*$E154/100,"")))</f>
        <v/>
      </c>
      <c r="AG154" s="140">
        <f>IF(AG$13="","",IF($B154="","",IFERROR(P154*$E154/100,"")))</f>
        <v/>
      </c>
      <c r="AH154" s="140">
        <f>IF(AH$13="","",IF($B154="","",IFERROR(Q154*$E154/100,"")))</f>
        <v/>
      </c>
      <c r="AI154" s="140">
        <f>IF(AI$13="","",IF($B154="","",IFERROR(R154*$E154/100,"")))</f>
        <v/>
      </c>
      <c r="AJ154" s="140">
        <f>IF(AJ$13="","",IF($B154="","",IFERROR(S154*$E154/100,"")))</f>
        <v/>
      </c>
      <c r="AK154" s="140">
        <f>IF(AK$13="","",IF($B154="","",IFERROR(T154*$E154/100,"")))</f>
        <v/>
      </c>
      <c r="AL154" s="140">
        <f>IF(AL$13="","",IF($B154="","",IFERROR(U154*$E154/100,"")))</f>
        <v/>
      </c>
      <c r="AN154" s="140">
        <f>IF($B154="","",SUMIF($F$13:$U$13,"&lt;="&amp;Sector!$D$51,$F154:$U154))</f>
        <v/>
      </c>
      <c r="AO154" s="140">
        <f>IF($B154="","",SUMIF($W$13:$AL$13,"&lt;="&amp;Sector!$D$51,$W154:$AL154))</f>
        <v/>
      </c>
    </row>
    <row r="155">
      <c r="B155" s="5">
        <f>IF(AS51!$C$145="","",AS51!$C$145)</f>
        <v/>
      </c>
      <c r="C155" s="90">
        <f>IF(AS51!$B$145="","",AS51!$B$145)</f>
        <v/>
      </c>
      <c r="D155" s="138">
        <f>IFERROR(AS51!$Q$145,1)</f>
        <v/>
      </c>
      <c r="E155" s="139">
        <f>IF($B155="","",IF(ISNUMBER(AS51!$I$145),AS51!$I$145,'Index Summary'!$C$7))</f>
        <v/>
      </c>
      <c r="F155" s="140">
        <f>IF(F$13="","",IF($B155="","",IFERROR($C155*$D155*IF((Override!$C$4="ON")*(COUNTIFS(Override!$B$11:$B$40,$B155,Override!$D$11:$D$40,1,Override!$E$11:$E$40,"&gt;=0")-COUNTIFS(Override!$B$11:$B$40,$B155,Override!$D$11:$D$40,1,Override!$E$11:$E$40,"&gt;=0",Override!$C$11:$C$40,"MXAU"))&gt;0,SUMIFS(Override!$E$11:$E$40,Override!$B$11:$B$40,$B155,Override!$D$11:$D$40,1)-SUMIFS(Override!$E$11:$E$40,Override!$B$11:$B$40,$B155,Override!$D$11:$D$40,1,Override!$C$11:$C$40,"MXAU"),Override!$C$190)/AS51!$B$3,"")))</f>
        <v/>
      </c>
      <c r="G155" s="140">
        <f>IF(G$13="","",IF($B155="","",IFERROR($C155*$D155*IF((Override!$C$4="ON")*(COUNTIFS(Override!$B$11:$B$40,$B155,Override!$D$11:$D$40,2,Override!$E$11:$E$40,"&gt;=0")-COUNTIFS(Override!$B$11:$B$40,$B155,Override!$D$11:$D$40,2,Override!$E$11:$E$40,"&gt;=0",Override!$C$11:$C$40,"MXAU"))&gt;0,SUMIFS(Override!$E$11:$E$40,Override!$B$11:$B$40,$B155,Override!$D$11:$D$40,2)-SUMIFS(Override!$E$11:$E$40,Override!$B$11:$B$40,$B155,Override!$D$11:$D$40,2,Override!$C$11:$C$40,"MXAU"),Override!$D$190)/AS51!$B$3,"")))</f>
        <v/>
      </c>
      <c r="H155" s="140">
        <f>IF(H$13="","",IF($B155="","",IFERROR($C155*$D155*IF((Override!$C$4="ON")*(COUNTIFS(Override!$B$11:$B$40,$B155,Override!$D$11:$D$40,3,Override!$E$11:$E$40,"&gt;=0")-COUNTIFS(Override!$B$11:$B$40,$B155,Override!$D$11:$D$40,3,Override!$E$11:$E$40,"&gt;=0",Override!$C$11:$C$40,"MXAU"))&gt;0,SUMIFS(Override!$E$11:$E$40,Override!$B$11:$B$40,$B155,Override!$D$11:$D$40,3)-SUMIFS(Override!$E$11:$E$40,Override!$B$11:$B$40,$B155,Override!$D$11:$D$40,3,Override!$C$11:$C$40,"MXAU"),Override!$E$190)/AS51!$B$3,"")))</f>
        <v/>
      </c>
      <c r="I155" s="140">
        <f>IF(I$13="","",IF($B155="","",IFERROR($C155*$D155*IF((Override!$C$4="ON")*(COUNTIFS(Override!$B$11:$B$40,$B155,Override!$D$11:$D$40,4,Override!$E$11:$E$40,"&gt;=0")-COUNTIFS(Override!$B$11:$B$40,$B155,Override!$D$11:$D$40,4,Override!$E$11:$E$40,"&gt;=0",Override!$C$11:$C$40,"MXAU"))&gt;0,SUMIFS(Override!$E$11:$E$40,Override!$B$11:$B$40,$B155,Override!$D$11:$D$40,4)-SUMIFS(Override!$E$11:$E$40,Override!$B$11:$B$40,$B155,Override!$D$11:$D$40,4,Override!$C$11:$C$40,"MXAU"),Override!$F$190)/AS51!$B$3,"")))</f>
        <v/>
      </c>
      <c r="J155" s="140">
        <f>IF(J$13="","",IF($B155="","",IFERROR($C155*$D155*IF((Override!$C$4="ON")*(COUNTIFS(Override!$B$11:$B$40,$B155,Override!$D$11:$D$40,5,Override!$E$11:$E$40,"&gt;=0")-COUNTIFS(Override!$B$11:$B$40,$B155,Override!$D$11:$D$40,5,Override!$E$11:$E$40,"&gt;=0",Override!$C$11:$C$40,"MXAU"))&gt;0,SUMIFS(Override!$E$11:$E$40,Override!$B$11:$B$40,$B155,Override!$D$11:$D$40,5)-SUMIFS(Override!$E$11:$E$40,Override!$B$11:$B$40,$B155,Override!$D$11:$D$40,5,Override!$C$11:$C$40,"MXAU"),Override!$G$190)/AS51!$B$3,"")))</f>
        <v/>
      </c>
      <c r="K155" s="140">
        <f>IF(K$13="","",IF($B155="","",IFERROR($C155*$D155*IF((Override!$C$4="ON")*(COUNTIFS(Override!$B$11:$B$40,$B155,Override!$D$11:$D$40,6,Override!$E$11:$E$40,"&gt;=0")-COUNTIFS(Override!$B$11:$B$40,$B155,Override!$D$11:$D$40,6,Override!$E$11:$E$40,"&gt;=0",Override!$C$11:$C$40,"MXAU"))&gt;0,SUMIFS(Override!$E$11:$E$40,Override!$B$11:$B$40,$B155,Override!$D$11:$D$40,6)-SUMIFS(Override!$E$11:$E$40,Override!$B$11:$B$40,$B155,Override!$D$11:$D$40,6,Override!$C$11:$C$40,"MXAU"),Override!$H$190)/AS51!$B$3,"")))</f>
        <v/>
      </c>
      <c r="L155" s="140">
        <f>IF(L$13="","",IF($B155="","",IFERROR($C155*$D155*IF((Override!$C$4="ON")*(COUNTIFS(Override!$B$11:$B$40,$B155,Override!$D$11:$D$40,7,Override!$E$11:$E$40,"&gt;=0")-COUNTIFS(Override!$B$11:$B$40,$B155,Override!$D$11:$D$40,7,Override!$E$11:$E$40,"&gt;=0",Override!$C$11:$C$40,"MXAU"))&gt;0,SUMIFS(Override!$E$11:$E$40,Override!$B$11:$B$40,$B155,Override!$D$11:$D$40,7)-SUMIFS(Override!$E$11:$E$40,Override!$B$11:$B$40,$B155,Override!$D$11:$D$40,7,Override!$C$11:$C$40,"MXAU"),Override!$I$190)/AS51!$B$3,"")))</f>
        <v/>
      </c>
      <c r="M155" s="140">
        <f>IF(M$13="","",IF($B155="","",IFERROR($C155*$D155*IF((Override!$C$4="ON")*(COUNTIFS(Override!$B$11:$B$40,$B155,Override!$D$11:$D$40,8,Override!$E$11:$E$40,"&gt;=0")-COUNTIFS(Override!$B$11:$B$40,$B155,Override!$D$11:$D$40,8,Override!$E$11:$E$40,"&gt;=0",Override!$C$11:$C$40,"MXAU"))&gt;0,SUMIFS(Override!$E$11:$E$40,Override!$B$11:$B$40,$B155,Override!$D$11:$D$40,8)-SUMIFS(Override!$E$11:$E$40,Override!$B$11:$B$40,$B155,Override!$D$11:$D$40,8,Override!$C$11:$C$40,"MXAU"),Override!$J$190)/AS51!$B$3,"")))</f>
        <v/>
      </c>
      <c r="N155" s="140">
        <f>IF(N$13="","",IF($B155="","",IFERROR($C155*$D155*IF((Override!$C$4="ON")*(COUNTIFS(Override!$B$11:$B$40,$B155,Override!$D$11:$D$40,9,Override!$E$11:$E$40,"&gt;=0")-COUNTIFS(Override!$B$11:$B$40,$B155,Override!$D$11:$D$40,9,Override!$E$11:$E$40,"&gt;=0",Override!$C$11:$C$40,"MXAU"))&gt;0,SUMIFS(Override!$E$11:$E$40,Override!$B$11:$B$40,$B155,Override!$D$11:$D$40,9)-SUMIFS(Override!$E$11:$E$40,Override!$B$11:$B$40,$B155,Override!$D$11:$D$40,9,Override!$C$11:$C$40,"MXAU"),Override!$K$190)/AS51!$B$3,"")))</f>
        <v/>
      </c>
      <c r="O155" s="140">
        <f>IF(O$13="","",IF($B155="","",IFERROR($C155*$D155*IF((Override!$C$4="ON")*(COUNTIFS(Override!$B$11:$B$40,$B155,Override!$D$11:$D$40,10,Override!$E$11:$E$40,"&gt;=0")-COUNTIFS(Override!$B$11:$B$40,$B155,Override!$D$11:$D$40,10,Override!$E$11:$E$40,"&gt;=0",Override!$C$11:$C$40,"MXAU"))&gt;0,SUMIFS(Override!$E$11:$E$40,Override!$B$11:$B$40,$B155,Override!$D$11:$D$40,10)-SUMIFS(Override!$E$11:$E$40,Override!$B$11:$B$40,$B155,Override!$D$11:$D$40,10,Override!$C$11:$C$40,"MXAU"),Override!$L$190)/AS51!$B$3,"")))</f>
        <v/>
      </c>
      <c r="P155" s="140">
        <f>IF(P$13="","",IF($B155="","",IFERROR($C155*$D155*IF((Override!$C$4="ON")*(COUNTIFS(Override!$B$11:$B$40,$B155,Override!$D$11:$D$40,11,Override!$E$11:$E$40,"&gt;=0")-COUNTIFS(Override!$B$11:$B$40,$B155,Override!$D$11:$D$40,11,Override!$E$11:$E$40,"&gt;=0",Override!$C$11:$C$40,"MXAU"))&gt;0,SUMIFS(Override!$E$11:$E$40,Override!$B$11:$B$40,$B155,Override!$D$11:$D$40,11)-SUMIFS(Override!$E$11:$E$40,Override!$B$11:$B$40,$B155,Override!$D$11:$D$40,11,Override!$C$11:$C$40,"MXAU"),Override!$M$190)/AS51!$B$3,"")))</f>
        <v/>
      </c>
      <c r="Q155" s="140">
        <f>IF(Q$13="","",IF($B155="","",IFERROR($C155*$D155*IF((Override!$C$4="ON")*(COUNTIFS(Override!$B$11:$B$40,$B155,Override!$D$11:$D$40,12,Override!$E$11:$E$40,"&gt;=0")-COUNTIFS(Override!$B$11:$B$40,$B155,Override!$D$11:$D$40,12,Override!$E$11:$E$40,"&gt;=0",Override!$C$11:$C$40,"MXAU"))&gt;0,SUMIFS(Override!$E$11:$E$40,Override!$B$11:$B$40,$B155,Override!$D$11:$D$40,12)-SUMIFS(Override!$E$11:$E$40,Override!$B$11:$B$40,$B155,Override!$D$11:$D$40,12,Override!$C$11:$C$40,"MXAU"),Override!$N$190)/AS51!$B$3,"")))</f>
        <v/>
      </c>
      <c r="R155" s="140">
        <f>IF(R$13="","",IF($B155="","",IFERROR($C155*$D155*IF((Override!$C$4="ON")*(COUNTIFS(Override!$B$11:$B$40,$B155,Override!$D$11:$D$40,13,Override!$E$11:$E$40,"&gt;=0")-COUNTIFS(Override!$B$11:$B$40,$B155,Override!$D$11:$D$40,13,Override!$E$11:$E$40,"&gt;=0",Override!$C$11:$C$40,"MXAU"))&gt;0,SUMIFS(Override!$E$11:$E$40,Override!$B$11:$B$40,$B155,Override!$D$11:$D$40,13)-SUMIFS(Override!$E$11:$E$40,Override!$B$11:$B$40,$B155,Override!$D$11:$D$40,13,Override!$C$11:$C$40,"MXAU"),Override!$O$190)/AS51!$B$3,"")))</f>
        <v/>
      </c>
      <c r="S155" s="140">
        <f>IF(S$13="","",IF($B155="","",IFERROR($C155*$D155*IF((Override!$C$4="ON")*(COUNTIFS(Override!$B$11:$B$40,$B155,Override!$D$11:$D$40,14,Override!$E$11:$E$40,"&gt;=0")-COUNTIFS(Override!$B$11:$B$40,$B155,Override!$D$11:$D$40,14,Override!$E$11:$E$40,"&gt;=0",Override!$C$11:$C$40,"MXAU"))&gt;0,SUMIFS(Override!$E$11:$E$40,Override!$B$11:$B$40,$B155,Override!$D$11:$D$40,14)-SUMIFS(Override!$E$11:$E$40,Override!$B$11:$B$40,$B155,Override!$D$11:$D$40,14,Override!$C$11:$C$40,"MXAU"),Override!$P$190)/AS51!$B$3,"")))</f>
        <v/>
      </c>
      <c r="T155" s="140">
        <f>IF(T$13="","",IF($B155="","",IFERROR($C155*$D155*IF((Override!$C$4="ON")*(COUNTIFS(Override!$B$11:$B$40,$B155,Override!$D$11:$D$40,15,Override!$E$11:$E$40,"&gt;=0")-COUNTIFS(Override!$B$11:$B$40,$B155,Override!$D$11:$D$40,15,Override!$E$11:$E$40,"&gt;=0",Override!$C$11:$C$40,"MXAU"))&gt;0,SUMIFS(Override!$E$11:$E$40,Override!$B$11:$B$40,$B155,Override!$D$11:$D$40,15)-SUMIFS(Override!$E$11:$E$40,Override!$B$11:$B$40,$B155,Override!$D$11:$D$40,15,Override!$C$11:$C$40,"MXAU"),Override!$Q$190)/AS51!$B$3,"")))</f>
        <v/>
      </c>
      <c r="U155" s="140">
        <f>IF(U$13="","",IF($B155="","",IFERROR($C155*$D155*IF((Override!$C$4="ON")*(COUNTIFS(Override!$B$11:$B$40,$B155,Override!$D$11:$D$40,16,Override!$E$11:$E$40,"&gt;=0")-COUNTIFS(Override!$B$11:$B$40,$B155,Override!$D$11:$D$40,16,Override!$E$11:$E$40,"&gt;=0",Override!$C$11:$C$40,"MXAU"))&gt;0,SUMIFS(Override!$E$11:$E$40,Override!$B$11:$B$40,$B155,Override!$D$11:$D$40,16)-SUMIFS(Override!$E$11:$E$40,Override!$B$11:$B$40,$B155,Override!$D$11:$D$40,16,Override!$C$11:$C$40,"MXAU"),Override!$R$190)/AS51!$B$3,"")))</f>
        <v/>
      </c>
      <c r="W155" s="140">
        <f>IF(W$13="","",IF($B155="","",IFERROR(F155*$E155/100,"")))</f>
        <v/>
      </c>
      <c r="X155" s="140">
        <f>IF(X$13="","",IF($B155="","",IFERROR(G155*$E155/100,"")))</f>
        <v/>
      </c>
      <c r="Y155" s="140">
        <f>IF(Y$13="","",IF($B155="","",IFERROR(H155*$E155/100,"")))</f>
        <v/>
      </c>
      <c r="Z155" s="140">
        <f>IF(Z$13="","",IF($B155="","",IFERROR(I155*$E155/100,"")))</f>
        <v/>
      </c>
      <c r="AA155" s="140">
        <f>IF(AA$13="","",IF($B155="","",IFERROR(J155*$E155/100,"")))</f>
        <v/>
      </c>
      <c r="AB155" s="140">
        <f>IF(AB$13="","",IF($B155="","",IFERROR(K155*$E155/100,"")))</f>
        <v/>
      </c>
      <c r="AC155" s="140">
        <f>IF(AC$13="","",IF($B155="","",IFERROR(L155*$E155/100,"")))</f>
        <v/>
      </c>
      <c r="AD155" s="140">
        <f>IF(AD$13="","",IF($B155="","",IFERROR(M155*$E155/100,"")))</f>
        <v/>
      </c>
      <c r="AE155" s="140">
        <f>IF(AE$13="","",IF($B155="","",IFERROR(N155*$E155/100,"")))</f>
        <v/>
      </c>
      <c r="AF155" s="140">
        <f>IF(AF$13="","",IF($B155="","",IFERROR(O155*$E155/100,"")))</f>
        <v/>
      </c>
      <c r="AG155" s="140">
        <f>IF(AG$13="","",IF($B155="","",IFERROR(P155*$E155/100,"")))</f>
        <v/>
      </c>
      <c r="AH155" s="140">
        <f>IF(AH$13="","",IF($B155="","",IFERROR(Q155*$E155/100,"")))</f>
        <v/>
      </c>
      <c r="AI155" s="140">
        <f>IF(AI$13="","",IF($B155="","",IFERROR(R155*$E155/100,"")))</f>
        <v/>
      </c>
      <c r="AJ155" s="140">
        <f>IF(AJ$13="","",IF($B155="","",IFERROR(S155*$E155/100,"")))</f>
        <v/>
      </c>
      <c r="AK155" s="140">
        <f>IF(AK$13="","",IF($B155="","",IFERROR(T155*$E155/100,"")))</f>
        <v/>
      </c>
      <c r="AL155" s="140">
        <f>IF(AL$13="","",IF($B155="","",IFERROR(U155*$E155/100,"")))</f>
        <v/>
      </c>
      <c r="AN155" s="140">
        <f>IF($B155="","",SUMIF($F$13:$U$13,"&lt;="&amp;Sector!$D$51,$F155:$U155))</f>
        <v/>
      </c>
      <c r="AO155" s="140">
        <f>IF($B155="","",SUMIF($W$13:$AL$13,"&lt;="&amp;Sector!$D$51,$W155:$AL155))</f>
        <v/>
      </c>
    </row>
    <row r="156">
      <c r="B156" s="5">
        <f>IF(AS51!$C$146="","",AS51!$C$146)</f>
        <v/>
      </c>
      <c r="C156" s="90">
        <f>IF(AS51!$B$146="","",AS51!$B$146)</f>
        <v/>
      </c>
      <c r="D156" s="138">
        <f>IFERROR(AS51!$Q$146,1)</f>
        <v/>
      </c>
      <c r="E156" s="139">
        <f>IF($B156="","",IF(ISNUMBER(AS51!$I$146),AS51!$I$146,'Index Summary'!$C$7))</f>
        <v/>
      </c>
      <c r="F156" s="140">
        <f>IF(F$13="","",IF($B156="","",IFERROR($C156*$D156*IF((Override!$C$4="ON")*(COUNTIFS(Override!$B$11:$B$40,$B156,Override!$D$11:$D$40,1,Override!$E$11:$E$40,"&gt;=0")-COUNTIFS(Override!$B$11:$B$40,$B156,Override!$D$11:$D$40,1,Override!$E$11:$E$40,"&gt;=0",Override!$C$11:$C$40,"MXAU"))&gt;0,SUMIFS(Override!$E$11:$E$40,Override!$B$11:$B$40,$B156,Override!$D$11:$D$40,1)-SUMIFS(Override!$E$11:$E$40,Override!$B$11:$B$40,$B156,Override!$D$11:$D$40,1,Override!$C$11:$C$40,"MXAU"),Override!$C$191)/AS51!$B$3,"")))</f>
        <v/>
      </c>
      <c r="G156" s="140">
        <f>IF(G$13="","",IF($B156="","",IFERROR($C156*$D156*IF((Override!$C$4="ON")*(COUNTIFS(Override!$B$11:$B$40,$B156,Override!$D$11:$D$40,2,Override!$E$11:$E$40,"&gt;=0")-COUNTIFS(Override!$B$11:$B$40,$B156,Override!$D$11:$D$40,2,Override!$E$11:$E$40,"&gt;=0",Override!$C$11:$C$40,"MXAU"))&gt;0,SUMIFS(Override!$E$11:$E$40,Override!$B$11:$B$40,$B156,Override!$D$11:$D$40,2)-SUMIFS(Override!$E$11:$E$40,Override!$B$11:$B$40,$B156,Override!$D$11:$D$40,2,Override!$C$11:$C$40,"MXAU"),Override!$D$191)/AS51!$B$3,"")))</f>
        <v/>
      </c>
      <c r="H156" s="140">
        <f>IF(H$13="","",IF($B156="","",IFERROR($C156*$D156*IF((Override!$C$4="ON")*(COUNTIFS(Override!$B$11:$B$40,$B156,Override!$D$11:$D$40,3,Override!$E$11:$E$40,"&gt;=0")-COUNTIFS(Override!$B$11:$B$40,$B156,Override!$D$11:$D$40,3,Override!$E$11:$E$40,"&gt;=0",Override!$C$11:$C$40,"MXAU"))&gt;0,SUMIFS(Override!$E$11:$E$40,Override!$B$11:$B$40,$B156,Override!$D$11:$D$40,3)-SUMIFS(Override!$E$11:$E$40,Override!$B$11:$B$40,$B156,Override!$D$11:$D$40,3,Override!$C$11:$C$40,"MXAU"),Override!$E$191)/AS51!$B$3,"")))</f>
        <v/>
      </c>
      <c r="I156" s="140">
        <f>IF(I$13="","",IF($B156="","",IFERROR($C156*$D156*IF((Override!$C$4="ON")*(COUNTIFS(Override!$B$11:$B$40,$B156,Override!$D$11:$D$40,4,Override!$E$11:$E$40,"&gt;=0")-COUNTIFS(Override!$B$11:$B$40,$B156,Override!$D$11:$D$40,4,Override!$E$11:$E$40,"&gt;=0",Override!$C$11:$C$40,"MXAU"))&gt;0,SUMIFS(Override!$E$11:$E$40,Override!$B$11:$B$40,$B156,Override!$D$11:$D$40,4)-SUMIFS(Override!$E$11:$E$40,Override!$B$11:$B$40,$B156,Override!$D$11:$D$40,4,Override!$C$11:$C$40,"MXAU"),Override!$F$191)/AS51!$B$3,"")))</f>
        <v/>
      </c>
      <c r="J156" s="140">
        <f>IF(J$13="","",IF($B156="","",IFERROR($C156*$D156*IF((Override!$C$4="ON")*(COUNTIFS(Override!$B$11:$B$40,$B156,Override!$D$11:$D$40,5,Override!$E$11:$E$40,"&gt;=0")-COUNTIFS(Override!$B$11:$B$40,$B156,Override!$D$11:$D$40,5,Override!$E$11:$E$40,"&gt;=0",Override!$C$11:$C$40,"MXAU"))&gt;0,SUMIFS(Override!$E$11:$E$40,Override!$B$11:$B$40,$B156,Override!$D$11:$D$40,5)-SUMIFS(Override!$E$11:$E$40,Override!$B$11:$B$40,$B156,Override!$D$11:$D$40,5,Override!$C$11:$C$40,"MXAU"),Override!$G$191)/AS51!$B$3,"")))</f>
        <v/>
      </c>
      <c r="K156" s="140">
        <f>IF(K$13="","",IF($B156="","",IFERROR($C156*$D156*IF((Override!$C$4="ON")*(COUNTIFS(Override!$B$11:$B$40,$B156,Override!$D$11:$D$40,6,Override!$E$11:$E$40,"&gt;=0")-COUNTIFS(Override!$B$11:$B$40,$B156,Override!$D$11:$D$40,6,Override!$E$11:$E$40,"&gt;=0",Override!$C$11:$C$40,"MXAU"))&gt;0,SUMIFS(Override!$E$11:$E$40,Override!$B$11:$B$40,$B156,Override!$D$11:$D$40,6)-SUMIFS(Override!$E$11:$E$40,Override!$B$11:$B$40,$B156,Override!$D$11:$D$40,6,Override!$C$11:$C$40,"MXAU"),Override!$H$191)/AS51!$B$3,"")))</f>
        <v/>
      </c>
      <c r="L156" s="140">
        <f>IF(L$13="","",IF($B156="","",IFERROR($C156*$D156*IF((Override!$C$4="ON")*(COUNTIFS(Override!$B$11:$B$40,$B156,Override!$D$11:$D$40,7,Override!$E$11:$E$40,"&gt;=0")-COUNTIFS(Override!$B$11:$B$40,$B156,Override!$D$11:$D$40,7,Override!$E$11:$E$40,"&gt;=0",Override!$C$11:$C$40,"MXAU"))&gt;0,SUMIFS(Override!$E$11:$E$40,Override!$B$11:$B$40,$B156,Override!$D$11:$D$40,7)-SUMIFS(Override!$E$11:$E$40,Override!$B$11:$B$40,$B156,Override!$D$11:$D$40,7,Override!$C$11:$C$40,"MXAU"),Override!$I$191)/AS51!$B$3,"")))</f>
        <v/>
      </c>
      <c r="M156" s="140">
        <f>IF(M$13="","",IF($B156="","",IFERROR($C156*$D156*IF((Override!$C$4="ON")*(COUNTIFS(Override!$B$11:$B$40,$B156,Override!$D$11:$D$40,8,Override!$E$11:$E$40,"&gt;=0")-COUNTIFS(Override!$B$11:$B$40,$B156,Override!$D$11:$D$40,8,Override!$E$11:$E$40,"&gt;=0",Override!$C$11:$C$40,"MXAU"))&gt;0,SUMIFS(Override!$E$11:$E$40,Override!$B$11:$B$40,$B156,Override!$D$11:$D$40,8)-SUMIFS(Override!$E$11:$E$40,Override!$B$11:$B$40,$B156,Override!$D$11:$D$40,8,Override!$C$11:$C$40,"MXAU"),Override!$J$191)/AS51!$B$3,"")))</f>
        <v/>
      </c>
      <c r="N156" s="140">
        <f>IF(N$13="","",IF($B156="","",IFERROR($C156*$D156*IF((Override!$C$4="ON")*(COUNTIFS(Override!$B$11:$B$40,$B156,Override!$D$11:$D$40,9,Override!$E$11:$E$40,"&gt;=0")-COUNTIFS(Override!$B$11:$B$40,$B156,Override!$D$11:$D$40,9,Override!$E$11:$E$40,"&gt;=0",Override!$C$11:$C$40,"MXAU"))&gt;0,SUMIFS(Override!$E$11:$E$40,Override!$B$11:$B$40,$B156,Override!$D$11:$D$40,9)-SUMIFS(Override!$E$11:$E$40,Override!$B$11:$B$40,$B156,Override!$D$11:$D$40,9,Override!$C$11:$C$40,"MXAU"),Override!$K$191)/AS51!$B$3,"")))</f>
        <v/>
      </c>
      <c r="O156" s="140">
        <f>IF(O$13="","",IF($B156="","",IFERROR($C156*$D156*IF((Override!$C$4="ON")*(COUNTIFS(Override!$B$11:$B$40,$B156,Override!$D$11:$D$40,10,Override!$E$11:$E$40,"&gt;=0")-COUNTIFS(Override!$B$11:$B$40,$B156,Override!$D$11:$D$40,10,Override!$E$11:$E$40,"&gt;=0",Override!$C$11:$C$40,"MXAU"))&gt;0,SUMIFS(Override!$E$11:$E$40,Override!$B$11:$B$40,$B156,Override!$D$11:$D$40,10)-SUMIFS(Override!$E$11:$E$40,Override!$B$11:$B$40,$B156,Override!$D$11:$D$40,10,Override!$C$11:$C$40,"MXAU"),Override!$L$191)/AS51!$B$3,"")))</f>
        <v/>
      </c>
      <c r="P156" s="140">
        <f>IF(P$13="","",IF($B156="","",IFERROR($C156*$D156*IF((Override!$C$4="ON")*(COUNTIFS(Override!$B$11:$B$40,$B156,Override!$D$11:$D$40,11,Override!$E$11:$E$40,"&gt;=0")-COUNTIFS(Override!$B$11:$B$40,$B156,Override!$D$11:$D$40,11,Override!$E$11:$E$40,"&gt;=0",Override!$C$11:$C$40,"MXAU"))&gt;0,SUMIFS(Override!$E$11:$E$40,Override!$B$11:$B$40,$B156,Override!$D$11:$D$40,11)-SUMIFS(Override!$E$11:$E$40,Override!$B$11:$B$40,$B156,Override!$D$11:$D$40,11,Override!$C$11:$C$40,"MXAU"),Override!$M$191)/AS51!$B$3,"")))</f>
        <v/>
      </c>
      <c r="Q156" s="140">
        <f>IF(Q$13="","",IF($B156="","",IFERROR($C156*$D156*IF((Override!$C$4="ON")*(COUNTIFS(Override!$B$11:$B$40,$B156,Override!$D$11:$D$40,12,Override!$E$11:$E$40,"&gt;=0")-COUNTIFS(Override!$B$11:$B$40,$B156,Override!$D$11:$D$40,12,Override!$E$11:$E$40,"&gt;=0",Override!$C$11:$C$40,"MXAU"))&gt;0,SUMIFS(Override!$E$11:$E$40,Override!$B$11:$B$40,$B156,Override!$D$11:$D$40,12)-SUMIFS(Override!$E$11:$E$40,Override!$B$11:$B$40,$B156,Override!$D$11:$D$40,12,Override!$C$11:$C$40,"MXAU"),Override!$N$191)/AS51!$B$3,"")))</f>
        <v/>
      </c>
      <c r="R156" s="140">
        <f>IF(R$13="","",IF($B156="","",IFERROR($C156*$D156*IF((Override!$C$4="ON")*(COUNTIFS(Override!$B$11:$B$40,$B156,Override!$D$11:$D$40,13,Override!$E$11:$E$40,"&gt;=0")-COUNTIFS(Override!$B$11:$B$40,$B156,Override!$D$11:$D$40,13,Override!$E$11:$E$40,"&gt;=0",Override!$C$11:$C$40,"MXAU"))&gt;0,SUMIFS(Override!$E$11:$E$40,Override!$B$11:$B$40,$B156,Override!$D$11:$D$40,13)-SUMIFS(Override!$E$11:$E$40,Override!$B$11:$B$40,$B156,Override!$D$11:$D$40,13,Override!$C$11:$C$40,"MXAU"),Override!$O$191)/AS51!$B$3,"")))</f>
        <v/>
      </c>
      <c r="S156" s="140">
        <f>IF(S$13="","",IF($B156="","",IFERROR($C156*$D156*IF((Override!$C$4="ON")*(COUNTIFS(Override!$B$11:$B$40,$B156,Override!$D$11:$D$40,14,Override!$E$11:$E$40,"&gt;=0")-COUNTIFS(Override!$B$11:$B$40,$B156,Override!$D$11:$D$40,14,Override!$E$11:$E$40,"&gt;=0",Override!$C$11:$C$40,"MXAU"))&gt;0,SUMIFS(Override!$E$11:$E$40,Override!$B$11:$B$40,$B156,Override!$D$11:$D$40,14)-SUMIFS(Override!$E$11:$E$40,Override!$B$11:$B$40,$B156,Override!$D$11:$D$40,14,Override!$C$11:$C$40,"MXAU"),Override!$P$191)/AS51!$B$3,"")))</f>
        <v/>
      </c>
      <c r="T156" s="140">
        <f>IF(T$13="","",IF($B156="","",IFERROR($C156*$D156*IF((Override!$C$4="ON")*(COUNTIFS(Override!$B$11:$B$40,$B156,Override!$D$11:$D$40,15,Override!$E$11:$E$40,"&gt;=0")-COUNTIFS(Override!$B$11:$B$40,$B156,Override!$D$11:$D$40,15,Override!$E$11:$E$40,"&gt;=0",Override!$C$11:$C$40,"MXAU"))&gt;0,SUMIFS(Override!$E$11:$E$40,Override!$B$11:$B$40,$B156,Override!$D$11:$D$40,15)-SUMIFS(Override!$E$11:$E$40,Override!$B$11:$B$40,$B156,Override!$D$11:$D$40,15,Override!$C$11:$C$40,"MXAU"),Override!$Q$191)/AS51!$B$3,"")))</f>
        <v/>
      </c>
      <c r="U156" s="140">
        <f>IF(U$13="","",IF($B156="","",IFERROR($C156*$D156*IF((Override!$C$4="ON")*(COUNTIFS(Override!$B$11:$B$40,$B156,Override!$D$11:$D$40,16,Override!$E$11:$E$40,"&gt;=0")-COUNTIFS(Override!$B$11:$B$40,$B156,Override!$D$11:$D$40,16,Override!$E$11:$E$40,"&gt;=0",Override!$C$11:$C$40,"MXAU"))&gt;0,SUMIFS(Override!$E$11:$E$40,Override!$B$11:$B$40,$B156,Override!$D$11:$D$40,16)-SUMIFS(Override!$E$11:$E$40,Override!$B$11:$B$40,$B156,Override!$D$11:$D$40,16,Override!$C$11:$C$40,"MXAU"),Override!$R$191)/AS51!$B$3,"")))</f>
        <v/>
      </c>
      <c r="W156" s="140">
        <f>IF(W$13="","",IF($B156="","",IFERROR(F156*$E156/100,"")))</f>
        <v/>
      </c>
      <c r="X156" s="140">
        <f>IF(X$13="","",IF($B156="","",IFERROR(G156*$E156/100,"")))</f>
        <v/>
      </c>
      <c r="Y156" s="140">
        <f>IF(Y$13="","",IF($B156="","",IFERROR(H156*$E156/100,"")))</f>
        <v/>
      </c>
      <c r="Z156" s="140">
        <f>IF(Z$13="","",IF($B156="","",IFERROR(I156*$E156/100,"")))</f>
        <v/>
      </c>
      <c r="AA156" s="140">
        <f>IF(AA$13="","",IF($B156="","",IFERROR(J156*$E156/100,"")))</f>
        <v/>
      </c>
      <c r="AB156" s="140">
        <f>IF(AB$13="","",IF($B156="","",IFERROR(K156*$E156/100,"")))</f>
        <v/>
      </c>
      <c r="AC156" s="140">
        <f>IF(AC$13="","",IF($B156="","",IFERROR(L156*$E156/100,"")))</f>
        <v/>
      </c>
      <c r="AD156" s="140">
        <f>IF(AD$13="","",IF($B156="","",IFERROR(M156*$E156/100,"")))</f>
        <v/>
      </c>
      <c r="AE156" s="140">
        <f>IF(AE$13="","",IF($B156="","",IFERROR(N156*$E156/100,"")))</f>
        <v/>
      </c>
      <c r="AF156" s="140">
        <f>IF(AF$13="","",IF($B156="","",IFERROR(O156*$E156/100,"")))</f>
        <v/>
      </c>
      <c r="AG156" s="140">
        <f>IF(AG$13="","",IF($B156="","",IFERROR(P156*$E156/100,"")))</f>
        <v/>
      </c>
      <c r="AH156" s="140">
        <f>IF(AH$13="","",IF($B156="","",IFERROR(Q156*$E156/100,"")))</f>
        <v/>
      </c>
      <c r="AI156" s="140">
        <f>IF(AI$13="","",IF($B156="","",IFERROR(R156*$E156/100,"")))</f>
        <v/>
      </c>
      <c r="AJ156" s="140">
        <f>IF(AJ$13="","",IF($B156="","",IFERROR(S156*$E156/100,"")))</f>
        <v/>
      </c>
      <c r="AK156" s="140">
        <f>IF(AK$13="","",IF($B156="","",IFERROR(T156*$E156/100,"")))</f>
        <v/>
      </c>
      <c r="AL156" s="140">
        <f>IF(AL$13="","",IF($B156="","",IFERROR(U156*$E156/100,"")))</f>
        <v/>
      </c>
      <c r="AN156" s="140">
        <f>IF($B156="","",SUMIF($F$13:$U$13,"&lt;="&amp;Sector!$D$51,$F156:$U156))</f>
        <v/>
      </c>
      <c r="AO156" s="140">
        <f>IF($B156="","",SUMIF($W$13:$AL$13,"&lt;="&amp;Sector!$D$51,$W156:$AL156))</f>
        <v/>
      </c>
    </row>
    <row r="157">
      <c r="B157" s="5">
        <f>IF(AS51!$C$147="","",AS51!$C$147)</f>
        <v/>
      </c>
      <c r="C157" s="90">
        <f>IF(AS51!$B$147="","",AS51!$B$147)</f>
        <v/>
      </c>
      <c r="D157" s="138">
        <f>IFERROR(AS51!$Q$147,1)</f>
        <v/>
      </c>
      <c r="E157" s="139">
        <f>IF($B157="","",IF(ISNUMBER(AS51!$I$147),AS51!$I$147,'Index Summary'!$C$7))</f>
        <v/>
      </c>
      <c r="F157" s="140">
        <f>IF(F$13="","",IF($B157="","",IFERROR($C157*$D157*IF((Override!$C$4="ON")*(COUNTIFS(Override!$B$11:$B$40,$B157,Override!$D$11:$D$40,1,Override!$E$11:$E$40,"&gt;=0")-COUNTIFS(Override!$B$11:$B$40,$B157,Override!$D$11:$D$40,1,Override!$E$11:$E$40,"&gt;=0",Override!$C$11:$C$40,"MXAU"))&gt;0,SUMIFS(Override!$E$11:$E$40,Override!$B$11:$B$40,$B157,Override!$D$11:$D$40,1)-SUMIFS(Override!$E$11:$E$40,Override!$B$11:$B$40,$B157,Override!$D$11:$D$40,1,Override!$C$11:$C$40,"MXAU"),Override!$C$192)/AS51!$B$3,"")))</f>
        <v/>
      </c>
      <c r="G157" s="140">
        <f>IF(G$13="","",IF($B157="","",IFERROR($C157*$D157*IF((Override!$C$4="ON")*(COUNTIFS(Override!$B$11:$B$40,$B157,Override!$D$11:$D$40,2,Override!$E$11:$E$40,"&gt;=0")-COUNTIFS(Override!$B$11:$B$40,$B157,Override!$D$11:$D$40,2,Override!$E$11:$E$40,"&gt;=0",Override!$C$11:$C$40,"MXAU"))&gt;0,SUMIFS(Override!$E$11:$E$40,Override!$B$11:$B$40,$B157,Override!$D$11:$D$40,2)-SUMIFS(Override!$E$11:$E$40,Override!$B$11:$B$40,$B157,Override!$D$11:$D$40,2,Override!$C$11:$C$40,"MXAU"),Override!$D$192)/AS51!$B$3,"")))</f>
        <v/>
      </c>
      <c r="H157" s="140">
        <f>IF(H$13="","",IF($B157="","",IFERROR($C157*$D157*IF((Override!$C$4="ON")*(COUNTIFS(Override!$B$11:$B$40,$B157,Override!$D$11:$D$40,3,Override!$E$11:$E$40,"&gt;=0")-COUNTIFS(Override!$B$11:$B$40,$B157,Override!$D$11:$D$40,3,Override!$E$11:$E$40,"&gt;=0",Override!$C$11:$C$40,"MXAU"))&gt;0,SUMIFS(Override!$E$11:$E$40,Override!$B$11:$B$40,$B157,Override!$D$11:$D$40,3)-SUMIFS(Override!$E$11:$E$40,Override!$B$11:$B$40,$B157,Override!$D$11:$D$40,3,Override!$C$11:$C$40,"MXAU"),Override!$E$192)/AS51!$B$3,"")))</f>
        <v/>
      </c>
      <c r="I157" s="140">
        <f>IF(I$13="","",IF($B157="","",IFERROR($C157*$D157*IF((Override!$C$4="ON")*(COUNTIFS(Override!$B$11:$B$40,$B157,Override!$D$11:$D$40,4,Override!$E$11:$E$40,"&gt;=0")-COUNTIFS(Override!$B$11:$B$40,$B157,Override!$D$11:$D$40,4,Override!$E$11:$E$40,"&gt;=0",Override!$C$11:$C$40,"MXAU"))&gt;0,SUMIFS(Override!$E$11:$E$40,Override!$B$11:$B$40,$B157,Override!$D$11:$D$40,4)-SUMIFS(Override!$E$11:$E$40,Override!$B$11:$B$40,$B157,Override!$D$11:$D$40,4,Override!$C$11:$C$40,"MXAU"),Override!$F$192)/AS51!$B$3,"")))</f>
        <v/>
      </c>
      <c r="J157" s="140">
        <f>IF(J$13="","",IF($B157="","",IFERROR($C157*$D157*IF((Override!$C$4="ON")*(COUNTIFS(Override!$B$11:$B$40,$B157,Override!$D$11:$D$40,5,Override!$E$11:$E$40,"&gt;=0")-COUNTIFS(Override!$B$11:$B$40,$B157,Override!$D$11:$D$40,5,Override!$E$11:$E$40,"&gt;=0",Override!$C$11:$C$40,"MXAU"))&gt;0,SUMIFS(Override!$E$11:$E$40,Override!$B$11:$B$40,$B157,Override!$D$11:$D$40,5)-SUMIFS(Override!$E$11:$E$40,Override!$B$11:$B$40,$B157,Override!$D$11:$D$40,5,Override!$C$11:$C$40,"MXAU"),Override!$G$192)/AS51!$B$3,"")))</f>
        <v/>
      </c>
      <c r="K157" s="140">
        <f>IF(K$13="","",IF($B157="","",IFERROR($C157*$D157*IF((Override!$C$4="ON")*(COUNTIFS(Override!$B$11:$B$40,$B157,Override!$D$11:$D$40,6,Override!$E$11:$E$40,"&gt;=0")-COUNTIFS(Override!$B$11:$B$40,$B157,Override!$D$11:$D$40,6,Override!$E$11:$E$40,"&gt;=0",Override!$C$11:$C$40,"MXAU"))&gt;0,SUMIFS(Override!$E$11:$E$40,Override!$B$11:$B$40,$B157,Override!$D$11:$D$40,6)-SUMIFS(Override!$E$11:$E$40,Override!$B$11:$B$40,$B157,Override!$D$11:$D$40,6,Override!$C$11:$C$40,"MXAU"),Override!$H$192)/AS51!$B$3,"")))</f>
        <v/>
      </c>
      <c r="L157" s="140">
        <f>IF(L$13="","",IF($B157="","",IFERROR($C157*$D157*IF((Override!$C$4="ON")*(COUNTIFS(Override!$B$11:$B$40,$B157,Override!$D$11:$D$40,7,Override!$E$11:$E$40,"&gt;=0")-COUNTIFS(Override!$B$11:$B$40,$B157,Override!$D$11:$D$40,7,Override!$E$11:$E$40,"&gt;=0",Override!$C$11:$C$40,"MXAU"))&gt;0,SUMIFS(Override!$E$11:$E$40,Override!$B$11:$B$40,$B157,Override!$D$11:$D$40,7)-SUMIFS(Override!$E$11:$E$40,Override!$B$11:$B$40,$B157,Override!$D$11:$D$40,7,Override!$C$11:$C$40,"MXAU"),Override!$I$192)/AS51!$B$3,"")))</f>
        <v/>
      </c>
      <c r="M157" s="140">
        <f>IF(M$13="","",IF($B157="","",IFERROR($C157*$D157*IF((Override!$C$4="ON")*(COUNTIFS(Override!$B$11:$B$40,$B157,Override!$D$11:$D$40,8,Override!$E$11:$E$40,"&gt;=0")-COUNTIFS(Override!$B$11:$B$40,$B157,Override!$D$11:$D$40,8,Override!$E$11:$E$40,"&gt;=0",Override!$C$11:$C$40,"MXAU"))&gt;0,SUMIFS(Override!$E$11:$E$40,Override!$B$11:$B$40,$B157,Override!$D$11:$D$40,8)-SUMIFS(Override!$E$11:$E$40,Override!$B$11:$B$40,$B157,Override!$D$11:$D$40,8,Override!$C$11:$C$40,"MXAU"),Override!$J$192)/AS51!$B$3,"")))</f>
        <v/>
      </c>
      <c r="N157" s="140">
        <f>IF(N$13="","",IF($B157="","",IFERROR($C157*$D157*IF((Override!$C$4="ON")*(COUNTIFS(Override!$B$11:$B$40,$B157,Override!$D$11:$D$40,9,Override!$E$11:$E$40,"&gt;=0")-COUNTIFS(Override!$B$11:$B$40,$B157,Override!$D$11:$D$40,9,Override!$E$11:$E$40,"&gt;=0",Override!$C$11:$C$40,"MXAU"))&gt;0,SUMIFS(Override!$E$11:$E$40,Override!$B$11:$B$40,$B157,Override!$D$11:$D$40,9)-SUMIFS(Override!$E$11:$E$40,Override!$B$11:$B$40,$B157,Override!$D$11:$D$40,9,Override!$C$11:$C$40,"MXAU"),Override!$K$192)/AS51!$B$3,"")))</f>
        <v/>
      </c>
      <c r="O157" s="140">
        <f>IF(O$13="","",IF($B157="","",IFERROR($C157*$D157*IF((Override!$C$4="ON")*(COUNTIFS(Override!$B$11:$B$40,$B157,Override!$D$11:$D$40,10,Override!$E$11:$E$40,"&gt;=0")-COUNTIFS(Override!$B$11:$B$40,$B157,Override!$D$11:$D$40,10,Override!$E$11:$E$40,"&gt;=0",Override!$C$11:$C$40,"MXAU"))&gt;0,SUMIFS(Override!$E$11:$E$40,Override!$B$11:$B$40,$B157,Override!$D$11:$D$40,10)-SUMIFS(Override!$E$11:$E$40,Override!$B$11:$B$40,$B157,Override!$D$11:$D$40,10,Override!$C$11:$C$40,"MXAU"),Override!$L$192)/AS51!$B$3,"")))</f>
        <v/>
      </c>
      <c r="P157" s="140">
        <f>IF(P$13="","",IF($B157="","",IFERROR($C157*$D157*IF((Override!$C$4="ON")*(COUNTIFS(Override!$B$11:$B$40,$B157,Override!$D$11:$D$40,11,Override!$E$11:$E$40,"&gt;=0")-COUNTIFS(Override!$B$11:$B$40,$B157,Override!$D$11:$D$40,11,Override!$E$11:$E$40,"&gt;=0",Override!$C$11:$C$40,"MXAU"))&gt;0,SUMIFS(Override!$E$11:$E$40,Override!$B$11:$B$40,$B157,Override!$D$11:$D$40,11)-SUMIFS(Override!$E$11:$E$40,Override!$B$11:$B$40,$B157,Override!$D$11:$D$40,11,Override!$C$11:$C$40,"MXAU"),Override!$M$192)/AS51!$B$3,"")))</f>
        <v/>
      </c>
      <c r="Q157" s="140">
        <f>IF(Q$13="","",IF($B157="","",IFERROR($C157*$D157*IF((Override!$C$4="ON")*(COUNTIFS(Override!$B$11:$B$40,$B157,Override!$D$11:$D$40,12,Override!$E$11:$E$40,"&gt;=0")-COUNTIFS(Override!$B$11:$B$40,$B157,Override!$D$11:$D$40,12,Override!$E$11:$E$40,"&gt;=0",Override!$C$11:$C$40,"MXAU"))&gt;0,SUMIFS(Override!$E$11:$E$40,Override!$B$11:$B$40,$B157,Override!$D$11:$D$40,12)-SUMIFS(Override!$E$11:$E$40,Override!$B$11:$B$40,$B157,Override!$D$11:$D$40,12,Override!$C$11:$C$40,"MXAU"),Override!$N$192)/AS51!$B$3,"")))</f>
        <v/>
      </c>
      <c r="R157" s="140">
        <f>IF(R$13="","",IF($B157="","",IFERROR($C157*$D157*IF((Override!$C$4="ON")*(COUNTIFS(Override!$B$11:$B$40,$B157,Override!$D$11:$D$40,13,Override!$E$11:$E$40,"&gt;=0")-COUNTIFS(Override!$B$11:$B$40,$B157,Override!$D$11:$D$40,13,Override!$E$11:$E$40,"&gt;=0",Override!$C$11:$C$40,"MXAU"))&gt;0,SUMIFS(Override!$E$11:$E$40,Override!$B$11:$B$40,$B157,Override!$D$11:$D$40,13)-SUMIFS(Override!$E$11:$E$40,Override!$B$11:$B$40,$B157,Override!$D$11:$D$40,13,Override!$C$11:$C$40,"MXAU"),Override!$O$192)/AS51!$B$3,"")))</f>
        <v/>
      </c>
      <c r="S157" s="140">
        <f>IF(S$13="","",IF($B157="","",IFERROR($C157*$D157*IF((Override!$C$4="ON")*(COUNTIFS(Override!$B$11:$B$40,$B157,Override!$D$11:$D$40,14,Override!$E$11:$E$40,"&gt;=0")-COUNTIFS(Override!$B$11:$B$40,$B157,Override!$D$11:$D$40,14,Override!$E$11:$E$40,"&gt;=0",Override!$C$11:$C$40,"MXAU"))&gt;0,SUMIFS(Override!$E$11:$E$40,Override!$B$11:$B$40,$B157,Override!$D$11:$D$40,14)-SUMIFS(Override!$E$11:$E$40,Override!$B$11:$B$40,$B157,Override!$D$11:$D$40,14,Override!$C$11:$C$40,"MXAU"),Override!$P$192)/AS51!$B$3,"")))</f>
        <v/>
      </c>
      <c r="T157" s="140">
        <f>IF(T$13="","",IF($B157="","",IFERROR($C157*$D157*IF((Override!$C$4="ON")*(COUNTIFS(Override!$B$11:$B$40,$B157,Override!$D$11:$D$40,15,Override!$E$11:$E$40,"&gt;=0")-COUNTIFS(Override!$B$11:$B$40,$B157,Override!$D$11:$D$40,15,Override!$E$11:$E$40,"&gt;=0",Override!$C$11:$C$40,"MXAU"))&gt;0,SUMIFS(Override!$E$11:$E$40,Override!$B$11:$B$40,$B157,Override!$D$11:$D$40,15)-SUMIFS(Override!$E$11:$E$40,Override!$B$11:$B$40,$B157,Override!$D$11:$D$40,15,Override!$C$11:$C$40,"MXAU"),Override!$Q$192)/AS51!$B$3,"")))</f>
        <v/>
      </c>
      <c r="U157" s="140">
        <f>IF(U$13="","",IF($B157="","",IFERROR($C157*$D157*IF((Override!$C$4="ON")*(COUNTIFS(Override!$B$11:$B$40,$B157,Override!$D$11:$D$40,16,Override!$E$11:$E$40,"&gt;=0")-COUNTIFS(Override!$B$11:$B$40,$B157,Override!$D$11:$D$40,16,Override!$E$11:$E$40,"&gt;=0",Override!$C$11:$C$40,"MXAU"))&gt;0,SUMIFS(Override!$E$11:$E$40,Override!$B$11:$B$40,$B157,Override!$D$11:$D$40,16)-SUMIFS(Override!$E$11:$E$40,Override!$B$11:$B$40,$B157,Override!$D$11:$D$40,16,Override!$C$11:$C$40,"MXAU"),Override!$R$192)/AS51!$B$3,"")))</f>
        <v/>
      </c>
      <c r="W157" s="140">
        <f>IF(W$13="","",IF($B157="","",IFERROR(F157*$E157/100,"")))</f>
        <v/>
      </c>
      <c r="X157" s="140">
        <f>IF(X$13="","",IF($B157="","",IFERROR(G157*$E157/100,"")))</f>
        <v/>
      </c>
      <c r="Y157" s="140">
        <f>IF(Y$13="","",IF($B157="","",IFERROR(H157*$E157/100,"")))</f>
        <v/>
      </c>
      <c r="Z157" s="140">
        <f>IF(Z$13="","",IF($B157="","",IFERROR(I157*$E157/100,"")))</f>
        <v/>
      </c>
      <c r="AA157" s="140">
        <f>IF(AA$13="","",IF($B157="","",IFERROR(J157*$E157/100,"")))</f>
        <v/>
      </c>
      <c r="AB157" s="140">
        <f>IF(AB$13="","",IF($B157="","",IFERROR(K157*$E157/100,"")))</f>
        <v/>
      </c>
      <c r="AC157" s="140">
        <f>IF(AC$13="","",IF($B157="","",IFERROR(L157*$E157/100,"")))</f>
        <v/>
      </c>
      <c r="AD157" s="140">
        <f>IF(AD$13="","",IF($B157="","",IFERROR(M157*$E157/100,"")))</f>
        <v/>
      </c>
      <c r="AE157" s="140">
        <f>IF(AE$13="","",IF($B157="","",IFERROR(N157*$E157/100,"")))</f>
        <v/>
      </c>
      <c r="AF157" s="140">
        <f>IF(AF$13="","",IF($B157="","",IFERROR(O157*$E157/100,"")))</f>
        <v/>
      </c>
      <c r="AG157" s="140">
        <f>IF(AG$13="","",IF($B157="","",IFERROR(P157*$E157/100,"")))</f>
        <v/>
      </c>
      <c r="AH157" s="140">
        <f>IF(AH$13="","",IF($B157="","",IFERROR(Q157*$E157/100,"")))</f>
        <v/>
      </c>
      <c r="AI157" s="140">
        <f>IF(AI$13="","",IF($B157="","",IFERROR(R157*$E157/100,"")))</f>
        <v/>
      </c>
      <c r="AJ157" s="140">
        <f>IF(AJ$13="","",IF($B157="","",IFERROR(S157*$E157/100,"")))</f>
        <v/>
      </c>
      <c r="AK157" s="140">
        <f>IF(AK$13="","",IF($B157="","",IFERROR(T157*$E157/100,"")))</f>
        <v/>
      </c>
      <c r="AL157" s="140">
        <f>IF(AL$13="","",IF($B157="","",IFERROR(U157*$E157/100,"")))</f>
        <v/>
      </c>
      <c r="AN157" s="140">
        <f>IF($B157="","",SUMIF($F$13:$U$13,"&lt;="&amp;Sector!$D$51,$F157:$U157))</f>
        <v/>
      </c>
      <c r="AO157" s="140">
        <f>IF($B157="","",SUMIF($W$13:$AL$13,"&lt;="&amp;Sector!$D$51,$W157:$AL157))</f>
        <v/>
      </c>
    </row>
    <row r="158">
      <c r="B158" s="5">
        <f>IF(AS51!$C$148="","",AS51!$C$148)</f>
        <v/>
      </c>
      <c r="C158" s="90">
        <f>IF(AS51!$B$148="","",AS51!$B$148)</f>
        <v/>
      </c>
      <c r="D158" s="138">
        <f>IFERROR(AS51!$Q$148,1)</f>
        <v/>
      </c>
      <c r="E158" s="139">
        <f>IF($B158="","",IF(ISNUMBER(AS51!$I$148),AS51!$I$148,'Index Summary'!$C$7))</f>
        <v/>
      </c>
      <c r="F158" s="140">
        <f>IF(F$13="","",IF($B158="","",IFERROR($C158*$D158*IF((Override!$C$4="ON")*(COUNTIFS(Override!$B$11:$B$40,$B158,Override!$D$11:$D$40,1,Override!$E$11:$E$40,"&gt;=0")-COUNTIFS(Override!$B$11:$B$40,$B158,Override!$D$11:$D$40,1,Override!$E$11:$E$40,"&gt;=0",Override!$C$11:$C$40,"MXAU"))&gt;0,SUMIFS(Override!$E$11:$E$40,Override!$B$11:$B$40,$B158,Override!$D$11:$D$40,1)-SUMIFS(Override!$E$11:$E$40,Override!$B$11:$B$40,$B158,Override!$D$11:$D$40,1,Override!$C$11:$C$40,"MXAU"),Override!$C$193)/AS51!$B$3,"")))</f>
        <v/>
      </c>
      <c r="G158" s="140">
        <f>IF(G$13="","",IF($B158="","",IFERROR($C158*$D158*IF((Override!$C$4="ON")*(COUNTIFS(Override!$B$11:$B$40,$B158,Override!$D$11:$D$40,2,Override!$E$11:$E$40,"&gt;=0")-COUNTIFS(Override!$B$11:$B$40,$B158,Override!$D$11:$D$40,2,Override!$E$11:$E$40,"&gt;=0",Override!$C$11:$C$40,"MXAU"))&gt;0,SUMIFS(Override!$E$11:$E$40,Override!$B$11:$B$40,$B158,Override!$D$11:$D$40,2)-SUMIFS(Override!$E$11:$E$40,Override!$B$11:$B$40,$B158,Override!$D$11:$D$40,2,Override!$C$11:$C$40,"MXAU"),Override!$D$193)/AS51!$B$3,"")))</f>
        <v/>
      </c>
      <c r="H158" s="140">
        <f>IF(H$13="","",IF($B158="","",IFERROR($C158*$D158*IF((Override!$C$4="ON")*(COUNTIFS(Override!$B$11:$B$40,$B158,Override!$D$11:$D$40,3,Override!$E$11:$E$40,"&gt;=0")-COUNTIFS(Override!$B$11:$B$40,$B158,Override!$D$11:$D$40,3,Override!$E$11:$E$40,"&gt;=0",Override!$C$11:$C$40,"MXAU"))&gt;0,SUMIFS(Override!$E$11:$E$40,Override!$B$11:$B$40,$B158,Override!$D$11:$D$40,3)-SUMIFS(Override!$E$11:$E$40,Override!$B$11:$B$40,$B158,Override!$D$11:$D$40,3,Override!$C$11:$C$40,"MXAU"),Override!$E$193)/AS51!$B$3,"")))</f>
        <v/>
      </c>
      <c r="I158" s="140">
        <f>IF(I$13="","",IF($B158="","",IFERROR($C158*$D158*IF((Override!$C$4="ON")*(COUNTIFS(Override!$B$11:$B$40,$B158,Override!$D$11:$D$40,4,Override!$E$11:$E$40,"&gt;=0")-COUNTIFS(Override!$B$11:$B$40,$B158,Override!$D$11:$D$40,4,Override!$E$11:$E$40,"&gt;=0",Override!$C$11:$C$40,"MXAU"))&gt;0,SUMIFS(Override!$E$11:$E$40,Override!$B$11:$B$40,$B158,Override!$D$11:$D$40,4)-SUMIFS(Override!$E$11:$E$40,Override!$B$11:$B$40,$B158,Override!$D$11:$D$40,4,Override!$C$11:$C$40,"MXAU"),Override!$F$193)/AS51!$B$3,"")))</f>
        <v/>
      </c>
      <c r="J158" s="140">
        <f>IF(J$13="","",IF($B158="","",IFERROR($C158*$D158*IF((Override!$C$4="ON")*(COUNTIFS(Override!$B$11:$B$40,$B158,Override!$D$11:$D$40,5,Override!$E$11:$E$40,"&gt;=0")-COUNTIFS(Override!$B$11:$B$40,$B158,Override!$D$11:$D$40,5,Override!$E$11:$E$40,"&gt;=0",Override!$C$11:$C$40,"MXAU"))&gt;0,SUMIFS(Override!$E$11:$E$40,Override!$B$11:$B$40,$B158,Override!$D$11:$D$40,5)-SUMIFS(Override!$E$11:$E$40,Override!$B$11:$B$40,$B158,Override!$D$11:$D$40,5,Override!$C$11:$C$40,"MXAU"),Override!$G$193)/AS51!$B$3,"")))</f>
        <v/>
      </c>
      <c r="K158" s="140">
        <f>IF(K$13="","",IF($B158="","",IFERROR($C158*$D158*IF((Override!$C$4="ON")*(COUNTIFS(Override!$B$11:$B$40,$B158,Override!$D$11:$D$40,6,Override!$E$11:$E$40,"&gt;=0")-COUNTIFS(Override!$B$11:$B$40,$B158,Override!$D$11:$D$40,6,Override!$E$11:$E$40,"&gt;=0",Override!$C$11:$C$40,"MXAU"))&gt;0,SUMIFS(Override!$E$11:$E$40,Override!$B$11:$B$40,$B158,Override!$D$11:$D$40,6)-SUMIFS(Override!$E$11:$E$40,Override!$B$11:$B$40,$B158,Override!$D$11:$D$40,6,Override!$C$11:$C$40,"MXAU"),Override!$H$193)/AS51!$B$3,"")))</f>
        <v/>
      </c>
      <c r="L158" s="140">
        <f>IF(L$13="","",IF($B158="","",IFERROR($C158*$D158*IF((Override!$C$4="ON")*(COUNTIFS(Override!$B$11:$B$40,$B158,Override!$D$11:$D$40,7,Override!$E$11:$E$40,"&gt;=0")-COUNTIFS(Override!$B$11:$B$40,$B158,Override!$D$11:$D$40,7,Override!$E$11:$E$40,"&gt;=0",Override!$C$11:$C$40,"MXAU"))&gt;0,SUMIFS(Override!$E$11:$E$40,Override!$B$11:$B$40,$B158,Override!$D$11:$D$40,7)-SUMIFS(Override!$E$11:$E$40,Override!$B$11:$B$40,$B158,Override!$D$11:$D$40,7,Override!$C$11:$C$40,"MXAU"),Override!$I$193)/AS51!$B$3,"")))</f>
        <v/>
      </c>
      <c r="M158" s="140">
        <f>IF(M$13="","",IF($B158="","",IFERROR($C158*$D158*IF((Override!$C$4="ON")*(COUNTIFS(Override!$B$11:$B$40,$B158,Override!$D$11:$D$40,8,Override!$E$11:$E$40,"&gt;=0")-COUNTIFS(Override!$B$11:$B$40,$B158,Override!$D$11:$D$40,8,Override!$E$11:$E$40,"&gt;=0",Override!$C$11:$C$40,"MXAU"))&gt;0,SUMIFS(Override!$E$11:$E$40,Override!$B$11:$B$40,$B158,Override!$D$11:$D$40,8)-SUMIFS(Override!$E$11:$E$40,Override!$B$11:$B$40,$B158,Override!$D$11:$D$40,8,Override!$C$11:$C$40,"MXAU"),Override!$J$193)/AS51!$B$3,"")))</f>
        <v/>
      </c>
      <c r="N158" s="140">
        <f>IF(N$13="","",IF($B158="","",IFERROR($C158*$D158*IF((Override!$C$4="ON")*(COUNTIFS(Override!$B$11:$B$40,$B158,Override!$D$11:$D$40,9,Override!$E$11:$E$40,"&gt;=0")-COUNTIFS(Override!$B$11:$B$40,$B158,Override!$D$11:$D$40,9,Override!$E$11:$E$40,"&gt;=0",Override!$C$11:$C$40,"MXAU"))&gt;0,SUMIFS(Override!$E$11:$E$40,Override!$B$11:$B$40,$B158,Override!$D$11:$D$40,9)-SUMIFS(Override!$E$11:$E$40,Override!$B$11:$B$40,$B158,Override!$D$11:$D$40,9,Override!$C$11:$C$40,"MXAU"),Override!$K$193)/AS51!$B$3,"")))</f>
        <v/>
      </c>
      <c r="O158" s="140">
        <f>IF(O$13="","",IF($B158="","",IFERROR($C158*$D158*IF((Override!$C$4="ON")*(COUNTIFS(Override!$B$11:$B$40,$B158,Override!$D$11:$D$40,10,Override!$E$11:$E$40,"&gt;=0")-COUNTIFS(Override!$B$11:$B$40,$B158,Override!$D$11:$D$40,10,Override!$E$11:$E$40,"&gt;=0",Override!$C$11:$C$40,"MXAU"))&gt;0,SUMIFS(Override!$E$11:$E$40,Override!$B$11:$B$40,$B158,Override!$D$11:$D$40,10)-SUMIFS(Override!$E$11:$E$40,Override!$B$11:$B$40,$B158,Override!$D$11:$D$40,10,Override!$C$11:$C$40,"MXAU"),Override!$L$193)/AS51!$B$3,"")))</f>
        <v/>
      </c>
      <c r="P158" s="140">
        <f>IF(P$13="","",IF($B158="","",IFERROR($C158*$D158*IF((Override!$C$4="ON")*(COUNTIFS(Override!$B$11:$B$40,$B158,Override!$D$11:$D$40,11,Override!$E$11:$E$40,"&gt;=0")-COUNTIFS(Override!$B$11:$B$40,$B158,Override!$D$11:$D$40,11,Override!$E$11:$E$40,"&gt;=0",Override!$C$11:$C$40,"MXAU"))&gt;0,SUMIFS(Override!$E$11:$E$40,Override!$B$11:$B$40,$B158,Override!$D$11:$D$40,11)-SUMIFS(Override!$E$11:$E$40,Override!$B$11:$B$40,$B158,Override!$D$11:$D$40,11,Override!$C$11:$C$40,"MXAU"),Override!$M$193)/AS51!$B$3,"")))</f>
        <v/>
      </c>
      <c r="Q158" s="140">
        <f>IF(Q$13="","",IF($B158="","",IFERROR($C158*$D158*IF((Override!$C$4="ON")*(COUNTIFS(Override!$B$11:$B$40,$B158,Override!$D$11:$D$40,12,Override!$E$11:$E$40,"&gt;=0")-COUNTIFS(Override!$B$11:$B$40,$B158,Override!$D$11:$D$40,12,Override!$E$11:$E$40,"&gt;=0",Override!$C$11:$C$40,"MXAU"))&gt;0,SUMIFS(Override!$E$11:$E$40,Override!$B$11:$B$40,$B158,Override!$D$11:$D$40,12)-SUMIFS(Override!$E$11:$E$40,Override!$B$11:$B$40,$B158,Override!$D$11:$D$40,12,Override!$C$11:$C$40,"MXAU"),Override!$N$193)/AS51!$B$3,"")))</f>
        <v/>
      </c>
      <c r="R158" s="140">
        <f>IF(R$13="","",IF($B158="","",IFERROR($C158*$D158*IF((Override!$C$4="ON")*(COUNTIFS(Override!$B$11:$B$40,$B158,Override!$D$11:$D$40,13,Override!$E$11:$E$40,"&gt;=0")-COUNTIFS(Override!$B$11:$B$40,$B158,Override!$D$11:$D$40,13,Override!$E$11:$E$40,"&gt;=0",Override!$C$11:$C$40,"MXAU"))&gt;0,SUMIFS(Override!$E$11:$E$40,Override!$B$11:$B$40,$B158,Override!$D$11:$D$40,13)-SUMIFS(Override!$E$11:$E$40,Override!$B$11:$B$40,$B158,Override!$D$11:$D$40,13,Override!$C$11:$C$40,"MXAU"),Override!$O$193)/AS51!$B$3,"")))</f>
        <v/>
      </c>
      <c r="S158" s="140">
        <f>IF(S$13="","",IF($B158="","",IFERROR($C158*$D158*IF((Override!$C$4="ON")*(COUNTIFS(Override!$B$11:$B$40,$B158,Override!$D$11:$D$40,14,Override!$E$11:$E$40,"&gt;=0")-COUNTIFS(Override!$B$11:$B$40,$B158,Override!$D$11:$D$40,14,Override!$E$11:$E$40,"&gt;=0",Override!$C$11:$C$40,"MXAU"))&gt;0,SUMIFS(Override!$E$11:$E$40,Override!$B$11:$B$40,$B158,Override!$D$11:$D$40,14)-SUMIFS(Override!$E$11:$E$40,Override!$B$11:$B$40,$B158,Override!$D$11:$D$40,14,Override!$C$11:$C$40,"MXAU"),Override!$P$193)/AS51!$B$3,"")))</f>
        <v/>
      </c>
      <c r="T158" s="140">
        <f>IF(T$13="","",IF($B158="","",IFERROR($C158*$D158*IF((Override!$C$4="ON")*(COUNTIFS(Override!$B$11:$B$40,$B158,Override!$D$11:$D$40,15,Override!$E$11:$E$40,"&gt;=0")-COUNTIFS(Override!$B$11:$B$40,$B158,Override!$D$11:$D$40,15,Override!$E$11:$E$40,"&gt;=0",Override!$C$11:$C$40,"MXAU"))&gt;0,SUMIFS(Override!$E$11:$E$40,Override!$B$11:$B$40,$B158,Override!$D$11:$D$40,15)-SUMIFS(Override!$E$11:$E$40,Override!$B$11:$B$40,$B158,Override!$D$11:$D$40,15,Override!$C$11:$C$40,"MXAU"),Override!$Q$193)/AS51!$B$3,"")))</f>
        <v/>
      </c>
      <c r="U158" s="140">
        <f>IF(U$13="","",IF($B158="","",IFERROR($C158*$D158*IF((Override!$C$4="ON")*(COUNTIFS(Override!$B$11:$B$40,$B158,Override!$D$11:$D$40,16,Override!$E$11:$E$40,"&gt;=0")-COUNTIFS(Override!$B$11:$B$40,$B158,Override!$D$11:$D$40,16,Override!$E$11:$E$40,"&gt;=0",Override!$C$11:$C$40,"MXAU"))&gt;0,SUMIFS(Override!$E$11:$E$40,Override!$B$11:$B$40,$B158,Override!$D$11:$D$40,16)-SUMIFS(Override!$E$11:$E$40,Override!$B$11:$B$40,$B158,Override!$D$11:$D$40,16,Override!$C$11:$C$40,"MXAU"),Override!$R$193)/AS51!$B$3,"")))</f>
        <v/>
      </c>
      <c r="W158" s="140">
        <f>IF(W$13="","",IF($B158="","",IFERROR(F158*$E158/100,"")))</f>
        <v/>
      </c>
      <c r="X158" s="140">
        <f>IF(X$13="","",IF($B158="","",IFERROR(G158*$E158/100,"")))</f>
        <v/>
      </c>
      <c r="Y158" s="140">
        <f>IF(Y$13="","",IF($B158="","",IFERROR(H158*$E158/100,"")))</f>
        <v/>
      </c>
      <c r="Z158" s="140">
        <f>IF(Z$13="","",IF($B158="","",IFERROR(I158*$E158/100,"")))</f>
        <v/>
      </c>
      <c r="AA158" s="140">
        <f>IF(AA$13="","",IF($B158="","",IFERROR(J158*$E158/100,"")))</f>
        <v/>
      </c>
      <c r="AB158" s="140">
        <f>IF(AB$13="","",IF($B158="","",IFERROR(K158*$E158/100,"")))</f>
        <v/>
      </c>
      <c r="AC158" s="140">
        <f>IF(AC$13="","",IF($B158="","",IFERROR(L158*$E158/100,"")))</f>
        <v/>
      </c>
      <c r="AD158" s="140">
        <f>IF(AD$13="","",IF($B158="","",IFERROR(M158*$E158/100,"")))</f>
        <v/>
      </c>
      <c r="AE158" s="140">
        <f>IF(AE$13="","",IF($B158="","",IFERROR(N158*$E158/100,"")))</f>
        <v/>
      </c>
      <c r="AF158" s="140">
        <f>IF(AF$13="","",IF($B158="","",IFERROR(O158*$E158/100,"")))</f>
        <v/>
      </c>
      <c r="AG158" s="140">
        <f>IF(AG$13="","",IF($B158="","",IFERROR(P158*$E158/100,"")))</f>
        <v/>
      </c>
      <c r="AH158" s="140">
        <f>IF(AH$13="","",IF($B158="","",IFERROR(Q158*$E158/100,"")))</f>
        <v/>
      </c>
      <c r="AI158" s="140">
        <f>IF(AI$13="","",IF($B158="","",IFERROR(R158*$E158/100,"")))</f>
        <v/>
      </c>
      <c r="AJ158" s="140">
        <f>IF(AJ$13="","",IF($B158="","",IFERROR(S158*$E158/100,"")))</f>
        <v/>
      </c>
      <c r="AK158" s="140">
        <f>IF(AK$13="","",IF($B158="","",IFERROR(T158*$E158/100,"")))</f>
        <v/>
      </c>
      <c r="AL158" s="140">
        <f>IF(AL$13="","",IF($B158="","",IFERROR(U158*$E158/100,"")))</f>
        <v/>
      </c>
      <c r="AN158" s="140">
        <f>IF($B158="","",SUMIF($F$13:$U$13,"&lt;="&amp;Sector!$D$51,$F158:$U158))</f>
        <v/>
      </c>
      <c r="AO158" s="140">
        <f>IF($B158="","",SUMIF($W$13:$AL$13,"&lt;="&amp;Sector!$D$51,$W158:$AL158))</f>
        <v/>
      </c>
    </row>
    <row r="159">
      <c r="B159" s="5">
        <f>IF(AS51!$C$149="","",AS51!$C$149)</f>
        <v/>
      </c>
      <c r="C159" s="90">
        <f>IF(AS51!$B$149="","",AS51!$B$149)</f>
        <v/>
      </c>
      <c r="D159" s="138">
        <f>IFERROR(AS51!$Q$149,1)</f>
        <v/>
      </c>
      <c r="E159" s="139">
        <f>IF($B159="","",IF(ISNUMBER(AS51!$I$149),AS51!$I$149,'Index Summary'!$C$7))</f>
        <v/>
      </c>
      <c r="F159" s="140">
        <f>IF(F$13="","",IF($B159="","",IFERROR($C159*$D159*IF((Override!$C$4="ON")*(COUNTIFS(Override!$B$11:$B$40,$B159,Override!$D$11:$D$40,1,Override!$E$11:$E$40,"&gt;=0")-COUNTIFS(Override!$B$11:$B$40,$B159,Override!$D$11:$D$40,1,Override!$E$11:$E$40,"&gt;=0",Override!$C$11:$C$40,"MXAU"))&gt;0,SUMIFS(Override!$E$11:$E$40,Override!$B$11:$B$40,$B159,Override!$D$11:$D$40,1)-SUMIFS(Override!$E$11:$E$40,Override!$B$11:$B$40,$B159,Override!$D$11:$D$40,1,Override!$C$11:$C$40,"MXAU"),Override!$C$194)/AS51!$B$3,"")))</f>
        <v/>
      </c>
      <c r="G159" s="140">
        <f>IF(G$13="","",IF($B159="","",IFERROR($C159*$D159*IF((Override!$C$4="ON")*(COUNTIFS(Override!$B$11:$B$40,$B159,Override!$D$11:$D$40,2,Override!$E$11:$E$40,"&gt;=0")-COUNTIFS(Override!$B$11:$B$40,$B159,Override!$D$11:$D$40,2,Override!$E$11:$E$40,"&gt;=0",Override!$C$11:$C$40,"MXAU"))&gt;0,SUMIFS(Override!$E$11:$E$40,Override!$B$11:$B$40,$B159,Override!$D$11:$D$40,2)-SUMIFS(Override!$E$11:$E$40,Override!$B$11:$B$40,$B159,Override!$D$11:$D$40,2,Override!$C$11:$C$40,"MXAU"),Override!$D$194)/AS51!$B$3,"")))</f>
        <v/>
      </c>
      <c r="H159" s="140">
        <f>IF(H$13="","",IF($B159="","",IFERROR($C159*$D159*IF((Override!$C$4="ON")*(COUNTIFS(Override!$B$11:$B$40,$B159,Override!$D$11:$D$40,3,Override!$E$11:$E$40,"&gt;=0")-COUNTIFS(Override!$B$11:$B$40,$B159,Override!$D$11:$D$40,3,Override!$E$11:$E$40,"&gt;=0",Override!$C$11:$C$40,"MXAU"))&gt;0,SUMIFS(Override!$E$11:$E$40,Override!$B$11:$B$40,$B159,Override!$D$11:$D$40,3)-SUMIFS(Override!$E$11:$E$40,Override!$B$11:$B$40,$B159,Override!$D$11:$D$40,3,Override!$C$11:$C$40,"MXAU"),Override!$E$194)/AS51!$B$3,"")))</f>
        <v/>
      </c>
      <c r="I159" s="140">
        <f>IF(I$13="","",IF($B159="","",IFERROR($C159*$D159*IF((Override!$C$4="ON")*(COUNTIFS(Override!$B$11:$B$40,$B159,Override!$D$11:$D$40,4,Override!$E$11:$E$40,"&gt;=0")-COUNTIFS(Override!$B$11:$B$40,$B159,Override!$D$11:$D$40,4,Override!$E$11:$E$40,"&gt;=0",Override!$C$11:$C$40,"MXAU"))&gt;0,SUMIFS(Override!$E$11:$E$40,Override!$B$11:$B$40,$B159,Override!$D$11:$D$40,4)-SUMIFS(Override!$E$11:$E$40,Override!$B$11:$B$40,$B159,Override!$D$11:$D$40,4,Override!$C$11:$C$40,"MXAU"),Override!$F$194)/AS51!$B$3,"")))</f>
        <v/>
      </c>
      <c r="J159" s="140">
        <f>IF(J$13="","",IF($B159="","",IFERROR($C159*$D159*IF((Override!$C$4="ON")*(COUNTIFS(Override!$B$11:$B$40,$B159,Override!$D$11:$D$40,5,Override!$E$11:$E$40,"&gt;=0")-COUNTIFS(Override!$B$11:$B$40,$B159,Override!$D$11:$D$40,5,Override!$E$11:$E$40,"&gt;=0",Override!$C$11:$C$40,"MXAU"))&gt;0,SUMIFS(Override!$E$11:$E$40,Override!$B$11:$B$40,$B159,Override!$D$11:$D$40,5)-SUMIFS(Override!$E$11:$E$40,Override!$B$11:$B$40,$B159,Override!$D$11:$D$40,5,Override!$C$11:$C$40,"MXAU"),Override!$G$194)/AS51!$B$3,"")))</f>
        <v/>
      </c>
      <c r="K159" s="140">
        <f>IF(K$13="","",IF($B159="","",IFERROR($C159*$D159*IF((Override!$C$4="ON")*(COUNTIFS(Override!$B$11:$B$40,$B159,Override!$D$11:$D$40,6,Override!$E$11:$E$40,"&gt;=0")-COUNTIFS(Override!$B$11:$B$40,$B159,Override!$D$11:$D$40,6,Override!$E$11:$E$40,"&gt;=0",Override!$C$11:$C$40,"MXAU"))&gt;0,SUMIFS(Override!$E$11:$E$40,Override!$B$11:$B$40,$B159,Override!$D$11:$D$40,6)-SUMIFS(Override!$E$11:$E$40,Override!$B$11:$B$40,$B159,Override!$D$11:$D$40,6,Override!$C$11:$C$40,"MXAU"),Override!$H$194)/AS51!$B$3,"")))</f>
        <v/>
      </c>
      <c r="L159" s="140">
        <f>IF(L$13="","",IF($B159="","",IFERROR($C159*$D159*IF((Override!$C$4="ON")*(COUNTIFS(Override!$B$11:$B$40,$B159,Override!$D$11:$D$40,7,Override!$E$11:$E$40,"&gt;=0")-COUNTIFS(Override!$B$11:$B$40,$B159,Override!$D$11:$D$40,7,Override!$E$11:$E$40,"&gt;=0",Override!$C$11:$C$40,"MXAU"))&gt;0,SUMIFS(Override!$E$11:$E$40,Override!$B$11:$B$40,$B159,Override!$D$11:$D$40,7)-SUMIFS(Override!$E$11:$E$40,Override!$B$11:$B$40,$B159,Override!$D$11:$D$40,7,Override!$C$11:$C$40,"MXAU"),Override!$I$194)/AS51!$B$3,"")))</f>
        <v/>
      </c>
      <c r="M159" s="140">
        <f>IF(M$13="","",IF($B159="","",IFERROR($C159*$D159*IF((Override!$C$4="ON")*(COUNTIFS(Override!$B$11:$B$40,$B159,Override!$D$11:$D$40,8,Override!$E$11:$E$40,"&gt;=0")-COUNTIFS(Override!$B$11:$B$40,$B159,Override!$D$11:$D$40,8,Override!$E$11:$E$40,"&gt;=0",Override!$C$11:$C$40,"MXAU"))&gt;0,SUMIFS(Override!$E$11:$E$40,Override!$B$11:$B$40,$B159,Override!$D$11:$D$40,8)-SUMIFS(Override!$E$11:$E$40,Override!$B$11:$B$40,$B159,Override!$D$11:$D$40,8,Override!$C$11:$C$40,"MXAU"),Override!$J$194)/AS51!$B$3,"")))</f>
        <v/>
      </c>
      <c r="N159" s="140">
        <f>IF(N$13="","",IF($B159="","",IFERROR($C159*$D159*IF((Override!$C$4="ON")*(COUNTIFS(Override!$B$11:$B$40,$B159,Override!$D$11:$D$40,9,Override!$E$11:$E$40,"&gt;=0")-COUNTIFS(Override!$B$11:$B$40,$B159,Override!$D$11:$D$40,9,Override!$E$11:$E$40,"&gt;=0",Override!$C$11:$C$40,"MXAU"))&gt;0,SUMIFS(Override!$E$11:$E$40,Override!$B$11:$B$40,$B159,Override!$D$11:$D$40,9)-SUMIFS(Override!$E$11:$E$40,Override!$B$11:$B$40,$B159,Override!$D$11:$D$40,9,Override!$C$11:$C$40,"MXAU"),Override!$K$194)/AS51!$B$3,"")))</f>
        <v/>
      </c>
      <c r="O159" s="140">
        <f>IF(O$13="","",IF($B159="","",IFERROR($C159*$D159*IF((Override!$C$4="ON")*(COUNTIFS(Override!$B$11:$B$40,$B159,Override!$D$11:$D$40,10,Override!$E$11:$E$40,"&gt;=0")-COUNTIFS(Override!$B$11:$B$40,$B159,Override!$D$11:$D$40,10,Override!$E$11:$E$40,"&gt;=0",Override!$C$11:$C$40,"MXAU"))&gt;0,SUMIFS(Override!$E$11:$E$40,Override!$B$11:$B$40,$B159,Override!$D$11:$D$40,10)-SUMIFS(Override!$E$11:$E$40,Override!$B$11:$B$40,$B159,Override!$D$11:$D$40,10,Override!$C$11:$C$40,"MXAU"),Override!$L$194)/AS51!$B$3,"")))</f>
        <v/>
      </c>
      <c r="P159" s="140">
        <f>IF(P$13="","",IF($B159="","",IFERROR($C159*$D159*IF((Override!$C$4="ON")*(COUNTIFS(Override!$B$11:$B$40,$B159,Override!$D$11:$D$40,11,Override!$E$11:$E$40,"&gt;=0")-COUNTIFS(Override!$B$11:$B$40,$B159,Override!$D$11:$D$40,11,Override!$E$11:$E$40,"&gt;=0",Override!$C$11:$C$40,"MXAU"))&gt;0,SUMIFS(Override!$E$11:$E$40,Override!$B$11:$B$40,$B159,Override!$D$11:$D$40,11)-SUMIFS(Override!$E$11:$E$40,Override!$B$11:$B$40,$B159,Override!$D$11:$D$40,11,Override!$C$11:$C$40,"MXAU"),Override!$M$194)/AS51!$B$3,"")))</f>
        <v/>
      </c>
      <c r="Q159" s="140">
        <f>IF(Q$13="","",IF($B159="","",IFERROR($C159*$D159*IF((Override!$C$4="ON")*(COUNTIFS(Override!$B$11:$B$40,$B159,Override!$D$11:$D$40,12,Override!$E$11:$E$40,"&gt;=0")-COUNTIFS(Override!$B$11:$B$40,$B159,Override!$D$11:$D$40,12,Override!$E$11:$E$40,"&gt;=0",Override!$C$11:$C$40,"MXAU"))&gt;0,SUMIFS(Override!$E$11:$E$40,Override!$B$11:$B$40,$B159,Override!$D$11:$D$40,12)-SUMIFS(Override!$E$11:$E$40,Override!$B$11:$B$40,$B159,Override!$D$11:$D$40,12,Override!$C$11:$C$40,"MXAU"),Override!$N$194)/AS51!$B$3,"")))</f>
        <v/>
      </c>
      <c r="R159" s="140">
        <f>IF(R$13="","",IF($B159="","",IFERROR($C159*$D159*IF((Override!$C$4="ON")*(COUNTIFS(Override!$B$11:$B$40,$B159,Override!$D$11:$D$40,13,Override!$E$11:$E$40,"&gt;=0")-COUNTIFS(Override!$B$11:$B$40,$B159,Override!$D$11:$D$40,13,Override!$E$11:$E$40,"&gt;=0",Override!$C$11:$C$40,"MXAU"))&gt;0,SUMIFS(Override!$E$11:$E$40,Override!$B$11:$B$40,$B159,Override!$D$11:$D$40,13)-SUMIFS(Override!$E$11:$E$40,Override!$B$11:$B$40,$B159,Override!$D$11:$D$40,13,Override!$C$11:$C$40,"MXAU"),Override!$O$194)/AS51!$B$3,"")))</f>
        <v/>
      </c>
      <c r="S159" s="140">
        <f>IF(S$13="","",IF($B159="","",IFERROR($C159*$D159*IF((Override!$C$4="ON")*(COUNTIFS(Override!$B$11:$B$40,$B159,Override!$D$11:$D$40,14,Override!$E$11:$E$40,"&gt;=0")-COUNTIFS(Override!$B$11:$B$40,$B159,Override!$D$11:$D$40,14,Override!$E$11:$E$40,"&gt;=0",Override!$C$11:$C$40,"MXAU"))&gt;0,SUMIFS(Override!$E$11:$E$40,Override!$B$11:$B$40,$B159,Override!$D$11:$D$40,14)-SUMIFS(Override!$E$11:$E$40,Override!$B$11:$B$40,$B159,Override!$D$11:$D$40,14,Override!$C$11:$C$40,"MXAU"),Override!$P$194)/AS51!$B$3,"")))</f>
        <v/>
      </c>
      <c r="T159" s="140">
        <f>IF(T$13="","",IF($B159="","",IFERROR($C159*$D159*IF((Override!$C$4="ON")*(COUNTIFS(Override!$B$11:$B$40,$B159,Override!$D$11:$D$40,15,Override!$E$11:$E$40,"&gt;=0")-COUNTIFS(Override!$B$11:$B$40,$B159,Override!$D$11:$D$40,15,Override!$E$11:$E$40,"&gt;=0",Override!$C$11:$C$40,"MXAU"))&gt;0,SUMIFS(Override!$E$11:$E$40,Override!$B$11:$B$40,$B159,Override!$D$11:$D$40,15)-SUMIFS(Override!$E$11:$E$40,Override!$B$11:$B$40,$B159,Override!$D$11:$D$40,15,Override!$C$11:$C$40,"MXAU"),Override!$Q$194)/AS51!$B$3,"")))</f>
        <v/>
      </c>
      <c r="U159" s="140">
        <f>IF(U$13="","",IF($B159="","",IFERROR($C159*$D159*IF((Override!$C$4="ON")*(COUNTIFS(Override!$B$11:$B$40,$B159,Override!$D$11:$D$40,16,Override!$E$11:$E$40,"&gt;=0")-COUNTIFS(Override!$B$11:$B$40,$B159,Override!$D$11:$D$40,16,Override!$E$11:$E$40,"&gt;=0",Override!$C$11:$C$40,"MXAU"))&gt;0,SUMIFS(Override!$E$11:$E$40,Override!$B$11:$B$40,$B159,Override!$D$11:$D$40,16)-SUMIFS(Override!$E$11:$E$40,Override!$B$11:$B$40,$B159,Override!$D$11:$D$40,16,Override!$C$11:$C$40,"MXAU"),Override!$R$194)/AS51!$B$3,"")))</f>
        <v/>
      </c>
      <c r="W159" s="140">
        <f>IF(W$13="","",IF($B159="","",IFERROR(F159*$E159/100,"")))</f>
        <v/>
      </c>
      <c r="X159" s="140">
        <f>IF(X$13="","",IF($B159="","",IFERROR(G159*$E159/100,"")))</f>
        <v/>
      </c>
      <c r="Y159" s="140">
        <f>IF(Y$13="","",IF($B159="","",IFERROR(H159*$E159/100,"")))</f>
        <v/>
      </c>
      <c r="Z159" s="140">
        <f>IF(Z$13="","",IF($B159="","",IFERROR(I159*$E159/100,"")))</f>
        <v/>
      </c>
      <c r="AA159" s="140">
        <f>IF(AA$13="","",IF($B159="","",IFERROR(J159*$E159/100,"")))</f>
        <v/>
      </c>
      <c r="AB159" s="140">
        <f>IF(AB$13="","",IF($B159="","",IFERROR(K159*$E159/100,"")))</f>
        <v/>
      </c>
      <c r="AC159" s="140">
        <f>IF(AC$13="","",IF($B159="","",IFERROR(L159*$E159/100,"")))</f>
        <v/>
      </c>
      <c r="AD159" s="140">
        <f>IF(AD$13="","",IF($B159="","",IFERROR(M159*$E159/100,"")))</f>
        <v/>
      </c>
      <c r="AE159" s="140">
        <f>IF(AE$13="","",IF($B159="","",IFERROR(N159*$E159/100,"")))</f>
        <v/>
      </c>
      <c r="AF159" s="140">
        <f>IF(AF$13="","",IF($B159="","",IFERROR(O159*$E159/100,"")))</f>
        <v/>
      </c>
      <c r="AG159" s="140">
        <f>IF(AG$13="","",IF($B159="","",IFERROR(P159*$E159/100,"")))</f>
        <v/>
      </c>
      <c r="AH159" s="140">
        <f>IF(AH$13="","",IF($B159="","",IFERROR(Q159*$E159/100,"")))</f>
        <v/>
      </c>
      <c r="AI159" s="140">
        <f>IF(AI$13="","",IF($B159="","",IFERROR(R159*$E159/100,"")))</f>
        <v/>
      </c>
      <c r="AJ159" s="140">
        <f>IF(AJ$13="","",IF($B159="","",IFERROR(S159*$E159/100,"")))</f>
        <v/>
      </c>
      <c r="AK159" s="140">
        <f>IF(AK$13="","",IF($B159="","",IFERROR(T159*$E159/100,"")))</f>
        <v/>
      </c>
      <c r="AL159" s="140">
        <f>IF(AL$13="","",IF($B159="","",IFERROR(U159*$E159/100,"")))</f>
        <v/>
      </c>
      <c r="AN159" s="140">
        <f>IF($B159="","",SUMIF($F$13:$U$13,"&lt;="&amp;Sector!$D$51,$F159:$U159))</f>
        <v/>
      </c>
      <c r="AO159" s="140">
        <f>IF($B159="","",SUMIF($W$13:$AL$13,"&lt;="&amp;Sector!$D$51,$W159:$AL159))</f>
        <v/>
      </c>
    </row>
    <row r="160">
      <c r="B160" s="5">
        <f>IF(AS51!$C$150="","",AS51!$C$150)</f>
        <v/>
      </c>
      <c r="C160" s="90">
        <f>IF(AS51!$B$150="","",AS51!$B$150)</f>
        <v/>
      </c>
      <c r="D160" s="138">
        <f>IFERROR(AS51!$Q$150,1)</f>
        <v/>
      </c>
      <c r="E160" s="139">
        <f>IF($B160="","",IF(ISNUMBER(AS51!$I$150),AS51!$I$150,'Index Summary'!$C$7))</f>
        <v/>
      </c>
      <c r="F160" s="140">
        <f>IF(F$13="","",IF($B160="","",IFERROR($C160*$D160*IF((Override!$C$4="ON")*(COUNTIFS(Override!$B$11:$B$40,$B160,Override!$D$11:$D$40,1,Override!$E$11:$E$40,"&gt;=0")-COUNTIFS(Override!$B$11:$B$40,$B160,Override!$D$11:$D$40,1,Override!$E$11:$E$40,"&gt;=0",Override!$C$11:$C$40,"MXAU"))&gt;0,SUMIFS(Override!$E$11:$E$40,Override!$B$11:$B$40,$B160,Override!$D$11:$D$40,1)-SUMIFS(Override!$E$11:$E$40,Override!$B$11:$B$40,$B160,Override!$D$11:$D$40,1,Override!$C$11:$C$40,"MXAU"),Override!$C$195)/AS51!$B$3,"")))</f>
        <v/>
      </c>
      <c r="G160" s="140">
        <f>IF(G$13="","",IF($B160="","",IFERROR($C160*$D160*IF((Override!$C$4="ON")*(COUNTIFS(Override!$B$11:$B$40,$B160,Override!$D$11:$D$40,2,Override!$E$11:$E$40,"&gt;=0")-COUNTIFS(Override!$B$11:$B$40,$B160,Override!$D$11:$D$40,2,Override!$E$11:$E$40,"&gt;=0",Override!$C$11:$C$40,"MXAU"))&gt;0,SUMIFS(Override!$E$11:$E$40,Override!$B$11:$B$40,$B160,Override!$D$11:$D$40,2)-SUMIFS(Override!$E$11:$E$40,Override!$B$11:$B$40,$B160,Override!$D$11:$D$40,2,Override!$C$11:$C$40,"MXAU"),Override!$D$195)/AS51!$B$3,"")))</f>
        <v/>
      </c>
      <c r="H160" s="140">
        <f>IF(H$13="","",IF($B160="","",IFERROR($C160*$D160*IF((Override!$C$4="ON")*(COUNTIFS(Override!$B$11:$B$40,$B160,Override!$D$11:$D$40,3,Override!$E$11:$E$40,"&gt;=0")-COUNTIFS(Override!$B$11:$B$40,$B160,Override!$D$11:$D$40,3,Override!$E$11:$E$40,"&gt;=0",Override!$C$11:$C$40,"MXAU"))&gt;0,SUMIFS(Override!$E$11:$E$40,Override!$B$11:$B$40,$B160,Override!$D$11:$D$40,3)-SUMIFS(Override!$E$11:$E$40,Override!$B$11:$B$40,$B160,Override!$D$11:$D$40,3,Override!$C$11:$C$40,"MXAU"),Override!$E$195)/AS51!$B$3,"")))</f>
        <v/>
      </c>
      <c r="I160" s="140">
        <f>IF(I$13="","",IF($B160="","",IFERROR($C160*$D160*IF((Override!$C$4="ON")*(COUNTIFS(Override!$B$11:$B$40,$B160,Override!$D$11:$D$40,4,Override!$E$11:$E$40,"&gt;=0")-COUNTIFS(Override!$B$11:$B$40,$B160,Override!$D$11:$D$40,4,Override!$E$11:$E$40,"&gt;=0",Override!$C$11:$C$40,"MXAU"))&gt;0,SUMIFS(Override!$E$11:$E$40,Override!$B$11:$B$40,$B160,Override!$D$11:$D$40,4)-SUMIFS(Override!$E$11:$E$40,Override!$B$11:$B$40,$B160,Override!$D$11:$D$40,4,Override!$C$11:$C$40,"MXAU"),Override!$F$195)/AS51!$B$3,"")))</f>
        <v/>
      </c>
      <c r="J160" s="140">
        <f>IF(J$13="","",IF($B160="","",IFERROR($C160*$D160*IF((Override!$C$4="ON")*(COUNTIFS(Override!$B$11:$B$40,$B160,Override!$D$11:$D$40,5,Override!$E$11:$E$40,"&gt;=0")-COUNTIFS(Override!$B$11:$B$40,$B160,Override!$D$11:$D$40,5,Override!$E$11:$E$40,"&gt;=0",Override!$C$11:$C$40,"MXAU"))&gt;0,SUMIFS(Override!$E$11:$E$40,Override!$B$11:$B$40,$B160,Override!$D$11:$D$40,5)-SUMIFS(Override!$E$11:$E$40,Override!$B$11:$B$40,$B160,Override!$D$11:$D$40,5,Override!$C$11:$C$40,"MXAU"),Override!$G$195)/AS51!$B$3,"")))</f>
        <v/>
      </c>
      <c r="K160" s="140">
        <f>IF(K$13="","",IF($B160="","",IFERROR($C160*$D160*IF((Override!$C$4="ON")*(COUNTIFS(Override!$B$11:$B$40,$B160,Override!$D$11:$D$40,6,Override!$E$11:$E$40,"&gt;=0")-COUNTIFS(Override!$B$11:$B$40,$B160,Override!$D$11:$D$40,6,Override!$E$11:$E$40,"&gt;=0",Override!$C$11:$C$40,"MXAU"))&gt;0,SUMIFS(Override!$E$11:$E$40,Override!$B$11:$B$40,$B160,Override!$D$11:$D$40,6)-SUMIFS(Override!$E$11:$E$40,Override!$B$11:$B$40,$B160,Override!$D$11:$D$40,6,Override!$C$11:$C$40,"MXAU"),Override!$H$195)/AS51!$B$3,"")))</f>
        <v/>
      </c>
      <c r="L160" s="140">
        <f>IF(L$13="","",IF($B160="","",IFERROR($C160*$D160*IF((Override!$C$4="ON")*(COUNTIFS(Override!$B$11:$B$40,$B160,Override!$D$11:$D$40,7,Override!$E$11:$E$40,"&gt;=0")-COUNTIFS(Override!$B$11:$B$40,$B160,Override!$D$11:$D$40,7,Override!$E$11:$E$40,"&gt;=0",Override!$C$11:$C$40,"MXAU"))&gt;0,SUMIFS(Override!$E$11:$E$40,Override!$B$11:$B$40,$B160,Override!$D$11:$D$40,7)-SUMIFS(Override!$E$11:$E$40,Override!$B$11:$B$40,$B160,Override!$D$11:$D$40,7,Override!$C$11:$C$40,"MXAU"),Override!$I$195)/AS51!$B$3,"")))</f>
        <v/>
      </c>
      <c r="M160" s="140">
        <f>IF(M$13="","",IF($B160="","",IFERROR($C160*$D160*IF((Override!$C$4="ON")*(COUNTIFS(Override!$B$11:$B$40,$B160,Override!$D$11:$D$40,8,Override!$E$11:$E$40,"&gt;=0")-COUNTIFS(Override!$B$11:$B$40,$B160,Override!$D$11:$D$40,8,Override!$E$11:$E$40,"&gt;=0",Override!$C$11:$C$40,"MXAU"))&gt;0,SUMIFS(Override!$E$11:$E$40,Override!$B$11:$B$40,$B160,Override!$D$11:$D$40,8)-SUMIFS(Override!$E$11:$E$40,Override!$B$11:$B$40,$B160,Override!$D$11:$D$40,8,Override!$C$11:$C$40,"MXAU"),Override!$J$195)/AS51!$B$3,"")))</f>
        <v/>
      </c>
      <c r="N160" s="140">
        <f>IF(N$13="","",IF($B160="","",IFERROR($C160*$D160*IF((Override!$C$4="ON")*(COUNTIFS(Override!$B$11:$B$40,$B160,Override!$D$11:$D$40,9,Override!$E$11:$E$40,"&gt;=0")-COUNTIFS(Override!$B$11:$B$40,$B160,Override!$D$11:$D$40,9,Override!$E$11:$E$40,"&gt;=0",Override!$C$11:$C$40,"MXAU"))&gt;0,SUMIFS(Override!$E$11:$E$40,Override!$B$11:$B$40,$B160,Override!$D$11:$D$40,9)-SUMIFS(Override!$E$11:$E$40,Override!$B$11:$B$40,$B160,Override!$D$11:$D$40,9,Override!$C$11:$C$40,"MXAU"),Override!$K$195)/AS51!$B$3,"")))</f>
        <v/>
      </c>
      <c r="O160" s="140">
        <f>IF(O$13="","",IF($B160="","",IFERROR($C160*$D160*IF((Override!$C$4="ON")*(COUNTIFS(Override!$B$11:$B$40,$B160,Override!$D$11:$D$40,10,Override!$E$11:$E$40,"&gt;=0")-COUNTIFS(Override!$B$11:$B$40,$B160,Override!$D$11:$D$40,10,Override!$E$11:$E$40,"&gt;=0",Override!$C$11:$C$40,"MXAU"))&gt;0,SUMIFS(Override!$E$11:$E$40,Override!$B$11:$B$40,$B160,Override!$D$11:$D$40,10)-SUMIFS(Override!$E$11:$E$40,Override!$B$11:$B$40,$B160,Override!$D$11:$D$40,10,Override!$C$11:$C$40,"MXAU"),Override!$L$195)/AS51!$B$3,"")))</f>
        <v/>
      </c>
      <c r="P160" s="140">
        <f>IF(P$13="","",IF($B160="","",IFERROR($C160*$D160*IF((Override!$C$4="ON")*(COUNTIFS(Override!$B$11:$B$40,$B160,Override!$D$11:$D$40,11,Override!$E$11:$E$40,"&gt;=0")-COUNTIFS(Override!$B$11:$B$40,$B160,Override!$D$11:$D$40,11,Override!$E$11:$E$40,"&gt;=0",Override!$C$11:$C$40,"MXAU"))&gt;0,SUMIFS(Override!$E$11:$E$40,Override!$B$11:$B$40,$B160,Override!$D$11:$D$40,11)-SUMIFS(Override!$E$11:$E$40,Override!$B$11:$B$40,$B160,Override!$D$11:$D$40,11,Override!$C$11:$C$40,"MXAU"),Override!$M$195)/AS51!$B$3,"")))</f>
        <v/>
      </c>
      <c r="Q160" s="140">
        <f>IF(Q$13="","",IF($B160="","",IFERROR($C160*$D160*IF((Override!$C$4="ON")*(COUNTIFS(Override!$B$11:$B$40,$B160,Override!$D$11:$D$40,12,Override!$E$11:$E$40,"&gt;=0")-COUNTIFS(Override!$B$11:$B$40,$B160,Override!$D$11:$D$40,12,Override!$E$11:$E$40,"&gt;=0",Override!$C$11:$C$40,"MXAU"))&gt;0,SUMIFS(Override!$E$11:$E$40,Override!$B$11:$B$40,$B160,Override!$D$11:$D$40,12)-SUMIFS(Override!$E$11:$E$40,Override!$B$11:$B$40,$B160,Override!$D$11:$D$40,12,Override!$C$11:$C$40,"MXAU"),Override!$N$195)/AS51!$B$3,"")))</f>
        <v/>
      </c>
      <c r="R160" s="140">
        <f>IF(R$13="","",IF($B160="","",IFERROR($C160*$D160*IF((Override!$C$4="ON")*(COUNTIFS(Override!$B$11:$B$40,$B160,Override!$D$11:$D$40,13,Override!$E$11:$E$40,"&gt;=0")-COUNTIFS(Override!$B$11:$B$40,$B160,Override!$D$11:$D$40,13,Override!$E$11:$E$40,"&gt;=0",Override!$C$11:$C$40,"MXAU"))&gt;0,SUMIFS(Override!$E$11:$E$40,Override!$B$11:$B$40,$B160,Override!$D$11:$D$40,13)-SUMIFS(Override!$E$11:$E$40,Override!$B$11:$B$40,$B160,Override!$D$11:$D$40,13,Override!$C$11:$C$40,"MXAU"),Override!$O$195)/AS51!$B$3,"")))</f>
        <v/>
      </c>
      <c r="S160" s="140">
        <f>IF(S$13="","",IF($B160="","",IFERROR($C160*$D160*IF((Override!$C$4="ON")*(COUNTIFS(Override!$B$11:$B$40,$B160,Override!$D$11:$D$40,14,Override!$E$11:$E$40,"&gt;=0")-COUNTIFS(Override!$B$11:$B$40,$B160,Override!$D$11:$D$40,14,Override!$E$11:$E$40,"&gt;=0",Override!$C$11:$C$40,"MXAU"))&gt;0,SUMIFS(Override!$E$11:$E$40,Override!$B$11:$B$40,$B160,Override!$D$11:$D$40,14)-SUMIFS(Override!$E$11:$E$40,Override!$B$11:$B$40,$B160,Override!$D$11:$D$40,14,Override!$C$11:$C$40,"MXAU"),Override!$P$195)/AS51!$B$3,"")))</f>
        <v/>
      </c>
      <c r="T160" s="140">
        <f>IF(T$13="","",IF($B160="","",IFERROR($C160*$D160*IF((Override!$C$4="ON")*(COUNTIFS(Override!$B$11:$B$40,$B160,Override!$D$11:$D$40,15,Override!$E$11:$E$40,"&gt;=0")-COUNTIFS(Override!$B$11:$B$40,$B160,Override!$D$11:$D$40,15,Override!$E$11:$E$40,"&gt;=0",Override!$C$11:$C$40,"MXAU"))&gt;0,SUMIFS(Override!$E$11:$E$40,Override!$B$11:$B$40,$B160,Override!$D$11:$D$40,15)-SUMIFS(Override!$E$11:$E$40,Override!$B$11:$B$40,$B160,Override!$D$11:$D$40,15,Override!$C$11:$C$40,"MXAU"),Override!$Q$195)/AS51!$B$3,"")))</f>
        <v/>
      </c>
      <c r="U160" s="140">
        <f>IF(U$13="","",IF($B160="","",IFERROR($C160*$D160*IF((Override!$C$4="ON")*(COUNTIFS(Override!$B$11:$B$40,$B160,Override!$D$11:$D$40,16,Override!$E$11:$E$40,"&gt;=0")-COUNTIFS(Override!$B$11:$B$40,$B160,Override!$D$11:$D$40,16,Override!$E$11:$E$40,"&gt;=0",Override!$C$11:$C$40,"MXAU"))&gt;0,SUMIFS(Override!$E$11:$E$40,Override!$B$11:$B$40,$B160,Override!$D$11:$D$40,16)-SUMIFS(Override!$E$11:$E$40,Override!$B$11:$B$40,$B160,Override!$D$11:$D$40,16,Override!$C$11:$C$40,"MXAU"),Override!$R$195)/AS51!$B$3,"")))</f>
        <v/>
      </c>
      <c r="W160" s="140">
        <f>IF(W$13="","",IF($B160="","",IFERROR(F160*$E160/100,"")))</f>
        <v/>
      </c>
      <c r="X160" s="140">
        <f>IF(X$13="","",IF($B160="","",IFERROR(G160*$E160/100,"")))</f>
        <v/>
      </c>
      <c r="Y160" s="140">
        <f>IF(Y$13="","",IF($B160="","",IFERROR(H160*$E160/100,"")))</f>
        <v/>
      </c>
      <c r="Z160" s="140">
        <f>IF(Z$13="","",IF($B160="","",IFERROR(I160*$E160/100,"")))</f>
        <v/>
      </c>
      <c r="AA160" s="140">
        <f>IF(AA$13="","",IF($B160="","",IFERROR(J160*$E160/100,"")))</f>
        <v/>
      </c>
      <c r="AB160" s="140">
        <f>IF(AB$13="","",IF($B160="","",IFERROR(K160*$E160/100,"")))</f>
        <v/>
      </c>
      <c r="AC160" s="140">
        <f>IF(AC$13="","",IF($B160="","",IFERROR(L160*$E160/100,"")))</f>
        <v/>
      </c>
      <c r="AD160" s="140">
        <f>IF(AD$13="","",IF($B160="","",IFERROR(M160*$E160/100,"")))</f>
        <v/>
      </c>
      <c r="AE160" s="140">
        <f>IF(AE$13="","",IF($B160="","",IFERROR(N160*$E160/100,"")))</f>
        <v/>
      </c>
      <c r="AF160" s="140">
        <f>IF(AF$13="","",IF($B160="","",IFERROR(O160*$E160/100,"")))</f>
        <v/>
      </c>
      <c r="AG160" s="140">
        <f>IF(AG$13="","",IF($B160="","",IFERROR(P160*$E160/100,"")))</f>
        <v/>
      </c>
      <c r="AH160" s="140">
        <f>IF(AH$13="","",IF($B160="","",IFERROR(Q160*$E160/100,"")))</f>
        <v/>
      </c>
      <c r="AI160" s="140">
        <f>IF(AI$13="","",IF($B160="","",IFERROR(R160*$E160/100,"")))</f>
        <v/>
      </c>
      <c r="AJ160" s="140">
        <f>IF(AJ$13="","",IF($B160="","",IFERROR(S160*$E160/100,"")))</f>
        <v/>
      </c>
      <c r="AK160" s="140">
        <f>IF(AK$13="","",IF($B160="","",IFERROR(T160*$E160/100,"")))</f>
        <v/>
      </c>
      <c r="AL160" s="140">
        <f>IF(AL$13="","",IF($B160="","",IFERROR(U160*$E160/100,"")))</f>
        <v/>
      </c>
      <c r="AN160" s="140">
        <f>IF($B160="","",SUMIF($F$13:$U$13,"&lt;="&amp;Sector!$D$51,$F160:$U160))</f>
        <v/>
      </c>
      <c r="AO160" s="140">
        <f>IF($B160="","",SUMIF($W$13:$AL$13,"&lt;="&amp;Sector!$D$51,$W160:$AL160))</f>
        <v/>
      </c>
    </row>
    <row r="161">
      <c r="B161" s="5">
        <f>IF(AS51!$C$151="","",AS51!$C$151)</f>
        <v/>
      </c>
      <c r="C161" s="90">
        <f>IF(AS51!$B$151="","",AS51!$B$151)</f>
        <v/>
      </c>
      <c r="D161" s="138">
        <f>IFERROR(AS51!$Q$151,1)</f>
        <v/>
      </c>
      <c r="E161" s="139">
        <f>IF($B161="","",IF(ISNUMBER(AS51!$I$151),AS51!$I$151,'Index Summary'!$C$7))</f>
        <v/>
      </c>
      <c r="F161" s="140">
        <f>IF(F$13="","",IF($B161="","",IFERROR($C161*$D161*IF((Override!$C$4="ON")*(COUNTIFS(Override!$B$11:$B$40,$B161,Override!$D$11:$D$40,1,Override!$E$11:$E$40,"&gt;=0")-COUNTIFS(Override!$B$11:$B$40,$B161,Override!$D$11:$D$40,1,Override!$E$11:$E$40,"&gt;=0",Override!$C$11:$C$40,"MXAU"))&gt;0,SUMIFS(Override!$E$11:$E$40,Override!$B$11:$B$40,$B161,Override!$D$11:$D$40,1)-SUMIFS(Override!$E$11:$E$40,Override!$B$11:$B$40,$B161,Override!$D$11:$D$40,1,Override!$C$11:$C$40,"MXAU"),Override!$C$196)/AS51!$B$3,"")))</f>
        <v/>
      </c>
      <c r="G161" s="140">
        <f>IF(G$13="","",IF($B161="","",IFERROR($C161*$D161*IF((Override!$C$4="ON")*(COUNTIFS(Override!$B$11:$B$40,$B161,Override!$D$11:$D$40,2,Override!$E$11:$E$40,"&gt;=0")-COUNTIFS(Override!$B$11:$B$40,$B161,Override!$D$11:$D$40,2,Override!$E$11:$E$40,"&gt;=0",Override!$C$11:$C$40,"MXAU"))&gt;0,SUMIFS(Override!$E$11:$E$40,Override!$B$11:$B$40,$B161,Override!$D$11:$D$40,2)-SUMIFS(Override!$E$11:$E$40,Override!$B$11:$B$40,$B161,Override!$D$11:$D$40,2,Override!$C$11:$C$40,"MXAU"),Override!$D$196)/AS51!$B$3,"")))</f>
        <v/>
      </c>
      <c r="H161" s="140">
        <f>IF(H$13="","",IF($B161="","",IFERROR($C161*$D161*IF((Override!$C$4="ON")*(COUNTIFS(Override!$B$11:$B$40,$B161,Override!$D$11:$D$40,3,Override!$E$11:$E$40,"&gt;=0")-COUNTIFS(Override!$B$11:$B$40,$B161,Override!$D$11:$D$40,3,Override!$E$11:$E$40,"&gt;=0",Override!$C$11:$C$40,"MXAU"))&gt;0,SUMIFS(Override!$E$11:$E$40,Override!$B$11:$B$40,$B161,Override!$D$11:$D$40,3)-SUMIFS(Override!$E$11:$E$40,Override!$B$11:$B$40,$B161,Override!$D$11:$D$40,3,Override!$C$11:$C$40,"MXAU"),Override!$E$196)/AS51!$B$3,"")))</f>
        <v/>
      </c>
      <c r="I161" s="140">
        <f>IF(I$13="","",IF($B161="","",IFERROR($C161*$D161*IF((Override!$C$4="ON")*(COUNTIFS(Override!$B$11:$B$40,$B161,Override!$D$11:$D$40,4,Override!$E$11:$E$40,"&gt;=0")-COUNTIFS(Override!$B$11:$B$40,$B161,Override!$D$11:$D$40,4,Override!$E$11:$E$40,"&gt;=0",Override!$C$11:$C$40,"MXAU"))&gt;0,SUMIFS(Override!$E$11:$E$40,Override!$B$11:$B$40,$B161,Override!$D$11:$D$40,4)-SUMIFS(Override!$E$11:$E$40,Override!$B$11:$B$40,$B161,Override!$D$11:$D$40,4,Override!$C$11:$C$40,"MXAU"),Override!$F$196)/AS51!$B$3,"")))</f>
        <v/>
      </c>
      <c r="J161" s="140">
        <f>IF(J$13="","",IF($B161="","",IFERROR($C161*$D161*IF((Override!$C$4="ON")*(COUNTIFS(Override!$B$11:$B$40,$B161,Override!$D$11:$D$40,5,Override!$E$11:$E$40,"&gt;=0")-COUNTIFS(Override!$B$11:$B$40,$B161,Override!$D$11:$D$40,5,Override!$E$11:$E$40,"&gt;=0",Override!$C$11:$C$40,"MXAU"))&gt;0,SUMIFS(Override!$E$11:$E$40,Override!$B$11:$B$40,$B161,Override!$D$11:$D$40,5)-SUMIFS(Override!$E$11:$E$40,Override!$B$11:$B$40,$B161,Override!$D$11:$D$40,5,Override!$C$11:$C$40,"MXAU"),Override!$G$196)/AS51!$B$3,"")))</f>
        <v/>
      </c>
      <c r="K161" s="140">
        <f>IF(K$13="","",IF($B161="","",IFERROR($C161*$D161*IF((Override!$C$4="ON")*(COUNTIFS(Override!$B$11:$B$40,$B161,Override!$D$11:$D$40,6,Override!$E$11:$E$40,"&gt;=0")-COUNTIFS(Override!$B$11:$B$40,$B161,Override!$D$11:$D$40,6,Override!$E$11:$E$40,"&gt;=0",Override!$C$11:$C$40,"MXAU"))&gt;0,SUMIFS(Override!$E$11:$E$40,Override!$B$11:$B$40,$B161,Override!$D$11:$D$40,6)-SUMIFS(Override!$E$11:$E$40,Override!$B$11:$B$40,$B161,Override!$D$11:$D$40,6,Override!$C$11:$C$40,"MXAU"),Override!$H$196)/AS51!$B$3,"")))</f>
        <v/>
      </c>
      <c r="L161" s="140">
        <f>IF(L$13="","",IF($B161="","",IFERROR($C161*$D161*IF((Override!$C$4="ON")*(COUNTIFS(Override!$B$11:$B$40,$B161,Override!$D$11:$D$40,7,Override!$E$11:$E$40,"&gt;=0")-COUNTIFS(Override!$B$11:$B$40,$B161,Override!$D$11:$D$40,7,Override!$E$11:$E$40,"&gt;=0",Override!$C$11:$C$40,"MXAU"))&gt;0,SUMIFS(Override!$E$11:$E$40,Override!$B$11:$B$40,$B161,Override!$D$11:$D$40,7)-SUMIFS(Override!$E$11:$E$40,Override!$B$11:$B$40,$B161,Override!$D$11:$D$40,7,Override!$C$11:$C$40,"MXAU"),Override!$I$196)/AS51!$B$3,"")))</f>
        <v/>
      </c>
      <c r="M161" s="140">
        <f>IF(M$13="","",IF($B161="","",IFERROR($C161*$D161*IF((Override!$C$4="ON")*(COUNTIFS(Override!$B$11:$B$40,$B161,Override!$D$11:$D$40,8,Override!$E$11:$E$40,"&gt;=0")-COUNTIFS(Override!$B$11:$B$40,$B161,Override!$D$11:$D$40,8,Override!$E$11:$E$40,"&gt;=0",Override!$C$11:$C$40,"MXAU"))&gt;0,SUMIFS(Override!$E$11:$E$40,Override!$B$11:$B$40,$B161,Override!$D$11:$D$40,8)-SUMIFS(Override!$E$11:$E$40,Override!$B$11:$B$40,$B161,Override!$D$11:$D$40,8,Override!$C$11:$C$40,"MXAU"),Override!$J$196)/AS51!$B$3,"")))</f>
        <v/>
      </c>
      <c r="N161" s="140">
        <f>IF(N$13="","",IF($B161="","",IFERROR($C161*$D161*IF((Override!$C$4="ON")*(COUNTIFS(Override!$B$11:$B$40,$B161,Override!$D$11:$D$40,9,Override!$E$11:$E$40,"&gt;=0")-COUNTIFS(Override!$B$11:$B$40,$B161,Override!$D$11:$D$40,9,Override!$E$11:$E$40,"&gt;=0",Override!$C$11:$C$40,"MXAU"))&gt;0,SUMIFS(Override!$E$11:$E$40,Override!$B$11:$B$40,$B161,Override!$D$11:$D$40,9)-SUMIFS(Override!$E$11:$E$40,Override!$B$11:$B$40,$B161,Override!$D$11:$D$40,9,Override!$C$11:$C$40,"MXAU"),Override!$K$196)/AS51!$B$3,"")))</f>
        <v/>
      </c>
      <c r="O161" s="140">
        <f>IF(O$13="","",IF($B161="","",IFERROR($C161*$D161*IF((Override!$C$4="ON")*(COUNTIFS(Override!$B$11:$B$40,$B161,Override!$D$11:$D$40,10,Override!$E$11:$E$40,"&gt;=0")-COUNTIFS(Override!$B$11:$B$40,$B161,Override!$D$11:$D$40,10,Override!$E$11:$E$40,"&gt;=0",Override!$C$11:$C$40,"MXAU"))&gt;0,SUMIFS(Override!$E$11:$E$40,Override!$B$11:$B$40,$B161,Override!$D$11:$D$40,10)-SUMIFS(Override!$E$11:$E$40,Override!$B$11:$B$40,$B161,Override!$D$11:$D$40,10,Override!$C$11:$C$40,"MXAU"),Override!$L$196)/AS51!$B$3,"")))</f>
        <v/>
      </c>
      <c r="P161" s="140">
        <f>IF(P$13="","",IF($B161="","",IFERROR($C161*$D161*IF((Override!$C$4="ON")*(COUNTIFS(Override!$B$11:$B$40,$B161,Override!$D$11:$D$40,11,Override!$E$11:$E$40,"&gt;=0")-COUNTIFS(Override!$B$11:$B$40,$B161,Override!$D$11:$D$40,11,Override!$E$11:$E$40,"&gt;=0",Override!$C$11:$C$40,"MXAU"))&gt;0,SUMIFS(Override!$E$11:$E$40,Override!$B$11:$B$40,$B161,Override!$D$11:$D$40,11)-SUMIFS(Override!$E$11:$E$40,Override!$B$11:$B$40,$B161,Override!$D$11:$D$40,11,Override!$C$11:$C$40,"MXAU"),Override!$M$196)/AS51!$B$3,"")))</f>
        <v/>
      </c>
      <c r="Q161" s="140">
        <f>IF(Q$13="","",IF($B161="","",IFERROR($C161*$D161*IF((Override!$C$4="ON")*(COUNTIFS(Override!$B$11:$B$40,$B161,Override!$D$11:$D$40,12,Override!$E$11:$E$40,"&gt;=0")-COUNTIFS(Override!$B$11:$B$40,$B161,Override!$D$11:$D$40,12,Override!$E$11:$E$40,"&gt;=0",Override!$C$11:$C$40,"MXAU"))&gt;0,SUMIFS(Override!$E$11:$E$40,Override!$B$11:$B$40,$B161,Override!$D$11:$D$40,12)-SUMIFS(Override!$E$11:$E$40,Override!$B$11:$B$40,$B161,Override!$D$11:$D$40,12,Override!$C$11:$C$40,"MXAU"),Override!$N$196)/AS51!$B$3,"")))</f>
        <v/>
      </c>
      <c r="R161" s="140">
        <f>IF(R$13="","",IF($B161="","",IFERROR($C161*$D161*IF((Override!$C$4="ON")*(COUNTIFS(Override!$B$11:$B$40,$B161,Override!$D$11:$D$40,13,Override!$E$11:$E$40,"&gt;=0")-COUNTIFS(Override!$B$11:$B$40,$B161,Override!$D$11:$D$40,13,Override!$E$11:$E$40,"&gt;=0",Override!$C$11:$C$40,"MXAU"))&gt;0,SUMIFS(Override!$E$11:$E$40,Override!$B$11:$B$40,$B161,Override!$D$11:$D$40,13)-SUMIFS(Override!$E$11:$E$40,Override!$B$11:$B$40,$B161,Override!$D$11:$D$40,13,Override!$C$11:$C$40,"MXAU"),Override!$O$196)/AS51!$B$3,"")))</f>
        <v/>
      </c>
      <c r="S161" s="140">
        <f>IF(S$13="","",IF($B161="","",IFERROR($C161*$D161*IF((Override!$C$4="ON")*(COUNTIFS(Override!$B$11:$B$40,$B161,Override!$D$11:$D$40,14,Override!$E$11:$E$40,"&gt;=0")-COUNTIFS(Override!$B$11:$B$40,$B161,Override!$D$11:$D$40,14,Override!$E$11:$E$40,"&gt;=0",Override!$C$11:$C$40,"MXAU"))&gt;0,SUMIFS(Override!$E$11:$E$40,Override!$B$11:$B$40,$B161,Override!$D$11:$D$40,14)-SUMIFS(Override!$E$11:$E$40,Override!$B$11:$B$40,$B161,Override!$D$11:$D$40,14,Override!$C$11:$C$40,"MXAU"),Override!$P$196)/AS51!$B$3,"")))</f>
        <v/>
      </c>
      <c r="T161" s="140">
        <f>IF(T$13="","",IF($B161="","",IFERROR($C161*$D161*IF((Override!$C$4="ON")*(COUNTIFS(Override!$B$11:$B$40,$B161,Override!$D$11:$D$40,15,Override!$E$11:$E$40,"&gt;=0")-COUNTIFS(Override!$B$11:$B$40,$B161,Override!$D$11:$D$40,15,Override!$E$11:$E$40,"&gt;=0",Override!$C$11:$C$40,"MXAU"))&gt;0,SUMIFS(Override!$E$11:$E$40,Override!$B$11:$B$40,$B161,Override!$D$11:$D$40,15)-SUMIFS(Override!$E$11:$E$40,Override!$B$11:$B$40,$B161,Override!$D$11:$D$40,15,Override!$C$11:$C$40,"MXAU"),Override!$Q$196)/AS51!$B$3,"")))</f>
        <v/>
      </c>
      <c r="U161" s="140">
        <f>IF(U$13="","",IF($B161="","",IFERROR($C161*$D161*IF((Override!$C$4="ON")*(COUNTIFS(Override!$B$11:$B$40,$B161,Override!$D$11:$D$40,16,Override!$E$11:$E$40,"&gt;=0")-COUNTIFS(Override!$B$11:$B$40,$B161,Override!$D$11:$D$40,16,Override!$E$11:$E$40,"&gt;=0",Override!$C$11:$C$40,"MXAU"))&gt;0,SUMIFS(Override!$E$11:$E$40,Override!$B$11:$B$40,$B161,Override!$D$11:$D$40,16)-SUMIFS(Override!$E$11:$E$40,Override!$B$11:$B$40,$B161,Override!$D$11:$D$40,16,Override!$C$11:$C$40,"MXAU"),Override!$R$196)/AS51!$B$3,"")))</f>
        <v/>
      </c>
      <c r="W161" s="140">
        <f>IF(W$13="","",IF($B161="","",IFERROR(F161*$E161/100,"")))</f>
        <v/>
      </c>
      <c r="X161" s="140">
        <f>IF(X$13="","",IF($B161="","",IFERROR(G161*$E161/100,"")))</f>
        <v/>
      </c>
      <c r="Y161" s="140">
        <f>IF(Y$13="","",IF($B161="","",IFERROR(H161*$E161/100,"")))</f>
        <v/>
      </c>
      <c r="Z161" s="140">
        <f>IF(Z$13="","",IF($B161="","",IFERROR(I161*$E161/100,"")))</f>
        <v/>
      </c>
      <c r="AA161" s="140">
        <f>IF(AA$13="","",IF($B161="","",IFERROR(J161*$E161/100,"")))</f>
        <v/>
      </c>
      <c r="AB161" s="140">
        <f>IF(AB$13="","",IF($B161="","",IFERROR(K161*$E161/100,"")))</f>
        <v/>
      </c>
      <c r="AC161" s="140">
        <f>IF(AC$13="","",IF($B161="","",IFERROR(L161*$E161/100,"")))</f>
        <v/>
      </c>
      <c r="AD161" s="140">
        <f>IF(AD$13="","",IF($B161="","",IFERROR(M161*$E161/100,"")))</f>
        <v/>
      </c>
      <c r="AE161" s="140">
        <f>IF(AE$13="","",IF($B161="","",IFERROR(N161*$E161/100,"")))</f>
        <v/>
      </c>
      <c r="AF161" s="140">
        <f>IF(AF$13="","",IF($B161="","",IFERROR(O161*$E161/100,"")))</f>
        <v/>
      </c>
      <c r="AG161" s="140">
        <f>IF(AG$13="","",IF($B161="","",IFERROR(P161*$E161/100,"")))</f>
        <v/>
      </c>
      <c r="AH161" s="140">
        <f>IF(AH$13="","",IF($B161="","",IFERROR(Q161*$E161/100,"")))</f>
        <v/>
      </c>
      <c r="AI161" s="140">
        <f>IF(AI$13="","",IF($B161="","",IFERROR(R161*$E161/100,"")))</f>
        <v/>
      </c>
      <c r="AJ161" s="140">
        <f>IF(AJ$13="","",IF($B161="","",IFERROR(S161*$E161/100,"")))</f>
        <v/>
      </c>
      <c r="AK161" s="140">
        <f>IF(AK$13="","",IF($B161="","",IFERROR(T161*$E161/100,"")))</f>
        <v/>
      </c>
      <c r="AL161" s="140">
        <f>IF(AL$13="","",IF($B161="","",IFERROR(U161*$E161/100,"")))</f>
        <v/>
      </c>
      <c r="AN161" s="140">
        <f>IF($B161="","",SUMIF($F$13:$U$13,"&lt;="&amp;Sector!$D$51,$F161:$U161))</f>
        <v/>
      </c>
      <c r="AO161" s="140">
        <f>IF($B161="","",SUMIF($W$13:$AL$13,"&lt;="&amp;Sector!$D$51,$W161:$AL161))</f>
        <v/>
      </c>
    </row>
    <row r="162">
      <c r="B162" s="5">
        <f>IF(AS51!$C$152="","",AS51!$C$152)</f>
        <v/>
      </c>
      <c r="C162" s="90">
        <f>IF(AS51!$B$152="","",AS51!$B$152)</f>
        <v/>
      </c>
      <c r="D162" s="138">
        <f>IFERROR(AS51!$Q$152,1)</f>
        <v/>
      </c>
      <c r="E162" s="139">
        <f>IF($B162="","",IF(ISNUMBER(AS51!$I$152),AS51!$I$152,'Index Summary'!$C$7))</f>
        <v/>
      </c>
      <c r="F162" s="140">
        <f>IF(F$13="","",IF($B162="","",IFERROR($C162*$D162*IF((Override!$C$4="ON")*(COUNTIFS(Override!$B$11:$B$40,$B162,Override!$D$11:$D$40,1,Override!$E$11:$E$40,"&gt;=0")-COUNTIFS(Override!$B$11:$B$40,$B162,Override!$D$11:$D$40,1,Override!$E$11:$E$40,"&gt;=0",Override!$C$11:$C$40,"MXAU"))&gt;0,SUMIFS(Override!$E$11:$E$40,Override!$B$11:$B$40,$B162,Override!$D$11:$D$40,1)-SUMIFS(Override!$E$11:$E$40,Override!$B$11:$B$40,$B162,Override!$D$11:$D$40,1,Override!$C$11:$C$40,"MXAU"),Override!$C$197)/AS51!$B$3,"")))</f>
        <v/>
      </c>
      <c r="G162" s="140">
        <f>IF(G$13="","",IF($B162="","",IFERROR($C162*$D162*IF((Override!$C$4="ON")*(COUNTIFS(Override!$B$11:$B$40,$B162,Override!$D$11:$D$40,2,Override!$E$11:$E$40,"&gt;=0")-COUNTIFS(Override!$B$11:$B$40,$B162,Override!$D$11:$D$40,2,Override!$E$11:$E$40,"&gt;=0",Override!$C$11:$C$40,"MXAU"))&gt;0,SUMIFS(Override!$E$11:$E$40,Override!$B$11:$B$40,$B162,Override!$D$11:$D$40,2)-SUMIFS(Override!$E$11:$E$40,Override!$B$11:$B$40,$B162,Override!$D$11:$D$40,2,Override!$C$11:$C$40,"MXAU"),Override!$D$197)/AS51!$B$3,"")))</f>
        <v/>
      </c>
      <c r="H162" s="140">
        <f>IF(H$13="","",IF($B162="","",IFERROR($C162*$D162*IF((Override!$C$4="ON")*(COUNTIFS(Override!$B$11:$B$40,$B162,Override!$D$11:$D$40,3,Override!$E$11:$E$40,"&gt;=0")-COUNTIFS(Override!$B$11:$B$40,$B162,Override!$D$11:$D$40,3,Override!$E$11:$E$40,"&gt;=0",Override!$C$11:$C$40,"MXAU"))&gt;0,SUMIFS(Override!$E$11:$E$40,Override!$B$11:$B$40,$B162,Override!$D$11:$D$40,3)-SUMIFS(Override!$E$11:$E$40,Override!$B$11:$B$40,$B162,Override!$D$11:$D$40,3,Override!$C$11:$C$40,"MXAU"),Override!$E$197)/AS51!$B$3,"")))</f>
        <v/>
      </c>
      <c r="I162" s="140">
        <f>IF(I$13="","",IF($B162="","",IFERROR($C162*$D162*IF((Override!$C$4="ON")*(COUNTIFS(Override!$B$11:$B$40,$B162,Override!$D$11:$D$40,4,Override!$E$11:$E$40,"&gt;=0")-COUNTIFS(Override!$B$11:$B$40,$B162,Override!$D$11:$D$40,4,Override!$E$11:$E$40,"&gt;=0",Override!$C$11:$C$40,"MXAU"))&gt;0,SUMIFS(Override!$E$11:$E$40,Override!$B$11:$B$40,$B162,Override!$D$11:$D$40,4)-SUMIFS(Override!$E$11:$E$40,Override!$B$11:$B$40,$B162,Override!$D$11:$D$40,4,Override!$C$11:$C$40,"MXAU"),Override!$F$197)/AS51!$B$3,"")))</f>
        <v/>
      </c>
      <c r="J162" s="140">
        <f>IF(J$13="","",IF($B162="","",IFERROR($C162*$D162*IF((Override!$C$4="ON")*(COUNTIFS(Override!$B$11:$B$40,$B162,Override!$D$11:$D$40,5,Override!$E$11:$E$40,"&gt;=0")-COUNTIFS(Override!$B$11:$B$40,$B162,Override!$D$11:$D$40,5,Override!$E$11:$E$40,"&gt;=0",Override!$C$11:$C$40,"MXAU"))&gt;0,SUMIFS(Override!$E$11:$E$40,Override!$B$11:$B$40,$B162,Override!$D$11:$D$40,5)-SUMIFS(Override!$E$11:$E$40,Override!$B$11:$B$40,$B162,Override!$D$11:$D$40,5,Override!$C$11:$C$40,"MXAU"),Override!$G$197)/AS51!$B$3,"")))</f>
        <v/>
      </c>
      <c r="K162" s="140">
        <f>IF(K$13="","",IF($B162="","",IFERROR($C162*$D162*IF((Override!$C$4="ON")*(COUNTIFS(Override!$B$11:$B$40,$B162,Override!$D$11:$D$40,6,Override!$E$11:$E$40,"&gt;=0")-COUNTIFS(Override!$B$11:$B$40,$B162,Override!$D$11:$D$40,6,Override!$E$11:$E$40,"&gt;=0",Override!$C$11:$C$40,"MXAU"))&gt;0,SUMIFS(Override!$E$11:$E$40,Override!$B$11:$B$40,$B162,Override!$D$11:$D$40,6)-SUMIFS(Override!$E$11:$E$40,Override!$B$11:$B$40,$B162,Override!$D$11:$D$40,6,Override!$C$11:$C$40,"MXAU"),Override!$H$197)/AS51!$B$3,"")))</f>
        <v/>
      </c>
      <c r="L162" s="140">
        <f>IF(L$13="","",IF($B162="","",IFERROR($C162*$D162*IF((Override!$C$4="ON")*(COUNTIFS(Override!$B$11:$B$40,$B162,Override!$D$11:$D$40,7,Override!$E$11:$E$40,"&gt;=0")-COUNTIFS(Override!$B$11:$B$40,$B162,Override!$D$11:$D$40,7,Override!$E$11:$E$40,"&gt;=0",Override!$C$11:$C$40,"MXAU"))&gt;0,SUMIFS(Override!$E$11:$E$40,Override!$B$11:$B$40,$B162,Override!$D$11:$D$40,7)-SUMIFS(Override!$E$11:$E$40,Override!$B$11:$B$40,$B162,Override!$D$11:$D$40,7,Override!$C$11:$C$40,"MXAU"),Override!$I$197)/AS51!$B$3,"")))</f>
        <v/>
      </c>
      <c r="M162" s="140">
        <f>IF(M$13="","",IF($B162="","",IFERROR($C162*$D162*IF((Override!$C$4="ON")*(COUNTIFS(Override!$B$11:$B$40,$B162,Override!$D$11:$D$40,8,Override!$E$11:$E$40,"&gt;=0")-COUNTIFS(Override!$B$11:$B$40,$B162,Override!$D$11:$D$40,8,Override!$E$11:$E$40,"&gt;=0",Override!$C$11:$C$40,"MXAU"))&gt;0,SUMIFS(Override!$E$11:$E$40,Override!$B$11:$B$40,$B162,Override!$D$11:$D$40,8)-SUMIFS(Override!$E$11:$E$40,Override!$B$11:$B$40,$B162,Override!$D$11:$D$40,8,Override!$C$11:$C$40,"MXAU"),Override!$J$197)/AS51!$B$3,"")))</f>
        <v/>
      </c>
      <c r="N162" s="140">
        <f>IF(N$13="","",IF($B162="","",IFERROR($C162*$D162*IF((Override!$C$4="ON")*(COUNTIFS(Override!$B$11:$B$40,$B162,Override!$D$11:$D$40,9,Override!$E$11:$E$40,"&gt;=0")-COUNTIFS(Override!$B$11:$B$40,$B162,Override!$D$11:$D$40,9,Override!$E$11:$E$40,"&gt;=0",Override!$C$11:$C$40,"MXAU"))&gt;0,SUMIFS(Override!$E$11:$E$40,Override!$B$11:$B$40,$B162,Override!$D$11:$D$40,9)-SUMIFS(Override!$E$11:$E$40,Override!$B$11:$B$40,$B162,Override!$D$11:$D$40,9,Override!$C$11:$C$40,"MXAU"),Override!$K$197)/AS51!$B$3,"")))</f>
        <v/>
      </c>
      <c r="O162" s="140">
        <f>IF(O$13="","",IF($B162="","",IFERROR($C162*$D162*IF((Override!$C$4="ON")*(COUNTIFS(Override!$B$11:$B$40,$B162,Override!$D$11:$D$40,10,Override!$E$11:$E$40,"&gt;=0")-COUNTIFS(Override!$B$11:$B$40,$B162,Override!$D$11:$D$40,10,Override!$E$11:$E$40,"&gt;=0",Override!$C$11:$C$40,"MXAU"))&gt;0,SUMIFS(Override!$E$11:$E$40,Override!$B$11:$B$40,$B162,Override!$D$11:$D$40,10)-SUMIFS(Override!$E$11:$E$40,Override!$B$11:$B$40,$B162,Override!$D$11:$D$40,10,Override!$C$11:$C$40,"MXAU"),Override!$L$197)/AS51!$B$3,"")))</f>
        <v/>
      </c>
      <c r="P162" s="140">
        <f>IF(P$13="","",IF($B162="","",IFERROR($C162*$D162*IF((Override!$C$4="ON")*(COUNTIFS(Override!$B$11:$B$40,$B162,Override!$D$11:$D$40,11,Override!$E$11:$E$40,"&gt;=0")-COUNTIFS(Override!$B$11:$B$40,$B162,Override!$D$11:$D$40,11,Override!$E$11:$E$40,"&gt;=0",Override!$C$11:$C$40,"MXAU"))&gt;0,SUMIFS(Override!$E$11:$E$40,Override!$B$11:$B$40,$B162,Override!$D$11:$D$40,11)-SUMIFS(Override!$E$11:$E$40,Override!$B$11:$B$40,$B162,Override!$D$11:$D$40,11,Override!$C$11:$C$40,"MXAU"),Override!$M$197)/AS51!$B$3,"")))</f>
        <v/>
      </c>
      <c r="Q162" s="140">
        <f>IF(Q$13="","",IF($B162="","",IFERROR($C162*$D162*IF((Override!$C$4="ON")*(COUNTIFS(Override!$B$11:$B$40,$B162,Override!$D$11:$D$40,12,Override!$E$11:$E$40,"&gt;=0")-COUNTIFS(Override!$B$11:$B$40,$B162,Override!$D$11:$D$40,12,Override!$E$11:$E$40,"&gt;=0",Override!$C$11:$C$40,"MXAU"))&gt;0,SUMIFS(Override!$E$11:$E$40,Override!$B$11:$B$40,$B162,Override!$D$11:$D$40,12)-SUMIFS(Override!$E$11:$E$40,Override!$B$11:$B$40,$B162,Override!$D$11:$D$40,12,Override!$C$11:$C$40,"MXAU"),Override!$N$197)/AS51!$B$3,"")))</f>
        <v/>
      </c>
      <c r="R162" s="140">
        <f>IF(R$13="","",IF($B162="","",IFERROR($C162*$D162*IF((Override!$C$4="ON")*(COUNTIFS(Override!$B$11:$B$40,$B162,Override!$D$11:$D$40,13,Override!$E$11:$E$40,"&gt;=0")-COUNTIFS(Override!$B$11:$B$40,$B162,Override!$D$11:$D$40,13,Override!$E$11:$E$40,"&gt;=0",Override!$C$11:$C$40,"MXAU"))&gt;0,SUMIFS(Override!$E$11:$E$40,Override!$B$11:$B$40,$B162,Override!$D$11:$D$40,13)-SUMIFS(Override!$E$11:$E$40,Override!$B$11:$B$40,$B162,Override!$D$11:$D$40,13,Override!$C$11:$C$40,"MXAU"),Override!$O$197)/AS51!$B$3,"")))</f>
        <v/>
      </c>
      <c r="S162" s="140">
        <f>IF(S$13="","",IF($B162="","",IFERROR($C162*$D162*IF((Override!$C$4="ON")*(COUNTIFS(Override!$B$11:$B$40,$B162,Override!$D$11:$D$40,14,Override!$E$11:$E$40,"&gt;=0")-COUNTIFS(Override!$B$11:$B$40,$B162,Override!$D$11:$D$40,14,Override!$E$11:$E$40,"&gt;=0",Override!$C$11:$C$40,"MXAU"))&gt;0,SUMIFS(Override!$E$11:$E$40,Override!$B$11:$B$40,$B162,Override!$D$11:$D$40,14)-SUMIFS(Override!$E$11:$E$40,Override!$B$11:$B$40,$B162,Override!$D$11:$D$40,14,Override!$C$11:$C$40,"MXAU"),Override!$P$197)/AS51!$B$3,"")))</f>
        <v/>
      </c>
      <c r="T162" s="140">
        <f>IF(T$13="","",IF($B162="","",IFERROR($C162*$D162*IF((Override!$C$4="ON")*(COUNTIFS(Override!$B$11:$B$40,$B162,Override!$D$11:$D$40,15,Override!$E$11:$E$40,"&gt;=0")-COUNTIFS(Override!$B$11:$B$40,$B162,Override!$D$11:$D$40,15,Override!$E$11:$E$40,"&gt;=0",Override!$C$11:$C$40,"MXAU"))&gt;0,SUMIFS(Override!$E$11:$E$40,Override!$B$11:$B$40,$B162,Override!$D$11:$D$40,15)-SUMIFS(Override!$E$11:$E$40,Override!$B$11:$B$40,$B162,Override!$D$11:$D$40,15,Override!$C$11:$C$40,"MXAU"),Override!$Q$197)/AS51!$B$3,"")))</f>
        <v/>
      </c>
      <c r="U162" s="140">
        <f>IF(U$13="","",IF($B162="","",IFERROR($C162*$D162*IF((Override!$C$4="ON")*(COUNTIFS(Override!$B$11:$B$40,$B162,Override!$D$11:$D$40,16,Override!$E$11:$E$40,"&gt;=0")-COUNTIFS(Override!$B$11:$B$40,$B162,Override!$D$11:$D$40,16,Override!$E$11:$E$40,"&gt;=0",Override!$C$11:$C$40,"MXAU"))&gt;0,SUMIFS(Override!$E$11:$E$40,Override!$B$11:$B$40,$B162,Override!$D$11:$D$40,16)-SUMIFS(Override!$E$11:$E$40,Override!$B$11:$B$40,$B162,Override!$D$11:$D$40,16,Override!$C$11:$C$40,"MXAU"),Override!$R$197)/AS51!$B$3,"")))</f>
        <v/>
      </c>
      <c r="W162" s="140">
        <f>IF(W$13="","",IF($B162="","",IFERROR(F162*$E162/100,"")))</f>
        <v/>
      </c>
      <c r="X162" s="140">
        <f>IF(X$13="","",IF($B162="","",IFERROR(G162*$E162/100,"")))</f>
        <v/>
      </c>
      <c r="Y162" s="140">
        <f>IF(Y$13="","",IF($B162="","",IFERROR(H162*$E162/100,"")))</f>
        <v/>
      </c>
      <c r="Z162" s="140">
        <f>IF(Z$13="","",IF($B162="","",IFERROR(I162*$E162/100,"")))</f>
        <v/>
      </c>
      <c r="AA162" s="140">
        <f>IF(AA$13="","",IF($B162="","",IFERROR(J162*$E162/100,"")))</f>
        <v/>
      </c>
      <c r="AB162" s="140">
        <f>IF(AB$13="","",IF($B162="","",IFERROR(K162*$E162/100,"")))</f>
        <v/>
      </c>
      <c r="AC162" s="140">
        <f>IF(AC$13="","",IF($B162="","",IFERROR(L162*$E162/100,"")))</f>
        <v/>
      </c>
      <c r="AD162" s="140">
        <f>IF(AD$13="","",IF($B162="","",IFERROR(M162*$E162/100,"")))</f>
        <v/>
      </c>
      <c r="AE162" s="140">
        <f>IF(AE$13="","",IF($B162="","",IFERROR(N162*$E162/100,"")))</f>
        <v/>
      </c>
      <c r="AF162" s="140">
        <f>IF(AF$13="","",IF($B162="","",IFERROR(O162*$E162/100,"")))</f>
        <v/>
      </c>
      <c r="AG162" s="140">
        <f>IF(AG$13="","",IF($B162="","",IFERROR(P162*$E162/100,"")))</f>
        <v/>
      </c>
      <c r="AH162" s="140">
        <f>IF(AH$13="","",IF($B162="","",IFERROR(Q162*$E162/100,"")))</f>
        <v/>
      </c>
      <c r="AI162" s="140">
        <f>IF(AI$13="","",IF($B162="","",IFERROR(R162*$E162/100,"")))</f>
        <v/>
      </c>
      <c r="AJ162" s="140">
        <f>IF(AJ$13="","",IF($B162="","",IFERROR(S162*$E162/100,"")))</f>
        <v/>
      </c>
      <c r="AK162" s="140">
        <f>IF(AK$13="","",IF($B162="","",IFERROR(T162*$E162/100,"")))</f>
        <v/>
      </c>
      <c r="AL162" s="140">
        <f>IF(AL$13="","",IF($B162="","",IFERROR(U162*$E162/100,"")))</f>
        <v/>
      </c>
      <c r="AN162" s="140">
        <f>IF($B162="","",SUMIF($F$13:$U$13,"&lt;="&amp;Sector!$D$51,$F162:$U162))</f>
        <v/>
      </c>
      <c r="AO162" s="140">
        <f>IF($B162="","",SUMIF($W$13:$AL$13,"&lt;="&amp;Sector!$D$51,$W162:$AL162))</f>
        <v/>
      </c>
    </row>
    <row r="163">
      <c r="B163" s="5">
        <f>IF(AS51!$C$153="","",AS51!$C$153)</f>
        <v/>
      </c>
      <c r="C163" s="90">
        <f>IF(AS51!$B$153="","",AS51!$B$153)</f>
        <v/>
      </c>
      <c r="D163" s="138">
        <f>IFERROR(AS51!$Q$153,1)</f>
        <v/>
      </c>
      <c r="E163" s="139">
        <f>IF($B163="","",IF(ISNUMBER(AS51!$I$153),AS51!$I$153,'Index Summary'!$C$7))</f>
        <v/>
      </c>
      <c r="F163" s="140">
        <f>IF(F$13="","",IF($B163="","",IFERROR($C163*$D163*IF((Override!$C$4="ON")*(COUNTIFS(Override!$B$11:$B$40,$B163,Override!$D$11:$D$40,1,Override!$E$11:$E$40,"&gt;=0")-COUNTIFS(Override!$B$11:$B$40,$B163,Override!$D$11:$D$40,1,Override!$E$11:$E$40,"&gt;=0",Override!$C$11:$C$40,"MXAU"))&gt;0,SUMIFS(Override!$E$11:$E$40,Override!$B$11:$B$40,$B163,Override!$D$11:$D$40,1)-SUMIFS(Override!$E$11:$E$40,Override!$B$11:$B$40,$B163,Override!$D$11:$D$40,1,Override!$C$11:$C$40,"MXAU"),Override!$C$198)/AS51!$B$3,"")))</f>
        <v/>
      </c>
      <c r="G163" s="140">
        <f>IF(G$13="","",IF($B163="","",IFERROR($C163*$D163*IF((Override!$C$4="ON")*(COUNTIFS(Override!$B$11:$B$40,$B163,Override!$D$11:$D$40,2,Override!$E$11:$E$40,"&gt;=0")-COUNTIFS(Override!$B$11:$B$40,$B163,Override!$D$11:$D$40,2,Override!$E$11:$E$40,"&gt;=0",Override!$C$11:$C$40,"MXAU"))&gt;0,SUMIFS(Override!$E$11:$E$40,Override!$B$11:$B$40,$B163,Override!$D$11:$D$40,2)-SUMIFS(Override!$E$11:$E$40,Override!$B$11:$B$40,$B163,Override!$D$11:$D$40,2,Override!$C$11:$C$40,"MXAU"),Override!$D$198)/AS51!$B$3,"")))</f>
        <v/>
      </c>
      <c r="H163" s="140">
        <f>IF(H$13="","",IF($B163="","",IFERROR($C163*$D163*IF((Override!$C$4="ON")*(COUNTIFS(Override!$B$11:$B$40,$B163,Override!$D$11:$D$40,3,Override!$E$11:$E$40,"&gt;=0")-COUNTIFS(Override!$B$11:$B$40,$B163,Override!$D$11:$D$40,3,Override!$E$11:$E$40,"&gt;=0",Override!$C$11:$C$40,"MXAU"))&gt;0,SUMIFS(Override!$E$11:$E$40,Override!$B$11:$B$40,$B163,Override!$D$11:$D$40,3)-SUMIFS(Override!$E$11:$E$40,Override!$B$11:$B$40,$B163,Override!$D$11:$D$40,3,Override!$C$11:$C$40,"MXAU"),Override!$E$198)/AS51!$B$3,"")))</f>
        <v/>
      </c>
      <c r="I163" s="140">
        <f>IF(I$13="","",IF($B163="","",IFERROR($C163*$D163*IF((Override!$C$4="ON")*(COUNTIFS(Override!$B$11:$B$40,$B163,Override!$D$11:$D$40,4,Override!$E$11:$E$40,"&gt;=0")-COUNTIFS(Override!$B$11:$B$40,$B163,Override!$D$11:$D$40,4,Override!$E$11:$E$40,"&gt;=0",Override!$C$11:$C$40,"MXAU"))&gt;0,SUMIFS(Override!$E$11:$E$40,Override!$B$11:$B$40,$B163,Override!$D$11:$D$40,4)-SUMIFS(Override!$E$11:$E$40,Override!$B$11:$B$40,$B163,Override!$D$11:$D$40,4,Override!$C$11:$C$40,"MXAU"),Override!$F$198)/AS51!$B$3,"")))</f>
        <v/>
      </c>
      <c r="J163" s="140">
        <f>IF(J$13="","",IF($B163="","",IFERROR($C163*$D163*IF((Override!$C$4="ON")*(COUNTIFS(Override!$B$11:$B$40,$B163,Override!$D$11:$D$40,5,Override!$E$11:$E$40,"&gt;=0")-COUNTIFS(Override!$B$11:$B$40,$B163,Override!$D$11:$D$40,5,Override!$E$11:$E$40,"&gt;=0",Override!$C$11:$C$40,"MXAU"))&gt;0,SUMIFS(Override!$E$11:$E$40,Override!$B$11:$B$40,$B163,Override!$D$11:$D$40,5)-SUMIFS(Override!$E$11:$E$40,Override!$B$11:$B$40,$B163,Override!$D$11:$D$40,5,Override!$C$11:$C$40,"MXAU"),Override!$G$198)/AS51!$B$3,"")))</f>
        <v/>
      </c>
      <c r="K163" s="140">
        <f>IF(K$13="","",IF($B163="","",IFERROR($C163*$D163*IF((Override!$C$4="ON")*(COUNTIFS(Override!$B$11:$B$40,$B163,Override!$D$11:$D$40,6,Override!$E$11:$E$40,"&gt;=0")-COUNTIFS(Override!$B$11:$B$40,$B163,Override!$D$11:$D$40,6,Override!$E$11:$E$40,"&gt;=0",Override!$C$11:$C$40,"MXAU"))&gt;0,SUMIFS(Override!$E$11:$E$40,Override!$B$11:$B$40,$B163,Override!$D$11:$D$40,6)-SUMIFS(Override!$E$11:$E$40,Override!$B$11:$B$40,$B163,Override!$D$11:$D$40,6,Override!$C$11:$C$40,"MXAU"),Override!$H$198)/AS51!$B$3,"")))</f>
        <v/>
      </c>
      <c r="L163" s="140">
        <f>IF(L$13="","",IF($B163="","",IFERROR($C163*$D163*IF((Override!$C$4="ON")*(COUNTIFS(Override!$B$11:$B$40,$B163,Override!$D$11:$D$40,7,Override!$E$11:$E$40,"&gt;=0")-COUNTIFS(Override!$B$11:$B$40,$B163,Override!$D$11:$D$40,7,Override!$E$11:$E$40,"&gt;=0",Override!$C$11:$C$40,"MXAU"))&gt;0,SUMIFS(Override!$E$11:$E$40,Override!$B$11:$B$40,$B163,Override!$D$11:$D$40,7)-SUMIFS(Override!$E$11:$E$40,Override!$B$11:$B$40,$B163,Override!$D$11:$D$40,7,Override!$C$11:$C$40,"MXAU"),Override!$I$198)/AS51!$B$3,"")))</f>
        <v/>
      </c>
      <c r="M163" s="140">
        <f>IF(M$13="","",IF($B163="","",IFERROR($C163*$D163*IF((Override!$C$4="ON")*(COUNTIFS(Override!$B$11:$B$40,$B163,Override!$D$11:$D$40,8,Override!$E$11:$E$40,"&gt;=0")-COUNTIFS(Override!$B$11:$B$40,$B163,Override!$D$11:$D$40,8,Override!$E$11:$E$40,"&gt;=0",Override!$C$11:$C$40,"MXAU"))&gt;0,SUMIFS(Override!$E$11:$E$40,Override!$B$11:$B$40,$B163,Override!$D$11:$D$40,8)-SUMIFS(Override!$E$11:$E$40,Override!$B$11:$B$40,$B163,Override!$D$11:$D$40,8,Override!$C$11:$C$40,"MXAU"),Override!$J$198)/AS51!$B$3,"")))</f>
        <v/>
      </c>
      <c r="N163" s="140">
        <f>IF(N$13="","",IF($B163="","",IFERROR($C163*$D163*IF((Override!$C$4="ON")*(COUNTIFS(Override!$B$11:$B$40,$B163,Override!$D$11:$D$40,9,Override!$E$11:$E$40,"&gt;=0")-COUNTIFS(Override!$B$11:$B$40,$B163,Override!$D$11:$D$40,9,Override!$E$11:$E$40,"&gt;=0",Override!$C$11:$C$40,"MXAU"))&gt;0,SUMIFS(Override!$E$11:$E$40,Override!$B$11:$B$40,$B163,Override!$D$11:$D$40,9)-SUMIFS(Override!$E$11:$E$40,Override!$B$11:$B$40,$B163,Override!$D$11:$D$40,9,Override!$C$11:$C$40,"MXAU"),Override!$K$198)/AS51!$B$3,"")))</f>
        <v/>
      </c>
      <c r="O163" s="140">
        <f>IF(O$13="","",IF($B163="","",IFERROR($C163*$D163*IF((Override!$C$4="ON")*(COUNTIFS(Override!$B$11:$B$40,$B163,Override!$D$11:$D$40,10,Override!$E$11:$E$40,"&gt;=0")-COUNTIFS(Override!$B$11:$B$40,$B163,Override!$D$11:$D$40,10,Override!$E$11:$E$40,"&gt;=0",Override!$C$11:$C$40,"MXAU"))&gt;0,SUMIFS(Override!$E$11:$E$40,Override!$B$11:$B$40,$B163,Override!$D$11:$D$40,10)-SUMIFS(Override!$E$11:$E$40,Override!$B$11:$B$40,$B163,Override!$D$11:$D$40,10,Override!$C$11:$C$40,"MXAU"),Override!$L$198)/AS51!$B$3,"")))</f>
        <v/>
      </c>
      <c r="P163" s="140">
        <f>IF(P$13="","",IF($B163="","",IFERROR($C163*$D163*IF((Override!$C$4="ON")*(COUNTIFS(Override!$B$11:$B$40,$B163,Override!$D$11:$D$40,11,Override!$E$11:$E$40,"&gt;=0")-COUNTIFS(Override!$B$11:$B$40,$B163,Override!$D$11:$D$40,11,Override!$E$11:$E$40,"&gt;=0",Override!$C$11:$C$40,"MXAU"))&gt;0,SUMIFS(Override!$E$11:$E$40,Override!$B$11:$B$40,$B163,Override!$D$11:$D$40,11)-SUMIFS(Override!$E$11:$E$40,Override!$B$11:$B$40,$B163,Override!$D$11:$D$40,11,Override!$C$11:$C$40,"MXAU"),Override!$M$198)/AS51!$B$3,"")))</f>
        <v/>
      </c>
      <c r="Q163" s="140">
        <f>IF(Q$13="","",IF($B163="","",IFERROR($C163*$D163*IF((Override!$C$4="ON")*(COUNTIFS(Override!$B$11:$B$40,$B163,Override!$D$11:$D$40,12,Override!$E$11:$E$40,"&gt;=0")-COUNTIFS(Override!$B$11:$B$40,$B163,Override!$D$11:$D$40,12,Override!$E$11:$E$40,"&gt;=0",Override!$C$11:$C$40,"MXAU"))&gt;0,SUMIFS(Override!$E$11:$E$40,Override!$B$11:$B$40,$B163,Override!$D$11:$D$40,12)-SUMIFS(Override!$E$11:$E$40,Override!$B$11:$B$40,$B163,Override!$D$11:$D$40,12,Override!$C$11:$C$40,"MXAU"),Override!$N$198)/AS51!$B$3,"")))</f>
        <v/>
      </c>
      <c r="R163" s="140">
        <f>IF(R$13="","",IF($B163="","",IFERROR($C163*$D163*IF((Override!$C$4="ON")*(COUNTIFS(Override!$B$11:$B$40,$B163,Override!$D$11:$D$40,13,Override!$E$11:$E$40,"&gt;=0")-COUNTIFS(Override!$B$11:$B$40,$B163,Override!$D$11:$D$40,13,Override!$E$11:$E$40,"&gt;=0",Override!$C$11:$C$40,"MXAU"))&gt;0,SUMIFS(Override!$E$11:$E$40,Override!$B$11:$B$40,$B163,Override!$D$11:$D$40,13)-SUMIFS(Override!$E$11:$E$40,Override!$B$11:$B$40,$B163,Override!$D$11:$D$40,13,Override!$C$11:$C$40,"MXAU"),Override!$O$198)/AS51!$B$3,"")))</f>
        <v/>
      </c>
      <c r="S163" s="140">
        <f>IF(S$13="","",IF($B163="","",IFERROR($C163*$D163*IF((Override!$C$4="ON")*(COUNTIFS(Override!$B$11:$B$40,$B163,Override!$D$11:$D$40,14,Override!$E$11:$E$40,"&gt;=0")-COUNTIFS(Override!$B$11:$B$40,$B163,Override!$D$11:$D$40,14,Override!$E$11:$E$40,"&gt;=0",Override!$C$11:$C$40,"MXAU"))&gt;0,SUMIFS(Override!$E$11:$E$40,Override!$B$11:$B$40,$B163,Override!$D$11:$D$40,14)-SUMIFS(Override!$E$11:$E$40,Override!$B$11:$B$40,$B163,Override!$D$11:$D$40,14,Override!$C$11:$C$40,"MXAU"),Override!$P$198)/AS51!$B$3,"")))</f>
        <v/>
      </c>
      <c r="T163" s="140">
        <f>IF(T$13="","",IF($B163="","",IFERROR($C163*$D163*IF((Override!$C$4="ON")*(COUNTIFS(Override!$B$11:$B$40,$B163,Override!$D$11:$D$40,15,Override!$E$11:$E$40,"&gt;=0")-COUNTIFS(Override!$B$11:$B$40,$B163,Override!$D$11:$D$40,15,Override!$E$11:$E$40,"&gt;=0",Override!$C$11:$C$40,"MXAU"))&gt;0,SUMIFS(Override!$E$11:$E$40,Override!$B$11:$B$40,$B163,Override!$D$11:$D$40,15)-SUMIFS(Override!$E$11:$E$40,Override!$B$11:$B$40,$B163,Override!$D$11:$D$40,15,Override!$C$11:$C$40,"MXAU"),Override!$Q$198)/AS51!$B$3,"")))</f>
        <v/>
      </c>
      <c r="U163" s="140">
        <f>IF(U$13="","",IF($B163="","",IFERROR($C163*$D163*IF((Override!$C$4="ON")*(COUNTIFS(Override!$B$11:$B$40,$B163,Override!$D$11:$D$40,16,Override!$E$11:$E$40,"&gt;=0")-COUNTIFS(Override!$B$11:$B$40,$B163,Override!$D$11:$D$40,16,Override!$E$11:$E$40,"&gt;=0",Override!$C$11:$C$40,"MXAU"))&gt;0,SUMIFS(Override!$E$11:$E$40,Override!$B$11:$B$40,$B163,Override!$D$11:$D$40,16)-SUMIFS(Override!$E$11:$E$40,Override!$B$11:$B$40,$B163,Override!$D$11:$D$40,16,Override!$C$11:$C$40,"MXAU"),Override!$R$198)/AS51!$B$3,"")))</f>
        <v/>
      </c>
      <c r="W163" s="140">
        <f>IF(W$13="","",IF($B163="","",IFERROR(F163*$E163/100,"")))</f>
        <v/>
      </c>
      <c r="X163" s="140">
        <f>IF(X$13="","",IF($B163="","",IFERROR(G163*$E163/100,"")))</f>
        <v/>
      </c>
      <c r="Y163" s="140">
        <f>IF(Y$13="","",IF($B163="","",IFERROR(H163*$E163/100,"")))</f>
        <v/>
      </c>
      <c r="Z163" s="140">
        <f>IF(Z$13="","",IF($B163="","",IFERROR(I163*$E163/100,"")))</f>
        <v/>
      </c>
      <c r="AA163" s="140">
        <f>IF(AA$13="","",IF($B163="","",IFERROR(J163*$E163/100,"")))</f>
        <v/>
      </c>
      <c r="AB163" s="140">
        <f>IF(AB$13="","",IF($B163="","",IFERROR(K163*$E163/100,"")))</f>
        <v/>
      </c>
      <c r="AC163" s="140">
        <f>IF(AC$13="","",IF($B163="","",IFERROR(L163*$E163/100,"")))</f>
        <v/>
      </c>
      <c r="AD163" s="140">
        <f>IF(AD$13="","",IF($B163="","",IFERROR(M163*$E163/100,"")))</f>
        <v/>
      </c>
      <c r="AE163" s="140">
        <f>IF(AE$13="","",IF($B163="","",IFERROR(N163*$E163/100,"")))</f>
        <v/>
      </c>
      <c r="AF163" s="140">
        <f>IF(AF$13="","",IF($B163="","",IFERROR(O163*$E163/100,"")))</f>
        <v/>
      </c>
      <c r="AG163" s="140">
        <f>IF(AG$13="","",IF($B163="","",IFERROR(P163*$E163/100,"")))</f>
        <v/>
      </c>
      <c r="AH163" s="140">
        <f>IF(AH$13="","",IF($B163="","",IFERROR(Q163*$E163/100,"")))</f>
        <v/>
      </c>
      <c r="AI163" s="140">
        <f>IF(AI$13="","",IF($B163="","",IFERROR(R163*$E163/100,"")))</f>
        <v/>
      </c>
      <c r="AJ163" s="140">
        <f>IF(AJ$13="","",IF($B163="","",IFERROR(S163*$E163/100,"")))</f>
        <v/>
      </c>
      <c r="AK163" s="140">
        <f>IF(AK$13="","",IF($B163="","",IFERROR(T163*$E163/100,"")))</f>
        <v/>
      </c>
      <c r="AL163" s="140">
        <f>IF(AL$13="","",IF($B163="","",IFERROR(U163*$E163/100,"")))</f>
        <v/>
      </c>
      <c r="AN163" s="140">
        <f>IF($B163="","",SUMIF($F$13:$U$13,"&lt;="&amp;Sector!$D$51,$F163:$U163))</f>
        <v/>
      </c>
      <c r="AO163" s="140">
        <f>IF($B163="","",SUMIF($W$13:$AL$13,"&lt;="&amp;Sector!$D$51,$W163:$AL163))</f>
        <v/>
      </c>
    </row>
    <row r="164">
      <c r="B164" s="5">
        <f>IF(AS51!$C$154="","",AS51!$C$154)</f>
        <v/>
      </c>
      <c r="C164" s="90">
        <f>IF(AS51!$B$154="","",AS51!$B$154)</f>
        <v/>
      </c>
      <c r="D164" s="138">
        <f>IFERROR(AS51!$Q$154,1)</f>
        <v/>
      </c>
      <c r="E164" s="139">
        <f>IF($B164="","",IF(ISNUMBER(AS51!$I$154),AS51!$I$154,'Index Summary'!$C$7))</f>
        <v/>
      </c>
      <c r="F164" s="140">
        <f>IF(F$13="","",IF($B164="","",IFERROR($C164*$D164*IF((Override!$C$4="ON")*(COUNTIFS(Override!$B$11:$B$40,$B164,Override!$D$11:$D$40,1,Override!$E$11:$E$40,"&gt;=0")-COUNTIFS(Override!$B$11:$B$40,$B164,Override!$D$11:$D$40,1,Override!$E$11:$E$40,"&gt;=0",Override!$C$11:$C$40,"MXAU"))&gt;0,SUMIFS(Override!$E$11:$E$40,Override!$B$11:$B$40,$B164,Override!$D$11:$D$40,1)-SUMIFS(Override!$E$11:$E$40,Override!$B$11:$B$40,$B164,Override!$D$11:$D$40,1,Override!$C$11:$C$40,"MXAU"),Override!$C$199)/AS51!$B$3,"")))</f>
        <v/>
      </c>
      <c r="G164" s="140">
        <f>IF(G$13="","",IF($B164="","",IFERROR($C164*$D164*IF((Override!$C$4="ON")*(COUNTIFS(Override!$B$11:$B$40,$B164,Override!$D$11:$D$40,2,Override!$E$11:$E$40,"&gt;=0")-COUNTIFS(Override!$B$11:$B$40,$B164,Override!$D$11:$D$40,2,Override!$E$11:$E$40,"&gt;=0",Override!$C$11:$C$40,"MXAU"))&gt;0,SUMIFS(Override!$E$11:$E$40,Override!$B$11:$B$40,$B164,Override!$D$11:$D$40,2)-SUMIFS(Override!$E$11:$E$40,Override!$B$11:$B$40,$B164,Override!$D$11:$D$40,2,Override!$C$11:$C$40,"MXAU"),Override!$D$199)/AS51!$B$3,"")))</f>
        <v/>
      </c>
      <c r="H164" s="140">
        <f>IF(H$13="","",IF($B164="","",IFERROR($C164*$D164*IF((Override!$C$4="ON")*(COUNTIFS(Override!$B$11:$B$40,$B164,Override!$D$11:$D$40,3,Override!$E$11:$E$40,"&gt;=0")-COUNTIFS(Override!$B$11:$B$40,$B164,Override!$D$11:$D$40,3,Override!$E$11:$E$40,"&gt;=0",Override!$C$11:$C$40,"MXAU"))&gt;0,SUMIFS(Override!$E$11:$E$40,Override!$B$11:$B$40,$B164,Override!$D$11:$D$40,3)-SUMIFS(Override!$E$11:$E$40,Override!$B$11:$B$40,$B164,Override!$D$11:$D$40,3,Override!$C$11:$C$40,"MXAU"),Override!$E$199)/AS51!$B$3,"")))</f>
        <v/>
      </c>
      <c r="I164" s="140">
        <f>IF(I$13="","",IF($B164="","",IFERROR($C164*$D164*IF((Override!$C$4="ON")*(COUNTIFS(Override!$B$11:$B$40,$B164,Override!$D$11:$D$40,4,Override!$E$11:$E$40,"&gt;=0")-COUNTIFS(Override!$B$11:$B$40,$B164,Override!$D$11:$D$40,4,Override!$E$11:$E$40,"&gt;=0",Override!$C$11:$C$40,"MXAU"))&gt;0,SUMIFS(Override!$E$11:$E$40,Override!$B$11:$B$40,$B164,Override!$D$11:$D$40,4)-SUMIFS(Override!$E$11:$E$40,Override!$B$11:$B$40,$B164,Override!$D$11:$D$40,4,Override!$C$11:$C$40,"MXAU"),Override!$F$199)/AS51!$B$3,"")))</f>
        <v/>
      </c>
      <c r="J164" s="140">
        <f>IF(J$13="","",IF($B164="","",IFERROR($C164*$D164*IF((Override!$C$4="ON")*(COUNTIFS(Override!$B$11:$B$40,$B164,Override!$D$11:$D$40,5,Override!$E$11:$E$40,"&gt;=0")-COUNTIFS(Override!$B$11:$B$40,$B164,Override!$D$11:$D$40,5,Override!$E$11:$E$40,"&gt;=0",Override!$C$11:$C$40,"MXAU"))&gt;0,SUMIFS(Override!$E$11:$E$40,Override!$B$11:$B$40,$B164,Override!$D$11:$D$40,5)-SUMIFS(Override!$E$11:$E$40,Override!$B$11:$B$40,$B164,Override!$D$11:$D$40,5,Override!$C$11:$C$40,"MXAU"),Override!$G$199)/AS51!$B$3,"")))</f>
        <v/>
      </c>
      <c r="K164" s="140">
        <f>IF(K$13="","",IF($B164="","",IFERROR($C164*$D164*IF((Override!$C$4="ON")*(COUNTIFS(Override!$B$11:$B$40,$B164,Override!$D$11:$D$40,6,Override!$E$11:$E$40,"&gt;=0")-COUNTIFS(Override!$B$11:$B$40,$B164,Override!$D$11:$D$40,6,Override!$E$11:$E$40,"&gt;=0",Override!$C$11:$C$40,"MXAU"))&gt;0,SUMIFS(Override!$E$11:$E$40,Override!$B$11:$B$40,$B164,Override!$D$11:$D$40,6)-SUMIFS(Override!$E$11:$E$40,Override!$B$11:$B$40,$B164,Override!$D$11:$D$40,6,Override!$C$11:$C$40,"MXAU"),Override!$H$199)/AS51!$B$3,"")))</f>
        <v/>
      </c>
      <c r="L164" s="140">
        <f>IF(L$13="","",IF($B164="","",IFERROR($C164*$D164*IF((Override!$C$4="ON")*(COUNTIFS(Override!$B$11:$B$40,$B164,Override!$D$11:$D$40,7,Override!$E$11:$E$40,"&gt;=0")-COUNTIFS(Override!$B$11:$B$40,$B164,Override!$D$11:$D$40,7,Override!$E$11:$E$40,"&gt;=0",Override!$C$11:$C$40,"MXAU"))&gt;0,SUMIFS(Override!$E$11:$E$40,Override!$B$11:$B$40,$B164,Override!$D$11:$D$40,7)-SUMIFS(Override!$E$11:$E$40,Override!$B$11:$B$40,$B164,Override!$D$11:$D$40,7,Override!$C$11:$C$40,"MXAU"),Override!$I$199)/AS51!$B$3,"")))</f>
        <v/>
      </c>
      <c r="M164" s="140">
        <f>IF(M$13="","",IF($B164="","",IFERROR($C164*$D164*IF((Override!$C$4="ON")*(COUNTIFS(Override!$B$11:$B$40,$B164,Override!$D$11:$D$40,8,Override!$E$11:$E$40,"&gt;=0")-COUNTIFS(Override!$B$11:$B$40,$B164,Override!$D$11:$D$40,8,Override!$E$11:$E$40,"&gt;=0",Override!$C$11:$C$40,"MXAU"))&gt;0,SUMIFS(Override!$E$11:$E$40,Override!$B$11:$B$40,$B164,Override!$D$11:$D$40,8)-SUMIFS(Override!$E$11:$E$40,Override!$B$11:$B$40,$B164,Override!$D$11:$D$40,8,Override!$C$11:$C$40,"MXAU"),Override!$J$199)/AS51!$B$3,"")))</f>
        <v/>
      </c>
      <c r="N164" s="140">
        <f>IF(N$13="","",IF($B164="","",IFERROR($C164*$D164*IF((Override!$C$4="ON")*(COUNTIFS(Override!$B$11:$B$40,$B164,Override!$D$11:$D$40,9,Override!$E$11:$E$40,"&gt;=0")-COUNTIFS(Override!$B$11:$B$40,$B164,Override!$D$11:$D$40,9,Override!$E$11:$E$40,"&gt;=0",Override!$C$11:$C$40,"MXAU"))&gt;0,SUMIFS(Override!$E$11:$E$40,Override!$B$11:$B$40,$B164,Override!$D$11:$D$40,9)-SUMIFS(Override!$E$11:$E$40,Override!$B$11:$B$40,$B164,Override!$D$11:$D$40,9,Override!$C$11:$C$40,"MXAU"),Override!$K$199)/AS51!$B$3,"")))</f>
        <v/>
      </c>
      <c r="O164" s="140">
        <f>IF(O$13="","",IF($B164="","",IFERROR($C164*$D164*IF((Override!$C$4="ON")*(COUNTIFS(Override!$B$11:$B$40,$B164,Override!$D$11:$D$40,10,Override!$E$11:$E$40,"&gt;=0")-COUNTIFS(Override!$B$11:$B$40,$B164,Override!$D$11:$D$40,10,Override!$E$11:$E$40,"&gt;=0",Override!$C$11:$C$40,"MXAU"))&gt;0,SUMIFS(Override!$E$11:$E$40,Override!$B$11:$B$40,$B164,Override!$D$11:$D$40,10)-SUMIFS(Override!$E$11:$E$40,Override!$B$11:$B$40,$B164,Override!$D$11:$D$40,10,Override!$C$11:$C$40,"MXAU"),Override!$L$199)/AS51!$B$3,"")))</f>
        <v/>
      </c>
      <c r="P164" s="140">
        <f>IF(P$13="","",IF($B164="","",IFERROR($C164*$D164*IF((Override!$C$4="ON")*(COUNTIFS(Override!$B$11:$B$40,$B164,Override!$D$11:$D$40,11,Override!$E$11:$E$40,"&gt;=0")-COUNTIFS(Override!$B$11:$B$40,$B164,Override!$D$11:$D$40,11,Override!$E$11:$E$40,"&gt;=0",Override!$C$11:$C$40,"MXAU"))&gt;0,SUMIFS(Override!$E$11:$E$40,Override!$B$11:$B$40,$B164,Override!$D$11:$D$40,11)-SUMIFS(Override!$E$11:$E$40,Override!$B$11:$B$40,$B164,Override!$D$11:$D$40,11,Override!$C$11:$C$40,"MXAU"),Override!$M$199)/AS51!$B$3,"")))</f>
        <v/>
      </c>
      <c r="Q164" s="140">
        <f>IF(Q$13="","",IF($B164="","",IFERROR($C164*$D164*IF((Override!$C$4="ON")*(COUNTIFS(Override!$B$11:$B$40,$B164,Override!$D$11:$D$40,12,Override!$E$11:$E$40,"&gt;=0")-COUNTIFS(Override!$B$11:$B$40,$B164,Override!$D$11:$D$40,12,Override!$E$11:$E$40,"&gt;=0",Override!$C$11:$C$40,"MXAU"))&gt;0,SUMIFS(Override!$E$11:$E$40,Override!$B$11:$B$40,$B164,Override!$D$11:$D$40,12)-SUMIFS(Override!$E$11:$E$40,Override!$B$11:$B$40,$B164,Override!$D$11:$D$40,12,Override!$C$11:$C$40,"MXAU"),Override!$N$199)/AS51!$B$3,"")))</f>
        <v/>
      </c>
      <c r="R164" s="140">
        <f>IF(R$13="","",IF($B164="","",IFERROR($C164*$D164*IF((Override!$C$4="ON")*(COUNTIFS(Override!$B$11:$B$40,$B164,Override!$D$11:$D$40,13,Override!$E$11:$E$40,"&gt;=0")-COUNTIFS(Override!$B$11:$B$40,$B164,Override!$D$11:$D$40,13,Override!$E$11:$E$40,"&gt;=0",Override!$C$11:$C$40,"MXAU"))&gt;0,SUMIFS(Override!$E$11:$E$40,Override!$B$11:$B$40,$B164,Override!$D$11:$D$40,13)-SUMIFS(Override!$E$11:$E$40,Override!$B$11:$B$40,$B164,Override!$D$11:$D$40,13,Override!$C$11:$C$40,"MXAU"),Override!$O$199)/AS51!$B$3,"")))</f>
        <v/>
      </c>
      <c r="S164" s="140">
        <f>IF(S$13="","",IF($B164="","",IFERROR($C164*$D164*IF((Override!$C$4="ON")*(COUNTIFS(Override!$B$11:$B$40,$B164,Override!$D$11:$D$40,14,Override!$E$11:$E$40,"&gt;=0")-COUNTIFS(Override!$B$11:$B$40,$B164,Override!$D$11:$D$40,14,Override!$E$11:$E$40,"&gt;=0",Override!$C$11:$C$40,"MXAU"))&gt;0,SUMIFS(Override!$E$11:$E$40,Override!$B$11:$B$40,$B164,Override!$D$11:$D$40,14)-SUMIFS(Override!$E$11:$E$40,Override!$B$11:$B$40,$B164,Override!$D$11:$D$40,14,Override!$C$11:$C$40,"MXAU"),Override!$P$199)/AS51!$B$3,"")))</f>
        <v/>
      </c>
      <c r="T164" s="140">
        <f>IF(T$13="","",IF($B164="","",IFERROR($C164*$D164*IF((Override!$C$4="ON")*(COUNTIFS(Override!$B$11:$B$40,$B164,Override!$D$11:$D$40,15,Override!$E$11:$E$40,"&gt;=0")-COUNTIFS(Override!$B$11:$B$40,$B164,Override!$D$11:$D$40,15,Override!$E$11:$E$40,"&gt;=0",Override!$C$11:$C$40,"MXAU"))&gt;0,SUMIFS(Override!$E$11:$E$40,Override!$B$11:$B$40,$B164,Override!$D$11:$D$40,15)-SUMIFS(Override!$E$11:$E$40,Override!$B$11:$B$40,$B164,Override!$D$11:$D$40,15,Override!$C$11:$C$40,"MXAU"),Override!$Q$199)/AS51!$B$3,"")))</f>
        <v/>
      </c>
      <c r="U164" s="140">
        <f>IF(U$13="","",IF($B164="","",IFERROR($C164*$D164*IF((Override!$C$4="ON")*(COUNTIFS(Override!$B$11:$B$40,$B164,Override!$D$11:$D$40,16,Override!$E$11:$E$40,"&gt;=0")-COUNTIFS(Override!$B$11:$B$40,$B164,Override!$D$11:$D$40,16,Override!$E$11:$E$40,"&gt;=0",Override!$C$11:$C$40,"MXAU"))&gt;0,SUMIFS(Override!$E$11:$E$40,Override!$B$11:$B$40,$B164,Override!$D$11:$D$40,16)-SUMIFS(Override!$E$11:$E$40,Override!$B$11:$B$40,$B164,Override!$D$11:$D$40,16,Override!$C$11:$C$40,"MXAU"),Override!$R$199)/AS51!$B$3,"")))</f>
        <v/>
      </c>
      <c r="W164" s="140">
        <f>IF(W$13="","",IF($B164="","",IFERROR(F164*$E164/100,"")))</f>
        <v/>
      </c>
      <c r="X164" s="140">
        <f>IF(X$13="","",IF($B164="","",IFERROR(G164*$E164/100,"")))</f>
        <v/>
      </c>
      <c r="Y164" s="140">
        <f>IF(Y$13="","",IF($B164="","",IFERROR(H164*$E164/100,"")))</f>
        <v/>
      </c>
      <c r="Z164" s="140">
        <f>IF(Z$13="","",IF($B164="","",IFERROR(I164*$E164/100,"")))</f>
        <v/>
      </c>
      <c r="AA164" s="140">
        <f>IF(AA$13="","",IF($B164="","",IFERROR(J164*$E164/100,"")))</f>
        <v/>
      </c>
      <c r="AB164" s="140">
        <f>IF(AB$13="","",IF($B164="","",IFERROR(K164*$E164/100,"")))</f>
        <v/>
      </c>
      <c r="AC164" s="140">
        <f>IF(AC$13="","",IF($B164="","",IFERROR(L164*$E164/100,"")))</f>
        <v/>
      </c>
      <c r="AD164" s="140">
        <f>IF(AD$13="","",IF($B164="","",IFERROR(M164*$E164/100,"")))</f>
        <v/>
      </c>
      <c r="AE164" s="140">
        <f>IF(AE$13="","",IF($B164="","",IFERROR(N164*$E164/100,"")))</f>
        <v/>
      </c>
      <c r="AF164" s="140">
        <f>IF(AF$13="","",IF($B164="","",IFERROR(O164*$E164/100,"")))</f>
        <v/>
      </c>
      <c r="AG164" s="140">
        <f>IF(AG$13="","",IF($B164="","",IFERROR(P164*$E164/100,"")))</f>
        <v/>
      </c>
      <c r="AH164" s="140">
        <f>IF(AH$13="","",IF($B164="","",IFERROR(Q164*$E164/100,"")))</f>
        <v/>
      </c>
      <c r="AI164" s="140">
        <f>IF(AI$13="","",IF($B164="","",IFERROR(R164*$E164/100,"")))</f>
        <v/>
      </c>
      <c r="AJ164" s="140">
        <f>IF(AJ$13="","",IF($B164="","",IFERROR(S164*$E164/100,"")))</f>
        <v/>
      </c>
      <c r="AK164" s="140">
        <f>IF(AK$13="","",IF($B164="","",IFERROR(T164*$E164/100,"")))</f>
        <v/>
      </c>
      <c r="AL164" s="140">
        <f>IF(AL$13="","",IF($B164="","",IFERROR(U164*$E164/100,"")))</f>
        <v/>
      </c>
      <c r="AN164" s="140">
        <f>IF($B164="","",SUMIF($F$13:$U$13,"&lt;="&amp;Sector!$D$51,$F164:$U164))</f>
        <v/>
      </c>
      <c r="AO164" s="140">
        <f>IF($B164="","",SUMIF($W$13:$AL$13,"&lt;="&amp;Sector!$D$51,$W164:$AL164))</f>
        <v/>
      </c>
    </row>
    <row r="165">
      <c r="B165" s="5">
        <f>IF(AS51!$C$155="","",AS51!$C$155)</f>
        <v/>
      </c>
      <c r="C165" s="90">
        <f>IF(AS51!$B$155="","",AS51!$B$155)</f>
        <v/>
      </c>
      <c r="D165" s="138">
        <f>IFERROR(AS51!$Q$155,1)</f>
        <v/>
      </c>
      <c r="E165" s="139">
        <f>IF($B165="","",IF(ISNUMBER(AS51!$I$155),AS51!$I$155,'Index Summary'!$C$7))</f>
        <v/>
      </c>
      <c r="F165" s="140">
        <f>IF(F$13="","",IF($B165="","",IFERROR($C165*$D165*IF((Override!$C$4="ON")*(COUNTIFS(Override!$B$11:$B$40,$B165,Override!$D$11:$D$40,1,Override!$E$11:$E$40,"&gt;=0")-COUNTIFS(Override!$B$11:$B$40,$B165,Override!$D$11:$D$40,1,Override!$E$11:$E$40,"&gt;=0",Override!$C$11:$C$40,"MXAU"))&gt;0,SUMIFS(Override!$E$11:$E$40,Override!$B$11:$B$40,$B165,Override!$D$11:$D$40,1)-SUMIFS(Override!$E$11:$E$40,Override!$B$11:$B$40,$B165,Override!$D$11:$D$40,1,Override!$C$11:$C$40,"MXAU"),Override!$C$200)/AS51!$B$3,"")))</f>
        <v/>
      </c>
      <c r="G165" s="140">
        <f>IF(G$13="","",IF($B165="","",IFERROR($C165*$D165*IF((Override!$C$4="ON")*(COUNTIFS(Override!$B$11:$B$40,$B165,Override!$D$11:$D$40,2,Override!$E$11:$E$40,"&gt;=0")-COUNTIFS(Override!$B$11:$B$40,$B165,Override!$D$11:$D$40,2,Override!$E$11:$E$40,"&gt;=0",Override!$C$11:$C$40,"MXAU"))&gt;0,SUMIFS(Override!$E$11:$E$40,Override!$B$11:$B$40,$B165,Override!$D$11:$D$40,2)-SUMIFS(Override!$E$11:$E$40,Override!$B$11:$B$40,$B165,Override!$D$11:$D$40,2,Override!$C$11:$C$40,"MXAU"),Override!$D$200)/AS51!$B$3,"")))</f>
        <v/>
      </c>
      <c r="H165" s="140">
        <f>IF(H$13="","",IF($B165="","",IFERROR($C165*$D165*IF((Override!$C$4="ON")*(COUNTIFS(Override!$B$11:$B$40,$B165,Override!$D$11:$D$40,3,Override!$E$11:$E$40,"&gt;=0")-COUNTIFS(Override!$B$11:$B$40,$B165,Override!$D$11:$D$40,3,Override!$E$11:$E$40,"&gt;=0",Override!$C$11:$C$40,"MXAU"))&gt;0,SUMIFS(Override!$E$11:$E$40,Override!$B$11:$B$40,$B165,Override!$D$11:$D$40,3)-SUMIFS(Override!$E$11:$E$40,Override!$B$11:$B$40,$B165,Override!$D$11:$D$40,3,Override!$C$11:$C$40,"MXAU"),Override!$E$200)/AS51!$B$3,"")))</f>
        <v/>
      </c>
      <c r="I165" s="140">
        <f>IF(I$13="","",IF($B165="","",IFERROR($C165*$D165*IF((Override!$C$4="ON")*(COUNTIFS(Override!$B$11:$B$40,$B165,Override!$D$11:$D$40,4,Override!$E$11:$E$40,"&gt;=0")-COUNTIFS(Override!$B$11:$B$40,$B165,Override!$D$11:$D$40,4,Override!$E$11:$E$40,"&gt;=0",Override!$C$11:$C$40,"MXAU"))&gt;0,SUMIFS(Override!$E$11:$E$40,Override!$B$11:$B$40,$B165,Override!$D$11:$D$40,4)-SUMIFS(Override!$E$11:$E$40,Override!$B$11:$B$40,$B165,Override!$D$11:$D$40,4,Override!$C$11:$C$40,"MXAU"),Override!$F$200)/AS51!$B$3,"")))</f>
        <v/>
      </c>
      <c r="J165" s="140">
        <f>IF(J$13="","",IF($B165="","",IFERROR($C165*$D165*IF((Override!$C$4="ON")*(COUNTIFS(Override!$B$11:$B$40,$B165,Override!$D$11:$D$40,5,Override!$E$11:$E$40,"&gt;=0")-COUNTIFS(Override!$B$11:$B$40,$B165,Override!$D$11:$D$40,5,Override!$E$11:$E$40,"&gt;=0",Override!$C$11:$C$40,"MXAU"))&gt;0,SUMIFS(Override!$E$11:$E$40,Override!$B$11:$B$40,$B165,Override!$D$11:$D$40,5)-SUMIFS(Override!$E$11:$E$40,Override!$B$11:$B$40,$B165,Override!$D$11:$D$40,5,Override!$C$11:$C$40,"MXAU"),Override!$G$200)/AS51!$B$3,"")))</f>
        <v/>
      </c>
      <c r="K165" s="140">
        <f>IF(K$13="","",IF($B165="","",IFERROR($C165*$D165*IF((Override!$C$4="ON")*(COUNTIFS(Override!$B$11:$B$40,$B165,Override!$D$11:$D$40,6,Override!$E$11:$E$40,"&gt;=0")-COUNTIFS(Override!$B$11:$B$40,$B165,Override!$D$11:$D$40,6,Override!$E$11:$E$40,"&gt;=0",Override!$C$11:$C$40,"MXAU"))&gt;0,SUMIFS(Override!$E$11:$E$40,Override!$B$11:$B$40,$B165,Override!$D$11:$D$40,6)-SUMIFS(Override!$E$11:$E$40,Override!$B$11:$B$40,$B165,Override!$D$11:$D$40,6,Override!$C$11:$C$40,"MXAU"),Override!$H$200)/AS51!$B$3,"")))</f>
        <v/>
      </c>
      <c r="L165" s="140">
        <f>IF(L$13="","",IF($B165="","",IFERROR($C165*$D165*IF((Override!$C$4="ON")*(COUNTIFS(Override!$B$11:$B$40,$B165,Override!$D$11:$D$40,7,Override!$E$11:$E$40,"&gt;=0")-COUNTIFS(Override!$B$11:$B$40,$B165,Override!$D$11:$D$40,7,Override!$E$11:$E$40,"&gt;=0",Override!$C$11:$C$40,"MXAU"))&gt;0,SUMIFS(Override!$E$11:$E$40,Override!$B$11:$B$40,$B165,Override!$D$11:$D$40,7)-SUMIFS(Override!$E$11:$E$40,Override!$B$11:$B$40,$B165,Override!$D$11:$D$40,7,Override!$C$11:$C$40,"MXAU"),Override!$I$200)/AS51!$B$3,"")))</f>
        <v/>
      </c>
      <c r="M165" s="140">
        <f>IF(M$13="","",IF($B165="","",IFERROR($C165*$D165*IF((Override!$C$4="ON")*(COUNTIFS(Override!$B$11:$B$40,$B165,Override!$D$11:$D$40,8,Override!$E$11:$E$40,"&gt;=0")-COUNTIFS(Override!$B$11:$B$40,$B165,Override!$D$11:$D$40,8,Override!$E$11:$E$40,"&gt;=0",Override!$C$11:$C$40,"MXAU"))&gt;0,SUMIFS(Override!$E$11:$E$40,Override!$B$11:$B$40,$B165,Override!$D$11:$D$40,8)-SUMIFS(Override!$E$11:$E$40,Override!$B$11:$B$40,$B165,Override!$D$11:$D$40,8,Override!$C$11:$C$40,"MXAU"),Override!$J$200)/AS51!$B$3,"")))</f>
        <v/>
      </c>
      <c r="N165" s="140">
        <f>IF(N$13="","",IF($B165="","",IFERROR($C165*$D165*IF((Override!$C$4="ON")*(COUNTIFS(Override!$B$11:$B$40,$B165,Override!$D$11:$D$40,9,Override!$E$11:$E$40,"&gt;=0")-COUNTIFS(Override!$B$11:$B$40,$B165,Override!$D$11:$D$40,9,Override!$E$11:$E$40,"&gt;=0",Override!$C$11:$C$40,"MXAU"))&gt;0,SUMIFS(Override!$E$11:$E$40,Override!$B$11:$B$40,$B165,Override!$D$11:$D$40,9)-SUMIFS(Override!$E$11:$E$40,Override!$B$11:$B$40,$B165,Override!$D$11:$D$40,9,Override!$C$11:$C$40,"MXAU"),Override!$K$200)/AS51!$B$3,"")))</f>
        <v/>
      </c>
      <c r="O165" s="140">
        <f>IF(O$13="","",IF($B165="","",IFERROR($C165*$D165*IF((Override!$C$4="ON")*(COUNTIFS(Override!$B$11:$B$40,$B165,Override!$D$11:$D$40,10,Override!$E$11:$E$40,"&gt;=0")-COUNTIFS(Override!$B$11:$B$40,$B165,Override!$D$11:$D$40,10,Override!$E$11:$E$40,"&gt;=0",Override!$C$11:$C$40,"MXAU"))&gt;0,SUMIFS(Override!$E$11:$E$40,Override!$B$11:$B$40,$B165,Override!$D$11:$D$40,10)-SUMIFS(Override!$E$11:$E$40,Override!$B$11:$B$40,$B165,Override!$D$11:$D$40,10,Override!$C$11:$C$40,"MXAU"),Override!$L$200)/AS51!$B$3,"")))</f>
        <v/>
      </c>
      <c r="P165" s="140">
        <f>IF(P$13="","",IF($B165="","",IFERROR($C165*$D165*IF((Override!$C$4="ON")*(COUNTIFS(Override!$B$11:$B$40,$B165,Override!$D$11:$D$40,11,Override!$E$11:$E$40,"&gt;=0")-COUNTIFS(Override!$B$11:$B$40,$B165,Override!$D$11:$D$40,11,Override!$E$11:$E$40,"&gt;=0",Override!$C$11:$C$40,"MXAU"))&gt;0,SUMIFS(Override!$E$11:$E$40,Override!$B$11:$B$40,$B165,Override!$D$11:$D$40,11)-SUMIFS(Override!$E$11:$E$40,Override!$B$11:$B$40,$B165,Override!$D$11:$D$40,11,Override!$C$11:$C$40,"MXAU"),Override!$M$200)/AS51!$B$3,"")))</f>
        <v/>
      </c>
      <c r="Q165" s="140">
        <f>IF(Q$13="","",IF($B165="","",IFERROR($C165*$D165*IF((Override!$C$4="ON")*(COUNTIFS(Override!$B$11:$B$40,$B165,Override!$D$11:$D$40,12,Override!$E$11:$E$40,"&gt;=0")-COUNTIFS(Override!$B$11:$B$40,$B165,Override!$D$11:$D$40,12,Override!$E$11:$E$40,"&gt;=0",Override!$C$11:$C$40,"MXAU"))&gt;0,SUMIFS(Override!$E$11:$E$40,Override!$B$11:$B$40,$B165,Override!$D$11:$D$40,12)-SUMIFS(Override!$E$11:$E$40,Override!$B$11:$B$40,$B165,Override!$D$11:$D$40,12,Override!$C$11:$C$40,"MXAU"),Override!$N$200)/AS51!$B$3,"")))</f>
        <v/>
      </c>
      <c r="R165" s="140">
        <f>IF(R$13="","",IF($B165="","",IFERROR($C165*$D165*IF((Override!$C$4="ON")*(COUNTIFS(Override!$B$11:$B$40,$B165,Override!$D$11:$D$40,13,Override!$E$11:$E$40,"&gt;=0")-COUNTIFS(Override!$B$11:$B$40,$B165,Override!$D$11:$D$40,13,Override!$E$11:$E$40,"&gt;=0",Override!$C$11:$C$40,"MXAU"))&gt;0,SUMIFS(Override!$E$11:$E$40,Override!$B$11:$B$40,$B165,Override!$D$11:$D$40,13)-SUMIFS(Override!$E$11:$E$40,Override!$B$11:$B$40,$B165,Override!$D$11:$D$40,13,Override!$C$11:$C$40,"MXAU"),Override!$O$200)/AS51!$B$3,"")))</f>
        <v/>
      </c>
      <c r="S165" s="140">
        <f>IF(S$13="","",IF($B165="","",IFERROR($C165*$D165*IF((Override!$C$4="ON")*(COUNTIFS(Override!$B$11:$B$40,$B165,Override!$D$11:$D$40,14,Override!$E$11:$E$40,"&gt;=0")-COUNTIFS(Override!$B$11:$B$40,$B165,Override!$D$11:$D$40,14,Override!$E$11:$E$40,"&gt;=0",Override!$C$11:$C$40,"MXAU"))&gt;0,SUMIFS(Override!$E$11:$E$40,Override!$B$11:$B$40,$B165,Override!$D$11:$D$40,14)-SUMIFS(Override!$E$11:$E$40,Override!$B$11:$B$40,$B165,Override!$D$11:$D$40,14,Override!$C$11:$C$40,"MXAU"),Override!$P$200)/AS51!$B$3,"")))</f>
        <v/>
      </c>
      <c r="T165" s="140">
        <f>IF(T$13="","",IF($B165="","",IFERROR($C165*$D165*IF((Override!$C$4="ON")*(COUNTIFS(Override!$B$11:$B$40,$B165,Override!$D$11:$D$40,15,Override!$E$11:$E$40,"&gt;=0")-COUNTIFS(Override!$B$11:$B$40,$B165,Override!$D$11:$D$40,15,Override!$E$11:$E$40,"&gt;=0",Override!$C$11:$C$40,"MXAU"))&gt;0,SUMIFS(Override!$E$11:$E$40,Override!$B$11:$B$40,$B165,Override!$D$11:$D$40,15)-SUMIFS(Override!$E$11:$E$40,Override!$B$11:$B$40,$B165,Override!$D$11:$D$40,15,Override!$C$11:$C$40,"MXAU"),Override!$Q$200)/AS51!$B$3,"")))</f>
        <v/>
      </c>
      <c r="U165" s="140">
        <f>IF(U$13="","",IF($B165="","",IFERROR($C165*$D165*IF((Override!$C$4="ON")*(COUNTIFS(Override!$B$11:$B$40,$B165,Override!$D$11:$D$40,16,Override!$E$11:$E$40,"&gt;=0")-COUNTIFS(Override!$B$11:$B$40,$B165,Override!$D$11:$D$40,16,Override!$E$11:$E$40,"&gt;=0",Override!$C$11:$C$40,"MXAU"))&gt;0,SUMIFS(Override!$E$11:$E$40,Override!$B$11:$B$40,$B165,Override!$D$11:$D$40,16)-SUMIFS(Override!$E$11:$E$40,Override!$B$11:$B$40,$B165,Override!$D$11:$D$40,16,Override!$C$11:$C$40,"MXAU"),Override!$R$200)/AS51!$B$3,"")))</f>
        <v/>
      </c>
      <c r="W165" s="140">
        <f>IF(W$13="","",IF($B165="","",IFERROR(F165*$E165/100,"")))</f>
        <v/>
      </c>
      <c r="X165" s="140">
        <f>IF(X$13="","",IF($B165="","",IFERROR(G165*$E165/100,"")))</f>
        <v/>
      </c>
      <c r="Y165" s="140">
        <f>IF(Y$13="","",IF($B165="","",IFERROR(H165*$E165/100,"")))</f>
        <v/>
      </c>
      <c r="Z165" s="140">
        <f>IF(Z$13="","",IF($B165="","",IFERROR(I165*$E165/100,"")))</f>
        <v/>
      </c>
      <c r="AA165" s="140">
        <f>IF(AA$13="","",IF($B165="","",IFERROR(J165*$E165/100,"")))</f>
        <v/>
      </c>
      <c r="AB165" s="140">
        <f>IF(AB$13="","",IF($B165="","",IFERROR(K165*$E165/100,"")))</f>
        <v/>
      </c>
      <c r="AC165" s="140">
        <f>IF(AC$13="","",IF($B165="","",IFERROR(L165*$E165/100,"")))</f>
        <v/>
      </c>
      <c r="AD165" s="140">
        <f>IF(AD$13="","",IF($B165="","",IFERROR(M165*$E165/100,"")))</f>
        <v/>
      </c>
      <c r="AE165" s="140">
        <f>IF(AE$13="","",IF($B165="","",IFERROR(N165*$E165/100,"")))</f>
        <v/>
      </c>
      <c r="AF165" s="140">
        <f>IF(AF$13="","",IF($B165="","",IFERROR(O165*$E165/100,"")))</f>
        <v/>
      </c>
      <c r="AG165" s="140">
        <f>IF(AG$13="","",IF($B165="","",IFERROR(P165*$E165/100,"")))</f>
        <v/>
      </c>
      <c r="AH165" s="140">
        <f>IF(AH$13="","",IF($B165="","",IFERROR(Q165*$E165/100,"")))</f>
        <v/>
      </c>
      <c r="AI165" s="140">
        <f>IF(AI$13="","",IF($B165="","",IFERROR(R165*$E165/100,"")))</f>
        <v/>
      </c>
      <c r="AJ165" s="140">
        <f>IF(AJ$13="","",IF($B165="","",IFERROR(S165*$E165/100,"")))</f>
        <v/>
      </c>
      <c r="AK165" s="140">
        <f>IF(AK$13="","",IF($B165="","",IFERROR(T165*$E165/100,"")))</f>
        <v/>
      </c>
      <c r="AL165" s="140">
        <f>IF(AL$13="","",IF($B165="","",IFERROR(U165*$E165/100,"")))</f>
        <v/>
      </c>
      <c r="AN165" s="140">
        <f>IF($B165="","",SUMIF($F$13:$U$13,"&lt;="&amp;Sector!$D$51,$F165:$U165))</f>
        <v/>
      </c>
      <c r="AO165" s="140">
        <f>IF($B165="","",SUMIF($W$13:$AL$13,"&lt;="&amp;Sector!$D$51,$W165:$AL165))</f>
        <v/>
      </c>
    </row>
    <row r="166">
      <c r="B166" s="5">
        <f>IF(AS51!$C$156="","",AS51!$C$156)</f>
        <v/>
      </c>
      <c r="C166" s="90">
        <f>IF(AS51!$B$156="","",AS51!$B$156)</f>
        <v/>
      </c>
      <c r="D166" s="138">
        <f>IFERROR(AS51!$Q$156,1)</f>
        <v/>
      </c>
      <c r="E166" s="139">
        <f>IF($B166="","",IF(ISNUMBER(AS51!$I$156),AS51!$I$156,'Index Summary'!$C$7))</f>
        <v/>
      </c>
      <c r="F166" s="140">
        <f>IF(F$13="","",IF($B166="","",IFERROR($C166*$D166*IF((Override!$C$4="ON")*(COUNTIFS(Override!$B$11:$B$40,$B166,Override!$D$11:$D$40,1,Override!$E$11:$E$40,"&gt;=0")-COUNTIFS(Override!$B$11:$B$40,$B166,Override!$D$11:$D$40,1,Override!$E$11:$E$40,"&gt;=0",Override!$C$11:$C$40,"MXAU"))&gt;0,SUMIFS(Override!$E$11:$E$40,Override!$B$11:$B$40,$B166,Override!$D$11:$D$40,1)-SUMIFS(Override!$E$11:$E$40,Override!$B$11:$B$40,$B166,Override!$D$11:$D$40,1,Override!$C$11:$C$40,"MXAU"),Override!$C$201)/AS51!$B$3,"")))</f>
        <v/>
      </c>
      <c r="G166" s="140">
        <f>IF(G$13="","",IF($B166="","",IFERROR($C166*$D166*IF((Override!$C$4="ON")*(COUNTIFS(Override!$B$11:$B$40,$B166,Override!$D$11:$D$40,2,Override!$E$11:$E$40,"&gt;=0")-COUNTIFS(Override!$B$11:$B$40,$B166,Override!$D$11:$D$40,2,Override!$E$11:$E$40,"&gt;=0",Override!$C$11:$C$40,"MXAU"))&gt;0,SUMIFS(Override!$E$11:$E$40,Override!$B$11:$B$40,$B166,Override!$D$11:$D$40,2)-SUMIFS(Override!$E$11:$E$40,Override!$B$11:$B$40,$B166,Override!$D$11:$D$40,2,Override!$C$11:$C$40,"MXAU"),Override!$D$201)/AS51!$B$3,"")))</f>
        <v/>
      </c>
      <c r="H166" s="140">
        <f>IF(H$13="","",IF($B166="","",IFERROR($C166*$D166*IF((Override!$C$4="ON")*(COUNTIFS(Override!$B$11:$B$40,$B166,Override!$D$11:$D$40,3,Override!$E$11:$E$40,"&gt;=0")-COUNTIFS(Override!$B$11:$B$40,$B166,Override!$D$11:$D$40,3,Override!$E$11:$E$40,"&gt;=0",Override!$C$11:$C$40,"MXAU"))&gt;0,SUMIFS(Override!$E$11:$E$40,Override!$B$11:$B$40,$B166,Override!$D$11:$D$40,3)-SUMIFS(Override!$E$11:$E$40,Override!$B$11:$B$40,$B166,Override!$D$11:$D$40,3,Override!$C$11:$C$40,"MXAU"),Override!$E$201)/AS51!$B$3,"")))</f>
        <v/>
      </c>
      <c r="I166" s="140">
        <f>IF(I$13="","",IF($B166="","",IFERROR($C166*$D166*IF((Override!$C$4="ON")*(COUNTIFS(Override!$B$11:$B$40,$B166,Override!$D$11:$D$40,4,Override!$E$11:$E$40,"&gt;=0")-COUNTIFS(Override!$B$11:$B$40,$B166,Override!$D$11:$D$40,4,Override!$E$11:$E$40,"&gt;=0",Override!$C$11:$C$40,"MXAU"))&gt;0,SUMIFS(Override!$E$11:$E$40,Override!$B$11:$B$40,$B166,Override!$D$11:$D$40,4)-SUMIFS(Override!$E$11:$E$40,Override!$B$11:$B$40,$B166,Override!$D$11:$D$40,4,Override!$C$11:$C$40,"MXAU"),Override!$F$201)/AS51!$B$3,"")))</f>
        <v/>
      </c>
      <c r="J166" s="140">
        <f>IF(J$13="","",IF($B166="","",IFERROR($C166*$D166*IF((Override!$C$4="ON")*(COUNTIFS(Override!$B$11:$B$40,$B166,Override!$D$11:$D$40,5,Override!$E$11:$E$40,"&gt;=0")-COUNTIFS(Override!$B$11:$B$40,$B166,Override!$D$11:$D$40,5,Override!$E$11:$E$40,"&gt;=0",Override!$C$11:$C$40,"MXAU"))&gt;0,SUMIFS(Override!$E$11:$E$40,Override!$B$11:$B$40,$B166,Override!$D$11:$D$40,5)-SUMIFS(Override!$E$11:$E$40,Override!$B$11:$B$40,$B166,Override!$D$11:$D$40,5,Override!$C$11:$C$40,"MXAU"),Override!$G$201)/AS51!$B$3,"")))</f>
        <v/>
      </c>
      <c r="K166" s="140">
        <f>IF(K$13="","",IF($B166="","",IFERROR($C166*$D166*IF((Override!$C$4="ON")*(COUNTIFS(Override!$B$11:$B$40,$B166,Override!$D$11:$D$40,6,Override!$E$11:$E$40,"&gt;=0")-COUNTIFS(Override!$B$11:$B$40,$B166,Override!$D$11:$D$40,6,Override!$E$11:$E$40,"&gt;=0",Override!$C$11:$C$40,"MXAU"))&gt;0,SUMIFS(Override!$E$11:$E$40,Override!$B$11:$B$40,$B166,Override!$D$11:$D$40,6)-SUMIFS(Override!$E$11:$E$40,Override!$B$11:$B$40,$B166,Override!$D$11:$D$40,6,Override!$C$11:$C$40,"MXAU"),Override!$H$201)/AS51!$B$3,"")))</f>
        <v/>
      </c>
      <c r="L166" s="140">
        <f>IF(L$13="","",IF($B166="","",IFERROR($C166*$D166*IF((Override!$C$4="ON")*(COUNTIFS(Override!$B$11:$B$40,$B166,Override!$D$11:$D$40,7,Override!$E$11:$E$40,"&gt;=0")-COUNTIFS(Override!$B$11:$B$40,$B166,Override!$D$11:$D$40,7,Override!$E$11:$E$40,"&gt;=0",Override!$C$11:$C$40,"MXAU"))&gt;0,SUMIFS(Override!$E$11:$E$40,Override!$B$11:$B$40,$B166,Override!$D$11:$D$40,7)-SUMIFS(Override!$E$11:$E$40,Override!$B$11:$B$40,$B166,Override!$D$11:$D$40,7,Override!$C$11:$C$40,"MXAU"),Override!$I$201)/AS51!$B$3,"")))</f>
        <v/>
      </c>
      <c r="M166" s="140">
        <f>IF(M$13="","",IF($B166="","",IFERROR($C166*$D166*IF((Override!$C$4="ON")*(COUNTIFS(Override!$B$11:$B$40,$B166,Override!$D$11:$D$40,8,Override!$E$11:$E$40,"&gt;=0")-COUNTIFS(Override!$B$11:$B$40,$B166,Override!$D$11:$D$40,8,Override!$E$11:$E$40,"&gt;=0",Override!$C$11:$C$40,"MXAU"))&gt;0,SUMIFS(Override!$E$11:$E$40,Override!$B$11:$B$40,$B166,Override!$D$11:$D$40,8)-SUMIFS(Override!$E$11:$E$40,Override!$B$11:$B$40,$B166,Override!$D$11:$D$40,8,Override!$C$11:$C$40,"MXAU"),Override!$J$201)/AS51!$B$3,"")))</f>
        <v/>
      </c>
      <c r="N166" s="140">
        <f>IF(N$13="","",IF($B166="","",IFERROR($C166*$D166*IF((Override!$C$4="ON")*(COUNTIFS(Override!$B$11:$B$40,$B166,Override!$D$11:$D$40,9,Override!$E$11:$E$40,"&gt;=0")-COUNTIFS(Override!$B$11:$B$40,$B166,Override!$D$11:$D$40,9,Override!$E$11:$E$40,"&gt;=0",Override!$C$11:$C$40,"MXAU"))&gt;0,SUMIFS(Override!$E$11:$E$40,Override!$B$11:$B$40,$B166,Override!$D$11:$D$40,9)-SUMIFS(Override!$E$11:$E$40,Override!$B$11:$B$40,$B166,Override!$D$11:$D$40,9,Override!$C$11:$C$40,"MXAU"),Override!$K$201)/AS51!$B$3,"")))</f>
        <v/>
      </c>
      <c r="O166" s="140">
        <f>IF(O$13="","",IF($B166="","",IFERROR($C166*$D166*IF((Override!$C$4="ON")*(COUNTIFS(Override!$B$11:$B$40,$B166,Override!$D$11:$D$40,10,Override!$E$11:$E$40,"&gt;=0")-COUNTIFS(Override!$B$11:$B$40,$B166,Override!$D$11:$D$40,10,Override!$E$11:$E$40,"&gt;=0",Override!$C$11:$C$40,"MXAU"))&gt;0,SUMIFS(Override!$E$11:$E$40,Override!$B$11:$B$40,$B166,Override!$D$11:$D$40,10)-SUMIFS(Override!$E$11:$E$40,Override!$B$11:$B$40,$B166,Override!$D$11:$D$40,10,Override!$C$11:$C$40,"MXAU"),Override!$L$201)/AS51!$B$3,"")))</f>
        <v/>
      </c>
      <c r="P166" s="140">
        <f>IF(P$13="","",IF($B166="","",IFERROR($C166*$D166*IF((Override!$C$4="ON")*(COUNTIFS(Override!$B$11:$B$40,$B166,Override!$D$11:$D$40,11,Override!$E$11:$E$40,"&gt;=0")-COUNTIFS(Override!$B$11:$B$40,$B166,Override!$D$11:$D$40,11,Override!$E$11:$E$40,"&gt;=0",Override!$C$11:$C$40,"MXAU"))&gt;0,SUMIFS(Override!$E$11:$E$40,Override!$B$11:$B$40,$B166,Override!$D$11:$D$40,11)-SUMIFS(Override!$E$11:$E$40,Override!$B$11:$B$40,$B166,Override!$D$11:$D$40,11,Override!$C$11:$C$40,"MXAU"),Override!$M$201)/AS51!$B$3,"")))</f>
        <v/>
      </c>
      <c r="Q166" s="140">
        <f>IF(Q$13="","",IF($B166="","",IFERROR($C166*$D166*IF((Override!$C$4="ON")*(COUNTIFS(Override!$B$11:$B$40,$B166,Override!$D$11:$D$40,12,Override!$E$11:$E$40,"&gt;=0")-COUNTIFS(Override!$B$11:$B$40,$B166,Override!$D$11:$D$40,12,Override!$E$11:$E$40,"&gt;=0",Override!$C$11:$C$40,"MXAU"))&gt;0,SUMIFS(Override!$E$11:$E$40,Override!$B$11:$B$40,$B166,Override!$D$11:$D$40,12)-SUMIFS(Override!$E$11:$E$40,Override!$B$11:$B$40,$B166,Override!$D$11:$D$40,12,Override!$C$11:$C$40,"MXAU"),Override!$N$201)/AS51!$B$3,"")))</f>
        <v/>
      </c>
      <c r="R166" s="140">
        <f>IF(R$13="","",IF($B166="","",IFERROR($C166*$D166*IF((Override!$C$4="ON")*(COUNTIFS(Override!$B$11:$B$40,$B166,Override!$D$11:$D$40,13,Override!$E$11:$E$40,"&gt;=0")-COUNTIFS(Override!$B$11:$B$40,$B166,Override!$D$11:$D$40,13,Override!$E$11:$E$40,"&gt;=0",Override!$C$11:$C$40,"MXAU"))&gt;0,SUMIFS(Override!$E$11:$E$40,Override!$B$11:$B$40,$B166,Override!$D$11:$D$40,13)-SUMIFS(Override!$E$11:$E$40,Override!$B$11:$B$40,$B166,Override!$D$11:$D$40,13,Override!$C$11:$C$40,"MXAU"),Override!$O$201)/AS51!$B$3,"")))</f>
        <v/>
      </c>
      <c r="S166" s="140">
        <f>IF(S$13="","",IF($B166="","",IFERROR($C166*$D166*IF((Override!$C$4="ON")*(COUNTIFS(Override!$B$11:$B$40,$B166,Override!$D$11:$D$40,14,Override!$E$11:$E$40,"&gt;=0")-COUNTIFS(Override!$B$11:$B$40,$B166,Override!$D$11:$D$40,14,Override!$E$11:$E$40,"&gt;=0",Override!$C$11:$C$40,"MXAU"))&gt;0,SUMIFS(Override!$E$11:$E$40,Override!$B$11:$B$40,$B166,Override!$D$11:$D$40,14)-SUMIFS(Override!$E$11:$E$40,Override!$B$11:$B$40,$B166,Override!$D$11:$D$40,14,Override!$C$11:$C$40,"MXAU"),Override!$P$201)/AS51!$B$3,"")))</f>
        <v/>
      </c>
      <c r="T166" s="140">
        <f>IF(T$13="","",IF($B166="","",IFERROR($C166*$D166*IF((Override!$C$4="ON")*(COUNTIFS(Override!$B$11:$B$40,$B166,Override!$D$11:$D$40,15,Override!$E$11:$E$40,"&gt;=0")-COUNTIFS(Override!$B$11:$B$40,$B166,Override!$D$11:$D$40,15,Override!$E$11:$E$40,"&gt;=0",Override!$C$11:$C$40,"MXAU"))&gt;0,SUMIFS(Override!$E$11:$E$40,Override!$B$11:$B$40,$B166,Override!$D$11:$D$40,15)-SUMIFS(Override!$E$11:$E$40,Override!$B$11:$B$40,$B166,Override!$D$11:$D$40,15,Override!$C$11:$C$40,"MXAU"),Override!$Q$201)/AS51!$B$3,"")))</f>
        <v/>
      </c>
      <c r="U166" s="140">
        <f>IF(U$13="","",IF($B166="","",IFERROR($C166*$D166*IF((Override!$C$4="ON")*(COUNTIFS(Override!$B$11:$B$40,$B166,Override!$D$11:$D$40,16,Override!$E$11:$E$40,"&gt;=0")-COUNTIFS(Override!$B$11:$B$40,$B166,Override!$D$11:$D$40,16,Override!$E$11:$E$40,"&gt;=0",Override!$C$11:$C$40,"MXAU"))&gt;0,SUMIFS(Override!$E$11:$E$40,Override!$B$11:$B$40,$B166,Override!$D$11:$D$40,16)-SUMIFS(Override!$E$11:$E$40,Override!$B$11:$B$40,$B166,Override!$D$11:$D$40,16,Override!$C$11:$C$40,"MXAU"),Override!$R$201)/AS51!$B$3,"")))</f>
        <v/>
      </c>
      <c r="W166" s="140">
        <f>IF(W$13="","",IF($B166="","",IFERROR(F166*$E166/100,"")))</f>
        <v/>
      </c>
      <c r="X166" s="140">
        <f>IF(X$13="","",IF($B166="","",IFERROR(G166*$E166/100,"")))</f>
        <v/>
      </c>
      <c r="Y166" s="140">
        <f>IF(Y$13="","",IF($B166="","",IFERROR(H166*$E166/100,"")))</f>
        <v/>
      </c>
      <c r="Z166" s="140">
        <f>IF(Z$13="","",IF($B166="","",IFERROR(I166*$E166/100,"")))</f>
        <v/>
      </c>
      <c r="AA166" s="140">
        <f>IF(AA$13="","",IF($B166="","",IFERROR(J166*$E166/100,"")))</f>
        <v/>
      </c>
      <c r="AB166" s="140">
        <f>IF(AB$13="","",IF($B166="","",IFERROR(K166*$E166/100,"")))</f>
        <v/>
      </c>
      <c r="AC166" s="140">
        <f>IF(AC$13="","",IF($B166="","",IFERROR(L166*$E166/100,"")))</f>
        <v/>
      </c>
      <c r="AD166" s="140">
        <f>IF(AD$13="","",IF($B166="","",IFERROR(M166*$E166/100,"")))</f>
        <v/>
      </c>
      <c r="AE166" s="140">
        <f>IF(AE$13="","",IF($B166="","",IFERROR(N166*$E166/100,"")))</f>
        <v/>
      </c>
      <c r="AF166" s="140">
        <f>IF(AF$13="","",IF($B166="","",IFERROR(O166*$E166/100,"")))</f>
        <v/>
      </c>
      <c r="AG166" s="140">
        <f>IF(AG$13="","",IF($B166="","",IFERROR(P166*$E166/100,"")))</f>
        <v/>
      </c>
      <c r="AH166" s="140">
        <f>IF(AH$13="","",IF($B166="","",IFERROR(Q166*$E166/100,"")))</f>
        <v/>
      </c>
      <c r="AI166" s="140">
        <f>IF(AI$13="","",IF($B166="","",IFERROR(R166*$E166/100,"")))</f>
        <v/>
      </c>
      <c r="AJ166" s="140">
        <f>IF(AJ$13="","",IF($B166="","",IFERROR(S166*$E166/100,"")))</f>
        <v/>
      </c>
      <c r="AK166" s="140">
        <f>IF(AK$13="","",IF($B166="","",IFERROR(T166*$E166/100,"")))</f>
        <v/>
      </c>
      <c r="AL166" s="140">
        <f>IF(AL$13="","",IF($B166="","",IFERROR(U166*$E166/100,"")))</f>
        <v/>
      </c>
      <c r="AN166" s="140">
        <f>IF($B166="","",SUMIF($F$13:$U$13,"&lt;="&amp;Sector!$D$51,$F166:$U166))</f>
        <v/>
      </c>
      <c r="AO166" s="140">
        <f>IF($B166="","",SUMIF($W$13:$AL$13,"&lt;="&amp;Sector!$D$51,$W166:$AL166))</f>
        <v/>
      </c>
    </row>
    <row r="167">
      <c r="B167" s="5">
        <f>IF(AS51!$C$157="","",AS51!$C$157)</f>
        <v/>
      </c>
      <c r="C167" s="90">
        <f>IF(AS51!$B$157="","",AS51!$B$157)</f>
        <v/>
      </c>
      <c r="D167" s="138">
        <f>IFERROR(AS51!$Q$157,1)</f>
        <v/>
      </c>
      <c r="E167" s="139">
        <f>IF($B167="","",IF(ISNUMBER(AS51!$I$157),AS51!$I$157,'Index Summary'!$C$7))</f>
        <v/>
      </c>
      <c r="F167" s="140">
        <f>IF(F$13="","",IF($B167="","",IFERROR($C167*$D167*IF((Override!$C$4="ON")*(COUNTIFS(Override!$B$11:$B$40,$B167,Override!$D$11:$D$40,1,Override!$E$11:$E$40,"&gt;=0")-COUNTIFS(Override!$B$11:$B$40,$B167,Override!$D$11:$D$40,1,Override!$E$11:$E$40,"&gt;=0",Override!$C$11:$C$40,"MXAU"))&gt;0,SUMIFS(Override!$E$11:$E$40,Override!$B$11:$B$40,$B167,Override!$D$11:$D$40,1)-SUMIFS(Override!$E$11:$E$40,Override!$B$11:$B$40,$B167,Override!$D$11:$D$40,1,Override!$C$11:$C$40,"MXAU"),Override!$C$202)/AS51!$B$3,"")))</f>
        <v/>
      </c>
      <c r="G167" s="140">
        <f>IF(G$13="","",IF($B167="","",IFERROR($C167*$D167*IF((Override!$C$4="ON")*(COUNTIFS(Override!$B$11:$B$40,$B167,Override!$D$11:$D$40,2,Override!$E$11:$E$40,"&gt;=0")-COUNTIFS(Override!$B$11:$B$40,$B167,Override!$D$11:$D$40,2,Override!$E$11:$E$40,"&gt;=0",Override!$C$11:$C$40,"MXAU"))&gt;0,SUMIFS(Override!$E$11:$E$40,Override!$B$11:$B$40,$B167,Override!$D$11:$D$40,2)-SUMIFS(Override!$E$11:$E$40,Override!$B$11:$B$40,$B167,Override!$D$11:$D$40,2,Override!$C$11:$C$40,"MXAU"),Override!$D$202)/AS51!$B$3,"")))</f>
        <v/>
      </c>
      <c r="H167" s="140">
        <f>IF(H$13="","",IF($B167="","",IFERROR($C167*$D167*IF((Override!$C$4="ON")*(COUNTIFS(Override!$B$11:$B$40,$B167,Override!$D$11:$D$40,3,Override!$E$11:$E$40,"&gt;=0")-COUNTIFS(Override!$B$11:$B$40,$B167,Override!$D$11:$D$40,3,Override!$E$11:$E$40,"&gt;=0",Override!$C$11:$C$40,"MXAU"))&gt;0,SUMIFS(Override!$E$11:$E$40,Override!$B$11:$B$40,$B167,Override!$D$11:$D$40,3)-SUMIFS(Override!$E$11:$E$40,Override!$B$11:$B$40,$B167,Override!$D$11:$D$40,3,Override!$C$11:$C$40,"MXAU"),Override!$E$202)/AS51!$B$3,"")))</f>
        <v/>
      </c>
      <c r="I167" s="140">
        <f>IF(I$13="","",IF($B167="","",IFERROR($C167*$D167*IF((Override!$C$4="ON")*(COUNTIFS(Override!$B$11:$B$40,$B167,Override!$D$11:$D$40,4,Override!$E$11:$E$40,"&gt;=0")-COUNTIFS(Override!$B$11:$B$40,$B167,Override!$D$11:$D$40,4,Override!$E$11:$E$40,"&gt;=0",Override!$C$11:$C$40,"MXAU"))&gt;0,SUMIFS(Override!$E$11:$E$40,Override!$B$11:$B$40,$B167,Override!$D$11:$D$40,4)-SUMIFS(Override!$E$11:$E$40,Override!$B$11:$B$40,$B167,Override!$D$11:$D$40,4,Override!$C$11:$C$40,"MXAU"),Override!$F$202)/AS51!$B$3,"")))</f>
        <v/>
      </c>
      <c r="J167" s="140">
        <f>IF(J$13="","",IF($B167="","",IFERROR($C167*$D167*IF((Override!$C$4="ON")*(COUNTIFS(Override!$B$11:$B$40,$B167,Override!$D$11:$D$40,5,Override!$E$11:$E$40,"&gt;=0")-COUNTIFS(Override!$B$11:$B$40,$B167,Override!$D$11:$D$40,5,Override!$E$11:$E$40,"&gt;=0",Override!$C$11:$C$40,"MXAU"))&gt;0,SUMIFS(Override!$E$11:$E$40,Override!$B$11:$B$40,$B167,Override!$D$11:$D$40,5)-SUMIFS(Override!$E$11:$E$40,Override!$B$11:$B$40,$B167,Override!$D$11:$D$40,5,Override!$C$11:$C$40,"MXAU"),Override!$G$202)/AS51!$B$3,"")))</f>
        <v/>
      </c>
      <c r="K167" s="140">
        <f>IF(K$13="","",IF($B167="","",IFERROR($C167*$D167*IF((Override!$C$4="ON")*(COUNTIFS(Override!$B$11:$B$40,$B167,Override!$D$11:$D$40,6,Override!$E$11:$E$40,"&gt;=0")-COUNTIFS(Override!$B$11:$B$40,$B167,Override!$D$11:$D$40,6,Override!$E$11:$E$40,"&gt;=0",Override!$C$11:$C$40,"MXAU"))&gt;0,SUMIFS(Override!$E$11:$E$40,Override!$B$11:$B$40,$B167,Override!$D$11:$D$40,6)-SUMIFS(Override!$E$11:$E$40,Override!$B$11:$B$40,$B167,Override!$D$11:$D$40,6,Override!$C$11:$C$40,"MXAU"),Override!$H$202)/AS51!$B$3,"")))</f>
        <v/>
      </c>
      <c r="L167" s="140">
        <f>IF(L$13="","",IF($B167="","",IFERROR($C167*$D167*IF((Override!$C$4="ON")*(COUNTIFS(Override!$B$11:$B$40,$B167,Override!$D$11:$D$40,7,Override!$E$11:$E$40,"&gt;=0")-COUNTIFS(Override!$B$11:$B$40,$B167,Override!$D$11:$D$40,7,Override!$E$11:$E$40,"&gt;=0",Override!$C$11:$C$40,"MXAU"))&gt;0,SUMIFS(Override!$E$11:$E$40,Override!$B$11:$B$40,$B167,Override!$D$11:$D$40,7)-SUMIFS(Override!$E$11:$E$40,Override!$B$11:$B$40,$B167,Override!$D$11:$D$40,7,Override!$C$11:$C$40,"MXAU"),Override!$I$202)/AS51!$B$3,"")))</f>
        <v/>
      </c>
      <c r="M167" s="140">
        <f>IF(M$13="","",IF($B167="","",IFERROR($C167*$D167*IF((Override!$C$4="ON")*(COUNTIFS(Override!$B$11:$B$40,$B167,Override!$D$11:$D$40,8,Override!$E$11:$E$40,"&gt;=0")-COUNTIFS(Override!$B$11:$B$40,$B167,Override!$D$11:$D$40,8,Override!$E$11:$E$40,"&gt;=0",Override!$C$11:$C$40,"MXAU"))&gt;0,SUMIFS(Override!$E$11:$E$40,Override!$B$11:$B$40,$B167,Override!$D$11:$D$40,8)-SUMIFS(Override!$E$11:$E$40,Override!$B$11:$B$40,$B167,Override!$D$11:$D$40,8,Override!$C$11:$C$40,"MXAU"),Override!$J$202)/AS51!$B$3,"")))</f>
        <v/>
      </c>
      <c r="N167" s="140">
        <f>IF(N$13="","",IF($B167="","",IFERROR($C167*$D167*IF((Override!$C$4="ON")*(COUNTIFS(Override!$B$11:$B$40,$B167,Override!$D$11:$D$40,9,Override!$E$11:$E$40,"&gt;=0")-COUNTIFS(Override!$B$11:$B$40,$B167,Override!$D$11:$D$40,9,Override!$E$11:$E$40,"&gt;=0",Override!$C$11:$C$40,"MXAU"))&gt;0,SUMIFS(Override!$E$11:$E$40,Override!$B$11:$B$40,$B167,Override!$D$11:$D$40,9)-SUMIFS(Override!$E$11:$E$40,Override!$B$11:$B$40,$B167,Override!$D$11:$D$40,9,Override!$C$11:$C$40,"MXAU"),Override!$K$202)/AS51!$B$3,"")))</f>
        <v/>
      </c>
      <c r="O167" s="140">
        <f>IF(O$13="","",IF($B167="","",IFERROR($C167*$D167*IF((Override!$C$4="ON")*(COUNTIFS(Override!$B$11:$B$40,$B167,Override!$D$11:$D$40,10,Override!$E$11:$E$40,"&gt;=0")-COUNTIFS(Override!$B$11:$B$40,$B167,Override!$D$11:$D$40,10,Override!$E$11:$E$40,"&gt;=0",Override!$C$11:$C$40,"MXAU"))&gt;0,SUMIFS(Override!$E$11:$E$40,Override!$B$11:$B$40,$B167,Override!$D$11:$D$40,10)-SUMIFS(Override!$E$11:$E$40,Override!$B$11:$B$40,$B167,Override!$D$11:$D$40,10,Override!$C$11:$C$40,"MXAU"),Override!$L$202)/AS51!$B$3,"")))</f>
        <v/>
      </c>
      <c r="P167" s="140">
        <f>IF(P$13="","",IF($B167="","",IFERROR($C167*$D167*IF((Override!$C$4="ON")*(COUNTIFS(Override!$B$11:$B$40,$B167,Override!$D$11:$D$40,11,Override!$E$11:$E$40,"&gt;=0")-COUNTIFS(Override!$B$11:$B$40,$B167,Override!$D$11:$D$40,11,Override!$E$11:$E$40,"&gt;=0",Override!$C$11:$C$40,"MXAU"))&gt;0,SUMIFS(Override!$E$11:$E$40,Override!$B$11:$B$40,$B167,Override!$D$11:$D$40,11)-SUMIFS(Override!$E$11:$E$40,Override!$B$11:$B$40,$B167,Override!$D$11:$D$40,11,Override!$C$11:$C$40,"MXAU"),Override!$M$202)/AS51!$B$3,"")))</f>
        <v/>
      </c>
      <c r="Q167" s="140">
        <f>IF(Q$13="","",IF($B167="","",IFERROR($C167*$D167*IF((Override!$C$4="ON")*(COUNTIFS(Override!$B$11:$B$40,$B167,Override!$D$11:$D$40,12,Override!$E$11:$E$40,"&gt;=0")-COUNTIFS(Override!$B$11:$B$40,$B167,Override!$D$11:$D$40,12,Override!$E$11:$E$40,"&gt;=0",Override!$C$11:$C$40,"MXAU"))&gt;0,SUMIFS(Override!$E$11:$E$40,Override!$B$11:$B$40,$B167,Override!$D$11:$D$40,12)-SUMIFS(Override!$E$11:$E$40,Override!$B$11:$B$40,$B167,Override!$D$11:$D$40,12,Override!$C$11:$C$40,"MXAU"),Override!$N$202)/AS51!$B$3,"")))</f>
        <v/>
      </c>
      <c r="R167" s="140">
        <f>IF(R$13="","",IF($B167="","",IFERROR($C167*$D167*IF((Override!$C$4="ON")*(COUNTIFS(Override!$B$11:$B$40,$B167,Override!$D$11:$D$40,13,Override!$E$11:$E$40,"&gt;=0")-COUNTIFS(Override!$B$11:$B$40,$B167,Override!$D$11:$D$40,13,Override!$E$11:$E$40,"&gt;=0",Override!$C$11:$C$40,"MXAU"))&gt;0,SUMIFS(Override!$E$11:$E$40,Override!$B$11:$B$40,$B167,Override!$D$11:$D$40,13)-SUMIFS(Override!$E$11:$E$40,Override!$B$11:$B$40,$B167,Override!$D$11:$D$40,13,Override!$C$11:$C$40,"MXAU"),Override!$O$202)/AS51!$B$3,"")))</f>
        <v/>
      </c>
      <c r="S167" s="140">
        <f>IF(S$13="","",IF($B167="","",IFERROR($C167*$D167*IF((Override!$C$4="ON")*(COUNTIFS(Override!$B$11:$B$40,$B167,Override!$D$11:$D$40,14,Override!$E$11:$E$40,"&gt;=0")-COUNTIFS(Override!$B$11:$B$40,$B167,Override!$D$11:$D$40,14,Override!$E$11:$E$40,"&gt;=0",Override!$C$11:$C$40,"MXAU"))&gt;0,SUMIFS(Override!$E$11:$E$40,Override!$B$11:$B$40,$B167,Override!$D$11:$D$40,14)-SUMIFS(Override!$E$11:$E$40,Override!$B$11:$B$40,$B167,Override!$D$11:$D$40,14,Override!$C$11:$C$40,"MXAU"),Override!$P$202)/AS51!$B$3,"")))</f>
        <v/>
      </c>
      <c r="T167" s="140">
        <f>IF(T$13="","",IF($B167="","",IFERROR($C167*$D167*IF((Override!$C$4="ON")*(COUNTIFS(Override!$B$11:$B$40,$B167,Override!$D$11:$D$40,15,Override!$E$11:$E$40,"&gt;=0")-COUNTIFS(Override!$B$11:$B$40,$B167,Override!$D$11:$D$40,15,Override!$E$11:$E$40,"&gt;=0",Override!$C$11:$C$40,"MXAU"))&gt;0,SUMIFS(Override!$E$11:$E$40,Override!$B$11:$B$40,$B167,Override!$D$11:$D$40,15)-SUMIFS(Override!$E$11:$E$40,Override!$B$11:$B$40,$B167,Override!$D$11:$D$40,15,Override!$C$11:$C$40,"MXAU"),Override!$Q$202)/AS51!$B$3,"")))</f>
        <v/>
      </c>
      <c r="U167" s="140">
        <f>IF(U$13="","",IF($B167="","",IFERROR($C167*$D167*IF((Override!$C$4="ON")*(COUNTIFS(Override!$B$11:$B$40,$B167,Override!$D$11:$D$40,16,Override!$E$11:$E$40,"&gt;=0")-COUNTIFS(Override!$B$11:$B$40,$B167,Override!$D$11:$D$40,16,Override!$E$11:$E$40,"&gt;=0",Override!$C$11:$C$40,"MXAU"))&gt;0,SUMIFS(Override!$E$11:$E$40,Override!$B$11:$B$40,$B167,Override!$D$11:$D$40,16)-SUMIFS(Override!$E$11:$E$40,Override!$B$11:$B$40,$B167,Override!$D$11:$D$40,16,Override!$C$11:$C$40,"MXAU"),Override!$R$202)/AS51!$B$3,"")))</f>
        <v/>
      </c>
      <c r="W167" s="140">
        <f>IF(W$13="","",IF($B167="","",IFERROR(F167*$E167/100,"")))</f>
        <v/>
      </c>
      <c r="X167" s="140">
        <f>IF(X$13="","",IF($B167="","",IFERROR(G167*$E167/100,"")))</f>
        <v/>
      </c>
      <c r="Y167" s="140">
        <f>IF(Y$13="","",IF($B167="","",IFERROR(H167*$E167/100,"")))</f>
        <v/>
      </c>
      <c r="Z167" s="140">
        <f>IF(Z$13="","",IF($B167="","",IFERROR(I167*$E167/100,"")))</f>
        <v/>
      </c>
      <c r="AA167" s="140">
        <f>IF(AA$13="","",IF($B167="","",IFERROR(J167*$E167/100,"")))</f>
        <v/>
      </c>
      <c r="AB167" s="140">
        <f>IF(AB$13="","",IF($B167="","",IFERROR(K167*$E167/100,"")))</f>
        <v/>
      </c>
      <c r="AC167" s="140">
        <f>IF(AC$13="","",IF($B167="","",IFERROR(L167*$E167/100,"")))</f>
        <v/>
      </c>
      <c r="AD167" s="140">
        <f>IF(AD$13="","",IF($B167="","",IFERROR(M167*$E167/100,"")))</f>
        <v/>
      </c>
      <c r="AE167" s="140">
        <f>IF(AE$13="","",IF($B167="","",IFERROR(N167*$E167/100,"")))</f>
        <v/>
      </c>
      <c r="AF167" s="140">
        <f>IF(AF$13="","",IF($B167="","",IFERROR(O167*$E167/100,"")))</f>
        <v/>
      </c>
      <c r="AG167" s="140">
        <f>IF(AG$13="","",IF($B167="","",IFERROR(P167*$E167/100,"")))</f>
        <v/>
      </c>
      <c r="AH167" s="140">
        <f>IF(AH$13="","",IF($B167="","",IFERROR(Q167*$E167/100,"")))</f>
        <v/>
      </c>
      <c r="AI167" s="140">
        <f>IF(AI$13="","",IF($B167="","",IFERROR(R167*$E167/100,"")))</f>
        <v/>
      </c>
      <c r="AJ167" s="140">
        <f>IF(AJ$13="","",IF($B167="","",IFERROR(S167*$E167/100,"")))</f>
        <v/>
      </c>
      <c r="AK167" s="140">
        <f>IF(AK$13="","",IF($B167="","",IFERROR(T167*$E167/100,"")))</f>
        <v/>
      </c>
      <c r="AL167" s="140">
        <f>IF(AL$13="","",IF($B167="","",IFERROR(U167*$E167/100,"")))</f>
        <v/>
      </c>
      <c r="AN167" s="140">
        <f>IF($B167="","",SUMIF($F$13:$U$13,"&lt;="&amp;Sector!$D$51,$F167:$U167))</f>
        <v/>
      </c>
      <c r="AO167" s="140">
        <f>IF($B167="","",SUMIF($W$13:$AL$13,"&lt;="&amp;Sector!$D$51,$W167:$AL167))</f>
        <v/>
      </c>
    </row>
    <row r="168">
      <c r="B168" s="5">
        <f>IF(AS51!$C$158="","",AS51!$C$158)</f>
        <v/>
      </c>
      <c r="C168" s="90">
        <f>IF(AS51!$B$158="","",AS51!$B$158)</f>
        <v/>
      </c>
      <c r="D168" s="138">
        <f>IFERROR(AS51!$Q$158,1)</f>
        <v/>
      </c>
      <c r="E168" s="139">
        <f>IF($B168="","",IF(ISNUMBER(AS51!$I$158),AS51!$I$158,'Index Summary'!$C$7))</f>
        <v/>
      </c>
      <c r="F168" s="140">
        <f>IF(F$13="","",IF($B168="","",IFERROR($C168*$D168*IF((Override!$C$4="ON")*(COUNTIFS(Override!$B$11:$B$40,$B168,Override!$D$11:$D$40,1,Override!$E$11:$E$40,"&gt;=0")-COUNTIFS(Override!$B$11:$B$40,$B168,Override!$D$11:$D$40,1,Override!$E$11:$E$40,"&gt;=0",Override!$C$11:$C$40,"MXAU"))&gt;0,SUMIFS(Override!$E$11:$E$40,Override!$B$11:$B$40,$B168,Override!$D$11:$D$40,1)-SUMIFS(Override!$E$11:$E$40,Override!$B$11:$B$40,$B168,Override!$D$11:$D$40,1,Override!$C$11:$C$40,"MXAU"),Override!$C$203)/AS51!$B$3,"")))</f>
        <v/>
      </c>
      <c r="G168" s="140">
        <f>IF(G$13="","",IF($B168="","",IFERROR($C168*$D168*IF((Override!$C$4="ON")*(COUNTIFS(Override!$B$11:$B$40,$B168,Override!$D$11:$D$40,2,Override!$E$11:$E$40,"&gt;=0")-COUNTIFS(Override!$B$11:$B$40,$B168,Override!$D$11:$D$40,2,Override!$E$11:$E$40,"&gt;=0",Override!$C$11:$C$40,"MXAU"))&gt;0,SUMIFS(Override!$E$11:$E$40,Override!$B$11:$B$40,$B168,Override!$D$11:$D$40,2)-SUMIFS(Override!$E$11:$E$40,Override!$B$11:$B$40,$B168,Override!$D$11:$D$40,2,Override!$C$11:$C$40,"MXAU"),Override!$D$203)/AS51!$B$3,"")))</f>
        <v/>
      </c>
      <c r="H168" s="140">
        <f>IF(H$13="","",IF($B168="","",IFERROR($C168*$D168*IF((Override!$C$4="ON")*(COUNTIFS(Override!$B$11:$B$40,$B168,Override!$D$11:$D$40,3,Override!$E$11:$E$40,"&gt;=0")-COUNTIFS(Override!$B$11:$B$40,$B168,Override!$D$11:$D$40,3,Override!$E$11:$E$40,"&gt;=0",Override!$C$11:$C$40,"MXAU"))&gt;0,SUMIFS(Override!$E$11:$E$40,Override!$B$11:$B$40,$B168,Override!$D$11:$D$40,3)-SUMIFS(Override!$E$11:$E$40,Override!$B$11:$B$40,$B168,Override!$D$11:$D$40,3,Override!$C$11:$C$40,"MXAU"),Override!$E$203)/AS51!$B$3,"")))</f>
        <v/>
      </c>
      <c r="I168" s="140">
        <f>IF(I$13="","",IF($B168="","",IFERROR($C168*$D168*IF((Override!$C$4="ON")*(COUNTIFS(Override!$B$11:$B$40,$B168,Override!$D$11:$D$40,4,Override!$E$11:$E$40,"&gt;=0")-COUNTIFS(Override!$B$11:$B$40,$B168,Override!$D$11:$D$40,4,Override!$E$11:$E$40,"&gt;=0",Override!$C$11:$C$40,"MXAU"))&gt;0,SUMIFS(Override!$E$11:$E$40,Override!$B$11:$B$40,$B168,Override!$D$11:$D$40,4)-SUMIFS(Override!$E$11:$E$40,Override!$B$11:$B$40,$B168,Override!$D$11:$D$40,4,Override!$C$11:$C$40,"MXAU"),Override!$F$203)/AS51!$B$3,"")))</f>
        <v/>
      </c>
      <c r="J168" s="140">
        <f>IF(J$13="","",IF($B168="","",IFERROR($C168*$D168*IF((Override!$C$4="ON")*(COUNTIFS(Override!$B$11:$B$40,$B168,Override!$D$11:$D$40,5,Override!$E$11:$E$40,"&gt;=0")-COUNTIFS(Override!$B$11:$B$40,$B168,Override!$D$11:$D$40,5,Override!$E$11:$E$40,"&gt;=0",Override!$C$11:$C$40,"MXAU"))&gt;0,SUMIFS(Override!$E$11:$E$40,Override!$B$11:$B$40,$B168,Override!$D$11:$D$40,5)-SUMIFS(Override!$E$11:$E$40,Override!$B$11:$B$40,$B168,Override!$D$11:$D$40,5,Override!$C$11:$C$40,"MXAU"),Override!$G$203)/AS51!$B$3,"")))</f>
        <v/>
      </c>
      <c r="K168" s="140">
        <f>IF(K$13="","",IF($B168="","",IFERROR($C168*$D168*IF((Override!$C$4="ON")*(COUNTIFS(Override!$B$11:$B$40,$B168,Override!$D$11:$D$40,6,Override!$E$11:$E$40,"&gt;=0")-COUNTIFS(Override!$B$11:$B$40,$B168,Override!$D$11:$D$40,6,Override!$E$11:$E$40,"&gt;=0",Override!$C$11:$C$40,"MXAU"))&gt;0,SUMIFS(Override!$E$11:$E$40,Override!$B$11:$B$40,$B168,Override!$D$11:$D$40,6)-SUMIFS(Override!$E$11:$E$40,Override!$B$11:$B$40,$B168,Override!$D$11:$D$40,6,Override!$C$11:$C$40,"MXAU"),Override!$H$203)/AS51!$B$3,"")))</f>
        <v/>
      </c>
      <c r="L168" s="140">
        <f>IF(L$13="","",IF($B168="","",IFERROR($C168*$D168*IF((Override!$C$4="ON")*(COUNTIFS(Override!$B$11:$B$40,$B168,Override!$D$11:$D$40,7,Override!$E$11:$E$40,"&gt;=0")-COUNTIFS(Override!$B$11:$B$40,$B168,Override!$D$11:$D$40,7,Override!$E$11:$E$40,"&gt;=0",Override!$C$11:$C$40,"MXAU"))&gt;0,SUMIFS(Override!$E$11:$E$40,Override!$B$11:$B$40,$B168,Override!$D$11:$D$40,7)-SUMIFS(Override!$E$11:$E$40,Override!$B$11:$B$40,$B168,Override!$D$11:$D$40,7,Override!$C$11:$C$40,"MXAU"),Override!$I$203)/AS51!$B$3,"")))</f>
        <v/>
      </c>
      <c r="M168" s="140">
        <f>IF(M$13="","",IF($B168="","",IFERROR($C168*$D168*IF((Override!$C$4="ON")*(COUNTIFS(Override!$B$11:$B$40,$B168,Override!$D$11:$D$40,8,Override!$E$11:$E$40,"&gt;=0")-COUNTIFS(Override!$B$11:$B$40,$B168,Override!$D$11:$D$40,8,Override!$E$11:$E$40,"&gt;=0",Override!$C$11:$C$40,"MXAU"))&gt;0,SUMIFS(Override!$E$11:$E$40,Override!$B$11:$B$40,$B168,Override!$D$11:$D$40,8)-SUMIFS(Override!$E$11:$E$40,Override!$B$11:$B$40,$B168,Override!$D$11:$D$40,8,Override!$C$11:$C$40,"MXAU"),Override!$J$203)/AS51!$B$3,"")))</f>
        <v/>
      </c>
      <c r="N168" s="140">
        <f>IF(N$13="","",IF($B168="","",IFERROR($C168*$D168*IF((Override!$C$4="ON")*(COUNTIFS(Override!$B$11:$B$40,$B168,Override!$D$11:$D$40,9,Override!$E$11:$E$40,"&gt;=0")-COUNTIFS(Override!$B$11:$B$40,$B168,Override!$D$11:$D$40,9,Override!$E$11:$E$40,"&gt;=0",Override!$C$11:$C$40,"MXAU"))&gt;0,SUMIFS(Override!$E$11:$E$40,Override!$B$11:$B$40,$B168,Override!$D$11:$D$40,9)-SUMIFS(Override!$E$11:$E$40,Override!$B$11:$B$40,$B168,Override!$D$11:$D$40,9,Override!$C$11:$C$40,"MXAU"),Override!$K$203)/AS51!$B$3,"")))</f>
        <v/>
      </c>
      <c r="O168" s="140">
        <f>IF(O$13="","",IF($B168="","",IFERROR($C168*$D168*IF((Override!$C$4="ON")*(COUNTIFS(Override!$B$11:$B$40,$B168,Override!$D$11:$D$40,10,Override!$E$11:$E$40,"&gt;=0")-COUNTIFS(Override!$B$11:$B$40,$B168,Override!$D$11:$D$40,10,Override!$E$11:$E$40,"&gt;=0",Override!$C$11:$C$40,"MXAU"))&gt;0,SUMIFS(Override!$E$11:$E$40,Override!$B$11:$B$40,$B168,Override!$D$11:$D$40,10)-SUMIFS(Override!$E$11:$E$40,Override!$B$11:$B$40,$B168,Override!$D$11:$D$40,10,Override!$C$11:$C$40,"MXAU"),Override!$L$203)/AS51!$B$3,"")))</f>
        <v/>
      </c>
      <c r="P168" s="140">
        <f>IF(P$13="","",IF($B168="","",IFERROR($C168*$D168*IF((Override!$C$4="ON")*(COUNTIFS(Override!$B$11:$B$40,$B168,Override!$D$11:$D$40,11,Override!$E$11:$E$40,"&gt;=0")-COUNTIFS(Override!$B$11:$B$40,$B168,Override!$D$11:$D$40,11,Override!$E$11:$E$40,"&gt;=0",Override!$C$11:$C$40,"MXAU"))&gt;0,SUMIFS(Override!$E$11:$E$40,Override!$B$11:$B$40,$B168,Override!$D$11:$D$40,11)-SUMIFS(Override!$E$11:$E$40,Override!$B$11:$B$40,$B168,Override!$D$11:$D$40,11,Override!$C$11:$C$40,"MXAU"),Override!$M$203)/AS51!$B$3,"")))</f>
        <v/>
      </c>
      <c r="Q168" s="140">
        <f>IF(Q$13="","",IF($B168="","",IFERROR($C168*$D168*IF((Override!$C$4="ON")*(COUNTIFS(Override!$B$11:$B$40,$B168,Override!$D$11:$D$40,12,Override!$E$11:$E$40,"&gt;=0")-COUNTIFS(Override!$B$11:$B$40,$B168,Override!$D$11:$D$40,12,Override!$E$11:$E$40,"&gt;=0",Override!$C$11:$C$40,"MXAU"))&gt;0,SUMIFS(Override!$E$11:$E$40,Override!$B$11:$B$40,$B168,Override!$D$11:$D$40,12)-SUMIFS(Override!$E$11:$E$40,Override!$B$11:$B$40,$B168,Override!$D$11:$D$40,12,Override!$C$11:$C$40,"MXAU"),Override!$N$203)/AS51!$B$3,"")))</f>
        <v/>
      </c>
      <c r="R168" s="140">
        <f>IF(R$13="","",IF($B168="","",IFERROR($C168*$D168*IF((Override!$C$4="ON")*(COUNTIFS(Override!$B$11:$B$40,$B168,Override!$D$11:$D$40,13,Override!$E$11:$E$40,"&gt;=0")-COUNTIFS(Override!$B$11:$B$40,$B168,Override!$D$11:$D$40,13,Override!$E$11:$E$40,"&gt;=0",Override!$C$11:$C$40,"MXAU"))&gt;0,SUMIFS(Override!$E$11:$E$40,Override!$B$11:$B$40,$B168,Override!$D$11:$D$40,13)-SUMIFS(Override!$E$11:$E$40,Override!$B$11:$B$40,$B168,Override!$D$11:$D$40,13,Override!$C$11:$C$40,"MXAU"),Override!$O$203)/AS51!$B$3,"")))</f>
        <v/>
      </c>
      <c r="S168" s="140">
        <f>IF(S$13="","",IF($B168="","",IFERROR($C168*$D168*IF((Override!$C$4="ON")*(COUNTIFS(Override!$B$11:$B$40,$B168,Override!$D$11:$D$40,14,Override!$E$11:$E$40,"&gt;=0")-COUNTIFS(Override!$B$11:$B$40,$B168,Override!$D$11:$D$40,14,Override!$E$11:$E$40,"&gt;=0",Override!$C$11:$C$40,"MXAU"))&gt;0,SUMIFS(Override!$E$11:$E$40,Override!$B$11:$B$40,$B168,Override!$D$11:$D$40,14)-SUMIFS(Override!$E$11:$E$40,Override!$B$11:$B$40,$B168,Override!$D$11:$D$40,14,Override!$C$11:$C$40,"MXAU"),Override!$P$203)/AS51!$B$3,"")))</f>
        <v/>
      </c>
      <c r="T168" s="140">
        <f>IF(T$13="","",IF($B168="","",IFERROR($C168*$D168*IF((Override!$C$4="ON")*(COUNTIFS(Override!$B$11:$B$40,$B168,Override!$D$11:$D$40,15,Override!$E$11:$E$40,"&gt;=0")-COUNTIFS(Override!$B$11:$B$40,$B168,Override!$D$11:$D$40,15,Override!$E$11:$E$40,"&gt;=0",Override!$C$11:$C$40,"MXAU"))&gt;0,SUMIFS(Override!$E$11:$E$40,Override!$B$11:$B$40,$B168,Override!$D$11:$D$40,15)-SUMIFS(Override!$E$11:$E$40,Override!$B$11:$B$40,$B168,Override!$D$11:$D$40,15,Override!$C$11:$C$40,"MXAU"),Override!$Q$203)/AS51!$B$3,"")))</f>
        <v/>
      </c>
      <c r="U168" s="140">
        <f>IF(U$13="","",IF($B168="","",IFERROR($C168*$D168*IF((Override!$C$4="ON")*(COUNTIFS(Override!$B$11:$B$40,$B168,Override!$D$11:$D$40,16,Override!$E$11:$E$40,"&gt;=0")-COUNTIFS(Override!$B$11:$B$40,$B168,Override!$D$11:$D$40,16,Override!$E$11:$E$40,"&gt;=0",Override!$C$11:$C$40,"MXAU"))&gt;0,SUMIFS(Override!$E$11:$E$40,Override!$B$11:$B$40,$B168,Override!$D$11:$D$40,16)-SUMIFS(Override!$E$11:$E$40,Override!$B$11:$B$40,$B168,Override!$D$11:$D$40,16,Override!$C$11:$C$40,"MXAU"),Override!$R$203)/AS51!$B$3,"")))</f>
        <v/>
      </c>
      <c r="W168" s="140">
        <f>IF(W$13="","",IF($B168="","",IFERROR(F168*$E168/100,"")))</f>
        <v/>
      </c>
      <c r="X168" s="140">
        <f>IF(X$13="","",IF($B168="","",IFERROR(G168*$E168/100,"")))</f>
        <v/>
      </c>
      <c r="Y168" s="140">
        <f>IF(Y$13="","",IF($B168="","",IFERROR(H168*$E168/100,"")))</f>
        <v/>
      </c>
      <c r="Z168" s="140">
        <f>IF(Z$13="","",IF($B168="","",IFERROR(I168*$E168/100,"")))</f>
        <v/>
      </c>
      <c r="AA168" s="140">
        <f>IF(AA$13="","",IF($B168="","",IFERROR(J168*$E168/100,"")))</f>
        <v/>
      </c>
      <c r="AB168" s="140">
        <f>IF(AB$13="","",IF($B168="","",IFERROR(K168*$E168/100,"")))</f>
        <v/>
      </c>
      <c r="AC168" s="140">
        <f>IF(AC$13="","",IF($B168="","",IFERROR(L168*$E168/100,"")))</f>
        <v/>
      </c>
      <c r="AD168" s="140">
        <f>IF(AD$13="","",IF($B168="","",IFERROR(M168*$E168/100,"")))</f>
        <v/>
      </c>
      <c r="AE168" s="140">
        <f>IF(AE$13="","",IF($B168="","",IFERROR(N168*$E168/100,"")))</f>
        <v/>
      </c>
      <c r="AF168" s="140">
        <f>IF(AF$13="","",IF($B168="","",IFERROR(O168*$E168/100,"")))</f>
        <v/>
      </c>
      <c r="AG168" s="140">
        <f>IF(AG$13="","",IF($B168="","",IFERROR(P168*$E168/100,"")))</f>
        <v/>
      </c>
      <c r="AH168" s="140">
        <f>IF(AH$13="","",IF($B168="","",IFERROR(Q168*$E168/100,"")))</f>
        <v/>
      </c>
      <c r="AI168" s="140">
        <f>IF(AI$13="","",IF($B168="","",IFERROR(R168*$E168/100,"")))</f>
        <v/>
      </c>
      <c r="AJ168" s="140">
        <f>IF(AJ$13="","",IF($B168="","",IFERROR(S168*$E168/100,"")))</f>
        <v/>
      </c>
      <c r="AK168" s="140">
        <f>IF(AK$13="","",IF($B168="","",IFERROR(T168*$E168/100,"")))</f>
        <v/>
      </c>
      <c r="AL168" s="140">
        <f>IF(AL$13="","",IF($B168="","",IFERROR(U168*$E168/100,"")))</f>
        <v/>
      </c>
      <c r="AN168" s="140">
        <f>IF($B168="","",SUMIF($F$13:$U$13,"&lt;="&amp;Sector!$D$51,$F168:$U168))</f>
        <v/>
      </c>
      <c r="AO168" s="140">
        <f>IF($B168="","",SUMIF($W$13:$AL$13,"&lt;="&amp;Sector!$D$51,$W168:$AL168))</f>
        <v/>
      </c>
    </row>
    <row r="169">
      <c r="B169" s="5">
        <f>IF(AS51!$C$159="","",AS51!$C$159)</f>
        <v/>
      </c>
      <c r="C169" s="90">
        <f>IF(AS51!$B$159="","",AS51!$B$159)</f>
        <v/>
      </c>
      <c r="D169" s="138">
        <f>IFERROR(AS51!$Q$159,1)</f>
        <v/>
      </c>
      <c r="E169" s="139">
        <f>IF($B169="","",IF(ISNUMBER(AS51!$I$159),AS51!$I$159,'Index Summary'!$C$7))</f>
        <v/>
      </c>
      <c r="F169" s="140">
        <f>IF(F$13="","",IF($B169="","",IFERROR($C169*$D169*IF((Override!$C$4="ON")*(COUNTIFS(Override!$B$11:$B$40,$B169,Override!$D$11:$D$40,1,Override!$E$11:$E$40,"&gt;=0")-COUNTIFS(Override!$B$11:$B$40,$B169,Override!$D$11:$D$40,1,Override!$E$11:$E$40,"&gt;=0",Override!$C$11:$C$40,"MXAU"))&gt;0,SUMIFS(Override!$E$11:$E$40,Override!$B$11:$B$40,$B169,Override!$D$11:$D$40,1)-SUMIFS(Override!$E$11:$E$40,Override!$B$11:$B$40,$B169,Override!$D$11:$D$40,1,Override!$C$11:$C$40,"MXAU"),Override!$C$204)/AS51!$B$3,"")))</f>
        <v/>
      </c>
      <c r="G169" s="140">
        <f>IF(G$13="","",IF($B169="","",IFERROR($C169*$D169*IF((Override!$C$4="ON")*(COUNTIFS(Override!$B$11:$B$40,$B169,Override!$D$11:$D$40,2,Override!$E$11:$E$40,"&gt;=0")-COUNTIFS(Override!$B$11:$B$40,$B169,Override!$D$11:$D$40,2,Override!$E$11:$E$40,"&gt;=0",Override!$C$11:$C$40,"MXAU"))&gt;0,SUMIFS(Override!$E$11:$E$40,Override!$B$11:$B$40,$B169,Override!$D$11:$D$40,2)-SUMIFS(Override!$E$11:$E$40,Override!$B$11:$B$40,$B169,Override!$D$11:$D$40,2,Override!$C$11:$C$40,"MXAU"),Override!$D$204)/AS51!$B$3,"")))</f>
        <v/>
      </c>
      <c r="H169" s="140">
        <f>IF(H$13="","",IF($B169="","",IFERROR($C169*$D169*IF((Override!$C$4="ON")*(COUNTIFS(Override!$B$11:$B$40,$B169,Override!$D$11:$D$40,3,Override!$E$11:$E$40,"&gt;=0")-COUNTIFS(Override!$B$11:$B$40,$B169,Override!$D$11:$D$40,3,Override!$E$11:$E$40,"&gt;=0",Override!$C$11:$C$40,"MXAU"))&gt;0,SUMIFS(Override!$E$11:$E$40,Override!$B$11:$B$40,$B169,Override!$D$11:$D$40,3)-SUMIFS(Override!$E$11:$E$40,Override!$B$11:$B$40,$B169,Override!$D$11:$D$40,3,Override!$C$11:$C$40,"MXAU"),Override!$E$204)/AS51!$B$3,"")))</f>
        <v/>
      </c>
      <c r="I169" s="140">
        <f>IF(I$13="","",IF($B169="","",IFERROR($C169*$D169*IF((Override!$C$4="ON")*(COUNTIFS(Override!$B$11:$B$40,$B169,Override!$D$11:$D$40,4,Override!$E$11:$E$40,"&gt;=0")-COUNTIFS(Override!$B$11:$B$40,$B169,Override!$D$11:$D$40,4,Override!$E$11:$E$40,"&gt;=0",Override!$C$11:$C$40,"MXAU"))&gt;0,SUMIFS(Override!$E$11:$E$40,Override!$B$11:$B$40,$B169,Override!$D$11:$D$40,4)-SUMIFS(Override!$E$11:$E$40,Override!$B$11:$B$40,$B169,Override!$D$11:$D$40,4,Override!$C$11:$C$40,"MXAU"),Override!$F$204)/AS51!$B$3,"")))</f>
        <v/>
      </c>
      <c r="J169" s="140">
        <f>IF(J$13="","",IF($B169="","",IFERROR($C169*$D169*IF((Override!$C$4="ON")*(COUNTIFS(Override!$B$11:$B$40,$B169,Override!$D$11:$D$40,5,Override!$E$11:$E$40,"&gt;=0")-COUNTIFS(Override!$B$11:$B$40,$B169,Override!$D$11:$D$40,5,Override!$E$11:$E$40,"&gt;=0",Override!$C$11:$C$40,"MXAU"))&gt;0,SUMIFS(Override!$E$11:$E$40,Override!$B$11:$B$40,$B169,Override!$D$11:$D$40,5)-SUMIFS(Override!$E$11:$E$40,Override!$B$11:$B$40,$B169,Override!$D$11:$D$40,5,Override!$C$11:$C$40,"MXAU"),Override!$G$204)/AS51!$B$3,"")))</f>
        <v/>
      </c>
      <c r="K169" s="140">
        <f>IF(K$13="","",IF($B169="","",IFERROR($C169*$D169*IF((Override!$C$4="ON")*(COUNTIFS(Override!$B$11:$B$40,$B169,Override!$D$11:$D$40,6,Override!$E$11:$E$40,"&gt;=0")-COUNTIFS(Override!$B$11:$B$40,$B169,Override!$D$11:$D$40,6,Override!$E$11:$E$40,"&gt;=0",Override!$C$11:$C$40,"MXAU"))&gt;0,SUMIFS(Override!$E$11:$E$40,Override!$B$11:$B$40,$B169,Override!$D$11:$D$40,6)-SUMIFS(Override!$E$11:$E$40,Override!$B$11:$B$40,$B169,Override!$D$11:$D$40,6,Override!$C$11:$C$40,"MXAU"),Override!$H$204)/AS51!$B$3,"")))</f>
        <v/>
      </c>
      <c r="L169" s="140">
        <f>IF(L$13="","",IF($B169="","",IFERROR($C169*$D169*IF((Override!$C$4="ON")*(COUNTIFS(Override!$B$11:$B$40,$B169,Override!$D$11:$D$40,7,Override!$E$11:$E$40,"&gt;=0")-COUNTIFS(Override!$B$11:$B$40,$B169,Override!$D$11:$D$40,7,Override!$E$11:$E$40,"&gt;=0",Override!$C$11:$C$40,"MXAU"))&gt;0,SUMIFS(Override!$E$11:$E$40,Override!$B$11:$B$40,$B169,Override!$D$11:$D$40,7)-SUMIFS(Override!$E$11:$E$40,Override!$B$11:$B$40,$B169,Override!$D$11:$D$40,7,Override!$C$11:$C$40,"MXAU"),Override!$I$204)/AS51!$B$3,"")))</f>
        <v/>
      </c>
      <c r="M169" s="140">
        <f>IF(M$13="","",IF($B169="","",IFERROR($C169*$D169*IF((Override!$C$4="ON")*(COUNTIFS(Override!$B$11:$B$40,$B169,Override!$D$11:$D$40,8,Override!$E$11:$E$40,"&gt;=0")-COUNTIFS(Override!$B$11:$B$40,$B169,Override!$D$11:$D$40,8,Override!$E$11:$E$40,"&gt;=0",Override!$C$11:$C$40,"MXAU"))&gt;0,SUMIFS(Override!$E$11:$E$40,Override!$B$11:$B$40,$B169,Override!$D$11:$D$40,8)-SUMIFS(Override!$E$11:$E$40,Override!$B$11:$B$40,$B169,Override!$D$11:$D$40,8,Override!$C$11:$C$40,"MXAU"),Override!$J$204)/AS51!$B$3,"")))</f>
        <v/>
      </c>
      <c r="N169" s="140">
        <f>IF(N$13="","",IF($B169="","",IFERROR($C169*$D169*IF((Override!$C$4="ON")*(COUNTIFS(Override!$B$11:$B$40,$B169,Override!$D$11:$D$40,9,Override!$E$11:$E$40,"&gt;=0")-COUNTIFS(Override!$B$11:$B$40,$B169,Override!$D$11:$D$40,9,Override!$E$11:$E$40,"&gt;=0",Override!$C$11:$C$40,"MXAU"))&gt;0,SUMIFS(Override!$E$11:$E$40,Override!$B$11:$B$40,$B169,Override!$D$11:$D$40,9)-SUMIFS(Override!$E$11:$E$40,Override!$B$11:$B$40,$B169,Override!$D$11:$D$40,9,Override!$C$11:$C$40,"MXAU"),Override!$K$204)/AS51!$B$3,"")))</f>
        <v/>
      </c>
      <c r="O169" s="140">
        <f>IF(O$13="","",IF($B169="","",IFERROR($C169*$D169*IF((Override!$C$4="ON")*(COUNTIFS(Override!$B$11:$B$40,$B169,Override!$D$11:$D$40,10,Override!$E$11:$E$40,"&gt;=0")-COUNTIFS(Override!$B$11:$B$40,$B169,Override!$D$11:$D$40,10,Override!$E$11:$E$40,"&gt;=0",Override!$C$11:$C$40,"MXAU"))&gt;0,SUMIFS(Override!$E$11:$E$40,Override!$B$11:$B$40,$B169,Override!$D$11:$D$40,10)-SUMIFS(Override!$E$11:$E$40,Override!$B$11:$B$40,$B169,Override!$D$11:$D$40,10,Override!$C$11:$C$40,"MXAU"),Override!$L$204)/AS51!$B$3,"")))</f>
        <v/>
      </c>
      <c r="P169" s="140">
        <f>IF(P$13="","",IF($B169="","",IFERROR($C169*$D169*IF((Override!$C$4="ON")*(COUNTIFS(Override!$B$11:$B$40,$B169,Override!$D$11:$D$40,11,Override!$E$11:$E$40,"&gt;=0")-COUNTIFS(Override!$B$11:$B$40,$B169,Override!$D$11:$D$40,11,Override!$E$11:$E$40,"&gt;=0",Override!$C$11:$C$40,"MXAU"))&gt;0,SUMIFS(Override!$E$11:$E$40,Override!$B$11:$B$40,$B169,Override!$D$11:$D$40,11)-SUMIFS(Override!$E$11:$E$40,Override!$B$11:$B$40,$B169,Override!$D$11:$D$40,11,Override!$C$11:$C$40,"MXAU"),Override!$M$204)/AS51!$B$3,"")))</f>
        <v/>
      </c>
      <c r="Q169" s="140">
        <f>IF(Q$13="","",IF($B169="","",IFERROR($C169*$D169*IF((Override!$C$4="ON")*(COUNTIFS(Override!$B$11:$B$40,$B169,Override!$D$11:$D$40,12,Override!$E$11:$E$40,"&gt;=0")-COUNTIFS(Override!$B$11:$B$40,$B169,Override!$D$11:$D$40,12,Override!$E$11:$E$40,"&gt;=0",Override!$C$11:$C$40,"MXAU"))&gt;0,SUMIFS(Override!$E$11:$E$40,Override!$B$11:$B$40,$B169,Override!$D$11:$D$40,12)-SUMIFS(Override!$E$11:$E$40,Override!$B$11:$B$40,$B169,Override!$D$11:$D$40,12,Override!$C$11:$C$40,"MXAU"),Override!$N$204)/AS51!$B$3,"")))</f>
        <v/>
      </c>
      <c r="R169" s="140">
        <f>IF(R$13="","",IF($B169="","",IFERROR($C169*$D169*IF((Override!$C$4="ON")*(COUNTIFS(Override!$B$11:$B$40,$B169,Override!$D$11:$D$40,13,Override!$E$11:$E$40,"&gt;=0")-COUNTIFS(Override!$B$11:$B$40,$B169,Override!$D$11:$D$40,13,Override!$E$11:$E$40,"&gt;=0",Override!$C$11:$C$40,"MXAU"))&gt;0,SUMIFS(Override!$E$11:$E$40,Override!$B$11:$B$40,$B169,Override!$D$11:$D$40,13)-SUMIFS(Override!$E$11:$E$40,Override!$B$11:$B$40,$B169,Override!$D$11:$D$40,13,Override!$C$11:$C$40,"MXAU"),Override!$O$204)/AS51!$B$3,"")))</f>
        <v/>
      </c>
      <c r="S169" s="140">
        <f>IF(S$13="","",IF($B169="","",IFERROR($C169*$D169*IF((Override!$C$4="ON")*(COUNTIFS(Override!$B$11:$B$40,$B169,Override!$D$11:$D$40,14,Override!$E$11:$E$40,"&gt;=0")-COUNTIFS(Override!$B$11:$B$40,$B169,Override!$D$11:$D$40,14,Override!$E$11:$E$40,"&gt;=0",Override!$C$11:$C$40,"MXAU"))&gt;0,SUMIFS(Override!$E$11:$E$40,Override!$B$11:$B$40,$B169,Override!$D$11:$D$40,14)-SUMIFS(Override!$E$11:$E$40,Override!$B$11:$B$40,$B169,Override!$D$11:$D$40,14,Override!$C$11:$C$40,"MXAU"),Override!$P$204)/AS51!$B$3,"")))</f>
        <v/>
      </c>
      <c r="T169" s="140">
        <f>IF(T$13="","",IF($B169="","",IFERROR($C169*$D169*IF((Override!$C$4="ON")*(COUNTIFS(Override!$B$11:$B$40,$B169,Override!$D$11:$D$40,15,Override!$E$11:$E$40,"&gt;=0")-COUNTIFS(Override!$B$11:$B$40,$B169,Override!$D$11:$D$40,15,Override!$E$11:$E$40,"&gt;=0",Override!$C$11:$C$40,"MXAU"))&gt;0,SUMIFS(Override!$E$11:$E$40,Override!$B$11:$B$40,$B169,Override!$D$11:$D$40,15)-SUMIFS(Override!$E$11:$E$40,Override!$B$11:$B$40,$B169,Override!$D$11:$D$40,15,Override!$C$11:$C$40,"MXAU"),Override!$Q$204)/AS51!$B$3,"")))</f>
        <v/>
      </c>
      <c r="U169" s="140">
        <f>IF(U$13="","",IF($B169="","",IFERROR($C169*$D169*IF((Override!$C$4="ON")*(COUNTIFS(Override!$B$11:$B$40,$B169,Override!$D$11:$D$40,16,Override!$E$11:$E$40,"&gt;=0")-COUNTIFS(Override!$B$11:$B$40,$B169,Override!$D$11:$D$40,16,Override!$E$11:$E$40,"&gt;=0",Override!$C$11:$C$40,"MXAU"))&gt;0,SUMIFS(Override!$E$11:$E$40,Override!$B$11:$B$40,$B169,Override!$D$11:$D$40,16)-SUMIFS(Override!$E$11:$E$40,Override!$B$11:$B$40,$B169,Override!$D$11:$D$40,16,Override!$C$11:$C$40,"MXAU"),Override!$R$204)/AS51!$B$3,"")))</f>
        <v/>
      </c>
      <c r="W169" s="140">
        <f>IF(W$13="","",IF($B169="","",IFERROR(F169*$E169/100,"")))</f>
        <v/>
      </c>
      <c r="X169" s="140">
        <f>IF(X$13="","",IF($B169="","",IFERROR(G169*$E169/100,"")))</f>
        <v/>
      </c>
      <c r="Y169" s="140">
        <f>IF(Y$13="","",IF($B169="","",IFERROR(H169*$E169/100,"")))</f>
        <v/>
      </c>
      <c r="Z169" s="140">
        <f>IF(Z$13="","",IF($B169="","",IFERROR(I169*$E169/100,"")))</f>
        <v/>
      </c>
      <c r="AA169" s="140">
        <f>IF(AA$13="","",IF($B169="","",IFERROR(J169*$E169/100,"")))</f>
        <v/>
      </c>
      <c r="AB169" s="140">
        <f>IF(AB$13="","",IF($B169="","",IFERROR(K169*$E169/100,"")))</f>
        <v/>
      </c>
      <c r="AC169" s="140">
        <f>IF(AC$13="","",IF($B169="","",IFERROR(L169*$E169/100,"")))</f>
        <v/>
      </c>
      <c r="AD169" s="140">
        <f>IF(AD$13="","",IF($B169="","",IFERROR(M169*$E169/100,"")))</f>
        <v/>
      </c>
      <c r="AE169" s="140">
        <f>IF(AE$13="","",IF($B169="","",IFERROR(N169*$E169/100,"")))</f>
        <v/>
      </c>
      <c r="AF169" s="140">
        <f>IF(AF$13="","",IF($B169="","",IFERROR(O169*$E169/100,"")))</f>
        <v/>
      </c>
      <c r="AG169" s="140">
        <f>IF(AG$13="","",IF($B169="","",IFERROR(P169*$E169/100,"")))</f>
        <v/>
      </c>
      <c r="AH169" s="140">
        <f>IF(AH$13="","",IF($B169="","",IFERROR(Q169*$E169/100,"")))</f>
        <v/>
      </c>
      <c r="AI169" s="140">
        <f>IF(AI$13="","",IF($B169="","",IFERROR(R169*$E169/100,"")))</f>
        <v/>
      </c>
      <c r="AJ169" s="140">
        <f>IF(AJ$13="","",IF($B169="","",IFERROR(S169*$E169/100,"")))</f>
        <v/>
      </c>
      <c r="AK169" s="140">
        <f>IF(AK$13="","",IF($B169="","",IFERROR(T169*$E169/100,"")))</f>
        <v/>
      </c>
      <c r="AL169" s="140">
        <f>IF(AL$13="","",IF($B169="","",IFERROR(U169*$E169/100,"")))</f>
        <v/>
      </c>
      <c r="AN169" s="140">
        <f>IF($B169="","",SUMIF($F$13:$U$13,"&lt;="&amp;Sector!$D$51,$F169:$U169))</f>
        <v/>
      </c>
      <c r="AO169" s="140">
        <f>IF($B169="","",SUMIF($W$13:$AL$13,"&lt;="&amp;Sector!$D$51,$W169:$AL169))</f>
        <v/>
      </c>
    </row>
    <row r="170">
      <c r="B170" s="5">
        <f>IF(AS51!$C$160="","",AS51!$C$160)</f>
        <v/>
      </c>
      <c r="C170" s="90">
        <f>IF(AS51!$B$160="","",AS51!$B$160)</f>
        <v/>
      </c>
      <c r="D170" s="138">
        <f>IFERROR(AS51!$Q$160,1)</f>
        <v/>
      </c>
      <c r="E170" s="139">
        <f>IF($B170="","",IF(ISNUMBER(AS51!$I$160),AS51!$I$160,'Index Summary'!$C$7))</f>
        <v/>
      </c>
      <c r="F170" s="140">
        <f>IF(F$13="","",IF($B170="","",IFERROR($C170*$D170*IF((Override!$C$4="ON")*(COUNTIFS(Override!$B$11:$B$40,$B170,Override!$D$11:$D$40,1,Override!$E$11:$E$40,"&gt;=0")-COUNTIFS(Override!$B$11:$B$40,$B170,Override!$D$11:$D$40,1,Override!$E$11:$E$40,"&gt;=0",Override!$C$11:$C$40,"MXAU"))&gt;0,SUMIFS(Override!$E$11:$E$40,Override!$B$11:$B$40,$B170,Override!$D$11:$D$40,1)-SUMIFS(Override!$E$11:$E$40,Override!$B$11:$B$40,$B170,Override!$D$11:$D$40,1,Override!$C$11:$C$40,"MXAU"),Override!$C$205)/AS51!$B$3,"")))</f>
        <v/>
      </c>
      <c r="G170" s="140">
        <f>IF(G$13="","",IF($B170="","",IFERROR($C170*$D170*IF((Override!$C$4="ON")*(COUNTIFS(Override!$B$11:$B$40,$B170,Override!$D$11:$D$40,2,Override!$E$11:$E$40,"&gt;=0")-COUNTIFS(Override!$B$11:$B$40,$B170,Override!$D$11:$D$40,2,Override!$E$11:$E$40,"&gt;=0",Override!$C$11:$C$40,"MXAU"))&gt;0,SUMIFS(Override!$E$11:$E$40,Override!$B$11:$B$40,$B170,Override!$D$11:$D$40,2)-SUMIFS(Override!$E$11:$E$40,Override!$B$11:$B$40,$B170,Override!$D$11:$D$40,2,Override!$C$11:$C$40,"MXAU"),Override!$D$205)/AS51!$B$3,"")))</f>
        <v/>
      </c>
      <c r="H170" s="140">
        <f>IF(H$13="","",IF($B170="","",IFERROR($C170*$D170*IF((Override!$C$4="ON")*(COUNTIFS(Override!$B$11:$B$40,$B170,Override!$D$11:$D$40,3,Override!$E$11:$E$40,"&gt;=0")-COUNTIFS(Override!$B$11:$B$40,$B170,Override!$D$11:$D$40,3,Override!$E$11:$E$40,"&gt;=0",Override!$C$11:$C$40,"MXAU"))&gt;0,SUMIFS(Override!$E$11:$E$40,Override!$B$11:$B$40,$B170,Override!$D$11:$D$40,3)-SUMIFS(Override!$E$11:$E$40,Override!$B$11:$B$40,$B170,Override!$D$11:$D$40,3,Override!$C$11:$C$40,"MXAU"),Override!$E$205)/AS51!$B$3,"")))</f>
        <v/>
      </c>
      <c r="I170" s="140">
        <f>IF(I$13="","",IF($B170="","",IFERROR($C170*$D170*IF((Override!$C$4="ON")*(COUNTIFS(Override!$B$11:$B$40,$B170,Override!$D$11:$D$40,4,Override!$E$11:$E$40,"&gt;=0")-COUNTIFS(Override!$B$11:$B$40,$B170,Override!$D$11:$D$40,4,Override!$E$11:$E$40,"&gt;=0",Override!$C$11:$C$40,"MXAU"))&gt;0,SUMIFS(Override!$E$11:$E$40,Override!$B$11:$B$40,$B170,Override!$D$11:$D$40,4)-SUMIFS(Override!$E$11:$E$40,Override!$B$11:$B$40,$B170,Override!$D$11:$D$40,4,Override!$C$11:$C$40,"MXAU"),Override!$F$205)/AS51!$B$3,"")))</f>
        <v/>
      </c>
      <c r="J170" s="140">
        <f>IF(J$13="","",IF($B170="","",IFERROR($C170*$D170*IF((Override!$C$4="ON")*(COUNTIFS(Override!$B$11:$B$40,$B170,Override!$D$11:$D$40,5,Override!$E$11:$E$40,"&gt;=0")-COUNTIFS(Override!$B$11:$B$40,$B170,Override!$D$11:$D$40,5,Override!$E$11:$E$40,"&gt;=0",Override!$C$11:$C$40,"MXAU"))&gt;0,SUMIFS(Override!$E$11:$E$40,Override!$B$11:$B$40,$B170,Override!$D$11:$D$40,5)-SUMIFS(Override!$E$11:$E$40,Override!$B$11:$B$40,$B170,Override!$D$11:$D$40,5,Override!$C$11:$C$40,"MXAU"),Override!$G$205)/AS51!$B$3,"")))</f>
        <v/>
      </c>
      <c r="K170" s="140">
        <f>IF(K$13="","",IF($B170="","",IFERROR($C170*$D170*IF((Override!$C$4="ON")*(COUNTIFS(Override!$B$11:$B$40,$B170,Override!$D$11:$D$40,6,Override!$E$11:$E$40,"&gt;=0")-COUNTIFS(Override!$B$11:$B$40,$B170,Override!$D$11:$D$40,6,Override!$E$11:$E$40,"&gt;=0",Override!$C$11:$C$40,"MXAU"))&gt;0,SUMIFS(Override!$E$11:$E$40,Override!$B$11:$B$40,$B170,Override!$D$11:$D$40,6)-SUMIFS(Override!$E$11:$E$40,Override!$B$11:$B$40,$B170,Override!$D$11:$D$40,6,Override!$C$11:$C$40,"MXAU"),Override!$H$205)/AS51!$B$3,"")))</f>
        <v/>
      </c>
      <c r="L170" s="140">
        <f>IF(L$13="","",IF($B170="","",IFERROR($C170*$D170*IF((Override!$C$4="ON")*(COUNTIFS(Override!$B$11:$B$40,$B170,Override!$D$11:$D$40,7,Override!$E$11:$E$40,"&gt;=0")-COUNTIFS(Override!$B$11:$B$40,$B170,Override!$D$11:$D$40,7,Override!$E$11:$E$40,"&gt;=0",Override!$C$11:$C$40,"MXAU"))&gt;0,SUMIFS(Override!$E$11:$E$40,Override!$B$11:$B$40,$B170,Override!$D$11:$D$40,7)-SUMIFS(Override!$E$11:$E$40,Override!$B$11:$B$40,$B170,Override!$D$11:$D$40,7,Override!$C$11:$C$40,"MXAU"),Override!$I$205)/AS51!$B$3,"")))</f>
        <v/>
      </c>
      <c r="M170" s="140">
        <f>IF(M$13="","",IF($B170="","",IFERROR($C170*$D170*IF((Override!$C$4="ON")*(COUNTIFS(Override!$B$11:$B$40,$B170,Override!$D$11:$D$40,8,Override!$E$11:$E$40,"&gt;=0")-COUNTIFS(Override!$B$11:$B$40,$B170,Override!$D$11:$D$40,8,Override!$E$11:$E$40,"&gt;=0",Override!$C$11:$C$40,"MXAU"))&gt;0,SUMIFS(Override!$E$11:$E$40,Override!$B$11:$B$40,$B170,Override!$D$11:$D$40,8)-SUMIFS(Override!$E$11:$E$40,Override!$B$11:$B$40,$B170,Override!$D$11:$D$40,8,Override!$C$11:$C$40,"MXAU"),Override!$J$205)/AS51!$B$3,"")))</f>
        <v/>
      </c>
      <c r="N170" s="140">
        <f>IF(N$13="","",IF($B170="","",IFERROR($C170*$D170*IF((Override!$C$4="ON")*(COUNTIFS(Override!$B$11:$B$40,$B170,Override!$D$11:$D$40,9,Override!$E$11:$E$40,"&gt;=0")-COUNTIFS(Override!$B$11:$B$40,$B170,Override!$D$11:$D$40,9,Override!$E$11:$E$40,"&gt;=0",Override!$C$11:$C$40,"MXAU"))&gt;0,SUMIFS(Override!$E$11:$E$40,Override!$B$11:$B$40,$B170,Override!$D$11:$D$40,9)-SUMIFS(Override!$E$11:$E$40,Override!$B$11:$B$40,$B170,Override!$D$11:$D$40,9,Override!$C$11:$C$40,"MXAU"),Override!$K$205)/AS51!$B$3,"")))</f>
        <v/>
      </c>
      <c r="O170" s="140">
        <f>IF(O$13="","",IF($B170="","",IFERROR($C170*$D170*IF((Override!$C$4="ON")*(COUNTIFS(Override!$B$11:$B$40,$B170,Override!$D$11:$D$40,10,Override!$E$11:$E$40,"&gt;=0")-COUNTIFS(Override!$B$11:$B$40,$B170,Override!$D$11:$D$40,10,Override!$E$11:$E$40,"&gt;=0",Override!$C$11:$C$40,"MXAU"))&gt;0,SUMIFS(Override!$E$11:$E$40,Override!$B$11:$B$40,$B170,Override!$D$11:$D$40,10)-SUMIFS(Override!$E$11:$E$40,Override!$B$11:$B$40,$B170,Override!$D$11:$D$40,10,Override!$C$11:$C$40,"MXAU"),Override!$L$205)/AS51!$B$3,"")))</f>
        <v/>
      </c>
      <c r="P170" s="140">
        <f>IF(P$13="","",IF($B170="","",IFERROR($C170*$D170*IF((Override!$C$4="ON")*(COUNTIFS(Override!$B$11:$B$40,$B170,Override!$D$11:$D$40,11,Override!$E$11:$E$40,"&gt;=0")-COUNTIFS(Override!$B$11:$B$40,$B170,Override!$D$11:$D$40,11,Override!$E$11:$E$40,"&gt;=0",Override!$C$11:$C$40,"MXAU"))&gt;0,SUMIFS(Override!$E$11:$E$40,Override!$B$11:$B$40,$B170,Override!$D$11:$D$40,11)-SUMIFS(Override!$E$11:$E$40,Override!$B$11:$B$40,$B170,Override!$D$11:$D$40,11,Override!$C$11:$C$40,"MXAU"),Override!$M$205)/AS51!$B$3,"")))</f>
        <v/>
      </c>
      <c r="Q170" s="140">
        <f>IF(Q$13="","",IF($B170="","",IFERROR($C170*$D170*IF((Override!$C$4="ON")*(COUNTIFS(Override!$B$11:$B$40,$B170,Override!$D$11:$D$40,12,Override!$E$11:$E$40,"&gt;=0")-COUNTIFS(Override!$B$11:$B$40,$B170,Override!$D$11:$D$40,12,Override!$E$11:$E$40,"&gt;=0",Override!$C$11:$C$40,"MXAU"))&gt;0,SUMIFS(Override!$E$11:$E$40,Override!$B$11:$B$40,$B170,Override!$D$11:$D$40,12)-SUMIFS(Override!$E$11:$E$40,Override!$B$11:$B$40,$B170,Override!$D$11:$D$40,12,Override!$C$11:$C$40,"MXAU"),Override!$N$205)/AS51!$B$3,"")))</f>
        <v/>
      </c>
      <c r="R170" s="140">
        <f>IF(R$13="","",IF($B170="","",IFERROR($C170*$D170*IF((Override!$C$4="ON")*(COUNTIFS(Override!$B$11:$B$40,$B170,Override!$D$11:$D$40,13,Override!$E$11:$E$40,"&gt;=0")-COUNTIFS(Override!$B$11:$B$40,$B170,Override!$D$11:$D$40,13,Override!$E$11:$E$40,"&gt;=0",Override!$C$11:$C$40,"MXAU"))&gt;0,SUMIFS(Override!$E$11:$E$40,Override!$B$11:$B$40,$B170,Override!$D$11:$D$40,13)-SUMIFS(Override!$E$11:$E$40,Override!$B$11:$B$40,$B170,Override!$D$11:$D$40,13,Override!$C$11:$C$40,"MXAU"),Override!$O$205)/AS51!$B$3,"")))</f>
        <v/>
      </c>
      <c r="S170" s="140">
        <f>IF(S$13="","",IF($B170="","",IFERROR($C170*$D170*IF((Override!$C$4="ON")*(COUNTIFS(Override!$B$11:$B$40,$B170,Override!$D$11:$D$40,14,Override!$E$11:$E$40,"&gt;=0")-COUNTIFS(Override!$B$11:$B$40,$B170,Override!$D$11:$D$40,14,Override!$E$11:$E$40,"&gt;=0",Override!$C$11:$C$40,"MXAU"))&gt;0,SUMIFS(Override!$E$11:$E$40,Override!$B$11:$B$40,$B170,Override!$D$11:$D$40,14)-SUMIFS(Override!$E$11:$E$40,Override!$B$11:$B$40,$B170,Override!$D$11:$D$40,14,Override!$C$11:$C$40,"MXAU"),Override!$P$205)/AS51!$B$3,"")))</f>
        <v/>
      </c>
      <c r="T170" s="140">
        <f>IF(T$13="","",IF($B170="","",IFERROR($C170*$D170*IF((Override!$C$4="ON")*(COUNTIFS(Override!$B$11:$B$40,$B170,Override!$D$11:$D$40,15,Override!$E$11:$E$40,"&gt;=0")-COUNTIFS(Override!$B$11:$B$40,$B170,Override!$D$11:$D$40,15,Override!$E$11:$E$40,"&gt;=0",Override!$C$11:$C$40,"MXAU"))&gt;0,SUMIFS(Override!$E$11:$E$40,Override!$B$11:$B$40,$B170,Override!$D$11:$D$40,15)-SUMIFS(Override!$E$11:$E$40,Override!$B$11:$B$40,$B170,Override!$D$11:$D$40,15,Override!$C$11:$C$40,"MXAU"),Override!$Q$205)/AS51!$B$3,"")))</f>
        <v/>
      </c>
      <c r="U170" s="140">
        <f>IF(U$13="","",IF($B170="","",IFERROR($C170*$D170*IF((Override!$C$4="ON")*(COUNTIFS(Override!$B$11:$B$40,$B170,Override!$D$11:$D$40,16,Override!$E$11:$E$40,"&gt;=0")-COUNTIFS(Override!$B$11:$B$40,$B170,Override!$D$11:$D$40,16,Override!$E$11:$E$40,"&gt;=0",Override!$C$11:$C$40,"MXAU"))&gt;0,SUMIFS(Override!$E$11:$E$40,Override!$B$11:$B$40,$B170,Override!$D$11:$D$40,16)-SUMIFS(Override!$E$11:$E$40,Override!$B$11:$B$40,$B170,Override!$D$11:$D$40,16,Override!$C$11:$C$40,"MXAU"),Override!$R$205)/AS51!$B$3,"")))</f>
        <v/>
      </c>
      <c r="W170" s="140">
        <f>IF(W$13="","",IF($B170="","",IFERROR(F170*$E170/100,"")))</f>
        <v/>
      </c>
      <c r="X170" s="140">
        <f>IF(X$13="","",IF($B170="","",IFERROR(G170*$E170/100,"")))</f>
        <v/>
      </c>
      <c r="Y170" s="140">
        <f>IF(Y$13="","",IF($B170="","",IFERROR(H170*$E170/100,"")))</f>
        <v/>
      </c>
      <c r="Z170" s="140">
        <f>IF(Z$13="","",IF($B170="","",IFERROR(I170*$E170/100,"")))</f>
        <v/>
      </c>
      <c r="AA170" s="140">
        <f>IF(AA$13="","",IF($B170="","",IFERROR(J170*$E170/100,"")))</f>
        <v/>
      </c>
      <c r="AB170" s="140">
        <f>IF(AB$13="","",IF($B170="","",IFERROR(K170*$E170/100,"")))</f>
        <v/>
      </c>
      <c r="AC170" s="140">
        <f>IF(AC$13="","",IF($B170="","",IFERROR(L170*$E170/100,"")))</f>
        <v/>
      </c>
      <c r="AD170" s="140">
        <f>IF(AD$13="","",IF($B170="","",IFERROR(M170*$E170/100,"")))</f>
        <v/>
      </c>
      <c r="AE170" s="140">
        <f>IF(AE$13="","",IF($B170="","",IFERROR(N170*$E170/100,"")))</f>
        <v/>
      </c>
      <c r="AF170" s="140">
        <f>IF(AF$13="","",IF($B170="","",IFERROR(O170*$E170/100,"")))</f>
        <v/>
      </c>
      <c r="AG170" s="140">
        <f>IF(AG$13="","",IF($B170="","",IFERROR(P170*$E170/100,"")))</f>
        <v/>
      </c>
      <c r="AH170" s="140">
        <f>IF(AH$13="","",IF($B170="","",IFERROR(Q170*$E170/100,"")))</f>
        <v/>
      </c>
      <c r="AI170" s="140">
        <f>IF(AI$13="","",IF($B170="","",IFERROR(R170*$E170/100,"")))</f>
        <v/>
      </c>
      <c r="AJ170" s="140">
        <f>IF(AJ$13="","",IF($B170="","",IFERROR(S170*$E170/100,"")))</f>
        <v/>
      </c>
      <c r="AK170" s="140">
        <f>IF(AK$13="","",IF($B170="","",IFERROR(T170*$E170/100,"")))</f>
        <v/>
      </c>
      <c r="AL170" s="140">
        <f>IF(AL$13="","",IF($B170="","",IFERROR(U170*$E170/100,"")))</f>
        <v/>
      </c>
      <c r="AN170" s="140">
        <f>IF($B170="","",SUMIF($F$13:$U$13,"&lt;="&amp;Sector!$D$51,$F170:$U170))</f>
        <v/>
      </c>
      <c r="AO170" s="140">
        <f>IF($B170="","",SUMIF($W$13:$AL$13,"&lt;="&amp;Sector!$D$51,$W170:$AL170))</f>
        <v/>
      </c>
    </row>
    <row r="171">
      <c r="B171" s="5">
        <f>IF(AS51!$C$161="","",AS51!$C$161)</f>
        <v/>
      </c>
      <c r="C171" s="90">
        <f>IF(AS51!$B$161="","",AS51!$B$161)</f>
        <v/>
      </c>
      <c r="D171" s="138">
        <f>IFERROR(AS51!$Q$161,1)</f>
        <v/>
      </c>
      <c r="E171" s="139">
        <f>IF($B171="","",IF(ISNUMBER(AS51!$I$161),AS51!$I$161,'Index Summary'!$C$7))</f>
        <v/>
      </c>
      <c r="F171" s="140">
        <f>IF(F$13="","",IF($B171="","",IFERROR($C171*$D171*IF((Override!$C$4="ON")*(COUNTIFS(Override!$B$11:$B$40,$B171,Override!$D$11:$D$40,1,Override!$E$11:$E$40,"&gt;=0")-COUNTIFS(Override!$B$11:$B$40,$B171,Override!$D$11:$D$40,1,Override!$E$11:$E$40,"&gt;=0",Override!$C$11:$C$40,"MXAU"))&gt;0,SUMIFS(Override!$E$11:$E$40,Override!$B$11:$B$40,$B171,Override!$D$11:$D$40,1)-SUMIFS(Override!$E$11:$E$40,Override!$B$11:$B$40,$B171,Override!$D$11:$D$40,1,Override!$C$11:$C$40,"MXAU"),Override!$C$206)/AS51!$B$3,"")))</f>
        <v/>
      </c>
      <c r="G171" s="140">
        <f>IF(G$13="","",IF($B171="","",IFERROR($C171*$D171*IF((Override!$C$4="ON")*(COUNTIFS(Override!$B$11:$B$40,$B171,Override!$D$11:$D$40,2,Override!$E$11:$E$40,"&gt;=0")-COUNTIFS(Override!$B$11:$B$40,$B171,Override!$D$11:$D$40,2,Override!$E$11:$E$40,"&gt;=0",Override!$C$11:$C$40,"MXAU"))&gt;0,SUMIFS(Override!$E$11:$E$40,Override!$B$11:$B$40,$B171,Override!$D$11:$D$40,2)-SUMIFS(Override!$E$11:$E$40,Override!$B$11:$B$40,$B171,Override!$D$11:$D$40,2,Override!$C$11:$C$40,"MXAU"),Override!$D$206)/AS51!$B$3,"")))</f>
        <v/>
      </c>
      <c r="H171" s="140">
        <f>IF(H$13="","",IF($B171="","",IFERROR($C171*$D171*IF((Override!$C$4="ON")*(COUNTIFS(Override!$B$11:$B$40,$B171,Override!$D$11:$D$40,3,Override!$E$11:$E$40,"&gt;=0")-COUNTIFS(Override!$B$11:$B$40,$B171,Override!$D$11:$D$40,3,Override!$E$11:$E$40,"&gt;=0",Override!$C$11:$C$40,"MXAU"))&gt;0,SUMIFS(Override!$E$11:$E$40,Override!$B$11:$B$40,$B171,Override!$D$11:$D$40,3)-SUMIFS(Override!$E$11:$E$40,Override!$B$11:$B$40,$B171,Override!$D$11:$D$40,3,Override!$C$11:$C$40,"MXAU"),Override!$E$206)/AS51!$B$3,"")))</f>
        <v/>
      </c>
      <c r="I171" s="140">
        <f>IF(I$13="","",IF($B171="","",IFERROR($C171*$D171*IF((Override!$C$4="ON")*(COUNTIFS(Override!$B$11:$B$40,$B171,Override!$D$11:$D$40,4,Override!$E$11:$E$40,"&gt;=0")-COUNTIFS(Override!$B$11:$B$40,$B171,Override!$D$11:$D$40,4,Override!$E$11:$E$40,"&gt;=0",Override!$C$11:$C$40,"MXAU"))&gt;0,SUMIFS(Override!$E$11:$E$40,Override!$B$11:$B$40,$B171,Override!$D$11:$D$40,4)-SUMIFS(Override!$E$11:$E$40,Override!$B$11:$B$40,$B171,Override!$D$11:$D$40,4,Override!$C$11:$C$40,"MXAU"),Override!$F$206)/AS51!$B$3,"")))</f>
        <v/>
      </c>
      <c r="J171" s="140">
        <f>IF(J$13="","",IF($B171="","",IFERROR($C171*$D171*IF((Override!$C$4="ON")*(COUNTIFS(Override!$B$11:$B$40,$B171,Override!$D$11:$D$40,5,Override!$E$11:$E$40,"&gt;=0")-COUNTIFS(Override!$B$11:$B$40,$B171,Override!$D$11:$D$40,5,Override!$E$11:$E$40,"&gt;=0",Override!$C$11:$C$40,"MXAU"))&gt;0,SUMIFS(Override!$E$11:$E$40,Override!$B$11:$B$40,$B171,Override!$D$11:$D$40,5)-SUMIFS(Override!$E$11:$E$40,Override!$B$11:$B$40,$B171,Override!$D$11:$D$40,5,Override!$C$11:$C$40,"MXAU"),Override!$G$206)/AS51!$B$3,"")))</f>
        <v/>
      </c>
      <c r="K171" s="140">
        <f>IF(K$13="","",IF($B171="","",IFERROR($C171*$D171*IF((Override!$C$4="ON")*(COUNTIFS(Override!$B$11:$B$40,$B171,Override!$D$11:$D$40,6,Override!$E$11:$E$40,"&gt;=0")-COUNTIFS(Override!$B$11:$B$40,$B171,Override!$D$11:$D$40,6,Override!$E$11:$E$40,"&gt;=0",Override!$C$11:$C$40,"MXAU"))&gt;0,SUMIFS(Override!$E$11:$E$40,Override!$B$11:$B$40,$B171,Override!$D$11:$D$40,6)-SUMIFS(Override!$E$11:$E$40,Override!$B$11:$B$40,$B171,Override!$D$11:$D$40,6,Override!$C$11:$C$40,"MXAU"),Override!$H$206)/AS51!$B$3,"")))</f>
        <v/>
      </c>
      <c r="L171" s="140">
        <f>IF(L$13="","",IF($B171="","",IFERROR($C171*$D171*IF((Override!$C$4="ON")*(COUNTIFS(Override!$B$11:$B$40,$B171,Override!$D$11:$D$40,7,Override!$E$11:$E$40,"&gt;=0")-COUNTIFS(Override!$B$11:$B$40,$B171,Override!$D$11:$D$40,7,Override!$E$11:$E$40,"&gt;=0",Override!$C$11:$C$40,"MXAU"))&gt;0,SUMIFS(Override!$E$11:$E$40,Override!$B$11:$B$40,$B171,Override!$D$11:$D$40,7)-SUMIFS(Override!$E$11:$E$40,Override!$B$11:$B$40,$B171,Override!$D$11:$D$40,7,Override!$C$11:$C$40,"MXAU"),Override!$I$206)/AS51!$B$3,"")))</f>
        <v/>
      </c>
      <c r="M171" s="140">
        <f>IF(M$13="","",IF($B171="","",IFERROR($C171*$D171*IF((Override!$C$4="ON")*(COUNTIFS(Override!$B$11:$B$40,$B171,Override!$D$11:$D$40,8,Override!$E$11:$E$40,"&gt;=0")-COUNTIFS(Override!$B$11:$B$40,$B171,Override!$D$11:$D$40,8,Override!$E$11:$E$40,"&gt;=0",Override!$C$11:$C$40,"MXAU"))&gt;0,SUMIFS(Override!$E$11:$E$40,Override!$B$11:$B$40,$B171,Override!$D$11:$D$40,8)-SUMIFS(Override!$E$11:$E$40,Override!$B$11:$B$40,$B171,Override!$D$11:$D$40,8,Override!$C$11:$C$40,"MXAU"),Override!$J$206)/AS51!$B$3,"")))</f>
        <v/>
      </c>
      <c r="N171" s="140">
        <f>IF(N$13="","",IF($B171="","",IFERROR($C171*$D171*IF((Override!$C$4="ON")*(COUNTIFS(Override!$B$11:$B$40,$B171,Override!$D$11:$D$40,9,Override!$E$11:$E$40,"&gt;=0")-COUNTIFS(Override!$B$11:$B$40,$B171,Override!$D$11:$D$40,9,Override!$E$11:$E$40,"&gt;=0",Override!$C$11:$C$40,"MXAU"))&gt;0,SUMIFS(Override!$E$11:$E$40,Override!$B$11:$B$40,$B171,Override!$D$11:$D$40,9)-SUMIFS(Override!$E$11:$E$40,Override!$B$11:$B$40,$B171,Override!$D$11:$D$40,9,Override!$C$11:$C$40,"MXAU"),Override!$K$206)/AS51!$B$3,"")))</f>
        <v/>
      </c>
      <c r="O171" s="140">
        <f>IF(O$13="","",IF($B171="","",IFERROR($C171*$D171*IF((Override!$C$4="ON")*(COUNTIFS(Override!$B$11:$B$40,$B171,Override!$D$11:$D$40,10,Override!$E$11:$E$40,"&gt;=0")-COUNTIFS(Override!$B$11:$B$40,$B171,Override!$D$11:$D$40,10,Override!$E$11:$E$40,"&gt;=0",Override!$C$11:$C$40,"MXAU"))&gt;0,SUMIFS(Override!$E$11:$E$40,Override!$B$11:$B$40,$B171,Override!$D$11:$D$40,10)-SUMIFS(Override!$E$11:$E$40,Override!$B$11:$B$40,$B171,Override!$D$11:$D$40,10,Override!$C$11:$C$40,"MXAU"),Override!$L$206)/AS51!$B$3,"")))</f>
        <v/>
      </c>
      <c r="P171" s="140">
        <f>IF(P$13="","",IF($B171="","",IFERROR($C171*$D171*IF((Override!$C$4="ON")*(COUNTIFS(Override!$B$11:$B$40,$B171,Override!$D$11:$D$40,11,Override!$E$11:$E$40,"&gt;=0")-COUNTIFS(Override!$B$11:$B$40,$B171,Override!$D$11:$D$40,11,Override!$E$11:$E$40,"&gt;=0",Override!$C$11:$C$40,"MXAU"))&gt;0,SUMIFS(Override!$E$11:$E$40,Override!$B$11:$B$40,$B171,Override!$D$11:$D$40,11)-SUMIFS(Override!$E$11:$E$40,Override!$B$11:$B$40,$B171,Override!$D$11:$D$40,11,Override!$C$11:$C$40,"MXAU"),Override!$M$206)/AS51!$B$3,"")))</f>
        <v/>
      </c>
      <c r="Q171" s="140">
        <f>IF(Q$13="","",IF($B171="","",IFERROR($C171*$D171*IF((Override!$C$4="ON")*(COUNTIFS(Override!$B$11:$B$40,$B171,Override!$D$11:$D$40,12,Override!$E$11:$E$40,"&gt;=0")-COUNTIFS(Override!$B$11:$B$40,$B171,Override!$D$11:$D$40,12,Override!$E$11:$E$40,"&gt;=0",Override!$C$11:$C$40,"MXAU"))&gt;0,SUMIFS(Override!$E$11:$E$40,Override!$B$11:$B$40,$B171,Override!$D$11:$D$40,12)-SUMIFS(Override!$E$11:$E$40,Override!$B$11:$B$40,$B171,Override!$D$11:$D$40,12,Override!$C$11:$C$40,"MXAU"),Override!$N$206)/AS51!$B$3,"")))</f>
        <v/>
      </c>
      <c r="R171" s="140">
        <f>IF(R$13="","",IF($B171="","",IFERROR($C171*$D171*IF((Override!$C$4="ON")*(COUNTIFS(Override!$B$11:$B$40,$B171,Override!$D$11:$D$40,13,Override!$E$11:$E$40,"&gt;=0")-COUNTIFS(Override!$B$11:$B$40,$B171,Override!$D$11:$D$40,13,Override!$E$11:$E$40,"&gt;=0",Override!$C$11:$C$40,"MXAU"))&gt;0,SUMIFS(Override!$E$11:$E$40,Override!$B$11:$B$40,$B171,Override!$D$11:$D$40,13)-SUMIFS(Override!$E$11:$E$40,Override!$B$11:$B$40,$B171,Override!$D$11:$D$40,13,Override!$C$11:$C$40,"MXAU"),Override!$O$206)/AS51!$B$3,"")))</f>
        <v/>
      </c>
      <c r="S171" s="140">
        <f>IF(S$13="","",IF($B171="","",IFERROR($C171*$D171*IF((Override!$C$4="ON")*(COUNTIFS(Override!$B$11:$B$40,$B171,Override!$D$11:$D$40,14,Override!$E$11:$E$40,"&gt;=0")-COUNTIFS(Override!$B$11:$B$40,$B171,Override!$D$11:$D$40,14,Override!$E$11:$E$40,"&gt;=0",Override!$C$11:$C$40,"MXAU"))&gt;0,SUMIFS(Override!$E$11:$E$40,Override!$B$11:$B$40,$B171,Override!$D$11:$D$40,14)-SUMIFS(Override!$E$11:$E$40,Override!$B$11:$B$40,$B171,Override!$D$11:$D$40,14,Override!$C$11:$C$40,"MXAU"),Override!$P$206)/AS51!$B$3,"")))</f>
        <v/>
      </c>
      <c r="T171" s="140">
        <f>IF(T$13="","",IF($B171="","",IFERROR($C171*$D171*IF((Override!$C$4="ON")*(COUNTIFS(Override!$B$11:$B$40,$B171,Override!$D$11:$D$40,15,Override!$E$11:$E$40,"&gt;=0")-COUNTIFS(Override!$B$11:$B$40,$B171,Override!$D$11:$D$40,15,Override!$E$11:$E$40,"&gt;=0",Override!$C$11:$C$40,"MXAU"))&gt;0,SUMIFS(Override!$E$11:$E$40,Override!$B$11:$B$40,$B171,Override!$D$11:$D$40,15)-SUMIFS(Override!$E$11:$E$40,Override!$B$11:$B$40,$B171,Override!$D$11:$D$40,15,Override!$C$11:$C$40,"MXAU"),Override!$Q$206)/AS51!$B$3,"")))</f>
        <v/>
      </c>
      <c r="U171" s="140">
        <f>IF(U$13="","",IF($B171="","",IFERROR($C171*$D171*IF((Override!$C$4="ON")*(COUNTIFS(Override!$B$11:$B$40,$B171,Override!$D$11:$D$40,16,Override!$E$11:$E$40,"&gt;=0")-COUNTIFS(Override!$B$11:$B$40,$B171,Override!$D$11:$D$40,16,Override!$E$11:$E$40,"&gt;=0",Override!$C$11:$C$40,"MXAU"))&gt;0,SUMIFS(Override!$E$11:$E$40,Override!$B$11:$B$40,$B171,Override!$D$11:$D$40,16)-SUMIFS(Override!$E$11:$E$40,Override!$B$11:$B$40,$B171,Override!$D$11:$D$40,16,Override!$C$11:$C$40,"MXAU"),Override!$R$206)/AS51!$B$3,"")))</f>
        <v/>
      </c>
      <c r="W171" s="140">
        <f>IF(W$13="","",IF($B171="","",IFERROR(F171*$E171/100,"")))</f>
        <v/>
      </c>
      <c r="X171" s="140">
        <f>IF(X$13="","",IF($B171="","",IFERROR(G171*$E171/100,"")))</f>
        <v/>
      </c>
      <c r="Y171" s="140">
        <f>IF(Y$13="","",IF($B171="","",IFERROR(H171*$E171/100,"")))</f>
        <v/>
      </c>
      <c r="Z171" s="140">
        <f>IF(Z$13="","",IF($B171="","",IFERROR(I171*$E171/100,"")))</f>
        <v/>
      </c>
      <c r="AA171" s="140">
        <f>IF(AA$13="","",IF($B171="","",IFERROR(J171*$E171/100,"")))</f>
        <v/>
      </c>
      <c r="AB171" s="140">
        <f>IF(AB$13="","",IF($B171="","",IFERROR(K171*$E171/100,"")))</f>
        <v/>
      </c>
      <c r="AC171" s="140">
        <f>IF(AC$13="","",IF($B171="","",IFERROR(L171*$E171/100,"")))</f>
        <v/>
      </c>
      <c r="AD171" s="140">
        <f>IF(AD$13="","",IF($B171="","",IFERROR(M171*$E171/100,"")))</f>
        <v/>
      </c>
      <c r="AE171" s="140">
        <f>IF(AE$13="","",IF($B171="","",IFERROR(N171*$E171/100,"")))</f>
        <v/>
      </c>
      <c r="AF171" s="140">
        <f>IF(AF$13="","",IF($B171="","",IFERROR(O171*$E171/100,"")))</f>
        <v/>
      </c>
      <c r="AG171" s="140">
        <f>IF(AG$13="","",IF($B171="","",IFERROR(P171*$E171/100,"")))</f>
        <v/>
      </c>
      <c r="AH171" s="140">
        <f>IF(AH$13="","",IF($B171="","",IFERROR(Q171*$E171/100,"")))</f>
        <v/>
      </c>
      <c r="AI171" s="140">
        <f>IF(AI$13="","",IF($B171="","",IFERROR(R171*$E171/100,"")))</f>
        <v/>
      </c>
      <c r="AJ171" s="140">
        <f>IF(AJ$13="","",IF($B171="","",IFERROR(S171*$E171/100,"")))</f>
        <v/>
      </c>
      <c r="AK171" s="140">
        <f>IF(AK$13="","",IF($B171="","",IFERROR(T171*$E171/100,"")))</f>
        <v/>
      </c>
      <c r="AL171" s="140">
        <f>IF(AL$13="","",IF($B171="","",IFERROR(U171*$E171/100,"")))</f>
        <v/>
      </c>
      <c r="AN171" s="140">
        <f>IF($B171="","",SUMIF($F$13:$U$13,"&lt;="&amp;Sector!$D$51,$F171:$U171))</f>
        <v/>
      </c>
      <c r="AO171" s="140">
        <f>IF($B171="","",SUMIF($W$13:$AL$13,"&lt;="&amp;Sector!$D$51,$W171:$AL171))</f>
        <v/>
      </c>
    </row>
    <row r="172">
      <c r="B172" s="5">
        <f>IF(AS51!$C$162="","",AS51!$C$162)</f>
        <v/>
      </c>
      <c r="C172" s="90">
        <f>IF(AS51!$B$162="","",AS51!$B$162)</f>
        <v/>
      </c>
      <c r="D172" s="138">
        <f>IFERROR(AS51!$Q$162,1)</f>
        <v/>
      </c>
      <c r="E172" s="139">
        <f>IF($B172="","",IF(ISNUMBER(AS51!$I$162),AS51!$I$162,'Index Summary'!$C$7))</f>
        <v/>
      </c>
      <c r="F172" s="140">
        <f>IF(F$13="","",IF($B172="","",IFERROR($C172*$D172*IF((Override!$C$4="ON")*(COUNTIFS(Override!$B$11:$B$40,$B172,Override!$D$11:$D$40,1,Override!$E$11:$E$40,"&gt;=0")-COUNTIFS(Override!$B$11:$B$40,$B172,Override!$D$11:$D$40,1,Override!$E$11:$E$40,"&gt;=0",Override!$C$11:$C$40,"MXAU"))&gt;0,SUMIFS(Override!$E$11:$E$40,Override!$B$11:$B$40,$B172,Override!$D$11:$D$40,1)-SUMIFS(Override!$E$11:$E$40,Override!$B$11:$B$40,$B172,Override!$D$11:$D$40,1,Override!$C$11:$C$40,"MXAU"),Override!$C$207)/AS51!$B$3,"")))</f>
        <v/>
      </c>
      <c r="G172" s="140">
        <f>IF(G$13="","",IF($B172="","",IFERROR($C172*$D172*IF((Override!$C$4="ON")*(COUNTIFS(Override!$B$11:$B$40,$B172,Override!$D$11:$D$40,2,Override!$E$11:$E$40,"&gt;=0")-COUNTIFS(Override!$B$11:$B$40,$B172,Override!$D$11:$D$40,2,Override!$E$11:$E$40,"&gt;=0",Override!$C$11:$C$40,"MXAU"))&gt;0,SUMIFS(Override!$E$11:$E$40,Override!$B$11:$B$40,$B172,Override!$D$11:$D$40,2)-SUMIFS(Override!$E$11:$E$40,Override!$B$11:$B$40,$B172,Override!$D$11:$D$40,2,Override!$C$11:$C$40,"MXAU"),Override!$D$207)/AS51!$B$3,"")))</f>
        <v/>
      </c>
      <c r="H172" s="140">
        <f>IF(H$13="","",IF($B172="","",IFERROR($C172*$D172*IF((Override!$C$4="ON")*(COUNTIFS(Override!$B$11:$B$40,$B172,Override!$D$11:$D$40,3,Override!$E$11:$E$40,"&gt;=0")-COUNTIFS(Override!$B$11:$B$40,$B172,Override!$D$11:$D$40,3,Override!$E$11:$E$40,"&gt;=0",Override!$C$11:$C$40,"MXAU"))&gt;0,SUMIFS(Override!$E$11:$E$40,Override!$B$11:$B$40,$B172,Override!$D$11:$D$40,3)-SUMIFS(Override!$E$11:$E$40,Override!$B$11:$B$40,$B172,Override!$D$11:$D$40,3,Override!$C$11:$C$40,"MXAU"),Override!$E$207)/AS51!$B$3,"")))</f>
        <v/>
      </c>
      <c r="I172" s="140">
        <f>IF(I$13="","",IF($B172="","",IFERROR($C172*$D172*IF((Override!$C$4="ON")*(COUNTIFS(Override!$B$11:$B$40,$B172,Override!$D$11:$D$40,4,Override!$E$11:$E$40,"&gt;=0")-COUNTIFS(Override!$B$11:$B$40,$B172,Override!$D$11:$D$40,4,Override!$E$11:$E$40,"&gt;=0",Override!$C$11:$C$40,"MXAU"))&gt;0,SUMIFS(Override!$E$11:$E$40,Override!$B$11:$B$40,$B172,Override!$D$11:$D$40,4)-SUMIFS(Override!$E$11:$E$40,Override!$B$11:$B$40,$B172,Override!$D$11:$D$40,4,Override!$C$11:$C$40,"MXAU"),Override!$F$207)/AS51!$B$3,"")))</f>
        <v/>
      </c>
      <c r="J172" s="140">
        <f>IF(J$13="","",IF($B172="","",IFERROR($C172*$D172*IF((Override!$C$4="ON")*(COUNTIFS(Override!$B$11:$B$40,$B172,Override!$D$11:$D$40,5,Override!$E$11:$E$40,"&gt;=0")-COUNTIFS(Override!$B$11:$B$40,$B172,Override!$D$11:$D$40,5,Override!$E$11:$E$40,"&gt;=0",Override!$C$11:$C$40,"MXAU"))&gt;0,SUMIFS(Override!$E$11:$E$40,Override!$B$11:$B$40,$B172,Override!$D$11:$D$40,5)-SUMIFS(Override!$E$11:$E$40,Override!$B$11:$B$40,$B172,Override!$D$11:$D$40,5,Override!$C$11:$C$40,"MXAU"),Override!$G$207)/AS51!$B$3,"")))</f>
        <v/>
      </c>
      <c r="K172" s="140">
        <f>IF(K$13="","",IF($B172="","",IFERROR($C172*$D172*IF((Override!$C$4="ON")*(COUNTIFS(Override!$B$11:$B$40,$B172,Override!$D$11:$D$40,6,Override!$E$11:$E$40,"&gt;=0")-COUNTIFS(Override!$B$11:$B$40,$B172,Override!$D$11:$D$40,6,Override!$E$11:$E$40,"&gt;=0",Override!$C$11:$C$40,"MXAU"))&gt;0,SUMIFS(Override!$E$11:$E$40,Override!$B$11:$B$40,$B172,Override!$D$11:$D$40,6)-SUMIFS(Override!$E$11:$E$40,Override!$B$11:$B$40,$B172,Override!$D$11:$D$40,6,Override!$C$11:$C$40,"MXAU"),Override!$H$207)/AS51!$B$3,"")))</f>
        <v/>
      </c>
      <c r="L172" s="140">
        <f>IF(L$13="","",IF($B172="","",IFERROR($C172*$D172*IF((Override!$C$4="ON")*(COUNTIFS(Override!$B$11:$B$40,$B172,Override!$D$11:$D$40,7,Override!$E$11:$E$40,"&gt;=0")-COUNTIFS(Override!$B$11:$B$40,$B172,Override!$D$11:$D$40,7,Override!$E$11:$E$40,"&gt;=0",Override!$C$11:$C$40,"MXAU"))&gt;0,SUMIFS(Override!$E$11:$E$40,Override!$B$11:$B$40,$B172,Override!$D$11:$D$40,7)-SUMIFS(Override!$E$11:$E$40,Override!$B$11:$B$40,$B172,Override!$D$11:$D$40,7,Override!$C$11:$C$40,"MXAU"),Override!$I$207)/AS51!$B$3,"")))</f>
        <v/>
      </c>
      <c r="M172" s="140">
        <f>IF(M$13="","",IF($B172="","",IFERROR($C172*$D172*IF((Override!$C$4="ON")*(COUNTIFS(Override!$B$11:$B$40,$B172,Override!$D$11:$D$40,8,Override!$E$11:$E$40,"&gt;=0")-COUNTIFS(Override!$B$11:$B$40,$B172,Override!$D$11:$D$40,8,Override!$E$11:$E$40,"&gt;=0",Override!$C$11:$C$40,"MXAU"))&gt;0,SUMIFS(Override!$E$11:$E$40,Override!$B$11:$B$40,$B172,Override!$D$11:$D$40,8)-SUMIFS(Override!$E$11:$E$40,Override!$B$11:$B$40,$B172,Override!$D$11:$D$40,8,Override!$C$11:$C$40,"MXAU"),Override!$J$207)/AS51!$B$3,"")))</f>
        <v/>
      </c>
      <c r="N172" s="140">
        <f>IF(N$13="","",IF($B172="","",IFERROR($C172*$D172*IF((Override!$C$4="ON")*(COUNTIFS(Override!$B$11:$B$40,$B172,Override!$D$11:$D$40,9,Override!$E$11:$E$40,"&gt;=0")-COUNTIFS(Override!$B$11:$B$40,$B172,Override!$D$11:$D$40,9,Override!$E$11:$E$40,"&gt;=0",Override!$C$11:$C$40,"MXAU"))&gt;0,SUMIFS(Override!$E$11:$E$40,Override!$B$11:$B$40,$B172,Override!$D$11:$D$40,9)-SUMIFS(Override!$E$11:$E$40,Override!$B$11:$B$40,$B172,Override!$D$11:$D$40,9,Override!$C$11:$C$40,"MXAU"),Override!$K$207)/AS51!$B$3,"")))</f>
        <v/>
      </c>
      <c r="O172" s="140">
        <f>IF(O$13="","",IF($B172="","",IFERROR($C172*$D172*IF((Override!$C$4="ON")*(COUNTIFS(Override!$B$11:$B$40,$B172,Override!$D$11:$D$40,10,Override!$E$11:$E$40,"&gt;=0")-COUNTIFS(Override!$B$11:$B$40,$B172,Override!$D$11:$D$40,10,Override!$E$11:$E$40,"&gt;=0",Override!$C$11:$C$40,"MXAU"))&gt;0,SUMIFS(Override!$E$11:$E$40,Override!$B$11:$B$40,$B172,Override!$D$11:$D$40,10)-SUMIFS(Override!$E$11:$E$40,Override!$B$11:$B$40,$B172,Override!$D$11:$D$40,10,Override!$C$11:$C$40,"MXAU"),Override!$L$207)/AS51!$B$3,"")))</f>
        <v/>
      </c>
      <c r="P172" s="140">
        <f>IF(P$13="","",IF($B172="","",IFERROR($C172*$D172*IF((Override!$C$4="ON")*(COUNTIFS(Override!$B$11:$B$40,$B172,Override!$D$11:$D$40,11,Override!$E$11:$E$40,"&gt;=0")-COUNTIFS(Override!$B$11:$B$40,$B172,Override!$D$11:$D$40,11,Override!$E$11:$E$40,"&gt;=0",Override!$C$11:$C$40,"MXAU"))&gt;0,SUMIFS(Override!$E$11:$E$40,Override!$B$11:$B$40,$B172,Override!$D$11:$D$40,11)-SUMIFS(Override!$E$11:$E$40,Override!$B$11:$B$40,$B172,Override!$D$11:$D$40,11,Override!$C$11:$C$40,"MXAU"),Override!$M$207)/AS51!$B$3,"")))</f>
        <v/>
      </c>
      <c r="Q172" s="140">
        <f>IF(Q$13="","",IF($B172="","",IFERROR($C172*$D172*IF((Override!$C$4="ON")*(COUNTIFS(Override!$B$11:$B$40,$B172,Override!$D$11:$D$40,12,Override!$E$11:$E$40,"&gt;=0")-COUNTIFS(Override!$B$11:$B$40,$B172,Override!$D$11:$D$40,12,Override!$E$11:$E$40,"&gt;=0",Override!$C$11:$C$40,"MXAU"))&gt;0,SUMIFS(Override!$E$11:$E$40,Override!$B$11:$B$40,$B172,Override!$D$11:$D$40,12)-SUMIFS(Override!$E$11:$E$40,Override!$B$11:$B$40,$B172,Override!$D$11:$D$40,12,Override!$C$11:$C$40,"MXAU"),Override!$N$207)/AS51!$B$3,"")))</f>
        <v/>
      </c>
      <c r="R172" s="140">
        <f>IF(R$13="","",IF($B172="","",IFERROR($C172*$D172*IF((Override!$C$4="ON")*(COUNTIFS(Override!$B$11:$B$40,$B172,Override!$D$11:$D$40,13,Override!$E$11:$E$40,"&gt;=0")-COUNTIFS(Override!$B$11:$B$40,$B172,Override!$D$11:$D$40,13,Override!$E$11:$E$40,"&gt;=0",Override!$C$11:$C$40,"MXAU"))&gt;0,SUMIFS(Override!$E$11:$E$40,Override!$B$11:$B$40,$B172,Override!$D$11:$D$40,13)-SUMIFS(Override!$E$11:$E$40,Override!$B$11:$B$40,$B172,Override!$D$11:$D$40,13,Override!$C$11:$C$40,"MXAU"),Override!$O$207)/AS51!$B$3,"")))</f>
        <v/>
      </c>
      <c r="S172" s="140">
        <f>IF(S$13="","",IF($B172="","",IFERROR($C172*$D172*IF((Override!$C$4="ON")*(COUNTIFS(Override!$B$11:$B$40,$B172,Override!$D$11:$D$40,14,Override!$E$11:$E$40,"&gt;=0")-COUNTIFS(Override!$B$11:$B$40,$B172,Override!$D$11:$D$40,14,Override!$E$11:$E$40,"&gt;=0",Override!$C$11:$C$40,"MXAU"))&gt;0,SUMIFS(Override!$E$11:$E$40,Override!$B$11:$B$40,$B172,Override!$D$11:$D$40,14)-SUMIFS(Override!$E$11:$E$40,Override!$B$11:$B$40,$B172,Override!$D$11:$D$40,14,Override!$C$11:$C$40,"MXAU"),Override!$P$207)/AS51!$B$3,"")))</f>
        <v/>
      </c>
      <c r="T172" s="140">
        <f>IF(T$13="","",IF($B172="","",IFERROR($C172*$D172*IF((Override!$C$4="ON")*(COUNTIFS(Override!$B$11:$B$40,$B172,Override!$D$11:$D$40,15,Override!$E$11:$E$40,"&gt;=0")-COUNTIFS(Override!$B$11:$B$40,$B172,Override!$D$11:$D$40,15,Override!$E$11:$E$40,"&gt;=0",Override!$C$11:$C$40,"MXAU"))&gt;0,SUMIFS(Override!$E$11:$E$40,Override!$B$11:$B$40,$B172,Override!$D$11:$D$40,15)-SUMIFS(Override!$E$11:$E$40,Override!$B$11:$B$40,$B172,Override!$D$11:$D$40,15,Override!$C$11:$C$40,"MXAU"),Override!$Q$207)/AS51!$B$3,"")))</f>
        <v/>
      </c>
      <c r="U172" s="140">
        <f>IF(U$13="","",IF($B172="","",IFERROR($C172*$D172*IF((Override!$C$4="ON")*(COUNTIFS(Override!$B$11:$B$40,$B172,Override!$D$11:$D$40,16,Override!$E$11:$E$40,"&gt;=0")-COUNTIFS(Override!$B$11:$B$40,$B172,Override!$D$11:$D$40,16,Override!$E$11:$E$40,"&gt;=0",Override!$C$11:$C$40,"MXAU"))&gt;0,SUMIFS(Override!$E$11:$E$40,Override!$B$11:$B$40,$B172,Override!$D$11:$D$40,16)-SUMIFS(Override!$E$11:$E$40,Override!$B$11:$B$40,$B172,Override!$D$11:$D$40,16,Override!$C$11:$C$40,"MXAU"),Override!$R$207)/AS51!$B$3,"")))</f>
        <v/>
      </c>
      <c r="W172" s="140">
        <f>IF(W$13="","",IF($B172="","",IFERROR(F172*$E172/100,"")))</f>
        <v/>
      </c>
      <c r="X172" s="140">
        <f>IF(X$13="","",IF($B172="","",IFERROR(G172*$E172/100,"")))</f>
        <v/>
      </c>
      <c r="Y172" s="140">
        <f>IF(Y$13="","",IF($B172="","",IFERROR(H172*$E172/100,"")))</f>
        <v/>
      </c>
      <c r="Z172" s="140">
        <f>IF(Z$13="","",IF($B172="","",IFERROR(I172*$E172/100,"")))</f>
        <v/>
      </c>
      <c r="AA172" s="140">
        <f>IF(AA$13="","",IF($B172="","",IFERROR(J172*$E172/100,"")))</f>
        <v/>
      </c>
      <c r="AB172" s="140">
        <f>IF(AB$13="","",IF($B172="","",IFERROR(K172*$E172/100,"")))</f>
        <v/>
      </c>
      <c r="AC172" s="140">
        <f>IF(AC$13="","",IF($B172="","",IFERROR(L172*$E172/100,"")))</f>
        <v/>
      </c>
      <c r="AD172" s="140">
        <f>IF(AD$13="","",IF($B172="","",IFERROR(M172*$E172/100,"")))</f>
        <v/>
      </c>
      <c r="AE172" s="140">
        <f>IF(AE$13="","",IF($B172="","",IFERROR(N172*$E172/100,"")))</f>
        <v/>
      </c>
      <c r="AF172" s="140">
        <f>IF(AF$13="","",IF($B172="","",IFERROR(O172*$E172/100,"")))</f>
        <v/>
      </c>
      <c r="AG172" s="140">
        <f>IF(AG$13="","",IF($B172="","",IFERROR(P172*$E172/100,"")))</f>
        <v/>
      </c>
      <c r="AH172" s="140">
        <f>IF(AH$13="","",IF($B172="","",IFERROR(Q172*$E172/100,"")))</f>
        <v/>
      </c>
      <c r="AI172" s="140">
        <f>IF(AI$13="","",IF($B172="","",IFERROR(R172*$E172/100,"")))</f>
        <v/>
      </c>
      <c r="AJ172" s="140">
        <f>IF(AJ$13="","",IF($B172="","",IFERROR(S172*$E172/100,"")))</f>
        <v/>
      </c>
      <c r="AK172" s="140">
        <f>IF(AK$13="","",IF($B172="","",IFERROR(T172*$E172/100,"")))</f>
        <v/>
      </c>
      <c r="AL172" s="140">
        <f>IF(AL$13="","",IF($B172="","",IFERROR(U172*$E172/100,"")))</f>
        <v/>
      </c>
      <c r="AN172" s="140">
        <f>IF($B172="","",SUMIF($F$13:$U$13,"&lt;="&amp;Sector!$D$51,$F172:$U172))</f>
        <v/>
      </c>
      <c r="AO172" s="140">
        <f>IF($B172="","",SUMIF($W$13:$AL$13,"&lt;="&amp;Sector!$D$51,$W172:$AL172))</f>
        <v/>
      </c>
    </row>
    <row r="173">
      <c r="B173" s="5">
        <f>IF(AS51!$C$163="","",AS51!$C$163)</f>
        <v/>
      </c>
      <c r="C173" s="90">
        <f>IF(AS51!$B$163="","",AS51!$B$163)</f>
        <v/>
      </c>
      <c r="D173" s="138">
        <f>IFERROR(AS51!$Q$163,1)</f>
        <v/>
      </c>
      <c r="E173" s="139">
        <f>IF($B173="","",IF(ISNUMBER(AS51!$I$163),AS51!$I$163,'Index Summary'!$C$7))</f>
        <v/>
      </c>
      <c r="F173" s="140">
        <f>IF(F$13="","",IF($B173="","",IFERROR($C173*$D173*IF((Override!$C$4="ON")*(COUNTIFS(Override!$B$11:$B$40,$B173,Override!$D$11:$D$40,1,Override!$E$11:$E$40,"&gt;=0")-COUNTIFS(Override!$B$11:$B$40,$B173,Override!$D$11:$D$40,1,Override!$E$11:$E$40,"&gt;=0",Override!$C$11:$C$40,"MXAU"))&gt;0,SUMIFS(Override!$E$11:$E$40,Override!$B$11:$B$40,$B173,Override!$D$11:$D$40,1)-SUMIFS(Override!$E$11:$E$40,Override!$B$11:$B$40,$B173,Override!$D$11:$D$40,1,Override!$C$11:$C$40,"MXAU"),Override!$C$208)/AS51!$B$3,"")))</f>
        <v/>
      </c>
      <c r="G173" s="140">
        <f>IF(G$13="","",IF($B173="","",IFERROR($C173*$D173*IF((Override!$C$4="ON")*(COUNTIFS(Override!$B$11:$B$40,$B173,Override!$D$11:$D$40,2,Override!$E$11:$E$40,"&gt;=0")-COUNTIFS(Override!$B$11:$B$40,$B173,Override!$D$11:$D$40,2,Override!$E$11:$E$40,"&gt;=0",Override!$C$11:$C$40,"MXAU"))&gt;0,SUMIFS(Override!$E$11:$E$40,Override!$B$11:$B$40,$B173,Override!$D$11:$D$40,2)-SUMIFS(Override!$E$11:$E$40,Override!$B$11:$B$40,$B173,Override!$D$11:$D$40,2,Override!$C$11:$C$40,"MXAU"),Override!$D$208)/AS51!$B$3,"")))</f>
        <v/>
      </c>
      <c r="H173" s="140">
        <f>IF(H$13="","",IF($B173="","",IFERROR($C173*$D173*IF((Override!$C$4="ON")*(COUNTIFS(Override!$B$11:$B$40,$B173,Override!$D$11:$D$40,3,Override!$E$11:$E$40,"&gt;=0")-COUNTIFS(Override!$B$11:$B$40,$B173,Override!$D$11:$D$40,3,Override!$E$11:$E$40,"&gt;=0",Override!$C$11:$C$40,"MXAU"))&gt;0,SUMIFS(Override!$E$11:$E$40,Override!$B$11:$B$40,$B173,Override!$D$11:$D$40,3)-SUMIFS(Override!$E$11:$E$40,Override!$B$11:$B$40,$B173,Override!$D$11:$D$40,3,Override!$C$11:$C$40,"MXAU"),Override!$E$208)/AS51!$B$3,"")))</f>
        <v/>
      </c>
      <c r="I173" s="140">
        <f>IF(I$13="","",IF($B173="","",IFERROR($C173*$D173*IF((Override!$C$4="ON")*(COUNTIFS(Override!$B$11:$B$40,$B173,Override!$D$11:$D$40,4,Override!$E$11:$E$40,"&gt;=0")-COUNTIFS(Override!$B$11:$B$40,$B173,Override!$D$11:$D$40,4,Override!$E$11:$E$40,"&gt;=0",Override!$C$11:$C$40,"MXAU"))&gt;0,SUMIFS(Override!$E$11:$E$40,Override!$B$11:$B$40,$B173,Override!$D$11:$D$40,4)-SUMIFS(Override!$E$11:$E$40,Override!$B$11:$B$40,$B173,Override!$D$11:$D$40,4,Override!$C$11:$C$40,"MXAU"),Override!$F$208)/AS51!$B$3,"")))</f>
        <v/>
      </c>
      <c r="J173" s="140">
        <f>IF(J$13="","",IF($B173="","",IFERROR($C173*$D173*IF((Override!$C$4="ON")*(COUNTIFS(Override!$B$11:$B$40,$B173,Override!$D$11:$D$40,5,Override!$E$11:$E$40,"&gt;=0")-COUNTIFS(Override!$B$11:$B$40,$B173,Override!$D$11:$D$40,5,Override!$E$11:$E$40,"&gt;=0",Override!$C$11:$C$40,"MXAU"))&gt;0,SUMIFS(Override!$E$11:$E$40,Override!$B$11:$B$40,$B173,Override!$D$11:$D$40,5)-SUMIFS(Override!$E$11:$E$40,Override!$B$11:$B$40,$B173,Override!$D$11:$D$40,5,Override!$C$11:$C$40,"MXAU"),Override!$G$208)/AS51!$B$3,"")))</f>
        <v/>
      </c>
      <c r="K173" s="140">
        <f>IF(K$13="","",IF($B173="","",IFERROR($C173*$D173*IF((Override!$C$4="ON")*(COUNTIFS(Override!$B$11:$B$40,$B173,Override!$D$11:$D$40,6,Override!$E$11:$E$40,"&gt;=0")-COUNTIFS(Override!$B$11:$B$40,$B173,Override!$D$11:$D$40,6,Override!$E$11:$E$40,"&gt;=0",Override!$C$11:$C$40,"MXAU"))&gt;0,SUMIFS(Override!$E$11:$E$40,Override!$B$11:$B$40,$B173,Override!$D$11:$D$40,6)-SUMIFS(Override!$E$11:$E$40,Override!$B$11:$B$40,$B173,Override!$D$11:$D$40,6,Override!$C$11:$C$40,"MXAU"),Override!$H$208)/AS51!$B$3,"")))</f>
        <v/>
      </c>
      <c r="L173" s="140">
        <f>IF(L$13="","",IF($B173="","",IFERROR($C173*$D173*IF((Override!$C$4="ON")*(COUNTIFS(Override!$B$11:$B$40,$B173,Override!$D$11:$D$40,7,Override!$E$11:$E$40,"&gt;=0")-COUNTIFS(Override!$B$11:$B$40,$B173,Override!$D$11:$D$40,7,Override!$E$11:$E$40,"&gt;=0",Override!$C$11:$C$40,"MXAU"))&gt;0,SUMIFS(Override!$E$11:$E$40,Override!$B$11:$B$40,$B173,Override!$D$11:$D$40,7)-SUMIFS(Override!$E$11:$E$40,Override!$B$11:$B$40,$B173,Override!$D$11:$D$40,7,Override!$C$11:$C$40,"MXAU"),Override!$I$208)/AS51!$B$3,"")))</f>
        <v/>
      </c>
      <c r="M173" s="140">
        <f>IF(M$13="","",IF($B173="","",IFERROR($C173*$D173*IF((Override!$C$4="ON")*(COUNTIFS(Override!$B$11:$B$40,$B173,Override!$D$11:$D$40,8,Override!$E$11:$E$40,"&gt;=0")-COUNTIFS(Override!$B$11:$B$40,$B173,Override!$D$11:$D$40,8,Override!$E$11:$E$40,"&gt;=0",Override!$C$11:$C$40,"MXAU"))&gt;0,SUMIFS(Override!$E$11:$E$40,Override!$B$11:$B$40,$B173,Override!$D$11:$D$40,8)-SUMIFS(Override!$E$11:$E$40,Override!$B$11:$B$40,$B173,Override!$D$11:$D$40,8,Override!$C$11:$C$40,"MXAU"),Override!$J$208)/AS51!$B$3,"")))</f>
        <v/>
      </c>
      <c r="N173" s="140">
        <f>IF(N$13="","",IF($B173="","",IFERROR($C173*$D173*IF((Override!$C$4="ON")*(COUNTIFS(Override!$B$11:$B$40,$B173,Override!$D$11:$D$40,9,Override!$E$11:$E$40,"&gt;=0")-COUNTIFS(Override!$B$11:$B$40,$B173,Override!$D$11:$D$40,9,Override!$E$11:$E$40,"&gt;=0",Override!$C$11:$C$40,"MXAU"))&gt;0,SUMIFS(Override!$E$11:$E$40,Override!$B$11:$B$40,$B173,Override!$D$11:$D$40,9)-SUMIFS(Override!$E$11:$E$40,Override!$B$11:$B$40,$B173,Override!$D$11:$D$40,9,Override!$C$11:$C$40,"MXAU"),Override!$K$208)/AS51!$B$3,"")))</f>
        <v/>
      </c>
      <c r="O173" s="140">
        <f>IF(O$13="","",IF($B173="","",IFERROR($C173*$D173*IF((Override!$C$4="ON")*(COUNTIFS(Override!$B$11:$B$40,$B173,Override!$D$11:$D$40,10,Override!$E$11:$E$40,"&gt;=0")-COUNTIFS(Override!$B$11:$B$40,$B173,Override!$D$11:$D$40,10,Override!$E$11:$E$40,"&gt;=0",Override!$C$11:$C$40,"MXAU"))&gt;0,SUMIFS(Override!$E$11:$E$40,Override!$B$11:$B$40,$B173,Override!$D$11:$D$40,10)-SUMIFS(Override!$E$11:$E$40,Override!$B$11:$B$40,$B173,Override!$D$11:$D$40,10,Override!$C$11:$C$40,"MXAU"),Override!$L$208)/AS51!$B$3,"")))</f>
        <v/>
      </c>
      <c r="P173" s="140">
        <f>IF(P$13="","",IF($B173="","",IFERROR($C173*$D173*IF((Override!$C$4="ON")*(COUNTIFS(Override!$B$11:$B$40,$B173,Override!$D$11:$D$40,11,Override!$E$11:$E$40,"&gt;=0")-COUNTIFS(Override!$B$11:$B$40,$B173,Override!$D$11:$D$40,11,Override!$E$11:$E$40,"&gt;=0",Override!$C$11:$C$40,"MXAU"))&gt;0,SUMIFS(Override!$E$11:$E$40,Override!$B$11:$B$40,$B173,Override!$D$11:$D$40,11)-SUMIFS(Override!$E$11:$E$40,Override!$B$11:$B$40,$B173,Override!$D$11:$D$40,11,Override!$C$11:$C$40,"MXAU"),Override!$M$208)/AS51!$B$3,"")))</f>
        <v/>
      </c>
      <c r="Q173" s="140">
        <f>IF(Q$13="","",IF($B173="","",IFERROR($C173*$D173*IF((Override!$C$4="ON")*(COUNTIFS(Override!$B$11:$B$40,$B173,Override!$D$11:$D$40,12,Override!$E$11:$E$40,"&gt;=0")-COUNTIFS(Override!$B$11:$B$40,$B173,Override!$D$11:$D$40,12,Override!$E$11:$E$40,"&gt;=0",Override!$C$11:$C$40,"MXAU"))&gt;0,SUMIFS(Override!$E$11:$E$40,Override!$B$11:$B$40,$B173,Override!$D$11:$D$40,12)-SUMIFS(Override!$E$11:$E$40,Override!$B$11:$B$40,$B173,Override!$D$11:$D$40,12,Override!$C$11:$C$40,"MXAU"),Override!$N$208)/AS51!$B$3,"")))</f>
        <v/>
      </c>
      <c r="R173" s="140">
        <f>IF(R$13="","",IF($B173="","",IFERROR($C173*$D173*IF((Override!$C$4="ON")*(COUNTIFS(Override!$B$11:$B$40,$B173,Override!$D$11:$D$40,13,Override!$E$11:$E$40,"&gt;=0")-COUNTIFS(Override!$B$11:$B$40,$B173,Override!$D$11:$D$40,13,Override!$E$11:$E$40,"&gt;=0",Override!$C$11:$C$40,"MXAU"))&gt;0,SUMIFS(Override!$E$11:$E$40,Override!$B$11:$B$40,$B173,Override!$D$11:$D$40,13)-SUMIFS(Override!$E$11:$E$40,Override!$B$11:$B$40,$B173,Override!$D$11:$D$40,13,Override!$C$11:$C$40,"MXAU"),Override!$O$208)/AS51!$B$3,"")))</f>
        <v/>
      </c>
      <c r="S173" s="140">
        <f>IF(S$13="","",IF($B173="","",IFERROR($C173*$D173*IF((Override!$C$4="ON")*(COUNTIFS(Override!$B$11:$B$40,$B173,Override!$D$11:$D$40,14,Override!$E$11:$E$40,"&gt;=0")-COUNTIFS(Override!$B$11:$B$40,$B173,Override!$D$11:$D$40,14,Override!$E$11:$E$40,"&gt;=0",Override!$C$11:$C$40,"MXAU"))&gt;0,SUMIFS(Override!$E$11:$E$40,Override!$B$11:$B$40,$B173,Override!$D$11:$D$40,14)-SUMIFS(Override!$E$11:$E$40,Override!$B$11:$B$40,$B173,Override!$D$11:$D$40,14,Override!$C$11:$C$40,"MXAU"),Override!$P$208)/AS51!$B$3,"")))</f>
        <v/>
      </c>
      <c r="T173" s="140">
        <f>IF(T$13="","",IF($B173="","",IFERROR($C173*$D173*IF((Override!$C$4="ON")*(COUNTIFS(Override!$B$11:$B$40,$B173,Override!$D$11:$D$40,15,Override!$E$11:$E$40,"&gt;=0")-COUNTIFS(Override!$B$11:$B$40,$B173,Override!$D$11:$D$40,15,Override!$E$11:$E$40,"&gt;=0",Override!$C$11:$C$40,"MXAU"))&gt;0,SUMIFS(Override!$E$11:$E$40,Override!$B$11:$B$40,$B173,Override!$D$11:$D$40,15)-SUMIFS(Override!$E$11:$E$40,Override!$B$11:$B$40,$B173,Override!$D$11:$D$40,15,Override!$C$11:$C$40,"MXAU"),Override!$Q$208)/AS51!$B$3,"")))</f>
        <v/>
      </c>
      <c r="U173" s="140">
        <f>IF(U$13="","",IF($B173="","",IFERROR($C173*$D173*IF((Override!$C$4="ON")*(COUNTIFS(Override!$B$11:$B$40,$B173,Override!$D$11:$D$40,16,Override!$E$11:$E$40,"&gt;=0")-COUNTIFS(Override!$B$11:$B$40,$B173,Override!$D$11:$D$40,16,Override!$E$11:$E$40,"&gt;=0",Override!$C$11:$C$40,"MXAU"))&gt;0,SUMIFS(Override!$E$11:$E$40,Override!$B$11:$B$40,$B173,Override!$D$11:$D$40,16)-SUMIFS(Override!$E$11:$E$40,Override!$B$11:$B$40,$B173,Override!$D$11:$D$40,16,Override!$C$11:$C$40,"MXAU"),Override!$R$208)/AS51!$B$3,"")))</f>
        <v/>
      </c>
      <c r="W173" s="140">
        <f>IF(W$13="","",IF($B173="","",IFERROR(F173*$E173/100,"")))</f>
        <v/>
      </c>
      <c r="X173" s="140">
        <f>IF(X$13="","",IF($B173="","",IFERROR(G173*$E173/100,"")))</f>
        <v/>
      </c>
      <c r="Y173" s="140">
        <f>IF(Y$13="","",IF($B173="","",IFERROR(H173*$E173/100,"")))</f>
        <v/>
      </c>
      <c r="Z173" s="140">
        <f>IF(Z$13="","",IF($B173="","",IFERROR(I173*$E173/100,"")))</f>
        <v/>
      </c>
      <c r="AA173" s="140">
        <f>IF(AA$13="","",IF($B173="","",IFERROR(J173*$E173/100,"")))</f>
        <v/>
      </c>
      <c r="AB173" s="140">
        <f>IF(AB$13="","",IF($B173="","",IFERROR(K173*$E173/100,"")))</f>
        <v/>
      </c>
      <c r="AC173" s="140">
        <f>IF(AC$13="","",IF($B173="","",IFERROR(L173*$E173/100,"")))</f>
        <v/>
      </c>
      <c r="AD173" s="140">
        <f>IF(AD$13="","",IF($B173="","",IFERROR(M173*$E173/100,"")))</f>
        <v/>
      </c>
      <c r="AE173" s="140">
        <f>IF(AE$13="","",IF($B173="","",IFERROR(N173*$E173/100,"")))</f>
        <v/>
      </c>
      <c r="AF173" s="140">
        <f>IF(AF$13="","",IF($B173="","",IFERROR(O173*$E173/100,"")))</f>
        <v/>
      </c>
      <c r="AG173" s="140">
        <f>IF(AG$13="","",IF($B173="","",IFERROR(P173*$E173/100,"")))</f>
        <v/>
      </c>
      <c r="AH173" s="140">
        <f>IF(AH$13="","",IF($B173="","",IFERROR(Q173*$E173/100,"")))</f>
        <v/>
      </c>
      <c r="AI173" s="140">
        <f>IF(AI$13="","",IF($B173="","",IFERROR(R173*$E173/100,"")))</f>
        <v/>
      </c>
      <c r="AJ173" s="140">
        <f>IF(AJ$13="","",IF($B173="","",IFERROR(S173*$E173/100,"")))</f>
        <v/>
      </c>
      <c r="AK173" s="140">
        <f>IF(AK$13="","",IF($B173="","",IFERROR(T173*$E173/100,"")))</f>
        <v/>
      </c>
      <c r="AL173" s="140">
        <f>IF(AL$13="","",IF($B173="","",IFERROR(U173*$E173/100,"")))</f>
        <v/>
      </c>
      <c r="AN173" s="140">
        <f>IF($B173="","",SUMIF($F$13:$U$13,"&lt;="&amp;Sector!$D$51,$F173:$U173))</f>
        <v/>
      </c>
      <c r="AO173" s="140">
        <f>IF($B173="","",SUMIF($W$13:$AL$13,"&lt;="&amp;Sector!$D$51,$W173:$AL173))</f>
        <v/>
      </c>
    </row>
    <row r="174">
      <c r="B174" s="5">
        <f>IF(AS51!$C$164="","",AS51!$C$164)</f>
        <v/>
      </c>
      <c r="C174" s="90">
        <f>IF(AS51!$B$164="","",AS51!$B$164)</f>
        <v/>
      </c>
      <c r="D174" s="138">
        <f>IFERROR(AS51!$Q$164,1)</f>
        <v/>
      </c>
      <c r="E174" s="139">
        <f>IF($B174="","",IF(ISNUMBER(AS51!$I$164),AS51!$I$164,'Index Summary'!$C$7))</f>
        <v/>
      </c>
      <c r="F174" s="140">
        <f>IF(F$13="","",IF($B174="","",IFERROR($C174*$D174*IF((Override!$C$4="ON")*(COUNTIFS(Override!$B$11:$B$40,$B174,Override!$D$11:$D$40,1,Override!$E$11:$E$40,"&gt;=0")-COUNTIFS(Override!$B$11:$B$40,$B174,Override!$D$11:$D$40,1,Override!$E$11:$E$40,"&gt;=0",Override!$C$11:$C$40,"MXAU"))&gt;0,SUMIFS(Override!$E$11:$E$40,Override!$B$11:$B$40,$B174,Override!$D$11:$D$40,1)-SUMIFS(Override!$E$11:$E$40,Override!$B$11:$B$40,$B174,Override!$D$11:$D$40,1,Override!$C$11:$C$40,"MXAU"),Override!$C$209)/AS51!$B$3,"")))</f>
        <v/>
      </c>
      <c r="G174" s="140">
        <f>IF(G$13="","",IF($B174="","",IFERROR($C174*$D174*IF((Override!$C$4="ON")*(COUNTIFS(Override!$B$11:$B$40,$B174,Override!$D$11:$D$40,2,Override!$E$11:$E$40,"&gt;=0")-COUNTIFS(Override!$B$11:$B$40,$B174,Override!$D$11:$D$40,2,Override!$E$11:$E$40,"&gt;=0",Override!$C$11:$C$40,"MXAU"))&gt;0,SUMIFS(Override!$E$11:$E$40,Override!$B$11:$B$40,$B174,Override!$D$11:$D$40,2)-SUMIFS(Override!$E$11:$E$40,Override!$B$11:$B$40,$B174,Override!$D$11:$D$40,2,Override!$C$11:$C$40,"MXAU"),Override!$D$209)/AS51!$B$3,"")))</f>
        <v/>
      </c>
      <c r="H174" s="140">
        <f>IF(H$13="","",IF($B174="","",IFERROR($C174*$D174*IF((Override!$C$4="ON")*(COUNTIFS(Override!$B$11:$B$40,$B174,Override!$D$11:$D$40,3,Override!$E$11:$E$40,"&gt;=0")-COUNTIFS(Override!$B$11:$B$40,$B174,Override!$D$11:$D$40,3,Override!$E$11:$E$40,"&gt;=0",Override!$C$11:$C$40,"MXAU"))&gt;0,SUMIFS(Override!$E$11:$E$40,Override!$B$11:$B$40,$B174,Override!$D$11:$D$40,3)-SUMIFS(Override!$E$11:$E$40,Override!$B$11:$B$40,$B174,Override!$D$11:$D$40,3,Override!$C$11:$C$40,"MXAU"),Override!$E$209)/AS51!$B$3,"")))</f>
        <v/>
      </c>
      <c r="I174" s="140">
        <f>IF(I$13="","",IF($B174="","",IFERROR($C174*$D174*IF((Override!$C$4="ON")*(COUNTIFS(Override!$B$11:$B$40,$B174,Override!$D$11:$D$40,4,Override!$E$11:$E$40,"&gt;=0")-COUNTIFS(Override!$B$11:$B$40,$B174,Override!$D$11:$D$40,4,Override!$E$11:$E$40,"&gt;=0",Override!$C$11:$C$40,"MXAU"))&gt;0,SUMIFS(Override!$E$11:$E$40,Override!$B$11:$B$40,$B174,Override!$D$11:$D$40,4)-SUMIFS(Override!$E$11:$E$40,Override!$B$11:$B$40,$B174,Override!$D$11:$D$40,4,Override!$C$11:$C$40,"MXAU"),Override!$F$209)/AS51!$B$3,"")))</f>
        <v/>
      </c>
      <c r="J174" s="140">
        <f>IF(J$13="","",IF($B174="","",IFERROR($C174*$D174*IF((Override!$C$4="ON")*(COUNTIFS(Override!$B$11:$B$40,$B174,Override!$D$11:$D$40,5,Override!$E$11:$E$40,"&gt;=0")-COUNTIFS(Override!$B$11:$B$40,$B174,Override!$D$11:$D$40,5,Override!$E$11:$E$40,"&gt;=0",Override!$C$11:$C$40,"MXAU"))&gt;0,SUMIFS(Override!$E$11:$E$40,Override!$B$11:$B$40,$B174,Override!$D$11:$D$40,5)-SUMIFS(Override!$E$11:$E$40,Override!$B$11:$B$40,$B174,Override!$D$11:$D$40,5,Override!$C$11:$C$40,"MXAU"),Override!$G$209)/AS51!$B$3,"")))</f>
        <v/>
      </c>
      <c r="K174" s="140">
        <f>IF(K$13="","",IF($B174="","",IFERROR($C174*$D174*IF((Override!$C$4="ON")*(COUNTIFS(Override!$B$11:$B$40,$B174,Override!$D$11:$D$40,6,Override!$E$11:$E$40,"&gt;=0")-COUNTIFS(Override!$B$11:$B$40,$B174,Override!$D$11:$D$40,6,Override!$E$11:$E$40,"&gt;=0",Override!$C$11:$C$40,"MXAU"))&gt;0,SUMIFS(Override!$E$11:$E$40,Override!$B$11:$B$40,$B174,Override!$D$11:$D$40,6)-SUMIFS(Override!$E$11:$E$40,Override!$B$11:$B$40,$B174,Override!$D$11:$D$40,6,Override!$C$11:$C$40,"MXAU"),Override!$H$209)/AS51!$B$3,"")))</f>
        <v/>
      </c>
      <c r="L174" s="140">
        <f>IF(L$13="","",IF($B174="","",IFERROR($C174*$D174*IF((Override!$C$4="ON")*(COUNTIFS(Override!$B$11:$B$40,$B174,Override!$D$11:$D$40,7,Override!$E$11:$E$40,"&gt;=0")-COUNTIFS(Override!$B$11:$B$40,$B174,Override!$D$11:$D$40,7,Override!$E$11:$E$40,"&gt;=0",Override!$C$11:$C$40,"MXAU"))&gt;0,SUMIFS(Override!$E$11:$E$40,Override!$B$11:$B$40,$B174,Override!$D$11:$D$40,7)-SUMIFS(Override!$E$11:$E$40,Override!$B$11:$B$40,$B174,Override!$D$11:$D$40,7,Override!$C$11:$C$40,"MXAU"),Override!$I$209)/AS51!$B$3,"")))</f>
        <v/>
      </c>
      <c r="M174" s="140">
        <f>IF(M$13="","",IF($B174="","",IFERROR($C174*$D174*IF((Override!$C$4="ON")*(COUNTIFS(Override!$B$11:$B$40,$B174,Override!$D$11:$D$40,8,Override!$E$11:$E$40,"&gt;=0")-COUNTIFS(Override!$B$11:$B$40,$B174,Override!$D$11:$D$40,8,Override!$E$11:$E$40,"&gt;=0",Override!$C$11:$C$40,"MXAU"))&gt;0,SUMIFS(Override!$E$11:$E$40,Override!$B$11:$B$40,$B174,Override!$D$11:$D$40,8)-SUMIFS(Override!$E$11:$E$40,Override!$B$11:$B$40,$B174,Override!$D$11:$D$40,8,Override!$C$11:$C$40,"MXAU"),Override!$J$209)/AS51!$B$3,"")))</f>
        <v/>
      </c>
      <c r="N174" s="140">
        <f>IF(N$13="","",IF($B174="","",IFERROR($C174*$D174*IF((Override!$C$4="ON")*(COUNTIFS(Override!$B$11:$B$40,$B174,Override!$D$11:$D$40,9,Override!$E$11:$E$40,"&gt;=0")-COUNTIFS(Override!$B$11:$B$40,$B174,Override!$D$11:$D$40,9,Override!$E$11:$E$40,"&gt;=0",Override!$C$11:$C$40,"MXAU"))&gt;0,SUMIFS(Override!$E$11:$E$40,Override!$B$11:$B$40,$B174,Override!$D$11:$D$40,9)-SUMIFS(Override!$E$11:$E$40,Override!$B$11:$B$40,$B174,Override!$D$11:$D$40,9,Override!$C$11:$C$40,"MXAU"),Override!$K$209)/AS51!$B$3,"")))</f>
        <v/>
      </c>
      <c r="O174" s="140">
        <f>IF(O$13="","",IF($B174="","",IFERROR($C174*$D174*IF((Override!$C$4="ON")*(COUNTIFS(Override!$B$11:$B$40,$B174,Override!$D$11:$D$40,10,Override!$E$11:$E$40,"&gt;=0")-COUNTIFS(Override!$B$11:$B$40,$B174,Override!$D$11:$D$40,10,Override!$E$11:$E$40,"&gt;=0",Override!$C$11:$C$40,"MXAU"))&gt;0,SUMIFS(Override!$E$11:$E$40,Override!$B$11:$B$40,$B174,Override!$D$11:$D$40,10)-SUMIFS(Override!$E$11:$E$40,Override!$B$11:$B$40,$B174,Override!$D$11:$D$40,10,Override!$C$11:$C$40,"MXAU"),Override!$L$209)/AS51!$B$3,"")))</f>
        <v/>
      </c>
      <c r="P174" s="140">
        <f>IF(P$13="","",IF($B174="","",IFERROR($C174*$D174*IF((Override!$C$4="ON")*(COUNTIFS(Override!$B$11:$B$40,$B174,Override!$D$11:$D$40,11,Override!$E$11:$E$40,"&gt;=0")-COUNTIFS(Override!$B$11:$B$40,$B174,Override!$D$11:$D$40,11,Override!$E$11:$E$40,"&gt;=0",Override!$C$11:$C$40,"MXAU"))&gt;0,SUMIFS(Override!$E$11:$E$40,Override!$B$11:$B$40,$B174,Override!$D$11:$D$40,11)-SUMIFS(Override!$E$11:$E$40,Override!$B$11:$B$40,$B174,Override!$D$11:$D$40,11,Override!$C$11:$C$40,"MXAU"),Override!$M$209)/AS51!$B$3,"")))</f>
        <v/>
      </c>
      <c r="Q174" s="140">
        <f>IF(Q$13="","",IF($B174="","",IFERROR($C174*$D174*IF((Override!$C$4="ON")*(COUNTIFS(Override!$B$11:$B$40,$B174,Override!$D$11:$D$40,12,Override!$E$11:$E$40,"&gt;=0")-COUNTIFS(Override!$B$11:$B$40,$B174,Override!$D$11:$D$40,12,Override!$E$11:$E$40,"&gt;=0",Override!$C$11:$C$40,"MXAU"))&gt;0,SUMIFS(Override!$E$11:$E$40,Override!$B$11:$B$40,$B174,Override!$D$11:$D$40,12)-SUMIFS(Override!$E$11:$E$40,Override!$B$11:$B$40,$B174,Override!$D$11:$D$40,12,Override!$C$11:$C$40,"MXAU"),Override!$N$209)/AS51!$B$3,"")))</f>
        <v/>
      </c>
      <c r="R174" s="140">
        <f>IF(R$13="","",IF($B174="","",IFERROR($C174*$D174*IF((Override!$C$4="ON")*(COUNTIFS(Override!$B$11:$B$40,$B174,Override!$D$11:$D$40,13,Override!$E$11:$E$40,"&gt;=0")-COUNTIFS(Override!$B$11:$B$40,$B174,Override!$D$11:$D$40,13,Override!$E$11:$E$40,"&gt;=0",Override!$C$11:$C$40,"MXAU"))&gt;0,SUMIFS(Override!$E$11:$E$40,Override!$B$11:$B$40,$B174,Override!$D$11:$D$40,13)-SUMIFS(Override!$E$11:$E$40,Override!$B$11:$B$40,$B174,Override!$D$11:$D$40,13,Override!$C$11:$C$40,"MXAU"),Override!$O$209)/AS51!$B$3,"")))</f>
        <v/>
      </c>
      <c r="S174" s="140">
        <f>IF(S$13="","",IF($B174="","",IFERROR($C174*$D174*IF((Override!$C$4="ON")*(COUNTIFS(Override!$B$11:$B$40,$B174,Override!$D$11:$D$40,14,Override!$E$11:$E$40,"&gt;=0")-COUNTIFS(Override!$B$11:$B$40,$B174,Override!$D$11:$D$40,14,Override!$E$11:$E$40,"&gt;=0",Override!$C$11:$C$40,"MXAU"))&gt;0,SUMIFS(Override!$E$11:$E$40,Override!$B$11:$B$40,$B174,Override!$D$11:$D$40,14)-SUMIFS(Override!$E$11:$E$40,Override!$B$11:$B$40,$B174,Override!$D$11:$D$40,14,Override!$C$11:$C$40,"MXAU"),Override!$P$209)/AS51!$B$3,"")))</f>
        <v/>
      </c>
      <c r="T174" s="140">
        <f>IF(T$13="","",IF($B174="","",IFERROR($C174*$D174*IF((Override!$C$4="ON")*(COUNTIFS(Override!$B$11:$B$40,$B174,Override!$D$11:$D$40,15,Override!$E$11:$E$40,"&gt;=0")-COUNTIFS(Override!$B$11:$B$40,$B174,Override!$D$11:$D$40,15,Override!$E$11:$E$40,"&gt;=0",Override!$C$11:$C$40,"MXAU"))&gt;0,SUMIFS(Override!$E$11:$E$40,Override!$B$11:$B$40,$B174,Override!$D$11:$D$40,15)-SUMIFS(Override!$E$11:$E$40,Override!$B$11:$B$40,$B174,Override!$D$11:$D$40,15,Override!$C$11:$C$40,"MXAU"),Override!$Q$209)/AS51!$B$3,"")))</f>
        <v/>
      </c>
      <c r="U174" s="140">
        <f>IF(U$13="","",IF($B174="","",IFERROR($C174*$D174*IF((Override!$C$4="ON")*(COUNTIFS(Override!$B$11:$B$40,$B174,Override!$D$11:$D$40,16,Override!$E$11:$E$40,"&gt;=0")-COUNTIFS(Override!$B$11:$B$40,$B174,Override!$D$11:$D$40,16,Override!$E$11:$E$40,"&gt;=0",Override!$C$11:$C$40,"MXAU"))&gt;0,SUMIFS(Override!$E$11:$E$40,Override!$B$11:$B$40,$B174,Override!$D$11:$D$40,16)-SUMIFS(Override!$E$11:$E$40,Override!$B$11:$B$40,$B174,Override!$D$11:$D$40,16,Override!$C$11:$C$40,"MXAU"),Override!$R$209)/AS51!$B$3,"")))</f>
        <v/>
      </c>
      <c r="W174" s="140">
        <f>IF(W$13="","",IF($B174="","",IFERROR(F174*$E174/100,"")))</f>
        <v/>
      </c>
      <c r="X174" s="140">
        <f>IF(X$13="","",IF($B174="","",IFERROR(G174*$E174/100,"")))</f>
        <v/>
      </c>
      <c r="Y174" s="140">
        <f>IF(Y$13="","",IF($B174="","",IFERROR(H174*$E174/100,"")))</f>
        <v/>
      </c>
      <c r="Z174" s="140">
        <f>IF(Z$13="","",IF($B174="","",IFERROR(I174*$E174/100,"")))</f>
        <v/>
      </c>
      <c r="AA174" s="140">
        <f>IF(AA$13="","",IF($B174="","",IFERROR(J174*$E174/100,"")))</f>
        <v/>
      </c>
      <c r="AB174" s="140">
        <f>IF(AB$13="","",IF($B174="","",IFERROR(K174*$E174/100,"")))</f>
        <v/>
      </c>
      <c r="AC174" s="140">
        <f>IF(AC$13="","",IF($B174="","",IFERROR(L174*$E174/100,"")))</f>
        <v/>
      </c>
      <c r="AD174" s="140">
        <f>IF(AD$13="","",IF($B174="","",IFERROR(M174*$E174/100,"")))</f>
        <v/>
      </c>
      <c r="AE174" s="140">
        <f>IF(AE$13="","",IF($B174="","",IFERROR(N174*$E174/100,"")))</f>
        <v/>
      </c>
      <c r="AF174" s="140">
        <f>IF(AF$13="","",IF($B174="","",IFERROR(O174*$E174/100,"")))</f>
        <v/>
      </c>
      <c r="AG174" s="140">
        <f>IF(AG$13="","",IF($B174="","",IFERROR(P174*$E174/100,"")))</f>
        <v/>
      </c>
      <c r="AH174" s="140">
        <f>IF(AH$13="","",IF($B174="","",IFERROR(Q174*$E174/100,"")))</f>
        <v/>
      </c>
      <c r="AI174" s="140">
        <f>IF(AI$13="","",IF($B174="","",IFERROR(R174*$E174/100,"")))</f>
        <v/>
      </c>
      <c r="AJ174" s="140">
        <f>IF(AJ$13="","",IF($B174="","",IFERROR(S174*$E174/100,"")))</f>
        <v/>
      </c>
      <c r="AK174" s="140">
        <f>IF(AK$13="","",IF($B174="","",IFERROR(T174*$E174/100,"")))</f>
        <v/>
      </c>
      <c r="AL174" s="140">
        <f>IF(AL$13="","",IF($B174="","",IFERROR(U174*$E174/100,"")))</f>
        <v/>
      </c>
      <c r="AN174" s="140">
        <f>IF($B174="","",SUMIF($F$13:$U$13,"&lt;="&amp;Sector!$D$51,$F174:$U174))</f>
        <v/>
      </c>
      <c r="AO174" s="140">
        <f>IF($B174="","",SUMIF($W$13:$AL$13,"&lt;="&amp;Sector!$D$51,$W174:$AL174))</f>
        <v/>
      </c>
    </row>
    <row r="175">
      <c r="B175" s="5">
        <f>IF(AS51!$C$165="","",AS51!$C$165)</f>
        <v/>
      </c>
      <c r="C175" s="90">
        <f>IF(AS51!$B$165="","",AS51!$B$165)</f>
        <v/>
      </c>
      <c r="D175" s="138">
        <f>IFERROR(AS51!$Q$165,1)</f>
        <v/>
      </c>
      <c r="E175" s="139">
        <f>IF($B175="","",IF(ISNUMBER(AS51!$I$165),AS51!$I$165,'Index Summary'!$C$7))</f>
        <v/>
      </c>
      <c r="F175" s="140">
        <f>IF(F$13="","",IF($B175="","",IFERROR($C175*$D175*IF((Override!$C$4="ON")*(COUNTIFS(Override!$B$11:$B$40,$B175,Override!$D$11:$D$40,1,Override!$E$11:$E$40,"&gt;=0")-COUNTIFS(Override!$B$11:$B$40,$B175,Override!$D$11:$D$40,1,Override!$E$11:$E$40,"&gt;=0",Override!$C$11:$C$40,"MXAU"))&gt;0,SUMIFS(Override!$E$11:$E$40,Override!$B$11:$B$40,$B175,Override!$D$11:$D$40,1)-SUMIFS(Override!$E$11:$E$40,Override!$B$11:$B$40,$B175,Override!$D$11:$D$40,1,Override!$C$11:$C$40,"MXAU"),Override!$C$210)/AS51!$B$3,"")))</f>
        <v/>
      </c>
      <c r="G175" s="140">
        <f>IF(G$13="","",IF($B175="","",IFERROR($C175*$D175*IF((Override!$C$4="ON")*(COUNTIFS(Override!$B$11:$B$40,$B175,Override!$D$11:$D$40,2,Override!$E$11:$E$40,"&gt;=0")-COUNTIFS(Override!$B$11:$B$40,$B175,Override!$D$11:$D$40,2,Override!$E$11:$E$40,"&gt;=0",Override!$C$11:$C$40,"MXAU"))&gt;0,SUMIFS(Override!$E$11:$E$40,Override!$B$11:$B$40,$B175,Override!$D$11:$D$40,2)-SUMIFS(Override!$E$11:$E$40,Override!$B$11:$B$40,$B175,Override!$D$11:$D$40,2,Override!$C$11:$C$40,"MXAU"),Override!$D$210)/AS51!$B$3,"")))</f>
        <v/>
      </c>
      <c r="H175" s="140">
        <f>IF(H$13="","",IF($B175="","",IFERROR($C175*$D175*IF((Override!$C$4="ON")*(COUNTIFS(Override!$B$11:$B$40,$B175,Override!$D$11:$D$40,3,Override!$E$11:$E$40,"&gt;=0")-COUNTIFS(Override!$B$11:$B$40,$B175,Override!$D$11:$D$40,3,Override!$E$11:$E$40,"&gt;=0",Override!$C$11:$C$40,"MXAU"))&gt;0,SUMIFS(Override!$E$11:$E$40,Override!$B$11:$B$40,$B175,Override!$D$11:$D$40,3)-SUMIFS(Override!$E$11:$E$40,Override!$B$11:$B$40,$B175,Override!$D$11:$D$40,3,Override!$C$11:$C$40,"MXAU"),Override!$E$210)/AS51!$B$3,"")))</f>
        <v/>
      </c>
      <c r="I175" s="140">
        <f>IF(I$13="","",IF($B175="","",IFERROR($C175*$D175*IF((Override!$C$4="ON")*(COUNTIFS(Override!$B$11:$B$40,$B175,Override!$D$11:$D$40,4,Override!$E$11:$E$40,"&gt;=0")-COUNTIFS(Override!$B$11:$B$40,$B175,Override!$D$11:$D$40,4,Override!$E$11:$E$40,"&gt;=0",Override!$C$11:$C$40,"MXAU"))&gt;0,SUMIFS(Override!$E$11:$E$40,Override!$B$11:$B$40,$B175,Override!$D$11:$D$40,4)-SUMIFS(Override!$E$11:$E$40,Override!$B$11:$B$40,$B175,Override!$D$11:$D$40,4,Override!$C$11:$C$40,"MXAU"),Override!$F$210)/AS51!$B$3,"")))</f>
        <v/>
      </c>
      <c r="J175" s="140">
        <f>IF(J$13="","",IF($B175="","",IFERROR($C175*$D175*IF((Override!$C$4="ON")*(COUNTIFS(Override!$B$11:$B$40,$B175,Override!$D$11:$D$40,5,Override!$E$11:$E$40,"&gt;=0")-COUNTIFS(Override!$B$11:$B$40,$B175,Override!$D$11:$D$40,5,Override!$E$11:$E$40,"&gt;=0",Override!$C$11:$C$40,"MXAU"))&gt;0,SUMIFS(Override!$E$11:$E$40,Override!$B$11:$B$40,$B175,Override!$D$11:$D$40,5)-SUMIFS(Override!$E$11:$E$40,Override!$B$11:$B$40,$B175,Override!$D$11:$D$40,5,Override!$C$11:$C$40,"MXAU"),Override!$G$210)/AS51!$B$3,"")))</f>
        <v/>
      </c>
      <c r="K175" s="140">
        <f>IF(K$13="","",IF($B175="","",IFERROR($C175*$D175*IF((Override!$C$4="ON")*(COUNTIFS(Override!$B$11:$B$40,$B175,Override!$D$11:$D$40,6,Override!$E$11:$E$40,"&gt;=0")-COUNTIFS(Override!$B$11:$B$40,$B175,Override!$D$11:$D$40,6,Override!$E$11:$E$40,"&gt;=0",Override!$C$11:$C$40,"MXAU"))&gt;0,SUMIFS(Override!$E$11:$E$40,Override!$B$11:$B$40,$B175,Override!$D$11:$D$40,6)-SUMIFS(Override!$E$11:$E$40,Override!$B$11:$B$40,$B175,Override!$D$11:$D$40,6,Override!$C$11:$C$40,"MXAU"),Override!$H$210)/AS51!$B$3,"")))</f>
        <v/>
      </c>
      <c r="L175" s="140">
        <f>IF(L$13="","",IF($B175="","",IFERROR($C175*$D175*IF((Override!$C$4="ON")*(COUNTIFS(Override!$B$11:$B$40,$B175,Override!$D$11:$D$40,7,Override!$E$11:$E$40,"&gt;=0")-COUNTIFS(Override!$B$11:$B$40,$B175,Override!$D$11:$D$40,7,Override!$E$11:$E$40,"&gt;=0",Override!$C$11:$C$40,"MXAU"))&gt;0,SUMIFS(Override!$E$11:$E$40,Override!$B$11:$B$40,$B175,Override!$D$11:$D$40,7)-SUMIFS(Override!$E$11:$E$40,Override!$B$11:$B$40,$B175,Override!$D$11:$D$40,7,Override!$C$11:$C$40,"MXAU"),Override!$I$210)/AS51!$B$3,"")))</f>
        <v/>
      </c>
      <c r="M175" s="140">
        <f>IF(M$13="","",IF($B175="","",IFERROR($C175*$D175*IF((Override!$C$4="ON")*(COUNTIFS(Override!$B$11:$B$40,$B175,Override!$D$11:$D$40,8,Override!$E$11:$E$40,"&gt;=0")-COUNTIFS(Override!$B$11:$B$40,$B175,Override!$D$11:$D$40,8,Override!$E$11:$E$40,"&gt;=0",Override!$C$11:$C$40,"MXAU"))&gt;0,SUMIFS(Override!$E$11:$E$40,Override!$B$11:$B$40,$B175,Override!$D$11:$D$40,8)-SUMIFS(Override!$E$11:$E$40,Override!$B$11:$B$40,$B175,Override!$D$11:$D$40,8,Override!$C$11:$C$40,"MXAU"),Override!$J$210)/AS51!$B$3,"")))</f>
        <v/>
      </c>
      <c r="N175" s="140">
        <f>IF(N$13="","",IF($B175="","",IFERROR($C175*$D175*IF((Override!$C$4="ON")*(COUNTIFS(Override!$B$11:$B$40,$B175,Override!$D$11:$D$40,9,Override!$E$11:$E$40,"&gt;=0")-COUNTIFS(Override!$B$11:$B$40,$B175,Override!$D$11:$D$40,9,Override!$E$11:$E$40,"&gt;=0",Override!$C$11:$C$40,"MXAU"))&gt;0,SUMIFS(Override!$E$11:$E$40,Override!$B$11:$B$40,$B175,Override!$D$11:$D$40,9)-SUMIFS(Override!$E$11:$E$40,Override!$B$11:$B$40,$B175,Override!$D$11:$D$40,9,Override!$C$11:$C$40,"MXAU"),Override!$K$210)/AS51!$B$3,"")))</f>
        <v/>
      </c>
      <c r="O175" s="140">
        <f>IF(O$13="","",IF($B175="","",IFERROR($C175*$D175*IF((Override!$C$4="ON")*(COUNTIFS(Override!$B$11:$B$40,$B175,Override!$D$11:$D$40,10,Override!$E$11:$E$40,"&gt;=0")-COUNTIFS(Override!$B$11:$B$40,$B175,Override!$D$11:$D$40,10,Override!$E$11:$E$40,"&gt;=0",Override!$C$11:$C$40,"MXAU"))&gt;0,SUMIFS(Override!$E$11:$E$40,Override!$B$11:$B$40,$B175,Override!$D$11:$D$40,10)-SUMIFS(Override!$E$11:$E$40,Override!$B$11:$B$40,$B175,Override!$D$11:$D$40,10,Override!$C$11:$C$40,"MXAU"),Override!$L$210)/AS51!$B$3,"")))</f>
        <v/>
      </c>
      <c r="P175" s="140">
        <f>IF(P$13="","",IF($B175="","",IFERROR($C175*$D175*IF((Override!$C$4="ON")*(COUNTIFS(Override!$B$11:$B$40,$B175,Override!$D$11:$D$40,11,Override!$E$11:$E$40,"&gt;=0")-COUNTIFS(Override!$B$11:$B$40,$B175,Override!$D$11:$D$40,11,Override!$E$11:$E$40,"&gt;=0",Override!$C$11:$C$40,"MXAU"))&gt;0,SUMIFS(Override!$E$11:$E$40,Override!$B$11:$B$40,$B175,Override!$D$11:$D$40,11)-SUMIFS(Override!$E$11:$E$40,Override!$B$11:$B$40,$B175,Override!$D$11:$D$40,11,Override!$C$11:$C$40,"MXAU"),Override!$M$210)/AS51!$B$3,"")))</f>
        <v/>
      </c>
      <c r="Q175" s="140">
        <f>IF(Q$13="","",IF($B175="","",IFERROR($C175*$D175*IF((Override!$C$4="ON")*(COUNTIFS(Override!$B$11:$B$40,$B175,Override!$D$11:$D$40,12,Override!$E$11:$E$40,"&gt;=0")-COUNTIFS(Override!$B$11:$B$40,$B175,Override!$D$11:$D$40,12,Override!$E$11:$E$40,"&gt;=0",Override!$C$11:$C$40,"MXAU"))&gt;0,SUMIFS(Override!$E$11:$E$40,Override!$B$11:$B$40,$B175,Override!$D$11:$D$40,12)-SUMIFS(Override!$E$11:$E$40,Override!$B$11:$B$40,$B175,Override!$D$11:$D$40,12,Override!$C$11:$C$40,"MXAU"),Override!$N$210)/AS51!$B$3,"")))</f>
        <v/>
      </c>
      <c r="R175" s="140">
        <f>IF(R$13="","",IF($B175="","",IFERROR($C175*$D175*IF((Override!$C$4="ON")*(COUNTIFS(Override!$B$11:$B$40,$B175,Override!$D$11:$D$40,13,Override!$E$11:$E$40,"&gt;=0")-COUNTIFS(Override!$B$11:$B$40,$B175,Override!$D$11:$D$40,13,Override!$E$11:$E$40,"&gt;=0",Override!$C$11:$C$40,"MXAU"))&gt;0,SUMIFS(Override!$E$11:$E$40,Override!$B$11:$B$40,$B175,Override!$D$11:$D$40,13)-SUMIFS(Override!$E$11:$E$40,Override!$B$11:$B$40,$B175,Override!$D$11:$D$40,13,Override!$C$11:$C$40,"MXAU"),Override!$O$210)/AS51!$B$3,"")))</f>
        <v/>
      </c>
      <c r="S175" s="140">
        <f>IF(S$13="","",IF($B175="","",IFERROR($C175*$D175*IF((Override!$C$4="ON")*(COUNTIFS(Override!$B$11:$B$40,$B175,Override!$D$11:$D$40,14,Override!$E$11:$E$40,"&gt;=0")-COUNTIFS(Override!$B$11:$B$40,$B175,Override!$D$11:$D$40,14,Override!$E$11:$E$40,"&gt;=0",Override!$C$11:$C$40,"MXAU"))&gt;0,SUMIFS(Override!$E$11:$E$40,Override!$B$11:$B$40,$B175,Override!$D$11:$D$40,14)-SUMIFS(Override!$E$11:$E$40,Override!$B$11:$B$40,$B175,Override!$D$11:$D$40,14,Override!$C$11:$C$40,"MXAU"),Override!$P$210)/AS51!$B$3,"")))</f>
        <v/>
      </c>
      <c r="T175" s="140">
        <f>IF(T$13="","",IF($B175="","",IFERROR($C175*$D175*IF((Override!$C$4="ON")*(COUNTIFS(Override!$B$11:$B$40,$B175,Override!$D$11:$D$40,15,Override!$E$11:$E$40,"&gt;=0")-COUNTIFS(Override!$B$11:$B$40,$B175,Override!$D$11:$D$40,15,Override!$E$11:$E$40,"&gt;=0",Override!$C$11:$C$40,"MXAU"))&gt;0,SUMIFS(Override!$E$11:$E$40,Override!$B$11:$B$40,$B175,Override!$D$11:$D$40,15)-SUMIFS(Override!$E$11:$E$40,Override!$B$11:$B$40,$B175,Override!$D$11:$D$40,15,Override!$C$11:$C$40,"MXAU"),Override!$Q$210)/AS51!$B$3,"")))</f>
        <v/>
      </c>
      <c r="U175" s="140">
        <f>IF(U$13="","",IF($B175="","",IFERROR($C175*$D175*IF((Override!$C$4="ON")*(COUNTIFS(Override!$B$11:$B$40,$B175,Override!$D$11:$D$40,16,Override!$E$11:$E$40,"&gt;=0")-COUNTIFS(Override!$B$11:$B$40,$B175,Override!$D$11:$D$40,16,Override!$E$11:$E$40,"&gt;=0",Override!$C$11:$C$40,"MXAU"))&gt;0,SUMIFS(Override!$E$11:$E$40,Override!$B$11:$B$40,$B175,Override!$D$11:$D$40,16)-SUMIFS(Override!$E$11:$E$40,Override!$B$11:$B$40,$B175,Override!$D$11:$D$40,16,Override!$C$11:$C$40,"MXAU"),Override!$R$210)/AS51!$B$3,"")))</f>
        <v/>
      </c>
      <c r="W175" s="140">
        <f>IF(W$13="","",IF($B175="","",IFERROR(F175*$E175/100,"")))</f>
        <v/>
      </c>
      <c r="X175" s="140">
        <f>IF(X$13="","",IF($B175="","",IFERROR(G175*$E175/100,"")))</f>
        <v/>
      </c>
      <c r="Y175" s="140">
        <f>IF(Y$13="","",IF($B175="","",IFERROR(H175*$E175/100,"")))</f>
        <v/>
      </c>
      <c r="Z175" s="140">
        <f>IF(Z$13="","",IF($B175="","",IFERROR(I175*$E175/100,"")))</f>
        <v/>
      </c>
      <c r="AA175" s="140">
        <f>IF(AA$13="","",IF($B175="","",IFERROR(J175*$E175/100,"")))</f>
        <v/>
      </c>
      <c r="AB175" s="140">
        <f>IF(AB$13="","",IF($B175="","",IFERROR(K175*$E175/100,"")))</f>
        <v/>
      </c>
      <c r="AC175" s="140">
        <f>IF(AC$13="","",IF($B175="","",IFERROR(L175*$E175/100,"")))</f>
        <v/>
      </c>
      <c r="AD175" s="140">
        <f>IF(AD$13="","",IF($B175="","",IFERROR(M175*$E175/100,"")))</f>
        <v/>
      </c>
      <c r="AE175" s="140">
        <f>IF(AE$13="","",IF($B175="","",IFERROR(N175*$E175/100,"")))</f>
        <v/>
      </c>
      <c r="AF175" s="140">
        <f>IF(AF$13="","",IF($B175="","",IFERROR(O175*$E175/100,"")))</f>
        <v/>
      </c>
      <c r="AG175" s="140">
        <f>IF(AG$13="","",IF($B175="","",IFERROR(P175*$E175/100,"")))</f>
        <v/>
      </c>
      <c r="AH175" s="140">
        <f>IF(AH$13="","",IF($B175="","",IFERROR(Q175*$E175/100,"")))</f>
        <v/>
      </c>
      <c r="AI175" s="140">
        <f>IF(AI$13="","",IF($B175="","",IFERROR(R175*$E175/100,"")))</f>
        <v/>
      </c>
      <c r="AJ175" s="140">
        <f>IF(AJ$13="","",IF($B175="","",IFERROR(S175*$E175/100,"")))</f>
        <v/>
      </c>
      <c r="AK175" s="140">
        <f>IF(AK$13="","",IF($B175="","",IFERROR(T175*$E175/100,"")))</f>
        <v/>
      </c>
      <c r="AL175" s="140">
        <f>IF(AL$13="","",IF($B175="","",IFERROR(U175*$E175/100,"")))</f>
        <v/>
      </c>
      <c r="AN175" s="140">
        <f>IF($B175="","",SUMIF($F$13:$U$13,"&lt;="&amp;Sector!$D$51,$F175:$U175))</f>
        <v/>
      </c>
      <c r="AO175" s="140">
        <f>IF($B175="","",SUMIF($W$13:$AL$13,"&lt;="&amp;Sector!$D$51,$W175:$AL175))</f>
        <v/>
      </c>
    </row>
    <row r="176">
      <c r="B176" s="5">
        <f>IF(AS51!$C$166="","",AS51!$C$166)</f>
        <v/>
      </c>
      <c r="C176" s="90">
        <f>IF(AS51!$B$166="","",AS51!$B$166)</f>
        <v/>
      </c>
      <c r="D176" s="138">
        <f>IFERROR(AS51!$Q$166,1)</f>
        <v/>
      </c>
      <c r="E176" s="139">
        <f>IF($B176="","",IF(ISNUMBER(AS51!$I$166),AS51!$I$166,'Index Summary'!$C$7))</f>
        <v/>
      </c>
      <c r="F176" s="140">
        <f>IF(F$13="","",IF($B176="","",IFERROR($C176*$D176*IF((Override!$C$4="ON")*(COUNTIFS(Override!$B$11:$B$40,$B176,Override!$D$11:$D$40,1,Override!$E$11:$E$40,"&gt;=0")-COUNTIFS(Override!$B$11:$B$40,$B176,Override!$D$11:$D$40,1,Override!$E$11:$E$40,"&gt;=0",Override!$C$11:$C$40,"MXAU"))&gt;0,SUMIFS(Override!$E$11:$E$40,Override!$B$11:$B$40,$B176,Override!$D$11:$D$40,1)-SUMIFS(Override!$E$11:$E$40,Override!$B$11:$B$40,$B176,Override!$D$11:$D$40,1,Override!$C$11:$C$40,"MXAU"),Override!$C$211)/AS51!$B$3,"")))</f>
        <v/>
      </c>
      <c r="G176" s="140">
        <f>IF(G$13="","",IF($B176="","",IFERROR($C176*$D176*IF((Override!$C$4="ON")*(COUNTIFS(Override!$B$11:$B$40,$B176,Override!$D$11:$D$40,2,Override!$E$11:$E$40,"&gt;=0")-COUNTIFS(Override!$B$11:$B$40,$B176,Override!$D$11:$D$40,2,Override!$E$11:$E$40,"&gt;=0",Override!$C$11:$C$40,"MXAU"))&gt;0,SUMIFS(Override!$E$11:$E$40,Override!$B$11:$B$40,$B176,Override!$D$11:$D$40,2)-SUMIFS(Override!$E$11:$E$40,Override!$B$11:$B$40,$B176,Override!$D$11:$D$40,2,Override!$C$11:$C$40,"MXAU"),Override!$D$211)/AS51!$B$3,"")))</f>
        <v/>
      </c>
      <c r="H176" s="140">
        <f>IF(H$13="","",IF($B176="","",IFERROR($C176*$D176*IF((Override!$C$4="ON")*(COUNTIFS(Override!$B$11:$B$40,$B176,Override!$D$11:$D$40,3,Override!$E$11:$E$40,"&gt;=0")-COUNTIFS(Override!$B$11:$B$40,$B176,Override!$D$11:$D$40,3,Override!$E$11:$E$40,"&gt;=0",Override!$C$11:$C$40,"MXAU"))&gt;0,SUMIFS(Override!$E$11:$E$40,Override!$B$11:$B$40,$B176,Override!$D$11:$D$40,3)-SUMIFS(Override!$E$11:$E$40,Override!$B$11:$B$40,$B176,Override!$D$11:$D$40,3,Override!$C$11:$C$40,"MXAU"),Override!$E$211)/AS51!$B$3,"")))</f>
        <v/>
      </c>
      <c r="I176" s="140">
        <f>IF(I$13="","",IF($B176="","",IFERROR($C176*$D176*IF((Override!$C$4="ON")*(COUNTIFS(Override!$B$11:$B$40,$B176,Override!$D$11:$D$40,4,Override!$E$11:$E$40,"&gt;=0")-COUNTIFS(Override!$B$11:$B$40,$B176,Override!$D$11:$D$40,4,Override!$E$11:$E$40,"&gt;=0",Override!$C$11:$C$40,"MXAU"))&gt;0,SUMIFS(Override!$E$11:$E$40,Override!$B$11:$B$40,$B176,Override!$D$11:$D$40,4)-SUMIFS(Override!$E$11:$E$40,Override!$B$11:$B$40,$B176,Override!$D$11:$D$40,4,Override!$C$11:$C$40,"MXAU"),Override!$F$211)/AS51!$B$3,"")))</f>
        <v/>
      </c>
      <c r="J176" s="140">
        <f>IF(J$13="","",IF($B176="","",IFERROR($C176*$D176*IF((Override!$C$4="ON")*(COUNTIFS(Override!$B$11:$B$40,$B176,Override!$D$11:$D$40,5,Override!$E$11:$E$40,"&gt;=0")-COUNTIFS(Override!$B$11:$B$40,$B176,Override!$D$11:$D$40,5,Override!$E$11:$E$40,"&gt;=0",Override!$C$11:$C$40,"MXAU"))&gt;0,SUMIFS(Override!$E$11:$E$40,Override!$B$11:$B$40,$B176,Override!$D$11:$D$40,5)-SUMIFS(Override!$E$11:$E$40,Override!$B$11:$B$40,$B176,Override!$D$11:$D$40,5,Override!$C$11:$C$40,"MXAU"),Override!$G$211)/AS51!$B$3,"")))</f>
        <v/>
      </c>
      <c r="K176" s="140">
        <f>IF(K$13="","",IF($B176="","",IFERROR($C176*$D176*IF((Override!$C$4="ON")*(COUNTIFS(Override!$B$11:$B$40,$B176,Override!$D$11:$D$40,6,Override!$E$11:$E$40,"&gt;=0")-COUNTIFS(Override!$B$11:$B$40,$B176,Override!$D$11:$D$40,6,Override!$E$11:$E$40,"&gt;=0",Override!$C$11:$C$40,"MXAU"))&gt;0,SUMIFS(Override!$E$11:$E$40,Override!$B$11:$B$40,$B176,Override!$D$11:$D$40,6)-SUMIFS(Override!$E$11:$E$40,Override!$B$11:$B$40,$B176,Override!$D$11:$D$40,6,Override!$C$11:$C$40,"MXAU"),Override!$H$211)/AS51!$B$3,"")))</f>
        <v/>
      </c>
      <c r="L176" s="140">
        <f>IF(L$13="","",IF($B176="","",IFERROR($C176*$D176*IF((Override!$C$4="ON")*(COUNTIFS(Override!$B$11:$B$40,$B176,Override!$D$11:$D$40,7,Override!$E$11:$E$40,"&gt;=0")-COUNTIFS(Override!$B$11:$B$40,$B176,Override!$D$11:$D$40,7,Override!$E$11:$E$40,"&gt;=0",Override!$C$11:$C$40,"MXAU"))&gt;0,SUMIFS(Override!$E$11:$E$40,Override!$B$11:$B$40,$B176,Override!$D$11:$D$40,7)-SUMIFS(Override!$E$11:$E$40,Override!$B$11:$B$40,$B176,Override!$D$11:$D$40,7,Override!$C$11:$C$40,"MXAU"),Override!$I$211)/AS51!$B$3,"")))</f>
        <v/>
      </c>
      <c r="M176" s="140">
        <f>IF(M$13="","",IF($B176="","",IFERROR($C176*$D176*IF((Override!$C$4="ON")*(COUNTIFS(Override!$B$11:$B$40,$B176,Override!$D$11:$D$40,8,Override!$E$11:$E$40,"&gt;=0")-COUNTIFS(Override!$B$11:$B$40,$B176,Override!$D$11:$D$40,8,Override!$E$11:$E$40,"&gt;=0",Override!$C$11:$C$40,"MXAU"))&gt;0,SUMIFS(Override!$E$11:$E$40,Override!$B$11:$B$40,$B176,Override!$D$11:$D$40,8)-SUMIFS(Override!$E$11:$E$40,Override!$B$11:$B$40,$B176,Override!$D$11:$D$40,8,Override!$C$11:$C$40,"MXAU"),Override!$J$211)/AS51!$B$3,"")))</f>
        <v/>
      </c>
      <c r="N176" s="140">
        <f>IF(N$13="","",IF($B176="","",IFERROR($C176*$D176*IF((Override!$C$4="ON")*(COUNTIFS(Override!$B$11:$B$40,$B176,Override!$D$11:$D$40,9,Override!$E$11:$E$40,"&gt;=0")-COUNTIFS(Override!$B$11:$B$40,$B176,Override!$D$11:$D$40,9,Override!$E$11:$E$40,"&gt;=0",Override!$C$11:$C$40,"MXAU"))&gt;0,SUMIFS(Override!$E$11:$E$40,Override!$B$11:$B$40,$B176,Override!$D$11:$D$40,9)-SUMIFS(Override!$E$11:$E$40,Override!$B$11:$B$40,$B176,Override!$D$11:$D$40,9,Override!$C$11:$C$40,"MXAU"),Override!$K$211)/AS51!$B$3,"")))</f>
        <v/>
      </c>
      <c r="O176" s="140">
        <f>IF(O$13="","",IF($B176="","",IFERROR($C176*$D176*IF((Override!$C$4="ON")*(COUNTIFS(Override!$B$11:$B$40,$B176,Override!$D$11:$D$40,10,Override!$E$11:$E$40,"&gt;=0")-COUNTIFS(Override!$B$11:$B$40,$B176,Override!$D$11:$D$40,10,Override!$E$11:$E$40,"&gt;=0",Override!$C$11:$C$40,"MXAU"))&gt;0,SUMIFS(Override!$E$11:$E$40,Override!$B$11:$B$40,$B176,Override!$D$11:$D$40,10)-SUMIFS(Override!$E$11:$E$40,Override!$B$11:$B$40,$B176,Override!$D$11:$D$40,10,Override!$C$11:$C$40,"MXAU"),Override!$L$211)/AS51!$B$3,"")))</f>
        <v/>
      </c>
      <c r="P176" s="140">
        <f>IF(P$13="","",IF($B176="","",IFERROR($C176*$D176*IF((Override!$C$4="ON")*(COUNTIFS(Override!$B$11:$B$40,$B176,Override!$D$11:$D$40,11,Override!$E$11:$E$40,"&gt;=0")-COUNTIFS(Override!$B$11:$B$40,$B176,Override!$D$11:$D$40,11,Override!$E$11:$E$40,"&gt;=0",Override!$C$11:$C$40,"MXAU"))&gt;0,SUMIFS(Override!$E$11:$E$40,Override!$B$11:$B$40,$B176,Override!$D$11:$D$40,11)-SUMIFS(Override!$E$11:$E$40,Override!$B$11:$B$40,$B176,Override!$D$11:$D$40,11,Override!$C$11:$C$40,"MXAU"),Override!$M$211)/AS51!$B$3,"")))</f>
        <v/>
      </c>
      <c r="Q176" s="140">
        <f>IF(Q$13="","",IF($B176="","",IFERROR($C176*$D176*IF((Override!$C$4="ON")*(COUNTIFS(Override!$B$11:$B$40,$B176,Override!$D$11:$D$40,12,Override!$E$11:$E$40,"&gt;=0")-COUNTIFS(Override!$B$11:$B$40,$B176,Override!$D$11:$D$40,12,Override!$E$11:$E$40,"&gt;=0",Override!$C$11:$C$40,"MXAU"))&gt;0,SUMIFS(Override!$E$11:$E$40,Override!$B$11:$B$40,$B176,Override!$D$11:$D$40,12)-SUMIFS(Override!$E$11:$E$40,Override!$B$11:$B$40,$B176,Override!$D$11:$D$40,12,Override!$C$11:$C$40,"MXAU"),Override!$N$211)/AS51!$B$3,"")))</f>
        <v/>
      </c>
      <c r="R176" s="140">
        <f>IF(R$13="","",IF($B176="","",IFERROR($C176*$D176*IF((Override!$C$4="ON")*(COUNTIFS(Override!$B$11:$B$40,$B176,Override!$D$11:$D$40,13,Override!$E$11:$E$40,"&gt;=0")-COUNTIFS(Override!$B$11:$B$40,$B176,Override!$D$11:$D$40,13,Override!$E$11:$E$40,"&gt;=0",Override!$C$11:$C$40,"MXAU"))&gt;0,SUMIFS(Override!$E$11:$E$40,Override!$B$11:$B$40,$B176,Override!$D$11:$D$40,13)-SUMIFS(Override!$E$11:$E$40,Override!$B$11:$B$40,$B176,Override!$D$11:$D$40,13,Override!$C$11:$C$40,"MXAU"),Override!$O$211)/AS51!$B$3,"")))</f>
        <v/>
      </c>
      <c r="S176" s="140">
        <f>IF(S$13="","",IF($B176="","",IFERROR($C176*$D176*IF((Override!$C$4="ON")*(COUNTIFS(Override!$B$11:$B$40,$B176,Override!$D$11:$D$40,14,Override!$E$11:$E$40,"&gt;=0")-COUNTIFS(Override!$B$11:$B$40,$B176,Override!$D$11:$D$40,14,Override!$E$11:$E$40,"&gt;=0",Override!$C$11:$C$40,"MXAU"))&gt;0,SUMIFS(Override!$E$11:$E$40,Override!$B$11:$B$40,$B176,Override!$D$11:$D$40,14)-SUMIFS(Override!$E$11:$E$40,Override!$B$11:$B$40,$B176,Override!$D$11:$D$40,14,Override!$C$11:$C$40,"MXAU"),Override!$P$211)/AS51!$B$3,"")))</f>
        <v/>
      </c>
      <c r="T176" s="140">
        <f>IF(T$13="","",IF($B176="","",IFERROR($C176*$D176*IF((Override!$C$4="ON")*(COUNTIFS(Override!$B$11:$B$40,$B176,Override!$D$11:$D$40,15,Override!$E$11:$E$40,"&gt;=0")-COUNTIFS(Override!$B$11:$B$40,$B176,Override!$D$11:$D$40,15,Override!$E$11:$E$40,"&gt;=0",Override!$C$11:$C$40,"MXAU"))&gt;0,SUMIFS(Override!$E$11:$E$40,Override!$B$11:$B$40,$B176,Override!$D$11:$D$40,15)-SUMIFS(Override!$E$11:$E$40,Override!$B$11:$B$40,$B176,Override!$D$11:$D$40,15,Override!$C$11:$C$40,"MXAU"),Override!$Q$211)/AS51!$B$3,"")))</f>
        <v/>
      </c>
      <c r="U176" s="140">
        <f>IF(U$13="","",IF($B176="","",IFERROR($C176*$D176*IF((Override!$C$4="ON")*(COUNTIFS(Override!$B$11:$B$40,$B176,Override!$D$11:$D$40,16,Override!$E$11:$E$40,"&gt;=0")-COUNTIFS(Override!$B$11:$B$40,$B176,Override!$D$11:$D$40,16,Override!$E$11:$E$40,"&gt;=0",Override!$C$11:$C$40,"MXAU"))&gt;0,SUMIFS(Override!$E$11:$E$40,Override!$B$11:$B$40,$B176,Override!$D$11:$D$40,16)-SUMIFS(Override!$E$11:$E$40,Override!$B$11:$B$40,$B176,Override!$D$11:$D$40,16,Override!$C$11:$C$40,"MXAU"),Override!$R$211)/AS51!$B$3,"")))</f>
        <v/>
      </c>
      <c r="W176" s="140">
        <f>IF(W$13="","",IF($B176="","",IFERROR(F176*$E176/100,"")))</f>
        <v/>
      </c>
      <c r="X176" s="140">
        <f>IF(X$13="","",IF($B176="","",IFERROR(G176*$E176/100,"")))</f>
        <v/>
      </c>
      <c r="Y176" s="140">
        <f>IF(Y$13="","",IF($B176="","",IFERROR(H176*$E176/100,"")))</f>
        <v/>
      </c>
      <c r="Z176" s="140">
        <f>IF(Z$13="","",IF($B176="","",IFERROR(I176*$E176/100,"")))</f>
        <v/>
      </c>
      <c r="AA176" s="140">
        <f>IF(AA$13="","",IF($B176="","",IFERROR(J176*$E176/100,"")))</f>
        <v/>
      </c>
      <c r="AB176" s="140">
        <f>IF(AB$13="","",IF($B176="","",IFERROR(K176*$E176/100,"")))</f>
        <v/>
      </c>
      <c r="AC176" s="140">
        <f>IF(AC$13="","",IF($B176="","",IFERROR(L176*$E176/100,"")))</f>
        <v/>
      </c>
      <c r="AD176" s="140">
        <f>IF(AD$13="","",IF($B176="","",IFERROR(M176*$E176/100,"")))</f>
        <v/>
      </c>
      <c r="AE176" s="140">
        <f>IF(AE$13="","",IF($B176="","",IFERROR(N176*$E176/100,"")))</f>
        <v/>
      </c>
      <c r="AF176" s="140">
        <f>IF(AF$13="","",IF($B176="","",IFERROR(O176*$E176/100,"")))</f>
        <v/>
      </c>
      <c r="AG176" s="140">
        <f>IF(AG$13="","",IF($B176="","",IFERROR(P176*$E176/100,"")))</f>
        <v/>
      </c>
      <c r="AH176" s="140">
        <f>IF(AH$13="","",IF($B176="","",IFERROR(Q176*$E176/100,"")))</f>
        <v/>
      </c>
      <c r="AI176" s="140">
        <f>IF(AI$13="","",IF($B176="","",IFERROR(R176*$E176/100,"")))</f>
        <v/>
      </c>
      <c r="AJ176" s="140">
        <f>IF(AJ$13="","",IF($B176="","",IFERROR(S176*$E176/100,"")))</f>
        <v/>
      </c>
      <c r="AK176" s="140">
        <f>IF(AK$13="","",IF($B176="","",IFERROR(T176*$E176/100,"")))</f>
        <v/>
      </c>
      <c r="AL176" s="140">
        <f>IF(AL$13="","",IF($B176="","",IFERROR(U176*$E176/100,"")))</f>
        <v/>
      </c>
      <c r="AN176" s="140">
        <f>IF($B176="","",SUMIF($F$13:$U$13,"&lt;="&amp;Sector!$D$51,$F176:$U176))</f>
        <v/>
      </c>
      <c r="AO176" s="140">
        <f>IF($B176="","",SUMIF($W$13:$AL$13,"&lt;="&amp;Sector!$D$51,$W176:$AL176))</f>
        <v/>
      </c>
    </row>
    <row r="177">
      <c r="B177" s="5">
        <f>IF(AS51!$C$167="","",AS51!$C$167)</f>
        <v/>
      </c>
      <c r="C177" s="90">
        <f>IF(AS51!$B$167="","",AS51!$B$167)</f>
        <v/>
      </c>
      <c r="D177" s="138">
        <f>IFERROR(AS51!$Q$167,1)</f>
        <v/>
      </c>
      <c r="E177" s="139">
        <f>IF($B177="","",IF(ISNUMBER(AS51!$I$167),AS51!$I$167,'Index Summary'!$C$7))</f>
        <v/>
      </c>
      <c r="F177" s="140">
        <f>IF(F$13="","",IF($B177="","",IFERROR($C177*$D177*IF((Override!$C$4="ON")*(COUNTIFS(Override!$B$11:$B$40,$B177,Override!$D$11:$D$40,1,Override!$E$11:$E$40,"&gt;=0")-COUNTIFS(Override!$B$11:$B$40,$B177,Override!$D$11:$D$40,1,Override!$E$11:$E$40,"&gt;=0",Override!$C$11:$C$40,"MXAU"))&gt;0,SUMIFS(Override!$E$11:$E$40,Override!$B$11:$B$40,$B177,Override!$D$11:$D$40,1)-SUMIFS(Override!$E$11:$E$40,Override!$B$11:$B$40,$B177,Override!$D$11:$D$40,1,Override!$C$11:$C$40,"MXAU"),Override!$C$212)/AS51!$B$3,"")))</f>
        <v/>
      </c>
      <c r="G177" s="140">
        <f>IF(G$13="","",IF($B177="","",IFERROR($C177*$D177*IF((Override!$C$4="ON")*(COUNTIFS(Override!$B$11:$B$40,$B177,Override!$D$11:$D$40,2,Override!$E$11:$E$40,"&gt;=0")-COUNTIFS(Override!$B$11:$B$40,$B177,Override!$D$11:$D$40,2,Override!$E$11:$E$40,"&gt;=0",Override!$C$11:$C$40,"MXAU"))&gt;0,SUMIFS(Override!$E$11:$E$40,Override!$B$11:$B$40,$B177,Override!$D$11:$D$40,2)-SUMIFS(Override!$E$11:$E$40,Override!$B$11:$B$40,$B177,Override!$D$11:$D$40,2,Override!$C$11:$C$40,"MXAU"),Override!$D$212)/AS51!$B$3,"")))</f>
        <v/>
      </c>
      <c r="H177" s="140">
        <f>IF(H$13="","",IF($B177="","",IFERROR($C177*$D177*IF((Override!$C$4="ON")*(COUNTIFS(Override!$B$11:$B$40,$B177,Override!$D$11:$D$40,3,Override!$E$11:$E$40,"&gt;=0")-COUNTIFS(Override!$B$11:$B$40,$B177,Override!$D$11:$D$40,3,Override!$E$11:$E$40,"&gt;=0",Override!$C$11:$C$40,"MXAU"))&gt;0,SUMIFS(Override!$E$11:$E$40,Override!$B$11:$B$40,$B177,Override!$D$11:$D$40,3)-SUMIFS(Override!$E$11:$E$40,Override!$B$11:$B$40,$B177,Override!$D$11:$D$40,3,Override!$C$11:$C$40,"MXAU"),Override!$E$212)/AS51!$B$3,"")))</f>
        <v/>
      </c>
      <c r="I177" s="140">
        <f>IF(I$13="","",IF($B177="","",IFERROR($C177*$D177*IF((Override!$C$4="ON")*(COUNTIFS(Override!$B$11:$B$40,$B177,Override!$D$11:$D$40,4,Override!$E$11:$E$40,"&gt;=0")-COUNTIFS(Override!$B$11:$B$40,$B177,Override!$D$11:$D$40,4,Override!$E$11:$E$40,"&gt;=0",Override!$C$11:$C$40,"MXAU"))&gt;0,SUMIFS(Override!$E$11:$E$40,Override!$B$11:$B$40,$B177,Override!$D$11:$D$40,4)-SUMIFS(Override!$E$11:$E$40,Override!$B$11:$B$40,$B177,Override!$D$11:$D$40,4,Override!$C$11:$C$40,"MXAU"),Override!$F$212)/AS51!$B$3,"")))</f>
        <v/>
      </c>
      <c r="J177" s="140">
        <f>IF(J$13="","",IF($B177="","",IFERROR($C177*$D177*IF((Override!$C$4="ON")*(COUNTIFS(Override!$B$11:$B$40,$B177,Override!$D$11:$D$40,5,Override!$E$11:$E$40,"&gt;=0")-COUNTIFS(Override!$B$11:$B$40,$B177,Override!$D$11:$D$40,5,Override!$E$11:$E$40,"&gt;=0",Override!$C$11:$C$40,"MXAU"))&gt;0,SUMIFS(Override!$E$11:$E$40,Override!$B$11:$B$40,$B177,Override!$D$11:$D$40,5)-SUMIFS(Override!$E$11:$E$40,Override!$B$11:$B$40,$B177,Override!$D$11:$D$40,5,Override!$C$11:$C$40,"MXAU"),Override!$G$212)/AS51!$B$3,"")))</f>
        <v/>
      </c>
      <c r="K177" s="140">
        <f>IF(K$13="","",IF($B177="","",IFERROR($C177*$D177*IF((Override!$C$4="ON")*(COUNTIFS(Override!$B$11:$B$40,$B177,Override!$D$11:$D$40,6,Override!$E$11:$E$40,"&gt;=0")-COUNTIFS(Override!$B$11:$B$40,$B177,Override!$D$11:$D$40,6,Override!$E$11:$E$40,"&gt;=0",Override!$C$11:$C$40,"MXAU"))&gt;0,SUMIFS(Override!$E$11:$E$40,Override!$B$11:$B$40,$B177,Override!$D$11:$D$40,6)-SUMIFS(Override!$E$11:$E$40,Override!$B$11:$B$40,$B177,Override!$D$11:$D$40,6,Override!$C$11:$C$40,"MXAU"),Override!$H$212)/AS51!$B$3,"")))</f>
        <v/>
      </c>
      <c r="L177" s="140">
        <f>IF(L$13="","",IF($B177="","",IFERROR($C177*$D177*IF((Override!$C$4="ON")*(COUNTIFS(Override!$B$11:$B$40,$B177,Override!$D$11:$D$40,7,Override!$E$11:$E$40,"&gt;=0")-COUNTIFS(Override!$B$11:$B$40,$B177,Override!$D$11:$D$40,7,Override!$E$11:$E$40,"&gt;=0",Override!$C$11:$C$40,"MXAU"))&gt;0,SUMIFS(Override!$E$11:$E$40,Override!$B$11:$B$40,$B177,Override!$D$11:$D$40,7)-SUMIFS(Override!$E$11:$E$40,Override!$B$11:$B$40,$B177,Override!$D$11:$D$40,7,Override!$C$11:$C$40,"MXAU"),Override!$I$212)/AS51!$B$3,"")))</f>
        <v/>
      </c>
      <c r="M177" s="140">
        <f>IF(M$13="","",IF($B177="","",IFERROR($C177*$D177*IF((Override!$C$4="ON")*(COUNTIFS(Override!$B$11:$B$40,$B177,Override!$D$11:$D$40,8,Override!$E$11:$E$40,"&gt;=0")-COUNTIFS(Override!$B$11:$B$40,$B177,Override!$D$11:$D$40,8,Override!$E$11:$E$40,"&gt;=0",Override!$C$11:$C$40,"MXAU"))&gt;0,SUMIFS(Override!$E$11:$E$40,Override!$B$11:$B$40,$B177,Override!$D$11:$D$40,8)-SUMIFS(Override!$E$11:$E$40,Override!$B$11:$B$40,$B177,Override!$D$11:$D$40,8,Override!$C$11:$C$40,"MXAU"),Override!$J$212)/AS51!$B$3,"")))</f>
        <v/>
      </c>
      <c r="N177" s="140">
        <f>IF(N$13="","",IF($B177="","",IFERROR($C177*$D177*IF((Override!$C$4="ON")*(COUNTIFS(Override!$B$11:$B$40,$B177,Override!$D$11:$D$40,9,Override!$E$11:$E$40,"&gt;=0")-COUNTIFS(Override!$B$11:$B$40,$B177,Override!$D$11:$D$40,9,Override!$E$11:$E$40,"&gt;=0",Override!$C$11:$C$40,"MXAU"))&gt;0,SUMIFS(Override!$E$11:$E$40,Override!$B$11:$B$40,$B177,Override!$D$11:$D$40,9)-SUMIFS(Override!$E$11:$E$40,Override!$B$11:$B$40,$B177,Override!$D$11:$D$40,9,Override!$C$11:$C$40,"MXAU"),Override!$K$212)/AS51!$B$3,"")))</f>
        <v/>
      </c>
      <c r="O177" s="140">
        <f>IF(O$13="","",IF($B177="","",IFERROR($C177*$D177*IF((Override!$C$4="ON")*(COUNTIFS(Override!$B$11:$B$40,$B177,Override!$D$11:$D$40,10,Override!$E$11:$E$40,"&gt;=0")-COUNTIFS(Override!$B$11:$B$40,$B177,Override!$D$11:$D$40,10,Override!$E$11:$E$40,"&gt;=0",Override!$C$11:$C$40,"MXAU"))&gt;0,SUMIFS(Override!$E$11:$E$40,Override!$B$11:$B$40,$B177,Override!$D$11:$D$40,10)-SUMIFS(Override!$E$11:$E$40,Override!$B$11:$B$40,$B177,Override!$D$11:$D$40,10,Override!$C$11:$C$40,"MXAU"),Override!$L$212)/AS51!$B$3,"")))</f>
        <v/>
      </c>
      <c r="P177" s="140">
        <f>IF(P$13="","",IF($B177="","",IFERROR($C177*$D177*IF((Override!$C$4="ON")*(COUNTIFS(Override!$B$11:$B$40,$B177,Override!$D$11:$D$40,11,Override!$E$11:$E$40,"&gt;=0")-COUNTIFS(Override!$B$11:$B$40,$B177,Override!$D$11:$D$40,11,Override!$E$11:$E$40,"&gt;=0",Override!$C$11:$C$40,"MXAU"))&gt;0,SUMIFS(Override!$E$11:$E$40,Override!$B$11:$B$40,$B177,Override!$D$11:$D$40,11)-SUMIFS(Override!$E$11:$E$40,Override!$B$11:$B$40,$B177,Override!$D$11:$D$40,11,Override!$C$11:$C$40,"MXAU"),Override!$M$212)/AS51!$B$3,"")))</f>
        <v/>
      </c>
      <c r="Q177" s="140">
        <f>IF(Q$13="","",IF($B177="","",IFERROR($C177*$D177*IF((Override!$C$4="ON")*(COUNTIFS(Override!$B$11:$B$40,$B177,Override!$D$11:$D$40,12,Override!$E$11:$E$40,"&gt;=0")-COUNTIFS(Override!$B$11:$B$40,$B177,Override!$D$11:$D$40,12,Override!$E$11:$E$40,"&gt;=0",Override!$C$11:$C$40,"MXAU"))&gt;0,SUMIFS(Override!$E$11:$E$40,Override!$B$11:$B$40,$B177,Override!$D$11:$D$40,12)-SUMIFS(Override!$E$11:$E$40,Override!$B$11:$B$40,$B177,Override!$D$11:$D$40,12,Override!$C$11:$C$40,"MXAU"),Override!$N$212)/AS51!$B$3,"")))</f>
        <v/>
      </c>
      <c r="R177" s="140">
        <f>IF(R$13="","",IF($B177="","",IFERROR($C177*$D177*IF((Override!$C$4="ON")*(COUNTIFS(Override!$B$11:$B$40,$B177,Override!$D$11:$D$40,13,Override!$E$11:$E$40,"&gt;=0")-COUNTIFS(Override!$B$11:$B$40,$B177,Override!$D$11:$D$40,13,Override!$E$11:$E$40,"&gt;=0",Override!$C$11:$C$40,"MXAU"))&gt;0,SUMIFS(Override!$E$11:$E$40,Override!$B$11:$B$40,$B177,Override!$D$11:$D$40,13)-SUMIFS(Override!$E$11:$E$40,Override!$B$11:$B$40,$B177,Override!$D$11:$D$40,13,Override!$C$11:$C$40,"MXAU"),Override!$O$212)/AS51!$B$3,"")))</f>
        <v/>
      </c>
      <c r="S177" s="140">
        <f>IF(S$13="","",IF($B177="","",IFERROR($C177*$D177*IF((Override!$C$4="ON")*(COUNTIFS(Override!$B$11:$B$40,$B177,Override!$D$11:$D$40,14,Override!$E$11:$E$40,"&gt;=0")-COUNTIFS(Override!$B$11:$B$40,$B177,Override!$D$11:$D$40,14,Override!$E$11:$E$40,"&gt;=0",Override!$C$11:$C$40,"MXAU"))&gt;0,SUMIFS(Override!$E$11:$E$40,Override!$B$11:$B$40,$B177,Override!$D$11:$D$40,14)-SUMIFS(Override!$E$11:$E$40,Override!$B$11:$B$40,$B177,Override!$D$11:$D$40,14,Override!$C$11:$C$40,"MXAU"),Override!$P$212)/AS51!$B$3,"")))</f>
        <v/>
      </c>
      <c r="T177" s="140">
        <f>IF(T$13="","",IF($B177="","",IFERROR($C177*$D177*IF((Override!$C$4="ON")*(COUNTIFS(Override!$B$11:$B$40,$B177,Override!$D$11:$D$40,15,Override!$E$11:$E$40,"&gt;=0")-COUNTIFS(Override!$B$11:$B$40,$B177,Override!$D$11:$D$40,15,Override!$E$11:$E$40,"&gt;=0",Override!$C$11:$C$40,"MXAU"))&gt;0,SUMIFS(Override!$E$11:$E$40,Override!$B$11:$B$40,$B177,Override!$D$11:$D$40,15)-SUMIFS(Override!$E$11:$E$40,Override!$B$11:$B$40,$B177,Override!$D$11:$D$40,15,Override!$C$11:$C$40,"MXAU"),Override!$Q$212)/AS51!$B$3,"")))</f>
        <v/>
      </c>
      <c r="U177" s="140">
        <f>IF(U$13="","",IF($B177="","",IFERROR($C177*$D177*IF((Override!$C$4="ON")*(COUNTIFS(Override!$B$11:$B$40,$B177,Override!$D$11:$D$40,16,Override!$E$11:$E$40,"&gt;=0")-COUNTIFS(Override!$B$11:$B$40,$B177,Override!$D$11:$D$40,16,Override!$E$11:$E$40,"&gt;=0",Override!$C$11:$C$40,"MXAU"))&gt;0,SUMIFS(Override!$E$11:$E$40,Override!$B$11:$B$40,$B177,Override!$D$11:$D$40,16)-SUMIFS(Override!$E$11:$E$40,Override!$B$11:$B$40,$B177,Override!$D$11:$D$40,16,Override!$C$11:$C$40,"MXAU"),Override!$R$212)/AS51!$B$3,"")))</f>
        <v/>
      </c>
      <c r="W177" s="140">
        <f>IF(W$13="","",IF($B177="","",IFERROR(F177*$E177/100,"")))</f>
        <v/>
      </c>
      <c r="X177" s="140">
        <f>IF(X$13="","",IF($B177="","",IFERROR(G177*$E177/100,"")))</f>
        <v/>
      </c>
      <c r="Y177" s="140">
        <f>IF(Y$13="","",IF($B177="","",IFERROR(H177*$E177/100,"")))</f>
        <v/>
      </c>
      <c r="Z177" s="140">
        <f>IF(Z$13="","",IF($B177="","",IFERROR(I177*$E177/100,"")))</f>
        <v/>
      </c>
      <c r="AA177" s="140">
        <f>IF(AA$13="","",IF($B177="","",IFERROR(J177*$E177/100,"")))</f>
        <v/>
      </c>
      <c r="AB177" s="140">
        <f>IF(AB$13="","",IF($B177="","",IFERROR(K177*$E177/100,"")))</f>
        <v/>
      </c>
      <c r="AC177" s="140">
        <f>IF(AC$13="","",IF($B177="","",IFERROR(L177*$E177/100,"")))</f>
        <v/>
      </c>
      <c r="AD177" s="140">
        <f>IF(AD$13="","",IF($B177="","",IFERROR(M177*$E177/100,"")))</f>
        <v/>
      </c>
      <c r="AE177" s="140">
        <f>IF(AE$13="","",IF($B177="","",IFERROR(N177*$E177/100,"")))</f>
        <v/>
      </c>
      <c r="AF177" s="140">
        <f>IF(AF$13="","",IF($B177="","",IFERROR(O177*$E177/100,"")))</f>
        <v/>
      </c>
      <c r="AG177" s="140">
        <f>IF(AG$13="","",IF($B177="","",IFERROR(P177*$E177/100,"")))</f>
        <v/>
      </c>
      <c r="AH177" s="140">
        <f>IF(AH$13="","",IF($B177="","",IFERROR(Q177*$E177/100,"")))</f>
        <v/>
      </c>
      <c r="AI177" s="140">
        <f>IF(AI$13="","",IF($B177="","",IFERROR(R177*$E177/100,"")))</f>
        <v/>
      </c>
      <c r="AJ177" s="140">
        <f>IF(AJ$13="","",IF($B177="","",IFERROR(S177*$E177/100,"")))</f>
        <v/>
      </c>
      <c r="AK177" s="140">
        <f>IF(AK$13="","",IF($B177="","",IFERROR(T177*$E177/100,"")))</f>
        <v/>
      </c>
      <c r="AL177" s="140">
        <f>IF(AL$13="","",IF($B177="","",IFERROR(U177*$E177/100,"")))</f>
        <v/>
      </c>
      <c r="AN177" s="140">
        <f>IF($B177="","",SUMIF($F$13:$U$13,"&lt;="&amp;Sector!$D$51,$F177:$U177))</f>
        <v/>
      </c>
      <c r="AO177" s="140">
        <f>IF($B177="","",SUMIF($W$13:$AL$13,"&lt;="&amp;Sector!$D$51,$W177:$AL177))</f>
        <v/>
      </c>
    </row>
    <row r="178">
      <c r="B178" s="5">
        <f>IF(AS51!$C$168="","",AS51!$C$168)</f>
        <v/>
      </c>
      <c r="C178" s="90">
        <f>IF(AS51!$B$168="","",AS51!$B$168)</f>
        <v/>
      </c>
      <c r="D178" s="138">
        <f>IFERROR(AS51!$Q$168,1)</f>
        <v/>
      </c>
      <c r="E178" s="139">
        <f>IF($B178="","",IF(ISNUMBER(AS51!$I$168),AS51!$I$168,'Index Summary'!$C$7))</f>
        <v/>
      </c>
      <c r="F178" s="140">
        <f>IF(F$13="","",IF($B178="","",IFERROR($C178*$D178*IF((Override!$C$4="ON")*(COUNTIFS(Override!$B$11:$B$40,$B178,Override!$D$11:$D$40,1,Override!$E$11:$E$40,"&gt;=0")-COUNTIFS(Override!$B$11:$B$40,$B178,Override!$D$11:$D$40,1,Override!$E$11:$E$40,"&gt;=0",Override!$C$11:$C$40,"MXAU"))&gt;0,SUMIFS(Override!$E$11:$E$40,Override!$B$11:$B$40,$B178,Override!$D$11:$D$40,1)-SUMIFS(Override!$E$11:$E$40,Override!$B$11:$B$40,$B178,Override!$D$11:$D$40,1,Override!$C$11:$C$40,"MXAU"),Override!$C$213)/AS51!$B$3,"")))</f>
        <v/>
      </c>
      <c r="G178" s="140">
        <f>IF(G$13="","",IF($B178="","",IFERROR($C178*$D178*IF((Override!$C$4="ON")*(COUNTIFS(Override!$B$11:$B$40,$B178,Override!$D$11:$D$40,2,Override!$E$11:$E$40,"&gt;=0")-COUNTIFS(Override!$B$11:$B$40,$B178,Override!$D$11:$D$40,2,Override!$E$11:$E$40,"&gt;=0",Override!$C$11:$C$40,"MXAU"))&gt;0,SUMIFS(Override!$E$11:$E$40,Override!$B$11:$B$40,$B178,Override!$D$11:$D$40,2)-SUMIFS(Override!$E$11:$E$40,Override!$B$11:$B$40,$B178,Override!$D$11:$D$40,2,Override!$C$11:$C$40,"MXAU"),Override!$D$213)/AS51!$B$3,"")))</f>
        <v/>
      </c>
      <c r="H178" s="140">
        <f>IF(H$13="","",IF($B178="","",IFERROR($C178*$D178*IF((Override!$C$4="ON")*(COUNTIFS(Override!$B$11:$B$40,$B178,Override!$D$11:$D$40,3,Override!$E$11:$E$40,"&gt;=0")-COUNTIFS(Override!$B$11:$B$40,$B178,Override!$D$11:$D$40,3,Override!$E$11:$E$40,"&gt;=0",Override!$C$11:$C$40,"MXAU"))&gt;0,SUMIFS(Override!$E$11:$E$40,Override!$B$11:$B$40,$B178,Override!$D$11:$D$40,3)-SUMIFS(Override!$E$11:$E$40,Override!$B$11:$B$40,$B178,Override!$D$11:$D$40,3,Override!$C$11:$C$40,"MXAU"),Override!$E$213)/AS51!$B$3,"")))</f>
        <v/>
      </c>
      <c r="I178" s="140">
        <f>IF(I$13="","",IF($B178="","",IFERROR($C178*$D178*IF((Override!$C$4="ON")*(COUNTIFS(Override!$B$11:$B$40,$B178,Override!$D$11:$D$40,4,Override!$E$11:$E$40,"&gt;=0")-COUNTIFS(Override!$B$11:$B$40,$B178,Override!$D$11:$D$40,4,Override!$E$11:$E$40,"&gt;=0",Override!$C$11:$C$40,"MXAU"))&gt;0,SUMIFS(Override!$E$11:$E$40,Override!$B$11:$B$40,$B178,Override!$D$11:$D$40,4)-SUMIFS(Override!$E$11:$E$40,Override!$B$11:$B$40,$B178,Override!$D$11:$D$40,4,Override!$C$11:$C$40,"MXAU"),Override!$F$213)/AS51!$B$3,"")))</f>
        <v/>
      </c>
      <c r="J178" s="140">
        <f>IF(J$13="","",IF($B178="","",IFERROR($C178*$D178*IF((Override!$C$4="ON")*(COUNTIFS(Override!$B$11:$B$40,$B178,Override!$D$11:$D$40,5,Override!$E$11:$E$40,"&gt;=0")-COUNTIFS(Override!$B$11:$B$40,$B178,Override!$D$11:$D$40,5,Override!$E$11:$E$40,"&gt;=0",Override!$C$11:$C$40,"MXAU"))&gt;0,SUMIFS(Override!$E$11:$E$40,Override!$B$11:$B$40,$B178,Override!$D$11:$D$40,5)-SUMIFS(Override!$E$11:$E$40,Override!$B$11:$B$40,$B178,Override!$D$11:$D$40,5,Override!$C$11:$C$40,"MXAU"),Override!$G$213)/AS51!$B$3,"")))</f>
        <v/>
      </c>
      <c r="K178" s="140">
        <f>IF(K$13="","",IF($B178="","",IFERROR($C178*$D178*IF((Override!$C$4="ON")*(COUNTIFS(Override!$B$11:$B$40,$B178,Override!$D$11:$D$40,6,Override!$E$11:$E$40,"&gt;=0")-COUNTIFS(Override!$B$11:$B$40,$B178,Override!$D$11:$D$40,6,Override!$E$11:$E$40,"&gt;=0",Override!$C$11:$C$40,"MXAU"))&gt;0,SUMIFS(Override!$E$11:$E$40,Override!$B$11:$B$40,$B178,Override!$D$11:$D$40,6)-SUMIFS(Override!$E$11:$E$40,Override!$B$11:$B$40,$B178,Override!$D$11:$D$40,6,Override!$C$11:$C$40,"MXAU"),Override!$H$213)/AS51!$B$3,"")))</f>
        <v/>
      </c>
      <c r="L178" s="140">
        <f>IF(L$13="","",IF($B178="","",IFERROR($C178*$D178*IF((Override!$C$4="ON")*(COUNTIFS(Override!$B$11:$B$40,$B178,Override!$D$11:$D$40,7,Override!$E$11:$E$40,"&gt;=0")-COUNTIFS(Override!$B$11:$B$40,$B178,Override!$D$11:$D$40,7,Override!$E$11:$E$40,"&gt;=0",Override!$C$11:$C$40,"MXAU"))&gt;0,SUMIFS(Override!$E$11:$E$40,Override!$B$11:$B$40,$B178,Override!$D$11:$D$40,7)-SUMIFS(Override!$E$11:$E$40,Override!$B$11:$B$40,$B178,Override!$D$11:$D$40,7,Override!$C$11:$C$40,"MXAU"),Override!$I$213)/AS51!$B$3,"")))</f>
        <v/>
      </c>
      <c r="M178" s="140">
        <f>IF(M$13="","",IF($B178="","",IFERROR($C178*$D178*IF((Override!$C$4="ON")*(COUNTIFS(Override!$B$11:$B$40,$B178,Override!$D$11:$D$40,8,Override!$E$11:$E$40,"&gt;=0")-COUNTIFS(Override!$B$11:$B$40,$B178,Override!$D$11:$D$40,8,Override!$E$11:$E$40,"&gt;=0",Override!$C$11:$C$40,"MXAU"))&gt;0,SUMIFS(Override!$E$11:$E$40,Override!$B$11:$B$40,$B178,Override!$D$11:$D$40,8)-SUMIFS(Override!$E$11:$E$40,Override!$B$11:$B$40,$B178,Override!$D$11:$D$40,8,Override!$C$11:$C$40,"MXAU"),Override!$J$213)/AS51!$B$3,"")))</f>
        <v/>
      </c>
      <c r="N178" s="140">
        <f>IF(N$13="","",IF($B178="","",IFERROR($C178*$D178*IF((Override!$C$4="ON")*(COUNTIFS(Override!$B$11:$B$40,$B178,Override!$D$11:$D$40,9,Override!$E$11:$E$40,"&gt;=0")-COUNTIFS(Override!$B$11:$B$40,$B178,Override!$D$11:$D$40,9,Override!$E$11:$E$40,"&gt;=0",Override!$C$11:$C$40,"MXAU"))&gt;0,SUMIFS(Override!$E$11:$E$40,Override!$B$11:$B$40,$B178,Override!$D$11:$D$40,9)-SUMIFS(Override!$E$11:$E$40,Override!$B$11:$B$40,$B178,Override!$D$11:$D$40,9,Override!$C$11:$C$40,"MXAU"),Override!$K$213)/AS51!$B$3,"")))</f>
        <v/>
      </c>
      <c r="O178" s="140">
        <f>IF(O$13="","",IF($B178="","",IFERROR($C178*$D178*IF((Override!$C$4="ON")*(COUNTIFS(Override!$B$11:$B$40,$B178,Override!$D$11:$D$40,10,Override!$E$11:$E$40,"&gt;=0")-COUNTIFS(Override!$B$11:$B$40,$B178,Override!$D$11:$D$40,10,Override!$E$11:$E$40,"&gt;=0",Override!$C$11:$C$40,"MXAU"))&gt;0,SUMIFS(Override!$E$11:$E$40,Override!$B$11:$B$40,$B178,Override!$D$11:$D$40,10)-SUMIFS(Override!$E$11:$E$40,Override!$B$11:$B$40,$B178,Override!$D$11:$D$40,10,Override!$C$11:$C$40,"MXAU"),Override!$L$213)/AS51!$B$3,"")))</f>
        <v/>
      </c>
      <c r="P178" s="140">
        <f>IF(P$13="","",IF($B178="","",IFERROR($C178*$D178*IF((Override!$C$4="ON")*(COUNTIFS(Override!$B$11:$B$40,$B178,Override!$D$11:$D$40,11,Override!$E$11:$E$40,"&gt;=0")-COUNTIFS(Override!$B$11:$B$40,$B178,Override!$D$11:$D$40,11,Override!$E$11:$E$40,"&gt;=0",Override!$C$11:$C$40,"MXAU"))&gt;0,SUMIFS(Override!$E$11:$E$40,Override!$B$11:$B$40,$B178,Override!$D$11:$D$40,11)-SUMIFS(Override!$E$11:$E$40,Override!$B$11:$B$40,$B178,Override!$D$11:$D$40,11,Override!$C$11:$C$40,"MXAU"),Override!$M$213)/AS51!$B$3,"")))</f>
        <v/>
      </c>
      <c r="Q178" s="140">
        <f>IF(Q$13="","",IF($B178="","",IFERROR($C178*$D178*IF((Override!$C$4="ON")*(COUNTIFS(Override!$B$11:$B$40,$B178,Override!$D$11:$D$40,12,Override!$E$11:$E$40,"&gt;=0")-COUNTIFS(Override!$B$11:$B$40,$B178,Override!$D$11:$D$40,12,Override!$E$11:$E$40,"&gt;=0",Override!$C$11:$C$40,"MXAU"))&gt;0,SUMIFS(Override!$E$11:$E$40,Override!$B$11:$B$40,$B178,Override!$D$11:$D$40,12)-SUMIFS(Override!$E$11:$E$40,Override!$B$11:$B$40,$B178,Override!$D$11:$D$40,12,Override!$C$11:$C$40,"MXAU"),Override!$N$213)/AS51!$B$3,"")))</f>
        <v/>
      </c>
      <c r="R178" s="140">
        <f>IF(R$13="","",IF($B178="","",IFERROR($C178*$D178*IF((Override!$C$4="ON")*(COUNTIFS(Override!$B$11:$B$40,$B178,Override!$D$11:$D$40,13,Override!$E$11:$E$40,"&gt;=0")-COUNTIFS(Override!$B$11:$B$40,$B178,Override!$D$11:$D$40,13,Override!$E$11:$E$40,"&gt;=0",Override!$C$11:$C$40,"MXAU"))&gt;0,SUMIFS(Override!$E$11:$E$40,Override!$B$11:$B$40,$B178,Override!$D$11:$D$40,13)-SUMIFS(Override!$E$11:$E$40,Override!$B$11:$B$40,$B178,Override!$D$11:$D$40,13,Override!$C$11:$C$40,"MXAU"),Override!$O$213)/AS51!$B$3,"")))</f>
        <v/>
      </c>
      <c r="S178" s="140">
        <f>IF(S$13="","",IF($B178="","",IFERROR($C178*$D178*IF((Override!$C$4="ON")*(COUNTIFS(Override!$B$11:$B$40,$B178,Override!$D$11:$D$40,14,Override!$E$11:$E$40,"&gt;=0")-COUNTIFS(Override!$B$11:$B$40,$B178,Override!$D$11:$D$40,14,Override!$E$11:$E$40,"&gt;=0",Override!$C$11:$C$40,"MXAU"))&gt;0,SUMIFS(Override!$E$11:$E$40,Override!$B$11:$B$40,$B178,Override!$D$11:$D$40,14)-SUMIFS(Override!$E$11:$E$40,Override!$B$11:$B$40,$B178,Override!$D$11:$D$40,14,Override!$C$11:$C$40,"MXAU"),Override!$P$213)/AS51!$B$3,"")))</f>
        <v/>
      </c>
      <c r="T178" s="140">
        <f>IF(T$13="","",IF($B178="","",IFERROR($C178*$D178*IF((Override!$C$4="ON")*(COUNTIFS(Override!$B$11:$B$40,$B178,Override!$D$11:$D$40,15,Override!$E$11:$E$40,"&gt;=0")-COUNTIFS(Override!$B$11:$B$40,$B178,Override!$D$11:$D$40,15,Override!$E$11:$E$40,"&gt;=0",Override!$C$11:$C$40,"MXAU"))&gt;0,SUMIFS(Override!$E$11:$E$40,Override!$B$11:$B$40,$B178,Override!$D$11:$D$40,15)-SUMIFS(Override!$E$11:$E$40,Override!$B$11:$B$40,$B178,Override!$D$11:$D$40,15,Override!$C$11:$C$40,"MXAU"),Override!$Q$213)/AS51!$B$3,"")))</f>
        <v/>
      </c>
      <c r="U178" s="140">
        <f>IF(U$13="","",IF($B178="","",IFERROR($C178*$D178*IF((Override!$C$4="ON")*(COUNTIFS(Override!$B$11:$B$40,$B178,Override!$D$11:$D$40,16,Override!$E$11:$E$40,"&gt;=0")-COUNTIFS(Override!$B$11:$B$40,$B178,Override!$D$11:$D$40,16,Override!$E$11:$E$40,"&gt;=0",Override!$C$11:$C$40,"MXAU"))&gt;0,SUMIFS(Override!$E$11:$E$40,Override!$B$11:$B$40,$B178,Override!$D$11:$D$40,16)-SUMIFS(Override!$E$11:$E$40,Override!$B$11:$B$40,$B178,Override!$D$11:$D$40,16,Override!$C$11:$C$40,"MXAU"),Override!$R$213)/AS51!$B$3,"")))</f>
        <v/>
      </c>
      <c r="W178" s="140">
        <f>IF(W$13="","",IF($B178="","",IFERROR(F178*$E178/100,"")))</f>
        <v/>
      </c>
      <c r="X178" s="140">
        <f>IF(X$13="","",IF($B178="","",IFERROR(G178*$E178/100,"")))</f>
        <v/>
      </c>
      <c r="Y178" s="140">
        <f>IF(Y$13="","",IF($B178="","",IFERROR(H178*$E178/100,"")))</f>
        <v/>
      </c>
      <c r="Z178" s="140">
        <f>IF(Z$13="","",IF($B178="","",IFERROR(I178*$E178/100,"")))</f>
        <v/>
      </c>
      <c r="AA178" s="140">
        <f>IF(AA$13="","",IF($B178="","",IFERROR(J178*$E178/100,"")))</f>
        <v/>
      </c>
      <c r="AB178" s="140">
        <f>IF(AB$13="","",IF($B178="","",IFERROR(K178*$E178/100,"")))</f>
        <v/>
      </c>
      <c r="AC178" s="140">
        <f>IF(AC$13="","",IF($B178="","",IFERROR(L178*$E178/100,"")))</f>
        <v/>
      </c>
      <c r="AD178" s="140">
        <f>IF(AD$13="","",IF($B178="","",IFERROR(M178*$E178/100,"")))</f>
        <v/>
      </c>
      <c r="AE178" s="140">
        <f>IF(AE$13="","",IF($B178="","",IFERROR(N178*$E178/100,"")))</f>
        <v/>
      </c>
      <c r="AF178" s="140">
        <f>IF(AF$13="","",IF($B178="","",IFERROR(O178*$E178/100,"")))</f>
        <v/>
      </c>
      <c r="AG178" s="140">
        <f>IF(AG$13="","",IF($B178="","",IFERROR(P178*$E178/100,"")))</f>
        <v/>
      </c>
      <c r="AH178" s="140">
        <f>IF(AH$13="","",IF($B178="","",IFERROR(Q178*$E178/100,"")))</f>
        <v/>
      </c>
      <c r="AI178" s="140">
        <f>IF(AI$13="","",IF($B178="","",IFERROR(R178*$E178/100,"")))</f>
        <v/>
      </c>
      <c r="AJ178" s="140">
        <f>IF(AJ$13="","",IF($B178="","",IFERROR(S178*$E178/100,"")))</f>
        <v/>
      </c>
      <c r="AK178" s="140">
        <f>IF(AK$13="","",IF($B178="","",IFERROR(T178*$E178/100,"")))</f>
        <v/>
      </c>
      <c r="AL178" s="140">
        <f>IF(AL$13="","",IF($B178="","",IFERROR(U178*$E178/100,"")))</f>
        <v/>
      </c>
      <c r="AN178" s="140">
        <f>IF($B178="","",SUMIF($F$13:$U$13,"&lt;="&amp;Sector!$D$51,$F178:$U178))</f>
        <v/>
      </c>
      <c r="AO178" s="140">
        <f>IF($B178="","",SUMIF($W$13:$AL$13,"&lt;="&amp;Sector!$D$51,$W178:$AL178))</f>
        <v/>
      </c>
    </row>
    <row r="179">
      <c r="B179" s="5">
        <f>IF(AS51!$C$169="","",AS51!$C$169)</f>
        <v/>
      </c>
      <c r="C179" s="90">
        <f>IF(AS51!$B$169="","",AS51!$B$169)</f>
        <v/>
      </c>
      <c r="D179" s="138">
        <f>IFERROR(AS51!$Q$169,1)</f>
        <v/>
      </c>
      <c r="E179" s="139">
        <f>IF($B179="","",IF(ISNUMBER(AS51!$I$169),AS51!$I$169,'Index Summary'!$C$7))</f>
        <v/>
      </c>
      <c r="F179" s="140">
        <f>IF(F$13="","",IF($B179="","",IFERROR($C179*$D179*IF((Override!$C$4="ON")*(COUNTIFS(Override!$B$11:$B$40,$B179,Override!$D$11:$D$40,1,Override!$E$11:$E$40,"&gt;=0")-COUNTIFS(Override!$B$11:$B$40,$B179,Override!$D$11:$D$40,1,Override!$E$11:$E$40,"&gt;=0",Override!$C$11:$C$40,"MXAU"))&gt;0,SUMIFS(Override!$E$11:$E$40,Override!$B$11:$B$40,$B179,Override!$D$11:$D$40,1)-SUMIFS(Override!$E$11:$E$40,Override!$B$11:$B$40,$B179,Override!$D$11:$D$40,1,Override!$C$11:$C$40,"MXAU"),Override!$C$214)/AS51!$B$3,"")))</f>
        <v/>
      </c>
      <c r="G179" s="140">
        <f>IF(G$13="","",IF($B179="","",IFERROR($C179*$D179*IF((Override!$C$4="ON")*(COUNTIFS(Override!$B$11:$B$40,$B179,Override!$D$11:$D$40,2,Override!$E$11:$E$40,"&gt;=0")-COUNTIFS(Override!$B$11:$B$40,$B179,Override!$D$11:$D$40,2,Override!$E$11:$E$40,"&gt;=0",Override!$C$11:$C$40,"MXAU"))&gt;0,SUMIFS(Override!$E$11:$E$40,Override!$B$11:$B$40,$B179,Override!$D$11:$D$40,2)-SUMIFS(Override!$E$11:$E$40,Override!$B$11:$B$40,$B179,Override!$D$11:$D$40,2,Override!$C$11:$C$40,"MXAU"),Override!$D$214)/AS51!$B$3,"")))</f>
        <v/>
      </c>
      <c r="H179" s="140">
        <f>IF(H$13="","",IF($B179="","",IFERROR($C179*$D179*IF((Override!$C$4="ON")*(COUNTIFS(Override!$B$11:$B$40,$B179,Override!$D$11:$D$40,3,Override!$E$11:$E$40,"&gt;=0")-COUNTIFS(Override!$B$11:$B$40,$B179,Override!$D$11:$D$40,3,Override!$E$11:$E$40,"&gt;=0",Override!$C$11:$C$40,"MXAU"))&gt;0,SUMIFS(Override!$E$11:$E$40,Override!$B$11:$B$40,$B179,Override!$D$11:$D$40,3)-SUMIFS(Override!$E$11:$E$40,Override!$B$11:$B$40,$B179,Override!$D$11:$D$40,3,Override!$C$11:$C$40,"MXAU"),Override!$E$214)/AS51!$B$3,"")))</f>
        <v/>
      </c>
      <c r="I179" s="140">
        <f>IF(I$13="","",IF($B179="","",IFERROR($C179*$D179*IF((Override!$C$4="ON")*(COUNTIFS(Override!$B$11:$B$40,$B179,Override!$D$11:$D$40,4,Override!$E$11:$E$40,"&gt;=0")-COUNTIFS(Override!$B$11:$B$40,$B179,Override!$D$11:$D$40,4,Override!$E$11:$E$40,"&gt;=0",Override!$C$11:$C$40,"MXAU"))&gt;0,SUMIFS(Override!$E$11:$E$40,Override!$B$11:$B$40,$B179,Override!$D$11:$D$40,4)-SUMIFS(Override!$E$11:$E$40,Override!$B$11:$B$40,$B179,Override!$D$11:$D$40,4,Override!$C$11:$C$40,"MXAU"),Override!$F$214)/AS51!$B$3,"")))</f>
        <v/>
      </c>
      <c r="J179" s="140">
        <f>IF(J$13="","",IF($B179="","",IFERROR($C179*$D179*IF((Override!$C$4="ON")*(COUNTIFS(Override!$B$11:$B$40,$B179,Override!$D$11:$D$40,5,Override!$E$11:$E$40,"&gt;=0")-COUNTIFS(Override!$B$11:$B$40,$B179,Override!$D$11:$D$40,5,Override!$E$11:$E$40,"&gt;=0",Override!$C$11:$C$40,"MXAU"))&gt;0,SUMIFS(Override!$E$11:$E$40,Override!$B$11:$B$40,$B179,Override!$D$11:$D$40,5)-SUMIFS(Override!$E$11:$E$40,Override!$B$11:$B$40,$B179,Override!$D$11:$D$40,5,Override!$C$11:$C$40,"MXAU"),Override!$G$214)/AS51!$B$3,"")))</f>
        <v/>
      </c>
      <c r="K179" s="140">
        <f>IF(K$13="","",IF($B179="","",IFERROR($C179*$D179*IF((Override!$C$4="ON")*(COUNTIFS(Override!$B$11:$B$40,$B179,Override!$D$11:$D$40,6,Override!$E$11:$E$40,"&gt;=0")-COUNTIFS(Override!$B$11:$B$40,$B179,Override!$D$11:$D$40,6,Override!$E$11:$E$40,"&gt;=0",Override!$C$11:$C$40,"MXAU"))&gt;0,SUMIFS(Override!$E$11:$E$40,Override!$B$11:$B$40,$B179,Override!$D$11:$D$40,6)-SUMIFS(Override!$E$11:$E$40,Override!$B$11:$B$40,$B179,Override!$D$11:$D$40,6,Override!$C$11:$C$40,"MXAU"),Override!$H$214)/AS51!$B$3,"")))</f>
        <v/>
      </c>
      <c r="L179" s="140">
        <f>IF(L$13="","",IF($B179="","",IFERROR($C179*$D179*IF((Override!$C$4="ON")*(COUNTIFS(Override!$B$11:$B$40,$B179,Override!$D$11:$D$40,7,Override!$E$11:$E$40,"&gt;=0")-COUNTIFS(Override!$B$11:$B$40,$B179,Override!$D$11:$D$40,7,Override!$E$11:$E$40,"&gt;=0",Override!$C$11:$C$40,"MXAU"))&gt;0,SUMIFS(Override!$E$11:$E$40,Override!$B$11:$B$40,$B179,Override!$D$11:$D$40,7)-SUMIFS(Override!$E$11:$E$40,Override!$B$11:$B$40,$B179,Override!$D$11:$D$40,7,Override!$C$11:$C$40,"MXAU"),Override!$I$214)/AS51!$B$3,"")))</f>
        <v/>
      </c>
      <c r="M179" s="140">
        <f>IF(M$13="","",IF($B179="","",IFERROR($C179*$D179*IF((Override!$C$4="ON")*(COUNTIFS(Override!$B$11:$B$40,$B179,Override!$D$11:$D$40,8,Override!$E$11:$E$40,"&gt;=0")-COUNTIFS(Override!$B$11:$B$40,$B179,Override!$D$11:$D$40,8,Override!$E$11:$E$40,"&gt;=0",Override!$C$11:$C$40,"MXAU"))&gt;0,SUMIFS(Override!$E$11:$E$40,Override!$B$11:$B$40,$B179,Override!$D$11:$D$40,8)-SUMIFS(Override!$E$11:$E$40,Override!$B$11:$B$40,$B179,Override!$D$11:$D$40,8,Override!$C$11:$C$40,"MXAU"),Override!$J$214)/AS51!$B$3,"")))</f>
        <v/>
      </c>
      <c r="N179" s="140">
        <f>IF(N$13="","",IF($B179="","",IFERROR($C179*$D179*IF((Override!$C$4="ON")*(COUNTIFS(Override!$B$11:$B$40,$B179,Override!$D$11:$D$40,9,Override!$E$11:$E$40,"&gt;=0")-COUNTIFS(Override!$B$11:$B$40,$B179,Override!$D$11:$D$40,9,Override!$E$11:$E$40,"&gt;=0",Override!$C$11:$C$40,"MXAU"))&gt;0,SUMIFS(Override!$E$11:$E$40,Override!$B$11:$B$40,$B179,Override!$D$11:$D$40,9)-SUMIFS(Override!$E$11:$E$40,Override!$B$11:$B$40,$B179,Override!$D$11:$D$40,9,Override!$C$11:$C$40,"MXAU"),Override!$K$214)/AS51!$B$3,"")))</f>
        <v/>
      </c>
      <c r="O179" s="140">
        <f>IF(O$13="","",IF($B179="","",IFERROR($C179*$D179*IF((Override!$C$4="ON")*(COUNTIFS(Override!$B$11:$B$40,$B179,Override!$D$11:$D$40,10,Override!$E$11:$E$40,"&gt;=0")-COUNTIFS(Override!$B$11:$B$40,$B179,Override!$D$11:$D$40,10,Override!$E$11:$E$40,"&gt;=0",Override!$C$11:$C$40,"MXAU"))&gt;0,SUMIFS(Override!$E$11:$E$40,Override!$B$11:$B$40,$B179,Override!$D$11:$D$40,10)-SUMIFS(Override!$E$11:$E$40,Override!$B$11:$B$40,$B179,Override!$D$11:$D$40,10,Override!$C$11:$C$40,"MXAU"),Override!$L$214)/AS51!$B$3,"")))</f>
        <v/>
      </c>
      <c r="P179" s="140">
        <f>IF(P$13="","",IF($B179="","",IFERROR($C179*$D179*IF((Override!$C$4="ON")*(COUNTIFS(Override!$B$11:$B$40,$B179,Override!$D$11:$D$40,11,Override!$E$11:$E$40,"&gt;=0")-COUNTIFS(Override!$B$11:$B$40,$B179,Override!$D$11:$D$40,11,Override!$E$11:$E$40,"&gt;=0",Override!$C$11:$C$40,"MXAU"))&gt;0,SUMIFS(Override!$E$11:$E$40,Override!$B$11:$B$40,$B179,Override!$D$11:$D$40,11)-SUMIFS(Override!$E$11:$E$40,Override!$B$11:$B$40,$B179,Override!$D$11:$D$40,11,Override!$C$11:$C$40,"MXAU"),Override!$M$214)/AS51!$B$3,"")))</f>
        <v/>
      </c>
      <c r="Q179" s="140">
        <f>IF(Q$13="","",IF($B179="","",IFERROR($C179*$D179*IF((Override!$C$4="ON")*(COUNTIFS(Override!$B$11:$B$40,$B179,Override!$D$11:$D$40,12,Override!$E$11:$E$40,"&gt;=0")-COUNTIFS(Override!$B$11:$B$40,$B179,Override!$D$11:$D$40,12,Override!$E$11:$E$40,"&gt;=0",Override!$C$11:$C$40,"MXAU"))&gt;0,SUMIFS(Override!$E$11:$E$40,Override!$B$11:$B$40,$B179,Override!$D$11:$D$40,12)-SUMIFS(Override!$E$11:$E$40,Override!$B$11:$B$40,$B179,Override!$D$11:$D$40,12,Override!$C$11:$C$40,"MXAU"),Override!$N$214)/AS51!$B$3,"")))</f>
        <v/>
      </c>
      <c r="R179" s="140">
        <f>IF(R$13="","",IF($B179="","",IFERROR($C179*$D179*IF((Override!$C$4="ON")*(COUNTIFS(Override!$B$11:$B$40,$B179,Override!$D$11:$D$40,13,Override!$E$11:$E$40,"&gt;=0")-COUNTIFS(Override!$B$11:$B$40,$B179,Override!$D$11:$D$40,13,Override!$E$11:$E$40,"&gt;=0",Override!$C$11:$C$40,"MXAU"))&gt;0,SUMIFS(Override!$E$11:$E$40,Override!$B$11:$B$40,$B179,Override!$D$11:$D$40,13)-SUMIFS(Override!$E$11:$E$40,Override!$B$11:$B$40,$B179,Override!$D$11:$D$40,13,Override!$C$11:$C$40,"MXAU"),Override!$O$214)/AS51!$B$3,"")))</f>
        <v/>
      </c>
      <c r="S179" s="140">
        <f>IF(S$13="","",IF($B179="","",IFERROR($C179*$D179*IF((Override!$C$4="ON")*(COUNTIFS(Override!$B$11:$B$40,$B179,Override!$D$11:$D$40,14,Override!$E$11:$E$40,"&gt;=0")-COUNTIFS(Override!$B$11:$B$40,$B179,Override!$D$11:$D$40,14,Override!$E$11:$E$40,"&gt;=0",Override!$C$11:$C$40,"MXAU"))&gt;0,SUMIFS(Override!$E$11:$E$40,Override!$B$11:$B$40,$B179,Override!$D$11:$D$40,14)-SUMIFS(Override!$E$11:$E$40,Override!$B$11:$B$40,$B179,Override!$D$11:$D$40,14,Override!$C$11:$C$40,"MXAU"),Override!$P$214)/AS51!$B$3,"")))</f>
        <v/>
      </c>
      <c r="T179" s="140">
        <f>IF(T$13="","",IF($B179="","",IFERROR($C179*$D179*IF((Override!$C$4="ON")*(COUNTIFS(Override!$B$11:$B$40,$B179,Override!$D$11:$D$40,15,Override!$E$11:$E$40,"&gt;=0")-COUNTIFS(Override!$B$11:$B$40,$B179,Override!$D$11:$D$40,15,Override!$E$11:$E$40,"&gt;=0",Override!$C$11:$C$40,"MXAU"))&gt;0,SUMIFS(Override!$E$11:$E$40,Override!$B$11:$B$40,$B179,Override!$D$11:$D$40,15)-SUMIFS(Override!$E$11:$E$40,Override!$B$11:$B$40,$B179,Override!$D$11:$D$40,15,Override!$C$11:$C$40,"MXAU"),Override!$Q$214)/AS51!$B$3,"")))</f>
        <v/>
      </c>
      <c r="U179" s="140">
        <f>IF(U$13="","",IF($B179="","",IFERROR($C179*$D179*IF((Override!$C$4="ON")*(COUNTIFS(Override!$B$11:$B$40,$B179,Override!$D$11:$D$40,16,Override!$E$11:$E$40,"&gt;=0")-COUNTIFS(Override!$B$11:$B$40,$B179,Override!$D$11:$D$40,16,Override!$E$11:$E$40,"&gt;=0",Override!$C$11:$C$40,"MXAU"))&gt;0,SUMIFS(Override!$E$11:$E$40,Override!$B$11:$B$40,$B179,Override!$D$11:$D$40,16)-SUMIFS(Override!$E$11:$E$40,Override!$B$11:$B$40,$B179,Override!$D$11:$D$40,16,Override!$C$11:$C$40,"MXAU"),Override!$R$214)/AS51!$B$3,"")))</f>
        <v/>
      </c>
      <c r="W179" s="140">
        <f>IF(W$13="","",IF($B179="","",IFERROR(F179*$E179/100,"")))</f>
        <v/>
      </c>
      <c r="X179" s="140">
        <f>IF(X$13="","",IF($B179="","",IFERROR(G179*$E179/100,"")))</f>
        <v/>
      </c>
      <c r="Y179" s="140">
        <f>IF(Y$13="","",IF($B179="","",IFERROR(H179*$E179/100,"")))</f>
        <v/>
      </c>
      <c r="Z179" s="140">
        <f>IF(Z$13="","",IF($B179="","",IFERROR(I179*$E179/100,"")))</f>
        <v/>
      </c>
      <c r="AA179" s="140">
        <f>IF(AA$13="","",IF($B179="","",IFERROR(J179*$E179/100,"")))</f>
        <v/>
      </c>
      <c r="AB179" s="140">
        <f>IF(AB$13="","",IF($B179="","",IFERROR(K179*$E179/100,"")))</f>
        <v/>
      </c>
      <c r="AC179" s="140">
        <f>IF(AC$13="","",IF($B179="","",IFERROR(L179*$E179/100,"")))</f>
        <v/>
      </c>
      <c r="AD179" s="140">
        <f>IF(AD$13="","",IF($B179="","",IFERROR(M179*$E179/100,"")))</f>
        <v/>
      </c>
      <c r="AE179" s="140">
        <f>IF(AE$13="","",IF($B179="","",IFERROR(N179*$E179/100,"")))</f>
        <v/>
      </c>
      <c r="AF179" s="140">
        <f>IF(AF$13="","",IF($B179="","",IFERROR(O179*$E179/100,"")))</f>
        <v/>
      </c>
      <c r="AG179" s="140">
        <f>IF(AG$13="","",IF($B179="","",IFERROR(P179*$E179/100,"")))</f>
        <v/>
      </c>
      <c r="AH179" s="140">
        <f>IF(AH$13="","",IF($B179="","",IFERROR(Q179*$E179/100,"")))</f>
        <v/>
      </c>
      <c r="AI179" s="140">
        <f>IF(AI$13="","",IF($B179="","",IFERROR(R179*$E179/100,"")))</f>
        <v/>
      </c>
      <c r="AJ179" s="140">
        <f>IF(AJ$13="","",IF($B179="","",IFERROR(S179*$E179/100,"")))</f>
        <v/>
      </c>
      <c r="AK179" s="140">
        <f>IF(AK$13="","",IF($B179="","",IFERROR(T179*$E179/100,"")))</f>
        <v/>
      </c>
      <c r="AL179" s="140">
        <f>IF(AL$13="","",IF($B179="","",IFERROR(U179*$E179/100,"")))</f>
        <v/>
      </c>
      <c r="AN179" s="140">
        <f>IF($B179="","",SUMIF($F$13:$U$13,"&lt;="&amp;Sector!$D$51,$F179:$U179))</f>
        <v/>
      </c>
      <c r="AO179" s="140">
        <f>IF($B179="","",SUMIF($W$13:$AL$13,"&lt;="&amp;Sector!$D$51,$W179:$AL179))</f>
        <v/>
      </c>
    </row>
    <row r="180">
      <c r="B180" s="5">
        <f>IF(AS51!$C$170="","",AS51!$C$170)</f>
        <v/>
      </c>
      <c r="C180" s="90">
        <f>IF(AS51!$B$170="","",AS51!$B$170)</f>
        <v/>
      </c>
      <c r="D180" s="138">
        <f>IFERROR(AS51!$Q$170,1)</f>
        <v/>
      </c>
      <c r="E180" s="139">
        <f>IF($B180="","",IF(ISNUMBER(AS51!$I$170),AS51!$I$170,'Index Summary'!$C$7))</f>
        <v/>
      </c>
      <c r="F180" s="140">
        <f>IF(F$13="","",IF($B180="","",IFERROR($C180*$D180*IF((Override!$C$4="ON")*(COUNTIFS(Override!$B$11:$B$40,$B180,Override!$D$11:$D$40,1,Override!$E$11:$E$40,"&gt;=0")-COUNTIFS(Override!$B$11:$B$40,$B180,Override!$D$11:$D$40,1,Override!$E$11:$E$40,"&gt;=0",Override!$C$11:$C$40,"MXAU"))&gt;0,SUMIFS(Override!$E$11:$E$40,Override!$B$11:$B$40,$B180,Override!$D$11:$D$40,1)-SUMIFS(Override!$E$11:$E$40,Override!$B$11:$B$40,$B180,Override!$D$11:$D$40,1,Override!$C$11:$C$40,"MXAU"),Override!$C$215)/AS51!$B$3,"")))</f>
        <v/>
      </c>
      <c r="G180" s="140">
        <f>IF(G$13="","",IF($B180="","",IFERROR($C180*$D180*IF((Override!$C$4="ON")*(COUNTIFS(Override!$B$11:$B$40,$B180,Override!$D$11:$D$40,2,Override!$E$11:$E$40,"&gt;=0")-COUNTIFS(Override!$B$11:$B$40,$B180,Override!$D$11:$D$40,2,Override!$E$11:$E$40,"&gt;=0",Override!$C$11:$C$40,"MXAU"))&gt;0,SUMIFS(Override!$E$11:$E$40,Override!$B$11:$B$40,$B180,Override!$D$11:$D$40,2)-SUMIFS(Override!$E$11:$E$40,Override!$B$11:$B$40,$B180,Override!$D$11:$D$40,2,Override!$C$11:$C$40,"MXAU"),Override!$D$215)/AS51!$B$3,"")))</f>
        <v/>
      </c>
      <c r="H180" s="140">
        <f>IF(H$13="","",IF($B180="","",IFERROR($C180*$D180*IF((Override!$C$4="ON")*(COUNTIFS(Override!$B$11:$B$40,$B180,Override!$D$11:$D$40,3,Override!$E$11:$E$40,"&gt;=0")-COUNTIFS(Override!$B$11:$B$40,$B180,Override!$D$11:$D$40,3,Override!$E$11:$E$40,"&gt;=0",Override!$C$11:$C$40,"MXAU"))&gt;0,SUMIFS(Override!$E$11:$E$40,Override!$B$11:$B$40,$B180,Override!$D$11:$D$40,3)-SUMIFS(Override!$E$11:$E$40,Override!$B$11:$B$40,$B180,Override!$D$11:$D$40,3,Override!$C$11:$C$40,"MXAU"),Override!$E$215)/AS51!$B$3,"")))</f>
        <v/>
      </c>
      <c r="I180" s="140">
        <f>IF(I$13="","",IF($B180="","",IFERROR($C180*$D180*IF((Override!$C$4="ON")*(COUNTIFS(Override!$B$11:$B$40,$B180,Override!$D$11:$D$40,4,Override!$E$11:$E$40,"&gt;=0")-COUNTIFS(Override!$B$11:$B$40,$B180,Override!$D$11:$D$40,4,Override!$E$11:$E$40,"&gt;=0",Override!$C$11:$C$40,"MXAU"))&gt;0,SUMIFS(Override!$E$11:$E$40,Override!$B$11:$B$40,$B180,Override!$D$11:$D$40,4)-SUMIFS(Override!$E$11:$E$40,Override!$B$11:$B$40,$B180,Override!$D$11:$D$40,4,Override!$C$11:$C$40,"MXAU"),Override!$F$215)/AS51!$B$3,"")))</f>
        <v/>
      </c>
      <c r="J180" s="140">
        <f>IF(J$13="","",IF($B180="","",IFERROR($C180*$D180*IF((Override!$C$4="ON")*(COUNTIFS(Override!$B$11:$B$40,$B180,Override!$D$11:$D$40,5,Override!$E$11:$E$40,"&gt;=0")-COUNTIFS(Override!$B$11:$B$40,$B180,Override!$D$11:$D$40,5,Override!$E$11:$E$40,"&gt;=0",Override!$C$11:$C$40,"MXAU"))&gt;0,SUMIFS(Override!$E$11:$E$40,Override!$B$11:$B$40,$B180,Override!$D$11:$D$40,5)-SUMIFS(Override!$E$11:$E$40,Override!$B$11:$B$40,$B180,Override!$D$11:$D$40,5,Override!$C$11:$C$40,"MXAU"),Override!$G$215)/AS51!$B$3,"")))</f>
        <v/>
      </c>
      <c r="K180" s="140">
        <f>IF(K$13="","",IF($B180="","",IFERROR($C180*$D180*IF((Override!$C$4="ON")*(COUNTIFS(Override!$B$11:$B$40,$B180,Override!$D$11:$D$40,6,Override!$E$11:$E$40,"&gt;=0")-COUNTIFS(Override!$B$11:$B$40,$B180,Override!$D$11:$D$40,6,Override!$E$11:$E$40,"&gt;=0",Override!$C$11:$C$40,"MXAU"))&gt;0,SUMIFS(Override!$E$11:$E$40,Override!$B$11:$B$40,$B180,Override!$D$11:$D$40,6)-SUMIFS(Override!$E$11:$E$40,Override!$B$11:$B$40,$B180,Override!$D$11:$D$40,6,Override!$C$11:$C$40,"MXAU"),Override!$H$215)/AS51!$B$3,"")))</f>
        <v/>
      </c>
      <c r="L180" s="140">
        <f>IF(L$13="","",IF($B180="","",IFERROR($C180*$D180*IF((Override!$C$4="ON")*(COUNTIFS(Override!$B$11:$B$40,$B180,Override!$D$11:$D$40,7,Override!$E$11:$E$40,"&gt;=0")-COUNTIFS(Override!$B$11:$B$40,$B180,Override!$D$11:$D$40,7,Override!$E$11:$E$40,"&gt;=0",Override!$C$11:$C$40,"MXAU"))&gt;0,SUMIFS(Override!$E$11:$E$40,Override!$B$11:$B$40,$B180,Override!$D$11:$D$40,7)-SUMIFS(Override!$E$11:$E$40,Override!$B$11:$B$40,$B180,Override!$D$11:$D$40,7,Override!$C$11:$C$40,"MXAU"),Override!$I$215)/AS51!$B$3,"")))</f>
        <v/>
      </c>
      <c r="M180" s="140">
        <f>IF(M$13="","",IF($B180="","",IFERROR($C180*$D180*IF((Override!$C$4="ON")*(COUNTIFS(Override!$B$11:$B$40,$B180,Override!$D$11:$D$40,8,Override!$E$11:$E$40,"&gt;=0")-COUNTIFS(Override!$B$11:$B$40,$B180,Override!$D$11:$D$40,8,Override!$E$11:$E$40,"&gt;=0",Override!$C$11:$C$40,"MXAU"))&gt;0,SUMIFS(Override!$E$11:$E$40,Override!$B$11:$B$40,$B180,Override!$D$11:$D$40,8)-SUMIFS(Override!$E$11:$E$40,Override!$B$11:$B$40,$B180,Override!$D$11:$D$40,8,Override!$C$11:$C$40,"MXAU"),Override!$J$215)/AS51!$B$3,"")))</f>
        <v/>
      </c>
      <c r="N180" s="140">
        <f>IF(N$13="","",IF($B180="","",IFERROR($C180*$D180*IF((Override!$C$4="ON")*(COUNTIFS(Override!$B$11:$B$40,$B180,Override!$D$11:$D$40,9,Override!$E$11:$E$40,"&gt;=0")-COUNTIFS(Override!$B$11:$B$40,$B180,Override!$D$11:$D$40,9,Override!$E$11:$E$40,"&gt;=0",Override!$C$11:$C$40,"MXAU"))&gt;0,SUMIFS(Override!$E$11:$E$40,Override!$B$11:$B$40,$B180,Override!$D$11:$D$40,9)-SUMIFS(Override!$E$11:$E$40,Override!$B$11:$B$40,$B180,Override!$D$11:$D$40,9,Override!$C$11:$C$40,"MXAU"),Override!$K$215)/AS51!$B$3,"")))</f>
        <v/>
      </c>
      <c r="O180" s="140">
        <f>IF(O$13="","",IF($B180="","",IFERROR($C180*$D180*IF((Override!$C$4="ON")*(COUNTIFS(Override!$B$11:$B$40,$B180,Override!$D$11:$D$40,10,Override!$E$11:$E$40,"&gt;=0")-COUNTIFS(Override!$B$11:$B$40,$B180,Override!$D$11:$D$40,10,Override!$E$11:$E$40,"&gt;=0",Override!$C$11:$C$40,"MXAU"))&gt;0,SUMIFS(Override!$E$11:$E$40,Override!$B$11:$B$40,$B180,Override!$D$11:$D$40,10)-SUMIFS(Override!$E$11:$E$40,Override!$B$11:$B$40,$B180,Override!$D$11:$D$40,10,Override!$C$11:$C$40,"MXAU"),Override!$L$215)/AS51!$B$3,"")))</f>
        <v/>
      </c>
      <c r="P180" s="140">
        <f>IF(P$13="","",IF($B180="","",IFERROR($C180*$D180*IF((Override!$C$4="ON")*(COUNTIFS(Override!$B$11:$B$40,$B180,Override!$D$11:$D$40,11,Override!$E$11:$E$40,"&gt;=0")-COUNTIFS(Override!$B$11:$B$40,$B180,Override!$D$11:$D$40,11,Override!$E$11:$E$40,"&gt;=0",Override!$C$11:$C$40,"MXAU"))&gt;0,SUMIFS(Override!$E$11:$E$40,Override!$B$11:$B$40,$B180,Override!$D$11:$D$40,11)-SUMIFS(Override!$E$11:$E$40,Override!$B$11:$B$40,$B180,Override!$D$11:$D$40,11,Override!$C$11:$C$40,"MXAU"),Override!$M$215)/AS51!$B$3,"")))</f>
        <v/>
      </c>
      <c r="Q180" s="140">
        <f>IF(Q$13="","",IF($B180="","",IFERROR($C180*$D180*IF((Override!$C$4="ON")*(COUNTIFS(Override!$B$11:$B$40,$B180,Override!$D$11:$D$40,12,Override!$E$11:$E$40,"&gt;=0")-COUNTIFS(Override!$B$11:$B$40,$B180,Override!$D$11:$D$40,12,Override!$E$11:$E$40,"&gt;=0",Override!$C$11:$C$40,"MXAU"))&gt;0,SUMIFS(Override!$E$11:$E$40,Override!$B$11:$B$40,$B180,Override!$D$11:$D$40,12)-SUMIFS(Override!$E$11:$E$40,Override!$B$11:$B$40,$B180,Override!$D$11:$D$40,12,Override!$C$11:$C$40,"MXAU"),Override!$N$215)/AS51!$B$3,"")))</f>
        <v/>
      </c>
      <c r="R180" s="140">
        <f>IF(R$13="","",IF($B180="","",IFERROR($C180*$D180*IF((Override!$C$4="ON")*(COUNTIFS(Override!$B$11:$B$40,$B180,Override!$D$11:$D$40,13,Override!$E$11:$E$40,"&gt;=0")-COUNTIFS(Override!$B$11:$B$40,$B180,Override!$D$11:$D$40,13,Override!$E$11:$E$40,"&gt;=0",Override!$C$11:$C$40,"MXAU"))&gt;0,SUMIFS(Override!$E$11:$E$40,Override!$B$11:$B$40,$B180,Override!$D$11:$D$40,13)-SUMIFS(Override!$E$11:$E$40,Override!$B$11:$B$40,$B180,Override!$D$11:$D$40,13,Override!$C$11:$C$40,"MXAU"),Override!$O$215)/AS51!$B$3,"")))</f>
        <v/>
      </c>
      <c r="S180" s="140">
        <f>IF(S$13="","",IF($B180="","",IFERROR($C180*$D180*IF((Override!$C$4="ON")*(COUNTIFS(Override!$B$11:$B$40,$B180,Override!$D$11:$D$40,14,Override!$E$11:$E$40,"&gt;=0")-COUNTIFS(Override!$B$11:$B$40,$B180,Override!$D$11:$D$40,14,Override!$E$11:$E$40,"&gt;=0",Override!$C$11:$C$40,"MXAU"))&gt;0,SUMIFS(Override!$E$11:$E$40,Override!$B$11:$B$40,$B180,Override!$D$11:$D$40,14)-SUMIFS(Override!$E$11:$E$40,Override!$B$11:$B$40,$B180,Override!$D$11:$D$40,14,Override!$C$11:$C$40,"MXAU"),Override!$P$215)/AS51!$B$3,"")))</f>
        <v/>
      </c>
      <c r="T180" s="140">
        <f>IF(T$13="","",IF($B180="","",IFERROR($C180*$D180*IF((Override!$C$4="ON")*(COUNTIFS(Override!$B$11:$B$40,$B180,Override!$D$11:$D$40,15,Override!$E$11:$E$40,"&gt;=0")-COUNTIFS(Override!$B$11:$B$40,$B180,Override!$D$11:$D$40,15,Override!$E$11:$E$40,"&gt;=0",Override!$C$11:$C$40,"MXAU"))&gt;0,SUMIFS(Override!$E$11:$E$40,Override!$B$11:$B$40,$B180,Override!$D$11:$D$40,15)-SUMIFS(Override!$E$11:$E$40,Override!$B$11:$B$40,$B180,Override!$D$11:$D$40,15,Override!$C$11:$C$40,"MXAU"),Override!$Q$215)/AS51!$B$3,"")))</f>
        <v/>
      </c>
      <c r="U180" s="140">
        <f>IF(U$13="","",IF($B180="","",IFERROR($C180*$D180*IF((Override!$C$4="ON")*(COUNTIFS(Override!$B$11:$B$40,$B180,Override!$D$11:$D$40,16,Override!$E$11:$E$40,"&gt;=0")-COUNTIFS(Override!$B$11:$B$40,$B180,Override!$D$11:$D$40,16,Override!$E$11:$E$40,"&gt;=0",Override!$C$11:$C$40,"MXAU"))&gt;0,SUMIFS(Override!$E$11:$E$40,Override!$B$11:$B$40,$B180,Override!$D$11:$D$40,16)-SUMIFS(Override!$E$11:$E$40,Override!$B$11:$B$40,$B180,Override!$D$11:$D$40,16,Override!$C$11:$C$40,"MXAU"),Override!$R$215)/AS51!$B$3,"")))</f>
        <v/>
      </c>
      <c r="W180" s="140">
        <f>IF(W$13="","",IF($B180="","",IFERROR(F180*$E180/100,"")))</f>
        <v/>
      </c>
      <c r="X180" s="140">
        <f>IF(X$13="","",IF($B180="","",IFERROR(G180*$E180/100,"")))</f>
        <v/>
      </c>
      <c r="Y180" s="140">
        <f>IF(Y$13="","",IF($B180="","",IFERROR(H180*$E180/100,"")))</f>
        <v/>
      </c>
      <c r="Z180" s="140">
        <f>IF(Z$13="","",IF($B180="","",IFERROR(I180*$E180/100,"")))</f>
        <v/>
      </c>
      <c r="AA180" s="140">
        <f>IF(AA$13="","",IF($B180="","",IFERROR(J180*$E180/100,"")))</f>
        <v/>
      </c>
      <c r="AB180" s="140">
        <f>IF(AB$13="","",IF($B180="","",IFERROR(K180*$E180/100,"")))</f>
        <v/>
      </c>
      <c r="AC180" s="140">
        <f>IF(AC$13="","",IF($B180="","",IFERROR(L180*$E180/100,"")))</f>
        <v/>
      </c>
      <c r="AD180" s="140">
        <f>IF(AD$13="","",IF($B180="","",IFERROR(M180*$E180/100,"")))</f>
        <v/>
      </c>
      <c r="AE180" s="140">
        <f>IF(AE$13="","",IF($B180="","",IFERROR(N180*$E180/100,"")))</f>
        <v/>
      </c>
      <c r="AF180" s="140">
        <f>IF(AF$13="","",IF($B180="","",IFERROR(O180*$E180/100,"")))</f>
        <v/>
      </c>
      <c r="AG180" s="140">
        <f>IF(AG$13="","",IF($B180="","",IFERROR(P180*$E180/100,"")))</f>
        <v/>
      </c>
      <c r="AH180" s="140">
        <f>IF(AH$13="","",IF($B180="","",IFERROR(Q180*$E180/100,"")))</f>
        <v/>
      </c>
      <c r="AI180" s="140">
        <f>IF(AI$13="","",IF($B180="","",IFERROR(R180*$E180/100,"")))</f>
        <v/>
      </c>
      <c r="AJ180" s="140">
        <f>IF(AJ$13="","",IF($B180="","",IFERROR(S180*$E180/100,"")))</f>
        <v/>
      </c>
      <c r="AK180" s="140">
        <f>IF(AK$13="","",IF($B180="","",IFERROR(T180*$E180/100,"")))</f>
        <v/>
      </c>
      <c r="AL180" s="140">
        <f>IF(AL$13="","",IF($B180="","",IFERROR(U180*$E180/100,"")))</f>
        <v/>
      </c>
      <c r="AN180" s="140">
        <f>IF($B180="","",SUMIF($F$13:$U$13,"&lt;="&amp;Sector!$D$51,$F180:$U180))</f>
        <v/>
      </c>
      <c r="AO180" s="140">
        <f>IF($B180="","",SUMIF($W$13:$AL$13,"&lt;="&amp;Sector!$D$51,$W180:$AL180))</f>
        <v/>
      </c>
    </row>
    <row r="181">
      <c r="B181" s="5">
        <f>IF(AS51!$C$171="","",AS51!$C$171)</f>
        <v/>
      </c>
      <c r="C181" s="90">
        <f>IF(AS51!$B$171="","",AS51!$B$171)</f>
        <v/>
      </c>
      <c r="D181" s="138">
        <f>IFERROR(AS51!$Q$171,1)</f>
        <v/>
      </c>
      <c r="E181" s="139">
        <f>IF($B181="","",IF(ISNUMBER(AS51!$I$171),AS51!$I$171,'Index Summary'!$C$7))</f>
        <v/>
      </c>
      <c r="F181" s="140">
        <f>IF(F$13="","",IF($B181="","",IFERROR($C181*$D181*IF((Override!$C$4="ON")*(COUNTIFS(Override!$B$11:$B$40,$B181,Override!$D$11:$D$40,1,Override!$E$11:$E$40,"&gt;=0")-COUNTIFS(Override!$B$11:$B$40,$B181,Override!$D$11:$D$40,1,Override!$E$11:$E$40,"&gt;=0",Override!$C$11:$C$40,"MXAU"))&gt;0,SUMIFS(Override!$E$11:$E$40,Override!$B$11:$B$40,$B181,Override!$D$11:$D$40,1)-SUMIFS(Override!$E$11:$E$40,Override!$B$11:$B$40,$B181,Override!$D$11:$D$40,1,Override!$C$11:$C$40,"MXAU"),Override!$C$216)/AS51!$B$3,"")))</f>
        <v/>
      </c>
      <c r="G181" s="140">
        <f>IF(G$13="","",IF($B181="","",IFERROR($C181*$D181*IF((Override!$C$4="ON")*(COUNTIFS(Override!$B$11:$B$40,$B181,Override!$D$11:$D$40,2,Override!$E$11:$E$40,"&gt;=0")-COUNTIFS(Override!$B$11:$B$40,$B181,Override!$D$11:$D$40,2,Override!$E$11:$E$40,"&gt;=0",Override!$C$11:$C$40,"MXAU"))&gt;0,SUMIFS(Override!$E$11:$E$40,Override!$B$11:$B$40,$B181,Override!$D$11:$D$40,2)-SUMIFS(Override!$E$11:$E$40,Override!$B$11:$B$40,$B181,Override!$D$11:$D$40,2,Override!$C$11:$C$40,"MXAU"),Override!$D$216)/AS51!$B$3,"")))</f>
        <v/>
      </c>
      <c r="H181" s="140">
        <f>IF(H$13="","",IF($B181="","",IFERROR($C181*$D181*IF((Override!$C$4="ON")*(COUNTIFS(Override!$B$11:$B$40,$B181,Override!$D$11:$D$40,3,Override!$E$11:$E$40,"&gt;=0")-COUNTIFS(Override!$B$11:$B$40,$B181,Override!$D$11:$D$40,3,Override!$E$11:$E$40,"&gt;=0",Override!$C$11:$C$40,"MXAU"))&gt;0,SUMIFS(Override!$E$11:$E$40,Override!$B$11:$B$40,$B181,Override!$D$11:$D$40,3)-SUMIFS(Override!$E$11:$E$40,Override!$B$11:$B$40,$B181,Override!$D$11:$D$40,3,Override!$C$11:$C$40,"MXAU"),Override!$E$216)/AS51!$B$3,"")))</f>
        <v/>
      </c>
      <c r="I181" s="140">
        <f>IF(I$13="","",IF($B181="","",IFERROR($C181*$D181*IF((Override!$C$4="ON")*(COUNTIFS(Override!$B$11:$B$40,$B181,Override!$D$11:$D$40,4,Override!$E$11:$E$40,"&gt;=0")-COUNTIFS(Override!$B$11:$B$40,$B181,Override!$D$11:$D$40,4,Override!$E$11:$E$40,"&gt;=0",Override!$C$11:$C$40,"MXAU"))&gt;0,SUMIFS(Override!$E$11:$E$40,Override!$B$11:$B$40,$B181,Override!$D$11:$D$40,4)-SUMIFS(Override!$E$11:$E$40,Override!$B$11:$B$40,$B181,Override!$D$11:$D$40,4,Override!$C$11:$C$40,"MXAU"),Override!$F$216)/AS51!$B$3,"")))</f>
        <v/>
      </c>
      <c r="J181" s="140">
        <f>IF(J$13="","",IF($B181="","",IFERROR($C181*$D181*IF((Override!$C$4="ON")*(COUNTIFS(Override!$B$11:$B$40,$B181,Override!$D$11:$D$40,5,Override!$E$11:$E$40,"&gt;=0")-COUNTIFS(Override!$B$11:$B$40,$B181,Override!$D$11:$D$40,5,Override!$E$11:$E$40,"&gt;=0",Override!$C$11:$C$40,"MXAU"))&gt;0,SUMIFS(Override!$E$11:$E$40,Override!$B$11:$B$40,$B181,Override!$D$11:$D$40,5)-SUMIFS(Override!$E$11:$E$40,Override!$B$11:$B$40,$B181,Override!$D$11:$D$40,5,Override!$C$11:$C$40,"MXAU"),Override!$G$216)/AS51!$B$3,"")))</f>
        <v/>
      </c>
      <c r="K181" s="140">
        <f>IF(K$13="","",IF($B181="","",IFERROR($C181*$D181*IF((Override!$C$4="ON")*(COUNTIFS(Override!$B$11:$B$40,$B181,Override!$D$11:$D$40,6,Override!$E$11:$E$40,"&gt;=0")-COUNTIFS(Override!$B$11:$B$40,$B181,Override!$D$11:$D$40,6,Override!$E$11:$E$40,"&gt;=0",Override!$C$11:$C$40,"MXAU"))&gt;0,SUMIFS(Override!$E$11:$E$40,Override!$B$11:$B$40,$B181,Override!$D$11:$D$40,6)-SUMIFS(Override!$E$11:$E$40,Override!$B$11:$B$40,$B181,Override!$D$11:$D$40,6,Override!$C$11:$C$40,"MXAU"),Override!$H$216)/AS51!$B$3,"")))</f>
        <v/>
      </c>
      <c r="L181" s="140">
        <f>IF(L$13="","",IF($B181="","",IFERROR($C181*$D181*IF((Override!$C$4="ON")*(COUNTIFS(Override!$B$11:$B$40,$B181,Override!$D$11:$D$40,7,Override!$E$11:$E$40,"&gt;=0")-COUNTIFS(Override!$B$11:$B$40,$B181,Override!$D$11:$D$40,7,Override!$E$11:$E$40,"&gt;=0",Override!$C$11:$C$40,"MXAU"))&gt;0,SUMIFS(Override!$E$11:$E$40,Override!$B$11:$B$40,$B181,Override!$D$11:$D$40,7)-SUMIFS(Override!$E$11:$E$40,Override!$B$11:$B$40,$B181,Override!$D$11:$D$40,7,Override!$C$11:$C$40,"MXAU"),Override!$I$216)/AS51!$B$3,"")))</f>
        <v/>
      </c>
      <c r="M181" s="140">
        <f>IF(M$13="","",IF($B181="","",IFERROR($C181*$D181*IF((Override!$C$4="ON")*(COUNTIFS(Override!$B$11:$B$40,$B181,Override!$D$11:$D$40,8,Override!$E$11:$E$40,"&gt;=0")-COUNTIFS(Override!$B$11:$B$40,$B181,Override!$D$11:$D$40,8,Override!$E$11:$E$40,"&gt;=0",Override!$C$11:$C$40,"MXAU"))&gt;0,SUMIFS(Override!$E$11:$E$40,Override!$B$11:$B$40,$B181,Override!$D$11:$D$40,8)-SUMIFS(Override!$E$11:$E$40,Override!$B$11:$B$40,$B181,Override!$D$11:$D$40,8,Override!$C$11:$C$40,"MXAU"),Override!$J$216)/AS51!$B$3,"")))</f>
        <v/>
      </c>
      <c r="N181" s="140">
        <f>IF(N$13="","",IF($B181="","",IFERROR($C181*$D181*IF((Override!$C$4="ON")*(COUNTIFS(Override!$B$11:$B$40,$B181,Override!$D$11:$D$40,9,Override!$E$11:$E$40,"&gt;=0")-COUNTIFS(Override!$B$11:$B$40,$B181,Override!$D$11:$D$40,9,Override!$E$11:$E$40,"&gt;=0",Override!$C$11:$C$40,"MXAU"))&gt;0,SUMIFS(Override!$E$11:$E$40,Override!$B$11:$B$40,$B181,Override!$D$11:$D$40,9)-SUMIFS(Override!$E$11:$E$40,Override!$B$11:$B$40,$B181,Override!$D$11:$D$40,9,Override!$C$11:$C$40,"MXAU"),Override!$K$216)/AS51!$B$3,"")))</f>
        <v/>
      </c>
      <c r="O181" s="140">
        <f>IF(O$13="","",IF($B181="","",IFERROR($C181*$D181*IF((Override!$C$4="ON")*(COUNTIFS(Override!$B$11:$B$40,$B181,Override!$D$11:$D$40,10,Override!$E$11:$E$40,"&gt;=0")-COUNTIFS(Override!$B$11:$B$40,$B181,Override!$D$11:$D$40,10,Override!$E$11:$E$40,"&gt;=0",Override!$C$11:$C$40,"MXAU"))&gt;0,SUMIFS(Override!$E$11:$E$40,Override!$B$11:$B$40,$B181,Override!$D$11:$D$40,10)-SUMIFS(Override!$E$11:$E$40,Override!$B$11:$B$40,$B181,Override!$D$11:$D$40,10,Override!$C$11:$C$40,"MXAU"),Override!$L$216)/AS51!$B$3,"")))</f>
        <v/>
      </c>
      <c r="P181" s="140">
        <f>IF(P$13="","",IF($B181="","",IFERROR($C181*$D181*IF((Override!$C$4="ON")*(COUNTIFS(Override!$B$11:$B$40,$B181,Override!$D$11:$D$40,11,Override!$E$11:$E$40,"&gt;=0")-COUNTIFS(Override!$B$11:$B$40,$B181,Override!$D$11:$D$40,11,Override!$E$11:$E$40,"&gt;=0",Override!$C$11:$C$40,"MXAU"))&gt;0,SUMIFS(Override!$E$11:$E$40,Override!$B$11:$B$40,$B181,Override!$D$11:$D$40,11)-SUMIFS(Override!$E$11:$E$40,Override!$B$11:$B$40,$B181,Override!$D$11:$D$40,11,Override!$C$11:$C$40,"MXAU"),Override!$M$216)/AS51!$B$3,"")))</f>
        <v/>
      </c>
      <c r="Q181" s="140">
        <f>IF(Q$13="","",IF($B181="","",IFERROR($C181*$D181*IF((Override!$C$4="ON")*(COUNTIFS(Override!$B$11:$B$40,$B181,Override!$D$11:$D$40,12,Override!$E$11:$E$40,"&gt;=0")-COUNTIFS(Override!$B$11:$B$40,$B181,Override!$D$11:$D$40,12,Override!$E$11:$E$40,"&gt;=0",Override!$C$11:$C$40,"MXAU"))&gt;0,SUMIFS(Override!$E$11:$E$40,Override!$B$11:$B$40,$B181,Override!$D$11:$D$40,12)-SUMIFS(Override!$E$11:$E$40,Override!$B$11:$B$40,$B181,Override!$D$11:$D$40,12,Override!$C$11:$C$40,"MXAU"),Override!$N$216)/AS51!$B$3,"")))</f>
        <v/>
      </c>
      <c r="R181" s="140">
        <f>IF(R$13="","",IF($B181="","",IFERROR($C181*$D181*IF((Override!$C$4="ON")*(COUNTIFS(Override!$B$11:$B$40,$B181,Override!$D$11:$D$40,13,Override!$E$11:$E$40,"&gt;=0")-COUNTIFS(Override!$B$11:$B$40,$B181,Override!$D$11:$D$40,13,Override!$E$11:$E$40,"&gt;=0",Override!$C$11:$C$40,"MXAU"))&gt;0,SUMIFS(Override!$E$11:$E$40,Override!$B$11:$B$40,$B181,Override!$D$11:$D$40,13)-SUMIFS(Override!$E$11:$E$40,Override!$B$11:$B$40,$B181,Override!$D$11:$D$40,13,Override!$C$11:$C$40,"MXAU"),Override!$O$216)/AS51!$B$3,"")))</f>
        <v/>
      </c>
      <c r="S181" s="140">
        <f>IF(S$13="","",IF($B181="","",IFERROR($C181*$D181*IF((Override!$C$4="ON")*(COUNTIFS(Override!$B$11:$B$40,$B181,Override!$D$11:$D$40,14,Override!$E$11:$E$40,"&gt;=0")-COUNTIFS(Override!$B$11:$B$40,$B181,Override!$D$11:$D$40,14,Override!$E$11:$E$40,"&gt;=0",Override!$C$11:$C$40,"MXAU"))&gt;0,SUMIFS(Override!$E$11:$E$40,Override!$B$11:$B$40,$B181,Override!$D$11:$D$40,14)-SUMIFS(Override!$E$11:$E$40,Override!$B$11:$B$40,$B181,Override!$D$11:$D$40,14,Override!$C$11:$C$40,"MXAU"),Override!$P$216)/AS51!$B$3,"")))</f>
        <v/>
      </c>
      <c r="T181" s="140">
        <f>IF(T$13="","",IF($B181="","",IFERROR($C181*$D181*IF((Override!$C$4="ON")*(COUNTIFS(Override!$B$11:$B$40,$B181,Override!$D$11:$D$40,15,Override!$E$11:$E$40,"&gt;=0")-COUNTIFS(Override!$B$11:$B$40,$B181,Override!$D$11:$D$40,15,Override!$E$11:$E$40,"&gt;=0",Override!$C$11:$C$40,"MXAU"))&gt;0,SUMIFS(Override!$E$11:$E$40,Override!$B$11:$B$40,$B181,Override!$D$11:$D$40,15)-SUMIFS(Override!$E$11:$E$40,Override!$B$11:$B$40,$B181,Override!$D$11:$D$40,15,Override!$C$11:$C$40,"MXAU"),Override!$Q$216)/AS51!$B$3,"")))</f>
        <v/>
      </c>
      <c r="U181" s="140">
        <f>IF(U$13="","",IF($B181="","",IFERROR($C181*$D181*IF((Override!$C$4="ON")*(COUNTIFS(Override!$B$11:$B$40,$B181,Override!$D$11:$D$40,16,Override!$E$11:$E$40,"&gt;=0")-COUNTIFS(Override!$B$11:$B$40,$B181,Override!$D$11:$D$40,16,Override!$E$11:$E$40,"&gt;=0",Override!$C$11:$C$40,"MXAU"))&gt;0,SUMIFS(Override!$E$11:$E$40,Override!$B$11:$B$40,$B181,Override!$D$11:$D$40,16)-SUMIFS(Override!$E$11:$E$40,Override!$B$11:$B$40,$B181,Override!$D$11:$D$40,16,Override!$C$11:$C$40,"MXAU"),Override!$R$216)/AS51!$B$3,"")))</f>
        <v/>
      </c>
      <c r="W181" s="140">
        <f>IF(W$13="","",IF($B181="","",IFERROR(F181*$E181/100,"")))</f>
        <v/>
      </c>
      <c r="X181" s="140">
        <f>IF(X$13="","",IF($B181="","",IFERROR(G181*$E181/100,"")))</f>
        <v/>
      </c>
      <c r="Y181" s="140">
        <f>IF(Y$13="","",IF($B181="","",IFERROR(H181*$E181/100,"")))</f>
        <v/>
      </c>
      <c r="Z181" s="140">
        <f>IF(Z$13="","",IF($B181="","",IFERROR(I181*$E181/100,"")))</f>
        <v/>
      </c>
      <c r="AA181" s="140">
        <f>IF(AA$13="","",IF($B181="","",IFERROR(J181*$E181/100,"")))</f>
        <v/>
      </c>
      <c r="AB181" s="140">
        <f>IF(AB$13="","",IF($B181="","",IFERROR(K181*$E181/100,"")))</f>
        <v/>
      </c>
      <c r="AC181" s="140">
        <f>IF(AC$13="","",IF($B181="","",IFERROR(L181*$E181/100,"")))</f>
        <v/>
      </c>
      <c r="AD181" s="140">
        <f>IF(AD$13="","",IF($B181="","",IFERROR(M181*$E181/100,"")))</f>
        <v/>
      </c>
      <c r="AE181" s="140">
        <f>IF(AE$13="","",IF($B181="","",IFERROR(N181*$E181/100,"")))</f>
        <v/>
      </c>
      <c r="AF181" s="140">
        <f>IF(AF$13="","",IF($B181="","",IFERROR(O181*$E181/100,"")))</f>
        <v/>
      </c>
      <c r="AG181" s="140">
        <f>IF(AG$13="","",IF($B181="","",IFERROR(P181*$E181/100,"")))</f>
        <v/>
      </c>
      <c r="AH181" s="140">
        <f>IF(AH$13="","",IF($B181="","",IFERROR(Q181*$E181/100,"")))</f>
        <v/>
      </c>
      <c r="AI181" s="140">
        <f>IF(AI$13="","",IF($B181="","",IFERROR(R181*$E181/100,"")))</f>
        <v/>
      </c>
      <c r="AJ181" s="140">
        <f>IF(AJ$13="","",IF($B181="","",IFERROR(S181*$E181/100,"")))</f>
        <v/>
      </c>
      <c r="AK181" s="140">
        <f>IF(AK$13="","",IF($B181="","",IFERROR(T181*$E181/100,"")))</f>
        <v/>
      </c>
      <c r="AL181" s="140">
        <f>IF(AL$13="","",IF($B181="","",IFERROR(U181*$E181/100,"")))</f>
        <v/>
      </c>
      <c r="AN181" s="140">
        <f>IF($B181="","",SUMIF($F$13:$U$13,"&lt;="&amp;Sector!$D$51,$F181:$U181))</f>
        <v/>
      </c>
      <c r="AO181" s="140">
        <f>IF($B181="","",SUMIF($W$13:$AL$13,"&lt;="&amp;Sector!$D$51,$W181:$AL181))</f>
        <v/>
      </c>
    </row>
    <row r="182">
      <c r="B182" s="5">
        <f>IF(AS51!$C$172="","",AS51!$C$172)</f>
        <v/>
      </c>
      <c r="C182" s="90">
        <f>IF(AS51!$B$172="","",AS51!$B$172)</f>
        <v/>
      </c>
      <c r="D182" s="138">
        <f>IFERROR(AS51!$Q$172,1)</f>
        <v/>
      </c>
      <c r="E182" s="139">
        <f>IF($B182="","",IF(ISNUMBER(AS51!$I$172),AS51!$I$172,'Index Summary'!$C$7))</f>
        <v/>
      </c>
      <c r="F182" s="140">
        <f>IF(F$13="","",IF($B182="","",IFERROR($C182*$D182*IF((Override!$C$4="ON")*(COUNTIFS(Override!$B$11:$B$40,$B182,Override!$D$11:$D$40,1,Override!$E$11:$E$40,"&gt;=0")-COUNTIFS(Override!$B$11:$B$40,$B182,Override!$D$11:$D$40,1,Override!$E$11:$E$40,"&gt;=0",Override!$C$11:$C$40,"MXAU"))&gt;0,SUMIFS(Override!$E$11:$E$40,Override!$B$11:$B$40,$B182,Override!$D$11:$D$40,1)-SUMIFS(Override!$E$11:$E$40,Override!$B$11:$B$40,$B182,Override!$D$11:$D$40,1,Override!$C$11:$C$40,"MXAU"),Override!$C$217)/AS51!$B$3,"")))</f>
        <v/>
      </c>
      <c r="G182" s="140">
        <f>IF(G$13="","",IF($B182="","",IFERROR($C182*$D182*IF((Override!$C$4="ON")*(COUNTIFS(Override!$B$11:$B$40,$B182,Override!$D$11:$D$40,2,Override!$E$11:$E$40,"&gt;=0")-COUNTIFS(Override!$B$11:$B$40,$B182,Override!$D$11:$D$40,2,Override!$E$11:$E$40,"&gt;=0",Override!$C$11:$C$40,"MXAU"))&gt;0,SUMIFS(Override!$E$11:$E$40,Override!$B$11:$B$40,$B182,Override!$D$11:$D$40,2)-SUMIFS(Override!$E$11:$E$40,Override!$B$11:$B$40,$B182,Override!$D$11:$D$40,2,Override!$C$11:$C$40,"MXAU"),Override!$D$217)/AS51!$B$3,"")))</f>
        <v/>
      </c>
      <c r="H182" s="140">
        <f>IF(H$13="","",IF($B182="","",IFERROR($C182*$D182*IF((Override!$C$4="ON")*(COUNTIFS(Override!$B$11:$B$40,$B182,Override!$D$11:$D$40,3,Override!$E$11:$E$40,"&gt;=0")-COUNTIFS(Override!$B$11:$B$40,$B182,Override!$D$11:$D$40,3,Override!$E$11:$E$40,"&gt;=0",Override!$C$11:$C$40,"MXAU"))&gt;0,SUMIFS(Override!$E$11:$E$40,Override!$B$11:$B$40,$B182,Override!$D$11:$D$40,3)-SUMIFS(Override!$E$11:$E$40,Override!$B$11:$B$40,$B182,Override!$D$11:$D$40,3,Override!$C$11:$C$40,"MXAU"),Override!$E$217)/AS51!$B$3,"")))</f>
        <v/>
      </c>
      <c r="I182" s="140">
        <f>IF(I$13="","",IF($B182="","",IFERROR($C182*$D182*IF((Override!$C$4="ON")*(COUNTIFS(Override!$B$11:$B$40,$B182,Override!$D$11:$D$40,4,Override!$E$11:$E$40,"&gt;=0")-COUNTIFS(Override!$B$11:$B$40,$B182,Override!$D$11:$D$40,4,Override!$E$11:$E$40,"&gt;=0",Override!$C$11:$C$40,"MXAU"))&gt;0,SUMIFS(Override!$E$11:$E$40,Override!$B$11:$B$40,$B182,Override!$D$11:$D$40,4)-SUMIFS(Override!$E$11:$E$40,Override!$B$11:$B$40,$B182,Override!$D$11:$D$40,4,Override!$C$11:$C$40,"MXAU"),Override!$F$217)/AS51!$B$3,"")))</f>
        <v/>
      </c>
      <c r="J182" s="140">
        <f>IF(J$13="","",IF($B182="","",IFERROR($C182*$D182*IF((Override!$C$4="ON")*(COUNTIFS(Override!$B$11:$B$40,$B182,Override!$D$11:$D$40,5,Override!$E$11:$E$40,"&gt;=0")-COUNTIFS(Override!$B$11:$B$40,$B182,Override!$D$11:$D$40,5,Override!$E$11:$E$40,"&gt;=0",Override!$C$11:$C$40,"MXAU"))&gt;0,SUMIFS(Override!$E$11:$E$40,Override!$B$11:$B$40,$B182,Override!$D$11:$D$40,5)-SUMIFS(Override!$E$11:$E$40,Override!$B$11:$B$40,$B182,Override!$D$11:$D$40,5,Override!$C$11:$C$40,"MXAU"),Override!$G$217)/AS51!$B$3,"")))</f>
        <v/>
      </c>
      <c r="K182" s="140">
        <f>IF(K$13="","",IF($B182="","",IFERROR($C182*$D182*IF((Override!$C$4="ON")*(COUNTIFS(Override!$B$11:$B$40,$B182,Override!$D$11:$D$40,6,Override!$E$11:$E$40,"&gt;=0")-COUNTIFS(Override!$B$11:$B$40,$B182,Override!$D$11:$D$40,6,Override!$E$11:$E$40,"&gt;=0",Override!$C$11:$C$40,"MXAU"))&gt;0,SUMIFS(Override!$E$11:$E$40,Override!$B$11:$B$40,$B182,Override!$D$11:$D$40,6)-SUMIFS(Override!$E$11:$E$40,Override!$B$11:$B$40,$B182,Override!$D$11:$D$40,6,Override!$C$11:$C$40,"MXAU"),Override!$H$217)/AS51!$B$3,"")))</f>
        <v/>
      </c>
      <c r="L182" s="140">
        <f>IF(L$13="","",IF($B182="","",IFERROR($C182*$D182*IF((Override!$C$4="ON")*(COUNTIFS(Override!$B$11:$B$40,$B182,Override!$D$11:$D$40,7,Override!$E$11:$E$40,"&gt;=0")-COUNTIFS(Override!$B$11:$B$40,$B182,Override!$D$11:$D$40,7,Override!$E$11:$E$40,"&gt;=0",Override!$C$11:$C$40,"MXAU"))&gt;0,SUMIFS(Override!$E$11:$E$40,Override!$B$11:$B$40,$B182,Override!$D$11:$D$40,7)-SUMIFS(Override!$E$11:$E$40,Override!$B$11:$B$40,$B182,Override!$D$11:$D$40,7,Override!$C$11:$C$40,"MXAU"),Override!$I$217)/AS51!$B$3,"")))</f>
        <v/>
      </c>
      <c r="M182" s="140">
        <f>IF(M$13="","",IF($B182="","",IFERROR($C182*$D182*IF((Override!$C$4="ON")*(COUNTIFS(Override!$B$11:$B$40,$B182,Override!$D$11:$D$40,8,Override!$E$11:$E$40,"&gt;=0")-COUNTIFS(Override!$B$11:$B$40,$B182,Override!$D$11:$D$40,8,Override!$E$11:$E$40,"&gt;=0",Override!$C$11:$C$40,"MXAU"))&gt;0,SUMIFS(Override!$E$11:$E$40,Override!$B$11:$B$40,$B182,Override!$D$11:$D$40,8)-SUMIFS(Override!$E$11:$E$40,Override!$B$11:$B$40,$B182,Override!$D$11:$D$40,8,Override!$C$11:$C$40,"MXAU"),Override!$J$217)/AS51!$B$3,"")))</f>
        <v/>
      </c>
      <c r="N182" s="140">
        <f>IF(N$13="","",IF($B182="","",IFERROR($C182*$D182*IF((Override!$C$4="ON")*(COUNTIFS(Override!$B$11:$B$40,$B182,Override!$D$11:$D$40,9,Override!$E$11:$E$40,"&gt;=0")-COUNTIFS(Override!$B$11:$B$40,$B182,Override!$D$11:$D$40,9,Override!$E$11:$E$40,"&gt;=0",Override!$C$11:$C$40,"MXAU"))&gt;0,SUMIFS(Override!$E$11:$E$40,Override!$B$11:$B$40,$B182,Override!$D$11:$D$40,9)-SUMIFS(Override!$E$11:$E$40,Override!$B$11:$B$40,$B182,Override!$D$11:$D$40,9,Override!$C$11:$C$40,"MXAU"),Override!$K$217)/AS51!$B$3,"")))</f>
        <v/>
      </c>
      <c r="O182" s="140">
        <f>IF(O$13="","",IF($B182="","",IFERROR($C182*$D182*IF((Override!$C$4="ON")*(COUNTIFS(Override!$B$11:$B$40,$B182,Override!$D$11:$D$40,10,Override!$E$11:$E$40,"&gt;=0")-COUNTIFS(Override!$B$11:$B$40,$B182,Override!$D$11:$D$40,10,Override!$E$11:$E$40,"&gt;=0",Override!$C$11:$C$40,"MXAU"))&gt;0,SUMIFS(Override!$E$11:$E$40,Override!$B$11:$B$40,$B182,Override!$D$11:$D$40,10)-SUMIFS(Override!$E$11:$E$40,Override!$B$11:$B$40,$B182,Override!$D$11:$D$40,10,Override!$C$11:$C$40,"MXAU"),Override!$L$217)/AS51!$B$3,"")))</f>
        <v/>
      </c>
      <c r="P182" s="140">
        <f>IF(P$13="","",IF($B182="","",IFERROR($C182*$D182*IF((Override!$C$4="ON")*(COUNTIFS(Override!$B$11:$B$40,$B182,Override!$D$11:$D$40,11,Override!$E$11:$E$40,"&gt;=0")-COUNTIFS(Override!$B$11:$B$40,$B182,Override!$D$11:$D$40,11,Override!$E$11:$E$40,"&gt;=0",Override!$C$11:$C$40,"MXAU"))&gt;0,SUMIFS(Override!$E$11:$E$40,Override!$B$11:$B$40,$B182,Override!$D$11:$D$40,11)-SUMIFS(Override!$E$11:$E$40,Override!$B$11:$B$40,$B182,Override!$D$11:$D$40,11,Override!$C$11:$C$40,"MXAU"),Override!$M$217)/AS51!$B$3,"")))</f>
        <v/>
      </c>
      <c r="Q182" s="140">
        <f>IF(Q$13="","",IF($B182="","",IFERROR($C182*$D182*IF((Override!$C$4="ON")*(COUNTIFS(Override!$B$11:$B$40,$B182,Override!$D$11:$D$40,12,Override!$E$11:$E$40,"&gt;=0")-COUNTIFS(Override!$B$11:$B$40,$B182,Override!$D$11:$D$40,12,Override!$E$11:$E$40,"&gt;=0",Override!$C$11:$C$40,"MXAU"))&gt;0,SUMIFS(Override!$E$11:$E$40,Override!$B$11:$B$40,$B182,Override!$D$11:$D$40,12)-SUMIFS(Override!$E$11:$E$40,Override!$B$11:$B$40,$B182,Override!$D$11:$D$40,12,Override!$C$11:$C$40,"MXAU"),Override!$N$217)/AS51!$B$3,"")))</f>
        <v/>
      </c>
      <c r="R182" s="140">
        <f>IF(R$13="","",IF($B182="","",IFERROR($C182*$D182*IF((Override!$C$4="ON")*(COUNTIFS(Override!$B$11:$B$40,$B182,Override!$D$11:$D$40,13,Override!$E$11:$E$40,"&gt;=0")-COUNTIFS(Override!$B$11:$B$40,$B182,Override!$D$11:$D$40,13,Override!$E$11:$E$40,"&gt;=0",Override!$C$11:$C$40,"MXAU"))&gt;0,SUMIFS(Override!$E$11:$E$40,Override!$B$11:$B$40,$B182,Override!$D$11:$D$40,13)-SUMIFS(Override!$E$11:$E$40,Override!$B$11:$B$40,$B182,Override!$D$11:$D$40,13,Override!$C$11:$C$40,"MXAU"),Override!$O$217)/AS51!$B$3,"")))</f>
        <v/>
      </c>
      <c r="S182" s="140">
        <f>IF(S$13="","",IF($B182="","",IFERROR($C182*$D182*IF((Override!$C$4="ON")*(COUNTIFS(Override!$B$11:$B$40,$B182,Override!$D$11:$D$40,14,Override!$E$11:$E$40,"&gt;=0")-COUNTIFS(Override!$B$11:$B$40,$B182,Override!$D$11:$D$40,14,Override!$E$11:$E$40,"&gt;=0",Override!$C$11:$C$40,"MXAU"))&gt;0,SUMIFS(Override!$E$11:$E$40,Override!$B$11:$B$40,$B182,Override!$D$11:$D$40,14)-SUMIFS(Override!$E$11:$E$40,Override!$B$11:$B$40,$B182,Override!$D$11:$D$40,14,Override!$C$11:$C$40,"MXAU"),Override!$P$217)/AS51!$B$3,"")))</f>
        <v/>
      </c>
      <c r="T182" s="140">
        <f>IF(T$13="","",IF($B182="","",IFERROR($C182*$D182*IF((Override!$C$4="ON")*(COUNTIFS(Override!$B$11:$B$40,$B182,Override!$D$11:$D$40,15,Override!$E$11:$E$40,"&gt;=0")-COUNTIFS(Override!$B$11:$B$40,$B182,Override!$D$11:$D$40,15,Override!$E$11:$E$40,"&gt;=0",Override!$C$11:$C$40,"MXAU"))&gt;0,SUMIFS(Override!$E$11:$E$40,Override!$B$11:$B$40,$B182,Override!$D$11:$D$40,15)-SUMIFS(Override!$E$11:$E$40,Override!$B$11:$B$40,$B182,Override!$D$11:$D$40,15,Override!$C$11:$C$40,"MXAU"),Override!$Q$217)/AS51!$B$3,"")))</f>
        <v/>
      </c>
      <c r="U182" s="140">
        <f>IF(U$13="","",IF($B182="","",IFERROR($C182*$D182*IF((Override!$C$4="ON")*(COUNTIFS(Override!$B$11:$B$40,$B182,Override!$D$11:$D$40,16,Override!$E$11:$E$40,"&gt;=0")-COUNTIFS(Override!$B$11:$B$40,$B182,Override!$D$11:$D$40,16,Override!$E$11:$E$40,"&gt;=0",Override!$C$11:$C$40,"MXAU"))&gt;0,SUMIFS(Override!$E$11:$E$40,Override!$B$11:$B$40,$B182,Override!$D$11:$D$40,16)-SUMIFS(Override!$E$11:$E$40,Override!$B$11:$B$40,$B182,Override!$D$11:$D$40,16,Override!$C$11:$C$40,"MXAU"),Override!$R$217)/AS51!$B$3,"")))</f>
        <v/>
      </c>
      <c r="W182" s="140">
        <f>IF(W$13="","",IF($B182="","",IFERROR(F182*$E182/100,"")))</f>
        <v/>
      </c>
      <c r="X182" s="140">
        <f>IF(X$13="","",IF($B182="","",IFERROR(G182*$E182/100,"")))</f>
        <v/>
      </c>
      <c r="Y182" s="140">
        <f>IF(Y$13="","",IF($B182="","",IFERROR(H182*$E182/100,"")))</f>
        <v/>
      </c>
      <c r="Z182" s="140">
        <f>IF(Z$13="","",IF($B182="","",IFERROR(I182*$E182/100,"")))</f>
        <v/>
      </c>
      <c r="AA182" s="140">
        <f>IF(AA$13="","",IF($B182="","",IFERROR(J182*$E182/100,"")))</f>
        <v/>
      </c>
      <c r="AB182" s="140">
        <f>IF(AB$13="","",IF($B182="","",IFERROR(K182*$E182/100,"")))</f>
        <v/>
      </c>
      <c r="AC182" s="140">
        <f>IF(AC$13="","",IF($B182="","",IFERROR(L182*$E182/100,"")))</f>
        <v/>
      </c>
      <c r="AD182" s="140">
        <f>IF(AD$13="","",IF($B182="","",IFERROR(M182*$E182/100,"")))</f>
        <v/>
      </c>
      <c r="AE182" s="140">
        <f>IF(AE$13="","",IF($B182="","",IFERROR(N182*$E182/100,"")))</f>
        <v/>
      </c>
      <c r="AF182" s="140">
        <f>IF(AF$13="","",IF($B182="","",IFERROR(O182*$E182/100,"")))</f>
        <v/>
      </c>
      <c r="AG182" s="140">
        <f>IF(AG$13="","",IF($B182="","",IFERROR(P182*$E182/100,"")))</f>
        <v/>
      </c>
      <c r="AH182" s="140">
        <f>IF(AH$13="","",IF($B182="","",IFERROR(Q182*$E182/100,"")))</f>
        <v/>
      </c>
      <c r="AI182" s="140">
        <f>IF(AI$13="","",IF($B182="","",IFERROR(R182*$E182/100,"")))</f>
        <v/>
      </c>
      <c r="AJ182" s="140">
        <f>IF(AJ$13="","",IF($B182="","",IFERROR(S182*$E182/100,"")))</f>
        <v/>
      </c>
      <c r="AK182" s="140">
        <f>IF(AK$13="","",IF($B182="","",IFERROR(T182*$E182/100,"")))</f>
        <v/>
      </c>
      <c r="AL182" s="140">
        <f>IF(AL$13="","",IF($B182="","",IFERROR(U182*$E182/100,"")))</f>
        <v/>
      </c>
      <c r="AN182" s="140">
        <f>IF($B182="","",SUMIF($F$13:$U$13,"&lt;="&amp;Sector!$D$51,$F182:$U182))</f>
        <v/>
      </c>
      <c r="AO182" s="140">
        <f>IF($B182="","",SUMIF($W$13:$AL$13,"&lt;="&amp;Sector!$D$51,$W182:$AL182))</f>
        <v/>
      </c>
    </row>
    <row r="183">
      <c r="B183" s="5">
        <f>IF(AS51!$C$173="","",AS51!$C$173)</f>
        <v/>
      </c>
      <c r="C183" s="90">
        <f>IF(AS51!$B$173="","",AS51!$B$173)</f>
        <v/>
      </c>
      <c r="D183" s="138">
        <f>IFERROR(AS51!$Q$173,1)</f>
        <v/>
      </c>
      <c r="E183" s="139">
        <f>IF($B183="","",IF(ISNUMBER(AS51!$I$173),AS51!$I$173,'Index Summary'!$C$7))</f>
        <v/>
      </c>
      <c r="F183" s="140">
        <f>IF(F$13="","",IF($B183="","",IFERROR($C183*$D183*IF((Override!$C$4="ON")*(COUNTIFS(Override!$B$11:$B$40,$B183,Override!$D$11:$D$40,1,Override!$E$11:$E$40,"&gt;=0")-COUNTIFS(Override!$B$11:$B$40,$B183,Override!$D$11:$D$40,1,Override!$E$11:$E$40,"&gt;=0",Override!$C$11:$C$40,"MXAU"))&gt;0,SUMIFS(Override!$E$11:$E$40,Override!$B$11:$B$40,$B183,Override!$D$11:$D$40,1)-SUMIFS(Override!$E$11:$E$40,Override!$B$11:$B$40,$B183,Override!$D$11:$D$40,1,Override!$C$11:$C$40,"MXAU"),Override!$C$218)/AS51!$B$3,"")))</f>
        <v/>
      </c>
      <c r="G183" s="140">
        <f>IF(G$13="","",IF($B183="","",IFERROR($C183*$D183*IF((Override!$C$4="ON")*(COUNTIFS(Override!$B$11:$B$40,$B183,Override!$D$11:$D$40,2,Override!$E$11:$E$40,"&gt;=0")-COUNTIFS(Override!$B$11:$B$40,$B183,Override!$D$11:$D$40,2,Override!$E$11:$E$40,"&gt;=0",Override!$C$11:$C$40,"MXAU"))&gt;0,SUMIFS(Override!$E$11:$E$40,Override!$B$11:$B$40,$B183,Override!$D$11:$D$40,2)-SUMIFS(Override!$E$11:$E$40,Override!$B$11:$B$40,$B183,Override!$D$11:$D$40,2,Override!$C$11:$C$40,"MXAU"),Override!$D$218)/AS51!$B$3,"")))</f>
        <v/>
      </c>
      <c r="H183" s="140">
        <f>IF(H$13="","",IF($B183="","",IFERROR($C183*$D183*IF((Override!$C$4="ON")*(COUNTIFS(Override!$B$11:$B$40,$B183,Override!$D$11:$D$40,3,Override!$E$11:$E$40,"&gt;=0")-COUNTIFS(Override!$B$11:$B$40,$B183,Override!$D$11:$D$40,3,Override!$E$11:$E$40,"&gt;=0",Override!$C$11:$C$40,"MXAU"))&gt;0,SUMIFS(Override!$E$11:$E$40,Override!$B$11:$B$40,$B183,Override!$D$11:$D$40,3)-SUMIFS(Override!$E$11:$E$40,Override!$B$11:$B$40,$B183,Override!$D$11:$D$40,3,Override!$C$11:$C$40,"MXAU"),Override!$E$218)/AS51!$B$3,"")))</f>
        <v/>
      </c>
      <c r="I183" s="140">
        <f>IF(I$13="","",IF($B183="","",IFERROR($C183*$D183*IF((Override!$C$4="ON")*(COUNTIFS(Override!$B$11:$B$40,$B183,Override!$D$11:$D$40,4,Override!$E$11:$E$40,"&gt;=0")-COUNTIFS(Override!$B$11:$B$40,$B183,Override!$D$11:$D$40,4,Override!$E$11:$E$40,"&gt;=0",Override!$C$11:$C$40,"MXAU"))&gt;0,SUMIFS(Override!$E$11:$E$40,Override!$B$11:$B$40,$B183,Override!$D$11:$D$40,4)-SUMIFS(Override!$E$11:$E$40,Override!$B$11:$B$40,$B183,Override!$D$11:$D$40,4,Override!$C$11:$C$40,"MXAU"),Override!$F$218)/AS51!$B$3,"")))</f>
        <v/>
      </c>
      <c r="J183" s="140">
        <f>IF(J$13="","",IF($B183="","",IFERROR($C183*$D183*IF((Override!$C$4="ON")*(COUNTIFS(Override!$B$11:$B$40,$B183,Override!$D$11:$D$40,5,Override!$E$11:$E$40,"&gt;=0")-COUNTIFS(Override!$B$11:$B$40,$B183,Override!$D$11:$D$40,5,Override!$E$11:$E$40,"&gt;=0",Override!$C$11:$C$40,"MXAU"))&gt;0,SUMIFS(Override!$E$11:$E$40,Override!$B$11:$B$40,$B183,Override!$D$11:$D$40,5)-SUMIFS(Override!$E$11:$E$40,Override!$B$11:$B$40,$B183,Override!$D$11:$D$40,5,Override!$C$11:$C$40,"MXAU"),Override!$G$218)/AS51!$B$3,"")))</f>
        <v/>
      </c>
      <c r="K183" s="140">
        <f>IF(K$13="","",IF($B183="","",IFERROR($C183*$D183*IF((Override!$C$4="ON")*(COUNTIFS(Override!$B$11:$B$40,$B183,Override!$D$11:$D$40,6,Override!$E$11:$E$40,"&gt;=0")-COUNTIFS(Override!$B$11:$B$40,$B183,Override!$D$11:$D$40,6,Override!$E$11:$E$40,"&gt;=0",Override!$C$11:$C$40,"MXAU"))&gt;0,SUMIFS(Override!$E$11:$E$40,Override!$B$11:$B$40,$B183,Override!$D$11:$D$40,6)-SUMIFS(Override!$E$11:$E$40,Override!$B$11:$B$40,$B183,Override!$D$11:$D$40,6,Override!$C$11:$C$40,"MXAU"),Override!$H$218)/AS51!$B$3,"")))</f>
        <v/>
      </c>
      <c r="L183" s="140">
        <f>IF(L$13="","",IF($B183="","",IFERROR($C183*$D183*IF((Override!$C$4="ON")*(COUNTIFS(Override!$B$11:$B$40,$B183,Override!$D$11:$D$40,7,Override!$E$11:$E$40,"&gt;=0")-COUNTIFS(Override!$B$11:$B$40,$B183,Override!$D$11:$D$40,7,Override!$E$11:$E$40,"&gt;=0",Override!$C$11:$C$40,"MXAU"))&gt;0,SUMIFS(Override!$E$11:$E$40,Override!$B$11:$B$40,$B183,Override!$D$11:$D$40,7)-SUMIFS(Override!$E$11:$E$40,Override!$B$11:$B$40,$B183,Override!$D$11:$D$40,7,Override!$C$11:$C$40,"MXAU"),Override!$I$218)/AS51!$B$3,"")))</f>
        <v/>
      </c>
      <c r="M183" s="140">
        <f>IF(M$13="","",IF($B183="","",IFERROR($C183*$D183*IF((Override!$C$4="ON")*(COUNTIFS(Override!$B$11:$B$40,$B183,Override!$D$11:$D$40,8,Override!$E$11:$E$40,"&gt;=0")-COUNTIFS(Override!$B$11:$B$40,$B183,Override!$D$11:$D$40,8,Override!$E$11:$E$40,"&gt;=0",Override!$C$11:$C$40,"MXAU"))&gt;0,SUMIFS(Override!$E$11:$E$40,Override!$B$11:$B$40,$B183,Override!$D$11:$D$40,8)-SUMIFS(Override!$E$11:$E$40,Override!$B$11:$B$40,$B183,Override!$D$11:$D$40,8,Override!$C$11:$C$40,"MXAU"),Override!$J$218)/AS51!$B$3,"")))</f>
        <v/>
      </c>
      <c r="N183" s="140">
        <f>IF(N$13="","",IF($B183="","",IFERROR($C183*$D183*IF((Override!$C$4="ON")*(COUNTIFS(Override!$B$11:$B$40,$B183,Override!$D$11:$D$40,9,Override!$E$11:$E$40,"&gt;=0")-COUNTIFS(Override!$B$11:$B$40,$B183,Override!$D$11:$D$40,9,Override!$E$11:$E$40,"&gt;=0",Override!$C$11:$C$40,"MXAU"))&gt;0,SUMIFS(Override!$E$11:$E$40,Override!$B$11:$B$40,$B183,Override!$D$11:$D$40,9)-SUMIFS(Override!$E$11:$E$40,Override!$B$11:$B$40,$B183,Override!$D$11:$D$40,9,Override!$C$11:$C$40,"MXAU"),Override!$K$218)/AS51!$B$3,"")))</f>
        <v/>
      </c>
      <c r="O183" s="140">
        <f>IF(O$13="","",IF($B183="","",IFERROR($C183*$D183*IF((Override!$C$4="ON")*(COUNTIFS(Override!$B$11:$B$40,$B183,Override!$D$11:$D$40,10,Override!$E$11:$E$40,"&gt;=0")-COUNTIFS(Override!$B$11:$B$40,$B183,Override!$D$11:$D$40,10,Override!$E$11:$E$40,"&gt;=0",Override!$C$11:$C$40,"MXAU"))&gt;0,SUMIFS(Override!$E$11:$E$40,Override!$B$11:$B$40,$B183,Override!$D$11:$D$40,10)-SUMIFS(Override!$E$11:$E$40,Override!$B$11:$B$40,$B183,Override!$D$11:$D$40,10,Override!$C$11:$C$40,"MXAU"),Override!$L$218)/AS51!$B$3,"")))</f>
        <v/>
      </c>
      <c r="P183" s="140">
        <f>IF(P$13="","",IF($B183="","",IFERROR($C183*$D183*IF((Override!$C$4="ON")*(COUNTIFS(Override!$B$11:$B$40,$B183,Override!$D$11:$D$40,11,Override!$E$11:$E$40,"&gt;=0")-COUNTIFS(Override!$B$11:$B$40,$B183,Override!$D$11:$D$40,11,Override!$E$11:$E$40,"&gt;=0",Override!$C$11:$C$40,"MXAU"))&gt;0,SUMIFS(Override!$E$11:$E$40,Override!$B$11:$B$40,$B183,Override!$D$11:$D$40,11)-SUMIFS(Override!$E$11:$E$40,Override!$B$11:$B$40,$B183,Override!$D$11:$D$40,11,Override!$C$11:$C$40,"MXAU"),Override!$M$218)/AS51!$B$3,"")))</f>
        <v/>
      </c>
      <c r="Q183" s="140">
        <f>IF(Q$13="","",IF($B183="","",IFERROR($C183*$D183*IF((Override!$C$4="ON")*(COUNTIFS(Override!$B$11:$B$40,$B183,Override!$D$11:$D$40,12,Override!$E$11:$E$40,"&gt;=0")-COUNTIFS(Override!$B$11:$B$40,$B183,Override!$D$11:$D$40,12,Override!$E$11:$E$40,"&gt;=0",Override!$C$11:$C$40,"MXAU"))&gt;0,SUMIFS(Override!$E$11:$E$40,Override!$B$11:$B$40,$B183,Override!$D$11:$D$40,12)-SUMIFS(Override!$E$11:$E$40,Override!$B$11:$B$40,$B183,Override!$D$11:$D$40,12,Override!$C$11:$C$40,"MXAU"),Override!$N$218)/AS51!$B$3,"")))</f>
        <v/>
      </c>
      <c r="R183" s="140">
        <f>IF(R$13="","",IF($B183="","",IFERROR($C183*$D183*IF((Override!$C$4="ON")*(COUNTIFS(Override!$B$11:$B$40,$B183,Override!$D$11:$D$40,13,Override!$E$11:$E$40,"&gt;=0")-COUNTIFS(Override!$B$11:$B$40,$B183,Override!$D$11:$D$40,13,Override!$E$11:$E$40,"&gt;=0",Override!$C$11:$C$40,"MXAU"))&gt;0,SUMIFS(Override!$E$11:$E$40,Override!$B$11:$B$40,$B183,Override!$D$11:$D$40,13)-SUMIFS(Override!$E$11:$E$40,Override!$B$11:$B$40,$B183,Override!$D$11:$D$40,13,Override!$C$11:$C$40,"MXAU"),Override!$O$218)/AS51!$B$3,"")))</f>
        <v/>
      </c>
      <c r="S183" s="140">
        <f>IF(S$13="","",IF($B183="","",IFERROR($C183*$D183*IF((Override!$C$4="ON")*(COUNTIFS(Override!$B$11:$B$40,$B183,Override!$D$11:$D$40,14,Override!$E$11:$E$40,"&gt;=0")-COUNTIFS(Override!$B$11:$B$40,$B183,Override!$D$11:$D$40,14,Override!$E$11:$E$40,"&gt;=0",Override!$C$11:$C$40,"MXAU"))&gt;0,SUMIFS(Override!$E$11:$E$40,Override!$B$11:$B$40,$B183,Override!$D$11:$D$40,14)-SUMIFS(Override!$E$11:$E$40,Override!$B$11:$B$40,$B183,Override!$D$11:$D$40,14,Override!$C$11:$C$40,"MXAU"),Override!$P$218)/AS51!$B$3,"")))</f>
        <v/>
      </c>
      <c r="T183" s="140">
        <f>IF(T$13="","",IF($B183="","",IFERROR($C183*$D183*IF((Override!$C$4="ON")*(COUNTIFS(Override!$B$11:$B$40,$B183,Override!$D$11:$D$40,15,Override!$E$11:$E$40,"&gt;=0")-COUNTIFS(Override!$B$11:$B$40,$B183,Override!$D$11:$D$40,15,Override!$E$11:$E$40,"&gt;=0",Override!$C$11:$C$40,"MXAU"))&gt;0,SUMIFS(Override!$E$11:$E$40,Override!$B$11:$B$40,$B183,Override!$D$11:$D$40,15)-SUMIFS(Override!$E$11:$E$40,Override!$B$11:$B$40,$B183,Override!$D$11:$D$40,15,Override!$C$11:$C$40,"MXAU"),Override!$Q$218)/AS51!$B$3,"")))</f>
        <v/>
      </c>
      <c r="U183" s="140">
        <f>IF(U$13="","",IF($B183="","",IFERROR($C183*$D183*IF((Override!$C$4="ON")*(COUNTIFS(Override!$B$11:$B$40,$B183,Override!$D$11:$D$40,16,Override!$E$11:$E$40,"&gt;=0")-COUNTIFS(Override!$B$11:$B$40,$B183,Override!$D$11:$D$40,16,Override!$E$11:$E$40,"&gt;=0",Override!$C$11:$C$40,"MXAU"))&gt;0,SUMIFS(Override!$E$11:$E$40,Override!$B$11:$B$40,$B183,Override!$D$11:$D$40,16)-SUMIFS(Override!$E$11:$E$40,Override!$B$11:$B$40,$B183,Override!$D$11:$D$40,16,Override!$C$11:$C$40,"MXAU"),Override!$R$218)/AS51!$B$3,"")))</f>
        <v/>
      </c>
      <c r="W183" s="140">
        <f>IF(W$13="","",IF($B183="","",IFERROR(F183*$E183/100,"")))</f>
        <v/>
      </c>
      <c r="X183" s="140">
        <f>IF(X$13="","",IF($B183="","",IFERROR(G183*$E183/100,"")))</f>
        <v/>
      </c>
      <c r="Y183" s="140">
        <f>IF(Y$13="","",IF($B183="","",IFERROR(H183*$E183/100,"")))</f>
        <v/>
      </c>
      <c r="Z183" s="140">
        <f>IF(Z$13="","",IF($B183="","",IFERROR(I183*$E183/100,"")))</f>
        <v/>
      </c>
      <c r="AA183" s="140">
        <f>IF(AA$13="","",IF($B183="","",IFERROR(J183*$E183/100,"")))</f>
        <v/>
      </c>
      <c r="AB183" s="140">
        <f>IF(AB$13="","",IF($B183="","",IFERROR(K183*$E183/100,"")))</f>
        <v/>
      </c>
      <c r="AC183" s="140">
        <f>IF(AC$13="","",IF($B183="","",IFERROR(L183*$E183/100,"")))</f>
        <v/>
      </c>
      <c r="AD183" s="140">
        <f>IF(AD$13="","",IF($B183="","",IFERROR(M183*$E183/100,"")))</f>
        <v/>
      </c>
      <c r="AE183" s="140">
        <f>IF(AE$13="","",IF($B183="","",IFERROR(N183*$E183/100,"")))</f>
        <v/>
      </c>
      <c r="AF183" s="140">
        <f>IF(AF$13="","",IF($B183="","",IFERROR(O183*$E183/100,"")))</f>
        <v/>
      </c>
      <c r="AG183" s="140">
        <f>IF(AG$13="","",IF($B183="","",IFERROR(P183*$E183/100,"")))</f>
        <v/>
      </c>
      <c r="AH183" s="140">
        <f>IF(AH$13="","",IF($B183="","",IFERROR(Q183*$E183/100,"")))</f>
        <v/>
      </c>
      <c r="AI183" s="140">
        <f>IF(AI$13="","",IF($B183="","",IFERROR(R183*$E183/100,"")))</f>
        <v/>
      </c>
      <c r="AJ183" s="140">
        <f>IF(AJ$13="","",IF($B183="","",IFERROR(S183*$E183/100,"")))</f>
        <v/>
      </c>
      <c r="AK183" s="140">
        <f>IF(AK$13="","",IF($B183="","",IFERROR(T183*$E183/100,"")))</f>
        <v/>
      </c>
      <c r="AL183" s="140">
        <f>IF(AL$13="","",IF($B183="","",IFERROR(U183*$E183/100,"")))</f>
        <v/>
      </c>
      <c r="AN183" s="140">
        <f>IF($B183="","",SUMIF($F$13:$U$13,"&lt;="&amp;Sector!$D$51,$F183:$U183))</f>
        <v/>
      </c>
      <c r="AO183" s="140">
        <f>IF($B183="","",SUMIF($W$13:$AL$13,"&lt;="&amp;Sector!$D$51,$W183:$AL183))</f>
        <v/>
      </c>
    </row>
    <row r="184">
      <c r="B184" s="5">
        <f>IF(AS51!$C$174="","",AS51!$C$174)</f>
        <v/>
      </c>
      <c r="C184" s="90">
        <f>IF(AS51!$B$174="","",AS51!$B$174)</f>
        <v/>
      </c>
      <c r="D184" s="138">
        <f>IFERROR(AS51!$Q$174,1)</f>
        <v/>
      </c>
      <c r="E184" s="139">
        <f>IF($B184="","",IF(ISNUMBER(AS51!$I$174),AS51!$I$174,'Index Summary'!$C$7))</f>
        <v/>
      </c>
      <c r="F184" s="140">
        <f>IF(F$13="","",IF($B184="","",IFERROR($C184*$D184*IF((Override!$C$4="ON")*(COUNTIFS(Override!$B$11:$B$40,$B184,Override!$D$11:$D$40,1,Override!$E$11:$E$40,"&gt;=0")-COUNTIFS(Override!$B$11:$B$40,$B184,Override!$D$11:$D$40,1,Override!$E$11:$E$40,"&gt;=0",Override!$C$11:$C$40,"MXAU"))&gt;0,SUMIFS(Override!$E$11:$E$40,Override!$B$11:$B$40,$B184,Override!$D$11:$D$40,1)-SUMIFS(Override!$E$11:$E$40,Override!$B$11:$B$40,$B184,Override!$D$11:$D$40,1,Override!$C$11:$C$40,"MXAU"),Override!$C$219)/AS51!$B$3,"")))</f>
        <v/>
      </c>
      <c r="G184" s="140">
        <f>IF(G$13="","",IF($B184="","",IFERROR($C184*$D184*IF((Override!$C$4="ON")*(COUNTIFS(Override!$B$11:$B$40,$B184,Override!$D$11:$D$40,2,Override!$E$11:$E$40,"&gt;=0")-COUNTIFS(Override!$B$11:$B$40,$B184,Override!$D$11:$D$40,2,Override!$E$11:$E$40,"&gt;=0",Override!$C$11:$C$40,"MXAU"))&gt;0,SUMIFS(Override!$E$11:$E$40,Override!$B$11:$B$40,$B184,Override!$D$11:$D$40,2)-SUMIFS(Override!$E$11:$E$40,Override!$B$11:$B$40,$B184,Override!$D$11:$D$40,2,Override!$C$11:$C$40,"MXAU"),Override!$D$219)/AS51!$B$3,"")))</f>
        <v/>
      </c>
      <c r="H184" s="140">
        <f>IF(H$13="","",IF($B184="","",IFERROR($C184*$D184*IF((Override!$C$4="ON")*(COUNTIFS(Override!$B$11:$B$40,$B184,Override!$D$11:$D$40,3,Override!$E$11:$E$40,"&gt;=0")-COUNTIFS(Override!$B$11:$B$40,$B184,Override!$D$11:$D$40,3,Override!$E$11:$E$40,"&gt;=0",Override!$C$11:$C$40,"MXAU"))&gt;0,SUMIFS(Override!$E$11:$E$40,Override!$B$11:$B$40,$B184,Override!$D$11:$D$40,3)-SUMIFS(Override!$E$11:$E$40,Override!$B$11:$B$40,$B184,Override!$D$11:$D$40,3,Override!$C$11:$C$40,"MXAU"),Override!$E$219)/AS51!$B$3,"")))</f>
        <v/>
      </c>
      <c r="I184" s="140">
        <f>IF(I$13="","",IF($B184="","",IFERROR($C184*$D184*IF((Override!$C$4="ON")*(COUNTIFS(Override!$B$11:$B$40,$B184,Override!$D$11:$D$40,4,Override!$E$11:$E$40,"&gt;=0")-COUNTIFS(Override!$B$11:$B$40,$B184,Override!$D$11:$D$40,4,Override!$E$11:$E$40,"&gt;=0",Override!$C$11:$C$40,"MXAU"))&gt;0,SUMIFS(Override!$E$11:$E$40,Override!$B$11:$B$40,$B184,Override!$D$11:$D$40,4)-SUMIFS(Override!$E$11:$E$40,Override!$B$11:$B$40,$B184,Override!$D$11:$D$40,4,Override!$C$11:$C$40,"MXAU"),Override!$F$219)/AS51!$B$3,"")))</f>
        <v/>
      </c>
      <c r="J184" s="140">
        <f>IF(J$13="","",IF($B184="","",IFERROR($C184*$D184*IF((Override!$C$4="ON")*(COUNTIFS(Override!$B$11:$B$40,$B184,Override!$D$11:$D$40,5,Override!$E$11:$E$40,"&gt;=0")-COUNTIFS(Override!$B$11:$B$40,$B184,Override!$D$11:$D$40,5,Override!$E$11:$E$40,"&gt;=0",Override!$C$11:$C$40,"MXAU"))&gt;0,SUMIFS(Override!$E$11:$E$40,Override!$B$11:$B$40,$B184,Override!$D$11:$D$40,5)-SUMIFS(Override!$E$11:$E$40,Override!$B$11:$B$40,$B184,Override!$D$11:$D$40,5,Override!$C$11:$C$40,"MXAU"),Override!$G$219)/AS51!$B$3,"")))</f>
        <v/>
      </c>
      <c r="K184" s="140">
        <f>IF(K$13="","",IF($B184="","",IFERROR($C184*$D184*IF((Override!$C$4="ON")*(COUNTIFS(Override!$B$11:$B$40,$B184,Override!$D$11:$D$40,6,Override!$E$11:$E$40,"&gt;=0")-COUNTIFS(Override!$B$11:$B$40,$B184,Override!$D$11:$D$40,6,Override!$E$11:$E$40,"&gt;=0",Override!$C$11:$C$40,"MXAU"))&gt;0,SUMIFS(Override!$E$11:$E$40,Override!$B$11:$B$40,$B184,Override!$D$11:$D$40,6)-SUMIFS(Override!$E$11:$E$40,Override!$B$11:$B$40,$B184,Override!$D$11:$D$40,6,Override!$C$11:$C$40,"MXAU"),Override!$H$219)/AS51!$B$3,"")))</f>
        <v/>
      </c>
      <c r="L184" s="140">
        <f>IF(L$13="","",IF($B184="","",IFERROR($C184*$D184*IF((Override!$C$4="ON")*(COUNTIFS(Override!$B$11:$B$40,$B184,Override!$D$11:$D$40,7,Override!$E$11:$E$40,"&gt;=0")-COUNTIFS(Override!$B$11:$B$40,$B184,Override!$D$11:$D$40,7,Override!$E$11:$E$40,"&gt;=0",Override!$C$11:$C$40,"MXAU"))&gt;0,SUMIFS(Override!$E$11:$E$40,Override!$B$11:$B$40,$B184,Override!$D$11:$D$40,7)-SUMIFS(Override!$E$11:$E$40,Override!$B$11:$B$40,$B184,Override!$D$11:$D$40,7,Override!$C$11:$C$40,"MXAU"),Override!$I$219)/AS51!$B$3,"")))</f>
        <v/>
      </c>
      <c r="M184" s="140">
        <f>IF(M$13="","",IF($B184="","",IFERROR($C184*$D184*IF((Override!$C$4="ON")*(COUNTIFS(Override!$B$11:$B$40,$B184,Override!$D$11:$D$40,8,Override!$E$11:$E$40,"&gt;=0")-COUNTIFS(Override!$B$11:$B$40,$B184,Override!$D$11:$D$40,8,Override!$E$11:$E$40,"&gt;=0",Override!$C$11:$C$40,"MXAU"))&gt;0,SUMIFS(Override!$E$11:$E$40,Override!$B$11:$B$40,$B184,Override!$D$11:$D$40,8)-SUMIFS(Override!$E$11:$E$40,Override!$B$11:$B$40,$B184,Override!$D$11:$D$40,8,Override!$C$11:$C$40,"MXAU"),Override!$J$219)/AS51!$B$3,"")))</f>
        <v/>
      </c>
      <c r="N184" s="140">
        <f>IF(N$13="","",IF($B184="","",IFERROR($C184*$D184*IF((Override!$C$4="ON")*(COUNTIFS(Override!$B$11:$B$40,$B184,Override!$D$11:$D$40,9,Override!$E$11:$E$40,"&gt;=0")-COUNTIFS(Override!$B$11:$B$40,$B184,Override!$D$11:$D$40,9,Override!$E$11:$E$40,"&gt;=0",Override!$C$11:$C$40,"MXAU"))&gt;0,SUMIFS(Override!$E$11:$E$40,Override!$B$11:$B$40,$B184,Override!$D$11:$D$40,9)-SUMIFS(Override!$E$11:$E$40,Override!$B$11:$B$40,$B184,Override!$D$11:$D$40,9,Override!$C$11:$C$40,"MXAU"),Override!$K$219)/AS51!$B$3,"")))</f>
        <v/>
      </c>
      <c r="O184" s="140">
        <f>IF(O$13="","",IF($B184="","",IFERROR($C184*$D184*IF((Override!$C$4="ON")*(COUNTIFS(Override!$B$11:$B$40,$B184,Override!$D$11:$D$40,10,Override!$E$11:$E$40,"&gt;=0")-COUNTIFS(Override!$B$11:$B$40,$B184,Override!$D$11:$D$40,10,Override!$E$11:$E$40,"&gt;=0",Override!$C$11:$C$40,"MXAU"))&gt;0,SUMIFS(Override!$E$11:$E$40,Override!$B$11:$B$40,$B184,Override!$D$11:$D$40,10)-SUMIFS(Override!$E$11:$E$40,Override!$B$11:$B$40,$B184,Override!$D$11:$D$40,10,Override!$C$11:$C$40,"MXAU"),Override!$L$219)/AS51!$B$3,"")))</f>
        <v/>
      </c>
      <c r="P184" s="140">
        <f>IF(P$13="","",IF($B184="","",IFERROR($C184*$D184*IF((Override!$C$4="ON")*(COUNTIFS(Override!$B$11:$B$40,$B184,Override!$D$11:$D$40,11,Override!$E$11:$E$40,"&gt;=0")-COUNTIFS(Override!$B$11:$B$40,$B184,Override!$D$11:$D$40,11,Override!$E$11:$E$40,"&gt;=0",Override!$C$11:$C$40,"MXAU"))&gt;0,SUMIFS(Override!$E$11:$E$40,Override!$B$11:$B$40,$B184,Override!$D$11:$D$40,11)-SUMIFS(Override!$E$11:$E$40,Override!$B$11:$B$40,$B184,Override!$D$11:$D$40,11,Override!$C$11:$C$40,"MXAU"),Override!$M$219)/AS51!$B$3,"")))</f>
        <v/>
      </c>
      <c r="Q184" s="140">
        <f>IF(Q$13="","",IF($B184="","",IFERROR($C184*$D184*IF((Override!$C$4="ON")*(COUNTIFS(Override!$B$11:$B$40,$B184,Override!$D$11:$D$40,12,Override!$E$11:$E$40,"&gt;=0")-COUNTIFS(Override!$B$11:$B$40,$B184,Override!$D$11:$D$40,12,Override!$E$11:$E$40,"&gt;=0",Override!$C$11:$C$40,"MXAU"))&gt;0,SUMIFS(Override!$E$11:$E$40,Override!$B$11:$B$40,$B184,Override!$D$11:$D$40,12)-SUMIFS(Override!$E$11:$E$40,Override!$B$11:$B$40,$B184,Override!$D$11:$D$40,12,Override!$C$11:$C$40,"MXAU"),Override!$N$219)/AS51!$B$3,"")))</f>
        <v/>
      </c>
      <c r="R184" s="140">
        <f>IF(R$13="","",IF($B184="","",IFERROR($C184*$D184*IF((Override!$C$4="ON")*(COUNTIFS(Override!$B$11:$B$40,$B184,Override!$D$11:$D$40,13,Override!$E$11:$E$40,"&gt;=0")-COUNTIFS(Override!$B$11:$B$40,$B184,Override!$D$11:$D$40,13,Override!$E$11:$E$40,"&gt;=0",Override!$C$11:$C$40,"MXAU"))&gt;0,SUMIFS(Override!$E$11:$E$40,Override!$B$11:$B$40,$B184,Override!$D$11:$D$40,13)-SUMIFS(Override!$E$11:$E$40,Override!$B$11:$B$40,$B184,Override!$D$11:$D$40,13,Override!$C$11:$C$40,"MXAU"),Override!$O$219)/AS51!$B$3,"")))</f>
        <v/>
      </c>
      <c r="S184" s="140">
        <f>IF(S$13="","",IF($B184="","",IFERROR($C184*$D184*IF((Override!$C$4="ON")*(COUNTIFS(Override!$B$11:$B$40,$B184,Override!$D$11:$D$40,14,Override!$E$11:$E$40,"&gt;=0")-COUNTIFS(Override!$B$11:$B$40,$B184,Override!$D$11:$D$40,14,Override!$E$11:$E$40,"&gt;=0",Override!$C$11:$C$40,"MXAU"))&gt;0,SUMIFS(Override!$E$11:$E$40,Override!$B$11:$B$40,$B184,Override!$D$11:$D$40,14)-SUMIFS(Override!$E$11:$E$40,Override!$B$11:$B$40,$B184,Override!$D$11:$D$40,14,Override!$C$11:$C$40,"MXAU"),Override!$P$219)/AS51!$B$3,"")))</f>
        <v/>
      </c>
      <c r="T184" s="140">
        <f>IF(T$13="","",IF($B184="","",IFERROR($C184*$D184*IF((Override!$C$4="ON")*(COUNTIFS(Override!$B$11:$B$40,$B184,Override!$D$11:$D$40,15,Override!$E$11:$E$40,"&gt;=0")-COUNTIFS(Override!$B$11:$B$40,$B184,Override!$D$11:$D$40,15,Override!$E$11:$E$40,"&gt;=0",Override!$C$11:$C$40,"MXAU"))&gt;0,SUMIFS(Override!$E$11:$E$40,Override!$B$11:$B$40,$B184,Override!$D$11:$D$40,15)-SUMIFS(Override!$E$11:$E$40,Override!$B$11:$B$40,$B184,Override!$D$11:$D$40,15,Override!$C$11:$C$40,"MXAU"),Override!$Q$219)/AS51!$B$3,"")))</f>
        <v/>
      </c>
      <c r="U184" s="140">
        <f>IF(U$13="","",IF($B184="","",IFERROR($C184*$D184*IF((Override!$C$4="ON")*(COUNTIFS(Override!$B$11:$B$40,$B184,Override!$D$11:$D$40,16,Override!$E$11:$E$40,"&gt;=0")-COUNTIFS(Override!$B$11:$B$40,$B184,Override!$D$11:$D$40,16,Override!$E$11:$E$40,"&gt;=0",Override!$C$11:$C$40,"MXAU"))&gt;0,SUMIFS(Override!$E$11:$E$40,Override!$B$11:$B$40,$B184,Override!$D$11:$D$40,16)-SUMIFS(Override!$E$11:$E$40,Override!$B$11:$B$40,$B184,Override!$D$11:$D$40,16,Override!$C$11:$C$40,"MXAU"),Override!$R$219)/AS51!$B$3,"")))</f>
        <v/>
      </c>
      <c r="W184" s="140">
        <f>IF(W$13="","",IF($B184="","",IFERROR(F184*$E184/100,"")))</f>
        <v/>
      </c>
      <c r="X184" s="140">
        <f>IF(X$13="","",IF($B184="","",IFERROR(G184*$E184/100,"")))</f>
        <v/>
      </c>
      <c r="Y184" s="140">
        <f>IF(Y$13="","",IF($B184="","",IFERROR(H184*$E184/100,"")))</f>
        <v/>
      </c>
      <c r="Z184" s="140">
        <f>IF(Z$13="","",IF($B184="","",IFERROR(I184*$E184/100,"")))</f>
        <v/>
      </c>
      <c r="AA184" s="140">
        <f>IF(AA$13="","",IF($B184="","",IFERROR(J184*$E184/100,"")))</f>
        <v/>
      </c>
      <c r="AB184" s="140">
        <f>IF(AB$13="","",IF($B184="","",IFERROR(K184*$E184/100,"")))</f>
        <v/>
      </c>
      <c r="AC184" s="140">
        <f>IF(AC$13="","",IF($B184="","",IFERROR(L184*$E184/100,"")))</f>
        <v/>
      </c>
      <c r="AD184" s="140">
        <f>IF(AD$13="","",IF($B184="","",IFERROR(M184*$E184/100,"")))</f>
        <v/>
      </c>
      <c r="AE184" s="140">
        <f>IF(AE$13="","",IF($B184="","",IFERROR(N184*$E184/100,"")))</f>
        <v/>
      </c>
      <c r="AF184" s="140">
        <f>IF(AF$13="","",IF($B184="","",IFERROR(O184*$E184/100,"")))</f>
        <v/>
      </c>
      <c r="AG184" s="140">
        <f>IF(AG$13="","",IF($B184="","",IFERROR(P184*$E184/100,"")))</f>
        <v/>
      </c>
      <c r="AH184" s="140">
        <f>IF(AH$13="","",IF($B184="","",IFERROR(Q184*$E184/100,"")))</f>
        <v/>
      </c>
      <c r="AI184" s="140">
        <f>IF(AI$13="","",IF($B184="","",IFERROR(R184*$E184/100,"")))</f>
        <v/>
      </c>
      <c r="AJ184" s="140">
        <f>IF(AJ$13="","",IF($B184="","",IFERROR(S184*$E184/100,"")))</f>
        <v/>
      </c>
      <c r="AK184" s="140">
        <f>IF(AK$13="","",IF($B184="","",IFERROR(T184*$E184/100,"")))</f>
        <v/>
      </c>
      <c r="AL184" s="140">
        <f>IF(AL$13="","",IF($B184="","",IFERROR(U184*$E184/100,"")))</f>
        <v/>
      </c>
      <c r="AN184" s="140">
        <f>IF($B184="","",SUMIF($F$13:$U$13,"&lt;="&amp;Sector!$D$51,$F184:$U184))</f>
        <v/>
      </c>
      <c r="AO184" s="140">
        <f>IF($B184="","",SUMIF($W$13:$AL$13,"&lt;="&amp;Sector!$D$51,$W184:$AL184))</f>
        <v/>
      </c>
    </row>
    <row r="185">
      <c r="B185" s="5">
        <f>IF(AS51!$C$175="","",AS51!$C$175)</f>
        <v/>
      </c>
      <c r="C185" s="90">
        <f>IF(AS51!$B$175="","",AS51!$B$175)</f>
        <v/>
      </c>
      <c r="D185" s="138">
        <f>IFERROR(AS51!$Q$175,1)</f>
        <v/>
      </c>
      <c r="E185" s="139">
        <f>IF($B185="","",IF(ISNUMBER(AS51!$I$175),AS51!$I$175,'Index Summary'!$C$7))</f>
        <v/>
      </c>
      <c r="F185" s="140">
        <f>IF(F$13="","",IF($B185="","",IFERROR($C185*$D185*IF((Override!$C$4="ON")*(COUNTIFS(Override!$B$11:$B$40,$B185,Override!$D$11:$D$40,1,Override!$E$11:$E$40,"&gt;=0")-COUNTIFS(Override!$B$11:$B$40,$B185,Override!$D$11:$D$40,1,Override!$E$11:$E$40,"&gt;=0",Override!$C$11:$C$40,"MXAU"))&gt;0,SUMIFS(Override!$E$11:$E$40,Override!$B$11:$B$40,$B185,Override!$D$11:$D$40,1)-SUMIFS(Override!$E$11:$E$40,Override!$B$11:$B$40,$B185,Override!$D$11:$D$40,1,Override!$C$11:$C$40,"MXAU"),Override!$C$220)/AS51!$B$3,"")))</f>
        <v/>
      </c>
      <c r="G185" s="140">
        <f>IF(G$13="","",IF($B185="","",IFERROR($C185*$D185*IF((Override!$C$4="ON")*(COUNTIFS(Override!$B$11:$B$40,$B185,Override!$D$11:$D$40,2,Override!$E$11:$E$40,"&gt;=0")-COUNTIFS(Override!$B$11:$B$40,$B185,Override!$D$11:$D$40,2,Override!$E$11:$E$40,"&gt;=0",Override!$C$11:$C$40,"MXAU"))&gt;0,SUMIFS(Override!$E$11:$E$40,Override!$B$11:$B$40,$B185,Override!$D$11:$D$40,2)-SUMIFS(Override!$E$11:$E$40,Override!$B$11:$B$40,$B185,Override!$D$11:$D$40,2,Override!$C$11:$C$40,"MXAU"),Override!$D$220)/AS51!$B$3,"")))</f>
        <v/>
      </c>
      <c r="H185" s="140">
        <f>IF(H$13="","",IF($B185="","",IFERROR($C185*$D185*IF((Override!$C$4="ON")*(COUNTIFS(Override!$B$11:$B$40,$B185,Override!$D$11:$D$40,3,Override!$E$11:$E$40,"&gt;=0")-COUNTIFS(Override!$B$11:$B$40,$B185,Override!$D$11:$D$40,3,Override!$E$11:$E$40,"&gt;=0",Override!$C$11:$C$40,"MXAU"))&gt;0,SUMIFS(Override!$E$11:$E$40,Override!$B$11:$B$40,$B185,Override!$D$11:$D$40,3)-SUMIFS(Override!$E$11:$E$40,Override!$B$11:$B$40,$B185,Override!$D$11:$D$40,3,Override!$C$11:$C$40,"MXAU"),Override!$E$220)/AS51!$B$3,"")))</f>
        <v/>
      </c>
      <c r="I185" s="140">
        <f>IF(I$13="","",IF($B185="","",IFERROR($C185*$D185*IF((Override!$C$4="ON")*(COUNTIFS(Override!$B$11:$B$40,$B185,Override!$D$11:$D$40,4,Override!$E$11:$E$40,"&gt;=0")-COUNTIFS(Override!$B$11:$B$40,$B185,Override!$D$11:$D$40,4,Override!$E$11:$E$40,"&gt;=0",Override!$C$11:$C$40,"MXAU"))&gt;0,SUMIFS(Override!$E$11:$E$40,Override!$B$11:$B$40,$B185,Override!$D$11:$D$40,4)-SUMIFS(Override!$E$11:$E$40,Override!$B$11:$B$40,$B185,Override!$D$11:$D$40,4,Override!$C$11:$C$40,"MXAU"),Override!$F$220)/AS51!$B$3,"")))</f>
        <v/>
      </c>
      <c r="J185" s="140">
        <f>IF(J$13="","",IF($B185="","",IFERROR($C185*$D185*IF((Override!$C$4="ON")*(COUNTIFS(Override!$B$11:$B$40,$B185,Override!$D$11:$D$40,5,Override!$E$11:$E$40,"&gt;=0")-COUNTIFS(Override!$B$11:$B$40,$B185,Override!$D$11:$D$40,5,Override!$E$11:$E$40,"&gt;=0",Override!$C$11:$C$40,"MXAU"))&gt;0,SUMIFS(Override!$E$11:$E$40,Override!$B$11:$B$40,$B185,Override!$D$11:$D$40,5)-SUMIFS(Override!$E$11:$E$40,Override!$B$11:$B$40,$B185,Override!$D$11:$D$40,5,Override!$C$11:$C$40,"MXAU"),Override!$G$220)/AS51!$B$3,"")))</f>
        <v/>
      </c>
      <c r="K185" s="140">
        <f>IF(K$13="","",IF($B185="","",IFERROR($C185*$D185*IF((Override!$C$4="ON")*(COUNTIFS(Override!$B$11:$B$40,$B185,Override!$D$11:$D$40,6,Override!$E$11:$E$40,"&gt;=0")-COUNTIFS(Override!$B$11:$B$40,$B185,Override!$D$11:$D$40,6,Override!$E$11:$E$40,"&gt;=0",Override!$C$11:$C$40,"MXAU"))&gt;0,SUMIFS(Override!$E$11:$E$40,Override!$B$11:$B$40,$B185,Override!$D$11:$D$40,6)-SUMIFS(Override!$E$11:$E$40,Override!$B$11:$B$40,$B185,Override!$D$11:$D$40,6,Override!$C$11:$C$40,"MXAU"),Override!$H$220)/AS51!$B$3,"")))</f>
        <v/>
      </c>
      <c r="L185" s="140">
        <f>IF(L$13="","",IF($B185="","",IFERROR($C185*$D185*IF((Override!$C$4="ON")*(COUNTIFS(Override!$B$11:$B$40,$B185,Override!$D$11:$D$40,7,Override!$E$11:$E$40,"&gt;=0")-COUNTIFS(Override!$B$11:$B$40,$B185,Override!$D$11:$D$40,7,Override!$E$11:$E$40,"&gt;=0",Override!$C$11:$C$40,"MXAU"))&gt;0,SUMIFS(Override!$E$11:$E$40,Override!$B$11:$B$40,$B185,Override!$D$11:$D$40,7)-SUMIFS(Override!$E$11:$E$40,Override!$B$11:$B$40,$B185,Override!$D$11:$D$40,7,Override!$C$11:$C$40,"MXAU"),Override!$I$220)/AS51!$B$3,"")))</f>
        <v/>
      </c>
      <c r="M185" s="140">
        <f>IF(M$13="","",IF($B185="","",IFERROR($C185*$D185*IF((Override!$C$4="ON")*(COUNTIFS(Override!$B$11:$B$40,$B185,Override!$D$11:$D$40,8,Override!$E$11:$E$40,"&gt;=0")-COUNTIFS(Override!$B$11:$B$40,$B185,Override!$D$11:$D$40,8,Override!$E$11:$E$40,"&gt;=0",Override!$C$11:$C$40,"MXAU"))&gt;0,SUMIFS(Override!$E$11:$E$40,Override!$B$11:$B$40,$B185,Override!$D$11:$D$40,8)-SUMIFS(Override!$E$11:$E$40,Override!$B$11:$B$40,$B185,Override!$D$11:$D$40,8,Override!$C$11:$C$40,"MXAU"),Override!$J$220)/AS51!$B$3,"")))</f>
        <v/>
      </c>
      <c r="N185" s="140">
        <f>IF(N$13="","",IF($B185="","",IFERROR($C185*$D185*IF((Override!$C$4="ON")*(COUNTIFS(Override!$B$11:$B$40,$B185,Override!$D$11:$D$40,9,Override!$E$11:$E$40,"&gt;=0")-COUNTIFS(Override!$B$11:$B$40,$B185,Override!$D$11:$D$40,9,Override!$E$11:$E$40,"&gt;=0",Override!$C$11:$C$40,"MXAU"))&gt;0,SUMIFS(Override!$E$11:$E$40,Override!$B$11:$B$40,$B185,Override!$D$11:$D$40,9)-SUMIFS(Override!$E$11:$E$40,Override!$B$11:$B$40,$B185,Override!$D$11:$D$40,9,Override!$C$11:$C$40,"MXAU"),Override!$K$220)/AS51!$B$3,"")))</f>
        <v/>
      </c>
      <c r="O185" s="140">
        <f>IF(O$13="","",IF($B185="","",IFERROR($C185*$D185*IF((Override!$C$4="ON")*(COUNTIFS(Override!$B$11:$B$40,$B185,Override!$D$11:$D$40,10,Override!$E$11:$E$40,"&gt;=0")-COUNTIFS(Override!$B$11:$B$40,$B185,Override!$D$11:$D$40,10,Override!$E$11:$E$40,"&gt;=0",Override!$C$11:$C$40,"MXAU"))&gt;0,SUMIFS(Override!$E$11:$E$40,Override!$B$11:$B$40,$B185,Override!$D$11:$D$40,10)-SUMIFS(Override!$E$11:$E$40,Override!$B$11:$B$40,$B185,Override!$D$11:$D$40,10,Override!$C$11:$C$40,"MXAU"),Override!$L$220)/AS51!$B$3,"")))</f>
        <v/>
      </c>
      <c r="P185" s="140">
        <f>IF(P$13="","",IF($B185="","",IFERROR($C185*$D185*IF((Override!$C$4="ON")*(COUNTIFS(Override!$B$11:$B$40,$B185,Override!$D$11:$D$40,11,Override!$E$11:$E$40,"&gt;=0")-COUNTIFS(Override!$B$11:$B$40,$B185,Override!$D$11:$D$40,11,Override!$E$11:$E$40,"&gt;=0",Override!$C$11:$C$40,"MXAU"))&gt;0,SUMIFS(Override!$E$11:$E$40,Override!$B$11:$B$40,$B185,Override!$D$11:$D$40,11)-SUMIFS(Override!$E$11:$E$40,Override!$B$11:$B$40,$B185,Override!$D$11:$D$40,11,Override!$C$11:$C$40,"MXAU"),Override!$M$220)/AS51!$B$3,"")))</f>
        <v/>
      </c>
      <c r="Q185" s="140">
        <f>IF(Q$13="","",IF($B185="","",IFERROR($C185*$D185*IF((Override!$C$4="ON")*(COUNTIFS(Override!$B$11:$B$40,$B185,Override!$D$11:$D$40,12,Override!$E$11:$E$40,"&gt;=0")-COUNTIFS(Override!$B$11:$B$40,$B185,Override!$D$11:$D$40,12,Override!$E$11:$E$40,"&gt;=0",Override!$C$11:$C$40,"MXAU"))&gt;0,SUMIFS(Override!$E$11:$E$40,Override!$B$11:$B$40,$B185,Override!$D$11:$D$40,12)-SUMIFS(Override!$E$11:$E$40,Override!$B$11:$B$40,$B185,Override!$D$11:$D$40,12,Override!$C$11:$C$40,"MXAU"),Override!$N$220)/AS51!$B$3,"")))</f>
        <v/>
      </c>
      <c r="R185" s="140">
        <f>IF(R$13="","",IF($B185="","",IFERROR($C185*$D185*IF((Override!$C$4="ON")*(COUNTIFS(Override!$B$11:$B$40,$B185,Override!$D$11:$D$40,13,Override!$E$11:$E$40,"&gt;=0")-COUNTIFS(Override!$B$11:$B$40,$B185,Override!$D$11:$D$40,13,Override!$E$11:$E$40,"&gt;=0",Override!$C$11:$C$40,"MXAU"))&gt;0,SUMIFS(Override!$E$11:$E$40,Override!$B$11:$B$40,$B185,Override!$D$11:$D$40,13)-SUMIFS(Override!$E$11:$E$40,Override!$B$11:$B$40,$B185,Override!$D$11:$D$40,13,Override!$C$11:$C$40,"MXAU"),Override!$O$220)/AS51!$B$3,"")))</f>
        <v/>
      </c>
      <c r="S185" s="140">
        <f>IF(S$13="","",IF($B185="","",IFERROR($C185*$D185*IF((Override!$C$4="ON")*(COUNTIFS(Override!$B$11:$B$40,$B185,Override!$D$11:$D$40,14,Override!$E$11:$E$40,"&gt;=0")-COUNTIFS(Override!$B$11:$B$40,$B185,Override!$D$11:$D$40,14,Override!$E$11:$E$40,"&gt;=0",Override!$C$11:$C$40,"MXAU"))&gt;0,SUMIFS(Override!$E$11:$E$40,Override!$B$11:$B$40,$B185,Override!$D$11:$D$40,14)-SUMIFS(Override!$E$11:$E$40,Override!$B$11:$B$40,$B185,Override!$D$11:$D$40,14,Override!$C$11:$C$40,"MXAU"),Override!$P$220)/AS51!$B$3,"")))</f>
        <v/>
      </c>
      <c r="T185" s="140">
        <f>IF(T$13="","",IF($B185="","",IFERROR($C185*$D185*IF((Override!$C$4="ON")*(COUNTIFS(Override!$B$11:$B$40,$B185,Override!$D$11:$D$40,15,Override!$E$11:$E$40,"&gt;=0")-COUNTIFS(Override!$B$11:$B$40,$B185,Override!$D$11:$D$40,15,Override!$E$11:$E$40,"&gt;=0",Override!$C$11:$C$40,"MXAU"))&gt;0,SUMIFS(Override!$E$11:$E$40,Override!$B$11:$B$40,$B185,Override!$D$11:$D$40,15)-SUMIFS(Override!$E$11:$E$40,Override!$B$11:$B$40,$B185,Override!$D$11:$D$40,15,Override!$C$11:$C$40,"MXAU"),Override!$Q$220)/AS51!$B$3,"")))</f>
        <v/>
      </c>
      <c r="U185" s="140">
        <f>IF(U$13="","",IF($B185="","",IFERROR($C185*$D185*IF((Override!$C$4="ON")*(COUNTIFS(Override!$B$11:$B$40,$B185,Override!$D$11:$D$40,16,Override!$E$11:$E$40,"&gt;=0")-COUNTIFS(Override!$B$11:$B$40,$B185,Override!$D$11:$D$40,16,Override!$E$11:$E$40,"&gt;=0",Override!$C$11:$C$40,"MXAU"))&gt;0,SUMIFS(Override!$E$11:$E$40,Override!$B$11:$B$40,$B185,Override!$D$11:$D$40,16)-SUMIFS(Override!$E$11:$E$40,Override!$B$11:$B$40,$B185,Override!$D$11:$D$40,16,Override!$C$11:$C$40,"MXAU"),Override!$R$220)/AS51!$B$3,"")))</f>
        <v/>
      </c>
      <c r="W185" s="140">
        <f>IF(W$13="","",IF($B185="","",IFERROR(F185*$E185/100,"")))</f>
        <v/>
      </c>
      <c r="X185" s="140">
        <f>IF(X$13="","",IF($B185="","",IFERROR(G185*$E185/100,"")))</f>
        <v/>
      </c>
      <c r="Y185" s="140">
        <f>IF(Y$13="","",IF($B185="","",IFERROR(H185*$E185/100,"")))</f>
        <v/>
      </c>
      <c r="Z185" s="140">
        <f>IF(Z$13="","",IF($B185="","",IFERROR(I185*$E185/100,"")))</f>
        <v/>
      </c>
      <c r="AA185" s="140">
        <f>IF(AA$13="","",IF($B185="","",IFERROR(J185*$E185/100,"")))</f>
        <v/>
      </c>
      <c r="AB185" s="140">
        <f>IF(AB$13="","",IF($B185="","",IFERROR(K185*$E185/100,"")))</f>
        <v/>
      </c>
      <c r="AC185" s="140">
        <f>IF(AC$13="","",IF($B185="","",IFERROR(L185*$E185/100,"")))</f>
        <v/>
      </c>
      <c r="AD185" s="140">
        <f>IF(AD$13="","",IF($B185="","",IFERROR(M185*$E185/100,"")))</f>
        <v/>
      </c>
      <c r="AE185" s="140">
        <f>IF(AE$13="","",IF($B185="","",IFERROR(N185*$E185/100,"")))</f>
        <v/>
      </c>
      <c r="AF185" s="140">
        <f>IF(AF$13="","",IF($B185="","",IFERROR(O185*$E185/100,"")))</f>
        <v/>
      </c>
      <c r="AG185" s="140">
        <f>IF(AG$13="","",IF($B185="","",IFERROR(P185*$E185/100,"")))</f>
        <v/>
      </c>
      <c r="AH185" s="140">
        <f>IF(AH$13="","",IF($B185="","",IFERROR(Q185*$E185/100,"")))</f>
        <v/>
      </c>
      <c r="AI185" s="140">
        <f>IF(AI$13="","",IF($B185="","",IFERROR(R185*$E185/100,"")))</f>
        <v/>
      </c>
      <c r="AJ185" s="140">
        <f>IF(AJ$13="","",IF($B185="","",IFERROR(S185*$E185/100,"")))</f>
        <v/>
      </c>
      <c r="AK185" s="140">
        <f>IF(AK$13="","",IF($B185="","",IFERROR(T185*$E185/100,"")))</f>
        <v/>
      </c>
      <c r="AL185" s="140">
        <f>IF(AL$13="","",IF($B185="","",IFERROR(U185*$E185/100,"")))</f>
        <v/>
      </c>
      <c r="AN185" s="140">
        <f>IF($B185="","",SUMIF($F$13:$U$13,"&lt;="&amp;Sector!$D$51,$F185:$U185))</f>
        <v/>
      </c>
      <c r="AO185" s="140">
        <f>IF($B185="","",SUMIF($W$13:$AL$13,"&lt;="&amp;Sector!$D$51,$W185:$AL185))</f>
        <v/>
      </c>
    </row>
    <row r="186">
      <c r="B186" s="5">
        <f>IF(AS51!$C$176="","",AS51!$C$176)</f>
        <v/>
      </c>
      <c r="C186" s="90">
        <f>IF(AS51!$B$176="","",AS51!$B$176)</f>
        <v/>
      </c>
      <c r="D186" s="138">
        <f>IFERROR(AS51!$Q$176,1)</f>
        <v/>
      </c>
      <c r="E186" s="139">
        <f>IF($B186="","",IF(ISNUMBER(AS51!$I$176),AS51!$I$176,'Index Summary'!$C$7))</f>
        <v/>
      </c>
      <c r="F186" s="140">
        <f>IF(F$13="","",IF($B186="","",IFERROR($C186*$D186*IF((Override!$C$4="ON")*(COUNTIFS(Override!$B$11:$B$40,$B186,Override!$D$11:$D$40,1,Override!$E$11:$E$40,"&gt;=0")-COUNTIFS(Override!$B$11:$B$40,$B186,Override!$D$11:$D$40,1,Override!$E$11:$E$40,"&gt;=0",Override!$C$11:$C$40,"MXAU"))&gt;0,SUMIFS(Override!$E$11:$E$40,Override!$B$11:$B$40,$B186,Override!$D$11:$D$40,1)-SUMIFS(Override!$E$11:$E$40,Override!$B$11:$B$40,$B186,Override!$D$11:$D$40,1,Override!$C$11:$C$40,"MXAU"),Override!$C$221)/AS51!$B$3,"")))</f>
        <v/>
      </c>
      <c r="G186" s="140">
        <f>IF(G$13="","",IF($B186="","",IFERROR($C186*$D186*IF((Override!$C$4="ON")*(COUNTIFS(Override!$B$11:$B$40,$B186,Override!$D$11:$D$40,2,Override!$E$11:$E$40,"&gt;=0")-COUNTIFS(Override!$B$11:$B$40,$B186,Override!$D$11:$D$40,2,Override!$E$11:$E$40,"&gt;=0",Override!$C$11:$C$40,"MXAU"))&gt;0,SUMIFS(Override!$E$11:$E$40,Override!$B$11:$B$40,$B186,Override!$D$11:$D$40,2)-SUMIFS(Override!$E$11:$E$40,Override!$B$11:$B$40,$B186,Override!$D$11:$D$40,2,Override!$C$11:$C$40,"MXAU"),Override!$D$221)/AS51!$B$3,"")))</f>
        <v/>
      </c>
      <c r="H186" s="140">
        <f>IF(H$13="","",IF($B186="","",IFERROR($C186*$D186*IF((Override!$C$4="ON")*(COUNTIFS(Override!$B$11:$B$40,$B186,Override!$D$11:$D$40,3,Override!$E$11:$E$40,"&gt;=0")-COUNTIFS(Override!$B$11:$B$40,$B186,Override!$D$11:$D$40,3,Override!$E$11:$E$40,"&gt;=0",Override!$C$11:$C$40,"MXAU"))&gt;0,SUMIFS(Override!$E$11:$E$40,Override!$B$11:$B$40,$B186,Override!$D$11:$D$40,3)-SUMIFS(Override!$E$11:$E$40,Override!$B$11:$B$40,$B186,Override!$D$11:$D$40,3,Override!$C$11:$C$40,"MXAU"),Override!$E$221)/AS51!$B$3,"")))</f>
        <v/>
      </c>
      <c r="I186" s="140">
        <f>IF(I$13="","",IF($B186="","",IFERROR($C186*$D186*IF((Override!$C$4="ON")*(COUNTIFS(Override!$B$11:$B$40,$B186,Override!$D$11:$D$40,4,Override!$E$11:$E$40,"&gt;=0")-COUNTIFS(Override!$B$11:$B$40,$B186,Override!$D$11:$D$40,4,Override!$E$11:$E$40,"&gt;=0",Override!$C$11:$C$40,"MXAU"))&gt;0,SUMIFS(Override!$E$11:$E$40,Override!$B$11:$B$40,$B186,Override!$D$11:$D$40,4)-SUMIFS(Override!$E$11:$E$40,Override!$B$11:$B$40,$B186,Override!$D$11:$D$40,4,Override!$C$11:$C$40,"MXAU"),Override!$F$221)/AS51!$B$3,"")))</f>
        <v/>
      </c>
      <c r="J186" s="140">
        <f>IF(J$13="","",IF($B186="","",IFERROR($C186*$D186*IF((Override!$C$4="ON")*(COUNTIFS(Override!$B$11:$B$40,$B186,Override!$D$11:$D$40,5,Override!$E$11:$E$40,"&gt;=0")-COUNTIFS(Override!$B$11:$B$40,$B186,Override!$D$11:$D$40,5,Override!$E$11:$E$40,"&gt;=0",Override!$C$11:$C$40,"MXAU"))&gt;0,SUMIFS(Override!$E$11:$E$40,Override!$B$11:$B$40,$B186,Override!$D$11:$D$40,5)-SUMIFS(Override!$E$11:$E$40,Override!$B$11:$B$40,$B186,Override!$D$11:$D$40,5,Override!$C$11:$C$40,"MXAU"),Override!$G$221)/AS51!$B$3,"")))</f>
        <v/>
      </c>
      <c r="K186" s="140">
        <f>IF(K$13="","",IF($B186="","",IFERROR($C186*$D186*IF((Override!$C$4="ON")*(COUNTIFS(Override!$B$11:$B$40,$B186,Override!$D$11:$D$40,6,Override!$E$11:$E$40,"&gt;=0")-COUNTIFS(Override!$B$11:$B$40,$B186,Override!$D$11:$D$40,6,Override!$E$11:$E$40,"&gt;=0",Override!$C$11:$C$40,"MXAU"))&gt;0,SUMIFS(Override!$E$11:$E$40,Override!$B$11:$B$40,$B186,Override!$D$11:$D$40,6)-SUMIFS(Override!$E$11:$E$40,Override!$B$11:$B$40,$B186,Override!$D$11:$D$40,6,Override!$C$11:$C$40,"MXAU"),Override!$H$221)/AS51!$B$3,"")))</f>
        <v/>
      </c>
      <c r="L186" s="140">
        <f>IF(L$13="","",IF($B186="","",IFERROR($C186*$D186*IF((Override!$C$4="ON")*(COUNTIFS(Override!$B$11:$B$40,$B186,Override!$D$11:$D$40,7,Override!$E$11:$E$40,"&gt;=0")-COUNTIFS(Override!$B$11:$B$40,$B186,Override!$D$11:$D$40,7,Override!$E$11:$E$40,"&gt;=0",Override!$C$11:$C$40,"MXAU"))&gt;0,SUMIFS(Override!$E$11:$E$40,Override!$B$11:$B$40,$B186,Override!$D$11:$D$40,7)-SUMIFS(Override!$E$11:$E$40,Override!$B$11:$B$40,$B186,Override!$D$11:$D$40,7,Override!$C$11:$C$40,"MXAU"),Override!$I$221)/AS51!$B$3,"")))</f>
        <v/>
      </c>
      <c r="M186" s="140">
        <f>IF(M$13="","",IF($B186="","",IFERROR($C186*$D186*IF((Override!$C$4="ON")*(COUNTIFS(Override!$B$11:$B$40,$B186,Override!$D$11:$D$40,8,Override!$E$11:$E$40,"&gt;=0")-COUNTIFS(Override!$B$11:$B$40,$B186,Override!$D$11:$D$40,8,Override!$E$11:$E$40,"&gt;=0",Override!$C$11:$C$40,"MXAU"))&gt;0,SUMIFS(Override!$E$11:$E$40,Override!$B$11:$B$40,$B186,Override!$D$11:$D$40,8)-SUMIFS(Override!$E$11:$E$40,Override!$B$11:$B$40,$B186,Override!$D$11:$D$40,8,Override!$C$11:$C$40,"MXAU"),Override!$J$221)/AS51!$B$3,"")))</f>
        <v/>
      </c>
      <c r="N186" s="140">
        <f>IF(N$13="","",IF($B186="","",IFERROR($C186*$D186*IF((Override!$C$4="ON")*(COUNTIFS(Override!$B$11:$B$40,$B186,Override!$D$11:$D$40,9,Override!$E$11:$E$40,"&gt;=0")-COUNTIFS(Override!$B$11:$B$40,$B186,Override!$D$11:$D$40,9,Override!$E$11:$E$40,"&gt;=0",Override!$C$11:$C$40,"MXAU"))&gt;0,SUMIFS(Override!$E$11:$E$40,Override!$B$11:$B$40,$B186,Override!$D$11:$D$40,9)-SUMIFS(Override!$E$11:$E$40,Override!$B$11:$B$40,$B186,Override!$D$11:$D$40,9,Override!$C$11:$C$40,"MXAU"),Override!$K$221)/AS51!$B$3,"")))</f>
        <v/>
      </c>
      <c r="O186" s="140">
        <f>IF(O$13="","",IF($B186="","",IFERROR($C186*$D186*IF((Override!$C$4="ON")*(COUNTIFS(Override!$B$11:$B$40,$B186,Override!$D$11:$D$40,10,Override!$E$11:$E$40,"&gt;=0")-COUNTIFS(Override!$B$11:$B$40,$B186,Override!$D$11:$D$40,10,Override!$E$11:$E$40,"&gt;=0",Override!$C$11:$C$40,"MXAU"))&gt;0,SUMIFS(Override!$E$11:$E$40,Override!$B$11:$B$40,$B186,Override!$D$11:$D$40,10)-SUMIFS(Override!$E$11:$E$40,Override!$B$11:$B$40,$B186,Override!$D$11:$D$40,10,Override!$C$11:$C$40,"MXAU"),Override!$L$221)/AS51!$B$3,"")))</f>
        <v/>
      </c>
      <c r="P186" s="140">
        <f>IF(P$13="","",IF($B186="","",IFERROR($C186*$D186*IF((Override!$C$4="ON")*(COUNTIFS(Override!$B$11:$B$40,$B186,Override!$D$11:$D$40,11,Override!$E$11:$E$40,"&gt;=0")-COUNTIFS(Override!$B$11:$B$40,$B186,Override!$D$11:$D$40,11,Override!$E$11:$E$40,"&gt;=0",Override!$C$11:$C$40,"MXAU"))&gt;0,SUMIFS(Override!$E$11:$E$40,Override!$B$11:$B$40,$B186,Override!$D$11:$D$40,11)-SUMIFS(Override!$E$11:$E$40,Override!$B$11:$B$40,$B186,Override!$D$11:$D$40,11,Override!$C$11:$C$40,"MXAU"),Override!$M$221)/AS51!$B$3,"")))</f>
        <v/>
      </c>
      <c r="Q186" s="140">
        <f>IF(Q$13="","",IF($B186="","",IFERROR($C186*$D186*IF((Override!$C$4="ON")*(COUNTIFS(Override!$B$11:$B$40,$B186,Override!$D$11:$D$40,12,Override!$E$11:$E$40,"&gt;=0")-COUNTIFS(Override!$B$11:$B$40,$B186,Override!$D$11:$D$40,12,Override!$E$11:$E$40,"&gt;=0",Override!$C$11:$C$40,"MXAU"))&gt;0,SUMIFS(Override!$E$11:$E$40,Override!$B$11:$B$40,$B186,Override!$D$11:$D$40,12)-SUMIFS(Override!$E$11:$E$40,Override!$B$11:$B$40,$B186,Override!$D$11:$D$40,12,Override!$C$11:$C$40,"MXAU"),Override!$N$221)/AS51!$B$3,"")))</f>
        <v/>
      </c>
      <c r="R186" s="140">
        <f>IF(R$13="","",IF($B186="","",IFERROR($C186*$D186*IF((Override!$C$4="ON")*(COUNTIFS(Override!$B$11:$B$40,$B186,Override!$D$11:$D$40,13,Override!$E$11:$E$40,"&gt;=0")-COUNTIFS(Override!$B$11:$B$40,$B186,Override!$D$11:$D$40,13,Override!$E$11:$E$40,"&gt;=0",Override!$C$11:$C$40,"MXAU"))&gt;0,SUMIFS(Override!$E$11:$E$40,Override!$B$11:$B$40,$B186,Override!$D$11:$D$40,13)-SUMIFS(Override!$E$11:$E$40,Override!$B$11:$B$40,$B186,Override!$D$11:$D$40,13,Override!$C$11:$C$40,"MXAU"),Override!$O$221)/AS51!$B$3,"")))</f>
        <v/>
      </c>
      <c r="S186" s="140">
        <f>IF(S$13="","",IF($B186="","",IFERROR($C186*$D186*IF((Override!$C$4="ON")*(COUNTIFS(Override!$B$11:$B$40,$B186,Override!$D$11:$D$40,14,Override!$E$11:$E$40,"&gt;=0")-COUNTIFS(Override!$B$11:$B$40,$B186,Override!$D$11:$D$40,14,Override!$E$11:$E$40,"&gt;=0",Override!$C$11:$C$40,"MXAU"))&gt;0,SUMIFS(Override!$E$11:$E$40,Override!$B$11:$B$40,$B186,Override!$D$11:$D$40,14)-SUMIFS(Override!$E$11:$E$40,Override!$B$11:$B$40,$B186,Override!$D$11:$D$40,14,Override!$C$11:$C$40,"MXAU"),Override!$P$221)/AS51!$B$3,"")))</f>
        <v/>
      </c>
      <c r="T186" s="140">
        <f>IF(T$13="","",IF($B186="","",IFERROR($C186*$D186*IF((Override!$C$4="ON")*(COUNTIFS(Override!$B$11:$B$40,$B186,Override!$D$11:$D$40,15,Override!$E$11:$E$40,"&gt;=0")-COUNTIFS(Override!$B$11:$B$40,$B186,Override!$D$11:$D$40,15,Override!$E$11:$E$40,"&gt;=0",Override!$C$11:$C$40,"MXAU"))&gt;0,SUMIFS(Override!$E$11:$E$40,Override!$B$11:$B$40,$B186,Override!$D$11:$D$40,15)-SUMIFS(Override!$E$11:$E$40,Override!$B$11:$B$40,$B186,Override!$D$11:$D$40,15,Override!$C$11:$C$40,"MXAU"),Override!$Q$221)/AS51!$B$3,"")))</f>
        <v/>
      </c>
      <c r="U186" s="140">
        <f>IF(U$13="","",IF($B186="","",IFERROR($C186*$D186*IF((Override!$C$4="ON")*(COUNTIFS(Override!$B$11:$B$40,$B186,Override!$D$11:$D$40,16,Override!$E$11:$E$40,"&gt;=0")-COUNTIFS(Override!$B$11:$B$40,$B186,Override!$D$11:$D$40,16,Override!$E$11:$E$40,"&gt;=0",Override!$C$11:$C$40,"MXAU"))&gt;0,SUMIFS(Override!$E$11:$E$40,Override!$B$11:$B$40,$B186,Override!$D$11:$D$40,16)-SUMIFS(Override!$E$11:$E$40,Override!$B$11:$B$40,$B186,Override!$D$11:$D$40,16,Override!$C$11:$C$40,"MXAU"),Override!$R$221)/AS51!$B$3,"")))</f>
        <v/>
      </c>
      <c r="W186" s="140">
        <f>IF(W$13="","",IF($B186="","",IFERROR(F186*$E186/100,"")))</f>
        <v/>
      </c>
      <c r="X186" s="140">
        <f>IF(X$13="","",IF($B186="","",IFERROR(G186*$E186/100,"")))</f>
        <v/>
      </c>
      <c r="Y186" s="140">
        <f>IF(Y$13="","",IF($B186="","",IFERROR(H186*$E186/100,"")))</f>
        <v/>
      </c>
      <c r="Z186" s="140">
        <f>IF(Z$13="","",IF($B186="","",IFERROR(I186*$E186/100,"")))</f>
        <v/>
      </c>
      <c r="AA186" s="140">
        <f>IF(AA$13="","",IF($B186="","",IFERROR(J186*$E186/100,"")))</f>
        <v/>
      </c>
      <c r="AB186" s="140">
        <f>IF(AB$13="","",IF($B186="","",IFERROR(K186*$E186/100,"")))</f>
        <v/>
      </c>
      <c r="AC186" s="140">
        <f>IF(AC$13="","",IF($B186="","",IFERROR(L186*$E186/100,"")))</f>
        <v/>
      </c>
      <c r="AD186" s="140">
        <f>IF(AD$13="","",IF($B186="","",IFERROR(M186*$E186/100,"")))</f>
        <v/>
      </c>
      <c r="AE186" s="140">
        <f>IF(AE$13="","",IF($B186="","",IFERROR(N186*$E186/100,"")))</f>
        <v/>
      </c>
      <c r="AF186" s="140">
        <f>IF(AF$13="","",IF($B186="","",IFERROR(O186*$E186/100,"")))</f>
        <v/>
      </c>
      <c r="AG186" s="140">
        <f>IF(AG$13="","",IF($B186="","",IFERROR(P186*$E186/100,"")))</f>
        <v/>
      </c>
      <c r="AH186" s="140">
        <f>IF(AH$13="","",IF($B186="","",IFERROR(Q186*$E186/100,"")))</f>
        <v/>
      </c>
      <c r="AI186" s="140">
        <f>IF(AI$13="","",IF($B186="","",IFERROR(R186*$E186/100,"")))</f>
        <v/>
      </c>
      <c r="AJ186" s="140">
        <f>IF(AJ$13="","",IF($B186="","",IFERROR(S186*$E186/100,"")))</f>
        <v/>
      </c>
      <c r="AK186" s="140">
        <f>IF(AK$13="","",IF($B186="","",IFERROR(T186*$E186/100,"")))</f>
        <v/>
      </c>
      <c r="AL186" s="140">
        <f>IF(AL$13="","",IF($B186="","",IFERROR(U186*$E186/100,"")))</f>
        <v/>
      </c>
      <c r="AN186" s="140">
        <f>IF($B186="","",SUMIF($F$13:$U$13,"&lt;="&amp;Sector!$D$51,$F186:$U186))</f>
        <v/>
      </c>
      <c r="AO186" s="140">
        <f>IF($B186="","",SUMIF($W$13:$AL$13,"&lt;="&amp;Sector!$D$51,$W186:$AL186))</f>
        <v/>
      </c>
    </row>
    <row r="187">
      <c r="B187" s="5">
        <f>IF(AS51!$C$177="","",AS51!$C$177)</f>
        <v/>
      </c>
      <c r="C187" s="90">
        <f>IF(AS51!$B$177="","",AS51!$B$177)</f>
        <v/>
      </c>
      <c r="D187" s="138">
        <f>IFERROR(AS51!$Q$177,1)</f>
        <v/>
      </c>
      <c r="E187" s="139">
        <f>IF($B187="","",IF(ISNUMBER(AS51!$I$177),AS51!$I$177,'Index Summary'!$C$7))</f>
        <v/>
      </c>
      <c r="F187" s="140">
        <f>IF(F$13="","",IF($B187="","",IFERROR($C187*$D187*IF((Override!$C$4="ON")*(COUNTIFS(Override!$B$11:$B$40,$B187,Override!$D$11:$D$40,1,Override!$E$11:$E$40,"&gt;=0")-COUNTIFS(Override!$B$11:$B$40,$B187,Override!$D$11:$D$40,1,Override!$E$11:$E$40,"&gt;=0",Override!$C$11:$C$40,"MXAU"))&gt;0,SUMIFS(Override!$E$11:$E$40,Override!$B$11:$B$40,$B187,Override!$D$11:$D$40,1)-SUMIFS(Override!$E$11:$E$40,Override!$B$11:$B$40,$B187,Override!$D$11:$D$40,1,Override!$C$11:$C$40,"MXAU"),Override!$C$222)/AS51!$B$3,"")))</f>
        <v/>
      </c>
      <c r="G187" s="140">
        <f>IF(G$13="","",IF($B187="","",IFERROR($C187*$D187*IF((Override!$C$4="ON")*(COUNTIFS(Override!$B$11:$B$40,$B187,Override!$D$11:$D$40,2,Override!$E$11:$E$40,"&gt;=0")-COUNTIFS(Override!$B$11:$B$40,$B187,Override!$D$11:$D$40,2,Override!$E$11:$E$40,"&gt;=0",Override!$C$11:$C$40,"MXAU"))&gt;0,SUMIFS(Override!$E$11:$E$40,Override!$B$11:$B$40,$B187,Override!$D$11:$D$40,2)-SUMIFS(Override!$E$11:$E$40,Override!$B$11:$B$40,$B187,Override!$D$11:$D$40,2,Override!$C$11:$C$40,"MXAU"),Override!$D$222)/AS51!$B$3,"")))</f>
        <v/>
      </c>
      <c r="H187" s="140">
        <f>IF(H$13="","",IF($B187="","",IFERROR($C187*$D187*IF((Override!$C$4="ON")*(COUNTIFS(Override!$B$11:$B$40,$B187,Override!$D$11:$D$40,3,Override!$E$11:$E$40,"&gt;=0")-COUNTIFS(Override!$B$11:$B$40,$B187,Override!$D$11:$D$40,3,Override!$E$11:$E$40,"&gt;=0",Override!$C$11:$C$40,"MXAU"))&gt;0,SUMIFS(Override!$E$11:$E$40,Override!$B$11:$B$40,$B187,Override!$D$11:$D$40,3)-SUMIFS(Override!$E$11:$E$40,Override!$B$11:$B$40,$B187,Override!$D$11:$D$40,3,Override!$C$11:$C$40,"MXAU"),Override!$E$222)/AS51!$B$3,"")))</f>
        <v/>
      </c>
      <c r="I187" s="140">
        <f>IF(I$13="","",IF($B187="","",IFERROR($C187*$D187*IF((Override!$C$4="ON")*(COUNTIFS(Override!$B$11:$B$40,$B187,Override!$D$11:$D$40,4,Override!$E$11:$E$40,"&gt;=0")-COUNTIFS(Override!$B$11:$B$40,$B187,Override!$D$11:$D$40,4,Override!$E$11:$E$40,"&gt;=0",Override!$C$11:$C$40,"MXAU"))&gt;0,SUMIFS(Override!$E$11:$E$40,Override!$B$11:$B$40,$B187,Override!$D$11:$D$40,4)-SUMIFS(Override!$E$11:$E$40,Override!$B$11:$B$40,$B187,Override!$D$11:$D$40,4,Override!$C$11:$C$40,"MXAU"),Override!$F$222)/AS51!$B$3,"")))</f>
        <v/>
      </c>
      <c r="J187" s="140">
        <f>IF(J$13="","",IF($B187="","",IFERROR($C187*$D187*IF((Override!$C$4="ON")*(COUNTIFS(Override!$B$11:$B$40,$B187,Override!$D$11:$D$40,5,Override!$E$11:$E$40,"&gt;=0")-COUNTIFS(Override!$B$11:$B$40,$B187,Override!$D$11:$D$40,5,Override!$E$11:$E$40,"&gt;=0",Override!$C$11:$C$40,"MXAU"))&gt;0,SUMIFS(Override!$E$11:$E$40,Override!$B$11:$B$40,$B187,Override!$D$11:$D$40,5)-SUMIFS(Override!$E$11:$E$40,Override!$B$11:$B$40,$B187,Override!$D$11:$D$40,5,Override!$C$11:$C$40,"MXAU"),Override!$G$222)/AS51!$B$3,"")))</f>
        <v/>
      </c>
      <c r="K187" s="140">
        <f>IF(K$13="","",IF($B187="","",IFERROR($C187*$D187*IF((Override!$C$4="ON")*(COUNTIFS(Override!$B$11:$B$40,$B187,Override!$D$11:$D$40,6,Override!$E$11:$E$40,"&gt;=0")-COUNTIFS(Override!$B$11:$B$40,$B187,Override!$D$11:$D$40,6,Override!$E$11:$E$40,"&gt;=0",Override!$C$11:$C$40,"MXAU"))&gt;0,SUMIFS(Override!$E$11:$E$40,Override!$B$11:$B$40,$B187,Override!$D$11:$D$40,6)-SUMIFS(Override!$E$11:$E$40,Override!$B$11:$B$40,$B187,Override!$D$11:$D$40,6,Override!$C$11:$C$40,"MXAU"),Override!$H$222)/AS51!$B$3,"")))</f>
        <v/>
      </c>
      <c r="L187" s="140">
        <f>IF(L$13="","",IF($B187="","",IFERROR($C187*$D187*IF((Override!$C$4="ON")*(COUNTIFS(Override!$B$11:$B$40,$B187,Override!$D$11:$D$40,7,Override!$E$11:$E$40,"&gt;=0")-COUNTIFS(Override!$B$11:$B$40,$B187,Override!$D$11:$D$40,7,Override!$E$11:$E$40,"&gt;=0",Override!$C$11:$C$40,"MXAU"))&gt;0,SUMIFS(Override!$E$11:$E$40,Override!$B$11:$B$40,$B187,Override!$D$11:$D$40,7)-SUMIFS(Override!$E$11:$E$40,Override!$B$11:$B$40,$B187,Override!$D$11:$D$40,7,Override!$C$11:$C$40,"MXAU"),Override!$I$222)/AS51!$B$3,"")))</f>
        <v/>
      </c>
      <c r="M187" s="140">
        <f>IF(M$13="","",IF($B187="","",IFERROR($C187*$D187*IF((Override!$C$4="ON")*(COUNTIFS(Override!$B$11:$B$40,$B187,Override!$D$11:$D$40,8,Override!$E$11:$E$40,"&gt;=0")-COUNTIFS(Override!$B$11:$B$40,$B187,Override!$D$11:$D$40,8,Override!$E$11:$E$40,"&gt;=0",Override!$C$11:$C$40,"MXAU"))&gt;0,SUMIFS(Override!$E$11:$E$40,Override!$B$11:$B$40,$B187,Override!$D$11:$D$40,8)-SUMIFS(Override!$E$11:$E$40,Override!$B$11:$B$40,$B187,Override!$D$11:$D$40,8,Override!$C$11:$C$40,"MXAU"),Override!$J$222)/AS51!$B$3,"")))</f>
        <v/>
      </c>
      <c r="N187" s="140">
        <f>IF(N$13="","",IF($B187="","",IFERROR($C187*$D187*IF((Override!$C$4="ON")*(COUNTIFS(Override!$B$11:$B$40,$B187,Override!$D$11:$D$40,9,Override!$E$11:$E$40,"&gt;=0")-COUNTIFS(Override!$B$11:$B$40,$B187,Override!$D$11:$D$40,9,Override!$E$11:$E$40,"&gt;=0",Override!$C$11:$C$40,"MXAU"))&gt;0,SUMIFS(Override!$E$11:$E$40,Override!$B$11:$B$40,$B187,Override!$D$11:$D$40,9)-SUMIFS(Override!$E$11:$E$40,Override!$B$11:$B$40,$B187,Override!$D$11:$D$40,9,Override!$C$11:$C$40,"MXAU"),Override!$K$222)/AS51!$B$3,"")))</f>
        <v/>
      </c>
      <c r="O187" s="140">
        <f>IF(O$13="","",IF($B187="","",IFERROR($C187*$D187*IF((Override!$C$4="ON")*(COUNTIFS(Override!$B$11:$B$40,$B187,Override!$D$11:$D$40,10,Override!$E$11:$E$40,"&gt;=0")-COUNTIFS(Override!$B$11:$B$40,$B187,Override!$D$11:$D$40,10,Override!$E$11:$E$40,"&gt;=0",Override!$C$11:$C$40,"MXAU"))&gt;0,SUMIFS(Override!$E$11:$E$40,Override!$B$11:$B$40,$B187,Override!$D$11:$D$40,10)-SUMIFS(Override!$E$11:$E$40,Override!$B$11:$B$40,$B187,Override!$D$11:$D$40,10,Override!$C$11:$C$40,"MXAU"),Override!$L$222)/AS51!$B$3,"")))</f>
        <v/>
      </c>
      <c r="P187" s="140">
        <f>IF(P$13="","",IF($B187="","",IFERROR($C187*$D187*IF((Override!$C$4="ON")*(COUNTIFS(Override!$B$11:$B$40,$B187,Override!$D$11:$D$40,11,Override!$E$11:$E$40,"&gt;=0")-COUNTIFS(Override!$B$11:$B$40,$B187,Override!$D$11:$D$40,11,Override!$E$11:$E$40,"&gt;=0",Override!$C$11:$C$40,"MXAU"))&gt;0,SUMIFS(Override!$E$11:$E$40,Override!$B$11:$B$40,$B187,Override!$D$11:$D$40,11)-SUMIFS(Override!$E$11:$E$40,Override!$B$11:$B$40,$B187,Override!$D$11:$D$40,11,Override!$C$11:$C$40,"MXAU"),Override!$M$222)/AS51!$B$3,"")))</f>
        <v/>
      </c>
      <c r="Q187" s="140">
        <f>IF(Q$13="","",IF($B187="","",IFERROR($C187*$D187*IF((Override!$C$4="ON")*(COUNTIFS(Override!$B$11:$B$40,$B187,Override!$D$11:$D$40,12,Override!$E$11:$E$40,"&gt;=0")-COUNTIFS(Override!$B$11:$B$40,$B187,Override!$D$11:$D$40,12,Override!$E$11:$E$40,"&gt;=0",Override!$C$11:$C$40,"MXAU"))&gt;0,SUMIFS(Override!$E$11:$E$40,Override!$B$11:$B$40,$B187,Override!$D$11:$D$40,12)-SUMIFS(Override!$E$11:$E$40,Override!$B$11:$B$40,$B187,Override!$D$11:$D$40,12,Override!$C$11:$C$40,"MXAU"),Override!$N$222)/AS51!$B$3,"")))</f>
        <v/>
      </c>
      <c r="R187" s="140">
        <f>IF(R$13="","",IF($B187="","",IFERROR($C187*$D187*IF((Override!$C$4="ON")*(COUNTIFS(Override!$B$11:$B$40,$B187,Override!$D$11:$D$40,13,Override!$E$11:$E$40,"&gt;=0")-COUNTIFS(Override!$B$11:$B$40,$B187,Override!$D$11:$D$40,13,Override!$E$11:$E$40,"&gt;=0",Override!$C$11:$C$40,"MXAU"))&gt;0,SUMIFS(Override!$E$11:$E$40,Override!$B$11:$B$40,$B187,Override!$D$11:$D$40,13)-SUMIFS(Override!$E$11:$E$40,Override!$B$11:$B$40,$B187,Override!$D$11:$D$40,13,Override!$C$11:$C$40,"MXAU"),Override!$O$222)/AS51!$B$3,"")))</f>
        <v/>
      </c>
      <c r="S187" s="140">
        <f>IF(S$13="","",IF($B187="","",IFERROR($C187*$D187*IF((Override!$C$4="ON")*(COUNTIFS(Override!$B$11:$B$40,$B187,Override!$D$11:$D$40,14,Override!$E$11:$E$40,"&gt;=0")-COUNTIFS(Override!$B$11:$B$40,$B187,Override!$D$11:$D$40,14,Override!$E$11:$E$40,"&gt;=0",Override!$C$11:$C$40,"MXAU"))&gt;0,SUMIFS(Override!$E$11:$E$40,Override!$B$11:$B$40,$B187,Override!$D$11:$D$40,14)-SUMIFS(Override!$E$11:$E$40,Override!$B$11:$B$40,$B187,Override!$D$11:$D$40,14,Override!$C$11:$C$40,"MXAU"),Override!$P$222)/AS51!$B$3,"")))</f>
        <v/>
      </c>
      <c r="T187" s="140">
        <f>IF(T$13="","",IF($B187="","",IFERROR($C187*$D187*IF((Override!$C$4="ON")*(COUNTIFS(Override!$B$11:$B$40,$B187,Override!$D$11:$D$40,15,Override!$E$11:$E$40,"&gt;=0")-COUNTIFS(Override!$B$11:$B$40,$B187,Override!$D$11:$D$40,15,Override!$E$11:$E$40,"&gt;=0",Override!$C$11:$C$40,"MXAU"))&gt;0,SUMIFS(Override!$E$11:$E$40,Override!$B$11:$B$40,$B187,Override!$D$11:$D$40,15)-SUMIFS(Override!$E$11:$E$40,Override!$B$11:$B$40,$B187,Override!$D$11:$D$40,15,Override!$C$11:$C$40,"MXAU"),Override!$Q$222)/AS51!$B$3,"")))</f>
        <v/>
      </c>
      <c r="U187" s="140">
        <f>IF(U$13="","",IF($B187="","",IFERROR($C187*$D187*IF((Override!$C$4="ON")*(COUNTIFS(Override!$B$11:$B$40,$B187,Override!$D$11:$D$40,16,Override!$E$11:$E$40,"&gt;=0")-COUNTIFS(Override!$B$11:$B$40,$B187,Override!$D$11:$D$40,16,Override!$E$11:$E$40,"&gt;=0",Override!$C$11:$C$40,"MXAU"))&gt;0,SUMIFS(Override!$E$11:$E$40,Override!$B$11:$B$40,$B187,Override!$D$11:$D$40,16)-SUMIFS(Override!$E$11:$E$40,Override!$B$11:$B$40,$B187,Override!$D$11:$D$40,16,Override!$C$11:$C$40,"MXAU"),Override!$R$222)/AS51!$B$3,"")))</f>
        <v/>
      </c>
      <c r="W187" s="140">
        <f>IF(W$13="","",IF($B187="","",IFERROR(F187*$E187/100,"")))</f>
        <v/>
      </c>
      <c r="X187" s="140">
        <f>IF(X$13="","",IF($B187="","",IFERROR(G187*$E187/100,"")))</f>
        <v/>
      </c>
      <c r="Y187" s="140">
        <f>IF(Y$13="","",IF($B187="","",IFERROR(H187*$E187/100,"")))</f>
        <v/>
      </c>
      <c r="Z187" s="140">
        <f>IF(Z$13="","",IF($B187="","",IFERROR(I187*$E187/100,"")))</f>
        <v/>
      </c>
      <c r="AA187" s="140">
        <f>IF(AA$13="","",IF($B187="","",IFERROR(J187*$E187/100,"")))</f>
        <v/>
      </c>
      <c r="AB187" s="140">
        <f>IF(AB$13="","",IF($B187="","",IFERROR(K187*$E187/100,"")))</f>
        <v/>
      </c>
      <c r="AC187" s="140">
        <f>IF(AC$13="","",IF($B187="","",IFERROR(L187*$E187/100,"")))</f>
        <v/>
      </c>
      <c r="AD187" s="140">
        <f>IF(AD$13="","",IF($B187="","",IFERROR(M187*$E187/100,"")))</f>
        <v/>
      </c>
      <c r="AE187" s="140">
        <f>IF(AE$13="","",IF($B187="","",IFERROR(N187*$E187/100,"")))</f>
        <v/>
      </c>
      <c r="AF187" s="140">
        <f>IF(AF$13="","",IF($B187="","",IFERROR(O187*$E187/100,"")))</f>
        <v/>
      </c>
      <c r="AG187" s="140">
        <f>IF(AG$13="","",IF($B187="","",IFERROR(P187*$E187/100,"")))</f>
        <v/>
      </c>
      <c r="AH187" s="140">
        <f>IF(AH$13="","",IF($B187="","",IFERROR(Q187*$E187/100,"")))</f>
        <v/>
      </c>
      <c r="AI187" s="140">
        <f>IF(AI$13="","",IF($B187="","",IFERROR(R187*$E187/100,"")))</f>
        <v/>
      </c>
      <c r="AJ187" s="140">
        <f>IF(AJ$13="","",IF($B187="","",IFERROR(S187*$E187/100,"")))</f>
        <v/>
      </c>
      <c r="AK187" s="140">
        <f>IF(AK$13="","",IF($B187="","",IFERROR(T187*$E187/100,"")))</f>
        <v/>
      </c>
      <c r="AL187" s="140">
        <f>IF(AL$13="","",IF($B187="","",IFERROR(U187*$E187/100,"")))</f>
        <v/>
      </c>
      <c r="AN187" s="140">
        <f>IF($B187="","",SUMIF($F$13:$U$13,"&lt;="&amp;Sector!$D$51,$F187:$U187))</f>
        <v/>
      </c>
      <c r="AO187" s="140">
        <f>IF($B187="","",SUMIF($W$13:$AL$13,"&lt;="&amp;Sector!$D$51,$W187:$AL187))</f>
        <v/>
      </c>
    </row>
    <row r="188">
      <c r="B188" s="5">
        <f>IF(AS51!$C$178="","",AS51!$C$178)</f>
        <v/>
      </c>
      <c r="C188" s="90">
        <f>IF(AS51!$B$178="","",AS51!$B$178)</f>
        <v/>
      </c>
      <c r="D188" s="138">
        <f>IFERROR(AS51!$Q$178,1)</f>
        <v/>
      </c>
      <c r="E188" s="139">
        <f>IF($B188="","",IF(ISNUMBER(AS51!$I$178),AS51!$I$178,'Index Summary'!$C$7))</f>
        <v/>
      </c>
      <c r="F188" s="140">
        <f>IF(F$13="","",IF($B188="","",IFERROR($C188*$D188*IF((Override!$C$4="ON")*(COUNTIFS(Override!$B$11:$B$40,$B188,Override!$D$11:$D$40,1,Override!$E$11:$E$40,"&gt;=0")-COUNTIFS(Override!$B$11:$B$40,$B188,Override!$D$11:$D$40,1,Override!$E$11:$E$40,"&gt;=0",Override!$C$11:$C$40,"MXAU"))&gt;0,SUMIFS(Override!$E$11:$E$40,Override!$B$11:$B$40,$B188,Override!$D$11:$D$40,1)-SUMIFS(Override!$E$11:$E$40,Override!$B$11:$B$40,$B188,Override!$D$11:$D$40,1,Override!$C$11:$C$40,"MXAU"),Override!$C$223)/AS51!$B$3,"")))</f>
        <v/>
      </c>
      <c r="G188" s="140">
        <f>IF(G$13="","",IF($B188="","",IFERROR($C188*$D188*IF((Override!$C$4="ON")*(COUNTIFS(Override!$B$11:$B$40,$B188,Override!$D$11:$D$40,2,Override!$E$11:$E$40,"&gt;=0")-COUNTIFS(Override!$B$11:$B$40,$B188,Override!$D$11:$D$40,2,Override!$E$11:$E$40,"&gt;=0",Override!$C$11:$C$40,"MXAU"))&gt;0,SUMIFS(Override!$E$11:$E$40,Override!$B$11:$B$40,$B188,Override!$D$11:$D$40,2)-SUMIFS(Override!$E$11:$E$40,Override!$B$11:$B$40,$B188,Override!$D$11:$D$40,2,Override!$C$11:$C$40,"MXAU"),Override!$D$223)/AS51!$B$3,"")))</f>
        <v/>
      </c>
      <c r="H188" s="140">
        <f>IF(H$13="","",IF($B188="","",IFERROR($C188*$D188*IF((Override!$C$4="ON")*(COUNTIFS(Override!$B$11:$B$40,$B188,Override!$D$11:$D$40,3,Override!$E$11:$E$40,"&gt;=0")-COUNTIFS(Override!$B$11:$B$40,$B188,Override!$D$11:$D$40,3,Override!$E$11:$E$40,"&gt;=0",Override!$C$11:$C$40,"MXAU"))&gt;0,SUMIFS(Override!$E$11:$E$40,Override!$B$11:$B$40,$B188,Override!$D$11:$D$40,3)-SUMIFS(Override!$E$11:$E$40,Override!$B$11:$B$40,$B188,Override!$D$11:$D$40,3,Override!$C$11:$C$40,"MXAU"),Override!$E$223)/AS51!$B$3,"")))</f>
        <v/>
      </c>
      <c r="I188" s="140">
        <f>IF(I$13="","",IF($B188="","",IFERROR($C188*$D188*IF((Override!$C$4="ON")*(COUNTIFS(Override!$B$11:$B$40,$B188,Override!$D$11:$D$40,4,Override!$E$11:$E$40,"&gt;=0")-COUNTIFS(Override!$B$11:$B$40,$B188,Override!$D$11:$D$40,4,Override!$E$11:$E$40,"&gt;=0",Override!$C$11:$C$40,"MXAU"))&gt;0,SUMIFS(Override!$E$11:$E$40,Override!$B$11:$B$40,$B188,Override!$D$11:$D$40,4)-SUMIFS(Override!$E$11:$E$40,Override!$B$11:$B$40,$B188,Override!$D$11:$D$40,4,Override!$C$11:$C$40,"MXAU"),Override!$F$223)/AS51!$B$3,"")))</f>
        <v/>
      </c>
      <c r="J188" s="140">
        <f>IF(J$13="","",IF($B188="","",IFERROR($C188*$D188*IF((Override!$C$4="ON")*(COUNTIFS(Override!$B$11:$B$40,$B188,Override!$D$11:$D$40,5,Override!$E$11:$E$40,"&gt;=0")-COUNTIFS(Override!$B$11:$B$40,$B188,Override!$D$11:$D$40,5,Override!$E$11:$E$40,"&gt;=0",Override!$C$11:$C$40,"MXAU"))&gt;0,SUMIFS(Override!$E$11:$E$40,Override!$B$11:$B$40,$B188,Override!$D$11:$D$40,5)-SUMIFS(Override!$E$11:$E$40,Override!$B$11:$B$40,$B188,Override!$D$11:$D$40,5,Override!$C$11:$C$40,"MXAU"),Override!$G$223)/AS51!$B$3,"")))</f>
        <v/>
      </c>
      <c r="K188" s="140">
        <f>IF(K$13="","",IF($B188="","",IFERROR($C188*$D188*IF((Override!$C$4="ON")*(COUNTIFS(Override!$B$11:$B$40,$B188,Override!$D$11:$D$40,6,Override!$E$11:$E$40,"&gt;=0")-COUNTIFS(Override!$B$11:$B$40,$B188,Override!$D$11:$D$40,6,Override!$E$11:$E$40,"&gt;=0",Override!$C$11:$C$40,"MXAU"))&gt;0,SUMIFS(Override!$E$11:$E$40,Override!$B$11:$B$40,$B188,Override!$D$11:$D$40,6)-SUMIFS(Override!$E$11:$E$40,Override!$B$11:$B$40,$B188,Override!$D$11:$D$40,6,Override!$C$11:$C$40,"MXAU"),Override!$H$223)/AS51!$B$3,"")))</f>
        <v/>
      </c>
      <c r="L188" s="140">
        <f>IF(L$13="","",IF($B188="","",IFERROR($C188*$D188*IF((Override!$C$4="ON")*(COUNTIFS(Override!$B$11:$B$40,$B188,Override!$D$11:$D$40,7,Override!$E$11:$E$40,"&gt;=0")-COUNTIFS(Override!$B$11:$B$40,$B188,Override!$D$11:$D$40,7,Override!$E$11:$E$40,"&gt;=0",Override!$C$11:$C$40,"MXAU"))&gt;0,SUMIFS(Override!$E$11:$E$40,Override!$B$11:$B$40,$B188,Override!$D$11:$D$40,7)-SUMIFS(Override!$E$11:$E$40,Override!$B$11:$B$40,$B188,Override!$D$11:$D$40,7,Override!$C$11:$C$40,"MXAU"),Override!$I$223)/AS51!$B$3,"")))</f>
        <v/>
      </c>
      <c r="M188" s="140">
        <f>IF(M$13="","",IF($B188="","",IFERROR($C188*$D188*IF((Override!$C$4="ON")*(COUNTIFS(Override!$B$11:$B$40,$B188,Override!$D$11:$D$40,8,Override!$E$11:$E$40,"&gt;=0")-COUNTIFS(Override!$B$11:$B$40,$B188,Override!$D$11:$D$40,8,Override!$E$11:$E$40,"&gt;=0",Override!$C$11:$C$40,"MXAU"))&gt;0,SUMIFS(Override!$E$11:$E$40,Override!$B$11:$B$40,$B188,Override!$D$11:$D$40,8)-SUMIFS(Override!$E$11:$E$40,Override!$B$11:$B$40,$B188,Override!$D$11:$D$40,8,Override!$C$11:$C$40,"MXAU"),Override!$J$223)/AS51!$B$3,"")))</f>
        <v/>
      </c>
      <c r="N188" s="140">
        <f>IF(N$13="","",IF($B188="","",IFERROR($C188*$D188*IF((Override!$C$4="ON")*(COUNTIFS(Override!$B$11:$B$40,$B188,Override!$D$11:$D$40,9,Override!$E$11:$E$40,"&gt;=0")-COUNTIFS(Override!$B$11:$B$40,$B188,Override!$D$11:$D$40,9,Override!$E$11:$E$40,"&gt;=0",Override!$C$11:$C$40,"MXAU"))&gt;0,SUMIFS(Override!$E$11:$E$40,Override!$B$11:$B$40,$B188,Override!$D$11:$D$40,9)-SUMIFS(Override!$E$11:$E$40,Override!$B$11:$B$40,$B188,Override!$D$11:$D$40,9,Override!$C$11:$C$40,"MXAU"),Override!$K$223)/AS51!$B$3,"")))</f>
        <v/>
      </c>
      <c r="O188" s="140">
        <f>IF(O$13="","",IF($B188="","",IFERROR($C188*$D188*IF((Override!$C$4="ON")*(COUNTIFS(Override!$B$11:$B$40,$B188,Override!$D$11:$D$40,10,Override!$E$11:$E$40,"&gt;=0")-COUNTIFS(Override!$B$11:$B$40,$B188,Override!$D$11:$D$40,10,Override!$E$11:$E$40,"&gt;=0",Override!$C$11:$C$40,"MXAU"))&gt;0,SUMIFS(Override!$E$11:$E$40,Override!$B$11:$B$40,$B188,Override!$D$11:$D$40,10)-SUMIFS(Override!$E$11:$E$40,Override!$B$11:$B$40,$B188,Override!$D$11:$D$40,10,Override!$C$11:$C$40,"MXAU"),Override!$L$223)/AS51!$B$3,"")))</f>
        <v/>
      </c>
      <c r="P188" s="140">
        <f>IF(P$13="","",IF($B188="","",IFERROR($C188*$D188*IF((Override!$C$4="ON")*(COUNTIFS(Override!$B$11:$B$40,$B188,Override!$D$11:$D$40,11,Override!$E$11:$E$40,"&gt;=0")-COUNTIFS(Override!$B$11:$B$40,$B188,Override!$D$11:$D$40,11,Override!$E$11:$E$40,"&gt;=0",Override!$C$11:$C$40,"MXAU"))&gt;0,SUMIFS(Override!$E$11:$E$40,Override!$B$11:$B$40,$B188,Override!$D$11:$D$40,11)-SUMIFS(Override!$E$11:$E$40,Override!$B$11:$B$40,$B188,Override!$D$11:$D$40,11,Override!$C$11:$C$40,"MXAU"),Override!$M$223)/AS51!$B$3,"")))</f>
        <v/>
      </c>
      <c r="Q188" s="140">
        <f>IF(Q$13="","",IF($B188="","",IFERROR($C188*$D188*IF((Override!$C$4="ON")*(COUNTIFS(Override!$B$11:$B$40,$B188,Override!$D$11:$D$40,12,Override!$E$11:$E$40,"&gt;=0")-COUNTIFS(Override!$B$11:$B$40,$B188,Override!$D$11:$D$40,12,Override!$E$11:$E$40,"&gt;=0",Override!$C$11:$C$40,"MXAU"))&gt;0,SUMIFS(Override!$E$11:$E$40,Override!$B$11:$B$40,$B188,Override!$D$11:$D$40,12)-SUMIFS(Override!$E$11:$E$40,Override!$B$11:$B$40,$B188,Override!$D$11:$D$40,12,Override!$C$11:$C$40,"MXAU"),Override!$N$223)/AS51!$B$3,"")))</f>
        <v/>
      </c>
      <c r="R188" s="140">
        <f>IF(R$13="","",IF($B188="","",IFERROR($C188*$D188*IF((Override!$C$4="ON")*(COUNTIFS(Override!$B$11:$B$40,$B188,Override!$D$11:$D$40,13,Override!$E$11:$E$40,"&gt;=0")-COUNTIFS(Override!$B$11:$B$40,$B188,Override!$D$11:$D$40,13,Override!$E$11:$E$40,"&gt;=0",Override!$C$11:$C$40,"MXAU"))&gt;0,SUMIFS(Override!$E$11:$E$40,Override!$B$11:$B$40,$B188,Override!$D$11:$D$40,13)-SUMIFS(Override!$E$11:$E$40,Override!$B$11:$B$40,$B188,Override!$D$11:$D$40,13,Override!$C$11:$C$40,"MXAU"),Override!$O$223)/AS51!$B$3,"")))</f>
        <v/>
      </c>
      <c r="S188" s="140">
        <f>IF(S$13="","",IF($B188="","",IFERROR($C188*$D188*IF((Override!$C$4="ON")*(COUNTIFS(Override!$B$11:$B$40,$B188,Override!$D$11:$D$40,14,Override!$E$11:$E$40,"&gt;=0")-COUNTIFS(Override!$B$11:$B$40,$B188,Override!$D$11:$D$40,14,Override!$E$11:$E$40,"&gt;=0",Override!$C$11:$C$40,"MXAU"))&gt;0,SUMIFS(Override!$E$11:$E$40,Override!$B$11:$B$40,$B188,Override!$D$11:$D$40,14)-SUMIFS(Override!$E$11:$E$40,Override!$B$11:$B$40,$B188,Override!$D$11:$D$40,14,Override!$C$11:$C$40,"MXAU"),Override!$P$223)/AS51!$B$3,"")))</f>
        <v/>
      </c>
      <c r="T188" s="140">
        <f>IF(T$13="","",IF($B188="","",IFERROR($C188*$D188*IF((Override!$C$4="ON")*(COUNTIFS(Override!$B$11:$B$40,$B188,Override!$D$11:$D$40,15,Override!$E$11:$E$40,"&gt;=0")-COUNTIFS(Override!$B$11:$B$40,$B188,Override!$D$11:$D$40,15,Override!$E$11:$E$40,"&gt;=0",Override!$C$11:$C$40,"MXAU"))&gt;0,SUMIFS(Override!$E$11:$E$40,Override!$B$11:$B$40,$B188,Override!$D$11:$D$40,15)-SUMIFS(Override!$E$11:$E$40,Override!$B$11:$B$40,$B188,Override!$D$11:$D$40,15,Override!$C$11:$C$40,"MXAU"),Override!$Q$223)/AS51!$B$3,"")))</f>
        <v/>
      </c>
      <c r="U188" s="140">
        <f>IF(U$13="","",IF($B188="","",IFERROR($C188*$D188*IF((Override!$C$4="ON")*(COUNTIFS(Override!$B$11:$B$40,$B188,Override!$D$11:$D$40,16,Override!$E$11:$E$40,"&gt;=0")-COUNTIFS(Override!$B$11:$B$40,$B188,Override!$D$11:$D$40,16,Override!$E$11:$E$40,"&gt;=0",Override!$C$11:$C$40,"MXAU"))&gt;0,SUMIFS(Override!$E$11:$E$40,Override!$B$11:$B$40,$B188,Override!$D$11:$D$40,16)-SUMIFS(Override!$E$11:$E$40,Override!$B$11:$B$40,$B188,Override!$D$11:$D$40,16,Override!$C$11:$C$40,"MXAU"),Override!$R$223)/AS51!$B$3,"")))</f>
        <v/>
      </c>
      <c r="W188" s="140">
        <f>IF(W$13="","",IF($B188="","",IFERROR(F188*$E188/100,"")))</f>
        <v/>
      </c>
      <c r="X188" s="140">
        <f>IF(X$13="","",IF($B188="","",IFERROR(G188*$E188/100,"")))</f>
        <v/>
      </c>
      <c r="Y188" s="140">
        <f>IF(Y$13="","",IF($B188="","",IFERROR(H188*$E188/100,"")))</f>
        <v/>
      </c>
      <c r="Z188" s="140">
        <f>IF(Z$13="","",IF($B188="","",IFERROR(I188*$E188/100,"")))</f>
        <v/>
      </c>
      <c r="AA188" s="140">
        <f>IF(AA$13="","",IF($B188="","",IFERROR(J188*$E188/100,"")))</f>
        <v/>
      </c>
      <c r="AB188" s="140">
        <f>IF(AB$13="","",IF($B188="","",IFERROR(K188*$E188/100,"")))</f>
        <v/>
      </c>
      <c r="AC188" s="140">
        <f>IF(AC$13="","",IF($B188="","",IFERROR(L188*$E188/100,"")))</f>
        <v/>
      </c>
      <c r="AD188" s="140">
        <f>IF(AD$13="","",IF($B188="","",IFERROR(M188*$E188/100,"")))</f>
        <v/>
      </c>
      <c r="AE188" s="140">
        <f>IF(AE$13="","",IF($B188="","",IFERROR(N188*$E188/100,"")))</f>
        <v/>
      </c>
      <c r="AF188" s="140">
        <f>IF(AF$13="","",IF($B188="","",IFERROR(O188*$E188/100,"")))</f>
        <v/>
      </c>
      <c r="AG188" s="140">
        <f>IF(AG$13="","",IF($B188="","",IFERROR(P188*$E188/100,"")))</f>
        <v/>
      </c>
      <c r="AH188" s="140">
        <f>IF(AH$13="","",IF($B188="","",IFERROR(Q188*$E188/100,"")))</f>
        <v/>
      </c>
      <c r="AI188" s="140">
        <f>IF(AI$13="","",IF($B188="","",IFERROR(R188*$E188/100,"")))</f>
        <v/>
      </c>
      <c r="AJ188" s="140">
        <f>IF(AJ$13="","",IF($B188="","",IFERROR(S188*$E188/100,"")))</f>
        <v/>
      </c>
      <c r="AK188" s="140">
        <f>IF(AK$13="","",IF($B188="","",IFERROR(T188*$E188/100,"")))</f>
        <v/>
      </c>
      <c r="AL188" s="140">
        <f>IF(AL$13="","",IF($B188="","",IFERROR(U188*$E188/100,"")))</f>
        <v/>
      </c>
      <c r="AN188" s="140">
        <f>IF($B188="","",SUMIF($F$13:$U$13,"&lt;="&amp;Sector!$D$51,$F188:$U188))</f>
        <v/>
      </c>
      <c r="AO188" s="140">
        <f>IF($B188="","",SUMIF($W$13:$AL$13,"&lt;="&amp;Sector!$D$51,$W188:$AL188))</f>
        <v/>
      </c>
    </row>
    <row r="189">
      <c r="B189" s="5">
        <f>IF(AS51!$C$179="","",AS51!$C$179)</f>
        <v/>
      </c>
      <c r="C189" s="90">
        <f>IF(AS51!$B$179="","",AS51!$B$179)</f>
        <v/>
      </c>
      <c r="D189" s="138">
        <f>IFERROR(AS51!$Q$179,1)</f>
        <v/>
      </c>
      <c r="E189" s="139">
        <f>IF($B189="","",IF(ISNUMBER(AS51!$I$179),AS51!$I$179,'Index Summary'!$C$7))</f>
        <v/>
      </c>
      <c r="F189" s="140">
        <f>IF(F$13="","",IF($B189="","",IFERROR($C189*$D189*IF((Override!$C$4="ON")*(COUNTIFS(Override!$B$11:$B$40,$B189,Override!$D$11:$D$40,1,Override!$E$11:$E$40,"&gt;=0")-COUNTIFS(Override!$B$11:$B$40,$B189,Override!$D$11:$D$40,1,Override!$E$11:$E$40,"&gt;=0",Override!$C$11:$C$40,"MXAU"))&gt;0,SUMIFS(Override!$E$11:$E$40,Override!$B$11:$B$40,$B189,Override!$D$11:$D$40,1)-SUMIFS(Override!$E$11:$E$40,Override!$B$11:$B$40,$B189,Override!$D$11:$D$40,1,Override!$C$11:$C$40,"MXAU"),Override!$C$224)/AS51!$B$3,"")))</f>
        <v/>
      </c>
      <c r="G189" s="140">
        <f>IF(G$13="","",IF($B189="","",IFERROR($C189*$D189*IF((Override!$C$4="ON")*(COUNTIFS(Override!$B$11:$B$40,$B189,Override!$D$11:$D$40,2,Override!$E$11:$E$40,"&gt;=0")-COUNTIFS(Override!$B$11:$B$40,$B189,Override!$D$11:$D$40,2,Override!$E$11:$E$40,"&gt;=0",Override!$C$11:$C$40,"MXAU"))&gt;0,SUMIFS(Override!$E$11:$E$40,Override!$B$11:$B$40,$B189,Override!$D$11:$D$40,2)-SUMIFS(Override!$E$11:$E$40,Override!$B$11:$B$40,$B189,Override!$D$11:$D$40,2,Override!$C$11:$C$40,"MXAU"),Override!$D$224)/AS51!$B$3,"")))</f>
        <v/>
      </c>
      <c r="H189" s="140">
        <f>IF(H$13="","",IF($B189="","",IFERROR($C189*$D189*IF((Override!$C$4="ON")*(COUNTIFS(Override!$B$11:$B$40,$B189,Override!$D$11:$D$40,3,Override!$E$11:$E$40,"&gt;=0")-COUNTIFS(Override!$B$11:$B$40,$B189,Override!$D$11:$D$40,3,Override!$E$11:$E$40,"&gt;=0",Override!$C$11:$C$40,"MXAU"))&gt;0,SUMIFS(Override!$E$11:$E$40,Override!$B$11:$B$40,$B189,Override!$D$11:$D$40,3)-SUMIFS(Override!$E$11:$E$40,Override!$B$11:$B$40,$B189,Override!$D$11:$D$40,3,Override!$C$11:$C$40,"MXAU"),Override!$E$224)/AS51!$B$3,"")))</f>
        <v/>
      </c>
      <c r="I189" s="140">
        <f>IF(I$13="","",IF($B189="","",IFERROR($C189*$D189*IF((Override!$C$4="ON")*(COUNTIFS(Override!$B$11:$B$40,$B189,Override!$D$11:$D$40,4,Override!$E$11:$E$40,"&gt;=0")-COUNTIFS(Override!$B$11:$B$40,$B189,Override!$D$11:$D$40,4,Override!$E$11:$E$40,"&gt;=0",Override!$C$11:$C$40,"MXAU"))&gt;0,SUMIFS(Override!$E$11:$E$40,Override!$B$11:$B$40,$B189,Override!$D$11:$D$40,4)-SUMIFS(Override!$E$11:$E$40,Override!$B$11:$B$40,$B189,Override!$D$11:$D$40,4,Override!$C$11:$C$40,"MXAU"),Override!$F$224)/AS51!$B$3,"")))</f>
        <v/>
      </c>
      <c r="J189" s="140">
        <f>IF(J$13="","",IF($B189="","",IFERROR($C189*$D189*IF((Override!$C$4="ON")*(COUNTIFS(Override!$B$11:$B$40,$B189,Override!$D$11:$D$40,5,Override!$E$11:$E$40,"&gt;=0")-COUNTIFS(Override!$B$11:$B$40,$B189,Override!$D$11:$D$40,5,Override!$E$11:$E$40,"&gt;=0",Override!$C$11:$C$40,"MXAU"))&gt;0,SUMIFS(Override!$E$11:$E$40,Override!$B$11:$B$40,$B189,Override!$D$11:$D$40,5)-SUMIFS(Override!$E$11:$E$40,Override!$B$11:$B$40,$B189,Override!$D$11:$D$40,5,Override!$C$11:$C$40,"MXAU"),Override!$G$224)/AS51!$B$3,"")))</f>
        <v/>
      </c>
      <c r="K189" s="140">
        <f>IF(K$13="","",IF($B189="","",IFERROR($C189*$D189*IF((Override!$C$4="ON")*(COUNTIFS(Override!$B$11:$B$40,$B189,Override!$D$11:$D$40,6,Override!$E$11:$E$40,"&gt;=0")-COUNTIFS(Override!$B$11:$B$40,$B189,Override!$D$11:$D$40,6,Override!$E$11:$E$40,"&gt;=0",Override!$C$11:$C$40,"MXAU"))&gt;0,SUMIFS(Override!$E$11:$E$40,Override!$B$11:$B$40,$B189,Override!$D$11:$D$40,6)-SUMIFS(Override!$E$11:$E$40,Override!$B$11:$B$40,$B189,Override!$D$11:$D$40,6,Override!$C$11:$C$40,"MXAU"),Override!$H$224)/AS51!$B$3,"")))</f>
        <v/>
      </c>
      <c r="L189" s="140">
        <f>IF(L$13="","",IF($B189="","",IFERROR($C189*$D189*IF((Override!$C$4="ON")*(COUNTIFS(Override!$B$11:$B$40,$B189,Override!$D$11:$D$40,7,Override!$E$11:$E$40,"&gt;=0")-COUNTIFS(Override!$B$11:$B$40,$B189,Override!$D$11:$D$40,7,Override!$E$11:$E$40,"&gt;=0",Override!$C$11:$C$40,"MXAU"))&gt;0,SUMIFS(Override!$E$11:$E$40,Override!$B$11:$B$40,$B189,Override!$D$11:$D$40,7)-SUMIFS(Override!$E$11:$E$40,Override!$B$11:$B$40,$B189,Override!$D$11:$D$40,7,Override!$C$11:$C$40,"MXAU"),Override!$I$224)/AS51!$B$3,"")))</f>
        <v/>
      </c>
      <c r="M189" s="140">
        <f>IF(M$13="","",IF($B189="","",IFERROR($C189*$D189*IF((Override!$C$4="ON")*(COUNTIFS(Override!$B$11:$B$40,$B189,Override!$D$11:$D$40,8,Override!$E$11:$E$40,"&gt;=0")-COUNTIFS(Override!$B$11:$B$40,$B189,Override!$D$11:$D$40,8,Override!$E$11:$E$40,"&gt;=0",Override!$C$11:$C$40,"MXAU"))&gt;0,SUMIFS(Override!$E$11:$E$40,Override!$B$11:$B$40,$B189,Override!$D$11:$D$40,8)-SUMIFS(Override!$E$11:$E$40,Override!$B$11:$B$40,$B189,Override!$D$11:$D$40,8,Override!$C$11:$C$40,"MXAU"),Override!$J$224)/AS51!$B$3,"")))</f>
        <v/>
      </c>
      <c r="N189" s="140">
        <f>IF(N$13="","",IF($B189="","",IFERROR($C189*$D189*IF((Override!$C$4="ON")*(COUNTIFS(Override!$B$11:$B$40,$B189,Override!$D$11:$D$40,9,Override!$E$11:$E$40,"&gt;=0")-COUNTIFS(Override!$B$11:$B$40,$B189,Override!$D$11:$D$40,9,Override!$E$11:$E$40,"&gt;=0",Override!$C$11:$C$40,"MXAU"))&gt;0,SUMIFS(Override!$E$11:$E$40,Override!$B$11:$B$40,$B189,Override!$D$11:$D$40,9)-SUMIFS(Override!$E$11:$E$40,Override!$B$11:$B$40,$B189,Override!$D$11:$D$40,9,Override!$C$11:$C$40,"MXAU"),Override!$K$224)/AS51!$B$3,"")))</f>
        <v/>
      </c>
      <c r="O189" s="140">
        <f>IF(O$13="","",IF($B189="","",IFERROR($C189*$D189*IF((Override!$C$4="ON")*(COUNTIFS(Override!$B$11:$B$40,$B189,Override!$D$11:$D$40,10,Override!$E$11:$E$40,"&gt;=0")-COUNTIFS(Override!$B$11:$B$40,$B189,Override!$D$11:$D$40,10,Override!$E$11:$E$40,"&gt;=0",Override!$C$11:$C$40,"MXAU"))&gt;0,SUMIFS(Override!$E$11:$E$40,Override!$B$11:$B$40,$B189,Override!$D$11:$D$40,10)-SUMIFS(Override!$E$11:$E$40,Override!$B$11:$B$40,$B189,Override!$D$11:$D$40,10,Override!$C$11:$C$40,"MXAU"),Override!$L$224)/AS51!$B$3,"")))</f>
        <v/>
      </c>
      <c r="P189" s="140">
        <f>IF(P$13="","",IF($B189="","",IFERROR($C189*$D189*IF((Override!$C$4="ON")*(COUNTIFS(Override!$B$11:$B$40,$B189,Override!$D$11:$D$40,11,Override!$E$11:$E$40,"&gt;=0")-COUNTIFS(Override!$B$11:$B$40,$B189,Override!$D$11:$D$40,11,Override!$E$11:$E$40,"&gt;=0",Override!$C$11:$C$40,"MXAU"))&gt;0,SUMIFS(Override!$E$11:$E$40,Override!$B$11:$B$40,$B189,Override!$D$11:$D$40,11)-SUMIFS(Override!$E$11:$E$40,Override!$B$11:$B$40,$B189,Override!$D$11:$D$40,11,Override!$C$11:$C$40,"MXAU"),Override!$M$224)/AS51!$B$3,"")))</f>
        <v/>
      </c>
      <c r="Q189" s="140">
        <f>IF(Q$13="","",IF($B189="","",IFERROR($C189*$D189*IF((Override!$C$4="ON")*(COUNTIFS(Override!$B$11:$B$40,$B189,Override!$D$11:$D$40,12,Override!$E$11:$E$40,"&gt;=0")-COUNTIFS(Override!$B$11:$B$40,$B189,Override!$D$11:$D$40,12,Override!$E$11:$E$40,"&gt;=0",Override!$C$11:$C$40,"MXAU"))&gt;0,SUMIFS(Override!$E$11:$E$40,Override!$B$11:$B$40,$B189,Override!$D$11:$D$40,12)-SUMIFS(Override!$E$11:$E$40,Override!$B$11:$B$40,$B189,Override!$D$11:$D$40,12,Override!$C$11:$C$40,"MXAU"),Override!$N$224)/AS51!$B$3,"")))</f>
        <v/>
      </c>
      <c r="R189" s="140">
        <f>IF(R$13="","",IF($B189="","",IFERROR($C189*$D189*IF((Override!$C$4="ON")*(COUNTIFS(Override!$B$11:$B$40,$B189,Override!$D$11:$D$40,13,Override!$E$11:$E$40,"&gt;=0")-COUNTIFS(Override!$B$11:$B$40,$B189,Override!$D$11:$D$40,13,Override!$E$11:$E$40,"&gt;=0",Override!$C$11:$C$40,"MXAU"))&gt;0,SUMIFS(Override!$E$11:$E$40,Override!$B$11:$B$40,$B189,Override!$D$11:$D$40,13)-SUMIFS(Override!$E$11:$E$40,Override!$B$11:$B$40,$B189,Override!$D$11:$D$40,13,Override!$C$11:$C$40,"MXAU"),Override!$O$224)/AS51!$B$3,"")))</f>
        <v/>
      </c>
      <c r="S189" s="140">
        <f>IF(S$13="","",IF($B189="","",IFERROR($C189*$D189*IF((Override!$C$4="ON")*(COUNTIFS(Override!$B$11:$B$40,$B189,Override!$D$11:$D$40,14,Override!$E$11:$E$40,"&gt;=0")-COUNTIFS(Override!$B$11:$B$40,$B189,Override!$D$11:$D$40,14,Override!$E$11:$E$40,"&gt;=0",Override!$C$11:$C$40,"MXAU"))&gt;0,SUMIFS(Override!$E$11:$E$40,Override!$B$11:$B$40,$B189,Override!$D$11:$D$40,14)-SUMIFS(Override!$E$11:$E$40,Override!$B$11:$B$40,$B189,Override!$D$11:$D$40,14,Override!$C$11:$C$40,"MXAU"),Override!$P$224)/AS51!$B$3,"")))</f>
        <v/>
      </c>
      <c r="T189" s="140">
        <f>IF(T$13="","",IF($B189="","",IFERROR($C189*$D189*IF((Override!$C$4="ON")*(COUNTIFS(Override!$B$11:$B$40,$B189,Override!$D$11:$D$40,15,Override!$E$11:$E$40,"&gt;=0")-COUNTIFS(Override!$B$11:$B$40,$B189,Override!$D$11:$D$40,15,Override!$E$11:$E$40,"&gt;=0",Override!$C$11:$C$40,"MXAU"))&gt;0,SUMIFS(Override!$E$11:$E$40,Override!$B$11:$B$40,$B189,Override!$D$11:$D$40,15)-SUMIFS(Override!$E$11:$E$40,Override!$B$11:$B$40,$B189,Override!$D$11:$D$40,15,Override!$C$11:$C$40,"MXAU"),Override!$Q$224)/AS51!$B$3,"")))</f>
        <v/>
      </c>
      <c r="U189" s="140">
        <f>IF(U$13="","",IF($B189="","",IFERROR($C189*$D189*IF((Override!$C$4="ON")*(COUNTIFS(Override!$B$11:$B$40,$B189,Override!$D$11:$D$40,16,Override!$E$11:$E$40,"&gt;=0")-COUNTIFS(Override!$B$11:$B$40,$B189,Override!$D$11:$D$40,16,Override!$E$11:$E$40,"&gt;=0",Override!$C$11:$C$40,"MXAU"))&gt;0,SUMIFS(Override!$E$11:$E$40,Override!$B$11:$B$40,$B189,Override!$D$11:$D$40,16)-SUMIFS(Override!$E$11:$E$40,Override!$B$11:$B$40,$B189,Override!$D$11:$D$40,16,Override!$C$11:$C$40,"MXAU"),Override!$R$224)/AS51!$B$3,"")))</f>
        <v/>
      </c>
      <c r="W189" s="140">
        <f>IF(W$13="","",IF($B189="","",IFERROR(F189*$E189/100,"")))</f>
        <v/>
      </c>
      <c r="X189" s="140">
        <f>IF(X$13="","",IF($B189="","",IFERROR(G189*$E189/100,"")))</f>
        <v/>
      </c>
      <c r="Y189" s="140">
        <f>IF(Y$13="","",IF($B189="","",IFERROR(H189*$E189/100,"")))</f>
        <v/>
      </c>
      <c r="Z189" s="140">
        <f>IF(Z$13="","",IF($B189="","",IFERROR(I189*$E189/100,"")))</f>
        <v/>
      </c>
      <c r="AA189" s="140">
        <f>IF(AA$13="","",IF($B189="","",IFERROR(J189*$E189/100,"")))</f>
        <v/>
      </c>
      <c r="AB189" s="140">
        <f>IF(AB$13="","",IF($B189="","",IFERROR(K189*$E189/100,"")))</f>
        <v/>
      </c>
      <c r="AC189" s="140">
        <f>IF(AC$13="","",IF($B189="","",IFERROR(L189*$E189/100,"")))</f>
        <v/>
      </c>
      <c r="AD189" s="140">
        <f>IF(AD$13="","",IF($B189="","",IFERROR(M189*$E189/100,"")))</f>
        <v/>
      </c>
      <c r="AE189" s="140">
        <f>IF(AE$13="","",IF($B189="","",IFERROR(N189*$E189/100,"")))</f>
        <v/>
      </c>
      <c r="AF189" s="140">
        <f>IF(AF$13="","",IF($B189="","",IFERROR(O189*$E189/100,"")))</f>
        <v/>
      </c>
      <c r="AG189" s="140">
        <f>IF(AG$13="","",IF($B189="","",IFERROR(P189*$E189/100,"")))</f>
        <v/>
      </c>
      <c r="AH189" s="140">
        <f>IF(AH$13="","",IF($B189="","",IFERROR(Q189*$E189/100,"")))</f>
        <v/>
      </c>
      <c r="AI189" s="140">
        <f>IF(AI$13="","",IF($B189="","",IFERROR(R189*$E189/100,"")))</f>
        <v/>
      </c>
      <c r="AJ189" s="140">
        <f>IF(AJ$13="","",IF($B189="","",IFERROR(S189*$E189/100,"")))</f>
        <v/>
      </c>
      <c r="AK189" s="140">
        <f>IF(AK$13="","",IF($B189="","",IFERROR(T189*$E189/100,"")))</f>
        <v/>
      </c>
      <c r="AL189" s="140">
        <f>IF(AL$13="","",IF($B189="","",IFERROR(U189*$E189/100,"")))</f>
        <v/>
      </c>
      <c r="AN189" s="140">
        <f>IF($B189="","",SUMIF($F$13:$U$13,"&lt;="&amp;Sector!$D$51,$F189:$U189))</f>
        <v/>
      </c>
      <c r="AO189" s="140">
        <f>IF($B189="","",SUMIF($W$13:$AL$13,"&lt;="&amp;Sector!$D$51,$W189:$AL189))</f>
        <v/>
      </c>
    </row>
    <row r="190">
      <c r="B190" s="5">
        <f>IF(AS51!$C$180="","",AS51!$C$180)</f>
        <v/>
      </c>
      <c r="C190" s="90">
        <f>IF(AS51!$B$180="","",AS51!$B$180)</f>
        <v/>
      </c>
      <c r="D190" s="138">
        <f>IFERROR(AS51!$Q$180,1)</f>
        <v/>
      </c>
      <c r="E190" s="139">
        <f>IF($B190="","",IF(ISNUMBER(AS51!$I$180),AS51!$I$180,'Index Summary'!$C$7))</f>
        <v/>
      </c>
      <c r="F190" s="140">
        <f>IF(F$13="","",IF($B190="","",IFERROR($C190*$D190*IF((Override!$C$4="ON")*(COUNTIFS(Override!$B$11:$B$40,$B190,Override!$D$11:$D$40,1,Override!$E$11:$E$40,"&gt;=0")-COUNTIFS(Override!$B$11:$B$40,$B190,Override!$D$11:$D$40,1,Override!$E$11:$E$40,"&gt;=0",Override!$C$11:$C$40,"MXAU"))&gt;0,SUMIFS(Override!$E$11:$E$40,Override!$B$11:$B$40,$B190,Override!$D$11:$D$40,1)-SUMIFS(Override!$E$11:$E$40,Override!$B$11:$B$40,$B190,Override!$D$11:$D$40,1,Override!$C$11:$C$40,"MXAU"),Override!$C$225)/AS51!$B$3,"")))</f>
        <v/>
      </c>
      <c r="G190" s="140">
        <f>IF(G$13="","",IF($B190="","",IFERROR($C190*$D190*IF((Override!$C$4="ON")*(COUNTIFS(Override!$B$11:$B$40,$B190,Override!$D$11:$D$40,2,Override!$E$11:$E$40,"&gt;=0")-COUNTIFS(Override!$B$11:$B$40,$B190,Override!$D$11:$D$40,2,Override!$E$11:$E$40,"&gt;=0",Override!$C$11:$C$40,"MXAU"))&gt;0,SUMIFS(Override!$E$11:$E$40,Override!$B$11:$B$40,$B190,Override!$D$11:$D$40,2)-SUMIFS(Override!$E$11:$E$40,Override!$B$11:$B$40,$B190,Override!$D$11:$D$40,2,Override!$C$11:$C$40,"MXAU"),Override!$D$225)/AS51!$B$3,"")))</f>
        <v/>
      </c>
      <c r="H190" s="140">
        <f>IF(H$13="","",IF($B190="","",IFERROR($C190*$D190*IF((Override!$C$4="ON")*(COUNTIFS(Override!$B$11:$B$40,$B190,Override!$D$11:$D$40,3,Override!$E$11:$E$40,"&gt;=0")-COUNTIFS(Override!$B$11:$B$40,$B190,Override!$D$11:$D$40,3,Override!$E$11:$E$40,"&gt;=0",Override!$C$11:$C$40,"MXAU"))&gt;0,SUMIFS(Override!$E$11:$E$40,Override!$B$11:$B$40,$B190,Override!$D$11:$D$40,3)-SUMIFS(Override!$E$11:$E$40,Override!$B$11:$B$40,$B190,Override!$D$11:$D$40,3,Override!$C$11:$C$40,"MXAU"),Override!$E$225)/AS51!$B$3,"")))</f>
        <v/>
      </c>
      <c r="I190" s="140">
        <f>IF(I$13="","",IF($B190="","",IFERROR($C190*$D190*IF((Override!$C$4="ON")*(COUNTIFS(Override!$B$11:$B$40,$B190,Override!$D$11:$D$40,4,Override!$E$11:$E$40,"&gt;=0")-COUNTIFS(Override!$B$11:$B$40,$B190,Override!$D$11:$D$40,4,Override!$E$11:$E$40,"&gt;=0",Override!$C$11:$C$40,"MXAU"))&gt;0,SUMIFS(Override!$E$11:$E$40,Override!$B$11:$B$40,$B190,Override!$D$11:$D$40,4)-SUMIFS(Override!$E$11:$E$40,Override!$B$11:$B$40,$B190,Override!$D$11:$D$40,4,Override!$C$11:$C$40,"MXAU"),Override!$F$225)/AS51!$B$3,"")))</f>
        <v/>
      </c>
      <c r="J190" s="140">
        <f>IF(J$13="","",IF($B190="","",IFERROR($C190*$D190*IF((Override!$C$4="ON")*(COUNTIFS(Override!$B$11:$B$40,$B190,Override!$D$11:$D$40,5,Override!$E$11:$E$40,"&gt;=0")-COUNTIFS(Override!$B$11:$B$40,$B190,Override!$D$11:$D$40,5,Override!$E$11:$E$40,"&gt;=0",Override!$C$11:$C$40,"MXAU"))&gt;0,SUMIFS(Override!$E$11:$E$40,Override!$B$11:$B$40,$B190,Override!$D$11:$D$40,5)-SUMIFS(Override!$E$11:$E$40,Override!$B$11:$B$40,$B190,Override!$D$11:$D$40,5,Override!$C$11:$C$40,"MXAU"),Override!$G$225)/AS51!$B$3,"")))</f>
        <v/>
      </c>
      <c r="K190" s="140">
        <f>IF(K$13="","",IF($B190="","",IFERROR($C190*$D190*IF((Override!$C$4="ON")*(COUNTIFS(Override!$B$11:$B$40,$B190,Override!$D$11:$D$40,6,Override!$E$11:$E$40,"&gt;=0")-COUNTIFS(Override!$B$11:$B$40,$B190,Override!$D$11:$D$40,6,Override!$E$11:$E$40,"&gt;=0",Override!$C$11:$C$40,"MXAU"))&gt;0,SUMIFS(Override!$E$11:$E$40,Override!$B$11:$B$40,$B190,Override!$D$11:$D$40,6)-SUMIFS(Override!$E$11:$E$40,Override!$B$11:$B$40,$B190,Override!$D$11:$D$40,6,Override!$C$11:$C$40,"MXAU"),Override!$H$225)/AS51!$B$3,"")))</f>
        <v/>
      </c>
      <c r="L190" s="140">
        <f>IF(L$13="","",IF($B190="","",IFERROR($C190*$D190*IF((Override!$C$4="ON")*(COUNTIFS(Override!$B$11:$B$40,$B190,Override!$D$11:$D$40,7,Override!$E$11:$E$40,"&gt;=0")-COUNTIFS(Override!$B$11:$B$40,$B190,Override!$D$11:$D$40,7,Override!$E$11:$E$40,"&gt;=0",Override!$C$11:$C$40,"MXAU"))&gt;0,SUMIFS(Override!$E$11:$E$40,Override!$B$11:$B$40,$B190,Override!$D$11:$D$40,7)-SUMIFS(Override!$E$11:$E$40,Override!$B$11:$B$40,$B190,Override!$D$11:$D$40,7,Override!$C$11:$C$40,"MXAU"),Override!$I$225)/AS51!$B$3,"")))</f>
        <v/>
      </c>
      <c r="M190" s="140">
        <f>IF(M$13="","",IF($B190="","",IFERROR($C190*$D190*IF((Override!$C$4="ON")*(COUNTIFS(Override!$B$11:$B$40,$B190,Override!$D$11:$D$40,8,Override!$E$11:$E$40,"&gt;=0")-COUNTIFS(Override!$B$11:$B$40,$B190,Override!$D$11:$D$40,8,Override!$E$11:$E$40,"&gt;=0",Override!$C$11:$C$40,"MXAU"))&gt;0,SUMIFS(Override!$E$11:$E$40,Override!$B$11:$B$40,$B190,Override!$D$11:$D$40,8)-SUMIFS(Override!$E$11:$E$40,Override!$B$11:$B$40,$B190,Override!$D$11:$D$40,8,Override!$C$11:$C$40,"MXAU"),Override!$J$225)/AS51!$B$3,"")))</f>
        <v/>
      </c>
      <c r="N190" s="140">
        <f>IF(N$13="","",IF($B190="","",IFERROR($C190*$D190*IF((Override!$C$4="ON")*(COUNTIFS(Override!$B$11:$B$40,$B190,Override!$D$11:$D$40,9,Override!$E$11:$E$40,"&gt;=0")-COUNTIFS(Override!$B$11:$B$40,$B190,Override!$D$11:$D$40,9,Override!$E$11:$E$40,"&gt;=0",Override!$C$11:$C$40,"MXAU"))&gt;0,SUMIFS(Override!$E$11:$E$40,Override!$B$11:$B$40,$B190,Override!$D$11:$D$40,9)-SUMIFS(Override!$E$11:$E$40,Override!$B$11:$B$40,$B190,Override!$D$11:$D$40,9,Override!$C$11:$C$40,"MXAU"),Override!$K$225)/AS51!$B$3,"")))</f>
        <v/>
      </c>
      <c r="O190" s="140">
        <f>IF(O$13="","",IF($B190="","",IFERROR($C190*$D190*IF((Override!$C$4="ON")*(COUNTIFS(Override!$B$11:$B$40,$B190,Override!$D$11:$D$40,10,Override!$E$11:$E$40,"&gt;=0")-COUNTIFS(Override!$B$11:$B$40,$B190,Override!$D$11:$D$40,10,Override!$E$11:$E$40,"&gt;=0",Override!$C$11:$C$40,"MXAU"))&gt;0,SUMIFS(Override!$E$11:$E$40,Override!$B$11:$B$40,$B190,Override!$D$11:$D$40,10)-SUMIFS(Override!$E$11:$E$40,Override!$B$11:$B$40,$B190,Override!$D$11:$D$40,10,Override!$C$11:$C$40,"MXAU"),Override!$L$225)/AS51!$B$3,"")))</f>
        <v/>
      </c>
      <c r="P190" s="140">
        <f>IF(P$13="","",IF($B190="","",IFERROR($C190*$D190*IF((Override!$C$4="ON")*(COUNTIFS(Override!$B$11:$B$40,$B190,Override!$D$11:$D$40,11,Override!$E$11:$E$40,"&gt;=0")-COUNTIFS(Override!$B$11:$B$40,$B190,Override!$D$11:$D$40,11,Override!$E$11:$E$40,"&gt;=0",Override!$C$11:$C$40,"MXAU"))&gt;0,SUMIFS(Override!$E$11:$E$40,Override!$B$11:$B$40,$B190,Override!$D$11:$D$40,11)-SUMIFS(Override!$E$11:$E$40,Override!$B$11:$B$40,$B190,Override!$D$11:$D$40,11,Override!$C$11:$C$40,"MXAU"),Override!$M$225)/AS51!$B$3,"")))</f>
        <v/>
      </c>
      <c r="Q190" s="140">
        <f>IF(Q$13="","",IF($B190="","",IFERROR($C190*$D190*IF((Override!$C$4="ON")*(COUNTIFS(Override!$B$11:$B$40,$B190,Override!$D$11:$D$40,12,Override!$E$11:$E$40,"&gt;=0")-COUNTIFS(Override!$B$11:$B$40,$B190,Override!$D$11:$D$40,12,Override!$E$11:$E$40,"&gt;=0",Override!$C$11:$C$40,"MXAU"))&gt;0,SUMIFS(Override!$E$11:$E$40,Override!$B$11:$B$40,$B190,Override!$D$11:$D$40,12)-SUMIFS(Override!$E$11:$E$40,Override!$B$11:$B$40,$B190,Override!$D$11:$D$40,12,Override!$C$11:$C$40,"MXAU"),Override!$N$225)/AS51!$B$3,"")))</f>
        <v/>
      </c>
      <c r="R190" s="140">
        <f>IF(R$13="","",IF($B190="","",IFERROR($C190*$D190*IF((Override!$C$4="ON")*(COUNTIFS(Override!$B$11:$B$40,$B190,Override!$D$11:$D$40,13,Override!$E$11:$E$40,"&gt;=0")-COUNTIFS(Override!$B$11:$B$40,$B190,Override!$D$11:$D$40,13,Override!$E$11:$E$40,"&gt;=0",Override!$C$11:$C$40,"MXAU"))&gt;0,SUMIFS(Override!$E$11:$E$40,Override!$B$11:$B$40,$B190,Override!$D$11:$D$40,13)-SUMIFS(Override!$E$11:$E$40,Override!$B$11:$B$40,$B190,Override!$D$11:$D$40,13,Override!$C$11:$C$40,"MXAU"),Override!$O$225)/AS51!$B$3,"")))</f>
        <v/>
      </c>
      <c r="S190" s="140">
        <f>IF(S$13="","",IF($B190="","",IFERROR($C190*$D190*IF((Override!$C$4="ON")*(COUNTIFS(Override!$B$11:$B$40,$B190,Override!$D$11:$D$40,14,Override!$E$11:$E$40,"&gt;=0")-COUNTIFS(Override!$B$11:$B$40,$B190,Override!$D$11:$D$40,14,Override!$E$11:$E$40,"&gt;=0",Override!$C$11:$C$40,"MXAU"))&gt;0,SUMIFS(Override!$E$11:$E$40,Override!$B$11:$B$40,$B190,Override!$D$11:$D$40,14)-SUMIFS(Override!$E$11:$E$40,Override!$B$11:$B$40,$B190,Override!$D$11:$D$40,14,Override!$C$11:$C$40,"MXAU"),Override!$P$225)/AS51!$B$3,"")))</f>
        <v/>
      </c>
      <c r="T190" s="140">
        <f>IF(T$13="","",IF($B190="","",IFERROR($C190*$D190*IF((Override!$C$4="ON")*(COUNTIFS(Override!$B$11:$B$40,$B190,Override!$D$11:$D$40,15,Override!$E$11:$E$40,"&gt;=0")-COUNTIFS(Override!$B$11:$B$40,$B190,Override!$D$11:$D$40,15,Override!$E$11:$E$40,"&gt;=0",Override!$C$11:$C$40,"MXAU"))&gt;0,SUMIFS(Override!$E$11:$E$40,Override!$B$11:$B$40,$B190,Override!$D$11:$D$40,15)-SUMIFS(Override!$E$11:$E$40,Override!$B$11:$B$40,$B190,Override!$D$11:$D$40,15,Override!$C$11:$C$40,"MXAU"),Override!$Q$225)/AS51!$B$3,"")))</f>
        <v/>
      </c>
      <c r="U190" s="140">
        <f>IF(U$13="","",IF($B190="","",IFERROR($C190*$D190*IF((Override!$C$4="ON")*(COUNTIFS(Override!$B$11:$B$40,$B190,Override!$D$11:$D$40,16,Override!$E$11:$E$40,"&gt;=0")-COUNTIFS(Override!$B$11:$B$40,$B190,Override!$D$11:$D$40,16,Override!$E$11:$E$40,"&gt;=0",Override!$C$11:$C$40,"MXAU"))&gt;0,SUMIFS(Override!$E$11:$E$40,Override!$B$11:$B$40,$B190,Override!$D$11:$D$40,16)-SUMIFS(Override!$E$11:$E$40,Override!$B$11:$B$40,$B190,Override!$D$11:$D$40,16,Override!$C$11:$C$40,"MXAU"),Override!$R$225)/AS51!$B$3,"")))</f>
        <v/>
      </c>
      <c r="W190" s="140">
        <f>IF(W$13="","",IF($B190="","",IFERROR(F190*$E190/100,"")))</f>
        <v/>
      </c>
      <c r="X190" s="140">
        <f>IF(X$13="","",IF($B190="","",IFERROR(G190*$E190/100,"")))</f>
        <v/>
      </c>
      <c r="Y190" s="140">
        <f>IF(Y$13="","",IF($B190="","",IFERROR(H190*$E190/100,"")))</f>
        <v/>
      </c>
      <c r="Z190" s="140">
        <f>IF(Z$13="","",IF($B190="","",IFERROR(I190*$E190/100,"")))</f>
        <v/>
      </c>
      <c r="AA190" s="140">
        <f>IF(AA$13="","",IF($B190="","",IFERROR(J190*$E190/100,"")))</f>
        <v/>
      </c>
      <c r="AB190" s="140">
        <f>IF(AB$13="","",IF($B190="","",IFERROR(K190*$E190/100,"")))</f>
        <v/>
      </c>
      <c r="AC190" s="140">
        <f>IF(AC$13="","",IF($B190="","",IFERROR(L190*$E190/100,"")))</f>
        <v/>
      </c>
      <c r="AD190" s="140">
        <f>IF(AD$13="","",IF($B190="","",IFERROR(M190*$E190/100,"")))</f>
        <v/>
      </c>
      <c r="AE190" s="140">
        <f>IF(AE$13="","",IF($B190="","",IFERROR(N190*$E190/100,"")))</f>
        <v/>
      </c>
      <c r="AF190" s="140">
        <f>IF(AF$13="","",IF($B190="","",IFERROR(O190*$E190/100,"")))</f>
        <v/>
      </c>
      <c r="AG190" s="140">
        <f>IF(AG$13="","",IF($B190="","",IFERROR(P190*$E190/100,"")))</f>
        <v/>
      </c>
      <c r="AH190" s="140">
        <f>IF(AH$13="","",IF($B190="","",IFERROR(Q190*$E190/100,"")))</f>
        <v/>
      </c>
      <c r="AI190" s="140">
        <f>IF(AI$13="","",IF($B190="","",IFERROR(R190*$E190/100,"")))</f>
        <v/>
      </c>
      <c r="AJ190" s="140">
        <f>IF(AJ$13="","",IF($B190="","",IFERROR(S190*$E190/100,"")))</f>
        <v/>
      </c>
      <c r="AK190" s="140">
        <f>IF(AK$13="","",IF($B190="","",IFERROR(T190*$E190/100,"")))</f>
        <v/>
      </c>
      <c r="AL190" s="140">
        <f>IF(AL$13="","",IF($B190="","",IFERROR(U190*$E190/100,"")))</f>
        <v/>
      </c>
      <c r="AN190" s="140">
        <f>IF($B190="","",SUMIF($F$13:$U$13,"&lt;="&amp;Sector!$D$51,$F190:$U190))</f>
        <v/>
      </c>
      <c r="AO190" s="140">
        <f>IF($B190="","",SUMIF($W$13:$AL$13,"&lt;="&amp;Sector!$D$51,$W190:$AL190))</f>
        <v/>
      </c>
    </row>
    <row r="191">
      <c r="B191" s="5">
        <f>IF(AS51!$C$181="","",AS51!$C$181)</f>
        <v/>
      </c>
      <c r="C191" s="90">
        <f>IF(AS51!$B$181="","",AS51!$B$181)</f>
        <v/>
      </c>
      <c r="D191" s="138">
        <f>IFERROR(AS51!$Q$181,1)</f>
        <v/>
      </c>
      <c r="E191" s="139">
        <f>IF($B191="","",IF(ISNUMBER(AS51!$I$181),AS51!$I$181,'Index Summary'!$C$7))</f>
        <v/>
      </c>
      <c r="F191" s="140">
        <f>IF(F$13="","",IF($B191="","",IFERROR($C191*$D191*IF((Override!$C$4="ON")*(COUNTIFS(Override!$B$11:$B$40,$B191,Override!$D$11:$D$40,1,Override!$E$11:$E$40,"&gt;=0")-COUNTIFS(Override!$B$11:$B$40,$B191,Override!$D$11:$D$40,1,Override!$E$11:$E$40,"&gt;=0",Override!$C$11:$C$40,"MXAU"))&gt;0,SUMIFS(Override!$E$11:$E$40,Override!$B$11:$B$40,$B191,Override!$D$11:$D$40,1)-SUMIFS(Override!$E$11:$E$40,Override!$B$11:$B$40,$B191,Override!$D$11:$D$40,1,Override!$C$11:$C$40,"MXAU"),Override!$C$226)/AS51!$B$3,"")))</f>
        <v/>
      </c>
      <c r="G191" s="140">
        <f>IF(G$13="","",IF($B191="","",IFERROR($C191*$D191*IF((Override!$C$4="ON")*(COUNTIFS(Override!$B$11:$B$40,$B191,Override!$D$11:$D$40,2,Override!$E$11:$E$40,"&gt;=0")-COUNTIFS(Override!$B$11:$B$40,$B191,Override!$D$11:$D$40,2,Override!$E$11:$E$40,"&gt;=0",Override!$C$11:$C$40,"MXAU"))&gt;0,SUMIFS(Override!$E$11:$E$40,Override!$B$11:$B$40,$B191,Override!$D$11:$D$40,2)-SUMIFS(Override!$E$11:$E$40,Override!$B$11:$B$40,$B191,Override!$D$11:$D$40,2,Override!$C$11:$C$40,"MXAU"),Override!$D$226)/AS51!$B$3,"")))</f>
        <v/>
      </c>
      <c r="H191" s="140">
        <f>IF(H$13="","",IF($B191="","",IFERROR($C191*$D191*IF((Override!$C$4="ON")*(COUNTIFS(Override!$B$11:$B$40,$B191,Override!$D$11:$D$40,3,Override!$E$11:$E$40,"&gt;=0")-COUNTIFS(Override!$B$11:$B$40,$B191,Override!$D$11:$D$40,3,Override!$E$11:$E$40,"&gt;=0",Override!$C$11:$C$40,"MXAU"))&gt;0,SUMIFS(Override!$E$11:$E$40,Override!$B$11:$B$40,$B191,Override!$D$11:$D$40,3)-SUMIFS(Override!$E$11:$E$40,Override!$B$11:$B$40,$B191,Override!$D$11:$D$40,3,Override!$C$11:$C$40,"MXAU"),Override!$E$226)/AS51!$B$3,"")))</f>
        <v/>
      </c>
      <c r="I191" s="140">
        <f>IF(I$13="","",IF($B191="","",IFERROR($C191*$D191*IF((Override!$C$4="ON")*(COUNTIFS(Override!$B$11:$B$40,$B191,Override!$D$11:$D$40,4,Override!$E$11:$E$40,"&gt;=0")-COUNTIFS(Override!$B$11:$B$40,$B191,Override!$D$11:$D$40,4,Override!$E$11:$E$40,"&gt;=0",Override!$C$11:$C$40,"MXAU"))&gt;0,SUMIFS(Override!$E$11:$E$40,Override!$B$11:$B$40,$B191,Override!$D$11:$D$40,4)-SUMIFS(Override!$E$11:$E$40,Override!$B$11:$B$40,$B191,Override!$D$11:$D$40,4,Override!$C$11:$C$40,"MXAU"),Override!$F$226)/AS51!$B$3,"")))</f>
        <v/>
      </c>
      <c r="J191" s="140">
        <f>IF(J$13="","",IF($B191="","",IFERROR($C191*$D191*IF((Override!$C$4="ON")*(COUNTIFS(Override!$B$11:$B$40,$B191,Override!$D$11:$D$40,5,Override!$E$11:$E$40,"&gt;=0")-COUNTIFS(Override!$B$11:$B$40,$B191,Override!$D$11:$D$40,5,Override!$E$11:$E$40,"&gt;=0",Override!$C$11:$C$40,"MXAU"))&gt;0,SUMIFS(Override!$E$11:$E$40,Override!$B$11:$B$40,$B191,Override!$D$11:$D$40,5)-SUMIFS(Override!$E$11:$E$40,Override!$B$11:$B$40,$B191,Override!$D$11:$D$40,5,Override!$C$11:$C$40,"MXAU"),Override!$G$226)/AS51!$B$3,"")))</f>
        <v/>
      </c>
      <c r="K191" s="140">
        <f>IF(K$13="","",IF($B191="","",IFERROR($C191*$D191*IF((Override!$C$4="ON")*(COUNTIFS(Override!$B$11:$B$40,$B191,Override!$D$11:$D$40,6,Override!$E$11:$E$40,"&gt;=0")-COUNTIFS(Override!$B$11:$B$40,$B191,Override!$D$11:$D$40,6,Override!$E$11:$E$40,"&gt;=0",Override!$C$11:$C$40,"MXAU"))&gt;0,SUMIFS(Override!$E$11:$E$40,Override!$B$11:$B$40,$B191,Override!$D$11:$D$40,6)-SUMIFS(Override!$E$11:$E$40,Override!$B$11:$B$40,$B191,Override!$D$11:$D$40,6,Override!$C$11:$C$40,"MXAU"),Override!$H$226)/AS51!$B$3,"")))</f>
        <v/>
      </c>
      <c r="L191" s="140">
        <f>IF(L$13="","",IF($B191="","",IFERROR($C191*$D191*IF((Override!$C$4="ON")*(COUNTIFS(Override!$B$11:$B$40,$B191,Override!$D$11:$D$40,7,Override!$E$11:$E$40,"&gt;=0")-COUNTIFS(Override!$B$11:$B$40,$B191,Override!$D$11:$D$40,7,Override!$E$11:$E$40,"&gt;=0",Override!$C$11:$C$40,"MXAU"))&gt;0,SUMIFS(Override!$E$11:$E$40,Override!$B$11:$B$40,$B191,Override!$D$11:$D$40,7)-SUMIFS(Override!$E$11:$E$40,Override!$B$11:$B$40,$B191,Override!$D$11:$D$40,7,Override!$C$11:$C$40,"MXAU"),Override!$I$226)/AS51!$B$3,"")))</f>
        <v/>
      </c>
      <c r="M191" s="140">
        <f>IF(M$13="","",IF($B191="","",IFERROR($C191*$D191*IF((Override!$C$4="ON")*(COUNTIFS(Override!$B$11:$B$40,$B191,Override!$D$11:$D$40,8,Override!$E$11:$E$40,"&gt;=0")-COUNTIFS(Override!$B$11:$B$40,$B191,Override!$D$11:$D$40,8,Override!$E$11:$E$40,"&gt;=0",Override!$C$11:$C$40,"MXAU"))&gt;0,SUMIFS(Override!$E$11:$E$40,Override!$B$11:$B$40,$B191,Override!$D$11:$D$40,8)-SUMIFS(Override!$E$11:$E$40,Override!$B$11:$B$40,$B191,Override!$D$11:$D$40,8,Override!$C$11:$C$40,"MXAU"),Override!$J$226)/AS51!$B$3,"")))</f>
        <v/>
      </c>
      <c r="N191" s="140">
        <f>IF(N$13="","",IF($B191="","",IFERROR($C191*$D191*IF((Override!$C$4="ON")*(COUNTIFS(Override!$B$11:$B$40,$B191,Override!$D$11:$D$40,9,Override!$E$11:$E$40,"&gt;=0")-COUNTIFS(Override!$B$11:$B$40,$B191,Override!$D$11:$D$40,9,Override!$E$11:$E$40,"&gt;=0",Override!$C$11:$C$40,"MXAU"))&gt;0,SUMIFS(Override!$E$11:$E$40,Override!$B$11:$B$40,$B191,Override!$D$11:$D$40,9)-SUMIFS(Override!$E$11:$E$40,Override!$B$11:$B$40,$B191,Override!$D$11:$D$40,9,Override!$C$11:$C$40,"MXAU"),Override!$K$226)/AS51!$B$3,"")))</f>
        <v/>
      </c>
      <c r="O191" s="140">
        <f>IF(O$13="","",IF($B191="","",IFERROR($C191*$D191*IF((Override!$C$4="ON")*(COUNTIFS(Override!$B$11:$B$40,$B191,Override!$D$11:$D$40,10,Override!$E$11:$E$40,"&gt;=0")-COUNTIFS(Override!$B$11:$B$40,$B191,Override!$D$11:$D$40,10,Override!$E$11:$E$40,"&gt;=0",Override!$C$11:$C$40,"MXAU"))&gt;0,SUMIFS(Override!$E$11:$E$40,Override!$B$11:$B$40,$B191,Override!$D$11:$D$40,10)-SUMIFS(Override!$E$11:$E$40,Override!$B$11:$B$40,$B191,Override!$D$11:$D$40,10,Override!$C$11:$C$40,"MXAU"),Override!$L$226)/AS51!$B$3,"")))</f>
        <v/>
      </c>
      <c r="P191" s="140">
        <f>IF(P$13="","",IF($B191="","",IFERROR($C191*$D191*IF((Override!$C$4="ON")*(COUNTIFS(Override!$B$11:$B$40,$B191,Override!$D$11:$D$40,11,Override!$E$11:$E$40,"&gt;=0")-COUNTIFS(Override!$B$11:$B$40,$B191,Override!$D$11:$D$40,11,Override!$E$11:$E$40,"&gt;=0",Override!$C$11:$C$40,"MXAU"))&gt;0,SUMIFS(Override!$E$11:$E$40,Override!$B$11:$B$40,$B191,Override!$D$11:$D$40,11)-SUMIFS(Override!$E$11:$E$40,Override!$B$11:$B$40,$B191,Override!$D$11:$D$40,11,Override!$C$11:$C$40,"MXAU"),Override!$M$226)/AS51!$B$3,"")))</f>
        <v/>
      </c>
      <c r="Q191" s="140">
        <f>IF(Q$13="","",IF($B191="","",IFERROR($C191*$D191*IF((Override!$C$4="ON")*(COUNTIFS(Override!$B$11:$B$40,$B191,Override!$D$11:$D$40,12,Override!$E$11:$E$40,"&gt;=0")-COUNTIFS(Override!$B$11:$B$40,$B191,Override!$D$11:$D$40,12,Override!$E$11:$E$40,"&gt;=0",Override!$C$11:$C$40,"MXAU"))&gt;0,SUMIFS(Override!$E$11:$E$40,Override!$B$11:$B$40,$B191,Override!$D$11:$D$40,12)-SUMIFS(Override!$E$11:$E$40,Override!$B$11:$B$40,$B191,Override!$D$11:$D$40,12,Override!$C$11:$C$40,"MXAU"),Override!$N$226)/AS51!$B$3,"")))</f>
        <v/>
      </c>
      <c r="R191" s="140">
        <f>IF(R$13="","",IF($B191="","",IFERROR($C191*$D191*IF((Override!$C$4="ON")*(COUNTIFS(Override!$B$11:$B$40,$B191,Override!$D$11:$D$40,13,Override!$E$11:$E$40,"&gt;=0")-COUNTIFS(Override!$B$11:$B$40,$B191,Override!$D$11:$D$40,13,Override!$E$11:$E$40,"&gt;=0",Override!$C$11:$C$40,"MXAU"))&gt;0,SUMIFS(Override!$E$11:$E$40,Override!$B$11:$B$40,$B191,Override!$D$11:$D$40,13)-SUMIFS(Override!$E$11:$E$40,Override!$B$11:$B$40,$B191,Override!$D$11:$D$40,13,Override!$C$11:$C$40,"MXAU"),Override!$O$226)/AS51!$B$3,"")))</f>
        <v/>
      </c>
      <c r="S191" s="140">
        <f>IF(S$13="","",IF($B191="","",IFERROR($C191*$D191*IF((Override!$C$4="ON")*(COUNTIFS(Override!$B$11:$B$40,$B191,Override!$D$11:$D$40,14,Override!$E$11:$E$40,"&gt;=0")-COUNTIFS(Override!$B$11:$B$40,$B191,Override!$D$11:$D$40,14,Override!$E$11:$E$40,"&gt;=0",Override!$C$11:$C$40,"MXAU"))&gt;0,SUMIFS(Override!$E$11:$E$40,Override!$B$11:$B$40,$B191,Override!$D$11:$D$40,14)-SUMIFS(Override!$E$11:$E$40,Override!$B$11:$B$40,$B191,Override!$D$11:$D$40,14,Override!$C$11:$C$40,"MXAU"),Override!$P$226)/AS51!$B$3,"")))</f>
        <v/>
      </c>
      <c r="T191" s="140">
        <f>IF(T$13="","",IF($B191="","",IFERROR($C191*$D191*IF((Override!$C$4="ON")*(COUNTIFS(Override!$B$11:$B$40,$B191,Override!$D$11:$D$40,15,Override!$E$11:$E$40,"&gt;=0")-COUNTIFS(Override!$B$11:$B$40,$B191,Override!$D$11:$D$40,15,Override!$E$11:$E$40,"&gt;=0",Override!$C$11:$C$40,"MXAU"))&gt;0,SUMIFS(Override!$E$11:$E$40,Override!$B$11:$B$40,$B191,Override!$D$11:$D$40,15)-SUMIFS(Override!$E$11:$E$40,Override!$B$11:$B$40,$B191,Override!$D$11:$D$40,15,Override!$C$11:$C$40,"MXAU"),Override!$Q$226)/AS51!$B$3,"")))</f>
        <v/>
      </c>
      <c r="U191" s="140">
        <f>IF(U$13="","",IF($B191="","",IFERROR($C191*$D191*IF((Override!$C$4="ON")*(COUNTIFS(Override!$B$11:$B$40,$B191,Override!$D$11:$D$40,16,Override!$E$11:$E$40,"&gt;=0")-COUNTIFS(Override!$B$11:$B$40,$B191,Override!$D$11:$D$40,16,Override!$E$11:$E$40,"&gt;=0",Override!$C$11:$C$40,"MXAU"))&gt;0,SUMIFS(Override!$E$11:$E$40,Override!$B$11:$B$40,$B191,Override!$D$11:$D$40,16)-SUMIFS(Override!$E$11:$E$40,Override!$B$11:$B$40,$B191,Override!$D$11:$D$40,16,Override!$C$11:$C$40,"MXAU"),Override!$R$226)/AS51!$B$3,"")))</f>
        <v/>
      </c>
      <c r="W191" s="140">
        <f>IF(W$13="","",IF($B191="","",IFERROR(F191*$E191/100,"")))</f>
        <v/>
      </c>
      <c r="X191" s="140">
        <f>IF(X$13="","",IF($B191="","",IFERROR(G191*$E191/100,"")))</f>
        <v/>
      </c>
      <c r="Y191" s="140">
        <f>IF(Y$13="","",IF($B191="","",IFERROR(H191*$E191/100,"")))</f>
        <v/>
      </c>
      <c r="Z191" s="140">
        <f>IF(Z$13="","",IF($B191="","",IFERROR(I191*$E191/100,"")))</f>
        <v/>
      </c>
      <c r="AA191" s="140">
        <f>IF(AA$13="","",IF($B191="","",IFERROR(J191*$E191/100,"")))</f>
        <v/>
      </c>
      <c r="AB191" s="140">
        <f>IF(AB$13="","",IF($B191="","",IFERROR(K191*$E191/100,"")))</f>
        <v/>
      </c>
      <c r="AC191" s="140">
        <f>IF(AC$13="","",IF($B191="","",IFERROR(L191*$E191/100,"")))</f>
        <v/>
      </c>
      <c r="AD191" s="140">
        <f>IF(AD$13="","",IF($B191="","",IFERROR(M191*$E191/100,"")))</f>
        <v/>
      </c>
      <c r="AE191" s="140">
        <f>IF(AE$13="","",IF($B191="","",IFERROR(N191*$E191/100,"")))</f>
        <v/>
      </c>
      <c r="AF191" s="140">
        <f>IF(AF$13="","",IF($B191="","",IFERROR(O191*$E191/100,"")))</f>
        <v/>
      </c>
      <c r="AG191" s="140">
        <f>IF(AG$13="","",IF($B191="","",IFERROR(P191*$E191/100,"")))</f>
        <v/>
      </c>
      <c r="AH191" s="140">
        <f>IF(AH$13="","",IF($B191="","",IFERROR(Q191*$E191/100,"")))</f>
        <v/>
      </c>
      <c r="AI191" s="140">
        <f>IF(AI$13="","",IF($B191="","",IFERROR(R191*$E191/100,"")))</f>
        <v/>
      </c>
      <c r="AJ191" s="140">
        <f>IF(AJ$13="","",IF($B191="","",IFERROR(S191*$E191/100,"")))</f>
        <v/>
      </c>
      <c r="AK191" s="140">
        <f>IF(AK$13="","",IF($B191="","",IFERROR(T191*$E191/100,"")))</f>
        <v/>
      </c>
      <c r="AL191" s="140">
        <f>IF(AL$13="","",IF($B191="","",IFERROR(U191*$E191/100,"")))</f>
        <v/>
      </c>
      <c r="AN191" s="140">
        <f>IF($B191="","",SUMIF($F$13:$U$13,"&lt;="&amp;Sector!$D$51,$F191:$U191))</f>
        <v/>
      </c>
      <c r="AO191" s="140">
        <f>IF($B191="","",SUMIF($W$13:$AL$13,"&lt;="&amp;Sector!$D$51,$W191:$AL191))</f>
        <v/>
      </c>
    </row>
    <row r="192">
      <c r="B192" s="5">
        <f>IF(AS51!$C$182="","",AS51!$C$182)</f>
        <v/>
      </c>
      <c r="C192" s="90">
        <f>IF(AS51!$B$182="","",AS51!$B$182)</f>
        <v/>
      </c>
      <c r="D192" s="138">
        <f>IFERROR(AS51!$Q$182,1)</f>
        <v/>
      </c>
      <c r="E192" s="139">
        <f>IF($B192="","",IF(ISNUMBER(AS51!$I$182),AS51!$I$182,'Index Summary'!$C$7))</f>
        <v/>
      </c>
      <c r="F192" s="140">
        <f>IF(F$13="","",IF($B192="","",IFERROR($C192*$D192*IF((Override!$C$4="ON")*(COUNTIFS(Override!$B$11:$B$40,$B192,Override!$D$11:$D$40,1,Override!$E$11:$E$40,"&gt;=0")-COUNTIFS(Override!$B$11:$B$40,$B192,Override!$D$11:$D$40,1,Override!$E$11:$E$40,"&gt;=0",Override!$C$11:$C$40,"MXAU"))&gt;0,SUMIFS(Override!$E$11:$E$40,Override!$B$11:$B$40,$B192,Override!$D$11:$D$40,1)-SUMIFS(Override!$E$11:$E$40,Override!$B$11:$B$40,$B192,Override!$D$11:$D$40,1,Override!$C$11:$C$40,"MXAU"),Override!$C$227)/AS51!$B$3,"")))</f>
        <v/>
      </c>
      <c r="G192" s="140">
        <f>IF(G$13="","",IF($B192="","",IFERROR($C192*$D192*IF((Override!$C$4="ON")*(COUNTIFS(Override!$B$11:$B$40,$B192,Override!$D$11:$D$40,2,Override!$E$11:$E$40,"&gt;=0")-COUNTIFS(Override!$B$11:$B$40,$B192,Override!$D$11:$D$40,2,Override!$E$11:$E$40,"&gt;=0",Override!$C$11:$C$40,"MXAU"))&gt;0,SUMIFS(Override!$E$11:$E$40,Override!$B$11:$B$40,$B192,Override!$D$11:$D$40,2)-SUMIFS(Override!$E$11:$E$40,Override!$B$11:$B$40,$B192,Override!$D$11:$D$40,2,Override!$C$11:$C$40,"MXAU"),Override!$D$227)/AS51!$B$3,"")))</f>
        <v/>
      </c>
      <c r="H192" s="140">
        <f>IF(H$13="","",IF($B192="","",IFERROR($C192*$D192*IF((Override!$C$4="ON")*(COUNTIFS(Override!$B$11:$B$40,$B192,Override!$D$11:$D$40,3,Override!$E$11:$E$40,"&gt;=0")-COUNTIFS(Override!$B$11:$B$40,$B192,Override!$D$11:$D$40,3,Override!$E$11:$E$40,"&gt;=0",Override!$C$11:$C$40,"MXAU"))&gt;0,SUMIFS(Override!$E$11:$E$40,Override!$B$11:$B$40,$B192,Override!$D$11:$D$40,3)-SUMIFS(Override!$E$11:$E$40,Override!$B$11:$B$40,$B192,Override!$D$11:$D$40,3,Override!$C$11:$C$40,"MXAU"),Override!$E$227)/AS51!$B$3,"")))</f>
        <v/>
      </c>
      <c r="I192" s="140">
        <f>IF(I$13="","",IF($B192="","",IFERROR($C192*$D192*IF((Override!$C$4="ON")*(COUNTIFS(Override!$B$11:$B$40,$B192,Override!$D$11:$D$40,4,Override!$E$11:$E$40,"&gt;=0")-COUNTIFS(Override!$B$11:$B$40,$B192,Override!$D$11:$D$40,4,Override!$E$11:$E$40,"&gt;=0",Override!$C$11:$C$40,"MXAU"))&gt;0,SUMIFS(Override!$E$11:$E$40,Override!$B$11:$B$40,$B192,Override!$D$11:$D$40,4)-SUMIFS(Override!$E$11:$E$40,Override!$B$11:$B$40,$B192,Override!$D$11:$D$40,4,Override!$C$11:$C$40,"MXAU"),Override!$F$227)/AS51!$B$3,"")))</f>
        <v/>
      </c>
      <c r="J192" s="140">
        <f>IF(J$13="","",IF($B192="","",IFERROR($C192*$D192*IF((Override!$C$4="ON")*(COUNTIFS(Override!$B$11:$B$40,$B192,Override!$D$11:$D$40,5,Override!$E$11:$E$40,"&gt;=0")-COUNTIFS(Override!$B$11:$B$40,$B192,Override!$D$11:$D$40,5,Override!$E$11:$E$40,"&gt;=0",Override!$C$11:$C$40,"MXAU"))&gt;0,SUMIFS(Override!$E$11:$E$40,Override!$B$11:$B$40,$B192,Override!$D$11:$D$40,5)-SUMIFS(Override!$E$11:$E$40,Override!$B$11:$B$40,$B192,Override!$D$11:$D$40,5,Override!$C$11:$C$40,"MXAU"),Override!$G$227)/AS51!$B$3,"")))</f>
        <v/>
      </c>
      <c r="K192" s="140">
        <f>IF(K$13="","",IF($B192="","",IFERROR($C192*$D192*IF((Override!$C$4="ON")*(COUNTIFS(Override!$B$11:$B$40,$B192,Override!$D$11:$D$40,6,Override!$E$11:$E$40,"&gt;=0")-COUNTIFS(Override!$B$11:$B$40,$B192,Override!$D$11:$D$40,6,Override!$E$11:$E$40,"&gt;=0",Override!$C$11:$C$40,"MXAU"))&gt;0,SUMIFS(Override!$E$11:$E$40,Override!$B$11:$B$40,$B192,Override!$D$11:$D$40,6)-SUMIFS(Override!$E$11:$E$40,Override!$B$11:$B$40,$B192,Override!$D$11:$D$40,6,Override!$C$11:$C$40,"MXAU"),Override!$H$227)/AS51!$B$3,"")))</f>
        <v/>
      </c>
      <c r="L192" s="140">
        <f>IF(L$13="","",IF($B192="","",IFERROR($C192*$D192*IF((Override!$C$4="ON")*(COUNTIFS(Override!$B$11:$B$40,$B192,Override!$D$11:$D$40,7,Override!$E$11:$E$40,"&gt;=0")-COUNTIFS(Override!$B$11:$B$40,$B192,Override!$D$11:$D$40,7,Override!$E$11:$E$40,"&gt;=0",Override!$C$11:$C$40,"MXAU"))&gt;0,SUMIFS(Override!$E$11:$E$40,Override!$B$11:$B$40,$B192,Override!$D$11:$D$40,7)-SUMIFS(Override!$E$11:$E$40,Override!$B$11:$B$40,$B192,Override!$D$11:$D$40,7,Override!$C$11:$C$40,"MXAU"),Override!$I$227)/AS51!$B$3,"")))</f>
        <v/>
      </c>
      <c r="M192" s="140">
        <f>IF(M$13="","",IF($B192="","",IFERROR($C192*$D192*IF((Override!$C$4="ON")*(COUNTIFS(Override!$B$11:$B$40,$B192,Override!$D$11:$D$40,8,Override!$E$11:$E$40,"&gt;=0")-COUNTIFS(Override!$B$11:$B$40,$B192,Override!$D$11:$D$40,8,Override!$E$11:$E$40,"&gt;=0",Override!$C$11:$C$40,"MXAU"))&gt;0,SUMIFS(Override!$E$11:$E$40,Override!$B$11:$B$40,$B192,Override!$D$11:$D$40,8)-SUMIFS(Override!$E$11:$E$40,Override!$B$11:$B$40,$B192,Override!$D$11:$D$40,8,Override!$C$11:$C$40,"MXAU"),Override!$J$227)/AS51!$B$3,"")))</f>
        <v/>
      </c>
      <c r="N192" s="140">
        <f>IF(N$13="","",IF($B192="","",IFERROR($C192*$D192*IF((Override!$C$4="ON")*(COUNTIFS(Override!$B$11:$B$40,$B192,Override!$D$11:$D$40,9,Override!$E$11:$E$40,"&gt;=0")-COUNTIFS(Override!$B$11:$B$40,$B192,Override!$D$11:$D$40,9,Override!$E$11:$E$40,"&gt;=0",Override!$C$11:$C$40,"MXAU"))&gt;0,SUMIFS(Override!$E$11:$E$40,Override!$B$11:$B$40,$B192,Override!$D$11:$D$40,9)-SUMIFS(Override!$E$11:$E$40,Override!$B$11:$B$40,$B192,Override!$D$11:$D$40,9,Override!$C$11:$C$40,"MXAU"),Override!$K$227)/AS51!$B$3,"")))</f>
        <v/>
      </c>
      <c r="O192" s="140">
        <f>IF(O$13="","",IF($B192="","",IFERROR($C192*$D192*IF((Override!$C$4="ON")*(COUNTIFS(Override!$B$11:$B$40,$B192,Override!$D$11:$D$40,10,Override!$E$11:$E$40,"&gt;=0")-COUNTIFS(Override!$B$11:$B$40,$B192,Override!$D$11:$D$40,10,Override!$E$11:$E$40,"&gt;=0",Override!$C$11:$C$40,"MXAU"))&gt;0,SUMIFS(Override!$E$11:$E$40,Override!$B$11:$B$40,$B192,Override!$D$11:$D$40,10)-SUMIFS(Override!$E$11:$E$40,Override!$B$11:$B$40,$B192,Override!$D$11:$D$40,10,Override!$C$11:$C$40,"MXAU"),Override!$L$227)/AS51!$B$3,"")))</f>
        <v/>
      </c>
      <c r="P192" s="140">
        <f>IF(P$13="","",IF($B192="","",IFERROR($C192*$D192*IF((Override!$C$4="ON")*(COUNTIFS(Override!$B$11:$B$40,$B192,Override!$D$11:$D$40,11,Override!$E$11:$E$40,"&gt;=0")-COUNTIFS(Override!$B$11:$B$40,$B192,Override!$D$11:$D$40,11,Override!$E$11:$E$40,"&gt;=0",Override!$C$11:$C$40,"MXAU"))&gt;0,SUMIFS(Override!$E$11:$E$40,Override!$B$11:$B$40,$B192,Override!$D$11:$D$40,11)-SUMIFS(Override!$E$11:$E$40,Override!$B$11:$B$40,$B192,Override!$D$11:$D$40,11,Override!$C$11:$C$40,"MXAU"),Override!$M$227)/AS51!$B$3,"")))</f>
        <v/>
      </c>
      <c r="Q192" s="140">
        <f>IF(Q$13="","",IF($B192="","",IFERROR($C192*$D192*IF((Override!$C$4="ON")*(COUNTIFS(Override!$B$11:$B$40,$B192,Override!$D$11:$D$40,12,Override!$E$11:$E$40,"&gt;=0")-COUNTIFS(Override!$B$11:$B$40,$B192,Override!$D$11:$D$40,12,Override!$E$11:$E$40,"&gt;=0",Override!$C$11:$C$40,"MXAU"))&gt;0,SUMIFS(Override!$E$11:$E$40,Override!$B$11:$B$40,$B192,Override!$D$11:$D$40,12)-SUMIFS(Override!$E$11:$E$40,Override!$B$11:$B$40,$B192,Override!$D$11:$D$40,12,Override!$C$11:$C$40,"MXAU"),Override!$N$227)/AS51!$B$3,"")))</f>
        <v/>
      </c>
      <c r="R192" s="140">
        <f>IF(R$13="","",IF($B192="","",IFERROR($C192*$D192*IF((Override!$C$4="ON")*(COUNTIFS(Override!$B$11:$B$40,$B192,Override!$D$11:$D$40,13,Override!$E$11:$E$40,"&gt;=0")-COUNTIFS(Override!$B$11:$B$40,$B192,Override!$D$11:$D$40,13,Override!$E$11:$E$40,"&gt;=0",Override!$C$11:$C$40,"MXAU"))&gt;0,SUMIFS(Override!$E$11:$E$40,Override!$B$11:$B$40,$B192,Override!$D$11:$D$40,13)-SUMIFS(Override!$E$11:$E$40,Override!$B$11:$B$40,$B192,Override!$D$11:$D$40,13,Override!$C$11:$C$40,"MXAU"),Override!$O$227)/AS51!$B$3,"")))</f>
        <v/>
      </c>
      <c r="S192" s="140">
        <f>IF(S$13="","",IF($B192="","",IFERROR($C192*$D192*IF((Override!$C$4="ON")*(COUNTIFS(Override!$B$11:$B$40,$B192,Override!$D$11:$D$40,14,Override!$E$11:$E$40,"&gt;=0")-COUNTIFS(Override!$B$11:$B$40,$B192,Override!$D$11:$D$40,14,Override!$E$11:$E$40,"&gt;=0",Override!$C$11:$C$40,"MXAU"))&gt;0,SUMIFS(Override!$E$11:$E$40,Override!$B$11:$B$40,$B192,Override!$D$11:$D$40,14)-SUMIFS(Override!$E$11:$E$40,Override!$B$11:$B$40,$B192,Override!$D$11:$D$40,14,Override!$C$11:$C$40,"MXAU"),Override!$P$227)/AS51!$B$3,"")))</f>
        <v/>
      </c>
      <c r="T192" s="140">
        <f>IF(T$13="","",IF($B192="","",IFERROR($C192*$D192*IF((Override!$C$4="ON")*(COUNTIFS(Override!$B$11:$B$40,$B192,Override!$D$11:$D$40,15,Override!$E$11:$E$40,"&gt;=0")-COUNTIFS(Override!$B$11:$B$40,$B192,Override!$D$11:$D$40,15,Override!$E$11:$E$40,"&gt;=0",Override!$C$11:$C$40,"MXAU"))&gt;0,SUMIFS(Override!$E$11:$E$40,Override!$B$11:$B$40,$B192,Override!$D$11:$D$40,15)-SUMIFS(Override!$E$11:$E$40,Override!$B$11:$B$40,$B192,Override!$D$11:$D$40,15,Override!$C$11:$C$40,"MXAU"),Override!$Q$227)/AS51!$B$3,"")))</f>
        <v/>
      </c>
      <c r="U192" s="140">
        <f>IF(U$13="","",IF($B192="","",IFERROR($C192*$D192*IF((Override!$C$4="ON")*(COUNTIFS(Override!$B$11:$B$40,$B192,Override!$D$11:$D$40,16,Override!$E$11:$E$40,"&gt;=0")-COUNTIFS(Override!$B$11:$B$40,$B192,Override!$D$11:$D$40,16,Override!$E$11:$E$40,"&gt;=0",Override!$C$11:$C$40,"MXAU"))&gt;0,SUMIFS(Override!$E$11:$E$40,Override!$B$11:$B$40,$B192,Override!$D$11:$D$40,16)-SUMIFS(Override!$E$11:$E$40,Override!$B$11:$B$40,$B192,Override!$D$11:$D$40,16,Override!$C$11:$C$40,"MXAU"),Override!$R$227)/AS51!$B$3,"")))</f>
        <v/>
      </c>
      <c r="W192" s="140">
        <f>IF(W$13="","",IF($B192="","",IFERROR(F192*$E192/100,"")))</f>
        <v/>
      </c>
      <c r="X192" s="140">
        <f>IF(X$13="","",IF($B192="","",IFERROR(G192*$E192/100,"")))</f>
        <v/>
      </c>
      <c r="Y192" s="140">
        <f>IF(Y$13="","",IF($B192="","",IFERROR(H192*$E192/100,"")))</f>
        <v/>
      </c>
      <c r="Z192" s="140">
        <f>IF(Z$13="","",IF($B192="","",IFERROR(I192*$E192/100,"")))</f>
        <v/>
      </c>
      <c r="AA192" s="140">
        <f>IF(AA$13="","",IF($B192="","",IFERROR(J192*$E192/100,"")))</f>
        <v/>
      </c>
      <c r="AB192" s="140">
        <f>IF(AB$13="","",IF($B192="","",IFERROR(K192*$E192/100,"")))</f>
        <v/>
      </c>
      <c r="AC192" s="140">
        <f>IF(AC$13="","",IF($B192="","",IFERROR(L192*$E192/100,"")))</f>
        <v/>
      </c>
      <c r="AD192" s="140">
        <f>IF(AD$13="","",IF($B192="","",IFERROR(M192*$E192/100,"")))</f>
        <v/>
      </c>
      <c r="AE192" s="140">
        <f>IF(AE$13="","",IF($B192="","",IFERROR(N192*$E192/100,"")))</f>
        <v/>
      </c>
      <c r="AF192" s="140">
        <f>IF(AF$13="","",IF($B192="","",IFERROR(O192*$E192/100,"")))</f>
        <v/>
      </c>
      <c r="AG192" s="140">
        <f>IF(AG$13="","",IF($B192="","",IFERROR(P192*$E192/100,"")))</f>
        <v/>
      </c>
      <c r="AH192" s="140">
        <f>IF(AH$13="","",IF($B192="","",IFERROR(Q192*$E192/100,"")))</f>
        <v/>
      </c>
      <c r="AI192" s="140">
        <f>IF(AI$13="","",IF($B192="","",IFERROR(R192*$E192/100,"")))</f>
        <v/>
      </c>
      <c r="AJ192" s="140">
        <f>IF(AJ$13="","",IF($B192="","",IFERROR(S192*$E192/100,"")))</f>
        <v/>
      </c>
      <c r="AK192" s="140">
        <f>IF(AK$13="","",IF($B192="","",IFERROR(T192*$E192/100,"")))</f>
        <v/>
      </c>
      <c r="AL192" s="140">
        <f>IF(AL$13="","",IF($B192="","",IFERROR(U192*$E192/100,"")))</f>
        <v/>
      </c>
      <c r="AN192" s="140">
        <f>IF($B192="","",SUMIF($F$13:$U$13,"&lt;="&amp;Sector!$D$51,$F192:$U192))</f>
        <v/>
      </c>
      <c r="AO192" s="140">
        <f>IF($B192="","",SUMIF($W$13:$AL$13,"&lt;="&amp;Sector!$D$51,$W192:$AL192))</f>
        <v/>
      </c>
    </row>
    <row r="193">
      <c r="B193" s="5">
        <f>IF(AS51!$C$183="","",AS51!$C$183)</f>
        <v/>
      </c>
      <c r="C193" s="90">
        <f>IF(AS51!$B$183="","",AS51!$B$183)</f>
        <v/>
      </c>
      <c r="D193" s="138">
        <f>IFERROR(AS51!$Q$183,1)</f>
        <v/>
      </c>
      <c r="E193" s="139">
        <f>IF($B193="","",IF(ISNUMBER(AS51!$I$183),AS51!$I$183,'Index Summary'!$C$7))</f>
        <v/>
      </c>
      <c r="F193" s="140">
        <f>IF(F$13="","",IF($B193="","",IFERROR($C193*$D193*IF((Override!$C$4="ON")*(COUNTIFS(Override!$B$11:$B$40,$B193,Override!$D$11:$D$40,1,Override!$E$11:$E$40,"&gt;=0")-COUNTIFS(Override!$B$11:$B$40,$B193,Override!$D$11:$D$40,1,Override!$E$11:$E$40,"&gt;=0",Override!$C$11:$C$40,"MXAU"))&gt;0,SUMIFS(Override!$E$11:$E$40,Override!$B$11:$B$40,$B193,Override!$D$11:$D$40,1)-SUMIFS(Override!$E$11:$E$40,Override!$B$11:$B$40,$B193,Override!$D$11:$D$40,1,Override!$C$11:$C$40,"MXAU"),Override!$C$228)/AS51!$B$3,"")))</f>
        <v/>
      </c>
      <c r="G193" s="140">
        <f>IF(G$13="","",IF($B193="","",IFERROR($C193*$D193*IF((Override!$C$4="ON")*(COUNTIFS(Override!$B$11:$B$40,$B193,Override!$D$11:$D$40,2,Override!$E$11:$E$40,"&gt;=0")-COUNTIFS(Override!$B$11:$B$40,$B193,Override!$D$11:$D$40,2,Override!$E$11:$E$40,"&gt;=0",Override!$C$11:$C$40,"MXAU"))&gt;0,SUMIFS(Override!$E$11:$E$40,Override!$B$11:$B$40,$B193,Override!$D$11:$D$40,2)-SUMIFS(Override!$E$11:$E$40,Override!$B$11:$B$40,$B193,Override!$D$11:$D$40,2,Override!$C$11:$C$40,"MXAU"),Override!$D$228)/AS51!$B$3,"")))</f>
        <v/>
      </c>
      <c r="H193" s="140">
        <f>IF(H$13="","",IF($B193="","",IFERROR($C193*$D193*IF((Override!$C$4="ON")*(COUNTIFS(Override!$B$11:$B$40,$B193,Override!$D$11:$D$40,3,Override!$E$11:$E$40,"&gt;=0")-COUNTIFS(Override!$B$11:$B$40,$B193,Override!$D$11:$D$40,3,Override!$E$11:$E$40,"&gt;=0",Override!$C$11:$C$40,"MXAU"))&gt;0,SUMIFS(Override!$E$11:$E$40,Override!$B$11:$B$40,$B193,Override!$D$11:$D$40,3)-SUMIFS(Override!$E$11:$E$40,Override!$B$11:$B$40,$B193,Override!$D$11:$D$40,3,Override!$C$11:$C$40,"MXAU"),Override!$E$228)/AS51!$B$3,"")))</f>
        <v/>
      </c>
      <c r="I193" s="140">
        <f>IF(I$13="","",IF($B193="","",IFERROR($C193*$D193*IF((Override!$C$4="ON")*(COUNTIFS(Override!$B$11:$B$40,$B193,Override!$D$11:$D$40,4,Override!$E$11:$E$40,"&gt;=0")-COUNTIFS(Override!$B$11:$B$40,$B193,Override!$D$11:$D$40,4,Override!$E$11:$E$40,"&gt;=0",Override!$C$11:$C$40,"MXAU"))&gt;0,SUMIFS(Override!$E$11:$E$40,Override!$B$11:$B$40,$B193,Override!$D$11:$D$40,4)-SUMIFS(Override!$E$11:$E$40,Override!$B$11:$B$40,$B193,Override!$D$11:$D$40,4,Override!$C$11:$C$40,"MXAU"),Override!$F$228)/AS51!$B$3,"")))</f>
        <v/>
      </c>
      <c r="J193" s="140">
        <f>IF(J$13="","",IF($B193="","",IFERROR($C193*$D193*IF((Override!$C$4="ON")*(COUNTIFS(Override!$B$11:$B$40,$B193,Override!$D$11:$D$40,5,Override!$E$11:$E$40,"&gt;=0")-COUNTIFS(Override!$B$11:$B$40,$B193,Override!$D$11:$D$40,5,Override!$E$11:$E$40,"&gt;=0",Override!$C$11:$C$40,"MXAU"))&gt;0,SUMIFS(Override!$E$11:$E$40,Override!$B$11:$B$40,$B193,Override!$D$11:$D$40,5)-SUMIFS(Override!$E$11:$E$40,Override!$B$11:$B$40,$B193,Override!$D$11:$D$40,5,Override!$C$11:$C$40,"MXAU"),Override!$G$228)/AS51!$B$3,"")))</f>
        <v/>
      </c>
      <c r="K193" s="140">
        <f>IF(K$13="","",IF($B193="","",IFERROR($C193*$D193*IF((Override!$C$4="ON")*(COUNTIFS(Override!$B$11:$B$40,$B193,Override!$D$11:$D$40,6,Override!$E$11:$E$40,"&gt;=0")-COUNTIFS(Override!$B$11:$B$40,$B193,Override!$D$11:$D$40,6,Override!$E$11:$E$40,"&gt;=0",Override!$C$11:$C$40,"MXAU"))&gt;0,SUMIFS(Override!$E$11:$E$40,Override!$B$11:$B$40,$B193,Override!$D$11:$D$40,6)-SUMIFS(Override!$E$11:$E$40,Override!$B$11:$B$40,$B193,Override!$D$11:$D$40,6,Override!$C$11:$C$40,"MXAU"),Override!$H$228)/AS51!$B$3,"")))</f>
        <v/>
      </c>
      <c r="L193" s="140">
        <f>IF(L$13="","",IF($B193="","",IFERROR($C193*$D193*IF((Override!$C$4="ON")*(COUNTIFS(Override!$B$11:$B$40,$B193,Override!$D$11:$D$40,7,Override!$E$11:$E$40,"&gt;=0")-COUNTIFS(Override!$B$11:$B$40,$B193,Override!$D$11:$D$40,7,Override!$E$11:$E$40,"&gt;=0",Override!$C$11:$C$40,"MXAU"))&gt;0,SUMIFS(Override!$E$11:$E$40,Override!$B$11:$B$40,$B193,Override!$D$11:$D$40,7)-SUMIFS(Override!$E$11:$E$40,Override!$B$11:$B$40,$B193,Override!$D$11:$D$40,7,Override!$C$11:$C$40,"MXAU"),Override!$I$228)/AS51!$B$3,"")))</f>
        <v/>
      </c>
      <c r="M193" s="140">
        <f>IF(M$13="","",IF($B193="","",IFERROR($C193*$D193*IF((Override!$C$4="ON")*(COUNTIFS(Override!$B$11:$B$40,$B193,Override!$D$11:$D$40,8,Override!$E$11:$E$40,"&gt;=0")-COUNTIFS(Override!$B$11:$B$40,$B193,Override!$D$11:$D$40,8,Override!$E$11:$E$40,"&gt;=0",Override!$C$11:$C$40,"MXAU"))&gt;0,SUMIFS(Override!$E$11:$E$40,Override!$B$11:$B$40,$B193,Override!$D$11:$D$40,8)-SUMIFS(Override!$E$11:$E$40,Override!$B$11:$B$40,$B193,Override!$D$11:$D$40,8,Override!$C$11:$C$40,"MXAU"),Override!$J$228)/AS51!$B$3,"")))</f>
        <v/>
      </c>
      <c r="N193" s="140">
        <f>IF(N$13="","",IF($B193="","",IFERROR($C193*$D193*IF((Override!$C$4="ON")*(COUNTIFS(Override!$B$11:$B$40,$B193,Override!$D$11:$D$40,9,Override!$E$11:$E$40,"&gt;=0")-COUNTIFS(Override!$B$11:$B$40,$B193,Override!$D$11:$D$40,9,Override!$E$11:$E$40,"&gt;=0",Override!$C$11:$C$40,"MXAU"))&gt;0,SUMIFS(Override!$E$11:$E$40,Override!$B$11:$B$40,$B193,Override!$D$11:$D$40,9)-SUMIFS(Override!$E$11:$E$40,Override!$B$11:$B$40,$B193,Override!$D$11:$D$40,9,Override!$C$11:$C$40,"MXAU"),Override!$K$228)/AS51!$B$3,"")))</f>
        <v/>
      </c>
      <c r="O193" s="140">
        <f>IF(O$13="","",IF($B193="","",IFERROR($C193*$D193*IF((Override!$C$4="ON")*(COUNTIFS(Override!$B$11:$B$40,$B193,Override!$D$11:$D$40,10,Override!$E$11:$E$40,"&gt;=0")-COUNTIFS(Override!$B$11:$B$40,$B193,Override!$D$11:$D$40,10,Override!$E$11:$E$40,"&gt;=0",Override!$C$11:$C$40,"MXAU"))&gt;0,SUMIFS(Override!$E$11:$E$40,Override!$B$11:$B$40,$B193,Override!$D$11:$D$40,10)-SUMIFS(Override!$E$11:$E$40,Override!$B$11:$B$40,$B193,Override!$D$11:$D$40,10,Override!$C$11:$C$40,"MXAU"),Override!$L$228)/AS51!$B$3,"")))</f>
        <v/>
      </c>
      <c r="P193" s="140">
        <f>IF(P$13="","",IF($B193="","",IFERROR($C193*$D193*IF((Override!$C$4="ON")*(COUNTIFS(Override!$B$11:$B$40,$B193,Override!$D$11:$D$40,11,Override!$E$11:$E$40,"&gt;=0")-COUNTIFS(Override!$B$11:$B$40,$B193,Override!$D$11:$D$40,11,Override!$E$11:$E$40,"&gt;=0",Override!$C$11:$C$40,"MXAU"))&gt;0,SUMIFS(Override!$E$11:$E$40,Override!$B$11:$B$40,$B193,Override!$D$11:$D$40,11)-SUMIFS(Override!$E$11:$E$40,Override!$B$11:$B$40,$B193,Override!$D$11:$D$40,11,Override!$C$11:$C$40,"MXAU"),Override!$M$228)/AS51!$B$3,"")))</f>
        <v/>
      </c>
      <c r="Q193" s="140">
        <f>IF(Q$13="","",IF($B193="","",IFERROR($C193*$D193*IF((Override!$C$4="ON")*(COUNTIFS(Override!$B$11:$B$40,$B193,Override!$D$11:$D$40,12,Override!$E$11:$E$40,"&gt;=0")-COUNTIFS(Override!$B$11:$B$40,$B193,Override!$D$11:$D$40,12,Override!$E$11:$E$40,"&gt;=0",Override!$C$11:$C$40,"MXAU"))&gt;0,SUMIFS(Override!$E$11:$E$40,Override!$B$11:$B$40,$B193,Override!$D$11:$D$40,12)-SUMIFS(Override!$E$11:$E$40,Override!$B$11:$B$40,$B193,Override!$D$11:$D$40,12,Override!$C$11:$C$40,"MXAU"),Override!$N$228)/AS51!$B$3,"")))</f>
        <v/>
      </c>
      <c r="R193" s="140">
        <f>IF(R$13="","",IF($B193="","",IFERROR($C193*$D193*IF((Override!$C$4="ON")*(COUNTIFS(Override!$B$11:$B$40,$B193,Override!$D$11:$D$40,13,Override!$E$11:$E$40,"&gt;=0")-COUNTIFS(Override!$B$11:$B$40,$B193,Override!$D$11:$D$40,13,Override!$E$11:$E$40,"&gt;=0",Override!$C$11:$C$40,"MXAU"))&gt;0,SUMIFS(Override!$E$11:$E$40,Override!$B$11:$B$40,$B193,Override!$D$11:$D$40,13)-SUMIFS(Override!$E$11:$E$40,Override!$B$11:$B$40,$B193,Override!$D$11:$D$40,13,Override!$C$11:$C$40,"MXAU"),Override!$O$228)/AS51!$B$3,"")))</f>
        <v/>
      </c>
      <c r="S193" s="140">
        <f>IF(S$13="","",IF($B193="","",IFERROR($C193*$D193*IF((Override!$C$4="ON")*(COUNTIFS(Override!$B$11:$B$40,$B193,Override!$D$11:$D$40,14,Override!$E$11:$E$40,"&gt;=0")-COUNTIFS(Override!$B$11:$B$40,$B193,Override!$D$11:$D$40,14,Override!$E$11:$E$40,"&gt;=0",Override!$C$11:$C$40,"MXAU"))&gt;0,SUMIFS(Override!$E$11:$E$40,Override!$B$11:$B$40,$B193,Override!$D$11:$D$40,14)-SUMIFS(Override!$E$11:$E$40,Override!$B$11:$B$40,$B193,Override!$D$11:$D$40,14,Override!$C$11:$C$40,"MXAU"),Override!$P$228)/AS51!$B$3,"")))</f>
        <v/>
      </c>
      <c r="T193" s="140">
        <f>IF(T$13="","",IF($B193="","",IFERROR($C193*$D193*IF((Override!$C$4="ON")*(COUNTIFS(Override!$B$11:$B$40,$B193,Override!$D$11:$D$40,15,Override!$E$11:$E$40,"&gt;=0")-COUNTIFS(Override!$B$11:$B$40,$B193,Override!$D$11:$D$40,15,Override!$E$11:$E$40,"&gt;=0",Override!$C$11:$C$40,"MXAU"))&gt;0,SUMIFS(Override!$E$11:$E$40,Override!$B$11:$B$40,$B193,Override!$D$11:$D$40,15)-SUMIFS(Override!$E$11:$E$40,Override!$B$11:$B$40,$B193,Override!$D$11:$D$40,15,Override!$C$11:$C$40,"MXAU"),Override!$Q$228)/AS51!$B$3,"")))</f>
        <v/>
      </c>
      <c r="U193" s="140">
        <f>IF(U$13="","",IF($B193="","",IFERROR($C193*$D193*IF((Override!$C$4="ON")*(COUNTIFS(Override!$B$11:$B$40,$B193,Override!$D$11:$D$40,16,Override!$E$11:$E$40,"&gt;=0")-COUNTIFS(Override!$B$11:$B$40,$B193,Override!$D$11:$D$40,16,Override!$E$11:$E$40,"&gt;=0",Override!$C$11:$C$40,"MXAU"))&gt;0,SUMIFS(Override!$E$11:$E$40,Override!$B$11:$B$40,$B193,Override!$D$11:$D$40,16)-SUMIFS(Override!$E$11:$E$40,Override!$B$11:$B$40,$B193,Override!$D$11:$D$40,16,Override!$C$11:$C$40,"MXAU"),Override!$R$228)/AS51!$B$3,"")))</f>
        <v/>
      </c>
      <c r="W193" s="140">
        <f>IF(W$13="","",IF($B193="","",IFERROR(F193*$E193/100,"")))</f>
        <v/>
      </c>
      <c r="X193" s="140">
        <f>IF(X$13="","",IF($B193="","",IFERROR(G193*$E193/100,"")))</f>
        <v/>
      </c>
      <c r="Y193" s="140">
        <f>IF(Y$13="","",IF($B193="","",IFERROR(H193*$E193/100,"")))</f>
        <v/>
      </c>
      <c r="Z193" s="140">
        <f>IF(Z$13="","",IF($B193="","",IFERROR(I193*$E193/100,"")))</f>
        <v/>
      </c>
      <c r="AA193" s="140">
        <f>IF(AA$13="","",IF($B193="","",IFERROR(J193*$E193/100,"")))</f>
        <v/>
      </c>
      <c r="AB193" s="140">
        <f>IF(AB$13="","",IF($B193="","",IFERROR(K193*$E193/100,"")))</f>
        <v/>
      </c>
      <c r="AC193" s="140">
        <f>IF(AC$13="","",IF($B193="","",IFERROR(L193*$E193/100,"")))</f>
        <v/>
      </c>
      <c r="AD193" s="140">
        <f>IF(AD$13="","",IF($B193="","",IFERROR(M193*$E193/100,"")))</f>
        <v/>
      </c>
      <c r="AE193" s="140">
        <f>IF(AE$13="","",IF($B193="","",IFERROR(N193*$E193/100,"")))</f>
        <v/>
      </c>
      <c r="AF193" s="140">
        <f>IF(AF$13="","",IF($B193="","",IFERROR(O193*$E193/100,"")))</f>
        <v/>
      </c>
      <c r="AG193" s="140">
        <f>IF(AG$13="","",IF($B193="","",IFERROR(P193*$E193/100,"")))</f>
        <v/>
      </c>
      <c r="AH193" s="140">
        <f>IF(AH$13="","",IF($B193="","",IFERROR(Q193*$E193/100,"")))</f>
        <v/>
      </c>
      <c r="AI193" s="140">
        <f>IF(AI$13="","",IF($B193="","",IFERROR(R193*$E193/100,"")))</f>
        <v/>
      </c>
      <c r="AJ193" s="140">
        <f>IF(AJ$13="","",IF($B193="","",IFERROR(S193*$E193/100,"")))</f>
        <v/>
      </c>
      <c r="AK193" s="140">
        <f>IF(AK$13="","",IF($B193="","",IFERROR(T193*$E193/100,"")))</f>
        <v/>
      </c>
      <c r="AL193" s="140">
        <f>IF(AL$13="","",IF($B193="","",IFERROR(U193*$E193/100,"")))</f>
        <v/>
      </c>
      <c r="AN193" s="140">
        <f>IF($B193="","",SUMIF($F$13:$U$13,"&lt;="&amp;Sector!$D$51,$F193:$U193))</f>
        <v/>
      </c>
      <c r="AO193" s="140">
        <f>IF($B193="","",SUMIF($W$13:$AL$13,"&lt;="&amp;Sector!$D$51,$W193:$AL193))</f>
        <v/>
      </c>
    </row>
    <row r="194">
      <c r="B194" s="5">
        <f>IF(AS51!$C$184="","",AS51!$C$184)</f>
        <v/>
      </c>
      <c r="C194" s="90">
        <f>IF(AS51!$B$184="","",AS51!$B$184)</f>
        <v/>
      </c>
      <c r="D194" s="138">
        <f>IFERROR(AS51!$Q$184,1)</f>
        <v/>
      </c>
      <c r="E194" s="139">
        <f>IF($B194="","",IF(ISNUMBER(AS51!$I$184),AS51!$I$184,'Index Summary'!$C$7))</f>
        <v/>
      </c>
      <c r="F194" s="140">
        <f>IF(F$13="","",IF($B194="","",IFERROR($C194*$D194*IF((Override!$C$4="ON")*(COUNTIFS(Override!$B$11:$B$40,$B194,Override!$D$11:$D$40,1,Override!$E$11:$E$40,"&gt;=0")-COUNTIFS(Override!$B$11:$B$40,$B194,Override!$D$11:$D$40,1,Override!$E$11:$E$40,"&gt;=0",Override!$C$11:$C$40,"MXAU"))&gt;0,SUMIFS(Override!$E$11:$E$40,Override!$B$11:$B$40,$B194,Override!$D$11:$D$40,1)-SUMIFS(Override!$E$11:$E$40,Override!$B$11:$B$40,$B194,Override!$D$11:$D$40,1,Override!$C$11:$C$40,"MXAU"),Override!$C$229)/AS51!$B$3,"")))</f>
        <v/>
      </c>
      <c r="G194" s="140">
        <f>IF(G$13="","",IF($B194="","",IFERROR($C194*$D194*IF((Override!$C$4="ON")*(COUNTIFS(Override!$B$11:$B$40,$B194,Override!$D$11:$D$40,2,Override!$E$11:$E$40,"&gt;=0")-COUNTIFS(Override!$B$11:$B$40,$B194,Override!$D$11:$D$40,2,Override!$E$11:$E$40,"&gt;=0",Override!$C$11:$C$40,"MXAU"))&gt;0,SUMIFS(Override!$E$11:$E$40,Override!$B$11:$B$40,$B194,Override!$D$11:$D$40,2)-SUMIFS(Override!$E$11:$E$40,Override!$B$11:$B$40,$B194,Override!$D$11:$D$40,2,Override!$C$11:$C$40,"MXAU"),Override!$D$229)/AS51!$B$3,"")))</f>
        <v/>
      </c>
      <c r="H194" s="140">
        <f>IF(H$13="","",IF($B194="","",IFERROR($C194*$D194*IF((Override!$C$4="ON")*(COUNTIFS(Override!$B$11:$B$40,$B194,Override!$D$11:$D$40,3,Override!$E$11:$E$40,"&gt;=0")-COUNTIFS(Override!$B$11:$B$40,$B194,Override!$D$11:$D$40,3,Override!$E$11:$E$40,"&gt;=0",Override!$C$11:$C$40,"MXAU"))&gt;0,SUMIFS(Override!$E$11:$E$40,Override!$B$11:$B$40,$B194,Override!$D$11:$D$40,3)-SUMIFS(Override!$E$11:$E$40,Override!$B$11:$B$40,$B194,Override!$D$11:$D$40,3,Override!$C$11:$C$40,"MXAU"),Override!$E$229)/AS51!$B$3,"")))</f>
        <v/>
      </c>
      <c r="I194" s="140">
        <f>IF(I$13="","",IF($B194="","",IFERROR($C194*$D194*IF((Override!$C$4="ON")*(COUNTIFS(Override!$B$11:$B$40,$B194,Override!$D$11:$D$40,4,Override!$E$11:$E$40,"&gt;=0")-COUNTIFS(Override!$B$11:$B$40,$B194,Override!$D$11:$D$40,4,Override!$E$11:$E$40,"&gt;=0",Override!$C$11:$C$40,"MXAU"))&gt;0,SUMIFS(Override!$E$11:$E$40,Override!$B$11:$B$40,$B194,Override!$D$11:$D$40,4)-SUMIFS(Override!$E$11:$E$40,Override!$B$11:$B$40,$B194,Override!$D$11:$D$40,4,Override!$C$11:$C$40,"MXAU"),Override!$F$229)/AS51!$B$3,"")))</f>
        <v/>
      </c>
      <c r="J194" s="140">
        <f>IF(J$13="","",IF($B194="","",IFERROR($C194*$D194*IF((Override!$C$4="ON")*(COUNTIFS(Override!$B$11:$B$40,$B194,Override!$D$11:$D$40,5,Override!$E$11:$E$40,"&gt;=0")-COUNTIFS(Override!$B$11:$B$40,$B194,Override!$D$11:$D$40,5,Override!$E$11:$E$40,"&gt;=0",Override!$C$11:$C$40,"MXAU"))&gt;0,SUMIFS(Override!$E$11:$E$40,Override!$B$11:$B$40,$B194,Override!$D$11:$D$40,5)-SUMIFS(Override!$E$11:$E$40,Override!$B$11:$B$40,$B194,Override!$D$11:$D$40,5,Override!$C$11:$C$40,"MXAU"),Override!$G$229)/AS51!$B$3,"")))</f>
        <v/>
      </c>
      <c r="K194" s="140">
        <f>IF(K$13="","",IF($B194="","",IFERROR($C194*$D194*IF((Override!$C$4="ON")*(COUNTIFS(Override!$B$11:$B$40,$B194,Override!$D$11:$D$40,6,Override!$E$11:$E$40,"&gt;=0")-COUNTIFS(Override!$B$11:$B$40,$B194,Override!$D$11:$D$40,6,Override!$E$11:$E$40,"&gt;=0",Override!$C$11:$C$40,"MXAU"))&gt;0,SUMIFS(Override!$E$11:$E$40,Override!$B$11:$B$40,$B194,Override!$D$11:$D$40,6)-SUMIFS(Override!$E$11:$E$40,Override!$B$11:$B$40,$B194,Override!$D$11:$D$40,6,Override!$C$11:$C$40,"MXAU"),Override!$H$229)/AS51!$B$3,"")))</f>
        <v/>
      </c>
      <c r="L194" s="140">
        <f>IF(L$13="","",IF($B194="","",IFERROR($C194*$D194*IF((Override!$C$4="ON")*(COUNTIFS(Override!$B$11:$B$40,$B194,Override!$D$11:$D$40,7,Override!$E$11:$E$40,"&gt;=0")-COUNTIFS(Override!$B$11:$B$40,$B194,Override!$D$11:$D$40,7,Override!$E$11:$E$40,"&gt;=0",Override!$C$11:$C$40,"MXAU"))&gt;0,SUMIFS(Override!$E$11:$E$40,Override!$B$11:$B$40,$B194,Override!$D$11:$D$40,7)-SUMIFS(Override!$E$11:$E$40,Override!$B$11:$B$40,$B194,Override!$D$11:$D$40,7,Override!$C$11:$C$40,"MXAU"),Override!$I$229)/AS51!$B$3,"")))</f>
        <v/>
      </c>
      <c r="M194" s="140">
        <f>IF(M$13="","",IF($B194="","",IFERROR($C194*$D194*IF((Override!$C$4="ON")*(COUNTIFS(Override!$B$11:$B$40,$B194,Override!$D$11:$D$40,8,Override!$E$11:$E$40,"&gt;=0")-COUNTIFS(Override!$B$11:$B$40,$B194,Override!$D$11:$D$40,8,Override!$E$11:$E$40,"&gt;=0",Override!$C$11:$C$40,"MXAU"))&gt;0,SUMIFS(Override!$E$11:$E$40,Override!$B$11:$B$40,$B194,Override!$D$11:$D$40,8)-SUMIFS(Override!$E$11:$E$40,Override!$B$11:$B$40,$B194,Override!$D$11:$D$40,8,Override!$C$11:$C$40,"MXAU"),Override!$J$229)/AS51!$B$3,"")))</f>
        <v/>
      </c>
      <c r="N194" s="140">
        <f>IF(N$13="","",IF($B194="","",IFERROR($C194*$D194*IF((Override!$C$4="ON")*(COUNTIFS(Override!$B$11:$B$40,$B194,Override!$D$11:$D$40,9,Override!$E$11:$E$40,"&gt;=0")-COUNTIFS(Override!$B$11:$B$40,$B194,Override!$D$11:$D$40,9,Override!$E$11:$E$40,"&gt;=0",Override!$C$11:$C$40,"MXAU"))&gt;0,SUMIFS(Override!$E$11:$E$40,Override!$B$11:$B$40,$B194,Override!$D$11:$D$40,9)-SUMIFS(Override!$E$11:$E$40,Override!$B$11:$B$40,$B194,Override!$D$11:$D$40,9,Override!$C$11:$C$40,"MXAU"),Override!$K$229)/AS51!$B$3,"")))</f>
        <v/>
      </c>
      <c r="O194" s="140">
        <f>IF(O$13="","",IF($B194="","",IFERROR($C194*$D194*IF((Override!$C$4="ON")*(COUNTIFS(Override!$B$11:$B$40,$B194,Override!$D$11:$D$40,10,Override!$E$11:$E$40,"&gt;=0")-COUNTIFS(Override!$B$11:$B$40,$B194,Override!$D$11:$D$40,10,Override!$E$11:$E$40,"&gt;=0",Override!$C$11:$C$40,"MXAU"))&gt;0,SUMIFS(Override!$E$11:$E$40,Override!$B$11:$B$40,$B194,Override!$D$11:$D$40,10)-SUMIFS(Override!$E$11:$E$40,Override!$B$11:$B$40,$B194,Override!$D$11:$D$40,10,Override!$C$11:$C$40,"MXAU"),Override!$L$229)/AS51!$B$3,"")))</f>
        <v/>
      </c>
      <c r="P194" s="140">
        <f>IF(P$13="","",IF($B194="","",IFERROR($C194*$D194*IF((Override!$C$4="ON")*(COUNTIFS(Override!$B$11:$B$40,$B194,Override!$D$11:$D$40,11,Override!$E$11:$E$40,"&gt;=0")-COUNTIFS(Override!$B$11:$B$40,$B194,Override!$D$11:$D$40,11,Override!$E$11:$E$40,"&gt;=0",Override!$C$11:$C$40,"MXAU"))&gt;0,SUMIFS(Override!$E$11:$E$40,Override!$B$11:$B$40,$B194,Override!$D$11:$D$40,11)-SUMIFS(Override!$E$11:$E$40,Override!$B$11:$B$40,$B194,Override!$D$11:$D$40,11,Override!$C$11:$C$40,"MXAU"),Override!$M$229)/AS51!$B$3,"")))</f>
        <v/>
      </c>
      <c r="Q194" s="140">
        <f>IF(Q$13="","",IF($B194="","",IFERROR($C194*$D194*IF((Override!$C$4="ON")*(COUNTIFS(Override!$B$11:$B$40,$B194,Override!$D$11:$D$40,12,Override!$E$11:$E$40,"&gt;=0")-COUNTIFS(Override!$B$11:$B$40,$B194,Override!$D$11:$D$40,12,Override!$E$11:$E$40,"&gt;=0",Override!$C$11:$C$40,"MXAU"))&gt;0,SUMIFS(Override!$E$11:$E$40,Override!$B$11:$B$40,$B194,Override!$D$11:$D$40,12)-SUMIFS(Override!$E$11:$E$40,Override!$B$11:$B$40,$B194,Override!$D$11:$D$40,12,Override!$C$11:$C$40,"MXAU"),Override!$N$229)/AS51!$B$3,"")))</f>
        <v/>
      </c>
      <c r="R194" s="140">
        <f>IF(R$13="","",IF($B194="","",IFERROR($C194*$D194*IF((Override!$C$4="ON")*(COUNTIFS(Override!$B$11:$B$40,$B194,Override!$D$11:$D$40,13,Override!$E$11:$E$40,"&gt;=0")-COUNTIFS(Override!$B$11:$B$40,$B194,Override!$D$11:$D$40,13,Override!$E$11:$E$40,"&gt;=0",Override!$C$11:$C$40,"MXAU"))&gt;0,SUMIFS(Override!$E$11:$E$40,Override!$B$11:$B$40,$B194,Override!$D$11:$D$40,13)-SUMIFS(Override!$E$11:$E$40,Override!$B$11:$B$40,$B194,Override!$D$11:$D$40,13,Override!$C$11:$C$40,"MXAU"),Override!$O$229)/AS51!$B$3,"")))</f>
        <v/>
      </c>
      <c r="S194" s="140">
        <f>IF(S$13="","",IF($B194="","",IFERROR($C194*$D194*IF((Override!$C$4="ON")*(COUNTIFS(Override!$B$11:$B$40,$B194,Override!$D$11:$D$40,14,Override!$E$11:$E$40,"&gt;=0")-COUNTIFS(Override!$B$11:$B$40,$B194,Override!$D$11:$D$40,14,Override!$E$11:$E$40,"&gt;=0",Override!$C$11:$C$40,"MXAU"))&gt;0,SUMIFS(Override!$E$11:$E$40,Override!$B$11:$B$40,$B194,Override!$D$11:$D$40,14)-SUMIFS(Override!$E$11:$E$40,Override!$B$11:$B$40,$B194,Override!$D$11:$D$40,14,Override!$C$11:$C$40,"MXAU"),Override!$P$229)/AS51!$B$3,"")))</f>
        <v/>
      </c>
      <c r="T194" s="140">
        <f>IF(T$13="","",IF($B194="","",IFERROR($C194*$D194*IF((Override!$C$4="ON")*(COUNTIFS(Override!$B$11:$B$40,$B194,Override!$D$11:$D$40,15,Override!$E$11:$E$40,"&gt;=0")-COUNTIFS(Override!$B$11:$B$40,$B194,Override!$D$11:$D$40,15,Override!$E$11:$E$40,"&gt;=0",Override!$C$11:$C$40,"MXAU"))&gt;0,SUMIFS(Override!$E$11:$E$40,Override!$B$11:$B$40,$B194,Override!$D$11:$D$40,15)-SUMIFS(Override!$E$11:$E$40,Override!$B$11:$B$40,$B194,Override!$D$11:$D$40,15,Override!$C$11:$C$40,"MXAU"),Override!$Q$229)/AS51!$B$3,"")))</f>
        <v/>
      </c>
      <c r="U194" s="140">
        <f>IF(U$13="","",IF($B194="","",IFERROR($C194*$D194*IF((Override!$C$4="ON")*(COUNTIFS(Override!$B$11:$B$40,$B194,Override!$D$11:$D$40,16,Override!$E$11:$E$40,"&gt;=0")-COUNTIFS(Override!$B$11:$B$40,$B194,Override!$D$11:$D$40,16,Override!$E$11:$E$40,"&gt;=0",Override!$C$11:$C$40,"MXAU"))&gt;0,SUMIFS(Override!$E$11:$E$40,Override!$B$11:$B$40,$B194,Override!$D$11:$D$40,16)-SUMIFS(Override!$E$11:$E$40,Override!$B$11:$B$40,$B194,Override!$D$11:$D$40,16,Override!$C$11:$C$40,"MXAU"),Override!$R$229)/AS51!$B$3,"")))</f>
        <v/>
      </c>
      <c r="W194" s="140">
        <f>IF(W$13="","",IF($B194="","",IFERROR(F194*$E194/100,"")))</f>
        <v/>
      </c>
      <c r="X194" s="140">
        <f>IF(X$13="","",IF($B194="","",IFERROR(G194*$E194/100,"")))</f>
        <v/>
      </c>
      <c r="Y194" s="140">
        <f>IF(Y$13="","",IF($B194="","",IFERROR(H194*$E194/100,"")))</f>
        <v/>
      </c>
      <c r="Z194" s="140">
        <f>IF(Z$13="","",IF($B194="","",IFERROR(I194*$E194/100,"")))</f>
        <v/>
      </c>
      <c r="AA194" s="140">
        <f>IF(AA$13="","",IF($B194="","",IFERROR(J194*$E194/100,"")))</f>
        <v/>
      </c>
      <c r="AB194" s="140">
        <f>IF(AB$13="","",IF($B194="","",IFERROR(K194*$E194/100,"")))</f>
        <v/>
      </c>
      <c r="AC194" s="140">
        <f>IF(AC$13="","",IF($B194="","",IFERROR(L194*$E194/100,"")))</f>
        <v/>
      </c>
      <c r="AD194" s="140">
        <f>IF(AD$13="","",IF($B194="","",IFERROR(M194*$E194/100,"")))</f>
        <v/>
      </c>
      <c r="AE194" s="140">
        <f>IF(AE$13="","",IF($B194="","",IFERROR(N194*$E194/100,"")))</f>
        <v/>
      </c>
      <c r="AF194" s="140">
        <f>IF(AF$13="","",IF($B194="","",IFERROR(O194*$E194/100,"")))</f>
        <v/>
      </c>
      <c r="AG194" s="140">
        <f>IF(AG$13="","",IF($B194="","",IFERROR(P194*$E194/100,"")))</f>
        <v/>
      </c>
      <c r="AH194" s="140">
        <f>IF(AH$13="","",IF($B194="","",IFERROR(Q194*$E194/100,"")))</f>
        <v/>
      </c>
      <c r="AI194" s="140">
        <f>IF(AI$13="","",IF($B194="","",IFERROR(R194*$E194/100,"")))</f>
        <v/>
      </c>
      <c r="AJ194" s="140">
        <f>IF(AJ$13="","",IF($B194="","",IFERROR(S194*$E194/100,"")))</f>
        <v/>
      </c>
      <c r="AK194" s="140">
        <f>IF(AK$13="","",IF($B194="","",IFERROR(T194*$E194/100,"")))</f>
        <v/>
      </c>
      <c r="AL194" s="140">
        <f>IF(AL$13="","",IF($B194="","",IFERROR(U194*$E194/100,"")))</f>
        <v/>
      </c>
      <c r="AN194" s="140">
        <f>IF($B194="","",SUMIF($F$13:$U$13,"&lt;="&amp;Sector!$D$51,$F194:$U194))</f>
        <v/>
      </c>
      <c r="AO194" s="140">
        <f>IF($B194="","",SUMIF($W$13:$AL$13,"&lt;="&amp;Sector!$D$51,$W194:$AL194))</f>
        <v/>
      </c>
    </row>
    <row r="195">
      <c r="B195" s="5">
        <f>IF(AS51!$C$185="","",AS51!$C$185)</f>
        <v/>
      </c>
      <c r="C195" s="90">
        <f>IF(AS51!$B$185="","",AS51!$B$185)</f>
        <v/>
      </c>
      <c r="D195" s="138">
        <f>IFERROR(AS51!$Q$185,1)</f>
        <v/>
      </c>
      <c r="E195" s="139">
        <f>IF($B195="","",IF(ISNUMBER(AS51!$I$185),AS51!$I$185,'Index Summary'!$C$7))</f>
        <v/>
      </c>
      <c r="F195" s="140">
        <f>IF(F$13="","",IF($B195="","",IFERROR($C195*$D195*IF((Override!$C$4="ON")*(COUNTIFS(Override!$B$11:$B$40,$B195,Override!$D$11:$D$40,1,Override!$E$11:$E$40,"&gt;=0")-COUNTIFS(Override!$B$11:$B$40,$B195,Override!$D$11:$D$40,1,Override!$E$11:$E$40,"&gt;=0",Override!$C$11:$C$40,"MXAU"))&gt;0,SUMIFS(Override!$E$11:$E$40,Override!$B$11:$B$40,$B195,Override!$D$11:$D$40,1)-SUMIFS(Override!$E$11:$E$40,Override!$B$11:$B$40,$B195,Override!$D$11:$D$40,1,Override!$C$11:$C$40,"MXAU"),Override!$C$230)/AS51!$B$3,"")))</f>
        <v/>
      </c>
      <c r="G195" s="140">
        <f>IF(G$13="","",IF($B195="","",IFERROR($C195*$D195*IF((Override!$C$4="ON")*(COUNTIFS(Override!$B$11:$B$40,$B195,Override!$D$11:$D$40,2,Override!$E$11:$E$40,"&gt;=0")-COUNTIFS(Override!$B$11:$B$40,$B195,Override!$D$11:$D$40,2,Override!$E$11:$E$40,"&gt;=0",Override!$C$11:$C$40,"MXAU"))&gt;0,SUMIFS(Override!$E$11:$E$40,Override!$B$11:$B$40,$B195,Override!$D$11:$D$40,2)-SUMIFS(Override!$E$11:$E$40,Override!$B$11:$B$40,$B195,Override!$D$11:$D$40,2,Override!$C$11:$C$40,"MXAU"),Override!$D$230)/AS51!$B$3,"")))</f>
        <v/>
      </c>
      <c r="H195" s="140">
        <f>IF(H$13="","",IF($B195="","",IFERROR($C195*$D195*IF((Override!$C$4="ON")*(COUNTIFS(Override!$B$11:$B$40,$B195,Override!$D$11:$D$40,3,Override!$E$11:$E$40,"&gt;=0")-COUNTIFS(Override!$B$11:$B$40,$B195,Override!$D$11:$D$40,3,Override!$E$11:$E$40,"&gt;=0",Override!$C$11:$C$40,"MXAU"))&gt;0,SUMIFS(Override!$E$11:$E$40,Override!$B$11:$B$40,$B195,Override!$D$11:$D$40,3)-SUMIFS(Override!$E$11:$E$40,Override!$B$11:$B$40,$B195,Override!$D$11:$D$40,3,Override!$C$11:$C$40,"MXAU"),Override!$E$230)/AS51!$B$3,"")))</f>
        <v/>
      </c>
      <c r="I195" s="140">
        <f>IF(I$13="","",IF($B195="","",IFERROR($C195*$D195*IF((Override!$C$4="ON")*(COUNTIFS(Override!$B$11:$B$40,$B195,Override!$D$11:$D$40,4,Override!$E$11:$E$40,"&gt;=0")-COUNTIFS(Override!$B$11:$B$40,$B195,Override!$D$11:$D$40,4,Override!$E$11:$E$40,"&gt;=0",Override!$C$11:$C$40,"MXAU"))&gt;0,SUMIFS(Override!$E$11:$E$40,Override!$B$11:$B$40,$B195,Override!$D$11:$D$40,4)-SUMIFS(Override!$E$11:$E$40,Override!$B$11:$B$40,$B195,Override!$D$11:$D$40,4,Override!$C$11:$C$40,"MXAU"),Override!$F$230)/AS51!$B$3,"")))</f>
        <v/>
      </c>
      <c r="J195" s="140">
        <f>IF(J$13="","",IF($B195="","",IFERROR($C195*$D195*IF((Override!$C$4="ON")*(COUNTIFS(Override!$B$11:$B$40,$B195,Override!$D$11:$D$40,5,Override!$E$11:$E$40,"&gt;=0")-COUNTIFS(Override!$B$11:$B$40,$B195,Override!$D$11:$D$40,5,Override!$E$11:$E$40,"&gt;=0",Override!$C$11:$C$40,"MXAU"))&gt;0,SUMIFS(Override!$E$11:$E$40,Override!$B$11:$B$40,$B195,Override!$D$11:$D$40,5)-SUMIFS(Override!$E$11:$E$40,Override!$B$11:$B$40,$B195,Override!$D$11:$D$40,5,Override!$C$11:$C$40,"MXAU"),Override!$G$230)/AS51!$B$3,"")))</f>
        <v/>
      </c>
      <c r="K195" s="140">
        <f>IF(K$13="","",IF($B195="","",IFERROR($C195*$D195*IF((Override!$C$4="ON")*(COUNTIFS(Override!$B$11:$B$40,$B195,Override!$D$11:$D$40,6,Override!$E$11:$E$40,"&gt;=0")-COUNTIFS(Override!$B$11:$B$40,$B195,Override!$D$11:$D$40,6,Override!$E$11:$E$40,"&gt;=0",Override!$C$11:$C$40,"MXAU"))&gt;0,SUMIFS(Override!$E$11:$E$40,Override!$B$11:$B$40,$B195,Override!$D$11:$D$40,6)-SUMIFS(Override!$E$11:$E$40,Override!$B$11:$B$40,$B195,Override!$D$11:$D$40,6,Override!$C$11:$C$40,"MXAU"),Override!$H$230)/AS51!$B$3,"")))</f>
        <v/>
      </c>
      <c r="L195" s="140">
        <f>IF(L$13="","",IF($B195="","",IFERROR($C195*$D195*IF((Override!$C$4="ON")*(COUNTIFS(Override!$B$11:$B$40,$B195,Override!$D$11:$D$40,7,Override!$E$11:$E$40,"&gt;=0")-COUNTIFS(Override!$B$11:$B$40,$B195,Override!$D$11:$D$40,7,Override!$E$11:$E$40,"&gt;=0",Override!$C$11:$C$40,"MXAU"))&gt;0,SUMIFS(Override!$E$11:$E$40,Override!$B$11:$B$40,$B195,Override!$D$11:$D$40,7)-SUMIFS(Override!$E$11:$E$40,Override!$B$11:$B$40,$B195,Override!$D$11:$D$40,7,Override!$C$11:$C$40,"MXAU"),Override!$I$230)/AS51!$B$3,"")))</f>
        <v/>
      </c>
      <c r="M195" s="140">
        <f>IF(M$13="","",IF($B195="","",IFERROR($C195*$D195*IF((Override!$C$4="ON")*(COUNTIFS(Override!$B$11:$B$40,$B195,Override!$D$11:$D$40,8,Override!$E$11:$E$40,"&gt;=0")-COUNTIFS(Override!$B$11:$B$40,$B195,Override!$D$11:$D$40,8,Override!$E$11:$E$40,"&gt;=0",Override!$C$11:$C$40,"MXAU"))&gt;0,SUMIFS(Override!$E$11:$E$40,Override!$B$11:$B$40,$B195,Override!$D$11:$D$40,8)-SUMIFS(Override!$E$11:$E$40,Override!$B$11:$B$40,$B195,Override!$D$11:$D$40,8,Override!$C$11:$C$40,"MXAU"),Override!$J$230)/AS51!$B$3,"")))</f>
        <v/>
      </c>
      <c r="N195" s="140">
        <f>IF(N$13="","",IF($B195="","",IFERROR($C195*$D195*IF((Override!$C$4="ON")*(COUNTIFS(Override!$B$11:$B$40,$B195,Override!$D$11:$D$40,9,Override!$E$11:$E$40,"&gt;=0")-COUNTIFS(Override!$B$11:$B$40,$B195,Override!$D$11:$D$40,9,Override!$E$11:$E$40,"&gt;=0",Override!$C$11:$C$40,"MXAU"))&gt;0,SUMIFS(Override!$E$11:$E$40,Override!$B$11:$B$40,$B195,Override!$D$11:$D$40,9)-SUMIFS(Override!$E$11:$E$40,Override!$B$11:$B$40,$B195,Override!$D$11:$D$40,9,Override!$C$11:$C$40,"MXAU"),Override!$K$230)/AS51!$B$3,"")))</f>
        <v/>
      </c>
      <c r="O195" s="140">
        <f>IF(O$13="","",IF($B195="","",IFERROR($C195*$D195*IF((Override!$C$4="ON")*(COUNTIFS(Override!$B$11:$B$40,$B195,Override!$D$11:$D$40,10,Override!$E$11:$E$40,"&gt;=0")-COUNTIFS(Override!$B$11:$B$40,$B195,Override!$D$11:$D$40,10,Override!$E$11:$E$40,"&gt;=0",Override!$C$11:$C$40,"MXAU"))&gt;0,SUMIFS(Override!$E$11:$E$40,Override!$B$11:$B$40,$B195,Override!$D$11:$D$40,10)-SUMIFS(Override!$E$11:$E$40,Override!$B$11:$B$40,$B195,Override!$D$11:$D$40,10,Override!$C$11:$C$40,"MXAU"),Override!$L$230)/AS51!$B$3,"")))</f>
        <v/>
      </c>
      <c r="P195" s="140">
        <f>IF(P$13="","",IF($B195="","",IFERROR($C195*$D195*IF((Override!$C$4="ON")*(COUNTIFS(Override!$B$11:$B$40,$B195,Override!$D$11:$D$40,11,Override!$E$11:$E$40,"&gt;=0")-COUNTIFS(Override!$B$11:$B$40,$B195,Override!$D$11:$D$40,11,Override!$E$11:$E$40,"&gt;=0",Override!$C$11:$C$40,"MXAU"))&gt;0,SUMIFS(Override!$E$11:$E$40,Override!$B$11:$B$40,$B195,Override!$D$11:$D$40,11)-SUMIFS(Override!$E$11:$E$40,Override!$B$11:$B$40,$B195,Override!$D$11:$D$40,11,Override!$C$11:$C$40,"MXAU"),Override!$M$230)/AS51!$B$3,"")))</f>
        <v/>
      </c>
      <c r="Q195" s="140">
        <f>IF(Q$13="","",IF($B195="","",IFERROR($C195*$D195*IF((Override!$C$4="ON")*(COUNTIFS(Override!$B$11:$B$40,$B195,Override!$D$11:$D$40,12,Override!$E$11:$E$40,"&gt;=0")-COUNTIFS(Override!$B$11:$B$40,$B195,Override!$D$11:$D$40,12,Override!$E$11:$E$40,"&gt;=0",Override!$C$11:$C$40,"MXAU"))&gt;0,SUMIFS(Override!$E$11:$E$40,Override!$B$11:$B$40,$B195,Override!$D$11:$D$40,12)-SUMIFS(Override!$E$11:$E$40,Override!$B$11:$B$40,$B195,Override!$D$11:$D$40,12,Override!$C$11:$C$40,"MXAU"),Override!$N$230)/AS51!$B$3,"")))</f>
        <v/>
      </c>
      <c r="R195" s="140">
        <f>IF(R$13="","",IF($B195="","",IFERROR($C195*$D195*IF((Override!$C$4="ON")*(COUNTIFS(Override!$B$11:$B$40,$B195,Override!$D$11:$D$40,13,Override!$E$11:$E$40,"&gt;=0")-COUNTIFS(Override!$B$11:$B$40,$B195,Override!$D$11:$D$40,13,Override!$E$11:$E$40,"&gt;=0",Override!$C$11:$C$40,"MXAU"))&gt;0,SUMIFS(Override!$E$11:$E$40,Override!$B$11:$B$40,$B195,Override!$D$11:$D$40,13)-SUMIFS(Override!$E$11:$E$40,Override!$B$11:$B$40,$B195,Override!$D$11:$D$40,13,Override!$C$11:$C$40,"MXAU"),Override!$O$230)/AS51!$B$3,"")))</f>
        <v/>
      </c>
      <c r="S195" s="140">
        <f>IF(S$13="","",IF($B195="","",IFERROR($C195*$D195*IF((Override!$C$4="ON")*(COUNTIFS(Override!$B$11:$B$40,$B195,Override!$D$11:$D$40,14,Override!$E$11:$E$40,"&gt;=0")-COUNTIFS(Override!$B$11:$B$40,$B195,Override!$D$11:$D$40,14,Override!$E$11:$E$40,"&gt;=0",Override!$C$11:$C$40,"MXAU"))&gt;0,SUMIFS(Override!$E$11:$E$40,Override!$B$11:$B$40,$B195,Override!$D$11:$D$40,14)-SUMIFS(Override!$E$11:$E$40,Override!$B$11:$B$40,$B195,Override!$D$11:$D$40,14,Override!$C$11:$C$40,"MXAU"),Override!$P$230)/AS51!$B$3,"")))</f>
        <v/>
      </c>
      <c r="T195" s="140">
        <f>IF(T$13="","",IF($B195="","",IFERROR($C195*$D195*IF((Override!$C$4="ON")*(COUNTIFS(Override!$B$11:$B$40,$B195,Override!$D$11:$D$40,15,Override!$E$11:$E$40,"&gt;=0")-COUNTIFS(Override!$B$11:$B$40,$B195,Override!$D$11:$D$40,15,Override!$E$11:$E$40,"&gt;=0",Override!$C$11:$C$40,"MXAU"))&gt;0,SUMIFS(Override!$E$11:$E$40,Override!$B$11:$B$40,$B195,Override!$D$11:$D$40,15)-SUMIFS(Override!$E$11:$E$40,Override!$B$11:$B$40,$B195,Override!$D$11:$D$40,15,Override!$C$11:$C$40,"MXAU"),Override!$Q$230)/AS51!$B$3,"")))</f>
        <v/>
      </c>
      <c r="U195" s="140">
        <f>IF(U$13="","",IF($B195="","",IFERROR($C195*$D195*IF((Override!$C$4="ON")*(COUNTIFS(Override!$B$11:$B$40,$B195,Override!$D$11:$D$40,16,Override!$E$11:$E$40,"&gt;=0")-COUNTIFS(Override!$B$11:$B$40,$B195,Override!$D$11:$D$40,16,Override!$E$11:$E$40,"&gt;=0",Override!$C$11:$C$40,"MXAU"))&gt;0,SUMIFS(Override!$E$11:$E$40,Override!$B$11:$B$40,$B195,Override!$D$11:$D$40,16)-SUMIFS(Override!$E$11:$E$40,Override!$B$11:$B$40,$B195,Override!$D$11:$D$40,16,Override!$C$11:$C$40,"MXAU"),Override!$R$230)/AS51!$B$3,"")))</f>
        <v/>
      </c>
      <c r="W195" s="140">
        <f>IF(W$13="","",IF($B195="","",IFERROR(F195*$E195/100,"")))</f>
        <v/>
      </c>
      <c r="X195" s="140">
        <f>IF(X$13="","",IF($B195="","",IFERROR(G195*$E195/100,"")))</f>
        <v/>
      </c>
      <c r="Y195" s="140">
        <f>IF(Y$13="","",IF($B195="","",IFERROR(H195*$E195/100,"")))</f>
        <v/>
      </c>
      <c r="Z195" s="140">
        <f>IF(Z$13="","",IF($B195="","",IFERROR(I195*$E195/100,"")))</f>
        <v/>
      </c>
      <c r="AA195" s="140">
        <f>IF(AA$13="","",IF($B195="","",IFERROR(J195*$E195/100,"")))</f>
        <v/>
      </c>
      <c r="AB195" s="140">
        <f>IF(AB$13="","",IF($B195="","",IFERROR(K195*$E195/100,"")))</f>
        <v/>
      </c>
      <c r="AC195" s="140">
        <f>IF(AC$13="","",IF($B195="","",IFERROR(L195*$E195/100,"")))</f>
        <v/>
      </c>
      <c r="AD195" s="140">
        <f>IF(AD$13="","",IF($B195="","",IFERROR(M195*$E195/100,"")))</f>
        <v/>
      </c>
      <c r="AE195" s="140">
        <f>IF(AE$13="","",IF($B195="","",IFERROR(N195*$E195/100,"")))</f>
        <v/>
      </c>
      <c r="AF195" s="140">
        <f>IF(AF$13="","",IF($B195="","",IFERROR(O195*$E195/100,"")))</f>
        <v/>
      </c>
      <c r="AG195" s="140">
        <f>IF(AG$13="","",IF($B195="","",IFERROR(P195*$E195/100,"")))</f>
        <v/>
      </c>
      <c r="AH195" s="140">
        <f>IF(AH$13="","",IF($B195="","",IFERROR(Q195*$E195/100,"")))</f>
        <v/>
      </c>
      <c r="AI195" s="140">
        <f>IF(AI$13="","",IF($B195="","",IFERROR(R195*$E195/100,"")))</f>
        <v/>
      </c>
      <c r="AJ195" s="140">
        <f>IF(AJ$13="","",IF($B195="","",IFERROR(S195*$E195/100,"")))</f>
        <v/>
      </c>
      <c r="AK195" s="140">
        <f>IF(AK$13="","",IF($B195="","",IFERROR(T195*$E195/100,"")))</f>
        <v/>
      </c>
      <c r="AL195" s="140">
        <f>IF(AL$13="","",IF($B195="","",IFERROR(U195*$E195/100,"")))</f>
        <v/>
      </c>
      <c r="AN195" s="140">
        <f>IF($B195="","",SUMIF($F$13:$U$13,"&lt;="&amp;Sector!$D$51,$F195:$U195))</f>
        <v/>
      </c>
      <c r="AO195" s="140">
        <f>IF($B195="","",SUMIF($W$13:$AL$13,"&lt;="&amp;Sector!$D$51,$W195:$AL195))</f>
        <v/>
      </c>
    </row>
    <row r="196">
      <c r="B196" s="5">
        <f>IF(AS51!$C$186="","",AS51!$C$186)</f>
        <v/>
      </c>
      <c r="C196" s="90">
        <f>IF(AS51!$B$186="","",AS51!$B$186)</f>
        <v/>
      </c>
      <c r="D196" s="138">
        <f>IFERROR(AS51!$Q$186,1)</f>
        <v/>
      </c>
      <c r="E196" s="139">
        <f>IF($B196="","",IF(ISNUMBER(AS51!$I$186),AS51!$I$186,'Index Summary'!$C$7))</f>
        <v/>
      </c>
      <c r="F196" s="140">
        <f>IF(F$13="","",IF($B196="","",IFERROR($C196*$D196*IF((Override!$C$4="ON")*(COUNTIFS(Override!$B$11:$B$40,$B196,Override!$D$11:$D$40,1,Override!$E$11:$E$40,"&gt;=0")-COUNTIFS(Override!$B$11:$B$40,$B196,Override!$D$11:$D$40,1,Override!$E$11:$E$40,"&gt;=0",Override!$C$11:$C$40,"MXAU"))&gt;0,SUMIFS(Override!$E$11:$E$40,Override!$B$11:$B$40,$B196,Override!$D$11:$D$40,1)-SUMIFS(Override!$E$11:$E$40,Override!$B$11:$B$40,$B196,Override!$D$11:$D$40,1,Override!$C$11:$C$40,"MXAU"),Override!$C$231)/AS51!$B$3,"")))</f>
        <v/>
      </c>
      <c r="G196" s="140">
        <f>IF(G$13="","",IF($B196="","",IFERROR($C196*$D196*IF((Override!$C$4="ON")*(COUNTIFS(Override!$B$11:$B$40,$B196,Override!$D$11:$D$40,2,Override!$E$11:$E$40,"&gt;=0")-COUNTIFS(Override!$B$11:$B$40,$B196,Override!$D$11:$D$40,2,Override!$E$11:$E$40,"&gt;=0",Override!$C$11:$C$40,"MXAU"))&gt;0,SUMIFS(Override!$E$11:$E$40,Override!$B$11:$B$40,$B196,Override!$D$11:$D$40,2)-SUMIFS(Override!$E$11:$E$40,Override!$B$11:$B$40,$B196,Override!$D$11:$D$40,2,Override!$C$11:$C$40,"MXAU"),Override!$D$231)/AS51!$B$3,"")))</f>
        <v/>
      </c>
      <c r="H196" s="140">
        <f>IF(H$13="","",IF($B196="","",IFERROR($C196*$D196*IF((Override!$C$4="ON")*(COUNTIFS(Override!$B$11:$B$40,$B196,Override!$D$11:$D$40,3,Override!$E$11:$E$40,"&gt;=0")-COUNTIFS(Override!$B$11:$B$40,$B196,Override!$D$11:$D$40,3,Override!$E$11:$E$40,"&gt;=0",Override!$C$11:$C$40,"MXAU"))&gt;0,SUMIFS(Override!$E$11:$E$40,Override!$B$11:$B$40,$B196,Override!$D$11:$D$40,3)-SUMIFS(Override!$E$11:$E$40,Override!$B$11:$B$40,$B196,Override!$D$11:$D$40,3,Override!$C$11:$C$40,"MXAU"),Override!$E$231)/AS51!$B$3,"")))</f>
        <v/>
      </c>
      <c r="I196" s="140">
        <f>IF(I$13="","",IF($B196="","",IFERROR($C196*$D196*IF((Override!$C$4="ON")*(COUNTIFS(Override!$B$11:$B$40,$B196,Override!$D$11:$D$40,4,Override!$E$11:$E$40,"&gt;=0")-COUNTIFS(Override!$B$11:$B$40,$B196,Override!$D$11:$D$40,4,Override!$E$11:$E$40,"&gt;=0",Override!$C$11:$C$40,"MXAU"))&gt;0,SUMIFS(Override!$E$11:$E$40,Override!$B$11:$B$40,$B196,Override!$D$11:$D$40,4)-SUMIFS(Override!$E$11:$E$40,Override!$B$11:$B$40,$B196,Override!$D$11:$D$40,4,Override!$C$11:$C$40,"MXAU"),Override!$F$231)/AS51!$B$3,"")))</f>
        <v/>
      </c>
      <c r="J196" s="140">
        <f>IF(J$13="","",IF($B196="","",IFERROR($C196*$D196*IF((Override!$C$4="ON")*(COUNTIFS(Override!$B$11:$B$40,$B196,Override!$D$11:$D$40,5,Override!$E$11:$E$40,"&gt;=0")-COUNTIFS(Override!$B$11:$B$40,$B196,Override!$D$11:$D$40,5,Override!$E$11:$E$40,"&gt;=0",Override!$C$11:$C$40,"MXAU"))&gt;0,SUMIFS(Override!$E$11:$E$40,Override!$B$11:$B$40,$B196,Override!$D$11:$D$40,5)-SUMIFS(Override!$E$11:$E$40,Override!$B$11:$B$40,$B196,Override!$D$11:$D$40,5,Override!$C$11:$C$40,"MXAU"),Override!$G$231)/AS51!$B$3,"")))</f>
        <v/>
      </c>
      <c r="K196" s="140">
        <f>IF(K$13="","",IF($B196="","",IFERROR($C196*$D196*IF((Override!$C$4="ON")*(COUNTIFS(Override!$B$11:$B$40,$B196,Override!$D$11:$D$40,6,Override!$E$11:$E$40,"&gt;=0")-COUNTIFS(Override!$B$11:$B$40,$B196,Override!$D$11:$D$40,6,Override!$E$11:$E$40,"&gt;=0",Override!$C$11:$C$40,"MXAU"))&gt;0,SUMIFS(Override!$E$11:$E$40,Override!$B$11:$B$40,$B196,Override!$D$11:$D$40,6)-SUMIFS(Override!$E$11:$E$40,Override!$B$11:$B$40,$B196,Override!$D$11:$D$40,6,Override!$C$11:$C$40,"MXAU"),Override!$H$231)/AS51!$B$3,"")))</f>
        <v/>
      </c>
      <c r="L196" s="140">
        <f>IF(L$13="","",IF($B196="","",IFERROR($C196*$D196*IF((Override!$C$4="ON")*(COUNTIFS(Override!$B$11:$B$40,$B196,Override!$D$11:$D$40,7,Override!$E$11:$E$40,"&gt;=0")-COUNTIFS(Override!$B$11:$B$40,$B196,Override!$D$11:$D$40,7,Override!$E$11:$E$40,"&gt;=0",Override!$C$11:$C$40,"MXAU"))&gt;0,SUMIFS(Override!$E$11:$E$40,Override!$B$11:$B$40,$B196,Override!$D$11:$D$40,7)-SUMIFS(Override!$E$11:$E$40,Override!$B$11:$B$40,$B196,Override!$D$11:$D$40,7,Override!$C$11:$C$40,"MXAU"),Override!$I$231)/AS51!$B$3,"")))</f>
        <v/>
      </c>
      <c r="M196" s="140">
        <f>IF(M$13="","",IF($B196="","",IFERROR($C196*$D196*IF((Override!$C$4="ON")*(COUNTIFS(Override!$B$11:$B$40,$B196,Override!$D$11:$D$40,8,Override!$E$11:$E$40,"&gt;=0")-COUNTIFS(Override!$B$11:$B$40,$B196,Override!$D$11:$D$40,8,Override!$E$11:$E$40,"&gt;=0",Override!$C$11:$C$40,"MXAU"))&gt;0,SUMIFS(Override!$E$11:$E$40,Override!$B$11:$B$40,$B196,Override!$D$11:$D$40,8)-SUMIFS(Override!$E$11:$E$40,Override!$B$11:$B$40,$B196,Override!$D$11:$D$40,8,Override!$C$11:$C$40,"MXAU"),Override!$J$231)/AS51!$B$3,"")))</f>
        <v/>
      </c>
      <c r="N196" s="140">
        <f>IF(N$13="","",IF($B196="","",IFERROR($C196*$D196*IF((Override!$C$4="ON")*(COUNTIFS(Override!$B$11:$B$40,$B196,Override!$D$11:$D$40,9,Override!$E$11:$E$40,"&gt;=0")-COUNTIFS(Override!$B$11:$B$40,$B196,Override!$D$11:$D$40,9,Override!$E$11:$E$40,"&gt;=0",Override!$C$11:$C$40,"MXAU"))&gt;0,SUMIFS(Override!$E$11:$E$40,Override!$B$11:$B$40,$B196,Override!$D$11:$D$40,9)-SUMIFS(Override!$E$11:$E$40,Override!$B$11:$B$40,$B196,Override!$D$11:$D$40,9,Override!$C$11:$C$40,"MXAU"),Override!$K$231)/AS51!$B$3,"")))</f>
        <v/>
      </c>
      <c r="O196" s="140">
        <f>IF(O$13="","",IF($B196="","",IFERROR($C196*$D196*IF((Override!$C$4="ON")*(COUNTIFS(Override!$B$11:$B$40,$B196,Override!$D$11:$D$40,10,Override!$E$11:$E$40,"&gt;=0")-COUNTIFS(Override!$B$11:$B$40,$B196,Override!$D$11:$D$40,10,Override!$E$11:$E$40,"&gt;=0",Override!$C$11:$C$40,"MXAU"))&gt;0,SUMIFS(Override!$E$11:$E$40,Override!$B$11:$B$40,$B196,Override!$D$11:$D$40,10)-SUMIFS(Override!$E$11:$E$40,Override!$B$11:$B$40,$B196,Override!$D$11:$D$40,10,Override!$C$11:$C$40,"MXAU"),Override!$L$231)/AS51!$B$3,"")))</f>
        <v/>
      </c>
      <c r="P196" s="140">
        <f>IF(P$13="","",IF($B196="","",IFERROR($C196*$D196*IF((Override!$C$4="ON")*(COUNTIFS(Override!$B$11:$B$40,$B196,Override!$D$11:$D$40,11,Override!$E$11:$E$40,"&gt;=0")-COUNTIFS(Override!$B$11:$B$40,$B196,Override!$D$11:$D$40,11,Override!$E$11:$E$40,"&gt;=0",Override!$C$11:$C$40,"MXAU"))&gt;0,SUMIFS(Override!$E$11:$E$40,Override!$B$11:$B$40,$B196,Override!$D$11:$D$40,11)-SUMIFS(Override!$E$11:$E$40,Override!$B$11:$B$40,$B196,Override!$D$11:$D$40,11,Override!$C$11:$C$40,"MXAU"),Override!$M$231)/AS51!$B$3,"")))</f>
        <v/>
      </c>
      <c r="Q196" s="140">
        <f>IF(Q$13="","",IF($B196="","",IFERROR($C196*$D196*IF((Override!$C$4="ON")*(COUNTIFS(Override!$B$11:$B$40,$B196,Override!$D$11:$D$40,12,Override!$E$11:$E$40,"&gt;=0")-COUNTIFS(Override!$B$11:$B$40,$B196,Override!$D$11:$D$40,12,Override!$E$11:$E$40,"&gt;=0",Override!$C$11:$C$40,"MXAU"))&gt;0,SUMIFS(Override!$E$11:$E$40,Override!$B$11:$B$40,$B196,Override!$D$11:$D$40,12)-SUMIFS(Override!$E$11:$E$40,Override!$B$11:$B$40,$B196,Override!$D$11:$D$40,12,Override!$C$11:$C$40,"MXAU"),Override!$N$231)/AS51!$B$3,"")))</f>
        <v/>
      </c>
      <c r="R196" s="140">
        <f>IF(R$13="","",IF($B196="","",IFERROR($C196*$D196*IF((Override!$C$4="ON")*(COUNTIFS(Override!$B$11:$B$40,$B196,Override!$D$11:$D$40,13,Override!$E$11:$E$40,"&gt;=0")-COUNTIFS(Override!$B$11:$B$40,$B196,Override!$D$11:$D$40,13,Override!$E$11:$E$40,"&gt;=0",Override!$C$11:$C$40,"MXAU"))&gt;0,SUMIFS(Override!$E$11:$E$40,Override!$B$11:$B$40,$B196,Override!$D$11:$D$40,13)-SUMIFS(Override!$E$11:$E$40,Override!$B$11:$B$40,$B196,Override!$D$11:$D$40,13,Override!$C$11:$C$40,"MXAU"),Override!$O$231)/AS51!$B$3,"")))</f>
        <v/>
      </c>
      <c r="S196" s="140">
        <f>IF(S$13="","",IF($B196="","",IFERROR($C196*$D196*IF((Override!$C$4="ON")*(COUNTIFS(Override!$B$11:$B$40,$B196,Override!$D$11:$D$40,14,Override!$E$11:$E$40,"&gt;=0")-COUNTIFS(Override!$B$11:$B$40,$B196,Override!$D$11:$D$40,14,Override!$E$11:$E$40,"&gt;=0",Override!$C$11:$C$40,"MXAU"))&gt;0,SUMIFS(Override!$E$11:$E$40,Override!$B$11:$B$40,$B196,Override!$D$11:$D$40,14)-SUMIFS(Override!$E$11:$E$40,Override!$B$11:$B$40,$B196,Override!$D$11:$D$40,14,Override!$C$11:$C$40,"MXAU"),Override!$P$231)/AS51!$B$3,"")))</f>
        <v/>
      </c>
      <c r="T196" s="140">
        <f>IF(T$13="","",IF($B196="","",IFERROR($C196*$D196*IF((Override!$C$4="ON")*(COUNTIFS(Override!$B$11:$B$40,$B196,Override!$D$11:$D$40,15,Override!$E$11:$E$40,"&gt;=0")-COUNTIFS(Override!$B$11:$B$40,$B196,Override!$D$11:$D$40,15,Override!$E$11:$E$40,"&gt;=0",Override!$C$11:$C$40,"MXAU"))&gt;0,SUMIFS(Override!$E$11:$E$40,Override!$B$11:$B$40,$B196,Override!$D$11:$D$40,15)-SUMIFS(Override!$E$11:$E$40,Override!$B$11:$B$40,$B196,Override!$D$11:$D$40,15,Override!$C$11:$C$40,"MXAU"),Override!$Q$231)/AS51!$B$3,"")))</f>
        <v/>
      </c>
      <c r="U196" s="140">
        <f>IF(U$13="","",IF($B196="","",IFERROR($C196*$D196*IF((Override!$C$4="ON")*(COUNTIFS(Override!$B$11:$B$40,$B196,Override!$D$11:$D$40,16,Override!$E$11:$E$40,"&gt;=0")-COUNTIFS(Override!$B$11:$B$40,$B196,Override!$D$11:$D$40,16,Override!$E$11:$E$40,"&gt;=0",Override!$C$11:$C$40,"MXAU"))&gt;0,SUMIFS(Override!$E$11:$E$40,Override!$B$11:$B$40,$B196,Override!$D$11:$D$40,16)-SUMIFS(Override!$E$11:$E$40,Override!$B$11:$B$40,$B196,Override!$D$11:$D$40,16,Override!$C$11:$C$40,"MXAU"),Override!$R$231)/AS51!$B$3,"")))</f>
        <v/>
      </c>
      <c r="W196" s="140">
        <f>IF(W$13="","",IF($B196="","",IFERROR(F196*$E196/100,"")))</f>
        <v/>
      </c>
      <c r="X196" s="140">
        <f>IF(X$13="","",IF($B196="","",IFERROR(G196*$E196/100,"")))</f>
        <v/>
      </c>
      <c r="Y196" s="140">
        <f>IF(Y$13="","",IF($B196="","",IFERROR(H196*$E196/100,"")))</f>
        <v/>
      </c>
      <c r="Z196" s="140">
        <f>IF(Z$13="","",IF($B196="","",IFERROR(I196*$E196/100,"")))</f>
        <v/>
      </c>
      <c r="AA196" s="140">
        <f>IF(AA$13="","",IF($B196="","",IFERROR(J196*$E196/100,"")))</f>
        <v/>
      </c>
      <c r="AB196" s="140">
        <f>IF(AB$13="","",IF($B196="","",IFERROR(K196*$E196/100,"")))</f>
        <v/>
      </c>
      <c r="AC196" s="140">
        <f>IF(AC$13="","",IF($B196="","",IFERROR(L196*$E196/100,"")))</f>
        <v/>
      </c>
      <c r="AD196" s="140">
        <f>IF(AD$13="","",IF($B196="","",IFERROR(M196*$E196/100,"")))</f>
        <v/>
      </c>
      <c r="AE196" s="140">
        <f>IF(AE$13="","",IF($B196="","",IFERROR(N196*$E196/100,"")))</f>
        <v/>
      </c>
      <c r="AF196" s="140">
        <f>IF(AF$13="","",IF($B196="","",IFERROR(O196*$E196/100,"")))</f>
        <v/>
      </c>
      <c r="AG196" s="140">
        <f>IF(AG$13="","",IF($B196="","",IFERROR(P196*$E196/100,"")))</f>
        <v/>
      </c>
      <c r="AH196" s="140">
        <f>IF(AH$13="","",IF($B196="","",IFERROR(Q196*$E196/100,"")))</f>
        <v/>
      </c>
      <c r="AI196" s="140">
        <f>IF(AI$13="","",IF($B196="","",IFERROR(R196*$E196/100,"")))</f>
        <v/>
      </c>
      <c r="AJ196" s="140">
        <f>IF(AJ$13="","",IF($B196="","",IFERROR(S196*$E196/100,"")))</f>
        <v/>
      </c>
      <c r="AK196" s="140">
        <f>IF(AK$13="","",IF($B196="","",IFERROR(T196*$E196/100,"")))</f>
        <v/>
      </c>
      <c r="AL196" s="140">
        <f>IF(AL$13="","",IF($B196="","",IFERROR(U196*$E196/100,"")))</f>
        <v/>
      </c>
      <c r="AN196" s="140">
        <f>IF($B196="","",SUMIF($F$13:$U$13,"&lt;="&amp;Sector!$D$51,$F196:$U196))</f>
        <v/>
      </c>
      <c r="AO196" s="140">
        <f>IF($B196="","",SUMIF($W$13:$AL$13,"&lt;="&amp;Sector!$D$51,$W196:$AL196))</f>
        <v/>
      </c>
    </row>
    <row r="197">
      <c r="B197" s="5">
        <f>IF(AS51!$C$187="","",AS51!$C$187)</f>
        <v/>
      </c>
      <c r="C197" s="90">
        <f>IF(AS51!$B$187="","",AS51!$B$187)</f>
        <v/>
      </c>
      <c r="D197" s="138">
        <f>IFERROR(AS51!$Q$187,1)</f>
        <v/>
      </c>
      <c r="E197" s="139">
        <f>IF($B197="","",IF(ISNUMBER(AS51!$I$187),AS51!$I$187,'Index Summary'!$C$7))</f>
        <v/>
      </c>
      <c r="F197" s="140">
        <f>IF(F$13="","",IF($B197="","",IFERROR($C197*$D197*IF((Override!$C$4="ON")*(COUNTIFS(Override!$B$11:$B$40,$B197,Override!$D$11:$D$40,1,Override!$E$11:$E$40,"&gt;=0")-COUNTIFS(Override!$B$11:$B$40,$B197,Override!$D$11:$D$40,1,Override!$E$11:$E$40,"&gt;=0",Override!$C$11:$C$40,"MXAU"))&gt;0,SUMIFS(Override!$E$11:$E$40,Override!$B$11:$B$40,$B197,Override!$D$11:$D$40,1)-SUMIFS(Override!$E$11:$E$40,Override!$B$11:$B$40,$B197,Override!$D$11:$D$40,1,Override!$C$11:$C$40,"MXAU"),Override!$C$232)/AS51!$B$3,"")))</f>
        <v/>
      </c>
      <c r="G197" s="140">
        <f>IF(G$13="","",IF($B197="","",IFERROR($C197*$D197*IF((Override!$C$4="ON")*(COUNTIFS(Override!$B$11:$B$40,$B197,Override!$D$11:$D$40,2,Override!$E$11:$E$40,"&gt;=0")-COUNTIFS(Override!$B$11:$B$40,$B197,Override!$D$11:$D$40,2,Override!$E$11:$E$40,"&gt;=0",Override!$C$11:$C$40,"MXAU"))&gt;0,SUMIFS(Override!$E$11:$E$40,Override!$B$11:$B$40,$B197,Override!$D$11:$D$40,2)-SUMIFS(Override!$E$11:$E$40,Override!$B$11:$B$40,$B197,Override!$D$11:$D$40,2,Override!$C$11:$C$40,"MXAU"),Override!$D$232)/AS51!$B$3,"")))</f>
        <v/>
      </c>
      <c r="H197" s="140">
        <f>IF(H$13="","",IF($B197="","",IFERROR($C197*$D197*IF((Override!$C$4="ON")*(COUNTIFS(Override!$B$11:$B$40,$B197,Override!$D$11:$D$40,3,Override!$E$11:$E$40,"&gt;=0")-COUNTIFS(Override!$B$11:$B$40,$B197,Override!$D$11:$D$40,3,Override!$E$11:$E$40,"&gt;=0",Override!$C$11:$C$40,"MXAU"))&gt;0,SUMIFS(Override!$E$11:$E$40,Override!$B$11:$B$40,$B197,Override!$D$11:$D$40,3)-SUMIFS(Override!$E$11:$E$40,Override!$B$11:$B$40,$B197,Override!$D$11:$D$40,3,Override!$C$11:$C$40,"MXAU"),Override!$E$232)/AS51!$B$3,"")))</f>
        <v/>
      </c>
      <c r="I197" s="140">
        <f>IF(I$13="","",IF($B197="","",IFERROR($C197*$D197*IF((Override!$C$4="ON")*(COUNTIFS(Override!$B$11:$B$40,$B197,Override!$D$11:$D$40,4,Override!$E$11:$E$40,"&gt;=0")-COUNTIFS(Override!$B$11:$B$40,$B197,Override!$D$11:$D$40,4,Override!$E$11:$E$40,"&gt;=0",Override!$C$11:$C$40,"MXAU"))&gt;0,SUMIFS(Override!$E$11:$E$40,Override!$B$11:$B$40,$B197,Override!$D$11:$D$40,4)-SUMIFS(Override!$E$11:$E$40,Override!$B$11:$B$40,$B197,Override!$D$11:$D$40,4,Override!$C$11:$C$40,"MXAU"),Override!$F$232)/AS51!$B$3,"")))</f>
        <v/>
      </c>
      <c r="J197" s="140">
        <f>IF(J$13="","",IF($B197="","",IFERROR($C197*$D197*IF((Override!$C$4="ON")*(COUNTIFS(Override!$B$11:$B$40,$B197,Override!$D$11:$D$40,5,Override!$E$11:$E$40,"&gt;=0")-COUNTIFS(Override!$B$11:$B$40,$B197,Override!$D$11:$D$40,5,Override!$E$11:$E$40,"&gt;=0",Override!$C$11:$C$40,"MXAU"))&gt;0,SUMIFS(Override!$E$11:$E$40,Override!$B$11:$B$40,$B197,Override!$D$11:$D$40,5)-SUMIFS(Override!$E$11:$E$40,Override!$B$11:$B$40,$B197,Override!$D$11:$D$40,5,Override!$C$11:$C$40,"MXAU"),Override!$G$232)/AS51!$B$3,"")))</f>
        <v/>
      </c>
      <c r="K197" s="140">
        <f>IF(K$13="","",IF($B197="","",IFERROR($C197*$D197*IF((Override!$C$4="ON")*(COUNTIFS(Override!$B$11:$B$40,$B197,Override!$D$11:$D$40,6,Override!$E$11:$E$40,"&gt;=0")-COUNTIFS(Override!$B$11:$B$40,$B197,Override!$D$11:$D$40,6,Override!$E$11:$E$40,"&gt;=0",Override!$C$11:$C$40,"MXAU"))&gt;0,SUMIFS(Override!$E$11:$E$40,Override!$B$11:$B$40,$B197,Override!$D$11:$D$40,6)-SUMIFS(Override!$E$11:$E$40,Override!$B$11:$B$40,$B197,Override!$D$11:$D$40,6,Override!$C$11:$C$40,"MXAU"),Override!$H$232)/AS51!$B$3,"")))</f>
        <v/>
      </c>
      <c r="L197" s="140">
        <f>IF(L$13="","",IF($B197="","",IFERROR($C197*$D197*IF((Override!$C$4="ON")*(COUNTIFS(Override!$B$11:$B$40,$B197,Override!$D$11:$D$40,7,Override!$E$11:$E$40,"&gt;=0")-COUNTIFS(Override!$B$11:$B$40,$B197,Override!$D$11:$D$40,7,Override!$E$11:$E$40,"&gt;=0",Override!$C$11:$C$40,"MXAU"))&gt;0,SUMIFS(Override!$E$11:$E$40,Override!$B$11:$B$40,$B197,Override!$D$11:$D$40,7)-SUMIFS(Override!$E$11:$E$40,Override!$B$11:$B$40,$B197,Override!$D$11:$D$40,7,Override!$C$11:$C$40,"MXAU"),Override!$I$232)/AS51!$B$3,"")))</f>
        <v/>
      </c>
      <c r="M197" s="140">
        <f>IF(M$13="","",IF($B197="","",IFERROR($C197*$D197*IF((Override!$C$4="ON")*(COUNTIFS(Override!$B$11:$B$40,$B197,Override!$D$11:$D$40,8,Override!$E$11:$E$40,"&gt;=0")-COUNTIFS(Override!$B$11:$B$40,$B197,Override!$D$11:$D$40,8,Override!$E$11:$E$40,"&gt;=0",Override!$C$11:$C$40,"MXAU"))&gt;0,SUMIFS(Override!$E$11:$E$40,Override!$B$11:$B$40,$B197,Override!$D$11:$D$40,8)-SUMIFS(Override!$E$11:$E$40,Override!$B$11:$B$40,$B197,Override!$D$11:$D$40,8,Override!$C$11:$C$40,"MXAU"),Override!$J$232)/AS51!$B$3,"")))</f>
        <v/>
      </c>
      <c r="N197" s="140">
        <f>IF(N$13="","",IF($B197="","",IFERROR($C197*$D197*IF((Override!$C$4="ON")*(COUNTIFS(Override!$B$11:$B$40,$B197,Override!$D$11:$D$40,9,Override!$E$11:$E$40,"&gt;=0")-COUNTIFS(Override!$B$11:$B$40,$B197,Override!$D$11:$D$40,9,Override!$E$11:$E$40,"&gt;=0",Override!$C$11:$C$40,"MXAU"))&gt;0,SUMIFS(Override!$E$11:$E$40,Override!$B$11:$B$40,$B197,Override!$D$11:$D$40,9)-SUMIFS(Override!$E$11:$E$40,Override!$B$11:$B$40,$B197,Override!$D$11:$D$40,9,Override!$C$11:$C$40,"MXAU"),Override!$K$232)/AS51!$B$3,"")))</f>
        <v/>
      </c>
      <c r="O197" s="140">
        <f>IF(O$13="","",IF($B197="","",IFERROR($C197*$D197*IF((Override!$C$4="ON")*(COUNTIFS(Override!$B$11:$B$40,$B197,Override!$D$11:$D$40,10,Override!$E$11:$E$40,"&gt;=0")-COUNTIFS(Override!$B$11:$B$40,$B197,Override!$D$11:$D$40,10,Override!$E$11:$E$40,"&gt;=0",Override!$C$11:$C$40,"MXAU"))&gt;0,SUMIFS(Override!$E$11:$E$40,Override!$B$11:$B$40,$B197,Override!$D$11:$D$40,10)-SUMIFS(Override!$E$11:$E$40,Override!$B$11:$B$40,$B197,Override!$D$11:$D$40,10,Override!$C$11:$C$40,"MXAU"),Override!$L$232)/AS51!$B$3,"")))</f>
        <v/>
      </c>
      <c r="P197" s="140">
        <f>IF(P$13="","",IF($B197="","",IFERROR($C197*$D197*IF((Override!$C$4="ON")*(COUNTIFS(Override!$B$11:$B$40,$B197,Override!$D$11:$D$40,11,Override!$E$11:$E$40,"&gt;=0")-COUNTIFS(Override!$B$11:$B$40,$B197,Override!$D$11:$D$40,11,Override!$E$11:$E$40,"&gt;=0",Override!$C$11:$C$40,"MXAU"))&gt;0,SUMIFS(Override!$E$11:$E$40,Override!$B$11:$B$40,$B197,Override!$D$11:$D$40,11)-SUMIFS(Override!$E$11:$E$40,Override!$B$11:$B$40,$B197,Override!$D$11:$D$40,11,Override!$C$11:$C$40,"MXAU"),Override!$M$232)/AS51!$B$3,"")))</f>
        <v/>
      </c>
      <c r="Q197" s="140">
        <f>IF(Q$13="","",IF($B197="","",IFERROR($C197*$D197*IF((Override!$C$4="ON")*(COUNTIFS(Override!$B$11:$B$40,$B197,Override!$D$11:$D$40,12,Override!$E$11:$E$40,"&gt;=0")-COUNTIFS(Override!$B$11:$B$40,$B197,Override!$D$11:$D$40,12,Override!$E$11:$E$40,"&gt;=0",Override!$C$11:$C$40,"MXAU"))&gt;0,SUMIFS(Override!$E$11:$E$40,Override!$B$11:$B$40,$B197,Override!$D$11:$D$40,12)-SUMIFS(Override!$E$11:$E$40,Override!$B$11:$B$40,$B197,Override!$D$11:$D$40,12,Override!$C$11:$C$40,"MXAU"),Override!$N$232)/AS51!$B$3,"")))</f>
        <v/>
      </c>
      <c r="R197" s="140">
        <f>IF(R$13="","",IF($B197="","",IFERROR($C197*$D197*IF((Override!$C$4="ON")*(COUNTIFS(Override!$B$11:$B$40,$B197,Override!$D$11:$D$40,13,Override!$E$11:$E$40,"&gt;=0")-COUNTIFS(Override!$B$11:$B$40,$B197,Override!$D$11:$D$40,13,Override!$E$11:$E$40,"&gt;=0",Override!$C$11:$C$40,"MXAU"))&gt;0,SUMIFS(Override!$E$11:$E$40,Override!$B$11:$B$40,$B197,Override!$D$11:$D$40,13)-SUMIFS(Override!$E$11:$E$40,Override!$B$11:$B$40,$B197,Override!$D$11:$D$40,13,Override!$C$11:$C$40,"MXAU"),Override!$O$232)/AS51!$B$3,"")))</f>
        <v/>
      </c>
      <c r="S197" s="140">
        <f>IF(S$13="","",IF($B197="","",IFERROR($C197*$D197*IF((Override!$C$4="ON")*(COUNTIFS(Override!$B$11:$B$40,$B197,Override!$D$11:$D$40,14,Override!$E$11:$E$40,"&gt;=0")-COUNTIFS(Override!$B$11:$B$40,$B197,Override!$D$11:$D$40,14,Override!$E$11:$E$40,"&gt;=0",Override!$C$11:$C$40,"MXAU"))&gt;0,SUMIFS(Override!$E$11:$E$40,Override!$B$11:$B$40,$B197,Override!$D$11:$D$40,14)-SUMIFS(Override!$E$11:$E$40,Override!$B$11:$B$40,$B197,Override!$D$11:$D$40,14,Override!$C$11:$C$40,"MXAU"),Override!$P$232)/AS51!$B$3,"")))</f>
        <v/>
      </c>
      <c r="T197" s="140">
        <f>IF(T$13="","",IF($B197="","",IFERROR($C197*$D197*IF((Override!$C$4="ON")*(COUNTIFS(Override!$B$11:$B$40,$B197,Override!$D$11:$D$40,15,Override!$E$11:$E$40,"&gt;=0")-COUNTIFS(Override!$B$11:$B$40,$B197,Override!$D$11:$D$40,15,Override!$E$11:$E$40,"&gt;=0",Override!$C$11:$C$40,"MXAU"))&gt;0,SUMIFS(Override!$E$11:$E$40,Override!$B$11:$B$40,$B197,Override!$D$11:$D$40,15)-SUMIFS(Override!$E$11:$E$40,Override!$B$11:$B$40,$B197,Override!$D$11:$D$40,15,Override!$C$11:$C$40,"MXAU"),Override!$Q$232)/AS51!$B$3,"")))</f>
        <v/>
      </c>
      <c r="U197" s="140">
        <f>IF(U$13="","",IF($B197="","",IFERROR($C197*$D197*IF((Override!$C$4="ON")*(COUNTIFS(Override!$B$11:$B$40,$B197,Override!$D$11:$D$40,16,Override!$E$11:$E$40,"&gt;=0")-COUNTIFS(Override!$B$11:$B$40,$B197,Override!$D$11:$D$40,16,Override!$E$11:$E$40,"&gt;=0",Override!$C$11:$C$40,"MXAU"))&gt;0,SUMIFS(Override!$E$11:$E$40,Override!$B$11:$B$40,$B197,Override!$D$11:$D$40,16)-SUMIFS(Override!$E$11:$E$40,Override!$B$11:$B$40,$B197,Override!$D$11:$D$40,16,Override!$C$11:$C$40,"MXAU"),Override!$R$232)/AS51!$B$3,"")))</f>
        <v/>
      </c>
      <c r="W197" s="140">
        <f>IF(W$13="","",IF($B197="","",IFERROR(F197*$E197/100,"")))</f>
        <v/>
      </c>
      <c r="X197" s="140">
        <f>IF(X$13="","",IF($B197="","",IFERROR(G197*$E197/100,"")))</f>
        <v/>
      </c>
      <c r="Y197" s="140">
        <f>IF(Y$13="","",IF($B197="","",IFERROR(H197*$E197/100,"")))</f>
        <v/>
      </c>
      <c r="Z197" s="140">
        <f>IF(Z$13="","",IF($B197="","",IFERROR(I197*$E197/100,"")))</f>
        <v/>
      </c>
      <c r="AA197" s="140">
        <f>IF(AA$13="","",IF($B197="","",IFERROR(J197*$E197/100,"")))</f>
        <v/>
      </c>
      <c r="AB197" s="140">
        <f>IF(AB$13="","",IF($B197="","",IFERROR(K197*$E197/100,"")))</f>
        <v/>
      </c>
      <c r="AC197" s="140">
        <f>IF(AC$13="","",IF($B197="","",IFERROR(L197*$E197/100,"")))</f>
        <v/>
      </c>
      <c r="AD197" s="140">
        <f>IF(AD$13="","",IF($B197="","",IFERROR(M197*$E197/100,"")))</f>
        <v/>
      </c>
      <c r="AE197" s="140">
        <f>IF(AE$13="","",IF($B197="","",IFERROR(N197*$E197/100,"")))</f>
        <v/>
      </c>
      <c r="AF197" s="140">
        <f>IF(AF$13="","",IF($B197="","",IFERROR(O197*$E197/100,"")))</f>
        <v/>
      </c>
      <c r="AG197" s="140">
        <f>IF(AG$13="","",IF($B197="","",IFERROR(P197*$E197/100,"")))</f>
        <v/>
      </c>
      <c r="AH197" s="140">
        <f>IF(AH$13="","",IF($B197="","",IFERROR(Q197*$E197/100,"")))</f>
        <v/>
      </c>
      <c r="AI197" s="140">
        <f>IF(AI$13="","",IF($B197="","",IFERROR(R197*$E197/100,"")))</f>
        <v/>
      </c>
      <c r="AJ197" s="140">
        <f>IF(AJ$13="","",IF($B197="","",IFERROR(S197*$E197/100,"")))</f>
        <v/>
      </c>
      <c r="AK197" s="140">
        <f>IF(AK$13="","",IF($B197="","",IFERROR(T197*$E197/100,"")))</f>
        <v/>
      </c>
      <c r="AL197" s="140">
        <f>IF(AL$13="","",IF($B197="","",IFERROR(U197*$E197/100,"")))</f>
        <v/>
      </c>
      <c r="AN197" s="140">
        <f>IF($B197="","",SUMIF($F$13:$U$13,"&lt;="&amp;Sector!$D$51,$F197:$U197))</f>
        <v/>
      </c>
      <c r="AO197" s="140">
        <f>IF($B197="","",SUMIF($W$13:$AL$13,"&lt;="&amp;Sector!$D$51,$W197:$AL197))</f>
        <v/>
      </c>
    </row>
    <row r="198">
      <c r="B198" s="5">
        <f>IF(AS51!$C$188="","",AS51!$C$188)</f>
        <v/>
      </c>
      <c r="C198" s="90">
        <f>IF(AS51!$B$188="","",AS51!$B$188)</f>
        <v/>
      </c>
      <c r="D198" s="138">
        <f>IFERROR(AS51!$Q$188,1)</f>
        <v/>
      </c>
      <c r="E198" s="139">
        <f>IF($B198="","",IF(ISNUMBER(AS51!$I$188),AS51!$I$188,'Index Summary'!$C$7))</f>
        <v/>
      </c>
      <c r="F198" s="140">
        <f>IF(F$13="","",IF($B198="","",IFERROR($C198*$D198*IF((Override!$C$4="ON")*(COUNTIFS(Override!$B$11:$B$40,$B198,Override!$D$11:$D$40,1,Override!$E$11:$E$40,"&gt;=0")-COUNTIFS(Override!$B$11:$B$40,$B198,Override!$D$11:$D$40,1,Override!$E$11:$E$40,"&gt;=0",Override!$C$11:$C$40,"MXAU"))&gt;0,SUMIFS(Override!$E$11:$E$40,Override!$B$11:$B$40,$B198,Override!$D$11:$D$40,1)-SUMIFS(Override!$E$11:$E$40,Override!$B$11:$B$40,$B198,Override!$D$11:$D$40,1,Override!$C$11:$C$40,"MXAU"),Override!$C$233)/AS51!$B$3,"")))</f>
        <v/>
      </c>
      <c r="G198" s="140">
        <f>IF(G$13="","",IF($B198="","",IFERROR($C198*$D198*IF((Override!$C$4="ON")*(COUNTIFS(Override!$B$11:$B$40,$B198,Override!$D$11:$D$40,2,Override!$E$11:$E$40,"&gt;=0")-COUNTIFS(Override!$B$11:$B$40,$B198,Override!$D$11:$D$40,2,Override!$E$11:$E$40,"&gt;=0",Override!$C$11:$C$40,"MXAU"))&gt;0,SUMIFS(Override!$E$11:$E$40,Override!$B$11:$B$40,$B198,Override!$D$11:$D$40,2)-SUMIFS(Override!$E$11:$E$40,Override!$B$11:$B$40,$B198,Override!$D$11:$D$40,2,Override!$C$11:$C$40,"MXAU"),Override!$D$233)/AS51!$B$3,"")))</f>
        <v/>
      </c>
      <c r="H198" s="140">
        <f>IF(H$13="","",IF($B198="","",IFERROR($C198*$D198*IF((Override!$C$4="ON")*(COUNTIFS(Override!$B$11:$B$40,$B198,Override!$D$11:$D$40,3,Override!$E$11:$E$40,"&gt;=0")-COUNTIFS(Override!$B$11:$B$40,$B198,Override!$D$11:$D$40,3,Override!$E$11:$E$40,"&gt;=0",Override!$C$11:$C$40,"MXAU"))&gt;0,SUMIFS(Override!$E$11:$E$40,Override!$B$11:$B$40,$B198,Override!$D$11:$D$40,3)-SUMIFS(Override!$E$11:$E$40,Override!$B$11:$B$40,$B198,Override!$D$11:$D$40,3,Override!$C$11:$C$40,"MXAU"),Override!$E$233)/AS51!$B$3,"")))</f>
        <v/>
      </c>
      <c r="I198" s="140">
        <f>IF(I$13="","",IF($B198="","",IFERROR($C198*$D198*IF((Override!$C$4="ON")*(COUNTIFS(Override!$B$11:$B$40,$B198,Override!$D$11:$D$40,4,Override!$E$11:$E$40,"&gt;=0")-COUNTIFS(Override!$B$11:$B$40,$B198,Override!$D$11:$D$40,4,Override!$E$11:$E$40,"&gt;=0",Override!$C$11:$C$40,"MXAU"))&gt;0,SUMIFS(Override!$E$11:$E$40,Override!$B$11:$B$40,$B198,Override!$D$11:$D$40,4)-SUMIFS(Override!$E$11:$E$40,Override!$B$11:$B$40,$B198,Override!$D$11:$D$40,4,Override!$C$11:$C$40,"MXAU"),Override!$F$233)/AS51!$B$3,"")))</f>
        <v/>
      </c>
      <c r="J198" s="140">
        <f>IF(J$13="","",IF($B198="","",IFERROR($C198*$D198*IF((Override!$C$4="ON")*(COUNTIFS(Override!$B$11:$B$40,$B198,Override!$D$11:$D$40,5,Override!$E$11:$E$40,"&gt;=0")-COUNTIFS(Override!$B$11:$B$40,$B198,Override!$D$11:$D$40,5,Override!$E$11:$E$40,"&gt;=0",Override!$C$11:$C$40,"MXAU"))&gt;0,SUMIFS(Override!$E$11:$E$40,Override!$B$11:$B$40,$B198,Override!$D$11:$D$40,5)-SUMIFS(Override!$E$11:$E$40,Override!$B$11:$B$40,$B198,Override!$D$11:$D$40,5,Override!$C$11:$C$40,"MXAU"),Override!$G$233)/AS51!$B$3,"")))</f>
        <v/>
      </c>
      <c r="K198" s="140">
        <f>IF(K$13="","",IF($B198="","",IFERROR($C198*$D198*IF((Override!$C$4="ON")*(COUNTIFS(Override!$B$11:$B$40,$B198,Override!$D$11:$D$40,6,Override!$E$11:$E$40,"&gt;=0")-COUNTIFS(Override!$B$11:$B$40,$B198,Override!$D$11:$D$40,6,Override!$E$11:$E$40,"&gt;=0",Override!$C$11:$C$40,"MXAU"))&gt;0,SUMIFS(Override!$E$11:$E$40,Override!$B$11:$B$40,$B198,Override!$D$11:$D$40,6)-SUMIFS(Override!$E$11:$E$40,Override!$B$11:$B$40,$B198,Override!$D$11:$D$40,6,Override!$C$11:$C$40,"MXAU"),Override!$H$233)/AS51!$B$3,"")))</f>
        <v/>
      </c>
      <c r="L198" s="140">
        <f>IF(L$13="","",IF($B198="","",IFERROR($C198*$D198*IF((Override!$C$4="ON")*(COUNTIFS(Override!$B$11:$B$40,$B198,Override!$D$11:$D$40,7,Override!$E$11:$E$40,"&gt;=0")-COUNTIFS(Override!$B$11:$B$40,$B198,Override!$D$11:$D$40,7,Override!$E$11:$E$40,"&gt;=0",Override!$C$11:$C$40,"MXAU"))&gt;0,SUMIFS(Override!$E$11:$E$40,Override!$B$11:$B$40,$B198,Override!$D$11:$D$40,7)-SUMIFS(Override!$E$11:$E$40,Override!$B$11:$B$40,$B198,Override!$D$11:$D$40,7,Override!$C$11:$C$40,"MXAU"),Override!$I$233)/AS51!$B$3,"")))</f>
        <v/>
      </c>
      <c r="M198" s="140">
        <f>IF(M$13="","",IF($B198="","",IFERROR($C198*$D198*IF((Override!$C$4="ON")*(COUNTIFS(Override!$B$11:$B$40,$B198,Override!$D$11:$D$40,8,Override!$E$11:$E$40,"&gt;=0")-COUNTIFS(Override!$B$11:$B$40,$B198,Override!$D$11:$D$40,8,Override!$E$11:$E$40,"&gt;=0",Override!$C$11:$C$40,"MXAU"))&gt;0,SUMIFS(Override!$E$11:$E$40,Override!$B$11:$B$40,$B198,Override!$D$11:$D$40,8)-SUMIFS(Override!$E$11:$E$40,Override!$B$11:$B$40,$B198,Override!$D$11:$D$40,8,Override!$C$11:$C$40,"MXAU"),Override!$J$233)/AS51!$B$3,"")))</f>
        <v/>
      </c>
      <c r="N198" s="140">
        <f>IF(N$13="","",IF($B198="","",IFERROR($C198*$D198*IF((Override!$C$4="ON")*(COUNTIFS(Override!$B$11:$B$40,$B198,Override!$D$11:$D$40,9,Override!$E$11:$E$40,"&gt;=0")-COUNTIFS(Override!$B$11:$B$40,$B198,Override!$D$11:$D$40,9,Override!$E$11:$E$40,"&gt;=0",Override!$C$11:$C$40,"MXAU"))&gt;0,SUMIFS(Override!$E$11:$E$40,Override!$B$11:$B$40,$B198,Override!$D$11:$D$40,9)-SUMIFS(Override!$E$11:$E$40,Override!$B$11:$B$40,$B198,Override!$D$11:$D$40,9,Override!$C$11:$C$40,"MXAU"),Override!$K$233)/AS51!$B$3,"")))</f>
        <v/>
      </c>
      <c r="O198" s="140">
        <f>IF(O$13="","",IF($B198="","",IFERROR($C198*$D198*IF((Override!$C$4="ON")*(COUNTIFS(Override!$B$11:$B$40,$B198,Override!$D$11:$D$40,10,Override!$E$11:$E$40,"&gt;=0")-COUNTIFS(Override!$B$11:$B$40,$B198,Override!$D$11:$D$40,10,Override!$E$11:$E$40,"&gt;=0",Override!$C$11:$C$40,"MXAU"))&gt;0,SUMIFS(Override!$E$11:$E$40,Override!$B$11:$B$40,$B198,Override!$D$11:$D$40,10)-SUMIFS(Override!$E$11:$E$40,Override!$B$11:$B$40,$B198,Override!$D$11:$D$40,10,Override!$C$11:$C$40,"MXAU"),Override!$L$233)/AS51!$B$3,"")))</f>
        <v/>
      </c>
      <c r="P198" s="140">
        <f>IF(P$13="","",IF($B198="","",IFERROR($C198*$D198*IF((Override!$C$4="ON")*(COUNTIFS(Override!$B$11:$B$40,$B198,Override!$D$11:$D$40,11,Override!$E$11:$E$40,"&gt;=0")-COUNTIFS(Override!$B$11:$B$40,$B198,Override!$D$11:$D$40,11,Override!$E$11:$E$40,"&gt;=0",Override!$C$11:$C$40,"MXAU"))&gt;0,SUMIFS(Override!$E$11:$E$40,Override!$B$11:$B$40,$B198,Override!$D$11:$D$40,11)-SUMIFS(Override!$E$11:$E$40,Override!$B$11:$B$40,$B198,Override!$D$11:$D$40,11,Override!$C$11:$C$40,"MXAU"),Override!$M$233)/AS51!$B$3,"")))</f>
        <v/>
      </c>
      <c r="Q198" s="140">
        <f>IF(Q$13="","",IF($B198="","",IFERROR($C198*$D198*IF((Override!$C$4="ON")*(COUNTIFS(Override!$B$11:$B$40,$B198,Override!$D$11:$D$40,12,Override!$E$11:$E$40,"&gt;=0")-COUNTIFS(Override!$B$11:$B$40,$B198,Override!$D$11:$D$40,12,Override!$E$11:$E$40,"&gt;=0",Override!$C$11:$C$40,"MXAU"))&gt;0,SUMIFS(Override!$E$11:$E$40,Override!$B$11:$B$40,$B198,Override!$D$11:$D$40,12)-SUMIFS(Override!$E$11:$E$40,Override!$B$11:$B$40,$B198,Override!$D$11:$D$40,12,Override!$C$11:$C$40,"MXAU"),Override!$N$233)/AS51!$B$3,"")))</f>
        <v/>
      </c>
      <c r="R198" s="140">
        <f>IF(R$13="","",IF($B198="","",IFERROR($C198*$D198*IF((Override!$C$4="ON")*(COUNTIFS(Override!$B$11:$B$40,$B198,Override!$D$11:$D$40,13,Override!$E$11:$E$40,"&gt;=0")-COUNTIFS(Override!$B$11:$B$40,$B198,Override!$D$11:$D$40,13,Override!$E$11:$E$40,"&gt;=0",Override!$C$11:$C$40,"MXAU"))&gt;0,SUMIFS(Override!$E$11:$E$40,Override!$B$11:$B$40,$B198,Override!$D$11:$D$40,13)-SUMIFS(Override!$E$11:$E$40,Override!$B$11:$B$40,$B198,Override!$D$11:$D$40,13,Override!$C$11:$C$40,"MXAU"),Override!$O$233)/AS51!$B$3,"")))</f>
        <v/>
      </c>
      <c r="S198" s="140">
        <f>IF(S$13="","",IF($B198="","",IFERROR($C198*$D198*IF((Override!$C$4="ON")*(COUNTIFS(Override!$B$11:$B$40,$B198,Override!$D$11:$D$40,14,Override!$E$11:$E$40,"&gt;=0")-COUNTIFS(Override!$B$11:$B$40,$B198,Override!$D$11:$D$40,14,Override!$E$11:$E$40,"&gt;=0",Override!$C$11:$C$40,"MXAU"))&gt;0,SUMIFS(Override!$E$11:$E$40,Override!$B$11:$B$40,$B198,Override!$D$11:$D$40,14)-SUMIFS(Override!$E$11:$E$40,Override!$B$11:$B$40,$B198,Override!$D$11:$D$40,14,Override!$C$11:$C$40,"MXAU"),Override!$P$233)/AS51!$B$3,"")))</f>
        <v/>
      </c>
      <c r="T198" s="140">
        <f>IF(T$13="","",IF($B198="","",IFERROR($C198*$D198*IF((Override!$C$4="ON")*(COUNTIFS(Override!$B$11:$B$40,$B198,Override!$D$11:$D$40,15,Override!$E$11:$E$40,"&gt;=0")-COUNTIFS(Override!$B$11:$B$40,$B198,Override!$D$11:$D$40,15,Override!$E$11:$E$40,"&gt;=0",Override!$C$11:$C$40,"MXAU"))&gt;0,SUMIFS(Override!$E$11:$E$40,Override!$B$11:$B$40,$B198,Override!$D$11:$D$40,15)-SUMIFS(Override!$E$11:$E$40,Override!$B$11:$B$40,$B198,Override!$D$11:$D$40,15,Override!$C$11:$C$40,"MXAU"),Override!$Q$233)/AS51!$B$3,"")))</f>
        <v/>
      </c>
      <c r="U198" s="140">
        <f>IF(U$13="","",IF($B198="","",IFERROR($C198*$D198*IF((Override!$C$4="ON")*(COUNTIFS(Override!$B$11:$B$40,$B198,Override!$D$11:$D$40,16,Override!$E$11:$E$40,"&gt;=0")-COUNTIFS(Override!$B$11:$B$40,$B198,Override!$D$11:$D$40,16,Override!$E$11:$E$40,"&gt;=0",Override!$C$11:$C$40,"MXAU"))&gt;0,SUMIFS(Override!$E$11:$E$40,Override!$B$11:$B$40,$B198,Override!$D$11:$D$40,16)-SUMIFS(Override!$E$11:$E$40,Override!$B$11:$B$40,$B198,Override!$D$11:$D$40,16,Override!$C$11:$C$40,"MXAU"),Override!$R$233)/AS51!$B$3,"")))</f>
        <v/>
      </c>
      <c r="W198" s="140">
        <f>IF(W$13="","",IF($B198="","",IFERROR(F198*$E198/100,"")))</f>
        <v/>
      </c>
      <c r="X198" s="140">
        <f>IF(X$13="","",IF($B198="","",IFERROR(G198*$E198/100,"")))</f>
        <v/>
      </c>
      <c r="Y198" s="140">
        <f>IF(Y$13="","",IF($B198="","",IFERROR(H198*$E198/100,"")))</f>
        <v/>
      </c>
      <c r="Z198" s="140">
        <f>IF(Z$13="","",IF($B198="","",IFERROR(I198*$E198/100,"")))</f>
        <v/>
      </c>
      <c r="AA198" s="140">
        <f>IF(AA$13="","",IF($B198="","",IFERROR(J198*$E198/100,"")))</f>
        <v/>
      </c>
      <c r="AB198" s="140">
        <f>IF(AB$13="","",IF($B198="","",IFERROR(K198*$E198/100,"")))</f>
        <v/>
      </c>
      <c r="AC198" s="140">
        <f>IF(AC$13="","",IF($B198="","",IFERROR(L198*$E198/100,"")))</f>
        <v/>
      </c>
      <c r="AD198" s="140">
        <f>IF(AD$13="","",IF($B198="","",IFERROR(M198*$E198/100,"")))</f>
        <v/>
      </c>
      <c r="AE198" s="140">
        <f>IF(AE$13="","",IF($B198="","",IFERROR(N198*$E198/100,"")))</f>
        <v/>
      </c>
      <c r="AF198" s="140">
        <f>IF(AF$13="","",IF($B198="","",IFERROR(O198*$E198/100,"")))</f>
        <v/>
      </c>
      <c r="AG198" s="140">
        <f>IF(AG$13="","",IF($B198="","",IFERROR(P198*$E198/100,"")))</f>
        <v/>
      </c>
      <c r="AH198" s="140">
        <f>IF(AH$13="","",IF($B198="","",IFERROR(Q198*$E198/100,"")))</f>
        <v/>
      </c>
      <c r="AI198" s="140">
        <f>IF(AI$13="","",IF($B198="","",IFERROR(R198*$E198/100,"")))</f>
        <v/>
      </c>
      <c r="AJ198" s="140">
        <f>IF(AJ$13="","",IF($B198="","",IFERROR(S198*$E198/100,"")))</f>
        <v/>
      </c>
      <c r="AK198" s="140">
        <f>IF(AK$13="","",IF($B198="","",IFERROR(T198*$E198/100,"")))</f>
        <v/>
      </c>
      <c r="AL198" s="140">
        <f>IF(AL$13="","",IF($B198="","",IFERROR(U198*$E198/100,"")))</f>
        <v/>
      </c>
      <c r="AN198" s="140">
        <f>IF($B198="","",SUMIF($F$13:$U$13,"&lt;="&amp;Sector!$D$51,$F198:$U198))</f>
        <v/>
      </c>
      <c r="AO198" s="140">
        <f>IF($B198="","",SUMIF($W$13:$AL$13,"&lt;="&amp;Sector!$D$51,$W198:$AL198))</f>
        <v/>
      </c>
    </row>
    <row r="199">
      <c r="B199" s="5">
        <f>IF(AS51!$C$189="","",AS51!$C$189)</f>
        <v/>
      </c>
      <c r="C199" s="90">
        <f>IF(AS51!$B$189="","",AS51!$B$189)</f>
        <v/>
      </c>
      <c r="D199" s="138">
        <f>IFERROR(AS51!$Q$189,1)</f>
        <v/>
      </c>
      <c r="E199" s="139">
        <f>IF($B199="","",IF(ISNUMBER(AS51!$I$189),AS51!$I$189,'Index Summary'!$C$7))</f>
        <v/>
      </c>
      <c r="F199" s="140">
        <f>IF(F$13="","",IF($B199="","",IFERROR($C199*$D199*IF((Override!$C$4="ON")*(COUNTIFS(Override!$B$11:$B$40,$B199,Override!$D$11:$D$40,1,Override!$E$11:$E$40,"&gt;=0")-COUNTIFS(Override!$B$11:$B$40,$B199,Override!$D$11:$D$40,1,Override!$E$11:$E$40,"&gt;=0",Override!$C$11:$C$40,"MXAU"))&gt;0,SUMIFS(Override!$E$11:$E$40,Override!$B$11:$B$40,$B199,Override!$D$11:$D$40,1)-SUMIFS(Override!$E$11:$E$40,Override!$B$11:$B$40,$B199,Override!$D$11:$D$40,1,Override!$C$11:$C$40,"MXAU"),Override!$C$234)/AS51!$B$3,"")))</f>
        <v/>
      </c>
      <c r="G199" s="140">
        <f>IF(G$13="","",IF($B199="","",IFERROR($C199*$D199*IF((Override!$C$4="ON")*(COUNTIFS(Override!$B$11:$B$40,$B199,Override!$D$11:$D$40,2,Override!$E$11:$E$40,"&gt;=0")-COUNTIFS(Override!$B$11:$B$40,$B199,Override!$D$11:$D$40,2,Override!$E$11:$E$40,"&gt;=0",Override!$C$11:$C$40,"MXAU"))&gt;0,SUMIFS(Override!$E$11:$E$40,Override!$B$11:$B$40,$B199,Override!$D$11:$D$40,2)-SUMIFS(Override!$E$11:$E$40,Override!$B$11:$B$40,$B199,Override!$D$11:$D$40,2,Override!$C$11:$C$40,"MXAU"),Override!$D$234)/AS51!$B$3,"")))</f>
        <v/>
      </c>
      <c r="H199" s="140">
        <f>IF(H$13="","",IF($B199="","",IFERROR($C199*$D199*IF((Override!$C$4="ON")*(COUNTIFS(Override!$B$11:$B$40,$B199,Override!$D$11:$D$40,3,Override!$E$11:$E$40,"&gt;=0")-COUNTIFS(Override!$B$11:$B$40,$B199,Override!$D$11:$D$40,3,Override!$E$11:$E$40,"&gt;=0",Override!$C$11:$C$40,"MXAU"))&gt;0,SUMIFS(Override!$E$11:$E$40,Override!$B$11:$B$40,$B199,Override!$D$11:$D$40,3)-SUMIFS(Override!$E$11:$E$40,Override!$B$11:$B$40,$B199,Override!$D$11:$D$40,3,Override!$C$11:$C$40,"MXAU"),Override!$E$234)/AS51!$B$3,"")))</f>
        <v/>
      </c>
      <c r="I199" s="140">
        <f>IF(I$13="","",IF($B199="","",IFERROR($C199*$D199*IF((Override!$C$4="ON")*(COUNTIFS(Override!$B$11:$B$40,$B199,Override!$D$11:$D$40,4,Override!$E$11:$E$40,"&gt;=0")-COUNTIFS(Override!$B$11:$B$40,$B199,Override!$D$11:$D$40,4,Override!$E$11:$E$40,"&gt;=0",Override!$C$11:$C$40,"MXAU"))&gt;0,SUMIFS(Override!$E$11:$E$40,Override!$B$11:$B$40,$B199,Override!$D$11:$D$40,4)-SUMIFS(Override!$E$11:$E$40,Override!$B$11:$B$40,$B199,Override!$D$11:$D$40,4,Override!$C$11:$C$40,"MXAU"),Override!$F$234)/AS51!$B$3,"")))</f>
        <v/>
      </c>
      <c r="J199" s="140">
        <f>IF(J$13="","",IF($B199="","",IFERROR($C199*$D199*IF((Override!$C$4="ON")*(COUNTIFS(Override!$B$11:$B$40,$B199,Override!$D$11:$D$40,5,Override!$E$11:$E$40,"&gt;=0")-COUNTIFS(Override!$B$11:$B$40,$B199,Override!$D$11:$D$40,5,Override!$E$11:$E$40,"&gt;=0",Override!$C$11:$C$40,"MXAU"))&gt;0,SUMIFS(Override!$E$11:$E$40,Override!$B$11:$B$40,$B199,Override!$D$11:$D$40,5)-SUMIFS(Override!$E$11:$E$40,Override!$B$11:$B$40,$B199,Override!$D$11:$D$40,5,Override!$C$11:$C$40,"MXAU"),Override!$G$234)/AS51!$B$3,"")))</f>
        <v/>
      </c>
      <c r="K199" s="140">
        <f>IF(K$13="","",IF($B199="","",IFERROR($C199*$D199*IF((Override!$C$4="ON")*(COUNTIFS(Override!$B$11:$B$40,$B199,Override!$D$11:$D$40,6,Override!$E$11:$E$40,"&gt;=0")-COUNTIFS(Override!$B$11:$B$40,$B199,Override!$D$11:$D$40,6,Override!$E$11:$E$40,"&gt;=0",Override!$C$11:$C$40,"MXAU"))&gt;0,SUMIFS(Override!$E$11:$E$40,Override!$B$11:$B$40,$B199,Override!$D$11:$D$40,6)-SUMIFS(Override!$E$11:$E$40,Override!$B$11:$B$40,$B199,Override!$D$11:$D$40,6,Override!$C$11:$C$40,"MXAU"),Override!$H$234)/AS51!$B$3,"")))</f>
        <v/>
      </c>
      <c r="L199" s="140">
        <f>IF(L$13="","",IF($B199="","",IFERROR($C199*$D199*IF((Override!$C$4="ON")*(COUNTIFS(Override!$B$11:$B$40,$B199,Override!$D$11:$D$40,7,Override!$E$11:$E$40,"&gt;=0")-COUNTIFS(Override!$B$11:$B$40,$B199,Override!$D$11:$D$40,7,Override!$E$11:$E$40,"&gt;=0",Override!$C$11:$C$40,"MXAU"))&gt;0,SUMIFS(Override!$E$11:$E$40,Override!$B$11:$B$40,$B199,Override!$D$11:$D$40,7)-SUMIFS(Override!$E$11:$E$40,Override!$B$11:$B$40,$B199,Override!$D$11:$D$40,7,Override!$C$11:$C$40,"MXAU"),Override!$I$234)/AS51!$B$3,"")))</f>
        <v/>
      </c>
      <c r="M199" s="140">
        <f>IF(M$13="","",IF($B199="","",IFERROR($C199*$D199*IF((Override!$C$4="ON")*(COUNTIFS(Override!$B$11:$B$40,$B199,Override!$D$11:$D$40,8,Override!$E$11:$E$40,"&gt;=0")-COUNTIFS(Override!$B$11:$B$40,$B199,Override!$D$11:$D$40,8,Override!$E$11:$E$40,"&gt;=0",Override!$C$11:$C$40,"MXAU"))&gt;0,SUMIFS(Override!$E$11:$E$40,Override!$B$11:$B$40,$B199,Override!$D$11:$D$40,8)-SUMIFS(Override!$E$11:$E$40,Override!$B$11:$B$40,$B199,Override!$D$11:$D$40,8,Override!$C$11:$C$40,"MXAU"),Override!$J$234)/AS51!$B$3,"")))</f>
        <v/>
      </c>
      <c r="N199" s="140">
        <f>IF(N$13="","",IF($B199="","",IFERROR($C199*$D199*IF((Override!$C$4="ON")*(COUNTIFS(Override!$B$11:$B$40,$B199,Override!$D$11:$D$40,9,Override!$E$11:$E$40,"&gt;=0")-COUNTIFS(Override!$B$11:$B$40,$B199,Override!$D$11:$D$40,9,Override!$E$11:$E$40,"&gt;=0",Override!$C$11:$C$40,"MXAU"))&gt;0,SUMIFS(Override!$E$11:$E$40,Override!$B$11:$B$40,$B199,Override!$D$11:$D$40,9)-SUMIFS(Override!$E$11:$E$40,Override!$B$11:$B$40,$B199,Override!$D$11:$D$40,9,Override!$C$11:$C$40,"MXAU"),Override!$K$234)/AS51!$B$3,"")))</f>
        <v/>
      </c>
      <c r="O199" s="140">
        <f>IF(O$13="","",IF($B199="","",IFERROR($C199*$D199*IF((Override!$C$4="ON")*(COUNTIFS(Override!$B$11:$B$40,$B199,Override!$D$11:$D$40,10,Override!$E$11:$E$40,"&gt;=0")-COUNTIFS(Override!$B$11:$B$40,$B199,Override!$D$11:$D$40,10,Override!$E$11:$E$40,"&gt;=0",Override!$C$11:$C$40,"MXAU"))&gt;0,SUMIFS(Override!$E$11:$E$40,Override!$B$11:$B$40,$B199,Override!$D$11:$D$40,10)-SUMIFS(Override!$E$11:$E$40,Override!$B$11:$B$40,$B199,Override!$D$11:$D$40,10,Override!$C$11:$C$40,"MXAU"),Override!$L$234)/AS51!$B$3,"")))</f>
        <v/>
      </c>
      <c r="P199" s="140">
        <f>IF(P$13="","",IF($B199="","",IFERROR($C199*$D199*IF((Override!$C$4="ON")*(COUNTIFS(Override!$B$11:$B$40,$B199,Override!$D$11:$D$40,11,Override!$E$11:$E$40,"&gt;=0")-COUNTIFS(Override!$B$11:$B$40,$B199,Override!$D$11:$D$40,11,Override!$E$11:$E$40,"&gt;=0",Override!$C$11:$C$40,"MXAU"))&gt;0,SUMIFS(Override!$E$11:$E$40,Override!$B$11:$B$40,$B199,Override!$D$11:$D$40,11)-SUMIFS(Override!$E$11:$E$40,Override!$B$11:$B$40,$B199,Override!$D$11:$D$40,11,Override!$C$11:$C$40,"MXAU"),Override!$M$234)/AS51!$B$3,"")))</f>
        <v/>
      </c>
      <c r="Q199" s="140">
        <f>IF(Q$13="","",IF($B199="","",IFERROR($C199*$D199*IF((Override!$C$4="ON")*(COUNTIFS(Override!$B$11:$B$40,$B199,Override!$D$11:$D$40,12,Override!$E$11:$E$40,"&gt;=0")-COUNTIFS(Override!$B$11:$B$40,$B199,Override!$D$11:$D$40,12,Override!$E$11:$E$40,"&gt;=0",Override!$C$11:$C$40,"MXAU"))&gt;0,SUMIFS(Override!$E$11:$E$40,Override!$B$11:$B$40,$B199,Override!$D$11:$D$40,12)-SUMIFS(Override!$E$11:$E$40,Override!$B$11:$B$40,$B199,Override!$D$11:$D$40,12,Override!$C$11:$C$40,"MXAU"),Override!$N$234)/AS51!$B$3,"")))</f>
        <v/>
      </c>
      <c r="R199" s="140">
        <f>IF(R$13="","",IF($B199="","",IFERROR($C199*$D199*IF((Override!$C$4="ON")*(COUNTIFS(Override!$B$11:$B$40,$B199,Override!$D$11:$D$40,13,Override!$E$11:$E$40,"&gt;=0")-COUNTIFS(Override!$B$11:$B$40,$B199,Override!$D$11:$D$40,13,Override!$E$11:$E$40,"&gt;=0",Override!$C$11:$C$40,"MXAU"))&gt;0,SUMIFS(Override!$E$11:$E$40,Override!$B$11:$B$40,$B199,Override!$D$11:$D$40,13)-SUMIFS(Override!$E$11:$E$40,Override!$B$11:$B$40,$B199,Override!$D$11:$D$40,13,Override!$C$11:$C$40,"MXAU"),Override!$O$234)/AS51!$B$3,"")))</f>
        <v/>
      </c>
      <c r="S199" s="140">
        <f>IF(S$13="","",IF($B199="","",IFERROR($C199*$D199*IF((Override!$C$4="ON")*(COUNTIFS(Override!$B$11:$B$40,$B199,Override!$D$11:$D$40,14,Override!$E$11:$E$40,"&gt;=0")-COUNTIFS(Override!$B$11:$B$40,$B199,Override!$D$11:$D$40,14,Override!$E$11:$E$40,"&gt;=0",Override!$C$11:$C$40,"MXAU"))&gt;0,SUMIFS(Override!$E$11:$E$40,Override!$B$11:$B$40,$B199,Override!$D$11:$D$40,14)-SUMIFS(Override!$E$11:$E$40,Override!$B$11:$B$40,$B199,Override!$D$11:$D$40,14,Override!$C$11:$C$40,"MXAU"),Override!$P$234)/AS51!$B$3,"")))</f>
        <v/>
      </c>
      <c r="T199" s="140">
        <f>IF(T$13="","",IF($B199="","",IFERROR($C199*$D199*IF((Override!$C$4="ON")*(COUNTIFS(Override!$B$11:$B$40,$B199,Override!$D$11:$D$40,15,Override!$E$11:$E$40,"&gt;=0")-COUNTIFS(Override!$B$11:$B$40,$B199,Override!$D$11:$D$40,15,Override!$E$11:$E$40,"&gt;=0",Override!$C$11:$C$40,"MXAU"))&gt;0,SUMIFS(Override!$E$11:$E$40,Override!$B$11:$B$40,$B199,Override!$D$11:$D$40,15)-SUMIFS(Override!$E$11:$E$40,Override!$B$11:$B$40,$B199,Override!$D$11:$D$40,15,Override!$C$11:$C$40,"MXAU"),Override!$Q$234)/AS51!$B$3,"")))</f>
        <v/>
      </c>
      <c r="U199" s="140">
        <f>IF(U$13="","",IF($B199="","",IFERROR($C199*$D199*IF((Override!$C$4="ON")*(COUNTIFS(Override!$B$11:$B$40,$B199,Override!$D$11:$D$40,16,Override!$E$11:$E$40,"&gt;=0")-COUNTIFS(Override!$B$11:$B$40,$B199,Override!$D$11:$D$40,16,Override!$E$11:$E$40,"&gt;=0",Override!$C$11:$C$40,"MXAU"))&gt;0,SUMIFS(Override!$E$11:$E$40,Override!$B$11:$B$40,$B199,Override!$D$11:$D$40,16)-SUMIFS(Override!$E$11:$E$40,Override!$B$11:$B$40,$B199,Override!$D$11:$D$40,16,Override!$C$11:$C$40,"MXAU"),Override!$R$234)/AS51!$B$3,"")))</f>
        <v/>
      </c>
      <c r="W199" s="140">
        <f>IF(W$13="","",IF($B199="","",IFERROR(F199*$E199/100,"")))</f>
        <v/>
      </c>
      <c r="X199" s="140">
        <f>IF(X$13="","",IF($B199="","",IFERROR(G199*$E199/100,"")))</f>
        <v/>
      </c>
      <c r="Y199" s="140">
        <f>IF(Y$13="","",IF($B199="","",IFERROR(H199*$E199/100,"")))</f>
        <v/>
      </c>
      <c r="Z199" s="140">
        <f>IF(Z$13="","",IF($B199="","",IFERROR(I199*$E199/100,"")))</f>
        <v/>
      </c>
      <c r="AA199" s="140">
        <f>IF(AA$13="","",IF($B199="","",IFERROR(J199*$E199/100,"")))</f>
        <v/>
      </c>
      <c r="AB199" s="140">
        <f>IF(AB$13="","",IF($B199="","",IFERROR(K199*$E199/100,"")))</f>
        <v/>
      </c>
      <c r="AC199" s="140">
        <f>IF(AC$13="","",IF($B199="","",IFERROR(L199*$E199/100,"")))</f>
        <v/>
      </c>
      <c r="AD199" s="140">
        <f>IF(AD$13="","",IF($B199="","",IFERROR(M199*$E199/100,"")))</f>
        <v/>
      </c>
      <c r="AE199" s="140">
        <f>IF(AE$13="","",IF($B199="","",IFERROR(N199*$E199/100,"")))</f>
        <v/>
      </c>
      <c r="AF199" s="140">
        <f>IF(AF$13="","",IF($B199="","",IFERROR(O199*$E199/100,"")))</f>
        <v/>
      </c>
      <c r="AG199" s="140">
        <f>IF(AG$13="","",IF($B199="","",IFERROR(P199*$E199/100,"")))</f>
        <v/>
      </c>
      <c r="AH199" s="140">
        <f>IF(AH$13="","",IF($B199="","",IFERROR(Q199*$E199/100,"")))</f>
        <v/>
      </c>
      <c r="AI199" s="140">
        <f>IF(AI$13="","",IF($B199="","",IFERROR(R199*$E199/100,"")))</f>
        <v/>
      </c>
      <c r="AJ199" s="140">
        <f>IF(AJ$13="","",IF($B199="","",IFERROR(S199*$E199/100,"")))</f>
        <v/>
      </c>
      <c r="AK199" s="140">
        <f>IF(AK$13="","",IF($B199="","",IFERROR(T199*$E199/100,"")))</f>
        <v/>
      </c>
      <c r="AL199" s="140">
        <f>IF(AL$13="","",IF($B199="","",IFERROR(U199*$E199/100,"")))</f>
        <v/>
      </c>
      <c r="AN199" s="140">
        <f>IF($B199="","",SUMIF($F$13:$U$13,"&lt;="&amp;Sector!$D$51,$F199:$U199))</f>
        <v/>
      </c>
      <c r="AO199" s="140">
        <f>IF($B199="","",SUMIF($W$13:$AL$13,"&lt;="&amp;Sector!$D$51,$W199:$AL199))</f>
        <v/>
      </c>
    </row>
    <row r="200">
      <c r="B200" s="5">
        <f>IF(AS51!$C$190="","",AS51!$C$190)</f>
        <v/>
      </c>
      <c r="C200" s="90">
        <f>IF(AS51!$B$190="","",AS51!$B$190)</f>
        <v/>
      </c>
      <c r="D200" s="138">
        <f>IFERROR(AS51!$Q$190,1)</f>
        <v/>
      </c>
      <c r="E200" s="139">
        <f>IF($B200="","",IF(ISNUMBER(AS51!$I$190),AS51!$I$190,'Index Summary'!$C$7))</f>
        <v/>
      </c>
      <c r="F200" s="140">
        <f>IF(F$13="","",IF($B200="","",IFERROR($C200*$D200*IF((Override!$C$4="ON")*(COUNTIFS(Override!$B$11:$B$40,$B200,Override!$D$11:$D$40,1,Override!$E$11:$E$40,"&gt;=0")-COUNTIFS(Override!$B$11:$B$40,$B200,Override!$D$11:$D$40,1,Override!$E$11:$E$40,"&gt;=0",Override!$C$11:$C$40,"MXAU"))&gt;0,SUMIFS(Override!$E$11:$E$40,Override!$B$11:$B$40,$B200,Override!$D$11:$D$40,1)-SUMIFS(Override!$E$11:$E$40,Override!$B$11:$B$40,$B200,Override!$D$11:$D$40,1,Override!$C$11:$C$40,"MXAU"),Override!$C$235)/AS51!$B$3,"")))</f>
        <v/>
      </c>
      <c r="G200" s="140">
        <f>IF(G$13="","",IF($B200="","",IFERROR($C200*$D200*IF((Override!$C$4="ON")*(COUNTIFS(Override!$B$11:$B$40,$B200,Override!$D$11:$D$40,2,Override!$E$11:$E$40,"&gt;=0")-COUNTIFS(Override!$B$11:$B$40,$B200,Override!$D$11:$D$40,2,Override!$E$11:$E$40,"&gt;=0",Override!$C$11:$C$40,"MXAU"))&gt;0,SUMIFS(Override!$E$11:$E$40,Override!$B$11:$B$40,$B200,Override!$D$11:$D$40,2)-SUMIFS(Override!$E$11:$E$40,Override!$B$11:$B$40,$B200,Override!$D$11:$D$40,2,Override!$C$11:$C$40,"MXAU"),Override!$D$235)/AS51!$B$3,"")))</f>
        <v/>
      </c>
      <c r="H200" s="140">
        <f>IF(H$13="","",IF($B200="","",IFERROR($C200*$D200*IF((Override!$C$4="ON")*(COUNTIFS(Override!$B$11:$B$40,$B200,Override!$D$11:$D$40,3,Override!$E$11:$E$40,"&gt;=0")-COUNTIFS(Override!$B$11:$B$40,$B200,Override!$D$11:$D$40,3,Override!$E$11:$E$40,"&gt;=0",Override!$C$11:$C$40,"MXAU"))&gt;0,SUMIFS(Override!$E$11:$E$40,Override!$B$11:$B$40,$B200,Override!$D$11:$D$40,3)-SUMIFS(Override!$E$11:$E$40,Override!$B$11:$B$40,$B200,Override!$D$11:$D$40,3,Override!$C$11:$C$40,"MXAU"),Override!$E$235)/AS51!$B$3,"")))</f>
        <v/>
      </c>
      <c r="I200" s="140">
        <f>IF(I$13="","",IF($B200="","",IFERROR($C200*$D200*IF((Override!$C$4="ON")*(COUNTIFS(Override!$B$11:$B$40,$B200,Override!$D$11:$D$40,4,Override!$E$11:$E$40,"&gt;=0")-COUNTIFS(Override!$B$11:$B$40,$B200,Override!$D$11:$D$40,4,Override!$E$11:$E$40,"&gt;=0",Override!$C$11:$C$40,"MXAU"))&gt;0,SUMIFS(Override!$E$11:$E$40,Override!$B$11:$B$40,$B200,Override!$D$11:$D$40,4)-SUMIFS(Override!$E$11:$E$40,Override!$B$11:$B$40,$B200,Override!$D$11:$D$40,4,Override!$C$11:$C$40,"MXAU"),Override!$F$235)/AS51!$B$3,"")))</f>
        <v/>
      </c>
      <c r="J200" s="140">
        <f>IF(J$13="","",IF($B200="","",IFERROR($C200*$D200*IF((Override!$C$4="ON")*(COUNTIFS(Override!$B$11:$B$40,$B200,Override!$D$11:$D$40,5,Override!$E$11:$E$40,"&gt;=0")-COUNTIFS(Override!$B$11:$B$40,$B200,Override!$D$11:$D$40,5,Override!$E$11:$E$40,"&gt;=0",Override!$C$11:$C$40,"MXAU"))&gt;0,SUMIFS(Override!$E$11:$E$40,Override!$B$11:$B$40,$B200,Override!$D$11:$D$40,5)-SUMIFS(Override!$E$11:$E$40,Override!$B$11:$B$40,$B200,Override!$D$11:$D$40,5,Override!$C$11:$C$40,"MXAU"),Override!$G$235)/AS51!$B$3,"")))</f>
        <v/>
      </c>
      <c r="K200" s="140">
        <f>IF(K$13="","",IF($B200="","",IFERROR($C200*$D200*IF((Override!$C$4="ON")*(COUNTIFS(Override!$B$11:$B$40,$B200,Override!$D$11:$D$40,6,Override!$E$11:$E$40,"&gt;=0")-COUNTIFS(Override!$B$11:$B$40,$B200,Override!$D$11:$D$40,6,Override!$E$11:$E$40,"&gt;=0",Override!$C$11:$C$40,"MXAU"))&gt;0,SUMIFS(Override!$E$11:$E$40,Override!$B$11:$B$40,$B200,Override!$D$11:$D$40,6)-SUMIFS(Override!$E$11:$E$40,Override!$B$11:$B$40,$B200,Override!$D$11:$D$40,6,Override!$C$11:$C$40,"MXAU"),Override!$H$235)/AS51!$B$3,"")))</f>
        <v/>
      </c>
      <c r="L200" s="140">
        <f>IF(L$13="","",IF($B200="","",IFERROR($C200*$D200*IF((Override!$C$4="ON")*(COUNTIFS(Override!$B$11:$B$40,$B200,Override!$D$11:$D$40,7,Override!$E$11:$E$40,"&gt;=0")-COUNTIFS(Override!$B$11:$B$40,$B200,Override!$D$11:$D$40,7,Override!$E$11:$E$40,"&gt;=0",Override!$C$11:$C$40,"MXAU"))&gt;0,SUMIFS(Override!$E$11:$E$40,Override!$B$11:$B$40,$B200,Override!$D$11:$D$40,7)-SUMIFS(Override!$E$11:$E$40,Override!$B$11:$B$40,$B200,Override!$D$11:$D$40,7,Override!$C$11:$C$40,"MXAU"),Override!$I$235)/AS51!$B$3,"")))</f>
        <v/>
      </c>
      <c r="M200" s="140">
        <f>IF(M$13="","",IF($B200="","",IFERROR($C200*$D200*IF((Override!$C$4="ON")*(COUNTIFS(Override!$B$11:$B$40,$B200,Override!$D$11:$D$40,8,Override!$E$11:$E$40,"&gt;=0")-COUNTIFS(Override!$B$11:$B$40,$B200,Override!$D$11:$D$40,8,Override!$E$11:$E$40,"&gt;=0",Override!$C$11:$C$40,"MXAU"))&gt;0,SUMIFS(Override!$E$11:$E$40,Override!$B$11:$B$40,$B200,Override!$D$11:$D$40,8)-SUMIFS(Override!$E$11:$E$40,Override!$B$11:$B$40,$B200,Override!$D$11:$D$40,8,Override!$C$11:$C$40,"MXAU"),Override!$J$235)/AS51!$B$3,"")))</f>
        <v/>
      </c>
      <c r="N200" s="140">
        <f>IF(N$13="","",IF($B200="","",IFERROR($C200*$D200*IF((Override!$C$4="ON")*(COUNTIFS(Override!$B$11:$B$40,$B200,Override!$D$11:$D$40,9,Override!$E$11:$E$40,"&gt;=0")-COUNTIFS(Override!$B$11:$B$40,$B200,Override!$D$11:$D$40,9,Override!$E$11:$E$40,"&gt;=0",Override!$C$11:$C$40,"MXAU"))&gt;0,SUMIFS(Override!$E$11:$E$40,Override!$B$11:$B$40,$B200,Override!$D$11:$D$40,9)-SUMIFS(Override!$E$11:$E$40,Override!$B$11:$B$40,$B200,Override!$D$11:$D$40,9,Override!$C$11:$C$40,"MXAU"),Override!$K$235)/AS51!$B$3,"")))</f>
        <v/>
      </c>
      <c r="O200" s="140">
        <f>IF(O$13="","",IF($B200="","",IFERROR($C200*$D200*IF((Override!$C$4="ON")*(COUNTIFS(Override!$B$11:$B$40,$B200,Override!$D$11:$D$40,10,Override!$E$11:$E$40,"&gt;=0")-COUNTIFS(Override!$B$11:$B$40,$B200,Override!$D$11:$D$40,10,Override!$E$11:$E$40,"&gt;=0",Override!$C$11:$C$40,"MXAU"))&gt;0,SUMIFS(Override!$E$11:$E$40,Override!$B$11:$B$40,$B200,Override!$D$11:$D$40,10)-SUMIFS(Override!$E$11:$E$40,Override!$B$11:$B$40,$B200,Override!$D$11:$D$40,10,Override!$C$11:$C$40,"MXAU"),Override!$L$235)/AS51!$B$3,"")))</f>
        <v/>
      </c>
      <c r="P200" s="140">
        <f>IF(P$13="","",IF($B200="","",IFERROR($C200*$D200*IF((Override!$C$4="ON")*(COUNTIFS(Override!$B$11:$B$40,$B200,Override!$D$11:$D$40,11,Override!$E$11:$E$40,"&gt;=0")-COUNTIFS(Override!$B$11:$B$40,$B200,Override!$D$11:$D$40,11,Override!$E$11:$E$40,"&gt;=0",Override!$C$11:$C$40,"MXAU"))&gt;0,SUMIFS(Override!$E$11:$E$40,Override!$B$11:$B$40,$B200,Override!$D$11:$D$40,11)-SUMIFS(Override!$E$11:$E$40,Override!$B$11:$B$40,$B200,Override!$D$11:$D$40,11,Override!$C$11:$C$40,"MXAU"),Override!$M$235)/AS51!$B$3,"")))</f>
        <v/>
      </c>
      <c r="Q200" s="140">
        <f>IF(Q$13="","",IF($B200="","",IFERROR($C200*$D200*IF((Override!$C$4="ON")*(COUNTIFS(Override!$B$11:$B$40,$B200,Override!$D$11:$D$40,12,Override!$E$11:$E$40,"&gt;=0")-COUNTIFS(Override!$B$11:$B$40,$B200,Override!$D$11:$D$40,12,Override!$E$11:$E$40,"&gt;=0",Override!$C$11:$C$40,"MXAU"))&gt;0,SUMIFS(Override!$E$11:$E$40,Override!$B$11:$B$40,$B200,Override!$D$11:$D$40,12)-SUMIFS(Override!$E$11:$E$40,Override!$B$11:$B$40,$B200,Override!$D$11:$D$40,12,Override!$C$11:$C$40,"MXAU"),Override!$N$235)/AS51!$B$3,"")))</f>
        <v/>
      </c>
      <c r="R200" s="140">
        <f>IF(R$13="","",IF($B200="","",IFERROR($C200*$D200*IF((Override!$C$4="ON")*(COUNTIFS(Override!$B$11:$B$40,$B200,Override!$D$11:$D$40,13,Override!$E$11:$E$40,"&gt;=0")-COUNTIFS(Override!$B$11:$B$40,$B200,Override!$D$11:$D$40,13,Override!$E$11:$E$40,"&gt;=0",Override!$C$11:$C$40,"MXAU"))&gt;0,SUMIFS(Override!$E$11:$E$40,Override!$B$11:$B$40,$B200,Override!$D$11:$D$40,13)-SUMIFS(Override!$E$11:$E$40,Override!$B$11:$B$40,$B200,Override!$D$11:$D$40,13,Override!$C$11:$C$40,"MXAU"),Override!$O$235)/AS51!$B$3,"")))</f>
        <v/>
      </c>
      <c r="S200" s="140">
        <f>IF(S$13="","",IF($B200="","",IFERROR($C200*$D200*IF((Override!$C$4="ON")*(COUNTIFS(Override!$B$11:$B$40,$B200,Override!$D$11:$D$40,14,Override!$E$11:$E$40,"&gt;=0")-COUNTIFS(Override!$B$11:$B$40,$B200,Override!$D$11:$D$40,14,Override!$E$11:$E$40,"&gt;=0",Override!$C$11:$C$40,"MXAU"))&gt;0,SUMIFS(Override!$E$11:$E$40,Override!$B$11:$B$40,$B200,Override!$D$11:$D$40,14)-SUMIFS(Override!$E$11:$E$40,Override!$B$11:$B$40,$B200,Override!$D$11:$D$40,14,Override!$C$11:$C$40,"MXAU"),Override!$P$235)/AS51!$B$3,"")))</f>
        <v/>
      </c>
      <c r="T200" s="140">
        <f>IF(T$13="","",IF($B200="","",IFERROR($C200*$D200*IF((Override!$C$4="ON")*(COUNTIFS(Override!$B$11:$B$40,$B200,Override!$D$11:$D$40,15,Override!$E$11:$E$40,"&gt;=0")-COUNTIFS(Override!$B$11:$B$40,$B200,Override!$D$11:$D$40,15,Override!$E$11:$E$40,"&gt;=0",Override!$C$11:$C$40,"MXAU"))&gt;0,SUMIFS(Override!$E$11:$E$40,Override!$B$11:$B$40,$B200,Override!$D$11:$D$40,15)-SUMIFS(Override!$E$11:$E$40,Override!$B$11:$B$40,$B200,Override!$D$11:$D$40,15,Override!$C$11:$C$40,"MXAU"),Override!$Q$235)/AS51!$B$3,"")))</f>
        <v/>
      </c>
      <c r="U200" s="140">
        <f>IF(U$13="","",IF($B200="","",IFERROR($C200*$D200*IF((Override!$C$4="ON")*(COUNTIFS(Override!$B$11:$B$40,$B200,Override!$D$11:$D$40,16,Override!$E$11:$E$40,"&gt;=0")-COUNTIFS(Override!$B$11:$B$40,$B200,Override!$D$11:$D$40,16,Override!$E$11:$E$40,"&gt;=0",Override!$C$11:$C$40,"MXAU"))&gt;0,SUMIFS(Override!$E$11:$E$40,Override!$B$11:$B$40,$B200,Override!$D$11:$D$40,16)-SUMIFS(Override!$E$11:$E$40,Override!$B$11:$B$40,$B200,Override!$D$11:$D$40,16,Override!$C$11:$C$40,"MXAU"),Override!$R$235)/AS51!$B$3,"")))</f>
        <v/>
      </c>
      <c r="W200" s="140">
        <f>IF(W$13="","",IF($B200="","",IFERROR(F200*$E200/100,"")))</f>
        <v/>
      </c>
      <c r="X200" s="140">
        <f>IF(X$13="","",IF($B200="","",IFERROR(G200*$E200/100,"")))</f>
        <v/>
      </c>
      <c r="Y200" s="140">
        <f>IF(Y$13="","",IF($B200="","",IFERROR(H200*$E200/100,"")))</f>
        <v/>
      </c>
      <c r="Z200" s="140">
        <f>IF(Z$13="","",IF($B200="","",IFERROR(I200*$E200/100,"")))</f>
        <v/>
      </c>
      <c r="AA200" s="140">
        <f>IF(AA$13="","",IF($B200="","",IFERROR(J200*$E200/100,"")))</f>
        <v/>
      </c>
      <c r="AB200" s="140">
        <f>IF(AB$13="","",IF($B200="","",IFERROR(K200*$E200/100,"")))</f>
        <v/>
      </c>
      <c r="AC200" s="140">
        <f>IF(AC$13="","",IF($B200="","",IFERROR(L200*$E200/100,"")))</f>
        <v/>
      </c>
      <c r="AD200" s="140">
        <f>IF(AD$13="","",IF($B200="","",IFERROR(M200*$E200/100,"")))</f>
        <v/>
      </c>
      <c r="AE200" s="140">
        <f>IF(AE$13="","",IF($B200="","",IFERROR(N200*$E200/100,"")))</f>
        <v/>
      </c>
      <c r="AF200" s="140">
        <f>IF(AF$13="","",IF($B200="","",IFERROR(O200*$E200/100,"")))</f>
        <v/>
      </c>
      <c r="AG200" s="140">
        <f>IF(AG$13="","",IF($B200="","",IFERROR(P200*$E200/100,"")))</f>
        <v/>
      </c>
      <c r="AH200" s="140">
        <f>IF(AH$13="","",IF($B200="","",IFERROR(Q200*$E200/100,"")))</f>
        <v/>
      </c>
      <c r="AI200" s="140">
        <f>IF(AI$13="","",IF($B200="","",IFERROR(R200*$E200/100,"")))</f>
        <v/>
      </c>
      <c r="AJ200" s="140">
        <f>IF(AJ$13="","",IF($B200="","",IFERROR(S200*$E200/100,"")))</f>
        <v/>
      </c>
      <c r="AK200" s="140">
        <f>IF(AK$13="","",IF($B200="","",IFERROR(T200*$E200/100,"")))</f>
        <v/>
      </c>
      <c r="AL200" s="140">
        <f>IF(AL$13="","",IF($B200="","",IFERROR(U200*$E200/100,"")))</f>
        <v/>
      </c>
      <c r="AN200" s="140">
        <f>IF($B200="","",SUMIF($F$13:$U$13,"&lt;="&amp;Sector!$D$51,$F200:$U200))</f>
        <v/>
      </c>
      <c r="AO200" s="140">
        <f>IF($B200="","",SUMIF($W$13:$AL$13,"&lt;="&amp;Sector!$D$51,$W200:$AL200))</f>
        <v/>
      </c>
    </row>
    <row r="201">
      <c r="B201" s="5">
        <f>IF(AS51!$C$191="","",AS51!$C$191)</f>
        <v/>
      </c>
      <c r="C201" s="90">
        <f>IF(AS51!$B$191="","",AS51!$B$191)</f>
        <v/>
      </c>
      <c r="D201" s="138">
        <f>IFERROR(AS51!$Q$191,1)</f>
        <v/>
      </c>
      <c r="E201" s="139">
        <f>IF($B201="","",IF(ISNUMBER(AS51!$I$191),AS51!$I$191,'Index Summary'!$C$7))</f>
        <v/>
      </c>
      <c r="F201" s="140">
        <f>IF(F$13="","",IF($B201="","",IFERROR($C201*$D201*IF((Override!$C$4="ON")*(COUNTIFS(Override!$B$11:$B$40,$B201,Override!$D$11:$D$40,1,Override!$E$11:$E$40,"&gt;=0")-COUNTIFS(Override!$B$11:$B$40,$B201,Override!$D$11:$D$40,1,Override!$E$11:$E$40,"&gt;=0",Override!$C$11:$C$40,"MXAU"))&gt;0,SUMIFS(Override!$E$11:$E$40,Override!$B$11:$B$40,$B201,Override!$D$11:$D$40,1)-SUMIFS(Override!$E$11:$E$40,Override!$B$11:$B$40,$B201,Override!$D$11:$D$40,1,Override!$C$11:$C$40,"MXAU"),Override!$C$236)/AS51!$B$3,"")))</f>
        <v/>
      </c>
      <c r="G201" s="140">
        <f>IF(G$13="","",IF($B201="","",IFERROR($C201*$D201*IF((Override!$C$4="ON")*(COUNTIFS(Override!$B$11:$B$40,$B201,Override!$D$11:$D$40,2,Override!$E$11:$E$40,"&gt;=0")-COUNTIFS(Override!$B$11:$B$40,$B201,Override!$D$11:$D$40,2,Override!$E$11:$E$40,"&gt;=0",Override!$C$11:$C$40,"MXAU"))&gt;0,SUMIFS(Override!$E$11:$E$40,Override!$B$11:$B$40,$B201,Override!$D$11:$D$40,2)-SUMIFS(Override!$E$11:$E$40,Override!$B$11:$B$40,$B201,Override!$D$11:$D$40,2,Override!$C$11:$C$40,"MXAU"),Override!$D$236)/AS51!$B$3,"")))</f>
        <v/>
      </c>
      <c r="H201" s="140">
        <f>IF(H$13="","",IF($B201="","",IFERROR($C201*$D201*IF((Override!$C$4="ON")*(COUNTIFS(Override!$B$11:$B$40,$B201,Override!$D$11:$D$40,3,Override!$E$11:$E$40,"&gt;=0")-COUNTIFS(Override!$B$11:$B$40,$B201,Override!$D$11:$D$40,3,Override!$E$11:$E$40,"&gt;=0",Override!$C$11:$C$40,"MXAU"))&gt;0,SUMIFS(Override!$E$11:$E$40,Override!$B$11:$B$40,$B201,Override!$D$11:$D$40,3)-SUMIFS(Override!$E$11:$E$40,Override!$B$11:$B$40,$B201,Override!$D$11:$D$40,3,Override!$C$11:$C$40,"MXAU"),Override!$E$236)/AS51!$B$3,"")))</f>
        <v/>
      </c>
      <c r="I201" s="140">
        <f>IF(I$13="","",IF($B201="","",IFERROR($C201*$D201*IF((Override!$C$4="ON")*(COUNTIFS(Override!$B$11:$B$40,$B201,Override!$D$11:$D$40,4,Override!$E$11:$E$40,"&gt;=0")-COUNTIFS(Override!$B$11:$B$40,$B201,Override!$D$11:$D$40,4,Override!$E$11:$E$40,"&gt;=0",Override!$C$11:$C$40,"MXAU"))&gt;0,SUMIFS(Override!$E$11:$E$40,Override!$B$11:$B$40,$B201,Override!$D$11:$D$40,4)-SUMIFS(Override!$E$11:$E$40,Override!$B$11:$B$40,$B201,Override!$D$11:$D$40,4,Override!$C$11:$C$40,"MXAU"),Override!$F$236)/AS51!$B$3,"")))</f>
        <v/>
      </c>
      <c r="J201" s="140">
        <f>IF(J$13="","",IF($B201="","",IFERROR($C201*$D201*IF((Override!$C$4="ON")*(COUNTIFS(Override!$B$11:$B$40,$B201,Override!$D$11:$D$40,5,Override!$E$11:$E$40,"&gt;=0")-COUNTIFS(Override!$B$11:$B$40,$B201,Override!$D$11:$D$40,5,Override!$E$11:$E$40,"&gt;=0",Override!$C$11:$C$40,"MXAU"))&gt;0,SUMIFS(Override!$E$11:$E$40,Override!$B$11:$B$40,$B201,Override!$D$11:$D$40,5)-SUMIFS(Override!$E$11:$E$40,Override!$B$11:$B$40,$B201,Override!$D$11:$D$40,5,Override!$C$11:$C$40,"MXAU"),Override!$G$236)/AS51!$B$3,"")))</f>
        <v/>
      </c>
      <c r="K201" s="140">
        <f>IF(K$13="","",IF($B201="","",IFERROR($C201*$D201*IF((Override!$C$4="ON")*(COUNTIFS(Override!$B$11:$B$40,$B201,Override!$D$11:$D$40,6,Override!$E$11:$E$40,"&gt;=0")-COUNTIFS(Override!$B$11:$B$40,$B201,Override!$D$11:$D$40,6,Override!$E$11:$E$40,"&gt;=0",Override!$C$11:$C$40,"MXAU"))&gt;0,SUMIFS(Override!$E$11:$E$40,Override!$B$11:$B$40,$B201,Override!$D$11:$D$40,6)-SUMIFS(Override!$E$11:$E$40,Override!$B$11:$B$40,$B201,Override!$D$11:$D$40,6,Override!$C$11:$C$40,"MXAU"),Override!$H$236)/AS51!$B$3,"")))</f>
        <v/>
      </c>
      <c r="L201" s="140">
        <f>IF(L$13="","",IF($B201="","",IFERROR($C201*$D201*IF((Override!$C$4="ON")*(COUNTIFS(Override!$B$11:$B$40,$B201,Override!$D$11:$D$40,7,Override!$E$11:$E$40,"&gt;=0")-COUNTIFS(Override!$B$11:$B$40,$B201,Override!$D$11:$D$40,7,Override!$E$11:$E$40,"&gt;=0",Override!$C$11:$C$40,"MXAU"))&gt;0,SUMIFS(Override!$E$11:$E$40,Override!$B$11:$B$40,$B201,Override!$D$11:$D$40,7)-SUMIFS(Override!$E$11:$E$40,Override!$B$11:$B$40,$B201,Override!$D$11:$D$40,7,Override!$C$11:$C$40,"MXAU"),Override!$I$236)/AS51!$B$3,"")))</f>
        <v/>
      </c>
      <c r="M201" s="140">
        <f>IF(M$13="","",IF($B201="","",IFERROR($C201*$D201*IF((Override!$C$4="ON")*(COUNTIFS(Override!$B$11:$B$40,$B201,Override!$D$11:$D$40,8,Override!$E$11:$E$40,"&gt;=0")-COUNTIFS(Override!$B$11:$B$40,$B201,Override!$D$11:$D$40,8,Override!$E$11:$E$40,"&gt;=0",Override!$C$11:$C$40,"MXAU"))&gt;0,SUMIFS(Override!$E$11:$E$40,Override!$B$11:$B$40,$B201,Override!$D$11:$D$40,8)-SUMIFS(Override!$E$11:$E$40,Override!$B$11:$B$40,$B201,Override!$D$11:$D$40,8,Override!$C$11:$C$40,"MXAU"),Override!$J$236)/AS51!$B$3,"")))</f>
        <v/>
      </c>
      <c r="N201" s="140">
        <f>IF(N$13="","",IF($B201="","",IFERROR($C201*$D201*IF((Override!$C$4="ON")*(COUNTIFS(Override!$B$11:$B$40,$B201,Override!$D$11:$D$40,9,Override!$E$11:$E$40,"&gt;=0")-COUNTIFS(Override!$B$11:$B$40,$B201,Override!$D$11:$D$40,9,Override!$E$11:$E$40,"&gt;=0",Override!$C$11:$C$40,"MXAU"))&gt;0,SUMIFS(Override!$E$11:$E$40,Override!$B$11:$B$40,$B201,Override!$D$11:$D$40,9)-SUMIFS(Override!$E$11:$E$40,Override!$B$11:$B$40,$B201,Override!$D$11:$D$40,9,Override!$C$11:$C$40,"MXAU"),Override!$K$236)/AS51!$B$3,"")))</f>
        <v/>
      </c>
      <c r="O201" s="140">
        <f>IF(O$13="","",IF($B201="","",IFERROR($C201*$D201*IF((Override!$C$4="ON")*(COUNTIFS(Override!$B$11:$B$40,$B201,Override!$D$11:$D$40,10,Override!$E$11:$E$40,"&gt;=0")-COUNTIFS(Override!$B$11:$B$40,$B201,Override!$D$11:$D$40,10,Override!$E$11:$E$40,"&gt;=0",Override!$C$11:$C$40,"MXAU"))&gt;0,SUMIFS(Override!$E$11:$E$40,Override!$B$11:$B$40,$B201,Override!$D$11:$D$40,10)-SUMIFS(Override!$E$11:$E$40,Override!$B$11:$B$40,$B201,Override!$D$11:$D$40,10,Override!$C$11:$C$40,"MXAU"),Override!$L$236)/AS51!$B$3,"")))</f>
        <v/>
      </c>
      <c r="P201" s="140">
        <f>IF(P$13="","",IF($B201="","",IFERROR($C201*$D201*IF((Override!$C$4="ON")*(COUNTIFS(Override!$B$11:$B$40,$B201,Override!$D$11:$D$40,11,Override!$E$11:$E$40,"&gt;=0")-COUNTIFS(Override!$B$11:$B$40,$B201,Override!$D$11:$D$40,11,Override!$E$11:$E$40,"&gt;=0",Override!$C$11:$C$40,"MXAU"))&gt;0,SUMIFS(Override!$E$11:$E$40,Override!$B$11:$B$40,$B201,Override!$D$11:$D$40,11)-SUMIFS(Override!$E$11:$E$40,Override!$B$11:$B$40,$B201,Override!$D$11:$D$40,11,Override!$C$11:$C$40,"MXAU"),Override!$M$236)/AS51!$B$3,"")))</f>
        <v/>
      </c>
      <c r="Q201" s="140">
        <f>IF(Q$13="","",IF($B201="","",IFERROR($C201*$D201*IF((Override!$C$4="ON")*(COUNTIFS(Override!$B$11:$B$40,$B201,Override!$D$11:$D$40,12,Override!$E$11:$E$40,"&gt;=0")-COUNTIFS(Override!$B$11:$B$40,$B201,Override!$D$11:$D$40,12,Override!$E$11:$E$40,"&gt;=0",Override!$C$11:$C$40,"MXAU"))&gt;0,SUMIFS(Override!$E$11:$E$40,Override!$B$11:$B$40,$B201,Override!$D$11:$D$40,12)-SUMIFS(Override!$E$11:$E$40,Override!$B$11:$B$40,$B201,Override!$D$11:$D$40,12,Override!$C$11:$C$40,"MXAU"),Override!$N$236)/AS51!$B$3,"")))</f>
        <v/>
      </c>
      <c r="R201" s="140">
        <f>IF(R$13="","",IF($B201="","",IFERROR($C201*$D201*IF((Override!$C$4="ON")*(COUNTIFS(Override!$B$11:$B$40,$B201,Override!$D$11:$D$40,13,Override!$E$11:$E$40,"&gt;=0")-COUNTIFS(Override!$B$11:$B$40,$B201,Override!$D$11:$D$40,13,Override!$E$11:$E$40,"&gt;=0",Override!$C$11:$C$40,"MXAU"))&gt;0,SUMIFS(Override!$E$11:$E$40,Override!$B$11:$B$40,$B201,Override!$D$11:$D$40,13)-SUMIFS(Override!$E$11:$E$40,Override!$B$11:$B$40,$B201,Override!$D$11:$D$40,13,Override!$C$11:$C$40,"MXAU"),Override!$O$236)/AS51!$B$3,"")))</f>
        <v/>
      </c>
      <c r="S201" s="140">
        <f>IF(S$13="","",IF($B201="","",IFERROR($C201*$D201*IF((Override!$C$4="ON")*(COUNTIFS(Override!$B$11:$B$40,$B201,Override!$D$11:$D$40,14,Override!$E$11:$E$40,"&gt;=0")-COUNTIFS(Override!$B$11:$B$40,$B201,Override!$D$11:$D$40,14,Override!$E$11:$E$40,"&gt;=0",Override!$C$11:$C$40,"MXAU"))&gt;0,SUMIFS(Override!$E$11:$E$40,Override!$B$11:$B$40,$B201,Override!$D$11:$D$40,14)-SUMIFS(Override!$E$11:$E$40,Override!$B$11:$B$40,$B201,Override!$D$11:$D$40,14,Override!$C$11:$C$40,"MXAU"),Override!$P$236)/AS51!$B$3,"")))</f>
        <v/>
      </c>
      <c r="T201" s="140">
        <f>IF(T$13="","",IF($B201="","",IFERROR($C201*$D201*IF((Override!$C$4="ON")*(COUNTIFS(Override!$B$11:$B$40,$B201,Override!$D$11:$D$40,15,Override!$E$11:$E$40,"&gt;=0")-COUNTIFS(Override!$B$11:$B$40,$B201,Override!$D$11:$D$40,15,Override!$E$11:$E$40,"&gt;=0",Override!$C$11:$C$40,"MXAU"))&gt;0,SUMIFS(Override!$E$11:$E$40,Override!$B$11:$B$40,$B201,Override!$D$11:$D$40,15)-SUMIFS(Override!$E$11:$E$40,Override!$B$11:$B$40,$B201,Override!$D$11:$D$40,15,Override!$C$11:$C$40,"MXAU"),Override!$Q$236)/AS51!$B$3,"")))</f>
        <v/>
      </c>
      <c r="U201" s="140">
        <f>IF(U$13="","",IF($B201="","",IFERROR($C201*$D201*IF((Override!$C$4="ON")*(COUNTIFS(Override!$B$11:$B$40,$B201,Override!$D$11:$D$40,16,Override!$E$11:$E$40,"&gt;=0")-COUNTIFS(Override!$B$11:$B$40,$B201,Override!$D$11:$D$40,16,Override!$E$11:$E$40,"&gt;=0",Override!$C$11:$C$40,"MXAU"))&gt;0,SUMIFS(Override!$E$11:$E$40,Override!$B$11:$B$40,$B201,Override!$D$11:$D$40,16)-SUMIFS(Override!$E$11:$E$40,Override!$B$11:$B$40,$B201,Override!$D$11:$D$40,16,Override!$C$11:$C$40,"MXAU"),Override!$R$236)/AS51!$B$3,"")))</f>
        <v/>
      </c>
      <c r="W201" s="140">
        <f>IF(W$13="","",IF($B201="","",IFERROR(F201*$E201/100,"")))</f>
        <v/>
      </c>
      <c r="X201" s="140">
        <f>IF(X$13="","",IF($B201="","",IFERROR(G201*$E201/100,"")))</f>
        <v/>
      </c>
      <c r="Y201" s="140">
        <f>IF(Y$13="","",IF($B201="","",IFERROR(H201*$E201/100,"")))</f>
        <v/>
      </c>
      <c r="Z201" s="140">
        <f>IF(Z$13="","",IF($B201="","",IFERROR(I201*$E201/100,"")))</f>
        <v/>
      </c>
      <c r="AA201" s="140">
        <f>IF(AA$13="","",IF($B201="","",IFERROR(J201*$E201/100,"")))</f>
        <v/>
      </c>
      <c r="AB201" s="140">
        <f>IF(AB$13="","",IF($B201="","",IFERROR(K201*$E201/100,"")))</f>
        <v/>
      </c>
      <c r="AC201" s="140">
        <f>IF(AC$13="","",IF($B201="","",IFERROR(L201*$E201/100,"")))</f>
        <v/>
      </c>
      <c r="AD201" s="140">
        <f>IF(AD$13="","",IF($B201="","",IFERROR(M201*$E201/100,"")))</f>
        <v/>
      </c>
      <c r="AE201" s="140">
        <f>IF(AE$13="","",IF($B201="","",IFERROR(N201*$E201/100,"")))</f>
        <v/>
      </c>
      <c r="AF201" s="140">
        <f>IF(AF$13="","",IF($B201="","",IFERROR(O201*$E201/100,"")))</f>
        <v/>
      </c>
      <c r="AG201" s="140">
        <f>IF(AG$13="","",IF($B201="","",IFERROR(P201*$E201/100,"")))</f>
        <v/>
      </c>
      <c r="AH201" s="140">
        <f>IF(AH$13="","",IF($B201="","",IFERROR(Q201*$E201/100,"")))</f>
        <v/>
      </c>
      <c r="AI201" s="140">
        <f>IF(AI$13="","",IF($B201="","",IFERROR(R201*$E201/100,"")))</f>
        <v/>
      </c>
      <c r="AJ201" s="140">
        <f>IF(AJ$13="","",IF($B201="","",IFERROR(S201*$E201/100,"")))</f>
        <v/>
      </c>
      <c r="AK201" s="140">
        <f>IF(AK$13="","",IF($B201="","",IFERROR(T201*$E201/100,"")))</f>
        <v/>
      </c>
      <c r="AL201" s="140">
        <f>IF(AL$13="","",IF($B201="","",IFERROR(U201*$E201/100,"")))</f>
        <v/>
      </c>
      <c r="AN201" s="140">
        <f>IF($B201="","",SUMIF($F$13:$U$13,"&lt;="&amp;Sector!$D$51,$F201:$U201))</f>
        <v/>
      </c>
      <c r="AO201" s="140">
        <f>IF($B201="","",SUMIF($W$13:$AL$13,"&lt;="&amp;Sector!$D$51,$W201:$AL201))</f>
        <v/>
      </c>
    </row>
    <row r="202">
      <c r="B202" s="5">
        <f>IF(AS51!$C$192="","",AS51!$C$192)</f>
        <v/>
      </c>
      <c r="C202" s="90">
        <f>IF(AS51!$B$192="","",AS51!$B$192)</f>
        <v/>
      </c>
      <c r="D202" s="138">
        <f>IFERROR(AS51!$Q$192,1)</f>
        <v/>
      </c>
      <c r="E202" s="139">
        <f>IF($B202="","",IF(ISNUMBER(AS51!$I$192),AS51!$I$192,'Index Summary'!$C$7))</f>
        <v/>
      </c>
      <c r="F202" s="140">
        <f>IF(F$13="","",IF($B202="","",IFERROR($C202*$D202*IF((Override!$C$4="ON")*(COUNTIFS(Override!$B$11:$B$40,$B202,Override!$D$11:$D$40,1,Override!$E$11:$E$40,"&gt;=0")-COUNTIFS(Override!$B$11:$B$40,$B202,Override!$D$11:$D$40,1,Override!$E$11:$E$40,"&gt;=0",Override!$C$11:$C$40,"MXAU"))&gt;0,SUMIFS(Override!$E$11:$E$40,Override!$B$11:$B$40,$B202,Override!$D$11:$D$40,1)-SUMIFS(Override!$E$11:$E$40,Override!$B$11:$B$40,$B202,Override!$D$11:$D$40,1,Override!$C$11:$C$40,"MXAU"),Override!$C$237)/AS51!$B$3,"")))</f>
        <v/>
      </c>
      <c r="G202" s="140">
        <f>IF(G$13="","",IF($B202="","",IFERROR($C202*$D202*IF((Override!$C$4="ON")*(COUNTIFS(Override!$B$11:$B$40,$B202,Override!$D$11:$D$40,2,Override!$E$11:$E$40,"&gt;=0")-COUNTIFS(Override!$B$11:$B$40,$B202,Override!$D$11:$D$40,2,Override!$E$11:$E$40,"&gt;=0",Override!$C$11:$C$40,"MXAU"))&gt;0,SUMIFS(Override!$E$11:$E$40,Override!$B$11:$B$40,$B202,Override!$D$11:$D$40,2)-SUMIFS(Override!$E$11:$E$40,Override!$B$11:$B$40,$B202,Override!$D$11:$D$40,2,Override!$C$11:$C$40,"MXAU"),Override!$D$237)/AS51!$B$3,"")))</f>
        <v/>
      </c>
      <c r="H202" s="140">
        <f>IF(H$13="","",IF($B202="","",IFERROR($C202*$D202*IF((Override!$C$4="ON")*(COUNTIFS(Override!$B$11:$B$40,$B202,Override!$D$11:$D$40,3,Override!$E$11:$E$40,"&gt;=0")-COUNTIFS(Override!$B$11:$B$40,$B202,Override!$D$11:$D$40,3,Override!$E$11:$E$40,"&gt;=0",Override!$C$11:$C$40,"MXAU"))&gt;0,SUMIFS(Override!$E$11:$E$40,Override!$B$11:$B$40,$B202,Override!$D$11:$D$40,3)-SUMIFS(Override!$E$11:$E$40,Override!$B$11:$B$40,$B202,Override!$D$11:$D$40,3,Override!$C$11:$C$40,"MXAU"),Override!$E$237)/AS51!$B$3,"")))</f>
        <v/>
      </c>
      <c r="I202" s="140">
        <f>IF(I$13="","",IF($B202="","",IFERROR($C202*$D202*IF((Override!$C$4="ON")*(COUNTIFS(Override!$B$11:$B$40,$B202,Override!$D$11:$D$40,4,Override!$E$11:$E$40,"&gt;=0")-COUNTIFS(Override!$B$11:$B$40,$B202,Override!$D$11:$D$40,4,Override!$E$11:$E$40,"&gt;=0",Override!$C$11:$C$40,"MXAU"))&gt;0,SUMIFS(Override!$E$11:$E$40,Override!$B$11:$B$40,$B202,Override!$D$11:$D$40,4)-SUMIFS(Override!$E$11:$E$40,Override!$B$11:$B$40,$B202,Override!$D$11:$D$40,4,Override!$C$11:$C$40,"MXAU"),Override!$F$237)/AS51!$B$3,"")))</f>
        <v/>
      </c>
      <c r="J202" s="140">
        <f>IF(J$13="","",IF($B202="","",IFERROR($C202*$D202*IF((Override!$C$4="ON")*(COUNTIFS(Override!$B$11:$B$40,$B202,Override!$D$11:$D$40,5,Override!$E$11:$E$40,"&gt;=0")-COUNTIFS(Override!$B$11:$B$40,$B202,Override!$D$11:$D$40,5,Override!$E$11:$E$40,"&gt;=0",Override!$C$11:$C$40,"MXAU"))&gt;0,SUMIFS(Override!$E$11:$E$40,Override!$B$11:$B$40,$B202,Override!$D$11:$D$40,5)-SUMIFS(Override!$E$11:$E$40,Override!$B$11:$B$40,$B202,Override!$D$11:$D$40,5,Override!$C$11:$C$40,"MXAU"),Override!$G$237)/AS51!$B$3,"")))</f>
        <v/>
      </c>
      <c r="K202" s="140">
        <f>IF(K$13="","",IF($B202="","",IFERROR($C202*$D202*IF((Override!$C$4="ON")*(COUNTIFS(Override!$B$11:$B$40,$B202,Override!$D$11:$D$40,6,Override!$E$11:$E$40,"&gt;=0")-COUNTIFS(Override!$B$11:$B$40,$B202,Override!$D$11:$D$40,6,Override!$E$11:$E$40,"&gt;=0",Override!$C$11:$C$40,"MXAU"))&gt;0,SUMIFS(Override!$E$11:$E$40,Override!$B$11:$B$40,$B202,Override!$D$11:$D$40,6)-SUMIFS(Override!$E$11:$E$40,Override!$B$11:$B$40,$B202,Override!$D$11:$D$40,6,Override!$C$11:$C$40,"MXAU"),Override!$H$237)/AS51!$B$3,"")))</f>
        <v/>
      </c>
      <c r="L202" s="140">
        <f>IF(L$13="","",IF($B202="","",IFERROR($C202*$D202*IF((Override!$C$4="ON")*(COUNTIFS(Override!$B$11:$B$40,$B202,Override!$D$11:$D$40,7,Override!$E$11:$E$40,"&gt;=0")-COUNTIFS(Override!$B$11:$B$40,$B202,Override!$D$11:$D$40,7,Override!$E$11:$E$40,"&gt;=0",Override!$C$11:$C$40,"MXAU"))&gt;0,SUMIFS(Override!$E$11:$E$40,Override!$B$11:$B$40,$B202,Override!$D$11:$D$40,7)-SUMIFS(Override!$E$11:$E$40,Override!$B$11:$B$40,$B202,Override!$D$11:$D$40,7,Override!$C$11:$C$40,"MXAU"),Override!$I$237)/AS51!$B$3,"")))</f>
        <v/>
      </c>
      <c r="M202" s="140">
        <f>IF(M$13="","",IF($B202="","",IFERROR($C202*$D202*IF((Override!$C$4="ON")*(COUNTIFS(Override!$B$11:$B$40,$B202,Override!$D$11:$D$40,8,Override!$E$11:$E$40,"&gt;=0")-COUNTIFS(Override!$B$11:$B$40,$B202,Override!$D$11:$D$40,8,Override!$E$11:$E$40,"&gt;=0",Override!$C$11:$C$40,"MXAU"))&gt;0,SUMIFS(Override!$E$11:$E$40,Override!$B$11:$B$40,$B202,Override!$D$11:$D$40,8)-SUMIFS(Override!$E$11:$E$40,Override!$B$11:$B$40,$B202,Override!$D$11:$D$40,8,Override!$C$11:$C$40,"MXAU"),Override!$J$237)/AS51!$B$3,"")))</f>
        <v/>
      </c>
      <c r="N202" s="140">
        <f>IF(N$13="","",IF($B202="","",IFERROR($C202*$D202*IF((Override!$C$4="ON")*(COUNTIFS(Override!$B$11:$B$40,$B202,Override!$D$11:$D$40,9,Override!$E$11:$E$40,"&gt;=0")-COUNTIFS(Override!$B$11:$B$40,$B202,Override!$D$11:$D$40,9,Override!$E$11:$E$40,"&gt;=0",Override!$C$11:$C$40,"MXAU"))&gt;0,SUMIFS(Override!$E$11:$E$40,Override!$B$11:$B$40,$B202,Override!$D$11:$D$40,9)-SUMIFS(Override!$E$11:$E$40,Override!$B$11:$B$40,$B202,Override!$D$11:$D$40,9,Override!$C$11:$C$40,"MXAU"),Override!$K$237)/AS51!$B$3,"")))</f>
        <v/>
      </c>
      <c r="O202" s="140">
        <f>IF(O$13="","",IF($B202="","",IFERROR($C202*$D202*IF((Override!$C$4="ON")*(COUNTIFS(Override!$B$11:$B$40,$B202,Override!$D$11:$D$40,10,Override!$E$11:$E$40,"&gt;=0")-COUNTIFS(Override!$B$11:$B$40,$B202,Override!$D$11:$D$40,10,Override!$E$11:$E$40,"&gt;=0",Override!$C$11:$C$40,"MXAU"))&gt;0,SUMIFS(Override!$E$11:$E$40,Override!$B$11:$B$40,$B202,Override!$D$11:$D$40,10)-SUMIFS(Override!$E$11:$E$40,Override!$B$11:$B$40,$B202,Override!$D$11:$D$40,10,Override!$C$11:$C$40,"MXAU"),Override!$L$237)/AS51!$B$3,"")))</f>
        <v/>
      </c>
      <c r="P202" s="140">
        <f>IF(P$13="","",IF($B202="","",IFERROR($C202*$D202*IF((Override!$C$4="ON")*(COUNTIFS(Override!$B$11:$B$40,$B202,Override!$D$11:$D$40,11,Override!$E$11:$E$40,"&gt;=0")-COUNTIFS(Override!$B$11:$B$40,$B202,Override!$D$11:$D$40,11,Override!$E$11:$E$40,"&gt;=0",Override!$C$11:$C$40,"MXAU"))&gt;0,SUMIFS(Override!$E$11:$E$40,Override!$B$11:$B$40,$B202,Override!$D$11:$D$40,11)-SUMIFS(Override!$E$11:$E$40,Override!$B$11:$B$40,$B202,Override!$D$11:$D$40,11,Override!$C$11:$C$40,"MXAU"),Override!$M$237)/AS51!$B$3,"")))</f>
        <v/>
      </c>
      <c r="Q202" s="140">
        <f>IF(Q$13="","",IF($B202="","",IFERROR($C202*$D202*IF((Override!$C$4="ON")*(COUNTIFS(Override!$B$11:$B$40,$B202,Override!$D$11:$D$40,12,Override!$E$11:$E$40,"&gt;=0")-COUNTIFS(Override!$B$11:$B$40,$B202,Override!$D$11:$D$40,12,Override!$E$11:$E$40,"&gt;=0",Override!$C$11:$C$40,"MXAU"))&gt;0,SUMIFS(Override!$E$11:$E$40,Override!$B$11:$B$40,$B202,Override!$D$11:$D$40,12)-SUMIFS(Override!$E$11:$E$40,Override!$B$11:$B$40,$B202,Override!$D$11:$D$40,12,Override!$C$11:$C$40,"MXAU"),Override!$N$237)/AS51!$B$3,"")))</f>
        <v/>
      </c>
      <c r="R202" s="140">
        <f>IF(R$13="","",IF($B202="","",IFERROR($C202*$D202*IF((Override!$C$4="ON")*(COUNTIFS(Override!$B$11:$B$40,$B202,Override!$D$11:$D$40,13,Override!$E$11:$E$40,"&gt;=0")-COUNTIFS(Override!$B$11:$B$40,$B202,Override!$D$11:$D$40,13,Override!$E$11:$E$40,"&gt;=0",Override!$C$11:$C$40,"MXAU"))&gt;0,SUMIFS(Override!$E$11:$E$40,Override!$B$11:$B$40,$B202,Override!$D$11:$D$40,13)-SUMIFS(Override!$E$11:$E$40,Override!$B$11:$B$40,$B202,Override!$D$11:$D$40,13,Override!$C$11:$C$40,"MXAU"),Override!$O$237)/AS51!$B$3,"")))</f>
        <v/>
      </c>
      <c r="S202" s="140">
        <f>IF(S$13="","",IF($B202="","",IFERROR($C202*$D202*IF((Override!$C$4="ON")*(COUNTIFS(Override!$B$11:$B$40,$B202,Override!$D$11:$D$40,14,Override!$E$11:$E$40,"&gt;=0")-COUNTIFS(Override!$B$11:$B$40,$B202,Override!$D$11:$D$40,14,Override!$E$11:$E$40,"&gt;=0",Override!$C$11:$C$40,"MXAU"))&gt;0,SUMIFS(Override!$E$11:$E$40,Override!$B$11:$B$40,$B202,Override!$D$11:$D$40,14)-SUMIFS(Override!$E$11:$E$40,Override!$B$11:$B$40,$B202,Override!$D$11:$D$40,14,Override!$C$11:$C$40,"MXAU"),Override!$P$237)/AS51!$B$3,"")))</f>
        <v/>
      </c>
      <c r="T202" s="140">
        <f>IF(T$13="","",IF($B202="","",IFERROR($C202*$D202*IF((Override!$C$4="ON")*(COUNTIFS(Override!$B$11:$B$40,$B202,Override!$D$11:$D$40,15,Override!$E$11:$E$40,"&gt;=0")-COUNTIFS(Override!$B$11:$B$40,$B202,Override!$D$11:$D$40,15,Override!$E$11:$E$40,"&gt;=0",Override!$C$11:$C$40,"MXAU"))&gt;0,SUMIFS(Override!$E$11:$E$40,Override!$B$11:$B$40,$B202,Override!$D$11:$D$40,15)-SUMIFS(Override!$E$11:$E$40,Override!$B$11:$B$40,$B202,Override!$D$11:$D$40,15,Override!$C$11:$C$40,"MXAU"),Override!$Q$237)/AS51!$B$3,"")))</f>
        <v/>
      </c>
      <c r="U202" s="140">
        <f>IF(U$13="","",IF($B202="","",IFERROR($C202*$D202*IF((Override!$C$4="ON")*(COUNTIFS(Override!$B$11:$B$40,$B202,Override!$D$11:$D$40,16,Override!$E$11:$E$40,"&gt;=0")-COUNTIFS(Override!$B$11:$B$40,$B202,Override!$D$11:$D$40,16,Override!$E$11:$E$40,"&gt;=0",Override!$C$11:$C$40,"MXAU"))&gt;0,SUMIFS(Override!$E$11:$E$40,Override!$B$11:$B$40,$B202,Override!$D$11:$D$40,16)-SUMIFS(Override!$E$11:$E$40,Override!$B$11:$B$40,$B202,Override!$D$11:$D$40,16,Override!$C$11:$C$40,"MXAU"),Override!$R$237)/AS51!$B$3,"")))</f>
        <v/>
      </c>
      <c r="W202" s="140">
        <f>IF(W$13="","",IF($B202="","",IFERROR(F202*$E202/100,"")))</f>
        <v/>
      </c>
      <c r="X202" s="140">
        <f>IF(X$13="","",IF($B202="","",IFERROR(G202*$E202/100,"")))</f>
        <v/>
      </c>
      <c r="Y202" s="140">
        <f>IF(Y$13="","",IF($B202="","",IFERROR(H202*$E202/100,"")))</f>
        <v/>
      </c>
      <c r="Z202" s="140">
        <f>IF(Z$13="","",IF($B202="","",IFERROR(I202*$E202/100,"")))</f>
        <v/>
      </c>
      <c r="AA202" s="140">
        <f>IF(AA$13="","",IF($B202="","",IFERROR(J202*$E202/100,"")))</f>
        <v/>
      </c>
      <c r="AB202" s="140">
        <f>IF(AB$13="","",IF($B202="","",IFERROR(K202*$E202/100,"")))</f>
        <v/>
      </c>
      <c r="AC202" s="140">
        <f>IF(AC$13="","",IF($B202="","",IFERROR(L202*$E202/100,"")))</f>
        <v/>
      </c>
      <c r="AD202" s="140">
        <f>IF(AD$13="","",IF($B202="","",IFERROR(M202*$E202/100,"")))</f>
        <v/>
      </c>
      <c r="AE202" s="140">
        <f>IF(AE$13="","",IF($B202="","",IFERROR(N202*$E202/100,"")))</f>
        <v/>
      </c>
      <c r="AF202" s="140">
        <f>IF(AF$13="","",IF($B202="","",IFERROR(O202*$E202/100,"")))</f>
        <v/>
      </c>
      <c r="AG202" s="140">
        <f>IF(AG$13="","",IF($B202="","",IFERROR(P202*$E202/100,"")))</f>
        <v/>
      </c>
      <c r="AH202" s="140">
        <f>IF(AH$13="","",IF($B202="","",IFERROR(Q202*$E202/100,"")))</f>
        <v/>
      </c>
      <c r="AI202" s="140">
        <f>IF(AI$13="","",IF($B202="","",IFERROR(R202*$E202/100,"")))</f>
        <v/>
      </c>
      <c r="AJ202" s="140">
        <f>IF(AJ$13="","",IF($B202="","",IFERROR(S202*$E202/100,"")))</f>
        <v/>
      </c>
      <c r="AK202" s="140">
        <f>IF(AK$13="","",IF($B202="","",IFERROR(T202*$E202/100,"")))</f>
        <v/>
      </c>
      <c r="AL202" s="140">
        <f>IF(AL$13="","",IF($B202="","",IFERROR(U202*$E202/100,"")))</f>
        <v/>
      </c>
      <c r="AN202" s="140">
        <f>IF($B202="","",SUMIF($F$13:$U$13,"&lt;="&amp;Sector!$D$51,$F202:$U202))</f>
        <v/>
      </c>
      <c r="AO202" s="140">
        <f>IF($B202="","",SUMIF($W$13:$AL$13,"&lt;="&amp;Sector!$D$51,$W202:$AL202))</f>
        <v/>
      </c>
    </row>
    <row r="203">
      <c r="B203" s="5">
        <f>IF(AS51!$C$193="","",AS51!$C$193)</f>
        <v/>
      </c>
      <c r="C203" s="90">
        <f>IF(AS51!$B$193="","",AS51!$B$193)</f>
        <v/>
      </c>
      <c r="D203" s="138">
        <f>IFERROR(AS51!$Q$193,1)</f>
        <v/>
      </c>
      <c r="E203" s="139">
        <f>IF($B203="","",IF(ISNUMBER(AS51!$I$193),AS51!$I$193,'Index Summary'!$C$7))</f>
        <v/>
      </c>
      <c r="F203" s="140">
        <f>IF(F$13="","",IF($B203="","",IFERROR($C203*$D203*IF((Override!$C$4="ON")*(COUNTIFS(Override!$B$11:$B$40,$B203,Override!$D$11:$D$40,1,Override!$E$11:$E$40,"&gt;=0")-COUNTIFS(Override!$B$11:$B$40,$B203,Override!$D$11:$D$40,1,Override!$E$11:$E$40,"&gt;=0",Override!$C$11:$C$40,"MXAU"))&gt;0,SUMIFS(Override!$E$11:$E$40,Override!$B$11:$B$40,$B203,Override!$D$11:$D$40,1)-SUMIFS(Override!$E$11:$E$40,Override!$B$11:$B$40,$B203,Override!$D$11:$D$40,1,Override!$C$11:$C$40,"MXAU"),Override!$C$238)/AS51!$B$3,"")))</f>
        <v/>
      </c>
      <c r="G203" s="140">
        <f>IF(G$13="","",IF($B203="","",IFERROR($C203*$D203*IF((Override!$C$4="ON")*(COUNTIFS(Override!$B$11:$B$40,$B203,Override!$D$11:$D$40,2,Override!$E$11:$E$40,"&gt;=0")-COUNTIFS(Override!$B$11:$B$40,$B203,Override!$D$11:$D$40,2,Override!$E$11:$E$40,"&gt;=0",Override!$C$11:$C$40,"MXAU"))&gt;0,SUMIFS(Override!$E$11:$E$40,Override!$B$11:$B$40,$B203,Override!$D$11:$D$40,2)-SUMIFS(Override!$E$11:$E$40,Override!$B$11:$B$40,$B203,Override!$D$11:$D$40,2,Override!$C$11:$C$40,"MXAU"),Override!$D$238)/AS51!$B$3,"")))</f>
        <v/>
      </c>
      <c r="H203" s="140">
        <f>IF(H$13="","",IF($B203="","",IFERROR($C203*$D203*IF((Override!$C$4="ON")*(COUNTIFS(Override!$B$11:$B$40,$B203,Override!$D$11:$D$40,3,Override!$E$11:$E$40,"&gt;=0")-COUNTIFS(Override!$B$11:$B$40,$B203,Override!$D$11:$D$40,3,Override!$E$11:$E$40,"&gt;=0",Override!$C$11:$C$40,"MXAU"))&gt;0,SUMIFS(Override!$E$11:$E$40,Override!$B$11:$B$40,$B203,Override!$D$11:$D$40,3)-SUMIFS(Override!$E$11:$E$40,Override!$B$11:$B$40,$B203,Override!$D$11:$D$40,3,Override!$C$11:$C$40,"MXAU"),Override!$E$238)/AS51!$B$3,"")))</f>
        <v/>
      </c>
      <c r="I203" s="140">
        <f>IF(I$13="","",IF($B203="","",IFERROR($C203*$D203*IF((Override!$C$4="ON")*(COUNTIFS(Override!$B$11:$B$40,$B203,Override!$D$11:$D$40,4,Override!$E$11:$E$40,"&gt;=0")-COUNTIFS(Override!$B$11:$B$40,$B203,Override!$D$11:$D$40,4,Override!$E$11:$E$40,"&gt;=0",Override!$C$11:$C$40,"MXAU"))&gt;0,SUMIFS(Override!$E$11:$E$40,Override!$B$11:$B$40,$B203,Override!$D$11:$D$40,4)-SUMIFS(Override!$E$11:$E$40,Override!$B$11:$B$40,$B203,Override!$D$11:$D$40,4,Override!$C$11:$C$40,"MXAU"),Override!$F$238)/AS51!$B$3,"")))</f>
        <v/>
      </c>
      <c r="J203" s="140">
        <f>IF(J$13="","",IF($B203="","",IFERROR($C203*$D203*IF((Override!$C$4="ON")*(COUNTIFS(Override!$B$11:$B$40,$B203,Override!$D$11:$D$40,5,Override!$E$11:$E$40,"&gt;=0")-COUNTIFS(Override!$B$11:$B$40,$B203,Override!$D$11:$D$40,5,Override!$E$11:$E$40,"&gt;=0",Override!$C$11:$C$40,"MXAU"))&gt;0,SUMIFS(Override!$E$11:$E$40,Override!$B$11:$B$40,$B203,Override!$D$11:$D$40,5)-SUMIFS(Override!$E$11:$E$40,Override!$B$11:$B$40,$B203,Override!$D$11:$D$40,5,Override!$C$11:$C$40,"MXAU"),Override!$G$238)/AS51!$B$3,"")))</f>
        <v/>
      </c>
      <c r="K203" s="140">
        <f>IF(K$13="","",IF($B203="","",IFERROR($C203*$D203*IF((Override!$C$4="ON")*(COUNTIFS(Override!$B$11:$B$40,$B203,Override!$D$11:$D$40,6,Override!$E$11:$E$40,"&gt;=0")-COUNTIFS(Override!$B$11:$B$40,$B203,Override!$D$11:$D$40,6,Override!$E$11:$E$40,"&gt;=0",Override!$C$11:$C$40,"MXAU"))&gt;0,SUMIFS(Override!$E$11:$E$40,Override!$B$11:$B$40,$B203,Override!$D$11:$D$40,6)-SUMIFS(Override!$E$11:$E$40,Override!$B$11:$B$40,$B203,Override!$D$11:$D$40,6,Override!$C$11:$C$40,"MXAU"),Override!$H$238)/AS51!$B$3,"")))</f>
        <v/>
      </c>
      <c r="L203" s="140">
        <f>IF(L$13="","",IF($B203="","",IFERROR($C203*$D203*IF((Override!$C$4="ON")*(COUNTIFS(Override!$B$11:$B$40,$B203,Override!$D$11:$D$40,7,Override!$E$11:$E$40,"&gt;=0")-COUNTIFS(Override!$B$11:$B$40,$B203,Override!$D$11:$D$40,7,Override!$E$11:$E$40,"&gt;=0",Override!$C$11:$C$40,"MXAU"))&gt;0,SUMIFS(Override!$E$11:$E$40,Override!$B$11:$B$40,$B203,Override!$D$11:$D$40,7)-SUMIFS(Override!$E$11:$E$40,Override!$B$11:$B$40,$B203,Override!$D$11:$D$40,7,Override!$C$11:$C$40,"MXAU"),Override!$I$238)/AS51!$B$3,"")))</f>
        <v/>
      </c>
      <c r="M203" s="140">
        <f>IF(M$13="","",IF($B203="","",IFERROR($C203*$D203*IF((Override!$C$4="ON")*(COUNTIFS(Override!$B$11:$B$40,$B203,Override!$D$11:$D$40,8,Override!$E$11:$E$40,"&gt;=0")-COUNTIFS(Override!$B$11:$B$40,$B203,Override!$D$11:$D$40,8,Override!$E$11:$E$40,"&gt;=0",Override!$C$11:$C$40,"MXAU"))&gt;0,SUMIFS(Override!$E$11:$E$40,Override!$B$11:$B$40,$B203,Override!$D$11:$D$40,8)-SUMIFS(Override!$E$11:$E$40,Override!$B$11:$B$40,$B203,Override!$D$11:$D$40,8,Override!$C$11:$C$40,"MXAU"),Override!$J$238)/AS51!$B$3,"")))</f>
        <v/>
      </c>
      <c r="N203" s="140">
        <f>IF(N$13="","",IF($B203="","",IFERROR($C203*$D203*IF((Override!$C$4="ON")*(COUNTIFS(Override!$B$11:$B$40,$B203,Override!$D$11:$D$40,9,Override!$E$11:$E$40,"&gt;=0")-COUNTIFS(Override!$B$11:$B$40,$B203,Override!$D$11:$D$40,9,Override!$E$11:$E$40,"&gt;=0",Override!$C$11:$C$40,"MXAU"))&gt;0,SUMIFS(Override!$E$11:$E$40,Override!$B$11:$B$40,$B203,Override!$D$11:$D$40,9)-SUMIFS(Override!$E$11:$E$40,Override!$B$11:$B$40,$B203,Override!$D$11:$D$40,9,Override!$C$11:$C$40,"MXAU"),Override!$K$238)/AS51!$B$3,"")))</f>
        <v/>
      </c>
      <c r="O203" s="140">
        <f>IF(O$13="","",IF($B203="","",IFERROR($C203*$D203*IF((Override!$C$4="ON")*(COUNTIFS(Override!$B$11:$B$40,$B203,Override!$D$11:$D$40,10,Override!$E$11:$E$40,"&gt;=0")-COUNTIFS(Override!$B$11:$B$40,$B203,Override!$D$11:$D$40,10,Override!$E$11:$E$40,"&gt;=0",Override!$C$11:$C$40,"MXAU"))&gt;0,SUMIFS(Override!$E$11:$E$40,Override!$B$11:$B$40,$B203,Override!$D$11:$D$40,10)-SUMIFS(Override!$E$11:$E$40,Override!$B$11:$B$40,$B203,Override!$D$11:$D$40,10,Override!$C$11:$C$40,"MXAU"),Override!$L$238)/AS51!$B$3,"")))</f>
        <v/>
      </c>
      <c r="P203" s="140">
        <f>IF(P$13="","",IF($B203="","",IFERROR($C203*$D203*IF((Override!$C$4="ON")*(COUNTIFS(Override!$B$11:$B$40,$B203,Override!$D$11:$D$40,11,Override!$E$11:$E$40,"&gt;=0")-COUNTIFS(Override!$B$11:$B$40,$B203,Override!$D$11:$D$40,11,Override!$E$11:$E$40,"&gt;=0",Override!$C$11:$C$40,"MXAU"))&gt;0,SUMIFS(Override!$E$11:$E$40,Override!$B$11:$B$40,$B203,Override!$D$11:$D$40,11)-SUMIFS(Override!$E$11:$E$40,Override!$B$11:$B$40,$B203,Override!$D$11:$D$40,11,Override!$C$11:$C$40,"MXAU"),Override!$M$238)/AS51!$B$3,"")))</f>
        <v/>
      </c>
      <c r="Q203" s="140">
        <f>IF(Q$13="","",IF($B203="","",IFERROR($C203*$D203*IF((Override!$C$4="ON")*(COUNTIFS(Override!$B$11:$B$40,$B203,Override!$D$11:$D$40,12,Override!$E$11:$E$40,"&gt;=0")-COUNTIFS(Override!$B$11:$B$40,$B203,Override!$D$11:$D$40,12,Override!$E$11:$E$40,"&gt;=0",Override!$C$11:$C$40,"MXAU"))&gt;0,SUMIFS(Override!$E$11:$E$40,Override!$B$11:$B$40,$B203,Override!$D$11:$D$40,12)-SUMIFS(Override!$E$11:$E$40,Override!$B$11:$B$40,$B203,Override!$D$11:$D$40,12,Override!$C$11:$C$40,"MXAU"),Override!$N$238)/AS51!$B$3,"")))</f>
        <v/>
      </c>
      <c r="R203" s="140">
        <f>IF(R$13="","",IF($B203="","",IFERROR($C203*$D203*IF((Override!$C$4="ON")*(COUNTIFS(Override!$B$11:$B$40,$B203,Override!$D$11:$D$40,13,Override!$E$11:$E$40,"&gt;=0")-COUNTIFS(Override!$B$11:$B$40,$B203,Override!$D$11:$D$40,13,Override!$E$11:$E$40,"&gt;=0",Override!$C$11:$C$40,"MXAU"))&gt;0,SUMIFS(Override!$E$11:$E$40,Override!$B$11:$B$40,$B203,Override!$D$11:$D$40,13)-SUMIFS(Override!$E$11:$E$40,Override!$B$11:$B$40,$B203,Override!$D$11:$D$40,13,Override!$C$11:$C$40,"MXAU"),Override!$O$238)/AS51!$B$3,"")))</f>
        <v/>
      </c>
      <c r="S203" s="140">
        <f>IF(S$13="","",IF($B203="","",IFERROR($C203*$D203*IF((Override!$C$4="ON")*(COUNTIFS(Override!$B$11:$B$40,$B203,Override!$D$11:$D$40,14,Override!$E$11:$E$40,"&gt;=0")-COUNTIFS(Override!$B$11:$B$40,$B203,Override!$D$11:$D$40,14,Override!$E$11:$E$40,"&gt;=0",Override!$C$11:$C$40,"MXAU"))&gt;0,SUMIFS(Override!$E$11:$E$40,Override!$B$11:$B$40,$B203,Override!$D$11:$D$40,14)-SUMIFS(Override!$E$11:$E$40,Override!$B$11:$B$40,$B203,Override!$D$11:$D$40,14,Override!$C$11:$C$40,"MXAU"),Override!$P$238)/AS51!$B$3,"")))</f>
        <v/>
      </c>
      <c r="T203" s="140">
        <f>IF(T$13="","",IF($B203="","",IFERROR($C203*$D203*IF((Override!$C$4="ON")*(COUNTIFS(Override!$B$11:$B$40,$B203,Override!$D$11:$D$40,15,Override!$E$11:$E$40,"&gt;=0")-COUNTIFS(Override!$B$11:$B$40,$B203,Override!$D$11:$D$40,15,Override!$E$11:$E$40,"&gt;=0",Override!$C$11:$C$40,"MXAU"))&gt;0,SUMIFS(Override!$E$11:$E$40,Override!$B$11:$B$40,$B203,Override!$D$11:$D$40,15)-SUMIFS(Override!$E$11:$E$40,Override!$B$11:$B$40,$B203,Override!$D$11:$D$40,15,Override!$C$11:$C$40,"MXAU"),Override!$Q$238)/AS51!$B$3,"")))</f>
        <v/>
      </c>
      <c r="U203" s="140">
        <f>IF(U$13="","",IF($B203="","",IFERROR($C203*$D203*IF((Override!$C$4="ON")*(COUNTIFS(Override!$B$11:$B$40,$B203,Override!$D$11:$D$40,16,Override!$E$11:$E$40,"&gt;=0")-COUNTIFS(Override!$B$11:$B$40,$B203,Override!$D$11:$D$40,16,Override!$E$11:$E$40,"&gt;=0",Override!$C$11:$C$40,"MXAU"))&gt;0,SUMIFS(Override!$E$11:$E$40,Override!$B$11:$B$40,$B203,Override!$D$11:$D$40,16)-SUMIFS(Override!$E$11:$E$40,Override!$B$11:$B$40,$B203,Override!$D$11:$D$40,16,Override!$C$11:$C$40,"MXAU"),Override!$R$238)/AS51!$B$3,"")))</f>
        <v/>
      </c>
      <c r="W203" s="140">
        <f>IF(W$13="","",IF($B203="","",IFERROR(F203*$E203/100,"")))</f>
        <v/>
      </c>
      <c r="X203" s="140">
        <f>IF(X$13="","",IF($B203="","",IFERROR(G203*$E203/100,"")))</f>
        <v/>
      </c>
      <c r="Y203" s="140">
        <f>IF(Y$13="","",IF($B203="","",IFERROR(H203*$E203/100,"")))</f>
        <v/>
      </c>
      <c r="Z203" s="140">
        <f>IF(Z$13="","",IF($B203="","",IFERROR(I203*$E203/100,"")))</f>
        <v/>
      </c>
      <c r="AA203" s="140">
        <f>IF(AA$13="","",IF($B203="","",IFERROR(J203*$E203/100,"")))</f>
        <v/>
      </c>
      <c r="AB203" s="140">
        <f>IF(AB$13="","",IF($B203="","",IFERROR(K203*$E203/100,"")))</f>
        <v/>
      </c>
      <c r="AC203" s="140">
        <f>IF(AC$13="","",IF($B203="","",IFERROR(L203*$E203/100,"")))</f>
        <v/>
      </c>
      <c r="AD203" s="140">
        <f>IF(AD$13="","",IF($B203="","",IFERROR(M203*$E203/100,"")))</f>
        <v/>
      </c>
      <c r="AE203" s="140">
        <f>IF(AE$13="","",IF($B203="","",IFERROR(N203*$E203/100,"")))</f>
        <v/>
      </c>
      <c r="AF203" s="140">
        <f>IF(AF$13="","",IF($B203="","",IFERROR(O203*$E203/100,"")))</f>
        <v/>
      </c>
      <c r="AG203" s="140">
        <f>IF(AG$13="","",IF($B203="","",IFERROR(P203*$E203/100,"")))</f>
        <v/>
      </c>
      <c r="AH203" s="140">
        <f>IF(AH$13="","",IF($B203="","",IFERROR(Q203*$E203/100,"")))</f>
        <v/>
      </c>
      <c r="AI203" s="140">
        <f>IF(AI$13="","",IF($B203="","",IFERROR(R203*$E203/100,"")))</f>
        <v/>
      </c>
      <c r="AJ203" s="140">
        <f>IF(AJ$13="","",IF($B203="","",IFERROR(S203*$E203/100,"")))</f>
        <v/>
      </c>
      <c r="AK203" s="140">
        <f>IF(AK$13="","",IF($B203="","",IFERROR(T203*$E203/100,"")))</f>
        <v/>
      </c>
      <c r="AL203" s="140">
        <f>IF(AL$13="","",IF($B203="","",IFERROR(U203*$E203/100,"")))</f>
        <v/>
      </c>
      <c r="AN203" s="140">
        <f>IF($B203="","",SUMIF($F$13:$U$13,"&lt;="&amp;Sector!$D$51,$F203:$U203))</f>
        <v/>
      </c>
      <c r="AO203" s="140">
        <f>IF($B203="","",SUMIF($W$13:$AL$13,"&lt;="&amp;Sector!$D$51,$W203:$AL203))</f>
        <v/>
      </c>
    </row>
    <row r="204">
      <c r="B204" s="5">
        <f>IF(AS51!$C$194="","",AS51!$C$194)</f>
        <v/>
      </c>
      <c r="C204" s="90">
        <f>IF(AS51!$B$194="","",AS51!$B$194)</f>
        <v/>
      </c>
      <c r="D204" s="138">
        <f>IFERROR(AS51!$Q$194,1)</f>
        <v/>
      </c>
      <c r="E204" s="139">
        <f>IF($B204="","",IF(ISNUMBER(AS51!$I$194),AS51!$I$194,'Index Summary'!$C$7))</f>
        <v/>
      </c>
      <c r="F204" s="140">
        <f>IF(F$13="","",IF($B204="","",IFERROR($C204*$D204*IF((Override!$C$4="ON")*(COUNTIFS(Override!$B$11:$B$40,$B204,Override!$D$11:$D$40,1,Override!$E$11:$E$40,"&gt;=0")-COUNTIFS(Override!$B$11:$B$40,$B204,Override!$D$11:$D$40,1,Override!$E$11:$E$40,"&gt;=0",Override!$C$11:$C$40,"MXAU"))&gt;0,SUMIFS(Override!$E$11:$E$40,Override!$B$11:$B$40,$B204,Override!$D$11:$D$40,1)-SUMIFS(Override!$E$11:$E$40,Override!$B$11:$B$40,$B204,Override!$D$11:$D$40,1,Override!$C$11:$C$40,"MXAU"),Override!$C$239)/AS51!$B$3,"")))</f>
        <v/>
      </c>
      <c r="G204" s="140">
        <f>IF(G$13="","",IF($B204="","",IFERROR($C204*$D204*IF((Override!$C$4="ON")*(COUNTIFS(Override!$B$11:$B$40,$B204,Override!$D$11:$D$40,2,Override!$E$11:$E$40,"&gt;=0")-COUNTIFS(Override!$B$11:$B$40,$B204,Override!$D$11:$D$40,2,Override!$E$11:$E$40,"&gt;=0",Override!$C$11:$C$40,"MXAU"))&gt;0,SUMIFS(Override!$E$11:$E$40,Override!$B$11:$B$40,$B204,Override!$D$11:$D$40,2)-SUMIFS(Override!$E$11:$E$40,Override!$B$11:$B$40,$B204,Override!$D$11:$D$40,2,Override!$C$11:$C$40,"MXAU"),Override!$D$239)/AS51!$B$3,"")))</f>
        <v/>
      </c>
      <c r="H204" s="140">
        <f>IF(H$13="","",IF($B204="","",IFERROR($C204*$D204*IF((Override!$C$4="ON")*(COUNTIFS(Override!$B$11:$B$40,$B204,Override!$D$11:$D$40,3,Override!$E$11:$E$40,"&gt;=0")-COUNTIFS(Override!$B$11:$B$40,$B204,Override!$D$11:$D$40,3,Override!$E$11:$E$40,"&gt;=0",Override!$C$11:$C$40,"MXAU"))&gt;0,SUMIFS(Override!$E$11:$E$40,Override!$B$11:$B$40,$B204,Override!$D$11:$D$40,3)-SUMIFS(Override!$E$11:$E$40,Override!$B$11:$B$40,$B204,Override!$D$11:$D$40,3,Override!$C$11:$C$40,"MXAU"),Override!$E$239)/AS51!$B$3,"")))</f>
        <v/>
      </c>
      <c r="I204" s="140">
        <f>IF(I$13="","",IF($B204="","",IFERROR($C204*$D204*IF((Override!$C$4="ON")*(COUNTIFS(Override!$B$11:$B$40,$B204,Override!$D$11:$D$40,4,Override!$E$11:$E$40,"&gt;=0")-COUNTIFS(Override!$B$11:$B$40,$B204,Override!$D$11:$D$40,4,Override!$E$11:$E$40,"&gt;=0",Override!$C$11:$C$40,"MXAU"))&gt;0,SUMIFS(Override!$E$11:$E$40,Override!$B$11:$B$40,$B204,Override!$D$11:$D$40,4)-SUMIFS(Override!$E$11:$E$40,Override!$B$11:$B$40,$B204,Override!$D$11:$D$40,4,Override!$C$11:$C$40,"MXAU"),Override!$F$239)/AS51!$B$3,"")))</f>
        <v/>
      </c>
      <c r="J204" s="140">
        <f>IF(J$13="","",IF($B204="","",IFERROR($C204*$D204*IF((Override!$C$4="ON")*(COUNTIFS(Override!$B$11:$B$40,$B204,Override!$D$11:$D$40,5,Override!$E$11:$E$40,"&gt;=0")-COUNTIFS(Override!$B$11:$B$40,$B204,Override!$D$11:$D$40,5,Override!$E$11:$E$40,"&gt;=0",Override!$C$11:$C$40,"MXAU"))&gt;0,SUMIFS(Override!$E$11:$E$40,Override!$B$11:$B$40,$B204,Override!$D$11:$D$40,5)-SUMIFS(Override!$E$11:$E$40,Override!$B$11:$B$40,$B204,Override!$D$11:$D$40,5,Override!$C$11:$C$40,"MXAU"),Override!$G$239)/AS51!$B$3,"")))</f>
        <v/>
      </c>
      <c r="K204" s="140">
        <f>IF(K$13="","",IF($B204="","",IFERROR($C204*$D204*IF((Override!$C$4="ON")*(COUNTIFS(Override!$B$11:$B$40,$B204,Override!$D$11:$D$40,6,Override!$E$11:$E$40,"&gt;=0")-COUNTIFS(Override!$B$11:$B$40,$B204,Override!$D$11:$D$40,6,Override!$E$11:$E$40,"&gt;=0",Override!$C$11:$C$40,"MXAU"))&gt;0,SUMIFS(Override!$E$11:$E$40,Override!$B$11:$B$40,$B204,Override!$D$11:$D$40,6)-SUMIFS(Override!$E$11:$E$40,Override!$B$11:$B$40,$B204,Override!$D$11:$D$40,6,Override!$C$11:$C$40,"MXAU"),Override!$H$239)/AS51!$B$3,"")))</f>
        <v/>
      </c>
      <c r="L204" s="140">
        <f>IF(L$13="","",IF($B204="","",IFERROR($C204*$D204*IF((Override!$C$4="ON")*(COUNTIFS(Override!$B$11:$B$40,$B204,Override!$D$11:$D$40,7,Override!$E$11:$E$40,"&gt;=0")-COUNTIFS(Override!$B$11:$B$40,$B204,Override!$D$11:$D$40,7,Override!$E$11:$E$40,"&gt;=0",Override!$C$11:$C$40,"MXAU"))&gt;0,SUMIFS(Override!$E$11:$E$40,Override!$B$11:$B$40,$B204,Override!$D$11:$D$40,7)-SUMIFS(Override!$E$11:$E$40,Override!$B$11:$B$40,$B204,Override!$D$11:$D$40,7,Override!$C$11:$C$40,"MXAU"),Override!$I$239)/AS51!$B$3,"")))</f>
        <v/>
      </c>
      <c r="M204" s="140">
        <f>IF(M$13="","",IF($B204="","",IFERROR($C204*$D204*IF((Override!$C$4="ON")*(COUNTIFS(Override!$B$11:$B$40,$B204,Override!$D$11:$D$40,8,Override!$E$11:$E$40,"&gt;=0")-COUNTIFS(Override!$B$11:$B$40,$B204,Override!$D$11:$D$40,8,Override!$E$11:$E$40,"&gt;=0",Override!$C$11:$C$40,"MXAU"))&gt;0,SUMIFS(Override!$E$11:$E$40,Override!$B$11:$B$40,$B204,Override!$D$11:$D$40,8)-SUMIFS(Override!$E$11:$E$40,Override!$B$11:$B$40,$B204,Override!$D$11:$D$40,8,Override!$C$11:$C$40,"MXAU"),Override!$J$239)/AS51!$B$3,"")))</f>
        <v/>
      </c>
      <c r="N204" s="140">
        <f>IF(N$13="","",IF($B204="","",IFERROR($C204*$D204*IF((Override!$C$4="ON")*(COUNTIFS(Override!$B$11:$B$40,$B204,Override!$D$11:$D$40,9,Override!$E$11:$E$40,"&gt;=0")-COUNTIFS(Override!$B$11:$B$40,$B204,Override!$D$11:$D$40,9,Override!$E$11:$E$40,"&gt;=0",Override!$C$11:$C$40,"MXAU"))&gt;0,SUMIFS(Override!$E$11:$E$40,Override!$B$11:$B$40,$B204,Override!$D$11:$D$40,9)-SUMIFS(Override!$E$11:$E$40,Override!$B$11:$B$40,$B204,Override!$D$11:$D$40,9,Override!$C$11:$C$40,"MXAU"),Override!$K$239)/AS51!$B$3,"")))</f>
        <v/>
      </c>
      <c r="O204" s="140">
        <f>IF(O$13="","",IF($B204="","",IFERROR($C204*$D204*IF((Override!$C$4="ON")*(COUNTIFS(Override!$B$11:$B$40,$B204,Override!$D$11:$D$40,10,Override!$E$11:$E$40,"&gt;=0")-COUNTIFS(Override!$B$11:$B$40,$B204,Override!$D$11:$D$40,10,Override!$E$11:$E$40,"&gt;=0",Override!$C$11:$C$40,"MXAU"))&gt;0,SUMIFS(Override!$E$11:$E$40,Override!$B$11:$B$40,$B204,Override!$D$11:$D$40,10)-SUMIFS(Override!$E$11:$E$40,Override!$B$11:$B$40,$B204,Override!$D$11:$D$40,10,Override!$C$11:$C$40,"MXAU"),Override!$L$239)/AS51!$B$3,"")))</f>
        <v/>
      </c>
      <c r="P204" s="140">
        <f>IF(P$13="","",IF($B204="","",IFERROR($C204*$D204*IF((Override!$C$4="ON")*(COUNTIFS(Override!$B$11:$B$40,$B204,Override!$D$11:$D$40,11,Override!$E$11:$E$40,"&gt;=0")-COUNTIFS(Override!$B$11:$B$40,$B204,Override!$D$11:$D$40,11,Override!$E$11:$E$40,"&gt;=0",Override!$C$11:$C$40,"MXAU"))&gt;0,SUMIFS(Override!$E$11:$E$40,Override!$B$11:$B$40,$B204,Override!$D$11:$D$40,11)-SUMIFS(Override!$E$11:$E$40,Override!$B$11:$B$40,$B204,Override!$D$11:$D$40,11,Override!$C$11:$C$40,"MXAU"),Override!$M$239)/AS51!$B$3,"")))</f>
        <v/>
      </c>
      <c r="Q204" s="140">
        <f>IF(Q$13="","",IF($B204="","",IFERROR($C204*$D204*IF((Override!$C$4="ON")*(COUNTIFS(Override!$B$11:$B$40,$B204,Override!$D$11:$D$40,12,Override!$E$11:$E$40,"&gt;=0")-COUNTIFS(Override!$B$11:$B$40,$B204,Override!$D$11:$D$40,12,Override!$E$11:$E$40,"&gt;=0",Override!$C$11:$C$40,"MXAU"))&gt;0,SUMIFS(Override!$E$11:$E$40,Override!$B$11:$B$40,$B204,Override!$D$11:$D$40,12)-SUMIFS(Override!$E$11:$E$40,Override!$B$11:$B$40,$B204,Override!$D$11:$D$40,12,Override!$C$11:$C$40,"MXAU"),Override!$N$239)/AS51!$B$3,"")))</f>
        <v/>
      </c>
      <c r="R204" s="140">
        <f>IF(R$13="","",IF($B204="","",IFERROR($C204*$D204*IF((Override!$C$4="ON")*(COUNTIFS(Override!$B$11:$B$40,$B204,Override!$D$11:$D$40,13,Override!$E$11:$E$40,"&gt;=0")-COUNTIFS(Override!$B$11:$B$40,$B204,Override!$D$11:$D$40,13,Override!$E$11:$E$40,"&gt;=0",Override!$C$11:$C$40,"MXAU"))&gt;0,SUMIFS(Override!$E$11:$E$40,Override!$B$11:$B$40,$B204,Override!$D$11:$D$40,13)-SUMIFS(Override!$E$11:$E$40,Override!$B$11:$B$40,$B204,Override!$D$11:$D$40,13,Override!$C$11:$C$40,"MXAU"),Override!$O$239)/AS51!$B$3,"")))</f>
        <v/>
      </c>
      <c r="S204" s="140">
        <f>IF(S$13="","",IF($B204="","",IFERROR($C204*$D204*IF((Override!$C$4="ON")*(COUNTIFS(Override!$B$11:$B$40,$B204,Override!$D$11:$D$40,14,Override!$E$11:$E$40,"&gt;=0")-COUNTIFS(Override!$B$11:$B$40,$B204,Override!$D$11:$D$40,14,Override!$E$11:$E$40,"&gt;=0",Override!$C$11:$C$40,"MXAU"))&gt;0,SUMIFS(Override!$E$11:$E$40,Override!$B$11:$B$40,$B204,Override!$D$11:$D$40,14)-SUMIFS(Override!$E$11:$E$40,Override!$B$11:$B$40,$B204,Override!$D$11:$D$40,14,Override!$C$11:$C$40,"MXAU"),Override!$P$239)/AS51!$B$3,"")))</f>
        <v/>
      </c>
      <c r="T204" s="140">
        <f>IF(T$13="","",IF($B204="","",IFERROR($C204*$D204*IF((Override!$C$4="ON")*(COUNTIFS(Override!$B$11:$B$40,$B204,Override!$D$11:$D$40,15,Override!$E$11:$E$40,"&gt;=0")-COUNTIFS(Override!$B$11:$B$40,$B204,Override!$D$11:$D$40,15,Override!$E$11:$E$40,"&gt;=0",Override!$C$11:$C$40,"MXAU"))&gt;0,SUMIFS(Override!$E$11:$E$40,Override!$B$11:$B$40,$B204,Override!$D$11:$D$40,15)-SUMIFS(Override!$E$11:$E$40,Override!$B$11:$B$40,$B204,Override!$D$11:$D$40,15,Override!$C$11:$C$40,"MXAU"),Override!$Q$239)/AS51!$B$3,"")))</f>
        <v/>
      </c>
      <c r="U204" s="140">
        <f>IF(U$13="","",IF($B204="","",IFERROR($C204*$D204*IF((Override!$C$4="ON")*(COUNTIFS(Override!$B$11:$B$40,$B204,Override!$D$11:$D$40,16,Override!$E$11:$E$40,"&gt;=0")-COUNTIFS(Override!$B$11:$B$40,$B204,Override!$D$11:$D$40,16,Override!$E$11:$E$40,"&gt;=0",Override!$C$11:$C$40,"MXAU"))&gt;0,SUMIFS(Override!$E$11:$E$40,Override!$B$11:$B$40,$B204,Override!$D$11:$D$40,16)-SUMIFS(Override!$E$11:$E$40,Override!$B$11:$B$40,$B204,Override!$D$11:$D$40,16,Override!$C$11:$C$40,"MXAU"),Override!$R$239)/AS51!$B$3,"")))</f>
        <v/>
      </c>
      <c r="W204" s="140">
        <f>IF(W$13="","",IF($B204="","",IFERROR(F204*$E204/100,"")))</f>
        <v/>
      </c>
      <c r="X204" s="140">
        <f>IF(X$13="","",IF($B204="","",IFERROR(G204*$E204/100,"")))</f>
        <v/>
      </c>
      <c r="Y204" s="140">
        <f>IF(Y$13="","",IF($B204="","",IFERROR(H204*$E204/100,"")))</f>
        <v/>
      </c>
      <c r="Z204" s="140">
        <f>IF(Z$13="","",IF($B204="","",IFERROR(I204*$E204/100,"")))</f>
        <v/>
      </c>
      <c r="AA204" s="140">
        <f>IF(AA$13="","",IF($B204="","",IFERROR(J204*$E204/100,"")))</f>
        <v/>
      </c>
      <c r="AB204" s="140">
        <f>IF(AB$13="","",IF($B204="","",IFERROR(K204*$E204/100,"")))</f>
        <v/>
      </c>
      <c r="AC204" s="140">
        <f>IF(AC$13="","",IF($B204="","",IFERROR(L204*$E204/100,"")))</f>
        <v/>
      </c>
      <c r="AD204" s="140">
        <f>IF(AD$13="","",IF($B204="","",IFERROR(M204*$E204/100,"")))</f>
        <v/>
      </c>
      <c r="AE204" s="140">
        <f>IF(AE$13="","",IF($B204="","",IFERROR(N204*$E204/100,"")))</f>
        <v/>
      </c>
      <c r="AF204" s="140">
        <f>IF(AF$13="","",IF($B204="","",IFERROR(O204*$E204/100,"")))</f>
        <v/>
      </c>
      <c r="AG204" s="140">
        <f>IF(AG$13="","",IF($B204="","",IFERROR(P204*$E204/100,"")))</f>
        <v/>
      </c>
      <c r="AH204" s="140">
        <f>IF(AH$13="","",IF($B204="","",IFERROR(Q204*$E204/100,"")))</f>
        <v/>
      </c>
      <c r="AI204" s="140">
        <f>IF(AI$13="","",IF($B204="","",IFERROR(R204*$E204/100,"")))</f>
        <v/>
      </c>
      <c r="AJ204" s="140">
        <f>IF(AJ$13="","",IF($B204="","",IFERROR(S204*$E204/100,"")))</f>
        <v/>
      </c>
      <c r="AK204" s="140">
        <f>IF(AK$13="","",IF($B204="","",IFERROR(T204*$E204/100,"")))</f>
        <v/>
      </c>
      <c r="AL204" s="140">
        <f>IF(AL$13="","",IF($B204="","",IFERROR(U204*$E204/100,"")))</f>
        <v/>
      </c>
      <c r="AN204" s="140">
        <f>IF($B204="","",SUMIF($F$13:$U$13,"&lt;="&amp;Sector!$D$51,$F204:$U204))</f>
        <v/>
      </c>
      <c r="AO204" s="140">
        <f>IF($B204="","",SUMIF($W$13:$AL$13,"&lt;="&amp;Sector!$D$51,$W204:$AL204))</f>
        <v/>
      </c>
    </row>
    <row r="205">
      <c r="B205" s="5">
        <f>IF(AS51!$C$195="","",AS51!$C$195)</f>
        <v/>
      </c>
      <c r="C205" s="90">
        <f>IF(AS51!$B$195="","",AS51!$B$195)</f>
        <v/>
      </c>
      <c r="D205" s="138">
        <f>IFERROR(AS51!$Q$195,1)</f>
        <v/>
      </c>
      <c r="E205" s="139">
        <f>IF($B205="","",IF(ISNUMBER(AS51!$I$195),AS51!$I$195,'Index Summary'!$C$7))</f>
        <v/>
      </c>
      <c r="F205" s="140">
        <f>IF(F$13="","",IF($B205="","",IFERROR($C205*$D205*IF((Override!$C$4="ON")*(COUNTIFS(Override!$B$11:$B$40,$B205,Override!$D$11:$D$40,1,Override!$E$11:$E$40,"&gt;=0")-COUNTIFS(Override!$B$11:$B$40,$B205,Override!$D$11:$D$40,1,Override!$E$11:$E$40,"&gt;=0",Override!$C$11:$C$40,"MXAU"))&gt;0,SUMIFS(Override!$E$11:$E$40,Override!$B$11:$B$40,$B205,Override!$D$11:$D$40,1)-SUMIFS(Override!$E$11:$E$40,Override!$B$11:$B$40,$B205,Override!$D$11:$D$40,1,Override!$C$11:$C$40,"MXAU"),Override!$C$240)/AS51!$B$3,"")))</f>
        <v/>
      </c>
      <c r="G205" s="140">
        <f>IF(G$13="","",IF($B205="","",IFERROR($C205*$D205*IF((Override!$C$4="ON")*(COUNTIFS(Override!$B$11:$B$40,$B205,Override!$D$11:$D$40,2,Override!$E$11:$E$40,"&gt;=0")-COUNTIFS(Override!$B$11:$B$40,$B205,Override!$D$11:$D$40,2,Override!$E$11:$E$40,"&gt;=0",Override!$C$11:$C$40,"MXAU"))&gt;0,SUMIFS(Override!$E$11:$E$40,Override!$B$11:$B$40,$B205,Override!$D$11:$D$40,2)-SUMIFS(Override!$E$11:$E$40,Override!$B$11:$B$40,$B205,Override!$D$11:$D$40,2,Override!$C$11:$C$40,"MXAU"),Override!$D$240)/AS51!$B$3,"")))</f>
        <v/>
      </c>
      <c r="H205" s="140">
        <f>IF(H$13="","",IF($B205="","",IFERROR($C205*$D205*IF((Override!$C$4="ON")*(COUNTIFS(Override!$B$11:$B$40,$B205,Override!$D$11:$D$40,3,Override!$E$11:$E$40,"&gt;=0")-COUNTIFS(Override!$B$11:$B$40,$B205,Override!$D$11:$D$40,3,Override!$E$11:$E$40,"&gt;=0",Override!$C$11:$C$40,"MXAU"))&gt;0,SUMIFS(Override!$E$11:$E$40,Override!$B$11:$B$40,$B205,Override!$D$11:$D$40,3)-SUMIFS(Override!$E$11:$E$40,Override!$B$11:$B$40,$B205,Override!$D$11:$D$40,3,Override!$C$11:$C$40,"MXAU"),Override!$E$240)/AS51!$B$3,"")))</f>
        <v/>
      </c>
      <c r="I205" s="140">
        <f>IF(I$13="","",IF($B205="","",IFERROR($C205*$D205*IF((Override!$C$4="ON")*(COUNTIFS(Override!$B$11:$B$40,$B205,Override!$D$11:$D$40,4,Override!$E$11:$E$40,"&gt;=0")-COUNTIFS(Override!$B$11:$B$40,$B205,Override!$D$11:$D$40,4,Override!$E$11:$E$40,"&gt;=0",Override!$C$11:$C$40,"MXAU"))&gt;0,SUMIFS(Override!$E$11:$E$40,Override!$B$11:$B$40,$B205,Override!$D$11:$D$40,4)-SUMIFS(Override!$E$11:$E$40,Override!$B$11:$B$40,$B205,Override!$D$11:$D$40,4,Override!$C$11:$C$40,"MXAU"),Override!$F$240)/AS51!$B$3,"")))</f>
        <v/>
      </c>
      <c r="J205" s="140">
        <f>IF(J$13="","",IF($B205="","",IFERROR($C205*$D205*IF((Override!$C$4="ON")*(COUNTIFS(Override!$B$11:$B$40,$B205,Override!$D$11:$D$40,5,Override!$E$11:$E$40,"&gt;=0")-COUNTIFS(Override!$B$11:$B$40,$B205,Override!$D$11:$D$40,5,Override!$E$11:$E$40,"&gt;=0",Override!$C$11:$C$40,"MXAU"))&gt;0,SUMIFS(Override!$E$11:$E$40,Override!$B$11:$B$40,$B205,Override!$D$11:$D$40,5)-SUMIFS(Override!$E$11:$E$40,Override!$B$11:$B$40,$B205,Override!$D$11:$D$40,5,Override!$C$11:$C$40,"MXAU"),Override!$G$240)/AS51!$B$3,"")))</f>
        <v/>
      </c>
      <c r="K205" s="140">
        <f>IF(K$13="","",IF($B205="","",IFERROR($C205*$D205*IF((Override!$C$4="ON")*(COUNTIFS(Override!$B$11:$B$40,$B205,Override!$D$11:$D$40,6,Override!$E$11:$E$40,"&gt;=0")-COUNTIFS(Override!$B$11:$B$40,$B205,Override!$D$11:$D$40,6,Override!$E$11:$E$40,"&gt;=0",Override!$C$11:$C$40,"MXAU"))&gt;0,SUMIFS(Override!$E$11:$E$40,Override!$B$11:$B$40,$B205,Override!$D$11:$D$40,6)-SUMIFS(Override!$E$11:$E$40,Override!$B$11:$B$40,$B205,Override!$D$11:$D$40,6,Override!$C$11:$C$40,"MXAU"),Override!$H$240)/AS51!$B$3,"")))</f>
        <v/>
      </c>
      <c r="L205" s="140">
        <f>IF(L$13="","",IF($B205="","",IFERROR($C205*$D205*IF((Override!$C$4="ON")*(COUNTIFS(Override!$B$11:$B$40,$B205,Override!$D$11:$D$40,7,Override!$E$11:$E$40,"&gt;=0")-COUNTIFS(Override!$B$11:$B$40,$B205,Override!$D$11:$D$40,7,Override!$E$11:$E$40,"&gt;=0",Override!$C$11:$C$40,"MXAU"))&gt;0,SUMIFS(Override!$E$11:$E$40,Override!$B$11:$B$40,$B205,Override!$D$11:$D$40,7)-SUMIFS(Override!$E$11:$E$40,Override!$B$11:$B$40,$B205,Override!$D$11:$D$40,7,Override!$C$11:$C$40,"MXAU"),Override!$I$240)/AS51!$B$3,"")))</f>
        <v/>
      </c>
      <c r="M205" s="140">
        <f>IF(M$13="","",IF($B205="","",IFERROR($C205*$D205*IF((Override!$C$4="ON")*(COUNTIFS(Override!$B$11:$B$40,$B205,Override!$D$11:$D$40,8,Override!$E$11:$E$40,"&gt;=0")-COUNTIFS(Override!$B$11:$B$40,$B205,Override!$D$11:$D$40,8,Override!$E$11:$E$40,"&gt;=0",Override!$C$11:$C$40,"MXAU"))&gt;0,SUMIFS(Override!$E$11:$E$40,Override!$B$11:$B$40,$B205,Override!$D$11:$D$40,8)-SUMIFS(Override!$E$11:$E$40,Override!$B$11:$B$40,$B205,Override!$D$11:$D$40,8,Override!$C$11:$C$40,"MXAU"),Override!$J$240)/AS51!$B$3,"")))</f>
        <v/>
      </c>
      <c r="N205" s="140">
        <f>IF(N$13="","",IF($B205="","",IFERROR($C205*$D205*IF((Override!$C$4="ON")*(COUNTIFS(Override!$B$11:$B$40,$B205,Override!$D$11:$D$40,9,Override!$E$11:$E$40,"&gt;=0")-COUNTIFS(Override!$B$11:$B$40,$B205,Override!$D$11:$D$40,9,Override!$E$11:$E$40,"&gt;=0",Override!$C$11:$C$40,"MXAU"))&gt;0,SUMIFS(Override!$E$11:$E$40,Override!$B$11:$B$40,$B205,Override!$D$11:$D$40,9)-SUMIFS(Override!$E$11:$E$40,Override!$B$11:$B$40,$B205,Override!$D$11:$D$40,9,Override!$C$11:$C$40,"MXAU"),Override!$K$240)/AS51!$B$3,"")))</f>
        <v/>
      </c>
      <c r="O205" s="140">
        <f>IF(O$13="","",IF($B205="","",IFERROR($C205*$D205*IF((Override!$C$4="ON")*(COUNTIFS(Override!$B$11:$B$40,$B205,Override!$D$11:$D$40,10,Override!$E$11:$E$40,"&gt;=0")-COUNTIFS(Override!$B$11:$B$40,$B205,Override!$D$11:$D$40,10,Override!$E$11:$E$40,"&gt;=0",Override!$C$11:$C$40,"MXAU"))&gt;0,SUMIFS(Override!$E$11:$E$40,Override!$B$11:$B$40,$B205,Override!$D$11:$D$40,10)-SUMIFS(Override!$E$11:$E$40,Override!$B$11:$B$40,$B205,Override!$D$11:$D$40,10,Override!$C$11:$C$40,"MXAU"),Override!$L$240)/AS51!$B$3,"")))</f>
        <v/>
      </c>
      <c r="P205" s="140">
        <f>IF(P$13="","",IF($B205="","",IFERROR($C205*$D205*IF((Override!$C$4="ON")*(COUNTIFS(Override!$B$11:$B$40,$B205,Override!$D$11:$D$40,11,Override!$E$11:$E$40,"&gt;=0")-COUNTIFS(Override!$B$11:$B$40,$B205,Override!$D$11:$D$40,11,Override!$E$11:$E$40,"&gt;=0",Override!$C$11:$C$40,"MXAU"))&gt;0,SUMIFS(Override!$E$11:$E$40,Override!$B$11:$B$40,$B205,Override!$D$11:$D$40,11)-SUMIFS(Override!$E$11:$E$40,Override!$B$11:$B$40,$B205,Override!$D$11:$D$40,11,Override!$C$11:$C$40,"MXAU"),Override!$M$240)/AS51!$B$3,"")))</f>
        <v/>
      </c>
      <c r="Q205" s="140">
        <f>IF(Q$13="","",IF($B205="","",IFERROR($C205*$D205*IF((Override!$C$4="ON")*(COUNTIFS(Override!$B$11:$B$40,$B205,Override!$D$11:$D$40,12,Override!$E$11:$E$40,"&gt;=0")-COUNTIFS(Override!$B$11:$B$40,$B205,Override!$D$11:$D$40,12,Override!$E$11:$E$40,"&gt;=0",Override!$C$11:$C$40,"MXAU"))&gt;0,SUMIFS(Override!$E$11:$E$40,Override!$B$11:$B$40,$B205,Override!$D$11:$D$40,12)-SUMIFS(Override!$E$11:$E$40,Override!$B$11:$B$40,$B205,Override!$D$11:$D$40,12,Override!$C$11:$C$40,"MXAU"),Override!$N$240)/AS51!$B$3,"")))</f>
        <v/>
      </c>
      <c r="R205" s="140">
        <f>IF(R$13="","",IF($B205="","",IFERROR($C205*$D205*IF((Override!$C$4="ON")*(COUNTIFS(Override!$B$11:$B$40,$B205,Override!$D$11:$D$40,13,Override!$E$11:$E$40,"&gt;=0")-COUNTIFS(Override!$B$11:$B$40,$B205,Override!$D$11:$D$40,13,Override!$E$11:$E$40,"&gt;=0",Override!$C$11:$C$40,"MXAU"))&gt;0,SUMIFS(Override!$E$11:$E$40,Override!$B$11:$B$40,$B205,Override!$D$11:$D$40,13)-SUMIFS(Override!$E$11:$E$40,Override!$B$11:$B$40,$B205,Override!$D$11:$D$40,13,Override!$C$11:$C$40,"MXAU"),Override!$O$240)/AS51!$B$3,"")))</f>
        <v/>
      </c>
      <c r="S205" s="140">
        <f>IF(S$13="","",IF($B205="","",IFERROR($C205*$D205*IF((Override!$C$4="ON")*(COUNTIFS(Override!$B$11:$B$40,$B205,Override!$D$11:$D$40,14,Override!$E$11:$E$40,"&gt;=0")-COUNTIFS(Override!$B$11:$B$40,$B205,Override!$D$11:$D$40,14,Override!$E$11:$E$40,"&gt;=0",Override!$C$11:$C$40,"MXAU"))&gt;0,SUMIFS(Override!$E$11:$E$40,Override!$B$11:$B$40,$B205,Override!$D$11:$D$40,14)-SUMIFS(Override!$E$11:$E$40,Override!$B$11:$B$40,$B205,Override!$D$11:$D$40,14,Override!$C$11:$C$40,"MXAU"),Override!$P$240)/AS51!$B$3,"")))</f>
        <v/>
      </c>
      <c r="T205" s="140">
        <f>IF(T$13="","",IF($B205="","",IFERROR($C205*$D205*IF((Override!$C$4="ON")*(COUNTIFS(Override!$B$11:$B$40,$B205,Override!$D$11:$D$40,15,Override!$E$11:$E$40,"&gt;=0")-COUNTIFS(Override!$B$11:$B$40,$B205,Override!$D$11:$D$40,15,Override!$E$11:$E$40,"&gt;=0",Override!$C$11:$C$40,"MXAU"))&gt;0,SUMIFS(Override!$E$11:$E$40,Override!$B$11:$B$40,$B205,Override!$D$11:$D$40,15)-SUMIFS(Override!$E$11:$E$40,Override!$B$11:$B$40,$B205,Override!$D$11:$D$40,15,Override!$C$11:$C$40,"MXAU"),Override!$Q$240)/AS51!$B$3,"")))</f>
        <v/>
      </c>
      <c r="U205" s="140">
        <f>IF(U$13="","",IF($B205="","",IFERROR($C205*$D205*IF((Override!$C$4="ON")*(COUNTIFS(Override!$B$11:$B$40,$B205,Override!$D$11:$D$40,16,Override!$E$11:$E$40,"&gt;=0")-COUNTIFS(Override!$B$11:$B$40,$B205,Override!$D$11:$D$40,16,Override!$E$11:$E$40,"&gt;=0",Override!$C$11:$C$40,"MXAU"))&gt;0,SUMIFS(Override!$E$11:$E$40,Override!$B$11:$B$40,$B205,Override!$D$11:$D$40,16)-SUMIFS(Override!$E$11:$E$40,Override!$B$11:$B$40,$B205,Override!$D$11:$D$40,16,Override!$C$11:$C$40,"MXAU"),Override!$R$240)/AS51!$B$3,"")))</f>
        <v/>
      </c>
      <c r="W205" s="140">
        <f>IF(W$13="","",IF($B205="","",IFERROR(F205*$E205/100,"")))</f>
        <v/>
      </c>
      <c r="X205" s="140">
        <f>IF(X$13="","",IF($B205="","",IFERROR(G205*$E205/100,"")))</f>
        <v/>
      </c>
      <c r="Y205" s="140">
        <f>IF(Y$13="","",IF($B205="","",IFERROR(H205*$E205/100,"")))</f>
        <v/>
      </c>
      <c r="Z205" s="140">
        <f>IF(Z$13="","",IF($B205="","",IFERROR(I205*$E205/100,"")))</f>
        <v/>
      </c>
      <c r="AA205" s="140">
        <f>IF(AA$13="","",IF($B205="","",IFERROR(J205*$E205/100,"")))</f>
        <v/>
      </c>
      <c r="AB205" s="140">
        <f>IF(AB$13="","",IF($B205="","",IFERROR(K205*$E205/100,"")))</f>
        <v/>
      </c>
      <c r="AC205" s="140">
        <f>IF(AC$13="","",IF($B205="","",IFERROR(L205*$E205/100,"")))</f>
        <v/>
      </c>
      <c r="AD205" s="140">
        <f>IF(AD$13="","",IF($B205="","",IFERROR(M205*$E205/100,"")))</f>
        <v/>
      </c>
      <c r="AE205" s="140">
        <f>IF(AE$13="","",IF($B205="","",IFERROR(N205*$E205/100,"")))</f>
        <v/>
      </c>
      <c r="AF205" s="140">
        <f>IF(AF$13="","",IF($B205="","",IFERROR(O205*$E205/100,"")))</f>
        <v/>
      </c>
      <c r="AG205" s="140">
        <f>IF(AG$13="","",IF($B205="","",IFERROR(P205*$E205/100,"")))</f>
        <v/>
      </c>
      <c r="AH205" s="140">
        <f>IF(AH$13="","",IF($B205="","",IFERROR(Q205*$E205/100,"")))</f>
        <v/>
      </c>
      <c r="AI205" s="140">
        <f>IF(AI$13="","",IF($B205="","",IFERROR(R205*$E205/100,"")))</f>
        <v/>
      </c>
      <c r="AJ205" s="140">
        <f>IF(AJ$13="","",IF($B205="","",IFERROR(S205*$E205/100,"")))</f>
        <v/>
      </c>
      <c r="AK205" s="140">
        <f>IF(AK$13="","",IF($B205="","",IFERROR(T205*$E205/100,"")))</f>
        <v/>
      </c>
      <c r="AL205" s="140">
        <f>IF(AL$13="","",IF($B205="","",IFERROR(U205*$E205/100,"")))</f>
        <v/>
      </c>
      <c r="AN205" s="140">
        <f>IF($B205="","",SUMIF($F$13:$U$13,"&lt;="&amp;Sector!$D$51,$F205:$U205))</f>
        <v/>
      </c>
      <c r="AO205" s="140">
        <f>IF($B205="","",SUMIF($W$13:$AL$13,"&lt;="&amp;Sector!$D$51,$W205:$AL205))</f>
        <v/>
      </c>
    </row>
    <row r="206">
      <c r="B206" s="5">
        <f>IF(AS51!$C$196="","",AS51!$C$196)</f>
        <v/>
      </c>
      <c r="C206" s="90">
        <f>IF(AS51!$B$196="","",AS51!$B$196)</f>
        <v/>
      </c>
      <c r="D206" s="138">
        <f>IFERROR(AS51!$Q$196,1)</f>
        <v/>
      </c>
      <c r="E206" s="139">
        <f>IF($B206="","",IF(ISNUMBER(AS51!$I$196),AS51!$I$196,'Index Summary'!$C$7))</f>
        <v/>
      </c>
      <c r="F206" s="140">
        <f>IF(F$13="","",IF($B206="","",IFERROR($C206*$D206*IF((Override!$C$4="ON")*(COUNTIFS(Override!$B$11:$B$40,$B206,Override!$D$11:$D$40,1,Override!$E$11:$E$40,"&gt;=0")-COUNTIFS(Override!$B$11:$B$40,$B206,Override!$D$11:$D$40,1,Override!$E$11:$E$40,"&gt;=0",Override!$C$11:$C$40,"MXAU"))&gt;0,SUMIFS(Override!$E$11:$E$40,Override!$B$11:$B$40,$B206,Override!$D$11:$D$40,1)-SUMIFS(Override!$E$11:$E$40,Override!$B$11:$B$40,$B206,Override!$D$11:$D$40,1,Override!$C$11:$C$40,"MXAU"),Override!$C$241)/AS51!$B$3,"")))</f>
        <v/>
      </c>
      <c r="G206" s="140">
        <f>IF(G$13="","",IF($B206="","",IFERROR($C206*$D206*IF((Override!$C$4="ON")*(COUNTIFS(Override!$B$11:$B$40,$B206,Override!$D$11:$D$40,2,Override!$E$11:$E$40,"&gt;=0")-COUNTIFS(Override!$B$11:$B$40,$B206,Override!$D$11:$D$40,2,Override!$E$11:$E$40,"&gt;=0",Override!$C$11:$C$40,"MXAU"))&gt;0,SUMIFS(Override!$E$11:$E$40,Override!$B$11:$B$40,$B206,Override!$D$11:$D$40,2)-SUMIFS(Override!$E$11:$E$40,Override!$B$11:$B$40,$B206,Override!$D$11:$D$40,2,Override!$C$11:$C$40,"MXAU"),Override!$D$241)/AS51!$B$3,"")))</f>
        <v/>
      </c>
      <c r="H206" s="140">
        <f>IF(H$13="","",IF($B206="","",IFERROR($C206*$D206*IF((Override!$C$4="ON")*(COUNTIFS(Override!$B$11:$B$40,$B206,Override!$D$11:$D$40,3,Override!$E$11:$E$40,"&gt;=0")-COUNTIFS(Override!$B$11:$B$40,$B206,Override!$D$11:$D$40,3,Override!$E$11:$E$40,"&gt;=0",Override!$C$11:$C$40,"MXAU"))&gt;0,SUMIFS(Override!$E$11:$E$40,Override!$B$11:$B$40,$B206,Override!$D$11:$D$40,3)-SUMIFS(Override!$E$11:$E$40,Override!$B$11:$B$40,$B206,Override!$D$11:$D$40,3,Override!$C$11:$C$40,"MXAU"),Override!$E$241)/AS51!$B$3,"")))</f>
        <v/>
      </c>
      <c r="I206" s="140">
        <f>IF(I$13="","",IF($B206="","",IFERROR($C206*$D206*IF((Override!$C$4="ON")*(COUNTIFS(Override!$B$11:$B$40,$B206,Override!$D$11:$D$40,4,Override!$E$11:$E$40,"&gt;=0")-COUNTIFS(Override!$B$11:$B$40,$B206,Override!$D$11:$D$40,4,Override!$E$11:$E$40,"&gt;=0",Override!$C$11:$C$40,"MXAU"))&gt;0,SUMIFS(Override!$E$11:$E$40,Override!$B$11:$B$40,$B206,Override!$D$11:$D$40,4)-SUMIFS(Override!$E$11:$E$40,Override!$B$11:$B$40,$B206,Override!$D$11:$D$40,4,Override!$C$11:$C$40,"MXAU"),Override!$F$241)/AS51!$B$3,"")))</f>
        <v/>
      </c>
      <c r="J206" s="140">
        <f>IF(J$13="","",IF($B206="","",IFERROR($C206*$D206*IF((Override!$C$4="ON")*(COUNTIFS(Override!$B$11:$B$40,$B206,Override!$D$11:$D$40,5,Override!$E$11:$E$40,"&gt;=0")-COUNTIFS(Override!$B$11:$B$40,$B206,Override!$D$11:$D$40,5,Override!$E$11:$E$40,"&gt;=0",Override!$C$11:$C$40,"MXAU"))&gt;0,SUMIFS(Override!$E$11:$E$40,Override!$B$11:$B$40,$B206,Override!$D$11:$D$40,5)-SUMIFS(Override!$E$11:$E$40,Override!$B$11:$B$40,$B206,Override!$D$11:$D$40,5,Override!$C$11:$C$40,"MXAU"),Override!$G$241)/AS51!$B$3,"")))</f>
        <v/>
      </c>
      <c r="K206" s="140">
        <f>IF(K$13="","",IF($B206="","",IFERROR($C206*$D206*IF((Override!$C$4="ON")*(COUNTIFS(Override!$B$11:$B$40,$B206,Override!$D$11:$D$40,6,Override!$E$11:$E$40,"&gt;=0")-COUNTIFS(Override!$B$11:$B$40,$B206,Override!$D$11:$D$40,6,Override!$E$11:$E$40,"&gt;=0",Override!$C$11:$C$40,"MXAU"))&gt;0,SUMIFS(Override!$E$11:$E$40,Override!$B$11:$B$40,$B206,Override!$D$11:$D$40,6)-SUMIFS(Override!$E$11:$E$40,Override!$B$11:$B$40,$B206,Override!$D$11:$D$40,6,Override!$C$11:$C$40,"MXAU"),Override!$H$241)/AS51!$B$3,"")))</f>
        <v/>
      </c>
      <c r="L206" s="140">
        <f>IF(L$13="","",IF($B206="","",IFERROR($C206*$D206*IF((Override!$C$4="ON")*(COUNTIFS(Override!$B$11:$B$40,$B206,Override!$D$11:$D$40,7,Override!$E$11:$E$40,"&gt;=0")-COUNTIFS(Override!$B$11:$B$40,$B206,Override!$D$11:$D$40,7,Override!$E$11:$E$40,"&gt;=0",Override!$C$11:$C$40,"MXAU"))&gt;0,SUMIFS(Override!$E$11:$E$40,Override!$B$11:$B$40,$B206,Override!$D$11:$D$40,7)-SUMIFS(Override!$E$11:$E$40,Override!$B$11:$B$40,$B206,Override!$D$11:$D$40,7,Override!$C$11:$C$40,"MXAU"),Override!$I$241)/AS51!$B$3,"")))</f>
        <v/>
      </c>
      <c r="M206" s="140">
        <f>IF(M$13="","",IF($B206="","",IFERROR($C206*$D206*IF((Override!$C$4="ON")*(COUNTIFS(Override!$B$11:$B$40,$B206,Override!$D$11:$D$40,8,Override!$E$11:$E$40,"&gt;=0")-COUNTIFS(Override!$B$11:$B$40,$B206,Override!$D$11:$D$40,8,Override!$E$11:$E$40,"&gt;=0",Override!$C$11:$C$40,"MXAU"))&gt;0,SUMIFS(Override!$E$11:$E$40,Override!$B$11:$B$40,$B206,Override!$D$11:$D$40,8)-SUMIFS(Override!$E$11:$E$40,Override!$B$11:$B$40,$B206,Override!$D$11:$D$40,8,Override!$C$11:$C$40,"MXAU"),Override!$J$241)/AS51!$B$3,"")))</f>
        <v/>
      </c>
      <c r="N206" s="140">
        <f>IF(N$13="","",IF($B206="","",IFERROR($C206*$D206*IF((Override!$C$4="ON")*(COUNTIFS(Override!$B$11:$B$40,$B206,Override!$D$11:$D$40,9,Override!$E$11:$E$40,"&gt;=0")-COUNTIFS(Override!$B$11:$B$40,$B206,Override!$D$11:$D$40,9,Override!$E$11:$E$40,"&gt;=0",Override!$C$11:$C$40,"MXAU"))&gt;0,SUMIFS(Override!$E$11:$E$40,Override!$B$11:$B$40,$B206,Override!$D$11:$D$40,9)-SUMIFS(Override!$E$11:$E$40,Override!$B$11:$B$40,$B206,Override!$D$11:$D$40,9,Override!$C$11:$C$40,"MXAU"),Override!$K$241)/AS51!$B$3,"")))</f>
        <v/>
      </c>
      <c r="O206" s="140">
        <f>IF(O$13="","",IF($B206="","",IFERROR($C206*$D206*IF((Override!$C$4="ON")*(COUNTIFS(Override!$B$11:$B$40,$B206,Override!$D$11:$D$40,10,Override!$E$11:$E$40,"&gt;=0")-COUNTIFS(Override!$B$11:$B$40,$B206,Override!$D$11:$D$40,10,Override!$E$11:$E$40,"&gt;=0",Override!$C$11:$C$40,"MXAU"))&gt;0,SUMIFS(Override!$E$11:$E$40,Override!$B$11:$B$40,$B206,Override!$D$11:$D$40,10)-SUMIFS(Override!$E$11:$E$40,Override!$B$11:$B$40,$B206,Override!$D$11:$D$40,10,Override!$C$11:$C$40,"MXAU"),Override!$L$241)/AS51!$B$3,"")))</f>
        <v/>
      </c>
      <c r="P206" s="140">
        <f>IF(P$13="","",IF($B206="","",IFERROR($C206*$D206*IF((Override!$C$4="ON")*(COUNTIFS(Override!$B$11:$B$40,$B206,Override!$D$11:$D$40,11,Override!$E$11:$E$40,"&gt;=0")-COUNTIFS(Override!$B$11:$B$40,$B206,Override!$D$11:$D$40,11,Override!$E$11:$E$40,"&gt;=0",Override!$C$11:$C$40,"MXAU"))&gt;0,SUMIFS(Override!$E$11:$E$40,Override!$B$11:$B$40,$B206,Override!$D$11:$D$40,11)-SUMIFS(Override!$E$11:$E$40,Override!$B$11:$B$40,$B206,Override!$D$11:$D$40,11,Override!$C$11:$C$40,"MXAU"),Override!$M$241)/AS51!$B$3,"")))</f>
        <v/>
      </c>
      <c r="Q206" s="140">
        <f>IF(Q$13="","",IF($B206="","",IFERROR($C206*$D206*IF((Override!$C$4="ON")*(COUNTIFS(Override!$B$11:$B$40,$B206,Override!$D$11:$D$40,12,Override!$E$11:$E$40,"&gt;=0")-COUNTIFS(Override!$B$11:$B$40,$B206,Override!$D$11:$D$40,12,Override!$E$11:$E$40,"&gt;=0",Override!$C$11:$C$40,"MXAU"))&gt;0,SUMIFS(Override!$E$11:$E$40,Override!$B$11:$B$40,$B206,Override!$D$11:$D$40,12)-SUMIFS(Override!$E$11:$E$40,Override!$B$11:$B$40,$B206,Override!$D$11:$D$40,12,Override!$C$11:$C$40,"MXAU"),Override!$N$241)/AS51!$B$3,"")))</f>
        <v/>
      </c>
      <c r="R206" s="140">
        <f>IF(R$13="","",IF($B206="","",IFERROR($C206*$D206*IF((Override!$C$4="ON")*(COUNTIFS(Override!$B$11:$B$40,$B206,Override!$D$11:$D$40,13,Override!$E$11:$E$40,"&gt;=0")-COUNTIFS(Override!$B$11:$B$40,$B206,Override!$D$11:$D$40,13,Override!$E$11:$E$40,"&gt;=0",Override!$C$11:$C$40,"MXAU"))&gt;0,SUMIFS(Override!$E$11:$E$40,Override!$B$11:$B$40,$B206,Override!$D$11:$D$40,13)-SUMIFS(Override!$E$11:$E$40,Override!$B$11:$B$40,$B206,Override!$D$11:$D$40,13,Override!$C$11:$C$40,"MXAU"),Override!$O$241)/AS51!$B$3,"")))</f>
        <v/>
      </c>
      <c r="S206" s="140">
        <f>IF(S$13="","",IF($B206="","",IFERROR($C206*$D206*IF((Override!$C$4="ON")*(COUNTIFS(Override!$B$11:$B$40,$B206,Override!$D$11:$D$40,14,Override!$E$11:$E$40,"&gt;=0")-COUNTIFS(Override!$B$11:$B$40,$B206,Override!$D$11:$D$40,14,Override!$E$11:$E$40,"&gt;=0",Override!$C$11:$C$40,"MXAU"))&gt;0,SUMIFS(Override!$E$11:$E$40,Override!$B$11:$B$40,$B206,Override!$D$11:$D$40,14)-SUMIFS(Override!$E$11:$E$40,Override!$B$11:$B$40,$B206,Override!$D$11:$D$40,14,Override!$C$11:$C$40,"MXAU"),Override!$P$241)/AS51!$B$3,"")))</f>
        <v/>
      </c>
      <c r="T206" s="140">
        <f>IF(T$13="","",IF($B206="","",IFERROR($C206*$D206*IF((Override!$C$4="ON")*(COUNTIFS(Override!$B$11:$B$40,$B206,Override!$D$11:$D$40,15,Override!$E$11:$E$40,"&gt;=0")-COUNTIFS(Override!$B$11:$B$40,$B206,Override!$D$11:$D$40,15,Override!$E$11:$E$40,"&gt;=0",Override!$C$11:$C$40,"MXAU"))&gt;0,SUMIFS(Override!$E$11:$E$40,Override!$B$11:$B$40,$B206,Override!$D$11:$D$40,15)-SUMIFS(Override!$E$11:$E$40,Override!$B$11:$B$40,$B206,Override!$D$11:$D$40,15,Override!$C$11:$C$40,"MXAU"),Override!$Q$241)/AS51!$B$3,"")))</f>
        <v/>
      </c>
      <c r="U206" s="140">
        <f>IF(U$13="","",IF($B206="","",IFERROR($C206*$D206*IF((Override!$C$4="ON")*(COUNTIFS(Override!$B$11:$B$40,$B206,Override!$D$11:$D$40,16,Override!$E$11:$E$40,"&gt;=0")-COUNTIFS(Override!$B$11:$B$40,$B206,Override!$D$11:$D$40,16,Override!$E$11:$E$40,"&gt;=0",Override!$C$11:$C$40,"MXAU"))&gt;0,SUMIFS(Override!$E$11:$E$40,Override!$B$11:$B$40,$B206,Override!$D$11:$D$40,16)-SUMIFS(Override!$E$11:$E$40,Override!$B$11:$B$40,$B206,Override!$D$11:$D$40,16,Override!$C$11:$C$40,"MXAU"),Override!$R$241)/AS51!$B$3,"")))</f>
        <v/>
      </c>
      <c r="W206" s="140">
        <f>IF(W$13="","",IF($B206="","",IFERROR(F206*$E206/100,"")))</f>
        <v/>
      </c>
      <c r="X206" s="140">
        <f>IF(X$13="","",IF($B206="","",IFERROR(G206*$E206/100,"")))</f>
        <v/>
      </c>
      <c r="Y206" s="140">
        <f>IF(Y$13="","",IF($B206="","",IFERROR(H206*$E206/100,"")))</f>
        <v/>
      </c>
      <c r="Z206" s="140">
        <f>IF(Z$13="","",IF($B206="","",IFERROR(I206*$E206/100,"")))</f>
        <v/>
      </c>
      <c r="AA206" s="140">
        <f>IF(AA$13="","",IF($B206="","",IFERROR(J206*$E206/100,"")))</f>
        <v/>
      </c>
      <c r="AB206" s="140">
        <f>IF(AB$13="","",IF($B206="","",IFERROR(K206*$E206/100,"")))</f>
        <v/>
      </c>
      <c r="AC206" s="140">
        <f>IF(AC$13="","",IF($B206="","",IFERROR(L206*$E206/100,"")))</f>
        <v/>
      </c>
      <c r="AD206" s="140">
        <f>IF(AD$13="","",IF($B206="","",IFERROR(M206*$E206/100,"")))</f>
        <v/>
      </c>
      <c r="AE206" s="140">
        <f>IF(AE$13="","",IF($B206="","",IFERROR(N206*$E206/100,"")))</f>
        <v/>
      </c>
      <c r="AF206" s="140">
        <f>IF(AF$13="","",IF($B206="","",IFERROR(O206*$E206/100,"")))</f>
        <v/>
      </c>
      <c r="AG206" s="140">
        <f>IF(AG$13="","",IF($B206="","",IFERROR(P206*$E206/100,"")))</f>
        <v/>
      </c>
      <c r="AH206" s="140">
        <f>IF(AH$13="","",IF($B206="","",IFERROR(Q206*$E206/100,"")))</f>
        <v/>
      </c>
      <c r="AI206" s="140">
        <f>IF(AI$13="","",IF($B206="","",IFERROR(R206*$E206/100,"")))</f>
        <v/>
      </c>
      <c r="AJ206" s="140">
        <f>IF(AJ$13="","",IF($B206="","",IFERROR(S206*$E206/100,"")))</f>
        <v/>
      </c>
      <c r="AK206" s="140">
        <f>IF(AK$13="","",IF($B206="","",IFERROR(T206*$E206/100,"")))</f>
        <v/>
      </c>
      <c r="AL206" s="140">
        <f>IF(AL$13="","",IF($B206="","",IFERROR(U206*$E206/100,"")))</f>
        <v/>
      </c>
      <c r="AN206" s="140">
        <f>IF($B206="","",SUMIF($F$13:$U$13,"&lt;="&amp;Sector!$D$51,$F206:$U206))</f>
        <v/>
      </c>
      <c r="AO206" s="140">
        <f>IF($B206="","",SUMIF($W$13:$AL$13,"&lt;="&amp;Sector!$D$51,$W206:$AL206))</f>
        <v/>
      </c>
    </row>
    <row r="207">
      <c r="B207" s="5">
        <f>IF(AS51!$C$197="","",AS51!$C$197)</f>
        <v/>
      </c>
      <c r="C207" s="90">
        <f>IF(AS51!$B$197="","",AS51!$B$197)</f>
        <v/>
      </c>
      <c r="D207" s="138">
        <f>IFERROR(AS51!$Q$197,1)</f>
        <v/>
      </c>
      <c r="E207" s="139">
        <f>IF($B207="","",IF(ISNUMBER(AS51!$I$197),AS51!$I$197,'Index Summary'!$C$7))</f>
        <v/>
      </c>
      <c r="F207" s="140">
        <f>IF(F$13="","",IF($B207="","",IFERROR($C207*$D207*IF((Override!$C$4="ON")*(COUNTIFS(Override!$B$11:$B$40,$B207,Override!$D$11:$D$40,1,Override!$E$11:$E$40,"&gt;=0")-COUNTIFS(Override!$B$11:$B$40,$B207,Override!$D$11:$D$40,1,Override!$E$11:$E$40,"&gt;=0",Override!$C$11:$C$40,"MXAU"))&gt;0,SUMIFS(Override!$E$11:$E$40,Override!$B$11:$B$40,$B207,Override!$D$11:$D$40,1)-SUMIFS(Override!$E$11:$E$40,Override!$B$11:$B$40,$B207,Override!$D$11:$D$40,1,Override!$C$11:$C$40,"MXAU"),Override!$C$242)/AS51!$B$3,"")))</f>
        <v/>
      </c>
      <c r="G207" s="140">
        <f>IF(G$13="","",IF($B207="","",IFERROR($C207*$D207*IF((Override!$C$4="ON")*(COUNTIFS(Override!$B$11:$B$40,$B207,Override!$D$11:$D$40,2,Override!$E$11:$E$40,"&gt;=0")-COUNTIFS(Override!$B$11:$B$40,$B207,Override!$D$11:$D$40,2,Override!$E$11:$E$40,"&gt;=0",Override!$C$11:$C$40,"MXAU"))&gt;0,SUMIFS(Override!$E$11:$E$40,Override!$B$11:$B$40,$B207,Override!$D$11:$D$40,2)-SUMIFS(Override!$E$11:$E$40,Override!$B$11:$B$40,$B207,Override!$D$11:$D$40,2,Override!$C$11:$C$40,"MXAU"),Override!$D$242)/AS51!$B$3,"")))</f>
        <v/>
      </c>
      <c r="H207" s="140">
        <f>IF(H$13="","",IF($B207="","",IFERROR($C207*$D207*IF((Override!$C$4="ON")*(COUNTIFS(Override!$B$11:$B$40,$B207,Override!$D$11:$D$40,3,Override!$E$11:$E$40,"&gt;=0")-COUNTIFS(Override!$B$11:$B$40,$B207,Override!$D$11:$D$40,3,Override!$E$11:$E$40,"&gt;=0",Override!$C$11:$C$40,"MXAU"))&gt;0,SUMIFS(Override!$E$11:$E$40,Override!$B$11:$B$40,$B207,Override!$D$11:$D$40,3)-SUMIFS(Override!$E$11:$E$40,Override!$B$11:$B$40,$B207,Override!$D$11:$D$40,3,Override!$C$11:$C$40,"MXAU"),Override!$E$242)/AS51!$B$3,"")))</f>
        <v/>
      </c>
      <c r="I207" s="140">
        <f>IF(I$13="","",IF($B207="","",IFERROR($C207*$D207*IF((Override!$C$4="ON")*(COUNTIFS(Override!$B$11:$B$40,$B207,Override!$D$11:$D$40,4,Override!$E$11:$E$40,"&gt;=0")-COUNTIFS(Override!$B$11:$B$40,$B207,Override!$D$11:$D$40,4,Override!$E$11:$E$40,"&gt;=0",Override!$C$11:$C$40,"MXAU"))&gt;0,SUMIFS(Override!$E$11:$E$40,Override!$B$11:$B$40,$B207,Override!$D$11:$D$40,4)-SUMIFS(Override!$E$11:$E$40,Override!$B$11:$B$40,$B207,Override!$D$11:$D$40,4,Override!$C$11:$C$40,"MXAU"),Override!$F$242)/AS51!$B$3,"")))</f>
        <v/>
      </c>
      <c r="J207" s="140">
        <f>IF(J$13="","",IF($B207="","",IFERROR($C207*$D207*IF((Override!$C$4="ON")*(COUNTIFS(Override!$B$11:$B$40,$B207,Override!$D$11:$D$40,5,Override!$E$11:$E$40,"&gt;=0")-COUNTIFS(Override!$B$11:$B$40,$B207,Override!$D$11:$D$40,5,Override!$E$11:$E$40,"&gt;=0",Override!$C$11:$C$40,"MXAU"))&gt;0,SUMIFS(Override!$E$11:$E$40,Override!$B$11:$B$40,$B207,Override!$D$11:$D$40,5)-SUMIFS(Override!$E$11:$E$40,Override!$B$11:$B$40,$B207,Override!$D$11:$D$40,5,Override!$C$11:$C$40,"MXAU"),Override!$G$242)/AS51!$B$3,"")))</f>
        <v/>
      </c>
      <c r="K207" s="140">
        <f>IF(K$13="","",IF($B207="","",IFERROR($C207*$D207*IF((Override!$C$4="ON")*(COUNTIFS(Override!$B$11:$B$40,$B207,Override!$D$11:$D$40,6,Override!$E$11:$E$40,"&gt;=0")-COUNTIFS(Override!$B$11:$B$40,$B207,Override!$D$11:$D$40,6,Override!$E$11:$E$40,"&gt;=0",Override!$C$11:$C$40,"MXAU"))&gt;0,SUMIFS(Override!$E$11:$E$40,Override!$B$11:$B$40,$B207,Override!$D$11:$D$40,6)-SUMIFS(Override!$E$11:$E$40,Override!$B$11:$B$40,$B207,Override!$D$11:$D$40,6,Override!$C$11:$C$40,"MXAU"),Override!$H$242)/AS51!$B$3,"")))</f>
        <v/>
      </c>
      <c r="L207" s="140">
        <f>IF(L$13="","",IF($B207="","",IFERROR($C207*$D207*IF((Override!$C$4="ON")*(COUNTIFS(Override!$B$11:$B$40,$B207,Override!$D$11:$D$40,7,Override!$E$11:$E$40,"&gt;=0")-COUNTIFS(Override!$B$11:$B$40,$B207,Override!$D$11:$D$40,7,Override!$E$11:$E$40,"&gt;=0",Override!$C$11:$C$40,"MXAU"))&gt;0,SUMIFS(Override!$E$11:$E$40,Override!$B$11:$B$40,$B207,Override!$D$11:$D$40,7)-SUMIFS(Override!$E$11:$E$40,Override!$B$11:$B$40,$B207,Override!$D$11:$D$40,7,Override!$C$11:$C$40,"MXAU"),Override!$I$242)/AS51!$B$3,"")))</f>
        <v/>
      </c>
      <c r="M207" s="140">
        <f>IF(M$13="","",IF($B207="","",IFERROR($C207*$D207*IF((Override!$C$4="ON")*(COUNTIFS(Override!$B$11:$B$40,$B207,Override!$D$11:$D$40,8,Override!$E$11:$E$40,"&gt;=0")-COUNTIFS(Override!$B$11:$B$40,$B207,Override!$D$11:$D$40,8,Override!$E$11:$E$40,"&gt;=0",Override!$C$11:$C$40,"MXAU"))&gt;0,SUMIFS(Override!$E$11:$E$40,Override!$B$11:$B$40,$B207,Override!$D$11:$D$40,8)-SUMIFS(Override!$E$11:$E$40,Override!$B$11:$B$40,$B207,Override!$D$11:$D$40,8,Override!$C$11:$C$40,"MXAU"),Override!$J$242)/AS51!$B$3,"")))</f>
        <v/>
      </c>
      <c r="N207" s="140">
        <f>IF(N$13="","",IF($B207="","",IFERROR($C207*$D207*IF((Override!$C$4="ON")*(COUNTIFS(Override!$B$11:$B$40,$B207,Override!$D$11:$D$40,9,Override!$E$11:$E$40,"&gt;=0")-COUNTIFS(Override!$B$11:$B$40,$B207,Override!$D$11:$D$40,9,Override!$E$11:$E$40,"&gt;=0",Override!$C$11:$C$40,"MXAU"))&gt;0,SUMIFS(Override!$E$11:$E$40,Override!$B$11:$B$40,$B207,Override!$D$11:$D$40,9)-SUMIFS(Override!$E$11:$E$40,Override!$B$11:$B$40,$B207,Override!$D$11:$D$40,9,Override!$C$11:$C$40,"MXAU"),Override!$K$242)/AS51!$B$3,"")))</f>
        <v/>
      </c>
      <c r="O207" s="140">
        <f>IF(O$13="","",IF($B207="","",IFERROR($C207*$D207*IF((Override!$C$4="ON")*(COUNTIFS(Override!$B$11:$B$40,$B207,Override!$D$11:$D$40,10,Override!$E$11:$E$40,"&gt;=0")-COUNTIFS(Override!$B$11:$B$40,$B207,Override!$D$11:$D$40,10,Override!$E$11:$E$40,"&gt;=0",Override!$C$11:$C$40,"MXAU"))&gt;0,SUMIFS(Override!$E$11:$E$40,Override!$B$11:$B$40,$B207,Override!$D$11:$D$40,10)-SUMIFS(Override!$E$11:$E$40,Override!$B$11:$B$40,$B207,Override!$D$11:$D$40,10,Override!$C$11:$C$40,"MXAU"),Override!$L$242)/AS51!$B$3,"")))</f>
        <v/>
      </c>
      <c r="P207" s="140">
        <f>IF(P$13="","",IF($B207="","",IFERROR($C207*$D207*IF((Override!$C$4="ON")*(COUNTIFS(Override!$B$11:$B$40,$B207,Override!$D$11:$D$40,11,Override!$E$11:$E$40,"&gt;=0")-COUNTIFS(Override!$B$11:$B$40,$B207,Override!$D$11:$D$40,11,Override!$E$11:$E$40,"&gt;=0",Override!$C$11:$C$40,"MXAU"))&gt;0,SUMIFS(Override!$E$11:$E$40,Override!$B$11:$B$40,$B207,Override!$D$11:$D$40,11)-SUMIFS(Override!$E$11:$E$40,Override!$B$11:$B$40,$B207,Override!$D$11:$D$40,11,Override!$C$11:$C$40,"MXAU"),Override!$M$242)/AS51!$B$3,"")))</f>
        <v/>
      </c>
      <c r="Q207" s="140">
        <f>IF(Q$13="","",IF($B207="","",IFERROR($C207*$D207*IF((Override!$C$4="ON")*(COUNTIFS(Override!$B$11:$B$40,$B207,Override!$D$11:$D$40,12,Override!$E$11:$E$40,"&gt;=0")-COUNTIFS(Override!$B$11:$B$40,$B207,Override!$D$11:$D$40,12,Override!$E$11:$E$40,"&gt;=0",Override!$C$11:$C$40,"MXAU"))&gt;0,SUMIFS(Override!$E$11:$E$40,Override!$B$11:$B$40,$B207,Override!$D$11:$D$40,12)-SUMIFS(Override!$E$11:$E$40,Override!$B$11:$B$40,$B207,Override!$D$11:$D$40,12,Override!$C$11:$C$40,"MXAU"),Override!$N$242)/AS51!$B$3,"")))</f>
        <v/>
      </c>
      <c r="R207" s="140">
        <f>IF(R$13="","",IF($B207="","",IFERROR($C207*$D207*IF((Override!$C$4="ON")*(COUNTIFS(Override!$B$11:$B$40,$B207,Override!$D$11:$D$40,13,Override!$E$11:$E$40,"&gt;=0")-COUNTIFS(Override!$B$11:$B$40,$B207,Override!$D$11:$D$40,13,Override!$E$11:$E$40,"&gt;=0",Override!$C$11:$C$40,"MXAU"))&gt;0,SUMIFS(Override!$E$11:$E$40,Override!$B$11:$B$40,$B207,Override!$D$11:$D$40,13)-SUMIFS(Override!$E$11:$E$40,Override!$B$11:$B$40,$B207,Override!$D$11:$D$40,13,Override!$C$11:$C$40,"MXAU"),Override!$O$242)/AS51!$B$3,"")))</f>
        <v/>
      </c>
      <c r="S207" s="140">
        <f>IF(S$13="","",IF($B207="","",IFERROR($C207*$D207*IF((Override!$C$4="ON")*(COUNTIFS(Override!$B$11:$B$40,$B207,Override!$D$11:$D$40,14,Override!$E$11:$E$40,"&gt;=0")-COUNTIFS(Override!$B$11:$B$40,$B207,Override!$D$11:$D$40,14,Override!$E$11:$E$40,"&gt;=0",Override!$C$11:$C$40,"MXAU"))&gt;0,SUMIFS(Override!$E$11:$E$40,Override!$B$11:$B$40,$B207,Override!$D$11:$D$40,14)-SUMIFS(Override!$E$11:$E$40,Override!$B$11:$B$40,$B207,Override!$D$11:$D$40,14,Override!$C$11:$C$40,"MXAU"),Override!$P$242)/AS51!$B$3,"")))</f>
        <v/>
      </c>
      <c r="T207" s="140">
        <f>IF(T$13="","",IF($B207="","",IFERROR($C207*$D207*IF((Override!$C$4="ON")*(COUNTIFS(Override!$B$11:$B$40,$B207,Override!$D$11:$D$40,15,Override!$E$11:$E$40,"&gt;=0")-COUNTIFS(Override!$B$11:$B$40,$B207,Override!$D$11:$D$40,15,Override!$E$11:$E$40,"&gt;=0",Override!$C$11:$C$40,"MXAU"))&gt;0,SUMIFS(Override!$E$11:$E$40,Override!$B$11:$B$40,$B207,Override!$D$11:$D$40,15)-SUMIFS(Override!$E$11:$E$40,Override!$B$11:$B$40,$B207,Override!$D$11:$D$40,15,Override!$C$11:$C$40,"MXAU"),Override!$Q$242)/AS51!$B$3,"")))</f>
        <v/>
      </c>
      <c r="U207" s="140">
        <f>IF(U$13="","",IF($B207="","",IFERROR($C207*$D207*IF((Override!$C$4="ON")*(COUNTIFS(Override!$B$11:$B$40,$B207,Override!$D$11:$D$40,16,Override!$E$11:$E$40,"&gt;=0")-COUNTIFS(Override!$B$11:$B$40,$B207,Override!$D$11:$D$40,16,Override!$E$11:$E$40,"&gt;=0",Override!$C$11:$C$40,"MXAU"))&gt;0,SUMIFS(Override!$E$11:$E$40,Override!$B$11:$B$40,$B207,Override!$D$11:$D$40,16)-SUMIFS(Override!$E$11:$E$40,Override!$B$11:$B$40,$B207,Override!$D$11:$D$40,16,Override!$C$11:$C$40,"MXAU"),Override!$R$242)/AS51!$B$3,"")))</f>
        <v/>
      </c>
      <c r="W207" s="140">
        <f>IF(W$13="","",IF($B207="","",IFERROR(F207*$E207/100,"")))</f>
        <v/>
      </c>
      <c r="X207" s="140">
        <f>IF(X$13="","",IF($B207="","",IFERROR(G207*$E207/100,"")))</f>
        <v/>
      </c>
      <c r="Y207" s="140">
        <f>IF(Y$13="","",IF($B207="","",IFERROR(H207*$E207/100,"")))</f>
        <v/>
      </c>
      <c r="Z207" s="140">
        <f>IF(Z$13="","",IF($B207="","",IFERROR(I207*$E207/100,"")))</f>
        <v/>
      </c>
      <c r="AA207" s="140">
        <f>IF(AA$13="","",IF($B207="","",IFERROR(J207*$E207/100,"")))</f>
        <v/>
      </c>
      <c r="AB207" s="140">
        <f>IF(AB$13="","",IF($B207="","",IFERROR(K207*$E207/100,"")))</f>
        <v/>
      </c>
      <c r="AC207" s="140">
        <f>IF(AC$13="","",IF($B207="","",IFERROR(L207*$E207/100,"")))</f>
        <v/>
      </c>
      <c r="AD207" s="140">
        <f>IF(AD$13="","",IF($B207="","",IFERROR(M207*$E207/100,"")))</f>
        <v/>
      </c>
      <c r="AE207" s="140">
        <f>IF(AE$13="","",IF($B207="","",IFERROR(N207*$E207/100,"")))</f>
        <v/>
      </c>
      <c r="AF207" s="140">
        <f>IF(AF$13="","",IF($B207="","",IFERROR(O207*$E207/100,"")))</f>
        <v/>
      </c>
      <c r="AG207" s="140">
        <f>IF(AG$13="","",IF($B207="","",IFERROR(P207*$E207/100,"")))</f>
        <v/>
      </c>
      <c r="AH207" s="140">
        <f>IF(AH$13="","",IF($B207="","",IFERROR(Q207*$E207/100,"")))</f>
        <v/>
      </c>
      <c r="AI207" s="140">
        <f>IF(AI$13="","",IF($B207="","",IFERROR(R207*$E207/100,"")))</f>
        <v/>
      </c>
      <c r="AJ207" s="140">
        <f>IF(AJ$13="","",IF($B207="","",IFERROR(S207*$E207/100,"")))</f>
        <v/>
      </c>
      <c r="AK207" s="140">
        <f>IF(AK$13="","",IF($B207="","",IFERROR(T207*$E207/100,"")))</f>
        <v/>
      </c>
      <c r="AL207" s="140">
        <f>IF(AL$13="","",IF($B207="","",IFERROR(U207*$E207/100,"")))</f>
        <v/>
      </c>
      <c r="AN207" s="140">
        <f>IF($B207="","",SUMIF($F$13:$U$13,"&lt;="&amp;Sector!$D$51,$F207:$U207))</f>
        <v/>
      </c>
      <c r="AO207" s="140">
        <f>IF($B207="","",SUMIF($W$13:$AL$13,"&lt;="&amp;Sector!$D$51,$W207:$AL207))</f>
        <v/>
      </c>
    </row>
    <row r="208">
      <c r="B208" s="5">
        <f>IF(AS51!$C$198="","",AS51!$C$198)</f>
        <v/>
      </c>
      <c r="C208" s="90">
        <f>IF(AS51!$B$198="","",AS51!$B$198)</f>
        <v/>
      </c>
      <c r="D208" s="138">
        <f>IFERROR(AS51!$Q$198,1)</f>
        <v/>
      </c>
      <c r="E208" s="139">
        <f>IF($B208="","",IF(ISNUMBER(AS51!$I$198),AS51!$I$198,'Index Summary'!$C$7))</f>
        <v/>
      </c>
      <c r="F208" s="140">
        <f>IF(F$13="","",IF($B208="","",IFERROR($C208*$D208*IF((Override!$C$4="ON")*(COUNTIFS(Override!$B$11:$B$40,$B208,Override!$D$11:$D$40,1,Override!$E$11:$E$40,"&gt;=0")-COUNTIFS(Override!$B$11:$B$40,$B208,Override!$D$11:$D$40,1,Override!$E$11:$E$40,"&gt;=0",Override!$C$11:$C$40,"MXAU"))&gt;0,SUMIFS(Override!$E$11:$E$40,Override!$B$11:$B$40,$B208,Override!$D$11:$D$40,1)-SUMIFS(Override!$E$11:$E$40,Override!$B$11:$B$40,$B208,Override!$D$11:$D$40,1,Override!$C$11:$C$40,"MXAU"),Override!$C$243)/AS51!$B$3,"")))</f>
        <v/>
      </c>
      <c r="G208" s="140">
        <f>IF(G$13="","",IF($B208="","",IFERROR($C208*$D208*IF((Override!$C$4="ON")*(COUNTIFS(Override!$B$11:$B$40,$B208,Override!$D$11:$D$40,2,Override!$E$11:$E$40,"&gt;=0")-COUNTIFS(Override!$B$11:$B$40,$B208,Override!$D$11:$D$40,2,Override!$E$11:$E$40,"&gt;=0",Override!$C$11:$C$40,"MXAU"))&gt;0,SUMIFS(Override!$E$11:$E$40,Override!$B$11:$B$40,$B208,Override!$D$11:$D$40,2)-SUMIFS(Override!$E$11:$E$40,Override!$B$11:$B$40,$B208,Override!$D$11:$D$40,2,Override!$C$11:$C$40,"MXAU"),Override!$D$243)/AS51!$B$3,"")))</f>
        <v/>
      </c>
      <c r="H208" s="140">
        <f>IF(H$13="","",IF($B208="","",IFERROR($C208*$D208*IF((Override!$C$4="ON")*(COUNTIFS(Override!$B$11:$B$40,$B208,Override!$D$11:$D$40,3,Override!$E$11:$E$40,"&gt;=0")-COUNTIFS(Override!$B$11:$B$40,$B208,Override!$D$11:$D$40,3,Override!$E$11:$E$40,"&gt;=0",Override!$C$11:$C$40,"MXAU"))&gt;0,SUMIFS(Override!$E$11:$E$40,Override!$B$11:$B$40,$B208,Override!$D$11:$D$40,3)-SUMIFS(Override!$E$11:$E$40,Override!$B$11:$B$40,$B208,Override!$D$11:$D$40,3,Override!$C$11:$C$40,"MXAU"),Override!$E$243)/AS51!$B$3,"")))</f>
        <v/>
      </c>
      <c r="I208" s="140">
        <f>IF(I$13="","",IF($B208="","",IFERROR($C208*$D208*IF((Override!$C$4="ON")*(COUNTIFS(Override!$B$11:$B$40,$B208,Override!$D$11:$D$40,4,Override!$E$11:$E$40,"&gt;=0")-COUNTIFS(Override!$B$11:$B$40,$B208,Override!$D$11:$D$40,4,Override!$E$11:$E$40,"&gt;=0",Override!$C$11:$C$40,"MXAU"))&gt;0,SUMIFS(Override!$E$11:$E$40,Override!$B$11:$B$40,$B208,Override!$D$11:$D$40,4)-SUMIFS(Override!$E$11:$E$40,Override!$B$11:$B$40,$B208,Override!$D$11:$D$40,4,Override!$C$11:$C$40,"MXAU"),Override!$F$243)/AS51!$B$3,"")))</f>
        <v/>
      </c>
      <c r="J208" s="140">
        <f>IF(J$13="","",IF($B208="","",IFERROR($C208*$D208*IF((Override!$C$4="ON")*(COUNTIFS(Override!$B$11:$B$40,$B208,Override!$D$11:$D$40,5,Override!$E$11:$E$40,"&gt;=0")-COUNTIFS(Override!$B$11:$B$40,$B208,Override!$D$11:$D$40,5,Override!$E$11:$E$40,"&gt;=0",Override!$C$11:$C$40,"MXAU"))&gt;0,SUMIFS(Override!$E$11:$E$40,Override!$B$11:$B$40,$B208,Override!$D$11:$D$40,5)-SUMIFS(Override!$E$11:$E$40,Override!$B$11:$B$40,$B208,Override!$D$11:$D$40,5,Override!$C$11:$C$40,"MXAU"),Override!$G$243)/AS51!$B$3,"")))</f>
        <v/>
      </c>
      <c r="K208" s="140">
        <f>IF(K$13="","",IF($B208="","",IFERROR($C208*$D208*IF((Override!$C$4="ON")*(COUNTIFS(Override!$B$11:$B$40,$B208,Override!$D$11:$D$40,6,Override!$E$11:$E$40,"&gt;=0")-COUNTIFS(Override!$B$11:$B$40,$B208,Override!$D$11:$D$40,6,Override!$E$11:$E$40,"&gt;=0",Override!$C$11:$C$40,"MXAU"))&gt;0,SUMIFS(Override!$E$11:$E$40,Override!$B$11:$B$40,$B208,Override!$D$11:$D$40,6)-SUMIFS(Override!$E$11:$E$40,Override!$B$11:$B$40,$B208,Override!$D$11:$D$40,6,Override!$C$11:$C$40,"MXAU"),Override!$H$243)/AS51!$B$3,"")))</f>
        <v/>
      </c>
      <c r="L208" s="140">
        <f>IF(L$13="","",IF($B208="","",IFERROR($C208*$D208*IF((Override!$C$4="ON")*(COUNTIFS(Override!$B$11:$B$40,$B208,Override!$D$11:$D$40,7,Override!$E$11:$E$40,"&gt;=0")-COUNTIFS(Override!$B$11:$B$40,$B208,Override!$D$11:$D$40,7,Override!$E$11:$E$40,"&gt;=0",Override!$C$11:$C$40,"MXAU"))&gt;0,SUMIFS(Override!$E$11:$E$40,Override!$B$11:$B$40,$B208,Override!$D$11:$D$40,7)-SUMIFS(Override!$E$11:$E$40,Override!$B$11:$B$40,$B208,Override!$D$11:$D$40,7,Override!$C$11:$C$40,"MXAU"),Override!$I$243)/AS51!$B$3,"")))</f>
        <v/>
      </c>
      <c r="M208" s="140">
        <f>IF(M$13="","",IF($B208="","",IFERROR($C208*$D208*IF((Override!$C$4="ON")*(COUNTIFS(Override!$B$11:$B$40,$B208,Override!$D$11:$D$40,8,Override!$E$11:$E$40,"&gt;=0")-COUNTIFS(Override!$B$11:$B$40,$B208,Override!$D$11:$D$40,8,Override!$E$11:$E$40,"&gt;=0",Override!$C$11:$C$40,"MXAU"))&gt;0,SUMIFS(Override!$E$11:$E$40,Override!$B$11:$B$40,$B208,Override!$D$11:$D$40,8)-SUMIFS(Override!$E$11:$E$40,Override!$B$11:$B$40,$B208,Override!$D$11:$D$40,8,Override!$C$11:$C$40,"MXAU"),Override!$J$243)/AS51!$B$3,"")))</f>
        <v/>
      </c>
      <c r="N208" s="140">
        <f>IF(N$13="","",IF($B208="","",IFERROR($C208*$D208*IF((Override!$C$4="ON")*(COUNTIFS(Override!$B$11:$B$40,$B208,Override!$D$11:$D$40,9,Override!$E$11:$E$40,"&gt;=0")-COUNTIFS(Override!$B$11:$B$40,$B208,Override!$D$11:$D$40,9,Override!$E$11:$E$40,"&gt;=0",Override!$C$11:$C$40,"MXAU"))&gt;0,SUMIFS(Override!$E$11:$E$40,Override!$B$11:$B$40,$B208,Override!$D$11:$D$40,9)-SUMIFS(Override!$E$11:$E$40,Override!$B$11:$B$40,$B208,Override!$D$11:$D$40,9,Override!$C$11:$C$40,"MXAU"),Override!$K$243)/AS51!$B$3,"")))</f>
        <v/>
      </c>
      <c r="O208" s="140">
        <f>IF(O$13="","",IF($B208="","",IFERROR($C208*$D208*IF((Override!$C$4="ON")*(COUNTIFS(Override!$B$11:$B$40,$B208,Override!$D$11:$D$40,10,Override!$E$11:$E$40,"&gt;=0")-COUNTIFS(Override!$B$11:$B$40,$B208,Override!$D$11:$D$40,10,Override!$E$11:$E$40,"&gt;=0",Override!$C$11:$C$40,"MXAU"))&gt;0,SUMIFS(Override!$E$11:$E$40,Override!$B$11:$B$40,$B208,Override!$D$11:$D$40,10)-SUMIFS(Override!$E$11:$E$40,Override!$B$11:$B$40,$B208,Override!$D$11:$D$40,10,Override!$C$11:$C$40,"MXAU"),Override!$L$243)/AS51!$B$3,"")))</f>
        <v/>
      </c>
      <c r="P208" s="140">
        <f>IF(P$13="","",IF($B208="","",IFERROR($C208*$D208*IF((Override!$C$4="ON")*(COUNTIFS(Override!$B$11:$B$40,$B208,Override!$D$11:$D$40,11,Override!$E$11:$E$40,"&gt;=0")-COUNTIFS(Override!$B$11:$B$40,$B208,Override!$D$11:$D$40,11,Override!$E$11:$E$40,"&gt;=0",Override!$C$11:$C$40,"MXAU"))&gt;0,SUMIFS(Override!$E$11:$E$40,Override!$B$11:$B$40,$B208,Override!$D$11:$D$40,11)-SUMIFS(Override!$E$11:$E$40,Override!$B$11:$B$40,$B208,Override!$D$11:$D$40,11,Override!$C$11:$C$40,"MXAU"),Override!$M$243)/AS51!$B$3,"")))</f>
        <v/>
      </c>
      <c r="Q208" s="140">
        <f>IF(Q$13="","",IF($B208="","",IFERROR($C208*$D208*IF((Override!$C$4="ON")*(COUNTIFS(Override!$B$11:$B$40,$B208,Override!$D$11:$D$40,12,Override!$E$11:$E$40,"&gt;=0")-COUNTIFS(Override!$B$11:$B$40,$B208,Override!$D$11:$D$40,12,Override!$E$11:$E$40,"&gt;=0",Override!$C$11:$C$40,"MXAU"))&gt;0,SUMIFS(Override!$E$11:$E$40,Override!$B$11:$B$40,$B208,Override!$D$11:$D$40,12)-SUMIFS(Override!$E$11:$E$40,Override!$B$11:$B$40,$B208,Override!$D$11:$D$40,12,Override!$C$11:$C$40,"MXAU"),Override!$N$243)/AS51!$B$3,"")))</f>
        <v/>
      </c>
      <c r="R208" s="140">
        <f>IF(R$13="","",IF($B208="","",IFERROR($C208*$D208*IF((Override!$C$4="ON")*(COUNTIFS(Override!$B$11:$B$40,$B208,Override!$D$11:$D$40,13,Override!$E$11:$E$40,"&gt;=0")-COUNTIFS(Override!$B$11:$B$40,$B208,Override!$D$11:$D$40,13,Override!$E$11:$E$40,"&gt;=0",Override!$C$11:$C$40,"MXAU"))&gt;0,SUMIFS(Override!$E$11:$E$40,Override!$B$11:$B$40,$B208,Override!$D$11:$D$40,13)-SUMIFS(Override!$E$11:$E$40,Override!$B$11:$B$40,$B208,Override!$D$11:$D$40,13,Override!$C$11:$C$40,"MXAU"),Override!$O$243)/AS51!$B$3,"")))</f>
        <v/>
      </c>
      <c r="S208" s="140">
        <f>IF(S$13="","",IF($B208="","",IFERROR($C208*$D208*IF((Override!$C$4="ON")*(COUNTIFS(Override!$B$11:$B$40,$B208,Override!$D$11:$D$40,14,Override!$E$11:$E$40,"&gt;=0")-COUNTIFS(Override!$B$11:$B$40,$B208,Override!$D$11:$D$40,14,Override!$E$11:$E$40,"&gt;=0",Override!$C$11:$C$40,"MXAU"))&gt;0,SUMIFS(Override!$E$11:$E$40,Override!$B$11:$B$40,$B208,Override!$D$11:$D$40,14)-SUMIFS(Override!$E$11:$E$40,Override!$B$11:$B$40,$B208,Override!$D$11:$D$40,14,Override!$C$11:$C$40,"MXAU"),Override!$P$243)/AS51!$B$3,"")))</f>
        <v/>
      </c>
      <c r="T208" s="140">
        <f>IF(T$13="","",IF($B208="","",IFERROR($C208*$D208*IF((Override!$C$4="ON")*(COUNTIFS(Override!$B$11:$B$40,$B208,Override!$D$11:$D$40,15,Override!$E$11:$E$40,"&gt;=0")-COUNTIFS(Override!$B$11:$B$40,$B208,Override!$D$11:$D$40,15,Override!$E$11:$E$40,"&gt;=0",Override!$C$11:$C$40,"MXAU"))&gt;0,SUMIFS(Override!$E$11:$E$40,Override!$B$11:$B$40,$B208,Override!$D$11:$D$40,15)-SUMIFS(Override!$E$11:$E$40,Override!$B$11:$B$40,$B208,Override!$D$11:$D$40,15,Override!$C$11:$C$40,"MXAU"),Override!$Q$243)/AS51!$B$3,"")))</f>
        <v/>
      </c>
      <c r="U208" s="140">
        <f>IF(U$13="","",IF($B208="","",IFERROR($C208*$D208*IF((Override!$C$4="ON")*(COUNTIFS(Override!$B$11:$B$40,$B208,Override!$D$11:$D$40,16,Override!$E$11:$E$40,"&gt;=0")-COUNTIFS(Override!$B$11:$B$40,$B208,Override!$D$11:$D$40,16,Override!$E$11:$E$40,"&gt;=0",Override!$C$11:$C$40,"MXAU"))&gt;0,SUMIFS(Override!$E$11:$E$40,Override!$B$11:$B$40,$B208,Override!$D$11:$D$40,16)-SUMIFS(Override!$E$11:$E$40,Override!$B$11:$B$40,$B208,Override!$D$11:$D$40,16,Override!$C$11:$C$40,"MXAU"),Override!$R$243)/AS51!$B$3,"")))</f>
        <v/>
      </c>
      <c r="W208" s="140">
        <f>IF(W$13="","",IF($B208="","",IFERROR(F208*$E208/100,"")))</f>
        <v/>
      </c>
      <c r="X208" s="140">
        <f>IF(X$13="","",IF($B208="","",IFERROR(G208*$E208/100,"")))</f>
        <v/>
      </c>
      <c r="Y208" s="140">
        <f>IF(Y$13="","",IF($B208="","",IFERROR(H208*$E208/100,"")))</f>
        <v/>
      </c>
      <c r="Z208" s="140">
        <f>IF(Z$13="","",IF($B208="","",IFERROR(I208*$E208/100,"")))</f>
        <v/>
      </c>
      <c r="AA208" s="140">
        <f>IF(AA$13="","",IF($B208="","",IFERROR(J208*$E208/100,"")))</f>
        <v/>
      </c>
      <c r="AB208" s="140">
        <f>IF(AB$13="","",IF($B208="","",IFERROR(K208*$E208/100,"")))</f>
        <v/>
      </c>
      <c r="AC208" s="140">
        <f>IF(AC$13="","",IF($B208="","",IFERROR(L208*$E208/100,"")))</f>
        <v/>
      </c>
      <c r="AD208" s="140">
        <f>IF(AD$13="","",IF($B208="","",IFERROR(M208*$E208/100,"")))</f>
        <v/>
      </c>
      <c r="AE208" s="140">
        <f>IF(AE$13="","",IF($B208="","",IFERROR(N208*$E208/100,"")))</f>
        <v/>
      </c>
      <c r="AF208" s="140">
        <f>IF(AF$13="","",IF($B208="","",IFERROR(O208*$E208/100,"")))</f>
        <v/>
      </c>
      <c r="AG208" s="140">
        <f>IF(AG$13="","",IF($B208="","",IFERROR(P208*$E208/100,"")))</f>
        <v/>
      </c>
      <c r="AH208" s="140">
        <f>IF(AH$13="","",IF($B208="","",IFERROR(Q208*$E208/100,"")))</f>
        <v/>
      </c>
      <c r="AI208" s="140">
        <f>IF(AI$13="","",IF($B208="","",IFERROR(R208*$E208/100,"")))</f>
        <v/>
      </c>
      <c r="AJ208" s="140">
        <f>IF(AJ$13="","",IF($B208="","",IFERROR(S208*$E208/100,"")))</f>
        <v/>
      </c>
      <c r="AK208" s="140">
        <f>IF(AK$13="","",IF($B208="","",IFERROR(T208*$E208/100,"")))</f>
        <v/>
      </c>
      <c r="AL208" s="140">
        <f>IF(AL$13="","",IF($B208="","",IFERROR(U208*$E208/100,"")))</f>
        <v/>
      </c>
      <c r="AN208" s="140">
        <f>IF($B208="","",SUMIF($F$13:$U$13,"&lt;="&amp;Sector!$D$51,$F208:$U208))</f>
        <v/>
      </c>
      <c r="AO208" s="140">
        <f>IF($B208="","",SUMIF($W$13:$AL$13,"&lt;="&amp;Sector!$D$51,$W208:$AL208))</f>
        <v/>
      </c>
    </row>
    <row r="209">
      <c r="B209" s="5">
        <f>IF(AS51!$C$199="","",AS51!$C$199)</f>
        <v/>
      </c>
      <c r="C209" s="90">
        <f>IF(AS51!$B$199="","",AS51!$B$199)</f>
        <v/>
      </c>
      <c r="D209" s="138">
        <f>IFERROR(AS51!$Q$199,1)</f>
        <v/>
      </c>
      <c r="E209" s="139">
        <f>IF($B209="","",IF(ISNUMBER(AS51!$I$199),AS51!$I$199,'Index Summary'!$C$7))</f>
        <v/>
      </c>
      <c r="F209" s="140">
        <f>IF(F$13="","",IF($B209="","",IFERROR($C209*$D209*IF((Override!$C$4="ON")*(COUNTIFS(Override!$B$11:$B$40,$B209,Override!$D$11:$D$40,1,Override!$E$11:$E$40,"&gt;=0")-COUNTIFS(Override!$B$11:$B$40,$B209,Override!$D$11:$D$40,1,Override!$E$11:$E$40,"&gt;=0",Override!$C$11:$C$40,"MXAU"))&gt;0,SUMIFS(Override!$E$11:$E$40,Override!$B$11:$B$40,$B209,Override!$D$11:$D$40,1)-SUMIFS(Override!$E$11:$E$40,Override!$B$11:$B$40,$B209,Override!$D$11:$D$40,1,Override!$C$11:$C$40,"MXAU"),Override!$C$244)/AS51!$B$3,"")))</f>
        <v/>
      </c>
      <c r="G209" s="140">
        <f>IF(G$13="","",IF($B209="","",IFERROR($C209*$D209*IF((Override!$C$4="ON")*(COUNTIFS(Override!$B$11:$B$40,$B209,Override!$D$11:$D$40,2,Override!$E$11:$E$40,"&gt;=0")-COUNTIFS(Override!$B$11:$B$40,$B209,Override!$D$11:$D$40,2,Override!$E$11:$E$40,"&gt;=0",Override!$C$11:$C$40,"MXAU"))&gt;0,SUMIFS(Override!$E$11:$E$40,Override!$B$11:$B$40,$B209,Override!$D$11:$D$40,2)-SUMIFS(Override!$E$11:$E$40,Override!$B$11:$B$40,$B209,Override!$D$11:$D$40,2,Override!$C$11:$C$40,"MXAU"),Override!$D$244)/AS51!$B$3,"")))</f>
        <v/>
      </c>
      <c r="H209" s="140">
        <f>IF(H$13="","",IF($B209="","",IFERROR($C209*$D209*IF((Override!$C$4="ON")*(COUNTIFS(Override!$B$11:$B$40,$B209,Override!$D$11:$D$40,3,Override!$E$11:$E$40,"&gt;=0")-COUNTIFS(Override!$B$11:$B$40,$B209,Override!$D$11:$D$40,3,Override!$E$11:$E$40,"&gt;=0",Override!$C$11:$C$40,"MXAU"))&gt;0,SUMIFS(Override!$E$11:$E$40,Override!$B$11:$B$40,$B209,Override!$D$11:$D$40,3)-SUMIFS(Override!$E$11:$E$40,Override!$B$11:$B$40,$B209,Override!$D$11:$D$40,3,Override!$C$11:$C$40,"MXAU"),Override!$E$244)/AS51!$B$3,"")))</f>
        <v/>
      </c>
      <c r="I209" s="140">
        <f>IF(I$13="","",IF($B209="","",IFERROR($C209*$D209*IF((Override!$C$4="ON")*(COUNTIFS(Override!$B$11:$B$40,$B209,Override!$D$11:$D$40,4,Override!$E$11:$E$40,"&gt;=0")-COUNTIFS(Override!$B$11:$B$40,$B209,Override!$D$11:$D$40,4,Override!$E$11:$E$40,"&gt;=0",Override!$C$11:$C$40,"MXAU"))&gt;0,SUMIFS(Override!$E$11:$E$40,Override!$B$11:$B$40,$B209,Override!$D$11:$D$40,4)-SUMIFS(Override!$E$11:$E$40,Override!$B$11:$B$40,$B209,Override!$D$11:$D$40,4,Override!$C$11:$C$40,"MXAU"),Override!$F$244)/AS51!$B$3,"")))</f>
        <v/>
      </c>
      <c r="J209" s="140">
        <f>IF(J$13="","",IF($B209="","",IFERROR($C209*$D209*IF((Override!$C$4="ON")*(COUNTIFS(Override!$B$11:$B$40,$B209,Override!$D$11:$D$40,5,Override!$E$11:$E$40,"&gt;=0")-COUNTIFS(Override!$B$11:$B$40,$B209,Override!$D$11:$D$40,5,Override!$E$11:$E$40,"&gt;=0",Override!$C$11:$C$40,"MXAU"))&gt;0,SUMIFS(Override!$E$11:$E$40,Override!$B$11:$B$40,$B209,Override!$D$11:$D$40,5)-SUMIFS(Override!$E$11:$E$40,Override!$B$11:$B$40,$B209,Override!$D$11:$D$40,5,Override!$C$11:$C$40,"MXAU"),Override!$G$244)/AS51!$B$3,"")))</f>
        <v/>
      </c>
      <c r="K209" s="140">
        <f>IF(K$13="","",IF($B209="","",IFERROR($C209*$D209*IF((Override!$C$4="ON")*(COUNTIFS(Override!$B$11:$B$40,$B209,Override!$D$11:$D$40,6,Override!$E$11:$E$40,"&gt;=0")-COUNTIFS(Override!$B$11:$B$40,$B209,Override!$D$11:$D$40,6,Override!$E$11:$E$40,"&gt;=0",Override!$C$11:$C$40,"MXAU"))&gt;0,SUMIFS(Override!$E$11:$E$40,Override!$B$11:$B$40,$B209,Override!$D$11:$D$40,6)-SUMIFS(Override!$E$11:$E$40,Override!$B$11:$B$40,$B209,Override!$D$11:$D$40,6,Override!$C$11:$C$40,"MXAU"),Override!$H$244)/AS51!$B$3,"")))</f>
        <v/>
      </c>
      <c r="L209" s="140">
        <f>IF(L$13="","",IF($B209="","",IFERROR($C209*$D209*IF((Override!$C$4="ON")*(COUNTIFS(Override!$B$11:$B$40,$B209,Override!$D$11:$D$40,7,Override!$E$11:$E$40,"&gt;=0")-COUNTIFS(Override!$B$11:$B$40,$B209,Override!$D$11:$D$40,7,Override!$E$11:$E$40,"&gt;=0",Override!$C$11:$C$40,"MXAU"))&gt;0,SUMIFS(Override!$E$11:$E$40,Override!$B$11:$B$40,$B209,Override!$D$11:$D$40,7)-SUMIFS(Override!$E$11:$E$40,Override!$B$11:$B$40,$B209,Override!$D$11:$D$40,7,Override!$C$11:$C$40,"MXAU"),Override!$I$244)/AS51!$B$3,"")))</f>
        <v/>
      </c>
      <c r="M209" s="140">
        <f>IF(M$13="","",IF($B209="","",IFERROR($C209*$D209*IF((Override!$C$4="ON")*(COUNTIFS(Override!$B$11:$B$40,$B209,Override!$D$11:$D$40,8,Override!$E$11:$E$40,"&gt;=0")-COUNTIFS(Override!$B$11:$B$40,$B209,Override!$D$11:$D$40,8,Override!$E$11:$E$40,"&gt;=0",Override!$C$11:$C$40,"MXAU"))&gt;0,SUMIFS(Override!$E$11:$E$40,Override!$B$11:$B$40,$B209,Override!$D$11:$D$40,8)-SUMIFS(Override!$E$11:$E$40,Override!$B$11:$B$40,$B209,Override!$D$11:$D$40,8,Override!$C$11:$C$40,"MXAU"),Override!$J$244)/AS51!$B$3,"")))</f>
        <v/>
      </c>
      <c r="N209" s="140">
        <f>IF(N$13="","",IF($B209="","",IFERROR($C209*$D209*IF((Override!$C$4="ON")*(COUNTIFS(Override!$B$11:$B$40,$B209,Override!$D$11:$D$40,9,Override!$E$11:$E$40,"&gt;=0")-COUNTIFS(Override!$B$11:$B$40,$B209,Override!$D$11:$D$40,9,Override!$E$11:$E$40,"&gt;=0",Override!$C$11:$C$40,"MXAU"))&gt;0,SUMIFS(Override!$E$11:$E$40,Override!$B$11:$B$40,$B209,Override!$D$11:$D$40,9)-SUMIFS(Override!$E$11:$E$40,Override!$B$11:$B$40,$B209,Override!$D$11:$D$40,9,Override!$C$11:$C$40,"MXAU"),Override!$K$244)/AS51!$B$3,"")))</f>
        <v/>
      </c>
      <c r="O209" s="140">
        <f>IF(O$13="","",IF($B209="","",IFERROR($C209*$D209*IF((Override!$C$4="ON")*(COUNTIFS(Override!$B$11:$B$40,$B209,Override!$D$11:$D$40,10,Override!$E$11:$E$40,"&gt;=0")-COUNTIFS(Override!$B$11:$B$40,$B209,Override!$D$11:$D$40,10,Override!$E$11:$E$40,"&gt;=0",Override!$C$11:$C$40,"MXAU"))&gt;0,SUMIFS(Override!$E$11:$E$40,Override!$B$11:$B$40,$B209,Override!$D$11:$D$40,10)-SUMIFS(Override!$E$11:$E$40,Override!$B$11:$B$40,$B209,Override!$D$11:$D$40,10,Override!$C$11:$C$40,"MXAU"),Override!$L$244)/AS51!$B$3,"")))</f>
        <v/>
      </c>
      <c r="P209" s="140">
        <f>IF(P$13="","",IF($B209="","",IFERROR($C209*$D209*IF((Override!$C$4="ON")*(COUNTIFS(Override!$B$11:$B$40,$B209,Override!$D$11:$D$40,11,Override!$E$11:$E$40,"&gt;=0")-COUNTIFS(Override!$B$11:$B$40,$B209,Override!$D$11:$D$40,11,Override!$E$11:$E$40,"&gt;=0",Override!$C$11:$C$40,"MXAU"))&gt;0,SUMIFS(Override!$E$11:$E$40,Override!$B$11:$B$40,$B209,Override!$D$11:$D$40,11)-SUMIFS(Override!$E$11:$E$40,Override!$B$11:$B$40,$B209,Override!$D$11:$D$40,11,Override!$C$11:$C$40,"MXAU"),Override!$M$244)/AS51!$B$3,"")))</f>
        <v/>
      </c>
      <c r="Q209" s="140">
        <f>IF(Q$13="","",IF($B209="","",IFERROR($C209*$D209*IF((Override!$C$4="ON")*(COUNTIFS(Override!$B$11:$B$40,$B209,Override!$D$11:$D$40,12,Override!$E$11:$E$40,"&gt;=0")-COUNTIFS(Override!$B$11:$B$40,$B209,Override!$D$11:$D$40,12,Override!$E$11:$E$40,"&gt;=0",Override!$C$11:$C$40,"MXAU"))&gt;0,SUMIFS(Override!$E$11:$E$40,Override!$B$11:$B$40,$B209,Override!$D$11:$D$40,12)-SUMIFS(Override!$E$11:$E$40,Override!$B$11:$B$40,$B209,Override!$D$11:$D$40,12,Override!$C$11:$C$40,"MXAU"),Override!$N$244)/AS51!$B$3,"")))</f>
        <v/>
      </c>
      <c r="R209" s="140">
        <f>IF(R$13="","",IF($B209="","",IFERROR($C209*$D209*IF((Override!$C$4="ON")*(COUNTIFS(Override!$B$11:$B$40,$B209,Override!$D$11:$D$40,13,Override!$E$11:$E$40,"&gt;=0")-COUNTIFS(Override!$B$11:$B$40,$B209,Override!$D$11:$D$40,13,Override!$E$11:$E$40,"&gt;=0",Override!$C$11:$C$40,"MXAU"))&gt;0,SUMIFS(Override!$E$11:$E$40,Override!$B$11:$B$40,$B209,Override!$D$11:$D$40,13)-SUMIFS(Override!$E$11:$E$40,Override!$B$11:$B$40,$B209,Override!$D$11:$D$40,13,Override!$C$11:$C$40,"MXAU"),Override!$O$244)/AS51!$B$3,"")))</f>
        <v/>
      </c>
      <c r="S209" s="140">
        <f>IF(S$13="","",IF($B209="","",IFERROR($C209*$D209*IF((Override!$C$4="ON")*(COUNTIFS(Override!$B$11:$B$40,$B209,Override!$D$11:$D$40,14,Override!$E$11:$E$40,"&gt;=0")-COUNTIFS(Override!$B$11:$B$40,$B209,Override!$D$11:$D$40,14,Override!$E$11:$E$40,"&gt;=0",Override!$C$11:$C$40,"MXAU"))&gt;0,SUMIFS(Override!$E$11:$E$40,Override!$B$11:$B$40,$B209,Override!$D$11:$D$40,14)-SUMIFS(Override!$E$11:$E$40,Override!$B$11:$B$40,$B209,Override!$D$11:$D$40,14,Override!$C$11:$C$40,"MXAU"),Override!$P$244)/AS51!$B$3,"")))</f>
        <v/>
      </c>
      <c r="T209" s="140">
        <f>IF(T$13="","",IF($B209="","",IFERROR($C209*$D209*IF((Override!$C$4="ON")*(COUNTIFS(Override!$B$11:$B$40,$B209,Override!$D$11:$D$40,15,Override!$E$11:$E$40,"&gt;=0")-COUNTIFS(Override!$B$11:$B$40,$B209,Override!$D$11:$D$40,15,Override!$E$11:$E$40,"&gt;=0",Override!$C$11:$C$40,"MXAU"))&gt;0,SUMIFS(Override!$E$11:$E$40,Override!$B$11:$B$40,$B209,Override!$D$11:$D$40,15)-SUMIFS(Override!$E$11:$E$40,Override!$B$11:$B$40,$B209,Override!$D$11:$D$40,15,Override!$C$11:$C$40,"MXAU"),Override!$Q$244)/AS51!$B$3,"")))</f>
        <v/>
      </c>
      <c r="U209" s="140">
        <f>IF(U$13="","",IF($B209="","",IFERROR($C209*$D209*IF((Override!$C$4="ON")*(COUNTIFS(Override!$B$11:$B$40,$B209,Override!$D$11:$D$40,16,Override!$E$11:$E$40,"&gt;=0")-COUNTIFS(Override!$B$11:$B$40,$B209,Override!$D$11:$D$40,16,Override!$E$11:$E$40,"&gt;=0",Override!$C$11:$C$40,"MXAU"))&gt;0,SUMIFS(Override!$E$11:$E$40,Override!$B$11:$B$40,$B209,Override!$D$11:$D$40,16)-SUMIFS(Override!$E$11:$E$40,Override!$B$11:$B$40,$B209,Override!$D$11:$D$40,16,Override!$C$11:$C$40,"MXAU"),Override!$R$244)/AS51!$B$3,"")))</f>
        <v/>
      </c>
      <c r="W209" s="140">
        <f>IF(W$13="","",IF($B209="","",IFERROR(F209*$E209/100,"")))</f>
        <v/>
      </c>
      <c r="X209" s="140">
        <f>IF(X$13="","",IF($B209="","",IFERROR(G209*$E209/100,"")))</f>
        <v/>
      </c>
      <c r="Y209" s="140">
        <f>IF(Y$13="","",IF($B209="","",IFERROR(H209*$E209/100,"")))</f>
        <v/>
      </c>
      <c r="Z209" s="140">
        <f>IF(Z$13="","",IF($B209="","",IFERROR(I209*$E209/100,"")))</f>
        <v/>
      </c>
      <c r="AA209" s="140">
        <f>IF(AA$13="","",IF($B209="","",IFERROR(J209*$E209/100,"")))</f>
        <v/>
      </c>
      <c r="AB209" s="140">
        <f>IF(AB$13="","",IF($B209="","",IFERROR(K209*$E209/100,"")))</f>
        <v/>
      </c>
      <c r="AC209" s="140">
        <f>IF(AC$13="","",IF($B209="","",IFERROR(L209*$E209/100,"")))</f>
        <v/>
      </c>
      <c r="AD209" s="140">
        <f>IF(AD$13="","",IF($B209="","",IFERROR(M209*$E209/100,"")))</f>
        <v/>
      </c>
      <c r="AE209" s="140">
        <f>IF(AE$13="","",IF($B209="","",IFERROR(N209*$E209/100,"")))</f>
        <v/>
      </c>
      <c r="AF209" s="140">
        <f>IF(AF$13="","",IF($B209="","",IFERROR(O209*$E209/100,"")))</f>
        <v/>
      </c>
      <c r="AG209" s="140">
        <f>IF(AG$13="","",IF($B209="","",IFERROR(P209*$E209/100,"")))</f>
        <v/>
      </c>
      <c r="AH209" s="140">
        <f>IF(AH$13="","",IF($B209="","",IFERROR(Q209*$E209/100,"")))</f>
        <v/>
      </c>
      <c r="AI209" s="140">
        <f>IF(AI$13="","",IF($B209="","",IFERROR(R209*$E209/100,"")))</f>
        <v/>
      </c>
      <c r="AJ209" s="140">
        <f>IF(AJ$13="","",IF($B209="","",IFERROR(S209*$E209/100,"")))</f>
        <v/>
      </c>
      <c r="AK209" s="140">
        <f>IF(AK$13="","",IF($B209="","",IFERROR(T209*$E209/100,"")))</f>
        <v/>
      </c>
      <c r="AL209" s="140">
        <f>IF(AL$13="","",IF($B209="","",IFERROR(U209*$E209/100,"")))</f>
        <v/>
      </c>
      <c r="AN209" s="140">
        <f>IF($B209="","",SUMIF($F$13:$U$13,"&lt;="&amp;Sector!$D$51,$F209:$U209))</f>
        <v/>
      </c>
      <c r="AO209" s="140">
        <f>IF($B209="","",SUMIF($W$13:$AL$13,"&lt;="&amp;Sector!$D$51,$W209:$AL209))</f>
        <v/>
      </c>
    </row>
    <row r="210">
      <c r="B210" s="5">
        <f>IF(AS51!$C$200="","",AS51!$C$200)</f>
        <v/>
      </c>
      <c r="C210" s="90">
        <f>IF(AS51!$B$200="","",AS51!$B$200)</f>
        <v/>
      </c>
      <c r="D210" s="138">
        <f>IFERROR(AS51!$Q$200,1)</f>
        <v/>
      </c>
      <c r="E210" s="139">
        <f>IF($B210="","",IF(ISNUMBER(AS51!$I$200),AS51!$I$200,'Index Summary'!$C$7))</f>
        <v/>
      </c>
      <c r="F210" s="140">
        <f>IF(F$13="","",IF($B210="","",IFERROR($C210*$D210*IF((Override!$C$4="ON")*(COUNTIFS(Override!$B$11:$B$40,$B210,Override!$D$11:$D$40,1,Override!$E$11:$E$40,"&gt;=0")-COUNTIFS(Override!$B$11:$B$40,$B210,Override!$D$11:$D$40,1,Override!$E$11:$E$40,"&gt;=0",Override!$C$11:$C$40,"MXAU"))&gt;0,SUMIFS(Override!$E$11:$E$40,Override!$B$11:$B$40,$B210,Override!$D$11:$D$40,1)-SUMIFS(Override!$E$11:$E$40,Override!$B$11:$B$40,$B210,Override!$D$11:$D$40,1,Override!$C$11:$C$40,"MXAU"),Override!$C$245)/AS51!$B$3,"")))</f>
        <v/>
      </c>
      <c r="G210" s="140">
        <f>IF(G$13="","",IF($B210="","",IFERROR($C210*$D210*IF((Override!$C$4="ON")*(COUNTIFS(Override!$B$11:$B$40,$B210,Override!$D$11:$D$40,2,Override!$E$11:$E$40,"&gt;=0")-COUNTIFS(Override!$B$11:$B$40,$B210,Override!$D$11:$D$40,2,Override!$E$11:$E$40,"&gt;=0",Override!$C$11:$C$40,"MXAU"))&gt;0,SUMIFS(Override!$E$11:$E$40,Override!$B$11:$B$40,$B210,Override!$D$11:$D$40,2)-SUMIFS(Override!$E$11:$E$40,Override!$B$11:$B$40,$B210,Override!$D$11:$D$40,2,Override!$C$11:$C$40,"MXAU"),Override!$D$245)/AS51!$B$3,"")))</f>
        <v/>
      </c>
      <c r="H210" s="140">
        <f>IF(H$13="","",IF($B210="","",IFERROR($C210*$D210*IF((Override!$C$4="ON")*(COUNTIFS(Override!$B$11:$B$40,$B210,Override!$D$11:$D$40,3,Override!$E$11:$E$40,"&gt;=0")-COUNTIFS(Override!$B$11:$B$40,$B210,Override!$D$11:$D$40,3,Override!$E$11:$E$40,"&gt;=0",Override!$C$11:$C$40,"MXAU"))&gt;0,SUMIFS(Override!$E$11:$E$40,Override!$B$11:$B$40,$B210,Override!$D$11:$D$40,3)-SUMIFS(Override!$E$11:$E$40,Override!$B$11:$B$40,$B210,Override!$D$11:$D$40,3,Override!$C$11:$C$40,"MXAU"),Override!$E$245)/AS51!$B$3,"")))</f>
        <v/>
      </c>
      <c r="I210" s="140">
        <f>IF(I$13="","",IF($B210="","",IFERROR($C210*$D210*IF((Override!$C$4="ON")*(COUNTIFS(Override!$B$11:$B$40,$B210,Override!$D$11:$D$40,4,Override!$E$11:$E$40,"&gt;=0")-COUNTIFS(Override!$B$11:$B$40,$B210,Override!$D$11:$D$40,4,Override!$E$11:$E$40,"&gt;=0",Override!$C$11:$C$40,"MXAU"))&gt;0,SUMIFS(Override!$E$11:$E$40,Override!$B$11:$B$40,$B210,Override!$D$11:$D$40,4)-SUMIFS(Override!$E$11:$E$40,Override!$B$11:$B$40,$B210,Override!$D$11:$D$40,4,Override!$C$11:$C$40,"MXAU"),Override!$F$245)/AS51!$B$3,"")))</f>
        <v/>
      </c>
      <c r="J210" s="140">
        <f>IF(J$13="","",IF($B210="","",IFERROR($C210*$D210*IF((Override!$C$4="ON")*(COUNTIFS(Override!$B$11:$B$40,$B210,Override!$D$11:$D$40,5,Override!$E$11:$E$40,"&gt;=0")-COUNTIFS(Override!$B$11:$B$40,$B210,Override!$D$11:$D$40,5,Override!$E$11:$E$40,"&gt;=0",Override!$C$11:$C$40,"MXAU"))&gt;0,SUMIFS(Override!$E$11:$E$40,Override!$B$11:$B$40,$B210,Override!$D$11:$D$40,5)-SUMIFS(Override!$E$11:$E$40,Override!$B$11:$B$40,$B210,Override!$D$11:$D$40,5,Override!$C$11:$C$40,"MXAU"),Override!$G$245)/AS51!$B$3,"")))</f>
        <v/>
      </c>
      <c r="K210" s="140">
        <f>IF(K$13="","",IF($B210="","",IFERROR($C210*$D210*IF((Override!$C$4="ON")*(COUNTIFS(Override!$B$11:$B$40,$B210,Override!$D$11:$D$40,6,Override!$E$11:$E$40,"&gt;=0")-COUNTIFS(Override!$B$11:$B$40,$B210,Override!$D$11:$D$40,6,Override!$E$11:$E$40,"&gt;=0",Override!$C$11:$C$40,"MXAU"))&gt;0,SUMIFS(Override!$E$11:$E$40,Override!$B$11:$B$40,$B210,Override!$D$11:$D$40,6)-SUMIFS(Override!$E$11:$E$40,Override!$B$11:$B$40,$B210,Override!$D$11:$D$40,6,Override!$C$11:$C$40,"MXAU"),Override!$H$245)/AS51!$B$3,"")))</f>
        <v/>
      </c>
      <c r="L210" s="140">
        <f>IF(L$13="","",IF($B210="","",IFERROR($C210*$D210*IF((Override!$C$4="ON")*(COUNTIFS(Override!$B$11:$B$40,$B210,Override!$D$11:$D$40,7,Override!$E$11:$E$40,"&gt;=0")-COUNTIFS(Override!$B$11:$B$40,$B210,Override!$D$11:$D$40,7,Override!$E$11:$E$40,"&gt;=0",Override!$C$11:$C$40,"MXAU"))&gt;0,SUMIFS(Override!$E$11:$E$40,Override!$B$11:$B$40,$B210,Override!$D$11:$D$40,7)-SUMIFS(Override!$E$11:$E$40,Override!$B$11:$B$40,$B210,Override!$D$11:$D$40,7,Override!$C$11:$C$40,"MXAU"),Override!$I$245)/AS51!$B$3,"")))</f>
        <v/>
      </c>
      <c r="M210" s="140">
        <f>IF(M$13="","",IF($B210="","",IFERROR($C210*$D210*IF((Override!$C$4="ON")*(COUNTIFS(Override!$B$11:$B$40,$B210,Override!$D$11:$D$40,8,Override!$E$11:$E$40,"&gt;=0")-COUNTIFS(Override!$B$11:$B$40,$B210,Override!$D$11:$D$40,8,Override!$E$11:$E$40,"&gt;=0",Override!$C$11:$C$40,"MXAU"))&gt;0,SUMIFS(Override!$E$11:$E$40,Override!$B$11:$B$40,$B210,Override!$D$11:$D$40,8)-SUMIFS(Override!$E$11:$E$40,Override!$B$11:$B$40,$B210,Override!$D$11:$D$40,8,Override!$C$11:$C$40,"MXAU"),Override!$J$245)/AS51!$B$3,"")))</f>
        <v/>
      </c>
      <c r="N210" s="140">
        <f>IF(N$13="","",IF($B210="","",IFERROR($C210*$D210*IF((Override!$C$4="ON")*(COUNTIFS(Override!$B$11:$B$40,$B210,Override!$D$11:$D$40,9,Override!$E$11:$E$40,"&gt;=0")-COUNTIFS(Override!$B$11:$B$40,$B210,Override!$D$11:$D$40,9,Override!$E$11:$E$40,"&gt;=0",Override!$C$11:$C$40,"MXAU"))&gt;0,SUMIFS(Override!$E$11:$E$40,Override!$B$11:$B$40,$B210,Override!$D$11:$D$40,9)-SUMIFS(Override!$E$11:$E$40,Override!$B$11:$B$40,$B210,Override!$D$11:$D$40,9,Override!$C$11:$C$40,"MXAU"),Override!$K$245)/AS51!$B$3,"")))</f>
        <v/>
      </c>
      <c r="O210" s="140">
        <f>IF(O$13="","",IF($B210="","",IFERROR($C210*$D210*IF((Override!$C$4="ON")*(COUNTIFS(Override!$B$11:$B$40,$B210,Override!$D$11:$D$40,10,Override!$E$11:$E$40,"&gt;=0")-COUNTIFS(Override!$B$11:$B$40,$B210,Override!$D$11:$D$40,10,Override!$E$11:$E$40,"&gt;=0",Override!$C$11:$C$40,"MXAU"))&gt;0,SUMIFS(Override!$E$11:$E$40,Override!$B$11:$B$40,$B210,Override!$D$11:$D$40,10)-SUMIFS(Override!$E$11:$E$40,Override!$B$11:$B$40,$B210,Override!$D$11:$D$40,10,Override!$C$11:$C$40,"MXAU"),Override!$L$245)/AS51!$B$3,"")))</f>
        <v/>
      </c>
      <c r="P210" s="140">
        <f>IF(P$13="","",IF($B210="","",IFERROR($C210*$D210*IF((Override!$C$4="ON")*(COUNTIFS(Override!$B$11:$B$40,$B210,Override!$D$11:$D$40,11,Override!$E$11:$E$40,"&gt;=0")-COUNTIFS(Override!$B$11:$B$40,$B210,Override!$D$11:$D$40,11,Override!$E$11:$E$40,"&gt;=0",Override!$C$11:$C$40,"MXAU"))&gt;0,SUMIFS(Override!$E$11:$E$40,Override!$B$11:$B$40,$B210,Override!$D$11:$D$40,11)-SUMIFS(Override!$E$11:$E$40,Override!$B$11:$B$40,$B210,Override!$D$11:$D$40,11,Override!$C$11:$C$40,"MXAU"),Override!$M$245)/AS51!$B$3,"")))</f>
        <v/>
      </c>
      <c r="Q210" s="140">
        <f>IF(Q$13="","",IF($B210="","",IFERROR($C210*$D210*IF((Override!$C$4="ON")*(COUNTIFS(Override!$B$11:$B$40,$B210,Override!$D$11:$D$40,12,Override!$E$11:$E$40,"&gt;=0")-COUNTIFS(Override!$B$11:$B$40,$B210,Override!$D$11:$D$40,12,Override!$E$11:$E$40,"&gt;=0",Override!$C$11:$C$40,"MXAU"))&gt;0,SUMIFS(Override!$E$11:$E$40,Override!$B$11:$B$40,$B210,Override!$D$11:$D$40,12)-SUMIFS(Override!$E$11:$E$40,Override!$B$11:$B$40,$B210,Override!$D$11:$D$40,12,Override!$C$11:$C$40,"MXAU"),Override!$N$245)/AS51!$B$3,"")))</f>
        <v/>
      </c>
      <c r="R210" s="140">
        <f>IF(R$13="","",IF($B210="","",IFERROR($C210*$D210*IF((Override!$C$4="ON")*(COUNTIFS(Override!$B$11:$B$40,$B210,Override!$D$11:$D$40,13,Override!$E$11:$E$40,"&gt;=0")-COUNTIFS(Override!$B$11:$B$40,$B210,Override!$D$11:$D$40,13,Override!$E$11:$E$40,"&gt;=0",Override!$C$11:$C$40,"MXAU"))&gt;0,SUMIFS(Override!$E$11:$E$40,Override!$B$11:$B$40,$B210,Override!$D$11:$D$40,13)-SUMIFS(Override!$E$11:$E$40,Override!$B$11:$B$40,$B210,Override!$D$11:$D$40,13,Override!$C$11:$C$40,"MXAU"),Override!$O$245)/AS51!$B$3,"")))</f>
        <v/>
      </c>
      <c r="S210" s="140">
        <f>IF(S$13="","",IF($B210="","",IFERROR($C210*$D210*IF((Override!$C$4="ON")*(COUNTIFS(Override!$B$11:$B$40,$B210,Override!$D$11:$D$40,14,Override!$E$11:$E$40,"&gt;=0")-COUNTIFS(Override!$B$11:$B$40,$B210,Override!$D$11:$D$40,14,Override!$E$11:$E$40,"&gt;=0",Override!$C$11:$C$40,"MXAU"))&gt;0,SUMIFS(Override!$E$11:$E$40,Override!$B$11:$B$40,$B210,Override!$D$11:$D$40,14)-SUMIFS(Override!$E$11:$E$40,Override!$B$11:$B$40,$B210,Override!$D$11:$D$40,14,Override!$C$11:$C$40,"MXAU"),Override!$P$245)/AS51!$B$3,"")))</f>
        <v/>
      </c>
      <c r="T210" s="140">
        <f>IF(T$13="","",IF($B210="","",IFERROR($C210*$D210*IF((Override!$C$4="ON")*(COUNTIFS(Override!$B$11:$B$40,$B210,Override!$D$11:$D$40,15,Override!$E$11:$E$40,"&gt;=0")-COUNTIFS(Override!$B$11:$B$40,$B210,Override!$D$11:$D$40,15,Override!$E$11:$E$40,"&gt;=0",Override!$C$11:$C$40,"MXAU"))&gt;0,SUMIFS(Override!$E$11:$E$40,Override!$B$11:$B$40,$B210,Override!$D$11:$D$40,15)-SUMIFS(Override!$E$11:$E$40,Override!$B$11:$B$40,$B210,Override!$D$11:$D$40,15,Override!$C$11:$C$40,"MXAU"),Override!$Q$245)/AS51!$B$3,"")))</f>
        <v/>
      </c>
      <c r="U210" s="140">
        <f>IF(U$13="","",IF($B210="","",IFERROR($C210*$D210*IF((Override!$C$4="ON")*(COUNTIFS(Override!$B$11:$B$40,$B210,Override!$D$11:$D$40,16,Override!$E$11:$E$40,"&gt;=0")-COUNTIFS(Override!$B$11:$B$40,$B210,Override!$D$11:$D$40,16,Override!$E$11:$E$40,"&gt;=0",Override!$C$11:$C$40,"MXAU"))&gt;0,SUMIFS(Override!$E$11:$E$40,Override!$B$11:$B$40,$B210,Override!$D$11:$D$40,16)-SUMIFS(Override!$E$11:$E$40,Override!$B$11:$B$40,$B210,Override!$D$11:$D$40,16,Override!$C$11:$C$40,"MXAU"),Override!$R$245)/AS51!$B$3,"")))</f>
        <v/>
      </c>
      <c r="W210" s="140">
        <f>IF(W$13="","",IF($B210="","",IFERROR(F210*$E210/100,"")))</f>
        <v/>
      </c>
      <c r="X210" s="140">
        <f>IF(X$13="","",IF($B210="","",IFERROR(G210*$E210/100,"")))</f>
        <v/>
      </c>
      <c r="Y210" s="140">
        <f>IF(Y$13="","",IF($B210="","",IFERROR(H210*$E210/100,"")))</f>
        <v/>
      </c>
      <c r="Z210" s="140">
        <f>IF(Z$13="","",IF($B210="","",IFERROR(I210*$E210/100,"")))</f>
        <v/>
      </c>
      <c r="AA210" s="140">
        <f>IF(AA$13="","",IF($B210="","",IFERROR(J210*$E210/100,"")))</f>
        <v/>
      </c>
      <c r="AB210" s="140">
        <f>IF(AB$13="","",IF($B210="","",IFERROR(K210*$E210/100,"")))</f>
        <v/>
      </c>
      <c r="AC210" s="140">
        <f>IF(AC$13="","",IF($B210="","",IFERROR(L210*$E210/100,"")))</f>
        <v/>
      </c>
      <c r="AD210" s="140">
        <f>IF(AD$13="","",IF($B210="","",IFERROR(M210*$E210/100,"")))</f>
        <v/>
      </c>
      <c r="AE210" s="140">
        <f>IF(AE$13="","",IF($B210="","",IFERROR(N210*$E210/100,"")))</f>
        <v/>
      </c>
      <c r="AF210" s="140">
        <f>IF(AF$13="","",IF($B210="","",IFERROR(O210*$E210/100,"")))</f>
        <v/>
      </c>
      <c r="AG210" s="140">
        <f>IF(AG$13="","",IF($B210="","",IFERROR(P210*$E210/100,"")))</f>
        <v/>
      </c>
      <c r="AH210" s="140">
        <f>IF(AH$13="","",IF($B210="","",IFERROR(Q210*$E210/100,"")))</f>
        <v/>
      </c>
      <c r="AI210" s="140">
        <f>IF(AI$13="","",IF($B210="","",IFERROR(R210*$E210/100,"")))</f>
        <v/>
      </c>
      <c r="AJ210" s="140">
        <f>IF(AJ$13="","",IF($B210="","",IFERROR(S210*$E210/100,"")))</f>
        <v/>
      </c>
      <c r="AK210" s="140">
        <f>IF(AK$13="","",IF($B210="","",IFERROR(T210*$E210/100,"")))</f>
        <v/>
      </c>
      <c r="AL210" s="140">
        <f>IF(AL$13="","",IF($B210="","",IFERROR(U210*$E210/100,"")))</f>
        <v/>
      </c>
      <c r="AN210" s="140">
        <f>IF($B210="","",SUMIF($F$13:$U$13,"&lt;="&amp;Sector!$D$51,$F210:$U210))</f>
        <v/>
      </c>
      <c r="AO210" s="140">
        <f>IF($B210="","",SUMIF($W$13:$AL$13,"&lt;="&amp;Sector!$D$51,$W210:$AL210))</f>
        <v/>
      </c>
    </row>
    <row r="211">
      <c r="B211" s="5">
        <f>IF(AS51!$C$201="","",AS51!$C$201)</f>
        <v/>
      </c>
      <c r="C211" s="90">
        <f>IF(AS51!$B$201="","",AS51!$B$201)</f>
        <v/>
      </c>
      <c r="D211" s="138">
        <f>IFERROR(AS51!$Q$201,1)</f>
        <v/>
      </c>
      <c r="E211" s="139">
        <f>IF($B211="","",IF(ISNUMBER(AS51!$I$201),AS51!$I$201,'Index Summary'!$C$7))</f>
        <v/>
      </c>
      <c r="F211" s="140">
        <f>IF(F$13="","",IF($B211="","",IFERROR($C211*$D211*IF((Override!$C$4="ON")*(COUNTIFS(Override!$B$11:$B$40,$B211,Override!$D$11:$D$40,1,Override!$E$11:$E$40,"&gt;=0")-COUNTIFS(Override!$B$11:$B$40,$B211,Override!$D$11:$D$40,1,Override!$E$11:$E$40,"&gt;=0",Override!$C$11:$C$40,"MXAU"))&gt;0,SUMIFS(Override!$E$11:$E$40,Override!$B$11:$B$40,$B211,Override!$D$11:$D$40,1)-SUMIFS(Override!$E$11:$E$40,Override!$B$11:$B$40,$B211,Override!$D$11:$D$40,1,Override!$C$11:$C$40,"MXAU"),Override!$C$246)/AS51!$B$3,"")))</f>
        <v/>
      </c>
      <c r="G211" s="140">
        <f>IF(G$13="","",IF($B211="","",IFERROR($C211*$D211*IF((Override!$C$4="ON")*(COUNTIFS(Override!$B$11:$B$40,$B211,Override!$D$11:$D$40,2,Override!$E$11:$E$40,"&gt;=0")-COUNTIFS(Override!$B$11:$B$40,$B211,Override!$D$11:$D$40,2,Override!$E$11:$E$40,"&gt;=0",Override!$C$11:$C$40,"MXAU"))&gt;0,SUMIFS(Override!$E$11:$E$40,Override!$B$11:$B$40,$B211,Override!$D$11:$D$40,2)-SUMIFS(Override!$E$11:$E$40,Override!$B$11:$B$40,$B211,Override!$D$11:$D$40,2,Override!$C$11:$C$40,"MXAU"),Override!$D$246)/AS51!$B$3,"")))</f>
        <v/>
      </c>
      <c r="H211" s="140">
        <f>IF(H$13="","",IF($B211="","",IFERROR($C211*$D211*IF((Override!$C$4="ON")*(COUNTIFS(Override!$B$11:$B$40,$B211,Override!$D$11:$D$40,3,Override!$E$11:$E$40,"&gt;=0")-COUNTIFS(Override!$B$11:$B$40,$B211,Override!$D$11:$D$40,3,Override!$E$11:$E$40,"&gt;=0",Override!$C$11:$C$40,"MXAU"))&gt;0,SUMIFS(Override!$E$11:$E$40,Override!$B$11:$B$40,$B211,Override!$D$11:$D$40,3)-SUMIFS(Override!$E$11:$E$40,Override!$B$11:$B$40,$B211,Override!$D$11:$D$40,3,Override!$C$11:$C$40,"MXAU"),Override!$E$246)/AS51!$B$3,"")))</f>
        <v/>
      </c>
      <c r="I211" s="140">
        <f>IF(I$13="","",IF($B211="","",IFERROR($C211*$D211*IF((Override!$C$4="ON")*(COUNTIFS(Override!$B$11:$B$40,$B211,Override!$D$11:$D$40,4,Override!$E$11:$E$40,"&gt;=0")-COUNTIFS(Override!$B$11:$B$40,$B211,Override!$D$11:$D$40,4,Override!$E$11:$E$40,"&gt;=0",Override!$C$11:$C$40,"MXAU"))&gt;0,SUMIFS(Override!$E$11:$E$40,Override!$B$11:$B$40,$B211,Override!$D$11:$D$40,4)-SUMIFS(Override!$E$11:$E$40,Override!$B$11:$B$40,$B211,Override!$D$11:$D$40,4,Override!$C$11:$C$40,"MXAU"),Override!$F$246)/AS51!$B$3,"")))</f>
        <v/>
      </c>
      <c r="J211" s="140">
        <f>IF(J$13="","",IF($B211="","",IFERROR($C211*$D211*IF((Override!$C$4="ON")*(COUNTIFS(Override!$B$11:$B$40,$B211,Override!$D$11:$D$40,5,Override!$E$11:$E$40,"&gt;=0")-COUNTIFS(Override!$B$11:$B$40,$B211,Override!$D$11:$D$40,5,Override!$E$11:$E$40,"&gt;=0",Override!$C$11:$C$40,"MXAU"))&gt;0,SUMIFS(Override!$E$11:$E$40,Override!$B$11:$B$40,$B211,Override!$D$11:$D$40,5)-SUMIFS(Override!$E$11:$E$40,Override!$B$11:$B$40,$B211,Override!$D$11:$D$40,5,Override!$C$11:$C$40,"MXAU"),Override!$G$246)/AS51!$B$3,"")))</f>
        <v/>
      </c>
      <c r="K211" s="140">
        <f>IF(K$13="","",IF($B211="","",IFERROR($C211*$D211*IF((Override!$C$4="ON")*(COUNTIFS(Override!$B$11:$B$40,$B211,Override!$D$11:$D$40,6,Override!$E$11:$E$40,"&gt;=0")-COUNTIFS(Override!$B$11:$B$40,$B211,Override!$D$11:$D$40,6,Override!$E$11:$E$40,"&gt;=0",Override!$C$11:$C$40,"MXAU"))&gt;0,SUMIFS(Override!$E$11:$E$40,Override!$B$11:$B$40,$B211,Override!$D$11:$D$40,6)-SUMIFS(Override!$E$11:$E$40,Override!$B$11:$B$40,$B211,Override!$D$11:$D$40,6,Override!$C$11:$C$40,"MXAU"),Override!$H$246)/AS51!$B$3,"")))</f>
        <v/>
      </c>
      <c r="L211" s="140">
        <f>IF(L$13="","",IF($B211="","",IFERROR($C211*$D211*IF((Override!$C$4="ON")*(COUNTIFS(Override!$B$11:$B$40,$B211,Override!$D$11:$D$40,7,Override!$E$11:$E$40,"&gt;=0")-COUNTIFS(Override!$B$11:$B$40,$B211,Override!$D$11:$D$40,7,Override!$E$11:$E$40,"&gt;=0",Override!$C$11:$C$40,"MXAU"))&gt;0,SUMIFS(Override!$E$11:$E$40,Override!$B$11:$B$40,$B211,Override!$D$11:$D$40,7)-SUMIFS(Override!$E$11:$E$40,Override!$B$11:$B$40,$B211,Override!$D$11:$D$40,7,Override!$C$11:$C$40,"MXAU"),Override!$I$246)/AS51!$B$3,"")))</f>
        <v/>
      </c>
      <c r="M211" s="140">
        <f>IF(M$13="","",IF($B211="","",IFERROR($C211*$D211*IF((Override!$C$4="ON")*(COUNTIFS(Override!$B$11:$B$40,$B211,Override!$D$11:$D$40,8,Override!$E$11:$E$40,"&gt;=0")-COUNTIFS(Override!$B$11:$B$40,$B211,Override!$D$11:$D$40,8,Override!$E$11:$E$40,"&gt;=0",Override!$C$11:$C$40,"MXAU"))&gt;0,SUMIFS(Override!$E$11:$E$40,Override!$B$11:$B$40,$B211,Override!$D$11:$D$40,8)-SUMIFS(Override!$E$11:$E$40,Override!$B$11:$B$40,$B211,Override!$D$11:$D$40,8,Override!$C$11:$C$40,"MXAU"),Override!$J$246)/AS51!$B$3,"")))</f>
        <v/>
      </c>
      <c r="N211" s="140">
        <f>IF(N$13="","",IF($B211="","",IFERROR($C211*$D211*IF((Override!$C$4="ON")*(COUNTIFS(Override!$B$11:$B$40,$B211,Override!$D$11:$D$40,9,Override!$E$11:$E$40,"&gt;=0")-COUNTIFS(Override!$B$11:$B$40,$B211,Override!$D$11:$D$40,9,Override!$E$11:$E$40,"&gt;=0",Override!$C$11:$C$40,"MXAU"))&gt;0,SUMIFS(Override!$E$11:$E$40,Override!$B$11:$B$40,$B211,Override!$D$11:$D$40,9)-SUMIFS(Override!$E$11:$E$40,Override!$B$11:$B$40,$B211,Override!$D$11:$D$40,9,Override!$C$11:$C$40,"MXAU"),Override!$K$246)/AS51!$B$3,"")))</f>
        <v/>
      </c>
      <c r="O211" s="140">
        <f>IF(O$13="","",IF($B211="","",IFERROR($C211*$D211*IF((Override!$C$4="ON")*(COUNTIFS(Override!$B$11:$B$40,$B211,Override!$D$11:$D$40,10,Override!$E$11:$E$40,"&gt;=0")-COUNTIFS(Override!$B$11:$B$40,$B211,Override!$D$11:$D$40,10,Override!$E$11:$E$40,"&gt;=0",Override!$C$11:$C$40,"MXAU"))&gt;0,SUMIFS(Override!$E$11:$E$40,Override!$B$11:$B$40,$B211,Override!$D$11:$D$40,10)-SUMIFS(Override!$E$11:$E$40,Override!$B$11:$B$40,$B211,Override!$D$11:$D$40,10,Override!$C$11:$C$40,"MXAU"),Override!$L$246)/AS51!$B$3,"")))</f>
        <v/>
      </c>
      <c r="P211" s="140">
        <f>IF(P$13="","",IF($B211="","",IFERROR($C211*$D211*IF((Override!$C$4="ON")*(COUNTIFS(Override!$B$11:$B$40,$B211,Override!$D$11:$D$40,11,Override!$E$11:$E$40,"&gt;=0")-COUNTIFS(Override!$B$11:$B$40,$B211,Override!$D$11:$D$40,11,Override!$E$11:$E$40,"&gt;=0",Override!$C$11:$C$40,"MXAU"))&gt;0,SUMIFS(Override!$E$11:$E$40,Override!$B$11:$B$40,$B211,Override!$D$11:$D$40,11)-SUMIFS(Override!$E$11:$E$40,Override!$B$11:$B$40,$B211,Override!$D$11:$D$40,11,Override!$C$11:$C$40,"MXAU"),Override!$M$246)/AS51!$B$3,"")))</f>
        <v/>
      </c>
      <c r="Q211" s="140">
        <f>IF(Q$13="","",IF($B211="","",IFERROR($C211*$D211*IF((Override!$C$4="ON")*(COUNTIFS(Override!$B$11:$B$40,$B211,Override!$D$11:$D$40,12,Override!$E$11:$E$40,"&gt;=0")-COUNTIFS(Override!$B$11:$B$40,$B211,Override!$D$11:$D$40,12,Override!$E$11:$E$40,"&gt;=0",Override!$C$11:$C$40,"MXAU"))&gt;0,SUMIFS(Override!$E$11:$E$40,Override!$B$11:$B$40,$B211,Override!$D$11:$D$40,12)-SUMIFS(Override!$E$11:$E$40,Override!$B$11:$B$40,$B211,Override!$D$11:$D$40,12,Override!$C$11:$C$40,"MXAU"),Override!$N$246)/AS51!$B$3,"")))</f>
        <v/>
      </c>
      <c r="R211" s="140">
        <f>IF(R$13="","",IF($B211="","",IFERROR($C211*$D211*IF((Override!$C$4="ON")*(COUNTIFS(Override!$B$11:$B$40,$B211,Override!$D$11:$D$40,13,Override!$E$11:$E$40,"&gt;=0")-COUNTIFS(Override!$B$11:$B$40,$B211,Override!$D$11:$D$40,13,Override!$E$11:$E$40,"&gt;=0",Override!$C$11:$C$40,"MXAU"))&gt;0,SUMIFS(Override!$E$11:$E$40,Override!$B$11:$B$40,$B211,Override!$D$11:$D$40,13)-SUMIFS(Override!$E$11:$E$40,Override!$B$11:$B$40,$B211,Override!$D$11:$D$40,13,Override!$C$11:$C$40,"MXAU"),Override!$O$246)/AS51!$B$3,"")))</f>
        <v/>
      </c>
      <c r="S211" s="140">
        <f>IF(S$13="","",IF($B211="","",IFERROR($C211*$D211*IF((Override!$C$4="ON")*(COUNTIFS(Override!$B$11:$B$40,$B211,Override!$D$11:$D$40,14,Override!$E$11:$E$40,"&gt;=0")-COUNTIFS(Override!$B$11:$B$40,$B211,Override!$D$11:$D$40,14,Override!$E$11:$E$40,"&gt;=0",Override!$C$11:$C$40,"MXAU"))&gt;0,SUMIFS(Override!$E$11:$E$40,Override!$B$11:$B$40,$B211,Override!$D$11:$D$40,14)-SUMIFS(Override!$E$11:$E$40,Override!$B$11:$B$40,$B211,Override!$D$11:$D$40,14,Override!$C$11:$C$40,"MXAU"),Override!$P$246)/AS51!$B$3,"")))</f>
        <v/>
      </c>
      <c r="T211" s="140">
        <f>IF(T$13="","",IF($B211="","",IFERROR($C211*$D211*IF((Override!$C$4="ON")*(COUNTIFS(Override!$B$11:$B$40,$B211,Override!$D$11:$D$40,15,Override!$E$11:$E$40,"&gt;=0")-COUNTIFS(Override!$B$11:$B$40,$B211,Override!$D$11:$D$40,15,Override!$E$11:$E$40,"&gt;=0",Override!$C$11:$C$40,"MXAU"))&gt;0,SUMIFS(Override!$E$11:$E$40,Override!$B$11:$B$40,$B211,Override!$D$11:$D$40,15)-SUMIFS(Override!$E$11:$E$40,Override!$B$11:$B$40,$B211,Override!$D$11:$D$40,15,Override!$C$11:$C$40,"MXAU"),Override!$Q$246)/AS51!$B$3,"")))</f>
        <v/>
      </c>
      <c r="U211" s="140">
        <f>IF(U$13="","",IF($B211="","",IFERROR($C211*$D211*IF((Override!$C$4="ON")*(COUNTIFS(Override!$B$11:$B$40,$B211,Override!$D$11:$D$40,16,Override!$E$11:$E$40,"&gt;=0")-COUNTIFS(Override!$B$11:$B$40,$B211,Override!$D$11:$D$40,16,Override!$E$11:$E$40,"&gt;=0",Override!$C$11:$C$40,"MXAU"))&gt;0,SUMIFS(Override!$E$11:$E$40,Override!$B$11:$B$40,$B211,Override!$D$11:$D$40,16)-SUMIFS(Override!$E$11:$E$40,Override!$B$11:$B$40,$B211,Override!$D$11:$D$40,16,Override!$C$11:$C$40,"MXAU"),Override!$R$246)/AS51!$B$3,"")))</f>
        <v/>
      </c>
      <c r="W211" s="140">
        <f>IF(W$13="","",IF($B211="","",IFERROR(F211*$E211/100,"")))</f>
        <v/>
      </c>
      <c r="X211" s="140">
        <f>IF(X$13="","",IF($B211="","",IFERROR(G211*$E211/100,"")))</f>
        <v/>
      </c>
      <c r="Y211" s="140">
        <f>IF(Y$13="","",IF($B211="","",IFERROR(H211*$E211/100,"")))</f>
        <v/>
      </c>
      <c r="Z211" s="140">
        <f>IF(Z$13="","",IF($B211="","",IFERROR(I211*$E211/100,"")))</f>
        <v/>
      </c>
      <c r="AA211" s="140">
        <f>IF(AA$13="","",IF($B211="","",IFERROR(J211*$E211/100,"")))</f>
        <v/>
      </c>
      <c r="AB211" s="140">
        <f>IF(AB$13="","",IF($B211="","",IFERROR(K211*$E211/100,"")))</f>
        <v/>
      </c>
      <c r="AC211" s="140">
        <f>IF(AC$13="","",IF($B211="","",IFERROR(L211*$E211/100,"")))</f>
        <v/>
      </c>
      <c r="AD211" s="140">
        <f>IF(AD$13="","",IF($B211="","",IFERROR(M211*$E211/100,"")))</f>
        <v/>
      </c>
      <c r="AE211" s="140">
        <f>IF(AE$13="","",IF($B211="","",IFERROR(N211*$E211/100,"")))</f>
        <v/>
      </c>
      <c r="AF211" s="140">
        <f>IF(AF$13="","",IF($B211="","",IFERROR(O211*$E211/100,"")))</f>
        <v/>
      </c>
      <c r="AG211" s="140">
        <f>IF(AG$13="","",IF($B211="","",IFERROR(P211*$E211/100,"")))</f>
        <v/>
      </c>
      <c r="AH211" s="140">
        <f>IF(AH$13="","",IF($B211="","",IFERROR(Q211*$E211/100,"")))</f>
        <v/>
      </c>
      <c r="AI211" s="140">
        <f>IF(AI$13="","",IF($B211="","",IFERROR(R211*$E211/100,"")))</f>
        <v/>
      </c>
      <c r="AJ211" s="140">
        <f>IF(AJ$13="","",IF($B211="","",IFERROR(S211*$E211/100,"")))</f>
        <v/>
      </c>
      <c r="AK211" s="140">
        <f>IF(AK$13="","",IF($B211="","",IFERROR(T211*$E211/100,"")))</f>
        <v/>
      </c>
      <c r="AL211" s="140">
        <f>IF(AL$13="","",IF($B211="","",IFERROR(U211*$E211/100,"")))</f>
        <v/>
      </c>
      <c r="AN211" s="140">
        <f>IF($B211="","",SUMIF($F$13:$U$13,"&lt;="&amp;Sector!$D$51,$F211:$U211))</f>
        <v/>
      </c>
      <c r="AO211" s="140">
        <f>IF($B211="","",SUMIF($W$13:$AL$13,"&lt;="&amp;Sector!$D$51,$W211:$AL211))</f>
        <v/>
      </c>
    </row>
    <row r="212">
      <c r="B212" s="5">
        <f>IF(AS51!$C$202="","",AS51!$C$202)</f>
        <v/>
      </c>
      <c r="C212" s="90">
        <f>IF(AS51!$B$202="","",AS51!$B$202)</f>
        <v/>
      </c>
      <c r="D212" s="138">
        <f>IFERROR(AS51!$Q$202,1)</f>
        <v/>
      </c>
      <c r="E212" s="139">
        <f>IF($B212="","",IF(ISNUMBER(AS51!$I$202),AS51!$I$202,'Index Summary'!$C$7))</f>
        <v/>
      </c>
      <c r="F212" s="140">
        <f>IF(F$13="","",IF($B212="","",IFERROR($C212*$D212*IF((Override!$C$4="ON")*(COUNTIFS(Override!$B$11:$B$40,$B212,Override!$D$11:$D$40,1,Override!$E$11:$E$40,"&gt;=0")-COUNTIFS(Override!$B$11:$B$40,$B212,Override!$D$11:$D$40,1,Override!$E$11:$E$40,"&gt;=0",Override!$C$11:$C$40,"MXAU"))&gt;0,SUMIFS(Override!$E$11:$E$40,Override!$B$11:$B$40,$B212,Override!$D$11:$D$40,1)-SUMIFS(Override!$E$11:$E$40,Override!$B$11:$B$40,$B212,Override!$D$11:$D$40,1,Override!$C$11:$C$40,"MXAU"),Override!$C$247)/AS51!$B$3,"")))</f>
        <v/>
      </c>
      <c r="G212" s="140">
        <f>IF(G$13="","",IF($B212="","",IFERROR($C212*$D212*IF((Override!$C$4="ON")*(COUNTIFS(Override!$B$11:$B$40,$B212,Override!$D$11:$D$40,2,Override!$E$11:$E$40,"&gt;=0")-COUNTIFS(Override!$B$11:$B$40,$B212,Override!$D$11:$D$40,2,Override!$E$11:$E$40,"&gt;=0",Override!$C$11:$C$40,"MXAU"))&gt;0,SUMIFS(Override!$E$11:$E$40,Override!$B$11:$B$40,$B212,Override!$D$11:$D$40,2)-SUMIFS(Override!$E$11:$E$40,Override!$B$11:$B$40,$B212,Override!$D$11:$D$40,2,Override!$C$11:$C$40,"MXAU"),Override!$D$247)/AS51!$B$3,"")))</f>
        <v/>
      </c>
      <c r="H212" s="140">
        <f>IF(H$13="","",IF($B212="","",IFERROR($C212*$D212*IF((Override!$C$4="ON")*(COUNTIFS(Override!$B$11:$B$40,$B212,Override!$D$11:$D$40,3,Override!$E$11:$E$40,"&gt;=0")-COUNTIFS(Override!$B$11:$B$40,$B212,Override!$D$11:$D$40,3,Override!$E$11:$E$40,"&gt;=0",Override!$C$11:$C$40,"MXAU"))&gt;0,SUMIFS(Override!$E$11:$E$40,Override!$B$11:$B$40,$B212,Override!$D$11:$D$40,3)-SUMIFS(Override!$E$11:$E$40,Override!$B$11:$B$40,$B212,Override!$D$11:$D$40,3,Override!$C$11:$C$40,"MXAU"),Override!$E$247)/AS51!$B$3,"")))</f>
        <v/>
      </c>
      <c r="I212" s="140">
        <f>IF(I$13="","",IF($B212="","",IFERROR($C212*$D212*IF((Override!$C$4="ON")*(COUNTIFS(Override!$B$11:$B$40,$B212,Override!$D$11:$D$40,4,Override!$E$11:$E$40,"&gt;=0")-COUNTIFS(Override!$B$11:$B$40,$B212,Override!$D$11:$D$40,4,Override!$E$11:$E$40,"&gt;=0",Override!$C$11:$C$40,"MXAU"))&gt;0,SUMIFS(Override!$E$11:$E$40,Override!$B$11:$B$40,$B212,Override!$D$11:$D$40,4)-SUMIFS(Override!$E$11:$E$40,Override!$B$11:$B$40,$B212,Override!$D$11:$D$40,4,Override!$C$11:$C$40,"MXAU"),Override!$F$247)/AS51!$B$3,"")))</f>
        <v/>
      </c>
      <c r="J212" s="140">
        <f>IF(J$13="","",IF($B212="","",IFERROR($C212*$D212*IF((Override!$C$4="ON")*(COUNTIFS(Override!$B$11:$B$40,$B212,Override!$D$11:$D$40,5,Override!$E$11:$E$40,"&gt;=0")-COUNTIFS(Override!$B$11:$B$40,$B212,Override!$D$11:$D$40,5,Override!$E$11:$E$40,"&gt;=0",Override!$C$11:$C$40,"MXAU"))&gt;0,SUMIFS(Override!$E$11:$E$40,Override!$B$11:$B$40,$B212,Override!$D$11:$D$40,5)-SUMIFS(Override!$E$11:$E$40,Override!$B$11:$B$40,$B212,Override!$D$11:$D$40,5,Override!$C$11:$C$40,"MXAU"),Override!$G$247)/AS51!$B$3,"")))</f>
        <v/>
      </c>
      <c r="K212" s="140">
        <f>IF(K$13="","",IF($B212="","",IFERROR($C212*$D212*IF((Override!$C$4="ON")*(COUNTIFS(Override!$B$11:$B$40,$B212,Override!$D$11:$D$40,6,Override!$E$11:$E$40,"&gt;=0")-COUNTIFS(Override!$B$11:$B$40,$B212,Override!$D$11:$D$40,6,Override!$E$11:$E$40,"&gt;=0",Override!$C$11:$C$40,"MXAU"))&gt;0,SUMIFS(Override!$E$11:$E$40,Override!$B$11:$B$40,$B212,Override!$D$11:$D$40,6)-SUMIFS(Override!$E$11:$E$40,Override!$B$11:$B$40,$B212,Override!$D$11:$D$40,6,Override!$C$11:$C$40,"MXAU"),Override!$H$247)/AS51!$B$3,"")))</f>
        <v/>
      </c>
      <c r="L212" s="140">
        <f>IF(L$13="","",IF($B212="","",IFERROR($C212*$D212*IF((Override!$C$4="ON")*(COUNTIFS(Override!$B$11:$B$40,$B212,Override!$D$11:$D$40,7,Override!$E$11:$E$40,"&gt;=0")-COUNTIFS(Override!$B$11:$B$40,$B212,Override!$D$11:$D$40,7,Override!$E$11:$E$40,"&gt;=0",Override!$C$11:$C$40,"MXAU"))&gt;0,SUMIFS(Override!$E$11:$E$40,Override!$B$11:$B$40,$B212,Override!$D$11:$D$40,7)-SUMIFS(Override!$E$11:$E$40,Override!$B$11:$B$40,$B212,Override!$D$11:$D$40,7,Override!$C$11:$C$40,"MXAU"),Override!$I$247)/AS51!$B$3,"")))</f>
        <v/>
      </c>
      <c r="M212" s="140">
        <f>IF(M$13="","",IF($B212="","",IFERROR($C212*$D212*IF((Override!$C$4="ON")*(COUNTIFS(Override!$B$11:$B$40,$B212,Override!$D$11:$D$40,8,Override!$E$11:$E$40,"&gt;=0")-COUNTIFS(Override!$B$11:$B$40,$B212,Override!$D$11:$D$40,8,Override!$E$11:$E$40,"&gt;=0",Override!$C$11:$C$40,"MXAU"))&gt;0,SUMIFS(Override!$E$11:$E$40,Override!$B$11:$B$40,$B212,Override!$D$11:$D$40,8)-SUMIFS(Override!$E$11:$E$40,Override!$B$11:$B$40,$B212,Override!$D$11:$D$40,8,Override!$C$11:$C$40,"MXAU"),Override!$J$247)/AS51!$B$3,"")))</f>
        <v/>
      </c>
      <c r="N212" s="140">
        <f>IF(N$13="","",IF($B212="","",IFERROR($C212*$D212*IF((Override!$C$4="ON")*(COUNTIFS(Override!$B$11:$B$40,$B212,Override!$D$11:$D$40,9,Override!$E$11:$E$40,"&gt;=0")-COUNTIFS(Override!$B$11:$B$40,$B212,Override!$D$11:$D$40,9,Override!$E$11:$E$40,"&gt;=0",Override!$C$11:$C$40,"MXAU"))&gt;0,SUMIFS(Override!$E$11:$E$40,Override!$B$11:$B$40,$B212,Override!$D$11:$D$40,9)-SUMIFS(Override!$E$11:$E$40,Override!$B$11:$B$40,$B212,Override!$D$11:$D$40,9,Override!$C$11:$C$40,"MXAU"),Override!$K$247)/AS51!$B$3,"")))</f>
        <v/>
      </c>
      <c r="O212" s="140">
        <f>IF(O$13="","",IF($B212="","",IFERROR($C212*$D212*IF((Override!$C$4="ON")*(COUNTIFS(Override!$B$11:$B$40,$B212,Override!$D$11:$D$40,10,Override!$E$11:$E$40,"&gt;=0")-COUNTIFS(Override!$B$11:$B$40,$B212,Override!$D$11:$D$40,10,Override!$E$11:$E$40,"&gt;=0",Override!$C$11:$C$40,"MXAU"))&gt;0,SUMIFS(Override!$E$11:$E$40,Override!$B$11:$B$40,$B212,Override!$D$11:$D$40,10)-SUMIFS(Override!$E$11:$E$40,Override!$B$11:$B$40,$B212,Override!$D$11:$D$40,10,Override!$C$11:$C$40,"MXAU"),Override!$L$247)/AS51!$B$3,"")))</f>
        <v/>
      </c>
      <c r="P212" s="140">
        <f>IF(P$13="","",IF($B212="","",IFERROR($C212*$D212*IF((Override!$C$4="ON")*(COUNTIFS(Override!$B$11:$B$40,$B212,Override!$D$11:$D$40,11,Override!$E$11:$E$40,"&gt;=0")-COUNTIFS(Override!$B$11:$B$40,$B212,Override!$D$11:$D$40,11,Override!$E$11:$E$40,"&gt;=0",Override!$C$11:$C$40,"MXAU"))&gt;0,SUMIFS(Override!$E$11:$E$40,Override!$B$11:$B$40,$B212,Override!$D$11:$D$40,11)-SUMIFS(Override!$E$11:$E$40,Override!$B$11:$B$40,$B212,Override!$D$11:$D$40,11,Override!$C$11:$C$40,"MXAU"),Override!$M$247)/AS51!$B$3,"")))</f>
        <v/>
      </c>
      <c r="Q212" s="140">
        <f>IF(Q$13="","",IF($B212="","",IFERROR($C212*$D212*IF((Override!$C$4="ON")*(COUNTIFS(Override!$B$11:$B$40,$B212,Override!$D$11:$D$40,12,Override!$E$11:$E$40,"&gt;=0")-COUNTIFS(Override!$B$11:$B$40,$B212,Override!$D$11:$D$40,12,Override!$E$11:$E$40,"&gt;=0",Override!$C$11:$C$40,"MXAU"))&gt;0,SUMIFS(Override!$E$11:$E$40,Override!$B$11:$B$40,$B212,Override!$D$11:$D$40,12)-SUMIFS(Override!$E$11:$E$40,Override!$B$11:$B$40,$B212,Override!$D$11:$D$40,12,Override!$C$11:$C$40,"MXAU"),Override!$N$247)/AS51!$B$3,"")))</f>
        <v/>
      </c>
      <c r="R212" s="140">
        <f>IF(R$13="","",IF($B212="","",IFERROR($C212*$D212*IF((Override!$C$4="ON")*(COUNTIFS(Override!$B$11:$B$40,$B212,Override!$D$11:$D$40,13,Override!$E$11:$E$40,"&gt;=0")-COUNTIFS(Override!$B$11:$B$40,$B212,Override!$D$11:$D$40,13,Override!$E$11:$E$40,"&gt;=0",Override!$C$11:$C$40,"MXAU"))&gt;0,SUMIFS(Override!$E$11:$E$40,Override!$B$11:$B$40,$B212,Override!$D$11:$D$40,13)-SUMIFS(Override!$E$11:$E$40,Override!$B$11:$B$40,$B212,Override!$D$11:$D$40,13,Override!$C$11:$C$40,"MXAU"),Override!$O$247)/AS51!$B$3,"")))</f>
        <v/>
      </c>
      <c r="S212" s="140">
        <f>IF(S$13="","",IF($B212="","",IFERROR($C212*$D212*IF((Override!$C$4="ON")*(COUNTIFS(Override!$B$11:$B$40,$B212,Override!$D$11:$D$40,14,Override!$E$11:$E$40,"&gt;=0")-COUNTIFS(Override!$B$11:$B$40,$B212,Override!$D$11:$D$40,14,Override!$E$11:$E$40,"&gt;=0",Override!$C$11:$C$40,"MXAU"))&gt;0,SUMIFS(Override!$E$11:$E$40,Override!$B$11:$B$40,$B212,Override!$D$11:$D$40,14)-SUMIFS(Override!$E$11:$E$40,Override!$B$11:$B$40,$B212,Override!$D$11:$D$40,14,Override!$C$11:$C$40,"MXAU"),Override!$P$247)/AS51!$B$3,"")))</f>
        <v/>
      </c>
      <c r="T212" s="140">
        <f>IF(T$13="","",IF($B212="","",IFERROR($C212*$D212*IF((Override!$C$4="ON")*(COUNTIFS(Override!$B$11:$B$40,$B212,Override!$D$11:$D$40,15,Override!$E$11:$E$40,"&gt;=0")-COUNTIFS(Override!$B$11:$B$40,$B212,Override!$D$11:$D$40,15,Override!$E$11:$E$40,"&gt;=0",Override!$C$11:$C$40,"MXAU"))&gt;0,SUMIFS(Override!$E$11:$E$40,Override!$B$11:$B$40,$B212,Override!$D$11:$D$40,15)-SUMIFS(Override!$E$11:$E$40,Override!$B$11:$B$40,$B212,Override!$D$11:$D$40,15,Override!$C$11:$C$40,"MXAU"),Override!$Q$247)/AS51!$B$3,"")))</f>
        <v/>
      </c>
      <c r="U212" s="140">
        <f>IF(U$13="","",IF($B212="","",IFERROR($C212*$D212*IF((Override!$C$4="ON")*(COUNTIFS(Override!$B$11:$B$40,$B212,Override!$D$11:$D$40,16,Override!$E$11:$E$40,"&gt;=0")-COUNTIFS(Override!$B$11:$B$40,$B212,Override!$D$11:$D$40,16,Override!$E$11:$E$40,"&gt;=0",Override!$C$11:$C$40,"MXAU"))&gt;0,SUMIFS(Override!$E$11:$E$40,Override!$B$11:$B$40,$B212,Override!$D$11:$D$40,16)-SUMIFS(Override!$E$11:$E$40,Override!$B$11:$B$40,$B212,Override!$D$11:$D$40,16,Override!$C$11:$C$40,"MXAU"),Override!$R$247)/AS51!$B$3,"")))</f>
        <v/>
      </c>
      <c r="W212" s="140">
        <f>IF(W$13="","",IF($B212="","",IFERROR(F212*$E212/100,"")))</f>
        <v/>
      </c>
      <c r="X212" s="140">
        <f>IF(X$13="","",IF($B212="","",IFERROR(G212*$E212/100,"")))</f>
        <v/>
      </c>
      <c r="Y212" s="140">
        <f>IF(Y$13="","",IF($B212="","",IFERROR(H212*$E212/100,"")))</f>
        <v/>
      </c>
      <c r="Z212" s="140">
        <f>IF(Z$13="","",IF($B212="","",IFERROR(I212*$E212/100,"")))</f>
        <v/>
      </c>
      <c r="AA212" s="140">
        <f>IF(AA$13="","",IF($B212="","",IFERROR(J212*$E212/100,"")))</f>
        <v/>
      </c>
      <c r="AB212" s="140">
        <f>IF(AB$13="","",IF($B212="","",IFERROR(K212*$E212/100,"")))</f>
        <v/>
      </c>
      <c r="AC212" s="140">
        <f>IF(AC$13="","",IF($B212="","",IFERROR(L212*$E212/100,"")))</f>
        <v/>
      </c>
      <c r="AD212" s="140">
        <f>IF(AD$13="","",IF($B212="","",IFERROR(M212*$E212/100,"")))</f>
        <v/>
      </c>
      <c r="AE212" s="140">
        <f>IF(AE$13="","",IF($B212="","",IFERROR(N212*$E212/100,"")))</f>
        <v/>
      </c>
      <c r="AF212" s="140">
        <f>IF(AF$13="","",IF($B212="","",IFERROR(O212*$E212/100,"")))</f>
        <v/>
      </c>
      <c r="AG212" s="140">
        <f>IF(AG$13="","",IF($B212="","",IFERROR(P212*$E212/100,"")))</f>
        <v/>
      </c>
      <c r="AH212" s="140">
        <f>IF(AH$13="","",IF($B212="","",IFERROR(Q212*$E212/100,"")))</f>
        <v/>
      </c>
      <c r="AI212" s="140">
        <f>IF(AI$13="","",IF($B212="","",IFERROR(R212*$E212/100,"")))</f>
        <v/>
      </c>
      <c r="AJ212" s="140">
        <f>IF(AJ$13="","",IF($B212="","",IFERROR(S212*$E212/100,"")))</f>
        <v/>
      </c>
      <c r="AK212" s="140">
        <f>IF(AK$13="","",IF($B212="","",IFERROR(T212*$E212/100,"")))</f>
        <v/>
      </c>
      <c r="AL212" s="140">
        <f>IF(AL$13="","",IF($B212="","",IFERROR(U212*$E212/100,"")))</f>
        <v/>
      </c>
      <c r="AN212" s="140">
        <f>IF($B212="","",SUMIF($F$13:$U$13,"&lt;="&amp;Sector!$D$51,$F212:$U212))</f>
        <v/>
      </c>
      <c r="AO212" s="140">
        <f>IF($B212="","",SUMIF($W$13:$AL$13,"&lt;="&amp;Sector!$D$51,$W212:$AL212))</f>
        <v/>
      </c>
    </row>
    <row r="213">
      <c r="B213" s="5">
        <f>IF(AS51!$C$203="","",AS51!$C$203)</f>
        <v/>
      </c>
      <c r="C213" s="90">
        <f>IF(AS51!$B$203="","",AS51!$B$203)</f>
        <v/>
      </c>
      <c r="D213" s="138">
        <f>IFERROR(AS51!$Q$203,1)</f>
        <v/>
      </c>
      <c r="E213" s="139">
        <f>IF($B213="","",IF(ISNUMBER(AS51!$I$203),AS51!$I$203,'Index Summary'!$C$7))</f>
        <v/>
      </c>
      <c r="F213" s="140">
        <f>IF(F$13="","",IF($B213="","",IFERROR($C213*$D213*IF((Override!$C$4="ON")*(COUNTIFS(Override!$B$11:$B$40,$B213,Override!$D$11:$D$40,1,Override!$E$11:$E$40,"&gt;=0")-COUNTIFS(Override!$B$11:$B$40,$B213,Override!$D$11:$D$40,1,Override!$E$11:$E$40,"&gt;=0",Override!$C$11:$C$40,"MXAU"))&gt;0,SUMIFS(Override!$E$11:$E$40,Override!$B$11:$B$40,$B213,Override!$D$11:$D$40,1)-SUMIFS(Override!$E$11:$E$40,Override!$B$11:$B$40,$B213,Override!$D$11:$D$40,1,Override!$C$11:$C$40,"MXAU"),Override!$C$248)/AS51!$B$3,"")))</f>
        <v/>
      </c>
      <c r="G213" s="140">
        <f>IF(G$13="","",IF($B213="","",IFERROR($C213*$D213*IF((Override!$C$4="ON")*(COUNTIFS(Override!$B$11:$B$40,$B213,Override!$D$11:$D$40,2,Override!$E$11:$E$40,"&gt;=0")-COUNTIFS(Override!$B$11:$B$40,$B213,Override!$D$11:$D$40,2,Override!$E$11:$E$40,"&gt;=0",Override!$C$11:$C$40,"MXAU"))&gt;0,SUMIFS(Override!$E$11:$E$40,Override!$B$11:$B$40,$B213,Override!$D$11:$D$40,2)-SUMIFS(Override!$E$11:$E$40,Override!$B$11:$B$40,$B213,Override!$D$11:$D$40,2,Override!$C$11:$C$40,"MXAU"),Override!$D$248)/AS51!$B$3,"")))</f>
        <v/>
      </c>
      <c r="H213" s="140">
        <f>IF(H$13="","",IF($B213="","",IFERROR($C213*$D213*IF((Override!$C$4="ON")*(COUNTIFS(Override!$B$11:$B$40,$B213,Override!$D$11:$D$40,3,Override!$E$11:$E$40,"&gt;=0")-COUNTIFS(Override!$B$11:$B$40,$B213,Override!$D$11:$D$40,3,Override!$E$11:$E$40,"&gt;=0",Override!$C$11:$C$40,"MXAU"))&gt;0,SUMIFS(Override!$E$11:$E$40,Override!$B$11:$B$40,$B213,Override!$D$11:$D$40,3)-SUMIFS(Override!$E$11:$E$40,Override!$B$11:$B$40,$B213,Override!$D$11:$D$40,3,Override!$C$11:$C$40,"MXAU"),Override!$E$248)/AS51!$B$3,"")))</f>
        <v/>
      </c>
      <c r="I213" s="140">
        <f>IF(I$13="","",IF($B213="","",IFERROR($C213*$D213*IF((Override!$C$4="ON")*(COUNTIFS(Override!$B$11:$B$40,$B213,Override!$D$11:$D$40,4,Override!$E$11:$E$40,"&gt;=0")-COUNTIFS(Override!$B$11:$B$40,$B213,Override!$D$11:$D$40,4,Override!$E$11:$E$40,"&gt;=0",Override!$C$11:$C$40,"MXAU"))&gt;0,SUMIFS(Override!$E$11:$E$40,Override!$B$11:$B$40,$B213,Override!$D$11:$D$40,4)-SUMIFS(Override!$E$11:$E$40,Override!$B$11:$B$40,$B213,Override!$D$11:$D$40,4,Override!$C$11:$C$40,"MXAU"),Override!$F$248)/AS51!$B$3,"")))</f>
        <v/>
      </c>
      <c r="J213" s="140">
        <f>IF(J$13="","",IF($B213="","",IFERROR($C213*$D213*IF((Override!$C$4="ON")*(COUNTIFS(Override!$B$11:$B$40,$B213,Override!$D$11:$D$40,5,Override!$E$11:$E$40,"&gt;=0")-COUNTIFS(Override!$B$11:$B$40,$B213,Override!$D$11:$D$40,5,Override!$E$11:$E$40,"&gt;=0",Override!$C$11:$C$40,"MXAU"))&gt;0,SUMIFS(Override!$E$11:$E$40,Override!$B$11:$B$40,$B213,Override!$D$11:$D$40,5)-SUMIFS(Override!$E$11:$E$40,Override!$B$11:$B$40,$B213,Override!$D$11:$D$40,5,Override!$C$11:$C$40,"MXAU"),Override!$G$248)/AS51!$B$3,"")))</f>
        <v/>
      </c>
      <c r="K213" s="140">
        <f>IF(K$13="","",IF($B213="","",IFERROR($C213*$D213*IF((Override!$C$4="ON")*(COUNTIFS(Override!$B$11:$B$40,$B213,Override!$D$11:$D$40,6,Override!$E$11:$E$40,"&gt;=0")-COUNTIFS(Override!$B$11:$B$40,$B213,Override!$D$11:$D$40,6,Override!$E$11:$E$40,"&gt;=0",Override!$C$11:$C$40,"MXAU"))&gt;0,SUMIFS(Override!$E$11:$E$40,Override!$B$11:$B$40,$B213,Override!$D$11:$D$40,6)-SUMIFS(Override!$E$11:$E$40,Override!$B$11:$B$40,$B213,Override!$D$11:$D$40,6,Override!$C$11:$C$40,"MXAU"),Override!$H$248)/AS51!$B$3,"")))</f>
        <v/>
      </c>
      <c r="L213" s="140">
        <f>IF(L$13="","",IF($B213="","",IFERROR($C213*$D213*IF((Override!$C$4="ON")*(COUNTIFS(Override!$B$11:$B$40,$B213,Override!$D$11:$D$40,7,Override!$E$11:$E$40,"&gt;=0")-COUNTIFS(Override!$B$11:$B$40,$B213,Override!$D$11:$D$40,7,Override!$E$11:$E$40,"&gt;=0",Override!$C$11:$C$40,"MXAU"))&gt;0,SUMIFS(Override!$E$11:$E$40,Override!$B$11:$B$40,$B213,Override!$D$11:$D$40,7)-SUMIFS(Override!$E$11:$E$40,Override!$B$11:$B$40,$B213,Override!$D$11:$D$40,7,Override!$C$11:$C$40,"MXAU"),Override!$I$248)/AS51!$B$3,"")))</f>
        <v/>
      </c>
      <c r="M213" s="140">
        <f>IF(M$13="","",IF($B213="","",IFERROR($C213*$D213*IF((Override!$C$4="ON")*(COUNTIFS(Override!$B$11:$B$40,$B213,Override!$D$11:$D$40,8,Override!$E$11:$E$40,"&gt;=0")-COUNTIFS(Override!$B$11:$B$40,$B213,Override!$D$11:$D$40,8,Override!$E$11:$E$40,"&gt;=0",Override!$C$11:$C$40,"MXAU"))&gt;0,SUMIFS(Override!$E$11:$E$40,Override!$B$11:$B$40,$B213,Override!$D$11:$D$40,8)-SUMIFS(Override!$E$11:$E$40,Override!$B$11:$B$40,$B213,Override!$D$11:$D$40,8,Override!$C$11:$C$40,"MXAU"),Override!$J$248)/AS51!$B$3,"")))</f>
        <v/>
      </c>
      <c r="N213" s="140">
        <f>IF(N$13="","",IF($B213="","",IFERROR($C213*$D213*IF((Override!$C$4="ON")*(COUNTIFS(Override!$B$11:$B$40,$B213,Override!$D$11:$D$40,9,Override!$E$11:$E$40,"&gt;=0")-COUNTIFS(Override!$B$11:$B$40,$B213,Override!$D$11:$D$40,9,Override!$E$11:$E$40,"&gt;=0",Override!$C$11:$C$40,"MXAU"))&gt;0,SUMIFS(Override!$E$11:$E$40,Override!$B$11:$B$40,$B213,Override!$D$11:$D$40,9)-SUMIFS(Override!$E$11:$E$40,Override!$B$11:$B$40,$B213,Override!$D$11:$D$40,9,Override!$C$11:$C$40,"MXAU"),Override!$K$248)/AS51!$B$3,"")))</f>
        <v/>
      </c>
      <c r="O213" s="140">
        <f>IF(O$13="","",IF($B213="","",IFERROR($C213*$D213*IF((Override!$C$4="ON")*(COUNTIFS(Override!$B$11:$B$40,$B213,Override!$D$11:$D$40,10,Override!$E$11:$E$40,"&gt;=0")-COUNTIFS(Override!$B$11:$B$40,$B213,Override!$D$11:$D$40,10,Override!$E$11:$E$40,"&gt;=0",Override!$C$11:$C$40,"MXAU"))&gt;0,SUMIFS(Override!$E$11:$E$40,Override!$B$11:$B$40,$B213,Override!$D$11:$D$40,10)-SUMIFS(Override!$E$11:$E$40,Override!$B$11:$B$40,$B213,Override!$D$11:$D$40,10,Override!$C$11:$C$40,"MXAU"),Override!$L$248)/AS51!$B$3,"")))</f>
        <v/>
      </c>
      <c r="P213" s="140">
        <f>IF(P$13="","",IF($B213="","",IFERROR($C213*$D213*IF((Override!$C$4="ON")*(COUNTIFS(Override!$B$11:$B$40,$B213,Override!$D$11:$D$40,11,Override!$E$11:$E$40,"&gt;=0")-COUNTIFS(Override!$B$11:$B$40,$B213,Override!$D$11:$D$40,11,Override!$E$11:$E$40,"&gt;=0",Override!$C$11:$C$40,"MXAU"))&gt;0,SUMIFS(Override!$E$11:$E$40,Override!$B$11:$B$40,$B213,Override!$D$11:$D$40,11)-SUMIFS(Override!$E$11:$E$40,Override!$B$11:$B$40,$B213,Override!$D$11:$D$40,11,Override!$C$11:$C$40,"MXAU"),Override!$M$248)/AS51!$B$3,"")))</f>
        <v/>
      </c>
      <c r="Q213" s="140">
        <f>IF(Q$13="","",IF($B213="","",IFERROR($C213*$D213*IF((Override!$C$4="ON")*(COUNTIFS(Override!$B$11:$B$40,$B213,Override!$D$11:$D$40,12,Override!$E$11:$E$40,"&gt;=0")-COUNTIFS(Override!$B$11:$B$40,$B213,Override!$D$11:$D$40,12,Override!$E$11:$E$40,"&gt;=0",Override!$C$11:$C$40,"MXAU"))&gt;0,SUMIFS(Override!$E$11:$E$40,Override!$B$11:$B$40,$B213,Override!$D$11:$D$40,12)-SUMIFS(Override!$E$11:$E$40,Override!$B$11:$B$40,$B213,Override!$D$11:$D$40,12,Override!$C$11:$C$40,"MXAU"),Override!$N$248)/AS51!$B$3,"")))</f>
        <v/>
      </c>
      <c r="R213" s="140">
        <f>IF(R$13="","",IF($B213="","",IFERROR($C213*$D213*IF((Override!$C$4="ON")*(COUNTIFS(Override!$B$11:$B$40,$B213,Override!$D$11:$D$40,13,Override!$E$11:$E$40,"&gt;=0")-COUNTIFS(Override!$B$11:$B$40,$B213,Override!$D$11:$D$40,13,Override!$E$11:$E$40,"&gt;=0",Override!$C$11:$C$40,"MXAU"))&gt;0,SUMIFS(Override!$E$11:$E$40,Override!$B$11:$B$40,$B213,Override!$D$11:$D$40,13)-SUMIFS(Override!$E$11:$E$40,Override!$B$11:$B$40,$B213,Override!$D$11:$D$40,13,Override!$C$11:$C$40,"MXAU"),Override!$O$248)/AS51!$B$3,"")))</f>
        <v/>
      </c>
      <c r="S213" s="140">
        <f>IF(S$13="","",IF($B213="","",IFERROR($C213*$D213*IF((Override!$C$4="ON")*(COUNTIFS(Override!$B$11:$B$40,$B213,Override!$D$11:$D$40,14,Override!$E$11:$E$40,"&gt;=0")-COUNTIFS(Override!$B$11:$B$40,$B213,Override!$D$11:$D$40,14,Override!$E$11:$E$40,"&gt;=0",Override!$C$11:$C$40,"MXAU"))&gt;0,SUMIFS(Override!$E$11:$E$40,Override!$B$11:$B$40,$B213,Override!$D$11:$D$40,14)-SUMIFS(Override!$E$11:$E$40,Override!$B$11:$B$40,$B213,Override!$D$11:$D$40,14,Override!$C$11:$C$40,"MXAU"),Override!$P$248)/AS51!$B$3,"")))</f>
        <v/>
      </c>
      <c r="T213" s="140">
        <f>IF(T$13="","",IF($B213="","",IFERROR($C213*$D213*IF((Override!$C$4="ON")*(COUNTIFS(Override!$B$11:$B$40,$B213,Override!$D$11:$D$40,15,Override!$E$11:$E$40,"&gt;=0")-COUNTIFS(Override!$B$11:$B$40,$B213,Override!$D$11:$D$40,15,Override!$E$11:$E$40,"&gt;=0",Override!$C$11:$C$40,"MXAU"))&gt;0,SUMIFS(Override!$E$11:$E$40,Override!$B$11:$B$40,$B213,Override!$D$11:$D$40,15)-SUMIFS(Override!$E$11:$E$40,Override!$B$11:$B$40,$B213,Override!$D$11:$D$40,15,Override!$C$11:$C$40,"MXAU"),Override!$Q$248)/AS51!$B$3,"")))</f>
        <v/>
      </c>
      <c r="U213" s="140">
        <f>IF(U$13="","",IF($B213="","",IFERROR($C213*$D213*IF((Override!$C$4="ON")*(COUNTIFS(Override!$B$11:$B$40,$B213,Override!$D$11:$D$40,16,Override!$E$11:$E$40,"&gt;=0")-COUNTIFS(Override!$B$11:$B$40,$B213,Override!$D$11:$D$40,16,Override!$E$11:$E$40,"&gt;=0",Override!$C$11:$C$40,"MXAU"))&gt;0,SUMIFS(Override!$E$11:$E$40,Override!$B$11:$B$40,$B213,Override!$D$11:$D$40,16)-SUMIFS(Override!$E$11:$E$40,Override!$B$11:$B$40,$B213,Override!$D$11:$D$40,16,Override!$C$11:$C$40,"MXAU"),Override!$R$248)/AS51!$B$3,"")))</f>
        <v/>
      </c>
      <c r="W213" s="140">
        <f>IF(W$13="","",IF($B213="","",IFERROR(F213*$E213/100,"")))</f>
        <v/>
      </c>
      <c r="X213" s="140">
        <f>IF(X$13="","",IF($B213="","",IFERROR(G213*$E213/100,"")))</f>
        <v/>
      </c>
      <c r="Y213" s="140">
        <f>IF(Y$13="","",IF($B213="","",IFERROR(H213*$E213/100,"")))</f>
        <v/>
      </c>
      <c r="Z213" s="140">
        <f>IF(Z$13="","",IF($B213="","",IFERROR(I213*$E213/100,"")))</f>
        <v/>
      </c>
      <c r="AA213" s="140">
        <f>IF(AA$13="","",IF($B213="","",IFERROR(J213*$E213/100,"")))</f>
        <v/>
      </c>
      <c r="AB213" s="140">
        <f>IF(AB$13="","",IF($B213="","",IFERROR(K213*$E213/100,"")))</f>
        <v/>
      </c>
      <c r="AC213" s="140">
        <f>IF(AC$13="","",IF($B213="","",IFERROR(L213*$E213/100,"")))</f>
        <v/>
      </c>
      <c r="AD213" s="140">
        <f>IF(AD$13="","",IF($B213="","",IFERROR(M213*$E213/100,"")))</f>
        <v/>
      </c>
      <c r="AE213" s="140">
        <f>IF(AE$13="","",IF($B213="","",IFERROR(N213*$E213/100,"")))</f>
        <v/>
      </c>
      <c r="AF213" s="140">
        <f>IF(AF$13="","",IF($B213="","",IFERROR(O213*$E213/100,"")))</f>
        <v/>
      </c>
      <c r="AG213" s="140">
        <f>IF(AG$13="","",IF($B213="","",IFERROR(P213*$E213/100,"")))</f>
        <v/>
      </c>
      <c r="AH213" s="140">
        <f>IF(AH$13="","",IF($B213="","",IFERROR(Q213*$E213/100,"")))</f>
        <v/>
      </c>
      <c r="AI213" s="140">
        <f>IF(AI$13="","",IF($B213="","",IFERROR(R213*$E213/100,"")))</f>
        <v/>
      </c>
      <c r="AJ213" s="140">
        <f>IF(AJ$13="","",IF($B213="","",IFERROR(S213*$E213/100,"")))</f>
        <v/>
      </c>
      <c r="AK213" s="140">
        <f>IF(AK$13="","",IF($B213="","",IFERROR(T213*$E213/100,"")))</f>
        <v/>
      </c>
      <c r="AL213" s="140">
        <f>IF(AL$13="","",IF($B213="","",IFERROR(U213*$E213/100,"")))</f>
        <v/>
      </c>
      <c r="AN213" s="140">
        <f>IF($B213="","",SUMIF($F$13:$U$13,"&lt;="&amp;Sector!$D$51,$F213:$U213))</f>
        <v/>
      </c>
      <c r="AO213" s="140">
        <f>IF($B213="","",SUMIF($W$13:$AL$13,"&lt;="&amp;Sector!$D$51,$W213:$AL213))</f>
        <v/>
      </c>
    </row>
    <row r="214">
      <c r="B214" s="5">
        <f>IF(AS51!$C$204="","",AS51!$C$204)</f>
        <v/>
      </c>
      <c r="C214" s="90">
        <f>IF(AS51!$B$204="","",AS51!$B$204)</f>
        <v/>
      </c>
      <c r="D214" s="138">
        <f>IFERROR(AS51!$Q$204,1)</f>
        <v/>
      </c>
      <c r="E214" s="139">
        <f>IF($B214="","",IF(ISNUMBER(AS51!$I$204),AS51!$I$204,'Index Summary'!$C$7))</f>
        <v/>
      </c>
      <c r="F214" s="140">
        <f>IF(F$13="","",IF($B214="","",IFERROR($C214*$D214*IF((Override!$C$4="ON")*(COUNTIFS(Override!$B$11:$B$40,$B214,Override!$D$11:$D$40,1,Override!$E$11:$E$40,"&gt;=0")-COUNTIFS(Override!$B$11:$B$40,$B214,Override!$D$11:$D$40,1,Override!$E$11:$E$40,"&gt;=0",Override!$C$11:$C$40,"MXAU"))&gt;0,SUMIFS(Override!$E$11:$E$40,Override!$B$11:$B$40,$B214,Override!$D$11:$D$40,1)-SUMIFS(Override!$E$11:$E$40,Override!$B$11:$B$40,$B214,Override!$D$11:$D$40,1,Override!$C$11:$C$40,"MXAU"),Override!$C$249)/AS51!$B$3,"")))</f>
        <v/>
      </c>
      <c r="G214" s="140">
        <f>IF(G$13="","",IF($B214="","",IFERROR($C214*$D214*IF((Override!$C$4="ON")*(COUNTIFS(Override!$B$11:$B$40,$B214,Override!$D$11:$D$40,2,Override!$E$11:$E$40,"&gt;=0")-COUNTIFS(Override!$B$11:$B$40,$B214,Override!$D$11:$D$40,2,Override!$E$11:$E$40,"&gt;=0",Override!$C$11:$C$40,"MXAU"))&gt;0,SUMIFS(Override!$E$11:$E$40,Override!$B$11:$B$40,$B214,Override!$D$11:$D$40,2)-SUMIFS(Override!$E$11:$E$40,Override!$B$11:$B$40,$B214,Override!$D$11:$D$40,2,Override!$C$11:$C$40,"MXAU"),Override!$D$249)/AS51!$B$3,"")))</f>
        <v/>
      </c>
      <c r="H214" s="140">
        <f>IF(H$13="","",IF($B214="","",IFERROR($C214*$D214*IF((Override!$C$4="ON")*(COUNTIFS(Override!$B$11:$B$40,$B214,Override!$D$11:$D$40,3,Override!$E$11:$E$40,"&gt;=0")-COUNTIFS(Override!$B$11:$B$40,$B214,Override!$D$11:$D$40,3,Override!$E$11:$E$40,"&gt;=0",Override!$C$11:$C$40,"MXAU"))&gt;0,SUMIFS(Override!$E$11:$E$40,Override!$B$11:$B$40,$B214,Override!$D$11:$D$40,3)-SUMIFS(Override!$E$11:$E$40,Override!$B$11:$B$40,$B214,Override!$D$11:$D$40,3,Override!$C$11:$C$40,"MXAU"),Override!$E$249)/AS51!$B$3,"")))</f>
        <v/>
      </c>
      <c r="I214" s="140">
        <f>IF(I$13="","",IF($B214="","",IFERROR($C214*$D214*IF((Override!$C$4="ON")*(COUNTIFS(Override!$B$11:$B$40,$B214,Override!$D$11:$D$40,4,Override!$E$11:$E$40,"&gt;=0")-COUNTIFS(Override!$B$11:$B$40,$B214,Override!$D$11:$D$40,4,Override!$E$11:$E$40,"&gt;=0",Override!$C$11:$C$40,"MXAU"))&gt;0,SUMIFS(Override!$E$11:$E$40,Override!$B$11:$B$40,$B214,Override!$D$11:$D$40,4)-SUMIFS(Override!$E$11:$E$40,Override!$B$11:$B$40,$B214,Override!$D$11:$D$40,4,Override!$C$11:$C$40,"MXAU"),Override!$F$249)/AS51!$B$3,"")))</f>
        <v/>
      </c>
      <c r="J214" s="140">
        <f>IF(J$13="","",IF($B214="","",IFERROR($C214*$D214*IF((Override!$C$4="ON")*(COUNTIFS(Override!$B$11:$B$40,$B214,Override!$D$11:$D$40,5,Override!$E$11:$E$40,"&gt;=0")-COUNTIFS(Override!$B$11:$B$40,$B214,Override!$D$11:$D$40,5,Override!$E$11:$E$40,"&gt;=0",Override!$C$11:$C$40,"MXAU"))&gt;0,SUMIFS(Override!$E$11:$E$40,Override!$B$11:$B$40,$B214,Override!$D$11:$D$40,5)-SUMIFS(Override!$E$11:$E$40,Override!$B$11:$B$40,$B214,Override!$D$11:$D$40,5,Override!$C$11:$C$40,"MXAU"),Override!$G$249)/AS51!$B$3,"")))</f>
        <v/>
      </c>
      <c r="K214" s="140">
        <f>IF(K$13="","",IF($B214="","",IFERROR($C214*$D214*IF((Override!$C$4="ON")*(COUNTIFS(Override!$B$11:$B$40,$B214,Override!$D$11:$D$40,6,Override!$E$11:$E$40,"&gt;=0")-COUNTIFS(Override!$B$11:$B$40,$B214,Override!$D$11:$D$40,6,Override!$E$11:$E$40,"&gt;=0",Override!$C$11:$C$40,"MXAU"))&gt;0,SUMIFS(Override!$E$11:$E$40,Override!$B$11:$B$40,$B214,Override!$D$11:$D$40,6)-SUMIFS(Override!$E$11:$E$40,Override!$B$11:$B$40,$B214,Override!$D$11:$D$40,6,Override!$C$11:$C$40,"MXAU"),Override!$H$249)/AS51!$B$3,"")))</f>
        <v/>
      </c>
      <c r="L214" s="140">
        <f>IF(L$13="","",IF($B214="","",IFERROR($C214*$D214*IF((Override!$C$4="ON")*(COUNTIFS(Override!$B$11:$B$40,$B214,Override!$D$11:$D$40,7,Override!$E$11:$E$40,"&gt;=0")-COUNTIFS(Override!$B$11:$B$40,$B214,Override!$D$11:$D$40,7,Override!$E$11:$E$40,"&gt;=0",Override!$C$11:$C$40,"MXAU"))&gt;0,SUMIFS(Override!$E$11:$E$40,Override!$B$11:$B$40,$B214,Override!$D$11:$D$40,7)-SUMIFS(Override!$E$11:$E$40,Override!$B$11:$B$40,$B214,Override!$D$11:$D$40,7,Override!$C$11:$C$40,"MXAU"),Override!$I$249)/AS51!$B$3,"")))</f>
        <v/>
      </c>
      <c r="M214" s="140">
        <f>IF(M$13="","",IF($B214="","",IFERROR($C214*$D214*IF((Override!$C$4="ON")*(COUNTIFS(Override!$B$11:$B$40,$B214,Override!$D$11:$D$40,8,Override!$E$11:$E$40,"&gt;=0")-COUNTIFS(Override!$B$11:$B$40,$B214,Override!$D$11:$D$40,8,Override!$E$11:$E$40,"&gt;=0",Override!$C$11:$C$40,"MXAU"))&gt;0,SUMIFS(Override!$E$11:$E$40,Override!$B$11:$B$40,$B214,Override!$D$11:$D$40,8)-SUMIFS(Override!$E$11:$E$40,Override!$B$11:$B$40,$B214,Override!$D$11:$D$40,8,Override!$C$11:$C$40,"MXAU"),Override!$J$249)/AS51!$B$3,"")))</f>
        <v/>
      </c>
      <c r="N214" s="140">
        <f>IF(N$13="","",IF($B214="","",IFERROR($C214*$D214*IF((Override!$C$4="ON")*(COUNTIFS(Override!$B$11:$B$40,$B214,Override!$D$11:$D$40,9,Override!$E$11:$E$40,"&gt;=0")-COUNTIFS(Override!$B$11:$B$40,$B214,Override!$D$11:$D$40,9,Override!$E$11:$E$40,"&gt;=0",Override!$C$11:$C$40,"MXAU"))&gt;0,SUMIFS(Override!$E$11:$E$40,Override!$B$11:$B$40,$B214,Override!$D$11:$D$40,9)-SUMIFS(Override!$E$11:$E$40,Override!$B$11:$B$40,$B214,Override!$D$11:$D$40,9,Override!$C$11:$C$40,"MXAU"),Override!$K$249)/AS51!$B$3,"")))</f>
        <v/>
      </c>
      <c r="O214" s="140">
        <f>IF(O$13="","",IF($B214="","",IFERROR($C214*$D214*IF((Override!$C$4="ON")*(COUNTIFS(Override!$B$11:$B$40,$B214,Override!$D$11:$D$40,10,Override!$E$11:$E$40,"&gt;=0")-COUNTIFS(Override!$B$11:$B$40,$B214,Override!$D$11:$D$40,10,Override!$E$11:$E$40,"&gt;=0",Override!$C$11:$C$40,"MXAU"))&gt;0,SUMIFS(Override!$E$11:$E$40,Override!$B$11:$B$40,$B214,Override!$D$11:$D$40,10)-SUMIFS(Override!$E$11:$E$40,Override!$B$11:$B$40,$B214,Override!$D$11:$D$40,10,Override!$C$11:$C$40,"MXAU"),Override!$L$249)/AS51!$B$3,"")))</f>
        <v/>
      </c>
      <c r="P214" s="140">
        <f>IF(P$13="","",IF($B214="","",IFERROR($C214*$D214*IF((Override!$C$4="ON")*(COUNTIFS(Override!$B$11:$B$40,$B214,Override!$D$11:$D$40,11,Override!$E$11:$E$40,"&gt;=0")-COUNTIFS(Override!$B$11:$B$40,$B214,Override!$D$11:$D$40,11,Override!$E$11:$E$40,"&gt;=0",Override!$C$11:$C$40,"MXAU"))&gt;0,SUMIFS(Override!$E$11:$E$40,Override!$B$11:$B$40,$B214,Override!$D$11:$D$40,11)-SUMIFS(Override!$E$11:$E$40,Override!$B$11:$B$40,$B214,Override!$D$11:$D$40,11,Override!$C$11:$C$40,"MXAU"),Override!$M$249)/AS51!$B$3,"")))</f>
        <v/>
      </c>
      <c r="Q214" s="140">
        <f>IF(Q$13="","",IF($B214="","",IFERROR($C214*$D214*IF((Override!$C$4="ON")*(COUNTIFS(Override!$B$11:$B$40,$B214,Override!$D$11:$D$40,12,Override!$E$11:$E$40,"&gt;=0")-COUNTIFS(Override!$B$11:$B$40,$B214,Override!$D$11:$D$40,12,Override!$E$11:$E$40,"&gt;=0",Override!$C$11:$C$40,"MXAU"))&gt;0,SUMIFS(Override!$E$11:$E$40,Override!$B$11:$B$40,$B214,Override!$D$11:$D$40,12)-SUMIFS(Override!$E$11:$E$40,Override!$B$11:$B$40,$B214,Override!$D$11:$D$40,12,Override!$C$11:$C$40,"MXAU"),Override!$N$249)/AS51!$B$3,"")))</f>
        <v/>
      </c>
      <c r="R214" s="140">
        <f>IF(R$13="","",IF($B214="","",IFERROR($C214*$D214*IF((Override!$C$4="ON")*(COUNTIFS(Override!$B$11:$B$40,$B214,Override!$D$11:$D$40,13,Override!$E$11:$E$40,"&gt;=0")-COUNTIFS(Override!$B$11:$B$40,$B214,Override!$D$11:$D$40,13,Override!$E$11:$E$40,"&gt;=0",Override!$C$11:$C$40,"MXAU"))&gt;0,SUMIFS(Override!$E$11:$E$40,Override!$B$11:$B$40,$B214,Override!$D$11:$D$40,13)-SUMIFS(Override!$E$11:$E$40,Override!$B$11:$B$40,$B214,Override!$D$11:$D$40,13,Override!$C$11:$C$40,"MXAU"),Override!$O$249)/AS51!$B$3,"")))</f>
        <v/>
      </c>
      <c r="S214" s="140">
        <f>IF(S$13="","",IF($B214="","",IFERROR($C214*$D214*IF((Override!$C$4="ON")*(COUNTIFS(Override!$B$11:$B$40,$B214,Override!$D$11:$D$40,14,Override!$E$11:$E$40,"&gt;=0")-COUNTIFS(Override!$B$11:$B$40,$B214,Override!$D$11:$D$40,14,Override!$E$11:$E$40,"&gt;=0",Override!$C$11:$C$40,"MXAU"))&gt;0,SUMIFS(Override!$E$11:$E$40,Override!$B$11:$B$40,$B214,Override!$D$11:$D$40,14)-SUMIFS(Override!$E$11:$E$40,Override!$B$11:$B$40,$B214,Override!$D$11:$D$40,14,Override!$C$11:$C$40,"MXAU"),Override!$P$249)/AS51!$B$3,"")))</f>
        <v/>
      </c>
      <c r="T214" s="140">
        <f>IF(T$13="","",IF($B214="","",IFERROR($C214*$D214*IF((Override!$C$4="ON")*(COUNTIFS(Override!$B$11:$B$40,$B214,Override!$D$11:$D$40,15,Override!$E$11:$E$40,"&gt;=0")-COUNTIFS(Override!$B$11:$B$40,$B214,Override!$D$11:$D$40,15,Override!$E$11:$E$40,"&gt;=0",Override!$C$11:$C$40,"MXAU"))&gt;0,SUMIFS(Override!$E$11:$E$40,Override!$B$11:$B$40,$B214,Override!$D$11:$D$40,15)-SUMIFS(Override!$E$11:$E$40,Override!$B$11:$B$40,$B214,Override!$D$11:$D$40,15,Override!$C$11:$C$40,"MXAU"),Override!$Q$249)/AS51!$B$3,"")))</f>
        <v/>
      </c>
      <c r="U214" s="140">
        <f>IF(U$13="","",IF($B214="","",IFERROR($C214*$D214*IF((Override!$C$4="ON")*(COUNTIFS(Override!$B$11:$B$40,$B214,Override!$D$11:$D$40,16,Override!$E$11:$E$40,"&gt;=0")-COUNTIFS(Override!$B$11:$B$40,$B214,Override!$D$11:$D$40,16,Override!$E$11:$E$40,"&gt;=0",Override!$C$11:$C$40,"MXAU"))&gt;0,SUMIFS(Override!$E$11:$E$40,Override!$B$11:$B$40,$B214,Override!$D$11:$D$40,16)-SUMIFS(Override!$E$11:$E$40,Override!$B$11:$B$40,$B214,Override!$D$11:$D$40,16,Override!$C$11:$C$40,"MXAU"),Override!$R$249)/AS51!$B$3,"")))</f>
        <v/>
      </c>
      <c r="W214" s="140">
        <f>IF(W$13="","",IF($B214="","",IFERROR(F214*$E214/100,"")))</f>
        <v/>
      </c>
      <c r="X214" s="140">
        <f>IF(X$13="","",IF($B214="","",IFERROR(G214*$E214/100,"")))</f>
        <v/>
      </c>
      <c r="Y214" s="140">
        <f>IF(Y$13="","",IF($B214="","",IFERROR(H214*$E214/100,"")))</f>
        <v/>
      </c>
      <c r="Z214" s="140">
        <f>IF(Z$13="","",IF($B214="","",IFERROR(I214*$E214/100,"")))</f>
        <v/>
      </c>
      <c r="AA214" s="140">
        <f>IF(AA$13="","",IF($B214="","",IFERROR(J214*$E214/100,"")))</f>
        <v/>
      </c>
      <c r="AB214" s="140">
        <f>IF(AB$13="","",IF($B214="","",IFERROR(K214*$E214/100,"")))</f>
        <v/>
      </c>
      <c r="AC214" s="140">
        <f>IF(AC$13="","",IF($B214="","",IFERROR(L214*$E214/100,"")))</f>
        <v/>
      </c>
      <c r="AD214" s="140">
        <f>IF(AD$13="","",IF($B214="","",IFERROR(M214*$E214/100,"")))</f>
        <v/>
      </c>
      <c r="AE214" s="140">
        <f>IF(AE$13="","",IF($B214="","",IFERROR(N214*$E214/100,"")))</f>
        <v/>
      </c>
      <c r="AF214" s="140">
        <f>IF(AF$13="","",IF($B214="","",IFERROR(O214*$E214/100,"")))</f>
        <v/>
      </c>
      <c r="AG214" s="140">
        <f>IF(AG$13="","",IF($B214="","",IFERROR(P214*$E214/100,"")))</f>
        <v/>
      </c>
      <c r="AH214" s="140">
        <f>IF(AH$13="","",IF($B214="","",IFERROR(Q214*$E214/100,"")))</f>
        <v/>
      </c>
      <c r="AI214" s="140">
        <f>IF(AI$13="","",IF($B214="","",IFERROR(R214*$E214/100,"")))</f>
        <v/>
      </c>
      <c r="AJ214" s="140">
        <f>IF(AJ$13="","",IF($B214="","",IFERROR(S214*$E214/100,"")))</f>
        <v/>
      </c>
      <c r="AK214" s="140">
        <f>IF(AK$13="","",IF($B214="","",IFERROR(T214*$E214/100,"")))</f>
        <v/>
      </c>
      <c r="AL214" s="140">
        <f>IF(AL$13="","",IF($B214="","",IFERROR(U214*$E214/100,"")))</f>
        <v/>
      </c>
      <c r="AN214" s="140">
        <f>IF($B214="","",SUMIF($F$13:$U$13,"&lt;="&amp;Sector!$D$51,$F214:$U214))</f>
        <v/>
      </c>
      <c r="AO214" s="140">
        <f>IF($B214="","",SUMIF($W$13:$AL$13,"&lt;="&amp;Sector!$D$51,$W214:$AL214))</f>
        <v/>
      </c>
    </row>
    <row r="215">
      <c r="B215" s="5">
        <f>IF(AS51!$C$205="","",AS51!$C$205)</f>
        <v/>
      </c>
      <c r="C215" s="90">
        <f>IF(AS51!$B$205="","",AS51!$B$205)</f>
        <v/>
      </c>
      <c r="D215" s="138">
        <f>IFERROR(AS51!$Q$205,1)</f>
        <v/>
      </c>
      <c r="E215" s="139">
        <f>IF($B215="","",IF(ISNUMBER(AS51!$I$205),AS51!$I$205,'Index Summary'!$C$7))</f>
        <v/>
      </c>
      <c r="F215" s="140">
        <f>IF(F$13="","",IF($B215="","",IFERROR($C215*$D215*IF((Override!$C$4="ON")*(COUNTIFS(Override!$B$11:$B$40,$B215,Override!$D$11:$D$40,1,Override!$E$11:$E$40,"&gt;=0")-COUNTIFS(Override!$B$11:$B$40,$B215,Override!$D$11:$D$40,1,Override!$E$11:$E$40,"&gt;=0",Override!$C$11:$C$40,"MXAU"))&gt;0,SUMIFS(Override!$E$11:$E$40,Override!$B$11:$B$40,$B215,Override!$D$11:$D$40,1)-SUMIFS(Override!$E$11:$E$40,Override!$B$11:$B$40,$B215,Override!$D$11:$D$40,1,Override!$C$11:$C$40,"MXAU"),Override!$C$250)/AS51!$B$3,"")))</f>
        <v/>
      </c>
      <c r="G215" s="140">
        <f>IF(G$13="","",IF($B215="","",IFERROR($C215*$D215*IF((Override!$C$4="ON")*(COUNTIFS(Override!$B$11:$B$40,$B215,Override!$D$11:$D$40,2,Override!$E$11:$E$40,"&gt;=0")-COUNTIFS(Override!$B$11:$B$40,$B215,Override!$D$11:$D$40,2,Override!$E$11:$E$40,"&gt;=0",Override!$C$11:$C$40,"MXAU"))&gt;0,SUMIFS(Override!$E$11:$E$40,Override!$B$11:$B$40,$B215,Override!$D$11:$D$40,2)-SUMIFS(Override!$E$11:$E$40,Override!$B$11:$B$40,$B215,Override!$D$11:$D$40,2,Override!$C$11:$C$40,"MXAU"),Override!$D$250)/AS51!$B$3,"")))</f>
        <v/>
      </c>
      <c r="H215" s="140">
        <f>IF(H$13="","",IF($B215="","",IFERROR($C215*$D215*IF((Override!$C$4="ON")*(COUNTIFS(Override!$B$11:$B$40,$B215,Override!$D$11:$D$40,3,Override!$E$11:$E$40,"&gt;=0")-COUNTIFS(Override!$B$11:$B$40,$B215,Override!$D$11:$D$40,3,Override!$E$11:$E$40,"&gt;=0",Override!$C$11:$C$40,"MXAU"))&gt;0,SUMIFS(Override!$E$11:$E$40,Override!$B$11:$B$40,$B215,Override!$D$11:$D$40,3)-SUMIFS(Override!$E$11:$E$40,Override!$B$11:$B$40,$B215,Override!$D$11:$D$40,3,Override!$C$11:$C$40,"MXAU"),Override!$E$250)/AS51!$B$3,"")))</f>
        <v/>
      </c>
      <c r="I215" s="140">
        <f>IF(I$13="","",IF($B215="","",IFERROR($C215*$D215*IF((Override!$C$4="ON")*(COUNTIFS(Override!$B$11:$B$40,$B215,Override!$D$11:$D$40,4,Override!$E$11:$E$40,"&gt;=0")-COUNTIFS(Override!$B$11:$B$40,$B215,Override!$D$11:$D$40,4,Override!$E$11:$E$40,"&gt;=0",Override!$C$11:$C$40,"MXAU"))&gt;0,SUMIFS(Override!$E$11:$E$40,Override!$B$11:$B$40,$B215,Override!$D$11:$D$40,4)-SUMIFS(Override!$E$11:$E$40,Override!$B$11:$B$40,$B215,Override!$D$11:$D$40,4,Override!$C$11:$C$40,"MXAU"),Override!$F$250)/AS51!$B$3,"")))</f>
        <v/>
      </c>
      <c r="J215" s="140">
        <f>IF(J$13="","",IF($B215="","",IFERROR($C215*$D215*IF((Override!$C$4="ON")*(COUNTIFS(Override!$B$11:$B$40,$B215,Override!$D$11:$D$40,5,Override!$E$11:$E$40,"&gt;=0")-COUNTIFS(Override!$B$11:$B$40,$B215,Override!$D$11:$D$40,5,Override!$E$11:$E$40,"&gt;=0",Override!$C$11:$C$40,"MXAU"))&gt;0,SUMIFS(Override!$E$11:$E$40,Override!$B$11:$B$40,$B215,Override!$D$11:$D$40,5)-SUMIFS(Override!$E$11:$E$40,Override!$B$11:$B$40,$B215,Override!$D$11:$D$40,5,Override!$C$11:$C$40,"MXAU"),Override!$G$250)/AS51!$B$3,"")))</f>
        <v/>
      </c>
      <c r="K215" s="140">
        <f>IF(K$13="","",IF($B215="","",IFERROR($C215*$D215*IF((Override!$C$4="ON")*(COUNTIFS(Override!$B$11:$B$40,$B215,Override!$D$11:$D$40,6,Override!$E$11:$E$40,"&gt;=0")-COUNTIFS(Override!$B$11:$B$40,$B215,Override!$D$11:$D$40,6,Override!$E$11:$E$40,"&gt;=0",Override!$C$11:$C$40,"MXAU"))&gt;0,SUMIFS(Override!$E$11:$E$40,Override!$B$11:$B$40,$B215,Override!$D$11:$D$40,6)-SUMIFS(Override!$E$11:$E$40,Override!$B$11:$B$40,$B215,Override!$D$11:$D$40,6,Override!$C$11:$C$40,"MXAU"),Override!$H$250)/AS51!$B$3,"")))</f>
        <v/>
      </c>
      <c r="L215" s="140">
        <f>IF(L$13="","",IF($B215="","",IFERROR($C215*$D215*IF((Override!$C$4="ON")*(COUNTIFS(Override!$B$11:$B$40,$B215,Override!$D$11:$D$40,7,Override!$E$11:$E$40,"&gt;=0")-COUNTIFS(Override!$B$11:$B$40,$B215,Override!$D$11:$D$40,7,Override!$E$11:$E$40,"&gt;=0",Override!$C$11:$C$40,"MXAU"))&gt;0,SUMIFS(Override!$E$11:$E$40,Override!$B$11:$B$40,$B215,Override!$D$11:$D$40,7)-SUMIFS(Override!$E$11:$E$40,Override!$B$11:$B$40,$B215,Override!$D$11:$D$40,7,Override!$C$11:$C$40,"MXAU"),Override!$I$250)/AS51!$B$3,"")))</f>
        <v/>
      </c>
      <c r="M215" s="140">
        <f>IF(M$13="","",IF($B215="","",IFERROR($C215*$D215*IF((Override!$C$4="ON")*(COUNTIFS(Override!$B$11:$B$40,$B215,Override!$D$11:$D$40,8,Override!$E$11:$E$40,"&gt;=0")-COUNTIFS(Override!$B$11:$B$40,$B215,Override!$D$11:$D$40,8,Override!$E$11:$E$40,"&gt;=0",Override!$C$11:$C$40,"MXAU"))&gt;0,SUMIFS(Override!$E$11:$E$40,Override!$B$11:$B$40,$B215,Override!$D$11:$D$40,8)-SUMIFS(Override!$E$11:$E$40,Override!$B$11:$B$40,$B215,Override!$D$11:$D$40,8,Override!$C$11:$C$40,"MXAU"),Override!$J$250)/AS51!$B$3,"")))</f>
        <v/>
      </c>
      <c r="N215" s="140">
        <f>IF(N$13="","",IF($B215="","",IFERROR($C215*$D215*IF((Override!$C$4="ON")*(COUNTIFS(Override!$B$11:$B$40,$B215,Override!$D$11:$D$40,9,Override!$E$11:$E$40,"&gt;=0")-COUNTIFS(Override!$B$11:$B$40,$B215,Override!$D$11:$D$40,9,Override!$E$11:$E$40,"&gt;=0",Override!$C$11:$C$40,"MXAU"))&gt;0,SUMIFS(Override!$E$11:$E$40,Override!$B$11:$B$40,$B215,Override!$D$11:$D$40,9)-SUMIFS(Override!$E$11:$E$40,Override!$B$11:$B$40,$B215,Override!$D$11:$D$40,9,Override!$C$11:$C$40,"MXAU"),Override!$K$250)/AS51!$B$3,"")))</f>
        <v/>
      </c>
      <c r="O215" s="140">
        <f>IF(O$13="","",IF($B215="","",IFERROR($C215*$D215*IF((Override!$C$4="ON")*(COUNTIFS(Override!$B$11:$B$40,$B215,Override!$D$11:$D$40,10,Override!$E$11:$E$40,"&gt;=0")-COUNTIFS(Override!$B$11:$B$40,$B215,Override!$D$11:$D$40,10,Override!$E$11:$E$40,"&gt;=0",Override!$C$11:$C$40,"MXAU"))&gt;0,SUMIFS(Override!$E$11:$E$40,Override!$B$11:$B$40,$B215,Override!$D$11:$D$40,10)-SUMIFS(Override!$E$11:$E$40,Override!$B$11:$B$40,$B215,Override!$D$11:$D$40,10,Override!$C$11:$C$40,"MXAU"),Override!$L$250)/AS51!$B$3,"")))</f>
        <v/>
      </c>
      <c r="P215" s="140">
        <f>IF(P$13="","",IF($B215="","",IFERROR($C215*$D215*IF((Override!$C$4="ON")*(COUNTIFS(Override!$B$11:$B$40,$B215,Override!$D$11:$D$40,11,Override!$E$11:$E$40,"&gt;=0")-COUNTIFS(Override!$B$11:$B$40,$B215,Override!$D$11:$D$40,11,Override!$E$11:$E$40,"&gt;=0",Override!$C$11:$C$40,"MXAU"))&gt;0,SUMIFS(Override!$E$11:$E$40,Override!$B$11:$B$40,$B215,Override!$D$11:$D$40,11)-SUMIFS(Override!$E$11:$E$40,Override!$B$11:$B$40,$B215,Override!$D$11:$D$40,11,Override!$C$11:$C$40,"MXAU"),Override!$M$250)/AS51!$B$3,"")))</f>
        <v/>
      </c>
      <c r="Q215" s="140">
        <f>IF(Q$13="","",IF($B215="","",IFERROR($C215*$D215*IF((Override!$C$4="ON")*(COUNTIFS(Override!$B$11:$B$40,$B215,Override!$D$11:$D$40,12,Override!$E$11:$E$40,"&gt;=0")-COUNTIFS(Override!$B$11:$B$40,$B215,Override!$D$11:$D$40,12,Override!$E$11:$E$40,"&gt;=0",Override!$C$11:$C$40,"MXAU"))&gt;0,SUMIFS(Override!$E$11:$E$40,Override!$B$11:$B$40,$B215,Override!$D$11:$D$40,12)-SUMIFS(Override!$E$11:$E$40,Override!$B$11:$B$40,$B215,Override!$D$11:$D$40,12,Override!$C$11:$C$40,"MXAU"),Override!$N$250)/AS51!$B$3,"")))</f>
        <v/>
      </c>
      <c r="R215" s="140">
        <f>IF(R$13="","",IF($B215="","",IFERROR($C215*$D215*IF((Override!$C$4="ON")*(COUNTIFS(Override!$B$11:$B$40,$B215,Override!$D$11:$D$40,13,Override!$E$11:$E$40,"&gt;=0")-COUNTIFS(Override!$B$11:$B$40,$B215,Override!$D$11:$D$40,13,Override!$E$11:$E$40,"&gt;=0",Override!$C$11:$C$40,"MXAU"))&gt;0,SUMIFS(Override!$E$11:$E$40,Override!$B$11:$B$40,$B215,Override!$D$11:$D$40,13)-SUMIFS(Override!$E$11:$E$40,Override!$B$11:$B$40,$B215,Override!$D$11:$D$40,13,Override!$C$11:$C$40,"MXAU"),Override!$O$250)/AS51!$B$3,"")))</f>
        <v/>
      </c>
      <c r="S215" s="140">
        <f>IF(S$13="","",IF($B215="","",IFERROR($C215*$D215*IF((Override!$C$4="ON")*(COUNTIFS(Override!$B$11:$B$40,$B215,Override!$D$11:$D$40,14,Override!$E$11:$E$40,"&gt;=0")-COUNTIFS(Override!$B$11:$B$40,$B215,Override!$D$11:$D$40,14,Override!$E$11:$E$40,"&gt;=0",Override!$C$11:$C$40,"MXAU"))&gt;0,SUMIFS(Override!$E$11:$E$40,Override!$B$11:$B$40,$B215,Override!$D$11:$D$40,14)-SUMIFS(Override!$E$11:$E$40,Override!$B$11:$B$40,$B215,Override!$D$11:$D$40,14,Override!$C$11:$C$40,"MXAU"),Override!$P$250)/AS51!$B$3,"")))</f>
        <v/>
      </c>
      <c r="T215" s="140">
        <f>IF(T$13="","",IF($B215="","",IFERROR($C215*$D215*IF((Override!$C$4="ON")*(COUNTIFS(Override!$B$11:$B$40,$B215,Override!$D$11:$D$40,15,Override!$E$11:$E$40,"&gt;=0")-COUNTIFS(Override!$B$11:$B$40,$B215,Override!$D$11:$D$40,15,Override!$E$11:$E$40,"&gt;=0",Override!$C$11:$C$40,"MXAU"))&gt;0,SUMIFS(Override!$E$11:$E$40,Override!$B$11:$B$40,$B215,Override!$D$11:$D$40,15)-SUMIFS(Override!$E$11:$E$40,Override!$B$11:$B$40,$B215,Override!$D$11:$D$40,15,Override!$C$11:$C$40,"MXAU"),Override!$Q$250)/AS51!$B$3,"")))</f>
        <v/>
      </c>
      <c r="U215" s="140">
        <f>IF(U$13="","",IF($B215="","",IFERROR($C215*$D215*IF((Override!$C$4="ON")*(COUNTIFS(Override!$B$11:$B$40,$B215,Override!$D$11:$D$40,16,Override!$E$11:$E$40,"&gt;=0")-COUNTIFS(Override!$B$11:$B$40,$B215,Override!$D$11:$D$40,16,Override!$E$11:$E$40,"&gt;=0",Override!$C$11:$C$40,"MXAU"))&gt;0,SUMIFS(Override!$E$11:$E$40,Override!$B$11:$B$40,$B215,Override!$D$11:$D$40,16)-SUMIFS(Override!$E$11:$E$40,Override!$B$11:$B$40,$B215,Override!$D$11:$D$40,16,Override!$C$11:$C$40,"MXAU"),Override!$R$250)/AS51!$B$3,"")))</f>
        <v/>
      </c>
      <c r="W215" s="140">
        <f>IF(W$13="","",IF($B215="","",IFERROR(F215*$E215/100,"")))</f>
        <v/>
      </c>
      <c r="X215" s="140">
        <f>IF(X$13="","",IF($B215="","",IFERROR(G215*$E215/100,"")))</f>
        <v/>
      </c>
      <c r="Y215" s="140">
        <f>IF(Y$13="","",IF($B215="","",IFERROR(H215*$E215/100,"")))</f>
        <v/>
      </c>
      <c r="Z215" s="140">
        <f>IF(Z$13="","",IF($B215="","",IFERROR(I215*$E215/100,"")))</f>
        <v/>
      </c>
      <c r="AA215" s="140">
        <f>IF(AA$13="","",IF($B215="","",IFERROR(J215*$E215/100,"")))</f>
        <v/>
      </c>
      <c r="AB215" s="140">
        <f>IF(AB$13="","",IF($B215="","",IFERROR(K215*$E215/100,"")))</f>
        <v/>
      </c>
      <c r="AC215" s="140">
        <f>IF(AC$13="","",IF($B215="","",IFERROR(L215*$E215/100,"")))</f>
        <v/>
      </c>
      <c r="AD215" s="140">
        <f>IF(AD$13="","",IF($B215="","",IFERROR(M215*$E215/100,"")))</f>
        <v/>
      </c>
      <c r="AE215" s="140">
        <f>IF(AE$13="","",IF($B215="","",IFERROR(N215*$E215/100,"")))</f>
        <v/>
      </c>
      <c r="AF215" s="140">
        <f>IF(AF$13="","",IF($B215="","",IFERROR(O215*$E215/100,"")))</f>
        <v/>
      </c>
      <c r="AG215" s="140">
        <f>IF(AG$13="","",IF($B215="","",IFERROR(P215*$E215/100,"")))</f>
        <v/>
      </c>
      <c r="AH215" s="140">
        <f>IF(AH$13="","",IF($B215="","",IFERROR(Q215*$E215/100,"")))</f>
        <v/>
      </c>
      <c r="AI215" s="140">
        <f>IF(AI$13="","",IF($B215="","",IFERROR(R215*$E215/100,"")))</f>
        <v/>
      </c>
      <c r="AJ215" s="140">
        <f>IF(AJ$13="","",IF($B215="","",IFERROR(S215*$E215/100,"")))</f>
        <v/>
      </c>
      <c r="AK215" s="140">
        <f>IF(AK$13="","",IF($B215="","",IFERROR(T215*$E215/100,"")))</f>
        <v/>
      </c>
      <c r="AL215" s="140">
        <f>IF(AL$13="","",IF($B215="","",IFERROR(U215*$E215/100,"")))</f>
        <v/>
      </c>
      <c r="AN215" s="140">
        <f>IF($B215="","",SUMIF($F$13:$U$13,"&lt;="&amp;Sector!$D$51,$F215:$U215))</f>
        <v/>
      </c>
      <c r="AO215" s="140">
        <f>IF($B215="","",SUMIF($W$13:$AL$13,"&lt;="&amp;Sector!$D$51,$W215:$AL215))</f>
        <v/>
      </c>
    </row>
    <row r="216">
      <c r="B216" s="5">
        <f>IF(AS51!$C$206="","",AS51!$C$206)</f>
        <v/>
      </c>
      <c r="C216" s="90">
        <f>IF(AS51!$B$206="","",AS51!$B$206)</f>
        <v/>
      </c>
      <c r="D216" s="138">
        <f>IFERROR(AS51!$Q$206,1)</f>
        <v/>
      </c>
      <c r="E216" s="139">
        <f>IF($B216="","",IF(ISNUMBER(AS51!$I$206),AS51!$I$206,'Index Summary'!$C$7))</f>
        <v/>
      </c>
      <c r="F216" s="140">
        <f>IF(F$13="","",IF($B216="","",IFERROR($C216*$D216*IF((Override!$C$4="ON")*(COUNTIFS(Override!$B$11:$B$40,$B216,Override!$D$11:$D$40,1,Override!$E$11:$E$40,"&gt;=0")-COUNTIFS(Override!$B$11:$B$40,$B216,Override!$D$11:$D$40,1,Override!$E$11:$E$40,"&gt;=0",Override!$C$11:$C$40,"MXAU"))&gt;0,SUMIFS(Override!$E$11:$E$40,Override!$B$11:$B$40,$B216,Override!$D$11:$D$40,1)-SUMIFS(Override!$E$11:$E$40,Override!$B$11:$B$40,$B216,Override!$D$11:$D$40,1,Override!$C$11:$C$40,"MXAU"),Override!$C$251)/AS51!$B$3,"")))</f>
        <v/>
      </c>
      <c r="G216" s="140">
        <f>IF(G$13="","",IF($B216="","",IFERROR($C216*$D216*IF((Override!$C$4="ON")*(COUNTIFS(Override!$B$11:$B$40,$B216,Override!$D$11:$D$40,2,Override!$E$11:$E$40,"&gt;=0")-COUNTIFS(Override!$B$11:$B$40,$B216,Override!$D$11:$D$40,2,Override!$E$11:$E$40,"&gt;=0",Override!$C$11:$C$40,"MXAU"))&gt;0,SUMIFS(Override!$E$11:$E$40,Override!$B$11:$B$40,$B216,Override!$D$11:$D$40,2)-SUMIFS(Override!$E$11:$E$40,Override!$B$11:$B$40,$B216,Override!$D$11:$D$40,2,Override!$C$11:$C$40,"MXAU"),Override!$D$251)/AS51!$B$3,"")))</f>
        <v/>
      </c>
      <c r="H216" s="140">
        <f>IF(H$13="","",IF($B216="","",IFERROR($C216*$D216*IF((Override!$C$4="ON")*(COUNTIFS(Override!$B$11:$B$40,$B216,Override!$D$11:$D$40,3,Override!$E$11:$E$40,"&gt;=0")-COUNTIFS(Override!$B$11:$B$40,$B216,Override!$D$11:$D$40,3,Override!$E$11:$E$40,"&gt;=0",Override!$C$11:$C$40,"MXAU"))&gt;0,SUMIFS(Override!$E$11:$E$40,Override!$B$11:$B$40,$B216,Override!$D$11:$D$40,3)-SUMIFS(Override!$E$11:$E$40,Override!$B$11:$B$40,$B216,Override!$D$11:$D$40,3,Override!$C$11:$C$40,"MXAU"),Override!$E$251)/AS51!$B$3,"")))</f>
        <v/>
      </c>
      <c r="I216" s="140">
        <f>IF(I$13="","",IF($B216="","",IFERROR($C216*$D216*IF((Override!$C$4="ON")*(COUNTIFS(Override!$B$11:$B$40,$B216,Override!$D$11:$D$40,4,Override!$E$11:$E$40,"&gt;=0")-COUNTIFS(Override!$B$11:$B$40,$B216,Override!$D$11:$D$40,4,Override!$E$11:$E$40,"&gt;=0",Override!$C$11:$C$40,"MXAU"))&gt;0,SUMIFS(Override!$E$11:$E$40,Override!$B$11:$B$40,$B216,Override!$D$11:$D$40,4)-SUMIFS(Override!$E$11:$E$40,Override!$B$11:$B$40,$B216,Override!$D$11:$D$40,4,Override!$C$11:$C$40,"MXAU"),Override!$F$251)/AS51!$B$3,"")))</f>
        <v/>
      </c>
      <c r="J216" s="140">
        <f>IF(J$13="","",IF($B216="","",IFERROR($C216*$D216*IF((Override!$C$4="ON")*(COUNTIFS(Override!$B$11:$B$40,$B216,Override!$D$11:$D$40,5,Override!$E$11:$E$40,"&gt;=0")-COUNTIFS(Override!$B$11:$B$40,$B216,Override!$D$11:$D$40,5,Override!$E$11:$E$40,"&gt;=0",Override!$C$11:$C$40,"MXAU"))&gt;0,SUMIFS(Override!$E$11:$E$40,Override!$B$11:$B$40,$B216,Override!$D$11:$D$40,5)-SUMIFS(Override!$E$11:$E$40,Override!$B$11:$B$40,$B216,Override!$D$11:$D$40,5,Override!$C$11:$C$40,"MXAU"),Override!$G$251)/AS51!$B$3,"")))</f>
        <v/>
      </c>
      <c r="K216" s="140">
        <f>IF(K$13="","",IF($B216="","",IFERROR($C216*$D216*IF((Override!$C$4="ON")*(COUNTIFS(Override!$B$11:$B$40,$B216,Override!$D$11:$D$40,6,Override!$E$11:$E$40,"&gt;=0")-COUNTIFS(Override!$B$11:$B$40,$B216,Override!$D$11:$D$40,6,Override!$E$11:$E$40,"&gt;=0",Override!$C$11:$C$40,"MXAU"))&gt;0,SUMIFS(Override!$E$11:$E$40,Override!$B$11:$B$40,$B216,Override!$D$11:$D$40,6)-SUMIFS(Override!$E$11:$E$40,Override!$B$11:$B$40,$B216,Override!$D$11:$D$40,6,Override!$C$11:$C$40,"MXAU"),Override!$H$251)/AS51!$B$3,"")))</f>
        <v/>
      </c>
      <c r="L216" s="140">
        <f>IF(L$13="","",IF($B216="","",IFERROR($C216*$D216*IF((Override!$C$4="ON")*(COUNTIFS(Override!$B$11:$B$40,$B216,Override!$D$11:$D$40,7,Override!$E$11:$E$40,"&gt;=0")-COUNTIFS(Override!$B$11:$B$40,$B216,Override!$D$11:$D$40,7,Override!$E$11:$E$40,"&gt;=0",Override!$C$11:$C$40,"MXAU"))&gt;0,SUMIFS(Override!$E$11:$E$40,Override!$B$11:$B$40,$B216,Override!$D$11:$D$40,7)-SUMIFS(Override!$E$11:$E$40,Override!$B$11:$B$40,$B216,Override!$D$11:$D$40,7,Override!$C$11:$C$40,"MXAU"),Override!$I$251)/AS51!$B$3,"")))</f>
        <v/>
      </c>
      <c r="M216" s="140">
        <f>IF(M$13="","",IF($B216="","",IFERROR($C216*$D216*IF((Override!$C$4="ON")*(COUNTIFS(Override!$B$11:$B$40,$B216,Override!$D$11:$D$40,8,Override!$E$11:$E$40,"&gt;=0")-COUNTIFS(Override!$B$11:$B$40,$B216,Override!$D$11:$D$40,8,Override!$E$11:$E$40,"&gt;=0",Override!$C$11:$C$40,"MXAU"))&gt;0,SUMIFS(Override!$E$11:$E$40,Override!$B$11:$B$40,$B216,Override!$D$11:$D$40,8)-SUMIFS(Override!$E$11:$E$40,Override!$B$11:$B$40,$B216,Override!$D$11:$D$40,8,Override!$C$11:$C$40,"MXAU"),Override!$J$251)/AS51!$B$3,"")))</f>
        <v/>
      </c>
      <c r="N216" s="140">
        <f>IF(N$13="","",IF($B216="","",IFERROR($C216*$D216*IF((Override!$C$4="ON")*(COUNTIFS(Override!$B$11:$B$40,$B216,Override!$D$11:$D$40,9,Override!$E$11:$E$40,"&gt;=0")-COUNTIFS(Override!$B$11:$B$40,$B216,Override!$D$11:$D$40,9,Override!$E$11:$E$40,"&gt;=0",Override!$C$11:$C$40,"MXAU"))&gt;0,SUMIFS(Override!$E$11:$E$40,Override!$B$11:$B$40,$B216,Override!$D$11:$D$40,9)-SUMIFS(Override!$E$11:$E$40,Override!$B$11:$B$40,$B216,Override!$D$11:$D$40,9,Override!$C$11:$C$40,"MXAU"),Override!$K$251)/AS51!$B$3,"")))</f>
        <v/>
      </c>
      <c r="O216" s="140">
        <f>IF(O$13="","",IF($B216="","",IFERROR($C216*$D216*IF((Override!$C$4="ON")*(COUNTIFS(Override!$B$11:$B$40,$B216,Override!$D$11:$D$40,10,Override!$E$11:$E$40,"&gt;=0")-COUNTIFS(Override!$B$11:$B$40,$B216,Override!$D$11:$D$40,10,Override!$E$11:$E$40,"&gt;=0",Override!$C$11:$C$40,"MXAU"))&gt;0,SUMIFS(Override!$E$11:$E$40,Override!$B$11:$B$40,$B216,Override!$D$11:$D$40,10)-SUMIFS(Override!$E$11:$E$40,Override!$B$11:$B$40,$B216,Override!$D$11:$D$40,10,Override!$C$11:$C$40,"MXAU"),Override!$L$251)/AS51!$B$3,"")))</f>
        <v/>
      </c>
      <c r="P216" s="140">
        <f>IF(P$13="","",IF($B216="","",IFERROR($C216*$D216*IF((Override!$C$4="ON")*(COUNTIFS(Override!$B$11:$B$40,$B216,Override!$D$11:$D$40,11,Override!$E$11:$E$40,"&gt;=0")-COUNTIFS(Override!$B$11:$B$40,$B216,Override!$D$11:$D$40,11,Override!$E$11:$E$40,"&gt;=0",Override!$C$11:$C$40,"MXAU"))&gt;0,SUMIFS(Override!$E$11:$E$40,Override!$B$11:$B$40,$B216,Override!$D$11:$D$40,11)-SUMIFS(Override!$E$11:$E$40,Override!$B$11:$B$40,$B216,Override!$D$11:$D$40,11,Override!$C$11:$C$40,"MXAU"),Override!$M$251)/AS51!$B$3,"")))</f>
        <v/>
      </c>
      <c r="Q216" s="140">
        <f>IF(Q$13="","",IF($B216="","",IFERROR($C216*$D216*IF((Override!$C$4="ON")*(COUNTIFS(Override!$B$11:$B$40,$B216,Override!$D$11:$D$40,12,Override!$E$11:$E$40,"&gt;=0")-COUNTIFS(Override!$B$11:$B$40,$B216,Override!$D$11:$D$40,12,Override!$E$11:$E$40,"&gt;=0",Override!$C$11:$C$40,"MXAU"))&gt;0,SUMIFS(Override!$E$11:$E$40,Override!$B$11:$B$40,$B216,Override!$D$11:$D$40,12)-SUMIFS(Override!$E$11:$E$40,Override!$B$11:$B$40,$B216,Override!$D$11:$D$40,12,Override!$C$11:$C$40,"MXAU"),Override!$N$251)/AS51!$B$3,"")))</f>
        <v/>
      </c>
      <c r="R216" s="140">
        <f>IF(R$13="","",IF($B216="","",IFERROR($C216*$D216*IF((Override!$C$4="ON")*(COUNTIFS(Override!$B$11:$B$40,$B216,Override!$D$11:$D$40,13,Override!$E$11:$E$40,"&gt;=0")-COUNTIFS(Override!$B$11:$B$40,$B216,Override!$D$11:$D$40,13,Override!$E$11:$E$40,"&gt;=0",Override!$C$11:$C$40,"MXAU"))&gt;0,SUMIFS(Override!$E$11:$E$40,Override!$B$11:$B$40,$B216,Override!$D$11:$D$40,13)-SUMIFS(Override!$E$11:$E$40,Override!$B$11:$B$40,$B216,Override!$D$11:$D$40,13,Override!$C$11:$C$40,"MXAU"),Override!$O$251)/AS51!$B$3,"")))</f>
        <v/>
      </c>
      <c r="S216" s="140">
        <f>IF(S$13="","",IF($B216="","",IFERROR($C216*$D216*IF((Override!$C$4="ON")*(COUNTIFS(Override!$B$11:$B$40,$B216,Override!$D$11:$D$40,14,Override!$E$11:$E$40,"&gt;=0")-COUNTIFS(Override!$B$11:$B$40,$B216,Override!$D$11:$D$40,14,Override!$E$11:$E$40,"&gt;=0",Override!$C$11:$C$40,"MXAU"))&gt;0,SUMIFS(Override!$E$11:$E$40,Override!$B$11:$B$40,$B216,Override!$D$11:$D$40,14)-SUMIFS(Override!$E$11:$E$40,Override!$B$11:$B$40,$B216,Override!$D$11:$D$40,14,Override!$C$11:$C$40,"MXAU"),Override!$P$251)/AS51!$B$3,"")))</f>
        <v/>
      </c>
      <c r="T216" s="140">
        <f>IF(T$13="","",IF($B216="","",IFERROR($C216*$D216*IF((Override!$C$4="ON")*(COUNTIFS(Override!$B$11:$B$40,$B216,Override!$D$11:$D$40,15,Override!$E$11:$E$40,"&gt;=0")-COUNTIFS(Override!$B$11:$B$40,$B216,Override!$D$11:$D$40,15,Override!$E$11:$E$40,"&gt;=0",Override!$C$11:$C$40,"MXAU"))&gt;0,SUMIFS(Override!$E$11:$E$40,Override!$B$11:$B$40,$B216,Override!$D$11:$D$40,15)-SUMIFS(Override!$E$11:$E$40,Override!$B$11:$B$40,$B216,Override!$D$11:$D$40,15,Override!$C$11:$C$40,"MXAU"),Override!$Q$251)/AS51!$B$3,"")))</f>
        <v/>
      </c>
      <c r="U216" s="140">
        <f>IF(U$13="","",IF($B216="","",IFERROR($C216*$D216*IF((Override!$C$4="ON")*(COUNTIFS(Override!$B$11:$B$40,$B216,Override!$D$11:$D$40,16,Override!$E$11:$E$40,"&gt;=0")-COUNTIFS(Override!$B$11:$B$40,$B216,Override!$D$11:$D$40,16,Override!$E$11:$E$40,"&gt;=0",Override!$C$11:$C$40,"MXAU"))&gt;0,SUMIFS(Override!$E$11:$E$40,Override!$B$11:$B$40,$B216,Override!$D$11:$D$40,16)-SUMIFS(Override!$E$11:$E$40,Override!$B$11:$B$40,$B216,Override!$D$11:$D$40,16,Override!$C$11:$C$40,"MXAU"),Override!$R$251)/AS51!$B$3,"")))</f>
        <v/>
      </c>
      <c r="W216" s="140">
        <f>IF(W$13="","",IF($B216="","",IFERROR(F216*$E216/100,"")))</f>
        <v/>
      </c>
      <c r="X216" s="140">
        <f>IF(X$13="","",IF($B216="","",IFERROR(G216*$E216/100,"")))</f>
        <v/>
      </c>
      <c r="Y216" s="140">
        <f>IF(Y$13="","",IF($B216="","",IFERROR(H216*$E216/100,"")))</f>
        <v/>
      </c>
      <c r="Z216" s="140">
        <f>IF(Z$13="","",IF($B216="","",IFERROR(I216*$E216/100,"")))</f>
        <v/>
      </c>
      <c r="AA216" s="140">
        <f>IF(AA$13="","",IF($B216="","",IFERROR(J216*$E216/100,"")))</f>
        <v/>
      </c>
      <c r="AB216" s="140">
        <f>IF(AB$13="","",IF($B216="","",IFERROR(K216*$E216/100,"")))</f>
        <v/>
      </c>
      <c r="AC216" s="140">
        <f>IF(AC$13="","",IF($B216="","",IFERROR(L216*$E216/100,"")))</f>
        <v/>
      </c>
      <c r="AD216" s="140">
        <f>IF(AD$13="","",IF($B216="","",IFERROR(M216*$E216/100,"")))</f>
        <v/>
      </c>
      <c r="AE216" s="140">
        <f>IF(AE$13="","",IF($B216="","",IFERROR(N216*$E216/100,"")))</f>
        <v/>
      </c>
      <c r="AF216" s="140">
        <f>IF(AF$13="","",IF($B216="","",IFERROR(O216*$E216/100,"")))</f>
        <v/>
      </c>
      <c r="AG216" s="140">
        <f>IF(AG$13="","",IF($B216="","",IFERROR(P216*$E216/100,"")))</f>
        <v/>
      </c>
      <c r="AH216" s="140">
        <f>IF(AH$13="","",IF($B216="","",IFERROR(Q216*$E216/100,"")))</f>
        <v/>
      </c>
      <c r="AI216" s="140">
        <f>IF(AI$13="","",IF($B216="","",IFERROR(R216*$E216/100,"")))</f>
        <v/>
      </c>
      <c r="AJ216" s="140">
        <f>IF(AJ$13="","",IF($B216="","",IFERROR(S216*$E216/100,"")))</f>
        <v/>
      </c>
      <c r="AK216" s="140">
        <f>IF(AK$13="","",IF($B216="","",IFERROR(T216*$E216/100,"")))</f>
        <v/>
      </c>
      <c r="AL216" s="140">
        <f>IF(AL$13="","",IF($B216="","",IFERROR(U216*$E216/100,"")))</f>
        <v/>
      </c>
      <c r="AN216" s="140">
        <f>IF($B216="","",SUMIF($F$13:$U$13,"&lt;="&amp;Sector!$D$51,$F216:$U216))</f>
        <v/>
      </c>
      <c r="AO216" s="140">
        <f>IF($B216="","",SUMIF($W$13:$AL$13,"&lt;="&amp;Sector!$D$51,$W216:$AL216))</f>
        <v/>
      </c>
    </row>
    <row r="217">
      <c r="B217" s="5">
        <f>IF(AS51!$C$207="","",AS51!$C$207)</f>
        <v/>
      </c>
      <c r="C217" s="90">
        <f>IF(AS51!$B$207="","",AS51!$B$207)</f>
        <v/>
      </c>
      <c r="D217" s="138">
        <f>IFERROR(AS51!$Q$207,1)</f>
        <v/>
      </c>
      <c r="E217" s="139">
        <f>IF($B217="","",IF(ISNUMBER(AS51!$I$207),AS51!$I$207,'Index Summary'!$C$7))</f>
        <v/>
      </c>
      <c r="F217" s="140">
        <f>IF(F$13="","",IF($B217="","",IFERROR($C217*$D217*IF((Override!$C$4="ON")*(COUNTIFS(Override!$B$11:$B$40,$B217,Override!$D$11:$D$40,1,Override!$E$11:$E$40,"&gt;=0")-COUNTIFS(Override!$B$11:$B$40,$B217,Override!$D$11:$D$40,1,Override!$E$11:$E$40,"&gt;=0",Override!$C$11:$C$40,"MXAU"))&gt;0,SUMIFS(Override!$E$11:$E$40,Override!$B$11:$B$40,$B217,Override!$D$11:$D$40,1)-SUMIFS(Override!$E$11:$E$40,Override!$B$11:$B$40,$B217,Override!$D$11:$D$40,1,Override!$C$11:$C$40,"MXAU"),Override!$C$252)/AS51!$B$3,"")))</f>
        <v/>
      </c>
      <c r="G217" s="140">
        <f>IF(G$13="","",IF($B217="","",IFERROR($C217*$D217*IF((Override!$C$4="ON")*(COUNTIFS(Override!$B$11:$B$40,$B217,Override!$D$11:$D$40,2,Override!$E$11:$E$40,"&gt;=0")-COUNTIFS(Override!$B$11:$B$40,$B217,Override!$D$11:$D$40,2,Override!$E$11:$E$40,"&gt;=0",Override!$C$11:$C$40,"MXAU"))&gt;0,SUMIFS(Override!$E$11:$E$40,Override!$B$11:$B$40,$B217,Override!$D$11:$D$40,2)-SUMIFS(Override!$E$11:$E$40,Override!$B$11:$B$40,$B217,Override!$D$11:$D$40,2,Override!$C$11:$C$40,"MXAU"),Override!$D$252)/AS51!$B$3,"")))</f>
        <v/>
      </c>
      <c r="H217" s="140">
        <f>IF(H$13="","",IF($B217="","",IFERROR($C217*$D217*IF((Override!$C$4="ON")*(COUNTIFS(Override!$B$11:$B$40,$B217,Override!$D$11:$D$40,3,Override!$E$11:$E$40,"&gt;=0")-COUNTIFS(Override!$B$11:$B$40,$B217,Override!$D$11:$D$40,3,Override!$E$11:$E$40,"&gt;=0",Override!$C$11:$C$40,"MXAU"))&gt;0,SUMIFS(Override!$E$11:$E$40,Override!$B$11:$B$40,$B217,Override!$D$11:$D$40,3)-SUMIFS(Override!$E$11:$E$40,Override!$B$11:$B$40,$B217,Override!$D$11:$D$40,3,Override!$C$11:$C$40,"MXAU"),Override!$E$252)/AS51!$B$3,"")))</f>
        <v/>
      </c>
      <c r="I217" s="140">
        <f>IF(I$13="","",IF($B217="","",IFERROR($C217*$D217*IF((Override!$C$4="ON")*(COUNTIFS(Override!$B$11:$B$40,$B217,Override!$D$11:$D$40,4,Override!$E$11:$E$40,"&gt;=0")-COUNTIFS(Override!$B$11:$B$40,$B217,Override!$D$11:$D$40,4,Override!$E$11:$E$40,"&gt;=0",Override!$C$11:$C$40,"MXAU"))&gt;0,SUMIFS(Override!$E$11:$E$40,Override!$B$11:$B$40,$B217,Override!$D$11:$D$40,4)-SUMIFS(Override!$E$11:$E$40,Override!$B$11:$B$40,$B217,Override!$D$11:$D$40,4,Override!$C$11:$C$40,"MXAU"),Override!$F$252)/AS51!$B$3,"")))</f>
        <v/>
      </c>
      <c r="J217" s="140">
        <f>IF(J$13="","",IF($B217="","",IFERROR($C217*$D217*IF((Override!$C$4="ON")*(COUNTIFS(Override!$B$11:$B$40,$B217,Override!$D$11:$D$40,5,Override!$E$11:$E$40,"&gt;=0")-COUNTIFS(Override!$B$11:$B$40,$B217,Override!$D$11:$D$40,5,Override!$E$11:$E$40,"&gt;=0",Override!$C$11:$C$40,"MXAU"))&gt;0,SUMIFS(Override!$E$11:$E$40,Override!$B$11:$B$40,$B217,Override!$D$11:$D$40,5)-SUMIFS(Override!$E$11:$E$40,Override!$B$11:$B$40,$B217,Override!$D$11:$D$40,5,Override!$C$11:$C$40,"MXAU"),Override!$G$252)/AS51!$B$3,"")))</f>
        <v/>
      </c>
      <c r="K217" s="140">
        <f>IF(K$13="","",IF($B217="","",IFERROR($C217*$D217*IF((Override!$C$4="ON")*(COUNTIFS(Override!$B$11:$B$40,$B217,Override!$D$11:$D$40,6,Override!$E$11:$E$40,"&gt;=0")-COUNTIFS(Override!$B$11:$B$40,$B217,Override!$D$11:$D$40,6,Override!$E$11:$E$40,"&gt;=0",Override!$C$11:$C$40,"MXAU"))&gt;0,SUMIFS(Override!$E$11:$E$40,Override!$B$11:$B$40,$B217,Override!$D$11:$D$40,6)-SUMIFS(Override!$E$11:$E$40,Override!$B$11:$B$40,$B217,Override!$D$11:$D$40,6,Override!$C$11:$C$40,"MXAU"),Override!$H$252)/AS51!$B$3,"")))</f>
        <v/>
      </c>
      <c r="L217" s="140">
        <f>IF(L$13="","",IF($B217="","",IFERROR($C217*$D217*IF((Override!$C$4="ON")*(COUNTIFS(Override!$B$11:$B$40,$B217,Override!$D$11:$D$40,7,Override!$E$11:$E$40,"&gt;=0")-COUNTIFS(Override!$B$11:$B$40,$B217,Override!$D$11:$D$40,7,Override!$E$11:$E$40,"&gt;=0",Override!$C$11:$C$40,"MXAU"))&gt;0,SUMIFS(Override!$E$11:$E$40,Override!$B$11:$B$40,$B217,Override!$D$11:$D$40,7)-SUMIFS(Override!$E$11:$E$40,Override!$B$11:$B$40,$B217,Override!$D$11:$D$40,7,Override!$C$11:$C$40,"MXAU"),Override!$I$252)/AS51!$B$3,"")))</f>
        <v/>
      </c>
      <c r="M217" s="140">
        <f>IF(M$13="","",IF($B217="","",IFERROR($C217*$D217*IF((Override!$C$4="ON")*(COUNTIFS(Override!$B$11:$B$40,$B217,Override!$D$11:$D$40,8,Override!$E$11:$E$40,"&gt;=0")-COUNTIFS(Override!$B$11:$B$40,$B217,Override!$D$11:$D$40,8,Override!$E$11:$E$40,"&gt;=0",Override!$C$11:$C$40,"MXAU"))&gt;0,SUMIFS(Override!$E$11:$E$40,Override!$B$11:$B$40,$B217,Override!$D$11:$D$40,8)-SUMIFS(Override!$E$11:$E$40,Override!$B$11:$B$40,$B217,Override!$D$11:$D$40,8,Override!$C$11:$C$40,"MXAU"),Override!$J$252)/AS51!$B$3,"")))</f>
        <v/>
      </c>
      <c r="N217" s="140">
        <f>IF(N$13="","",IF($B217="","",IFERROR($C217*$D217*IF((Override!$C$4="ON")*(COUNTIFS(Override!$B$11:$B$40,$B217,Override!$D$11:$D$40,9,Override!$E$11:$E$40,"&gt;=0")-COUNTIFS(Override!$B$11:$B$40,$B217,Override!$D$11:$D$40,9,Override!$E$11:$E$40,"&gt;=0",Override!$C$11:$C$40,"MXAU"))&gt;0,SUMIFS(Override!$E$11:$E$40,Override!$B$11:$B$40,$B217,Override!$D$11:$D$40,9)-SUMIFS(Override!$E$11:$E$40,Override!$B$11:$B$40,$B217,Override!$D$11:$D$40,9,Override!$C$11:$C$40,"MXAU"),Override!$K$252)/AS51!$B$3,"")))</f>
        <v/>
      </c>
      <c r="O217" s="140">
        <f>IF(O$13="","",IF($B217="","",IFERROR($C217*$D217*IF((Override!$C$4="ON")*(COUNTIFS(Override!$B$11:$B$40,$B217,Override!$D$11:$D$40,10,Override!$E$11:$E$40,"&gt;=0")-COUNTIFS(Override!$B$11:$B$40,$B217,Override!$D$11:$D$40,10,Override!$E$11:$E$40,"&gt;=0",Override!$C$11:$C$40,"MXAU"))&gt;0,SUMIFS(Override!$E$11:$E$40,Override!$B$11:$B$40,$B217,Override!$D$11:$D$40,10)-SUMIFS(Override!$E$11:$E$40,Override!$B$11:$B$40,$B217,Override!$D$11:$D$40,10,Override!$C$11:$C$40,"MXAU"),Override!$L$252)/AS51!$B$3,"")))</f>
        <v/>
      </c>
      <c r="P217" s="140">
        <f>IF(P$13="","",IF($B217="","",IFERROR($C217*$D217*IF((Override!$C$4="ON")*(COUNTIFS(Override!$B$11:$B$40,$B217,Override!$D$11:$D$40,11,Override!$E$11:$E$40,"&gt;=0")-COUNTIFS(Override!$B$11:$B$40,$B217,Override!$D$11:$D$40,11,Override!$E$11:$E$40,"&gt;=0",Override!$C$11:$C$40,"MXAU"))&gt;0,SUMIFS(Override!$E$11:$E$40,Override!$B$11:$B$40,$B217,Override!$D$11:$D$40,11)-SUMIFS(Override!$E$11:$E$40,Override!$B$11:$B$40,$B217,Override!$D$11:$D$40,11,Override!$C$11:$C$40,"MXAU"),Override!$M$252)/AS51!$B$3,"")))</f>
        <v/>
      </c>
      <c r="Q217" s="140">
        <f>IF(Q$13="","",IF($B217="","",IFERROR($C217*$D217*IF((Override!$C$4="ON")*(COUNTIFS(Override!$B$11:$B$40,$B217,Override!$D$11:$D$40,12,Override!$E$11:$E$40,"&gt;=0")-COUNTIFS(Override!$B$11:$B$40,$B217,Override!$D$11:$D$40,12,Override!$E$11:$E$40,"&gt;=0",Override!$C$11:$C$40,"MXAU"))&gt;0,SUMIFS(Override!$E$11:$E$40,Override!$B$11:$B$40,$B217,Override!$D$11:$D$40,12)-SUMIFS(Override!$E$11:$E$40,Override!$B$11:$B$40,$B217,Override!$D$11:$D$40,12,Override!$C$11:$C$40,"MXAU"),Override!$N$252)/AS51!$B$3,"")))</f>
        <v/>
      </c>
      <c r="R217" s="140">
        <f>IF(R$13="","",IF($B217="","",IFERROR($C217*$D217*IF((Override!$C$4="ON")*(COUNTIFS(Override!$B$11:$B$40,$B217,Override!$D$11:$D$40,13,Override!$E$11:$E$40,"&gt;=0")-COUNTIFS(Override!$B$11:$B$40,$B217,Override!$D$11:$D$40,13,Override!$E$11:$E$40,"&gt;=0",Override!$C$11:$C$40,"MXAU"))&gt;0,SUMIFS(Override!$E$11:$E$40,Override!$B$11:$B$40,$B217,Override!$D$11:$D$40,13)-SUMIFS(Override!$E$11:$E$40,Override!$B$11:$B$40,$B217,Override!$D$11:$D$40,13,Override!$C$11:$C$40,"MXAU"),Override!$O$252)/AS51!$B$3,"")))</f>
        <v/>
      </c>
      <c r="S217" s="140">
        <f>IF(S$13="","",IF($B217="","",IFERROR($C217*$D217*IF((Override!$C$4="ON")*(COUNTIFS(Override!$B$11:$B$40,$B217,Override!$D$11:$D$40,14,Override!$E$11:$E$40,"&gt;=0")-COUNTIFS(Override!$B$11:$B$40,$B217,Override!$D$11:$D$40,14,Override!$E$11:$E$40,"&gt;=0",Override!$C$11:$C$40,"MXAU"))&gt;0,SUMIFS(Override!$E$11:$E$40,Override!$B$11:$B$40,$B217,Override!$D$11:$D$40,14)-SUMIFS(Override!$E$11:$E$40,Override!$B$11:$B$40,$B217,Override!$D$11:$D$40,14,Override!$C$11:$C$40,"MXAU"),Override!$P$252)/AS51!$B$3,"")))</f>
        <v/>
      </c>
      <c r="T217" s="140">
        <f>IF(T$13="","",IF($B217="","",IFERROR($C217*$D217*IF((Override!$C$4="ON")*(COUNTIFS(Override!$B$11:$B$40,$B217,Override!$D$11:$D$40,15,Override!$E$11:$E$40,"&gt;=0")-COUNTIFS(Override!$B$11:$B$40,$B217,Override!$D$11:$D$40,15,Override!$E$11:$E$40,"&gt;=0",Override!$C$11:$C$40,"MXAU"))&gt;0,SUMIFS(Override!$E$11:$E$40,Override!$B$11:$B$40,$B217,Override!$D$11:$D$40,15)-SUMIFS(Override!$E$11:$E$40,Override!$B$11:$B$40,$B217,Override!$D$11:$D$40,15,Override!$C$11:$C$40,"MXAU"),Override!$Q$252)/AS51!$B$3,"")))</f>
        <v/>
      </c>
      <c r="U217" s="140">
        <f>IF(U$13="","",IF($B217="","",IFERROR($C217*$D217*IF((Override!$C$4="ON")*(COUNTIFS(Override!$B$11:$B$40,$B217,Override!$D$11:$D$40,16,Override!$E$11:$E$40,"&gt;=0")-COUNTIFS(Override!$B$11:$B$40,$B217,Override!$D$11:$D$40,16,Override!$E$11:$E$40,"&gt;=0",Override!$C$11:$C$40,"MXAU"))&gt;0,SUMIFS(Override!$E$11:$E$40,Override!$B$11:$B$40,$B217,Override!$D$11:$D$40,16)-SUMIFS(Override!$E$11:$E$40,Override!$B$11:$B$40,$B217,Override!$D$11:$D$40,16,Override!$C$11:$C$40,"MXAU"),Override!$R$252)/AS51!$B$3,"")))</f>
        <v/>
      </c>
      <c r="W217" s="140">
        <f>IF(W$13="","",IF($B217="","",IFERROR(F217*$E217/100,"")))</f>
        <v/>
      </c>
      <c r="X217" s="140">
        <f>IF(X$13="","",IF($B217="","",IFERROR(G217*$E217/100,"")))</f>
        <v/>
      </c>
      <c r="Y217" s="140">
        <f>IF(Y$13="","",IF($B217="","",IFERROR(H217*$E217/100,"")))</f>
        <v/>
      </c>
      <c r="Z217" s="140">
        <f>IF(Z$13="","",IF($B217="","",IFERROR(I217*$E217/100,"")))</f>
        <v/>
      </c>
      <c r="AA217" s="140">
        <f>IF(AA$13="","",IF($B217="","",IFERROR(J217*$E217/100,"")))</f>
        <v/>
      </c>
      <c r="AB217" s="140">
        <f>IF(AB$13="","",IF($B217="","",IFERROR(K217*$E217/100,"")))</f>
        <v/>
      </c>
      <c r="AC217" s="140">
        <f>IF(AC$13="","",IF($B217="","",IFERROR(L217*$E217/100,"")))</f>
        <v/>
      </c>
      <c r="AD217" s="140">
        <f>IF(AD$13="","",IF($B217="","",IFERROR(M217*$E217/100,"")))</f>
        <v/>
      </c>
      <c r="AE217" s="140">
        <f>IF(AE$13="","",IF($B217="","",IFERROR(N217*$E217/100,"")))</f>
        <v/>
      </c>
      <c r="AF217" s="140">
        <f>IF(AF$13="","",IF($B217="","",IFERROR(O217*$E217/100,"")))</f>
        <v/>
      </c>
      <c r="AG217" s="140">
        <f>IF(AG$13="","",IF($B217="","",IFERROR(P217*$E217/100,"")))</f>
        <v/>
      </c>
      <c r="AH217" s="140">
        <f>IF(AH$13="","",IF($B217="","",IFERROR(Q217*$E217/100,"")))</f>
        <v/>
      </c>
      <c r="AI217" s="140">
        <f>IF(AI$13="","",IF($B217="","",IFERROR(R217*$E217/100,"")))</f>
        <v/>
      </c>
      <c r="AJ217" s="140">
        <f>IF(AJ$13="","",IF($B217="","",IFERROR(S217*$E217/100,"")))</f>
        <v/>
      </c>
      <c r="AK217" s="140">
        <f>IF(AK$13="","",IF($B217="","",IFERROR(T217*$E217/100,"")))</f>
        <v/>
      </c>
      <c r="AL217" s="140">
        <f>IF(AL$13="","",IF($B217="","",IFERROR(U217*$E217/100,"")))</f>
        <v/>
      </c>
      <c r="AN217" s="140">
        <f>IF($B217="","",SUMIF($F$13:$U$13,"&lt;="&amp;Sector!$D$51,$F217:$U217))</f>
        <v/>
      </c>
      <c r="AO217" s="140">
        <f>IF($B217="","",SUMIF($W$13:$AL$13,"&lt;="&amp;Sector!$D$51,$W217:$AL217))</f>
        <v/>
      </c>
    </row>
    <row r="218">
      <c r="B218" s="5">
        <f>IF(AS51!$C$208="","",AS51!$C$208)</f>
        <v/>
      </c>
      <c r="C218" s="90">
        <f>IF(AS51!$B$208="","",AS51!$B$208)</f>
        <v/>
      </c>
      <c r="D218" s="138">
        <f>IFERROR(AS51!$Q$208,1)</f>
        <v/>
      </c>
      <c r="E218" s="139">
        <f>IF($B218="","",IF(ISNUMBER(AS51!$I$208),AS51!$I$208,'Index Summary'!$C$7))</f>
        <v/>
      </c>
      <c r="F218" s="140">
        <f>IF(F$13="","",IF($B218="","",IFERROR($C218*$D218*IF((Override!$C$4="ON")*(COUNTIFS(Override!$B$11:$B$40,$B218,Override!$D$11:$D$40,1,Override!$E$11:$E$40,"&gt;=0")-COUNTIFS(Override!$B$11:$B$40,$B218,Override!$D$11:$D$40,1,Override!$E$11:$E$40,"&gt;=0",Override!$C$11:$C$40,"MXAU"))&gt;0,SUMIFS(Override!$E$11:$E$40,Override!$B$11:$B$40,$B218,Override!$D$11:$D$40,1)-SUMIFS(Override!$E$11:$E$40,Override!$B$11:$B$40,$B218,Override!$D$11:$D$40,1,Override!$C$11:$C$40,"MXAU"),Override!$C$253)/AS51!$B$3,"")))</f>
        <v/>
      </c>
      <c r="G218" s="140">
        <f>IF(G$13="","",IF($B218="","",IFERROR($C218*$D218*IF((Override!$C$4="ON")*(COUNTIFS(Override!$B$11:$B$40,$B218,Override!$D$11:$D$40,2,Override!$E$11:$E$40,"&gt;=0")-COUNTIFS(Override!$B$11:$B$40,$B218,Override!$D$11:$D$40,2,Override!$E$11:$E$40,"&gt;=0",Override!$C$11:$C$40,"MXAU"))&gt;0,SUMIFS(Override!$E$11:$E$40,Override!$B$11:$B$40,$B218,Override!$D$11:$D$40,2)-SUMIFS(Override!$E$11:$E$40,Override!$B$11:$B$40,$B218,Override!$D$11:$D$40,2,Override!$C$11:$C$40,"MXAU"),Override!$D$253)/AS51!$B$3,"")))</f>
        <v/>
      </c>
      <c r="H218" s="140">
        <f>IF(H$13="","",IF($B218="","",IFERROR($C218*$D218*IF((Override!$C$4="ON")*(COUNTIFS(Override!$B$11:$B$40,$B218,Override!$D$11:$D$40,3,Override!$E$11:$E$40,"&gt;=0")-COUNTIFS(Override!$B$11:$B$40,$B218,Override!$D$11:$D$40,3,Override!$E$11:$E$40,"&gt;=0",Override!$C$11:$C$40,"MXAU"))&gt;0,SUMIFS(Override!$E$11:$E$40,Override!$B$11:$B$40,$B218,Override!$D$11:$D$40,3)-SUMIFS(Override!$E$11:$E$40,Override!$B$11:$B$40,$B218,Override!$D$11:$D$40,3,Override!$C$11:$C$40,"MXAU"),Override!$E$253)/AS51!$B$3,"")))</f>
        <v/>
      </c>
      <c r="I218" s="140">
        <f>IF(I$13="","",IF($B218="","",IFERROR($C218*$D218*IF((Override!$C$4="ON")*(COUNTIFS(Override!$B$11:$B$40,$B218,Override!$D$11:$D$40,4,Override!$E$11:$E$40,"&gt;=0")-COUNTIFS(Override!$B$11:$B$40,$B218,Override!$D$11:$D$40,4,Override!$E$11:$E$40,"&gt;=0",Override!$C$11:$C$40,"MXAU"))&gt;0,SUMIFS(Override!$E$11:$E$40,Override!$B$11:$B$40,$B218,Override!$D$11:$D$40,4)-SUMIFS(Override!$E$11:$E$40,Override!$B$11:$B$40,$B218,Override!$D$11:$D$40,4,Override!$C$11:$C$40,"MXAU"),Override!$F$253)/AS51!$B$3,"")))</f>
        <v/>
      </c>
      <c r="J218" s="140">
        <f>IF(J$13="","",IF($B218="","",IFERROR($C218*$D218*IF((Override!$C$4="ON")*(COUNTIFS(Override!$B$11:$B$40,$B218,Override!$D$11:$D$40,5,Override!$E$11:$E$40,"&gt;=0")-COUNTIFS(Override!$B$11:$B$40,$B218,Override!$D$11:$D$40,5,Override!$E$11:$E$40,"&gt;=0",Override!$C$11:$C$40,"MXAU"))&gt;0,SUMIFS(Override!$E$11:$E$40,Override!$B$11:$B$40,$B218,Override!$D$11:$D$40,5)-SUMIFS(Override!$E$11:$E$40,Override!$B$11:$B$40,$B218,Override!$D$11:$D$40,5,Override!$C$11:$C$40,"MXAU"),Override!$G$253)/AS51!$B$3,"")))</f>
        <v/>
      </c>
      <c r="K218" s="140">
        <f>IF(K$13="","",IF($B218="","",IFERROR($C218*$D218*IF((Override!$C$4="ON")*(COUNTIFS(Override!$B$11:$B$40,$B218,Override!$D$11:$D$40,6,Override!$E$11:$E$40,"&gt;=0")-COUNTIFS(Override!$B$11:$B$40,$B218,Override!$D$11:$D$40,6,Override!$E$11:$E$40,"&gt;=0",Override!$C$11:$C$40,"MXAU"))&gt;0,SUMIFS(Override!$E$11:$E$40,Override!$B$11:$B$40,$B218,Override!$D$11:$D$40,6)-SUMIFS(Override!$E$11:$E$40,Override!$B$11:$B$40,$B218,Override!$D$11:$D$40,6,Override!$C$11:$C$40,"MXAU"),Override!$H$253)/AS51!$B$3,"")))</f>
        <v/>
      </c>
      <c r="L218" s="140">
        <f>IF(L$13="","",IF($B218="","",IFERROR($C218*$D218*IF((Override!$C$4="ON")*(COUNTIFS(Override!$B$11:$B$40,$B218,Override!$D$11:$D$40,7,Override!$E$11:$E$40,"&gt;=0")-COUNTIFS(Override!$B$11:$B$40,$B218,Override!$D$11:$D$40,7,Override!$E$11:$E$40,"&gt;=0",Override!$C$11:$C$40,"MXAU"))&gt;0,SUMIFS(Override!$E$11:$E$40,Override!$B$11:$B$40,$B218,Override!$D$11:$D$40,7)-SUMIFS(Override!$E$11:$E$40,Override!$B$11:$B$40,$B218,Override!$D$11:$D$40,7,Override!$C$11:$C$40,"MXAU"),Override!$I$253)/AS51!$B$3,"")))</f>
        <v/>
      </c>
      <c r="M218" s="140">
        <f>IF(M$13="","",IF($B218="","",IFERROR($C218*$D218*IF((Override!$C$4="ON")*(COUNTIFS(Override!$B$11:$B$40,$B218,Override!$D$11:$D$40,8,Override!$E$11:$E$40,"&gt;=0")-COUNTIFS(Override!$B$11:$B$40,$B218,Override!$D$11:$D$40,8,Override!$E$11:$E$40,"&gt;=0",Override!$C$11:$C$40,"MXAU"))&gt;0,SUMIFS(Override!$E$11:$E$40,Override!$B$11:$B$40,$B218,Override!$D$11:$D$40,8)-SUMIFS(Override!$E$11:$E$40,Override!$B$11:$B$40,$B218,Override!$D$11:$D$40,8,Override!$C$11:$C$40,"MXAU"),Override!$J$253)/AS51!$B$3,"")))</f>
        <v/>
      </c>
      <c r="N218" s="140">
        <f>IF(N$13="","",IF($B218="","",IFERROR($C218*$D218*IF((Override!$C$4="ON")*(COUNTIFS(Override!$B$11:$B$40,$B218,Override!$D$11:$D$40,9,Override!$E$11:$E$40,"&gt;=0")-COUNTIFS(Override!$B$11:$B$40,$B218,Override!$D$11:$D$40,9,Override!$E$11:$E$40,"&gt;=0",Override!$C$11:$C$40,"MXAU"))&gt;0,SUMIFS(Override!$E$11:$E$40,Override!$B$11:$B$40,$B218,Override!$D$11:$D$40,9)-SUMIFS(Override!$E$11:$E$40,Override!$B$11:$B$40,$B218,Override!$D$11:$D$40,9,Override!$C$11:$C$40,"MXAU"),Override!$K$253)/AS51!$B$3,"")))</f>
        <v/>
      </c>
      <c r="O218" s="140">
        <f>IF(O$13="","",IF($B218="","",IFERROR($C218*$D218*IF((Override!$C$4="ON")*(COUNTIFS(Override!$B$11:$B$40,$B218,Override!$D$11:$D$40,10,Override!$E$11:$E$40,"&gt;=0")-COUNTIFS(Override!$B$11:$B$40,$B218,Override!$D$11:$D$40,10,Override!$E$11:$E$40,"&gt;=0",Override!$C$11:$C$40,"MXAU"))&gt;0,SUMIFS(Override!$E$11:$E$40,Override!$B$11:$B$40,$B218,Override!$D$11:$D$40,10)-SUMIFS(Override!$E$11:$E$40,Override!$B$11:$B$40,$B218,Override!$D$11:$D$40,10,Override!$C$11:$C$40,"MXAU"),Override!$L$253)/AS51!$B$3,"")))</f>
        <v/>
      </c>
      <c r="P218" s="140">
        <f>IF(P$13="","",IF($B218="","",IFERROR($C218*$D218*IF((Override!$C$4="ON")*(COUNTIFS(Override!$B$11:$B$40,$B218,Override!$D$11:$D$40,11,Override!$E$11:$E$40,"&gt;=0")-COUNTIFS(Override!$B$11:$B$40,$B218,Override!$D$11:$D$40,11,Override!$E$11:$E$40,"&gt;=0",Override!$C$11:$C$40,"MXAU"))&gt;0,SUMIFS(Override!$E$11:$E$40,Override!$B$11:$B$40,$B218,Override!$D$11:$D$40,11)-SUMIFS(Override!$E$11:$E$40,Override!$B$11:$B$40,$B218,Override!$D$11:$D$40,11,Override!$C$11:$C$40,"MXAU"),Override!$M$253)/AS51!$B$3,"")))</f>
        <v/>
      </c>
      <c r="Q218" s="140">
        <f>IF(Q$13="","",IF($B218="","",IFERROR($C218*$D218*IF((Override!$C$4="ON")*(COUNTIFS(Override!$B$11:$B$40,$B218,Override!$D$11:$D$40,12,Override!$E$11:$E$40,"&gt;=0")-COUNTIFS(Override!$B$11:$B$40,$B218,Override!$D$11:$D$40,12,Override!$E$11:$E$40,"&gt;=0",Override!$C$11:$C$40,"MXAU"))&gt;0,SUMIFS(Override!$E$11:$E$40,Override!$B$11:$B$40,$B218,Override!$D$11:$D$40,12)-SUMIFS(Override!$E$11:$E$40,Override!$B$11:$B$40,$B218,Override!$D$11:$D$40,12,Override!$C$11:$C$40,"MXAU"),Override!$N$253)/AS51!$B$3,"")))</f>
        <v/>
      </c>
      <c r="R218" s="140">
        <f>IF(R$13="","",IF($B218="","",IFERROR($C218*$D218*IF((Override!$C$4="ON")*(COUNTIFS(Override!$B$11:$B$40,$B218,Override!$D$11:$D$40,13,Override!$E$11:$E$40,"&gt;=0")-COUNTIFS(Override!$B$11:$B$40,$B218,Override!$D$11:$D$40,13,Override!$E$11:$E$40,"&gt;=0",Override!$C$11:$C$40,"MXAU"))&gt;0,SUMIFS(Override!$E$11:$E$40,Override!$B$11:$B$40,$B218,Override!$D$11:$D$40,13)-SUMIFS(Override!$E$11:$E$40,Override!$B$11:$B$40,$B218,Override!$D$11:$D$40,13,Override!$C$11:$C$40,"MXAU"),Override!$O$253)/AS51!$B$3,"")))</f>
        <v/>
      </c>
      <c r="S218" s="140">
        <f>IF(S$13="","",IF($B218="","",IFERROR($C218*$D218*IF((Override!$C$4="ON")*(COUNTIFS(Override!$B$11:$B$40,$B218,Override!$D$11:$D$40,14,Override!$E$11:$E$40,"&gt;=0")-COUNTIFS(Override!$B$11:$B$40,$B218,Override!$D$11:$D$40,14,Override!$E$11:$E$40,"&gt;=0",Override!$C$11:$C$40,"MXAU"))&gt;0,SUMIFS(Override!$E$11:$E$40,Override!$B$11:$B$40,$B218,Override!$D$11:$D$40,14)-SUMIFS(Override!$E$11:$E$40,Override!$B$11:$B$40,$B218,Override!$D$11:$D$40,14,Override!$C$11:$C$40,"MXAU"),Override!$P$253)/AS51!$B$3,"")))</f>
        <v/>
      </c>
      <c r="T218" s="140">
        <f>IF(T$13="","",IF($B218="","",IFERROR($C218*$D218*IF((Override!$C$4="ON")*(COUNTIFS(Override!$B$11:$B$40,$B218,Override!$D$11:$D$40,15,Override!$E$11:$E$40,"&gt;=0")-COUNTIFS(Override!$B$11:$B$40,$B218,Override!$D$11:$D$40,15,Override!$E$11:$E$40,"&gt;=0",Override!$C$11:$C$40,"MXAU"))&gt;0,SUMIFS(Override!$E$11:$E$40,Override!$B$11:$B$40,$B218,Override!$D$11:$D$40,15)-SUMIFS(Override!$E$11:$E$40,Override!$B$11:$B$40,$B218,Override!$D$11:$D$40,15,Override!$C$11:$C$40,"MXAU"),Override!$Q$253)/AS51!$B$3,"")))</f>
        <v/>
      </c>
      <c r="U218" s="140">
        <f>IF(U$13="","",IF($B218="","",IFERROR($C218*$D218*IF((Override!$C$4="ON")*(COUNTIFS(Override!$B$11:$B$40,$B218,Override!$D$11:$D$40,16,Override!$E$11:$E$40,"&gt;=0")-COUNTIFS(Override!$B$11:$B$40,$B218,Override!$D$11:$D$40,16,Override!$E$11:$E$40,"&gt;=0",Override!$C$11:$C$40,"MXAU"))&gt;0,SUMIFS(Override!$E$11:$E$40,Override!$B$11:$B$40,$B218,Override!$D$11:$D$40,16)-SUMIFS(Override!$E$11:$E$40,Override!$B$11:$B$40,$B218,Override!$D$11:$D$40,16,Override!$C$11:$C$40,"MXAU"),Override!$R$253)/AS51!$B$3,"")))</f>
        <v/>
      </c>
      <c r="W218" s="140">
        <f>IF(W$13="","",IF($B218="","",IFERROR(F218*$E218/100,"")))</f>
        <v/>
      </c>
      <c r="X218" s="140">
        <f>IF(X$13="","",IF($B218="","",IFERROR(G218*$E218/100,"")))</f>
        <v/>
      </c>
      <c r="Y218" s="140">
        <f>IF(Y$13="","",IF($B218="","",IFERROR(H218*$E218/100,"")))</f>
        <v/>
      </c>
      <c r="Z218" s="140">
        <f>IF(Z$13="","",IF($B218="","",IFERROR(I218*$E218/100,"")))</f>
        <v/>
      </c>
      <c r="AA218" s="140">
        <f>IF(AA$13="","",IF($B218="","",IFERROR(J218*$E218/100,"")))</f>
        <v/>
      </c>
      <c r="AB218" s="140">
        <f>IF(AB$13="","",IF($B218="","",IFERROR(K218*$E218/100,"")))</f>
        <v/>
      </c>
      <c r="AC218" s="140">
        <f>IF(AC$13="","",IF($B218="","",IFERROR(L218*$E218/100,"")))</f>
        <v/>
      </c>
      <c r="AD218" s="140">
        <f>IF(AD$13="","",IF($B218="","",IFERROR(M218*$E218/100,"")))</f>
        <v/>
      </c>
      <c r="AE218" s="140">
        <f>IF(AE$13="","",IF($B218="","",IFERROR(N218*$E218/100,"")))</f>
        <v/>
      </c>
      <c r="AF218" s="140">
        <f>IF(AF$13="","",IF($B218="","",IFERROR(O218*$E218/100,"")))</f>
        <v/>
      </c>
      <c r="AG218" s="140">
        <f>IF(AG$13="","",IF($B218="","",IFERROR(P218*$E218/100,"")))</f>
        <v/>
      </c>
      <c r="AH218" s="140">
        <f>IF(AH$13="","",IF($B218="","",IFERROR(Q218*$E218/100,"")))</f>
        <v/>
      </c>
      <c r="AI218" s="140">
        <f>IF(AI$13="","",IF($B218="","",IFERROR(R218*$E218/100,"")))</f>
        <v/>
      </c>
      <c r="AJ218" s="140">
        <f>IF(AJ$13="","",IF($B218="","",IFERROR(S218*$E218/100,"")))</f>
        <v/>
      </c>
      <c r="AK218" s="140">
        <f>IF(AK$13="","",IF($B218="","",IFERROR(T218*$E218/100,"")))</f>
        <v/>
      </c>
      <c r="AL218" s="140">
        <f>IF(AL$13="","",IF($B218="","",IFERROR(U218*$E218/100,"")))</f>
        <v/>
      </c>
      <c r="AN218" s="140">
        <f>IF($B218="","",SUMIF($F$13:$U$13,"&lt;="&amp;Sector!$D$51,$F218:$U218))</f>
        <v/>
      </c>
      <c r="AO218" s="140">
        <f>IF($B218="","",SUMIF($W$13:$AL$13,"&lt;="&amp;Sector!$D$51,$W218:$AL218))</f>
        <v/>
      </c>
    </row>
    <row r="219">
      <c r="B219" s="5">
        <f>IF(AS51!$C$209="","",AS51!$C$209)</f>
        <v/>
      </c>
      <c r="C219" s="90">
        <f>IF(AS51!$B$209="","",AS51!$B$209)</f>
        <v/>
      </c>
      <c r="D219" s="138">
        <f>IFERROR(AS51!$Q$209,1)</f>
        <v/>
      </c>
      <c r="E219" s="139">
        <f>IF($B219="","",IF(ISNUMBER(AS51!$I$209),AS51!$I$209,'Index Summary'!$C$7))</f>
        <v/>
      </c>
      <c r="F219" s="140">
        <f>IF(F$13="","",IF($B219="","",IFERROR($C219*$D219*IF((Override!$C$4="ON")*(COUNTIFS(Override!$B$11:$B$40,$B219,Override!$D$11:$D$40,1,Override!$E$11:$E$40,"&gt;=0")-COUNTIFS(Override!$B$11:$B$40,$B219,Override!$D$11:$D$40,1,Override!$E$11:$E$40,"&gt;=0",Override!$C$11:$C$40,"MXAU"))&gt;0,SUMIFS(Override!$E$11:$E$40,Override!$B$11:$B$40,$B219,Override!$D$11:$D$40,1)-SUMIFS(Override!$E$11:$E$40,Override!$B$11:$B$40,$B219,Override!$D$11:$D$40,1,Override!$C$11:$C$40,"MXAU"),Override!$C$254)/AS51!$B$3,"")))</f>
        <v/>
      </c>
      <c r="G219" s="140">
        <f>IF(G$13="","",IF($B219="","",IFERROR($C219*$D219*IF((Override!$C$4="ON")*(COUNTIFS(Override!$B$11:$B$40,$B219,Override!$D$11:$D$40,2,Override!$E$11:$E$40,"&gt;=0")-COUNTIFS(Override!$B$11:$B$40,$B219,Override!$D$11:$D$40,2,Override!$E$11:$E$40,"&gt;=0",Override!$C$11:$C$40,"MXAU"))&gt;0,SUMIFS(Override!$E$11:$E$40,Override!$B$11:$B$40,$B219,Override!$D$11:$D$40,2)-SUMIFS(Override!$E$11:$E$40,Override!$B$11:$B$40,$B219,Override!$D$11:$D$40,2,Override!$C$11:$C$40,"MXAU"),Override!$D$254)/AS51!$B$3,"")))</f>
        <v/>
      </c>
      <c r="H219" s="140">
        <f>IF(H$13="","",IF($B219="","",IFERROR($C219*$D219*IF((Override!$C$4="ON")*(COUNTIFS(Override!$B$11:$B$40,$B219,Override!$D$11:$D$40,3,Override!$E$11:$E$40,"&gt;=0")-COUNTIFS(Override!$B$11:$B$40,$B219,Override!$D$11:$D$40,3,Override!$E$11:$E$40,"&gt;=0",Override!$C$11:$C$40,"MXAU"))&gt;0,SUMIFS(Override!$E$11:$E$40,Override!$B$11:$B$40,$B219,Override!$D$11:$D$40,3)-SUMIFS(Override!$E$11:$E$40,Override!$B$11:$B$40,$B219,Override!$D$11:$D$40,3,Override!$C$11:$C$40,"MXAU"),Override!$E$254)/AS51!$B$3,"")))</f>
        <v/>
      </c>
      <c r="I219" s="140">
        <f>IF(I$13="","",IF($B219="","",IFERROR($C219*$D219*IF((Override!$C$4="ON")*(COUNTIFS(Override!$B$11:$B$40,$B219,Override!$D$11:$D$40,4,Override!$E$11:$E$40,"&gt;=0")-COUNTIFS(Override!$B$11:$B$40,$B219,Override!$D$11:$D$40,4,Override!$E$11:$E$40,"&gt;=0",Override!$C$11:$C$40,"MXAU"))&gt;0,SUMIFS(Override!$E$11:$E$40,Override!$B$11:$B$40,$B219,Override!$D$11:$D$40,4)-SUMIFS(Override!$E$11:$E$40,Override!$B$11:$B$40,$B219,Override!$D$11:$D$40,4,Override!$C$11:$C$40,"MXAU"),Override!$F$254)/AS51!$B$3,"")))</f>
        <v/>
      </c>
      <c r="J219" s="140">
        <f>IF(J$13="","",IF($B219="","",IFERROR($C219*$D219*IF((Override!$C$4="ON")*(COUNTIFS(Override!$B$11:$B$40,$B219,Override!$D$11:$D$40,5,Override!$E$11:$E$40,"&gt;=0")-COUNTIFS(Override!$B$11:$B$40,$B219,Override!$D$11:$D$40,5,Override!$E$11:$E$40,"&gt;=0",Override!$C$11:$C$40,"MXAU"))&gt;0,SUMIFS(Override!$E$11:$E$40,Override!$B$11:$B$40,$B219,Override!$D$11:$D$40,5)-SUMIFS(Override!$E$11:$E$40,Override!$B$11:$B$40,$B219,Override!$D$11:$D$40,5,Override!$C$11:$C$40,"MXAU"),Override!$G$254)/AS51!$B$3,"")))</f>
        <v/>
      </c>
      <c r="K219" s="140">
        <f>IF(K$13="","",IF($B219="","",IFERROR($C219*$D219*IF((Override!$C$4="ON")*(COUNTIFS(Override!$B$11:$B$40,$B219,Override!$D$11:$D$40,6,Override!$E$11:$E$40,"&gt;=0")-COUNTIFS(Override!$B$11:$B$40,$B219,Override!$D$11:$D$40,6,Override!$E$11:$E$40,"&gt;=0",Override!$C$11:$C$40,"MXAU"))&gt;0,SUMIFS(Override!$E$11:$E$40,Override!$B$11:$B$40,$B219,Override!$D$11:$D$40,6)-SUMIFS(Override!$E$11:$E$40,Override!$B$11:$B$40,$B219,Override!$D$11:$D$40,6,Override!$C$11:$C$40,"MXAU"),Override!$H$254)/AS51!$B$3,"")))</f>
        <v/>
      </c>
      <c r="L219" s="140">
        <f>IF(L$13="","",IF($B219="","",IFERROR($C219*$D219*IF((Override!$C$4="ON")*(COUNTIFS(Override!$B$11:$B$40,$B219,Override!$D$11:$D$40,7,Override!$E$11:$E$40,"&gt;=0")-COUNTIFS(Override!$B$11:$B$40,$B219,Override!$D$11:$D$40,7,Override!$E$11:$E$40,"&gt;=0",Override!$C$11:$C$40,"MXAU"))&gt;0,SUMIFS(Override!$E$11:$E$40,Override!$B$11:$B$40,$B219,Override!$D$11:$D$40,7)-SUMIFS(Override!$E$11:$E$40,Override!$B$11:$B$40,$B219,Override!$D$11:$D$40,7,Override!$C$11:$C$40,"MXAU"),Override!$I$254)/AS51!$B$3,"")))</f>
        <v/>
      </c>
      <c r="M219" s="140">
        <f>IF(M$13="","",IF($B219="","",IFERROR($C219*$D219*IF((Override!$C$4="ON")*(COUNTIFS(Override!$B$11:$B$40,$B219,Override!$D$11:$D$40,8,Override!$E$11:$E$40,"&gt;=0")-COUNTIFS(Override!$B$11:$B$40,$B219,Override!$D$11:$D$40,8,Override!$E$11:$E$40,"&gt;=0",Override!$C$11:$C$40,"MXAU"))&gt;0,SUMIFS(Override!$E$11:$E$40,Override!$B$11:$B$40,$B219,Override!$D$11:$D$40,8)-SUMIFS(Override!$E$11:$E$40,Override!$B$11:$B$40,$B219,Override!$D$11:$D$40,8,Override!$C$11:$C$40,"MXAU"),Override!$J$254)/AS51!$B$3,"")))</f>
        <v/>
      </c>
      <c r="N219" s="140">
        <f>IF(N$13="","",IF($B219="","",IFERROR($C219*$D219*IF((Override!$C$4="ON")*(COUNTIFS(Override!$B$11:$B$40,$B219,Override!$D$11:$D$40,9,Override!$E$11:$E$40,"&gt;=0")-COUNTIFS(Override!$B$11:$B$40,$B219,Override!$D$11:$D$40,9,Override!$E$11:$E$40,"&gt;=0",Override!$C$11:$C$40,"MXAU"))&gt;0,SUMIFS(Override!$E$11:$E$40,Override!$B$11:$B$40,$B219,Override!$D$11:$D$40,9)-SUMIFS(Override!$E$11:$E$40,Override!$B$11:$B$40,$B219,Override!$D$11:$D$40,9,Override!$C$11:$C$40,"MXAU"),Override!$K$254)/AS51!$B$3,"")))</f>
        <v/>
      </c>
      <c r="O219" s="140">
        <f>IF(O$13="","",IF($B219="","",IFERROR($C219*$D219*IF((Override!$C$4="ON")*(COUNTIFS(Override!$B$11:$B$40,$B219,Override!$D$11:$D$40,10,Override!$E$11:$E$40,"&gt;=0")-COUNTIFS(Override!$B$11:$B$40,$B219,Override!$D$11:$D$40,10,Override!$E$11:$E$40,"&gt;=0",Override!$C$11:$C$40,"MXAU"))&gt;0,SUMIFS(Override!$E$11:$E$40,Override!$B$11:$B$40,$B219,Override!$D$11:$D$40,10)-SUMIFS(Override!$E$11:$E$40,Override!$B$11:$B$40,$B219,Override!$D$11:$D$40,10,Override!$C$11:$C$40,"MXAU"),Override!$L$254)/AS51!$B$3,"")))</f>
        <v/>
      </c>
      <c r="P219" s="140">
        <f>IF(P$13="","",IF($B219="","",IFERROR($C219*$D219*IF((Override!$C$4="ON")*(COUNTIFS(Override!$B$11:$B$40,$B219,Override!$D$11:$D$40,11,Override!$E$11:$E$40,"&gt;=0")-COUNTIFS(Override!$B$11:$B$40,$B219,Override!$D$11:$D$40,11,Override!$E$11:$E$40,"&gt;=0",Override!$C$11:$C$40,"MXAU"))&gt;0,SUMIFS(Override!$E$11:$E$40,Override!$B$11:$B$40,$B219,Override!$D$11:$D$40,11)-SUMIFS(Override!$E$11:$E$40,Override!$B$11:$B$40,$B219,Override!$D$11:$D$40,11,Override!$C$11:$C$40,"MXAU"),Override!$M$254)/AS51!$B$3,"")))</f>
        <v/>
      </c>
      <c r="Q219" s="140">
        <f>IF(Q$13="","",IF($B219="","",IFERROR($C219*$D219*IF((Override!$C$4="ON")*(COUNTIFS(Override!$B$11:$B$40,$B219,Override!$D$11:$D$40,12,Override!$E$11:$E$40,"&gt;=0")-COUNTIFS(Override!$B$11:$B$40,$B219,Override!$D$11:$D$40,12,Override!$E$11:$E$40,"&gt;=0",Override!$C$11:$C$40,"MXAU"))&gt;0,SUMIFS(Override!$E$11:$E$40,Override!$B$11:$B$40,$B219,Override!$D$11:$D$40,12)-SUMIFS(Override!$E$11:$E$40,Override!$B$11:$B$40,$B219,Override!$D$11:$D$40,12,Override!$C$11:$C$40,"MXAU"),Override!$N$254)/AS51!$B$3,"")))</f>
        <v/>
      </c>
      <c r="R219" s="140">
        <f>IF(R$13="","",IF($B219="","",IFERROR($C219*$D219*IF((Override!$C$4="ON")*(COUNTIFS(Override!$B$11:$B$40,$B219,Override!$D$11:$D$40,13,Override!$E$11:$E$40,"&gt;=0")-COUNTIFS(Override!$B$11:$B$40,$B219,Override!$D$11:$D$40,13,Override!$E$11:$E$40,"&gt;=0",Override!$C$11:$C$40,"MXAU"))&gt;0,SUMIFS(Override!$E$11:$E$40,Override!$B$11:$B$40,$B219,Override!$D$11:$D$40,13)-SUMIFS(Override!$E$11:$E$40,Override!$B$11:$B$40,$B219,Override!$D$11:$D$40,13,Override!$C$11:$C$40,"MXAU"),Override!$O$254)/AS51!$B$3,"")))</f>
        <v/>
      </c>
      <c r="S219" s="140">
        <f>IF(S$13="","",IF($B219="","",IFERROR($C219*$D219*IF((Override!$C$4="ON")*(COUNTIFS(Override!$B$11:$B$40,$B219,Override!$D$11:$D$40,14,Override!$E$11:$E$40,"&gt;=0")-COUNTIFS(Override!$B$11:$B$40,$B219,Override!$D$11:$D$40,14,Override!$E$11:$E$40,"&gt;=0",Override!$C$11:$C$40,"MXAU"))&gt;0,SUMIFS(Override!$E$11:$E$40,Override!$B$11:$B$40,$B219,Override!$D$11:$D$40,14)-SUMIFS(Override!$E$11:$E$40,Override!$B$11:$B$40,$B219,Override!$D$11:$D$40,14,Override!$C$11:$C$40,"MXAU"),Override!$P$254)/AS51!$B$3,"")))</f>
        <v/>
      </c>
      <c r="T219" s="140">
        <f>IF(T$13="","",IF($B219="","",IFERROR($C219*$D219*IF((Override!$C$4="ON")*(COUNTIFS(Override!$B$11:$B$40,$B219,Override!$D$11:$D$40,15,Override!$E$11:$E$40,"&gt;=0")-COUNTIFS(Override!$B$11:$B$40,$B219,Override!$D$11:$D$40,15,Override!$E$11:$E$40,"&gt;=0",Override!$C$11:$C$40,"MXAU"))&gt;0,SUMIFS(Override!$E$11:$E$40,Override!$B$11:$B$40,$B219,Override!$D$11:$D$40,15)-SUMIFS(Override!$E$11:$E$40,Override!$B$11:$B$40,$B219,Override!$D$11:$D$40,15,Override!$C$11:$C$40,"MXAU"),Override!$Q$254)/AS51!$B$3,"")))</f>
        <v/>
      </c>
      <c r="U219" s="140">
        <f>IF(U$13="","",IF($B219="","",IFERROR($C219*$D219*IF((Override!$C$4="ON")*(COUNTIFS(Override!$B$11:$B$40,$B219,Override!$D$11:$D$40,16,Override!$E$11:$E$40,"&gt;=0")-COUNTIFS(Override!$B$11:$B$40,$B219,Override!$D$11:$D$40,16,Override!$E$11:$E$40,"&gt;=0",Override!$C$11:$C$40,"MXAU"))&gt;0,SUMIFS(Override!$E$11:$E$40,Override!$B$11:$B$40,$B219,Override!$D$11:$D$40,16)-SUMIFS(Override!$E$11:$E$40,Override!$B$11:$B$40,$B219,Override!$D$11:$D$40,16,Override!$C$11:$C$40,"MXAU"),Override!$R$254)/AS51!$B$3,"")))</f>
        <v/>
      </c>
      <c r="W219" s="140">
        <f>IF(W$13="","",IF($B219="","",IFERROR(F219*$E219/100,"")))</f>
        <v/>
      </c>
      <c r="X219" s="140">
        <f>IF(X$13="","",IF($B219="","",IFERROR(G219*$E219/100,"")))</f>
        <v/>
      </c>
      <c r="Y219" s="140">
        <f>IF(Y$13="","",IF($B219="","",IFERROR(H219*$E219/100,"")))</f>
        <v/>
      </c>
      <c r="Z219" s="140">
        <f>IF(Z$13="","",IF($B219="","",IFERROR(I219*$E219/100,"")))</f>
        <v/>
      </c>
      <c r="AA219" s="140">
        <f>IF(AA$13="","",IF($B219="","",IFERROR(J219*$E219/100,"")))</f>
        <v/>
      </c>
      <c r="AB219" s="140">
        <f>IF(AB$13="","",IF($B219="","",IFERROR(K219*$E219/100,"")))</f>
        <v/>
      </c>
      <c r="AC219" s="140">
        <f>IF(AC$13="","",IF($B219="","",IFERROR(L219*$E219/100,"")))</f>
        <v/>
      </c>
      <c r="AD219" s="140">
        <f>IF(AD$13="","",IF($B219="","",IFERROR(M219*$E219/100,"")))</f>
        <v/>
      </c>
      <c r="AE219" s="140">
        <f>IF(AE$13="","",IF($B219="","",IFERROR(N219*$E219/100,"")))</f>
        <v/>
      </c>
      <c r="AF219" s="140">
        <f>IF(AF$13="","",IF($B219="","",IFERROR(O219*$E219/100,"")))</f>
        <v/>
      </c>
      <c r="AG219" s="140">
        <f>IF(AG$13="","",IF($B219="","",IFERROR(P219*$E219/100,"")))</f>
        <v/>
      </c>
      <c r="AH219" s="140">
        <f>IF(AH$13="","",IF($B219="","",IFERROR(Q219*$E219/100,"")))</f>
        <v/>
      </c>
      <c r="AI219" s="140">
        <f>IF(AI$13="","",IF($B219="","",IFERROR(R219*$E219/100,"")))</f>
        <v/>
      </c>
      <c r="AJ219" s="140">
        <f>IF(AJ$13="","",IF($B219="","",IFERROR(S219*$E219/100,"")))</f>
        <v/>
      </c>
      <c r="AK219" s="140">
        <f>IF(AK$13="","",IF($B219="","",IFERROR(T219*$E219/100,"")))</f>
        <v/>
      </c>
      <c r="AL219" s="140">
        <f>IF(AL$13="","",IF($B219="","",IFERROR(U219*$E219/100,"")))</f>
        <v/>
      </c>
      <c r="AN219" s="140">
        <f>IF($B219="","",SUMIF($F$13:$U$13,"&lt;="&amp;Sector!$D$51,$F219:$U219))</f>
        <v/>
      </c>
      <c r="AO219" s="140">
        <f>IF($B219="","",SUMIF($W$13:$AL$13,"&lt;="&amp;Sector!$D$51,$W219:$AL219))</f>
        <v/>
      </c>
    </row>
    <row r="220">
      <c r="B220" s="5">
        <f>IF(AS51!$C$210="","",AS51!$C$210)</f>
        <v/>
      </c>
      <c r="C220" s="90">
        <f>IF(AS51!$B$210="","",AS51!$B$210)</f>
        <v/>
      </c>
      <c r="D220" s="138">
        <f>IFERROR(AS51!$Q$210,1)</f>
        <v/>
      </c>
      <c r="E220" s="139">
        <f>IF($B220="","",IF(ISNUMBER(AS51!$I$210),AS51!$I$210,'Index Summary'!$C$7))</f>
        <v/>
      </c>
      <c r="F220" s="140">
        <f>IF(F$13="","",IF($B220="","",IFERROR($C220*$D220*IF((Override!$C$4="ON")*(COUNTIFS(Override!$B$11:$B$40,$B220,Override!$D$11:$D$40,1,Override!$E$11:$E$40,"&gt;=0")-COUNTIFS(Override!$B$11:$B$40,$B220,Override!$D$11:$D$40,1,Override!$E$11:$E$40,"&gt;=0",Override!$C$11:$C$40,"MXAU"))&gt;0,SUMIFS(Override!$E$11:$E$40,Override!$B$11:$B$40,$B220,Override!$D$11:$D$40,1)-SUMIFS(Override!$E$11:$E$40,Override!$B$11:$B$40,$B220,Override!$D$11:$D$40,1,Override!$C$11:$C$40,"MXAU"),Override!$C$255)/AS51!$B$3,"")))</f>
        <v/>
      </c>
      <c r="G220" s="140">
        <f>IF(G$13="","",IF($B220="","",IFERROR($C220*$D220*IF((Override!$C$4="ON")*(COUNTIFS(Override!$B$11:$B$40,$B220,Override!$D$11:$D$40,2,Override!$E$11:$E$40,"&gt;=0")-COUNTIFS(Override!$B$11:$B$40,$B220,Override!$D$11:$D$40,2,Override!$E$11:$E$40,"&gt;=0",Override!$C$11:$C$40,"MXAU"))&gt;0,SUMIFS(Override!$E$11:$E$40,Override!$B$11:$B$40,$B220,Override!$D$11:$D$40,2)-SUMIFS(Override!$E$11:$E$40,Override!$B$11:$B$40,$B220,Override!$D$11:$D$40,2,Override!$C$11:$C$40,"MXAU"),Override!$D$255)/AS51!$B$3,"")))</f>
        <v/>
      </c>
      <c r="H220" s="140">
        <f>IF(H$13="","",IF($B220="","",IFERROR($C220*$D220*IF((Override!$C$4="ON")*(COUNTIFS(Override!$B$11:$B$40,$B220,Override!$D$11:$D$40,3,Override!$E$11:$E$40,"&gt;=0")-COUNTIFS(Override!$B$11:$B$40,$B220,Override!$D$11:$D$40,3,Override!$E$11:$E$40,"&gt;=0",Override!$C$11:$C$40,"MXAU"))&gt;0,SUMIFS(Override!$E$11:$E$40,Override!$B$11:$B$40,$B220,Override!$D$11:$D$40,3)-SUMIFS(Override!$E$11:$E$40,Override!$B$11:$B$40,$B220,Override!$D$11:$D$40,3,Override!$C$11:$C$40,"MXAU"),Override!$E$255)/AS51!$B$3,"")))</f>
        <v/>
      </c>
      <c r="I220" s="140">
        <f>IF(I$13="","",IF($B220="","",IFERROR($C220*$D220*IF((Override!$C$4="ON")*(COUNTIFS(Override!$B$11:$B$40,$B220,Override!$D$11:$D$40,4,Override!$E$11:$E$40,"&gt;=0")-COUNTIFS(Override!$B$11:$B$40,$B220,Override!$D$11:$D$40,4,Override!$E$11:$E$40,"&gt;=0",Override!$C$11:$C$40,"MXAU"))&gt;0,SUMIFS(Override!$E$11:$E$40,Override!$B$11:$B$40,$B220,Override!$D$11:$D$40,4)-SUMIFS(Override!$E$11:$E$40,Override!$B$11:$B$40,$B220,Override!$D$11:$D$40,4,Override!$C$11:$C$40,"MXAU"),Override!$F$255)/AS51!$B$3,"")))</f>
        <v/>
      </c>
      <c r="J220" s="140">
        <f>IF(J$13="","",IF($B220="","",IFERROR($C220*$D220*IF((Override!$C$4="ON")*(COUNTIFS(Override!$B$11:$B$40,$B220,Override!$D$11:$D$40,5,Override!$E$11:$E$40,"&gt;=0")-COUNTIFS(Override!$B$11:$B$40,$B220,Override!$D$11:$D$40,5,Override!$E$11:$E$40,"&gt;=0",Override!$C$11:$C$40,"MXAU"))&gt;0,SUMIFS(Override!$E$11:$E$40,Override!$B$11:$B$40,$B220,Override!$D$11:$D$40,5)-SUMIFS(Override!$E$11:$E$40,Override!$B$11:$B$40,$B220,Override!$D$11:$D$40,5,Override!$C$11:$C$40,"MXAU"),Override!$G$255)/AS51!$B$3,"")))</f>
        <v/>
      </c>
      <c r="K220" s="140">
        <f>IF(K$13="","",IF($B220="","",IFERROR($C220*$D220*IF((Override!$C$4="ON")*(COUNTIFS(Override!$B$11:$B$40,$B220,Override!$D$11:$D$40,6,Override!$E$11:$E$40,"&gt;=0")-COUNTIFS(Override!$B$11:$B$40,$B220,Override!$D$11:$D$40,6,Override!$E$11:$E$40,"&gt;=0",Override!$C$11:$C$40,"MXAU"))&gt;0,SUMIFS(Override!$E$11:$E$40,Override!$B$11:$B$40,$B220,Override!$D$11:$D$40,6)-SUMIFS(Override!$E$11:$E$40,Override!$B$11:$B$40,$B220,Override!$D$11:$D$40,6,Override!$C$11:$C$40,"MXAU"),Override!$H$255)/AS51!$B$3,"")))</f>
        <v/>
      </c>
      <c r="L220" s="140">
        <f>IF(L$13="","",IF($B220="","",IFERROR($C220*$D220*IF((Override!$C$4="ON")*(COUNTIFS(Override!$B$11:$B$40,$B220,Override!$D$11:$D$40,7,Override!$E$11:$E$40,"&gt;=0")-COUNTIFS(Override!$B$11:$B$40,$B220,Override!$D$11:$D$40,7,Override!$E$11:$E$40,"&gt;=0",Override!$C$11:$C$40,"MXAU"))&gt;0,SUMIFS(Override!$E$11:$E$40,Override!$B$11:$B$40,$B220,Override!$D$11:$D$40,7)-SUMIFS(Override!$E$11:$E$40,Override!$B$11:$B$40,$B220,Override!$D$11:$D$40,7,Override!$C$11:$C$40,"MXAU"),Override!$I$255)/AS51!$B$3,"")))</f>
        <v/>
      </c>
      <c r="M220" s="140">
        <f>IF(M$13="","",IF($B220="","",IFERROR($C220*$D220*IF((Override!$C$4="ON")*(COUNTIFS(Override!$B$11:$B$40,$B220,Override!$D$11:$D$40,8,Override!$E$11:$E$40,"&gt;=0")-COUNTIFS(Override!$B$11:$B$40,$B220,Override!$D$11:$D$40,8,Override!$E$11:$E$40,"&gt;=0",Override!$C$11:$C$40,"MXAU"))&gt;0,SUMIFS(Override!$E$11:$E$40,Override!$B$11:$B$40,$B220,Override!$D$11:$D$40,8)-SUMIFS(Override!$E$11:$E$40,Override!$B$11:$B$40,$B220,Override!$D$11:$D$40,8,Override!$C$11:$C$40,"MXAU"),Override!$J$255)/AS51!$B$3,"")))</f>
        <v/>
      </c>
      <c r="N220" s="140">
        <f>IF(N$13="","",IF($B220="","",IFERROR($C220*$D220*IF((Override!$C$4="ON")*(COUNTIFS(Override!$B$11:$B$40,$B220,Override!$D$11:$D$40,9,Override!$E$11:$E$40,"&gt;=0")-COUNTIFS(Override!$B$11:$B$40,$B220,Override!$D$11:$D$40,9,Override!$E$11:$E$40,"&gt;=0",Override!$C$11:$C$40,"MXAU"))&gt;0,SUMIFS(Override!$E$11:$E$40,Override!$B$11:$B$40,$B220,Override!$D$11:$D$40,9)-SUMIFS(Override!$E$11:$E$40,Override!$B$11:$B$40,$B220,Override!$D$11:$D$40,9,Override!$C$11:$C$40,"MXAU"),Override!$K$255)/AS51!$B$3,"")))</f>
        <v/>
      </c>
      <c r="O220" s="140">
        <f>IF(O$13="","",IF($B220="","",IFERROR($C220*$D220*IF((Override!$C$4="ON")*(COUNTIFS(Override!$B$11:$B$40,$B220,Override!$D$11:$D$40,10,Override!$E$11:$E$40,"&gt;=0")-COUNTIFS(Override!$B$11:$B$40,$B220,Override!$D$11:$D$40,10,Override!$E$11:$E$40,"&gt;=0",Override!$C$11:$C$40,"MXAU"))&gt;0,SUMIFS(Override!$E$11:$E$40,Override!$B$11:$B$40,$B220,Override!$D$11:$D$40,10)-SUMIFS(Override!$E$11:$E$40,Override!$B$11:$B$40,$B220,Override!$D$11:$D$40,10,Override!$C$11:$C$40,"MXAU"),Override!$L$255)/AS51!$B$3,"")))</f>
        <v/>
      </c>
      <c r="P220" s="140">
        <f>IF(P$13="","",IF($B220="","",IFERROR($C220*$D220*IF((Override!$C$4="ON")*(COUNTIFS(Override!$B$11:$B$40,$B220,Override!$D$11:$D$40,11,Override!$E$11:$E$40,"&gt;=0")-COUNTIFS(Override!$B$11:$B$40,$B220,Override!$D$11:$D$40,11,Override!$E$11:$E$40,"&gt;=0",Override!$C$11:$C$40,"MXAU"))&gt;0,SUMIFS(Override!$E$11:$E$40,Override!$B$11:$B$40,$B220,Override!$D$11:$D$40,11)-SUMIFS(Override!$E$11:$E$40,Override!$B$11:$B$40,$B220,Override!$D$11:$D$40,11,Override!$C$11:$C$40,"MXAU"),Override!$M$255)/AS51!$B$3,"")))</f>
        <v/>
      </c>
      <c r="Q220" s="140">
        <f>IF(Q$13="","",IF($B220="","",IFERROR($C220*$D220*IF((Override!$C$4="ON")*(COUNTIFS(Override!$B$11:$B$40,$B220,Override!$D$11:$D$40,12,Override!$E$11:$E$40,"&gt;=0")-COUNTIFS(Override!$B$11:$B$40,$B220,Override!$D$11:$D$40,12,Override!$E$11:$E$40,"&gt;=0",Override!$C$11:$C$40,"MXAU"))&gt;0,SUMIFS(Override!$E$11:$E$40,Override!$B$11:$B$40,$B220,Override!$D$11:$D$40,12)-SUMIFS(Override!$E$11:$E$40,Override!$B$11:$B$40,$B220,Override!$D$11:$D$40,12,Override!$C$11:$C$40,"MXAU"),Override!$N$255)/AS51!$B$3,"")))</f>
        <v/>
      </c>
      <c r="R220" s="140">
        <f>IF(R$13="","",IF($B220="","",IFERROR($C220*$D220*IF((Override!$C$4="ON")*(COUNTIFS(Override!$B$11:$B$40,$B220,Override!$D$11:$D$40,13,Override!$E$11:$E$40,"&gt;=0")-COUNTIFS(Override!$B$11:$B$40,$B220,Override!$D$11:$D$40,13,Override!$E$11:$E$40,"&gt;=0",Override!$C$11:$C$40,"MXAU"))&gt;0,SUMIFS(Override!$E$11:$E$40,Override!$B$11:$B$40,$B220,Override!$D$11:$D$40,13)-SUMIFS(Override!$E$11:$E$40,Override!$B$11:$B$40,$B220,Override!$D$11:$D$40,13,Override!$C$11:$C$40,"MXAU"),Override!$O$255)/AS51!$B$3,"")))</f>
        <v/>
      </c>
      <c r="S220" s="140">
        <f>IF(S$13="","",IF($B220="","",IFERROR($C220*$D220*IF((Override!$C$4="ON")*(COUNTIFS(Override!$B$11:$B$40,$B220,Override!$D$11:$D$40,14,Override!$E$11:$E$40,"&gt;=0")-COUNTIFS(Override!$B$11:$B$40,$B220,Override!$D$11:$D$40,14,Override!$E$11:$E$40,"&gt;=0",Override!$C$11:$C$40,"MXAU"))&gt;0,SUMIFS(Override!$E$11:$E$40,Override!$B$11:$B$40,$B220,Override!$D$11:$D$40,14)-SUMIFS(Override!$E$11:$E$40,Override!$B$11:$B$40,$B220,Override!$D$11:$D$40,14,Override!$C$11:$C$40,"MXAU"),Override!$P$255)/AS51!$B$3,"")))</f>
        <v/>
      </c>
      <c r="T220" s="140">
        <f>IF(T$13="","",IF($B220="","",IFERROR($C220*$D220*IF((Override!$C$4="ON")*(COUNTIFS(Override!$B$11:$B$40,$B220,Override!$D$11:$D$40,15,Override!$E$11:$E$40,"&gt;=0")-COUNTIFS(Override!$B$11:$B$40,$B220,Override!$D$11:$D$40,15,Override!$E$11:$E$40,"&gt;=0",Override!$C$11:$C$40,"MXAU"))&gt;0,SUMIFS(Override!$E$11:$E$40,Override!$B$11:$B$40,$B220,Override!$D$11:$D$40,15)-SUMIFS(Override!$E$11:$E$40,Override!$B$11:$B$40,$B220,Override!$D$11:$D$40,15,Override!$C$11:$C$40,"MXAU"),Override!$Q$255)/AS51!$B$3,"")))</f>
        <v/>
      </c>
      <c r="U220" s="140">
        <f>IF(U$13="","",IF($B220="","",IFERROR($C220*$D220*IF((Override!$C$4="ON")*(COUNTIFS(Override!$B$11:$B$40,$B220,Override!$D$11:$D$40,16,Override!$E$11:$E$40,"&gt;=0")-COUNTIFS(Override!$B$11:$B$40,$B220,Override!$D$11:$D$40,16,Override!$E$11:$E$40,"&gt;=0",Override!$C$11:$C$40,"MXAU"))&gt;0,SUMIFS(Override!$E$11:$E$40,Override!$B$11:$B$40,$B220,Override!$D$11:$D$40,16)-SUMIFS(Override!$E$11:$E$40,Override!$B$11:$B$40,$B220,Override!$D$11:$D$40,16,Override!$C$11:$C$40,"MXAU"),Override!$R$255)/AS51!$B$3,"")))</f>
        <v/>
      </c>
      <c r="W220" s="140">
        <f>IF(W$13="","",IF($B220="","",IFERROR(F220*$E220/100,"")))</f>
        <v/>
      </c>
      <c r="X220" s="140">
        <f>IF(X$13="","",IF($B220="","",IFERROR(G220*$E220/100,"")))</f>
        <v/>
      </c>
      <c r="Y220" s="140">
        <f>IF(Y$13="","",IF($B220="","",IFERROR(H220*$E220/100,"")))</f>
        <v/>
      </c>
      <c r="Z220" s="140">
        <f>IF(Z$13="","",IF($B220="","",IFERROR(I220*$E220/100,"")))</f>
        <v/>
      </c>
      <c r="AA220" s="140">
        <f>IF(AA$13="","",IF($B220="","",IFERROR(J220*$E220/100,"")))</f>
        <v/>
      </c>
      <c r="AB220" s="140">
        <f>IF(AB$13="","",IF($B220="","",IFERROR(K220*$E220/100,"")))</f>
        <v/>
      </c>
      <c r="AC220" s="140">
        <f>IF(AC$13="","",IF($B220="","",IFERROR(L220*$E220/100,"")))</f>
        <v/>
      </c>
      <c r="AD220" s="140">
        <f>IF(AD$13="","",IF($B220="","",IFERROR(M220*$E220/100,"")))</f>
        <v/>
      </c>
      <c r="AE220" s="140">
        <f>IF(AE$13="","",IF($B220="","",IFERROR(N220*$E220/100,"")))</f>
        <v/>
      </c>
      <c r="AF220" s="140">
        <f>IF(AF$13="","",IF($B220="","",IFERROR(O220*$E220/100,"")))</f>
        <v/>
      </c>
      <c r="AG220" s="140">
        <f>IF(AG$13="","",IF($B220="","",IFERROR(P220*$E220/100,"")))</f>
        <v/>
      </c>
      <c r="AH220" s="140">
        <f>IF(AH$13="","",IF($B220="","",IFERROR(Q220*$E220/100,"")))</f>
        <v/>
      </c>
      <c r="AI220" s="140">
        <f>IF(AI$13="","",IF($B220="","",IFERROR(R220*$E220/100,"")))</f>
        <v/>
      </c>
      <c r="AJ220" s="140">
        <f>IF(AJ$13="","",IF($B220="","",IFERROR(S220*$E220/100,"")))</f>
        <v/>
      </c>
      <c r="AK220" s="140">
        <f>IF(AK$13="","",IF($B220="","",IFERROR(T220*$E220/100,"")))</f>
        <v/>
      </c>
      <c r="AL220" s="140">
        <f>IF(AL$13="","",IF($B220="","",IFERROR(U220*$E220/100,"")))</f>
        <v/>
      </c>
      <c r="AN220" s="140">
        <f>IF($B220="","",SUMIF($F$13:$U$13,"&lt;="&amp;Sector!$D$51,$F220:$U220))</f>
        <v/>
      </c>
      <c r="AO220" s="140">
        <f>IF($B220="","",SUMIF($W$13:$AL$13,"&lt;="&amp;Sector!$D$51,$W220:$AL220))</f>
        <v/>
      </c>
    </row>
    <row r="221">
      <c r="B221" s="3" t="inlineStr">
        <is>
          <t>TOTAL (index pts)</t>
        </is>
      </c>
      <c r="F221" s="141">
        <f>IFERROR(SUM(F16:F220),"")</f>
        <v/>
      </c>
      <c r="G221" s="141">
        <f>IFERROR(SUM(G16:G220),"")</f>
        <v/>
      </c>
      <c r="H221" s="141">
        <f>IFERROR(SUM(H16:H220),"")</f>
        <v/>
      </c>
      <c r="I221" s="141">
        <f>IFERROR(SUM(I16:I220),"")</f>
        <v/>
      </c>
      <c r="J221" s="141">
        <f>IFERROR(SUM(J16:J220),"")</f>
        <v/>
      </c>
      <c r="K221" s="141">
        <f>IFERROR(SUM(K16:K220),"")</f>
        <v/>
      </c>
      <c r="L221" s="141">
        <f>IFERROR(SUM(L16:L220),"")</f>
        <v/>
      </c>
      <c r="M221" s="141">
        <f>IFERROR(SUM(M16:M220),"")</f>
        <v/>
      </c>
      <c r="N221" s="141">
        <f>IFERROR(SUM(N16:N220),"")</f>
        <v/>
      </c>
      <c r="O221" s="141">
        <f>IFERROR(SUM(O16:O220),"")</f>
        <v/>
      </c>
      <c r="P221" s="141">
        <f>IFERROR(SUM(P16:P220),"")</f>
        <v/>
      </c>
      <c r="Q221" s="141">
        <f>IFERROR(SUM(Q16:Q220),"")</f>
        <v/>
      </c>
      <c r="R221" s="141">
        <f>IFERROR(SUM(R16:R220),"")</f>
        <v/>
      </c>
      <c r="S221" s="141">
        <f>IFERROR(SUM(S16:S220),"")</f>
        <v/>
      </c>
      <c r="T221" s="141">
        <f>IFERROR(SUM(T16:T220),"")</f>
        <v/>
      </c>
      <c r="U221" s="141">
        <f>IFERROR(SUM(U16:U220),"")</f>
        <v/>
      </c>
      <c r="W221" s="141">
        <f>IFERROR(SUM(W16:W220),"")</f>
        <v/>
      </c>
      <c r="X221" s="141">
        <f>IFERROR(SUM(X16:X220),"")</f>
        <v/>
      </c>
      <c r="Y221" s="141">
        <f>IFERROR(SUM(Y16:Y220),"")</f>
        <v/>
      </c>
      <c r="Z221" s="141">
        <f>IFERROR(SUM(Z16:Z220),"")</f>
        <v/>
      </c>
      <c r="AA221" s="141">
        <f>IFERROR(SUM(AA16:AA220),"")</f>
        <v/>
      </c>
      <c r="AB221" s="141">
        <f>IFERROR(SUM(AB16:AB220),"")</f>
        <v/>
      </c>
      <c r="AC221" s="141">
        <f>IFERROR(SUM(AC16:AC220),"")</f>
        <v/>
      </c>
      <c r="AD221" s="141">
        <f>IFERROR(SUM(AD16:AD220),"")</f>
        <v/>
      </c>
      <c r="AE221" s="141">
        <f>IFERROR(SUM(AE16:AE220),"")</f>
        <v/>
      </c>
      <c r="AF221" s="141">
        <f>IFERROR(SUM(AF16:AF220),"")</f>
        <v/>
      </c>
      <c r="AG221" s="141">
        <f>IFERROR(SUM(AG16:AG220),"")</f>
        <v/>
      </c>
      <c r="AH221" s="141">
        <f>IFERROR(SUM(AH16:AH220),"")</f>
        <v/>
      </c>
      <c r="AI221" s="141">
        <f>IFERROR(SUM(AI16:AI220),"")</f>
        <v/>
      </c>
      <c r="AJ221" s="141">
        <f>IFERROR(SUM(AJ16:AJ220),"")</f>
        <v/>
      </c>
      <c r="AK221" s="141">
        <f>IFERROR(SUM(AK16:AK220),"")</f>
        <v/>
      </c>
      <c r="AL221" s="141">
        <f>IFERROR(SUM(AL16:AL220),"")</f>
        <v/>
      </c>
      <c r="AN221" s="141">
        <f>IFERROR(SUM(AN16:AN220),"")</f>
        <v/>
      </c>
      <c r="AO221" s="141">
        <f>IFERROR(SUM(AO16:AO220),"")</f>
        <v/>
      </c>
    </row>
    <row r="224">
      <c r="B224" s="3" t="inlineStr">
        <is>
          <t>MSCI Australia (MXAU)</t>
        </is>
      </c>
      <c r="F224" s="3" t="inlineStr">
        <is>
          <t>GROSS DIVIDEND (index pts)</t>
        </is>
      </c>
      <c r="W224" s="4" t="inlineStr">
        <is>
          <t>FRANKED PORTION (index pts)</t>
        </is>
      </c>
      <c r="AN224" s="3" t="inlineStr">
        <is>
          <t>SECTOR PICK</t>
        </is>
      </c>
    </row>
    <row r="225">
      <c r="B225" s="2" t="inlineStr">
        <is>
          <t>window start</t>
        </is>
      </c>
      <c r="F225" s="136">
        <f>IF(Expiries!$B16="","",Expiries!$K16)</f>
        <v/>
      </c>
      <c r="G225" s="136">
        <f>IF(Expiries!$B17="","",Expiries!$K17)</f>
        <v/>
      </c>
      <c r="H225" s="136">
        <f>IF(Expiries!$B18="","",Expiries!$K18)</f>
        <v/>
      </c>
      <c r="I225" s="136">
        <f>IF(Expiries!$B19="","",Expiries!$K19)</f>
        <v/>
      </c>
      <c r="J225" s="136">
        <f>IF(Expiries!$B20="","",Expiries!$K20)</f>
        <v/>
      </c>
      <c r="K225" s="136">
        <f>IF(Expiries!$B21="","",Expiries!$K21)</f>
        <v/>
      </c>
      <c r="L225" s="136">
        <f>IF(Expiries!$B22="","",Expiries!$K22)</f>
        <v/>
      </c>
      <c r="M225" s="136">
        <f>IF(Expiries!$B23="","",Expiries!$K23)</f>
        <v/>
      </c>
      <c r="N225" s="136">
        <f>IF(Expiries!$B24="","",Expiries!$K24)</f>
        <v/>
      </c>
      <c r="O225" s="136">
        <f>IF(Expiries!$B25="","",Expiries!$K25)</f>
        <v/>
      </c>
      <c r="P225" s="136">
        <f>IF(Expiries!$B26="","",Expiries!$K26)</f>
        <v/>
      </c>
      <c r="Q225" s="136">
        <f>IF(Expiries!$B27="","",Expiries!$K27)</f>
        <v/>
      </c>
      <c r="R225" s="136">
        <f>IF(Expiries!$B28="","",Expiries!$K28)</f>
        <v/>
      </c>
      <c r="S225" s="136">
        <f>IF(Expiries!$B29="","",Expiries!$K29)</f>
        <v/>
      </c>
      <c r="T225" s="136">
        <f>IF(Expiries!$B30="","",Expiries!$K30)</f>
        <v/>
      </c>
      <c r="U225" s="136">
        <f>IF(Expiries!$B31="","",Expiries!$K31)</f>
        <v/>
      </c>
      <c r="W225" s="136">
        <f>IF(Expiries!$B16="","",Expiries!$K16)</f>
        <v/>
      </c>
      <c r="X225" s="136">
        <f>IF(Expiries!$B17="","",Expiries!$K17)</f>
        <v/>
      </c>
      <c r="Y225" s="136">
        <f>IF(Expiries!$B18="","",Expiries!$K18)</f>
        <v/>
      </c>
      <c r="Z225" s="136">
        <f>IF(Expiries!$B19="","",Expiries!$K19)</f>
        <v/>
      </c>
      <c r="AA225" s="136">
        <f>IF(Expiries!$B20="","",Expiries!$K20)</f>
        <v/>
      </c>
      <c r="AB225" s="136">
        <f>IF(Expiries!$B21="","",Expiries!$K21)</f>
        <v/>
      </c>
      <c r="AC225" s="136">
        <f>IF(Expiries!$B22="","",Expiries!$K22)</f>
        <v/>
      </c>
      <c r="AD225" s="136">
        <f>IF(Expiries!$B23="","",Expiries!$K23)</f>
        <v/>
      </c>
      <c r="AE225" s="136">
        <f>IF(Expiries!$B24="","",Expiries!$K24)</f>
        <v/>
      </c>
      <c r="AF225" s="136">
        <f>IF(Expiries!$B25="","",Expiries!$K25)</f>
        <v/>
      </c>
      <c r="AG225" s="136">
        <f>IF(Expiries!$B26="","",Expiries!$K26)</f>
        <v/>
      </c>
      <c r="AH225" s="136">
        <f>IF(Expiries!$B27="","",Expiries!$K27)</f>
        <v/>
      </c>
      <c r="AI225" s="136">
        <f>IF(Expiries!$B28="","",Expiries!$K28)</f>
        <v/>
      </c>
      <c r="AJ225" s="136">
        <f>IF(Expiries!$B29="","",Expiries!$K29)</f>
        <v/>
      </c>
      <c r="AK225" s="136">
        <f>IF(Expiries!$B30="","",Expiries!$K30)</f>
        <v/>
      </c>
      <c r="AL225" s="136">
        <f>IF(Expiries!$B31="","",Expiries!$K31)</f>
        <v/>
      </c>
    </row>
    <row r="226">
      <c r="B226" s="3" t="inlineStr">
        <is>
          <t>expiry</t>
        </is>
      </c>
      <c r="F226" s="137">
        <f>IF(Expiries!$B16="","",Expiries!$I16)</f>
        <v/>
      </c>
      <c r="G226" s="137">
        <f>IF(Expiries!$B17="","",Expiries!$I17)</f>
        <v/>
      </c>
      <c r="H226" s="137">
        <f>IF(Expiries!$B18="","",Expiries!$I18)</f>
        <v/>
      </c>
      <c r="I226" s="137">
        <f>IF(Expiries!$B19="","",Expiries!$I19)</f>
        <v/>
      </c>
      <c r="J226" s="137">
        <f>IF(Expiries!$B20="","",Expiries!$I20)</f>
        <v/>
      </c>
      <c r="K226" s="137">
        <f>IF(Expiries!$B21="","",Expiries!$I21)</f>
        <v/>
      </c>
      <c r="L226" s="137">
        <f>IF(Expiries!$B22="","",Expiries!$I22)</f>
        <v/>
      </c>
      <c r="M226" s="137">
        <f>IF(Expiries!$B23="","",Expiries!$I23)</f>
        <v/>
      </c>
      <c r="N226" s="137">
        <f>IF(Expiries!$B24="","",Expiries!$I24)</f>
        <v/>
      </c>
      <c r="O226" s="137">
        <f>IF(Expiries!$B25="","",Expiries!$I25)</f>
        <v/>
      </c>
      <c r="P226" s="137">
        <f>IF(Expiries!$B26="","",Expiries!$I26)</f>
        <v/>
      </c>
      <c r="Q226" s="137">
        <f>IF(Expiries!$B27="","",Expiries!$I27)</f>
        <v/>
      </c>
      <c r="R226" s="137">
        <f>IF(Expiries!$B28="","",Expiries!$I28)</f>
        <v/>
      </c>
      <c r="S226" s="137">
        <f>IF(Expiries!$B29="","",Expiries!$I29)</f>
        <v/>
      </c>
      <c r="T226" s="137">
        <f>IF(Expiries!$B30="","",Expiries!$I30)</f>
        <v/>
      </c>
      <c r="U226" s="137">
        <f>IF(Expiries!$B31="","",Expiries!$I31)</f>
        <v/>
      </c>
      <c r="W226" s="137">
        <f>IF(Expiries!$B16="","",Expiries!$I16)</f>
        <v/>
      </c>
      <c r="X226" s="137">
        <f>IF(Expiries!$B17="","",Expiries!$I17)</f>
        <v/>
      </c>
      <c r="Y226" s="137">
        <f>IF(Expiries!$B18="","",Expiries!$I18)</f>
        <v/>
      </c>
      <c r="Z226" s="137">
        <f>IF(Expiries!$B19="","",Expiries!$I19)</f>
        <v/>
      </c>
      <c r="AA226" s="137">
        <f>IF(Expiries!$B20="","",Expiries!$I20)</f>
        <v/>
      </c>
      <c r="AB226" s="137">
        <f>IF(Expiries!$B21="","",Expiries!$I21)</f>
        <v/>
      </c>
      <c r="AC226" s="137">
        <f>IF(Expiries!$B22="","",Expiries!$I22)</f>
        <v/>
      </c>
      <c r="AD226" s="137">
        <f>IF(Expiries!$B23="","",Expiries!$I23)</f>
        <v/>
      </c>
      <c r="AE226" s="137">
        <f>IF(Expiries!$B24="","",Expiries!$I24)</f>
        <v/>
      </c>
      <c r="AF226" s="137">
        <f>IF(Expiries!$B25="","",Expiries!$I25)</f>
        <v/>
      </c>
      <c r="AG226" s="137">
        <f>IF(Expiries!$B26="","",Expiries!$I26)</f>
        <v/>
      </c>
      <c r="AH226" s="137">
        <f>IF(Expiries!$B27="","",Expiries!$I27)</f>
        <v/>
      </c>
      <c r="AI226" s="137">
        <f>IF(Expiries!$B28="","",Expiries!$I28)</f>
        <v/>
      </c>
      <c r="AJ226" s="137">
        <f>IF(Expiries!$B29="","",Expiries!$I29)</f>
        <v/>
      </c>
      <c r="AK226" s="137">
        <f>IF(Expiries!$B30="","",Expiries!$I30)</f>
        <v/>
      </c>
      <c r="AL226" s="137">
        <f>IF(Expiries!$B31="","",Expiries!$I31)</f>
        <v/>
      </c>
    </row>
    <row r="227">
      <c r="B227" s="2" t="inlineStr">
        <is>
          <t>covered?</t>
        </is>
      </c>
      <c r="F227" s="89">
        <f>IF(Expiries!$B16="","",Expiries!$L16)</f>
        <v/>
      </c>
      <c r="G227" s="89">
        <f>IF(Expiries!$B17="","",Expiries!$L17)</f>
        <v/>
      </c>
      <c r="H227" s="89">
        <f>IF(Expiries!$B18="","",Expiries!$L18)</f>
        <v/>
      </c>
      <c r="I227" s="89">
        <f>IF(Expiries!$B19="","",Expiries!$L19)</f>
        <v/>
      </c>
      <c r="J227" s="89">
        <f>IF(Expiries!$B20="","",Expiries!$L20)</f>
        <v/>
      </c>
      <c r="K227" s="89">
        <f>IF(Expiries!$B21="","",Expiries!$L21)</f>
        <v/>
      </c>
      <c r="L227" s="89">
        <f>IF(Expiries!$B22="","",Expiries!$L22)</f>
        <v/>
      </c>
      <c r="M227" s="89">
        <f>IF(Expiries!$B23="","",Expiries!$L23)</f>
        <v/>
      </c>
      <c r="N227" s="89">
        <f>IF(Expiries!$B24="","",Expiries!$L24)</f>
        <v/>
      </c>
      <c r="O227" s="89">
        <f>IF(Expiries!$B25="","",Expiries!$L25)</f>
        <v/>
      </c>
      <c r="P227" s="89">
        <f>IF(Expiries!$B26="","",Expiries!$L26)</f>
        <v/>
      </c>
      <c r="Q227" s="89">
        <f>IF(Expiries!$B27="","",Expiries!$L27)</f>
        <v/>
      </c>
      <c r="R227" s="89">
        <f>IF(Expiries!$B28="","",Expiries!$L28)</f>
        <v/>
      </c>
      <c r="S227" s="89">
        <f>IF(Expiries!$B29="","",Expiries!$L29)</f>
        <v/>
      </c>
      <c r="T227" s="89">
        <f>IF(Expiries!$B30="","",Expiries!$L30)</f>
        <v/>
      </c>
      <c r="U227" s="89">
        <f>IF(Expiries!$B31="","",Expiries!$L31)</f>
        <v/>
      </c>
      <c r="W227" s="89">
        <f>IF(Expiries!$B16="","",Expiries!$L16)</f>
        <v/>
      </c>
      <c r="X227" s="89">
        <f>IF(Expiries!$B17="","",Expiries!$L17)</f>
        <v/>
      </c>
      <c r="Y227" s="89">
        <f>IF(Expiries!$B18="","",Expiries!$L18)</f>
        <v/>
      </c>
      <c r="Z227" s="89">
        <f>IF(Expiries!$B19="","",Expiries!$L19)</f>
        <v/>
      </c>
      <c r="AA227" s="89">
        <f>IF(Expiries!$B20="","",Expiries!$L20)</f>
        <v/>
      </c>
      <c r="AB227" s="89">
        <f>IF(Expiries!$B21="","",Expiries!$L21)</f>
        <v/>
      </c>
      <c r="AC227" s="89">
        <f>IF(Expiries!$B22="","",Expiries!$L22)</f>
        <v/>
      </c>
      <c r="AD227" s="89">
        <f>IF(Expiries!$B23="","",Expiries!$L23)</f>
        <v/>
      </c>
      <c r="AE227" s="89">
        <f>IF(Expiries!$B24="","",Expiries!$L24)</f>
        <v/>
      </c>
      <c r="AF227" s="89">
        <f>IF(Expiries!$B25="","",Expiries!$L25)</f>
        <v/>
      </c>
      <c r="AG227" s="89">
        <f>IF(Expiries!$B26="","",Expiries!$L26)</f>
        <v/>
      </c>
      <c r="AH227" s="89">
        <f>IF(Expiries!$B27="","",Expiries!$L27)</f>
        <v/>
      </c>
      <c r="AI227" s="89">
        <f>IF(Expiries!$B28="","",Expiries!$L28)</f>
        <v/>
      </c>
      <c r="AJ227" s="89">
        <f>IF(Expiries!$B29="","",Expiries!$L29)</f>
        <v/>
      </c>
      <c r="AK227" s="89">
        <f>IF(Expiries!$B30="","",Expiries!$L30)</f>
        <v/>
      </c>
      <c r="AL227" s="89">
        <f>IF(Expiries!$B31="","",Expiries!$L31)</f>
        <v/>
      </c>
    </row>
    <row r="228">
      <c r="B228" s="54" t="inlineStr">
        <is>
          <t>Bloomberg Ticker</t>
        </is>
      </c>
      <c r="C228" s="54" t="inlineStr">
        <is>
          <t>Index
Shares</t>
        </is>
      </c>
      <c r="D228" s="54" t="inlineStr">
        <is>
          <t>Dvd FX</t>
        </is>
      </c>
      <c r="E228" s="54" t="inlineStr">
        <is>
          <t>Frank %</t>
        </is>
      </c>
      <c r="F228" s="54">
        <f>IF(Expiries!$B16="","",Expiries!$C16)</f>
        <v/>
      </c>
      <c r="G228" s="54">
        <f>IF(Expiries!$B17="","",Expiries!$C17)</f>
        <v/>
      </c>
      <c r="H228" s="54">
        <f>IF(Expiries!$B18="","",Expiries!$C18)</f>
        <v/>
      </c>
      <c r="I228" s="54">
        <f>IF(Expiries!$B19="","",Expiries!$C19)</f>
        <v/>
      </c>
      <c r="J228" s="54">
        <f>IF(Expiries!$B20="","",Expiries!$C20)</f>
        <v/>
      </c>
      <c r="K228" s="54">
        <f>IF(Expiries!$B21="","",Expiries!$C21)</f>
        <v/>
      </c>
      <c r="L228" s="54">
        <f>IF(Expiries!$B22="","",Expiries!$C22)</f>
        <v/>
      </c>
      <c r="M228" s="54">
        <f>IF(Expiries!$B23="","",Expiries!$C23)</f>
        <v/>
      </c>
      <c r="N228" s="54">
        <f>IF(Expiries!$B24="","",Expiries!$C24)</f>
        <v/>
      </c>
      <c r="O228" s="54">
        <f>IF(Expiries!$B25="","",Expiries!$C25)</f>
        <v/>
      </c>
      <c r="P228" s="54">
        <f>IF(Expiries!$B26="","",Expiries!$C26)</f>
        <v/>
      </c>
      <c r="Q228" s="54">
        <f>IF(Expiries!$B27="","",Expiries!$C27)</f>
        <v/>
      </c>
      <c r="R228" s="54">
        <f>IF(Expiries!$B28="","",Expiries!$C28)</f>
        <v/>
      </c>
      <c r="S228" s="54">
        <f>IF(Expiries!$B29="","",Expiries!$C29)</f>
        <v/>
      </c>
      <c r="T228" s="54">
        <f>IF(Expiries!$B30="","",Expiries!$C30)</f>
        <v/>
      </c>
      <c r="U228" s="54">
        <f>IF(Expiries!$B31="","",Expiries!$C31)</f>
        <v/>
      </c>
      <c r="W228" s="70">
        <f>IF(Expiries!$B16="","",Expiries!$C16)</f>
        <v/>
      </c>
      <c r="X228" s="70">
        <f>IF(Expiries!$B17="","",Expiries!$C17)</f>
        <v/>
      </c>
      <c r="Y228" s="70">
        <f>IF(Expiries!$B18="","",Expiries!$C18)</f>
        <v/>
      </c>
      <c r="Z228" s="70">
        <f>IF(Expiries!$B19="","",Expiries!$C19)</f>
        <v/>
      </c>
      <c r="AA228" s="70">
        <f>IF(Expiries!$B20="","",Expiries!$C20)</f>
        <v/>
      </c>
      <c r="AB228" s="70">
        <f>IF(Expiries!$B21="","",Expiries!$C21)</f>
        <v/>
      </c>
      <c r="AC228" s="70">
        <f>IF(Expiries!$B22="","",Expiries!$C22)</f>
        <v/>
      </c>
      <c r="AD228" s="70">
        <f>IF(Expiries!$B23="","",Expiries!$C23)</f>
        <v/>
      </c>
      <c r="AE228" s="70">
        <f>IF(Expiries!$B24="","",Expiries!$C24)</f>
        <v/>
      </c>
      <c r="AF228" s="70">
        <f>IF(Expiries!$B25="","",Expiries!$C25)</f>
        <v/>
      </c>
      <c r="AG228" s="70">
        <f>IF(Expiries!$B26="","",Expiries!$C26)</f>
        <v/>
      </c>
      <c r="AH228" s="70">
        <f>IF(Expiries!$B27="","",Expiries!$C27)</f>
        <v/>
      </c>
      <c r="AI228" s="70">
        <f>IF(Expiries!$B28="","",Expiries!$C28)</f>
        <v/>
      </c>
      <c r="AJ228" s="70">
        <f>IF(Expiries!$B29="","",Expiries!$C29)</f>
        <v/>
      </c>
      <c r="AK228" s="70">
        <f>IF(Expiries!$B30="","",Expiries!$C30)</f>
        <v/>
      </c>
      <c r="AL228" s="70">
        <f>IF(Expiries!$B31="","",Expiries!$C31)</f>
        <v/>
      </c>
      <c r="AN228" s="54" t="inlineStr">
        <is>
          <t>Cum gross
(pts)</t>
        </is>
      </c>
      <c r="AO228" s="70" t="inlineStr">
        <is>
          <t>Cum franked
(pts)</t>
        </is>
      </c>
    </row>
    <row r="229">
      <c r="B229" s="5">
        <f>IF(MXAU!$C$6="","",MXAU!$C$6)</f>
        <v/>
      </c>
      <c r="C229" s="90">
        <f>IF(MXAU!$B$6="","",MXAU!$B$6)</f>
        <v/>
      </c>
      <c r="D229" s="138">
        <f>IFERROR(MXAU!$Q$6,1)</f>
        <v/>
      </c>
      <c r="E229" s="139">
        <f>IF($B229="","",IF(ISNUMBER(MXAU!$I$6),MXAU!$I$6,'Index Summary'!$C$7))</f>
        <v/>
      </c>
      <c r="F229" s="140">
        <f>IF(F$226="","",IF($B229="","",IFERROR($C229*$D229*IF((Override!$C$4="ON")*(COUNTIFS(Override!$B$11:$B$40,$B229,Override!$D$11:$D$40,1,Override!$E$11:$E$40,"&gt;=0")-COUNTIFS(Override!$B$11:$B$40,$B229,Override!$D$11:$D$40,1,Override!$E$11:$E$40,"&gt;=0",Override!$C$11:$C$40,"AS51"))&gt;0,SUMIFS(Override!$E$11:$E$40,Override!$B$11:$B$40,$B229,Override!$D$11:$D$40,1)-SUMIFS(Override!$E$11:$E$40,Override!$B$11:$B$40,$B229,Override!$D$11:$D$40,1,Override!$C$11:$C$40,"AS51"),Override!$C$261)/MXAU!$B$3,"")))</f>
        <v/>
      </c>
      <c r="G229" s="140">
        <f>IF(G$226="","",IF($B229="","",IFERROR($C229*$D229*IF((Override!$C$4="ON")*(COUNTIFS(Override!$B$11:$B$40,$B229,Override!$D$11:$D$40,2,Override!$E$11:$E$40,"&gt;=0")-COUNTIFS(Override!$B$11:$B$40,$B229,Override!$D$11:$D$40,2,Override!$E$11:$E$40,"&gt;=0",Override!$C$11:$C$40,"AS51"))&gt;0,SUMIFS(Override!$E$11:$E$40,Override!$B$11:$B$40,$B229,Override!$D$11:$D$40,2)-SUMIFS(Override!$E$11:$E$40,Override!$B$11:$B$40,$B229,Override!$D$11:$D$40,2,Override!$C$11:$C$40,"AS51"),Override!$D$261)/MXAU!$B$3,"")))</f>
        <v/>
      </c>
      <c r="H229" s="140">
        <f>IF(H$226="","",IF($B229="","",IFERROR($C229*$D229*IF((Override!$C$4="ON")*(COUNTIFS(Override!$B$11:$B$40,$B229,Override!$D$11:$D$40,3,Override!$E$11:$E$40,"&gt;=0")-COUNTIFS(Override!$B$11:$B$40,$B229,Override!$D$11:$D$40,3,Override!$E$11:$E$40,"&gt;=0",Override!$C$11:$C$40,"AS51"))&gt;0,SUMIFS(Override!$E$11:$E$40,Override!$B$11:$B$40,$B229,Override!$D$11:$D$40,3)-SUMIFS(Override!$E$11:$E$40,Override!$B$11:$B$40,$B229,Override!$D$11:$D$40,3,Override!$C$11:$C$40,"AS51"),Override!$E$261)/MXAU!$B$3,"")))</f>
        <v/>
      </c>
      <c r="I229" s="140">
        <f>IF(I$226="","",IF($B229="","",IFERROR($C229*$D229*IF((Override!$C$4="ON")*(COUNTIFS(Override!$B$11:$B$40,$B229,Override!$D$11:$D$40,4,Override!$E$11:$E$40,"&gt;=0")-COUNTIFS(Override!$B$11:$B$40,$B229,Override!$D$11:$D$40,4,Override!$E$11:$E$40,"&gt;=0",Override!$C$11:$C$40,"AS51"))&gt;0,SUMIFS(Override!$E$11:$E$40,Override!$B$11:$B$40,$B229,Override!$D$11:$D$40,4)-SUMIFS(Override!$E$11:$E$40,Override!$B$11:$B$40,$B229,Override!$D$11:$D$40,4,Override!$C$11:$C$40,"AS51"),Override!$F$261)/MXAU!$B$3,"")))</f>
        <v/>
      </c>
      <c r="J229" s="140">
        <f>IF(J$226="","",IF($B229="","",IFERROR($C229*$D229*IF((Override!$C$4="ON")*(COUNTIFS(Override!$B$11:$B$40,$B229,Override!$D$11:$D$40,5,Override!$E$11:$E$40,"&gt;=0")-COUNTIFS(Override!$B$11:$B$40,$B229,Override!$D$11:$D$40,5,Override!$E$11:$E$40,"&gt;=0",Override!$C$11:$C$40,"AS51"))&gt;0,SUMIFS(Override!$E$11:$E$40,Override!$B$11:$B$40,$B229,Override!$D$11:$D$40,5)-SUMIFS(Override!$E$11:$E$40,Override!$B$11:$B$40,$B229,Override!$D$11:$D$40,5,Override!$C$11:$C$40,"AS51"),Override!$G$261)/MXAU!$B$3,"")))</f>
        <v/>
      </c>
      <c r="K229" s="140">
        <f>IF(K$226="","",IF($B229="","",IFERROR($C229*$D229*IF((Override!$C$4="ON")*(COUNTIFS(Override!$B$11:$B$40,$B229,Override!$D$11:$D$40,6,Override!$E$11:$E$40,"&gt;=0")-COUNTIFS(Override!$B$11:$B$40,$B229,Override!$D$11:$D$40,6,Override!$E$11:$E$40,"&gt;=0",Override!$C$11:$C$40,"AS51"))&gt;0,SUMIFS(Override!$E$11:$E$40,Override!$B$11:$B$40,$B229,Override!$D$11:$D$40,6)-SUMIFS(Override!$E$11:$E$40,Override!$B$11:$B$40,$B229,Override!$D$11:$D$40,6,Override!$C$11:$C$40,"AS51"),Override!$H$261)/MXAU!$B$3,"")))</f>
        <v/>
      </c>
      <c r="L229" s="140">
        <f>IF(L$226="","",IF($B229="","",IFERROR($C229*$D229*IF((Override!$C$4="ON")*(COUNTIFS(Override!$B$11:$B$40,$B229,Override!$D$11:$D$40,7,Override!$E$11:$E$40,"&gt;=0")-COUNTIFS(Override!$B$11:$B$40,$B229,Override!$D$11:$D$40,7,Override!$E$11:$E$40,"&gt;=0",Override!$C$11:$C$40,"AS51"))&gt;0,SUMIFS(Override!$E$11:$E$40,Override!$B$11:$B$40,$B229,Override!$D$11:$D$40,7)-SUMIFS(Override!$E$11:$E$40,Override!$B$11:$B$40,$B229,Override!$D$11:$D$40,7,Override!$C$11:$C$40,"AS51"),Override!$I$261)/MXAU!$B$3,"")))</f>
        <v/>
      </c>
      <c r="M229" s="140">
        <f>IF(M$226="","",IF($B229="","",IFERROR($C229*$D229*IF((Override!$C$4="ON")*(COUNTIFS(Override!$B$11:$B$40,$B229,Override!$D$11:$D$40,8,Override!$E$11:$E$40,"&gt;=0")-COUNTIFS(Override!$B$11:$B$40,$B229,Override!$D$11:$D$40,8,Override!$E$11:$E$40,"&gt;=0",Override!$C$11:$C$40,"AS51"))&gt;0,SUMIFS(Override!$E$11:$E$40,Override!$B$11:$B$40,$B229,Override!$D$11:$D$40,8)-SUMIFS(Override!$E$11:$E$40,Override!$B$11:$B$40,$B229,Override!$D$11:$D$40,8,Override!$C$11:$C$40,"AS51"),Override!$J$261)/MXAU!$B$3,"")))</f>
        <v/>
      </c>
      <c r="N229" s="140">
        <f>IF(N$226="","",IF($B229="","",IFERROR($C229*$D229*IF((Override!$C$4="ON")*(COUNTIFS(Override!$B$11:$B$40,$B229,Override!$D$11:$D$40,9,Override!$E$11:$E$40,"&gt;=0")-COUNTIFS(Override!$B$11:$B$40,$B229,Override!$D$11:$D$40,9,Override!$E$11:$E$40,"&gt;=0",Override!$C$11:$C$40,"AS51"))&gt;0,SUMIFS(Override!$E$11:$E$40,Override!$B$11:$B$40,$B229,Override!$D$11:$D$40,9)-SUMIFS(Override!$E$11:$E$40,Override!$B$11:$B$40,$B229,Override!$D$11:$D$40,9,Override!$C$11:$C$40,"AS51"),Override!$K$261)/MXAU!$B$3,"")))</f>
        <v/>
      </c>
      <c r="O229" s="140">
        <f>IF(O$226="","",IF($B229="","",IFERROR($C229*$D229*IF((Override!$C$4="ON")*(COUNTIFS(Override!$B$11:$B$40,$B229,Override!$D$11:$D$40,10,Override!$E$11:$E$40,"&gt;=0")-COUNTIFS(Override!$B$11:$B$40,$B229,Override!$D$11:$D$40,10,Override!$E$11:$E$40,"&gt;=0",Override!$C$11:$C$40,"AS51"))&gt;0,SUMIFS(Override!$E$11:$E$40,Override!$B$11:$B$40,$B229,Override!$D$11:$D$40,10)-SUMIFS(Override!$E$11:$E$40,Override!$B$11:$B$40,$B229,Override!$D$11:$D$40,10,Override!$C$11:$C$40,"AS51"),Override!$L$261)/MXAU!$B$3,"")))</f>
        <v/>
      </c>
      <c r="P229" s="140">
        <f>IF(P$226="","",IF($B229="","",IFERROR($C229*$D229*IF((Override!$C$4="ON")*(COUNTIFS(Override!$B$11:$B$40,$B229,Override!$D$11:$D$40,11,Override!$E$11:$E$40,"&gt;=0")-COUNTIFS(Override!$B$11:$B$40,$B229,Override!$D$11:$D$40,11,Override!$E$11:$E$40,"&gt;=0",Override!$C$11:$C$40,"AS51"))&gt;0,SUMIFS(Override!$E$11:$E$40,Override!$B$11:$B$40,$B229,Override!$D$11:$D$40,11)-SUMIFS(Override!$E$11:$E$40,Override!$B$11:$B$40,$B229,Override!$D$11:$D$40,11,Override!$C$11:$C$40,"AS51"),Override!$M$261)/MXAU!$B$3,"")))</f>
        <v/>
      </c>
      <c r="Q229" s="140">
        <f>IF(Q$226="","",IF($B229="","",IFERROR($C229*$D229*IF((Override!$C$4="ON")*(COUNTIFS(Override!$B$11:$B$40,$B229,Override!$D$11:$D$40,12,Override!$E$11:$E$40,"&gt;=0")-COUNTIFS(Override!$B$11:$B$40,$B229,Override!$D$11:$D$40,12,Override!$E$11:$E$40,"&gt;=0",Override!$C$11:$C$40,"AS51"))&gt;0,SUMIFS(Override!$E$11:$E$40,Override!$B$11:$B$40,$B229,Override!$D$11:$D$40,12)-SUMIFS(Override!$E$11:$E$40,Override!$B$11:$B$40,$B229,Override!$D$11:$D$40,12,Override!$C$11:$C$40,"AS51"),Override!$N$261)/MXAU!$B$3,"")))</f>
        <v/>
      </c>
      <c r="R229" s="140">
        <f>IF(R$226="","",IF($B229="","",IFERROR($C229*$D229*IF((Override!$C$4="ON")*(COUNTIFS(Override!$B$11:$B$40,$B229,Override!$D$11:$D$40,13,Override!$E$11:$E$40,"&gt;=0")-COUNTIFS(Override!$B$11:$B$40,$B229,Override!$D$11:$D$40,13,Override!$E$11:$E$40,"&gt;=0",Override!$C$11:$C$40,"AS51"))&gt;0,SUMIFS(Override!$E$11:$E$40,Override!$B$11:$B$40,$B229,Override!$D$11:$D$40,13)-SUMIFS(Override!$E$11:$E$40,Override!$B$11:$B$40,$B229,Override!$D$11:$D$40,13,Override!$C$11:$C$40,"AS51"),Override!$O$261)/MXAU!$B$3,"")))</f>
        <v/>
      </c>
      <c r="S229" s="140">
        <f>IF(S$226="","",IF($B229="","",IFERROR($C229*$D229*IF((Override!$C$4="ON")*(COUNTIFS(Override!$B$11:$B$40,$B229,Override!$D$11:$D$40,14,Override!$E$11:$E$40,"&gt;=0")-COUNTIFS(Override!$B$11:$B$40,$B229,Override!$D$11:$D$40,14,Override!$E$11:$E$40,"&gt;=0",Override!$C$11:$C$40,"AS51"))&gt;0,SUMIFS(Override!$E$11:$E$40,Override!$B$11:$B$40,$B229,Override!$D$11:$D$40,14)-SUMIFS(Override!$E$11:$E$40,Override!$B$11:$B$40,$B229,Override!$D$11:$D$40,14,Override!$C$11:$C$40,"AS51"),Override!$P$261)/MXAU!$B$3,"")))</f>
        <v/>
      </c>
      <c r="T229" s="140">
        <f>IF(T$226="","",IF($B229="","",IFERROR($C229*$D229*IF((Override!$C$4="ON")*(COUNTIFS(Override!$B$11:$B$40,$B229,Override!$D$11:$D$40,15,Override!$E$11:$E$40,"&gt;=0")-COUNTIFS(Override!$B$11:$B$40,$B229,Override!$D$11:$D$40,15,Override!$E$11:$E$40,"&gt;=0",Override!$C$11:$C$40,"AS51"))&gt;0,SUMIFS(Override!$E$11:$E$40,Override!$B$11:$B$40,$B229,Override!$D$11:$D$40,15)-SUMIFS(Override!$E$11:$E$40,Override!$B$11:$B$40,$B229,Override!$D$11:$D$40,15,Override!$C$11:$C$40,"AS51"),Override!$Q$261)/MXAU!$B$3,"")))</f>
        <v/>
      </c>
      <c r="U229" s="140">
        <f>IF(U$226="","",IF($B229="","",IFERROR($C229*$D229*IF((Override!$C$4="ON")*(COUNTIFS(Override!$B$11:$B$40,$B229,Override!$D$11:$D$40,16,Override!$E$11:$E$40,"&gt;=0")-COUNTIFS(Override!$B$11:$B$40,$B229,Override!$D$11:$D$40,16,Override!$E$11:$E$40,"&gt;=0",Override!$C$11:$C$40,"AS51"))&gt;0,SUMIFS(Override!$E$11:$E$40,Override!$B$11:$B$40,$B229,Override!$D$11:$D$40,16)-SUMIFS(Override!$E$11:$E$40,Override!$B$11:$B$40,$B229,Override!$D$11:$D$40,16,Override!$C$11:$C$40,"AS51"),Override!$R$261)/MXAU!$B$3,"")))</f>
        <v/>
      </c>
      <c r="W229" s="140">
        <f>IF(W$226="","",IF($B229="","",IFERROR(F229*$E229/100,"")))</f>
        <v/>
      </c>
      <c r="X229" s="140">
        <f>IF(X$226="","",IF($B229="","",IFERROR(G229*$E229/100,"")))</f>
        <v/>
      </c>
      <c r="Y229" s="140">
        <f>IF(Y$226="","",IF($B229="","",IFERROR(H229*$E229/100,"")))</f>
        <v/>
      </c>
      <c r="Z229" s="140">
        <f>IF(Z$226="","",IF($B229="","",IFERROR(I229*$E229/100,"")))</f>
        <v/>
      </c>
      <c r="AA229" s="140">
        <f>IF(AA$226="","",IF($B229="","",IFERROR(J229*$E229/100,"")))</f>
        <v/>
      </c>
      <c r="AB229" s="140">
        <f>IF(AB$226="","",IF($B229="","",IFERROR(K229*$E229/100,"")))</f>
        <v/>
      </c>
      <c r="AC229" s="140">
        <f>IF(AC$226="","",IF($B229="","",IFERROR(L229*$E229/100,"")))</f>
        <v/>
      </c>
      <c r="AD229" s="140">
        <f>IF(AD$226="","",IF($B229="","",IFERROR(M229*$E229/100,"")))</f>
        <v/>
      </c>
      <c r="AE229" s="140">
        <f>IF(AE$226="","",IF($B229="","",IFERROR(N229*$E229/100,"")))</f>
        <v/>
      </c>
      <c r="AF229" s="140">
        <f>IF(AF$226="","",IF($B229="","",IFERROR(O229*$E229/100,"")))</f>
        <v/>
      </c>
      <c r="AG229" s="140">
        <f>IF(AG$226="","",IF($B229="","",IFERROR(P229*$E229/100,"")))</f>
        <v/>
      </c>
      <c r="AH229" s="140">
        <f>IF(AH$226="","",IF($B229="","",IFERROR(Q229*$E229/100,"")))</f>
        <v/>
      </c>
      <c r="AI229" s="140">
        <f>IF(AI$226="","",IF($B229="","",IFERROR(R229*$E229/100,"")))</f>
        <v/>
      </c>
      <c r="AJ229" s="140">
        <f>IF(AJ$226="","",IF($B229="","",IFERROR(S229*$E229/100,"")))</f>
        <v/>
      </c>
      <c r="AK229" s="140">
        <f>IF(AK$226="","",IF($B229="","",IFERROR(T229*$E229/100,"")))</f>
        <v/>
      </c>
      <c r="AL229" s="140">
        <f>IF(AL$226="","",IF($B229="","",IFERROR(U229*$E229/100,"")))</f>
        <v/>
      </c>
      <c r="AN229" s="140">
        <f>IF($B229="","",SUMIF($F$226:$U$226,"&lt;="&amp;Sector!$E$51,$F229:$U229))</f>
        <v/>
      </c>
      <c r="AO229" s="140">
        <f>IF($B229="","",SUMIF($W$226:$AL$226,"&lt;="&amp;Sector!$E$51,$W229:$AL229))</f>
        <v/>
      </c>
    </row>
    <row r="230">
      <c r="B230" s="5">
        <f>IF(MXAU!$C$7="","",MXAU!$C$7)</f>
        <v/>
      </c>
      <c r="C230" s="90">
        <f>IF(MXAU!$B$7="","",MXAU!$B$7)</f>
        <v/>
      </c>
      <c r="D230" s="138">
        <f>IFERROR(MXAU!$Q$7,1)</f>
        <v/>
      </c>
      <c r="E230" s="139">
        <f>IF($B230="","",IF(ISNUMBER(MXAU!$I$7),MXAU!$I$7,'Index Summary'!$C$7))</f>
        <v/>
      </c>
      <c r="F230" s="140">
        <f>IF(F$226="","",IF($B230="","",IFERROR($C230*$D230*IF((Override!$C$4="ON")*(COUNTIFS(Override!$B$11:$B$40,$B230,Override!$D$11:$D$40,1,Override!$E$11:$E$40,"&gt;=0")-COUNTIFS(Override!$B$11:$B$40,$B230,Override!$D$11:$D$40,1,Override!$E$11:$E$40,"&gt;=0",Override!$C$11:$C$40,"AS51"))&gt;0,SUMIFS(Override!$E$11:$E$40,Override!$B$11:$B$40,$B230,Override!$D$11:$D$40,1)-SUMIFS(Override!$E$11:$E$40,Override!$B$11:$B$40,$B230,Override!$D$11:$D$40,1,Override!$C$11:$C$40,"AS51"),Override!$C$262)/MXAU!$B$3,"")))</f>
        <v/>
      </c>
      <c r="G230" s="140">
        <f>IF(G$226="","",IF($B230="","",IFERROR($C230*$D230*IF((Override!$C$4="ON")*(COUNTIFS(Override!$B$11:$B$40,$B230,Override!$D$11:$D$40,2,Override!$E$11:$E$40,"&gt;=0")-COUNTIFS(Override!$B$11:$B$40,$B230,Override!$D$11:$D$40,2,Override!$E$11:$E$40,"&gt;=0",Override!$C$11:$C$40,"AS51"))&gt;0,SUMIFS(Override!$E$11:$E$40,Override!$B$11:$B$40,$B230,Override!$D$11:$D$40,2)-SUMIFS(Override!$E$11:$E$40,Override!$B$11:$B$40,$B230,Override!$D$11:$D$40,2,Override!$C$11:$C$40,"AS51"),Override!$D$262)/MXAU!$B$3,"")))</f>
        <v/>
      </c>
      <c r="H230" s="140">
        <f>IF(H$226="","",IF($B230="","",IFERROR($C230*$D230*IF((Override!$C$4="ON")*(COUNTIFS(Override!$B$11:$B$40,$B230,Override!$D$11:$D$40,3,Override!$E$11:$E$40,"&gt;=0")-COUNTIFS(Override!$B$11:$B$40,$B230,Override!$D$11:$D$40,3,Override!$E$11:$E$40,"&gt;=0",Override!$C$11:$C$40,"AS51"))&gt;0,SUMIFS(Override!$E$11:$E$40,Override!$B$11:$B$40,$B230,Override!$D$11:$D$40,3)-SUMIFS(Override!$E$11:$E$40,Override!$B$11:$B$40,$B230,Override!$D$11:$D$40,3,Override!$C$11:$C$40,"AS51"),Override!$E$262)/MXAU!$B$3,"")))</f>
        <v/>
      </c>
      <c r="I230" s="140">
        <f>IF(I$226="","",IF($B230="","",IFERROR($C230*$D230*IF((Override!$C$4="ON")*(COUNTIFS(Override!$B$11:$B$40,$B230,Override!$D$11:$D$40,4,Override!$E$11:$E$40,"&gt;=0")-COUNTIFS(Override!$B$11:$B$40,$B230,Override!$D$11:$D$40,4,Override!$E$11:$E$40,"&gt;=0",Override!$C$11:$C$40,"AS51"))&gt;0,SUMIFS(Override!$E$11:$E$40,Override!$B$11:$B$40,$B230,Override!$D$11:$D$40,4)-SUMIFS(Override!$E$11:$E$40,Override!$B$11:$B$40,$B230,Override!$D$11:$D$40,4,Override!$C$11:$C$40,"AS51"),Override!$F$262)/MXAU!$B$3,"")))</f>
        <v/>
      </c>
      <c r="J230" s="140">
        <f>IF(J$226="","",IF($B230="","",IFERROR($C230*$D230*IF((Override!$C$4="ON")*(COUNTIFS(Override!$B$11:$B$40,$B230,Override!$D$11:$D$40,5,Override!$E$11:$E$40,"&gt;=0")-COUNTIFS(Override!$B$11:$B$40,$B230,Override!$D$11:$D$40,5,Override!$E$11:$E$40,"&gt;=0",Override!$C$11:$C$40,"AS51"))&gt;0,SUMIFS(Override!$E$11:$E$40,Override!$B$11:$B$40,$B230,Override!$D$11:$D$40,5)-SUMIFS(Override!$E$11:$E$40,Override!$B$11:$B$40,$B230,Override!$D$11:$D$40,5,Override!$C$11:$C$40,"AS51"),Override!$G$262)/MXAU!$B$3,"")))</f>
        <v/>
      </c>
      <c r="K230" s="140">
        <f>IF(K$226="","",IF($B230="","",IFERROR($C230*$D230*IF((Override!$C$4="ON")*(COUNTIFS(Override!$B$11:$B$40,$B230,Override!$D$11:$D$40,6,Override!$E$11:$E$40,"&gt;=0")-COUNTIFS(Override!$B$11:$B$40,$B230,Override!$D$11:$D$40,6,Override!$E$11:$E$40,"&gt;=0",Override!$C$11:$C$40,"AS51"))&gt;0,SUMIFS(Override!$E$11:$E$40,Override!$B$11:$B$40,$B230,Override!$D$11:$D$40,6)-SUMIFS(Override!$E$11:$E$40,Override!$B$11:$B$40,$B230,Override!$D$11:$D$40,6,Override!$C$11:$C$40,"AS51"),Override!$H$262)/MXAU!$B$3,"")))</f>
        <v/>
      </c>
      <c r="L230" s="140">
        <f>IF(L$226="","",IF($B230="","",IFERROR($C230*$D230*IF((Override!$C$4="ON")*(COUNTIFS(Override!$B$11:$B$40,$B230,Override!$D$11:$D$40,7,Override!$E$11:$E$40,"&gt;=0")-COUNTIFS(Override!$B$11:$B$40,$B230,Override!$D$11:$D$40,7,Override!$E$11:$E$40,"&gt;=0",Override!$C$11:$C$40,"AS51"))&gt;0,SUMIFS(Override!$E$11:$E$40,Override!$B$11:$B$40,$B230,Override!$D$11:$D$40,7)-SUMIFS(Override!$E$11:$E$40,Override!$B$11:$B$40,$B230,Override!$D$11:$D$40,7,Override!$C$11:$C$40,"AS51"),Override!$I$262)/MXAU!$B$3,"")))</f>
        <v/>
      </c>
      <c r="M230" s="140">
        <f>IF(M$226="","",IF($B230="","",IFERROR($C230*$D230*IF((Override!$C$4="ON")*(COUNTIFS(Override!$B$11:$B$40,$B230,Override!$D$11:$D$40,8,Override!$E$11:$E$40,"&gt;=0")-COUNTIFS(Override!$B$11:$B$40,$B230,Override!$D$11:$D$40,8,Override!$E$11:$E$40,"&gt;=0",Override!$C$11:$C$40,"AS51"))&gt;0,SUMIFS(Override!$E$11:$E$40,Override!$B$11:$B$40,$B230,Override!$D$11:$D$40,8)-SUMIFS(Override!$E$11:$E$40,Override!$B$11:$B$40,$B230,Override!$D$11:$D$40,8,Override!$C$11:$C$40,"AS51"),Override!$J$262)/MXAU!$B$3,"")))</f>
        <v/>
      </c>
      <c r="N230" s="140">
        <f>IF(N$226="","",IF($B230="","",IFERROR($C230*$D230*IF((Override!$C$4="ON")*(COUNTIFS(Override!$B$11:$B$40,$B230,Override!$D$11:$D$40,9,Override!$E$11:$E$40,"&gt;=0")-COUNTIFS(Override!$B$11:$B$40,$B230,Override!$D$11:$D$40,9,Override!$E$11:$E$40,"&gt;=0",Override!$C$11:$C$40,"AS51"))&gt;0,SUMIFS(Override!$E$11:$E$40,Override!$B$11:$B$40,$B230,Override!$D$11:$D$40,9)-SUMIFS(Override!$E$11:$E$40,Override!$B$11:$B$40,$B230,Override!$D$11:$D$40,9,Override!$C$11:$C$40,"AS51"),Override!$K$262)/MXAU!$B$3,"")))</f>
        <v/>
      </c>
      <c r="O230" s="140">
        <f>IF(O$226="","",IF($B230="","",IFERROR($C230*$D230*IF((Override!$C$4="ON")*(COUNTIFS(Override!$B$11:$B$40,$B230,Override!$D$11:$D$40,10,Override!$E$11:$E$40,"&gt;=0")-COUNTIFS(Override!$B$11:$B$40,$B230,Override!$D$11:$D$40,10,Override!$E$11:$E$40,"&gt;=0",Override!$C$11:$C$40,"AS51"))&gt;0,SUMIFS(Override!$E$11:$E$40,Override!$B$11:$B$40,$B230,Override!$D$11:$D$40,10)-SUMIFS(Override!$E$11:$E$40,Override!$B$11:$B$40,$B230,Override!$D$11:$D$40,10,Override!$C$11:$C$40,"AS51"),Override!$L$262)/MXAU!$B$3,"")))</f>
        <v/>
      </c>
      <c r="P230" s="140">
        <f>IF(P$226="","",IF($B230="","",IFERROR($C230*$D230*IF((Override!$C$4="ON")*(COUNTIFS(Override!$B$11:$B$40,$B230,Override!$D$11:$D$40,11,Override!$E$11:$E$40,"&gt;=0")-COUNTIFS(Override!$B$11:$B$40,$B230,Override!$D$11:$D$40,11,Override!$E$11:$E$40,"&gt;=0",Override!$C$11:$C$40,"AS51"))&gt;0,SUMIFS(Override!$E$11:$E$40,Override!$B$11:$B$40,$B230,Override!$D$11:$D$40,11)-SUMIFS(Override!$E$11:$E$40,Override!$B$11:$B$40,$B230,Override!$D$11:$D$40,11,Override!$C$11:$C$40,"AS51"),Override!$M$262)/MXAU!$B$3,"")))</f>
        <v/>
      </c>
      <c r="Q230" s="140">
        <f>IF(Q$226="","",IF($B230="","",IFERROR($C230*$D230*IF((Override!$C$4="ON")*(COUNTIFS(Override!$B$11:$B$40,$B230,Override!$D$11:$D$40,12,Override!$E$11:$E$40,"&gt;=0")-COUNTIFS(Override!$B$11:$B$40,$B230,Override!$D$11:$D$40,12,Override!$E$11:$E$40,"&gt;=0",Override!$C$11:$C$40,"AS51"))&gt;0,SUMIFS(Override!$E$11:$E$40,Override!$B$11:$B$40,$B230,Override!$D$11:$D$40,12)-SUMIFS(Override!$E$11:$E$40,Override!$B$11:$B$40,$B230,Override!$D$11:$D$40,12,Override!$C$11:$C$40,"AS51"),Override!$N$262)/MXAU!$B$3,"")))</f>
        <v/>
      </c>
      <c r="R230" s="140">
        <f>IF(R$226="","",IF($B230="","",IFERROR($C230*$D230*IF((Override!$C$4="ON")*(COUNTIFS(Override!$B$11:$B$40,$B230,Override!$D$11:$D$40,13,Override!$E$11:$E$40,"&gt;=0")-COUNTIFS(Override!$B$11:$B$40,$B230,Override!$D$11:$D$40,13,Override!$E$11:$E$40,"&gt;=0",Override!$C$11:$C$40,"AS51"))&gt;0,SUMIFS(Override!$E$11:$E$40,Override!$B$11:$B$40,$B230,Override!$D$11:$D$40,13)-SUMIFS(Override!$E$11:$E$40,Override!$B$11:$B$40,$B230,Override!$D$11:$D$40,13,Override!$C$11:$C$40,"AS51"),Override!$O$262)/MXAU!$B$3,"")))</f>
        <v/>
      </c>
      <c r="S230" s="140">
        <f>IF(S$226="","",IF($B230="","",IFERROR($C230*$D230*IF((Override!$C$4="ON")*(COUNTIFS(Override!$B$11:$B$40,$B230,Override!$D$11:$D$40,14,Override!$E$11:$E$40,"&gt;=0")-COUNTIFS(Override!$B$11:$B$40,$B230,Override!$D$11:$D$40,14,Override!$E$11:$E$40,"&gt;=0",Override!$C$11:$C$40,"AS51"))&gt;0,SUMIFS(Override!$E$11:$E$40,Override!$B$11:$B$40,$B230,Override!$D$11:$D$40,14)-SUMIFS(Override!$E$11:$E$40,Override!$B$11:$B$40,$B230,Override!$D$11:$D$40,14,Override!$C$11:$C$40,"AS51"),Override!$P$262)/MXAU!$B$3,"")))</f>
        <v/>
      </c>
      <c r="T230" s="140">
        <f>IF(T$226="","",IF($B230="","",IFERROR($C230*$D230*IF((Override!$C$4="ON")*(COUNTIFS(Override!$B$11:$B$40,$B230,Override!$D$11:$D$40,15,Override!$E$11:$E$40,"&gt;=0")-COUNTIFS(Override!$B$11:$B$40,$B230,Override!$D$11:$D$40,15,Override!$E$11:$E$40,"&gt;=0",Override!$C$11:$C$40,"AS51"))&gt;0,SUMIFS(Override!$E$11:$E$40,Override!$B$11:$B$40,$B230,Override!$D$11:$D$40,15)-SUMIFS(Override!$E$11:$E$40,Override!$B$11:$B$40,$B230,Override!$D$11:$D$40,15,Override!$C$11:$C$40,"AS51"),Override!$Q$262)/MXAU!$B$3,"")))</f>
        <v/>
      </c>
      <c r="U230" s="140">
        <f>IF(U$226="","",IF($B230="","",IFERROR($C230*$D230*IF((Override!$C$4="ON")*(COUNTIFS(Override!$B$11:$B$40,$B230,Override!$D$11:$D$40,16,Override!$E$11:$E$40,"&gt;=0")-COUNTIFS(Override!$B$11:$B$40,$B230,Override!$D$11:$D$40,16,Override!$E$11:$E$40,"&gt;=0",Override!$C$11:$C$40,"AS51"))&gt;0,SUMIFS(Override!$E$11:$E$40,Override!$B$11:$B$40,$B230,Override!$D$11:$D$40,16)-SUMIFS(Override!$E$11:$E$40,Override!$B$11:$B$40,$B230,Override!$D$11:$D$40,16,Override!$C$11:$C$40,"AS51"),Override!$R$262)/MXAU!$B$3,"")))</f>
        <v/>
      </c>
      <c r="W230" s="140">
        <f>IF(W$226="","",IF($B230="","",IFERROR(F230*$E230/100,"")))</f>
        <v/>
      </c>
      <c r="X230" s="140">
        <f>IF(X$226="","",IF($B230="","",IFERROR(G230*$E230/100,"")))</f>
        <v/>
      </c>
      <c r="Y230" s="140">
        <f>IF(Y$226="","",IF($B230="","",IFERROR(H230*$E230/100,"")))</f>
        <v/>
      </c>
      <c r="Z230" s="140">
        <f>IF(Z$226="","",IF($B230="","",IFERROR(I230*$E230/100,"")))</f>
        <v/>
      </c>
      <c r="AA230" s="140">
        <f>IF(AA$226="","",IF($B230="","",IFERROR(J230*$E230/100,"")))</f>
        <v/>
      </c>
      <c r="AB230" s="140">
        <f>IF(AB$226="","",IF($B230="","",IFERROR(K230*$E230/100,"")))</f>
        <v/>
      </c>
      <c r="AC230" s="140">
        <f>IF(AC$226="","",IF($B230="","",IFERROR(L230*$E230/100,"")))</f>
        <v/>
      </c>
      <c r="AD230" s="140">
        <f>IF(AD$226="","",IF($B230="","",IFERROR(M230*$E230/100,"")))</f>
        <v/>
      </c>
      <c r="AE230" s="140">
        <f>IF(AE$226="","",IF($B230="","",IFERROR(N230*$E230/100,"")))</f>
        <v/>
      </c>
      <c r="AF230" s="140">
        <f>IF(AF$226="","",IF($B230="","",IFERROR(O230*$E230/100,"")))</f>
        <v/>
      </c>
      <c r="AG230" s="140">
        <f>IF(AG$226="","",IF($B230="","",IFERROR(P230*$E230/100,"")))</f>
        <v/>
      </c>
      <c r="AH230" s="140">
        <f>IF(AH$226="","",IF($B230="","",IFERROR(Q230*$E230/100,"")))</f>
        <v/>
      </c>
      <c r="AI230" s="140">
        <f>IF(AI$226="","",IF($B230="","",IFERROR(R230*$E230/100,"")))</f>
        <v/>
      </c>
      <c r="AJ230" s="140">
        <f>IF(AJ$226="","",IF($B230="","",IFERROR(S230*$E230/100,"")))</f>
        <v/>
      </c>
      <c r="AK230" s="140">
        <f>IF(AK$226="","",IF($B230="","",IFERROR(T230*$E230/100,"")))</f>
        <v/>
      </c>
      <c r="AL230" s="140">
        <f>IF(AL$226="","",IF($B230="","",IFERROR(U230*$E230/100,"")))</f>
        <v/>
      </c>
      <c r="AN230" s="140">
        <f>IF($B230="","",SUMIF($F$226:$U$226,"&lt;="&amp;Sector!$E$51,$F230:$U230))</f>
        <v/>
      </c>
      <c r="AO230" s="140">
        <f>IF($B230="","",SUMIF($W$226:$AL$226,"&lt;="&amp;Sector!$E$51,$W230:$AL230))</f>
        <v/>
      </c>
    </row>
    <row r="231">
      <c r="B231" s="5">
        <f>IF(MXAU!$C$8="","",MXAU!$C$8)</f>
        <v/>
      </c>
      <c r="C231" s="90">
        <f>IF(MXAU!$B$8="","",MXAU!$B$8)</f>
        <v/>
      </c>
      <c r="D231" s="138">
        <f>IFERROR(MXAU!$Q$8,1)</f>
        <v/>
      </c>
      <c r="E231" s="139">
        <f>IF($B231="","",IF(ISNUMBER(MXAU!$I$8),MXAU!$I$8,'Index Summary'!$C$7))</f>
        <v/>
      </c>
      <c r="F231" s="140">
        <f>IF(F$226="","",IF($B231="","",IFERROR($C231*$D231*IF((Override!$C$4="ON")*(COUNTIFS(Override!$B$11:$B$40,$B231,Override!$D$11:$D$40,1,Override!$E$11:$E$40,"&gt;=0")-COUNTIFS(Override!$B$11:$B$40,$B231,Override!$D$11:$D$40,1,Override!$E$11:$E$40,"&gt;=0",Override!$C$11:$C$40,"AS51"))&gt;0,SUMIFS(Override!$E$11:$E$40,Override!$B$11:$B$40,$B231,Override!$D$11:$D$40,1)-SUMIFS(Override!$E$11:$E$40,Override!$B$11:$B$40,$B231,Override!$D$11:$D$40,1,Override!$C$11:$C$40,"AS51"),Override!$C$263)/MXAU!$B$3,"")))</f>
        <v/>
      </c>
      <c r="G231" s="140">
        <f>IF(G$226="","",IF($B231="","",IFERROR($C231*$D231*IF((Override!$C$4="ON")*(COUNTIFS(Override!$B$11:$B$40,$B231,Override!$D$11:$D$40,2,Override!$E$11:$E$40,"&gt;=0")-COUNTIFS(Override!$B$11:$B$40,$B231,Override!$D$11:$D$40,2,Override!$E$11:$E$40,"&gt;=0",Override!$C$11:$C$40,"AS51"))&gt;0,SUMIFS(Override!$E$11:$E$40,Override!$B$11:$B$40,$B231,Override!$D$11:$D$40,2)-SUMIFS(Override!$E$11:$E$40,Override!$B$11:$B$40,$B231,Override!$D$11:$D$40,2,Override!$C$11:$C$40,"AS51"),Override!$D$263)/MXAU!$B$3,"")))</f>
        <v/>
      </c>
      <c r="H231" s="140">
        <f>IF(H$226="","",IF($B231="","",IFERROR($C231*$D231*IF((Override!$C$4="ON")*(COUNTIFS(Override!$B$11:$B$40,$B231,Override!$D$11:$D$40,3,Override!$E$11:$E$40,"&gt;=0")-COUNTIFS(Override!$B$11:$B$40,$B231,Override!$D$11:$D$40,3,Override!$E$11:$E$40,"&gt;=0",Override!$C$11:$C$40,"AS51"))&gt;0,SUMIFS(Override!$E$11:$E$40,Override!$B$11:$B$40,$B231,Override!$D$11:$D$40,3)-SUMIFS(Override!$E$11:$E$40,Override!$B$11:$B$40,$B231,Override!$D$11:$D$40,3,Override!$C$11:$C$40,"AS51"),Override!$E$263)/MXAU!$B$3,"")))</f>
        <v/>
      </c>
      <c r="I231" s="140">
        <f>IF(I$226="","",IF($B231="","",IFERROR($C231*$D231*IF((Override!$C$4="ON")*(COUNTIFS(Override!$B$11:$B$40,$B231,Override!$D$11:$D$40,4,Override!$E$11:$E$40,"&gt;=0")-COUNTIFS(Override!$B$11:$B$40,$B231,Override!$D$11:$D$40,4,Override!$E$11:$E$40,"&gt;=0",Override!$C$11:$C$40,"AS51"))&gt;0,SUMIFS(Override!$E$11:$E$40,Override!$B$11:$B$40,$B231,Override!$D$11:$D$40,4)-SUMIFS(Override!$E$11:$E$40,Override!$B$11:$B$40,$B231,Override!$D$11:$D$40,4,Override!$C$11:$C$40,"AS51"),Override!$F$263)/MXAU!$B$3,"")))</f>
        <v/>
      </c>
      <c r="J231" s="140">
        <f>IF(J$226="","",IF($B231="","",IFERROR($C231*$D231*IF((Override!$C$4="ON")*(COUNTIFS(Override!$B$11:$B$40,$B231,Override!$D$11:$D$40,5,Override!$E$11:$E$40,"&gt;=0")-COUNTIFS(Override!$B$11:$B$40,$B231,Override!$D$11:$D$40,5,Override!$E$11:$E$40,"&gt;=0",Override!$C$11:$C$40,"AS51"))&gt;0,SUMIFS(Override!$E$11:$E$40,Override!$B$11:$B$40,$B231,Override!$D$11:$D$40,5)-SUMIFS(Override!$E$11:$E$40,Override!$B$11:$B$40,$B231,Override!$D$11:$D$40,5,Override!$C$11:$C$40,"AS51"),Override!$G$263)/MXAU!$B$3,"")))</f>
        <v/>
      </c>
      <c r="K231" s="140">
        <f>IF(K$226="","",IF($B231="","",IFERROR($C231*$D231*IF((Override!$C$4="ON")*(COUNTIFS(Override!$B$11:$B$40,$B231,Override!$D$11:$D$40,6,Override!$E$11:$E$40,"&gt;=0")-COUNTIFS(Override!$B$11:$B$40,$B231,Override!$D$11:$D$40,6,Override!$E$11:$E$40,"&gt;=0",Override!$C$11:$C$40,"AS51"))&gt;0,SUMIFS(Override!$E$11:$E$40,Override!$B$11:$B$40,$B231,Override!$D$11:$D$40,6)-SUMIFS(Override!$E$11:$E$40,Override!$B$11:$B$40,$B231,Override!$D$11:$D$40,6,Override!$C$11:$C$40,"AS51"),Override!$H$263)/MXAU!$B$3,"")))</f>
        <v/>
      </c>
      <c r="L231" s="140">
        <f>IF(L$226="","",IF($B231="","",IFERROR($C231*$D231*IF((Override!$C$4="ON")*(COUNTIFS(Override!$B$11:$B$40,$B231,Override!$D$11:$D$40,7,Override!$E$11:$E$40,"&gt;=0")-COUNTIFS(Override!$B$11:$B$40,$B231,Override!$D$11:$D$40,7,Override!$E$11:$E$40,"&gt;=0",Override!$C$11:$C$40,"AS51"))&gt;0,SUMIFS(Override!$E$11:$E$40,Override!$B$11:$B$40,$B231,Override!$D$11:$D$40,7)-SUMIFS(Override!$E$11:$E$40,Override!$B$11:$B$40,$B231,Override!$D$11:$D$40,7,Override!$C$11:$C$40,"AS51"),Override!$I$263)/MXAU!$B$3,"")))</f>
        <v/>
      </c>
      <c r="M231" s="140">
        <f>IF(M$226="","",IF($B231="","",IFERROR($C231*$D231*IF((Override!$C$4="ON")*(COUNTIFS(Override!$B$11:$B$40,$B231,Override!$D$11:$D$40,8,Override!$E$11:$E$40,"&gt;=0")-COUNTIFS(Override!$B$11:$B$40,$B231,Override!$D$11:$D$40,8,Override!$E$11:$E$40,"&gt;=0",Override!$C$11:$C$40,"AS51"))&gt;0,SUMIFS(Override!$E$11:$E$40,Override!$B$11:$B$40,$B231,Override!$D$11:$D$40,8)-SUMIFS(Override!$E$11:$E$40,Override!$B$11:$B$40,$B231,Override!$D$11:$D$40,8,Override!$C$11:$C$40,"AS51"),Override!$J$263)/MXAU!$B$3,"")))</f>
        <v/>
      </c>
      <c r="N231" s="140">
        <f>IF(N$226="","",IF($B231="","",IFERROR($C231*$D231*IF((Override!$C$4="ON")*(COUNTIFS(Override!$B$11:$B$40,$B231,Override!$D$11:$D$40,9,Override!$E$11:$E$40,"&gt;=0")-COUNTIFS(Override!$B$11:$B$40,$B231,Override!$D$11:$D$40,9,Override!$E$11:$E$40,"&gt;=0",Override!$C$11:$C$40,"AS51"))&gt;0,SUMIFS(Override!$E$11:$E$40,Override!$B$11:$B$40,$B231,Override!$D$11:$D$40,9)-SUMIFS(Override!$E$11:$E$40,Override!$B$11:$B$40,$B231,Override!$D$11:$D$40,9,Override!$C$11:$C$40,"AS51"),Override!$K$263)/MXAU!$B$3,"")))</f>
        <v/>
      </c>
      <c r="O231" s="140">
        <f>IF(O$226="","",IF($B231="","",IFERROR($C231*$D231*IF((Override!$C$4="ON")*(COUNTIFS(Override!$B$11:$B$40,$B231,Override!$D$11:$D$40,10,Override!$E$11:$E$40,"&gt;=0")-COUNTIFS(Override!$B$11:$B$40,$B231,Override!$D$11:$D$40,10,Override!$E$11:$E$40,"&gt;=0",Override!$C$11:$C$40,"AS51"))&gt;0,SUMIFS(Override!$E$11:$E$40,Override!$B$11:$B$40,$B231,Override!$D$11:$D$40,10)-SUMIFS(Override!$E$11:$E$40,Override!$B$11:$B$40,$B231,Override!$D$11:$D$40,10,Override!$C$11:$C$40,"AS51"),Override!$L$263)/MXAU!$B$3,"")))</f>
        <v/>
      </c>
      <c r="P231" s="140">
        <f>IF(P$226="","",IF($B231="","",IFERROR($C231*$D231*IF((Override!$C$4="ON")*(COUNTIFS(Override!$B$11:$B$40,$B231,Override!$D$11:$D$40,11,Override!$E$11:$E$40,"&gt;=0")-COUNTIFS(Override!$B$11:$B$40,$B231,Override!$D$11:$D$40,11,Override!$E$11:$E$40,"&gt;=0",Override!$C$11:$C$40,"AS51"))&gt;0,SUMIFS(Override!$E$11:$E$40,Override!$B$11:$B$40,$B231,Override!$D$11:$D$40,11)-SUMIFS(Override!$E$11:$E$40,Override!$B$11:$B$40,$B231,Override!$D$11:$D$40,11,Override!$C$11:$C$40,"AS51"),Override!$M$263)/MXAU!$B$3,"")))</f>
        <v/>
      </c>
      <c r="Q231" s="140">
        <f>IF(Q$226="","",IF($B231="","",IFERROR($C231*$D231*IF((Override!$C$4="ON")*(COUNTIFS(Override!$B$11:$B$40,$B231,Override!$D$11:$D$40,12,Override!$E$11:$E$40,"&gt;=0")-COUNTIFS(Override!$B$11:$B$40,$B231,Override!$D$11:$D$40,12,Override!$E$11:$E$40,"&gt;=0",Override!$C$11:$C$40,"AS51"))&gt;0,SUMIFS(Override!$E$11:$E$40,Override!$B$11:$B$40,$B231,Override!$D$11:$D$40,12)-SUMIFS(Override!$E$11:$E$40,Override!$B$11:$B$40,$B231,Override!$D$11:$D$40,12,Override!$C$11:$C$40,"AS51"),Override!$N$263)/MXAU!$B$3,"")))</f>
        <v/>
      </c>
      <c r="R231" s="140">
        <f>IF(R$226="","",IF($B231="","",IFERROR($C231*$D231*IF((Override!$C$4="ON")*(COUNTIFS(Override!$B$11:$B$40,$B231,Override!$D$11:$D$40,13,Override!$E$11:$E$40,"&gt;=0")-COUNTIFS(Override!$B$11:$B$40,$B231,Override!$D$11:$D$40,13,Override!$E$11:$E$40,"&gt;=0",Override!$C$11:$C$40,"AS51"))&gt;0,SUMIFS(Override!$E$11:$E$40,Override!$B$11:$B$40,$B231,Override!$D$11:$D$40,13)-SUMIFS(Override!$E$11:$E$40,Override!$B$11:$B$40,$B231,Override!$D$11:$D$40,13,Override!$C$11:$C$40,"AS51"),Override!$O$263)/MXAU!$B$3,"")))</f>
        <v/>
      </c>
      <c r="S231" s="140">
        <f>IF(S$226="","",IF($B231="","",IFERROR($C231*$D231*IF((Override!$C$4="ON")*(COUNTIFS(Override!$B$11:$B$40,$B231,Override!$D$11:$D$40,14,Override!$E$11:$E$40,"&gt;=0")-COUNTIFS(Override!$B$11:$B$40,$B231,Override!$D$11:$D$40,14,Override!$E$11:$E$40,"&gt;=0",Override!$C$11:$C$40,"AS51"))&gt;0,SUMIFS(Override!$E$11:$E$40,Override!$B$11:$B$40,$B231,Override!$D$11:$D$40,14)-SUMIFS(Override!$E$11:$E$40,Override!$B$11:$B$40,$B231,Override!$D$11:$D$40,14,Override!$C$11:$C$40,"AS51"),Override!$P$263)/MXAU!$B$3,"")))</f>
        <v/>
      </c>
      <c r="T231" s="140">
        <f>IF(T$226="","",IF($B231="","",IFERROR($C231*$D231*IF((Override!$C$4="ON")*(COUNTIFS(Override!$B$11:$B$40,$B231,Override!$D$11:$D$40,15,Override!$E$11:$E$40,"&gt;=0")-COUNTIFS(Override!$B$11:$B$40,$B231,Override!$D$11:$D$40,15,Override!$E$11:$E$40,"&gt;=0",Override!$C$11:$C$40,"AS51"))&gt;0,SUMIFS(Override!$E$11:$E$40,Override!$B$11:$B$40,$B231,Override!$D$11:$D$40,15)-SUMIFS(Override!$E$11:$E$40,Override!$B$11:$B$40,$B231,Override!$D$11:$D$40,15,Override!$C$11:$C$40,"AS51"),Override!$Q$263)/MXAU!$B$3,"")))</f>
        <v/>
      </c>
      <c r="U231" s="140">
        <f>IF(U$226="","",IF($B231="","",IFERROR($C231*$D231*IF((Override!$C$4="ON")*(COUNTIFS(Override!$B$11:$B$40,$B231,Override!$D$11:$D$40,16,Override!$E$11:$E$40,"&gt;=0")-COUNTIFS(Override!$B$11:$B$40,$B231,Override!$D$11:$D$40,16,Override!$E$11:$E$40,"&gt;=0",Override!$C$11:$C$40,"AS51"))&gt;0,SUMIFS(Override!$E$11:$E$40,Override!$B$11:$B$40,$B231,Override!$D$11:$D$40,16)-SUMIFS(Override!$E$11:$E$40,Override!$B$11:$B$40,$B231,Override!$D$11:$D$40,16,Override!$C$11:$C$40,"AS51"),Override!$R$263)/MXAU!$B$3,"")))</f>
        <v/>
      </c>
      <c r="W231" s="140">
        <f>IF(W$226="","",IF($B231="","",IFERROR(F231*$E231/100,"")))</f>
        <v/>
      </c>
      <c r="X231" s="140">
        <f>IF(X$226="","",IF($B231="","",IFERROR(G231*$E231/100,"")))</f>
        <v/>
      </c>
      <c r="Y231" s="140">
        <f>IF(Y$226="","",IF($B231="","",IFERROR(H231*$E231/100,"")))</f>
        <v/>
      </c>
      <c r="Z231" s="140">
        <f>IF(Z$226="","",IF($B231="","",IFERROR(I231*$E231/100,"")))</f>
        <v/>
      </c>
      <c r="AA231" s="140">
        <f>IF(AA$226="","",IF($B231="","",IFERROR(J231*$E231/100,"")))</f>
        <v/>
      </c>
      <c r="AB231" s="140">
        <f>IF(AB$226="","",IF($B231="","",IFERROR(K231*$E231/100,"")))</f>
        <v/>
      </c>
      <c r="AC231" s="140">
        <f>IF(AC$226="","",IF($B231="","",IFERROR(L231*$E231/100,"")))</f>
        <v/>
      </c>
      <c r="AD231" s="140">
        <f>IF(AD$226="","",IF($B231="","",IFERROR(M231*$E231/100,"")))</f>
        <v/>
      </c>
      <c r="AE231" s="140">
        <f>IF(AE$226="","",IF($B231="","",IFERROR(N231*$E231/100,"")))</f>
        <v/>
      </c>
      <c r="AF231" s="140">
        <f>IF(AF$226="","",IF($B231="","",IFERROR(O231*$E231/100,"")))</f>
        <v/>
      </c>
      <c r="AG231" s="140">
        <f>IF(AG$226="","",IF($B231="","",IFERROR(P231*$E231/100,"")))</f>
        <v/>
      </c>
      <c r="AH231" s="140">
        <f>IF(AH$226="","",IF($B231="","",IFERROR(Q231*$E231/100,"")))</f>
        <v/>
      </c>
      <c r="AI231" s="140">
        <f>IF(AI$226="","",IF($B231="","",IFERROR(R231*$E231/100,"")))</f>
        <v/>
      </c>
      <c r="AJ231" s="140">
        <f>IF(AJ$226="","",IF($B231="","",IFERROR(S231*$E231/100,"")))</f>
        <v/>
      </c>
      <c r="AK231" s="140">
        <f>IF(AK$226="","",IF($B231="","",IFERROR(T231*$E231/100,"")))</f>
        <v/>
      </c>
      <c r="AL231" s="140">
        <f>IF(AL$226="","",IF($B231="","",IFERROR(U231*$E231/100,"")))</f>
        <v/>
      </c>
      <c r="AN231" s="140">
        <f>IF($B231="","",SUMIF($F$226:$U$226,"&lt;="&amp;Sector!$E$51,$F231:$U231))</f>
        <v/>
      </c>
      <c r="AO231" s="140">
        <f>IF($B231="","",SUMIF($W$226:$AL$226,"&lt;="&amp;Sector!$E$51,$W231:$AL231))</f>
        <v/>
      </c>
    </row>
    <row r="232">
      <c r="B232" s="5">
        <f>IF(MXAU!$C$9="","",MXAU!$C$9)</f>
        <v/>
      </c>
      <c r="C232" s="90">
        <f>IF(MXAU!$B$9="","",MXAU!$B$9)</f>
        <v/>
      </c>
      <c r="D232" s="138">
        <f>IFERROR(MXAU!$Q$9,1)</f>
        <v/>
      </c>
      <c r="E232" s="139">
        <f>IF($B232="","",IF(ISNUMBER(MXAU!$I$9),MXAU!$I$9,'Index Summary'!$C$7))</f>
        <v/>
      </c>
      <c r="F232" s="140">
        <f>IF(F$226="","",IF($B232="","",IFERROR($C232*$D232*IF((Override!$C$4="ON")*(COUNTIFS(Override!$B$11:$B$40,$B232,Override!$D$11:$D$40,1,Override!$E$11:$E$40,"&gt;=0")-COUNTIFS(Override!$B$11:$B$40,$B232,Override!$D$11:$D$40,1,Override!$E$11:$E$40,"&gt;=0",Override!$C$11:$C$40,"AS51"))&gt;0,SUMIFS(Override!$E$11:$E$40,Override!$B$11:$B$40,$B232,Override!$D$11:$D$40,1)-SUMIFS(Override!$E$11:$E$40,Override!$B$11:$B$40,$B232,Override!$D$11:$D$40,1,Override!$C$11:$C$40,"AS51"),Override!$C$264)/MXAU!$B$3,"")))</f>
        <v/>
      </c>
      <c r="G232" s="140">
        <f>IF(G$226="","",IF($B232="","",IFERROR($C232*$D232*IF((Override!$C$4="ON")*(COUNTIFS(Override!$B$11:$B$40,$B232,Override!$D$11:$D$40,2,Override!$E$11:$E$40,"&gt;=0")-COUNTIFS(Override!$B$11:$B$40,$B232,Override!$D$11:$D$40,2,Override!$E$11:$E$40,"&gt;=0",Override!$C$11:$C$40,"AS51"))&gt;0,SUMIFS(Override!$E$11:$E$40,Override!$B$11:$B$40,$B232,Override!$D$11:$D$40,2)-SUMIFS(Override!$E$11:$E$40,Override!$B$11:$B$40,$B232,Override!$D$11:$D$40,2,Override!$C$11:$C$40,"AS51"),Override!$D$264)/MXAU!$B$3,"")))</f>
        <v/>
      </c>
      <c r="H232" s="140">
        <f>IF(H$226="","",IF($B232="","",IFERROR($C232*$D232*IF((Override!$C$4="ON")*(COUNTIFS(Override!$B$11:$B$40,$B232,Override!$D$11:$D$40,3,Override!$E$11:$E$40,"&gt;=0")-COUNTIFS(Override!$B$11:$B$40,$B232,Override!$D$11:$D$40,3,Override!$E$11:$E$40,"&gt;=0",Override!$C$11:$C$40,"AS51"))&gt;0,SUMIFS(Override!$E$11:$E$40,Override!$B$11:$B$40,$B232,Override!$D$11:$D$40,3)-SUMIFS(Override!$E$11:$E$40,Override!$B$11:$B$40,$B232,Override!$D$11:$D$40,3,Override!$C$11:$C$40,"AS51"),Override!$E$264)/MXAU!$B$3,"")))</f>
        <v/>
      </c>
      <c r="I232" s="140">
        <f>IF(I$226="","",IF($B232="","",IFERROR($C232*$D232*IF((Override!$C$4="ON")*(COUNTIFS(Override!$B$11:$B$40,$B232,Override!$D$11:$D$40,4,Override!$E$11:$E$40,"&gt;=0")-COUNTIFS(Override!$B$11:$B$40,$B232,Override!$D$11:$D$40,4,Override!$E$11:$E$40,"&gt;=0",Override!$C$11:$C$40,"AS51"))&gt;0,SUMIFS(Override!$E$11:$E$40,Override!$B$11:$B$40,$B232,Override!$D$11:$D$40,4)-SUMIFS(Override!$E$11:$E$40,Override!$B$11:$B$40,$B232,Override!$D$11:$D$40,4,Override!$C$11:$C$40,"AS51"),Override!$F$264)/MXAU!$B$3,"")))</f>
        <v/>
      </c>
      <c r="J232" s="140">
        <f>IF(J$226="","",IF($B232="","",IFERROR($C232*$D232*IF((Override!$C$4="ON")*(COUNTIFS(Override!$B$11:$B$40,$B232,Override!$D$11:$D$40,5,Override!$E$11:$E$40,"&gt;=0")-COUNTIFS(Override!$B$11:$B$40,$B232,Override!$D$11:$D$40,5,Override!$E$11:$E$40,"&gt;=0",Override!$C$11:$C$40,"AS51"))&gt;0,SUMIFS(Override!$E$11:$E$40,Override!$B$11:$B$40,$B232,Override!$D$11:$D$40,5)-SUMIFS(Override!$E$11:$E$40,Override!$B$11:$B$40,$B232,Override!$D$11:$D$40,5,Override!$C$11:$C$40,"AS51"),Override!$G$264)/MXAU!$B$3,"")))</f>
        <v/>
      </c>
      <c r="K232" s="140">
        <f>IF(K$226="","",IF($B232="","",IFERROR($C232*$D232*IF((Override!$C$4="ON")*(COUNTIFS(Override!$B$11:$B$40,$B232,Override!$D$11:$D$40,6,Override!$E$11:$E$40,"&gt;=0")-COUNTIFS(Override!$B$11:$B$40,$B232,Override!$D$11:$D$40,6,Override!$E$11:$E$40,"&gt;=0",Override!$C$11:$C$40,"AS51"))&gt;0,SUMIFS(Override!$E$11:$E$40,Override!$B$11:$B$40,$B232,Override!$D$11:$D$40,6)-SUMIFS(Override!$E$11:$E$40,Override!$B$11:$B$40,$B232,Override!$D$11:$D$40,6,Override!$C$11:$C$40,"AS51"),Override!$H$264)/MXAU!$B$3,"")))</f>
        <v/>
      </c>
      <c r="L232" s="140">
        <f>IF(L$226="","",IF($B232="","",IFERROR($C232*$D232*IF((Override!$C$4="ON")*(COUNTIFS(Override!$B$11:$B$40,$B232,Override!$D$11:$D$40,7,Override!$E$11:$E$40,"&gt;=0")-COUNTIFS(Override!$B$11:$B$40,$B232,Override!$D$11:$D$40,7,Override!$E$11:$E$40,"&gt;=0",Override!$C$11:$C$40,"AS51"))&gt;0,SUMIFS(Override!$E$11:$E$40,Override!$B$11:$B$40,$B232,Override!$D$11:$D$40,7)-SUMIFS(Override!$E$11:$E$40,Override!$B$11:$B$40,$B232,Override!$D$11:$D$40,7,Override!$C$11:$C$40,"AS51"),Override!$I$264)/MXAU!$B$3,"")))</f>
        <v/>
      </c>
      <c r="M232" s="140">
        <f>IF(M$226="","",IF($B232="","",IFERROR($C232*$D232*IF((Override!$C$4="ON")*(COUNTIFS(Override!$B$11:$B$40,$B232,Override!$D$11:$D$40,8,Override!$E$11:$E$40,"&gt;=0")-COUNTIFS(Override!$B$11:$B$40,$B232,Override!$D$11:$D$40,8,Override!$E$11:$E$40,"&gt;=0",Override!$C$11:$C$40,"AS51"))&gt;0,SUMIFS(Override!$E$11:$E$40,Override!$B$11:$B$40,$B232,Override!$D$11:$D$40,8)-SUMIFS(Override!$E$11:$E$40,Override!$B$11:$B$40,$B232,Override!$D$11:$D$40,8,Override!$C$11:$C$40,"AS51"),Override!$J$264)/MXAU!$B$3,"")))</f>
        <v/>
      </c>
      <c r="N232" s="140">
        <f>IF(N$226="","",IF($B232="","",IFERROR($C232*$D232*IF((Override!$C$4="ON")*(COUNTIFS(Override!$B$11:$B$40,$B232,Override!$D$11:$D$40,9,Override!$E$11:$E$40,"&gt;=0")-COUNTIFS(Override!$B$11:$B$40,$B232,Override!$D$11:$D$40,9,Override!$E$11:$E$40,"&gt;=0",Override!$C$11:$C$40,"AS51"))&gt;0,SUMIFS(Override!$E$11:$E$40,Override!$B$11:$B$40,$B232,Override!$D$11:$D$40,9)-SUMIFS(Override!$E$11:$E$40,Override!$B$11:$B$40,$B232,Override!$D$11:$D$40,9,Override!$C$11:$C$40,"AS51"),Override!$K$264)/MXAU!$B$3,"")))</f>
        <v/>
      </c>
      <c r="O232" s="140">
        <f>IF(O$226="","",IF($B232="","",IFERROR($C232*$D232*IF((Override!$C$4="ON")*(COUNTIFS(Override!$B$11:$B$40,$B232,Override!$D$11:$D$40,10,Override!$E$11:$E$40,"&gt;=0")-COUNTIFS(Override!$B$11:$B$40,$B232,Override!$D$11:$D$40,10,Override!$E$11:$E$40,"&gt;=0",Override!$C$11:$C$40,"AS51"))&gt;0,SUMIFS(Override!$E$11:$E$40,Override!$B$11:$B$40,$B232,Override!$D$11:$D$40,10)-SUMIFS(Override!$E$11:$E$40,Override!$B$11:$B$40,$B232,Override!$D$11:$D$40,10,Override!$C$11:$C$40,"AS51"),Override!$L$264)/MXAU!$B$3,"")))</f>
        <v/>
      </c>
      <c r="P232" s="140">
        <f>IF(P$226="","",IF($B232="","",IFERROR($C232*$D232*IF((Override!$C$4="ON")*(COUNTIFS(Override!$B$11:$B$40,$B232,Override!$D$11:$D$40,11,Override!$E$11:$E$40,"&gt;=0")-COUNTIFS(Override!$B$11:$B$40,$B232,Override!$D$11:$D$40,11,Override!$E$11:$E$40,"&gt;=0",Override!$C$11:$C$40,"AS51"))&gt;0,SUMIFS(Override!$E$11:$E$40,Override!$B$11:$B$40,$B232,Override!$D$11:$D$40,11)-SUMIFS(Override!$E$11:$E$40,Override!$B$11:$B$40,$B232,Override!$D$11:$D$40,11,Override!$C$11:$C$40,"AS51"),Override!$M$264)/MXAU!$B$3,"")))</f>
        <v/>
      </c>
      <c r="Q232" s="140">
        <f>IF(Q$226="","",IF($B232="","",IFERROR($C232*$D232*IF((Override!$C$4="ON")*(COUNTIFS(Override!$B$11:$B$40,$B232,Override!$D$11:$D$40,12,Override!$E$11:$E$40,"&gt;=0")-COUNTIFS(Override!$B$11:$B$40,$B232,Override!$D$11:$D$40,12,Override!$E$11:$E$40,"&gt;=0",Override!$C$11:$C$40,"AS51"))&gt;0,SUMIFS(Override!$E$11:$E$40,Override!$B$11:$B$40,$B232,Override!$D$11:$D$40,12)-SUMIFS(Override!$E$11:$E$40,Override!$B$11:$B$40,$B232,Override!$D$11:$D$40,12,Override!$C$11:$C$40,"AS51"),Override!$N$264)/MXAU!$B$3,"")))</f>
        <v/>
      </c>
      <c r="R232" s="140">
        <f>IF(R$226="","",IF($B232="","",IFERROR($C232*$D232*IF((Override!$C$4="ON")*(COUNTIFS(Override!$B$11:$B$40,$B232,Override!$D$11:$D$40,13,Override!$E$11:$E$40,"&gt;=0")-COUNTIFS(Override!$B$11:$B$40,$B232,Override!$D$11:$D$40,13,Override!$E$11:$E$40,"&gt;=0",Override!$C$11:$C$40,"AS51"))&gt;0,SUMIFS(Override!$E$11:$E$40,Override!$B$11:$B$40,$B232,Override!$D$11:$D$40,13)-SUMIFS(Override!$E$11:$E$40,Override!$B$11:$B$40,$B232,Override!$D$11:$D$40,13,Override!$C$11:$C$40,"AS51"),Override!$O$264)/MXAU!$B$3,"")))</f>
        <v/>
      </c>
      <c r="S232" s="140">
        <f>IF(S$226="","",IF($B232="","",IFERROR($C232*$D232*IF((Override!$C$4="ON")*(COUNTIFS(Override!$B$11:$B$40,$B232,Override!$D$11:$D$40,14,Override!$E$11:$E$40,"&gt;=0")-COUNTIFS(Override!$B$11:$B$40,$B232,Override!$D$11:$D$40,14,Override!$E$11:$E$40,"&gt;=0",Override!$C$11:$C$40,"AS51"))&gt;0,SUMIFS(Override!$E$11:$E$40,Override!$B$11:$B$40,$B232,Override!$D$11:$D$40,14)-SUMIFS(Override!$E$11:$E$40,Override!$B$11:$B$40,$B232,Override!$D$11:$D$40,14,Override!$C$11:$C$40,"AS51"),Override!$P$264)/MXAU!$B$3,"")))</f>
        <v/>
      </c>
      <c r="T232" s="140">
        <f>IF(T$226="","",IF($B232="","",IFERROR($C232*$D232*IF((Override!$C$4="ON")*(COUNTIFS(Override!$B$11:$B$40,$B232,Override!$D$11:$D$40,15,Override!$E$11:$E$40,"&gt;=0")-COUNTIFS(Override!$B$11:$B$40,$B232,Override!$D$11:$D$40,15,Override!$E$11:$E$40,"&gt;=0",Override!$C$11:$C$40,"AS51"))&gt;0,SUMIFS(Override!$E$11:$E$40,Override!$B$11:$B$40,$B232,Override!$D$11:$D$40,15)-SUMIFS(Override!$E$11:$E$40,Override!$B$11:$B$40,$B232,Override!$D$11:$D$40,15,Override!$C$11:$C$40,"AS51"),Override!$Q$264)/MXAU!$B$3,"")))</f>
        <v/>
      </c>
      <c r="U232" s="140">
        <f>IF(U$226="","",IF($B232="","",IFERROR($C232*$D232*IF((Override!$C$4="ON")*(COUNTIFS(Override!$B$11:$B$40,$B232,Override!$D$11:$D$40,16,Override!$E$11:$E$40,"&gt;=0")-COUNTIFS(Override!$B$11:$B$40,$B232,Override!$D$11:$D$40,16,Override!$E$11:$E$40,"&gt;=0",Override!$C$11:$C$40,"AS51"))&gt;0,SUMIFS(Override!$E$11:$E$40,Override!$B$11:$B$40,$B232,Override!$D$11:$D$40,16)-SUMIFS(Override!$E$11:$E$40,Override!$B$11:$B$40,$B232,Override!$D$11:$D$40,16,Override!$C$11:$C$40,"AS51"),Override!$R$264)/MXAU!$B$3,"")))</f>
        <v/>
      </c>
      <c r="W232" s="140">
        <f>IF(W$226="","",IF($B232="","",IFERROR(F232*$E232/100,"")))</f>
        <v/>
      </c>
      <c r="X232" s="140">
        <f>IF(X$226="","",IF($B232="","",IFERROR(G232*$E232/100,"")))</f>
        <v/>
      </c>
      <c r="Y232" s="140">
        <f>IF(Y$226="","",IF($B232="","",IFERROR(H232*$E232/100,"")))</f>
        <v/>
      </c>
      <c r="Z232" s="140">
        <f>IF(Z$226="","",IF($B232="","",IFERROR(I232*$E232/100,"")))</f>
        <v/>
      </c>
      <c r="AA232" s="140">
        <f>IF(AA$226="","",IF($B232="","",IFERROR(J232*$E232/100,"")))</f>
        <v/>
      </c>
      <c r="AB232" s="140">
        <f>IF(AB$226="","",IF($B232="","",IFERROR(K232*$E232/100,"")))</f>
        <v/>
      </c>
      <c r="AC232" s="140">
        <f>IF(AC$226="","",IF($B232="","",IFERROR(L232*$E232/100,"")))</f>
        <v/>
      </c>
      <c r="AD232" s="140">
        <f>IF(AD$226="","",IF($B232="","",IFERROR(M232*$E232/100,"")))</f>
        <v/>
      </c>
      <c r="AE232" s="140">
        <f>IF(AE$226="","",IF($B232="","",IFERROR(N232*$E232/100,"")))</f>
        <v/>
      </c>
      <c r="AF232" s="140">
        <f>IF(AF$226="","",IF($B232="","",IFERROR(O232*$E232/100,"")))</f>
        <v/>
      </c>
      <c r="AG232" s="140">
        <f>IF(AG$226="","",IF($B232="","",IFERROR(P232*$E232/100,"")))</f>
        <v/>
      </c>
      <c r="AH232" s="140">
        <f>IF(AH$226="","",IF($B232="","",IFERROR(Q232*$E232/100,"")))</f>
        <v/>
      </c>
      <c r="AI232" s="140">
        <f>IF(AI$226="","",IF($B232="","",IFERROR(R232*$E232/100,"")))</f>
        <v/>
      </c>
      <c r="AJ232" s="140">
        <f>IF(AJ$226="","",IF($B232="","",IFERROR(S232*$E232/100,"")))</f>
        <v/>
      </c>
      <c r="AK232" s="140">
        <f>IF(AK$226="","",IF($B232="","",IFERROR(T232*$E232/100,"")))</f>
        <v/>
      </c>
      <c r="AL232" s="140">
        <f>IF(AL$226="","",IF($B232="","",IFERROR(U232*$E232/100,"")))</f>
        <v/>
      </c>
      <c r="AN232" s="140">
        <f>IF($B232="","",SUMIF($F$226:$U$226,"&lt;="&amp;Sector!$E$51,$F232:$U232))</f>
        <v/>
      </c>
      <c r="AO232" s="140">
        <f>IF($B232="","",SUMIF($W$226:$AL$226,"&lt;="&amp;Sector!$E$51,$W232:$AL232))</f>
        <v/>
      </c>
    </row>
    <row r="233">
      <c r="B233" s="5">
        <f>IF(MXAU!$C$10="","",MXAU!$C$10)</f>
        <v/>
      </c>
      <c r="C233" s="90">
        <f>IF(MXAU!$B$10="","",MXAU!$B$10)</f>
        <v/>
      </c>
      <c r="D233" s="138">
        <f>IFERROR(MXAU!$Q$10,1)</f>
        <v/>
      </c>
      <c r="E233" s="139">
        <f>IF($B233="","",IF(ISNUMBER(MXAU!$I$10),MXAU!$I$10,'Index Summary'!$C$7))</f>
        <v/>
      </c>
      <c r="F233" s="140">
        <f>IF(F$226="","",IF($B233="","",IFERROR($C233*$D233*IF((Override!$C$4="ON")*(COUNTIFS(Override!$B$11:$B$40,$B233,Override!$D$11:$D$40,1,Override!$E$11:$E$40,"&gt;=0")-COUNTIFS(Override!$B$11:$B$40,$B233,Override!$D$11:$D$40,1,Override!$E$11:$E$40,"&gt;=0",Override!$C$11:$C$40,"AS51"))&gt;0,SUMIFS(Override!$E$11:$E$40,Override!$B$11:$B$40,$B233,Override!$D$11:$D$40,1)-SUMIFS(Override!$E$11:$E$40,Override!$B$11:$B$40,$B233,Override!$D$11:$D$40,1,Override!$C$11:$C$40,"AS51"),Override!$C$265)/MXAU!$B$3,"")))</f>
        <v/>
      </c>
      <c r="G233" s="140">
        <f>IF(G$226="","",IF($B233="","",IFERROR($C233*$D233*IF((Override!$C$4="ON")*(COUNTIFS(Override!$B$11:$B$40,$B233,Override!$D$11:$D$40,2,Override!$E$11:$E$40,"&gt;=0")-COUNTIFS(Override!$B$11:$B$40,$B233,Override!$D$11:$D$40,2,Override!$E$11:$E$40,"&gt;=0",Override!$C$11:$C$40,"AS51"))&gt;0,SUMIFS(Override!$E$11:$E$40,Override!$B$11:$B$40,$B233,Override!$D$11:$D$40,2)-SUMIFS(Override!$E$11:$E$40,Override!$B$11:$B$40,$B233,Override!$D$11:$D$40,2,Override!$C$11:$C$40,"AS51"),Override!$D$265)/MXAU!$B$3,"")))</f>
        <v/>
      </c>
      <c r="H233" s="140">
        <f>IF(H$226="","",IF($B233="","",IFERROR($C233*$D233*IF((Override!$C$4="ON")*(COUNTIFS(Override!$B$11:$B$40,$B233,Override!$D$11:$D$40,3,Override!$E$11:$E$40,"&gt;=0")-COUNTIFS(Override!$B$11:$B$40,$B233,Override!$D$11:$D$40,3,Override!$E$11:$E$40,"&gt;=0",Override!$C$11:$C$40,"AS51"))&gt;0,SUMIFS(Override!$E$11:$E$40,Override!$B$11:$B$40,$B233,Override!$D$11:$D$40,3)-SUMIFS(Override!$E$11:$E$40,Override!$B$11:$B$40,$B233,Override!$D$11:$D$40,3,Override!$C$11:$C$40,"AS51"),Override!$E$265)/MXAU!$B$3,"")))</f>
        <v/>
      </c>
      <c r="I233" s="140">
        <f>IF(I$226="","",IF($B233="","",IFERROR($C233*$D233*IF((Override!$C$4="ON")*(COUNTIFS(Override!$B$11:$B$40,$B233,Override!$D$11:$D$40,4,Override!$E$11:$E$40,"&gt;=0")-COUNTIFS(Override!$B$11:$B$40,$B233,Override!$D$11:$D$40,4,Override!$E$11:$E$40,"&gt;=0",Override!$C$11:$C$40,"AS51"))&gt;0,SUMIFS(Override!$E$11:$E$40,Override!$B$11:$B$40,$B233,Override!$D$11:$D$40,4)-SUMIFS(Override!$E$11:$E$40,Override!$B$11:$B$40,$B233,Override!$D$11:$D$40,4,Override!$C$11:$C$40,"AS51"),Override!$F$265)/MXAU!$B$3,"")))</f>
        <v/>
      </c>
      <c r="J233" s="140">
        <f>IF(J$226="","",IF($B233="","",IFERROR($C233*$D233*IF((Override!$C$4="ON")*(COUNTIFS(Override!$B$11:$B$40,$B233,Override!$D$11:$D$40,5,Override!$E$11:$E$40,"&gt;=0")-COUNTIFS(Override!$B$11:$B$40,$B233,Override!$D$11:$D$40,5,Override!$E$11:$E$40,"&gt;=0",Override!$C$11:$C$40,"AS51"))&gt;0,SUMIFS(Override!$E$11:$E$40,Override!$B$11:$B$40,$B233,Override!$D$11:$D$40,5)-SUMIFS(Override!$E$11:$E$40,Override!$B$11:$B$40,$B233,Override!$D$11:$D$40,5,Override!$C$11:$C$40,"AS51"),Override!$G$265)/MXAU!$B$3,"")))</f>
        <v/>
      </c>
      <c r="K233" s="140">
        <f>IF(K$226="","",IF($B233="","",IFERROR($C233*$D233*IF((Override!$C$4="ON")*(COUNTIFS(Override!$B$11:$B$40,$B233,Override!$D$11:$D$40,6,Override!$E$11:$E$40,"&gt;=0")-COUNTIFS(Override!$B$11:$B$40,$B233,Override!$D$11:$D$40,6,Override!$E$11:$E$40,"&gt;=0",Override!$C$11:$C$40,"AS51"))&gt;0,SUMIFS(Override!$E$11:$E$40,Override!$B$11:$B$40,$B233,Override!$D$11:$D$40,6)-SUMIFS(Override!$E$11:$E$40,Override!$B$11:$B$40,$B233,Override!$D$11:$D$40,6,Override!$C$11:$C$40,"AS51"),Override!$H$265)/MXAU!$B$3,"")))</f>
        <v/>
      </c>
      <c r="L233" s="140">
        <f>IF(L$226="","",IF($B233="","",IFERROR($C233*$D233*IF((Override!$C$4="ON")*(COUNTIFS(Override!$B$11:$B$40,$B233,Override!$D$11:$D$40,7,Override!$E$11:$E$40,"&gt;=0")-COUNTIFS(Override!$B$11:$B$40,$B233,Override!$D$11:$D$40,7,Override!$E$11:$E$40,"&gt;=0",Override!$C$11:$C$40,"AS51"))&gt;0,SUMIFS(Override!$E$11:$E$40,Override!$B$11:$B$40,$B233,Override!$D$11:$D$40,7)-SUMIFS(Override!$E$11:$E$40,Override!$B$11:$B$40,$B233,Override!$D$11:$D$40,7,Override!$C$11:$C$40,"AS51"),Override!$I$265)/MXAU!$B$3,"")))</f>
        <v/>
      </c>
      <c r="M233" s="140">
        <f>IF(M$226="","",IF($B233="","",IFERROR($C233*$D233*IF((Override!$C$4="ON")*(COUNTIFS(Override!$B$11:$B$40,$B233,Override!$D$11:$D$40,8,Override!$E$11:$E$40,"&gt;=0")-COUNTIFS(Override!$B$11:$B$40,$B233,Override!$D$11:$D$40,8,Override!$E$11:$E$40,"&gt;=0",Override!$C$11:$C$40,"AS51"))&gt;0,SUMIFS(Override!$E$11:$E$40,Override!$B$11:$B$40,$B233,Override!$D$11:$D$40,8)-SUMIFS(Override!$E$11:$E$40,Override!$B$11:$B$40,$B233,Override!$D$11:$D$40,8,Override!$C$11:$C$40,"AS51"),Override!$J$265)/MXAU!$B$3,"")))</f>
        <v/>
      </c>
      <c r="N233" s="140">
        <f>IF(N$226="","",IF($B233="","",IFERROR($C233*$D233*IF((Override!$C$4="ON")*(COUNTIFS(Override!$B$11:$B$40,$B233,Override!$D$11:$D$40,9,Override!$E$11:$E$40,"&gt;=0")-COUNTIFS(Override!$B$11:$B$40,$B233,Override!$D$11:$D$40,9,Override!$E$11:$E$40,"&gt;=0",Override!$C$11:$C$40,"AS51"))&gt;0,SUMIFS(Override!$E$11:$E$40,Override!$B$11:$B$40,$B233,Override!$D$11:$D$40,9)-SUMIFS(Override!$E$11:$E$40,Override!$B$11:$B$40,$B233,Override!$D$11:$D$40,9,Override!$C$11:$C$40,"AS51"),Override!$K$265)/MXAU!$B$3,"")))</f>
        <v/>
      </c>
      <c r="O233" s="140">
        <f>IF(O$226="","",IF($B233="","",IFERROR($C233*$D233*IF((Override!$C$4="ON")*(COUNTIFS(Override!$B$11:$B$40,$B233,Override!$D$11:$D$40,10,Override!$E$11:$E$40,"&gt;=0")-COUNTIFS(Override!$B$11:$B$40,$B233,Override!$D$11:$D$40,10,Override!$E$11:$E$40,"&gt;=0",Override!$C$11:$C$40,"AS51"))&gt;0,SUMIFS(Override!$E$11:$E$40,Override!$B$11:$B$40,$B233,Override!$D$11:$D$40,10)-SUMIFS(Override!$E$11:$E$40,Override!$B$11:$B$40,$B233,Override!$D$11:$D$40,10,Override!$C$11:$C$40,"AS51"),Override!$L$265)/MXAU!$B$3,"")))</f>
        <v/>
      </c>
      <c r="P233" s="140">
        <f>IF(P$226="","",IF($B233="","",IFERROR($C233*$D233*IF((Override!$C$4="ON")*(COUNTIFS(Override!$B$11:$B$40,$B233,Override!$D$11:$D$40,11,Override!$E$11:$E$40,"&gt;=0")-COUNTIFS(Override!$B$11:$B$40,$B233,Override!$D$11:$D$40,11,Override!$E$11:$E$40,"&gt;=0",Override!$C$11:$C$40,"AS51"))&gt;0,SUMIFS(Override!$E$11:$E$40,Override!$B$11:$B$40,$B233,Override!$D$11:$D$40,11)-SUMIFS(Override!$E$11:$E$40,Override!$B$11:$B$40,$B233,Override!$D$11:$D$40,11,Override!$C$11:$C$40,"AS51"),Override!$M$265)/MXAU!$B$3,"")))</f>
        <v/>
      </c>
      <c r="Q233" s="140">
        <f>IF(Q$226="","",IF($B233="","",IFERROR($C233*$D233*IF((Override!$C$4="ON")*(COUNTIFS(Override!$B$11:$B$40,$B233,Override!$D$11:$D$40,12,Override!$E$11:$E$40,"&gt;=0")-COUNTIFS(Override!$B$11:$B$40,$B233,Override!$D$11:$D$40,12,Override!$E$11:$E$40,"&gt;=0",Override!$C$11:$C$40,"AS51"))&gt;0,SUMIFS(Override!$E$11:$E$40,Override!$B$11:$B$40,$B233,Override!$D$11:$D$40,12)-SUMIFS(Override!$E$11:$E$40,Override!$B$11:$B$40,$B233,Override!$D$11:$D$40,12,Override!$C$11:$C$40,"AS51"),Override!$N$265)/MXAU!$B$3,"")))</f>
        <v/>
      </c>
      <c r="R233" s="140">
        <f>IF(R$226="","",IF($B233="","",IFERROR($C233*$D233*IF((Override!$C$4="ON")*(COUNTIFS(Override!$B$11:$B$40,$B233,Override!$D$11:$D$40,13,Override!$E$11:$E$40,"&gt;=0")-COUNTIFS(Override!$B$11:$B$40,$B233,Override!$D$11:$D$40,13,Override!$E$11:$E$40,"&gt;=0",Override!$C$11:$C$40,"AS51"))&gt;0,SUMIFS(Override!$E$11:$E$40,Override!$B$11:$B$40,$B233,Override!$D$11:$D$40,13)-SUMIFS(Override!$E$11:$E$40,Override!$B$11:$B$40,$B233,Override!$D$11:$D$40,13,Override!$C$11:$C$40,"AS51"),Override!$O$265)/MXAU!$B$3,"")))</f>
        <v/>
      </c>
      <c r="S233" s="140">
        <f>IF(S$226="","",IF($B233="","",IFERROR($C233*$D233*IF((Override!$C$4="ON")*(COUNTIFS(Override!$B$11:$B$40,$B233,Override!$D$11:$D$40,14,Override!$E$11:$E$40,"&gt;=0")-COUNTIFS(Override!$B$11:$B$40,$B233,Override!$D$11:$D$40,14,Override!$E$11:$E$40,"&gt;=0",Override!$C$11:$C$40,"AS51"))&gt;0,SUMIFS(Override!$E$11:$E$40,Override!$B$11:$B$40,$B233,Override!$D$11:$D$40,14)-SUMIFS(Override!$E$11:$E$40,Override!$B$11:$B$40,$B233,Override!$D$11:$D$40,14,Override!$C$11:$C$40,"AS51"),Override!$P$265)/MXAU!$B$3,"")))</f>
        <v/>
      </c>
      <c r="T233" s="140">
        <f>IF(T$226="","",IF($B233="","",IFERROR($C233*$D233*IF((Override!$C$4="ON")*(COUNTIFS(Override!$B$11:$B$40,$B233,Override!$D$11:$D$40,15,Override!$E$11:$E$40,"&gt;=0")-COUNTIFS(Override!$B$11:$B$40,$B233,Override!$D$11:$D$40,15,Override!$E$11:$E$40,"&gt;=0",Override!$C$11:$C$40,"AS51"))&gt;0,SUMIFS(Override!$E$11:$E$40,Override!$B$11:$B$40,$B233,Override!$D$11:$D$40,15)-SUMIFS(Override!$E$11:$E$40,Override!$B$11:$B$40,$B233,Override!$D$11:$D$40,15,Override!$C$11:$C$40,"AS51"),Override!$Q$265)/MXAU!$B$3,"")))</f>
        <v/>
      </c>
      <c r="U233" s="140">
        <f>IF(U$226="","",IF($B233="","",IFERROR($C233*$D233*IF((Override!$C$4="ON")*(COUNTIFS(Override!$B$11:$B$40,$B233,Override!$D$11:$D$40,16,Override!$E$11:$E$40,"&gt;=0")-COUNTIFS(Override!$B$11:$B$40,$B233,Override!$D$11:$D$40,16,Override!$E$11:$E$40,"&gt;=0",Override!$C$11:$C$40,"AS51"))&gt;0,SUMIFS(Override!$E$11:$E$40,Override!$B$11:$B$40,$B233,Override!$D$11:$D$40,16)-SUMIFS(Override!$E$11:$E$40,Override!$B$11:$B$40,$B233,Override!$D$11:$D$40,16,Override!$C$11:$C$40,"AS51"),Override!$R$265)/MXAU!$B$3,"")))</f>
        <v/>
      </c>
      <c r="W233" s="140">
        <f>IF(W$226="","",IF($B233="","",IFERROR(F233*$E233/100,"")))</f>
        <v/>
      </c>
      <c r="X233" s="140">
        <f>IF(X$226="","",IF($B233="","",IFERROR(G233*$E233/100,"")))</f>
        <v/>
      </c>
      <c r="Y233" s="140">
        <f>IF(Y$226="","",IF($B233="","",IFERROR(H233*$E233/100,"")))</f>
        <v/>
      </c>
      <c r="Z233" s="140">
        <f>IF(Z$226="","",IF($B233="","",IFERROR(I233*$E233/100,"")))</f>
        <v/>
      </c>
      <c r="AA233" s="140">
        <f>IF(AA$226="","",IF($B233="","",IFERROR(J233*$E233/100,"")))</f>
        <v/>
      </c>
      <c r="AB233" s="140">
        <f>IF(AB$226="","",IF($B233="","",IFERROR(K233*$E233/100,"")))</f>
        <v/>
      </c>
      <c r="AC233" s="140">
        <f>IF(AC$226="","",IF($B233="","",IFERROR(L233*$E233/100,"")))</f>
        <v/>
      </c>
      <c r="AD233" s="140">
        <f>IF(AD$226="","",IF($B233="","",IFERROR(M233*$E233/100,"")))</f>
        <v/>
      </c>
      <c r="AE233" s="140">
        <f>IF(AE$226="","",IF($B233="","",IFERROR(N233*$E233/100,"")))</f>
        <v/>
      </c>
      <c r="AF233" s="140">
        <f>IF(AF$226="","",IF($B233="","",IFERROR(O233*$E233/100,"")))</f>
        <v/>
      </c>
      <c r="AG233" s="140">
        <f>IF(AG$226="","",IF($B233="","",IFERROR(P233*$E233/100,"")))</f>
        <v/>
      </c>
      <c r="AH233" s="140">
        <f>IF(AH$226="","",IF($B233="","",IFERROR(Q233*$E233/100,"")))</f>
        <v/>
      </c>
      <c r="AI233" s="140">
        <f>IF(AI$226="","",IF($B233="","",IFERROR(R233*$E233/100,"")))</f>
        <v/>
      </c>
      <c r="AJ233" s="140">
        <f>IF(AJ$226="","",IF($B233="","",IFERROR(S233*$E233/100,"")))</f>
        <v/>
      </c>
      <c r="AK233" s="140">
        <f>IF(AK$226="","",IF($B233="","",IFERROR(T233*$E233/100,"")))</f>
        <v/>
      </c>
      <c r="AL233" s="140">
        <f>IF(AL$226="","",IF($B233="","",IFERROR(U233*$E233/100,"")))</f>
        <v/>
      </c>
      <c r="AN233" s="140">
        <f>IF($B233="","",SUMIF($F$226:$U$226,"&lt;="&amp;Sector!$E$51,$F233:$U233))</f>
        <v/>
      </c>
      <c r="AO233" s="140">
        <f>IF($B233="","",SUMIF($W$226:$AL$226,"&lt;="&amp;Sector!$E$51,$W233:$AL233))</f>
        <v/>
      </c>
    </row>
    <row r="234">
      <c r="B234" s="5">
        <f>IF(MXAU!$C$11="","",MXAU!$C$11)</f>
        <v/>
      </c>
      <c r="C234" s="90">
        <f>IF(MXAU!$B$11="","",MXAU!$B$11)</f>
        <v/>
      </c>
      <c r="D234" s="138">
        <f>IFERROR(MXAU!$Q$11,1)</f>
        <v/>
      </c>
      <c r="E234" s="139">
        <f>IF($B234="","",IF(ISNUMBER(MXAU!$I$11),MXAU!$I$11,'Index Summary'!$C$7))</f>
        <v/>
      </c>
      <c r="F234" s="140">
        <f>IF(F$226="","",IF($B234="","",IFERROR($C234*$D234*IF((Override!$C$4="ON")*(COUNTIFS(Override!$B$11:$B$40,$B234,Override!$D$11:$D$40,1,Override!$E$11:$E$40,"&gt;=0")-COUNTIFS(Override!$B$11:$B$40,$B234,Override!$D$11:$D$40,1,Override!$E$11:$E$40,"&gt;=0",Override!$C$11:$C$40,"AS51"))&gt;0,SUMIFS(Override!$E$11:$E$40,Override!$B$11:$B$40,$B234,Override!$D$11:$D$40,1)-SUMIFS(Override!$E$11:$E$40,Override!$B$11:$B$40,$B234,Override!$D$11:$D$40,1,Override!$C$11:$C$40,"AS51"),Override!$C$266)/MXAU!$B$3,"")))</f>
        <v/>
      </c>
      <c r="G234" s="140">
        <f>IF(G$226="","",IF($B234="","",IFERROR($C234*$D234*IF((Override!$C$4="ON")*(COUNTIFS(Override!$B$11:$B$40,$B234,Override!$D$11:$D$40,2,Override!$E$11:$E$40,"&gt;=0")-COUNTIFS(Override!$B$11:$B$40,$B234,Override!$D$11:$D$40,2,Override!$E$11:$E$40,"&gt;=0",Override!$C$11:$C$40,"AS51"))&gt;0,SUMIFS(Override!$E$11:$E$40,Override!$B$11:$B$40,$B234,Override!$D$11:$D$40,2)-SUMIFS(Override!$E$11:$E$40,Override!$B$11:$B$40,$B234,Override!$D$11:$D$40,2,Override!$C$11:$C$40,"AS51"),Override!$D$266)/MXAU!$B$3,"")))</f>
        <v/>
      </c>
      <c r="H234" s="140">
        <f>IF(H$226="","",IF($B234="","",IFERROR($C234*$D234*IF((Override!$C$4="ON")*(COUNTIFS(Override!$B$11:$B$40,$B234,Override!$D$11:$D$40,3,Override!$E$11:$E$40,"&gt;=0")-COUNTIFS(Override!$B$11:$B$40,$B234,Override!$D$11:$D$40,3,Override!$E$11:$E$40,"&gt;=0",Override!$C$11:$C$40,"AS51"))&gt;0,SUMIFS(Override!$E$11:$E$40,Override!$B$11:$B$40,$B234,Override!$D$11:$D$40,3)-SUMIFS(Override!$E$11:$E$40,Override!$B$11:$B$40,$B234,Override!$D$11:$D$40,3,Override!$C$11:$C$40,"AS51"),Override!$E$266)/MXAU!$B$3,"")))</f>
        <v/>
      </c>
      <c r="I234" s="140">
        <f>IF(I$226="","",IF($B234="","",IFERROR($C234*$D234*IF((Override!$C$4="ON")*(COUNTIFS(Override!$B$11:$B$40,$B234,Override!$D$11:$D$40,4,Override!$E$11:$E$40,"&gt;=0")-COUNTIFS(Override!$B$11:$B$40,$B234,Override!$D$11:$D$40,4,Override!$E$11:$E$40,"&gt;=0",Override!$C$11:$C$40,"AS51"))&gt;0,SUMIFS(Override!$E$11:$E$40,Override!$B$11:$B$40,$B234,Override!$D$11:$D$40,4)-SUMIFS(Override!$E$11:$E$40,Override!$B$11:$B$40,$B234,Override!$D$11:$D$40,4,Override!$C$11:$C$40,"AS51"),Override!$F$266)/MXAU!$B$3,"")))</f>
        <v/>
      </c>
      <c r="J234" s="140">
        <f>IF(J$226="","",IF($B234="","",IFERROR($C234*$D234*IF((Override!$C$4="ON")*(COUNTIFS(Override!$B$11:$B$40,$B234,Override!$D$11:$D$40,5,Override!$E$11:$E$40,"&gt;=0")-COUNTIFS(Override!$B$11:$B$40,$B234,Override!$D$11:$D$40,5,Override!$E$11:$E$40,"&gt;=0",Override!$C$11:$C$40,"AS51"))&gt;0,SUMIFS(Override!$E$11:$E$40,Override!$B$11:$B$40,$B234,Override!$D$11:$D$40,5)-SUMIFS(Override!$E$11:$E$40,Override!$B$11:$B$40,$B234,Override!$D$11:$D$40,5,Override!$C$11:$C$40,"AS51"),Override!$G$266)/MXAU!$B$3,"")))</f>
        <v/>
      </c>
      <c r="K234" s="140">
        <f>IF(K$226="","",IF($B234="","",IFERROR($C234*$D234*IF((Override!$C$4="ON")*(COUNTIFS(Override!$B$11:$B$40,$B234,Override!$D$11:$D$40,6,Override!$E$11:$E$40,"&gt;=0")-COUNTIFS(Override!$B$11:$B$40,$B234,Override!$D$11:$D$40,6,Override!$E$11:$E$40,"&gt;=0",Override!$C$11:$C$40,"AS51"))&gt;0,SUMIFS(Override!$E$11:$E$40,Override!$B$11:$B$40,$B234,Override!$D$11:$D$40,6)-SUMIFS(Override!$E$11:$E$40,Override!$B$11:$B$40,$B234,Override!$D$11:$D$40,6,Override!$C$11:$C$40,"AS51"),Override!$H$266)/MXAU!$B$3,"")))</f>
        <v/>
      </c>
      <c r="L234" s="140">
        <f>IF(L$226="","",IF($B234="","",IFERROR($C234*$D234*IF((Override!$C$4="ON")*(COUNTIFS(Override!$B$11:$B$40,$B234,Override!$D$11:$D$40,7,Override!$E$11:$E$40,"&gt;=0")-COUNTIFS(Override!$B$11:$B$40,$B234,Override!$D$11:$D$40,7,Override!$E$11:$E$40,"&gt;=0",Override!$C$11:$C$40,"AS51"))&gt;0,SUMIFS(Override!$E$11:$E$40,Override!$B$11:$B$40,$B234,Override!$D$11:$D$40,7)-SUMIFS(Override!$E$11:$E$40,Override!$B$11:$B$40,$B234,Override!$D$11:$D$40,7,Override!$C$11:$C$40,"AS51"),Override!$I$266)/MXAU!$B$3,"")))</f>
        <v/>
      </c>
      <c r="M234" s="140">
        <f>IF(M$226="","",IF($B234="","",IFERROR($C234*$D234*IF((Override!$C$4="ON")*(COUNTIFS(Override!$B$11:$B$40,$B234,Override!$D$11:$D$40,8,Override!$E$11:$E$40,"&gt;=0")-COUNTIFS(Override!$B$11:$B$40,$B234,Override!$D$11:$D$40,8,Override!$E$11:$E$40,"&gt;=0",Override!$C$11:$C$40,"AS51"))&gt;0,SUMIFS(Override!$E$11:$E$40,Override!$B$11:$B$40,$B234,Override!$D$11:$D$40,8)-SUMIFS(Override!$E$11:$E$40,Override!$B$11:$B$40,$B234,Override!$D$11:$D$40,8,Override!$C$11:$C$40,"AS51"),Override!$J$266)/MXAU!$B$3,"")))</f>
        <v/>
      </c>
      <c r="N234" s="140">
        <f>IF(N$226="","",IF($B234="","",IFERROR($C234*$D234*IF((Override!$C$4="ON")*(COUNTIFS(Override!$B$11:$B$40,$B234,Override!$D$11:$D$40,9,Override!$E$11:$E$40,"&gt;=0")-COUNTIFS(Override!$B$11:$B$40,$B234,Override!$D$11:$D$40,9,Override!$E$11:$E$40,"&gt;=0",Override!$C$11:$C$40,"AS51"))&gt;0,SUMIFS(Override!$E$11:$E$40,Override!$B$11:$B$40,$B234,Override!$D$11:$D$40,9)-SUMIFS(Override!$E$11:$E$40,Override!$B$11:$B$40,$B234,Override!$D$11:$D$40,9,Override!$C$11:$C$40,"AS51"),Override!$K$266)/MXAU!$B$3,"")))</f>
        <v/>
      </c>
      <c r="O234" s="140">
        <f>IF(O$226="","",IF($B234="","",IFERROR($C234*$D234*IF((Override!$C$4="ON")*(COUNTIFS(Override!$B$11:$B$40,$B234,Override!$D$11:$D$40,10,Override!$E$11:$E$40,"&gt;=0")-COUNTIFS(Override!$B$11:$B$40,$B234,Override!$D$11:$D$40,10,Override!$E$11:$E$40,"&gt;=0",Override!$C$11:$C$40,"AS51"))&gt;0,SUMIFS(Override!$E$11:$E$40,Override!$B$11:$B$40,$B234,Override!$D$11:$D$40,10)-SUMIFS(Override!$E$11:$E$40,Override!$B$11:$B$40,$B234,Override!$D$11:$D$40,10,Override!$C$11:$C$40,"AS51"),Override!$L$266)/MXAU!$B$3,"")))</f>
        <v/>
      </c>
      <c r="P234" s="140">
        <f>IF(P$226="","",IF($B234="","",IFERROR($C234*$D234*IF((Override!$C$4="ON")*(COUNTIFS(Override!$B$11:$B$40,$B234,Override!$D$11:$D$40,11,Override!$E$11:$E$40,"&gt;=0")-COUNTIFS(Override!$B$11:$B$40,$B234,Override!$D$11:$D$40,11,Override!$E$11:$E$40,"&gt;=0",Override!$C$11:$C$40,"AS51"))&gt;0,SUMIFS(Override!$E$11:$E$40,Override!$B$11:$B$40,$B234,Override!$D$11:$D$40,11)-SUMIFS(Override!$E$11:$E$40,Override!$B$11:$B$40,$B234,Override!$D$11:$D$40,11,Override!$C$11:$C$40,"AS51"),Override!$M$266)/MXAU!$B$3,"")))</f>
        <v/>
      </c>
      <c r="Q234" s="140">
        <f>IF(Q$226="","",IF($B234="","",IFERROR($C234*$D234*IF((Override!$C$4="ON")*(COUNTIFS(Override!$B$11:$B$40,$B234,Override!$D$11:$D$40,12,Override!$E$11:$E$40,"&gt;=0")-COUNTIFS(Override!$B$11:$B$40,$B234,Override!$D$11:$D$40,12,Override!$E$11:$E$40,"&gt;=0",Override!$C$11:$C$40,"AS51"))&gt;0,SUMIFS(Override!$E$11:$E$40,Override!$B$11:$B$40,$B234,Override!$D$11:$D$40,12)-SUMIFS(Override!$E$11:$E$40,Override!$B$11:$B$40,$B234,Override!$D$11:$D$40,12,Override!$C$11:$C$40,"AS51"),Override!$N$266)/MXAU!$B$3,"")))</f>
        <v/>
      </c>
      <c r="R234" s="140">
        <f>IF(R$226="","",IF($B234="","",IFERROR($C234*$D234*IF((Override!$C$4="ON")*(COUNTIFS(Override!$B$11:$B$40,$B234,Override!$D$11:$D$40,13,Override!$E$11:$E$40,"&gt;=0")-COUNTIFS(Override!$B$11:$B$40,$B234,Override!$D$11:$D$40,13,Override!$E$11:$E$40,"&gt;=0",Override!$C$11:$C$40,"AS51"))&gt;0,SUMIFS(Override!$E$11:$E$40,Override!$B$11:$B$40,$B234,Override!$D$11:$D$40,13)-SUMIFS(Override!$E$11:$E$40,Override!$B$11:$B$40,$B234,Override!$D$11:$D$40,13,Override!$C$11:$C$40,"AS51"),Override!$O$266)/MXAU!$B$3,"")))</f>
        <v/>
      </c>
      <c r="S234" s="140">
        <f>IF(S$226="","",IF($B234="","",IFERROR($C234*$D234*IF((Override!$C$4="ON")*(COUNTIFS(Override!$B$11:$B$40,$B234,Override!$D$11:$D$40,14,Override!$E$11:$E$40,"&gt;=0")-COUNTIFS(Override!$B$11:$B$40,$B234,Override!$D$11:$D$40,14,Override!$E$11:$E$40,"&gt;=0",Override!$C$11:$C$40,"AS51"))&gt;0,SUMIFS(Override!$E$11:$E$40,Override!$B$11:$B$40,$B234,Override!$D$11:$D$40,14)-SUMIFS(Override!$E$11:$E$40,Override!$B$11:$B$40,$B234,Override!$D$11:$D$40,14,Override!$C$11:$C$40,"AS51"),Override!$P$266)/MXAU!$B$3,"")))</f>
        <v/>
      </c>
      <c r="T234" s="140">
        <f>IF(T$226="","",IF($B234="","",IFERROR($C234*$D234*IF((Override!$C$4="ON")*(COUNTIFS(Override!$B$11:$B$40,$B234,Override!$D$11:$D$40,15,Override!$E$11:$E$40,"&gt;=0")-COUNTIFS(Override!$B$11:$B$40,$B234,Override!$D$11:$D$40,15,Override!$E$11:$E$40,"&gt;=0",Override!$C$11:$C$40,"AS51"))&gt;0,SUMIFS(Override!$E$11:$E$40,Override!$B$11:$B$40,$B234,Override!$D$11:$D$40,15)-SUMIFS(Override!$E$11:$E$40,Override!$B$11:$B$40,$B234,Override!$D$11:$D$40,15,Override!$C$11:$C$40,"AS51"),Override!$Q$266)/MXAU!$B$3,"")))</f>
        <v/>
      </c>
      <c r="U234" s="140">
        <f>IF(U$226="","",IF($B234="","",IFERROR($C234*$D234*IF((Override!$C$4="ON")*(COUNTIFS(Override!$B$11:$B$40,$B234,Override!$D$11:$D$40,16,Override!$E$11:$E$40,"&gt;=0")-COUNTIFS(Override!$B$11:$B$40,$B234,Override!$D$11:$D$40,16,Override!$E$11:$E$40,"&gt;=0",Override!$C$11:$C$40,"AS51"))&gt;0,SUMIFS(Override!$E$11:$E$40,Override!$B$11:$B$40,$B234,Override!$D$11:$D$40,16)-SUMIFS(Override!$E$11:$E$40,Override!$B$11:$B$40,$B234,Override!$D$11:$D$40,16,Override!$C$11:$C$40,"AS51"),Override!$R$266)/MXAU!$B$3,"")))</f>
        <v/>
      </c>
      <c r="W234" s="140">
        <f>IF(W$226="","",IF($B234="","",IFERROR(F234*$E234/100,"")))</f>
        <v/>
      </c>
      <c r="X234" s="140">
        <f>IF(X$226="","",IF($B234="","",IFERROR(G234*$E234/100,"")))</f>
        <v/>
      </c>
      <c r="Y234" s="140">
        <f>IF(Y$226="","",IF($B234="","",IFERROR(H234*$E234/100,"")))</f>
        <v/>
      </c>
      <c r="Z234" s="140">
        <f>IF(Z$226="","",IF($B234="","",IFERROR(I234*$E234/100,"")))</f>
        <v/>
      </c>
      <c r="AA234" s="140">
        <f>IF(AA$226="","",IF($B234="","",IFERROR(J234*$E234/100,"")))</f>
        <v/>
      </c>
      <c r="AB234" s="140">
        <f>IF(AB$226="","",IF($B234="","",IFERROR(K234*$E234/100,"")))</f>
        <v/>
      </c>
      <c r="AC234" s="140">
        <f>IF(AC$226="","",IF($B234="","",IFERROR(L234*$E234/100,"")))</f>
        <v/>
      </c>
      <c r="AD234" s="140">
        <f>IF(AD$226="","",IF($B234="","",IFERROR(M234*$E234/100,"")))</f>
        <v/>
      </c>
      <c r="AE234" s="140">
        <f>IF(AE$226="","",IF($B234="","",IFERROR(N234*$E234/100,"")))</f>
        <v/>
      </c>
      <c r="AF234" s="140">
        <f>IF(AF$226="","",IF($B234="","",IFERROR(O234*$E234/100,"")))</f>
        <v/>
      </c>
      <c r="AG234" s="140">
        <f>IF(AG$226="","",IF($B234="","",IFERROR(P234*$E234/100,"")))</f>
        <v/>
      </c>
      <c r="AH234" s="140">
        <f>IF(AH$226="","",IF($B234="","",IFERROR(Q234*$E234/100,"")))</f>
        <v/>
      </c>
      <c r="AI234" s="140">
        <f>IF(AI$226="","",IF($B234="","",IFERROR(R234*$E234/100,"")))</f>
        <v/>
      </c>
      <c r="AJ234" s="140">
        <f>IF(AJ$226="","",IF($B234="","",IFERROR(S234*$E234/100,"")))</f>
        <v/>
      </c>
      <c r="AK234" s="140">
        <f>IF(AK$226="","",IF($B234="","",IFERROR(T234*$E234/100,"")))</f>
        <v/>
      </c>
      <c r="AL234" s="140">
        <f>IF(AL$226="","",IF($B234="","",IFERROR(U234*$E234/100,"")))</f>
        <v/>
      </c>
      <c r="AN234" s="140">
        <f>IF($B234="","",SUMIF($F$226:$U$226,"&lt;="&amp;Sector!$E$51,$F234:$U234))</f>
        <v/>
      </c>
      <c r="AO234" s="140">
        <f>IF($B234="","",SUMIF($W$226:$AL$226,"&lt;="&amp;Sector!$E$51,$W234:$AL234))</f>
        <v/>
      </c>
    </row>
    <row r="235">
      <c r="B235" s="5">
        <f>IF(MXAU!$C$12="","",MXAU!$C$12)</f>
        <v/>
      </c>
      <c r="C235" s="90">
        <f>IF(MXAU!$B$12="","",MXAU!$B$12)</f>
        <v/>
      </c>
      <c r="D235" s="138">
        <f>IFERROR(MXAU!$Q$12,1)</f>
        <v/>
      </c>
      <c r="E235" s="139">
        <f>IF($B235="","",IF(ISNUMBER(MXAU!$I$12),MXAU!$I$12,'Index Summary'!$C$7))</f>
        <v/>
      </c>
      <c r="F235" s="140">
        <f>IF(F$226="","",IF($B235="","",IFERROR($C235*$D235*IF((Override!$C$4="ON")*(COUNTIFS(Override!$B$11:$B$40,$B235,Override!$D$11:$D$40,1,Override!$E$11:$E$40,"&gt;=0")-COUNTIFS(Override!$B$11:$B$40,$B235,Override!$D$11:$D$40,1,Override!$E$11:$E$40,"&gt;=0",Override!$C$11:$C$40,"AS51"))&gt;0,SUMIFS(Override!$E$11:$E$40,Override!$B$11:$B$40,$B235,Override!$D$11:$D$40,1)-SUMIFS(Override!$E$11:$E$40,Override!$B$11:$B$40,$B235,Override!$D$11:$D$40,1,Override!$C$11:$C$40,"AS51"),Override!$C$267)/MXAU!$B$3,"")))</f>
        <v/>
      </c>
      <c r="G235" s="140">
        <f>IF(G$226="","",IF($B235="","",IFERROR($C235*$D235*IF((Override!$C$4="ON")*(COUNTIFS(Override!$B$11:$B$40,$B235,Override!$D$11:$D$40,2,Override!$E$11:$E$40,"&gt;=0")-COUNTIFS(Override!$B$11:$B$40,$B235,Override!$D$11:$D$40,2,Override!$E$11:$E$40,"&gt;=0",Override!$C$11:$C$40,"AS51"))&gt;0,SUMIFS(Override!$E$11:$E$40,Override!$B$11:$B$40,$B235,Override!$D$11:$D$40,2)-SUMIFS(Override!$E$11:$E$40,Override!$B$11:$B$40,$B235,Override!$D$11:$D$40,2,Override!$C$11:$C$40,"AS51"),Override!$D$267)/MXAU!$B$3,"")))</f>
        <v/>
      </c>
      <c r="H235" s="140">
        <f>IF(H$226="","",IF($B235="","",IFERROR($C235*$D235*IF((Override!$C$4="ON")*(COUNTIFS(Override!$B$11:$B$40,$B235,Override!$D$11:$D$40,3,Override!$E$11:$E$40,"&gt;=0")-COUNTIFS(Override!$B$11:$B$40,$B235,Override!$D$11:$D$40,3,Override!$E$11:$E$40,"&gt;=0",Override!$C$11:$C$40,"AS51"))&gt;0,SUMIFS(Override!$E$11:$E$40,Override!$B$11:$B$40,$B235,Override!$D$11:$D$40,3)-SUMIFS(Override!$E$11:$E$40,Override!$B$11:$B$40,$B235,Override!$D$11:$D$40,3,Override!$C$11:$C$40,"AS51"),Override!$E$267)/MXAU!$B$3,"")))</f>
        <v/>
      </c>
      <c r="I235" s="140">
        <f>IF(I$226="","",IF($B235="","",IFERROR($C235*$D235*IF((Override!$C$4="ON")*(COUNTIFS(Override!$B$11:$B$40,$B235,Override!$D$11:$D$40,4,Override!$E$11:$E$40,"&gt;=0")-COUNTIFS(Override!$B$11:$B$40,$B235,Override!$D$11:$D$40,4,Override!$E$11:$E$40,"&gt;=0",Override!$C$11:$C$40,"AS51"))&gt;0,SUMIFS(Override!$E$11:$E$40,Override!$B$11:$B$40,$B235,Override!$D$11:$D$40,4)-SUMIFS(Override!$E$11:$E$40,Override!$B$11:$B$40,$B235,Override!$D$11:$D$40,4,Override!$C$11:$C$40,"AS51"),Override!$F$267)/MXAU!$B$3,"")))</f>
        <v/>
      </c>
      <c r="J235" s="140">
        <f>IF(J$226="","",IF($B235="","",IFERROR($C235*$D235*IF((Override!$C$4="ON")*(COUNTIFS(Override!$B$11:$B$40,$B235,Override!$D$11:$D$40,5,Override!$E$11:$E$40,"&gt;=0")-COUNTIFS(Override!$B$11:$B$40,$B235,Override!$D$11:$D$40,5,Override!$E$11:$E$40,"&gt;=0",Override!$C$11:$C$40,"AS51"))&gt;0,SUMIFS(Override!$E$11:$E$40,Override!$B$11:$B$40,$B235,Override!$D$11:$D$40,5)-SUMIFS(Override!$E$11:$E$40,Override!$B$11:$B$40,$B235,Override!$D$11:$D$40,5,Override!$C$11:$C$40,"AS51"),Override!$G$267)/MXAU!$B$3,"")))</f>
        <v/>
      </c>
      <c r="K235" s="140">
        <f>IF(K$226="","",IF($B235="","",IFERROR($C235*$D235*IF((Override!$C$4="ON")*(COUNTIFS(Override!$B$11:$B$40,$B235,Override!$D$11:$D$40,6,Override!$E$11:$E$40,"&gt;=0")-COUNTIFS(Override!$B$11:$B$40,$B235,Override!$D$11:$D$40,6,Override!$E$11:$E$40,"&gt;=0",Override!$C$11:$C$40,"AS51"))&gt;0,SUMIFS(Override!$E$11:$E$40,Override!$B$11:$B$40,$B235,Override!$D$11:$D$40,6)-SUMIFS(Override!$E$11:$E$40,Override!$B$11:$B$40,$B235,Override!$D$11:$D$40,6,Override!$C$11:$C$40,"AS51"),Override!$H$267)/MXAU!$B$3,"")))</f>
        <v/>
      </c>
      <c r="L235" s="140">
        <f>IF(L$226="","",IF($B235="","",IFERROR($C235*$D235*IF((Override!$C$4="ON")*(COUNTIFS(Override!$B$11:$B$40,$B235,Override!$D$11:$D$40,7,Override!$E$11:$E$40,"&gt;=0")-COUNTIFS(Override!$B$11:$B$40,$B235,Override!$D$11:$D$40,7,Override!$E$11:$E$40,"&gt;=0",Override!$C$11:$C$40,"AS51"))&gt;0,SUMIFS(Override!$E$11:$E$40,Override!$B$11:$B$40,$B235,Override!$D$11:$D$40,7)-SUMIFS(Override!$E$11:$E$40,Override!$B$11:$B$40,$B235,Override!$D$11:$D$40,7,Override!$C$11:$C$40,"AS51"),Override!$I$267)/MXAU!$B$3,"")))</f>
        <v/>
      </c>
      <c r="M235" s="140">
        <f>IF(M$226="","",IF($B235="","",IFERROR($C235*$D235*IF((Override!$C$4="ON")*(COUNTIFS(Override!$B$11:$B$40,$B235,Override!$D$11:$D$40,8,Override!$E$11:$E$40,"&gt;=0")-COUNTIFS(Override!$B$11:$B$40,$B235,Override!$D$11:$D$40,8,Override!$E$11:$E$40,"&gt;=0",Override!$C$11:$C$40,"AS51"))&gt;0,SUMIFS(Override!$E$11:$E$40,Override!$B$11:$B$40,$B235,Override!$D$11:$D$40,8)-SUMIFS(Override!$E$11:$E$40,Override!$B$11:$B$40,$B235,Override!$D$11:$D$40,8,Override!$C$11:$C$40,"AS51"),Override!$J$267)/MXAU!$B$3,"")))</f>
        <v/>
      </c>
      <c r="N235" s="140">
        <f>IF(N$226="","",IF($B235="","",IFERROR($C235*$D235*IF((Override!$C$4="ON")*(COUNTIFS(Override!$B$11:$B$40,$B235,Override!$D$11:$D$40,9,Override!$E$11:$E$40,"&gt;=0")-COUNTIFS(Override!$B$11:$B$40,$B235,Override!$D$11:$D$40,9,Override!$E$11:$E$40,"&gt;=0",Override!$C$11:$C$40,"AS51"))&gt;0,SUMIFS(Override!$E$11:$E$40,Override!$B$11:$B$40,$B235,Override!$D$11:$D$40,9)-SUMIFS(Override!$E$11:$E$40,Override!$B$11:$B$40,$B235,Override!$D$11:$D$40,9,Override!$C$11:$C$40,"AS51"),Override!$K$267)/MXAU!$B$3,"")))</f>
        <v/>
      </c>
      <c r="O235" s="140">
        <f>IF(O$226="","",IF($B235="","",IFERROR($C235*$D235*IF((Override!$C$4="ON")*(COUNTIFS(Override!$B$11:$B$40,$B235,Override!$D$11:$D$40,10,Override!$E$11:$E$40,"&gt;=0")-COUNTIFS(Override!$B$11:$B$40,$B235,Override!$D$11:$D$40,10,Override!$E$11:$E$40,"&gt;=0",Override!$C$11:$C$40,"AS51"))&gt;0,SUMIFS(Override!$E$11:$E$40,Override!$B$11:$B$40,$B235,Override!$D$11:$D$40,10)-SUMIFS(Override!$E$11:$E$40,Override!$B$11:$B$40,$B235,Override!$D$11:$D$40,10,Override!$C$11:$C$40,"AS51"),Override!$L$267)/MXAU!$B$3,"")))</f>
        <v/>
      </c>
      <c r="P235" s="140">
        <f>IF(P$226="","",IF($B235="","",IFERROR($C235*$D235*IF((Override!$C$4="ON")*(COUNTIFS(Override!$B$11:$B$40,$B235,Override!$D$11:$D$40,11,Override!$E$11:$E$40,"&gt;=0")-COUNTIFS(Override!$B$11:$B$40,$B235,Override!$D$11:$D$40,11,Override!$E$11:$E$40,"&gt;=0",Override!$C$11:$C$40,"AS51"))&gt;0,SUMIFS(Override!$E$11:$E$40,Override!$B$11:$B$40,$B235,Override!$D$11:$D$40,11)-SUMIFS(Override!$E$11:$E$40,Override!$B$11:$B$40,$B235,Override!$D$11:$D$40,11,Override!$C$11:$C$40,"AS51"),Override!$M$267)/MXAU!$B$3,"")))</f>
        <v/>
      </c>
      <c r="Q235" s="140">
        <f>IF(Q$226="","",IF($B235="","",IFERROR($C235*$D235*IF((Override!$C$4="ON")*(COUNTIFS(Override!$B$11:$B$40,$B235,Override!$D$11:$D$40,12,Override!$E$11:$E$40,"&gt;=0")-COUNTIFS(Override!$B$11:$B$40,$B235,Override!$D$11:$D$40,12,Override!$E$11:$E$40,"&gt;=0",Override!$C$11:$C$40,"AS51"))&gt;0,SUMIFS(Override!$E$11:$E$40,Override!$B$11:$B$40,$B235,Override!$D$11:$D$40,12)-SUMIFS(Override!$E$11:$E$40,Override!$B$11:$B$40,$B235,Override!$D$11:$D$40,12,Override!$C$11:$C$40,"AS51"),Override!$N$267)/MXAU!$B$3,"")))</f>
        <v/>
      </c>
      <c r="R235" s="140">
        <f>IF(R$226="","",IF($B235="","",IFERROR($C235*$D235*IF((Override!$C$4="ON")*(COUNTIFS(Override!$B$11:$B$40,$B235,Override!$D$11:$D$40,13,Override!$E$11:$E$40,"&gt;=0")-COUNTIFS(Override!$B$11:$B$40,$B235,Override!$D$11:$D$40,13,Override!$E$11:$E$40,"&gt;=0",Override!$C$11:$C$40,"AS51"))&gt;0,SUMIFS(Override!$E$11:$E$40,Override!$B$11:$B$40,$B235,Override!$D$11:$D$40,13)-SUMIFS(Override!$E$11:$E$40,Override!$B$11:$B$40,$B235,Override!$D$11:$D$40,13,Override!$C$11:$C$40,"AS51"),Override!$O$267)/MXAU!$B$3,"")))</f>
        <v/>
      </c>
      <c r="S235" s="140">
        <f>IF(S$226="","",IF($B235="","",IFERROR($C235*$D235*IF((Override!$C$4="ON")*(COUNTIFS(Override!$B$11:$B$40,$B235,Override!$D$11:$D$40,14,Override!$E$11:$E$40,"&gt;=0")-COUNTIFS(Override!$B$11:$B$40,$B235,Override!$D$11:$D$40,14,Override!$E$11:$E$40,"&gt;=0",Override!$C$11:$C$40,"AS51"))&gt;0,SUMIFS(Override!$E$11:$E$40,Override!$B$11:$B$40,$B235,Override!$D$11:$D$40,14)-SUMIFS(Override!$E$11:$E$40,Override!$B$11:$B$40,$B235,Override!$D$11:$D$40,14,Override!$C$11:$C$40,"AS51"),Override!$P$267)/MXAU!$B$3,"")))</f>
        <v/>
      </c>
      <c r="T235" s="140">
        <f>IF(T$226="","",IF($B235="","",IFERROR($C235*$D235*IF((Override!$C$4="ON")*(COUNTIFS(Override!$B$11:$B$40,$B235,Override!$D$11:$D$40,15,Override!$E$11:$E$40,"&gt;=0")-COUNTIFS(Override!$B$11:$B$40,$B235,Override!$D$11:$D$40,15,Override!$E$11:$E$40,"&gt;=0",Override!$C$11:$C$40,"AS51"))&gt;0,SUMIFS(Override!$E$11:$E$40,Override!$B$11:$B$40,$B235,Override!$D$11:$D$40,15)-SUMIFS(Override!$E$11:$E$40,Override!$B$11:$B$40,$B235,Override!$D$11:$D$40,15,Override!$C$11:$C$40,"AS51"),Override!$Q$267)/MXAU!$B$3,"")))</f>
        <v/>
      </c>
      <c r="U235" s="140">
        <f>IF(U$226="","",IF($B235="","",IFERROR($C235*$D235*IF((Override!$C$4="ON")*(COUNTIFS(Override!$B$11:$B$40,$B235,Override!$D$11:$D$40,16,Override!$E$11:$E$40,"&gt;=0")-COUNTIFS(Override!$B$11:$B$40,$B235,Override!$D$11:$D$40,16,Override!$E$11:$E$40,"&gt;=0",Override!$C$11:$C$40,"AS51"))&gt;0,SUMIFS(Override!$E$11:$E$40,Override!$B$11:$B$40,$B235,Override!$D$11:$D$40,16)-SUMIFS(Override!$E$11:$E$40,Override!$B$11:$B$40,$B235,Override!$D$11:$D$40,16,Override!$C$11:$C$40,"AS51"),Override!$R$267)/MXAU!$B$3,"")))</f>
        <v/>
      </c>
      <c r="W235" s="140">
        <f>IF(W$226="","",IF($B235="","",IFERROR(F235*$E235/100,"")))</f>
        <v/>
      </c>
      <c r="X235" s="140">
        <f>IF(X$226="","",IF($B235="","",IFERROR(G235*$E235/100,"")))</f>
        <v/>
      </c>
      <c r="Y235" s="140">
        <f>IF(Y$226="","",IF($B235="","",IFERROR(H235*$E235/100,"")))</f>
        <v/>
      </c>
      <c r="Z235" s="140">
        <f>IF(Z$226="","",IF($B235="","",IFERROR(I235*$E235/100,"")))</f>
        <v/>
      </c>
      <c r="AA235" s="140">
        <f>IF(AA$226="","",IF($B235="","",IFERROR(J235*$E235/100,"")))</f>
        <v/>
      </c>
      <c r="AB235" s="140">
        <f>IF(AB$226="","",IF($B235="","",IFERROR(K235*$E235/100,"")))</f>
        <v/>
      </c>
      <c r="AC235" s="140">
        <f>IF(AC$226="","",IF($B235="","",IFERROR(L235*$E235/100,"")))</f>
        <v/>
      </c>
      <c r="AD235" s="140">
        <f>IF(AD$226="","",IF($B235="","",IFERROR(M235*$E235/100,"")))</f>
        <v/>
      </c>
      <c r="AE235" s="140">
        <f>IF(AE$226="","",IF($B235="","",IFERROR(N235*$E235/100,"")))</f>
        <v/>
      </c>
      <c r="AF235" s="140">
        <f>IF(AF$226="","",IF($B235="","",IFERROR(O235*$E235/100,"")))</f>
        <v/>
      </c>
      <c r="AG235" s="140">
        <f>IF(AG$226="","",IF($B235="","",IFERROR(P235*$E235/100,"")))</f>
        <v/>
      </c>
      <c r="AH235" s="140">
        <f>IF(AH$226="","",IF($B235="","",IFERROR(Q235*$E235/100,"")))</f>
        <v/>
      </c>
      <c r="AI235" s="140">
        <f>IF(AI$226="","",IF($B235="","",IFERROR(R235*$E235/100,"")))</f>
        <v/>
      </c>
      <c r="AJ235" s="140">
        <f>IF(AJ$226="","",IF($B235="","",IFERROR(S235*$E235/100,"")))</f>
        <v/>
      </c>
      <c r="AK235" s="140">
        <f>IF(AK$226="","",IF($B235="","",IFERROR(T235*$E235/100,"")))</f>
        <v/>
      </c>
      <c r="AL235" s="140">
        <f>IF(AL$226="","",IF($B235="","",IFERROR(U235*$E235/100,"")))</f>
        <v/>
      </c>
      <c r="AN235" s="140">
        <f>IF($B235="","",SUMIF($F$226:$U$226,"&lt;="&amp;Sector!$E$51,$F235:$U235))</f>
        <v/>
      </c>
      <c r="AO235" s="140">
        <f>IF($B235="","",SUMIF($W$226:$AL$226,"&lt;="&amp;Sector!$E$51,$W235:$AL235))</f>
        <v/>
      </c>
    </row>
    <row r="236">
      <c r="B236" s="5">
        <f>IF(MXAU!$C$13="","",MXAU!$C$13)</f>
        <v/>
      </c>
      <c r="C236" s="90">
        <f>IF(MXAU!$B$13="","",MXAU!$B$13)</f>
        <v/>
      </c>
      <c r="D236" s="138">
        <f>IFERROR(MXAU!$Q$13,1)</f>
        <v/>
      </c>
      <c r="E236" s="139">
        <f>IF($B236="","",IF(ISNUMBER(MXAU!$I$13),MXAU!$I$13,'Index Summary'!$C$7))</f>
        <v/>
      </c>
      <c r="F236" s="140">
        <f>IF(F$226="","",IF($B236="","",IFERROR($C236*$D236*IF((Override!$C$4="ON")*(COUNTIFS(Override!$B$11:$B$40,$B236,Override!$D$11:$D$40,1,Override!$E$11:$E$40,"&gt;=0")-COUNTIFS(Override!$B$11:$B$40,$B236,Override!$D$11:$D$40,1,Override!$E$11:$E$40,"&gt;=0",Override!$C$11:$C$40,"AS51"))&gt;0,SUMIFS(Override!$E$11:$E$40,Override!$B$11:$B$40,$B236,Override!$D$11:$D$40,1)-SUMIFS(Override!$E$11:$E$40,Override!$B$11:$B$40,$B236,Override!$D$11:$D$40,1,Override!$C$11:$C$40,"AS51"),Override!$C$268)/MXAU!$B$3,"")))</f>
        <v/>
      </c>
      <c r="G236" s="140">
        <f>IF(G$226="","",IF($B236="","",IFERROR($C236*$D236*IF((Override!$C$4="ON")*(COUNTIFS(Override!$B$11:$B$40,$B236,Override!$D$11:$D$40,2,Override!$E$11:$E$40,"&gt;=0")-COUNTIFS(Override!$B$11:$B$40,$B236,Override!$D$11:$D$40,2,Override!$E$11:$E$40,"&gt;=0",Override!$C$11:$C$40,"AS51"))&gt;0,SUMIFS(Override!$E$11:$E$40,Override!$B$11:$B$40,$B236,Override!$D$11:$D$40,2)-SUMIFS(Override!$E$11:$E$40,Override!$B$11:$B$40,$B236,Override!$D$11:$D$40,2,Override!$C$11:$C$40,"AS51"),Override!$D$268)/MXAU!$B$3,"")))</f>
        <v/>
      </c>
      <c r="H236" s="140">
        <f>IF(H$226="","",IF($B236="","",IFERROR($C236*$D236*IF((Override!$C$4="ON")*(COUNTIFS(Override!$B$11:$B$40,$B236,Override!$D$11:$D$40,3,Override!$E$11:$E$40,"&gt;=0")-COUNTIFS(Override!$B$11:$B$40,$B236,Override!$D$11:$D$40,3,Override!$E$11:$E$40,"&gt;=0",Override!$C$11:$C$40,"AS51"))&gt;0,SUMIFS(Override!$E$11:$E$40,Override!$B$11:$B$40,$B236,Override!$D$11:$D$40,3)-SUMIFS(Override!$E$11:$E$40,Override!$B$11:$B$40,$B236,Override!$D$11:$D$40,3,Override!$C$11:$C$40,"AS51"),Override!$E$268)/MXAU!$B$3,"")))</f>
        <v/>
      </c>
      <c r="I236" s="140">
        <f>IF(I$226="","",IF($B236="","",IFERROR($C236*$D236*IF((Override!$C$4="ON")*(COUNTIFS(Override!$B$11:$B$40,$B236,Override!$D$11:$D$40,4,Override!$E$11:$E$40,"&gt;=0")-COUNTIFS(Override!$B$11:$B$40,$B236,Override!$D$11:$D$40,4,Override!$E$11:$E$40,"&gt;=0",Override!$C$11:$C$40,"AS51"))&gt;0,SUMIFS(Override!$E$11:$E$40,Override!$B$11:$B$40,$B236,Override!$D$11:$D$40,4)-SUMIFS(Override!$E$11:$E$40,Override!$B$11:$B$40,$B236,Override!$D$11:$D$40,4,Override!$C$11:$C$40,"AS51"),Override!$F$268)/MXAU!$B$3,"")))</f>
        <v/>
      </c>
      <c r="J236" s="140">
        <f>IF(J$226="","",IF($B236="","",IFERROR($C236*$D236*IF((Override!$C$4="ON")*(COUNTIFS(Override!$B$11:$B$40,$B236,Override!$D$11:$D$40,5,Override!$E$11:$E$40,"&gt;=0")-COUNTIFS(Override!$B$11:$B$40,$B236,Override!$D$11:$D$40,5,Override!$E$11:$E$40,"&gt;=0",Override!$C$11:$C$40,"AS51"))&gt;0,SUMIFS(Override!$E$11:$E$40,Override!$B$11:$B$40,$B236,Override!$D$11:$D$40,5)-SUMIFS(Override!$E$11:$E$40,Override!$B$11:$B$40,$B236,Override!$D$11:$D$40,5,Override!$C$11:$C$40,"AS51"),Override!$G$268)/MXAU!$B$3,"")))</f>
        <v/>
      </c>
      <c r="K236" s="140">
        <f>IF(K$226="","",IF($B236="","",IFERROR($C236*$D236*IF((Override!$C$4="ON")*(COUNTIFS(Override!$B$11:$B$40,$B236,Override!$D$11:$D$40,6,Override!$E$11:$E$40,"&gt;=0")-COUNTIFS(Override!$B$11:$B$40,$B236,Override!$D$11:$D$40,6,Override!$E$11:$E$40,"&gt;=0",Override!$C$11:$C$40,"AS51"))&gt;0,SUMIFS(Override!$E$11:$E$40,Override!$B$11:$B$40,$B236,Override!$D$11:$D$40,6)-SUMIFS(Override!$E$11:$E$40,Override!$B$11:$B$40,$B236,Override!$D$11:$D$40,6,Override!$C$11:$C$40,"AS51"),Override!$H$268)/MXAU!$B$3,"")))</f>
        <v/>
      </c>
      <c r="L236" s="140">
        <f>IF(L$226="","",IF($B236="","",IFERROR($C236*$D236*IF((Override!$C$4="ON")*(COUNTIFS(Override!$B$11:$B$40,$B236,Override!$D$11:$D$40,7,Override!$E$11:$E$40,"&gt;=0")-COUNTIFS(Override!$B$11:$B$40,$B236,Override!$D$11:$D$40,7,Override!$E$11:$E$40,"&gt;=0",Override!$C$11:$C$40,"AS51"))&gt;0,SUMIFS(Override!$E$11:$E$40,Override!$B$11:$B$40,$B236,Override!$D$11:$D$40,7)-SUMIFS(Override!$E$11:$E$40,Override!$B$11:$B$40,$B236,Override!$D$11:$D$40,7,Override!$C$11:$C$40,"AS51"),Override!$I$268)/MXAU!$B$3,"")))</f>
        <v/>
      </c>
      <c r="M236" s="140">
        <f>IF(M$226="","",IF($B236="","",IFERROR($C236*$D236*IF((Override!$C$4="ON")*(COUNTIFS(Override!$B$11:$B$40,$B236,Override!$D$11:$D$40,8,Override!$E$11:$E$40,"&gt;=0")-COUNTIFS(Override!$B$11:$B$40,$B236,Override!$D$11:$D$40,8,Override!$E$11:$E$40,"&gt;=0",Override!$C$11:$C$40,"AS51"))&gt;0,SUMIFS(Override!$E$11:$E$40,Override!$B$11:$B$40,$B236,Override!$D$11:$D$40,8)-SUMIFS(Override!$E$11:$E$40,Override!$B$11:$B$40,$B236,Override!$D$11:$D$40,8,Override!$C$11:$C$40,"AS51"),Override!$J$268)/MXAU!$B$3,"")))</f>
        <v/>
      </c>
      <c r="N236" s="140">
        <f>IF(N$226="","",IF($B236="","",IFERROR($C236*$D236*IF((Override!$C$4="ON")*(COUNTIFS(Override!$B$11:$B$40,$B236,Override!$D$11:$D$40,9,Override!$E$11:$E$40,"&gt;=0")-COUNTIFS(Override!$B$11:$B$40,$B236,Override!$D$11:$D$40,9,Override!$E$11:$E$40,"&gt;=0",Override!$C$11:$C$40,"AS51"))&gt;0,SUMIFS(Override!$E$11:$E$40,Override!$B$11:$B$40,$B236,Override!$D$11:$D$40,9)-SUMIFS(Override!$E$11:$E$40,Override!$B$11:$B$40,$B236,Override!$D$11:$D$40,9,Override!$C$11:$C$40,"AS51"),Override!$K$268)/MXAU!$B$3,"")))</f>
        <v/>
      </c>
      <c r="O236" s="140">
        <f>IF(O$226="","",IF($B236="","",IFERROR($C236*$D236*IF((Override!$C$4="ON")*(COUNTIFS(Override!$B$11:$B$40,$B236,Override!$D$11:$D$40,10,Override!$E$11:$E$40,"&gt;=0")-COUNTIFS(Override!$B$11:$B$40,$B236,Override!$D$11:$D$40,10,Override!$E$11:$E$40,"&gt;=0",Override!$C$11:$C$40,"AS51"))&gt;0,SUMIFS(Override!$E$11:$E$40,Override!$B$11:$B$40,$B236,Override!$D$11:$D$40,10)-SUMIFS(Override!$E$11:$E$40,Override!$B$11:$B$40,$B236,Override!$D$11:$D$40,10,Override!$C$11:$C$40,"AS51"),Override!$L$268)/MXAU!$B$3,"")))</f>
        <v/>
      </c>
      <c r="P236" s="140">
        <f>IF(P$226="","",IF($B236="","",IFERROR($C236*$D236*IF((Override!$C$4="ON")*(COUNTIFS(Override!$B$11:$B$40,$B236,Override!$D$11:$D$40,11,Override!$E$11:$E$40,"&gt;=0")-COUNTIFS(Override!$B$11:$B$40,$B236,Override!$D$11:$D$40,11,Override!$E$11:$E$40,"&gt;=0",Override!$C$11:$C$40,"AS51"))&gt;0,SUMIFS(Override!$E$11:$E$40,Override!$B$11:$B$40,$B236,Override!$D$11:$D$40,11)-SUMIFS(Override!$E$11:$E$40,Override!$B$11:$B$40,$B236,Override!$D$11:$D$40,11,Override!$C$11:$C$40,"AS51"),Override!$M$268)/MXAU!$B$3,"")))</f>
        <v/>
      </c>
      <c r="Q236" s="140">
        <f>IF(Q$226="","",IF($B236="","",IFERROR($C236*$D236*IF((Override!$C$4="ON")*(COUNTIFS(Override!$B$11:$B$40,$B236,Override!$D$11:$D$40,12,Override!$E$11:$E$40,"&gt;=0")-COUNTIFS(Override!$B$11:$B$40,$B236,Override!$D$11:$D$40,12,Override!$E$11:$E$40,"&gt;=0",Override!$C$11:$C$40,"AS51"))&gt;0,SUMIFS(Override!$E$11:$E$40,Override!$B$11:$B$40,$B236,Override!$D$11:$D$40,12)-SUMIFS(Override!$E$11:$E$40,Override!$B$11:$B$40,$B236,Override!$D$11:$D$40,12,Override!$C$11:$C$40,"AS51"),Override!$N$268)/MXAU!$B$3,"")))</f>
        <v/>
      </c>
      <c r="R236" s="140">
        <f>IF(R$226="","",IF($B236="","",IFERROR($C236*$D236*IF((Override!$C$4="ON")*(COUNTIFS(Override!$B$11:$B$40,$B236,Override!$D$11:$D$40,13,Override!$E$11:$E$40,"&gt;=0")-COUNTIFS(Override!$B$11:$B$40,$B236,Override!$D$11:$D$40,13,Override!$E$11:$E$40,"&gt;=0",Override!$C$11:$C$40,"AS51"))&gt;0,SUMIFS(Override!$E$11:$E$40,Override!$B$11:$B$40,$B236,Override!$D$11:$D$40,13)-SUMIFS(Override!$E$11:$E$40,Override!$B$11:$B$40,$B236,Override!$D$11:$D$40,13,Override!$C$11:$C$40,"AS51"),Override!$O$268)/MXAU!$B$3,"")))</f>
        <v/>
      </c>
      <c r="S236" s="140">
        <f>IF(S$226="","",IF($B236="","",IFERROR($C236*$D236*IF((Override!$C$4="ON")*(COUNTIFS(Override!$B$11:$B$40,$B236,Override!$D$11:$D$40,14,Override!$E$11:$E$40,"&gt;=0")-COUNTIFS(Override!$B$11:$B$40,$B236,Override!$D$11:$D$40,14,Override!$E$11:$E$40,"&gt;=0",Override!$C$11:$C$40,"AS51"))&gt;0,SUMIFS(Override!$E$11:$E$40,Override!$B$11:$B$40,$B236,Override!$D$11:$D$40,14)-SUMIFS(Override!$E$11:$E$40,Override!$B$11:$B$40,$B236,Override!$D$11:$D$40,14,Override!$C$11:$C$40,"AS51"),Override!$P$268)/MXAU!$B$3,"")))</f>
        <v/>
      </c>
      <c r="T236" s="140">
        <f>IF(T$226="","",IF($B236="","",IFERROR($C236*$D236*IF((Override!$C$4="ON")*(COUNTIFS(Override!$B$11:$B$40,$B236,Override!$D$11:$D$40,15,Override!$E$11:$E$40,"&gt;=0")-COUNTIFS(Override!$B$11:$B$40,$B236,Override!$D$11:$D$40,15,Override!$E$11:$E$40,"&gt;=0",Override!$C$11:$C$40,"AS51"))&gt;0,SUMIFS(Override!$E$11:$E$40,Override!$B$11:$B$40,$B236,Override!$D$11:$D$40,15)-SUMIFS(Override!$E$11:$E$40,Override!$B$11:$B$40,$B236,Override!$D$11:$D$40,15,Override!$C$11:$C$40,"AS51"),Override!$Q$268)/MXAU!$B$3,"")))</f>
        <v/>
      </c>
      <c r="U236" s="140">
        <f>IF(U$226="","",IF($B236="","",IFERROR($C236*$D236*IF((Override!$C$4="ON")*(COUNTIFS(Override!$B$11:$B$40,$B236,Override!$D$11:$D$40,16,Override!$E$11:$E$40,"&gt;=0")-COUNTIFS(Override!$B$11:$B$40,$B236,Override!$D$11:$D$40,16,Override!$E$11:$E$40,"&gt;=0",Override!$C$11:$C$40,"AS51"))&gt;0,SUMIFS(Override!$E$11:$E$40,Override!$B$11:$B$40,$B236,Override!$D$11:$D$40,16)-SUMIFS(Override!$E$11:$E$40,Override!$B$11:$B$40,$B236,Override!$D$11:$D$40,16,Override!$C$11:$C$40,"AS51"),Override!$R$268)/MXAU!$B$3,"")))</f>
        <v/>
      </c>
      <c r="W236" s="140">
        <f>IF(W$226="","",IF($B236="","",IFERROR(F236*$E236/100,"")))</f>
        <v/>
      </c>
      <c r="X236" s="140">
        <f>IF(X$226="","",IF($B236="","",IFERROR(G236*$E236/100,"")))</f>
        <v/>
      </c>
      <c r="Y236" s="140">
        <f>IF(Y$226="","",IF($B236="","",IFERROR(H236*$E236/100,"")))</f>
        <v/>
      </c>
      <c r="Z236" s="140">
        <f>IF(Z$226="","",IF($B236="","",IFERROR(I236*$E236/100,"")))</f>
        <v/>
      </c>
      <c r="AA236" s="140">
        <f>IF(AA$226="","",IF($B236="","",IFERROR(J236*$E236/100,"")))</f>
        <v/>
      </c>
      <c r="AB236" s="140">
        <f>IF(AB$226="","",IF($B236="","",IFERROR(K236*$E236/100,"")))</f>
        <v/>
      </c>
      <c r="AC236" s="140">
        <f>IF(AC$226="","",IF($B236="","",IFERROR(L236*$E236/100,"")))</f>
        <v/>
      </c>
      <c r="AD236" s="140">
        <f>IF(AD$226="","",IF($B236="","",IFERROR(M236*$E236/100,"")))</f>
        <v/>
      </c>
      <c r="AE236" s="140">
        <f>IF(AE$226="","",IF($B236="","",IFERROR(N236*$E236/100,"")))</f>
        <v/>
      </c>
      <c r="AF236" s="140">
        <f>IF(AF$226="","",IF($B236="","",IFERROR(O236*$E236/100,"")))</f>
        <v/>
      </c>
      <c r="AG236" s="140">
        <f>IF(AG$226="","",IF($B236="","",IFERROR(P236*$E236/100,"")))</f>
        <v/>
      </c>
      <c r="AH236" s="140">
        <f>IF(AH$226="","",IF($B236="","",IFERROR(Q236*$E236/100,"")))</f>
        <v/>
      </c>
      <c r="AI236" s="140">
        <f>IF(AI$226="","",IF($B236="","",IFERROR(R236*$E236/100,"")))</f>
        <v/>
      </c>
      <c r="AJ236" s="140">
        <f>IF(AJ$226="","",IF($B236="","",IFERROR(S236*$E236/100,"")))</f>
        <v/>
      </c>
      <c r="AK236" s="140">
        <f>IF(AK$226="","",IF($B236="","",IFERROR(T236*$E236/100,"")))</f>
        <v/>
      </c>
      <c r="AL236" s="140">
        <f>IF(AL$226="","",IF($B236="","",IFERROR(U236*$E236/100,"")))</f>
        <v/>
      </c>
      <c r="AN236" s="140">
        <f>IF($B236="","",SUMIF($F$226:$U$226,"&lt;="&amp;Sector!$E$51,$F236:$U236))</f>
        <v/>
      </c>
      <c r="AO236" s="140">
        <f>IF($B236="","",SUMIF($W$226:$AL$226,"&lt;="&amp;Sector!$E$51,$W236:$AL236))</f>
        <v/>
      </c>
    </row>
    <row r="237">
      <c r="B237" s="5">
        <f>IF(MXAU!$C$14="","",MXAU!$C$14)</f>
        <v/>
      </c>
      <c r="C237" s="90">
        <f>IF(MXAU!$B$14="","",MXAU!$B$14)</f>
        <v/>
      </c>
      <c r="D237" s="138">
        <f>IFERROR(MXAU!$Q$14,1)</f>
        <v/>
      </c>
      <c r="E237" s="139">
        <f>IF($B237="","",IF(ISNUMBER(MXAU!$I$14),MXAU!$I$14,'Index Summary'!$C$7))</f>
        <v/>
      </c>
      <c r="F237" s="140">
        <f>IF(F$226="","",IF($B237="","",IFERROR($C237*$D237*IF((Override!$C$4="ON")*(COUNTIFS(Override!$B$11:$B$40,$B237,Override!$D$11:$D$40,1,Override!$E$11:$E$40,"&gt;=0")-COUNTIFS(Override!$B$11:$B$40,$B237,Override!$D$11:$D$40,1,Override!$E$11:$E$40,"&gt;=0",Override!$C$11:$C$40,"AS51"))&gt;0,SUMIFS(Override!$E$11:$E$40,Override!$B$11:$B$40,$B237,Override!$D$11:$D$40,1)-SUMIFS(Override!$E$11:$E$40,Override!$B$11:$B$40,$B237,Override!$D$11:$D$40,1,Override!$C$11:$C$40,"AS51"),Override!$C$269)/MXAU!$B$3,"")))</f>
        <v/>
      </c>
      <c r="G237" s="140">
        <f>IF(G$226="","",IF($B237="","",IFERROR($C237*$D237*IF((Override!$C$4="ON")*(COUNTIFS(Override!$B$11:$B$40,$B237,Override!$D$11:$D$40,2,Override!$E$11:$E$40,"&gt;=0")-COUNTIFS(Override!$B$11:$B$40,$B237,Override!$D$11:$D$40,2,Override!$E$11:$E$40,"&gt;=0",Override!$C$11:$C$40,"AS51"))&gt;0,SUMIFS(Override!$E$11:$E$40,Override!$B$11:$B$40,$B237,Override!$D$11:$D$40,2)-SUMIFS(Override!$E$11:$E$40,Override!$B$11:$B$40,$B237,Override!$D$11:$D$40,2,Override!$C$11:$C$40,"AS51"),Override!$D$269)/MXAU!$B$3,"")))</f>
        <v/>
      </c>
      <c r="H237" s="140">
        <f>IF(H$226="","",IF($B237="","",IFERROR($C237*$D237*IF((Override!$C$4="ON")*(COUNTIFS(Override!$B$11:$B$40,$B237,Override!$D$11:$D$40,3,Override!$E$11:$E$40,"&gt;=0")-COUNTIFS(Override!$B$11:$B$40,$B237,Override!$D$11:$D$40,3,Override!$E$11:$E$40,"&gt;=0",Override!$C$11:$C$40,"AS51"))&gt;0,SUMIFS(Override!$E$11:$E$40,Override!$B$11:$B$40,$B237,Override!$D$11:$D$40,3)-SUMIFS(Override!$E$11:$E$40,Override!$B$11:$B$40,$B237,Override!$D$11:$D$40,3,Override!$C$11:$C$40,"AS51"),Override!$E$269)/MXAU!$B$3,"")))</f>
        <v/>
      </c>
      <c r="I237" s="140">
        <f>IF(I$226="","",IF($B237="","",IFERROR($C237*$D237*IF((Override!$C$4="ON")*(COUNTIFS(Override!$B$11:$B$40,$B237,Override!$D$11:$D$40,4,Override!$E$11:$E$40,"&gt;=0")-COUNTIFS(Override!$B$11:$B$40,$B237,Override!$D$11:$D$40,4,Override!$E$11:$E$40,"&gt;=0",Override!$C$11:$C$40,"AS51"))&gt;0,SUMIFS(Override!$E$11:$E$40,Override!$B$11:$B$40,$B237,Override!$D$11:$D$40,4)-SUMIFS(Override!$E$11:$E$40,Override!$B$11:$B$40,$B237,Override!$D$11:$D$40,4,Override!$C$11:$C$40,"AS51"),Override!$F$269)/MXAU!$B$3,"")))</f>
        <v/>
      </c>
      <c r="J237" s="140">
        <f>IF(J$226="","",IF($B237="","",IFERROR($C237*$D237*IF((Override!$C$4="ON")*(COUNTIFS(Override!$B$11:$B$40,$B237,Override!$D$11:$D$40,5,Override!$E$11:$E$40,"&gt;=0")-COUNTIFS(Override!$B$11:$B$40,$B237,Override!$D$11:$D$40,5,Override!$E$11:$E$40,"&gt;=0",Override!$C$11:$C$40,"AS51"))&gt;0,SUMIFS(Override!$E$11:$E$40,Override!$B$11:$B$40,$B237,Override!$D$11:$D$40,5)-SUMIFS(Override!$E$11:$E$40,Override!$B$11:$B$40,$B237,Override!$D$11:$D$40,5,Override!$C$11:$C$40,"AS51"),Override!$G$269)/MXAU!$B$3,"")))</f>
        <v/>
      </c>
      <c r="K237" s="140">
        <f>IF(K$226="","",IF($B237="","",IFERROR($C237*$D237*IF((Override!$C$4="ON")*(COUNTIFS(Override!$B$11:$B$40,$B237,Override!$D$11:$D$40,6,Override!$E$11:$E$40,"&gt;=0")-COUNTIFS(Override!$B$11:$B$40,$B237,Override!$D$11:$D$40,6,Override!$E$11:$E$40,"&gt;=0",Override!$C$11:$C$40,"AS51"))&gt;0,SUMIFS(Override!$E$11:$E$40,Override!$B$11:$B$40,$B237,Override!$D$11:$D$40,6)-SUMIFS(Override!$E$11:$E$40,Override!$B$11:$B$40,$B237,Override!$D$11:$D$40,6,Override!$C$11:$C$40,"AS51"),Override!$H$269)/MXAU!$B$3,"")))</f>
        <v/>
      </c>
      <c r="L237" s="140">
        <f>IF(L$226="","",IF($B237="","",IFERROR($C237*$D237*IF((Override!$C$4="ON")*(COUNTIFS(Override!$B$11:$B$40,$B237,Override!$D$11:$D$40,7,Override!$E$11:$E$40,"&gt;=0")-COUNTIFS(Override!$B$11:$B$40,$B237,Override!$D$11:$D$40,7,Override!$E$11:$E$40,"&gt;=0",Override!$C$11:$C$40,"AS51"))&gt;0,SUMIFS(Override!$E$11:$E$40,Override!$B$11:$B$40,$B237,Override!$D$11:$D$40,7)-SUMIFS(Override!$E$11:$E$40,Override!$B$11:$B$40,$B237,Override!$D$11:$D$40,7,Override!$C$11:$C$40,"AS51"),Override!$I$269)/MXAU!$B$3,"")))</f>
        <v/>
      </c>
      <c r="M237" s="140">
        <f>IF(M$226="","",IF($B237="","",IFERROR($C237*$D237*IF((Override!$C$4="ON")*(COUNTIFS(Override!$B$11:$B$40,$B237,Override!$D$11:$D$40,8,Override!$E$11:$E$40,"&gt;=0")-COUNTIFS(Override!$B$11:$B$40,$B237,Override!$D$11:$D$40,8,Override!$E$11:$E$40,"&gt;=0",Override!$C$11:$C$40,"AS51"))&gt;0,SUMIFS(Override!$E$11:$E$40,Override!$B$11:$B$40,$B237,Override!$D$11:$D$40,8)-SUMIFS(Override!$E$11:$E$40,Override!$B$11:$B$40,$B237,Override!$D$11:$D$40,8,Override!$C$11:$C$40,"AS51"),Override!$J$269)/MXAU!$B$3,"")))</f>
        <v/>
      </c>
      <c r="N237" s="140">
        <f>IF(N$226="","",IF($B237="","",IFERROR($C237*$D237*IF((Override!$C$4="ON")*(COUNTIFS(Override!$B$11:$B$40,$B237,Override!$D$11:$D$40,9,Override!$E$11:$E$40,"&gt;=0")-COUNTIFS(Override!$B$11:$B$40,$B237,Override!$D$11:$D$40,9,Override!$E$11:$E$40,"&gt;=0",Override!$C$11:$C$40,"AS51"))&gt;0,SUMIFS(Override!$E$11:$E$40,Override!$B$11:$B$40,$B237,Override!$D$11:$D$40,9)-SUMIFS(Override!$E$11:$E$40,Override!$B$11:$B$40,$B237,Override!$D$11:$D$40,9,Override!$C$11:$C$40,"AS51"),Override!$K$269)/MXAU!$B$3,"")))</f>
        <v/>
      </c>
      <c r="O237" s="140">
        <f>IF(O$226="","",IF($B237="","",IFERROR($C237*$D237*IF((Override!$C$4="ON")*(COUNTIFS(Override!$B$11:$B$40,$B237,Override!$D$11:$D$40,10,Override!$E$11:$E$40,"&gt;=0")-COUNTIFS(Override!$B$11:$B$40,$B237,Override!$D$11:$D$40,10,Override!$E$11:$E$40,"&gt;=0",Override!$C$11:$C$40,"AS51"))&gt;0,SUMIFS(Override!$E$11:$E$40,Override!$B$11:$B$40,$B237,Override!$D$11:$D$40,10)-SUMIFS(Override!$E$11:$E$40,Override!$B$11:$B$40,$B237,Override!$D$11:$D$40,10,Override!$C$11:$C$40,"AS51"),Override!$L$269)/MXAU!$B$3,"")))</f>
        <v/>
      </c>
      <c r="P237" s="140">
        <f>IF(P$226="","",IF($B237="","",IFERROR($C237*$D237*IF((Override!$C$4="ON")*(COUNTIFS(Override!$B$11:$B$40,$B237,Override!$D$11:$D$40,11,Override!$E$11:$E$40,"&gt;=0")-COUNTIFS(Override!$B$11:$B$40,$B237,Override!$D$11:$D$40,11,Override!$E$11:$E$40,"&gt;=0",Override!$C$11:$C$40,"AS51"))&gt;0,SUMIFS(Override!$E$11:$E$40,Override!$B$11:$B$40,$B237,Override!$D$11:$D$40,11)-SUMIFS(Override!$E$11:$E$40,Override!$B$11:$B$40,$B237,Override!$D$11:$D$40,11,Override!$C$11:$C$40,"AS51"),Override!$M$269)/MXAU!$B$3,"")))</f>
        <v/>
      </c>
      <c r="Q237" s="140">
        <f>IF(Q$226="","",IF($B237="","",IFERROR($C237*$D237*IF((Override!$C$4="ON")*(COUNTIFS(Override!$B$11:$B$40,$B237,Override!$D$11:$D$40,12,Override!$E$11:$E$40,"&gt;=0")-COUNTIFS(Override!$B$11:$B$40,$B237,Override!$D$11:$D$40,12,Override!$E$11:$E$40,"&gt;=0",Override!$C$11:$C$40,"AS51"))&gt;0,SUMIFS(Override!$E$11:$E$40,Override!$B$11:$B$40,$B237,Override!$D$11:$D$40,12)-SUMIFS(Override!$E$11:$E$40,Override!$B$11:$B$40,$B237,Override!$D$11:$D$40,12,Override!$C$11:$C$40,"AS51"),Override!$N$269)/MXAU!$B$3,"")))</f>
        <v/>
      </c>
      <c r="R237" s="140">
        <f>IF(R$226="","",IF($B237="","",IFERROR($C237*$D237*IF((Override!$C$4="ON")*(COUNTIFS(Override!$B$11:$B$40,$B237,Override!$D$11:$D$40,13,Override!$E$11:$E$40,"&gt;=0")-COUNTIFS(Override!$B$11:$B$40,$B237,Override!$D$11:$D$40,13,Override!$E$11:$E$40,"&gt;=0",Override!$C$11:$C$40,"AS51"))&gt;0,SUMIFS(Override!$E$11:$E$40,Override!$B$11:$B$40,$B237,Override!$D$11:$D$40,13)-SUMIFS(Override!$E$11:$E$40,Override!$B$11:$B$40,$B237,Override!$D$11:$D$40,13,Override!$C$11:$C$40,"AS51"),Override!$O$269)/MXAU!$B$3,"")))</f>
        <v/>
      </c>
      <c r="S237" s="140">
        <f>IF(S$226="","",IF($B237="","",IFERROR($C237*$D237*IF((Override!$C$4="ON")*(COUNTIFS(Override!$B$11:$B$40,$B237,Override!$D$11:$D$40,14,Override!$E$11:$E$40,"&gt;=0")-COUNTIFS(Override!$B$11:$B$40,$B237,Override!$D$11:$D$40,14,Override!$E$11:$E$40,"&gt;=0",Override!$C$11:$C$40,"AS51"))&gt;0,SUMIFS(Override!$E$11:$E$40,Override!$B$11:$B$40,$B237,Override!$D$11:$D$40,14)-SUMIFS(Override!$E$11:$E$40,Override!$B$11:$B$40,$B237,Override!$D$11:$D$40,14,Override!$C$11:$C$40,"AS51"),Override!$P$269)/MXAU!$B$3,"")))</f>
        <v/>
      </c>
      <c r="T237" s="140">
        <f>IF(T$226="","",IF($B237="","",IFERROR($C237*$D237*IF((Override!$C$4="ON")*(COUNTIFS(Override!$B$11:$B$40,$B237,Override!$D$11:$D$40,15,Override!$E$11:$E$40,"&gt;=0")-COUNTIFS(Override!$B$11:$B$40,$B237,Override!$D$11:$D$40,15,Override!$E$11:$E$40,"&gt;=0",Override!$C$11:$C$40,"AS51"))&gt;0,SUMIFS(Override!$E$11:$E$40,Override!$B$11:$B$40,$B237,Override!$D$11:$D$40,15)-SUMIFS(Override!$E$11:$E$40,Override!$B$11:$B$40,$B237,Override!$D$11:$D$40,15,Override!$C$11:$C$40,"AS51"),Override!$Q$269)/MXAU!$B$3,"")))</f>
        <v/>
      </c>
      <c r="U237" s="140">
        <f>IF(U$226="","",IF($B237="","",IFERROR($C237*$D237*IF((Override!$C$4="ON")*(COUNTIFS(Override!$B$11:$B$40,$B237,Override!$D$11:$D$40,16,Override!$E$11:$E$40,"&gt;=0")-COUNTIFS(Override!$B$11:$B$40,$B237,Override!$D$11:$D$40,16,Override!$E$11:$E$40,"&gt;=0",Override!$C$11:$C$40,"AS51"))&gt;0,SUMIFS(Override!$E$11:$E$40,Override!$B$11:$B$40,$B237,Override!$D$11:$D$40,16)-SUMIFS(Override!$E$11:$E$40,Override!$B$11:$B$40,$B237,Override!$D$11:$D$40,16,Override!$C$11:$C$40,"AS51"),Override!$R$269)/MXAU!$B$3,"")))</f>
        <v/>
      </c>
      <c r="W237" s="140">
        <f>IF(W$226="","",IF($B237="","",IFERROR(F237*$E237/100,"")))</f>
        <v/>
      </c>
      <c r="X237" s="140">
        <f>IF(X$226="","",IF($B237="","",IFERROR(G237*$E237/100,"")))</f>
        <v/>
      </c>
      <c r="Y237" s="140">
        <f>IF(Y$226="","",IF($B237="","",IFERROR(H237*$E237/100,"")))</f>
        <v/>
      </c>
      <c r="Z237" s="140">
        <f>IF(Z$226="","",IF($B237="","",IFERROR(I237*$E237/100,"")))</f>
        <v/>
      </c>
      <c r="AA237" s="140">
        <f>IF(AA$226="","",IF($B237="","",IFERROR(J237*$E237/100,"")))</f>
        <v/>
      </c>
      <c r="AB237" s="140">
        <f>IF(AB$226="","",IF($B237="","",IFERROR(K237*$E237/100,"")))</f>
        <v/>
      </c>
      <c r="AC237" s="140">
        <f>IF(AC$226="","",IF($B237="","",IFERROR(L237*$E237/100,"")))</f>
        <v/>
      </c>
      <c r="AD237" s="140">
        <f>IF(AD$226="","",IF($B237="","",IFERROR(M237*$E237/100,"")))</f>
        <v/>
      </c>
      <c r="AE237" s="140">
        <f>IF(AE$226="","",IF($B237="","",IFERROR(N237*$E237/100,"")))</f>
        <v/>
      </c>
      <c r="AF237" s="140">
        <f>IF(AF$226="","",IF($B237="","",IFERROR(O237*$E237/100,"")))</f>
        <v/>
      </c>
      <c r="AG237" s="140">
        <f>IF(AG$226="","",IF($B237="","",IFERROR(P237*$E237/100,"")))</f>
        <v/>
      </c>
      <c r="AH237" s="140">
        <f>IF(AH$226="","",IF($B237="","",IFERROR(Q237*$E237/100,"")))</f>
        <v/>
      </c>
      <c r="AI237" s="140">
        <f>IF(AI$226="","",IF($B237="","",IFERROR(R237*$E237/100,"")))</f>
        <v/>
      </c>
      <c r="AJ237" s="140">
        <f>IF(AJ$226="","",IF($B237="","",IFERROR(S237*$E237/100,"")))</f>
        <v/>
      </c>
      <c r="AK237" s="140">
        <f>IF(AK$226="","",IF($B237="","",IFERROR(T237*$E237/100,"")))</f>
        <v/>
      </c>
      <c r="AL237" s="140">
        <f>IF(AL$226="","",IF($B237="","",IFERROR(U237*$E237/100,"")))</f>
        <v/>
      </c>
      <c r="AN237" s="140">
        <f>IF($B237="","",SUMIF($F$226:$U$226,"&lt;="&amp;Sector!$E$51,$F237:$U237))</f>
        <v/>
      </c>
      <c r="AO237" s="140">
        <f>IF($B237="","",SUMIF($W$226:$AL$226,"&lt;="&amp;Sector!$E$51,$W237:$AL237))</f>
        <v/>
      </c>
    </row>
    <row r="238">
      <c r="B238" s="5">
        <f>IF(MXAU!$C$15="","",MXAU!$C$15)</f>
        <v/>
      </c>
      <c r="C238" s="90">
        <f>IF(MXAU!$B$15="","",MXAU!$B$15)</f>
        <v/>
      </c>
      <c r="D238" s="138">
        <f>IFERROR(MXAU!$Q$15,1)</f>
        <v/>
      </c>
      <c r="E238" s="139">
        <f>IF($B238="","",IF(ISNUMBER(MXAU!$I$15),MXAU!$I$15,'Index Summary'!$C$7))</f>
        <v/>
      </c>
      <c r="F238" s="140">
        <f>IF(F$226="","",IF($B238="","",IFERROR($C238*$D238*IF((Override!$C$4="ON")*(COUNTIFS(Override!$B$11:$B$40,$B238,Override!$D$11:$D$40,1,Override!$E$11:$E$40,"&gt;=0")-COUNTIFS(Override!$B$11:$B$40,$B238,Override!$D$11:$D$40,1,Override!$E$11:$E$40,"&gt;=0",Override!$C$11:$C$40,"AS51"))&gt;0,SUMIFS(Override!$E$11:$E$40,Override!$B$11:$B$40,$B238,Override!$D$11:$D$40,1)-SUMIFS(Override!$E$11:$E$40,Override!$B$11:$B$40,$B238,Override!$D$11:$D$40,1,Override!$C$11:$C$40,"AS51"),Override!$C$270)/MXAU!$B$3,"")))</f>
        <v/>
      </c>
      <c r="G238" s="140">
        <f>IF(G$226="","",IF($B238="","",IFERROR($C238*$D238*IF((Override!$C$4="ON")*(COUNTIFS(Override!$B$11:$B$40,$B238,Override!$D$11:$D$40,2,Override!$E$11:$E$40,"&gt;=0")-COUNTIFS(Override!$B$11:$B$40,$B238,Override!$D$11:$D$40,2,Override!$E$11:$E$40,"&gt;=0",Override!$C$11:$C$40,"AS51"))&gt;0,SUMIFS(Override!$E$11:$E$40,Override!$B$11:$B$40,$B238,Override!$D$11:$D$40,2)-SUMIFS(Override!$E$11:$E$40,Override!$B$11:$B$40,$B238,Override!$D$11:$D$40,2,Override!$C$11:$C$40,"AS51"),Override!$D$270)/MXAU!$B$3,"")))</f>
        <v/>
      </c>
      <c r="H238" s="140">
        <f>IF(H$226="","",IF($B238="","",IFERROR($C238*$D238*IF((Override!$C$4="ON")*(COUNTIFS(Override!$B$11:$B$40,$B238,Override!$D$11:$D$40,3,Override!$E$11:$E$40,"&gt;=0")-COUNTIFS(Override!$B$11:$B$40,$B238,Override!$D$11:$D$40,3,Override!$E$11:$E$40,"&gt;=0",Override!$C$11:$C$40,"AS51"))&gt;0,SUMIFS(Override!$E$11:$E$40,Override!$B$11:$B$40,$B238,Override!$D$11:$D$40,3)-SUMIFS(Override!$E$11:$E$40,Override!$B$11:$B$40,$B238,Override!$D$11:$D$40,3,Override!$C$11:$C$40,"AS51"),Override!$E$270)/MXAU!$B$3,"")))</f>
        <v/>
      </c>
      <c r="I238" s="140">
        <f>IF(I$226="","",IF($B238="","",IFERROR($C238*$D238*IF((Override!$C$4="ON")*(COUNTIFS(Override!$B$11:$B$40,$B238,Override!$D$11:$D$40,4,Override!$E$11:$E$40,"&gt;=0")-COUNTIFS(Override!$B$11:$B$40,$B238,Override!$D$11:$D$40,4,Override!$E$11:$E$40,"&gt;=0",Override!$C$11:$C$40,"AS51"))&gt;0,SUMIFS(Override!$E$11:$E$40,Override!$B$11:$B$40,$B238,Override!$D$11:$D$40,4)-SUMIFS(Override!$E$11:$E$40,Override!$B$11:$B$40,$B238,Override!$D$11:$D$40,4,Override!$C$11:$C$40,"AS51"),Override!$F$270)/MXAU!$B$3,"")))</f>
        <v/>
      </c>
      <c r="J238" s="140">
        <f>IF(J$226="","",IF($B238="","",IFERROR($C238*$D238*IF((Override!$C$4="ON")*(COUNTIFS(Override!$B$11:$B$40,$B238,Override!$D$11:$D$40,5,Override!$E$11:$E$40,"&gt;=0")-COUNTIFS(Override!$B$11:$B$40,$B238,Override!$D$11:$D$40,5,Override!$E$11:$E$40,"&gt;=0",Override!$C$11:$C$40,"AS51"))&gt;0,SUMIFS(Override!$E$11:$E$40,Override!$B$11:$B$40,$B238,Override!$D$11:$D$40,5)-SUMIFS(Override!$E$11:$E$40,Override!$B$11:$B$40,$B238,Override!$D$11:$D$40,5,Override!$C$11:$C$40,"AS51"),Override!$G$270)/MXAU!$B$3,"")))</f>
        <v/>
      </c>
      <c r="K238" s="140">
        <f>IF(K$226="","",IF($B238="","",IFERROR($C238*$D238*IF((Override!$C$4="ON")*(COUNTIFS(Override!$B$11:$B$40,$B238,Override!$D$11:$D$40,6,Override!$E$11:$E$40,"&gt;=0")-COUNTIFS(Override!$B$11:$B$40,$B238,Override!$D$11:$D$40,6,Override!$E$11:$E$40,"&gt;=0",Override!$C$11:$C$40,"AS51"))&gt;0,SUMIFS(Override!$E$11:$E$40,Override!$B$11:$B$40,$B238,Override!$D$11:$D$40,6)-SUMIFS(Override!$E$11:$E$40,Override!$B$11:$B$40,$B238,Override!$D$11:$D$40,6,Override!$C$11:$C$40,"AS51"),Override!$H$270)/MXAU!$B$3,"")))</f>
        <v/>
      </c>
      <c r="L238" s="140">
        <f>IF(L$226="","",IF($B238="","",IFERROR($C238*$D238*IF((Override!$C$4="ON")*(COUNTIFS(Override!$B$11:$B$40,$B238,Override!$D$11:$D$40,7,Override!$E$11:$E$40,"&gt;=0")-COUNTIFS(Override!$B$11:$B$40,$B238,Override!$D$11:$D$40,7,Override!$E$11:$E$40,"&gt;=0",Override!$C$11:$C$40,"AS51"))&gt;0,SUMIFS(Override!$E$11:$E$40,Override!$B$11:$B$40,$B238,Override!$D$11:$D$40,7)-SUMIFS(Override!$E$11:$E$40,Override!$B$11:$B$40,$B238,Override!$D$11:$D$40,7,Override!$C$11:$C$40,"AS51"),Override!$I$270)/MXAU!$B$3,"")))</f>
        <v/>
      </c>
      <c r="M238" s="140">
        <f>IF(M$226="","",IF($B238="","",IFERROR($C238*$D238*IF((Override!$C$4="ON")*(COUNTIFS(Override!$B$11:$B$40,$B238,Override!$D$11:$D$40,8,Override!$E$11:$E$40,"&gt;=0")-COUNTIFS(Override!$B$11:$B$40,$B238,Override!$D$11:$D$40,8,Override!$E$11:$E$40,"&gt;=0",Override!$C$11:$C$40,"AS51"))&gt;0,SUMIFS(Override!$E$11:$E$40,Override!$B$11:$B$40,$B238,Override!$D$11:$D$40,8)-SUMIFS(Override!$E$11:$E$40,Override!$B$11:$B$40,$B238,Override!$D$11:$D$40,8,Override!$C$11:$C$40,"AS51"),Override!$J$270)/MXAU!$B$3,"")))</f>
        <v/>
      </c>
      <c r="N238" s="140">
        <f>IF(N$226="","",IF($B238="","",IFERROR($C238*$D238*IF((Override!$C$4="ON")*(COUNTIFS(Override!$B$11:$B$40,$B238,Override!$D$11:$D$40,9,Override!$E$11:$E$40,"&gt;=0")-COUNTIFS(Override!$B$11:$B$40,$B238,Override!$D$11:$D$40,9,Override!$E$11:$E$40,"&gt;=0",Override!$C$11:$C$40,"AS51"))&gt;0,SUMIFS(Override!$E$11:$E$40,Override!$B$11:$B$40,$B238,Override!$D$11:$D$40,9)-SUMIFS(Override!$E$11:$E$40,Override!$B$11:$B$40,$B238,Override!$D$11:$D$40,9,Override!$C$11:$C$40,"AS51"),Override!$K$270)/MXAU!$B$3,"")))</f>
        <v/>
      </c>
      <c r="O238" s="140">
        <f>IF(O$226="","",IF($B238="","",IFERROR($C238*$D238*IF((Override!$C$4="ON")*(COUNTIFS(Override!$B$11:$B$40,$B238,Override!$D$11:$D$40,10,Override!$E$11:$E$40,"&gt;=0")-COUNTIFS(Override!$B$11:$B$40,$B238,Override!$D$11:$D$40,10,Override!$E$11:$E$40,"&gt;=0",Override!$C$11:$C$40,"AS51"))&gt;0,SUMIFS(Override!$E$11:$E$40,Override!$B$11:$B$40,$B238,Override!$D$11:$D$40,10)-SUMIFS(Override!$E$11:$E$40,Override!$B$11:$B$40,$B238,Override!$D$11:$D$40,10,Override!$C$11:$C$40,"AS51"),Override!$L$270)/MXAU!$B$3,"")))</f>
        <v/>
      </c>
      <c r="P238" s="140">
        <f>IF(P$226="","",IF($B238="","",IFERROR($C238*$D238*IF((Override!$C$4="ON")*(COUNTIFS(Override!$B$11:$B$40,$B238,Override!$D$11:$D$40,11,Override!$E$11:$E$40,"&gt;=0")-COUNTIFS(Override!$B$11:$B$40,$B238,Override!$D$11:$D$40,11,Override!$E$11:$E$40,"&gt;=0",Override!$C$11:$C$40,"AS51"))&gt;0,SUMIFS(Override!$E$11:$E$40,Override!$B$11:$B$40,$B238,Override!$D$11:$D$40,11)-SUMIFS(Override!$E$11:$E$40,Override!$B$11:$B$40,$B238,Override!$D$11:$D$40,11,Override!$C$11:$C$40,"AS51"),Override!$M$270)/MXAU!$B$3,"")))</f>
        <v/>
      </c>
      <c r="Q238" s="140">
        <f>IF(Q$226="","",IF($B238="","",IFERROR($C238*$D238*IF((Override!$C$4="ON")*(COUNTIFS(Override!$B$11:$B$40,$B238,Override!$D$11:$D$40,12,Override!$E$11:$E$40,"&gt;=0")-COUNTIFS(Override!$B$11:$B$40,$B238,Override!$D$11:$D$40,12,Override!$E$11:$E$40,"&gt;=0",Override!$C$11:$C$40,"AS51"))&gt;0,SUMIFS(Override!$E$11:$E$40,Override!$B$11:$B$40,$B238,Override!$D$11:$D$40,12)-SUMIFS(Override!$E$11:$E$40,Override!$B$11:$B$40,$B238,Override!$D$11:$D$40,12,Override!$C$11:$C$40,"AS51"),Override!$N$270)/MXAU!$B$3,"")))</f>
        <v/>
      </c>
      <c r="R238" s="140">
        <f>IF(R$226="","",IF($B238="","",IFERROR($C238*$D238*IF((Override!$C$4="ON")*(COUNTIFS(Override!$B$11:$B$40,$B238,Override!$D$11:$D$40,13,Override!$E$11:$E$40,"&gt;=0")-COUNTIFS(Override!$B$11:$B$40,$B238,Override!$D$11:$D$40,13,Override!$E$11:$E$40,"&gt;=0",Override!$C$11:$C$40,"AS51"))&gt;0,SUMIFS(Override!$E$11:$E$40,Override!$B$11:$B$40,$B238,Override!$D$11:$D$40,13)-SUMIFS(Override!$E$11:$E$40,Override!$B$11:$B$40,$B238,Override!$D$11:$D$40,13,Override!$C$11:$C$40,"AS51"),Override!$O$270)/MXAU!$B$3,"")))</f>
        <v/>
      </c>
      <c r="S238" s="140">
        <f>IF(S$226="","",IF($B238="","",IFERROR($C238*$D238*IF((Override!$C$4="ON")*(COUNTIFS(Override!$B$11:$B$40,$B238,Override!$D$11:$D$40,14,Override!$E$11:$E$40,"&gt;=0")-COUNTIFS(Override!$B$11:$B$40,$B238,Override!$D$11:$D$40,14,Override!$E$11:$E$40,"&gt;=0",Override!$C$11:$C$40,"AS51"))&gt;0,SUMIFS(Override!$E$11:$E$40,Override!$B$11:$B$40,$B238,Override!$D$11:$D$40,14)-SUMIFS(Override!$E$11:$E$40,Override!$B$11:$B$40,$B238,Override!$D$11:$D$40,14,Override!$C$11:$C$40,"AS51"),Override!$P$270)/MXAU!$B$3,"")))</f>
        <v/>
      </c>
      <c r="T238" s="140">
        <f>IF(T$226="","",IF($B238="","",IFERROR($C238*$D238*IF((Override!$C$4="ON")*(COUNTIFS(Override!$B$11:$B$40,$B238,Override!$D$11:$D$40,15,Override!$E$11:$E$40,"&gt;=0")-COUNTIFS(Override!$B$11:$B$40,$B238,Override!$D$11:$D$40,15,Override!$E$11:$E$40,"&gt;=0",Override!$C$11:$C$40,"AS51"))&gt;0,SUMIFS(Override!$E$11:$E$40,Override!$B$11:$B$40,$B238,Override!$D$11:$D$40,15)-SUMIFS(Override!$E$11:$E$40,Override!$B$11:$B$40,$B238,Override!$D$11:$D$40,15,Override!$C$11:$C$40,"AS51"),Override!$Q$270)/MXAU!$B$3,"")))</f>
        <v/>
      </c>
      <c r="U238" s="140">
        <f>IF(U$226="","",IF($B238="","",IFERROR($C238*$D238*IF((Override!$C$4="ON")*(COUNTIFS(Override!$B$11:$B$40,$B238,Override!$D$11:$D$40,16,Override!$E$11:$E$40,"&gt;=0")-COUNTIFS(Override!$B$11:$B$40,$B238,Override!$D$11:$D$40,16,Override!$E$11:$E$40,"&gt;=0",Override!$C$11:$C$40,"AS51"))&gt;0,SUMIFS(Override!$E$11:$E$40,Override!$B$11:$B$40,$B238,Override!$D$11:$D$40,16)-SUMIFS(Override!$E$11:$E$40,Override!$B$11:$B$40,$B238,Override!$D$11:$D$40,16,Override!$C$11:$C$40,"AS51"),Override!$R$270)/MXAU!$B$3,"")))</f>
        <v/>
      </c>
      <c r="W238" s="140">
        <f>IF(W$226="","",IF($B238="","",IFERROR(F238*$E238/100,"")))</f>
        <v/>
      </c>
      <c r="X238" s="140">
        <f>IF(X$226="","",IF($B238="","",IFERROR(G238*$E238/100,"")))</f>
        <v/>
      </c>
      <c r="Y238" s="140">
        <f>IF(Y$226="","",IF($B238="","",IFERROR(H238*$E238/100,"")))</f>
        <v/>
      </c>
      <c r="Z238" s="140">
        <f>IF(Z$226="","",IF($B238="","",IFERROR(I238*$E238/100,"")))</f>
        <v/>
      </c>
      <c r="AA238" s="140">
        <f>IF(AA$226="","",IF($B238="","",IFERROR(J238*$E238/100,"")))</f>
        <v/>
      </c>
      <c r="AB238" s="140">
        <f>IF(AB$226="","",IF($B238="","",IFERROR(K238*$E238/100,"")))</f>
        <v/>
      </c>
      <c r="AC238" s="140">
        <f>IF(AC$226="","",IF($B238="","",IFERROR(L238*$E238/100,"")))</f>
        <v/>
      </c>
      <c r="AD238" s="140">
        <f>IF(AD$226="","",IF($B238="","",IFERROR(M238*$E238/100,"")))</f>
        <v/>
      </c>
      <c r="AE238" s="140">
        <f>IF(AE$226="","",IF($B238="","",IFERROR(N238*$E238/100,"")))</f>
        <v/>
      </c>
      <c r="AF238" s="140">
        <f>IF(AF$226="","",IF($B238="","",IFERROR(O238*$E238/100,"")))</f>
        <v/>
      </c>
      <c r="AG238" s="140">
        <f>IF(AG$226="","",IF($B238="","",IFERROR(P238*$E238/100,"")))</f>
        <v/>
      </c>
      <c r="AH238" s="140">
        <f>IF(AH$226="","",IF($B238="","",IFERROR(Q238*$E238/100,"")))</f>
        <v/>
      </c>
      <c r="AI238" s="140">
        <f>IF(AI$226="","",IF($B238="","",IFERROR(R238*$E238/100,"")))</f>
        <v/>
      </c>
      <c r="AJ238" s="140">
        <f>IF(AJ$226="","",IF($B238="","",IFERROR(S238*$E238/100,"")))</f>
        <v/>
      </c>
      <c r="AK238" s="140">
        <f>IF(AK$226="","",IF($B238="","",IFERROR(T238*$E238/100,"")))</f>
        <v/>
      </c>
      <c r="AL238" s="140">
        <f>IF(AL$226="","",IF($B238="","",IFERROR(U238*$E238/100,"")))</f>
        <v/>
      </c>
      <c r="AN238" s="140">
        <f>IF($B238="","",SUMIF($F$226:$U$226,"&lt;="&amp;Sector!$E$51,$F238:$U238))</f>
        <v/>
      </c>
      <c r="AO238" s="140">
        <f>IF($B238="","",SUMIF($W$226:$AL$226,"&lt;="&amp;Sector!$E$51,$W238:$AL238))</f>
        <v/>
      </c>
    </row>
    <row r="239">
      <c r="B239" s="5">
        <f>IF(MXAU!$C$16="","",MXAU!$C$16)</f>
        <v/>
      </c>
      <c r="C239" s="90">
        <f>IF(MXAU!$B$16="","",MXAU!$B$16)</f>
        <v/>
      </c>
      <c r="D239" s="138">
        <f>IFERROR(MXAU!$Q$16,1)</f>
        <v/>
      </c>
      <c r="E239" s="139">
        <f>IF($B239="","",IF(ISNUMBER(MXAU!$I$16),MXAU!$I$16,'Index Summary'!$C$7))</f>
        <v/>
      </c>
      <c r="F239" s="140">
        <f>IF(F$226="","",IF($B239="","",IFERROR($C239*$D239*IF((Override!$C$4="ON")*(COUNTIFS(Override!$B$11:$B$40,$B239,Override!$D$11:$D$40,1,Override!$E$11:$E$40,"&gt;=0")-COUNTIFS(Override!$B$11:$B$40,$B239,Override!$D$11:$D$40,1,Override!$E$11:$E$40,"&gt;=0",Override!$C$11:$C$40,"AS51"))&gt;0,SUMIFS(Override!$E$11:$E$40,Override!$B$11:$B$40,$B239,Override!$D$11:$D$40,1)-SUMIFS(Override!$E$11:$E$40,Override!$B$11:$B$40,$B239,Override!$D$11:$D$40,1,Override!$C$11:$C$40,"AS51"),Override!$C$271)/MXAU!$B$3,"")))</f>
        <v/>
      </c>
      <c r="G239" s="140">
        <f>IF(G$226="","",IF($B239="","",IFERROR($C239*$D239*IF((Override!$C$4="ON")*(COUNTIFS(Override!$B$11:$B$40,$B239,Override!$D$11:$D$40,2,Override!$E$11:$E$40,"&gt;=0")-COUNTIFS(Override!$B$11:$B$40,$B239,Override!$D$11:$D$40,2,Override!$E$11:$E$40,"&gt;=0",Override!$C$11:$C$40,"AS51"))&gt;0,SUMIFS(Override!$E$11:$E$40,Override!$B$11:$B$40,$B239,Override!$D$11:$D$40,2)-SUMIFS(Override!$E$11:$E$40,Override!$B$11:$B$40,$B239,Override!$D$11:$D$40,2,Override!$C$11:$C$40,"AS51"),Override!$D$271)/MXAU!$B$3,"")))</f>
        <v/>
      </c>
      <c r="H239" s="140">
        <f>IF(H$226="","",IF($B239="","",IFERROR($C239*$D239*IF((Override!$C$4="ON")*(COUNTIFS(Override!$B$11:$B$40,$B239,Override!$D$11:$D$40,3,Override!$E$11:$E$40,"&gt;=0")-COUNTIFS(Override!$B$11:$B$40,$B239,Override!$D$11:$D$40,3,Override!$E$11:$E$40,"&gt;=0",Override!$C$11:$C$40,"AS51"))&gt;0,SUMIFS(Override!$E$11:$E$40,Override!$B$11:$B$40,$B239,Override!$D$11:$D$40,3)-SUMIFS(Override!$E$11:$E$40,Override!$B$11:$B$40,$B239,Override!$D$11:$D$40,3,Override!$C$11:$C$40,"AS51"),Override!$E$271)/MXAU!$B$3,"")))</f>
        <v/>
      </c>
      <c r="I239" s="140">
        <f>IF(I$226="","",IF($B239="","",IFERROR($C239*$D239*IF((Override!$C$4="ON")*(COUNTIFS(Override!$B$11:$B$40,$B239,Override!$D$11:$D$40,4,Override!$E$11:$E$40,"&gt;=0")-COUNTIFS(Override!$B$11:$B$40,$B239,Override!$D$11:$D$40,4,Override!$E$11:$E$40,"&gt;=0",Override!$C$11:$C$40,"AS51"))&gt;0,SUMIFS(Override!$E$11:$E$40,Override!$B$11:$B$40,$B239,Override!$D$11:$D$40,4)-SUMIFS(Override!$E$11:$E$40,Override!$B$11:$B$40,$B239,Override!$D$11:$D$40,4,Override!$C$11:$C$40,"AS51"),Override!$F$271)/MXAU!$B$3,"")))</f>
        <v/>
      </c>
      <c r="J239" s="140">
        <f>IF(J$226="","",IF($B239="","",IFERROR($C239*$D239*IF((Override!$C$4="ON")*(COUNTIFS(Override!$B$11:$B$40,$B239,Override!$D$11:$D$40,5,Override!$E$11:$E$40,"&gt;=0")-COUNTIFS(Override!$B$11:$B$40,$B239,Override!$D$11:$D$40,5,Override!$E$11:$E$40,"&gt;=0",Override!$C$11:$C$40,"AS51"))&gt;0,SUMIFS(Override!$E$11:$E$40,Override!$B$11:$B$40,$B239,Override!$D$11:$D$40,5)-SUMIFS(Override!$E$11:$E$40,Override!$B$11:$B$40,$B239,Override!$D$11:$D$40,5,Override!$C$11:$C$40,"AS51"),Override!$G$271)/MXAU!$B$3,"")))</f>
        <v/>
      </c>
      <c r="K239" s="140">
        <f>IF(K$226="","",IF($B239="","",IFERROR($C239*$D239*IF((Override!$C$4="ON")*(COUNTIFS(Override!$B$11:$B$40,$B239,Override!$D$11:$D$40,6,Override!$E$11:$E$40,"&gt;=0")-COUNTIFS(Override!$B$11:$B$40,$B239,Override!$D$11:$D$40,6,Override!$E$11:$E$40,"&gt;=0",Override!$C$11:$C$40,"AS51"))&gt;0,SUMIFS(Override!$E$11:$E$40,Override!$B$11:$B$40,$B239,Override!$D$11:$D$40,6)-SUMIFS(Override!$E$11:$E$40,Override!$B$11:$B$40,$B239,Override!$D$11:$D$40,6,Override!$C$11:$C$40,"AS51"),Override!$H$271)/MXAU!$B$3,"")))</f>
        <v/>
      </c>
      <c r="L239" s="140">
        <f>IF(L$226="","",IF($B239="","",IFERROR($C239*$D239*IF((Override!$C$4="ON")*(COUNTIFS(Override!$B$11:$B$40,$B239,Override!$D$11:$D$40,7,Override!$E$11:$E$40,"&gt;=0")-COUNTIFS(Override!$B$11:$B$40,$B239,Override!$D$11:$D$40,7,Override!$E$11:$E$40,"&gt;=0",Override!$C$11:$C$40,"AS51"))&gt;0,SUMIFS(Override!$E$11:$E$40,Override!$B$11:$B$40,$B239,Override!$D$11:$D$40,7)-SUMIFS(Override!$E$11:$E$40,Override!$B$11:$B$40,$B239,Override!$D$11:$D$40,7,Override!$C$11:$C$40,"AS51"),Override!$I$271)/MXAU!$B$3,"")))</f>
        <v/>
      </c>
      <c r="M239" s="140">
        <f>IF(M$226="","",IF($B239="","",IFERROR($C239*$D239*IF((Override!$C$4="ON")*(COUNTIFS(Override!$B$11:$B$40,$B239,Override!$D$11:$D$40,8,Override!$E$11:$E$40,"&gt;=0")-COUNTIFS(Override!$B$11:$B$40,$B239,Override!$D$11:$D$40,8,Override!$E$11:$E$40,"&gt;=0",Override!$C$11:$C$40,"AS51"))&gt;0,SUMIFS(Override!$E$11:$E$40,Override!$B$11:$B$40,$B239,Override!$D$11:$D$40,8)-SUMIFS(Override!$E$11:$E$40,Override!$B$11:$B$40,$B239,Override!$D$11:$D$40,8,Override!$C$11:$C$40,"AS51"),Override!$J$271)/MXAU!$B$3,"")))</f>
        <v/>
      </c>
      <c r="N239" s="140">
        <f>IF(N$226="","",IF($B239="","",IFERROR($C239*$D239*IF((Override!$C$4="ON")*(COUNTIFS(Override!$B$11:$B$40,$B239,Override!$D$11:$D$40,9,Override!$E$11:$E$40,"&gt;=0")-COUNTIFS(Override!$B$11:$B$40,$B239,Override!$D$11:$D$40,9,Override!$E$11:$E$40,"&gt;=0",Override!$C$11:$C$40,"AS51"))&gt;0,SUMIFS(Override!$E$11:$E$40,Override!$B$11:$B$40,$B239,Override!$D$11:$D$40,9)-SUMIFS(Override!$E$11:$E$40,Override!$B$11:$B$40,$B239,Override!$D$11:$D$40,9,Override!$C$11:$C$40,"AS51"),Override!$K$271)/MXAU!$B$3,"")))</f>
        <v/>
      </c>
      <c r="O239" s="140">
        <f>IF(O$226="","",IF($B239="","",IFERROR($C239*$D239*IF((Override!$C$4="ON")*(COUNTIFS(Override!$B$11:$B$40,$B239,Override!$D$11:$D$40,10,Override!$E$11:$E$40,"&gt;=0")-COUNTIFS(Override!$B$11:$B$40,$B239,Override!$D$11:$D$40,10,Override!$E$11:$E$40,"&gt;=0",Override!$C$11:$C$40,"AS51"))&gt;0,SUMIFS(Override!$E$11:$E$40,Override!$B$11:$B$40,$B239,Override!$D$11:$D$40,10)-SUMIFS(Override!$E$11:$E$40,Override!$B$11:$B$40,$B239,Override!$D$11:$D$40,10,Override!$C$11:$C$40,"AS51"),Override!$L$271)/MXAU!$B$3,"")))</f>
        <v/>
      </c>
      <c r="P239" s="140">
        <f>IF(P$226="","",IF($B239="","",IFERROR($C239*$D239*IF((Override!$C$4="ON")*(COUNTIFS(Override!$B$11:$B$40,$B239,Override!$D$11:$D$40,11,Override!$E$11:$E$40,"&gt;=0")-COUNTIFS(Override!$B$11:$B$40,$B239,Override!$D$11:$D$40,11,Override!$E$11:$E$40,"&gt;=0",Override!$C$11:$C$40,"AS51"))&gt;0,SUMIFS(Override!$E$11:$E$40,Override!$B$11:$B$40,$B239,Override!$D$11:$D$40,11)-SUMIFS(Override!$E$11:$E$40,Override!$B$11:$B$40,$B239,Override!$D$11:$D$40,11,Override!$C$11:$C$40,"AS51"),Override!$M$271)/MXAU!$B$3,"")))</f>
        <v/>
      </c>
      <c r="Q239" s="140">
        <f>IF(Q$226="","",IF($B239="","",IFERROR($C239*$D239*IF((Override!$C$4="ON")*(COUNTIFS(Override!$B$11:$B$40,$B239,Override!$D$11:$D$40,12,Override!$E$11:$E$40,"&gt;=0")-COUNTIFS(Override!$B$11:$B$40,$B239,Override!$D$11:$D$40,12,Override!$E$11:$E$40,"&gt;=0",Override!$C$11:$C$40,"AS51"))&gt;0,SUMIFS(Override!$E$11:$E$40,Override!$B$11:$B$40,$B239,Override!$D$11:$D$40,12)-SUMIFS(Override!$E$11:$E$40,Override!$B$11:$B$40,$B239,Override!$D$11:$D$40,12,Override!$C$11:$C$40,"AS51"),Override!$N$271)/MXAU!$B$3,"")))</f>
        <v/>
      </c>
      <c r="R239" s="140">
        <f>IF(R$226="","",IF($B239="","",IFERROR($C239*$D239*IF((Override!$C$4="ON")*(COUNTIFS(Override!$B$11:$B$40,$B239,Override!$D$11:$D$40,13,Override!$E$11:$E$40,"&gt;=0")-COUNTIFS(Override!$B$11:$B$40,$B239,Override!$D$11:$D$40,13,Override!$E$11:$E$40,"&gt;=0",Override!$C$11:$C$40,"AS51"))&gt;0,SUMIFS(Override!$E$11:$E$40,Override!$B$11:$B$40,$B239,Override!$D$11:$D$40,13)-SUMIFS(Override!$E$11:$E$40,Override!$B$11:$B$40,$B239,Override!$D$11:$D$40,13,Override!$C$11:$C$40,"AS51"),Override!$O$271)/MXAU!$B$3,"")))</f>
        <v/>
      </c>
      <c r="S239" s="140">
        <f>IF(S$226="","",IF($B239="","",IFERROR($C239*$D239*IF((Override!$C$4="ON")*(COUNTIFS(Override!$B$11:$B$40,$B239,Override!$D$11:$D$40,14,Override!$E$11:$E$40,"&gt;=0")-COUNTIFS(Override!$B$11:$B$40,$B239,Override!$D$11:$D$40,14,Override!$E$11:$E$40,"&gt;=0",Override!$C$11:$C$40,"AS51"))&gt;0,SUMIFS(Override!$E$11:$E$40,Override!$B$11:$B$40,$B239,Override!$D$11:$D$40,14)-SUMIFS(Override!$E$11:$E$40,Override!$B$11:$B$40,$B239,Override!$D$11:$D$40,14,Override!$C$11:$C$40,"AS51"),Override!$P$271)/MXAU!$B$3,"")))</f>
        <v/>
      </c>
      <c r="T239" s="140">
        <f>IF(T$226="","",IF($B239="","",IFERROR($C239*$D239*IF((Override!$C$4="ON")*(COUNTIFS(Override!$B$11:$B$40,$B239,Override!$D$11:$D$40,15,Override!$E$11:$E$40,"&gt;=0")-COUNTIFS(Override!$B$11:$B$40,$B239,Override!$D$11:$D$40,15,Override!$E$11:$E$40,"&gt;=0",Override!$C$11:$C$40,"AS51"))&gt;0,SUMIFS(Override!$E$11:$E$40,Override!$B$11:$B$40,$B239,Override!$D$11:$D$40,15)-SUMIFS(Override!$E$11:$E$40,Override!$B$11:$B$40,$B239,Override!$D$11:$D$40,15,Override!$C$11:$C$40,"AS51"),Override!$Q$271)/MXAU!$B$3,"")))</f>
        <v/>
      </c>
      <c r="U239" s="140">
        <f>IF(U$226="","",IF($B239="","",IFERROR($C239*$D239*IF((Override!$C$4="ON")*(COUNTIFS(Override!$B$11:$B$40,$B239,Override!$D$11:$D$40,16,Override!$E$11:$E$40,"&gt;=0")-COUNTIFS(Override!$B$11:$B$40,$B239,Override!$D$11:$D$40,16,Override!$E$11:$E$40,"&gt;=0",Override!$C$11:$C$40,"AS51"))&gt;0,SUMIFS(Override!$E$11:$E$40,Override!$B$11:$B$40,$B239,Override!$D$11:$D$40,16)-SUMIFS(Override!$E$11:$E$40,Override!$B$11:$B$40,$B239,Override!$D$11:$D$40,16,Override!$C$11:$C$40,"AS51"),Override!$R$271)/MXAU!$B$3,"")))</f>
        <v/>
      </c>
      <c r="W239" s="140">
        <f>IF(W$226="","",IF($B239="","",IFERROR(F239*$E239/100,"")))</f>
        <v/>
      </c>
      <c r="X239" s="140">
        <f>IF(X$226="","",IF($B239="","",IFERROR(G239*$E239/100,"")))</f>
        <v/>
      </c>
      <c r="Y239" s="140">
        <f>IF(Y$226="","",IF($B239="","",IFERROR(H239*$E239/100,"")))</f>
        <v/>
      </c>
      <c r="Z239" s="140">
        <f>IF(Z$226="","",IF($B239="","",IFERROR(I239*$E239/100,"")))</f>
        <v/>
      </c>
      <c r="AA239" s="140">
        <f>IF(AA$226="","",IF($B239="","",IFERROR(J239*$E239/100,"")))</f>
        <v/>
      </c>
      <c r="AB239" s="140">
        <f>IF(AB$226="","",IF($B239="","",IFERROR(K239*$E239/100,"")))</f>
        <v/>
      </c>
      <c r="AC239" s="140">
        <f>IF(AC$226="","",IF($B239="","",IFERROR(L239*$E239/100,"")))</f>
        <v/>
      </c>
      <c r="AD239" s="140">
        <f>IF(AD$226="","",IF($B239="","",IFERROR(M239*$E239/100,"")))</f>
        <v/>
      </c>
      <c r="AE239" s="140">
        <f>IF(AE$226="","",IF($B239="","",IFERROR(N239*$E239/100,"")))</f>
        <v/>
      </c>
      <c r="AF239" s="140">
        <f>IF(AF$226="","",IF($B239="","",IFERROR(O239*$E239/100,"")))</f>
        <v/>
      </c>
      <c r="AG239" s="140">
        <f>IF(AG$226="","",IF($B239="","",IFERROR(P239*$E239/100,"")))</f>
        <v/>
      </c>
      <c r="AH239" s="140">
        <f>IF(AH$226="","",IF($B239="","",IFERROR(Q239*$E239/100,"")))</f>
        <v/>
      </c>
      <c r="AI239" s="140">
        <f>IF(AI$226="","",IF($B239="","",IFERROR(R239*$E239/100,"")))</f>
        <v/>
      </c>
      <c r="AJ239" s="140">
        <f>IF(AJ$226="","",IF($B239="","",IFERROR(S239*$E239/100,"")))</f>
        <v/>
      </c>
      <c r="AK239" s="140">
        <f>IF(AK$226="","",IF($B239="","",IFERROR(T239*$E239/100,"")))</f>
        <v/>
      </c>
      <c r="AL239" s="140">
        <f>IF(AL$226="","",IF($B239="","",IFERROR(U239*$E239/100,"")))</f>
        <v/>
      </c>
      <c r="AN239" s="140">
        <f>IF($B239="","",SUMIF($F$226:$U$226,"&lt;="&amp;Sector!$E$51,$F239:$U239))</f>
        <v/>
      </c>
      <c r="AO239" s="140">
        <f>IF($B239="","",SUMIF($W$226:$AL$226,"&lt;="&amp;Sector!$E$51,$W239:$AL239))</f>
        <v/>
      </c>
    </row>
    <row r="240">
      <c r="B240" s="5">
        <f>IF(MXAU!$C$17="","",MXAU!$C$17)</f>
        <v/>
      </c>
      <c r="C240" s="90">
        <f>IF(MXAU!$B$17="","",MXAU!$B$17)</f>
        <v/>
      </c>
      <c r="D240" s="138">
        <f>IFERROR(MXAU!$Q$17,1)</f>
        <v/>
      </c>
      <c r="E240" s="139">
        <f>IF($B240="","",IF(ISNUMBER(MXAU!$I$17),MXAU!$I$17,'Index Summary'!$C$7))</f>
        <v/>
      </c>
      <c r="F240" s="140">
        <f>IF(F$226="","",IF($B240="","",IFERROR($C240*$D240*IF((Override!$C$4="ON")*(COUNTIFS(Override!$B$11:$B$40,$B240,Override!$D$11:$D$40,1,Override!$E$11:$E$40,"&gt;=0")-COUNTIFS(Override!$B$11:$B$40,$B240,Override!$D$11:$D$40,1,Override!$E$11:$E$40,"&gt;=0",Override!$C$11:$C$40,"AS51"))&gt;0,SUMIFS(Override!$E$11:$E$40,Override!$B$11:$B$40,$B240,Override!$D$11:$D$40,1)-SUMIFS(Override!$E$11:$E$40,Override!$B$11:$B$40,$B240,Override!$D$11:$D$40,1,Override!$C$11:$C$40,"AS51"),Override!$C$272)/MXAU!$B$3,"")))</f>
        <v/>
      </c>
      <c r="G240" s="140">
        <f>IF(G$226="","",IF($B240="","",IFERROR($C240*$D240*IF((Override!$C$4="ON")*(COUNTIFS(Override!$B$11:$B$40,$B240,Override!$D$11:$D$40,2,Override!$E$11:$E$40,"&gt;=0")-COUNTIFS(Override!$B$11:$B$40,$B240,Override!$D$11:$D$40,2,Override!$E$11:$E$40,"&gt;=0",Override!$C$11:$C$40,"AS51"))&gt;0,SUMIFS(Override!$E$11:$E$40,Override!$B$11:$B$40,$B240,Override!$D$11:$D$40,2)-SUMIFS(Override!$E$11:$E$40,Override!$B$11:$B$40,$B240,Override!$D$11:$D$40,2,Override!$C$11:$C$40,"AS51"),Override!$D$272)/MXAU!$B$3,"")))</f>
        <v/>
      </c>
      <c r="H240" s="140">
        <f>IF(H$226="","",IF($B240="","",IFERROR($C240*$D240*IF((Override!$C$4="ON")*(COUNTIFS(Override!$B$11:$B$40,$B240,Override!$D$11:$D$40,3,Override!$E$11:$E$40,"&gt;=0")-COUNTIFS(Override!$B$11:$B$40,$B240,Override!$D$11:$D$40,3,Override!$E$11:$E$40,"&gt;=0",Override!$C$11:$C$40,"AS51"))&gt;0,SUMIFS(Override!$E$11:$E$40,Override!$B$11:$B$40,$B240,Override!$D$11:$D$40,3)-SUMIFS(Override!$E$11:$E$40,Override!$B$11:$B$40,$B240,Override!$D$11:$D$40,3,Override!$C$11:$C$40,"AS51"),Override!$E$272)/MXAU!$B$3,"")))</f>
        <v/>
      </c>
      <c r="I240" s="140">
        <f>IF(I$226="","",IF($B240="","",IFERROR($C240*$D240*IF((Override!$C$4="ON")*(COUNTIFS(Override!$B$11:$B$40,$B240,Override!$D$11:$D$40,4,Override!$E$11:$E$40,"&gt;=0")-COUNTIFS(Override!$B$11:$B$40,$B240,Override!$D$11:$D$40,4,Override!$E$11:$E$40,"&gt;=0",Override!$C$11:$C$40,"AS51"))&gt;0,SUMIFS(Override!$E$11:$E$40,Override!$B$11:$B$40,$B240,Override!$D$11:$D$40,4)-SUMIFS(Override!$E$11:$E$40,Override!$B$11:$B$40,$B240,Override!$D$11:$D$40,4,Override!$C$11:$C$40,"AS51"),Override!$F$272)/MXAU!$B$3,"")))</f>
        <v/>
      </c>
      <c r="J240" s="140">
        <f>IF(J$226="","",IF($B240="","",IFERROR($C240*$D240*IF((Override!$C$4="ON")*(COUNTIFS(Override!$B$11:$B$40,$B240,Override!$D$11:$D$40,5,Override!$E$11:$E$40,"&gt;=0")-COUNTIFS(Override!$B$11:$B$40,$B240,Override!$D$11:$D$40,5,Override!$E$11:$E$40,"&gt;=0",Override!$C$11:$C$40,"AS51"))&gt;0,SUMIFS(Override!$E$11:$E$40,Override!$B$11:$B$40,$B240,Override!$D$11:$D$40,5)-SUMIFS(Override!$E$11:$E$40,Override!$B$11:$B$40,$B240,Override!$D$11:$D$40,5,Override!$C$11:$C$40,"AS51"),Override!$G$272)/MXAU!$B$3,"")))</f>
        <v/>
      </c>
      <c r="K240" s="140">
        <f>IF(K$226="","",IF($B240="","",IFERROR($C240*$D240*IF((Override!$C$4="ON")*(COUNTIFS(Override!$B$11:$B$40,$B240,Override!$D$11:$D$40,6,Override!$E$11:$E$40,"&gt;=0")-COUNTIFS(Override!$B$11:$B$40,$B240,Override!$D$11:$D$40,6,Override!$E$11:$E$40,"&gt;=0",Override!$C$11:$C$40,"AS51"))&gt;0,SUMIFS(Override!$E$11:$E$40,Override!$B$11:$B$40,$B240,Override!$D$11:$D$40,6)-SUMIFS(Override!$E$11:$E$40,Override!$B$11:$B$40,$B240,Override!$D$11:$D$40,6,Override!$C$11:$C$40,"AS51"),Override!$H$272)/MXAU!$B$3,"")))</f>
        <v/>
      </c>
      <c r="L240" s="140">
        <f>IF(L$226="","",IF($B240="","",IFERROR($C240*$D240*IF((Override!$C$4="ON")*(COUNTIFS(Override!$B$11:$B$40,$B240,Override!$D$11:$D$40,7,Override!$E$11:$E$40,"&gt;=0")-COUNTIFS(Override!$B$11:$B$40,$B240,Override!$D$11:$D$40,7,Override!$E$11:$E$40,"&gt;=0",Override!$C$11:$C$40,"AS51"))&gt;0,SUMIFS(Override!$E$11:$E$40,Override!$B$11:$B$40,$B240,Override!$D$11:$D$40,7)-SUMIFS(Override!$E$11:$E$40,Override!$B$11:$B$40,$B240,Override!$D$11:$D$40,7,Override!$C$11:$C$40,"AS51"),Override!$I$272)/MXAU!$B$3,"")))</f>
        <v/>
      </c>
      <c r="M240" s="140">
        <f>IF(M$226="","",IF($B240="","",IFERROR($C240*$D240*IF((Override!$C$4="ON")*(COUNTIFS(Override!$B$11:$B$40,$B240,Override!$D$11:$D$40,8,Override!$E$11:$E$40,"&gt;=0")-COUNTIFS(Override!$B$11:$B$40,$B240,Override!$D$11:$D$40,8,Override!$E$11:$E$40,"&gt;=0",Override!$C$11:$C$40,"AS51"))&gt;0,SUMIFS(Override!$E$11:$E$40,Override!$B$11:$B$40,$B240,Override!$D$11:$D$40,8)-SUMIFS(Override!$E$11:$E$40,Override!$B$11:$B$40,$B240,Override!$D$11:$D$40,8,Override!$C$11:$C$40,"AS51"),Override!$J$272)/MXAU!$B$3,"")))</f>
        <v/>
      </c>
      <c r="N240" s="140">
        <f>IF(N$226="","",IF($B240="","",IFERROR($C240*$D240*IF((Override!$C$4="ON")*(COUNTIFS(Override!$B$11:$B$40,$B240,Override!$D$11:$D$40,9,Override!$E$11:$E$40,"&gt;=0")-COUNTIFS(Override!$B$11:$B$40,$B240,Override!$D$11:$D$40,9,Override!$E$11:$E$40,"&gt;=0",Override!$C$11:$C$40,"AS51"))&gt;0,SUMIFS(Override!$E$11:$E$40,Override!$B$11:$B$40,$B240,Override!$D$11:$D$40,9)-SUMIFS(Override!$E$11:$E$40,Override!$B$11:$B$40,$B240,Override!$D$11:$D$40,9,Override!$C$11:$C$40,"AS51"),Override!$K$272)/MXAU!$B$3,"")))</f>
        <v/>
      </c>
      <c r="O240" s="140">
        <f>IF(O$226="","",IF($B240="","",IFERROR($C240*$D240*IF((Override!$C$4="ON")*(COUNTIFS(Override!$B$11:$B$40,$B240,Override!$D$11:$D$40,10,Override!$E$11:$E$40,"&gt;=0")-COUNTIFS(Override!$B$11:$B$40,$B240,Override!$D$11:$D$40,10,Override!$E$11:$E$40,"&gt;=0",Override!$C$11:$C$40,"AS51"))&gt;0,SUMIFS(Override!$E$11:$E$40,Override!$B$11:$B$40,$B240,Override!$D$11:$D$40,10)-SUMIFS(Override!$E$11:$E$40,Override!$B$11:$B$40,$B240,Override!$D$11:$D$40,10,Override!$C$11:$C$40,"AS51"),Override!$L$272)/MXAU!$B$3,"")))</f>
        <v/>
      </c>
      <c r="P240" s="140">
        <f>IF(P$226="","",IF($B240="","",IFERROR($C240*$D240*IF((Override!$C$4="ON")*(COUNTIFS(Override!$B$11:$B$40,$B240,Override!$D$11:$D$40,11,Override!$E$11:$E$40,"&gt;=0")-COUNTIFS(Override!$B$11:$B$40,$B240,Override!$D$11:$D$40,11,Override!$E$11:$E$40,"&gt;=0",Override!$C$11:$C$40,"AS51"))&gt;0,SUMIFS(Override!$E$11:$E$40,Override!$B$11:$B$40,$B240,Override!$D$11:$D$40,11)-SUMIFS(Override!$E$11:$E$40,Override!$B$11:$B$40,$B240,Override!$D$11:$D$40,11,Override!$C$11:$C$40,"AS51"),Override!$M$272)/MXAU!$B$3,"")))</f>
        <v/>
      </c>
      <c r="Q240" s="140">
        <f>IF(Q$226="","",IF($B240="","",IFERROR($C240*$D240*IF((Override!$C$4="ON")*(COUNTIFS(Override!$B$11:$B$40,$B240,Override!$D$11:$D$40,12,Override!$E$11:$E$40,"&gt;=0")-COUNTIFS(Override!$B$11:$B$40,$B240,Override!$D$11:$D$40,12,Override!$E$11:$E$40,"&gt;=0",Override!$C$11:$C$40,"AS51"))&gt;0,SUMIFS(Override!$E$11:$E$40,Override!$B$11:$B$40,$B240,Override!$D$11:$D$40,12)-SUMIFS(Override!$E$11:$E$40,Override!$B$11:$B$40,$B240,Override!$D$11:$D$40,12,Override!$C$11:$C$40,"AS51"),Override!$N$272)/MXAU!$B$3,"")))</f>
        <v/>
      </c>
      <c r="R240" s="140">
        <f>IF(R$226="","",IF($B240="","",IFERROR($C240*$D240*IF((Override!$C$4="ON")*(COUNTIFS(Override!$B$11:$B$40,$B240,Override!$D$11:$D$40,13,Override!$E$11:$E$40,"&gt;=0")-COUNTIFS(Override!$B$11:$B$40,$B240,Override!$D$11:$D$40,13,Override!$E$11:$E$40,"&gt;=0",Override!$C$11:$C$40,"AS51"))&gt;0,SUMIFS(Override!$E$11:$E$40,Override!$B$11:$B$40,$B240,Override!$D$11:$D$40,13)-SUMIFS(Override!$E$11:$E$40,Override!$B$11:$B$40,$B240,Override!$D$11:$D$40,13,Override!$C$11:$C$40,"AS51"),Override!$O$272)/MXAU!$B$3,"")))</f>
        <v/>
      </c>
      <c r="S240" s="140">
        <f>IF(S$226="","",IF($B240="","",IFERROR($C240*$D240*IF((Override!$C$4="ON")*(COUNTIFS(Override!$B$11:$B$40,$B240,Override!$D$11:$D$40,14,Override!$E$11:$E$40,"&gt;=0")-COUNTIFS(Override!$B$11:$B$40,$B240,Override!$D$11:$D$40,14,Override!$E$11:$E$40,"&gt;=0",Override!$C$11:$C$40,"AS51"))&gt;0,SUMIFS(Override!$E$11:$E$40,Override!$B$11:$B$40,$B240,Override!$D$11:$D$40,14)-SUMIFS(Override!$E$11:$E$40,Override!$B$11:$B$40,$B240,Override!$D$11:$D$40,14,Override!$C$11:$C$40,"AS51"),Override!$P$272)/MXAU!$B$3,"")))</f>
        <v/>
      </c>
      <c r="T240" s="140">
        <f>IF(T$226="","",IF($B240="","",IFERROR($C240*$D240*IF((Override!$C$4="ON")*(COUNTIFS(Override!$B$11:$B$40,$B240,Override!$D$11:$D$40,15,Override!$E$11:$E$40,"&gt;=0")-COUNTIFS(Override!$B$11:$B$40,$B240,Override!$D$11:$D$40,15,Override!$E$11:$E$40,"&gt;=0",Override!$C$11:$C$40,"AS51"))&gt;0,SUMIFS(Override!$E$11:$E$40,Override!$B$11:$B$40,$B240,Override!$D$11:$D$40,15)-SUMIFS(Override!$E$11:$E$40,Override!$B$11:$B$40,$B240,Override!$D$11:$D$40,15,Override!$C$11:$C$40,"AS51"),Override!$Q$272)/MXAU!$B$3,"")))</f>
        <v/>
      </c>
      <c r="U240" s="140">
        <f>IF(U$226="","",IF($B240="","",IFERROR($C240*$D240*IF((Override!$C$4="ON")*(COUNTIFS(Override!$B$11:$B$40,$B240,Override!$D$11:$D$40,16,Override!$E$11:$E$40,"&gt;=0")-COUNTIFS(Override!$B$11:$B$40,$B240,Override!$D$11:$D$40,16,Override!$E$11:$E$40,"&gt;=0",Override!$C$11:$C$40,"AS51"))&gt;0,SUMIFS(Override!$E$11:$E$40,Override!$B$11:$B$40,$B240,Override!$D$11:$D$40,16)-SUMIFS(Override!$E$11:$E$40,Override!$B$11:$B$40,$B240,Override!$D$11:$D$40,16,Override!$C$11:$C$40,"AS51"),Override!$R$272)/MXAU!$B$3,"")))</f>
        <v/>
      </c>
      <c r="W240" s="140">
        <f>IF(W$226="","",IF($B240="","",IFERROR(F240*$E240/100,"")))</f>
        <v/>
      </c>
      <c r="X240" s="140">
        <f>IF(X$226="","",IF($B240="","",IFERROR(G240*$E240/100,"")))</f>
        <v/>
      </c>
      <c r="Y240" s="140">
        <f>IF(Y$226="","",IF($B240="","",IFERROR(H240*$E240/100,"")))</f>
        <v/>
      </c>
      <c r="Z240" s="140">
        <f>IF(Z$226="","",IF($B240="","",IFERROR(I240*$E240/100,"")))</f>
        <v/>
      </c>
      <c r="AA240" s="140">
        <f>IF(AA$226="","",IF($B240="","",IFERROR(J240*$E240/100,"")))</f>
        <v/>
      </c>
      <c r="AB240" s="140">
        <f>IF(AB$226="","",IF($B240="","",IFERROR(K240*$E240/100,"")))</f>
        <v/>
      </c>
      <c r="AC240" s="140">
        <f>IF(AC$226="","",IF($B240="","",IFERROR(L240*$E240/100,"")))</f>
        <v/>
      </c>
      <c r="AD240" s="140">
        <f>IF(AD$226="","",IF($B240="","",IFERROR(M240*$E240/100,"")))</f>
        <v/>
      </c>
      <c r="AE240" s="140">
        <f>IF(AE$226="","",IF($B240="","",IFERROR(N240*$E240/100,"")))</f>
        <v/>
      </c>
      <c r="AF240" s="140">
        <f>IF(AF$226="","",IF($B240="","",IFERROR(O240*$E240/100,"")))</f>
        <v/>
      </c>
      <c r="AG240" s="140">
        <f>IF(AG$226="","",IF($B240="","",IFERROR(P240*$E240/100,"")))</f>
        <v/>
      </c>
      <c r="AH240" s="140">
        <f>IF(AH$226="","",IF($B240="","",IFERROR(Q240*$E240/100,"")))</f>
        <v/>
      </c>
      <c r="AI240" s="140">
        <f>IF(AI$226="","",IF($B240="","",IFERROR(R240*$E240/100,"")))</f>
        <v/>
      </c>
      <c r="AJ240" s="140">
        <f>IF(AJ$226="","",IF($B240="","",IFERROR(S240*$E240/100,"")))</f>
        <v/>
      </c>
      <c r="AK240" s="140">
        <f>IF(AK$226="","",IF($B240="","",IFERROR(T240*$E240/100,"")))</f>
        <v/>
      </c>
      <c r="AL240" s="140">
        <f>IF(AL$226="","",IF($B240="","",IFERROR(U240*$E240/100,"")))</f>
        <v/>
      </c>
      <c r="AN240" s="140">
        <f>IF($B240="","",SUMIF($F$226:$U$226,"&lt;="&amp;Sector!$E$51,$F240:$U240))</f>
        <v/>
      </c>
      <c r="AO240" s="140">
        <f>IF($B240="","",SUMIF($W$226:$AL$226,"&lt;="&amp;Sector!$E$51,$W240:$AL240))</f>
        <v/>
      </c>
    </row>
    <row r="241">
      <c r="B241" s="5">
        <f>IF(MXAU!$C$18="","",MXAU!$C$18)</f>
        <v/>
      </c>
      <c r="C241" s="90">
        <f>IF(MXAU!$B$18="","",MXAU!$B$18)</f>
        <v/>
      </c>
      <c r="D241" s="138">
        <f>IFERROR(MXAU!$Q$18,1)</f>
        <v/>
      </c>
      <c r="E241" s="139">
        <f>IF($B241="","",IF(ISNUMBER(MXAU!$I$18),MXAU!$I$18,'Index Summary'!$C$7))</f>
        <v/>
      </c>
      <c r="F241" s="140">
        <f>IF(F$226="","",IF($B241="","",IFERROR($C241*$D241*IF((Override!$C$4="ON")*(COUNTIFS(Override!$B$11:$B$40,$B241,Override!$D$11:$D$40,1,Override!$E$11:$E$40,"&gt;=0")-COUNTIFS(Override!$B$11:$B$40,$B241,Override!$D$11:$D$40,1,Override!$E$11:$E$40,"&gt;=0",Override!$C$11:$C$40,"AS51"))&gt;0,SUMIFS(Override!$E$11:$E$40,Override!$B$11:$B$40,$B241,Override!$D$11:$D$40,1)-SUMIFS(Override!$E$11:$E$40,Override!$B$11:$B$40,$B241,Override!$D$11:$D$40,1,Override!$C$11:$C$40,"AS51"),Override!$C$273)/MXAU!$B$3,"")))</f>
        <v/>
      </c>
      <c r="G241" s="140">
        <f>IF(G$226="","",IF($B241="","",IFERROR($C241*$D241*IF((Override!$C$4="ON")*(COUNTIFS(Override!$B$11:$B$40,$B241,Override!$D$11:$D$40,2,Override!$E$11:$E$40,"&gt;=0")-COUNTIFS(Override!$B$11:$B$40,$B241,Override!$D$11:$D$40,2,Override!$E$11:$E$40,"&gt;=0",Override!$C$11:$C$40,"AS51"))&gt;0,SUMIFS(Override!$E$11:$E$40,Override!$B$11:$B$40,$B241,Override!$D$11:$D$40,2)-SUMIFS(Override!$E$11:$E$40,Override!$B$11:$B$40,$B241,Override!$D$11:$D$40,2,Override!$C$11:$C$40,"AS51"),Override!$D$273)/MXAU!$B$3,"")))</f>
        <v/>
      </c>
      <c r="H241" s="140">
        <f>IF(H$226="","",IF($B241="","",IFERROR($C241*$D241*IF((Override!$C$4="ON")*(COUNTIFS(Override!$B$11:$B$40,$B241,Override!$D$11:$D$40,3,Override!$E$11:$E$40,"&gt;=0")-COUNTIFS(Override!$B$11:$B$40,$B241,Override!$D$11:$D$40,3,Override!$E$11:$E$40,"&gt;=0",Override!$C$11:$C$40,"AS51"))&gt;0,SUMIFS(Override!$E$11:$E$40,Override!$B$11:$B$40,$B241,Override!$D$11:$D$40,3)-SUMIFS(Override!$E$11:$E$40,Override!$B$11:$B$40,$B241,Override!$D$11:$D$40,3,Override!$C$11:$C$40,"AS51"),Override!$E$273)/MXAU!$B$3,"")))</f>
        <v/>
      </c>
      <c r="I241" s="140">
        <f>IF(I$226="","",IF($B241="","",IFERROR($C241*$D241*IF((Override!$C$4="ON")*(COUNTIFS(Override!$B$11:$B$40,$B241,Override!$D$11:$D$40,4,Override!$E$11:$E$40,"&gt;=0")-COUNTIFS(Override!$B$11:$B$40,$B241,Override!$D$11:$D$40,4,Override!$E$11:$E$40,"&gt;=0",Override!$C$11:$C$40,"AS51"))&gt;0,SUMIFS(Override!$E$11:$E$40,Override!$B$11:$B$40,$B241,Override!$D$11:$D$40,4)-SUMIFS(Override!$E$11:$E$40,Override!$B$11:$B$40,$B241,Override!$D$11:$D$40,4,Override!$C$11:$C$40,"AS51"),Override!$F$273)/MXAU!$B$3,"")))</f>
        <v/>
      </c>
      <c r="J241" s="140">
        <f>IF(J$226="","",IF($B241="","",IFERROR($C241*$D241*IF((Override!$C$4="ON")*(COUNTIFS(Override!$B$11:$B$40,$B241,Override!$D$11:$D$40,5,Override!$E$11:$E$40,"&gt;=0")-COUNTIFS(Override!$B$11:$B$40,$B241,Override!$D$11:$D$40,5,Override!$E$11:$E$40,"&gt;=0",Override!$C$11:$C$40,"AS51"))&gt;0,SUMIFS(Override!$E$11:$E$40,Override!$B$11:$B$40,$B241,Override!$D$11:$D$40,5)-SUMIFS(Override!$E$11:$E$40,Override!$B$11:$B$40,$B241,Override!$D$11:$D$40,5,Override!$C$11:$C$40,"AS51"),Override!$G$273)/MXAU!$B$3,"")))</f>
        <v/>
      </c>
      <c r="K241" s="140">
        <f>IF(K$226="","",IF($B241="","",IFERROR($C241*$D241*IF((Override!$C$4="ON")*(COUNTIFS(Override!$B$11:$B$40,$B241,Override!$D$11:$D$40,6,Override!$E$11:$E$40,"&gt;=0")-COUNTIFS(Override!$B$11:$B$40,$B241,Override!$D$11:$D$40,6,Override!$E$11:$E$40,"&gt;=0",Override!$C$11:$C$40,"AS51"))&gt;0,SUMIFS(Override!$E$11:$E$40,Override!$B$11:$B$40,$B241,Override!$D$11:$D$40,6)-SUMIFS(Override!$E$11:$E$40,Override!$B$11:$B$40,$B241,Override!$D$11:$D$40,6,Override!$C$11:$C$40,"AS51"),Override!$H$273)/MXAU!$B$3,"")))</f>
        <v/>
      </c>
      <c r="L241" s="140">
        <f>IF(L$226="","",IF($B241="","",IFERROR($C241*$D241*IF((Override!$C$4="ON")*(COUNTIFS(Override!$B$11:$B$40,$B241,Override!$D$11:$D$40,7,Override!$E$11:$E$40,"&gt;=0")-COUNTIFS(Override!$B$11:$B$40,$B241,Override!$D$11:$D$40,7,Override!$E$11:$E$40,"&gt;=0",Override!$C$11:$C$40,"AS51"))&gt;0,SUMIFS(Override!$E$11:$E$40,Override!$B$11:$B$40,$B241,Override!$D$11:$D$40,7)-SUMIFS(Override!$E$11:$E$40,Override!$B$11:$B$40,$B241,Override!$D$11:$D$40,7,Override!$C$11:$C$40,"AS51"),Override!$I$273)/MXAU!$B$3,"")))</f>
        <v/>
      </c>
      <c r="M241" s="140">
        <f>IF(M$226="","",IF($B241="","",IFERROR($C241*$D241*IF((Override!$C$4="ON")*(COUNTIFS(Override!$B$11:$B$40,$B241,Override!$D$11:$D$40,8,Override!$E$11:$E$40,"&gt;=0")-COUNTIFS(Override!$B$11:$B$40,$B241,Override!$D$11:$D$40,8,Override!$E$11:$E$40,"&gt;=0",Override!$C$11:$C$40,"AS51"))&gt;0,SUMIFS(Override!$E$11:$E$40,Override!$B$11:$B$40,$B241,Override!$D$11:$D$40,8)-SUMIFS(Override!$E$11:$E$40,Override!$B$11:$B$40,$B241,Override!$D$11:$D$40,8,Override!$C$11:$C$40,"AS51"),Override!$J$273)/MXAU!$B$3,"")))</f>
        <v/>
      </c>
      <c r="N241" s="140">
        <f>IF(N$226="","",IF($B241="","",IFERROR($C241*$D241*IF((Override!$C$4="ON")*(COUNTIFS(Override!$B$11:$B$40,$B241,Override!$D$11:$D$40,9,Override!$E$11:$E$40,"&gt;=0")-COUNTIFS(Override!$B$11:$B$40,$B241,Override!$D$11:$D$40,9,Override!$E$11:$E$40,"&gt;=0",Override!$C$11:$C$40,"AS51"))&gt;0,SUMIFS(Override!$E$11:$E$40,Override!$B$11:$B$40,$B241,Override!$D$11:$D$40,9)-SUMIFS(Override!$E$11:$E$40,Override!$B$11:$B$40,$B241,Override!$D$11:$D$40,9,Override!$C$11:$C$40,"AS51"),Override!$K$273)/MXAU!$B$3,"")))</f>
        <v/>
      </c>
      <c r="O241" s="140">
        <f>IF(O$226="","",IF($B241="","",IFERROR($C241*$D241*IF((Override!$C$4="ON")*(COUNTIFS(Override!$B$11:$B$40,$B241,Override!$D$11:$D$40,10,Override!$E$11:$E$40,"&gt;=0")-COUNTIFS(Override!$B$11:$B$40,$B241,Override!$D$11:$D$40,10,Override!$E$11:$E$40,"&gt;=0",Override!$C$11:$C$40,"AS51"))&gt;0,SUMIFS(Override!$E$11:$E$40,Override!$B$11:$B$40,$B241,Override!$D$11:$D$40,10)-SUMIFS(Override!$E$11:$E$40,Override!$B$11:$B$40,$B241,Override!$D$11:$D$40,10,Override!$C$11:$C$40,"AS51"),Override!$L$273)/MXAU!$B$3,"")))</f>
        <v/>
      </c>
      <c r="P241" s="140">
        <f>IF(P$226="","",IF($B241="","",IFERROR($C241*$D241*IF((Override!$C$4="ON")*(COUNTIFS(Override!$B$11:$B$40,$B241,Override!$D$11:$D$40,11,Override!$E$11:$E$40,"&gt;=0")-COUNTIFS(Override!$B$11:$B$40,$B241,Override!$D$11:$D$40,11,Override!$E$11:$E$40,"&gt;=0",Override!$C$11:$C$40,"AS51"))&gt;0,SUMIFS(Override!$E$11:$E$40,Override!$B$11:$B$40,$B241,Override!$D$11:$D$40,11)-SUMIFS(Override!$E$11:$E$40,Override!$B$11:$B$40,$B241,Override!$D$11:$D$40,11,Override!$C$11:$C$40,"AS51"),Override!$M$273)/MXAU!$B$3,"")))</f>
        <v/>
      </c>
      <c r="Q241" s="140">
        <f>IF(Q$226="","",IF($B241="","",IFERROR($C241*$D241*IF((Override!$C$4="ON")*(COUNTIFS(Override!$B$11:$B$40,$B241,Override!$D$11:$D$40,12,Override!$E$11:$E$40,"&gt;=0")-COUNTIFS(Override!$B$11:$B$40,$B241,Override!$D$11:$D$40,12,Override!$E$11:$E$40,"&gt;=0",Override!$C$11:$C$40,"AS51"))&gt;0,SUMIFS(Override!$E$11:$E$40,Override!$B$11:$B$40,$B241,Override!$D$11:$D$40,12)-SUMIFS(Override!$E$11:$E$40,Override!$B$11:$B$40,$B241,Override!$D$11:$D$40,12,Override!$C$11:$C$40,"AS51"),Override!$N$273)/MXAU!$B$3,"")))</f>
        <v/>
      </c>
      <c r="R241" s="140">
        <f>IF(R$226="","",IF($B241="","",IFERROR($C241*$D241*IF((Override!$C$4="ON")*(COUNTIFS(Override!$B$11:$B$40,$B241,Override!$D$11:$D$40,13,Override!$E$11:$E$40,"&gt;=0")-COUNTIFS(Override!$B$11:$B$40,$B241,Override!$D$11:$D$40,13,Override!$E$11:$E$40,"&gt;=0",Override!$C$11:$C$40,"AS51"))&gt;0,SUMIFS(Override!$E$11:$E$40,Override!$B$11:$B$40,$B241,Override!$D$11:$D$40,13)-SUMIFS(Override!$E$11:$E$40,Override!$B$11:$B$40,$B241,Override!$D$11:$D$40,13,Override!$C$11:$C$40,"AS51"),Override!$O$273)/MXAU!$B$3,"")))</f>
        <v/>
      </c>
      <c r="S241" s="140">
        <f>IF(S$226="","",IF($B241="","",IFERROR($C241*$D241*IF((Override!$C$4="ON")*(COUNTIFS(Override!$B$11:$B$40,$B241,Override!$D$11:$D$40,14,Override!$E$11:$E$40,"&gt;=0")-COUNTIFS(Override!$B$11:$B$40,$B241,Override!$D$11:$D$40,14,Override!$E$11:$E$40,"&gt;=0",Override!$C$11:$C$40,"AS51"))&gt;0,SUMIFS(Override!$E$11:$E$40,Override!$B$11:$B$40,$B241,Override!$D$11:$D$40,14)-SUMIFS(Override!$E$11:$E$40,Override!$B$11:$B$40,$B241,Override!$D$11:$D$40,14,Override!$C$11:$C$40,"AS51"),Override!$P$273)/MXAU!$B$3,"")))</f>
        <v/>
      </c>
      <c r="T241" s="140">
        <f>IF(T$226="","",IF($B241="","",IFERROR($C241*$D241*IF((Override!$C$4="ON")*(COUNTIFS(Override!$B$11:$B$40,$B241,Override!$D$11:$D$40,15,Override!$E$11:$E$40,"&gt;=0")-COUNTIFS(Override!$B$11:$B$40,$B241,Override!$D$11:$D$40,15,Override!$E$11:$E$40,"&gt;=0",Override!$C$11:$C$40,"AS51"))&gt;0,SUMIFS(Override!$E$11:$E$40,Override!$B$11:$B$40,$B241,Override!$D$11:$D$40,15)-SUMIFS(Override!$E$11:$E$40,Override!$B$11:$B$40,$B241,Override!$D$11:$D$40,15,Override!$C$11:$C$40,"AS51"),Override!$Q$273)/MXAU!$B$3,"")))</f>
        <v/>
      </c>
      <c r="U241" s="140">
        <f>IF(U$226="","",IF($B241="","",IFERROR($C241*$D241*IF((Override!$C$4="ON")*(COUNTIFS(Override!$B$11:$B$40,$B241,Override!$D$11:$D$40,16,Override!$E$11:$E$40,"&gt;=0")-COUNTIFS(Override!$B$11:$B$40,$B241,Override!$D$11:$D$40,16,Override!$E$11:$E$40,"&gt;=0",Override!$C$11:$C$40,"AS51"))&gt;0,SUMIFS(Override!$E$11:$E$40,Override!$B$11:$B$40,$B241,Override!$D$11:$D$40,16)-SUMIFS(Override!$E$11:$E$40,Override!$B$11:$B$40,$B241,Override!$D$11:$D$40,16,Override!$C$11:$C$40,"AS51"),Override!$R$273)/MXAU!$B$3,"")))</f>
        <v/>
      </c>
      <c r="W241" s="140">
        <f>IF(W$226="","",IF($B241="","",IFERROR(F241*$E241/100,"")))</f>
        <v/>
      </c>
      <c r="X241" s="140">
        <f>IF(X$226="","",IF($B241="","",IFERROR(G241*$E241/100,"")))</f>
        <v/>
      </c>
      <c r="Y241" s="140">
        <f>IF(Y$226="","",IF($B241="","",IFERROR(H241*$E241/100,"")))</f>
        <v/>
      </c>
      <c r="Z241" s="140">
        <f>IF(Z$226="","",IF($B241="","",IFERROR(I241*$E241/100,"")))</f>
        <v/>
      </c>
      <c r="AA241" s="140">
        <f>IF(AA$226="","",IF($B241="","",IFERROR(J241*$E241/100,"")))</f>
        <v/>
      </c>
      <c r="AB241" s="140">
        <f>IF(AB$226="","",IF($B241="","",IFERROR(K241*$E241/100,"")))</f>
        <v/>
      </c>
      <c r="AC241" s="140">
        <f>IF(AC$226="","",IF($B241="","",IFERROR(L241*$E241/100,"")))</f>
        <v/>
      </c>
      <c r="AD241" s="140">
        <f>IF(AD$226="","",IF($B241="","",IFERROR(M241*$E241/100,"")))</f>
        <v/>
      </c>
      <c r="AE241" s="140">
        <f>IF(AE$226="","",IF($B241="","",IFERROR(N241*$E241/100,"")))</f>
        <v/>
      </c>
      <c r="AF241" s="140">
        <f>IF(AF$226="","",IF($B241="","",IFERROR(O241*$E241/100,"")))</f>
        <v/>
      </c>
      <c r="AG241" s="140">
        <f>IF(AG$226="","",IF($B241="","",IFERROR(P241*$E241/100,"")))</f>
        <v/>
      </c>
      <c r="AH241" s="140">
        <f>IF(AH$226="","",IF($B241="","",IFERROR(Q241*$E241/100,"")))</f>
        <v/>
      </c>
      <c r="AI241" s="140">
        <f>IF(AI$226="","",IF($B241="","",IFERROR(R241*$E241/100,"")))</f>
        <v/>
      </c>
      <c r="AJ241" s="140">
        <f>IF(AJ$226="","",IF($B241="","",IFERROR(S241*$E241/100,"")))</f>
        <v/>
      </c>
      <c r="AK241" s="140">
        <f>IF(AK$226="","",IF($B241="","",IFERROR(T241*$E241/100,"")))</f>
        <v/>
      </c>
      <c r="AL241" s="140">
        <f>IF(AL$226="","",IF($B241="","",IFERROR(U241*$E241/100,"")))</f>
        <v/>
      </c>
      <c r="AN241" s="140">
        <f>IF($B241="","",SUMIF($F$226:$U$226,"&lt;="&amp;Sector!$E$51,$F241:$U241))</f>
        <v/>
      </c>
      <c r="AO241" s="140">
        <f>IF($B241="","",SUMIF($W$226:$AL$226,"&lt;="&amp;Sector!$E$51,$W241:$AL241))</f>
        <v/>
      </c>
    </row>
    <row r="242">
      <c r="B242" s="5">
        <f>IF(MXAU!$C$19="","",MXAU!$C$19)</f>
        <v/>
      </c>
      <c r="C242" s="90">
        <f>IF(MXAU!$B$19="","",MXAU!$B$19)</f>
        <v/>
      </c>
      <c r="D242" s="138">
        <f>IFERROR(MXAU!$Q$19,1)</f>
        <v/>
      </c>
      <c r="E242" s="139">
        <f>IF($B242="","",IF(ISNUMBER(MXAU!$I$19),MXAU!$I$19,'Index Summary'!$C$7))</f>
        <v/>
      </c>
      <c r="F242" s="140">
        <f>IF(F$226="","",IF($B242="","",IFERROR($C242*$D242*IF((Override!$C$4="ON")*(COUNTIFS(Override!$B$11:$B$40,$B242,Override!$D$11:$D$40,1,Override!$E$11:$E$40,"&gt;=0")-COUNTIFS(Override!$B$11:$B$40,$B242,Override!$D$11:$D$40,1,Override!$E$11:$E$40,"&gt;=0",Override!$C$11:$C$40,"AS51"))&gt;0,SUMIFS(Override!$E$11:$E$40,Override!$B$11:$B$40,$B242,Override!$D$11:$D$40,1)-SUMIFS(Override!$E$11:$E$40,Override!$B$11:$B$40,$B242,Override!$D$11:$D$40,1,Override!$C$11:$C$40,"AS51"),Override!$C$274)/MXAU!$B$3,"")))</f>
        <v/>
      </c>
      <c r="G242" s="140">
        <f>IF(G$226="","",IF($B242="","",IFERROR($C242*$D242*IF((Override!$C$4="ON")*(COUNTIFS(Override!$B$11:$B$40,$B242,Override!$D$11:$D$40,2,Override!$E$11:$E$40,"&gt;=0")-COUNTIFS(Override!$B$11:$B$40,$B242,Override!$D$11:$D$40,2,Override!$E$11:$E$40,"&gt;=0",Override!$C$11:$C$40,"AS51"))&gt;0,SUMIFS(Override!$E$11:$E$40,Override!$B$11:$B$40,$B242,Override!$D$11:$D$40,2)-SUMIFS(Override!$E$11:$E$40,Override!$B$11:$B$40,$B242,Override!$D$11:$D$40,2,Override!$C$11:$C$40,"AS51"),Override!$D$274)/MXAU!$B$3,"")))</f>
        <v/>
      </c>
      <c r="H242" s="140">
        <f>IF(H$226="","",IF($B242="","",IFERROR($C242*$D242*IF((Override!$C$4="ON")*(COUNTIFS(Override!$B$11:$B$40,$B242,Override!$D$11:$D$40,3,Override!$E$11:$E$40,"&gt;=0")-COUNTIFS(Override!$B$11:$B$40,$B242,Override!$D$11:$D$40,3,Override!$E$11:$E$40,"&gt;=0",Override!$C$11:$C$40,"AS51"))&gt;0,SUMIFS(Override!$E$11:$E$40,Override!$B$11:$B$40,$B242,Override!$D$11:$D$40,3)-SUMIFS(Override!$E$11:$E$40,Override!$B$11:$B$40,$B242,Override!$D$11:$D$40,3,Override!$C$11:$C$40,"AS51"),Override!$E$274)/MXAU!$B$3,"")))</f>
        <v/>
      </c>
      <c r="I242" s="140">
        <f>IF(I$226="","",IF($B242="","",IFERROR($C242*$D242*IF((Override!$C$4="ON")*(COUNTIFS(Override!$B$11:$B$40,$B242,Override!$D$11:$D$40,4,Override!$E$11:$E$40,"&gt;=0")-COUNTIFS(Override!$B$11:$B$40,$B242,Override!$D$11:$D$40,4,Override!$E$11:$E$40,"&gt;=0",Override!$C$11:$C$40,"AS51"))&gt;0,SUMIFS(Override!$E$11:$E$40,Override!$B$11:$B$40,$B242,Override!$D$11:$D$40,4)-SUMIFS(Override!$E$11:$E$40,Override!$B$11:$B$40,$B242,Override!$D$11:$D$40,4,Override!$C$11:$C$40,"AS51"),Override!$F$274)/MXAU!$B$3,"")))</f>
        <v/>
      </c>
      <c r="J242" s="140">
        <f>IF(J$226="","",IF($B242="","",IFERROR($C242*$D242*IF((Override!$C$4="ON")*(COUNTIFS(Override!$B$11:$B$40,$B242,Override!$D$11:$D$40,5,Override!$E$11:$E$40,"&gt;=0")-COUNTIFS(Override!$B$11:$B$40,$B242,Override!$D$11:$D$40,5,Override!$E$11:$E$40,"&gt;=0",Override!$C$11:$C$40,"AS51"))&gt;0,SUMIFS(Override!$E$11:$E$40,Override!$B$11:$B$40,$B242,Override!$D$11:$D$40,5)-SUMIFS(Override!$E$11:$E$40,Override!$B$11:$B$40,$B242,Override!$D$11:$D$40,5,Override!$C$11:$C$40,"AS51"),Override!$G$274)/MXAU!$B$3,"")))</f>
        <v/>
      </c>
      <c r="K242" s="140">
        <f>IF(K$226="","",IF($B242="","",IFERROR($C242*$D242*IF((Override!$C$4="ON")*(COUNTIFS(Override!$B$11:$B$40,$B242,Override!$D$11:$D$40,6,Override!$E$11:$E$40,"&gt;=0")-COUNTIFS(Override!$B$11:$B$40,$B242,Override!$D$11:$D$40,6,Override!$E$11:$E$40,"&gt;=0",Override!$C$11:$C$40,"AS51"))&gt;0,SUMIFS(Override!$E$11:$E$40,Override!$B$11:$B$40,$B242,Override!$D$11:$D$40,6)-SUMIFS(Override!$E$11:$E$40,Override!$B$11:$B$40,$B242,Override!$D$11:$D$40,6,Override!$C$11:$C$40,"AS51"),Override!$H$274)/MXAU!$B$3,"")))</f>
        <v/>
      </c>
      <c r="L242" s="140">
        <f>IF(L$226="","",IF($B242="","",IFERROR($C242*$D242*IF((Override!$C$4="ON")*(COUNTIFS(Override!$B$11:$B$40,$B242,Override!$D$11:$D$40,7,Override!$E$11:$E$40,"&gt;=0")-COUNTIFS(Override!$B$11:$B$40,$B242,Override!$D$11:$D$40,7,Override!$E$11:$E$40,"&gt;=0",Override!$C$11:$C$40,"AS51"))&gt;0,SUMIFS(Override!$E$11:$E$40,Override!$B$11:$B$40,$B242,Override!$D$11:$D$40,7)-SUMIFS(Override!$E$11:$E$40,Override!$B$11:$B$40,$B242,Override!$D$11:$D$40,7,Override!$C$11:$C$40,"AS51"),Override!$I$274)/MXAU!$B$3,"")))</f>
        <v/>
      </c>
      <c r="M242" s="140">
        <f>IF(M$226="","",IF($B242="","",IFERROR($C242*$D242*IF((Override!$C$4="ON")*(COUNTIFS(Override!$B$11:$B$40,$B242,Override!$D$11:$D$40,8,Override!$E$11:$E$40,"&gt;=0")-COUNTIFS(Override!$B$11:$B$40,$B242,Override!$D$11:$D$40,8,Override!$E$11:$E$40,"&gt;=0",Override!$C$11:$C$40,"AS51"))&gt;0,SUMIFS(Override!$E$11:$E$40,Override!$B$11:$B$40,$B242,Override!$D$11:$D$40,8)-SUMIFS(Override!$E$11:$E$40,Override!$B$11:$B$40,$B242,Override!$D$11:$D$40,8,Override!$C$11:$C$40,"AS51"),Override!$J$274)/MXAU!$B$3,"")))</f>
        <v/>
      </c>
      <c r="N242" s="140">
        <f>IF(N$226="","",IF($B242="","",IFERROR($C242*$D242*IF((Override!$C$4="ON")*(COUNTIFS(Override!$B$11:$B$40,$B242,Override!$D$11:$D$40,9,Override!$E$11:$E$40,"&gt;=0")-COUNTIFS(Override!$B$11:$B$40,$B242,Override!$D$11:$D$40,9,Override!$E$11:$E$40,"&gt;=0",Override!$C$11:$C$40,"AS51"))&gt;0,SUMIFS(Override!$E$11:$E$40,Override!$B$11:$B$40,$B242,Override!$D$11:$D$40,9)-SUMIFS(Override!$E$11:$E$40,Override!$B$11:$B$40,$B242,Override!$D$11:$D$40,9,Override!$C$11:$C$40,"AS51"),Override!$K$274)/MXAU!$B$3,"")))</f>
        <v/>
      </c>
      <c r="O242" s="140">
        <f>IF(O$226="","",IF($B242="","",IFERROR($C242*$D242*IF((Override!$C$4="ON")*(COUNTIFS(Override!$B$11:$B$40,$B242,Override!$D$11:$D$40,10,Override!$E$11:$E$40,"&gt;=0")-COUNTIFS(Override!$B$11:$B$40,$B242,Override!$D$11:$D$40,10,Override!$E$11:$E$40,"&gt;=0",Override!$C$11:$C$40,"AS51"))&gt;0,SUMIFS(Override!$E$11:$E$40,Override!$B$11:$B$40,$B242,Override!$D$11:$D$40,10)-SUMIFS(Override!$E$11:$E$40,Override!$B$11:$B$40,$B242,Override!$D$11:$D$40,10,Override!$C$11:$C$40,"AS51"),Override!$L$274)/MXAU!$B$3,"")))</f>
        <v/>
      </c>
      <c r="P242" s="140">
        <f>IF(P$226="","",IF($B242="","",IFERROR($C242*$D242*IF((Override!$C$4="ON")*(COUNTIFS(Override!$B$11:$B$40,$B242,Override!$D$11:$D$40,11,Override!$E$11:$E$40,"&gt;=0")-COUNTIFS(Override!$B$11:$B$40,$B242,Override!$D$11:$D$40,11,Override!$E$11:$E$40,"&gt;=0",Override!$C$11:$C$40,"AS51"))&gt;0,SUMIFS(Override!$E$11:$E$40,Override!$B$11:$B$40,$B242,Override!$D$11:$D$40,11)-SUMIFS(Override!$E$11:$E$40,Override!$B$11:$B$40,$B242,Override!$D$11:$D$40,11,Override!$C$11:$C$40,"AS51"),Override!$M$274)/MXAU!$B$3,"")))</f>
        <v/>
      </c>
      <c r="Q242" s="140">
        <f>IF(Q$226="","",IF($B242="","",IFERROR($C242*$D242*IF((Override!$C$4="ON")*(COUNTIFS(Override!$B$11:$B$40,$B242,Override!$D$11:$D$40,12,Override!$E$11:$E$40,"&gt;=0")-COUNTIFS(Override!$B$11:$B$40,$B242,Override!$D$11:$D$40,12,Override!$E$11:$E$40,"&gt;=0",Override!$C$11:$C$40,"AS51"))&gt;0,SUMIFS(Override!$E$11:$E$40,Override!$B$11:$B$40,$B242,Override!$D$11:$D$40,12)-SUMIFS(Override!$E$11:$E$40,Override!$B$11:$B$40,$B242,Override!$D$11:$D$40,12,Override!$C$11:$C$40,"AS51"),Override!$N$274)/MXAU!$B$3,"")))</f>
        <v/>
      </c>
      <c r="R242" s="140">
        <f>IF(R$226="","",IF($B242="","",IFERROR($C242*$D242*IF((Override!$C$4="ON")*(COUNTIFS(Override!$B$11:$B$40,$B242,Override!$D$11:$D$40,13,Override!$E$11:$E$40,"&gt;=0")-COUNTIFS(Override!$B$11:$B$40,$B242,Override!$D$11:$D$40,13,Override!$E$11:$E$40,"&gt;=0",Override!$C$11:$C$40,"AS51"))&gt;0,SUMIFS(Override!$E$11:$E$40,Override!$B$11:$B$40,$B242,Override!$D$11:$D$40,13)-SUMIFS(Override!$E$11:$E$40,Override!$B$11:$B$40,$B242,Override!$D$11:$D$40,13,Override!$C$11:$C$40,"AS51"),Override!$O$274)/MXAU!$B$3,"")))</f>
        <v/>
      </c>
      <c r="S242" s="140">
        <f>IF(S$226="","",IF($B242="","",IFERROR($C242*$D242*IF((Override!$C$4="ON")*(COUNTIFS(Override!$B$11:$B$40,$B242,Override!$D$11:$D$40,14,Override!$E$11:$E$40,"&gt;=0")-COUNTIFS(Override!$B$11:$B$40,$B242,Override!$D$11:$D$40,14,Override!$E$11:$E$40,"&gt;=0",Override!$C$11:$C$40,"AS51"))&gt;0,SUMIFS(Override!$E$11:$E$40,Override!$B$11:$B$40,$B242,Override!$D$11:$D$40,14)-SUMIFS(Override!$E$11:$E$40,Override!$B$11:$B$40,$B242,Override!$D$11:$D$40,14,Override!$C$11:$C$40,"AS51"),Override!$P$274)/MXAU!$B$3,"")))</f>
        <v/>
      </c>
      <c r="T242" s="140">
        <f>IF(T$226="","",IF($B242="","",IFERROR($C242*$D242*IF((Override!$C$4="ON")*(COUNTIFS(Override!$B$11:$B$40,$B242,Override!$D$11:$D$40,15,Override!$E$11:$E$40,"&gt;=0")-COUNTIFS(Override!$B$11:$B$40,$B242,Override!$D$11:$D$40,15,Override!$E$11:$E$40,"&gt;=0",Override!$C$11:$C$40,"AS51"))&gt;0,SUMIFS(Override!$E$11:$E$40,Override!$B$11:$B$40,$B242,Override!$D$11:$D$40,15)-SUMIFS(Override!$E$11:$E$40,Override!$B$11:$B$40,$B242,Override!$D$11:$D$40,15,Override!$C$11:$C$40,"AS51"),Override!$Q$274)/MXAU!$B$3,"")))</f>
        <v/>
      </c>
      <c r="U242" s="140">
        <f>IF(U$226="","",IF($B242="","",IFERROR($C242*$D242*IF((Override!$C$4="ON")*(COUNTIFS(Override!$B$11:$B$40,$B242,Override!$D$11:$D$40,16,Override!$E$11:$E$40,"&gt;=0")-COUNTIFS(Override!$B$11:$B$40,$B242,Override!$D$11:$D$40,16,Override!$E$11:$E$40,"&gt;=0",Override!$C$11:$C$40,"AS51"))&gt;0,SUMIFS(Override!$E$11:$E$40,Override!$B$11:$B$40,$B242,Override!$D$11:$D$40,16)-SUMIFS(Override!$E$11:$E$40,Override!$B$11:$B$40,$B242,Override!$D$11:$D$40,16,Override!$C$11:$C$40,"AS51"),Override!$R$274)/MXAU!$B$3,"")))</f>
        <v/>
      </c>
      <c r="W242" s="140">
        <f>IF(W$226="","",IF($B242="","",IFERROR(F242*$E242/100,"")))</f>
        <v/>
      </c>
      <c r="X242" s="140">
        <f>IF(X$226="","",IF($B242="","",IFERROR(G242*$E242/100,"")))</f>
        <v/>
      </c>
      <c r="Y242" s="140">
        <f>IF(Y$226="","",IF($B242="","",IFERROR(H242*$E242/100,"")))</f>
        <v/>
      </c>
      <c r="Z242" s="140">
        <f>IF(Z$226="","",IF($B242="","",IFERROR(I242*$E242/100,"")))</f>
        <v/>
      </c>
      <c r="AA242" s="140">
        <f>IF(AA$226="","",IF($B242="","",IFERROR(J242*$E242/100,"")))</f>
        <v/>
      </c>
      <c r="AB242" s="140">
        <f>IF(AB$226="","",IF($B242="","",IFERROR(K242*$E242/100,"")))</f>
        <v/>
      </c>
      <c r="AC242" s="140">
        <f>IF(AC$226="","",IF($B242="","",IFERROR(L242*$E242/100,"")))</f>
        <v/>
      </c>
      <c r="AD242" s="140">
        <f>IF(AD$226="","",IF($B242="","",IFERROR(M242*$E242/100,"")))</f>
        <v/>
      </c>
      <c r="AE242" s="140">
        <f>IF(AE$226="","",IF($B242="","",IFERROR(N242*$E242/100,"")))</f>
        <v/>
      </c>
      <c r="AF242" s="140">
        <f>IF(AF$226="","",IF($B242="","",IFERROR(O242*$E242/100,"")))</f>
        <v/>
      </c>
      <c r="AG242" s="140">
        <f>IF(AG$226="","",IF($B242="","",IFERROR(P242*$E242/100,"")))</f>
        <v/>
      </c>
      <c r="AH242" s="140">
        <f>IF(AH$226="","",IF($B242="","",IFERROR(Q242*$E242/100,"")))</f>
        <v/>
      </c>
      <c r="AI242" s="140">
        <f>IF(AI$226="","",IF($B242="","",IFERROR(R242*$E242/100,"")))</f>
        <v/>
      </c>
      <c r="AJ242" s="140">
        <f>IF(AJ$226="","",IF($B242="","",IFERROR(S242*$E242/100,"")))</f>
        <v/>
      </c>
      <c r="AK242" s="140">
        <f>IF(AK$226="","",IF($B242="","",IFERROR(T242*$E242/100,"")))</f>
        <v/>
      </c>
      <c r="AL242" s="140">
        <f>IF(AL$226="","",IF($B242="","",IFERROR(U242*$E242/100,"")))</f>
        <v/>
      </c>
      <c r="AN242" s="140">
        <f>IF($B242="","",SUMIF($F$226:$U$226,"&lt;="&amp;Sector!$E$51,$F242:$U242))</f>
        <v/>
      </c>
      <c r="AO242" s="140">
        <f>IF($B242="","",SUMIF($W$226:$AL$226,"&lt;="&amp;Sector!$E$51,$W242:$AL242))</f>
        <v/>
      </c>
    </row>
    <row r="243">
      <c r="B243" s="5">
        <f>IF(MXAU!$C$20="","",MXAU!$C$20)</f>
        <v/>
      </c>
      <c r="C243" s="90">
        <f>IF(MXAU!$B$20="","",MXAU!$B$20)</f>
        <v/>
      </c>
      <c r="D243" s="138">
        <f>IFERROR(MXAU!$Q$20,1)</f>
        <v/>
      </c>
      <c r="E243" s="139">
        <f>IF($B243="","",IF(ISNUMBER(MXAU!$I$20),MXAU!$I$20,'Index Summary'!$C$7))</f>
        <v/>
      </c>
      <c r="F243" s="140">
        <f>IF(F$226="","",IF($B243="","",IFERROR($C243*$D243*IF((Override!$C$4="ON")*(COUNTIFS(Override!$B$11:$B$40,$B243,Override!$D$11:$D$40,1,Override!$E$11:$E$40,"&gt;=0")-COUNTIFS(Override!$B$11:$B$40,$B243,Override!$D$11:$D$40,1,Override!$E$11:$E$40,"&gt;=0",Override!$C$11:$C$40,"AS51"))&gt;0,SUMIFS(Override!$E$11:$E$40,Override!$B$11:$B$40,$B243,Override!$D$11:$D$40,1)-SUMIFS(Override!$E$11:$E$40,Override!$B$11:$B$40,$B243,Override!$D$11:$D$40,1,Override!$C$11:$C$40,"AS51"),Override!$C$275)/MXAU!$B$3,"")))</f>
        <v/>
      </c>
      <c r="G243" s="140">
        <f>IF(G$226="","",IF($B243="","",IFERROR($C243*$D243*IF((Override!$C$4="ON")*(COUNTIFS(Override!$B$11:$B$40,$B243,Override!$D$11:$D$40,2,Override!$E$11:$E$40,"&gt;=0")-COUNTIFS(Override!$B$11:$B$40,$B243,Override!$D$11:$D$40,2,Override!$E$11:$E$40,"&gt;=0",Override!$C$11:$C$40,"AS51"))&gt;0,SUMIFS(Override!$E$11:$E$40,Override!$B$11:$B$40,$B243,Override!$D$11:$D$40,2)-SUMIFS(Override!$E$11:$E$40,Override!$B$11:$B$40,$B243,Override!$D$11:$D$40,2,Override!$C$11:$C$40,"AS51"),Override!$D$275)/MXAU!$B$3,"")))</f>
        <v/>
      </c>
      <c r="H243" s="140">
        <f>IF(H$226="","",IF($B243="","",IFERROR($C243*$D243*IF((Override!$C$4="ON")*(COUNTIFS(Override!$B$11:$B$40,$B243,Override!$D$11:$D$40,3,Override!$E$11:$E$40,"&gt;=0")-COUNTIFS(Override!$B$11:$B$40,$B243,Override!$D$11:$D$40,3,Override!$E$11:$E$40,"&gt;=0",Override!$C$11:$C$40,"AS51"))&gt;0,SUMIFS(Override!$E$11:$E$40,Override!$B$11:$B$40,$B243,Override!$D$11:$D$40,3)-SUMIFS(Override!$E$11:$E$40,Override!$B$11:$B$40,$B243,Override!$D$11:$D$40,3,Override!$C$11:$C$40,"AS51"),Override!$E$275)/MXAU!$B$3,"")))</f>
        <v/>
      </c>
      <c r="I243" s="140">
        <f>IF(I$226="","",IF($B243="","",IFERROR($C243*$D243*IF((Override!$C$4="ON")*(COUNTIFS(Override!$B$11:$B$40,$B243,Override!$D$11:$D$40,4,Override!$E$11:$E$40,"&gt;=0")-COUNTIFS(Override!$B$11:$B$40,$B243,Override!$D$11:$D$40,4,Override!$E$11:$E$40,"&gt;=0",Override!$C$11:$C$40,"AS51"))&gt;0,SUMIFS(Override!$E$11:$E$40,Override!$B$11:$B$40,$B243,Override!$D$11:$D$40,4)-SUMIFS(Override!$E$11:$E$40,Override!$B$11:$B$40,$B243,Override!$D$11:$D$40,4,Override!$C$11:$C$40,"AS51"),Override!$F$275)/MXAU!$B$3,"")))</f>
        <v/>
      </c>
      <c r="J243" s="140">
        <f>IF(J$226="","",IF($B243="","",IFERROR($C243*$D243*IF((Override!$C$4="ON")*(COUNTIFS(Override!$B$11:$B$40,$B243,Override!$D$11:$D$40,5,Override!$E$11:$E$40,"&gt;=0")-COUNTIFS(Override!$B$11:$B$40,$B243,Override!$D$11:$D$40,5,Override!$E$11:$E$40,"&gt;=0",Override!$C$11:$C$40,"AS51"))&gt;0,SUMIFS(Override!$E$11:$E$40,Override!$B$11:$B$40,$B243,Override!$D$11:$D$40,5)-SUMIFS(Override!$E$11:$E$40,Override!$B$11:$B$40,$B243,Override!$D$11:$D$40,5,Override!$C$11:$C$40,"AS51"),Override!$G$275)/MXAU!$B$3,"")))</f>
        <v/>
      </c>
      <c r="K243" s="140">
        <f>IF(K$226="","",IF($B243="","",IFERROR($C243*$D243*IF((Override!$C$4="ON")*(COUNTIFS(Override!$B$11:$B$40,$B243,Override!$D$11:$D$40,6,Override!$E$11:$E$40,"&gt;=0")-COUNTIFS(Override!$B$11:$B$40,$B243,Override!$D$11:$D$40,6,Override!$E$11:$E$40,"&gt;=0",Override!$C$11:$C$40,"AS51"))&gt;0,SUMIFS(Override!$E$11:$E$40,Override!$B$11:$B$40,$B243,Override!$D$11:$D$40,6)-SUMIFS(Override!$E$11:$E$40,Override!$B$11:$B$40,$B243,Override!$D$11:$D$40,6,Override!$C$11:$C$40,"AS51"),Override!$H$275)/MXAU!$B$3,"")))</f>
        <v/>
      </c>
      <c r="L243" s="140">
        <f>IF(L$226="","",IF($B243="","",IFERROR($C243*$D243*IF((Override!$C$4="ON")*(COUNTIFS(Override!$B$11:$B$40,$B243,Override!$D$11:$D$40,7,Override!$E$11:$E$40,"&gt;=0")-COUNTIFS(Override!$B$11:$B$40,$B243,Override!$D$11:$D$40,7,Override!$E$11:$E$40,"&gt;=0",Override!$C$11:$C$40,"AS51"))&gt;0,SUMIFS(Override!$E$11:$E$40,Override!$B$11:$B$40,$B243,Override!$D$11:$D$40,7)-SUMIFS(Override!$E$11:$E$40,Override!$B$11:$B$40,$B243,Override!$D$11:$D$40,7,Override!$C$11:$C$40,"AS51"),Override!$I$275)/MXAU!$B$3,"")))</f>
        <v/>
      </c>
      <c r="M243" s="140">
        <f>IF(M$226="","",IF($B243="","",IFERROR($C243*$D243*IF((Override!$C$4="ON")*(COUNTIFS(Override!$B$11:$B$40,$B243,Override!$D$11:$D$40,8,Override!$E$11:$E$40,"&gt;=0")-COUNTIFS(Override!$B$11:$B$40,$B243,Override!$D$11:$D$40,8,Override!$E$11:$E$40,"&gt;=0",Override!$C$11:$C$40,"AS51"))&gt;0,SUMIFS(Override!$E$11:$E$40,Override!$B$11:$B$40,$B243,Override!$D$11:$D$40,8)-SUMIFS(Override!$E$11:$E$40,Override!$B$11:$B$40,$B243,Override!$D$11:$D$40,8,Override!$C$11:$C$40,"AS51"),Override!$J$275)/MXAU!$B$3,"")))</f>
        <v/>
      </c>
      <c r="N243" s="140">
        <f>IF(N$226="","",IF($B243="","",IFERROR($C243*$D243*IF((Override!$C$4="ON")*(COUNTIFS(Override!$B$11:$B$40,$B243,Override!$D$11:$D$40,9,Override!$E$11:$E$40,"&gt;=0")-COUNTIFS(Override!$B$11:$B$40,$B243,Override!$D$11:$D$40,9,Override!$E$11:$E$40,"&gt;=0",Override!$C$11:$C$40,"AS51"))&gt;0,SUMIFS(Override!$E$11:$E$40,Override!$B$11:$B$40,$B243,Override!$D$11:$D$40,9)-SUMIFS(Override!$E$11:$E$40,Override!$B$11:$B$40,$B243,Override!$D$11:$D$40,9,Override!$C$11:$C$40,"AS51"),Override!$K$275)/MXAU!$B$3,"")))</f>
        <v/>
      </c>
      <c r="O243" s="140">
        <f>IF(O$226="","",IF($B243="","",IFERROR($C243*$D243*IF((Override!$C$4="ON")*(COUNTIFS(Override!$B$11:$B$40,$B243,Override!$D$11:$D$40,10,Override!$E$11:$E$40,"&gt;=0")-COUNTIFS(Override!$B$11:$B$40,$B243,Override!$D$11:$D$40,10,Override!$E$11:$E$40,"&gt;=0",Override!$C$11:$C$40,"AS51"))&gt;0,SUMIFS(Override!$E$11:$E$40,Override!$B$11:$B$40,$B243,Override!$D$11:$D$40,10)-SUMIFS(Override!$E$11:$E$40,Override!$B$11:$B$40,$B243,Override!$D$11:$D$40,10,Override!$C$11:$C$40,"AS51"),Override!$L$275)/MXAU!$B$3,"")))</f>
        <v/>
      </c>
      <c r="P243" s="140">
        <f>IF(P$226="","",IF($B243="","",IFERROR($C243*$D243*IF((Override!$C$4="ON")*(COUNTIFS(Override!$B$11:$B$40,$B243,Override!$D$11:$D$40,11,Override!$E$11:$E$40,"&gt;=0")-COUNTIFS(Override!$B$11:$B$40,$B243,Override!$D$11:$D$40,11,Override!$E$11:$E$40,"&gt;=0",Override!$C$11:$C$40,"AS51"))&gt;0,SUMIFS(Override!$E$11:$E$40,Override!$B$11:$B$40,$B243,Override!$D$11:$D$40,11)-SUMIFS(Override!$E$11:$E$40,Override!$B$11:$B$40,$B243,Override!$D$11:$D$40,11,Override!$C$11:$C$40,"AS51"),Override!$M$275)/MXAU!$B$3,"")))</f>
        <v/>
      </c>
      <c r="Q243" s="140">
        <f>IF(Q$226="","",IF($B243="","",IFERROR($C243*$D243*IF((Override!$C$4="ON")*(COUNTIFS(Override!$B$11:$B$40,$B243,Override!$D$11:$D$40,12,Override!$E$11:$E$40,"&gt;=0")-COUNTIFS(Override!$B$11:$B$40,$B243,Override!$D$11:$D$40,12,Override!$E$11:$E$40,"&gt;=0",Override!$C$11:$C$40,"AS51"))&gt;0,SUMIFS(Override!$E$11:$E$40,Override!$B$11:$B$40,$B243,Override!$D$11:$D$40,12)-SUMIFS(Override!$E$11:$E$40,Override!$B$11:$B$40,$B243,Override!$D$11:$D$40,12,Override!$C$11:$C$40,"AS51"),Override!$N$275)/MXAU!$B$3,"")))</f>
        <v/>
      </c>
      <c r="R243" s="140">
        <f>IF(R$226="","",IF($B243="","",IFERROR($C243*$D243*IF((Override!$C$4="ON")*(COUNTIFS(Override!$B$11:$B$40,$B243,Override!$D$11:$D$40,13,Override!$E$11:$E$40,"&gt;=0")-COUNTIFS(Override!$B$11:$B$40,$B243,Override!$D$11:$D$40,13,Override!$E$11:$E$40,"&gt;=0",Override!$C$11:$C$40,"AS51"))&gt;0,SUMIFS(Override!$E$11:$E$40,Override!$B$11:$B$40,$B243,Override!$D$11:$D$40,13)-SUMIFS(Override!$E$11:$E$40,Override!$B$11:$B$40,$B243,Override!$D$11:$D$40,13,Override!$C$11:$C$40,"AS51"),Override!$O$275)/MXAU!$B$3,"")))</f>
        <v/>
      </c>
      <c r="S243" s="140">
        <f>IF(S$226="","",IF($B243="","",IFERROR($C243*$D243*IF((Override!$C$4="ON")*(COUNTIFS(Override!$B$11:$B$40,$B243,Override!$D$11:$D$40,14,Override!$E$11:$E$40,"&gt;=0")-COUNTIFS(Override!$B$11:$B$40,$B243,Override!$D$11:$D$40,14,Override!$E$11:$E$40,"&gt;=0",Override!$C$11:$C$40,"AS51"))&gt;0,SUMIFS(Override!$E$11:$E$40,Override!$B$11:$B$40,$B243,Override!$D$11:$D$40,14)-SUMIFS(Override!$E$11:$E$40,Override!$B$11:$B$40,$B243,Override!$D$11:$D$40,14,Override!$C$11:$C$40,"AS51"),Override!$P$275)/MXAU!$B$3,"")))</f>
        <v/>
      </c>
      <c r="T243" s="140">
        <f>IF(T$226="","",IF($B243="","",IFERROR($C243*$D243*IF((Override!$C$4="ON")*(COUNTIFS(Override!$B$11:$B$40,$B243,Override!$D$11:$D$40,15,Override!$E$11:$E$40,"&gt;=0")-COUNTIFS(Override!$B$11:$B$40,$B243,Override!$D$11:$D$40,15,Override!$E$11:$E$40,"&gt;=0",Override!$C$11:$C$40,"AS51"))&gt;0,SUMIFS(Override!$E$11:$E$40,Override!$B$11:$B$40,$B243,Override!$D$11:$D$40,15)-SUMIFS(Override!$E$11:$E$40,Override!$B$11:$B$40,$B243,Override!$D$11:$D$40,15,Override!$C$11:$C$40,"AS51"),Override!$Q$275)/MXAU!$B$3,"")))</f>
        <v/>
      </c>
      <c r="U243" s="140">
        <f>IF(U$226="","",IF($B243="","",IFERROR($C243*$D243*IF((Override!$C$4="ON")*(COUNTIFS(Override!$B$11:$B$40,$B243,Override!$D$11:$D$40,16,Override!$E$11:$E$40,"&gt;=0")-COUNTIFS(Override!$B$11:$B$40,$B243,Override!$D$11:$D$40,16,Override!$E$11:$E$40,"&gt;=0",Override!$C$11:$C$40,"AS51"))&gt;0,SUMIFS(Override!$E$11:$E$40,Override!$B$11:$B$40,$B243,Override!$D$11:$D$40,16)-SUMIFS(Override!$E$11:$E$40,Override!$B$11:$B$40,$B243,Override!$D$11:$D$40,16,Override!$C$11:$C$40,"AS51"),Override!$R$275)/MXAU!$B$3,"")))</f>
        <v/>
      </c>
      <c r="W243" s="140">
        <f>IF(W$226="","",IF($B243="","",IFERROR(F243*$E243/100,"")))</f>
        <v/>
      </c>
      <c r="X243" s="140">
        <f>IF(X$226="","",IF($B243="","",IFERROR(G243*$E243/100,"")))</f>
        <v/>
      </c>
      <c r="Y243" s="140">
        <f>IF(Y$226="","",IF($B243="","",IFERROR(H243*$E243/100,"")))</f>
        <v/>
      </c>
      <c r="Z243" s="140">
        <f>IF(Z$226="","",IF($B243="","",IFERROR(I243*$E243/100,"")))</f>
        <v/>
      </c>
      <c r="AA243" s="140">
        <f>IF(AA$226="","",IF($B243="","",IFERROR(J243*$E243/100,"")))</f>
        <v/>
      </c>
      <c r="AB243" s="140">
        <f>IF(AB$226="","",IF($B243="","",IFERROR(K243*$E243/100,"")))</f>
        <v/>
      </c>
      <c r="AC243" s="140">
        <f>IF(AC$226="","",IF($B243="","",IFERROR(L243*$E243/100,"")))</f>
        <v/>
      </c>
      <c r="AD243" s="140">
        <f>IF(AD$226="","",IF($B243="","",IFERROR(M243*$E243/100,"")))</f>
        <v/>
      </c>
      <c r="AE243" s="140">
        <f>IF(AE$226="","",IF($B243="","",IFERROR(N243*$E243/100,"")))</f>
        <v/>
      </c>
      <c r="AF243" s="140">
        <f>IF(AF$226="","",IF($B243="","",IFERROR(O243*$E243/100,"")))</f>
        <v/>
      </c>
      <c r="AG243" s="140">
        <f>IF(AG$226="","",IF($B243="","",IFERROR(P243*$E243/100,"")))</f>
        <v/>
      </c>
      <c r="AH243" s="140">
        <f>IF(AH$226="","",IF($B243="","",IFERROR(Q243*$E243/100,"")))</f>
        <v/>
      </c>
      <c r="AI243" s="140">
        <f>IF(AI$226="","",IF($B243="","",IFERROR(R243*$E243/100,"")))</f>
        <v/>
      </c>
      <c r="AJ243" s="140">
        <f>IF(AJ$226="","",IF($B243="","",IFERROR(S243*$E243/100,"")))</f>
        <v/>
      </c>
      <c r="AK243" s="140">
        <f>IF(AK$226="","",IF($B243="","",IFERROR(T243*$E243/100,"")))</f>
        <v/>
      </c>
      <c r="AL243" s="140">
        <f>IF(AL$226="","",IF($B243="","",IFERROR(U243*$E243/100,"")))</f>
        <v/>
      </c>
      <c r="AN243" s="140">
        <f>IF($B243="","",SUMIF($F$226:$U$226,"&lt;="&amp;Sector!$E$51,$F243:$U243))</f>
        <v/>
      </c>
      <c r="AO243" s="140">
        <f>IF($B243="","",SUMIF($W$226:$AL$226,"&lt;="&amp;Sector!$E$51,$W243:$AL243))</f>
        <v/>
      </c>
    </row>
    <row r="244">
      <c r="B244" s="5">
        <f>IF(MXAU!$C$21="","",MXAU!$C$21)</f>
        <v/>
      </c>
      <c r="C244" s="90">
        <f>IF(MXAU!$B$21="","",MXAU!$B$21)</f>
        <v/>
      </c>
      <c r="D244" s="138">
        <f>IFERROR(MXAU!$Q$21,1)</f>
        <v/>
      </c>
      <c r="E244" s="139">
        <f>IF($B244="","",IF(ISNUMBER(MXAU!$I$21),MXAU!$I$21,'Index Summary'!$C$7))</f>
        <v/>
      </c>
      <c r="F244" s="140">
        <f>IF(F$226="","",IF($B244="","",IFERROR($C244*$D244*IF((Override!$C$4="ON")*(COUNTIFS(Override!$B$11:$B$40,$B244,Override!$D$11:$D$40,1,Override!$E$11:$E$40,"&gt;=0")-COUNTIFS(Override!$B$11:$B$40,$B244,Override!$D$11:$D$40,1,Override!$E$11:$E$40,"&gt;=0",Override!$C$11:$C$40,"AS51"))&gt;0,SUMIFS(Override!$E$11:$E$40,Override!$B$11:$B$40,$B244,Override!$D$11:$D$40,1)-SUMIFS(Override!$E$11:$E$40,Override!$B$11:$B$40,$B244,Override!$D$11:$D$40,1,Override!$C$11:$C$40,"AS51"),Override!$C$276)/MXAU!$B$3,"")))</f>
        <v/>
      </c>
      <c r="G244" s="140">
        <f>IF(G$226="","",IF($B244="","",IFERROR($C244*$D244*IF((Override!$C$4="ON")*(COUNTIFS(Override!$B$11:$B$40,$B244,Override!$D$11:$D$40,2,Override!$E$11:$E$40,"&gt;=0")-COUNTIFS(Override!$B$11:$B$40,$B244,Override!$D$11:$D$40,2,Override!$E$11:$E$40,"&gt;=0",Override!$C$11:$C$40,"AS51"))&gt;0,SUMIFS(Override!$E$11:$E$40,Override!$B$11:$B$40,$B244,Override!$D$11:$D$40,2)-SUMIFS(Override!$E$11:$E$40,Override!$B$11:$B$40,$B244,Override!$D$11:$D$40,2,Override!$C$11:$C$40,"AS51"),Override!$D$276)/MXAU!$B$3,"")))</f>
        <v/>
      </c>
      <c r="H244" s="140">
        <f>IF(H$226="","",IF($B244="","",IFERROR($C244*$D244*IF((Override!$C$4="ON")*(COUNTIFS(Override!$B$11:$B$40,$B244,Override!$D$11:$D$40,3,Override!$E$11:$E$40,"&gt;=0")-COUNTIFS(Override!$B$11:$B$40,$B244,Override!$D$11:$D$40,3,Override!$E$11:$E$40,"&gt;=0",Override!$C$11:$C$40,"AS51"))&gt;0,SUMIFS(Override!$E$11:$E$40,Override!$B$11:$B$40,$B244,Override!$D$11:$D$40,3)-SUMIFS(Override!$E$11:$E$40,Override!$B$11:$B$40,$B244,Override!$D$11:$D$40,3,Override!$C$11:$C$40,"AS51"),Override!$E$276)/MXAU!$B$3,"")))</f>
        <v/>
      </c>
      <c r="I244" s="140">
        <f>IF(I$226="","",IF($B244="","",IFERROR($C244*$D244*IF((Override!$C$4="ON")*(COUNTIFS(Override!$B$11:$B$40,$B244,Override!$D$11:$D$40,4,Override!$E$11:$E$40,"&gt;=0")-COUNTIFS(Override!$B$11:$B$40,$B244,Override!$D$11:$D$40,4,Override!$E$11:$E$40,"&gt;=0",Override!$C$11:$C$40,"AS51"))&gt;0,SUMIFS(Override!$E$11:$E$40,Override!$B$11:$B$40,$B244,Override!$D$11:$D$40,4)-SUMIFS(Override!$E$11:$E$40,Override!$B$11:$B$40,$B244,Override!$D$11:$D$40,4,Override!$C$11:$C$40,"AS51"),Override!$F$276)/MXAU!$B$3,"")))</f>
        <v/>
      </c>
      <c r="J244" s="140">
        <f>IF(J$226="","",IF($B244="","",IFERROR($C244*$D244*IF((Override!$C$4="ON")*(COUNTIFS(Override!$B$11:$B$40,$B244,Override!$D$11:$D$40,5,Override!$E$11:$E$40,"&gt;=0")-COUNTIFS(Override!$B$11:$B$40,$B244,Override!$D$11:$D$40,5,Override!$E$11:$E$40,"&gt;=0",Override!$C$11:$C$40,"AS51"))&gt;0,SUMIFS(Override!$E$11:$E$40,Override!$B$11:$B$40,$B244,Override!$D$11:$D$40,5)-SUMIFS(Override!$E$11:$E$40,Override!$B$11:$B$40,$B244,Override!$D$11:$D$40,5,Override!$C$11:$C$40,"AS51"),Override!$G$276)/MXAU!$B$3,"")))</f>
        <v/>
      </c>
      <c r="K244" s="140">
        <f>IF(K$226="","",IF($B244="","",IFERROR($C244*$D244*IF((Override!$C$4="ON")*(COUNTIFS(Override!$B$11:$B$40,$B244,Override!$D$11:$D$40,6,Override!$E$11:$E$40,"&gt;=0")-COUNTIFS(Override!$B$11:$B$40,$B244,Override!$D$11:$D$40,6,Override!$E$11:$E$40,"&gt;=0",Override!$C$11:$C$40,"AS51"))&gt;0,SUMIFS(Override!$E$11:$E$40,Override!$B$11:$B$40,$B244,Override!$D$11:$D$40,6)-SUMIFS(Override!$E$11:$E$40,Override!$B$11:$B$40,$B244,Override!$D$11:$D$40,6,Override!$C$11:$C$40,"AS51"),Override!$H$276)/MXAU!$B$3,"")))</f>
        <v/>
      </c>
      <c r="L244" s="140">
        <f>IF(L$226="","",IF($B244="","",IFERROR($C244*$D244*IF((Override!$C$4="ON")*(COUNTIFS(Override!$B$11:$B$40,$B244,Override!$D$11:$D$40,7,Override!$E$11:$E$40,"&gt;=0")-COUNTIFS(Override!$B$11:$B$40,$B244,Override!$D$11:$D$40,7,Override!$E$11:$E$40,"&gt;=0",Override!$C$11:$C$40,"AS51"))&gt;0,SUMIFS(Override!$E$11:$E$40,Override!$B$11:$B$40,$B244,Override!$D$11:$D$40,7)-SUMIFS(Override!$E$11:$E$40,Override!$B$11:$B$40,$B244,Override!$D$11:$D$40,7,Override!$C$11:$C$40,"AS51"),Override!$I$276)/MXAU!$B$3,"")))</f>
        <v/>
      </c>
      <c r="M244" s="140">
        <f>IF(M$226="","",IF($B244="","",IFERROR($C244*$D244*IF((Override!$C$4="ON")*(COUNTIFS(Override!$B$11:$B$40,$B244,Override!$D$11:$D$40,8,Override!$E$11:$E$40,"&gt;=0")-COUNTIFS(Override!$B$11:$B$40,$B244,Override!$D$11:$D$40,8,Override!$E$11:$E$40,"&gt;=0",Override!$C$11:$C$40,"AS51"))&gt;0,SUMIFS(Override!$E$11:$E$40,Override!$B$11:$B$40,$B244,Override!$D$11:$D$40,8)-SUMIFS(Override!$E$11:$E$40,Override!$B$11:$B$40,$B244,Override!$D$11:$D$40,8,Override!$C$11:$C$40,"AS51"),Override!$J$276)/MXAU!$B$3,"")))</f>
        <v/>
      </c>
      <c r="N244" s="140">
        <f>IF(N$226="","",IF($B244="","",IFERROR($C244*$D244*IF((Override!$C$4="ON")*(COUNTIFS(Override!$B$11:$B$40,$B244,Override!$D$11:$D$40,9,Override!$E$11:$E$40,"&gt;=0")-COUNTIFS(Override!$B$11:$B$40,$B244,Override!$D$11:$D$40,9,Override!$E$11:$E$40,"&gt;=0",Override!$C$11:$C$40,"AS51"))&gt;0,SUMIFS(Override!$E$11:$E$40,Override!$B$11:$B$40,$B244,Override!$D$11:$D$40,9)-SUMIFS(Override!$E$11:$E$40,Override!$B$11:$B$40,$B244,Override!$D$11:$D$40,9,Override!$C$11:$C$40,"AS51"),Override!$K$276)/MXAU!$B$3,"")))</f>
        <v/>
      </c>
      <c r="O244" s="140">
        <f>IF(O$226="","",IF($B244="","",IFERROR($C244*$D244*IF((Override!$C$4="ON")*(COUNTIFS(Override!$B$11:$B$40,$B244,Override!$D$11:$D$40,10,Override!$E$11:$E$40,"&gt;=0")-COUNTIFS(Override!$B$11:$B$40,$B244,Override!$D$11:$D$40,10,Override!$E$11:$E$40,"&gt;=0",Override!$C$11:$C$40,"AS51"))&gt;0,SUMIFS(Override!$E$11:$E$40,Override!$B$11:$B$40,$B244,Override!$D$11:$D$40,10)-SUMIFS(Override!$E$11:$E$40,Override!$B$11:$B$40,$B244,Override!$D$11:$D$40,10,Override!$C$11:$C$40,"AS51"),Override!$L$276)/MXAU!$B$3,"")))</f>
        <v/>
      </c>
      <c r="P244" s="140">
        <f>IF(P$226="","",IF($B244="","",IFERROR($C244*$D244*IF((Override!$C$4="ON")*(COUNTIFS(Override!$B$11:$B$40,$B244,Override!$D$11:$D$40,11,Override!$E$11:$E$40,"&gt;=0")-COUNTIFS(Override!$B$11:$B$40,$B244,Override!$D$11:$D$40,11,Override!$E$11:$E$40,"&gt;=0",Override!$C$11:$C$40,"AS51"))&gt;0,SUMIFS(Override!$E$11:$E$40,Override!$B$11:$B$40,$B244,Override!$D$11:$D$40,11)-SUMIFS(Override!$E$11:$E$40,Override!$B$11:$B$40,$B244,Override!$D$11:$D$40,11,Override!$C$11:$C$40,"AS51"),Override!$M$276)/MXAU!$B$3,"")))</f>
        <v/>
      </c>
      <c r="Q244" s="140">
        <f>IF(Q$226="","",IF($B244="","",IFERROR($C244*$D244*IF((Override!$C$4="ON")*(COUNTIFS(Override!$B$11:$B$40,$B244,Override!$D$11:$D$40,12,Override!$E$11:$E$40,"&gt;=0")-COUNTIFS(Override!$B$11:$B$40,$B244,Override!$D$11:$D$40,12,Override!$E$11:$E$40,"&gt;=0",Override!$C$11:$C$40,"AS51"))&gt;0,SUMIFS(Override!$E$11:$E$40,Override!$B$11:$B$40,$B244,Override!$D$11:$D$40,12)-SUMIFS(Override!$E$11:$E$40,Override!$B$11:$B$40,$B244,Override!$D$11:$D$40,12,Override!$C$11:$C$40,"AS51"),Override!$N$276)/MXAU!$B$3,"")))</f>
        <v/>
      </c>
      <c r="R244" s="140">
        <f>IF(R$226="","",IF($B244="","",IFERROR($C244*$D244*IF((Override!$C$4="ON")*(COUNTIFS(Override!$B$11:$B$40,$B244,Override!$D$11:$D$40,13,Override!$E$11:$E$40,"&gt;=0")-COUNTIFS(Override!$B$11:$B$40,$B244,Override!$D$11:$D$40,13,Override!$E$11:$E$40,"&gt;=0",Override!$C$11:$C$40,"AS51"))&gt;0,SUMIFS(Override!$E$11:$E$40,Override!$B$11:$B$40,$B244,Override!$D$11:$D$40,13)-SUMIFS(Override!$E$11:$E$40,Override!$B$11:$B$40,$B244,Override!$D$11:$D$40,13,Override!$C$11:$C$40,"AS51"),Override!$O$276)/MXAU!$B$3,"")))</f>
        <v/>
      </c>
      <c r="S244" s="140">
        <f>IF(S$226="","",IF($B244="","",IFERROR($C244*$D244*IF((Override!$C$4="ON")*(COUNTIFS(Override!$B$11:$B$40,$B244,Override!$D$11:$D$40,14,Override!$E$11:$E$40,"&gt;=0")-COUNTIFS(Override!$B$11:$B$40,$B244,Override!$D$11:$D$40,14,Override!$E$11:$E$40,"&gt;=0",Override!$C$11:$C$40,"AS51"))&gt;0,SUMIFS(Override!$E$11:$E$40,Override!$B$11:$B$40,$B244,Override!$D$11:$D$40,14)-SUMIFS(Override!$E$11:$E$40,Override!$B$11:$B$40,$B244,Override!$D$11:$D$40,14,Override!$C$11:$C$40,"AS51"),Override!$P$276)/MXAU!$B$3,"")))</f>
        <v/>
      </c>
      <c r="T244" s="140">
        <f>IF(T$226="","",IF($B244="","",IFERROR($C244*$D244*IF((Override!$C$4="ON")*(COUNTIFS(Override!$B$11:$B$40,$B244,Override!$D$11:$D$40,15,Override!$E$11:$E$40,"&gt;=0")-COUNTIFS(Override!$B$11:$B$40,$B244,Override!$D$11:$D$40,15,Override!$E$11:$E$40,"&gt;=0",Override!$C$11:$C$40,"AS51"))&gt;0,SUMIFS(Override!$E$11:$E$40,Override!$B$11:$B$40,$B244,Override!$D$11:$D$40,15)-SUMIFS(Override!$E$11:$E$40,Override!$B$11:$B$40,$B244,Override!$D$11:$D$40,15,Override!$C$11:$C$40,"AS51"),Override!$Q$276)/MXAU!$B$3,"")))</f>
        <v/>
      </c>
      <c r="U244" s="140">
        <f>IF(U$226="","",IF($B244="","",IFERROR($C244*$D244*IF((Override!$C$4="ON")*(COUNTIFS(Override!$B$11:$B$40,$B244,Override!$D$11:$D$40,16,Override!$E$11:$E$40,"&gt;=0")-COUNTIFS(Override!$B$11:$B$40,$B244,Override!$D$11:$D$40,16,Override!$E$11:$E$40,"&gt;=0",Override!$C$11:$C$40,"AS51"))&gt;0,SUMIFS(Override!$E$11:$E$40,Override!$B$11:$B$40,$B244,Override!$D$11:$D$40,16)-SUMIFS(Override!$E$11:$E$40,Override!$B$11:$B$40,$B244,Override!$D$11:$D$40,16,Override!$C$11:$C$40,"AS51"),Override!$R$276)/MXAU!$B$3,"")))</f>
        <v/>
      </c>
      <c r="W244" s="140">
        <f>IF(W$226="","",IF($B244="","",IFERROR(F244*$E244/100,"")))</f>
        <v/>
      </c>
      <c r="X244" s="140">
        <f>IF(X$226="","",IF($B244="","",IFERROR(G244*$E244/100,"")))</f>
        <v/>
      </c>
      <c r="Y244" s="140">
        <f>IF(Y$226="","",IF($B244="","",IFERROR(H244*$E244/100,"")))</f>
        <v/>
      </c>
      <c r="Z244" s="140">
        <f>IF(Z$226="","",IF($B244="","",IFERROR(I244*$E244/100,"")))</f>
        <v/>
      </c>
      <c r="AA244" s="140">
        <f>IF(AA$226="","",IF($B244="","",IFERROR(J244*$E244/100,"")))</f>
        <v/>
      </c>
      <c r="AB244" s="140">
        <f>IF(AB$226="","",IF($B244="","",IFERROR(K244*$E244/100,"")))</f>
        <v/>
      </c>
      <c r="AC244" s="140">
        <f>IF(AC$226="","",IF($B244="","",IFERROR(L244*$E244/100,"")))</f>
        <v/>
      </c>
      <c r="AD244" s="140">
        <f>IF(AD$226="","",IF($B244="","",IFERROR(M244*$E244/100,"")))</f>
        <v/>
      </c>
      <c r="AE244" s="140">
        <f>IF(AE$226="","",IF($B244="","",IFERROR(N244*$E244/100,"")))</f>
        <v/>
      </c>
      <c r="AF244" s="140">
        <f>IF(AF$226="","",IF($B244="","",IFERROR(O244*$E244/100,"")))</f>
        <v/>
      </c>
      <c r="AG244" s="140">
        <f>IF(AG$226="","",IF($B244="","",IFERROR(P244*$E244/100,"")))</f>
        <v/>
      </c>
      <c r="AH244" s="140">
        <f>IF(AH$226="","",IF($B244="","",IFERROR(Q244*$E244/100,"")))</f>
        <v/>
      </c>
      <c r="AI244" s="140">
        <f>IF(AI$226="","",IF($B244="","",IFERROR(R244*$E244/100,"")))</f>
        <v/>
      </c>
      <c r="AJ244" s="140">
        <f>IF(AJ$226="","",IF($B244="","",IFERROR(S244*$E244/100,"")))</f>
        <v/>
      </c>
      <c r="AK244" s="140">
        <f>IF(AK$226="","",IF($B244="","",IFERROR(T244*$E244/100,"")))</f>
        <v/>
      </c>
      <c r="AL244" s="140">
        <f>IF(AL$226="","",IF($B244="","",IFERROR(U244*$E244/100,"")))</f>
        <v/>
      </c>
      <c r="AN244" s="140">
        <f>IF($B244="","",SUMIF($F$226:$U$226,"&lt;="&amp;Sector!$E$51,$F244:$U244))</f>
        <v/>
      </c>
      <c r="AO244" s="140">
        <f>IF($B244="","",SUMIF($W$226:$AL$226,"&lt;="&amp;Sector!$E$51,$W244:$AL244))</f>
        <v/>
      </c>
    </row>
    <row r="245">
      <c r="B245" s="5">
        <f>IF(MXAU!$C$22="","",MXAU!$C$22)</f>
        <v/>
      </c>
      <c r="C245" s="90">
        <f>IF(MXAU!$B$22="","",MXAU!$B$22)</f>
        <v/>
      </c>
      <c r="D245" s="138">
        <f>IFERROR(MXAU!$Q$22,1)</f>
        <v/>
      </c>
      <c r="E245" s="139">
        <f>IF($B245="","",IF(ISNUMBER(MXAU!$I$22),MXAU!$I$22,'Index Summary'!$C$7))</f>
        <v/>
      </c>
      <c r="F245" s="140">
        <f>IF(F$226="","",IF($B245="","",IFERROR($C245*$D245*IF((Override!$C$4="ON")*(COUNTIFS(Override!$B$11:$B$40,$B245,Override!$D$11:$D$40,1,Override!$E$11:$E$40,"&gt;=0")-COUNTIFS(Override!$B$11:$B$40,$B245,Override!$D$11:$D$40,1,Override!$E$11:$E$40,"&gt;=0",Override!$C$11:$C$40,"AS51"))&gt;0,SUMIFS(Override!$E$11:$E$40,Override!$B$11:$B$40,$B245,Override!$D$11:$D$40,1)-SUMIFS(Override!$E$11:$E$40,Override!$B$11:$B$40,$B245,Override!$D$11:$D$40,1,Override!$C$11:$C$40,"AS51"),Override!$C$277)/MXAU!$B$3,"")))</f>
        <v/>
      </c>
      <c r="G245" s="140">
        <f>IF(G$226="","",IF($B245="","",IFERROR($C245*$D245*IF((Override!$C$4="ON")*(COUNTIFS(Override!$B$11:$B$40,$B245,Override!$D$11:$D$40,2,Override!$E$11:$E$40,"&gt;=0")-COUNTIFS(Override!$B$11:$B$40,$B245,Override!$D$11:$D$40,2,Override!$E$11:$E$40,"&gt;=0",Override!$C$11:$C$40,"AS51"))&gt;0,SUMIFS(Override!$E$11:$E$40,Override!$B$11:$B$40,$B245,Override!$D$11:$D$40,2)-SUMIFS(Override!$E$11:$E$40,Override!$B$11:$B$40,$B245,Override!$D$11:$D$40,2,Override!$C$11:$C$40,"AS51"),Override!$D$277)/MXAU!$B$3,"")))</f>
        <v/>
      </c>
      <c r="H245" s="140">
        <f>IF(H$226="","",IF($B245="","",IFERROR($C245*$D245*IF((Override!$C$4="ON")*(COUNTIFS(Override!$B$11:$B$40,$B245,Override!$D$11:$D$40,3,Override!$E$11:$E$40,"&gt;=0")-COUNTIFS(Override!$B$11:$B$40,$B245,Override!$D$11:$D$40,3,Override!$E$11:$E$40,"&gt;=0",Override!$C$11:$C$40,"AS51"))&gt;0,SUMIFS(Override!$E$11:$E$40,Override!$B$11:$B$40,$B245,Override!$D$11:$D$40,3)-SUMIFS(Override!$E$11:$E$40,Override!$B$11:$B$40,$B245,Override!$D$11:$D$40,3,Override!$C$11:$C$40,"AS51"),Override!$E$277)/MXAU!$B$3,"")))</f>
        <v/>
      </c>
      <c r="I245" s="140">
        <f>IF(I$226="","",IF($B245="","",IFERROR($C245*$D245*IF((Override!$C$4="ON")*(COUNTIFS(Override!$B$11:$B$40,$B245,Override!$D$11:$D$40,4,Override!$E$11:$E$40,"&gt;=0")-COUNTIFS(Override!$B$11:$B$40,$B245,Override!$D$11:$D$40,4,Override!$E$11:$E$40,"&gt;=0",Override!$C$11:$C$40,"AS51"))&gt;0,SUMIFS(Override!$E$11:$E$40,Override!$B$11:$B$40,$B245,Override!$D$11:$D$40,4)-SUMIFS(Override!$E$11:$E$40,Override!$B$11:$B$40,$B245,Override!$D$11:$D$40,4,Override!$C$11:$C$40,"AS51"),Override!$F$277)/MXAU!$B$3,"")))</f>
        <v/>
      </c>
      <c r="J245" s="140">
        <f>IF(J$226="","",IF($B245="","",IFERROR($C245*$D245*IF((Override!$C$4="ON")*(COUNTIFS(Override!$B$11:$B$40,$B245,Override!$D$11:$D$40,5,Override!$E$11:$E$40,"&gt;=0")-COUNTIFS(Override!$B$11:$B$40,$B245,Override!$D$11:$D$40,5,Override!$E$11:$E$40,"&gt;=0",Override!$C$11:$C$40,"AS51"))&gt;0,SUMIFS(Override!$E$11:$E$40,Override!$B$11:$B$40,$B245,Override!$D$11:$D$40,5)-SUMIFS(Override!$E$11:$E$40,Override!$B$11:$B$40,$B245,Override!$D$11:$D$40,5,Override!$C$11:$C$40,"AS51"),Override!$G$277)/MXAU!$B$3,"")))</f>
        <v/>
      </c>
      <c r="K245" s="140">
        <f>IF(K$226="","",IF($B245="","",IFERROR($C245*$D245*IF((Override!$C$4="ON")*(COUNTIFS(Override!$B$11:$B$40,$B245,Override!$D$11:$D$40,6,Override!$E$11:$E$40,"&gt;=0")-COUNTIFS(Override!$B$11:$B$40,$B245,Override!$D$11:$D$40,6,Override!$E$11:$E$40,"&gt;=0",Override!$C$11:$C$40,"AS51"))&gt;0,SUMIFS(Override!$E$11:$E$40,Override!$B$11:$B$40,$B245,Override!$D$11:$D$40,6)-SUMIFS(Override!$E$11:$E$40,Override!$B$11:$B$40,$B245,Override!$D$11:$D$40,6,Override!$C$11:$C$40,"AS51"),Override!$H$277)/MXAU!$B$3,"")))</f>
        <v/>
      </c>
      <c r="L245" s="140">
        <f>IF(L$226="","",IF($B245="","",IFERROR($C245*$D245*IF((Override!$C$4="ON")*(COUNTIFS(Override!$B$11:$B$40,$B245,Override!$D$11:$D$40,7,Override!$E$11:$E$40,"&gt;=0")-COUNTIFS(Override!$B$11:$B$40,$B245,Override!$D$11:$D$40,7,Override!$E$11:$E$40,"&gt;=0",Override!$C$11:$C$40,"AS51"))&gt;0,SUMIFS(Override!$E$11:$E$40,Override!$B$11:$B$40,$B245,Override!$D$11:$D$40,7)-SUMIFS(Override!$E$11:$E$40,Override!$B$11:$B$40,$B245,Override!$D$11:$D$40,7,Override!$C$11:$C$40,"AS51"),Override!$I$277)/MXAU!$B$3,"")))</f>
        <v/>
      </c>
      <c r="M245" s="140">
        <f>IF(M$226="","",IF($B245="","",IFERROR($C245*$D245*IF((Override!$C$4="ON")*(COUNTIFS(Override!$B$11:$B$40,$B245,Override!$D$11:$D$40,8,Override!$E$11:$E$40,"&gt;=0")-COUNTIFS(Override!$B$11:$B$40,$B245,Override!$D$11:$D$40,8,Override!$E$11:$E$40,"&gt;=0",Override!$C$11:$C$40,"AS51"))&gt;0,SUMIFS(Override!$E$11:$E$40,Override!$B$11:$B$40,$B245,Override!$D$11:$D$40,8)-SUMIFS(Override!$E$11:$E$40,Override!$B$11:$B$40,$B245,Override!$D$11:$D$40,8,Override!$C$11:$C$40,"AS51"),Override!$J$277)/MXAU!$B$3,"")))</f>
        <v/>
      </c>
      <c r="N245" s="140">
        <f>IF(N$226="","",IF($B245="","",IFERROR($C245*$D245*IF((Override!$C$4="ON")*(COUNTIFS(Override!$B$11:$B$40,$B245,Override!$D$11:$D$40,9,Override!$E$11:$E$40,"&gt;=0")-COUNTIFS(Override!$B$11:$B$40,$B245,Override!$D$11:$D$40,9,Override!$E$11:$E$40,"&gt;=0",Override!$C$11:$C$40,"AS51"))&gt;0,SUMIFS(Override!$E$11:$E$40,Override!$B$11:$B$40,$B245,Override!$D$11:$D$40,9)-SUMIFS(Override!$E$11:$E$40,Override!$B$11:$B$40,$B245,Override!$D$11:$D$40,9,Override!$C$11:$C$40,"AS51"),Override!$K$277)/MXAU!$B$3,"")))</f>
        <v/>
      </c>
      <c r="O245" s="140">
        <f>IF(O$226="","",IF($B245="","",IFERROR($C245*$D245*IF((Override!$C$4="ON")*(COUNTIFS(Override!$B$11:$B$40,$B245,Override!$D$11:$D$40,10,Override!$E$11:$E$40,"&gt;=0")-COUNTIFS(Override!$B$11:$B$40,$B245,Override!$D$11:$D$40,10,Override!$E$11:$E$40,"&gt;=0",Override!$C$11:$C$40,"AS51"))&gt;0,SUMIFS(Override!$E$11:$E$40,Override!$B$11:$B$40,$B245,Override!$D$11:$D$40,10)-SUMIFS(Override!$E$11:$E$40,Override!$B$11:$B$40,$B245,Override!$D$11:$D$40,10,Override!$C$11:$C$40,"AS51"),Override!$L$277)/MXAU!$B$3,"")))</f>
        <v/>
      </c>
      <c r="P245" s="140">
        <f>IF(P$226="","",IF($B245="","",IFERROR($C245*$D245*IF((Override!$C$4="ON")*(COUNTIFS(Override!$B$11:$B$40,$B245,Override!$D$11:$D$40,11,Override!$E$11:$E$40,"&gt;=0")-COUNTIFS(Override!$B$11:$B$40,$B245,Override!$D$11:$D$40,11,Override!$E$11:$E$40,"&gt;=0",Override!$C$11:$C$40,"AS51"))&gt;0,SUMIFS(Override!$E$11:$E$40,Override!$B$11:$B$40,$B245,Override!$D$11:$D$40,11)-SUMIFS(Override!$E$11:$E$40,Override!$B$11:$B$40,$B245,Override!$D$11:$D$40,11,Override!$C$11:$C$40,"AS51"),Override!$M$277)/MXAU!$B$3,"")))</f>
        <v/>
      </c>
      <c r="Q245" s="140">
        <f>IF(Q$226="","",IF($B245="","",IFERROR($C245*$D245*IF((Override!$C$4="ON")*(COUNTIFS(Override!$B$11:$B$40,$B245,Override!$D$11:$D$40,12,Override!$E$11:$E$40,"&gt;=0")-COUNTIFS(Override!$B$11:$B$40,$B245,Override!$D$11:$D$40,12,Override!$E$11:$E$40,"&gt;=0",Override!$C$11:$C$40,"AS51"))&gt;0,SUMIFS(Override!$E$11:$E$40,Override!$B$11:$B$40,$B245,Override!$D$11:$D$40,12)-SUMIFS(Override!$E$11:$E$40,Override!$B$11:$B$40,$B245,Override!$D$11:$D$40,12,Override!$C$11:$C$40,"AS51"),Override!$N$277)/MXAU!$B$3,"")))</f>
        <v/>
      </c>
      <c r="R245" s="140">
        <f>IF(R$226="","",IF($B245="","",IFERROR($C245*$D245*IF((Override!$C$4="ON")*(COUNTIFS(Override!$B$11:$B$40,$B245,Override!$D$11:$D$40,13,Override!$E$11:$E$40,"&gt;=0")-COUNTIFS(Override!$B$11:$B$40,$B245,Override!$D$11:$D$40,13,Override!$E$11:$E$40,"&gt;=0",Override!$C$11:$C$40,"AS51"))&gt;0,SUMIFS(Override!$E$11:$E$40,Override!$B$11:$B$40,$B245,Override!$D$11:$D$40,13)-SUMIFS(Override!$E$11:$E$40,Override!$B$11:$B$40,$B245,Override!$D$11:$D$40,13,Override!$C$11:$C$40,"AS51"),Override!$O$277)/MXAU!$B$3,"")))</f>
        <v/>
      </c>
      <c r="S245" s="140">
        <f>IF(S$226="","",IF($B245="","",IFERROR($C245*$D245*IF((Override!$C$4="ON")*(COUNTIFS(Override!$B$11:$B$40,$B245,Override!$D$11:$D$40,14,Override!$E$11:$E$40,"&gt;=0")-COUNTIFS(Override!$B$11:$B$40,$B245,Override!$D$11:$D$40,14,Override!$E$11:$E$40,"&gt;=0",Override!$C$11:$C$40,"AS51"))&gt;0,SUMIFS(Override!$E$11:$E$40,Override!$B$11:$B$40,$B245,Override!$D$11:$D$40,14)-SUMIFS(Override!$E$11:$E$40,Override!$B$11:$B$40,$B245,Override!$D$11:$D$40,14,Override!$C$11:$C$40,"AS51"),Override!$P$277)/MXAU!$B$3,"")))</f>
        <v/>
      </c>
      <c r="T245" s="140">
        <f>IF(T$226="","",IF($B245="","",IFERROR($C245*$D245*IF((Override!$C$4="ON")*(COUNTIFS(Override!$B$11:$B$40,$B245,Override!$D$11:$D$40,15,Override!$E$11:$E$40,"&gt;=0")-COUNTIFS(Override!$B$11:$B$40,$B245,Override!$D$11:$D$40,15,Override!$E$11:$E$40,"&gt;=0",Override!$C$11:$C$40,"AS51"))&gt;0,SUMIFS(Override!$E$11:$E$40,Override!$B$11:$B$40,$B245,Override!$D$11:$D$40,15)-SUMIFS(Override!$E$11:$E$40,Override!$B$11:$B$40,$B245,Override!$D$11:$D$40,15,Override!$C$11:$C$40,"AS51"),Override!$Q$277)/MXAU!$B$3,"")))</f>
        <v/>
      </c>
      <c r="U245" s="140">
        <f>IF(U$226="","",IF($B245="","",IFERROR($C245*$D245*IF((Override!$C$4="ON")*(COUNTIFS(Override!$B$11:$B$40,$B245,Override!$D$11:$D$40,16,Override!$E$11:$E$40,"&gt;=0")-COUNTIFS(Override!$B$11:$B$40,$B245,Override!$D$11:$D$40,16,Override!$E$11:$E$40,"&gt;=0",Override!$C$11:$C$40,"AS51"))&gt;0,SUMIFS(Override!$E$11:$E$40,Override!$B$11:$B$40,$B245,Override!$D$11:$D$40,16)-SUMIFS(Override!$E$11:$E$40,Override!$B$11:$B$40,$B245,Override!$D$11:$D$40,16,Override!$C$11:$C$40,"AS51"),Override!$R$277)/MXAU!$B$3,"")))</f>
        <v/>
      </c>
      <c r="W245" s="140">
        <f>IF(W$226="","",IF($B245="","",IFERROR(F245*$E245/100,"")))</f>
        <v/>
      </c>
      <c r="X245" s="140">
        <f>IF(X$226="","",IF($B245="","",IFERROR(G245*$E245/100,"")))</f>
        <v/>
      </c>
      <c r="Y245" s="140">
        <f>IF(Y$226="","",IF($B245="","",IFERROR(H245*$E245/100,"")))</f>
        <v/>
      </c>
      <c r="Z245" s="140">
        <f>IF(Z$226="","",IF($B245="","",IFERROR(I245*$E245/100,"")))</f>
        <v/>
      </c>
      <c r="AA245" s="140">
        <f>IF(AA$226="","",IF($B245="","",IFERROR(J245*$E245/100,"")))</f>
        <v/>
      </c>
      <c r="AB245" s="140">
        <f>IF(AB$226="","",IF($B245="","",IFERROR(K245*$E245/100,"")))</f>
        <v/>
      </c>
      <c r="AC245" s="140">
        <f>IF(AC$226="","",IF($B245="","",IFERROR(L245*$E245/100,"")))</f>
        <v/>
      </c>
      <c r="AD245" s="140">
        <f>IF(AD$226="","",IF($B245="","",IFERROR(M245*$E245/100,"")))</f>
        <v/>
      </c>
      <c r="AE245" s="140">
        <f>IF(AE$226="","",IF($B245="","",IFERROR(N245*$E245/100,"")))</f>
        <v/>
      </c>
      <c r="AF245" s="140">
        <f>IF(AF$226="","",IF($B245="","",IFERROR(O245*$E245/100,"")))</f>
        <v/>
      </c>
      <c r="AG245" s="140">
        <f>IF(AG$226="","",IF($B245="","",IFERROR(P245*$E245/100,"")))</f>
        <v/>
      </c>
      <c r="AH245" s="140">
        <f>IF(AH$226="","",IF($B245="","",IFERROR(Q245*$E245/100,"")))</f>
        <v/>
      </c>
      <c r="AI245" s="140">
        <f>IF(AI$226="","",IF($B245="","",IFERROR(R245*$E245/100,"")))</f>
        <v/>
      </c>
      <c r="AJ245" s="140">
        <f>IF(AJ$226="","",IF($B245="","",IFERROR(S245*$E245/100,"")))</f>
        <v/>
      </c>
      <c r="AK245" s="140">
        <f>IF(AK$226="","",IF($B245="","",IFERROR(T245*$E245/100,"")))</f>
        <v/>
      </c>
      <c r="AL245" s="140">
        <f>IF(AL$226="","",IF($B245="","",IFERROR(U245*$E245/100,"")))</f>
        <v/>
      </c>
      <c r="AN245" s="140">
        <f>IF($B245="","",SUMIF($F$226:$U$226,"&lt;="&amp;Sector!$E$51,$F245:$U245))</f>
        <v/>
      </c>
      <c r="AO245" s="140">
        <f>IF($B245="","",SUMIF($W$226:$AL$226,"&lt;="&amp;Sector!$E$51,$W245:$AL245))</f>
        <v/>
      </c>
    </row>
    <row r="246">
      <c r="B246" s="5">
        <f>IF(MXAU!$C$23="","",MXAU!$C$23)</f>
        <v/>
      </c>
      <c r="C246" s="90">
        <f>IF(MXAU!$B$23="","",MXAU!$B$23)</f>
        <v/>
      </c>
      <c r="D246" s="138">
        <f>IFERROR(MXAU!$Q$23,1)</f>
        <v/>
      </c>
      <c r="E246" s="139">
        <f>IF($B246="","",IF(ISNUMBER(MXAU!$I$23),MXAU!$I$23,'Index Summary'!$C$7))</f>
        <v/>
      </c>
      <c r="F246" s="140">
        <f>IF(F$226="","",IF($B246="","",IFERROR($C246*$D246*IF((Override!$C$4="ON")*(COUNTIFS(Override!$B$11:$B$40,$B246,Override!$D$11:$D$40,1,Override!$E$11:$E$40,"&gt;=0")-COUNTIFS(Override!$B$11:$B$40,$B246,Override!$D$11:$D$40,1,Override!$E$11:$E$40,"&gt;=0",Override!$C$11:$C$40,"AS51"))&gt;0,SUMIFS(Override!$E$11:$E$40,Override!$B$11:$B$40,$B246,Override!$D$11:$D$40,1)-SUMIFS(Override!$E$11:$E$40,Override!$B$11:$B$40,$B246,Override!$D$11:$D$40,1,Override!$C$11:$C$40,"AS51"),Override!$C$278)/MXAU!$B$3,"")))</f>
        <v/>
      </c>
      <c r="G246" s="140">
        <f>IF(G$226="","",IF($B246="","",IFERROR($C246*$D246*IF((Override!$C$4="ON")*(COUNTIFS(Override!$B$11:$B$40,$B246,Override!$D$11:$D$40,2,Override!$E$11:$E$40,"&gt;=0")-COUNTIFS(Override!$B$11:$B$40,$B246,Override!$D$11:$D$40,2,Override!$E$11:$E$40,"&gt;=0",Override!$C$11:$C$40,"AS51"))&gt;0,SUMIFS(Override!$E$11:$E$40,Override!$B$11:$B$40,$B246,Override!$D$11:$D$40,2)-SUMIFS(Override!$E$11:$E$40,Override!$B$11:$B$40,$B246,Override!$D$11:$D$40,2,Override!$C$11:$C$40,"AS51"),Override!$D$278)/MXAU!$B$3,"")))</f>
        <v/>
      </c>
      <c r="H246" s="140">
        <f>IF(H$226="","",IF($B246="","",IFERROR($C246*$D246*IF((Override!$C$4="ON")*(COUNTIFS(Override!$B$11:$B$40,$B246,Override!$D$11:$D$40,3,Override!$E$11:$E$40,"&gt;=0")-COUNTIFS(Override!$B$11:$B$40,$B246,Override!$D$11:$D$40,3,Override!$E$11:$E$40,"&gt;=0",Override!$C$11:$C$40,"AS51"))&gt;0,SUMIFS(Override!$E$11:$E$40,Override!$B$11:$B$40,$B246,Override!$D$11:$D$40,3)-SUMIFS(Override!$E$11:$E$40,Override!$B$11:$B$40,$B246,Override!$D$11:$D$40,3,Override!$C$11:$C$40,"AS51"),Override!$E$278)/MXAU!$B$3,"")))</f>
        <v/>
      </c>
      <c r="I246" s="140">
        <f>IF(I$226="","",IF($B246="","",IFERROR($C246*$D246*IF((Override!$C$4="ON")*(COUNTIFS(Override!$B$11:$B$40,$B246,Override!$D$11:$D$40,4,Override!$E$11:$E$40,"&gt;=0")-COUNTIFS(Override!$B$11:$B$40,$B246,Override!$D$11:$D$40,4,Override!$E$11:$E$40,"&gt;=0",Override!$C$11:$C$40,"AS51"))&gt;0,SUMIFS(Override!$E$11:$E$40,Override!$B$11:$B$40,$B246,Override!$D$11:$D$40,4)-SUMIFS(Override!$E$11:$E$40,Override!$B$11:$B$40,$B246,Override!$D$11:$D$40,4,Override!$C$11:$C$40,"AS51"),Override!$F$278)/MXAU!$B$3,"")))</f>
        <v/>
      </c>
      <c r="J246" s="140">
        <f>IF(J$226="","",IF($B246="","",IFERROR($C246*$D246*IF((Override!$C$4="ON")*(COUNTIFS(Override!$B$11:$B$40,$B246,Override!$D$11:$D$40,5,Override!$E$11:$E$40,"&gt;=0")-COUNTIFS(Override!$B$11:$B$40,$B246,Override!$D$11:$D$40,5,Override!$E$11:$E$40,"&gt;=0",Override!$C$11:$C$40,"AS51"))&gt;0,SUMIFS(Override!$E$11:$E$40,Override!$B$11:$B$40,$B246,Override!$D$11:$D$40,5)-SUMIFS(Override!$E$11:$E$40,Override!$B$11:$B$40,$B246,Override!$D$11:$D$40,5,Override!$C$11:$C$40,"AS51"),Override!$G$278)/MXAU!$B$3,"")))</f>
        <v/>
      </c>
      <c r="K246" s="140">
        <f>IF(K$226="","",IF($B246="","",IFERROR($C246*$D246*IF((Override!$C$4="ON")*(COUNTIFS(Override!$B$11:$B$40,$B246,Override!$D$11:$D$40,6,Override!$E$11:$E$40,"&gt;=0")-COUNTIFS(Override!$B$11:$B$40,$B246,Override!$D$11:$D$40,6,Override!$E$11:$E$40,"&gt;=0",Override!$C$11:$C$40,"AS51"))&gt;0,SUMIFS(Override!$E$11:$E$40,Override!$B$11:$B$40,$B246,Override!$D$11:$D$40,6)-SUMIFS(Override!$E$11:$E$40,Override!$B$11:$B$40,$B246,Override!$D$11:$D$40,6,Override!$C$11:$C$40,"AS51"),Override!$H$278)/MXAU!$B$3,"")))</f>
        <v/>
      </c>
      <c r="L246" s="140">
        <f>IF(L$226="","",IF($B246="","",IFERROR($C246*$D246*IF((Override!$C$4="ON")*(COUNTIFS(Override!$B$11:$B$40,$B246,Override!$D$11:$D$40,7,Override!$E$11:$E$40,"&gt;=0")-COUNTIFS(Override!$B$11:$B$40,$B246,Override!$D$11:$D$40,7,Override!$E$11:$E$40,"&gt;=0",Override!$C$11:$C$40,"AS51"))&gt;0,SUMIFS(Override!$E$11:$E$40,Override!$B$11:$B$40,$B246,Override!$D$11:$D$40,7)-SUMIFS(Override!$E$11:$E$40,Override!$B$11:$B$40,$B246,Override!$D$11:$D$40,7,Override!$C$11:$C$40,"AS51"),Override!$I$278)/MXAU!$B$3,"")))</f>
        <v/>
      </c>
      <c r="M246" s="140">
        <f>IF(M$226="","",IF($B246="","",IFERROR($C246*$D246*IF((Override!$C$4="ON")*(COUNTIFS(Override!$B$11:$B$40,$B246,Override!$D$11:$D$40,8,Override!$E$11:$E$40,"&gt;=0")-COUNTIFS(Override!$B$11:$B$40,$B246,Override!$D$11:$D$40,8,Override!$E$11:$E$40,"&gt;=0",Override!$C$11:$C$40,"AS51"))&gt;0,SUMIFS(Override!$E$11:$E$40,Override!$B$11:$B$40,$B246,Override!$D$11:$D$40,8)-SUMIFS(Override!$E$11:$E$40,Override!$B$11:$B$40,$B246,Override!$D$11:$D$40,8,Override!$C$11:$C$40,"AS51"),Override!$J$278)/MXAU!$B$3,"")))</f>
        <v/>
      </c>
      <c r="N246" s="140">
        <f>IF(N$226="","",IF($B246="","",IFERROR($C246*$D246*IF((Override!$C$4="ON")*(COUNTIFS(Override!$B$11:$B$40,$B246,Override!$D$11:$D$40,9,Override!$E$11:$E$40,"&gt;=0")-COUNTIFS(Override!$B$11:$B$40,$B246,Override!$D$11:$D$40,9,Override!$E$11:$E$40,"&gt;=0",Override!$C$11:$C$40,"AS51"))&gt;0,SUMIFS(Override!$E$11:$E$40,Override!$B$11:$B$40,$B246,Override!$D$11:$D$40,9)-SUMIFS(Override!$E$11:$E$40,Override!$B$11:$B$40,$B246,Override!$D$11:$D$40,9,Override!$C$11:$C$40,"AS51"),Override!$K$278)/MXAU!$B$3,"")))</f>
        <v/>
      </c>
      <c r="O246" s="140">
        <f>IF(O$226="","",IF($B246="","",IFERROR($C246*$D246*IF((Override!$C$4="ON")*(COUNTIFS(Override!$B$11:$B$40,$B246,Override!$D$11:$D$40,10,Override!$E$11:$E$40,"&gt;=0")-COUNTIFS(Override!$B$11:$B$40,$B246,Override!$D$11:$D$40,10,Override!$E$11:$E$40,"&gt;=0",Override!$C$11:$C$40,"AS51"))&gt;0,SUMIFS(Override!$E$11:$E$40,Override!$B$11:$B$40,$B246,Override!$D$11:$D$40,10)-SUMIFS(Override!$E$11:$E$40,Override!$B$11:$B$40,$B246,Override!$D$11:$D$40,10,Override!$C$11:$C$40,"AS51"),Override!$L$278)/MXAU!$B$3,"")))</f>
        <v/>
      </c>
      <c r="P246" s="140">
        <f>IF(P$226="","",IF($B246="","",IFERROR($C246*$D246*IF((Override!$C$4="ON")*(COUNTIFS(Override!$B$11:$B$40,$B246,Override!$D$11:$D$40,11,Override!$E$11:$E$40,"&gt;=0")-COUNTIFS(Override!$B$11:$B$40,$B246,Override!$D$11:$D$40,11,Override!$E$11:$E$40,"&gt;=0",Override!$C$11:$C$40,"AS51"))&gt;0,SUMIFS(Override!$E$11:$E$40,Override!$B$11:$B$40,$B246,Override!$D$11:$D$40,11)-SUMIFS(Override!$E$11:$E$40,Override!$B$11:$B$40,$B246,Override!$D$11:$D$40,11,Override!$C$11:$C$40,"AS51"),Override!$M$278)/MXAU!$B$3,"")))</f>
        <v/>
      </c>
      <c r="Q246" s="140">
        <f>IF(Q$226="","",IF($B246="","",IFERROR($C246*$D246*IF((Override!$C$4="ON")*(COUNTIFS(Override!$B$11:$B$40,$B246,Override!$D$11:$D$40,12,Override!$E$11:$E$40,"&gt;=0")-COUNTIFS(Override!$B$11:$B$40,$B246,Override!$D$11:$D$40,12,Override!$E$11:$E$40,"&gt;=0",Override!$C$11:$C$40,"AS51"))&gt;0,SUMIFS(Override!$E$11:$E$40,Override!$B$11:$B$40,$B246,Override!$D$11:$D$40,12)-SUMIFS(Override!$E$11:$E$40,Override!$B$11:$B$40,$B246,Override!$D$11:$D$40,12,Override!$C$11:$C$40,"AS51"),Override!$N$278)/MXAU!$B$3,"")))</f>
        <v/>
      </c>
      <c r="R246" s="140">
        <f>IF(R$226="","",IF($B246="","",IFERROR($C246*$D246*IF((Override!$C$4="ON")*(COUNTIFS(Override!$B$11:$B$40,$B246,Override!$D$11:$D$40,13,Override!$E$11:$E$40,"&gt;=0")-COUNTIFS(Override!$B$11:$B$40,$B246,Override!$D$11:$D$40,13,Override!$E$11:$E$40,"&gt;=0",Override!$C$11:$C$40,"AS51"))&gt;0,SUMIFS(Override!$E$11:$E$40,Override!$B$11:$B$40,$B246,Override!$D$11:$D$40,13)-SUMIFS(Override!$E$11:$E$40,Override!$B$11:$B$40,$B246,Override!$D$11:$D$40,13,Override!$C$11:$C$40,"AS51"),Override!$O$278)/MXAU!$B$3,"")))</f>
        <v/>
      </c>
      <c r="S246" s="140">
        <f>IF(S$226="","",IF($B246="","",IFERROR($C246*$D246*IF((Override!$C$4="ON")*(COUNTIFS(Override!$B$11:$B$40,$B246,Override!$D$11:$D$40,14,Override!$E$11:$E$40,"&gt;=0")-COUNTIFS(Override!$B$11:$B$40,$B246,Override!$D$11:$D$40,14,Override!$E$11:$E$40,"&gt;=0",Override!$C$11:$C$40,"AS51"))&gt;0,SUMIFS(Override!$E$11:$E$40,Override!$B$11:$B$40,$B246,Override!$D$11:$D$40,14)-SUMIFS(Override!$E$11:$E$40,Override!$B$11:$B$40,$B246,Override!$D$11:$D$40,14,Override!$C$11:$C$40,"AS51"),Override!$P$278)/MXAU!$B$3,"")))</f>
        <v/>
      </c>
      <c r="T246" s="140">
        <f>IF(T$226="","",IF($B246="","",IFERROR($C246*$D246*IF((Override!$C$4="ON")*(COUNTIFS(Override!$B$11:$B$40,$B246,Override!$D$11:$D$40,15,Override!$E$11:$E$40,"&gt;=0")-COUNTIFS(Override!$B$11:$B$40,$B246,Override!$D$11:$D$40,15,Override!$E$11:$E$40,"&gt;=0",Override!$C$11:$C$40,"AS51"))&gt;0,SUMIFS(Override!$E$11:$E$40,Override!$B$11:$B$40,$B246,Override!$D$11:$D$40,15)-SUMIFS(Override!$E$11:$E$40,Override!$B$11:$B$40,$B246,Override!$D$11:$D$40,15,Override!$C$11:$C$40,"AS51"),Override!$Q$278)/MXAU!$B$3,"")))</f>
        <v/>
      </c>
      <c r="U246" s="140">
        <f>IF(U$226="","",IF($B246="","",IFERROR($C246*$D246*IF((Override!$C$4="ON")*(COUNTIFS(Override!$B$11:$B$40,$B246,Override!$D$11:$D$40,16,Override!$E$11:$E$40,"&gt;=0")-COUNTIFS(Override!$B$11:$B$40,$B246,Override!$D$11:$D$40,16,Override!$E$11:$E$40,"&gt;=0",Override!$C$11:$C$40,"AS51"))&gt;0,SUMIFS(Override!$E$11:$E$40,Override!$B$11:$B$40,$B246,Override!$D$11:$D$40,16)-SUMIFS(Override!$E$11:$E$40,Override!$B$11:$B$40,$B246,Override!$D$11:$D$40,16,Override!$C$11:$C$40,"AS51"),Override!$R$278)/MXAU!$B$3,"")))</f>
        <v/>
      </c>
      <c r="W246" s="140">
        <f>IF(W$226="","",IF($B246="","",IFERROR(F246*$E246/100,"")))</f>
        <v/>
      </c>
      <c r="X246" s="140">
        <f>IF(X$226="","",IF($B246="","",IFERROR(G246*$E246/100,"")))</f>
        <v/>
      </c>
      <c r="Y246" s="140">
        <f>IF(Y$226="","",IF($B246="","",IFERROR(H246*$E246/100,"")))</f>
        <v/>
      </c>
      <c r="Z246" s="140">
        <f>IF(Z$226="","",IF($B246="","",IFERROR(I246*$E246/100,"")))</f>
        <v/>
      </c>
      <c r="AA246" s="140">
        <f>IF(AA$226="","",IF($B246="","",IFERROR(J246*$E246/100,"")))</f>
        <v/>
      </c>
      <c r="AB246" s="140">
        <f>IF(AB$226="","",IF($B246="","",IFERROR(K246*$E246/100,"")))</f>
        <v/>
      </c>
      <c r="AC246" s="140">
        <f>IF(AC$226="","",IF($B246="","",IFERROR(L246*$E246/100,"")))</f>
        <v/>
      </c>
      <c r="AD246" s="140">
        <f>IF(AD$226="","",IF($B246="","",IFERROR(M246*$E246/100,"")))</f>
        <v/>
      </c>
      <c r="AE246" s="140">
        <f>IF(AE$226="","",IF($B246="","",IFERROR(N246*$E246/100,"")))</f>
        <v/>
      </c>
      <c r="AF246" s="140">
        <f>IF(AF$226="","",IF($B246="","",IFERROR(O246*$E246/100,"")))</f>
        <v/>
      </c>
      <c r="AG246" s="140">
        <f>IF(AG$226="","",IF($B246="","",IFERROR(P246*$E246/100,"")))</f>
        <v/>
      </c>
      <c r="AH246" s="140">
        <f>IF(AH$226="","",IF($B246="","",IFERROR(Q246*$E246/100,"")))</f>
        <v/>
      </c>
      <c r="AI246" s="140">
        <f>IF(AI$226="","",IF($B246="","",IFERROR(R246*$E246/100,"")))</f>
        <v/>
      </c>
      <c r="AJ246" s="140">
        <f>IF(AJ$226="","",IF($B246="","",IFERROR(S246*$E246/100,"")))</f>
        <v/>
      </c>
      <c r="AK246" s="140">
        <f>IF(AK$226="","",IF($B246="","",IFERROR(T246*$E246/100,"")))</f>
        <v/>
      </c>
      <c r="AL246" s="140">
        <f>IF(AL$226="","",IF($B246="","",IFERROR(U246*$E246/100,"")))</f>
        <v/>
      </c>
      <c r="AN246" s="140">
        <f>IF($B246="","",SUMIF($F$226:$U$226,"&lt;="&amp;Sector!$E$51,$F246:$U246))</f>
        <v/>
      </c>
      <c r="AO246" s="140">
        <f>IF($B246="","",SUMIF($W$226:$AL$226,"&lt;="&amp;Sector!$E$51,$W246:$AL246))</f>
        <v/>
      </c>
    </row>
    <row r="247">
      <c r="B247" s="5">
        <f>IF(MXAU!$C$24="","",MXAU!$C$24)</f>
        <v/>
      </c>
      <c r="C247" s="90">
        <f>IF(MXAU!$B$24="","",MXAU!$B$24)</f>
        <v/>
      </c>
      <c r="D247" s="138">
        <f>IFERROR(MXAU!$Q$24,1)</f>
        <v/>
      </c>
      <c r="E247" s="139">
        <f>IF($B247="","",IF(ISNUMBER(MXAU!$I$24),MXAU!$I$24,'Index Summary'!$C$7))</f>
        <v/>
      </c>
      <c r="F247" s="140">
        <f>IF(F$226="","",IF($B247="","",IFERROR($C247*$D247*IF((Override!$C$4="ON")*(COUNTIFS(Override!$B$11:$B$40,$B247,Override!$D$11:$D$40,1,Override!$E$11:$E$40,"&gt;=0")-COUNTIFS(Override!$B$11:$B$40,$B247,Override!$D$11:$D$40,1,Override!$E$11:$E$40,"&gt;=0",Override!$C$11:$C$40,"AS51"))&gt;0,SUMIFS(Override!$E$11:$E$40,Override!$B$11:$B$40,$B247,Override!$D$11:$D$40,1)-SUMIFS(Override!$E$11:$E$40,Override!$B$11:$B$40,$B247,Override!$D$11:$D$40,1,Override!$C$11:$C$40,"AS51"),Override!$C$279)/MXAU!$B$3,"")))</f>
        <v/>
      </c>
      <c r="G247" s="140">
        <f>IF(G$226="","",IF($B247="","",IFERROR($C247*$D247*IF((Override!$C$4="ON")*(COUNTIFS(Override!$B$11:$B$40,$B247,Override!$D$11:$D$40,2,Override!$E$11:$E$40,"&gt;=0")-COUNTIFS(Override!$B$11:$B$40,$B247,Override!$D$11:$D$40,2,Override!$E$11:$E$40,"&gt;=0",Override!$C$11:$C$40,"AS51"))&gt;0,SUMIFS(Override!$E$11:$E$40,Override!$B$11:$B$40,$B247,Override!$D$11:$D$40,2)-SUMIFS(Override!$E$11:$E$40,Override!$B$11:$B$40,$B247,Override!$D$11:$D$40,2,Override!$C$11:$C$40,"AS51"),Override!$D$279)/MXAU!$B$3,"")))</f>
        <v/>
      </c>
      <c r="H247" s="140">
        <f>IF(H$226="","",IF($B247="","",IFERROR($C247*$D247*IF((Override!$C$4="ON")*(COUNTIFS(Override!$B$11:$B$40,$B247,Override!$D$11:$D$40,3,Override!$E$11:$E$40,"&gt;=0")-COUNTIFS(Override!$B$11:$B$40,$B247,Override!$D$11:$D$40,3,Override!$E$11:$E$40,"&gt;=0",Override!$C$11:$C$40,"AS51"))&gt;0,SUMIFS(Override!$E$11:$E$40,Override!$B$11:$B$40,$B247,Override!$D$11:$D$40,3)-SUMIFS(Override!$E$11:$E$40,Override!$B$11:$B$40,$B247,Override!$D$11:$D$40,3,Override!$C$11:$C$40,"AS51"),Override!$E$279)/MXAU!$B$3,"")))</f>
        <v/>
      </c>
      <c r="I247" s="140">
        <f>IF(I$226="","",IF($B247="","",IFERROR($C247*$D247*IF((Override!$C$4="ON")*(COUNTIFS(Override!$B$11:$B$40,$B247,Override!$D$11:$D$40,4,Override!$E$11:$E$40,"&gt;=0")-COUNTIFS(Override!$B$11:$B$40,$B247,Override!$D$11:$D$40,4,Override!$E$11:$E$40,"&gt;=0",Override!$C$11:$C$40,"AS51"))&gt;0,SUMIFS(Override!$E$11:$E$40,Override!$B$11:$B$40,$B247,Override!$D$11:$D$40,4)-SUMIFS(Override!$E$11:$E$40,Override!$B$11:$B$40,$B247,Override!$D$11:$D$40,4,Override!$C$11:$C$40,"AS51"),Override!$F$279)/MXAU!$B$3,"")))</f>
        <v/>
      </c>
      <c r="J247" s="140">
        <f>IF(J$226="","",IF($B247="","",IFERROR($C247*$D247*IF((Override!$C$4="ON")*(COUNTIFS(Override!$B$11:$B$40,$B247,Override!$D$11:$D$40,5,Override!$E$11:$E$40,"&gt;=0")-COUNTIFS(Override!$B$11:$B$40,$B247,Override!$D$11:$D$40,5,Override!$E$11:$E$40,"&gt;=0",Override!$C$11:$C$40,"AS51"))&gt;0,SUMIFS(Override!$E$11:$E$40,Override!$B$11:$B$40,$B247,Override!$D$11:$D$40,5)-SUMIFS(Override!$E$11:$E$40,Override!$B$11:$B$40,$B247,Override!$D$11:$D$40,5,Override!$C$11:$C$40,"AS51"),Override!$G$279)/MXAU!$B$3,"")))</f>
        <v/>
      </c>
      <c r="K247" s="140">
        <f>IF(K$226="","",IF($B247="","",IFERROR($C247*$D247*IF((Override!$C$4="ON")*(COUNTIFS(Override!$B$11:$B$40,$B247,Override!$D$11:$D$40,6,Override!$E$11:$E$40,"&gt;=0")-COUNTIFS(Override!$B$11:$B$40,$B247,Override!$D$11:$D$40,6,Override!$E$11:$E$40,"&gt;=0",Override!$C$11:$C$40,"AS51"))&gt;0,SUMIFS(Override!$E$11:$E$40,Override!$B$11:$B$40,$B247,Override!$D$11:$D$40,6)-SUMIFS(Override!$E$11:$E$40,Override!$B$11:$B$40,$B247,Override!$D$11:$D$40,6,Override!$C$11:$C$40,"AS51"),Override!$H$279)/MXAU!$B$3,"")))</f>
        <v/>
      </c>
      <c r="L247" s="140">
        <f>IF(L$226="","",IF($B247="","",IFERROR($C247*$D247*IF((Override!$C$4="ON")*(COUNTIFS(Override!$B$11:$B$40,$B247,Override!$D$11:$D$40,7,Override!$E$11:$E$40,"&gt;=0")-COUNTIFS(Override!$B$11:$B$40,$B247,Override!$D$11:$D$40,7,Override!$E$11:$E$40,"&gt;=0",Override!$C$11:$C$40,"AS51"))&gt;0,SUMIFS(Override!$E$11:$E$40,Override!$B$11:$B$40,$B247,Override!$D$11:$D$40,7)-SUMIFS(Override!$E$11:$E$40,Override!$B$11:$B$40,$B247,Override!$D$11:$D$40,7,Override!$C$11:$C$40,"AS51"),Override!$I$279)/MXAU!$B$3,"")))</f>
        <v/>
      </c>
      <c r="M247" s="140">
        <f>IF(M$226="","",IF($B247="","",IFERROR($C247*$D247*IF((Override!$C$4="ON")*(COUNTIFS(Override!$B$11:$B$40,$B247,Override!$D$11:$D$40,8,Override!$E$11:$E$40,"&gt;=0")-COUNTIFS(Override!$B$11:$B$40,$B247,Override!$D$11:$D$40,8,Override!$E$11:$E$40,"&gt;=0",Override!$C$11:$C$40,"AS51"))&gt;0,SUMIFS(Override!$E$11:$E$40,Override!$B$11:$B$40,$B247,Override!$D$11:$D$40,8)-SUMIFS(Override!$E$11:$E$40,Override!$B$11:$B$40,$B247,Override!$D$11:$D$40,8,Override!$C$11:$C$40,"AS51"),Override!$J$279)/MXAU!$B$3,"")))</f>
        <v/>
      </c>
      <c r="N247" s="140">
        <f>IF(N$226="","",IF($B247="","",IFERROR($C247*$D247*IF((Override!$C$4="ON")*(COUNTIFS(Override!$B$11:$B$40,$B247,Override!$D$11:$D$40,9,Override!$E$11:$E$40,"&gt;=0")-COUNTIFS(Override!$B$11:$B$40,$B247,Override!$D$11:$D$40,9,Override!$E$11:$E$40,"&gt;=0",Override!$C$11:$C$40,"AS51"))&gt;0,SUMIFS(Override!$E$11:$E$40,Override!$B$11:$B$40,$B247,Override!$D$11:$D$40,9)-SUMIFS(Override!$E$11:$E$40,Override!$B$11:$B$40,$B247,Override!$D$11:$D$40,9,Override!$C$11:$C$40,"AS51"),Override!$K$279)/MXAU!$B$3,"")))</f>
        <v/>
      </c>
      <c r="O247" s="140">
        <f>IF(O$226="","",IF($B247="","",IFERROR($C247*$D247*IF((Override!$C$4="ON")*(COUNTIFS(Override!$B$11:$B$40,$B247,Override!$D$11:$D$40,10,Override!$E$11:$E$40,"&gt;=0")-COUNTIFS(Override!$B$11:$B$40,$B247,Override!$D$11:$D$40,10,Override!$E$11:$E$40,"&gt;=0",Override!$C$11:$C$40,"AS51"))&gt;0,SUMIFS(Override!$E$11:$E$40,Override!$B$11:$B$40,$B247,Override!$D$11:$D$40,10)-SUMIFS(Override!$E$11:$E$40,Override!$B$11:$B$40,$B247,Override!$D$11:$D$40,10,Override!$C$11:$C$40,"AS51"),Override!$L$279)/MXAU!$B$3,"")))</f>
        <v/>
      </c>
      <c r="P247" s="140">
        <f>IF(P$226="","",IF($B247="","",IFERROR($C247*$D247*IF((Override!$C$4="ON")*(COUNTIFS(Override!$B$11:$B$40,$B247,Override!$D$11:$D$40,11,Override!$E$11:$E$40,"&gt;=0")-COUNTIFS(Override!$B$11:$B$40,$B247,Override!$D$11:$D$40,11,Override!$E$11:$E$40,"&gt;=0",Override!$C$11:$C$40,"AS51"))&gt;0,SUMIFS(Override!$E$11:$E$40,Override!$B$11:$B$40,$B247,Override!$D$11:$D$40,11)-SUMIFS(Override!$E$11:$E$40,Override!$B$11:$B$40,$B247,Override!$D$11:$D$40,11,Override!$C$11:$C$40,"AS51"),Override!$M$279)/MXAU!$B$3,"")))</f>
        <v/>
      </c>
      <c r="Q247" s="140">
        <f>IF(Q$226="","",IF($B247="","",IFERROR($C247*$D247*IF((Override!$C$4="ON")*(COUNTIFS(Override!$B$11:$B$40,$B247,Override!$D$11:$D$40,12,Override!$E$11:$E$40,"&gt;=0")-COUNTIFS(Override!$B$11:$B$40,$B247,Override!$D$11:$D$40,12,Override!$E$11:$E$40,"&gt;=0",Override!$C$11:$C$40,"AS51"))&gt;0,SUMIFS(Override!$E$11:$E$40,Override!$B$11:$B$40,$B247,Override!$D$11:$D$40,12)-SUMIFS(Override!$E$11:$E$40,Override!$B$11:$B$40,$B247,Override!$D$11:$D$40,12,Override!$C$11:$C$40,"AS51"),Override!$N$279)/MXAU!$B$3,"")))</f>
        <v/>
      </c>
      <c r="R247" s="140">
        <f>IF(R$226="","",IF($B247="","",IFERROR($C247*$D247*IF((Override!$C$4="ON")*(COUNTIFS(Override!$B$11:$B$40,$B247,Override!$D$11:$D$40,13,Override!$E$11:$E$40,"&gt;=0")-COUNTIFS(Override!$B$11:$B$40,$B247,Override!$D$11:$D$40,13,Override!$E$11:$E$40,"&gt;=0",Override!$C$11:$C$40,"AS51"))&gt;0,SUMIFS(Override!$E$11:$E$40,Override!$B$11:$B$40,$B247,Override!$D$11:$D$40,13)-SUMIFS(Override!$E$11:$E$40,Override!$B$11:$B$40,$B247,Override!$D$11:$D$40,13,Override!$C$11:$C$40,"AS51"),Override!$O$279)/MXAU!$B$3,"")))</f>
        <v/>
      </c>
      <c r="S247" s="140">
        <f>IF(S$226="","",IF($B247="","",IFERROR($C247*$D247*IF((Override!$C$4="ON")*(COUNTIFS(Override!$B$11:$B$40,$B247,Override!$D$11:$D$40,14,Override!$E$11:$E$40,"&gt;=0")-COUNTIFS(Override!$B$11:$B$40,$B247,Override!$D$11:$D$40,14,Override!$E$11:$E$40,"&gt;=0",Override!$C$11:$C$40,"AS51"))&gt;0,SUMIFS(Override!$E$11:$E$40,Override!$B$11:$B$40,$B247,Override!$D$11:$D$40,14)-SUMIFS(Override!$E$11:$E$40,Override!$B$11:$B$40,$B247,Override!$D$11:$D$40,14,Override!$C$11:$C$40,"AS51"),Override!$P$279)/MXAU!$B$3,"")))</f>
        <v/>
      </c>
      <c r="T247" s="140">
        <f>IF(T$226="","",IF($B247="","",IFERROR($C247*$D247*IF((Override!$C$4="ON")*(COUNTIFS(Override!$B$11:$B$40,$B247,Override!$D$11:$D$40,15,Override!$E$11:$E$40,"&gt;=0")-COUNTIFS(Override!$B$11:$B$40,$B247,Override!$D$11:$D$40,15,Override!$E$11:$E$40,"&gt;=0",Override!$C$11:$C$40,"AS51"))&gt;0,SUMIFS(Override!$E$11:$E$40,Override!$B$11:$B$40,$B247,Override!$D$11:$D$40,15)-SUMIFS(Override!$E$11:$E$40,Override!$B$11:$B$40,$B247,Override!$D$11:$D$40,15,Override!$C$11:$C$40,"AS51"),Override!$Q$279)/MXAU!$B$3,"")))</f>
        <v/>
      </c>
      <c r="U247" s="140">
        <f>IF(U$226="","",IF($B247="","",IFERROR($C247*$D247*IF((Override!$C$4="ON")*(COUNTIFS(Override!$B$11:$B$40,$B247,Override!$D$11:$D$40,16,Override!$E$11:$E$40,"&gt;=0")-COUNTIFS(Override!$B$11:$B$40,$B247,Override!$D$11:$D$40,16,Override!$E$11:$E$40,"&gt;=0",Override!$C$11:$C$40,"AS51"))&gt;0,SUMIFS(Override!$E$11:$E$40,Override!$B$11:$B$40,$B247,Override!$D$11:$D$40,16)-SUMIFS(Override!$E$11:$E$40,Override!$B$11:$B$40,$B247,Override!$D$11:$D$40,16,Override!$C$11:$C$40,"AS51"),Override!$R$279)/MXAU!$B$3,"")))</f>
        <v/>
      </c>
      <c r="W247" s="140">
        <f>IF(W$226="","",IF($B247="","",IFERROR(F247*$E247/100,"")))</f>
        <v/>
      </c>
      <c r="X247" s="140">
        <f>IF(X$226="","",IF($B247="","",IFERROR(G247*$E247/100,"")))</f>
        <v/>
      </c>
      <c r="Y247" s="140">
        <f>IF(Y$226="","",IF($B247="","",IFERROR(H247*$E247/100,"")))</f>
        <v/>
      </c>
      <c r="Z247" s="140">
        <f>IF(Z$226="","",IF($B247="","",IFERROR(I247*$E247/100,"")))</f>
        <v/>
      </c>
      <c r="AA247" s="140">
        <f>IF(AA$226="","",IF($B247="","",IFERROR(J247*$E247/100,"")))</f>
        <v/>
      </c>
      <c r="AB247" s="140">
        <f>IF(AB$226="","",IF($B247="","",IFERROR(K247*$E247/100,"")))</f>
        <v/>
      </c>
      <c r="AC247" s="140">
        <f>IF(AC$226="","",IF($B247="","",IFERROR(L247*$E247/100,"")))</f>
        <v/>
      </c>
      <c r="AD247" s="140">
        <f>IF(AD$226="","",IF($B247="","",IFERROR(M247*$E247/100,"")))</f>
        <v/>
      </c>
      <c r="AE247" s="140">
        <f>IF(AE$226="","",IF($B247="","",IFERROR(N247*$E247/100,"")))</f>
        <v/>
      </c>
      <c r="AF247" s="140">
        <f>IF(AF$226="","",IF($B247="","",IFERROR(O247*$E247/100,"")))</f>
        <v/>
      </c>
      <c r="AG247" s="140">
        <f>IF(AG$226="","",IF($B247="","",IFERROR(P247*$E247/100,"")))</f>
        <v/>
      </c>
      <c r="AH247" s="140">
        <f>IF(AH$226="","",IF($B247="","",IFERROR(Q247*$E247/100,"")))</f>
        <v/>
      </c>
      <c r="AI247" s="140">
        <f>IF(AI$226="","",IF($B247="","",IFERROR(R247*$E247/100,"")))</f>
        <v/>
      </c>
      <c r="AJ247" s="140">
        <f>IF(AJ$226="","",IF($B247="","",IFERROR(S247*$E247/100,"")))</f>
        <v/>
      </c>
      <c r="AK247" s="140">
        <f>IF(AK$226="","",IF($B247="","",IFERROR(T247*$E247/100,"")))</f>
        <v/>
      </c>
      <c r="AL247" s="140">
        <f>IF(AL$226="","",IF($B247="","",IFERROR(U247*$E247/100,"")))</f>
        <v/>
      </c>
      <c r="AN247" s="140">
        <f>IF($B247="","",SUMIF($F$226:$U$226,"&lt;="&amp;Sector!$E$51,$F247:$U247))</f>
        <v/>
      </c>
      <c r="AO247" s="140">
        <f>IF($B247="","",SUMIF($W$226:$AL$226,"&lt;="&amp;Sector!$E$51,$W247:$AL247))</f>
        <v/>
      </c>
    </row>
    <row r="248">
      <c r="B248" s="5">
        <f>IF(MXAU!$C$25="","",MXAU!$C$25)</f>
        <v/>
      </c>
      <c r="C248" s="90">
        <f>IF(MXAU!$B$25="","",MXAU!$B$25)</f>
        <v/>
      </c>
      <c r="D248" s="138">
        <f>IFERROR(MXAU!$Q$25,1)</f>
        <v/>
      </c>
      <c r="E248" s="139">
        <f>IF($B248="","",IF(ISNUMBER(MXAU!$I$25),MXAU!$I$25,'Index Summary'!$C$7))</f>
        <v/>
      </c>
      <c r="F248" s="140">
        <f>IF(F$226="","",IF($B248="","",IFERROR($C248*$D248*IF((Override!$C$4="ON")*(COUNTIFS(Override!$B$11:$B$40,$B248,Override!$D$11:$D$40,1,Override!$E$11:$E$40,"&gt;=0")-COUNTIFS(Override!$B$11:$B$40,$B248,Override!$D$11:$D$40,1,Override!$E$11:$E$40,"&gt;=0",Override!$C$11:$C$40,"AS51"))&gt;0,SUMIFS(Override!$E$11:$E$40,Override!$B$11:$B$40,$B248,Override!$D$11:$D$40,1)-SUMIFS(Override!$E$11:$E$40,Override!$B$11:$B$40,$B248,Override!$D$11:$D$40,1,Override!$C$11:$C$40,"AS51"),Override!$C$280)/MXAU!$B$3,"")))</f>
        <v/>
      </c>
      <c r="G248" s="140">
        <f>IF(G$226="","",IF($B248="","",IFERROR($C248*$D248*IF((Override!$C$4="ON")*(COUNTIFS(Override!$B$11:$B$40,$B248,Override!$D$11:$D$40,2,Override!$E$11:$E$40,"&gt;=0")-COUNTIFS(Override!$B$11:$B$40,$B248,Override!$D$11:$D$40,2,Override!$E$11:$E$40,"&gt;=0",Override!$C$11:$C$40,"AS51"))&gt;0,SUMIFS(Override!$E$11:$E$40,Override!$B$11:$B$40,$B248,Override!$D$11:$D$40,2)-SUMIFS(Override!$E$11:$E$40,Override!$B$11:$B$40,$B248,Override!$D$11:$D$40,2,Override!$C$11:$C$40,"AS51"),Override!$D$280)/MXAU!$B$3,"")))</f>
        <v/>
      </c>
      <c r="H248" s="140">
        <f>IF(H$226="","",IF($B248="","",IFERROR($C248*$D248*IF((Override!$C$4="ON")*(COUNTIFS(Override!$B$11:$B$40,$B248,Override!$D$11:$D$40,3,Override!$E$11:$E$40,"&gt;=0")-COUNTIFS(Override!$B$11:$B$40,$B248,Override!$D$11:$D$40,3,Override!$E$11:$E$40,"&gt;=0",Override!$C$11:$C$40,"AS51"))&gt;0,SUMIFS(Override!$E$11:$E$40,Override!$B$11:$B$40,$B248,Override!$D$11:$D$40,3)-SUMIFS(Override!$E$11:$E$40,Override!$B$11:$B$40,$B248,Override!$D$11:$D$40,3,Override!$C$11:$C$40,"AS51"),Override!$E$280)/MXAU!$B$3,"")))</f>
        <v/>
      </c>
      <c r="I248" s="140">
        <f>IF(I$226="","",IF($B248="","",IFERROR($C248*$D248*IF((Override!$C$4="ON")*(COUNTIFS(Override!$B$11:$B$40,$B248,Override!$D$11:$D$40,4,Override!$E$11:$E$40,"&gt;=0")-COUNTIFS(Override!$B$11:$B$40,$B248,Override!$D$11:$D$40,4,Override!$E$11:$E$40,"&gt;=0",Override!$C$11:$C$40,"AS51"))&gt;0,SUMIFS(Override!$E$11:$E$40,Override!$B$11:$B$40,$B248,Override!$D$11:$D$40,4)-SUMIFS(Override!$E$11:$E$40,Override!$B$11:$B$40,$B248,Override!$D$11:$D$40,4,Override!$C$11:$C$40,"AS51"),Override!$F$280)/MXAU!$B$3,"")))</f>
        <v/>
      </c>
      <c r="J248" s="140">
        <f>IF(J$226="","",IF($B248="","",IFERROR($C248*$D248*IF((Override!$C$4="ON")*(COUNTIFS(Override!$B$11:$B$40,$B248,Override!$D$11:$D$40,5,Override!$E$11:$E$40,"&gt;=0")-COUNTIFS(Override!$B$11:$B$40,$B248,Override!$D$11:$D$40,5,Override!$E$11:$E$40,"&gt;=0",Override!$C$11:$C$40,"AS51"))&gt;0,SUMIFS(Override!$E$11:$E$40,Override!$B$11:$B$40,$B248,Override!$D$11:$D$40,5)-SUMIFS(Override!$E$11:$E$40,Override!$B$11:$B$40,$B248,Override!$D$11:$D$40,5,Override!$C$11:$C$40,"AS51"),Override!$G$280)/MXAU!$B$3,"")))</f>
        <v/>
      </c>
      <c r="K248" s="140">
        <f>IF(K$226="","",IF($B248="","",IFERROR($C248*$D248*IF((Override!$C$4="ON")*(COUNTIFS(Override!$B$11:$B$40,$B248,Override!$D$11:$D$40,6,Override!$E$11:$E$40,"&gt;=0")-COUNTIFS(Override!$B$11:$B$40,$B248,Override!$D$11:$D$40,6,Override!$E$11:$E$40,"&gt;=0",Override!$C$11:$C$40,"AS51"))&gt;0,SUMIFS(Override!$E$11:$E$40,Override!$B$11:$B$40,$B248,Override!$D$11:$D$40,6)-SUMIFS(Override!$E$11:$E$40,Override!$B$11:$B$40,$B248,Override!$D$11:$D$40,6,Override!$C$11:$C$40,"AS51"),Override!$H$280)/MXAU!$B$3,"")))</f>
        <v/>
      </c>
      <c r="L248" s="140">
        <f>IF(L$226="","",IF($B248="","",IFERROR($C248*$D248*IF((Override!$C$4="ON")*(COUNTIFS(Override!$B$11:$B$40,$B248,Override!$D$11:$D$40,7,Override!$E$11:$E$40,"&gt;=0")-COUNTIFS(Override!$B$11:$B$40,$B248,Override!$D$11:$D$40,7,Override!$E$11:$E$40,"&gt;=0",Override!$C$11:$C$40,"AS51"))&gt;0,SUMIFS(Override!$E$11:$E$40,Override!$B$11:$B$40,$B248,Override!$D$11:$D$40,7)-SUMIFS(Override!$E$11:$E$40,Override!$B$11:$B$40,$B248,Override!$D$11:$D$40,7,Override!$C$11:$C$40,"AS51"),Override!$I$280)/MXAU!$B$3,"")))</f>
        <v/>
      </c>
      <c r="M248" s="140">
        <f>IF(M$226="","",IF($B248="","",IFERROR($C248*$D248*IF((Override!$C$4="ON")*(COUNTIFS(Override!$B$11:$B$40,$B248,Override!$D$11:$D$40,8,Override!$E$11:$E$40,"&gt;=0")-COUNTIFS(Override!$B$11:$B$40,$B248,Override!$D$11:$D$40,8,Override!$E$11:$E$40,"&gt;=0",Override!$C$11:$C$40,"AS51"))&gt;0,SUMIFS(Override!$E$11:$E$40,Override!$B$11:$B$40,$B248,Override!$D$11:$D$40,8)-SUMIFS(Override!$E$11:$E$40,Override!$B$11:$B$40,$B248,Override!$D$11:$D$40,8,Override!$C$11:$C$40,"AS51"),Override!$J$280)/MXAU!$B$3,"")))</f>
        <v/>
      </c>
      <c r="N248" s="140">
        <f>IF(N$226="","",IF($B248="","",IFERROR($C248*$D248*IF((Override!$C$4="ON")*(COUNTIFS(Override!$B$11:$B$40,$B248,Override!$D$11:$D$40,9,Override!$E$11:$E$40,"&gt;=0")-COUNTIFS(Override!$B$11:$B$40,$B248,Override!$D$11:$D$40,9,Override!$E$11:$E$40,"&gt;=0",Override!$C$11:$C$40,"AS51"))&gt;0,SUMIFS(Override!$E$11:$E$40,Override!$B$11:$B$40,$B248,Override!$D$11:$D$40,9)-SUMIFS(Override!$E$11:$E$40,Override!$B$11:$B$40,$B248,Override!$D$11:$D$40,9,Override!$C$11:$C$40,"AS51"),Override!$K$280)/MXAU!$B$3,"")))</f>
        <v/>
      </c>
      <c r="O248" s="140">
        <f>IF(O$226="","",IF($B248="","",IFERROR($C248*$D248*IF((Override!$C$4="ON")*(COUNTIFS(Override!$B$11:$B$40,$B248,Override!$D$11:$D$40,10,Override!$E$11:$E$40,"&gt;=0")-COUNTIFS(Override!$B$11:$B$40,$B248,Override!$D$11:$D$40,10,Override!$E$11:$E$40,"&gt;=0",Override!$C$11:$C$40,"AS51"))&gt;0,SUMIFS(Override!$E$11:$E$40,Override!$B$11:$B$40,$B248,Override!$D$11:$D$40,10)-SUMIFS(Override!$E$11:$E$40,Override!$B$11:$B$40,$B248,Override!$D$11:$D$40,10,Override!$C$11:$C$40,"AS51"),Override!$L$280)/MXAU!$B$3,"")))</f>
        <v/>
      </c>
      <c r="P248" s="140">
        <f>IF(P$226="","",IF($B248="","",IFERROR($C248*$D248*IF((Override!$C$4="ON")*(COUNTIFS(Override!$B$11:$B$40,$B248,Override!$D$11:$D$40,11,Override!$E$11:$E$40,"&gt;=0")-COUNTIFS(Override!$B$11:$B$40,$B248,Override!$D$11:$D$40,11,Override!$E$11:$E$40,"&gt;=0",Override!$C$11:$C$40,"AS51"))&gt;0,SUMIFS(Override!$E$11:$E$40,Override!$B$11:$B$40,$B248,Override!$D$11:$D$40,11)-SUMIFS(Override!$E$11:$E$40,Override!$B$11:$B$40,$B248,Override!$D$11:$D$40,11,Override!$C$11:$C$40,"AS51"),Override!$M$280)/MXAU!$B$3,"")))</f>
        <v/>
      </c>
      <c r="Q248" s="140">
        <f>IF(Q$226="","",IF($B248="","",IFERROR($C248*$D248*IF((Override!$C$4="ON")*(COUNTIFS(Override!$B$11:$B$40,$B248,Override!$D$11:$D$40,12,Override!$E$11:$E$40,"&gt;=0")-COUNTIFS(Override!$B$11:$B$40,$B248,Override!$D$11:$D$40,12,Override!$E$11:$E$40,"&gt;=0",Override!$C$11:$C$40,"AS51"))&gt;0,SUMIFS(Override!$E$11:$E$40,Override!$B$11:$B$40,$B248,Override!$D$11:$D$40,12)-SUMIFS(Override!$E$11:$E$40,Override!$B$11:$B$40,$B248,Override!$D$11:$D$40,12,Override!$C$11:$C$40,"AS51"),Override!$N$280)/MXAU!$B$3,"")))</f>
        <v/>
      </c>
      <c r="R248" s="140">
        <f>IF(R$226="","",IF($B248="","",IFERROR($C248*$D248*IF((Override!$C$4="ON")*(COUNTIFS(Override!$B$11:$B$40,$B248,Override!$D$11:$D$40,13,Override!$E$11:$E$40,"&gt;=0")-COUNTIFS(Override!$B$11:$B$40,$B248,Override!$D$11:$D$40,13,Override!$E$11:$E$40,"&gt;=0",Override!$C$11:$C$40,"AS51"))&gt;0,SUMIFS(Override!$E$11:$E$40,Override!$B$11:$B$40,$B248,Override!$D$11:$D$40,13)-SUMIFS(Override!$E$11:$E$40,Override!$B$11:$B$40,$B248,Override!$D$11:$D$40,13,Override!$C$11:$C$40,"AS51"),Override!$O$280)/MXAU!$B$3,"")))</f>
        <v/>
      </c>
      <c r="S248" s="140">
        <f>IF(S$226="","",IF($B248="","",IFERROR($C248*$D248*IF((Override!$C$4="ON")*(COUNTIFS(Override!$B$11:$B$40,$B248,Override!$D$11:$D$40,14,Override!$E$11:$E$40,"&gt;=0")-COUNTIFS(Override!$B$11:$B$40,$B248,Override!$D$11:$D$40,14,Override!$E$11:$E$40,"&gt;=0",Override!$C$11:$C$40,"AS51"))&gt;0,SUMIFS(Override!$E$11:$E$40,Override!$B$11:$B$40,$B248,Override!$D$11:$D$40,14)-SUMIFS(Override!$E$11:$E$40,Override!$B$11:$B$40,$B248,Override!$D$11:$D$40,14,Override!$C$11:$C$40,"AS51"),Override!$P$280)/MXAU!$B$3,"")))</f>
        <v/>
      </c>
      <c r="T248" s="140">
        <f>IF(T$226="","",IF($B248="","",IFERROR($C248*$D248*IF((Override!$C$4="ON")*(COUNTIFS(Override!$B$11:$B$40,$B248,Override!$D$11:$D$40,15,Override!$E$11:$E$40,"&gt;=0")-COUNTIFS(Override!$B$11:$B$40,$B248,Override!$D$11:$D$40,15,Override!$E$11:$E$40,"&gt;=0",Override!$C$11:$C$40,"AS51"))&gt;0,SUMIFS(Override!$E$11:$E$40,Override!$B$11:$B$40,$B248,Override!$D$11:$D$40,15)-SUMIFS(Override!$E$11:$E$40,Override!$B$11:$B$40,$B248,Override!$D$11:$D$40,15,Override!$C$11:$C$40,"AS51"),Override!$Q$280)/MXAU!$B$3,"")))</f>
        <v/>
      </c>
      <c r="U248" s="140">
        <f>IF(U$226="","",IF($B248="","",IFERROR($C248*$D248*IF((Override!$C$4="ON")*(COUNTIFS(Override!$B$11:$B$40,$B248,Override!$D$11:$D$40,16,Override!$E$11:$E$40,"&gt;=0")-COUNTIFS(Override!$B$11:$B$40,$B248,Override!$D$11:$D$40,16,Override!$E$11:$E$40,"&gt;=0",Override!$C$11:$C$40,"AS51"))&gt;0,SUMIFS(Override!$E$11:$E$40,Override!$B$11:$B$40,$B248,Override!$D$11:$D$40,16)-SUMIFS(Override!$E$11:$E$40,Override!$B$11:$B$40,$B248,Override!$D$11:$D$40,16,Override!$C$11:$C$40,"AS51"),Override!$R$280)/MXAU!$B$3,"")))</f>
        <v/>
      </c>
      <c r="W248" s="140">
        <f>IF(W$226="","",IF($B248="","",IFERROR(F248*$E248/100,"")))</f>
        <v/>
      </c>
      <c r="X248" s="140">
        <f>IF(X$226="","",IF($B248="","",IFERROR(G248*$E248/100,"")))</f>
        <v/>
      </c>
      <c r="Y248" s="140">
        <f>IF(Y$226="","",IF($B248="","",IFERROR(H248*$E248/100,"")))</f>
        <v/>
      </c>
      <c r="Z248" s="140">
        <f>IF(Z$226="","",IF($B248="","",IFERROR(I248*$E248/100,"")))</f>
        <v/>
      </c>
      <c r="AA248" s="140">
        <f>IF(AA$226="","",IF($B248="","",IFERROR(J248*$E248/100,"")))</f>
        <v/>
      </c>
      <c r="AB248" s="140">
        <f>IF(AB$226="","",IF($B248="","",IFERROR(K248*$E248/100,"")))</f>
        <v/>
      </c>
      <c r="AC248" s="140">
        <f>IF(AC$226="","",IF($B248="","",IFERROR(L248*$E248/100,"")))</f>
        <v/>
      </c>
      <c r="AD248" s="140">
        <f>IF(AD$226="","",IF($B248="","",IFERROR(M248*$E248/100,"")))</f>
        <v/>
      </c>
      <c r="AE248" s="140">
        <f>IF(AE$226="","",IF($B248="","",IFERROR(N248*$E248/100,"")))</f>
        <v/>
      </c>
      <c r="AF248" s="140">
        <f>IF(AF$226="","",IF($B248="","",IFERROR(O248*$E248/100,"")))</f>
        <v/>
      </c>
      <c r="AG248" s="140">
        <f>IF(AG$226="","",IF($B248="","",IFERROR(P248*$E248/100,"")))</f>
        <v/>
      </c>
      <c r="AH248" s="140">
        <f>IF(AH$226="","",IF($B248="","",IFERROR(Q248*$E248/100,"")))</f>
        <v/>
      </c>
      <c r="AI248" s="140">
        <f>IF(AI$226="","",IF($B248="","",IFERROR(R248*$E248/100,"")))</f>
        <v/>
      </c>
      <c r="AJ248" s="140">
        <f>IF(AJ$226="","",IF($B248="","",IFERROR(S248*$E248/100,"")))</f>
        <v/>
      </c>
      <c r="AK248" s="140">
        <f>IF(AK$226="","",IF($B248="","",IFERROR(T248*$E248/100,"")))</f>
        <v/>
      </c>
      <c r="AL248" s="140">
        <f>IF(AL$226="","",IF($B248="","",IFERROR(U248*$E248/100,"")))</f>
        <v/>
      </c>
      <c r="AN248" s="140">
        <f>IF($B248="","",SUMIF($F$226:$U$226,"&lt;="&amp;Sector!$E$51,$F248:$U248))</f>
        <v/>
      </c>
      <c r="AO248" s="140">
        <f>IF($B248="","",SUMIF($W$226:$AL$226,"&lt;="&amp;Sector!$E$51,$W248:$AL248))</f>
        <v/>
      </c>
    </row>
    <row r="249">
      <c r="B249" s="5">
        <f>IF(MXAU!$C$26="","",MXAU!$C$26)</f>
        <v/>
      </c>
      <c r="C249" s="90">
        <f>IF(MXAU!$B$26="","",MXAU!$B$26)</f>
        <v/>
      </c>
      <c r="D249" s="138">
        <f>IFERROR(MXAU!$Q$26,1)</f>
        <v/>
      </c>
      <c r="E249" s="139">
        <f>IF($B249="","",IF(ISNUMBER(MXAU!$I$26),MXAU!$I$26,'Index Summary'!$C$7))</f>
        <v/>
      </c>
      <c r="F249" s="140">
        <f>IF(F$226="","",IF($B249="","",IFERROR($C249*$D249*IF((Override!$C$4="ON")*(COUNTIFS(Override!$B$11:$B$40,$B249,Override!$D$11:$D$40,1,Override!$E$11:$E$40,"&gt;=0")-COUNTIFS(Override!$B$11:$B$40,$B249,Override!$D$11:$D$40,1,Override!$E$11:$E$40,"&gt;=0",Override!$C$11:$C$40,"AS51"))&gt;0,SUMIFS(Override!$E$11:$E$40,Override!$B$11:$B$40,$B249,Override!$D$11:$D$40,1)-SUMIFS(Override!$E$11:$E$40,Override!$B$11:$B$40,$B249,Override!$D$11:$D$40,1,Override!$C$11:$C$40,"AS51"),Override!$C$281)/MXAU!$B$3,"")))</f>
        <v/>
      </c>
      <c r="G249" s="140">
        <f>IF(G$226="","",IF($B249="","",IFERROR($C249*$D249*IF((Override!$C$4="ON")*(COUNTIFS(Override!$B$11:$B$40,$B249,Override!$D$11:$D$40,2,Override!$E$11:$E$40,"&gt;=0")-COUNTIFS(Override!$B$11:$B$40,$B249,Override!$D$11:$D$40,2,Override!$E$11:$E$40,"&gt;=0",Override!$C$11:$C$40,"AS51"))&gt;0,SUMIFS(Override!$E$11:$E$40,Override!$B$11:$B$40,$B249,Override!$D$11:$D$40,2)-SUMIFS(Override!$E$11:$E$40,Override!$B$11:$B$40,$B249,Override!$D$11:$D$40,2,Override!$C$11:$C$40,"AS51"),Override!$D$281)/MXAU!$B$3,"")))</f>
        <v/>
      </c>
      <c r="H249" s="140">
        <f>IF(H$226="","",IF($B249="","",IFERROR($C249*$D249*IF((Override!$C$4="ON")*(COUNTIFS(Override!$B$11:$B$40,$B249,Override!$D$11:$D$40,3,Override!$E$11:$E$40,"&gt;=0")-COUNTIFS(Override!$B$11:$B$40,$B249,Override!$D$11:$D$40,3,Override!$E$11:$E$40,"&gt;=0",Override!$C$11:$C$40,"AS51"))&gt;0,SUMIFS(Override!$E$11:$E$40,Override!$B$11:$B$40,$B249,Override!$D$11:$D$40,3)-SUMIFS(Override!$E$11:$E$40,Override!$B$11:$B$40,$B249,Override!$D$11:$D$40,3,Override!$C$11:$C$40,"AS51"),Override!$E$281)/MXAU!$B$3,"")))</f>
        <v/>
      </c>
      <c r="I249" s="140">
        <f>IF(I$226="","",IF($B249="","",IFERROR($C249*$D249*IF((Override!$C$4="ON")*(COUNTIFS(Override!$B$11:$B$40,$B249,Override!$D$11:$D$40,4,Override!$E$11:$E$40,"&gt;=0")-COUNTIFS(Override!$B$11:$B$40,$B249,Override!$D$11:$D$40,4,Override!$E$11:$E$40,"&gt;=0",Override!$C$11:$C$40,"AS51"))&gt;0,SUMIFS(Override!$E$11:$E$40,Override!$B$11:$B$40,$B249,Override!$D$11:$D$40,4)-SUMIFS(Override!$E$11:$E$40,Override!$B$11:$B$40,$B249,Override!$D$11:$D$40,4,Override!$C$11:$C$40,"AS51"),Override!$F$281)/MXAU!$B$3,"")))</f>
        <v/>
      </c>
      <c r="J249" s="140">
        <f>IF(J$226="","",IF($B249="","",IFERROR($C249*$D249*IF((Override!$C$4="ON")*(COUNTIFS(Override!$B$11:$B$40,$B249,Override!$D$11:$D$40,5,Override!$E$11:$E$40,"&gt;=0")-COUNTIFS(Override!$B$11:$B$40,$B249,Override!$D$11:$D$40,5,Override!$E$11:$E$40,"&gt;=0",Override!$C$11:$C$40,"AS51"))&gt;0,SUMIFS(Override!$E$11:$E$40,Override!$B$11:$B$40,$B249,Override!$D$11:$D$40,5)-SUMIFS(Override!$E$11:$E$40,Override!$B$11:$B$40,$B249,Override!$D$11:$D$40,5,Override!$C$11:$C$40,"AS51"),Override!$G$281)/MXAU!$B$3,"")))</f>
        <v/>
      </c>
      <c r="K249" s="140">
        <f>IF(K$226="","",IF($B249="","",IFERROR($C249*$D249*IF((Override!$C$4="ON")*(COUNTIFS(Override!$B$11:$B$40,$B249,Override!$D$11:$D$40,6,Override!$E$11:$E$40,"&gt;=0")-COUNTIFS(Override!$B$11:$B$40,$B249,Override!$D$11:$D$40,6,Override!$E$11:$E$40,"&gt;=0",Override!$C$11:$C$40,"AS51"))&gt;0,SUMIFS(Override!$E$11:$E$40,Override!$B$11:$B$40,$B249,Override!$D$11:$D$40,6)-SUMIFS(Override!$E$11:$E$40,Override!$B$11:$B$40,$B249,Override!$D$11:$D$40,6,Override!$C$11:$C$40,"AS51"),Override!$H$281)/MXAU!$B$3,"")))</f>
        <v/>
      </c>
      <c r="L249" s="140">
        <f>IF(L$226="","",IF($B249="","",IFERROR($C249*$D249*IF((Override!$C$4="ON")*(COUNTIFS(Override!$B$11:$B$40,$B249,Override!$D$11:$D$40,7,Override!$E$11:$E$40,"&gt;=0")-COUNTIFS(Override!$B$11:$B$40,$B249,Override!$D$11:$D$40,7,Override!$E$11:$E$40,"&gt;=0",Override!$C$11:$C$40,"AS51"))&gt;0,SUMIFS(Override!$E$11:$E$40,Override!$B$11:$B$40,$B249,Override!$D$11:$D$40,7)-SUMIFS(Override!$E$11:$E$40,Override!$B$11:$B$40,$B249,Override!$D$11:$D$40,7,Override!$C$11:$C$40,"AS51"),Override!$I$281)/MXAU!$B$3,"")))</f>
        <v/>
      </c>
      <c r="M249" s="140">
        <f>IF(M$226="","",IF($B249="","",IFERROR($C249*$D249*IF((Override!$C$4="ON")*(COUNTIFS(Override!$B$11:$B$40,$B249,Override!$D$11:$D$40,8,Override!$E$11:$E$40,"&gt;=0")-COUNTIFS(Override!$B$11:$B$40,$B249,Override!$D$11:$D$40,8,Override!$E$11:$E$40,"&gt;=0",Override!$C$11:$C$40,"AS51"))&gt;0,SUMIFS(Override!$E$11:$E$40,Override!$B$11:$B$40,$B249,Override!$D$11:$D$40,8)-SUMIFS(Override!$E$11:$E$40,Override!$B$11:$B$40,$B249,Override!$D$11:$D$40,8,Override!$C$11:$C$40,"AS51"),Override!$J$281)/MXAU!$B$3,"")))</f>
        <v/>
      </c>
      <c r="N249" s="140">
        <f>IF(N$226="","",IF($B249="","",IFERROR($C249*$D249*IF((Override!$C$4="ON")*(COUNTIFS(Override!$B$11:$B$40,$B249,Override!$D$11:$D$40,9,Override!$E$11:$E$40,"&gt;=0")-COUNTIFS(Override!$B$11:$B$40,$B249,Override!$D$11:$D$40,9,Override!$E$11:$E$40,"&gt;=0",Override!$C$11:$C$40,"AS51"))&gt;0,SUMIFS(Override!$E$11:$E$40,Override!$B$11:$B$40,$B249,Override!$D$11:$D$40,9)-SUMIFS(Override!$E$11:$E$40,Override!$B$11:$B$40,$B249,Override!$D$11:$D$40,9,Override!$C$11:$C$40,"AS51"),Override!$K$281)/MXAU!$B$3,"")))</f>
        <v/>
      </c>
      <c r="O249" s="140">
        <f>IF(O$226="","",IF($B249="","",IFERROR($C249*$D249*IF((Override!$C$4="ON")*(COUNTIFS(Override!$B$11:$B$40,$B249,Override!$D$11:$D$40,10,Override!$E$11:$E$40,"&gt;=0")-COUNTIFS(Override!$B$11:$B$40,$B249,Override!$D$11:$D$40,10,Override!$E$11:$E$40,"&gt;=0",Override!$C$11:$C$40,"AS51"))&gt;0,SUMIFS(Override!$E$11:$E$40,Override!$B$11:$B$40,$B249,Override!$D$11:$D$40,10)-SUMIFS(Override!$E$11:$E$40,Override!$B$11:$B$40,$B249,Override!$D$11:$D$40,10,Override!$C$11:$C$40,"AS51"),Override!$L$281)/MXAU!$B$3,"")))</f>
        <v/>
      </c>
      <c r="P249" s="140">
        <f>IF(P$226="","",IF($B249="","",IFERROR($C249*$D249*IF((Override!$C$4="ON")*(COUNTIFS(Override!$B$11:$B$40,$B249,Override!$D$11:$D$40,11,Override!$E$11:$E$40,"&gt;=0")-COUNTIFS(Override!$B$11:$B$40,$B249,Override!$D$11:$D$40,11,Override!$E$11:$E$40,"&gt;=0",Override!$C$11:$C$40,"AS51"))&gt;0,SUMIFS(Override!$E$11:$E$40,Override!$B$11:$B$40,$B249,Override!$D$11:$D$40,11)-SUMIFS(Override!$E$11:$E$40,Override!$B$11:$B$40,$B249,Override!$D$11:$D$40,11,Override!$C$11:$C$40,"AS51"),Override!$M$281)/MXAU!$B$3,"")))</f>
        <v/>
      </c>
      <c r="Q249" s="140">
        <f>IF(Q$226="","",IF($B249="","",IFERROR($C249*$D249*IF((Override!$C$4="ON")*(COUNTIFS(Override!$B$11:$B$40,$B249,Override!$D$11:$D$40,12,Override!$E$11:$E$40,"&gt;=0")-COUNTIFS(Override!$B$11:$B$40,$B249,Override!$D$11:$D$40,12,Override!$E$11:$E$40,"&gt;=0",Override!$C$11:$C$40,"AS51"))&gt;0,SUMIFS(Override!$E$11:$E$40,Override!$B$11:$B$40,$B249,Override!$D$11:$D$40,12)-SUMIFS(Override!$E$11:$E$40,Override!$B$11:$B$40,$B249,Override!$D$11:$D$40,12,Override!$C$11:$C$40,"AS51"),Override!$N$281)/MXAU!$B$3,"")))</f>
        <v/>
      </c>
      <c r="R249" s="140">
        <f>IF(R$226="","",IF($B249="","",IFERROR($C249*$D249*IF((Override!$C$4="ON")*(COUNTIFS(Override!$B$11:$B$40,$B249,Override!$D$11:$D$40,13,Override!$E$11:$E$40,"&gt;=0")-COUNTIFS(Override!$B$11:$B$40,$B249,Override!$D$11:$D$40,13,Override!$E$11:$E$40,"&gt;=0",Override!$C$11:$C$40,"AS51"))&gt;0,SUMIFS(Override!$E$11:$E$40,Override!$B$11:$B$40,$B249,Override!$D$11:$D$40,13)-SUMIFS(Override!$E$11:$E$40,Override!$B$11:$B$40,$B249,Override!$D$11:$D$40,13,Override!$C$11:$C$40,"AS51"),Override!$O$281)/MXAU!$B$3,"")))</f>
        <v/>
      </c>
      <c r="S249" s="140">
        <f>IF(S$226="","",IF($B249="","",IFERROR($C249*$D249*IF((Override!$C$4="ON")*(COUNTIFS(Override!$B$11:$B$40,$B249,Override!$D$11:$D$40,14,Override!$E$11:$E$40,"&gt;=0")-COUNTIFS(Override!$B$11:$B$40,$B249,Override!$D$11:$D$40,14,Override!$E$11:$E$40,"&gt;=0",Override!$C$11:$C$40,"AS51"))&gt;0,SUMIFS(Override!$E$11:$E$40,Override!$B$11:$B$40,$B249,Override!$D$11:$D$40,14)-SUMIFS(Override!$E$11:$E$40,Override!$B$11:$B$40,$B249,Override!$D$11:$D$40,14,Override!$C$11:$C$40,"AS51"),Override!$P$281)/MXAU!$B$3,"")))</f>
        <v/>
      </c>
      <c r="T249" s="140">
        <f>IF(T$226="","",IF($B249="","",IFERROR($C249*$D249*IF((Override!$C$4="ON")*(COUNTIFS(Override!$B$11:$B$40,$B249,Override!$D$11:$D$40,15,Override!$E$11:$E$40,"&gt;=0")-COUNTIFS(Override!$B$11:$B$40,$B249,Override!$D$11:$D$40,15,Override!$E$11:$E$40,"&gt;=0",Override!$C$11:$C$40,"AS51"))&gt;0,SUMIFS(Override!$E$11:$E$40,Override!$B$11:$B$40,$B249,Override!$D$11:$D$40,15)-SUMIFS(Override!$E$11:$E$40,Override!$B$11:$B$40,$B249,Override!$D$11:$D$40,15,Override!$C$11:$C$40,"AS51"),Override!$Q$281)/MXAU!$B$3,"")))</f>
        <v/>
      </c>
      <c r="U249" s="140">
        <f>IF(U$226="","",IF($B249="","",IFERROR($C249*$D249*IF((Override!$C$4="ON")*(COUNTIFS(Override!$B$11:$B$40,$B249,Override!$D$11:$D$40,16,Override!$E$11:$E$40,"&gt;=0")-COUNTIFS(Override!$B$11:$B$40,$B249,Override!$D$11:$D$40,16,Override!$E$11:$E$40,"&gt;=0",Override!$C$11:$C$40,"AS51"))&gt;0,SUMIFS(Override!$E$11:$E$40,Override!$B$11:$B$40,$B249,Override!$D$11:$D$40,16)-SUMIFS(Override!$E$11:$E$40,Override!$B$11:$B$40,$B249,Override!$D$11:$D$40,16,Override!$C$11:$C$40,"AS51"),Override!$R$281)/MXAU!$B$3,"")))</f>
        <v/>
      </c>
      <c r="W249" s="140">
        <f>IF(W$226="","",IF($B249="","",IFERROR(F249*$E249/100,"")))</f>
        <v/>
      </c>
      <c r="X249" s="140">
        <f>IF(X$226="","",IF($B249="","",IFERROR(G249*$E249/100,"")))</f>
        <v/>
      </c>
      <c r="Y249" s="140">
        <f>IF(Y$226="","",IF($B249="","",IFERROR(H249*$E249/100,"")))</f>
        <v/>
      </c>
      <c r="Z249" s="140">
        <f>IF(Z$226="","",IF($B249="","",IFERROR(I249*$E249/100,"")))</f>
        <v/>
      </c>
      <c r="AA249" s="140">
        <f>IF(AA$226="","",IF($B249="","",IFERROR(J249*$E249/100,"")))</f>
        <v/>
      </c>
      <c r="AB249" s="140">
        <f>IF(AB$226="","",IF($B249="","",IFERROR(K249*$E249/100,"")))</f>
        <v/>
      </c>
      <c r="AC249" s="140">
        <f>IF(AC$226="","",IF($B249="","",IFERROR(L249*$E249/100,"")))</f>
        <v/>
      </c>
      <c r="AD249" s="140">
        <f>IF(AD$226="","",IF($B249="","",IFERROR(M249*$E249/100,"")))</f>
        <v/>
      </c>
      <c r="AE249" s="140">
        <f>IF(AE$226="","",IF($B249="","",IFERROR(N249*$E249/100,"")))</f>
        <v/>
      </c>
      <c r="AF249" s="140">
        <f>IF(AF$226="","",IF($B249="","",IFERROR(O249*$E249/100,"")))</f>
        <v/>
      </c>
      <c r="AG249" s="140">
        <f>IF(AG$226="","",IF($B249="","",IFERROR(P249*$E249/100,"")))</f>
        <v/>
      </c>
      <c r="AH249" s="140">
        <f>IF(AH$226="","",IF($B249="","",IFERROR(Q249*$E249/100,"")))</f>
        <v/>
      </c>
      <c r="AI249" s="140">
        <f>IF(AI$226="","",IF($B249="","",IFERROR(R249*$E249/100,"")))</f>
        <v/>
      </c>
      <c r="AJ249" s="140">
        <f>IF(AJ$226="","",IF($B249="","",IFERROR(S249*$E249/100,"")))</f>
        <v/>
      </c>
      <c r="AK249" s="140">
        <f>IF(AK$226="","",IF($B249="","",IFERROR(T249*$E249/100,"")))</f>
        <v/>
      </c>
      <c r="AL249" s="140">
        <f>IF(AL$226="","",IF($B249="","",IFERROR(U249*$E249/100,"")))</f>
        <v/>
      </c>
      <c r="AN249" s="140">
        <f>IF($B249="","",SUMIF($F$226:$U$226,"&lt;="&amp;Sector!$E$51,$F249:$U249))</f>
        <v/>
      </c>
      <c r="AO249" s="140">
        <f>IF($B249="","",SUMIF($W$226:$AL$226,"&lt;="&amp;Sector!$E$51,$W249:$AL249))</f>
        <v/>
      </c>
    </row>
    <row r="250">
      <c r="B250" s="5">
        <f>IF(MXAU!$C$27="","",MXAU!$C$27)</f>
        <v/>
      </c>
      <c r="C250" s="90">
        <f>IF(MXAU!$B$27="","",MXAU!$B$27)</f>
        <v/>
      </c>
      <c r="D250" s="138">
        <f>IFERROR(MXAU!$Q$27,1)</f>
        <v/>
      </c>
      <c r="E250" s="139">
        <f>IF($B250="","",IF(ISNUMBER(MXAU!$I$27),MXAU!$I$27,'Index Summary'!$C$7))</f>
        <v/>
      </c>
      <c r="F250" s="140">
        <f>IF(F$226="","",IF($B250="","",IFERROR($C250*$D250*IF((Override!$C$4="ON")*(COUNTIFS(Override!$B$11:$B$40,$B250,Override!$D$11:$D$40,1,Override!$E$11:$E$40,"&gt;=0")-COUNTIFS(Override!$B$11:$B$40,$B250,Override!$D$11:$D$40,1,Override!$E$11:$E$40,"&gt;=0",Override!$C$11:$C$40,"AS51"))&gt;0,SUMIFS(Override!$E$11:$E$40,Override!$B$11:$B$40,$B250,Override!$D$11:$D$40,1)-SUMIFS(Override!$E$11:$E$40,Override!$B$11:$B$40,$B250,Override!$D$11:$D$40,1,Override!$C$11:$C$40,"AS51"),Override!$C$282)/MXAU!$B$3,"")))</f>
        <v/>
      </c>
      <c r="G250" s="140">
        <f>IF(G$226="","",IF($B250="","",IFERROR($C250*$D250*IF((Override!$C$4="ON")*(COUNTIFS(Override!$B$11:$B$40,$B250,Override!$D$11:$D$40,2,Override!$E$11:$E$40,"&gt;=0")-COUNTIFS(Override!$B$11:$B$40,$B250,Override!$D$11:$D$40,2,Override!$E$11:$E$40,"&gt;=0",Override!$C$11:$C$40,"AS51"))&gt;0,SUMIFS(Override!$E$11:$E$40,Override!$B$11:$B$40,$B250,Override!$D$11:$D$40,2)-SUMIFS(Override!$E$11:$E$40,Override!$B$11:$B$40,$B250,Override!$D$11:$D$40,2,Override!$C$11:$C$40,"AS51"),Override!$D$282)/MXAU!$B$3,"")))</f>
        <v/>
      </c>
      <c r="H250" s="140">
        <f>IF(H$226="","",IF($B250="","",IFERROR($C250*$D250*IF((Override!$C$4="ON")*(COUNTIFS(Override!$B$11:$B$40,$B250,Override!$D$11:$D$40,3,Override!$E$11:$E$40,"&gt;=0")-COUNTIFS(Override!$B$11:$B$40,$B250,Override!$D$11:$D$40,3,Override!$E$11:$E$40,"&gt;=0",Override!$C$11:$C$40,"AS51"))&gt;0,SUMIFS(Override!$E$11:$E$40,Override!$B$11:$B$40,$B250,Override!$D$11:$D$40,3)-SUMIFS(Override!$E$11:$E$40,Override!$B$11:$B$40,$B250,Override!$D$11:$D$40,3,Override!$C$11:$C$40,"AS51"),Override!$E$282)/MXAU!$B$3,"")))</f>
        <v/>
      </c>
      <c r="I250" s="140">
        <f>IF(I$226="","",IF($B250="","",IFERROR($C250*$D250*IF((Override!$C$4="ON")*(COUNTIFS(Override!$B$11:$B$40,$B250,Override!$D$11:$D$40,4,Override!$E$11:$E$40,"&gt;=0")-COUNTIFS(Override!$B$11:$B$40,$B250,Override!$D$11:$D$40,4,Override!$E$11:$E$40,"&gt;=0",Override!$C$11:$C$40,"AS51"))&gt;0,SUMIFS(Override!$E$11:$E$40,Override!$B$11:$B$40,$B250,Override!$D$11:$D$40,4)-SUMIFS(Override!$E$11:$E$40,Override!$B$11:$B$40,$B250,Override!$D$11:$D$40,4,Override!$C$11:$C$40,"AS51"),Override!$F$282)/MXAU!$B$3,"")))</f>
        <v/>
      </c>
      <c r="J250" s="140">
        <f>IF(J$226="","",IF($B250="","",IFERROR($C250*$D250*IF((Override!$C$4="ON")*(COUNTIFS(Override!$B$11:$B$40,$B250,Override!$D$11:$D$40,5,Override!$E$11:$E$40,"&gt;=0")-COUNTIFS(Override!$B$11:$B$40,$B250,Override!$D$11:$D$40,5,Override!$E$11:$E$40,"&gt;=0",Override!$C$11:$C$40,"AS51"))&gt;0,SUMIFS(Override!$E$11:$E$40,Override!$B$11:$B$40,$B250,Override!$D$11:$D$40,5)-SUMIFS(Override!$E$11:$E$40,Override!$B$11:$B$40,$B250,Override!$D$11:$D$40,5,Override!$C$11:$C$40,"AS51"),Override!$G$282)/MXAU!$B$3,"")))</f>
        <v/>
      </c>
      <c r="K250" s="140">
        <f>IF(K$226="","",IF($B250="","",IFERROR($C250*$D250*IF((Override!$C$4="ON")*(COUNTIFS(Override!$B$11:$B$40,$B250,Override!$D$11:$D$40,6,Override!$E$11:$E$40,"&gt;=0")-COUNTIFS(Override!$B$11:$B$40,$B250,Override!$D$11:$D$40,6,Override!$E$11:$E$40,"&gt;=0",Override!$C$11:$C$40,"AS51"))&gt;0,SUMIFS(Override!$E$11:$E$40,Override!$B$11:$B$40,$B250,Override!$D$11:$D$40,6)-SUMIFS(Override!$E$11:$E$40,Override!$B$11:$B$40,$B250,Override!$D$11:$D$40,6,Override!$C$11:$C$40,"AS51"),Override!$H$282)/MXAU!$B$3,"")))</f>
        <v/>
      </c>
      <c r="L250" s="140">
        <f>IF(L$226="","",IF($B250="","",IFERROR($C250*$D250*IF((Override!$C$4="ON")*(COUNTIFS(Override!$B$11:$B$40,$B250,Override!$D$11:$D$40,7,Override!$E$11:$E$40,"&gt;=0")-COUNTIFS(Override!$B$11:$B$40,$B250,Override!$D$11:$D$40,7,Override!$E$11:$E$40,"&gt;=0",Override!$C$11:$C$40,"AS51"))&gt;0,SUMIFS(Override!$E$11:$E$40,Override!$B$11:$B$40,$B250,Override!$D$11:$D$40,7)-SUMIFS(Override!$E$11:$E$40,Override!$B$11:$B$40,$B250,Override!$D$11:$D$40,7,Override!$C$11:$C$40,"AS51"),Override!$I$282)/MXAU!$B$3,"")))</f>
        <v/>
      </c>
      <c r="M250" s="140">
        <f>IF(M$226="","",IF($B250="","",IFERROR($C250*$D250*IF((Override!$C$4="ON")*(COUNTIFS(Override!$B$11:$B$40,$B250,Override!$D$11:$D$40,8,Override!$E$11:$E$40,"&gt;=0")-COUNTIFS(Override!$B$11:$B$40,$B250,Override!$D$11:$D$40,8,Override!$E$11:$E$40,"&gt;=0",Override!$C$11:$C$40,"AS51"))&gt;0,SUMIFS(Override!$E$11:$E$40,Override!$B$11:$B$40,$B250,Override!$D$11:$D$40,8)-SUMIFS(Override!$E$11:$E$40,Override!$B$11:$B$40,$B250,Override!$D$11:$D$40,8,Override!$C$11:$C$40,"AS51"),Override!$J$282)/MXAU!$B$3,"")))</f>
        <v/>
      </c>
      <c r="N250" s="140">
        <f>IF(N$226="","",IF($B250="","",IFERROR($C250*$D250*IF((Override!$C$4="ON")*(COUNTIFS(Override!$B$11:$B$40,$B250,Override!$D$11:$D$40,9,Override!$E$11:$E$40,"&gt;=0")-COUNTIFS(Override!$B$11:$B$40,$B250,Override!$D$11:$D$40,9,Override!$E$11:$E$40,"&gt;=0",Override!$C$11:$C$40,"AS51"))&gt;0,SUMIFS(Override!$E$11:$E$40,Override!$B$11:$B$40,$B250,Override!$D$11:$D$40,9)-SUMIFS(Override!$E$11:$E$40,Override!$B$11:$B$40,$B250,Override!$D$11:$D$40,9,Override!$C$11:$C$40,"AS51"),Override!$K$282)/MXAU!$B$3,"")))</f>
        <v/>
      </c>
      <c r="O250" s="140">
        <f>IF(O$226="","",IF($B250="","",IFERROR($C250*$D250*IF((Override!$C$4="ON")*(COUNTIFS(Override!$B$11:$B$40,$B250,Override!$D$11:$D$40,10,Override!$E$11:$E$40,"&gt;=0")-COUNTIFS(Override!$B$11:$B$40,$B250,Override!$D$11:$D$40,10,Override!$E$11:$E$40,"&gt;=0",Override!$C$11:$C$40,"AS51"))&gt;0,SUMIFS(Override!$E$11:$E$40,Override!$B$11:$B$40,$B250,Override!$D$11:$D$40,10)-SUMIFS(Override!$E$11:$E$40,Override!$B$11:$B$40,$B250,Override!$D$11:$D$40,10,Override!$C$11:$C$40,"AS51"),Override!$L$282)/MXAU!$B$3,"")))</f>
        <v/>
      </c>
      <c r="P250" s="140">
        <f>IF(P$226="","",IF($B250="","",IFERROR($C250*$D250*IF((Override!$C$4="ON")*(COUNTIFS(Override!$B$11:$B$40,$B250,Override!$D$11:$D$40,11,Override!$E$11:$E$40,"&gt;=0")-COUNTIFS(Override!$B$11:$B$40,$B250,Override!$D$11:$D$40,11,Override!$E$11:$E$40,"&gt;=0",Override!$C$11:$C$40,"AS51"))&gt;0,SUMIFS(Override!$E$11:$E$40,Override!$B$11:$B$40,$B250,Override!$D$11:$D$40,11)-SUMIFS(Override!$E$11:$E$40,Override!$B$11:$B$40,$B250,Override!$D$11:$D$40,11,Override!$C$11:$C$40,"AS51"),Override!$M$282)/MXAU!$B$3,"")))</f>
        <v/>
      </c>
      <c r="Q250" s="140">
        <f>IF(Q$226="","",IF($B250="","",IFERROR($C250*$D250*IF((Override!$C$4="ON")*(COUNTIFS(Override!$B$11:$B$40,$B250,Override!$D$11:$D$40,12,Override!$E$11:$E$40,"&gt;=0")-COUNTIFS(Override!$B$11:$B$40,$B250,Override!$D$11:$D$40,12,Override!$E$11:$E$40,"&gt;=0",Override!$C$11:$C$40,"AS51"))&gt;0,SUMIFS(Override!$E$11:$E$40,Override!$B$11:$B$40,$B250,Override!$D$11:$D$40,12)-SUMIFS(Override!$E$11:$E$40,Override!$B$11:$B$40,$B250,Override!$D$11:$D$40,12,Override!$C$11:$C$40,"AS51"),Override!$N$282)/MXAU!$B$3,"")))</f>
        <v/>
      </c>
      <c r="R250" s="140">
        <f>IF(R$226="","",IF($B250="","",IFERROR($C250*$D250*IF((Override!$C$4="ON")*(COUNTIFS(Override!$B$11:$B$40,$B250,Override!$D$11:$D$40,13,Override!$E$11:$E$40,"&gt;=0")-COUNTIFS(Override!$B$11:$B$40,$B250,Override!$D$11:$D$40,13,Override!$E$11:$E$40,"&gt;=0",Override!$C$11:$C$40,"AS51"))&gt;0,SUMIFS(Override!$E$11:$E$40,Override!$B$11:$B$40,$B250,Override!$D$11:$D$40,13)-SUMIFS(Override!$E$11:$E$40,Override!$B$11:$B$40,$B250,Override!$D$11:$D$40,13,Override!$C$11:$C$40,"AS51"),Override!$O$282)/MXAU!$B$3,"")))</f>
        <v/>
      </c>
      <c r="S250" s="140">
        <f>IF(S$226="","",IF($B250="","",IFERROR($C250*$D250*IF((Override!$C$4="ON")*(COUNTIFS(Override!$B$11:$B$40,$B250,Override!$D$11:$D$40,14,Override!$E$11:$E$40,"&gt;=0")-COUNTIFS(Override!$B$11:$B$40,$B250,Override!$D$11:$D$40,14,Override!$E$11:$E$40,"&gt;=0",Override!$C$11:$C$40,"AS51"))&gt;0,SUMIFS(Override!$E$11:$E$40,Override!$B$11:$B$40,$B250,Override!$D$11:$D$40,14)-SUMIFS(Override!$E$11:$E$40,Override!$B$11:$B$40,$B250,Override!$D$11:$D$40,14,Override!$C$11:$C$40,"AS51"),Override!$P$282)/MXAU!$B$3,"")))</f>
        <v/>
      </c>
      <c r="T250" s="140">
        <f>IF(T$226="","",IF($B250="","",IFERROR($C250*$D250*IF((Override!$C$4="ON")*(COUNTIFS(Override!$B$11:$B$40,$B250,Override!$D$11:$D$40,15,Override!$E$11:$E$40,"&gt;=0")-COUNTIFS(Override!$B$11:$B$40,$B250,Override!$D$11:$D$40,15,Override!$E$11:$E$40,"&gt;=0",Override!$C$11:$C$40,"AS51"))&gt;0,SUMIFS(Override!$E$11:$E$40,Override!$B$11:$B$40,$B250,Override!$D$11:$D$40,15)-SUMIFS(Override!$E$11:$E$40,Override!$B$11:$B$40,$B250,Override!$D$11:$D$40,15,Override!$C$11:$C$40,"AS51"),Override!$Q$282)/MXAU!$B$3,"")))</f>
        <v/>
      </c>
      <c r="U250" s="140">
        <f>IF(U$226="","",IF($B250="","",IFERROR($C250*$D250*IF((Override!$C$4="ON")*(COUNTIFS(Override!$B$11:$B$40,$B250,Override!$D$11:$D$40,16,Override!$E$11:$E$40,"&gt;=0")-COUNTIFS(Override!$B$11:$B$40,$B250,Override!$D$11:$D$40,16,Override!$E$11:$E$40,"&gt;=0",Override!$C$11:$C$40,"AS51"))&gt;0,SUMIFS(Override!$E$11:$E$40,Override!$B$11:$B$40,$B250,Override!$D$11:$D$40,16)-SUMIFS(Override!$E$11:$E$40,Override!$B$11:$B$40,$B250,Override!$D$11:$D$40,16,Override!$C$11:$C$40,"AS51"),Override!$R$282)/MXAU!$B$3,"")))</f>
        <v/>
      </c>
      <c r="W250" s="140">
        <f>IF(W$226="","",IF($B250="","",IFERROR(F250*$E250/100,"")))</f>
        <v/>
      </c>
      <c r="X250" s="140">
        <f>IF(X$226="","",IF($B250="","",IFERROR(G250*$E250/100,"")))</f>
        <v/>
      </c>
      <c r="Y250" s="140">
        <f>IF(Y$226="","",IF($B250="","",IFERROR(H250*$E250/100,"")))</f>
        <v/>
      </c>
      <c r="Z250" s="140">
        <f>IF(Z$226="","",IF($B250="","",IFERROR(I250*$E250/100,"")))</f>
        <v/>
      </c>
      <c r="AA250" s="140">
        <f>IF(AA$226="","",IF($B250="","",IFERROR(J250*$E250/100,"")))</f>
        <v/>
      </c>
      <c r="AB250" s="140">
        <f>IF(AB$226="","",IF($B250="","",IFERROR(K250*$E250/100,"")))</f>
        <v/>
      </c>
      <c r="AC250" s="140">
        <f>IF(AC$226="","",IF($B250="","",IFERROR(L250*$E250/100,"")))</f>
        <v/>
      </c>
      <c r="AD250" s="140">
        <f>IF(AD$226="","",IF($B250="","",IFERROR(M250*$E250/100,"")))</f>
        <v/>
      </c>
      <c r="AE250" s="140">
        <f>IF(AE$226="","",IF($B250="","",IFERROR(N250*$E250/100,"")))</f>
        <v/>
      </c>
      <c r="AF250" s="140">
        <f>IF(AF$226="","",IF($B250="","",IFERROR(O250*$E250/100,"")))</f>
        <v/>
      </c>
      <c r="AG250" s="140">
        <f>IF(AG$226="","",IF($B250="","",IFERROR(P250*$E250/100,"")))</f>
        <v/>
      </c>
      <c r="AH250" s="140">
        <f>IF(AH$226="","",IF($B250="","",IFERROR(Q250*$E250/100,"")))</f>
        <v/>
      </c>
      <c r="AI250" s="140">
        <f>IF(AI$226="","",IF($B250="","",IFERROR(R250*$E250/100,"")))</f>
        <v/>
      </c>
      <c r="AJ250" s="140">
        <f>IF(AJ$226="","",IF($B250="","",IFERROR(S250*$E250/100,"")))</f>
        <v/>
      </c>
      <c r="AK250" s="140">
        <f>IF(AK$226="","",IF($B250="","",IFERROR(T250*$E250/100,"")))</f>
        <v/>
      </c>
      <c r="AL250" s="140">
        <f>IF(AL$226="","",IF($B250="","",IFERROR(U250*$E250/100,"")))</f>
        <v/>
      </c>
      <c r="AN250" s="140">
        <f>IF($B250="","",SUMIF($F$226:$U$226,"&lt;="&amp;Sector!$E$51,$F250:$U250))</f>
        <v/>
      </c>
      <c r="AO250" s="140">
        <f>IF($B250="","",SUMIF($W$226:$AL$226,"&lt;="&amp;Sector!$E$51,$W250:$AL250))</f>
        <v/>
      </c>
    </row>
    <row r="251">
      <c r="B251" s="5">
        <f>IF(MXAU!$C$28="","",MXAU!$C$28)</f>
        <v/>
      </c>
      <c r="C251" s="90">
        <f>IF(MXAU!$B$28="","",MXAU!$B$28)</f>
        <v/>
      </c>
      <c r="D251" s="138">
        <f>IFERROR(MXAU!$Q$28,1)</f>
        <v/>
      </c>
      <c r="E251" s="139">
        <f>IF($B251="","",IF(ISNUMBER(MXAU!$I$28),MXAU!$I$28,'Index Summary'!$C$7))</f>
        <v/>
      </c>
      <c r="F251" s="140">
        <f>IF(F$226="","",IF($B251="","",IFERROR($C251*$D251*IF((Override!$C$4="ON")*(COUNTIFS(Override!$B$11:$B$40,$B251,Override!$D$11:$D$40,1,Override!$E$11:$E$40,"&gt;=0")-COUNTIFS(Override!$B$11:$B$40,$B251,Override!$D$11:$D$40,1,Override!$E$11:$E$40,"&gt;=0",Override!$C$11:$C$40,"AS51"))&gt;0,SUMIFS(Override!$E$11:$E$40,Override!$B$11:$B$40,$B251,Override!$D$11:$D$40,1)-SUMIFS(Override!$E$11:$E$40,Override!$B$11:$B$40,$B251,Override!$D$11:$D$40,1,Override!$C$11:$C$40,"AS51"),Override!$C$283)/MXAU!$B$3,"")))</f>
        <v/>
      </c>
      <c r="G251" s="140">
        <f>IF(G$226="","",IF($B251="","",IFERROR($C251*$D251*IF((Override!$C$4="ON")*(COUNTIFS(Override!$B$11:$B$40,$B251,Override!$D$11:$D$40,2,Override!$E$11:$E$40,"&gt;=0")-COUNTIFS(Override!$B$11:$B$40,$B251,Override!$D$11:$D$40,2,Override!$E$11:$E$40,"&gt;=0",Override!$C$11:$C$40,"AS51"))&gt;0,SUMIFS(Override!$E$11:$E$40,Override!$B$11:$B$40,$B251,Override!$D$11:$D$40,2)-SUMIFS(Override!$E$11:$E$40,Override!$B$11:$B$40,$B251,Override!$D$11:$D$40,2,Override!$C$11:$C$40,"AS51"),Override!$D$283)/MXAU!$B$3,"")))</f>
        <v/>
      </c>
      <c r="H251" s="140">
        <f>IF(H$226="","",IF($B251="","",IFERROR($C251*$D251*IF((Override!$C$4="ON")*(COUNTIFS(Override!$B$11:$B$40,$B251,Override!$D$11:$D$40,3,Override!$E$11:$E$40,"&gt;=0")-COUNTIFS(Override!$B$11:$B$40,$B251,Override!$D$11:$D$40,3,Override!$E$11:$E$40,"&gt;=0",Override!$C$11:$C$40,"AS51"))&gt;0,SUMIFS(Override!$E$11:$E$40,Override!$B$11:$B$40,$B251,Override!$D$11:$D$40,3)-SUMIFS(Override!$E$11:$E$40,Override!$B$11:$B$40,$B251,Override!$D$11:$D$40,3,Override!$C$11:$C$40,"AS51"),Override!$E$283)/MXAU!$B$3,"")))</f>
        <v/>
      </c>
      <c r="I251" s="140">
        <f>IF(I$226="","",IF($B251="","",IFERROR($C251*$D251*IF((Override!$C$4="ON")*(COUNTIFS(Override!$B$11:$B$40,$B251,Override!$D$11:$D$40,4,Override!$E$11:$E$40,"&gt;=0")-COUNTIFS(Override!$B$11:$B$40,$B251,Override!$D$11:$D$40,4,Override!$E$11:$E$40,"&gt;=0",Override!$C$11:$C$40,"AS51"))&gt;0,SUMIFS(Override!$E$11:$E$40,Override!$B$11:$B$40,$B251,Override!$D$11:$D$40,4)-SUMIFS(Override!$E$11:$E$40,Override!$B$11:$B$40,$B251,Override!$D$11:$D$40,4,Override!$C$11:$C$40,"AS51"),Override!$F$283)/MXAU!$B$3,"")))</f>
        <v/>
      </c>
      <c r="J251" s="140">
        <f>IF(J$226="","",IF($B251="","",IFERROR($C251*$D251*IF((Override!$C$4="ON")*(COUNTIFS(Override!$B$11:$B$40,$B251,Override!$D$11:$D$40,5,Override!$E$11:$E$40,"&gt;=0")-COUNTIFS(Override!$B$11:$B$40,$B251,Override!$D$11:$D$40,5,Override!$E$11:$E$40,"&gt;=0",Override!$C$11:$C$40,"AS51"))&gt;0,SUMIFS(Override!$E$11:$E$40,Override!$B$11:$B$40,$B251,Override!$D$11:$D$40,5)-SUMIFS(Override!$E$11:$E$40,Override!$B$11:$B$40,$B251,Override!$D$11:$D$40,5,Override!$C$11:$C$40,"AS51"),Override!$G$283)/MXAU!$B$3,"")))</f>
        <v/>
      </c>
      <c r="K251" s="140">
        <f>IF(K$226="","",IF($B251="","",IFERROR($C251*$D251*IF((Override!$C$4="ON")*(COUNTIFS(Override!$B$11:$B$40,$B251,Override!$D$11:$D$40,6,Override!$E$11:$E$40,"&gt;=0")-COUNTIFS(Override!$B$11:$B$40,$B251,Override!$D$11:$D$40,6,Override!$E$11:$E$40,"&gt;=0",Override!$C$11:$C$40,"AS51"))&gt;0,SUMIFS(Override!$E$11:$E$40,Override!$B$11:$B$40,$B251,Override!$D$11:$D$40,6)-SUMIFS(Override!$E$11:$E$40,Override!$B$11:$B$40,$B251,Override!$D$11:$D$40,6,Override!$C$11:$C$40,"AS51"),Override!$H$283)/MXAU!$B$3,"")))</f>
        <v/>
      </c>
      <c r="L251" s="140">
        <f>IF(L$226="","",IF($B251="","",IFERROR($C251*$D251*IF((Override!$C$4="ON")*(COUNTIFS(Override!$B$11:$B$40,$B251,Override!$D$11:$D$40,7,Override!$E$11:$E$40,"&gt;=0")-COUNTIFS(Override!$B$11:$B$40,$B251,Override!$D$11:$D$40,7,Override!$E$11:$E$40,"&gt;=0",Override!$C$11:$C$40,"AS51"))&gt;0,SUMIFS(Override!$E$11:$E$40,Override!$B$11:$B$40,$B251,Override!$D$11:$D$40,7)-SUMIFS(Override!$E$11:$E$40,Override!$B$11:$B$40,$B251,Override!$D$11:$D$40,7,Override!$C$11:$C$40,"AS51"),Override!$I$283)/MXAU!$B$3,"")))</f>
        <v/>
      </c>
      <c r="M251" s="140">
        <f>IF(M$226="","",IF($B251="","",IFERROR($C251*$D251*IF((Override!$C$4="ON")*(COUNTIFS(Override!$B$11:$B$40,$B251,Override!$D$11:$D$40,8,Override!$E$11:$E$40,"&gt;=0")-COUNTIFS(Override!$B$11:$B$40,$B251,Override!$D$11:$D$40,8,Override!$E$11:$E$40,"&gt;=0",Override!$C$11:$C$40,"AS51"))&gt;0,SUMIFS(Override!$E$11:$E$40,Override!$B$11:$B$40,$B251,Override!$D$11:$D$40,8)-SUMIFS(Override!$E$11:$E$40,Override!$B$11:$B$40,$B251,Override!$D$11:$D$40,8,Override!$C$11:$C$40,"AS51"),Override!$J$283)/MXAU!$B$3,"")))</f>
        <v/>
      </c>
      <c r="N251" s="140">
        <f>IF(N$226="","",IF($B251="","",IFERROR($C251*$D251*IF((Override!$C$4="ON")*(COUNTIFS(Override!$B$11:$B$40,$B251,Override!$D$11:$D$40,9,Override!$E$11:$E$40,"&gt;=0")-COUNTIFS(Override!$B$11:$B$40,$B251,Override!$D$11:$D$40,9,Override!$E$11:$E$40,"&gt;=0",Override!$C$11:$C$40,"AS51"))&gt;0,SUMIFS(Override!$E$11:$E$40,Override!$B$11:$B$40,$B251,Override!$D$11:$D$40,9)-SUMIFS(Override!$E$11:$E$40,Override!$B$11:$B$40,$B251,Override!$D$11:$D$40,9,Override!$C$11:$C$40,"AS51"),Override!$K$283)/MXAU!$B$3,"")))</f>
        <v/>
      </c>
      <c r="O251" s="140">
        <f>IF(O$226="","",IF($B251="","",IFERROR($C251*$D251*IF((Override!$C$4="ON")*(COUNTIFS(Override!$B$11:$B$40,$B251,Override!$D$11:$D$40,10,Override!$E$11:$E$40,"&gt;=0")-COUNTIFS(Override!$B$11:$B$40,$B251,Override!$D$11:$D$40,10,Override!$E$11:$E$40,"&gt;=0",Override!$C$11:$C$40,"AS51"))&gt;0,SUMIFS(Override!$E$11:$E$40,Override!$B$11:$B$40,$B251,Override!$D$11:$D$40,10)-SUMIFS(Override!$E$11:$E$40,Override!$B$11:$B$40,$B251,Override!$D$11:$D$40,10,Override!$C$11:$C$40,"AS51"),Override!$L$283)/MXAU!$B$3,"")))</f>
        <v/>
      </c>
      <c r="P251" s="140">
        <f>IF(P$226="","",IF($B251="","",IFERROR($C251*$D251*IF((Override!$C$4="ON")*(COUNTIFS(Override!$B$11:$B$40,$B251,Override!$D$11:$D$40,11,Override!$E$11:$E$40,"&gt;=0")-COUNTIFS(Override!$B$11:$B$40,$B251,Override!$D$11:$D$40,11,Override!$E$11:$E$40,"&gt;=0",Override!$C$11:$C$40,"AS51"))&gt;0,SUMIFS(Override!$E$11:$E$40,Override!$B$11:$B$40,$B251,Override!$D$11:$D$40,11)-SUMIFS(Override!$E$11:$E$40,Override!$B$11:$B$40,$B251,Override!$D$11:$D$40,11,Override!$C$11:$C$40,"AS51"),Override!$M$283)/MXAU!$B$3,"")))</f>
        <v/>
      </c>
      <c r="Q251" s="140">
        <f>IF(Q$226="","",IF($B251="","",IFERROR($C251*$D251*IF((Override!$C$4="ON")*(COUNTIFS(Override!$B$11:$B$40,$B251,Override!$D$11:$D$40,12,Override!$E$11:$E$40,"&gt;=0")-COUNTIFS(Override!$B$11:$B$40,$B251,Override!$D$11:$D$40,12,Override!$E$11:$E$40,"&gt;=0",Override!$C$11:$C$40,"AS51"))&gt;0,SUMIFS(Override!$E$11:$E$40,Override!$B$11:$B$40,$B251,Override!$D$11:$D$40,12)-SUMIFS(Override!$E$11:$E$40,Override!$B$11:$B$40,$B251,Override!$D$11:$D$40,12,Override!$C$11:$C$40,"AS51"),Override!$N$283)/MXAU!$B$3,"")))</f>
        <v/>
      </c>
      <c r="R251" s="140">
        <f>IF(R$226="","",IF($B251="","",IFERROR($C251*$D251*IF((Override!$C$4="ON")*(COUNTIFS(Override!$B$11:$B$40,$B251,Override!$D$11:$D$40,13,Override!$E$11:$E$40,"&gt;=0")-COUNTIFS(Override!$B$11:$B$40,$B251,Override!$D$11:$D$40,13,Override!$E$11:$E$40,"&gt;=0",Override!$C$11:$C$40,"AS51"))&gt;0,SUMIFS(Override!$E$11:$E$40,Override!$B$11:$B$40,$B251,Override!$D$11:$D$40,13)-SUMIFS(Override!$E$11:$E$40,Override!$B$11:$B$40,$B251,Override!$D$11:$D$40,13,Override!$C$11:$C$40,"AS51"),Override!$O$283)/MXAU!$B$3,"")))</f>
        <v/>
      </c>
      <c r="S251" s="140">
        <f>IF(S$226="","",IF($B251="","",IFERROR($C251*$D251*IF((Override!$C$4="ON")*(COUNTIFS(Override!$B$11:$B$40,$B251,Override!$D$11:$D$40,14,Override!$E$11:$E$40,"&gt;=0")-COUNTIFS(Override!$B$11:$B$40,$B251,Override!$D$11:$D$40,14,Override!$E$11:$E$40,"&gt;=0",Override!$C$11:$C$40,"AS51"))&gt;0,SUMIFS(Override!$E$11:$E$40,Override!$B$11:$B$40,$B251,Override!$D$11:$D$40,14)-SUMIFS(Override!$E$11:$E$40,Override!$B$11:$B$40,$B251,Override!$D$11:$D$40,14,Override!$C$11:$C$40,"AS51"),Override!$P$283)/MXAU!$B$3,"")))</f>
        <v/>
      </c>
      <c r="T251" s="140">
        <f>IF(T$226="","",IF($B251="","",IFERROR($C251*$D251*IF((Override!$C$4="ON")*(COUNTIFS(Override!$B$11:$B$40,$B251,Override!$D$11:$D$40,15,Override!$E$11:$E$40,"&gt;=0")-COUNTIFS(Override!$B$11:$B$40,$B251,Override!$D$11:$D$40,15,Override!$E$11:$E$40,"&gt;=0",Override!$C$11:$C$40,"AS51"))&gt;0,SUMIFS(Override!$E$11:$E$40,Override!$B$11:$B$40,$B251,Override!$D$11:$D$40,15)-SUMIFS(Override!$E$11:$E$40,Override!$B$11:$B$40,$B251,Override!$D$11:$D$40,15,Override!$C$11:$C$40,"AS51"),Override!$Q$283)/MXAU!$B$3,"")))</f>
        <v/>
      </c>
      <c r="U251" s="140">
        <f>IF(U$226="","",IF($B251="","",IFERROR($C251*$D251*IF((Override!$C$4="ON")*(COUNTIFS(Override!$B$11:$B$40,$B251,Override!$D$11:$D$40,16,Override!$E$11:$E$40,"&gt;=0")-COUNTIFS(Override!$B$11:$B$40,$B251,Override!$D$11:$D$40,16,Override!$E$11:$E$40,"&gt;=0",Override!$C$11:$C$40,"AS51"))&gt;0,SUMIFS(Override!$E$11:$E$40,Override!$B$11:$B$40,$B251,Override!$D$11:$D$40,16)-SUMIFS(Override!$E$11:$E$40,Override!$B$11:$B$40,$B251,Override!$D$11:$D$40,16,Override!$C$11:$C$40,"AS51"),Override!$R$283)/MXAU!$B$3,"")))</f>
        <v/>
      </c>
      <c r="W251" s="140">
        <f>IF(W$226="","",IF($B251="","",IFERROR(F251*$E251/100,"")))</f>
        <v/>
      </c>
      <c r="X251" s="140">
        <f>IF(X$226="","",IF($B251="","",IFERROR(G251*$E251/100,"")))</f>
        <v/>
      </c>
      <c r="Y251" s="140">
        <f>IF(Y$226="","",IF($B251="","",IFERROR(H251*$E251/100,"")))</f>
        <v/>
      </c>
      <c r="Z251" s="140">
        <f>IF(Z$226="","",IF($B251="","",IFERROR(I251*$E251/100,"")))</f>
        <v/>
      </c>
      <c r="AA251" s="140">
        <f>IF(AA$226="","",IF($B251="","",IFERROR(J251*$E251/100,"")))</f>
        <v/>
      </c>
      <c r="AB251" s="140">
        <f>IF(AB$226="","",IF($B251="","",IFERROR(K251*$E251/100,"")))</f>
        <v/>
      </c>
      <c r="AC251" s="140">
        <f>IF(AC$226="","",IF($B251="","",IFERROR(L251*$E251/100,"")))</f>
        <v/>
      </c>
      <c r="AD251" s="140">
        <f>IF(AD$226="","",IF($B251="","",IFERROR(M251*$E251/100,"")))</f>
        <v/>
      </c>
      <c r="AE251" s="140">
        <f>IF(AE$226="","",IF($B251="","",IFERROR(N251*$E251/100,"")))</f>
        <v/>
      </c>
      <c r="AF251" s="140">
        <f>IF(AF$226="","",IF($B251="","",IFERROR(O251*$E251/100,"")))</f>
        <v/>
      </c>
      <c r="AG251" s="140">
        <f>IF(AG$226="","",IF($B251="","",IFERROR(P251*$E251/100,"")))</f>
        <v/>
      </c>
      <c r="AH251" s="140">
        <f>IF(AH$226="","",IF($B251="","",IFERROR(Q251*$E251/100,"")))</f>
        <v/>
      </c>
      <c r="AI251" s="140">
        <f>IF(AI$226="","",IF($B251="","",IFERROR(R251*$E251/100,"")))</f>
        <v/>
      </c>
      <c r="AJ251" s="140">
        <f>IF(AJ$226="","",IF($B251="","",IFERROR(S251*$E251/100,"")))</f>
        <v/>
      </c>
      <c r="AK251" s="140">
        <f>IF(AK$226="","",IF($B251="","",IFERROR(T251*$E251/100,"")))</f>
        <v/>
      </c>
      <c r="AL251" s="140">
        <f>IF(AL$226="","",IF($B251="","",IFERROR(U251*$E251/100,"")))</f>
        <v/>
      </c>
      <c r="AN251" s="140">
        <f>IF($B251="","",SUMIF($F$226:$U$226,"&lt;="&amp;Sector!$E$51,$F251:$U251))</f>
        <v/>
      </c>
      <c r="AO251" s="140">
        <f>IF($B251="","",SUMIF($W$226:$AL$226,"&lt;="&amp;Sector!$E$51,$W251:$AL251))</f>
        <v/>
      </c>
    </row>
    <row r="252">
      <c r="B252" s="5">
        <f>IF(MXAU!$C$29="","",MXAU!$C$29)</f>
        <v/>
      </c>
      <c r="C252" s="90">
        <f>IF(MXAU!$B$29="","",MXAU!$B$29)</f>
        <v/>
      </c>
      <c r="D252" s="138">
        <f>IFERROR(MXAU!$Q$29,1)</f>
        <v/>
      </c>
      <c r="E252" s="139">
        <f>IF($B252="","",IF(ISNUMBER(MXAU!$I$29),MXAU!$I$29,'Index Summary'!$C$7))</f>
        <v/>
      </c>
      <c r="F252" s="140">
        <f>IF(F$226="","",IF($B252="","",IFERROR($C252*$D252*IF((Override!$C$4="ON")*(COUNTIFS(Override!$B$11:$B$40,$B252,Override!$D$11:$D$40,1,Override!$E$11:$E$40,"&gt;=0")-COUNTIFS(Override!$B$11:$B$40,$B252,Override!$D$11:$D$40,1,Override!$E$11:$E$40,"&gt;=0",Override!$C$11:$C$40,"AS51"))&gt;0,SUMIFS(Override!$E$11:$E$40,Override!$B$11:$B$40,$B252,Override!$D$11:$D$40,1)-SUMIFS(Override!$E$11:$E$40,Override!$B$11:$B$40,$B252,Override!$D$11:$D$40,1,Override!$C$11:$C$40,"AS51"),Override!$C$284)/MXAU!$B$3,"")))</f>
        <v/>
      </c>
      <c r="G252" s="140">
        <f>IF(G$226="","",IF($B252="","",IFERROR($C252*$D252*IF((Override!$C$4="ON")*(COUNTIFS(Override!$B$11:$B$40,$B252,Override!$D$11:$D$40,2,Override!$E$11:$E$40,"&gt;=0")-COUNTIFS(Override!$B$11:$B$40,$B252,Override!$D$11:$D$40,2,Override!$E$11:$E$40,"&gt;=0",Override!$C$11:$C$40,"AS51"))&gt;0,SUMIFS(Override!$E$11:$E$40,Override!$B$11:$B$40,$B252,Override!$D$11:$D$40,2)-SUMIFS(Override!$E$11:$E$40,Override!$B$11:$B$40,$B252,Override!$D$11:$D$40,2,Override!$C$11:$C$40,"AS51"),Override!$D$284)/MXAU!$B$3,"")))</f>
        <v/>
      </c>
      <c r="H252" s="140">
        <f>IF(H$226="","",IF($B252="","",IFERROR($C252*$D252*IF((Override!$C$4="ON")*(COUNTIFS(Override!$B$11:$B$40,$B252,Override!$D$11:$D$40,3,Override!$E$11:$E$40,"&gt;=0")-COUNTIFS(Override!$B$11:$B$40,$B252,Override!$D$11:$D$40,3,Override!$E$11:$E$40,"&gt;=0",Override!$C$11:$C$40,"AS51"))&gt;0,SUMIFS(Override!$E$11:$E$40,Override!$B$11:$B$40,$B252,Override!$D$11:$D$40,3)-SUMIFS(Override!$E$11:$E$40,Override!$B$11:$B$40,$B252,Override!$D$11:$D$40,3,Override!$C$11:$C$40,"AS51"),Override!$E$284)/MXAU!$B$3,"")))</f>
        <v/>
      </c>
      <c r="I252" s="140">
        <f>IF(I$226="","",IF($B252="","",IFERROR($C252*$D252*IF((Override!$C$4="ON")*(COUNTIFS(Override!$B$11:$B$40,$B252,Override!$D$11:$D$40,4,Override!$E$11:$E$40,"&gt;=0")-COUNTIFS(Override!$B$11:$B$40,$B252,Override!$D$11:$D$40,4,Override!$E$11:$E$40,"&gt;=0",Override!$C$11:$C$40,"AS51"))&gt;0,SUMIFS(Override!$E$11:$E$40,Override!$B$11:$B$40,$B252,Override!$D$11:$D$40,4)-SUMIFS(Override!$E$11:$E$40,Override!$B$11:$B$40,$B252,Override!$D$11:$D$40,4,Override!$C$11:$C$40,"AS51"),Override!$F$284)/MXAU!$B$3,"")))</f>
        <v/>
      </c>
      <c r="J252" s="140">
        <f>IF(J$226="","",IF($B252="","",IFERROR($C252*$D252*IF((Override!$C$4="ON")*(COUNTIFS(Override!$B$11:$B$40,$B252,Override!$D$11:$D$40,5,Override!$E$11:$E$40,"&gt;=0")-COUNTIFS(Override!$B$11:$B$40,$B252,Override!$D$11:$D$40,5,Override!$E$11:$E$40,"&gt;=0",Override!$C$11:$C$40,"AS51"))&gt;0,SUMIFS(Override!$E$11:$E$40,Override!$B$11:$B$40,$B252,Override!$D$11:$D$40,5)-SUMIFS(Override!$E$11:$E$40,Override!$B$11:$B$40,$B252,Override!$D$11:$D$40,5,Override!$C$11:$C$40,"AS51"),Override!$G$284)/MXAU!$B$3,"")))</f>
        <v/>
      </c>
      <c r="K252" s="140">
        <f>IF(K$226="","",IF($B252="","",IFERROR($C252*$D252*IF((Override!$C$4="ON")*(COUNTIFS(Override!$B$11:$B$40,$B252,Override!$D$11:$D$40,6,Override!$E$11:$E$40,"&gt;=0")-COUNTIFS(Override!$B$11:$B$40,$B252,Override!$D$11:$D$40,6,Override!$E$11:$E$40,"&gt;=0",Override!$C$11:$C$40,"AS51"))&gt;0,SUMIFS(Override!$E$11:$E$40,Override!$B$11:$B$40,$B252,Override!$D$11:$D$40,6)-SUMIFS(Override!$E$11:$E$40,Override!$B$11:$B$40,$B252,Override!$D$11:$D$40,6,Override!$C$11:$C$40,"AS51"),Override!$H$284)/MXAU!$B$3,"")))</f>
        <v/>
      </c>
      <c r="L252" s="140">
        <f>IF(L$226="","",IF($B252="","",IFERROR($C252*$D252*IF((Override!$C$4="ON")*(COUNTIFS(Override!$B$11:$B$40,$B252,Override!$D$11:$D$40,7,Override!$E$11:$E$40,"&gt;=0")-COUNTIFS(Override!$B$11:$B$40,$B252,Override!$D$11:$D$40,7,Override!$E$11:$E$40,"&gt;=0",Override!$C$11:$C$40,"AS51"))&gt;0,SUMIFS(Override!$E$11:$E$40,Override!$B$11:$B$40,$B252,Override!$D$11:$D$40,7)-SUMIFS(Override!$E$11:$E$40,Override!$B$11:$B$40,$B252,Override!$D$11:$D$40,7,Override!$C$11:$C$40,"AS51"),Override!$I$284)/MXAU!$B$3,"")))</f>
        <v/>
      </c>
      <c r="M252" s="140">
        <f>IF(M$226="","",IF($B252="","",IFERROR($C252*$D252*IF((Override!$C$4="ON")*(COUNTIFS(Override!$B$11:$B$40,$B252,Override!$D$11:$D$40,8,Override!$E$11:$E$40,"&gt;=0")-COUNTIFS(Override!$B$11:$B$40,$B252,Override!$D$11:$D$40,8,Override!$E$11:$E$40,"&gt;=0",Override!$C$11:$C$40,"AS51"))&gt;0,SUMIFS(Override!$E$11:$E$40,Override!$B$11:$B$40,$B252,Override!$D$11:$D$40,8)-SUMIFS(Override!$E$11:$E$40,Override!$B$11:$B$40,$B252,Override!$D$11:$D$40,8,Override!$C$11:$C$40,"AS51"),Override!$J$284)/MXAU!$B$3,"")))</f>
        <v/>
      </c>
      <c r="N252" s="140">
        <f>IF(N$226="","",IF($B252="","",IFERROR($C252*$D252*IF((Override!$C$4="ON")*(COUNTIFS(Override!$B$11:$B$40,$B252,Override!$D$11:$D$40,9,Override!$E$11:$E$40,"&gt;=0")-COUNTIFS(Override!$B$11:$B$40,$B252,Override!$D$11:$D$40,9,Override!$E$11:$E$40,"&gt;=0",Override!$C$11:$C$40,"AS51"))&gt;0,SUMIFS(Override!$E$11:$E$40,Override!$B$11:$B$40,$B252,Override!$D$11:$D$40,9)-SUMIFS(Override!$E$11:$E$40,Override!$B$11:$B$40,$B252,Override!$D$11:$D$40,9,Override!$C$11:$C$40,"AS51"),Override!$K$284)/MXAU!$B$3,"")))</f>
        <v/>
      </c>
      <c r="O252" s="140">
        <f>IF(O$226="","",IF($B252="","",IFERROR($C252*$D252*IF((Override!$C$4="ON")*(COUNTIFS(Override!$B$11:$B$40,$B252,Override!$D$11:$D$40,10,Override!$E$11:$E$40,"&gt;=0")-COUNTIFS(Override!$B$11:$B$40,$B252,Override!$D$11:$D$40,10,Override!$E$11:$E$40,"&gt;=0",Override!$C$11:$C$40,"AS51"))&gt;0,SUMIFS(Override!$E$11:$E$40,Override!$B$11:$B$40,$B252,Override!$D$11:$D$40,10)-SUMIFS(Override!$E$11:$E$40,Override!$B$11:$B$40,$B252,Override!$D$11:$D$40,10,Override!$C$11:$C$40,"AS51"),Override!$L$284)/MXAU!$B$3,"")))</f>
        <v/>
      </c>
      <c r="P252" s="140">
        <f>IF(P$226="","",IF($B252="","",IFERROR($C252*$D252*IF((Override!$C$4="ON")*(COUNTIFS(Override!$B$11:$B$40,$B252,Override!$D$11:$D$40,11,Override!$E$11:$E$40,"&gt;=0")-COUNTIFS(Override!$B$11:$B$40,$B252,Override!$D$11:$D$40,11,Override!$E$11:$E$40,"&gt;=0",Override!$C$11:$C$40,"AS51"))&gt;0,SUMIFS(Override!$E$11:$E$40,Override!$B$11:$B$40,$B252,Override!$D$11:$D$40,11)-SUMIFS(Override!$E$11:$E$40,Override!$B$11:$B$40,$B252,Override!$D$11:$D$40,11,Override!$C$11:$C$40,"AS51"),Override!$M$284)/MXAU!$B$3,"")))</f>
        <v/>
      </c>
      <c r="Q252" s="140">
        <f>IF(Q$226="","",IF($B252="","",IFERROR($C252*$D252*IF((Override!$C$4="ON")*(COUNTIFS(Override!$B$11:$B$40,$B252,Override!$D$11:$D$40,12,Override!$E$11:$E$40,"&gt;=0")-COUNTIFS(Override!$B$11:$B$40,$B252,Override!$D$11:$D$40,12,Override!$E$11:$E$40,"&gt;=0",Override!$C$11:$C$40,"AS51"))&gt;0,SUMIFS(Override!$E$11:$E$40,Override!$B$11:$B$40,$B252,Override!$D$11:$D$40,12)-SUMIFS(Override!$E$11:$E$40,Override!$B$11:$B$40,$B252,Override!$D$11:$D$40,12,Override!$C$11:$C$40,"AS51"),Override!$N$284)/MXAU!$B$3,"")))</f>
        <v/>
      </c>
      <c r="R252" s="140">
        <f>IF(R$226="","",IF($B252="","",IFERROR($C252*$D252*IF((Override!$C$4="ON")*(COUNTIFS(Override!$B$11:$B$40,$B252,Override!$D$11:$D$40,13,Override!$E$11:$E$40,"&gt;=0")-COUNTIFS(Override!$B$11:$B$40,$B252,Override!$D$11:$D$40,13,Override!$E$11:$E$40,"&gt;=0",Override!$C$11:$C$40,"AS51"))&gt;0,SUMIFS(Override!$E$11:$E$40,Override!$B$11:$B$40,$B252,Override!$D$11:$D$40,13)-SUMIFS(Override!$E$11:$E$40,Override!$B$11:$B$40,$B252,Override!$D$11:$D$40,13,Override!$C$11:$C$40,"AS51"),Override!$O$284)/MXAU!$B$3,"")))</f>
        <v/>
      </c>
      <c r="S252" s="140">
        <f>IF(S$226="","",IF($B252="","",IFERROR($C252*$D252*IF((Override!$C$4="ON")*(COUNTIFS(Override!$B$11:$B$40,$B252,Override!$D$11:$D$40,14,Override!$E$11:$E$40,"&gt;=0")-COUNTIFS(Override!$B$11:$B$40,$B252,Override!$D$11:$D$40,14,Override!$E$11:$E$40,"&gt;=0",Override!$C$11:$C$40,"AS51"))&gt;0,SUMIFS(Override!$E$11:$E$40,Override!$B$11:$B$40,$B252,Override!$D$11:$D$40,14)-SUMIFS(Override!$E$11:$E$40,Override!$B$11:$B$40,$B252,Override!$D$11:$D$40,14,Override!$C$11:$C$40,"AS51"),Override!$P$284)/MXAU!$B$3,"")))</f>
        <v/>
      </c>
      <c r="T252" s="140">
        <f>IF(T$226="","",IF($B252="","",IFERROR($C252*$D252*IF((Override!$C$4="ON")*(COUNTIFS(Override!$B$11:$B$40,$B252,Override!$D$11:$D$40,15,Override!$E$11:$E$40,"&gt;=0")-COUNTIFS(Override!$B$11:$B$40,$B252,Override!$D$11:$D$40,15,Override!$E$11:$E$40,"&gt;=0",Override!$C$11:$C$40,"AS51"))&gt;0,SUMIFS(Override!$E$11:$E$40,Override!$B$11:$B$40,$B252,Override!$D$11:$D$40,15)-SUMIFS(Override!$E$11:$E$40,Override!$B$11:$B$40,$B252,Override!$D$11:$D$40,15,Override!$C$11:$C$40,"AS51"),Override!$Q$284)/MXAU!$B$3,"")))</f>
        <v/>
      </c>
      <c r="U252" s="140">
        <f>IF(U$226="","",IF($B252="","",IFERROR($C252*$D252*IF((Override!$C$4="ON")*(COUNTIFS(Override!$B$11:$B$40,$B252,Override!$D$11:$D$40,16,Override!$E$11:$E$40,"&gt;=0")-COUNTIFS(Override!$B$11:$B$40,$B252,Override!$D$11:$D$40,16,Override!$E$11:$E$40,"&gt;=0",Override!$C$11:$C$40,"AS51"))&gt;0,SUMIFS(Override!$E$11:$E$40,Override!$B$11:$B$40,$B252,Override!$D$11:$D$40,16)-SUMIFS(Override!$E$11:$E$40,Override!$B$11:$B$40,$B252,Override!$D$11:$D$40,16,Override!$C$11:$C$40,"AS51"),Override!$R$284)/MXAU!$B$3,"")))</f>
        <v/>
      </c>
      <c r="W252" s="140">
        <f>IF(W$226="","",IF($B252="","",IFERROR(F252*$E252/100,"")))</f>
        <v/>
      </c>
      <c r="X252" s="140">
        <f>IF(X$226="","",IF($B252="","",IFERROR(G252*$E252/100,"")))</f>
        <v/>
      </c>
      <c r="Y252" s="140">
        <f>IF(Y$226="","",IF($B252="","",IFERROR(H252*$E252/100,"")))</f>
        <v/>
      </c>
      <c r="Z252" s="140">
        <f>IF(Z$226="","",IF($B252="","",IFERROR(I252*$E252/100,"")))</f>
        <v/>
      </c>
      <c r="AA252" s="140">
        <f>IF(AA$226="","",IF($B252="","",IFERROR(J252*$E252/100,"")))</f>
        <v/>
      </c>
      <c r="AB252" s="140">
        <f>IF(AB$226="","",IF($B252="","",IFERROR(K252*$E252/100,"")))</f>
        <v/>
      </c>
      <c r="AC252" s="140">
        <f>IF(AC$226="","",IF($B252="","",IFERROR(L252*$E252/100,"")))</f>
        <v/>
      </c>
      <c r="AD252" s="140">
        <f>IF(AD$226="","",IF($B252="","",IFERROR(M252*$E252/100,"")))</f>
        <v/>
      </c>
      <c r="AE252" s="140">
        <f>IF(AE$226="","",IF($B252="","",IFERROR(N252*$E252/100,"")))</f>
        <v/>
      </c>
      <c r="AF252" s="140">
        <f>IF(AF$226="","",IF($B252="","",IFERROR(O252*$E252/100,"")))</f>
        <v/>
      </c>
      <c r="AG252" s="140">
        <f>IF(AG$226="","",IF($B252="","",IFERROR(P252*$E252/100,"")))</f>
        <v/>
      </c>
      <c r="AH252" s="140">
        <f>IF(AH$226="","",IF($B252="","",IFERROR(Q252*$E252/100,"")))</f>
        <v/>
      </c>
      <c r="AI252" s="140">
        <f>IF(AI$226="","",IF($B252="","",IFERROR(R252*$E252/100,"")))</f>
        <v/>
      </c>
      <c r="AJ252" s="140">
        <f>IF(AJ$226="","",IF($B252="","",IFERROR(S252*$E252/100,"")))</f>
        <v/>
      </c>
      <c r="AK252" s="140">
        <f>IF(AK$226="","",IF($B252="","",IFERROR(T252*$E252/100,"")))</f>
        <v/>
      </c>
      <c r="AL252" s="140">
        <f>IF(AL$226="","",IF($B252="","",IFERROR(U252*$E252/100,"")))</f>
        <v/>
      </c>
      <c r="AN252" s="140">
        <f>IF($B252="","",SUMIF($F$226:$U$226,"&lt;="&amp;Sector!$E$51,$F252:$U252))</f>
        <v/>
      </c>
      <c r="AO252" s="140">
        <f>IF($B252="","",SUMIF($W$226:$AL$226,"&lt;="&amp;Sector!$E$51,$W252:$AL252))</f>
        <v/>
      </c>
    </row>
    <row r="253">
      <c r="B253" s="5">
        <f>IF(MXAU!$C$30="","",MXAU!$C$30)</f>
        <v/>
      </c>
      <c r="C253" s="90">
        <f>IF(MXAU!$B$30="","",MXAU!$B$30)</f>
        <v/>
      </c>
      <c r="D253" s="138">
        <f>IFERROR(MXAU!$Q$30,1)</f>
        <v/>
      </c>
      <c r="E253" s="139">
        <f>IF($B253="","",IF(ISNUMBER(MXAU!$I$30),MXAU!$I$30,'Index Summary'!$C$7))</f>
        <v/>
      </c>
      <c r="F253" s="140">
        <f>IF(F$226="","",IF($B253="","",IFERROR($C253*$D253*IF((Override!$C$4="ON")*(COUNTIFS(Override!$B$11:$B$40,$B253,Override!$D$11:$D$40,1,Override!$E$11:$E$40,"&gt;=0")-COUNTIFS(Override!$B$11:$B$40,$B253,Override!$D$11:$D$40,1,Override!$E$11:$E$40,"&gt;=0",Override!$C$11:$C$40,"AS51"))&gt;0,SUMIFS(Override!$E$11:$E$40,Override!$B$11:$B$40,$B253,Override!$D$11:$D$40,1)-SUMIFS(Override!$E$11:$E$40,Override!$B$11:$B$40,$B253,Override!$D$11:$D$40,1,Override!$C$11:$C$40,"AS51"),Override!$C$285)/MXAU!$B$3,"")))</f>
        <v/>
      </c>
      <c r="G253" s="140">
        <f>IF(G$226="","",IF($B253="","",IFERROR($C253*$D253*IF((Override!$C$4="ON")*(COUNTIFS(Override!$B$11:$B$40,$B253,Override!$D$11:$D$40,2,Override!$E$11:$E$40,"&gt;=0")-COUNTIFS(Override!$B$11:$B$40,$B253,Override!$D$11:$D$40,2,Override!$E$11:$E$40,"&gt;=0",Override!$C$11:$C$40,"AS51"))&gt;0,SUMIFS(Override!$E$11:$E$40,Override!$B$11:$B$40,$B253,Override!$D$11:$D$40,2)-SUMIFS(Override!$E$11:$E$40,Override!$B$11:$B$40,$B253,Override!$D$11:$D$40,2,Override!$C$11:$C$40,"AS51"),Override!$D$285)/MXAU!$B$3,"")))</f>
        <v/>
      </c>
      <c r="H253" s="140">
        <f>IF(H$226="","",IF($B253="","",IFERROR($C253*$D253*IF((Override!$C$4="ON")*(COUNTIFS(Override!$B$11:$B$40,$B253,Override!$D$11:$D$40,3,Override!$E$11:$E$40,"&gt;=0")-COUNTIFS(Override!$B$11:$B$40,$B253,Override!$D$11:$D$40,3,Override!$E$11:$E$40,"&gt;=0",Override!$C$11:$C$40,"AS51"))&gt;0,SUMIFS(Override!$E$11:$E$40,Override!$B$11:$B$40,$B253,Override!$D$11:$D$40,3)-SUMIFS(Override!$E$11:$E$40,Override!$B$11:$B$40,$B253,Override!$D$11:$D$40,3,Override!$C$11:$C$40,"AS51"),Override!$E$285)/MXAU!$B$3,"")))</f>
        <v/>
      </c>
      <c r="I253" s="140">
        <f>IF(I$226="","",IF($B253="","",IFERROR($C253*$D253*IF((Override!$C$4="ON")*(COUNTIFS(Override!$B$11:$B$40,$B253,Override!$D$11:$D$40,4,Override!$E$11:$E$40,"&gt;=0")-COUNTIFS(Override!$B$11:$B$40,$B253,Override!$D$11:$D$40,4,Override!$E$11:$E$40,"&gt;=0",Override!$C$11:$C$40,"AS51"))&gt;0,SUMIFS(Override!$E$11:$E$40,Override!$B$11:$B$40,$B253,Override!$D$11:$D$40,4)-SUMIFS(Override!$E$11:$E$40,Override!$B$11:$B$40,$B253,Override!$D$11:$D$40,4,Override!$C$11:$C$40,"AS51"),Override!$F$285)/MXAU!$B$3,"")))</f>
        <v/>
      </c>
      <c r="J253" s="140">
        <f>IF(J$226="","",IF($B253="","",IFERROR($C253*$D253*IF((Override!$C$4="ON")*(COUNTIFS(Override!$B$11:$B$40,$B253,Override!$D$11:$D$40,5,Override!$E$11:$E$40,"&gt;=0")-COUNTIFS(Override!$B$11:$B$40,$B253,Override!$D$11:$D$40,5,Override!$E$11:$E$40,"&gt;=0",Override!$C$11:$C$40,"AS51"))&gt;0,SUMIFS(Override!$E$11:$E$40,Override!$B$11:$B$40,$B253,Override!$D$11:$D$40,5)-SUMIFS(Override!$E$11:$E$40,Override!$B$11:$B$40,$B253,Override!$D$11:$D$40,5,Override!$C$11:$C$40,"AS51"),Override!$G$285)/MXAU!$B$3,"")))</f>
        <v/>
      </c>
      <c r="K253" s="140">
        <f>IF(K$226="","",IF($B253="","",IFERROR($C253*$D253*IF((Override!$C$4="ON")*(COUNTIFS(Override!$B$11:$B$40,$B253,Override!$D$11:$D$40,6,Override!$E$11:$E$40,"&gt;=0")-COUNTIFS(Override!$B$11:$B$40,$B253,Override!$D$11:$D$40,6,Override!$E$11:$E$40,"&gt;=0",Override!$C$11:$C$40,"AS51"))&gt;0,SUMIFS(Override!$E$11:$E$40,Override!$B$11:$B$40,$B253,Override!$D$11:$D$40,6)-SUMIFS(Override!$E$11:$E$40,Override!$B$11:$B$40,$B253,Override!$D$11:$D$40,6,Override!$C$11:$C$40,"AS51"),Override!$H$285)/MXAU!$B$3,"")))</f>
        <v/>
      </c>
      <c r="L253" s="140">
        <f>IF(L$226="","",IF($B253="","",IFERROR($C253*$D253*IF((Override!$C$4="ON")*(COUNTIFS(Override!$B$11:$B$40,$B253,Override!$D$11:$D$40,7,Override!$E$11:$E$40,"&gt;=0")-COUNTIFS(Override!$B$11:$B$40,$B253,Override!$D$11:$D$40,7,Override!$E$11:$E$40,"&gt;=0",Override!$C$11:$C$40,"AS51"))&gt;0,SUMIFS(Override!$E$11:$E$40,Override!$B$11:$B$40,$B253,Override!$D$11:$D$40,7)-SUMIFS(Override!$E$11:$E$40,Override!$B$11:$B$40,$B253,Override!$D$11:$D$40,7,Override!$C$11:$C$40,"AS51"),Override!$I$285)/MXAU!$B$3,"")))</f>
        <v/>
      </c>
      <c r="M253" s="140">
        <f>IF(M$226="","",IF($B253="","",IFERROR($C253*$D253*IF((Override!$C$4="ON")*(COUNTIFS(Override!$B$11:$B$40,$B253,Override!$D$11:$D$40,8,Override!$E$11:$E$40,"&gt;=0")-COUNTIFS(Override!$B$11:$B$40,$B253,Override!$D$11:$D$40,8,Override!$E$11:$E$40,"&gt;=0",Override!$C$11:$C$40,"AS51"))&gt;0,SUMIFS(Override!$E$11:$E$40,Override!$B$11:$B$40,$B253,Override!$D$11:$D$40,8)-SUMIFS(Override!$E$11:$E$40,Override!$B$11:$B$40,$B253,Override!$D$11:$D$40,8,Override!$C$11:$C$40,"AS51"),Override!$J$285)/MXAU!$B$3,"")))</f>
        <v/>
      </c>
      <c r="N253" s="140">
        <f>IF(N$226="","",IF($B253="","",IFERROR($C253*$D253*IF((Override!$C$4="ON")*(COUNTIFS(Override!$B$11:$B$40,$B253,Override!$D$11:$D$40,9,Override!$E$11:$E$40,"&gt;=0")-COUNTIFS(Override!$B$11:$B$40,$B253,Override!$D$11:$D$40,9,Override!$E$11:$E$40,"&gt;=0",Override!$C$11:$C$40,"AS51"))&gt;0,SUMIFS(Override!$E$11:$E$40,Override!$B$11:$B$40,$B253,Override!$D$11:$D$40,9)-SUMIFS(Override!$E$11:$E$40,Override!$B$11:$B$40,$B253,Override!$D$11:$D$40,9,Override!$C$11:$C$40,"AS51"),Override!$K$285)/MXAU!$B$3,"")))</f>
        <v/>
      </c>
      <c r="O253" s="140">
        <f>IF(O$226="","",IF($B253="","",IFERROR($C253*$D253*IF((Override!$C$4="ON")*(COUNTIFS(Override!$B$11:$B$40,$B253,Override!$D$11:$D$40,10,Override!$E$11:$E$40,"&gt;=0")-COUNTIFS(Override!$B$11:$B$40,$B253,Override!$D$11:$D$40,10,Override!$E$11:$E$40,"&gt;=0",Override!$C$11:$C$40,"AS51"))&gt;0,SUMIFS(Override!$E$11:$E$40,Override!$B$11:$B$40,$B253,Override!$D$11:$D$40,10)-SUMIFS(Override!$E$11:$E$40,Override!$B$11:$B$40,$B253,Override!$D$11:$D$40,10,Override!$C$11:$C$40,"AS51"),Override!$L$285)/MXAU!$B$3,"")))</f>
        <v/>
      </c>
      <c r="P253" s="140">
        <f>IF(P$226="","",IF($B253="","",IFERROR($C253*$D253*IF((Override!$C$4="ON")*(COUNTIFS(Override!$B$11:$B$40,$B253,Override!$D$11:$D$40,11,Override!$E$11:$E$40,"&gt;=0")-COUNTIFS(Override!$B$11:$B$40,$B253,Override!$D$11:$D$40,11,Override!$E$11:$E$40,"&gt;=0",Override!$C$11:$C$40,"AS51"))&gt;0,SUMIFS(Override!$E$11:$E$40,Override!$B$11:$B$40,$B253,Override!$D$11:$D$40,11)-SUMIFS(Override!$E$11:$E$40,Override!$B$11:$B$40,$B253,Override!$D$11:$D$40,11,Override!$C$11:$C$40,"AS51"),Override!$M$285)/MXAU!$B$3,"")))</f>
        <v/>
      </c>
      <c r="Q253" s="140">
        <f>IF(Q$226="","",IF($B253="","",IFERROR($C253*$D253*IF((Override!$C$4="ON")*(COUNTIFS(Override!$B$11:$B$40,$B253,Override!$D$11:$D$40,12,Override!$E$11:$E$40,"&gt;=0")-COUNTIFS(Override!$B$11:$B$40,$B253,Override!$D$11:$D$40,12,Override!$E$11:$E$40,"&gt;=0",Override!$C$11:$C$40,"AS51"))&gt;0,SUMIFS(Override!$E$11:$E$40,Override!$B$11:$B$40,$B253,Override!$D$11:$D$40,12)-SUMIFS(Override!$E$11:$E$40,Override!$B$11:$B$40,$B253,Override!$D$11:$D$40,12,Override!$C$11:$C$40,"AS51"),Override!$N$285)/MXAU!$B$3,"")))</f>
        <v/>
      </c>
      <c r="R253" s="140">
        <f>IF(R$226="","",IF($B253="","",IFERROR($C253*$D253*IF((Override!$C$4="ON")*(COUNTIFS(Override!$B$11:$B$40,$B253,Override!$D$11:$D$40,13,Override!$E$11:$E$40,"&gt;=0")-COUNTIFS(Override!$B$11:$B$40,$B253,Override!$D$11:$D$40,13,Override!$E$11:$E$40,"&gt;=0",Override!$C$11:$C$40,"AS51"))&gt;0,SUMIFS(Override!$E$11:$E$40,Override!$B$11:$B$40,$B253,Override!$D$11:$D$40,13)-SUMIFS(Override!$E$11:$E$40,Override!$B$11:$B$40,$B253,Override!$D$11:$D$40,13,Override!$C$11:$C$40,"AS51"),Override!$O$285)/MXAU!$B$3,"")))</f>
        <v/>
      </c>
      <c r="S253" s="140">
        <f>IF(S$226="","",IF($B253="","",IFERROR($C253*$D253*IF((Override!$C$4="ON")*(COUNTIFS(Override!$B$11:$B$40,$B253,Override!$D$11:$D$40,14,Override!$E$11:$E$40,"&gt;=0")-COUNTIFS(Override!$B$11:$B$40,$B253,Override!$D$11:$D$40,14,Override!$E$11:$E$40,"&gt;=0",Override!$C$11:$C$40,"AS51"))&gt;0,SUMIFS(Override!$E$11:$E$40,Override!$B$11:$B$40,$B253,Override!$D$11:$D$40,14)-SUMIFS(Override!$E$11:$E$40,Override!$B$11:$B$40,$B253,Override!$D$11:$D$40,14,Override!$C$11:$C$40,"AS51"),Override!$P$285)/MXAU!$B$3,"")))</f>
        <v/>
      </c>
      <c r="T253" s="140">
        <f>IF(T$226="","",IF($B253="","",IFERROR($C253*$D253*IF((Override!$C$4="ON")*(COUNTIFS(Override!$B$11:$B$40,$B253,Override!$D$11:$D$40,15,Override!$E$11:$E$40,"&gt;=0")-COUNTIFS(Override!$B$11:$B$40,$B253,Override!$D$11:$D$40,15,Override!$E$11:$E$40,"&gt;=0",Override!$C$11:$C$40,"AS51"))&gt;0,SUMIFS(Override!$E$11:$E$40,Override!$B$11:$B$40,$B253,Override!$D$11:$D$40,15)-SUMIFS(Override!$E$11:$E$40,Override!$B$11:$B$40,$B253,Override!$D$11:$D$40,15,Override!$C$11:$C$40,"AS51"),Override!$Q$285)/MXAU!$B$3,"")))</f>
        <v/>
      </c>
      <c r="U253" s="140">
        <f>IF(U$226="","",IF($B253="","",IFERROR($C253*$D253*IF((Override!$C$4="ON")*(COUNTIFS(Override!$B$11:$B$40,$B253,Override!$D$11:$D$40,16,Override!$E$11:$E$40,"&gt;=0")-COUNTIFS(Override!$B$11:$B$40,$B253,Override!$D$11:$D$40,16,Override!$E$11:$E$40,"&gt;=0",Override!$C$11:$C$40,"AS51"))&gt;0,SUMIFS(Override!$E$11:$E$40,Override!$B$11:$B$40,$B253,Override!$D$11:$D$40,16)-SUMIFS(Override!$E$11:$E$40,Override!$B$11:$B$40,$B253,Override!$D$11:$D$40,16,Override!$C$11:$C$40,"AS51"),Override!$R$285)/MXAU!$B$3,"")))</f>
        <v/>
      </c>
      <c r="W253" s="140">
        <f>IF(W$226="","",IF($B253="","",IFERROR(F253*$E253/100,"")))</f>
        <v/>
      </c>
      <c r="X253" s="140">
        <f>IF(X$226="","",IF($B253="","",IFERROR(G253*$E253/100,"")))</f>
        <v/>
      </c>
      <c r="Y253" s="140">
        <f>IF(Y$226="","",IF($B253="","",IFERROR(H253*$E253/100,"")))</f>
        <v/>
      </c>
      <c r="Z253" s="140">
        <f>IF(Z$226="","",IF($B253="","",IFERROR(I253*$E253/100,"")))</f>
        <v/>
      </c>
      <c r="AA253" s="140">
        <f>IF(AA$226="","",IF($B253="","",IFERROR(J253*$E253/100,"")))</f>
        <v/>
      </c>
      <c r="AB253" s="140">
        <f>IF(AB$226="","",IF($B253="","",IFERROR(K253*$E253/100,"")))</f>
        <v/>
      </c>
      <c r="AC253" s="140">
        <f>IF(AC$226="","",IF($B253="","",IFERROR(L253*$E253/100,"")))</f>
        <v/>
      </c>
      <c r="AD253" s="140">
        <f>IF(AD$226="","",IF($B253="","",IFERROR(M253*$E253/100,"")))</f>
        <v/>
      </c>
      <c r="AE253" s="140">
        <f>IF(AE$226="","",IF($B253="","",IFERROR(N253*$E253/100,"")))</f>
        <v/>
      </c>
      <c r="AF253" s="140">
        <f>IF(AF$226="","",IF($B253="","",IFERROR(O253*$E253/100,"")))</f>
        <v/>
      </c>
      <c r="AG253" s="140">
        <f>IF(AG$226="","",IF($B253="","",IFERROR(P253*$E253/100,"")))</f>
        <v/>
      </c>
      <c r="AH253" s="140">
        <f>IF(AH$226="","",IF($B253="","",IFERROR(Q253*$E253/100,"")))</f>
        <v/>
      </c>
      <c r="AI253" s="140">
        <f>IF(AI$226="","",IF($B253="","",IFERROR(R253*$E253/100,"")))</f>
        <v/>
      </c>
      <c r="AJ253" s="140">
        <f>IF(AJ$226="","",IF($B253="","",IFERROR(S253*$E253/100,"")))</f>
        <v/>
      </c>
      <c r="AK253" s="140">
        <f>IF(AK$226="","",IF($B253="","",IFERROR(T253*$E253/100,"")))</f>
        <v/>
      </c>
      <c r="AL253" s="140">
        <f>IF(AL$226="","",IF($B253="","",IFERROR(U253*$E253/100,"")))</f>
        <v/>
      </c>
      <c r="AN253" s="140">
        <f>IF($B253="","",SUMIF($F$226:$U$226,"&lt;="&amp;Sector!$E$51,$F253:$U253))</f>
        <v/>
      </c>
      <c r="AO253" s="140">
        <f>IF($B253="","",SUMIF($W$226:$AL$226,"&lt;="&amp;Sector!$E$51,$W253:$AL253))</f>
        <v/>
      </c>
    </row>
    <row r="254">
      <c r="B254" s="5">
        <f>IF(MXAU!$C$31="","",MXAU!$C$31)</f>
        <v/>
      </c>
      <c r="C254" s="90">
        <f>IF(MXAU!$B$31="","",MXAU!$B$31)</f>
        <v/>
      </c>
      <c r="D254" s="138">
        <f>IFERROR(MXAU!$Q$31,1)</f>
        <v/>
      </c>
      <c r="E254" s="139">
        <f>IF($B254="","",IF(ISNUMBER(MXAU!$I$31),MXAU!$I$31,'Index Summary'!$C$7))</f>
        <v/>
      </c>
      <c r="F254" s="140">
        <f>IF(F$226="","",IF($B254="","",IFERROR($C254*$D254*IF((Override!$C$4="ON")*(COUNTIFS(Override!$B$11:$B$40,$B254,Override!$D$11:$D$40,1,Override!$E$11:$E$40,"&gt;=0")-COUNTIFS(Override!$B$11:$B$40,$B254,Override!$D$11:$D$40,1,Override!$E$11:$E$40,"&gt;=0",Override!$C$11:$C$40,"AS51"))&gt;0,SUMIFS(Override!$E$11:$E$40,Override!$B$11:$B$40,$B254,Override!$D$11:$D$40,1)-SUMIFS(Override!$E$11:$E$40,Override!$B$11:$B$40,$B254,Override!$D$11:$D$40,1,Override!$C$11:$C$40,"AS51"),Override!$C$286)/MXAU!$B$3,"")))</f>
        <v/>
      </c>
      <c r="G254" s="140">
        <f>IF(G$226="","",IF($B254="","",IFERROR($C254*$D254*IF((Override!$C$4="ON")*(COUNTIFS(Override!$B$11:$B$40,$B254,Override!$D$11:$D$40,2,Override!$E$11:$E$40,"&gt;=0")-COUNTIFS(Override!$B$11:$B$40,$B254,Override!$D$11:$D$40,2,Override!$E$11:$E$40,"&gt;=0",Override!$C$11:$C$40,"AS51"))&gt;0,SUMIFS(Override!$E$11:$E$40,Override!$B$11:$B$40,$B254,Override!$D$11:$D$40,2)-SUMIFS(Override!$E$11:$E$40,Override!$B$11:$B$40,$B254,Override!$D$11:$D$40,2,Override!$C$11:$C$40,"AS51"),Override!$D$286)/MXAU!$B$3,"")))</f>
        <v/>
      </c>
      <c r="H254" s="140">
        <f>IF(H$226="","",IF($B254="","",IFERROR($C254*$D254*IF((Override!$C$4="ON")*(COUNTIFS(Override!$B$11:$B$40,$B254,Override!$D$11:$D$40,3,Override!$E$11:$E$40,"&gt;=0")-COUNTIFS(Override!$B$11:$B$40,$B254,Override!$D$11:$D$40,3,Override!$E$11:$E$40,"&gt;=0",Override!$C$11:$C$40,"AS51"))&gt;0,SUMIFS(Override!$E$11:$E$40,Override!$B$11:$B$40,$B254,Override!$D$11:$D$40,3)-SUMIFS(Override!$E$11:$E$40,Override!$B$11:$B$40,$B254,Override!$D$11:$D$40,3,Override!$C$11:$C$40,"AS51"),Override!$E$286)/MXAU!$B$3,"")))</f>
        <v/>
      </c>
      <c r="I254" s="140">
        <f>IF(I$226="","",IF($B254="","",IFERROR($C254*$D254*IF((Override!$C$4="ON")*(COUNTIFS(Override!$B$11:$B$40,$B254,Override!$D$11:$D$40,4,Override!$E$11:$E$40,"&gt;=0")-COUNTIFS(Override!$B$11:$B$40,$B254,Override!$D$11:$D$40,4,Override!$E$11:$E$40,"&gt;=0",Override!$C$11:$C$40,"AS51"))&gt;0,SUMIFS(Override!$E$11:$E$40,Override!$B$11:$B$40,$B254,Override!$D$11:$D$40,4)-SUMIFS(Override!$E$11:$E$40,Override!$B$11:$B$40,$B254,Override!$D$11:$D$40,4,Override!$C$11:$C$40,"AS51"),Override!$F$286)/MXAU!$B$3,"")))</f>
        <v/>
      </c>
      <c r="J254" s="140">
        <f>IF(J$226="","",IF($B254="","",IFERROR($C254*$D254*IF((Override!$C$4="ON")*(COUNTIFS(Override!$B$11:$B$40,$B254,Override!$D$11:$D$40,5,Override!$E$11:$E$40,"&gt;=0")-COUNTIFS(Override!$B$11:$B$40,$B254,Override!$D$11:$D$40,5,Override!$E$11:$E$40,"&gt;=0",Override!$C$11:$C$40,"AS51"))&gt;0,SUMIFS(Override!$E$11:$E$40,Override!$B$11:$B$40,$B254,Override!$D$11:$D$40,5)-SUMIFS(Override!$E$11:$E$40,Override!$B$11:$B$40,$B254,Override!$D$11:$D$40,5,Override!$C$11:$C$40,"AS51"),Override!$G$286)/MXAU!$B$3,"")))</f>
        <v/>
      </c>
      <c r="K254" s="140">
        <f>IF(K$226="","",IF($B254="","",IFERROR($C254*$D254*IF((Override!$C$4="ON")*(COUNTIFS(Override!$B$11:$B$40,$B254,Override!$D$11:$D$40,6,Override!$E$11:$E$40,"&gt;=0")-COUNTIFS(Override!$B$11:$B$40,$B254,Override!$D$11:$D$40,6,Override!$E$11:$E$40,"&gt;=0",Override!$C$11:$C$40,"AS51"))&gt;0,SUMIFS(Override!$E$11:$E$40,Override!$B$11:$B$40,$B254,Override!$D$11:$D$40,6)-SUMIFS(Override!$E$11:$E$40,Override!$B$11:$B$40,$B254,Override!$D$11:$D$40,6,Override!$C$11:$C$40,"AS51"),Override!$H$286)/MXAU!$B$3,"")))</f>
        <v/>
      </c>
      <c r="L254" s="140">
        <f>IF(L$226="","",IF($B254="","",IFERROR($C254*$D254*IF((Override!$C$4="ON")*(COUNTIFS(Override!$B$11:$B$40,$B254,Override!$D$11:$D$40,7,Override!$E$11:$E$40,"&gt;=0")-COUNTIFS(Override!$B$11:$B$40,$B254,Override!$D$11:$D$40,7,Override!$E$11:$E$40,"&gt;=0",Override!$C$11:$C$40,"AS51"))&gt;0,SUMIFS(Override!$E$11:$E$40,Override!$B$11:$B$40,$B254,Override!$D$11:$D$40,7)-SUMIFS(Override!$E$11:$E$40,Override!$B$11:$B$40,$B254,Override!$D$11:$D$40,7,Override!$C$11:$C$40,"AS51"),Override!$I$286)/MXAU!$B$3,"")))</f>
        <v/>
      </c>
      <c r="M254" s="140">
        <f>IF(M$226="","",IF($B254="","",IFERROR($C254*$D254*IF((Override!$C$4="ON")*(COUNTIFS(Override!$B$11:$B$40,$B254,Override!$D$11:$D$40,8,Override!$E$11:$E$40,"&gt;=0")-COUNTIFS(Override!$B$11:$B$40,$B254,Override!$D$11:$D$40,8,Override!$E$11:$E$40,"&gt;=0",Override!$C$11:$C$40,"AS51"))&gt;0,SUMIFS(Override!$E$11:$E$40,Override!$B$11:$B$40,$B254,Override!$D$11:$D$40,8)-SUMIFS(Override!$E$11:$E$40,Override!$B$11:$B$40,$B254,Override!$D$11:$D$40,8,Override!$C$11:$C$40,"AS51"),Override!$J$286)/MXAU!$B$3,"")))</f>
        <v/>
      </c>
      <c r="N254" s="140">
        <f>IF(N$226="","",IF($B254="","",IFERROR($C254*$D254*IF((Override!$C$4="ON")*(COUNTIFS(Override!$B$11:$B$40,$B254,Override!$D$11:$D$40,9,Override!$E$11:$E$40,"&gt;=0")-COUNTIFS(Override!$B$11:$B$40,$B254,Override!$D$11:$D$40,9,Override!$E$11:$E$40,"&gt;=0",Override!$C$11:$C$40,"AS51"))&gt;0,SUMIFS(Override!$E$11:$E$40,Override!$B$11:$B$40,$B254,Override!$D$11:$D$40,9)-SUMIFS(Override!$E$11:$E$40,Override!$B$11:$B$40,$B254,Override!$D$11:$D$40,9,Override!$C$11:$C$40,"AS51"),Override!$K$286)/MXAU!$B$3,"")))</f>
        <v/>
      </c>
      <c r="O254" s="140">
        <f>IF(O$226="","",IF($B254="","",IFERROR($C254*$D254*IF((Override!$C$4="ON")*(COUNTIFS(Override!$B$11:$B$40,$B254,Override!$D$11:$D$40,10,Override!$E$11:$E$40,"&gt;=0")-COUNTIFS(Override!$B$11:$B$40,$B254,Override!$D$11:$D$40,10,Override!$E$11:$E$40,"&gt;=0",Override!$C$11:$C$40,"AS51"))&gt;0,SUMIFS(Override!$E$11:$E$40,Override!$B$11:$B$40,$B254,Override!$D$11:$D$40,10)-SUMIFS(Override!$E$11:$E$40,Override!$B$11:$B$40,$B254,Override!$D$11:$D$40,10,Override!$C$11:$C$40,"AS51"),Override!$L$286)/MXAU!$B$3,"")))</f>
        <v/>
      </c>
      <c r="P254" s="140">
        <f>IF(P$226="","",IF($B254="","",IFERROR($C254*$D254*IF((Override!$C$4="ON")*(COUNTIFS(Override!$B$11:$B$40,$B254,Override!$D$11:$D$40,11,Override!$E$11:$E$40,"&gt;=0")-COUNTIFS(Override!$B$11:$B$40,$B254,Override!$D$11:$D$40,11,Override!$E$11:$E$40,"&gt;=0",Override!$C$11:$C$40,"AS51"))&gt;0,SUMIFS(Override!$E$11:$E$40,Override!$B$11:$B$40,$B254,Override!$D$11:$D$40,11)-SUMIFS(Override!$E$11:$E$40,Override!$B$11:$B$40,$B254,Override!$D$11:$D$40,11,Override!$C$11:$C$40,"AS51"),Override!$M$286)/MXAU!$B$3,"")))</f>
        <v/>
      </c>
      <c r="Q254" s="140">
        <f>IF(Q$226="","",IF($B254="","",IFERROR($C254*$D254*IF((Override!$C$4="ON")*(COUNTIFS(Override!$B$11:$B$40,$B254,Override!$D$11:$D$40,12,Override!$E$11:$E$40,"&gt;=0")-COUNTIFS(Override!$B$11:$B$40,$B254,Override!$D$11:$D$40,12,Override!$E$11:$E$40,"&gt;=0",Override!$C$11:$C$40,"AS51"))&gt;0,SUMIFS(Override!$E$11:$E$40,Override!$B$11:$B$40,$B254,Override!$D$11:$D$40,12)-SUMIFS(Override!$E$11:$E$40,Override!$B$11:$B$40,$B254,Override!$D$11:$D$40,12,Override!$C$11:$C$40,"AS51"),Override!$N$286)/MXAU!$B$3,"")))</f>
        <v/>
      </c>
      <c r="R254" s="140">
        <f>IF(R$226="","",IF($B254="","",IFERROR($C254*$D254*IF((Override!$C$4="ON")*(COUNTIFS(Override!$B$11:$B$40,$B254,Override!$D$11:$D$40,13,Override!$E$11:$E$40,"&gt;=0")-COUNTIFS(Override!$B$11:$B$40,$B254,Override!$D$11:$D$40,13,Override!$E$11:$E$40,"&gt;=0",Override!$C$11:$C$40,"AS51"))&gt;0,SUMIFS(Override!$E$11:$E$40,Override!$B$11:$B$40,$B254,Override!$D$11:$D$40,13)-SUMIFS(Override!$E$11:$E$40,Override!$B$11:$B$40,$B254,Override!$D$11:$D$40,13,Override!$C$11:$C$40,"AS51"),Override!$O$286)/MXAU!$B$3,"")))</f>
        <v/>
      </c>
      <c r="S254" s="140">
        <f>IF(S$226="","",IF($B254="","",IFERROR($C254*$D254*IF((Override!$C$4="ON")*(COUNTIFS(Override!$B$11:$B$40,$B254,Override!$D$11:$D$40,14,Override!$E$11:$E$40,"&gt;=0")-COUNTIFS(Override!$B$11:$B$40,$B254,Override!$D$11:$D$40,14,Override!$E$11:$E$40,"&gt;=0",Override!$C$11:$C$40,"AS51"))&gt;0,SUMIFS(Override!$E$11:$E$40,Override!$B$11:$B$40,$B254,Override!$D$11:$D$40,14)-SUMIFS(Override!$E$11:$E$40,Override!$B$11:$B$40,$B254,Override!$D$11:$D$40,14,Override!$C$11:$C$40,"AS51"),Override!$P$286)/MXAU!$B$3,"")))</f>
        <v/>
      </c>
      <c r="T254" s="140">
        <f>IF(T$226="","",IF($B254="","",IFERROR($C254*$D254*IF((Override!$C$4="ON")*(COUNTIFS(Override!$B$11:$B$40,$B254,Override!$D$11:$D$40,15,Override!$E$11:$E$40,"&gt;=0")-COUNTIFS(Override!$B$11:$B$40,$B254,Override!$D$11:$D$40,15,Override!$E$11:$E$40,"&gt;=0",Override!$C$11:$C$40,"AS51"))&gt;0,SUMIFS(Override!$E$11:$E$40,Override!$B$11:$B$40,$B254,Override!$D$11:$D$40,15)-SUMIFS(Override!$E$11:$E$40,Override!$B$11:$B$40,$B254,Override!$D$11:$D$40,15,Override!$C$11:$C$40,"AS51"),Override!$Q$286)/MXAU!$B$3,"")))</f>
        <v/>
      </c>
      <c r="U254" s="140">
        <f>IF(U$226="","",IF($B254="","",IFERROR($C254*$D254*IF((Override!$C$4="ON")*(COUNTIFS(Override!$B$11:$B$40,$B254,Override!$D$11:$D$40,16,Override!$E$11:$E$40,"&gt;=0")-COUNTIFS(Override!$B$11:$B$40,$B254,Override!$D$11:$D$40,16,Override!$E$11:$E$40,"&gt;=0",Override!$C$11:$C$40,"AS51"))&gt;0,SUMIFS(Override!$E$11:$E$40,Override!$B$11:$B$40,$B254,Override!$D$11:$D$40,16)-SUMIFS(Override!$E$11:$E$40,Override!$B$11:$B$40,$B254,Override!$D$11:$D$40,16,Override!$C$11:$C$40,"AS51"),Override!$R$286)/MXAU!$B$3,"")))</f>
        <v/>
      </c>
      <c r="W254" s="140">
        <f>IF(W$226="","",IF($B254="","",IFERROR(F254*$E254/100,"")))</f>
        <v/>
      </c>
      <c r="X254" s="140">
        <f>IF(X$226="","",IF($B254="","",IFERROR(G254*$E254/100,"")))</f>
        <v/>
      </c>
      <c r="Y254" s="140">
        <f>IF(Y$226="","",IF($B254="","",IFERROR(H254*$E254/100,"")))</f>
        <v/>
      </c>
      <c r="Z254" s="140">
        <f>IF(Z$226="","",IF($B254="","",IFERROR(I254*$E254/100,"")))</f>
        <v/>
      </c>
      <c r="AA254" s="140">
        <f>IF(AA$226="","",IF($B254="","",IFERROR(J254*$E254/100,"")))</f>
        <v/>
      </c>
      <c r="AB254" s="140">
        <f>IF(AB$226="","",IF($B254="","",IFERROR(K254*$E254/100,"")))</f>
        <v/>
      </c>
      <c r="AC254" s="140">
        <f>IF(AC$226="","",IF($B254="","",IFERROR(L254*$E254/100,"")))</f>
        <v/>
      </c>
      <c r="AD254" s="140">
        <f>IF(AD$226="","",IF($B254="","",IFERROR(M254*$E254/100,"")))</f>
        <v/>
      </c>
      <c r="AE254" s="140">
        <f>IF(AE$226="","",IF($B254="","",IFERROR(N254*$E254/100,"")))</f>
        <v/>
      </c>
      <c r="AF254" s="140">
        <f>IF(AF$226="","",IF($B254="","",IFERROR(O254*$E254/100,"")))</f>
        <v/>
      </c>
      <c r="AG254" s="140">
        <f>IF(AG$226="","",IF($B254="","",IFERROR(P254*$E254/100,"")))</f>
        <v/>
      </c>
      <c r="AH254" s="140">
        <f>IF(AH$226="","",IF($B254="","",IFERROR(Q254*$E254/100,"")))</f>
        <v/>
      </c>
      <c r="AI254" s="140">
        <f>IF(AI$226="","",IF($B254="","",IFERROR(R254*$E254/100,"")))</f>
        <v/>
      </c>
      <c r="AJ254" s="140">
        <f>IF(AJ$226="","",IF($B254="","",IFERROR(S254*$E254/100,"")))</f>
        <v/>
      </c>
      <c r="AK254" s="140">
        <f>IF(AK$226="","",IF($B254="","",IFERROR(T254*$E254/100,"")))</f>
        <v/>
      </c>
      <c r="AL254" s="140">
        <f>IF(AL$226="","",IF($B254="","",IFERROR(U254*$E254/100,"")))</f>
        <v/>
      </c>
      <c r="AN254" s="140">
        <f>IF($B254="","",SUMIF($F$226:$U$226,"&lt;="&amp;Sector!$E$51,$F254:$U254))</f>
        <v/>
      </c>
      <c r="AO254" s="140">
        <f>IF($B254="","",SUMIF($W$226:$AL$226,"&lt;="&amp;Sector!$E$51,$W254:$AL254))</f>
        <v/>
      </c>
    </row>
    <row r="255">
      <c r="B255" s="5">
        <f>IF(MXAU!$C$32="","",MXAU!$C$32)</f>
        <v/>
      </c>
      <c r="C255" s="90">
        <f>IF(MXAU!$B$32="","",MXAU!$B$32)</f>
        <v/>
      </c>
      <c r="D255" s="138">
        <f>IFERROR(MXAU!$Q$32,1)</f>
        <v/>
      </c>
      <c r="E255" s="139">
        <f>IF($B255="","",IF(ISNUMBER(MXAU!$I$32),MXAU!$I$32,'Index Summary'!$C$7))</f>
        <v/>
      </c>
      <c r="F255" s="140">
        <f>IF(F$226="","",IF($B255="","",IFERROR($C255*$D255*IF((Override!$C$4="ON")*(COUNTIFS(Override!$B$11:$B$40,$B255,Override!$D$11:$D$40,1,Override!$E$11:$E$40,"&gt;=0")-COUNTIFS(Override!$B$11:$B$40,$B255,Override!$D$11:$D$40,1,Override!$E$11:$E$40,"&gt;=0",Override!$C$11:$C$40,"AS51"))&gt;0,SUMIFS(Override!$E$11:$E$40,Override!$B$11:$B$40,$B255,Override!$D$11:$D$40,1)-SUMIFS(Override!$E$11:$E$40,Override!$B$11:$B$40,$B255,Override!$D$11:$D$40,1,Override!$C$11:$C$40,"AS51"),Override!$C$287)/MXAU!$B$3,"")))</f>
        <v/>
      </c>
      <c r="G255" s="140">
        <f>IF(G$226="","",IF($B255="","",IFERROR($C255*$D255*IF((Override!$C$4="ON")*(COUNTIFS(Override!$B$11:$B$40,$B255,Override!$D$11:$D$40,2,Override!$E$11:$E$40,"&gt;=0")-COUNTIFS(Override!$B$11:$B$40,$B255,Override!$D$11:$D$40,2,Override!$E$11:$E$40,"&gt;=0",Override!$C$11:$C$40,"AS51"))&gt;0,SUMIFS(Override!$E$11:$E$40,Override!$B$11:$B$40,$B255,Override!$D$11:$D$40,2)-SUMIFS(Override!$E$11:$E$40,Override!$B$11:$B$40,$B255,Override!$D$11:$D$40,2,Override!$C$11:$C$40,"AS51"),Override!$D$287)/MXAU!$B$3,"")))</f>
        <v/>
      </c>
      <c r="H255" s="140">
        <f>IF(H$226="","",IF($B255="","",IFERROR($C255*$D255*IF((Override!$C$4="ON")*(COUNTIFS(Override!$B$11:$B$40,$B255,Override!$D$11:$D$40,3,Override!$E$11:$E$40,"&gt;=0")-COUNTIFS(Override!$B$11:$B$40,$B255,Override!$D$11:$D$40,3,Override!$E$11:$E$40,"&gt;=0",Override!$C$11:$C$40,"AS51"))&gt;0,SUMIFS(Override!$E$11:$E$40,Override!$B$11:$B$40,$B255,Override!$D$11:$D$40,3)-SUMIFS(Override!$E$11:$E$40,Override!$B$11:$B$40,$B255,Override!$D$11:$D$40,3,Override!$C$11:$C$40,"AS51"),Override!$E$287)/MXAU!$B$3,"")))</f>
        <v/>
      </c>
      <c r="I255" s="140">
        <f>IF(I$226="","",IF($B255="","",IFERROR($C255*$D255*IF((Override!$C$4="ON")*(COUNTIFS(Override!$B$11:$B$40,$B255,Override!$D$11:$D$40,4,Override!$E$11:$E$40,"&gt;=0")-COUNTIFS(Override!$B$11:$B$40,$B255,Override!$D$11:$D$40,4,Override!$E$11:$E$40,"&gt;=0",Override!$C$11:$C$40,"AS51"))&gt;0,SUMIFS(Override!$E$11:$E$40,Override!$B$11:$B$40,$B255,Override!$D$11:$D$40,4)-SUMIFS(Override!$E$11:$E$40,Override!$B$11:$B$40,$B255,Override!$D$11:$D$40,4,Override!$C$11:$C$40,"AS51"),Override!$F$287)/MXAU!$B$3,"")))</f>
        <v/>
      </c>
      <c r="J255" s="140">
        <f>IF(J$226="","",IF($B255="","",IFERROR($C255*$D255*IF((Override!$C$4="ON")*(COUNTIFS(Override!$B$11:$B$40,$B255,Override!$D$11:$D$40,5,Override!$E$11:$E$40,"&gt;=0")-COUNTIFS(Override!$B$11:$B$40,$B255,Override!$D$11:$D$40,5,Override!$E$11:$E$40,"&gt;=0",Override!$C$11:$C$40,"AS51"))&gt;0,SUMIFS(Override!$E$11:$E$40,Override!$B$11:$B$40,$B255,Override!$D$11:$D$40,5)-SUMIFS(Override!$E$11:$E$40,Override!$B$11:$B$40,$B255,Override!$D$11:$D$40,5,Override!$C$11:$C$40,"AS51"),Override!$G$287)/MXAU!$B$3,"")))</f>
        <v/>
      </c>
      <c r="K255" s="140">
        <f>IF(K$226="","",IF($B255="","",IFERROR($C255*$D255*IF((Override!$C$4="ON")*(COUNTIFS(Override!$B$11:$B$40,$B255,Override!$D$11:$D$40,6,Override!$E$11:$E$40,"&gt;=0")-COUNTIFS(Override!$B$11:$B$40,$B255,Override!$D$11:$D$40,6,Override!$E$11:$E$40,"&gt;=0",Override!$C$11:$C$40,"AS51"))&gt;0,SUMIFS(Override!$E$11:$E$40,Override!$B$11:$B$40,$B255,Override!$D$11:$D$40,6)-SUMIFS(Override!$E$11:$E$40,Override!$B$11:$B$40,$B255,Override!$D$11:$D$40,6,Override!$C$11:$C$40,"AS51"),Override!$H$287)/MXAU!$B$3,"")))</f>
        <v/>
      </c>
      <c r="L255" s="140">
        <f>IF(L$226="","",IF($B255="","",IFERROR($C255*$D255*IF((Override!$C$4="ON")*(COUNTIFS(Override!$B$11:$B$40,$B255,Override!$D$11:$D$40,7,Override!$E$11:$E$40,"&gt;=0")-COUNTIFS(Override!$B$11:$B$40,$B255,Override!$D$11:$D$40,7,Override!$E$11:$E$40,"&gt;=0",Override!$C$11:$C$40,"AS51"))&gt;0,SUMIFS(Override!$E$11:$E$40,Override!$B$11:$B$40,$B255,Override!$D$11:$D$40,7)-SUMIFS(Override!$E$11:$E$40,Override!$B$11:$B$40,$B255,Override!$D$11:$D$40,7,Override!$C$11:$C$40,"AS51"),Override!$I$287)/MXAU!$B$3,"")))</f>
        <v/>
      </c>
      <c r="M255" s="140">
        <f>IF(M$226="","",IF($B255="","",IFERROR($C255*$D255*IF((Override!$C$4="ON")*(COUNTIFS(Override!$B$11:$B$40,$B255,Override!$D$11:$D$40,8,Override!$E$11:$E$40,"&gt;=0")-COUNTIFS(Override!$B$11:$B$40,$B255,Override!$D$11:$D$40,8,Override!$E$11:$E$40,"&gt;=0",Override!$C$11:$C$40,"AS51"))&gt;0,SUMIFS(Override!$E$11:$E$40,Override!$B$11:$B$40,$B255,Override!$D$11:$D$40,8)-SUMIFS(Override!$E$11:$E$40,Override!$B$11:$B$40,$B255,Override!$D$11:$D$40,8,Override!$C$11:$C$40,"AS51"),Override!$J$287)/MXAU!$B$3,"")))</f>
        <v/>
      </c>
      <c r="N255" s="140">
        <f>IF(N$226="","",IF($B255="","",IFERROR($C255*$D255*IF((Override!$C$4="ON")*(COUNTIFS(Override!$B$11:$B$40,$B255,Override!$D$11:$D$40,9,Override!$E$11:$E$40,"&gt;=0")-COUNTIFS(Override!$B$11:$B$40,$B255,Override!$D$11:$D$40,9,Override!$E$11:$E$40,"&gt;=0",Override!$C$11:$C$40,"AS51"))&gt;0,SUMIFS(Override!$E$11:$E$40,Override!$B$11:$B$40,$B255,Override!$D$11:$D$40,9)-SUMIFS(Override!$E$11:$E$40,Override!$B$11:$B$40,$B255,Override!$D$11:$D$40,9,Override!$C$11:$C$40,"AS51"),Override!$K$287)/MXAU!$B$3,"")))</f>
        <v/>
      </c>
      <c r="O255" s="140">
        <f>IF(O$226="","",IF($B255="","",IFERROR($C255*$D255*IF((Override!$C$4="ON")*(COUNTIFS(Override!$B$11:$B$40,$B255,Override!$D$11:$D$40,10,Override!$E$11:$E$40,"&gt;=0")-COUNTIFS(Override!$B$11:$B$40,$B255,Override!$D$11:$D$40,10,Override!$E$11:$E$40,"&gt;=0",Override!$C$11:$C$40,"AS51"))&gt;0,SUMIFS(Override!$E$11:$E$40,Override!$B$11:$B$40,$B255,Override!$D$11:$D$40,10)-SUMIFS(Override!$E$11:$E$40,Override!$B$11:$B$40,$B255,Override!$D$11:$D$40,10,Override!$C$11:$C$40,"AS51"),Override!$L$287)/MXAU!$B$3,"")))</f>
        <v/>
      </c>
      <c r="P255" s="140">
        <f>IF(P$226="","",IF($B255="","",IFERROR($C255*$D255*IF((Override!$C$4="ON")*(COUNTIFS(Override!$B$11:$B$40,$B255,Override!$D$11:$D$40,11,Override!$E$11:$E$40,"&gt;=0")-COUNTIFS(Override!$B$11:$B$40,$B255,Override!$D$11:$D$40,11,Override!$E$11:$E$40,"&gt;=0",Override!$C$11:$C$40,"AS51"))&gt;0,SUMIFS(Override!$E$11:$E$40,Override!$B$11:$B$40,$B255,Override!$D$11:$D$40,11)-SUMIFS(Override!$E$11:$E$40,Override!$B$11:$B$40,$B255,Override!$D$11:$D$40,11,Override!$C$11:$C$40,"AS51"),Override!$M$287)/MXAU!$B$3,"")))</f>
        <v/>
      </c>
      <c r="Q255" s="140">
        <f>IF(Q$226="","",IF($B255="","",IFERROR($C255*$D255*IF((Override!$C$4="ON")*(COUNTIFS(Override!$B$11:$B$40,$B255,Override!$D$11:$D$40,12,Override!$E$11:$E$40,"&gt;=0")-COUNTIFS(Override!$B$11:$B$40,$B255,Override!$D$11:$D$40,12,Override!$E$11:$E$40,"&gt;=0",Override!$C$11:$C$40,"AS51"))&gt;0,SUMIFS(Override!$E$11:$E$40,Override!$B$11:$B$40,$B255,Override!$D$11:$D$40,12)-SUMIFS(Override!$E$11:$E$40,Override!$B$11:$B$40,$B255,Override!$D$11:$D$40,12,Override!$C$11:$C$40,"AS51"),Override!$N$287)/MXAU!$B$3,"")))</f>
        <v/>
      </c>
      <c r="R255" s="140">
        <f>IF(R$226="","",IF($B255="","",IFERROR($C255*$D255*IF((Override!$C$4="ON")*(COUNTIFS(Override!$B$11:$B$40,$B255,Override!$D$11:$D$40,13,Override!$E$11:$E$40,"&gt;=0")-COUNTIFS(Override!$B$11:$B$40,$B255,Override!$D$11:$D$40,13,Override!$E$11:$E$40,"&gt;=0",Override!$C$11:$C$40,"AS51"))&gt;0,SUMIFS(Override!$E$11:$E$40,Override!$B$11:$B$40,$B255,Override!$D$11:$D$40,13)-SUMIFS(Override!$E$11:$E$40,Override!$B$11:$B$40,$B255,Override!$D$11:$D$40,13,Override!$C$11:$C$40,"AS51"),Override!$O$287)/MXAU!$B$3,"")))</f>
        <v/>
      </c>
      <c r="S255" s="140">
        <f>IF(S$226="","",IF($B255="","",IFERROR($C255*$D255*IF((Override!$C$4="ON")*(COUNTIFS(Override!$B$11:$B$40,$B255,Override!$D$11:$D$40,14,Override!$E$11:$E$40,"&gt;=0")-COUNTIFS(Override!$B$11:$B$40,$B255,Override!$D$11:$D$40,14,Override!$E$11:$E$40,"&gt;=0",Override!$C$11:$C$40,"AS51"))&gt;0,SUMIFS(Override!$E$11:$E$40,Override!$B$11:$B$40,$B255,Override!$D$11:$D$40,14)-SUMIFS(Override!$E$11:$E$40,Override!$B$11:$B$40,$B255,Override!$D$11:$D$40,14,Override!$C$11:$C$40,"AS51"),Override!$P$287)/MXAU!$B$3,"")))</f>
        <v/>
      </c>
      <c r="T255" s="140">
        <f>IF(T$226="","",IF($B255="","",IFERROR($C255*$D255*IF((Override!$C$4="ON")*(COUNTIFS(Override!$B$11:$B$40,$B255,Override!$D$11:$D$40,15,Override!$E$11:$E$40,"&gt;=0")-COUNTIFS(Override!$B$11:$B$40,$B255,Override!$D$11:$D$40,15,Override!$E$11:$E$40,"&gt;=0",Override!$C$11:$C$40,"AS51"))&gt;0,SUMIFS(Override!$E$11:$E$40,Override!$B$11:$B$40,$B255,Override!$D$11:$D$40,15)-SUMIFS(Override!$E$11:$E$40,Override!$B$11:$B$40,$B255,Override!$D$11:$D$40,15,Override!$C$11:$C$40,"AS51"),Override!$Q$287)/MXAU!$B$3,"")))</f>
        <v/>
      </c>
      <c r="U255" s="140">
        <f>IF(U$226="","",IF($B255="","",IFERROR($C255*$D255*IF((Override!$C$4="ON")*(COUNTIFS(Override!$B$11:$B$40,$B255,Override!$D$11:$D$40,16,Override!$E$11:$E$40,"&gt;=0")-COUNTIFS(Override!$B$11:$B$40,$B255,Override!$D$11:$D$40,16,Override!$E$11:$E$40,"&gt;=0",Override!$C$11:$C$40,"AS51"))&gt;0,SUMIFS(Override!$E$11:$E$40,Override!$B$11:$B$40,$B255,Override!$D$11:$D$40,16)-SUMIFS(Override!$E$11:$E$40,Override!$B$11:$B$40,$B255,Override!$D$11:$D$40,16,Override!$C$11:$C$40,"AS51"),Override!$R$287)/MXAU!$B$3,"")))</f>
        <v/>
      </c>
      <c r="W255" s="140">
        <f>IF(W$226="","",IF($B255="","",IFERROR(F255*$E255/100,"")))</f>
        <v/>
      </c>
      <c r="X255" s="140">
        <f>IF(X$226="","",IF($B255="","",IFERROR(G255*$E255/100,"")))</f>
        <v/>
      </c>
      <c r="Y255" s="140">
        <f>IF(Y$226="","",IF($B255="","",IFERROR(H255*$E255/100,"")))</f>
        <v/>
      </c>
      <c r="Z255" s="140">
        <f>IF(Z$226="","",IF($B255="","",IFERROR(I255*$E255/100,"")))</f>
        <v/>
      </c>
      <c r="AA255" s="140">
        <f>IF(AA$226="","",IF($B255="","",IFERROR(J255*$E255/100,"")))</f>
        <v/>
      </c>
      <c r="AB255" s="140">
        <f>IF(AB$226="","",IF($B255="","",IFERROR(K255*$E255/100,"")))</f>
        <v/>
      </c>
      <c r="AC255" s="140">
        <f>IF(AC$226="","",IF($B255="","",IFERROR(L255*$E255/100,"")))</f>
        <v/>
      </c>
      <c r="AD255" s="140">
        <f>IF(AD$226="","",IF($B255="","",IFERROR(M255*$E255/100,"")))</f>
        <v/>
      </c>
      <c r="AE255" s="140">
        <f>IF(AE$226="","",IF($B255="","",IFERROR(N255*$E255/100,"")))</f>
        <v/>
      </c>
      <c r="AF255" s="140">
        <f>IF(AF$226="","",IF($B255="","",IFERROR(O255*$E255/100,"")))</f>
        <v/>
      </c>
      <c r="AG255" s="140">
        <f>IF(AG$226="","",IF($B255="","",IFERROR(P255*$E255/100,"")))</f>
        <v/>
      </c>
      <c r="AH255" s="140">
        <f>IF(AH$226="","",IF($B255="","",IFERROR(Q255*$E255/100,"")))</f>
        <v/>
      </c>
      <c r="AI255" s="140">
        <f>IF(AI$226="","",IF($B255="","",IFERROR(R255*$E255/100,"")))</f>
        <v/>
      </c>
      <c r="AJ255" s="140">
        <f>IF(AJ$226="","",IF($B255="","",IFERROR(S255*$E255/100,"")))</f>
        <v/>
      </c>
      <c r="AK255" s="140">
        <f>IF(AK$226="","",IF($B255="","",IFERROR(T255*$E255/100,"")))</f>
        <v/>
      </c>
      <c r="AL255" s="140">
        <f>IF(AL$226="","",IF($B255="","",IFERROR(U255*$E255/100,"")))</f>
        <v/>
      </c>
      <c r="AN255" s="140">
        <f>IF($B255="","",SUMIF($F$226:$U$226,"&lt;="&amp;Sector!$E$51,$F255:$U255))</f>
        <v/>
      </c>
      <c r="AO255" s="140">
        <f>IF($B255="","",SUMIF($W$226:$AL$226,"&lt;="&amp;Sector!$E$51,$W255:$AL255))</f>
        <v/>
      </c>
    </row>
    <row r="256">
      <c r="B256" s="5">
        <f>IF(MXAU!$C$33="","",MXAU!$C$33)</f>
        <v/>
      </c>
      <c r="C256" s="90">
        <f>IF(MXAU!$B$33="","",MXAU!$B$33)</f>
        <v/>
      </c>
      <c r="D256" s="138">
        <f>IFERROR(MXAU!$Q$33,1)</f>
        <v/>
      </c>
      <c r="E256" s="139">
        <f>IF($B256="","",IF(ISNUMBER(MXAU!$I$33),MXAU!$I$33,'Index Summary'!$C$7))</f>
        <v/>
      </c>
      <c r="F256" s="140">
        <f>IF(F$226="","",IF($B256="","",IFERROR($C256*$D256*IF((Override!$C$4="ON")*(COUNTIFS(Override!$B$11:$B$40,$B256,Override!$D$11:$D$40,1,Override!$E$11:$E$40,"&gt;=0")-COUNTIFS(Override!$B$11:$B$40,$B256,Override!$D$11:$D$40,1,Override!$E$11:$E$40,"&gt;=0",Override!$C$11:$C$40,"AS51"))&gt;0,SUMIFS(Override!$E$11:$E$40,Override!$B$11:$B$40,$B256,Override!$D$11:$D$40,1)-SUMIFS(Override!$E$11:$E$40,Override!$B$11:$B$40,$B256,Override!$D$11:$D$40,1,Override!$C$11:$C$40,"AS51"),Override!$C$288)/MXAU!$B$3,"")))</f>
        <v/>
      </c>
      <c r="G256" s="140">
        <f>IF(G$226="","",IF($B256="","",IFERROR($C256*$D256*IF((Override!$C$4="ON")*(COUNTIFS(Override!$B$11:$B$40,$B256,Override!$D$11:$D$40,2,Override!$E$11:$E$40,"&gt;=0")-COUNTIFS(Override!$B$11:$B$40,$B256,Override!$D$11:$D$40,2,Override!$E$11:$E$40,"&gt;=0",Override!$C$11:$C$40,"AS51"))&gt;0,SUMIFS(Override!$E$11:$E$40,Override!$B$11:$B$40,$B256,Override!$D$11:$D$40,2)-SUMIFS(Override!$E$11:$E$40,Override!$B$11:$B$40,$B256,Override!$D$11:$D$40,2,Override!$C$11:$C$40,"AS51"),Override!$D$288)/MXAU!$B$3,"")))</f>
        <v/>
      </c>
      <c r="H256" s="140">
        <f>IF(H$226="","",IF($B256="","",IFERROR($C256*$D256*IF((Override!$C$4="ON")*(COUNTIFS(Override!$B$11:$B$40,$B256,Override!$D$11:$D$40,3,Override!$E$11:$E$40,"&gt;=0")-COUNTIFS(Override!$B$11:$B$40,$B256,Override!$D$11:$D$40,3,Override!$E$11:$E$40,"&gt;=0",Override!$C$11:$C$40,"AS51"))&gt;0,SUMIFS(Override!$E$11:$E$40,Override!$B$11:$B$40,$B256,Override!$D$11:$D$40,3)-SUMIFS(Override!$E$11:$E$40,Override!$B$11:$B$40,$B256,Override!$D$11:$D$40,3,Override!$C$11:$C$40,"AS51"),Override!$E$288)/MXAU!$B$3,"")))</f>
        <v/>
      </c>
      <c r="I256" s="140">
        <f>IF(I$226="","",IF($B256="","",IFERROR($C256*$D256*IF((Override!$C$4="ON")*(COUNTIFS(Override!$B$11:$B$40,$B256,Override!$D$11:$D$40,4,Override!$E$11:$E$40,"&gt;=0")-COUNTIFS(Override!$B$11:$B$40,$B256,Override!$D$11:$D$40,4,Override!$E$11:$E$40,"&gt;=0",Override!$C$11:$C$40,"AS51"))&gt;0,SUMIFS(Override!$E$11:$E$40,Override!$B$11:$B$40,$B256,Override!$D$11:$D$40,4)-SUMIFS(Override!$E$11:$E$40,Override!$B$11:$B$40,$B256,Override!$D$11:$D$40,4,Override!$C$11:$C$40,"AS51"),Override!$F$288)/MXAU!$B$3,"")))</f>
        <v/>
      </c>
      <c r="J256" s="140">
        <f>IF(J$226="","",IF($B256="","",IFERROR($C256*$D256*IF((Override!$C$4="ON")*(COUNTIFS(Override!$B$11:$B$40,$B256,Override!$D$11:$D$40,5,Override!$E$11:$E$40,"&gt;=0")-COUNTIFS(Override!$B$11:$B$40,$B256,Override!$D$11:$D$40,5,Override!$E$11:$E$40,"&gt;=0",Override!$C$11:$C$40,"AS51"))&gt;0,SUMIFS(Override!$E$11:$E$40,Override!$B$11:$B$40,$B256,Override!$D$11:$D$40,5)-SUMIFS(Override!$E$11:$E$40,Override!$B$11:$B$40,$B256,Override!$D$11:$D$40,5,Override!$C$11:$C$40,"AS51"),Override!$G$288)/MXAU!$B$3,"")))</f>
        <v/>
      </c>
      <c r="K256" s="140">
        <f>IF(K$226="","",IF($B256="","",IFERROR($C256*$D256*IF((Override!$C$4="ON")*(COUNTIFS(Override!$B$11:$B$40,$B256,Override!$D$11:$D$40,6,Override!$E$11:$E$40,"&gt;=0")-COUNTIFS(Override!$B$11:$B$40,$B256,Override!$D$11:$D$40,6,Override!$E$11:$E$40,"&gt;=0",Override!$C$11:$C$40,"AS51"))&gt;0,SUMIFS(Override!$E$11:$E$40,Override!$B$11:$B$40,$B256,Override!$D$11:$D$40,6)-SUMIFS(Override!$E$11:$E$40,Override!$B$11:$B$40,$B256,Override!$D$11:$D$40,6,Override!$C$11:$C$40,"AS51"),Override!$H$288)/MXAU!$B$3,"")))</f>
        <v/>
      </c>
      <c r="L256" s="140">
        <f>IF(L$226="","",IF($B256="","",IFERROR($C256*$D256*IF((Override!$C$4="ON")*(COUNTIFS(Override!$B$11:$B$40,$B256,Override!$D$11:$D$40,7,Override!$E$11:$E$40,"&gt;=0")-COUNTIFS(Override!$B$11:$B$40,$B256,Override!$D$11:$D$40,7,Override!$E$11:$E$40,"&gt;=0",Override!$C$11:$C$40,"AS51"))&gt;0,SUMIFS(Override!$E$11:$E$40,Override!$B$11:$B$40,$B256,Override!$D$11:$D$40,7)-SUMIFS(Override!$E$11:$E$40,Override!$B$11:$B$40,$B256,Override!$D$11:$D$40,7,Override!$C$11:$C$40,"AS51"),Override!$I$288)/MXAU!$B$3,"")))</f>
        <v/>
      </c>
      <c r="M256" s="140">
        <f>IF(M$226="","",IF($B256="","",IFERROR($C256*$D256*IF((Override!$C$4="ON")*(COUNTIFS(Override!$B$11:$B$40,$B256,Override!$D$11:$D$40,8,Override!$E$11:$E$40,"&gt;=0")-COUNTIFS(Override!$B$11:$B$40,$B256,Override!$D$11:$D$40,8,Override!$E$11:$E$40,"&gt;=0",Override!$C$11:$C$40,"AS51"))&gt;0,SUMIFS(Override!$E$11:$E$40,Override!$B$11:$B$40,$B256,Override!$D$11:$D$40,8)-SUMIFS(Override!$E$11:$E$40,Override!$B$11:$B$40,$B256,Override!$D$11:$D$40,8,Override!$C$11:$C$40,"AS51"),Override!$J$288)/MXAU!$B$3,"")))</f>
        <v/>
      </c>
      <c r="N256" s="140">
        <f>IF(N$226="","",IF($B256="","",IFERROR($C256*$D256*IF((Override!$C$4="ON")*(COUNTIFS(Override!$B$11:$B$40,$B256,Override!$D$11:$D$40,9,Override!$E$11:$E$40,"&gt;=0")-COUNTIFS(Override!$B$11:$B$40,$B256,Override!$D$11:$D$40,9,Override!$E$11:$E$40,"&gt;=0",Override!$C$11:$C$40,"AS51"))&gt;0,SUMIFS(Override!$E$11:$E$40,Override!$B$11:$B$40,$B256,Override!$D$11:$D$40,9)-SUMIFS(Override!$E$11:$E$40,Override!$B$11:$B$40,$B256,Override!$D$11:$D$40,9,Override!$C$11:$C$40,"AS51"),Override!$K$288)/MXAU!$B$3,"")))</f>
        <v/>
      </c>
      <c r="O256" s="140">
        <f>IF(O$226="","",IF($B256="","",IFERROR($C256*$D256*IF((Override!$C$4="ON")*(COUNTIFS(Override!$B$11:$B$40,$B256,Override!$D$11:$D$40,10,Override!$E$11:$E$40,"&gt;=0")-COUNTIFS(Override!$B$11:$B$40,$B256,Override!$D$11:$D$40,10,Override!$E$11:$E$40,"&gt;=0",Override!$C$11:$C$40,"AS51"))&gt;0,SUMIFS(Override!$E$11:$E$40,Override!$B$11:$B$40,$B256,Override!$D$11:$D$40,10)-SUMIFS(Override!$E$11:$E$40,Override!$B$11:$B$40,$B256,Override!$D$11:$D$40,10,Override!$C$11:$C$40,"AS51"),Override!$L$288)/MXAU!$B$3,"")))</f>
        <v/>
      </c>
      <c r="P256" s="140">
        <f>IF(P$226="","",IF($B256="","",IFERROR($C256*$D256*IF((Override!$C$4="ON")*(COUNTIFS(Override!$B$11:$B$40,$B256,Override!$D$11:$D$40,11,Override!$E$11:$E$40,"&gt;=0")-COUNTIFS(Override!$B$11:$B$40,$B256,Override!$D$11:$D$40,11,Override!$E$11:$E$40,"&gt;=0",Override!$C$11:$C$40,"AS51"))&gt;0,SUMIFS(Override!$E$11:$E$40,Override!$B$11:$B$40,$B256,Override!$D$11:$D$40,11)-SUMIFS(Override!$E$11:$E$40,Override!$B$11:$B$40,$B256,Override!$D$11:$D$40,11,Override!$C$11:$C$40,"AS51"),Override!$M$288)/MXAU!$B$3,"")))</f>
        <v/>
      </c>
      <c r="Q256" s="140">
        <f>IF(Q$226="","",IF($B256="","",IFERROR($C256*$D256*IF((Override!$C$4="ON")*(COUNTIFS(Override!$B$11:$B$40,$B256,Override!$D$11:$D$40,12,Override!$E$11:$E$40,"&gt;=0")-COUNTIFS(Override!$B$11:$B$40,$B256,Override!$D$11:$D$40,12,Override!$E$11:$E$40,"&gt;=0",Override!$C$11:$C$40,"AS51"))&gt;0,SUMIFS(Override!$E$11:$E$40,Override!$B$11:$B$40,$B256,Override!$D$11:$D$40,12)-SUMIFS(Override!$E$11:$E$40,Override!$B$11:$B$40,$B256,Override!$D$11:$D$40,12,Override!$C$11:$C$40,"AS51"),Override!$N$288)/MXAU!$B$3,"")))</f>
        <v/>
      </c>
      <c r="R256" s="140">
        <f>IF(R$226="","",IF($B256="","",IFERROR($C256*$D256*IF((Override!$C$4="ON")*(COUNTIFS(Override!$B$11:$B$40,$B256,Override!$D$11:$D$40,13,Override!$E$11:$E$40,"&gt;=0")-COUNTIFS(Override!$B$11:$B$40,$B256,Override!$D$11:$D$40,13,Override!$E$11:$E$40,"&gt;=0",Override!$C$11:$C$40,"AS51"))&gt;0,SUMIFS(Override!$E$11:$E$40,Override!$B$11:$B$40,$B256,Override!$D$11:$D$40,13)-SUMIFS(Override!$E$11:$E$40,Override!$B$11:$B$40,$B256,Override!$D$11:$D$40,13,Override!$C$11:$C$40,"AS51"),Override!$O$288)/MXAU!$B$3,"")))</f>
        <v/>
      </c>
      <c r="S256" s="140">
        <f>IF(S$226="","",IF($B256="","",IFERROR($C256*$D256*IF((Override!$C$4="ON")*(COUNTIFS(Override!$B$11:$B$40,$B256,Override!$D$11:$D$40,14,Override!$E$11:$E$40,"&gt;=0")-COUNTIFS(Override!$B$11:$B$40,$B256,Override!$D$11:$D$40,14,Override!$E$11:$E$40,"&gt;=0",Override!$C$11:$C$40,"AS51"))&gt;0,SUMIFS(Override!$E$11:$E$40,Override!$B$11:$B$40,$B256,Override!$D$11:$D$40,14)-SUMIFS(Override!$E$11:$E$40,Override!$B$11:$B$40,$B256,Override!$D$11:$D$40,14,Override!$C$11:$C$40,"AS51"),Override!$P$288)/MXAU!$B$3,"")))</f>
        <v/>
      </c>
      <c r="T256" s="140">
        <f>IF(T$226="","",IF($B256="","",IFERROR($C256*$D256*IF((Override!$C$4="ON")*(COUNTIFS(Override!$B$11:$B$40,$B256,Override!$D$11:$D$40,15,Override!$E$11:$E$40,"&gt;=0")-COUNTIFS(Override!$B$11:$B$40,$B256,Override!$D$11:$D$40,15,Override!$E$11:$E$40,"&gt;=0",Override!$C$11:$C$40,"AS51"))&gt;0,SUMIFS(Override!$E$11:$E$40,Override!$B$11:$B$40,$B256,Override!$D$11:$D$40,15)-SUMIFS(Override!$E$11:$E$40,Override!$B$11:$B$40,$B256,Override!$D$11:$D$40,15,Override!$C$11:$C$40,"AS51"),Override!$Q$288)/MXAU!$B$3,"")))</f>
        <v/>
      </c>
      <c r="U256" s="140">
        <f>IF(U$226="","",IF($B256="","",IFERROR($C256*$D256*IF((Override!$C$4="ON")*(COUNTIFS(Override!$B$11:$B$40,$B256,Override!$D$11:$D$40,16,Override!$E$11:$E$40,"&gt;=0")-COUNTIFS(Override!$B$11:$B$40,$B256,Override!$D$11:$D$40,16,Override!$E$11:$E$40,"&gt;=0",Override!$C$11:$C$40,"AS51"))&gt;0,SUMIFS(Override!$E$11:$E$40,Override!$B$11:$B$40,$B256,Override!$D$11:$D$40,16)-SUMIFS(Override!$E$11:$E$40,Override!$B$11:$B$40,$B256,Override!$D$11:$D$40,16,Override!$C$11:$C$40,"AS51"),Override!$R$288)/MXAU!$B$3,"")))</f>
        <v/>
      </c>
      <c r="W256" s="140">
        <f>IF(W$226="","",IF($B256="","",IFERROR(F256*$E256/100,"")))</f>
        <v/>
      </c>
      <c r="X256" s="140">
        <f>IF(X$226="","",IF($B256="","",IFERROR(G256*$E256/100,"")))</f>
        <v/>
      </c>
      <c r="Y256" s="140">
        <f>IF(Y$226="","",IF($B256="","",IFERROR(H256*$E256/100,"")))</f>
        <v/>
      </c>
      <c r="Z256" s="140">
        <f>IF(Z$226="","",IF($B256="","",IFERROR(I256*$E256/100,"")))</f>
        <v/>
      </c>
      <c r="AA256" s="140">
        <f>IF(AA$226="","",IF($B256="","",IFERROR(J256*$E256/100,"")))</f>
        <v/>
      </c>
      <c r="AB256" s="140">
        <f>IF(AB$226="","",IF($B256="","",IFERROR(K256*$E256/100,"")))</f>
        <v/>
      </c>
      <c r="AC256" s="140">
        <f>IF(AC$226="","",IF($B256="","",IFERROR(L256*$E256/100,"")))</f>
        <v/>
      </c>
      <c r="AD256" s="140">
        <f>IF(AD$226="","",IF($B256="","",IFERROR(M256*$E256/100,"")))</f>
        <v/>
      </c>
      <c r="AE256" s="140">
        <f>IF(AE$226="","",IF($B256="","",IFERROR(N256*$E256/100,"")))</f>
        <v/>
      </c>
      <c r="AF256" s="140">
        <f>IF(AF$226="","",IF($B256="","",IFERROR(O256*$E256/100,"")))</f>
        <v/>
      </c>
      <c r="AG256" s="140">
        <f>IF(AG$226="","",IF($B256="","",IFERROR(P256*$E256/100,"")))</f>
        <v/>
      </c>
      <c r="AH256" s="140">
        <f>IF(AH$226="","",IF($B256="","",IFERROR(Q256*$E256/100,"")))</f>
        <v/>
      </c>
      <c r="AI256" s="140">
        <f>IF(AI$226="","",IF($B256="","",IFERROR(R256*$E256/100,"")))</f>
        <v/>
      </c>
      <c r="AJ256" s="140">
        <f>IF(AJ$226="","",IF($B256="","",IFERROR(S256*$E256/100,"")))</f>
        <v/>
      </c>
      <c r="AK256" s="140">
        <f>IF(AK$226="","",IF($B256="","",IFERROR(T256*$E256/100,"")))</f>
        <v/>
      </c>
      <c r="AL256" s="140">
        <f>IF(AL$226="","",IF($B256="","",IFERROR(U256*$E256/100,"")))</f>
        <v/>
      </c>
      <c r="AN256" s="140">
        <f>IF($B256="","",SUMIF($F$226:$U$226,"&lt;="&amp;Sector!$E$51,$F256:$U256))</f>
        <v/>
      </c>
      <c r="AO256" s="140">
        <f>IF($B256="","",SUMIF($W$226:$AL$226,"&lt;="&amp;Sector!$E$51,$W256:$AL256))</f>
        <v/>
      </c>
    </row>
    <row r="257">
      <c r="B257" s="5">
        <f>IF(MXAU!$C$34="","",MXAU!$C$34)</f>
        <v/>
      </c>
      <c r="C257" s="90">
        <f>IF(MXAU!$B$34="","",MXAU!$B$34)</f>
        <v/>
      </c>
      <c r="D257" s="138">
        <f>IFERROR(MXAU!$Q$34,1)</f>
        <v/>
      </c>
      <c r="E257" s="139">
        <f>IF($B257="","",IF(ISNUMBER(MXAU!$I$34),MXAU!$I$34,'Index Summary'!$C$7))</f>
        <v/>
      </c>
      <c r="F257" s="140">
        <f>IF(F$226="","",IF($B257="","",IFERROR($C257*$D257*IF((Override!$C$4="ON")*(COUNTIFS(Override!$B$11:$B$40,$B257,Override!$D$11:$D$40,1,Override!$E$11:$E$40,"&gt;=0")-COUNTIFS(Override!$B$11:$B$40,$B257,Override!$D$11:$D$40,1,Override!$E$11:$E$40,"&gt;=0",Override!$C$11:$C$40,"AS51"))&gt;0,SUMIFS(Override!$E$11:$E$40,Override!$B$11:$B$40,$B257,Override!$D$11:$D$40,1)-SUMIFS(Override!$E$11:$E$40,Override!$B$11:$B$40,$B257,Override!$D$11:$D$40,1,Override!$C$11:$C$40,"AS51"),Override!$C$289)/MXAU!$B$3,"")))</f>
        <v/>
      </c>
      <c r="G257" s="140">
        <f>IF(G$226="","",IF($B257="","",IFERROR($C257*$D257*IF((Override!$C$4="ON")*(COUNTIFS(Override!$B$11:$B$40,$B257,Override!$D$11:$D$40,2,Override!$E$11:$E$40,"&gt;=0")-COUNTIFS(Override!$B$11:$B$40,$B257,Override!$D$11:$D$40,2,Override!$E$11:$E$40,"&gt;=0",Override!$C$11:$C$40,"AS51"))&gt;0,SUMIFS(Override!$E$11:$E$40,Override!$B$11:$B$40,$B257,Override!$D$11:$D$40,2)-SUMIFS(Override!$E$11:$E$40,Override!$B$11:$B$40,$B257,Override!$D$11:$D$40,2,Override!$C$11:$C$40,"AS51"),Override!$D$289)/MXAU!$B$3,"")))</f>
        <v/>
      </c>
      <c r="H257" s="140">
        <f>IF(H$226="","",IF($B257="","",IFERROR($C257*$D257*IF((Override!$C$4="ON")*(COUNTIFS(Override!$B$11:$B$40,$B257,Override!$D$11:$D$40,3,Override!$E$11:$E$40,"&gt;=0")-COUNTIFS(Override!$B$11:$B$40,$B257,Override!$D$11:$D$40,3,Override!$E$11:$E$40,"&gt;=0",Override!$C$11:$C$40,"AS51"))&gt;0,SUMIFS(Override!$E$11:$E$40,Override!$B$11:$B$40,$B257,Override!$D$11:$D$40,3)-SUMIFS(Override!$E$11:$E$40,Override!$B$11:$B$40,$B257,Override!$D$11:$D$40,3,Override!$C$11:$C$40,"AS51"),Override!$E$289)/MXAU!$B$3,"")))</f>
        <v/>
      </c>
      <c r="I257" s="140">
        <f>IF(I$226="","",IF($B257="","",IFERROR($C257*$D257*IF((Override!$C$4="ON")*(COUNTIFS(Override!$B$11:$B$40,$B257,Override!$D$11:$D$40,4,Override!$E$11:$E$40,"&gt;=0")-COUNTIFS(Override!$B$11:$B$40,$B257,Override!$D$11:$D$40,4,Override!$E$11:$E$40,"&gt;=0",Override!$C$11:$C$40,"AS51"))&gt;0,SUMIFS(Override!$E$11:$E$40,Override!$B$11:$B$40,$B257,Override!$D$11:$D$40,4)-SUMIFS(Override!$E$11:$E$40,Override!$B$11:$B$40,$B257,Override!$D$11:$D$40,4,Override!$C$11:$C$40,"AS51"),Override!$F$289)/MXAU!$B$3,"")))</f>
        <v/>
      </c>
      <c r="J257" s="140">
        <f>IF(J$226="","",IF($B257="","",IFERROR($C257*$D257*IF((Override!$C$4="ON")*(COUNTIFS(Override!$B$11:$B$40,$B257,Override!$D$11:$D$40,5,Override!$E$11:$E$40,"&gt;=0")-COUNTIFS(Override!$B$11:$B$40,$B257,Override!$D$11:$D$40,5,Override!$E$11:$E$40,"&gt;=0",Override!$C$11:$C$40,"AS51"))&gt;0,SUMIFS(Override!$E$11:$E$40,Override!$B$11:$B$40,$B257,Override!$D$11:$D$40,5)-SUMIFS(Override!$E$11:$E$40,Override!$B$11:$B$40,$B257,Override!$D$11:$D$40,5,Override!$C$11:$C$40,"AS51"),Override!$G$289)/MXAU!$B$3,"")))</f>
        <v/>
      </c>
      <c r="K257" s="140">
        <f>IF(K$226="","",IF($B257="","",IFERROR($C257*$D257*IF((Override!$C$4="ON")*(COUNTIFS(Override!$B$11:$B$40,$B257,Override!$D$11:$D$40,6,Override!$E$11:$E$40,"&gt;=0")-COUNTIFS(Override!$B$11:$B$40,$B257,Override!$D$11:$D$40,6,Override!$E$11:$E$40,"&gt;=0",Override!$C$11:$C$40,"AS51"))&gt;0,SUMIFS(Override!$E$11:$E$40,Override!$B$11:$B$40,$B257,Override!$D$11:$D$40,6)-SUMIFS(Override!$E$11:$E$40,Override!$B$11:$B$40,$B257,Override!$D$11:$D$40,6,Override!$C$11:$C$40,"AS51"),Override!$H$289)/MXAU!$B$3,"")))</f>
        <v/>
      </c>
      <c r="L257" s="140">
        <f>IF(L$226="","",IF($B257="","",IFERROR($C257*$D257*IF((Override!$C$4="ON")*(COUNTIFS(Override!$B$11:$B$40,$B257,Override!$D$11:$D$40,7,Override!$E$11:$E$40,"&gt;=0")-COUNTIFS(Override!$B$11:$B$40,$B257,Override!$D$11:$D$40,7,Override!$E$11:$E$40,"&gt;=0",Override!$C$11:$C$40,"AS51"))&gt;0,SUMIFS(Override!$E$11:$E$40,Override!$B$11:$B$40,$B257,Override!$D$11:$D$40,7)-SUMIFS(Override!$E$11:$E$40,Override!$B$11:$B$40,$B257,Override!$D$11:$D$40,7,Override!$C$11:$C$40,"AS51"),Override!$I$289)/MXAU!$B$3,"")))</f>
        <v/>
      </c>
      <c r="M257" s="140">
        <f>IF(M$226="","",IF($B257="","",IFERROR($C257*$D257*IF((Override!$C$4="ON")*(COUNTIFS(Override!$B$11:$B$40,$B257,Override!$D$11:$D$40,8,Override!$E$11:$E$40,"&gt;=0")-COUNTIFS(Override!$B$11:$B$40,$B257,Override!$D$11:$D$40,8,Override!$E$11:$E$40,"&gt;=0",Override!$C$11:$C$40,"AS51"))&gt;0,SUMIFS(Override!$E$11:$E$40,Override!$B$11:$B$40,$B257,Override!$D$11:$D$40,8)-SUMIFS(Override!$E$11:$E$40,Override!$B$11:$B$40,$B257,Override!$D$11:$D$40,8,Override!$C$11:$C$40,"AS51"),Override!$J$289)/MXAU!$B$3,"")))</f>
        <v/>
      </c>
      <c r="N257" s="140">
        <f>IF(N$226="","",IF($B257="","",IFERROR($C257*$D257*IF((Override!$C$4="ON")*(COUNTIFS(Override!$B$11:$B$40,$B257,Override!$D$11:$D$40,9,Override!$E$11:$E$40,"&gt;=0")-COUNTIFS(Override!$B$11:$B$40,$B257,Override!$D$11:$D$40,9,Override!$E$11:$E$40,"&gt;=0",Override!$C$11:$C$40,"AS51"))&gt;0,SUMIFS(Override!$E$11:$E$40,Override!$B$11:$B$40,$B257,Override!$D$11:$D$40,9)-SUMIFS(Override!$E$11:$E$40,Override!$B$11:$B$40,$B257,Override!$D$11:$D$40,9,Override!$C$11:$C$40,"AS51"),Override!$K$289)/MXAU!$B$3,"")))</f>
        <v/>
      </c>
      <c r="O257" s="140">
        <f>IF(O$226="","",IF($B257="","",IFERROR($C257*$D257*IF((Override!$C$4="ON")*(COUNTIFS(Override!$B$11:$B$40,$B257,Override!$D$11:$D$40,10,Override!$E$11:$E$40,"&gt;=0")-COUNTIFS(Override!$B$11:$B$40,$B257,Override!$D$11:$D$40,10,Override!$E$11:$E$40,"&gt;=0",Override!$C$11:$C$40,"AS51"))&gt;0,SUMIFS(Override!$E$11:$E$40,Override!$B$11:$B$40,$B257,Override!$D$11:$D$40,10)-SUMIFS(Override!$E$11:$E$40,Override!$B$11:$B$40,$B257,Override!$D$11:$D$40,10,Override!$C$11:$C$40,"AS51"),Override!$L$289)/MXAU!$B$3,"")))</f>
        <v/>
      </c>
      <c r="P257" s="140">
        <f>IF(P$226="","",IF($B257="","",IFERROR($C257*$D257*IF((Override!$C$4="ON")*(COUNTIFS(Override!$B$11:$B$40,$B257,Override!$D$11:$D$40,11,Override!$E$11:$E$40,"&gt;=0")-COUNTIFS(Override!$B$11:$B$40,$B257,Override!$D$11:$D$40,11,Override!$E$11:$E$40,"&gt;=0",Override!$C$11:$C$40,"AS51"))&gt;0,SUMIFS(Override!$E$11:$E$40,Override!$B$11:$B$40,$B257,Override!$D$11:$D$40,11)-SUMIFS(Override!$E$11:$E$40,Override!$B$11:$B$40,$B257,Override!$D$11:$D$40,11,Override!$C$11:$C$40,"AS51"),Override!$M$289)/MXAU!$B$3,"")))</f>
        <v/>
      </c>
      <c r="Q257" s="140">
        <f>IF(Q$226="","",IF($B257="","",IFERROR($C257*$D257*IF((Override!$C$4="ON")*(COUNTIFS(Override!$B$11:$B$40,$B257,Override!$D$11:$D$40,12,Override!$E$11:$E$40,"&gt;=0")-COUNTIFS(Override!$B$11:$B$40,$B257,Override!$D$11:$D$40,12,Override!$E$11:$E$40,"&gt;=0",Override!$C$11:$C$40,"AS51"))&gt;0,SUMIFS(Override!$E$11:$E$40,Override!$B$11:$B$40,$B257,Override!$D$11:$D$40,12)-SUMIFS(Override!$E$11:$E$40,Override!$B$11:$B$40,$B257,Override!$D$11:$D$40,12,Override!$C$11:$C$40,"AS51"),Override!$N$289)/MXAU!$B$3,"")))</f>
        <v/>
      </c>
      <c r="R257" s="140">
        <f>IF(R$226="","",IF($B257="","",IFERROR($C257*$D257*IF((Override!$C$4="ON")*(COUNTIFS(Override!$B$11:$B$40,$B257,Override!$D$11:$D$40,13,Override!$E$11:$E$40,"&gt;=0")-COUNTIFS(Override!$B$11:$B$40,$B257,Override!$D$11:$D$40,13,Override!$E$11:$E$40,"&gt;=0",Override!$C$11:$C$40,"AS51"))&gt;0,SUMIFS(Override!$E$11:$E$40,Override!$B$11:$B$40,$B257,Override!$D$11:$D$40,13)-SUMIFS(Override!$E$11:$E$40,Override!$B$11:$B$40,$B257,Override!$D$11:$D$40,13,Override!$C$11:$C$40,"AS51"),Override!$O$289)/MXAU!$B$3,"")))</f>
        <v/>
      </c>
      <c r="S257" s="140">
        <f>IF(S$226="","",IF($B257="","",IFERROR($C257*$D257*IF((Override!$C$4="ON")*(COUNTIFS(Override!$B$11:$B$40,$B257,Override!$D$11:$D$40,14,Override!$E$11:$E$40,"&gt;=0")-COUNTIFS(Override!$B$11:$B$40,$B257,Override!$D$11:$D$40,14,Override!$E$11:$E$40,"&gt;=0",Override!$C$11:$C$40,"AS51"))&gt;0,SUMIFS(Override!$E$11:$E$40,Override!$B$11:$B$40,$B257,Override!$D$11:$D$40,14)-SUMIFS(Override!$E$11:$E$40,Override!$B$11:$B$40,$B257,Override!$D$11:$D$40,14,Override!$C$11:$C$40,"AS51"),Override!$P$289)/MXAU!$B$3,"")))</f>
        <v/>
      </c>
      <c r="T257" s="140">
        <f>IF(T$226="","",IF($B257="","",IFERROR($C257*$D257*IF((Override!$C$4="ON")*(COUNTIFS(Override!$B$11:$B$40,$B257,Override!$D$11:$D$40,15,Override!$E$11:$E$40,"&gt;=0")-COUNTIFS(Override!$B$11:$B$40,$B257,Override!$D$11:$D$40,15,Override!$E$11:$E$40,"&gt;=0",Override!$C$11:$C$40,"AS51"))&gt;0,SUMIFS(Override!$E$11:$E$40,Override!$B$11:$B$40,$B257,Override!$D$11:$D$40,15)-SUMIFS(Override!$E$11:$E$40,Override!$B$11:$B$40,$B257,Override!$D$11:$D$40,15,Override!$C$11:$C$40,"AS51"),Override!$Q$289)/MXAU!$B$3,"")))</f>
        <v/>
      </c>
      <c r="U257" s="140">
        <f>IF(U$226="","",IF($B257="","",IFERROR($C257*$D257*IF((Override!$C$4="ON")*(COUNTIFS(Override!$B$11:$B$40,$B257,Override!$D$11:$D$40,16,Override!$E$11:$E$40,"&gt;=0")-COUNTIFS(Override!$B$11:$B$40,$B257,Override!$D$11:$D$40,16,Override!$E$11:$E$40,"&gt;=0",Override!$C$11:$C$40,"AS51"))&gt;0,SUMIFS(Override!$E$11:$E$40,Override!$B$11:$B$40,$B257,Override!$D$11:$D$40,16)-SUMIFS(Override!$E$11:$E$40,Override!$B$11:$B$40,$B257,Override!$D$11:$D$40,16,Override!$C$11:$C$40,"AS51"),Override!$R$289)/MXAU!$B$3,"")))</f>
        <v/>
      </c>
      <c r="W257" s="140">
        <f>IF(W$226="","",IF($B257="","",IFERROR(F257*$E257/100,"")))</f>
        <v/>
      </c>
      <c r="X257" s="140">
        <f>IF(X$226="","",IF($B257="","",IFERROR(G257*$E257/100,"")))</f>
        <v/>
      </c>
      <c r="Y257" s="140">
        <f>IF(Y$226="","",IF($B257="","",IFERROR(H257*$E257/100,"")))</f>
        <v/>
      </c>
      <c r="Z257" s="140">
        <f>IF(Z$226="","",IF($B257="","",IFERROR(I257*$E257/100,"")))</f>
        <v/>
      </c>
      <c r="AA257" s="140">
        <f>IF(AA$226="","",IF($B257="","",IFERROR(J257*$E257/100,"")))</f>
        <v/>
      </c>
      <c r="AB257" s="140">
        <f>IF(AB$226="","",IF($B257="","",IFERROR(K257*$E257/100,"")))</f>
        <v/>
      </c>
      <c r="AC257" s="140">
        <f>IF(AC$226="","",IF($B257="","",IFERROR(L257*$E257/100,"")))</f>
        <v/>
      </c>
      <c r="AD257" s="140">
        <f>IF(AD$226="","",IF($B257="","",IFERROR(M257*$E257/100,"")))</f>
        <v/>
      </c>
      <c r="AE257" s="140">
        <f>IF(AE$226="","",IF($B257="","",IFERROR(N257*$E257/100,"")))</f>
        <v/>
      </c>
      <c r="AF257" s="140">
        <f>IF(AF$226="","",IF($B257="","",IFERROR(O257*$E257/100,"")))</f>
        <v/>
      </c>
      <c r="AG257" s="140">
        <f>IF(AG$226="","",IF($B257="","",IFERROR(P257*$E257/100,"")))</f>
        <v/>
      </c>
      <c r="AH257" s="140">
        <f>IF(AH$226="","",IF($B257="","",IFERROR(Q257*$E257/100,"")))</f>
        <v/>
      </c>
      <c r="AI257" s="140">
        <f>IF(AI$226="","",IF($B257="","",IFERROR(R257*$E257/100,"")))</f>
        <v/>
      </c>
      <c r="AJ257" s="140">
        <f>IF(AJ$226="","",IF($B257="","",IFERROR(S257*$E257/100,"")))</f>
        <v/>
      </c>
      <c r="AK257" s="140">
        <f>IF(AK$226="","",IF($B257="","",IFERROR(T257*$E257/100,"")))</f>
        <v/>
      </c>
      <c r="AL257" s="140">
        <f>IF(AL$226="","",IF($B257="","",IFERROR(U257*$E257/100,"")))</f>
        <v/>
      </c>
      <c r="AN257" s="140">
        <f>IF($B257="","",SUMIF($F$226:$U$226,"&lt;="&amp;Sector!$E$51,$F257:$U257))</f>
        <v/>
      </c>
      <c r="AO257" s="140">
        <f>IF($B257="","",SUMIF($W$226:$AL$226,"&lt;="&amp;Sector!$E$51,$W257:$AL257))</f>
        <v/>
      </c>
    </row>
    <row r="258">
      <c r="B258" s="5">
        <f>IF(MXAU!$C$35="","",MXAU!$C$35)</f>
        <v/>
      </c>
      <c r="C258" s="90">
        <f>IF(MXAU!$B$35="","",MXAU!$B$35)</f>
        <v/>
      </c>
      <c r="D258" s="138">
        <f>IFERROR(MXAU!$Q$35,1)</f>
        <v/>
      </c>
      <c r="E258" s="139">
        <f>IF($B258="","",IF(ISNUMBER(MXAU!$I$35),MXAU!$I$35,'Index Summary'!$C$7))</f>
        <v/>
      </c>
      <c r="F258" s="140">
        <f>IF(F$226="","",IF($B258="","",IFERROR($C258*$D258*IF((Override!$C$4="ON")*(COUNTIFS(Override!$B$11:$B$40,$B258,Override!$D$11:$D$40,1,Override!$E$11:$E$40,"&gt;=0")-COUNTIFS(Override!$B$11:$B$40,$B258,Override!$D$11:$D$40,1,Override!$E$11:$E$40,"&gt;=0",Override!$C$11:$C$40,"AS51"))&gt;0,SUMIFS(Override!$E$11:$E$40,Override!$B$11:$B$40,$B258,Override!$D$11:$D$40,1)-SUMIFS(Override!$E$11:$E$40,Override!$B$11:$B$40,$B258,Override!$D$11:$D$40,1,Override!$C$11:$C$40,"AS51"),Override!$C$290)/MXAU!$B$3,"")))</f>
        <v/>
      </c>
      <c r="G258" s="140">
        <f>IF(G$226="","",IF($B258="","",IFERROR($C258*$D258*IF((Override!$C$4="ON")*(COUNTIFS(Override!$B$11:$B$40,$B258,Override!$D$11:$D$40,2,Override!$E$11:$E$40,"&gt;=0")-COUNTIFS(Override!$B$11:$B$40,$B258,Override!$D$11:$D$40,2,Override!$E$11:$E$40,"&gt;=0",Override!$C$11:$C$40,"AS51"))&gt;0,SUMIFS(Override!$E$11:$E$40,Override!$B$11:$B$40,$B258,Override!$D$11:$D$40,2)-SUMIFS(Override!$E$11:$E$40,Override!$B$11:$B$40,$B258,Override!$D$11:$D$40,2,Override!$C$11:$C$40,"AS51"),Override!$D$290)/MXAU!$B$3,"")))</f>
        <v/>
      </c>
      <c r="H258" s="140">
        <f>IF(H$226="","",IF($B258="","",IFERROR($C258*$D258*IF((Override!$C$4="ON")*(COUNTIFS(Override!$B$11:$B$40,$B258,Override!$D$11:$D$40,3,Override!$E$11:$E$40,"&gt;=0")-COUNTIFS(Override!$B$11:$B$40,$B258,Override!$D$11:$D$40,3,Override!$E$11:$E$40,"&gt;=0",Override!$C$11:$C$40,"AS51"))&gt;0,SUMIFS(Override!$E$11:$E$40,Override!$B$11:$B$40,$B258,Override!$D$11:$D$40,3)-SUMIFS(Override!$E$11:$E$40,Override!$B$11:$B$40,$B258,Override!$D$11:$D$40,3,Override!$C$11:$C$40,"AS51"),Override!$E$290)/MXAU!$B$3,"")))</f>
        <v/>
      </c>
      <c r="I258" s="140">
        <f>IF(I$226="","",IF($B258="","",IFERROR($C258*$D258*IF((Override!$C$4="ON")*(COUNTIFS(Override!$B$11:$B$40,$B258,Override!$D$11:$D$40,4,Override!$E$11:$E$40,"&gt;=0")-COUNTIFS(Override!$B$11:$B$40,$B258,Override!$D$11:$D$40,4,Override!$E$11:$E$40,"&gt;=0",Override!$C$11:$C$40,"AS51"))&gt;0,SUMIFS(Override!$E$11:$E$40,Override!$B$11:$B$40,$B258,Override!$D$11:$D$40,4)-SUMIFS(Override!$E$11:$E$40,Override!$B$11:$B$40,$B258,Override!$D$11:$D$40,4,Override!$C$11:$C$40,"AS51"),Override!$F$290)/MXAU!$B$3,"")))</f>
        <v/>
      </c>
      <c r="J258" s="140">
        <f>IF(J$226="","",IF($B258="","",IFERROR($C258*$D258*IF((Override!$C$4="ON")*(COUNTIFS(Override!$B$11:$B$40,$B258,Override!$D$11:$D$40,5,Override!$E$11:$E$40,"&gt;=0")-COUNTIFS(Override!$B$11:$B$40,$B258,Override!$D$11:$D$40,5,Override!$E$11:$E$40,"&gt;=0",Override!$C$11:$C$40,"AS51"))&gt;0,SUMIFS(Override!$E$11:$E$40,Override!$B$11:$B$40,$B258,Override!$D$11:$D$40,5)-SUMIFS(Override!$E$11:$E$40,Override!$B$11:$B$40,$B258,Override!$D$11:$D$40,5,Override!$C$11:$C$40,"AS51"),Override!$G$290)/MXAU!$B$3,"")))</f>
        <v/>
      </c>
      <c r="K258" s="140">
        <f>IF(K$226="","",IF($B258="","",IFERROR($C258*$D258*IF((Override!$C$4="ON")*(COUNTIFS(Override!$B$11:$B$40,$B258,Override!$D$11:$D$40,6,Override!$E$11:$E$40,"&gt;=0")-COUNTIFS(Override!$B$11:$B$40,$B258,Override!$D$11:$D$40,6,Override!$E$11:$E$40,"&gt;=0",Override!$C$11:$C$40,"AS51"))&gt;0,SUMIFS(Override!$E$11:$E$40,Override!$B$11:$B$40,$B258,Override!$D$11:$D$40,6)-SUMIFS(Override!$E$11:$E$40,Override!$B$11:$B$40,$B258,Override!$D$11:$D$40,6,Override!$C$11:$C$40,"AS51"),Override!$H$290)/MXAU!$B$3,"")))</f>
        <v/>
      </c>
      <c r="L258" s="140">
        <f>IF(L$226="","",IF($B258="","",IFERROR($C258*$D258*IF((Override!$C$4="ON")*(COUNTIFS(Override!$B$11:$B$40,$B258,Override!$D$11:$D$40,7,Override!$E$11:$E$40,"&gt;=0")-COUNTIFS(Override!$B$11:$B$40,$B258,Override!$D$11:$D$40,7,Override!$E$11:$E$40,"&gt;=0",Override!$C$11:$C$40,"AS51"))&gt;0,SUMIFS(Override!$E$11:$E$40,Override!$B$11:$B$40,$B258,Override!$D$11:$D$40,7)-SUMIFS(Override!$E$11:$E$40,Override!$B$11:$B$40,$B258,Override!$D$11:$D$40,7,Override!$C$11:$C$40,"AS51"),Override!$I$290)/MXAU!$B$3,"")))</f>
        <v/>
      </c>
      <c r="M258" s="140">
        <f>IF(M$226="","",IF($B258="","",IFERROR($C258*$D258*IF((Override!$C$4="ON")*(COUNTIFS(Override!$B$11:$B$40,$B258,Override!$D$11:$D$40,8,Override!$E$11:$E$40,"&gt;=0")-COUNTIFS(Override!$B$11:$B$40,$B258,Override!$D$11:$D$40,8,Override!$E$11:$E$40,"&gt;=0",Override!$C$11:$C$40,"AS51"))&gt;0,SUMIFS(Override!$E$11:$E$40,Override!$B$11:$B$40,$B258,Override!$D$11:$D$40,8)-SUMIFS(Override!$E$11:$E$40,Override!$B$11:$B$40,$B258,Override!$D$11:$D$40,8,Override!$C$11:$C$40,"AS51"),Override!$J$290)/MXAU!$B$3,"")))</f>
        <v/>
      </c>
      <c r="N258" s="140">
        <f>IF(N$226="","",IF($B258="","",IFERROR($C258*$D258*IF((Override!$C$4="ON")*(COUNTIFS(Override!$B$11:$B$40,$B258,Override!$D$11:$D$40,9,Override!$E$11:$E$40,"&gt;=0")-COUNTIFS(Override!$B$11:$B$40,$B258,Override!$D$11:$D$40,9,Override!$E$11:$E$40,"&gt;=0",Override!$C$11:$C$40,"AS51"))&gt;0,SUMIFS(Override!$E$11:$E$40,Override!$B$11:$B$40,$B258,Override!$D$11:$D$40,9)-SUMIFS(Override!$E$11:$E$40,Override!$B$11:$B$40,$B258,Override!$D$11:$D$40,9,Override!$C$11:$C$40,"AS51"),Override!$K$290)/MXAU!$B$3,"")))</f>
        <v/>
      </c>
      <c r="O258" s="140">
        <f>IF(O$226="","",IF($B258="","",IFERROR($C258*$D258*IF((Override!$C$4="ON")*(COUNTIFS(Override!$B$11:$B$40,$B258,Override!$D$11:$D$40,10,Override!$E$11:$E$40,"&gt;=0")-COUNTIFS(Override!$B$11:$B$40,$B258,Override!$D$11:$D$40,10,Override!$E$11:$E$40,"&gt;=0",Override!$C$11:$C$40,"AS51"))&gt;0,SUMIFS(Override!$E$11:$E$40,Override!$B$11:$B$40,$B258,Override!$D$11:$D$40,10)-SUMIFS(Override!$E$11:$E$40,Override!$B$11:$B$40,$B258,Override!$D$11:$D$40,10,Override!$C$11:$C$40,"AS51"),Override!$L$290)/MXAU!$B$3,"")))</f>
        <v/>
      </c>
      <c r="P258" s="140">
        <f>IF(P$226="","",IF($B258="","",IFERROR($C258*$D258*IF((Override!$C$4="ON")*(COUNTIFS(Override!$B$11:$B$40,$B258,Override!$D$11:$D$40,11,Override!$E$11:$E$40,"&gt;=0")-COUNTIFS(Override!$B$11:$B$40,$B258,Override!$D$11:$D$40,11,Override!$E$11:$E$40,"&gt;=0",Override!$C$11:$C$40,"AS51"))&gt;0,SUMIFS(Override!$E$11:$E$40,Override!$B$11:$B$40,$B258,Override!$D$11:$D$40,11)-SUMIFS(Override!$E$11:$E$40,Override!$B$11:$B$40,$B258,Override!$D$11:$D$40,11,Override!$C$11:$C$40,"AS51"),Override!$M$290)/MXAU!$B$3,"")))</f>
        <v/>
      </c>
      <c r="Q258" s="140">
        <f>IF(Q$226="","",IF($B258="","",IFERROR($C258*$D258*IF((Override!$C$4="ON")*(COUNTIFS(Override!$B$11:$B$40,$B258,Override!$D$11:$D$40,12,Override!$E$11:$E$40,"&gt;=0")-COUNTIFS(Override!$B$11:$B$40,$B258,Override!$D$11:$D$40,12,Override!$E$11:$E$40,"&gt;=0",Override!$C$11:$C$40,"AS51"))&gt;0,SUMIFS(Override!$E$11:$E$40,Override!$B$11:$B$40,$B258,Override!$D$11:$D$40,12)-SUMIFS(Override!$E$11:$E$40,Override!$B$11:$B$40,$B258,Override!$D$11:$D$40,12,Override!$C$11:$C$40,"AS51"),Override!$N$290)/MXAU!$B$3,"")))</f>
        <v/>
      </c>
      <c r="R258" s="140">
        <f>IF(R$226="","",IF($B258="","",IFERROR($C258*$D258*IF((Override!$C$4="ON")*(COUNTIFS(Override!$B$11:$B$40,$B258,Override!$D$11:$D$40,13,Override!$E$11:$E$40,"&gt;=0")-COUNTIFS(Override!$B$11:$B$40,$B258,Override!$D$11:$D$40,13,Override!$E$11:$E$40,"&gt;=0",Override!$C$11:$C$40,"AS51"))&gt;0,SUMIFS(Override!$E$11:$E$40,Override!$B$11:$B$40,$B258,Override!$D$11:$D$40,13)-SUMIFS(Override!$E$11:$E$40,Override!$B$11:$B$40,$B258,Override!$D$11:$D$40,13,Override!$C$11:$C$40,"AS51"),Override!$O$290)/MXAU!$B$3,"")))</f>
        <v/>
      </c>
      <c r="S258" s="140">
        <f>IF(S$226="","",IF($B258="","",IFERROR($C258*$D258*IF((Override!$C$4="ON")*(COUNTIFS(Override!$B$11:$B$40,$B258,Override!$D$11:$D$40,14,Override!$E$11:$E$40,"&gt;=0")-COUNTIFS(Override!$B$11:$B$40,$B258,Override!$D$11:$D$40,14,Override!$E$11:$E$40,"&gt;=0",Override!$C$11:$C$40,"AS51"))&gt;0,SUMIFS(Override!$E$11:$E$40,Override!$B$11:$B$40,$B258,Override!$D$11:$D$40,14)-SUMIFS(Override!$E$11:$E$40,Override!$B$11:$B$40,$B258,Override!$D$11:$D$40,14,Override!$C$11:$C$40,"AS51"),Override!$P$290)/MXAU!$B$3,"")))</f>
        <v/>
      </c>
      <c r="T258" s="140">
        <f>IF(T$226="","",IF($B258="","",IFERROR($C258*$D258*IF((Override!$C$4="ON")*(COUNTIFS(Override!$B$11:$B$40,$B258,Override!$D$11:$D$40,15,Override!$E$11:$E$40,"&gt;=0")-COUNTIFS(Override!$B$11:$B$40,$B258,Override!$D$11:$D$40,15,Override!$E$11:$E$40,"&gt;=0",Override!$C$11:$C$40,"AS51"))&gt;0,SUMIFS(Override!$E$11:$E$40,Override!$B$11:$B$40,$B258,Override!$D$11:$D$40,15)-SUMIFS(Override!$E$11:$E$40,Override!$B$11:$B$40,$B258,Override!$D$11:$D$40,15,Override!$C$11:$C$40,"AS51"),Override!$Q$290)/MXAU!$B$3,"")))</f>
        <v/>
      </c>
      <c r="U258" s="140">
        <f>IF(U$226="","",IF($B258="","",IFERROR($C258*$D258*IF((Override!$C$4="ON")*(COUNTIFS(Override!$B$11:$B$40,$B258,Override!$D$11:$D$40,16,Override!$E$11:$E$40,"&gt;=0")-COUNTIFS(Override!$B$11:$B$40,$B258,Override!$D$11:$D$40,16,Override!$E$11:$E$40,"&gt;=0",Override!$C$11:$C$40,"AS51"))&gt;0,SUMIFS(Override!$E$11:$E$40,Override!$B$11:$B$40,$B258,Override!$D$11:$D$40,16)-SUMIFS(Override!$E$11:$E$40,Override!$B$11:$B$40,$B258,Override!$D$11:$D$40,16,Override!$C$11:$C$40,"AS51"),Override!$R$290)/MXAU!$B$3,"")))</f>
        <v/>
      </c>
      <c r="W258" s="140">
        <f>IF(W$226="","",IF($B258="","",IFERROR(F258*$E258/100,"")))</f>
        <v/>
      </c>
      <c r="X258" s="140">
        <f>IF(X$226="","",IF($B258="","",IFERROR(G258*$E258/100,"")))</f>
        <v/>
      </c>
      <c r="Y258" s="140">
        <f>IF(Y$226="","",IF($B258="","",IFERROR(H258*$E258/100,"")))</f>
        <v/>
      </c>
      <c r="Z258" s="140">
        <f>IF(Z$226="","",IF($B258="","",IFERROR(I258*$E258/100,"")))</f>
        <v/>
      </c>
      <c r="AA258" s="140">
        <f>IF(AA$226="","",IF($B258="","",IFERROR(J258*$E258/100,"")))</f>
        <v/>
      </c>
      <c r="AB258" s="140">
        <f>IF(AB$226="","",IF($B258="","",IFERROR(K258*$E258/100,"")))</f>
        <v/>
      </c>
      <c r="AC258" s="140">
        <f>IF(AC$226="","",IF($B258="","",IFERROR(L258*$E258/100,"")))</f>
        <v/>
      </c>
      <c r="AD258" s="140">
        <f>IF(AD$226="","",IF($B258="","",IFERROR(M258*$E258/100,"")))</f>
        <v/>
      </c>
      <c r="AE258" s="140">
        <f>IF(AE$226="","",IF($B258="","",IFERROR(N258*$E258/100,"")))</f>
        <v/>
      </c>
      <c r="AF258" s="140">
        <f>IF(AF$226="","",IF($B258="","",IFERROR(O258*$E258/100,"")))</f>
        <v/>
      </c>
      <c r="AG258" s="140">
        <f>IF(AG$226="","",IF($B258="","",IFERROR(P258*$E258/100,"")))</f>
        <v/>
      </c>
      <c r="AH258" s="140">
        <f>IF(AH$226="","",IF($B258="","",IFERROR(Q258*$E258/100,"")))</f>
        <v/>
      </c>
      <c r="AI258" s="140">
        <f>IF(AI$226="","",IF($B258="","",IFERROR(R258*$E258/100,"")))</f>
        <v/>
      </c>
      <c r="AJ258" s="140">
        <f>IF(AJ$226="","",IF($B258="","",IFERROR(S258*$E258/100,"")))</f>
        <v/>
      </c>
      <c r="AK258" s="140">
        <f>IF(AK$226="","",IF($B258="","",IFERROR(T258*$E258/100,"")))</f>
        <v/>
      </c>
      <c r="AL258" s="140">
        <f>IF(AL$226="","",IF($B258="","",IFERROR(U258*$E258/100,"")))</f>
        <v/>
      </c>
      <c r="AN258" s="140">
        <f>IF($B258="","",SUMIF($F$226:$U$226,"&lt;="&amp;Sector!$E$51,$F258:$U258))</f>
        <v/>
      </c>
      <c r="AO258" s="140">
        <f>IF($B258="","",SUMIF($W$226:$AL$226,"&lt;="&amp;Sector!$E$51,$W258:$AL258))</f>
        <v/>
      </c>
    </row>
    <row r="259">
      <c r="B259" s="5">
        <f>IF(MXAU!$C$36="","",MXAU!$C$36)</f>
        <v/>
      </c>
      <c r="C259" s="90">
        <f>IF(MXAU!$B$36="","",MXAU!$B$36)</f>
        <v/>
      </c>
      <c r="D259" s="138">
        <f>IFERROR(MXAU!$Q$36,1)</f>
        <v/>
      </c>
      <c r="E259" s="139">
        <f>IF($B259="","",IF(ISNUMBER(MXAU!$I$36),MXAU!$I$36,'Index Summary'!$C$7))</f>
        <v/>
      </c>
      <c r="F259" s="140">
        <f>IF(F$226="","",IF($B259="","",IFERROR($C259*$D259*IF((Override!$C$4="ON")*(COUNTIFS(Override!$B$11:$B$40,$B259,Override!$D$11:$D$40,1,Override!$E$11:$E$40,"&gt;=0")-COUNTIFS(Override!$B$11:$B$40,$B259,Override!$D$11:$D$40,1,Override!$E$11:$E$40,"&gt;=0",Override!$C$11:$C$40,"AS51"))&gt;0,SUMIFS(Override!$E$11:$E$40,Override!$B$11:$B$40,$B259,Override!$D$11:$D$40,1)-SUMIFS(Override!$E$11:$E$40,Override!$B$11:$B$40,$B259,Override!$D$11:$D$40,1,Override!$C$11:$C$40,"AS51"),Override!$C$291)/MXAU!$B$3,"")))</f>
        <v/>
      </c>
      <c r="G259" s="140">
        <f>IF(G$226="","",IF($B259="","",IFERROR($C259*$D259*IF((Override!$C$4="ON")*(COUNTIFS(Override!$B$11:$B$40,$B259,Override!$D$11:$D$40,2,Override!$E$11:$E$40,"&gt;=0")-COUNTIFS(Override!$B$11:$B$40,$B259,Override!$D$11:$D$40,2,Override!$E$11:$E$40,"&gt;=0",Override!$C$11:$C$40,"AS51"))&gt;0,SUMIFS(Override!$E$11:$E$40,Override!$B$11:$B$40,$B259,Override!$D$11:$D$40,2)-SUMIFS(Override!$E$11:$E$40,Override!$B$11:$B$40,$B259,Override!$D$11:$D$40,2,Override!$C$11:$C$40,"AS51"),Override!$D$291)/MXAU!$B$3,"")))</f>
        <v/>
      </c>
      <c r="H259" s="140">
        <f>IF(H$226="","",IF($B259="","",IFERROR($C259*$D259*IF((Override!$C$4="ON")*(COUNTIFS(Override!$B$11:$B$40,$B259,Override!$D$11:$D$40,3,Override!$E$11:$E$40,"&gt;=0")-COUNTIFS(Override!$B$11:$B$40,$B259,Override!$D$11:$D$40,3,Override!$E$11:$E$40,"&gt;=0",Override!$C$11:$C$40,"AS51"))&gt;0,SUMIFS(Override!$E$11:$E$40,Override!$B$11:$B$40,$B259,Override!$D$11:$D$40,3)-SUMIFS(Override!$E$11:$E$40,Override!$B$11:$B$40,$B259,Override!$D$11:$D$40,3,Override!$C$11:$C$40,"AS51"),Override!$E$291)/MXAU!$B$3,"")))</f>
        <v/>
      </c>
      <c r="I259" s="140">
        <f>IF(I$226="","",IF($B259="","",IFERROR($C259*$D259*IF((Override!$C$4="ON")*(COUNTIFS(Override!$B$11:$B$40,$B259,Override!$D$11:$D$40,4,Override!$E$11:$E$40,"&gt;=0")-COUNTIFS(Override!$B$11:$B$40,$B259,Override!$D$11:$D$40,4,Override!$E$11:$E$40,"&gt;=0",Override!$C$11:$C$40,"AS51"))&gt;0,SUMIFS(Override!$E$11:$E$40,Override!$B$11:$B$40,$B259,Override!$D$11:$D$40,4)-SUMIFS(Override!$E$11:$E$40,Override!$B$11:$B$40,$B259,Override!$D$11:$D$40,4,Override!$C$11:$C$40,"AS51"),Override!$F$291)/MXAU!$B$3,"")))</f>
        <v/>
      </c>
      <c r="J259" s="140">
        <f>IF(J$226="","",IF($B259="","",IFERROR($C259*$D259*IF((Override!$C$4="ON")*(COUNTIFS(Override!$B$11:$B$40,$B259,Override!$D$11:$D$40,5,Override!$E$11:$E$40,"&gt;=0")-COUNTIFS(Override!$B$11:$B$40,$B259,Override!$D$11:$D$40,5,Override!$E$11:$E$40,"&gt;=0",Override!$C$11:$C$40,"AS51"))&gt;0,SUMIFS(Override!$E$11:$E$40,Override!$B$11:$B$40,$B259,Override!$D$11:$D$40,5)-SUMIFS(Override!$E$11:$E$40,Override!$B$11:$B$40,$B259,Override!$D$11:$D$40,5,Override!$C$11:$C$40,"AS51"),Override!$G$291)/MXAU!$B$3,"")))</f>
        <v/>
      </c>
      <c r="K259" s="140">
        <f>IF(K$226="","",IF($B259="","",IFERROR($C259*$D259*IF((Override!$C$4="ON")*(COUNTIFS(Override!$B$11:$B$40,$B259,Override!$D$11:$D$40,6,Override!$E$11:$E$40,"&gt;=0")-COUNTIFS(Override!$B$11:$B$40,$B259,Override!$D$11:$D$40,6,Override!$E$11:$E$40,"&gt;=0",Override!$C$11:$C$40,"AS51"))&gt;0,SUMIFS(Override!$E$11:$E$40,Override!$B$11:$B$40,$B259,Override!$D$11:$D$40,6)-SUMIFS(Override!$E$11:$E$40,Override!$B$11:$B$40,$B259,Override!$D$11:$D$40,6,Override!$C$11:$C$40,"AS51"),Override!$H$291)/MXAU!$B$3,"")))</f>
        <v/>
      </c>
      <c r="L259" s="140">
        <f>IF(L$226="","",IF($B259="","",IFERROR($C259*$D259*IF((Override!$C$4="ON")*(COUNTIFS(Override!$B$11:$B$40,$B259,Override!$D$11:$D$40,7,Override!$E$11:$E$40,"&gt;=0")-COUNTIFS(Override!$B$11:$B$40,$B259,Override!$D$11:$D$40,7,Override!$E$11:$E$40,"&gt;=0",Override!$C$11:$C$40,"AS51"))&gt;0,SUMIFS(Override!$E$11:$E$40,Override!$B$11:$B$40,$B259,Override!$D$11:$D$40,7)-SUMIFS(Override!$E$11:$E$40,Override!$B$11:$B$40,$B259,Override!$D$11:$D$40,7,Override!$C$11:$C$40,"AS51"),Override!$I$291)/MXAU!$B$3,"")))</f>
        <v/>
      </c>
      <c r="M259" s="140">
        <f>IF(M$226="","",IF($B259="","",IFERROR($C259*$D259*IF((Override!$C$4="ON")*(COUNTIFS(Override!$B$11:$B$40,$B259,Override!$D$11:$D$40,8,Override!$E$11:$E$40,"&gt;=0")-COUNTIFS(Override!$B$11:$B$40,$B259,Override!$D$11:$D$40,8,Override!$E$11:$E$40,"&gt;=0",Override!$C$11:$C$40,"AS51"))&gt;0,SUMIFS(Override!$E$11:$E$40,Override!$B$11:$B$40,$B259,Override!$D$11:$D$40,8)-SUMIFS(Override!$E$11:$E$40,Override!$B$11:$B$40,$B259,Override!$D$11:$D$40,8,Override!$C$11:$C$40,"AS51"),Override!$J$291)/MXAU!$B$3,"")))</f>
        <v/>
      </c>
      <c r="N259" s="140">
        <f>IF(N$226="","",IF($B259="","",IFERROR($C259*$D259*IF((Override!$C$4="ON")*(COUNTIFS(Override!$B$11:$B$40,$B259,Override!$D$11:$D$40,9,Override!$E$11:$E$40,"&gt;=0")-COUNTIFS(Override!$B$11:$B$40,$B259,Override!$D$11:$D$40,9,Override!$E$11:$E$40,"&gt;=0",Override!$C$11:$C$40,"AS51"))&gt;0,SUMIFS(Override!$E$11:$E$40,Override!$B$11:$B$40,$B259,Override!$D$11:$D$40,9)-SUMIFS(Override!$E$11:$E$40,Override!$B$11:$B$40,$B259,Override!$D$11:$D$40,9,Override!$C$11:$C$40,"AS51"),Override!$K$291)/MXAU!$B$3,"")))</f>
        <v/>
      </c>
      <c r="O259" s="140">
        <f>IF(O$226="","",IF($B259="","",IFERROR($C259*$D259*IF((Override!$C$4="ON")*(COUNTIFS(Override!$B$11:$B$40,$B259,Override!$D$11:$D$40,10,Override!$E$11:$E$40,"&gt;=0")-COUNTIFS(Override!$B$11:$B$40,$B259,Override!$D$11:$D$40,10,Override!$E$11:$E$40,"&gt;=0",Override!$C$11:$C$40,"AS51"))&gt;0,SUMIFS(Override!$E$11:$E$40,Override!$B$11:$B$40,$B259,Override!$D$11:$D$40,10)-SUMIFS(Override!$E$11:$E$40,Override!$B$11:$B$40,$B259,Override!$D$11:$D$40,10,Override!$C$11:$C$40,"AS51"),Override!$L$291)/MXAU!$B$3,"")))</f>
        <v/>
      </c>
      <c r="P259" s="140">
        <f>IF(P$226="","",IF($B259="","",IFERROR($C259*$D259*IF((Override!$C$4="ON")*(COUNTIFS(Override!$B$11:$B$40,$B259,Override!$D$11:$D$40,11,Override!$E$11:$E$40,"&gt;=0")-COUNTIFS(Override!$B$11:$B$40,$B259,Override!$D$11:$D$40,11,Override!$E$11:$E$40,"&gt;=0",Override!$C$11:$C$40,"AS51"))&gt;0,SUMIFS(Override!$E$11:$E$40,Override!$B$11:$B$40,$B259,Override!$D$11:$D$40,11)-SUMIFS(Override!$E$11:$E$40,Override!$B$11:$B$40,$B259,Override!$D$11:$D$40,11,Override!$C$11:$C$40,"AS51"),Override!$M$291)/MXAU!$B$3,"")))</f>
        <v/>
      </c>
      <c r="Q259" s="140">
        <f>IF(Q$226="","",IF($B259="","",IFERROR($C259*$D259*IF((Override!$C$4="ON")*(COUNTIFS(Override!$B$11:$B$40,$B259,Override!$D$11:$D$40,12,Override!$E$11:$E$40,"&gt;=0")-COUNTIFS(Override!$B$11:$B$40,$B259,Override!$D$11:$D$40,12,Override!$E$11:$E$40,"&gt;=0",Override!$C$11:$C$40,"AS51"))&gt;0,SUMIFS(Override!$E$11:$E$40,Override!$B$11:$B$40,$B259,Override!$D$11:$D$40,12)-SUMIFS(Override!$E$11:$E$40,Override!$B$11:$B$40,$B259,Override!$D$11:$D$40,12,Override!$C$11:$C$40,"AS51"),Override!$N$291)/MXAU!$B$3,"")))</f>
        <v/>
      </c>
      <c r="R259" s="140">
        <f>IF(R$226="","",IF($B259="","",IFERROR($C259*$D259*IF((Override!$C$4="ON")*(COUNTIFS(Override!$B$11:$B$40,$B259,Override!$D$11:$D$40,13,Override!$E$11:$E$40,"&gt;=0")-COUNTIFS(Override!$B$11:$B$40,$B259,Override!$D$11:$D$40,13,Override!$E$11:$E$40,"&gt;=0",Override!$C$11:$C$40,"AS51"))&gt;0,SUMIFS(Override!$E$11:$E$40,Override!$B$11:$B$40,$B259,Override!$D$11:$D$40,13)-SUMIFS(Override!$E$11:$E$40,Override!$B$11:$B$40,$B259,Override!$D$11:$D$40,13,Override!$C$11:$C$40,"AS51"),Override!$O$291)/MXAU!$B$3,"")))</f>
        <v/>
      </c>
      <c r="S259" s="140">
        <f>IF(S$226="","",IF($B259="","",IFERROR($C259*$D259*IF((Override!$C$4="ON")*(COUNTIFS(Override!$B$11:$B$40,$B259,Override!$D$11:$D$40,14,Override!$E$11:$E$40,"&gt;=0")-COUNTIFS(Override!$B$11:$B$40,$B259,Override!$D$11:$D$40,14,Override!$E$11:$E$40,"&gt;=0",Override!$C$11:$C$40,"AS51"))&gt;0,SUMIFS(Override!$E$11:$E$40,Override!$B$11:$B$40,$B259,Override!$D$11:$D$40,14)-SUMIFS(Override!$E$11:$E$40,Override!$B$11:$B$40,$B259,Override!$D$11:$D$40,14,Override!$C$11:$C$40,"AS51"),Override!$P$291)/MXAU!$B$3,"")))</f>
        <v/>
      </c>
      <c r="T259" s="140">
        <f>IF(T$226="","",IF($B259="","",IFERROR($C259*$D259*IF((Override!$C$4="ON")*(COUNTIFS(Override!$B$11:$B$40,$B259,Override!$D$11:$D$40,15,Override!$E$11:$E$40,"&gt;=0")-COUNTIFS(Override!$B$11:$B$40,$B259,Override!$D$11:$D$40,15,Override!$E$11:$E$40,"&gt;=0",Override!$C$11:$C$40,"AS51"))&gt;0,SUMIFS(Override!$E$11:$E$40,Override!$B$11:$B$40,$B259,Override!$D$11:$D$40,15)-SUMIFS(Override!$E$11:$E$40,Override!$B$11:$B$40,$B259,Override!$D$11:$D$40,15,Override!$C$11:$C$40,"AS51"),Override!$Q$291)/MXAU!$B$3,"")))</f>
        <v/>
      </c>
      <c r="U259" s="140">
        <f>IF(U$226="","",IF($B259="","",IFERROR($C259*$D259*IF((Override!$C$4="ON")*(COUNTIFS(Override!$B$11:$B$40,$B259,Override!$D$11:$D$40,16,Override!$E$11:$E$40,"&gt;=0")-COUNTIFS(Override!$B$11:$B$40,$B259,Override!$D$11:$D$40,16,Override!$E$11:$E$40,"&gt;=0",Override!$C$11:$C$40,"AS51"))&gt;0,SUMIFS(Override!$E$11:$E$40,Override!$B$11:$B$40,$B259,Override!$D$11:$D$40,16)-SUMIFS(Override!$E$11:$E$40,Override!$B$11:$B$40,$B259,Override!$D$11:$D$40,16,Override!$C$11:$C$40,"AS51"),Override!$R$291)/MXAU!$B$3,"")))</f>
        <v/>
      </c>
      <c r="W259" s="140">
        <f>IF(W$226="","",IF($B259="","",IFERROR(F259*$E259/100,"")))</f>
        <v/>
      </c>
      <c r="X259" s="140">
        <f>IF(X$226="","",IF($B259="","",IFERROR(G259*$E259/100,"")))</f>
        <v/>
      </c>
      <c r="Y259" s="140">
        <f>IF(Y$226="","",IF($B259="","",IFERROR(H259*$E259/100,"")))</f>
        <v/>
      </c>
      <c r="Z259" s="140">
        <f>IF(Z$226="","",IF($B259="","",IFERROR(I259*$E259/100,"")))</f>
        <v/>
      </c>
      <c r="AA259" s="140">
        <f>IF(AA$226="","",IF($B259="","",IFERROR(J259*$E259/100,"")))</f>
        <v/>
      </c>
      <c r="AB259" s="140">
        <f>IF(AB$226="","",IF($B259="","",IFERROR(K259*$E259/100,"")))</f>
        <v/>
      </c>
      <c r="AC259" s="140">
        <f>IF(AC$226="","",IF($B259="","",IFERROR(L259*$E259/100,"")))</f>
        <v/>
      </c>
      <c r="AD259" s="140">
        <f>IF(AD$226="","",IF($B259="","",IFERROR(M259*$E259/100,"")))</f>
        <v/>
      </c>
      <c r="AE259" s="140">
        <f>IF(AE$226="","",IF($B259="","",IFERROR(N259*$E259/100,"")))</f>
        <v/>
      </c>
      <c r="AF259" s="140">
        <f>IF(AF$226="","",IF($B259="","",IFERROR(O259*$E259/100,"")))</f>
        <v/>
      </c>
      <c r="AG259" s="140">
        <f>IF(AG$226="","",IF($B259="","",IFERROR(P259*$E259/100,"")))</f>
        <v/>
      </c>
      <c r="AH259" s="140">
        <f>IF(AH$226="","",IF($B259="","",IFERROR(Q259*$E259/100,"")))</f>
        <v/>
      </c>
      <c r="AI259" s="140">
        <f>IF(AI$226="","",IF($B259="","",IFERROR(R259*$E259/100,"")))</f>
        <v/>
      </c>
      <c r="AJ259" s="140">
        <f>IF(AJ$226="","",IF($B259="","",IFERROR(S259*$E259/100,"")))</f>
        <v/>
      </c>
      <c r="AK259" s="140">
        <f>IF(AK$226="","",IF($B259="","",IFERROR(T259*$E259/100,"")))</f>
        <v/>
      </c>
      <c r="AL259" s="140">
        <f>IF(AL$226="","",IF($B259="","",IFERROR(U259*$E259/100,"")))</f>
        <v/>
      </c>
      <c r="AN259" s="140">
        <f>IF($B259="","",SUMIF($F$226:$U$226,"&lt;="&amp;Sector!$E$51,$F259:$U259))</f>
        <v/>
      </c>
      <c r="AO259" s="140">
        <f>IF($B259="","",SUMIF($W$226:$AL$226,"&lt;="&amp;Sector!$E$51,$W259:$AL259))</f>
        <v/>
      </c>
    </row>
    <row r="260">
      <c r="B260" s="5">
        <f>IF(MXAU!$C$37="","",MXAU!$C$37)</f>
        <v/>
      </c>
      <c r="C260" s="90">
        <f>IF(MXAU!$B$37="","",MXAU!$B$37)</f>
        <v/>
      </c>
      <c r="D260" s="138">
        <f>IFERROR(MXAU!$Q$37,1)</f>
        <v/>
      </c>
      <c r="E260" s="139">
        <f>IF($B260="","",IF(ISNUMBER(MXAU!$I$37),MXAU!$I$37,'Index Summary'!$C$7))</f>
        <v/>
      </c>
      <c r="F260" s="140">
        <f>IF(F$226="","",IF($B260="","",IFERROR($C260*$D260*IF((Override!$C$4="ON")*(COUNTIFS(Override!$B$11:$B$40,$B260,Override!$D$11:$D$40,1,Override!$E$11:$E$40,"&gt;=0")-COUNTIFS(Override!$B$11:$B$40,$B260,Override!$D$11:$D$40,1,Override!$E$11:$E$40,"&gt;=0",Override!$C$11:$C$40,"AS51"))&gt;0,SUMIFS(Override!$E$11:$E$40,Override!$B$11:$B$40,$B260,Override!$D$11:$D$40,1)-SUMIFS(Override!$E$11:$E$40,Override!$B$11:$B$40,$B260,Override!$D$11:$D$40,1,Override!$C$11:$C$40,"AS51"),Override!$C$292)/MXAU!$B$3,"")))</f>
        <v/>
      </c>
      <c r="G260" s="140">
        <f>IF(G$226="","",IF($B260="","",IFERROR($C260*$D260*IF((Override!$C$4="ON")*(COUNTIFS(Override!$B$11:$B$40,$B260,Override!$D$11:$D$40,2,Override!$E$11:$E$40,"&gt;=0")-COUNTIFS(Override!$B$11:$B$40,$B260,Override!$D$11:$D$40,2,Override!$E$11:$E$40,"&gt;=0",Override!$C$11:$C$40,"AS51"))&gt;0,SUMIFS(Override!$E$11:$E$40,Override!$B$11:$B$40,$B260,Override!$D$11:$D$40,2)-SUMIFS(Override!$E$11:$E$40,Override!$B$11:$B$40,$B260,Override!$D$11:$D$40,2,Override!$C$11:$C$40,"AS51"),Override!$D$292)/MXAU!$B$3,"")))</f>
        <v/>
      </c>
      <c r="H260" s="140">
        <f>IF(H$226="","",IF($B260="","",IFERROR($C260*$D260*IF((Override!$C$4="ON")*(COUNTIFS(Override!$B$11:$B$40,$B260,Override!$D$11:$D$40,3,Override!$E$11:$E$40,"&gt;=0")-COUNTIFS(Override!$B$11:$B$40,$B260,Override!$D$11:$D$40,3,Override!$E$11:$E$40,"&gt;=0",Override!$C$11:$C$40,"AS51"))&gt;0,SUMIFS(Override!$E$11:$E$40,Override!$B$11:$B$40,$B260,Override!$D$11:$D$40,3)-SUMIFS(Override!$E$11:$E$40,Override!$B$11:$B$40,$B260,Override!$D$11:$D$40,3,Override!$C$11:$C$40,"AS51"),Override!$E$292)/MXAU!$B$3,"")))</f>
        <v/>
      </c>
      <c r="I260" s="140">
        <f>IF(I$226="","",IF($B260="","",IFERROR($C260*$D260*IF((Override!$C$4="ON")*(COUNTIFS(Override!$B$11:$B$40,$B260,Override!$D$11:$D$40,4,Override!$E$11:$E$40,"&gt;=0")-COUNTIFS(Override!$B$11:$B$40,$B260,Override!$D$11:$D$40,4,Override!$E$11:$E$40,"&gt;=0",Override!$C$11:$C$40,"AS51"))&gt;0,SUMIFS(Override!$E$11:$E$40,Override!$B$11:$B$40,$B260,Override!$D$11:$D$40,4)-SUMIFS(Override!$E$11:$E$40,Override!$B$11:$B$40,$B260,Override!$D$11:$D$40,4,Override!$C$11:$C$40,"AS51"),Override!$F$292)/MXAU!$B$3,"")))</f>
        <v/>
      </c>
      <c r="J260" s="140">
        <f>IF(J$226="","",IF($B260="","",IFERROR($C260*$D260*IF((Override!$C$4="ON")*(COUNTIFS(Override!$B$11:$B$40,$B260,Override!$D$11:$D$40,5,Override!$E$11:$E$40,"&gt;=0")-COUNTIFS(Override!$B$11:$B$40,$B260,Override!$D$11:$D$40,5,Override!$E$11:$E$40,"&gt;=0",Override!$C$11:$C$40,"AS51"))&gt;0,SUMIFS(Override!$E$11:$E$40,Override!$B$11:$B$40,$B260,Override!$D$11:$D$40,5)-SUMIFS(Override!$E$11:$E$40,Override!$B$11:$B$40,$B260,Override!$D$11:$D$40,5,Override!$C$11:$C$40,"AS51"),Override!$G$292)/MXAU!$B$3,"")))</f>
        <v/>
      </c>
      <c r="K260" s="140">
        <f>IF(K$226="","",IF($B260="","",IFERROR($C260*$D260*IF((Override!$C$4="ON")*(COUNTIFS(Override!$B$11:$B$40,$B260,Override!$D$11:$D$40,6,Override!$E$11:$E$40,"&gt;=0")-COUNTIFS(Override!$B$11:$B$40,$B260,Override!$D$11:$D$40,6,Override!$E$11:$E$40,"&gt;=0",Override!$C$11:$C$40,"AS51"))&gt;0,SUMIFS(Override!$E$11:$E$40,Override!$B$11:$B$40,$B260,Override!$D$11:$D$40,6)-SUMIFS(Override!$E$11:$E$40,Override!$B$11:$B$40,$B260,Override!$D$11:$D$40,6,Override!$C$11:$C$40,"AS51"),Override!$H$292)/MXAU!$B$3,"")))</f>
        <v/>
      </c>
      <c r="L260" s="140">
        <f>IF(L$226="","",IF($B260="","",IFERROR($C260*$D260*IF((Override!$C$4="ON")*(COUNTIFS(Override!$B$11:$B$40,$B260,Override!$D$11:$D$40,7,Override!$E$11:$E$40,"&gt;=0")-COUNTIFS(Override!$B$11:$B$40,$B260,Override!$D$11:$D$40,7,Override!$E$11:$E$40,"&gt;=0",Override!$C$11:$C$40,"AS51"))&gt;0,SUMIFS(Override!$E$11:$E$40,Override!$B$11:$B$40,$B260,Override!$D$11:$D$40,7)-SUMIFS(Override!$E$11:$E$40,Override!$B$11:$B$40,$B260,Override!$D$11:$D$40,7,Override!$C$11:$C$40,"AS51"),Override!$I$292)/MXAU!$B$3,"")))</f>
        <v/>
      </c>
      <c r="M260" s="140">
        <f>IF(M$226="","",IF($B260="","",IFERROR($C260*$D260*IF((Override!$C$4="ON")*(COUNTIFS(Override!$B$11:$B$40,$B260,Override!$D$11:$D$40,8,Override!$E$11:$E$40,"&gt;=0")-COUNTIFS(Override!$B$11:$B$40,$B260,Override!$D$11:$D$40,8,Override!$E$11:$E$40,"&gt;=0",Override!$C$11:$C$40,"AS51"))&gt;0,SUMIFS(Override!$E$11:$E$40,Override!$B$11:$B$40,$B260,Override!$D$11:$D$40,8)-SUMIFS(Override!$E$11:$E$40,Override!$B$11:$B$40,$B260,Override!$D$11:$D$40,8,Override!$C$11:$C$40,"AS51"),Override!$J$292)/MXAU!$B$3,"")))</f>
        <v/>
      </c>
      <c r="N260" s="140">
        <f>IF(N$226="","",IF($B260="","",IFERROR($C260*$D260*IF((Override!$C$4="ON")*(COUNTIFS(Override!$B$11:$B$40,$B260,Override!$D$11:$D$40,9,Override!$E$11:$E$40,"&gt;=0")-COUNTIFS(Override!$B$11:$B$40,$B260,Override!$D$11:$D$40,9,Override!$E$11:$E$40,"&gt;=0",Override!$C$11:$C$40,"AS51"))&gt;0,SUMIFS(Override!$E$11:$E$40,Override!$B$11:$B$40,$B260,Override!$D$11:$D$40,9)-SUMIFS(Override!$E$11:$E$40,Override!$B$11:$B$40,$B260,Override!$D$11:$D$40,9,Override!$C$11:$C$40,"AS51"),Override!$K$292)/MXAU!$B$3,"")))</f>
        <v/>
      </c>
      <c r="O260" s="140">
        <f>IF(O$226="","",IF($B260="","",IFERROR($C260*$D260*IF((Override!$C$4="ON")*(COUNTIFS(Override!$B$11:$B$40,$B260,Override!$D$11:$D$40,10,Override!$E$11:$E$40,"&gt;=0")-COUNTIFS(Override!$B$11:$B$40,$B260,Override!$D$11:$D$40,10,Override!$E$11:$E$40,"&gt;=0",Override!$C$11:$C$40,"AS51"))&gt;0,SUMIFS(Override!$E$11:$E$40,Override!$B$11:$B$40,$B260,Override!$D$11:$D$40,10)-SUMIFS(Override!$E$11:$E$40,Override!$B$11:$B$40,$B260,Override!$D$11:$D$40,10,Override!$C$11:$C$40,"AS51"),Override!$L$292)/MXAU!$B$3,"")))</f>
        <v/>
      </c>
      <c r="P260" s="140">
        <f>IF(P$226="","",IF($B260="","",IFERROR($C260*$D260*IF((Override!$C$4="ON")*(COUNTIFS(Override!$B$11:$B$40,$B260,Override!$D$11:$D$40,11,Override!$E$11:$E$40,"&gt;=0")-COUNTIFS(Override!$B$11:$B$40,$B260,Override!$D$11:$D$40,11,Override!$E$11:$E$40,"&gt;=0",Override!$C$11:$C$40,"AS51"))&gt;0,SUMIFS(Override!$E$11:$E$40,Override!$B$11:$B$40,$B260,Override!$D$11:$D$40,11)-SUMIFS(Override!$E$11:$E$40,Override!$B$11:$B$40,$B260,Override!$D$11:$D$40,11,Override!$C$11:$C$40,"AS51"),Override!$M$292)/MXAU!$B$3,"")))</f>
        <v/>
      </c>
      <c r="Q260" s="140">
        <f>IF(Q$226="","",IF($B260="","",IFERROR($C260*$D260*IF((Override!$C$4="ON")*(COUNTIFS(Override!$B$11:$B$40,$B260,Override!$D$11:$D$40,12,Override!$E$11:$E$40,"&gt;=0")-COUNTIFS(Override!$B$11:$B$40,$B260,Override!$D$11:$D$40,12,Override!$E$11:$E$40,"&gt;=0",Override!$C$11:$C$40,"AS51"))&gt;0,SUMIFS(Override!$E$11:$E$40,Override!$B$11:$B$40,$B260,Override!$D$11:$D$40,12)-SUMIFS(Override!$E$11:$E$40,Override!$B$11:$B$40,$B260,Override!$D$11:$D$40,12,Override!$C$11:$C$40,"AS51"),Override!$N$292)/MXAU!$B$3,"")))</f>
        <v/>
      </c>
      <c r="R260" s="140">
        <f>IF(R$226="","",IF($B260="","",IFERROR($C260*$D260*IF((Override!$C$4="ON")*(COUNTIFS(Override!$B$11:$B$40,$B260,Override!$D$11:$D$40,13,Override!$E$11:$E$40,"&gt;=0")-COUNTIFS(Override!$B$11:$B$40,$B260,Override!$D$11:$D$40,13,Override!$E$11:$E$40,"&gt;=0",Override!$C$11:$C$40,"AS51"))&gt;0,SUMIFS(Override!$E$11:$E$40,Override!$B$11:$B$40,$B260,Override!$D$11:$D$40,13)-SUMIFS(Override!$E$11:$E$40,Override!$B$11:$B$40,$B260,Override!$D$11:$D$40,13,Override!$C$11:$C$40,"AS51"),Override!$O$292)/MXAU!$B$3,"")))</f>
        <v/>
      </c>
      <c r="S260" s="140">
        <f>IF(S$226="","",IF($B260="","",IFERROR($C260*$D260*IF((Override!$C$4="ON")*(COUNTIFS(Override!$B$11:$B$40,$B260,Override!$D$11:$D$40,14,Override!$E$11:$E$40,"&gt;=0")-COUNTIFS(Override!$B$11:$B$40,$B260,Override!$D$11:$D$40,14,Override!$E$11:$E$40,"&gt;=0",Override!$C$11:$C$40,"AS51"))&gt;0,SUMIFS(Override!$E$11:$E$40,Override!$B$11:$B$40,$B260,Override!$D$11:$D$40,14)-SUMIFS(Override!$E$11:$E$40,Override!$B$11:$B$40,$B260,Override!$D$11:$D$40,14,Override!$C$11:$C$40,"AS51"),Override!$P$292)/MXAU!$B$3,"")))</f>
        <v/>
      </c>
      <c r="T260" s="140">
        <f>IF(T$226="","",IF($B260="","",IFERROR($C260*$D260*IF((Override!$C$4="ON")*(COUNTIFS(Override!$B$11:$B$40,$B260,Override!$D$11:$D$40,15,Override!$E$11:$E$40,"&gt;=0")-COUNTIFS(Override!$B$11:$B$40,$B260,Override!$D$11:$D$40,15,Override!$E$11:$E$40,"&gt;=0",Override!$C$11:$C$40,"AS51"))&gt;0,SUMIFS(Override!$E$11:$E$40,Override!$B$11:$B$40,$B260,Override!$D$11:$D$40,15)-SUMIFS(Override!$E$11:$E$40,Override!$B$11:$B$40,$B260,Override!$D$11:$D$40,15,Override!$C$11:$C$40,"AS51"),Override!$Q$292)/MXAU!$B$3,"")))</f>
        <v/>
      </c>
      <c r="U260" s="140">
        <f>IF(U$226="","",IF($B260="","",IFERROR($C260*$D260*IF((Override!$C$4="ON")*(COUNTIFS(Override!$B$11:$B$40,$B260,Override!$D$11:$D$40,16,Override!$E$11:$E$40,"&gt;=0")-COUNTIFS(Override!$B$11:$B$40,$B260,Override!$D$11:$D$40,16,Override!$E$11:$E$40,"&gt;=0",Override!$C$11:$C$40,"AS51"))&gt;0,SUMIFS(Override!$E$11:$E$40,Override!$B$11:$B$40,$B260,Override!$D$11:$D$40,16)-SUMIFS(Override!$E$11:$E$40,Override!$B$11:$B$40,$B260,Override!$D$11:$D$40,16,Override!$C$11:$C$40,"AS51"),Override!$R$292)/MXAU!$B$3,"")))</f>
        <v/>
      </c>
      <c r="W260" s="140">
        <f>IF(W$226="","",IF($B260="","",IFERROR(F260*$E260/100,"")))</f>
        <v/>
      </c>
      <c r="X260" s="140">
        <f>IF(X$226="","",IF($B260="","",IFERROR(G260*$E260/100,"")))</f>
        <v/>
      </c>
      <c r="Y260" s="140">
        <f>IF(Y$226="","",IF($B260="","",IFERROR(H260*$E260/100,"")))</f>
        <v/>
      </c>
      <c r="Z260" s="140">
        <f>IF(Z$226="","",IF($B260="","",IFERROR(I260*$E260/100,"")))</f>
        <v/>
      </c>
      <c r="AA260" s="140">
        <f>IF(AA$226="","",IF($B260="","",IFERROR(J260*$E260/100,"")))</f>
        <v/>
      </c>
      <c r="AB260" s="140">
        <f>IF(AB$226="","",IF($B260="","",IFERROR(K260*$E260/100,"")))</f>
        <v/>
      </c>
      <c r="AC260" s="140">
        <f>IF(AC$226="","",IF($B260="","",IFERROR(L260*$E260/100,"")))</f>
        <v/>
      </c>
      <c r="AD260" s="140">
        <f>IF(AD$226="","",IF($B260="","",IFERROR(M260*$E260/100,"")))</f>
        <v/>
      </c>
      <c r="AE260" s="140">
        <f>IF(AE$226="","",IF($B260="","",IFERROR(N260*$E260/100,"")))</f>
        <v/>
      </c>
      <c r="AF260" s="140">
        <f>IF(AF$226="","",IF($B260="","",IFERROR(O260*$E260/100,"")))</f>
        <v/>
      </c>
      <c r="AG260" s="140">
        <f>IF(AG$226="","",IF($B260="","",IFERROR(P260*$E260/100,"")))</f>
        <v/>
      </c>
      <c r="AH260" s="140">
        <f>IF(AH$226="","",IF($B260="","",IFERROR(Q260*$E260/100,"")))</f>
        <v/>
      </c>
      <c r="AI260" s="140">
        <f>IF(AI$226="","",IF($B260="","",IFERROR(R260*$E260/100,"")))</f>
        <v/>
      </c>
      <c r="AJ260" s="140">
        <f>IF(AJ$226="","",IF($B260="","",IFERROR(S260*$E260/100,"")))</f>
        <v/>
      </c>
      <c r="AK260" s="140">
        <f>IF(AK$226="","",IF($B260="","",IFERROR(T260*$E260/100,"")))</f>
        <v/>
      </c>
      <c r="AL260" s="140">
        <f>IF(AL$226="","",IF($B260="","",IFERROR(U260*$E260/100,"")))</f>
        <v/>
      </c>
      <c r="AN260" s="140">
        <f>IF($B260="","",SUMIF($F$226:$U$226,"&lt;="&amp;Sector!$E$51,$F260:$U260))</f>
        <v/>
      </c>
      <c r="AO260" s="140">
        <f>IF($B260="","",SUMIF($W$226:$AL$226,"&lt;="&amp;Sector!$E$51,$W260:$AL260))</f>
        <v/>
      </c>
    </row>
    <row r="261">
      <c r="B261" s="5">
        <f>IF(MXAU!$C$38="","",MXAU!$C$38)</f>
        <v/>
      </c>
      <c r="C261" s="90">
        <f>IF(MXAU!$B$38="","",MXAU!$B$38)</f>
        <v/>
      </c>
      <c r="D261" s="138">
        <f>IFERROR(MXAU!$Q$38,1)</f>
        <v/>
      </c>
      <c r="E261" s="139">
        <f>IF($B261="","",IF(ISNUMBER(MXAU!$I$38),MXAU!$I$38,'Index Summary'!$C$7))</f>
        <v/>
      </c>
      <c r="F261" s="140">
        <f>IF(F$226="","",IF($B261="","",IFERROR($C261*$D261*IF((Override!$C$4="ON")*(COUNTIFS(Override!$B$11:$B$40,$B261,Override!$D$11:$D$40,1,Override!$E$11:$E$40,"&gt;=0")-COUNTIFS(Override!$B$11:$B$40,$B261,Override!$D$11:$D$40,1,Override!$E$11:$E$40,"&gt;=0",Override!$C$11:$C$40,"AS51"))&gt;0,SUMIFS(Override!$E$11:$E$40,Override!$B$11:$B$40,$B261,Override!$D$11:$D$40,1)-SUMIFS(Override!$E$11:$E$40,Override!$B$11:$B$40,$B261,Override!$D$11:$D$40,1,Override!$C$11:$C$40,"AS51"),Override!$C$293)/MXAU!$B$3,"")))</f>
        <v/>
      </c>
      <c r="G261" s="140">
        <f>IF(G$226="","",IF($B261="","",IFERROR($C261*$D261*IF((Override!$C$4="ON")*(COUNTIFS(Override!$B$11:$B$40,$B261,Override!$D$11:$D$40,2,Override!$E$11:$E$40,"&gt;=0")-COUNTIFS(Override!$B$11:$B$40,$B261,Override!$D$11:$D$40,2,Override!$E$11:$E$40,"&gt;=0",Override!$C$11:$C$40,"AS51"))&gt;0,SUMIFS(Override!$E$11:$E$40,Override!$B$11:$B$40,$B261,Override!$D$11:$D$40,2)-SUMIFS(Override!$E$11:$E$40,Override!$B$11:$B$40,$B261,Override!$D$11:$D$40,2,Override!$C$11:$C$40,"AS51"),Override!$D$293)/MXAU!$B$3,"")))</f>
        <v/>
      </c>
      <c r="H261" s="140">
        <f>IF(H$226="","",IF($B261="","",IFERROR($C261*$D261*IF((Override!$C$4="ON")*(COUNTIFS(Override!$B$11:$B$40,$B261,Override!$D$11:$D$40,3,Override!$E$11:$E$40,"&gt;=0")-COUNTIFS(Override!$B$11:$B$40,$B261,Override!$D$11:$D$40,3,Override!$E$11:$E$40,"&gt;=0",Override!$C$11:$C$40,"AS51"))&gt;0,SUMIFS(Override!$E$11:$E$40,Override!$B$11:$B$40,$B261,Override!$D$11:$D$40,3)-SUMIFS(Override!$E$11:$E$40,Override!$B$11:$B$40,$B261,Override!$D$11:$D$40,3,Override!$C$11:$C$40,"AS51"),Override!$E$293)/MXAU!$B$3,"")))</f>
        <v/>
      </c>
      <c r="I261" s="140">
        <f>IF(I$226="","",IF($B261="","",IFERROR($C261*$D261*IF((Override!$C$4="ON")*(COUNTIFS(Override!$B$11:$B$40,$B261,Override!$D$11:$D$40,4,Override!$E$11:$E$40,"&gt;=0")-COUNTIFS(Override!$B$11:$B$40,$B261,Override!$D$11:$D$40,4,Override!$E$11:$E$40,"&gt;=0",Override!$C$11:$C$40,"AS51"))&gt;0,SUMIFS(Override!$E$11:$E$40,Override!$B$11:$B$40,$B261,Override!$D$11:$D$40,4)-SUMIFS(Override!$E$11:$E$40,Override!$B$11:$B$40,$B261,Override!$D$11:$D$40,4,Override!$C$11:$C$40,"AS51"),Override!$F$293)/MXAU!$B$3,"")))</f>
        <v/>
      </c>
      <c r="J261" s="140">
        <f>IF(J$226="","",IF($B261="","",IFERROR($C261*$D261*IF((Override!$C$4="ON")*(COUNTIFS(Override!$B$11:$B$40,$B261,Override!$D$11:$D$40,5,Override!$E$11:$E$40,"&gt;=0")-COUNTIFS(Override!$B$11:$B$40,$B261,Override!$D$11:$D$40,5,Override!$E$11:$E$40,"&gt;=0",Override!$C$11:$C$40,"AS51"))&gt;0,SUMIFS(Override!$E$11:$E$40,Override!$B$11:$B$40,$B261,Override!$D$11:$D$40,5)-SUMIFS(Override!$E$11:$E$40,Override!$B$11:$B$40,$B261,Override!$D$11:$D$40,5,Override!$C$11:$C$40,"AS51"),Override!$G$293)/MXAU!$B$3,"")))</f>
        <v/>
      </c>
      <c r="K261" s="140">
        <f>IF(K$226="","",IF($B261="","",IFERROR($C261*$D261*IF((Override!$C$4="ON")*(COUNTIFS(Override!$B$11:$B$40,$B261,Override!$D$11:$D$40,6,Override!$E$11:$E$40,"&gt;=0")-COUNTIFS(Override!$B$11:$B$40,$B261,Override!$D$11:$D$40,6,Override!$E$11:$E$40,"&gt;=0",Override!$C$11:$C$40,"AS51"))&gt;0,SUMIFS(Override!$E$11:$E$40,Override!$B$11:$B$40,$B261,Override!$D$11:$D$40,6)-SUMIFS(Override!$E$11:$E$40,Override!$B$11:$B$40,$B261,Override!$D$11:$D$40,6,Override!$C$11:$C$40,"AS51"),Override!$H$293)/MXAU!$B$3,"")))</f>
        <v/>
      </c>
      <c r="L261" s="140">
        <f>IF(L$226="","",IF($B261="","",IFERROR($C261*$D261*IF((Override!$C$4="ON")*(COUNTIFS(Override!$B$11:$B$40,$B261,Override!$D$11:$D$40,7,Override!$E$11:$E$40,"&gt;=0")-COUNTIFS(Override!$B$11:$B$40,$B261,Override!$D$11:$D$40,7,Override!$E$11:$E$40,"&gt;=0",Override!$C$11:$C$40,"AS51"))&gt;0,SUMIFS(Override!$E$11:$E$40,Override!$B$11:$B$40,$B261,Override!$D$11:$D$40,7)-SUMIFS(Override!$E$11:$E$40,Override!$B$11:$B$40,$B261,Override!$D$11:$D$40,7,Override!$C$11:$C$40,"AS51"),Override!$I$293)/MXAU!$B$3,"")))</f>
        <v/>
      </c>
      <c r="M261" s="140">
        <f>IF(M$226="","",IF($B261="","",IFERROR($C261*$D261*IF((Override!$C$4="ON")*(COUNTIFS(Override!$B$11:$B$40,$B261,Override!$D$11:$D$40,8,Override!$E$11:$E$40,"&gt;=0")-COUNTIFS(Override!$B$11:$B$40,$B261,Override!$D$11:$D$40,8,Override!$E$11:$E$40,"&gt;=0",Override!$C$11:$C$40,"AS51"))&gt;0,SUMIFS(Override!$E$11:$E$40,Override!$B$11:$B$40,$B261,Override!$D$11:$D$40,8)-SUMIFS(Override!$E$11:$E$40,Override!$B$11:$B$40,$B261,Override!$D$11:$D$40,8,Override!$C$11:$C$40,"AS51"),Override!$J$293)/MXAU!$B$3,"")))</f>
        <v/>
      </c>
      <c r="N261" s="140">
        <f>IF(N$226="","",IF($B261="","",IFERROR($C261*$D261*IF((Override!$C$4="ON")*(COUNTIFS(Override!$B$11:$B$40,$B261,Override!$D$11:$D$40,9,Override!$E$11:$E$40,"&gt;=0")-COUNTIFS(Override!$B$11:$B$40,$B261,Override!$D$11:$D$40,9,Override!$E$11:$E$40,"&gt;=0",Override!$C$11:$C$40,"AS51"))&gt;0,SUMIFS(Override!$E$11:$E$40,Override!$B$11:$B$40,$B261,Override!$D$11:$D$40,9)-SUMIFS(Override!$E$11:$E$40,Override!$B$11:$B$40,$B261,Override!$D$11:$D$40,9,Override!$C$11:$C$40,"AS51"),Override!$K$293)/MXAU!$B$3,"")))</f>
        <v/>
      </c>
      <c r="O261" s="140">
        <f>IF(O$226="","",IF($B261="","",IFERROR($C261*$D261*IF((Override!$C$4="ON")*(COUNTIFS(Override!$B$11:$B$40,$B261,Override!$D$11:$D$40,10,Override!$E$11:$E$40,"&gt;=0")-COUNTIFS(Override!$B$11:$B$40,$B261,Override!$D$11:$D$40,10,Override!$E$11:$E$40,"&gt;=0",Override!$C$11:$C$40,"AS51"))&gt;0,SUMIFS(Override!$E$11:$E$40,Override!$B$11:$B$40,$B261,Override!$D$11:$D$40,10)-SUMIFS(Override!$E$11:$E$40,Override!$B$11:$B$40,$B261,Override!$D$11:$D$40,10,Override!$C$11:$C$40,"AS51"),Override!$L$293)/MXAU!$B$3,"")))</f>
        <v/>
      </c>
      <c r="P261" s="140">
        <f>IF(P$226="","",IF($B261="","",IFERROR($C261*$D261*IF((Override!$C$4="ON")*(COUNTIFS(Override!$B$11:$B$40,$B261,Override!$D$11:$D$40,11,Override!$E$11:$E$40,"&gt;=0")-COUNTIFS(Override!$B$11:$B$40,$B261,Override!$D$11:$D$40,11,Override!$E$11:$E$40,"&gt;=0",Override!$C$11:$C$40,"AS51"))&gt;0,SUMIFS(Override!$E$11:$E$40,Override!$B$11:$B$40,$B261,Override!$D$11:$D$40,11)-SUMIFS(Override!$E$11:$E$40,Override!$B$11:$B$40,$B261,Override!$D$11:$D$40,11,Override!$C$11:$C$40,"AS51"),Override!$M$293)/MXAU!$B$3,"")))</f>
        <v/>
      </c>
      <c r="Q261" s="140">
        <f>IF(Q$226="","",IF($B261="","",IFERROR($C261*$D261*IF((Override!$C$4="ON")*(COUNTIFS(Override!$B$11:$B$40,$B261,Override!$D$11:$D$40,12,Override!$E$11:$E$40,"&gt;=0")-COUNTIFS(Override!$B$11:$B$40,$B261,Override!$D$11:$D$40,12,Override!$E$11:$E$40,"&gt;=0",Override!$C$11:$C$40,"AS51"))&gt;0,SUMIFS(Override!$E$11:$E$40,Override!$B$11:$B$40,$B261,Override!$D$11:$D$40,12)-SUMIFS(Override!$E$11:$E$40,Override!$B$11:$B$40,$B261,Override!$D$11:$D$40,12,Override!$C$11:$C$40,"AS51"),Override!$N$293)/MXAU!$B$3,"")))</f>
        <v/>
      </c>
      <c r="R261" s="140">
        <f>IF(R$226="","",IF($B261="","",IFERROR($C261*$D261*IF((Override!$C$4="ON")*(COUNTIFS(Override!$B$11:$B$40,$B261,Override!$D$11:$D$40,13,Override!$E$11:$E$40,"&gt;=0")-COUNTIFS(Override!$B$11:$B$40,$B261,Override!$D$11:$D$40,13,Override!$E$11:$E$40,"&gt;=0",Override!$C$11:$C$40,"AS51"))&gt;0,SUMIFS(Override!$E$11:$E$40,Override!$B$11:$B$40,$B261,Override!$D$11:$D$40,13)-SUMIFS(Override!$E$11:$E$40,Override!$B$11:$B$40,$B261,Override!$D$11:$D$40,13,Override!$C$11:$C$40,"AS51"),Override!$O$293)/MXAU!$B$3,"")))</f>
        <v/>
      </c>
      <c r="S261" s="140">
        <f>IF(S$226="","",IF($B261="","",IFERROR($C261*$D261*IF((Override!$C$4="ON")*(COUNTIFS(Override!$B$11:$B$40,$B261,Override!$D$11:$D$40,14,Override!$E$11:$E$40,"&gt;=0")-COUNTIFS(Override!$B$11:$B$40,$B261,Override!$D$11:$D$40,14,Override!$E$11:$E$40,"&gt;=0",Override!$C$11:$C$40,"AS51"))&gt;0,SUMIFS(Override!$E$11:$E$40,Override!$B$11:$B$40,$B261,Override!$D$11:$D$40,14)-SUMIFS(Override!$E$11:$E$40,Override!$B$11:$B$40,$B261,Override!$D$11:$D$40,14,Override!$C$11:$C$40,"AS51"),Override!$P$293)/MXAU!$B$3,"")))</f>
        <v/>
      </c>
      <c r="T261" s="140">
        <f>IF(T$226="","",IF($B261="","",IFERROR($C261*$D261*IF((Override!$C$4="ON")*(COUNTIFS(Override!$B$11:$B$40,$B261,Override!$D$11:$D$40,15,Override!$E$11:$E$40,"&gt;=0")-COUNTIFS(Override!$B$11:$B$40,$B261,Override!$D$11:$D$40,15,Override!$E$11:$E$40,"&gt;=0",Override!$C$11:$C$40,"AS51"))&gt;0,SUMIFS(Override!$E$11:$E$40,Override!$B$11:$B$40,$B261,Override!$D$11:$D$40,15)-SUMIFS(Override!$E$11:$E$40,Override!$B$11:$B$40,$B261,Override!$D$11:$D$40,15,Override!$C$11:$C$40,"AS51"),Override!$Q$293)/MXAU!$B$3,"")))</f>
        <v/>
      </c>
      <c r="U261" s="140">
        <f>IF(U$226="","",IF($B261="","",IFERROR($C261*$D261*IF((Override!$C$4="ON")*(COUNTIFS(Override!$B$11:$B$40,$B261,Override!$D$11:$D$40,16,Override!$E$11:$E$40,"&gt;=0")-COUNTIFS(Override!$B$11:$B$40,$B261,Override!$D$11:$D$40,16,Override!$E$11:$E$40,"&gt;=0",Override!$C$11:$C$40,"AS51"))&gt;0,SUMIFS(Override!$E$11:$E$40,Override!$B$11:$B$40,$B261,Override!$D$11:$D$40,16)-SUMIFS(Override!$E$11:$E$40,Override!$B$11:$B$40,$B261,Override!$D$11:$D$40,16,Override!$C$11:$C$40,"AS51"),Override!$R$293)/MXAU!$B$3,"")))</f>
        <v/>
      </c>
      <c r="W261" s="140">
        <f>IF(W$226="","",IF($B261="","",IFERROR(F261*$E261/100,"")))</f>
        <v/>
      </c>
      <c r="X261" s="140">
        <f>IF(X$226="","",IF($B261="","",IFERROR(G261*$E261/100,"")))</f>
        <v/>
      </c>
      <c r="Y261" s="140">
        <f>IF(Y$226="","",IF($B261="","",IFERROR(H261*$E261/100,"")))</f>
        <v/>
      </c>
      <c r="Z261" s="140">
        <f>IF(Z$226="","",IF($B261="","",IFERROR(I261*$E261/100,"")))</f>
        <v/>
      </c>
      <c r="AA261" s="140">
        <f>IF(AA$226="","",IF($B261="","",IFERROR(J261*$E261/100,"")))</f>
        <v/>
      </c>
      <c r="AB261" s="140">
        <f>IF(AB$226="","",IF($B261="","",IFERROR(K261*$E261/100,"")))</f>
        <v/>
      </c>
      <c r="AC261" s="140">
        <f>IF(AC$226="","",IF($B261="","",IFERROR(L261*$E261/100,"")))</f>
        <v/>
      </c>
      <c r="AD261" s="140">
        <f>IF(AD$226="","",IF($B261="","",IFERROR(M261*$E261/100,"")))</f>
        <v/>
      </c>
      <c r="AE261" s="140">
        <f>IF(AE$226="","",IF($B261="","",IFERROR(N261*$E261/100,"")))</f>
        <v/>
      </c>
      <c r="AF261" s="140">
        <f>IF(AF$226="","",IF($B261="","",IFERROR(O261*$E261/100,"")))</f>
        <v/>
      </c>
      <c r="AG261" s="140">
        <f>IF(AG$226="","",IF($B261="","",IFERROR(P261*$E261/100,"")))</f>
        <v/>
      </c>
      <c r="AH261" s="140">
        <f>IF(AH$226="","",IF($B261="","",IFERROR(Q261*$E261/100,"")))</f>
        <v/>
      </c>
      <c r="AI261" s="140">
        <f>IF(AI$226="","",IF($B261="","",IFERROR(R261*$E261/100,"")))</f>
        <v/>
      </c>
      <c r="AJ261" s="140">
        <f>IF(AJ$226="","",IF($B261="","",IFERROR(S261*$E261/100,"")))</f>
        <v/>
      </c>
      <c r="AK261" s="140">
        <f>IF(AK$226="","",IF($B261="","",IFERROR(T261*$E261/100,"")))</f>
        <v/>
      </c>
      <c r="AL261" s="140">
        <f>IF(AL$226="","",IF($B261="","",IFERROR(U261*$E261/100,"")))</f>
        <v/>
      </c>
      <c r="AN261" s="140">
        <f>IF($B261="","",SUMIF($F$226:$U$226,"&lt;="&amp;Sector!$E$51,$F261:$U261))</f>
        <v/>
      </c>
      <c r="AO261" s="140">
        <f>IF($B261="","",SUMIF($W$226:$AL$226,"&lt;="&amp;Sector!$E$51,$W261:$AL261))</f>
        <v/>
      </c>
    </row>
    <row r="262">
      <c r="B262" s="5">
        <f>IF(MXAU!$C$39="","",MXAU!$C$39)</f>
        <v/>
      </c>
      <c r="C262" s="90">
        <f>IF(MXAU!$B$39="","",MXAU!$B$39)</f>
        <v/>
      </c>
      <c r="D262" s="138">
        <f>IFERROR(MXAU!$Q$39,1)</f>
        <v/>
      </c>
      <c r="E262" s="139">
        <f>IF($B262="","",IF(ISNUMBER(MXAU!$I$39),MXAU!$I$39,'Index Summary'!$C$7))</f>
        <v/>
      </c>
      <c r="F262" s="140">
        <f>IF(F$226="","",IF($B262="","",IFERROR($C262*$D262*IF((Override!$C$4="ON")*(COUNTIFS(Override!$B$11:$B$40,$B262,Override!$D$11:$D$40,1,Override!$E$11:$E$40,"&gt;=0")-COUNTIFS(Override!$B$11:$B$40,$B262,Override!$D$11:$D$40,1,Override!$E$11:$E$40,"&gt;=0",Override!$C$11:$C$40,"AS51"))&gt;0,SUMIFS(Override!$E$11:$E$40,Override!$B$11:$B$40,$B262,Override!$D$11:$D$40,1)-SUMIFS(Override!$E$11:$E$40,Override!$B$11:$B$40,$B262,Override!$D$11:$D$40,1,Override!$C$11:$C$40,"AS51"),Override!$C$294)/MXAU!$B$3,"")))</f>
        <v/>
      </c>
      <c r="G262" s="140">
        <f>IF(G$226="","",IF($B262="","",IFERROR($C262*$D262*IF((Override!$C$4="ON")*(COUNTIFS(Override!$B$11:$B$40,$B262,Override!$D$11:$D$40,2,Override!$E$11:$E$40,"&gt;=0")-COUNTIFS(Override!$B$11:$B$40,$B262,Override!$D$11:$D$40,2,Override!$E$11:$E$40,"&gt;=0",Override!$C$11:$C$40,"AS51"))&gt;0,SUMIFS(Override!$E$11:$E$40,Override!$B$11:$B$40,$B262,Override!$D$11:$D$40,2)-SUMIFS(Override!$E$11:$E$40,Override!$B$11:$B$40,$B262,Override!$D$11:$D$40,2,Override!$C$11:$C$40,"AS51"),Override!$D$294)/MXAU!$B$3,"")))</f>
        <v/>
      </c>
      <c r="H262" s="140">
        <f>IF(H$226="","",IF($B262="","",IFERROR($C262*$D262*IF((Override!$C$4="ON")*(COUNTIFS(Override!$B$11:$B$40,$B262,Override!$D$11:$D$40,3,Override!$E$11:$E$40,"&gt;=0")-COUNTIFS(Override!$B$11:$B$40,$B262,Override!$D$11:$D$40,3,Override!$E$11:$E$40,"&gt;=0",Override!$C$11:$C$40,"AS51"))&gt;0,SUMIFS(Override!$E$11:$E$40,Override!$B$11:$B$40,$B262,Override!$D$11:$D$40,3)-SUMIFS(Override!$E$11:$E$40,Override!$B$11:$B$40,$B262,Override!$D$11:$D$40,3,Override!$C$11:$C$40,"AS51"),Override!$E$294)/MXAU!$B$3,"")))</f>
        <v/>
      </c>
      <c r="I262" s="140">
        <f>IF(I$226="","",IF($B262="","",IFERROR($C262*$D262*IF((Override!$C$4="ON")*(COUNTIFS(Override!$B$11:$B$40,$B262,Override!$D$11:$D$40,4,Override!$E$11:$E$40,"&gt;=0")-COUNTIFS(Override!$B$11:$B$40,$B262,Override!$D$11:$D$40,4,Override!$E$11:$E$40,"&gt;=0",Override!$C$11:$C$40,"AS51"))&gt;0,SUMIFS(Override!$E$11:$E$40,Override!$B$11:$B$40,$B262,Override!$D$11:$D$40,4)-SUMIFS(Override!$E$11:$E$40,Override!$B$11:$B$40,$B262,Override!$D$11:$D$40,4,Override!$C$11:$C$40,"AS51"),Override!$F$294)/MXAU!$B$3,"")))</f>
        <v/>
      </c>
      <c r="J262" s="140">
        <f>IF(J$226="","",IF($B262="","",IFERROR($C262*$D262*IF((Override!$C$4="ON")*(COUNTIFS(Override!$B$11:$B$40,$B262,Override!$D$11:$D$40,5,Override!$E$11:$E$40,"&gt;=0")-COUNTIFS(Override!$B$11:$B$40,$B262,Override!$D$11:$D$40,5,Override!$E$11:$E$40,"&gt;=0",Override!$C$11:$C$40,"AS51"))&gt;0,SUMIFS(Override!$E$11:$E$40,Override!$B$11:$B$40,$B262,Override!$D$11:$D$40,5)-SUMIFS(Override!$E$11:$E$40,Override!$B$11:$B$40,$B262,Override!$D$11:$D$40,5,Override!$C$11:$C$40,"AS51"),Override!$G$294)/MXAU!$B$3,"")))</f>
        <v/>
      </c>
      <c r="K262" s="140">
        <f>IF(K$226="","",IF($B262="","",IFERROR($C262*$D262*IF((Override!$C$4="ON")*(COUNTIFS(Override!$B$11:$B$40,$B262,Override!$D$11:$D$40,6,Override!$E$11:$E$40,"&gt;=0")-COUNTIFS(Override!$B$11:$B$40,$B262,Override!$D$11:$D$40,6,Override!$E$11:$E$40,"&gt;=0",Override!$C$11:$C$40,"AS51"))&gt;0,SUMIFS(Override!$E$11:$E$40,Override!$B$11:$B$40,$B262,Override!$D$11:$D$40,6)-SUMIFS(Override!$E$11:$E$40,Override!$B$11:$B$40,$B262,Override!$D$11:$D$40,6,Override!$C$11:$C$40,"AS51"),Override!$H$294)/MXAU!$B$3,"")))</f>
        <v/>
      </c>
      <c r="L262" s="140">
        <f>IF(L$226="","",IF($B262="","",IFERROR($C262*$D262*IF((Override!$C$4="ON")*(COUNTIFS(Override!$B$11:$B$40,$B262,Override!$D$11:$D$40,7,Override!$E$11:$E$40,"&gt;=0")-COUNTIFS(Override!$B$11:$B$40,$B262,Override!$D$11:$D$40,7,Override!$E$11:$E$40,"&gt;=0",Override!$C$11:$C$40,"AS51"))&gt;0,SUMIFS(Override!$E$11:$E$40,Override!$B$11:$B$40,$B262,Override!$D$11:$D$40,7)-SUMIFS(Override!$E$11:$E$40,Override!$B$11:$B$40,$B262,Override!$D$11:$D$40,7,Override!$C$11:$C$40,"AS51"),Override!$I$294)/MXAU!$B$3,"")))</f>
        <v/>
      </c>
      <c r="M262" s="140">
        <f>IF(M$226="","",IF($B262="","",IFERROR($C262*$D262*IF((Override!$C$4="ON")*(COUNTIFS(Override!$B$11:$B$40,$B262,Override!$D$11:$D$40,8,Override!$E$11:$E$40,"&gt;=0")-COUNTIFS(Override!$B$11:$B$40,$B262,Override!$D$11:$D$40,8,Override!$E$11:$E$40,"&gt;=0",Override!$C$11:$C$40,"AS51"))&gt;0,SUMIFS(Override!$E$11:$E$40,Override!$B$11:$B$40,$B262,Override!$D$11:$D$40,8)-SUMIFS(Override!$E$11:$E$40,Override!$B$11:$B$40,$B262,Override!$D$11:$D$40,8,Override!$C$11:$C$40,"AS51"),Override!$J$294)/MXAU!$B$3,"")))</f>
        <v/>
      </c>
      <c r="N262" s="140">
        <f>IF(N$226="","",IF($B262="","",IFERROR($C262*$D262*IF((Override!$C$4="ON")*(COUNTIFS(Override!$B$11:$B$40,$B262,Override!$D$11:$D$40,9,Override!$E$11:$E$40,"&gt;=0")-COUNTIFS(Override!$B$11:$B$40,$B262,Override!$D$11:$D$40,9,Override!$E$11:$E$40,"&gt;=0",Override!$C$11:$C$40,"AS51"))&gt;0,SUMIFS(Override!$E$11:$E$40,Override!$B$11:$B$40,$B262,Override!$D$11:$D$40,9)-SUMIFS(Override!$E$11:$E$40,Override!$B$11:$B$40,$B262,Override!$D$11:$D$40,9,Override!$C$11:$C$40,"AS51"),Override!$K$294)/MXAU!$B$3,"")))</f>
        <v/>
      </c>
      <c r="O262" s="140">
        <f>IF(O$226="","",IF($B262="","",IFERROR($C262*$D262*IF((Override!$C$4="ON")*(COUNTIFS(Override!$B$11:$B$40,$B262,Override!$D$11:$D$40,10,Override!$E$11:$E$40,"&gt;=0")-COUNTIFS(Override!$B$11:$B$40,$B262,Override!$D$11:$D$40,10,Override!$E$11:$E$40,"&gt;=0",Override!$C$11:$C$40,"AS51"))&gt;0,SUMIFS(Override!$E$11:$E$40,Override!$B$11:$B$40,$B262,Override!$D$11:$D$40,10)-SUMIFS(Override!$E$11:$E$40,Override!$B$11:$B$40,$B262,Override!$D$11:$D$40,10,Override!$C$11:$C$40,"AS51"),Override!$L$294)/MXAU!$B$3,"")))</f>
        <v/>
      </c>
      <c r="P262" s="140">
        <f>IF(P$226="","",IF($B262="","",IFERROR($C262*$D262*IF((Override!$C$4="ON")*(COUNTIFS(Override!$B$11:$B$40,$B262,Override!$D$11:$D$40,11,Override!$E$11:$E$40,"&gt;=0")-COUNTIFS(Override!$B$11:$B$40,$B262,Override!$D$11:$D$40,11,Override!$E$11:$E$40,"&gt;=0",Override!$C$11:$C$40,"AS51"))&gt;0,SUMIFS(Override!$E$11:$E$40,Override!$B$11:$B$40,$B262,Override!$D$11:$D$40,11)-SUMIFS(Override!$E$11:$E$40,Override!$B$11:$B$40,$B262,Override!$D$11:$D$40,11,Override!$C$11:$C$40,"AS51"),Override!$M$294)/MXAU!$B$3,"")))</f>
        <v/>
      </c>
      <c r="Q262" s="140">
        <f>IF(Q$226="","",IF($B262="","",IFERROR($C262*$D262*IF((Override!$C$4="ON")*(COUNTIFS(Override!$B$11:$B$40,$B262,Override!$D$11:$D$40,12,Override!$E$11:$E$40,"&gt;=0")-COUNTIFS(Override!$B$11:$B$40,$B262,Override!$D$11:$D$40,12,Override!$E$11:$E$40,"&gt;=0",Override!$C$11:$C$40,"AS51"))&gt;0,SUMIFS(Override!$E$11:$E$40,Override!$B$11:$B$40,$B262,Override!$D$11:$D$40,12)-SUMIFS(Override!$E$11:$E$40,Override!$B$11:$B$40,$B262,Override!$D$11:$D$40,12,Override!$C$11:$C$40,"AS51"),Override!$N$294)/MXAU!$B$3,"")))</f>
        <v/>
      </c>
      <c r="R262" s="140">
        <f>IF(R$226="","",IF($B262="","",IFERROR($C262*$D262*IF((Override!$C$4="ON")*(COUNTIFS(Override!$B$11:$B$40,$B262,Override!$D$11:$D$40,13,Override!$E$11:$E$40,"&gt;=0")-COUNTIFS(Override!$B$11:$B$40,$B262,Override!$D$11:$D$40,13,Override!$E$11:$E$40,"&gt;=0",Override!$C$11:$C$40,"AS51"))&gt;0,SUMIFS(Override!$E$11:$E$40,Override!$B$11:$B$40,$B262,Override!$D$11:$D$40,13)-SUMIFS(Override!$E$11:$E$40,Override!$B$11:$B$40,$B262,Override!$D$11:$D$40,13,Override!$C$11:$C$40,"AS51"),Override!$O$294)/MXAU!$B$3,"")))</f>
        <v/>
      </c>
      <c r="S262" s="140">
        <f>IF(S$226="","",IF($B262="","",IFERROR($C262*$D262*IF((Override!$C$4="ON")*(COUNTIFS(Override!$B$11:$B$40,$B262,Override!$D$11:$D$40,14,Override!$E$11:$E$40,"&gt;=0")-COUNTIFS(Override!$B$11:$B$40,$B262,Override!$D$11:$D$40,14,Override!$E$11:$E$40,"&gt;=0",Override!$C$11:$C$40,"AS51"))&gt;0,SUMIFS(Override!$E$11:$E$40,Override!$B$11:$B$40,$B262,Override!$D$11:$D$40,14)-SUMIFS(Override!$E$11:$E$40,Override!$B$11:$B$40,$B262,Override!$D$11:$D$40,14,Override!$C$11:$C$40,"AS51"),Override!$P$294)/MXAU!$B$3,"")))</f>
        <v/>
      </c>
      <c r="T262" s="140">
        <f>IF(T$226="","",IF($B262="","",IFERROR($C262*$D262*IF((Override!$C$4="ON")*(COUNTIFS(Override!$B$11:$B$40,$B262,Override!$D$11:$D$40,15,Override!$E$11:$E$40,"&gt;=0")-COUNTIFS(Override!$B$11:$B$40,$B262,Override!$D$11:$D$40,15,Override!$E$11:$E$40,"&gt;=0",Override!$C$11:$C$40,"AS51"))&gt;0,SUMIFS(Override!$E$11:$E$40,Override!$B$11:$B$40,$B262,Override!$D$11:$D$40,15)-SUMIFS(Override!$E$11:$E$40,Override!$B$11:$B$40,$B262,Override!$D$11:$D$40,15,Override!$C$11:$C$40,"AS51"),Override!$Q$294)/MXAU!$B$3,"")))</f>
        <v/>
      </c>
      <c r="U262" s="140">
        <f>IF(U$226="","",IF($B262="","",IFERROR($C262*$D262*IF((Override!$C$4="ON")*(COUNTIFS(Override!$B$11:$B$40,$B262,Override!$D$11:$D$40,16,Override!$E$11:$E$40,"&gt;=0")-COUNTIFS(Override!$B$11:$B$40,$B262,Override!$D$11:$D$40,16,Override!$E$11:$E$40,"&gt;=0",Override!$C$11:$C$40,"AS51"))&gt;0,SUMIFS(Override!$E$11:$E$40,Override!$B$11:$B$40,$B262,Override!$D$11:$D$40,16)-SUMIFS(Override!$E$11:$E$40,Override!$B$11:$B$40,$B262,Override!$D$11:$D$40,16,Override!$C$11:$C$40,"AS51"),Override!$R$294)/MXAU!$B$3,"")))</f>
        <v/>
      </c>
      <c r="W262" s="140">
        <f>IF(W$226="","",IF($B262="","",IFERROR(F262*$E262/100,"")))</f>
        <v/>
      </c>
      <c r="X262" s="140">
        <f>IF(X$226="","",IF($B262="","",IFERROR(G262*$E262/100,"")))</f>
        <v/>
      </c>
      <c r="Y262" s="140">
        <f>IF(Y$226="","",IF($B262="","",IFERROR(H262*$E262/100,"")))</f>
        <v/>
      </c>
      <c r="Z262" s="140">
        <f>IF(Z$226="","",IF($B262="","",IFERROR(I262*$E262/100,"")))</f>
        <v/>
      </c>
      <c r="AA262" s="140">
        <f>IF(AA$226="","",IF($B262="","",IFERROR(J262*$E262/100,"")))</f>
        <v/>
      </c>
      <c r="AB262" s="140">
        <f>IF(AB$226="","",IF($B262="","",IFERROR(K262*$E262/100,"")))</f>
        <v/>
      </c>
      <c r="AC262" s="140">
        <f>IF(AC$226="","",IF($B262="","",IFERROR(L262*$E262/100,"")))</f>
        <v/>
      </c>
      <c r="AD262" s="140">
        <f>IF(AD$226="","",IF($B262="","",IFERROR(M262*$E262/100,"")))</f>
        <v/>
      </c>
      <c r="AE262" s="140">
        <f>IF(AE$226="","",IF($B262="","",IFERROR(N262*$E262/100,"")))</f>
        <v/>
      </c>
      <c r="AF262" s="140">
        <f>IF(AF$226="","",IF($B262="","",IFERROR(O262*$E262/100,"")))</f>
        <v/>
      </c>
      <c r="AG262" s="140">
        <f>IF(AG$226="","",IF($B262="","",IFERROR(P262*$E262/100,"")))</f>
        <v/>
      </c>
      <c r="AH262" s="140">
        <f>IF(AH$226="","",IF($B262="","",IFERROR(Q262*$E262/100,"")))</f>
        <v/>
      </c>
      <c r="AI262" s="140">
        <f>IF(AI$226="","",IF($B262="","",IFERROR(R262*$E262/100,"")))</f>
        <v/>
      </c>
      <c r="AJ262" s="140">
        <f>IF(AJ$226="","",IF($B262="","",IFERROR(S262*$E262/100,"")))</f>
        <v/>
      </c>
      <c r="AK262" s="140">
        <f>IF(AK$226="","",IF($B262="","",IFERROR(T262*$E262/100,"")))</f>
        <v/>
      </c>
      <c r="AL262" s="140">
        <f>IF(AL$226="","",IF($B262="","",IFERROR(U262*$E262/100,"")))</f>
        <v/>
      </c>
      <c r="AN262" s="140">
        <f>IF($B262="","",SUMIF($F$226:$U$226,"&lt;="&amp;Sector!$E$51,$F262:$U262))</f>
        <v/>
      </c>
      <c r="AO262" s="140">
        <f>IF($B262="","",SUMIF($W$226:$AL$226,"&lt;="&amp;Sector!$E$51,$W262:$AL262))</f>
        <v/>
      </c>
    </row>
    <row r="263">
      <c r="B263" s="5">
        <f>IF(MXAU!$C$40="","",MXAU!$C$40)</f>
        <v/>
      </c>
      <c r="C263" s="90">
        <f>IF(MXAU!$B$40="","",MXAU!$B$40)</f>
        <v/>
      </c>
      <c r="D263" s="138">
        <f>IFERROR(MXAU!$Q$40,1)</f>
        <v/>
      </c>
      <c r="E263" s="139">
        <f>IF($B263="","",IF(ISNUMBER(MXAU!$I$40),MXAU!$I$40,'Index Summary'!$C$7))</f>
        <v/>
      </c>
      <c r="F263" s="140">
        <f>IF(F$226="","",IF($B263="","",IFERROR($C263*$D263*IF((Override!$C$4="ON")*(COUNTIFS(Override!$B$11:$B$40,$B263,Override!$D$11:$D$40,1,Override!$E$11:$E$40,"&gt;=0")-COUNTIFS(Override!$B$11:$B$40,$B263,Override!$D$11:$D$40,1,Override!$E$11:$E$40,"&gt;=0",Override!$C$11:$C$40,"AS51"))&gt;0,SUMIFS(Override!$E$11:$E$40,Override!$B$11:$B$40,$B263,Override!$D$11:$D$40,1)-SUMIFS(Override!$E$11:$E$40,Override!$B$11:$B$40,$B263,Override!$D$11:$D$40,1,Override!$C$11:$C$40,"AS51"),Override!$C$295)/MXAU!$B$3,"")))</f>
        <v/>
      </c>
      <c r="G263" s="140">
        <f>IF(G$226="","",IF($B263="","",IFERROR($C263*$D263*IF((Override!$C$4="ON")*(COUNTIFS(Override!$B$11:$B$40,$B263,Override!$D$11:$D$40,2,Override!$E$11:$E$40,"&gt;=0")-COUNTIFS(Override!$B$11:$B$40,$B263,Override!$D$11:$D$40,2,Override!$E$11:$E$40,"&gt;=0",Override!$C$11:$C$40,"AS51"))&gt;0,SUMIFS(Override!$E$11:$E$40,Override!$B$11:$B$40,$B263,Override!$D$11:$D$40,2)-SUMIFS(Override!$E$11:$E$40,Override!$B$11:$B$40,$B263,Override!$D$11:$D$40,2,Override!$C$11:$C$40,"AS51"),Override!$D$295)/MXAU!$B$3,"")))</f>
        <v/>
      </c>
      <c r="H263" s="140">
        <f>IF(H$226="","",IF($B263="","",IFERROR($C263*$D263*IF((Override!$C$4="ON")*(COUNTIFS(Override!$B$11:$B$40,$B263,Override!$D$11:$D$40,3,Override!$E$11:$E$40,"&gt;=0")-COUNTIFS(Override!$B$11:$B$40,$B263,Override!$D$11:$D$40,3,Override!$E$11:$E$40,"&gt;=0",Override!$C$11:$C$40,"AS51"))&gt;0,SUMIFS(Override!$E$11:$E$40,Override!$B$11:$B$40,$B263,Override!$D$11:$D$40,3)-SUMIFS(Override!$E$11:$E$40,Override!$B$11:$B$40,$B263,Override!$D$11:$D$40,3,Override!$C$11:$C$40,"AS51"),Override!$E$295)/MXAU!$B$3,"")))</f>
        <v/>
      </c>
      <c r="I263" s="140">
        <f>IF(I$226="","",IF($B263="","",IFERROR($C263*$D263*IF((Override!$C$4="ON")*(COUNTIFS(Override!$B$11:$B$40,$B263,Override!$D$11:$D$40,4,Override!$E$11:$E$40,"&gt;=0")-COUNTIFS(Override!$B$11:$B$40,$B263,Override!$D$11:$D$40,4,Override!$E$11:$E$40,"&gt;=0",Override!$C$11:$C$40,"AS51"))&gt;0,SUMIFS(Override!$E$11:$E$40,Override!$B$11:$B$40,$B263,Override!$D$11:$D$40,4)-SUMIFS(Override!$E$11:$E$40,Override!$B$11:$B$40,$B263,Override!$D$11:$D$40,4,Override!$C$11:$C$40,"AS51"),Override!$F$295)/MXAU!$B$3,"")))</f>
        <v/>
      </c>
      <c r="J263" s="140">
        <f>IF(J$226="","",IF($B263="","",IFERROR($C263*$D263*IF((Override!$C$4="ON")*(COUNTIFS(Override!$B$11:$B$40,$B263,Override!$D$11:$D$40,5,Override!$E$11:$E$40,"&gt;=0")-COUNTIFS(Override!$B$11:$B$40,$B263,Override!$D$11:$D$40,5,Override!$E$11:$E$40,"&gt;=0",Override!$C$11:$C$40,"AS51"))&gt;0,SUMIFS(Override!$E$11:$E$40,Override!$B$11:$B$40,$B263,Override!$D$11:$D$40,5)-SUMIFS(Override!$E$11:$E$40,Override!$B$11:$B$40,$B263,Override!$D$11:$D$40,5,Override!$C$11:$C$40,"AS51"),Override!$G$295)/MXAU!$B$3,"")))</f>
        <v/>
      </c>
      <c r="K263" s="140">
        <f>IF(K$226="","",IF($B263="","",IFERROR($C263*$D263*IF((Override!$C$4="ON")*(COUNTIFS(Override!$B$11:$B$40,$B263,Override!$D$11:$D$40,6,Override!$E$11:$E$40,"&gt;=0")-COUNTIFS(Override!$B$11:$B$40,$B263,Override!$D$11:$D$40,6,Override!$E$11:$E$40,"&gt;=0",Override!$C$11:$C$40,"AS51"))&gt;0,SUMIFS(Override!$E$11:$E$40,Override!$B$11:$B$40,$B263,Override!$D$11:$D$40,6)-SUMIFS(Override!$E$11:$E$40,Override!$B$11:$B$40,$B263,Override!$D$11:$D$40,6,Override!$C$11:$C$40,"AS51"),Override!$H$295)/MXAU!$B$3,"")))</f>
        <v/>
      </c>
      <c r="L263" s="140">
        <f>IF(L$226="","",IF($B263="","",IFERROR($C263*$D263*IF((Override!$C$4="ON")*(COUNTIFS(Override!$B$11:$B$40,$B263,Override!$D$11:$D$40,7,Override!$E$11:$E$40,"&gt;=0")-COUNTIFS(Override!$B$11:$B$40,$B263,Override!$D$11:$D$40,7,Override!$E$11:$E$40,"&gt;=0",Override!$C$11:$C$40,"AS51"))&gt;0,SUMIFS(Override!$E$11:$E$40,Override!$B$11:$B$40,$B263,Override!$D$11:$D$40,7)-SUMIFS(Override!$E$11:$E$40,Override!$B$11:$B$40,$B263,Override!$D$11:$D$40,7,Override!$C$11:$C$40,"AS51"),Override!$I$295)/MXAU!$B$3,"")))</f>
        <v/>
      </c>
      <c r="M263" s="140">
        <f>IF(M$226="","",IF($B263="","",IFERROR($C263*$D263*IF((Override!$C$4="ON")*(COUNTIFS(Override!$B$11:$B$40,$B263,Override!$D$11:$D$40,8,Override!$E$11:$E$40,"&gt;=0")-COUNTIFS(Override!$B$11:$B$40,$B263,Override!$D$11:$D$40,8,Override!$E$11:$E$40,"&gt;=0",Override!$C$11:$C$40,"AS51"))&gt;0,SUMIFS(Override!$E$11:$E$40,Override!$B$11:$B$40,$B263,Override!$D$11:$D$40,8)-SUMIFS(Override!$E$11:$E$40,Override!$B$11:$B$40,$B263,Override!$D$11:$D$40,8,Override!$C$11:$C$40,"AS51"),Override!$J$295)/MXAU!$B$3,"")))</f>
        <v/>
      </c>
      <c r="N263" s="140">
        <f>IF(N$226="","",IF($B263="","",IFERROR($C263*$D263*IF((Override!$C$4="ON")*(COUNTIFS(Override!$B$11:$B$40,$B263,Override!$D$11:$D$40,9,Override!$E$11:$E$40,"&gt;=0")-COUNTIFS(Override!$B$11:$B$40,$B263,Override!$D$11:$D$40,9,Override!$E$11:$E$40,"&gt;=0",Override!$C$11:$C$40,"AS51"))&gt;0,SUMIFS(Override!$E$11:$E$40,Override!$B$11:$B$40,$B263,Override!$D$11:$D$40,9)-SUMIFS(Override!$E$11:$E$40,Override!$B$11:$B$40,$B263,Override!$D$11:$D$40,9,Override!$C$11:$C$40,"AS51"),Override!$K$295)/MXAU!$B$3,"")))</f>
        <v/>
      </c>
      <c r="O263" s="140">
        <f>IF(O$226="","",IF($B263="","",IFERROR($C263*$D263*IF((Override!$C$4="ON")*(COUNTIFS(Override!$B$11:$B$40,$B263,Override!$D$11:$D$40,10,Override!$E$11:$E$40,"&gt;=0")-COUNTIFS(Override!$B$11:$B$40,$B263,Override!$D$11:$D$40,10,Override!$E$11:$E$40,"&gt;=0",Override!$C$11:$C$40,"AS51"))&gt;0,SUMIFS(Override!$E$11:$E$40,Override!$B$11:$B$40,$B263,Override!$D$11:$D$40,10)-SUMIFS(Override!$E$11:$E$40,Override!$B$11:$B$40,$B263,Override!$D$11:$D$40,10,Override!$C$11:$C$40,"AS51"),Override!$L$295)/MXAU!$B$3,"")))</f>
        <v/>
      </c>
      <c r="P263" s="140">
        <f>IF(P$226="","",IF($B263="","",IFERROR($C263*$D263*IF((Override!$C$4="ON")*(COUNTIFS(Override!$B$11:$B$40,$B263,Override!$D$11:$D$40,11,Override!$E$11:$E$40,"&gt;=0")-COUNTIFS(Override!$B$11:$B$40,$B263,Override!$D$11:$D$40,11,Override!$E$11:$E$40,"&gt;=0",Override!$C$11:$C$40,"AS51"))&gt;0,SUMIFS(Override!$E$11:$E$40,Override!$B$11:$B$40,$B263,Override!$D$11:$D$40,11)-SUMIFS(Override!$E$11:$E$40,Override!$B$11:$B$40,$B263,Override!$D$11:$D$40,11,Override!$C$11:$C$40,"AS51"),Override!$M$295)/MXAU!$B$3,"")))</f>
        <v/>
      </c>
      <c r="Q263" s="140">
        <f>IF(Q$226="","",IF($B263="","",IFERROR($C263*$D263*IF((Override!$C$4="ON")*(COUNTIFS(Override!$B$11:$B$40,$B263,Override!$D$11:$D$40,12,Override!$E$11:$E$40,"&gt;=0")-COUNTIFS(Override!$B$11:$B$40,$B263,Override!$D$11:$D$40,12,Override!$E$11:$E$40,"&gt;=0",Override!$C$11:$C$40,"AS51"))&gt;0,SUMIFS(Override!$E$11:$E$40,Override!$B$11:$B$40,$B263,Override!$D$11:$D$40,12)-SUMIFS(Override!$E$11:$E$40,Override!$B$11:$B$40,$B263,Override!$D$11:$D$40,12,Override!$C$11:$C$40,"AS51"),Override!$N$295)/MXAU!$B$3,"")))</f>
        <v/>
      </c>
      <c r="R263" s="140">
        <f>IF(R$226="","",IF($B263="","",IFERROR($C263*$D263*IF((Override!$C$4="ON")*(COUNTIFS(Override!$B$11:$B$40,$B263,Override!$D$11:$D$40,13,Override!$E$11:$E$40,"&gt;=0")-COUNTIFS(Override!$B$11:$B$40,$B263,Override!$D$11:$D$40,13,Override!$E$11:$E$40,"&gt;=0",Override!$C$11:$C$40,"AS51"))&gt;0,SUMIFS(Override!$E$11:$E$40,Override!$B$11:$B$40,$B263,Override!$D$11:$D$40,13)-SUMIFS(Override!$E$11:$E$40,Override!$B$11:$B$40,$B263,Override!$D$11:$D$40,13,Override!$C$11:$C$40,"AS51"),Override!$O$295)/MXAU!$B$3,"")))</f>
        <v/>
      </c>
      <c r="S263" s="140">
        <f>IF(S$226="","",IF($B263="","",IFERROR($C263*$D263*IF((Override!$C$4="ON")*(COUNTIFS(Override!$B$11:$B$40,$B263,Override!$D$11:$D$40,14,Override!$E$11:$E$40,"&gt;=0")-COUNTIFS(Override!$B$11:$B$40,$B263,Override!$D$11:$D$40,14,Override!$E$11:$E$40,"&gt;=0",Override!$C$11:$C$40,"AS51"))&gt;0,SUMIFS(Override!$E$11:$E$40,Override!$B$11:$B$40,$B263,Override!$D$11:$D$40,14)-SUMIFS(Override!$E$11:$E$40,Override!$B$11:$B$40,$B263,Override!$D$11:$D$40,14,Override!$C$11:$C$40,"AS51"),Override!$P$295)/MXAU!$B$3,"")))</f>
        <v/>
      </c>
      <c r="T263" s="140">
        <f>IF(T$226="","",IF($B263="","",IFERROR($C263*$D263*IF((Override!$C$4="ON")*(COUNTIFS(Override!$B$11:$B$40,$B263,Override!$D$11:$D$40,15,Override!$E$11:$E$40,"&gt;=0")-COUNTIFS(Override!$B$11:$B$40,$B263,Override!$D$11:$D$40,15,Override!$E$11:$E$40,"&gt;=0",Override!$C$11:$C$40,"AS51"))&gt;0,SUMIFS(Override!$E$11:$E$40,Override!$B$11:$B$40,$B263,Override!$D$11:$D$40,15)-SUMIFS(Override!$E$11:$E$40,Override!$B$11:$B$40,$B263,Override!$D$11:$D$40,15,Override!$C$11:$C$40,"AS51"),Override!$Q$295)/MXAU!$B$3,"")))</f>
        <v/>
      </c>
      <c r="U263" s="140">
        <f>IF(U$226="","",IF($B263="","",IFERROR($C263*$D263*IF((Override!$C$4="ON")*(COUNTIFS(Override!$B$11:$B$40,$B263,Override!$D$11:$D$40,16,Override!$E$11:$E$40,"&gt;=0")-COUNTIFS(Override!$B$11:$B$40,$B263,Override!$D$11:$D$40,16,Override!$E$11:$E$40,"&gt;=0",Override!$C$11:$C$40,"AS51"))&gt;0,SUMIFS(Override!$E$11:$E$40,Override!$B$11:$B$40,$B263,Override!$D$11:$D$40,16)-SUMIFS(Override!$E$11:$E$40,Override!$B$11:$B$40,$B263,Override!$D$11:$D$40,16,Override!$C$11:$C$40,"AS51"),Override!$R$295)/MXAU!$B$3,"")))</f>
        <v/>
      </c>
      <c r="W263" s="140">
        <f>IF(W$226="","",IF($B263="","",IFERROR(F263*$E263/100,"")))</f>
        <v/>
      </c>
      <c r="X263" s="140">
        <f>IF(X$226="","",IF($B263="","",IFERROR(G263*$E263/100,"")))</f>
        <v/>
      </c>
      <c r="Y263" s="140">
        <f>IF(Y$226="","",IF($B263="","",IFERROR(H263*$E263/100,"")))</f>
        <v/>
      </c>
      <c r="Z263" s="140">
        <f>IF(Z$226="","",IF($B263="","",IFERROR(I263*$E263/100,"")))</f>
        <v/>
      </c>
      <c r="AA263" s="140">
        <f>IF(AA$226="","",IF($B263="","",IFERROR(J263*$E263/100,"")))</f>
        <v/>
      </c>
      <c r="AB263" s="140">
        <f>IF(AB$226="","",IF($B263="","",IFERROR(K263*$E263/100,"")))</f>
        <v/>
      </c>
      <c r="AC263" s="140">
        <f>IF(AC$226="","",IF($B263="","",IFERROR(L263*$E263/100,"")))</f>
        <v/>
      </c>
      <c r="AD263" s="140">
        <f>IF(AD$226="","",IF($B263="","",IFERROR(M263*$E263/100,"")))</f>
        <v/>
      </c>
      <c r="AE263" s="140">
        <f>IF(AE$226="","",IF($B263="","",IFERROR(N263*$E263/100,"")))</f>
        <v/>
      </c>
      <c r="AF263" s="140">
        <f>IF(AF$226="","",IF($B263="","",IFERROR(O263*$E263/100,"")))</f>
        <v/>
      </c>
      <c r="AG263" s="140">
        <f>IF(AG$226="","",IF($B263="","",IFERROR(P263*$E263/100,"")))</f>
        <v/>
      </c>
      <c r="AH263" s="140">
        <f>IF(AH$226="","",IF($B263="","",IFERROR(Q263*$E263/100,"")))</f>
        <v/>
      </c>
      <c r="AI263" s="140">
        <f>IF(AI$226="","",IF($B263="","",IFERROR(R263*$E263/100,"")))</f>
        <v/>
      </c>
      <c r="AJ263" s="140">
        <f>IF(AJ$226="","",IF($B263="","",IFERROR(S263*$E263/100,"")))</f>
        <v/>
      </c>
      <c r="AK263" s="140">
        <f>IF(AK$226="","",IF($B263="","",IFERROR(T263*$E263/100,"")))</f>
        <v/>
      </c>
      <c r="AL263" s="140">
        <f>IF(AL$226="","",IF($B263="","",IFERROR(U263*$E263/100,"")))</f>
        <v/>
      </c>
      <c r="AN263" s="140">
        <f>IF($B263="","",SUMIF($F$226:$U$226,"&lt;="&amp;Sector!$E$51,$F263:$U263))</f>
        <v/>
      </c>
      <c r="AO263" s="140">
        <f>IF($B263="","",SUMIF($W$226:$AL$226,"&lt;="&amp;Sector!$E$51,$W263:$AL263))</f>
        <v/>
      </c>
    </row>
    <row r="264">
      <c r="B264" s="5">
        <f>IF(MXAU!$C$41="","",MXAU!$C$41)</f>
        <v/>
      </c>
      <c r="C264" s="90">
        <f>IF(MXAU!$B$41="","",MXAU!$B$41)</f>
        <v/>
      </c>
      <c r="D264" s="138">
        <f>IFERROR(MXAU!$Q$41,1)</f>
        <v/>
      </c>
      <c r="E264" s="139">
        <f>IF($B264="","",IF(ISNUMBER(MXAU!$I$41),MXAU!$I$41,'Index Summary'!$C$7))</f>
        <v/>
      </c>
      <c r="F264" s="140">
        <f>IF(F$226="","",IF($B264="","",IFERROR($C264*$D264*IF((Override!$C$4="ON")*(COUNTIFS(Override!$B$11:$B$40,$B264,Override!$D$11:$D$40,1,Override!$E$11:$E$40,"&gt;=0")-COUNTIFS(Override!$B$11:$B$40,$B264,Override!$D$11:$D$40,1,Override!$E$11:$E$40,"&gt;=0",Override!$C$11:$C$40,"AS51"))&gt;0,SUMIFS(Override!$E$11:$E$40,Override!$B$11:$B$40,$B264,Override!$D$11:$D$40,1)-SUMIFS(Override!$E$11:$E$40,Override!$B$11:$B$40,$B264,Override!$D$11:$D$40,1,Override!$C$11:$C$40,"AS51"),Override!$C$296)/MXAU!$B$3,"")))</f>
        <v/>
      </c>
      <c r="G264" s="140">
        <f>IF(G$226="","",IF($B264="","",IFERROR($C264*$D264*IF((Override!$C$4="ON")*(COUNTIFS(Override!$B$11:$B$40,$B264,Override!$D$11:$D$40,2,Override!$E$11:$E$40,"&gt;=0")-COUNTIFS(Override!$B$11:$B$40,$B264,Override!$D$11:$D$40,2,Override!$E$11:$E$40,"&gt;=0",Override!$C$11:$C$40,"AS51"))&gt;0,SUMIFS(Override!$E$11:$E$40,Override!$B$11:$B$40,$B264,Override!$D$11:$D$40,2)-SUMIFS(Override!$E$11:$E$40,Override!$B$11:$B$40,$B264,Override!$D$11:$D$40,2,Override!$C$11:$C$40,"AS51"),Override!$D$296)/MXAU!$B$3,"")))</f>
        <v/>
      </c>
      <c r="H264" s="140">
        <f>IF(H$226="","",IF($B264="","",IFERROR($C264*$D264*IF((Override!$C$4="ON")*(COUNTIFS(Override!$B$11:$B$40,$B264,Override!$D$11:$D$40,3,Override!$E$11:$E$40,"&gt;=0")-COUNTIFS(Override!$B$11:$B$40,$B264,Override!$D$11:$D$40,3,Override!$E$11:$E$40,"&gt;=0",Override!$C$11:$C$40,"AS51"))&gt;0,SUMIFS(Override!$E$11:$E$40,Override!$B$11:$B$40,$B264,Override!$D$11:$D$40,3)-SUMIFS(Override!$E$11:$E$40,Override!$B$11:$B$40,$B264,Override!$D$11:$D$40,3,Override!$C$11:$C$40,"AS51"),Override!$E$296)/MXAU!$B$3,"")))</f>
        <v/>
      </c>
      <c r="I264" s="140">
        <f>IF(I$226="","",IF($B264="","",IFERROR($C264*$D264*IF((Override!$C$4="ON")*(COUNTIFS(Override!$B$11:$B$40,$B264,Override!$D$11:$D$40,4,Override!$E$11:$E$40,"&gt;=0")-COUNTIFS(Override!$B$11:$B$40,$B264,Override!$D$11:$D$40,4,Override!$E$11:$E$40,"&gt;=0",Override!$C$11:$C$40,"AS51"))&gt;0,SUMIFS(Override!$E$11:$E$40,Override!$B$11:$B$40,$B264,Override!$D$11:$D$40,4)-SUMIFS(Override!$E$11:$E$40,Override!$B$11:$B$40,$B264,Override!$D$11:$D$40,4,Override!$C$11:$C$40,"AS51"),Override!$F$296)/MXAU!$B$3,"")))</f>
        <v/>
      </c>
      <c r="J264" s="140">
        <f>IF(J$226="","",IF($B264="","",IFERROR($C264*$D264*IF((Override!$C$4="ON")*(COUNTIFS(Override!$B$11:$B$40,$B264,Override!$D$11:$D$40,5,Override!$E$11:$E$40,"&gt;=0")-COUNTIFS(Override!$B$11:$B$40,$B264,Override!$D$11:$D$40,5,Override!$E$11:$E$40,"&gt;=0",Override!$C$11:$C$40,"AS51"))&gt;0,SUMIFS(Override!$E$11:$E$40,Override!$B$11:$B$40,$B264,Override!$D$11:$D$40,5)-SUMIFS(Override!$E$11:$E$40,Override!$B$11:$B$40,$B264,Override!$D$11:$D$40,5,Override!$C$11:$C$40,"AS51"),Override!$G$296)/MXAU!$B$3,"")))</f>
        <v/>
      </c>
      <c r="K264" s="140">
        <f>IF(K$226="","",IF($B264="","",IFERROR($C264*$D264*IF((Override!$C$4="ON")*(COUNTIFS(Override!$B$11:$B$40,$B264,Override!$D$11:$D$40,6,Override!$E$11:$E$40,"&gt;=0")-COUNTIFS(Override!$B$11:$B$40,$B264,Override!$D$11:$D$40,6,Override!$E$11:$E$40,"&gt;=0",Override!$C$11:$C$40,"AS51"))&gt;0,SUMIFS(Override!$E$11:$E$40,Override!$B$11:$B$40,$B264,Override!$D$11:$D$40,6)-SUMIFS(Override!$E$11:$E$40,Override!$B$11:$B$40,$B264,Override!$D$11:$D$40,6,Override!$C$11:$C$40,"AS51"),Override!$H$296)/MXAU!$B$3,"")))</f>
        <v/>
      </c>
      <c r="L264" s="140">
        <f>IF(L$226="","",IF($B264="","",IFERROR($C264*$D264*IF((Override!$C$4="ON")*(COUNTIFS(Override!$B$11:$B$40,$B264,Override!$D$11:$D$40,7,Override!$E$11:$E$40,"&gt;=0")-COUNTIFS(Override!$B$11:$B$40,$B264,Override!$D$11:$D$40,7,Override!$E$11:$E$40,"&gt;=0",Override!$C$11:$C$40,"AS51"))&gt;0,SUMIFS(Override!$E$11:$E$40,Override!$B$11:$B$40,$B264,Override!$D$11:$D$40,7)-SUMIFS(Override!$E$11:$E$40,Override!$B$11:$B$40,$B264,Override!$D$11:$D$40,7,Override!$C$11:$C$40,"AS51"),Override!$I$296)/MXAU!$B$3,"")))</f>
        <v/>
      </c>
      <c r="M264" s="140">
        <f>IF(M$226="","",IF($B264="","",IFERROR($C264*$D264*IF((Override!$C$4="ON")*(COUNTIFS(Override!$B$11:$B$40,$B264,Override!$D$11:$D$40,8,Override!$E$11:$E$40,"&gt;=0")-COUNTIFS(Override!$B$11:$B$40,$B264,Override!$D$11:$D$40,8,Override!$E$11:$E$40,"&gt;=0",Override!$C$11:$C$40,"AS51"))&gt;0,SUMIFS(Override!$E$11:$E$40,Override!$B$11:$B$40,$B264,Override!$D$11:$D$40,8)-SUMIFS(Override!$E$11:$E$40,Override!$B$11:$B$40,$B264,Override!$D$11:$D$40,8,Override!$C$11:$C$40,"AS51"),Override!$J$296)/MXAU!$B$3,"")))</f>
        <v/>
      </c>
      <c r="N264" s="140">
        <f>IF(N$226="","",IF($B264="","",IFERROR($C264*$D264*IF((Override!$C$4="ON")*(COUNTIFS(Override!$B$11:$B$40,$B264,Override!$D$11:$D$40,9,Override!$E$11:$E$40,"&gt;=0")-COUNTIFS(Override!$B$11:$B$40,$B264,Override!$D$11:$D$40,9,Override!$E$11:$E$40,"&gt;=0",Override!$C$11:$C$40,"AS51"))&gt;0,SUMIFS(Override!$E$11:$E$40,Override!$B$11:$B$40,$B264,Override!$D$11:$D$40,9)-SUMIFS(Override!$E$11:$E$40,Override!$B$11:$B$40,$B264,Override!$D$11:$D$40,9,Override!$C$11:$C$40,"AS51"),Override!$K$296)/MXAU!$B$3,"")))</f>
        <v/>
      </c>
      <c r="O264" s="140">
        <f>IF(O$226="","",IF($B264="","",IFERROR($C264*$D264*IF((Override!$C$4="ON")*(COUNTIFS(Override!$B$11:$B$40,$B264,Override!$D$11:$D$40,10,Override!$E$11:$E$40,"&gt;=0")-COUNTIFS(Override!$B$11:$B$40,$B264,Override!$D$11:$D$40,10,Override!$E$11:$E$40,"&gt;=0",Override!$C$11:$C$40,"AS51"))&gt;0,SUMIFS(Override!$E$11:$E$40,Override!$B$11:$B$40,$B264,Override!$D$11:$D$40,10)-SUMIFS(Override!$E$11:$E$40,Override!$B$11:$B$40,$B264,Override!$D$11:$D$40,10,Override!$C$11:$C$40,"AS51"),Override!$L$296)/MXAU!$B$3,"")))</f>
        <v/>
      </c>
      <c r="P264" s="140">
        <f>IF(P$226="","",IF($B264="","",IFERROR($C264*$D264*IF((Override!$C$4="ON")*(COUNTIFS(Override!$B$11:$B$40,$B264,Override!$D$11:$D$40,11,Override!$E$11:$E$40,"&gt;=0")-COUNTIFS(Override!$B$11:$B$40,$B264,Override!$D$11:$D$40,11,Override!$E$11:$E$40,"&gt;=0",Override!$C$11:$C$40,"AS51"))&gt;0,SUMIFS(Override!$E$11:$E$40,Override!$B$11:$B$40,$B264,Override!$D$11:$D$40,11)-SUMIFS(Override!$E$11:$E$40,Override!$B$11:$B$40,$B264,Override!$D$11:$D$40,11,Override!$C$11:$C$40,"AS51"),Override!$M$296)/MXAU!$B$3,"")))</f>
        <v/>
      </c>
      <c r="Q264" s="140">
        <f>IF(Q$226="","",IF($B264="","",IFERROR($C264*$D264*IF((Override!$C$4="ON")*(COUNTIFS(Override!$B$11:$B$40,$B264,Override!$D$11:$D$40,12,Override!$E$11:$E$40,"&gt;=0")-COUNTIFS(Override!$B$11:$B$40,$B264,Override!$D$11:$D$40,12,Override!$E$11:$E$40,"&gt;=0",Override!$C$11:$C$40,"AS51"))&gt;0,SUMIFS(Override!$E$11:$E$40,Override!$B$11:$B$40,$B264,Override!$D$11:$D$40,12)-SUMIFS(Override!$E$11:$E$40,Override!$B$11:$B$40,$B264,Override!$D$11:$D$40,12,Override!$C$11:$C$40,"AS51"),Override!$N$296)/MXAU!$B$3,"")))</f>
        <v/>
      </c>
      <c r="R264" s="140">
        <f>IF(R$226="","",IF($B264="","",IFERROR($C264*$D264*IF((Override!$C$4="ON")*(COUNTIFS(Override!$B$11:$B$40,$B264,Override!$D$11:$D$40,13,Override!$E$11:$E$40,"&gt;=0")-COUNTIFS(Override!$B$11:$B$40,$B264,Override!$D$11:$D$40,13,Override!$E$11:$E$40,"&gt;=0",Override!$C$11:$C$40,"AS51"))&gt;0,SUMIFS(Override!$E$11:$E$40,Override!$B$11:$B$40,$B264,Override!$D$11:$D$40,13)-SUMIFS(Override!$E$11:$E$40,Override!$B$11:$B$40,$B264,Override!$D$11:$D$40,13,Override!$C$11:$C$40,"AS51"),Override!$O$296)/MXAU!$B$3,"")))</f>
        <v/>
      </c>
      <c r="S264" s="140">
        <f>IF(S$226="","",IF($B264="","",IFERROR($C264*$D264*IF((Override!$C$4="ON")*(COUNTIFS(Override!$B$11:$B$40,$B264,Override!$D$11:$D$40,14,Override!$E$11:$E$40,"&gt;=0")-COUNTIFS(Override!$B$11:$B$40,$B264,Override!$D$11:$D$40,14,Override!$E$11:$E$40,"&gt;=0",Override!$C$11:$C$40,"AS51"))&gt;0,SUMIFS(Override!$E$11:$E$40,Override!$B$11:$B$40,$B264,Override!$D$11:$D$40,14)-SUMIFS(Override!$E$11:$E$40,Override!$B$11:$B$40,$B264,Override!$D$11:$D$40,14,Override!$C$11:$C$40,"AS51"),Override!$P$296)/MXAU!$B$3,"")))</f>
        <v/>
      </c>
      <c r="T264" s="140">
        <f>IF(T$226="","",IF($B264="","",IFERROR($C264*$D264*IF((Override!$C$4="ON")*(COUNTIFS(Override!$B$11:$B$40,$B264,Override!$D$11:$D$40,15,Override!$E$11:$E$40,"&gt;=0")-COUNTIFS(Override!$B$11:$B$40,$B264,Override!$D$11:$D$40,15,Override!$E$11:$E$40,"&gt;=0",Override!$C$11:$C$40,"AS51"))&gt;0,SUMIFS(Override!$E$11:$E$40,Override!$B$11:$B$40,$B264,Override!$D$11:$D$40,15)-SUMIFS(Override!$E$11:$E$40,Override!$B$11:$B$40,$B264,Override!$D$11:$D$40,15,Override!$C$11:$C$40,"AS51"),Override!$Q$296)/MXAU!$B$3,"")))</f>
        <v/>
      </c>
      <c r="U264" s="140">
        <f>IF(U$226="","",IF($B264="","",IFERROR($C264*$D264*IF((Override!$C$4="ON")*(COUNTIFS(Override!$B$11:$B$40,$B264,Override!$D$11:$D$40,16,Override!$E$11:$E$40,"&gt;=0")-COUNTIFS(Override!$B$11:$B$40,$B264,Override!$D$11:$D$40,16,Override!$E$11:$E$40,"&gt;=0",Override!$C$11:$C$40,"AS51"))&gt;0,SUMIFS(Override!$E$11:$E$40,Override!$B$11:$B$40,$B264,Override!$D$11:$D$40,16)-SUMIFS(Override!$E$11:$E$40,Override!$B$11:$B$40,$B264,Override!$D$11:$D$40,16,Override!$C$11:$C$40,"AS51"),Override!$R$296)/MXAU!$B$3,"")))</f>
        <v/>
      </c>
      <c r="W264" s="140">
        <f>IF(W$226="","",IF($B264="","",IFERROR(F264*$E264/100,"")))</f>
        <v/>
      </c>
      <c r="X264" s="140">
        <f>IF(X$226="","",IF($B264="","",IFERROR(G264*$E264/100,"")))</f>
        <v/>
      </c>
      <c r="Y264" s="140">
        <f>IF(Y$226="","",IF($B264="","",IFERROR(H264*$E264/100,"")))</f>
        <v/>
      </c>
      <c r="Z264" s="140">
        <f>IF(Z$226="","",IF($B264="","",IFERROR(I264*$E264/100,"")))</f>
        <v/>
      </c>
      <c r="AA264" s="140">
        <f>IF(AA$226="","",IF($B264="","",IFERROR(J264*$E264/100,"")))</f>
        <v/>
      </c>
      <c r="AB264" s="140">
        <f>IF(AB$226="","",IF($B264="","",IFERROR(K264*$E264/100,"")))</f>
        <v/>
      </c>
      <c r="AC264" s="140">
        <f>IF(AC$226="","",IF($B264="","",IFERROR(L264*$E264/100,"")))</f>
        <v/>
      </c>
      <c r="AD264" s="140">
        <f>IF(AD$226="","",IF($B264="","",IFERROR(M264*$E264/100,"")))</f>
        <v/>
      </c>
      <c r="AE264" s="140">
        <f>IF(AE$226="","",IF($B264="","",IFERROR(N264*$E264/100,"")))</f>
        <v/>
      </c>
      <c r="AF264" s="140">
        <f>IF(AF$226="","",IF($B264="","",IFERROR(O264*$E264/100,"")))</f>
        <v/>
      </c>
      <c r="AG264" s="140">
        <f>IF(AG$226="","",IF($B264="","",IFERROR(P264*$E264/100,"")))</f>
        <v/>
      </c>
      <c r="AH264" s="140">
        <f>IF(AH$226="","",IF($B264="","",IFERROR(Q264*$E264/100,"")))</f>
        <v/>
      </c>
      <c r="AI264" s="140">
        <f>IF(AI$226="","",IF($B264="","",IFERROR(R264*$E264/100,"")))</f>
        <v/>
      </c>
      <c r="AJ264" s="140">
        <f>IF(AJ$226="","",IF($B264="","",IFERROR(S264*$E264/100,"")))</f>
        <v/>
      </c>
      <c r="AK264" s="140">
        <f>IF(AK$226="","",IF($B264="","",IFERROR(T264*$E264/100,"")))</f>
        <v/>
      </c>
      <c r="AL264" s="140">
        <f>IF(AL$226="","",IF($B264="","",IFERROR(U264*$E264/100,"")))</f>
        <v/>
      </c>
      <c r="AN264" s="140">
        <f>IF($B264="","",SUMIF($F$226:$U$226,"&lt;="&amp;Sector!$E$51,$F264:$U264))</f>
        <v/>
      </c>
      <c r="AO264" s="140">
        <f>IF($B264="","",SUMIF($W$226:$AL$226,"&lt;="&amp;Sector!$E$51,$W264:$AL264))</f>
        <v/>
      </c>
    </row>
    <row r="265">
      <c r="B265" s="5">
        <f>IF(MXAU!$C$42="","",MXAU!$C$42)</f>
        <v/>
      </c>
      <c r="C265" s="90">
        <f>IF(MXAU!$B$42="","",MXAU!$B$42)</f>
        <v/>
      </c>
      <c r="D265" s="138">
        <f>IFERROR(MXAU!$Q$42,1)</f>
        <v/>
      </c>
      <c r="E265" s="139">
        <f>IF($B265="","",IF(ISNUMBER(MXAU!$I$42),MXAU!$I$42,'Index Summary'!$C$7))</f>
        <v/>
      </c>
      <c r="F265" s="140">
        <f>IF(F$226="","",IF($B265="","",IFERROR($C265*$D265*IF((Override!$C$4="ON")*(COUNTIFS(Override!$B$11:$B$40,$B265,Override!$D$11:$D$40,1,Override!$E$11:$E$40,"&gt;=0")-COUNTIFS(Override!$B$11:$B$40,$B265,Override!$D$11:$D$40,1,Override!$E$11:$E$40,"&gt;=0",Override!$C$11:$C$40,"AS51"))&gt;0,SUMIFS(Override!$E$11:$E$40,Override!$B$11:$B$40,$B265,Override!$D$11:$D$40,1)-SUMIFS(Override!$E$11:$E$40,Override!$B$11:$B$40,$B265,Override!$D$11:$D$40,1,Override!$C$11:$C$40,"AS51"),Override!$C$297)/MXAU!$B$3,"")))</f>
        <v/>
      </c>
      <c r="G265" s="140">
        <f>IF(G$226="","",IF($B265="","",IFERROR($C265*$D265*IF((Override!$C$4="ON")*(COUNTIFS(Override!$B$11:$B$40,$B265,Override!$D$11:$D$40,2,Override!$E$11:$E$40,"&gt;=0")-COUNTIFS(Override!$B$11:$B$40,$B265,Override!$D$11:$D$40,2,Override!$E$11:$E$40,"&gt;=0",Override!$C$11:$C$40,"AS51"))&gt;0,SUMIFS(Override!$E$11:$E$40,Override!$B$11:$B$40,$B265,Override!$D$11:$D$40,2)-SUMIFS(Override!$E$11:$E$40,Override!$B$11:$B$40,$B265,Override!$D$11:$D$40,2,Override!$C$11:$C$40,"AS51"),Override!$D$297)/MXAU!$B$3,"")))</f>
        <v/>
      </c>
      <c r="H265" s="140">
        <f>IF(H$226="","",IF($B265="","",IFERROR($C265*$D265*IF((Override!$C$4="ON")*(COUNTIFS(Override!$B$11:$B$40,$B265,Override!$D$11:$D$40,3,Override!$E$11:$E$40,"&gt;=0")-COUNTIFS(Override!$B$11:$B$40,$B265,Override!$D$11:$D$40,3,Override!$E$11:$E$40,"&gt;=0",Override!$C$11:$C$40,"AS51"))&gt;0,SUMIFS(Override!$E$11:$E$40,Override!$B$11:$B$40,$B265,Override!$D$11:$D$40,3)-SUMIFS(Override!$E$11:$E$40,Override!$B$11:$B$40,$B265,Override!$D$11:$D$40,3,Override!$C$11:$C$40,"AS51"),Override!$E$297)/MXAU!$B$3,"")))</f>
        <v/>
      </c>
      <c r="I265" s="140">
        <f>IF(I$226="","",IF($B265="","",IFERROR($C265*$D265*IF((Override!$C$4="ON")*(COUNTIFS(Override!$B$11:$B$40,$B265,Override!$D$11:$D$40,4,Override!$E$11:$E$40,"&gt;=0")-COUNTIFS(Override!$B$11:$B$40,$B265,Override!$D$11:$D$40,4,Override!$E$11:$E$40,"&gt;=0",Override!$C$11:$C$40,"AS51"))&gt;0,SUMIFS(Override!$E$11:$E$40,Override!$B$11:$B$40,$B265,Override!$D$11:$D$40,4)-SUMIFS(Override!$E$11:$E$40,Override!$B$11:$B$40,$B265,Override!$D$11:$D$40,4,Override!$C$11:$C$40,"AS51"),Override!$F$297)/MXAU!$B$3,"")))</f>
        <v/>
      </c>
      <c r="J265" s="140">
        <f>IF(J$226="","",IF($B265="","",IFERROR($C265*$D265*IF((Override!$C$4="ON")*(COUNTIFS(Override!$B$11:$B$40,$B265,Override!$D$11:$D$40,5,Override!$E$11:$E$40,"&gt;=0")-COUNTIFS(Override!$B$11:$B$40,$B265,Override!$D$11:$D$40,5,Override!$E$11:$E$40,"&gt;=0",Override!$C$11:$C$40,"AS51"))&gt;0,SUMIFS(Override!$E$11:$E$40,Override!$B$11:$B$40,$B265,Override!$D$11:$D$40,5)-SUMIFS(Override!$E$11:$E$40,Override!$B$11:$B$40,$B265,Override!$D$11:$D$40,5,Override!$C$11:$C$40,"AS51"),Override!$G$297)/MXAU!$B$3,"")))</f>
        <v/>
      </c>
      <c r="K265" s="140">
        <f>IF(K$226="","",IF($B265="","",IFERROR($C265*$D265*IF((Override!$C$4="ON")*(COUNTIFS(Override!$B$11:$B$40,$B265,Override!$D$11:$D$40,6,Override!$E$11:$E$40,"&gt;=0")-COUNTIFS(Override!$B$11:$B$40,$B265,Override!$D$11:$D$40,6,Override!$E$11:$E$40,"&gt;=0",Override!$C$11:$C$40,"AS51"))&gt;0,SUMIFS(Override!$E$11:$E$40,Override!$B$11:$B$40,$B265,Override!$D$11:$D$40,6)-SUMIFS(Override!$E$11:$E$40,Override!$B$11:$B$40,$B265,Override!$D$11:$D$40,6,Override!$C$11:$C$40,"AS51"),Override!$H$297)/MXAU!$B$3,"")))</f>
        <v/>
      </c>
      <c r="L265" s="140">
        <f>IF(L$226="","",IF($B265="","",IFERROR($C265*$D265*IF((Override!$C$4="ON")*(COUNTIFS(Override!$B$11:$B$40,$B265,Override!$D$11:$D$40,7,Override!$E$11:$E$40,"&gt;=0")-COUNTIFS(Override!$B$11:$B$40,$B265,Override!$D$11:$D$40,7,Override!$E$11:$E$40,"&gt;=0",Override!$C$11:$C$40,"AS51"))&gt;0,SUMIFS(Override!$E$11:$E$40,Override!$B$11:$B$40,$B265,Override!$D$11:$D$40,7)-SUMIFS(Override!$E$11:$E$40,Override!$B$11:$B$40,$B265,Override!$D$11:$D$40,7,Override!$C$11:$C$40,"AS51"),Override!$I$297)/MXAU!$B$3,"")))</f>
        <v/>
      </c>
      <c r="M265" s="140">
        <f>IF(M$226="","",IF($B265="","",IFERROR($C265*$D265*IF((Override!$C$4="ON")*(COUNTIFS(Override!$B$11:$B$40,$B265,Override!$D$11:$D$40,8,Override!$E$11:$E$40,"&gt;=0")-COUNTIFS(Override!$B$11:$B$40,$B265,Override!$D$11:$D$40,8,Override!$E$11:$E$40,"&gt;=0",Override!$C$11:$C$40,"AS51"))&gt;0,SUMIFS(Override!$E$11:$E$40,Override!$B$11:$B$40,$B265,Override!$D$11:$D$40,8)-SUMIFS(Override!$E$11:$E$40,Override!$B$11:$B$40,$B265,Override!$D$11:$D$40,8,Override!$C$11:$C$40,"AS51"),Override!$J$297)/MXAU!$B$3,"")))</f>
        <v/>
      </c>
      <c r="N265" s="140">
        <f>IF(N$226="","",IF($B265="","",IFERROR($C265*$D265*IF((Override!$C$4="ON")*(COUNTIFS(Override!$B$11:$B$40,$B265,Override!$D$11:$D$40,9,Override!$E$11:$E$40,"&gt;=0")-COUNTIFS(Override!$B$11:$B$40,$B265,Override!$D$11:$D$40,9,Override!$E$11:$E$40,"&gt;=0",Override!$C$11:$C$40,"AS51"))&gt;0,SUMIFS(Override!$E$11:$E$40,Override!$B$11:$B$40,$B265,Override!$D$11:$D$40,9)-SUMIFS(Override!$E$11:$E$40,Override!$B$11:$B$40,$B265,Override!$D$11:$D$40,9,Override!$C$11:$C$40,"AS51"),Override!$K$297)/MXAU!$B$3,"")))</f>
        <v/>
      </c>
      <c r="O265" s="140">
        <f>IF(O$226="","",IF($B265="","",IFERROR($C265*$D265*IF((Override!$C$4="ON")*(COUNTIFS(Override!$B$11:$B$40,$B265,Override!$D$11:$D$40,10,Override!$E$11:$E$40,"&gt;=0")-COUNTIFS(Override!$B$11:$B$40,$B265,Override!$D$11:$D$40,10,Override!$E$11:$E$40,"&gt;=0",Override!$C$11:$C$40,"AS51"))&gt;0,SUMIFS(Override!$E$11:$E$40,Override!$B$11:$B$40,$B265,Override!$D$11:$D$40,10)-SUMIFS(Override!$E$11:$E$40,Override!$B$11:$B$40,$B265,Override!$D$11:$D$40,10,Override!$C$11:$C$40,"AS51"),Override!$L$297)/MXAU!$B$3,"")))</f>
        <v/>
      </c>
      <c r="P265" s="140">
        <f>IF(P$226="","",IF($B265="","",IFERROR($C265*$D265*IF((Override!$C$4="ON")*(COUNTIFS(Override!$B$11:$B$40,$B265,Override!$D$11:$D$40,11,Override!$E$11:$E$40,"&gt;=0")-COUNTIFS(Override!$B$11:$B$40,$B265,Override!$D$11:$D$40,11,Override!$E$11:$E$40,"&gt;=0",Override!$C$11:$C$40,"AS51"))&gt;0,SUMIFS(Override!$E$11:$E$40,Override!$B$11:$B$40,$B265,Override!$D$11:$D$40,11)-SUMIFS(Override!$E$11:$E$40,Override!$B$11:$B$40,$B265,Override!$D$11:$D$40,11,Override!$C$11:$C$40,"AS51"),Override!$M$297)/MXAU!$B$3,"")))</f>
        <v/>
      </c>
      <c r="Q265" s="140">
        <f>IF(Q$226="","",IF($B265="","",IFERROR($C265*$D265*IF((Override!$C$4="ON")*(COUNTIFS(Override!$B$11:$B$40,$B265,Override!$D$11:$D$40,12,Override!$E$11:$E$40,"&gt;=0")-COUNTIFS(Override!$B$11:$B$40,$B265,Override!$D$11:$D$40,12,Override!$E$11:$E$40,"&gt;=0",Override!$C$11:$C$40,"AS51"))&gt;0,SUMIFS(Override!$E$11:$E$40,Override!$B$11:$B$40,$B265,Override!$D$11:$D$40,12)-SUMIFS(Override!$E$11:$E$40,Override!$B$11:$B$40,$B265,Override!$D$11:$D$40,12,Override!$C$11:$C$40,"AS51"),Override!$N$297)/MXAU!$B$3,"")))</f>
        <v/>
      </c>
      <c r="R265" s="140">
        <f>IF(R$226="","",IF($B265="","",IFERROR($C265*$D265*IF((Override!$C$4="ON")*(COUNTIFS(Override!$B$11:$B$40,$B265,Override!$D$11:$D$40,13,Override!$E$11:$E$40,"&gt;=0")-COUNTIFS(Override!$B$11:$B$40,$B265,Override!$D$11:$D$40,13,Override!$E$11:$E$40,"&gt;=0",Override!$C$11:$C$40,"AS51"))&gt;0,SUMIFS(Override!$E$11:$E$40,Override!$B$11:$B$40,$B265,Override!$D$11:$D$40,13)-SUMIFS(Override!$E$11:$E$40,Override!$B$11:$B$40,$B265,Override!$D$11:$D$40,13,Override!$C$11:$C$40,"AS51"),Override!$O$297)/MXAU!$B$3,"")))</f>
        <v/>
      </c>
      <c r="S265" s="140">
        <f>IF(S$226="","",IF($B265="","",IFERROR($C265*$D265*IF((Override!$C$4="ON")*(COUNTIFS(Override!$B$11:$B$40,$B265,Override!$D$11:$D$40,14,Override!$E$11:$E$40,"&gt;=0")-COUNTIFS(Override!$B$11:$B$40,$B265,Override!$D$11:$D$40,14,Override!$E$11:$E$40,"&gt;=0",Override!$C$11:$C$40,"AS51"))&gt;0,SUMIFS(Override!$E$11:$E$40,Override!$B$11:$B$40,$B265,Override!$D$11:$D$40,14)-SUMIFS(Override!$E$11:$E$40,Override!$B$11:$B$40,$B265,Override!$D$11:$D$40,14,Override!$C$11:$C$40,"AS51"),Override!$P$297)/MXAU!$B$3,"")))</f>
        <v/>
      </c>
      <c r="T265" s="140">
        <f>IF(T$226="","",IF($B265="","",IFERROR($C265*$D265*IF((Override!$C$4="ON")*(COUNTIFS(Override!$B$11:$B$40,$B265,Override!$D$11:$D$40,15,Override!$E$11:$E$40,"&gt;=0")-COUNTIFS(Override!$B$11:$B$40,$B265,Override!$D$11:$D$40,15,Override!$E$11:$E$40,"&gt;=0",Override!$C$11:$C$40,"AS51"))&gt;0,SUMIFS(Override!$E$11:$E$40,Override!$B$11:$B$40,$B265,Override!$D$11:$D$40,15)-SUMIFS(Override!$E$11:$E$40,Override!$B$11:$B$40,$B265,Override!$D$11:$D$40,15,Override!$C$11:$C$40,"AS51"),Override!$Q$297)/MXAU!$B$3,"")))</f>
        <v/>
      </c>
      <c r="U265" s="140">
        <f>IF(U$226="","",IF($B265="","",IFERROR($C265*$D265*IF((Override!$C$4="ON")*(COUNTIFS(Override!$B$11:$B$40,$B265,Override!$D$11:$D$40,16,Override!$E$11:$E$40,"&gt;=0")-COUNTIFS(Override!$B$11:$B$40,$B265,Override!$D$11:$D$40,16,Override!$E$11:$E$40,"&gt;=0",Override!$C$11:$C$40,"AS51"))&gt;0,SUMIFS(Override!$E$11:$E$40,Override!$B$11:$B$40,$B265,Override!$D$11:$D$40,16)-SUMIFS(Override!$E$11:$E$40,Override!$B$11:$B$40,$B265,Override!$D$11:$D$40,16,Override!$C$11:$C$40,"AS51"),Override!$R$297)/MXAU!$B$3,"")))</f>
        <v/>
      </c>
      <c r="W265" s="140">
        <f>IF(W$226="","",IF($B265="","",IFERROR(F265*$E265/100,"")))</f>
        <v/>
      </c>
      <c r="X265" s="140">
        <f>IF(X$226="","",IF($B265="","",IFERROR(G265*$E265/100,"")))</f>
        <v/>
      </c>
      <c r="Y265" s="140">
        <f>IF(Y$226="","",IF($B265="","",IFERROR(H265*$E265/100,"")))</f>
        <v/>
      </c>
      <c r="Z265" s="140">
        <f>IF(Z$226="","",IF($B265="","",IFERROR(I265*$E265/100,"")))</f>
        <v/>
      </c>
      <c r="AA265" s="140">
        <f>IF(AA$226="","",IF($B265="","",IFERROR(J265*$E265/100,"")))</f>
        <v/>
      </c>
      <c r="AB265" s="140">
        <f>IF(AB$226="","",IF($B265="","",IFERROR(K265*$E265/100,"")))</f>
        <v/>
      </c>
      <c r="AC265" s="140">
        <f>IF(AC$226="","",IF($B265="","",IFERROR(L265*$E265/100,"")))</f>
        <v/>
      </c>
      <c r="AD265" s="140">
        <f>IF(AD$226="","",IF($B265="","",IFERROR(M265*$E265/100,"")))</f>
        <v/>
      </c>
      <c r="AE265" s="140">
        <f>IF(AE$226="","",IF($B265="","",IFERROR(N265*$E265/100,"")))</f>
        <v/>
      </c>
      <c r="AF265" s="140">
        <f>IF(AF$226="","",IF($B265="","",IFERROR(O265*$E265/100,"")))</f>
        <v/>
      </c>
      <c r="AG265" s="140">
        <f>IF(AG$226="","",IF($B265="","",IFERROR(P265*$E265/100,"")))</f>
        <v/>
      </c>
      <c r="AH265" s="140">
        <f>IF(AH$226="","",IF($B265="","",IFERROR(Q265*$E265/100,"")))</f>
        <v/>
      </c>
      <c r="AI265" s="140">
        <f>IF(AI$226="","",IF($B265="","",IFERROR(R265*$E265/100,"")))</f>
        <v/>
      </c>
      <c r="AJ265" s="140">
        <f>IF(AJ$226="","",IF($B265="","",IFERROR(S265*$E265/100,"")))</f>
        <v/>
      </c>
      <c r="AK265" s="140">
        <f>IF(AK$226="","",IF($B265="","",IFERROR(T265*$E265/100,"")))</f>
        <v/>
      </c>
      <c r="AL265" s="140">
        <f>IF(AL$226="","",IF($B265="","",IFERROR(U265*$E265/100,"")))</f>
        <v/>
      </c>
      <c r="AN265" s="140">
        <f>IF($B265="","",SUMIF($F$226:$U$226,"&lt;="&amp;Sector!$E$51,$F265:$U265))</f>
        <v/>
      </c>
      <c r="AO265" s="140">
        <f>IF($B265="","",SUMIF($W$226:$AL$226,"&lt;="&amp;Sector!$E$51,$W265:$AL265))</f>
        <v/>
      </c>
    </row>
    <row r="266">
      <c r="B266" s="5">
        <f>IF(MXAU!$C$43="","",MXAU!$C$43)</f>
        <v/>
      </c>
      <c r="C266" s="90">
        <f>IF(MXAU!$B$43="","",MXAU!$B$43)</f>
        <v/>
      </c>
      <c r="D266" s="138">
        <f>IFERROR(MXAU!$Q$43,1)</f>
        <v/>
      </c>
      <c r="E266" s="139">
        <f>IF($B266="","",IF(ISNUMBER(MXAU!$I$43),MXAU!$I$43,'Index Summary'!$C$7))</f>
        <v/>
      </c>
      <c r="F266" s="140">
        <f>IF(F$226="","",IF($B266="","",IFERROR($C266*$D266*IF((Override!$C$4="ON")*(COUNTIFS(Override!$B$11:$B$40,$B266,Override!$D$11:$D$40,1,Override!$E$11:$E$40,"&gt;=0")-COUNTIFS(Override!$B$11:$B$40,$B266,Override!$D$11:$D$40,1,Override!$E$11:$E$40,"&gt;=0",Override!$C$11:$C$40,"AS51"))&gt;0,SUMIFS(Override!$E$11:$E$40,Override!$B$11:$B$40,$B266,Override!$D$11:$D$40,1)-SUMIFS(Override!$E$11:$E$40,Override!$B$11:$B$40,$B266,Override!$D$11:$D$40,1,Override!$C$11:$C$40,"AS51"),Override!$C$298)/MXAU!$B$3,"")))</f>
        <v/>
      </c>
      <c r="G266" s="140">
        <f>IF(G$226="","",IF($B266="","",IFERROR($C266*$D266*IF((Override!$C$4="ON")*(COUNTIFS(Override!$B$11:$B$40,$B266,Override!$D$11:$D$40,2,Override!$E$11:$E$40,"&gt;=0")-COUNTIFS(Override!$B$11:$B$40,$B266,Override!$D$11:$D$40,2,Override!$E$11:$E$40,"&gt;=0",Override!$C$11:$C$40,"AS51"))&gt;0,SUMIFS(Override!$E$11:$E$40,Override!$B$11:$B$40,$B266,Override!$D$11:$D$40,2)-SUMIFS(Override!$E$11:$E$40,Override!$B$11:$B$40,$B266,Override!$D$11:$D$40,2,Override!$C$11:$C$40,"AS51"),Override!$D$298)/MXAU!$B$3,"")))</f>
        <v/>
      </c>
      <c r="H266" s="140">
        <f>IF(H$226="","",IF($B266="","",IFERROR($C266*$D266*IF((Override!$C$4="ON")*(COUNTIFS(Override!$B$11:$B$40,$B266,Override!$D$11:$D$40,3,Override!$E$11:$E$40,"&gt;=0")-COUNTIFS(Override!$B$11:$B$40,$B266,Override!$D$11:$D$40,3,Override!$E$11:$E$40,"&gt;=0",Override!$C$11:$C$40,"AS51"))&gt;0,SUMIFS(Override!$E$11:$E$40,Override!$B$11:$B$40,$B266,Override!$D$11:$D$40,3)-SUMIFS(Override!$E$11:$E$40,Override!$B$11:$B$40,$B266,Override!$D$11:$D$40,3,Override!$C$11:$C$40,"AS51"),Override!$E$298)/MXAU!$B$3,"")))</f>
        <v/>
      </c>
      <c r="I266" s="140">
        <f>IF(I$226="","",IF($B266="","",IFERROR($C266*$D266*IF((Override!$C$4="ON")*(COUNTIFS(Override!$B$11:$B$40,$B266,Override!$D$11:$D$40,4,Override!$E$11:$E$40,"&gt;=0")-COUNTIFS(Override!$B$11:$B$40,$B266,Override!$D$11:$D$40,4,Override!$E$11:$E$40,"&gt;=0",Override!$C$11:$C$40,"AS51"))&gt;0,SUMIFS(Override!$E$11:$E$40,Override!$B$11:$B$40,$B266,Override!$D$11:$D$40,4)-SUMIFS(Override!$E$11:$E$40,Override!$B$11:$B$40,$B266,Override!$D$11:$D$40,4,Override!$C$11:$C$40,"AS51"),Override!$F$298)/MXAU!$B$3,"")))</f>
        <v/>
      </c>
      <c r="J266" s="140">
        <f>IF(J$226="","",IF($B266="","",IFERROR($C266*$D266*IF((Override!$C$4="ON")*(COUNTIFS(Override!$B$11:$B$40,$B266,Override!$D$11:$D$40,5,Override!$E$11:$E$40,"&gt;=0")-COUNTIFS(Override!$B$11:$B$40,$B266,Override!$D$11:$D$40,5,Override!$E$11:$E$40,"&gt;=0",Override!$C$11:$C$40,"AS51"))&gt;0,SUMIFS(Override!$E$11:$E$40,Override!$B$11:$B$40,$B266,Override!$D$11:$D$40,5)-SUMIFS(Override!$E$11:$E$40,Override!$B$11:$B$40,$B266,Override!$D$11:$D$40,5,Override!$C$11:$C$40,"AS51"),Override!$G$298)/MXAU!$B$3,"")))</f>
        <v/>
      </c>
      <c r="K266" s="140">
        <f>IF(K$226="","",IF($B266="","",IFERROR($C266*$D266*IF((Override!$C$4="ON")*(COUNTIFS(Override!$B$11:$B$40,$B266,Override!$D$11:$D$40,6,Override!$E$11:$E$40,"&gt;=0")-COUNTIFS(Override!$B$11:$B$40,$B266,Override!$D$11:$D$40,6,Override!$E$11:$E$40,"&gt;=0",Override!$C$11:$C$40,"AS51"))&gt;0,SUMIFS(Override!$E$11:$E$40,Override!$B$11:$B$40,$B266,Override!$D$11:$D$40,6)-SUMIFS(Override!$E$11:$E$40,Override!$B$11:$B$40,$B266,Override!$D$11:$D$40,6,Override!$C$11:$C$40,"AS51"),Override!$H$298)/MXAU!$B$3,"")))</f>
        <v/>
      </c>
      <c r="L266" s="140">
        <f>IF(L$226="","",IF($B266="","",IFERROR($C266*$D266*IF((Override!$C$4="ON")*(COUNTIFS(Override!$B$11:$B$40,$B266,Override!$D$11:$D$40,7,Override!$E$11:$E$40,"&gt;=0")-COUNTIFS(Override!$B$11:$B$40,$B266,Override!$D$11:$D$40,7,Override!$E$11:$E$40,"&gt;=0",Override!$C$11:$C$40,"AS51"))&gt;0,SUMIFS(Override!$E$11:$E$40,Override!$B$11:$B$40,$B266,Override!$D$11:$D$40,7)-SUMIFS(Override!$E$11:$E$40,Override!$B$11:$B$40,$B266,Override!$D$11:$D$40,7,Override!$C$11:$C$40,"AS51"),Override!$I$298)/MXAU!$B$3,"")))</f>
        <v/>
      </c>
      <c r="M266" s="140">
        <f>IF(M$226="","",IF($B266="","",IFERROR($C266*$D266*IF((Override!$C$4="ON")*(COUNTIFS(Override!$B$11:$B$40,$B266,Override!$D$11:$D$40,8,Override!$E$11:$E$40,"&gt;=0")-COUNTIFS(Override!$B$11:$B$40,$B266,Override!$D$11:$D$40,8,Override!$E$11:$E$40,"&gt;=0",Override!$C$11:$C$40,"AS51"))&gt;0,SUMIFS(Override!$E$11:$E$40,Override!$B$11:$B$40,$B266,Override!$D$11:$D$40,8)-SUMIFS(Override!$E$11:$E$40,Override!$B$11:$B$40,$B266,Override!$D$11:$D$40,8,Override!$C$11:$C$40,"AS51"),Override!$J$298)/MXAU!$B$3,"")))</f>
        <v/>
      </c>
      <c r="N266" s="140">
        <f>IF(N$226="","",IF($B266="","",IFERROR($C266*$D266*IF((Override!$C$4="ON")*(COUNTIFS(Override!$B$11:$B$40,$B266,Override!$D$11:$D$40,9,Override!$E$11:$E$40,"&gt;=0")-COUNTIFS(Override!$B$11:$B$40,$B266,Override!$D$11:$D$40,9,Override!$E$11:$E$40,"&gt;=0",Override!$C$11:$C$40,"AS51"))&gt;0,SUMIFS(Override!$E$11:$E$40,Override!$B$11:$B$40,$B266,Override!$D$11:$D$40,9)-SUMIFS(Override!$E$11:$E$40,Override!$B$11:$B$40,$B266,Override!$D$11:$D$40,9,Override!$C$11:$C$40,"AS51"),Override!$K$298)/MXAU!$B$3,"")))</f>
        <v/>
      </c>
      <c r="O266" s="140">
        <f>IF(O$226="","",IF($B266="","",IFERROR($C266*$D266*IF((Override!$C$4="ON")*(COUNTIFS(Override!$B$11:$B$40,$B266,Override!$D$11:$D$40,10,Override!$E$11:$E$40,"&gt;=0")-COUNTIFS(Override!$B$11:$B$40,$B266,Override!$D$11:$D$40,10,Override!$E$11:$E$40,"&gt;=0",Override!$C$11:$C$40,"AS51"))&gt;0,SUMIFS(Override!$E$11:$E$40,Override!$B$11:$B$40,$B266,Override!$D$11:$D$40,10)-SUMIFS(Override!$E$11:$E$40,Override!$B$11:$B$40,$B266,Override!$D$11:$D$40,10,Override!$C$11:$C$40,"AS51"),Override!$L$298)/MXAU!$B$3,"")))</f>
        <v/>
      </c>
      <c r="P266" s="140">
        <f>IF(P$226="","",IF($B266="","",IFERROR($C266*$D266*IF((Override!$C$4="ON")*(COUNTIFS(Override!$B$11:$B$40,$B266,Override!$D$11:$D$40,11,Override!$E$11:$E$40,"&gt;=0")-COUNTIFS(Override!$B$11:$B$40,$B266,Override!$D$11:$D$40,11,Override!$E$11:$E$40,"&gt;=0",Override!$C$11:$C$40,"AS51"))&gt;0,SUMIFS(Override!$E$11:$E$40,Override!$B$11:$B$40,$B266,Override!$D$11:$D$40,11)-SUMIFS(Override!$E$11:$E$40,Override!$B$11:$B$40,$B266,Override!$D$11:$D$40,11,Override!$C$11:$C$40,"AS51"),Override!$M$298)/MXAU!$B$3,"")))</f>
        <v/>
      </c>
      <c r="Q266" s="140">
        <f>IF(Q$226="","",IF($B266="","",IFERROR($C266*$D266*IF((Override!$C$4="ON")*(COUNTIFS(Override!$B$11:$B$40,$B266,Override!$D$11:$D$40,12,Override!$E$11:$E$40,"&gt;=0")-COUNTIFS(Override!$B$11:$B$40,$B266,Override!$D$11:$D$40,12,Override!$E$11:$E$40,"&gt;=0",Override!$C$11:$C$40,"AS51"))&gt;0,SUMIFS(Override!$E$11:$E$40,Override!$B$11:$B$40,$B266,Override!$D$11:$D$40,12)-SUMIFS(Override!$E$11:$E$40,Override!$B$11:$B$40,$B266,Override!$D$11:$D$40,12,Override!$C$11:$C$40,"AS51"),Override!$N$298)/MXAU!$B$3,"")))</f>
        <v/>
      </c>
      <c r="R266" s="140">
        <f>IF(R$226="","",IF($B266="","",IFERROR($C266*$D266*IF((Override!$C$4="ON")*(COUNTIFS(Override!$B$11:$B$40,$B266,Override!$D$11:$D$40,13,Override!$E$11:$E$40,"&gt;=0")-COUNTIFS(Override!$B$11:$B$40,$B266,Override!$D$11:$D$40,13,Override!$E$11:$E$40,"&gt;=0",Override!$C$11:$C$40,"AS51"))&gt;0,SUMIFS(Override!$E$11:$E$40,Override!$B$11:$B$40,$B266,Override!$D$11:$D$40,13)-SUMIFS(Override!$E$11:$E$40,Override!$B$11:$B$40,$B266,Override!$D$11:$D$40,13,Override!$C$11:$C$40,"AS51"),Override!$O$298)/MXAU!$B$3,"")))</f>
        <v/>
      </c>
      <c r="S266" s="140">
        <f>IF(S$226="","",IF($B266="","",IFERROR($C266*$D266*IF((Override!$C$4="ON")*(COUNTIFS(Override!$B$11:$B$40,$B266,Override!$D$11:$D$40,14,Override!$E$11:$E$40,"&gt;=0")-COUNTIFS(Override!$B$11:$B$40,$B266,Override!$D$11:$D$40,14,Override!$E$11:$E$40,"&gt;=0",Override!$C$11:$C$40,"AS51"))&gt;0,SUMIFS(Override!$E$11:$E$40,Override!$B$11:$B$40,$B266,Override!$D$11:$D$40,14)-SUMIFS(Override!$E$11:$E$40,Override!$B$11:$B$40,$B266,Override!$D$11:$D$40,14,Override!$C$11:$C$40,"AS51"),Override!$P$298)/MXAU!$B$3,"")))</f>
        <v/>
      </c>
      <c r="T266" s="140">
        <f>IF(T$226="","",IF($B266="","",IFERROR($C266*$D266*IF((Override!$C$4="ON")*(COUNTIFS(Override!$B$11:$B$40,$B266,Override!$D$11:$D$40,15,Override!$E$11:$E$40,"&gt;=0")-COUNTIFS(Override!$B$11:$B$40,$B266,Override!$D$11:$D$40,15,Override!$E$11:$E$40,"&gt;=0",Override!$C$11:$C$40,"AS51"))&gt;0,SUMIFS(Override!$E$11:$E$40,Override!$B$11:$B$40,$B266,Override!$D$11:$D$40,15)-SUMIFS(Override!$E$11:$E$40,Override!$B$11:$B$40,$B266,Override!$D$11:$D$40,15,Override!$C$11:$C$40,"AS51"),Override!$Q$298)/MXAU!$B$3,"")))</f>
        <v/>
      </c>
      <c r="U266" s="140">
        <f>IF(U$226="","",IF($B266="","",IFERROR($C266*$D266*IF((Override!$C$4="ON")*(COUNTIFS(Override!$B$11:$B$40,$B266,Override!$D$11:$D$40,16,Override!$E$11:$E$40,"&gt;=0")-COUNTIFS(Override!$B$11:$B$40,$B266,Override!$D$11:$D$40,16,Override!$E$11:$E$40,"&gt;=0",Override!$C$11:$C$40,"AS51"))&gt;0,SUMIFS(Override!$E$11:$E$40,Override!$B$11:$B$40,$B266,Override!$D$11:$D$40,16)-SUMIFS(Override!$E$11:$E$40,Override!$B$11:$B$40,$B266,Override!$D$11:$D$40,16,Override!$C$11:$C$40,"AS51"),Override!$R$298)/MXAU!$B$3,"")))</f>
        <v/>
      </c>
      <c r="W266" s="140">
        <f>IF(W$226="","",IF($B266="","",IFERROR(F266*$E266/100,"")))</f>
        <v/>
      </c>
      <c r="X266" s="140">
        <f>IF(X$226="","",IF($B266="","",IFERROR(G266*$E266/100,"")))</f>
        <v/>
      </c>
      <c r="Y266" s="140">
        <f>IF(Y$226="","",IF($B266="","",IFERROR(H266*$E266/100,"")))</f>
        <v/>
      </c>
      <c r="Z266" s="140">
        <f>IF(Z$226="","",IF($B266="","",IFERROR(I266*$E266/100,"")))</f>
        <v/>
      </c>
      <c r="AA266" s="140">
        <f>IF(AA$226="","",IF($B266="","",IFERROR(J266*$E266/100,"")))</f>
        <v/>
      </c>
      <c r="AB266" s="140">
        <f>IF(AB$226="","",IF($B266="","",IFERROR(K266*$E266/100,"")))</f>
        <v/>
      </c>
      <c r="AC266" s="140">
        <f>IF(AC$226="","",IF($B266="","",IFERROR(L266*$E266/100,"")))</f>
        <v/>
      </c>
      <c r="AD266" s="140">
        <f>IF(AD$226="","",IF($B266="","",IFERROR(M266*$E266/100,"")))</f>
        <v/>
      </c>
      <c r="AE266" s="140">
        <f>IF(AE$226="","",IF($B266="","",IFERROR(N266*$E266/100,"")))</f>
        <v/>
      </c>
      <c r="AF266" s="140">
        <f>IF(AF$226="","",IF($B266="","",IFERROR(O266*$E266/100,"")))</f>
        <v/>
      </c>
      <c r="AG266" s="140">
        <f>IF(AG$226="","",IF($B266="","",IFERROR(P266*$E266/100,"")))</f>
        <v/>
      </c>
      <c r="AH266" s="140">
        <f>IF(AH$226="","",IF($B266="","",IFERROR(Q266*$E266/100,"")))</f>
        <v/>
      </c>
      <c r="AI266" s="140">
        <f>IF(AI$226="","",IF($B266="","",IFERROR(R266*$E266/100,"")))</f>
        <v/>
      </c>
      <c r="AJ266" s="140">
        <f>IF(AJ$226="","",IF($B266="","",IFERROR(S266*$E266/100,"")))</f>
        <v/>
      </c>
      <c r="AK266" s="140">
        <f>IF(AK$226="","",IF($B266="","",IFERROR(T266*$E266/100,"")))</f>
        <v/>
      </c>
      <c r="AL266" s="140">
        <f>IF(AL$226="","",IF($B266="","",IFERROR(U266*$E266/100,"")))</f>
        <v/>
      </c>
      <c r="AN266" s="140">
        <f>IF($B266="","",SUMIF($F$226:$U$226,"&lt;="&amp;Sector!$E$51,$F266:$U266))</f>
        <v/>
      </c>
      <c r="AO266" s="140">
        <f>IF($B266="","",SUMIF($W$226:$AL$226,"&lt;="&amp;Sector!$E$51,$W266:$AL266))</f>
        <v/>
      </c>
    </row>
    <row r="267">
      <c r="B267" s="5">
        <f>IF(MXAU!$C$44="","",MXAU!$C$44)</f>
        <v/>
      </c>
      <c r="C267" s="90">
        <f>IF(MXAU!$B$44="","",MXAU!$B$44)</f>
        <v/>
      </c>
      <c r="D267" s="138">
        <f>IFERROR(MXAU!$Q$44,1)</f>
        <v/>
      </c>
      <c r="E267" s="139">
        <f>IF($B267="","",IF(ISNUMBER(MXAU!$I$44),MXAU!$I$44,'Index Summary'!$C$7))</f>
        <v/>
      </c>
      <c r="F267" s="140">
        <f>IF(F$226="","",IF($B267="","",IFERROR($C267*$D267*IF((Override!$C$4="ON")*(COUNTIFS(Override!$B$11:$B$40,$B267,Override!$D$11:$D$40,1,Override!$E$11:$E$40,"&gt;=0")-COUNTIFS(Override!$B$11:$B$40,$B267,Override!$D$11:$D$40,1,Override!$E$11:$E$40,"&gt;=0",Override!$C$11:$C$40,"AS51"))&gt;0,SUMIFS(Override!$E$11:$E$40,Override!$B$11:$B$40,$B267,Override!$D$11:$D$40,1)-SUMIFS(Override!$E$11:$E$40,Override!$B$11:$B$40,$B267,Override!$D$11:$D$40,1,Override!$C$11:$C$40,"AS51"),Override!$C$299)/MXAU!$B$3,"")))</f>
        <v/>
      </c>
      <c r="G267" s="140">
        <f>IF(G$226="","",IF($B267="","",IFERROR($C267*$D267*IF((Override!$C$4="ON")*(COUNTIFS(Override!$B$11:$B$40,$B267,Override!$D$11:$D$40,2,Override!$E$11:$E$40,"&gt;=0")-COUNTIFS(Override!$B$11:$B$40,$B267,Override!$D$11:$D$40,2,Override!$E$11:$E$40,"&gt;=0",Override!$C$11:$C$40,"AS51"))&gt;0,SUMIFS(Override!$E$11:$E$40,Override!$B$11:$B$40,$B267,Override!$D$11:$D$40,2)-SUMIFS(Override!$E$11:$E$40,Override!$B$11:$B$40,$B267,Override!$D$11:$D$40,2,Override!$C$11:$C$40,"AS51"),Override!$D$299)/MXAU!$B$3,"")))</f>
        <v/>
      </c>
      <c r="H267" s="140">
        <f>IF(H$226="","",IF($B267="","",IFERROR($C267*$D267*IF((Override!$C$4="ON")*(COUNTIFS(Override!$B$11:$B$40,$B267,Override!$D$11:$D$40,3,Override!$E$11:$E$40,"&gt;=0")-COUNTIFS(Override!$B$11:$B$40,$B267,Override!$D$11:$D$40,3,Override!$E$11:$E$40,"&gt;=0",Override!$C$11:$C$40,"AS51"))&gt;0,SUMIFS(Override!$E$11:$E$40,Override!$B$11:$B$40,$B267,Override!$D$11:$D$40,3)-SUMIFS(Override!$E$11:$E$40,Override!$B$11:$B$40,$B267,Override!$D$11:$D$40,3,Override!$C$11:$C$40,"AS51"),Override!$E$299)/MXAU!$B$3,"")))</f>
        <v/>
      </c>
      <c r="I267" s="140">
        <f>IF(I$226="","",IF($B267="","",IFERROR($C267*$D267*IF((Override!$C$4="ON")*(COUNTIFS(Override!$B$11:$B$40,$B267,Override!$D$11:$D$40,4,Override!$E$11:$E$40,"&gt;=0")-COUNTIFS(Override!$B$11:$B$40,$B267,Override!$D$11:$D$40,4,Override!$E$11:$E$40,"&gt;=0",Override!$C$11:$C$40,"AS51"))&gt;0,SUMIFS(Override!$E$11:$E$40,Override!$B$11:$B$40,$B267,Override!$D$11:$D$40,4)-SUMIFS(Override!$E$11:$E$40,Override!$B$11:$B$40,$B267,Override!$D$11:$D$40,4,Override!$C$11:$C$40,"AS51"),Override!$F$299)/MXAU!$B$3,"")))</f>
        <v/>
      </c>
      <c r="J267" s="140">
        <f>IF(J$226="","",IF($B267="","",IFERROR($C267*$D267*IF((Override!$C$4="ON")*(COUNTIFS(Override!$B$11:$B$40,$B267,Override!$D$11:$D$40,5,Override!$E$11:$E$40,"&gt;=0")-COUNTIFS(Override!$B$11:$B$40,$B267,Override!$D$11:$D$40,5,Override!$E$11:$E$40,"&gt;=0",Override!$C$11:$C$40,"AS51"))&gt;0,SUMIFS(Override!$E$11:$E$40,Override!$B$11:$B$40,$B267,Override!$D$11:$D$40,5)-SUMIFS(Override!$E$11:$E$40,Override!$B$11:$B$40,$B267,Override!$D$11:$D$40,5,Override!$C$11:$C$40,"AS51"),Override!$G$299)/MXAU!$B$3,"")))</f>
        <v/>
      </c>
      <c r="K267" s="140">
        <f>IF(K$226="","",IF($B267="","",IFERROR($C267*$D267*IF((Override!$C$4="ON")*(COUNTIFS(Override!$B$11:$B$40,$B267,Override!$D$11:$D$40,6,Override!$E$11:$E$40,"&gt;=0")-COUNTIFS(Override!$B$11:$B$40,$B267,Override!$D$11:$D$40,6,Override!$E$11:$E$40,"&gt;=0",Override!$C$11:$C$40,"AS51"))&gt;0,SUMIFS(Override!$E$11:$E$40,Override!$B$11:$B$40,$B267,Override!$D$11:$D$40,6)-SUMIFS(Override!$E$11:$E$40,Override!$B$11:$B$40,$B267,Override!$D$11:$D$40,6,Override!$C$11:$C$40,"AS51"),Override!$H$299)/MXAU!$B$3,"")))</f>
        <v/>
      </c>
      <c r="L267" s="140">
        <f>IF(L$226="","",IF($B267="","",IFERROR($C267*$D267*IF((Override!$C$4="ON")*(COUNTIFS(Override!$B$11:$B$40,$B267,Override!$D$11:$D$40,7,Override!$E$11:$E$40,"&gt;=0")-COUNTIFS(Override!$B$11:$B$40,$B267,Override!$D$11:$D$40,7,Override!$E$11:$E$40,"&gt;=0",Override!$C$11:$C$40,"AS51"))&gt;0,SUMIFS(Override!$E$11:$E$40,Override!$B$11:$B$40,$B267,Override!$D$11:$D$40,7)-SUMIFS(Override!$E$11:$E$40,Override!$B$11:$B$40,$B267,Override!$D$11:$D$40,7,Override!$C$11:$C$40,"AS51"),Override!$I$299)/MXAU!$B$3,"")))</f>
        <v/>
      </c>
      <c r="M267" s="140">
        <f>IF(M$226="","",IF($B267="","",IFERROR($C267*$D267*IF((Override!$C$4="ON")*(COUNTIFS(Override!$B$11:$B$40,$B267,Override!$D$11:$D$40,8,Override!$E$11:$E$40,"&gt;=0")-COUNTIFS(Override!$B$11:$B$40,$B267,Override!$D$11:$D$40,8,Override!$E$11:$E$40,"&gt;=0",Override!$C$11:$C$40,"AS51"))&gt;0,SUMIFS(Override!$E$11:$E$40,Override!$B$11:$B$40,$B267,Override!$D$11:$D$40,8)-SUMIFS(Override!$E$11:$E$40,Override!$B$11:$B$40,$B267,Override!$D$11:$D$40,8,Override!$C$11:$C$40,"AS51"),Override!$J$299)/MXAU!$B$3,"")))</f>
        <v/>
      </c>
      <c r="N267" s="140">
        <f>IF(N$226="","",IF($B267="","",IFERROR($C267*$D267*IF((Override!$C$4="ON")*(COUNTIFS(Override!$B$11:$B$40,$B267,Override!$D$11:$D$40,9,Override!$E$11:$E$40,"&gt;=0")-COUNTIFS(Override!$B$11:$B$40,$B267,Override!$D$11:$D$40,9,Override!$E$11:$E$40,"&gt;=0",Override!$C$11:$C$40,"AS51"))&gt;0,SUMIFS(Override!$E$11:$E$40,Override!$B$11:$B$40,$B267,Override!$D$11:$D$40,9)-SUMIFS(Override!$E$11:$E$40,Override!$B$11:$B$40,$B267,Override!$D$11:$D$40,9,Override!$C$11:$C$40,"AS51"),Override!$K$299)/MXAU!$B$3,"")))</f>
        <v/>
      </c>
      <c r="O267" s="140">
        <f>IF(O$226="","",IF($B267="","",IFERROR($C267*$D267*IF((Override!$C$4="ON")*(COUNTIFS(Override!$B$11:$B$40,$B267,Override!$D$11:$D$40,10,Override!$E$11:$E$40,"&gt;=0")-COUNTIFS(Override!$B$11:$B$40,$B267,Override!$D$11:$D$40,10,Override!$E$11:$E$40,"&gt;=0",Override!$C$11:$C$40,"AS51"))&gt;0,SUMIFS(Override!$E$11:$E$40,Override!$B$11:$B$40,$B267,Override!$D$11:$D$40,10)-SUMIFS(Override!$E$11:$E$40,Override!$B$11:$B$40,$B267,Override!$D$11:$D$40,10,Override!$C$11:$C$40,"AS51"),Override!$L$299)/MXAU!$B$3,"")))</f>
        <v/>
      </c>
      <c r="P267" s="140">
        <f>IF(P$226="","",IF($B267="","",IFERROR($C267*$D267*IF((Override!$C$4="ON")*(COUNTIFS(Override!$B$11:$B$40,$B267,Override!$D$11:$D$40,11,Override!$E$11:$E$40,"&gt;=0")-COUNTIFS(Override!$B$11:$B$40,$B267,Override!$D$11:$D$40,11,Override!$E$11:$E$40,"&gt;=0",Override!$C$11:$C$40,"AS51"))&gt;0,SUMIFS(Override!$E$11:$E$40,Override!$B$11:$B$40,$B267,Override!$D$11:$D$40,11)-SUMIFS(Override!$E$11:$E$40,Override!$B$11:$B$40,$B267,Override!$D$11:$D$40,11,Override!$C$11:$C$40,"AS51"),Override!$M$299)/MXAU!$B$3,"")))</f>
        <v/>
      </c>
      <c r="Q267" s="140">
        <f>IF(Q$226="","",IF($B267="","",IFERROR($C267*$D267*IF((Override!$C$4="ON")*(COUNTIFS(Override!$B$11:$B$40,$B267,Override!$D$11:$D$40,12,Override!$E$11:$E$40,"&gt;=0")-COUNTIFS(Override!$B$11:$B$40,$B267,Override!$D$11:$D$40,12,Override!$E$11:$E$40,"&gt;=0",Override!$C$11:$C$40,"AS51"))&gt;0,SUMIFS(Override!$E$11:$E$40,Override!$B$11:$B$40,$B267,Override!$D$11:$D$40,12)-SUMIFS(Override!$E$11:$E$40,Override!$B$11:$B$40,$B267,Override!$D$11:$D$40,12,Override!$C$11:$C$40,"AS51"),Override!$N$299)/MXAU!$B$3,"")))</f>
        <v/>
      </c>
      <c r="R267" s="140">
        <f>IF(R$226="","",IF($B267="","",IFERROR($C267*$D267*IF((Override!$C$4="ON")*(COUNTIFS(Override!$B$11:$B$40,$B267,Override!$D$11:$D$40,13,Override!$E$11:$E$40,"&gt;=0")-COUNTIFS(Override!$B$11:$B$40,$B267,Override!$D$11:$D$40,13,Override!$E$11:$E$40,"&gt;=0",Override!$C$11:$C$40,"AS51"))&gt;0,SUMIFS(Override!$E$11:$E$40,Override!$B$11:$B$40,$B267,Override!$D$11:$D$40,13)-SUMIFS(Override!$E$11:$E$40,Override!$B$11:$B$40,$B267,Override!$D$11:$D$40,13,Override!$C$11:$C$40,"AS51"),Override!$O$299)/MXAU!$B$3,"")))</f>
        <v/>
      </c>
      <c r="S267" s="140">
        <f>IF(S$226="","",IF($B267="","",IFERROR($C267*$D267*IF((Override!$C$4="ON")*(COUNTIFS(Override!$B$11:$B$40,$B267,Override!$D$11:$D$40,14,Override!$E$11:$E$40,"&gt;=0")-COUNTIFS(Override!$B$11:$B$40,$B267,Override!$D$11:$D$40,14,Override!$E$11:$E$40,"&gt;=0",Override!$C$11:$C$40,"AS51"))&gt;0,SUMIFS(Override!$E$11:$E$40,Override!$B$11:$B$40,$B267,Override!$D$11:$D$40,14)-SUMIFS(Override!$E$11:$E$40,Override!$B$11:$B$40,$B267,Override!$D$11:$D$40,14,Override!$C$11:$C$40,"AS51"),Override!$P$299)/MXAU!$B$3,"")))</f>
        <v/>
      </c>
      <c r="T267" s="140">
        <f>IF(T$226="","",IF($B267="","",IFERROR($C267*$D267*IF((Override!$C$4="ON")*(COUNTIFS(Override!$B$11:$B$40,$B267,Override!$D$11:$D$40,15,Override!$E$11:$E$40,"&gt;=0")-COUNTIFS(Override!$B$11:$B$40,$B267,Override!$D$11:$D$40,15,Override!$E$11:$E$40,"&gt;=0",Override!$C$11:$C$40,"AS51"))&gt;0,SUMIFS(Override!$E$11:$E$40,Override!$B$11:$B$40,$B267,Override!$D$11:$D$40,15)-SUMIFS(Override!$E$11:$E$40,Override!$B$11:$B$40,$B267,Override!$D$11:$D$40,15,Override!$C$11:$C$40,"AS51"),Override!$Q$299)/MXAU!$B$3,"")))</f>
        <v/>
      </c>
      <c r="U267" s="140">
        <f>IF(U$226="","",IF($B267="","",IFERROR($C267*$D267*IF((Override!$C$4="ON")*(COUNTIFS(Override!$B$11:$B$40,$B267,Override!$D$11:$D$40,16,Override!$E$11:$E$40,"&gt;=0")-COUNTIFS(Override!$B$11:$B$40,$B267,Override!$D$11:$D$40,16,Override!$E$11:$E$40,"&gt;=0",Override!$C$11:$C$40,"AS51"))&gt;0,SUMIFS(Override!$E$11:$E$40,Override!$B$11:$B$40,$B267,Override!$D$11:$D$40,16)-SUMIFS(Override!$E$11:$E$40,Override!$B$11:$B$40,$B267,Override!$D$11:$D$40,16,Override!$C$11:$C$40,"AS51"),Override!$R$299)/MXAU!$B$3,"")))</f>
        <v/>
      </c>
      <c r="W267" s="140">
        <f>IF(W$226="","",IF($B267="","",IFERROR(F267*$E267/100,"")))</f>
        <v/>
      </c>
      <c r="X267" s="140">
        <f>IF(X$226="","",IF($B267="","",IFERROR(G267*$E267/100,"")))</f>
        <v/>
      </c>
      <c r="Y267" s="140">
        <f>IF(Y$226="","",IF($B267="","",IFERROR(H267*$E267/100,"")))</f>
        <v/>
      </c>
      <c r="Z267" s="140">
        <f>IF(Z$226="","",IF($B267="","",IFERROR(I267*$E267/100,"")))</f>
        <v/>
      </c>
      <c r="AA267" s="140">
        <f>IF(AA$226="","",IF($B267="","",IFERROR(J267*$E267/100,"")))</f>
        <v/>
      </c>
      <c r="AB267" s="140">
        <f>IF(AB$226="","",IF($B267="","",IFERROR(K267*$E267/100,"")))</f>
        <v/>
      </c>
      <c r="AC267" s="140">
        <f>IF(AC$226="","",IF($B267="","",IFERROR(L267*$E267/100,"")))</f>
        <v/>
      </c>
      <c r="AD267" s="140">
        <f>IF(AD$226="","",IF($B267="","",IFERROR(M267*$E267/100,"")))</f>
        <v/>
      </c>
      <c r="AE267" s="140">
        <f>IF(AE$226="","",IF($B267="","",IFERROR(N267*$E267/100,"")))</f>
        <v/>
      </c>
      <c r="AF267" s="140">
        <f>IF(AF$226="","",IF($B267="","",IFERROR(O267*$E267/100,"")))</f>
        <v/>
      </c>
      <c r="AG267" s="140">
        <f>IF(AG$226="","",IF($B267="","",IFERROR(P267*$E267/100,"")))</f>
        <v/>
      </c>
      <c r="AH267" s="140">
        <f>IF(AH$226="","",IF($B267="","",IFERROR(Q267*$E267/100,"")))</f>
        <v/>
      </c>
      <c r="AI267" s="140">
        <f>IF(AI$226="","",IF($B267="","",IFERROR(R267*$E267/100,"")))</f>
        <v/>
      </c>
      <c r="AJ267" s="140">
        <f>IF(AJ$226="","",IF($B267="","",IFERROR(S267*$E267/100,"")))</f>
        <v/>
      </c>
      <c r="AK267" s="140">
        <f>IF(AK$226="","",IF($B267="","",IFERROR(T267*$E267/100,"")))</f>
        <v/>
      </c>
      <c r="AL267" s="140">
        <f>IF(AL$226="","",IF($B267="","",IFERROR(U267*$E267/100,"")))</f>
        <v/>
      </c>
      <c r="AN267" s="140">
        <f>IF($B267="","",SUMIF($F$226:$U$226,"&lt;="&amp;Sector!$E$51,$F267:$U267))</f>
        <v/>
      </c>
      <c r="AO267" s="140">
        <f>IF($B267="","",SUMIF($W$226:$AL$226,"&lt;="&amp;Sector!$E$51,$W267:$AL267))</f>
        <v/>
      </c>
    </row>
    <row r="268">
      <c r="B268" s="5">
        <f>IF(MXAU!$C$45="","",MXAU!$C$45)</f>
        <v/>
      </c>
      <c r="C268" s="90">
        <f>IF(MXAU!$B$45="","",MXAU!$B$45)</f>
        <v/>
      </c>
      <c r="D268" s="138">
        <f>IFERROR(MXAU!$Q$45,1)</f>
        <v/>
      </c>
      <c r="E268" s="139">
        <f>IF($B268="","",IF(ISNUMBER(MXAU!$I$45),MXAU!$I$45,'Index Summary'!$C$7))</f>
        <v/>
      </c>
      <c r="F268" s="140">
        <f>IF(F$226="","",IF($B268="","",IFERROR($C268*$D268*IF((Override!$C$4="ON")*(COUNTIFS(Override!$B$11:$B$40,$B268,Override!$D$11:$D$40,1,Override!$E$11:$E$40,"&gt;=0")-COUNTIFS(Override!$B$11:$B$40,$B268,Override!$D$11:$D$40,1,Override!$E$11:$E$40,"&gt;=0",Override!$C$11:$C$40,"AS51"))&gt;0,SUMIFS(Override!$E$11:$E$40,Override!$B$11:$B$40,$B268,Override!$D$11:$D$40,1)-SUMIFS(Override!$E$11:$E$40,Override!$B$11:$B$40,$B268,Override!$D$11:$D$40,1,Override!$C$11:$C$40,"AS51"),Override!$C$300)/MXAU!$B$3,"")))</f>
        <v/>
      </c>
      <c r="G268" s="140">
        <f>IF(G$226="","",IF($B268="","",IFERROR($C268*$D268*IF((Override!$C$4="ON")*(COUNTIFS(Override!$B$11:$B$40,$B268,Override!$D$11:$D$40,2,Override!$E$11:$E$40,"&gt;=0")-COUNTIFS(Override!$B$11:$B$40,$B268,Override!$D$11:$D$40,2,Override!$E$11:$E$40,"&gt;=0",Override!$C$11:$C$40,"AS51"))&gt;0,SUMIFS(Override!$E$11:$E$40,Override!$B$11:$B$40,$B268,Override!$D$11:$D$40,2)-SUMIFS(Override!$E$11:$E$40,Override!$B$11:$B$40,$B268,Override!$D$11:$D$40,2,Override!$C$11:$C$40,"AS51"),Override!$D$300)/MXAU!$B$3,"")))</f>
        <v/>
      </c>
      <c r="H268" s="140">
        <f>IF(H$226="","",IF($B268="","",IFERROR($C268*$D268*IF((Override!$C$4="ON")*(COUNTIFS(Override!$B$11:$B$40,$B268,Override!$D$11:$D$40,3,Override!$E$11:$E$40,"&gt;=0")-COUNTIFS(Override!$B$11:$B$40,$B268,Override!$D$11:$D$40,3,Override!$E$11:$E$40,"&gt;=0",Override!$C$11:$C$40,"AS51"))&gt;0,SUMIFS(Override!$E$11:$E$40,Override!$B$11:$B$40,$B268,Override!$D$11:$D$40,3)-SUMIFS(Override!$E$11:$E$40,Override!$B$11:$B$40,$B268,Override!$D$11:$D$40,3,Override!$C$11:$C$40,"AS51"),Override!$E$300)/MXAU!$B$3,"")))</f>
        <v/>
      </c>
      <c r="I268" s="140">
        <f>IF(I$226="","",IF($B268="","",IFERROR($C268*$D268*IF((Override!$C$4="ON")*(COUNTIFS(Override!$B$11:$B$40,$B268,Override!$D$11:$D$40,4,Override!$E$11:$E$40,"&gt;=0")-COUNTIFS(Override!$B$11:$B$40,$B268,Override!$D$11:$D$40,4,Override!$E$11:$E$40,"&gt;=0",Override!$C$11:$C$40,"AS51"))&gt;0,SUMIFS(Override!$E$11:$E$40,Override!$B$11:$B$40,$B268,Override!$D$11:$D$40,4)-SUMIFS(Override!$E$11:$E$40,Override!$B$11:$B$40,$B268,Override!$D$11:$D$40,4,Override!$C$11:$C$40,"AS51"),Override!$F$300)/MXAU!$B$3,"")))</f>
        <v/>
      </c>
      <c r="J268" s="140">
        <f>IF(J$226="","",IF($B268="","",IFERROR($C268*$D268*IF((Override!$C$4="ON")*(COUNTIFS(Override!$B$11:$B$40,$B268,Override!$D$11:$D$40,5,Override!$E$11:$E$40,"&gt;=0")-COUNTIFS(Override!$B$11:$B$40,$B268,Override!$D$11:$D$40,5,Override!$E$11:$E$40,"&gt;=0",Override!$C$11:$C$40,"AS51"))&gt;0,SUMIFS(Override!$E$11:$E$40,Override!$B$11:$B$40,$B268,Override!$D$11:$D$40,5)-SUMIFS(Override!$E$11:$E$40,Override!$B$11:$B$40,$B268,Override!$D$11:$D$40,5,Override!$C$11:$C$40,"AS51"),Override!$G$300)/MXAU!$B$3,"")))</f>
        <v/>
      </c>
      <c r="K268" s="140">
        <f>IF(K$226="","",IF($B268="","",IFERROR($C268*$D268*IF((Override!$C$4="ON")*(COUNTIFS(Override!$B$11:$B$40,$B268,Override!$D$11:$D$40,6,Override!$E$11:$E$40,"&gt;=0")-COUNTIFS(Override!$B$11:$B$40,$B268,Override!$D$11:$D$40,6,Override!$E$11:$E$40,"&gt;=0",Override!$C$11:$C$40,"AS51"))&gt;0,SUMIFS(Override!$E$11:$E$40,Override!$B$11:$B$40,$B268,Override!$D$11:$D$40,6)-SUMIFS(Override!$E$11:$E$40,Override!$B$11:$B$40,$B268,Override!$D$11:$D$40,6,Override!$C$11:$C$40,"AS51"),Override!$H$300)/MXAU!$B$3,"")))</f>
        <v/>
      </c>
      <c r="L268" s="140">
        <f>IF(L$226="","",IF($B268="","",IFERROR($C268*$D268*IF((Override!$C$4="ON")*(COUNTIFS(Override!$B$11:$B$40,$B268,Override!$D$11:$D$40,7,Override!$E$11:$E$40,"&gt;=0")-COUNTIFS(Override!$B$11:$B$40,$B268,Override!$D$11:$D$40,7,Override!$E$11:$E$40,"&gt;=0",Override!$C$11:$C$40,"AS51"))&gt;0,SUMIFS(Override!$E$11:$E$40,Override!$B$11:$B$40,$B268,Override!$D$11:$D$40,7)-SUMIFS(Override!$E$11:$E$40,Override!$B$11:$B$40,$B268,Override!$D$11:$D$40,7,Override!$C$11:$C$40,"AS51"),Override!$I$300)/MXAU!$B$3,"")))</f>
        <v/>
      </c>
      <c r="M268" s="140">
        <f>IF(M$226="","",IF($B268="","",IFERROR($C268*$D268*IF((Override!$C$4="ON")*(COUNTIFS(Override!$B$11:$B$40,$B268,Override!$D$11:$D$40,8,Override!$E$11:$E$40,"&gt;=0")-COUNTIFS(Override!$B$11:$B$40,$B268,Override!$D$11:$D$40,8,Override!$E$11:$E$40,"&gt;=0",Override!$C$11:$C$40,"AS51"))&gt;0,SUMIFS(Override!$E$11:$E$40,Override!$B$11:$B$40,$B268,Override!$D$11:$D$40,8)-SUMIFS(Override!$E$11:$E$40,Override!$B$11:$B$40,$B268,Override!$D$11:$D$40,8,Override!$C$11:$C$40,"AS51"),Override!$J$300)/MXAU!$B$3,"")))</f>
        <v/>
      </c>
      <c r="N268" s="140">
        <f>IF(N$226="","",IF($B268="","",IFERROR($C268*$D268*IF((Override!$C$4="ON")*(COUNTIFS(Override!$B$11:$B$40,$B268,Override!$D$11:$D$40,9,Override!$E$11:$E$40,"&gt;=0")-COUNTIFS(Override!$B$11:$B$40,$B268,Override!$D$11:$D$40,9,Override!$E$11:$E$40,"&gt;=0",Override!$C$11:$C$40,"AS51"))&gt;0,SUMIFS(Override!$E$11:$E$40,Override!$B$11:$B$40,$B268,Override!$D$11:$D$40,9)-SUMIFS(Override!$E$11:$E$40,Override!$B$11:$B$40,$B268,Override!$D$11:$D$40,9,Override!$C$11:$C$40,"AS51"),Override!$K$300)/MXAU!$B$3,"")))</f>
        <v/>
      </c>
      <c r="O268" s="140">
        <f>IF(O$226="","",IF($B268="","",IFERROR($C268*$D268*IF((Override!$C$4="ON")*(COUNTIFS(Override!$B$11:$B$40,$B268,Override!$D$11:$D$40,10,Override!$E$11:$E$40,"&gt;=0")-COUNTIFS(Override!$B$11:$B$40,$B268,Override!$D$11:$D$40,10,Override!$E$11:$E$40,"&gt;=0",Override!$C$11:$C$40,"AS51"))&gt;0,SUMIFS(Override!$E$11:$E$40,Override!$B$11:$B$40,$B268,Override!$D$11:$D$40,10)-SUMIFS(Override!$E$11:$E$40,Override!$B$11:$B$40,$B268,Override!$D$11:$D$40,10,Override!$C$11:$C$40,"AS51"),Override!$L$300)/MXAU!$B$3,"")))</f>
        <v/>
      </c>
      <c r="P268" s="140">
        <f>IF(P$226="","",IF($B268="","",IFERROR($C268*$D268*IF((Override!$C$4="ON")*(COUNTIFS(Override!$B$11:$B$40,$B268,Override!$D$11:$D$40,11,Override!$E$11:$E$40,"&gt;=0")-COUNTIFS(Override!$B$11:$B$40,$B268,Override!$D$11:$D$40,11,Override!$E$11:$E$40,"&gt;=0",Override!$C$11:$C$40,"AS51"))&gt;0,SUMIFS(Override!$E$11:$E$40,Override!$B$11:$B$40,$B268,Override!$D$11:$D$40,11)-SUMIFS(Override!$E$11:$E$40,Override!$B$11:$B$40,$B268,Override!$D$11:$D$40,11,Override!$C$11:$C$40,"AS51"),Override!$M$300)/MXAU!$B$3,"")))</f>
        <v/>
      </c>
      <c r="Q268" s="140">
        <f>IF(Q$226="","",IF($B268="","",IFERROR($C268*$D268*IF((Override!$C$4="ON")*(COUNTIFS(Override!$B$11:$B$40,$B268,Override!$D$11:$D$40,12,Override!$E$11:$E$40,"&gt;=0")-COUNTIFS(Override!$B$11:$B$40,$B268,Override!$D$11:$D$40,12,Override!$E$11:$E$40,"&gt;=0",Override!$C$11:$C$40,"AS51"))&gt;0,SUMIFS(Override!$E$11:$E$40,Override!$B$11:$B$40,$B268,Override!$D$11:$D$40,12)-SUMIFS(Override!$E$11:$E$40,Override!$B$11:$B$40,$B268,Override!$D$11:$D$40,12,Override!$C$11:$C$40,"AS51"),Override!$N$300)/MXAU!$B$3,"")))</f>
        <v/>
      </c>
      <c r="R268" s="140">
        <f>IF(R$226="","",IF($B268="","",IFERROR($C268*$D268*IF((Override!$C$4="ON")*(COUNTIFS(Override!$B$11:$B$40,$B268,Override!$D$11:$D$40,13,Override!$E$11:$E$40,"&gt;=0")-COUNTIFS(Override!$B$11:$B$40,$B268,Override!$D$11:$D$40,13,Override!$E$11:$E$40,"&gt;=0",Override!$C$11:$C$40,"AS51"))&gt;0,SUMIFS(Override!$E$11:$E$40,Override!$B$11:$B$40,$B268,Override!$D$11:$D$40,13)-SUMIFS(Override!$E$11:$E$40,Override!$B$11:$B$40,$B268,Override!$D$11:$D$40,13,Override!$C$11:$C$40,"AS51"),Override!$O$300)/MXAU!$B$3,"")))</f>
        <v/>
      </c>
      <c r="S268" s="140">
        <f>IF(S$226="","",IF($B268="","",IFERROR($C268*$D268*IF((Override!$C$4="ON")*(COUNTIFS(Override!$B$11:$B$40,$B268,Override!$D$11:$D$40,14,Override!$E$11:$E$40,"&gt;=0")-COUNTIFS(Override!$B$11:$B$40,$B268,Override!$D$11:$D$40,14,Override!$E$11:$E$40,"&gt;=0",Override!$C$11:$C$40,"AS51"))&gt;0,SUMIFS(Override!$E$11:$E$40,Override!$B$11:$B$40,$B268,Override!$D$11:$D$40,14)-SUMIFS(Override!$E$11:$E$40,Override!$B$11:$B$40,$B268,Override!$D$11:$D$40,14,Override!$C$11:$C$40,"AS51"),Override!$P$300)/MXAU!$B$3,"")))</f>
        <v/>
      </c>
      <c r="T268" s="140">
        <f>IF(T$226="","",IF($B268="","",IFERROR($C268*$D268*IF((Override!$C$4="ON")*(COUNTIFS(Override!$B$11:$B$40,$B268,Override!$D$11:$D$40,15,Override!$E$11:$E$40,"&gt;=0")-COUNTIFS(Override!$B$11:$B$40,$B268,Override!$D$11:$D$40,15,Override!$E$11:$E$40,"&gt;=0",Override!$C$11:$C$40,"AS51"))&gt;0,SUMIFS(Override!$E$11:$E$40,Override!$B$11:$B$40,$B268,Override!$D$11:$D$40,15)-SUMIFS(Override!$E$11:$E$40,Override!$B$11:$B$40,$B268,Override!$D$11:$D$40,15,Override!$C$11:$C$40,"AS51"),Override!$Q$300)/MXAU!$B$3,"")))</f>
        <v/>
      </c>
      <c r="U268" s="140">
        <f>IF(U$226="","",IF($B268="","",IFERROR($C268*$D268*IF((Override!$C$4="ON")*(COUNTIFS(Override!$B$11:$B$40,$B268,Override!$D$11:$D$40,16,Override!$E$11:$E$40,"&gt;=0")-COUNTIFS(Override!$B$11:$B$40,$B268,Override!$D$11:$D$40,16,Override!$E$11:$E$40,"&gt;=0",Override!$C$11:$C$40,"AS51"))&gt;0,SUMIFS(Override!$E$11:$E$40,Override!$B$11:$B$40,$B268,Override!$D$11:$D$40,16)-SUMIFS(Override!$E$11:$E$40,Override!$B$11:$B$40,$B268,Override!$D$11:$D$40,16,Override!$C$11:$C$40,"AS51"),Override!$R$300)/MXAU!$B$3,"")))</f>
        <v/>
      </c>
      <c r="W268" s="140">
        <f>IF(W$226="","",IF($B268="","",IFERROR(F268*$E268/100,"")))</f>
        <v/>
      </c>
      <c r="X268" s="140">
        <f>IF(X$226="","",IF($B268="","",IFERROR(G268*$E268/100,"")))</f>
        <v/>
      </c>
      <c r="Y268" s="140">
        <f>IF(Y$226="","",IF($B268="","",IFERROR(H268*$E268/100,"")))</f>
        <v/>
      </c>
      <c r="Z268" s="140">
        <f>IF(Z$226="","",IF($B268="","",IFERROR(I268*$E268/100,"")))</f>
        <v/>
      </c>
      <c r="AA268" s="140">
        <f>IF(AA$226="","",IF($B268="","",IFERROR(J268*$E268/100,"")))</f>
        <v/>
      </c>
      <c r="AB268" s="140">
        <f>IF(AB$226="","",IF($B268="","",IFERROR(K268*$E268/100,"")))</f>
        <v/>
      </c>
      <c r="AC268" s="140">
        <f>IF(AC$226="","",IF($B268="","",IFERROR(L268*$E268/100,"")))</f>
        <v/>
      </c>
      <c r="AD268" s="140">
        <f>IF(AD$226="","",IF($B268="","",IFERROR(M268*$E268/100,"")))</f>
        <v/>
      </c>
      <c r="AE268" s="140">
        <f>IF(AE$226="","",IF($B268="","",IFERROR(N268*$E268/100,"")))</f>
        <v/>
      </c>
      <c r="AF268" s="140">
        <f>IF(AF$226="","",IF($B268="","",IFERROR(O268*$E268/100,"")))</f>
        <v/>
      </c>
      <c r="AG268" s="140">
        <f>IF(AG$226="","",IF($B268="","",IFERROR(P268*$E268/100,"")))</f>
        <v/>
      </c>
      <c r="AH268" s="140">
        <f>IF(AH$226="","",IF($B268="","",IFERROR(Q268*$E268/100,"")))</f>
        <v/>
      </c>
      <c r="AI268" s="140">
        <f>IF(AI$226="","",IF($B268="","",IFERROR(R268*$E268/100,"")))</f>
        <v/>
      </c>
      <c r="AJ268" s="140">
        <f>IF(AJ$226="","",IF($B268="","",IFERROR(S268*$E268/100,"")))</f>
        <v/>
      </c>
      <c r="AK268" s="140">
        <f>IF(AK$226="","",IF($B268="","",IFERROR(T268*$E268/100,"")))</f>
        <v/>
      </c>
      <c r="AL268" s="140">
        <f>IF(AL$226="","",IF($B268="","",IFERROR(U268*$E268/100,"")))</f>
        <v/>
      </c>
      <c r="AN268" s="140">
        <f>IF($B268="","",SUMIF($F$226:$U$226,"&lt;="&amp;Sector!$E$51,$F268:$U268))</f>
        <v/>
      </c>
      <c r="AO268" s="140">
        <f>IF($B268="","",SUMIF($W$226:$AL$226,"&lt;="&amp;Sector!$E$51,$W268:$AL268))</f>
        <v/>
      </c>
    </row>
    <row r="269">
      <c r="B269" s="5">
        <f>IF(MXAU!$C$46="","",MXAU!$C$46)</f>
        <v/>
      </c>
      <c r="C269" s="90">
        <f>IF(MXAU!$B$46="","",MXAU!$B$46)</f>
        <v/>
      </c>
      <c r="D269" s="138">
        <f>IFERROR(MXAU!$Q$46,1)</f>
        <v/>
      </c>
      <c r="E269" s="139">
        <f>IF($B269="","",IF(ISNUMBER(MXAU!$I$46),MXAU!$I$46,'Index Summary'!$C$7))</f>
        <v/>
      </c>
      <c r="F269" s="140">
        <f>IF(F$226="","",IF($B269="","",IFERROR($C269*$D269*IF((Override!$C$4="ON")*(COUNTIFS(Override!$B$11:$B$40,$B269,Override!$D$11:$D$40,1,Override!$E$11:$E$40,"&gt;=0")-COUNTIFS(Override!$B$11:$B$40,$B269,Override!$D$11:$D$40,1,Override!$E$11:$E$40,"&gt;=0",Override!$C$11:$C$40,"AS51"))&gt;0,SUMIFS(Override!$E$11:$E$40,Override!$B$11:$B$40,$B269,Override!$D$11:$D$40,1)-SUMIFS(Override!$E$11:$E$40,Override!$B$11:$B$40,$B269,Override!$D$11:$D$40,1,Override!$C$11:$C$40,"AS51"),Override!$C$301)/MXAU!$B$3,"")))</f>
        <v/>
      </c>
      <c r="G269" s="140">
        <f>IF(G$226="","",IF($B269="","",IFERROR($C269*$D269*IF((Override!$C$4="ON")*(COUNTIFS(Override!$B$11:$B$40,$B269,Override!$D$11:$D$40,2,Override!$E$11:$E$40,"&gt;=0")-COUNTIFS(Override!$B$11:$B$40,$B269,Override!$D$11:$D$40,2,Override!$E$11:$E$40,"&gt;=0",Override!$C$11:$C$40,"AS51"))&gt;0,SUMIFS(Override!$E$11:$E$40,Override!$B$11:$B$40,$B269,Override!$D$11:$D$40,2)-SUMIFS(Override!$E$11:$E$40,Override!$B$11:$B$40,$B269,Override!$D$11:$D$40,2,Override!$C$11:$C$40,"AS51"),Override!$D$301)/MXAU!$B$3,"")))</f>
        <v/>
      </c>
      <c r="H269" s="140">
        <f>IF(H$226="","",IF($B269="","",IFERROR($C269*$D269*IF((Override!$C$4="ON")*(COUNTIFS(Override!$B$11:$B$40,$B269,Override!$D$11:$D$40,3,Override!$E$11:$E$40,"&gt;=0")-COUNTIFS(Override!$B$11:$B$40,$B269,Override!$D$11:$D$40,3,Override!$E$11:$E$40,"&gt;=0",Override!$C$11:$C$40,"AS51"))&gt;0,SUMIFS(Override!$E$11:$E$40,Override!$B$11:$B$40,$B269,Override!$D$11:$D$40,3)-SUMIFS(Override!$E$11:$E$40,Override!$B$11:$B$40,$B269,Override!$D$11:$D$40,3,Override!$C$11:$C$40,"AS51"),Override!$E$301)/MXAU!$B$3,"")))</f>
        <v/>
      </c>
      <c r="I269" s="140">
        <f>IF(I$226="","",IF($B269="","",IFERROR($C269*$D269*IF((Override!$C$4="ON")*(COUNTIFS(Override!$B$11:$B$40,$B269,Override!$D$11:$D$40,4,Override!$E$11:$E$40,"&gt;=0")-COUNTIFS(Override!$B$11:$B$40,$B269,Override!$D$11:$D$40,4,Override!$E$11:$E$40,"&gt;=0",Override!$C$11:$C$40,"AS51"))&gt;0,SUMIFS(Override!$E$11:$E$40,Override!$B$11:$B$40,$B269,Override!$D$11:$D$40,4)-SUMIFS(Override!$E$11:$E$40,Override!$B$11:$B$40,$B269,Override!$D$11:$D$40,4,Override!$C$11:$C$40,"AS51"),Override!$F$301)/MXAU!$B$3,"")))</f>
        <v/>
      </c>
      <c r="J269" s="140">
        <f>IF(J$226="","",IF($B269="","",IFERROR($C269*$D269*IF((Override!$C$4="ON")*(COUNTIFS(Override!$B$11:$B$40,$B269,Override!$D$11:$D$40,5,Override!$E$11:$E$40,"&gt;=0")-COUNTIFS(Override!$B$11:$B$40,$B269,Override!$D$11:$D$40,5,Override!$E$11:$E$40,"&gt;=0",Override!$C$11:$C$40,"AS51"))&gt;0,SUMIFS(Override!$E$11:$E$40,Override!$B$11:$B$40,$B269,Override!$D$11:$D$40,5)-SUMIFS(Override!$E$11:$E$40,Override!$B$11:$B$40,$B269,Override!$D$11:$D$40,5,Override!$C$11:$C$40,"AS51"),Override!$G$301)/MXAU!$B$3,"")))</f>
        <v/>
      </c>
      <c r="K269" s="140">
        <f>IF(K$226="","",IF($B269="","",IFERROR($C269*$D269*IF((Override!$C$4="ON")*(COUNTIFS(Override!$B$11:$B$40,$B269,Override!$D$11:$D$40,6,Override!$E$11:$E$40,"&gt;=0")-COUNTIFS(Override!$B$11:$B$40,$B269,Override!$D$11:$D$40,6,Override!$E$11:$E$40,"&gt;=0",Override!$C$11:$C$40,"AS51"))&gt;0,SUMIFS(Override!$E$11:$E$40,Override!$B$11:$B$40,$B269,Override!$D$11:$D$40,6)-SUMIFS(Override!$E$11:$E$40,Override!$B$11:$B$40,$B269,Override!$D$11:$D$40,6,Override!$C$11:$C$40,"AS51"),Override!$H$301)/MXAU!$B$3,"")))</f>
        <v/>
      </c>
      <c r="L269" s="140">
        <f>IF(L$226="","",IF($B269="","",IFERROR($C269*$D269*IF((Override!$C$4="ON")*(COUNTIFS(Override!$B$11:$B$40,$B269,Override!$D$11:$D$40,7,Override!$E$11:$E$40,"&gt;=0")-COUNTIFS(Override!$B$11:$B$40,$B269,Override!$D$11:$D$40,7,Override!$E$11:$E$40,"&gt;=0",Override!$C$11:$C$40,"AS51"))&gt;0,SUMIFS(Override!$E$11:$E$40,Override!$B$11:$B$40,$B269,Override!$D$11:$D$40,7)-SUMIFS(Override!$E$11:$E$40,Override!$B$11:$B$40,$B269,Override!$D$11:$D$40,7,Override!$C$11:$C$40,"AS51"),Override!$I$301)/MXAU!$B$3,"")))</f>
        <v/>
      </c>
      <c r="M269" s="140">
        <f>IF(M$226="","",IF($B269="","",IFERROR($C269*$D269*IF((Override!$C$4="ON")*(COUNTIFS(Override!$B$11:$B$40,$B269,Override!$D$11:$D$40,8,Override!$E$11:$E$40,"&gt;=0")-COUNTIFS(Override!$B$11:$B$40,$B269,Override!$D$11:$D$40,8,Override!$E$11:$E$40,"&gt;=0",Override!$C$11:$C$40,"AS51"))&gt;0,SUMIFS(Override!$E$11:$E$40,Override!$B$11:$B$40,$B269,Override!$D$11:$D$40,8)-SUMIFS(Override!$E$11:$E$40,Override!$B$11:$B$40,$B269,Override!$D$11:$D$40,8,Override!$C$11:$C$40,"AS51"),Override!$J$301)/MXAU!$B$3,"")))</f>
        <v/>
      </c>
      <c r="N269" s="140">
        <f>IF(N$226="","",IF($B269="","",IFERROR($C269*$D269*IF((Override!$C$4="ON")*(COUNTIFS(Override!$B$11:$B$40,$B269,Override!$D$11:$D$40,9,Override!$E$11:$E$40,"&gt;=0")-COUNTIFS(Override!$B$11:$B$40,$B269,Override!$D$11:$D$40,9,Override!$E$11:$E$40,"&gt;=0",Override!$C$11:$C$40,"AS51"))&gt;0,SUMIFS(Override!$E$11:$E$40,Override!$B$11:$B$40,$B269,Override!$D$11:$D$40,9)-SUMIFS(Override!$E$11:$E$40,Override!$B$11:$B$40,$B269,Override!$D$11:$D$40,9,Override!$C$11:$C$40,"AS51"),Override!$K$301)/MXAU!$B$3,"")))</f>
        <v/>
      </c>
      <c r="O269" s="140">
        <f>IF(O$226="","",IF($B269="","",IFERROR($C269*$D269*IF((Override!$C$4="ON")*(COUNTIFS(Override!$B$11:$B$40,$B269,Override!$D$11:$D$40,10,Override!$E$11:$E$40,"&gt;=0")-COUNTIFS(Override!$B$11:$B$40,$B269,Override!$D$11:$D$40,10,Override!$E$11:$E$40,"&gt;=0",Override!$C$11:$C$40,"AS51"))&gt;0,SUMIFS(Override!$E$11:$E$40,Override!$B$11:$B$40,$B269,Override!$D$11:$D$40,10)-SUMIFS(Override!$E$11:$E$40,Override!$B$11:$B$40,$B269,Override!$D$11:$D$40,10,Override!$C$11:$C$40,"AS51"),Override!$L$301)/MXAU!$B$3,"")))</f>
        <v/>
      </c>
      <c r="P269" s="140">
        <f>IF(P$226="","",IF($B269="","",IFERROR($C269*$D269*IF((Override!$C$4="ON")*(COUNTIFS(Override!$B$11:$B$40,$B269,Override!$D$11:$D$40,11,Override!$E$11:$E$40,"&gt;=0")-COUNTIFS(Override!$B$11:$B$40,$B269,Override!$D$11:$D$40,11,Override!$E$11:$E$40,"&gt;=0",Override!$C$11:$C$40,"AS51"))&gt;0,SUMIFS(Override!$E$11:$E$40,Override!$B$11:$B$40,$B269,Override!$D$11:$D$40,11)-SUMIFS(Override!$E$11:$E$40,Override!$B$11:$B$40,$B269,Override!$D$11:$D$40,11,Override!$C$11:$C$40,"AS51"),Override!$M$301)/MXAU!$B$3,"")))</f>
        <v/>
      </c>
      <c r="Q269" s="140">
        <f>IF(Q$226="","",IF($B269="","",IFERROR($C269*$D269*IF((Override!$C$4="ON")*(COUNTIFS(Override!$B$11:$B$40,$B269,Override!$D$11:$D$40,12,Override!$E$11:$E$40,"&gt;=0")-COUNTIFS(Override!$B$11:$B$40,$B269,Override!$D$11:$D$40,12,Override!$E$11:$E$40,"&gt;=0",Override!$C$11:$C$40,"AS51"))&gt;0,SUMIFS(Override!$E$11:$E$40,Override!$B$11:$B$40,$B269,Override!$D$11:$D$40,12)-SUMIFS(Override!$E$11:$E$40,Override!$B$11:$B$40,$B269,Override!$D$11:$D$40,12,Override!$C$11:$C$40,"AS51"),Override!$N$301)/MXAU!$B$3,"")))</f>
        <v/>
      </c>
      <c r="R269" s="140">
        <f>IF(R$226="","",IF($B269="","",IFERROR($C269*$D269*IF((Override!$C$4="ON")*(COUNTIFS(Override!$B$11:$B$40,$B269,Override!$D$11:$D$40,13,Override!$E$11:$E$40,"&gt;=0")-COUNTIFS(Override!$B$11:$B$40,$B269,Override!$D$11:$D$40,13,Override!$E$11:$E$40,"&gt;=0",Override!$C$11:$C$40,"AS51"))&gt;0,SUMIFS(Override!$E$11:$E$40,Override!$B$11:$B$40,$B269,Override!$D$11:$D$40,13)-SUMIFS(Override!$E$11:$E$40,Override!$B$11:$B$40,$B269,Override!$D$11:$D$40,13,Override!$C$11:$C$40,"AS51"),Override!$O$301)/MXAU!$B$3,"")))</f>
        <v/>
      </c>
      <c r="S269" s="140">
        <f>IF(S$226="","",IF($B269="","",IFERROR($C269*$D269*IF((Override!$C$4="ON")*(COUNTIFS(Override!$B$11:$B$40,$B269,Override!$D$11:$D$40,14,Override!$E$11:$E$40,"&gt;=0")-COUNTIFS(Override!$B$11:$B$40,$B269,Override!$D$11:$D$40,14,Override!$E$11:$E$40,"&gt;=0",Override!$C$11:$C$40,"AS51"))&gt;0,SUMIFS(Override!$E$11:$E$40,Override!$B$11:$B$40,$B269,Override!$D$11:$D$40,14)-SUMIFS(Override!$E$11:$E$40,Override!$B$11:$B$40,$B269,Override!$D$11:$D$40,14,Override!$C$11:$C$40,"AS51"),Override!$P$301)/MXAU!$B$3,"")))</f>
        <v/>
      </c>
      <c r="T269" s="140">
        <f>IF(T$226="","",IF($B269="","",IFERROR($C269*$D269*IF((Override!$C$4="ON")*(COUNTIFS(Override!$B$11:$B$40,$B269,Override!$D$11:$D$40,15,Override!$E$11:$E$40,"&gt;=0")-COUNTIFS(Override!$B$11:$B$40,$B269,Override!$D$11:$D$40,15,Override!$E$11:$E$40,"&gt;=0",Override!$C$11:$C$40,"AS51"))&gt;0,SUMIFS(Override!$E$11:$E$40,Override!$B$11:$B$40,$B269,Override!$D$11:$D$40,15)-SUMIFS(Override!$E$11:$E$40,Override!$B$11:$B$40,$B269,Override!$D$11:$D$40,15,Override!$C$11:$C$40,"AS51"),Override!$Q$301)/MXAU!$B$3,"")))</f>
        <v/>
      </c>
      <c r="U269" s="140">
        <f>IF(U$226="","",IF($B269="","",IFERROR($C269*$D269*IF((Override!$C$4="ON")*(COUNTIFS(Override!$B$11:$B$40,$B269,Override!$D$11:$D$40,16,Override!$E$11:$E$40,"&gt;=0")-COUNTIFS(Override!$B$11:$B$40,$B269,Override!$D$11:$D$40,16,Override!$E$11:$E$40,"&gt;=0",Override!$C$11:$C$40,"AS51"))&gt;0,SUMIFS(Override!$E$11:$E$40,Override!$B$11:$B$40,$B269,Override!$D$11:$D$40,16)-SUMIFS(Override!$E$11:$E$40,Override!$B$11:$B$40,$B269,Override!$D$11:$D$40,16,Override!$C$11:$C$40,"AS51"),Override!$R$301)/MXAU!$B$3,"")))</f>
        <v/>
      </c>
      <c r="W269" s="140">
        <f>IF(W$226="","",IF($B269="","",IFERROR(F269*$E269/100,"")))</f>
        <v/>
      </c>
      <c r="X269" s="140">
        <f>IF(X$226="","",IF($B269="","",IFERROR(G269*$E269/100,"")))</f>
        <v/>
      </c>
      <c r="Y269" s="140">
        <f>IF(Y$226="","",IF($B269="","",IFERROR(H269*$E269/100,"")))</f>
        <v/>
      </c>
      <c r="Z269" s="140">
        <f>IF(Z$226="","",IF($B269="","",IFERROR(I269*$E269/100,"")))</f>
        <v/>
      </c>
      <c r="AA269" s="140">
        <f>IF(AA$226="","",IF($B269="","",IFERROR(J269*$E269/100,"")))</f>
        <v/>
      </c>
      <c r="AB269" s="140">
        <f>IF(AB$226="","",IF($B269="","",IFERROR(K269*$E269/100,"")))</f>
        <v/>
      </c>
      <c r="AC269" s="140">
        <f>IF(AC$226="","",IF($B269="","",IFERROR(L269*$E269/100,"")))</f>
        <v/>
      </c>
      <c r="AD269" s="140">
        <f>IF(AD$226="","",IF($B269="","",IFERROR(M269*$E269/100,"")))</f>
        <v/>
      </c>
      <c r="AE269" s="140">
        <f>IF(AE$226="","",IF($B269="","",IFERROR(N269*$E269/100,"")))</f>
        <v/>
      </c>
      <c r="AF269" s="140">
        <f>IF(AF$226="","",IF($B269="","",IFERROR(O269*$E269/100,"")))</f>
        <v/>
      </c>
      <c r="AG269" s="140">
        <f>IF(AG$226="","",IF($B269="","",IFERROR(P269*$E269/100,"")))</f>
        <v/>
      </c>
      <c r="AH269" s="140">
        <f>IF(AH$226="","",IF($B269="","",IFERROR(Q269*$E269/100,"")))</f>
        <v/>
      </c>
      <c r="AI269" s="140">
        <f>IF(AI$226="","",IF($B269="","",IFERROR(R269*$E269/100,"")))</f>
        <v/>
      </c>
      <c r="AJ269" s="140">
        <f>IF(AJ$226="","",IF($B269="","",IFERROR(S269*$E269/100,"")))</f>
        <v/>
      </c>
      <c r="AK269" s="140">
        <f>IF(AK$226="","",IF($B269="","",IFERROR(T269*$E269/100,"")))</f>
        <v/>
      </c>
      <c r="AL269" s="140">
        <f>IF(AL$226="","",IF($B269="","",IFERROR(U269*$E269/100,"")))</f>
        <v/>
      </c>
      <c r="AN269" s="140">
        <f>IF($B269="","",SUMIF($F$226:$U$226,"&lt;="&amp;Sector!$E$51,$F269:$U269))</f>
        <v/>
      </c>
      <c r="AO269" s="140">
        <f>IF($B269="","",SUMIF($W$226:$AL$226,"&lt;="&amp;Sector!$E$51,$W269:$AL269))</f>
        <v/>
      </c>
    </row>
    <row r="270">
      <c r="B270" s="5">
        <f>IF(MXAU!$C$47="","",MXAU!$C$47)</f>
        <v/>
      </c>
      <c r="C270" s="90">
        <f>IF(MXAU!$B$47="","",MXAU!$B$47)</f>
        <v/>
      </c>
      <c r="D270" s="138">
        <f>IFERROR(MXAU!$Q$47,1)</f>
        <v/>
      </c>
      <c r="E270" s="139">
        <f>IF($B270="","",IF(ISNUMBER(MXAU!$I$47),MXAU!$I$47,'Index Summary'!$C$7))</f>
        <v/>
      </c>
      <c r="F270" s="140">
        <f>IF(F$226="","",IF($B270="","",IFERROR($C270*$D270*IF((Override!$C$4="ON")*(COUNTIFS(Override!$B$11:$B$40,$B270,Override!$D$11:$D$40,1,Override!$E$11:$E$40,"&gt;=0")-COUNTIFS(Override!$B$11:$B$40,$B270,Override!$D$11:$D$40,1,Override!$E$11:$E$40,"&gt;=0",Override!$C$11:$C$40,"AS51"))&gt;0,SUMIFS(Override!$E$11:$E$40,Override!$B$11:$B$40,$B270,Override!$D$11:$D$40,1)-SUMIFS(Override!$E$11:$E$40,Override!$B$11:$B$40,$B270,Override!$D$11:$D$40,1,Override!$C$11:$C$40,"AS51"),Override!$C$302)/MXAU!$B$3,"")))</f>
        <v/>
      </c>
      <c r="G270" s="140">
        <f>IF(G$226="","",IF($B270="","",IFERROR($C270*$D270*IF((Override!$C$4="ON")*(COUNTIFS(Override!$B$11:$B$40,$B270,Override!$D$11:$D$40,2,Override!$E$11:$E$40,"&gt;=0")-COUNTIFS(Override!$B$11:$B$40,$B270,Override!$D$11:$D$40,2,Override!$E$11:$E$40,"&gt;=0",Override!$C$11:$C$40,"AS51"))&gt;0,SUMIFS(Override!$E$11:$E$40,Override!$B$11:$B$40,$B270,Override!$D$11:$D$40,2)-SUMIFS(Override!$E$11:$E$40,Override!$B$11:$B$40,$B270,Override!$D$11:$D$40,2,Override!$C$11:$C$40,"AS51"),Override!$D$302)/MXAU!$B$3,"")))</f>
        <v/>
      </c>
      <c r="H270" s="140">
        <f>IF(H$226="","",IF($B270="","",IFERROR($C270*$D270*IF((Override!$C$4="ON")*(COUNTIFS(Override!$B$11:$B$40,$B270,Override!$D$11:$D$40,3,Override!$E$11:$E$40,"&gt;=0")-COUNTIFS(Override!$B$11:$B$40,$B270,Override!$D$11:$D$40,3,Override!$E$11:$E$40,"&gt;=0",Override!$C$11:$C$40,"AS51"))&gt;0,SUMIFS(Override!$E$11:$E$40,Override!$B$11:$B$40,$B270,Override!$D$11:$D$40,3)-SUMIFS(Override!$E$11:$E$40,Override!$B$11:$B$40,$B270,Override!$D$11:$D$40,3,Override!$C$11:$C$40,"AS51"),Override!$E$302)/MXAU!$B$3,"")))</f>
        <v/>
      </c>
      <c r="I270" s="140">
        <f>IF(I$226="","",IF($B270="","",IFERROR($C270*$D270*IF((Override!$C$4="ON")*(COUNTIFS(Override!$B$11:$B$40,$B270,Override!$D$11:$D$40,4,Override!$E$11:$E$40,"&gt;=0")-COUNTIFS(Override!$B$11:$B$40,$B270,Override!$D$11:$D$40,4,Override!$E$11:$E$40,"&gt;=0",Override!$C$11:$C$40,"AS51"))&gt;0,SUMIFS(Override!$E$11:$E$40,Override!$B$11:$B$40,$B270,Override!$D$11:$D$40,4)-SUMIFS(Override!$E$11:$E$40,Override!$B$11:$B$40,$B270,Override!$D$11:$D$40,4,Override!$C$11:$C$40,"AS51"),Override!$F$302)/MXAU!$B$3,"")))</f>
        <v/>
      </c>
      <c r="J270" s="140">
        <f>IF(J$226="","",IF($B270="","",IFERROR($C270*$D270*IF((Override!$C$4="ON")*(COUNTIFS(Override!$B$11:$B$40,$B270,Override!$D$11:$D$40,5,Override!$E$11:$E$40,"&gt;=0")-COUNTIFS(Override!$B$11:$B$40,$B270,Override!$D$11:$D$40,5,Override!$E$11:$E$40,"&gt;=0",Override!$C$11:$C$40,"AS51"))&gt;0,SUMIFS(Override!$E$11:$E$40,Override!$B$11:$B$40,$B270,Override!$D$11:$D$40,5)-SUMIFS(Override!$E$11:$E$40,Override!$B$11:$B$40,$B270,Override!$D$11:$D$40,5,Override!$C$11:$C$40,"AS51"),Override!$G$302)/MXAU!$B$3,"")))</f>
        <v/>
      </c>
      <c r="K270" s="140">
        <f>IF(K$226="","",IF($B270="","",IFERROR($C270*$D270*IF((Override!$C$4="ON")*(COUNTIFS(Override!$B$11:$B$40,$B270,Override!$D$11:$D$40,6,Override!$E$11:$E$40,"&gt;=0")-COUNTIFS(Override!$B$11:$B$40,$B270,Override!$D$11:$D$40,6,Override!$E$11:$E$40,"&gt;=0",Override!$C$11:$C$40,"AS51"))&gt;0,SUMIFS(Override!$E$11:$E$40,Override!$B$11:$B$40,$B270,Override!$D$11:$D$40,6)-SUMIFS(Override!$E$11:$E$40,Override!$B$11:$B$40,$B270,Override!$D$11:$D$40,6,Override!$C$11:$C$40,"AS51"),Override!$H$302)/MXAU!$B$3,"")))</f>
        <v/>
      </c>
      <c r="L270" s="140">
        <f>IF(L$226="","",IF($B270="","",IFERROR($C270*$D270*IF((Override!$C$4="ON")*(COUNTIFS(Override!$B$11:$B$40,$B270,Override!$D$11:$D$40,7,Override!$E$11:$E$40,"&gt;=0")-COUNTIFS(Override!$B$11:$B$40,$B270,Override!$D$11:$D$40,7,Override!$E$11:$E$40,"&gt;=0",Override!$C$11:$C$40,"AS51"))&gt;0,SUMIFS(Override!$E$11:$E$40,Override!$B$11:$B$40,$B270,Override!$D$11:$D$40,7)-SUMIFS(Override!$E$11:$E$40,Override!$B$11:$B$40,$B270,Override!$D$11:$D$40,7,Override!$C$11:$C$40,"AS51"),Override!$I$302)/MXAU!$B$3,"")))</f>
        <v/>
      </c>
      <c r="M270" s="140">
        <f>IF(M$226="","",IF($B270="","",IFERROR($C270*$D270*IF((Override!$C$4="ON")*(COUNTIFS(Override!$B$11:$B$40,$B270,Override!$D$11:$D$40,8,Override!$E$11:$E$40,"&gt;=0")-COUNTIFS(Override!$B$11:$B$40,$B270,Override!$D$11:$D$40,8,Override!$E$11:$E$40,"&gt;=0",Override!$C$11:$C$40,"AS51"))&gt;0,SUMIFS(Override!$E$11:$E$40,Override!$B$11:$B$40,$B270,Override!$D$11:$D$40,8)-SUMIFS(Override!$E$11:$E$40,Override!$B$11:$B$40,$B270,Override!$D$11:$D$40,8,Override!$C$11:$C$40,"AS51"),Override!$J$302)/MXAU!$B$3,"")))</f>
        <v/>
      </c>
      <c r="N270" s="140">
        <f>IF(N$226="","",IF($B270="","",IFERROR($C270*$D270*IF((Override!$C$4="ON")*(COUNTIFS(Override!$B$11:$B$40,$B270,Override!$D$11:$D$40,9,Override!$E$11:$E$40,"&gt;=0")-COUNTIFS(Override!$B$11:$B$40,$B270,Override!$D$11:$D$40,9,Override!$E$11:$E$40,"&gt;=0",Override!$C$11:$C$40,"AS51"))&gt;0,SUMIFS(Override!$E$11:$E$40,Override!$B$11:$B$40,$B270,Override!$D$11:$D$40,9)-SUMIFS(Override!$E$11:$E$40,Override!$B$11:$B$40,$B270,Override!$D$11:$D$40,9,Override!$C$11:$C$40,"AS51"),Override!$K$302)/MXAU!$B$3,"")))</f>
        <v/>
      </c>
      <c r="O270" s="140">
        <f>IF(O$226="","",IF($B270="","",IFERROR($C270*$D270*IF((Override!$C$4="ON")*(COUNTIFS(Override!$B$11:$B$40,$B270,Override!$D$11:$D$40,10,Override!$E$11:$E$40,"&gt;=0")-COUNTIFS(Override!$B$11:$B$40,$B270,Override!$D$11:$D$40,10,Override!$E$11:$E$40,"&gt;=0",Override!$C$11:$C$40,"AS51"))&gt;0,SUMIFS(Override!$E$11:$E$40,Override!$B$11:$B$40,$B270,Override!$D$11:$D$40,10)-SUMIFS(Override!$E$11:$E$40,Override!$B$11:$B$40,$B270,Override!$D$11:$D$40,10,Override!$C$11:$C$40,"AS51"),Override!$L$302)/MXAU!$B$3,"")))</f>
        <v/>
      </c>
      <c r="P270" s="140">
        <f>IF(P$226="","",IF($B270="","",IFERROR($C270*$D270*IF((Override!$C$4="ON")*(COUNTIFS(Override!$B$11:$B$40,$B270,Override!$D$11:$D$40,11,Override!$E$11:$E$40,"&gt;=0")-COUNTIFS(Override!$B$11:$B$40,$B270,Override!$D$11:$D$40,11,Override!$E$11:$E$40,"&gt;=0",Override!$C$11:$C$40,"AS51"))&gt;0,SUMIFS(Override!$E$11:$E$40,Override!$B$11:$B$40,$B270,Override!$D$11:$D$40,11)-SUMIFS(Override!$E$11:$E$40,Override!$B$11:$B$40,$B270,Override!$D$11:$D$40,11,Override!$C$11:$C$40,"AS51"),Override!$M$302)/MXAU!$B$3,"")))</f>
        <v/>
      </c>
      <c r="Q270" s="140">
        <f>IF(Q$226="","",IF($B270="","",IFERROR($C270*$D270*IF((Override!$C$4="ON")*(COUNTIFS(Override!$B$11:$B$40,$B270,Override!$D$11:$D$40,12,Override!$E$11:$E$40,"&gt;=0")-COUNTIFS(Override!$B$11:$B$40,$B270,Override!$D$11:$D$40,12,Override!$E$11:$E$40,"&gt;=0",Override!$C$11:$C$40,"AS51"))&gt;0,SUMIFS(Override!$E$11:$E$40,Override!$B$11:$B$40,$B270,Override!$D$11:$D$40,12)-SUMIFS(Override!$E$11:$E$40,Override!$B$11:$B$40,$B270,Override!$D$11:$D$40,12,Override!$C$11:$C$40,"AS51"),Override!$N$302)/MXAU!$B$3,"")))</f>
        <v/>
      </c>
      <c r="R270" s="140">
        <f>IF(R$226="","",IF($B270="","",IFERROR($C270*$D270*IF((Override!$C$4="ON")*(COUNTIFS(Override!$B$11:$B$40,$B270,Override!$D$11:$D$40,13,Override!$E$11:$E$40,"&gt;=0")-COUNTIFS(Override!$B$11:$B$40,$B270,Override!$D$11:$D$40,13,Override!$E$11:$E$40,"&gt;=0",Override!$C$11:$C$40,"AS51"))&gt;0,SUMIFS(Override!$E$11:$E$40,Override!$B$11:$B$40,$B270,Override!$D$11:$D$40,13)-SUMIFS(Override!$E$11:$E$40,Override!$B$11:$B$40,$B270,Override!$D$11:$D$40,13,Override!$C$11:$C$40,"AS51"),Override!$O$302)/MXAU!$B$3,"")))</f>
        <v/>
      </c>
      <c r="S270" s="140">
        <f>IF(S$226="","",IF($B270="","",IFERROR($C270*$D270*IF((Override!$C$4="ON")*(COUNTIFS(Override!$B$11:$B$40,$B270,Override!$D$11:$D$40,14,Override!$E$11:$E$40,"&gt;=0")-COUNTIFS(Override!$B$11:$B$40,$B270,Override!$D$11:$D$40,14,Override!$E$11:$E$40,"&gt;=0",Override!$C$11:$C$40,"AS51"))&gt;0,SUMIFS(Override!$E$11:$E$40,Override!$B$11:$B$40,$B270,Override!$D$11:$D$40,14)-SUMIFS(Override!$E$11:$E$40,Override!$B$11:$B$40,$B270,Override!$D$11:$D$40,14,Override!$C$11:$C$40,"AS51"),Override!$P$302)/MXAU!$B$3,"")))</f>
        <v/>
      </c>
      <c r="T270" s="140">
        <f>IF(T$226="","",IF($B270="","",IFERROR($C270*$D270*IF((Override!$C$4="ON")*(COUNTIFS(Override!$B$11:$B$40,$B270,Override!$D$11:$D$40,15,Override!$E$11:$E$40,"&gt;=0")-COUNTIFS(Override!$B$11:$B$40,$B270,Override!$D$11:$D$40,15,Override!$E$11:$E$40,"&gt;=0",Override!$C$11:$C$40,"AS51"))&gt;0,SUMIFS(Override!$E$11:$E$40,Override!$B$11:$B$40,$B270,Override!$D$11:$D$40,15)-SUMIFS(Override!$E$11:$E$40,Override!$B$11:$B$40,$B270,Override!$D$11:$D$40,15,Override!$C$11:$C$40,"AS51"),Override!$Q$302)/MXAU!$B$3,"")))</f>
        <v/>
      </c>
      <c r="U270" s="140">
        <f>IF(U$226="","",IF($B270="","",IFERROR($C270*$D270*IF((Override!$C$4="ON")*(COUNTIFS(Override!$B$11:$B$40,$B270,Override!$D$11:$D$40,16,Override!$E$11:$E$40,"&gt;=0")-COUNTIFS(Override!$B$11:$B$40,$B270,Override!$D$11:$D$40,16,Override!$E$11:$E$40,"&gt;=0",Override!$C$11:$C$40,"AS51"))&gt;0,SUMIFS(Override!$E$11:$E$40,Override!$B$11:$B$40,$B270,Override!$D$11:$D$40,16)-SUMIFS(Override!$E$11:$E$40,Override!$B$11:$B$40,$B270,Override!$D$11:$D$40,16,Override!$C$11:$C$40,"AS51"),Override!$R$302)/MXAU!$B$3,"")))</f>
        <v/>
      </c>
      <c r="W270" s="140">
        <f>IF(W$226="","",IF($B270="","",IFERROR(F270*$E270/100,"")))</f>
        <v/>
      </c>
      <c r="X270" s="140">
        <f>IF(X$226="","",IF($B270="","",IFERROR(G270*$E270/100,"")))</f>
        <v/>
      </c>
      <c r="Y270" s="140">
        <f>IF(Y$226="","",IF($B270="","",IFERROR(H270*$E270/100,"")))</f>
        <v/>
      </c>
      <c r="Z270" s="140">
        <f>IF(Z$226="","",IF($B270="","",IFERROR(I270*$E270/100,"")))</f>
        <v/>
      </c>
      <c r="AA270" s="140">
        <f>IF(AA$226="","",IF($B270="","",IFERROR(J270*$E270/100,"")))</f>
        <v/>
      </c>
      <c r="AB270" s="140">
        <f>IF(AB$226="","",IF($B270="","",IFERROR(K270*$E270/100,"")))</f>
        <v/>
      </c>
      <c r="AC270" s="140">
        <f>IF(AC$226="","",IF($B270="","",IFERROR(L270*$E270/100,"")))</f>
        <v/>
      </c>
      <c r="AD270" s="140">
        <f>IF(AD$226="","",IF($B270="","",IFERROR(M270*$E270/100,"")))</f>
        <v/>
      </c>
      <c r="AE270" s="140">
        <f>IF(AE$226="","",IF($B270="","",IFERROR(N270*$E270/100,"")))</f>
        <v/>
      </c>
      <c r="AF270" s="140">
        <f>IF(AF$226="","",IF($B270="","",IFERROR(O270*$E270/100,"")))</f>
        <v/>
      </c>
      <c r="AG270" s="140">
        <f>IF(AG$226="","",IF($B270="","",IFERROR(P270*$E270/100,"")))</f>
        <v/>
      </c>
      <c r="AH270" s="140">
        <f>IF(AH$226="","",IF($B270="","",IFERROR(Q270*$E270/100,"")))</f>
        <v/>
      </c>
      <c r="AI270" s="140">
        <f>IF(AI$226="","",IF($B270="","",IFERROR(R270*$E270/100,"")))</f>
        <v/>
      </c>
      <c r="AJ270" s="140">
        <f>IF(AJ$226="","",IF($B270="","",IFERROR(S270*$E270/100,"")))</f>
        <v/>
      </c>
      <c r="AK270" s="140">
        <f>IF(AK$226="","",IF($B270="","",IFERROR(T270*$E270/100,"")))</f>
        <v/>
      </c>
      <c r="AL270" s="140">
        <f>IF(AL$226="","",IF($B270="","",IFERROR(U270*$E270/100,"")))</f>
        <v/>
      </c>
      <c r="AN270" s="140">
        <f>IF($B270="","",SUMIF($F$226:$U$226,"&lt;="&amp;Sector!$E$51,$F270:$U270))</f>
        <v/>
      </c>
      <c r="AO270" s="140">
        <f>IF($B270="","",SUMIF($W$226:$AL$226,"&lt;="&amp;Sector!$E$51,$W270:$AL270))</f>
        <v/>
      </c>
    </row>
    <row r="271">
      <c r="B271" s="5">
        <f>IF(MXAU!$C$48="","",MXAU!$C$48)</f>
        <v/>
      </c>
      <c r="C271" s="90">
        <f>IF(MXAU!$B$48="","",MXAU!$B$48)</f>
        <v/>
      </c>
      <c r="D271" s="138">
        <f>IFERROR(MXAU!$Q$48,1)</f>
        <v/>
      </c>
      <c r="E271" s="139">
        <f>IF($B271="","",IF(ISNUMBER(MXAU!$I$48),MXAU!$I$48,'Index Summary'!$C$7))</f>
        <v/>
      </c>
      <c r="F271" s="140">
        <f>IF(F$226="","",IF($B271="","",IFERROR($C271*$D271*IF((Override!$C$4="ON")*(COUNTIFS(Override!$B$11:$B$40,$B271,Override!$D$11:$D$40,1,Override!$E$11:$E$40,"&gt;=0")-COUNTIFS(Override!$B$11:$B$40,$B271,Override!$D$11:$D$40,1,Override!$E$11:$E$40,"&gt;=0",Override!$C$11:$C$40,"AS51"))&gt;0,SUMIFS(Override!$E$11:$E$40,Override!$B$11:$B$40,$B271,Override!$D$11:$D$40,1)-SUMIFS(Override!$E$11:$E$40,Override!$B$11:$B$40,$B271,Override!$D$11:$D$40,1,Override!$C$11:$C$40,"AS51"),Override!$C$303)/MXAU!$B$3,"")))</f>
        <v/>
      </c>
      <c r="G271" s="140">
        <f>IF(G$226="","",IF($B271="","",IFERROR($C271*$D271*IF((Override!$C$4="ON")*(COUNTIFS(Override!$B$11:$B$40,$B271,Override!$D$11:$D$40,2,Override!$E$11:$E$40,"&gt;=0")-COUNTIFS(Override!$B$11:$B$40,$B271,Override!$D$11:$D$40,2,Override!$E$11:$E$40,"&gt;=0",Override!$C$11:$C$40,"AS51"))&gt;0,SUMIFS(Override!$E$11:$E$40,Override!$B$11:$B$40,$B271,Override!$D$11:$D$40,2)-SUMIFS(Override!$E$11:$E$40,Override!$B$11:$B$40,$B271,Override!$D$11:$D$40,2,Override!$C$11:$C$40,"AS51"),Override!$D$303)/MXAU!$B$3,"")))</f>
        <v/>
      </c>
      <c r="H271" s="140">
        <f>IF(H$226="","",IF($B271="","",IFERROR($C271*$D271*IF((Override!$C$4="ON")*(COUNTIFS(Override!$B$11:$B$40,$B271,Override!$D$11:$D$40,3,Override!$E$11:$E$40,"&gt;=0")-COUNTIFS(Override!$B$11:$B$40,$B271,Override!$D$11:$D$40,3,Override!$E$11:$E$40,"&gt;=0",Override!$C$11:$C$40,"AS51"))&gt;0,SUMIFS(Override!$E$11:$E$40,Override!$B$11:$B$40,$B271,Override!$D$11:$D$40,3)-SUMIFS(Override!$E$11:$E$40,Override!$B$11:$B$40,$B271,Override!$D$11:$D$40,3,Override!$C$11:$C$40,"AS51"),Override!$E$303)/MXAU!$B$3,"")))</f>
        <v/>
      </c>
      <c r="I271" s="140">
        <f>IF(I$226="","",IF($B271="","",IFERROR($C271*$D271*IF((Override!$C$4="ON")*(COUNTIFS(Override!$B$11:$B$40,$B271,Override!$D$11:$D$40,4,Override!$E$11:$E$40,"&gt;=0")-COUNTIFS(Override!$B$11:$B$40,$B271,Override!$D$11:$D$40,4,Override!$E$11:$E$40,"&gt;=0",Override!$C$11:$C$40,"AS51"))&gt;0,SUMIFS(Override!$E$11:$E$40,Override!$B$11:$B$40,$B271,Override!$D$11:$D$40,4)-SUMIFS(Override!$E$11:$E$40,Override!$B$11:$B$40,$B271,Override!$D$11:$D$40,4,Override!$C$11:$C$40,"AS51"),Override!$F$303)/MXAU!$B$3,"")))</f>
        <v/>
      </c>
      <c r="J271" s="140">
        <f>IF(J$226="","",IF($B271="","",IFERROR($C271*$D271*IF((Override!$C$4="ON")*(COUNTIFS(Override!$B$11:$B$40,$B271,Override!$D$11:$D$40,5,Override!$E$11:$E$40,"&gt;=0")-COUNTIFS(Override!$B$11:$B$40,$B271,Override!$D$11:$D$40,5,Override!$E$11:$E$40,"&gt;=0",Override!$C$11:$C$40,"AS51"))&gt;0,SUMIFS(Override!$E$11:$E$40,Override!$B$11:$B$40,$B271,Override!$D$11:$D$40,5)-SUMIFS(Override!$E$11:$E$40,Override!$B$11:$B$40,$B271,Override!$D$11:$D$40,5,Override!$C$11:$C$40,"AS51"),Override!$G$303)/MXAU!$B$3,"")))</f>
        <v/>
      </c>
      <c r="K271" s="140">
        <f>IF(K$226="","",IF($B271="","",IFERROR($C271*$D271*IF((Override!$C$4="ON")*(COUNTIFS(Override!$B$11:$B$40,$B271,Override!$D$11:$D$40,6,Override!$E$11:$E$40,"&gt;=0")-COUNTIFS(Override!$B$11:$B$40,$B271,Override!$D$11:$D$40,6,Override!$E$11:$E$40,"&gt;=0",Override!$C$11:$C$40,"AS51"))&gt;0,SUMIFS(Override!$E$11:$E$40,Override!$B$11:$B$40,$B271,Override!$D$11:$D$40,6)-SUMIFS(Override!$E$11:$E$40,Override!$B$11:$B$40,$B271,Override!$D$11:$D$40,6,Override!$C$11:$C$40,"AS51"),Override!$H$303)/MXAU!$B$3,"")))</f>
        <v/>
      </c>
      <c r="L271" s="140">
        <f>IF(L$226="","",IF($B271="","",IFERROR($C271*$D271*IF((Override!$C$4="ON")*(COUNTIFS(Override!$B$11:$B$40,$B271,Override!$D$11:$D$40,7,Override!$E$11:$E$40,"&gt;=0")-COUNTIFS(Override!$B$11:$B$40,$B271,Override!$D$11:$D$40,7,Override!$E$11:$E$40,"&gt;=0",Override!$C$11:$C$40,"AS51"))&gt;0,SUMIFS(Override!$E$11:$E$40,Override!$B$11:$B$40,$B271,Override!$D$11:$D$40,7)-SUMIFS(Override!$E$11:$E$40,Override!$B$11:$B$40,$B271,Override!$D$11:$D$40,7,Override!$C$11:$C$40,"AS51"),Override!$I$303)/MXAU!$B$3,"")))</f>
        <v/>
      </c>
      <c r="M271" s="140">
        <f>IF(M$226="","",IF($B271="","",IFERROR($C271*$D271*IF((Override!$C$4="ON")*(COUNTIFS(Override!$B$11:$B$40,$B271,Override!$D$11:$D$40,8,Override!$E$11:$E$40,"&gt;=0")-COUNTIFS(Override!$B$11:$B$40,$B271,Override!$D$11:$D$40,8,Override!$E$11:$E$40,"&gt;=0",Override!$C$11:$C$40,"AS51"))&gt;0,SUMIFS(Override!$E$11:$E$40,Override!$B$11:$B$40,$B271,Override!$D$11:$D$40,8)-SUMIFS(Override!$E$11:$E$40,Override!$B$11:$B$40,$B271,Override!$D$11:$D$40,8,Override!$C$11:$C$40,"AS51"),Override!$J$303)/MXAU!$B$3,"")))</f>
        <v/>
      </c>
      <c r="N271" s="140">
        <f>IF(N$226="","",IF($B271="","",IFERROR($C271*$D271*IF((Override!$C$4="ON")*(COUNTIFS(Override!$B$11:$B$40,$B271,Override!$D$11:$D$40,9,Override!$E$11:$E$40,"&gt;=0")-COUNTIFS(Override!$B$11:$B$40,$B271,Override!$D$11:$D$40,9,Override!$E$11:$E$40,"&gt;=0",Override!$C$11:$C$40,"AS51"))&gt;0,SUMIFS(Override!$E$11:$E$40,Override!$B$11:$B$40,$B271,Override!$D$11:$D$40,9)-SUMIFS(Override!$E$11:$E$40,Override!$B$11:$B$40,$B271,Override!$D$11:$D$40,9,Override!$C$11:$C$40,"AS51"),Override!$K$303)/MXAU!$B$3,"")))</f>
        <v/>
      </c>
      <c r="O271" s="140">
        <f>IF(O$226="","",IF($B271="","",IFERROR($C271*$D271*IF((Override!$C$4="ON")*(COUNTIFS(Override!$B$11:$B$40,$B271,Override!$D$11:$D$40,10,Override!$E$11:$E$40,"&gt;=0")-COUNTIFS(Override!$B$11:$B$40,$B271,Override!$D$11:$D$40,10,Override!$E$11:$E$40,"&gt;=0",Override!$C$11:$C$40,"AS51"))&gt;0,SUMIFS(Override!$E$11:$E$40,Override!$B$11:$B$40,$B271,Override!$D$11:$D$40,10)-SUMIFS(Override!$E$11:$E$40,Override!$B$11:$B$40,$B271,Override!$D$11:$D$40,10,Override!$C$11:$C$40,"AS51"),Override!$L$303)/MXAU!$B$3,"")))</f>
        <v/>
      </c>
      <c r="P271" s="140">
        <f>IF(P$226="","",IF($B271="","",IFERROR($C271*$D271*IF((Override!$C$4="ON")*(COUNTIFS(Override!$B$11:$B$40,$B271,Override!$D$11:$D$40,11,Override!$E$11:$E$40,"&gt;=0")-COUNTIFS(Override!$B$11:$B$40,$B271,Override!$D$11:$D$40,11,Override!$E$11:$E$40,"&gt;=0",Override!$C$11:$C$40,"AS51"))&gt;0,SUMIFS(Override!$E$11:$E$40,Override!$B$11:$B$40,$B271,Override!$D$11:$D$40,11)-SUMIFS(Override!$E$11:$E$40,Override!$B$11:$B$40,$B271,Override!$D$11:$D$40,11,Override!$C$11:$C$40,"AS51"),Override!$M$303)/MXAU!$B$3,"")))</f>
        <v/>
      </c>
      <c r="Q271" s="140">
        <f>IF(Q$226="","",IF($B271="","",IFERROR($C271*$D271*IF((Override!$C$4="ON")*(COUNTIFS(Override!$B$11:$B$40,$B271,Override!$D$11:$D$40,12,Override!$E$11:$E$40,"&gt;=0")-COUNTIFS(Override!$B$11:$B$40,$B271,Override!$D$11:$D$40,12,Override!$E$11:$E$40,"&gt;=0",Override!$C$11:$C$40,"AS51"))&gt;0,SUMIFS(Override!$E$11:$E$40,Override!$B$11:$B$40,$B271,Override!$D$11:$D$40,12)-SUMIFS(Override!$E$11:$E$40,Override!$B$11:$B$40,$B271,Override!$D$11:$D$40,12,Override!$C$11:$C$40,"AS51"),Override!$N$303)/MXAU!$B$3,"")))</f>
        <v/>
      </c>
      <c r="R271" s="140">
        <f>IF(R$226="","",IF($B271="","",IFERROR($C271*$D271*IF((Override!$C$4="ON")*(COUNTIFS(Override!$B$11:$B$40,$B271,Override!$D$11:$D$40,13,Override!$E$11:$E$40,"&gt;=0")-COUNTIFS(Override!$B$11:$B$40,$B271,Override!$D$11:$D$40,13,Override!$E$11:$E$40,"&gt;=0",Override!$C$11:$C$40,"AS51"))&gt;0,SUMIFS(Override!$E$11:$E$40,Override!$B$11:$B$40,$B271,Override!$D$11:$D$40,13)-SUMIFS(Override!$E$11:$E$40,Override!$B$11:$B$40,$B271,Override!$D$11:$D$40,13,Override!$C$11:$C$40,"AS51"),Override!$O$303)/MXAU!$B$3,"")))</f>
        <v/>
      </c>
      <c r="S271" s="140">
        <f>IF(S$226="","",IF($B271="","",IFERROR($C271*$D271*IF((Override!$C$4="ON")*(COUNTIFS(Override!$B$11:$B$40,$B271,Override!$D$11:$D$40,14,Override!$E$11:$E$40,"&gt;=0")-COUNTIFS(Override!$B$11:$B$40,$B271,Override!$D$11:$D$40,14,Override!$E$11:$E$40,"&gt;=0",Override!$C$11:$C$40,"AS51"))&gt;0,SUMIFS(Override!$E$11:$E$40,Override!$B$11:$B$40,$B271,Override!$D$11:$D$40,14)-SUMIFS(Override!$E$11:$E$40,Override!$B$11:$B$40,$B271,Override!$D$11:$D$40,14,Override!$C$11:$C$40,"AS51"),Override!$P$303)/MXAU!$B$3,"")))</f>
        <v/>
      </c>
      <c r="T271" s="140">
        <f>IF(T$226="","",IF($B271="","",IFERROR($C271*$D271*IF((Override!$C$4="ON")*(COUNTIFS(Override!$B$11:$B$40,$B271,Override!$D$11:$D$40,15,Override!$E$11:$E$40,"&gt;=0")-COUNTIFS(Override!$B$11:$B$40,$B271,Override!$D$11:$D$40,15,Override!$E$11:$E$40,"&gt;=0",Override!$C$11:$C$40,"AS51"))&gt;0,SUMIFS(Override!$E$11:$E$40,Override!$B$11:$B$40,$B271,Override!$D$11:$D$40,15)-SUMIFS(Override!$E$11:$E$40,Override!$B$11:$B$40,$B271,Override!$D$11:$D$40,15,Override!$C$11:$C$40,"AS51"),Override!$Q$303)/MXAU!$B$3,"")))</f>
        <v/>
      </c>
      <c r="U271" s="140">
        <f>IF(U$226="","",IF($B271="","",IFERROR($C271*$D271*IF((Override!$C$4="ON")*(COUNTIFS(Override!$B$11:$B$40,$B271,Override!$D$11:$D$40,16,Override!$E$11:$E$40,"&gt;=0")-COUNTIFS(Override!$B$11:$B$40,$B271,Override!$D$11:$D$40,16,Override!$E$11:$E$40,"&gt;=0",Override!$C$11:$C$40,"AS51"))&gt;0,SUMIFS(Override!$E$11:$E$40,Override!$B$11:$B$40,$B271,Override!$D$11:$D$40,16)-SUMIFS(Override!$E$11:$E$40,Override!$B$11:$B$40,$B271,Override!$D$11:$D$40,16,Override!$C$11:$C$40,"AS51"),Override!$R$303)/MXAU!$B$3,"")))</f>
        <v/>
      </c>
      <c r="W271" s="140">
        <f>IF(W$226="","",IF($B271="","",IFERROR(F271*$E271/100,"")))</f>
        <v/>
      </c>
      <c r="X271" s="140">
        <f>IF(X$226="","",IF($B271="","",IFERROR(G271*$E271/100,"")))</f>
        <v/>
      </c>
      <c r="Y271" s="140">
        <f>IF(Y$226="","",IF($B271="","",IFERROR(H271*$E271/100,"")))</f>
        <v/>
      </c>
      <c r="Z271" s="140">
        <f>IF(Z$226="","",IF($B271="","",IFERROR(I271*$E271/100,"")))</f>
        <v/>
      </c>
      <c r="AA271" s="140">
        <f>IF(AA$226="","",IF($B271="","",IFERROR(J271*$E271/100,"")))</f>
        <v/>
      </c>
      <c r="AB271" s="140">
        <f>IF(AB$226="","",IF($B271="","",IFERROR(K271*$E271/100,"")))</f>
        <v/>
      </c>
      <c r="AC271" s="140">
        <f>IF(AC$226="","",IF($B271="","",IFERROR(L271*$E271/100,"")))</f>
        <v/>
      </c>
      <c r="AD271" s="140">
        <f>IF(AD$226="","",IF($B271="","",IFERROR(M271*$E271/100,"")))</f>
        <v/>
      </c>
      <c r="AE271" s="140">
        <f>IF(AE$226="","",IF($B271="","",IFERROR(N271*$E271/100,"")))</f>
        <v/>
      </c>
      <c r="AF271" s="140">
        <f>IF(AF$226="","",IF($B271="","",IFERROR(O271*$E271/100,"")))</f>
        <v/>
      </c>
      <c r="AG271" s="140">
        <f>IF(AG$226="","",IF($B271="","",IFERROR(P271*$E271/100,"")))</f>
        <v/>
      </c>
      <c r="AH271" s="140">
        <f>IF(AH$226="","",IF($B271="","",IFERROR(Q271*$E271/100,"")))</f>
        <v/>
      </c>
      <c r="AI271" s="140">
        <f>IF(AI$226="","",IF($B271="","",IFERROR(R271*$E271/100,"")))</f>
        <v/>
      </c>
      <c r="AJ271" s="140">
        <f>IF(AJ$226="","",IF($B271="","",IFERROR(S271*$E271/100,"")))</f>
        <v/>
      </c>
      <c r="AK271" s="140">
        <f>IF(AK$226="","",IF($B271="","",IFERROR(T271*$E271/100,"")))</f>
        <v/>
      </c>
      <c r="AL271" s="140">
        <f>IF(AL$226="","",IF($B271="","",IFERROR(U271*$E271/100,"")))</f>
        <v/>
      </c>
      <c r="AN271" s="140">
        <f>IF($B271="","",SUMIF($F$226:$U$226,"&lt;="&amp;Sector!$E$51,$F271:$U271))</f>
        <v/>
      </c>
      <c r="AO271" s="140">
        <f>IF($B271="","",SUMIF($W$226:$AL$226,"&lt;="&amp;Sector!$E$51,$W271:$AL271))</f>
        <v/>
      </c>
    </row>
    <row r="272">
      <c r="B272" s="5">
        <f>IF(MXAU!$C$49="","",MXAU!$C$49)</f>
        <v/>
      </c>
      <c r="C272" s="90">
        <f>IF(MXAU!$B$49="","",MXAU!$B$49)</f>
        <v/>
      </c>
      <c r="D272" s="138">
        <f>IFERROR(MXAU!$Q$49,1)</f>
        <v/>
      </c>
      <c r="E272" s="139">
        <f>IF($B272="","",IF(ISNUMBER(MXAU!$I$49),MXAU!$I$49,'Index Summary'!$C$7))</f>
        <v/>
      </c>
      <c r="F272" s="140">
        <f>IF(F$226="","",IF($B272="","",IFERROR($C272*$D272*IF((Override!$C$4="ON")*(COUNTIFS(Override!$B$11:$B$40,$B272,Override!$D$11:$D$40,1,Override!$E$11:$E$40,"&gt;=0")-COUNTIFS(Override!$B$11:$B$40,$B272,Override!$D$11:$D$40,1,Override!$E$11:$E$40,"&gt;=0",Override!$C$11:$C$40,"AS51"))&gt;0,SUMIFS(Override!$E$11:$E$40,Override!$B$11:$B$40,$B272,Override!$D$11:$D$40,1)-SUMIFS(Override!$E$11:$E$40,Override!$B$11:$B$40,$B272,Override!$D$11:$D$40,1,Override!$C$11:$C$40,"AS51"),Override!$C$304)/MXAU!$B$3,"")))</f>
        <v/>
      </c>
      <c r="G272" s="140">
        <f>IF(G$226="","",IF($B272="","",IFERROR($C272*$D272*IF((Override!$C$4="ON")*(COUNTIFS(Override!$B$11:$B$40,$B272,Override!$D$11:$D$40,2,Override!$E$11:$E$40,"&gt;=0")-COUNTIFS(Override!$B$11:$B$40,$B272,Override!$D$11:$D$40,2,Override!$E$11:$E$40,"&gt;=0",Override!$C$11:$C$40,"AS51"))&gt;0,SUMIFS(Override!$E$11:$E$40,Override!$B$11:$B$40,$B272,Override!$D$11:$D$40,2)-SUMIFS(Override!$E$11:$E$40,Override!$B$11:$B$40,$B272,Override!$D$11:$D$40,2,Override!$C$11:$C$40,"AS51"),Override!$D$304)/MXAU!$B$3,"")))</f>
        <v/>
      </c>
      <c r="H272" s="140">
        <f>IF(H$226="","",IF($B272="","",IFERROR($C272*$D272*IF((Override!$C$4="ON")*(COUNTIFS(Override!$B$11:$B$40,$B272,Override!$D$11:$D$40,3,Override!$E$11:$E$40,"&gt;=0")-COUNTIFS(Override!$B$11:$B$40,$B272,Override!$D$11:$D$40,3,Override!$E$11:$E$40,"&gt;=0",Override!$C$11:$C$40,"AS51"))&gt;0,SUMIFS(Override!$E$11:$E$40,Override!$B$11:$B$40,$B272,Override!$D$11:$D$40,3)-SUMIFS(Override!$E$11:$E$40,Override!$B$11:$B$40,$B272,Override!$D$11:$D$40,3,Override!$C$11:$C$40,"AS51"),Override!$E$304)/MXAU!$B$3,"")))</f>
        <v/>
      </c>
      <c r="I272" s="140">
        <f>IF(I$226="","",IF($B272="","",IFERROR($C272*$D272*IF((Override!$C$4="ON")*(COUNTIFS(Override!$B$11:$B$40,$B272,Override!$D$11:$D$40,4,Override!$E$11:$E$40,"&gt;=0")-COUNTIFS(Override!$B$11:$B$40,$B272,Override!$D$11:$D$40,4,Override!$E$11:$E$40,"&gt;=0",Override!$C$11:$C$40,"AS51"))&gt;0,SUMIFS(Override!$E$11:$E$40,Override!$B$11:$B$40,$B272,Override!$D$11:$D$40,4)-SUMIFS(Override!$E$11:$E$40,Override!$B$11:$B$40,$B272,Override!$D$11:$D$40,4,Override!$C$11:$C$40,"AS51"),Override!$F$304)/MXAU!$B$3,"")))</f>
        <v/>
      </c>
      <c r="J272" s="140">
        <f>IF(J$226="","",IF($B272="","",IFERROR($C272*$D272*IF((Override!$C$4="ON")*(COUNTIFS(Override!$B$11:$B$40,$B272,Override!$D$11:$D$40,5,Override!$E$11:$E$40,"&gt;=0")-COUNTIFS(Override!$B$11:$B$40,$B272,Override!$D$11:$D$40,5,Override!$E$11:$E$40,"&gt;=0",Override!$C$11:$C$40,"AS51"))&gt;0,SUMIFS(Override!$E$11:$E$40,Override!$B$11:$B$40,$B272,Override!$D$11:$D$40,5)-SUMIFS(Override!$E$11:$E$40,Override!$B$11:$B$40,$B272,Override!$D$11:$D$40,5,Override!$C$11:$C$40,"AS51"),Override!$G$304)/MXAU!$B$3,"")))</f>
        <v/>
      </c>
      <c r="K272" s="140">
        <f>IF(K$226="","",IF($B272="","",IFERROR($C272*$D272*IF((Override!$C$4="ON")*(COUNTIFS(Override!$B$11:$B$40,$B272,Override!$D$11:$D$40,6,Override!$E$11:$E$40,"&gt;=0")-COUNTIFS(Override!$B$11:$B$40,$B272,Override!$D$11:$D$40,6,Override!$E$11:$E$40,"&gt;=0",Override!$C$11:$C$40,"AS51"))&gt;0,SUMIFS(Override!$E$11:$E$40,Override!$B$11:$B$40,$B272,Override!$D$11:$D$40,6)-SUMIFS(Override!$E$11:$E$40,Override!$B$11:$B$40,$B272,Override!$D$11:$D$40,6,Override!$C$11:$C$40,"AS51"),Override!$H$304)/MXAU!$B$3,"")))</f>
        <v/>
      </c>
      <c r="L272" s="140">
        <f>IF(L$226="","",IF($B272="","",IFERROR($C272*$D272*IF((Override!$C$4="ON")*(COUNTIFS(Override!$B$11:$B$40,$B272,Override!$D$11:$D$40,7,Override!$E$11:$E$40,"&gt;=0")-COUNTIFS(Override!$B$11:$B$40,$B272,Override!$D$11:$D$40,7,Override!$E$11:$E$40,"&gt;=0",Override!$C$11:$C$40,"AS51"))&gt;0,SUMIFS(Override!$E$11:$E$40,Override!$B$11:$B$40,$B272,Override!$D$11:$D$40,7)-SUMIFS(Override!$E$11:$E$40,Override!$B$11:$B$40,$B272,Override!$D$11:$D$40,7,Override!$C$11:$C$40,"AS51"),Override!$I$304)/MXAU!$B$3,"")))</f>
        <v/>
      </c>
      <c r="M272" s="140">
        <f>IF(M$226="","",IF($B272="","",IFERROR($C272*$D272*IF((Override!$C$4="ON")*(COUNTIFS(Override!$B$11:$B$40,$B272,Override!$D$11:$D$40,8,Override!$E$11:$E$40,"&gt;=0")-COUNTIFS(Override!$B$11:$B$40,$B272,Override!$D$11:$D$40,8,Override!$E$11:$E$40,"&gt;=0",Override!$C$11:$C$40,"AS51"))&gt;0,SUMIFS(Override!$E$11:$E$40,Override!$B$11:$B$40,$B272,Override!$D$11:$D$40,8)-SUMIFS(Override!$E$11:$E$40,Override!$B$11:$B$40,$B272,Override!$D$11:$D$40,8,Override!$C$11:$C$40,"AS51"),Override!$J$304)/MXAU!$B$3,"")))</f>
        <v/>
      </c>
      <c r="N272" s="140">
        <f>IF(N$226="","",IF($B272="","",IFERROR($C272*$D272*IF((Override!$C$4="ON")*(COUNTIFS(Override!$B$11:$B$40,$B272,Override!$D$11:$D$40,9,Override!$E$11:$E$40,"&gt;=0")-COUNTIFS(Override!$B$11:$B$40,$B272,Override!$D$11:$D$40,9,Override!$E$11:$E$40,"&gt;=0",Override!$C$11:$C$40,"AS51"))&gt;0,SUMIFS(Override!$E$11:$E$40,Override!$B$11:$B$40,$B272,Override!$D$11:$D$40,9)-SUMIFS(Override!$E$11:$E$40,Override!$B$11:$B$40,$B272,Override!$D$11:$D$40,9,Override!$C$11:$C$40,"AS51"),Override!$K$304)/MXAU!$B$3,"")))</f>
        <v/>
      </c>
      <c r="O272" s="140">
        <f>IF(O$226="","",IF($B272="","",IFERROR($C272*$D272*IF((Override!$C$4="ON")*(COUNTIFS(Override!$B$11:$B$40,$B272,Override!$D$11:$D$40,10,Override!$E$11:$E$40,"&gt;=0")-COUNTIFS(Override!$B$11:$B$40,$B272,Override!$D$11:$D$40,10,Override!$E$11:$E$40,"&gt;=0",Override!$C$11:$C$40,"AS51"))&gt;0,SUMIFS(Override!$E$11:$E$40,Override!$B$11:$B$40,$B272,Override!$D$11:$D$40,10)-SUMIFS(Override!$E$11:$E$40,Override!$B$11:$B$40,$B272,Override!$D$11:$D$40,10,Override!$C$11:$C$40,"AS51"),Override!$L$304)/MXAU!$B$3,"")))</f>
        <v/>
      </c>
      <c r="P272" s="140">
        <f>IF(P$226="","",IF($B272="","",IFERROR($C272*$D272*IF((Override!$C$4="ON")*(COUNTIFS(Override!$B$11:$B$40,$B272,Override!$D$11:$D$40,11,Override!$E$11:$E$40,"&gt;=0")-COUNTIFS(Override!$B$11:$B$40,$B272,Override!$D$11:$D$40,11,Override!$E$11:$E$40,"&gt;=0",Override!$C$11:$C$40,"AS51"))&gt;0,SUMIFS(Override!$E$11:$E$40,Override!$B$11:$B$40,$B272,Override!$D$11:$D$40,11)-SUMIFS(Override!$E$11:$E$40,Override!$B$11:$B$40,$B272,Override!$D$11:$D$40,11,Override!$C$11:$C$40,"AS51"),Override!$M$304)/MXAU!$B$3,"")))</f>
        <v/>
      </c>
      <c r="Q272" s="140">
        <f>IF(Q$226="","",IF($B272="","",IFERROR($C272*$D272*IF((Override!$C$4="ON")*(COUNTIFS(Override!$B$11:$B$40,$B272,Override!$D$11:$D$40,12,Override!$E$11:$E$40,"&gt;=0")-COUNTIFS(Override!$B$11:$B$40,$B272,Override!$D$11:$D$40,12,Override!$E$11:$E$40,"&gt;=0",Override!$C$11:$C$40,"AS51"))&gt;0,SUMIFS(Override!$E$11:$E$40,Override!$B$11:$B$40,$B272,Override!$D$11:$D$40,12)-SUMIFS(Override!$E$11:$E$40,Override!$B$11:$B$40,$B272,Override!$D$11:$D$40,12,Override!$C$11:$C$40,"AS51"),Override!$N$304)/MXAU!$B$3,"")))</f>
        <v/>
      </c>
      <c r="R272" s="140">
        <f>IF(R$226="","",IF($B272="","",IFERROR($C272*$D272*IF((Override!$C$4="ON")*(COUNTIFS(Override!$B$11:$B$40,$B272,Override!$D$11:$D$40,13,Override!$E$11:$E$40,"&gt;=0")-COUNTIFS(Override!$B$11:$B$40,$B272,Override!$D$11:$D$40,13,Override!$E$11:$E$40,"&gt;=0",Override!$C$11:$C$40,"AS51"))&gt;0,SUMIFS(Override!$E$11:$E$40,Override!$B$11:$B$40,$B272,Override!$D$11:$D$40,13)-SUMIFS(Override!$E$11:$E$40,Override!$B$11:$B$40,$B272,Override!$D$11:$D$40,13,Override!$C$11:$C$40,"AS51"),Override!$O$304)/MXAU!$B$3,"")))</f>
        <v/>
      </c>
      <c r="S272" s="140">
        <f>IF(S$226="","",IF($B272="","",IFERROR($C272*$D272*IF((Override!$C$4="ON")*(COUNTIFS(Override!$B$11:$B$40,$B272,Override!$D$11:$D$40,14,Override!$E$11:$E$40,"&gt;=0")-COUNTIFS(Override!$B$11:$B$40,$B272,Override!$D$11:$D$40,14,Override!$E$11:$E$40,"&gt;=0",Override!$C$11:$C$40,"AS51"))&gt;0,SUMIFS(Override!$E$11:$E$40,Override!$B$11:$B$40,$B272,Override!$D$11:$D$40,14)-SUMIFS(Override!$E$11:$E$40,Override!$B$11:$B$40,$B272,Override!$D$11:$D$40,14,Override!$C$11:$C$40,"AS51"),Override!$P$304)/MXAU!$B$3,"")))</f>
        <v/>
      </c>
      <c r="T272" s="140">
        <f>IF(T$226="","",IF($B272="","",IFERROR($C272*$D272*IF((Override!$C$4="ON")*(COUNTIFS(Override!$B$11:$B$40,$B272,Override!$D$11:$D$40,15,Override!$E$11:$E$40,"&gt;=0")-COUNTIFS(Override!$B$11:$B$40,$B272,Override!$D$11:$D$40,15,Override!$E$11:$E$40,"&gt;=0",Override!$C$11:$C$40,"AS51"))&gt;0,SUMIFS(Override!$E$11:$E$40,Override!$B$11:$B$40,$B272,Override!$D$11:$D$40,15)-SUMIFS(Override!$E$11:$E$40,Override!$B$11:$B$40,$B272,Override!$D$11:$D$40,15,Override!$C$11:$C$40,"AS51"),Override!$Q$304)/MXAU!$B$3,"")))</f>
        <v/>
      </c>
      <c r="U272" s="140">
        <f>IF(U$226="","",IF($B272="","",IFERROR($C272*$D272*IF((Override!$C$4="ON")*(COUNTIFS(Override!$B$11:$B$40,$B272,Override!$D$11:$D$40,16,Override!$E$11:$E$40,"&gt;=0")-COUNTIFS(Override!$B$11:$B$40,$B272,Override!$D$11:$D$40,16,Override!$E$11:$E$40,"&gt;=0",Override!$C$11:$C$40,"AS51"))&gt;0,SUMIFS(Override!$E$11:$E$40,Override!$B$11:$B$40,$B272,Override!$D$11:$D$40,16)-SUMIFS(Override!$E$11:$E$40,Override!$B$11:$B$40,$B272,Override!$D$11:$D$40,16,Override!$C$11:$C$40,"AS51"),Override!$R$304)/MXAU!$B$3,"")))</f>
        <v/>
      </c>
      <c r="W272" s="140">
        <f>IF(W$226="","",IF($B272="","",IFERROR(F272*$E272/100,"")))</f>
        <v/>
      </c>
      <c r="X272" s="140">
        <f>IF(X$226="","",IF($B272="","",IFERROR(G272*$E272/100,"")))</f>
        <v/>
      </c>
      <c r="Y272" s="140">
        <f>IF(Y$226="","",IF($B272="","",IFERROR(H272*$E272/100,"")))</f>
        <v/>
      </c>
      <c r="Z272" s="140">
        <f>IF(Z$226="","",IF($B272="","",IFERROR(I272*$E272/100,"")))</f>
        <v/>
      </c>
      <c r="AA272" s="140">
        <f>IF(AA$226="","",IF($B272="","",IFERROR(J272*$E272/100,"")))</f>
        <v/>
      </c>
      <c r="AB272" s="140">
        <f>IF(AB$226="","",IF($B272="","",IFERROR(K272*$E272/100,"")))</f>
        <v/>
      </c>
      <c r="AC272" s="140">
        <f>IF(AC$226="","",IF($B272="","",IFERROR(L272*$E272/100,"")))</f>
        <v/>
      </c>
      <c r="AD272" s="140">
        <f>IF(AD$226="","",IF($B272="","",IFERROR(M272*$E272/100,"")))</f>
        <v/>
      </c>
      <c r="AE272" s="140">
        <f>IF(AE$226="","",IF($B272="","",IFERROR(N272*$E272/100,"")))</f>
        <v/>
      </c>
      <c r="AF272" s="140">
        <f>IF(AF$226="","",IF($B272="","",IFERROR(O272*$E272/100,"")))</f>
        <v/>
      </c>
      <c r="AG272" s="140">
        <f>IF(AG$226="","",IF($B272="","",IFERROR(P272*$E272/100,"")))</f>
        <v/>
      </c>
      <c r="AH272" s="140">
        <f>IF(AH$226="","",IF($B272="","",IFERROR(Q272*$E272/100,"")))</f>
        <v/>
      </c>
      <c r="AI272" s="140">
        <f>IF(AI$226="","",IF($B272="","",IFERROR(R272*$E272/100,"")))</f>
        <v/>
      </c>
      <c r="AJ272" s="140">
        <f>IF(AJ$226="","",IF($B272="","",IFERROR(S272*$E272/100,"")))</f>
        <v/>
      </c>
      <c r="AK272" s="140">
        <f>IF(AK$226="","",IF($B272="","",IFERROR(T272*$E272/100,"")))</f>
        <v/>
      </c>
      <c r="AL272" s="140">
        <f>IF(AL$226="","",IF($B272="","",IFERROR(U272*$E272/100,"")))</f>
        <v/>
      </c>
      <c r="AN272" s="140">
        <f>IF($B272="","",SUMIF($F$226:$U$226,"&lt;="&amp;Sector!$E$51,$F272:$U272))</f>
        <v/>
      </c>
      <c r="AO272" s="140">
        <f>IF($B272="","",SUMIF($W$226:$AL$226,"&lt;="&amp;Sector!$E$51,$W272:$AL272))</f>
        <v/>
      </c>
    </row>
    <row r="273">
      <c r="B273" s="5">
        <f>IF(MXAU!$C$50="","",MXAU!$C$50)</f>
        <v/>
      </c>
      <c r="C273" s="90">
        <f>IF(MXAU!$B$50="","",MXAU!$B$50)</f>
        <v/>
      </c>
      <c r="D273" s="138">
        <f>IFERROR(MXAU!$Q$50,1)</f>
        <v/>
      </c>
      <c r="E273" s="139">
        <f>IF($B273="","",IF(ISNUMBER(MXAU!$I$50),MXAU!$I$50,'Index Summary'!$C$7))</f>
        <v/>
      </c>
      <c r="F273" s="140">
        <f>IF(F$226="","",IF($B273="","",IFERROR($C273*$D273*IF((Override!$C$4="ON")*(COUNTIFS(Override!$B$11:$B$40,$B273,Override!$D$11:$D$40,1,Override!$E$11:$E$40,"&gt;=0")-COUNTIFS(Override!$B$11:$B$40,$B273,Override!$D$11:$D$40,1,Override!$E$11:$E$40,"&gt;=0",Override!$C$11:$C$40,"AS51"))&gt;0,SUMIFS(Override!$E$11:$E$40,Override!$B$11:$B$40,$B273,Override!$D$11:$D$40,1)-SUMIFS(Override!$E$11:$E$40,Override!$B$11:$B$40,$B273,Override!$D$11:$D$40,1,Override!$C$11:$C$40,"AS51"),Override!$C$305)/MXAU!$B$3,"")))</f>
        <v/>
      </c>
      <c r="G273" s="140">
        <f>IF(G$226="","",IF($B273="","",IFERROR($C273*$D273*IF((Override!$C$4="ON")*(COUNTIFS(Override!$B$11:$B$40,$B273,Override!$D$11:$D$40,2,Override!$E$11:$E$40,"&gt;=0")-COUNTIFS(Override!$B$11:$B$40,$B273,Override!$D$11:$D$40,2,Override!$E$11:$E$40,"&gt;=0",Override!$C$11:$C$40,"AS51"))&gt;0,SUMIFS(Override!$E$11:$E$40,Override!$B$11:$B$40,$B273,Override!$D$11:$D$40,2)-SUMIFS(Override!$E$11:$E$40,Override!$B$11:$B$40,$B273,Override!$D$11:$D$40,2,Override!$C$11:$C$40,"AS51"),Override!$D$305)/MXAU!$B$3,"")))</f>
        <v/>
      </c>
      <c r="H273" s="140">
        <f>IF(H$226="","",IF($B273="","",IFERROR($C273*$D273*IF((Override!$C$4="ON")*(COUNTIFS(Override!$B$11:$B$40,$B273,Override!$D$11:$D$40,3,Override!$E$11:$E$40,"&gt;=0")-COUNTIFS(Override!$B$11:$B$40,$B273,Override!$D$11:$D$40,3,Override!$E$11:$E$40,"&gt;=0",Override!$C$11:$C$40,"AS51"))&gt;0,SUMIFS(Override!$E$11:$E$40,Override!$B$11:$B$40,$B273,Override!$D$11:$D$40,3)-SUMIFS(Override!$E$11:$E$40,Override!$B$11:$B$40,$B273,Override!$D$11:$D$40,3,Override!$C$11:$C$40,"AS51"),Override!$E$305)/MXAU!$B$3,"")))</f>
        <v/>
      </c>
      <c r="I273" s="140">
        <f>IF(I$226="","",IF($B273="","",IFERROR($C273*$D273*IF((Override!$C$4="ON")*(COUNTIFS(Override!$B$11:$B$40,$B273,Override!$D$11:$D$40,4,Override!$E$11:$E$40,"&gt;=0")-COUNTIFS(Override!$B$11:$B$40,$B273,Override!$D$11:$D$40,4,Override!$E$11:$E$40,"&gt;=0",Override!$C$11:$C$40,"AS51"))&gt;0,SUMIFS(Override!$E$11:$E$40,Override!$B$11:$B$40,$B273,Override!$D$11:$D$40,4)-SUMIFS(Override!$E$11:$E$40,Override!$B$11:$B$40,$B273,Override!$D$11:$D$40,4,Override!$C$11:$C$40,"AS51"),Override!$F$305)/MXAU!$B$3,"")))</f>
        <v/>
      </c>
      <c r="J273" s="140">
        <f>IF(J$226="","",IF($B273="","",IFERROR($C273*$D273*IF((Override!$C$4="ON")*(COUNTIFS(Override!$B$11:$B$40,$B273,Override!$D$11:$D$40,5,Override!$E$11:$E$40,"&gt;=0")-COUNTIFS(Override!$B$11:$B$40,$B273,Override!$D$11:$D$40,5,Override!$E$11:$E$40,"&gt;=0",Override!$C$11:$C$40,"AS51"))&gt;0,SUMIFS(Override!$E$11:$E$40,Override!$B$11:$B$40,$B273,Override!$D$11:$D$40,5)-SUMIFS(Override!$E$11:$E$40,Override!$B$11:$B$40,$B273,Override!$D$11:$D$40,5,Override!$C$11:$C$40,"AS51"),Override!$G$305)/MXAU!$B$3,"")))</f>
        <v/>
      </c>
      <c r="K273" s="140">
        <f>IF(K$226="","",IF($B273="","",IFERROR($C273*$D273*IF((Override!$C$4="ON")*(COUNTIFS(Override!$B$11:$B$40,$B273,Override!$D$11:$D$40,6,Override!$E$11:$E$40,"&gt;=0")-COUNTIFS(Override!$B$11:$B$40,$B273,Override!$D$11:$D$40,6,Override!$E$11:$E$40,"&gt;=0",Override!$C$11:$C$40,"AS51"))&gt;0,SUMIFS(Override!$E$11:$E$40,Override!$B$11:$B$40,$B273,Override!$D$11:$D$40,6)-SUMIFS(Override!$E$11:$E$40,Override!$B$11:$B$40,$B273,Override!$D$11:$D$40,6,Override!$C$11:$C$40,"AS51"),Override!$H$305)/MXAU!$B$3,"")))</f>
        <v/>
      </c>
      <c r="L273" s="140">
        <f>IF(L$226="","",IF($B273="","",IFERROR($C273*$D273*IF((Override!$C$4="ON")*(COUNTIFS(Override!$B$11:$B$40,$B273,Override!$D$11:$D$40,7,Override!$E$11:$E$40,"&gt;=0")-COUNTIFS(Override!$B$11:$B$40,$B273,Override!$D$11:$D$40,7,Override!$E$11:$E$40,"&gt;=0",Override!$C$11:$C$40,"AS51"))&gt;0,SUMIFS(Override!$E$11:$E$40,Override!$B$11:$B$40,$B273,Override!$D$11:$D$40,7)-SUMIFS(Override!$E$11:$E$40,Override!$B$11:$B$40,$B273,Override!$D$11:$D$40,7,Override!$C$11:$C$40,"AS51"),Override!$I$305)/MXAU!$B$3,"")))</f>
        <v/>
      </c>
      <c r="M273" s="140">
        <f>IF(M$226="","",IF($B273="","",IFERROR($C273*$D273*IF((Override!$C$4="ON")*(COUNTIFS(Override!$B$11:$B$40,$B273,Override!$D$11:$D$40,8,Override!$E$11:$E$40,"&gt;=0")-COUNTIFS(Override!$B$11:$B$40,$B273,Override!$D$11:$D$40,8,Override!$E$11:$E$40,"&gt;=0",Override!$C$11:$C$40,"AS51"))&gt;0,SUMIFS(Override!$E$11:$E$40,Override!$B$11:$B$40,$B273,Override!$D$11:$D$40,8)-SUMIFS(Override!$E$11:$E$40,Override!$B$11:$B$40,$B273,Override!$D$11:$D$40,8,Override!$C$11:$C$40,"AS51"),Override!$J$305)/MXAU!$B$3,"")))</f>
        <v/>
      </c>
      <c r="N273" s="140">
        <f>IF(N$226="","",IF($B273="","",IFERROR($C273*$D273*IF((Override!$C$4="ON")*(COUNTIFS(Override!$B$11:$B$40,$B273,Override!$D$11:$D$40,9,Override!$E$11:$E$40,"&gt;=0")-COUNTIFS(Override!$B$11:$B$40,$B273,Override!$D$11:$D$40,9,Override!$E$11:$E$40,"&gt;=0",Override!$C$11:$C$40,"AS51"))&gt;0,SUMIFS(Override!$E$11:$E$40,Override!$B$11:$B$40,$B273,Override!$D$11:$D$40,9)-SUMIFS(Override!$E$11:$E$40,Override!$B$11:$B$40,$B273,Override!$D$11:$D$40,9,Override!$C$11:$C$40,"AS51"),Override!$K$305)/MXAU!$B$3,"")))</f>
        <v/>
      </c>
      <c r="O273" s="140">
        <f>IF(O$226="","",IF($B273="","",IFERROR($C273*$D273*IF((Override!$C$4="ON")*(COUNTIFS(Override!$B$11:$B$40,$B273,Override!$D$11:$D$40,10,Override!$E$11:$E$40,"&gt;=0")-COUNTIFS(Override!$B$11:$B$40,$B273,Override!$D$11:$D$40,10,Override!$E$11:$E$40,"&gt;=0",Override!$C$11:$C$40,"AS51"))&gt;0,SUMIFS(Override!$E$11:$E$40,Override!$B$11:$B$40,$B273,Override!$D$11:$D$40,10)-SUMIFS(Override!$E$11:$E$40,Override!$B$11:$B$40,$B273,Override!$D$11:$D$40,10,Override!$C$11:$C$40,"AS51"),Override!$L$305)/MXAU!$B$3,"")))</f>
        <v/>
      </c>
      <c r="P273" s="140">
        <f>IF(P$226="","",IF($B273="","",IFERROR($C273*$D273*IF((Override!$C$4="ON")*(COUNTIFS(Override!$B$11:$B$40,$B273,Override!$D$11:$D$40,11,Override!$E$11:$E$40,"&gt;=0")-COUNTIFS(Override!$B$11:$B$40,$B273,Override!$D$11:$D$40,11,Override!$E$11:$E$40,"&gt;=0",Override!$C$11:$C$40,"AS51"))&gt;0,SUMIFS(Override!$E$11:$E$40,Override!$B$11:$B$40,$B273,Override!$D$11:$D$40,11)-SUMIFS(Override!$E$11:$E$40,Override!$B$11:$B$40,$B273,Override!$D$11:$D$40,11,Override!$C$11:$C$40,"AS51"),Override!$M$305)/MXAU!$B$3,"")))</f>
        <v/>
      </c>
      <c r="Q273" s="140">
        <f>IF(Q$226="","",IF($B273="","",IFERROR($C273*$D273*IF((Override!$C$4="ON")*(COUNTIFS(Override!$B$11:$B$40,$B273,Override!$D$11:$D$40,12,Override!$E$11:$E$40,"&gt;=0")-COUNTIFS(Override!$B$11:$B$40,$B273,Override!$D$11:$D$40,12,Override!$E$11:$E$40,"&gt;=0",Override!$C$11:$C$40,"AS51"))&gt;0,SUMIFS(Override!$E$11:$E$40,Override!$B$11:$B$40,$B273,Override!$D$11:$D$40,12)-SUMIFS(Override!$E$11:$E$40,Override!$B$11:$B$40,$B273,Override!$D$11:$D$40,12,Override!$C$11:$C$40,"AS51"),Override!$N$305)/MXAU!$B$3,"")))</f>
        <v/>
      </c>
      <c r="R273" s="140">
        <f>IF(R$226="","",IF($B273="","",IFERROR($C273*$D273*IF((Override!$C$4="ON")*(COUNTIFS(Override!$B$11:$B$40,$B273,Override!$D$11:$D$40,13,Override!$E$11:$E$40,"&gt;=0")-COUNTIFS(Override!$B$11:$B$40,$B273,Override!$D$11:$D$40,13,Override!$E$11:$E$40,"&gt;=0",Override!$C$11:$C$40,"AS51"))&gt;0,SUMIFS(Override!$E$11:$E$40,Override!$B$11:$B$40,$B273,Override!$D$11:$D$40,13)-SUMIFS(Override!$E$11:$E$40,Override!$B$11:$B$40,$B273,Override!$D$11:$D$40,13,Override!$C$11:$C$40,"AS51"),Override!$O$305)/MXAU!$B$3,"")))</f>
        <v/>
      </c>
      <c r="S273" s="140">
        <f>IF(S$226="","",IF($B273="","",IFERROR($C273*$D273*IF((Override!$C$4="ON")*(COUNTIFS(Override!$B$11:$B$40,$B273,Override!$D$11:$D$40,14,Override!$E$11:$E$40,"&gt;=0")-COUNTIFS(Override!$B$11:$B$40,$B273,Override!$D$11:$D$40,14,Override!$E$11:$E$40,"&gt;=0",Override!$C$11:$C$40,"AS51"))&gt;0,SUMIFS(Override!$E$11:$E$40,Override!$B$11:$B$40,$B273,Override!$D$11:$D$40,14)-SUMIFS(Override!$E$11:$E$40,Override!$B$11:$B$40,$B273,Override!$D$11:$D$40,14,Override!$C$11:$C$40,"AS51"),Override!$P$305)/MXAU!$B$3,"")))</f>
        <v/>
      </c>
      <c r="T273" s="140">
        <f>IF(T$226="","",IF($B273="","",IFERROR($C273*$D273*IF((Override!$C$4="ON")*(COUNTIFS(Override!$B$11:$B$40,$B273,Override!$D$11:$D$40,15,Override!$E$11:$E$40,"&gt;=0")-COUNTIFS(Override!$B$11:$B$40,$B273,Override!$D$11:$D$40,15,Override!$E$11:$E$40,"&gt;=0",Override!$C$11:$C$40,"AS51"))&gt;0,SUMIFS(Override!$E$11:$E$40,Override!$B$11:$B$40,$B273,Override!$D$11:$D$40,15)-SUMIFS(Override!$E$11:$E$40,Override!$B$11:$B$40,$B273,Override!$D$11:$D$40,15,Override!$C$11:$C$40,"AS51"),Override!$Q$305)/MXAU!$B$3,"")))</f>
        <v/>
      </c>
      <c r="U273" s="140">
        <f>IF(U$226="","",IF($B273="","",IFERROR($C273*$D273*IF((Override!$C$4="ON")*(COUNTIFS(Override!$B$11:$B$40,$B273,Override!$D$11:$D$40,16,Override!$E$11:$E$40,"&gt;=0")-COUNTIFS(Override!$B$11:$B$40,$B273,Override!$D$11:$D$40,16,Override!$E$11:$E$40,"&gt;=0",Override!$C$11:$C$40,"AS51"))&gt;0,SUMIFS(Override!$E$11:$E$40,Override!$B$11:$B$40,$B273,Override!$D$11:$D$40,16)-SUMIFS(Override!$E$11:$E$40,Override!$B$11:$B$40,$B273,Override!$D$11:$D$40,16,Override!$C$11:$C$40,"AS51"),Override!$R$305)/MXAU!$B$3,"")))</f>
        <v/>
      </c>
      <c r="W273" s="140">
        <f>IF(W$226="","",IF($B273="","",IFERROR(F273*$E273/100,"")))</f>
        <v/>
      </c>
      <c r="X273" s="140">
        <f>IF(X$226="","",IF($B273="","",IFERROR(G273*$E273/100,"")))</f>
        <v/>
      </c>
      <c r="Y273" s="140">
        <f>IF(Y$226="","",IF($B273="","",IFERROR(H273*$E273/100,"")))</f>
        <v/>
      </c>
      <c r="Z273" s="140">
        <f>IF(Z$226="","",IF($B273="","",IFERROR(I273*$E273/100,"")))</f>
        <v/>
      </c>
      <c r="AA273" s="140">
        <f>IF(AA$226="","",IF($B273="","",IFERROR(J273*$E273/100,"")))</f>
        <v/>
      </c>
      <c r="AB273" s="140">
        <f>IF(AB$226="","",IF($B273="","",IFERROR(K273*$E273/100,"")))</f>
        <v/>
      </c>
      <c r="AC273" s="140">
        <f>IF(AC$226="","",IF($B273="","",IFERROR(L273*$E273/100,"")))</f>
        <v/>
      </c>
      <c r="AD273" s="140">
        <f>IF(AD$226="","",IF($B273="","",IFERROR(M273*$E273/100,"")))</f>
        <v/>
      </c>
      <c r="AE273" s="140">
        <f>IF(AE$226="","",IF($B273="","",IFERROR(N273*$E273/100,"")))</f>
        <v/>
      </c>
      <c r="AF273" s="140">
        <f>IF(AF$226="","",IF($B273="","",IFERROR(O273*$E273/100,"")))</f>
        <v/>
      </c>
      <c r="AG273" s="140">
        <f>IF(AG$226="","",IF($B273="","",IFERROR(P273*$E273/100,"")))</f>
        <v/>
      </c>
      <c r="AH273" s="140">
        <f>IF(AH$226="","",IF($B273="","",IFERROR(Q273*$E273/100,"")))</f>
        <v/>
      </c>
      <c r="AI273" s="140">
        <f>IF(AI$226="","",IF($B273="","",IFERROR(R273*$E273/100,"")))</f>
        <v/>
      </c>
      <c r="AJ273" s="140">
        <f>IF(AJ$226="","",IF($B273="","",IFERROR(S273*$E273/100,"")))</f>
        <v/>
      </c>
      <c r="AK273" s="140">
        <f>IF(AK$226="","",IF($B273="","",IFERROR(T273*$E273/100,"")))</f>
        <v/>
      </c>
      <c r="AL273" s="140">
        <f>IF(AL$226="","",IF($B273="","",IFERROR(U273*$E273/100,"")))</f>
        <v/>
      </c>
      <c r="AN273" s="140">
        <f>IF($B273="","",SUMIF($F$226:$U$226,"&lt;="&amp;Sector!$E$51,$F273:$U273))</f>
        <v/>
      </c>
      <c r="AO273" s="140">
        <f>IF($B273="","",SUMIF($W$226:$AL$226,"&lt;="&amp;Sector!$E$51,$W273:$AL273))</f>
        <v/>
      </c>
    </row>
    <row r="274">
      <c r="B274" s="5">
        <f>IF(MXAU!$C$51="","",MXAU!$C$51)</f>
        <v/>
      </c>
      <c r="C274" s="90">
        <f>IF(MXAU!$B$51="","",MXAU!$B$51)</f>
        <v/>
      </c>
      <c r="D274" s="138">
        <f>IFERROR(MXAU!$Q$51,1)</f>
        <v/>
      </c>
      <c r="E274" s="139">
        <f>IF($B274="","",IF(ISNUMBER(MXAU!$I$51),MXAU!$I$51,'Index Summary'!$C$7))</f>
        <v/>
      </c>
      <c r="F274" s="140">
        <f>IF(F$226="","",IF($B274="","",IFERROR($C274*$D274*IF((Override!$C$4="ON")*(COUNTIFS(Override!$B$11:$B$40,$B274,Override!$D$11:$D$40,1,Override!$E$11:$E$40,"&gt;=0")-COUNTIFS(Override!$B$11:$B$40,$B274,Override!$D$11:$D$40,1,Override!$E$11:$E$40,"&gt;=0",Override!$C$11:$C$40,"AS51"))&gt;0,SUMIFS(Override!$E$11:$E$40,Override!$B$11:$B$40,$B274,Override!$D$11:$D$40,1)-SUMIFS(Override!$E$11:$E$40,Override!$B$11:$B$40,$B274,Override!$D$11:$D$40,1,Override!$C$11:$C$40,"AS51"),Override!$C$306)/MXAU!$B$3,"")))</f>
        <v/>
      </c>
      <c r="G274" s="140">
        <f>IF(G$226="","",IF($B274="","",IFERROR($C274*$D274*IF((Override!$C$4="ON")*(COUNTIFS(Override!$B$11:$B$40,$B274,Override!$D$11:$D$40,2,Override!$E$11:$E$40,"&gt;=0")-COUNTIFS(Override!$B$11:$B$40,$B274,Override!$D$11:$D$40,2,Override!$E$11:$E$40,"&gt;=0",Override!$C$11:$C$40,"AS51"))&gt;0,SUMIFS(Override!$E$11:$E$40,Override!$B$11:$B$40,$B274,Override!$D$11:$D$40,2)-SUMIFS(Override!$E$11:$E$40,Override!$B$11:$B$40,$B274,Override!$D$11:$D$40,2,Override!$C$11:$C$40,"AS51"),Override!$D$306)/MXAU!$B$3,"")))</f>
        <v/>
      </c>
      <c r="H274" s="140">
        <f>IF(H$226="","",IF($B274="","",IFERROR($C274*$D274*IF((Override!$C$4="ON")*(COUNTIFS(Override!$B$11:$B$40,$B274,Override!$D$11:$D$40,3,Override!$E$11:$E$40,"&gt;=0")-COUNTIFS(Override!$B$11:$B$40,$B274,Override!$D$11:$D$40,3,Override!$E$11:$E$40,"&gt;=0",Override!$C$11:$C$40,"AS51"))&gt;0,SUMIFS(Override!$E$11:$E$40,Override!$B$11:$B$40,$B274,Override!$D$11:$D$40,3)-SUMIFS(Override!$E$11:$E$40,Override!$B$11:$B$40,$B274,Override!$D$11:$D$40,3,Override!$C$11:$C$40,"AS51"),Override!$E$306)/MXAU!$B$3,"")))</f>
        <v/>
      </c>
      <c r="I274" s="140">
        <f>IF(I$226="","",IF($B274="","",IFERROR($C274*$D274*IF((Override!$C$4="ON")*(COUNTIFS(Override!$B$11:$B$40,$B274,Override!$D$11:$D$40,4,Override!$E$11:$E$40,"&gt;=0")-COUNTIFS(Override!$B$11:$B$40,$B274,Override!$D$11:$D$40,4,Override!$E$11:$E$40,"&gt;=0",Override!$C$11:$C$40,"AS51"))&gt;0,SUMIFS(Override!$E$11:$E$40,Override!$B$11:$B$40,$B274,Override!$D$11:$D$40,4)-SUMIFS(Override!$E$11:$E$40,Override!$B$11:$B$40,$B274,Override!$D$11:$D$40,4,Override!$C$11:$C$40,"AS51"),Override!$F$306)/MXAU!$B$3,"")))</f>
        <v/>
      </c>
      <c r="J274" s="140">
        <f>IF(J$226="","",IF($B274="","",IFERROR($C274*$D274*IF((Override!$C$4="ON")*(COUNTIFS(Override!$B$11:$B$40,$B274,Override!$D$11:$D$40,5,Override!$E$11:$E$40,"&gt;=0")-COUNTIFS(Override!$B$11:$B$40,$B274,Override!$D$11:$D$40,5,Override!$E$11:$E$40,"&gt;=0",Override!$C$11:$C$40,"AS51"))&gt;0,SUMIFS(Override!$E$11:$E$40,Override!$B$11:$B$40,$B274,Override!$D$11:$D$40,5)-SUMIFS(Override!$E$11:$E$40,Override!$B$11:$B$40,$B274,Override!$D$11:$D$40,5,Override!$C$11:$C$40,"AS51"),Override!$G$306)/MXAU!$B$3,"")))</f>
        <v/>
      </c>
      <c r="K274" s="140">
        <f>IF(K$226="","",IF($B274="","",IFERROR($C274*$D274*IF((Override!$C$4="ON")*(COUNTIFS(Override!$B$11:$B$40,$B274,Override!$D$11:$D$40,6,Override!$E$11:$E$40,"&gt;=0")-COUNTIFS(Override!$B$11:$B$40,$B274,Override!$D$11:$D$40,6,Override!$E$11:$E$40,"&gt;=0",Override!$C$11:$C$40,"AS51"))&gt;0,SUMIFS(Override!$E$11:$E$40,Override!$B$11:$B$40,$B274,Override!$D$11:$D$40,6)-SUMIFS(Override!$E$11:$E$40,Override!$B$11:$B$40,$B274,Override!$D$11:$D$40,6,Override!$C$11:$C$40,"AS51"),Override!$H$306)/MXAU!$B$3,"")))</f>
        <v/>
      </c>
      <c r="L274" s="140">
        <f>IF(L$226="","",IF($B274="","",IFERROR($C274*$D274*IF((Override!$C$4="ON")*(COUNTIFS(Override!$B$11:$B$40,$B274,Override!$D$11:$D$40,7,Override!$E$11:$E$40,"&gt;=0")-COUNTIFS(Override!$B$11:$B$40,$B274,Override!$D$11:$D$40,7,Override!$E$11:$E$40,"&gt;=0",Override!$C$11:$C$40,"AS51"))&gt;0,SUMIFS(Override!$E$11:$E$40,Override!$B$11:$B$40,$B274,Override!$D$11:$D$40,7)-SUMIFS(Override!$E$11:$E$40,Override!$B$11:$B$40,$B274,Override!$D$11:$D$40,7,Override!$C$11:$C$40,"AS51"),Override!$I$306)/MXAU!$B$3,"")))</f>
        <v/>
      </c>
      <c r="M274" s="140">
        <f>IF(M$226="","",IF($B274="","",IFERROR($C274*$D274*IF((Override!$C$4="ON")*(COUNTIFS(Override!$B$11:$B$40,$B274,Override!$D$11:$D$40,8,Override!$E$11:$E$40,"&gt;=0")-COUNTIFS(Override!$B$11:$B$40,$B274,Override!$D$11:$D$40,8,Override!$E$11:$E$40,"&gt;=0",Override!$C$11:$C$40,"AS51"))&gt;0,SUMIFS(Override!$E$11:$E$40,Override!$B$11:$B$40,$B274,Override!$D$11:$D$40,8)-SUMIFS(Override!$E$11:$E$40,Override!$B$11:$B$40,$B274,Override!$D$11:$D$40,8,Override!$C$11:$C$40,"AS51"),Override!$J$306)/MXAU!$B$3,"")))</f>
        <v/>
      </c>
      <c r="N274" s="140">
        <f>IF(N$226="","",IF($B274="","",IFERROR($C274*$D274*IF((Override!$C$4="ON")*(COUNTIFS(Override!$B$11:$B$40,$B274,Override!$D$11:$D$40,9,Override!$E$11:$E$40,"&gt;=0")-COUNTIFS(Override!$B$11:$B$40,$B274,Override!$D$11:$D$40,9,Override!$E$11:$E$40,"&gt;=0",Override!$C$11:$C$40,"AS51"))&gt;0,SUMIFS(Override!$E$11:$E$40,Override!$B$11:$B$40,$B274,Override!$D$11:$D$40,9)-SUMIFS(Override!$E$11:$E$40,Override!$B$11:$B$40,$B274,Override!$D$11:$D$40,9,Override!$C$11:$C$40,"AS51"),Override!$K$306)/MXAU!$B$3,"")))</f>
        <v/>
      </c>
      <c r="O274" s="140">
        <f>IF(O$226="","",IF($B274="","",IFERROR($C274*$D274*IF((Override!$C$4="ON")*(COUNTIFS(Override!$B$11:$B$40,$B274,Override!$D$11:$D$40,10,Override!$E$11:$E$40,"&gt;=0")-COUNTIFS(Override!$B$11:$B$40,$B274,Override!$D$11:$D$40,10,Override!$E$11:$E$40,"&gt;=0",Override!$C$11:$C$40,"AS51"))&gt;0,SUMIFS(Override!$E$11:$E$40,Override!$B$11:$B$40,$B274,Override!$D$11:$D$40,10)-SUMIFS(Override!$E$11:$E$40,Override!$B$11:$B$40,$B274,Override!$D$11:$D$40,10,Override!$C$11:$C$40,"AS51"),Override!$L$306)/MXAU!$B$3,"")))</f>
        <v/>
      </c>
      <c r="P274" s="140">
        <f>IF(P$226="","",IF($B274="","",IFERROR($C274*$D274*IF((Override!$C$4="ON")*(COUNTIFS(Override!$B$11:$B$40,$B274,Override!$D$11:$D$40,11,Override!$E$11:$E$40,"&gt;=0")-COUNTIFS(Override!$B$11:$B$40,$B274,Override!$D$11:$D$40,11,Override!$E$11:$E$40,"&gt;=0",Override!$C$11:$C$40,"AS51"))&gt;0,SUMIFS(Override!$E$11:$E$40,Override!$B$11:$B$40,$B274,Override!$D$11:$D$40,11)-SUMIFS(Override!$E$11:$E$40,Override!$B$11:$B$40,$B274,Override!$D$11:$D$40,11,Override!$C$11:$C$40,"AS51"),Override!$M$306)/MXAU!$B$3,"")))</f>
        <v/>
      </c>
      <c r="Q274" s="140">
        <f>IF(Q$226="","",IF($B274="","",IFERROR($C274*$D274*IF((Override!$C$4="ON")*(COUNTIFS(Override!$B$11:$B$40,$B274,Override!$D$11:$D$40,12,Override!$E$11:$E$40,"&gt;=0")-COUNTIFS(Override!$B$11:$B$40,$B274,Override!$D$11:$D$40,12,Override!$E$11:$E$40,"&gt;=0",Override!$C$11:$C$40,"AS51"))&gt;0,SUMIFS(Override!$E$11:$E$40,Override!$B$11:$B$40,$B274,Override!$D$11:$D$40,12)-SUMIFS(Override!$E$11:$E$40,Override!$B$11:$B$40,$B274,Override!$D$11:$D$40,12,Override!$C$11:$C$40,"AS51"),Override!$N$306)/MXAU!$B$3,"")))</f>
        <v/>
      </c>
      <c r="R274" s="140">
        <f>IF(R$226="","",IF($B274="","",IFERROR($C274*$D274*IF((Override!$C$4="ON")*(COUNTIFS(Override!$B$11:$B$40,$B274,Override!$D$11:$D$40,13,Override!$E$11:$E$40,"&gt;=0")-COUNTIFS(Override!$B$11:$B$40,$B274,Override!$D$11:$D$40,13,Override!$E$11:$E$40,"&gt;=0",Override!$C$11:$C$40,"AS51"))&gt;0,SUMIFS(Override!$E$11:$E$40,Override!$B$11:$B$40,$B274,Override!$D$11:$D$40,13)-SUMIFS(Override!$E$11:$E$40,Override!$B$11:$B$40,$B274,Override!$D$11:$D$40,13,Override!$C$11:$C$40,"AS51"),Override!$O$306)/MXAU!$B$3,"")))</f>
        <v/>
      </c>
      <c r="S274" s="140">
        <f>IF(S$226="","",IF($B274="","",IFERROR($C274*$D274*IF((Override!$C$4="ON")*(COUNTIFS(Override!$B$11:$B$40,$B274,Override!$D$11:$D$40,14,Override!$E$11:$E$40,"&gt;=0")-COUNTIFS(Override!$B$11:$B$40,$B274,Override!$D$11:$D$40,14,Override!$E$11:$E$40,"&gt;=0",Override!$C$11:$C$40,"AS51"))&gt;0,SUMIFS(Override!$E$11:$E$40,Override!$B$11:$B$40,$B274,Override!$D$11:$D$40,14)-SUMIFS(Override!$E$11:$E$40,Override!$B$11:$B$40,$B274,Override!$D$11:$D$40,14,Override!$C$11:$C$40,"AS51"),Override!$P$306)/MXAU!$B$3,"")))</f>
        <v/>
      </c>
      <c r="T274" s="140">
        <f>IF(T$226="","",IF($B274="","",IFERROR($C274*$D274*IF((Override!$C$4="ON")*(COUNTIFS(Override!$B$11:$B$40,$B274,Override!$D$11:$D$40,15,Override!$E$11:$E$40,"&gt;=0")-COUNTIFS(Override!$B$11:$B$40,$B274,Override!$D$11:$D$40,15,Override!$E$11:$E$40,"&gt;=0",Override!$C$11:$C$40,"AS51"))&gt;0,SUMIFS(Override!$E$11:$E$40,Override!$B$11:$B$40,$B274,Override!$D$11:$D$40,15)-SUMIFS(Override!$E$11:$E$40,Override!$B$11:$B$40,$B274,Override!$D$11:$D$40,15,Override!$C$11:$C$40,"AS51"),Override!$Q$306)/MXAU!$B$3,"")))</f>
        <v/>
      </c>
      <c r="U274" s="140">
        <f>IF(U$226="","",IF($B274="","",IFERROR($C274*$D274*IF((Override!$C$4="ON")*(COUNTIFS(Override!$B$11:$B$40,$B274,Override!$D$11:$D$40,16,Override!$E$11:$E$40,"&gt;=0")-COUNTIFS(Override!$B$11:$B$40,$B274,Override!$D$11:$D$40,16,Override!$E$11:$E$40,"&gt;=0",Override!$C$11:$C$40,"AS51"))&gt;0,SUMIFS(Override!$E$11:$E$40,Override!$B$11:$B$40,$B274,Override!$D$11:$D$40,16)-SUMIFS(Override!$E$11:$E$40,Override!$B$11:$B$40,$B274,Override!$D$11:$D$40,16,Override!$C$11:$C$40,"AS51"),Override!$R$306)/MXAU!$B$3,"")))</f>
        <v/>
      </c>
      <c r="W274" s="140">
        <f>IF(W$226="","",IF($B274="","",IFERROR(F274*$E274/100,"")))</f>
        <v/>
      </c>
      <c r="X274" s="140">
        <f>IF(X$226="","",IF($B274="","",IFERROR(G274*$E274/100,"")))</f>
        <v/>
      </c>
      <c r="Y274" s="140">
        <f>IF(Y$226="","",IF($B274="","",IFERROR(H274*$E274/100,"")))</f>
        <v/>
      </c>
      <c r="Z274" s="140">
        <f>IF(Z$226="","",IF($B274="","",IFERROR(I274*$E274/100,"")))</f>
        <v/>
      </c>
      <c r="AA274" s="140">
        <f>IF(AA$226="","",IF($B274="","",IFERROR(J274*$E274/100,"")))</f>
        <v/>
      </c>
      <c r="AB274" s="140">
        <f>IF(AB$226="","",IF($B274="","",IFERROR(K274*$E274/100,"")))</f>
        <v/>
      </c>
      <c r="AC274" s="140">
        <f>IF(AC$226="","",IF($B274="","",IFERROR(L274*$E274/100,"")))</f>
        <v/>
      </c>
      <c r="AD274" s="140">
        <f>IF(AD$226="","",IF($B274="","",IFERROR(M274*$E274/100,"")))</f>
        <v/>
      </c>
      <c r="AE274" s="140">
        <f>IF(AE$226="","",IF($B274="","",IFERROR(N274*$E274/100,"")))</f>
        <v/>
      </c>
      <c r="AF274" s="140">
        <f>IF(AF$226="","",IF($B274="","",IFERROR(O274*$E274/100,"")))</f>
        <v/>
      </c>
      <c r="AG274" s="140">
        <f>IF(AG$226="","",IF($B274="","",IFERROR(P274*$E274/100,"")))</f>
        <v/>
      </c>
      <c r="AH274" s="140">
        <f>IF(AH$226="","",IF($B274="","",IFERROR(Q274*$E274/100,"")))</f>
        <v/>
      </c>
      <c r="AI274" s="140">
        <f>IF(AI$226="","",IF($B274="","",IFERROR(R274*$E274/100,"")))</f>
        <v/>
      </c>
      <c r="AJ274" s="140">
        <f>IF(AJ$226="","",IF($B274="","",IFERROR(S274*$E274/100,"")))</f>
        <v/>
      </c>
      <c r="AK274" s="140">
        <f>IF(AK$226="","",IF($B274="","",IFERROR(T274*$E274/100,"")))</f>
        <v/>
      </c>
      <c r="AL274" s="140">
        <f>IF(AL$226="","",IF($B274="","",IFERROR(U274*$E274/100,"")))</f>
        <v/>
      </c>
      <c r="AN274" s="140">
        <f>IF($B274="","",SUMIF($F$226:$U$226,"&lt;="&amp;Sector!$E$51,$F274:$U274))</f>
        <v/>
      </c>
      <c r="AO274" s="140">
        <f>IF($B274="","",SUMIF($W$226:$AL$226,"&lt;="&amp;Sector!$E$51,$W274:$AL274))</f>
        <v/>
      </c>
    </row>
    <row r="275">
      <c r="B275" s="5">
        <f>IF(MXAU!$C$52="","",MXAU!$C$52)</f>
        <v/>
      </c>
      <c r="C275" s="90">
        <f>IF(MXAU!$B$52="","",MXAU!$B$52)</f>
        <v/>
      </c>
      <c r="D275" s="138">
        <f>IFERROR(MXAU!$Q$52,1)</f>
        <v/>
      </c>
      <c r="E275" s="139">
        <f>IF($B275="","",IF(ISNUMBER(MXAU!$I$52),MXAU!$I$52,'Index Summary'!$C$7))</f>
        <v/>
      </c>
      <c r="F275" s="140">
        <f>IF(F$226="","",IF($B275="","",IFERROR($C275*$D275*IF((Override!$C$4="ON")*(COUNTIFS(Override!$B$11:$B$40,$B275,Override!$D$11:$D$40,1,Override!$E$11:$E$40,"&gt;=0")-COUNTIFS(Override!$B$11:$B$40,$B275,Override!$D$11:$D$40,1,Override!$E$11:$E$40,"&gt;=0",Override!$C$11:$C$40,"AS51"))&gt;0,SUMIFS(Override!$E$11:$E$40,Override!$B$11:$B$40,$B275,Override!$D$11:$D$40,1)-SUMIFS(Override!$E$11:$E$40,Override!$B$11:$B$40,$B275,Override!$D$11:$D$40,1,Override!$C$11:$C$40,"AS51"),Override!$C$307)/MXAU!$B$3,"")))</f>
        <v/>
      </c>
      <c r="G275" s="140">
        <f>IF(G$226="","",IF($B275="","",IFERROR($C275*$D275*IF((Override!$C$4="ON")*(COUNTIFS(Override!$B$11:$B$40,$B275,Override!$D$11:$D$40,2,Override!$E$11:$E$40,"&gt;=0")-COUNTIFS(Override!$B$11:$B$40,$B275,Override!$D$11:$D$40,2,Override!$E$11:$E$40,"&gt;=0",Override!$C$11:$C$40,"AS51"))&gt;0,SUMIFS(Override!$E$11:$E$40,Override!$B$11:$B$40,$B275,Override!$D$11:$D$40,2)-SUMIFS(Override!$E$11:$E$40,Override!$B$11:$B$40,$B275,Override!$D$11:$D$40,2,Override!$C$11:$C$40,"AS51"),Override!$D$307)/MXAU!$B$3,"")))</f>
        <v/>
      </c>
      <c r="H275" s="140">
        <f>IF(H$226="","",IF($B275="","",IFERROR($C275*$D275*IF((Override!$C$4="ON")*(COUNTIFS(Override!$B$11:$B$40,$B275,Override!$D$11:$D$40,3,Override!$E$11:$E$40,"&gt;=0")-COUNTIFS(Override!$B$11:$B$40,$B275,Override!$D$11:$D$40,3,Override!$E$11:$E$40,"&gt;=0",Override!$C$11:$C$40,"AS51"))&gt;0,SUMIFS(Override!$E$11:$E$40,Override!$B$11:$B$40,$B275,Override!$D$11:$D$40,3)-SUMIFS(Override!$E$11:$E$40,Override!$B$11:$B$40,$B275,Override!$D$11:$D$40,3,Override!$C$11:$C$40,"AS51"),Override!$E$307)/MXAU!$B$3,"")))</f>
        <v/>
      </c>
      <c r="I275" s="140">
        <f>IF(I$226="","",IF($B275="","",IFERROR($C275*$D275*IF((Override!$C$4="ON")*(COUNTIFS(Override!$B$11:$B$40,$B275,Override!$D$11:$D$40,4,Override!$E$11:$E$40,"&gt;=0")-COUNTIFS(Override!$B$11:$B$40,$B275,Override!$D$11:$D$40,4,Override!$E$11:$E$40,"&gt;=0",Override!$C$11:$C$40,"AS51"))&gt;0,SUMIFS(Override!$E$11:$E$40,Override!$B$11:$B$40,$B275,Override!$D$11:$D$40,4)-SUMIFS(Override!$E$11:$E$40,Override!$B$11:$B$40,$B275,Override!$D$11:$D$40,4,Override!$C$11:$C$40,"AS51"),Override!$F$307)/MXAU!$B$3,"")))</f>
        <v/>
      </c>
      <c r="J275" s="140">
        <f>IF(J$226="","",IF($B275="","",IFERROR($C275*$D275*IF((Override!$C$4="ON")*(COUNTIFS(Override!$B$11:$B$40,$B275,Override!$D$11:$D$40,5,Override!$E$11:$E$40,"&gt;=0")-COUNTIFS(Override!$B$11:$B$40,$B275,Override!$D$11:$D$40,5,Override!$E$11:$E$40,"&gt;=0",Override!$C$11:$C$40,"AS51"))&gt;0,SUMIFS(Override!$E$11:$E$40,Override!$B$11:$B$40,$B275,Override!$D$11:$D$40,5)-SUMIFS(Override!$E$11:$E$40,Override!$B$11:$B$40,$B275,Override!$D$11:$D$40,5,Override!$C$11:$C$40,"AS51"),Override!$G$307)/MXAU!$B$3,"")))</f>
        <v/>
      </c>
      <c r="K275" s="140">
        <f>IF(K$226="","",IF($B275="","",IFERROR($C275*$D275*IF((Override!$C$4="ON")*(COUNTIFS(Override!$B$11:$B$40,$B275,Override!$D$11:$D$40,6,Override!$E$11:$E$40,"&gt;=0")-COUNTIFS(Override!$B$11:$B$40,$B275,Override!$D$11:$D$40,6,Override!$E$11:$E$40,"&gt;=0",Override!$C$11:$C$40,"AS51"))&gt;0,SUMIFS(Override!$E$11:$E$40,Override!$B$11:$B$40,$B275,Override!$D$11:$D$40,6)-SUMIFS(Override!$E$11:$E$40,Override!$B$11:$B$40,$B275,Override!$D$11:$D$40,6,Override!$C$11:$C$40,"AS51"),Override!$H$307)/MXAU!$B$3,"")))</f>
        <v/>
      </c>
      <c r="L275" s="140">
        <f>IF(L$226="","",IF($B275="","",IFERROR($C275*$D275*IF((Override!$C$4="ON")*(COUNTIFS(Override!$B$11:$B$40,$B275,Override!$D$11:$D$40,7,Override!$E$11:$E$40,"&gt;=0")-COUNTIFS(Override!$B$11:$B$40,$B275,Override!$D$11:$D$40,7,Override!$E$11:$E$40,"&gt;=0",Override!$C$11:$C$40,"AS51"))&gt;0,SUMIFS(Override!$E$11:$E$40,Override!$B$11:$B$40,$B275,Override!$D$11:$D$40,7)-SUMIFS(Override!$E$11:$E$40,Override!$B$11:$B$40,$B275,Override!$D$11:$D$40,7,Override!$C$11:$C$40,"AS51"),Override!$I$307)/MXAU!$B$3,"")))</f>
        <v/>
      </c>
      <c r="M275" s="140">
        <f>IF(M$226="","",IF($B275="","",IFERROR($C275*$D275*IF((Override!$C$4="ON")*(COUNTIFS(Override!$B$11:$B$40,$B275,Override!$D$11:$D$40,8,Override!$E$11:$E$40,"&gt;=0")-COUNTIFS(Override!$B$11:$B$40,$B275,Override!$D$11:$D$40,8,Override!$E$11:$E$40,"&gt;=0",Override!$C$11:$C$40,"AS51"))&gt;0,SUMIFS(Override!$E$11:$E$40,Override!$B$11:$B$40,$B275,Override!$D$11:$D$40,8)-SUMIFS(Override!$E$11:$E$40,Override!$B$11:$B$40,$B275,Override!$D$11:$D$40,8,Override!$C$11:$C$40,"AS51"),Override!$J$307)/MXAU!$B$3,"")))</f>
        <v/>
      </c>
      <c r="N275" s="140">
        <f>IF(N$226="","",IF($B275="","",IFERROR($C275*$D275*IF((Override!$C$4="ON")*(COUNTIFS(Override!$B$11:$B$40,$B275,Override!$D$11:$D$40,9,Override!$E$11:$E$40,"&gt;=0")-COUNTIFS(Override!$B$11:$B$40,$B275,Override!$D$11:$D$40,9,Override!$E$11:$E$40,"&gt;=0",Override!$C$11:$C$40,"AS51"))&gt;0,SUMIFS(Override!$E$11:$E$40,Override!$B$11:$B$40,$B275,Override!$D$11:$D$40,9)-SUMIFS(Override!$E$11:$E$40,Override!$B$11:$B$40,$B275,Override!$D$11:$D$40,9,Override!$C$11:$C$40,"AS51"),Override!$K$307)/MXAU!$B$3,"")))</f>
        <v/>
      </c>
      <c r="O275" s="140">
        <f>IF(O$226="","",IF($B275="","",IFERROR($C275*$D275*IF((Override!$C$4="ON")*(COUNTIFS(Override!$B$11:$B$40,$B275,Override!$D$11:$D$40,10,Override!$E$11:$E$40,"&gt;=0")-COUNTIFS(Override!$B$11:$B$40,$B275,Override!$D$11:$D$40,10,Override!$E$11:$E$40,"&gt;=0",Override!$C$11:$C$40,"AS51"))&gt;0,SUMIFS(Override!$E$11:$E$40,Override!$B$11:$B$40,$B275,Override!$D$11:$D$40,10)-SUMIFS(Override!$E$11:$E$40,Override!$B$11:$B$40,$B275,Override!$D$11:$D$40,10,Override!$C$11:$C$40,"AS51"),Override!$L$307)/MXAU!$B$3,"")))</f>
        <v/>
      </c>
      <c r="P275" s="140">
        <f>IF(P$226="","",IF($B275="","",IFERROR($C275*$D275*IF((Override!$C$4="ON")*(COUNTIFS(Override!$B$11:$B$40,$B275,Override!$D$11:$D$40,11,Override!$E$11:$E$40,"&gt;=0")-COUNTIFS(Override!$B$11:$B$40,$B275,Override!$D$11:$D$40,11,Override!$E$11:$E$40,"&gt;=0",Override!$C$11:$C$40,"AS51"))&gt;0,SUMIFS(Override!$E$11:$E$40,Override!$B$11:$B$40,$B275,Override!$D$11:$D$40,11)-SUMIFS(Override!$E$11:$E$40,Override!$B$11:$B$40,$B275,Override!$D$11:$D$40,11,Override!$C$11:$C$40,"AS51"),Override!$M$307)/MXAU!$B$3,"")))</f>
        <v/>
      </c>
      <c r="Q275" s="140">
        <f>IF(Q$226="","",IF($B275="","",IFERROR($C275*$D275*IF((Override!$C$4="ON")*(COUNTIFS(Override!$B$11:$B$40,$B275,Override!$D$11:$D$40,12,Override!$E$11:$E$40,"&gt;=0")-COUNTIFS(Override!$B$11:$B$40,$B275,Override!$D$11:$D$40,12,Override!$E$11:$E$40,"&gt;=0",Override!$C$11:$C$40,"AS51"))&gt;0,SUMIFS(Override!$E$11:$E$40,Override!$B$11:$B$40,$B275,Override!$D$11:$D$40,12)-SUMIFS(Override!$E$11:$E$40,Override!$B$11:$B$40,$B275,Override!$D$11:$D$40,12,Override!$C$11:$C$40,"AS51"),Override!$N$307)/MXAU!$B$3,"")))</f>
        <v/>
      </c>
      <c r="R275" s="140">
        <f>IF(R$226="","",IF($B275="","",IFERROR($C275*$D275*IF((Override!$C$4="ON")*(COUNTIFS(Override!$B$11:$B$40,$B275,Override!$D$11:$D$40,13,Override!$E$11:$E$40,"&gt;=0")-COUNTIFS(Override!$B$11:$B$40,$B275,Override!$D$11:$D$40,13,Override!$E$11:$E$40,"&gt;=0",Override!$C$11:$C$40,"AS51"))&gt;0,SUMIFS(Override!$E$11:$E$40,Override!$B$11:$B$40,$B275,Override!$D$11:$D$40,13)-SUMIFS(Override!$E$11:$E$40,Override!$B$11:$B$40,$B275,Override!$D$11:$D$40,13,Override!$C$11:$C$40,"AS51"),Override!$O$307)/MXAU!$B$3,"")))</f>
        <v/>
      </c>
      <c r="S275" s="140">
        <f>IF(S$226="","",IF($B275="","",IFERROR($C275*$D275*IF((Override!$C$4="ON")*(COUNTIFS(Override!$B$11:$B$40,$B275,Override!$D$11:$D$40,14,Override!$E$11:$E$40,"&gt;=0")-COUNTIFS(Override!$B$11:$B$40,$B275,Override!$D$11:$D$40,14,Override!$E$11:$E$40,"&gt;=0",Override!$C$11:$C$40,"AS51"))&gt;0,SUMIFS(Override!$E$11:$E$40,Override!$B$11:$B$40,$B275,Override!$D$11:$D$40,14)-SUMIFS(Override!$E$11:$E$40,Override!$B$11:$B$40,$B275,Override!$D$11:$D$40,14,Override!$C$11:$C$40,"AS51"),Override!$P$307)/MXAU!$B$3,"")))</f>
        <v/>
      </c>
      <c r="T275" s="140">
        <f>IF(T$226="","",IF($B275="","",IFERROR($C275*$D275*IF((Override!$C$4="ON")*(COUNTIFS(Override!$B$11:$B$40,$B275,Override!$D$11:$D$40,15,Override!$E$11:$E$40,"&gt;=0")-COUNTIFS(Override!$B$11:$B$40,$B275,Override!$D$11:$D$40,15,Override!$E$11:$E$40,"&gt;=0",Override!$C$11:$C$40,"AS51"))&gt;0,SUMIFS(Override!$E$11:$E$40,Override!$B$11:$B$40,$B275,Override!$D$11:$D$40,15)-SUMIFS(Override!$E$11:$E$40,Override!$B$11:$B$40,$B275,Override!$D$11:$D$40,15,Override!$C$11:$C$40,"AS51"),Override!$Q$307)/MXAU!$B$3,"")))</f>
        <v/>
      </c>
      <c r="U275" s="140">
        <f>IF(U$226="","",IF($B275="","",IFERROR($C275*$D275*IF((Override!$C$4="ON")*(COUNTIFS(Override!$B$11:$B$40,$B275,Override!$D$11:$D$40,16,Override!$E$11:$E$40,"&gt;=0")-COUNTIFS(Override!$B$11:$B$40,$B275,Override!$D$11:$D$40,16,Override!$E$11:$E$40,"&gt;=0",Override!$C$11:$C$40,"AS51"))&gt;0,SUMIFS(Override!$E$11:$E$40,Override!$B$11:$B$40,$B275,Override!$D$11:$D$40,16)-SUMIFS(Override!$E$11:$E$40,Override!$B$11:$B$40,$B275,Override!$D$11:$D$40,16,Override!$C$11:$C$40,"AS51"),Override!$R$307)/MXAU!$B$3,"")))</f>
        <v/>
      </c>
      <c r="W275" s="140">
        <f>IF(W$226="","",IF($B275="","",IFERROR(F275*$E275/100,"")))</f>
        <v/>
      </c>
      <c r="X275" s="140">
        <f>IF(X$226="","",IF($B275="","",IFERROR(G275*$E275/100,"")))</f>
        <v/>
      </c>
      <c r="Y275" s="140">
        <f>IF(Y$226="","",IF($B275="","",IFERROR(H275*$E275/100,"")))</f>
        <v/>
      </c>
      <c r="Z275" s="140">
        <f>IF(Z$226="","",IF($B275="","",IFERROR(I275*$E275/100,"")))</f>
        <v/>
      </c>
      <c r="AA275" s="140">
        <f>IF(AA$226="","",IF($B275="","",IFERROR(J275*$E275/100,"")))</f>
        <v/>
      </c>
      <c r="AB275" s="140">
        <f>IF(AB$226="","",IF($B275="","",IFERROR(K275*$E275/100,"")))</f>
        <v/>
      </c>
      <c r="AC275" s="140">
        <f>IF(AC$226="","",IF($B275="","",IFERROR(L275*$E275/100,"")))</f>
        <v/>
      </c>
      <c r="AD275" s="140">
        <f>IF(AD$226="","",IF($B275="","",IFERROR(M275*$E275/100,"")))</f>
        <v/>
      </c>
      <c r="AE275" s="140">
        <f>IF(AE$226="","",IF($B275="","",IFERROR(N275*$E275/100,"")))</f>
        <v/>
      </c>
      <c r="AF275" s="140">
        <f>IF(AF$226="","",IF($B275="","",IFERROR(O275*$E275/100,"")))</f>
        <v/>
      </c>
      <c r="AG275" s="140">
        <f>IF(AG$226="","",IF($B275="","",IFERROR(P275*$E275/100,"")))</f>
        <v/>
      </c>
      <c r="AH275" s="140">
        <f>IF(AH$226="","",IF($B275="","",IFERROR(Q275*$E275/100,"")))</f>
        <v/>
      </c>
      <c r="AI275" s="140">
        <f>IF(AI$226="","",IF($B275="","",IFERROR(R275*$E275/100,"")))</f>
        <v/>
      </c>
      <c r="AJ275" s="140">
        <f>IF(AJ$226="","",IF($B275="","",IFERROR(S275*$E275/100,"")))</f>
        <v/>
      </c>
      <c r="AK275" s="140">
        <f>IF(AK$226="","",IF($B275="","",IFERROR(T275*$E275/100,"")))</f>
        <v/>
      </c>
      <c r="AL275" s="140">
        <f>IF(AL$226="","",IF($B275="","",IFERROR(U275*$E275/100,"")))</f>
        <v/>
      </c>
      <c r="AN275" s="140">
        <f>IF($B275="","",SUMIF($F$226:$U$226,"&lt;="&amp;Sector!$E$51,$F275:$U275))</f>
        <v/>
      </c>
      <c r="AO275" s="140">
        <f>IF($B275="","",SUMIF($W$226:$AL$226,"&lt;="&amp;Sector!$E$51,$W275:$AL275))</f>
        <v/>
      </c>
    </row>
    <row r="276">
      <c r="B276" s="5">
        <f>IF(MXAU!$C$53="","",MXAU!$C$53)</f>
        <v/>
      </c>
      <c r="C276" s="90">
        <f>IF(MXAU!$B$53="","",MXAU!$B$53)</f>
        <v/>
      </c>
      <c r="D276" s="138">
        <f>IFERROR(MXAU!$Q$53,1)</f>
        <v/>
      </c>
      <c r="E276" s="139">
        <f>IF($B276="","",IF(ISNUMBER(MXAU!$I$53),MXAU!$I$53,'Index Summary'!$C$7))</f>
        <v/>
      </c>
      <c r="F276" s="140">
        <f>IF(F$226="","",IF($B276="","",IFERROR($C276*$D276*IF((Override!$C$4="ON")*(COUNTIFS(Override!$B$11:$B$40,$B276,Override!$D$11:$D$40,1,Override!$E$11:$E$40,"&gt;=0")-COUNTIFS(Override!$B$11:$B$40,$B276,Override!$D$11:$D$40,1,Override!$E$11:$E$40,"&gt;=0",Override!$C$11:$C$40,"AS51"))&gt;0,SUMIFS(Override!$E$11:$E$40,Override!$B$11:$B$40,$B276,Override!$D$11:$D$40,1)-SUMIFS(Override!$E$11:$E$40,Override!$B$11:$B$40,$B276,Override!$D$11:$D$40,1,Override!$C$11:$C$40,"AS51"),Override!$C$308)/MXAU!$B$3,"")))</f>
        <v/>
      </c>
      <c r="G276" s="140">
        <f>IF(G$226="","",IF($B276="","",IFERROR($C276*$D276*IF((Override!$C$4="ON")*(COUNTIFS(Override!$B$11:$B$40,$B276,Override!$D$11:$D$40,2,Override!$E$11:$E$40,"&gt;=0")-COUNTIFS(Override!$B$11:$B$40,$B276,Override!$D$11:$D$40,2,Override!$E$11:$E$40,"&gt;=0",Override!$C$11:$C$40,"AS51"))&gt;0,SUMIFS(Override!$E$11:$E$40,Override!$B$11:$B$40,$B276,Override!$D$11:$D$40,2)-SUMIFS(Override!$E$11:$E$40,Override!$B$11:$B$40,$B276,Override!$D$11:$D$40,2,Override!$C$11:$C$40,"AS51"),Override!$D$308)/MXAU!$B$3,"")))</f>
        <v/>
      </c>
      <c r="H276" s="140">
        <f>IF(H$226="","",IF($B276="","",IFERROR($C276*$D276*IF((Override!$C$4="ON")*(COUNTIFS(Override!$B$11:$B$40,$B276,Override!$D$11:$D$40,3,Override!$E$11:$E$40,"&gt;=0")-COUNTIFS(Override!$B$11:$B$40,$B276,Override!$D$11:$D$40,3,Override!$E$11:$E$40,"&gt;=0",Override!$C$11:$C$40,"AS51"))&gt;0,SUMIFS(Override!$E$11:$E$40,Override!$B$11:$B$40,$B276,Override!$D$11:$D$40,3)-SUMIFS(Override!$E$11:$E$40,Override!$B$11:$B$40,$B276,Override!$D$11:$D$40,3,Override!$C$11:$C$40,"AS51"),Override!$E$308)/MXAU!$B$3,"")))</f>
        <v/>
      </c>
      <c r="I276" s="140">
        <f>IF(I$226="","",IF($B276="","",IFERROR($C276*$D276*IF((Override!$C$4="ON")*(COUNTIFS(Override!$B$11:$B$40,$B276,Override!$D$11:$D$40,4,Override!$E$11:$E$40,"&gt;=0")-COUNTIFS(Override!$B$11:$B$40,$B276,Override!$D$11:$D$40,4,Override!$E$11:$E$40,"&gt;=0",Override!$C$11:$C$40,"AS51"))&gt;0,SUMIFS(Override!$E$11:$E$40,Override!$B$11:$B$40,$B276,Override!$D$11:$D$40,4)-SUMIFS(Override!$E$11:$E$40,Override!$B$11:$B$40,$B276,Override!$D$11:$D$40,4,Override!$C$11:$C$40,"AS51"),Override!$F$308)/MXAU!$B$3,"")))</f>
        <v/>
      </c>
      <c r="J276" s="140">
        <f>IF(J$226="","",IF($B276="","",IFERROR($C276*$D276*IF((Override!$C$4="ON")*(COUNTIFS(Override!$B$11:$B$40,$B276,Override!$D$11:$D$40,5,Override!$E$11:$E$40,"&gt;=0")-COUNTIFS(Override!$B$11:$B$40,$B276,Override!$D$11:$D$40,5,Override!$E$11:$E$40,"&gt;=0",Override!$C$11:$C$40,"AS51"))&gt;0,SUMIFS(Override!$E$11:$E$40,Override!$B$11:$B$40,$B276,Override!$D$11:$D$40,5)-SUMIFS(Override!$E$11:$E$40,Override!$B$11:$B$40,$B276,Override!$D$11:$D$40,5,Override!$C$11:$C$40,"AS51"),Override!$G$308)/MXAU!$B$3,"")))</f>
        <v/>
      </c>
      <c r="K276" s="140">
        <f>IF(K$226="","",IF($B276="","",IFERROR($C276*$D276*IF((Override!$C$4="ON")*(COUNTIFS(Override!$B$11:$B$40,$B276,Override!$D$11:$D$40,6,Override!$E$11:$E$40,"&gt;=0")-COUNTIFS(Override!$B$11:$B$40,$B276,Override!$D$11:$D$40,6,Override!$E$11:$E$40,"&gt;=0",Override!$C$11:$C$40,"AS51"))&gt;0,SUMIFS(Override!$E$11:$E$40,Override!$B$11:$B$40,$B276,Override!$D$11:$D$40,6)-SUMIFS(Override!$E$11:$E$40,Override!$B$11:$B$40,$B276,Override!$D$11:$D$40,6,Override!$C$11:$C$40,"AS51"),Override!$H$308)/MXAU!$B$3,"")))</f>
        <v/>
      </c>
      <c r="L276" s="140">
        <f>IF(L$226="","",IF($B276="","",IFERROR($C276*$D276*IF((Override!$C$4="ON")*(COUNTIFS(Override!$B$11:$B$40,$B276,Override!$D$11:$D$40,7,Override!$E$11:$E$40,"&gt;=0")-COUNTIFS(Override!$B$11:$B$40,$B276,Override!$D$11:$D$40,7,Override!$E$11:$E$40,"&gt;=0",Override!$C$11:$C$40,"AS51"))&gt;0,SUMIFS(Override!$E$11:$E$40,Override!$B$11:$B$40,$B276,Override!$D$11:$D$40,7)-SUMIFS(Override!$E$11:$E$40,Override!$B$11:$B$40,$B276,Override!$D$11:$D$40,7,Override!$C$11:$C$40,"AS51"),Override!$I$308)/MXAU!$B$3,"")))</f>
        <v/>
      </c>
      <c r="M276" s="140">
        <f>IF(M$226="","",IF($B276="","",IFERROR($C276*$D276*IF((Override!$C$4="ON")*(COUNTIFS(Override!$B$11:$B$40,$B276,Override!$D$11:$D$40,8,Override!$E$11:$E$40,"&gt;=0")-COUNTIFS(Override!$B$11:$B$40,$B276,Override!$D$11:$D$40,8,Override!$E$11:$E$40,"&gt;=0",Override!$C$11:$C$40,"AS51"))&gt;0,SUMIFS(Override!$E$11:$E$40,Override!$B$11:$B$40,$B276,Override!$D$11:$D$40,8)-SUMIFS(Override!$E$11:$E$40,Override!$B$11:$B$40,$B276,Override!$D$11:$D$40,8,Override!$C$11:$C$40,"AS51"),Override!$J$308)/MXAU!$B$3,"")))</f>
        <v/>
      </c>
      <c r="N276" s="140">
        <f>IF(N$226="","",IF($B276="","",IFERROR($C276*$D276*IF((Override!$C$4="ON")*(COUNTIFS(Override!$B$11:$B$40,$B276,Override!$D$11:$D$40,9,Override!$E$11:$E$40,"&gt;=0")-COUNTIFS(Override!$B$11:$B$40,$B276,Override!$D$11:$D$40,9,Override!$E$11:$E$40,"&gt;=0",Override!$C$11:$C$40,"AS51"))&gt;0,SUMIFS(Override!$E$11:$E$40,Override!$B$11:$B$40,$B276,Override!$D$11:$D$40,9)-SUMIFS(Override!$E$11:$E$40,Override!$B$11:$B$40,$B276,Override!$D$11:$D$40,9,Override!$C$11:$C$40,"AS51"),Override!$K$308)/MXAU!$B$3,"")))</f>
        <v/>
      </c>
      <c r="O276" s="140">
        <f>IF(O$226="","",IF($B276="","",IFERROR($C276*$D276*IF((Override!$C$4="ON")*(COUNTIFS(Override!$B$11:$B$40,$B276,Override!$D$11:$D$40,10,Override!$E$11:$E$40,"&gt;=0")-COUNTIFS(Override!$B$11:$B$40,$B276,Override!$D$11:$D$40,10,Override!$E$11:$E$40,"&gt;=0",Override!$C$11:$C$40,"AS51"))&gt;0,SUMIFS(Override!$E$11:$E$40,Override!$B$11:$B$40,$B276,Override!$D$11:$D$40,10)-SUMIFS(Override!$E$11:$E$40,Override!$B$11:$B$40,$B276,Override!$D$11:$D$40,10,Override!$C$11:$C$40,"AS51"),Override!$L$308)/MXAU!$B$3,"")))</f>
        <v/>
      </c>
      <c r="P276" s="140">
        <f>IF(P$226="","",IF($B276="","",IFERROR($C276*$D276*IF((Override!$C$4="ON")*(COUNTIFS(Override!$B$11:$B$40,$B276,Override!$D$11:$D$40,11,Override!$E$11:$E$40,"&gt;=0")-COUNTIFS(Override!$B$11:$B$40,$B276,Override!$D$11:$D$40,11,Override!$E$11:$E$40,"&gt;=0",Override!$C$11:$C$40,"AS51"))&gt;0,SUMIFS(Override!$E$11:$E$40,Override!$B$11:$B$40,$B276,Override!$D$11:$D$40,11)-SUMIFS(Override!$E$11:$E$40,Override!$B$11:$B$40,$B276,Override!$D$11:$D$40,11,Override!$C$11:$C$40,"AS51"),Override!$M$308)/MXAU!$B$3,"")))</f>
        <v/>
      </c>
      <c r="Q276" s="140">
        <f>IF(Q$226="","",IF($B276="","",IFERROR($C276*$D276*IF((Override!$C$4="ON")*(COUNTIFS(Override!$B$11:$B$40,$B276,Override!$D$11:$D$40,12,Override!$E$11:$E$40,"&gt;=0")-COUNTIFS(Override!$B$11:$B$40,$B276,Override!$D$11:$D$40,12,Override!$E$11:$E$40,"&gt;=0",Override!$C$11:$C$40,"AS51"))&gt;0,SUMIFS(Override!$E$11:$E$40,Override!$B$11:$B$40,$B276,Override!$D$11:$D$40,12)-SUMIFS(Override!$E$11:$E$40,Override!$B$11:$B$40,$B276,Override!$D$11:$D$40,12,Override!$C$11:$C$40,"AS51"),Override!$N$308)/MXAU!$B$3,"")))</f>
        <v/>
      </c>
      <c r="R276" s="140">
        <f>IF(R$226="","",IF($B276="","",IFERROR($C276*$D276*IF((Override!$C$4="ON")*(COUNTIFS(Override!$B$11:$B$40,$B276,Override!$D$11:$D$40,13,Override!$E$11:$E$40,"&gt;=0")-COUNTIFS(Override!$B$11:$B$40,$B276,Override!$D$11:$D$40,13,Override!$E$11:$E$40,"&gt;=0",Override!$C$11:$C$40,"AS51"))&gt;0,SUMIFS(Override!$E$11:$E$40,Override!$B$11:$B$40,$B276,Override!$D$11:$D$40,13)-SUMIFS(Override!$E$11:$E$40,Override!$B$11:$B$40,$B276,Override!$D$11:$D$40,13,Override!$C$11:$C$40,"AS51"),Override!$O$308)/MXAU!$B$3,"")))</f>
        <v/>
      </c>
      <c r="S276" s="140">
        <f>IF(S$226="","",IF($B276="","",IFERROR($C276*$D276*IF((Override!$C$4="ON")*(COUNTIFS(Override!$B$11:$B$40,$B276,Override!$D$11:$D$40,14,Override!$E$11:$E$40,"&gt;=0")-COUNTIFS(Override!$B$11:$B$40,$B276,Override!$D$11:$D$40,14,Override!$E$11:$E$40,"&gt;=0",Override!$C$11:$C$40,"AS51"))&gt;0,SUMIFS(Override!$E$11:$E$40,Override!$B$11:$B$40,$B276,Override!$D$11:$D$40,14)-SUMIFS(Override!$E$11:$E$40,Override!$B$11:$B$40,$B276,Override!$D$11:$D$40,14,Override!$C$11:$C$40,"AS51"),Override!$P$308)/MXAU!$B$3,"")))</f>
        <v/>
      </c>
      <c r="T276" s="140">
        <f>IF(T$226="","",IF($B276="","",IFERROR($C276*$D276*IF((Override!$C$4="ON")*(COUNTIFS(Override!$B$11:$B$40,$B276,Override!$D$11:$D$40,15,Override!$E$11:$E$40,"&gt;=0")-COUNTIFS(Override!$B$11:$B$40,$B276,Override!$D$11:$D$40,15,Override!$E$11:$E$40,"&gt;=0",Override!$C$11:$C$40,"AS51"))&gt;0,SUMIFS(Override!$E$11:$E$40,Override!$B$11:$B$40,$B276,Override!$D$11:$D$40,15)-SUMIFS(Override!$E$11:$E$40,Override!$B$11:$B$40,$B276,Override!$D$11:$D$40,15,Override!$C$11:$C$40,"AS51"),Override!$Q$308)/MXAU!$B$3,"")))</f>
        <v/>
      </c>
      <c r="U276" s="140">
        <f>IF(U$226="","",IF($B276="","",IFERROR($C276*$D276*IF((Override!$C$4="ON")*(COUNTIFS(Override!$B$11:$B$40,$B276,Override!$D$11:$D$40,16,Override!$E$11:$E$40,"&gt;=0")-COUNTIFS(Override!$B$11:$B$40,$B276,Override!$D$11:$D$40,16,Override!$E$11:$E$40,"&gt;=0",Override!$C$11:$C$40,"AS51"))&gt;0,SUMIFS(Override!$E$11:$E$40,Override!$B$11:$B$40,$B276,Override!$D$11:$D$40,16)-SUMIFS(Override!$E$11:$E$40,Override!$B$11:$B$40,$B276,Override!$D$11:$D$40,16,Override!$C$11:$C$40,"AS51"),Override!$R$308)/MXAU!$B$3,"")))</f>
        <v/>
      </c>
      <c r="W276" s="140">
        <f>IF(W$226="","",IF($B276="","",IFERROR(F276*$E276/100,"")))</f>
        <v/>
      </c>
      <c r="X276" s="140">
        <f>IF(X$226="","",IF($B276="","",IFERROR(G276*$E276/100,"")))</f>
        <v/>
      </c>
      <c r="Y276" s="140">
        <f>IF(Y$226="","",IF($B276="","",IFERROR(H276*$E276/100,"")))</f>
        <v/>
      </c>
      <c r="Z276" s="140">
        <f>IF(Z$226="","",IF($B276="","",IFERROR(I276*$E276/100,"")))</f>
        <v/>
      </c>
      <c r="AA276" s="140">
        <f>IF(AA$226="","",IF($B276="","",IFERROR(J276*$E276/100,"")))</f>
        <v/>
      </c>
      <c r="AB276" s="140">
        <f>IF(AB$226="","",IF($B276="","",IFERROR(K276*$E276/100,"")))</f>
        <v/>
      </c>
      <c r="AC276" s="140">
        <f>IF(AC$226="","",IF($B276="","",IFERROR(L276*$E276/100,"")))</f>
        <v/>
      </c>
      <c r="AD276" s="140">
        <f>IF(AD$226="","",IF($B276="","",IFERROR(M276*$E276/100,"")))</f>
        <v/>
      </c>
      <c r="AE276" s="140">
        <f>IF(AE$226="","",IF($B276="","",IFERROR(N276*$E276/100,"")))</f>
        <v/>
      </c>
      <c r="AF276" s="140">
        <f>IF(AF$226="","",IF($B276="","",IFERROR(O276*$E276/100,"")))</f>
        <v/>
      </c>
      <c r="AG276" s="140">
        <f>IF(AG$226="","",IF($B276="","",IFERROR(P276*$E276/100,"")))</f>
        <v/>
      </c>
      <c r="AH276" s="140">
        <f>IF(AH$226="","",IF($B276="","",IFERROR(Q276*$E276/100,"")))</f>
        <v/>
      </c>
      <c r="AI276" s="140">
        <f>IF(AI$226="","",IF($B276="","",IFERROR(R276*$E276/100,"")))</f>
        <v/>
      </c>
      <c r="AJ276" s="140">
        <f>IF(AJ$226="","",IF($B276="","",IFERROR(S276*$E276/100,"")))</f>
        <v/>
      </c>
      <c r="AK276" s="140">
        <f>IF(AK$226="","",IF($B276="","",IFERROR(T276*$E276/100,"")))</f>
        <v/>
      </c>
      <c r="AL276" s="140">
        <f>IF(AL$226="","",IF($B276="","",IFERROR(U276*$E276/100,"")))</f>
        <v/>
      </c>
      <c r="AN276" s="140">
        <f>IF($B276="","",SUMIF($F$226:$U$226,"&lt;="&amp;Sector!$E$51,$F276:$U276))</f>
        <v/>
      </c>
      <c r="AO276" s="140">
        <f>IF($B276="","",SUMIF($W$226:$AL$226,"&lt;="&amp;Sector!$E$51,$W276:$AL276))</f>
        <v/>
      </c>
    </row>
    <row r="277">
      <c r="B277" s="5">
        <f>IF(MXAU!$C$54="","",MXAU!$C$54)</f>
        <v/>
      </c>
      <c r="C277" s="90">
        <f>IF(MXAU!$B$54="","",MXAU!$B$54)</f>
        <v/>
      </c>
      <c r="D277" s="138">
        <f>IFERROR(MXAU!$Q$54,1)</f>
        <v/>
      </c>
      <c r="E277" s="139">
        <f>IF($B277="","",IF(ISNUMBER(MXAU!$I$54),MXAU!$I$54,'Index Summary'!$C$7))</f>
        <v/>
      </c>
      <c r="F277" s="140">
        <f>IF(F$226="","",IF($B277="","",IFERROR($C277*$D277*IF((Override!$C$4="ON")*(COUNTIFS(Override!$B$11:$B$40,$B277,Override!$D$11:$D$40,1,Override!$E$11:$E$40,"&gt;=0")-COUNTIFS(Override!$B$11:$B$40,$B277,Override!$D$11:$D$40,1,Override!$E$11:$E$40,"&gt;=0",Override!$C$11:$C$40,"AS51"))&gt;0,SUMIFS(Override!$E$11:$E$40,Override!$B$11:$B$40,$B277,Override!$D$11:$D$40,1)-SUMIFS(Override!$E$11:$E$40,Override!$B$11:$B$40,$B277,Override!$D$11:$D$40,1,Override!$C$11:$C$40,"AS51"),Override!$C$309)/MXAU!$B$3,"")))</f>
        <v/>
      </c>
      <c r="G277" s="140">
        <f>IF(G$226="","",IF($B277="","",IFERROR($C277*$D277*IF((Override!$C$4="ON")*(COUNTIFS(Override!$B$11:$B$40,$B277,Override!$D$11:$D$40,2,Override!$E$11:$E$40,"&gt;=0")-COUNTIFS(Override!$B$11:$B$40,$B277,Override!$D$11:$D$40,2,Override!$E$11:$E$40,"&gt;=0",Override!$C$11:$C$40,"AS51"))&gt;0,SUMIFS(Override!$E$11:$E$40,Override!$B$11:$B$40,$B277,Override!$D$11:$D$40,2)-SUMIFS(Override!$E$11:$E$40,Override!$B$11:$B$40,$B277,Override!$D$11:$D$40,2,Override!$C$11:$C$40,"AS51"),Override!$D$309)/MXAU!$B$3,"")))</f>
        <v/>
      </c>
      <c r="H277" s="140">
        <f>IF(H$226="","",IF($B277="","",IFERROR($C277*$D277*IF((Override!$C$4="ON")*(COUNTIFS(Override!$B$11:$B$40,$B277,Override!$D$11:$D$40,3,Override!$E$11:$E$40,"&gt;=0")-COUNTIFS(Override!$B$11:$B$40,$B277,Override!$D$11:$D$40,3,Override!$E$11:$E$40,"&gt;=0",Override!$C$11:$C$40,"AS51"))&gt;0,SUMIFS(Override!$E$11:$E$40,Override!$B$11:$B$40,$B277,Override!$D$11:$D$40,3)-SUMIFS(Override!$E$11:$E$40,Override!$B$11:$B$40,$B277,Override!$D$11:$D$40,3,Override!$C$11:$C$40,"AS51"),Override!$E$309)/MXAU!$B$3,"")))</f>
        <v/>
      </c>
      <c r="I277" s="140">
        <f>IF(I$226="","",IF($B277="","",IFERROR($C277*$D277*IF((Override!$C$4="ON")*(COUNTIFS(Override!$B$11:$B$40,$B277,Override!$D$11:$D$40,4,Override!$E$11:$E$40,"&gt;=0")-COUNTIFS(Override!$B$11:$B$40,$B277,Override!$D$11:$D$40,4,Override!$E$11:$E$40,"&gt;=0",Override!$C$11:$C$40,"AS51"))&gt;0,SUMIFS(Override!$E$11:$E$40,Override!$B$11:$B$40,$B277,Override!$D$11:$D$40,4)-SUMIFS(Override!$E$11:$E$40,Override!$B$11:$B$40,$B277,Override!$D$11:$D$40,4,Override!$C$11:$C$40,"AS51"),Override!$F$309)/MXAU!$B$3,"")))</f>
        <v/>
      </c>
      <c r="J277" s="140">
        <f>IF(J$226="","",IF($B277="","",IFERROR($C277*$D277*IF((Override!$C$4="ON")*(COUNTIFS(Override!$B$11:$B$40,$B277,Override!$D$11:$D$40,5,Override!$E$11:$E$40,"&gt;=0")-COUNTIFS(Override!$B$11:$B$40,$B277,Override!$D$11:$D$40,5,Override!$E$11:$E$40,"&gt;=0",Override!$C$11:$C$40,"AS51"))&gt;0,SUMIFS(Override!$E$11:$E$40,Override!$B$11:$B$40,$B277,Override!$D$11:$D$40,5)-SUMIFS(Override!$E$11:$E$40,Override!$B$11:$B$40,$B277,Override!$D$11:$D$40,5,Override!$C$11:$C$40,"AS51"),Override!$G$309)/MXAU!$B$3,"")))</f>
        <v/>
      </c>
      <c r="K277" s="140">
        <f>IF(K$226="","",IF($B277="","",IFERROR($C277*$D277*IF((Override!$C$4="ON")*(COUNTIFS(Override!$B$11:$B$40,$B277,Override!$D$11:$D$40,6,Override!$E$11:$E$40,"&gt;=0")-COUNTIFS(Override!$B$11:$B$40,$B277,Override!$D$11:$D$40,6,Override!$E$11:$E$40,"&gt;=0",Override!$C$11:$C$40,"AS51"))&gt;0,SUMIFS(Override!$E$11:$E$40,Override!$B$11:$B$40,$B277,Override!$D$11:$D$40,6)-SUMIFS(Override!$E$11:$E$40,Override!$B$11:$B$40,$B277,Override!$D$11:$D$40,6,Override!$C$11:$C$40,"AS51"),Override!$H$309)/MXAU!$B$3,"")))</f>
        <v/>
      </c>
      <c r="L277" s="140">
        <f>IF(L$226="","",IF($B277="","",IFERROR($C277*$D277*IF((Override!$C$4="ON")*(COUNTIFS(Override!$B$11:$B$40,$B277,Override!$D$11:$D$40,7,Override!$E$11:$E$40,"&gt;=0")-COUNTIFS(Override!$B$11:$B$40,$B277,Override!$D$11:$D$40,7,Override!$E$11:$E$40,"&gt;=0",Override!$C$11:$C$40,"AS51"))&gt;0,SUMIFS(Override!$E$11:$E$40,Override!$B$11:$B$40,$B277,Override!$D$11:$D$40,7)-SUMIFS(Override!$E$11:$E$40,Override!$B$11:$B$40,$B277,Override!$D$11:$D$40,7,Override!$C$11:$C$40,"AS51"),Override!$I$309)/MXAU!$B$3,"")))</f>
        <v/>
      </c>
      <c r="M277" s="140">
        <f>IF(M$226="","",IF($B277="","",IFERROR($C277*$D277*IF((Override!$C$4="ON")*(COUNTIFS(Override!$B$11:$B$40,$B277,Override!$D$11:$D$40,8,Override!$E$11:$E$40,"&gt;=0")-COUNTIFS(Override!$B$11:$B$40,$B277,Override!$D$11:$D$40,8,Override!$E$11:$E$40,"&gt;=0",Override!$C$11:$C$40,"AS51"))&gt;0,SUMIFS(Override!$E$11:$E$40,Override!$B$11:$B$40,$B277,Override!$D$11:$D$40,8)-SUMIFS(Override!$E$11:$E$40,Override!$B$11:$B$40,$B277,Override!$D$11:$D$40,8,Override!$C$11:$C$40,"AS51"),Override!$J$309)/MXAU!$B$3,"")))</f>
        <v/>
      </c>
      <c r="N277" s="140">
        <f>IF(N$226="","",IF($B277="","",IFERROR($C277*$D277*IF((Override!$C$4="ON")*(COUNTIFS(Override!$B$11:$B$40,$B277,Override!$D$11:$D$40,9,Override!$E$11:$E$40,"&gt;=0")-COUNTIFS(Override!$B$11:$B$40,$B277,Override!$D$11:$D$40,9,Override!$E$11:$E$40,"&gt;=0",Override!$C$11:$C$40,"AS51"))&gt;0,SUMIFS(Override!$E$11:$E$40,Override!$B$11:$B$40,$B277,Override!$D$11:$D$40,9)-SUMIFS(Override!$E$11:$E$40,Override!$B$11:$B$40,$B277,Override!$D$11:$D$40,9,Override!$C$11:$C$40,"AS51"),Override!$K$309)/MXAU!$B$3,"")))</f>
        <v/>
      </c>
      <c r="O277" s="140">
        <f>IF(O$226="","",IF($B277="","",IFERROR($C277*$D277*IF((Override!$C$4="ON")*(COUNTIFS(Override!$B$11:$B$40,$B277,Override!$D$11:$D$40,10,Override!$E$11:$E$40,"&gt;=0")-COUNTIFS(Override!$B$11:$B$40,$B277,Override!$D$11:$D$40,10,Override!$E$11:$E$40,"&gt;=0",Override!$C$11:$C$40,"AS51"))&gt;0,SUMIFS(Override!$E$11:$E$40,Override!$B$11:$B$40,$B277,Override!$D$11:$D$40,10)-SUMIFS(Override!$E$11:$E$40,Override!$B$11:$B$40,$B277,Override!$D$11:$D$40,10,Override!$C$11:$C$40,"AS51"),Override!$L$309)/MXAU!$B$3,"")))</f>
        <v/>
      </c>
      <c r="P277" s="140">
        <f>IF(P$226="","",IF($B277="","",IFERROR($C277*$D277*IF((Override!$C$4="ON")*(COUNTIFS(Override!$B$11:$B$40,$B277,Override!$D$11:$D$40,11,Override!$E$11:$E$40,"&gt;=0")-COUNTIFS(Override!$B$11:$B$40,$B277,Override!$D$11:$D$40,11,Override!$E$11:$E$40,"&gt;=0",Override!$C$11:$C$40,"AS51"))&gt;0,SUMIFS(Override!$E$11:$E$40,Override!$B$11:$B$40,$B277,Override!$D$11:$D$40,11)-SUMIFS(Override!$E$11:$E$40,Override!$B$11:$B$40,$B277,Override!$D$11:$D$40,11,Override!$C$11:$C$40,"AS51"),Override!$M$309)/MXAU!$B$3,"")))</f>
        <v/>
      </c>
      <c r="Q277" s="140">
        <f>IF(Q$226="","",IF($B277="","",IFERROR($C277*$D277*IF((Override!$C$4="ON")*(COUNTIFS(Override!$B$11:$B$40,$B277,Override!$D$11:$D$40,12,Override!$E$11:$E$40,"&gt;=0")-COUNTIFS(Override!$B$11:$B$40,$B277,Override!$D$11:$D$40,12,Override!$E$11:$E$40,"&gt;=0",Override!$C$11:$C$40,"AS51"))&gt;0,SUMIFS(Override!$E$11:$E$40,Override!$B$11:$B$40,$B277,Override!$D$11:$D$40,12)-SUMIFS(Override!$E$11:$E$40,Override!$B$11:$B$40,$B277,Override!$D$11:$D$40,12,Override!$C$11:$C$40,"AS51"),Override!$N$309)/MXAU!$B$3,"")))</f>
        <v/>
      </c>
      <c r="R277" s="140">
        <f>IF(R$226="","",IF($B277="","",IFERROR($C277*$D277*IF((Override!$C$4="ON")*(COUNTIFS(Override!$B$11:$B$40,$B277,Override!$D$11:$D$40,13,Override!$E$11:$E$40,"&gt;=0")-COUNTIFS(Override!$B$11:$B$40,$B277,Override!$D$11:$D$40,13,Override!$E$11:$E$40,"&gt;=0",Override!$C$11:$C$40,"AS51"))&gt;0,SUMIFS(Override!$E$11:$E$40,Override!$B$11:$B$40,$B277,Override!$D$11:$D$40,13)-SUMIFS(Override!$E$11:$E$40,Override!$B$11:$B$40,$B277,Override!$D$11:$D$40,13,Override!$C$11:$C$40,"AS51"),Override!$O$309)/MXAU!$B$3,"")))</f>
        <v/>
      </c>
      <c r="S277" s="140">
        <f>IF(S$226="","",IF($B277="","",IFERROR($C277*$D277*IF((Override!$C$4="ON")*(COUNTIFS(Override!$B$11:$B$40,$B277,Override!$D$11:$D$40,14,Override!$E$11:$E$40,"&gt;=0")-COUNTIFS(Override!$B$11:$B$40,$B277,Override!$D$11:$D$40,14,Override!$E$11:$E$40,"&gt;=0",Override!$C$11:$C$40,"AS51"))&gt;0,SUMIFS(Override!$E$11:$E$40,Override!$B$11:$B$40,$B277,Override!$D$11:$D$40,14)-SUMIFS(Override!$E$11:$E$40,Override!$B$11:$B$40,$B277,Override!$D$11:$D$40,14,Override!$C$11:$C$40,"AS51"),Override!$P$309)/MXAU!$B$3,"")))</f>
        <v/>
      </c>
      <c r="T277" s="140">
        <f>IF(T$226="","",IF($B277="","",IFERROR($C277*$D277*IF((Override!$C$4="ON")*(COUNTIFS(Override!$B$11:$B$40,$B277,Override!$D$11:$D$40,15,Override!$E$11:$E$40,"&gt;=0")-COUNTIFS(Override!$B$11:$B$40,$B277,Override!$D$11:$D$40,15,Override!$E$11:$E$40,"&gt;=0",Override!$C$11:$C$40,"AS51"))&gt;0,SUMIFS(Override!$E$11:$E$40,Override!$B$11:$B$40,$B277,Override!$D$11:$D$40,15)-SUMIFS(Override!$E$11:$E$40,Override!$B$11:$B$40,$B277,Override!$D$11:$D$40,15,Override!$C$11:$C$40,"AS51"),Override!$Q$309)/MXAU!$B$3,"")))</f>
        <v/>
      </c>
      <c r="U277" s="140">
        <f>IF(U$226="","",IF($B277="","",IFERROR($C277*$D277*IF((Override!$C$4="ON")*(COUNTIFS(Override!$B$11:$B$40,$B277,Override!$D$11:$D$40,16,Override!$E$11:$E$40,"&gt;=0")-COUNTIFS(Override!$B$11:$B$40,$B277,Override!$D$11:$D$40,16,Override!$E$11:$E$40,"&gt;=0",Override!$C$11:$C$40,"AS51"))&gt;0,SUMIFS(Override!$E$11:$E$40,Override!$B$11:$B$40,$B277,Override!$D$11:$D$40,16)-SUMIFS(Override!$E$11:$E$40,Override!$B$11:$B$40,$B277,Override!$D$11:$D$40,16,Override!$C$11:$C$40,"AS51"),Override!$R$309)/MXAU!$B$3,"")))</f>
        <v/>
      </c>
      <c r="W277" s="140">
        <f>IF(W$226="","",IF($B277="","",IFERROR(F277*$E277/100,"")))</f>
        <v/>
      </c>
      <c r="X277" s="140">
        <f>IF(X$226="","",IF($B277="","",IFERROR(G277*$E277/100,"")))</f>
        <v/>
      </c>
      <c r="Y277" s="140">
        <f>IF(Y$226="","",IF($B277="","",IFERROR(H277*$E277/100,"")))</f>
        <v/>
      </c>
      <c r="Z277" s="140">
        <f>IF(Z$226="","",IF($B277="","",IFERROR(I277*$E277/100,"")))</f>
        <v/>
      </c>
      <c r="AA277" s="140">
        <f>IF(AA$226="","",IF($B277="","",IFERROR(J277*$E277/100,"")))</f>
        <v/>
      </c>
      <c r="AB277" s="140">
        <f>IF(AB$226="","",IF($B277="","",IFERROR(K277*$E277/100,"")))</f>
        <v/>
      </c>
      <c r="AC277" s="140">
        <f>IF(AC$226="","",IF($B277="","",IFERROR(L277*$E277/100,"")))</f>
        <v/>
      </c>
      <c r="AD277" s="140">
        <f>IF(AD$226="","",IF($B277="","",IFERROR(M277*$E277/100,"")))</f>
        <v/>
      </c>
      <c r="AE277" s="140">
        <f>IF(AE$226="","",IF($B277="","",IFERROR(N277*$E277/100,"")))</f>
        <v/>
      </c>
      <c r="AF277" s="140">
        <f>IF(AF$226="","",IF($B277="","",IFERROR(O277*$E277/100,"")))</f>
        <v/>
      </c>
      <c r="AG277" s="140">
        <f>IF(AG$226="","",IF($B277="","",IFERROR(P277*$E277/100,"")))</f>
        <v/>
      </c>
      <c r="AH277" s="140">
        <f>IF(AH$226="","",IF($B277="","",IFERROR(Q277*$E277/100,"")))</f>
        <v/>
      </c>
      <c r="AI277" s="140">
        <f>IF(AI$226="","",IF($B277="","",IFERROR(R277*$E277/100,"")))</f>
        <v/>
      </c>
      <c r="AJ277" s="140">
        <f>IF(AJ$226="","",IF($B277="","",IFERROR(S277*$E277/100,"")))</f>
        <v/>
      </c>
      <c r="AK277" s="140">
        <f>IF(AK$226="","",IF($B277="","",IFERROR(T277*$E277/100,"")))</f>
        <v/>
      </c>
      <c r="AL277" s="140">
        <f>IF(AL$226="","",IF($B277="","",IFERROR(U277*$E277/100,"")))</f>
        <v/>
      </c>
      <c r="AN277" s="140">
        <f>IF($B277="","",SUMIF($F$226:$U$226,"&lt;="&amp;Sector!$E$51,$F277:$U277))</f>
        <v/>
      </c>
      <c r="AO277" s="140">
        <f>IF($B277="","",SUMIF($W$226:$AL$226,"&lt;="&amp;Sector!$E$51,$W277:$AL277))</f>
        <v/>
      </c>
    </row>
    <row r="278">
      <c r="B278" s="5">
        <f>IF(MXAU!$C$55="","",MXAU!$C$55)</f>
        <v/>
      </c>
      <c r="C278" s="90">
        <f>IF(MXAU!$B$55="","",MXAU!$B$55)</f>
        <v/>
      </c>
      <c r="D278" s="138">
        <f>IFERROR(MXAU!$Q$55,1)</f>
        <v/>
      </c>
      <c r="E278" s="139">
        <f>IF($B278="","",IF(ISNUMBER(MXAU!$I$55),MXAU!$I$55,'Index Summary'!$C$7))</f>
        <v/>
      </c>
      <c r="F278" s="140">
        <f>IF(F$226="","",IF($B278="","",IFERROR($C278*$D278*IF((Override!$C$4="ON")*(COUNTIFS(Override!$B$11:$B$40,$B278,Override!$D$11:$D$40,1,Override!$E$11:$E$40,"&gt;=0")-COUNTIFS(Override!$B$11:$B$40,$B278,Override!$D$11:$D$40,1,Override!$E$11:$E$40,"&gt;=0",Override!$C$11:$C$40,"AS51"))&gt;0,SUMIFS(Override!$E$11:$E$40,Override!$B$11:$B$40,$B278,Override!$D$11:$D$40,1)-SUMIFS(Override!$E$11:$E$40,Override!$B$11:$B$40,$B278,Override!$D$11:$D$40,1,Override!$C$11:$C$40,"AS51"),Override!$C$310)/MXAU!$B$3,"")))</f>
        <v/>
      </c>
      <c r="G278" s="140">
        <f>IF(G$226="","",IF($B278="","",IFERROR($C278*$D278*IF((Override!$C$4="ON")*(COUNTIFS(Override!$B$11:$B$40,$B278,Override!$D$11:$D$40,2,Override!$E$11:$E$40,"&gt;=0")-COUNTIFS(Override!$B$11:$B$40,$B278,Override!$D$11:$D$40,2,Override!$E$11:$E$40,"&gt;=0",Override!$C$11:$C$40,"AS51"))&gt;0,SUMIFS(Override!$E$11:$E$40,Override!$B$11:$B$40,$B278,Override!$D$11:$D$40,2)-SUMIFS(Override!$E$11:$E$40,Override!$B$11:$B$40,$B278,Override!$D$11:$D$40,2,Override!$C$11:$C$40,"AS51"),Override!$D$310)/MXAU!$B$3,"")))</f>
        <v/>
      </c>
      <c r="H278" s="140">
        <f>IF(H$226="","",IF($B278="","",IFERROR($C278*$D278*IF((Override!$C$4="ON")*(COUNTIFS(Override!$B$11:$B$40,$B278,Override!$D$11:$D$40,3,Override!$E$11:$E$40,"&gt;=0")-COUNTIFS(Override!$B$11:$B$40,$B278,Override!$D$11:$D$40,3,Override!$E$11:$E$40,"&gt;=0",Override!$C$11:$C$40,"AS51"))&gt;0,SUMIFS(Override!$E$11:$E$40,Override!$B$11:$B$40,$B278,Override!$D$11:$D$40,3)-SUMIFS(Override!$E$11:$E$40,Override!$B$11:$B$40,$B278,Override!$D$11:$D$40,3,Override!$C$11:$C$40,"AS51"),Override!$E$310)/MXAU!$B$3,"")))</f>
        <v/>
      </c>
      <c r="I278" s="140">
        <f>IF(I$226="","",IF($B278="","",IFERROR($C278*$D278*IF((Override!$C$4="ON")*(COUNTIFS(Override!$B$11:$B$40,$B278,Override!$D$11:$D$40,4,Override!$E$11:$E$40,"&gt;=0")-COUNTIFS(Override!$B$11:$B$40,$B278,Override!$D$11:$D$40,4,Override!$E$11:$E$40,"&gt;=0",Override!$C$11:$C$40,"AS51"))&gt;0,SUMIFS(Override!$E$11:$E$40,Override!$B$11:$B$40,$B278,Override!$D$11:$D$40,4)-SUMIFS(Override!$E$11:$E$40,Override!$B$11:$B$40,$B278,Override!$D$11:$D$40,4,Override!$C$11:$C$40,"AS51"),Override!$F$310)/MXAU!$B$3,"")))</f>
        <v/>
      </c>
      <c r="J278" s="140">
        <f>IF(J$226="","",IF($B278="","",IFERROR($C278*$D278*IF((Override!$C$4="ON")*(COUNTIFS(Override!$B$11:$B$40,$B278,Override!$D$11:$D$40,5,Override!$E$11:$E$40,"&gt;=0")-COUNTIFS(Override!$B$11:$B$40,$B278,Override!$D$11:$D$40,5,Override!$E$11:$E$40,"&gt;=0",Override!$C$11:$C$40,"AS51"))&gt;0,SUMIFS(Override!$E$11:$E$40,Override!$B$11:$B$40,$B278,Override!$D$11:$D$40,5)-SUMIFS(Override!$E$11:$E$40,Override!$B$11:$B$40,$B278,Override!$D$11:$D$40,5,Override!$C$11:$C$40,"AS51"),Override!$G$310)/MXAU!$B$3,"")))</f>
        <v/>
      </c>
      <c r="K278" s="140">
        <f>IF(K$226="","",IF($B278="","",IFERROR($C278*$D278*IF((Override!$C$4="ON")*(COUNTIFS(Override!$B$11:$B$40,$B278,Override!$D$11:$D$40,6,Override!$E$11:$E$40,"&gt;=0")-COUNTIFS(Override!$B$11:$B$40,$B278,Override!$D$11:$D$40,6,Override!$E$11:$E$40,"&gt;=0",Override!$C$11:$C$40,"AS51"))&gt;0,SUMIFS(Override!$E$11:$E$40,Override!$B$11:$B$40,$B278,Override!$D$11:$D$40,6)-SUMIFS(Override!$E$11:$E$40,Override!$B$11:$B$40,$B278,Override!$D$11:$D$40,6,Override!$C$11:$C$40,"AS51"),Override!$H$310)/MXAU!$B$3,"")))</f>
        <v/>
      </c>
      <c r="L278" s="140">
        <f>IF(L$226="","",IF($B278="","",IFERROR($C278*$D278*IF((Override!$C$4="ON")*(COUNTIFS(Override!$B$11:$B$40,$B278,Override!$D$11:$D$40,7,Override!$E$11:$E$40,"&gt;=0")-COUNTIFS(Override!$B$11:$B$40,$B278,Override!$D$11:$D$40,7,Override!$E$11:$E$40,"&gt;=0",Override!$C$11:$C$40,"AS51"))&gt;0,SUMIFS(Override!$E$11:$E$40,Override!$B$11:$B$40,$B278,Override!$D$11:$D$40,7)-SUMIFS(Override!$E$11:$E$40,Override!$B$11:$B$40,$B278,Override!$D$11:$D$40,7,Override!$C$11:$C$40,"AS51"),Override!$I$310)/MXAU!$B$3,"")))</f>
        <v/>
      </c>
      <c r="M278" s="140">
        <f>IF(M$226="","",IF($B278="","",IFERROR($C278*$D278*IF((Override!$C$4="ON")*(COUNTIFS(Override!$B$11:$B$40,$B278,Override!$D$11:$D$40,8,Override!$E$11:$E$40,"&gt;=0")-COUNTIFS(Override!$B$11:$B$40,$B278,Override!$D$11:$D$40,8,Override!$E$11:$E$40,"&gt;=0",Override!$C$11:$C$40,"AS51"))&gt;0,SUMIFS(Override!$E$11:$E$40,Override!$B$11:$B$40,$B278,Override!$D$11:$D$40,8)-SUMIFS(Override!$E$11:$E$40,Override!$B$11:$B$40,$B278,Override!$D$11:$D$40,8,Override!$C$11:$C$40,"AS51"),Override!$J$310)/MXAU!$B$3,"")))</f>
        <v/>
      </c>
      <c r="N278" s="140">
        <f>IF(N$226="","",IF($B278="","",IFERROR($C278*$D278*IF((Override!$C$4="ON")*(COUNTIFS(Override!$B$11:$B$40,$B278,Override!$D$11:$D$40,9,Override!$E$11:$E$40,"&gt;=0")-COUNTIFS(Override!$B$11:$B$40,$B278,Override!$D$11:$D$40,9,Override!$E$11:$E$40,"&gt;=0",Override!$C$11:$C$40,"AS51"))&gt;0,SUMIFS(Override!$E$11:$E$40,Override!$B$11:$B$40,$B278,Override!$D$11:$D$40,9)-SUMIFS(Override!$E$11:$E$40,Override!$B$11:$B$40,$B278,Override!$D$11:$D$40,9,Override!$C$11:$C$40,"AS51"),Override!$K$310)/MXAU!$B$3,"")))</f>
        <v/>
      </c>
      <c r="O278" s="140">
        <f>IF(O$226="","",IF($B278="","",IFERROR($C278*$D278*IF((Override!$C$4="ON")*(COUNTIFS(Override!$B$11:$B$40,$B278,Override!$D$11:$D$40,10,Override!$E$11:$E$40,"&gt;=0")-COUNTIFS(Override!$B$11:$B$40,$B278,Override!$D$11:$D$40,10,Override!$E$11:$E$40,"&gt;=0",Override!$C$11:$C$40,"AS51"))&gt;0,SUMIFS(Override!$E$11:$E$40,Override!$B$11:$B$40,$B278,Override!$D$11:$D$40,10)-SUMIFS(Override!$E$11:$E$40,Override!$B$11:$B$40,$B278,Override!$D$11:$D$40,10,Override!$C$11:$C$40,"AS51"),Override!$L$310)/MXAU!$B$3,"")))</f>
        <v/>
      </c>
      <c r="P278" s="140">
        <f>IF(P$226="","",IF($B278="","",IFERROR($C278*$D278*IF((Override!$C$4="ON")*(COUNTIFS(Override!$B$11:$B$40,$B278,Override!$D$11:$D$40,11,Override!$E$11:$E$40,"&gt;=0")-COUNTIFS(Override!$B$11:$B$40,$B278,Override!$D$11:$D$40,11,Override!$E$11:$E$40,"&gt;=0",Override!$C$11:$C$40,"AS51"))&gt;0,SUMIFS(Override!$E$11:$E$40,Override!$B$11:$B$40,$B278,Override!$D$11:$D$40,11)-SUMIFS(Override!$E$11:$E$40,Override!$B$11:$B$40,$B278,Override!$D$11:$D$40,11,Override!$C$11:$C$40,"AS51"),Override!$M$310)/MXAU!$B$3,"")))</f>
        <v/>
      </c>
      <c r="Q278" s="140">
        <f>IF(Q$226="","",IF($B278="","",IFERROR($C278*$D278*IF((Override!$C$4="ON")*(COUNTIFS(Override!$B$11:$B$40,$B278,Override!$D$11:$D$40,12,Override!$E$11:$E$40,"&gt;=0")-COUNTIFS(Override!$B$11:$B$40,$B278,Override!$D$11:$D$40,12,Override!$E$11:$E$40,"&gt;=0",Override!$C$11:$C$40,"AS51"))&gt;0,SUMIFS(Override!$E$11:$E$40,Override!$B$11:$B$40,$B278,Override!$D$11:$D$40,12)-SUMIFS(Override!$E$11:$E$40,Override!$B$11:$B$40,$B278,Override!$D$11:$D$40,12,Override!$C$11:$C$40,"AS51"),Override!$N$310)/MXAU!$B$3,"")))</f>
        <v/>
      </c>
      <c r="R278" s="140">
        <f>IF(R$226="","",IF($B278="","",IFERROR($C278*$D278*IF((Override!$C$4="ON")*(COUNTIFS(Override!$B$11:$B$40,$B278,Override!$D$11:$D$40,13,Override!$E$11:$E$40,"&gt;=0")-COUNTIFS(Override!$B$11:$B$40,$B278,Override!$D$11:$D$40,13,Override!$E$11:$E$40,"&gt;=0",Override!$C$11:$C$40,"AS51"))&gt;0,SUMIFS(Override!$E$11:$E$40,Override!$B$11:$B$40,$B278,Override!$D$11:$D$40,13)-SUMIFS(Override!$E$11:$E$40,Override!$B$11:$B$40,$B278,Override!$D$11:$D$40,13,Override!$C$11:$C$40,"AS51"),Override!$O$310)/MXAU!$B$3,"")))</f>
        <v/>
      </c>
      <c r="S278" s="140">
        <f>IF(S$226="","",IF($B278="","",IFERROR($C278*$D278*IF((Override!$C$4="ON")*(COUNTIFS(Override!$B$11:$B$40,$B278,Override!$D$11:$D$40,14,Override!$E$11:$E$40,"&gt;=0")-COUNTIFS(Override!$B$11:$B$40,$B278,Override!$D$11:$D$40,14,Override!$E$11:$E$40,"&gt;=0",Override!$C$11:$C$40,"AS51"))&gt;0,SUMIFS(Override!$E$11:$E$40,Override!$B$11:$B$40,$B278,Override!$D$11:$D$40,14)-SUMIFS(Override!$E$11:$E$40,Override!$B$11:$B$40,$B278,Override!$D$11:$D$40,14,Override!$C$11:$C$40,"AS51"),Override!$P$310)/MXAU!$B$3,"")))</f>
        <v/>
      </c>
      <c r="T278" s="140">
        <f>IF(T$226="","",IF($B278="","",IFERROR($C278*$D278*IF((Override!$C$4="ON")*(COUNTIFS(Override!$B$11:$B$40,$B278,Override!$D$11:$D$40,15,Override!$E$11:$E$40,"&gt;=0")-COUNTIFS(Override!$B$11:$B$40,$B278,Override!$D$11:$D$40,15,Override!$E$11:$E$40,"&gt;=0",Override!$C$11:$C$40,"AS51"))&gt;0,SUMIFS(Override!$E$11:$E$40,Override!$B$11:$B$40,$B278,Override!$D$11:$D$40,15)-SUMIFS(Override!$E$11:$E$40,Override!$B$11:$B$40,$B278,Override!$D$11:$D$40,15,Override!$C$11:$C$40,"AS51"),Override!$Q$310)/MXAU!$B$3,"")))</f>
        <v/>
      </c>
      <c r="U278" s="140">
        <f>IF(U$226="","",IF($B278="","",IFERROR($C278*$D278*IF((Override!$C$4="ON")*(COUNTIFS(Override!$B$11:$B$40,$B278,Override!$D$11:$D$40,16,Override!$E$11:$E$40,"&gt;=0")-COUNTIFS(Override!$B$11:$B$40,$B278,Override!$D$11:$D$40,16,Override!$E$11:$E$40,"&gt;=0",Override!$C$11:$C$40,"AS51"))&gt;0,SUMIFS(Override!$E$11:$E$40,Override!$B$11:$B$40,$B278,Override!$D$11:$D$40,16)-SUMIFS(Override!$E$11:$E$40,Override!$B$11:$B$40,$B278,Override!$D$11:$D$40,16,Override!$C$11:$C$40,"AS51"),Override!$R$310)/MXAU!$B$3,"")))</f>
        <v/>
      </c>
      <c r="W278" s="140">
        <f>IF(W$226="","",IF($B278="","",IFERROR(F278*$E278/100,"")))</f>
        <v/>
      </c>
      <c r="X278" s="140">
        <f>IF(X$226="","",IF($B278="","",IFERROR(G278*$E278/100,"")))</f>
        <v/>
      </c>
      <c r="Y278" s="140">
        <f>IF(Y$226="","",IF($B278="","",IFERROR(H278*$E278/100,"")))</f>
        <v/>
      </c>
      <c r="Z278" s="140">
        <f>IF(Z$226="","",IF($B278="","",IFERROR(I278*$E278/100,"")))</f>
        <v/>
      </c>
      <c r="AA278" s="140">
        <f>IF(AA$226="","",IF($B278="","",IFERROR(J278*$E278/100,"")))</f>
        <v/>
      </c>
      <c r="AB278" s="140">
        <f>IF(AB$226="","",IF($B278="","",IFERROR(K278*$E278/100,"")))</f>
        <v/>
      </c>
      <c r="AC278" s="140">
        <f>IF(AC$226="","",IF($B278="","",IFERROR(L278*$E278/100,"")))</f>
        <v/>
      </c>
      <c r="AD278" s="140">
        <f>IF(AD$226="","",IF($B278="","",IFERROR(M278*$E278/100,"")))</f>
        <v/>
      </c>
      <c r="AE278" s="140">
        <f>IF(AE$226="","",IF($B278="","",IFERROR(N278*$E278/100,"")))</f>
        <v/>
      </c>
      <c r="AF278" s="140">
        <f>IF(AF$226="","",IF($B278="","",IFERROR(O278*$E278/100,"")))</f>
        <v/>
      </c>
      <c r="AG278" s="140">
        <f>IF(AG$226="","",IF($B278="","",IFERROR(P278*$E278/100,"")))</f>
        <v/>
      </c>
      <c r="AH278" s="140">
        <f>IF(AH$226="","",IF($B278="","",IFERROR(Q278*$E278/100,"")))</f>
        <v/>
      </c>
      <c r="AI278" s="140">
        <f>IF(AI$226="","",IF($B278="","",IFERROR(R278*$E278/100,"")))</f>
        <v/>
      </c>
      <c r="AJ278" s="140">
        <f>IF(AJ$226="","",IF($B278="","",IFERROR(S278*$E278/100,"")))</f>
        <v/>
      </c>
      <c r="AK278" s="140">
        <f>IF(AK$226="","",IF($B278="","",IFERROR(T278*$E278/100,"")))</f>
        <v/>
      </c>
      <c r="AL278" s="140">
        <f>IF(AL$226="","",IF($B278="","",IFERROR(U278*$E278/100,"")))</f>
        <v/>
      </c>
      <c r="AN278" s="140">
        <f>IF($B278="","",SUMIF($F$226:$U$226,"&lt;="&amp;Sector!$E$51,$F278:$U278))</f>
        <v/>
      </c>
      <c r="AO278" s="140">
        <f>IF($B278="","",SUMIF($W$226:$AL$226,"&lt;="&amp;Sector!$E$51,$W278:$AL278))</f>
        <v/>
      </c>
    </row>
    <row r="279">
      <c r="B279" s="5">
        <f>IF(MXAU!$C$56="","",MXAU!$C$56)</f>
        <v/>
      </c>
      <c r="C279" s="90">
        <f>IF(MXAU!$B$56="","",MXAU!$B$56)</f>
        <v/>
      </c>
      <c r="D279" s="138">
        <f>IFERROR(MXAU!$Q$56,1)</f>
        <v/>
      </c>
      <c r="E279" s="139">
        <f>IF($B279="","",IF(ISNUMBER(MXAU!$I$56),MXAU!$I$56,'Index Summary'!$C$7))</f>
        <v/>
      </c>
      <c r="F279" s="140">
        <f>IF(F$226="","",IF($B279="","",IFERROR($C279*$D279*IF((Override!$C$4="ON")*(COUNTIFS(Override!$B$11:$B$40,$B279,Override!$D$11:$D$40,1,Override!$E$11:$E$40,"&gt;=0")-COUNTIFS(Override!$B$11:$B$40,$B279,Override!$D$11:$D$40,1,Override!$E$11:$E$40,"&gt;=0",Override!$C$11:$C$40,"AS51"))&gt;0,SUMIFS(Override!$E$11:$E$40,Override!$B$11:$B$40,$B279,Override!$D$11:$D$40,1)-SUMIFS(Override!$E$11:$E$40,Override!$B$11:$B$40,$B279,Override!$D$11:$D$40,1,Override!$C$11:$C$40,"AS51"),Override!$C$311)/MXAU!$B$3,"")))</f>
        <v/>
      </c>
      <c r="G279" s="140">
        <f>IF(G$226="","",IF($B279="","",IFERROR($C279*$D279*IF((Override!$C$4="ON")*(COUNTIFS(Override!$B$11:$B$40,$B279,Override!$D$11:$D$40,2,Override!$E$11:$E$40,"&gt;=0")-COUNTIFS(Override!$B$11:$B$40,$B279,Override!$D$11:$D$40,2,Override!$E$11:$E$40,"&gt;=0",Override!$C$11:$C$40,"AS51"))&gt;0,SUMIFS(Override!$E$11:$E$40,Override!$B$11:$B$40,$B279,Override!$D$11:$D$40,2)-SUMIFS(Override!$E$11:$E$40,Override!$B$11:$B$40,$B279,Override!$D$11:$D$40,2,Override!$C$11:$C$40,"AS51"),Override!$D$311)/MXAU!$B$3,"")))</f>
        <v/>
      </c>
      <c r="H279" s="140">
        <f>IF(H$226="","",IF($B279="","",IFERROR($C279*$D279*IF((Override!$C$4="ON")*(COUNTIFS(Override!$B$11:$B$40,$B279,Override!$D$11:$D$40,3,Override!$E$11:$E$40,"&gt;=0")-COUNTIFS(Override!$B$11:$B$40,$B279,Override!$D$11:$D$40,3,Override!$E$11:$E$40,"&gt;=0",Override!$C$11:$C$40,"AS51"))&gt;0,SUMIFS(Override!$E$11:$E$40,Override!$B$11:$B$40,$B279,Override!$D$11:$D$40,3)-SUMIFS(Override!$E$11:$E$40,Override!$B$11:$B$40,$B279,Override!$D$11:$D$40,3,Override!$C$11:$C$40,"AS51"),Override!$E$311)/MXAU!$B$3,"")))</f>
        <v/>
      </c>
      <c r="I279" s="140">
        <f>IF(I$226="","",IF($B279="","",IFERROR($C279*$D279*IF((Override!$C$4="ON")*(COUNTIFS(Override!$B$11:$B$40,$B279,Override!$D$11:$D$40,4,Override!$E$11:$E$40,"&gt;=0")-COUNTIFS(Override!$B$11:$B$40,$B279,Override!$D$11:$D$40,4,Override!$E$11:$E$40,"&gt;=0",Override!$C$11:$C$40,"AS51"))&gt;0,SUMIFS(Override!$E$11:$E$40,Override!$B$11:$B$40,$B279,Override!$D$11:$D$40,4)-SUMIFS(Override!$E$11:$E$40,Override!$B$11:$B$40,$B279,Override!$D$11:$D$40,4,Override!$C$11:$C$40,"AS51"),Override!$F$311)/MXAU!$B$3,"")))</f>
        <v/>
      </c>
      <c r="J279" s="140">
        <f>IF(J$226="","",IF($B279="","",IFERROR($C279*$D279*IF((Override!$C$4="ON")*(COUNTIFS(Override!$B$11:$B$40,$B279,Override!$D$11:$D$40,5,Override!$E$11:$E$40,"&gt;=0")-COUNTIFS(Override!$B$11:$B$40,$B279,Override!$D$11:$D$40,5,Override!$E$11:$E$40,"&gt;=0",Override!$C$11:$C$40,"AS51"))&gt;0,SUMIFS(Override!$E$11:$E$40,Override!$B$11:$B$40,$B279,Override!$D$11:$D$40,5)-SUMIFS(Override!$E$11:$E$40,Override!$B$11:$B$40,$B279,Override!$D$11:$D$40,5,Override!$C$11:$C$40,"AS51"),Override!$G$311)/MXAU!$B$3,"")))</f>
        <v/>
      </c>
      <c r="K279" s="140">
        <f>IF(K$226="","",IF($B279="","",IFERROR($C279*$D279*IF((Override!$C$4="ON")*(COUNTIFS(Override!$B$11:$B$40,$B279,Override!$D$11:$D$40,6,Override!$E$11:$E$40,"&gt;=0")-COUNTIFS(Override!$B$11:$B$40,$B279,Override!$D$11:$D$40,6,Override!$E$11:$E$40,"&gt;=0",Override!$C$11:$C$40,"AS51"))&gt;0,SUMIFS(Override!$E$11:$E$40,Override!$B$11:$B$40,$B279,Override!$D$11:$D$40,6)-SUMIFS(Override!$E$11:$E$40,Override!$B$11:$B$40,$B279,Override!$D$11:$D$40,6,Override!$C$11:$C$40,"AS51"),Override!$H$311)/MXAU!$B$3,"")))</f>
        <v/>
      </c>
      <c r="L279" s="140">
        <f>IF(L$226="","",IF($B279="","",IFERROR($C279*$D279*IF((Override!$C$4="ON")*(COUNTIFS(Override!$B$11:$B$40,$B279,Override!$D$11:$D$40,7,Override!$E$11:$E$40,"&gt;=0")-COUNTIFS(Override!$B$11:$B$40,$B279,Override!$D$11:$D$40,7,Override!$E$11:$E$40,"&gt;=0",Override!$C$11:$C$40,"AS51"))&gt;0,SUMIFS(Override!$E$11:$E$40,Override!$B$11:$B$40,$B279,Override!$D$11:$D$40,7)-SUMIFS(Override!$E$11:$E$40,Override!$B$11:$B$40,$B279,Override!$D$11:$D$40,7,Override!$C$11:$C$40,"AS51"),Override!$I$311)/MXAU!$B$3,"")))</f>
        <v/>
      </c>
      <c r="M279" s="140">
        <f>IF(M$226="","",IF($B279="","",IFERROR($C279*$D279*IF((Override!$C$4="ON")*(COUNTIFS(Override!$B$11:$B$40,$B279,Override!$D$11:$D$40,8,Override!$E$11:$E$40,"&gt;=0")-COUNTIFS(Override!$B$11:$B$40,$B279,Override!$D$11:$D$40,8,Override!$E$11:$E$40,"&gt;=0",Override!$C$11:$C$40,"AS51"))&gt;0,SUMIFS(Override!$E$11:$E$40,Override!$B$11:$B$40,$B279,Override!$D$11:$D$40,8)-SUMIFS(Override!$E$11:$E$40,Override!$B$11:$B$40,$B279,Override!$D$11:$D$40,8,Override!$C$11:$C$40,"AS51"),Override!$J$311)/MXAU!$B$3,"")))</f>
        <v/>
      </c>
      <c r="N279" s="140">
        <f>IF(N$226="","",IF($B279="","",IFERROR($C279*$D279*IF((Override!$C$4="ON")*(COUNTIFS(Override!$B$11:$B$40,$B279,Override!$D$11:$D$40,9,Override!$E$11:$E$40,"&gt;=0")-COUNTIFS(Override!$B$11:$B$40,$B279,Override!$D$11:$D$40,9,Override!$E$11:$E$40,"&gt;=0",Override!$C$11:$C$40,"AS51"))&gt;0,SUMIFS(Override!$E$11:$E$40,Override!$B$11:$B$40,$B279,Override!$D$11:$D$40,9)-SUMIFS(Override!$E$11:$E$40,Override!$B$11:$B$40,$B279,Override!$D$11:$D$40,9,Override!$C$11:$C$40,"AS51"),Override!$K$311)/MXAU!$B$3,"")))</f>
        <v/>
      </c>
      <c r="O279" s="140">
        <f>IF(O$226="","",IF($B279="","",IFERROR($C279*$D279*IF((Override!$C$4="ON")*(COUNTIFS(Override!$B$11:$B$40,$B279,Override!$D$11:$D$40,10,Override!$E$11:$E$40,"&gt;=0")-COUNTIFS(Override!$B$11:$B$40,$B279,Override!$D$11:$D$40,10,Override!$E$11:$E$40,"&gt;=0",Override!$C$11:$C$40,"AS51"))&gt;0,SUMIFS(Override!$E$11:$E$40,Override!$B$11:$B$40,$B279,Override!$D$11:$D$40,10)-SUMIFS(Override!$E$11:$E$40,Override!$B$11:$B$40,$B279,Override!$D$11:$D$40,10,Override!$C$11:$C$40,"AS51"),Override!$L$311)/MXAU!$B$3,"")))</f>
        <v/>
      </c>
      <c r="P279" s="140">
        <f>IF(P$226="","",IF($B279="","",IFERROR($C279*$D279*IF((Override!$C$4="ON")*(COUNTIFS(Override!$B$11:$B$40,$B279,Override!$D$11:$D$40,11,Override!$E$11:$E$40,"&gt;=0")-COUNTIFS(Override!$B$11:$B$40,$B279,Override!$D$11:$D$40,11,Override!$E$11:$E$40,"&gt;=0",Override!$C$11:$C$40,"AS51"))&gt;0,SUMIFS(Override!$E$11:$E$40,Override!$B$11:$B$40,$B279,Override!$D$11:$D$40,11)-SUMIFS(Override!$E$11:$E$40,Override!$B$11:$B$40,$B279,Override!$D$11:$D$40,11,Override!$C$11:$C$40,"AS51"),Override!$M$311)/MXAU!$B$3,"")))</f>
        <v/>
      </c>
      <c r="Q279" s="140">
        <f>IF(Q$226="","",IF($B279="","",IFERROR($C279*$D279*IF((Override!$C$4="ON")*(COUNTIFS(Override!$B$11:$B$40,$B279,Override!$D$11:$D$40,12,Override!$E$11:$E$40,"&gt;=0")-COUNTIFS(Override!$B$11:$B$40,$B279,Override!$D$11:$D$40,12,Override!$E$11:$E$40,"&gt;=0",Override!$C$11:$C$40,"AS51"))&gt;0,SUMIFS(Override!$E$11:$E$40,Override!$B$11:$B$40,$B279,Override!$D$11:$D$40,12)-SUMIFS(Override!$E$11:$E$40,Override!$B$11:$B$40,$B279,Override!$D$11:$D$40,12,Override!$C$11:$C$40,"AS51"),Override!$N$311)/MXAU!$B$3,"")))</f>
        <v/>
      </c>
      <c r="R279" s="140">
        <f>IF(R$226="","",IF($B279="","",IFERROR($C279*$D279*IF((Override!$C$4="ON")*(COUNTIFS(Override!$B$11:$B$40,$B279,Override!$D$11:$D$40,13,Override!$E$11:$E$40,"&gt;=0")-COUNTIFS(Override!$B$11:$B$40,$B279,Override!$D$11:$D$40,13,Override!$E$11:$E$40,"&gt;=0",Override!$C$11:$C$40,"AS51"))&gt;0,SUMIFS(Override!$E$11:$E$40,Override!$B$11:$B$40,$B279,Override!$D$11:$D$40,13)-SUMIFS(Override!$E$11:$E$40,Override!$B$11:$B$40,$B279,Override!$D$11:$D$40,13,Override!$C$11:$C$40,"AS51"),Override!$O$311)/MXAU!$B$3,"")))</f>
        <v/>
      </c>
      <c r="S279" s="140">
        <f>IF(S$226="","",IF($B279="","",IFERROR($C279*$D279*IF((Override!$C$4="ON")*(COUNTIFS(Override!$B$11:$B$40,$B279,Override!$D$11:$D$40,14,Override!$E$11:$E$40,"&gt;=0")-COUNTIFS(Override!$B$11:$B$40,$B279,Override!$D$11:$D$40,14,Override!$E$11:$E$40,"&gt;=0",Override!$C$11:$C$40,"AS51"))&gt;0,SUMIFS(Override!$E$11:$E$40,Override!$B$11:$B$40,$B279,Override!$D$11:$D$40,14)-SUMIFS(Override!$E$11:$E$40,Override!$B$11:$B$40,$B279,Override!$D$11:$D$40,14,Override!$C$11:$C$40,"AS51"),Override!$P$311)/MXAU!$B$3,"")))</f>
        <v/>
      </c>
      <c r="T279" s="140">
        <f>IF(T$226="","",IF($B279="","",IFERROR($C279*$D279*IF((Override!$C$4="ON")*(COUNTIFS(Override!$B$11:$B$40,$B279,Override!$D$11:$D$40,15,Override!$E$11:$E$40,"&gt;=0")-COUNTIFS(Override!$B$11:$B$40,$B279,Override!$D$11:$D$40,15,Override!$E$11:$E$40,"&gt;=0",Override!$C$11:$C$40,"AS51"))&gt;0,SUMIFS(Override!$E$11:$E$40,Override!$B$11:$B$40,$B279,Override!$D$11:$D$40,15)-SUMIFS(Override!$E$11:$E$40,Override!$B$11:$B$40,$B279,Override!$D$11:$D$40,15,Override!$C$11:$C$40,"AS51"),Override!$Q$311)/MXAU!$B$3,"")))</f>
        <v/>
      </c>
      <c r="U279" s="140">
        <f>IF(U$226="","",IF($B279="","",IFERROR($C279*$D279*IF((Override!$C$4="ON")*(COUNTIFS(Override!$B$11:$B$40,$B279,Override!$D$11:$D$40,16,Override!$E$11:$E$40,"&gt;=0")-COUNTIFS(Override!$B$11:$B$40,$B279,Override!$D$11:$D$40,16,Override!$E$11:$E$40,"&gt;=0",Override!$C$11:$C$40,"AS51"))&gt;0,SUMIFS(Override!$E$11:$E$40,Override!$B$11:$B$40,$B279,Override!$D$11:$D$40,16)-SUMIFS(Override!$E$11:$E$40,Override!$B$11:$B$40,$B279,Override!$D$11:$D$40,16,Override!$C$11:$C$40,"AS51"),Override!$R$311)/MXAU!$B$3,"")))</f>
        <v/>
      </c>
      <c r="W279" s="140">
        <f>IF(W$226="","",IF($B279="","",IFERROR(F279*$E279/100,"")))</f>
        <v/>
      </c>
      <c r="X279" s="140">
        <f>IF(X$226="","",IF($B279="","",IFERROR(G279*$E279/100,"")))</f>
        <v/>
      </c>
      <c r="Y279" s="140">
        <f>IF(Y$226="","",IF($B279="","",IFERROR(H279*$E279/100,"")))</f>
        <v/>
      </c>
      <c r="Z279" s="140">
        <f>IF(Z$226="","",IF($B279="","",IFERROR(I279*$E279/100,"")))</f>
        <v/>
      </c>
      <c r="AA279" s="140">
        <f>IF(AA$226="","",IF($B279="","",IFERROR(J279*$E279/100,"")))</f>
        <v/>
      </c>
      <c r="AB279" s="140">
        <f>IF(AB$226="","",IF($B279="","",IFERROR(K279*$E279/100,"")))</f>
        <v/>
      </c>
      <c r="AC279" s="140">
        <f>IF(AC$226="","",IF($B279="","",IFERROR(L279*$E279/100,"")))</f>
        <v/>
      </c>
      <c r="AD279" s="140">
        <f>IF(AD$226="","",IF($B279="","",IFERROR(M279*$E279/100,"")))</f>
        <v/>
      </c>
      <c r="AE279" s="140">
        <f>IF(AE$226="","",IF($B279="","",IFERROR(N279*$E279/100,"")))</f>
        <v/>
      </c>
      <c r="AF279" s="140">
        <f>IF(AF$226="","",IF($B279="","",IFERROR(O279*$E279/100,"")))</f>
        <v/>
      </c>
      <c r="AG279" s="140">
        <f>IF(AG$226="","",IF($B279="","",IFERROR(P279*$E279/100,"")))</f>
        <v/>
      </c>
      <c r="AH279" s="140">
        <f>IF(AH$226="","",IF($B279="","",IFERROR(Q279*$E279/100,"")))</f>
        <v/>
      </c>
      <c r="AI279" s="140">
        <f>IF(AI$226="","",IF($B279="","",IFERROR(R279*$E279/100,"")))</f>
        <v/>
      </c>
      <c r="AJ279" s="140">
        <f>IF(AJ$226="","",IF($B279="","",IFERROR(S279*$E279/100,"")))</f>
        <v/>
      </c>
      <c r="AK279" s="140">
        <f>IF(AK$226="","",IF($B279="","",IFERROR(T279*$E279/100,"")))</f>
        <v/>
      </c>
      <c r="AL279" s="140">
        <f>IF(AL$226="","",IF($B279="","",IFERROR(U279*$E279/100,"")))</f>
        <v/>
      </c>
      <c r="AN279" s="140">
        <f>IF($B279="","",SUMIF($F$226:$U$226,"&lt;="&amp;Sector!$E$51,$F279:$U279))</f>
        <v/>
      </c>
      <c r="AO279" s="140">
        <f>IF($B279="","",SUMIF($W$226:$AL$226,"&lt;="&amp;Sector!$E$51,$W279:$AL279))</f>
        <v/>
      </c>
    </row>
    <row r="280">
      <c r="B280" s="5">
        <f>IF(MXAU!$C$57="","",MXAU!$C$57)</f>
        <v/>
      </c>
      <c r="C280" s="90">
        <f>IF(MXAU!$B$57="","",MXAU!$B$57)</f>
        <v/>
      </c>
      <c r="D280" s="138">
        <f>IFERROR(MXAU!$Q$57,1)</f>
        <v/>
      </c>
      <c r="E280" s="139">
        <f>IF($B280="","",IF(ISNUMBER(MXAU!$I$57),MXAU!$I$57,'Index Summary'!$C$7))</f>
        <v/>
      </c>
      <c r="F280" s="140">
        <f>IF(F$226="","",IF($B280="","",IFERROR($C280*$D280*IF((Override!$C$4="ON")*(COUNTIFS(Override!$B$11:$B$40,$B280,Override!$D$11:$D$40,1,Override!$E$11:$E$40,"&gt;=0")-COUNTIFS(Override!$B$11:$B$40,$B280,Override!$D$11:$D$40,1,Override!$E$11:$E$40,"&gt;=0",Override!$C$11:$C$40,"AS51"))&gt;0,SUMIFS(Override!$E$11:$E$40,Override!$B$11:$B$40,$B280,Override!$D$11:$D$40,1)-SUMIFS(Override!$E$11:$E$40,Override!$B$11:$B$40,$B280,Override!$D$11:$D$40,1,Override!$C$11:$C$40,"AS51"),Override!$C$312)/MXAU!$B$3,"")))</f>
        <v/>
      </c>
      <c r="G280" s="140">
        <f>IF(G$226="","",IF($B280="","",IFERROR($C280*$D280*IF((Override!$C$4="ON")*(COUNTIFS(Override!$B$11:$B$40,$B280,Override!$D$11:$D$40,2,Override!$E$11:$E$40,"&gt;=0")-COUNTIFS(Override!$B$11:$B$40,$B280,Override!$D$11:$D$40,2,Override!$E$11:$E$40,"&gt;=0",Override!$C$11:$C$40,"AS51"))&gt;0,SUMIFS(Override!$E$11:$E$40,Override!$B$11:$B$40,$B280,Override!$D$11:$D$40,2)-SUMIFS(Override!$E$11:$E$40,Override!$B$11:$B$40,$B280,Override!$D$11:$D$40,2,Override!$C$11:$C$40,"AS51"),Override!$D$312)/MXAU!$B$3,"")))</f>
        <v/>
      </c>
      <c r="H280" s="140">
        <f>IF(H$226="","",IF($B280="","",IFERROR($C280*$D280*IF((Override!$C$4="ON")*(COUNTIFS(Override!$B$11:$B$40,$B280,Override!$D$11:$D$40,3,Override!$E$11:$E$40,"&gt;=0")-COUNTIFS(Override!$B$11:$B$40,$B280,Override!$D$11:$D$40,3,Override!$E$11:$E$40,"&gt;=0",Override!$C$11:$C$40,"AS51"))&gt;0,SUMIFS(Override!$E$11:$E$40,Override!$B$11:$B$40,$B280,Override!$D$11:$D$40,3)-SUMIFS(Override!$E$11:$E$40,Override!$B$11:$B$40,$B280,Override!$D$11:$D$40,3,Override!$C$11:$C$40,"AS51"),Override!$E$312)/MXAU!$B$3,"")))</f>
        <v/>
      </c>
      <c r="I280" s="140">
        <f>IF(I$226="","",IF($B280="","",IFERROR($C280*$D280*IF((Override!$C$4="ON")*(COUNTIFS(Override!$B$11:$B$40,$B280,Override!$D$11:$D$40,4,Override!$E$11:$E$40,"&gt;=0")-COUNTIFS(Override!$B$11:$B$40,$B280,Override!$D$11:$D$40,4,Override!$E$11:$E$40,"&gt;=0",Override!$C$11:$C$40,"AS51"))&gt;0,SUMIFS(Override!$E$11:$E$40,Override!$B$11:$B$40,$B280,Override!$D$11:$D$40,4)-SUMIFS(Override!$E$11:$E$40,Override!$B$11:$B$40,$B280,Override!$D$11:$D$40,4,Override!$C$11:$C$40,"AS51"),Override!$F$312)/MXAU!$B$3,"")))</f>
        <v/>
      </c>
      <c r="J280" s="140">
        <f>IF(J$226="","",IF($B280="","",IFERROR($C280*$D280*IF((Override!$C$4="ON")*(COUNTIFS(Override!$B$11:$B$40,$B280,Override!$D$11:$D$40,5,Override!$E$11:$E$40,"&gt;=0")-COUNTIFS(Override!$B$11:$B$40,$B280,Override!$D$11:$D$40,5,Override!$E$11:$E$40,"&gt;=0",Override!$C$11:$C$40,"AS51"))&gt;0,SUMIFS(Override!$E$11:$E$40,Override!$B$11:$B$40,$B280,Override!$D$11:$D$40,5)-SUMIFS(Override!$E$11:$E$40,Override!$B$11:$B$40,$B280,Override!$D$11:$D$40,5,Override!$C$11:$C$40,"AS51"),Override!$G$312)/MXAU!$B$3,"")))</f>
        <v/>
      </c>
      <c r="K280" s="140">
        <f>IF(K$226="","",IF($B280="","",IFERROR($C280*$D280*IF((Override!$C$4="ON")*(COUNTIFS(Override!$B$11:$B$40,$B280,Override!$D$11:$D$40,6,Override!$E$11:$E$40,"&gt;=0")-COUNTIFS(Override!$B$11:$B$40,$B280,Override!$D$11:$D$40,6,Override!$E$11:$E$40,"&gt;=0",Override!$C$11:$C$40,"AS51"))&gt;0,SUMIFS(Override!$E$11:$E$40,Override!$B$11:$B$40,$B280,Override!$D$11:$D$40,6)-SUMIFS(Override!$E$11:$E$40,Override!$B$11:$B$40,$B280,Override!$D$11:$D$40,6,Override!$C$11:$C$40,"AS51"),Override!$H$312)/MXAU!$B$3,"")))</f>
        <v/>
      </c>
      <c r="L280" s="140">
        <f>IF(L$226="","",IF($B280="","",IFERROR($C280*$D280*IF((Override!$C$4="ON")*(COUNTIFS(Override!$B$11:$B$40,$B280,Override!$D$11:$D$40,7,Override!$E$11:$E$40,"&gt;=0")-COUNTIFS(Override!$B$11:$B$40,$B280,Override!$D$11:$D$40,7,Override!$E$11:$E$40,"&gt;=0",Override!$C$11:$C$40,"AS51"))&gt;0,SUMIFS(Override!$E$11:$E$40,Override!$B$11:$B$40,$B280,Override!$D$11:$D$40,7)-SUMIFS(Override!$E$11:$E$40,Override!$B$11:$B$40,$B280,Override!$D$11:$D$40,7,Override!$C$11:$C$40,"AS51"),Override!$I$312)/MXAU!$B$3,"")))</f>
        <v/>
      </c>
      <c r="M280" s="140">
        <f>IF(M$226="","",IF($B280="","",IFERROR($C280*$D280*IF((Override!$C$4="ON")*(COUNTIFS(Override!$B$11:$B$40,$B280,Override!$D$11:$D$40,8,Override!$E$11:$E$40,"&gt;=0")-COUNTIFS(Override!$B$11:$B$40,$B280,Override!$D$11:$D$40,8,Override!$E$11:$E$40,"&gt;=0",Override!$C$11:$C$40,"AS51"))&gt;0,SUMIFS(Override!$E$11:$E$40,Override!$B$11:$B$40,$B280,Override!$D$11:$D$40,8)-SUMIFS(Override!$E$11:$E$40,Override!$B$11:$B$40,$B280,Override!$D$11:$D$40,8,Override!$C$11:$C$40,"AS51"),Override!$J$312)/MXAU!$B$3,"")))</f>
        <v/>
      </c>
      <c r="N280" s="140">
        <f>IF(N$226="","",IF($B280="","",IFERROR($C280*$D280*IF((Override!$C$4="ON")*(COUNTIFS(Override!$B$11:$B$40,$B280,Override!$D$11:$D$40,9,Override!$E$11:$E$40,"&gt;=0")-COUNTIFS(Override!$B$11:$B$40,$B280,Override!$D$11:$D$40,9,Override!$E$11:$E$40,"&gt;=0",Override!$C$11:$C$40,"AS51"))&gt;0,SUMIFS(Override!$E$11:$E$40,Override!$B$11:$B$40,$B280,Override!$D$11:$D$40,9)-SUMIFS(Override!$E$11:$E$40,Override!$B$11:$B$40,$B280,Override!$D$11:$D$40,9,Override!$C$11:$C$40,"AS51"),Override!$K$312)/MXAU!$B$3,"")))</f>
        <v/>
      </c>
      <c r="O280" s="140">
        <f>IF(O$226="","",IF($B280="","",IFERROR($C280*$D280*IF((Override!$C$4="ON")*(COUNTIFS(Override!$B$11:$B$40,$B280,Override!$D$11:$D$40,10,Override!$E$11:$E$40,"&gt;=0")-COUNTIFS(Override!$B$11:$B$40,$B280,Override!$D$11:$D$40,10,Override!$E$11:$E$40,"&gt;=0",Override!$C$11:$C$40,"AS51"))&gt;0,SUMIFS(Override!$E$11:$E$40,Override!$B$11:$B$40,$B280,Override!$D$11:$D$40,10)-SUMIFS(Override!$E$11:$E$40,Override!$B$11:$B$40,$B280,Override!$D$11:$D$40,10,Override!$C$11:$C$40,"AS51"),Override!$L$312)/MXAU!$B$3,"")))</f>
        <v/>
      </c>
      <c r="P280" s="140">
        <f>IF(P$226="","",IF($B280="","",IFERROR($C280*$D280*IF((Override!$C$4="ON")*(COUNTIFS(Override!$B$11:$B$40,$B280,Override!$D$11:$D$40,11,Override!$E$11:$E$40,"&gt;=0")-COUNTIFS(Override!$B$11:$B$40,$B280,Override!$D$11:$D$40,11,Override!$E$11:$E$40,"&gt;=0",Override!$C$11:$C$40,"AS51"))&gt;0,SUMIFS(Override!$E$11:$E$40,Override!$B$11:$B$40,$B280,Override!$D$11:$D$40,11)-SUMIFS(Override!$E$11:$E$40,Override!$B$11:$B$40,$B280,Override!$D$11:$D$40,11,Override!$C$11:$C$40,"AS51"),Override!$M$312)/MXAU!$B$3,"")))</f>
        <v/>
      </c>
      <c r="Q280" s="140">
        <f>IF(Q$226="","",IF($B280="","",IFERROR($C280*$D280*IF((Override!$C$4="ON")*(COUNTIFS(Override!$B$11:$B$40,$B280,Override!$D$11:$D$40,12,Override!$E$11:$E$40,"&gt;=0")-COUNTIFS(Override!$B$11:$B$40,$B280,Override!$D$11:$D$40,12,Override!$E$11:$E$40,"&gt;=0",Override!$C$11:$C$40,"AS51"))&gt;0,SUMIFS(Override!$E$11:$E$40,Override!$B$11:$B$40,$B280,Override!$D$11:$D$40,12)-SUMIFS(Override!$E$11:$E$40,Override!$B$11:$B$40,$B280,Override!$D$11:$D$40,12,Override!$C$11:$C$40,"AS51"),Override!$N$312)/MXAU!$B$3,"")))</f>
        <v/>
      </c>
      <c r="R280" s="140">
        <f>IF(R$226="","",IF($B280="","",IFERROR($C280*$D280*IF((Override!$C$4="ON")*(COUNTIFS(Override!$B$11:$B$40,$B280,Override!$D$11:$D$40,13,Override!$E$11:$E$40,"&gt;=0")-COUNTIFS(Override!$B$11:$B$40,$B280,Override!$D$11:$D$40,13,Override!$E$11:$E$40,"&gt;=0",Override!$C$11:$C$40,"AS51"))&gt;0,SUMIFS(Override!$E$11:$E$40,Override!$B$11:$B$40,$B280,Override!$D$11:$D$40,13)-SUMIFS(Override!$E$11:$E$40,Override!$B$11:$B$40,$B280,Override!$D$11:$D$40,13,Override!$C$11:$C$40,"AS51"),Override!$O$312)/MXAU!$B$3,"")))</f>
        <v/>
      </c>
      <c r="S280" s="140">
        <f>IF(S$226="","",IF($B280="","",IFERROR($C280*$D280*IF((Override!$C$4="ON")*(COUNTIFS(Override!$B$11:$B$40,$B280,Override!$D$11:$D$40,14,Override!$E$11:$E$40,"&gt;=0")-COUNTIFS(Override!$B$11:$B$40,$B280,Override!$D$11:$D$40,14,Override!$E$11:$E$40,"&gt;=0",Override!$C$11:$C$40,"AS51"))&gt;0,SUMIFS(Override!$E$11:$E$40,Override!$B$11:$B$40,$B280,Override!$D$11:$D$40,14)-SUMIFS(Override!$E$11:$E$40,Override!$B$11:$B$40,$B280,Override!$D$11:$D$40,14,Override!$C$11:$C$40,"AS51"),Override!$P$312)/MXAU!$B$3,"")))</f>
        <v/>
      </c>
      <c r="T280" s="140">
        <f>IF(T$226="","",IF($B280="","",IFERROR($C280*$D280*IF((Override!$C$4="ON")*(COUNTIFS(Override!$B$11:$B$40,$B280,Override!$D$11:$D$40,15,Override!$E$11:$E$40,"&gt;=0")-COUNTIFS(Override!$B$11:$B$40,$B280,Override!$D$11:$D$40,15,Override!$E$11:$E$40,"&gt;=0",Override!$C$11:$C$40,"AS51"))&gt;0,SUMIFS(Override!$E$11:$E$40,Override!$B$11:$B$40,$B280,Override!$D$11:$D$40,15)-SUMIFS(Override!$E$11:$E$40,Override!$B$11:$B$40,$B280,Override!$D$11:$D$40,15,Override!$C$11:$C$40,"AS51"),Override!$Q$312)/MXAU!$B$3,"")))</f>
        <v/>
      </c>
      <c r="U280" s="140">
        <f>IF(U$226="","",IF($B280="","",IFERROR($C280*$D280*IF((Override!$C$4="ON")*(COUNTIFS(Override!$B$11:$B$40,$B280,Override!$D$11:$D$40,16,Override!$E$11:$E$40,"&gt;=0")-COUNTIFS(Override!$B$11:$B$40,$B280,Override!$D$11:$D$40,16,Override!$E$11:$E$40,"&gt;=0",Override!$C$11:$C$40,"AS51"))&gt;0,SUMIFS(Override!$E$11:$E$40,Override!$B$11:$B$40,$B280,Override!$D$11:$D$40,16)-SUMIFS(Override!$E$11:$E$40,Override!$B$11:$B$40,$B280,Override!$D$11:$D$40,16,Override!$C$11:$C$40,"AS51"),Override!$R$312)/MXAU!$B$3,"")))</f>
        <v/>
      </c>
      <c r="W280" s="140">
        <f>IF(W$226="","",IF($B280="","",IFERROR(F280*$E280/100,"")))</f>
        <v/>
      </c>
      <c r="X280" s="140">
        <f>IF(X$226="","",IF($B280="","",IFERROR(G280*$E280/100,"")))</f>
        <v/>
      </c>
      <c r="Y280" s="140">
        <f>IF(Y$226="","",IF($B280="","",IFERROR(H280*$E280/100,"")))</f>
        <v/>
      </c>
      <c r="Z280" s="140">
        <f>IF(Z$226="","",IF($B280="","",IFERROR(I280*$E280/100,"")))</f>
        <v/>
      </c>
      <c r="AA280" s="140">
        <f>IF(AA$226="","",IF($B280="","",IFERROR(J280*$E280/100,"")))</f>
        <v/>
      </c>
      <c r="AB280" s="140">
        <f>IF(AB$226="","",IF($B280="","",IFERROR(K280*$E280/100,"")))</f>
        <v/>
      </c>
      <c r="AC280" s="140">
        <f>IF(AC$226="","",IF($B280="","",IFERROR(L280*$E280/100,"")))</f>
        <v/>
      </c>
      <c r="AD280" s="140">
        <f>IF(AD$226="","",IF($B280="","",IFERROR(M280*$E280/100,"")))</f>
        <v/>
      </c>
      <c r="AE280" s="140">
        <f>IF(AE$226="","",IF($B280="","",IFERROR(N280*$E280/100,"")))</f>
        <v/>
      </c>
      <c r="AF280" s="140">
        <f>IF(AF$226="","",IF($B280="","",IFERROR(O280*$E280/100,"")))</f>
        <v/>
      </c>
      <c r="AG280" s="140">
        <f>IF(AG$226="","",IF($B280="","",IFERROR(P280*$E280/100,"")))</f>
        <v/>
      </c>
      <c r="AH280" s="140">
        <f>IF(AH$226="","",IF($B280="","",IFERROR(Q280*$E280/100,"")))</f>
        <v/>
      </c>
      <c r="AI280" s="140">
        <f>IF(AI$226="","",IF($B280="","",IFERROR(R280*$E280/100,"")))</f>
        <v/>
      </c>
      <c r="AJ280" s="140">
        <f>IF(AJ$226="","",IF($B280="","",IFERROR(S280*$E280/100,"")))</f>
        <v/>
      </c>
      <c r="AK280" s="140">
        <f>IF(AK$226="","",IF($B280="","",IFERROR(T280*$E280/100,"")))</f>
        <v/>
      </c>
      <c r="AL280" s="140">
        <f>IF(AL$226="","",IF($B280="","",IFERROR(U280*$E280/100,"")))</f>
        <v/>
      </c>
      <c r="AN280" s="140">
        <f>IF($B280="","",SUMIF($F$226:$U$226,"&lt;="&amp;Sector!$E$51,$F280:$U280))</f>
        <v/>
      </c>
      <c r="AO280" s="140">
        <f>IF($B280="","",SUMIF($W$226:$AL$226,"&lt;="&amp;Sector!$E$51,$W280:$AL280))</f>
        <v/>
      </c>
    </row>
    <row r="281">
      <c r="B281" s="5">
        <f>IF(MXAU!$C$58="","",MXAU!$C$58)</f>
        <v/>
      </c>
      <c r="C281" s="90">
        <f>IF(MXAU!$B$58="","",MXAU!$B$58)</f>
        <v/>
      </c>
      <c r="D281" s="138">
        <f>IFERROR(MXAU!$Q$58,1)</f>
        <v/>
      </c>
      <c r="E281" s="139">
        <f>IF($B281="","",IF(ISNUMBER(MXAU!$I$58),MXAU!$I$58,'Index Summary'!$C$7))</f>
        <v/>
      </c>
      <c r="F281" s="140">
        <f>IF(F$226="","",IF($B281="","",IFERROR($C281*$D281*IF((Override!$C$4="ON")*(COUNTIFS(Override!$B$11:$B$40,$B281,Override!$D$11:$D$40,1,Override!$E$11:$E$40,"&gt;=0")-COUNTIFS(Override!$B$11:$B$40,$B281,Override!$D$11:$D$40,1,Override!$E$11:$E$40,"&gt;=0",Override!$C$11:$C$40,"AS51"))&gt;0,SUMIFS(Override!$E$11:$E$40,Override!$B$11:$B$40,$B281,Override!$D$11:$D$40,1)-SUMIFS(Override!$E$11:$E$40,Override!$B$11:$B$40,$B281,Override!$D$11:$D$40,1,Override!$C$11:$C$40,"AS51"),Override!$C$313)/MXAU!$B$3,"")))</f>
        <v/>
      </c>
      <c r="G281" s="140">
        <f>IF(G$226="","",IF($B281="","",IFERROR($C281*$D281*IF((Override!$C$4="ON")*(COUNTIFS(Override!$B$11:$B$40,$B281,Override!$D$11:$D$40,2,Override!$E$11:$E$40,"&gt;=0")-COUNTIFS(Override!$B$11:$B$40,$B281,Override!$D$11:$D$40,2,Override!$E$11:$E$40,"&gt;=0",Override!$C$11:$C$40,"AS51"))&gt;0,SUMIFS(Override!$E$11:$E$40,Override!$B$11:$B$40,$B281,Override!$D$11:$D$40,2)-SUMIFS(Override!$E$11:$E$40,Override!$B$11:$B$40,$B281,Override!$D$11:$D$40,2,Override!$C$11:$C$40,"AS51"),Override!$D$313)/MXAU!$B$3,"")))</f>
        <v/>
      </c>
      <c r="H281" s="140">
        <f>IF(H$226="","",IF($B281="","",IFERROR($C281*$D281*IF((Override!$C$4="ON")*(COUNTIFS(Override!$B$11:$B$40,$B281,Override!$D$11:$D$40,3,Override!$E$11:$E$40,"&gt;=0")-COUNTIFS(Override!$B$11:$B$40,$B281,Override!$D$11:$D$40,3,Override!$E$11:$E$40,"&gt;=0",Override!$C$11:$C$40,"AS51"))&gt;0,SUMIFS(Override!$E$11:$E$40,Override!$B$11:$B$40,$B281,Override!$D$11:$D$40,3)-SUMIFS(Override!$E$11:$E$40,Override!$B$11:$B$40,$B281,Override!$D$11:$D$40,3,Override!$C$11:$C$40,"AS51"),Override!$E$313)/MXAU!$B$3,"")))</f>
        <v/>
      </c>
      <c r="I281" s="140">
        <f>IF(I$226="","",IF($B281="","",IFERROR($C281*$D281*IF((Override!$C$4="ON")*(COUNTIFS(Override!$B$11:$B$40,$B281,Override!$D$11:$D$40,4,Override!$E$11:$E$40,"&gt;=0")-COUNTIFS(Override!$B$11:$B$40,$B281,Override!$D$11:$D$40,4,Override!$E$11:$E$40,"&gt;=0",Override!$C$11:$C$40,"AS51"))&gt;0,SUMIFS(Override!$E$11:$E$40,Override!$B$11:$B$40,$B281,Override!$D$11:$D$40,4)-SUMIFS(Override!$E$11:$E$40,Override!$B$11:$B$40,$B281,Override!$D$11:$D$40,4,Override!$C$11:$C$40,"AS51"),Override!$F$313)/MXAU!$B$3,"")))</f>
        <v/>
      </c>
      <c r="J281" s="140">
        <f>IF(J$226="","",IF($B281="","",IFERROR($C281*$D281*IF((Override!$C$4="ON")*(COUNTIFS(Override!$B$11:$B$40,$B281,Override!$D$11:$D$40,5,Override!$E$11:$E$40,"&gt;=0")-COUNTIFS(Override!$B$11:$B$40,$B281,Override!$D$11:$D$40,5,Override!$E$11:$E$40,"&gt;=0",Override!$C$11:$C$40,"AS51"))&gt;0,SUMIFS(Override!$E$11:$E$40,Override!$B$11:$B$40,$B281,Override!$D$11:$D$40,5)-SUMIFS(Override!$E$11:$E$40,Override!$B$11:$B$40,$B281,Override!$D$11:$D$40,5,Override!$C$11:$C$40,"AS51"),Override!$G$313)/MXAU!$B$3,"")))</f>
        <v/>
      </c>
      <c r="K281" s="140">
        <f>IF(K$226="","",IF($B281="","",IFERROR($C281*$D281*IF((Override!$C$4="ON")*(COUNTIFS(Override!$B$11:$B$40,$B281,Override!$D$11:$D$40,6,Override!$E$11:$E$40,"&gt;=0")-COUNTIFS(Override!$B$11:$B$40,$B281,Override!$D$11:$D$40,6,Override!$E$11:$E$40,"&gt;=0",Override!$C$11:$C$40,"AS51"))&gt;0,SUMIFS(Override!$E$11:$E$40,Override!$B$11:$B$40,$B281,Override!$D$11:$D$40,6)-SUMIFS(Override!$E$11:$E$40,Override!$B$11:$B$40,$B281,Override!$D$11:$D$40,6,Override!$C$11:$C$40,"AS51"),Override!$H$313)/MXAU!$B$3,"")))</f>
        <v/>
      </c>
      <c r="L281" s="140">
        <f>IF(L$226="","",IF($B281="","",IFERROR($C281*$D281*IF((Override!$C$4="ON")*(COUNTIFS(Override!$B$11:$B$40,$B281,Override!$D$11:$D$40,7,Override!$E$11:$E$40,"&gt;=0")-COUNTIFS(Override!$B$11:$B$40,$B281,Override!$D$11:$D$40,7,Override!$E$11:$E$40,"&gt;=0",Override!$C$11:$C$40,"AS51"))&gt;0,SUMIFS(Override!$E$11:$E$40,Override!$B$11:$B$40,$B281,Override!$D$11:$D$40,7)-SUMIFS(Override!$E$11:$E$40,Override!$B$11:$B$40,$B281,Override!$D$11:$D$40,7,Override!$C$11:$C$40,"AS51"),Override!$I$313)/MXAU!$B$3,"")))</f>
        <v/>
      </c>
      <c r="M281" s="140">
        <f>IF(M$226="","",IF($B281="","",IFERROR($C281*$D281*IF((Override!$C$4="ON")*(COUNTIFS(Override!$B$11:$B$40,$B281,Override!$D$11:$D$40,8,Override!$E$11:$E$40,"&gt;=0")-COUNTIFS(Override!$B$11:$B$40,$B281,Override!$D$11:$D$40,8,Override!$E$11:$E$40,"&gt;=0",Override!$C$11:$C$40,"AS51"))&gt;0,SUMIFS(Override!$E$11:$E$40,Override!$B$11:$B$40,$B281,Override!$D$11:$D$40,8)-SUMIFS(Override!$E$11:$E$40,Override!$B$11:$B$40,$B281,Override!$D$11:$D$40,8,Override!$C$11:$C$40,"AS51"),Override!$J$313)/MXAU!$B$3,"")))</f>
        <v/>
      </c>
      <c r="N281" s="140">
        <f>IF(N$226="","",IF($B281="","",IFERROR($C281*$D281*IF((Override!$C$4="ON")*(COUNTIFS(Override!$B$11:$B$40,$B281,Override!$D$11:$D$40,9,Override!$E$11:$E$40,"&gt;=0")-COUNTIFS(Override!$B$11:$B$40,$B281,Override!$D$11:$D$40,9,Override!$E$11:$E$40,"&gt;=0",Override!$C$11:$C$40,"AS51"))&gt;0,SUMIFS(Override!$E$11:$E$40,Override!$B$11:$B$40,$B281,Override!$D$11:$D$40,9)-SUMIFS(Override!$E$11:$E$40,Override!$B$11:$B$40,$B281,Override!$D$11:$D$40,9,Override!$C$11:$C$40,"AS51"),Override!$K$313)/MXAU!$B$3,"")))</f>
        <v/>
      </c>
      <c r="O281" s="140">
        <f>IF(O$226="","",IF($B281="","",IFERROR($C281*$D281*IF((Override!$C$4="ON")*(COUNTIFS(Override!$B$11:$B$40,$B281,Override!$D$11:$D$40,10,Override!$E$11:$E$40,"&gt;=0")-COUNTIFS(Override!$B$11:$B$40,$B281,Override!$D$11:$D$40,10,Override!$E$11:$E$40,"&gt;=0",Override!$C$11:$C$40,"AS51"))&gt;0,SUMIFS(Override!$E$11:$E$40,Override!$B$11:$B$40,$B281,Override!$D$11:$D$40,10)-SUMIFS(Override!$E$11:$E$40,Override!$B$11:$B$40,$B281,Override!$D$11:$D$40,10,Override!$C$11:$C$40,"AS51"),Override!$L$313)/MXAU!$B$3,"")))</f>
        <v/>
      </c>
      <c r="P281" s="140">
        <f>IF(P$226="","",IF($B281="","",IFERROR($C281*$D281*IF((Override!$C$4="ON")*(COUNTIFS(Override!$B$11:$B$40,$B281,Override!$D$11:$D$40,11,Override!$E$11:$E$40,"&gt;=0")-COUNTIFS(Override!$B$11:$B$40,$B281,Override!$D$11:$D$40,11,Override!$E$11:$E$40,"&gt;=0",Override!$C$11:$C$40,"AS51"))&gt;0,SUMIFS(Override!$E$11:$E$40,Override!$B$11:$B$40,$B281,Override!$D$11:$D$40,11)-SUMIFS(Override!$E$11:$E$40,Override!$B$11:$B$40,$B281,Override!$D$11:$D$40,11,Override!$C$11:$C$40,"AS51"),Override!$M$313)/MXAU!$B$3,"")))</f>
        <v/>
      </c>
      <c r="Q281" s="140">
        <f>IF(Q$226="","",IF($B281="","",IFERROR($C281*$D281*IF((Override!$C$4="ON")*(COUNTIFS(Override!$B$11:$B$40,$B281,Override!$D$11:$D$40,12,Override!$E$11:$E$40,"&gt;=0")-COUNTIFS(Override!$B$11:$B$40,$B281,Override!$D$11:$D$40,12,Override!$E$11:$E$40,"&gt;=0",Override!$C$11:$C$40,"AS51"))&gt;0,SUMIFS(Override!$E$11:$E$40,Override!$B$11:$B$40,$B281,Override!$D$11:$D$40,12)-SUMIFS(Override!$E$11:$E$40,Override!$B$11:$B$40,$B281,Override!$D$11:$D$40,12,Override!$C$11:$C$40,"AS51"),Override!$N$313)/MXAU!$B$3,"")))</f>
        <v/>
      </c>
      <c r="R281" s="140">
        <f>IF(R$226="","",IF($B281="","",IFERROR($C281*$D281*IF((Override!$C$4="ON")*(COUNTIFS(Override!$B$11:$B$40,$B281,Override!$D$11:$D$40,13,Override!$E$11:$E$40,"&gt;=0")-COUNTIFS(Override!$B$11:$B$40,$B281,Override!$D$11:$D$40,13,Override!$E$11:$E$40,"&gt;=0",Override!$C$11:$C$40,"AS51"))&gt;0,SUMIFS(Override!$E$11:$E$40,Override!$B$11:$B$40,$B281,Override!$D$11:$D$40,13)-SUMIFS(Override!$E$11:$E$40,Override!$B$11:$B$40,$B281,Override!$D$11:$D$40,13,Override!$C$11:$C$40,"AS51"),Override!$O$313)/MXAU!$B$3,"")))</f>
        <v/>
      </c>
      <c r="S281" s="140">
        <f>IF(S$226="","",IF($B281="","",IFERROR($C281*$D281*IF((Override!$C$4="ON")*(COUNTIFS(Override!$B$11:$B$40,$B281,Override!$D$11:$D$40,14,Override!$E$11:$E$40,"&gt;=0")-COUNTIFS(Override!$B$11:$B$40,$B281,Override!$D$11:$D$40,14,Override!$E$11:$E$40,"&gt;=0",Override!$C$11:$C$40,"AS51"))&gt;0,SUMIFS(Override!$E$11:$E$40,Override!$B$11:$B$40,$B281,Override!$D$11:$D$40,14)-SUMIFS(Override!$E$11:$E$40,Override!$B$11:$B$40,$B281,Override!$D$11:$D$40,14,Override!$C$11:$C$40,"AS51"),Override!$P$313)/MXAU!$B$3,"")))</f>
        <v/>
      </c>
      <c r="T281" s="140">
        <f>IF(T$226="","",IF($B281="","",IFERROR($C281*$D281*IF((Override!$C$4="ON")*(COUNTIFS(Override!$B$11:$B$40,$B281,Override!$D$11:$D$40,15,Override!$E$11:$E$40,"&gt;=0")-COUNTIFS(Override!$B$11:$B$40,$B281,Override!$D$11:$D$40,15,Override!$E$11:$E$40,"&gt;=0",Override!$C$11:$C$40,"AS51"))&gt;0,SUMIFS(Override!$E$11:$E$40,Override!$B$11:$B$40,$B281,Override!$D$11:$D$40,15)-SUMIFS(Override!$E$11:$E$40,Override!$B$11:$B$40,$B281,Override!$D$11:$D$40,15,Override!$C$11:$C$40,"AS51"),Override!$Q$313)/MXAU!$B$3,"")))</f>
        <v/>
      </c>
      <c r="U281" s="140">
        <f>IF(U$226="","",IF($B281="","",IFERROR($C281*$D281*IF((Override!$C$4="ON")*(COUNTIFS(Override!$B$11:$B$40,$B281,Override!$D$11:$D$40,16,Override!$E$11:$E$40,"&gt;=0")-COUNTIFS(Override!$B$11:$B$40,$B281,Override!$D$11:$D$40,16,Override!$E$11:$E$40,"&gt;=0",Override!$C$11:$C$40,"AS51"))&gt;0,SUMIFS(Override!$E$11:$E$40,Override!$B$11:$B$40,$B281,Override!$D$11:$D$40,16)-SUMIFS(Override!$E$11:$E$40,Override!$B$11:$B$40,$B281,Override!$D$11:$D$40,16,Override!$C$11:$C$40,"AS51"),Override!$R$313)/MXAU!$B$3,"")))</f>
        <v/>
      </c>
      <c r="W281" s="140">
        <f>IF(W$226="","",IF($B281="","",IFERROR(F281*$E281/100,"")))</f>
        <v/>
      </c>
      <c r="X281" s="140">
        <f>IF(X$226="","",IF($B281="","",IFERROR(G281*$E281/100,"")))</f>
        <v/>
      </c>
      <c r="Y281" s="140">
        <f>IF(Y$226="","",IF($B281="","",IFERROR(H281*$E281/100,"")))</f>
        <v/>
      </c>
      <c r="Z281" s="140">
        <f>IF(Z$226="","",IF($B281="","",IFERROR(I281*$E281/100,"")))</f>
        <v/>
      </c>
      <c r="AA281" s="140">
        <f>IF(AA$226="","",IF($B281="","",IFERROR(J281*$E281/100,"")))</f>
        <v/>
      </c>
      <c r="AB281" s="140">
        <f>IF(AB$226="","",IF($B281="","",IFERROR(K281*$E281/100,"")))</f>
        <v/>
      </c>
      <c r="AC281" s="140">
        <f>IF(AC$226="","",IF($B281="","",IFERROR(L281*$E281/100,"")))</f>
        <v/>
      </c>
      <c r="AD281" s="140">
        <f>IF(AD$226="","",IF($B281="","",IFERROR(M281*$E281/100,"")))</f>
        <v/>
      </c>
      <c r="AE281" s="140">
        <f>IF(AE$226="","",IF($B281="","",IFERROR(N281*$E281/100,"")))</f>
        <v/>
      </c>
      <c r="AF281" s="140">
        <f>IF(AF$226="","",IF($B281="","",IFERROR(O281*$E281/100,"")))</f>
        <v/>
      </c>
      <c r="AG281" s="140">
        <f>IF(AG$226="","",IF($B281="","",IFERROR(P281*$E281/100,"")))</f>
        <v/>
      </c>
      <c r="AH281" s="140">
        <f>IF(AH$226="","",IF($B281="","",IFERROR(Q281*$E281/100,"")))</f>
        <v/>
      </c>
      <c r="AI281" s="140">
        <f>IF(AI$226="","",IF($B281="","",IFERROR(R281*$E281/100,"")))</f>
        <v/>
      </c>
      <c r="AJ281" s="140">
        <f>IF(AJ$226="","",IF($B281="","",IFERROR(S281*$E281/100,"")))</f>
        <v/>
      </c>
      <c r="AK281" s="140">
        <f>IF(AK$226="","",IF($B281="","",IFERROR(T281*$E281/100,"")))</f>
        <v/>
      </c>
      <c r="AL281" s="140">
        <f>IF(AL$226="","",IF($B281="","",IFERROR(U281*$E281/100,"")))</f>
        <v/>
      </c>
      <c r="AN281" s="140">
        <f>IF($B281="","",SUMIF($F$226:$U$226,"&lt;="&amp;Sector!$E$51,$F281:$U281))</f>
        <v/>
      </c>
      <c r="AO281" s="140">
        <f>IF($B281="","",SUMIF($W$226:$AL$226,"&lt;="&amp;Sector!$E$51,$W281:$AL281))</f>
        <v/>
      </c>
    </row>
    <row r="282">
      <c r="B282" s="5">
        <f>IF(MXAU!$C$59="","",MXAU!$C$59)</f>
        <v/>
      </c>
      <c r="C282" s="90">
        <f>IF(MXAU!$B$59="","",MXAU!$B$59)</f>
        <v/>
      </c>
      <c r="D282" s="138">
        <f>IFERROR(MXAU!$Q$59,1)</f>
        <v/>
      </c>
      <c r="E282" s="139">
        <f>IF($B282="","",IF(ISNUMBER(MXAU!$I$59),MXAU!$I$59,'Index Summary'!$C$7))</f>
        <v/>
      </c>
      <c r="F282" s="140">
        <f>IF(F$226="","",IF($B282="","",IFERROR($C282*$D282*IF((Override!$C$4="ON")*(COUNTIFS(Override!$B$11:$B$40,$B282,Override!$D$11:$D$40,1,Override!$E$11:$E$40,"&gt;=0")-COUNTIFS(Override!$B$11:$B$40,$B282,Override!$D$11:$D$40,1,Override!$E$11:$E$40,"&gt;=0",Override!$C$11:$C$40,"AS51"))&gt;0,SUMIFS(Override!$E$11:$E$40,Override!$B$11:$B$40,$B282,Override!$D$11:$D$40,1)-SUMIFS(Override!$E$11:$E$40,Override!$B$11:$B$40,$B282,Override!$D$11:$D$40,1,Override!$C$11:$C$40,"AS51"),Override!$C$314)/MXAU!$B$3,"")))</f>
        <v/>
      </c>
      <c r="G282" s="140">
        <f>IF(G$226="","",IF($B282="","",IFERROR($C282*$D282*IF((Override!$C$4="ON")*(COUNTIFS(Override!$B$11:$B$40,$B282,Override!$D$11:$D$40,2,Override!$E$11:$E$40,"&gt;=0")-COUNTIFS(Override!$B$11:$B$40,$B282,Override!$D$11:$D$40,2,Override!$E$11:$E$40,"&gt;=0",Override!$C$11:$C$40,"AS51"))&gt;0,SUMIFS(Override!$E$11:$E$40,Override!$B$11:$B$40,$B282,Override!$D$11:$D$40,2)-SUMIFS(Override!$E$11:$E$40,Override!$B$11:$B$40,$B282,Override!$D$11:$D$40,2,Override!$C$11:$C$40,"AS51"),Override!$D$314)/MXAU!$B$3,"")))</f>
        <v/>
      </c>
      <c r="H282" s="140">
        <f>IF(H$226="","",IF($B282="","",IFERROR($C282*$D282*IF((Override!$C$4="ON")*(COUNTIFS(Override!$B$11:$B$40,$B282,Override!$D$11:$D$40,3,Override!$E$11:$E$40,"&gt;=0")-COUNTIFS(Override!$B$11:$B$40,$B282,Override!$D$11:$D$40,3,Override!$E$11:$E$40,"&gt;=0",Override!$C$11:$C$40,"AS51"))&gt;0,SUMIFS(Override!$E$11:$E$40,Override!$B$11:$B$40,$B282,Override!$D$11:$D$40,3)-SUMIFS(Override!$E$11:$E$40,Override!$B$11:$B$40,$B282,Override!$D$11:$D$40,3,Override!$C$11:$C$40,"AS51"),Override!$E$314)/MXAU!$B$3,"")))</f>
        <v/>
      </c>
      <c r="I282" s="140">
        <f>IF(I$226="","",IF($B282="","",IFERROR($C282*$D282*IF((Override!$C$4="ON")*(COUNTIFS(Override!$B$11:$B$40,$B282,Override!$D$11:$D$40,4,Override!$E$11:$E$40,"&gt;=0")-COUNTIFS(Override!$B$11:$B$40,$B282,Override!$D$11:$D$40,4,Override!$E$11:$E$40,"&gt;=0",Override!$C$11:$C$40,"AS51"))&gt;0,SUMIFS(Override!$E$11:$E$40,Override!$B$11:$B$40,$B282,Override!$D$11:$D$40,4)-SUMIFS(Override!$E$11:$E$40,Override!$B$11:$B$40,$B282,Override!$D$11:$D$40,4,Override!$C$11:$C$40,"AS51"),Override!$F$314)/MXAU!$B$3,"")))</f>
        <v/>
      </c>
      <c r="J282" s="140">
        <f>IF(J$226="","",IF($B282="","",IFERROR($C282*$D282*IF((Override!$C$4="ON")*(COUNTIFS(Override!$B$11:$B$40,$B282,Override!$D$11:$D$40,5,Override!$E$11:$E$40,"&gt;=0")-COUNTIFS(Override!$B$11:$B$40,$B282,Override!$D$11:$D$40,5,Override!$E$11:$E$40,"&gt;=0",Override!$C$11:$C$40,"AS51"))&gt;0,SUMIFS(Override!$E$11:$E$40,Override!$B$11:$B$40,$B282,Override!$D$11:$D$40,5)-SUMIFS(Override!$E$11:$E$40,Override!$B$11:$B$40,$B282,Override!$D$11:$D$40,5,Override!$C$11:$C$40,"AS51"),Override!$G$314)/MXAU!$B$3,"")))</f>
        <v/>
      </c>
      <c r="K282" s="140">
        <f>IF(K$226="","",IF($B282="","",IFERROR($C282*$D282*IF((Override!$C$4="ON")*(COUNTIFS(Override!$B$11:$B$40,$B282,Override!$D$11:$D$40,6,Override!$E$11:$E$40,"&gt;=0")-COUNTIFS(Override!$B$11:$B$40,$B282,Override!$D$11:$D$40,6,Override!$E$11:$E$40,"&gt;=0",Override!$C$11:$C$40,"AS51"))&gt;0,SUMIFS(Override!$E$11:$E$40,Override!$B$11:$B$40,$B282,Override!$D$11:$D$40,6)-SUMIFS(Override!$E$11:$E$40,Override!$B$11:$B$40,$B282,Override!$D$11:$D$40,6,Override!$C$11:$C$40,"AS51"),Override!$H$314)/MXAU!$B$3,"")))</f>
        <v/>
      </c>
      <c r="L282" s="140">
        <f>IF(L$226="","",IF($B282="","",IFERROR($C282*$D282*IF((Override!$C$4="ON")*(COUNTIFS(Override!$B$11:$B$40,$B282,Override!$D$11:$D$40,7,Override!$E$11:$E$40,"&gt;=0")-COUNTIFS(Override!$B$11:$B$40,$B282,Override!$D$11:$D$40,7,Override!$E$11:$E$40,"&gt;=0",Override!$C$11:$C$40,"AS51"))&gt;0,SUMIFS(Override!$E$11:$E$40,Override!$B$11:$B$40,$B282,Override!$D$11:$D$40,7)-SUMIFS(Override!$E$11:$E$40,Override!$B$11:$B$40,$B282,Override!$D$11:$D$40,7,Override!$C$11:$C$40,"AS51"),Override!$I$314)/MXAU!$B$3,"")))</f>
        <v/>
      </c>
      <c r="M282" s="140">
        <f>IF(M$226="","",IF($B282="","",IFERROR($C282*$D282*IF((Override!$C$4="ON")*(COUNTIFS(Override!$B$11:$B$40,$B282,Override!$D$11:$D$40,8,Override!$E$11:$E$40,"&gt;=0")-COUNTIFS(Override!$B$11:$B$40,$B282,Override!$D$11:$D$40,8,Override!$E$11:$E$40,"&gt;=0",Override!$C$11:$C$40,"AS51"))&gt;0,SUMIFS(Override!$E$11:$E$40,Override!$B$11:$B$40,$B282,Override!$D$11:$D$40,8)-SUMIFS(Override!$E$11:$E$40,Override!$B$11:$B$40,$B282,Override!$D$11:$D$40,8,Override!$C$11:$C$40,"AS51"),Override!$J$314)/MXAU!$B$3,"")))</f>
        <v/>
      </c>
      <c r="N282" s="140">
        <f>IF(N$226="","",IF($B282="","",IFERROR($C282*$D282*IF((Override!$C$4="ON")*(COUNTIFS(Override!$B$11:$B$40,$B282,Override!$D$11:$D$40,9,Override!$E$11:$E$40,"&gt;=0")-COUNTIFS(Override!$B$11:$B$40,$B282,Override!$D$11:$D$40,9,Override!$E$11:$E$40,"&gt;=0",Override!$C$11:$C$40,"AS51"))&gt;0,SUMIFS(Override!$E$11:$E$40,Override!$B$11:$B$40,$B282,Override!$D$11:$D$40,9)-SUMIFS(Override!$E$11:$E$40,Override!$B$11:$B$40,$B282,Override!$D$11:$D$40,9,Override!$C$11:$C$40,"AS51"),Override!$K$314)/MXAU!$B$3,"")))</f>
        <v/>
      </c>
      <c r="O282" s="140">
        <f>IF(O$226="","",IF($B282="","",IFERROR($C282*$D282*IF((Override!$C$4="ON")*(COUNTIFS(Override!$B$11:$B$40,$B282,Override!$D$11:$D$40,10,Override!$E$11:$E$40,"&gt;=0")-COUNTIFS(Override!$B$11:$B$40,$B282,Override!$D$11:$D$40,10,Override!$E$11:$E$40,"&gt;=0",Override!$C$11:$C$40,"AS51"))&gt;0,SUMIFS(Override!$E$11:$E$40,Override!$B$11:$B$40,$B282,Override!$D$11:$D$40,10)-SUMIFS(Override!$E$11:$E$40,Override!$B$11:$B$40,$B282,Override!$D$11:$D$40,10,Override!$C$11:$C$40,"AS51"),Override!$L$314)/MXAU!$B$3,"")))</f>
        <v/>
      </c>
      <c r="P282" s="140">
        <f>IF(P$226="","",IF($B282="","",IFERROR($C282*$D282*IF((Override!$C$4="ON")*(COUNTIFS(Override!$B$11:$B$40,$B282,Override!$D$11:$D$40,11,Override!$E$11:$E$40,"&gt;=0")-COUNTIFS(Override!$B$11:$B$40,$B282,Override!$D$11:$D$40,11,Override!$E$11:$E$40,"&gt;=0",Override!$C$11:$C$40,"AS51"))&gt;0,SUMIFS(Override!$E$11:$E$40,Override!$B$11:$B$40,$B282,Override!$D$11:$D$40,11)-SUMIFS(Override!$E$11:$E$40,Override!$B$11:$B$40,$B282,Override!$D$11:$D$40,11,Override!$C$11:$C$40,"AS51"),Override!$M$314)/MXAU!$B$3,"")))</f>
        <v/>
      </c>
      <c r="Q282" s="140">
        <f>IF(Q$226="","",IF($B282="","",IFERROR($C282*$D282*IF((Override!$C$4="ON")*(COUNTIFS(Override!$B$11:$B$40,$B282,Override!$D$11:$D$40,12,Override!$E$11:$E$40,"&gt;=0")-COUNTIFS(Override!$B$11:$B$40,$B282,Override!$D$11:$D$40,12,Override!$E$11:$E$40,"&gt;=0",Override!$C$11:$C$40,"AS51"))&gt;0,SUMIFS(Override!$E$11:$E$40,Override!$B$11:$B$40,$B282,Override!$D$11:$D$40,12)-SUMIFS(Override!$E$11:$E$40,Override!$B$11:$B$40,$B282,Override!$D$11:$D$40,12,Override!$C$11:$C$40,"AS51"),Override!$N$314)/MXAU!$B$3,"")))</f>
        <v/>
      </c>
      <c r="R282" s="140">
        <f>IF(R$226="","",IF($B282="","",IFERROR($C282*$D282*IF((Override!$C$4="ON")*(COUNTIFS(Override!$B$11:$B$40,$B282,Override!$D$11:$D$40,13,Override!$E$11:$E$40,"&gt;=0")-COUNTIFS(Override!$B$11:$B$40,$B282,Override!$D$11:$D$40,13,Override!$E$11:$E$40,"&gt;=0",Override!$C$11:$C$40,"AS51"))&gt;0,SUMIFS(Override!$E$11:$E$40,Override!$B$11:$B$40,$B282,Override!$D$11:$D$40,13)-SUMIFS(Override!$E$11:$E$40,Override!$B$11:$B$40,$B282,Override!$D$11:$D$40,13,Override!$C$11:$C$40,"AS51"),Override!$O$314)/MXAU!$B$3,"")))</f>
        <v/>
      </c>
      <c r="S282" s="140">
        <f>IF(S$226="","",IF($B282="","",IFERROR($C282*$D282*IF((Override!$C$4="ON")*(COUNTIFS(Override!$B$11:$B$40,$B282,Override!$D$11:$D$40,14,Override!$E$11:$E$40,"&gt;=0")-COUNTIFS(Override!$B$11:$B$40,$B282,Override!$D$11:$D$40,14,Override!$E$11:$E$40,"&gt;=0",Override!$C$11:$C$40,"AS51"))&gt;0,SUMIFS(Override!$E$11:$E$40,Override!$B$11:$B$40,$B282,Override!$D$11:$D$40,14)-SUMIFS(Override!$E$11:$E$40,Override!$B$11:$B$40,$B282,Override!$D$11:$D$40,14,Override!$C$11:$C$40,"AS51"),Override!$P$314)/MXAU!$B$3,"")))</f>
        <v/>
      </c>
      <c r="T282" s="140">
        <f>IF(T$226="","",IF($B282="","",IFERROR($C282*$D282*IF((Override!$C$4="ON")*(COUNTIFS(Override!$B$11:$B$40,$B282,Override!$D$11:$D$40,15,Override!$E$11:$E$40,"&gt;=0")-COUNTIFS(Override!$B$11:$B$40,$B282,Override!$D$11:$D$40,15,Override!$E$11:$E$40,"&gt;=0",Override!$C$11:$C$40,"AS51"))&gt;0,SUMIFS(Override!$E$11:$E$40,Override!$B$11:$B$40,$B282,Override!$D$11:$D$40,15)-SUMIFS(Override!$E$11:$E$40,Override!$B$11:$B$40,$B282,Override!$D$11:$D$40,15,Override!$C$11:$C$40,"AS51"),Override!$Q$314)/MXAU!$B$3,"")))</f>
        <v/>
      </c>
      <c r="U282" s="140">
        <f>IF(U$226="","",IF($B282="","",IFERROR($C282*$D282*IF((Override!$C$4="ON")*(COUNTIFS(Override!$B$11:$B$40,$B282,Override!$D$11:$D$40,16,Override!$E$11:$E$40,"&gt;=0")-COUNTIFS(Override!$B$11:$B$40,$B282,Override!$D$11:$D$40,16,Override!$E$11:$E$40,"&gt;=0",Override!$C$11:$C$40,"AS51"))&gt;0,SUMIFS(Override!$E$11:$E$40,Override!$B$11:$B$40,$B282,Override!$D$11:$D$40,16)-SUMIFS(Override!$E$11:$E$40,Override!$B$11:$B$40,$B282,Override!$D$11:$D$40,16,Override!$C$11:$C$40,"AS51"),Override!$R$314)/MXAU!$B$3,"")))</f>
        <v/>
      </c>
      <c r="W282" s="140">
        <f>IF(W$226="","",IF($B282="","",IFERROR(F282*$E282/100,"")))</f>
        <v/>
      </c>
      <c r="X282" s="140">
        <f>IF(X$226="","",IF($B282="","",IFERROR(G282*$E282/100,"")))</f>
        <v/>
      </c>
      <c r="Y282" s="140">
        <f>IF(Y$226="","",IF($B282="","",IFERROR(H282*$E282/100,"")))</f>
        <v/>
      </c>
      <c r="Z282" s="140">
        <f>IF(Z$226="","",IF($B282="","",IFERROR(I282*$E282/100,"")))</f>
        <v/>
      </c>
      <c r="AA282" s="140">
        <f>IF(AA$226="","",IF($B282="","",IFERROR(J282*$E282/100,"")))</f>
        <v/>
      </c>
      <c r="AB282" s="140">
        <f>IF(AB$226="","",IF($B282="","",IFERROR(K282*$E282/100,"")))</f>
        <v/>
      </c>
      <c r="AC282" s="140">
        <f>IF(AC$226="","",IF($B282="","",IFERROR(L282*$E282/100,"")))</f>
        <v/>
      </c>
      <c r="AD282" s="140">
        <f>IF(AD$226="","",IF($B282="","",IFERROR(M282*$E282/100,"")))</f>
        <v/>
      </c>
      <c r="AE282" s="140">
        <f>IF(AE$226="","",IF($B282="","",IFERROR(N282*$E282/100,"")))</f>
        <v/>
      </c>
      <c r="AF282" s="140">
        <f>IF(AF$226="","",IF($B282="","",IFERROR(O282*$E282/100,"")))</f>
        <v/>
      </c>
      <c r="AG282" s="140">
        <f>IF(AG$226="","",IF($B282="","",IFERROR(P282*$E282/100,"")))</f>
        <v/>
      </c>
      <c r="AH282" s="140">
        <f>IF(AH$226="","",IF($B282="","",IFERROR(Q282*$E282/100,"")))</f>
        <v/>
      </c>
      <c r="AI282" s="140">
        <f>IF(AI$226="","",IF($B282="","",IFERROR(R282*$E282/100,"")))</f>
        <v/>
      </c>
      <c r="AJ282" s="140">
        <f>IF(AJ$226="","",IF($B282="","",IFERROR(S282*$E282/100,"")))</f>
        <v/>
      </c>
      <c r="AK282" s="140">
        <f>IF(AK$226="","",IF($B282="","",IFERROR(T282*$E282/100,"")))</f>
        <v/>
      </c>
      <c r="AL282" s="140">
        <f>IF(AL$226="","",IF($B282="","",IFERROR(U282*$E282/100,"")))</f>
        <v/>
      </c>
      <c r="AN282" s="140">
        <f>IF($B282="","",SUMIF($F$226:$U$226,"&lt;="&amp;Sector!$E$51,$F282:$U282))</f>
        <v/>
      </c>
      <c r="AO282" s="140">
        <f>IF($B282="","",SUMIF($W$226:$AL$226,"&lt;="&amp;Sector!$E$51,$W282:$AL282))</f>
        <v/>
      </c>
    </row>
    <row r="283">
      <c r="B283" s="5">
        <f>IF(MXAU!$C$60="","",MXAU!$C$60)</f>
        <v/>
      </c>
      <c r="C283" s="90">
        <f>IF(MXAU!$B$60="","",MXAU!$B$60)</f>
        <v/>
      </c>
      <c r="D283" s="138">
        <f>IFERROR(MXAU!$Q$60,1)</f>
        <v/>
      </c>
      <c r="E283" s="139">
        <f>IF($B283="","",IF(ISNUMBER(MXAU!$I$60),MXAU!$I$60,'Index Summary'!$C$7))</f>
        <v/>
      </c>
      <c r="F283" s="140">
        <f>IF(F$226="","",IF($B283="","",IFERROR($C283*$D283*IF((Override!$C$4="ON")*(COUNTIFS(Override!$B$11:$B$40,$B283,Override!$D$11:$D$40,1,Override!$E$11:$E$40,"&gt;=0")-COUNTIFS(Override!$B$11:$B$40,$B283,Override!$D$11:$D$40,1,Override!$E$11:$E$40,"&gt;=0",Override!$C$11:$C$40,"AS51"))&gt;0,SUMIFS(Override!$E$11:$E$40,Override!$B$11:$B$40,$B283,Override!$D$11:$D$40,1)-SUMIFS(Override!$E$11:$E$40,Override!$B$11:$B$40,$B283,Override!$D$11:$D$40,1,Override!$C$11:$C$40,"AS51"),Override!$C$315)/MXAU!$B$3,"")))</f>
        <v/>
      </c>
      <c r="G283" s="140">
        <f>IF(G$226="","",IF($B283="","",IFERROR($C283*$D283*IF((Override!$C$4="ON")*(COUNTIFS(Override!$B$11:$B$40,$B283,Override!$D$11:$D$40,2,Override!$E$11:$E$40,"&gt;=0")-COUNTIFS(Override!$B$11:$B$40,$B283,Override!$D$11:$D$40,2,Override!$E$11:$E$40,"&gt;=0",Override!$C$11:$C$40,"AS51"))&gt;0,SUMIFS(Override!$E$11:$E$40,Override!$B$11:$B$40,$B283,Override!$D$11:$D$40,2)-SUMIFS(Override!$E$11:$E$40,Override!$B$11:$B$40,$B283,Override!$D$11:$D$40,2,Override!$C$11:$C$40,"AS51"),Override!$D$315)/MXAU!$B$3,"")))</f>
        <v/>
      </c>
      <c r="H283" s="140">
        <f>IF(H$226="","",IF($B283="","",IFERROR($C283*$D283*IF((Override!$C$4="ON")*(COUNTIFS(Override!$B$11:$B$40,$B283,Override!$D$11:$D$40,3,Override!$E$11:$E$40,"&gt;=0")-COUNTIFS(Override!$B$11:$B$40,$B283,Override!$D$11:$D$40,3,Override!$E$11:$E$40,"&gt;=0",Override!$C$11:$C$40,"AS51"))&gt;0,SUMIFS(Override!$E$11:$E$40,Override!$B$11:$B$40,$B283,Override!$D$11:$D$40,3)-SUMIFS(Override!$E$11:$E$40,Override!$B$11:$B$40,$B283,Override!$D$11:$D$40,3,Override!$C$11:$C$40,"AS51"),Override!$E$315)/MXAU!$B$3,"")))</f>
        <v/>
      </c>
      <c r="I283" s="140">
        <f>IF(I$226="","",IF($B283="","",IFERROR($C283*$D283*IF((Override!$C$4="ON")*(COUNTIFS(Override!$B$11:$B$40,$B283,Override!$D$11:$D$40,4,Override!$E$11:$E$40,"&gt;=0")-COUNTIFS(Override!$B$11:$B$40,$B283,Override!$D$11:$D$40,4,Override!$E$11:$E$40,"&gt;=0",Override!$C$11:$C$40,"AS51"))&gt;0,SUMIFS(Override!$E$11:$E$40,Override!$B$11:$B$40,$B283,Override!$D$11:$D$40,4)-SUMIFS(Override!$E$11:$E$40,Override!$B$11:$B$40,$B283,Override!$D$11:$D$40,4,Override!$C$11:$C$40,"AS51"),Override!$F$315)/MXAU!$B$3,"")))</f>
        <v/>
      </c>
      <c r="J283" s="140">
        <f>IF(J$226="","",IF($B283="","",IFERROR($C283*$D283*IF((Override!$C$4="ON")*(COUNTIFS(Override!$B$11:$B$40,$B283,Override!$D$11:$D$40,5,Override!$E$11:$E$40,"&gt;=0")-COUNTIFS(Override!$B$11:$B$40,$B283,Override!$D$11:$D$40,5,Override!$E$11:$E$40,"&gt;=0",Override!$C$11:$C$40,"AS51"))&gt;0,SUMIFS(Override!$E$11:$E$40,Override!$B$11:$B$40,$B283,Override!$D$11:$D$40,5)-SUMIFS(Override!$E$11:$E$40,Override!$B$11:$B$40,$B283,Override!$D$11:$D$40,5,Override!$C$11:$C$40,"AS51"),Override!$G$315)/MXAU!$B$3,"")))</f>
        <v/>
      </c>
      <c r="K283" s="140">
        <f>IF(K$226="","",IF($B283="","",IFERROR($C283*$D283*IF((Override!$C$4="ON")*(COUNTIFS(Override!$B$11:$B$40,$B283,Override!$D$11:$D$40,6,Override!$E$11:$E$40,"&gt;=0")-COUNTIFS(Override!$B$11:$B$40,$B283,Override!$D$11:$D$40,6,Override!$E$11:$E$40,"&gt;=0",Override!$C$11:$C$40,"AS51"))&gt;0,SUMIFS(Override!$E$11:$E$40,Override!$B$11:$B$40,$B283,Override!$D$11:$D$40,6)-SUMIFS(Override!$E$11:$E$40,Override!$B$11:$B$40,$B283,Override!$D$11:$D$40,6,Override!$C$11:$C$40,"AS51"),Override!$H$315)/MXAU!$B$3,"")))</f>
        <v/>
      </c>
      <c r="L283" s="140">
        <f>IF(L$226="","",IF($B283="","",IFERROR($C283*$D283*IF((Override!$C$4="ON")*(COUNTIFS(Override!$B$11:$B$40,$B283,Override!$D$11:$D$40,7,Override!$E$11:$E$40,"&gt;=0")-COUNTIFS(Override!$B$11:$B$40,$B283,Override!$D$11:$D$40,7,Override!$E$11:$E$40,"&gt;=0",Override!$C$11:$C$40,"AS51"))&gt;0,SUMIFS(Override!$E$11:$E$40,Override!$B$11:$B$40,$B283,Override!$D$11:$D$40,7)-SUMIFS(Override!$E$11:$E$40,Override!$B$11:$B$40,$B283,Override!$D$11:$D$40,7,Override!$C$11:$C$40,"AS51"),Override!$I$315)/MXAU!$B$3,"")))</f>
        <v/>
      </c>
      <c r="M283" s="140">
        <f>IF(M$226="","",IF($B283="","",IFERROR($C283*$D283*IF((Override!$C$4="ON")*(COUNTIFS(Override!$B$11:$B$40,$B283,Override!$D$11:$D$40,8,Override!$E$11:$E$40,"&gt;=0")-COUNTIFS(Override!$B$11:$B$40,$B283,Override!$D$11:$D$40,8,Override!$E$11:$E$40,"&gt;=0",Override!$C$11:$C$40,"AS51"))&gt;0,SUMIFS(Override!$E$11:$E$40,Override!$B$11:$B$40,$B283,Override!$D$11:$D$40,8)-SUMIFS(Override!$E$11:$E$40,Override!$B$11:$B$40,$B283,Override!$D$11:$D$40,8,Override!$C$11:$C$40,"AS51"),Override!$J$315)/MXAU!$B$3,"")))</f>
        <v/>
      </c>
      <c r="N283" s="140">
        <f>IF(N$226="","",IF($B283="","",IFERROR($C283*$D283*IF((Override!$C$4="ON")*(COUNTIFS(Override!$B$11:$B$40,$B283,Override!$D$11:$D$40,9,Override!$E$11:$E$40,"&gt;=0")-COUNTIFS(Override!$B$11:$B$40,$B283,Override!$D$11:$D$40,9,Override!$E$11:$E$40,"&gt;=0",Override!$C$11:$C$40,"AS51"))&gt;0,SUMIFS(Override!$E$11:$E$40,Override!$B$11:$B$40,$B283,Override!$D$11:$D$40,9)-SUMIFS(Override!$E$11:$E$40,Override!$B$11:$B$40,$B283,Override!$D$11:$D$40,9,Override!$C$11:$C$40,"AS51"),Override!$K$315)/MXAU!$B$3,"")))</f>
        <v/>
      </c>
      <c r="O283" s="140">
        <f>IF(O$226="","",IF($B283="","",IFERROR($C283*$D283*IF((Override!$C$4="ON")*(COUNTIFS(Override!$B$11:$B$40,$B283,Override!$D$11:$D$40,10,Override!$E$11:$E$40,"&gt;=0")-COUNTIFS(Override!$B$11:$B$40,$B283,Override!$D$11:$D$40,10,Override!$E$11:$E$40,"&gt;=0",Override!$C$11:$C$40,"AS51"))&gt;0,SUMIFS(Override!$E$11:$E$40,Override!$B$11:$B$40,$B283,Override!$D$11:$D$40,10)-SUMIFS(Override!$E$11:$E$40,Override!$B$11:$B$40,$B283,Override!$D$11:$D$40,10,Override!$C$11:$C$40,"AS51"),Override!$L$315)/MXAU!$B$3,"")))</f>
        <v/>
      </c>
      <c r="P283" s="140">
        <f>IF(P$226="","",IF($B283="","",IFERROR($C283*$D283*IF((Override!$C$4="ON")*(COUNTIFS(Override!$B$11:$B$40,$B283,Override!$D$11:$D$40,11,Override!$E$11:$E$40,"&gt;=0")-COUNTIFS(Override!$B$11:$B$40,$B283,Override!$D$11:$D$40,11,Override!$E$11:$E$40,"&gt;=0",Override!$C$11:$C$40,"AS51"))&gt;0,SUMIFS(Override!$E$11:$E$40,Override!$B$11:$B$40,$B283,Override!$D$11:$D$40,11)-SUMIFS(Override!$E$11:$E$40,Override!$B$11:$B$40,$B283,Override!$D$11:$D$40,11,Override!$C$11:$C$40,"AS51"),Override!$M$315)/MXAU!$B$3,"")))</f>
        <v/>
      </c>
      <c r="Q283" s="140">
        <f>IF(Q$226="","",IF($B283="","",IFERROR($C283*$D283*IF((Override!$C$4="ON")*(COUNTIFS(Override!$B$11:$B$40,$B283,Override!$D$11:$D$40,12,Override!$E$11:$E$40,"&gt;=0")-COUNTIFS(Override!$B$11:$B$40,$B283,Override!$D$11:$D$40,12,Override!$E$11:$E$40,"&gt;=0",Override!$C$11:$C$40,"AS51"))&gt;0,SUMIFS(Override!$E$11:$E$40,Override!$B$11:$B$40,$B283,Override!$D$11:$D$40,12)-SUMIFS(Override!$E$11:$E$40,Override!$B$11:$B$40,$B283,Override!$D$11:$D$40,12,Override!$C$11:$C$40,"AS51"),Override!$N$315)/MXAU!$B$3,"")))</f>
        <v/>
      </c>
      <c r="R283" s="140">
        <f>IF(R$226="","",IF($B283="","",IFERROR($C283*$D283*IF((Override!$C$4="ON")*(COUNTIFS(Override!$B$11:$B$40,$B283,Override!$D$11:$D$40,13,Override!$E$11:$E$40,"&gt;=0")-COUNTIFS(Override!$B$11:$B$40,$B283,Override!$D$11:$D$40,13,Override!$E$11:$E$40,"&gt;=0",Override!$C$11:$C$40,"AS51"))&gt;0,SUMIFS(Override!$E$11:$E$40,Override!$B$11:$B$40,$B283,Override!$D$11:$D$40,13)-SUMIFS(Override!$E$11:$E$40,Override!$B$11:$B$40,$B283,Override!$D$11:$D$40,13,Override!$C$11:$C$40,"AS51"),Override!$O$315)/MXAU!$B$3,"")))</f>
        <v/>
      </c>
      <c r="S283" s="140">
        <f>IF(S$226="","",IF($B283="","",IFERROR($C283*$D283*IF((Override!$C$4="ON")*(COUNTIFS(Override!$B$11:$B$40,$B283,Override!$D$11:$D$40,14,Override!$E$11:$E$40,"&gt;=0")-COUNTIFS(Override!$B$11:$B$40,$B283,Override!$D$11:$D$40,14,Override!$E$11:$E$40,"&gt;=0",Override!$C$11:$C$40,"AS51"))&gt;0,SUMIFS(Override!$E$11:$E$40,Override!$B$11:$B$40,$B283,Override!$D$11:$D$40,14)-SUMIFS(Override!$E$11:$E$40,Override!$B$11:$B$40,$B283,Override!$D$11:$D$40,14,Override!$C$11:$C$40,"AS51"),Override!$P$315)/MXAU!$B$3,"")))</f>
        <v/>
      </c>
      <c r="T283" s="140">
        <f>IF(T$226="","",IF($B283="","",IFERROR($C283*$D283*IF((Override!$C$4="ON")*(COUNTIFS(Override!$B$11:$B$40,$B283,Override!$D$11:$D$40,15,Override!$E$11:$E$40,"&gt;=0")-COUNTIFS(Override!$B$11:$B$40,$B283,Override!$D$11:$D$40,15,Override!$E$11:$E$40,"&gt;=0",Override!$C$11:$C$40,"AS51"))&gt;0,SUMIFS(Override!$E$11:$E$40,Override!$B$11:$B$40,$B283,Override!$D$11:$D$40,15)-SUMIFS(Override!$E$11:$E$40,Override!$B$11:$B$40,$B283,Override!$D$11:$D$40,15,Override!$C$11:$C$40,"AS51"),Override!$Q$315)/MXAU!$B$3,"")))</f>
        <v/>
      </c>
      <c r="U283" s="140">
        <f>IF(U$226="","",IF($B283="","",IFERROR($C283*$D283*IF((Override!$C$4="ON")*(COUNTIFS(Override!$B$11:$B$40,$B283,Override!$D$11:$D$40,16,Override!$E$11:$E$40,"&gt;=0")-COUNTIFS(Override!$B$11:$B$40,$B283,Override!$D$11:$D$40,16,Override!$E$11:$E$40,"&gt;=0",Override!$C$11:$C$40,"AS51"))&gt;0,SUMIFS(Override!$E$11:$E$40,Override!$B$11:$B$40,$B283,Override!$D$11:$D$40,16)-SUMIFS(Override!$E$11:$E$40,Override!$B$11:$B$40,$B283,Override!$D$11:$D$40,16,Override!$C$11:$C$40,"AS51"),Override!$R$315)/MXAU!$B$3,"")))</f>
        <v/>
      </c>
      <c r="W283" s="140">
        <f>IF(W$226="","",IF($B283="","",IFERROR(F283*$E283/100,"")))</f>
        <v/>
      </c>
      <c r="X283" s="140">
        <f>IF(X$226="","",IF($B283="","",IFERROR(G283*$E283/100,"")))</f>
        <v/>
      </c>
      <c r="Y283" s="140">
        <f>IF(Y$226="","",IF($B283="","",IFERROR(H283*$E283/100,"")))</f>
        <v/>
      </c>
      <c r="Z283" s="140">
        <f>IF(Z$226="","",IF($B283="","",IFERROR(I283*$E283/100,"")))</f>
        <v/>
      </c>
      <c r="AA283" s="140">
        <f>IF(AA$226="","",IF($B283="","",IFERROR(J283*$E283/100,"")))</f>
        <v/>
      </c>
      <c r="AB283" s="140">
        <f>IF(AB$226="","",IF($B283="","",IFERROR(K283*$E283/100,"")))</f>
        <v/>
      </c>
      <c r="AC283" s="140">
        <f>IF(AC$226="","",IF($B283="","",IFERROR(L283*$E283/100,"")))</f>
        <v/>
      </c>
      <c r="AD283" s="140">
        <f>IF(AD$226="","",IF($B283="","",IFERROR(M283*$E283/100,"")))</f>
        <v/>
      </c>
      <c r="AE283" s="140">
        <f>IF(AE$226="","",IF($B283="","",IFERROR(N283*$E283/100,"")))</f>
        <v/>
      </c>
      <c r="AF283" s="140">
        <f>IF(AF$226="","",IF($B283="","",IFERROR(O283*$E283/100,"")))</f>
        <v/>
      </c>
      <c r="AG283" s="140">
        <f>IF(AG$226="","",IF($B283="","",IFERROR(P283*$E283/100,"")))</f>
        <v/>
      </c>
      <c r="AH283" s="140">
        <f>IF(AH$226="","",IF($B283="","",IFERROR(Q283*$E283/100,"")))</f>
        <v/>
      </c>
      <c r="AI283" s="140">
        <f>IF(AI$226="","",IF($B283="","",IFERROR(R283*$E283/100,"")))</f>
        <v/>
      </c>
      <c r="AJ283" s="140">
        <f>IF(AJ$226="","",IF($B283="","",IFERROR(S283*$E283/100,"")))</f>
        <v/>
      </c>
      <c r="AK283" s="140">
        <f>IF(AK$226="","",IF($B283="","",IFERROR(T283*$E283/100,"")))</f>
        <v/>
      </c>
      <c r="AL283" s="140">
        <f>IF(AL$226="","",IF($B283="","",IFERROR(U283*$E283/100,"")))</f>
        <v/>
      </c>
      <c r="AN283" s="140">
        <f>IF($B283="","",SUMIF($F$226:$U$226,"&lt;="&amp;Sector!$E$51,$F283:$U283))</f>
        <v/>
      </c>
      <c r="AO283" s="140">
        <f>IF($B283="","",SUMIF($W$226:$AL$226,"&lt;="&amp;Sector!$E$51,$W283:$AL283))</f>
        <v/>
      </c>
    </row>
    <row r="284">
      <c r="B284" s="5">
        <f>IF(MXAU!$C$61="","",MXAU!$C$61)</f>
        <v/>
      </c>
      <c r="C284" s="90">
        <f>IF(MXAU!$B$61="","",MXAU!$B$61)</f>
        <v/>
      </c>
      <c r="D284" s="138">
        <f>IFERROR(MXAU!$Q$61,1)</f>
        <v/>
      </c>
      <c r="E284" s="139">
        <f>IF($B284="","",IF(ISNUMBER(MXAU!$I$61),MXAU!$I$61,'Index Summary'!$C$7))</f>
        <v/>
      </c>
      <c r="F284" s="140">
        <f>IF(F$226="","",IF($B284="","",IFERROR($C284*$D284*IF((Override!$C$4="ON")*(COUNTIFS(Override!$B$11:$B$40,$B284,Override!$D$11:$D$40,1,Override!$E$11:$E$40,"&gt;=0")-COUNTIFS(Override!$B$11:$B$40,$B284,Override!$D$11:$D$40,1,Override!$E$11:$E$40,"&gt;=0",Override!$C$11:$C$40,"AS51"))&gt;0,SUMIFS(Override!$E$11:$E$40,Override!$B$11:$B$40,$B284,Override!$D$11:$D$40,1)-SUMIFS(Override!$E$11:$E$40,Override!$B$11:$B$40,$B284,Override!$D$11:$D$40,1,Override!$C$11:$C$40,"AS51"),Override!$C$316)/MXAU!$B$3,"")))</f>
        <v/>
      </c>
      <c r="G284" s="140">
        <f>IF(G$226="","",IF($B284="","",IFERROR($C284*$D284*IF((Override!$C$4="ON")*(COUNTIFS(Override!$B$11:$B$40,$B284,Override!$D$11:$D$40,2,Override!$E$11:$E$40,"&gt;=0")-COUNTIFS(Override!$B$11:$B$40,$B284,Override!$D$11:$D$40,2,Override!$E$11:$E$40,"&gt;=0",Override!$C$11:$C$40,"AS51"))&gt;0,SUMIFS(Override!$E$11:$E$40,Override!$B$11:$B$40,$B284,Override!$D$11:$D$40,2)-SUMIFS(Override!$E$11:$E$40,Override!$B$11:$B$40,$B284,Override!$D$11:$D$40,2,Override!$C$11:$C$40,"AS51"),Override!$D$316)/MXAU!$B$3,"")))</f>
        <v/>
      </c>
      <c r="H284" s="140">
        <f>IF(H$226="","",IF($B284="","",IFERROR($C284*$D284*IF((Override!$C$4="ON")*(COUNTIFS(Override!$B$11:$B$40,$B284,Override!$D$11:$D$40,3,Override!$E$11:$E$40,"&gt;=0")-COUNTIFS(Override!$B$11:$B$40,$B284,Override!$D$11:$D$40,3,Override!$E$11:$E$40,"&gt;=0",Override!$C$11:$C$40,"AS51"))&gt;0,SUMIFS(Override!$E$11:$E$40,Override!$B$11:$B$40,$B284,Override!$D$11:$D$40,3)-SUMIFS(Override!$E$11:$E$40,Override!$B$11:$B$40,$B284,Override!$D$11:$D$40,3,Override!$C$11:$C$40,"AS51"),Override!$E$316)/MXAU!$B$3,"")))</f>
        <v/>
      </c>
      <c r="I284" s="140">
        <f>IF(I$226="","",IF($B284="","",IFERROR($C284*$D284*IF((Override!$C$4="ON")*(COUNTIFS(Override!$B$11:$B$40,$B284,Override!$D$11:$D$40,4,Override!$E$11:$E$40,"&gt;=0")-COUNTIFS(Override!$B$11:$B$40,$B284,Override!$D$11:$D$40,4,Override!$E$11:$E$40,"&gt;=0",Override!$C$11:$C$40,"AS51"))&gt;0,SUMIFS(Override!$E$11:$E$40,Override!$B$11:$B$40,$B284,Override!$D$11:$D$40,4)-SUMIFS(Override!$E$11:$E$40,Override!$B$11:$B$40,$B284,Override!$D$11:$D$40,4,Override!$C$11:$C$40,"AS51"),Override!$F$316)/MXAU!$B$3,"")))</f>
        <v/>
      </c>
      <c r="J284" s="140">
        <f>IF(J$226="","",IF($B284="","",IFERROR($C284*$D284*IF((Override!$C$4="ON")*(COUNTIFS(Override!$B$11:$B$40,$B284,Override!$D$11:$D$40,5,Override!$E$11:$E$40,"&gt;=0")-COUNTIFS(Override!$B$11:$B$40,$B284,Override!$D$11:$D$40,5,Override!$E$11:$E$40,"&gt;=0",Override!$C$11:$C$40,"AS51"))&gt;0,SUMIFS(Override!$E$11:$E$40,Override!$B$11:$B$40,$B284,Override!$D$11:$D$40,5)-SUMIFS(Override!$E$11:$E$40,Override!$B$11:$B$40,$B284,Override!$D$11:$D$40,5,Override!$C$11:$C$40,"AS51"),Override!$G$316)/MXAU!$B$3,"")))</f>
        <v/>
      </c>
      <c r="K284" s="140">
        <f>IF(K$226="","",IF($B284="","",IFERROR($C284*$D284*IF((Override!$C$4="ON")*(COUNTIFS(Override!$B$11:$B$40,$B284,Override!$D$11:$D$40,6,Override!$E$11:$E$40,"&gt;=0")-COUNTIFS(Override!$B$11:$B$40,$B284,Override!$D$11:$D$40,6,Override!$E$11:$E$40,"&gt;=0",Override!$C$11:$C$40,"AS51"))&gt;0,SUMIFS(Override!$E$11:$E$40,Override!$B$11:$B$40,$B284,Override!$D$11:$D$40,6)-SUMIFS(Override!$E$11:$E$40,Override!$B$11:$B$40,$B284,Override!$D$11:$D$40,6,Override!$C$11:$C$40,"AS51"),Override!$H$316)/MXAU!$B$3,"")))</f>
        <v/>
      </c>
      <c r="L284" s="140">
        <f>IF(L$226="","",IF($B284="","",IFERROR($C284*$D284*IF((Override!$C$4="ON")*(COUNTIFS(Override!$B$11:$B$40,$B284,Override!$D$11:$D$40,7,Override!$E$11:$E$40,"&gt;=0")-COUNTIFS(Override!$B$11:$B$40,$B284,Override!$D$11:$D$40,7,Override!$E$11:$E$40,"&gt;=0",Override!$C$11:$C$40,"AS51"))&gt;0,SUMIFS(Override!$E$11:$E$40,Override!$B$11:$B$40,$B284,Override!$D$11:$D$40,7)-SUMIFS(Override!$E$11:$E$40,Override!$B$11:$B$40,$B284,Override!$D$11:$D$40,7,Override!$C$11:$C$40,"AS51"),Override!$I$316)/MXAU!$B$3,"")))</f>
        <v/>
      </c>
      <c r="M284" s="140">
        <f>IF(M$226="","",IF($B284="","",IFERROR($C284*$D284*IF((Override!$C$4="ON")*(COUNTIFS(Override!$B$11:$B$40,$B284,Override!$D$11:$D$40,8,Override!$E$11:$E$40,"&gt;=0")-COUNTIFS(Override!$B$11:$B$40,$B284,Override!$D$11:$D$40,8,Override!$E$11:$E$40,"&gt;=0",Override!$C$11:$C$40,"AS51"))&gt;0,SUMIFS(Override!$E$11:$E$40,Override!$B$11:$B$40,$B284,Override!$D$11:$D$40,8)-SUMIFS(Override!$E$11:$E$40,Override!$B$11:$B$40,$B284,Override!$D$11:$D$40,8,Override!$C$11:$C$40,"AS51"),Override!$J$316)/MXAU!$B$3,"")))</f>
        <v/>
      </c>
      <c r="N284" s="140">
        <f>IF(N$226="","",IF($B284="","",IFERROR($C284*$D284*IF((Override!$C$4="ON")*(COUNTIFS(Override!$B$11:$B$40,$B284,Override!$D$11:$D$40,9,Override!$E$11:$E$40,"&gt;=0")-COUNTIFS(Override!$B$11:$B$40,$B284,Override!$D$11:$D$40,9,Override!$E$11:$E$40,"&gt;=0",Override!$C$11:$C$40,"AS51"))&gt;0,SUMIFS(Override!$E$11:$E$40,Override!$B$11:$B$40,$B284,Override!$D$11:$D$40,9)-SUMIFS(Override!$E$11:$E$40,Override!$B$11:$B$40,$B284,Override!$D$11:$D$40,9,Override!$C$11:$C$40,"AS51"),Override!$K$316)/MXAU!$B$3,"")))</f>
        <v/>
      </c>
      <c r="O284" s="140">
        <f>IF(O$226="","",IF($B284="","",IFERROR($C284*$D284*IF((Override!$C$4="ON")*(COUNTIFS(Override!$B$11:$B$40,$B284,Override!$D$11:$D$40,10,Override!$E$11:$E$40,"&gt;=0")-COUNTIFS(Override!$B$11:$B$40,$B284,Override!$D$11:$D$40,10,Override!$E$11:$E$40,"&gt;=0",Override!$C$11:$C$40,"AS51"))&gt;0,SUMIFS(Override!$E$11:$E$40,Override!$B$11:$B$40,$B284,Override!$D$11:$D$40,10)-SUMIFS(Override!$E$11:$E$40,Override!$B$11:$B$40,$B284,Override!$D$11:$D$40,10,Override!$C$11:$C$40,"AS51"),Override!$L$316)/MXAU!$B$3,"")))</f>
        <v/>
      </c>
      <c r="P284" s="140">
        <f>IF(P$226="","",IF($B284="","",IFERROR($C284*$D284*IF((Override!$C$4="ON")*(COUNTIFS(Override!$B$11:$B$40,$B284,Override!$D$11:$D$40,11,Override!$E$11:$E$40,"&gt;=0")-COUNTIFS(Override!$B$11:$B$40,$B284,Override!$D$11:$D$40,11,Override!$E$11:$E$40,"&gt;=0",Override!$C$11:$C$40,"AS51"))&gt;0,SUMIFS(Override!$E$11:$E$40,Override!$B$11:$B$40,$B284,Override!$D$11:$D$40,11)-SUMIFS(Override!$E$11:$E$40,Override!$B$11:$B$40,$B284,Override!$D$11:$D$40,11,Override!$C$11:$C$40,"AS51"),Override!$M$316)/MXAU!$B$3,"")))</f>
        <v/>
      </c>
      <c r="Q284" s="140">
        <f>IF(Q$226="","",IF($B284="","",IFERROR($C284*$D284*IF((Override!$C$4="ON")*(COUNTIFS(Override!$B$11:$B$40,$B284,Override!$D$11:$D$40,12,Override!$E$11:$E$40,"&gt;=0")-COUNTIFS(Override!$B$11:$B$40,$B284,Override!$D$11:$D$40,12,Override!$E$11:$E$40,"&gt;=0",Override!$C$11:$C$40,"AS51"))&gt;0,SUMIFS(Override!$E$11:$E$40,Override!$B$11:$B$40,$B284,Override!$D$11:$D$40,12)-SUMIFS(Override!$E$11:$E$40,Override!$B$11:$B$40,$B284,Override!$D$11:$D$40,12,Override!$C$11:$C$40,"AS51"),Override!$N$316)/MXAU!$B$3,"")))</f>
        <v/>
      </c>
      <c r="R284" s="140">
        <f>IF(R$226="","",IF($B284="","",IFERROR($C284*$D284*IF((Override!$C$4="ON")*(COUNTIFS(Override!$B$11:$B$40,$B284,Override!$D$11:$D$40,13,Override!$E$11:$E$40,"&gt;=0")-COUNTIFS(Override!$B$11:$B$40,$B284,Override!$D$11:$D$40,13,Override!$E$11:$E$40,"&gt;=0",Override!$C$11:$C$40,"AS51"))&gt;0,SUMIFS(Override!$E$11:$E$40,Override!$B$11:$B$40,$B284,Override!$D$11:$D$40,13)-SUMIFS(Override!$E$11:$E$40,Override!$B$11:$B$40,$B284,Override!$D$11:$D$40,13,Override!$C$11:$C$40,"AS51"),Override!$O$316)/MXAU!$B$3,"")))</f>
        <v/>
      </c>
      <c r="S284" s="140">
        <f>IF(S$226="","",IF($B284="","",IFERROR($C284*$D284*IF((Override!$C$4="ON")*(COUNTIFS(Override!$B$11:$B$40,$B284,Override!$D$11:$D$40,14,Override!$E$11:$E$40,"&gt;=0")-COUNTIFS(Override!$B$11:$B$40,$B284,Override!$D$11:$D$40,14,Override!$E$11:$E$40,"&gt;=0",Override!$C$11:$C$40,"AS51"))&gt;0,SUMIFS(Override!$E$11:$E$40,Override!$B$11:$B$40,$B284,Override!$D$11:$D$40,14)-SUMIFS(Override!$E$11:$E$40,Override!$B$11:$B$40,$B284,Override!$D$11:$D$40,14,Override!$C$11:$C$40,"AS51"),Override!$P$316)/MXAU!$B$3,"")))</f>
        <v/>
      </c>
      <c r="T284" s="140">
        <f>IF(T$226="","",IF($B284="","",IFERROR($C284*$D284*IF((Override!$C$4="ON")*(COUNTIFS(Override!$B$11:$B$40,$B284,Override!$D$11:$D$40,15,Override!$E$11:$E$40,"&gt;=0")-COUNTIFS(Override!$B$11:$B$40,$B284,Override!$D$11:$D$40,15,Override!$E$11:$E$40,"&gt;=0",Override!$C$11:$C$40,"AS51"))&gt;0,SUMIFS(Override!$E$11:$E$40,Override!$B$11:$B$40,$B284,Override!$D$11:$D$40,15)-SUMIFS(Override!$E$11:$E$40,Override!$B$11:$B$40,$B284,Override!$D$11:$D$40,15,Override!$C$11:$C$40,"AS51"),Override!$Q$316)/MXAU!$B$3,"")))</f>
        <v/>
      </c>
      <c r="U284" s="140">
        <f>IF(U$226="","",IF($B284="","",IFERROR($C284*$D284*IF((Override!$C$4="ON")*(COUNTIFS(Override!$B$11:$B$40,$B284,Override!$D$11:$D$40,16,Override!$E$11:$E$40,"&gt;=0")-COUNTIFS(Override!$B$11:$B$40,$B284,Override!$D$11:$D$40,16,Override!$E$11:$E$40,"&gt;=0",Override!$C$11:$C$40,"AS51"))&gt;0,SUMIFS(Override!$E$11:$E$40,Override!$B$11:$B$40,$B284,Override!$D$11:$D$40,16)-SUMIFS(Override!$E$11:$E$40,Override!$B$11:$B$40,$B284,Override!$D$11:$D$40,16,Override!$C$11:$C$40,"AS51"),Override!$R$316)/MXAU!$B$3,"")))</f>
        <v/>
      </c>
      <c r="W284" s="140">
        <f>IF(W$226="","",IF($B284="","",IFERROR(F284*$E284/100,"")))</f>
        <v/>
      </c>
      <c r="X284" s="140">
        <f>IF(X$226="","",IF($B284="","",IFERROR(G284*$E284/100,"")))</f>
        <v/>
      </c>
      <c r="Y284" s="140">
        <f>IF(Y$226="","",IF($B284="","",IFERROR(H284*$E284/100,"")))</f>
        <v/>
      </c>
      <c r="Z284" s="140">
        <f>IF(Z$226="","",IF($B284="","",IFERROR(I284*$E284/100,"")))</f>
        <v/>
      </c>
      <c r="AA284" s="140">
        <f>IF(AA$226="","",IF($B284="","",IFERROR(J284*$E284/100,"")))</f>
        <v/>
      </c>
      <c r="AB284" s="140">
        <f>IF(AB$226="","",IF($B284="","",IFERROR(K284*$E284/100,"")))</f>
        <v/>
      </c>
      <c r="AC284" s="140">
        <f>IF(AC$226="","",IF($B284="","",IFERROR(L284*$E284/100,"")))</f>
        <v/>
      </c>
      <c r="AD284" s="140">
        <f>IF(AD$226="","",IF($B284="","",IFERROR(M284*$E284/100,"")))</f>
        <v/>
      </c>
      <c r="AE284" s="140">
        <f>IF(AE$226="","",IF($B284="","",IFERROR(N284*$E284/100,"")))</f>
        <v/>
      </c>
      <c r="AF284" s="140">
        <f>IF(AF$226="","",IF($B284="","",IFERROR(O284*$E284/100,"")))</f>
        <v/>
      </c>
      <c r="AG284" s="140">
        <f>IF(AG$226="","",IF($B284="","",IFERROR(P284*$E284/100,"")))</f>
        <v/>
      </c>
      <c r="AH284" s="140">
        <f>IF(AH$226="","",IF($B284="","",IFERROR(Q284*$E284/100,"")))</f>
        <v/>
      </c>
      <c r="AI284" s="140">
        <f>IF(AI$226="","",IF($B284="","",IFERROR(R284*$E284/100,"")))</f>
        <v/>
      </c>
      <c r="AJ284" s="140">
        <f>IF(AJ$226="","",IF($B284="","",IFERROR(S284*$E284/100,"")))</f>
        <v/>
      </c>
      <c r="AK284" s="140">
        <f>IF(AK$226="","",IF($B284="","",IFERROR(T284*$E284/100,"")))</f>
        <v/>
      </c>
      <c r="AL284" s="140">
        <f>IF(AL$226="","",IF($B284="","",IFERROR(U284*$E284/100,"")))</f>
        <v/>
      </c>
      <c r="AN284" s="140">
        <f>IF($B284="","",SUMIF($F$226:$U$226,"&lt;="&amp;Sector!$E$51,$F284:$U284))</f>
        <v/>
      </c>
      <c r="AO284" s="140">
        <f>IF($B284="","",SUMIF($W$226:$AL$226,"&lt;="&amp;Sector!$E$51,$W284:$AL284))</f>
        <v/>
      </c>
    </row>
    <row r="285">
      <c r="B285" s="5">
        <f>IF(MXAU!$C$62="","",MXAU!$C$62)</f>
        <v/>
      </c>
      <c r="C285" s="90">
        <f>IF(MXAU!$B$62="","",MXAU!$B$62)</f>
        <v/>
      </c>
      <c r="D285" s="138">
        <f>IFERROR(MXAU!$Q$62,1)</f>
        <v/>
      </c>
      <c r="E285" s="139">
        <f>IF($B285="","",IF(ISNUMBER(MXAU!$I$62),MXAU!$I$62,'Index Summary'!$C$7))</f>
        <v/>
      </c>
      <c r="F285" s="140">
        <f>IF(F$226="","",IF($B285="","",IFERROR($C285*$D285*IF((Override!$C$4="ON")*(COUNTIFS(Override!$B$11:$B$40,$B285,Override!$D$11:$D$40,1,Override!$E$11:$E$40,"&gt;=0")-COUNTIFS(Override!$B$11:$B$40,$B285,Override!$D$11:$D$40,1,Override!$E$11:$E$40,"&gt;=0",Override!$C$11:$C$40,"AS51"))&gt;0,SUMIFS(Override!$E$11:$E$40,Override!$B$11:$B$40,$B285,Override!$D$11:$D$40,1)-SUMIFS(Override!$E$11:$E$40,Override!$B$11:$B$40,$B285,Override!$D$11:$D$40,1,Override!$C$11:$C$40,"AS51"),Override!$C$317)/MXAU!$B$3,"")))</f>
        <v/>
      </c>
      <c r="G285" s="140">
        <f>IF(G$226="","",IF($B285="","",IFERROR($C285*$D285*IF((Override!$C$4="ON")*(COUNTIFS(Override!$B$11:$B$40,$B285,Override!$D$11:$D$40,2,Override!$E$11:$E$40,"&gt;=0")-COUNTIFS(Override!$B$11:$B$40,$B285,Override!$D$11:$D$40,2,Override!$E$11:$E$40,"&gt;=0",Override!$C$11:$C$40,"AS51"))&gt;0,SUMIFS(Override!$E$11:$E$40,Override!$B$11:$B$40,$B285,Override!$D$11:$D$40,2)-SUMIFS(Override!$E$11:$E$40,Override!$B$11:$B$40,$B285,Override!$D$11:$D$40,2,Override!$C$11:$C$40,"AS51"),Override!$D$317)/MXAU!$B$3,"")))</f>
        <v/>
      </c>
      <c r="H285" s="140">
        <f>IF(H$226="","",IF($B285="","",IFERROR($C285*$D285*IF((Override!$C$4="ON")*(COUNTIFS(Override!$B$11:$B$40,$B285,Override!$D$11:$D$40,3,Override!$E$11:$E$40,"&gt;=0")-COUNTIFS(Override!$B$11:$B$40,$B285,Override!$D$11:$D$40,3,Override!$E$11:$E$40,"&gt;=0",Override!$C$11:$C$40,"AS51"))&gt;0,SUMIFS(Override!$E$11:$E$40,Override!$B$11:$B$40,$B285,Override!$D$11:$D$40,3)-SUMIFS(Override!$E$11:$E$40,Override!$B$11:$B$40,$B285,Override!$D$11:$D$40,3,Override!$C$11:$C$40,"AS51"),Override!$E$317)/MXAU!$B$3,"")))</f>
        <v/>
      </c>
      <c r="I285" s="140">
        <f>IF(I$226="","",IF($B285="","",IFERROR($C285*$D285*IF((Override!$C$4="ON")*(COUNTIFS(Override!$B$11:$B$40,$B285,Override!$D$11:$D$40,4,Override!$E$11:$E$40,"&gt;=0")-COUNTIFS(Override!$B$11:$B$40,$B285,Override!$D$11:$D$40,4,Override!$E$11:$E$40,"&gt;=0",Override!$C$11:$C$40,"AS51"))&gt;0,SUMIFS(Override!$E$11:$E$40,Override!$B$11:$B$40,$B285,Override!$D$11:$D$40,4)-SUMIFS(Override!$E$11:$E$40,Override!$B$11:$B$40,$B285,Override!$D$11:$D$40,4,Override!$C$11:$C$40,"AS51"),Override!$F$317)/MXAU!$B$3,"")))</f>
        <v/>
      </c>
      <c r="J285" s="140">
        <f>IF(J$226="","",IF($B285="","",IFERROR($C285*$D285*IF((Override!$C$4="ON")*(COUNTIFS(Override!$B$11:$B$40,$B285,Override!$D$11:$D$40,5,Override!$E$11:$E$40,"&gt;=0")-COUNTIFS(Override!$B$11:$B$40,$B285,Override!$D$11:$D$40,5,Override!$E$11:$E$40,"&gt;=0",Override!$C$11:$C$40,"AS51"))&gt;0,SUMIFS(Override!$E$11:$E$40,Override!$B$11:$B$40,$B285,Override!$D$11:$D$40,5)-SUMIFS(Override!$E$11:$E$40,Override!$B$11:$B$40,$B285,Override!$D$11:$D$40,5,Override!$C$11:$C$40,"AS51"),Override!$G$317)/MXAU!$B$3,"")))</f>
        <v/>
      </c>
      <c r="K285" s="140">
        <f>IF(K$226="","",IF($B285="","",IFERROR($C285*$D285*IF((Override!$C$4="ON")*(COUNTIFS(Override!$B$11:$B$40,$B285,Override!$D$11:$D$40,6,Override!$E$11:$E$40,"&gt;=0")-COUNTIFS(Override!$B$11:$B$40,$B285,Override!$D$11:$D$40,6,Override!$E$11:$E$40,"&gt;=0",Override!$C$11:$C$40,"AS51"))&gt;0,SUMIFS(Override!$E$11:$E$40,Override!$B$11:$B$40,$B285,Override!$D$11:$D$40,6)-SUMIFS(Override!$E$11:$E$40,Override!$B$11:$B$40,$B285,Override!$D$11:$D$40,6,Override!$C$11:$C$40,"AS51"),Override!$H$317)/MXAU!$B$3,"")))</f>
        <v/>
      </c>
      <c r="L285" s="140">
        <f>IF(L$226="","",IF($B285="","",IFERROR($C285*$D285*IF((Override!$C$4="ON")*(COUNTIFS(Override!$B$11:$B$40,$B285,Override!$D$11:$D$40,7,Override!$E$11:$E$40,"&gt;=0")-COUNTIFS(Override!$B$11:$B$40,$B285,Override!$D$11:$D$40,7,Override!$E$11:$E$40,"&gt;=0",Override!$C$11:$C$40,"AS51"))&gt;0,SUMIFS(Override!$E$11:$E$40,Override!$B$11:$B$40,$B285,Override!$D$11:$D$40,7)-SUMIFS(Override!$E$11:$E$40,Override!$B$11:$B$40,$B285,Override!$D$11:$D$40,7,Override!$C$11:$C$40,"AS51"),Override!$I$317)/MXAU!$B$3,"")))</f>
        <v/>
      </c>
      <c r="M285" s="140">
        <f>IF(M$226="","",IF($B285="","",IFERROR($C285*$D285*IF((Override!$C$4="ON")*(COUNTIFS(Override!$B$11:$B$40,$B285,Override!$D$11:$D$40,8,Override!$E$11:$E$40,"&gt;=0")-COUNTIFS(Override!$B$11:$B$40,$B285,Override!$D$11:$D$40,8,Override!$E$11:$E$40,"&gt;=0",Override!$C$11:$C$40,"AS51"))&gt;0,SUMIFS(Override!$E$11:$E$40,Override!$B$11:$B$40,$B285,Override!$D$11:$D$40,8)-SUMIFS(Override!$E$11:$E$40,Override!$B$11:$B$40,$B285,Override!$D$11:$D$40,8,Override!$C$11:$C$40,"AS51"),Override!$J$317)/MXAU!$B$3,"")))</f>
        <v/>
      </c>
      <c r="N285" s="140">
        <f>IF(N$226="","",IF($B285="","",IFERROR($C285*$D285*IF((Override!$C$4="ON")*(COUNTIFS(Override!$B$11:$B$40,$B285,Override!$D$11:$D$40,9,Override!$E$11:$E$40,"&gt;=0")-COUNTIFS(Override!$B$11:$B$40,$B285,Override!$D$11:$D$40,9,Override!$E$11:$E$40,"&gt;=0",Override!$C$11:$C$40,"AS51"))&gt;0,SUMIFS(Override!$E$11:$E$40,Override!$B$11:$B$40,$B285,Override!$D$11:$D$40,9)-SUMIFS(Override!$E$11:$E$40,Override!$B$11:$B$40,$B285,Override!$D$11:$D$40,9,Override!$C$11:$C$40,"AS51"),Override!$K$317)/MXAU!$B$3,"")))</f>
        <v/>
      </c>
      <c r="O285" s="140">
        <f>IF(O$226="","",IF($B285="","",IFERROR($C285*$D285*IF((Override!$C$4="ON")*(COUNTIFS(Override!$B$11:$B$40,$B285,Override!$D$11:$D$40,10,Override!$E$11:$E$40,"&gt;=0")-COUNTIFS(Override!$B$11:$B$40,$B285,Override!$D$11:$D$40,10,Override!$E$11:$E$40,"&gt;=0",Override!$C$11:$C$40,"AS51"))&gt;0,SUMIFS(Override!$E$11:$E$40,Override!$B$11:$B$40,$B285,Override!$D$11:$D$40,10)-SUMIFS(Override!$E$11:$E$40,Override!$B$11:$B$40,$B285,Override!$D$11:$D$40,10,Override!$C$11:$C$40,"AS51"),Override!$L$317)/MXAU!$B$3,"")))</f>
        <v/>
      </c>
      <c r="P285" s="140">
        <f>IF(P$226="","",IF($B285="","",IFERROR($C285*$D285*IF((Override!$C$4="ON")*(COUNTIFS(Override!$B$11:$B$40,$B285,Override!$D$11:$D$40,11,Override!$E$11:$E$40,"&gt;=0")-COUNTIFS(Override!$B$11:$B$40,$B285,Override!$D$11:$D$40,11,Override!$E$11:$E$40,"&gt;=0",Override!$C$11:$C$40,"AS51"))&gt;0,SUMIFS(Override!$E$11:$E$40,Override!$B$11:$B$40,$B285,Override!$D$11:$D$40,11)-SUMIFS(Override!$E$11:$E$40,Override!$B$11:$B$40,$B285,Override!$D$11:$D$40,11,Override!$C$11:$C$40,"AS51"),Override!$M$317)/MXAU!$B$3,"")))</f>
        <v/>
      </c>
      <c r="Q285" s="140">
        <f>IF(Q$226="","",IF($B285="","",IFERROR($C285*$D285*IF((Override!$C$4="ON")*(COUNTIFS(Override!$B$11:$B$40,$B285,Override!$D$11:$D$40,12,Override!$E$11:$E$40,"&gt;=0")-COUNTIFS(Override!$B$11:$B$40,$B285,Override!$D$11:$D$40,12,Override!$E$11:$E$40,"&gt;=0",Override!$C$11:$C$40,"AS51"))&gt;0,SUMIFS(Override!$E$11:$E$40,Override!$B$11:$B$40,$B285,Override!$D$11:$D$40,12)-SUMIFS(Override!$E$11:$E$40,Override!$B$11:$B$40,$B285,Override!$D$11:$D$40,12,Override!$C$11:$C$40,"AS51"),Override!$N$317)/MXAU!$B$3,"")))</f>
        <v/>
      </c>
      <c r="R285" s="140">
        <f>IF(R$226="","",IF($B285="","",IFERROR($C285*$D285*IF((Override!$C$4="ON")*(COUNTIFS(Override!$B$11:$B$40,$B285,Override!$D$11:$D$40,13,Override!$E$11:$E$40,"&gt;=0")-COUNTIFS(Override!$B$11:$B$40,$B285,Override!$D$11:$D$40,13,Override!$E$11:$E$40,"&gt;=0",Override!$C$11:$C$40,"AS51"))&gt;0,SUMIFS(Override!$E$11:$E$40,Override!$B$11:$B$40,$B285,Override!$D$11:$D$40,13)-SUMIFS(Override!$E$11:$E$40,Override!$B$11:$B$40,$B285,Override!$D$11:$D$40,13,Override!$C$11:$C$40,"AS51"),Override!$O$317)/MXAU!$B$3,"")))</f>
        <v/>
      </c>
      <c r="S285" s="140">
        <f>IF(S$226="","",IF($B285="","",IFERROR($C285*$D285*IF((Override!$C$4="ON")*(COUNTIFS(Override!$B$11:$B$40,$B285,Override!$D$11:$D$40,14,Override!$E$11:$E$40,"&gt;=0")-COUNTIFS(Override!$B$11:$B$40,$B285,Override!$D$11:$D$40,14,Override!$E$11:$E$40,"&gt;=0",Override!$C$11:$C$40,"AS51"))&gt;0,SUMIFS(Override!$E$11:$E$40,Override!$B$11:$B$40,$B285,Override!$D$11:$D$40,14)-SUMIFS(Override!$E$11:$E$40,Override!$B$11:$B$40,$B285,Override!$D$11:$D$40,14,Override!$C$11:$C$40,"AS51"),Override!$P$317)/MXAU!$B$3,"")))</f>
        <v/>
      </c>
      <c r="T285" s="140">
        <f>IF(T$226="","",IF($B285="","",IFERROR($C285*$D285*IF((Override!$C$4="ON")*(COUNTIFS(Override!$B$11:$B$40,$B285,Override!$D$11:$D$40,15,Override!$E$11:$E$40,"&gt;=0")-COUNTIFS(Override!$B$11:$B$40,$B285,Override!$D$11:$D$40,15,Override!$E$11:$E$40,"&gt;=0",Override!$C$11:$C$40,"AS51"))&gt;0,SUMIFS(Override!$E$11:$E$40,Override!$B$11:$B$40,$B285,Override!$D$11:$D$40,15)-SUMIFS(Override!$E$11:$E$40,Override!$B$11:$B$40,$B285,Override!$D$11:$D$40,15,Override!$C$11:$C$40,"AS51"),Override!$Q$317)/MXAU!$B$3,"")))</f>
        <v/>
      </c>
      <c r="U285" s="140">
        <f>IF(U$226="","",IF($B285="","",IFERROR($C285*$D285*IF((Override!$C$4="ON")*(COUNTIFS(Override!$B$11:$B$40,$B285,Override!$D$11:$D$40,16,Override!$E$11:$E$40,"&gt;=0")-COUNTIFS(Override!$B$11:$B$40,$B285,Override!$D$11:$D$40,16,Override!$E$11:$E$40,"&gt;=0",Override!$C$11:$C$40,"AS51"))&gt;0,SUMIFS(Override!$E$11:$E$40,Override!$B$11:$B$40,$B285,Override!$D$11:$D$40,16)-SUMIFS(Override!$E$11:$E$40,Override!$B$11:$B$40,$B285,Override!$D$11:$D$40,16,Override!$C$11:$C$40,"AS51"),Override!$R$317)/MXAU!$B$3,"")))</f>
        <v/>
      </c>
      <c r="W285" s="140">
        <f>IF(W$226="","",IF($B285="","",IFERROR(F285*$E285/100,"")))</f>
        <v/>
      </c>
      <c r="X285" s="140">
        <f>IF(X$226="","",IF($B285="","",IFERROR(G285*$E285/100,"")))</f>
        <v/>
      </c>
      <c r="Y285" s="140">
        <f>IF(Y$226="","",IF($B285="","",IFERROR(H285*$E285/100,"")))</f>
        <v/>
      </c>
      <c r="Z285" s="140">
        <f>IF(Z$226="","",IF($B285="","",IFERROR(I285*$E285/100,"")))</f>
        <v/>
      </c>
      <c r="AA285" s="140">
        <f>IF(AA$226="","",IF($B285="","",IFERROR(J285*$E285/100,"")))</f>
        <v/>
      </c>
      <c r="AB285" s="140">
        <f>IF(AB$226="","",IF($B285="","",IFERROR(K285*$E285/100,"")))</f>
        <v/>
      </c>
      <c r="AC285" s="140">
        <f>IF(AC$226="","",IF($B285="","",IFERROR(L285*$E285/100,"")))</f>
        <v/>
      </c>
      <c r="AD285" s="140">
        <f>IF(AD$226="","",IF($B285="","",IFERROR(M285*$E285/100,"")))</f>
        <v/>
      </c>
      <c r="AE285" s="140">
        <f>IF(AE$226="","",IF($B285="","",IFERROR(N285*$E285/100,"")))</f>
        <v/>
      </c>
      <c r="AF285" s="140">
        <f>IF(AF$226="","",IF($B285="","",IFERROR(O285*$E285/100,"")))</f>
        <v/>
      </c>
      <c r="AG285" s="140">
        <f>IF(AG$226="","",IF($B285="","",IFERROR(P285*$E285/100,"")))</f>
        <v/>
      </c>
      <c r="AH285" s="140">
        <f>IF(AH$226="","",IF($B285="","",IFERROR(Q285*$E285/100,"")))</f>
        <v/>
      </c>
      <c r="AI285" s="140">
        <f>IF(AI$226="","",IF($B285="","",IFERROR(R285*$E285/100,"")))</f>
        <v/>
      </c>
      <c r="AJ285" s="140">
        <f>IF(AJ$226="","",IF($B285="","",IFERROR(S285*$E285/100,"")))</f>
        <v/>
      </c>
      <c r="AK285" s="140">
        <f>IF(AK$226="","",IF($B285="","",IFERROR(T285*$E285/100,"")))</f>
        <v/>
      </c>
      <c r="AL285" s="140">
        <f>IF(AL$226="","",IF($B285="","",IFERROR(U285*$E285/100,"")))</f>
        <v/>
      </c>
      <c r="AN285" s="140">
        <f>IF($B285="","",SUMIF($F$226:$U$226,"&lt;="&amp;Sector!$E$51,$F285:$U285))</f>
        <v/>
      </c>
      <c r="AO285" s="140">
        <f>IF($B285="","",SUMIF($W$226:$AL$226,"&lt;="&amp;Sector!$E$51,$W285:$AL285))</f>
        <v/>
      </c>
    </row>
    <row r="286">
      <c r="B286" s="5">
        <f>IF(MXAU!$C$63="","",MXAU!$C$63)</f>
        <v/>
      </c>
      <c r="C286" s="90">
        <f>IF(MXAU!$B$63="","",MXAU!$B$63)</f>
        <v/>
      </c>
      <c r="D286" s="138">
        <f>IFERROR(MXAU!$Q$63,1)</f>
        <v/>
      </c>
      <c r="E286" s="139">
        <f>IF($B286="","",IF(ISNUMBER(MXAU!$I$63),MXAU!$I$63,'Index Summary'!$C$7))</f>
        <v/>
      </c>
      <c r="F286" s="140">
        <f>IF(F$226="","",IF($B286="","",IFERROR($C286*$D286*IF((Override!$C$4="ON")*(COUNTIFS(Override!$B$11:$B$40,$B286,Override!$D$11:$D$40,1,Override!$E$11:$E$40,"&gt;=0")-COUNTIFS(Override!$B$11:$B$40,$B286,Override!$D$11:$D$40,1,Override!$E$11:$E$40,"&gt;=0",Override!$C$11:$C$40,"AS51"))&gt;0,SUMIFS(Override!$E$11:$E$40,Override!$B$11:$B$40,$B286,Override!$D$11:$D$40,1)-SUMIFS(Override!$E$11:$E$40,Override!$B$11:$B$40,$B286,Override!$D$11:$D$40,1,Override!$C$11:$C$40,"AS51"),Override!$C$318)/MXAU!$B$3,"")))</f>
        <v/>
      </c>
      <c r="G286" s="140">
        <f>IF(G$226="","",IF($B286="","",IFERROR($C286*$D286*IF((Override!$C$4="ON")*(COUNTIFS(Override!$B$11:$B$40,$B286,Override!$D$11:$D$40,2,Override!$E$11:$E$40,"&gt;=0")-COUNTIFS(Override!$B$11:$B$40,$B286,Override!$D$11:$D$40,2,Override!$E$11:$E$40,"&gt;=0",Override!$C$11:$C$40,"AS51"))&gt;0,SUMIFS(Override!$E$11:$E$40,Override!$B$11:$B$40,$B286,Override!$D$11:$D$40,2)-SUMIFS(Override!$E$11:$E$40,Override!$B$11:$B$40,$B286,Override!$D$11:$D$40,2,Override!$C$11:$C$40,"AS51"),Override!$D$318)/MXAU!$B$3,"")))</f>
        <v/>
      </c>
      <c r="H286" s="140">
        <f>IF(H$226="","",IF($B286="","",IFERROR($C286*$D286*IF((Override!$C$4="ON")*(COUNTIFS(Override!$B$11:$B$40,$B286,Override!$D$11:$D$40,3,Override!$E$11:$E$40,"&gt;=0")-COUNTIFS(Override!$B$11:$B$40,$B286,Override!$D$11:$D$40,3,Override!$E$11:$E$40,"&gt;=0",Override!$C$11:$C$40,"AS51"))&gt;0,SUMIFS(Override!$E$11:$E$40,Override!$B$11:$B$40,$B286,Override!$D$11:$D$40,3)-SUMIFS(Override!$E$11:$E$40,Override!$B$11:$B$40,$B286,Override!$D$11:$D$40,3,Override!$C$11:$C$40,"AS51"),Override!$E$318)/MXAU!$B$3,"")))</f>
        <v/>
      </c>
      <c r="I286" s="140">
        <f>IF(I$226="","",IF($B286="","",IFERROR($C286*$D286*IF((Override!$C$4="ON")*(COUNTIFS(Override!$B$11:$B$40,$B286,Override!$D$11:$D$40,4,Override!$E$11:$E$40,"&gt;=0")-COUNTIFS(Override!$B$11:$B$40,$B286,Override!$D$11:$D$40,4,Override!$E$11:$E$40,"&gt;=0",Override!$C$11:$C$40,"AS51"))&gt;0,SUMIFS(Override!$E$11:$E$40,Override!$B$11:$B$40,$B286,Override!$D$11:$D$40,4)-SUMIFS(Override!$E$11:$E$40,Override!$B$11:$B$40,$B286,Override!$D$11:$D$40,4,Override!$C$11:$C$40,"AS51"),Override!$F$318)/MXAU!$B$3,"")))</f>
        <v/>
      </c>
      <c r="J286" s="140">
        <f>IF(J$226="","",IF($B286="","",IFERROR($C286*$D286*IF((Override!$C$4="ON")*(COUNTIFS(Override!$B$11:$B$40,$B286,Override!$D$11:$D$40,5,Override!$E$11:$E$40,"&gt;=0")-COUNTIFS(Override!$B$11:$B$40,$B286,Override!$D$11:$D$40,5,Override!$E$11:$E$40,"&gt;=0",Override!$C$11:$C$40,"AS51"))&gt;0,SUMIFS(Override!$E$11:$E$40,Override!$B$11:$B$40,$B286,Override!$D$11:$D$40,5)-SUMIFS(Override!$E$11:$E$40,Override!$B$11:$B$40,$B286,Override!$D$11:$D$40,5,Override!$C$11:$C$40,"AS51"),Override!$G$318)/MXAU!$B$3,"")))</f>
        <v/>
      </c>
      <c r="K286" s="140">
        <f>IF(K$226="","",IF($B286="","",IFERROR($C286*$D286*IF((Override!$C$4="ON")*(COUNTIFS(Override!$B$11:$B$40,$B286,Override!$D$11:$D$40,6,Override!$E$11:$E$40,"&gt;=0")-COUNTIFS(Override!$B$11:$B$40,$B286,Override!$D$11:$D$40,6,Override!$E$11:$E$40,"&gt;=0",Override!$C$11:$C$40,"AS51"))&gt;0,SUMIFS(Override!$E$11:$E$40,Override!$B$11:$B$40,$B286,Override!$D$11:$D$40,6)-SUMIFS(Override!$E$11:$E$40,Override!$B$11:$B$40,$B286,Override!$D$11:$D$40,6,Override!$C$11:$C$40,"AS51"),Override!$H$318)/MXAU!$B$3,"")))</f>
        <v/>
      </c>
      <c r="L286" s="140">
        <f>IF(L$226="","",IF($B286="","",IFERROR($C286*$D286*IF((Override!$C$4="ON")*(COUNTIFS(Override!$B$11:$B$40,$B286,Override!$D$11:$D$40,7,Override!$E$11:$E$40,"&gt;=0")-COUNTIFS(Override!$B$11:$B$40,$B286,Override!$D$11:$D$40,7,Override!$E$11:$E$40,"&gt;=0",Override!$C$11:$C$40,"AS51"))&gt;0,SUMIFS(Override!$E$11:$E$40,Override!$B$11:$B$40,$B286,Override!$D$11:$D$40,7)-SUMIFS(Override!$E$11:$E$40,Override!$B$11:$B$40,$B286,Override!$D$11:$D$40,7,Override!$C$11:$C$40,"AS51"),Override!$I$318)/MXAU!$B$3,"")))</f>
        <v/>
      </c>
      <c r="M286" s="140">
        <f>IF(M$226="","",IF($B286="","",IFERROR($C286*$D286*IF((Override!$C$4="ON")*(COUNTIFS(Override!$B$11:$B$40,$B286,Override!$D$11:$D$40,8,Override!$E$11:$E$40,"&gt;=0")-COUNTIFS(Override!$B$11:$B$40,$B286,Override!$D$11:$D$40,8,Override!$E$11:$E$40,"&gt;=0",Override!$C$11:$C$40,"AS51"))&gt;0,SUMIFS(Override!$E$11:$E$40,Override!$B$11:$B$40,$B286,Override!$D$11:$D$40,8)-SUMIFS(Override!$E$11:$E$40,Override!$B$11:$B$40,$B286,Override!$D$11:$D$40,8,Override!$C$11:$C$40,"AS51"),Override!$J$318)/MXAU!$B$3,"")))</f>
        <v/>
      </c>
      <c r="N286" s="140">
        <f>IF(N$226="","",IF($B286="","",IFERROR($C286*$D286*IF((Override!$C$4="ON")*(COUNTIFS(Override!$B$11:$B$40,$B286,Override!$D$11:$D$40,9,Override!$E$11:$E$40,"&gt;=0")-COUNTIFS(Override!$B$11:$B$40,$B286,Override!$D$11:$D$40,9,Override!$E$11:$E$40,"&gt;=0",Override!$C$11:$C$40,"AS51"))&gt;0,SUMIFS(Override!$E$11:$E$40,Override!$B$11:$B$40,$B286,Override!$D$11:$D$40,9)-SUMIFS(Override!$E$11:$E$40,Override!$B$11:$B$40,$B286,Override!$D$11:$D$40,9,Override!$C$11:$C$40,"AS51"),Override!$K$318)/MXAU!$B$3,"")))</f>
        <v/>
      </c>
      <c r="O286" s="140">
        <f>IF(O$226="","",IF($B286="","",IFERROR($C286*$D286*IF((Override!$C$4="ON")*(COUNTIFS(Override!$B$11:$B$40,$B286,Override!$D$11:$D$40,10,Override!$E$11:$E$40,"&gt;=0")-COUNTIFS(Override!$B$11:$B$40,$B286,Override!$D$11:$D$40,10,Override!$E$11:$E$40,"&gt;=0",Override!$C$11:$C$40,"AS51"))&gt;0,SUMIFS(Override!$E$11:$E$40,Override!$B$11:$B$40,$B286,Override!$D$11:$D$40,10)-SUMIFS(Override!$E$11:$E$40,Override!$B$11:$B$40,$B286,Override!$D$11:$D$40,10,Override!$C$11:$C$40,"AS51"),Override!$L$318)/MXAU!$B$3,"")))</f>
        <v/>
      </c>
      <c r="P286" s="140">
        <f>IF(P$226="","",IF($B286="","",IFERROR($C286*$D286*IF((Override!$C$4="ON")*(COUNTIFS(Override!$B$11:$B$40,$B286,Override!$D$11:$D$40,11,Override!$E$11:$E$40,"&gt;=0")-COUNTIFS(Override!$B$11:$B$40,$B286,Override!$D$11:$D$40,11,Override!$E$11:$E$40,"&gt;=0",Override!$C$11:$C$40,"AS51"))&gt;0,SUMIFS(Override!$E$11:$E$40,Override!$B$11:$B$40,$B286,Override!$D$11:$D$40,11)-SUMIFS(Override!$E$11:$E$40,Override!$B$11:$B$40,$B286,Override!$D$11:$D$40,11,Override!$C$11:$C$40,"AS51"),Override!$M$318)/MXAU!$B$3,"")))</f>
        <v/>
      </c>
      <c r="Q286" s="140">
        <f>IF(Q$226="","",IF($B286="","",IFERROR($C286*$D286*IF((Override!$C$4="ON")*(COUNTIFS(Override!$B$11:$B$40,$B286,Override!$D$11:$D$40,12,Override!$E$11:$E$40,"&gt;=0")-COUNTIFS(Override!$B$11:$B$40,$B286,Override!$D$11:$D$40,12,Override!$E$11:$E$40,"&gt;=0",Override!$C$11:$C$40,"AS51"))&gt;0,SUMIFS(Override!$E$11:$E$40,Override!$B$11:$B$40,$B286,Override!$D$11:$D$40,12)-SUMIFS(Override!$E$11:$E$40,Override!$B$11:$B$40,$B286,Override!$D$11:$D$40,12,Override!$C$11:$C$40,"AS51"),Override!$N$318)/MXAU!$B$3,"")))</f>
        <v/>
      </c>
      <c r="R286" s="140">
        <f>IF(R$226="","",IF($B286="","",IFERROR($C286*$D286*IF((Override!$C$4="ON")*(COUNTIFS(Override!$B$11:$B$40,$B286,Override!$D$11:$D$40,13,Override!$E$11:$E$40,"&gt;=0")-COUNTIFS(Override!$B$11:$B$40,$B286,Override!$D$11:$D$40,13,Override!$E$11:$E$40,"&gt;=0",Override!$C$11:$C$40,"AS51"))&gt;0,SUMIFS(Override!$E$11:$E$40,Override!$B$11:$B$40,$B286,Override!$D$11:$D$40,13)-SUMIFS(Override!$E$11:$E$40,Override!$B$11:$B$40,$B286,Override!$D$11:$D$40,13,Override!$C$11:$C$40,"AS51"),Override!$O$318)/MXAU!$B$3,"")))</f>
        <v/>
      </c>
      <c r="S286" s="140">
        <f>IF(S$226="","",IF($B286="","",IFERROR($C286*$D286*IF((Override!$C$4="ON")*(COUNTIFS(Override!$B$11:$B$40,$B286,Override!$D$11:$D$40,14,Override!$E$11:$E$40,"&gt;=0")-COUNTIFS(Override!$B$11:$B$40,$B286,Override!$D$11:$D$40,14,Override!$E$11:$E$40,"&gt;=0",Override!$C$11:$C$40,"AS51"))&gt;0,SUMIFS(Override!$E$11:$E$40,Override!$B$11:$B$40,$B286,Override!$D$11:$D$40,14)-SUMIFS(Override!$E$11:$E$40,Override!$B$11:$B$40,$B286,Override!$D$11:$D$40,14,Override!$C$11:$C$40,"AS51"),Override!$P$318)/MXAU!$B$3,"")))</f>
        <v/>
      </c>
      <c r="T286" s="140">
        <f>IF(T$226="","",IF($B286="","",IFERROR($C286*$D286*IF((Override!$C$4="ON")*(COUNTIFS(Override!$B$11:$B$40,$B286,Override!$D$11:$D$40,15,Override!$E$11:$E$40,"&gt;=0")-COUNTIFS(Override!$B$11:$B$40,$B286,Override!$D$11:$D$40,15,Override!$E$11:$E$40,"&gt;=0",Override!$C$11:$C$40,"AS51"))&gt;0,SUMIFS(Override!$E$11:$E$40,Override!$B$11:$B$40,$B286,Override!$D$11:$D$40,15)-SUMIFS(Override!$E$11:$E$40,Override!$B$11:$B$40,$B286,Override!$D$11:$D$40,15,Override!$C$11:$C$40,"AS51"),Override!$Q$318)/MXAU!$B$3,"")))</f>
        <v/>
      </c>
      <c r="U286" s="140">
        <f>IF(U$226="","",IF($B286="","",IFERROR($C286*$D286*IF((Override!$C$4="ON")*(COUNTIFS(Override!$B$11:$B$40,$B286,Override!$D$11:$D$40,16,Override!$E$11:$E$40,"&gt;=0")-COUNTIFS(Override!$B$11:$B$40,$B286,Override!$D$11:$D$40,16,Override!$E$11:$E$40,"&gt;=0",Override!$C$11:$C$40,"AS51"))&gt;0,SUMIFS(Override!$E$11:$E$40,Override!$B$11:$B$40,$B286,Override!$D$11:$D$40,16)-SUMIFS(Override!$E$11:$E$40,Override!$B$11:$B$40,$B286,Override!$D$11:$D$40,16,Override!$C$11:$C$40,"AS51"),Override!$R$318)/MXAU!$B$3,"")))</f>
        <v/>
      </c>
      <c r="W286" s="140">
        <f>IF(W$226="","",IF($B286="","",IFERROR(F286*$E286/100,"")))</f>
        <v/>
      </c>
      <c r="X286" s="140">
        <f>IF(X$226="","",IF($B286="","",IFERROR(G286*$E286/100,"")))</f>
        <v/>
      </c>
      <c r="Y286" s="140">
        <f>IF(Y$226="","",IF($B286="","",IFERROR(H286*$E286/100,"")))</f>
        <v/>
      </c>
      <c r="Z286" s="140">
        <f>IF(Z$226="","",IF($B286="","",IFERROR(I286*$E286/100,"")))</f>
        <v/>
      </c>
      <c r="AA286" s="140">
        <f>IF(AA$226="","",IF($B286="","",IFERROR(J286*$E286/100,"")))</f>
        <v/>
      </c>
      <c r="AB286" s="140">
        <f>IF(AB$226="","",IF($B286="","",IFERROR(K286*$E286/100,"")))</f>
        <v/>
      </c>
      <c r="AC286" s="140">
        <f>IF(AC$226="","",IF($B286="","",IFERROR(L286*$E286/100,"")))</f>
        <v/>
      </c>
      <c r="AD286" s="140">
        <f>IF(AD$226="","",IF($B286="","",IFERROR(M286*$E286/100,"")))</f>
        <v/>
      </c>
      <c r="AE286" s="140">
        <f>IF(AE$226="","",IF($B286="","",IFERROR(N286*$E286/100,"")))</f>
        <v/>
      </c>
      <c r="AF286" s="140">
        <f>IF(AF$226="","",IF($B286="","",IFERROR(O286*$E286/100,"")))</f>
        <v/>
      </c>
      <c r="AG286" s="140">
        <f>IF(AG$226="","",IF($B286="","",IFERROR(P286*$E286/100,"")))</f>
        <v/>
      </c>
      <c r="AH286" s="140">
        <f>IF(AH$226="","",IF($B286="","",IFERROR(Q286*$E286/100,"")))</f>
        <v/>
      </c>
      <c r="AI286" s="140">
        <f>IF(AI$226="","",IF($B286="","",IFERROR(R286*$E286/100,"")))</f>
        <v/>
      </c>
      <c r="AJ286" s="140">
        <f>IF(AJ$226="","",IF($B286="","",IFERROR(S286*$E286/100,"")))</f>
        <v/>
      </c>
      <c r="AK286" s="140">
        <f>IF(AK$226="","",IF($B286="","",IFERROR(T286*$E286/100,"")))</f>
        <v/>
      </c>
      <c r="AL286" s="140">
        <f>IF(AL$226="","",IF($B286="","",IFERROR(U286*$E286/100,"")))</f>
        <v/>
      </c>
      <c r="AN286" s="140">
        <f>IF($B286="","",SUMIF($F$226:$U$226,"&lt;="&amp;Sector!$E$51,$F286:$U286))</f>
        <v/>
      </c>
      <c r="AO286" s="140">
        <f>IF($B286="","",SUMIF($W$226:$AL$226,"&lt;="&amp;Sector!$E$51,$W286:$AL286))</f>
        <v/>
      </c>
    </row>
    <row r="287">
      <c r="B287" s="5">
        <f>IF(MXAU!$C$64="","",MXAU!$C$64)</f>
        <v/>
      </c>
      <c r="C287" s="90">
        <f>IF(MXAU!$B$64="","",MXAU!$B$64)</f>
        <v/>
      </c>
      <c r="D287" s="138">
        <f>IFERROR(MXAU!$Q$64,1)</f>
        <v/>
      </c>
      <c r="E287" s="139">
        <f>IF($B287="","",IF(ISNUMBER(MXAU!$I$64),MXAU!$I$64,'Index Summary'!$C$7))</f>
        <v/>
      </c>
      <c r="F287" s="140">
        <f>IF(F$226="","",IF($B287="","",IFERROR($C287*$D287*IF((Override!$C$4="ON")*(COUNTIFS(Override!$B$11:$B$40,$B287,Override!$D$11:$D$40,1,Override!$E$11:$E$40,"&gt;=0")-COUNTIFS(Override!$B$11:$B$40,$B287,Override!$D$11:$D$40,1,Override!$E$11:$E$40,"&gt;=0",Override!$C$11:$C$40,"AS51"))&gt;0,SUMIFS(Override!$E$11:$E$40,Override!$B$11:$B$40,$B287,Override!$D$11:$D$40,1)-SUMIFS(Override!$E$11:$E$40,Override!$B$11:$B$40,$B287,Override!$D$11:$D$40,1,Override!$C$11:$C$40,"AS51"),Override!$C$319)/MXAU!$B$3,"")))</f>
        <v/>
      </c>
      <c r="G287" s="140">
        <f>IF(G$226="","",IF($B287="","",IFERROR($C287*$D287*IF((Override!$C$4="ON")*(COUNTIFS(Override!$B$11:$B$40,$B287,Override!$D$11:$D$40,2,Override!$E$11:$E$40,"&gt;=0")-COUNTIFS(Override!$B$11:$B$40,$B287,Override!$D$11:$D$40,2,Override!$E$11:$E$40,"&gt;=0",Override!$C$11:$C$40,"AS51"))&gt;0,SUMIFS(Override!$E$11:$E$40,Override!$B$11:$B$40,$B287,Override!$D$11:$D$40,2)-SUMIFS(Override!$E$11:$E$40,Override!$B$11:$B$40,$B287,Override!$D$11:$D$40,2,Override!$C$11:$C$40,"AS51"),Override!$D$319)/MXAU!$B$3,"")))</f>
        <v/>
      </c>
      <c r="H287" s="140">
        <f>IF(H$226="","",IF($B287="","",IFERROR($C287*$D287*IF((Override!$C$4="ON")*(COUNTIFS(Override!$B$11:$B$40,$B287,Override!$D$11:$D$40,3,Override!$E$11:$E$40,"&gt;=0")-COUNTIFS(Override!$B$11:$B$40,$B287,Override!$D$11:$D$40,3,Override!$E$11:$E$40,"&gt;=0",Override!$C$11:$C$40,"AS51"))&gt;0,SUMIFS(Override!$E$11:$E$40,Override!$B$11:$B$40,$B287,Override!$D$11:$D$40,3)-SUMIFS(Override!$E$11:$E$40,Override!$B$11:$B$40,$B287,Override!$D$11:$D$40,3,Override!$C$11:$C$40,"AS51"),Override!$E$319)/MXAU!$B$3,"")))</f>
        <v/>
      </c>
      <c r="I287" s="140">
        <f>IF(I$226="","",IF($B287="","",IFERROR($C287*$D287*IF((Override!$C$4="ON")*(COUNTIFS(Override!$B$11:$B$40,$B287,Override!$D$11:$D$40,4,Override!$E$11:$E$40,"&gt;=0")-COUNTIFS(Override!$B$11:$B$40,$B287,Override!$D$11:$D$40,4,Override!$E$11:$E$40,"&gt;=0",Override!$C$11:$C$40,"AS51"))&gt;0,SUMIFS(Override!$E$11:$E$40,Override!$B$11:$B$40,$B287,Override!$D$11:$D$40,4)-SUMIFS(Override!$E$11:$E$40,Override!$B$11:$B$40,$B287,Override!$D$11:$D$40,4,Override!$C$11:$C$40,"AS51"),Override!$F$319)/MXAU!$B$3,"")))</f>
        <v/>
      </c>
      <c r="J287" s="140">
        <f>IF(J$226="","",IF($B287="","",IFERROR($C287*$D287*IF((Override!$C$4="ON")*(COUNTIFS(Override!$B$11:$B$40,$B287,Override!$D$11:$D$40,5,Override!$E$11:$E$40,"&gt;=0")-COUNTIFS(Override!$B$11:$B$40,$B287,Override!$D$11:$D$40,5,Override!$E$11:$E$40,"&gt;=0",Override!$C$11:$C$40,"AS51"))&gt;0,SUMIFS(Override!$E$11:$E$40,Override!$B$11:$B$40,$B287,Override!$D$11:$D$40,5)-SUMIFS(Override!$E$11:$E$40,Override!$B$11:$B$40,$B287,Override!$D$11:$D$40,5,Override!$C$11:$C$40,"AS51"),Override!$G$319)/MXAU!$B$3,"")))</f>
        <v/>
      </c>
      <c r="K287" s="140">
        <f>IF(K$226="","",IF($B287="","",IFERROR($C287*$D287*IF((Override!$C$4="ON")*(COUNTIFS(Override!$B$11:$B$40,$B287,Override!$D$11:$D$40,6,Override!$E$11:$E$40,"&gt;=0")-COUNTIFS(Override!$B$11:$B$40,$B287,Override!$D$11:$D$40,6,Override!$E$11:$E$40,"&gt;=0",Override!$C$11:$C$40,"AS51"))&gt;0,SUMIFS(Override!$E$11:$E$40,Override!$B$11:$B$40,$B287,Override!$D$11:$D$40,6)-SUMIFS(Override!$E$11:$E$40,Override!$B$11:$B$40,$B287,Override!$D$11:$D$40,6,Override!$C$11:$C$40,"AS51"),Override!$H$319)/MXAU!$B$3,"")))</f>
        <v/>
      </c>
      <c r="L287" s="140">
        <f>IF(L$226="","",IF($B287="","",IFERROR($C287*$D287*IF((Override!$C$4="ON")*(COUNTIFS(Override!$B$11:$B$40,$B287,Override!$D$11:$D$40,7,Override!$E$11:$E$40,"&gt;=0")-COUNTIFS(Override!$B$11:$B$40,$B287,Override!$D$11:$D$40,7,Override!$E$11:$E$40,"&gt;=0",Override!$C$11:$C$40,"AS51"))&gt;0,SUMIFS(Override!$E$11:$E$40,Override!$B$11:$B$40,$B287,Override!$D$11:$D$40,7)-SUMIFS(Override!$E$11:$E$40,Override!$B$11:$B$40,$B287,Override!$D$11:$D$40,7,Override!$C$11:$C$40,"AS51"),Override!$I$319)/MXAU!$B$3,"")))</f>
        <v/>
      </c>
      <c r="M287" s="140">
        <f>IF(M$226="","",IF($B287="","",IFERROR($C287*$D287*IF((Override!$C$4="ON")*(COUNTIFS(Override!$B$11:$B$40,$B287,Override!$D$11:$D$40,8,Override!$E$11:$E$40,"&gt;=0")-COUNTIFS(Override!$B$11:$B$40,$B287,Override!$D$11:$D$40,8,Override!$E$11:$E$40,"&gt;=0",Override!$C$11:$C$40,"AS51"))&gt;0,SUMIFS(Override!$E$11:$E$40,Override!$B$11:$B$40,$B287,Override!$D$11:$D$40,8)-SUMIFS(Override!$E$11:$E$40,Override!$B$11:$B$40,$B287,Override!$D$11:$D$40,8,Override!$C$11:$C$40,"AS51"),Override!$J$319)/MXAU!$B$3,"")))</f>
        <v/>
      </c>
      <c r="N287" s="140">
        <f>IF(N$226="","",IF($B287="","",IFERROR($C287*$D287*IF((Override!$C$4="ON")*(COUNTIFS(Override!$B$11:$B$40,$B287,Override!$D$11:$D$40,9,Override!$E$11:$E$40,"&gt;=0")-COUNTIFS(Override!$B$11:$B$40,$B287,Override!$D$11:$D$40,9,Override!$E$11:$E$40,"&gt;=0",Override!$C$11:$C$40,"AS51"))&gt;0,SUMIFS(Override!$E$11:$E$40,Override!$B$11:$B$40,$B287,Override!$D$11:$D$40,9)-SUMIFS(Override!$E$11:$E$40,Override!$B$11:$B$40,$B287,Override!$D$11:$D$40,9,Override!$C$11:$C$40,"AS51"),Override!$K$319)/MXAU!$B$3,"")))</f>
        <v/>
      </c>
      <c r="O287" s="140">
        <f>IF(O$226="","",IF($B287="","",IFERROR($C287*$D287*IF((Override!$C$4="ON")*(COUNTIFS(Override!$B$11:$B$40,$B287,Override!$D$11:$D$40,10,Override!$E$11:$E$40,"&gt;=0")-COUNTIFS(Override!$B$11:$B$40,$B287,Override!$D$11:$D$40,10,Override!$E$11:$E$40,"&gt;=0",Override!$C$11:$C$40,"AS51"))&gt;0,SUMIFS(Override!$E$11:$E$40,Override!$B$11:$B$40,$B287,Override!$D$11:$D$40,10)-SUMIFS(Override!$E$11:$E$40,Override!$B$11:$B$40,$B287,Override!$D$11:$D$40,10,Override!$C$11:$C$40,"AS51"),Override!$L$319)/MXAU!$B$3,"")))</f>
        <v/>
      </c>
      <c r="P287" s="140">
        <f>IF(P$226="","",IF($B287="","",IFERROR($C287*$D287*IF((Override!$C$4="ON")*(COUNTIFS(Override!$B$11:$B$40,$B287,Override!$D$11:$D$40,11,Override!$E$11:$E$40,"&gt;=0")-COUNTIFS(Override!$B$11:$B$40,$B287,Override!$D$11:$D$40,11,Override!$E$11:$E$40,"&gt;=0",Override!$C$11:$C$40,"AS51"))&gt;0,SUMIFS(Override!$E$11:$E$40,Override!$B$11:$B$40,$B287,Override!$D$11:$D$40,11)-SUMIFS(Override!$E$11:$E$40,Override!$B$11:$B$40,$B287,Override!$D$11:$D$40,11,Override!$C$11:$C$40,"AS51"),Override!$M$319)/MXAU!$B$3,"")))</f>
        <v/>
      </c>
      <c r="Q287" s="140">
        <f>IF(Q$226="","",IF($B287="","",IFERROR($C287*$D287*IF((Override!$C$4="ON")*(COUNTIFS(Override!$B$11:$B$40,$B287,Override!$D$11:$D$40,12,Override!$E$11:$E$40,"&gt;=0")-COUNTIFS(Override!$B$11:$B$40,$B287,Override!$D$11:$D$40,12,Override!$E$11:$E$40,"&gt;=0",Override!$C$11:$C$40,"AS51"))&gt;0,SUMIFS(Override!$E$11:$E$40,Override!$B$11:$B$40,$B287,Override!$D$11:$D$40,12)-SUMIFS(Override!$E$11:$E$40,Override!$B$11:$B$40,$B287,Override!$D$11:$D$40,12,Override!$C$11:$C$40,"AS51"),Override!$N$319)/MXAU!$B$3,"")))</f>
        <v/>
      </c>
      <c r="R287" s="140">
        <f>IF(R$226="","",IF($B287="","",IFERROR($C287*$D287*IF((Override!$C$4="ON")*(COUNTIFS(Override!$B$11:$B$40,$B287,Override!$D$11:$D$40,13,Override!$E$11:$E$40,"&gt;=0")-COUNTIFS(Override!$B$11:$B$40,$B287,Override!$D$11:$D$40,13,Override!$E$11:$E$40,"&gt;=0",Override!$C$11:$C$40,"AS51"))&gt;0,SUMIFS(Override!$E$11:$E$40,Override!$B$11:$B$40,$B287,Override!$D$11:$D$40,13)-SUMIFS(Override!$E$11:$E$40,Override!$B$11:$B$40,$B287,Override!$D$11:$D$40,13,Override!$C$11:$C$40,"AS51"),Override!$O$319)/MXAU!$B$3,"")))</f>
        <v/>
      </c>
      <c r="S287" s="140">
        <f>IF(S$226="","",IF($B287="","",IFERROR($C287*$D287*IF((Override!$C$4="ON")*(COUNTIFS(Override!$B$11:$B$40,$B287,Override!$D$11:$D$40,14,Override!$E$11:$E$40,"&gt;=0")-COUNTIFS(Override!$B$11:$B$40,$B287,Override!$D$11:$D$40,14,Override!$E$11:$E$40,"&gt;=0",Override!$C$11:$C$40,"AS51"))&gt;0,SUMIFS(Override!$E$11:$E$40,Override!$B$11:$B$40,$B287,Override!$D$11:$D$40,14)-SUMIFS(Override!$E$11:$E$40,Override!$B$11:$B$40,$B287,Override!$D$11:$D$40,14,Override!$C$11:$C$40,"AS51"),Override!$P$319)/MXAU!$B$3,"")))</f>
        <v/>
      </c>
      <c r="T287" s="140">
        <f>IF(T$226="","",IF($B287="","",IFERROR($C287*$D287*IF((Override!$C$4="ON")*(COUNTIFS(Override!$B$11:$B$40,$B287,Override!$D$11:$D$40,15,Override!$E$11:$E$40,"&gt;=0")-COUNTIFS(Override!$B$11:$B$40,$B287,Override!$D$11:$D$40,15,Override!$E$11:$E$40,"&gt;=0",Override!$C$11:$C$40,"AS51"))&gt;0,SUMIFS(Override!$E$11:$E$40,Override!$B$11:$B$40,$B287,Override!$D$11:$D$40,15)-SUMIFS(Override!$E$11:$E$40,Override!$B$11:$B$40,$B287,Override!$D$11:$D$40,15,Override!$C$11:$C$40,"AS51"),Override!$Q$319)/MXAU!$B$3,"")))</f>
        <v/>
      </c>
      <c r="U287" s="140">
        <f>IF(U$226="","",IF($B287="","",IFERROR($C287*$D287*IF((Override!$C$4="ON")*(COUNTIFS(Override!$B$11:$B$40,$B287,Override!$D$11:$D$40,16,Override!$E$11:$E$40,"&gt;=0")-COUNTIFS(Override!$B$11:$B$40,$B287,Override!$D$11:$D$40,16,Override!$E$11:$E$40,"&gt;=0",Override!$C$11:$C$40,"AS51"))&gt;0,SUMIFS(Override!$E$11:$E$40,Override!$B$11:$B$40,$B287,Override!$D$11:$D$40,16)-SUMIFS(Override!$E$11:$E$40,Override!$B$11:$B$40,$B287,Override!$D$11:$D$40,16,Override!$C$11:$C$40,"AS51"),Override!$R$319)/MXAU!$B$3,"")))</f>
        <v/>
      </c>
      <c r="W287" s="140">
        <f>IF(W$226="","",IF($B287="","",IFERROR(F287*$E287/100,"")))</f>
        <v/>
      </c>
      <c r="X287" s="140">
        <f>IF(X$226="","",IF($B287="","",IFERROR(G287*$E287/100,"")))</f>
        <v/>
      </c>
      <c r="Y287" s="140">
        <f>IF(Y$226="","",IF($B287="","",IFERROR(H287*$E287/100,"")))</f>
        <v/>
      </c>
      <c r="Z287" s="140">
        <f>IF(Z$226="","",IF($B287="","",IFERROR(I287*$E287/100,"")))</f>
        <v/>
      </c>
      <c r="AA287" s="140">
        <f>IF(AA$226="","",IF($B287="","",IFERROR(J287*$E287/100,"")))</f>
        <v/>
      </c>
      <c r="AB287" s="140">
        <f>IF(AB$226="","",IF($B287="","",IFERROR(K287*$E287/100,"")))</f>
        <v/>
      </c>
      <c r="AC287" s="140">
        <f>IF(AC$226="","",IF($B287="","",IFERROR(L287*$E287/100,"")))</f>
        <v/>
      </c>
      <c r="AD287" s="140">
        <f>IF(AD$226="","",IF($B287="","",IFERROR(M287*$E287/100,"")))</f>
        <v/>
      </c>
      <c r="AE287" s="140">
        <f>IF(AE$226="","",IF($B287="","",IFERROR(N287*$E287/100,"")))</f>
        <v/>
      </c>
      <c r="AF287" s="140">
        <f>IF(AF$226="","",IF($B287="","",IFERROR(O287*$E287/100,"")))</f>
        <v/>
      </c>
      <c r="AG287" s="140">
        <f>IF(AG$226="","",IF($B287="","",IFERROR(P287*$E287/100,"")))</f>
        <v/>
      </c>
      <c r="AH287" s="140">
        <f>IF(AH$226="","",IF($B287="","",IFERROR(Q287*$E287/100,"")))</f>
        <v/>
      </c>
      <c r="AI287" s="140">
        <f>IF(AI$226="","",IF($B287="","",IFERROR(R287*$E287/100,"")))</f>
        <v/>
      </c>
      <c r="AJ287" s="140">
        <f>IF(AJ$226="","",IF($B287="","",IFERROR(S287*$E287/100,"")))</f>
        <v/>
      </c>
      <c r="AK287" s="140">
        <f>IF(AK$226="","",IF($B287="","",IFERROR(T287*$E287/100,"")))</f>
        <v/>
      </c>
      <c r="AL287" s="140">
        <f>IF(AL$226="","",IF($B287="","",IFERROR(U287*$E287/100,"")))</f>
        <v/>
      </c>
      <c r="AN287" s="140">
        <f>IF($B287="","",SUMIF($F$226:$U$226,"&lt;="&amp;Sector!$E$51,$F287:$U287))</f>
        <v/>
      </c>
      <c r="AO287" s="140">
        <f>IF($B287="","",SUMIF($W$226:$AL$226,"&lt;="&amp;Sector!$E$51,$W287:$AL287))</f>
        <v/>
      </c>
    </row>
    <row r="288">
      <c r="B288" s="5">
        <f>IF(MXAU!$C$65="","",MXAU!$C$65)</f>
        <v/>
      </c>
      <c r="C288" s="90">
        <f>IF(MXAU!$B$65="","",MXAU!$B$65)</f>
        <v/>
      </c>
      <c r="D288" s="138">
        <f>IFERROR(MXAU!$Q$65,1)</f>
        <v/>
      </c>
      <c r="E288" s="139">
        <f>IF($B288="","",IF(ISNUMBER(MXAU!$I$65),MXAU!$I$65,'Index Summary'!$C$7))</f>
        <v/>
      </c>
      <c r="F288" s="140">
        <f>IF(F$226="","",IF($B288="","",IFERROR($C288*$D288*IF((Override!$C$4="ON")*(COUNTIFS(Override!$B$11:$B$40,$B288,Override!$D$11:$D$40,1,Override!$E$11:$E$40,"&gt;=0")-COUNTIFS(Override!$B$11:$B$40,$B288,Override!$D$11:$D$40,1,Override!$E$11:$E$40,"&gt;=0",Override!$C$11:$C$40,"AS51"))&gt;0,SUMIFS(Override!$E$11:$E$40,Override!$B$11:$B$40,$B288,Override!$D$11:$D$40,1)-SUMIFS(Override!$E$11:$E$40,Override!$B$11:$B$40,$B288,Override!$D$11:$D$40,1,Override!$C$11:$C$40,"AS51"),Override!$C$320)/MXAU!$B$3,"")))</f>
        <v/>
      </c>
      <c r="G288" s="140">
        <f>IF(G$226="","",IF($B288="","",IFERROR($C288*$D288*IF((Override!$C$4="ON")*(COUNTIFS(Override!$B$11:$B$40,$B288,Override!$D$11:$D$40,2,Override!$E$11:$E$40,"&gt;=0")-COUNTIFS(Override!$B$11:$B$40,$B288,Override!$D$11:$D$40,2,Override!$E$11:$E$40,"&gt;=0",Override!$C$11:$C$40,"AS51"))&gt;0,SUMIFS(Override!$E$11:$E$40,Override!$B$11:$B$40,$B288,Override!$D$11:$D$40,2)-SUMIFS(Override!$E$11:$E$40,Override!$B$11:$B$40,$B288,Override!$D$11:$D$40,2,Override!$C$11:$C$40,"AS51"),Override!$D$320)/MXAU!$B$3,"")))</f>
        <v/>
      </c>
      <c r="H288" s="140">
        <f>IF(H$226="","",IF($B288="","",IFERROR($C288*$D288*IF((Override!$C$4="ON")*(COUNTIFS(Override!$B$11:$B$40,$B288,Override!$D$11:$D$40,3,Override!$E$11:$E$40,"&gt;=0")-COUNTIFS(Override!$B$11:$B$40,$B288,Override!$D$11:$D$40,3,Override!$E$11:$E$40,"&gt;=0",Override!$C$11:$C$40,"AS51"))&gt;0,SUMIFS(Override!$E$11:$E$40,Override!$B$11:$B$40,$B288,Override!$D$11:$D$40,3)-SUMIFS(Override!$E$11:$E$40,Override!$B$11:$B$40,$B288,Override!$D$11:$D$40,3,Override!$C$11:$C$40,"AS51"),Override!$E$320)/MXAU!$B$3,"")))</f>
        <v/>
      </c>
      <c r="I288" s="140">
        <f>IF(I$226="","",IF($B288="","",IFERROR($C288*$D288*IF((Override!$C$4="ON")*(COUNTIFS(Override!$B$11:$B$40,$B288,Override!$D$11:$D$40,4,Override!$E$11:$E$40,"&gt;=0")-COUNTIFS(Override!$B$11:$B$40,$B288,Override!$D$11:$D$40,4,Override!$E$11:$E$40,"&gt;=0",Override!$C$11:$C$40,"AS51"))&gt;0,SUMIFS(Override!$E$11:$E$40,Override!$B$11:$B$40,$B288,Override!$D$11:$D$40,4)-SUMIFS(Override!$E$11:$E$40,Override!$B$11:$B$40,$B288,Override!$D$11:$D$40,4,Override!$C$11:$C$40,"AS51"),Override!$F$320)/MXAU!$B$3,"")))</f>
        <v/>
      </c>
      <c r="J288" s="140">
        <f>IF(J$226="","",IF($B288="","",IFERROR($C288*$D288*IF((Override!$C$4="ON")*(COUNTIFS(Override!$B$11:$B$40,$B288,Override!$D$11:$D$40,5,Override!$E$11:$E$40,"&gt;=0")-COUNTIFS(Override!$B$11:$B$40,$B288,Override!$D$11:$D$40,5,Override!$E$11:$E$40,"&gt;=0",Override!$C$11:$C$40,"AS51"))&gt;0,SUMIFS(Override!$E$11:$E$40,Override!$B$11:$B$40,$B288,Override!$D$11:$D$40,5)-SUMIFS(Override!$E$11:$E$40,Override!$B$11:$B$40,$B288,Override!$D$11:$D$40,5,Override!$C$11:$C$40,"AS51"),Override!$G$320)/MXAU!$B$3,"")))</f>
        <v/>
      </c>
      <c r="K288" s="140">
        <f>IF(K$226="","",IF($B288="","",IFERROR($C288*$D288*IF((Override!$C$4="ON")*(COUNTIFS(Override!$B$11:$B$40,$B288,Override!$D$11:$D$40,6,Override!$E$11:$E$40,"&gt;=0")-COUNTIFS(Override!$B$11:$B$40,$B288,Override!$D$11:$D$40,6,Override!$E$11:$E$40,"&gt;=0",Override!$C$11:$C$40,"AS51"))&gt;0,SUMIFS(Override!$E$11:$E$40,Override!$B$11:$B$40,$B288,Override!$D$11:$D$40,6)-SUMIFS(Override!$E$11:$E$40,Override!$B$11:$B$40,$B288,Override!$D$11:$D$40,6,Override!$C$11:$C$40,"AS51"),Override!$H$320)/MXAU!$B$3,"")))</f>
        <v/>
      </c>
      <c r="L288" s="140">
        <f>IF(L$226="","",IF($B288="","",IFERROR($C288*$D288*IF((Override!$C$4="ON")*(COUNTIFS(Override!$B$11:$B$40,$B288,Override!$D$11:$D$40,7,Override!$E$11:$E$40,"&gt;=0")-COUNTIFS(Override!$B$11:$B$40,$B288,Override!$D$11:$D$40,7,Override!$E$11:$E$40,"&gt;=0",Override!$C$11:$C$40,"AS51"))&gt;0,SUMIFS(Override!$E$11:$E$40,Override!$B$11:$B$40,$B288,Override!$D$11:$D$40,7)-SUMIFS(Override!$E$11:$E$40,Override!$B$11:$B$40,$B288,Override!$D$11:$D$40,7,Override!$C$11:$C$40,"AS51"),Override!$I$320)/MXAU!$B$3,"")))</f>
        <v/>
      </c>
      <c r="M288" s="140">
        <f>IF(M$226="","",IF($B288="","",IFERROR($C288*$D288*IF((Override!$C$4="ON")*(COUNTIFS(Override!$B$11:$B$40,$B288,Override!$D$11:$D$40,8,Override!$E$11:$E$40,"&gt;=0")-COUNTIFS(Override!$B$11:$B$40,$B288,Override!$D$11:$D$40,8,Override!$E$11:$E$40,"&gt;=0",Override!$C$11:$C$40,"AS51"))&gt;0,SUMIFS(Override!$E$11:$E$40,Override!$B$11:$B$40,$B288,Override!$D$11:$D$40,8)-SUMIFS(Override!$E$11:$E$40,Override!$B$11:$B$40,$B288,Override!$D$11:$D$40,8,Override!$C$11:$C$40,"AS51"),Override!$J$320)/MXAU!$B$3,"")))</f>
        <v/>
      </c>
      <c r="N288" s="140">
        <f>IF(N$226="","",IF($B288="","",IFERROR($C288*$D288*IF((Override!$C$4="ON")*(COUNTIFS(Override!$B$11:$B$40,$B288,Override!$D$11:$D$40,9,Override!$E$11:$E$40,"&gt;=0")-COUNTIFS(Override!$B$11:$B$40,$B288,Override!$D$11:$D$40,9,Override!$E$11:$E$40,"&gt;=0",Override!$C$11:$C$40,"AS51"))&gt;0,SUMIFS(Override!$E$11:$E$40,Override!$B$11:$B$40,$B288,Override!$D$11:$D$40,9)-SUMIFS(Override!$E$11:$E$40,Override!$B$11:$B$40,$B288,Override!$D$11:$D$40,9,Override!$C$11:$C$40,"AS51"),Override!$K$320)/MXAU!$B$3,"")))</f>
        <v/>
      </c>
      <c r="O288" s="140">
        <f>IF(O$226="","",IF($B288="","",IFERROR($C288*$D288*IF((Override!$C$4="ON")*(COUNTIFS(Override!$B$11:$B$40,$B288,Override!$D$11:$D$40,10,Override!$E$11:$E$40,"&gt;=0")-COUNTIFS(Override!$B$11:$B$40,$B288,Override!$D$11:$D$40,10,Override!$E$11:$E$40,"&gt;=0",Override!$C$11:$C$40,"AS51"))&gt;0,SUMIFS(Override!$E$11:$E$40,Override!$B$11:$B$40,$B288,Override!$D$11:$D$40,10)-SUMIFS(Override!$E$11:$E$40,Override!$B$11:$B$40,$B288,Override!$D$11:$D$40,10,Override!$C$11:$C$40,"AS51"),Override!$L$320)/MXAU!$B$3,"")))</f>
        <v/>
      </c>
      <c r="P288" s="140">
        <f>IF(P$226="","",IF($B288="","",IFERROR($C288*$D288*IF((Override!$C$4="ON")*(COUNTIFS(Override!$B$11:$B$40,$B288,Override!$D$11:$D$40,11,Override!$E$11:$E$40,"&gt;=0")-COUNTIFS(Override!$B$11:$B$40,$B288,Override!$D$11:$D$40,11,Override!$E$11:$E$40,"&gt;=0",Override!$C$11:$C$40,"AS51"))&gt;0,SUMIFS(Override!$E$11:$E$40,Override!$B$11:$B$40,$B288,Override!$D$11:$D$40,11)-SUMIFS(Override!$E$11:$E$40,Override!$B$11:$B$40,$B288,Override!$D$11:$D$40,11,Override!$C$11:$C$40,"AS51"),Override!$M$320)/MXAU!$B$3,"")))</f>
        <v/>
      </c>
      <c r="Q288" s="140">
        <f>IF(Q$226="","",IF($B288="","",IFERROR($C288*$D288*IF((Override!$C$4="ON")*(COUNTIFS(Override!$B$11:$B$40,$B288,Override!$D$11:$D$40,12,Override!$E$11:$E$40,"&gt;=0")-COUNTIFS(Override!$B$11:$B$40,$B288,Override!$D$11:$D$40,12,Override!$E$11:$E$40,"&gt;=0",Override!$C$11:$C$40,"AS51"))&gt;0,SUMIFS(Override!$E$11:$E$40,Override!$B$11:$B$40,$B288,Override!$D$11:$D$40,12)-SUMIFS(Override!$E$11:$E$40,Override!$B$11:$B$40,$B288,Override!$D$11:$D$40,12,Override!$C$11:$C$40,"AS51"),Override!$N$320)/MXAU!$B$3,"")))</f>
        <v/>
      </c>
      <c r="R288" s="140">
        <f>IF(R$226="","",IF($B288="","",IFERROR($C288*$D288*IF((Override!$C$4="ON")*(COUNTIFS(Override!$B$11:$B$40,$B288,Override!$D$11:$D$40,13,Override!$E$11:$E$40,"&gt;=0")-COUNTIFS(Override!$B$11:$B$40,$B288,Override!$D$11:$D$40,13,Override!$E$11:$E$40,"&gt;=0",Override!$C$11:$C$40,"AS51"))&gt;0,SUMIFS(Override!$E$11:$E$40,Override!$B$11:$B$40,$B288,Override!$D$11:$D$40,13)-SUMIFS(Override!$E$11:$E$40,Override!$B$11:$B$40,$B288,Override!$D$11:$D$40,13,Override!$C$11:$C$40,"AS51"),Override!$O$320)/MXAU!$B$3,"")))</f>
        <v/>
      </c>
      <c r="S288" s="140">
        <f>IF(S$226="","",IF($B288="","",IFERROR($C288*$D288*IF((Override!$C$4="ON")*(COUNTIFS(Override!$B$11:$B$40,$B288,Override!$D$11:$D$40,14,Override!$E$11:$E$40,"&gt;=0")-COUNTIFS(Override!$B$11:$B$40,$B288,Override!$D$11:$D$40,14,Override!$E$11:$E$40,"&gt;=0",Override!$C$11:$C$40,"AS51"))&gt;0,SUMIFS(Override!$E$11:$E$40,Override!$B$11:$B$40,$B288,Override!$D$11:$D$40,14)-SUMIFS(Override!$E$11:$E$40,Override!$B$11:$B$40,$B288,Override!$D$11:$D$40,14,Override!$C$11:$C$40,"AS51"),Override!$P$320)/MXAU!$B$3,"")))</f>
        <v/>
      </c>
      <c r="T288" s="140">
        <f>IF(T$226="","",IF($B288="","",IFERROR($C288*$D288*IF((Override!$C$4="ON")*(COUNTIFS(Override!$B$11:$B$40,$B288,Override!$D$11:$D$40,15,Override!$E$11:$E$40,"&gt;=0")-COUNTIFS(Override!$B$11:$B$40,$B288,Override!$D$11:$D$40,15,Override!$E$11:$E$40,"&gt;=0",Override!$C$11:$C$40,"AS51"))&gt;0,SUMIFS(Override!$E$11:$E$40,Override!$B$11:$B$40,$B288,Override!$D$11:$D$40,15)-SUMIFS(Override!$E$11:$E$40,Override!$B$11:$B$40,$B288,Override!$D$11:$D$40,15,Override!$C$11:$C$40,"AS51"),Override!$Q$320)/MXAU!$B$3,"")))</f>
        <v/>
      </c>
      <c r="U288" s="140">
        <f>IF(U$226="","",IF($B288="","",IFERROR($C288*$D288*IF((Override!$C$4="ON")*(COUNTIFS(Override!$B$11:$B$40,$B288,Override!$D$11:$D$40,16,Override!$E$11:$E$40,"&gt;=0")-COUNTIFS(Override!$B$11:$B$40,$B288,Override!$D$11:$D$40,16,Override!$E$11:$E$40,"&gt;=0",Override!$C$11:$C$40,"AS51"))&gt;0,SUMIFS(Override!$E$11:$E$40,Override!$B$11:$B$40,$B288,Override!$D$11:$D$40,16)-SUMIFS(Override!$E$11:$E$40,Override!$B$11:$B$40,$B288,Override!$D$11:$D$40,16,Override!$C$11:$C$40,"AS51"),Override!$R$320)/MXAU!$B$3,"")))</f>
        <v/>
      </c>
      <c r="W288" s="140">
        <f>IF(W$226="","",IF($B288="","",IFERROR(F288*$E288/100,"")))</f>
        <v/>
      </c>
      <c r="X288" s="140">
        <f>IF(X$226="","",IF($B288="","",IFERROR(G288*$E288/100,"")))</f>
        <v/>
      </c>
      <c r="Y288" s="140">
        <f>IF(Y$226="","",IF($B288="","",IFERROR(H288*$E288/100,"")))</f>
        <v/>
      </c>
      <c r="Z288" s="140">
        <f>IF(Z$226="","",IF($B288="","",IFERROR(I288*$E288/100,"")))</f>
        <v/>
      </c>
      <c r="AA288" s="140">
        <f>IF(AA$226="","",IF($B288="","",IFERROR(J288*$E288/100,"")))</f>
        <v/>
      </c>
      <c r="AB288" s="140">
        <f>IF(AB$226="","",IF($B288="","",IFERROR(K288*$E288/100,"")))</f>
        <v/>
      </c>
      <c r="AC288" s="140">
        <f>IF(AC$226="","",IF($B288="","",IFERROR(L288*$E288/100,"")))</f>
        <v/>
      </c>
      <c r="AD288" s="140">
        <f>IF(AD$226="","",IF($B288="","",IFERROR(M288*$E288/100,"")))</f>
        <v/>
      </c>
      <c r="AE288" s="140">
        <f>IF(AE$226="","",IF($B288="","",IFERROR(N288*$E288/100,"")))</f>
        <v/>
      </c>
      <c r="AF288" s="140">
        <f>IF(AF$226="","",IF($B288="","",IFERROR(O288*$E288/100,"")))</f>
        <v/>
      </c>
      <c r="AG288" s="140">
        <f>IF(AG$226="","",IF($B288="","",IFERROR(P288*$E288/100,"")))</f>
        <v/>
      </c>
      <c r="AH288" s="140">
        <f>IF(AH$226="","",IF($B288="","",IFERROR(Q288*$E288/100,"")))</f>
        <v/>
      </c>
      <c r="AI288" s="140">
        <f>IF(AI$226="","",IF($B288="","",IFERROR(R288*$E288/100,"")))</f>
        <v/>
      </c>
      <c r="AJ288" s="140">
        <f>IF(AJ$226="","",IF($B288="","",IFERROR(S288*$E288/100,"")))</f>
        <v/>
      </c>
      <c r="AK288" s="140">
        <f>IF(AK$226="","",IF($B288="","",IFERROR(T288*$E288/100,"")))</f>
        <v/>
      </c>
      <c r="AL288" s="140">
        <f>IF(AL$226="","",IF($B288="","",IFERROR(U288*$E288/100,"")))</f>
        <v/>
      </c>
      <c r="AN288" s="140">
        <f>IF($B288="","",SUMIF($F$226:$U$226,"&lt;="&amp;Sector!$E$51,$F288:$U288))</f>
        <v/>
      </c>
      <c r="AO288" s="140">
        <f>IF($B288="","",SUMIF($W$226:$AL$226,"&lt;="&amp;Sector!$E$51,$W288:$AL288))</f>
        <v/>
      </c>
    </row>
    <row r="289">
      <c r="B289" s="5">
        <f>IF(MXAU!$C$66="","",MXAU!$C$66)</f>
        <v/>
      </c>
      <c r="C289" s="90">
        <f>IF(MXAU!$B$66="","",MXAU!$B$66)</f>
        <v/>
      </c>
      <c r="D289" s="138">
        <f>IFERROR(MXAU!$Q$66,1)</f>
        <v/>
      </c>
      <c r="E289" s="139">
        <f>IF($B289="","",IF(ISNUMBER(MXAU!$I$66),MXAU!$I$66,'Index Summary'!$C$7))</f>
        <v/>
      </c>
      <c r="F289" s="140">
        <f>IF(F$226="","",IF($B289="","",IFERROR($C289*$D289*IF((Override!$C$4="ON")*(COUNTIFS(Override!$B$11:$B$40,$B289,Override!$D$11:$D$40,1,Override!$E$11:$E$40,"&gt;=0")-COUNTIFS(Override!$B$11:$B$40,$B289,Override!$D$11:$D$40,1,Override!$E$11:$E$40,"&gt;=0",Override!$C$11:$C$40,"AS51"))&gt;0,SUMIFS(Override!$E$11:$E$40,Override!$B$11:$B$40,$B289,Override!$D$11:$D$40,1)-SUMIFS(Override!$E$11:$E$40,Override!$B$11:$B$40,$B289,Override!$D$11:$D$40,1,Override!$C$11:$C$40,"AS51"),Override!$C$321)/MXAU!$B$3,"")))</f>
        <v/>
      </c>
      <c r="G289" s="140">
        <f>IF(G$226="","",IF($B289="","",IFERROR($C289*$D289*IF((Override!$C$4="ON")*(COUNTIFS(Override!$B$11:$B$40,$B289,Override!$D$11:$D$40,2,Override!$E$11:$E$40,"&gt;=0")-COUNTIFS(Override!$B$11:$B$40,$B289,Override!$D$11:$D$40,2,Override!$E$11:$E$40,"&gt;=0",Override!$C$11:$C$40,"AS51"))&gt;0,SUMIFS(Override!$E$11:$E$40,Override!$B$11:$B$40,$B289,Override!$D$11:$D$40,2)-SUMIFS(Override!$E$11:$E$40,Override!$B$11:$B$40,$B289,Override!$D$11:$D$40,2,Override!$C$11:$C$40,"AS51"),Override!$D$321)/MXAU!$B$3,"")))</f>
        <v/>
      </c>
      <c r="H289" s="140">
        <f>IF(H$226="","",IF($B289="","",IFERROR($C289*$D289*IF((Override!$C$4="ON")*(COUNTIFS(Override!$B$11:$B$40,$B289,Override!$D$11:$D$40,3,Override!$E$11:$E$40,"&gt;=0")-COUNTIFS(Override!$B$11:$B$40,$B289,Override!$D$11:$D$40,3,Override!$E$11:$E$40,"&gt;=0",Override!$C$11:$C$40,"AS51"))&gt;0,SUMIFS(Override!$E$11:$E$40,Override!$B$11:$B$40,$B289,Override!$D$11:$D$40,3)-SUMIFS(Override!$E$11:$E$40,Override!$B$11:$B$40,$B289,Override!$D$11:$D$40,3,Override!$C$11:$C$40,"AS51"),Override!$E$321)/MXAU!$B$3,"")))</f>
        <v/>
      </c>
      <c r="I289" s="140">
        <f>IF(I$226="","",IF($B289="","",IFERROR($C289*$D289*IF((Override!$C$4="ON")*(COUNTIFS(Override!$B$11:$B$40,$B289,Override!$D$11:$D$40,4,Override!$E$11:$E$40,"&gt;=0")-COUNTIFS(Override!$B$11:$B$40,$B289,Override!$D$11:$D$40,4,Override!$E$11:$E$40,"&gt;=0",Override!$C$11:$C$40,"AS51"))&gt;0,SUMIFS(Override!$E$11:$E$40,Override!$B$11:$B$40,$B289,Override!$D$11:$D$40,4)-SUMIFS(Override!$E$11:$E$40,Override!$B$11:$B$40,$B289,Override!$D$11:$D$40,4,Override!$C$11:$C$40,"AS51"),Override!$F$321)/MXAU!$B$3,"")))</f>
        <v/>
      </c>
      <c r="J289" s="140">
        <f>IF(J$226="","",IF($B289="","",IFERROR($C289*$D289*IF((Override!$C$4="ON")*(COUNTIFS(Override!$B$11:$B$40,$B289,Override!$D$11:$D$40,5,Override!$E$11:$E$40,"&gt;=0")-COUNTIFS(Override!$B$11:$B$40,$B289,Override!$D$11:$D$40,5,Override!$E$11:$E$40,"&gt;=0",Override!$C$11:$C$40,"AS51"))&gt;0,SUMIFS(Override!$E$11:$E$40,Override!$B$11:$B$40,$B289,Override!$D$11:$D$40,5)-SUMIFS(Override!$E$11:$E$40,Override!$B$11:$B$40,$B289,Override!$D$11:$D$40,5,Override!$C$11:$C$40,"AS51"),Override!$G$321)/MXAU!$B$3,"")))</f>
        <v/>
      </c>
      <c r="K289" s="140">
        <f>IF(K$226="","",IF($B289="","",IFERROR($C289*$D289*IF((Override!$C$4="ON")*(COUNTIFS(Override!$B$11:$B$40,$B289,Override!$D$11:$D$40,6,Override!$E$11:$E$40,"&gt;=0")-COUNTIFS(Override!$B$11:$B$40,$B289,Override!$D$11:$D$40,6,Override!$E$11:$E$40,"&gt;=0",Override!$C$11:$C$40,"AS51"))&gt;0,SUMIFS(Override!$E$11:$E$40,Override!$B$11:$B$40,$B289,Override!$D$11:$D$40,6)-SUMIFS(Override!$E$11:$E$40,Override!$B$11:$B$40,$B289,Override!$D$11:$D$40,6,Override!$C$11:$C$40,"AS51"),Override!$H$321)/MXAU!$B$3,"")))</f>
        <v/>
      </c>
      <c r="L289" s="140">
        <f>IF(L$226="","",IF($B289="","",IFERROR($C289*$D289*IF((Override!$C$4="ON")*(COUNTIFS(Override!$B$11:$B$40,$B289,Override!$D$11:$D$40,7,Override!$E$11:$E$40,"&gt;=0")-COUNTIFS(Override!$B$11:$B$40,$B289,Override!$D$11:$D$40,7,Override!$E$11:$E$40,"&gt;=0",Override!$C$11:$C$40,"AS51"))&gt;0,SUMIFS(Override!$E$11:$E$40,Override!$B$11:$B$40,$B289,Override!$D$11:$D$40,7)-SUMIFS(Override!$E$11:$E$40,Override!$B$11:$B$40,$B289,Override!$D$11:$D$40,7,Override!$C$11:$C$40,"AS51"),Override!$I$321)/MXAU!$B$3,"")))</f>
        <v/>
      </c>
      <c r="M289" s="140">
        <f>IF(M$226="","",IF($B289="","",IFERROR($C289*$D289*IF((Override!$C$4="ON")*(COUNTIFS(Override!$B$11:$B$40,$B289,Override!$D$11:$D$40,8,Override!$E$11:$E$40,"&gt;=0")-COUNTIFS(Override!$B$11:$B$40,$B289,Override!$D$11:$D$40,8,Override!$E$11:$E$40,"&gt;=0",Override!$C$11:$C$40,"AS51"))&gt;0,SUMIFS(Override!$E$11:$E$40,Override!$B$11:$B$40,$B289,Override!$D$11:$D$40,8)-SUMIFS(Override!$E$11:$E$40,Override!$B$11:$B$40,$B289,Override!$D$11:$D$40,8,Override!$C$11:$C$40,"AS51"),Override!$J$321)/MXAU!$B$3,"")))</f>
        <v/>
      </c>
      <c r="N289" s="140">
        <f>IF(N$226="","",IF($B289="","",IFERROR($C289*$D289*IF((Override!$C$4="ON")*(COUNTIFS(Override!$B$11:$B$40,$B289,Override!$D$11:$D$40,9,Override!$E$11:$E$40,"&gt;=0")-COUNTIFS(Override!$B$11:$B$40,$B289,Override!$D$11:$D$40,9,Override!$E$11:$E$40,"&gt;=0",Override!$C$11:$C$40,"AS51"))&gt;0,SUMIFS(Override!$E$11:$E$40,Override!$B$11:$B$40,$B289,Override!$D$11:$D$40,9)-SUMIFS(Override!$E$11:$E$40,Override!$B$11:$B$40,$B289,Override!$D$11:$D$40,9,Override!$C$11:$C$40,"AS51"),Override!$K$321)/MXAU!$B$3,"")))</f>
        <v/>
      </c>
      <c r="O289" s="140">
        <f>IF(O$226="","",IF($B289="","",IFERROR($C289*$D289*IF((Override!$C$4="ON")*(COUNTIFS(Override!$B$11:$B$40,$B289,Override!$D$11:$D$40,10,Override!$E$11:$E$40,"&gt;=0")-COUNTIFS(Override!$B$11:$B$40,$B289,Override!$D$11:$D$40,10,Override!$E$11:$E$40,"&gt;=0",Override!$C$11:$C$40,"AS51"))&gt;0,SUMIFS(Override!$E$11:$E$40,Override!$B$11:$B$40,$B289,Override!$D$11:$D$40,10)-SUMIFS(Override!$E$11:$E$40,Override!$B$11:$B$40,$B289,Override!$D$11:$D$40,10,Override!$C$11:$C$40,"AS51"),Override!$L$321)/MXAU!$B$3,"")))</f>
        <v/>
      </c>
      <c r="P289" s="140">
        <f>IF(P$226="","",IF($B289="","",IFERROR($C289*$D289*IF((Override!$C$4="ON")*(COUNTIFS(Override!$B$11:$B$40,$B289,Override!$D$11:$D$40,11,Override!$E$11:$E$40,"&gt;=0")-COUNTIFS(Override!$B$11:$B$40,$B289,Override!$D$11:$D$40,11,Override!$E$11:$E$40,"&gt;=0",Override!$C$11:$C$40,"AS51"))&gt;0,SUMIFS(Override!$E$11:$E$40,Override!$B$11:$B$40,$B289,Override!$D$11:$D$40,11)-SUMIFS(Override!$E$11:$E$40,Override!$B$11:$B$40,$B289,Override!$D$11:$D$40,11,Override!$C$11:$C$40,"AS51"),Override!$M$321)/MXAU!$B$3,"")))</f>
        <v/>
      </c>
      <c r="Q289" s="140">
        <f>IF(Q$226="","",IF($B289="","",IFERROR($C289*$D289*IF((Override!$C$4="ON")*(COUNTIFS(Override!$B$11:$B$40,$B289,Override!$D$11:$D$40,12,Override!$E$11:$E$40,"&gt;=0")-COUNTIFS(Override!$B$11:$B$40,$B289,Override!$D$11:$D$40,12,Override!$E$11:$E$40,"&gt;=0",Override!$C$11:$C$40,"AS51"))&gt;0,SUMIFS(Override!$E$11:$E$40,Override!$B$11:$B$40,$B289,Override!$D$11:$D$40,12)-SUMIFS(Override!$E$11:$E$40,Override!$B$11:$B$40,$B289,Override!$D$11:$D$40,12,Override!$C$11:$C$40,"AS51"),Override!$N$321)/MXAU!$B$3,"")))</f>
        <v/>
      </c>
      <c r="R289" s="140">
        <f>IF(R$226="","",IF($B289="","",IFERROR($C289*$D289*IF((Override!$C$4="ON")*(COUNTIFS(Override!$B$11:$B$40,$B289,Override!$D$11:$D$40,13,Override!$E$11:$E$40,"&gt;=0")-COUNTIFS(Override!$B$11:$B$40,$B289,Override!$D$11:$D$40,13,Override!$E$11:$E$40,"&gt;=0",Override!$C$11:$C$40,"AS51"))&gt;0,SUMIFS(Override!$E$11:$E$40,Override!$B$11:$B$40,$B289,Override!$D$11:$D$40,13)-SUMIFS(Override!$E$11:$E$40,Override!$B$11:$B$40,$B289,Override!$D$11:$D$40,13,Override!$C$11:$C$40,"AS51"),Override!$O$321)/MXAU!$B$3,"")))</f>
        <v/>
      </c>
      <c r="S289" s="140">
        <f>IF(S$226="","",IF($B289="","",IFERROR($C289*$D289*IF((Override!$C$4="ON")*(COUNTIFS(Override!$B$11:$B$40,$B289,Override!$D$11:$D$40,14,Override!$E$11:$E$40,"&gt;=0")-COUNTIFS(Override!$B$11:$B$40,$B289,Override!$D$11:$D$40,14,Override!$E$11:$E$40,"&gt;=0",Override!$C$11:$C$40,"AS51"))&gt;0,SUMIFS(Override!$E$11:$E$40,Override!$B$11:$B$40,$B289,Override!$D$11:$D$40,14)-SUMIFS(Override!$E$11:$E$40,Override!$B$11:$B$40,$B289,Override!$D$11:$D$40,14,Override!$C$11:$C$40,"AS51"),Override!$P$321)/MXAU!$B$3,"")))</f>
        <v/>
      </c>
      <c r="T289" s="140">
        <f>IF(T$226="","",IF($B289="","",IFERROR($C289*$D289*IF((Override!$C$4="ON")*(COUNTIFS(Override!$B$11:$B$40,$B289,Override!$D$11:$D$40,15,Override!$E$11:$E$40,"&gt;=0")-COUNTIFS(Override!$B$11:$B$40,$B289,Override!$D$11:$D$40,15,Override!$E$11:$E$40,"&gt;=0",Override!$C$11:$C$40,"AS51"))&gt;0,SUMIFS(Override!$E$11:$E$40,Override!$B$11:$B$40,$B289,Override!$D$11:$D$40,15)-SUMIFS(Override!$E$11:$E$40,Override!$B$11:$B$40,$B289,Override!$D$11:$D$40,15,Override!$C$11:$C$40,"AS51"),Override!$Q$321)/MXAU!$B$3,"")))</f>
        <v/>
      </c>
      <c r="U289" s="140">
        <f>IF(U$226="","",IF($B289="","",IFERROR($C289*$D289*IF((Override!$C$4="ON")*(COUNTIFS(Override!$B$11:$B$40,$B289,Override!$D$11:$D$40,16,Override!$E$11:$E$40,"&gt;=0")-COUNTIFS(Override!$B$11:$B$40,$B289,Override!$D$11:$D$40,16,Override!$E$11:$E$40,"&gt;=0",Override!$C$11:$C$40,"AS51"))&gt;0,SUMIFS(Override!$E$11:$E$40,Override!$B$11:$B$40,$B289,Override!$D$11:$D$40,16)-SUMIFS(Override!$E$11:$E$40,Override!$B$11:$B$40,$B289,Override!$D$11:$D$40,16,Override!$C$11:$C$40,"AS51"),Override!$R$321)/MXAU!$B$3,"")))</f>
        <v/>
      </c>
      <c r="W289" s="140">
        <f>IF(W$226="","",IF($B289="","",IFERROR(F289*$E289/100,"")))</f>
        <v/>
      </c>
      <c r="X289" s="140">
        <f>IF(X$226="","",IF($B289="","",IFERROR(G289*$E289/100,"")))</f>
        <v/>
      </c>
      <c r="Y289" s="140">
        <f>IF(Y$226="","",IF($B289="","",IFERROR(H289*$E289/100,"")))</f>
        <v/>
      </c>
      <c r="Z289" s="140">
        <f>IF(Z$226="","",IF($B289="","",IFERROR(I289*$E289/100,"")))</f>
        <v/>
      </c>
      <c r="AA289" s="140">
        <f>IF(AA$226="","",IF($B289="","",IFERROR(J289*$E289/100,"")))</f>
        <v/>
      </c>
      <c r="AB289" s="140">
        <f>IF(AB$226="","",IF($B289="","",IFERROR(K289*$E289/100,"")))</f>
        <v/>
      </c>
      <c r="AC289" s="140">
        <f>IF(AC$226="","",IF($B289="","",IFERROR(L289*$E289/100,"")))</f>
        <v/>
      </c>
      <c r="AD289" s="140">
        <f>IF(AD$226="","",IF($B289="","",IFERROR(M289*$E289/100,"")))</f>
        <v/>
      </c>
      <c r="AE289" s="140">
        <f>IF(AE$226="","",IF($B289="","",IFERROR(N289*$E289/100,"")))</f>
        <v/>
      </c>
      <c r="AF289" s="140">
        <f>IF(AF$226="","",IF($B289="","",IFERROR(O289*$E289/100,"")))</f>
        <v/>
      </c>
      <c r="AG289" s="140">
        <f>IF(AG$226="","",IF($B289="","",IFERROR(P289*$E289/100,"")))</f>
        <v/>
      </c>
      <c r="AH289" s="140">
        <f>IF(AH$226="","",IF($B289="","",IFERROR(Q289*$E289/100,"")))</f>
        <v/>
      </c>
      <c r="AI289" s="140">
        <f>IF(AI$226="","",IF($B289="","",IFERROR(R289*$E289/100,"")))</f>
        <v/>
      </c>
      <c r="AJ289" s="140">
        <f>IF(AJ$226="","",IF($B289="","",IFERROR(S289*$E289/100,"")))</f>
        <v/>
      </c>
      <c r="AK289" s="140">
        <f>IF(AK$226="","",IF($B289="","",IFERROR(T289*$E289/100,"")))</f>
        <v/>
      </c>
      <c r="AL289" s="140">
        <f>IF(AL$226="","",IF($B289="","",IFERROR(U289*$E289/100,"")))</f>
        <v/>
      </c>
      <c r="AN289" s="140">
        <f>IF($B289="","",SUMIF($F$226:$U$226,"&lt;="&amp;Sector!$E$51,$F289:$U289))</f>
        <v/>
      </c>
      <c r="AO289" s="140">
        <f>IF($B289="","",SUMIF($W$226:$AL$226,"&lt;="&amp;Sector!$E$51,$W289:$AL289))</f>
        <v/>
      </c>
    </row>
    <row r="290">
      <c r="B290" s="5">
        <f>IF(MXAU!$C$67="","",MXAU!$C$67)</f>
        <v/>
      </c>
      <c r="C290" s="90">
        <f>IF(MXAU!$B$67="","",MXAU!$B$67)</f>
        <v/>
      </c>
      <c r="D290" s="138">
        <f>IFERROR(MXAU!$Q$67,1)</f>
        <v/>
      </c>
      <c r="E290" s="139">
        <f>IF($B290="","",IF(ISNUMBER(MXAU!$I$67),MXAU!$I$67,'Index Summary'!$C$7))</f>
        <v/>
      </c>
      <c r="F290" s="140">
        <f>IF(F$226="","",IF($B290="","",IFERROR($C290*$D290*IF((Override!$C$4="ON")*(COUNTIFS(Override!$B$11:$B$40,$B290,Override!$D$11:$D$40,1,Override!$E$11:$E$40,"&gt;=0")-COUNTIFS(Override!$B$11:$B$40,$B290,Override!$D$11:$D$40,1,Override!$E$11:$E$40,"&gt;=0",Override!$C$11:$C$40,"AS51"))&gt;0,SUMIFS(Override!$E$11:$E$40,Override!$B$11:$B$40,$B290,Override!$D$11:$D$40,1)-SUMIFS(Override!$E$11:$E$40,Override!$B$11:$B$40,$B290,Override!$D$11:$D$40,1,Override!$C$11:$C$40,"AS51"),Override!$C$322)/MXAU!$B$3,"")))</f>
        <v/>
      </c>
      <c r="G290" s="140">
        <f>IF(G$226="","",IF($B290="","",IFERROR($C290*$D290*IF((Override!$C$4="ON")*(COUNTIFS(Override!$B$11:$B$40,$B290,Override!$D$11:$D$40,2,Override!$E$11:$E$40,"&gt;=0")-COUNTIFS(Override!$B$11:$B$40,$B290,Override!$D$11:$D$40,2,Override!$E$11:$E$40,"&gt;=0",Override!$C$11:$C$40,"AS51"))&gt;0,SUMIFS(Override!$E$11:$E$40,Override!$B$11:$B$40,$B290,Override!$D$11:$D$40,2)-SUMIFS(Override!$E$11:$E$40,Override!$B$11:$B$40,$B290,Override!$D$11:$D$40,2,Override!$C$11:$C$40,"AS51"),Override!$D$322)/MXAU!$B$3,"")))</f>
        <v/>
      </c>
      <c r="H290" s="140">
        <f>IF(H$226="","",IF($B290="","",IFERROR($C290*$D290*IF((Override!$C$4="ON")*(COUNTIFS(Override!$B$11:$B$40,$B290,Override!$D$11:$D$40,3,Override!$E$11:$E$40,"&gt;=0")-COUNTIFS(Override!$B$11:$B$40,$B290,Override!$D$11:$D$40,3,Override!$E$11:$E$40,"&gt;=0",Override!$C$11:$C$40,"AS51"))&gt;0,SUMIFS(Override!$E$11:$E$40,Override!$B$11:$B$40,$B290,Override!$D$11:$D$40,3)-SUMIFS(Override!$E$11:$E$40,Override!$B$11:$B$40,$B290,Override!$D$11:$D$40,3,Override!$C$11:$C$40,"AS51"),Override!$E$322)/MXAU!$B$3,"")))</f>
        <v/>
      </c>
      <c r="I290" s="140">
        <f>IF(I$226="","",IF($B290="","",IFERROR($C290*$D290*IF((Override!$C$4="ON")*(COUNTIFS(Override!$B$11:$B$40,$B290,Override!$D$11:$D$40,4,Override!$E$11:$E$40,"&gt;=0")-COUNTIFS(Override!$B$11:$B$40,$B290,Override!$D$11:$D$40,4,Override!$E$11:$E$40,"&gt;=0",Override!$C$11:$C$40,"AS51"))&gt;0,SUMIFS(Override!$E$11:$E$40,Override!$B$11:$B$40,$B290,Override!$D$11:$D$40,4)-SUMIFS(Override!$E$11:$E$40,Override!$B$11:$B$40,$B290,Override!$D$11:$D$40,4,Override!$C$11:$C$40,"AS51"),Override!$F$322)/MXAU!$B$3,"")))</f>
        <v/>
      </c>
      <c r="J290" s="140">
        <f>IF(J$226="","",IF($B290="","",IFERROR($C290*$D290*IF((Override!$C$4="ON")*(COUNTIFS(Override!$B$11:$B$40,$B290,Override!$D$11:$D$40,5,Override!$E$11:$E$40,"&gt;=0")-COUNTIFS(Override!$B$11:$B$40,$B290,Override!$D$11:$D$40,5,Override!$E$11:$E$40,"&gt;=0",Override!$C$11:$C$40,"AS51"))&gt;0,SUMIFS(Override!$E$11:$E$40,Override!$B$11:$B$40,$B290,Override!$D$11:$D$40,5)-SUMIFS(Override!$E$11:$E$40,Override!$B$11:$B$40,$B290,Override!$D$11:$D$40,5,Override!$C$11:$C$40,"AS51"),Override!$G$322)/MXAU!$B$3,"")))</f>
        <v/>
      </c>
      <c r="K290" s="140">
        <f>IF(K$226="","",IF($B290="","",IFERROR($C290*$D290*IF((Override!$C$4="ON")*(COUNTIFS(Override!$B$11:$B$40,$B290,Override!$D$11:$D$40,6,Override!$E$11:$E$40,"&gt;=0")-COUNTIFS(Override!$B$11:$B$40,$B290,Override!$D$11:$D$40,6,Override!$E$11:$E$40,"&gt;=0",Override!$C$11:$C$40,"AS51"))&gt;0,SUMIFS(Override!$E$11:$E$40,Override!$B$11:$B$40,$B290,Override!$D$11:$D$40,6)-SUMIFS(Override!$E$11:$E$40,Override!$B$11:$B$40,$B290,Override!$D$11:$D$40,6,Override!$C$11:$C$40,"AS51"),Override!$H$322)/MXAU!$B$3,"")))</f>
        <v/>
      </c>
      <c r="L290" s="140">
        <f>IF(L$226="","",IF($B290="","",IFERROR($C290*$D290*IF((Override!$C$4="ON")*(COUNTIFS(Override!$B$11:$B$40,$B290,Override!$D$11:$D$40,7,Override!$E$11:$E$40,"&gt;=0")-COUNTIFS(Override!$B$11:$B$40,$B290,Override!$D$11:$D$40,7,Override!$E$11:$E$40,"&gt;=0",Override!$C$11:$C$40,"AS51"))&gt;0,SUMIFS(Override!$E$11:$E$40,Override!$B$11:$B$40,$B290,Override!$D$11:$D$40,7)-SUMIFS(Override!$E$11:$E$40,Override!$B$11:$B$40,$B290,Override!$D$11:$D$40,7,Override!$C$11:$C$40,"AS51"),Override!$I$322)/MXAU!$B$3,"")))</f>
        <v/>
      </c>
      <c r="M290" s="140">
        <f>IF(M$226="","",IF($B290="","",IFERROR($C290*$D290*IF((Override!$C$4="ON")*(COUNTIFS(Override!$B$11:$B$40,$B290,Override!$D$11:$D$40,8,Override!$E$11:$E$40,"&gt;=0")-COUNTIFS(Override!$B$11:$B$40,$B290,Override!$D$11:$D$40,8,Override!$E$11:$E$40,"&gt;=0",Override!$C$11:$C$40,"AS51"))&gt;0,SUMIFS(Override!$E$11:$E$40,Override!$B$11:$B$40,$B290,Override!$D$11:$D$40,8)-SUMIFS(Override!$E$11:$E$40,Override!$B$11:$B$40,$B290,Override!$D$11:$D$40,8,Override!$C$11:$C$40,"AS51"),Override!$J$322)/MXAU!$B$3,"")))</f>
        <v/>
      </c>
      <c r="N290" s="140">
        <f>IF(N$226="","",IF($B290="","",IFERROR($C290*$D290*IF((Override!$C$4="ON")*(COUNTIFS(Override!$B$11:$B$40,$B290,Override!$D$11:$D$40,9,Override!$E$11:$E$40,"&gt;=0")-COUNTIFS(Override!$B$11:$B$40,$B290,Override!$D$11:$D$40,9,Override!$E$11:$E$40,"&gt;=0",Override!$C$11:$C$40,"AS51"))&gt;0,SUMIFS(Override!$E$11:$E$40,Override!$B$11:$B$40,$B290,Override!$D$11:$D$40,9)-SUMIFS(Override!$E$11:$E$40,Override!$B$11:$B$40,$B290,Override!$D$11:$D$40,9,Override!$C$11:$C$40,"AS51"),Override!$K$322)/MXAU!$B$3,"")))</f>
        <v/>
      </c>
      <c r="O290" s="140">
        <f>IF(O$226="","",IF($B290="","",IFERROR($C290*$D290*IF((Override!$C$4="ON")*(COUNTIFS(Override!$B$11:$B$40,$B290,Override!$D$11:$D$40,10,Override!$E$11:$E$40,"&gt;=0")-COUNTIFS(Override!$B$11:$B$40,$B290,Override!$D$11:$D$40,10,Override!$E$11:$E$40,"&gt;=0",Override!$C$11:$C$40,"AS51"))&gt;0,SUMIFS(Override!$E$11:$E$40,Override!$B$11:$B$40,$B290,Override!$D$11:$D$40,10)-SUMIFS(Override!$E$11:$E$40,Override!$B$11:$B$40,$B290,Override!$D$11:$D$40,10,Override!$C$11:$C$40,"AS51"),Override!$L$322)/MXAU!$B$3,"")))</f>
        <v/>
      </c>
      <c r="P290" s="140">
        <f>IF(P$226="","",IF($B290="","",IFERROR($C290*$D290*IF((Override!$C$4="ON")*(COUNTIFS(Override!$B$11:$B$40,$B290,Override!$D$11:$D$40,11,Override!$E$11:$E$40,"&gt;=0")-COUNTIFS(Override!$B$11:$B$40,$B290,Override!$D$11:$D$40,11,Override!$E$11:$E$40,"&gt;=0",Override!$C$11:$C$40,"AS51"))&gt;0,SUMIFS(Override!$E$11:$E$40,Override!$B$11:$B$40,$B290,Override!$D$11:$D$40,11)-SUMIFS(Override!$E$11:$E$40,Override!$B$11:$B$40,$B290,Override!$D$11:$D$40,11,Override!$C$11:$C$40,"AS51"),Override!$M$322)/MXAU!$B$3,"")))</f>
        <v/>
      </c>
      <c r="Q290" s="140">
        <f>IF(Q$226="","",IF($B290="","",IFERROR($C290*$D290*IF((Override!$C$4="ON")*(COUNTIFS(Override!$B$11:$B$40,$B290,Override!$D$11:$D$40,12,Override!$E$11:$E$40,"&gt;=0")-COUNTIFS(Override!$B$11:$B$40,$B290,Override!$D$11:$D$40,12,Override!$E$11:$E$40,"&gt;=0",Override!$C$11:$C$40,"AS51"))&gt;0,SUMIFS(Override!$E$11:$E$40,Override!$B$11:$B$40,$B290,Override!$D$11:$D$40,12)-SUMIFS(Override!$E$11:$E$40,Override!$B$11:$B$40,$B290,Override!$D$11:$D$40,12,Override!$C$11:$C$40,"AS51"),Override!$N$322)/MXAU!$B$3,"")))</f>
        <v/>
      </c>
      <c r="R290" s="140">
        <f>IF(R$226="","",IF($B290="","",IFERROR($C290*$D290*IF((Override!$C$4="ON")*(COUNTIFS(Override!$B$11:$B$40,$B290,Override!$D$11:$D$40,13,Override!$E$11:$E$40,"&gt;=0")-COUNTIFS(Override!$B$11:$B$40,$B290,Override!$D$11:$D$40,13,Override!$E$11:$E$40,"&gt;=0",Override!$C$11:$C$40,"AS51"))&gt;0,SUMIFS(Override!$E$11:$E$40,Override!$B$11:$B$40,$B290,Override!$D$11:$D$40,13)-SUMIFS(Override!$E$11:$E$40,Override!$B$11:$B$40,$B290,Override!$D$11:$D$40,13,Override!$C$11:$C$40,"AS51"),Override!$O$322)/MXAU!$B$3,"")))</f>
        <v/>
      </c>
      <c r="S290" s="140">
        <f>IF(S$226="","",IF($B290="","",IFERROR($C290*$D290*IF((Override!$C$4="ON")*(COUNTIFS(Override!$B$11:$B$40,$B290,Override!$D$11:$D$40,14,Override!$E$11:$E$40,"&gt;=0")-COUNTIFS(Override!$B$11:$B$40,$B290,Override!$D$11:$D$40,14,Override!$E$11:$E$40,"&gt;=0",Override!$C$11:$C$40,"AS51"))&gt;0,SUMIFS(Override!$E$11:$E$40,Override!$B$11:$B$40,$B290,Override!$D$11:$D$40,14)-SUMIFS(Override!$E$11:$E$40,Override!$B$11:$B$40,$B290,Override!$D$11:$D$40,14,Override!$C$11:$C$40,"AS51"),Override!$P$322)/MXAU!$B$3,"")))</f>
        <v/>
      </c>
      <c r="T290" s="140">
        <f>IF(T$226="","",IF($B290="","",IFERROR($C290*$D290*IF((Override!$C$4="ON")*(COUNTIFS(Override!$B$11:$B$40,$B290,Override!$D$11:$D$40,15,Override!$E$11:$E$40,"&gt;=0")-COUNTIFS(Override!$B$11:$B$40,$B290,Override!$D$11:$D$40,15,Override!$E$11:$E$40,"&gt;=0",Override!$C$11:$C$40,"AS51"))&gt;0,SUMIFS(Override!$E$11:$E$40,Override!$B$11:$B$40,$B290,Override!$D$11:$D$40,15)-SUMIFS(Override!$E$11:$E$40,Override!$B$11:$B$40,$B290,Override!$D$11:$D$40,15,Override!$C$11:$C$40,"AS51"),Override!$Q$322)/MXAU!$B$3,"")))</f>
        <v/>
      </c>
      <c r="U290" s="140">
        <f>IF(U$226="","",IF($B290="","",IFERROR($C290*$D290*IF((Override!$C$4="ON")*(COUNTIFS(Override!$B$11:$B$40,$B290,Override!$D$11:$D$40,16,Override!$E$11:$E$40,"&gt;=0")-COUNTIFS(Override!$B$11:$B$40,$B290,Override!$D$11:$D$40,16,Override!$E$11:$E$40,"&gt;=0",Override!$C$11:$C$40,"AS51"))&gt;0,SUMIFS(Override!$E$11:$E$40,Override!$B$11:$B$40,$B290,Override!$D$11:$D$40,16)-SUMIFS(Override!$E$11:$E$40,Override!$B$11:$B$40,$B290,Override!$D$11:$D$40,16,Override!$C$11:$C$40,"AS51"),Override!$R$322)/MXAU!$B$3,"")))</f>
        <v/>
      </c>
      <c r="W290" s="140">
        <f>IF(W$226="","",IF($B290="","",IFERROR(F290*$E290/100,"")))</f>
        <v/>
      </c>
      <c r="X290" s="140">
        <f>IF(X$226="","",IF($B290="","",IFERROR(G290*$E290/100,"")))</f>
        <v/>
      </c>
      <c r="Y290" s="140">
        <f>IF(Y$226="","",IF($B290="","",IFERROR(H290*$E290/100,"")))</f>
        <v/>
      </c>
      <c r="Z290" s="140">
        <f>IF(Z$226="","",IF($B290="","",IFERROR(I290*$E290/100,"")))</f>
        <v/>
      </c>
      <c r="AA290" s="140">
        <f>IF(AA$226="","",IF($B290="","",IFERROR(J290*$E290/100,"")))</f>
        <v/>
      </c>
      <c r="AB290" s="140">
        <f>IF(AB$226="","",IF($B290="","",IFERROR(K290*$E290/100,"")))</f>
        <v/>
      </c>
      <c r="AC290" s="140">
        <f>IF(AC$226="","",IF($B290="","",IFERROR(L290*$E290/100,"")))</f>
        <v/>
      </c>
      <c r="AD290" s="140">
        <f>IF(AD$226="","",IF($B290="","",IFERROR(M290*$E290/100,"")))</f>
        <v/>
      </c>
      <c r="AE290" s="140">
        <f>IF(AE$226="","",IF($B290="","",IFERROR(N290*$E290/100,"")))</f>
        <v/>
      </c>
      <c r="AF290" s="140">
        <f>IF(AF$226="","",IF($B290="","",IFERROR(O290*$E290/100,"")))</f>
        <v/>
      </c>
      <c r="AG290" s="140">
        <f>IF(AG$226="","",IF($B290="","",IFERROR(P290*$E290/100,"")))</f>
        <v/>
      </c>
      <c r="AH290" s="140">
        <f>IF(AH$226="","",IF($B290="","",IFERROR(Q290*$E290/100,"")))</f>
        <v/>
      </c>
      <c r="AI290" s="140">
        <f>IF(AI$226="","",IF($B290="","",IFERROR(R290*$E290/100,"")))</f>
        <v/>
      </c>
      <c r="AJ290" s="140">
        <f>IF(AJ$226="","",IF($B290="","",IFERROR(S290*$E290/100,"")))</f>
        <v/>
      </c>
      <c r="AK290" s="140">
        <f>IF(AK$226="","",IF($B290="","",IFERROR(T290*$E290/100,"")))</f>
        <v/>
      </c>
      <c r="AL290" s="140">
        <f>IF(AL$226="","",IF($B290="","",IFERROR(U290*$E290/100,"")))</f>
        <v/>
      </c>
      <c r="AN290" s="140">
        <f>IF($B290="","",SUMIF($F$226:$U$226,"&lt;="&amp;Sector!$E$51,$F290:$U290))</f>
        <v/>
      </c>
      <c r="AO290" s="140">
        <f>IF($B290="","",SUMIF($W$226:$AL$226,"&lt;="&amp;Sector!$E$51,$W290:$AL290))</f>
        <v/>
      </c>
    </row>
    <row r="291">
      <c r="B291" s="5">
        <f>IF(MXAU!$C$68="","",MXAU!$C$68)</f>
        <v/>
      </c>
      <c r="C291" s="90">
        <f>IF(MXAU!$B$68="","",MXAU!$B$68)</f>
        <v/>
      </c>
      <c r="D291" s="138">
        <f>IFERROR(MXAU!$Q$68,1)</f>
        <v/>
      </c>
      <c r="E291" s="139">
        <f>IF($B291="","",IF(ISNUMBER(MXAU!$I$68),MXAU!$I$68,'Index Summary'!$C$7))</f>
        <v/>
      </c>
      <c r="F291" s="140">
        <f>IF(F$226="","",IF($B291="","",IFERROR($C291*$D291*IF((Override!$C$4="ON")*(COUNTIFS(Override!$B$11:$B$40,$B291,Override!$D$11:$D$40,1,Override!$E$11:$E$40,"&gt;=0")-COUNTIFS(Override!$B$11:$B$40,$B291,Override!$D$11:$D$40,1,Override!$E$11:$E$40,"&gt;=0",Override!$C$11:$C$40,"AS51"))&gt;0,SUMIFS(Override!$E$11:$E$40,Override!$B$11:$B$40,$B291,Override!$D$11:$D$40,1)-SUMIFS(Override!$E$11:$E$40,Override!$B$11:$B$40,$B291,Override!$D$11:$D$40,1,Override!$C$11:$C$40,"AS51"),Override!$C$323)/MXAU!$B$3,"")))</f>
        <v/>
      </c>
      <c r="G291" s="140">
        <f>IF(G$226="","",IF($B291="","",IFERROR($C291*$D291*IF((Override!$C$4="ON")*(COUNTIFS(Override!$B$11:$B$40,$B291,Override!$D$11:$D$40,2,Override!$E$11:$E$40,"&gt;=0")-COUNTIFS(Override!$B$11:$B$40,$B291,Override!$D$11:$D$40,2,Override!$E$11:$E$40,"&gt;=0",Override!$C$11:$C$40,"AS51"))&gt;0,SUMIFS(Override!$E$11:$E$40,Override!$B$11:$B$40,$B291,Override!$D$11:$D$40,2)-SUMIFS(Override!$E$11:$E$40,Override!$B$11:$B$40,$B291,Override!$D$11:$D$40,2,Override!$C$11:$C$40,"AS51"),Override!$D$323)/MXAU!$B$3,"")))</f>
        <v/>
      </c>
      <c r="H291" s="140">
        <f>IF(H$226="","",IF($B291="","",IFERROR($C291*$D291*IF((Override!$C$4="ON")*(COUNTIFS(Override!$B$11:$B$40,$B291,Override!$D$11:$D$40,3,Override!$E$11:$E$40,"&gt;=0")-COUNTIFS(Override!$B$11:$B$40,$B291,Override!$D$11:$D$40,3,Override!$E$11:$E$40,"&gt;=0",Override!$C$11:$C$40,"AS51"))&gt;0,SUMIFS(Override!$E$11:$E$40,Override!$B$11:$B$40,$B291,Override!$D$11:$D$40,3)-SUMIFS(Override!$E$11:$E$40,Override!$B$11:$B$40,$B291,Override!$D$11:$D$40,3,Override!$C$11:$C$40,"AS51"),Override!$E$323)/MXAU!$B$3,"")))</f>
        <v/>
      </c>
      <c r="I291" s="140">
        <f>IF(I$226="","",IF($B291="","",IFERROR($C291*$D291*IF((Override!$C$4="ON")*(COUNTIFS(Override!$B$11:$B$40,$B291,Override!$D$11:$D$40,4,Override!$E$11:$E$40,"&gt;=0")-COUNTIFS(Override!$B$11:$B$40,$B291,Override!$D$11:$D$40,4,Override!$E$11:$E$40,"&gt;=0",Override!$C$11:$C$40,"AS51"))&gt;0,SUMIFS(Override!$E$11:$E$40,Override!$B$11:$B$40,$B291,Override!$D$11:$D$40,4)-SUMIFS(Override!$E$11:$E$40,Override!$B$11:$B$40,$B291,Override!$D$11:$D$40,4,Override!$C$11:$C$40,"AS51"),Override!$F$323)/MXAU!$B$3,"")))</f>
        <v/>
      </c>
      <c r="J291" s="140">
        <f>IF(J$226="","",IF($B291="","",IFERROR($C291*$D291*IF((Override!$C$4="ON")*(COUNTIFS(Override!$B$11:$B$40,$B291,Override!$D$11:$D$40,5,Override!$E$11:$E$40,"&gt;=0")-COUNTIFS(Override!$B$11:$B$40,$B291,Override!$D$11:$D$40,5,Override!$E$11:$E$40,"&gt;=0",Override!$C$11:$C$40,"AS51"))&gt;0,SUMIFS(Override!$E$11:$E$40,Override!$B$11:$B$40,$B291,Override!$D$11:$D$40,5)-SUMIFS(Override!$E$11:$E$40,Override!$B$11:$B$40,$B291,Override!$D$11:$D$40,5,Override!$C$11:$C$40,"AS51"),Override!$G$323)/MXAU!$B$3,"")))</f>
        <v/>
      </c>
      <c r="K291" s="140">
        <f>IF(K$226="","",IF($B291="","",IFERROR($C291*$D291*IF((Override!$C$4="ON")*(COUNTIFS(Override!$B$11:$B$40,$B291,Override!$D$11:$D$40,6,Override!$E$11:$E$40,"&gt;=0")-COUNTIFS(Override!$B$11:$B$40,$B291,Override!$D$11:$D$40,6,Override!$E$11:$E$40,"&gt;=0",Override!$C$11:$C$40,"AS51"))&gt;0,SUMIFS(Override!$E$11:$E$40,Override!$B$11:$B$40,$B291,Override!$D$11:$D$40,6)-SUMIFS(Override!$E$11:$E$40,Override!$B$11:$B$40,$B291,Override!$D$11:$D$40,6,Override!$C$11:$C$40,"AS51"),Override!$H$323)/MXAU!$B$3,"")))</f>
        <v/>
      </c>
      <c r="L291" s="140">
        <f>IF(L$226="","",IF($B291="","",IFERROR($C291*$D291*IF((Override!$C$4="ON")*(COUNTIFS(Override!$B$11:$B$40,$B291,Override!$D$11:$D$40,7,Override!$E$11:$E$40,"&gt;=0")-COUNTIFS(Override!$B$11:$B$40,$B291,Override!$D$11:$D$40,7,Override!$E$11:$E$40,"&gt;=0",Override!$C$11:$C$40,"AS51"))&gt;0,SUMIFS(Override!$E$11:$E$40,Override!$B$11:$B$40,$B291,Override!$D$11:$D$40,7)-SUMIFS(Override!$E$11:$E$40,Override!$B$11:$B$40,$B291,Override!$D$11:$D$40,7,Override!$C$11:$C$40,"AS51"),Override!$I$323)/MXAU!$B$3,"")))</f>
        <v/>
      </c>
      <c r="M291" s="140">
        <f>IF(M$226="","",IF($B291="","",IFERROR($C291*$D291*IF((Override!$C$4="ON")*(COUNTIFS(Override!$B$11:$B$40,$B291,Override!$D$11:$D$40,8,Override!$E$11:$E$40,"&gt;=0")-COUNTIFS(Override!$B$11:$B$40,$B291,Override!$D$11:$D$40,8,Override!$E$11:$E$40,"&gt;=0",Override!$C$11:$C$40,"AS51"))&gt;0,SUMIFS(Override!$E$11:$E$40,Override!$B$11:$B$40,$B291,Override!$D$11:$D$40,8)-SUMIFS(Override!$E$11:$E$40,Override!$B$11:$B$40,$B291,Override!$D$11:$D$40,8,Override!$C$11:$C$40,"AS51"),Override!$J$323)/MXAU!$B$3,"")))</f>
        <v/>
      </c>
      <c r="N291" s="140">
        <f>IF(N$226="","",IF($B291="","",IFERROR($C291*$D291*IF((Override!$C$4="ON")*(COUNTIFS(Override!$B$11:$B$40,$B291,Override!$D$11:$D$40,9,Override!$E$11:$E$40,"&gt;=0")-COUNTIFS(Override!$B$11:$B$40,$B291,Override!$D$11:$D$40,9,Override!$E$11:$E$40,"&gt;=0",Override!$C$11:$C$40,"AS51"))&gt;0,SUMIFS(Override!$E$11:$E$40,Override!$B$11:$B$40,$B291,Override!$D$11:$D$40,9)-SUMIFS(Override!$E$11:$E$40,Override!$B$11:$B$40,$B291,Override!$D$11:$D$40,9,Override!$C$11:$C$40,"AS51"),Override!$K$323)/MXAU!$B$3,"")))</f>
        <v/>
      </c>
      <c r="O291" s="140">
        <f>IF(O$226="","",IF($B291="","",IFERROR($C291*$D291*IF((Override!$C$4="ON")*(COUNTIFS(Override!$B$11:$B$40,$B291,Override!$D$11:$D$40,10,Override!$E$11:$E$40,"&gt;=0")-COUNTIFS(Override!$B$11:$B$40,$B291,Override!$D$11:$D$40,10,Override!$E$11:$E$40,"&gt;=0",Override!$C$11:$C$40,"AS51"))&gt;0,SUMIFS(Override!$E$11:$E$40,Override!$B$11:$B$40,$B291,Override!$D$11:$D$40,10)-SUMIFS(Override!$E$11:$E$40,Override!$B$11:$B$40,$B291,Override!$D$11:$D$40,10,Override!$C$11:$C$40,"AS51"),Override!$L$323)/MXAU!$B$3,"")))</f>
        <v/>
      </c>
      <c r="P291" s="140">
        <f>IF(P$226="","",IF($B291="","",IFERROR($C291*$D291*IF((Override!$C$4="ON")*(COUNTIFS(Override!$B$11:$B$40,$B291,Override!$D$11:$D$40,11,Override!$E$11:$E$40,"&gt;=0")-COUNTIFS(Override!$B$11:$B$40,$B291,Override!$D$11:$D$40,11,Override!$E$11:$E$40,"&gt;=0",Override!$C$11:$C$40,"AS51"))&gt;0,SUMIFS(Override!$E$11:$E$40,Override!$B$11:$B$40,$B291,Override!$D$11:$D$40,11)-SUMIFS(Override!$E$11:$E$40,Override!$B$11:$B$40,$B291,Override!$D$11:$D$40,11,Override!$C$11:$C$40,"AS51"),Override!$M$323)/MXAU!$B$3,"")))</f>
        <v/>
      </c>
      <c r="Q291" s="140">
        <f>IF(Q$226="","",IF($B291="","",IFERROR($C291*$D291*IF((Override!$C$4="ON")*(COUNTIFS(Override!$B$11:$B$40,$B291,Override!$D$11:$D$40,12,Override!$E$11:$E$40,"&gt;=0")-COUNTIFS(Override!$B$11:$B$40,$B291,Override!$D$11:$D$40,12,Override!$E$11:$E$40,"&gt;=0",Override!$C$11:$C$40,"AS51"))&gt;0,SUMIFS(Override!$E$11:$E$40,Override!$B$11:$B$40,$B291,Override!$D$11:$D$40,12)-SUMIFS(Override!$E$11:$E$40,Override!$B$11:$B$40,$B291,Override!$D$11:$D$40,12,Override!$C$11:$C$40,"AS51"),Override!$N$323)/MXAU!$B$3,"")))</f>
        <v/>
      </c>
      <c r="R291" s="140">
        <f>IF(R$226="","",IF($B291="","",IFERROR($C291*$D291*IF((Override!$C$4="ON")*(COUNTIFS(Override!$B$11:$B$40,$B291,Override!$D$11:$D$40,13,Override!$E$11:$E$40,"&gt;=0")-COUNTIFS(Override!$B$11:$B$40,$B291,Override!$D$11:$D$40,13,Override!$E$11:$E$40,"&gt;=0",Override!$C$11:$C$40,"AS51"))&gt;0,SUMIFS(Override!$E$11:$E$40,Override!$B$11:$B$40,$B291,Override!$D$11:$D$40,13)-SUMIFS(Override!$E$11:$E$40,Override!$B$11:$B$40,$B291,Override!$D$11:$D$40,13,Override!$C$11:$C$40,"AS51"),Override!$O$323)/MXAU!$B$3,"")))</f>
        <v/>
      </c>
      <c r="S291" s="140">
        <f>IF(S$226="","",IF($B291="","",IFERROR($C291*$D291*IF((Override!$C$4="ON")*(COUNTIFS(Override!$B$11:$B$40,$B291,Override!$D$11:$D$40,14,Override!$E$11:$E$40,"&gt;=0")-COUNTIFS(Override!$B$11:$B$40,$B291,Override!$D$11:$D$40,14,Override!$E$11:$E$40,"&gt;=0",Override!$C$11:$C$40,"AS51"))&gt;0,SUMIFS(Override!$E$11:$E$40,Override!$B$11:$B$40,$B291,Override!$D$11:$D$40,14)-SUMIFS(Override!$E$11:$E$40,Override!$B$11:$B$40,$B291,Override!$D$11:$D$40,14,Override!$C$11:$C$40,"AS51"),Override!$P$323)/MXAU!$B$3,"")))</f>
        <v/>
      </c>
      <c r="T291" s="140">
        <f>IF(T$226="","",IF($B291="","",IFERROR($C291*$D291*IF((Override!$C$4="ON")*(COUNTIFS(Override!$B$11:$B$40,$B291,Override!$D$11:$D$40,15,Override!$E$11:$E$40,"&gt;=0")-COUNTIFS(Override!$B$11:$B$40,$B291,Override!$D$11:$D$40,15,Override!$E$11:$E$40,"&gt;=0",Override!$C$11:$C$40,"AS51"))&gt;0,SUMIFS(Override!$E$11:$E$40,Override!$B$11:$B$40,$B291,Override!$D$11:$D$40,15)-SUMIFS(Override!$E$11:$E$40,Override!$B$11:$B$40,$B291,Override!$D$11:$D$40,15,Override!$C$11:$C$40,"AS51"),Override!$Q$323)/MXAU!$B$3,"")))</f>
        <v/>
      </c>
      <c r="U291" s="140">
        <f>IF(U$226="","",IF($B291="","",IFERROR($C291*$D291*IF((Override!$C$4="ON")*(COUNTIFS(Override!$B$11:$B$40,$B291,Override!$D$11:$D$40,16,Override!$E$11:$E$40,"&gt;=0")-COUNTIFS(Override!$B$11:$B$40,$B291,Override!$D$11:$D$40,16,Override!$E$11:$E$40,"&gt;=0",Override!$C$11:$C$40,"AS51"))&gt;0,SUMIFS(Override!$E$11:$E$40,Override!$B$11:$B$40,$B291,Override!$D$11:$D$40,16)-SUMIFS(Override!$E$11:$E$40,Override!$B$11:$B$40,$B291,Override!$D$11:$D$40,16,Override!$C$11:$C$40,"AS51"),Override!$R$323)/MXAU!$B$3,"")))</f>
        <v/>
      </c>
      <c r="W291" s="140">
        <f>IF(W$226="","",IF($B291="","",IFERROR(F291*$E291/100,"")))</f>
        <v/>
      </c>
      <c r="X291" s="140">
        <f>IF(X$226="","",IF($B291="","",IFERROR(G291*$E291/100,"")))</f>
        <v/>
      </c>
      <c r="Y291" s="140">
        <f>IF(Y$226="","",IF($B291="","",IFERROR(H291*$E291/100,"")))</f>
        <v/>
      </c>
      <c r="Z291" s="140">
        <f>IF(Z$226="","",IF($B291="","",IFERROR(I291*$E291/100,"")))</f>
        <v/>
      </c>
      <c r="AA291" s="140">
        <f>IF(AA$226="","",IF($B291="","",IFERROR(J291*$E291/100,"")))</f>
        <v/>
      </c>
      <c r="AB291" s="140">
        <f>IF(AB$226="","",IF($B291="","",IFERROR(K291*$E291/100,"")))</f>
        <v/>
      </c>
      <c r="AC291" s="140">
        <f>IF(AC$226="","",IF($B291="","",IFERROR(L291*$E291/100,"")))</f>
        <v/>
      </c>
      <c r="AD291" s="140">
        <f>IF(AD$226="","",IF($B291="","",IFERROR(M291*$E291/100,"")))</f>
        <v/>
      </c>
      <c r="AE291" s="140">
        <f>IF(AE$226="","",IF($B291="","",IFERROR(N291*$E291/100,"")))</f>
        <v/>
      </c>
      <c r="AF291" s="140">
        <f>IF(AF$226="","",IF($B291="","",IFERROR(O291*$E291/100,"")))</f>
        <v/>
      </c>
      <c r="AG291" s="140">
        <f>IF(AG$226="","",IF($B291="","",IFERROR(P291*$E291/100,"")))</f>
        <v/>
      </c>
      <c r="AH291" s="140">
        <f>IF(AH$226="","",IF($B291="","",IFERROR(Q291*$E291/100,"")))</f>
        <v/>
      </c>
      <c r="AI291" s="140">
        <f>IF(AI$226="","",IF($B291="","",IFERROR(R291*$E291/100,"")))</f>
        <v/>
      </c>
      <c r="AJ291" s="140">
        <f>IF(AJ$226="","",IF($B291="","",IFERROR(S291*$E291/100,"")))</f>
        <v/>
      </c>
      <c r="AK291" s="140">
        <f>IF(AK$226="","",IF($B291="","",IFERROR(T291*$E291/100,"")))</f>
        <v/>
      </c>
      <c r="AL291" s="140">
        <f>IF(AL$226="","",IF($B291="","",IFERROR(U291*$E291/100,"")))</f>
        <v/>
      </c>
      <c r="AN291" s="140">
        <f>IF($B291="","",SUMIF($F$226:$U$226,"&lt;="&amp;Sector!$E$51,$F291:$U291))</f>
        <v/>
      </c>
      <c r="AO291" s="140">
        <f>IF($B291="","",SUMIF($W$226:$AL$226,"&lt;="&amp;Sector!$E$51,$W291:$AL291))</f>
        <v/>
      </c>
    </row>
    <row r="292">
      <c r="B292" s="5">
        <f>IF(MXAU!$C$69="","",MXAU!$C$69)</f>
        <v/>
      </c>
      <c r="C292" s="90">
        <f>IF(MXAU!$B$69="","",MXAU!$B$69)</f>
        <v/>
      </c>
      <c r="D292" s="138">
        <f>IFERROR(MXAU!$Q$69,1)</f>
        <v/>
      </c>
      <c r="E292" s="139">
        <f>IF($B292="","",IF(ISNUMBER(MXAU!$I$69),MXAU!$I$69,'Index Summary'!$C$7))</f>
        <v/>
      </c>
      <c r="F292" s="140">
        <f>IF(F$226="","",IF($B292="","",IFERROR($C292*$D292*IF((Override!$C$4="ON")*(COUNTIFS(Override!$B$11:$B$40,$B292,Override!$D$11:$D$40,1,Override!$E$11:$E$40,"&gt;=0")-COUNTIFS(Override!$B$11:$B$40,$B292,Override!$D$11:$D$40,1,Override!$E$11:$E$40,"&gt;=0",Override!$C$11:$C$40,"AS51"))&gt;0,SUMIFS(Override!$E$11:$E$40,Override!$B$11:$B$40,$B292,Override!$D$11:$D$40,1)-SUMIFS(Override!$E$11:$E$40,Override!$B$11:$B$40,$B292,Override!$D$11:$D$40,1,Override!$C$11:$C$40,"AS51"),Override!$C$324)/MXAU!$B$3,"")))</f>
        <v/>
      </c>
      <c r="G292" s="140">
        <f>IF(G$226="","",IF($B292="","",IFERROR($C292*$D292*IF((Override!$C$4="ON")*(COUNTIFS(Override!$B$11:$B$40,$B292,Override!$D$11:$D$40,2,Override!$E$11:$E$40,"&gt;=0")-COUNTIFS(Override!$B$11:$B$40,$B292,Override!$D$11:$D$40,2,Override!$E$11:$E$40,"&gt;=0",Override!$C$11:$C$40,"AS51"))&gt;0,SUMIFS(Override!$E$11:$E$40,Override!$B$11:$B$40,$B292,Override!$D$11:$D$40,2)-SUMIFS(Override!$E$11:$E$40,Override!$B$11:$B$40,$B292,Override!$D$11:$D$40,2,Override!$C$11:$C$40,"AS51"),Override!$D$324)/MXAU!$B$3,"")))</f>
        <v/>
      </c>
      <c r="H292" s="140">
        <f>IF(H$226="","",IF($B292="","",IFERROR($C292*$D292*IF((Override!$C$4="ON")*(COUNTIFS(Override!$B$11:$B$40,$B292,Override!$D$11:$D$40,3,Override!$E$11:$E$40,"&gt;=0")-COUNTIFS(Override!$B$11:$B$40,$B292,Override!$D$11:$D$40,3,Override!$E$11:$E$40,"&gt;=0",Override!$C$11:$C$40,"AS51"))&gt;0,SUMIFS(Override!$E$11:$E$40,Override!$B$11:$B$40,$B292,Override!$D$11:$D$40,3)-SUMIFS(Override!$E$11:$E$40,Override!$B$11:$B$40,$B292,Override!$D$11:$D$40,3,Override!$C$11:$C$40,"AS51"),Override!$E$324)/MXAU!$B$3,"")))</f>
        <v/>
      </c>
      <c r="I292" s="140">
        <f>IF(I$226="","",IF($B292="","",IFERROR($C292*$D292*IF((Override!$C$4="ON")*(COUNTIFS(Override!$B$11:$B$40,$B292,Override!$D$11:$D$40,4,Override!$E$11:$E$40,"&gt;=0")-COUNTIFS(Override!$B$11:$B$40,$B292,Override!$D$11:$D$40,4,Override!$E$11:$E$40,"&gt;=0",Override!$C$11:$C$40,"AS51"))&gt;0,SUMIFS(Override!$E$11:$E$40,Override!$B$11:$B$40,$B292,Override!$D$11:$D$40,4)-SUMIFS(Override!$E$11:$E$40,Override!$B$11:$B$40,$B292,Override!$D$11:$D$40,4,Override!$C$11:$C$40,"AS51"),Override!$F$324)/MXAU!$B$3,"")))</f>
        <v/>
      </c>
      <c r="J292" s="140">
        <f>IF(J$226="","",IF($B292="","",IFERROR($C292*$D292*IF((Override!$C$4="ON")*(COUNTIFS(Override!$B$11:$B$40,$B292,Override!$D$11:$D$40,5,Override!$E$11:$E$40,"&gt;=0")-COUNTIFS(Override!$B$11:$B$40,$B292,Override!$D$11:$D$40,5,Override!$E$11:$E$40,"&gt;=0",Override!$C$11:$C$40,"AS51"))&gt;0,SUMIFS(Override!$E$11:$E$40,Override!$B$11:$B$40,$B292,Override!$D$11:$D$40,5)-SUMIFS(Override!$E$11:$E$40,Override!$B$11:$B$40,$B292,Override!$D$11:$D$40,5,Override!$C$11:$C$40,"AS51"),Override!$G$324)/MXAU!$B$3,"")))</f>
        <v/>
      </c>
      <c r="K292" s="140">
        <f>IF(K$226="","",IF($B292="","",IFERROR($C292*$D292*IF((Override!$C$4="ON")*(COUNTIFS(Override!$B$11:$B$40,$B292,Override!$D$11:$D$40,6,Override!$E$11:$E$40,"&gt;=0")-COUNTIFS(Override!$B$11:$B$40,$B292,Override!$D$11:$D$40,6,Override!$E$11:$E$40,"&gt;=0",Override!$C$11:$C$40,"AS51"))&gt;0,SUMIFS(Override!$E$11:$E$40,Override!$B$11:$B$40,$B292,Override!$D$11:$D$40,6)-SUMIFS(Override!$E$11:$E$40,Override!$B$11:$B$40,$B292,Override!$D$11:$D$40,6,Override!$C$11:$C$40,"AS51"),Override!$H$324)/MXAU!$B$3,"")))</f>
        <v/>
      </c>
      <c r="L292" s="140">
        <f>IF(L$226="","",IF($B292="","",IFERROR($C292*$D292*IF((Override!$C$4="ON")*(COUNTIFS(Override!$B$11:$B$40,$B292,Override!$D$11:$D$40,7,Override!$E$11:$E$40,"&gt;=0")-COUNTIFS(Override!$B$11:$B$40,$B292,Override!$D$11:$D$40,7,Override!$E$11:$E$40,"&gt;=0",Override!$C$11:$C$40,"AS51"))&gt;0,SUMIFS(Override!$E$11:$E$40,Override!$B$11:$B$40,$B292,Override!$D$11:$D$40,7)-SUMIFS(Override!$E$11:$E$40,Override!$B$11:$B$40,$B292,Override!$D$11:$D$40,7,Override!$C$11:$C$40,"AS51"),Override!$I$324)/MXAU!$B$3,"")))</f>
        <v/>
      </c>
      <c r="M292" s="140">
        <f>IF(M$226="","",IF($B292="","",IFERROR($C292*$D292*IF((Override!$C$4="ON")*(COUNTIFS(Override!$B$11:$B$40,$B292,Override!$D$11:$D$40,8,Override!$E$11:$E$40,"&gt;=0")-COUNTIFS(Override!$B$11:$B$40,$B292,Override!$D$11:$D$40,8,Override!$E$11:$E$40,"&gt;=0",Override!$C$11:$C$40,"AS51"))&gt;0,SUMIFS(Override!$E$11:$E$40,Override!$B$11:$B$40,$B292,Override!$D$11:$D$40,8)-SUMIFS(Override!$E$11:$E$40,Override!$B$11:$B$40,$B292,Override!$D$11:$D$40,8,Override!$C$11:$C$40,"AS51"),Override!$J$324)/MXAU!$B$3,"")))</f>
        <v/>
      </c>
      <c r="N292" s="140">
        <f>IF(N$226="","",IF($B292="","",IFERROR($C292*$D292*IF((Override!$C$4="ON")*(COUNTIFS(Override!$B$11:$B$40,$B292,Override!$D$11:$D$40,9,Override!$E$11:$E$40,"&gt;=0")-COUNTIFS(Override!$B$11:$B$40,$B292,Override!$D$11:$D$40,9,Override!$E$11:$E$40,"&gt;=0",Override!$C$11:$C$40,"AS51"))&gt;0,SUMIFS(Override!$E$11:$E$40,Override!$B$11:$B$40,$B292,Override!$D$11:$D$40,9)-SUMIFS(Override!$E$11:$E$40,Override!$B$11:$B$40,$B292,Override!$D$11:$D$40,9,Override!$C$11:$C$40,"AS51"),Override!$K$324)/MXAU!$B$3,"")))</f>
        <v/>
      </c>
      <c r="O292" s="140">
        <f>IF(O$226="","",IF($B292="","",IFERROR($C292*$D292*IF((Override!$C$4="ON")*(COUNTIFS(Override!$B$11:$B$40,$B292,Override!$D$11:$D$40,10,Override!$E$11:$E$40,"&gt;=0")-COUNTIFS(Override!$B$11:$B$40,$B292,Override!$D$11:$D$40,10,Override!$E$11:$E$40,"&gt;=0",Override!$C$11:$C$40,"AS51"))&gt;0,SUMIFS(Override!$E$11:$E$40,Override!$B$11:$B$40,$B292,Override!$D$11:$D$40,10)-SUMIFS(Override!$E$11:$E$40,Override!$B$11:$B$40,$B292,Override!$D$11:$D$40,10,Override!$C$11:$C$40,"AS51"),Override!$L$324)/MXAU!$B$3,"")))</f>
        <v/>
      </c>
      <c r="P292" s="140">
        <f>IF(P$226="","",IF($B292="","",IFERROR($C292*$D292*IF((Override!$C$4="ON")*(COUNTIFS(Override!$B$11:$B$40,$B292,Override!$D$11:$D$40,11,Override!$E$11:$E$40,"&gt;=0")-COUNTIFS(Override!$B$11:$B$40,$B292,Override!$D$11:$D$40,11,Override!$E$11:$E$40,"&gt;=0",Override!$C$11:$C$40,"AS51"))&gt;0,SUMIFS(Override!$E$11:$E$40,Override!$B$11:$B$40,$B292,Override!$D$11:$D$40,11)-SUMIFS(Override!$E$11:$E$40,Override!$B$11:$B$40,$B292,Override!$D$11:$D$40,11,Override!$C$11:$C$40,"AS51"),Override!$M$324)/MXAU!$B$3,"")))</f>
        <v/>
      </c>
      <c r="Q292" s="140">
        <f>IF(Q$226="","",IF($B292="","",IFERROR($C292*$D292*IF((Override!$C$4="ON")*(COUNTIFS(Override!$B$11:$B$40,$B292,Override!$D$11:$D$40,12,Override!$E$11:$E$40,"&gt;=0")-COUNTIFS(Override!$B$11:$B$40,$B292,Override!$D$11:$D$40,12,Override!$E$11:$E$40,"&gt;=0",Override!$C$11:$C$40,"AS51"))&gt;0,SUMIFS(Override!$E$11:$E$40,Override!$B$11:$B$40,$B292,Override!$D$11:$D$40,12)-SUMIFS(Override!$E$11:$E$40,Override!$B$11:$B$40,$B292,Override!$D$11:$D$40,12,Override!$C$11:$C$40,"AS51"),Override!$N$324)/MXAU!$B$3,"")))</f>
        <v/>
      </c>
      <c r="R292" s="140">
        <f>IF(R$226="","",IF($B292="","",IFERROR($C292*$D292*IF((Override!$C$4="ON")*(COUNTIFS(Override!$B$11:$B$40,$B292,Override!$D$11:$D$40,13,Override!$E$11:$E$40,"&gt;=0")-COUNTIFS(Override!$B$11:$B$40,$B292,Override!$D$11:$D$40,13,Override!$E$11:$E$40,"&gt;=0",Override!$C$11:$C$40,"AS51"))&gt;0,SUMIFS(Override!$E$11:$E$40,Override!$B$11:$B$40,$B292,Override!$D$11:$D$40,13)-SUMIFS(Override!$E$11:$E$40,Override!$B$11:$B$40,$B292,Override!$D$11:$D$40,13,Override!$C$11:$C$40,"AS51"),Override!$O$324)/MXAU!$B$3,"")))</f>
        <v/>
      </c>
      <c r="S292" s="140">
        <f>IF(S$226="","",IF($B292="","",IFERROR($C292*$D292*IF((Override!$C$4="ON")*(COUNTIFS(Override!$B$11:$B$40,$B292,Override!$D$11:$D$40,14,Override!$E$11:$E$40,"&gt;=0")-COUNTIFS(Override!$B$11:$B$40,$B292,Override!$D$11:$D$40,14,Override!$E$11:$E$40,"&gt;=0",Override!$C$11:$C$40,"AS51"))&gt;0,SUMIFS(Override!$E$11:$E$40,Override!$B$11:$B$40,$B292,Override!$D$11:$D$40,14)-SUMIFS(Override!$E$11:$E$40,Override!$B$11:$B$40,$B292,Override!$D$11:$D$40,14,Override!$C$11:$C$40,"AS51"),Override!$P$324)/MXAU!$B$3,"")))</f>
        <v/>
      </c>
      <c r="T292" s="140">
        <f>IF(T$226="","",IF($B292="","",IFERROR($C292*$D292*IF((Override!$C$4="ON")*(COUNTIFS(Override!$B$11:$B$40,$B292,Override!$D$11:$D$40,15,Override!$E$11:$E$40,"&gt;=0")-COUNTIFS(Override!$B$11:$B$40,$B292,Override!$D$11:$D$40,15,Override!$E$11:$E$40,"&gt;=0",Override!$C$11:$C$40,"AS51"))&gt;0,SUMIFS(Override!$E$11:$E$40,Override!$B$11:$B$40,$B292,Override!$D$11:$D$40,15)-SUMIFS(Override!$E$11:$E$40,Override!$B$11:$B$40,$B292,Override!$D$11:$D$40,15,Override!$C$11:$C$40,"AS51"),Override!$Q$324)/MXAU!$B$3,"")))</f>
        <v/>
      </c>
      <c r="U292" s="140">
        <f>IF(U$226="","",IF($B292="","",IFERROR($C292*$D292*IF((Override!$C$4="ON")*(COUNTIFS(Override!$B$11:$B$40,$B292,Override!$D$11:$D$40,16,Override!$E$11:$E$40,"&gt;=0")-COUNTIFS(Override!$B$11:$B$40,$B292,Override!$D$11:$D$40,16,Override!$E$11:$E$40,"&gt;=0",Override!$C$11:$C$40,"AS51"))&gt;0,SUMIFS(Override!$E$11:$E$40,Override!$B$11:$B$40,$B292,Override!$D$11:$D$40,16)-SUMIFS(Override!$E$11:$E$40,Override!$B$11:$B$40,$B292,Override!$D$11:$D$40,16,Override!$C$11:$C$40,"AS51"),Override!$R$324)/MXAU!$B$3,"")))</f>
        <v/>
      </c>
      <c r="W292" s="140">
        <f>IF(W$226="","",IF($B292="","",IFERROR(F292*$E292/100,"")))</f>
        <v/>
      </c>
      <c r="X292" s="140">
        <f>IF(X$226="","",IF($B292="","",IFERROR(G292*$E292/100,"")))</f>
        <v/>
      </c>
      <c r="Y292" s="140">
        <f>IF(Y$226="","",IF($B292="","",IFERROR(H292*$E292/100,"")))</f>
        <v/>
      </c>
      <c r="Z292" s="140">
        <f>IF(Z$226="","",IF($B292="","",IFERROR(I292*$E292/100,"")))</f>
        <v/>
      </c>
      <c r="AA292" s="140">
        <f>IF(AA$226="","",IF($B292="","",IFERROR(J292*$E292/100,"")))</f>
        <v/>
      </c>
      <c r="AB292" s="140">
        <f>IF(AB$226="","",IF($B292="","",IFERROR(K292*$E292/100,"")))</f>
        <v/>
      </c>
      <c r="AC292" s="140">
        <f>IF(AC$226="","",IF($B292="","",IFERROR(L292*$E292/100,"")))</f>
        <v/>
      </c>
      <c r="AD292" s="140">
        <f>IF(AD$226="","",IF($B292="","",IFERROR(M292*$E292/100,"")))</f>
        <v/>
      </c>
      <c r="AE292" s="140">
        <f>IF(AE$226="","",IF($B292="","",IFERROR(N292*$E292/100,"")))</f>
        <v/>
      </c>
      <c r="AF292" s="140">
        <f>IF(AF$226="","",IF($B292="","",IFERROR(O292*$E292/100,"")))</f>
        <v/>
      </c>
      <c r="AG292" s="140">
        <f>IF(AG$226="","",IF($B292="","",IFERROR(P292*$E292/100,"")))</f>
        <v/>
      </c>
      <c r="AH292" s="140">
        <f>IF(AH$226="","",IF($B292="","",IFERROR(Q292*$E292/100,"")))</f>
        <v/>
      </c>
      <c r="AI292" s="140">
        <f>IF(AI$226="","",IF($B292="","",IFERROR(R292*$E292/100,"")))</f>
        <v/>
      </c>
      <c r="AJ292" s="140">
        <f>IF(AJ$226="","",IF($B292="","",IFERROR(S292*$E292/100,"")))</f>
        <v/>
      </c>
      <c r="AK292" s="140">
        <f>IF(AK$226="","",IF($B292="","",IFERROR(T292*$E292/100,"")))</f>
        <v/>
      </c>
      <c r="AL292" s="140">
        <f>IF(AL$226="","",IF($B292="","",IFERROR(U292*$E292/100,"")))</f>
        <v/>
      </c>
      <c r="AN292" s="140">
        <f>IF($B292="","",SUMIF($F$226:$U$226,"&lt;="&amp;Sector!$E$51,$F292:$U292))</f>
        <v/>
      </c>
      <c r="AO292" s="140">
        <f>IF($B292="","",SUMIF($W$226:$AL$226,"&lt;="&amp;Sector!$E$51,$W292:$AL292))</f>
        <v/>
      </c>
    </row>
    <row r="293">
      <c r="B293" s="5">
        <f>IF(MXAU!$C$70="","",MXAU!$C$70)</f>
        <v/>
      </c>
      <c r="C293" s="90">
        <f>IF(MXAU!$B$70="","",MXAU!$B$70)</f>
        <v/>
      </c>
      <c r="D293" s="138">
        <f>IFERROR(MXAU!$Q$70,1)</f>
        <v/>
      </c>
      <c r="E293" s="139">
        <f>IF($B293="","",IF(ISNUMBER(MXAU!$I$70),MXAU!$I$70,'Index Summary'!$C$7))</f>
        <v/>
      </c>
      <c r="F293" s="140">
        <f>IF(F$226="","",IF($B293="","",IFERROR($C293*$D293*IF((Override!$C$4="ON")*(COUNTIFS(Override!$B$11:$B$40,$B293,Override!$D$11:$D$40,1,Override!$E$11:$E$40,"&gt;=0")-COUNTIFS(Override!$B$11:$B$40,$B293,Override!$D$11:$D$40,1,Override!$E$11:$E$40,"&gt;=0",Override!$C$11:$C$40,"AS51"))&gt;0,SUMIFS(Override!$E$11:$E$40,Override!$B$11:$B$40,$B293,Override!$D$11:$D$40,1)-SUMIFS(Override!$E$11:$E$40,Override!$B$11:$B$40,$B293,Override!$D$11:$D$40,1,Override!$C$11:$C$40,"AS51"),Override!$C$325)/MXAU!$B$3,"")))</f>
        <v/>
      </c>
      <c r="G293" s="140">
        <f>IF(G$226="","",IF($B293="","",IFERROR($C293*$D293*IF((Override!$C$4="ON")*(COUNTIFS(Override!$B$11:$B$40,$B293,Override!$D$11:$D$40,2,Override!$E$11:$E$40,"&gt;=0")-COUNTIFS(Override!$B$11:$B$40,$B293,Override!$D$11:$D$40,2,Override!$E$11:$E$40,"&gt;=0",Override!$C$11:$C$40,"AS51"))&gt;0,SUMIFS(Override!$E$11:$E$40,Override!$B$11:$B$40,$B293,Override!$D$11:$D$40,2)-SUMIFS(Override!$E$11:$E$40,Override!$B$11:$B$40,$B293,Override!$D$11:$D$40,2,Override!$C$11:$C$40,"AS51"),Override!$D$325)/MXAU!$B$3,"")))</f>
        <v/>
      </c>
      <c r="H293" s="140">
        <f>IF(H$226="","",IF($B293="","",IFERROR($C293*$D293*IF((Override!$C$4="ON")*(COUNTIFS(Override!$B$11:$B$40,$B293,Override!$D$11:$D$40,3,Override!$E$11:$E$40,"&gt;=0")-COUNTIFS(Override!$B$11:$B$40,$B293,Override!$D$11:$D$40,3,Override!$E$11:$E$40,"&gt;=0",Override!$C$11:$C$40,"AS51"))&gt;0,SUMIFS(Override!$E$11:$E$40,Override!$B$11:$B$40,$B293,Override!$D$11:$D$40,3)-SUMIFS(Override!$E$11:$E$40,Override!$B$11:$B$40,$B293,Override!$D$11:$D$40,3,Override!$C$11:$C$40,"AS51"),Override!$E$325)/MXAU!$B$3,"")))</f>
        <v/>
      </c>
      <c r="I293" s="140">
        <f>IF(I$226="","",IF($B293="","",IFERROR($C293*$D293*IF((Override!$C$4="ON")*(COUNTIFS(Override!$B$11:$B$40,$B293,Override!$D$11:$D$40,4,Override!$E$11:$E$40,"&gt;=0")-COUNTIFS(Override!$B$11:$B$40,$B293,Override!$D$11:$D$40,4,Override!$E$11:$E$40,"&gt;=0",Override!$C$11:$C$40,"AS51"))&gt;0,SUMIFS(Override!$E$11:$E$40,Override!$B$11:$B$40,$B293,Override!$D$11:$D$40,4)-SUMIFS(Override!$E$11:$E$40,Override!$B$11:$B$40,$B293,Override!$D$11:$D$40,4,Override!$C$11:$C$40,"AS51"),Override!$F$325)/MXAU!$B$3,"")))</f>
        <v/>
      </c>
      <c r="J293" s="140">
        <f>IF(J$226="","",IF($B293="","",IFERROR($C293*$D293*IF((Override!$C$4="ON")*(COUNTIFS(Override!$B$11:$B$40,$B293,Override!$D$11:$D$40,5,Override!$E$11:$E$40,"&gt;=0")-COUNTIFS(Override!$B$11:$B$40,$B293,Override!$D$11:$D$40,5,Override!$E$11:$E$40,"&gt;=0",Override!$C$11:$C$40,"AS51"))&gt;0,SUMIFS(Override!$E$11:$E$40,Override!$B$11:$B$40,$B293,Override!$D$11:$D$40,5)-SUMIFS(Override!$E$11:$E$40,Override!$B$11:$B$40,$B293,Override!$D$11:$D$40,5,Override!$C$11:$C$40,"AS51"),Override!$G$325)/MXAU!$B$3,"")))</f>
        <v/>
      </c>
      <c r="K293" s="140">
        <f>IF(K$226="","",IF($B293="","",IFERROR($C293*$D293*IF((Override!$C$4="ON")*(COUNTIFS(Override!$B$11:$B$40,$B293,Override!$D$11:$D$40,6,Override!$E$11:$E$40,"&gt;=0")-COUNTIFS(Override!$B$11:$B$40,$B293,Override!$D$11:$D$40,6,Override!$E$11:$E$40,"&gt;=0",Override!$C$11:$C$40,"AS51"))&gt;0,SUMIFS(Override!$E$11:$E$40,Override!$B$11:$B$40,$B293,Override!$D$11:$D$40,6)-SUMIFS(Override!$E$11:$E$40,Override!$B$11:$B$40,$B293,Override!$D$11:$D$40,6,Override!$C$11:$C$40,"AS51"),Override!$H$325)/MXAU!$B$3,"")))</f>
        <v/>
      </c>
      <c r="L293" s="140">
        <f>IF(L$226="","",IF($B293="","",IFERROR($C293*$D293*IF((Override!$C$4="ON")*(COUNTIFS(Override!$B$11:$B$40,$B293,Override!$D$11:$D$40,7,Override!$E$11:$E$40,"&gt;=0")-COUNTIFS(Override!$B$11:$B$40,$B293,Override!$D$11:$D$40,7,Override!$E$11:$E$40,"&gt;=0",Override!$C$11:$C$40,"AS51"))&gt;0,SUMIFS(Override!$E$11:$E$40,Override!$B$11:$B$40,$B293,Override!$D$11:$D$40,7)-SUMIFS(Override!$E$11:$E$40,Override!$B$11:$B$40,$B293,Override!$D$11:$D$40,7,Override!$C$11:$C$40,"AS51"),Override!$I$325)/MXAU!$B$3,"")))</f>
        <v/>
      </c>
      <c r="M293" s="140">
        <f>IF(M$226="","",IF($B293="","",IFERROR($C293*$D293*IF((Override!$C$4="ON")*(COUNTIFS(Override!$B$11:$B$40,$B293,Override!$D$11:$D$40,8,Override!$E$11:$E$40,"&gt;=0")-COUNTIFS(Override!$B$11:$B$40,$B293,Override!$D$11:$D$40,8,Override!$E$11:$E$40,"&gt;=0",Override!$C$11:$C$40,"AS51"))&gt;0,SUMIFS(Override!$E$11:$E$40,Override!$B$11:$B$40,$B293,Override!$D$11:$D$40,8)-SUMIFS(Override!$E$11:$E$40,Override!$B$11:$B$40,$B293,Override!$D$11:$D$40,8,Override!$C$11:$C$40,"AS51"),Override!$J$325)/MXAU!$B$3,"")))</f>
        <v/>
      </c>
      <c r="N293" s="140">
        <f>IF(N$226="","",IF($B293="","",IFERROR($C293*$D293*IF((Override!$C$4="ON")*(COUNTIFS(Override!$B$11:$B$40,$B293,Override!$D$11:$D$40,9,Override!$E$11:$E$40,"&gt;=0")-COUNTIFS(Override!$B$11:$B$40,$B293,Override!$D$11:$D$40,9,Override!$E$11:$E$40,"&gt;=0",Override!$C$11:$C$40,"AS51"))&gt;0,SUMIFS(Override!$E$11:$E$40,Override!$B$11:$B$40,$B293,Override!$D$11:$D$40,9)-SUMIFS(Override!$E$11:$E$40,Override!$B$11:$B$40,$B293,Override!$D$11:$D$40,9,Override!$C$11:$C$40,"AS51"),Override!$K$325)/MXAU!$B$3,"")))</f>
        <v/>
      </c>
      <c r="O293" s="140">
        <f>IF(O$226="","",IF($B293="","",IFERROR($C293*$D293*IF((Override!$C$4="ON")*(COUNTIFS(Override!$B$11:$B$40,$B293,Override!$D$11:$D$40,10,Override!$E$11:$E$40,"&gt;=0")-COUNTIFS(Override!$B$11:$B$40,$B293,Override!$D$11:$D$40,10,Override!$E$11:$E$40,"&gt;=0",Override!$C$11:$C$40,"AS51"))&gt;0,SUMIFS(Override!$E$11:$E$40,Override!$B$11:$B$40,$B293,Override!$D$11:$D$40,10)-SUMIFS(Override!$E$11:$E$40,Override!$B$11:$B$40,$B293,Override!$D$11:$D$40,10,Override!$C$11:$C$40,"AS51"),Override!$L$325)/MXAU!$B$3,"")))</f>
        <v/>
      </c>
      <c r="P293" s="140">
        <f>IF(P$226="","",IF($B293="","",IFERROR($C293*$D293*IF((Override!$C$4="ON")*(COUNTIFS(Override!$B$11:$B$40,$B293,Override!$D$11:$D$40,11,Override!$E$11:$E$40,"&gt;=0")-COUNTIFS(Override!$B$11:$B$40,$B293,Override!$D$11:$D$40,11,Override!$E$11:$E$40,"&gt;=0",Override!$C$11:$C$40,"AS51"))&gt;0,SUMIFS(Override!$E$11:$E$40,Override!$B$11:$B$40,$B293,Override!$D$11:$D$40,11)-SUMIFS(Override!$E$11:$E$40,Override!$B$11:$B$40,$B293,Override!$D$11:$D$40,11,Override!$C$11:$C$40,"AS51"),Override!$M$325)/MXAU!$B$3,"")))</f>
        <v/>
      </c>
      <c r="Q293" s="140">
        <f>IF(Q$226="","",IF($B293="","",IFERROR($C293*$D293*IF((Override!$C$4="ON")*(COUNTIFS(Override!$B$11:$B$40,$B293,Override!$D$11:$D$40,12,Override!$E$11:$E$40,"&gt;=0")-COUNTIFS(Override!$B$11:$B$40,$B293,Override!$D$11:$D$40,12,Override!$E$11:$E$40,"&gt;=0",Override!$C$11:$C$40,"AS51"))&gt;0,SUMIFS(Override!$E$11:$E$40,Override!$B$11:$B$40,$B293,Override!$D$11:$D$40,12)-SUMIFS(Override!$E$11:$E$40,Override!$B$11:$B$40,$B293,Override!$D$11:$D$40,12,Override!$C$11:$C$40,"AS51"),Override!$N$325)/MXAU!$B$3,"")))</f>
        <v/>
      </c>
      <c r="R293" s="140">
        <f>IF(R$226="","",IF($B293="","",IFERROR($C293*$D293*IF((Override!$C$4="ON")*(COUNTIFS(Override!$B$11:$B$40,$B293,Override!$D$11:$D$40,13,Override!$E$11:$E$40,"&gt;=0")-COUNTIFS(Override!$B$11:$B$40,$B293,Override!$D$11:$D$40,13,Override!$E$11:$E$40,"&gt;=0",Override!$C$11:$C$40,"AS51"))&gt;0,SUMIFS(Override!$E$11:$E$40,Override!$B$11:$B$40,$B293,Override!$D$11:$D$40,13)-SUMIFS(Override!$E$11:$E$40,Override!$B$11:$B$40,$B293,Override!$D$11:$D$40,13,Override!$C$11:$C$40,"AS51"),Override!$O$325)/MXAU!$B$3,"")))</f>
        <v/>
      </c>
      <c r="S293" s="140">
        <f>IF(S$226="","",IF($B293="","",IFERROR($C293*$D293*IF((Override!$C$4="ON")*(COUNTIFS(Override!$B$11:$B$40,$B293,Override!$D$11:$D$40,14,Override!$E$11:$E$40,"&gt;=0")-COUNTIFS(Override!$B$11:$B$40,$B293,Override!$D$11:$D$40,14,Override!$E$11:$E$40,"&gt;=0",Override!$C$11:$C$40,"AS51"))&gt;0,SUMIFS(Override!$E$11:$E$40,Override!$B$11:$B$40,$B293,Override!$D$11:$D$40,14)-SUMIFS(Override!$E$11:$E$40,Override!$B$11:$B$40,$B293,Override!$D$11:$D$40,14,Override!$C$11:$C$40,"AS51"),Override!$P$325)/MXAU!$B$3,"")))</f>
        <v/>
      </c>
      <c r="T293" s="140">
        <f>IF(T$226="","",IF($B293="","",IFERROR($C293*$D293*IF((Override!$C$4="ON")*(COUNTIFS(Override!$B$11:$B$40,$B293,Override!$D$11:$D$40,15,Override!$E$11:$E$40,"&gt;=0")-COUNTIFS(Override!$B$11:$B$40,$B293,Override!$D$11:$D$40,15,Override!$E$11:$E$40,"&gt;=0",Override!$C$11:$C$40,"AS51"))&gt;0,SUMIFS(Override!$E$11:$E$40,Override!$B$11:$B$40,$B293,Override!$D$11:$D$40,15)-SUMIFS(Override!$E$11:$E$40,Override!$B$11:$B$40,$B293,Override!$D$11:$D$40,15,Override!$C$11:$C$40,"AS51"),Override!$Q$325)/MXAU!$B$3,"")))</f>
        <v/>
      </c>
      <c r="U293" s="140">
        <f>IF(U$226="","",IF($B293="","",IFERROR($C293*$D293*IF((Override!$C$4="ON")*(COUNTIFS(Override!$B$11:$B$40,$B293,Override!$D$11:$D$40,16,Override!$E$11:$E$40,"&gt;=0")-COUNTIFS(Override!$B$11:$B$40,$B293,Override!$D$11:$D$40,16,Override!$E$11:$E$40,"&gt;=0",Override!$C$11:$C$40,"AS51"))&gt;0,SUMIFS(Override!$E$11:$E$40,Override!$B$11:$B$40,$B293,Override!$D$11:$D$40,16)-SUMIFS(Override!$E$11:$E$40,Override!$B$11:$B$40,$B293,Override!$D$11:$D$40,16,Override!$C$11:$C$40,"AS51"),Override!$R$325)/MXAU!$B$3,"")))</f>
        <v/>
      </c>
      <c r="W293" s="140">
        <f>IF(W$226="","",IF($B293="","",IFERROR(F293*$E293/100,"")))</f>
        <v/>
      </c>
      <c r="X293" s="140">
        <f>IF(X$226="","",IF($B293="","",IFERROR(G293*$E293/100,"")))</f>
        <v/>
      </c>
      <c r="Y293" s="140">
        <f>IF(Y$226="","",IF($B293="","",IFERROR(H293*$E293/100,"")))</f>
        <v/>
      </c>
      <c r="Z293" s="140">
        <f>IF(Z$226="","",IF($B293="","",IFERROR(I293*$E293/100,"")))</f>
        <v/>
      </c>
      <c r="AA293" s="140">
        <f>IF(AA$226="","",IF($B293="","",IFERROR(J293*$E293/100,"")))</f>
        <v/>
      </c>
      <c r="AB293" s="140">
        <f>IF(AB$226="","",IF($B293="","",IFERROR(K293*$E293/100,"")))</f>
        <v/>
      </c>
      <c r="AC293" s="140">
        <f>IF(AC$226="","",IF($B293="","",IFERROR(L293*$E293/100,"")))</f>
        <v/>
      </c>
      <c r="AD293" s="140">
        <f>IF(AD$226="","",IF($B293="","",IFERROR(M293*$E293/100,"")))</f>
        <v/>
      </c>
      <c r="AE293" s="140">
        <f>IF(AE$226="","",IF($B293="","",IFERROR(N293*$E293/100,"")))</f>
        <v/>
      </c>
      <c r="AF293" s="140">
        <f>IF(AF$226="","",IF($B293="","",IFERROR(O293*$E293/100,"")))</f>
        <v/>
      </c>
      <c r="AG293" s="140">
        <f>IF(AG$226="","",IF($B293="","",IFERROR(P293*$E293/100,"")))</f>
        <v/>
      </c>
      <c r="AH293" s="140">
        <f>IF(AH$226="","",IF($B293="","",IFERROR(Q293*$E293/100,"")))</f>
        <v/>
      </c>
      <c r="AI293" s="140">
        <f>IF(AI$226="","",IF($B293="","",IFERROR(R293*$E293/100,"")))</f>
        <v/>
      </c>
      <c r="AJ293" s="140">
        <f>IF(AJ$226="","",IF($B293="","",IFERROR(S293*$E293/100,"")))</f>
        <v/>
      </c>
      <c r="AK293" s="140">
        <f>IF(AK$226="","",IF($B293="","",IFERROR(T293*$E293/100,"")))</f>
        <v/>
      </c>
      <c r="AL293" s="140">
        <f>IF(AL$226="","",IF($B293="","",IFERROR(U293*$E293/100,"")))</f>
        <v/>
      </c>
      <c r="AN293" s="140">
        <f>IF($B293="","",SUMIF($F$226:$U$226,"&lt;="&amp;Sector!$E$51,$F293:$U293))</f>
        <v/>
      </c>
      <c r="AO293" s="140">
        <f>IF($B293="","",SUMIF($W$226:$AL$226,"&lt;="&amp;Sector!$E$51,$W293:$AL293))</f>
        <v/>
      </c>
    </row>
    <row r="294">
      <c r="B294" s="5">
        <f>IF(MXAU!$C$71="","",MXAU!$C$71)</f>
        <v/>
      </c>
      <c r="C294" s="90">
        <f>IF(MXAU!$B$71="","",MXAU!$B$71)</f>
        <v/>
      </c>
      <c r="D294" s="138">
        <f>IFERROR(MXAU!$Q$71,1)</f>
        <v/>
      </c>
      <c r="E294" s="139">
        <f>IF($B294="","",IF(ISNUMBER(MXAU!$I$71),MXAU!$I$71,'Index Summary'!$C$7))</f>
        <v/>
      </c>
      <c r="F294" s="140">
        <f>IF(F$226="","",IF($B294="","",IFERROR($C294*$D294*IF((Override!$C$4="ON")*(COUNTIFS(Override!$B$11:$B$40,$B294,Override!$D$11:$D$40,1,Override!$E$11:$E$40,"&gt;=0")-COUNTIFS(Override!$B$11:$B$40,$B294,Override!$D$11:$D$40,1,Override!$E$11:$E$40,"&gt;=0",Override!$C$11:$C$40,"AS51"))&gt;0,SUMIFS(Override!$E$11:$E$40,Override!$B$11:$B$40,$B294,Override!$D$11:$D$40,1)-SUMIFS(Override!$E$11:$E$40,Override!$B$11:$B$40,$B294,Override!$D$11:$D$40,1,Override!$C$11:$C$40,"AS51"),Override!$C$326)/MXAU!$B$3,"")))</f>
        <v/>
      </c>
      <c r="G294" s="140">
        <f>IF(G$226="","",IF($B294="","",IFERROR($C294*$D294*IF((Override!$C$4="ON")*(COUNTIFS(Override!$B$11:$B$40,$B294,Override!$D$11:$D$40,2,Override!$E$11:$E$40,"&gt;=0")-COUNTIFS(Override!$B$11:$B$40,$B294,Override!$D$11:$D$40,2,Override!$E$11:$E$40,"&gt;=0",Override!$C$11:$C$40,"AS51"))&gt;0,SUMIFS(Override!$E$11:$E$40,Override!$B$11:$B$40,$B294,Override!$D$11:$D$40,2)-SUMIFS(Override!$E$11:$E$40,Override!$B$11:$B$40,$B294,Override!$D$11:$D$40,2,Override!$C$11:$C$40,"AS51"),Override!$D$326)/MXAU!$B$3,"")))</f>
        <v/>
      </c>
      <c r="H294" s="140">
        <f>IF(H$226="","",IF($B294="","",IFERROR($C294*$D294*IF((Override!$C$4="ON")*(COUNTIFS(Override!$B$11:$B$40,$B294,Override!$D$11:$D$40,3,Override!$E$11:$E$40,"&gt;=0")-COUNTIFS(Override!$B$11:$B$40,$B294,Override!$D$11:$D$40,3,Override!$E$11:$E$40,"&gt;=0",Override!$C$11:$C$40,"AS51"))&gt;0,SUMIFS(Override!$E$11:$E$40,Override!$B$11:$B$40,$B294,Override!$D$11:$D$40,3)-SUMIFS(Override!$E$11:$E$40,Override!$B$11:$B$40,$B294,Override!$D$11:$D$40,3,Override!$C$11:$C$40,"AS51"),Override!$E$326)/MXAU!$B$3,"")))</f>
        <v/>
      </c>
      <c r="I294" s="140">
        <f>IF(I$226="","",IF($B294="","",IFERROR($C294*$D294*IF((Override!$C$4="ON")*(COUNTIFS(Override!$B$11:$B$40,$B294,Override!$D$11:$D$40,4,Override!$E$11:$E$40,"&gt;=0")-COUNTIFS(Override!$B$11:$B$40,$B294,Override!$D$11:$D$40,4,Override!$E$11:$E$40,"&gt;=0",Override!$C$11:$C$40,"AS51"))&gt;0,SUMIFS(Override!$E$11:$E$40,Override!$B$11:$B$40,$B294,Override!$D$11:$D$40,4)-SUMIFS(Override!$E$11:$E$40,Override!$B$11:$B$40,$B294,Override!$D$11:$D$40,4,Override!$C$11:$C$40,"AS51"),Override!$F$326)/MXAU!$B$3,"")))</f>
        <v/>
      </c>
      <c r="J294" s="140">
        <f>IF(J$226="","",IF($B294="","",IFERROR($C294*$D294*IF((Override!$C$4="ON")*(COUNTIFS(Override!$B$11:$B$40,$B294,Override!$D$11:$D$40,5,Override!$E$11:$E$40,"&gt;=0")-COUNTIFS(Override!$B$11:$B$40,$B294,Override!$D$11:$D$40,5,Override!$E$11:$E$40,"&gt;=0",Override!$C$11:$C$40,"AS51"))&gt;0,SUMIFS(Override!$E$11:$E$40,Override!$B$11:$B$40,$B294,Override!$D$11:$D$40,5)-SUMIFS(Override!$E$11:$E$40,Override!$B$11:$B$40,$B294,Override!$D$11:$D$40,5,Override!$C$11:$C$40,"AS51"),Override!$G$326)/MXAU!$B$3,"")))</f>
        <v/>
      </c>
      <c r="K294" s="140">
        <f>IF(K$226="","",IF($B294="","",IFERROR($C294*$D294*IF((Override!$C$4="ON")*(COUNTIFS(Override!$B$11:$B$40,$B294,Override!$D$11:$D$40,6,Override!$E$11:$E$40,"&gt;=0")-COUNTIFS(Override!$B$11:$B$40,$B294,Override!$D$11:$D$40,6,Override!$E$11:$E$40,"&gt;=0",Override!$C$11:$C$40,"AS51"))&gt;0,SUMIFS(Override!$E$11:$E$40,Override!$B$11:$B$40,$B294,Override!$D$11:$D$40,6)-SUMIFS(Override!$E$11:$E$40,Override!$B$11:$B$40,$B294,Override!$D$11:$D$40,6,Override!$C$11:$C$40,"AS51"),Override!$H$326)/MXAU!$B$3,"")))</f>
        <v/>
      </c>
      <c r="L294" s="140">
        <f>IF(L$226="","",IF($B294="","",IFERROR($C294*$D294*IF((Override!$C$4="ON")*(COUNTIFS(Override!$B$11:$B$40,$B294,Override!$D$11:$D$40,7,Override!$E$11:$E$40,"&gt;=0")-COUNTIFS(Override!$B$11:$B$40,$B294,Override!$D$11:$D$40,7,Override!$E$11:$E$40,"&gt;=0",Override!$C$11:$C$40,"AS51"))&gt;0,SUMIFS(Override!$E$11:$E$40,Override!$B$11:$B$40,$B294,Override!$D$11:$D$40,7)-SUMIFS(Override!$E$11:$E$40,Override!$B$11:$B$40,$B294,Override!$D$11:$D$40,7,Override!$C$11:$C$40,"AS51"),Override!$I$326)/MXAU!$B$3,"")))</f>
        <v/>
      </c>
      <c r="M294" s="140">
        <f>IF(M$226="","",IF($B294="","",IFERROR($C294*$D294*IF((Override!$C$4="ON")*(COUNTIFS(Override!$B$11:$B$40,$B294,Override!$D$11:$D$40,8,Override!$E$11:$E$40,"&gt;=0")-COUNTIFS(Override!$B$11:$B$40,$B294,Override!$D$11:$D$40,8,Override!$E$11:$E$40,"&gt;=0",Override!$C$11:$C$40,"AS51"))&gt;0,SUMIFS(Override!$E$11:$E$40,Override!$B$11:$B$40,$B294,Override!$D$11:$D$40,8)-SUMIFS(Override!$E$11:$E$40,Override!$B$11:$B$40,$B294,Override!$D$11:$D$40,8,Override!$C$11:$C$40,"AS51"),Override!$J$326)/MXAU!$B$3,"")))</f>
        <v/>
      </c>
      <c r="N294" s="140">
        <f>IF(N$226="","",IF($B294="","",IFERROR($C294*$D294*IF((Override!$C$4="ON")*(COUNTIFS(Override!$B$11:$B$40,$B294,Override!$D$11:$D$40,9,Override!$E$11:$E$40,"&gt;=0")-COUNTIFS(Override!$B$11:$B$40,$B294,Override!$D$11:$D$40,9,Override!$E$11:$E$40,"&gt;=0",Override!$C$11:$C$40,"AS51"))&gt;0,SUMIFS(Override!$E$11:$E$40,Override!$B$11:$B$40,$B294,Override!$D$11:$D$40,9)-SUMIFS(Override!$E$11:$E$40,Override!$B$11:$B$40,$B294,Override!$D$11:$D$40,9,Override!$C$11:$C$40,"AS51"),Override!$K$326)/MXAU!$B$3,"")))</f>
        <v/>
      </c>
      <c r="O294" s="140">
        <f>IF(O$226="","",IF($B294="","",IFERROR($C294*$D294*IF((Override!$C$4="ON")*(COUNTIFS(Override!$B$11:$B$40,$B294,Override!$D$11:$D$40,10,Override!$E$11:$E$40,"&gt;=0")-COUNTIFS(Override!$B$11:$B$40,$B294,Override!$D$11:$D$40,10,Override!$E$11:$E$40,"&gt;=0",Override!$C$11:$C$40,"AS51"))&gt;0,SUMIFS(Override!$E$11:$E$40,Override!$B$11:$B$40,$B294,Override!$D$11:$D$40,10)-SUMIFS(Override!$E$11:$E$40,Override!$B$11:$B$40,$B294,Override!$D$11:$D$40,10,Override!$C$11:$C$40,"AS51"),Override!$L$326)/MXAU!$B$3,"")))</f>
        <v/>
      </c>
      <c r="P294" s="140">
        <f>IF(P$226="","",IF($B294="","",IFERROR($C294*$D294*IF((Override!$C$4="ON")*(COUNTIFS(Override!$B$11:$B$40,$B294,Override!$D$11:$D$40,11,Override!$E$11:$E$40,"&gt;=0")-COUNTIFS(Override!$B$11:$B$40,$B294,Override!$D$11:$D$40,11,Override!$E$11:$E$40,"&gt;=0",Override!$C$11:$C$40,"AS51"))&gt;0,SUMIFS(Override!$E$11:$E$40,Override!$B$11:$B$40,$B294,Override!$D$11:$D$40,11)-SUMIFS(Override!$E$11:$E$40,Override!$B$11:$B$40,$B294,Override!$D$11:$D$40,11,Override!$C$11:$C$40,"AS51"),Override!$M$326)/MXAU!$B$3,"")))</f>
        <v/>
      </c>
      <c r="Q294" s="140">
        <f>IF(Q$226="","",IF($B294="","",IFERROR($C294*$D294*IF((Override!$C$4="ON")*(COUNTIFS(Override!$B$11:$B$40,$B294,Override!$D$11:$D$40,12,Override!$E$11:$E$40,"&gt;=0")-COUNTIFS(Override!$B$11:$B$40,$B294,Override!$D$11:$D$40,12,Override!$E$11:$E$40,"&gt;=0",Override!$C$11:$C$40,"AS51"))&gt;0,SUMIFS(Override!$E$11:$E$40,Override!$B$11:$B$40,$B294,Override!$D$11:$D$40,12)-SUMIFS(Override!$E$11:$E$40,Override!$B$11:$B$40,$B294,Override!$D$11:$D$40,12,Override!$C$11:$C$40,"AS51"),Override!$N$326)/MXAU!$B$3,"")))</f>
        <v/>
      </c>
      <c r="R294" s="140">
        <f>IF(R$226="","",IF($B294="","",IFERROR($C294*$D294*IF((Override!$C$4="ON")*(COUNTIFS(Override!$B$11:$B$40,$B294,Override!$D$11:$D$40,13,Override!$E$11:$E$40,"&gt;=0")-COUNTIFS(Override!$B$11:$B$40,$B294,Override!$D$11:$D$40,13,Override!$E$11:$E$40,"&gt;=0",Override!$C$11:$C$40,"AS51"))&gt;0,SUMIFS(Override!$E$11:$E$40,Override!$B$11:$B$40,$B294,Override!$D$11:$D$40,13)-SUMIFS(Override!$E$11:$E$40,Override!$B$11:$B$40,$B294,Override!$D$11:$D$40,13,Override!$C$11:$C$40,"AS51"),Override!$O$326)/MXAU!$B$3,"")))</f>
        <v/>
      </c>
      <c r="S294" s="140">
        <f>IF(S$226="","",IF($B294="","",IFERROR($C294*$D294*IF((Override!$C$4="ON")*(COUNTIFS(Override!$B$11:$B$40,$B294,Override!$D$11:$D$40,14,Override!$E$11:$E$40,"&gt;=0")-COUNTIFS(Override!$B$11:$B$40,$B294,Override!$D$11:$D$40,14,Override!$E$11:$E$40,"&gt;=0",Override!$C$11:$C$40,"AS51"))&gt;0,SUMIFS(Override!$E$11:$E$40,Override!$B$11:$B$40,$B294,Override!$D$11:$D$40,14)-SUMIFS(Override!$E$11:$E$40,Override!$B$11:$B$40,$B294,Override!$D$11:$D$40,14,Override!$C$11:$C$40,"AS51"),Override!$P$326)/MXAU!$B$3,"")))</f>
        <v/>
      </c>
      <c r="T294" s="140">
        <f>IF(T$226="","",IF($B294="","",IFERROR($C294*$D294*IF((Override!$C$4="ON")*(COUNTIFS(Override!$B$11:$B$40,$B294,Override!$D$11:$D$40,15,Override!$E$11:$E$40,"&gt;=0")-COUNTIFS(Override!$B$11:$B$40,$B294,Override!$D$11:$D$40,15,Override!$E$11:$E$40,"&gt;=0",Override!$C$11:$C$40,"AS51"))&gt;0,SUMIFS(Override!$E$11:$E$40,Override!$B$11:$B$40,$B294,Override!$D$11:$D$40,15)-SUMIFS(Override!$E$11:$E$40,Override!$B$11:$B$40,$B294,Override!$D$11:$D$40,15,Override!$C$11:$C$40,"AS51"),Override!$Q$326)/MXAU!$B$3,"")))</f>
        <v/>
      </c>
      <c r="U294" s="140">
        <f>IF(U$226="","",IF($B294="","",IFERROR($C294*$D294*IF((Override!$C$4="ON")*(COUNTIFS(Override!$B$11:$B$40,$B294,Override!$D$11:$D$40,16,Override!$E$11:$E$40,"&gt;=0")-COUNTIFS(Override!$B$11:$B$40,$B294,Override!$D$11:$D$40,16,Override!$E$11:$E$40,"&gt;=0",Override!$C$11:$C$40,"AS51"))&gt;0,SUMIFS(Override!$E$11:$E$40,Override!$B$11:$B$40,$B294,Override!$D$11:$D$40,16)-SUMIFS(Override!$E$11:$E$40,Override!$B$11:$B$40,$B294,Override!$D$11:$D$40,16,Override!$C$11:$C$40,"AS51"),Override!$R$326)/MXAU!$B$3,"")))</f>
        <v/>
      </c>
      <c r="W294" s="140">
        <f>IF(W$226="","",IF($B294="","",IFERROR(F294*$E294/100,"")))</f>
        <v/>
      </c>
      <c r="X294" s="140">
        <f>IF(X$226="","",IF($B294="","",IFERROR(G294*$E294/100,"")))</f>
        <v/>
      </c>
      <c r="Y294" s="140">
        <f>IF(Y$226="","",IF($B294="","",IFERROR(H294*$E294/100,"")))</f>
        <v/>
      </c>
      <c r="Z294" s="140">
        <f>IF(Z$226="","",IF($B294="","",IFERROR(I294*$E294/100,"")))</f>
        <v/>
      </c>
      <c r="AA294" s="140">
        <f>IF(AA$226="","",IF($B294="","",IFERROR(J294*$E294/100,"")))</f>
        <v/>
      </c>
      <c r="AB294" s="140">
        <f>IF(AB$226="","",IF($B294="","",IFERROR(K294*$E294/100,"")))</f>
        <v/>
      </c>
      <c r="AC294" s="140">
        <f>IF(AC$226="","",IF($B294="","",IFERROR(L294*$E294/100,"")))</f>
        <v/>
      </c>
      <c r="AD294" s="140">
        <f>IF(AD$226="","",IF($B294="","",IFERROR(M294*$E294/100,"")))</f>
        <v/>
      </c>
      <c r="AE294" s="140">
        <f>IF(AE$226="","",IF($B294="","",IFERROR(N294*$E294/100,"")))</f>
        <v/>
      </c>
      <c r="AF294" s="140">
        <f>IF(AF$226="","",IF($B294="","",IFERROR(O294*$E294/100,"")))</f>
        <v/>
      </c>
      <c r="AG294" s="140">
        <f>IF(AG$226="","",IF($B294="","",IFERROR(P294*$E294/100,"")))</f>
        <v/>
      </c>
      <c r="AH294" s="140">
        <f>IF(AH$226="","",IF($B294="","",IFERROR(Q294*$E294/100,"")))</f>
        <v/>
      </c>
      <c r="AI294" s="140">
        <f>IF(AI$226="","",IF($B294="","",IFERROR(R294*$E294/100,"")))</f>
        <v/>
      </c>
      <c r="AJ294" s="140">
        <f>IF(AJ$226="","",IF($B294="","",IFERROR(S294*$E294/100,"")))</f>
        <v/>
      </c>
      <c r="AK294" s="140">
        <f>IF(AK$226="","",IF($B294="","",IFERROR(T294*$E294/100,"")))</f>
        <v/>
      </c>
      <c r="AL294" s="140">
        <f>IF(AL$226="","",IF($B294="","",IFERROR(U294*$E294/100,"")))</f>
        <v/>
      </c>
      <c r="AN294" s="140">
        <f>IF($B294="","",SUMIF($F$226:$U$226,"&lt;="&amp;Sector!$E$51,$F294:$U294))</f>
        <v/>
      </c>
      <c r="AO294" s="140">
        <f>IF($B294="","",SUMIF($W$226:$AL$226,"&lt;="&amp;Sector!$E$51,$W294:$AL294))</f>
        <v/>
      </c>
    </row>
    <row r="295">
      <c r="B295" s="5">
        <f>IF(MXAU!$C$72="","",MXAU!$C$72)</f>
        <v/>
      </c>
      <c r="C295" s="90">
        <f>IF(MXAU!$B$72="","",MXAU!$B$72)</f>
        <v/>
      </c>
      <c r="D295" s="138">
        <f>IFERROR(MXAU!$Q$72,1)</f>
        <v/>
      </c>
      <c r="E295" s="139">
        <f>IF($B295="","",IF(ISNUMBER(MXAU!$I$72),MXAU!$I$72,'Index Summary'!$C$7))</f>
        <v/>
      </c>
      <c r="F295" s="140">
        <f>IF(F$226="","",IF($B295="","",IFERROR($C295*$D295*IF((Override!$C$4="ON")*(COUNTIFS(Override!$B$11:$B$40,$B295,Override!$D$11:$D$40,1,Override!$E$11:$E$40,"&gt;=0")-COUNTIFS(Override!$B$11:$B$40,$B295,Override!$D$11:$D$40,1,Override!$E$11:$E$40,"&gt;=0",Override!$C$11:$C$40,"AS51"))&gt;0,SUMIFS(Override!$E$11:$E$40,Override!$B$11:$B$40,$B295,Override!$D$11:$D$40,1)-SUMIFS(Override!$E$11:$E$40,Override!$B$11:$B$40,$B295,Override!$D$11:$D$40,1,Override!$C$11:$C$40,"AS51"),Override!$C$327)/MXAU!$B$3,"")))</f>
        <v/>
      </c>
      <c r="G295" s="140">
        <f>IF(G$226="","",IF($B295="","",IFERROR($C295*$D295*IF((Override!$C$4="ON")*(COUNTIFS(Override!$B$11:$B$40,$B295,Override!$D$11:$D$40,2,Override!$E$11:$E$40,"&gt;=0")-COUNTIFS(Override!$B$11:$B$40,$B295,Override!$D$11:$D$40,2,Override!$E$11:$E$40,"&gt;=0",Override!$C$11:$C$40,"AS51"))&gt;0,SUMIFS(Override!$E$11:$E$40,Override!$B$11:$B$40,$B295,Override!$D$11:$D$40,2)-SUMIFS(Override!$E$11:$E$40,Override!$B$11:$B$40,$B295,Override!$D$11:$D$40,2,Override!$C$11:$C$40,"AS51"),Override!$D$327)/MXAU!$B$3,"")))</f>
        <v/>
      </c>
      <c r="H295" s="140">
        <f>IF(H$226="","",IF($B295="","",IFERROR($C295*$D295*IF((Override!$C$4="ON")*(COUNTIFS(Override!$B$11:$B$40,$B295,Override!$D$11:$D$40,3,Override!$E$11:$E$40,"&gt;=0")-COUNTIFS(Override!$B$11:$B$40,$B295,Override!$D$11:$D$40,3,Override!$E$11:$E$40,"&gt;=0",Override!$C$11:$C$40,"AS51"))&gt;0,SUMIFS(Override!$E$11:$E$40,Override!$B$11:$B$40,$B295,Override!$D$11:$D$40,3)-SUMIFS(Override!$E$11:$E$40,Override!$B$11:$B$40,$B295,Override!$D$11:$D$40,3,Override!$C$11:$C$40,"AS51"),Override!$E$327)/MXAU!$B$3,"")))</f>
        <v/>
      </c>
      <c r="I295" s="140">
        <f>IF(I$226="","",IF($B295="","",IFERROR($C295*$D295*IF((Override!$C$4="ON")*(COUNTIFS(Override!$B$11:$B$40,$B295,Override!$D$11:$D$40,4,Override!$E$11:$E$40,"&gt;=0")-COUNTIFS(Override!$B$11:$B$40,$B295,Override!$D$11:$D$40,4,Override!$E$11:$E$40,"&gt;=0",Override!$C$11:$C$40,"AS51"))&gt;0,SUMIFS(Override!$E$11:$E$40,Override!$B$11:$B$40,$B295,Override!$D$11:$D$40,4)-SUMIFS(Override!$E$11:$E$40,Override!$B$11:$B$40,$B295,Override!$D$11:$D$40,4,Override!$C$11:$C$40,"AS51"),Override!$F$327)/MXAU!$B$3,"")))</f>
        <v/>
      </c>
      <c r="J295" s="140">
        <f>IF(J$226="","",IF($B295="","",IFERROR($C295*$D295*IF((Override!$C$4="ON")*(COUNTIFS(Override!$B$11:$B$40,$B295,Override!$D$11:$D$40,5,Override!$E$11:$E$40,"&gt;=0")-COUNTIFS(Override!$B$11:$B$40,$B295,Override!$D$11:$D$40,5,Override!$E$11:$E$40,"&gt;=0",Override!$C$11:$C$40,"AS51"))&gt;0,SUMIFS(Override!$E$11:$E$40,Override!$B$11:$B$40,$B295,Override!$D$11:$D$40,5)-SUMIFS(Override!$E$11:$E$40,Override!$B$11:$B$40,$B295,Override!$D$11:$D$40,5,Override!$C$11:$C$40,"AS51"),Override!$G$327)/MXAU!$B$3,"")))</f>
        <v/>
      </c>
      <c r="K295" s="140">
        <f>IF(K$226="","",IF($B295="","",IFERROR($C295*$D295*IF((Override!$C$4="ON")*(COUNTIFS(Override!$B$11:$B$40,$B295,Override!$D$11:$D$40,6,Override!$E$11:$E$40,"&gt;=0")-COUNTIFS(Override!$B$11:$B$40,$B295,Override!$D$11:$D$40,6,Override!$E$11:$E$40,"&gt;=0",Override!$C$11:$C$40,"AS51"))&gt;0,SUMIFS(Override!$E$11:$E$40,Override!$B$11:$B$40,$B295,Override!$D$11:$D$40,6)-SUMIFS(Override!$E$11:$E$40,Override!$B$11:$B$40,$B295,Override!$D$11:$D$40,6,Override!$C$11:$C$40,"AS51"),Override!$H$327)/MXAU!$B$3,"")))</f>
        <v/>
      </c>
      <c r="L295" s="140">
        <f>IF(L$226="","",IF($B295="","",IFERROR($C295*$D295*IF((Override!$C$4="ON")*(COUNTIFS(Override!$B$11:$B$40,$B295,Override!$D$11:$D$40,7,Override!$E$11:$E$40,"&gt;=0")-COUNTIFS(Override!$B$11:$B$40,$B295,Override!$D$11:$D$40,7,Override!$E$11:$E$40,"&gt;=0",Override!$C$11:$C$40,"AS51"))&gt;0,SUMIFS(Override!$E$11:$E$40,Override!$B$11:$B$40,$B295,Override!$D$11:$D$40,7)-SUMIFS(Override!$E$11:$E$40,Override!$B$11:$B$40,$B295,Override!$D$11:$D$40,7,Override!$C$11:$C$40,"AS51"),Override!$I$327)/MXAU!$B$3,"")))</f>
        <v/>
      </c>
      <c r="M295" s="140">
        <f>IF(M$226="","",IF($B295="","",IFERROR($C295*$D295*IF((Override!$C$4="ON")*(COUNTIFS(Override!$B$11:$B$40,$B295,Override!$D$11:$D$40,8,Override!$E$11:$E$40,"&gt;=0")-COUNTIFS(Override!$B$11:$B$40,$B295,Override!$D$11:$D$40,8,Override!$E$11:$E$40,"&gt;=0",Override!$C$11:$C$40,"AS51"))&gt;0,SUMIFS(Override!$E$11:$E$40,Override!$B$11:$B$40,$B295,Override!$D$11:$D$40,8)-SUMIFS(Override!$E$11:$E$40,Override!$B$11:$B$40,$B295,Override!$D$11:$D$40,8,Override!$C$11:$C$40,"AS51"),Override!$J$327)/MXAU!$B$3,"")))</f>
        <v/>
      </c>
      <c r="N295" s="140">
        <f>IF(N$226="","",IF($B295="","",IFERROR($C295*$D295*IF((Override!$C$4="ON")*(COUNTIFS(Override!$B$11:$B$40,$B295,Override!$D$11:$D$40,9,Override!$E$11:$E$40,"&gt;=0")-COUNTIFS(Override!$B$11:$B$40,$B295,Override!$D$11:$D$40,9,Override!$E$11:$E$40,"&gt;=0",Override!$C$11:$C$40,"AS51"))&gt;0,SUMIFS(Override!$E$11:$E$40,Override!$B$11:$B$40,$B295,Override!$D$11:$D$40,9)-SUMIFS(Override!$E$11:$E$40,Override!$B$11:$B$40,$B295,Override!$D$11:$D$40,9,Override!$C$11:$C$40,"AS51"),Override!$K$327)/MXAU!$B$3,"")))</f>
        <v/>
      </c>
      <c r="O295" s="140">
        <f>IF(O$226="","",IF($B295="","",IFERROR($C295*$D295*IF((Override!$C$4="ON")*(COUNTIFS(Override!$B$11:$B$40,$B295,Override!$D$11:$D$40,10,Override!$E$11:$E$40,"&gt;=0")-COUNTIFS(Override!$B$11:$B$40,$B295,Override!$D$11:$D$40,10,Override!$E$11:$E$40,"&gt;=0",Override!$C$11:$C$40,"AS51"))&gt;0,SUMIFS(Override!$E$11:$E$40,Override!$B$11:$B$40,$B295,Override!$D$11:$D$40,10)-SUMIFS(Override!$E$11:$E$40,Override!$B$11:$B$40,$B295,Override!$D$11:$D$40,10,Override!$C$11:$C$40,"AS51"),Override!$L$327)/MXAU!$B$3,"")))</f>
        <v/>
      </c>
      <c r="P295" s="140">
        <f>IF(P$226="","",IF($B295="","",IFERROR($C295*$D295*IF((Override!$C$4="ON")*(COUNTIFS(Override!$B$11:$B$40,$B295,Override!$D$11:$D$40,11,Override!$E$11:$E$40,"&gt;=0")-COUNTIFS(Override!$B$11:$B$40,$B295,Override!$D$11:$D$40,11,Override!$E$11:$E$40,"&gt;=0",Override!$C$11:$C$40,"AS51"))&gt;0,SUMIFS(Override!$E$11:$E$40,Override!$B$11:$B$40,$B295,Override!$D$11:$D$40,11)-SUMIFS(Override!$E$11:$E$40,Override!$B$11:$B$40,$B295,Override!$D$11:$D$40,11,Override!$C$11:$C$40,"AS51"),Override!$M$327)/MXAU!$B$3,"")))</f>
        <v/>
      </c>
      <c r="Q295" s="140">
        <f>IF(Q$226="","",IF($B295="","",IFERROR($C295*$D295*IF((Override!$C$4="ON")*(COUNTIFS(Override!$B$11:$B$40,$B295,Override!$D$11:$D$40,12,Override!$E$11:$E$40,"&gt;=0")-COUNTIFS(Override!$B$11:$B$40,$B295,Override!$D$11:$D$40,12,Override!$E$11:$E$40,"&gt;=0",Override!$C$11:$C$40,"AS51"))&gt;0,SUMIFS(Override!$E$11:$E$40,Override!$B$11:$B$40,$B295,Override!$D$11:$D$40,12)-SUMIFS(Override!$E$11:$E$40,Override!$B$11:$B$40,$B295,Override!$D$11:$D$40,12,Override!$C$11:$C$40,"AS51"),Override!$N$327)/MXAU!$B$3,"")))</f>
        <v/>
      </c>
      <c r="R295" s="140">
        <f>IF(R$226="","",IF($B295="","",IFERROR($C295*$D295*IF((Override!$C$4="ON")*(COUNTIFS(Override!$B$11:$B$40,$B295,Override!$D$11:$D$40,13,Override!$E$11:$E$40,"&gt;=0")-COUNTIFS(Override!$B$11:$B$40,$B295,Override!$D$11:$D$40,13,Override!$E$11:$E$40,"&gt;=0",Override!$C$11:$C$40,"AS51"))&gt;0,SUMIFS(Override!$E$11:$E$40,Override!$B$11:$B$40,$B295,Override!$D$11:$D$40,13)-SUMIFS(Override!$E$11:$E$40,Override!$B$11:$B$40,$B295,Override!$D$11:$D$40,13,Override!$C$11:$C$40,"AS51"),Override!$O$327)/MXAU!$B$3,"")))</f>
        <v/>
      </c>
      <c r="S295" s="140">
        <f>IF(S$226="","",IF($B295="","",IFERROR($C295*$D295*IF((Override!$C$4="ON")*(COUNTIFS(Override!$B$11:$B$40,$B295,Override!$D$11:$D$40,14,Override!$E$11:$E$40,"&gt;=0")-COUNTIFS(Override!$B$11:$B$40,$B295,Override!$D$11:$D$40,14,Override!$E$11:$E$40,"&gt;=0",Override!$C$11:$C$40,"AS51"))&gt;0,SUMIFS(Override!$E$11:$E$40,Override!$B$11:$B$40,$B295,Override!$D$11:$D$40,14)-SUMIFS(Override!$E$11:$E$40,Override!$B$11:$B$40,$B295,Override!$D$11:$D$40,14,Override!$C$11:$C$40,"AS51"),Override!$P$327)/MXAU!$B$3,"")))</f>
        <v/>
      </c>
      <c r="T295" s="140">
        <f>IF(T$226="","",IF($B295="","",IFERROR($C295*$D295*IF((Override!$C$4="ON")*(COUNTIFS(Override!$B$11:$B$40,$B295,Override!$D$11:$D$40,15,Override!$E$11:$E$40,"&gt;=0")-COUNTIFS(Override!$B$11:$B$40,$B295,Override!$D$11:$D$40,15,Override!$E$11:$E$40,"&gt;=0",Override!$C$11:$C$40,"AS51"))&gt;0,SUMIFS(Override!$E$11:$E$40,Override!$B$11:$B$40,$B295,Override!$D$11:$D$40,15)-SUMIFS(Override!$E$11:$E$40,Override!$B$11:$B$40,$B295,Override!$D$11:$D$40,15,Override!$C$11:$C$40,"AS51"),Override!$Q$327)/MXAU!$B$3,"")))</f>
        <v/>
      </c>
      <c r="U295" s="140">
        <f>IF(U$226="","",IF($B295="","",IFERROR($C295*$D295*IF((Override!$C$4="ON")*(COUNTIFS(Override!$B$11:$B$40,$B295,Override!$D$11:$D$40,16,Override!$E$11:$E$40,"&gt;=0")-COUNTIFS(Override!$B$11:$B$40,$B295,Override!$D$11:$D$40,16,Override!$E$11:$E$40,"&gt;=0",Override!$C$11:$C$40,"AS51"))&gt;0,SUMIFS(Override!$E$11:$E$40,Override!$B$11:$B$40,$B295,Override!$D$11:$D$40,16)-SUMIFS(Override!$E$11:$E$40,Override!$B$11:$B$40,$B295,Override!$D$11:$D$40,16,Override!$C$11:$C$40,"AS51"),Override!$R$327)/MXAU!$B$3,"")))</f>
        <v/>
      </c>
      <c r="W295" s="140">
        <f>IF(W$226="","",IF($B295="","",IFERROR(F295*$E295/100,"")))</f>
        <v/>
      </c>
      <c r="X295" s="140">
        <f>IF(X$226="","",IF($B295="","",IFERROR(G295*$E295/100,"")))</f>
        <v/>
      </c>
      <c r="Y295" s="140">
        <f>IF(Y$226="","",IF($B295="","",IFERROR(H295*$E295/100,"")))</f>
        <v/>
      </c>
      <c r="Z295" s="140">
        <f>IF(Z$226="","",IF($B295="","",IFERROR(I295*$E295/100,"")))</f>
        <v/>
      </c>
      <c r="AA295" s="140">
        <f>IF(AA$226="","",IF($B295="","",IFERROR(J295*$E295/100,"")))</f>
        <v/>
      </c>
      <c r="AB295" s="140">
        <f>IF(AB$226="","",IF($B295="","",IFERROR(K295*$E295/100,"")))</f>
        <v/>
      </c>
      <c r="AC295" s="140">
        <f>IF(AC$226="","",IF($B295="","",IFERROR(L295*$E295/100,"")))</f>
        <v/>
      </c>
      <c r="AD295" s="140">
        <f>IF(AD$226="","",IF($B295="","",IFERROR(M295*$E295/100,"")))</f>
        <v/>
      </c>
      <c r="AE295" s="140">
        <f>IF(AE$226="","",IF($B295="","",IFERROR(N295*$E295/100,"")))</f>
        <v/>
      </c>
      <c r="AF295" s="140">
        <f>IF(AF$226="","",IF($B295="","",IFERROR(O295*$E295/100,"")))</f>
        <v/>
      </c>
      <c r="AG295" s="140">
        <f>IF(AG$226="","",IF($B295="","",IFERROR(P295*$E295/100,"")))</f>
        <v/>
      </c>
      <c r="AH295" s="140">
        <f>IF(AH$226="","",IF($B295="","",IFERROR(Q295*$E295/100,"")))</f>
        <v/>
      </c>
      <c r="AI295" s="140">
        <f>IF(AI$226="","",IF($B295="","",IFERROR(R295*$E295/100,"")))</f>
        <v/>
      </c>
      <c r="AJ295" s="140">
        <f>IF(AJ$226="","",IF($B295="","",IFERROR(S295*$E295/100,"")))</f>
        <v/>
      </c>
      <c r="AK295" s="140">
        <f>IF(AK$226="","",IF($B295="","",IFERROR(T295*$E295/100,"")))</f>
        <v/>
      </c>
      <c r="AL295" s="140">
        <f>IF(AL$226="","",IF($B295="","",IFERROR(U295*$E295/100,"")))</f>
        <v/>
      </c>
      <c r="AN295" s="140">
        <f>IF($B295="","",SUMIF($F$226:$U$226,"&lt;="&amp;Sector!$E$51,$F295:$U295))</f>
        <v/>
      </c>
      <c r="AO295" s="140">
        <f>IF($B295="","",SUMIF($W$226:$AL$226,"&lt;="&amp;Sector!$E$51,$W295:$AL295))</f>
        <v/>
      </c>
    </row>
    <row r="296">
      <c r="B296" s="5">
        <f>IF(MXAU!$C$73="","",MXAU!$C$73)</f>
        <v/>
      </c>
      <c r="C296" s="90">
        <f>IF(MXAU!$B$73="","",MXAU!$B$73)</f>
        <v/>
      </c>
      <c r="D296" s="138">
        <f>IFERROR(MXAU!$Q$73,1)</f>
        <v/>
      </c>
      <c r="E296" s="139">
        <f>IF($B296="","",IF(ISNUMBER(MXAU!$I$73),MXAU!$I$73,'Index Summary'!$C$7))</f>
        <v/>
      </c>
      <c r="F296" s="140">
        <f>IF(F$226="","",IF($B296="","",IFERROR($C296*$D296*IF((Override!$C$4="ON")*(COUNTIFS(Override!$B$11:$B$40,$B296,Override!$D$11:$D$40,1,Override!$E$11:$E$40,"&gt;=0")-COUNTIFS(Override!$B$11:$B$40,$B296,Override!$D$11:$D$40,1,Override!$E$11:$E$40,"&gt;=0",Override!$C$11:$C$40,"AS51"))&gt;0,SUMIFS(Override!$E$11:$E$40,Override!$B$11:$B$40,$B296,Override!$D$11:$D$40,1)-SUMIFS(Override!$E$11:$E$40,Override!$B$11:$B$40,$B296,Override!$D$11:$D$40,1,Override!$C$11:$C$40,"AS51"),Override!$C$328)/MXAU!$B$3,"")))</f>
        <v/>
      </c>
      <c r="G296" s="140">
        <f>IF(G$226="","",IF($B296="","",IFERROR($C296*$D296*IF((Override!$C$4="ON")*(COUNTIFS(Override!$B$11:$B$40,$B296,Override!$D$11:$D$40,2,Override!$E$11:$E$40,"&gt;=0")-COUNTIFS(Override!$B$11:$B$40,$B296,Override!$D$11:$D$40,2,Override!$E$11:$E$40,"&gt;=0",Override!$C$11:$C$40,"AS51"))&gt;0,SUMIFS(Override!$E$11:$E$40,Override!$B$11:$B$40,$B296,Override!$D$11:$D$40,2)-SUMIFS(Override!$E$11:$E$40,Override!$B$11:$B$40,$B296,Override!$D$11:$D$40,2,Override!$C$11:$C$40,"AS51"),Override!$D$328)/MXAU!$B$3,"")))</f>
        <v/>
      </c>
      <c r="H296" s="140">
        <f>IF(H$226="","",IF($B296="","",IFERROR($C296*$D296*IF((Override!$C$4="ON")*(COUNTIFS(Override!$B$11:$B$40,$B296,Override!$D$11:$D$40,3,Override!$E$11:$E$40,"&gt;=0")-COUNTIFS(Override!$B$11:$B$40,$B296,Override!$D$11:$D$40,3,Override!$E$11:$E$40,"&gt;=0",Override!$C$11:$C$40,"AS51"))&gt;0,SUMIFS(Override!$E$11:$E$40,Override!$B$11:$B$40,$B296,Override!$D$11:$D$40,3)-SUMIFS(Override!$E$11:$E$40,Override!$B$11:$B$40,$B296,Override!$D$11:$D$40,3,Override!$C$11:$C$40,"AS51"),Override!$E$328)/MXAU!$B$3,"")))</f>
        <v/>
      </c>
      <c r="I296" s="140">
        <f>IF(I$226="","",IF($B296="","",IFERROR($C296*$D296*IF((Override!$C$4="ON")*(COUNTIFS(Override!$B$11:$B$40,$B296,Override!$D$11:$D$40,4,Override!$E$11:$E$40,"&gt;=0")-COUNTIFS(Override!$B$11:$B$40,$B296,Override!$D$11:$D$40,4,Override!$E$11:$E$40,"&gt;=0",Override!$C$11:$C$40,"AS51"))&gt;0,SUMIFS(Override!$E$11:$E$40,Override!$B$11:$B$40,$B296,Override!$D$11:$D$40,4)-SUMIFS(Override!$E$11:$E$40,Override!$B$11:$B$40,$B296,Override!$D$11:$D$40,4,Override!$C$11:$C$40,"AS51"),Override!$F$328)/MXAU!$B$3,"")))</f>
        <v/>
      </c>
      <c r="J296" s="140">
        <f>IF(J$226="","",IF($B296="","",IFERROR($C296*$D296*IF((Override!$C$4="ON")*(COUNTIFS(Override!$B$11:$B$40,$B296,Override!$D$11:$D$40,5,Override!$E$11:$E$40,"&gt;=0")-COUNTIFS(Override!$B$11:$B$40,$B296,Override!$D$11:$D$40,5,Override!$E$11:$E$40,"&gt;=0",Override!$C$11:$C$40,"AS51"))&gt;0,SUMIFS(Override!$E$11:$E$40,Override!$B$11:$B$40,$B296,Override!$D$11:$D$40,5)-SUMIFS(Override!$E$11:$E$40,Override!$B$11:$B$40,$B296,Override!$D$11:$D$40,5,Override!$C$11:$C$40,"AS51"),Override!$G$328)/MXAU!$B$3,"")))</f>
        <v/>
      </c>
      <c r="K296" s="140">
        <f>IF(K$226="","",IF($B296="","",IFERROR($C296*$D296*IF((Override!$C$4="ON")*(COUNTIFS(Override!$B$11:$B$40,$B296,Override!$D$11:$D$40,6,Override!$E$11:$E$40,"&gt;=0")-COUNTIFS(Override!$B$11:$B$40,$B296,Override!$D$11:$D$40,6,Override!$E$11:$E$40,"&gt;=0",Override!$C$11:$C$40,"AS51"))&gt;0,SUMIFS(Override!$E$11:$E$40,Override!$B$11:$B$40,$B296,Override!$D$11:$D$40,6)-SUMIFS(Override!$E$11:$E$40,Override!$B$11:$B$40,$B296,Override!$D$11:$D$40,6,Override!$C$11:$C$40,"AS51"),Override!$H$328)/MXAU!$B$3,"")))</f>
        <v/>
      </c>
      <c r="L296" s="140">
        <f>IF(L$226="","",IF($B296="","",IFERROR($C296*$D296*IF((Override!$C$4="ON")*(COUNTIFS(Override!$B$11:$B$40,$B296,Override!$D$11:$D$40,7,Override!$E$11:$E$40,"&gt;=0")-COUNTIFS(Override!$B$11:$B$40,$B296,Override!$D$11:$D$40,7,Override!$E$11:$E$40,"&gt;=0",Override!$C$11:$C$40,"AS51"))&gt;0,SUMIFS(Override!$E$11:$E$40,Override!$B$11:$B$40,$B296,Override!$D$11:$D$40,7)-SUMIFS(Override!$E$11:$E$40,Override!$B$11:$B$40,$B296,Override!$D$11:$D$40,7,Override!$C$11:$C$40,"AS51"),Override!$I$328)/MXAU!$B$3,"")))</f>
        <v/>
      </c>
      <c r="M296" s="140">
        <f>IF(M$226="","",IF($B296="","",IFERROR($C296*$D296*IF((Override!$C$4="ON")*(COUNTIFS(Override!$B$11:$B$40,$B296,Override!$D$11:$D$40,8,Override!$E$11:$E$40,"&gt;=0")-COUNTIFS(Override!$B$11:$B$40,$B296,Override!$D$11:$D$40,8,Override!$E$11:$E$40,"&gt;=0",Override!$C$11:$C$40,"AS51"))&gt;0,SUMIFS(Override!$E$11:$E$40,Override!$B$11:$B$40,$B296,Override!$D$11:$D$40,8)-SUMIFS(Override!$E$11:$E$40,Override!$B$11:$B$40,$B296,Override!$D$11:$D$40,8,Override!$C$11:$C$40,"AS51"),Override!$J$328)/MXAU!$B$3,"")))</f>
        <v/>
      </c>
      <c r="N296" s="140">
        <f>IF(N$226="","",IF($B296="","",IFERROR($C296*$D296*IF((Override!$C$4="ON")*(COUNTIFS(Override!$B$11:$B$40,$B296,Override!$D$11:$D$40,9,Override!$E$11:$E$40,"&gt;=0")-COUNTIFS(Override!$B$11:$B$40,$B296,Override!$D$11:$D$40,9,Override!$E$11:$E$40,"&gt;=0",Override!$C$11:$C$40,"AS51"))&gt;0,SUMIFS(Override!$E$11:$E$40,Override!$B$11:$B$40,$B296,Override!$D$11:$D$40,9)-SUMIFS(Override!$E$11:$E$40,Override!$B$11:$B$40,$B296,Override!$D$11:$D$40,9,Override!$C$11:$C$40,"AS51"),Override!$K$328)/MXAU!$B$3,"")))</f>
        <v/>
      </c>
      <c r="O296" s="140">
        <f>IF(O$226="","",IF($B296="","",IFERROR($C296*$D296*IF((Override!$C$4="ON")*(COUNTIFS(Override!$B$11:$B$40,$B296,Override!$D$11:$D$40,10,Override!$E$11:$E$40,"&gt;=0")-COUNTIFS(Override!$B$11:$B$40,$B296,Override!$D$11:$D$40,10,Override!$E$11:$E$40,"&gt;=0",Override!$C$11:$C$40,"AS51"))&gt;0,SUMIFS(Override!$E$11:$E$40,Override!$B$11:$B$40,$B296,Override!$D$11:$D$40,10)-SUMIFS(Override!$E$11:$E$40,Override!$B$11:$B$40,$B296,Override!$D$11:$D$40,10,Override!$C$11:$C$40,"AS51"),Override!$L$328)/MXAU!$B$3,"")))</f>
        <v/>
      </c>
      <c r="P296" s="140">
        <f>IF(P$226="","",IF($B296="","",IFERROR($C296*$D296*IF((Override!$C$4="ON")*(COUNTIFS(Override!$B$11:$B$40,$B296,Override!$D$11:$D$40,11,Override!$E$11:$E$40,"&gt;=0")-COUNTIFS(Override!$B$11:$B$40,$B296,Override!$D$11:$D$40,11,Override!$E$11:$E$40,"&gt;=0",Override!$C$11:$C$40,"AS51"))&gt;0,SUMIFS(Override!$E$11:$E$40,Override!$B$11:$B$40,$B296,Override!$D$11:$D$40,11)-SUMIFS(Override!$E$11:$E$40,Override!$B$11:$B$40,$B296,Override!$D$11:$D$40,11,Override!$C$11:$C$40,"AS51"),Override!$M$328)/MXAU!$B$3,"")))</f>
        <v/>
      </c>
      <c r="Q296" s="140">
        <f>IF(Q$226="","",IF($B296="","",IFERROR($C296*$D296*IF((Override!$C$4="ON")*(COUNTIFS(Override!$B$11:$B$40,$B296,Override!$D$11:$D$40,12,Override!$E$11:$E$40,"&gt;=0")-COUNTIFS(Override!$B$11:$B$40,$B296,Override!$D$11:$D$40,12,Override!$E$11:$E$40,"&gt;=0",Override!$C$11:$C$40,"AS51"))&gt;0,SUMIFS(Override!$E$11:$E$40,Override!$B$11:$B$40,$B296,Override!$D$11:$D$40,12)-SUMIFS(Override!$E$11:$E$40,Override!$B$11:$B$40,$B296,Override!$D$11:$D$40,12,Override!$C$11:$C$40,"AS51"),Override!$N$328)/MXAU!$B$3,"")))</f>
        <v/>
      </c>
      <c r="R296" s="140">
        <f>IF(R$226="","",IF($B296="","",IFERROR($C296*$D296*IF((Override!$C$4="ON")*(COUNTIFS(Override!$B$11:$B$40,$B296,Override!$D$11:$D$40,13,Override!$E$11:$E$40,"&gt;=0")-COUNTIFS(Override!$B$11:$B$40,$B296,Override!$D$11:$D$40,13,Override!$E$11:$E$40,"&gt;=0",Override!$C$11:$C$40,"AS51"))&gt;0,SUMIFS(Override!$E$11:$E$40,Override!$B$11:$B$40,$B296,Override!$D$11:$D$40,13)-SUMIFS(Override!$E$11:$E$40,Override!$B$11:$B$40,$B296,Override!$D$11:$D$40,13,Override!$C$11:$C$40,"AS51"),Override!$O$328)/MXAU!$B$3,"")))</f>
        <v/>
      </c>
      <c r="S296" s="140">
        <f>IF(S$226="","",IF($B296="","",IFERROR($C296*$D296*IF((Override!$C$4="ON")*(COUNTIFS(Override!$B$11:$B$40,$B296,Override!$D$11:$D$40,14,Override!$E$11:$E$40,"&gt;=0")-COUNTIFS(Override!$B$11:$B$40,$B296,Override!$D$11:$D$40,14,Override!$E$11:$E$40,"&gt;=0",Override!$C$11:$C$40,"AS51"))&gt;0,SUMIFS(Override!$E$11:$E$40,Override!$B$11:$B$40,$B296,Override!$D$11:$D$40,14)-SUMIFS(Override!$E$11:$E$40,Override!$B$11:$B$40,$B296,Override!$D$11:$D$40,14,Override!$C$11:$C$40,"AS51"),Override!$P$328)/MXAU!$B$3,"")))</f>
        <v/>
      </c>
      <c r="T296" s="140">
        <f>IF(T$226="","",IF($B296="","",IFERROR($C296*$D296*IF((Override!$C$4="ON")*(COUNTIFS(Override!$B$11:$B$40,$B296,Override!$D$11:$D$40,15,Override!$E$11:$E$40,"&gt;=0")-COUNTIFS(Override!$B$11:$B$40,$B296,Override!$D$11:$D$40,15,Override!$E$11:$E$40,"&gt;=0",Override!$C$11:$C$40,"AS51"))&gt;0,SUMIFS(Override!$E$11:$E$40,Override!$B$11:$B$40,$B296,Override!$D$11:$D$40,15)-SUMIFS(Override!$E$11:$E$40,Override!$B$11:$B$40,$B296,Override!$D$11:$D$40,15,Override!$C$11:$C$40,"AS51"),Override!$Q$328)/MXAU!$B$3,"")))</f>
        <v/>
      </c>
      <c r="U296" s="140">
        <f>IF(U$226="","",IF($B296="","",IFERROR($C296*$D296*IF((Override!$C$4="ON")*(COUNTIFS(Override!$B$11:$B$40,$B296,Override!$D$11:$D$40,16,Override!$E$11:$E$40,"&gt;=0")-COUNTIFS(Override!$B$11:$B$40,$B296,Override!$D$11:$D$40,16,Override!$E$11:$E$40,"&gt;=0",Override!$C$11:$C$40,"AS51"))&gt;0,SUMIFS(Override!$E$11:$E$40,Override!$B$11:$B$40,$B296,Override!$D$11:$D$40,16)-SUMIFS(Override!$E$11:$E$40,Override!$B$11:$B$40,$B296,Override!$D$11:$D$40,16,Override!$C$11:$C$40,"AS51"),Override!$R$328)/MXAU!$B$3,"")))</f>
        <v/>
      </c>
      <c r="W296" s="140">
        <f>IF(W$226="","",IF($B296="","",IFERROR(F296*$E296/100,"")))</f>
        <v/>
      </c>
      <c r="X296" s="140">
        <f>IF(X$226="","",IF($B296="","",IFERROR(G296*$E296/100,"")))</f>
        <v/>
      </c>
      <c r="Y296" s="140">
        <f>IF(Y$226="","",IF($B296="","",IFERROR(H296*$E296/100,"")))</f>
        <v/>
      </c>
      <c r="Z296" s="140">
        <f>IF(Z$226="","",IF($B296="","",IFERROR(I296*$E296/100,"")))</f>
        <v/>
      </c>
      <c r="AA296" s="140">
        <f>IF(AA$226="","",IF($B296="","",IFERROR(J296*$E296/100,"")))</f>
        <v/>
      </c>
      <c r="AB296" s="140">
        <f>IF(AB$226="","",IF($B296="","",IFERROR(K296*$E296/100,"")))</f>
        <v/>
      </c>
      <c r="AC296" s="140">
        <f>IF(AC$226="","",IF($B296="","",IFERROR(L296*$E296/100,"")))</f>
        <v/>
      </c>
      <c r="AD296" s="140">
        <f>IF(AD$226="","",IF($B296="","",IFERROR(M296*$E296/100,"")))</f>
        <v/>
      </c>
      <c r="AE296" s="140">
        <f>IF(AE$226="","",IF($B296="","",IFERROR(N296*$E296/100,"")))</f>
        <v/>
      </c>
      <c r="AF296" s="140">
        <f>IF(AF$226="","",IF($B296="","",IFERROR(O296*$E296/100,"")))</f>
        <v/>
      </c>
      <c r="AG296" s="140">
        <f>IF(AG$226="","",IF($B296="","",IFERROR(P296*$E296/100,"")))</f>
        <v/>
      </c>
      <c r="AH296" s="140">
        <f>IF(AH$226="","",IF($B296="","",IFERROR(Q296*$E296/100,"")))</f>
        <v/>
      </c>
      <c r="AI296" s="140">
        <f>IF(AI$226="","",IF($B296="","",IFERROR(R296*$E296/100,"")))</f>
        <v/>
      </c>
      <c r="AJ296" s="140">
        <f>IF(AJ$226="","",IF($B296="","",IFERROR(S296*$E296/100,"")))</f>
        <v/>
      </c>
      <c r="AK296" s="140">
        <f>IF(AK$226="","",IF($B296="","",IFERROR(T296*$E296/100,"")))</f>
        <v/>
      </c>
      <c r="AL296" s="140">
        <f>IF(AL$226="","",IF($B296="","",IFERROR(U296*$E296/100,"")))</f>
        <v/>
      </c>
      <c r="AN296" s="140">
        <f>IF($B296="","",SUMIF($F$226:$U$226,"&lt;="&amp;Sector!$E$51,$F296:$U296))</f>
        <v/>
      </c>
      <c r="AO296" s="140">
        <f>IF($B296="","",SUMIF($W$226:$AL$226,"&lt;="&amp;Sector!$E$51,$W296:$AL296))</f>
        <v/>
      </c>
    </row>
    <row r="297">
      <c r="B297" s="5">
        <f>IF(MXAU!$C$74="","",MXAU!$C$74)</f>
        <v/>
      </c>
      <c r="C297" s="90">
        <f>IF(MXAU!$B$74="","",MXAU!$B$74)</f>
        <v/>
      </c>
      <c r="D297" s="138">
        <f>IFERROR(MXAU!$Q$74,1)</f>
        <v/>
      </c>
      <c r="E297" s="139">
        <f>IF($B297="","",IF(ISNUMBER(MXAU!$I$74),MXAU!$I$74,'Index Summary'!$C$7))</f>
        <v/>
      </c>
      <c r="F297" s="140">
        <f>IF(F$226="","",IF($B297="","",IFERROR($C297*$D297*IF((Override!$C$4="ON")*(COUNTIFS(Override!$B$11:$B$40,$B297,Override!$D$11:$D$40,1,Override!$E$11:$E$40,"&gt;=0")-COUNTIFS(Override!$B$11:$B$40,$B297,Override!$D$11:$D$40,1,Override!$E$11:$E$40,"&gt;=0",Override!$C$11:$C$40,"AS51"))&gt;0,SUMIFS(Override!$E$11:$E$40,Override!$B$11:$B$40,$B297,Override!$D$11:$D$40,1)-SUMIFS(Override!$E$11:$E$40,Override!$B$11:$B$40,$B297,Override!$D$11:$D$40,1,Override!$C$11:$C$40,"AS51"),Override!$C$329)/MXAU!$B$3,"")))</f>
        <v/>
      </c>
      <c r="G297" s="140">
        <f>IF(G$226="","",IF($B297="","",IFERROR($C297*$D297*IF((Override!$C$4="ON")*(COUNTIFS(Override!$B$11:$B$40,$B297,Override!$D$11:$D$40,2,Override!$E$11:$E$40,"&gt;=0")-COUNTIFS(Override!$B$11:$B$40,$B297,Override!$D$11:$D$40,2,Override!$E$11:$E$40,"&gt;=0",Override!$C$11:$C$40,"AS51"))&gt;0,SUMIFS(Override!$E$11:$E$40,Override!$B$11:$B$40,$B297,Override!$D$11:$D$40,2)-SUMIFS(Override!$E$11:$E$40,Override!$B$11:$B$40,$B297,Override!$D$11:$D$40,2,Override!$C$11:$C$40,"AS51"),Override!$D$329)/MXAU!$B$3,"")))</f>
        <v/>
      </c>
      <c r="H297" s="140">
        <f>IF(H$226="","",IF($B297="","",IFERROR($C297*$D297*IF((Override!$C$4="ON")*(COUNTIFS(Override!$B$11:$B$40,$B297,Override!$D$11:$D$40,3,Override!$E$11:$E$40,"&gt;=0")-COUNTIFS(Override!$B$11:$B$40,$B297,Override!$D$11:$D$40,3,Override!$E$11:$E$40,"&gt;=0",Override!$C$11:$C$40,"AS51"))&gt;0,SUMIFS(Override!$E$11:$E$40,Override!$B$11:$B$40,$B297,Override!$D$11:$D$40,3)-SUMIFS(Override!$E$11:$E$40,Override!$B$11:$B$40,$B297,Override!$D$11:$D$40,3,Override!$C$11:$C$40,"AS51"),Override!$E$329)/MXAU!$B$3,"")))</f>
        <v/>
      </c>
      <c r="I297" s="140">
        <f>IF(I$226="","",IF($B297="","",IFERROR($C297*$D297*IF((Override!$C$4="ON")*(COUNTIFS(Override!$B$11:$B$40,$B297,Override!$D$11:$D$40,4,Override!$E$11:$E$40,"&gt;=0")-COUNTIFS(Override!$B$11:$B$40,$B297,Override!$D$11:$D$40,4,Override!$E$11:$E$40,"&gt;=0",Override!$C$11:$C$40,"AS51"))&gt;0,SUMIFS(Override!$E$11:$E$40,Override!$B$11:$B$40,$B297,Override!$D$11:$D$40,4)-SUMIFS(Override!$E$11:$E$40,Override!$B$11:$B$40,$B297,Override!$D$11:$D$40,4,Override!$C$11:$C$40,"AS51"),Override!$F$329)/MXAU!$B$3,"")))</f>
        <v/>
      </c>
      <c r="J297" s="140">
        <f>IF(J$226="","",IF($B297="","",IFERROR($C297*$D297*IF((Override!$C$4="ON")*(COUNTIFS(Override!$B$11:$B$40,$B297,Override!$D$11:$D$40,5,Override!$E$11:$E$40,"&gt;=0")-COUNTIFS(Override!$B$11:$B$40,$B297,Override!$D$11:$D$40,5,Override!$E$11:$E$40,"&gt;=0",Override!$C$11:$C$40,"AS51"))&gt;0,SUMIFS(Override!$E$11:$E$40,Override!$B$11:$B$40,$B297,Override!$D$11:$D$40,5)-SUMIFS(Override!$E$11:$E$40,Override!$B$11:$B$40,$B297,Override!$D$11:$D$40,5,Override!$C$11:$C$40,"AS51"),Override!$G$329)/MXAU!$B$3,"")))</f>
        <v/>
      </c>
      <c r="K297" s="140">
        <f>IF(K$226="","",IF($B297="","",IFERROR($C297*$D297*IF((Override!$C$4="ON")*(COUNTIFS(Override!$B$11:$B$40,$B297,Override!$D$11:$D$40,6,Override!$E$11:$E$40,"&gt;=0")-COUNTIFS(Override!$B$11:$B$40,$B297,Override!$D$11:$D$40,6,Override!$E$11:$E$40,"&gt;=0",Override!$C$11:$C$40,"AS51"))&gt;0,SUMIFS(Override!$E$11:$E$40,Override!$B$11:$B$40,$B297,Override!$D$11:$D$40,6)-SUMIFS(Override!$E$11:$E$40,Override!$B$11:$B$40,$B297,Override!$D$11:$D$40,6,Override!$C$11:$C$40,"AS51"),Override!$H$329)/MXAU!$B$3,"")))</f>
        <v/>
      </c>
      <c r="L297" s="140">
        <f>IF(L$226="","",IF($B297="","",IFERROR($C297*$D297*IF((Override!$C$4="ON")*(COUNTIFS(Override!$B$11:$B$40,$B297,Override!$D$11:$D$40,7,Override!$E$11:$E$40,"&gt;=0")-COUNTIFS(Override!$B$11:$B$40,$B297,Override!$D$11:$D$40,7,Override!$E$11:$E$40,"&gt;=0",Override!$C$11:$C$40,"AS51"))&gt;0,SUMIFS(Override!$E$11:$E$40,Override!$B$11:$B$40,$B297,Override!$D$11:$D$40,7)-SUMIFS(Override!$E$11:$E$40,Override!$B$11:$B$40,$B297,Override!$D$11:$D$40,7,Override!$C$11:$C$40,"AS51"),Override!$I$329)/MXAU!$B$3,"")))</f>
        <v/>
      </c>
      <c r="M297" s="140">
        <f>IF(M$226="","",IF($B297="","",IFERROR($C297*$D297*IF((Override!$C$4="ON")*(COUNTIFS(Override!$B$11:$B$40,$B297,Override!$D$11:$D$40,8,Override!$E$11:$E$40,"&gt;=0")-COUNTIFS(Override!$B$11:$B$40,$B297,Override!$D$11:$D$40,8,Override!$E$11:$E$40,"&gt;=0",Override!$C$11:$C$40,"AS51"))&gt;0,SUMIFS(Override!$E$11:$E$40,Override!$B$11:$B$40,$B297,Override!$D$11:$D$40,8)-SUMIFS(Override!$E$11:$E$40,Override!$B$11:$B$40,$B297,Override!$D$11:$D$40,8,Override!$C$11:$C$40,"AS51"),Override!$J$329)/MXAU!$B$3,"")))</f>
        <v/>
      </c>
      <c r="N297" s="140">
        <f>IF(N$226="","",IF($B297="","",IFERROR($C297*$D297*IF((Override!$C$4="ON")*(COUNTIFS(Override!$B$11:$B$40,$B297,Override!$D$11:$D$40,9,Override!$E$11:$E$40,"&gt;=0")-COUNTIFS(Override!$B$11:$B$40,$B297,Override!$D$11:$D$40,9,Override!$E$11:$E$40,"&gt;=0",Override!$C$11:$C$40,"AS51"))&gt;0,SUMIFS(Override!$E$11:$E$40,Override!$B$11:$B$40,$B297,Override!$D$11:$D$40,9)-SUMIFS(Override!$E$11:$E$40,Override!$B$11:$B$40,$B297,Override!$D$11:$D$40,9,Override!$C$11:$C$40,"AS51"),Override!$K$329)/MXAU!$B$3,"")))</f>
        <v/>
      </c>
      <c r="O297" s="140">
        <f>IF(O$226="","",IF($B297="","",IFERROR($C297*$D297*IF((Override!$C$4="ON")*(COUNTIFS(Override!$B$11:$B$40,$B297,Override!$D$11:$D$40,10,Override!$E$11:$E$40,"&gt;=0")-COUNTIFS(Override!$B$11:$B$40,$B297,Override!$D$11:$D$40,10,Override!$E$11:$E$40,"&gt;=0",Override!$C$11:$C$40,"AS51"))&gt;0,SUMIFS(Override!$E$11:$E$40,Override!$B$11:$B$40,$B297,Override!$D$11:$D$40,10)-SUMIFS(Override!$E$11:$E$40,Override!$B$11:$B$40,$B297,Override!$D$11:$D$40,10,Override!$C$11:$C$40,"AS51"),Override!$L$329)/MXAU!$B$3,"")))</f>
        <v/>
      </c>
      <c r="P297" s="140">
        <f>IF(P$226="","",IF($B297="","",IFERROR($C297*$D297*IF((Override!$C$4="ON")*(COUNTIFS(Override!$B$11:$B$40,$B297,Override!$D$11:$D$40,11,Override!$E$11:$E$40,"&gt;=0")-COUNTIFS(Override!$B$11:$B$40,$B297,Override!$D$11:$D$40,11,Override!$E$11:$E$40,"&gt;=0",Override!$C$11:$C$40,"AS51"))&gt;0,SUMIFS(Override!$E$11:$E$40,Override!$B$11:$B$40,$B297,Override!$D$11:$D$40,11)-SUMIFS(Override!$E$11:$E$40,Override!$B$11:$B$40,$B297,Override!$D$11:$D$40,11,Override!$C$11:$C$40,"AS51"),Override!$M$329)/MXAU!$B$3,"")))</f>
        <v/>
      </c>
      <c r="Q297" s="140">
        <f>IF(Q$226="","",IF($B297="","",IFERROR($C297*$D297*IF((Override!$C$4="ON")*(COUNTIFS(Override!$B$11:$B$40,$B297,Override!$D$11:$D$40,12,Override!$E$11:$E$40,"&gt;=0")-COUNTIFS(Override!$B$11:$B$40,$B297,Override!$D$11:$D$40,12,Override!$E$11:$E$40,"&gt;=0",Override!$C$11:$C$40,"AS51"))&gt;0,SUMIFS(Override!$E$11:$E$40,Override!$B$11:$B$40,$B297,Override!$D$11:$D$40,12)-SUMIFS(Override!$E$11:$E$40,Override!$B$11:$B$40,$B297,Override!$D$11:$D$40,12,Override!$C$11:$C$40,"AS51"),Override!$N$329)/MXAU!$B$3,"")))</f>
        <v/>
      </c>
      <c r="R297" s="140">
        <f>IF(R$226="","",IF($B297="","",IFERROR($C297*$D297*IF((Override!$C$4="ON")*(COUNTIFS(Override!$B$11:$B$40,$B297,Override!$D$11:$D$40,13,Override!$E$11:$E$40,"&gt;=0")-COUNTIFS(Override!$B$11:$B$40,$B297,Override!$D$11:$D$40,13,Override!$E$11:$E$40,"&gt;=0",Override!$C$11:$C$40,"AS51"))&gt;0,SUMIFS(Override!$E$11:$E$40,Override!$B$11:$B$40,$B297,Override!$D$11:$D$40,13)-SUMIFS(Override!$E$11:$E$40,Override!$B$11:$B$40,$B297,Override!$D$11:$D$40,13,Override!$C$11:$C$40,"AS51"),Override!$O$329)/MXAU!$B$3,"")))</f>
        <v/>
      </c>
      <c r="S297" s="140">
        <f>IF(S$226="","",IF($B297="","",IFERROR($C297*$D297*IF((Override!$C$4="ON")*(COUNTIFS(Override!$B$11:$B$40,$B297,Override!$D$11:$D$40,14,Override!$E$11:$E$40,"&gt;=0")-COUNTIFS(Override!$B$11:$B$40,$B297,Override!$D$11:$D$40,14,Override!$E$11:$E$40,"&gt;=0",Override!$C$11:$C$40,"AS51"))&gt;0,SUMIFS(Override!$E$11:$E$40,Override!$B$11:$B$40,$B297,Override!$D$11:$D$40,14)-SUMIFS(Override!$E$11:$E$40,Override!$B$11:$B$40,$B297,Override!$D$11:$D$40,14,Override!$C$11:$C$40,"AS51"),Override!$P$329)/MXAU!$B$3,"")))</f>
        <v/>
      </c>
      <c r="T297" s="140">
        <f>IF(T$226="","",IF($B297="","",IFERROR($C297*$D297*IF((Override!$C$4="ON")*(COUNTIFS(Override!$B$11:$B$40,$B297,Override!$D$11:$D$40,15,Override!$E$11:$E$40,"&gt;=0")-COUNTIFS(Override!$B$11:$B$40,$B297,Override!$D$11:$D$40,15,Override!$E$11:$E$40,"&gt;=0",Override!$C$11:$C$40,"AS51"))&gt;0,SUMIFS(Override!$E$11:$E$40,Override!$B$11:$B$40,$B297,Override!$D$11:$D$40,15)-SUMIFS(Override!$E$11:$E$40,Override!$B$11:$B$40,$B297,Override!$D$11:$D$40,15,Override!$C$11:$C$40,"AS51"),Override!$Q$329)/MXAU!$B$3,"")))</f>
        <v/>
      </c>
      <c r="U297" s="140">
        <f>IF(U$226="","",IF($B297="","",IFERROR($C297*$D297*IF((Override!$C$4="ON")*(COUNTIFS(Override!$B$11:$B$40,$B297,Override!$D$11:$D$40,16,Override!$E$11:$E$40,"&gt;=0")-COUNTIFS(Override!$B$11:$B$40,$B297,Override!$D$11:$D$40,16,Override!$E$11:$E$40,"&gt;=0",Override!$C$11:$C$40,"AS51"))&gt;0,SUMIFS(Override!$E$11:$E$40,Override!$B$11:$B$40,$B297,Override!$D$11:$D$40,16)-SUMIFS(Override!$E$11:$E$40,Override!$B$11:$B$40,$B297,Override!$D$11:$D$40,16,Override!$C$11:$C$40,"AS51"),Override!$R$329)/MXAU!$B$3,"")))</f>
        <v/>
      </c>
      <c r="W297" s="140">
        <f>IF(W$226="","",IF($B297="","",IFERROR(F297*$E297/100,"")))</f>
        <v/>
      </c>
      <c r="X297" s="140">
        <f>IF(X$226="","",IF($B297="","",IFERROR(G297*$E297/100,"")))</f>
        <v/>
      </c>
      <c r="Y297" s="140">
        <f>IF(Y$226="","",IF($B297="","",IFERROR(H297*$E297/100,"")))</f>
        <v/>
      </c>
      <c r="Z297" s="140">
        <f>IF(Z$226="","",IF($B297="","",IFERROR(I297*$E297/100,"")))</f>
        <v/>
      </c>
      <c r="AA297" s="140">
        <f>IF(AA$226="","",IF($B297="","",IFERROR(J297*$E297/100,"")))</f>
        <v/>
      </c>
      <c r="AB297" s="140">
        <f>IF(AB$226="","",IF($B297="","",IFERROR(K297*$E297/100,"")))</f>
        <v/>
      </c>
      <c r="AC297" s="140">
        <f>IF(AC$226="","",IF($B297="","",IFERROR(L297*$E297/100,"")))</f>
        <v/>
      </c>
      <c r="AD297" s="140">
        <f>IF(AD$226="","",IF($B297="","",IFERROR(M297*$E297/100,"")))</f>
        <v/>
      </c>
      <c r="AE297" s="140">
        <f>IF(AE$226="","",IF($B297="","",IFERROR(N297*$E297/100,"")))</f>
        <v/>
      </c>
      <c r="AF297" s="140">
        <f>IF(AF$226="","",IF($B297="","",IFERROR(O297*$E297/100,"")))</f>
        <v/>
      </c>
      <c r="AG297" s="140">
        <f>IF(AG$226="","",IF($B297="","",IFERROR(P297*$E297/100,"")))</f>
        <v/>
      </c>
      <c r="AH297" s="140">
        <f>IF(AH$226="","",IF($B297="","",IFERROR(Q297*$E297/100,"")))</f>
        <v/>
      </c>
      <c r="AI297" s="140">
        <f>IF(AI$226="","",IF($B297="","",IFERROR(R297*$E297/100,"")))</f>
        <v/>
      </c>
      <c r="AJ297" s="140">
        <f>IF(AJ$226="","",IF($B297="","",IFERROR(S297*$E297/100,"")))</f>
        <v/>
      </c>
      <c r="AK297" s="140">
        <f>IF(AK$226="","",IF($B297="","",IFERROR(T297*$E297/100,"")))</f>
        <v/>
      </c>
      <c r="AL297" s="140">
        <f>IF(AL$226="","",IF($B297="","",IFERROR(U297*$E297/100,"")))</f>
        <v/>
      </c>
      <c r="AN297" s="140">
        <f>IF($B297="","",SUMIF($F$226:$U$226,"&lt;="&amp;Sector!$E$51,$F297:$U297))</f>
        <v/>
      </c>
      <c r="AO297" s="140">
        <f>IF($B297="","",SUMIF($W$226:$AL$226,"&lt;="&amp;Sector!$E$51,$W297:$AL297))</f>
        <v/>
      </c>
    </row>
    <row r="298">
      <c r="B298" s="5">
        <f>IF(MXAU!$C$75="","",MXAU!$C$75)</f>
        <v/>
      </c>
      <c r="C298" s="90">
        <f>IF(MXAU!$B$75="","",MXAU!$B$75)</f>
        <v/>
      </c>
      <c r="D298" s="138">
        <f>IFERROR(MXAU!$Q$75,1)</f>
        <v/>
      </c>
      <c r="E298" s="139">
        <f>IF($B298="","",IF(ISNUMBER(MXAU!$I$75),MXAU!$I$75,'Index Summary'!$C$7))</f>
        <v/>
      </c>
      <c r="F298" s="140">
        <f>IF(F$226="","",IF($B298="","",IFERROR($C298*$D298*IF((Override!$C$4="ON")*(COUNTIFS(Override!$B$11:$B$40,$B298,Override!$D$11:$D$40,1,Override!$E$11:$E$40,"&gt;=0")-COUNTIFS(Override!$B$11:$B$40,$B298,Override!$D$11:$D$40,1,Override!$E$11:$E$40,"&gt;=0",Override!$C$11:$C$40,"AS51"))&gt;0,SUMIFS(Override!$E$11:$E$40,Override!$B$11:$B$40,$B298,Override!$D$11:$D$40,1)-SUMIFS(Override!$E$11:$E$40,Override!$B$11:$B$40,$B298,Override!$D$11:$D$40,1,Override!$C$11:$C$40,"AS51"),Override!$C$330)/MXAU!$B$3,"")))</f>
        <v/>
      </c>
      <c r="G298" s="140">
        <f>IF(G$226="","",IF($B298="","",IFERROR($C298*$D298*IF((Override!$C$4="ON")*(COUNTIFS(Override!$B$11:$B$40,$B298,Override!$D$11:$D$40,2,Override!$E$11:$E$40,"&gt;=0")-COUNTIFS(Override!$B$11:$B$40,$B298,Override!$D$11:$D$40,2,Override!$E$11:$E$40,"&gt;=0",Override!$C$11:$C$40,"AS51"))&gt;0,SUMIFS(Override!$E$11:$E$40,Override!$B$11:$B$40,$B298,Override!$D$11:$D$40,2)-SUMIFS(Override!$E$11:$E$40,Override!$B$11:$B$40,$B298,Override!$D$11:$D$40,2,Override!$C$11:$C$40,"AS51"),Override!$D$330)/MXAU!$B$3,"")))</f>
        <v/>
      </c>
      <c r="H298" s="140">
        <f>IF(H$226="","",IF($B298="","",IFERROR($C298*$D298*IF((Override!$C$4="ON")*(COUNTIFS(Override!$B$11:$B$40,$B298,Override!$D$11:$D$40,3,Override!$E$11:$E$40,"&gt;=0")-COUNTIFS(Override!$B$11:$B$40,$B298,Override!$D$11:$D$40,3,Override!$E$11:$E$40,"&gt;=0",Override!$C$11:$C$40,"AS51"))&gt;0,SUMIFS(Override!$E$11:$E$40,Override!$B$11:$B$40,$B298,Override!$D$11:$D$40,3)-SUMIFS(Override!$E$11:$E$40,Override!$B$11:$B$40,$B298,Override!$D$11:$D$40,3,Override!$C$11:$C$40,"AS51"),Override!$E$330)/MXAU!$B$3,"")))</f>
        <v/>
      </c>
      <c r="I298" s="140">
        <f>IF(I$226="","",IF($B298="","",IFERROR($C298*$D298*IF((Override!$C$4="ON")*(COUNTIFS(Override!$B$11:$B$40,$B298,Override!$D$11:$D$40,4,Override!$E$11:$E$40,"&gt;=0")-COUNTIFS(Override!$B$11:$B$40,$B298,Override!$D$11:$D$40,4,Override!$E$11:$E$40,"&gt;=0",Override!$C$11:$C$40,"AS51"))&gt;0,SUMIFS(Override!$E$11:$E$40,Override!$B$11:$B$40,$B298,Override!$D$11:$D$40,4)-SUMIFS(Override!$E$11:$E$40,Override!$B$11:$B$40,$B298,Override!$D$11:$D$40,4,Override!$C$11:$C$40,"AS51"),Override!$F$330)/MXAU!$B$3,"")))</f>
        <v/>
      </c>
      <c r="J298" s="140">
        <f>IF(J$226="","",IF($B298="","",IFERROR($C298*$D298*IF((Override!$C$4="ON")*(COUNTIFS(Override!$B$11:$B$40,$B298,Override!$D$11:$D$40,5,Override!$E$11:$E$40,"&gt;=0")-COUNTIFS(Override!$B$11:$B$40,$B298,Override!$D$11:$D$40,5,Override!$E$11:$E$40,"&gt;=0",Override!$C$11:$C$40,"AS51"))&gt;0,SUMIFS(Override!$E$11:$E$40,Override!$B$11:$B$40,$B298,Override!$D$11:$D$40,5)-SUMIFS(Override!$E$11:$E$40,Override!$B$11:$B$40,$B298,Override!$D$11:$D$40,5,Override!$C$11:$C$40,"AS51"),Override!$G$330)/MXAU!$B$3,"")))</f>
        <v/>
      </c>
      <c r="K298" s="140">
        <f>IF(K$226="","",IF($B298="","",IFERROR($C298*$D298*IF((Override!$C$4="ON")*(COUNTIFS(Override!$B$11:$B$40,$B298,Override!$D$11:$D$40,6,Override!$E$11:$E$40,"&gt;=0")-COUNTIFS(Override!$B$11:$B$40,$B298,Override!$D$11:$D$40,6,Override!$E$11:$E$40,"&gt;=0",Override!$C$11:$C$40,"AS51"))&gt;0,SUMIFS(Override!$E$11:$E$40,Override!$B$11:$B$40,$B298,Override!$D$11:$D$40,6)-SUMIFS(Override!$E$11:$E$40,Override!$B$11:$B$40,$B298,Override!$D$11:$D$40,6,Override!$C$11:$C$40,"AS51"),Override!$H$330)/MXAU!$B$3,"")))</f>
        <v/>
      </c>
      <c r="L298" s="140">
        <f>IF(L$226="","",IF($B298="","",IFERROR($C298*$D298*IF((Override!$C$4="ON")*(COUNTIFS(Override!$B$11:$B$40,$B298,Override!$D$11:$D$40,7,Override!$E$11:$E$40,"&gt;=0")-COUNTIFS(Override!$B$11:$B$40,$B298,Override!$D$11:$D$40,7,Override!$E$11:$E$40,"&gt;=0",Override!$C$11:$C$40,"AS51"))&gt;0,SUMIFS(Override!$E$11:$E$40,Override!$B$11:$B$40,$B298,Override!$D$11:$D$40,7)-SUMIFS(Override!$E$11:$E$40,Override!$B$11:$B$40,$B298,Override!$D$11:$D$40,7,Override!$C$11:$C$40,"AS51"),Override!$I$330)/MXAU!$B$3,"")))</f>
        <v/>
      </c>
      <c r="M298" s="140">
        <f>IF(M$226="","",IF($B298="","",IFERROR($C298*$D298*IF((Override!$C$4="ON")*(COUNTIFS(Override!$B$11:$B$40,$B298,Override!$D$11:$D$40,8,Override!$E$11:$E$40,"&gt;=0")-COUNTIFS(Override!$B$11:$B$40,$B298,Override!$D$11:$D$40,8,Override!$E$11:$E$40,"&gt;=0",Override!$C$11:$C$40,"AS51"))&gt;0,SUMIFS(Override!$E$11:$E$40,Override!$B$11:$B$40,$B298,Override!$D$11:$D$40,8)-SUMIFS(Override!$E$11:$E$40,Override!$B$11:$B$40,$B298,Override!$D$11:$D$40,8,Override!$C$11:$C$40,"AS51"),Override!$J$330)/MXAU!$B$3,"")))</f>
        <v/>
      </c>
      <c r="N298" s="140">
        <f>IF(N$226="","",IF($B298="","",IFERROR($C298*$D298*IF((Override!$C$4="ON")*(COUNTIFS(Override!$B$11:$B$40,$B298,Override!$D$11:$D$40,9,Override!$E$11:$E$40,"&gt;=0")-COUNTIFS(Override!$B$11:$B$40,$B298,Override!$D$11:$D$40,9,Override!$E$11:$E$40,"&gt;=0",Override!$C$11:$C$40,"AS51"))&gt;0,SUMIFS(Override!$E$11:$E$40,Override!$B$11:$B$40,$B298,Override!$D$11:$D$40,9)-SUMIFS(Override!$E$11:$E$40,Override!$B$11:$B$40,$B298,Override!$D$11:$D$40,9,Override!$C$11:$C$40,"AS51"),Override!$K$330)/MXAU!$B$3,"")))</f>
        <v/>
      </c>
      <c r="O298" s="140">
        <f>IF(O$226="","",IF($B298="","",IFERROR($C298*$D298*IF((Override!$C$4="ON")*(COUNTIFS(Override!$B$11:$B$40,$B298,Override!$D$11:$D$40,10,Override!$E$11:$E$40,"&gt;=0")-COUNTIFS(Override!$B$11:$B$40,$B298,Override!$D$11:$D$40,10,Override!$E$11:$E$40,"&gt;=0",Override!$C$11:$C$40,"AS51"))&gt;0,SUMIFS(Override!$E$11:$E$40,Override!$B$11:$B$40,$B298,Override!$D$11:$D$40,10)-SUMIFS(Override!$E$11:$E$40,Override!$B$11:$B$40,$B298,Override!$D$11:$D$40,10,Override!$C$11:$C$40,"AS51"),Override!$L$330)/MXAU!$B$3,"")))</f>
        <v/>
      </c>
      <c r="P298" s="140">
        <f>IF(P$226="","",IF($B298="","",IFERROR($C298*$D298*IF((Override!$C$4="ON")*(COUNTIFS(Override!$B$11:$B$40,$B298,Override!$D$11:$D$40,11,Override!$E$11:$E$40,"&gt;=0")-COUNTIFS(Override!$B$11:$B$40,$B298,Override!$D$11:$D$40,11,Override!$E$11:$E$40,"&gt;=0",Override!$C$11:$C$40,"AS51"))&gt;0,SUMIFS(Override!$E$11:$E$40,Override!$B$11:$B$40,$B298,Override!$D$11:$D$40,11)-SUMIFS(Override!$E$11:$E$40,Override!$B$11:$B$40,$B298,Override!$D$11:$D$40,11,Override!$C$11:$C$40,"AS51"),Override!$M$330)/MXAU!$B$3,"")))</f>
        <v/>
      </c>
      <c r="Q298" s="140">
        <f>IF(Q$226="","",IF($B298="","",IFERROR($C298*$D298*IF((Override!$C$4="ON")*(COUNTIFS(Override!$B$11:$B$40,$B298,Override!$D$11:$D$40,12,Override!$E$11:$E$40,"&gt;=0")-COUNTIFS(Override!$B$11:$B$40,$B298,Override!$D$11:$D$40,12,Override!$E$11:$E$40,"&gt;=0",Override!$C$11:$C$40,"AS51"))&gt;0,SUMIFS(Override!$E$11:$E$40,Override!$B$11:$B$40,$B298,Override!$D$11:$D$40,12)-SUMIFS(Override!$E$11:$E$40,Override!$B$11:$B$40,$B298,Override!$D$11:$D$40,12,Override!$C$11:$C$40,"AS51"),Override!$N$330)/MXAU!$B$3,"")))</f>
        <v/>
      </c>
      <c r="R298" s="140">
        <f>IF(R$226="","",IF($B298="","",IFERROR($C298*$D298*IF((Override!$C$4="ON")*(COUNTIFS(Override!$B$11:$B$40,$B298,Override!$D$11:$D$40,13,Override!$E$11:$E$40,"&gt;=0")-COUNTIFS(Override!$B$11:$B$40,$B298,Override!$D$11:$D$40,13,Override!$E$11:$E$40,"&gt;=0",Override!$C$11:$C$40,"AS51"))&gt;0,SUMIFS(Override!$E$11:$E$40,Override!$B$11:$B$40,$B298,Override!$D$11:$D$40,13)-SUMIFS(Override!$E$11:$E$40,Override!$B$11:$B$40,$B298,Override!$D$11:$D$40,13,Override!$C$11:$C$40,"AS51"),Override!$O$330)/MXAU!$B$3,"")))</f>
        <v/>
      </c>
      <c r="S298" s="140">
        <f>IF(S$226="","",IF($B298="","",IFERROR($C298*$D298*IF((Override!$C$4="ON")*(COUNTIFS(Override!$B$11:$B$40,$B298,Override!$D$11:$D$40,14,Override!$E$11:$E$40,"&gt;=0")-COUNTIFS(Override!$B$11:$B$40,$B298,Override!$D$11:$D$40,14,Override!$E$11:$E$40,"&gt;=0",Override!$C$11:$C$40,"AS51"))&gt;0,SUMIFS(Override!$E$11:$E$40,Override!$B$11:$B$40,$B298,Override!$D$11:$D$40,14)-SUMIFS(Override!$E$11:$E$40,Override!$B$11:$B$40,$B298,Override!$D$11:$D$40,14,Override!$C$11:$C$40,"AS51"),Override!$P$330)/MXAU!$B$3,"")))</f>
        <v/>
      </c>
      <c r="T298" s="140">
        <f>IF(T$226="","",IF($B298="","",IFERROR($C298*$D298*IF((Override!$C$4="ON")*(COUNTIFS(Override!$B$11:$B$40,$B298,Override!$D$11:$D$40,15,Override!$E$11:$E$40,"&gt;=0")-COUNTIFS(Override!$B$11:$B$40,$B298,Override!$D$11:$D$40,15,Override!$E$11:$E$40,"&gt;=0",Override!$C$11:$C$40,"AS51"))&gt;0,SUMIFS(Override!$E$11:$E$40,Override!$B$11:$B$40,$B298,Override!$D$11:$D$40,15)-SUMIFS(Override!$E$11:$E$40,Override!$B$11:$B$40,$B298,Override!$D$11:$D$40,15,Override!$C$11:$C$40,"AS51"),Override!$Q$330)/MXAU!$B$3,"")))</f>
        <v/>
      </c>
      <c r="U298" s="140">
        <f>IF(U$226="","",IF($B298="","",IFERROR($C298*$D298*IF((Override!$C$4="ON")*(COUNTIFS(Override!$B$11:$B$40,$B298,Override!$D$11:$D$40,16,Override!$E$11:$E$40,"&gt;=0")-COUNTIFS(Override!$B$11:$B$40,$B298,Override!$D$11:$D$40,16,Override!$E$11:$E$40,"&gt;=0",Override!$C$11:$C$40,"AS51"))&gt;0,SUMIFS(Override!$E$11:$E$40,Override!$B$11:$B$40,$B298,Override!$D$11:$D$40,16)-SUMIFS(Override!$E$11:$E$40,Override!$B$11:$B$40,$B298,Override!$D$11:$D$40,16,Override!$C$11:$C$40,"AS51"),Override!$R$330)/MXAU!$B$3,"")))</f>
        <v/>
      </c>
      <c r="W298" s="140">
        <f>IF(W$226="","",IF($B298="","",IFERROR(F298*$E298/100,"")))</f>
        <v/>
      </c>
      <c r="X298" s="140">
        <f>IF(X$226="","",IF($B298="","",IFERROR(G298*$E298/100,"")))</f>
        <v/>
      </c>
      <c r="Y298" s="140">
        <f>IF(Y$226="","",IF($B298="","",IFERROR(H298*$E298/100,"")))</f>
        <v/>
      </c>
      <c r="Z298" s="140">
        <f>IF(Z$226="","",IF($B298="","",IFERROR(I298*$E298/100,"")))</f>
        <v/>
      </c>
      <c r="AA298" s="140">
        <f>IF(AA$226="","",IF($B298="","",IFERROR(J298*$E298/100,"")))</f>
        <v/>
      </c>
      <c r="AB298" s="140">
        <f>IF(AB$226="","",IF($B298="","",IFERROR(K298*$E298/100,"")))</f>
        <v/>
      </c>
      <c r="AC298" s="140">
        <f>IF(AC$226="","",IF($B298="","",IFERROR(L298*$E298/100,"")))</f>
        <v/>
      </c>
      <c r="AD298" s="140">
        <f>IF(AD$226="","",IF($B298="","",IFERROR(M298*$E298/100,"")))</f>
        <v/>
      </c>
      <c r="AE298" s="140">
        <f>IF(AE$226="","",IF($B298="","",IFERROR(N298*$E298/100,"")))</f>
        <v/>
      </c>
      <c r="AF298" s="140">
        <f>IF(AF$226="","",IF($B298="","",IFERROR(O298*$E298/100,"")))</f>
        <v/>
      </c>
      <c r="AG298" s="140">
        <f>IF(AG$226="","",IF($B298="","",IFERROR(P298*$E298/100,"")))</f>
        <v/>
      </c>
      <c r="AH298" s="140">
        <f>IF(AH$226="","",IF($B298="","",IFERROR(Q298*$E298/100,"")))</f>
        <v/>
      </c>
      <c r="AI298" s="140">
        <f>IF(AI$226="","",IF($B298="","",IFERROR(R298*$E298/100,"")))</f>
        <v/>
      </c>
      <c r="AJ298" s="140">
        <f>IF(AJ$226="","",IF($B298="","",IFERROR(S298*$E298/100,"")))</f>
        <v/>
      </c>
      <c r="AK298" s="140">
        <f>IF(AK$226="","",IF($B298="","",IFERROR(T298*$E298/100,"")))</f>
        <v/>
      </c>
      <c r="AL298" s="140">
        <f>IF(AL$226="","",IF($B298="","",IFERROR(U298*$E298/100,"")))</f>
        <v/>
      </c>
      <c r="AN298" s="140">
        <f>IF($B298="","",SUMIF($F$226:$U$226,"&lt;="&amp;Sector!$E$51,$F298:$U298))</f>
        <v/>
      </c>
      <c r="AO298" s="140">
        <f>IF($B298="","",SUMIF($W$226:$AL$226,"&lt;="&amp;Sector!$E$51,$W298:$AL298))</f>
        <v/>
      </c>
    </row>
    <row r="299">
      <c r="B299" s="5">
        <f>IF(MXAU!$C$76="","",MXAU!$C$76)</f>
        <v/>
      </c>
      <c r="C299" s="90">
        <f>IF(MXAU!$B$76="","",MXAU!$B$76)</f>
        <v/>
      </c>
      <c r="D299" s="138">
        <f>IFERROR(MXAU!$Q$76,1)</f>
        <v/>
      </c>
      <c r="E299" s="139">
        <f>IF($B299="","",IF(ISNUMBER(MXAU!$I$76),MXAU!$I$76,'Index Summary'!$C$7))</f>
        <v/>
      </c>
      <c r="F299" s="140">
        <f>IF(F$226="","",IF($B299="","",IFERROR($C299*$D299*IF((Override!$C$4="ON")*(COUNTIFS(Override!$B$11:$B$40,$B299,Override!$D$11:$D$40,1,Override!$E$11:$E$40,"&gt;=0")-COUNTIFS(Override!$B$11:$B$40,$B299,Override!$D$11:$D$40,1,Override!$E$11:$E$40,"&gt;=0",Override!$C$11:$C$40,"AS51"))&gt;0,SUMIFS(Override!$E$11:$E$40,Override!$B$11:$B$40,$B299,Override!$D$11:$D$40,1)-SUMIFS(Override!$E$11:$E$40,Override!$B$11:$B$40,$B299,Override!$D$11:$D$40,1,Override!$C$11:$C$40,"AS51"),Override!$C$331)/MXAU!$B$3,"")))</f>
        <v/>
      </c>
      <c r="G299" s="140">
        <f>IF(G$226="","",IF($B299="","",IFERROR($C299*$D299*IF((Override!$C$4="ON")*(COUNTIFS(Override!$B$11:$B$40,$B299,Override!$D$11:$D$40,2,Override!$E$11:$E$40,"&gt;=0")-COUNTIFS(Override!$B$11:$B$40,$B299,Override!$D$11:$D$40,2,Override!$E$11:$E$40,"&gt;=0",Override!$C$11:$C$40,"AS51"))&gt;0,SUMIFS(Override!$E$11:$E$40,Override!$B$11:$B$40,$B299,Override!$D$11:$D$40,2)-SUMIFS(Override!$E$11:$E$40,Override!$B$11:$B$40,$B299,Override!$D$11:$D$40,2,Override!$C$11:$C$40,"AS51"),Override!$D$331)/MXAU!$B$3,"")))</f>
        <v/>
      </c>
      <c r="H299" s="140">
        <f>IF(H$226="","",IF($B299="","",IFERROR($C299*$D299*IF((Override!$C$4="ON")*(COUNTIFS(Override!$B$11:$B$40,$B299,Override!$D$11:$D$40,3,Override!$E$11:$E$40,"&gt;=0")-COUNTIFS(Override!$B$11:$B$40,$B299,Override!$D$11:$D$40,3,Override!$E$11:$E$40,"&gt;=0",Override!$C$11:$C$40,"AS51"))&gt;0,SUMIFS(Override!$E$11:$E$40,Override!$B$11:$B$40,$B299,Override!$D$11:$D$40,3)-SUMIFS(Override!$E$11:$E$40,Override!$B$11:$B$40,$B299,Override!$D$11:$D$40,3,Override!$C$11:$C$40,"AS51"),Override!$E$331)/MXAU!$B$3,"")))</f>
        <v/>
      </c>
      <c r="I299" s="140">
        <f>IF(I$226="","",IF($B299="","",IFERROR($C299*$D299*IF((Override!$C$4="ON")*(COUNTIFS(Override!$B$11:$B$40,$B299,Override!$D$11:$D$40,4,Override!$E$11:$E$40,"&gt;=0")-COUNTIFS(Override!$B$11:$B$40,$B299,Override!$D$11:$D$40,4,Override!$E$11:$E$40,"&gt;=0",Override!$C$11:$C$40,"AS51"))&gt;0,SUMIFS(Override!$E$11:$E$40,Override!$B$11:$B$40,$B299,Override!$D$11:$D$40,4)-SUMIFS(Override!$E$11:$E$40,Override!$B$11:$B$40,$B299,Override!$D$11:$D$40,4,Override!$C$11:$C$40,"AS51"),Override!$F$331)/MXAU!$B$3,"")))</f>
        <v/>
      </c>
      <c r="J299" s="140">
        <f>IF(J$226="","",IF($B299="","",IFERROR($C299*$D299*IF((Override!$C$4="ON")*(COUNTIFS(Override!$B$11:$B$40,$B299,Override!$D$11:$D$40,5,Override!$E$11:$E$40,"&gt;=0")-COUNTIFS(Override!$B$11:$B$40,$B299,Override!$D$11:$D$40,5,Override!$E$11:$E$40,"&gt;=0",Override!$C$11:$C$40,"AS51"))&gt;0,SUMIFS(Override!$E$11:$E$40,Override!$B$11:$B$40,$B299,Override!$D$11:$D$40,5)-SUMIFS(Override!$E$11:$E$40,Override!$B$11:$B$40,$B299,Override!$D$11:$D$40,5,Override!$C$11:$C$40,"AS51"),Override!$G$331)/MXAU!$B$3,"")))</f>
        <v/>
      </c>
      <c r="K299" s="140">
        <f>IF(K$226="","",IF($B299="","",IFERROR($C299*$D299*IF((Override!$C$4="ON")*(COUNTIFS(Override!$B$11:$B$40,$B299,Override!$D$11:$D$40,6,Override!$E$11:$E$40,"&gt;=0")-COUNTIFS(Override!$B$11:$B$40,$B299,Override!$D$11:$D$40,6,Override!$E$11:$E$40,"&gt;=0",Override!$C$11:$C$40,"AS51"))&gt;0,SUMIFS(Override!$E$11:$E$40,Override!$B$11:$B$40,$B299,Override!$D$11:$D$40,6)-SUMIFS(Override!$E$11:$E$40,Override!$B$11:$B$40,$B299,Override!$D$11:$D$40,6,Override!$C$11:$C$40,"AS51"),Override!$H$331)/MXAU!$B$3,"")))</f>
        <v/>
      </c>
      <c r="L299" s="140">
        <f>IF(L$226="","",IF($B299="","",IFERROR($C299*$D299*IF((Override!$C$4="ON")*(COUNTIFS(Override!$B$11:$B$40,$B299,Override!$D$11:$D$40,7,Override!$E$11:$E$40,"&gt;=0")-COUNTIFS(Override!$B$11:$B$40,$B299,Override!$D$11:$D$40,7,Override!$E$11:$E$40,"&gt;=0",Override!$C$11:$C$40,"AS51"))&gt;0,SUMIFS(Override!$E$11:$E$40,Override!$B$11:$B$40,$B299,Override!$D$11:$D$40,7)-SUMIFS(Override!$E$11:$E$40,Override!$B$11:$B$40,$B299,Override!$D$11:$D$40,7,Override!$C$11:$C$40,"AS51"),Override!$I$331)/MXAU!$B$3,"")))</f>
        <v/>
      </c>
      <c r="M299" s="140">
        <f>IF(M$226="","",IF($B299="","",IFERROR($C299*$D299*IF((Override!$C$4="ON")*(COUNTIFS(Override!$B$11:$B$40,$B299,Override!$D$11:$D$40,8,Override!$E$11:$E$40,"&gt;=0")-COUNTIFS(Override!$B$11:$B$40,$B299,Override!$D$11:$D$40,8,Override!$E$11:$E$40,"&gt;=0",Override!$C$11:$C$40,"AS51"))&gt;0,SUMIFS(Override!$E$11:$E$40,Override!$B$11:$B$40,$B299,Override!$D$11:$D$40,8)-SUMIFS(Override!$E$11:$E$40,Override!$B$11:$B$40,$B299,Override!$D$11:$D$40,8,Override!$C$11:$C$40,"AS51"),Override!$J$331)/MXAU!$B$3,"")))</f>
        <v/>
      </c>
      <c r="N299" s="140">
        <f>IF(N$226="","",IF($B299="","",IFERROR($C299*$D299*IF((Override!$C$4="ON")*(COUNTIFS(Override!$B$11:$B$40,$B299,Override!$D$11:$D$40,9,Override!$E$11:$E$40,"&gt;=0")-COUNTIFS(Override!$B$11:$B$40,$B299,Override!$D$11:$D$40,9,Override!$E$11:$E$40,"&gt;=0",Override!$C$11:$C$40,"AS51"))&gt;0,SUMIFS(Override!$E$11:$E$40,Override!$B$11:$B$40,$B299,Override!$D$11:$D$40,9)-SUMIFS(Override!$E$11:$E$40,Override!$B$11:$B$40,$B299,Override!$D$11:$D$40,9,Override!$C$11:$C$40,"AS51"),Override!$K$331)/MXAU!$B$3,"")))</f>
        <v/>
      </c>
      <c r="O299" s="140">
        <f>IF(O$226="","",IF($B299="","",IFERROR($C299*$D299*IF((Override!$C$4="ON")*(COUNTIFS(Override!$B$11:$B$40,$B299,Override!$D$11:$D$40,10,Override!$E$11:$E$40,"&gt;=0")-COUNTIFS(Override!$B$11:$B$40,$B299,Override!$D$11:$D$40,10,Override!$E$11:$E$40,"&gt;=0",Override!$C$11:$C$40,"AS51"))&gt;0,SUMIFS(Override!$E$11:$E$40,Override!$B$11:$B$40,$B299,Override!$D$11:$D$40,10)-SUMIFS(Override!$E$11:$E$40,Override!$B$11:$B$40,$B299,Override!$D$11:$D$40,10,Override!$C$11:$C$40,"AS51"),Override!$L$331)/MXAU!$B$3,"")))</f>
        <v/>
      </c>
      <c r="P299" s="140">
        <f>IF(P$226="","",IF($B299="","",IFERROR($C299*$D299*IF((Override!$C$4="ON")*(COUNTIFS(Override!$B$11:$B$40,$B299,Override!$D$11:$D$40,11,Override!$E$11:$E$40,"&gt;=0")-COUNTIFS(Override!$B$11:$B$40,$B299,Override!$D$11:$D$40,11,Override!$E$11:$E$40,"&gt;=0",Override!$C$11:$C$40,"AS51"))&gt;0,SUMIFS(Override!$E$11:$E$40,Override!$B$11:$B$40,$B299,Override!$D$11:$D$40,11)-SUMIFS(Override!$E$11:$E$40,Override!$B$11:$B$40,$B299,Override!$D$11:$D$40,11,Override!$C$11:$C$40,"AS51"),Override!$M$331)/MXAU!$B$3,"")))</f>
        <v/>
      </c>
      <c r="Q299" s="140">
        <f>IF(Q$226="","",IF($B299="","",IFERROR($C299*$D299*IF((Override!$C$4="ON")*(COUNTIFS(Override!$B$11:$B$40,$B299,Override!$D$11:$D$40,12,Override!$E$11:$E$40,"&gt;=0")-COUNTIFS(Override!$B$11:$B$40,$B299,Override!$D$11:$D$40,12,Override!$E$11:$E$40,"&gt;=0",Override!$C$11:$C$40,"AS51"))&gt;0,SUMIFS(Override!$E$11:$E$40,Override!$B$11:$B$40,$B299,Override!$D$11:$D$40,12)-SUMIFS(Override!$E$11:$E$40,Override!$B$11:$B$40,$B299,Override!$D$11:$D$40,12,Override!$C$11:$C$40,"AS51"),Override!$N$331)/MXAU!$B$3,"")))</f>
        <v/>
      </c>
      <c r="R299" s="140">
        <f>IF(R$226="","",IF($B299="","",IFERROR($C299*$D299*IF((Override!$C$4="ON")*(COUNTIFS(Override!$B$11:$B$40,$B299,Override!$D$11:$D$40,13,Override!$E$11:$E$40,"&gt;=0")-COUNTIFS(Override!$B$11:$B$40,$B299,Override!$D$11:$D$40,13,Override!$E$11:$E$40,"&gt;=0",Override!$C$11:$C$40,"AS51"))&gt;0,SUMIFS(Override!$E$11:$E$40,Override!$B$11:$B$40,$B299,Override!$D$11:$D$40,13)-SUMIFS(Override!$E$11:$E$40,Override!$B$11:$B$40,$B299,Override!$D$11:$D$40,13,Override!$C$11:$C$40,"AS51"),Override!$O$331)/MXAU!$B$3,"")))</f>
        <v/>
      </c>
      <c r="S299" s="140">
        <f>IF(S$226="","",IF($B299="","",IFERROR($C299*$D299*IF((Override!$C$4="ON")*(COUNTIFS(Override!$B$11:$B$40,$B299,Override!$D$11:$D$40,14,Override!$E$11:$E$40,"&gt;=0")-COUNTIFS(Override!$B$11:$B$40,$B299,Override!$D$11:$D$40,14,Override!$E$11:$E$40,"&gt;=0",Override!$C$11:$C$40,"AS51"))&gt;0,SUMIFS(Override!$E$11:$E$40,Override!$B$11:$B$40,$B299,Override!$D$11:$D$40,14)-SUMIFS(Override!$E$11:$E$40,Override!$B$11:$B$40,$B299,Override!$D$11:$D$40,14,Override!$C$11:$C$40,"AS51"),Override!$P$331)/MXAU!$B$3,"")))</f>
        <v/>
      </c>
      <c r="T299" s="140">
        <f>IF(T$226="","",IF($B299="","",IFERROR($C299*$D299*IF((Override!$C$4="ON")*(COUNTIFS(Override!$B$11:$B$40,$B299,Override!$D$11:$D$40,15,Override!$E$11:$E$40,"&gt;=0")-COUNTIFS(Override!$B$11:$B$40,$B299,Override!$D$11:$D$40,15,Override!$E$11:$E$40,"&gt;=0",Override!$C$11:$C$40,"AS51"))&gt;0,SUMIFS(Override!$E$11:$E$40,Override!$B$11:$B$40,$B299,Override!$D$11:$D$40,15)-SUMIFS(Override!$E$11:$E$40,Override!$B$11:$B$40,$B299,Override!$D$11:$D$40,15,Override!$C$11:$C$40,"AS51"),Override!$Q$331)/MXAU!$B$3,"")))</f>
        <v/>
      </c>
      <c r="U299" s="140">
        <f>IF(U$226="","",IF($B299="","",IFERROR($C299*$D299*IF((Override!$C$4="ON")*(COUNTIFS(Override!$B$11:$B$40,$B299,Override!$D$11:$D$40,16,Override!$E$11:$E$40,"&gt;=0")-COUNTIFS(Override!$B$11:$B$40,$B299,Override!$D$11:$D$40,16,Override!$E$11:$E$40,"&gt;=0",Override!$C$11:$C$40,"AS51"))&gt;0,SUMIFS(Override!$E$11:$E$40,Override!$B$11:$B$40,$B299,Override!$D$11:$D$40,16)-SUMIFS(Override!$E$11:$E$40,Override!$B$11:$B$40,$B299,Override!$D$11:$D$40,16,Override!$C$11:$C$40,"AS51"),Override!$R$331)/MXAU!$B$3,"")))</f>
        <v/>
      </c>
      <c r="W299" s="140">
        <f>IF(W$226="","",IF($B299="","",IFERROR(F299*$E299/100,"")))</f>
        <v/>
      </c>
      <c r="X299" s="140">
        <f>IF(X$226="","",IF($B299="","",IFERROR(G299*$E299/100,"")))</f>
        <v/>
      </c>
      <c r="Y299" s="140">
        <f>IF(Y$226="","",IF($B299="","",IFERROR(H299*$E299/100,"")))</f>
        <v/>
      </c>
      <c r="Z299" s="140">
        <f>IF(Z$226="","",IF($B299="","",IFERROR(I299*$E299/100,"")))</f>
        <v/>
      </c>
      <c r="AA299" s="140">
        <f>IF(AA$226="","",IF($B299="","",IFERROR(J299*$E299/100,"")))</f>
        <v/>
      </c>
      <c r="AB299" s="140">
        <f>IF(AB$226="","",IF($B299="","",IFERROR(K299*$E299/100,"")))</f>
        <v/>
      </c>
      <c r="AC299" s="140">
        <f>IF(AC$226="","",IF($B299="","",IFERROR(L299*$E299/100,"")))</f>
        <v/>
      </c>
      <c r="AD299" s="140">
        <f>IF(AD$226="","",IF($B299="","",IFERROR(M299*$E299/100,"")))</f>
        <v/>
      </c>
      <c r="AE299" s="140">
        <f>IF(AE$226="","",IF($B299="","",IFERROR(N299*$E299/100,"")))</f>
        <v/>
      </c>
      <c r="AF299" s="140">
        <f>IF(AF$226="","",IF($B299="","",IFERROR(O299*$E299/100,"")))</f>
        <v/>
      </c>
      <c r="AG299" s="140">
        <f>IF(AG$226="","",IF($B299="","",IFERROR(P299*$E299/100,"")))</f>
        <v/>
      </c>
      <c r="AH299" s="140">
        <f>IF(AH$226="","",IF($B299="","",IFERROR(Q299*$E299/100,"")))</f>
        <v/>
      </c>
      <c r="AI299" s="140">
        <f>IF(AI$226="","",IF($B299="","",IFERROR(R299*$E299/100,"")))</f>
        <v/>
      </c>
      <c r="AJ299" s="140">
        <f>IF(AJ$226="","",IF($B299="","",IFERROR(S299*$E299/100,"")))</f>
        <v/>
      </c>
      <c r="AK299" s="140">
        <f>IF(AK$226="","",IF($B299="","",IFERROR(T299*$E299/100,"")))</f>
        <v/>
      </c>
      <c r="AL299" s="140">
        <f>IF(AL$226="","",IF($B299="","",IFERROR(U299*$E299/100,"")))</f>
        <v/>
      </c>
      <c r="AN299" s="140">
        <f>IF($B299="","",SUMIF($F$226:$U$226,"&lt;="&amp;Sector!$E$51,$F299:$U299))</f>
        <v/>
      </c>
      <c r="AO299" s="140">
        <f>IF($B299="","",SUMIF($W$226:$AL$226,"&lt;="&amp;Sector!$E$51,$W299:$AL299))</f>
        <v/>
      </c>
    </row>
    <row r="300">
      <c r="B300" s="5">
        <f>IF(MXAU!$C$77="","",MXAU!$C$77)</f>
        <v/>
      </c>
      <c r="C300" s="90">
        <f>IF(MXAU!$B$77="","",MXAU!$B$77)</f>
        <v/>
      </c>
      <c r="D300" s="138">
        <f>IFERROR(MXAU!$Q$77,1)</f>
        <v/>
      </c>
      <c r="E300" s="139">
        <f>IF($B300="","",IF(ISNUMBER(MXAU!$I$77),MXAU!$I$77,'Index Summary'!$C$7))</f>
        <v/>
      </c>
      <c r="F300" s="140">
        <f>IF(F$226="","",IF($B300="","",IFERROR($C300*$D300*IF((Override!$C$4="ON")*(COUNTIFS(Override!$B$11:$B$40,$B300,Override!$D$11:$D$40,1,Override!$E$11:$E$40,"&gt;=0")-COUNTIFS(Override!$B$11:$B$40,$B300,Override!$D$11:$D$40,1,Override!$E$11:$E$40,"&gt;=0",Override!$C$11:$C$40,"AS51"))&gt;0,SUMIFS(Override!$E$11:$E$40,Override!$B$11:$B$40,$B300,Override!$D$11:$D$40,1)-SUMIFS(Override!$E$11:$E$40,Override!$B$11:$B$40,$B300,Override!$D$11:$D$40,1,Override!$C$11:$C$40,"AS51"),Override!$C$332)/MXAU!$B$3,"")))</f>
        <v/>
      </c>
      <c r="G300" s="140">
        <f>IF(G$226="","",IF($B300="","",IFERROR($C300*$D300*IF((Override!$C$4="ON")*(COUNTIFS(Override!$B$11:$B$40,$B300,Override!$D$11:$D$40,2,Override!$E$11:$E$40,"&gt;=0")-COUNTIFS(Override!$B$11:$B$40,$B300,Override!$D$11:$D$40,2,Override!$E$11:$E$40,"&gt;=0",Override!$C$11:$C$40,"AS51"))&gt;0,SUMIFS(Override!$E$11:$E$40,Override!$B$11:$B$40,$B300,Override!$D$11:$D$40,2)-SUMIFS(Override!$E$11:$E$40,Override!$B$11:$B$40,$B300,Override!$D$11:$D$40,2,Override!$C$11:$C$40,"AS51"),Override!$D$332)/MXAU!$B$3,"")))</f>
        <v/>
      </c>
      <c r="H300" s="140">
        <f>IF(H$226="","",IF($B300="","",IFERROR($C300*$D300*IF((Override!$C$4="ON")*(COUNTIFS(Override!$B$11:$B$40,$B300,Override!$D$11:$D$40,3,Override!$E$11:$E$40,"&gt;=0")-COUNTIFS(Override!$B$11:$B$40,$B300,Override!$D$11:$D$40,3,Override!$E$11:$E$40,"&gt;=0",Override!$C$11:$C$40,"AS51"))&gt;0,SUMIFS(Override!$E$11:$E$40,Override!$B$11:$B$40,$B300,Override!$D$11:$D$40,3)-SUMIFS(Override!$E$11:$E$40,Override!$B$11:$B$40,$B300,Override!$D$11:$D$40,3,Override!$C$11:$C$40,"AS51"),Override!$E$332)/MXAU!$B$3,"")))</f>
        <v/>
      </c>
      <c r="I300" s="140">
        <f>IF(I$226="","",IF($B300="","",IFERROR($C300*$D300*IF((Override!$C$4="ON")*(COUNTIFS(Override!$B$11:$B$40,$B300,Override!$D$11:$D$40,4,Override!$E$11:$E$40,"&gt;=0")-COUNTIFS(Override!$B$11:$B$40,$B300,Override!$D$11:$D$40,4,Override!$E$11:$E$40,"&gt;=0",Override!$C$11:$C$40,"AS51"))&gt;0,SUMIFS(Override!$E$11:$E$40,Override!$B$11:$B$40,$B300,Override!$D$11:$D$40,4)-SUMIFS(Override!$E$11:$E$40,Override!$B$11:$B$40,$B300,Override!$D$11:$D$40,4,Override!$C$11:$C$40,"AS51"),Override!$F$332)/MXAU!$B$3,"")))</f>
        <v/>
      </c>
      <c r="J300" s="140">
        <f>IF(J$226="","",IF($B300="","",IFERROR($C300*$D300*IF((Override!$C$4="ON")*(COUNTIFS(Override!$B$11:$B$40,$B300,Override!$D$11:$D$40,5,Override!$E$11:$E$40,"&gt;=0")-COUNTIFS(Override!$B$11:$B$40,$B300,Override!$D$11:$D$40,5,Override!$E$11:$E$40,"&gt;=0",Override!$C$11:$C$40,"AS51"))&gt;0,SUMIFS(Override!$E$11:$E$40,Override!$B$11:$B$40,$B300,Override!$D$11:$D$40,5)-SUMIFS(Override!$E$11:$E$40,Override!$B$11:$B$40,$B300,Override!$D$11:$D$40,5,Override!$C$11:$C$40,"AS51"),Override!$G$332)/MXAU!$B$3,"")))</f>
        <v/>
      </c>
      <c r="K300" s="140">
        <f>IF(K$226="","",IF($B300="","",IFERROR($C300*$D300*IF((Override!$C$4="ON")*(COUNTIFS(Override!$B$11:$B$40,$B300,Override!$D$11:$D$40,6,Override!$E$11:$E$40,"&gt;=0")-COUNTIFS(Override!$B$11:$B$40,$B300,Override!$D$11:$D$40,6,Override!$E$11:$E$40,"&gt;=0",Override!$C$11:$C$40,"AS51"))&gt;0,SUMIFS(Override!$E$11:$E$40,Override!$B$11:$B$40,$B300,Override!$D$11:$D$40,6)-SUMIFS(Override!$E$11:$E$40,Override!$B$11:$B$40,$B300,Override!$D$11:$D$40,6,Override!$C$11:$C$40,"AS51"),Override!$H$332)/MXAU!$B$3,"")))</f>
        <v/>
      </c>
      <c r="L300" s="140">
        <f>IF(L$226="","",IF($B300="","",IFERROR($C300*$D300*IF((Override!$C$4="ON")*(COUNTIFS(Override!$B$11:$B$40,$B300,Override!$D$11:$D$40,7,Override!$E$11:$E$40,"&gt;=0")-COUNTIFS(Override!$B$11:$B$40,$B300,Override!$D$11:$D$40,7,Override!$E$11:$E$40,"&gt;=0",Override!$C$11:$C$40,"AS51"))&gt;0,SUMIFS(Override!$E$11:$E$40,Override!$B$11:$B$40,$B300,Override!$D$11:$D$40,7)-SUMIFS(Override!$E$11:$E$40,Override!$B$11:$B$40,$B300,Override!$D$11:$D$40,7,Override!$C$11:$C$40,"AS51"),Override!$I$332)/MXAU!$B$3,"")))</f>
        <v/>
      </c>
      <c r="M300" s="140">
        <f>IF(M$226="","",IF($B300="","",IFERROR($C300*$D300*IF((Override!$C$4="ON")*(COUNTIFS(Override!$B$11:$B$40,$B300,Override!$D$11:$D$40,8,Override!$E$11:$E$40,"&gt;=0")-COUNTIFS(Override!$B$11:$B$40,$B300,Override!$D$11:$D$40,8,Override!$E$11:$E$40,"&gt;=0",Override!$C$11:$C$40,"AS51"))&gt;0,SUMIFS(Override!$E$11:$E$40,Override!$B$11:$B$40,$B300,Override!$D$11:$D$40,8)-SUMIFS(Override!$E$11:$E$40,Override!$B$11:$B$40,$B300,Override!$D$11:$D$40,8,Override!$C$11:$C$40,"AS51"),Override!$J$332)/MXAU!$B$3,"")))</f>
        <v/>
      </c>
      <c r="N300" s="140">
        <f>IF(N$226="","",IF($B300="","",IFERROR($C300*$D300*IF((Override!$C$4="ON")*(COUNTIFS(Override!$B$11:$B$40,$B300,Override!$D$11:$D$40,9,Override!$E$11:$E$40,"&gt;=0")-COUNTIFS(Override!$B$11:$B$40,$B300,Override!$D$11:$D$40,9,Override!$E$11:$E$40,"&gt;=0",Override!$C$11:$C$40,"AS51"))&gt;0,SUMIFS(Override!$E$11:$E$40,Override!$B$11:$B$40,$B300,Override!$D$11:$D$40,9)-SUMIFS(Override!$E$11:$E$40,Override!$B$11:$B$40,$B300,Override!$D$11:$D$40,9,Override!$C$11:$C$40,"AS51"),Override!$K$332)/MXAU!$B$3,"")))</f>
        <v/>
      </c>
      <c r="O300" s="140">
        <f>IF(O$226="","",IF($B300="","",IFERROR($C300*$D300*IF((Override!$C$4="ON")*(COUNTIFS(Override!$B$11:$B$40,$B300,Override!$D$11:$D$40,10,Override!$E$11:$E$40,"&gt;=0")-COUNTIFS(Override!$B$11:$B$40,$B300,Override!$D$11:$D$40,10,Override!$E$11:$E$40,"&gt;=0",Override!$C$11:$C$40,"AS51"))&gt;0,SUMIFS(Override!$E$11:$E$40,Override!$B$11:$B$40,$B300,Override!$D$11:$D$40,10)-SUMIFS(Override!$E$11:$E$40,Override!$B$11:$B$40,$B300,Override!$D$11:$D$40,10,Override!$C$11:$C$40,"AS51"),Override!$L$332)/MXAU!$B$3,"")))</f>
        <v/>
      </c>
      <c r="P300" s="140">
        <f>IF(P$226="","",IF($B300="","",IFERROR($C300*$D300*IF((Override!$C$4="ON")*(COUNTIFS(Override!$B$11:$B$40,$B300,Override!$D$11:$D$40,11,Override!$E$11:$E$40,"&gt;=0")-COUNTIFS(Override!$B$11:$B$40,$B300,Override!$D$11:$D$40,11,Override!$E$11:$E$40,"&gt;=0",Override!$C$11:$C$40,"AS51"))&gt;0,SUMIFS(Override!$E$11:$E$40,Override!$B$11:$B$40,$B300,Override!$D$11:$D$40,11)-SUMIFS(Override!$E$11:$E$40,Override!$B$11:$B$40,$B300,Override!$D$11:$D$40,11,Override!$C$11:$C$40,"AS51"),Override!$M$332)/MXAU!$B$3,"")))</f>
        <v/>
      </c>
      <c r="Q300" s="140">
        <f>IF(Q$226="","",IF($B300="","",IFERROR($C300*$D300*IF((Override!$C$4="ON")*(COUNTIFS(Override!$B$11:$B$40,$B300,Override!$D$11:$D$40,12,Override!$E$11:$E$40,"&gt;=0")-COUNTIFS(Override!$B$11:$B$40,$B300,Override!$D$11:$D$40,12,Override!$E$11:$E$40,"&gt;=0",Override!$C$11:$C$40,"AS51"))&gt;0,SUMIFS(Override!$E$11:$E$40,Override!$B$11:$B$40,$B300,Override!$D$11:$D$40,12)-SUMIFS(Override!$E$11:$E$40,Override!$B$11:$B$40,$B300,Override!$D$11:$D$40,12,Override!$C$11:$C$40,"AS51"),Override!$N$332)/MXAU!$B$3,"")))</f>
        <v/>
      </c>
      <c r="R300" s="140">
        <f>IF(R$226="","",IF($B300="","",IFERROR($C300*$D300*IF((Override!$C$4="ON")*(COUNTIFS(Override!$B$11:$B$40,$B300,Override!$D$11:$D$40,13,Override!$E$11:$E$40,"&gt;=0")-COUNTIFS(Override!$B$11:$B$40,$B300,Override!$D$11:$D$40,13,Override!$E$11:$E$40,"&gt;=0",Override!$C$11:$C$40,"AS51"))&gt;0,SUMIFS(Override!$E$11:$E$40,Override!$B$11:$B$40,$B300,Override!$D$11:$D$40,13)-SUMIFS(Override!$E$11:$E$40,Override!$B$11:$B$40,$B300,Override!$D$11:$D$40,13,Override!$C$11:$C$40,"AS51"),Override!$O$332)/MXAU!$B$3,"")))</f>
        <v/>
      </c>
      <c r="S300" s="140">
        <f>IF(S$226="","",IF($B300="","",IFERROR($C300*$D300*IF((Override!$C$4="ON")*(COUNTIFS(Override!$B$11:$B$40,$B300,Override!$D$11:$D$40,14,Override!$E$11:$E$40,"&gt;=0")-COUNTIFS(Override!$B$11:$B$40,$B300,Override!$D$11:$D$40,14,Override!$E$11:$E$40,"&gt;=0",Override!$C$11:$C$40,"AS51"))&gt;0,SUMIFS(Override!$E$11:$E$40,Override!$B$11:$B$40,$B300,Override!$D$11:$D$40,14)-SUMIFS(Override!$E$11:$E$40,Override!$B$11:$B$40,$B300,Override!$D$11:$D$40,14,Override!$C$11:$C$40,"AS51"),Override!$P$332)/MXAU!$B$3,"")))</f>
        <v/>
      </c>
      <c r="T300" s="140">
        <f>IF(T$226="","",IF($B300="","",IFERROR($C300*$D300*IF((Override!$C$4="ON")*(COUNTIFS(Override!$B$11:$B$40,$B300,Override!$D$11:$D$40,15,Override!$E$11:$E$40,"&gt;=0")-COUNTIFS(Override!$B$11:$B$40,$B300,Override!$D$11:$D$40,15,Override!$E$11:$E$40,"&gt;=0",Override!$C$11:$C$40,"AS51"))&gt;0,SUMIFS(Override!$E$11:$E$40,Override!$B$11:$B$40,$B300,Override!$D$11:$D$40,15)-SUMIFS(Override!$E$11:$E$40,Override!$B$11:$B$40,$B300,Override!$D$11:$D$40,15,Override!$C$11:$C$40,"AS51"),Override!$Q$332)/MXAU!$B$3,"")))</f>
        <v/>
      </c>
      <c r="U300" s="140">
        <f>IF(U$226="","",IF($B300="","",IFERROR($C300*$D300*IF((Override!$C$4="ON")*(COUNTIFS(Override!$B$11:$B$40,$B300,Override!$D$11:$D$40,16,Override!$E$11:$E$40,"&gt;=0")-COUNTIFS(Override!$B$11:$B$40,$B300,Override!$D$11:$D$40,16,Override!$E$11:$E$40,"&gt;=0",Override!$C$11:$C$40,"AS51"))&gt;0,SUMIFS(Override!$E$11:$E$40,Override!$B$11:$B$40,$B300,Override!$D$11:$D$40,16)-SUMIFS(Override!$E$11:$E$40,Override!$B$11:$B$40,$B300,Override!$D$11:$D$40,16,Override!$C$11:$C$40,"AS51"),Override!$R$332)/MXAU!$B$3,"")))</f>
        <v/>
      </c>
      <c r="W300" s="140">
        <f>IF(W$226="","",IF($B300="","",IFERROR(F300*$E300/100,"")))</f>
        <v/>
      </c>
      <c r="X300" s="140">
        <f>IF(X$226="","",IF($B300="","",IFERROR(G300*$E300/100,"")))</f>
        <v/>
      </c>
      <c r="Y300" s="140">
        <f>IF(Y$226="","",IF($B300="","",IFERROR(H300*$E300/100,"")))</f>
        <v/>
      </c>
      <c r="Z300" s="140">
        <f>IF(Z$226="","",IF($B300="","",IFERROR(I300*$E300/100,"")))</f>
        <v/>
      </c>
      <c r="AA300" s="140">
        <f>IF(AA$226="","",IF($B300="","",IFERROR(J300*$E300/100,"")))</f>
        <v/>
      </c>
      <c r="AB300" s="140">
        <f>IF(AB$226="","",IF($B300="","",IFERROR(K300*$E300/100,"")))</f>
        <v/>
      </c>
      <c r="AC300" s="140">
        <f>IF(AC$226="","",IF($B300="","",IFERROR(L300*$E300/100,"")))</f>
        <v/>
      </c>
      <c r="AD300" s="140">
        <f>IF(AD$226="","",IF($B300="","",IFERROR(M300*$E300/100,"")))</f>
        <v/>
      </c>
      <c r="AE300" s="140">
        <f>IF(AE$226="","",IF($B300="","",IFERROR(N300*$E300/100,"")))</f>
        <v/>
      </c>
      <c r="AF300" s="140">
        <f>IF(AF$226="","",IF($B300="","",IFERROR(O300*$E300/100,"")))</f>
        <v/>
      </c>
      <c r="AG300" s="140">
        <f>IF(AG$226="","",IF($B300="","",IFERROR(P300*$E300/100,"")))</f>
        <v/>
      </c>
      <c r="AH300" s="140">
        <f>IF(AH$226="","",IF($B300="","",IFERROR(Q300*$E300/100,"")))</f>
        <v/>
      </c>
      <c r="AI300" s="140">
        <f>IF(AI$226="","",IF($B300="","",IFERROR(R300*$E300/100,"")))</f>
        <v/>
      </c>
      <c r="AJ300" s="140">
        <f>IF(AJ$226="","",IF($B300="","",IFERROR(S300*$E300/100,"")))</f>
        <v/>
      </c>
      <c r="AK300" s="140">
        <f>IF(AK$226="","",IF($B300="","",IFERROR(T300*$E300/100,"")))</f>
        <v/>
      </c>
      <c r="AL300" s="140">
        <f>IF(AL$226="","",IF($B300="","",IFERROR(U300*$E300/100,"")))</f>
        <v/>
      </c>
      <c r="AN300" s="140">
        <f>IF($B300="","",SUMIF($F$226:$U$226,"&lt;="&amp;Sector!$E$51,$F300:$U300))</f>
        <v/>
      </c>
      <c r="AO300" s="140">
        <f>IF($B300="","",SUMIF($W$226:$AL$226,"&lt;="&amp;Sector!$E$51,$W300:$AL300))</f>
        <v/>
      </c>
    </row>
    <row r="301">
      <c r="B301" s="5">
        <f>IF(MXAU!$C$78="","",MXAU!$C$78)</f>
        <v/>
      </c>
      <c r="C301" s="90">
        <f>IF(MXAU!$B$78="","",MXAU!$B$78)</f>
        <v/>
      </c>
      <c r="D301" s="138">
        <f>IFERROR(MXAU!$Q$78,1)</f>
        <v/>
      </c>
      <c r="E301" s="139">
        <f>IF($B301="","",IF(ISNUMBER(MXAU!$I$78),MXAU!$I$78,'Index Summary'!$C$7))</f>
        <v/>
      </c>
      <c r="F301" s="140">
        <f>IF(F$226="","",IF($B301="","",IFERROR($C301*$D301*IF((Override!$C$4="ON")*(COUNTIFS(Override!$B$11:$B$40,$B301,Override!$D$11:$D$40,1,Override!$E$11:$E$40,"&gt;=0")-COUNTIFS(Override!$B$11:$B$40,$B301,Override!$D$11:$D$40,1,Override!$E$11:$E$40,"&gt;=0",Override!$C$11:$C$40,"AS51"))&gt;0,SUMIFS(Override!$E$11:$E$40,Override!$B$11:$B$40,$B301,Override!$D$11:$D$40,1)-SUMIFS(Override!$E$11:$E$40,Override!$B$11:$B$40,$B301,Override!$D$11:$D$40,1,Override!$C$11:$C$40,"AS51"),Override!$C$333)/MXAU!$B$3,"")))</f>
        <v/>
      </c>
      <c r="G301" s="140">
        <f>IF(G$226="","",IF($B301="","",IFERROR($C301*$D301*IF((Override!$C$4="ON")*(COUNTIFS(Override!$B$11:$B$40,$B301,Override!$D$11:$D$40,2,Override!$E$11:$E$40,"&gt;=0")-COUNTIFS(Override!$B$11:$B$40,$B301,Override!$D$11:$D$40,2,Override!$E$11:$E$40,"&gt;=0",Override!$C$11:$C$40,"AS51"))&gt;0,SUMIFS(Override!$E$11:$E$40,Override!$B$11:$B$40,$B301,Override!$D$11:$D$40,2)-SUMIFS(Override!$E$11:$E$40,Override!$B$11:$B$40,$B301,Override!$D$11:$D$40,2,Override!$C$11:$C$40,"AS51"),Override!$D$333)/MXAU!$B$3,"")))</f>
        <v/>
      </c>
      <c r="H301" s="140">
        <f>IF(H$226="","",IF($B301="","",IFERROR($C301*$D301*IF((Override!$C$4="ON")*(COUNTIFS(Override!$B$11:$B$40,$B301,Override!$D$11:$D$40,3,Override!$E$11:$E$40,"&gt;=0")-COUNTIFS(Override!$B$11:$B$40,$B301,Override!$D$11:$D$40,3,Override!$E$11:$E$40,"&gt;=0",Override!$C$11:$C$40,"AS51"))&gt;0,SUMIFS(Override!$E$11:$E$40,Override!$B$11:$B$40,$B301,Override!$D$11:$D$40,3)-SUMIFS(Override!$E$11:$E$40,Override!$B$11:$B$40,$B301,Override!$D$11:$D$40,3,Override!$C$11:$C$40,"AS51"),Override!$E$333)/MXAU!$B$3,"")))</f>
        <v/>
      </c>
      <c r="I301" s="140">
        <f>IF(I$226="","",IF($B301="","",IFERROR($C301*$D301*IF((Override!$C$4="ON")*(COUNTIFS(Override!$B$11:$B$40,$B301,Override!$D$11:$D$40,4,Override!$E$11:$E$40,"&gt;=0")-COUNTIFS(Override!$B$11:$B$40,$B301,Override!$D$11:$D$40,4,Override!$E$11:$E$40,"&gt;=0",Override!$C$11:$C$40,"AS51"))&gt;0,SUMIFS(Override!$E$11:$E$40,Override!$B$11:$B$40,$B301,Override!$D$11:$D$40,4)-SUMIFS(Override!$E$11:$E$40,Override!$B$11:$B$40,$B301,Override!$D$11:$D$40,4,Override!$C$11:$C$40,"AS51"),Override!$F$333)/MXAU!$B$3,"")))</f>
        <v/>
      </c>
      <c r="J301" s="140">
        <f>IF(J$226="","",IF($B301="","",IFERROR($C301*$D301*IF((Override!$C$4="ON")*(COUNTIFS(Override!$B$11:$B$40,$B301,Override!$D$11:$D$40,5,Override!$E$11:$E$40,"&gt;=0")-COUNTIFS(Override!$B$11:$B$40,$B301,Override!$D$11:$D$40,5,Override!$E$11:$E$40,"&gt;=0",Override!$C$11:$C$40,"AS51"))&gt;0,SUMIFS(Override!$E$11:$E$40,Override!$B$11:$B$40,$B301,Override!$D$11:$D$40,5)-SUMIFS(Override!$E$11:$E$40,Override!$B$11:$B$40,$B301,Override!$D$11:$D$40,5,Override!$C$11:$C$40,"AS51"),Override!$G$333)/MXAU!$B$3,"")))</f>
        <v/>
      </c>
      <c r="K301" s="140">
        <f>IF(K$226="","",IF($B301="","",IFERROR($C301*$D301*IF((Override!$C$4="ON")*(COUNTIFS(Override!$B$11:$B$40,$B301,Override!$D$11:$D$40,6,Override!$E$11:$E$40,"&gt;=0")-COUNTIFS(Override!$B$11:$B$40,$B301,Override!$D$11:$D$40,6,Override!$E$11:$E$40,"&gt;=0",Override!$C$11:$C$40,"AS51"))&gt;0,SUMIFS(Override!$E$11:$E$40,Override!$B$11:$B$40,$B301,Override!$D$11:$D$40,6)-SUMIFS(Override!$E$11:$E$40,Override!$B$11:$B$40,$B301,Override!$D$11:$D$40,6,Override!$C$11:$C$40,"AS51"),Override!$H$333)/MXAU!$B$3,"")))</f>
        <v/>
      </c>
      <c r="L301" s="140">
        <f>IF(L$226="","",IF($B301="","",IFERROR($C301*$D301*IF((Override!$C$4="ON")*(COUNTIFS(Override!$B$11:$B$40,$B301,Override!$D$11:$D$40,7,Override!$E$11:$E$40,"&gt;=0")-COUNTIFS(Override!$B$11:$B$40,$B301,Override!$D$11:$D$40,7,Override!$E$11:$E$40,"&gt;=0",Override!$C$11:$C$40,"AS51"))&gt;0,SUMIFS(Override!$E$11:$E$40,Override!$B$11:$B$40,$B301,Override!$D$11:$D$40,7)-SUMIFS(Override!$E$11:$E$40,Override!$B$11:$B$40,$B301,Override!$D$11:$D$40,7,Override!$C$11:$C$40,"AS51"),Override!$I$333)/MXAU!$B$3,"")))</f>
        <v/>
      </c>
      <c r="M301" s="140">
        <f>IF(M$226="","",IF($B301="","",IFERROR($C301*$D301*IF((Override!$C$4="ON")*(COUNTIFS(Override!$B$11:$B$40,$B301,Override!$D$11:$D$40,8,Override!$E$11:$E$40,"&gt;=0")-COUNTIFS(Override!$B$11:$B$40,$B301,Override!$D$11:$D$40,8,Override!$E$11:$E$40,"&gt;=0",Override!$C$11:$C$40,"AS51"))&gt;0,SUMIFS(Override!$E$11:$E$40,Override!$B$11:$B$40,$B301,Override!$D$11:$D$40,8)-SUMIFS(Override!$E$11:$E$40,Override!$B$11:$B$40,$B301,Override!$D$11:$D$40,8,Override!$C$11:$C$40,"AS51"),Override!$J$333)/MXAU!$B$3,"")))</f>
        <v/>
      </c>
      <c r="N301" s="140">
        <f>IF(N$226="","",IF($B301="","",IFERROR($C301*$D301*IF((Override!$C$4="ON")*(COUNTIFS(Override!$B$11:$B$40,$B301,Override!$D$11:$D$40,9,Override!$E$11:$E$40,"&gt;=0")-COUNTIFS(Override!$B$11:$B$40,$B301,Override!$D$11:$D$40,9,Override!$E$11:$E$40,"&gt;=0",Override!$C$11:$C$40,"AS51"))&gt;0,SUMIFS(Override!$E$11:$E$40,Override!$B$11:$B$40,$B301,Override!$D$11:$D$40,9)-SUMIFS(Override!$E$11:$E$40,Override!$B$11:$B$40,$B301,Override!$D$11:$D$40,9,Override!$C$11:$C$40,"AS51"),Override!$K$333)/MXAU!$B$3,"")))</f>
        <v/>
      </c>
      <c r="O301" s="140">
        <f>IF(O$226="","",IF($B301="","",IFERROR($C301*$D301*IF((Override!$C$4="ON")*(COUNTIFS(Override!$B$11:$B$40,$B301,Override!$D$11:$D$40,10,Override!$E$11:$E$40,"&gt;=0")-COUNTIFS(Override!$B$11:$B$40,$B301,Override!$D$11:$D$40,10,Override!$E$11:$E$40,"&gt;=0",Override!$C$11:$C$40,"AS51"))&gt;0,SUMIFS(Override!$E$11:$E$40,Override!$B$11:$B$40,$B301,Override!$D$11:$D$40,10)-SUMIFS(Override!$E$11:$E$40,Override!$B$11:$B$40,$B301,Override!$D$11:$D$40,10,Override!$C$11:$C$40,"AS51"),Override!$L$333)/MXAU!$B$3,"")))</f>
        <v/>
      </c>
      <c r="P301" s="140">
        <f>IF(P$226="","",IF($B301="","",IFERROR($C301*$D301*IF((Override!$C$4="ON")*(COUNTIFS(Override!$B$11:$B$40,$B301,Override!$D$11:$D$40,11,Override!$E$11:$E$40,"&gt;=0")-COUNTIFS(Override!$B$11:$B$40,$B301,Override!$D$11:$D$40,11,Override!$E$11:$E$40,"&gt;=0",Override!$C$11:$C$40,"AS51"))&gt;0,SUMIFS(Override!$E$11:$E$40,Override!$B$11:$B$40,$B301,Override!$D$11:$D$40,11)-SUMIFS(Override!$E$11:$E$40,Override!$B$11:$B$40,$B301,Override!$D$11:$D$40,11,Override!$C$11:$C$40,"AS51"),Override!$M$333)/MXAU!$B$3,"")))</f>
        <v/>
      </c>
      <c r="Q301" s="140">
        <f>IF(Q$226="","",IF($B301="","",IFERROR($C301*$D301*IF((Override!$C$4="ON")*(COUNTIFS(Override!$B$11:$B$40,$B301,Override!$D$11:$D$40,12,Override!$E$11:$E$40,"&gt;=0")-COUNTIFS(Override!$B$11:$B$40,$B301,Override!$D$11:$D$40,12,Override!$E$11:$E$40,"&gt;=0",Override!$C$11:$C$40,"AS51"))&gt;0,SUMIFS(Override!$E$11:$E$40,Override!$B$11:$B$40,$B301,Override!$D$11:$D$40,12)-SUMIFS(Override!$E$11:$E$40,Override!$B$11:$B$40,$B301,Override!$D$11:$D$40,12,Override!$C$11:$C$40,"AS51"),Override!$N$333)/MXAU!$B$3,"")))</f>
        <v/>
      </c>
      <c r="R301" s="140">
        <f>IF(R$226="","",IF($B301="","",IFERROR($C301*$D301*IF((Override!$C$4="ON")*(COUNTIFS(Override!$B$11:$B$40,$B301,Override!$D$11:$D$40,13,Override!$E$11:$E$40,"&gt;=0")-COUNTIFS(Override!$B$11:$B$40,$B301,Override!$D$11:$D$40,13,Override!$E$11:$E$40,"&gt;=0",Override!$C$11:$C$40,"AS51"))&gt;0,SUMIFS(Override!$E$11:$E$40,Override!$B$11:$B$40,$B301,Override!$D$11:$D$40,13)-SUMIFS(Override!$E$11:$E$40,Override!$B$11:$B$40,$B301,Override!$D$11:$D$40,13,Override!$C$11:$C$40,"AS51"),Override!$O$333)/MXAU!$B$3,"")))</f>
        <v/>
      </c>
      <c r="S301" s="140">
        <f>IF(S$226="","",IF($B301="","",IFERROR($C301*$D301*IF((Override!$C$4="ON")*(COUNTIFS(Override!$B$11:$B$40,$B301,Override!$D$11:$D$40,14,Override!$E$11:$E$40,"&gt;=0")-COUNTIFS(Override!$B$11:$B$40,$B301,Override!$D$11:$D$40,14,Override!$E$11:$E$40,"&gt;=0",Override!$C$11:$C$40,"AS51"))&gt;0,SUMIFS(Override!$E$11:$E$40,Override!$B$11:$B$40,$B301,Override!$D$11:$D$40,14)-SUMIFS(Override!$E$11:$E$40,Override!$B$11:$B$40,$B301,Override!$D$11:$D$40,14,Override!$C$11:$C$40,"AS51"),Override!$P$333)/MXAU!$B$3,"")))</f>
        <v/>
      </c>
      <c r="T301" s="140">
        <f>IF(T$226="","",IF($B301="","",IFERROR($C301*$D301*IF((Override!$C$4="ON")*(COUNTIFS(Override!$B$11:$B$40,$B301,Override!$D$11:$D$40,15,Override!$E$11:$E$40,"&gt;=0")-COUNTIFS(Override!$B$11:$B$40,$B301,Override!$D$11:$D$40,15,Override!$E$11:$E$40,"&gt;=0",Override!$C$11:$C$40,"AS51"))&gt;0,SUMIFS(Override!$E$11:$E$40,Override!$B$11:$B$40,$B301,Override!$D$11:$D$40,15)-SUMIFS(Override!$E$11:$E$40,Override!$B$11:$B$40,$B301,Override!$D$11:$D$40,15,Override!$C$11:$C$40,"AS51"),Override!$Q$333)/MXAU!$B$3,"")))</f>
        <v/>
      </c>
      <c r="U301" s="140">
        <f>IF(U$226="","",IF($B301="","",IFERROR($C301*$D301*IF((Override!$C$4="ON")*(COUNTIFS(Override!$B$11:$B$40,$B301,Override!$D$11:$D$40,16,Override!$E$11:$E$40,"&gt;=0")-COUNTIFS(Override!$B$11:$B$40,$B301,Override!$D$11:$D$40,16,Override!$E$11:$E$40,"&gt;=0",Override!$C$11:$C$40,"AS51"))&gt;0,SUMIFS(Override!$E$11:$E$40,Override!$B$11:$B$40,$B301,Override!$D$11:$D$40,16)-SUMIFS(Override!$E$11:$E$40,Override!$B$11:$B$40,$B301,Override!$D$11:$D$40,16,Override!$C$11:$C$40,"AS51"),Override!$R$333)/MXAU!$B$3,"")))</f>
        <v/>
      </c>
      <c r="W301" s="140">
        <f>IF(W$226="","",IF($B301="","",IFERROR(F301*$E301/100,"")))</f>
        <v/>
      </c>
      <c r="X301" s="140">
        <f>IF(X$226="","",IF($B301="","",IFERROR(G301*$E301/100,"")))</f>
        <v/>
      </c>
      <c r="Y301" s="140">
        <f>IF(Y$226="","",IF($B301="","",IFERROR(H301*$E301/100,"")))</f>
        <v/>
      </c>
      <c r="Z301" s="140">
        <f>IF(Z$226="","",IF($B301="","",IFERROR(I301*$E301/100,"")))</f>
        <v/>
      </c>
      <c r="AA301" s="140">
        <f>IF(AA$226="","",IF($B301="","",IFERROR(J301*$E301/100,"")))</f>
        <v/>
      </c>
      <c r="AB301" s="140">
        <f>IF(AB$226="","",IF($B301="","",IFERROR(K301*$E301/100,"")))</f>
        <v/>
      </c>
      <c r="AC301" s="140">
        <f>IF(AC$226="","",IF($B301="","",IFERROR(L301*$E301/100,"")))</f>
        <v/>
      </c>
      <c r="AD301" s="140">
        <f>IF(AD$226="","",IF($B301="","",IFERROR(M301*$E301/100,"")))</f>
        <v/>
      </c>
      <c r="AE301" s="140">
        <f>IF(AE$226="","",IF($B301="","",IFERROR(N301*$E301/100,"")))</f>
        <v/>
      </c>
      <c r="AF301" s="140">
        <f>IF(AF$226="","",IF($B301="","",IFERROR(O301*$E301/100,"")))</f>
        <v/>
      </c>
      <c r="AG301" s="140">
        <f>IF(AG$226="","",IF($B301="","",IFERROR(P301*$E301/100,"")))</f>
        <v/>
      </c>
      <c r="AH301" s="140">
        <f>IF(AH$226="","",IF($B301="","",IFERROR(Q301*$E301/100,"")))</f>
        <v/>
      </c>
      <c r="AI301" s="140">
        <f>IF(AI$226="","",IF($B301="","",IFERROR(R301*$E301/100,"")))</f>
        <v/>
      </c>
      <c r="AJ301" s="140">
        <f>IF(AJ$226="","",IF($B301="","",IFERROR(S301*$E301/100,"")))</f>
        <v/>
      </c>
      <c r="AK301" s="140">
        <f>IF(AK$226="","",IF($B301="","",IFERROR(T301*$E301/100,"")))</f>
        <v/>
      </c>
      <c r="AL301" s="140">
        <f>IF(AL$226="","",IF($B301="","",IFERROR(U301*$E301/100,"")))</f>
        <v/>
      </c>
      <c r="AN301" s="140">
        <f>IF($B301="","",SUMIF($F$226:$U$226,"&lt;="&amp;Sector!$E$51,$F301:$U301))</f>
        <v/>
      </c>
      <c r="AO301" s="140">
        <f>IF($B301="","",SUMIF($W$226:$AL$226,"&lt;="&amp;Sector!$E$51,$W301:$AL301))</f>
        <v/>
      </c>
    </row>
    <row r="302">
      <c r="B302" s="5">
        <f>IF(MXAU!$C$79="","",MXAU!$C$79)</f>
        <v/>
      </c>
      <c r="C302" s="90">
        <f>IF(MXAU!$B$79="","",MXAU!$B$79)</f>
        <v/>
      </c>
      <c r="D302" s="138">
        <f>IFERROR(MXAU!$Q$79,1)</f>
        <v/>
      </c>
      <c r="E302" s="139">
        <f>IF($B302="","",IF(ISNUMBER(MXAU!$I$79),MXAU!$I$79,'Index Summary'!$C$7))</f>
        <v/>
      </c>
      <c r="F302" s="140">
        <f>IF(F$226="","",IF($B302="","",IFERROR($C302*$D302*IF((Override!$C$4="ON")*(COUNTIFS(Override!$B$11:$B$40,$B302,Override!$D$11:$D$40,1,Override!$E$11:$E$40,"&gt;=0")-COUNTIFS(Override!$B$11:$B$40,$B302,Override!$D$11:$D$40,1,Override!$E$11:$E$40,"&gt;=0",Override!$C$11:$C$40,"AS51"))&gt;0,SUMIFS(Override!$E$11:$E$40,Override!$B$11:$B$40,$B302,Override!$D$11:$D$40,1)-SUMIFS(Override!$E$11:$E$40,Override!$B$11:$B$40,$B302,Override!$D$11:$D$40,1,Override!$C$11:$C$40,"AS51"),Override!$C$334)/MXAU!$B$3,"")))</f>
        <v/>
      </c>
      <c r="G302" s="140">
        <f>IF(G$226="","",IF($B302="","",IFERROR($C302*$D302*IF((Override!$C$4="ON")*(COUNTIFS(Override!$B$11:$B$40,$B302,Override!$D$11:$D$40,2,Override!$E$11:$E$40,"&gt;=0")-COUNTIFS(Override!$B$11:$B$40,$B302,Override!$D$11:$D$40,2,Override!$E$11:$E$40,"&gt;=0",Override!$C$11:$C$40,"AS51"))&gt;0,SUMIFS(Override!$E$11:$E$40,Override!$B$11:$B$40,$B302,Override!$D$11:$D$40,2)-SUMIFS(Override!$E$11:$E$40,Override!$B$11:$B$40,$B302,Override!$D$11:$D$40,2,Override!$C$11:$C$40,"AS51"),Override!$D$334)/MXAU!$B$3,"")))</f>
        <v/>
      </c>
      <c r="H302" s="140">
        <f>IF(H$226="","",IF($B302="","",IFERROR($C302*$D302*IF((Override!$C$4="ON")*(COUNTIFS(Override!$B$11:$B$40,$B302,Override!$D$11:$D$40,3,Override!$E$11:$E$40,"&gt;=0")-COUNTIFS(Override!$B$11:$B$40,$B302,Override!$D$11:$D$40,3,Override!$E$11:$E$40,"&gt;=0",Override!$C$11:$C$40,"AS51"))&gt;0,SUMIFS(Override!$E$11:$E$40,Override!$B$11:$B$40,$B302,Override!$D$11:$D$40,3)-SUMIFS(Override!$E$11:$E$40,Override!$B$11:$B$40,$B302,Override!$D$11:$D$40,3,Override!$C$11:$C$40,"AS51"),Override!$E$334)/MXAU!$B$3,"")))</f>
        <v/>
      </c>
      <c r="I302" s="140">
        <f>IF(I$226="","",IF($B302="","",IFERROR($C302*$D302*IF((Override!$C$4="ON")*(COUNTIFS(Override!$B$11:$B$40,$B302,Override!$D$11:$D$40,4,Override!$E$11:$E$40,"&gt;=0")-COUNTIFS(Override!$B$11:$B$40,$B302,Override!$D$11:$D$40,4,Override!$E$11:$E$40,"&gt;=0",Override!$C$11:$C$40,"AS51"))&gt;0,SUMIFS(Override!$E$11:$E$40,Override!$B$11:$B$40,$B302,Override!$D$11:$D$40,4)-SUMIFS(Override!$E$11:$E$40,Override!$B$11:$B$40,$B302,Override!$D$11:$D$40,4,Override!$C$11:$C$40,"AS51"),Override!$F$334)/MXAU!$B$3,"")))</f>
        <v/>
      </c>
      <c r="J302" s="140">
        <f>IF(J$226="","",IF($B302="","",IFERROR($C302*$D302*IF((Override!$C$4="ON")*(COUNTIFS(Override!$B$11:$B$40,$B302,Override!$D$11:$D$40,5,Override!$E$11:$E$40,"&gt;=0")-COUNTIFS(Override!$B$11:$B$40,$B302,Override!$D$11:$D$40,5,Override!$E$11:$E$40,"&gt;=0",Override!$C$11:$C$40,"AS51"))&gt;0,SUMIFS(Override!$E$11:$E$40,Override!$B$11:$B$40,$B302,Override!$D$11:$D$40,5)-SUMIFS(Override!$E$11:$E$40,Override!$B$11:$B$40,$B302,Override!$D$11:$D$40,5,Override!$C$11:$C$40,"AS51"),Override!$G$334)/MXAU!$B$3,"")))</f>
        <v/>
      </c>
      <c r="K302" s="140">
        <f>IF(K$226="","",IF($B302="","",IFERROR($C302*$D302*IF((Override!$C$4="ON")*(COUNTIFS(Override!$B$11:$B$40,$B302,Override!$D$11:$D$40,6,Override!$E$11:$E$40,"&gt;=0")-COUNTIFS(Override!$B$11:$B$40,$B302,Override!$D$11:$D$40,6,Override!$E$11:$E$40,"&gt;=0",Override!$C$11:$C$40,"AS51"))&gt;0,SUMIFS(Override!$E$11:$E$40,Override!$B$11:$B$40,$B302,Override!$D$11:$D$40,6)-SUMIFS(Override!$E$11:$E$40,Override!$B$11:$B$40,$B302,Override!$D$11:$D$40,6,Override!$C$11:$C$40,"AS51"),Override!$H$334)/MXAU!$B$3,"")))</f>
        <v/>
      </c>
      <c r="L302" s="140">
        <f>IF(L$226="","",IF($B302="","",IFERROR($C302*$D302*IF((Override!$C$4="ON")*(COUNTIFS(Override!$B$11:$B$40,$B302,Override!$D$11:$D$40,7,Override!$E$11:$E$40,"&gt;=0")-COUNTIFS(Override!$B$11:$B$40,$B302,Override!$D$11:$D$40,7,Override!$E$11:$E$40,"&gt;=0",Override!$C$11:$C$40,"AS51"))&gt;0,SUMIFS(Override!$E$11:$E$40,Override!$B$11:$B$40,$B302,Override!$D$11:$D$40,7)-SUMIFS(Override!$E$11:$E$40,Override!$B$11:$B$40,$B302,Override!$D$11:$D$40,7,Override!$C$11:$C$40,"AS51"),Override!$I$334)/MXAU!$B$3,"")))</f>
        <v/>
      </c>
      <c r="M302" s="140">
        <f>IF(M$226="","",IF($B302="","",IFERROR($C302*$D302*IF((Override!$C$4="ON")*(COUNTIFS(Override!$B$11:$B$40,$B302,Override!$D$11:$D$40,8,Override!$E$11:$E$40,"&gt;=0")-COUNTIFS(Override!$B$11:$B$40,$B302,Override!$D$11:$D$40,8,Override!$E$11:$E$40,"&gt;=0",Override!$C$11:$C$40,"AS51"))&gt;0,SUMIFS(Override!$E$11:$E$40,Override!$B$11:$B$40,$B302,Override!$D$11:$D$40,8)-SUMIFS(Override!$E$11:$E$40,Override!$B$11:$B$40,$B302,Override!$D$11:$D$40,8,Override!$C$11:$C$40,"AS51"),Override!$J$334)/MXAU!$B$3,"")))</f>
        <v/>
      </c>
      <c r="N302" s="140">
        <f>IF(N$226="","",IF($B302="","",IFERROR($C302*$D302*IF((Override!$C$4="ON")*(COUNTIFS(Override!$B$11:$B$40,$B302,Override!$D$11:$D$40,9,Override!$E$11:$E$40,"&gt;=0")-COUNTIFS(Override!$B$11:$B$40,$B302,Override!$D$11:$D$40,9,Override!$E$11:$E$40,"&gt;=0",Override!$C$11:$C$40,"AS51"))&gt;0,SUMIFS(Override!$E$11:$E$40,Override!$B$11:$B$40,$B302,Override!$D$11:$D$40,9)-SUMIFS(Override!$E$11:$E$40,Override!$B$11:$B$40,$B302,Override!$D$11:$D$40,9,Override!$C$11:$C$40,"AS51"),Override!$K$334)/MXAU!$B$3,"")))</f>
        <v/>
      </c>
      <c r="O302" s="140">
        <f>IF(O$226="","",IF($B302="","",IFERROR($C302*$D302*IF((Override!$C$4="ON")*(COUNTIFS(Override!$B$11:$B$40,$B302,Override!$D$11:$D$40,10,Override!$E$11:$E$40,"&gt;=0")-COUNTIFS(Override!$B$11:$B$40,$B302,Override!$D$11:$D$40,10,Override!$E$11:$E$40,"&gt;=0",Override!$C$11:$C$40,"AS51"))&gt;0,SUMIFS(Override!$E$11:$E$40,Override!$B$11:$B$40,$B302,Override!$D$11:$D$40,10)-SUMIFS(Override!$E$11:$E$40,Override!$B$11:$B$40,$B302,Override!$D$11:$D$40,10,Override!$C$11:$C$40,"AS51"),Override!$L$334)/MXAU!$B$3,"")))</f>
        <v/>
      </c>
      <c r="P302" s="140">
        <f>IF(P$226="","",IF($B302="","",IFERROR($C302*$D302*IF((Override!$C$4="ON")*(COUNTIFS(Override!$B$11:$B$40,$B302,Override!$D$11:$D$40,11,Override!$E$11:$E$40,"&gt;=0")-COUNTIFS(Override!$B$11:$B$40,$B302,Override!$D$11:$D$40,11,Override!$E$11:$E$40,"&gt;=0",Override!$C$11:$C$40,"AS51"))&gt;0,SUMIFS(Override!$E$11:$E$40,Override!$B$11:$B$40,$B302,Override!$D$11:$D$40,11)-SUMIFS(Override!$E$11:$E$40,Override!$B$11:$B$40,$B302,Override!$D$11:$D$40,11,Override!$C$11:$C$40,"AS51"),Override!$M$334)/MXAU!$B$3,"")))</f>
        <v/>
      </c>
      <c r="Q302" s="140">
        <f>IF(Q$226="","",IF($B302="","",IFERROR($C302*$D302*IF((Override!$C$4="ON")*(COUNTIFS(Override!$B$11:$B$40,$B302,Override!$D$11:$D$40,12,Override!$E$11:$E$40,"&gt;=0")-COUNTIFS(Override!$B$11:$B$40,$B302,Override!$D$11:$D$40,12,Override!$E$11:$E$40,"&gt;=0",Override!$C$11:$C$40,"AS51"))&gt;0,SUMIFS(Override!$E$11:$E$40,Override!$B$11:$B$40,$B302,Override!$D$11:$D$40,12)-SUMIFS(Override!$E$11:$E$40,Override!$B$11:$B$40,$B302,Override!$D$11:$D$40,12,Override!$C$11:$C$40,"AS51"),Override!$N$334)/MXAU!$B$3,"")))</f>
        <v/>
      </c>
      <c r="R302" s="140">
        <f>IF(R$226="","",IF($B302="","",IFERROR($C302*$D302*IF((Override!$C$4="ON")*(COUNTIFS(Override!$B$11:$B$40,$B302,Override!$D$11:$D$40,13,Override!$E$11:$E$40,"&gt;=0")-COUNTIFS(Override!$B$11:$B$40,$B302,Override!$D$11:$D$40,13,Override!$E$11:$E$40,"&gt;=0",Override!$C$11:$C$40,"AS51"))&gt;0,SUMIFS(Override!$E$11:$E$40,Override!$B$11:$B$40,$B302,Override!$D$11:$D$40,13)-SUMIFS(Override!$E$11:$E$40,Override!$B$11:$B$40,$B302,Override!$D$11:$D$40,13,Override!$C$11:$C$40,"AS51"),Override!$O$334)/MXAU!$B$3,"")))</f>
        <v/>
      </c>
      <c r="S302" s="140">
        <f>IF(S$226="","",IF($B302="","",IFERROR($C302*$D302*IF((Override!$C$4="ON")*(COUNTIFS(Override!$B$11:$B$40,$B302,Override!$D$11:$D$40,14,Override!$E$11:$E$40,"&gt;=0")-COUNTIFS(Override!$B$11:$B$40,$B302,Override!$D$11:$D$40,14,Override!$E$11:$E$40,"&gt;=0",Override!$C$11:$C$40,"AS51"))&gt;0,SUMIFS(Override!$E$11:$E$40,Override!$B$11:$B$40,$B302,Override!$D$11:$D$40,14)-SUMIFS(Override!$E$11:$E$40,Override!$B$11:$B$40,$B302,Override!$D$11:$D$40,14,Override!$C$11:$C$40,"AS51"),Override!$P$334)/MXAU!$B$3,"")))</f>
        <v/>
      </c>
      <c r="T302" s="140">
        <f>IF(T$226="","",IF($B302="","",IFERROR($C302*$D302*IF((Override!$C$4="ON")*(COUNTIFS(Override!$B$11:$B$40,$B302,Override!$D$11:$D$40,15,Override!$E$11:$E$40,"&gt;=0")-COUNTIFS(Override!$B$11:$B$40,$B302,Override!$D$11:$D$40,15,Override!$E$11:$E$40,"&gt;=0",Override!$C$11:$C$40,"AS51"))&gt;0,SUMIFS(Override!$E$11:$E$40,Override!$B$11:$B$40,$B302,Override!$D$11:$D$40,15)-SUMIFS(Override!$E$11:$E$40,Override!$B$11:$B$40,$B302,Override!$D$11:$D$40,15,Override!$C$11:$C$40,"AS51"),Override!$Q$334)/MXAU!$B$3,"")))</f>
        <v/>
      </c>
      <c r="U302" s="140">
        <f>IF(U$226="","",IF($B302="","",IFERROR($C302*$D302*IF((Override!$C$4="ON")*(COUNTIFS(Override!$B$11:$B$40,$B302,Override!$D$11:$D$40,16,Override!$E$11:$E$40,"&gt;=0")-COUNTIFS(Override!$B$11:$B$40,$B302,Override!$D$11:$D$40,16,Override!$E$11:$E$40,"&gt;=0",Override!$C$11:$C$40,"AS51"))&gt;0,SUMIFS(Override!$E$11:$E$40,Override!$B$11:$B$40,$B302,Override!$D$11:$D$40,16)-SUMIFS(Override!$E$11:$E$40,Override!$B$11:$B$40,$B302,Override!$D$11:$D$40,16,Override!$C$11:$C$40,"AS51"),Override!$R$334)/MXAU!$B$3,"")))</f>
        <v/>
      </c>
      <c r="W302" s="140">
        <f>IF(W$226="","",IF($B302="","",IFERROR(F302*$E302/100,"")))</f>
        <v/>
      </c>
      <c r="X302" s="140">
        <f>IF(X$226="","",IF($B302="","",IFERROR(G302*$E302/100,"")))</f>
        <v/>
      </c>
      <c r="Y302" s="140">
        <f>IF(Y$226="","",IF($B302="","",IFERROR(H302*$E302/100,"")))</f>
        <v/>
      </c>
      <c r="Z302" s="140">
        <f>IF(Z$226="","",IF($B302="","",IFERROR(I302*$E302/100,"")))</f>
        <v/>
      </c>
      <c r="AA302" s="140">
        <f>IF(AA$226="","",IF($B302="","",IFERROR(J302*$E302/100,"")))</f>
        <v/>
      </c>
      <c r="AB302" s="140">
        <f>IF(AB$226="","",IF($B302="","",IFERROR(K302*$E302/100,"")))</f>
        <v/>
      </c>
      <c r="AC302" s="140">
        <f>IF(AC$226="","",IF($B302="","",IFERROR(L302*$E302/100,"")))</f>
        <v/>
      </c>
      <c r="AD302" s="140">
        <f>IF(AD$226="","",IF($B302="","",IFERROR(M302*$E302/100,"")))</f>
        <v/>
      </c>
      <c r="AE302" s="140">
        <f>IF(AE$226="","",IF($B302="","",IFERROR(N302*$E302/100,"")))</f>
        <v/>
      </c>
      <c r="AF302" s="140">
        <f>IF(AF$226="","",IF($B302="","",IFERROR(O302*$E302/100,"")))</f>
        <v/>
      </c>
      <c r="AG302" s="140">
        <f>IF(AG$226="","",IF($B302="","",IFERROR(P302*$E302/100,"")))</f>
        <v/>
      </c>
      <c r="AH302" s="140">
        <f>IF(AH$226="","",IF($B302="","",IFERROR(Q302*$E302/100,"")))</f>
        <v/>
      </c>
      <c r="AI302" s="140">
        <f>IF(AI$226="","",IF($B302="","",IFERROR(R302*$E302/100,"")))</f>
        <v/>
      </c>
      <c r="AJ302" s="140">
        <f>IF(AJ$226="","",IF($B302="","",IFERROR(S302*$E302/100,"")))</f>
        <v/>
      </c>
      <c r="AK302" s="140">
        <f>IF(AK$226="","",IF($B302="","",IFERROR(T302*$E302/100,"")))</f>
        <v/>
      </c>
      <c r="AL302" s="140">
        <f>IF(AL$226="","",IF($B302="","",IFERROR(U302*$E302/100,"")))</f>
        <v/>
      </c>
      <c r="AN302" s="140">
        <f>IF($B302="","",SUMIF($F$226:$U$226,"&lt;="&amp;Sector!$E$51,$F302:$U302))</f>
        <v/>
      </c>
      <c r="AO302" s="140">
        <f>IF($B302="","",SUMIF($W$226:$AL$226,"&lt;="&amp;Sector!$E$51,$W302:$AL302))</f>
        <v/>
      </c>
    </row>
    <row r="303">
      <c r="B303" s="5">
        <f>IF(MXAU!$C$80="","",MXAU!$C$80)</f>
        <v/>
      </c>
      <c r="C303" s="90">
        <f>IF(MXAU!$B$80="","",MXAU!$B$80)</f>
        <v/>
      </c>
      <c r="D303" s="138">
        <f>IFERROR(MXAU!$Q$80,1)</f>
        <v/>
      </c>
      <c r="E303" s="139">
        <f>IF($B303="","",IF(ISNUMBER(MXAU!$I$80),MXAU!$I$80,'Index Summary'!$C$7))</f>
        <v/>
      </c>
      <c r="F303" s="140">
        <f>IF(F$226="","",IF($B303="","",IFERROR($C303*$D303*IF((Override!$C$4="ON")*(COUNTIFS(Override!$B$11:$B$40,$B303,Override!$D$11:$D$40,1,Override!$E$11:$E$40,"&gt;=0")-COUNTIFS(Override!$B$11:$B$40,$B303,Override!$D$11:$D$40,1,Override!$E$11:$E$40,"&gt;=0",Override!$C$11:$C$40,"AS51"))&gt;0,SUMIFS(Override!$E$11:$E$40,Override!$B$11:$B$40,$B303,Override!$D$11:$D$40,1)-SUMIFS(Override!$E$11:$E$40,Override!$B$11:$B$40,$B303,Override!$D$11:$D$40,1,Override!$C$11:$C$40,"AS51"),Override!$C$335)/MXAU!$B$3,"")))</f>
        <v/>
      </c>
      <c r="G303" s="140">
        <f>IF(G$226="","",IF($B303="","",IFERROR($C303*$D303*IF((Override!$C$4="ON")*(COUNTIFS(Override!$B$11:$B$40,$B303,Override!$D$11:$D$40,2,Override!$E$11:$E$40,"&gt;=0")-COUNTIFS(Override!$B$11:$B$40,$B303,Override!$D$11:$D$40,2,Override!$E$11:$E$40,"&gt;=0",Override!$C$11:$C$40,"AS51"))&gt;0,SUMIFS(Override!$E$11:$E$40,Override!$B$11:$B$40,$B303,Override!$D$11:$D$40,2)-SUMIFS(Override!$E$11:$E$40,Override!$B$11:$B$40,$B303,Override!$D$11:$D$40,2,Override!$C$11:$C$40,"AS51"),Override!$D$335)/MXAU!$B$3,"")))</f>
        <v/>
      </c>
      <c r="H303" s="140">
        <f>IF(H$226="","",IF($B303="","",IFERROR($C303*$D303*IF((Override!$C$4="ON")*(COUNTIFS(Override!$B$11:$B$40,$B303,Override!$D$11:$D$40,3,Override!$E$11:$E$40,"&gt;=0")-COUNTIFS(Override!$B$11:$B$40,$B303,Override!$D$11:$D$40,3,Override!$E$11:$E$40,"&gt;=0",Override!$C$11:$C$40,"AS51"))&gt;0,SUMIFS(Override!$E$11:$E$40,Override!$B$11:$B$40,$B303,Override!$D$11:$D$40,3)-SUMIFS(Override!$E$11:$E$40,Override!$B$11:$B$40,$B303,Override!$D$11:$D$40,3,Override!$C$11:$C$40,"AS51"),Override!$E$335)/MXAU!$B$3,"")))</f>
        <v/>
      </c>
      <c r="I303" s="140">
        <f>IF(I$226="","",IF($B303="","",IFERROR($C303*$D303*IF((Override!$C$4="ON")*(COUNTIFS(Override!$B$11:$B$40,$B303,Override!$D$11:$D$40,4,Override!$E$11:$E$40,"&gt;=0")-COUNTIFS(Override!$B$11:$B$40,$B303,Override!$D$11:$D$40,4,Override!$E$11:$E$40,"&gt;=0",Override!$C$11:$C$40,"AS51"))&gt;0,SUMIFS(Override!$E$11:$E$40,Override!$B$11:$B$40,$B303,Override!$D$11:$D$40,4)-SUMIFS(Override!$E$11:$E$40,Override!$B$11:$B$40,$B303,Override!$D$11:$D$40,4,Override!$C$11:$C$40,"AS51"),Override!$F$335)/MXAU!$B$3,"")))</f>
        <v/>
      </c>
      <c r="J303" s="140">
        <f>IF(J$226="","",IF($B303="","",IFERROR($C303*$D303*IF((Override!$C$4="ON")*(COUNTIFS(Override!$B$11:$B$40,$B303,Override!$D$11:$D$40,5,Override!$E$11:$E$40,"&gt;=0")-COUNTIFS(Override!$B$11:$B$40,$B303,Override!$D$11:$D$40,5,Override!$E$11:$E$40,"&gt;=0",Override!$C$11:$C$40,"AS51"))&gt;0,SUMIFS(Override!$E$11:$E$40,Override!$B$11:$B$40,$B303,Override!$D$11:$D$40,5)-SUMIFS(Override!$E$11:$E$40,Override!$B$11:$B$40,$B303,Override!$D$11:$D$40,5,Override!$C$11:$C$40,"AS51"),Override!$G$335)/MXAU!$B$3,"")))</f>
        <v/>
      </c>
      <c r="K303" s="140">
        <f>IF(K$226="","",IF($B303="","",IFERROR($C303*$D303*IF((Override!$C$4="ON")*(COUNTIFS(Override!$B$11:$B$40,$B303,Override!$D$11:$D$40,6,Override!$E$11:$E$40,"&gt;=0")-COUNTIFS(Override!$B$11:$B$40,$B303,Override!$D$11:$D$40,6,Override!$E$11:$E$40,"&gt;=0",Override!$C$11:$C$40,"AS51"))&gt;0,SUMIFS(Override!$E$11:$E$40,Override!$B$11:$B$40,$B303,Override!$D$11:$D$40,6)-SUMIFS(Override!$E$11:$E$40,Override!$B$11:$B$40,$B303,Override!$D$11:$D$40,6,Override!$C$11:$C$40,"AS51"),Override!$H$335)/MXAU!$B$3,"")))</f>
        <v/>
      </c>
      <c r="L303" s="140">
        <f>IF(L$226="","",IF($B303="","",IFERROR($C303*$D303*IF((Override!$C$4="ON")*(COUNTIFS(Override!$B$11:$B$40,$B303,Override!$D$11:$D$40,7,Override!$E$11:$E$40,"&gt;=0")-COUNTIFS(Override!$B$11:$B$40,$B303,Override!$D$11:$D$40,7,Override!$E$11:$E$40,"&gt;=0",Override!$C$11:$C$40,"AS51"))&gt;0,SUMIFS(Override!$E$11:$E$40,Override!$B$11:$B$40,$B303,Override!$D$11:$D$40,7)-SUMIFS(Override!$E$11:$E$40,Override!$B$11:$B$40,$B303,Override!$D$11:$D$40,7,Override!$C$11:$C$40,"AS51"),Override!$I$335)/MXAU!$B$3,"")))</f>
        <v/>
      </c>
      <c r="M303" s="140">
        <f>IF(M$226="","",IF($B303="","",IFERROR($C303*$D303*IF((Override!$C$4="ON")*(COUNTIFS(Override!$B$11:$B$40,$B303,Override!$D$11:$D$40,8,Override!$E$11:$E$40,"&gt;=0")-COUNTIFS(Override!$B$11:$B$40,$B303,Override!$D$11:$D$40,8,Override!$E$11:$E$40,"&gt;=0",Override!$C$11:$C$40,"AS51"))&gt;0,SUMIFS(Override!$E$11:$E$40,Override!$B$11:$B$40,$B303,Override!$D$11:$D$40,8)-SUMIFS(Override!$E$11:$E$40,Override!$B$11:$B$40,$B303,Override!$D$11:$D$40,8,Override!$C$11:$C$40,"AS51"),Override!$J$335)/MXAU!$B$3,"")))</f>
        <v/>
      </c>
      <c r="N303" s="140">
        <f>IF(N$226="","",IF($B303="","",IFERROR($C303*$D303*IF((Override!$C$4="ON")*(COUNTIFS(Override!$B$11:$B$40,$B303,Override!$D$11:$D$40,9,Override!$E$11:$E$40,"&gt;=0")-COUNTIFS(Override!$B$11:$B$40,$B303,Override!$D$11:$D$40,9,Override!$E$11:$E$40,"&gt;=0",Override!$C$11:$C$40,"AS51"))&gt;0,SUMIFS(Override!$E$11:$E$40,Override!$B$11:$B$40,$B303,Override!$D$11:$D$40,9)-SUMIFS(Override!$E$11:$E$40,Override!$B$11:$B$40,$B303,Override!$D$11:$D$40,9,Override!$C$11:$C$40,"AS51"),Override!$K$335)/MXAU!$B$3,"")))</f>
        <v/>
      </c>
      <c r="O303" s="140">
        <f>IF(O$226="","",IF($B303="","",IFERROR($C303*$D303*IF((Override!$C$4="ON")*(COUNTIFS(Override!$B$11:$B$40,$B303,Override!$D$11:$D$40,10,Override!$E$11:$E$40,"&gt;=0")-COUNTIFS(Override!$B$11:$B$40,$B303,Override!$D$11:$D$40,10,Override!$E$11:$E$40,"&gt;=0",Override!$C$11:$C$40,"AS51"))&gt;0,SUMIFS(Override!$E$11:$E$40,Override!$B$11:$B$40,$B303,Override!$D$11:$D$40,10)-SUMIFS(Override!$E$11:$E$40,Override!$B$11:$B$40,$B303,Override!$D$11:$D$40,10,Override!$C$11:$C$40,"AS51"),Override!$L$335)/MXAU!$B$3,"")))</f>
        <v/>
      </c>
      <c r="P303" s="140">
        <f>IF(P$226="","",IF($B303="","",IFERROR($C303*$D303*IF((Override!$C$4="ON")*(COUNTIFS(Override!$B$11:$B$40,$B303,Override!$D$11:$D$40,11,Override!$E$11:$E$40,"&gt;=0")-COUNTIFS(Override!$B$11:$B$40,$B303,Override!$D$11:$D$40,11,Override!$E$11:$E$40,"&gt;=0",Override!$C$11:$C$40,"AS51"))&gt;0,SUMIFS(Override!$E$11:$E$40,Override!$B$11:$B$40,$B303,Override!$D$11:$D$40,11)-SUMIFS(Override!$E$11:$E$40,Override!$B$11:$B$40,$B303,Override!$D$11:$D$40,11,Override!$C$11:$C$40,"AS51"),Override!$M$335)/MXAU!$B$3,"")))</f>
        <v/>
      </c>
      <c r="Q303" s="140">
        <f>IF(Q$226="","",IF($B303="","",IFERROR($C303*$D303*IF((Override!$C$4="ON")*(COUNTIFS(Override!$B$11:$B$40,$B303,Override!$D$11:$D$40,12,Override!$E$11:$E$40,"&gt;=0")-COUNTIFS(Override!$B$11:$B$40,$B303,Override!$D$11:$D$40,12,Override!$E$11:$E$40,"&gt;=0",Override!$C$11:$C$40,"AS51"))&gt;0,SUMIFS(Override!$E$11:$E$40,Override!$B$11:$B$40,$B303,Override!$D$11:$D$40,12)-SUMIFS(Override!$E$11:$E$40,Override!$B$11:$B$40,$B303,Override!$D$11:$D$40,12,Override!$C$11:$C$40,"AS51"),Override!$N$335)/MXAU!$B$3,"")))</f>
        <v/>
      </c>
      <c r="R303" s="140">
        <f>IF(R$226="","",IF($B303="","",IFERROR($C303*$D303*IF((Override!$C$4="ON")*(COUNTIFS(Override!$B$11:$B$40,$B303,Override!$D$11:$D$40,13,Override!$E$11:$E$40,"&gt;=0")-COUNTIFS(Override!$B$11:$B$40,$B303,Override!$D$11:$D$40,13,Override!$E$11:$E$40,"&gt;=0",Override!$C$11:$C$40,"AS51"))&gt;0,SUMIFS(Override!$E$11:$E$40,Override!$B$11:$B$40,$B303,Override!$D$11:$D$40,13)-SUMIFS(Override!$E$11:$E$40,Override!$B$11:$B$40,$B303,Override!$D$11:$D$40,13,Override!$C$11:$C$40,"AS51"),Override!$O$335)/MXAU!$B$3,"")))</f>
        <v/>
      </c>
      <c r="S303" s="140">
        <f>IF(S$226="","",IF($B303="","",IFERROR($C303*$D303*IF((Override!$C$4="ON")*(COUNTIFS(Override!$B$11:$B$40,$B303,Override!$D$11:$D$40,14,Override!$E$11:$E$40,"&gt;=0")-COUNTIFS(Override!$B$11:$B$40,$B303,Override!$D$11:$D$40,14,Override!$E$11:$E$40,"&gt;=0",Override!$C$11:$C$40,"AS51"))&gt;0,SUMIFS(Override!$E$11:$E$40,Override!$B$11:$B$40,$B303,Override!$D$11:$D$40,14)-SUMIFS(Override!$E$11:$E$40,Override!$B$11:$B$40,$B303,Override!$D$11:$D$40,14,Override!$C$11:$C$40,"AS51"),Override!$P$335)/MXAU!$B$3,"")))</f>
        <v/>
      </c>
      <c r="T303" s="140">
        <f>IF(T$226="","",IF($B303="","",IFERROR($C303*$D303*IF((Override!$C$4="ON")*(COUNTIFS(Override!$B$11:$B$40,$B303,Override!$D$11:$D$40,15,Override!$E$11:$E$40,"&gt;=0")-COUNTIFS(Override!$B$11:$B$40,$B303,Override!$D$11:$D$40,15,Override!$E$11:$E$40,"&gt;=0",Override!$C$11:$C$40,"AS51"))&gt;0,SUMIFS(Override!$E$11:$E$40,Override!$B$11:$B$40,$B303,Override!$D$11:$D$40,15)-SUMIFS(Override!$E$11:$E$40,Override!$B$11:$B$40,$B303,Override!$D$11:$D$40,15,Override!$C$11:$C$40,"AS51"),Override!$Q$335)/MXAU!$B$3,"")))</f>
        <v/>
      </c>
      <c r="U303" s="140">
        <f>IF(U$226="","",IF($B303="","",IFERROR($C303*$D303*IF((Override!$C$4="ON")*(COUNTIFS(Override!$B$11:$B$40,$B303,Override!$D$11:$D$40,16,Override!$E$11:$E$40,"&gt;=0")-COUNTIFS(Override!$B$11:$B$40,$B303,Override!$D$11:$D$40,16,Override!$E$11:$E$40,"&gt;=0",Override!$C$11:$C$40,"AS51"))&gt;0,SUMIFS(Override!$E$11:$E$40,Override!$B$11:$B$40,$B303,Override!$D$11:$D$40,16)-SUMIFS(Override!$E$11:$E$40,Override!$B$11:$B$40,$B303,Override!$D$11:$D$40,16,Override!$C$11:$C$40,"AS51"),Override!$R$335)/MXAU!$B$3,"")))</f>
        <v/>
      </c>
      <c r="W303" s="140">
        <f>IF(W$226="","",IF($B303="","",IFERROR(F303*$E303/100,"")))</f>
        <v/>
      </c>
      <c r="X303" s="140">
        <f>IF(X$226="","",IF($B303="","",IFERROR(G303*$E303/100,"")))</f>
        <v/>
      </c>
      <c r="Y303" s="140">
        <f>IF(Y$226="","",IF($B303="","",IFERROR(H303*$E303/100,"")))</f>
        <v/>
      </c>
      <c r="Z303" s="140">
        <f>IF(Z$226="","",IF($B303="","",IFERROR(I303*$E303/100,"")))</f>
        <v/>
      </c>
      <c r="AA303" s="140">
        <f>IF(AA$226="","",IF($B303="","",IFERROR(J303*$E303/100,"")))</f>
        <v/>
      </c>
      <c r="AB303" s="140">
        <f>IF(AB$226="","",IF($B303="","",IFERROR(K303*$E303/100,"")))</f>
        <v/>
      </c>
      <c r="AC303" s="140">
        <f>IF(AC$226="","",IF($B303="","",IFERROR(L303*$E303/100,"")))</f>
        <v/>
      </c>
      <c r="AD303" s="140">
        <f>IF(AD$226="","",IF($B303="","",IFERROR(M303*$E303/100,"")))</f>
        <v/>
      </c>
      <c r="AE303" s="140">
        <f>IF(AE$226="","",IF($B303="","",IFERROR(N303*$E303/100,"")))</f>
        <v/>
      </c>
      <c r="AF303" s="140">
        <f>IF(AF$226="","",IF($B303="","",IFERROR(O303*$E303/100,"")))</f>
        <v/>
      </c>
      <c r="AG303" s="140">
        <f>IF(AG$226="","",IF($B303="","",IFERROR(P303*$E303/100,"")))</f>
        <v/>
      </c>
      <c r="AH303" s="140">
        <f>IF(AH$226="","",IF($B303="","",IFERROR(Q303*$E303/100,"")))</f>
        <v/>
      </c>
      <c r="AI303" s="140">
        <f>IF(AI$226="","",IF($B303="","",IFERROR(R303*$E303/100,"")))</f>
        <v/>
      </c>
      <c r="AJ303" s="140">
        <f>IF(AJ$226="","",IF($B303="","",IFERROR(S303*$E303/100,"")))</f>
        <v/>
      </c>
      <c r="AK303" s="140">
        <f>IF(AK$226="","",IF($B303="","",IFERROR(T303*$E303/100,"")))</f>
        <v/>
      </c>
      <c r="AL303" s="140">
        <f>IF(AL$226="","",IF($B303="","",IFERROR(U303*$E303/100,"")))</f>
        <v/>
      </c>
      <c r="AN303" s="140">
        <f>IF($B303="","",SUMIF($F$226:$U$226,"&lt;="&amp;Sector!$E$51,$F303:$U303))</f>
        <v/>
      </c>
      <c r="AO303" s="140">
        <f>IF($B303="","",SUMIF($W$226:$AL$226,"&lt;="&amp;Sector!$E$51,$W303:$AL303))</f>
        <v/>
      </c>
    </row>
    <row r="304">
      <c r="B304" s="5">
        <f>IF(MXAU!$C$81="","",MXAU!$C$81)</f>
        <v/>
      </c>
      <c r="C304" s="90">
        <f>IF(MXAU!$B$81="","",MXAU!$B$81)</f>
        <v/>
      </c>
      <c r="D304" s="138">
        <f>IFERROR(MXAU!$Q$81,1)</f>
        <v/>
      </c>
      <c r="E304" s="139">
        <f>IF($B304="","",IF(ISNUMBER(MXAU!$I$81),MXAU!$I$81,'Index Summary'!$C$7))</f>
        <v/>
      </c>
      <c r="F304" s="140">
        <f>IF(F$226="","",IF($B304="","",IFERROR($C304*$D304*IF((Override!$C$4="ON")*(COUNTIFS(Override!$B$11:$B$40,$B304,Override!$D$11:$D$40,1,Override!$E$11:$E$40,"&gt;=0")-COUNTIFS(Override!$B$11:$B$40,$B304,Override!$D$11:$D$40,1,Override!$E$11:$E$40,"&gt;=0",Override!$C$11:$C$40,"AS51"))&gt;0,SUMIFS(Override!$E$11:$E$40,Override!$B$11:$B$40,$B304,Override!$D$11:$D$40,1)-SUMIFS(Override!$E$11:$E$40,Override!$B$11:$B$40,$B304,Override!$D$11:$D$40,1,Override!$C$11:$C$40,"AS51"),Override!$C$336)/MXAU!$B$3,"")))</f>
        <v/>
      </c>
      <c r="G304" s="140">
        <f>IF(G$226="","",IF($B304="","",IFERROR($C304*$D304*IF((Override!$C$4="ON")*(COUNTIFS(Override!$B$11:$B$40,$B304,Override!$D$11:$D$40,2,Override!$E$11:$E$40,"&gt;=0")-COUNTIFS(Override!$B$11:$B$40,$B304,Override!$D$11:$D$40,2,Override!$E$11:$E$40,"&gt;=0",Override!$C$11:$C$40,"AS51"))&gt;0,SUMIFS(Override!$E$11:$E$40,Override!$B$11:$B$40,$B304,Override!$D$11:$D$40,2)-SUMIFS(Override!$E$11:$E$40,Override!$B$11:$B$40,$B304,Override!$D$11:$D$40,2,Override!$C$11:$C$40,"AS51"),Override!$D$336)/MXAU!$B$3,"")))</f>
        <v/>
      </c>
      <c r="H304" s="140">
        <f>IF(H$226="","",IF($B304="","",IFERROR($C304*$D304*IF((Override!$C$4="ON")*(COUNTIFS(Override!$B$11:$B$40,$B304,Override!$D$11:$D$40,3,Override!$E$11:$E$40,"&gt;=0")-COUNTIFS(Override!$B$11:$B$40,$B304,Override!$D$11:$D$40,3,Override!$E$11:$E$40,"&gt;=0",Override!$C$11:$C$40,"AS51"))&gt;0,SUMIFS(Override!$E$11:$E$40,Override!$B$11:$B$40,$B304,Override!$D$11:$D$40,3)-SUMIFS(Override!$E$11:$E$40,Override!$B$11:$B$40,$B304,Override!$D$11:$D$40,3,Override!$C$11:$C$40,"AS51"),Override!$E$336)/MXAU!$B$3,"")))</f>
        <v/>
      </c>
      <c r="I304" s="140">
        <f>IF(I$226="","",IF($B304="","",IFERROR($C304*$D304*IF((Override!$C$4="ON")*(COUNTIFS(Override!$B$11:$B$40,$B304,Override!$D$11:$D$40,4,Override!$E$11:$E$40,"&gt;=0")-COUNTIFS(Override!$B$11:$B$40,$B304,Override!$D$11:$D$40,4,Override!$E$11:$E$40,"&gt;=0",Override!$C$11:$C$40,"AS51"))&gt;0,SUMIFS(Override!$E$11:$E$40,Override!$B$11:$B$40,$B304,Override!$D$11:$D$40,4)-SUMIFS(Override!$E$11:$E$40,Override!$B$11:$B$40,$B304,Override!$D$11:$D$40,4,Override!$C$11:$C$40,"AS51"),Override!$F$336)/MXAU!$B$3,"")))</f>
        <v/>
      </c>
      <c r="J304" s="140">
        <f>IF(J$226="","",IF($B304="","",IFERROR($C304*$D304*IF((Override!$C$4="ON")*(COUNTIFS(Override!$B$11:$B$40,$B304,Override!$D$11:$D$40,5,Override!$E$11:$E$40,"&gt;=0")-COUNTIFS(Override!$B$11:$B$40,$B304,Override!$D$11:$D$40,5,Override!$E$11:$E$40,"&gt;=0",Override!$C$11:$C$40,"AS51"))&gt;0,SUMIFS(Override!$E$11:$E$40,Override!$B$11:$B$40,$B304,Override!$D$11:$D$40,5)-SUMIFS(Override!$E$11:$E$40,Override!$B$11:$B$40,$B304,Override!$D$11:$D$40,5,Override!$C$11:$C$40,"AS51"),Override!$G$336)/MXAU!$B$3,"")))</f>
        <v/>
      </c>
      <c r="K304" s="140">
        <f>IF(K$226="","",IF($B304="","",IFERROR($C304*$D304*IF((Override!$C$4="ON")*(COUNTIFS(Override!$B$11:$B$40,$B304,Override!$D$11:$D$40,6,Override!$E$11:$E$40,"&gt;=0")-COUNTIFS(Override!$B$11:$B$40,$B304,Override!$D$11:$D$40,6,Override!$E$11:$E$40,"&gt;=0",Override!$C$11:$C$40,"AS51"))&gt;0,SUMIFS(Override!$E$11:$E$40,Override!$B$11:$B$40,$B304,Override!$D$11:$D$40,6)-SUMIFS(Override!$E$11:$E$40,Override!$B$11:$B$40,$B304,Override!$D$11:$D$40,6,Override!$C$11:$C$40,"AS51"),Override!$H$336)/MXAU!$B$3,"")))</f>
        <v/>
      </c>
      <c r="L304" s="140">
        <f>IF(L$226="","",IF($B304="","",IFERROR($C304*$D304*IF((Override!$C$4="ON")*(COUNTIFS(Override!$B$11:$B$40,$B304,Override!$D$11:$D$40,7,Override!$E$11:$E$40,"&gt;=0")-COUNTIFS(Override!$B$11:$B$40,$B304,Override!$D$11:$D$40,7,Override!$E$11:$E$40,"&gt;=0",Override!$C$11:$C$40,"AS51"))&gt;0,SUMIFS(Override!$E$11:$E$40,Override!$B$11:$B$40,$B304,Override!$D$11:$D$40,7)-SUMIFS(Override!$E$11:$E$40,Override!$B$11:$B$40,$B304,Override!$D$11:$D$40,7,Override!$C$11:$C$40,"AS51"),Override!$I$336)/MXAU!$B$3,"")))</f>
        <v/>
      </c>
      <c r="M304" s="140">
        <f>IF(M$226="","",IF($B304="","",IFERROR($C304*$D304*IF((Override!$C$4="ON")*(COUNTIFS(Override!$B$11:$B$40,$B304,Override!$D$11:$D$40,8,Override!$E$11:$E$40,"&gt;=0")-COUNTIFS(Override!$B$11:$B$40,$B304,Override!$D$11:$D$40,8,Override!$E$11:$E$40,"&gt;=0",Override!$C$11:$C$40,"AS51"))&gt;0,SUMIFS(Override!$E$11:$E$40,Override!$B$11:$B$40,$B304,Override!$D$11:$D$40,8)-SUMIFS(Override!$E$11:$E$40,Override!$B$11:$B$40,$B304,Override!$D$11:$D$40,8,Override!$C$11:$C$40,"AS51"),Override!$J$336)/MXAU!$B$3,"")))</f>
        <v/>
      </c>
      <c r="N304" s="140">
        <f>IF(N$226="","",IF($B304="","",IFERROR($C304*$D304*IF((Override!$C$4="ON")*(COUNTIFS(Override!$B$11:$B$40,$B304,Override!$D$11:$D$40,9,Override!$E$11:$E$40,"&gt;=0")-COUNTIFS(Override!$B$11:$B$40,$B304,Override!$D$11:$D$40,9,Override!$E$11:$E$40,"&gt;=0",Override!$C$11:$C$40,"AS51"))&gt;0,SUMIFS(Override!$E$11:$E$40,Override!$B$11:$B$40,$B304,Override!$D$11:$D$40,9)-SUMIFS(Override!$E$11:$E$40,Override!$B$11:$B$40,$B304,Override!$D$11:$D$40,9,Override!$C$11:$C$40,"AS51"),Override!$K$336)/MXAU!$B$3,"")))</f>
        <v/>
      </c>
      <c r="O304" s="140">
        <f>IF(O$226="","",IF($B304="","",IFERROR($C304*$D304*IF((Override!$C$4="ON")*(COUNTIFS(Override!$B$11:$B$40,$B304,Override!$D$11:$D$40,10,Override!$E$11:$E$40,"&gt;=0")-COUNTIFS(Override!$B$11:$B$40,$B304,Override!$D$11:$D$40,10,Override!$E$11:$E$40,"&gt;=0",Override!$C$11:$C$40,"AS51"))&gt;0,SUMIFS(Override!$E$11:$E$40,Override!$B$11:$B$40,$B304,Override!$D$11:$D$40,10)-SUMIFS(Override!$E$11:$E$40,Override!$B$11:$B$40,$B304,Override!$D$11:$D$40,10,Override!$C$11:$C$40,"AS51"),Override!$L$336)/MXAU!$B$3,"")))</f>
        <v/>
      </c>
      <c r="P304" s="140">
        <f>IF(P$226="","",IF($B304="","",IFERROR($C304*$D304*IF((Override!$C$4="ON")*(COUNTIFS(Override!$B$11:$B$40,$B304,Override!$D$11:$D$40,11,Override!$E$11:$E$40,"&gt;=0")-COUNTIFS(Override!$B$11:$B$40,$B304,Override!$D$11:$D$40,11,Override!$E$11:$E$40,"&gt;=0",Override!$C$11:$C$40,"AS51"))&gt;0,SUMIFS(Override!$E$11:$E$40,Override!$B$11:$B$40,$B304,Override!$D$11:$D$40,11)-SUMIFS(Override!$E$11:$E$40,Override!$B$11:$B$40,$B304,Override!$D$11:$D$40,11,Override!$C$11:$C$40,"AS51"),Override!$M$336)/MXAU!$B$3,"")))</f>
        <v/>
      </c>
      <c r="Q304" s="140">
        <f>IF(Q$226="","",IF($B304="","",IFERROR($C304*$D304*IF((Override!$C$4="ON")*(COUNTIFS(Override!$B$11:$B$40,$B304,Override!$D$11:$D$40,12,Override!$E$11:$E$40,"&gt;=0")-COUNTIFS(Override!$B$11:$B$40,$B304,Override!$D$11:$D$40,12,Override!$E$11:$E$40,"&gt;=0",Override!$C$11:$C$40,"AS51"))&gt;0,SUMIFS(Override!$E$11:$E$40,Override!$B$11:$B$40,$B304,Override!$D$11:$D$40,12)-SUMIFS(Override!$E$11:$E$40,Override!$B$11:$B$40,$B304,Override!$D$11:$D$40,12,Override!$C$11:$C$40,"AS51"),Override!$N$336)/MXAU!$B$3,"")))</f>
        <v/>
      </c>
      <c r="R304" s="140">
        <f>IF(R$226="","",IF($B304="","",IFERROR($C304*$D304*IF((Override!$C$4="ON")*(COUNTIFS(Override!$B$11:$B$40,$B304,Override!$D$11:$D$40,13,Override!$E$11:$E$40,"&gt;=0")-COUNTIFS(Override!$B$11:$B$40,$B304,Override!$D$11:$D$40,13,Override!$E$11:$E$40,"&gt;=0",Override!$C$11:$C$40,"AS51"))&gt;0,SUMIFS(Override!$E$11:$E$40,Override!$B$11:$B$40,$B304,Override!$D$11:$D$40,13)-SUMIFS(Override!$E$11:$E$40,Override!$B$11:$B$40,$B304,Override!$D$11:$D$40,13,Override!$C$11:$C$40,"AS51"),Override!$O$336)/MXAU!$B$3,"")))</f>
        <v/>
      </c>
      <c r="S304" s="140">
        <f>IF(S$226="","",IF($B304="","",IFERROR($C304*$D304*IF((Override!$C$4="ON")*(COUNTIFS(Override!$B$11:$B$40,$B304,Override!$D$11:$D$40,14,Override!$E$11:$E$40,"&gt;=0")-COUNTIFS(Override!$B$11:$B$40,$B304,Override!$D$11:$D$40,14,Override!$E$11:$E$40,"&gt;=0",Override!$C$11:$C$40,"AS51"))&gt;0,SUMIFS(Override!$E$11:$E$40,Override!$B$11:$B$40,$B304,Override!$D$11:$D$40,14)-SUMIFS(Override!$E$11:$E$40,Override!$B$11:$B$40,$B304,Override!$D$11:$D$40,14,Override!$C$11:$C$40,"AS51"),Override!$P$336)/MXAU!$B$3,"")))</f>
        <v/>
      </c>
      <c r="T304" s="140">
        <f>IF(T$226="","",IF($B304="","",IFERROR($C304*$D304*IF((Override!$C$4="ON")*(COUNTIFS(Override!$B$11:$B$40,$B304,Override!$D$11:$D$40,15,Override!$E$11:$E$40,"&gt;=0")-COUNTIFS(Override!$B$11:$B$40,$B304,Override!$D$11:$D$40,15,Override!$E$11:$E$40,"&gt;=0",Override!$C$11:$C$40,"AS51"))&gt;0,SUMIFS(Override!$E$11:$E$40,Override!$B$11:$B$40,$B304,Override!$D$11:$D$40,15)-SUMIFS(Override!$E$11:$E$40,Override!$B$11:$B$40,$B304,Override!$D$11:$D$40,15,Override!$C$11:$C$40,"AS51"),Override!$Q$336)/MXAU!$B$3,"")))</f>
        <v/>
      </c>
      <c r="U304" s="140">
        <f>IF(U$226="","",IF($B304="","",IFERROR($C304*$D304*IF((Override!$C$4="ON")*(COUNTIFS(Override!$B$11:$B$40,$B304,Override!$D$11:$D$40,16,Override!$E$11:$E$40,"&gt;=0")-COUNTIFS(Override!$B$11:$B$40,$B304,Override!$D$11:$D$40,16,Override!$E$11:$E$40,"&gt;=0",Override!$C$11:$C$40,"AS51"))&gt;0,SUMIFS(Override!$E$11:$E$40,Override!$B$11:$B$40,$B304,Override!$D$11:$D$40,16)-SUMIFS(Override!$E$11:$E$40,Override!$B$11:$B$40,$B304,Override!$D$11:$D$40,16,Override!$C$11:$C$40,"AS51"),Override!$R$336)/MXAU!$B$3,"")))</f>
        <v/>
      </c>
      <c r="W304" s="140">
        <f>IF(W$226="","",IF($B304="","",IFERROR(F304*$E304/100,"")))</f>
        <v/>
      </c>
      <c r="X304" s="140">
        <f>IF(X$226="","",IF($B304="","",IFERROR(G304*$E304/100,"")))</f>
        <v/>
      </c>
      <c r="Y304" s="140">
        <f>IF(Y$226="","",IF($B304="","",IFERROR(H304*$E304/100,"")))</f>
        <v/>
      </c>
      <c r="Z304" s="140">
        <f>IF(Z$226="","",IF($B304="","",IFERROR(I304*$E304/100,"")))</f>
        <v/>
      </c>
      <c r="AA304" s="140">
        <f>IF(AA$226="","",IF($B304="","",IFERROR(J304*$E304/100,"")))</f>
        <v/>
      </c>
      <c r="AB304" s="140">
        <f>IF(AB$226="","",IF($B304="","",IFERROR(K304*$E304/100,"")))</f>
        <v/>
      </c>
      <c r="AC304" s="140">
        <f>IF(AC$226="","",IF($B304="","",IFERROR(L304*$E304/100,"")))</f>
        <v/>
      </c>
      <c r="AD304" s="140">
        <f>IF(AD$226="","",IF($B304="","",IFERROR(M304*$E304/100,"")))</f>
        <v/>
      </c>
      <c r="AE304" s="140">
        <f>IF(AE$226="","",IF($B304="","",IFERROR(N304*$E304/100,"")))</f>
        <v/>
      </c>
      <c r="AF304" s="140">
        <f>IF(AF$226="","",IF($B304="","",IFERROR(O304*$E304/100,"")))</f>
        <v/>
      </c>
      <c r="AG304" s="140">
        <f>IF(AG$226="","",IF($B304="","",IFERROR(P304*$E304/100,"")))</f>
        <v/>
      </c>
      <c r="AH304" s="140">
        <f>IF(AH$226="","",IF($B304="","",IFERROR(Q304*$E304/100,"")))</f>
        <v/>
      </c>
      <c r="AI304" s="140">
        <f>IF(AI$226="","",IF($B304="","",IFERROR(R304*$E304/100,"")))</f>
        <v/>
      </c>
      <c r="AJ304" s="140">
        <f>IF(AJ$226="","",IF($B304="","",IFERROR(S304*$E304/100,"")))</f>
        <v/>
      </c>
      <c r="AK304" s="140">
        <f>IF(AK$226="","",IF($B304="","",IFERROR(T304*$E304/100,"")))</f>
        <v/>
      </c>
      <c r="AL304" s="140">
        <f>IF(AL$226="","",IF($B304="","",IFERROR(U304*$E304/100,"")))</f>
        <v/>
      </c>
      <c r="AN304" s="140">
        <f>IF($B304="","",SUMIF($F$226:$U$226,"&lt;="&amp;Sector!$E$51,$F304:$U304))</f>
        <v/>
      </c>
      <c r="AO304" s="140">
        <f>IF($B304="","",SUMIF($W$226:$AL$226,"&lt;="&amp;Sector!$E$51,$W304:$AL304))</f>
        <v/>
      </c>
    </row>
    <row r="305">
      <c r="B305" s="5">
        <f>IF(MXAU!$C$82="","",MXAU!$C$82)</f>
        <v/>
      </c>
      <c r="C305" s="90">
        <f>IF(MXAU!$B$82="","",MXAU!$B$82)</f>
        <v/>
      </c>
      <c r="D305" s="138">
        <f>IFERROR(MXAU!$Q$82,1)</f>
        <v/>
      </c>
      <c r="E305" s="139">
        <f>IF($B305="","",IF(ISNUMBER(MXAU!$I$82),MXAU!$I$82,'Index Summary'!$C$7))</f>
        <v/>
      </c>
      <c r="F305" s="140">
        <f>IF(F$226="","",IF($B305="","",IFERROR($C305*$D305*IF((Override!$C$4="ON")*(COUNTIFS(Override!$B$11:$B$40,$B305,Override!$D$11:$D$40,1,Override!$E$11:$E$40,"&gt;=0")-COUNTIFS(Override!$B$11:$B$40,$B305,Override!$D$11:$D$40,1,Override!$E$11:$E$40,"&gt;=0",Override!$C$11:$C$40,"AS51"))&gt;0,SUMIFS(Override!$E$11:$E$40,Override!$B$11:$B$40,$B305,Override!$D$11:$D$40,1)-SUMIFS(Override!$E$11:$E$40,Override!$B$11:$B$40,$B305,Override!$D$11:$D$40,1,Override!$C$11:$C$40,"AS51"),Override!$C$337)/MXAU!$B$3,"")))</f>
        <v/>
      </c>
      <c r="G305" s="140">
        <f>IF(G$226="","",IF($B305="","",IFERROR($C305*$D305*IF((Override!$C$4="ON")*(COUNTIFS(Override!$B$11:$B$40,$B305,Override!$D$11:$D$40,2,Override!$E$11:$E$40,"&gt;=0")-COUNTIFS(Override!$B$11:$B$40,$B305,Override!$D$11:$D$40,2,Override!$E$11:$E$40,"&gt;=0",Override!$C$11:$C$40,"AS51"))&gt;0,SUMIFS(Override!$E$11:$E$40,Override!$B$11:$B$40,$B305,Override!$D$11:$D$40,2)-SUMIFS(Override!$E$11:$E$40,Override!$B$11:$B$40,$B305,Override!$D$11:$D$40,2,Override!$C$11:$C$40,"AS51"),Override!$D$337)/MXAU!$B$3,"")))</f>
        <v/>
      </c>
      <c r="H305" s="140">
        <f>IF(H$226="","",IF($B305="","",IFERROR($C305*$D305*IF((Override!$C$4="ON")*(COUNTIFS(Override!$B$11:$B$40,$B305,Override!$D$11:$D$40,3,Override!$E$11:$E$40,"&gt;=0")-COUNTIFS(Override!$B$11:$B$40,$B305,Override!$D$11:$D$40,3,Override!$E$11:$E$40,"&gt;=0",Override!$C$11:$C$40,"AS51"))&gt;0,SUMIFS(Override!$E$11:$E$40,Override!$B$11:$B$40,$B305,Override!$D$11:$D$40,3)-SUMIFS(Override!$E$11:$E$40,Override!$B$11:$B$40,$B305,Override!$D$11:$D$40,3,Override!$C$11:$C$40,"AS51"),Override!$E$337)/MXAU!$B$3,"")))</f>
        <v/>
      </c>
      <c r="I305" s="140">
        <f>IF(I$226="","",IF($B305="","",IFERROR($C305*$D305*IF((Override!$C$4="ON")*(COUNTIFS(Override!$B$11:$B$40,$B305,Override!$D$11:$D$40,4,Override!$E$11:$E$40,"&gt;=0")-COUNTIFS(Override!$B$11:$B$40,$B305,Override!$D$11:$D$40,4,Override!$E$11:$E$40,"&gt;=0",Override!$C$11:$C$40,"AS51"))&gt;0,SUMIFS(Override!$E$11:$E$40,Override!$B$11:$B$40,$B305,Override!$D$11:$D$40,4)-SUMIFS(Override!$E$11:$E$40,Override!$B$11:$B$40,$B305,Override!$D$11:$D$40,4,Override!$C$11:$C$40,"AS51"),Override!$F$337)/MXAU!$B$3,"")))</f>
        <v/>
      </c>
      <c r="J305" s="140">
        <f>IF(J$226="","",IF($B305="","",IFERROR($C305*$D305*IF((Override!$C$4="ON")*(COUNTIFS(Override!$B$11:$B$40,$B305,Override!$D$11:$D$40,5,Override!$E$11:$E$40,"&gt;=0")-COUNTIFS(Override!$B$11:$B$40,$B305,Override!$D$11:$D$40,5,Override!$E$11:$E$40,"&gt;=0",Override!$C$11:$C$40,"AS51"))&gt;0,SUMIFS(Override!$E$11:$E$40,Override!$B$11:$B$40,$B305,Override!$D$11:$D$40,5)-SUMIFS(Override!$E$11:$E$40,Override!$B$11:$B$40,$B305,Override!$D$11:$D$40,5,Override!$C$11:$C$40,"AS51"),Override!$G$337)/MXAU!$B$3,"")))</f>
        <v/>
      </c>
      <c r="K305" s="140">
        <f>IF(K$226="","",IF($B305="","",IFERROR($C305*$D305*IF((Override!$C$4="ON")*(COUNTIFS(Override!$B$11:$B$40,$B305,Override!$D$11:$D$40,6,Override!$E$11:$E$40,"&gt;=0")-COUNTIFS(Override!$B$11:$B$40,$B305,Override!$D$11:$D$40,6,Override!$E$11:$E$40,"&gt;=0",Override!$C$11:$C$40,"AS51"))&gt;0,SUMIFS(Override!$E$11:$E$40,Override!$B$11:$B$40,$B305,Override!$D$11:$D$40,6)-SUMIFS(Override!$E$11:$E$40,Override!$B$11:$B$40,$B305,Override!$D$11:$D$40,6,Override!$C$11:$C$40,"AS51"),Override!$H$337)/MXAU!$B$3,"")))</f>
        <v/>
      </c>
      <c r="L305" s="140">
        <f>IF(L$226="","",IF($B305="","",IFERROR($C305*$D305*IF((Override!$C$4="ON")*(COUNTIFS(Override!$B$11:$B$40,$B305,Override!$D$11:$D$40,7,Override!$E$11:$E$40,"&gt;=0")-COUNTIFS(Override!$B$11:$B$40,$B305,Override!$D$11:$D$40,7,Override!$E$11:$E$40,"&gt;=0",Override!$C$11:$C$40,"AS51"))&gt;0,SUMIFS(Override!$E$11:$E$40,Override!$B$11:$B$40,$B305,Override!$D$11:$D$40,7)-SUMIFS(Override!$E$11:$E$40,Override!$B$11:$B$40,$B305,Override!$D$11:$D$40,7,Override!$C$11:$C$40,"AS51"),Override!$I$337)/MXAU!$B$3,"")))</f>
        <v/>
      </c>
      <c r="M305" s="140">
        <f>IF(M$226="","",IF($B305="","",IFERROR($C305*$D305*IF((Override!$C$4="ON")*(COUNTIFS(Override!$B$11:$B$40,$B305,Override!$D$11:$D$40,8,Override!$E$11:$E$40,"&gt;=0")-COUNTIFS(Override!$B$11:$B$40,$B305,Override!$D$11:$D$40,8,Override!$E$11:$E$40,"&gt;=0",Override!$C$11:$C$40,"AS51"))&gt;0,SUMIFS(Override!$E$11:$E$40,Override!$B$11:$B$40,$B305,Override!$D$11:$D$40,8)-SUMIFS(Override!$E$11:$E$40,Override!$B$11:$B$40,$B305,Override!$D$11:$D$40,8,Override!$C$11:$C$40,"AS51"),Override!$J$337)/MXAU!$B$3,"")))</f>
        <v/>
      </c>
      <c r="N305" s="140">
        <f>IF(N$226="","",IF($B305="","",IFERROR($C305*$D305*IF((Override!$C$4="ON")*(COUNTIFS(Override!$B$11:$B$40,$B305,Override!$D$11:$D$40,9,Override!$E$11:$E$40,"&gt;=0")-COUNTIFS(Override!$B$11:$B$40,$B305,Override!$D$11:$D$40,9,Override!$E$11:$E$40,"&gt;=0",Override!$C$11:$C$40,"AS51"))&gt;0,SUMIFS(Override!$E$11:$E$40,Override!$B$11:$B$40,$B305,Override!$D$11:$D$40,9)-SUMIFS(Override!$E$11:$E$40,Override!$B$11:$B$40,$B305,Override!$D$11:$D$40,9,Override!$C$11:$C$40,"AS51"),Override!$K$337)/MXAU!$B$3,"")))</f>
        <v/>
      </c>
      <c r="O305" s="140">
        <f>IF(O$226="","",IF($B305="","",IFERROR($C305*$D305*IF((Override!$C$4="ON")*(COUNTIFS(Override!$B$11:$B$40,$B305,Override!$D$11:$D$40,10,Override!$E$11:$E$40,"&gt;=0")-COUNTIFS(Override!$B$11:$B$40,$B305,Override!$D$11:$D$40,10,Override!$E$11:$E$40,"&gt;=0",Override!$C$11:$C$40,"AS51"))&gt;0,SUMIFS(Override!$E$11:$E$40,Override!$B$11:$B$40,$B305,Override!$D$11:$D$40,10)-SUMIFS(Override!$E$11:$E$40,Override!$B$11:$B$40,$B305,Override!$D$11:$D$40,10,Override!$C$11:$C$40,"AS51"),Override!$L$337)/MXAU!$B$3,"")))</f>
        <v/>
      </c>
      <c r="P305" s="140">
        <f>IF(P$226="","",IF($B305="","",IFERROR($C305*$D305*IF((Override!$C$4="ON")*(COUNTIFS(Override!$B$11:$B$40,$B305,Override!$D$11:$D$40,11,Override!$E$11:$E$40,"&gt;=0")-COUNTIFS(Override!$B$11:$B$40,$B305,Override!$D$11:$D$40,11,Override!$E$11:$E$40,"&gt;=0",Override!$C$11:$C$40,"AS51"))&gt;0,SUMIFS(Override!$E$11:$E$40,Override!$B$11:$B$40,$B305,Override!$D$11:$D$40,11)-SUMIFS(Override!$E$11:$E$40,Override!$B$11:$B$40,$B305,Override!$D$11:$D$40,11,Override!$C$11:$C$40,"AS51"),Override!$M$337)/MXAU!$B$3,"")))</f>
        <v/>
      </c>
      <c r="Q305" s="140">
        <f>IF(Q$226="","",IF($B305="","",IFERROR($C305*$D305*IF((Override!$C$4="ON")*(COUNTIFS(Override!$B$11:$B$40,$B305,Override!$D$11:$D$40,12,Override!$E$11:$E$40,"&gt;=0")-COUNTIFS(Override!$B$11:$B$40,$B305,Override!$D$11:$D$40,12,Override!$E$11:$E$40,"&gt;=0",Override!$C$11:$C$40,"AS51"))&gt;0,SUMIFS(Override!$E$11:$E$40,Override!$B$11:$B$40,$B305,Override!$D$11:$D$40,12)-SUMIFS(Override!$E$11:$E$40,Override!$B$11:$B$40,$B305,Override!$D$11:$D$40,12,Override!$C$11:$C$40,"AS51"),Override!$N$337)/MXAU!$B$3,"")))</f>
        <v/>
      </c>
      <c r="R305" s="140">
        <f>IF(R$226="","",IF($B305="","",IFERROR($C305*$D305*IF((Override!$C$4="ON")*(COUNTIFS(Override!$B$11:$B$40,$B305,Override!$D$11:$D$40,13,Override!$E$11:$E$40,"&gt;=0")-COUNTIFS(Override!$B$11:$B$40,$B305,Override!$D$11:$D$40,13,Override!$E$11:$E$40,"&gt;=0",Override!$C$11:$C$40,"AS51"))&gt;0,SUMIFS(Override!$E$11:$E$40,Override!$B$11:$B$40,$B305,Override!$D$11:$D$40,13)-SUMIFS(Override!$E$11:$E$40,Override!$B$11:$B$40,$B305,Override!$D$11:$D$40,13,Override!$C$11:$C$40,"AS51"),Override!$O$337)/MXAU!$B$3,"")))</f>
        <v/>
      </c>
      <c r="S305" s="140">
        <f>IF(S$226="","",IF($B305="","",IFERROR($C305*$D305*IF((Override!$C$4="ON")*(COUNTIFS(Override!$B$11:$B$40,$B305,Override!$D$11:$D$40,14,Override!$E$11:$E$40,"&gt;=0")-COUNTIFS(Override!$B$11:$B$40,$B305,Override!$D$11:$D$40,14,Override!$E$11:$E$40,"&gt;=0",Override!$C$11:$C$40,"AS51"))&gt;0,SUMIFS(Override!$E$11:$E$40,Override!$B$11:$B$40,$B305,Override!$D$11:$D$40,14)-SUMIFS(Override!$E$11:$E$40,Override!$B$11:$B$40,$B305,Override!$D$11:$D$40,14,Override!$C$11:$C$40,"AS51"),Override!$P$337)/MXAU!$B$3,"")))</f>
        <v/>
      </c>
      <c r="T305" s="140">
        <f>IF(T$226="","",IF($B305="","",IFERROR($C305*$D305*IF((Override!$C$4="ON")*(COUNTIFS(Override!$B$11:$B$40,$B305,Override!$D$11:$D$40,15,Override!$E$11:$E$40,"&gt;=0")-COUNTIFS(Override!$B$11:$B$40,$B305,Override!$D$11:$D$40,15,Override!$E$11:$E$40,"&gt;=0",Override!$C$11:$C$40,"AS51"))&gt;0,SUMIFS(Override!$E$11:$E$40,Override!$B$11:$B$40,$B305,Override!$D$11:$D$40,15)-SUMIFS(Override!$E$11:$E$40,Override!$B$11:$B$40,$B305,Override!$D$11:$D$40,15,Override!$C$11:$C$40,"AS51"),Override!$Q$337)/MXAU!$B$3,"")))</f>
        <v/>
      </c>
      <c r="U305" s="140">
        <f>IF(U$226="","",IF($B305="","",IFERROR($C305*$D305*IF((Override!$C$4="ON")*(COUNTIFS(Override!$B$11:$B$40,$B305,Override!$D$11:$D$40,16,Override!$E$11:$E$40,"&gt;=0")-COUNTIFS(Override!$B$11:$B$40,$B305,Override!$D$11:$D$40,16,Override!$E$11:$E$40,"&gt;=0",Override!$C$11:$C$40,"AS51"))&gt;0,SUMIFS(Override!$E$11:$E$40,Override!$B$11:$B$40,$B305,Override!$D$11:$D$40,16)-SUMIFS(Override!$E$11:$E$40,Override!$B$11:$B$40,$B305,Override!$D$11:$D$40,16,Override!$C$11:$C$40,"AS51"),Override!$R$337)/MXAU!$B$3,"")))</f>
        <v/>
      </c>
      <c r="W305" s="140">
        <f>IF(W$226="","",IF($B305="","",IFERROR(F305*$E305/100,"")))</f>
        <v/>
      </c>
      <c r="X305" s="140">
        <f>IF(X$226="","",IF($B305="","",IFERROR(G305*$E305/100,"")))</f>
        <v/>
      </c>
      <c r="Y305" s="140">
        <f>IF(Y$226="","",IF($B305="","",IFERROR(H305*$E305/100,"")))</f>
        <v/>
      </c>
      <c r="Z305" s="140">
        <f>IF(Z$226="","",IF($B305="","",IFERROR(I305*$E305/100,"")))</f>
        <v/>
      </c>
      <c r="AA305" s="140">
        <f>IF(AA$226="","",IF($B305="","",IFERROR(J305*$E305/100,"")))</f>
        <v/>
      </c>
      <c r="AB305" s="140">
        <f>IF(AB$226="","",IF($B305="","",IFERROR(K305*$E305/100,"")))</f>
        <v/>
      </c>
      <c r="AC305" s="140">
        <f>IF(AC$226="","",IF($B305="","",IFERROR(L305*$E305/100,"")))</f>
        <v/>
      </c>
      <c r="AD305" s="140">
        <f>IF(AD$226="","",IF($B305="","",IFERROR(M305*$E305/100,"")))</f>
        <v/>
      </c>
      <c r="AE305" s="140">
        <f>IF(AE$226="","",IF($B305="","",IFERROR(N305*$E305/100,"")))</f>
        <v/>
      </c>
      <c r="AF305" s="140">
        <f>IF(AF$226="","",IF($B305="","",IFERROR(O305*$E305/100,"")))</f>
        <v/>
      </c>
      <c r="AG305" s="140">
        <f>IF(AG$226="","",IF($B305="","",IFERROR(P305*$E305/100,"")))</f>
        <v/>
      </c>
      <c r="AH305" s="140">
        <f>IF(AH$226="","",IF($B305="","",IFERROR(Q305*$E305/100,"")))</f>
        <v/>
      </c>
      <c r="AI305" s="140">
        <f>IF(AI$226="","",IF($B305="","",IFERROR(R305*$E305/100,"")))</f>
        <v/>
      </c>
      <c r="AJ305" s="140">
        <f>IF(AJ$226="","",IF($B305="","",IFERROR(S305*$E305/100,"")))</f>
        <v/>
      </c>
      <c r="AK305" s="140">
        <f>IF(AK$226="","",IF($B305="","",IFERROR(T305*$E305/100,"")))</f>
        <v/>
      </c>
      <c r="AL305" s="140">
        <f>IF(AL$226="","",IF($B305="","",IFERROR(U305*$E305/100,"")))</f>
        <v/>
      </c>
      <c r="AN305" s="140">
        <f>IF($B305="","",SUMIF($F$226:$U$226,"&lt;="&amp;Sector!$E$51,$F305:$U305))</f>
        <v/>
      </c>
      <c r="AO305" s="140">
        <f>IF($B305="","",SUMIF($W$226:$AL$226,"&lt;="&amp;Sector!$E$51,$W305:$AL305))</f>
        <v/>
      </c>
    </row>
    <row r="306">
      <c r="B306" s="5">
        <f>IF(MXAU!$C$83="","",MXAU!$C$83)</f>
        <v/>
      </c>
      <c r="C306" s="90">
        <f>IF(MXAU!$B$83="","",MXAU!$B$83)</f>
        <v/>
      </c>
      <c r="D306" s="138">
        <f>IFERROR(MXAU!$Q$83,1)</f>
        <v/>
      </c>
      <c r="E306" s="139">
        <f>IF($B306="","",IF(ISNUMBER(MXAU!$I$83),MXAU!$I$83,'Index Summary'!$C$7))</f>
        <v/>
      </c>
      <c r="F306" s="140">
        <f>IF(F$226="","",IF($B306="","",IFERROR($C306*$D306*IF((Override!$C$4="ON")*(COUNTIFS(Override!$B$11:$B$40,$B306,Override!$D$11:$D$40,1,Override!$E$11:$E$40,"&gt;=0")-COUNTIFS(Override!$B$11:$B$40,$B306,Override!$D$11:$D$40,1,Override!$E$11:$E$40,"&gt;=0",Override!$C$11:$C$40,"AS51"))&gt;0,SUMIFS(Override!$E$11:$E$40,Override!$B$11:$B$40,$B306,Override!$D$11:$D$40,1)-SUMIFS(Override!$E$11:$E$40,Override!$B$11:$B$40,$B306,Override!$D$11:$D$40,1,Override!$C$11:$C$40,"AS51"),Override!$C$338)/MXAU!$B$3,"")))</f>
        <v/>
      </c>
      <c r="G306" s="140">
        <f>IF(G$226="","",IF($B306="","",IFERROR($C306*$D306*IF((Override!$C$4="ON")*(COUNTIFS(Override!$B$11:$B$40,$B306,Override!$D$11:$D$40,2,Override!$E$11:$E$40,"&gt;=0")-COUNTIFS(Override!$B$11:$B$40,$B306,Override!$D$11:$D$40,2,Override!$E$11:$E$40,"&gt;=0",Override!$C$11:$C$40,"AS51"))&gt;0,SUMIFS(Override!$E$11:$E$40,Override!$B$11:$B$40,$B306,Override!$D$11:$D$40,2)-SUMIFS(Override!$E$11:$E$40,Override!$B$11:$B$40,$B306,Override!$D$11:$D$40,2,Override!$C$11:$C$40,"AS51"),Override!$D$338)/MXAU!$B$3,"")))</f>
        <v/>
      </c>
      <c r="H306" s="140">
        <f>IF(H$226="","",IF($B306="","",IFERROR($C306*$D306*IF((Override!$C$4="ON")*(COUNTIFS(Override!$B$11:$B$40,$B306,Override!$D$11:$D$40,3,Override!$E$11:$E$40,"&gt;=0")-COUNTIFS(Override!$B$11:$B$40,$B306,Override!$D$11:$D$40,3,Override!$E$11:$E$40,"&gt;=0",Override!$C$11:$C$40,"AS51"))&gt;0,SUMIFS(Override!$E$11:$E$40,Override!$B$11:$B$40,$B306,Override!$D$11:$D$40,3)-SUMIFS(Override!$E$11:$E$40,Override!$B$11:$B$40,$B306,Override!$D$11:$D$40,3,Override!$C$11:$C$40,"AS51"),Override!$E$338)/MXAU!$B$3,"")))</f>
        <v/>
      </c>
      <c r="I306" s="140">
        <f>IF(I$226="","",IF($B306="","",IFERROR($C306*$D306*IF((Override!$C$4="ON")*(COUNTIFS(Override!$B$11:$B$40,$B306,Override!$D$11:$D$40,4,Override!$E$11:$E$40,"&gt;=0")-COUNTIFS(Override!$B$11:$B$40,$B306,Override!$D$11:$D$40,4,Override!$E$11:$E$40,"&gt;=0",Override!$C$11:$C$40,"AS51"))&gt;0,SUMIFS(Override!$E$11:$E$40,Override!$B$11:$B$40,$B306,Override!$D$11:$D$40,4)-SUMIFS(Override!$E$11:$E$40,Override!$B$11:$B$40,$B306,Override!$D$11:$D$40,4,Override!$C$11:$C$40,"AS51"),Override!$F$338)/MXAU!$B$3,"")))</f>
        <v/>
      </c>
      <c r="J306" s="140">
        <f>IF(J$226="","",IF($B306="","",IFERROR($C306*$D306*IF((Override!$C$4="ON")*(COUNTIFS(Override!$B$11:$B$40,$B306,Override!$D$11:$D$40,5,Override!$E$11:$E$40,"&gt;=0")-COUNTIFS(Override!$B$11:$B$40,$B306,Override!$D$11:$D$40,5,Override!$E$11:$E$40,"&gt;=0",Override!$C$11:$C$40,"AS51"))&gt;0,SUMIFS(Override!$E$11:$E$40,Override!$B$11:$B$40,$B306,Override!$D$11:$D$40,5)-SUMIFS(Override!$E$11:$E$40,Override!$B$11:$B$40,$B306,Override!$D$11:$D$40,5,Override!$C$11:$C$40,"AS51"),Override!$G$338)/MXAU!$B$3,"")))</f>
        <v/>
      </c>
      <c r="K306" s="140">
        <f>IF(K$226="","",IF($B306="","",IFERROR($C306*$D306*IF((Override!$C$4="ON")*(COUNTIFS(Override!$B$11:$B$40,$B306,Override!$D$11:$D$40,6,Override!$E$11:$E$40,"&gt;=0")-COUNTIFS(Override!$B$11:$B$40,$B306,Override!$D$11:$D$40,6,Override!$E$11:$E$40,"&gt;=0",Override!$C$11:$C$40,"AS51"))&gt;0,SUMIFS(Override!$E$11:$E$40,Override!$B$11:$B$40,$B306,Override!$D$11:$D$40,6)-SUMIFS(Override!$E$11:$E$40,Override!$B$11:$B$40,$B306,Override!$D$11:$D$40,6,Override!$C$11:$C$40,"AS51"),Override!$H$338)/MXAU!$B$3,"")))</f>
        <v/>
      </c>
      <c r="L306" s="140">
        <f>IF(L$226="","",IF($B306="","",IFERROR($C306*$D306*IF((Override!$C$4="ON")*(COUNTIFS(Override!$B$11:$B$40,$B306,Override!$D$11:$D$40,7,Override!$E$11:$E$40,"&gt;=0")-COUNTIFS(Override!$B$11:$B$40,$B306,Override!$D$11:$D$40,7,Override!$E$11:$E$40,"&gt;=0",Override!$C$11:$C$40,"AS51"))&gt;0,SUMIFS(Override!$E$11:$E$40,Override!$B$11:$B$40,$B306,Override!$D$11:$D$40,7)-SUMIFS(Override!$E$11:$E$40,Override!$B$11:$B$40,$B306,Override!$D$11:$D$40,7,Override!$C$11:$C$40,"AS51"),Override!$I$338)/MXAU!$B$3,"")))</f>
        <v/>
      </c>
      <c r="M306" s="140">
        <f>IF(M$226="","",IF($B306="","",IFERROR($C306*$D306*IF((Override!$C$4="ON")*(COUNTIFS(Override!$B$11:$B$40,$B306,Override!$D$11:$D$40,8,Override!$E$11:$E$40,"&gt;=0")-COUNTIFS(Override!$B$11:$B$40,$B306,Override!$D$11:$D$40,8,Override!$E$11:$E$40,"&gt;=0",Override!$C$11:$C$40,"AS51"))&gt;0,SUMIFS(Override!$E$11:$E$40,Override!$B$11:$B$40,$B306,Override!$D$11:$D$40,8)-SUMIFS(Override!$E$11:$E$40,Override!$B$11:$B$40,$B306,Override!$D$11:$D$40,8,Override!$C$11:$C$40,"AS51"),Override!$J$338)/MXAU!$B$3,"")))</f>
        <v/>
      </c>
      <c r="N306" s="140">
        <f>IF(N$226="","",IF($B306="","",IFERROR($C306*$D306*IF((Override!$C$4="ON")*(COUNTIFS(Override!$B$11:$B$40,$B306,Override!$D$11:$D$40,9,Override!$E$11:$E$40,"&gt;=0")-COUNTIFS(Override!$B$11:$B$40,$B306,Override!$D$11:$D$40,9,Override!$E$11:$E$40,"&gt;=0",Override!$C$11:$C$40,"AS51"))&gt;0,SUMIFS(Override!$E$11:$E$40,Override!$B$11:$B$40,$B306,Override!$D$11:$D$40,9)-SUMIFS(Override!$E$11:$E$40,Override!$B$11:$B$40,$B306,Override!$D$11:$D$40,9,Override!$C$11:$C$40,"AS51"),Override!$K$338)/MXAU!$B$3,"")))</f>
        <v/>
      </c>
      <c r="O306" s="140">
        <f>IF(O$226="","",IF($B306="","",IFERROR($C306*$D306*IF((Override!$C$4="ON")*(COUNTIFS(Override!$B$11:$B$40,$B306,Override!$D$11:$D$40,10,Override!$E$11:$E$40,"&gt;=0")-COUNTIFS(Override!$B$11:$B$40,$B306,Override!$D$11:$D$40,10,Override!$E$11:$E$40,"&gt;=0",Override!$C$11:$C$40,"AS51"))&gt;0,SUMIFS(Override!$E$11:$E$40,Override!$B$11:$B$40,$B306,Override!$D$11:$D$40,10)-SUMIFS(Override!$E$11:$E$40,Override!$B$11:$B$40,$B306,Override!$D$11:$D$40,10,Override!$C$11:$C$40,"AS51"),Override!$L$338)/MXAU!$B$3,"")))</f>
        <v/>
      </c>
      <c r="P306" s="140">
        <f>IF(P$226="","",IF($B306="","",IFERROR($C306*$D306*IF((Override!$C$4="ON")*(COUNTIFS(Override!$B$11:$B$40,$B306,Override!$D$11:$D$40,11,Override!$E$11:$E$40,"&gt;=0")-COUNTIFS(Override!$B$11:$B$40,$B306,Override!$D$11:$D$40,11,Override!$E$11:$E$40,"&gt;=0",Override!$C$11:$C$40,"AS51"))&gt;0,SUMIFS(Override!$E$11:$E$40,Override!$B$11:$B$40,$B306,Override!$D$11:$D$40,11)-SUMIFS(Override!$E$11:$E$40,Override!$B$11:$B$40,$B306,Override!$D$11:$D$40,11,Override!$C$11:$C$40,"AS51"),Override!$M$338)/MXAU!$B$3,"")))</f>
        <v/>
      </c>
      <c r="Q306" s="140">
        <f>IF(Q$226="","",IF($B306="","",IFERROR($C306*$D306*IF((Override!$C$4="ON")*(COUNTIFS(Override!$B$11:$B$40,$B306,Override!$D$11:$D$40,12,Override!$E$11:$E$40,"&gt;=0")-COUNTIFS(Override!$B$11:$B$40,$B306,Override!$D$11:$D$40,12,Override!$E$11:$E$40,"&gt;=0",Override!$C$11:$C$40,"AS51"))&gt;0,SUMIFS(Override!$E$11:$E$40,Override!$B$11:$B$40,$B306,Override!$D$11:$D$40,12)-SUMIFS(Override!$E$11:$E$40,Override!$B$11:$B$40,$B306,Override!$D$11:$D$40,12,Override!$C$11:$C$40,"AS51"),Override!$N$338)/MXAU!$B$3,"")))</f>
        <v/>
      </c>
      <c r="R306" s="140">
        <f>IF(R$226="","",IF($B306="","",IFERROR($C306*$D306*IF((Override!$C$4="ON")*(COUNTIFS(Override!$B$11:$B$40,$B306,Override!$D$11:$D$40,13,Override!$E$11:$E$40,"&gt;=0")-COUNTIFS(Override!$B$11:$B$40,$B306,Override!$D$11:$D$40,13,Override!$E$11:$E$40,"&gt;=0",Override!$C$11:$C$40,"AS51"))&gt;0,SUMIFS(Override!$E$11:$E$40,Override!$B$11:$B$40,$B306,Override!$D$11:$D$40,13)-SUMIFS(Override!$E$11:$E$40,Override!$B$11:$B$40,$B306,Override!$D$11:$D$40,13,Override!$C$11:$C$40,"AS51"),Override!$O$338)/MXAU!$B$3,"")))</f>
        <v/>
      </c>
      <c r="S306" s="140">
        <f>IF(S$226="","",IF($B306="","",IFERROR($C306*$D306*IF((Override!$C$4="ON")*(COUNTIFS(Override!$B$11:$B$40,$B306,Override!$D$11:$D$40,14,Override!$E$11:$E$40,"&gt;=0")-COUNTIFS(Override!$B$11:$B$40,$B306,Override!$D$11:$D$40,14,Override!$E$11:$E$40,"&gt;=0",Override!$C$11:$C$40,"AS51"))&gt;0,SUMIFS(Override!$E$11:$E$40,Override!$B$11:$B$40,$B306,Override!$D$11:$D$40,14)-SUMIFS(Override!$E$11:$E$40,Override!$B$11:$B$40,$B306,Override!$D$11:$D$40,14,Override!$C$11:$C$40,"AS51"),Override!$P$338)/MXAU!$B$3,"")))</f>
        <v/>
      </c>
      <c r="T306" s="140">
        <f>IF(T$226="","",IF($B306="","",IFERROR($C306*$D306*IF((Override!$C$4="ON")*(COUNTIFS(Override!$B$11:$B$40,$B306,Override!$D$11:$D$40,15,Override!$E$11:$E$40,"&gt;=0")-COUNTIFS(Override!$B$11:$B$40,$B306,Override!$D$11:$D$40,15,Override!$E$11:$E$40,"&gt;=0",Override!$C$11:$C$40,"AS51"))&gt;0,SUMIFS(Override!$E$11:$E$40,Override!$B$11:$B$40,$B306,Override!$D$11:$D$40,15)-SUMIFS(Override!$E$11:$E$40,Override!$B$11:$B$40,$B306,Override!$D$11:$D$40,15,Override!$C$11:$C$40,"AS51"),Override!$Q$338)/MXAU!$B$3,"")))</f>
        <v/>
      </c>
      <c r="U306" s="140">
        <f>IF(U$226="","",IF($B306="","",IFERROR($C306*$D306*IF((Override!$C$4="ON")*(COUNTIFS(Override!$B$11:$B$40,$B306,Override!$D$11:$D$40,16,Override!$E$11:$E$40,"&gt;=0")-COUNTIFS(Override!$B$11:$B$40,$B306,Override!$D$11:$D$40,16,Override!$E$11:$E$40,"&gt;=0",Override!$C$11:$C$40,"AS51"))&gt;0,SUMIFS(Override!$E$11:$E$40,Override!$B$11:$B$40,$B306,Override!$D$11:$D$40,16)-SUMIFS(Override!$E$11:$E$40,Override!$B$11:$B$40,$B306,Override!$D$11:$D$40,16,Override!$C$11:$C$40,"AS51"),Override!$R$338)/MXAU!$B$3,"")))</f>
        <v/>
      </c>
      <c r="W306" s="140">
        <f>IF(W$226="","",IF($B306="","",IFERROR(F306*$E306/100,"")))</f>
        <v/>
      </c>
      <c r="X306" s="140">
        <f>IF(X$226="","",IF($B306="","",IFERROR(G306*$E306/100,"")))</f>
        <v/>
      </c>
      <c r="Y306" s="140">
        <f>IF(Y$226="","",IF($B306="","",IFERROR(H306*$E306/100,"")))</f>
        <v/>
      </c>
      <c r="Z306" s="140">
        <f>IF(Z$226="","",IF($B306="","",IFERROR(I306*$E306/100,"")))</f>
        <v/>
      </c>
      <c r="AA306" s="140">
        <f>IF(AA$226="","",IF($B306="","",IFERROR(J306*$E306/100,"")))</f>
        <v/>
      </c>
      <c r="AB306" s="140">
        <f>IF(AB$226="","",IF($B306="","",IFERROR(K306*$E306/100,"")))</f>
        <v/>
      </c>
      <c r="AC306" s="140">
        <f>IF(AC$226="","",IF($B306="","",IFERROR(L306*$E306/100,"")))</f>
        <v/>
      </c>
      <c r="AD306" s="140">
        <f>IF(AD$226="","",IF($B306="","",IFERROR(M306*$E306/100,"")))</f>
        <v/>
      </c>
      <c r="AE306" s="140">
        <f>IF(AE$226="","",IF($B306="","",IFERROR(N306*$E306/100,"")))</f>
        <v/>
      </c>
      <c r="AF306" s="140">
        <f>IF(AF$226="","",IF($B306="","",IFERROR(O306*$E306/100,"")))</f>
        <v/>
      </c>
      <c r="AG306" s="140">
        <f>IF(AG$226="","",IF($B306="","",IFERROR(P306*$E306/100,"")))</f>
        <v/>
      </c>
      <c r="AH306" s="140">
        <f>IF(AH$226="","",IF($B306="","",IFERROR(Q306*$E306/100,"")))</f>
        <v/>
      </c>
      <c r="AI306" s="140">
        <f>IF(AI$226="","",IF($B306="","",IFERROR(R306*$E306/100,"")))</f>
        <v/>
      </c>
      <c r="AJ306" s="140">
        <f>IF(AJ$226="","",IF($B306="","",IFERROR(S306*$E306/100,"")))</f>
        <v/>
      </c>
      <c r="AK306" s="140">
        <f>IF(AK$226="","",IF($B306="","",IFERROR(T306*$E306/100,"")))</f>
        <v/>
      </c>
      <c r="AL306" s="140">
        <f>IF(AL$226="","",IF($B306="","",IFERROR(U306*$E306/100,"")))</f>
        <v/>
      </c>
      <c r="AN306" s="140">
        <f>IF($B306="","",SUMIF($F$226:$U$226,"&lt;="&amp;Sector!$E$51,$F306:$U306))</f>
        <v/>
      </c>
      <c r="AO306" s="140">
        <f>IF($B306="","",SUMIF($W$226:$AL$226,"&lt;="&amp;Sector!$E$51,$W306:$AL306))</f>
        <v/>
      </c>
    </row>
    <row r="307">
      <c r="B307" s="5">
        <f>IF(MXAU!$C$84="","",MXAU!$C$84)</f>
        <v/>
      </c>
      <c r="C307" s="90">
        <f>IF(MXAU!$B$84="","",MXAU!$B$84)</f>
        <v/>
      </c>
      <c r="D307" s="138">
        <f>IFERROR(MXAU!$Q$84,1)</f>
        <v/>
      </c>
      <c r="E307" s="139">
        <f>IF($B307="","",IF(ISNUMBER(MXAU!$I$84),MXAU!$I$84,'Index Summary'!$C$7))</f>
        <v/>
      </c>
      <c r="F307" s="140">
        <f>IF(F$226="","",IF($B307="","",IFERROR($C307*$D307*IF((Override!$C$4="ON")*(COUNTIFS(Override!$B$11:$B$40,$B307,Override!$D$11:$D$40,1,Override!$E$11:$E$40,"&gt;=0")-COUNTIFS(Override!$B$11:$B$40,$B307,Override!$D$11:$D$40,1,Override!$E$11:$E$40,"&gt;=0",Override!$C$11:$C$40,"AS51"))&gt;0,SUMIFS(Override!$E$11:$E$40,Override!$B$11:$B$40,$B307,Override!$D$11:$D$40,1)-SUMIFS(Override!$E$11:$E$40,Override!$B$11:$B$40,$B307,Override!$D$11:$D$40,1,Override!$C$11:$C$40,"AS51"),Override!$C$339)/MXAU!$B$3,"")))</f>
        <v/>
      </c>
      <c r="G307" s="140">
        <f>IF(G$226="","",IF($B307="","",IFERROR($C307*$D307*IF((Override!$C$4="ON")*(COUNTIFS(Override!$B$11:$B$40,$B307,Override!$D$11:$D$40,2,Override!$E$11:$E$40,"&gt;=0")-COUNTIFS(Override!$B$11:$B$40,$B307,Override!$D$11:$D$40,2,Override!$E$11:$E$40,"&gt;=0",Override!$C$11:$C$40,"AS51"))&gt;0,SUMIFS(Override!$E$11:$E$40,Override!$B$11:$B$40,$B307,Override!$D$11:$D$40,2)-SUMIFS(Override!$E$11:$E$40,Override!$B$11:$B$40,$B307,Override!$D$11:$D$40,2,Override!$C$11:$C$40,"AS51"),Override!$D$339)/MXAU!$B$3,"")))</f>
        <v/>
      </c>
      <c r="H307" s="140">
        <f>IF(H$226="","",IF($B307="","",IFERROR($C307*$D307*IF((Override!$C$4="ON")*(COUNTIFS(Override!$B$11:$B$40,$B307,Override!$D$11:$D$40,3,Override!$E$11:$E$40,"&gt;=0")-COUNTIFS(Override!$B$11:$B$40,$B307,Override!$D$11:$D$40,3,Override!$E$11:$E$40,"&gt;=0",Override!$C$11:$C$40,"AS51"))&gt;0,SUMIFS(Override!$E$11:$E$40,Override!$B$11:$B$40,$B307,Override!$D$11:$D$40,3)-SUMIFS(Override!$E$11:$E$40,Override!$B$11:$B$40,$B307,Override!$D$11:$D$40,3,Override!$C$11:$C$40,"AS51"),Override!$E$339)/MXAU!$B$3,"")))</f>
        <v/>
      </c>
      <c r="I307" s="140">
        <f>IF(I$226="","",IF($B307="","",IFERROR($C307*$D307*IF((Override!$C$4="ON")*(COUNTIFS(Override!$B$11:$B$40,$B307,Override!$D$11:$D$40,4,Override!$E$11:$E$40,"&gt;=0")-COUNTIFS(Override!$B$11:$B$40,$B307,Override!$D$11:$D$40,4,Override!$E$11:$E$40,"&gt;=0",Override!$C$11:$C$40,"AS51"))&gt;0,SUMIFS(Override!$E$11:$E$40,Override!$B$11:$B$40,$B307,Override!$D$11:$D$40,4)-SUMIFS(Override!$E$11:$E$40,Override!$B$11:$B$40,$B307,Override!$D$11:$D$40,4,Override!$C$11:$C$40,"AS51"),Override!$F$339)/MXAU!$B$3,"")))</f>
        <v/>
      </c>
      <c r="J307" s="140">
        <f>IF(J$226="","",IF($B307="","",IFERROR($C307*$D307*IF((Override!$C$4="ON")*(COUNTIFS(Override!$B$11:$B$40,$B307,Override!$D$11:$D$40,5,Override!$E$11:$E$40,"&gt;=0")-COUNTIFS(Override!$B$11:$B$40,$B307,Override!$D$11:$D$40,5,Override!$E$11:$E$40,"&gt;=0",Override!$C$11:$C$40,"AS51"))&gt;0,SUMIFS(Override!$E$11:$E$40,Override!$B$11:$B$40,$B307,Override!$D$11:$D$40,5)-SUMIFS(Override!$E$11:$E$40,Override!$B$11:$B$40,$B307,Override!$D$11:$D$40,5,Override!$C$11:$C$40,"AS51"),Override!$G$339)/MXAU!$B$3,"")))</f>
        <v/>
      </c>
      <c r="K307" s="140">
        <f>IF(K$226="","",IF($B307="","",IFERROR($C307*$D307*IF((Override!$C$4="ON")*(COUNTIFS(Override!$B$11:$B$40,$B307,Override!$D$11:$D$40,6,Override!$E$11:$E$40,"&gt;=0")-COUNTIFS(Override!$B$11:$B$40,$B307,Override!$D$11:$D$40,6,Override!$E$11:$E$40,"&gt;=0",Override!$C$11:$C$40,"AS51"))&gt;0,SUMIFS(Override!$E$11:$E$40,Override!$B$11:$B$40,$B307,Override!$D$11:$D$40,6)-SUMIFS(Override!$E$11:$E$40,Override!$B$11:$B$40,$B307,Override!$D$11:$D$40,6,Override!$C$11:$C$40,"AS51"),Override!$H$339)/MXAU!$B$3,"")))</f>
        <v/>
      </c>
      <c r="L307" s="140">
        <f>IF(L$226="","",IF($B307="","",IFERROR($C307*$D307*IF((Override!$C$4="ON")*(COUNTIFS(Override!$B$11:$B$40,$B307,Override!$D$11:$D$40,7,Override!$E$11:$E$40,"&gt;=0")-COUNTIFS(Override!$B$11:$B$40,$B307,Override!$D$11:$D$40,7,Override!$E$11:$E$40,"&gt;=0",Override!$C$11:$C$40,"AS51"))&gt;0,SUMIFS(Override!$E$11:$E$40,Override!$B$11:$B$40,$B307,Override!$D$11:$D$40,7)-SUMIFS(Override!$E$11:$E$40,Override!$B$11:$B$40,$B307,Override!$D$11:$D$40,7,Override!$C$11:$C$40,"AS51"),Override!$I$339)/MXAU!$B$3,"")))</f>
        <v/>
      </c>
      <c r="M307" s="140">
        <f>IF(M$226="","",IF($B307="","",IFERROR($C307*$D307*IF((Override!$C$4="ON")*(COUNTIFS(Override!$B$11:$B$40,$B307,Override!$D$11:$D$40,8,Override!$E$11:$E$40,"&gt;=0")-COUNTIFS(Override!$B$11:$B$40,$B307,Override!$D$11:$D$40,8,Override!$E$11:$E$40,"&gt;=0",Override!$C$11:$C$40,"AS51"))&gt;0,SUMIFS(Override!$E$11:$E$40,Override!$B$11:$B$40,$B307,Override!$D$11:$D$40,8)-SUMIFS(Override!$E$11:$E$40,Override!$B$11:$B$40,$B307,Override!$D$11:$D$40,8,Override!$C$11:$C$40,"AS51"),Override!$J$339)/MXAU!$B$3,"")))</f>
        <v/>
      </c>
      <c r="N307" s="140">
        <f>IF(N$226="","",IF($B307="","",IFERROR($C307*$D307*IF((Override!$C$4="ON")*(COUNTIFS(Override!$B$11:$B$40,$B307,Override!$D$11:$D$40,9,Override!$E$11:$E$40,"&gt;=0")-COUNTIFS(Override!$B$11:$B$40,$B307,Override!$D$11:$D$40,9,Override!$E$11:$E$40,"&gt;=0",Override!$C$11:$C$40,"AS51"))&gt;0,SUMIFS(Override!$E$11:$E$40,Override!$B$11:$B$40,$B307,Override!$D$11:$D$40,9)-SUMIFS(Override!$E$11:$E$40,Override!$B$11:$B$40,$B307,Override!$D$11:$D$40,9,Override!$C$11:$C$40,"AS51"),Override!$K$339)/MXAU!$B$3,"")))</f>
        <v/>
      </c>
      <c r="O307" s="140">
        <f>IF(O$226="","",IF($B307="","",IFERROR($C307*$D307*IF((Override!$C$4="ON")*(COUNTIFS(Override!$B$11:$B$40,$B307,Override!$D$11:$D$40,10,Override!$E$11:$E$40,"&gt;=0")-COUNTIFS(Override!$B$11:$B$40,$B307,Override!$D$11:$D$40,10,Override!$E$11:$E$40,"&gt;=0",Override!$C$11:$C$40,"AS51"))&gt;0,SUMIFS(Override!$E$11:$E$40,Override!$B$11:$B$40,$B307,Override!$D$11:$D$40,10)-SUMIFS(Override!$E$11:$E$40,Override!$B$11:$B$40,$B307,Override!$D$11:$D$40,10,Override!$C$11:$C$40,"AS51"),Override!$L$339)/MXAU!$B$3,"")))</f>
        <v/>
      </c>
      <c r="P307" s="140">
        <f>IF(P$226="","",IF($B307="","",IFERROR($C307*$D307*IF((Override!$C$4="ON")*(COUNTIFS(Override!$B$11:$B$40,$B307,Override!$D$11:$D$40,11,Override!$E$11:$E$40,"&gt;=0")-COUNTIFS(Override!$B$11:$B$40,$B307,Override!$D$11:$D$40,11,Override!$E$11:$E$40,"&gt;=0",Override!$C$11:$C$40,"AS51"))&gt;0,SUMIFS(Override!$E$11:$E$40,Override!$B$11:$B$40,$B307,Override!$D$11:$D$40,11)-SUMIFS(Override!$E$11:$E$40,Override!$B$11:$B$40,$B307,Override!$D$11:$D$40,11,Override!$C$11:$C$40,"AS51"),Override!$M$339)/MXAU!$B$3,"")))</f>
        <v/>
      </c>
      <c r="Q307" s="140">
        <f>IF(Q$226="","",IF($B307="","",IFERROR($C307*$D307*IF((Override!$C$4="ON")*(COUNTIFS(Override!$B$11:$B$40,$B307,Override!$D$11:$D$40,12,Override!$E$11:$E$40,"&gt;=0")-COUNTIFS(Override!$B$11:$B$40,$B307,Override!$D$11:$D$40,12,Override!$E$11:$E$40,"&gt;=0",Override!$C$11:$C$40,"AS51"))&gt;0,SUMIFS(Override!$E$11:$E$40,Override!$B$11:$B$40,$B307,Override!$D$11:$D$40,12)-SUMIFS(Override!$E$11:$E$40,Override!$B$11:$B$40,$B307,Override!$D$11:$D$40,12,Override!$C$11:$C$40,"AS51"),Override!$N$339)/MXAU!$B$3,"")))</f>
        <v/>
      </c>
      <c r="R307" s="140">
        <f>IF(R$226="","",IF($B307="","",IFERROR($C307*$D307*IF((Override!$C$4="ON")*(COUNTIFS(Override!$B$11:$B$40,$B307,Override!$D$11:$D$40,13,Override!$E$11:$E$40,"&gt;=0")-COUNTIFS(Override!$B$11:$B$40,$B307,Override!$D$11:$D$40,13,Override!$E$11:$E$40,"&gt;=0",Override!$C$11:$C$40,"AS51"))&gt;0,SUMIFS(Override!$E$11:$E$40,Override!$B$11:$B$40,$B307,Override!$D$11:$D$40,13)-SUMIFS(Override!$E$11:$E$40,Override!$B$11:$B$40,$B307,Override!$D$11:$D$40,13,Override!$C$11:$C$40,"AS51"),Override!$O$339)/MXAU!$B$3,"")))</f>
        <v/>
      </c>
      <c r="S307" s="140">
        <f>IF(S$226="","",IF($B307="","",IFERROR($C307*$D307*IF((Override!$C$4="ON")*(COUNTIFS(Override!$B$11:$B$40,$B307,Override!$D$11:$D$40,14,Override!$E$11:$E$40,"&gt;=0")-COUNTIFS(Override!$B$11:$B$40,$B307,Override!$D$11:$D$40,14,Override!$E$11:$E$40,"&gt;=0",Override!$C$11:$C$40,"AS51"))&gt;0,SUMIFS(Override!$E$11:$E$40,Override!$B$11:$B$40,$B307,Override!$D$11:$D$40,14)-SUMIFS(Override!$E$11:$E$40,Override!$B$11:$B$40,$B307,Override!$D$11:$D$40,14,Override!$C$11:$C$40,"AS51"),Override!$P$339)/MXAU!$B$3,"")))</f>
        <v/>
      </c>
      <c r="T307" s="140">
        <f>IF(T$226="","",IF($B307="","",IFERROR($C307*$D307*IF((Override!$C$4="ON")*(COUNTIFS(Override!$B$11:$B$40,$B307,Override!$D$11:$D$40,15,Override!$E$11:$E$40,"&gt;=0")-COUNTIFS(Override!$B$11:$B$40,$B307,Override!$D$11:$D$40,15,Override!$E$11:$E$40,"&gt;=0",Override!$C$11:$C$40,"AS51"))&gt;0,SUMIFS(Override!$E$11:$E$40,Override!$B$11:$B$40,$B307,Override!$D$11:$D$40,15)-SUMIFS(Override!$E$11:$E$40,Override!$B$11:$B$40,$B307,Override!$D$11:$D$40,15,Override!$C$11:$C$40,"AS51"),Override!$Q$339)/MXAU!$B$3,"")))</f>
        <v/>
      </c>
      <c r="U307" s="140">
        <f>IF(U$226="","",IF($B307="","",IFERROR($C307*$D307*IF((Override!$C$4="ON")*(COUNTIFS(Override!$B$11:$B$40,$B307,Override!$D$11:$D$40,16,Override!$E$11:$E$40,"&gt;=0")-COUNTIFS(Override!$B$11:$B$40,$B307,Override!$D$11:$D$40,16,Override!$E$11:$E$40,"&gt;=0",Override!$C$11:$C$40,"AS51"))&gt;0,SUMIFS(Override!$E$11:$E$40,Override!$B$11:$B$40,$B307,Override!$D$11:$D$40,16)-SUMIFS(Override!$E$11:$E$40,Override!$B$11:$B$40,$B307,Override!$D$11:$D$40,16,Override!$C$11:$C$40,"AS51"),Override!$R$339)/MXAU!$B$3,"")))</f>
        <v/>
      </c>
      <c r="W307" s="140">
        <f>IF(W$226="","",IF($B307="","",IFERROR(F307*$E307/100,"")))</f>
        <v/>
      </c>
      <c r="X307" s="140">
        <f>IF(X$226="","",IF($B307="","",IFERROR(G307*$E307/100,"")))</f>
        <v/>
      </c>
      <c r="Y307" s="140">
        <f>IF(Y$226="","",IF($B307="","",IFERROR(H307*$E307/100,"")))</f>
        <v/>
      </c>
      <c r="Z307" s="140">
        <f>IF(Z$226="","",IF($B307="","",IFERROR(I307*$E307/100,"")))</f>
        <v/>
      </c>
      <c r="AA307" s="140">
        <f>IF(AA$226="","",IF($B307="","",IFERROR(J307*$E307/100,"")))</f>
        <v/>
      </c>
      <c r="AB307" s="140">
        <f>IF(AB$226="","",IF($B307="","",IFERROR(K307*$E307/100,"")))</f>
        <v/>
      </c>
      <c r="AC307" s="140">
        <f>IF(AC$226="","",IF($B307="","",IFERROR(L307*$E307/100,"")))</f>
        <v/>
      </c>
      <c r="AD307" s="140">
        <f>IF(AD$226="","",IF($B307="","",IFERROR(M307*$E307/100,"")))</f>
        <v/>
      </c>
      <c r="AE307" s="140">
        <f>IF(AE$226="","",IF($B307="","",IFERROR(N307*$E307/100,"")))</f>
        <v/>
      </c>
      <c r="AF307" s="140">
        <f>IF(AF$226="","",IF($B307="","",IFERROR(O307*$E307/100,"")))</f>
        <v/>
      </c>
      <c r="AG307" s="140">
        <f>IF(AG$226="","",IF($B307="","",IFERROR(P307*$E307/100,"")))</f>
        <v/>
      </c>
      <c r="AH307" s="140">
        <f>IF(AH$226="","",IF($B307="","",IFERROR(Q307*$E307/100,"")))</f>
        <v/>
      </c>
      <c r="AI307" s="140">
        <f>IF(AI$226="","",IF($B307="","",IFERROR(R307*$E307/100,"")))</f>
        <v/>
      </c>
      <c r="AJ307" s="140">
        <f>IF(AJ$226="","",IF($B307="","",IFERROR(S307*$E307/100,"")))</f>
        <v/>
      </c>
      <c r="AK307" s="140">
        <f>IF(AK$226="","",IF($B307="","",IFERROR(T307*$E307/100,"")))</f>
        <v/>
      </c>
      <c r="AL307" s="140">
        <f>IF(AL$226="","",IF($B307="","",IFERROR(U307*$E307/100,"")))</f>
        <v/>
      </c>
      <c r="AN307" s="140">
        <f>IF($B307="","",SUMIF($F$226:$U$226,"&lt;="&amp;Sector!$E$51,$F307:$U307))</f>
        <v/>
      </c>
      <c r="AO307" s="140">
        <f>IF($B307="","",SUMIF($W$226:$AL$226,"&lt;="&amp;Sector!$E$51,$W307:$AL307))</f>
        <v/>
      </c>
    </row>
    <row r="308">
      <c r="B308" s="5">
        <f>IF(MXAU!$C$85="","",MXAU!$C$85)</f>
        <v/>
      </c>
      <c r="C308" s="90">
        <f>IF(MXAU!$B$85="","",MXAU!$B$85)</f>
        <v/>
      </c>
      <c r="D308" s="138">
        <f>IFERROR(MXAU!$Q$85,1)</f>
        <v/>
      </c>
      <c r="E308" s="139">
        <f>IF($B308="","",IF(ISNUMBER(MXAU!$I$85),MXAU!$I$85,'Index Summary'!$C$7))</f>
        <v/>
      </c>
      <c r="F308" s="140">
        <f>IF(F$226="","",IF($B308="","",IFERROR($C308*$D308*IF((Override!$C$4="ON")*(COUNTIFS(Override!$B$11:$B$40,$B308,Override!$D$11:$D$40,1,Override!$E$11:$E$40,"&gt;=0")-COUNTIFS(Override!$B$11:$B$40,$B308,Override!$D$11:$D$40,1,Override!$E$11:$E$40,"&gt;=0",Override!$C$11:$C$40,"AS51"))&gt;0,SUMIFS(Override!$E$11:$E$40,Override!$B$11:$B$40,$B308,Override!$D$11:$D$40,1)-SUMIFS(Override!$E$11:$E$40,Override!$B$11:$B$40,$B308,Override!$D$11:$D$40,1,Override!$C$11:$C$40,"AS51"),Override!$C$340)/MXAU!$B$3,"")))</f>
        <v/>
      </c>
      <c r="G308" s="140">
        <f>IF(G$226="","",IF($B308="","",IFERROR($C308*$D308*IF((Override!$C$4="ON")*(COUNTIFS(Override!$B$11:$B$40,$B308,Override!$D$11:$D$40,2,Override!$E$11:$E$40,"&gt;=0")-COUNTIFS(Override!$B$11:$B$40,$B308,Override!$D$11:$D$40,2,Override!$E$11:$E$40,"&gt;=0",Override!$C$11:$C$40,"AS51"))&gt;0,SUMIFS(Override!$E$11:$E$40,Override!$B$11:$B$40,$B308,Override!$D$11:$D$40,2)-SUMIFS(Override!$E$11:$E$40,Override!$B$11:$B$40,$B308,Override!$D$11:$D$40,2,Override!$C$11:$C$40,"AS51"),Override!$D$340)/MXAU!$B$3,"")))</f>
        <v/>
      </c>
      <c r="H308" s="140">
        <f>IF(H$226="","",IF($B308="","",IFERROR($C308*$D308*IF((Override!$C$4="ON")*(COUNTIFS(Override!$B$11:$B$40,$B308,Override!$D$11:$D$40,3,Override!$E$11:$E$40,"&gt;=0")-COUNTIFS(Override!$B$11:$B$40,$B308,Override!$D$11:$D$40,3,Override!$E$11:$E$40,"&gt;=0",Override!$C$11:$C$40,"AS51"))&gt;0,SUMIFS(Override!$E$11:$E$40,Override!$B$11:$B$40,$B308,Override!$D$11:$D$40,3)-SUMIFS(Override!$E$11:$E$40,Override!$B$11:$B$40,$B308,Override!$D$11:$D$40,3,Override!$C$11:$C$40,"AS51"),Override!$E$340)/MXAU!$B$3,"")))</f>
        <v/>
      </c>
      <c r="I308" s="140">
        <f>IF(I$226="","",IF($B308="","",IFERROR($C308*$D308*IF((Override!$C$4="ON")*(COUNTIFS(Override!$B$11:$B$40,$B308,Override!$D$11:$D$40,4,Override!$E$11:$E$40,"&gt;=0")-COUNTIFS(Override!$B$11:$B$40,$B308,Override!$D$11:$D$40,4,Override!$E$11:$E$40,"&gt;=0",Override!$C$11:$C$40,"AS51"))&gt;0,SUMIFS(Override!$E$11:$E$40,Override!$B$11:$B$40,$B308,Override!$D$11:$D$40,4)-SUMIFS(Override!$E$11:$E$40,Override!$B$11:$B$40,$B308,Override!$D$11:$D$40,4,Override!$C$11:$C$40,"AS51"),Override!$F$340)/MXAU!$B$3,"")))</f>
        <v/>
      </c>
      <c r="J308" s="140">
        <f>IF(J$226="","",IF($B308="","",IFERROR($C308*$D308*IF((Override!$C$4="ON")*(COUNTIFS(Override!$B$11:$B$40,$B308,Override!$D$11:$D$40,5,Override!$E$11:$E$40,"&gt;=0")-COUNTIFS(Override!$B$11:$B$40,$B308,Override!$D$11:$D$40,5,Override!$E$11:$E$40,"&gt;=0",Override!$C$11:$C$40,"AS51"))&gt;0,SUMIFS(Override!$E$11:$E$40,Override!$B$11:$B$40,$B308,Override!$D$11:$D$40,5)-SUMIFS(Override!$E$11:$E$40,Override!$B$11:$B$40,$B308,Override!$D$11:$D$40,5,Override!$C$11:$C$40,"AS51"),Override!$G$340)/MXAU!$B$3,"")))</f>
        <v/>
      </c>
      <c r="K308" s="140">
        <f>IF(K$226="","",IF($B308="","",IFERROR($C308*$D308*IF((Override!$C$4="ON")*(COUNTIFS(Override!$B$11:$B$40,$B308,Override!$D$11:$D$40,6,Override!$E$11:$E$40,"&gt;=0")-COUNTIFS(Override!$B$11:$B$40,$B308,Override!$D$11:$D$40,6,Override!$E$11:$E$40,"&gt;=0",Override!$C$11:$C$40,"AS51"))&gt;0,SUMIFS(Override!$E$11:$E$40,Override!$B$11:$B$40,$B308,Override!$D$11:$D$40,6)-SUMIFS(Override!$E$11:$E$40,Override!$B$11:$B$40,$B308,Override!$D$11:$D$40,6,Override!$C$11:$C$40,"AS51"),Override!$H$340)/MXAU!$B$3,"")))</f>
        <v/>
      </c>
      <c r="L308" s="140">
        <f>IF(L$226="","",IF($B308="","",IFERROR($C308*$D308*IF((Override!$C$4="ON")*(COUNTIFS(Override!$B$11:$B$40,$B308,Override!$D$11:$D$40,7,Override!$E$11:$E$40,"&gt;=0")-COUNTIFS(Override!$B$11:$B$40,$B308,Override!$D$11:$D$40,7,Override!$E$11:$E$40,"&gt;=0",Override!$C$11:$C$40,"AS51"))&gt;0,SUMIFS(Override!$E$11:$E$40,Override!$B$11:$B$40,$B308,Override!$D$11:$D$40,7)-SUMIFS(Override!$E$11:$E$40,Override!$B$11:$B$40,$B308,Override!$D$11:$D$40,7,Override!$C$11:$C$40,"AS51"),Override!$I$340)/MXAU!$B$3,"")))</f>
        <v/>
      </c>
      <c r="M308" s="140">
        <f>IF(M$226="","",IF($B308="","",IFERROR($C308*$D308*IF((Override!$C$4="ON")*(COUNTIFS(Override!$B$11:$B$40,$B308,Override!$D$11:$D$40,8,Override!$E$11:$E$40,"&gt;=0")-COUNTIFS(Override!$B$11:$B$40,$B308,Override!$D$11:$D$40,8,Override!$E$11:$E$40,"&gt;=0",Override!$C$11:$C$40,"AS51"))&gt;0,SUMIFS(Override!$E$11:$E$40,Override!$B$11:$B$40,$B308,Override!$D$11:$D$40,8)-SUMIFS(Override!$E$11:$E$40,Override!$B$11:$B$40,$B308,Override!$D$11:$D$40,8,Override!$C$11:$C$40,"AS51"),Override!$J$340)/MXAU!$B$3,"")))</f>
        <v/>
      </c>
      <c r="N308" s="140">
        <f>IF(N$226="","",IF($B308="","",IFERROR($C308*$D308*IF((Override!$C$4="ON")*(COUNTIFS(Override!$B$11:$B$40,$B308,Override!$D$11:$D$40,9,Override!$E$11:$E$40,"&gt;=0")-COUNTIFS(Override!$B$11:$B$40,$B308,Override!$D$11:$D$40,9,Override!$E$11:$E$40,"&gt;=0",Override!$C$11:$C$40,"AS51"))&gt;0,SUMIFS(Override!$E$11:$E$40,Override!$B$11:$B$40,$B308,Override!$D$11:$D$40,9)-SUMIFS(Override!$E$11:$E$40,Override!$B$11:$B$40,$B308,Override!$D$11:$D$40,9,Override!$C$11:$C$40,"AS51"),Override!$K$340)/MXAU!$B$3,"")))</f>
        <v/>
      </c>
      <c r="O308" s="140">
        <f>IF(O$226="","",IF($B308="","",IFERROR($C308*$D308*IF((Override!$C$4="ON")*(COUNTIFS(Override!$B$11:$B$40,$B308,Override!$D$11:$D$40,10,Override!$E$11:$E$40,"&gt;=0")-COUNTIFS(Override!$B$11:$B$40,$B308,Override!$D$11:$D$40,10,Override!$E$11:$E$40,"&gt;=0",Override!$C$11:$C$40,"AS51"))&gt;0,SUMIFS(Override!$E$11:$E$40,Override!$B$11:$B$40,$B308,Override!$D$11:$D$40,10)-SUMIFS(Override!$E$11:$E$40,Override!$B$11:$B$40,$B308,Override!$D$11:$D$40,10,Override!$C$11:$C$40,"AS51"),Override!$L$340)/MXAU!$B$3,"")))</f>
        <v/>
      </c>
      <c r="P308" s="140">
        <f>IF(P$226="","",IF($B308="","",IFERROR($C308*$D308*IF((Override!$C$4="ON")*(COUNTIFS(Override!$B$11:$B$40,$B308,Override!$D$11:$D$40,11,Override!$E$11:$E$40,"&gt;=0")-COUNTIFS(Override!$B$11:$B$40,$B308,Override!$D$11:$D$40,11,Override!$E$11:$E$40,"&gt;=0",Override!$C$11:$C$40,"AS51"))&gt;0,SUMIFS(Override!$E$11:$E$40,Override!$B$11:$B$40,$B308,Override!$D$11:$D$40,11)-SUMIFS(Override!$E$11:$E$40,Override!$B$11:$B$40,$B308,Override!$D$11:$D$40,11,Override!$C$11:$C$40,"AS51"),Override!$M$340)/MXAU!$B$3,"")))</f>
        <v/>
      </c>
      <c r="Q308" s="140">
        <f>IF(Q$226="","",IF($B308="","",IFERROR($C308*$D308*IF((Override!$C$4="ON")*(COUNTIFS(Override!$B$11:$B$40,$B308,Override!$D$11:$D$40,12,Override!$E$11:$E$40,"&gt;=0")-COUNTIFS(Override!$B$11:$B$40,$B308,Override!$D$11:$D$40,12,Override!$E$11:$E$40,"&gt;=0",Override!$C$11:$C$40,"AS51"))&gt;0,SUMIFS(Override!$E$11:$E$40,Override!$B$11:$B$40,$B308,Override!$D$11:$D$40,12)-SUMIFS(Override!$E$11:$E$40,Override!$B$11:$B$40,$B308,Override!$D$11:$D$40,12,Override!$C$11:$C$40,"AS51"),Override!$N$340)/MXAU!$B$3,"")))</f>
        <v/>
      </c>
      <c r="R308" s="140">
        <f>IF(R$226="","",IF($B308="","",IFERROR($C308*$D308*IF((Override!$C$4="ON")*(COUNTIFS(Override!$B$11:$B$40,$B308,Override!$D$11:$D$40,13,Override!$E$11:$E$40,"&gt;=0")-COUNTIFS(Override!$B$11:$B$40,$B308,Override!$D$11:$D$40,13,Override!$E$11:$E$40,"&gt;=0",Override!$C$11:$C$40,"AS51"))&gt;0,SUMIFS(Override!$E$11:$E$40,Override!$B$11:$B$40,$B308,Override!$D$11:$D$40,13)-SUMIFS(Override!$E$11:$E$40,Override!$B$11:$B$40,$B308,Override!$D$11:$D$40,13,Override!$C$11:$C$40,"AS51"),Override!$O$340)/MXAU!$B$3,"")))</f>
        <v/>
      </c>
      <c r="S308" s="140">
        <f>IF(S$226="","",IF($B308="","",IFERROR($C308*$D308*IF((Override!$C$4="ON")*(COUNTIFS(Override!$B$11:$B$40,$B308,Override!$D$11:$D$40,14,Override!$E$11:$E$40,"&gt;=0")-COUNTIFS(Override!$B$11:$B$40,$B308,Override!$D$11:$D$40,14,Override!$E$11:$E$40,"&gt;=0",Override!$C$11:$C$40,"AS51"))&gt;0,SUMIFS(Override!$E$11:$E$40,Override!$B$11:$B$40,$B308,Override!$D$11:$D$40,14)-SUMIFS(Override!$E$11:$E$40,Override!$B$11:$B$40,$B308,Override!$D$11:$D$40,14,Override!$C$11:$C$40,"AS51"),Override!$P$340)/MXAU!$B$3,"")))</f>
        <v/>
      </c>
      <c r="T308" s="140">
        <f>IF(T$226="","",IF($B308="","",IFERROR($C308*$D308*IF((Override!$C$4="ON")*(COUNTIFS(Override!$B$11:$B$40,$B308,Override!$D$11:$D$40,15,Override!$E$11:$E$40,"&gt;=0")-COUNTIFS(Override!$B$11:$B$40,$B308,Override!$D$11:$D$40,15,Override!$E$11:$E$40,"&gt;=0",Override!$C$11:$C$40,"AS51"))&gt;0,SUMIFS(Override!$E$11:$E$40,Override!$B$11:$B$40,$B308,Override!$D$11:$D$40,15)-SUMIFS(Override!$E$11:$E$40,Override!$B$11:$B$40,$B308,Override!$D$11:$D$40,15,Override!$C$11:$C$40,"AS51"),Override!$Q$340)/MXAU!$B$3,"")))</f>
        <v/>
      </c>
      <c r="U308" s="140">
        <f>IF(U$226="","",IF($B308="","",IFERROR($C308*$D308*IF((Override!$C$4="ON")*(COUNTIFS(Override!$B$11:$B$40,$B308,Override!$D$11:$D$40,16,Override!$E$11:$E$40,"&gt;=0")-COUNTIFS(Override!$B$11:$B$40,$B308,Override!$D$11:$D$40,16,Override!$E$11:$E$40,"&gt;=0",Override!$C$11:$C$40,"AS51"))&gt;0,SUMIFS(Override!$E$11:$E$40,Override!$B$11:$B$40,$B308,Override!$D$11:$D$40,16)-SUMIFS(Override!$E$11:$E$40,Override!$B$11:$B$40,$B308,Override!$D$11:$D$40,16,Override!$C$11:$C$40,"AS51"),Override!$R$340)/MXAU!$B$3,"")))</f>
        <v/>
      </c>
      <c r="W308" s="140">
        <f>IF(W$226="","",IF($B308="","",IFERROR(F308*$E308/100,"")))</f>
        <v/>
      </c>
      <c r="X308" s="140">
        <f>IF(X$226="","",IF($B308="","",IFERROR(G308*$E308/100,"")))</f>
        <v/>
      </c>
      <c r="Y308" s="140">
        <f>IF(Y$226="","",IF($B308="","",IFERROR(H308*$E308/100,"")))</f>
        <v/>
      </c>
      <c r="Z308" s="140">
        <f>IF(Z$226="","",IF($B308="","",IFERROR(I308*$E308/100,"")))</f>
        <v/>
      </c>
      <c r="AA308" s="140">
        <f>IF(AA$226="","",IF($B308="","",IFERROR(J308*$E308/100,"")))</f>
        <v/>
      </c>
      <c r="AB308" s="140">
        <f>IF(AB$226="","",IF($B308="","",IFERROR(K308*$E308/100,"")))</f>
        <v/>
      </c>
      <c r="AC308" s="140">
        <f>IF(AC$226="","",IF($B308="","",IFERROR(L308*$E308/100,"")))</f>
        <v/>
      </c>
      <c r="AD308" s="140">
        <f>IF(AD$226="","",IF($B308="","",IFERROR(M308*$E308/100,"")))</f>
        <v/>
      </c>
      <c r="AE308" s="140">
        <f>IF(AE$226="","",IF($B308="","",IFERROR(N308*$E308/100,"")))</f>
        <v/>
      </c>
      <c r="AF308" s="140">
        <f>IF(AF$226="","",IF($B308="","",IFERROR(O308*$E308/100,"")))</f>
        <v/>
      </c>
      <c r="AG308" s="140">
        <f>IF(AG$226="","",IF($B308="","",IFERROR(P308*$E308/100,"")))</f>
        <v/>
      </c>
      <c r="AH308" s="140">
        <f>IF(AH$226="","",IF($B308="","",IFERROR(Q308*$E308/100,"")))</f>
        <v/>
      </c>
      <c r="AI308" s="140">
        <f>IF(AI$226="","",IF($B308="","",IFERROR(R308*$E308/100,"")))</f>
        <v/>
      </c>
      <c r="AJ308" s="140">
        <f>IF(AJ$226="","",IF($B308="","",IFERROR(S308*$E308/100,"")))</f>
        <v/>
      </c>
      <c r="AK308" s="140">
        <f>IF(AK$226="","",IF($B308="","",IFERROR(T308*$E308/100,"")))</f>
        <v/>
      </c>
      <c r="AL308" s="140">
        <f>IF(AL$226="","",IF($B308="","",IFERROR(U308*$E308/100,"")))</f>
        <v/>
      </c>
      <c r="AN308" s="140">
        <f>IF($B308="","",SUMIF($F$226:$U$226,"&lt;="&amp;Sector!$E$51,$F308:$U308))</f>
        <v/>
      </c>
      <c r="AO308" s="140">
        <f>IF($B308="","",SUMIF($W$226:$AL$226,"&lt;="&amp;Sector!$E$51,$W308:$AL308))</f>
        <v/>
      </c>
    </row>
    <row r="309">
      <c r="B309" s="3" t="inlineStr">
        <is>
          <t>TOTAL (index pts)</t>
        </is>
      </c>
      <c r="F309" s="141">
        <f>IFERROR(SUM(F229:F308),"")</f>
        <v/>
      </c>
      <c r="G309" s="141">
        <f>IFERROR(SUM(G229:G308),"")</f>
        <v/>
      </c>
      <c r="H309" s="141">
        <f>IFERROR(SUM(H229:H308),"")</f>
        <v/>
      </c>
      <c r="I309" s="141">
        <f>IFERROR(SUM(I229:I308),"")</f>
        <v/>
      </c>
      <c r="J309" s="141">
        <f>IFERROR(SUM(J229:J308),"")</f>
        <v/>
      </c>
      <c r="K309" s="141">
        <f>IFERROR(SUM(K229:K308),"")</f>
        <v/>
      </c>
      <c r="L309" s="141">
        <f>IFERROR(SUM(L229:L308),"")</f>
        <v/>
      </c>
      <c r="M309" s="141">
        <f>IFERROR(SUM(M229:M308),"")</f>
        <v/>
      </c>
      <c r="N309" s="141">
        <f>IFERROR(SUM(N229:N308),"")</f>
        <v/>
      </c>
      <c r="O309" s="141">
        <f>IFERROR(SUM(O229:O308),"")</f>
        <v/>
      </c>
      <c r="P309" s="141">
        <f>IFERROR(SUM(P229:P308),"")</f>
        <v/>
      </c>
      <c r="Q309" s="141">
        <f>IFERROR(SUM(Q229:Q308),"")</f>
        <v/>
      </c>
      <c r="R309" s="141">
        <f>IFERROR(SUM(R229:R308),"")</f>
        <v/>
      </c>
      <c r="S309" s="141">
        <f>IFERROR(SUM(S229:S308),"")</f>
        <v/>
      </c>
      <c r="T309" s="141">
        <f>IFERROR(SUM(T229:T308),"")</f>
        <v/>
      </c>
      <c r="U309" s="141">
        <f>IFERROR(SUM(U229:U308),"")</f>
        <v/>
      </c>
      <c r="W309" s="141">
        <f>IFERROR(SUM(W229:W308),"")</f>
        <v/>
      </c>
      <c r="X309" s="141">
        <f>IFERROR(SUM(X229:X308),"")</f>
        <v/>
      </c>
      <c r="Y309" s="141">
        <f>IFERROR(SUM(Y229:Y308),"")</f>
        <v/>
      </c>
      <c r="Z309" s="141">
        <f>IFERROR(SUM(Z229:Z308),"")</f>
        <v/>
      </c>
      <c r="AA309" s="141">
        <f>IFERROR(SUM(AA229:AA308),"")</f>
        <v/>
      </c>
      <c r="AB309" s="141">
        <f>IFERROR(SUM(AB229:AB308),"")</f>
        <v/>
      </c>
      <c r="AC309" s="141">
        <f>IFERROR(SUM(AC229:AC308),"")</f>
        <v/>
      </c>
      <c r="AD309" s="141">
        <f>IFERROR(SUM(AD229:AD308),"")</f>
        <v/>
      </c>
      <c r="AE309" s="141">
        <f>IFERROR(SUM(AE229:AE308),"")</f>
        <v/>
      </c>
      <c r="AF309" s="141">
        <f>IFERROR(SUM(AF229:AF308),"")</f>
        <v/>
      </c>
      <c r="AG309" s="141">
        <f>IFERROR(SUM(AG229:AG308),"")</f>
        <v/>
      </c>
      <c r="AH309" s="141">
        <f>IFERROR(SUM(AH229:AH308),"")</f>
        <v/>
      </c>
      <c r="AI309" s="141">
        <f>IFERROR(SUM(AI229:AI308),"")</f>
        <v/>
      </c>
      <c r="AJ309" s="141">
        <f>IFERROR(SUM(AJ229:AJ308),"")</f>
        <v/>
      </c>
      <c r="AK309" s="141">
        <f>IFERROR(SUM(AK229:AK308),"")</f>
        <v/>
      </c>
      <c r="AL309" s="141">
        <f>IFERROR(SUM(AL229:AL308),"")</f>
        <v/>
      </c>
      <c r="AN309" s="141">
        <f>IFERROR(SUM(AN229:AN308),"")</f>
        <v/>
      </c>
      <c r="AO309" s="141">
        <f>IFERROR(SUM(AO229:AO308),"")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B1:AJ340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2" customWidth="1" min="20" max="20"/>
    <col width="14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B1" s="1" t="inlineStr">
        <is>
          <t>OVERRIDE - YOUR DIVIDEND JUDGMENT</t>
        </is>
      </c>
    </row>
    <row r="2">
      <c r="B2" s="2" t="inlineStr">
        <is>
          <t>Bloomberg's BDVD projections embed growth and assumptions. Put YOUR number here when you disagree. Dvd Calendar is never touched - flip the switch OFF and the whole book is pure Bloomberg again.</t>
        </is>
      </c>
    </row>
    <row r="4">
      <c r="B4" s="3" t="inlineStr">
        <is>
          <t>Use overrides?</t>
        </is>
      </c>
      <c r="C4" s="95" t="inlineStr">
        <is>
          <t>OFF</t>
        </is>
      </c>
      <c r="D4" s="2" t="inlineStr">
        <is>
          <t>Active rows:</t>
        </is>
      </c>
      <c r="E4" s="96">
        <f>SUMPRODUCT(($B$11:$B$40&lt;&gt;"")*($D$11:$D$40&lt;&gt;"")*ISNUMBER($E$11:$E$40))</f>
        <v/>
      </c>
      <c r="F4" s="2" t="inlineStr">
        <is>
          <t>ON = Accrual swaps in your DPS wherever a row below is filled. OFF = pure Bloomberg everywhere, instantly. Status shows on Div by Expiry, Accrual and Sector.</t>
        </is>
      </c>
    </row>
    <row r="6">
      <c r="B6" s="4" t="inlineStr">
        <is>
          <t>1.</t>
        </is>
      </c>
      <c r="C6" s="2" t="inlineStr">
        <is>
          <t>Ticker exactly as in column B of the matrix below (e.g. BHP AT Equity), contract # from Expiries, and YOUR total DPS for that stock in that window - per share, declared currency, same units as the matrix.</t>
        </is>
      </c>
    </row>
    <row r="7">
      <c r="B7" s="4" t="inlineStr">
        <is>
          <t>2.</t>
        </is>
      </c>
      <c r="C7" s="2" t="inlineStr">
        <is>
          <t>Your number replaces Bloomberg's WINDOW TOTAL for that stock + contract (it does not edit single events). Index blank or BOTH = hits both indices; AS51 / MXAU = that index only. 0 = you think the dividend will not happen.</t>
        </is>
      </c>
    </row>
    <row r="8">
      <c r="B8" s="4" t="inlineStr">
        <is>
          <t>3.</t>
        </is>
      </c>
      <c r="C8" s="2" t="inlineStr">
        <is>
          <t>Going back: switch OFF (everything reverts at once) or delete a row (that override reverts). Bloomberg's numbers stay visible in the BBG columns and the matrix - nothing is lost.</t>
        </is>
      </c>
    </row>
    <row r="10">
      <c r="B10" s="54" t="inlineStr">
        <is>
          <t>Ticker</t>
        </is>
      </c>
      <c r="C10" s="54" t="inlineStr">
        <is>
          <t>Index</t>
        </is>
      </c>
      <c r="D10" s="54" t="inlineStr">
        <is>
          <t>Ct #</t>
        </is>
      </c>
      <c r="E10" s="54" t="inlineStr">
        <is>
          <t>Your DPS
(window total,
declared ccy)</t>
        </is>
      </c>
      <c r="F10" s="54" t="inlineStr">
        <is>
          <t>Why (note to self)</t>
        </is>
      </c>
      <c r="G10" s="54" t="inlineStr">
        <is>
          <t>Contract</t>
        </is>
      </c>
      <c r="H10" s="54" t="inlineStr">
        <is>
          <t>Expiry
(AS51 / MXAU)</t>
        </is>
      </c>
      <c r="I10" s="54" t="inlineStr">
        <is>
          <t>BBG DPS
(AS51 win)</t>
        </is>
      </c>
      <c r="J10" s="54" t="inlineStr">
        <is>
          <t>BBG DPS
(MXAU win)</t>
        </is>
      </c>
      <c r="K10" s="54" t="inlineStr">
        <is>
          <t>Impact AS51
(pts)</t>
        </is>
      </c>
      <c r="L10" s="54" t="inlineStr">
        <is>
          <t>Impact MXAU
(pts)</t>
        </is>
      </c>
      <c r="M10" s="54" t="inlineStr">
        <is>
          <t>Status</t>
        </is>
      </c>
      <c r="O10" s="3" t="inlineStr">
        <is>
          <t>WORKBENCH - PICK A STOCK</t>
        </is>
      </c>
      <c r="U10" s="3" t="inlineStr">
        <is>
          <t>DIVIDEND HISTORY - the stock picked above</t>
        </is>
      </c>
    </row>
    <row r="11">
      <c r="B11" s="76" t="n"/>
      <c r="C11" s="76" t="n"/>
      <c r="D11" s="76" t="n"/>
      <c r="E11" s="142" t="n"/>
      <c r="F11" s="76" t="n"/>
      <c r="G11" s="55">
        <f>IF($D11="","",IFERROR(INDEX(Expiries!$C$16:$C$31,$D11),""))</f>
        <v/>
      </c>
      <c r="H11" s="55">
        <f>IF($D11="","",IFERROR(TEXT(INDEX(Expiries!$F$16:$F$31,$D11),"dd mmm")&amp;" / "&amp;TEXT(INDEX(Expiries!$I$16:$I$31,$D11),"dd mmm"),""))</f>
        <v/>
      </c>
      <c r="I11" s="143">
        <f>IF($B11="","",IF($D11="","",IFERROR(INDEX($C$51:$R$255,MATCH($B11,$B$51:$B$255,0),$D11),"not in AS51")))</f>
        <v/>
      </c>
      <c r="J11" s="143">
        <f>IF($B11="","",IF($D11="","",IFERROR(INDEX($C$261:$R$340,MATCH($B11,$B$261:$B$340,0),$D11),"not in MXAU")))</f>
        <v/>
      </c>
      <c r="K11" s="144">
        <f>IF($C11="MXAU","",IF(ISNUMBER($E11)*ISNUMBER($I11)=0,"",IFERROR(($E11-$I11)*INDEX(Accrual!$C$16:$C$220,MATCH($B11,$B$51:$B$255,0))*INDEX(Accrual!$D$16:$D$220,MATCH($B11,$B$51:$B$255,0))/AS51!$B$3,"")))</f>
        <v/>
      </c>
      <c r="L11" s="144">
        <f>IF($C11="AS51","",IF(ISNUMBER($E11)*ISNUMBER($J11)=0,"",IFERROR(($E11-$J11)*INDEX(Accrual!$C$229:$C$308,MATCH($B11,$B$261:$B$340,0))*INDEX(Accrual!$D$229:$D$308,MATCH($B11,$B$261:$B$340,0))/MXAU!$B$3,"")))</f>
        <v/>
      </c>
      <c r="M11" s="100">
        <f>IF($B11="","",IF(COUNTIF($B$51:$B$255,$B11)+COUNTIF($B$261:$B$340,$B11)=0,"ticker? paste from the matrix below",IF($D11="","no contract # - ignored",IF(ISNUMBER($E11),IF(COUNTIFS($B$11:$B$40,$B11,$D$11:$D$40,$D11)&gt;1,"2 rows same stock+contract - they ADD","OK"),"no DPS - ignored"))))</f>
        <v/>
      </c>
      <c r="O11" s="3" t="inlineStr">
        <is>
          <t>Ticker</t>
        </is>
      </c>
      <c r="P11" s="76" t="n"/>
      <c r="Q11" s="6">
        <f>IF($P$11="","",IF(COUNTIF($B$51:$B$255,$P$11)+COUNTIF($B$261:$B$340,$P$11)=0,"not found - paste from the matrix col B","OK"))</f>
        <v/>
      </c>
      <c r="U11" s="3" t="inlineStr">
        <is>
          <t>Years back</t>
        </is>
      </c>
      <c r="V11" s="50" t="n">
        <v>3</v>
      </c>
      <c r="W11" s="2" t="inlineStr">
        <is>
          <t>Actual paid dividends (DVD_HIST_ALL, confirmed field). Spills DOWN from U14 in several columns - a different shape from the calendar pull. No franking in it. This field's column order is not fixed, so the block reads any date serial as a date and anything smaller as a number - no need to reformat after a pull.</t>
        </is>
      </c>
    </row>
    <row r="12">
      <c r="B12" s="76" t="n"/>
      <c r="C12" s="76" t="n"/>
      <c r="D12" s="76" t="n"/>
      <c r="E12" s="142" t="n"/>
      <c r="F12" s="76" t="n"/>
      <c r="G12" s="55">
        <f>IF($D12="","",IFERROR(INDEX(Expiries!$C$16:$C$31,$D12),""))</f>
        <v/>
      </c>
      <c r="H12" s="55">
        <f>IF($D12="","",IFERROR(TEXT(INDEX(Expiries!$F$16:$F$31,$D12),"dd mmm")&amp;" / "&amp;TEXT(INDEX(Expiries!$I$16:$I$31,$D12),"dd mmm"),""))</f>
        <v/>
      </c>
      <c r="I12" s="143">
        <f>IF($B12="","",IF($D12="","",IFERROR(INDEX($C$51:$R$255,MATCH($B12,$B$51:$B$255,0),$D12),"not in AS51")))</f>
        <v/>
      </c>
      <c r="J12" s="143">
        <f>IF($B12="","",IF($D12="","",IFERROR(INDEX($C$261:$R$340,MATCH($B12,$B$261:$B$340,0),$D12),"not in MXAU")))</f>
        <v/>
      </c>
      <c r="K12" s="144">
        <f>IF($C12="MXAU","",IF(ISNUMBER($E12)*ISNUMBER($I12)=0,"",IFERROR(($E12-$I12)*INDEX(Accrual!$C$16:$C$220,MATCH($B12,$B$51:$B$255,0))*INDEX(Accrual!$D$16:$D$220,MATCH($B12,$B$51:$B$255,0))/AS51!$B$3,"")))</f>
        <v/>
      </c>
      <c r="L12" s="144">
        <f>IF($C12="AS51","",IF(ISNUMBER($E12)*ISNUMBER($J12)=0,"",IFERROR(($E12-$J12)*INDEX(Accrual!$C$229:$C$308,MATCH($B12,$B$261:$B$340,0))*INDEX(Accrual!$D$229:$D$308,MATCH($B12,$B$261:$B$340,0))/MXAU!$B$3,"")))</f>
        <v/>
      </c>
      <c r="M12" s="100">
        <f>IF($B12="","",IF(COUNTIF($B$51:$B$255,$B12)+COUNTIF($B$261:$B$340,$B12)=0,"ticker? paste from the matrix below",IF($D12="","no contract # - ignored",IF(ISNUMBER($E12),IF(COUNTIFS($B$11:$B$40,$B12,$D$11:$D$40,$D12)&gt;1,"2 rows same stock+contract - they ADD","OK"),"no DPS - ignored"))))</f>
        <v/>
      </c>
      <c r="O12" s="2" t="inlineStr">
        <is>
          <t>GICS sector</t>
        </is>
      </c>
      <c r="P12" s="55">
        <f>IF($P$11="","",IFERROR(INDEX(AS51!$E$6:$E$210,MATCH($P$11,AS51!$C$6:$C$210,0)),IFERROR(INDEX(MXAU!$E$6:$E$85,MATCH($P$11,MXAU!$C$6:$C$85,0)),"")))</f>
        <v/>
      </c>
      <c r="U12" s="2" t="inlineStr">
        <is>
          <t>From / to (auto)</t>
        </is>
      </c>
      <c r="V12" s="2">
        <f>TEXT(EDATE(Expiries!$C$6,-12*$V$11),"yyyymmdd")</f>
        <v/>
      </c>
      <c r="W12" s="2">
        <f>TEXT(Expiries!$C$6,"yyyymmdd")</f>
        <v/>
      </c>
    </row>
    <row r="13">
      <c r="B13" s="76" t="n"/>
      <c r="C13" s="76" t="n"/>
      <c r="D13" s="76" t="n"/>
      <c r="E13" s="142" t="n"/>
      <c r="F13" s="76" t="n"/>
      <c r="G13" s="55">
        <f>IF($D13="","",IFERROR(INDEX(Expiries!$C$16:$C$31,$D13),""))</f>
        <v/>
      </c>
      <c r="H13" s="55">
        <f>IF($D13="","",IFERROR(TEXT(INDEX(Expiries!$F$16:$F$31,$D13),"dd mmm")&amp;" / "&amp;TEXT(INDEX(Expiries!$I$16:$I$31,$D13),"dd mmm"),""))</f>
        <v/>
      </c>
      <c r="I13" s="143">
        <f>IF($B13="","",IF($D13="","",IFERROR(INDEX($C$51:$R$255,MATCH($B13,$B$51:$B$255,0),$D13),"not in AS51")))</f>
        <v/>
      </c>
      <c r="J13" s="143">
        <f>IF($B13="","",IF($D13="","",IFERROR(INDEX($C$261:$R$340,MATCH($B13,$B$261:$B$340,0),$D13),"not in MXAU")))</f>
        <v/>
      </c>
      <c r="K13" s="144">
        <f>IF($C13="MXAU","",IF(ISNUMBER($E13)*ISNUMBER($I13)=0,"",IFERROR(($E13-$I13)*INDEX(Accrual!$C$16:$C$220,MATCH($B13,$B$51:$B$255,0))*INDEX(Accrual!$D$16:$D$220,MATCH($B13,$B$51:$B$255,0))/AS51!$B$3,"")))</f>
        <v/>
      </c>
      <c r="L13" s="144">
        <f>IF($C13="AS51","",IF(ISNUMBER($E13)*ISNUMBER($J13)=0,"",IFERROR(($E13-$J13)*INDEX(Accrual!$C$229:$C$308,MATCH($B13,$B$261:$B$340,0))*INDEX(Accrual!$D$229:$D$308,MATCH($B13,$B$261:$B$340,0))/MXAU!$B$3,"")))</f>
        <v/>
      </c>
      <c r="M13" s="100">
        <f>IF($B13="","",IF(COUNTIF($B$51:$B$255,$B13)+COUNTIF($B$261:$B$340,$B13)=0,"ticker? paste from the matrix below",IF($D13="","no contract # - ignored",IF(ISNUMBER($E13),IF(COUNTIFS($B$11:$B$40,$B13,$D$11:$D$40,$D13)&gt;1,"2 rows same stock+contract - they ADD","OK"),"no DPS - ignored"))))</f>
        <v/>
      </c>
      <c r="O13" s="2" t="inlineStr">
        <is>
          <t>Shares (AS51 / MXAU)</t>
        </is>
      </c>
      <c r="P13" s="62">
        <f>IF($P$11="","",IFERROR(INDEX(AS51!$B$6:$B$210,MATCH($P$11,AS51!$C$6:$C$210,0)),"-"))</f>
        <v/>
      </c>
      <c r="Q13" s="62">
        <f>IF($P$11="","",IFERROR(INDEX(MXAU!$B$6:$B$85,MATCH($P$11,MXAU!$C$6:$C$85,0)),"-"))</f>
        <v/>
      </c>
      <c r="U13" s="2" t="inlineStr">
        <is>
          <t>Think here - then put your number in the list on the left.</t>
        </is>
      </c>
    </row>
    <row r="14">
      <c r="B14" s="76" t="n"/>
      <c r="C14" s="76" t="n"/>
      <c r="D14" s="76" t="n"/>
      <c r="E14" s="142" t="n"/>
      <c r="F14" s="76" t="n"/>
      <c r="G14" s="55">
        <f>IF($D14="","",IFERROR(INDEX(Expiries!$C$16:$C$31,$D14),""))</f>
        <v/>
      </c>
      <c r="H14" s="55">
        <f>IF($D14="","",IFERROR(TEXT(INDEX(Expiries!$F$16:$F$31,$D14),"dd mmm")&amp;" / "&amp;TEXT(INDEX(Expiries!$I$16:$I$31,$D14),"dd mmm"),""))</f>
        <v/>
      </c>
      <c r="I14" s="143">
        <f>IF($B14="","",IF($D14="","",IFERROR(INDEX($C$51:$R$255,MATCH($B14,$B$51:$B$255,0),$D14),"not in AS51")))</f>
        <v/>
      </c>
      <c r="J14" s="143">
        <f>IF($B14="","",IF($D14="","",IFERROR(INDEX($C$261:$R$340,MATCH($B14,$B$261:$B$340,0),$D14),"not in MXAU")))</f>
        <v/>
      </c>
      <c r="K14" s="144">
        <f>IF($C14="MXAU","",IF(ISNUMBER($E14)*ISNUMBER($I14)=0,"",IFERROR(($E14-$I14)*INDEX(Accrual!$C$16:$C$220,MATCH($B14,$B$51:$B$255,0))*INDEX(Accrual!$D$16:$D$220,MATCH($B14,$B$51:$B$255,0))/AS51!$B$3,"")))</f>
        <v/>
      </c>
      <c r="L14" s="144">
        <f>IF($C14="AS51","",IF(ISNUMBER($E14)*ISNUMBER($J14)=0,"",IFERROR(($E14-$J14)*INDEX(Accrual!$C$229:$C$308,MATCH($B14,$B$261:$B$340,0))*INDEX(Accrual!$D$229:$D$308,MATCH($B14,$B$261:$B$340,0))/MXAU!$B$3,"")))</f>
        <v/>
      </c>
      <c r="M14" s="100">
        <f>IF($B14="","",IF(COUNTIF($B$51:$B$255,$B14)+COUNTIF($B$261:$B$340,$B14)=0,"ticker? paste from the matrix below",IF($D14="","no contract # - ignored",IF(ISNUMBER($E14),IF(COUNTIFS($B$11:$B$40,$B14,$D$11:$D$40,$D14)&gt;1,"2 rows same stock+contract - they ADD","OK"),"no DPS - ignored"))))</f>
        <v/>
      </c>
      <c r="O14" s="2" t="inlineStr">
        <is>
          <t>Franked % (blank=100)</t>
        </is>
      </c>
      <c r="P14" s="53">
        <f>IF($P$11="","",IFERROR(INDEX(Accrual!$E$16:$E$220,MATCH($P$11,$B$51:$B$255,0)),IFERROR(INDEX(Accrual!$E$229:$E$308,MATCH($P$11,$B$261:$B$340,0)),"")))</f>
        <v/>
      </c>
      <c r="U14" s="145">
        <f>BDS($P$11,"DVD_HIST_ALL","DVD_START_DT",$V$12,"DVD_END_DT",$W$12)</f>
        <v/>
      </c>
      <c r="V14" s="146" t="n"/>
      <c r="W14" s="146" t="n"/>
      <c r="X14" s="146" t="n"/>
      <c r="Y14" s="146" t="n"/>
      <c r="Z14" s="146" t="n"/>
      <c r="AA14" s="146" t="n"/>
      <c r="AB14" s="146" t="n"/>
      <c r="AC14" s="146" t="n"/>
      <c r="AD14" s="146" t="n"/>
      <c r="AE14" s="146" t="n"/>
      <c r="AF14" s="146" t="n"/>
      <c r="AG14" s="146" t="n"/>
      <c r="AH14" s="146" t="n"/>
      <c r="AI14" s="146" t="n"/>
      <c r="AJ14" s="146" t="n"/>
    </row>
    <row r="15">
      <c r="B15" s="76" t="n"/>
      <c r="C15" s="76" t="n"/>
      <c r="D15" s="76" t="n"/>
      <c r="E15" s="142" t="n"/>
      <c r="F15" s="76" t="n"/>
      <c r="G15" s="55">
        <f>IF($D15="","",IFERROR(INDEX(Expiries!$C$16:$C$31,$D15),""))</f>
        <v/>
      </c>
      <c r="H15" s="55">
        <f>IF($D15="","",IFERROR(TEXT(INDEX(Expiries!$F$16:$F$31,$D15),"dd mmm")&amp;" / "&amp;TEXT(INDEX(Expiries!$I$16:$I$31,$D15),"dd mmm"),""))</f>
        <v/>
      </c>
      <c r="I15" s="143">
        <f>IF($B15="","",IF($D15="","",IFERROR(INDEX($C$51:$R$255,MATCH($B15,$B$51:$B$255,0),$D15),"not in AS51")))</f>
        <v/>
      </c>
      <c r="J15" s="143">
        <f>IF($B15="","",IF($D15="","",IFERROR(INDEX($C$261:$R$340,MATCH($B15,$B$261:$B$340,0),$D15),"not in MXAU")))</f>
        <v/>
      </c>
      <c r="K15" s="144">
        <f>IF($C15="MXAU","",IF(ISNUMBER($E15)*ISNUMBER($I15)=0,"",IFERROR(($E15-$I15)*INDEX(Accrual!$C$16:$C$220,MATCH($B15,$B$51:$B$255,0))*INDEX(Accrual!$D$16:$D$220,MATCH($B15,$B$51:$B$255,0))/AS51!$B$3,"")))</f>
        <v/>
      </c>
      <c r="L15" s="144">
        <f>IF($C15="AS51","",IF(ISNUMBER($E15)*ISNUMBER($J15)=0,"",IFERROR(($E15-$J15)*INDEX(Accrual!$C$229:$C$308,MATCH($B15,$B$261:$B$340,0))*INDEX(Accrual!$D$229:$D$308,MATCH($B15,$B$261:$B$340,0))/MXAU!$B$3,"")))</f>
        <v/>
      </c>
      <c r="M15" s="100">
        <f>IF($B15="","",IF(COUNTIF($B$51:$B$255,$B15)+COUNTIF($B$261:$B$340,$B15)=0,"ticker? paste from the matrix below",IF($D15="","no contract # - ignored",IF(ISNUMBER($E15),IF(COUNTIFS($B$11:$B$40,$B15,$D$11:$D$40,$D15)&gt;1,"2 rows same stock+contract - they ADD","OK"),"no DPS - ignored"))))</f>
        <v/>
      </c>
      <c r="O15" s="2" t="inlineStr">
        <is>
          <t>DPS paid, last 12M</t>
        </is>
      </c>
      <c r="P15" s="132">
        <f>IF($P$11="","",IFERROR(INDEX(AS51!$F$6:$F$210,MATCH($P$11,AS51!$C$6:$C$210,0)),IFERROR(INDEX(MXAU!$F$6:$F$85,MATCH($P$11,MXAU!$C$6:$C$85,0)),"")))</f>
        <v/>
      </c>
      <c r="U15" s="146" t="n"/>
      <c r="V15" s="146" t="n"/>
      <c r="W15" s="146" t="n"/>
      <c r="X15" s="146" t="n"/>
      <c r="Y15" s="146" t="n"/>
      <c r="Z15" s="146" t="n"/>
      <c r="AA15" s="146" t="n"/>
      <c r="AB15" s="146" t="n"/>
      <c r="AC15" s="146" t="n"/>
      <c r="AD15" s="146" t="n"/>
      <c r="AE15" s="146" t="n"/>
      <c r="AF15" s="146" t="n"/>
      <c r="AG15" s="146" t="n"/>
      <c r="AH15" s="146" t="n"/>
      <c r="AI15" s="146" t="n"/>
      <c r="AJ15" s="146" t="n"/>
    </row>
    <row r="16">
      <c r="B16" s="76" t="n"/>
      <c r="C16" s="76" t="n"/>
      <c r="D16" s="76" t="n"/>
      <c r="E16" s="142" t="n"/>
      <c r="F16" s="76" t="n"/>
      <c r="G16" s="55">
        <f>IF($D16="","",IFERROR(INDEX(Expiries!$C$16:$C$31,$D16),""))</f>
        <v/>
      </c>
      <c r="H16" s="55">
        <f>IF($D16="","",IFERROR(TEXT(INDEX(Expiries!$F$16:$F$31,$D16),"dd mmm")&amp;" / "&amp;TEXT(INDEX(Expiries!$I$16:$I$31,$D16),"dd mmm"),""))</f>
        <v/>
      </c>
      <c r="I16" s="143">
        <f>IF($B16="","",IF($D16="","",IFERROR(INDEX($C$51:$R$255,MATCH($B16,$B$51:$B$255,0),$D16),"not in AS51")))</f>
        <v/>
      </c>
      <c r="J16" s="143">
        <f>IF($B16="","",IF($D16="","",IFERROR(INDEX($C$261:$R$340,MATCH($B16,$B$261:$B$340,0),$D16),"not in MXAU")))</f>
        <v/>
      </c>
      <c r="K16" s="144">
        <f>IF($C16="MXAU","",IF(ISNUMBER($E16)*ISNUMBER($I16)=0,"",IFERROR(($E16-$I16)*INDEX(Accrual!$C$16:$C$220,MATCH($B16,$B$51:$B$255,0))*INDEX(Accrual!$D$16:$D$220,MATCH($B16,$B$51:$B$255,0))/AS51!$B$3,"")))</f>
        <v/>
      </c>
      <c r="L16" s="144">
        <f>IF($C16="AS51","",IF(ISNUMBER($E16)*ISNUMBER($J16)=0,"",IFERROR(($E16-$J16)*INDEX(Accrual!$C$229:$C$308,MATCH($B16,$B$261:$B$340,0))*INDEX(Accrual!$D$229:$D$308,MATCH($B16,$B$261:$B$340,0))/MXAU!$B$3,"")))</f>
        <v/>
      </c>
      <c r="M16" s="100">
        <f>IF($B16="","",IF(COUNTIF($B$51:$B$255,$B16)+COUNTIF($B$261:$B$340,$B16)=0,"ticker? paste from the matrix below",IF($D16="","no contract # - ignored",IF(ISNUMBER($E16),IF(COUNTIFS($B$11:$B$40,$B16,$D$11:$D$40,$D16)&gt;1,"2 rows same stock+contract - they ADD","OK"),"no DPS - ignored"))))</f>
        <v/>
      </c>
      <c r="O16" s="2" t="inlineStr">
        <is>
          <t>Declares in</t>
        </is>
      </c>
      <c r="P16" s="55">
        <f>IF($P$11="","",IFERROR(INDEX(AS51!$P$6:$P$210,MATCH($P$11,AS51!$C$6:$C$210,0)),IFERROR(INDEX(MXAU!$P$6:$P$85,MATCH($P$11,MXAU!$C$6:$C$85,0)),"")))</f>
        <v/>
      </c>
      <c r="U16" s="146" t="n"/>
      <c r="V16" s="146" t="n"/>
      <c r="W16" s="146" t="n"/>
      <c r="X16" s="146" t="n"/>
      <c r="Y16" s="146" t="n"/>
      <c r="Z16" s="146" t="n"/>
      <c r="AA16" s="146" t="n"/>
      <c r="AB16" s="146" t="n"/>
      <c r="AC16" s="146" t="n"/>
      <c r="AD16" s="146" t="n"/>
      <c r="AE16" s="146" t="n"/>
      <c r="AF16" s="146" t="n"/>
      <c r="AG16" s="146" t="n"/>
      <c r="AH16" s="146" t="n"/>
      <c r="AI16" s="146" t="n"/>
      <c r="AJ16" s="146" t="n"/>
    </row>
    <row r="17">
      <c r="B17" s="76" t="n"/>
      <c r="C17" s="76" t="n"/>
      <c r="D17" s="76" t="n"/>
      <c r="E17" s="142" t="n"/>
      <c r="F17" s="76" t="n"/>
      <c r="G17" s="55">
        <f>IF($D17="","",IFERROR(INDEX(Expiries!$C$16:$C$31,$D17),""))</f>
        <v/>
      </c>
      <c r="H17" s="55">
        <f>IF($D17="","",IFERROR(TEXT(INDEX(Expiries!$F$16:$F$31,$D17),"dd mmm")&amp;" / "&amp;TEXT(INDEX(Expiries!$I$16:$I$31,$D17),"dd mmm"),""))</f>
        <v/>
      </c>
      <c r="I17" s="143">
        <f>IF($B17="","",IF($D17="","",IFERROR(INDEX($C$51:$R$255,MATCH($B17,$B$51:$B$255,0),$D17),"not in AS51")))</f>
        <v/>
      </c>
      <c r="J17" s="143">
        <f>IF($B17="","",IF($D17="","",IFERROR(INDEX($C$261:$R$340,MATCH($B17,$B$261:$B$340,0),$D17),"not in MXAU")))</f>
        <v/>
      </c>
      <c r="K17" s="144">
        <f>IF($C17="MXAU","",IF(ISNUMBER($E17)*ISNUMBER($I17)=0,"",IFERROR(($E17-$I17)*INDEX(Accrual!$C$16:$C$220,MATCH($B17,$B$51:$B$255,0))*INDEX(Accrual!$D$16:$D$220,MATCH($B17,$B$51:$B$255,0))/AS51!$B$3,"")))</f>
        <v/>
      </c>
      <c r="L17" s="144">
        <f>IF($C17="AS51","",IF(ISNUMBER($E17)*ISNUMBER($J17)=0,"",IFERROR(($E17-$J17)*INDEX(Accrual!$C$229:$C$308,MATCH($B17,$B$261:$B$340,0))*INDEX(Accrual!$D$229:$D$308,MATCH($B17,$B$261:$B$340,0))/MXAU!$B$3,"")))</f>
        <v/>
      </c>
      <c r="M17" s="100">
        <f>IF($B17="","",IF(COUNTIF($B$51:$B$255,$B17)+COUNTIF($B$261:$B$340,$B17)=0,"ticker? paste from the matrix below",IF($D17="","no contract # - ignored",IF(ISNUMBER($E17),IF(COUNTIFS($B$11:$B$40,$B17,$D$11:$D$40,$D17)&gt;1,"2 rows same stock+contract - they ADD","OK"),"no DPS - ignored"))))</f>
        <v/>
      </c>
      <c r="U17" s="146" t="n"/>
      <c r="V17" s="146" t="n"/>
      <c r="W17" s="146" t="n"/>
      <c r="X17" s="146" t="n"/>
      <c r="Y17" s="146" t="n"/>
      <c r="Z17" s="146" t="n"/>
      <c r="AA17" s="146" t="n"/>
      <c r="AB17" s="146" t="n"/>
      <c r="AC17" s="146" t="n"/>
      <c r="AD17" s="146" t="n"/>
      <c r="AE17" s="146" t="n"/>
      <c r="AF17" s="146" t="n"/>
      <c r="AG17" s="146" t="n"/>
      <c r="AH17" s="146" t="n"/>
      <c r="AI17" s="146" t="n"/>
      <c r="AJ17" s="146" t="n"/>
    </row>
    <row r="18">
      <c r="B18" s="76" t="n"/>
      <c r="C18" s="76" t="n"/>
      <c r="D18" s="76" t="n"/>
      <c r="E18" s="142" t="n"/>
      <c r="F18" s="76" t="n"/>
      <c r="G18" s="55">
        <f>IF($D18="","",IFERROR(INDEX(Expiries!$C$16:$C$31,$D18),""))</f>
        <v/>
      </c>
      <c r="H18" s="55">
        <f>IF($D18="","",IFERROR(TEXT(INDEX(Expiries!$F$16:$F$31,$D18),"dd mmm")&amp;" / "&amp;TEXT(INDEX(Expiries!$I$16:$I$31,$D18),"dd mmm"),""))</f>
        <v/>
      </c>
      <c r="I18" s="143">
        <f>IF($B18="","",IF($D18="","",IFERROR(INDEX($C$51:$R$255,MATCH($B18,$B$51:$B$255,0),$D18),"not in AS51")))</f>
        <v/>
      </c>
      <c r="J18" s="143">
        <f>IF($B18="","",IF($D18="","",IFERROR(INDEX($C$261:$R$340,MATCH($B18,$B$261:$B$340,0),$D18),"not in MXAU")))</f>
        <v/>
      </c>
      <c r="K18" s="144">
        <f>IF($C18="MXAU","",IF(ISNUMBER($E18)*ISNUMBER($I18)=0,"",IFERROR(($E18-$I18)*INDEX(Accrual!$C$16:$C$220,MATCH($B18,$B$51:$B$255,0))*INDEX(Accrual!$D$16:$D$220,MATCH($B18,$B$51:$B$255,0))/AS51!$B$3,"")))</f>
        <v/>
      </c>
      <c r="L18" s="144">
        <f>IF($C18="AS51","",IF(ISNUMBER($E18)*ISNUMBER($J18)=0,"",IFERROR(($E18-$J18)*INDEX(Accrual!$C$229:$C$308,MATCH($B18,$B$261:$B$340,0))*INDEX(Accrual!$D$229:$D$308,MATCH($B18,$B$261:$B$340,0))/MXAU!$B$3,"")))</f>
        <v/>
      </c>
      <c r="M18" s="100">
        <f>IF($B18="","",IF(COUNTIF($B$51:$B$255,$B18)+COUNTIF($B$261:$B$340,$B18)=0,"ticker? paste from the matrix below",IF($D18="","no contract # - ignored",IF(ISNUMBER($E18),IF(COUNTIFS($B$11:$B$40,$B18,$D$11:$D$40,$D18)&gt;1,"2 rows same stock+contract - they ADD","OK"),"no DPS - ignored"))))</f>
        <v/>
      </c>
      <c r="O18" s="54" t="inlineStr">
        <is>
          <t>#</t>
        </is>
      </c>
      <c r="P18" s="54" t="inlineStr">
        <is>
          <t>Contract</t>
        </is>
      </c>
      <c r="Q18" s="54" t="inlineStr">
        <is>
          <t>AS51 window
BBG DPS</t>
        </is>
      </c>
      <c r="R18" s="54" t="inlineStr">
        <is>
          <t>MXAU window
BBG DPS</t>
        </is>
      </c>
      <c r="S18" s="54" t="inlineStr">
        <is>
          <t>Your
override</t>
        </is>
      </c>
      <c r="U18" s="146" t="n"/>
      <c r="V18" s="146" t="n"/>
      <c r="W18" s="146" t="n"/>
      <c r="X18" s="146" t="n"/>
      <c r="Y18" s="146" t="n"/>
      <c r="Z18" s="146" t="n"/>
      <c r="AA18" s="146" t="n"/>
      <c r="AB18" s="146" t="n"/>
      <c r="AC18" s="146" t="n"/>
      <c r="AD18" s="146" t="n"/>
      <c r="AE18" s="146" t="n"/>
      <c r="AF18" s="146" t="n"/>
      <c r="AG18" s="146" t="n"/>
      <c r="AH18" s="146" t="n"/>
      <c r="AI18" s="146" t="n"/>
      <c r="AJ18" s="146" t="n"/>
    </row>
    <row r="19">
      <c r="B19" s="76" t="n"/>
      <c r="C19" s="76" t="n"/>
      <c r="D19" s="76" t="n"/>
      <c r="E19" s="142" t="n"/>
      <c r="F19" s="76" t="n"/>
      <c r="G19" s="55">
        <f>IF($D19="","",IFERROR(INDEX(Expiries!$C$16:$C$31,$D19),""))</f>
        <v/>
      </c>
      <c r="H19" s="55">
        <f>IF($D19="","",IFERROR(TEXT(INDEX(Expiries!$F$16:$F$31,$D19),"dd mmm")&amp;" / "&amp;TEXT(INDEX(Expiries!$I$16:$I$31,$D19),"dd mmm"),""))</f>
        <v/>
      </c>
      <c r="I19" s="143">
        <f>IF($B19="","",IF($D19="","",IFERROR(INDEX($C$51:$R$255,MATCH($B19,$B$51:$B$255,0),$D19),"not in AS51")))</f>
        <v/>
      </c>
      <c r="J19" s="143">
        <f>IF($B19="","",IF($D19="","",IFERROR(INDEX($C$261:$R$340,MATCH($B19,$B$261:$B$340,0),$D19),"not in MXAU")))</f>
        <v/>
      </c>
      <c r="K19" s="144">
        <f>IF($C19="MXAU","",IF(ISNUMBER($E19)*ISNUMBER($I19)=0,"",IFERROR(($E19-$I19)*INDEX(Accrual!$C$16:$C$220,MATCH($B19,$B$51:$B$255,0))*INDEX(Accrual!$D$16:$D$220,MATCH($B19,$B$51:$B$255,0))/AS51!$B$3,"")))</f>
        <v/>
      </c>
      <c r="L19" s="144">
        <f>IF($C19="AS51","",IF(ISNUMBER($E19)*ISNUMBER($J19)=0,"",IFERROR(($E19-$J19)*INDEX(Accrual!$C$229:$C$308,MATCH($B19,$B$261:$B$340,0))*INDEX(Accrual!$D$229:$D$308,MATCH($B19,$B$261:$B$340,0))/MXAU!$B$3,"")))</f>
        <v/>
      </c>
      <c r="M19" s="100">
        <f>IF($B19="","",IF(COUNTIF($B$51:$B$255,$B19)+COUNTIF($B$261:$B$340,$B19)=0,"ticker? paste from the matrix below",IF($D19="","no contract # - ignored",IF(ISNUMBER($E19),IF(COUNTIFS($B$11:$B$40,$B19,$D$11:$D$40,$D19)&gt;1,"2 rows same stock+contract - they ADD","OK"),"no DPS - ignored"))))</f>
        <v/>
      </c>
      <c r="O19" s="53">
        <f>IF(Expiries!$B16="","",Expiries!$B16)</f>
        <v/>
      </c>
      <c r="P19" s="55">
        <f>IF($O19="","",Expiries!$C16)</f>
        <v/>
      </c>
      <c r="Q19" s="147">
        <f>IF($O19="","",IF($P$11="","",IFERROR(INDEX($C$51:$R$255,MATCH($P$11,$B$51:$B$255,0),1),"-")))</f>
        <v/>
      </c>
      <c r="R19" s="147">
        <f>IF($O19="","",IF($P$11="","",IFERROR(INDEX($C$261:$R$340,MATCH($P$11,$B$261:$B$340,0),1),"-")))</f>
        <v/>
      </c>
      <c r="S19" s="148">
        <f>IF($O19="","",IF($P$11="","",IF(COUNTIFS($B$11:$B$40,$P$11,$D$11:$D$40,1,$E$11:$E$40,"&gt;=0")=0,"",SUMIFS($E$11:$E$40,$B$11:$B$40,$P$11,$D$11:$D$40,1))))</f>
        <v/>
      </c>
      <c r="U19" s="146" t="n"/>
      <c r="V19" s="146" t="n"/>
      <c r="W19" s="146" t="n"/>
      <c r="X19" s="146" t="n"/>
      <c r="Y19" s="146" t="n"/>
      <c r="Z19" s="146" t="n"/>
      <c r="AA19" s="146" t="n"/>
      <c r="AB19" s="146" t="n"/>
      <c r="AC19" s="146" t="n"/>
      <c r="AD19" s="146" t="n"/>
      <c r="AE19" s="146" t="n"/>
      <c r="AF19" s="146" t="n"/>
      <c r="AG19" s="146" t="n"/>
      <c r="AH19" s="146" t="n"/>
      <c r="AI19" s="146" t="n"/>
      <c r="AJ19" s="146" t="n"/>
    </row>
    <row r="20">
      <c r="B20" s="76" t="n"/>
      <c r="C20" s="76" t="n"/>
      <c r="D20" s="76" t="n"/>
      <c r="E20" s="142" t="n"/>
      <c r="F20" s="76" t="n"/>
      <c r="G20" s="55">
        <f>IF($D20="","",IFERROR(INDEX(Expiries!$C$16:$C$31,$D20),""))</f>
        <v/>
      </c>
      <c r="H20" s="55">
        <f>IF($D20="","",IFERROR(TEXT(INDEX(Expiries!$F$16:$F$31,$D20),"dd mmm")&amp;" / "&amp;TEXT(INDEX(Expiries!$I$16:$I$31,$D20),"dd mmm"),""))</f>
        <v/>
      </c>
      <c r="I20" s="143">
        <f>IF($B20="","",IF($D20="","",IFERROR(INDEX($C$51:$R$255,MATCH($B20,$B$51:$B$255,0),$D20),"not in AS51")))</f>
        <v/>
      </c>
      <c r="J20" s="143">
        <f>IF($B20="","",IF($D20="","",IFERROR(INDEX($C$261:$R$340,MATCH($B20,$B$261:$B$340,0),$D20),"not in MXAU")))</f>
        <v/>
      </c>
      <c r="K20" s="144">
        <f>IF($C20="MXAU","",IF(ISNUMBER($E20)*ISNUMBER($I20)=0,"",IFERROR(($E20-$I20)*INDEX(Accrual!$C$16:$C$220,MATCH($B20,$B$51:$B$255,0))*INDEX(Accrual!$D$16:$D$220,MATCH($B20,$B$51:$B$255,0))/AS51!$B$3,"")))</f>
        <v/>
      </c>
      <c r="L20" s="144">
        <f>IF($C20="AS51","",IF(ISNUMBER($E20)*ISNUMBER($J20)=0,"",IFERROR(($E20-$J20)*INDEX(Accrual!$C$229:$C$308,MATCH($B20,$B$261:$B$340,0))*INDEX(Accrual!$D$229:$D$308,MATCH($B20,$B$261:$B$340,0))/MXAU!$B$3,"")))</f>
        <v/>
      </c>
      <c r="M20" s="100">
        <f>IF($B20="","",IF(COUNTIF($B$51:$B$255,$B20)+COUNTIF($B$261:$B$340,$B20)=0,"ticker? paste from the matrix below",IF($D20="","no contract # - ignored",IF(ISNUMBER($E20),IF(COUNTIFS($B$11:$B$40,$B20,$D$11:$D$40,$D20)&gt;1,"2 rows same stock+contract - they ADD","OK"),"no DPS - ignored"))))</f>
        <v/>
      </c>
      <c r="O20" s="53">
        <f>IF(Expiries!$B17="","",Expiries!$B17)</f>
        <v/>
      </c>
      <c r="P20" s="55">
        <f>IF($O20="","",Expiries!$C17)</f>
        <v/>
      </c>
      <c r="Q20" s="147">
        <f>IF($O20="","",IF($P$11="","",IFERROR(INDEX($C$51:$R$255,MATCH($P$11,$B$51:$B$255,0),2),"-")))</f>
        <v/>
      </c>
      <c r="R20" s="147">
        <f>IF($O20="","",IF($P$11="","",IFERROR(INDEX($C$261:$R$340,MATCH($P$11,$B$261:$B$340,0),2),"-")))</f>
        <v/>
      </c>
      <c r="S20" s="148">
        <f>IF($O20="","",IF($P$11="","",IF(COUNTIFS($B$11:$B$40,$P$11,$D$11:$D$40,2,$E$11:$E$40,"&gt;=0")=0,"",SUMIFS($E$11:$E$40,$B$11:$B$40,$P$11,$D$11:$D$40,2))))</f>
        <v/>
      </c>
      <c r="U20" s="146" t="n"/>
      <c r="V20" s="146" t="n"/>
      <c r="W20" s="146" t="n"/>
      <c r="X20" s="146" t="n"/>
      <c r="Y20" s="146" t="n"/>
      <c r="Z20" s="146" t="n"/>
      <c r="AA20" s="146" t="n"/>
      <c r="AB20" s="146" t="n"/>
      <c r="AC20" s="146" t="n"/>
      <c r="AD20" s="146" t="n"/>
      <c r="AE20" s="146" t="n"/>
      <c r="AF20" s="146" t="n"/>
      <c r="AG20" s="146" t="n"/>
      <c r="AH20" s="146" t="n"/>
      <c r="AI20" s="146" t="n"/>
      <c r="AJ20" s="146" t="n"/>
    </row>
    <row r="21">
      <c r="B21" s="76" t="n"/>
      <c r="C21" s="76" t="n"/>
      <c r="D21" s="76" t="n"/>
      <c r="E21" s="142" t="n"/>
      <c r="F21" s="76" t="n"/>
      <c r="G21" s="55">
        <f>IF($D21="","",IFERROR(INDEX(Expiries!$C$16:$C$31,$D21),""))</f>
        <v/>
      </c>
      <c r="H21" s="55">
        <f>IF($D21="","",IFERROR(TEXT(INDEX(Expiries!$F$16:$F$31,$D21),"dd mmm")&amp;" / "&amp;TEXT(INDEX(Expiries!$I$16:$I$31,$D21),"dd mmm"),""))</f>
        <v/>
      </c>
      <c r="I21" s="143">
        <f>IF($B21="","",IF($D21="","",IFERROR(INDEX($C$51:$R$255,MATCH($B21,$B$51:$B$255,0),$D21),"not in AS51")))</f>
        <v/>
      </c>
      <c r="J21" s="143">
        <f>IF($B21="","",IF($D21="","",IFERROR(INDEX($C$261:$R$340,MATCH($B21,$B$261:$B$340,0),$D21),"not in MXAU")))</f>
        <v/>
      </c>
      <c r="K21" s="144">
        <f>IF($C21="MXAU","",IF(ISNUMBER($E21)*ISNUMBER($I21)=0,"",IFERROR(($E21-$I21)*INDEX(Accrual!$C$16:$C$220,MATCH($B21,$B$51:$B$255,0))*INDEX(Accrual!$D$16:$D$220,MATCH($B21,$B$51:$B$255,0))/AS51!$B$3,"")))</f>
        <v/>
      </c>
      <c r="L21" s="144">
        <f>IF($C21="AS51","",IF(ISNUMBER($E21)*ISNUMBER($J21)=0,"",IFERROR(($E21-$J21)*INDEX(Accrual!$C$229:$C$308,MATCH($B21,$B$261:$B$340,0))*INDEX(Accrual!$D$229:$D$308,MATCH($B21,$B$261:$B$340,0))/MXAU!$B$3,"")))</f>
        <v/>
      </c>
      <c r="M21" s="100">
        <f>IF($B21="","",IF(COUNTIF($B$51:$B$255,$B21)+COUNTIF($B$261:$B$340,$B21)=0,"ticker? paste from the matrix below",IF($D21="","no contract # - ignored",IF(ISNUMBER($E21),IF(COUNTIFS($B$11:$B$40,$B21,$D$11:$D$40,$D21)&gt;1,"2 rows same stock+contract - they ADD","OK"),"no DPS - ignored"))))</f>
        <v/>
      </c>
      <c r="O21" s="53">
        <f>IF(Expiries!$B18="","",Expiries!$B18)</f>
        <v/>
      </c>
      <c r="P21" s="55">
        <f>IF($O21="","",Expiries!$C18)</f>
        <v/>
      </c>
      <c r="Q21" s="147">
        <f>IF($O21="","",IF($P$11="","",IFERROR(INDEX($C$51:$R$255,MATCH($P$11,$B$51:$B$255,0),3),"-")))</f>
        <v/>
      </c>
      <c r="R21" s="147">
        <f>IF($O21="","",IF($P$11="","",IFERROR(INDEX($C$261:$R$340,MATCH($P$11,$B$261:$B$340,0),3),"-")))</f>
        <v/>
      </c>
      <c r="S21" s="148">
        <f>IF($O21="","",IF($P$11="","",IF(COUNTIFS($B$11:$B$40,$P$11,$D$11:$D$40,3,$E$11:$E$40,"&gt;=0")=0,"",SUMIFS($E$11:$E$40,$B$11:$B$40,$P$11,$D$11:$D$40,3))))</f>
        <v/>
      </c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</row>
    <row r="22">
      <c r="B22" s="76" t="n"/>
      <c r="C22" s="76" t="n"/>
      <c r="D22" s="76" t="n"/>
      <c r="E22" s="142" t="n"/>
      <c r="F22" s="76" t="n"/>
      <c r="G22" s="55">
        <f>IF($D22="","",IFERROR(INDEX(Expiries!$C$16:$C$31,$D22),""))</f>
        <v/>
      </c>
      <c r="H22" s="55">
        <f>IF($D22="","",IFERROR(TEXT(INDEX(Expiries!$F$16:$F$31,$D22),"dd mmm")&amp;" / "&amp;TEXT(INDEX(Expiries!$I$16:$I$31,$D22),"dd mmm"),""))</f>
        <v/>
      </c>
      <c r="I22" s="143">
        <f>IF($B22="","",IF($D22="","",IFERROR(INDEX($C$51:$R$255,MATCH($B22,$B$51:$B$255,0),$D22),"not in AS51")))</f>
        <v/>
      </c>
      <c r="J22" s="143">
        <f>IF($B22="","",IF($D22="","",IFERROR(INDEX($C$261:$R$340,MATCH($B22,$B$261:$B$340,0),$D22),"not in MXAU")))</f>
        <v/>
      </c>
      <c r="K22" s="144">
        <f>IF($C22="MXAU","",IF(ISNUMBER($E22)*ISNUMBER($I22)=0,"",IFERROR(($E22-$I22)*INDEX(Accrual!$C$16:$C$220,MATCH($B22,$B$51:$B$255,0))*INDEX(Accrual!$D$16:$D$220,MATCH($B22,$B$51:$B$255,0))/AS51!$B$3,"")))</f>
        <v/>
      </c>
      <c r="L22" s="144">
        <f>IF($C22="AS51","",IF(ISNUMBER($E22)*ISNUMBER($J22)=0,"",IFERROR(($E22-$J22)*INDEX(Accrual!$C$229:$C$308,MATCH($B22,$B$261:$B$340,0))*INDEX(Accrual!$D$229:$D$308,MATCH($B22,$B$261:$B$340,0))/MXAU!$B$3,"")))</f>
        <v/>
      </c>
      <c r="M22" s="100">
        <f>IF($B22="","",IF(COUNTIF($B$51:$B$255,$B22)+COUNTIF($B$261:$B$340,$B22)=0,"ticker? paste from the matrix below",IF($D22="","no contract # - ignored",IF(ISNUMBER($E22),IF(COUNTIFS($B$11:$B$40,$B22,$D$11:$D$40,$D22)&gt;1,"2 rows same stock+contract - they ADD","OK"),"no DPS - ignored"))))</f>
        <v/>
      </c>
      <c r="O22" s="53">
        <f>IF(Expiries!$B19="","",Expiries!$B19)</f>
        <v/>
      </c>
      <c r="P22" s="55">
        <f>IF($O22="","",Expiries!$C19)</f>
        <v/>
      </c>
      <c r="Q22" s="147">
        <f>IF($O22="","",IF($P$11="","",IFERROR(INDEX($C$51:$R$255,MATCH($P$11,$B$51:$B$255,0),4),"-")))</f>
        <v/>
      </c>
      <c r="R22" s="147">
        <f>IF($O22="","",IF($P$11="","",IFERROR(INDEX($C$261:$R$340,MATCH($P$11,$B$261:$B$340,0),4),"-")))</f>
        <v/>
      </c>
      <c r="S22" s="148">
        <f>IF($O22="","",IF($P$11="","",IF(COUNTIFS($B$11:$B$40,$P$11,$D$11:$D$40,4,$E$11:$E$40,"&gt;=0")=0,"",SUMIFS($E$11:$E$40,$B$11:$B$40,$P$11,$D$11:$D$40,4))))</f>
        <v/>
      </c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</row>
    <row r="23">
      <c r="B23" s="76" t="n"/>
      <c r="C23" s="76" t="n"/>
      <c r="D23" s="76" t="n"/>
      <c r="E23" s="142" t="n"/>
      <c r="F23" s="76" t="n"/>
      <c r="G23" s="55">
        <f>IF($D23="","",IFERROR(INDEX(Expiries!$C$16:$C$31,$D23),""))</f>
        <v/>
      </c>
      <c r="H23" s="55">
        <f>IF($D23="","",IFERROR(TEXT(INDEX(Expiries!$F$16:$F$31,$D23),"dd mmm")&amp;" / "&amp;TEXT(INDEX(Expiries!$I$16:$I$31,$D23),"dd mmm"),""))</f>
        <v/>
      </c>
      <c r="I23" s="143">
        <f>IF($B23="","",IF($D23="","",IFERROR(INDEX($C$51:$R$255,MATCH($B23,$B$51:$B$255,0),$D23),"not in AS51")))</f>
        <v/>
      </c>
      <c r="J23" s="143">
        <f>IF($B23="","",IF($D23="","",IFERROR(INDEX($C$261:$R$340,MATCH($B23,$B$261:$B$340,0),$D23),"not in MXAU")))</f>
        <v/>
      </c>
      <c r="K23" s="144">
        <f>IF($C23="MXAU","",IF(ISNUMBER($E23)*ISNUMBER($I23)=0,"",IFERROR(($E23-$I23)*INDEX(Accrual!$C$16:$C$220,MATCH($B23,$B$51:$B$255,0))*INDEX(Accrual!$D$16:$D$220,MATCH($B23,$B$51:$B$255,0))/AS51!$B$3,"")))</f>
        <v/>
      </c>
      <c r="L23" s="144">
        <f>IF($C23="AS51","",IF(ISNUMBER($E23)*ISNUMBER($J23)=0,"",IFERROR(($E23-$J23)*INDEX(Accrual!$C$229:$C$308,MATCH($B23,$B$261:$B$340,0))*INDEX(Accrual!$D$229:$D$308,MATCH($B23,$B$261:$B$340,0))/MXAU!$B$3,"")))</f>
        <v/>
      </c>
      <c r="M23" s="100">
        <f>IF($B23="","",IF(COUNTIF($B$51:$B$255,$B23)+COUNTIF($B$261:$B$340,$B23)=0,"ticker? paste from the matrix below",IF($D23="","no contract # - ignored",IF(ISNUMBER($E23),IF(COUNTIFS($B$11:$B$40,$B23,$D$11:$D$40,$D23)&gt;1,"2 rows same stock+contract - they ADD","OK"),"no DPS - ignored"))))</f>
        <v/>
      </c>
      <c r="O23" s="53">
        <f>IF(Expiries!$B20="","",Expiries!$B20)</f>
        <v/>
      </c>
      <c r="P23" s="55">
        <f>IF($O23="","",Expiries!$C20)</f>
        <v/>
      </c>
      <c r="Q23" s="147">
        <f>IF($O23="","",IF($P$11="","",IFERROR(INDEX($C$51:$R$255,MATCH($P$11,$B$51:$B$255,0),5),"-")))</f>
        <v/>
      </c>
      <c r="R23" s="147">
        <f>IF($O23="","",IF($P$11="","",IFERROR(INDEX($C$261:$R$340,MATCH($P$11,$B$261:$B$340,0),5),"-")))</f>
        <v/>
      </c>
      <c r="S23" s="148">
        <f>IF($O23="","",IF($P$11="","",IF(COUNTIFS($B$11:$B$40,$P$11,$D$11:$D$40,5,$E$11:$E$40,"&gt;=0")=0,"",SUMIFS($E$11:$E$40,$B$11:$B$40,$P$11,$D$11:$D$40,5))))</f>
        <v/>
      </c>
      <c r="U23" s="146" t="n"/>
      <c r="V23" s="146" t="n"/>
      <c r="W23" s="146" t="n"/>
      <c r="X23" s="146" t="n"/>
      <c r="Y23" s="146" t="n"/>
      <c r="Z23" s="146" t="n"/>
      <c r="AA23" s="146" t="n"/>
      <c r="AB23" s="146" t="n"/>
      <c r="AC23" s="146" t="n"/>
      <c r="AD23" s="146" t="n"/>
      <c r="AE23" s="146" t="n"/>
      <c r="AF23" s="146" t="n"/>
      <c r="AG23" s="146" t="n"/>
      <c r="AH23" s="146" t="n"/>
      <c r="AI23" s="146" t="n"/>
      <c r="AJ23" s="146" t="n"/>
    </row>
    <row r="24">
      <c r="B24" s="76" t="n"/>
      <c r="C24" s="76" t="n"/>
      <c r="D24" s="76" t="n"/>
      <c r="E24" s="142" t="n"/>
      <c r="F24" s="76" t="n"/>
      <c r="G24" s="55">
        <f>IF($D24="","",IFERROR(INDEX(Expiries!$C$16:$C$31,$D24),""))</f>
        <v/>
      </c>
      <c r="H24" s="55">
        <f>IF($D24="","",IFERROR(TEXT(INDEX(Expiries!$F$16:$F$31,$D24),"dd mmm")&amp;" / "&amp;TEXT(INDEX(Expiries!$I$16:$I$31,$D24),"dd mmm"),""))</f>
        <v/>
      </c>
      <c r="I24" s="143">
        <f>IF($B24="","",IF($D24="","",IFERROR(INDEX($C$51:$R$255,MATCH($B24,$B$51:$B$255,0),$D24),"not in AS51")))</f>
        <v/>
      </c>
      <c r="J24" s="143">
        <f>IF($B24="","",IF($D24="","",IFERROR(INDEX($C$261:$R$340,MATCH($B24,$B$261:$B$340,0),$D24),"not in MXAU")))</f>
        <v/>
      </c>
      <c r="K24" s="144">
        <f>IF($C24="MXAU","",IF(ISNUMBER($E24)*ISNUMBER($I24)=0,"",IFERROR(($E24-$I24)*INDEX(Accrual!$C$16:$C$220,MATCH($B24,$B$51:$B$255,0))*INDEX(Accrual!$D$16:$D$220,MATCH($B24,$B$51:$B$255,0))/AS51!$B$3,"")))</f>
        <v/>
      </c>
      <c r="L24" s="144">
        <f>IF($C24="AS51","",IF(ISNUMBER($E24)*ISNUMBER($J24)=0,"",IFERROR(($E24-$J24)*INDEX(Accrual!$C$229:$C$308,MATCH($B24,$B$261:$B$340,0))*INDEX(Accrual!$D$229:$D$308,MATCH($B24,$B$261:$B$340,0))/MXAU!$B$3,"")))</f>
        <v/>
      </c>
      <c r="M24" s="100">
        <f>IF($B24="","",IF(COUNTIF($B$51:$B$255,$B24)+COUNTIF($B$261:$B$340,$B24)=0,"ticker? paste from the matrix below",IF($D24="","no contract # - ignored",IF(ISNUMBER($E24),IF(COUNTIFS($B$11:$B$40,$B24,$D$11:$D$40,$D24)&gt;1,"2 rows same stock+contract - they ADD","OK"),"no DPS - ignored"))))</f>
        <v/>
      </c>
      <c r="O24" s="53">
        <f>IF(Expiries!$B21="","",Expiries!$B21)</f>
        <v/>
      </c>
      <c r="P24" s="55">
        <f>IF($O24="","",Expiries!$C21)</f>
        <v/>
      </c>
      <c r="Q24" s="147">
        <f>IF($O24="","",IF($P$11="","",IFERROR(INDEX($C$51:$R$255,MATCH($P$11,$B$51:$B$255,0),6),"-")))</f>
        <v/>
      </c>
      <c r="R24" s="147">
        <f>IF($O24="","",IF($P$11="","",IFERROR(INDEX($C$261:$R$340,MATCH($P$11,$B$261:$B$340,0),6),"-")))</f>
        <v/>
      </c>
      <c r="S24" s="148">
        <f>IF($O24="","",IF($P$11="","",IF(COUNTIFS($B$11:$B$40,$P$11,$D$11:$D$40,6,$E$11:$E$40,"&gt;=0")=0,"",SUMIFS($E$11:$E$40,$B$11:$B$40,$P$11,$D$11:$D$40,6))))</f>
        <v/>
      </c>
      <c r="U24" s="146" t="n"/>
      <c r="V24" s="146" t="n"/>
      <c r="W24" s="146" t="n"/>
      <c r="X24" s="146" t="n"/>
      <c r="Y24" s="146" t="n"/>
      <c r="Z24" s="146" t="n"/>
      <c r="AA24" s="146" t="n"/>
      <c r="AB24" s="146" t="n"/>
      <c r="AC24" s="146" t="n"/>
      <c r="AD24" s="146" t="n"/>
      <c r="AE24" s="146" t="n"/>
      <c r="AF24" s="146" t="n"/>
      <c r="AG24" s="146" t="n"/>
      <c r="AH24" s="146" t="n"/>
      <c r="AI24" s="146" t="n"/>
      <c r="AJ24" s="146" t="n"/>
    </row>
    <row r="25">
      <c r="B25" s="76" t="n"/>
      <c r="C25" s="76" t="n"/>
      <c r="D25" s="76" t="n"/>
      <c r="E25" s="142" t="n"/>
      <c r="F25" s="76" t="n"/>
      <c r="G25" s="55">
        <f>IF($D25="","",IFERROR(INDEX(Expiries!$C$16:$C$31,$D25),""))</f>
        <v/>
      </c>
      <c r="H25" s="55">
        <f>IF($D25="","",IFERROR(TEXT(INDEX(Expiries!$F$16:$F$31,$D25),"dd mmm")&amp;" / "&amp;TEXT(INDEX(Expiries!$I$16:$I$31,$D25),"dd mmm"),""))</f>
        <v/>
      </c>
      <c r="I25" s="143">
        <f>IF($B25="","",IF($D25="","",IFERROR(INDEX($C$51:$R$255,MATCH($B25,$B$51:$B$255,0),$D25),"not in AS51")))</f>
        <v/>
      </c>
      <c r="J25" s="143">
        <f>IF($B25="","",IF($D25="","",IFERROR(INDEX($C$261:$R$340,MATCH($B25,$B$261:$B$340,0),$D25),"not in MXAU")))</f>
        <v/>
      </c>
      <c r="K25" s="144">
        <f>IF($C25="MXAU","",IF(ISNUMBER($E25)*ISNUMBER($I25)=0,"",IFERROR(($E25-$I25)*INDEX(Accrual!$C$16:$C$220,MATCH($B25,$B$51:$B$255,0))*INDEX(Accrual!$D$16:$D$220,MATCH($B25,$B$51:$B$255,0))/AS51!$B$3,"")))</f>
        <v/>
      </c>
      <c r="L25" s="144">
        <f>IF($C25="AS51","",IF(ISNUMBER($E25)*ISNUMBER($J25)=0,"",IFERROR(($E25-$J25)*INDEX(Accrual!$C$229:$C$308,MATCH($B25,$B$261:$B$340,0))*INDEX(Accrual!$D$229:$D$308,MATCH($B25,$B$261:$B$340,0))/MXAU!$B$3,"")))</f>
        <v/>
      </c>
      <c r="M25" s="100">
        <f>IF($B25="","",IF(COUNTIF($B$51:$B$255,$B25)+COUNTIF($B$261:$B$340,$B25)=0,"ticker? paste from the matrix below",IF($D25="","no contract # - ignored",IF(ISNUMBER($E25),IF(COUNTIFS($B$11:$B$40,$B25,$D$11:$D$40,$D25)&gt;1,"2 rows same stock+contract - they ADD","OK"),"no DPS - ignored"))))</f>
        <v/>
      </c>
      <c r="O25" s="53">
        <f>IF(Expiries!$B22="","",Expiries!$B22)</f>
        <v/>
      </c>
      <c r="P25" s="55">
        <f>IF($O25="","",Expiries!$C22)</f>
        <v/>
      </c>
      <c r="Q25" s="147">
        <f>IF($O25="","",IF($P$11="","",IFERROR(INDEX($C$51:$R$255,MATCH($P$11,$B$51:$B$255,0),7),"-")))</f>
        <v/>
      </c>
      <c r="R25" s="147">
        <f>IF($O25="","",IF($P$11="","",IFERROR(INDEX($C$261:$R$340,MATCH($P$11,$B$261:$B$340,0),7),"-")))</f>
        <v/>
      </c>
      <c r="S25" s="148">
        <f>IF($O25="","",IF($P$11="","",IF(COUNTIFS($B$11:$B$40,$P$11,$D$11:$D$40,7,$E$11:$E$40,"&gt;=0")=0,"",SUMIFS($E$11:$E$40,$B$11:$B$40,$P$11,$D$11:$D$40,7))))</f>
        <v/>
      </c>
      <c r="U25" s="146" t="n"/>
      <c r="V25" s="146" t="n"/>
      <c r="W25" s="146" t="n"/>
      <c r="X25" s="146" t="n"/>
      <c r="Y25" s="146" t="n"/>
      <c r="Z25" s="146" t="n"/>
      <c r="AA25" s="146" t="n"/>
      <c r="AB25" s="146" t="n"/>
      <c r="AC25" s="146" t="n"/>
      <c r="AD25" s="146" t="n"/>
      <c r="AE25" s="146" t="n"/>
      <c r="AF25" s="146" t="n"/>
      <c r="AG25" s="146" t="n"/>
      <c r="AH25" s="146" t="n"/>
      <c r="AI25" s="146" t="n"/>
      <c r="AJ25" s="146" t="n"/>
    </row>
    <row r="26">
      <c r="B26" s="76" t="n"/>
      <c r="C26" s="76" t="n"/>
      <c r="D26" s="76" t="n"/>
      <c r="E26" s="142" t="n"/>
      <c r="F26" s="76" t="n"/>
      <c r="G26" s="55">
        <f>IF($D26="","",IFERROR(INDEX(Expiries!$C$16:$C$31,$D26),""))</f>
        <v/>
      </c>
      <c r="H26" s="55">
        <f>IF($D26="","",IFERROR(TEXT(INDEX(Expiries!$F$16:$F$31,$D26),"dd mmm")&amp;" / "&amp;TEXT(INDEX(Expiries!$I$16:$I$31,$D26),"dd mmm"),""))</f>
        <v/>
      </c>
      <c r="I26" s="143">
        <f>IF($B26="","",IF($D26="","",IFERROR(INDEX($C$51:$R$255,MATCH($B26,$B$51:$B$255,0),$D26),"not in AS51")))</f>
        <v/>
      </c>
      <c r="J26" s="143">
        <f>IF($B26="","",IF($D26="","",IFERROR(INDEX($C$261:$R$340,MATCH($B26,$B$261:$B$340,0),$D26),"not in MXAU")))</f>
        <v/>
      </c>
      <c r="K26" s="144">
        <f>IF($C26="MXAU","",IF(ISNUMBER($E26)*ISNUMBER($I26)=0,"",IFERROR(($E26-$I26)*INDEX(Accrual!$C$16:$C$220,MATCH($B26,$B$51:$B$255,0))*INDEX(Accrual!$D$16:$D$220,MATCH($B26,$B$51:$B$255,0))/AS51!$B$3,"")))</f>
        <v/>
      </c>
      <c r="L26" s="144">
        <f>IF($C26="AS51","",IF(ISNUMBER($E26)*ISNUMBER($J26)=0,"",IFERROR(($E26-$J26)*INDEX(Accrual!$C$229:$C$308,MATCH($B26,$B$261:$B$340,0))*INDEX(Accrual!$D$229:$D$308,MATCH($B26,$B$261:$B$340,0))/MXAU!$B$3,"")))</f>
        <v/>
      </c>
      <c r="M26" s="100">
        <f>IF($B26="","",IF(COUNTIF($B$51:$B$255,$B26)+COUNTIF($B$261:$B$340,$B26)=0,"ticker? paste from the matrix below",IF($D26="","no contract # - ignored",IF(ISNUMBER($E26),IF(COUNTIFS($B$11:$B$40,$B26,$D$11:$D$40,$D26)&gt;1,"2 rows same stock+contract - they ADD","OK"),"no DPS - ignored"))))</f>
        <v/>
      </c>
      <c r="O26" s="53">
        <f>IF(Expiries!$B23="","",Expiries!$B23)</f>
        <v/>
      </c>
      <c r="P26" s="55">
        <f>IF($O26="","",Expiries!$C23)</f>
        <v/>
      </c>
      <c r="Q26" s="147">
        <f>IF($O26="","",IF($P$11="","",IFERROR(INDEX($C$51:$R$255,MATCH($P$11,$B$51:$B$255,0),8),"-")))</f>
        <v/>
      </c>
      <c r="R26" s="147">
        <f>IF($O26="","",IF($P$11="","",IFERROR(INDEX($C$261:$R$340,MATCH($P$11,$B$261:$B$340,0),8),"-")))</f>
        <v/>
      </c>
      <c r="S26" s="148">
        <f>IF($O26="","",IF($P$11="","",IF(COUNTIFS($B$11:$B$40,$P$11,$D$11:$D$40,8,$E$11:$E$40,"&gt;=0")=0,"",SUMIFS($E$11:$E$40,$B$11:$B$40,$P$11,$D$11:$D$40,8))))</f>
        <v/>
      </c>
      <c r="U26" s="146" t="n"/>
      <c r="V26" s="146" t="n"/>
      <c r="W26" s="146" t="n"/>
      <c r="X26" s="146" t="n"/>
      <c r="Y26" s="146" t="n"/>
      <c r="Z26" s="146" t="n"/>
      <c r="AA26" s="146" t="n"/>
      <c r="AB26" s="146" t="n"/>
      <c r="AC26" s="146" t="n"/>
      <c r="AD26" s="146" t="n"/>
      <c r="AE26" s="146" t="n"/>
      <c r="AF26" s="146" t="n"/>
      <c r="AG26" s="146" t="n"/>
      <c r="AH26" s="146" t="n"/>
      <c r="AI26" s="146" t="n"/>
      <c r="AJ26" s="146" t="n"/>
    </row>
    <row r="27">
      <c r="B27" s="76" t="n"/>
      <c r="C27" s="76" t="n"/>
      <c r="D27" s="76" t="n"/>
      <c r="E27" s="142" t="n"/>
      <c r="F27" s="76" t="n"/>
      <c r="G27" s="55">
        <f>IF($D27="","",IFERROR(INDEX(Expiries!$C$16:$C$31,$D27),""))</f>
        <v/>
      </c>
      <c r="H27" s="55">
        <f>IF($D27="","",IFERROR(TEXT(INDEX(Expiries!$F$16:$F$31,$D27),"dd mmm")&amp;" / "&amp;TEXT(INDEX(Expiries!$I$16:$I$31,$D27),"dd mmm"),""))</f>
        <v/>
      </c>
      <c r="I27" s="143">
        <f>IF($B27="","",IF($D27="","",IFERROR(INDEX($C$51:$R$255,MATCH($B27,$B$51:$B$255,0),$D27),"not in AS51")))</f>
        <v/>
      </c>
      <c r="J27" s="143">
        <f>IF($B27="","",IF($D27="","",IFERROR(INDEX($C$261:$R$340,MATCH($B27,$B$261:$B$340,0),$D27),"not in MXAU")))</f>
        <v/>
      </c>
      <c r="K27" s="144">
        <f>IF($C27="MXAU","",IF(ISNUMBER($E27)*ISNUMBER($I27)=0,"",IFERROR(($E27-$I27)*INDEX(Accrual!$C$16:$C$220,MATCH($B27,$B$51:$B$255,0))*INDEX(Accrual!$D$16:$D$220,MATCH($B27,$B$51:$B$255,0))/AS51!$B$3,"")))</f>
        <v/>
      </c>
      <c r="L27" s="144">
        <f>IF($C27="AS51","",IF(ISNUMBER($E27)*ISNUMBER($J27)=0,"",IFERROR(($E27-$J27)*INDEX(Accrual!$C$229:$C$308,MATCH($B27,$B$261:$B$340,0))*INDEX(Accrual!$D$229:$D$308,MATCH($B27,$B$261:$B$340,0))/MXAU!$B$3,"")))</f>
        <v/>
      </c>
      <c r="M27" s="100">
        <f>IF($B27="","",IF(COUNTIF($B$51:$B$255,$B27)+COUNTIF($B$261:$B$340,$B27)=0,"ticker? paste from the matrix below",IF($D27="","no contract # - ignored",IF(ISNUMBER($E27),IF(COUNTIFS($B$11:$B$40,$B27,$D$11:$D$40,$D27)&gt;1,"2 rows same stock+contract - they ADD","OK"),"no DPS - ignored"))))</f>
        <v/>
      </c>
      <c r="O27" s="53">
        <f>IF(Expiries!$B24="","",Expiries!$B24)</f>
        <v/>
      </c>
      <c r="P27" s="55">
        <f>IF($O27="","",Expiries!$C24)</f>
        <v/>
      </c>
      <c r="Q27" s="147">
        <f>IF($O27="","",IF($P$11="","",IFERROR(INDEX($C$51:$R$255,MATCH($P$11,$B$51:$B$255,0),9),"-")))</f>
        <v/>
      </c>
      <c r="R27" s="147">
        <f>IF($O27="","",IF($P$11="","",IFERROR(INDEX($C$261:$R$340,MATCH($P$11,$B$261:$B$340,0),9),"-")))</f>
        <v/>
      </c>
      <c r="S27" s="148">
        <f>IF($O27="","",IF($P$11="","",IF(COUNTIFS($B$11:$B$40,$P$11,$D$11:$D$40,9,$E$11:$E$40,"&gt;=0")=0,"",SUMIFS($E$11:$E$40,$B$11:$B$40,$P$11,$D$11:$D$40,9))))</f>
        <v/>
      </c>
      <c r="U27" s="146" t="n"/>
      <c r="V27" s="146" t="n"/>
      <c r="W27" s="146" t="n"/>
      <c r="X27" s="146" t="n"/>
      <c r="Y27" s="146" t="n"/>
      <c r="Z27" s="146" t="n"/>
      <c r="AA27" s="146" t="n"/>
      <c r="AB27" s="146" t="n"/>
      <c r="AC27" s="146" t="n"/>
      <c r="AD27" s="146" t="n"/>
      <c r="AE27" s="146" t="n"/>
      <c r="AF27" s="146" t="n"/>
      <c r="AG27" s="146" t="n"/>
      <c r="AH27" s="146" t="n"/>
      <c r="AI27" s="146" t="n"/>
      <c r="AJ27" s="146" t="n"/>
    </row>
    <row r="28">
      <c r="B28" s="76" t="n"/>
      <c r="C28" s="76" t="n"/>
      <c r="D28" s="76" t="n"/>
      <c r="E28" s="142" t="n"/>
      <c r="F28" s="76" t="n"/>
      <c r="G28" s="55">
        <f>IF($D28="","",IFERROR(INDEX(Expiries!$C$16:$C$31,$D28),""))</f>
        <v/>
      </c>
      <c r="H28" s="55">
        <f>IF($D28="","",IFERROR(TEXT(INDEX(Expiries!$F$16:$F$31,$D28),"dd mmm")&amp;" / "&amp;TEXT(INDEX(Expiries!$I$16:$I$31,$D28),"dd mmm"),""))</f>
        <v/>
      </c>
      <c r="I28" s="143">
        <f>IF($B28="","",IF($D28="","",IFERROR(INDEX($C$51:$R$255,MATCH($B28,$B$51:$B$255,0),$D28),"not in AS51")))</f>
        <v/>
      </c>
      <c r="J28" s="143">
        <f>IF($B28="","",IF($D28="","",IFERROR(INDEX($C$261:$R$340,MATCH($B28,$B$261:$B$340,0),$D28),"not in MXAU")))</f>
        <v/>
      </c>
      <c r="K28" s="144">
        <f>IF($C28="MXAU","",IF(ISNUMBER($E28)*ISNUMBER($I28)=0,"",IFERROR(($E28-$I28)*INDEX(Accrual!$C$16:$C$220,MATCH($B28,$B$51:$B$255,0))*INDEX(Accrual!$D$16:$D$220,MATCH($B28,$B$51:$B$255,0))/AS51!$B$3,"")))</f>
        <v/>
      </c>
      <c r="L28" s="144">
        <f>IF($C28="AS51","",IF(ISNUMBER($E28)*ISNUMBER($J28)=0,"",IFERROR(($E28-$J28)*INDEX(Accrual!$C$229:$C$308,MATCH($B28,$B$261:$B$340,0))*INDEX(Accrual!$D$229:$D$308,MATCH($B28,$B$261:$B$340,0))/MXAU!$B$3,"")))</f>
        <v/>
      </c>
      <c r="M28" s="100">
        <f>IF($B28="","",IF(COUNTIF($B$51:$B$255,$B28)+COUNTIF($B$261:$B$340,$B28)=0,"ticker? paste from the matrix below",IF($D28="","no contract # - ignored",IF(ISNUMBER($E28),IF(COUNTIFS($B$11:$B$40,$B28,$D$11:$D$40,$D28)&gt;1,"2 rows same stock+contract - they ADD","OK"),"no DPS - ignored"))))</f>
        <v/>
      </c>
      <c r="O28" s="53">
        <f>IF(Expiries!$B25="","",Expiries!$B25)</f>
        <v/>
      </c>
      <c r="P28" s="55">
        <f>IF($O28="","",Expiries!$C25)</f>
        <v/>
      </c>
      <c r="Q28" s="147">
        <f>IF($O28="","",IF($P$11="","",IFERROR(INDEX($C$51:$R$255,MATCH($P$11,$B$51:$B$255,0),10),"-")))</f>
        <v/>
      </c>
      <c r="R28" s="147">
        <f>IF($O28="","",IF($P$11="","",IFERROR(INDEX($C$261:$R$340,MATCH($P$11,$B$261:$B$340,0),10),"-")))</f>
        <v/>
      </c>
      <c r="S28" s="148">
        <f>IF($O28="","",IF($P$11="","",IF(COUNTIFS($B$11:$B$40,$P$11,$D$11:$D$40,10,$E$11:$E$40,"&gt;=0")=0,"",SUMIFS($E$11:$E$40,$B$11:$B$40,$P$11,$D$11:$D$40,10))))</f>
        <v/>
      </c>
      <c r="U28" s="146" t="n"/>
      <c r="V28" s="146" t="n"/>
      <c r="W28" s="146" t="n"/>
      <c r="X28" s="146" t="n"/>
      <c r="Y28" s="146" t="n"/>
      <c r="Z28" s="146" t="n"/>
      <c r="AA28" s="146" t="n"/>
      <c r="AB28" s="146" t="n"/>
      <c r="AC28" s="146" t="n"/>
      <c r="AD28" s="146" t="n"/>
      <c r="AE28" s="146" t="n"/>
      <c r="AF28" s="146" t="n"/>
      <c r="AG28" s="146" t="n"/>
      <c r="AH28" s="146" t="n"/>
      <c r="AI28" s="146" t="n"/>
      <c r="AJ28" s="146" t="n"/>
    </row>
    <row r="29">
      <c r="B29" s="76" t="n"/>
      <c r="C29" s="76" t="n"/>
      <c r="D29" s="76" t="n"/>
      <c r="E29" s="142" t="n"/>
      <c r="F29" s="76" t="n"/>
      <c r="G29" s="55">
        <f>IF($D29="","",IFERROR(INDEX(Expiries!$C$16:$C$31,$D29),""))</f>
        <v/>
      </c>
      <c r="H29" s="55">
        <f>IF($D29="","",IFERROR(TEXT(INDEX(Expiries!$F$16:$F$31,$D29),"dd mmm")&amp;" / "&amp;TEXT(INDEX(Expiries!$I$16:$I$31,$D29),"dd mmm"),""))</f>
        <v/>
      </c>
      <c r="I29" s="143">
        <f>IF($B29="","",IF($D29="","",IFERROR(INDEX($C$51:$R$255,MATCH($B29,$B$51:$B$255,0),$D29),"not in AS51")))</f>
        <v/>
      </c>
      <c r="J29" s="143">
        <f>IF($B29="","",IF($D29="","",IFERROR(INDEX($C$261:$R$340,MATCH($B29,$B$261:$B$340,0),$D29),"not in MXAU")))</f>
        <v/>
      </c>
      <c r="K29" s="144">
        <f>IF($C29="MXAU","",IF(ISNUMBER($E29)*ISNUMBER($I29)=0,"",IFERROR(($E29-$I29)*INDEX(Accrual!$C$16:$C$220,MATCH($B29,$B$51:$B$255,0))*INDEX(Accrual!$D$16:$D$220,MATCH($B29,$B$51:$B$255,0))/AS51!$B$3,"")))</f>
        <v/>
      </c>
      <c r="L29" s="144">
        <f>IF($C29="AS51","",IF(ISNUMBER($E29)*ISNUMBER($J29)=0,"",IFERROR(($E29-$J29)*INDEX(Accrual!$C$229:$C$308,MATCH($B29,$B$261:$B$340,0))*INDEX(Accrual!$D$229:$D$308,MATCH($B29,$B$261:$B$340,0))/MXAU!$B$3,"")))</f>
        <v/>
      </c>
      <c r="M29" s="100">
        <f>IF($B29="","",IF(COUNTIF($B$51:$B$255,$B29)+COUNTIF($B$261:$B$340,$B29)=0,"ticker? paste from the matrix below",IF($D29="","no contract # - ignored",IF(ISNUMBER($E29),IF(COUNTIFS($B$11:$B$40,$B29,$D$11:$D$40,$D29)&gt;1,"2 rows same stock+contract - they ADD","OK"),"no DPS - ignored"))))</f>
        <v/>
      </c>
      <c r="O29" s="53">
        <f>IF(Expiries!$B26="","",Expiries!$B26)</f>
        <v/>
      </c>
      <c r="P29" s="55">
        <f>IF($O29="","",Expiries!$C26)</f>
        <v/>
      </c>
      <c r="Q29" s="147">
        <f>IF($O29="","",IF($P$11="","",IFERROR(INDEX($C$51:$R$255,MATCH($P$11,$B$51:$B$255,0),11),"-")))</f>
        <v/>
      </c>
      <c r="R29" s="147">
        <f>IF($O29="","",IF($P$11="","",IFERROR(INDEX($C$261:$R$340,MATCH($P$11,$B$261:$B$340,0),11),"-")))</f>
        <v/>
      </c>
      <c r="S29" s="148">
        <f>IF($O29="","",IF($P$11="","",IF(COUNTIFS($B$11:$B$40,$P$11,$D$11:$D$40,11,$E$11:$E$40,"&gt;=0")=0,"",SUMIFS($E$11:$E$40,$B$11:$B$40,$P$11,$D$11:$D$40,11))))</f>
        <v/>
      </c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</row>
    <row r="30">
      <c r="B30" s="76" t="n"/>
      <c r="C30" s="76" t="n"/>
      <c r="D30" s="76" t="n"/>
      <c r="E30" s="142" t="n"/>
      <c r="F30" s="76" t="n"/>
      <c r="G30" s="55">
        <f>IF($D30="","",IFERROR(INDEX(Expiries!$C$16:$C$31,$D30),""))</f>
        <v/>
      </c>
      <c r="H30" s="55">
        <f>IF($D30="","",IFERROR(TEXT(INDEX(Expiries!$F$16:$F$31,$D30),"dd mmm")&amp;" / "&amp;TEXT(INDEX(Expiries!$I$16:$I$31,$D30),"dd mmm"),""))</f>
        <v/>
      </c>
      <c r="I30" s="143">
        <f>IF($B30="","",IF($D30="","",IFERROR(INDEX($C$51:$R$255,MATCH($B30,$B$51:$B$255,0),$D30),"not in AS51")))</f>
        <v/>
      </c>
      <c r="J30" s="143">
        <f>IF($B30="","",IF($D30="","",IFERROR(INDEX($C$261:$R$340,MATCH($B30,$B$261:$B$340,0),$D30),"not in MXAU")))</f>
        <v/>
      </c>
      <c r="K30" s="144">
        <f>IF($C30="MXAU","",IF(ISNUMBER($E30)*ISNUMBER($I30)=0,"",IFERROR(($E30-$I30)*INDEX(Accrual!$C$16:$C$220,MATCH($B30,$B$51:$B$255,0))*INDEX(Accrual!$D$16:$D$220,MATCH($B30,$B$51:$B$255,0))/AS51!$B$3,"")))</f>
        <v/>
      </c>
      <c r="L30" s="144">
        <f>IF($C30="AS51","",IF(ISNUMBER($E30)*ISNUMBER($J30)=0,"",IFERROR(($E30-$J30)*INDEX(Accrual!$C$229:$C$308,MATCH($B30,$B$261:$B$340,0))*INDEX(Accrual!$D$229:$D$308,MATCH($B30,$B$261:$B$340,0))/MXAU!$B$3,"")))</f>
        <v/>
      </c>
      <c r="M30" s="100">
        <f>IF($B30="","",IF(COUNTIF($B$51:$B$255,$B30)+COUNTIF($B$261:$B$340,$B30)=0,"ticker? paste from the matrix below",IF($D30="","no contract # - ignored",IF(ISNUMBER($E30),IF(COUNTIFS($B$11:$B$40,$B30,$D$11:$D$40,$D30)&gt;1,"2 rows same stock+contract - they ADD","OK"),"no DPS - ignored"))))</f>
        <v/>
      </c>
      <c r="O30" s="53">
        <f>IF(Expiries!$B27="","",Expiries!$B27)</f>
        <v/>
      </c>
      <c r="P30" s="55">
        <f>IF($O30="","",Expiries!$C27)</f>
        <v/>
      </c>
      <c r="Q30" s="147">
        <f>IF($O30="","",IF($P$11="","",IFERROR(INDEX($C$51:$R$255,MATCH($P$11,$B$51:$B$255,0),12),"-")))</f>
        <v/>
      </c>
      <c r="R30" s="147">
        <f>IF($O30="","",IF($P$11="","",IFERROR(INDEX($C$261:$R$340,MATCH($P$11,$B$261:$B$340,0),12),"-")))</f>
        <v/>
      </c>
      <c r="S30" s="148">
        <f>IF($O30="","",IF($P$11="","",IF(COUNTIFS($B$11:$B$40,$P$11,$D$11:$D$40,12,$E$11:$E$40,"&gt;=0")=0,"",SUMIFS($E$11:$E$40,$B$11:$B$40,$P$11,$D$11:$D$40,12))))</f>
        <v/>
      </c>
      <c r="U30" s="146" t="n"/>
      <c r="V30" s="146" t="n"/>
      <c r="W30" s="146" t="n"/>
      <c r="X30" s="146" t="n"/>
      <c r="Y30" s="146" t="n"/>
      <c r="Z30" s="146" t="n"/>
      <c r="AA30" s="146" t="n"/>
      <c r="AB30" s="146" t="n"/>
      <c r="AC30" s="146" t="n"/>
      <c r="AD30" s="146" t="n"/>
      <c r="AE30" s="146" t="n"/>
      <c r="AF30" s="146" t="n"/>
      <c r="AG30" s="146" t="n"/>
      <c r="AH30" s="146" t="n"/>
      <c r="AI30" s="146" t="n"/>
      <c r="AJ30" s="146" t="n"/>
    </row>
    <row r="31">
      <c r="B31" s="76" t="n"/>
      <c r="C31" s="76" t="n"/>
      <c r="D31" s="76" t="n"/>
      <c r="E31" s="142" t="n"/>
      <c r="F31" s="76" t="n"/>
      <c r="G31" s="55">
        <f>IF($D31="","",IFERROR(INDEX(Expiries!$C$16:$C$31,$D31),""))</f>
        <v/>
      </c>
      <c r="H31" s="55">
        <f>IF($D31="","",IFERROR(TEXT(INDEX(Expiries!$F$16:$F$31,$D31),"dd mmm")&amp;" / "&amp;TEXT(INDEX(Expiries!$I$16:$I$31,$D31),"dd mmm"),""))</f>
        <v/>
      </c>
      <c r="I31" s="143">
        <f>IF($B31="","",IF($D31="","",IFERROR(INDEX($C$51:$R$255,MATCH($B31,$B$51:$B$255,0),$D31),"not in AS51")))</f>
        <v/>
      </c>
      <c r="J31" s="143">
        <f>IF($B31="","",IF($D31="","",IFERROR(INDEX($C$261:$R$340,MATCH($B31,$B$261:$B$340,0),$D31),"not in MXAU")))</f>
        <v/>
      </c>
      <c r="K31" s="144">
        <f>IF($C31="MXAU","",IF(ISNUMBER($E31)*ISNUMBER($I31)=0,"",IFERROR(($E31-$I31)*INDEX(Accrual!$C$16:$C$220,MATCH($B31,$B$51:$B$255,0))*INDEX(Accrual!$D$16:$D$220,MATCH($B31,$B$51:$B$255,0))/AS51!$B$3,"")))</f>
        <v/>
      </c>
      <c r="L31" s="144">
        <f>IF($C31="AS51","",IF(ISNUMBER($E31)*ISNUMBER($J31)=0,"",IFERROR(($E31-$J31)*INDEX(Accrual!$C$229:$C$308,MATCH($B31,$B$261:$B$340,0))*INDEX(Accrual!$D$229:$D$308,MATCH($B31,$B$261:$B$340,0))/MXAU!$B$3,"")))</f>
        <v/>
      </c>
      <c r="M31" s="100">
        <f>IF($B31="","",IF(COUNTIF($B$51:$B$255,$B31)+COUNTIF($B$261:$B$340,$B31)=0,"ticker? paste from the matrix below",IF($D31="","no contract # - ignored",IF(ISNUMBER($E31),IF(COUNTIFS($B$11:$B$40,$B31,$D$11:$D$40,$D31)&gt;1,"2 rows same stock+contract - they ADD","OK"),"no DPS - ignored"))))</f>
        <v/>
      </c>
      <c r="O31" s="53">
        <f>IF(Expiries!$B28="","",Expiries!$B28)</f>
        <v/>
      </c>
      <c r="P31" s="55">
        <f>IF($O31="","",Expiries!$C28)</f>
        <v/>
      </c>
      <c r="Q31" s="147">
        <f>IF($O31="","",IF($P$11="","",IFERROR(INDEX($C$51:$R$255,MATCH($P$11,$B$51:$B$255,0),13),"-")))</f>
        <v/>
      </c>
      <c r="R31" s="147">
        <f>IF($O31="","",IF($P$11="","",IFERROR(INDEX($C$261:$R$340,MATCH($P$11,$B$261:$B$340,0),13),"-")))</f>
        <v/>
      </c>
      <c r="S31" s="148">
        <f>IF($O31="","",IF($P$11="","",IF(COUNTIFS($B$11:$B$40,$P$11,$D$11:$D$40,13,$E$11:$E$40,"&gt;=0")=0,"",SUMIFS($E$11:$E$40,$B$11:$B$40,$P$11,$D$11:$D$40,13))))</f>
        <v/>
      </c>
      <c r="U31" s="146" t="n"/>
      <c r="V31" s="146" t="n"/>
      <c r="W31" s="146" t="n"/>
      <c r="X31" s="146" t="n"/>
      <c r="Y31" s="146" t="n"/>
      <c r="Z31" s="146" t="n"/>
      <c r="AA31" s="146" t="n"/>
      <c r="AB31" s="146" t="n"/>
      <c r="AC31" s="146" t="n"/>
      <c r="AD31" s="146" t="n"/>
      <c r="AE31" s="146" t="n"/>
      <c r="AF31" s="146" t="n"/>
      <c r="AG31" s="146" t="n"/>
      <c r="AH31" s="146" t="n"/>
      <c r="AI31" s="146" t="n"/>
      <c r="AJ31" s="146" t="n"/>
    </row>
    <row r="32">
      <c r="B32" s="76" t="n"/>
      <c r="C32" s="76" t="n"/>
      <c r="D32" s="76" t="n"/>
      <c r="E32" s="142" t="n"/>
      <c r="F32" s="76" t="n"/>
      <c r="G32" s="55">
        <f>IF($D32="","",IFERROR(INDEX(Expiries!$C$16:$C$31,$D32),""))</f>
        <v/>
      </c>
      <c r="H32" s="55">
        <f>IF($D32="","",IFERROR(TEXT(INDEX(Expiries!$F$16:$F$31,$D32),"dd mmm")&amp;" / "&amp;TEXT(INDEX(Expiries!$I$16:$I$31,$D32),"dd mmm"),""))</f>
        <v/>
      </c>
      <c r="I32" s="143">
        <f>IF($B32="","",IF($D32="","",IFERROR(INDEX($C$51:$R$255,MATCH($B32,$B$51:$B$255,0),$D32),"not in AS51")))</f>
        <v/>
      </c>
      <c r="J32" s="143">
        <f>IF($B32="","",IF($D32="","",IFERROR(INDEX($C$261:$R$340,MATCH($B32,$B$261:$B$340,0),$D32),"not in MXAU")))</f>
        <v/>
      </c>
      <c r="K32" s="144">
        <f>IF($C32="MXAU","",IF(ISNUMBER($E32)*ISNUMBER($I32)=0,"",IFERROR(($E32-$I32)*INDEX(Accrual!$C$16:$C$220,MATCH($B32,$B$51:$B$255,0))*INDEX(Accrual!$D$16:$D$220,MATCH($B32,$B$51:$B$255,0))/AS51!$B$3,"")))</f>
        <v/>
      </c>
      <c r="L32" s="144">
        <f>IF($C32="AS51","",IF(ISNUMBER($E32)*ISNUMBER($J32)=0,"",IFERROR(($E32-$J32)*INDEX(Accrual!$C$229:$C$308,MATCH($B32,$B$261:$B$340,0))*INDEX(Accrual!$D$229:$D$308,MATCH($B32,$B$261:$B$340,0))/MXAU!$B$3,"")))</f>
        <v/>
      </c>
      <c r="M32" s="100">
        <f>IF($B32="","",IF(COUNTIF($B$51:$B$255,$B32)+COUNTIF($B$261:$B$340,$B32)=0,"ticker? paste from the matrix below",IF($D32="","no contract # - ignored",IF(ISNUMBER($E32),IF(COUNTIFS($B$11:$B$40,$B32,$D$11:$D$40,$D32)&gt;1,"2 rows same stock+contract - they ADD","OK"),"no DPS - ignored"))))</f>
        <v/>
      </c>
      <c r="O32" s="53">
        <f>IF(Expiries!$B29="","",Expiries!$B29)</f>
        <v/>
      </c>
      <c r="P32" s="55">
        <f>IF($O32="","",Expiries!$C29)</f>
        <v/>
      </c>
      <c r="Q32" s="147">
        <f>IF($O32="","",IF($P$11="","",IFERROR(INDEX($C$51:$R$255,MATCH($P$11,$B$51:$B$255,0),14),"-")))</f>
        <v/>
      </c>
      <c r="R32" s="147">
        <f>IF($O32="","",IF($P$11="","",IFERROR(INDEX($C$261:$R$340,MATCH($P$11,$B$261:$B$340,0),14),"-")))</f>
        <v/>
      </c>
      <c r="S32" s="148">
        <f>IF($O32="","",IF($P$11="","",IF(COUNTIFS($B$11:$B$40,$P$11,$D$11:$D$40,14,$E$11:$E$40,"&gt;=0")=0,"",SUMIFS($E$11:$E$40,$B$11:$B$40,$P$11,$D$11:$D$40,14))))</f>
        <v/>
      </c>
      <c r="U32" s="146" t="n"/>
      <c r="V32" s="146" t="n"/>
      <c r="W32" s="146" t="n"/>
      <c r="X32" s="146" t="n"/>
      <c r="Y32" s="146" t="n"/>
      <c r="Z32" s="146" t="n"/>
      <c r="AA32" s="146" t="n"/>
      <c r="AB32" s="146" t="n"/>
      <c r="AC32" s="146" t="n"/>
      <c r="AD32" s="146" t="n"/>
      <c r="AE32" s="146" t="n"/>
      <c r="AF32" s="146" t="n"/>
      <c r="AG32" s="146" t="n"/>
      <c r="AH32" s="146" t="n"/>
      <c r="AI32" s="146" t="n"/>
      <c r="AJ32" s="146" t="n"/>
    </row>
    <row r="33">
      <c r="B33" s="76" t="n"/>
      <c r="C33" s="76" t="n"/>
      <c r="D33" s="76" t="n"/>
      <c r="E33" s="142" t="n"/>
      <c r="F33" s="76" t="n"/>
      <c r="G33" s="55">
        <f>IF($D33="","",IFERROR(INDEX(Expiries!$C$16:$C$31,$D33),""))</f>
        <v/>
      </c>
      <c r="H33" s="55">
        <f>IF($D33="","",IFERROR(TEXT(INDEX(Expiries!$F$16:$F$31,$D33),"dd mmm")&amp;" / "&amp;TEXT(INDEX(Expiries!$I$16:$I$31,$D33),"dd mmm"),""))</f>
        <v/>
      </c>
      <c r="I33" s="143">
        <f>IF($B33="","",IF($D33="","",IFERROR(INDEX($C$51:$R$255,MATCH($B33,$B$51:$B$255,0),$D33),"not in AS51")))</f>
        <v/>
      </c>
      <c r="J33" s="143">
        <f>IF($B33="","",IF($D33="","",IFERROR(INDEX($C$261:$R$340,MATCH($B33,$B$261:$B$340,0),$D33),"not in MXAU")))</f>
        <v/>
      </c>
      <c r="K33" s="144">
        <f>IF($C33="MXAU","",IF(ISNUMBER($E33)*ISNUMBER($I33)=0,"",IFERROR(($E33-$I33)*INDEX(Accrual!$C$16:$C$220,MATCH($B33,$B$51:$B$255,0))*INDEX(Accrual!$D$16:$D$220,MATCH($B33,$B$51:$B$255,0))/AS51!$B$3,"")))</f>
        <v/>
      </c>
      <c r="L33" s="144">
        <f>IF($C33="AS51","",IF(ISNUMBER($E33)*ISNUMBER($J33)=0,"",IFERROR(($E33-$J33)*INDEX(Accrual!$C$229:$C$308,MATCH($B33,$B$261:$B$340,0))*INDEX(Accrual!$D$229:$D$308,MATCH($B33,$B$261:$B$340,0))/MXAU!$B$3,"")))</f>
        <v/>
      </c>
      <c r="M33" s="100">
        <f>IF($B33="","",IF(COUNTIF($B$51:$B$255,$B33)+COUNTIF($B$261:$B$340,$B33)=0,"ticker? paste from the matrix below",IF($D33="","no contract # - ignored",IF(ISNUMBER($E33),IF(COUNTIFS($B$11:$B$40,$B33,$D$11:$D$40,$D33)&gt;1,"2 rows same stock+contract - they ADD","OK"),"no DPS - ignored"))))</f>
        <v/>
      </c>
      <c r="O33" s="53">
        <f>IF(Expiries!$B30="","",Expiries!$B30)</f>
        <v/>
      </c>
      <c r="P33" s="55">
        <f>IF($O33="","",Expiries!$C30)</f>
        <v/>
      </c>
      <c r="Q33" s="147">
        <f>IF($O33="","",IF($P$11="","",IFERROR(INDEX($C$51:$R$255,MATCH($P$11,$B$51:$B$255,0),15),"-")))</f>
        <v/>
      </c>
      <c r="R33" s="147">
        <f>IF($O33="","",IF($P$11="","",IFERROR(INDEX($C$261:$R$340,MATCH($P$11,$B$261:$B$340,0),15),"-")))</f>
        <v/>
      </c>
      <c r="S33" s="148">
        <f>IF($O33="","",IF($P$11="","",IF(COUNTIFS($B$11:$B$40,$P$11,$D$11:$D$40,15,$E$11:$E$40,"&gt;=0")=0,"",SUMIFS($E$11:$E$40,$B$11:$B$40,$P$11,$D$11:$D$40,15))))</f>
        <v/>
      </c>
      <c r="U33" s="146" t="n"/>
      <c r="V33" s="146" t="n"/>
      <c r="W33" s="146" t="n"/>
      <c r="X33" s="146" t="n"/>
      <c r="Y33" s="146" t="n"/>
      <c r="Z33" s="146" t="n"/>
      <c r="AA33" s="146" t="n"/>
      <c r="AB33" s="146" t="n"/>
      <c r="AC33" s="146" t="n"/>
      <c r="AD33" s="146" t="n"/>
      <c r="AE33" s="146" t="n"/>
      <c r="AF33" s="146" t="n"/>
      <c r="AG33" s="146" t="n"/>
      <c r="AH33" s="146" t="n"/>
      <c r="AI33" s="146" t="n"/>
      <c r="AJ33" s="146" t="n"/>
    </row>
    <row r="34">
      <c r="B34" s="76" t="n"/>
      <c r="C34" s="76" t="n"/>
      <c r="D34" s="76" t="n"/>
      <c r="E34" s="142" t="n"/>
      <c r="F34" s="76" t="n"/>
      <c r="G34" s="55">
        <f>IF($D34="","",IFERROR(INDEX(Expiries!$C$16:$C$31,$D34),""))</f>
        <v/>
      </c>
      <c r="H34" s="55">
        <f>IF($D34="","",IFERROR(TEXT(INDEX(Expiries!$F$16:$F$31,$D34),"dd mmm")&amp;" / "&amp;TEXT(INDEX(Expiries!$I$16:$I$31,$D34),"dd mmm"),""))</f>
        <v/>
      </c>
      <c r="I34" s="143">
        <f>IF($B34="","",IF($D34="","",IFERROR(INDEX($C$51:$R$255,MATCH($B34,$B$51:$B$255,0),$D34),"not in AS51")))</f>
        <v/>
      </c>
      <c r="J34" s="143">
        <f>IF($B34="","",IF($D34="","",IFERROR(INDEX($C$261:$R$340,MATCH($B34,$B$261:$B$340,0),$D34),"not in MXAU")))</f>
        <v/>
      </c>
      <c r="K34" s="144">
        <f>IF($C34="MXAU","",IF(ISNUMBER($E34)*ISNUMBER($I34)=0,"",IFERROR(($E34-$I34)*INDEX(Accrual!$C$16:$C$220,MATCH($B34,$B$51:$B$255,0))*INDEX(Accrual!$D$16:$D$220,MATCH($B34,$B$51:$B$255,0))/AS51!$B$3,"")))</f>
        <v/>
      </c>
      <c r="L34" s="144">
        <f>IF($C34="AS51","",IF(ISNUMBER($E34)*ISNUMBER($J34)=0,"",IFERROR(($E34-$J34)*INDEX(Accrual!$C$229:$C$308,MATCH($B34,$B$261:$B$340,0))*INDEX(Accrual!$D$229:$D$308,MATCH($B34,$B$261:$B$340,0))/MXAU!$B$3,"")))</f>
        <v/>
      </c>
      <c r="M34" s="100">
        <f>IF($B34="","",IF(COUNTIF($B$51:$B$255,$B34)+COUNTIF($B$261:$B$340,$B34)=0,"ticker? paste from the matrix below",IF($D34="","no contract # - ignored",IF(ISNUMBER($E34),IF(COUNTIFS($B$11:$B$40,$B34,$D$11:$D$40,$D34)&gt;1,"2 rows same stock+contract - they ADD","OK"),"no DPS - ignored"))))</f>
        <v/>
      </c>
      <c r="O34" s="53">
        <f>IF(Expiries!$B31="","",Expiries!$B31)</f>
        <v/>
      </c>
      <c r="P34" s="55">
        <f>IF($O34="","",Expiries!$C31)</f>
        <v/>
      </c>
      <c r="Q34" s="147">
        <f>IF($O34="","",IF($P$11="","",IFERROR(INDEX($C$51:$R$255,MATCH($P$11,$B$51:$B$255,0),16),"-")))</f>
        <v/>
      </c>
      <c r="R34" s="147">
        <f>IF($O34="","",IF($P$11="","",IFERROR(INDEX($C$261:$R$340,MATCH($P$11,$B$261:$B$340,0),16),"-")))</f>
        <v/>
      </c>
      <c r="S34" s="148">
        <f>IF($O34="","",IF($P$11="","",IF(COUNTIFS($B$11:$B$40,$P$11,$D$11:$D$40,16,$E$11:$E$40,"&gt;=0")=0,"",SUMIFS($E$11:$E$40,$B$11:$B$40,$P$11,$D$11:$D$40,16))))</f>
        <v/>
      </c>
      <c r="U34" s="146" t="n"/>
      <c r="V34" s="146" t="n"/>
      <c r="W34" s="146" t="n"/>
      <c r="X34" s="146" t="n"/>
      <c r="Y34" s="146" t="n"/>
      <c r="Z34" s="146" t="n"/>
      <c r="AA34" s="146" t="n"/>
      <c r="AB34" s="146" t="n"/>
      <c r="AC34" s="146" t="n"/>
      <c r="AD34" s="146" t="n"/>
      <c r="AE34" s="146" t="n"/>
      <c r="AF34" s="146" t="n"/>
      <c r="AG34" s="146" t="n"/>
      <c r="AH34" s="146" t="n"/>
      <c r="AI34" s="146" t="n"/>
      <c r="AJ34" s="146" t="n"/>
    </row>
    <row r="35">
      <c r="B35" s="76" t="n"/>
      <c r="C35" s="76" t="n"/>
      <c r="D35" s="76" t="n"/>
      <c r="E35" s="142" t="n"/>
      <c r="F35" s="76" t="n"/>
      <c r="G35" s="55">
        <f>IF($D35="","",IFERROR(INDEX(Expiries!$C$16:$C$31,$D35),""))</f>
        <v/>
      </c>
      <c r="H35" s="55">
        <f>IF($D35="","",IFERROR(TEXT(INDEX(Expiries!$F$16:$F$31,$D35),"dd mmm")&amp;" / "&amp;TEXT(INDEX(Expiries!$I$16:$I$31,$D35),"dd mmm"),""))</f>
        <v/>
      </c>
      <c r="I35" s="143">
        <f>IF($B35="","",IF($D35="","",IFERROR(INDEX($C$51:$R$255,MATCH($B35,$B$51:$B$255,0),$D35),"not in AS51")))</f>
        <v/>
      </c>
      <c r="J35" s="143">
        <f>IF($B35="","",IF($D35="","",IFERROR(INDEX($C$261:$R$340,MATCH($B35,$B$261:$B$340,0),$D35),"not in MXAU")))</f>
        <v/>
      </c>
      <c r="K35" s="144">
        <f>IF($C35="MXAU","",IF(ISNUMBER($E35)*ISNUMBER($I35)=0,"",IFERROR(($E35-$I35)*INDEX(Accrual!$C$16:$C$220,MATCH($B35,$B$51:$B$255,0))*INDEX(Accrual!$D$16:$D$220,MATCH($B35,$B$51:$B$255,0))/AS51!$B$3,"")))</f>
        <v/>
      </c>
      <c r="L35" s="144">
        <f>IF($C35="AS51","",IF(ISNUMBER($E35)*ISNUMBER($J35)=0,"",IFERROR(($E35-$J35)*INDEX(Accrual!$C$229:$C$308,MATCH($B35,$B$261:$B$340,0))*INDEX(Accrual!$D$229:$D$308,MATCH($B35,$B$261:$B$340,0))/MXAU!$B$3,"")))</f>
        <v/>
      </c>
      <c r="M35" s="100">
        <f>IF($B35="","",IF(COUNTIF($B$51:$B$255,$B35)+COUNTIF($B$261:$B$340,$B35)=0,"ticker? paste from the matrix below",IF($D35="","no contract # - ignored",IF(ISNUMBER($E35),IF(COUNTIFS($B$11:$B$40,$B35,$D$11:$D$40,$D35)&gt;1,"2 rows same stock+contract - they ADD","OK"),"no DPS - ignored"))))</f>
        <v/>
      </c>
      <c r="U35" s="146" t="n"/>
      <c r="V35" s="146" t="n"/>
      <c r="W35" s="146" t="n"/>
      <c r="X35" s="146" t="n"/>
      <c r="Y35" s="146" t="n"/>
      <c r="Z35" s="146" t="n"/>
      <c r="AA35" s="146" t="n"/>
      <c r="AB35" s="146" t="n"/>
      <c r="AC35" s="146" t="n"/>
      <c r="AD35" s="146" t="n"/>
      <c r="AE35" s="146" t="n"/>
      <c r="AF35" s="146" t="n"/>
      <c r="AG35" s="146" t="n"/>
      <c r="AH35" s="146" t="n"/>
      <c r="AI35" s="146" t="n"/>
      <c r="AJ35" s="146" t="n"/>
    </row>
    <row r="36">
      <c r="B36" s="76" t="n"/>
      <c r="C36" s="76" t="n"/>
      <c r="D36" s="76" t="n"/>
      <c r="E36" s="142" t="n"/>
      <c r="F36" s="76" t="n"/>
      <c r="G36" s="55">
        <f>IF($D36="","",IFERROR(INDEX(Expiries!$C$16:$C$31,$D36),""))</f>
        <v/>
      </c>
      <c r="H36" s="55">
        <f>IF($D36="","",IFERROR(TEXT(INDEX(Expiries!$F$16:$F$31,$D36),"dd mmm")&amp;" / "&amp;TEXT(INDEX(Expiries!$I$16:$I$31,$D36),"dd mmm"),""))</f>
        <v/>
      </c>
      <c r="I36" s="143">
        <f>IF($B36="","",IF($D36="","",IFERROR(INDEX($C$51:$R$255,MATCH($B36,$B$51:$B$255,0),$D36),"not in AS51")))</f>
        <v/>
      </c>
      <c r="J36" s="143">
        <f>IF($B36="","",IF($D36="","",IFERROR(INDEX($C$261:$R$340,MATCH($B36,$B$261:$B$340,0),$D36),"not in MXAU")))</f>
        <v/>
      </c>
      <c r="K36" s="144">
        <f>IF($C36="MXAU","",IF(ISNUMBER($E36)*ISNUMBER($I36)=0,"",IFERROR(($E36-$I36)*INDEX(Accrual!$C$16:$C$220,MATCH($B36,$B$51:$B$255,0))*INDEX(Accrual!$D$16:$D$220,MATCH($B36,$B$51:$B$255,0))/AS51!$B$3,"")))</f>
        <v/>
      </c>
      <c r="L36" s="144">
        <f>IF($C36="AS51","",IF(ISNUMBER($E36)*ISNUMBER($J36)=0,"",IFERROR(($E36-$J36)*INDEX(Accrual!$C$229:$C$308,MATCH($B36,$B$261:$B$340,0))*INDEX(Accrual!$D$229:$D$308,MATCH($B36,$B$261:$B$340,0))/MXAU!$B$3,"")))</f>
        <v/>
      </c>
      <c r="M36" s="100">
        <f>IF($B36="","",IF(COUNTIF($B$51:$B$255,$B36)+COUNTIF($B$261:$B$340,$B36)=0,"ticker? paste from the matrix below",IF($D36="","no contract # - ignored",IF(ISNUMBER($E36),IF(COUNTIFS($B$11:$B$40,$B36,$D$11:$D$40,$D36)&gt;1,"2 rows same stock+contract - they ADD","OK"),"no DPS - ignored"))))</f>
        <v/>
      </c>
      <c r="U36" s="146" t="n"/>
      <c r="V36" s="146" t="n"/>
      <c r="W36" s="146" t="n"/>
      <c r="X36" s="146" t="n"/>
      <c r="Y36" s="146" t="n"/>
      <c r="Z36" s="146" t="n"/>
      <c r="AA36" s="146" t="n"/>
      <c r="AB36" s="146" t="n"/>
      <c r="AC36" s="146" t="n"/>
      <c r="AD36" s="146" t="n"/>
      <c r="AE36" s="146" t="n"/>
      <c r="AF36" s="146" t="n"/>
      <c r="AG36" s="146" t="n"/>
      <c r="AH36" s="146" t="n"/>
      <c r="AI36" s="146" t="n"/>
      <c r="AJ36" s="146" t="n"/>
    </row>
    <row r="37">
      <c r="B37" s="76" t="n"/>
      <c r="C37" s="76" t="n"/>
      <c r="D37" s="76" t="n"/>
      <c r="E37" s="142" t="n"/>
      <c r="F37" s="76" t="n"/>
      <c r="G37" s="55">
        <f>IF($D37="","",IFERROR(INDEX(Expiries!$C$16:$C$31,$D37),""))</f>
        <v/>
      </c>
      <c r="H37" s="55">
        <f>IF($D37="","",IFERROR(TEXT(INDEX(Expiries!$F$16:$F$31,$D37),"dd mmm")&amp;" / "&amp;TEXT(INDEX(Expiries!$I$16:$I$31,$D37),"dd mmm"),""))</f>
        <v/>
      </c>
      <c r="I37" s="143">
        <f>IF($B37="","",IF($D37="","",IFERROR(INDEX($C$51:$R$255,MATCH($B37,$B$51:$B$255,0),$D37),"not in AS51")))</f>
        <v/>
      </c>
      <c r="J37" s="143">
        <f>IF($B37="","",IF($D37="","",IFERROR(INDEX($C$261:$R$340,MATCH($B37,$B$261:$B$340,0),$D37),"not in MXAU")))</f>
        <v/>
      </c>
      <c r="K37" s="144">
        <f>IF($C37="MXAU","",IF(ISNUMBER($E37)*ISNUMBER($I37)=0,"",IFERROR(($E37-$I37)*INDEX(Accrual!$C$16:$C$220,MATCH($B37,$B$51:$B$255,0))*INDEX(Accrual!$D$16:$D$220,MATCH($B37,$B$51:$B$255,0))/AS51!$B$3,"")))</f>
        <v/>
      </c>
      <c r="L37" s="144">
        <f>IF($C37="AS51","",IF(ISNUMBER($E37)*ISNUMBER($J37)=0,"",IFERROR(($E37-$J37)*INDEX(Accrual!$C$229:$C$308,MATCH($B37,$B$261:$B$340,0))*INDEX(Accrual!$D$229:$D$308,MATCH($B37,$B$261:$B$340,0))/MXAU!$B$3,"")))</f>
        <v/>
      </c>
      <c r="M37" s="100">
        <f>IF($B37="","",IF(COUNTIF($B$51:$B$255,$B37)+COUNTIF($B$261:$B$340,$B37)=0,"ticker? paste from the matrix below",IF($D37="","no contract # - ignored",IF(ISNUMBER($E37),IF(COUNTIFS($B$11:$B$40,$B37,$D$11:$D$40,$D37)&gt;1,"2 rows same stock+contract - they ADD","OK"),"no DPS - ignored"))))</f>
        <v/>
      </c>
      <c r="U37" s="146" t="n"/>
      <c r="V37" s="146" t="n"/>
      <c r="W37" s="146" t="n"/>
      <c r="X37" s="146" t="n"/>
      <c r="Y37" s="146" t="n"/>
      <c r="Z37" s="146" t="n"/>
      <c r="AA37" s="146" t="n"/>
      <c r="AB37" s="146" t="n"/>
      <c r="AC37" s="146" t="n"/>
      <c r="AD37" s="146" t="n"/>
      <c r="AE37" s="146" t="n"/>
      <c r="AF37" s="146" t="n"/>
      <c r="AG37" s="146" t="n"/>
      <c r="AH37" s="146" t="n"/>
      <c r="AI37" s="146" t="n"/>
      <c r="AJ37" s="146" t="n"/>
    </row>
    <row r="38">
      <c r="B38" s="76" t="n"/>
      <c r="C38" s="76" t="n"/>
      <c r="D38" s="76" t="n"/>
      <c r="E38" s="142" t="n"/>
      <c r="F38" s="76" t="n"/>
      <c r="G38" s="55">
        <f>IF($D38="","",IFERROR(INDEX(Expiries!$C$16:$C$31,$D38),""))</f>
        <v/>
      </c>
      <c r="H38" s="55">
        <f>IF($D38="","",IFERROR(TEXT(INDEX(Expiries!$F$16:$F$31,$D38),"dd mmm")&amp;" / "&amp;TEXT(INDEX(Expiries!$I$16:$I$31,$D38),"dd mmm"),""))</f>
        <v/>
      </c>
      <c r="I38" s="143">
        <f>IF($B38="","",IF($D38="","",IFERROR(INDEX($C$51:$R$255,MATCH($B38,$B$51:$B$255,0),$D38),"not in AS51")))</f>
        <v/>
      </c>
      <c r="J38" s="143">
        <f>IF($B38="","",IF($D38="","",IFERROR(INDEX($C$261:$R$340,MATCH($B38,$B$261:$B$340,0),$D38),"not in MXAU")))</f>
        <v/>
      </c>
      <c r="K38" s="144">
        <f>IF($C38="MXAU","",IF(ISNUMBER($E38)*ISNUMBER($I38)=0,"",IFERROR(($E38-$I38)*INDEX(Accrual!$C$16:$C$220,MATCH($B38,$B$51:$B$255,0))*INDEX(Accrual!$D$16:$D$220,MATCH($B38,$B$51:$B$255,0))/AS51!$B$3,"")))</f>
        <v/>
      </c>
      <c r="L38" s="144">
        <f>IF($C38="AS51","",IF(ISNUMBER($E38)*ISNUMBER($J38)=0,"",IFERROR(($E38-$J38)*INDEX(Accrual!$C$229:$C$308,MATCH($B38,$B$261:$B$340,0))*INDEX(Accrual!$D$229:$D$308,MATCH($B38,$B$261:$B$340,0))/MXAU!$B$3,"")))</f>
        <v/>
      </c>
      <c r="M38" s="100">
        <f>IF($B38="","",IF(COUNTIF($B$51:$B$255,$B38)+COUNTIF($B$261:$B$340,$B38)=0,"ticker? paste from the matrix below",IF($D38="","no contract # - ignored",IF(ISNUMBER($E38),IF(COUNTIFS($B$11:$B$40,$B38,$D$11:$D$40,$D38)&gt;1,"2 rows same stock+contract - they ADD","OK"),"no DPS - ignored"))))</f>
        <v/>
      </c>
      <c r="U38" s="146" t="n"/>
      <c r="V38" s="146" t="n"/>
      <c r="W38" s="146" t="n"/>
      <c r="X38" s="146" t="n"/>
      <c r="Y38" s="146" t="n"/>
      <c r="Z38" s="146" t="n"/>
      <c r="AA38" s="146" t="n"/>
      <c r="AB38" s="146" t="n"/>
      <c r="AC38" s="146" t="n"/>
      <c r="AD38" s="146" t="n"/>
      <c r="AE38" s="146" t="n"/>
      <c r="AF38" s="146" t="n"/>
      <c r="AG38" s="146" t="n"/>
      <c r="AH38" s="146" t="n"/>
      <c r="AI38" s="146" t="n"/>
      <c r="AJ38" s="146" t="n"/>
    </row>
    <row r="39">
      <c r="B39" s="76" t="n"/>
      <c r="C39" s="76" t="n"/>
      <c r="D39" s="76" t="n"/>
      <c r="E39" s="142" t="n"/>
      <c r="F39" s="76" t="n"/>
      <c r="G39" s="55">
        <f>IF($D39="","",IFERROR(INDEX(Expiries!$C$16:$C$31,$D39),""))</f>
        <v/>
      </c>
      <c r="H39" s="55">
        <f>IF($D39="","",IFERROR(TEXT(INDEX(Expiries!$F$16:$F$31,$D39),"dd mmm")&amp;" / "&amp;TEXT(INDEX(Expiries!$I$16:$I$31,$D39),"dd mmm"),""))</f>
        <v/>
      </c>
      <c r="I39" s="143">
        <f>IF($B39="","",IF($D39="","",IFERROR(INDEX($C$51:$R$255,MATCH($B39,$B$51:$B$255,0),$D39),"not in AS51")))</f>
        <v/>
      </c>
      <c r="J39" s="143">
        <f>IF($B39="","",IF($D39="","",IFERROR(INDEX($C$261:$R$340,MATCH($B39,$B$261:$B$340,0),$D39),"not in MXAU")))</f>
        <v/>
      </c>
      <c r="K39" s="144">
        <f>IF($C39="MXAU","",IF(ISNUMBER($E39)*ISNUMBER($I39)=0,"",IFERROR(($E39-$I39)*INDEX(Accrual!$C$16:$C$220,MATCH($B39,$B$51:$B$255,0))*INDEX(Accrual!$D$16:$D$220,MATCH($B39,$B$51:$B$255,0))/AS51!$B$3,"")))</f>
        <v/>
      </c>
      <c r="L39" s="144">
        <f>IF($C39="AS51","",IF(ISNUMBER($E39)*ISNUMBER($J39)=0,"",IFERROR(($E39-$J39)*INDEX(Accrual!$C$229:$C$308,MATCH($B39,$B$261:$B$340,0))*INDEX(Accrual!$D$229:$D$308,MATCH($B39,$B$261:$B$340,0))/MXAU!$B$3,"")))</f>
        <v/>
      </c>
      <c r="M39" s="100">
        <f>IF($B39="","",IF(COUNTIF($B$51:$B$255,$B39)+COUNTIF($B$261:$B$340,$B39)=0,"ticker? paste from the matrix below",IF($D39="","no contract # - ignored",IF(ISNUMBER($E39),IF(COUNTIFS($B$11:$B$40,$B39,$D$11:$D$40,$D39)&gt;1,"2 rows same stock+contract - they ADD","OK"),"no DPS - ignored"))))</f>
        <v/>
      </c>
      <c r="U39" s="146" t="n"/>
      <c r="V39" s="146" t="n"/>
      <c r="W39" s="146" t="n"/>
      <c r="X39" s="146" t="n"/>
      <c r="Y39" s="146" t="n"/>
      <c r="Z39" s="146" t="n"/>
      <c r="AA39" s="146" t="n"/>
      <c r="AB39" s="146" t="n"/>
      <c r="AC39" s="146" t="n"/>
      <c r="AD39" s="146" t="n"/>
      <c r="AE39" s="146" t="n"/>
      <c r="AF39" s="146" t="n"/>
      <c r="AG39" s="146" t="n"/>
      <c r="AH39" s="146" t="n"/>
      <c r="AI39" s="146" t="n"/>
      <c r="AJ39" s="146" t="n"/>
    </row>
    <row r="40">
      <c r="B40" s="76" t="n"/>
      <c r="C40" s="76" t="n"/>
      <c r="D40" s="76" t="n"/>
      <c r="E40" s="142" t="n"/>
      <c r="F40" s="76" t="n"/>
      <c r="G40" s="55">
        <f>IF($D40="","",IFERROR(INDEX(Expiries!$C$16:$C$31,$D40),""))</f>
        <v/>
      </c>
      <c r="H40" s="55">
        <f>IF($D40="","",IFERROR(TEXT(INDEX(Expiries!$F$16:$F$31,$D40),"dd mmm")&amp;" / "&amp;TEXT(INDEX(Expiries!$I$16:$I$31,$D40),"dd mmm"),""))</f>
        <v/>
      </c>
      <c r="I40" s="143">
        <f>IF($B40="","",IF($D40="","",IFERROR(INDEX($C$51:$R$255,MATCH($B40,$B$51:$B$255,0),$D40),"not in AS51")))</f>
        <v/>
      </c>
      <c r="J40" s="143">
        <f>IF($B40="","",IF($D40="","",IFERROR(INDEX($C$261:$R$340,MATCH($B40,$B$261:$B$340,0),$D40),"not in MXAU")))</f>
        <v/>
      </c>
      <c r="K40" s="144">
        <f>IF($C40="MXAU","",IF(ISNUMBER($E40)*ISNUMBER($I40)=0,"",IFERROR(($E40-$I40)*INDEX(Accrual!$C$16:$C$220,MATCH($B40,$B$51:$B$255,0))*INDEX(Accrual!$D$16:$D$220,MATCH($B40,$B$51:$B$255,0))/AS51!$B$3,"")))</f>
        <v/>
      </c>
      <c r="L40" s="144">
        <f>IF($C40="AS51","",IF(ISNUMBER($E40)*ISNUMBER($J40)=0,"",IFERROR(($E40-$J40)*INDEX(Accrual!$C$229:$C$308,MATCH($B40,$B$261:$B$340,0))*INDEX(Accrual!$D$229:$D$308,MATCH($B40,$B$261:$B$340,0))/MXAU!$B$3,"")))</f>
        <v/>
      </c>
      <c r="M40" s="100">
        <f>IF($B40="","",IF(COUNTIF($B$51:$B$255,$B40)+COUNTIF($B$261:$B$340,$B40)=0,"ticker? paste from the matrix below",IF($D40="","no contract # - ignored",IF(ISNUMBER($E40),IF(COUNTIFS($B$11:$B$40,$B40,$D$11:$D$40,$D40)&gt;1,"2 rows same stock+contract - they ADD","OK"),"no DPS - ignored"))))</f>
        <v/>
      </c>
      <c r="U40" s="146" t="n"/>
      <c r="V40" s="146" t="n"/>
      <c r="W40" s="146" t="n"/>
      <c r="X40" s="146" t="n"/>
      <c r="Y40" s="146" t="n"/>
      <c r="Z40" s="146" t="n"/>
      <c r="AA40" s="146" t="n"/>
      <c r="AB40" s="146" t="n"/>
      <c r="AC40" s="146" t="n"/>
      <c r="AD40" s="146" t="n"/>
      <c r="AE40" s="146" t="n"/>
      <c r="AF40" s="146" t="n"/>
      <c r="AG40" s="146" t="n"/>
      <c r="AH40" s="146" t="n"/>
      <c r="AI40" s="146" t="n"/>
      <c r="AJ40" s="146" t="n"/>
    </row>
    <row r="41">
      <c r="U41" s="146" t="n"/>
      <c r="V41" s="146" t="n"/>
      <c r="W41" s="146" t="n"/>
      <c r="X41" s="146" t="n"/>
      <c r="Y41" s="146" t="n"/>
      <c r="Z41" s="146" t="n"/>
      <c r="AA41" s="146" t="n"/>
      <c r="AB41" s="146" t="n"/>
      <c r="AC41" s="146" t="n"/>
      <c r="AD41" s="146" t="n"/>
      <c r="AE41" s="146" t="n"/>
      <c r="AF41" s="146" t="n"/>
      <c r="AG41" s="146" t="n"/>
      <c r="AH41" s="146" t="n"/>
      <c r="AI41" s="146" t="n"/>
      <c r="AJ41" s="146" t="n"/>
    </row>
    <row r="42">
      <c r="U42" s="146" t="n"/>
      <c r="V42" s="146" t="n"/>
      <c r="W42" s="146" t="n"/>
      <c r="X42" s="146" t="n"/>
      <c r="Y42" s="146" t="n"/>
      <c r="Z42" s="146" t="n"/>
      <c r="AA42" s="146" t="n"/>
      <c r="AB42" s="146" t="n"/>
      <c r="AC42" s="146" t="n"/>
      <c r="AD42" s="146" t="n"/>
      <c r="AE42" s="146" t="n"/>
      <c r="AF42" s="146" t="n"/>
      <c r="AG42" s="146" t="n"/>
      <c r="AH42" s="146" t="n"/>
      <c r="AI42" s="146" t="n"/>
      <c r="AJ42" s="146" t="n"/>
    </row>
    <row r="43">
      <c r="U43" s="146" t="n"/>
      <c r="V43" s="146" t="n"/>
      <c r="W43" s="146" t="n"/>
      <c r="X43" s="146" t="n"/>
      <c r="Y43" s="146" t="n"/>
      <c r="Z43" s="146" t="n"/>
      <c r="AA43" s="146" t="n"/>
      <c r="AB43" s="146" t="n"/>
      <c r="AC43" s="146" t="n"/>
      <c r="AD43" s="146" t="n"/>
      <c r="AE43" s="146" t="n"/>
      <c r="AF43" s="146" t="n"/>
      <c r="AG43" s="146" t="n"/>
      <c r="AH43" s="146" t="n"/>
      <c r="AI43" s="146" t="n"/>
      <c r="AJ43" s="146" t="n"/>
    </row>
    <row r="44">
      <c r="B44" s="3" t="inlineStr">
        <is>
          <t>BLOOMBERG WINDOW DPS - the numbers you are overriding</t>
        </is>
      </c>
      <c r="U44" s="146" t="n"/>
      <c r="V44" s="146" t="n"/>
      <c r="W44" s="146" t="n"/>
      <c r="X44" s="146" t="n"/>
      <c r="Y44" s="146" t="n"/>
      <c r="Z44" s="146" t="n"/>
      <c r="AA44" s="146" t="n"/>
      <c r="AB44" s="146" t="n"/>
      <c r="AC44" s="146" t="n"/>
      <c r="AD44" s="146" t="n"/>
      <c r="AE44" s="146" t="n"/>
      <c r="AF44" s="146" t="n"/>
      <c r="AG44" s="146" t="n"/>
      <c r="AH44" s="146" t="n"/>
      <c r="AI44" s="146" t="n"/>
      <c r="AJ44" s="146" t="n"/>
    </row>
    <row r="45">
      <c r="B45" s="2" t="inlineStr">
        <is>
          <t>Per share, declared currency: the sum of projected dividends with an ex-date inside each contract window. Read-only - Accrual uses these unless a list row above replaces one. Orange = overridden right now.</t>
        </is>
      </c>
      <c r="U45" s="146" t="n"/>
      <c r="V45" s="146" t="n"/>
      <c r="W45" s="146" t="n"/>
      <c r="X45" s="146" t="n"/>
      <c r="Y45" s="146" t="n"/>
      <c r="Z45" s="146" t="n"/>
      <c r="AA45" s="146" t="n"/>
      <c r="AB45" s="146" t="n"/>
      <c r="AC45" s="146" t="n"/>
      <c r="AD45" s="146" t="n"/>
      <c r="AE45" s="146" t="n"/>
      <c r="AF45" s="146" t="n"/>
      <c r="AG45" s="146" t="n"/>
      <c r="AH45" s="146" t="n"/>
      <c r="AI45" s="146" t="n"/>
      <c r="AJ45" s="146" t="n"/>
    </row>
    <row r="46">
      <c r="U46" s="146" t="n"/>
      <c r="V46" s="146" t="n"/>
      <c r="W46" s="146" t="n"/>
      <c r="X46" s="146" t="n"/>
      <c r="Y46" s="146" t="n"/>
      <c r="Z46" s="146" t="n"/>
      <c r="AA46" s="146" t="n"/>
      <c r="AB46" s="146" t="n"/>
      <c r="AC46" s="146" t="n"/>
      <c r="AD46" s="146" t="n"/>
      <c r="AE46" s="146" t="n"/>
      <c r="AF46" s="146" t="n"/>
      <c r="AG46" s="146" t="n"/>
      <c r="AH46" s="146" t="n"/>
      <c r="AI46" s="146" t="n"/>
      <c r="AJ46" s="146" t="n"/>
    </row>
    <row r="47">
      <c r="B47" s="3" t="inlineStr">
        <is>
          <t>S&amp;P/ASX 200 (AS51)</t>
        </is>
      </c>
      <c r="U47" s="146" t="n"/>
      <c r="V47" s="146" t="n"/>
      <c r="W47" s="146" t="n"/>
      <c r="X47" s="146" t="n"/>
      <c r="Y47" s="146" t="n"/>
      <c r="Z47" s="146" t="n"/>
      <c r="AA47" s="146" t="n"/>
      <c r="AB47" s="146" t="n"/>
      <c r="AC47" s="146" t="n"/>
      <c r="AD47" s="146" t="n"/>
      <c r="AE47" s="146" t="n"/>
      <c r="AF47" s="146" t="n"/>
      <c r="AG47" s="146" t="n"/>
      <c r="AH47" s="146" t="n"/>
      <c r="AI47" s="146" t="n"/>
      <c r="AJ47" s="146" t="n"/>
    </row>
    <row r="48">
      <c r="B48" s="2" t="inlineStr">
        <is>
          <t>window start</t>
        </is>
      </c>
      <c r="C48" s="136">
        <f>IF(Expiries!$B16="","",Expiries!$J16)</f>
        <v/>
      </c>
      <c r="D48" s="136">
        <f>IF(Expiries!$B17="","",Expiries!$J17)</f>
        <v/>
      </c>
      <c r="E48" s="136">
        <f>IF(Expiries!$B18="","",Expiries!$J18)</f>
        <v/>
      </c>
      <c r="F48" s="136">
        <f>IF(Expiries!$B19="","",Expiries!$J19)</f>
        <v/>
      </c>
      <c r="G48" s="136">
        <f>IF(Expiries!$B20="","",Expiries!$J20)</f>
        <v/>
      </c>
      <c r="H48" s="136">
        <f>IF(Expiries!$B21="","",Expiries!$J21)</f>
        <v/>
      </c>
      <c r="I48" s="136">
        <f>IF(Expiries!$B22="","",Expiries!$J22)</f>
        <v/>
      </c>
      <c r="J48" s="136">
        <f>IF(Expiries!$B23="","",Expiries!$J23)</f>
        <v/>
      </c>
      <c r="K48" s="136">
        <f>IF(Expiries!$B24="","",Expiries!$J24)</f>
        <v/>
      </c>
      <c r="L48" s="136">
        <f>IF(Expiries!$B25="","",Expiries!$J25)</f>
        <v/>
      </c>
      <c r="M48" s="136">
        <f>IF(Expiries!$B26="","",Expiries!$J26)</f>
        <v/>
      </c>
      <c r="N48" s="136">
        <f>IF(Expiries!$B27="","",Expiries!$J27)</f>
        <v/>
      </c>
      <c r="O48" s="136">
        <f>IF(Expiries!$B28="","",Expiries!$J28)</f>
        <v/>
      </c>
      <c r="P48" s="136">
        <f>IF(Expiries!$B29="","",Expiries!$J29)</f>
        <v/>
      </c>
      <c r="Q48" s="136">
        <f>IF(Expiries!$B30="","",Expiries!$J30)</f>
        <v/>
      </c>
      <c r="R48" s="136">
        <f>IF(Expiries!$B31="","",Expiries!$J31)</f>
        <v/>
      </c>
      <c r="U48" s="146" t="n"/>
      <c r="V48" s="146" t="n"/>
      <c r="W48" s="146" t="n"/>
      <c r="X48" s="146" t="n"/>
      <c r="Y48" s="146" t="n"/>
      <c r="Z48" s="146" t="n"/>
      <c r="AA48" s="146" t="n"/>
      <c r="AB48" s="146" t="n"/>
      <c r="AC48" s="146" t="n"/>
      <c r="AD48" s="146" t="n"/>
      <c r="AE48" s="146" t="n"/>
      <c r="AF48" s="146" t="n"/>
      <c r="AG48" s="146" t="n"/>
      <c r="AH48" s="146" t="n"/>
      <c r="AI48" s="146" t="n"/>
      <c r="AJ48" s="146" t="n"/>
    </row>
    <row r="49">
      <c r="B49" s="3" t="inlineStr">
        <is>
          <t>expiry</t>
        </is>
      </c>
      <c r="C49" s="137">
        <f>IF(Expiries!$B16="","",Expiries!$F16)</f>
        <v/>
      </c>
      <c r="D49" s="137">
        <f>IF(Expiries!$B17="","",Expiries!$F17)</f>
        <v/>
      </c>
      <c r="E49" s="137">
        <f>IF(Expiries!$B18="","",Expiries!$F18)</f>
        <v/>
      </c>
      <c r="F49" s="137">
        <f>IF(Expiries!$B19="","",Expiries!$F19)</f>
        <v/>
      </c>
      <c r="G49" s="137">
        <f>IF(Expiries!$B20="","",Expiries!$F20)</f>
        <v/>
      </c>
      <c r="H49" s="137">
        <f>IF(Expiries!$B21="","",Expiries!$F21)</f>
        <v/>
      </c>
      <c r="I49" s="137">
        <f>IF(Expiries!$B22="","",Expiries!$F22)</f>
        <v/>
      </c>
      <c r="J49" s="137">
        <f>IF(Expiries!$B23="","",Expiries!$F23)</f>
        <v/>
      </c>
      <c r="K49" s="137">
        <f>IF(Expiries!$B24="","",Expiries!$F24)</f>
        <v/>
      </c>
      <c r="L49" s="137">
        <f>IF(Expiries!$B25="","",Expiries!$F25)</f>
        <v/>
      </c>
      <c r="M49" s="137">
        <f>IF(Expiries!$B26="","",Expiries!$F26)</f>
        <v/>
      </c>
      <c r="N49" s="137">
        <f>IF(Expiries!$B27="","",Expiries!$F27)</f>
        <v/>
      </c>
      <c r="O49" s="137">
        <f>IF(Expiries!$B28="","",Expiries!$F28)</f>
        <v/>
      </c>
      <c r="P49" s="137">
        <f>IF(Expiries!$B29="","",Expiries!$F29)</f>
        <v/>
      </c>
      <c r="Q49" s="137">
        <f>IF(Expiries!$B30="","",Expiries!$F30)</f>
        <v/>
      </c>
      <c r="R49" s="137">
        <f>IF(Expiries!$B31="","",Expiries!$F31)</f>
        <v/>
      </c>
      <c r="U49" s="146" t="n"/>
      <c r="V49" s="146" t="n"/>
      <c r="W49" s="146" t="n"/>
      <c r="X49" s="146" t="n"/>
      <c r="Y49" s="146" t="n"/>
      <c r="Z49" s="146" t="n"/>
      <c r="AA49" s="146" t="n"/>
      <c r="AB49" s="146" t="n"/>
      <c r="AC49" s="146" t="n"/>
      <c r="AD49" s="146" t="n"/>
      <c r="AE49" s="146" t="n"/>
      <c r="AF49" s="146" t="n"/>
      <c r="AG49" s="146" t="n"/>
      <c r="AH49" s="146" t="n"/>
      <c r="AI49" s="146" t="n"/>
      <c r="AJ49" s="146" t="n"/>
    </row>
    <row r="50">
      <c r="B50" s="54" t="inlineStr">
        <is>
          <t>Ticker</t>
        </is>
      </c>
      <c r="C50" s="54">
        <f>IF(Expiries!$B16="","","#"&amp;Expiries!$B16&amp;" - "&amp;Expiries!$C16)</f>
        <v/>
      </c>
      <c r="D50" s="54">
        <f>IF(Expiries!$B17="","","#"&amp;Expiries!$B17&amp;" - "&amp;Expiries!$C17)</f>
        <v/>
      </c>
      <c r="E50" s="54">
        <f>IF(Expiries!$B18="","","#"&amp;Expiries!$B18&amp;" - "&amp;Expiries!$C18)</f>
        <v/>
      </c>
      <c r="F50" s="54">
        <f>IF(Expiries!$B19="","","#"&amp;Expiries!$B19&amp;" - "&amp;Expiries!$C19)</f>
        <v/>
      </c>
      <c r="G50" s="54">
        <f>IF(Expiries!$B20="","","#"&amp;Expiries!$B20&amp;" - "&amp;Expiries!$C20)</f>
        <v/>
      </c>
      <c r="H50" s="54">
        <f>IF(Expiries!$B21="","","#"&amp;Expiries!$B21&amp;" - "&amp;Expiries!$C21)</f>
        <v/>
      </c>
      <c r="I50" s="54">
        <f>IF(Expiries!$B22="","","#"&amp;Expiries!$B22&amp;" - "&amp;Expiries!$C22)</f>
        <v/>
      </c>
      <c r="J50" s="54">
        <f>IF(Expiries!$B23="","","#"&amp;Expiries!$B23&amp;" - "&amp;Expiries!$C23)</f>
        <v/>
      </c>
      <c r="K50" s="54">
        <f>IF(Expiries!$B24="","","#"&amp;Expiries!$B24&amp;" - "&amp;Expiries!$C24)</f>
        <v/>
      </c>
      <c r="L50" s="54">
        <f>IF(Expiries!$B25="","","#"&amp;Expiries!$B25&amp;" - "&amp;Expiries!$C25)</f>
        <v/>
      </c>
      <c r="M50" s="54">
        <f>IF(Expiries!$B26="","","#"&amp;Expiries!$B26&amp;" - "&amp;Expiries!$C26)</f>
        <v/>
      </c>
      <c r="N50" s="54">
        <f>IF(Expiries!$B27="","","#"&amp;Expiries!$B27&amp;" - "&amp;Expiries!$C27)</f>
        <v/>
      </c>
      <c r="O50" s="54">
        <f>IF(Expiries!$B28="","","#"&amp;Expiries!$B28&amp;" - "&amp;Expiries!$C28)</f>
        <v/>
      </c>
      <c r="P50" s="54">
        <f>IF(Expiries!$B29="","","#"&amp;Expiries!$B29&amp;" - "&amp;Expiries!$C29)</f>
        <v/>
      </c>
      <c r="Q50" s="54">
        <f>IF(Expiries!$B30="","","#"&amp;Expiries!$B30&amp;" - "&amp;Expiries!$C30)</f>
        <v/>
      </c>
      <c r="R50" s="54">
        <f>IF(Expiries!$B31="","","#"&amp;Expiries!$B31&amp;" - "&amp;Expiries!$C31)</f>
        <v/>
      </c>
      <c r="U50" s="146" t="n"/>
      <c r="V50" s="146" t="n"/>
      <c r="W50" s="146" t="n"/>
      <c r="X50" s="146" t="n"/>
      <c r="Y50" s="146" t="n"/>
      <c r="Z50" s="146" t="n"/>
      <c r="AA50" s="146" t="n"/>
      <c r="AB50" s="146" t="n"/>
      <c r="AC50" s="146" t="n"/>
      <c r="AD50" s="146" t="n"/>
      <c r="AE50" s="146" t="n"/>
      <c r="AF50" s="146" t="n"/>
      <c r="AG50" s="146" t="n"/>
      <c r="AH50" s="146" t="n"/>
      <c r="AI50" s="146" t="n"/>
      <c r="AJ50" s="146" t="n"/>
    </row>
    <row r="51">
      <c r="B51" s="5">
        <f>IF(AS51!$C$6="","",AS51!$C$6)</f>
        <v/>
      </c>
      <c r="C51" s="140">
        <f>IF(C$49="","",IF($B51="","",IFERROR(SUMIFS('Dvd Calendar'!$E$8:$CZ$8,'Dvd Calendar'!$E$7:$CZ$7,"&gt;"&amp;C$48,'Dvd Calendar'!$E$7:$CZ$7,"&lt;="&amp;C$49),"")))</f>
        <v/>
      </c>
      <c r="D51" s="140">
        <f>IF(D$49="","",IF($B51="","",IFERROR(SUMIFS('Dvd Calendar'!$E$8:$CZ$8,'Dvd Calendar'!$E$7:$CZ$7,"&gt;"&amp;D$48,'Dvd Calendar'!$E$7:$CZ$7,"&lt;="&amp;D$49),"")))</f>
        <v/>
      </c>
      <c r="E51" s="140">
        <f>IF(E$49="","",IF($B51="","",IFERROR(SUMIFS('Dvd Calendar'!$E$8:$CZ$8,'Dvd Calendar'!$E$7:$CZ$7,"&gt;"&amp;E$48,'Dvd Calendar'!$E$7:$CZ$7,"&lt;="&amp;E$49),"")))</f>
        <v/>
      </c>
      <c r="F51" s="140">
        <f>IF(F$49="","",IF($B51="","",IFERROR(SUMIFS('Dvd Calendar'!$E$8:$CZ$8,'Dvd Calendar'!$E$7:$CZ$7,"&gt;"&amp;F$48,'Dvd Calendar'!$E$7:$CZ$7,"&lt;="&amp;F$49),"")))</f>
        <v/>
      </c>
      <c r="G51" s="140">
        <f>IF(G$49="","",IF($B51="","",IFERROR(SUMIFS('Dvd Calendar'!$E$8:$CZ$8,'Dvd Calendar'!$E$7:$CZ$7,"&gt;"&amp;G$48,'Dvd Calendar'!$E$7:$CZ$7,"&lt;="&amp;G$49),"")))</f>
        <v/>
      </c>
      <c r="H51" s="140">
        <f>IF(H$49="","",IF($B51="","",IFERROR(SUMIFS('Dvd Calendar'!$E$8:$CZ$8,'Dvd Calendar'!$E$7:$CZ$7,"&gt;"&amp;H$48,'Dvd Calendar'!$E$7:$CZ$7,"&lt;="&amp;H$49),"")))</f>
        <v/>
      </c>
      <c r="I51" s="140">
        <f>IF(I$49="","",IF($B51="","",IFERROR(SUMIFS('Dvd Calendar'!$E$8:$CZ$8,'Dvd Calendar'!$E$7:$CZ$7,"&gt;"&amp;I$48,'Dvd Calendar'!$E$7:$CZ$7,"&lt;="&amp;I$49),"")))</f>
        <v/>
      </c>
      <c r="J51" s="140">
        <f>IF(J$49="","",IF($B51="","",IFERROR(SUMIFS('Dvd Calendar'!$E$8:$CZ$8,'Dvd Calendar'!$E$7:$CZ$7,"&gt;"&amp;J$48,'Dvd Calendar'!$E$7:$CZ$7,"&lt;="&amp;J$49),"")))</f>
        <v/>
      </c>
      <c r="K51" s="140">
        <f>IF(K$49="","",IF($B51="","",IFERROR(SUMIFS('Dvd Calendar'!$E$8:$CZ$8,'Dvd Calendar'!$E$7:$CZ$7,"&gt;"&amp;K$48,'Dvd Calendar'!$E$7:$CZ$7,"&lt;="&amp;K$49),"")))</f>
        <v/>
      </c>
      <c r="L51" s="140">
        <f>IF(L$49="","",IF($B51="","",IFERROR(SUMIFS('Dvd Calendar'!$E$8:$CZ$8,'Dvd Calendar'!$E$7:$CZ$7,"&gt;"&amp;L$48,'Dvd Calendar'!$E$7:$CZ$7,"&lt;="&amp;L$49),"")))</f>
        <v/>
      </c>
      <c r="M51" s="140">
        <f>IF(M$49="","",IF($B51="","",IFERROR(SUMIFS('Dvd Calendar'!$E$8:$CZ$8,'Dvd Calendar'!$E$7:$CZ$7,"&gt;"&amp;M$48,'Dvd Calendar'!$E$7:$CZ$7,"&lt;="&amp;M$49),"")))</f>
        <v/>
      </c>
      <c r="N51" s="140">
        <f>IF(N$49="","",IF($B51="","",IFERROR(SUMIFS('Dvd Calendar'!$E$8:$CZ$8,'Dvd Calendar'!$E$7:$CZ$7,"&gt;"&amp;N$48,'Dvd Calendar'!$E$7:$CZ$7,"&lt;="&amp;N$49),"")))</f>
        <v/>
      </c>
      <c r="O51" s="140">
        <f>IF(O$49="","",IF($B51="","",IFERROR(SUMIFS('Dvd Calendar'!$E$8:$CZ$8,'Dvd Calendar'!$E$7:$CZ$7,"&gt;"&amp;O$48,'Dvd Calendar'!$E$7:$CZ$7,"&lt;="&amp;O$49),"")))</f>
        <v/>
      </c>
      <c r="P51" s="140">
        <f>IF(P$49="","",IF($B51="","",IFERROR(SUMIFS('Dvd Calendar'!$E$8:$CZ$8,'Dvd Calendar'!$E$7:$CZ$7,"&gt;"&amp;P$48,'Dvd Calendar'!$E$7:$CZ$7,"&lt;="&amp;P$49),"")))</f>
        <v/>
      </c>
      <c r="Q51" s="140">
        <f>IF(Q$49="","",IF($B51="","",IFERROR(SUMIFS('Dvd Calendar'!$E$8:$CZ$8,'Dvd Calendar'!$E$7:$CZ$7,"&gt;"&amp;Q$48,'Dvd Calendar'!$E$7:$CZ$7,"&lt;="&amp;Q$49),"")))</f>
        <v/>
      </c>
      <c r="R51" s="140">
        <f>IF(R$49="","",IF($B51="","",IFERROR(SUMIFS('Dvd Calendar'!$E$8:$CZ$8,'Dvd Calendar'!$E$7:$CZ$7,"&gt;"&amp;R$48,'Dvd Calendar'!$E$7:$CZ$7,"&lt;="&amp;R$49),"")))</f>
        <v/>
      </c>
      <c r="U51" s="146" t="n"/>
      <c r="V51" s="146" t="n"/>
      <c r="W51" s="146" t="n"/>
      <c r="X51" s="146" t="n"/>
      <c r="Y51" s="146" t="n"/>
      <c r="Z51" s="146" t="n"/>
      <c r="AA51" s="146" t="n"/>
      <c r="AB51" s="146" t="n"/>
      <c r="AC51" s="146" t="n"/>
      <c r="AD51" s="146" t="n"/>
      <c r="AE51" s="146" t="n"/>
      <c r="AF51" s="146" t="n"/>
      <c r="AG51" s="146" t="n"/>
      <c r="AH51" s="146" t="n"/>
      <c r="AI51" s="146" t="n"/>
      <c r="AJ51" s="146" t="n"/>
    </row>
    <row r="52">
      <c r="B52" s="5">
        <f>IF(AS51!$C$7="","",AS51!$C$7)</f>
        <v/>
      </c>
      <c r="C52" s="140">
        <f>IF(C$49="","",IF($B52="","",IFERROR(SUMIFS('Dvd Calendar'!$E$10:$CZ$10,'Dvd Calendar'!$E$9:$CZ$9,"&gt;"&amp;C$48,'Dvd Calendar'!$E$9:$CZ$9,"&lt;="&amp;C$49),"")))</f>
        <v/>
      </c>
      <c r="D52" s="140">
        <f>IF(D$49="","",IF($B52="","",IFERROR(SUMIFS('Dvd Calendar'!$E$10:$CZ$10,'Dvd Calendar'!$E$9:$CZ$9,"&gt;"&amp;D$48,'Dvd Calendar'!$E$9:$CZ$9,"&lt;="&amp;D$49),"")))</f>
        <v/>
      </c>
      <c r="E52" s="140">
        <f>IF(E$49="","",IF($B52="","",IFERROR(SUMIFS('Dvd Calendar'!$E$10:$CZ$10,'Dvd Calendar'!$E$9:$CZ$9,"&gt;"&amp;E$48,'Dvd Calendar'!$E$9:$CZ$9,"&lt;="&amp;E$49),"")))</f>
        <v/>
      </c>
      <c r="F52" s="140">
        <f>IF(F$49="","",IF($B52="","",IFERROR(SUMIFS('Dvd Calendar'!$E$10:$CZ$10,'Dvd Calendar'!$E$9:$CZ$9,"&gt;"&amp;F$48,'Dvd Calendar'!$E$9:$CZ$9,"&lt;="&amp;F$49),"")))</f>
        <v/>
      </c>
      <c r="G52" s="140">
        <f>IF(G$49="","",IF($B52="","",IFERROR(SUMIFS('Dvd Calendar'!$E$10:$CZ$10,'Dvd Calendar'!$E$9:$CZ$9,"&gt;"&amp;G$48,'Dvd Calendar'!$E$9:$CZ$9,"&lt;="&amp;G$49),"")))</f>
        <v/>
      </c>
      <c r="H52" s="140">
        <f>IF(H$49="","",IF($B52="","",IFERROR(SUMIFS('Dvd Calendar'!$E$10:$CZ$10,'Dvd Calendar'!$E$9:$CZ$9,"&gt;"&amp;H$48,'Dvd Calendar'!$E$9:$CZ$9,"&lt;="&amp;H$49),"")))</f>
        <v/>
      </c>
      <c r="I52" s="140">
        <f>IF(I$49="","",IF($B52="","",IFERROR(SUMIFS('Dvd Calendar'!$E$10:$CZ$10,'Dvd Calendar'!$E$9:$CZ$9,"&gt;"&amp;I$48,'Dvd Calendar'!$E$9:$CZ$9,"&lt;="&amp;I$49),"")))</f>
        <v/>
      </c>
      <c r="J52" s="140">
        <f>IF(J$49="","",IF($B52="","",IFERROR(SUMIFS('Dvd Calendar'!$E$10:$CZ$10,'Dvd Calendar'!$E$9:$CZ$9,"&gt;"&amp;J$48,'Dvd Calendar'!$E$9:$CZ$9,"&lt;="&amp;J$49),"")))</f>
        <v/>
      </c>
      <c r="K52" s="140">
        <f>IF(K$49="","",IF($B52="","",IFERROR(SUMIFS('Dvd Calendar'!$E$10:$CZ$10,'Dvd Calendar'!$E$9:$CZ$9,"&gt;"&amp;K$48,'Dvd Calendar'!$E$9:$CZ$9,"&lt;="&amp;K$49),"")))</f>
        <v/>
      </c>
      <c r="L52" s="140">
        <f>IF(L$49="","",IF($B52="","",IFERROR(SUMIFS('Dvd Calendar'!$E$10:$CZ$10,'Dvd Calendar'!$E$9:$CZ$9,"&gt;"&amp;L$48,'Dvd Calendar'!$E$9:$CZ$9,"&lt;="&amp;L$49),"")))</f>
        <v/>
      </c>
      <c r="M52" s="140">
        <f>IF(M$49="","",IF($B52="","",IFERROR(SUMIFS('Dvd Calendar'!$E$10:$CZ$10,'Dvd Calendar'!$E$9:$CZ$9,"&gt;"&amp;M$48,'Dvd Calendar'!$E$9:$CZ$9,"&lt;="&amp;M$49),"")))</f>
        <v/>
      </c>
      <c r="N52" s="140">
        <f>IF(N$49="","",IF($B52="","",IFERROR(SUMIFS('Dvd Calendar'!$E$10:$CZ$10,'Dvd Calendar'!$E$9:$CZ$9,"&gt;"&amp;N$48,'Dvd Calendar'!$E$9:$CZ$9,"&lt;="&amp;N$49),"")))</f>
        <v/>
      </c>
      <c r="O52" s="140">
        <f>IF(O$49="","",IF($B52="","",IFERROR(SUMIFS('Dvd Calendar'!$E$10:$CZ$10,'Dvd Calendar'!$E$9:$CZ$9,"&gt;"&amp;O$48,'Dvd Calendar'!$E$9:$CZ$9,"&lt;="&amp;O$49),"")))</f>
        <v/>
      </c>
      <c r="P52" s="140">
        <f>IF(P$49="","",IF($B52="","",IFERROR(SUMIFS('Dvd Calendar'!$E$10:$CZ$10,'Dvd Calendar'!$E$9:$CZ$9,"&gt;"&amp;P$48,'Dvd Calendar'!$E$9:$CZ$9,"&lt;="&amp;P$49),"")))</f>
        <v/>
      </c>
      <c r="Q52" s="140">
        <f>IF(Q$49="","",IF($B52="","",IFERROR(SUMIFS('Dvd Calendar'!$E$10:$CZ$10,'Dvd Calendar'!$E$9:$CZ$9,"&gt;"&amp;Q$48,'Dvd Calendar'!$E$9:$CZ$9,"&lt;="&amp;Q$49),"")))</f>
        <v/>
      </c>
      <c r="R52" s="140">
        <f>IF(R$49="","",IF($B52="","",IFERROR(SUMIFS('Dvd Calendar'!$E$10:$CZ$10,'Dvd Calendar'!$E$9:$CZ$9,"&gt;"&amp;R$48,'Dvd Calendar'!$E$9:$CZ$9,"&lt;="&amp;R$49),"")))</f>
        <v/>
      </c>
      <c r="U52" s="146" t="n"/>
      <c r="V52" s="146" t="n"/>
      <c r="W52" s="146" t="n"/>
      <c r="X52" s="146" t="n"/>
      <c r="Y52" s="146" t="n"/>
      <c r="Z52" s="146" t="n"/>
      <c r="AA52" s="146" t="n"/>
      <c r="AB52" s="146" t="n"/>
      <c r="AC52" s="146" t="n"/>
      <c r="AD52" s="146" t="n"/>
      <c r="AE52" s="146" t="n"/>
      <c r="AF52" s="146" t="n"/>
      <c r="AG52" s="146" t="n"/>
      <c r="AH52" s="146" t="n"/>
      <c r="AI52" s="146" t="n"/>
      <c r="AJ52" s="146" t="n"/>
    </row>
    <row r="53">
      <c r="B53" s="5">
        <f>IF(AS51!$C$8="","",AS51!$C$8)</f>
        <v/>
      </c>
      <c r="C53" s="140">
        <f>IF(C$49="","",IF($B53="","",IFERROR(SUMIFS('Dvd Calendar'!$E$12:$CZ$12,'Dvd Calendar'!$E$11:$CZ$11,"&gt;"&amp;C$48,'Dvd Calendar'!$E$11:$CZ$11,"&lt;="&amp;C$49),"")))</f>
        <v/>
      </c>
      <c r="D53" s="140">
        <f>IF(D$49="","",IF($B53="","",IFERROR(SUMIFS('Dvd Calendar'!$E$12:$CZ$12,'Dvd Calendar'!$E$11:$CZ$11,"&gt;"&amp;D$48,'Dvd Calendar'!$E$11:$CZ$11,"&lt;="&amp;D$49),"")))</f>
        <v/>
      </c>
      <c r="E53" s="140">
        <f>IF(E$49="","",IF($B53="","",IFERROR(SUMIFS('Dvd Calendar'!$E$12:$CZ$12,'Dvd Calendar'!$E$11:$CZ$11,"&gt;"&amp;E$48,'Dvd Calendar'!$E$11:$CZ$11,"&lt;="&amp;E$49),"")))</f>
        <v/>
      </c>
      <c r="F53" s="140">
        <f>IF(F$49="","",IF($B53="","",IFERROR(SUMIFS('Dvd Calendar'!$E$12:$CZ$12,'Dvd Calendar'!$E$11:$CZ$11,"&gt;"&amp;F$48,'Dvd Calendar'!$E$11:$CZ$11,"&lt;="&amp;F$49),"")))</f>
        <v/>
      </c>
      <c r="G53" s="140">
        <f>IF(G$49="","",IF($B53="","",IFERROR(SUMIFS('Dvd Calendar'!$E$12:$CZ$12,'Dvd Calendar'!$E$11:$CZ$11,"&gt;"&amp;G$48,'Dvd Calendar'!$E$11:$CZ$11,"&lt;="&amp;G$49),"")))</f>
        <v/>
      </c>
      <c r="H53" s="140">
        <f>IF(H$49="","",IF($B53="","",IFERROR(SUMIFS('Dvd Calendar'!$E$12:$CZ$12,'Dvd Calendar'!$E$11:$CZ$11,"&gt;"&amp;H$48,'Dvd Calendar'!$E$11:$CZ$11,"&lt;="&amp;H$49),"")))</f>
        <v/>
      </c>
      <c r="I53" s="140">
        <f>IF(I$49="","",IF($B53="","",IFERROR(SUMIFS('Dvd Calendar'!$E$12:$CZ$12,'Dvd Calendar'!$E$11:$CZ$11,"&gt;"&amp;I$48,'Dvd Calendar'!$E$11:$CZ$11,"&lt;="&amp;I$49),"")))</f>
        <v/>
      </c>
      <c r="J53" s="140">
        <f>IF(J$49="","",IF($B53="","",IFERROR(SUMIFS('Dvd Calendar'!$E$12:$CZ$12,'Dvd Calendar'!$E$11:$CZ$11,"&gt;"&amp;J$48,'Dvd Calendar'!$E$11:$CZ$11,"&lt;="&amp;J$49),"")))</f>
        <v/>
      </c>
      <c r="K53" s="140">
        <f>IF(K$49="","",IF($B53="","",IFERROR(SUMIFS('Dvd Calendar'!$E$12:$CZ$12,'Dvd Calendar'!$E$11:$CZ$11,"&gt;"&amp;K$48,'Dvd Calendar'!$E$11:$CZ$11,"&lt;="&amp;K$49),"")))</f>
        <v/>
      </c>
      <c r="L53" s="140">
        <f>IF(L$49="","",IF($B53="","",IFERROR(SUMIFS('Dvd Calendar'!$E$12:$CZ$12,'Dvd Calendar'!$E$11:$CZ$11,"&gt;"&amp;L$48,'Dvd Calendar'!$E$11:$CZ$11,"&lt;="&amp;L$49),"")))</f>
        <v/>
      </c>
      <c r="M53" s="140">
        <f>IF(M$49="","",IF($B53="","",IFERROR(SUMIFS('Dvd Calendar'!$E$12:$CZ$12,'Dvd Calendar'!$E$11:$CZ$11,"&gt;"&amp;M$48,'Dvd Calendar'!$E$11:$CZ$11,"&lt;="&amp;M$49),"")))</f>
        <v/>
      </c>
      <c r="N53" s="140">
        <f>IF(N$49="","",IF($B53="","",IFERROR(SUMIFS('Dvd Calendar'!$E$12:$CZ$12,'Dvd Calendar'!$E$11:$CZ$11,"&gt;"&amp;N$48,'Dvd Calendar'!$E$11:$CZ$11,"&lt;="&amp;N$49),"")))</f>
        <v/>
      </c>
      <c r="O53" s="140">
        <f>IF(O$49="","",IF($B53="","",IFERROR(SUMIFS('Dvd Calendar'!$E$12:$CZ$12,'Dvd Calendar'!$E$11:$CZ$11,"&gt;"&amp;O$48,'Dvd Calendar'!$E$11:$CZ$11,"&lt;="&amp;O$49),"")))</f>
        <v/>
      </c>
      <c r="P53" s="140">
        <f>IF(P$49="","",IF($B53="","",IFERROR(SUMIFS('Dvd Calendar'!$E$12:$CZ$12,'Dvd Calendar'!$E$11:$CZ$11,"&gt;"&amp;P$48,'Dvd Calendar'!$E$11:$CZ$11,"&lt;="&amp;P$49),"")))</f>
        <v/>
      </c>
      <c r="Q53" s="140">
        <f>IF(Q$49="","",IF($B53="","",IFERROR(SUMIFS('Dvd Calendar'!$E$12:$CZ$12,'Dvd Calendar'!$E$11:$CZ$11,"&gt;"&amp;Q$48,'Dvd Calendar'!$E$11:$CZ$11,"&lt;="&amp;Q$49),"")))</f>
        <v/>
      </c>
      <c r="R53" s="140">
        <f>IF(R$49="","",IF($B53="","",IFERROR(SUMIFS('Dvd Calendar'!$E$12:$CZ$12,'Dvd Calendar'!$E$11:$CZ$11,"&gt;"&amp;R$48,'Dvd Calendar'!$E$11:$CZ$11,"&lt;="&amp;R$49),"")))</f>
        <v/>
      </c>
      <c r="U53" s="146" t="n"/>
      <c r="V53" s="146" t="n"/>
      <c r="W53" s="146" t="n"/>
      <c r="X53" s="146" t="n"/>
      <c r="Y53" s="146" t="n"/>
      <c r="Z53" s="146" t="n"/>
      <c r="AA53" s="146" t="n"/>
      <c r="AB53" s="146" t="n"/>
      <c r="AC53" s="146" t="n"/>
      <c r="AD53" s="146" t="n"/>
      <c r="AE53" s="146" t="n"/>
      <c r="AF53" s="146" t="n"/>
      <c r="AG53" s="146" t="n"/>
      <c r="AH53" s="146" t="n"/>
      <c r="AI53" s="146" t="n"/>
      <c r="AJ53" s="146" t="n"/>
    </row>
    <row r="54">
      <c r="B54" s="5">
        <f>IF(AS51!$C$9="","",AS51!$C$9)</f>
        <v/>
      </c>
      <c r="C54" s="140">
        <f>IF(C$49="","",IF($B54="","",IFERROR(SUMIFS('Dvd Calendar'!$E$14:$CZ$14,'Dvd Calendar'!$E$13:$CZ$13,"&gt;"&amp;C$48,'Dvd Calendar'!$E$13:$CZ$13,"&lt;="&amp;C$49),"")))</f>
        <v/>
      </c>
      <c r="D54" s="140">
        <f>IF(D$49="","",IF($B54="","",IFERROR(SUMIFS('Dvd Calendar'!$E$14:$CZ$14,'Dvd Calendar'!$E$13:$CZ$13,"&gt;"&amp;D$48,'Dvd Calendar'!$E$13:$CZ$13,"&lt;="&amp;D$49),"")))</f>
        <v/>
      </c>
      <c r="E54" s="140">
        <f>IF(E$49="","",IF($B54="","",IFERROR(SUMIFS('Dvd Calendar'!$E$14:$CZ$14,'Dvd Calendar'!$E$13:$CZ$13,"&gt;"&amp;E$48,'Dvd Calendar'!$E$13:$CZ$13,"&lt;="&amp;E$49),"")))</f>
        <v/>
      </c>
      <c r="F54" s="140">
        <f>IF(F$49="","",IF($B54="","",IFERROR(SUMIFS('Dvd Calendar'!$E$14:$CZ$14,'Dvd Calendar'!$E$13:$CZ$13,"&gt;"&amp;F$48,'Dvd Calendar'!$E$13:$CZ$13,"&lt;="&amp;F$49),"")))</f>
        <v/>
      </c>
      <c r="G54" s="140">
        <f>IF(G$49="","",IF($B54="","",IFERROR(SUMIFS('Dvd Calendar'!$E$14:$CZ$14,'Dvd Calendar'!$E$13:$CZ$13,"&gt;"&amp;G$48,'Dvd Calendar'!$E$13:$CZ$13,"&lt;="&amp;G$49),"")))</f>
        <v/>
      </c>
      <c r="H54" s="140">
        <f>IF(H$49="","",IF($B54="","",IFERROR(SUMIFS('Dvd Calendar'!$E$14:$CZ$14,'Dvd Calendar'!$E$13:$CZ$13,"&gt;"&amp;H$48,'Dvd Calendar'!$E$13:$CZ$13,"&lt;="&amp;H$49),"")))</f>
        <v/>
      </c>
      <c r="I54" s="140">
        <f>IF(I$49="","",IF($B54="","",IFERROR(SUMIFS('Dvd Calendar'!$E$14:$CZ$14,'Dvd Calendar'!$E$13:$CZ$13,"&gt;"&amp;I$48,'Dvd Calendar'!$E$13:$CZ$13,"&lt;="&amp;I$49),"")))</f>
        <v/>
      </c>
      <c r="J54" s="140">
        <f>IF(J$49="","",IF($B54="","",IFERROR(SUMIFS('Dvd Calendar'!$E$14:$CZ$14,'Dvd Calendar'!$E$13:$CZ$13,"&gt;"&amp;J$48,'Dvd Calendar'!$E$13:$CZ$13,"&lt;="&amp;J$49),"")))</f>
        <v/>
      </c>
      <c r="K54" s="140">
        <f>IF(K$49="","",IF($B54="","",IFERROR(SUMIFS('Dvd Calendar'!$E$14:$CZ$14,'Dvd Calendar'!$E$13:$CZ$13,"&gt;"&amp;K$48,'Dvd Calendar'!$E$13:$CZ$13,"&lt;="&amp;K$49),"")))</f>
        <v/>
      </c>
      <c r="L54" s="140">
        <f>IF(L$49="","",IF($B54="","",IFERROR(SUMIFS('Dvd Calendar'!$E$14:$CZ$14,'Dvd Calendar'!$E$13:$CZ$13,"&gt;"&amp;L$48,'Dvd Calendar'!$E$13:$CZ$13,"&lt;="&amp;L$49),"")))</f>
        <v/>
      </c>
      <c r="M54" s="140">
        <f>IF(M$49="","",IF($B54="","",IFERROR(SUMIFS('Dvd Calendar'!$E$14:$CZ$14,'Dvd Calendar'!$E$13:$CZ$13,"&gt;"&amp;M$48,'Dvd Calendar'!$E$13:$CZ$13,"&lt;="&amp;M$49),"")))</f>
        <v/>
      </c>
      <c r="N54" s="140">
        <f>IF(N$49="","",IF($B54="","",IFERROR(SUMIFS('Dvd Calendar'!$E$14:$CZ$14,'Dvd Calendar'!$E$13:$CZ$13,"&gt;"&amp;N$48,'Dvd Calendar'!$E$13:$CZ$13,"&lt;="&amp;N$49),"")))</f>
        <v/>
      </c>
      <c r="O54" s="140">
        <f>IF(O$49="","",IF($B54="","",IFERROR(SUMIFS('Dvd Calendar'!$E$14:$CZ$14,'Dvd Calendar'!$E$13:$CZ$13,"&gt;"&amp;O$48,'Dvd Calendar'!$E$13:$CZ$13,"&lt;="&amp;O$49),"")))</f>
        <v/>
      </c>
      <c r="P54" s="140">
        <f>IF(P$49="","",IF($B54="","",IFERROR(SUMIFS('Dvd Calendar'!$E$14:$CZ$14,'Dvd Calendar'!$E$13:$CZ$13,"&gt;"&amp;P$48,'Dvd Calendar'!$E$13:$CZ$13,"&lt;="&amp;P$49),"")))</f>
        <v/>
      </c>
      <c r="Q54" s="140">
        <f>IF(Q$49="","",IF($B54="","",IFERROR(SUMIFS('Dvd Calendar'!$E$14:$CZ$14,'Dvd Calendar'!$E$13:$CZ$13,"&gt;"&amp;Q$48,'Dvd Calendar'!$E$13:$CZ$13,"&lt;="&amp;Q$49),"")))</f>
        <v/>
      </c>
      <c r="R54" s="140">
        <f>IF(R$49="","",IF($B54="","",IFERROR(SUMIFS('Dvd Calendar'!$E$14:$CZ$14,'Dvd Calendar'!$E$13:$CZ$13,"&gt;"&amp;R$48,'Dvd Calendar'!$E$13:$CZ$13,"&lt;="&amp;R$49),"")))</f>
        <v/>
      </c>
      <c r="U54" s="146" t="n"/>
      <c r="V54" s="146" t="n"/>
      <c r="W54" s="146" t="n"/>
      <c r="X54" s="146" t="n"/>
      <c r="Y54" s="146" t="n"/>
      <c r="Z54" s="146" t="n"/>
      <c r="AA54" s="146" t="n"/>
      <c r="AB54" s="146" t="n"/>
      <c r="AC54" s="146" t="n"/>
      <c r="AD54" s="146" t="n"/>
      <c r="AE54" s="146" t="n"/>
      <c r="AF54" s="146" t="n"/>
      <c r="AG54" s="146" t="n"/>
      <c r="AH54" s="146" t="n"/>
      <c r="AI54" s="146" t="n"/>
      <c r="AJ54" s="146" t="n"/>
    </row>
    <row r="55">
      <c r="B55" s="5">
        <f>IF(AS51!$C$10="","",AS51!$C$10)</f>
        <v/>
      </c>
      <c r="C55" s="140">
        <f>IF(C$49="","",IF($B55="","",IFERROR(SUMIFS('Dvd Calendar'!$E$16:$CZ$16,'Dvd Calendar'!$E$15:$CZ$15,"&gt;"&amp;C$48,'Dvd Calendar'!$E$15:$CZ$15,"&lt;="&amp;C$49),"")))</f>
        <v/>
      </c>
      <c r="D55" s="140">
        <f>IF(D$49="","",IF($B55="","",IFERROR(SUMIFS('Dvd Calendar'!$E$16:$CZ$16,'Dvd Calendar'!$E$15:$CZ$15,"&gt;"&amp;D$48,'Dvd Calendar'!$E$15:$CZ$15,"&lt;="&amp;D$49),"")))</f>
        <v/>
      </c>
      <c r="E55" s="140">
        <f>IF(E$49="","",IF($B55="","",IFERROR(SUMIFS('Dvd Calendar'!$E$16:$CZ$16,'Dvd Calendar'!$E$15:$CZ$15,"&gt;"&amp;E$48,'Dvd Calendar'!$E$15:$CZ$15,"&lt;="&amp;E$49),"")))</f>
        <v/>
      </c>
      <c r="F55" s="140">
        <f>IF(F$49="","",IF($B55="","",IFERROR(SUMIFS('Dvd Calendar'!$E$16:$CZ$16,'Dvd Calendar'!$E$15:$CZ$15,"&gt;"&amp;F$48,'Dvd Calendar'!$E$15:$CZ$15,"&lt;="&amp;F$49),"")))</f>
        <v/>
      </c>
      <c r="G55" s="140">
        <f>IF(G$49="","",IF($B55="","",IFERROR(SUMIFS('Dvd Calendar'!$E$16:$CZ$16,'Dvd Calendar'!$E$15:$CZ$15,"&gt;"&amp;G$48,'Dvd Calendar'!$E$15:$CZ$15,"&lt;="&amp;G$49),"")))</f>
        <v/>
      </c>
      <c r="H55" s="140">
        <f>IF(H$49="","",IF($B55="","",IFERROR(SUMIFS('Dvd Calendar'!$E$16:$CZ$16,'Dvd Calendar'!$E$15:$CZ$15,"&gt;"&amp;H$48,'Dvd Calendar'!$E$15:$CZ$15,"&lt;="&amp;H$49),"")))</f>
        <v/>
      </c>
      <c r="I55" s="140">
        <f>IF(I$49="","",IF($B55="","",IFERROR(SUMIFS('Dvd Calendar'!$E$16:$CZ$16,'Dvd Calendar'!$E$15:$CZ$15,"&gt;"&amp;I$48,'Dvd Calendar'!$E$15:$CZ$15,"&lt;="&amp;I$49),"")))</f>
        <v/>
      </c>
      <c r="J55" s="140">
        <f>IF(J$49="","",IF($B55="","",IFERROR(SUMIFS('Dvd Calendar'!$E$16:$CZ$16,'Dvd Calendar'!$E$15:$CZ$15,"&gt;"&amp;J$48,'Dvd Calendar'!$E$15:$CZ$15,"&lt;="&amp;J$49),"")))</f>
        <v/>
      </c>
      <c r="K55" s="140">
        <f>IF(K$49="","",IF($B55="","",IFERROR(SUMIFS('Dvd Calendar'!$E$16:$CZ$16,'Dvd Calendar'!$E$15:$CZ$15,"&gt;"&amp;K$48,'Dvd Calendar'!$E$15:$CZ$15,"&lt;="&amp;K$49),"")))</f>
        <v/>
      </c>
      <c r="L55" s="140">
        <f>IF(L$49="","",IF($B55="","",IFERROR(SUMIFS('Dvd Calendar'!$E$16:$CZ$16,'Dvd Calendar'!$E$15:$CZ$15,"&gt;"&amp;L$48,'Dvd Calendar'!$E$15:$CZ$15,"&lt;="&amp;L$49),"")))</f>
        <v/>
      </c>
      <c r="M55" s="140">
        <f>IF(M$49="","",IF($B55="","",IFERROR(SUMIFS('Dvd Calendar'!$E$16:$CZ$16,'Dvd Calendar'!$E$15:$CZ$15,"&gt;"&amp;M$48,'Dvd Calendar'!$E$15:$CZ$15,"&lt;="&amp;M$49),"")))</f>
        <v/>
      </c>
      <c r="N55" s="140">
        <f>IF(N$49="","",IF($B55="","",IFERROR(SUMIFS('Dvd Calendar'!$E$16:$CZ$16,'Dvd Calendar'!$E$15:$CZ$15,"&gt;"&amp;N$48,'Dvd Calendar'!$E$15:$CZ$15,"&lt;="&amp;N$49),"")))</f>
        <v/>
      </c>
      <c r="O55" s="140">
        <f>IF(O$49="","",IF($B55="","",IFERROR(SUMIFS('Dvd Calendar'!$E$16:$CZ$16,'Dvd Calendar'!$E$15:$CZ$15,"&gt;"&amp;O$48,'Dvd Calendar'!$E$15:$CZ$15,"&lt;="&amp;O$49),"")))</f>
        <v/>
      </c>
      <c r="P55" s="140">
        <f>IF(P$49="","",IF($B55="","",IFERROR(SUMIFS('Dvd Calendar'!$E$16:$CZ$16,'Dvd Calendar'!$E$15:$CZ$15,"&gt;"&amp;P$48,'Dvd Calendar'!$E$15:$CZ$15,"&lt;="&amp;P$49),"")))</f>
        <v/>
      </c>
      <c r="Q55" s="140">
        <f>IF(Q$49="","",IF($B55="","",IFERROR(SUMIFS('Dvd Calendar'!$E$16:$CZ$16,'Dvd Calendar'!$E$15:$CZ$15,"&gt;"&amp;Q$48,'Dvd Calendar'!$E$15:$CZ$15,"&lt;="&amp;Q$49),"")))</f>
        <v/>
      </c>
      <c r="R55" s="140">
        <f>IF(R$49="","",IF($B55="","",IFERROR(SUMIFS('Dvd Calendar'!$E$16:$CZ$16,'Dvd Calendar'!$E$15:$CZ$15,"&gt;"&amp;R$48,'Dvd Calendar'!$E$15:$CZ$15,"&lt;="&amp;R$49),"")))</f>
        <v/>
      </c>
      <c r="U55" s="146" t="n"/>
      <c r="V55" s="146" t="n"/>
      <c r="W55" s="146" t="n"/>
      <c r="X55" s="146" t="n"/>
      <c r="Y55" s="146" t="n"/>
      <c r="Z55" s="146" t="n"/>
      <c r="AA55" s="146" t="n"/>
      <c r="AB55" s="146" t="n"/>
      <c r="AC55" s="146" t="n"/>
      <c r="AD55" s="146" t="n"/>
      <c r="AE55" s="146" t="n"/>
      <c r="AF55" s="146" t="n"/>
      <c r="AG55" s="146" t="n"/>
      <c r="AH55" s="146" t="n"/>
      <c r="AI55" s="146" t="n"/>
      <c r="AJ55" s="146" t="n"/>
    </row>
    <row r="56">
      <c r="B56" s="5">
        <f>IF(AS51!$C$11="","",AS51!$C$11)</f>
        <v/>
      </c>
      <c r="C56" s="140">
        <f>IF(C$49="","",IF($B56="","",IFERROR(SUMIFS('Dvd Calendar'!$E$18:$CZ$18,'Dvd Calendar'!$E$17:$CZ$17,"&gt;"&amp;C$48,'Dvd Calendar'!$E$17:$CZ$17,"&lt;="&amp;C$49),"")))</f>
        <v/>
      </c>
      <c r="D56" s="140">
        <f>IF(D$49="","",IF($B56="","",IFERROR(SUMIFS('Dvd Calendar'!$E$18:$CZ$18,'Dvd Calendar'!$E$17:$CZ$17,"&gt;"&amp;D$48,'Dvd Calendar'!$E$17:$CZ$17,"&lt;="&amp;D$49),"")))</f>
        <v/>
      </c>
      <c r="E56" s="140">
        <f>IF(E$49="","",IF($B56="","",IFERROR(SUMIFS('Dvd Calendar'!$E$18:$CZ$18,'Dvd Calendar'!$E$17:$CZ$17,"&gt;"&amp;E$48,'Dvd Calendar'!$E$17:$CZ$17,"&lt;="&amp;E$49),"")))</f>
        <v/>
      </c>
      <c r="F56" s="140">
        <f>IF(F$49="","",IF($B56="","",IFERROR(SUMIFS('Dvd Calendar'!$E$18:$CZ$18,'Dvd Calendar'!$E$17:$CZ$17,"&gt;"&amp;F$48,'Dvd Calendar'!$E$17:$CZ$17,"&lt;="&amp;F$49),"")))</f>
        <v/>
      </c>
      <c r="G56" s="140">
        <f>IF(G$49="","",IF($B56="","",IFERROR(SUMIFS('Dvd Calendar'!$E$18:$CZ$18,'Dvd Calendar'!$E$17:$CZ$17,"&gt;"&amp;G$48,'Dvd Calendar'!$E$17:$CZ$17,"&lt;="&amp;G$49),"")))</f>
        <v/>
      </c>
      <c r="H56" s="140">
        <f>IF(H$49="","",IF($B56="","",IFERROR(SUMIFS('Dvd Calendar'!$E$18:$CZ$18,'Dvd Calendar'!$E$17:$CZ$17,"&gt;"&amp;H$48,'Dvd Calendar'!$E$17:$CZ$17,"&lt;="&amp;H$49),"")))</f>
        <v/>
      </c>
      <c r="I56" s="140">
        <f>IF(I$49="","",IF($B56="","",IFERROR(SUMIFS('Dvd Calendar'!$E$18:$CZ$18,'Dvd Calendar'!$E$17:$CZ$17,"&gt;"&amp;I$48,'Dvd Calendar'!$E$17:$CZ$17,"&lt;="&amp;I$49),"")))</f>
        <v/>
      </c>
      <c r="J56" s="140">
        <f>IF(J$49="","",IF($B56="","",IFERROR(SUMIFS('Dvd Calendar'!$E$18:$CZ$18,'Dvd Calendar'!$E$17:$CZ$17,"&gt;"&amp;J$48,'Dvd Calendar'!$E$17:$CZ$17,"&lt;="&amp;J$49),"")))</f>
        <v/>
      </c>
      <c r="K56" s="140">
        <f>IF(K$49="","",IF($B56="","",IFERROR(SUMIFS('Dvd Calendar'!$E$18:$CZ$18,'Dvd Calendar'!$E$17:$CZ$17,"&gt;"&amp;K$48,'Dvd Calendar'!$E$17:$CZ$17,"&lt;="&amp;K$49),"")))</f>
        <v/>
      </c>
      <c r="L56" s="140">
        <f>IF(L$49="","",IF($B56="","",IFERROR(SUMIFS('Dvd Calendar'!$E$18:$CZ$18,'Dvd Calendar'!$E$17:$CZ$17,"&gt;"&amp;L$48,'Dvd Calendar'!$E$17:$CZ$17,"&lt;="&amp;L$49),"")))</f>
        <v/>
      </c>
      <c r="M56" s="140">
        <f>IF(M$49="","",IF($B56="","",IFERROR(SUMIFS('Dvd Calendar'!$E$18:$CZ$18,'Dvd Calendar'!$E$17:$CZ$17,"&gt;"&amp;M$48,'Dvd Calendar'!$E$17:$CZ$17,"&lt;="&amp;M$49),"")))</f>
        <v/>
      </c>
      <c r="N56" s="140">
        <f>IF(N$49="","",IF($B56="","",IFERROR(SUMIFS('Dvd Calendar'!$E$18:$CZ$18,'Dvd Calendar'!$E$17:$CZ$17,"&gt;"&amp;N$48,'Dvd Calendar'!$E$17:$CZ$17,"&lt;="&amp;N$49),"")))</f>
        <v/>
      </c>
      <c r="O56" s="140">
        <f>IF(O$49="","",IF($B56="","",IFERROR(SUMIFS('Dvd Calendar'!$E$18:$CZ$18,'Dvd Calendar'!$E$17:$CZ$17,"&gt;"&amp;O$48,'Dvd Calendar'!$E$17:$CZ$17,"&lt;="&amp;O$49),"")))</f>
        <v/>
      </c>
      <c r="P56" s="140">
        <f>IF(P$49="","",IF($B56="","",IFERROR(SUMIFS('Dvd Calendar'!$E$18:$CZ$18,'Dvd Calendar'!$E$17:$CZ$17,"&gt;"&amp;P$48,'Dvd Calendar'!$E$17:$CZ$17,"&lt;="&amp;P$49),"")))</f>
        <v/>
      </c>
      <c r="Q56" s="140">
        <f>IF(Q$49="","",IF($B56="","",IFERROR(SUMIFS('Dvd Calendar'!$E$18:$CZ$18,'Dvd Calendar'!$E$17:$CZ$17,"&gt;"&amp;Q$48,'Dvd Calendar'!$E$17:$CZ$17,"&lt;="&amp;Q$49),"")))</f>
        <v/>
      </c>
      <c r="R56" s="140">
        <f>IF(R$49="","",IF($B56="","",IFERROR(SUMIFS('Dvd Calendar'!$E$18:$CZ$18,'Dvd Calendar'!$E$17:$CZ$17,"&gt;"&amp;R$48,'Dvd Calendar'!$E$17:$CZ$17,"&lt;="&amp;R$49),"")))</f>
        <v/>
      </c>
      <c r="U56" s="146" t="n"/>
      <c r="V56" s="146" t="n"/>
      <c r="W56" s="146" t="n"/>
      <c r="X56" s="146" t="n"/>
      <c r="Y56" s="146" t="n"/>
      <c r="Z56" s="146" t="n"/>
      <c r="AA56" s="146" t="n"/>
      <c r="AB56" s="146" t="n"/>
      <c r="AC56" s="146" t="n"/>
      <c r="AD56" s="146" t="n"/>
      <c r="AE56" s="146" t="n"/>
      <c r="AF56" s="146" t="n"/>
      <c r="AG56" s="146" t="n"/>
      <c r="AH56" s="146" t="n"/>
      <c r="AI56" s="146" t="n"/>
      <c r="AJ56" s="146" t="n"/>
    </row>
    <row r="57">
      <c r="B57" s="5">
        <f>IF(AS51!$C$12="","",AS51!$C$12)</f>
        <v/>
      </c>
      <c r="C57" s="140">
        <f>IF(C$49="","",IF($B57="","",IFERROR(SUMIFS('Dvd Calendar'!$E$20:$CZ$20,'Dvd Calendar'!$E$19:$CZ$19,"&gt;"&amp;C$48,'Dvd Calendar'!$E$19:$CZ$19,"&lt;="&amp;C$49),"")))</f>
        <v/>
      </c>
      <c r="D57" s="140">
        <f>IF(D$49="","",IF($B57="","",IFERROR(SUMIFS('Dvd Calendar'!$E$20:$CZ$20,'Dvd Calendar'!$E$19:$CZ$19,"&gt;"&amp;D$48,'Dvd Calendar'!$E$19:$CZ$19,"&lt;="&amp;D$49),"")))</f>
        <v/>
      </c>
      <c r="E57" s="140">
        <f>IF(E$49="","",IF($B57="","",IFERROR(SUMIFS('Dvd Calendar'!$E$20:$CZ$20,'Dvd Calendar'!$E$19:$CZ$19,"&gt;"&amp;E$48,'Dvd Calendar'!$E$19:$CZ$19,"&lt;="&amp;E$49),"")))</f>
        <v/>
      </c>
      <c r="F57" s="140">
        <f>IF(F$49="","",IF($B57="","",IFERROR(SUMIFS('Dvd Calendar'!$E$20:$CZ$20,'Dvd Calendar'!$E$19:$CZ$19,"&gt;"&amp;F$48,'Dvd Calendar'!$E$19:$CZ$19,"&lt;="&amp;F$49),"")))</f>
        <v/>
      </c>
      <c r="G57" s="140">
        <f>IF(G$49="","",IF($B57="","",IFERROR(SUMIFS('Dvd Calendar'!$E$20:$CZ$20,'Dvd Calendar'!$E$19:$CZ$19,"&gt;"&amp;G$48,'Dvd Calendar'!$E$19:$CZ$19,"&lt;="&amp;G$49),"")))</f>
        <v/>
      </c>
      <c r="H57" s="140">
        <f>IF(H$49="","",IF($B57="","",IFERROR(SUMIFS('Dvd Calendar'!$E$20:$CZ$20,'Dvd Calendar'!$E$19:$CZ$19,"&gt;"&amp;H$48,'Dvd Calendar'!$E$19:$CZ$19,"&lt;="&amp;H$49),"")))</f>
        <v/>
      </c>
      <c r="I57" s="140">
        <f>IF(I$49="","",IF($B57="","",IFERROR(SUMIFS('Dvd Calendar'!$E$20:$CZ$20,'Dvd Calendar'!$E$19:$CZ$19,"&gt;"&amp;I$48,'Dvd Calendar'!$E$19:$CZ$19,"&lt;="&amp;I$49),"")))</f>
        <v/>
      </c>
      <c r="J57" s="140">
        <f>IF(J$49="","",IF($B57="","",IFERROR(SUMIFS('Dvd Calendar'!$E$20:$CZ$20,'Dvd Calendar'!$E$19:$CZ$19,"&gt;"&amp;J$48,'Dvd Calendar'!$E$19:$CZ$19,"&lt;="&amp;J$49),"")))</f>
        <v/>
      </c>
      <c r="K57" s="140">
        <f>IF(K$49="","",IF($B57="","",IFERROR(SUMIFS('Dvd Calendar'!$E$20:$CZ$20,'Dvd Calendar'!$E$19:$CZ$19,"&gt;"&amp;K$48,'Dvd Calendar'!$E$19:$CZ$19,"&lt;="&amp;K$49),"")))</f>
        <v/>
      </c>
      <c r="L57" s="140">
        <f>IF(L$49="","",IF($B57="","",IFERROR(SUMIFS('Dvd Calendar'!$E$20:$CZ$20,'Dvd Calendar'!$E$19:$CZ$19,"&gt;"&amp;L$48,'Dvd Calendar'!$E$19:$CZ$19,"&lt;="&amp;L$49),"")))</f>
        <v/>
      </c>
      <c r="M57" s="140">
        <f>IF(M$49="","",IF($B57="","",IFERROR(SUMIFS('Dvd Calendar'!$E$20:$CZ$20,'Dvd Calendar'!$E$19:$CZ$19,"&gt;"&amp;M$48,'Dvd Calendar'!$E$19:$CZ$19,"&lt;="&amp;M$49),"")))</f>
        <v/>
      </c>
      <c r="N57" s="140">
        <f>IF(N$49="","",IF($B57="","",IFERROR(SUMIFS('Dvd Calendar'!$E$20:$CZ$20,'Dvd Calendar'!$E$19:$CZ$19,"&gt;"&amp;N$48,'Dvd Calendar'!$E$19:$CZ$19,"&lt;="&amp;N$49),"")))</f>
        <v/>
      </c>
      <c r="O57" s="140">
        <f>IF(O$49="","",IF($B57="","",IFERROR(SUMIFS('Dvd Calendar'!$E$20:$CZ$20,'Dvd Calendar'!$E$19:$CZ$19,"&gt;"&amp;O$48,'Dvd Calendar'!$E$19:$CZ$19,"&lt;="&amp;O$49),"")))</f>
        <v/>
      </c>
      <c r="P57" s="140">
        <f>IF(P$49="","",IF($B57="","",IFERROR(SUMIFS('Dvd Calendar'!$E$20:$CZ$20,'Dvd Calendar'!$E$19:$CZ$19,"&gt;"&amp;P$48,'Dvd Calendar'!$E$19:$CZ$19,"&lt;="&amp;P$49),"")))</f>
        <v/>
      </c>
      <c r="Q57" s="140">
        <f>IF(Q$49="","",IF($B57="","",IFERROR(SUMIFS('Dvd Calendar'!$E$20:$CZ$20,'Dvd Calendar'!$E$19:$CZ$19,"&gt;"&amp;Q$48,'Dvd Calendar'!$E$19:$CZ$19,"&lt;="&amp;Q$49),"")))</f>
        <v/>
      </c>
      <c r="R57" s="140">
        <f>IF(R$49="","",IF($B57="","",IFERROR(SUMIFS('Dvd Calendar'!$E$20:$CZ$20,'Dvd Calendar'!$E$19:$CZ$19,"&gt;"&amp;R$48,'Dvd Calendar'!$E$19:$CZ$19,"&lt;="&amp;R$49),"")))</f>
        <v/>
      </c>
      <c r="U57" s="146" t="n"/>
      <c r="V57" s="146" t="n"/>
      <c r="W57" s="146" t="n"/>
      <c r="X57" s="146" t="n"/>
      <c r="Y57" s="146" t="n"/>
      <c r="Z57" s="146" t="n"/>
      <c r="AA57" s="146" t="n"/>
      <c r="AB57" s="146" t="n"/>
      <c r="AC57" s="146" t="n"/>
      <c r="AD57" s="146" t="n"/>
      <c r="AE57" s="146" t="n"/>
      <c r="AF57" s="146" t="n"/>
      <c r="AG57" s="146" t="n"/>
      <c r="AH57" s="146" t="n"/>
      <c r="AI57" s="146" t="n"/>
      <c r="AJ57" s="146" t="n"/>
    </row>
    <row r="58">
      <c r="B58" s="5">
        <f>IF(AS51!$C$13="","",AS51!$C$13)</f>
        <v/>
      </c>
      <c r="C58" s="140">
        <f>IF(C$49="","",IF($B58="","",IFERROR(SUMIFS('Dvd Calendar'!$E$22:$CZ$22,'Dvd Calendar'!$E$21:$CZ$21,"&gt;"&amp;C$48,'Dvd Calendar'!$E$21:$CZ$21,"&lt;="&amp;C$49),"")))</f>
        <v/>
      </c>
      <c r="D58" s="140">
        <f>IF(D$49="","",IF($B58="","",IFERROR(SUMIFS('Dvd Calendar'!$E$22:$CZ$22,'Dvd Calendar'!$E$21:$CZ$21,"&gt;"&amp;D$48,'Dvd Calendar'!$E$21:$CZ$21,"&lt;="&amp;D$49),"")))</f>
        <v/>
      </c>
      <c r="E58" s="140">
        <f>IF(E$49="","",IF($B58="","",IFERROR(SUMIFS('Dvd Calendar'!$E$22:$CZ$22,'Dvd Calendar'!$E$21:$CZ$21,"&gt;"&amp;E$48,'Dvd Calendar'!$E$21:$CZ$21,"&lt;="&amp;E$49),"")))</f>
        <v/>
      </c>
      <c r="F58" s="140">
        <f>IF(F$49="","",IF($B58="","",IFERROR(SUMIFS('Dvd Calendar'!$E$22:$CZ$22,'Dvd Calendar'!$E$21:$CZ$21,"&gt;"&amp;F$48,'Dvd Calendar'!$E$21:$CZ$21,"&lt;="&amp;F$49),"")))</f>
        <v/>
      </c>
      <c r="G58" s="140">
        <f>IF(G$49="","",IF($B58="","",IFERROR(SUMIFS('Dvd Calendar'!$E$22:$CZ$22,'Dvd Calendar'!$E$21:$CZ$21,"&gt;"&amp;G$48,'Dvd Calendar'!$E$21:$CZ$21,"&lt;="&amp;G$49),"")))</f>
        <v/>
      </c>
      <c r="H58" s="140">
        <f>IF(H$49="","",IF($B58="","",IFERROR(SUMIFS('Dvd Calendar'!$E$22:$CZ$22,'Dvd Calendar'!$E$21:$CZ$21,"&gt;"&amp;H$48,'Dvd Calendar'!$E$21:$CZ$21,"&lt;="&amp;H$49),"")))</f>
        <v/>
      </c>
      <c r="I58" s="140">
        <f>IF(I$49="","",IF($B58="","",IFERROR(SUMIFS('Dvd Calendar'!$E$22:$CZ$22,'Dvd Calendar'!$E$21:$CZ$21,"&gt;"&amp;I$48,'Dvd Calendar'!$E$21:$CZ$21,"&lt;="&amp;I$49),"")))</f>
        <v/>
      </c>
      <c r="J58" s="140">
        <f>IF(J$49="","",IF($B58="","",IFERROR(SUMIFS('Dvd Calendar'!$E$22:$CZ$22,'Dvd Calendar'!$E$21:$CZ$21,"&gt;"&amp;J$48,'Dvd Calendar'!$E$21:$CZ$21,"&lt;="&amp;J$49),"")))</f>
        <v/>
      </c>
      <c r="K58" s="140">
        <f>IF(K$49="","",IF($B58="","",IFERROR(SUMIFS('Dvd Calendar'!$E$22:$CZ$22,'Dvd Calendar'!$E$21:$CZ$21,"&gt;"&amp;K$48,'Dvd Calendar'!$E$21:$CZ$21,"&lt;="&amp;K$49),"")))</f>
        <v/>
      </c>
      <c r="L58" s="140">
        <f>IF(L$49="","",IF($B58="","",IFERROR(SUMIFS('Dvd Calendar'!$E$22:$CZ$22,'Dvd Calendar'!$E$21:$CZ$21,"&gt;"&amp;L$48,'Dvd Calendar'!$E$21:$CZ$21,"&lt;="&amp;L$49),"")))</f>
        <v/>
      </c>
      <c r="M58" s="140">
        <f>IF(M$49="","",IF($B58="","",IFERROR(SUMIFS('Dvd Calendar'!$E$22:$CZ$22,'Dvd Calendar'!$E$21:$CZ$21,"&gt;"&amp;M$48,'Dvd Calendar'!$E$21:$CZ$21,"&lt;="&amp;M$49),"")))</f>
        <v/>
      </c>
      <c r="N58" s="140">
        <f>IF(N$49="","",IF($B58="","",IFERROR(SUMIFS('Dvd Calendar'!$E$22:$CZ$22,'Dvd Calendar'!$E$21:$CZ$21,"&gt;"&amp;N$48,'Dvd Calendar'!$E$21:$CZ$21,"&lt;="&amp;N$49),"")))</f>
        <v/>
      </c>
      <c r="O58" s="140">
        <f>IF(O$49="","",IF($B58="","",IFERROR(SUMIFS('Dvd Calendar'!$E$22:$CZ$22,'Dvd Calendar'!$E$21:$CZ$21,"&gt;"&amp;O$48,'Dvd Calendar'!$E$21:$CZ$21,"&lt;="&amp;O$49),"")))</f>
        <v/>
      </c>
      <c r="P58" s="140">
        <f>IF(P$49="","",IF($B58="","",IFERROR(SUMIFS('Dvd Calendar'!$E$22:$CZ$22,'Dvd Calendar'!$E$21:$CZ$21,"&gt;"&amp;P$48,'Dvd Calendar'!$E$21:$CZ$21,"&lt;="&amp;P$49),"")))</f>
        <v/>
      </c>
      <c r="Q58" s="140">
        <f>IF(Q$49="","",IF($B58="","",IFERROR(SUMIFS('Dvd Calendar'!$E$22:$CZ$22,'Dvd Calendar'!$E$21:$CZ$21,"&gt;"&amp;Q$48,'Dvd Calendar'!$E$21:$CZ$21,"&lt;="&amp;Q$49),"")))</f>
        <v/>
      </c>
      <c r="R58" s="140">
        <f>IF(R$49="","",IF($B58="","",IFERROR(SUMIFS('Dvd Calendar'!$E$22:$CZ$22,'Dvd Calendar'!$E$21:$CZ$21,"&gt;"&amp;R$48,'Dvd Calendar'!$E$21:$CZ$21,"&lt;="&amp;R$49),"")))</f>
        <v/>
      </c>
      <c r="U58" s="146" t="n"/>
      <c r="V58" s="146" t="n"/>
      <c r="W58" s="146" t="n"/>
      <c r="X58" s="146" t="n"/>
      <c r="Y58" s="146" t="n"/>
      <c r="Z58" s="146" t="n"/>
      <c r="AA58" s="146" t="n"/>
      <c r="AB58" s="146" t="n"/>
      <c r="AC58" s="146" t="n"/>
      <c r="AD58" s="146" t="n"/>
      <c r="AE58" s="146" t="n"/>
      <c r="AF58" s="146" t="n"/>
      <c r="AG58" s="146" t="n"/>
      <c r="AH58" s="146" t="n"/>
      <c r="AI58" s="146" t="n"/>
      <c r="AJ58" s="146" t="n"/>
    </row>
    <row r="59">
      <c r="B59" s="5">
        <f>IF(AS51!$C$14="","",AS51!$C$14)</f>
        <v/>
      </c>
      <c r="C59" s="140">
        <f>IF(C$49="","",IF($B59="","",IFERROR(SUMIFS('Dvd Calendar'!$E$24:$CZ$24,'Dvd Calendar'!$E$23:$CZ$23,"&gt;"&amp;C$48,'Dvd Calendar'!$E$23:$CZ$23,"&lt;="&amp;C$49),"")))</f>
        <v/>
      </c>
      <c r="D59" s="140">
        <f>IF(D$49="","",IF($B59="","",IFERROR(SUMIFS('Dvd Calendar'!$E$24:$CZ$24,'Dvd Calendar'!$E$23:$CZ$23,"&gt;"&amp;D$48,'Dvd Calendar'!$E$23:$CZ$23,"&lt;="&amp;D$49),"")))</f>
        <v/>
      </c>
      <c r="E59" s="140">
        <f>IF(E$49="","",IF($B59="","",IFERROR(SUMIFS('Dvd Calendar'!$E$24:$CZ$24,'Dvd Calendar'!$E$23:$CZ$23,"&gt;"&amp;E$48,'Dvd Calendar'!$E$23:$CZ$23,"&lt;="&amp;E$49),"")))</f>
        <v/>
      </c>
      <c r="F59" s="140">
        <f>IF(F$49="","",IF($B59="","",IFERROR(SUMIFS('Dvd Calendar'!$E$24:$CZ$24,'Dvd Calendar'!$E$23:$CZ$23,"&gt;"&amp;F$48,'Dvd Calendar'!$E$23:$CZ$23,"&lt;="&amp;F$49),"")))</f>
        <v/>
      </c>
      <c r="G59" s="140">
        <f>IF(G$49="","",IF($B59="","",IFERROR(SUMIFS('Dvd Calendar'!$E$24:$CZ$24,'Dvd Calendar'!$E$23:$CZ$23,"&gt;"&amp;G$48,'Dvd Calendar'!$E$23:$CZ$23,"&lt;="&amp;G$49),"")))</f>
        <v/>
      </c>
      <c r="H59" s="140">
        <f>IF(H$49="","",IF($B59="","",IFERROR(SUMIFS('Dvd Calendar'!$E$24:$CZ$24,'Dvd Calendar'!$E$23:$CZ$23,"&gt;"&amp;H$48,'Dvd Calendar'!$E$23:$CZ$23,"&lt;="&amp;H$49),"")))</f>
        <v/>
      </c>
      <c r="I59" s="140">
        <f>IF(I$49="","",IF($B59="","",IFERROR(SUMIFS('Dvd Calendar'!$E$24:$CZ$24,'Dvd Calendar'!$E$23:$CZ$23,"&gt;"&amp;I$48,'Dvd Calendar'!$E$23:$CZ$23,"&lt;="&amp;I$49),"")))</f>
        <v/>
      </c>
      <c r="J59" s="140">
        <f>IF(J$49="","",IF($B59="","",IFERROR(SUMIFS('Dvd Calendar'!$E$24:$CZ$24,'Dvd Calendar'!$E$23:$CZ$23,"&gt;"&amp;J$48,'Dvd Calendar'!$E$23:$CZ$23,"&lt;="&amp;J$49),"")))</f>
        <v/>
      </c>
      <c r="K59" s="140">
        <f>IF(K$49="","",IF($B59="","",IFERROR(SUMIFS('Dvd Calendar'!$E$24:$CZ$24,'Dvd Calendar'!$E$23:$CZ$23,"&gt;"&amp;K$48,'Dvd Calendar'!$E$23:$CZ$23,"&lt;="&amp;K$49),"")))</f>
        <v/>
      </c>
      <c r="L59" s="140">
        <f>IF(L$49="","",IF($B59="","",IFERROR(SUMIFS('Dvd Calendar'!$E$24:$CZ$24,'Dvd Calendar'!$E$23:$CZ$23,"&gt;"&amp;L$48,'Dvd Calendar'!$E$23:$CZ$23,"&lt;="&amp;L$49),"")))</f>
        <v/>
      </c>
      <c r="M59" s="140">
        <f>IF(M$49="","",IF($B59="","",IFERROR(SUMIFS('Dvd Calendar'!$E$24:$CZ$24,'Dvd Calendar'!$E$23:$CZ$23,"&gt;"&amp;M$48,'Dvd Calendar'!$E$23:$CZ$23,"&lt;="&amp;M$49),"")))</f>
        <v/>
      </c>
      <c r="N59" s="140">
        <f>IF(N$49="","",IF($B59="","",IFERROR(SUMIFS('Dvd Calendar'!$E$24:$CZ$24,'Dvd Calendar'!$E$23:$CZ$23,"&gt;"&amp;N$48,'Dvd Calendar'!$E$23:$CZ$23,"&lt;="&amp;N$49),"")))</f>
        <v/>
      </c>
      <c r="O59" s="140">
        <f>IF(O$49="","",IF($B59="","",IFERROR(SUMIFS('Dvd Calendar'!$E$24:$CZ$24,'Dvd Calendar'!$E$23:$CZ$23,"&gt;"&amp;O$48,'Dvd Calendar'!$E$23:$CZ$23,"&lt;="&amp;O$49),"")))</f>
        <v/>
      </c>
      <c r="P59" s="140">
        <f>IF(P$49="","",IF($B59="","",IFERROR(SUMIFS('Dvd Calendar'!$E$24:$CZ$24,'Dvd Calendar'!$E$23:$CZ$23,"&gt;"&amp;P$48,'Dvd Calendar'!$E$23:$CZ$23,"&lt;="&amp;P$49),"")))</f>
        <v/>
      </c>
      <c r="Q59" s="140">
        <f>IF(Q$49="","",IF($B59="","",IFERROR(SUMIFS('Dvd Calendar'!$E$24:$CZ$24,'Dvd Calendar'!$E$23:$CZ$23,"&gt;"&amp;Q$48,'Dvd Calendar'!$E$23:$CZ$23,"&lt;="&amp;Q$49),"")))</f>
        <v/>
      </c>
      <c r="R59" s="140">
        <f>IF(R$49="","",IF($B59="","",IFERROR(SUMIFS('Dvd Calendar'!$E$24:$CZ$24,'Dvd Calendar'!$E$23:$CZ$23,"&gt;"&amp;R$48,'Dvd Calendar'!$E$23:$CZ$23,"&lt;="&amp;R$49),"")))</f>
        <v/>
      </c>
      <c r="U59" s="146" t="n"/>
      <c r="V59" s="146" t="n"/>
      <c r="W59" s="146" t="n"/>
      <c r="X59" s="146" t="n"/>
      <c r="Y59" s="146" t="n"/>
      <c r="Z59" s="146" t="n"/>
      <c r="AA59" s="146" t="n"/>
      <c r="AB59" s="146" t="n"/>
      <c r="AC59" s="146" t="n"/>
      <c r="AD59" s="146" t="n"/>
      <c r="AE59" s="146" t="n"/>
      <c r="AF59" s="146" t="n"/>
      <c r="AG59" s="146" t="n"/>
      <c r="AH59" s="146" t="n"/>
      <c r="AI59" s="146" t="n"/>
      <c r="AJ59" s="146" t="n"/>
    </row>
    <row r="60">
      <c r="B60" s="5">
        <f>IF(AS51!$C$15="","",AS51!$C$15)</f>
        <v/>
      </c>
      <c r="C60" s="140">
        <f>IF(C$49="","",IF($B60="","",IFERROR(SUMIFS('Dvd Calendar'!$E$26:$CZ$26,'Dvd Calendar'!$E$25:$CZ$25,"&gt;"&amp;C$48,'Dvd Calendar'!$E$25:$CZ$25,"&lt;="&amp;C$49),"")))</f>
        <v/>
      </c>
      <c r="D60" s="140">
        <f>IF(D$49="","",IF($B60="","",IFERROR(SUMIFS('Dvd Calendar'!$E$26:$CZ$26,'Dvd Calendar'!$E$25:$CZ$25,"&gt;"&amp;D$48,'Dvd Calendar'!$E$25:$CZ$25,"&lt;="&amp;D$49),"")))</f>
        <v/>
      </c>
      <c r="E60" s="140">
        <f>IF(E$49="","",IF($B60="","",IFERROR(SUMIFS('Dvd Calendar'!$E$26:$CZ$26,'Dvd Calendar'!$E$25:$CZ$25,"&gt;"&amp;E$48,'Dvd Calendar'!$E$25:$CZ$25,"&lt;="&amp;E$49),"")))</f>
        <v/>
      </c>
      <c r="F60" s="140">
        <f>IF(F$49="","",IF($B60="","",IFERROR(SUMIFS('Dvd Calendar'!$E$26:$CZ$26,'Dvd Calendar'!$E$25:$CZ$25,"&gt;"&amp;F$48,'Dvd Calendar'!$E$25:$CZ$25,"&lt;="&amp;F$49),"")))</f>
        <v/>
      </c>
      <c r="G60" s="140">
        <f>IF(G$49="","",IF($B60="","",IFERROR(SUMIFS('Dvd Calendar'!$E$26:$CZ$26,'Dvd Calendar'!$E$25:$CZ$25,"&gt;"&amp;G$48,'Dvd Calendar'!$E$25:$CZ$25,"&lt;="&amp;G$49),"")))</f>
        <v/>
      </c>
      <c r="H60" s="140">
        <f>IF(H$49="","",IF($B60="","",IFERROR(SUMIFS('Dvd Calendar'!$E$26:$CZ$26,'Dvd Calendar'!$E$25:$CZ$25,"&gt;"&amp;H$48,'Dvd Calendar'!$E$25:$CZ$25,"&lt;="&amp;H$49),"")))</f>
        <v/>
      </c>
      <c r="I60" s="140">
        <f>IF(I$49="","",IF($B60="","",IFERROR(SUMIFS('Dvd Calendar'!$E$26:$CZ$26,'Dvd Calendar'!$E$25:$CZ$25,"&gt;"&amp;I$48,'Dvd Calendar'!$E$25:$CZ$25,"&lt;="&amp;I$49),"")))</f>
        <v/>
      </c>
      <c r="J60" s="140">
        <f>IF(J$49="","",IF($B60="","",IFERROR(SUMIFS('Dvd Calendar'!$E$26:$CZ$26,'Dvd Calendar'!$E$25:$CZ$25,"&gt;"&amp;J$48,'Dvd Calendar'!$E$25:$CZ$25,"&lt;="&amp;J$49),"")))</f>
        <v/>
      </c>
      <c r="K60" s="140">
        <f>IF(K$49="","",IF($B60="","",IFERROR(SUMIFS('Dvd Calendar'!$E$26:$CZ$26,'Dvd Calendar'!$E$25:$CZ$25,"&gt;"&amp;K$48,'Dvd Calendar'!$E$25:$CZ$25,"&lt;="&amp;K$49),"")))</f>
        <v/>
      </c>
      <c r="L60" s="140">
        <f>IF(L$49="","",IF($B60="","",IFERROR(SUMIFS('Dvd Calendar'!$E$26:$CZ$26,'Dvd Calendar'!$E$25:$CZ$25,"&gt;"&amp;L$48,'Dvd Calendar'!$E$25:$CZ$25,"&lt;="&amp;L$49),"")))</f>
        <v/>
      </c>
      <c r="M60" s="140">
        <f>IF(M$49="","",IF($B60="","",IFERROR(SUMIFS('Dvd Calendar'!$E$26:$CZ$26,'Dvd Calendar'!$E$25:$CZ$25,"&gt;"&amp;M$48,'Dvd Calendar'!$E$25:$CZ$25,"&lt;="&amp;M$49),"")))</f>
        <v/>
      </c>
      <c r="N60" s="140">
        <f>IF(N$49="","",IF($B60="","",IFERROR(SUMIFS('Dvd Calendar'!$E$26:$CZ$26,'Dvd Calendar'!$E$25:$CZ$25,"&gt;"&amp;N$48,'Dvd Calendar'!$E$25:$CZ$25,"&lt;="&amp;N$49),"")))</f>
        <v/>
      </c>
      <c r="O60" s="140">
        <f>IF(O$49="","",IF($B60="","",IFERROR(SUMIFS('Dvd Calendar'!$E$26:$CZ$26,'Dvd Calendar'!$E$25:$CZ$25,"&gt;"&amp;O$48,'Dvd Calendar'!$E$25:$CZ$25,"&lt;="&amp;O$49),"")))</f>
        <v/>
      </c>
      <c r="P60" s="140">
        <f>IF(P$49="","",IF($B60="","",IFERROR(SUMIFS('Dvd Calendar'!$E$26:$CZ$26,'Dvd Calendar'!$E$25:$CZ$25,"&gt;"&amp;P$48,'Dvd Calendar'!$E$25:$CZ$25,"&lt;="&amp;P$49),"")))</f>
        <v/>
      </c>
      <c r="Q60" s="140">
        <f>IF(Q$49="","",IF($B60="","",IFERROR(SUMIFS('Dvd Calendar'!$E$26:$CZ$26,'Dvd Calendar'!$E$25:$CZ$25,"&gt;"&amp;Q$48,'Dvd Calendar'!$E$25:$CZ$25,"&lt;="&amp;Q$49),"")))</f>
        <v/>
      </c>
      <c r="R60" s="140">
        <f>IF(R$49="","",IF($B60="","",IFERROR(SUMIFS('Dvd Calendar'!$E$26:$CZ$26,'Dvd Calendar'!$E$25:$CZ$25,"&gt;"&amp;R$48,'Dvd Calendar'!$E$25:$CZ$25,"&lt;="&amp;R$49),"")))</f>
        <v/>
      </c>
      <c r="U60" s="146" t="n"/>
      <c r="V60" s="146" t="n"/>
      <c r="W60" s="146" t="n"/>
      <c r="X60" s="146" t="n"/>
      <c r="Y60" s="146" t="n"/>
      <c r="Z60" s="146" t="n"/>
      <c r="AA60" s="146" t="n"/>
      <c r="AB60" s="146" t="n"/>
      <c r="AC60" s="146" t="n"/>
      <c r="AD60" s="146" t="n"/>
      <c r="AE60" s="146" t="n"/>
      <c r="AF60" s="146" t="n"/>
      <c r="AG60" s="146" t="n"/>
      <c r="AH60" s="146" t="n"/>
      <c r="AI60" s="146" t="n"/>
      <c r="AJ60" s="146" t="n"/>
    </row>
    <row r="61">
      <c r="B61" s="5">
        <f>IF(AS51!$C$16="","",AS51!$C$16)</f>
        <v/>
      </c>
      <c r="C61" s="140">
        <f>IF(C$49="","",IF($B61="","",IFERROR(SUMIFS('Dvd Calendar'!$E$28:$CZ$28,'Dvd Calendar'!$E$27:$CZ$27,"&gt;"&amp;C$48,'Dvd Calendar'!$E$27:$CZ$27,"&lt;="&amp;C$49),"")))</f>
        <v/>
      </c>
      <c r="D61" s="140">
        <f>IF(D$49="","",IF($B61="","",IFERROR(SUMIFS('Dvd Calendar'!$E$28:$CZ$28,'Dvd Calendar'!$E$27:$CZ$27,"&gt;"&amp;D$48,'Dvd Calendar'!$E$27:$CZ$27,"&lt;="&amp;D$49),"")))</f>
        <v/>
      </c>
      <c r="E61" s="140">
        <f>IF(E$49="","",IF($B61="","",IFERROR(SUMIFS('Dvd Calendar'!$E$28:$CZ$28,'Dvd Calendar'!$E$27:$CZ$27,"&gt;"&amp;E$48,'Dvd Calendar'!$E$27:$CZ$27,"&lt;="&amp;E$49),"")))</f>
        <v/>
      </c>
      <c r="F61" s="140">
        <f>IF(F$49="","",IF($B61="","",IFERROR(SUMIFS('Dvd Calendar'!$E$28:$CZ$28,'Dvd Calendar'!$E$27:$CZ$27,"&gt;"&amp;F$48,'Dvd Calendar'!$E$27:$CZ$27,"&lt;="&amp;F$49),"")))</f>
        <v/>
      </c>
      <c r="G61" s="140">
        <f>IF(G$49="","",IF($B61="","",IFERROR(SUMIFS('Dvd Calendar'!$E$28:$CZ$28,'Dvd Calendar'!$E$27:$CZ$27,"&gt;"&amp;G$48,'Dvd Calendar'!$E$27:$CZ$27,"&lt;="&amp;G$49),"")))</f>
        <v/>
      </c>
      <c r="H61" s="140">
        <f>IF(H$49="","",IF($B61="","",IFERROR(SUMIFS('Dvd Calendar'!$E$28:$CZ$28,'Dvd Calendar'!$E$27:$CZ$27,"&gt;"&amp;H$48,'Dvd Calendar'!$E$27:$CZ$27,"&lt;="&amp;H$49),"")))</f>
        <v/>
      </c>
      <c r="I61" s="140">
        <f>IF(I$49="","",IF($B61="","",IFERROR(SUMIFS('Dvd Calendar'!$E$28:$CZ$28,'Dvd Calendar'!$E$27:$CZ$27,"&gt;"&amp;I$48,'Dvd Calendar'!$E$27:$CZ$27,"&lt;="&amp;I$49),"")))</f>
        <v/>
      </c>
      <c r="J61" s="140">
        <f>IF(J$49="","",IF($B61="","",IFERROR(SUMIFS('Dvd Calendar'!$E$28:$CZ$28,'Dvd Calendar'!$E$27:$CZ$27,"&gt;"&amp;J$48,'Dvd Calendar'!$E$27:$CZ$27,"&lt;="&amp;J$49),"")))</f>
        <v/>
      </c>
      <c r="K61" s="140">
        <f>IF(K$49="","",IF($B61="","",IFERROR(SUMIFS('Dvd Calendar'!$E$28:$CZ$28,'Dvd Calendar'!$E$27:$CZ$27,"&gt;"&amp;K$48,'Dvd Calendar'!$E$27:$CZ$27,"&lt;="&amp;K$49),"")))</f>
        <v/>
      </c>
      <c r="L61" s="140">
        <f>IF(L$49="","",IF($B61="","",IFERROR(SUMIFS('Dvd Calendar'!$E$28:$CZ$28,'Dvd Calendar'!$E$27:$CZ$27,"&gt;"&amp;L$48,'Dvd Calendar'!$E$27:$CZ$27,"&lt;="&amp;L$49),"")))</f>
        <v/>
      </c>
      <c r="M61" s="140">
        <f>IF(M$49="","",IF($B61="","",IFERROR(SUMIFS('Dvd Calendar'!$E$28:$CZ$28,'Dvd Calendar'!$E$27:$CZ$27,"&gt;"&amp;M$48,'Dvd Calendar'!$E$27:$CZ$27,"&lt;="&amp;M$49),"")))</f>
        <v/>
      </c>
      <c r="N61" s="140">
        <f>IF(N$49="","",IF($B61="","",IFERROR(SUMIFS('Dvd Calendar'!$E$28:$CZ$28,'Dvd Calendar'!$E$27:$CZ$27,"&gt;"&amp;N$48,'Dvd Calendar'!$E$27:$CZ$27,"&lt;="&amp;N$49),"")))</f>
        <v/>
      </c>
      <c r="O61" s="140">
        <f>IF(O$49="","",IF($B61="","",IFERROR(SUMIFS('Dvd Calendar'!$E$28:$CZ$28,'Dvd Calendar'!$E$27:$CZ$27,"&gt;"&amp;O$48,'Dvd Calendar'!$E$27:$CZ$27,"&lt;="&amp;O$49),"")))</f>
        <v/>
      </c>
      <c r="P61" s="140">
        <f>IF(P$49="","",IF($B61="","",IFERROR(SUMIFS('Dvd Calendar'!$E$28:$CZ$28,'Dvd Calendar'!$E$27:$CZ$27,"&gt;"&amp;P$48,'Dvd Calendar'!$E$27:$CZ$27,"&lt;="&amp;P$49),"")))</f>
        <v/>
      </c>
      <c r="Q61" s="140">
        <f>IF(Q$49="","",IF($B61="","",IFERROR(SUMIFS('Dvd Calendar'!$E$28:$CZ$28,'Dvd Calendar'!$E$27:$CZ$27,"&gt;"&amp;Q$48,'Dvd Calendar'!$E$27:$CZ$27,"&lt;="&amp;Q$49),"")))</f>
        <v/>
      </c>
      <c r="R61" s="140">
        <f>IF(R$49="","",IF($B61="","",IFERROR(SUMIFS('Dvd Calendar'!$E$28:$CZ$28,'Dvd Calendar'!$E$27:$CZ$27,"&gt;"&amp;R$48,'Dvd Calendar'!$E$27:$CZ$27,"&lt;="&amp;R$49),"")))</f>
        <v/>
      </c>
      <c r="U61" s="146" t="n"/>
      <c r="V61" s="146" t="n"/>
      <c r="W61" s="146" t="n"/>
      <c r="X61" s="146" t="n"/>
      <c r="Y61" s="146" t="n"/>
      <c r="Z61" s="146" t="n"/>
      <c r="AA61" s="146" t="n"/>
      <c r="AB61" s="146" t="n"/>
      <c r="AC61" s="146" t="n"/>
      <c r="AD61" s="146" t="n"/>
      <c r="AE61" s="146" t="n"/>
      <c r="AF61" s="146" t="n"/>
      <c r="AG61" s="146" t="n"/>
      <c r="AH61" s="146" t="n"/>
      <c r="AI61" s="146" t="n"/>
      <c r="AJ61" s="146" t="n"/>
    </row>
    <row r="62">
      <c r="B62" s="5">
        <f>IF(AS51!$C$17="","",AS51!$C$17)</f>
        <v/>
      </c>
      <c r="C62" s="140">
        <f>IF(C$49="","",IF($B62="","",IFERROR(SUMIFS('Dvd Calendar'!$E$30:$CZ$30,'Dvd Calendar'!$E$29:$CZ$29,"&gt;"&amp;C$48,'Dvd Calendar'!$E$29:$CZ$29,"&lt;="&amp;C$49),"")))</f>
        <v/>
      </c>
      <c r="D62" s="140">
        <f>IF(D$49="","",IF($B62="","",IFERROR(SUMIFS('Dvd Calendar'!$E$30:$CZ$30,'Dvd Calendar'!$E$29:$CZ$29,"&gt;"&amp;D$48,'Dvd Calendar'!$E$29:$CZ$29,"&lt;="&amp;D$49),"")))</f>
        <v/>
      </c>
      <c r="E62" s="140">
        <f>IF(E$49="","",IF($B62="","",IFERROR(SUMIFS('Dvd Calendar'!$E$30:$CZ$30,'Dvd Calendar'!$E$29:$CZ$29,"&gt;"&amp;E$48,'Dvd Calendar'!$E$29:$CZ$29,"&lt;="&amp;E$49),"")))</f>
        <v/>
      </c>
      <c r="F62" s="140">
        <f>IF(F$49="","",IF($B62="","",IFERROR(SUMIFS('Dvd Calendar'!$E$30:$CZ$30,'Dvd Calendar'!$E$29:$CZ$29,"&gt;"&amp;F$48,'Dvd Calendar'!$E$29:$CZ$29,"&lt;="&amp;F$49),"")))</f>
        <v/>
      </c>
      <c r="G62" s="140">
        <f>IF(G$49="","",IF($B62="","",IFERROR(SUMIFS('Dvd Calendar'!$E$30:$CZ$30,'Dvd Calendar'!$E$29:$CZ$29,"&gt;"&amp;G$48,'Dvd Calendar'!$E$29:$CZ$29,"&lt;="&amp;G$49),"")))</f>
        <v/>
      </c>
      <c r="H62" s="140">
        <f>IF(H$49="","",IF($B62="","",IFERROR(SUMIFS('Dvd Calendar'!$E$30:$CZ$30,'Dvd Calendar'!$E$29:$CZ$29,"&gt;"&amp;H$48,'Dvd Calendar'!$E$29:$CZ$29,"&lt;="&amp;H$49),"")))</f>
        <v/>
      </c>
      <c r="I62" s="140">
        <f>IF(I$49="","",IF($B62="","",IFERROR(SUMIFS('Dvd Calendar'!$E$30:$CZ$30,'Dvd Calendar'!$E$29:$CZ$29,"&gt;"&amp;I$48,'Dvd Calendar'!$E$29:$CZ$29,"&lt;="&amp;I$49),"")))</f>
        <v/>
      </c>
      <c r="J62" s="140">
        <f>IF(J$49="","",IF($B62="","",IFERROR(SUMIFS('Dvd Calendar'!$E$30:$CZ$30,'Dvd Calendar'!$E$29:$CZ$29,"&gt;"&amp;J$48,'Dvd Calendar'!$E$29:$CZ$29,"&lt;="&amp;J$49),"")))</f>
        <v/>
      </c>
      <c r="K62" s="140">
        <f>IF(K$49="","",IF($B62="","",IFERROR(SUMIFS('Dvd Calendar'!$E$30:$CZ$30,'Dvd Calendar'!$E$29:$CZ$29,"&gt;"&amp;K$48,'Dvd Calendar'!$E$29:$CZ$29,"&lt;="&amp;K$49),"")))</f>
        <v/>
      </c>
      <c r="L62" s="140">
        <f>IF(L$49="","",IF($B62="","",IFERROR(SUMIFS('Dvd Calendar'!$E$30:$CZ$30,'Dvd Calendar'!$E$29:$CZ$29,"&gt;"&amp;L$48,'Dvd Calendar'!$E$29:$CZ$29,"&lt;="&amp;L$49),"")))</f>
        <v/>
      </c>
      <c r="M62" s="140">
        <f>IF(M$49="","",IF($B62="","",IFERROR(SUMIFS('Dvd Calendar'!$E$30:$CZ$30,'Dvd Calendar'!$E$29:$CZ$29,"&gt;"&amp;M$48,'Dvd Calendar'!$E$29:$CZ$29,"&lt;="&amp;M$49),"")))</f>
        <v/>
      </c>
      <c r="N62" s="140">
        <f>IF(N$49="","",IF($B62="","",IFERROR(SUMIFS('Dvd Calendar'!$E$30:$CZ$30,'Dvd Calendar'!$E$29:$CZ$29,"&gt;"&amp;N$48,'Dvd Calendar'!$E$29:$CZ$29,"&lt;="&amp;N$49),"")))</f>
        <v/>
      </c>
      <c r="O62" s="140">
        <f>IF(O$49="","",IF($B62="","",IFERROR(SUMIFS('Dvd Calendar'!$E$30:$CZ$30,'Dvd Calendar'!$E$29:$CZ$29,"&gt;"&amp;O$48,'Dvd Calendar'!$E$29:$CZ$29,"&lt;="&amp;O$49),"")))</f>
        <v/>
      </c>
      <c r="P62" s="140">
        <f>IF(P$49="","",IF($B62="","",IFERROR(SUMIFS('Dvd Calendar'!$E$30:$CZ$30,'Dvd Calendar'!$E$29:$CZ$29,"&gt;"&amp;P$48,'Dvd Calendar'!$E$29:$CZ$29,"&lt;="&amp;P$49),"")))</f>
        <v/>
      </c>
      <c r="Q62" s="140">
        <f>IF(Q$49="","",IF($B62="","",IFERROR(SUMIFS('Dvd Calendar'!$E$30:$CZ$30,'Dvd Calendar'!$E$29:$CZ$29,"&gt;"&amp;Q$48,'Dvd Calendar'!$E$29:$CZ$29,"&lt;="&amp;Q$49),"")))</f>
        <v/>
      </c>
      <c r="R62" s="140">
        <f>IF(R$49="","",IF($B62="","",IFERROR(SUMIFS('Dvd Calendar'!$E$30:$CZ$30,'Dvd Calendar'!$E$29:$CZ$29,"&gt;"&amp;R$48,'Dvd Calendar'!$E$29:$CZ$29,"&lt;="&amp;R$49),"")))</f>
        <v/>
      </c>
      <c r="U62" s="146" t="n"/>
      <c r="V62" s="146" t="n"/>
      <c r="W62" s="146" t="n"/>
      <c r="X62" s="146" t="n"/>
      <c r="Y62" s="146" t="n"/>
      <c r="Z62" s="146" t="n"/>
      <c r="AA62" s="146" t="n"/>
      <c r="AB62" s="146" t="n"/>
      <c r="AC62" s="146" t="n"/>
      <c r="AD62" s="146" t="n"/>
      <c r="AE62" s="146" t="n"/>
      <c r="AF62" s="146" t="n"/>
      <c r="AG62" s="146" t="n"/>
      <c r="AH62" s="146" t="n"/>
      <c r="AI62" s="146" t="n"/>
      <c r="AJ62" s="146" t="n"/>
    </row>
    <row r="63">
      <c r="B63" s="5">
        <f>IF(AS51!$C$18="","",AS51!$C$18)</f>
        <v/>
      </c>
      <c r="C63" s="140">
        <f>IF(C$49="","",IF($B63="","",IFERROR(SUMIFS('Dvd Calendar'!$E$32:$CZ$32,'Dvd Calendar'!$E$31:$CZ$31,"&gt;"&amp;C$48,'Dvd Calendar'!$E$31:$CZ$31,"&lt;="&amp;C$49),"")))</f>
        <v/>
      </c>
      <c r="D63" s="140">
        <f>IF(D$49="","",IF($B63="","",IFERROR(SUMIFS('Dvd Calendar'!$E$32:$CZ$32,'Dvd Calendar'!$E$31:$CZ$31,"&gt;"&amp;D$48,'Dvd Calendar'!$E$31:$CZ$31,"&lt;="&amp;D$49),"")))</f>
        <v/>
      </c>
      <c r="E63" s="140">
        <f>IF(E$49="","",IF($B63="","",IFERROR(SUMIFS('Dvd Calendar'!$E$32:$CZ$32,'Dvd Calendar'!$E$31:$CZ$31,"&gt;"&amp;E$48,'Dvd Calendar'!$E$31:$CZ$31,"&lt;="&amp;E$49),"")))</f>
        <v/>
      </c>
      <c r="F63" s="140">
        <f>IF(F$49="","",IF($B63="","",IFERROR(SUMIFS('Dvd Calendar'!$E$32:$CZ$32,'Dvd Calendar'!$E$31:$CZ$31,"&gt;"&amp;F$48,'Dvd Calendar'!$E$31:$CZ$31,"&lt;="&amp;F$49),"")))</f>
        <v/>
      </c>
      <c r="G63" s="140">
        <f>IF(G$49="","",IF($B63="","",IFERROR(SUMIFS('Dvd Calendar'!$E$32:$CZ$32,'Dvd Calendar'!$E$31:$CZ$31,"&gt;"&amp;G$48,'Dvd Calendar'!$E$31:$CZ$31,"&lt;="&amp;G$49),"")))</f>
        <v/>
      </c>
      <c r="H63" s="140">
        <f>IF(H$49="","",IF($B63="","",IFERROR(SUMIFS('Dvd Calendar'!$E$32:$CZ$32,'Dvd Calendar'!$E$31:$CZ$31,"&gt;"&amp;H$48,'Dvd Calendar'!$E$31:$CZ$31,"&lt;="&amp;H$49),"")))</f>
        <v/>
      </c>
      <c r="I63" s="140">
        <f>IF(I$49="","",IF($B63="","",IFERROR(SUMIFS('Dvd Calendar'!$E$32:$CZ$32,'Dvd Calendar'!$E$31:$CZ$31,"&gt;"&amp;I$48,'Dvd Calendar'!$E$31:$CZ$31,"&lt;="&amp;I$49),"")))</f>
        <v/>
      </c>
      <c r="J63" s="140">
        <f>IF(J$49="","",IF($B63="","",IFERROR(SUMIFS('Dvd Calendar'!$E$32:$CZ$32,'Dvd Calendar'!$E$31:$CZ$31,"&gt;"&amp;J$48,'Dvd Calendar'!$E$31:$CZ$31,"&lt;="&amp;J$49),"")))</f>
        <v/>
      </c>
      <c r="K63" s="140">
        <f>IF(K$49="","",IF($B63="","",IFERROR(SUMIFS('Dvd Calendar'!$E$32:$CZ$32,'Dvd Calendar'!$E$31:$CZ$31,"&gt;"&amp;K$48,'Dvd Calendar'!$E$31:$CZ$31,"&lt;="&amp;K$49),"")))</f>
        <v/>
      </c>
      <c r="L63" s="140">
        <f>IF(L$49="","",IF($B63="","",IFERROR(SUMIFS('Dvd Calendar'!$E$32:$CZ$32,'Dvd Calendar'!$E$31:$CZ$31,"&gt;"&amp;L$48,'Dvd Calendar'!$E$31:$CZ$31,"&lt;="&amp;L$49),"")))</f>
        <v/>
      </c>
      <c r="M63" s="140">
        <f>IF(M$49="","",IF($B63="","",IFERROR(SUMIFS('Dvd Calendar'!$E$32:$CZ$32,'Dvd Calendar'!$E$31:$CZ$31,"&gt;"&amp;M$48,'Dvd Calendar'!$E$31:$CZ$31,"&lt;="&amp;M$49),"")))</f>
        <v/>
      </c>
      <c r="N63" s="140">
        <f>IF(N$49="","",IF($B63="","",IFERROR(SUMIFS('Dvd Calendar'!$E$32:$CZ$32,'Dvd Calendar'!$E$31:$CZ$31,"&gt;"&amp;N$48,'Dvd Calendar'!$E$31:$CZ$31,"&lt;="&amp;N$49),"")))</f>
        <v/>
      </c>
      <c r="O63" s="140">
        <f>IF(O$49="","",IF($B63="","",IFERROR(SUMIFS('Dvd Calendar'!$E$32:$CZ$32,'Dvd Calendar'!$E$31:$CZ$31,"&gt;"&amp;O$48,'Dvd Calendar'!$E$31:$CZ$31,"&lt;="&amp;O$49),"")))</f>
        <v/>
      </c>
      <c r="P63" s="140">
        <f>IF(P$49="","",IF($B63="","",IFERROR(SUMIFS('Dvd Calendar'!$E$32:$CZ$32,'Dvd Calendar'!$E$31:$CZ$31,"&gt;"&amp;P$48,'Dvd Calendar'!$E$31:$CZ$31,"&lt;="&amp;P$49),"")))</f>
        <v/>
      </c>
      <c r="Q63" s="140">
        <f>IF(Q$49="","",IF($B63="","",IFERROR(SUMIFS('Dvd Calendar'!$E$32:$CZ$32,'Dvd Calendar'!$E$31:$CZ$31,"&gt;"&amp;Q$48,'Dvd Calendar'!$E$31:$CZ$31,"&lt;="&amp;Q$49),"")))</f>
        <v/>
      </c>
      <c r="R63" s="140">
        <f>IF(R$49="","",IF($B63="","",IFERROR(SUMIFS('Dvd Calendar'!$E$32:$CZ$32,'Dvd Calendar'!$E$31:$CZ$31,"&gt;"&amp;R$48,'Dvd Calendar'!$E$31:$CZ$31,"&lt;="&amp;R$49),"")))</f>
        <v/>
      </c>
      <c r="U63" s="146" t="n"/>
      <c r="V63" s="146" t="n"/>
      <c r="W63" s="146" t="n"/>
      <c r="X63" s="146" t="n"/>
      <c r="Y63" s="146" t="n"/>
      <c r="Z63" s="146" t="n"/>
      <c r="AA63" s="146" t="n"/>
      <c r="AB63" s="146" t="n"/>
      <c r="AC63" s="146" t="n"/>
      <c r="AD63" s="146" t="n"/>
      <c r="AE63" s="146" t="n"/>
      <c r="AF63" s="146" t="n"/>
      <c r="AG63" s="146" t="n"/>
      <c r="AH63" s="146" t="n"/>
      <c r="AI63" s="146" t="n"/>
      <c r="AJ63" s="146" t="n"/>
    </row>
    <row r="64">
      <c r="B64" s="5">
        <f>IF(AS51!$C$19="","",AS51!$C$19)</f>
        <v/>
      </c>
      <c r="C64" s="140">
        <f>IF(C$49="","",IF($B64="","",IFERROR(SUMIFS('Dvd Calendar'!$E$34:$CZ$34,'Dvd Calendar'!$E$33:$CZ$33,"&gt;"&amp;C$48,'Dvd Calendar'!$E$33:$CZ$33,"&lt;="&amp;C$49),"")))</f>
        <v/>
      </c>
      <c r="D64" s="140">
        <f>IF(D$49="","",IF($B64="","",IFERROR(SUMIFS('Dvd Calendar'!$E$34:$CZ$34,'Dvd Calendar'!$E$33:$CZ$33,"&gt;"&amp;D$48,'Dvd Calendar'!$E$33:$CZ$33,"&lt;="&amp;D$49),"")))</f>
        <v/>
      </c>
      <c r="E64" s="140">
        <f>IF(E$49="","",IF($B64="","",IFERROR(SUMIFS('Dvd Calendar'!$E$34:$CZ$34,'Dvd Calendar'!$E$33:$CZ$33,"&gt;"&amp;E$48,'Dvd Calendar'!$E$33:$CZ$33,"&lt;="&amp;E$49),"")))</f>
        <v/>
      </c>
      <c r="F64" s="140">
        <f>IF(F$49="","",IF($B64="","",IFERROR(SUMIFS('Dvd Calendar'!$E$34:$CZ$34,'Dvd Calendar'!$E$33:$CZ$33,"&gt;"&amp;F$48,'Dvd Calendar'!$E$33:$CZ$33,"&lt;="&amp;F$49),"")))</f>
        <v/>
      </c>
      <c r="G64" s="140">
        <f>IF(G$49="","",IF($B64="","",IFERROR(SUMIFS('Dvd Calendar'!$E$34:$CZ$34,'Dvd Calendar'!$E$33:$CZ$33,"&gt;"&amp;G$48,'Dvd Calendar'!$E$33:$CZ$33,"&lt;="&amp;G$49),"")))</f>
        <v/>
      </c>
      <c r="H64" s="140">
        <f>IF(H$49="","",IF($B64="","",IFERROR(SUMIFS('Dvd Calendar'!$E$34:$CZ$34,'Dvd Calendar'!$E$33:$CZ$33,"&gt;"&amp;H$48,'Dvd Calendar'!$E$33:$CZ$33,"&lt;="&amp;H$49),"")))</f>
        <v/>
      </c>
      <c r="I64" s="140">
        <f>IF(I$49="","",IF($B64="","",IFERROR(SUMIFS('Dvd Calendar'!$E$34:$CZ$34,'Dvd Calendar'!$E$33:$CZ$33,"&gt;"&amp;I$48,'Dvd Calendar'!$E$33:$CZ$33,"&lt;="&amp;I$49),"")))</f>
        <v/>
      </c>
      <c r="J64" s="140">
        <f>IF(J$49="","",IF($B64="","",IFERROR(SUMIFS('Dvd Calendar'!$E$34:$CZ$34,'Dvd Calendar'!$E$33:$CZ$33,"&gt;"&amp;J$48,'Dvd Calendar'!$E$33:$CZ$33,"&lt;="&amp;J$49),"")))</f>
        <v/>
      </c>
      <c r="K64" s="140">
        <f>IF(K$49="","",IF($B64="","",IFERROR(SUMIFS('Dvd Calendar'!$E$34:$CZ$34,'Dvd Calendar'!$E$33:$CZ$33,"&gt;"&amp;K$48,'Dvd Calendar'!$E$33:$CZ$33,"&lt;="&amp;K$49),"")))</f>
        <v/>
      </c>
      <c r="L64" s="140">
        <f>IF(L$49="","",IF($B64="","",IFERROR(SUMIFS('Dvd Calendar'!$E$34:$CZ$34,'Dvd Calendar'!$E$33:$CZ$33,"&gt;"&amp;L$48,'Dvd Calendar'!$E$33:$CZ$33,"&lt;="&amp;L$49),"")))</f>
        <v/>
      </c>
      <c r="M64" s="140">
        <f>IF(M$49="","",IF($B64="","",IFERROR(SUMIFS('Dvd Calendar'!$E$34:$CZ$34,'Dvd Calendar'!$E$33:$CZ$33,"&gt;"&amp;M$48,'Dvd Calendar'!$E$33:$CZ$33,"&lt;="&amp;M$49),"")))</f>
        <v/>
      </c>
      <c r="N64" s="140">
        <f>IF(N$49="","",IF($B64="","",IFERROR(SUMIFS('Dvd Calendar'!$E$34:$CZ$34,'Dvd Calendar'!$E$33:$CZ$33,"&gt;"&amp;N$48,'Dvd Calendar'!$E$33:$CZ$33,"&lt;="&amp;N$49),"")))</f>
        <v/>
      </c>
      <c r="O64" s="140">
        <f>IF(O$49="","",IF($B64="","",IFERROR(SUMIFS('Dvd Calendar'!$E$34:$CZ$34,'Dvd Calendar'!$E$33:$CZ$33,"&gt;"&amp;O$48,'Dvd Calendar'!$E$33:$CZ$33,"&lt;="&amp;O$49),"")))</f>
        <v/>
      </c>
      <c r="P64" s="140">
        <f>IF(P$49="","",IF($B64="","",IFERROR(SUMIFS('Dvd Calendar'!$E$34:$CZ$34,'Dvd Calendar'!$E$33:$CZ$33,"&gt;"&amp;P$48,'Dvd Calendar'!$E$33:$CZ$33,"&lt;="&amp;P$49),"")))</f>
        <v/>
      </c>
      <c r="Q64" s="140">
        <f>IF(Q$49="","",IF($B64="","",IFERROR(SUMIFS('Dvd Calendar'!$E$34:$CZ$34,'Dvd Calendar'!$E$33:$CZ$33,"&gt;"&amp;Q$48,'Dvd Calendar'!$E$33:$CZ$33,"&lt;="&amp;Q$49),"")))</f>
        <v/>
      </c>
      <c r="R64" s="140">
        <f>IF(R$49="","",IF($B64="","",IFERROR(SUMIFS('Dvd Calendar'!$E$34:$CZ$34,'Dvd Calendar'!$E$33:$CZ$33,"&gt;"&amp;R$48,'Dvd Calendar'!$E$33:$CZ$33,"&lt;="&amp;R$49),"")))</f>
        <v/>
      </c>
      <c r="U64" s="146" t="n"/>
      <c r="V64" s="146" t="n"/>
      <c r="W64" s="146" t="n"/>
      <c r="X64" s="146" t="n"/>
      <c r="Y64" s="146" t="n"/>
      <c r="Z64" s="146" t="n"/>
      <c r="AA64" s="146" t="n"/>
      <c r="AB64" s="146" t="n"/>
      <c r="AC64" s="146" t="n"/>
      <c r="AD64" s="146" t="n"/>
      <c r="AE64" s="146" t="n"/>
      <c r="AF64" s="146" t="n"/>
      <c r="AG64" s="146" t="n"/>
      <c r="AH64" s="146" t="n"/>
      <c r="AI64" s="146" t="n"/>
      <c r="AJ64" s="146" t="n"/>
    </row>
    <row r="65">
      <c r="B65" s="5">
        <f>IF(AS51!$C$20="","",AS51!$C$20)</f>
        <v/>
      </c>
      <c r="C65" s="140">
        <f>IF(C$49="","",IF($B65="","",IFERROR(SUMIFS('Dvd Calendar'!$E$36:$CZ$36,'Dvd Calendar'!$E$35:$CZ$35,"&gt;"&amp;C$48,'Dvd Calendar'!$E$35:$CZ$35,"&lt;="&amp;C$49),"")))</f>
        <v/>
      </c>
      <c r="D65" s="140">
        <f>IF(D$49="","",IF($B65="","",IFERROR(SUMIFS('Dvd Calendar'!$E$36:$CZ$36,'Dvd Calendar'!$E$35:$CZ$35,"&gt;"&amp;D$48,'Dvd Calendar'!$E$35:$CZ$35,"&lt;="&amp;D$49),"")))</f>
        <v/>
      </c>
      <c r="E65" s="140">
        <f>IF(E$49="","",IF($B65="","",IFERROR(SUMIFS('Dvd Calendar'!$E$36:$CZ$36,'Dvd Calendar'!$E$35:$CZ$35,"&gt;"&amp;E$48,'Dvd Calendar'!$E$35:$CZ$35,"&lt;="&amp;E$49),"")))</f>
        <v/>
      </c>
      <c r="F65" s="140">
        <f>IF(F$49="","",IF($B65="","",IFERROR(SUMIFS('Dvd Calendar'!$E$36:$CZ$36,'Dvd Calendar'!$E$35:$CZ$35,"&gt;"&amp;F$48,'Dvd Calendar'!$E$35:$CZ$35,"&lt;="&amp;F$49),"")))</f>
        <v/>
      </c>
      <c r="G65" s="140">
        <f>IF(G$49="","",IF($B65="","",IFERROR(SUMIFS('Dvd Calendar'!$E$36:$CZ$36,'Dvd Calendar'!$E$35:$CZ$35,"&gt;"&amp;G$48,'Dvd Calendar'!$E$35:$CZ$35,"&lt;="&amp;G$49),"")))</f>
        <v/>
      </c>
      <c r="H65" s="140">
        <f>IF(H$49="","",IF($B65="","",IFERROR(SUMIFS('Dvd Calendar'!$E$36:$CZ$36,'Dvd Calendar'!$E$35:$CZ$35,"&gt;"&amp;H$48,'Dvd Calendar'!$E$35:$CZ$35,"&lt;="&amp;H$49),"")))</f>
        <v/>
      </c>
      <c r="I65" s="140">
        <f>IF(I$49="","",IF($B65="","",IFERROR(SUMIFS('Dvd Calendar'!$E$36:$CZ$36,'Dvd Calendar'!$E$35:$CZ$35,"&gt;"&amp;I$48,'Dvd Calendar'!$E$35:$CZ$35,"&lt;="&amp;I$49),"")))</f>
        <v/>
      </c>
      <c r="J65" s="140">
        <f>IF(J$49="","",IF($B65="","",IFERROR(SUMIFS('Dvd Calendar'!$E$36:$CZ$36,'Dvd Calendar'!$E$35:$CZ$35,"&gt;"&amp;J$48,'Dvd Calendar'!$E$35:$CZ$35,"&lt;="&amp;J$49),"")))</f>
        <v/>
      </c>
      <c r="K65" s="140">
        <f>IF(K$49="","",IF($B65="","",IFERROR(SUMIFS('Dvd Calendar'!$E$36:$CZ$36,'Dvd Calendar'!$E$35:$CZ$35,"&gt;"&amp;K$48,'Dvd Calendar'!$E$35:$CZ$35,"&lt;="&amp;K$49),"")))</f>
        <v/>
      </c>
      <c r="L65" s="140">
        <f>IF(L$49="","",IF($B65="","",IFERROR(SUMIFS('Dvd Calendar'!$E$36:$CZ$36,'Dvd Calendar'!$E$35:$CZ$35,"&gt;"&amp;L$48,'Dvd Calendar'!$E$35:$CZ$35,"&lt;="&amp;L$49),"")))</f>
        <v/>
      </c>
      <c r="M65" s="140">
        <f>IF(M$49="","",IF($B65="","",IFERROR(SUMIFS('Dvd Calendar'!$E$36:$CZ$36,'Dvd Calendar'!$E$35:$CZ$35,"&gt;"&amp;M$48,'Dvd Calendar'!$E$35:$CZ$35,"&lt;="&amp;M$49),"")))</f>
        <v/>
      </c>
      <c r="N65" s="140">
        <f>IF(N$49="","",IF($B65="","",IFERROR(SUMIFS('Dvd Calendar'!$E$36:$CZ$36,'Dvd Calendar'!$E$35:$CZ$35,"&gt;"&amp;N$48,'Dvd Calendar'!$E$35:$CZ$35,"&lt;="&amp;N$49),"")))</f>
        <v/>
      </c>
      <c r="O65" s="140">
        <f>IF(O$49="","",IF($B65="","",IFERROR(SUMIFS('Dvd Calendar'!$E$36:$CZ$36,'Dvd Calendar'!$E$35:$CZ$35,"&gt;"&amp;O$48,'Dvd Calendar'!$E$35:$CZ$35,"&lt;="&amp;O$49),"")))</f>
        <v/>
      </c>
      <c r="P65" s="140">
        <f>IF(P$49="","",IF($B65="","",IFERROR(SUMIFS('Dvd Calendar'!$E$36:$CZ$36,'Dvd Calendar'!$E$35:$CZ$35,"&gt;"&amp;P$48,'Dvd Calendar'!$E$35:$CZ$35,"&lt;="&amp;P$49),"")))</f>
        <v/>
      </c>
      <c r="Q65" s="140">
        <f>IF(Q$49="","",IF($B65="","",IFERROR(SUMIFS('Dvd Calendar'!$E$36:$CZ$36,'Dvd Calendar'!$E$35:$CZ$35,"&gt;"&amp;Q$48,'Dvd Calendar'!$E$35:$CZ$35,"&lt;="&amp;Q$49),"")))</f>
        <v/>
      </c>
      <c r="R65" s="140">
        <f>IF(R$49="","",IF($B65="","",IFERROR(SUMIFS('Dvd Calendar'!$E$36:$CZ$36,'Dvd Calendar'!$E$35:$CZ$35,"&gt;"&amp;R$48,'Dvd Calendar'!$E$35:$CZ$35,"&lt;="&amp;R$49),"")))</f>
        <v/>
      </c>
      <c r="U65" s="146" t="n"/>
      <c r="V65" s="146" t="n"/>
      <c r="W65" s="146" t="n"/>
      <c r="X65" s="146" t="n"/>
      <c r="Y65" s="146" t="n"/>
      <c r="Z65" s="146" t="n"/>
      <c r="AA65" s="146" t="n"/>
      <c r="AB65" s="146" t="n"/>
      <c r="AC65" s="146" t="n"/>
      <c r="AD65" s="146" t="n"/>
      <c r="AE65" s="146" t="n"/>
      <c r="AF65" s="146" t="n"/>
      <c r="AG65" s="146" t="n"/>
      <c r="AH65" s="146" t="n"/>
      <c r="AI65" s="146" t="n"/>
      <c r="AJ65" s="146" t="n"/>
    </row>
    <row r="66">
      <c r="B66" s="5">
        <f>IF(AS51!$C$21="","",AS51!$C$21)</f>
        <v/>
      </c>
      <c r="C66" s="140">
        <f>IF(C$49="","",IF($B66="","",IFERROR(SUMIFS('Dvd Calendar'!$E$38:$CZ$38,'Dvd Calendar'!$E$37:$CZ$37,"&gt;"&amp;C$48,'Dvd Calendar'!$E$37:$CZ$37,"&lt;="&amp;C$49),"")))</f>
        <v/>
      </c>
      <c r="D66" s="140">
        <f>IF(D$49="","",IF($B66="","",IFERROR(SUMIFS('Dvd Calendar'!$E$38:$CZ$38,'Dvd Calendar'!$E$37:$CZ$37,"&gt;"&amp;D$48,'Dvd Calendar'!$E$37:$CZ$37,"&lt;="&amp;D$49),"")))</f>
        <v/>
      </c>
      <c r="E66" s="140">
        <f>IF(E$49="","",IF($B66="","",IFERROR(SUMIFS('Dvd Calendar'!$E$38:$CZ$38,'Dvd Calendar'!$E$37:$CZ$37,"&gt;"&amp;E$48,'Dvd Calendar'!$E$37:$CZ$37,"&lt;="&amp;E$49),"")))</f>
        <v/>
      </c>
      <c r="F66" s="140">
        <f>IF(F$49="","",IF($B66="","",IFERROR(SUMIFS('Dvd Calendar'!$E$38:$CZ$38,'Dvd Calendar'!$E$37:$CZ$37,"&gt;"&amp;F$48,'Dvd Calendar'!$E$37:$CZ$37,"&lt;="&amp;F$49),"")))</f>
        <v/>
      </c>
      <c r="G66" s="140">
        <f>IF(G$49="","",IF($B66="","",IFERROR(SUMIFS('Dvd Calendar'!$E$38:$CZ$38,'Dvd Calendar'!$E$37:$CZ$37,"&gt;"&amp;G$48,'Dvd Calendar'!$E$37:$CZ$37,"&lt;="&amp;G$49),"")))</f>
        <v/>
      </c>
      <c r="H66" s="140">
        <f>IF(H$49="","",IF($B66="","",IFERROR(SUMIFS('Dvd Calendar'!$E$38:$CZ$38,'Dvd Calendar'!$E$37:$CZ$37,"&gt;"&amp;H$48,'Dvd Calendar'!$E$37:$CZ$37,"&lt;="&amp;H$49),"")))</f>
        <v/>
      </c>
      <c r="I66" s="140">
        <f>IF(I$49="","",IF($B66="","",IFERROR(SUMIFS('Dvd Calendar'!$E$38:$CZ$38,'Dvd Calendar'!$E$37:$CZ$37,"&gt;"&amp;I$48,'Dvd Calendar'!$E$37:$CZ$37,"&lt;="&amp;I$49),"")))</f>
        <v/>
      </c>
      <c r="J66" s="140">
        <f>IF(J$49="","",IF($B66="","",IFERROR(SUMIFS('Dvd Calendar'!$E$38:$CZ$38,'Dvd Calendar'!$E$37:$CZ$37,"&gt;"&amp;J$48,'Dvd Calendar'!$E$37:$CZ$37,"&lt;="&amp;J$49),"")))</f>
        <v/>
      </c>
      <c r="K66" s="140">
        <f>IF(K$49="","",IF($B66="","",IFERROR(SUMIFS('Dvd Calendar'!$E$38:$CZ$38,'Dvd Calendar'!$E$37:$CZ$37,"&gt;"&amp;K$48,'Dvd Calendar'!$E$37:$CZ$37,"&lt;="&amp;K$49),"")))</f>
        <v/>
      </c>
      <c r="L66" s="140">
        <f>IF(L$49="","",IF($B66="","",IFERROR(SUMIFS('Dvd Calendar'!$E$38:$CZ$38,'Dvd Calendar'!$E$37:$CZ$37,"&gt;"&amp;L$48,'Dvd Calendar'!$E$37:$CZ$37,"&lt;="&amp;L$49),"")))</f>
        <v/>
      </c>
      <c r="M66" s="140">
        <f>IF(M$49="","",IF($B66="","",IFERROR(SUMIFS('Dvd Calendar'!$E$38:$CZ$38,'Dvd Calendar'!$E$37:$CZ$37,"&gt;"&amp;M$48,'Dvd Calendar'!$E$37:$CZ$37,"&lt;="&amp;M$49),"")))</f>
        <v/>
      </c>
      <c r="N66" s="140">
        <f>IF(N$49="","",IF($B66="","",IFERROR(SUMIFS('Dvd Calendar'!$E$38:$CZ$38,'Dvd Calendar'!$E$37:$CZ$37,"&gt;"&amp;N$48,'Dvd Calendar'!$E$37:$CZ$37,"&lt;="&amp;N$49),"")))</f>
        <v/>
      </c>
      <c r="O66" s="140">
        <f>IF(O$49="","",IF($B66="","",IFERROR(SUMIFS('Dvd Calendar'!$E$38:$CZ$38,'Dvd Calendar'!$E$37:$CZ$37,"&gt;"&amp;O$48,'Dvd Calendar'!$E$37:$CZ$37,"&lt;="&amp;O$49),"")))</f>
        <v/>
      </c>
      <c r="P66" s="140">
        <f>IF(P$49="","",IF($B66="","",IFERROR(SUMIFS('Dvd Calendar'!$E$38:$CZ$38,'Dvd Calendar'!$E$37:$CZ$37,"&gt;"&amp;P$48,'Dvd Calendar'!$E$37:$CZ$37,"&lt;="&amp;P$49),"")))</f>
        <v/>
      </c>
      <c r="Q66" s="140">
        <f>IF(Q$49="","",IF($B66="","",IFERROR(SUMIFS('Dvd Calendar'!$E$38:$CZ$38,'Dvd Calendar'!$E$37:$CZ$37,"&gt;"&amp;Q$48,'Dvd Calendar'!$E$37:$CZ$37,"&lt;="&amp;Q$49),"")))</f>
        <v/>
      </c>
      <c r="R66" s="140">
        <f>IF(R$49="","",IF($B66="","",IFERROR(SUMIFS('Dvd Calendar'!$E$38:$CZ$38,'Dvd Calendar'!$E$37:$CZ$37,"&gt;"&amp;R$48,'Dvd Calendar'!$E$37:$CZ$37,"&lt;="&amp;R$49),"")))</f>
        <v/>
      </c>
      <c r="U66" s="146" t="n"/>
      <c r="V66" s="146" t="n"/>
      <c r="W66" s="146" t="n"/>
      <c r="X66" s="146" t="n"/>
      <c r="Y66" s="146" t="n"/>
      <c r="Z66" s="146" t="n"/>
      <c r="AA66" s="146" t="n"/>
      <c r="AB66" s="146" t="n"/>
      <c r="AC66" s="146" t="n"/>
      <c r="AD66" s="146" t="n"/>
      <c r="AE66" s="146" t="n"/>
      <c r="AF66" s="146" t="n"/>
      <c r="AG66" s="146" t="n"/>
      <c r="AH66" s="146" t="n"/>
      <c r="AI66" s="146" t="n"/>
      <c r="AJ66" s="146" t="n"/>
    </row>
    <row r="67">
      <c r="B67" s="5">
        <f>IF(AS51!$C$22="","",AS51!$C$22)</f>
        <v/>
      </c>
      <c r="C67" s="140">
        <f>IF(C$49="","",IF($B67="","",IFERROR(SUMIFS('Dvd Calendar'!$E$40:$CZ$40,'Dvd Calendar'!$E$39:$CZ$39,"&gt;"&amp;C$48,'Dvd Calendar'!$E$39:$CZ$39,"&lt;="&amp;C$49),"")))</f>
        <v/>
      </c>
      <c r="D67" s="140">
        <f>IF(D$49="","",IF($B67="","",IFERROR(SUMIFS('Dvd Calendar'!$E$40:$CZ$40,'Dvd Calendar'!$E$39:$CZ$39,"&gt;"&amp;D$48,'Dvd Calendar'!$E$39:$CZ$39,"&lt;="&amp;D$49),"")))</f>
        <v/>
      </c>
      <c r="E67" s="140">
        <f>IF(E$49="","",IF($B67="","",IFERROR(SUMIFS('Dvd Calendar'!$E$40:$CZ$40,'Dvd Calendar'!$E$39:$CZ$39,"&gt;"&amp;E$48,'Dvd Calendar'!$E$39:$CZ$39,"&lt;="&amp;E$49),"")))</f>
        <v/>
      </c>
      <c r="F67" s="140">
        <f>IF(F$49="","",IF($B67="","",IFERROR(SUMIFS('Dvd Calendar'!$E$40:$CZ$40,'Dvd Calendar'!$E$39:$CZ$39,"&gt;"&amp;F$48,'Dvd Calendar'!$E$39:$CZ$39,"&lt;="&amp;F$49),"")))</f>
        <v/>
      </c>
      <c r="G67" s="140">
        <f>IF(G$49="","",IF($B67="","",IFERROR(SUMIFS('Dvd Calendar'!$E$40:$CZ$40,'Dvd Calendar'!$E$39:$CZ$39,"&gt;"&amp;G$48,'Dvd Calendar'!$E$39:$CZ$39,"&lt;="&amp;G$49),"")))</f>
        <v/>
      </c>
      <c r="H67" s="140">
        <f>IF(H$49="","",IF($B67="","",IFERROR(SUMIFS('Dvd Calendar'!$E$40:$CZ$40,'Dvd Calendar'!$E$39:$CZ$39,"&gt;"&amp;H$48,'Dvd Calendar'!$E$39:$CZ$39,"&lt;="&amp;H$49),"")))</f>
        <v/>
      </c>
      <c r="I67" s="140">
        <f>IF(I$49="","",IF($B67="","",IFERROR(SUMIFS('Dvd Calendar'!$E$40:$CZ$40,'Dvd Calendar'!$E$39:$CZ$39,"&gt;"&amp;I$48,'Dvd Calendar'!$E$39:$CZ$39,"&lt;="&amp;I$49),"")))</f>
        <v/>
      </c>
      <c r="J67" s="140">
        <f>IF(J$49="","",IF($B67="","",IFERROR(SUMIFS('Dvd Calendar'!$E$40:$CZ$40,'Dvd Calendar'!$E$39:$CZ$39,"&gt;"&amp;J$48,'Dvd Calendar'!$E$39:$CZ$39,"&lt;="&amp;J$49),"")))</f>
        <v/>
      </c>
      <c r="K67" s="140">
        <f>IF(K$49="","",IF($B67="","",IFERROR(SUMIFS('Dvd Calendar'!$E$40:$CZ$40,'Dvd Calendar'!$E$39:$CZ$39,"&gt;"&amp;K$48,'Dvd Calendar'!$E$39:$CZ$39,"&lt;="&amp;K$49),"")))</f>
        <v/>
      </c>
      <c r="L67" s="140">
        <f>IF(L$49="","",IF($B67="","",IFERROR(SUMIFS('Dvd Calendar'!$E$40:$CZ$40,'Dvd Calendar'!$E$39:$CZ$39,"&gt;"&amp;L$48,'Dvd Calendar'!$E$39:$CZ$39,"&lt;="&amp;L$49),"")))</f>
        <v/>
      </c>
      <c r="M67" s="140">
        <f>IF(M$49="","",IF($B67="","",IFERROR(SUMIFS('Dvd Calendar'!$E$40:$CZ$40,'Dvd Calendar'!$E$39:$CZ$39,"&gt;"&amp;M$48,'Dvd Calendar'!$E$39:$CZ$39,"&lt;="&amp;M$49),"")))</f>
        <v/>
      </c>
      <c r="N67" s="140">
        <f>IF(N$49="","",IF($B67="","",IFERROR(SUMIFS('Dvd Calendar'!$E$40:$CZ$40,'Dvd Calendar'!$E$39:$CZ$39,"&gt;"&amp;N$48,'Dvd Calendar'!$E$39:$CZ$39,"&lt;="&amp;N$49),"")))</f>
        <v/>
      </c>
      <c r="O67" s="140">
        <f>IF(O$49="","",IF($B67="","",IFERROR(SUMIFS('Dvd Calendar'!$E$40:$CZ$40,'Dvd Calendar'!$E$39:$CZ$39,"&gt;"&amp;O$48,'Dvd Calendar'!$E$39:$CZ$39,"&lt;="&amp;O$49),"")))</f>
        <v/>
      </c>
      <c r="P67" s="140">
        <f>IF(P$49="","",IF($B67="","",IFERROR(SUMIFS('Dvd Calendar'!$E$40:$CZ$40,'Dvd Calendar'!$E$39:$CZ$39,"&gt;"&amp;P$48,'Dvd Calendar'!$E$39:$CZ$39,"&lt;="&amp;P$49),"")))</f>
        <v/>
      </c>
      <c r="Q67" s="140">
        <f>IF(Q$49="","",IF($B67="","",IFERROR(SUMIFS('Dvd Calendar'!$E$40:$CZ$40,'Dvd Calendar'!$E$39:$CZ$39,"&gt;"&amp;Q$48,'Dvd Calendar'!$E$39:$CZ$39,"&lt;="&amp;Q$49),"")))</f>
        <v/>
      </c>
      <c r="R67" s="140">
        <f>IF(R$49="","",IF($B67="","",IFERROR(SUMIFS('Dvd Calendar'!$E$40:$CZ$40,'Dvd Calendar'!$E$39:$CZ$39,"&gt;"&amp;R$48,'Dvd Calendar'!$E$39:$CZ$39,"&lt;="&amp;R$49),"")))</f>
        <v/>
      </c>
      <c r="U67" s="146" t="n"/>
      <c r="V67" s="146" t="n"/>
      <c r="W67" s="146" t="n"/>
      <c r="X67" s="146" t="n"/>
      <c r="Y67" s="146" t="n"/>
      <c r="Z67" s="146" t="n"/>
      <c r="AA67" s="146" t="n"/>
      <c r="AB67" s="146" t="n"/>
      <c r="AC67" s="146" t="n"/>
      <c r="AD67" s="146" t="n"/>
      <c r="AE67" s="146" t="n"/>
      <c r="AF67" s="146" t="n"/>
      <c r="AG67" s="146" t="n"/>
      <c r="AH67" s="146" t="n"/>
      <c r="AI67" s="146" t="n"/>
      <c r="AJ67" s="146" t="n"/>
    </row>
    <row r="68">
      <c r="B68" s="5">
        <f>IF(AS51!$C$23="","",AS51!$C$23)</f>
        <v/>
      </c>
      <c r="C68" s="140">
        <f>IF(C$49="","",IF($B68="","",IFERROR(SUMIFS('Dvd Calendar'!$E$42:$CZ$42,'Dvd Calendar'!$E$41:$CZ$41,"&gt;"&amp;C$48,'Dvd Calendar'!$E$41:$CZ$41,"&lt;="&amp;C$49),"")))</f>
        <v/>
      </c>
      <c r="D68" s="140">
        <f>IF(D$49="","",IF($B68="","",IFERROR(SUMIFS('Dvd Calendar'!$E$42:$CZ$42,'Dvd Calendar'!$E$41:$CZ$41,"&gt;"&amp;D$48,'Dvd Calendar'!$E$41:$CZ$41,"&lt;="&amp;D$49),"")))</f>
        <v/>
      </c>
      <c r="E68" s="140">
        <f>IF(E$49="","",IF($B68="","",IFERROR(SUMIFS('Dvd Calendar'!$E$42:$CZ$42,'Dvd Calendar'!$E$41:$CZ$41,"&gt;"&amp;E$48,'Dvd Calendar'!$E$41:$CZ$41,"&lt;="&amp;E$49),"")))</f>
        <v/>
      </c>
      <c r="F68" s="140">
        <f>IF(F$49="","",IF($B68="","",IFERROR(SUMIFS('Dvd Calendar'!$E$42:$CZ$42,'Dvd Calendar'!$E$41:$CZ$41,"&gt;"&amp;F$48,'Dvd Calendar'!$E$41:$CZ$41,"&lt;="&amp;F$49),"")))</f>
        <v/>
      </c>
      <c r="G68" s="140">
        <f>IF(G$49="","",IF($B68="","",IFERROR(SUMIFS('Dvd Calendar'!$E$42:$CZ$42,'Dvd Calendar'!$E$41:$CZ$41,"&gt;"&amp;G$48,'Dvd Calendar'!$E$41:$CZ$41,"&lt;="&amp;G$49),"")))</f>
        <v/>
      </c>
      <c r="H68" s="140">
        <f>IF(H$49="","",IF($B68="","",IFERROR(SUMIFS('Dvd Calendar'!$E$42:$CZ$42,'Dvd Calendar'!$E$41:$CZ$41,"&gt;"&amp;H$48,'Dvd Calendar'!$E$41:$CZ$41,"&lt;="&amp;H$49),"")))</f>
        <v/>
      </c>
      <c r="I68" s="140">
        <f>IF(I$49="","",IF($B68="","",IFERROR(SUMIFS('Dvd Calendar'!$E$42:$CZ$42,'Dvd Calendar'!$E$41:$CZ$41,"&gt;"&amp;I$48,'Dvd Calendar'!$E$41:$CZ$41,"&lt;="&amp;I$49),"")))</f>
        <v/>
      </c>
      <c r="J68" s="140">
        <f>IF(J$49="","",IF($B68="","",IFERROR(SUMIFS('Dvd Calendar'!$E$42:$CZ$42,'Dvd Calendar'!$E$41:$CZ$41,"&gt;"&amp;J$48,'Dvd Calendar'!$E$41:$CZ$41,"&lt;="&amp;J$49),"")))</f>
        <v/>
      </c>
      <c r="K68" s="140">
        <f>IF(K$49="","",IF($B68="","",IFERROR(SUMIFS('Dvd Calendar'!$E$42:$CZ$42,'Dvd Calendar'!$E$41:$CZ$41,"&gt;"&amp;K$48,'Dvd Calendar'!$E$41:$CZ$41,"&lt;="&amp;K$49),"")))</f>
        <v/>
      </c>
      <c r="L68" s="140">
        <f>IF(L$49="","",IF($B68="","",IFERROR(SUMIFS('Dvd Calendar'!$E$42:$CZ$42,'Dvd Calendar'!$E$41:$CZ$41,"&gt;"&amp;L$48,'Dvd Calendar'!$E$41:$CZ$41,"&lt;="&amp;L$49),"")))</f>
        <v/>
      </c>
      <c r="M68" s="140">
        <f>IF(M$49="","",IF($B68="","",IFERROR(SUMIFS('Dvd Calendar'!$E$42:$CZ$42,'Dvd Calendar'!$E$41:$CZ$41,"&gt;"&amp;M$48,'Dvd Calendar'!$E$41:$CZ$41,"&lt;="&amp;M$49),"")))</f>
        <v/>
      </c>
      <c r="N68" s="140">
        <f>IF(N$49="","",IF($B68="","",IFERROR(SUMIFS('Dvd Calendar'!$E$42:$CZ$42,'Dvd Calendar'!$E$41:$CZ$41,"&gt;"&amp;N$48,'Dvd Calendar'!$E$41:$CZ$41,"&lt;="&amp;N$49),"")))</f>
        <v/>
      </c>
      <c r="O68" s="140">
        <f>IF(O$49="","",IF($B68="","",IFERROR(SUMIFS('Dvd Calendar'!$E$42:$CZ$42,'Dvd Calendar'!$E$41:$CZ$41,"&gt;"&amp;O$48,'Dvd Calendar'!$E$41:$CZ$41,"&lt;="&amp;O$49),"")))</f>
        <v/>
      </c>
      <c r="P68" s="140">
        <f>IF(P$49="","",IF($B68="","",IFERROR(SUMIFS('Dvd Calendar'!$E$42:$CZ$42,'Dvd Calendar'!$E$41:$CZ$41,"&gt;"&amp;P$48,'Dvd Calendar'!$E$41:$CZ$41,"&lt;="&amp;P$49),"")))</f>
        <v/>
      </c>
      <c r="Q68" s="140">
        <f>IF(Q$49="","",IF($B68="","",IFERROR(SUMIFS('Dvd Calendar'!$E$42:$CZ$42,'Dvd Calendar'!$E$41:$CZ$41,"&gt;"&amp;Q$48,'Dvd Calendar'!$E$41:$CZ$41,"&lt;="&amp;Q$49),"")))</f>
        <v/>
      </c>
      <c r="R68" s="140">
        <f>IF(R$49="","",IF($B68="","",IFERROR(SUMIFS('Dvd Calendar'!$E$42:$CZ$42,'Dvd Calendar'!$E$41:$CZ$41,"&gt;"&amp;R$48,'Dvd Calendar'!$E$41:$CZ$41,"&lt;="&amp;R$49),"")))</f>
        <v/>
      </c>
      <c r="U68" s="146" t="n"/>
      <c r="V68" s="146" t="n"/>
      <c r="W68" s="146" t="n"/>
      <c r="X68" s="146" t="n"/>
      <c r="Y68" s="146" t="n"/>
      <c r="Z68" s="146" t="n"/>
      <c r="AA68" s="146" t="n"/>
      <c r="AB68" s="146" t="n"/>
      <c r="AC68" s="146" t="n"/>
      <c r="AD68" s="146" t="n"/>
      <c r="AE68" s="146" t="n"/>
      <c r="AF68" s="146" t="n"/>
      <c r="AG68" s="146" t="n"/>
      <c r="AH68" s="146" t="n"/>
      <c r="AI68" s="146" t="n"/>
      <c r="AJ68" s="146" t="n"/>
    </row>
    <row r="69">
      <c r="B69" s="5">
        <f>IF(AS51!$C$24="","",AS51!$C$24)</f>
        <v/>
      </c>
      <c r="C69" s="140">
        <f>IF(C$49="","",IF($B69="","",IFERROR(SUMIFS('Dvd Calendar'!$E$44:$CZ$44,'Dvd Calendar'!$E$43:$CZ$43,"&gt;"&amp;C$48,'Dvd Calendar'!$E$43:$CZ$43,"&lt;="&amp;C$49),"")))</f>
        <v/>
      </c>
      <c r="D69" s="140">
        <f>IF(D$49="","",IF($B69="","",IFERROR(SUMIFS('Dvd Calendar'!$E$44:$CZ$44,'Dvd Calendar'!$E$43:$CZ$43,"&gt;"&amp;D$48,'Dvd Calendar'!$E$43:$CZ$43,"&lt;="&amp;D$49),"")))</f>
        <v/>
      </c>
      <c r="E69" s="140">
        <f>IF(E$49="","",IF($B69="","",IFERROR(SUMIFS('Dvd Calendar'!$E$44:$CZ$44,'Dvd Calendar'!$E$43:$CZ$43,"&gt;"&amp;E$48,'Dvd Calendar'!$E$43:$CZ$43,"&lt;="&amp;E$49),"")))</f>
        <v/>
      </c>
      <c r="F69" s="140">
        <f>IF(F$49="","",IF($B69="","",IFERROR(SUMIFS('Dvd Calendar'!$E$44:$CZ$44,'Dvd Calendar'!$E$43:$CZ$43,"&gt;"&amp;F$48,'Dvd Calendar'!$E$43:$CZ$43,"&lt;="&amp;F$49),"")))</f>
        <v/>
      </c>
      <c r="G69" s="140">
        <f>IF(G$49="","",IF($B69="","",IFERROR(SUMIFS('Dvd Calendar'!$E$44:$CZ$44,'Dvd Calendar'!$E$43:$CZ$43,"&gt;"&amp;G$48,'Dvd Calendar'!$E$43:$CZ$43,"&lt;="&amp;G$49),"")))</f>
        <v/>
      </c>
      <c r="H69" s="140">
        <f>IF(H$49="","",IF($B69="","",IFERROR(SUMIFS('Dvd Calendar'!$E$44:$CZ$44,'Dvd Calendar'!$E$43:$CZ$43,"&gt;"&amp;H$48,'Dvd Calendar'!$E$43:$CZ$43,"&lt;="&amp;H$49),"")))</f>
        <v/>
      </c>
      <c r="I69" s="140">
        <f>IF(I$49="","",IF($B69="","",IFERROR(SUMIFS('Dvd Calendar'!$E$44:$CZ$44,'Dvd Calendar'!$E$43:$CZ$43,"&gt;"&amp;I$48,'Dvd Calendar'!$E$43:$CZ$43,"&lt;="&amp;I$49),"")))</f>
        <v/>
      </c>
      <c r="J69" s="140">
        <f>IF(J$49="","",IF($B69="","",IFERROR(SUMIFS('Dvd Calendar'!$E$44:$CZ$44,'Dvd Calendar'!$E$43:$CZ$43,"&gt;"&amp;J$48,'Dvd Calendar'!$E$43:$CZ$43,"&lt;="&amp;J$49),"")))</f>
        <v/>
      </c>
      <c r="K69" s="140">
        <f>IF(K$49="","",IF($B69="","",IFERROR(SUMIFS('Dvd Calendar'!$E$44:$CZ$44,'Dvd Calendar'!$E$43:$CZ$43,"&gt;"&amp;K$48,'Dvd Calendar'!$E$43:$CZ$43,"&lt;="&amp;K$49),"")))</f>
        <v/>
      </c>
      <c r="L69" s="140">
        <f>IF(L$49="","",IF($B69="","",IFERROR(SUMIFS('Dvd Calendar'!$E$44:$CZ$44,'Dvd Calendar'!$E$43:$CZ$43,"&gt;"&amp;L$48,'Dvd Calendar'!$E$43:$CZ$43,"&lt;="&amp;L$49),"")))</f>
        <v/>
      </c>
      <c r="M69" s="140">
        <f>IF(M$49="","",IF($B69="","",IFERROR(SUMIFS('Dvd Calendar'!$E$44:$CZ$44,'Dvd Calendar'!$E$43:$CZ$43,"&gt;"&amp;M$48,'Dvd Calendar'!$E$43:$CZ$43,"&lt;="&amp;M$49),"")))</f>
        <v/>
      </c>
      <c r="N69" s="140">
        <f>IF(N$49="","",IF($B69="","",IFERROR(SUMIFS('Dvd Calendar'!$E$44:$CZ$44,'Dvd Calendar'!$E$43:$CZ$43,"&gt;"&amp;N$48,'Dvd Calendar'!$E$43:$CZ$43,"&lt;="&amp;N$49),"")))</f>
        <v/>
      </c>
      <c r="O69" s="140">
        <f>IF(O$49="","",IF($B69="","",IFERROR(SUMIFS('Dvd Calendar'!$E$44:$CZ$44,'Dvd Calendar'!$E$43:$CZ$43,"&gt;"&amp;O$48,'Dvd Calendar'!$E$43:$CZ$43,"&lt;="&amp;O$49),"")))</f>
        <v/>
      </c>
      <c r="P69" s="140">
        <f>IF(P$49="","",IF($B69="","",IFERROR(SUMIFS('Dvd Calendar'!$E$44:$CZ$44,'Dvd Calendar'!$E$43:$CZ$43,"&gt;"&amp;P$48,'Dvd Calendar'!$E$43:$CZ$43,"&lt;="&amp;P$49),"")))</f>
        <v/>
      </c>
      <c r="Q69" s="140">
        <f>IF(Q$49="","",IF($B69="","",IFERROR(SUMIFS('Dvd Calendar'!$E$44:$CZ$44,'Dvd Calendar'!$E$43:$CZ$43,"&gt;"&amp;Q$48,'Dvd Calendar'!$E$43:$CZ$43,"&lt;="&amp;Q$49),"")))</f>
        <v/>
      </c>
      <c r="R69" s="140">
        <f>IF(R$49="","",IF($B69="","",IFERROR(SUMIFS('Dvd Calendar'!$E$44:$CZ$44,'Dvd Calendar'!$E$43:$CZ$43,"&gt;"&amp;R$48,'Dvd Calendar'!$E$43:$CZ$43,"&lt;="&amp;R$49),"")))</f>
        <v/>
      </c>
      <c r="U69" s="146" t="n"/>
      <c r="V69" s="146" t="n"/>
      <c r="W69" s="146" t="n"/>
      <c r="X69" s="146" t="n"/>
      <c r="Y69" s="146" t="n"/>
      <c r="Z69" s="146" t="n"/>
      <c r="AA69" s="146" t="n"/>
      <c r="AB69" s="146" t="n"/>
      <c r="AC69" s="146" t="n"/>
      <c r="AD69" s="146" t="n"/>
      <c r="AE69" s="146" t="n"/>
      <c r="AF69" s="146" t="n"/>
      <c r="AG69" s="146" t="n"/>
      <c r="AH69" s="146" t="n"/>
      <c r="AI69" s="146" t="n"/>
      <c r="AJ69" s="146" t="n"/>
    </row>
    <row r="70">
      <c r="B70" s="5">
        <f>IF(AS51!$C$25="","",AS51!$C$25)</f>
        <v/>
      </c>
      <c r="C70" s="140">
        <f>IF(C$49="","",IF($B70="","",IFERROR(SUMIFS('Dvd Calendar'!$E$46:$CZ$46,'Dvd Calendar'!$E$45:$CZ$45,"&gt;"&amp;C$48,'Dvd Calendar'!$E$45:$CZ$45,"&lt;="&amp;C$49),"")))</f>
        <v/>
      </c>
      <c r="D70" s="140">
        <f>IF(D$49="","",IF($B70="","",IFERROR(SUMIFS('Dvd Calendar'!$E$46:$CZ$46,'Dvd Calendar'!$E$45:$CZ$45,"&gt;"&amp;D$48,'Dvd Calendar'!$E$45:$CZ$45,"&lt;="&amp;D$49),"")))</f>
        <v/>
      </c>
      <c r="E70" s="140">
        <f>IF(E$49="","",IF($B70="","",IFERROR(SUMIFS('Dvd Calendar'!$E$46:$CZ$46,'Dvd Calendar'!$E$45:$CZ$45,"&gt;"&amp;E$48,'Dvd Calendar'!$E$45:$CZ$45,"&lt;="&amp;E$49),"")))</f>
        <v/>
      </c>
      <c r="F70" s="140">
        <f>IF(F$49="","",IF($B70="","",IFERROR(SUMIFS('Dvd Calendar'!$E$46:$CZ$46,'Dvd Calendar'!$E$45:$CZ$45,"&gt;"&amp;F$48,'Dvd Calendar'!$E$45:$CZ$45,"&lt;="&amp;F$49),"")))</f>
        <v/>
      </c>
      <c r="G70" s="140">
        <f>IF(G$49="","",IF($B70="","",IFERROR(SUMIFS('Dvd Calendar'!$E$46:$CZ$46,'Dvd Calendar'!$E$45:$CZ$45,"&gt;"&amp;G$48,'Dvd Calendar'!$E$45:$CZ$45,"&lt;="&amp;G$49),"")))</f>
        <v/>
      </c>
      <c r="H70" s="140">
        <f>IF(H$49="","",IF($B70="","",IFERROR(SUMIFS('Dvd Calendar'!$E$46:$CZ$46,'Dvd Calendar'!$E$45:$CZ$45,"&gt;"&amp;H$48,'Dvd Calendar'!$E$45:$CZ$45,"&lt;="&amp;H$49),"")))</f>
        <v/>
      </c>
      <c r="I70" s="140">
        <f>IF(I$49="","",IF($B70="","",IFERROR(SUMIFS('Dvd Calendar'!$E$46:$CZ$46,'Dvd Calendar'!$E$45:$CZ$45,"&gt;"&amp;I$48,'Dvd Calendar'!$E$45:$CZ$45,"&lt;="&amp;I$49),"")))</f>
        <v/>
      </c>
      <c r="J70" s="140">
        <f>IF(J$49="","",IF($B70="","",IFERROR(SUMIFS('Dvd Calendar'!$E$46:$CZ$46,'Dvd Calendar'!$E$45:$CZ$45,"&gt;"&amp;J$48,'Dvd Calendar'!$E$45:$CZ$45,"&lt;="&amp;J$49),"")))</f>
        <v/>
      </c>
      <c r="K70" s="140">
        <f>IF(K$49="","",IF($B70="","",IFERROR(SUMIFS('Dvd Calendar'!$E$46:$CZ$46,'Dvd Calendar'!$E$45:$CZ$45,"&gt;"&amp;K$48,'Dvd Calendar'!$E$45:$CZ$45,"&lt;="&amp;K$49),"")))</f>
        <v/>
      </c>
      <c r="L70" s="140">
        <f>IF(L$49="","",IF($B70="","",IFERROR(SUMIFS('Dvd Calendar'!$E$46:$CZ$46,'Dvd Calendar'!$E$45:$CZ$45,"&gt;"&amp;L$48,'Dvd Calendar'!$E$45:$CZ$45,"&lt;="&amp;L$49),"")))</f>
        <v/>
      </c>
      <c r="M70" s="140">
        <f>IF(M$49="","",IF($B70="","",IFERROR(SUMIFS('Dvd Calendar'!$E$46:$CZ$46,'Dvd Calendar'!$E$45:$CZ$45,"&gt;"&amp;M$48,'Dvd Calendar'!$E$45:$CZ$45,"&lt;="&amp;M$49),"")))</f>
        <v/>
      </c>
      <c r="N70" s="140">
        <f>IF(N$49="","",IF($B70="","",IFERROR(SUMIFS('Dvd Calendar'!$E$46:$CZ$46,'Dvd Calendar'!$E$45:$CZ$45,"&gt;"&amp;N$48,'Dvd Calendar'!$E$45:$CZ$45,"&lt;="&amp;N$49),"")))</f>
        <v/>
      </c>
      <c r="O70" s="140">
        <f>IF(O$49="","",IF($B70="","",IFERROR(SUMIFS('Dvd Calendar'!$E$46:$CZ$46,'Dvd Calendar'!$E$45:$CZ$45,"&gt;"&amp;O$48,'Dvd Calendar'!$E$45:$CZ$45,"&lt;="&amp;O$49),"")))</f>
        <v/>
      </c>
      <c r="P70" s="140">
        <f>IF(P$49="","",IF($B70="","",IFERROR(SUMIFS('Dvd Calendar'!$E$46:$CZ$46,'Dvd Calendar'!$E$45:$CZ$45,"&gt;"&amp;P$48,'Dvd Calendar'!$E$45:$CZ$45,"&lt;="&amp;P$49),"")))</f>
        <v/>
      </c>
      <c r="Q70" s="140">
        <f>IF(Q$49="","",IF($B70="","",IFERROR(SUMIFS('Dvd Calendar'!$E$46:$CZ$46,'Dvd Calendar'!$E$45:$CZ$45,"&gt;"&amp;Q$48,'Dvd Calendar'!$E$45:$CZ$45,"&lt;="&amp;Q$49),"")))</f>
        <v/>
      </c>
      <c r="R70" s="140">
        <f>IF(R$49="","",IF($B70="","",IFERROR(SUMIFS('Dvd Calendar'!$E$46:$CZ$46,'Dvd Calendar'!$E$45:$CZ$45,"&gt;"&amp;R$48,'Dvd Calendar'!$E$45:$CZ$45,"&lt;="&amp;R$49),"")))</f>
        <v/>
      </c>
      <c r="U70" s="146" t="n"/>
      <c r="V70" s="146" t="n"/>
      <c r="W70" s="146" t="n"/>
      <c r="X70" s="146" t="n"/>
      <c r="Y70" s="146" t="n"/>
      <c r="Z70" s="146" t="n"/>
      <c r="AA70" s="146" t="n"/>
      <c r="AB70" s="146" t="n"/>
      <c r="AC70" s="146" t="n"/>
      <c r="AD70" s="146" t="n"/>
      <c r="AE70" s="146" t="n"/>
      <c r="AF70" s="146" t="n"/>
      <c r="AG70" s="146" t="n"/>
      <c r="AH70" s="146" t="n"/>
      <c r="AI70" s="146" t="n"/>
      <c r="AJ70" s="146" t="n"/>
    </row>
    <row r="71">
      <c r="B71" s="5">
        <f>IF(AS51!$C$26="","",AS51!$C$26)</f>
        <v/>
      </c>
      <c r="C71" s="140">
        <f>IF(C$49="","",IF($B71="","",IFERROR(SUMIFS('Dvd Calendar'!$E$48:$CZ$48,'Dvd Calendar'!$E$47:$CZ$47,"&gt;"&amp;C$48,'Dvd Calendar'!$E$47:$CZ$47,"&lt;="&amp;C$49),"")))</f>
        <v/>
      </c>
      <c r="D71" s="140">
        <f>IF(D$49="","",IF($B71="","",IFERROR(SUMIFS('Dvd Calendar'!$E$48:$CZ$48,'Dvd Calendar'!$E$47:$CZ$47,"&gt;"&amp;D$48,'Dvd Calendar'!$E$47:$CZ$47,"&lt;="&amp;D$49),"")))</f>
        <v/>
      </c>
      <c r="E71" s="140">
        <f>IF(E$49="","",IF($B71="","",IFERROR(SUMIFS('Dvd Calendar'!$E$48:$CZ$48,'Dvd Calendar'!$E$47:$CZ$47,"&gt;"&amp;E$48,'Dvd Calendar'!$E$47:$CZ$47,"&lt;="&amp;E$49),"")))</f>
        <v/>
      </c>
      <c r="F71" s="140">
        <f>IF(F$49="","",IF($B71="","",IFERROR(SUMIFS('Dvd Calendar'!$E$48:$CZ$48,'Dvd Calendar'!$E$47:$CZ$47,"&gt;"&amp;F$48,'Dvd Calendar'!$E$47:$CZ$47,"&lt;="&amp;F$49),"")))</f>
        <v/>
      </c>
      <c r="G71" s="140">
        <f>IF(G$49="","",IF($B71="","",IFERROR(SUMIFS('Dvd Calendar'!$E$48:$CZ$48,'Dvd Calendar'!$E$47:$CZ$47,"&gt;"&amp;G$48,'Dvd Calendar'!$E$47:$CZ$47,"&lt;="&amp;G$49),"")))</f>
        <v/>
      </c>
      <c r="H71" s="140">
        <f>IF(H$49="","",IF($B71="","",IFERROR(SUMIFS('Dvd Calendar'!$E$48:$CZ$48,'Dvd Calendar'!$E$47:$CZ$47,"&gt;"&amp;H$48,'Dvd Calendar'!$E$47:$CZ$47,"&lt;="&amp;H$49),"")))</f>
        <v/>
      </c>
      <c r="I71" s="140">
        <f>IF(I$49="","",IF($B71="","",IFERROR(SUMIFS('Dvd Calendar'!$E$48:$CZ$48,'Dvd Calendar'!$E$47:$CZ$47,"&gt;"&amp;I$48,'Dvd Calendar'!$E$47:$CZ$47,"&lt;="&amp;I$49),"")))</f>
        <v/>
      </c>
      <c r="J71" s="140">
        <f>IF(J$49="","",IF($B71="","",IFERROR(SUMIFS('Dvd Calendar'!$E$48:$CZ$48,'Dvd Calendar'!$E$47:$CZ$47,"&gt;"&amp;J$48,'Dvd Calendar'!$E$47:$CZ$47,"&lt;="&amp;J$49),"")))</f>
        <v/>
      </c>
      <c r="K71" s="140">
        <f>IF(K$49="","",IF($B71="","",IFERROR(SUMIFS('Dvd Calendar'!$E$48:$CZ$48,'Dvd Calendar'!$E$47:$CZ$47,"&gt;"&amp;K$48,'Dvd Calendar'!$E$47:$CZ$47,"&lt;="&amp;K$49),"")))</f>
        <v/>
      </c>
      <c r="L71" s="140">
        <f>IF(L$49="","",IF($B71="","",IFERROR(SUMIFS('Dvd Calendar'!$E$48:$CZ$48,'Dvd Calendar'!$E$47:$CZ$47,"&gt;"&amp;L$48,'Dvd Calendar'!$E$47:$CZ$47,"&lt;="&amp;L$49),"")))</f>
        <v/>
      </c>
      <c r="M71" s="140">
        <f>IF(M$49="","",IF($B71="","",IFERROR(SUMIFS('Dvd Calendar'!$E$48:$CZ$48,'Dvd Calendar'!$E$47:$CZ$47,"&gt;"&amp;M$48,'Dvd Calendar'!$E$47:$CZ$47,"&lt;="&amp;M$49),"")))</f>
        <v/>
      </c>
      <c r="N71" s="140">
        <f>IF(N$49="","",IF($B71="","",IFERROR(SUMIFS('Dvd Calendar'!$E$48:$CZ$48,'Dvd Calendar'!$E$47:$CZ$47,"&gt;"&amp;N$48,'Dvd Calendar'!$E$47:$CZ$47,"&lt;="&amp;N$49),"")))</f>
        <v/>
      </c>
      <c r="O71" s="140">
        <f>IF(O$49="","",IF($B71="","",IFERROR(SUMIFS('Dvd Calendar'!$E$48:$CZ$48,'Dvd Calendar'!$E$47:$CZ$47,"&gt;"&amp;O$48,'Dvd Calendar'!$E$47:$CZ$47,"&lt;="&amp;O$49),"")))</f>
        <v/>
      </c>
      <c r="P71" s="140">
        <f>IF(P$49="","",IF($B71="","",IFERROR(SUMIFS('Dvd Calendar'!$E$48:$CZ$48,'Dvd Calendar'!$E$47:$CZ$47,"&gt;"&amp;P$48,'Dvd Calendar'!$E$47:$CZ$47,"&lt;="&amp;P$49),"")))</f>
        <v/>
      </c>
      <c r="Q71" s="140">
        <f>IF(Q$49="","",IF($B71="","",IFERROR(SUMIFS('Dvd Calendar'!$E$48:$CZ$48,'Dvd Calendar'!$E$47:$CZ$47,"&gt;"&amp;Q$48,'Dvd Calendar'!$E$47:$CZ$47,"&lt;="&amp;Q$49),"")))</f>
        <v/>
      </c>
      <c r="R71" s="140">
        <f>IF(R$49="","",IF($B71="","",IFERROR(SUMIFS('Dvd Calendar'!$E$48:$CZ$48,'Dvd Calendar'!$E$47:$CZ$47,"&gt;"&amp;R$48,'Dvd Calendar'!$E$47:$CZ$47,"&lt;="&amp;R$49),"")))</f>
        <v/>
      </c>
      <c r="U71" s="146" t="n"/>
      <c r="V71" s="146" t="n"/>
      <c r="W71" s="146" t="n"/>
      <c r="X71" s="146" t="n"/>
      <c r="Y71" s="146" t="n"/>
      <c r="Z71" s="146" t="n"/>
      <c r="AA71" s="146" t="n"/>
      <c r="AB71" s="146" t="n"/>
      <c r="AC71" s="146" t="n"/>
      <c r="AD71" s="146" t="n"/>
      <c r="AE71" s="146" t="n"/>
      <c r="AF71" s="146" t="n"/>
      <c r="AG71" s="146" t="n"/>
      <c r="AH71" s="146" t="n"/>
      <c r="AI71" s="146" t="n"/>
      <c r="AJ71" s="146" t="n"/>
    </row>
    <row r="72">
      <c r="B72" s="5">
        <f>IF(AS51!$C$27="","",AS51!$C$27)</f>
        <v/>
      </c>
      <c r="C72" s="140">
        <f>IF(C$49="","",IF($B72="","",IFERROR(SUMIFS('Dvd Calendar'!$E$50:$CZ$50,'Dvd Calendar'!$E$49:$CZ$49,"&gt;"&amp;C$48,'Dvd Calendar'!$E$49:$CZ$49,"&lt;="&amp;C$49),"")))</f>
        <v/>
      </c>
      <c r="D72" s="140">
        <f>IF(D$49="","",IF($B72="","",IFERROR(SUMIFS('Dvd Calendar'!$E$50:$CZ$50,'Dvd Calendar'!$E$49:$CZ$49,"&gt;"&amp;D$48,'Dvd Calendar'!$E$49:$CZ$49,"&lt;="&amp;D$49),"")))</f>
        <v/>
      </c>
      <c r="E72" s="140">
        <f>IF(E$49="","",IF($B72="","",IFERROR(SUMIFS('Dvd Calendar'!$E$50:$CZ$50,'Dvd Calendar'!$E$49:$CZ$49,"&gt;"&amp;E$48,'Dvd Calendar'!$E$49:$CZ$49,"&lt;="&amp;E$49),"")))</f>
        <v/>
      </c>
      <c r="F72" s="140">
        <f>IF(F$49="","",IF($B72="","",IFERROR(SUMIFS('Dvd Calendar'!$E$50:$CZ$50,'Dvd Calendar'!$E$49:$CZ$49,"&gt;"&amp;F$48,'Dvd Calendar'!$E$49:$CZ$49,"&lt;="&amp;F$49),"")))</f>
        <v/>
      </c>
      <c r="G72" s="140">
        <f>IF(G$49="","",IF($B72="","",IFERROR(SUMIFS('Dvd Calendar'!$E$50:$CZ$50,'Dvd Calendar'!$E$49:$CZ$49,"&gt;"&amp;G$48,'Dvd Calendar'!$E$49:$CZ$49,"&lt;="&amp;G$49),"")))</f>
        <v/>
      </c>
      <c r="H72" s="140">
        <f>IF(H$49="","",IF($B72="","",IFERROR(SUMIFS('Dvd Calendar'!$E$50:$CZ$50,'Dvd Calendar'!$E$49:$CZ$49,"&gt;"&amp;H$48,'Dvd Calendar'!$E$49:$CZ$49,"&lt;="&amp;H$49),"")))</f>
        <v/>
      </c>
      <c r="I72" s="140">
        <f>IF(I$49="","",IF($B72="","",IFERROR(SUMIFS('Dvd Calendar'!$E$50:$CZ$50,'Dvd Calendar'!$E$49:$CZ$49,"&gt;"&amp;I$48,'Dvd Calendar'!$E$49:$CZ$49,"&lt;="&amp;I$49),"")))</f>
        <v/>
      </c>
      <c r="J72" s="140">
        <f>IF(J$49="","",IF($B72="","",IFERROR(SUMIFS('Dvd Calendar'!$E$50:$CZ$50,'Dvd Calendar'!$E$49:$CZ$49,"&gt;"&amp;J$48,'Dvd Calendar'!$E$49:$CZ$49,"&lt;="&amp;J$49),"")))</f>
        <v/>
      </c>
      <c r="K72" s="140">
        <f>IF(K$49="","",IF($B72="","",IFERROR(SUMIFS('Dvd Calendar'!$E$50:$CZ$50,'Dvd Calendar'!$E$49:$CZ$49,"&gt;"&amp;K$48,'Dvd Calendar'!$E$49:$CZ$49,"&lt;="&amp;K$49),"")))</f>
        <v/>
      </c>
      <c r="L72" s="140">
        <f>IF(L$49="","",IF($B72="","",IFERROR(SUMIFS('Dvd Calendar'!$E$50:$CZ$50,'Dvd Calendar'!$E$49:$CZ$49,"&gt;"&amp;L$48,'Dvd Calendar'!$E$49:$CZ$49,"&lt;="&amp;L$49),"")))</f>
        <v/>
      </c>
      <c r="M72" s="140">
        <f>IF(M$49="","",IF($B72="","",IFERROR(SUMIFS('Dvd Calendar'!$E$50:$CZ$50,'Dvd Calendar'!$E$49:$CZ$49,"&gt;"&amp;M$48,'Dvd Calendar'!$E$49:$CZ$49,"&lt;="&amp;M$49),"")))</f>
        <v/>
      </c>
      <c r="N72" s="140">
        <f>IF(N$49="","",IF($B72="","",IFERROR(SUMIFS('Dvd Calendar'!$E$50:$CZ$50,'Dvd Calendar'!$E$49:$CZ$49,"&gt;"&amp;N$48,'Dvd Calendar'!$E$49:$CZ$49,"&lt;="&amp;N$49),"")))</f>
        <v/>
      </c>
      <c r="O72" s="140">
        <f>IF(O$49="","",IF($B72="","",IFERROR(SUMIFS('Dvd Calendar'!$E$50:$CZ$50,'Dvd Calendar'!$E$49:$CZ$49,"&gt;"&amp;O$48,'Dvd Calendar'!$E$49:$CZ$49,"&lt;="&amp;O$49),"")))</f>
        <v/>
      </c>
      <c r="P72" s="140">
        <f>IF(P$49="","",IF($B72="","",IFERROR(SUMIFS('Dvd Calendar'!$E$50:$CZ$50,'Dvd Calendar'!$E$49:$CZ$49,"&gt;"&amp;P$48,'Dvd Calendar'!$E$49:$CZ$49,"&lt;="&amp;P$49),"")))</f>
        <v/>
      </c>
      <c r="Q72" s="140">
        <f>IF(Q$49="","",IF($B72="","",IFERROR(SUMIFS('Dvd Calendar'!$E$50:$CZ$50,'Dvd Calendar'!$E$49:$CZ$49,"&gt;"&amp;Q$48,'Dvd Calendar'!$E$49:$CZ$49,"&lt;="&amp;Q$49),"")))</f>
        <v/>
      </c>
      <c r="R72" s="140">
        <f>IF(R$49="","",IF($B72="","",IFERROR(SUMIFS('Dvd Calendar'!$E$50:$CZ$50,'Dvd Calendar'!$E$49:$CZ$49,"&gt;"&amp;R$48,'Dvd Calendar'!$E$49:$CZ$49,"&lt;="&amp;R$49),"")))</f>
        <v/>
      </c>
      <c r="U72" s="146" t="n"/>
      <c r="V72" s="146" t="n"/>
      <c r="W72" s="146" t="n"/>
      <c r="X72" s="146" t="n"/>
      <c r="Y72" s="146" t="n"/>
      <c r="Z72" s="146" t="n"/>
      <c r="AA72" s="146" t="n"/>
      <c r="AB72" s="146" t="n"/>
      <c r="AC72" s="146" t="n"/>
      <c r="AD72" s="146" t="n"/>
      <c r="AE72" s="146" t="n"/>
      <c r="AF72" s="146" t="n"/>
      <c r="AG72" s="146" t="n"/>
      <c r="AH72" s="146" t="n"/>
      <c r="AI72" s="146" t="n"/>
      <c r="AJ72" s="146" t="n"/>
    </row>
    <row r="73">
      <c r="B73" s="5">
        <f>IF(AS51!$C$28="","",AS51!$C$28)</f>
        <v/>
      </c>
      <c r="C73" s="140">
        <f>IF(C$49="","",IF($B73="","",IFERROR(SUMIFS('Dvd Calendar'!$E$52:$CZ$52,'Dvd Calendar'!$E$51:$CZ$51,"&gt;"&amp;C$48,'Dvd Calendar'!$E$51:$CZ$51,"&lt;="&amp;C$49),"")))</f>
        <v/>
      </c>
      <c r="D73" s="140">
        <f>IF(D$49="","",IF($B73="","",IFERROR(SUMIFS('Dvd Calendar'!$E$52:$CZ$52,'Dvd Calendar'!$E$51:$CZ$51,"&gt;"&amp;D$48,'Dvd Calendar'!$E$51:$CZ$51,"&lt;="&amp;D$49),"")))</f>
        <v/>
      </c>
      <c r="E73" s="140">
        <f>IF(E$49="","",IF($B73="","",IFERROR(SUMIFS('Dvd Calendar'!$E$52:$CZ$52,'Dvd Calendar'!$E$51:$CZ$51,"&gt;"&amp;E$48,'Dvd Calendar'!$E$51:$CZ$51,"&lt;="&amp;E$49),"")))</f>
        <v/>
      </c>
      <c r="F73" s="140">
        <f>IF(F$49="","",IF($B73="","",IFERROR(SUMIFS('Dvd Calendar'!$E$52:$CZ$52,'Dvd Calendar'!$E$51:$CZ$51,"&gt;"&amp;F$48,'Dvd Calendar'!$E$51:$CZ$51,"&lt;="&amp;F$49),"")))</f>
        <v/>
      </c>
      <c r="G73" s="140">
        <f>IF(G$49="","",IF($B73="","",IFERROR(SUMIFS('Dvd Calendar'!$E$52:$CZ$52,'Dvd Calendar'!$E$51:$CZ$51,"&gt;"&amp;G$48,'Dvd Calendar'!$E$51:$CZ$51,"&lt;="&amp;G$49),"")))</f>
        <v/>
      </c>
      <c r="H73" s="140">
        <f>IF(H$49="","",IF($B73="","",IFERROR(SUMIFS('Dvd Calendar'!$E$52:$CZ$52,'Dvd Calendar'!$E$51:$CZ$51,"&gt;"&amp;H$48,'Dvd Calendar'!$E$51:$CZ$51,"&lt;="&amp;H$49),"")))</f>
        <v/>
      </c>
      <c r="I73" s="140">
        <f>IF(I$49="","",IF($B73="","",IFERROR(SUMIFS('Dvd Calendar'!$E$52:$CZ$52,'Dvd Calendar'!$E$51:$CZ$51,"&gt;"&amp;I$48,'Dvd Calendar'!$E$51:$CZ$51,"&lt;="&amp;I$49),"")))</f>
        <v/>
      </c>
      <c r="J73" s="140">
        <f>IF(J$49="","",IF($B73="","",IFERROR(SUMIFS('Dvd Calendar'!$E$52:$CZ$52,'Dvd Calendar'!$E$51:$CZ$51,"&gt;"&amp;J$48,'Dvd Calendar'!$E$51:$CZ$51,"&lt;="&amp;J$49),"")))</f>
        <v/>
      </c>
      <c r="K73" s="140">
        <f>IF(K$49="","",IF($B73="","",IFERROR(SUMIFS('Dvd Calendar'!$E$52:$CZ$52,'Dvd Calendar'!$E$51:$CZ$51,"&gt;"&amp;K$48,'Dvd Calendar'!$E$51:$CZ$51,"&lt;="&amp;K$49),"")))</f>
        <v/>
      </c>
      <c r="L73" s="140">
        <f>IF(L$49="","",IF($B73="","",IFERROR(SUMIFS('Dvd Calendar'!$E$52:$CZ$52,'Dvd Calendar'!$E$51:$CZ$51,"&gt;"&amp;L$48,'Dvd Calendar'!$E$51:$CZ$51,"&lt;="&amp;L$49),"")))</f>
        <v/>
      </c>
      <c r="M73" s="140">
        <f>IF(M$49="","",IF($B73="","",IFERROR(SUMIFS('Dvd Calendar'!$E$52:$CZ$52,'Dvd Calendar'!$E$51:$CZ$51,"&gt;"&amp;M$48,'Dvd Calendar'!$E$51:$CZ$51,"&lt;="&amp;M$49),"")))</f>
        <v/>
      </c>
      <c r="N73" s="140">
        <f>IF(N$49="","",IF($B73="","",IFERROR(SUMIFS('Dvd Calendar'!$E$52:$CZ$52,'Dvd Calendar'!$E$51:$CZ$51,"&gt;"&amp;N$48,'Dvd Calendar'!$E$51:$CZ$51,"&lt;="&amp;N$49),"")))</f>
        <v/>
      </c>
      <c r="O73" s="140">
        <f>IF(O$49="","",IF($B73="","",IFERROR(SUMIFS('Dvd Calendar'!$E$52:$CZ$52,'Dvd Calendar'!$E$51:$CZ$51,"&gt;"&amp;O$48,'Dvd Calendar'!$E$51:$CZ$51,"&lt;="&amp;O$49),"")))</f>
        <v/>
      </c>
      <c r="P73" s="140">
        <f>IF(P$49="","",IF($B73="","",IFERROR(SUMIFS('Dvd Calendar'!$E$52:$CZ$52,'Dvd Calendar'!$E$51:$CZ$51,"&gt;"&amp;P$48,'Dvd Calendar'!$E$51:$CZ$51,"&lt;="&amp;P$49),"")))</f>
        <v/>
      </c>
      <c r="Q73" s="140">
        <f>IF(Q$49="","",IF($B73="","",IFERROR(SUMIFS('Dvd Calendar'!$E$52:$CZ$52,'Dvd Calendar'!$E$51:$CZ$51,"&gt;"&amp;Q$48,'Dvd Calendar'!$E$51:$CZ$51,"&lt;="&amp;Q$49),"")))</f>
        <v/>
      </c>
      <c r="R73" s="140">
        <f>IF(R$49="","",IF($B73="","",IFERROR(SUMIFS('Dvd Calendar'!$E$52:$CZ$52,'Dvd Calendar'!$E$51:$CZ$51,"&gt;"&amp;R$48,'Dvd Calendar'!$E$51:$CZ$51,"&lt;="&amp;R$49),"")))</f>
        <v/>
      </c>
      <c r="U73" s="146" t="n"/>
      <c r="V73" s="146" t="n"/>
      <c r="W73" s="146" t="n"/>
      <c r="X73" s="146" t="n"/>
      <c r="Y73" s="146" t="n"/>
      <c r="Z73" s="146" t="n"/>
      <c r="AA73" s="146" t="n"/>
      <c r="AB73" s="146" t="n"/>
      <c r="AC73" s="146" t="n"/>
      <c r="AD73" s="146" t="n"/>
      <c r="AE73" s="146" t="n"/>
      <c r="AF73" s="146" t="n"/>
      <c r="AG73" s="146" t="n"/>
      <c r="AH73" s="146" t="n"/>
      <c r="AI73" s="146" t="n"/>
      <c r="AJ73" s="146" t="n"/>
    </row>
    <row r="74">
      <c r="B74" s="5">
        <f>IF(AS51!$C$29="","",AS51!$C$29)</f>
        <v/>
      </c>
      <c r="C74" s="140">
        <f>IF(C$49="","",IF($B74="","",IFERROR(SUMIFS('Dvd Calendar'!$E$54:$CZ$54,'Dvd Calendar'!$E$53:$CZ$53,"&gt;"&amp;C$48,'Dvd Calendar'!$E$53:$CZ$53,"&lt;="&amp;C$49),"")))</f>
        <v/>
      </c>
      <c r="D74" s="140">
        <f>IF(D$49="","",IF($B74="","",IFERROR(SUMIFS('Dvd Calendar'!$E$54:$CZ$54,'Dvd Calendar'!$E$53:$CZ$53,"&gt;"&amp;D$48,'Dvd Calendar'!$E$53:$CZ$53,"&lt;="&amp;D$49),"")))</f>
        <v/>
      </c>
      <c r="E74" s="140">
        <f>IF(E$49="","",IF($B74="","",IFERROR(SUMIFS('Dvd Calendar'!$E$54:$CZ$54,'Dvd Calendar'!$E$53:$CZ$53,"&gt;"&amp;E$48,'Dvd Calendar'!$E$53:$CZ$53,"&lt;="&amp;E$49),"")))</f>
        <v/>
      </c>
      <c r="F74" s="140">
        <f>IF(F$49="","",IF($B74="","",IFERROR(SUMIFS('Dvd Calendar'!$E$54:$CZ$54,'Dvd Calendar'!$E$53:$CZ$53,"&gt;"&amp;F$48,'Dvd Calendar'!$E$53:$CZ$53,"&lt;="&amp;F$49),"")))</f>
        <v/>
      </c>
      <c r="G74" s="140">
        <f>IF(G$49="","",IF($B74="","",IFERROR(SUMIFS('Dvd Calendar'!$E$54:$CZ$54,'Dvd Calendar'!$E$53:$CZ$53,"&gt;"&amp;G$48,'Dvd Calendar'!$E$53:$CZ$53,"&lt;="&amp;G$49),"")))</f>
        <v/>
      </c>
      <c r="H74" s="140">
        <f>IF(H$49="","",IF($B74="","",IFERROR(SUMIFS('Dvd Calendar'!$E$54:$CZ$54,'Dvd Calendar'!$E$53:$CZ$53,"&gt;"&amp;H$48,'Dvd Calendar'!$E$53:$CZ$53,"&lt;="&amp;H$49),"")))</f>
        <v/>
      </c>
      <c r="I74" s="140">
        <f>IF(I$49="","",IF($B74="","",IFERROR(SUMIFS('Dvd Calendar'!$E$54:$CZ$54,'Dvd Calendar'!$E$53:$CZ$53,"&gt;"&amp;I$48,'Dvd Calendar'!$E$53:$CZ$53,"&lt;="&amp;I$49),"")))</f>
        <v/>
      </c>
      <c r="J74" s="140">
        <f>IF(J$49="","",IF($B74="","",IFERROR(SUMIFS('Dvd Calendar'!$E$54:$CZ$54,'Dvd Calendar'!$E$53:$CZ$53,"&gt;"&amp;J$48,'Dvd Calendar'!$E$53:$CZ$53,"&lt;="&amp;J$49),"")))</f>
        <v/>
      </c>
      <c r="K74" s="140">
        <f>IF(K$49="","",IF($B74="","",IFERROR(SUMIFS('Dvd Calendar'!$E$54:$CZ$54,'Dvd Calendar'!$E$53:$CZ$53,"&gt;"&amp;K$48,'Dvd Calendar'!$E$53:$CZ$53,"&lt;="&amp;K$49),"")))</f>
        <v/>
      </c>
      <c r="L74" s="140">
        <f>IF(L$49="","",IF($B74="","",IFERROR(SUMIFS('Dvd Calendar'!$E$54:$CZ$54,'Dvd Calendar'!$E$53:$CZ$53,"&gt;"&amp;L$48,'Dvd Calendar'!$E$53:$CZ$53,"&lt;="&amp;L$49),"")))</f>
        <v/>
      </c>
      <c r="M74" s="140">
        <f>IF(M$49="","",IF($B74="","",IFERROR(SUMIFS('Dvd Calendar'!$E$54:$CZ$54,'Dvd Calendar'!$E$53:$CZ$53,"&gt;"&amp;M$48,'Dvd Calendar'!$E$53:$CZ$53,"&lt;="&amp;M$49),"")))</f>
        <v/>
      </c>
      <c r="N74" s="140">
        <f>IF(N$49="","",IF($B74="","",IFERROR(SUMIFS('Dvd Calendar'!$E$54:$CZ$54,'Dvd Calendar'!$E$53:$CZ$53,"&gt;"&amp;N$48,'Dvd Calendar'!$E$53:$CZ$53,"&lt;="&amp;N$49),"")))</f>
        <v/>
      </c>
      <c r="O74" s="140">
        <f>IF(O$49="","",IF($B74="","",IFERROR(SUMIFS('Dvd Calendar'!$E$54:$CZ$54,'Dvd Calendar'!$E$53:$CZ$53,"&gt;"&amp;O$48,'Dvd Calendar'!$E$53:$CZ$53,"&lt;="&amp;O$49),"")))</f>
        <v/>
      </c>
      <c r="P74" s="140">
        <f>IF(P$49="","",IF($B74="","",IFERROR(SUMIFS('Dvd Calendar'!$E$54:$CZ$54,'Dvd Calendar'!$E$53:$CZ$53,"&gt;"&amp;P$48,'Dvd Calendar'!$E$53:$CZ$53,"&lt;="&amp;P$49),"")))</f>
        <v/>
      </c>
      <c r="Q74" s="140">
        <f>IF(Q$49="","",IF($B74="","",IFERROR(SUMIFS('Dvd Calendar'!$E$54:$CZ$54,'Dvd Calendar'!$E$53:$CZ$53,"&gt;"&amp;Q$48,'Dvd Calendar'!$E$53:$CZ$53,"&lt;="&amp;Q$49),"")))</f>
        <v/>
      </c>
      <c r="R74" s="140">
        <f>IF(R$49="","",IF($B74="","",IFERROR(SUMIFS('Dvd Calendar'!$E$54:$CZ$54,'Dvd Calendar'!$E$53:$CZ$53,"&gt;"&amp;R$48,'Dvd Calendar'!$E$53:$CZ$53,"&lt;="&amp;R$49),"")))</f>
        <v/>
      </c>
      <c r="U74" s="146" t="n"/>
      <c r="V74" s="146" t="n"/>
      <c r="W74" s="146" t="n"/>
      <c r="X74" s="146" t="n"/>
      <c r="Y74" s="146" t="n"/>
      <c r="Z74" s="146" t="n"/>
      <c r="AA74" s="146" t="n"/>
      <c r="AB74" s="146" t="n"/>
      <c r="AC74" s="146" t="n"/>
      <c r="AD74" s="146" t="n"/>
      <c r="AE74" s="146" t="n"/>
      <c r="AF74" s="146" t="n"/>
      <c r="AG74" s="146" t="n"/>
      <c r="AH74" s="146" t="n"/>
      <c r="AI74" s="146" t="n"/>
      <c r="AJ74" s="146" t="n"/>
    </row>
    <row r="75">
      <c r="B75" s="5">
        <f>IF(AS51!$C$30="","",AS51!$C$30)</f>
        <v/>
      </c>
      <c r="C75" s="140">
        <f>IF(C$49="","",IF($B75="","",IFERROR(SUMIFS('Dvd Calendar'!$E$56:$CZ$56,'Dvd Calendar'!$E$55:$CZ$55,"&gt;"&amp;C$48,'Dvd Calendar'!$E$55:$CZ$55,"&lt;="&amp;C$49),"")))</f>
        <v/>
      </c>
      <c r="D75" s="140">
        <f>IF(D$49="","",IF($B75="","",IFERROR(SUMIFS('Dvd Calendar'!$E$56:$CZ$56,'Dvd Calendar'!$E$55:$CZ$55,"&gt;"&amp;D$48,'Dvd Calendar'!$E$55:$CZ$55,"&lt;="&amp;D$49),"")))</f>
        <v/>
      </c>
      <c r="E75" s="140">
        <f>IF(E$49="","",IF($B75="","",IFERROR(SUMIFS('Dvd Calendar'!$E$56:$CZ$56,'Dvd Calendar'!$E$55:$CZ$55,"&gt;"&amp;E$48,'Dvd Calendar'!$E$55:$CZ$55,"&lt;="&amp;E$49),"")))</f>
        <v/>
      </c>
      <c r="F75" s="140">
        <f>IF(F$49="","",IF($B75="","",IFERROR(SUMIFS('Dvd Calendar'!$E$56:$CZ$56,'Dvd Calendar'!$E$55:$CZ$55,"&gt;"&amp;F$48,'Dvd Calendar'!$E$55:$CZ$55,"&lt;="&amp;F$49),"")))</f>
        <v/>
      </c>
      <c r="G75" s="140">
        <f>IF(G$49="","",IF($B75="","",IFERROR(SUMIFS('Dvd Calendar'!$E$56:$CZ$56,'Dvd Calendar'!$E$55:$CZ$55,"&gt;"&amp;G$48,'Dvd Calendar'!$E$55:$CZ$55,"&lt;="&amp;G$49),"")))</f>
        <v/>
      </c>
      <c r="H75" s="140">
        <f>IF(H$49="","",IF($B75="","",IFERROR(SUMIFS('Dvd Calendar'!$E$56:$CZ$56,'Dvd Calendar'!$E$55:$CZ$55,"&gt;"&amp;H$48,'Dvd Calendar'!$E$55:$CZ$55,"&lt;="&amp;H$49),"")))</f>
        <v/>
      </c>
      <c r="I75" s="140">
        <f>IF(I$49="","",IF($B75="","",IFERROR(SUMIFS('Dvd Calendar'!$E$56:$CZ$56,'Dvd Calendar'!$E$55:$CZ$55,"&gt;"&amp;I$48,'Dvd Calendar'!$E$55:$CZ$55,"&lt;="&amp;I$49),"")))</f>
        <v/>
      </c>
      <c r="J75" s="140">
        <f>IF(J$49="","",IF($B75="","",IFERROR(SUMIFS('Dvd Calendar'!$E$56:$CZ$56,'Dvd Calendar'!$E$55:$CZ$55,"&gt;"&amp;J$48,'Dvd Calendar'!$E$55:$CZ$55,"&lt;="&amp;J$49),"")))</f>
        <v/>
      </c>
      <c r="K75" s="140">
        <f>IF(K$49="","",IF($B75="","",IFERROR(SUMIFS('Dvd Calendar'!$E$56:$CZ$56,'Dvd Calendar'!$E$55:$CZ$55,"&gt;"&amp;K$48,'Dvd Calendar'!$E$55:$CZ$55,"&lt;="&amp;K$49),"")))</f>
        <v/>
      </c>
      <c r="L75" s="140">
        <f>IF(L$49="","",IF($B75="","",IFERROR(SUMIFS('Dvd Calendar'!$E$56:$CZ$56,'Dvd Calendar'!$E$55:$CZ$55,"&gt;"&amp;L$48,'Dvd Calendar'!$E$55:$CZ$55,"&lt;="&amp;L$49),"")))</f>
        <v/>
      </c>
      <c r="M75" s="140">
        <f>IF(M$49="","",IF($B75="","",IFERROR(SUMIFS('Dvd Calendar'!$E$56:$CZ$56,'Dvd Calendar'!$E$55:$CZ$55,"&gt;"&amp;M$48,'Dvd Calendar'!$E$55:$CZ$55,"&lt;="&amp;M$49),"")))</f>
        <v/>
      </c>
      <c r="N75" s="140">
        <f>IF(N$49="","",IF($B75="","",IFERROR(SUMIFS('Dvd Calendar'!$E$56:$CZ$56,'Dvd Calendar'!$E$55:$CZ$55,"&gt;"&amp;N$48,'Dvd Calendar'!$E$55:$CZ$55,"&lt;="&amp;N$49),"")))</f>
        <v/>
      </c>
      <c r="O75" s="140">
        <f>IF(O$49="","",IF($B75="","",IFERROR(SUMIFS('Dvd Calendar'!$E$56:$CZ$56,'Dvd Calendar'!$E$55:$CZ$55,"&gt;"&amp;O$48,'Dvd Calendar'!$E$55:$CZ$55,"&lt;="&amp;O$49),"")))</f>
        <v/>
      </c>
      <c r="P75" s="140">
        <f>IF(P$49="","",IF($B75="","",IFERROR(SUMIFS('Dvd Calendar'!$E$56:$CZ$56,'Dvd Calendar'!$E$55:$CZ$55,"&gt;"&amp;P$48,'Dvd Calendar'!$E$55:$CZ$55,"&lt;="&amp;P$49),"")))</f>
        <v/>
      </c>
      <c r="Q75" s="140">
        <f>IF(Q$49="","",IF($B75="","",IFERROR(SUMIFS('Dvd Calendar'!$E$56:$CZ$56,'Dvd Calendar'!$E$55:$CZ$55,"&gt;"&amp;Q$48,'Dvd Calendar'!$E$55:$CZ$55,"&lt;="&amp;Q$49),"")))</f>
        <v/>
      </c>
      <c r="R75" s="140">
        <f>IF(R$49="","",IF($B75="","",IFERROR(SUMIFS('Dvd Calendar'!$E$56:$CZ$56,'Dvd Calendar'!$E$55:$CZ$55,"&gt;"&amp;R$48,'Dvd Calendar'!$E$55:$CZ$55,"&lt;="&amp;R$49),"")))</f>
        <v/>
      </c>
      <c r="U75" s="146" t="n"/>
      <c r="V75" s="146" t="n"/>
      <c r="W75" s="146" t="n"/>
      <c r="X75" s="146" t="n"/>
      <c r="Y75" s="146" t="n"/>
      <c r="Z75" s="146" t="n"/>
      <c r="AA75" s="146" t="n"/>
      <c r="AB75" s="146" t="n"/>
      <c r="AC75" s="146" t="n"/>
      <c r="AD75" s="146" t="n"/>
      <c r="AE75" s="146" t="n"/>
      <c r="AF75" s="146" t="n"/>
      <c r="AG75" s="146" t="n"/>
      <c r="AH75" s="146" t="n"/>
      <c r="AI75" s="146" t="n"/>
      <c r="AJ75" s="146" t="n"/>
    </row>
    <row r="76">
      <c r="B76" s="5">
        <f>IF(AS51!$C$31="","",AS51!$C$31)</f>
        <v/>
      </c>
      <c r="C76" s="140">
        <f>IF(C$49="","",IF($B76="","",IFERROR(SUMIFS('Dvd Calendar'!$E$58:$CZ$58,'Dvd Calendar'!$E$57:$CZ$57,"&gt;"&amp;C$48,'Dvd Calendar'!$E$57:$CZ$57,"&lt;="&amp;C$49),"")))</f>
        <v/>
      </c>
      <c r="D76" s="140">
        <f>IF(D$49="","",IF($B76="","",IFERROR(SUMIFS('Dvd Calendar'!$E$58:$CZ$58,'Dvd Calendar'!$E$57:$CZ$57,"&gt;"&amp;D$48,'Dvd Calendar'!$E$57:$CZ$57,"&lt;="&amp;D$49),"")))</f>
        <v/>
      </c>
      <c r="E76" s="140">
        <f>IF(E$49="","",IF($B76="","",IFERROR(SUMIFS('Dvd Calendar'!$E$58:$CZ$58,'Dvd Calendar'!$E$57:$CZ$57,"&gt;"&amp;E$48,'Dvd Calendar'!$E$57:$CZ$57,"&lt;="&amp;E$49),"")))</f>
        <v/>
      </c>
      <c r="F76" s="140">
        <f>IF(F$49="","",IF($B76="","",IFERROR(SUMIFS('Dvd Calendar'!$E$58:$CZ$58,'Dvd Calendar'!$E$57:$CZ$57,"&gt;"&amp;F$48,'Dvd Calendar'!$E$57:$CZ$57,"&lt;="&amp;F$49),"")))</f>
        <v/>
      </c>
      <c r="G76" s="140">
        <f>IF(G$49="","",IF($B76="","",IFERROR(SUMIFS('Dvd Calendar'!$E$58:$CZ$58,'Dvd Calendar'!$E$57:$CZ$57,"&gt;"&amp;G$48,'Dvd Calendar'!$E$57:$CZ$57,"&lt;="&amp;G$49),"")))</f>
        <v/>
      </c>
      <c r="H76" s="140">
        <f>IF(H$49="","",IF($B76="","",IFERROR(SUMIFS('Dvd Calendar'!$E$58:$CZ$58,'Dvd Calendar'!$E$57:$CZ$57,"&gt;"&amp;H$48,'Dvd Calendar'!$E$57:$CZ$57,"&lt;="&amp;H$49),"")))</f>
        <v/>
      </c>
      <c r="I76" s="140">
        <f>IF(I$49="","",IF($B76="","",IFERROR(SUMIFS('Dvd Calendar'!$E$58:$CZ$58,'Dvd Calendar'!$E$57:$CZ$57,"&gt;"&amp;I$48,'Dvd Calendar'!$E$57:$CZ$57,"&lt;="&amp;I$49),"")))</f>
        <v/>
      </c>
      <c r="J76" s="140">
        <f>IF(J$49="","",IF($B76="","",IFERROR(SUMIFS('Dvd Calendar'!$E$58:$CZ$58,'Dvd Calendar'!$E$57:$CZ$57,"&gt;"&amp;J$48,'Dvd Calendar'!$E$57:$CZ$57,"&lt;="&amp;J$49),"")))</f>
        <v/>
      </c>
      <c r="K76" s="140">
        <f>IF(K$49="","",IF($B76="","",IFERROR(SUMIFS('Dvd Calendar'!$E$58:$CZ$58,'Dvd Calendar'!$E$57:$CZ$57,"&gt;"&amp;K$48,'Dvd Calendar'!$E$57:$CZ$57,"&lt;="&amp;K$49),"")))</f>
        <v/>
      </c>
      <c r="L76" s="140">
        <f>IF(L$49="","",IF($B76="","",IFERROR(SUMIFS('Dvd Calendar'!$E$58:$CZ$58,'Dvd Calendar'!$E$57:$CZ$57,"&gt;"&amp;L$48,'Dvd Calendar'!$E$57:$CZ$57,"&lt;="&amp;L$49),"")))</f>
        <v/>
      </c>
      <c r="M76" s="140">
        <f>IF(M$49="","",IF($B76="","",IFERROR(SUMIFS('Dvd Calendar'!$E$58:$CZ$58,'Dvd Calendar'!$E$57:$CZ$57,"&gt;"&amp;M$48,'Dvd Calendar'!$E$57:$CZ$57,"&lt;="&amp;M$49),"")))</f>
        <v/>
      </c>
      <c r="N76" s="140">
        <f>IF(N$49="","",IF($B76="","",IFERROR(SUMIFS('Dvd Calendar'!$E$58:$CZ$58,'Dvd Calendar'!$E$57:$CZ$57,"&gt;"&amp;N$48,'Dvd Calendar'!$E$57:$CZ$57,"&lt;="&amp;N$49),"")))</f>
        <v/>
      </c>
      <c r="O76" s="140">
        <f>IF(O$49="","",IF($B76="","",IFERROR(SUMIFS('Dvd Calendar'!$E$58:$CZ$58,'Dvd Calendar'!$E$57:$CZ$57,"&gt;"&amp;O$48,'Dvd Calendar'!$E$57:$CZ$57,"&lt;="&amp;O$49),"")))</f>
        <v/>
      </c>
      <c r="P76" s="140">
        <f>IF(P$49="","",IF($B76="","",IFERROR(SUMIFS('Dvd Calendar'!$E$58:$CZ$58,'Dvd Calendar'!$E$57:$CZ$57,"&gt;"&amp;P$48,'Dvd Calendar'!$E$57:$CZ$57,"&lt;="&amp;P$49),"")))</f>
        <v/>
      </c>
      <c r="Q76" s="140">
        <f>IF(Q$49="","",IF($B76="","",IFERROR(SUMIFS('Dvd Calendar'!$E$58:$CZ$58,'Dvd Calendar'!$E$57:$CZ$57,"&gt;"&amp;Q$48,'Dvd Calendar'!$E$57:$CZ$57,"&lt;="&amp;Q$49),"")))</f>
        <v/>
      </c>
      <c r="R76" s="140">
        <f>IF(R$49="","",IF($B76="","",IFERROR(SUMIFS('Dvd Calendar'!$E$58:$CZ$58,'Dvd Calendar'!$E$57:$CZ$57,"&gt;"&amp;R$48,'Dvd Calendar'!$E$57:$CZ$57,"&lt;="&amp;R$49),"")))</f>
        <v/>
      </c>
      <c r="U76" s="146" t="n"/>
      <c r="V76" s="146" t="n"/>
      <c r="W76" s="146" t="n"/>
      <c r="X76" s="146" t="n"/>
      <c r="Y76" s="146" t="n"/>
      <c r="Z76" s="146" t="n"/>
      <c r="AA76" s="146" t="n"/>
      <c r="AB76" s="146" t="n"/>
      <c r="AC76" s="146" t="n"/>
      <c r="AD76" s="146" t="n"/>
      <c r="AE76" s="146" t="n"/>
      <c r="AF76" s="146" t="n"/>
      <c r="AG76" s="146" t="n"/>
      <c r="AH76" s="146" t="n"/>
      <c r="AI76" s="146" t="n"/>
      <c r="AJ76" s="146" t="n"/>
    </row>
    <row r="77">
      <c r="B77" s="5">
        <f>IF(AS51!$C$32="","",AS51!$C$32)</f>
        <v/>
      </c>
      <c r="C77" s="140">
        <f>IF(C$49="","",IF($B77="","",IFERROR(SUMIFS('Dvd Calendar'!$E$60:$CZ$60,'Dvd Calendar'!$E$59:$CZ$59,"&gt;"&amp;C$48,'Dvd Calendar'!$E$59:$CZ$59,"&lt;="&amp;C$49),"")))</f>
        <v/>
      </c>
      <c r="D77" s="140">
        <f>IF(D$49="","",IF($B77="","",IFERROR(SUMIFS('Dvd Calendar'!$E$60:$CZ$60,'Dvd Calendar'!$E$59:$CZ$59,"&gt;"&amp;D$48,'Dvd Calendar'!$E$59:$CZ$59,"&lt;="&amp;D$49),"")))</f>
        <v/>
      </c>
      <c r="E77" s="140">
        <f>IF(E$49="","",IF($B77="","",IFERROR(SUMIFS('Dvd Calendar'!$E$60:$CZ$60,'Dvd Calendar'!$E$59:$CZ$59,"&gt;"&amp;E$48,'Dvd Calendar'!$E$59:$CZ$59,"&lt;="&amp;E$49),"")))</f>
        <v/>
      </c>
      <c r="F77" s="140">
        <f>IF(F$49="","",IF($B77="","",IFERROR(SUMIFS('Dvd Calendar'!$E$60:$CZ$60,'Dvd Calendar'!$E$59:$CZ$59,"&gt;"&amp;F$48,'Dvd Calendar'!$E$59:$CZ$59,"&lt;="&amp;F$49),"")))</f>
        <v/>
      </c>
      <c r="G77" s="140">
        <f>IF(G$49="","",IF($B77="","",IFERROR(SUMIFS('Dvd Calendar'!$E$60:$CZ$60,'Dvd Calendar'!$E$59:$CZ$59,"&gt;"&amp;G$48,'Dvd Calendar'!$E$59:$CZ$59,"&lt;="&amp;G$49),"")))</f>
        <v/>
      </c>
      <c r="H77" s="140">
        <f>IF(H$49="","",IF($B77="","",IFERROR(SUMIFS('Dvd Calendar'!$E$60:$CZ$60,'Dvd Calendar'!$E$59:$CZ$59,"&gt;"&amp;H$48,'Dvd Calendar'!$E$59:$CZ$59,"&lt;="&amp;H$49),"")))</f>
        <v/>
      </c>
      <c r="I77" s="140">
        <f>IF(I$49="","",IF($B77="","",IFERROR(SUMIFS('Dvd Calendar'!$E$60:$CZ$60,'Dvd Calendar'!$E$59:$CZ$59,"&gt;"&amp;I$48,'Dvd Calendar'!$E$59:$CZ$59,"&lt;="&amp;I$49),"")))</f>
        <v/>
      </c>
      <c r="J77" s="140">
        <f>IF(J$49="","",IF($B77="","",IFERROR(SUMIFS('Dvd Calendar'!$E$60:$CZ$60,'Dvd Calendar'!$E$59:$CZ$59,"&gt;"&amp;J$48,'Dvd Calendar'!$E$59:$CZ$59,"&lt;="&amp;J$49),"")))</f>
        <v/>
      </c>
      <c r="K77" s="140">
        <f>IF(K$49="","",IF($B77="","",IFERROR(SUMIFS('Dvd Calendar'!$E$60:$CZ$60,'Dvd Calendar'!$E$59:$CZ$59,"&gt;"&amp;K$48,'Dvd Calendar'!$E$59:$CZ$59,"&lt;="&amp;K$49),"")))</f>
        <v/>
      </c>
      <c r="L77" s="140">
        <f>IF(L$49="","",IF($B77="","",IFERROR(SUMIFS('Dvd Calendar'!$E$60:$CZ$60,'Dvd Calendar'!$E$59:$CZ$59,"&gt;"&amp;L$48,'Dvd Calendar'!$E$59:$CZ$59,"&lt;="&amp;L$49),"")))</f>
        <v/>
      </c>
      <c r="M77" s="140">
        <f>IF(M$49="","",IF($B77="","",IFERROR(SUMIFS('Dvd Calendar'!$E$60:$CZ$60,'Dvd Calendar'!$E$59:$CZ$59,"&gt;"&amp;M$48,'Dvd Calendar'!$E$59:$CZ$59,"&lt;="&amp;M$49),"")))</f>
        <v/>
      </c>
      <c r="N77" s="140">
        <f>IF(N$49="","",IF($B77="","",IFERROR(SUMIFS('Dvd Calendar'!$E$60:$CZ$60,'Dvd Calendar'!$E$59:$CZ$59,"&gt;"&amp;N$48,'Dvd Calendar'!$E$59:$CZ$59,"&lt;="&amp;N$49),"")))</f>
        <v/>
      </c>
      <c r="O77" s="140">
        <f>IF(O$49="","",IF($B77="","",IFERROR(SUMIFS('Dvd Calendar'!$E$60:$CZ$60,'Dvd Calendar'!$E$59:$CZ$59,"&gt;"&amp;O$48,'Dvd Calendar'!$E$59:$CZ$59,"&lt;="&amp;O$49),"")))</f>
        <v/>
      </c>
      <c r="P77" s="140">
        <f>IF(P$49="","",IF($B77="","",IFERROR(SUMIFS('Dvd Calendar'!$E$60:$CZ$60,'Dvd Calendar'!$E$59:$CZ$59,"&gt;"&amp;P$48,'Dvd Calendar'!$E$59:$CZ$59,"&lt;="&amp;P$49),"")))</f>
        <v/>
      </c>
      <c r="Q77" s="140">
        <f>IF(Q$49="","",IF($B77="","",IFERROR(SUMIFS('Dvd Calendar'!$E$60:$CZ$60,'Dvd Calendar'!$E$59:$CZ$59,"&gt;"&amp;Q$48,'Dvd Calendar'!$E$59:$CZ$59,"&lt;="&amp;Q$49),"")))</f>
        <v/>
      </c>
      <c r="R77" s="140">
        <f>IF(R$49="","",IF($B77="","",IFERROR(SUMIFS('Dvd Calendar'!$E$60:$CZ$60,'Dvd Calendar'!$E$59:$CZ$59,"&gt;"&amp;R$48,'Dvd Calendar'!$E$59:$CZ$59,"&lt;="&amp;R$49),"")))</f>
        <v/>
      </c>
      <c r="U77" s="146" t="n"/>
      <c r="V77" s="146" t="n"/>
      <c r="W77" s="146" t="n"/>
      <c r="X77" s="146" t="n"/>
      <c r="Y77" s="146" t="n"/>
      <c r="Z77" s="146" t="n"/>
      <c r="AA77" s="146" t="n"/>
      <c r="AB77" s="146" t="n"/>
      <c r="AC77" s="146" t="n"/>
      <c r="AD77" s="146" t="n"/>
      <c r="AE77" s="146" t="n"/>
      <c r="AF77" s="146" t="n"/>
      <c r="AG77" s="146" t="n"/>
      <c r="AH77" s="146" t="n"/>
      <c r="AI77" s="146" t="n"/>
      <c r="AJ77" s="146" t="n"/>
    </row>
    <row r="78">
      <c r="B78" s="5">
        <f>IF(AS51!$C$33="","",AS51!$C$33)</f>
        <v/>
      </c>
      <c r="C78" s="140">
        <f>IF(C$49="","",IF($B78="","",IFERROR(SUMIFS('Dvd Calendar'!$E$62:$CZ$62,'Dvd Calendar'!$E$61:$CZ$61,"&gt;"&amp;C$48,'Dvd Calendar'!$E$61:$CZ$61,"&lt;="&amp;C$49),"")))</f>
        <v/>
      </c>
      <c r="D78" s="140">
        <f>IF(D$49="","",IF($B78="","",IFERROR(SUMIFS('Dvd Calendar'!$E$62:$CZ$62,'Dvd Calendar'!$E$61:$CZ$61,"&gt;"&amp;D$48,'Dvd Calendar'!$E$61:$CZ$61,"&lt;="&amp;D$49),"")))</f>
        <v/>
      </c>
      <c r="E78" s="140">
        <f>IF(E$49="","",IF($B78="","",IFERROR(SUMIFS('Dvd Calendar'!$E$62:$CZ$62,'Dvd Calendar'!$E$61:$CZ$61,"&gt;"&amp;E$48,'Dvd Calendar'!$E$61:$CZ$61,"&lt;="&amp;E$49),"")))</f>
        <v/>
      </c>
      <c r="F78" s="140">
        <f>IF(F$49="","",IF($B78="","",IFERROR(SUMIFS('Dvd Calendar'!$E$62:$CZ$62,'Dvd Calendar'!$E$61:$CZ$61,"&gt;"&amp;F$48,'Dvd Calendar'!$E$61:$CZ$61,"&lt;="&amp;F$49),"")))</f>
        <v/>
      </c>
      <c r="G78" s="140">
        <f>IF(G$49="","",IF($B78="","",IFERROR(SUMIFS('Dvd Calendar'!$E$62:$CZ$62,'Dvd Calendar'!$E$61:$CZ$61,"&gt;"&amp;G$48,'Dvd Calendar'!$E$61:$CZ$61,"&lt;="&amp;G$49),"")))</f>
        <v/>
      </c>
      <c r="H78" s="140">
        <f>IF(H$49="","",IF($B78="","",IFERROR(SUMIFS('Dvd Calendar'!$E$62:$CZ$62,'Dvd Calendar'!$E$61:$CZ$61,"&gt;"&amp;H$48,'Dvd Calendar'!$E$61:$CZ$61,"&lt;="&amp;H$49),"")))</f>
        <v/>
      </c>
      <c r="I78" s="140">
        <f>IF(I$49="","",IF($B78="","",IFERROR(SUMIFS('Dvd Calendar'!$E$62:$CZ$62,'Dvd Calendar'!$E$61:$CZ$61,"&gt;"&amp;I$48,'Dvd Calendar'!$E$61:$CZ$61,"&lt;="&amp;I$49),"")))</f>
        <v/>
      </c>
      <c r="J78" s="140">
        <f>IF(J$49="","",IF($B78="","",IFERROR(SUMIFS('Dvd Calendar'!$E$62:$CZ$62,'Dvd Calendar'!$E$61:$CZ$61,"&gt;"&amp;J$48,'Dvd Calendar'!$E$61:$CZ$61,"&lt;="&amp;J$49),"")))</f>
        <v/>
      </c>
      <c r="K78" s="140">
        <f>IF(K$49="","",IF($B78="","",IFERROR(SUMIFS('Dvd Calendar'!$E$62:$CZ$62,'Dvd Calendar'!$E$61:$CZ$61,"&gt;"&amp;K$48,'Dvd Calendar'!$E$61:$CZ$61,"&lt;="&amp;K$49),"")))</f>
        <v/>
      </c>
      <c r="L78" s="140">
        <f>IF(L$49="","",IF($B78="","",IFERROR(SUMIFS('Dvd Calendar'!$E$62:$CZ$62,'Dvd Calendar'!$E$61:$CZ$61,"&gt;"&amp;L$48,'Dvd Calendar'!$E$61:$CZ$61,"&lt;="&amp;L$49),"")))</f>
        <v/>
      </c>
      <c r="M78" s="140">
        <f>IF(M$49="","",IF($B78="","",IFERROR(SUMIFS('Dvd Calendar'!$E$62:$CZ$62,'Dvd Calendar'!$E$61:$CZ$61,"&gt;"&amp;M$48,'Dvd Calendar'!$E$61:$CZ$61,"&lt;="&amp;M$49),"")))</f>
        <v/>
      </c>
      <c r="N78" s="140">
        <f>IF(N$49="","",IF($B78="","",IFERROR(SUMIFS('Dvd Calendar'!$E$62:$CZ$62,'Dvd Calendar'!$E$61:$CZ$61,"&gt;"&amp;N$48,'Dvd Calendar'!$E$61:$CZ$61,"&lt;="&amp;N$49),"")))</f>
        <v/>
      </c>
      <c r="O78" s="140">
        <f>IF(O$49="","",IF($B78="","",IFERROR(SUMIFS('Dvd Calendar'!$E$62:$CZ$62,'Dvd Calendar'!$E$61:$CZ$61,"&gt;"&amp;O$48,'Dvd Calendar'!$E$61:$CZ$61,"&lt;="&amp;O$49),"")))</f>
        <v/>
      </c>
      <c r="P78" s="140">
        <f>IF(P$49="","",IF($B78="","",IFERROR(SUMIFS('Dvd Calendar'!$E$62:$CZ$62,'Dvd Calendar'!$E$61:$CZ$61,"&gt;"&amp;P$48,'Dvd Calendar'!$E$61:$CZ$61,"&lt;="&amp;P$49),"")))</f>
        <v/>
      </c>
      <c r="Q78" s="140">
        <f>IF(Q$49="","",IF($B78="","",IFERROR(SUMIFS('Dvd Calendar'!$E$62:$CZ$62,'Dvd Calendar'!$E$61:$CZ$61,"&gt;"&amp;Q$48,'Dvd Calendar'!$E$61:$CZ$61,"&lt;="&amp;Q$49),"")))</f>
        <v/>
      </c>
      <c r="R78" s="140">
        <f>IF(R$49="","",IF($B78="","",IFERROR(SUMIFS('Dvd Calendar'!$E$62:$CZ$62,'Dvd Calendar'!$E$61:$CZ$61,"&gt;"&amp;R$48,'Dvd Calendar'!$E$61:$CZ$61,"&lt;="&amp;R$49),"")))</f>
        <v/>
      </c>
      <c r="U78" s="146" t="n"/>
      <c r="V78" s="146" t="n"/>
      <c r="W78" s="146" t="n"/>
      <c r="X78" s="146" t="n"/>
      <c r="Y78" s="146" t="n"/>
      <c r="Z78" s="146" t="n"/>
      <c r="AA78" s="146" t="n"/>
      <c r="AB78" s="146" t="n"/>
      <c r="AC78" s="146" t="n"/>
      <c r="AD78" s="146" t="n"/>
      <c r="AE78" s="146" t="n"/>
      <c r="AF78" s="146" t="n"/>
      <c r="AG78" s="146" t="n"/>
      <c r="AH78" s="146" t="n"/>
      <c r="AI78" s="146" t="n"/>
      <c r="AJ78" s="146" t="n"/>
    </row>
    <row r="79">
      <c r="B79" s="5">
        <f>IF(AS51!$C$34="","",AS51!$C$34)</f>
        <v/>
      </c>
      <c r="C79" s="140">
        <f>IF(C$49="","",IF($B79="","",IFERROR(SUMIFS('Dvd Calendar'!$E$64:$CZ$64,'Dvd Calendar'!$E$63:$CZ$63,"&gt;"&amp;C$48,'Dvd Calendar'!$E$63:$CZ$63,"&lt;="&amp;C$49),"")))</f>
        <v/>
      </c>
      <c r="D79" s="140">
        <f>IF(D$49="","",IF($B79="","",IFERROR(SUMIFS('Dvd Calendar'!$E$64:$CZ$64,'Dvd Calendar'!$E$63:$CZ$63,"&gt;"&amp;D$48,'Dvd Calendar'!$E$63:$CZ$63,"&lt;="&amp;D$49),"")))</f>
        <v/>
      </c>
      <c r="E79" s="140">
        <f>IF(E$49="","",IF($B79="","",IFERROR(SUMIFS('Dvd Calendar'!$E$64:$CZ$64,'Dvd Calendar'!$E$63:$CZ$63,"&gt;"&amp;E$48,'Dvd Calendar'!$E$63:$CZ$63,"&lt;="&amp;E$49),"")))</f>
        <v/>
      </c>
      <c r="F79" s="140">
        <f>IF(F$49="","",IF($B79="","",IFERROR(SUMIFS('Dvd Calendar'!$E$64:$CZ$64,'Dvd Calendar'!$E$63:$CZ$63,"&gt;"&amp;F$48,'Dvd Calendar'!$E$63:$CZ$63,"&lt;="&amp;F$49),"")))</f>
        <v/>
      </c>
      <c r="G79" s="140">
        <f>IF(G$49="","",IF($B79="","",IFERROR(SUMIFS('Dvd Calendar'!$E$64:$CZ$64,'Dvd Calendar'!$E$63:$CZ$63,"&gt;"&amp;G$48,'Dvd Calendar'!$E$63:$CZ$63,"&lt;="&amp;G$49),"")))</f>
        <v/>
      </c>
      <c r="H79" s="140">
        <f>IF(H$49="","",IF($B79="","",IFERROR(SUMIFS('Dvd Calendar'!$E$64:$CZ$64,'Dvd Calendar'!$E$63:$CZ$63,"&gt;"&amp;H$48,'Dvd Calendar'!$E$63:$CZ$63,"&lt;="&amp;H$49),"")))</f>
        <v/>
      </c>
      <c r="I79" s="140">
        <f>IF(I$49="","",IF($B79="","",IFERROR(SUMIFS('Dvd Calendar'!$E$64:$CZ$64,'Dvd Calendar'!$E$63:$CZ$63,"&gt;"&amp;I$48,'Dvd Calendar'!$E$63:$CZ$63,"&lt;="&amp;I$49),"")))</f>
        <v/>
      </c>
      <c r="J79" s="140">
        <f>IF(J$49="","",IF($B79="","",IFERROR(SUMIFS('Dvd Calendar'!$E$64:$CZ$64,'Dvd Calendar'!$E$63:$CZ$63,"&gt;"&amp;J$48,'Dvd Calendar'!$E$63:$CZ$63,"&lt;="&amp;J$49),"")))</f>
        <v/>
      </c>
      <c r="K79" s="140">
        <f>IF(K$49="","",IF($B79="","",IFERROR(SUMIFS('Dvd Calendar'!$E$64:$CZ$64,'Dvd Calendar'!$E$63:$CZ$63,"&gt;"&amp;K$48,'Dvd Calendar'!$E$63:$CZ$63,"&lt;="&amp;K$49),"")))</f>
        <v/>
      </c>
      <c r="L79" s="140">
        <f>IF(L$49="","",IF($B79="","",IFERROR(SUMIFS('Dvd Calendar'!$E$64:$CZ$64,'Dvd Calendar'!$E$63:$CZ$63,"&gt;"&amp;L$48,'Dvd Calendar'!$E$63:$CZ$63,"&lt;="&amp;L$49),"")))</f>
        <v/>
      </c>
      <c r="M79" s="140">
        <f>IF(M$49="","",IF($B79="","",IFERROR(SUMIFS('Dvd Calendar'!$E$64:$CZ$64,'Dvd Calendar'!$E$63:$CZ$63,"&gt;"&amp;M$48,'Dvd Calendar'!$E$63:$CZ$63,"&lt;="&amp;M$49),"")))</f>
        <v/>
      </c>
      <c r="N79" s="140">
        <f>IF(N$49="","",IF($B79="","",IFERROR(SUMIFS('Dvd Calendar'!$E$64:$CZ$64,'Dvd Calendar'!$E$63:$CZ$63,"&gt;"&amp;N$48,'Dvd Calendar'!$E$63:$CZ$63,"&lt;="&amp;N$49),"")))</f>
        <v/>
      </c>
      <c r="O79" s="140">
        <f>IF(O$49="","",IF($B79="","",IFERROR(SUMIFS('Dvd Calendar'!$E$64:$CZ$64,'Dvd Calendar'!$E$63:$CZ$63,"&gt;"&amp;O$48,'Dvd Calendar'!$E$63:$CZ$63,"&lt;="&amp;O$49),"")))</f>
        <v/>
      </c>
      <c r="P79" s="140">
        <f>IF(P$49="","",IF($B79="","",IFERROR(SUMIFS('Dvd Calendar'!$E$64:$CZ$64,'Dvd Calendar'!$E$63:$CZ$63,"&gt;"&amp;P$48,'Dvd Calendar'!$E$63:$CZ$63,"&lt;="&amp;P$49),"")))</f>
        <v/>
      </c>
      <c r="Q79" s="140">
        <f>IF(Q$49="","",IF($B79="","",IFERROR(SUMIFS('Dvd Calendar'!$E$64:$CZ$64,'Dvd Calendar'!$E$63:$CZ$63,"&gt;"&amp;Q$48,'Dvd Calendar'!$E$63:$CZ$63,"&lt;="&amp;Q$49),"")))</f>
        <v/>
      </c>
      <c r="R79" s="140">
        <f>IF(R$49="","",IF($B79="","",IFERROR(SUMIFS('Dvd Calendar'!$E$64:$CZ$64,'Dvd Calendar'!$E$63:$CZ$63,"&gt;"&amp;R$48,'Dvd Calendar'!$E$63:$CZ$63,"&lt;="&amp;R$49),"")))</f>
        <v/>
      </c>
      <c r="U79" s="146" t="n"/>
      <c r="V79" s="146" t="n"/>
      <c r="W79" s="146" t="n"/>
      <c r="X79" s="146" t="n"/>
      <c r="Y79" s="146" t="n"/>
      <c r="Z79" s="146" t="n"/>
      <c r="AA79" s="146" t="n"/>
      <c r="AB79" s="146" t="n"/>
      <c r="AC79" s="146" t="n"/>
      <c r="AD79" s="146" t="n"/>
      <c r="AE79" s="146" t="n"/>
      <c r="AF79" s="146" t="n"/>
      <c r="AG79" s="146" t="n"/>
      <c r="AH79" s="146" t="n"/>
      <c r="AI79" s="146" t="n"/>
      <c r="AJ79" s="146" t="n"/>
    </row>
    <row r="80">
      <c r="B80" s="5">
        <f>IF(AS51!$C$35="","",AS51!$C$35)</f>
        <v/>
      </c>
      <c r="C80" s="140">
        <f>IF(C$49="","",IF($B80="","",IFERROR(SUMIFS('Dvd Calendar'!$E$66:$CZ$66,'Dvd Calendar'!$E$65:$CZ$65,"&gt;"&amp;C$48,'Dvd Calendar'!$E$65:$CZ$65,"&lt;="&amp;C$49),"")))</f>
        <v/>
      </c>
      <c r="D80" s="140">
        <f>IF(D$49="","",IF($B80="","",IFERROR(SUMIFS('Dvd Calendar'!$E$66:$CZ$66,'Dvd Calendar'!$E$65:$CZ$65,"&gt;"&amp;D$48,'Dvd Calendar'!$E$65:$CZ$65,"&lt;="&amp;D$49),"")))</f>
        <v/>
      </c>
      <c r="E80" s="140">
        <f>IF(E$49="","",IF($B80="","",IFERROR(SUMIFS('Dvd Calendar'!$E$66:$CZ$66,'Dvd Calendar'!$E$65:$CZ$65,"&gt;"&amp;E$48,'Dvd Calendar'!$E$65:$CZ$65,"&lt;="&amp;E$49),"")))</f>
        <v/>
      </c>
      <c r="F80" s="140">
        <f>IF(F$49="","",IF($B80="","",IFERROR(SUMIFS('Dvd Calendar'!$E$66:$CZ$66,'Dvd Calendar'!$E$65:$CZ$65,"&gt;"&amp;F$48,'Dvd Calendar'!$E$65:$CZ$65,"&lt;="&amp;F$49),"")))</f>
        <v/>
      </c>
      <c r="G80" s="140">
        <f>IF(G$49="","",IF($B80="","",IFERROR(SUMIFS('Dvd Calendar'!$E$66:$CZ$66,'Dvd Calendar'!$E$65:$CZ$65,"&gt;"&amp;G$48,'Dvd Calendar'!$E$65:$CZ$65,"&lt;="&amp;G$49),"")))</f>
        <v/>
      </c>
      <c r="H80" s="140">
        <f>IF(H$49="","",IF($B80="","",IFERROR(SUMIFS('Dvd Calendar'!$E$66:$CZ$66,'Dvd Calendar'!$E$65:$CZ$65,"&gt;"&amp;H$48,'Dvd Calendar'!$E$65:$CZ$65,"&lt;="&amp;H$49),"")))</f>
        <v/>
      </c>
      <c r="I80" s="140">
        <f>IF(I$49="","",IF($B80="","",IFERROR(SUMIFS('Dvd Calendar'!$E$66:$CZ$66,'Dvd Calendar'!$E$65:$CZ$65,"&gt;"&amp;I$48,'Dvd Calendar'!$E$65:$CZ$65,"&lt;="&amp;I$49),"")))</f>
        <v/>
      </c>
      <c r="J80" s="140">
        <f>IF(J$49="","",IF($B80="","",IFERROR(SUMIFS('Dvd Calendar'!$E$66:$CZ$66,'Dvd Calendar'!$E$65:$CZ$65,"&gt;"&amp;J$48,'Dvd Calendar'!$E$65:$CZ$65,"&lt;="&amp;J$49),"")))</f>
        <v/>
      </c>
      <c r="K80" s="140">
        <f>IF(K$49="","",IF($B80="","",IFERROR(SUMIFS('Dvd Calendar'!$E$66:$CZ$66,'Dvd Calendar'!$E$65:$CZ$65,"&gt;"&amp;K$48,'Dvd Calendar'!$E$65:$CZ$65,"&lt;="&amp;K$49),"")))</f>
        <v/>
      </c>
      <c r="L80" s="140">
        <f>IF(L$49="","",IF($B80="","",IFERROR(SUMIFS('Dvd Calendar'!$E$66:$CZ$66,'Dvd Calendar'!$E$65:$CZ$65,"&gt;"&amp;L$48,'Dvd Calendar'!$E$65:$CZ$65,"&lt;="&amp;L$49),"")))</f>
        <v/>
      </c>
      <c r="M80" s="140">
        <f>IF(M$49="","",IF($B80="","",IFERROR(SUMIFS('Dvd Calendar'!$E$66:$CZ$66,'Dvd Calendar'!$E$65:$CZ$65,"&gt;"&amp;M$48,'Dvd Calendar'!$E$65:$CZ$65,"&lt;="&amp;M$49),"")))</f>
        <v/>
      </c>
      <c r="N80" s="140">
        <f>IF(N$49="","",IF($B80="","",IFERROR(SUMIFS('Dvd Calendar'!$E$66:$CZ$66,'Dvd Calendar'!$E$65:$CZ$65,"&gt;"&amp;N$48,'Dvd Calendar'!$E$65:$CZ$65,"&lt;="&amp;N$49),"")))</f>
        <v/>
      </c>
      <c r="O80" s="140">
        <f>IF(O$49="","",IF($B80="","",IFERROR(SUMIFS('Dvd Calendar'!$E$66:$CZ$66,'Dvd Calendar'!$E$65:$CZ$65,"&gt;"&amp;O$48,'Dvd Calendar'!$E$65:$CZ$65,"&lt;="&amp;O$49),"")))</f>
        <v/>
      </c>
      <c r="P80" s="140">
        <f>IF(P$49="","",IF($B80="","",IFERROR(SUMIFS('Dvd Calendar'!$E$66:$CZ$66,'Dvd Calendar'!$E$65:$CZ$65,"&gt;"&amp;P$48,'Dvd Calendar'!$E$65:$CZ$65,"&lt;="&amp;P$49),"")))</f>
        <v/>
      </c>
      <c r="Q80" s="140">
        <f>IF(Q$49="","",IF($B80="","",IFERROR(SUMIFS('Dvd Calendar'!$E$66:$CZ$66,'Dvd Calendar'!$E$65:$CZ$65,"&gt;"&amp;Q$48,'Dvd Calendar'!$E$65:$CZ$65,"&lt;="&amp;Q$49),"")))</f>
        <v/>
      </c>
      <c r="R80" s="140">
        <f>IF(R$49="","",IF($B80="","",IFERROR(SUMIFS('Dvd Calendar'!$E$66:$CZ$66,'Dvd Calendar'!$E$65:$CZ$65,"&gt;"&amp;R$48,'Dvd Calendar'!$E$65:$CZ$65,"&lt;="&amp;R$49),"")))</f>
        <v/>
      </c>
      <c r="U80" s="146" t="n"/>
      <c r="V80" s="146" t="n"/>
      <c r="W80" s="146" t="n"/>
      <c r="X80" s="146" t="n"/>
      <c r="Y80" s="146" t="n"/>
      <c r="Z80" s="146" t="n"/>
      <c r="AA80" s="146" t="n"/>
      <c r="AB80" s="146" t="n"/>
      <c r="AC80" s="146" t="n"/>
      <c r="AD80" s="146" t="n"/>
      <c r="AE80" s="146" t="n"/>
      <c r="AF80" s="146" t="n"/>
      <c r="AG80" s="146" t="n"/>
      <c r="AH80" s="146" t="n"/>
      <c r="AI80" s="146" t="n"/>
      <c r="AJ80" s="146" t="n"/>
    </row>
    <row r="81">
      <c r="B81" s="5">
        <f>IF(AS51!$C$36="","",AS51!$C$36)</f>
        <v/>
      </c>
      <c r="C81" s="140">
        <f>IF(C$49="","",IF($B81="","",IFERROR(SUMIFS('Dvd Calendar'!$E$68:$CZ$68,'Dvd Calendar'!$E$67:$CZ$67,"&gt;"&amp;C$48,'Dvd Calendar'!$E$67:$CZ$67,"&lt;="&amp;C$49),"")))</f>
        <v/>
      </c>
      <c r="D81" s="140">
        <f>IF(D$49="","",IF($B81="","",IFERROR(SUMIFS('Dvd Calendar'!$E$68:$CZ$68,'Dvd Calendar'!$E$67:$CZ$67,"&gt;"&amp;D$48,'Dvd Calendar'!$E$67:$CZ$67,"&lt;="&amp;D$49),"")))</f>
        <v/>
      </c>
      <c r="E81" s="140">
        <f>IF(E$49="","",IF($B81="","",IFERROR(SUMIFS('Dvd Calendar'!$E$68:$CZ$68,'Dvd Calendar'!$E$67:$CZ$67,"&gt;"&amp;E$48,'Dvd Calendar'!$E$67:$CZ$67,"&lt;="&amp;E$49),"")))</f>
        <v/>
      </c>
      <c r="F81" s="140">
        <f>IF(F$49="","",IF($B81="","",IFERROR(SUMIFS('Dvd Calendar'!$E$68:$CZ$68,'Dvd Calendar'!$E$67:$CZ$67,"&gt;"&amp;F$48,'Dvd Calendar'!$E$67:$CZ$67,"&lt;="&amp;F$49),"")))</f>
        <v/>
      </c>
      <c r="G81" s="140">
        <f>IF(G$49="","",IF($B81="","",IFERROR(SUMIFS('Dvd Calendar'!$E$68:$CZ$68,'Dvd Calendar'!$E$67:$CZ$67,"&gt;"&amp;G$48,'Dvd Calendar'!$E$67:$CZ$67,"&lt;="&amp;G$49),"")))</f>
        <v/>
      </c>
      <c r="H81" s="140">
        <f>IF(H$49="","",IF($B81="","",IFERROR(SUMIFS('Dvd Calendar'!$E$68:$CZ$68,'Dvd Calendar'!$E$67:$CZ$67,"&gt;"&amp;H$48,'Dvd Calendar'!$E$67:$CZ$67,"&lt;="&amp;H$49),"")))</f>
        <v/>
      </c>
      <c r="I81" s="140">
        <f>IF(I$49="","",IF($B81="","",IFERROR(SUMIFS('Dvd Calendar'!$E$68:$CZ$68,'Dvd Calendar'!$E$67:$CZ$67,"&gt;"&amp;I$48,'Dvd Calendar'!$E$67:$CZ$67,"&lt;="&amp;I$49),"")))</f>
        <v/>
      </c>
      <c r="J81" s="140">
        <f>IF(J$49="","",IF($B81="","",IFERROR(SUMIFS('Dvd Calendar'!$E$68:$CZ$68,'Dvd Calendar'!$E$67:$CZ$67,"&gt;"&amp;J$48,'Dvd Calendar'!$E$67:$CZ$67,"&lt;="&amp;J$49),"")))</f>
        <v/>
      </c>
      <c r="K81" s="140">
        <f>IF(K$49="","",IF($B81="","",IFERROR(SUMIFS('Dvd Calendar'!$E$68:$CZ$68,'Dvd Calendar'!$E$67:$CZ$67,"&gt;"&amp;K$48,'Dvd Calendar'!$E$67:$CZ$67,"&lt;="&amp;K$49),"")))</f>
        <v/>
      </c>
      <c r="L81" s="140">
        <f>IF(L$49="","",IF($B81="","",IFERROR(SUMIFS('Dvd Calendar'!$E$68:$CZ$68,'Dvd Calendar'!$E$67:$CZ$67,"&gt;"&amp;L$48,'Dvd Calendar'!$E$67:$CZ$67,"&lt;="&amp;L$49),"")))</f>
        <v/>
      </c>
      <c r="M81" s="140">
        <f>IF(M$49="","",IF($B81="","",IFERROR(SUMIFS('Dvd Calendar'!$E$68:$CZ$68,'Dvd Calendar'!$E$67:$CZ$67,"&gt;"&amp;M$48,'Dvd Calendar'!$E$67:$CZ$67,"&lt;="&amp;M$49),"")))</f>
        <v/>
      </c>
      <c r="N81" s="140">
        <f>IF(N$49="","",IF($B81="","",IFERROR(SUMIFS('Dvd Calendar'!$E$68:$CZ$68,'Dvd Calendar'!$E$67:$CZ$67,"&gt;"&amp;N$48,'Dvd Calendar'!$E$67:$CZ$67,"&lt;="&amp;N$49),"")))</f>
        <v/>
      </c>
      <c r="O81" s="140">
        <f>IF(O$49="","",IF($B81="","",IFERROR(SUMIFS('Dvd Calendar'!$E$68:$CZ$68,'Dvd Calendar'!$E$67:$CZ$67,"&gt;"&amp;O$48,'Dvd Calendar'!$E$67:$CZ$67,"&lt;="&amp;O$49),"")))</f>
        <v/>
      </c>
      <c r="P81" s="140">
        <f>IF(P$49="","",IF($B81="","",IFERROR(SUMIFS('Dvd Calendar'!$E$68:$CZ$68,'Dvd Calendar'!$E$67:$CZ$67,"&gt;"&amp;P$48,'Dvd Calendar'!$E$67:$CZ$67,"&lt;="&amp;P$49),"")))</f>
        <v/>
      </c>
      <c r="Q81" s="140">
        <f>IF(Q$49="","",IF($B81="","",IFERROR(SUMIFS('Dvd Calendar'!$E$68:$CZ$68,'Dvd Calendar'!$E$67:$CZ$67,"&gt;"&amp;Q$48,'Dvd Calendar'!$E$67:$CZ$67,"&lt;="&amp;Q$49),"")))</f>
        <v/>
      </c>
      <c r="R81" s="140">
        <f>IF(R$49="","",IF($B81="","",IFERROR(SUMIFS('Dvd Calendar'!$E$68:$CZ$68,'Dvd Calendar'!$E$67:$CZ$67,"&gt;"&amp;R$48,'Dvd Calendar'!$E$67:$CZ$67,"&lt;="&amp;R$49),"")))</f>
        <v/>
      </c>
      <c r="U81" s="146" t="n"/>
      <c r="V81" s="146" t="n"/>
      <c r="W81" s="146" t="n"/>
      <c r="X81" s="146" t="n"/>
      <c r="Y81" s="146" t="n"/>
      <c r="Z81" s="146" t="n"/>
      <c r="AA81" s="146" t="n"/>
      <c r="AB81" s="146" t="n"/>
      <c r="AC81" s="146" t="n"/>
      <c r="AD81" s="146" t="n"/>
      <c r="AE81" s="146" t="n"/>
      <c r="AF81" s="146" t="n"/>
      <c r="AG81" s="146" t="n"/>
      <c r="AH81" s="146" t="n"/>
      <c r="AI81" s="146" t="n"/>
      <c r="AJ81" s="146" t="n"/>
    </row>
    <row r="82">
      <c r="B82" s="5">
        <f>IF(AS51!$C$37="","",AS51!$C$37)</f>
        <v/>
      </c>
      <c r="C82" s="140">
        <f>IF(C$49="","",IF($B82="","",IFERROR(SUMIFS('Dvd Calendar'!$E$70:$CZ$70,'Dvd Calendar'!$E$69:$CZ$69,"&gt;"&amp;C$48,'Dvd Calendar'!$E$69:$CZ$69,"&lt;="&amp;C$49),"")))</f>
        <v/>
      </c>
      <c r="D82" s="140">
        <f>IF(D$49="","",IF($B82="","",IFERROR(SUMIFS('Dvd Calendar'!$E$70:$CZ$70,'Dvd Calendar'!$E$69:$CZ$69,"&gt;"&amp;D$48,'Dvd Calendar'!$E$69:$CZ$69,"&lt;="&amp;D$49),"")))</f>
        <v/>
      </c>
      <c r="E82" s="140">
        <f>IF(E$49="","",IF($B82="","",IFERROR(SUMIFS('Dvd Calendar'!$E$70:$CZ$70,'Dvd Calendar'!$E$69:$CZ$69,"&gt;"&amp;E$48,'Dvd Calendar'!$E$69:$CZ$69,"&lt;="&amp;E$49),"")))</f>
        <v/>
      </c>
      <c r="F82" s="140">
        <f>IF(F$49="","",IF($B82="","",IFERROR(SUMIFS('Dvd Calendar'!$E$70:$CZ$70,'Dvd Calendar'!$E$69:$CZ$69,"&gt;"&amp;F$48,'Dvd Calendar'!$E$69:$CZ$69,"&lt;="&amp;F$49),"")))</f>
        <v/>
      </c>
      <c r="G82" s="140">
        <f>IF(G$49="","",IF($B82="","",IFERROR(SUMIFS('Dvd Calendar'!$E$70:$CZ$70,'Dvd Calendar'!$E$69:$CZ$69,"&gt;"&amp;G$48,'Dvd Calendar'!$E$69:$CZ$69,"&lt;="&amp;G$49),"")))</f>
        <v/>
      </c>
      <c r="H82" s="140">
        <f>IF(H$49="","",IF($B82="","",IFERROR(SUMIFS('Dvd Calendar'!$E$70:$CZ$70,'Dvd Calendar'!$E$69:$CZ$69,"&gt;"&amp;H$48,'Dvd Calendar'!$E$69:$CZ$69,"&lt;="&amp;H$49),"")))</f>
        <v/>
      </c>
      <c r="I82" s="140">
        <f>IF(I$49="","",IF($B82="","",IFERROR(SUMIFS('Dvd Calendar'!$E$70:$CZ$70,'Dvd Calendar'!$E$69:$CZ$69,"&gt;"&amp;I$48,'Dvd Calendar'!$E$69:$CZ$69,"&lt;="&amp;I$49),"")))</f>
        <v/>
      </c>
      <c r="J82" s="140">
        <f>IF(J$49="","",IF($B82="","",IFERROR(SUMIFS('Dvd Calendar'!$E$70:$CZ$70,'Dvd Calendar'!$E$69:$CZ$69,"&gt;"&amp;J$48,'Dvd Calendar'!$E$69:$CZ$69,"&lt;="&amp;J$49),"")))</f>
        <v/>
      </c>
      <c r="K82" s="140">
        <f>IF(K$49="","",IF($B82="","",IFERROR(SUMIFS('Dvd Calendar'!$E$70:$CZ$70,'Dvd Calendar'!$E$69:$CZ$69,"&gt;"&amp;K$48,'Dvd Calendar'!$E$69:$CZ$69,"&lt;="&amp;K$49),"")))</f>
        <v/>
      </c>
      <c r="L82" s="140">
        <f>IF(L$49="","",IF($B82="","",IFERROR(SUMIFS('Dvd Calendar'!$E$70:$CZ$70,'Dvd Calendar'!$E$69:$CZ$69,"&gt;"&amp;L$48,'Dvd Calendar'!$E$69:$CZ$69,"&lt;="&amp;L$49),"")))</f>
        <v/>
      </c>
      <c r="M82" s="140">
        <f>IF(M$49="","",IF($B82="","",IFERROR(SUMIFS('Dvd Calendar'!$E$70:$CZ$70,'Dvd Calendar'!$E$69:$CZ$69,"&gt;"&amp;M$48,'Dvd Calendar'!$E$69:$CZ$69,"&lt;="&amp;M$49),"")))</f>
        <v/>
      </c>
      <c r="N82" s="140">
        <f>IF(N$49="","",IF($B82="","",IFERROR(SUMIFS('Dvd Calendar'!$E$70:$CZ$70,'Dvd Calendar'!$E$69:$CZ$69,"&gt;"&amp;N$48,'Dvd Calendar'!$E$69:$CZ$69,"&lt;="&amp;N$49),"")))</f>
        <v/>
      </c>
      <c r="O82" s="140">
        <f>IF(O$49="","",IF($B82="","",IFERROR(SUMIFS('Dvd Calendar'!$E$70:$CZ$70,'Dvd Calendar'!$E$69:$CZ$69,"&gt;"&amp;O$48,'Dvd Calendar'!$E$69:$CZ$69,"&lt;="&amp;O$49),"")))</f>
        <v/>
      </c>
      <c r="P82" s="140">
        <f>IF(P$49="","",IF($B82="","",IFERROR(SUMIFS('Dvd Calendar'!$E$70:$CZ$70,'Dvd Calendar'!$E$69:$CZ$69,"&gt;"&amp;P$48,'Dvd Calendar'!$E$69:$CZ$69,"&lt;="&amp;P$49),"")))</f>
        <v/>
      </c>
      <c r="Q82" s="140">
        <f>IF(Q$49="","",IF($B82="","",IFERROR(SUMIFS('Dvd Calendar'!$E$70:$CZ$70,'Dvd Calendar'!$E$69:$CZ$69,"&gt;"&amp;Q$48,'Dvd Calendar'!$E$69:$CZ$69,"&lt;="&amp;Q$49),"")))</f>
        <v/>
      </c>
      <c r="R82" s="140">
        <f>IF(R$49="","",IF($B82="","",IFERROR(SUMIFS('Dvd Calendar'!$E$70:$CZ$70,'Dvd Calendar'!$E$69:$CZ$69,"&gt;"&amp;R$48,'Dvd Calendar'!$E$69:$CZ$69,"&lt;="&amp;R$49),"")))</f>
        <v/>
      </c>
      <c r="U82" s="146" t="n"/>
      <c r="V82" s="146" t="n"/>
      <c r="W82" s="146" t="n"/>
      <c r="X82" s="146" t="n"/>
      <c r="Y82" s="146" t="n"/>
      <c r="Z82" s="146" t="n"/>
      <c r="AA82" s="146" t="n"/>
      <c r="AB82" s="146" t="n"/>
      <c r="AC82" s="146" t="n"/>
      <c r="AD82" s="146" t="n"/>
      <c r="AE82" s="146" t="n"/>
      <c r="AF82" s="146" t="n"/>
      <c r="AG82" s="146" t="n"/>
      <c r="AH82" s="146" t="n"/>
      <c r="AI82" s="146" t="n"/>
      <c r="AJ82" s="146" t="n"/>
    </row>
    <row r="83">
      <c r="B83" s="5">
        <f>IF(AS51!$C$38="","",AS51!$C$38)</f>
        <v/>
      </c>
      <c r="C83" s="140">
        <f>IF(C$49="","",IF($B83="","",IFERROR(SUMIFS('Dvd Calendar'!$E$72:$CZ$72,'Dvd Calendar'!$E$71:$CZ$71,"&gt;"&amp;C$48,'Dvd Calendar'!$E$71:$CZ$71,"&lt;="&amp;C$49),"")))</f>
        <v/>
      </c>
      <c r="D83" s="140">
        <f>IF(D$49="","",IF($B83="","",IFERROR(SUMIFS('Dvd Calendar'!$E$72:$CZ$72,'Dvd Calendar'!$E$71:$CZ$71,"&gt;"&amp;D$48,'Dvd Calendar'!$E$71:$CZ$71,"&lt;="&amp;D$49),"")))</f>
        <v/>
      </c>
      <c r="E83" s="140">
        <f>IF(E$49="","",IF($B83="","",IFERROR(SUMIFS('Dvd Calendar'!$E$72:$CZ$72,'Dvd Calendar'!$E$71:$CZ$71,"&gt;"&amp;E$48,'Dvd Calendar'!$E$71:$CZ$71,"&lt;="&amp;E$49),"")))</f>
        <v/>
      </c>
      <c r="F83" s="140">
        <f>IF(F$49="","",IF($B83="","",IFERROR(SUMIFS('Dvd Calendar'!$E$72:$CZ$72,'Dvd Calendar'!$E$71:$CZ$71,"&gt;"&amp;F$48,'Dvd Calendar'!$E$71:$CZ$71,"&lt;="&amp;F$49),"")))</f>
        <v/>
      </c>
      <c r="G83" s="140">
        <f>IF(G$49="","",IF($B83="","",IFERROR(SUMIFS('Dvd Calendar'!$E$72:$CZ$72,'Dvd Calendar'!$E$71:$CZ$71,"&gt;"&amp;G$48,'Dvd Calendar'!$E$71:$CZ$71,"&lt;="&amp;G$49),"")))</f>
        <v/>
      </c>
      <c r="H83" s="140">
        <f>IF(H$49="","",IF($B83="","",IFERROR(SUMIFS('Dvd Calendar'!$E$72:$CZ$72,'Dvd Calendar'!$E$71:$CZ$71,"&gt;"&amp;H$48,'Dvd Calendar'!$E$71:$CZ$71,"&lt;="&amp;H$49),"")))</f>
        <v/>
      </c>
      <c r="I83" s="140">
        <f>IF(I$49="","",IF($B83="","",IFERROR(SUMIFS('Dvd Calendar'!$E$72:$CZ$72,'Dvd Calendar'!$E$71:$CZ$71,"&gt;"&amp;I$48,'Dvd Calendar'!$E$71:$CZ$71,"&lt;="&amp;I$49),"")))</f>
        <v/>
      </c>
      <c r="J83" s="140">
        <f>IF(J$49="","",IF($B83="","",IFERROR(SUMIFS('Dvd Calendar'!$E$72:$CZ$72,'Dvd Calendar'!$E$71:$CZ$71,"&gt;"&amp;J$48,'Dvd Calendar'!$E$71:$CZ$71,"&lt;="&amp;J$49),"")))</f>
        <v/>
      </c>
      <c r="K83" s="140">
        <f>IF(K$49="","",IF($B83="","",IFERROR(SUMIFS('Dvd Calendar'!$E$72:$CZ$72,'Dvd Calendar'!$E$71:$CZ$71,"&gt;"&amp;K$48,'Dvd Calendar'!$E$71:$CZ$71,"&lt;="&amp;K$49),"")))</f>
        <v/>
      </c>
      <c r="L83" s="140">
        <f>IF(L$49="","",IF($B83="","",IFERROR(SUMIFS('Dvd Calendar'!$E$72:$CZ$72,'Dvd Calendar'!$E$71:$CZ$71,"&gt;"&amp;L$48,'Dvd Calendar'!$E$71:$CZ$71,"&lt;="&amp;L$49),"")))</f>
        <v/>
      </c>
      <c r="M83" s="140">
        <f>IF(M$49="","",IF($B83="","",IFERROR(SUMIFS('Dvd Calendar'!$E$72:$CZ$72,'Dvd Calendar'!$E$71:$CZ$71,"&gt;"&amp;M$48,'Dvd Calendar'!$E$71:$CZ$71,"&lt;="&amp;M$49),"")))</f>
        <v/>
      </c>
      <c r="N83" s="140">
        <f>IF(N$49="","",IF($B83="","",IFERROR(SUMIFS('Dvd Calendar'!$E$72:$CZ$72,'Dvd Calendar'!$E$71:$CZ$71,"&gt;"&amp;N$48,'Dvd Calendar'!$E$71:$CZ$71,"&lt;="&amp;N$49),"")))</f>
        <v/>
      </c>
      <c r="O83" s="140">
        <f>IF(O$49="","",IF($B83="","",IFERROR(SUMIFS('Dvd Calendar'!$E$72:$CZ$72,'Dvd Calendar'!$E$71:$CZ$71,"&gt;"&amp;O$48,'Dvd Calendar'!$E$71:$CZ$71,"&lt;="&amp;O$49),"")))</f>
        <v/>
      </c>
      <c r="P83" s="140">
        <f>IF(P$49="","",IF($B83="","",IFERROR(SUMIFS('Dvd Calendar'!$E$72:$CZ$72,'Dvd Calendar'!$E$71:$CZ$71,"&gt;"&amp;P$48,'Dvd Calendar'!$E$71:$CZ$71,"&lt;="&amp;P$49),"")))</f>
        <v/>
      </c>
      <c r="Q83" s="140">
        <f>IF(Q$49="","",IF($B83="","",IFERROR(SUMIFS('Dvd Calendar'!$E$72:$CZ$72,'Dvd Calendar'!$E$71:$CZ$71,"&gt;"&amp;Q$48,'Dvd Calendar'!$E$71:$CZ$71,"&lt;="&amp;Q$49),"")))</f>
        <v/>
      </c>
      <c r="R83" s="140">
        <f>IF(R$49="","",IF($B83="","",IFERROR(SUMIFS('Dvd Calendar'!$E$72:$CZ$72,'Dvd Calendar'!$E$71:$CZ$71,"&gt;"&amp;R$48,'Dvd Calendar'!$E$71:$CZ$71,"&lt;="&amp;R$49),"")))</f>
        <v/>
      </c>
      <c r="U83" s="146" t="n"/>
      <c r="V83" s="146" t="n"/>
      <c r="W83" s="146" t="n"/>
      <c r="X83" s="146" t="n"/>
      <c r="Y83" s="146" t="n"/>
      <c r="Z83" s="146" t="n"/>
      <c r="AA83" s="146" t="n"/>
      <c r="AB83" s="146" t="n"/>
      <c r="AC83" s="146" t="n"/>
      <c r="AD83" s="146" t="n"/>
      <c r="AE83" s="146" t="n"/>
      <c r="AF83" s="146" t="n"/>
      <c r="AG83" s="146" t="n"/>
      <c r="AH83" s="146" t="n"/>
      <c r="AI83" s="146" t="n"/>
      <c r="AJ83" s="146" t="n"/>
    </row>
    <row r="84">
      <c r="B84" s="5">
        <f>IF(AS51!$C$39="","",AS51!$C$39)</f>
        <v/>
      </c>
      <c r="C84" s="140">
        <f>IF(C$49="","",IF($B84="","",IFERROR(SUMIFS('Dvd Calendar'!$E$74:$CZ$74,'Dvd Calendar'!$E$73:$CZ$73,"&gt;"&amp;C$48,'Dvd Calendar'!$E$73:$CZ$73,"&lt;="&amp;C$49),"")))</f>
        <v/>
      </c>
      <c r="D84" s="140">
        <f>IF(D$49="","",IF($B84="","",IFERROR(SUMIFS('Dvd Calendar'!$E$74:$CZ$74,'Dvd Calendar'!$E$73:$CZ$73,"&gt;"&amp;D$48,'Dvd Calendar'!$E$73:$CZ$73,"&lt;="&amp;D$49),"")))</f>
        <v/>
      </c>
      <c r="E84" s="140">
        <f>IF(E$49="","",IF($B84="","",IFERROR(SUMIFS('Dvd Calendar'!$E$74:$CZ$74,'Dvd Calendar'!$E$73:$CZ$73,"&gt;"&amp;E$48,'Dvd Calendar'!$E$73:$CZ$73,"&lt;="&amp;E$49),"")))</f>
        <v/>
      </c>
      <c r="F84" s="140">
        <f>IF(F$49="","",IF($B84="","",IFERROR(SUMIFS('Dvd Calendar'!$E$74:$CZ$74,'Dvd Calendar'!$E$73:$CZ$73,"&gt;"&amp;F$48,'Dvd Calendar'!$E$73:$CZ$73,"&lt;="&amp;F$49),"")))</f>
        <v/>
      </c>
      <c r="G84" s="140">
        <f>IF(G$49="","",IF($B84="","",IFERROR(SUMIFS('Dvd Calendar'!$E$74:$CZ$74,'Dvd Calendar'!$E$73:$CZ$73,"&gt;"&amp;G$48,'Dvd Calendar'!$E$73:$CZ$73,"&lt;="&amp;G$49),"")))</f>
        <v/>
      </c>
      <c r="H84" s="140">
        <f>IF(H$49="","",IF($B84="","",IFERROR(SUMIFS('Dvd Calendar'!$E$74:$CZ$74,'Dvd Calendar'!$E$73:$CZ$73,"&gt;"&amp;H$48,'Dvd Calendar'!$E$73:$CZ$73,"&lt;="&amp;H$49),"")))</f>
        <v/>
      </c>
      <c r="I84" s="140">
        <f>IF(I$49="","",IF($B84="","",IFERROR(SUMIFS('Dvd Calendar'!$E$74:$CZ$74,'Dvd Calendar'!$E$73:$CZ$73,"&gt;"&amp;I$48,'Dvd Calendar'!$E$73:$CZ$73,"&lt;="&amp;I$49),"")))</f>
        <v/>
      </c>
      <c r="J84" s="140">
        <f>IF(J$49="","",IF($B84="","",IFERROR(SUMIFS('Dvd Calendar'!$E$74:$CZ$74,'Dvd Calendar'!$E$73:$CZ$73,"&gt;"&amp;J$48,'Dvd Calendar'!$E$73:$CZ$73,"&lt;="&amp;J$49),"")))</f>
        <v/>
      </c>
      <c r="K84" s="140">
        <f>IF(K$49="","",IF($B84="","",IFERROR(SUMIFS('Dvd Calendar'!$E$74:$CZ$74,'Dvd Calendar'!$E$73:$CZ$73,"&gt;"&amp;K$48,'Dvd Calendar'!$E$73:$CZ$73,"&lt;="&amp;K$49),"")))</f>
        <v/>
      </c>
      <c r="L84" s="140">
        <f>IF(L$49="","",IF($B84="","",IFERROR(SUMIFS('Dvd Calendar'!$E$74:$CZ$74,'Dvd Calendar'!$E$73:$CZ$73,"&gt;"&amp;L$48,'Dvd Calendar'!$E$73:$CZ$73,"&lt;="&amp;L$49),"")))</f>
        <v/>
      </c>
      <c r="M84" s="140">
        <f>IF(M$49="","",IF($B84="","",IFERROR(SUMIFS('Dvd Calendar'!$E$74:$CZ$74,'Dvd Calendar'!$E$73:$CZ$73,"&gt;"&amp;M$48,'Dvd Calendar'!$E$73:$CZ$73,"&lt;="&amp;M$49),"")))</f>
        <v/>
      </c>
      <c r="N84" s="140">
        <f>IF(N$49="","",IF($B84="","",IFERROR(SUMIFS('Dvd Calendar'!$E$74:$CZ$74,'Dvd Calendar'!$E$73:$CZ$73,"&gt;"&amp;N$48,'Dvd Calendar'!$E$73:$CZ$73,"&lt;="&amp;N$49),"")))</f>
        <v/>
      </c>
      <c r="O84" s="140">
        <f>IF(O$49="","",IF($B84="","",IFERROR(SUMIFS('Dvd Calendar'!$E$74:$CZ$74,'Dvd Calendar'!$E$73:$CZ$73,"&gt;"&amp;O$48,'Dvd Calendar'!$E$73:$CZ$73,"&lt;="&amp;O$49),"")))</f>
        <v/>
      </c>
      <c r="P84" s="140">
        <f>IF(P$49="","",IF($B84="","",IFERROR(SUMIFS('Dvd Calendar'!$E$74:$CZ$74,'Dvd Calendar'!$E$73:$CZ$73,"&gt;"&amp;P$48,'Dvd Calendar'!$E$73:$CZ$73,"&lt;="&amp;P$49),"")))</f>
        <v/>
      </c>
      <c r="Q84" s="140">
        <f>IF(Q$49="","",IF($B84="","",IFERROR(SUMIFS('Dvd Calendar'!$E$74:$CZ$74,'Dvd Calendar'!$E$73:$CZ$73,"&gt;"&amp;Q$48,'Dvd Calendar'!$E$73:$CZ$73,"&lt;="&amp;Q$49),"")))</f>
        <v/>
      </c>
      <c r="R84" s="140">
        <f>IF(R$49="","",IF($B84="","",IFERROR(SUMIFS('Dvd Calendar'!$E$74:$CZ$74,'Dvd Calendar'!$E$73:$CZ$73,"&gt;"&amp;R$48,'Dvd Calendar'!$E$73:$CZ$73,"&lt;="&amp;R$49),"")))</f>
        <v/>
      </c>
      <c r="U84" s="146" t="n"/>
      <c r="V84" s="146" t="n"/>
      <c r="W84" s="146" t="n"/>
      <c r="X84" s="146" t="n"/>
      <c r="Y84" s="146" t="n"/>
      <c r="Z84" s="146" t="n"/>
      <c r="AA84" s="146" t="n"/>
      <c r="AB84" s="146" t="n"/>
      <c r="AC84" s="146" t="n"/>
      <c r="AD84" s="146" t="n"/>
      <c r="AE84" s="146" t="n"/>
      <c r="AF84" s="146" t="n"/>
      <c r="AG84" s="146" t="n"/>
      <c r="AH84" s="146" t="n"/>
      <c r="AI84" s="146" t="n"/>
      <c r="AJ84" s="146" t="n"/>
    </row>
    <row r="85">
      <c r="B85" s="5">
        <f>IF(AS51!$C$40="","",AS51!$C$40)</f>
        <v/>
      </c>
      <c r="C85" s="140">
        <f>IF(C$49="","",IF($B85="","",IFERROR(SUMIFS('Dvd Calendar'!$E$76:$CZ$76,'Dvd Calendar'!$E$75:$CZ$75,"&gt;"&amp;C$48,'Dvd Calendar'!$E$75:$CZ$75,"&lt;="&amp;C$49),"")))</f>
        <v/>
      </c>
      <c r="D85" s="140">
        <f>IF(D$49="","",IF($B85="","",IFERROR(SUMIFS('Dvd Calendar'!$E$76:$CZ$76,'Dvd Calendar'!$E$75:$CZ$75,"&gt;"&amp;D$48,'Dvd Calendar'!$E$75:$CZ$75,"&lt;="&amp;D$49),"")))</f>
        <v/>
      </c>
      <c r="E85" s="140">
        <f>IF(E$49="","",IF($B85="","",IFERROR(SUMIFS('Dvd Calendar'!$E$76:$CZ$76,'Dvd Calendar'!$E$75:$CZ$75,"&gt;"&amp;E$48,'Dvd Calendar'!$E$75:$CZ$75,"&lt;="&amp;E$49),"")))</f>
        <v/>
      </c>
      <c r="F85" s="140">
        <f>IF(F$49="","",IF($B85="","",IFERROR(SUMIFS('Dvd Calendar'!$E$76:$CZ$76,'Dvd Calendar'!$E$75:$CZ$75,"&gt;"&amp;F$48,'Dvd Calendar'!$E$75:$CZ$75,"&lt;="&amp;F$49),"")))</f>
        <v/>
      </c>
      <c r="G85" s="140">
        <f>IF(G$49="","",IF($B85="","",IFERROR(SUMIFS('Dvd Calendar'!$E$76:$CZ$76,'Dvd Calendar'!$E$75:$CZ$75,"&gt;"&amp;G$48,'Dvd Calendar'!$E$75:$CZ$75,"&lt;="&amp;G$49),"")))</f>
        <v/>
      </c>
      <c r="H85" s="140">
        <f>IF(H$49="","",IF($B85="","",IFERROR(SUMIFS('Dvd Calendar'!$E$76:$CZ$76,'Dvd Calendar'!$E$75:$CZ$75,"&gt;"&amp;H$48,'Dvd Calendar'!$E$75:$CZ$75,"&lt;="&amp;H$49),"")))</f>
        <v/>
      </c>
      <c r="I85" s="140">
        <f>IF(I$49="","",IF($B85="","",IFERROR(SUMIFS('Dvd Calendar'!$E$76:$CZ$76,'Dvd Calendar'!$E$75:$CZ$75,"&gt;"&amp;I$48,'Dvd Calendar'!$E$75:$CZ$75,"&lt;="&amp;I$49),"")))</f>
        <v/>
      </c>
      <c r="J85" s="140">
        <f>IF(J$49="","",IF($B85="","",IFERROR(SUMIFS('Dvd Calendar'!$E$76:$CZ$76,'Dvd Calendar'!$E$75:$CZ$75,"&gt;"&amp;J$48,'Dvd Calendar'!$E$75:$CZ$75,"&lt;="&amp;J$49),"")))</f>
        <v/>
      </c>
      <c r="K85" s="140">
        <f>IF(K$49="","",IF($B85="","",IFERROR(SUMIFS('Dvd Calendar'!$E$76:$CZ$76,'Dvd Calendar'!$E$75:$CZ$75,"&gt;"&amp;K$48,'Dvd Calendar'!$E$75:$CZ$75,"&lt;="&amp;K$49),"")))</f>
        <v/>
      </c>
      <c r="L85" s="140">
        <f>IF(L$49="","",IF($B85="","",IFERROR(SUMIFS('Dvd Calendar'!$E$76:$CZ$76,'Dvd Calendar'!$E$75:$CZ$75,"&gt;"&amp;L$48,'Dvd Calendar'!$E$75:$CZ$75,"&lt;="&amp;L$49),"")))</f>
        <v/>
      </c>
      <c r="M85" s="140">
        <f>IF(M$49="","",IF($B85="","",IFERROR(SUMIFS('Dvd Calendar'!$E$76:$CZ$76,'Dvd Calendar'!$E$75:$CZ$75,"&gt;"&amp;M$48,'Dvd Calendar'!$E$75:$CZ$75,"&lt;="&amp;M$49),"")))</f>
        <v/>
      </c>
      <c r="N85" s="140">
        <f>IF(N$49="","",IF($B85="","",IFERROR(SUMIFS('Dvd Calendar'!$E$76:$CZ$76,'Dvd Calendar'!$E$75:$CZ$75,"&gt;"&amp;N$48,'Dvd Calendar'!$E$75:$CZ$75,"&lt;="&amp;N$49),"")))</f>
        <v/>
      </c>
      <c r="O85" s="140">
        <f>IF(O$49="","",IF($B85="","",IFERROR(SUMIFS('Dvd Calendar'!$E$76:$CZ$76,'Dvd Calendar'!$E$75:$CZ$75,"&gt;"&amp;O$48,'Dvd Calendar'!$E$75:$CZ$75,"&lt;="&amp;O$49),"")))</f>
        <v/>
      </c>
      <c r="P85" s="140">
        <f>IF(P$49="","",IF($B85="","",IFERROR(SUMIFS('Dvd Calendar'!$E$76:$CZ$76,'Dvd Calendar'!$E$75:$CZ$75,"&gt;"&amp;P$48,'Dvd Calendar'!$E$75:$CZ$75,"&lt;="&amp;P$49),"")))</f>
        <v/>
      </c>
      <c r="Q85" s="140">
        <f>IF(Q$49="","",IF($B85="","",IFERROR(SUMIFS('Dvd Calendar'!$E$76:$CZ$76,'Dvd Calendar'!$E$75:$CZ$75,"&gt;"&amp;Q$48,'Dvd Calendar'!$E$75:$CZ$75,"&lt;="&amp;Q$49),"")))</f>
        <v/>
      </c>
      <c r="R85" s="140">
        <f>IF(R$49="","",IF($B85="","",IFERROR(SUMIFS('Dvd Calendar'!$E$76:$CZ$76,'Dvd Calendar'!$E$75:$CZ$75,"&gt;"&amp;R$48,'Dvd Calendar'!$E$75:$CZ$75,"&lt;="&amp;R$49),"")))</f>
        <v/>
      </c>
      <c r="U85" s="146" t="n"/>
      <c r="V85" s="146" t="n"/>
      <c r="W85" s="146" t="n"/>
      <c r="X85" s="146" t="n"/>
      <c r="Y85" s="146" t="n"/>
      <c r="Z85" s="146" t="n"/>
      <c r="AA85" s="146" t="n"/>
      <c r="AB85" s="146" t="n"/>
      <c r="AC85" s="146" t="n"/>
      <c r="AD85" s="146" t="n"/>
      <c r="AE85" s="146" t="n"/>
      <c r="AF85" s="146" t="n"/>
      <c r="AG85" s="146" t="n"/>
      <c r="AH85" s="146" t="n"/>
      <c r="AI85" s="146" t="n"/>
      <c r="AJ85" s="146" t="n"/>
    </row>
    <row r="86">
      <c r="B86" s="5">
        <f>IF(AS51!$C$41="","",AS51!$C$41)</f>
        <v/>
      </c>
      <c r="C86" s="140">
        <f>IF(C$49="","",IF($B86="","",IFERROR(SUMIFS('Dvd Calendar'!$E$78:$CZ$78,'Dvd Calendar'!$E$77:$CZ$77,"&gt;"&amp;C$48,'Dvd Calendar'!$E$77:$CZ$77,"&lt;="&amp;C$49),"")))</f>
        <v/>
      </c>
      <c r="D86" s="140">
        <f>IF(D$49="","",IF($B86="","",IFERROR(SUMIFS('Dvd Calendar'!$E$78:$CZ$78,'Dvd Calendar'!$E$77:$CZ$77,"&gt;"&amp;D$48,'Dvd Calendar'!$E$77:$CZ$77,"&lt;="&amp;D$49),"")))</f>
        <v/>
      </c>
      <c r="E86" s="140">
        <f>IF(E$49="","",IF($B86="","",IFERROR(SUMIFS('Dvd Calendar'!$E$78:$CZ$78,'Dvd Calendar'!$E$77:$CZ$77,"&gt;"&amp;E$48,'Dvd Calendar'!$E$77:$CZ$77,"&lt;="&amp;E$49),"")))</f>
        <v/>
      </c>
      <c r="F86" s="140">
        <f>IF(F$49="","",IF($B86="","",IFERROR(SUMIFS('Dvd Calendar'!$E$78:$CZ$78,'Dvd Calendar'!$E$77:$CZ$77,"&gt;"&amp;F$48,'Dvd Calendar'!$E$77:$CZ$77,"&lt;="&amp;F$49),"")))</f>
        <v/>
      </c>
      <c r="G86" s="140">
        <f>IF(G$49="","",IF($B86="","",IFERROR(SUMIFS('Dvd Calendar'!$E$78:$CZ$78,'Dvd Calendar'!$E$77:$CZ$77,"&gt;"&amp;G$48,'Dvd Calendar'!$E$77:$CZ$77,"&lt;="&amp;G$49),"")))</f>
        <v/>
      </c>
      <c r="H86" s="140">
        <f>IF(H$49="","",IF($B86="","",IFERROR(SUMIFS('Dvd Calendar'!$E$78:$CZ$78,'Dvd Calendar'!$E$77:$CZ$77,"&gt;"&amp;H$48,'Dvd Calendar'!$E$77:$CZ$77,"&lt;="&amp;H$49),"")))</f>
        <v/>
      </c>
      <c r="I86" s="140">
        <f>IF(I$49="","",IF($B86="","",IFERROR(SUMIFS('Dvd Calendar'!$E$78:$CZ$78,'Dvd Calendar'!$E$77:$CZ$77,"&gt;"&amp;I$48,'Dvd Calendar'!$E$77:$CZ$77,"&lt;="&amp;I$49),"")))</f>
        <v/>
      </c>
      <c r="J86" s="140">
        <f>IF(J$49="","",IF($B86="","",IFERROR(SUMIFS('Dvd Calendar'!$E$78:$CZ$78,'Dvd Calendar'!$E$77:$CZ$77,"&gt;"&amp;J$48,'Dvd Calendar'!$E$77:$CZ$77,"&lt;="&amp;J$49),"")))</f>
        <v/>
      </c>
      <c r="K86" s="140">
        <f>IF(K$49="","",IF($B86="","",IFERROR(SUMIFS('Dvd Calendar'!$E$78:$CZ$78,'Dvd Calendar'!$E$77:$CZ$77,"&gt;"&amp;K$48,'Dvd Calendar'!$E$77:$CZ$77,"&lt;="&amp;K$49),"")))</f>
        <v/>
      </c>
      <c r="L86" s="140">
        <f>IF(L$49="","",IF($B86="","",IFERROR(SUMIFS('Dvd Calendar'!$E$78:$CZ$78,'Dvd Calendar'!$E$77:$CZ$77,"&gt;"&amp;L$48,'Dvd Calendar'!$E$77:$CZ$77,"&lt;="&amp;L$49),"")))</f>
        <v/>
      </c>
      <c r="M86" s="140">
        <f>IF(M$49="","",IF($B86="","",IFERROR(SUMIFS('Dvd Calendar'!$E$78:$CZ$78,'Dvd Calendar'!$E$77:$CZ$77,"&gt;"&amp;M$48,'Dvd Calendar'!$E$77:$CZ$77,"&lt;="&amp;M$49),"")))</f>
        <v/>
      </c>
      <c r="N86" s="140">
        <f>IF(N$49="","",IF($B86="","",IFERROR(SUMIFS('Dvd Calendar'!$E$78:$CZ$78,'Dvd Calendar'!$E$77:$CZ$77,"&gt;"&amp;N$48,'Dvd Calendar'!$E$77:$CZ$77,"&lt;="&amp;N$49),"")))</f>
        <v/>
      </c>
      <c r="O86" s="140">
        <f>IF(O$49="","",IF($B86="","",IFERROR(SUMIFS('Dvd Calendar'!$E$78:$CZ$78,'Dvd Calendar'!$E$77:$CZ$77,"&gt;"&amp;O$48,'Dvd Calendar'!$E$77:$CZ$77,"&lt;="&amp;O$49),"")))</f>
        <v/>
      </c>
      <c r="P86" s="140">
        <f>IF(P$49="","",IF($B86="","",IFERROR(SUMIFS('Dvd Calendar'!$E$78:$CZ$78,'Dvd Calendar'!$E$77:$CZ$77,"&gt;"&amp;P$48,'Dvd Calendar'!$E$77:$CZ$77,"&lt;="&amp;P$49),"")))</f>
        <v/>
      </c>
      <c r="Q86" s="140">
        <f>IF(Q$49="","",IF($B86="","",IFERROR(SUMIFS('Dvd Calendar'!$E$78:$CZ$78,'Dvd Calendar'!$E$77:$CZ$77,"&gt;"&amp;Q$48,'Dvd Calendar'!$E$77:$CZ$77,"&lt;="&amp;Q$49),"")))</f>
        <v/>
      </c>
      <c r="R86" s="140">
        <f>IF(R$49="","",IF($B86="","",IFERROR(SUMIFS('Dvd Calendar'!$E$78:$CZ$78,'Dvd Calendar'!$E$77:$CZ$77,"&gt;"&amp;R$48,'Dvd Calendar'!$E$77:$CZ$77,"&lt;="&amp;R$49),"")))</f>
        <v/>
      </c>
      <c r="U86" s="146" t="n"/>
      <c r="V86" s="146" t="n"/>
      <c r="W86" s="146" t="n"/>
      <c r="X86" s="146" t="n"/>
      <c r="Y86" s="146" t="n"/>
      <c r="Z86" s="146" t="n"/>
      <c r="AA86" s="146" t="n"/>
      <c r="AB86" s="146" t="n"/>
      <c r="AC86" s="146" t="n"/>
      <c r="AD86" s="146" t="n"/>
      <c r="AE86" s="146" t="n"/>
      <c r="AF86" s="146" t="n"/>
      <c r="AG86" s="146" t="n"/>
      <c r="AH86" s="146" t="n"/>
      <c r="AI86" s="146" t="n"/>
      <c r="AJ86" s="146" t="n"/>
    </row>
    <row r="87">
      <c r="B87" s="5">
        <f>IF(AS51!$C$42="","",AS51!$C$42)</f>
        <v/>
      </c>
      <c r="C87" s="140">
        <f>IF(C$49="","",IF($B87="","",IFERROR(SUMIFS('Dvd Calendar'!$E$80:$CZ$80,'Dvd Calendar'!$E$79:$CZ$79,"&gt;"&amp;C$48,'Dvd Calendar'!$E$79:$CZ$79,"&lt;="&amp;C$49),"")))</f>
        <v/>
      </c>
      <c r="D87" s="140">
        <f>IF(D$49="","",IF($B87="","",IFERROR(SUMIFS('Dvd Calendar'!$E$80:$CZ$80,'Dvd Calendar'!$E$79:$CZ$79,"&gt;"&amp;D$48,'Dvd Calendar'!$E$79:$CZ$79,"&lt;="&amp;D$49),"")))</f>
        <v/>
      </c>
      <c r="E87" s="140">
        <f>IF(E$49="","",IF($B87="","",IFERROR(SUMIFS('Dvd Calendar'!$E$80:$CZ$80,'Dvd Calendar'!$E$79:$CZ$79,"&gt;"&amp;E$48,'Dvd Calendar'!$E$79:$CZ$79,"&lt;="&amp;E$49),"")))</f>
        <v/>
      </c>
      <c r="F87" s="140">
        <f>IF(F$49="","",IF($B87="","",IFERROR(SUMIFS('Dvd Calendar'!$E$80:$CZ$80,'Dvd Calendar'!$E$79:$CZ$79,"&gt;"&amp;F$48,'Dvd Calendar'!$E$79:$CZ$79,"&lt;="&amp;F$49),"")))</f>
        <v/>
      </c>
      <c r="G87" s="140">
        <f>IF(G$49="","",IF($B87="","",IFERROR(SUMIFS('Dvd Calendar'!$E$80:$CZ$80,'Dvd Calendar'!$E$79:$CZ$79,"&gt;"&amp;G$48,'Dvd Calendar'!$E$79:$CZ$79,"&lt;="&amp;G$49),"")))</f>
        <v/>
      </c>
      <c r="H87" s="140">
        <f>IF(H$49="","",IF($B87="","",IFERROR(SUMIFS('Dvd Calendar'!$E$80:$CZ$80,'Dvd Calendar'!$E$79:$CZ$79,"&gt;"&amp;H$48,'Dvd Calendar'!$E$79:$CZ$79,"&lt;="&amp;H$49),"")))</f>
        <v/>
      </c>
      <c r="I87" s="140">
        <f>IF(I$49="","",IF($B87="","",IFERROR(SUMIFS('Dvd Calendar'!$E$80:$CZ$80,'Dvd Calendar'!$E$79:$CZ$79,"&gt;"&amp;I$48,'Dvd Calendar'!$E$79:$CZ$79,"&lt;="&amp;I$49),"")))</f>
        <v/>
      </c>
      <c r="J87" s="140">
        <f>IF(J$49="","",IF($B87="","",IFERROR(SUMIFS('Dvd Calendar'!$E$80:$CZ$80,'Dvd Calendar'!$E$79:$CZ$79,"&gt;"&amp;J$48,'Dvd Calendar'!$E$79:$CZ$79,"&lt;="&amp;J$49),"")))</f>
        <v/>
      </c>
      <c r="K87" s="140">
        <f>IF(K$49="","",IF($B87="","",IFERROR(SUMIFS('Dvd Calendar'!$E$80:$CZ$80,'Dvd Calendar'!$E$79:$CZ$79,"&gt;"&amp;K$48,'Dvd Calendar'!$E$79:$CZ$79,"&lt;="&amp;K$49),"")))</f>
        <v/>
      </c>
      <c r="L87" s="140">
        <f>IF(L$49="","",IF($B87="","",IFERROR(SUMIFS('Dvd Calendar'!$E$80:$CZ$80,'Dvd Calendar'!$E$79:$CZ$79,"&gt;"&amp;L$48,'Dvd Calendar'!$E$79:$CZ$79,"&lt;="&amp;L$49),"")))</f>
        <v/>
      </c>
      <c r="M87" s="140">
        <f>IF(M$49="","",IF($B87="","",IFERROR(SUMIFS('Dvd Calendar'!$E$80:$CZ$80,'Dvd Calendar'!$E$79:$CZ$79,"&gt;"&amp;M$48,'Dvd Calendar'!$E$79:$CZ$79,"&lt;="&amp;M$49),"")))</f>
        <v/>
      </c>
      <c r="N87" s="140">
        <f>IF(N$49="","",IF($B87="","",IFERROR(SUMIFS('Dvd Calendar'!$E$80:$CZ$80,'Dvd Calendar'!$E$79:$CZ$79,"&gt;"&amp;N$48,'Dvd Calendar'!$E$79:$CZ$79,"&lt;="&amp;N$49),"")))</f>
        <v/>
      </c>
      <c r="O87" s="140">
        <f>IF(O$49="","",IF($B87="","",IFERROR(SUMIFS('Dvd Calendar'!$E$80:$CZ$80,'Dvd Calendar'!$E$79:$CZ$79,"&gt;"&amp;O$48,'Dvd Calendar'!$E$79:$CZ$79,"&lt;="&amp;O$49),"")))</f>
        <v/>
      </c>
      <c r="P87" s="140">
        <f>IF(P$49="","",IF($B87="","",IFERROR(SUMIFS('Dvd Calendar'!$E$80:$CZ$80,'Dvd Calendar'!$E$79:$CZ$79,"&gt;"&amp;P$48,'Dvd Calendar'!$E$79:$CZ$79,"&lt;="&amp;P$49),"")))</f>
        <v/>
      </c>
      <c r="Q87" s="140">
        <f>IF(Q$49="","",IF($B87="","",IFERROR(SUMIFS('Dvd Calendar'!$E$80:$CZ$80,'Dvd Calendar'!$E$79:$CZ$79,"&gt;"&amp;Q$48,'Dvd Calendar'!$E$79:$CZ$79,"&lt;="&amp;Q$49),"")))</f>
        <v/>
      </c>
      <c r="R87" s="140">
        <f>IF(R$49="","",IF($B87="","",IFERROR(SUMIFS('Dvd Calendar'!$E$80:$CZ$80,'Dvd Calendar'!$E$79:$CZ$79,"&gt;"&amp;R$48,'Dvd Calendar'!$E$79:$CZ$79,"&lt;="&amp;R$49),"")))</f>
        <v/>
      </c>
      <c r="U87" s="146" t="n"/>
      <c r="V87" s="146" t="n"/>
      <c r="W87" s="146" t="n"/>
      <c r="X87" s="146" t="n"/>
      <c r="Y87" s="146" t="n"/>
      <c r="Z87" s="146" t="n"/>
      <c r="AA87" s="146" t="n"/>
      <c r="AB87" s="146" t="n"/>
      <c r="AC87" s="146" t="n"/>
      <c r="AD87" s="146" t="n"/>
      <c r="AE87" s="146" t="n"/>
      <c r="AF87" s="146" t="n"/>
      <c r="AG87" s="146" t="n"/>
      <c r="AH87" s="146" t="n"/>
      <c r="AI87" s="146" t="n"/>
      <c r="AJ87" s="146" t="n"/>
    </row>
    <row r="88">
      <c r="B88" s="5">
        <f>IF(AS51!$C$43="","",AS51!$C$43)</f>
        <v/>
      </c>
      <c r="C88" s="140">
        <f>IF(C$49="","",IF($B88="","",IFERROR(SUMIFS('Dvd Calendar'!$E$82:$CZ$82,'Dvd Calendar'!$E$81:$CZ$81,"&gt;"&amp;C$48,'Dvd Calendar'!$E$81:$CZ$81,"&lt;="&amp;C$49),"")))</f>
        <v/>
      </c>
      <c r="D88" s="140">
        <f>IF(D$49="","",IF($B88="","",IFERROR(SUMIFS('Dvd Calendar'!$E$82:$CZ$82,'Dvd Calendar'!$E$81:$CZ$81,"&gt;"&amp;D$48,'Dvd Calendar'!$E$81:$CZ$81,"&lt;="&amp;D$49),"")))</f>
        <v/>
      </c>
      <c r="E88" s="140">
        <f>IF(E$49="","",IF($B88="","",IFERROR(SUMIFS('Dvd Calendar'!$E$82:$CZ$82,'Dvd Calendar'!$E$81:$CZ$81,"&gt;"&amp;E$48,'Dvd Calendar'!$E$81:$CZ$81,"&lt;="&amp;E$49),"")))</f>
        <v/>
      </c>
      <c r="F88" s="140">
        <f>IF(F$49="","",IF($B88="","",IFERROR(SUMIFS('Dvd Calendar'!$E$82:$CZ$82,'Dvd Calendar'!$E$81:$CZ$81,"&gt;"&amp;F$48,'Dvd Calendar'!$E$81:$CZ$81,"&lt;="&amp;F$49),"")))</f>
        <v/>
      </c>
      <c r="G88" s="140">
        <f>IF(G$49="","",IF($B88="","",IFERROR(SUMIFS('Dvd Calendar'!$E$82:$CZ$82,'Dvd Calendar'!$E$81:$CZ$81,"&gt;"&amp;G$48,'Dvd Calendar'!$E$81:$CZ$81,"&lt;="&amp;G$49),"")))</f>
        <v/>
      </c>
      <c r="H88" s="140">
        <f>IF(H$49="","",IF($B88="","",IFERROR(SUMIFS('Dvd Calendar'!$E$82:$CZ$82,'Dvd Calendar'!$E$81:$CZ$81,"&gt;"&amp;H$48,'Dvd Calendar'!$E$81:$CZ$81,"&lt;="&amp;H$49),"")))</f>
        <v/>
      </c>
      <c r="I88" s="140">
        <f>IF(I$49="","",IF($B88="","",IFERROR(SUMIFS('Dvd Calendar'!$E$82:$CZ$82,'Dvd Calendar'!$E$81:$CZ$81,"&gt;"&amp;I$48,'Dvd Calendar'!$E$81:$CZ$81,"&lt;="&amp;I$49),"")))</f>
        <v/>
      </c>
      <c r="J88" s="140">
        <f>IF(J$49="","",IF($B88="","",IFERROR(SUMIFS('Dvd Calendar'!$E$82:$CZ$82,'Dvd Calendar'!$E$81:$CZ$81,"&gt;"&amp;J$48,'Dvd Calendar'!$E$81:$CZ$81,"&lt;="&amp;J$49),"")))</f>
        <v/>
      </c>
      <c r="K88" s="140">
        <f>IF(K$49="","",IF($B88="","",IFERROR(SUMIFS('Dvd Calendar'!$E$82:$CZ$82,'Dvd Calendar'!$E$81:$CZ$81,"&gt;"&amp;K$48,'Dvd Calendar'!$E$81:$CZ$81,"&lt;="&amp;K$49),"")))</f>
        <v/>
      </c>
      <c r="L88" s="140">
        <f>IF(L$49="","",IF($B88="","",IFERROR(SUMIFS('Dvd Calendar'!$E$82:$CZ$82,'Dvd Calendar'!$E$81:$CZ$81,"&gt;"&amp;L$48,'Dvd Calendar'!$E$81:$CZ$81,"&lt;="&amp;L$49),"")))</f>
        <v/>
      </c>
      <c r="M88" s="140">
        <f>IF(M$49="","",IF($B88="","",IFERROR(SUMIFS('Dvd Calendar'!$E$82:$CZ$82,'Dvd Calendar'!$E$81:$CZ$81,"&gt;"&amp;M$48,'Dvd Calendar'!$E$81:$CZ$81,"&lt;="&amp;M$49),"")))</f>
        <v/>
      </c>
      <c r="N88" s="140">
        <f>IF(N$49="","",IF($B88="","",IFERROR(SUMIFS('Dvd Calendar'!$E$82:$CZ$82,'Dvd Calendar'!$E$81:$CZ$81,"&gt;"&amp;N$48,'Dvd Calendar'!$E$81:$CZ$81,"&lt;="&amp;N$49),"")))</f>
        <v/>
      </c>
      <c r="O88" s="140">
        <f>IF(O$49="","",IF($B88="","",IFERROR(SUMIFS('Dvd Calendar'!$E$82:$CZ$82,'Dvd Calendar'!$E$81:$CZ$81,"&gt;"&amp;O$48,'Dvd Calendar'!$E$81:$CZ$81,"&lt;="&amp;O$49),"")))</f>
        <v/>
      </c>
      <c r="P88" s="140">
        <f>IF(P$49="","",IF($B88="","",IFERROR(SUMIFS('Dvd Calendar'!$E$82:$CZ$82,'Dvd Calendar'!$E$81:$CZ$81,"&gt;"&amp;P$48,'Dvd Calendar'!$E$81:$CZ$81,"&lt;="&amp;P$49),"")))</f>
        <v/>
      </c>
      <c r="Q88" s="140">
        <f>IF(Q$49="","",IF($B88="","",IFERROR(SUMIFS('Dvd Calendar'!$E$82:$CZ$82,'Dvd Calendar'!$E$81:$CZ$81,"&gt;"&amp;Q$48,'Dvd Calendar'!$E$81:$CZ$81,"&lt;="&amp;Q$49),"")))</f>
        <v/>
      </c>
      <c r="R88" s="140">
        <f>IF(R$49="","",IF($B88="","",IFERROR(SUMIFS('Dvd Calendar'!$E$82:$CZ$82,'Dvd Calendar'!$E$81:$CZ$81,"&gt;"&amp;R$48,'Dvd Calendar'!$E$81:$CZ$81,"&lt;="&amp;R$49),"")))</f>
        <v/>
      </c>
      <c r="U88" s="146" t="n"/>
      <c r="V88" s="146" t="n"/>
      <c r="W88" s="146" t="n"/>
      <c r="X88" s="146" t="n"/>
      <c r="Y88" s="146" t="n"/>
      <c r="Z88" s="146" t="n"/>
      <c r="AA88" s="146" t="n"/>
      <c r="AB88" s="146" t="n"/>
      <c r="AC88" s="146" t="n"/>
      <c r="AD88" s="146" t="n"/>
      <c r="AE88" s="146" t="n"/>
      <c r="AF88" s="146" t="n"/>
      <c r="AG88" s="146" t="n"/>
      <c r="AH88" s="146" t="n"/>
      <c r="AI88" s="146" t="n"/>
      <c r="AJ88" s="146" t="n"/>
    </row>
    <row r="89">
      <c r="B89" s="5">
        <f>IF(AS51!$C$44="","",AS51!$C$44)</f>
        <v/>
      </c>
      <c r="C89" s="140">
        <f>IF(C$49="","",IF($B89="","",IFERROR(SUMIFS('Dvd Calendar'!$E$84:$CZ$84,'Dvd Calendar'!$E$83:$CZ$83,"&gt;"&amp;C$48,'Dvd Calendar'!$E$83:$CZ$83,"&lt;="&amp;C$49),"")))</f>
        <v/>
      </c>
      <c r="D89" s="140">
        <f>IF(D$49="","",IF($B89="","",IFERROR(SUMIFS('Dvd Calendar'!$E$84:$CZ$84,'Dvd Calendar'!$E$83:$CZ$83,"&gt;"&amp;D$48,'Dvd Calendar'!$E$83:$CZ$83,"&lt;="&amp;D$49),"")))</f>
        <v/>
      </c>
      <c r="E89" s="140">
        <f>IF(E$49="","",IF($B89="","",IFERROR(SUMIFS('Dvd Calendar'!$E$84:$CZ$84,'Dvd Calendar'!$E$83:$CZ$83,"&gt;"&amp;E$48,'Dvd Calendar'!$E$83:$CZ$83,"&lt;="&amp;E$49),"")))</f>
        <v/>
      </c>
      <c r="F89" s="140">
        <f>IF(F$49="","",IF($B89="","",IFERROR(SUMIFS('Dvd Calendar'!$E$84:$CZ$84,'Dvd Calendar'!$E$83:$CZ$83,"&gt;"&amp;F$48,'Dvd Calendar'!$E$83:$CZ$83,"&lt;="&amp;F$49),"")))</f>
        <v/>
      </c>
      <c r="G89" s="140">
        <f>IF(G$49="","",IF($B89="","",IFERROR(SUMIFS('Dvd Calendar'!$E$84:$CZ$84,'Dvd Calendar'!$E$83:$CZ$83,"&gt;"&amp;G$48,'Dvd Calendar'!$E$83:$CZ$83,"&lt;="&amp;G$49),"")))</f>
        <v/>
      </c>
      <c r="H89" s="140">
        <f>IF(H$49="","",IF($B89="","",IFERROR(SUMIFS('Dvd Calendar'!$E$84:$CZ$84,'Dvd Calendar'!$E$83:$CZ$83,"&gt;"&amp;H$48,'Dvd Calendar'!$E$83:$CZ$83,"&lt;="&amp;H$49),"")))</f>
        <v/>
      </c>
      <c r="I89" s="140">
        <f>IF(I$49="","",IF($B89="","",IFERROR(SUMIFS('Dvd Calendar'!$E$84:$CZ$84,'Dvd Calendar'!$E$83:$CZ$83,"&gt;"&amp;I$48,'Dvd Calendar'!$E$83:$CZ$83,"&lt;="&amp;I$49),"")))</f>
        <v/>
      </c>
      <c r="J89" s="140">
        <f>IF(J$49="","",IF($B89="","",IFERROR(SUMIFS('Dvd Calendar'!$E$84:$CZ$84,'Dvd Calendar'!$E$83:$CZ$83,"&gt;"&amp;J$48,'Dvd Calendar'!$E$83:$CZ$83,"&lt;="&amp;J$49),"")))</f>
        <v/>
      </c>
      <c r="K89" s="140">
        <f>IF(K$49="","",IF($B89="","",IFERROR(SUMIFS('Dvd Calendar'!$E$84:$CZ$84,'Dvd Calendar'!$E$83:$CZ$83,"&gt;"&amp;K$48,'Dvd Calendar'!$E$83:$CZ$83,"&lt;="&amp;K$49),"")))</f>
        <v/>
      </c>
      <c r="L89" s="140">
        <f>IF(L$49="","",IF($B89="","",IFERROR(SUMIFS('Dvd Calendar'!$E$84:$CZ$84,'Dvd Calendar'!$E$83:$CZ$83,"&gt;"&amp;L$48,'Dvd Calendar'!$E$83:$CZ$83,"&lt;="&amp;L$49),"")))</f>
        <v/>
      </c>
      <c r="M89" s="140">
        <f>IF(M$49="","",IF($B89="","",IFERROR(SUMIFS('Dvd Calendar'!$E$84:$CZ$84,'Dvd Calendar'!$E$83:$CZ$83,"&gt;"&amp;M$48,'Dvd Calendar'!$E$83:$CZ$83,"&lt;="&amp;M$49),"")))</f>
        <v/>
      </c>
      <c r="N89" s="140">
        <f>IF(N$49="","",IF($B89="","",IFERROR(SUMIFS('Dvd Calendar'!$E$84:$CZ$84,'Dvd Calendar'!$E$83:$CZ$83,"&gt;"&amp;N$48,'Dvd Calendar'!$E$83:$CZ$83,"&lt;="&amp;N$49),"")))</f>
        <v/>
      </c>
      <c r="O89" s="140">
        <f>IF(O$49="","",IF($B89="","",IFERROR(SUMIFS('Dvd Calendar'!$E$84:$CZ$84,'Dvd Calendar'!$E$83:$CZ$83,"&gt;"&amp;O$48,'Dvd Calendar'!$E$83:$CZ$83,"&lt;="&amp;O$49),"")))</f>
        <v/>
      </c>
      <c r="P89" s="140">
        <f>IF(P$49="","",IF($B89="","",IFERROR(SUMIFS('Dvd Calendar'!$E$84:$CZ$84,'Dvd Calendar'!$E$83:$CZ$83,"&gt;"&amp;P$48,'Dvd Calendar'!$E$83:$CZ$83,"&lt;="&amp;P$49),"")))</f>
        <v/>
      </c>
      <c r="Q89" s="140">
        <f>IF(Q$49="","",IF($B89="","",IFERROR(SUMIFS('Dvd Calendar'!$E$84:$CZ$84,'Dvd Calendar'!$E$83:$CZ$83,"&gt;"&amp;Q$48,'Dvd Calendar'!$E$83:$CZ$83,"&lt;="&amp;Q$49),"")))</f>
        <v/>
      </c>
      <c r="R89" s="140">
        <f>IF(R$49="","",IF($B89="","",IFERROR(SUMIFS('Dvd Calendar'!$E$84:$CZ$84,'Dvd Calendar'!$E$83:$CZ$83,"&gt;"&amp;R$48,'Dvd Calendar'!$E$83:$CZ$83,"&lt;="&amp;R$49),"")))</f>
        <v/>
      </c>
      <c r="U89" s="146" t="n"/>
      <c r="V89" s="146" t="n"/>
      <c r="W89" s="146" t="n"/>
      <c r="X89" s="146" t="n"/>
      <c r="Y89" s="146" t="n"/>
      <c r="Z89" s="146" t="n"/>
      <c r="AA89" s="146" t="n"/>
      <c r="AB89" s="146" t="n"/>
      <c r="AC89" s="146" t="n"/>
      <c r="AD89" s="146" t="n"/>
      <c r="AE89" s="146" t="n"/>
      <c r="AF89" s="146" t="n"/>
      <c r="AG89" s="146" t="n"/>
      <c r="AH89" s="146" t="n"/>
      <c r="AI89" s="146" t="n"/>
      <c r="AJ89" s="146" t="n"/>
    </row>
    <row r="90">
      <c r="B90" s="5">
        <f>IF(AS51!$C$45="","",AS51!$C$45)</f>
        <v/>
      </c>
      <c r="C90" s="140">
        <f>IF(C$49="","",IF($B90="","",IFERROR(SUMIFS('Dvd Calendar'!$E$86:$CZ$86,'Dvd Calendar'!$E$85:$CZ$85,"&gt;"&amp;C$48,'Dvd Calendar'!$E$85:$CZ$85,"&lt;="&amp;C$49),"")))</f>
        <v/>
      </c>
      <c r="D90" s="140">
        <f>IF(D$49="","",IF($B90="","",IFERROR(SUMIFS('Dvd Calendar'!$E$86:$CZ$86,'Dvd Calendar'!$E$85:$CZ$85,"&gt;"&amp;D$48,'Dvd Calendar'!$E$85:$CZ$85,"&lt;="&amp;D$49),"")))</f>
        <v/>
      </c>
      <c r="E90" s="140">
        <f>IF(E$49="","",IF($B90="","",IFERROR(SUMIFS('Dvd Calendar'!$E$86:$CZ$86,'Dvd Calendar'!$E$85:$CZ$85,"&gt;"&amp;E$48,'Dvd Calendar'!$E$85:$CZ$85,"&lt;="&amp;E$49),"")))</f>
        <v/>
      </c>
      <c r="F90" s="140">
        <f>IF(F$49="","",IF($B90="","",IFERROR(SUMIFS('Dvd Calendar'!$E$86:$CZ$86,'Dvd Calendar'!$E$85:$CZ$85,"&gt;"&amp;F$48,'Dvd Calendar'!$E$85:$CZ$85,"&lt;="&amp;F$49),"")))</f>
        <v/>
      </c>
      <c r="G90" s="140">
        <f>IF(G$49="","",IF($B90="","",IFERROR(SUMIFS('Dvd Calendar'!$E$86:$CZ$86,'Dvd Calendar'!$E$85:$CZ$85,"&gt;"&amp;G$48,'Dvd Calendar'!$E$85:$CZ$85,"&lt;="&amp;G$49),"")))</f>
        <v/>
      </c>
      <c r="H90" s="140">
        <f>IF(H$49="","",IF($B90="","",IFERROR(SUMIFS('Dvd Calendar'!$E$86:$CZ$86,'Dvd Calendar'!$E$85:$CZ$85,"&gt;"&amp;H$48,'Dvd Calendar'!$E$85:$CZ$85,"&lt;="&amp;H$49),"")))</f>
        <v/>
      </c>
      <c r="I90" s="140">
        <f>IF(I$49="","",IF($B90="","",IFERROR(SUMIFS('Dvd Calendar'!$E$86:$CZ$86,'Dvd Calendar'!$E$85:$CZ$85,"&gt;"&amp;I$48,'Dvd Calendar'!$E$85:$CZ$85,"&lt;="&amp;I$49),"")))</f>
        <v/>
      </c>
      <c r="J90" s="140">
        <f>IF(J$49="","",IF($B90="","",IFERROR(SUMIFS('Dvd Calendar'!$E$86:$CZ$86,'Dvd Calendar'!$E$85:$CZ$85,"&gt;"&amp;J$48,'Dvd Calendar'!$E$85:$CZ$85,"&lt;="&amp;J$49),"")))</f>
        <v/>
      </c>
      <c r="K90" s="140">
        <f>IF(K$49="","",IF($B90="","",IFERROR(SUMIFS('Dvd Calendar'!$E$86:$CZ$86,'Dvd Calendar'!$E$85:$CZ$85,"&gt;"&amp;K$48,'Dvd Calendar'!$E$85:$CZ$85,"&lt;="&amp;K$49),"")))</f>
        <v/>
      </c>
      <c r="L90" s="140">
        <f>IF(L$49="","",IF($B90="","",IFERROR(SUMIFS('Dvd Calendar'!$E$86:$CZ$86,'Dvd Calendar'!$E$85:$CZ$85,"&gt;"&amp;L$48,'Dvd Calendar'!$E$85:$CZ$85,"&lt;="&amp;L$49),"")))</f>
        <v/>
      </c>
      <c r="M90" s="140">
        <f>IF(M$49="","",IF($B90="","",IFERROR(SUMIFS('Dvd Calendar'!$E$86:$CZ$86,'Dvd Calendar'!$E$85:$CZ$85,"&gt;"&amp;M$48,'Dvd Calendar'!$E$85:$CZ$85,"&lt;="&amp;M$49),"")))</f>
        <v/>
      </c>
      <c r="N90" s="140">
        <f>IF(N$49="","",IF($B90="","",IFERROR(SUMIFS('Dvd Calendar'!$E$86:$CZ$86,'Dvd Calendar'!$E$85:$CZ$85,"&gt;"&amp;N$48,'Dvd Calendar'!$E$85:$CZ$85,"&lt;="&amp;N$49),"")))</f>
        <v/>
      </c>
      <c r="O90" s="140">
        <f>IF(O$49="","",IF($B90="","",IFERROR(SUMIFS('Dvd Calendar'!$E$86:$CZ$86,'Dvd Calendar'!$E$85:$CZ$85,"&gt;"&amp;O$48,'Dvd Calendar'!$E$85:$CZ$85,"&lt;="&amp;O$49),"")))</f>
        <v/>
      </c>
      <c r="P90" s="140">
        <f>IF(P$49="","",IF($B90="","",IFERROR(SUMIFS('Dvd Calendar'!$E$86:$CZ$86,'Dvd Calendar'!$E$85:$CZ$85,"&gt;"&amp;P$48,'Dvd Calendar'!$E$85:$CZ$85,"&lt;="&amp;P$49),"")))</f>
        <v/>
      </c>
      <c r="Q90" s="140">
        <f>IF(Q$49="","",IF($B90="","",IFERROR(SUMIFS('Dvd Calendar'!$E$86:$CZ$86,'Dvd Calendar'!$E$85:$CZ$85,"&gt;"&amp;Q$48,'Dvd Calendar'!$E$85:$CZ$85,"&lt;="&amp;Q$49),"")))</f>
        <v/>
      </c>
      <c r="R90" s="140">
        <f>IF(R$49="","",IF($B90="","",IFERROR(SUMIFS('Dvd Calendar'!$E$86:$CZ$86,'Dvd Calendar'!$E$85:$CZ$85,"&gt;"&amp;R$48,'Dvd Calendar'!$E$85:$CZ$85,"&lt;="&amp;R$49),"")))</f>
        <v/>
      </c>
      <c r="U90" s="146" t="n"/>
      <c r="V90" s="146" t="n"/>
      <c r="W90" s="146" t="n"/>
      <c r="X90" s="146" t="n"/>
      <c r="Y90" s="146" t="n"/>
      <c r="Z90" s="146" t="n"/>
      <c r="AA90" s="146" t="n"/>
      <c r="AB90" s="146" t="n"/>
      <c r="AC90" s="146" t="n"/>
      <c r="AD90" s="146" t="n"/>
      <c r="AE90" s="146" t="n"/>
      <c r="AF90" s="146" t="n"/>
      <c r="AG90" s="146" t="n"/>
      <c r="AH90" s="146" t="n"/>
      <c r="AI90" s="146" t="n"/>
      <c r="AJ90" s="146" t="n"/>
    </row>
    <row r="91">
      <c r="B91" s="5">
        <f>IF(AS51!$C$46="","",AS51!$C$46)</f>
        <v/>
      </c>
      <c r="C91" s="140">
        <f>IF(C$49="","",IF($B91="","",IFERROR(SUMIFS('Dvd Calendar'!$E$88:$CZ$88,'Dvd Calendar'!$E$87:$CZ$87,"&gt;"&amp;C$48,'Dvd Calendar'!$E$87:$CZ$87,"&lt;="&amp;C$49),"")))</f>
        <v/>
      </c>
      <c r="D91" s="140">
        <f>IF(D$49="","",IF($B91="","",IFERROR(SUMIFS('Dvd Calendar'!$E$88:$CZ$88,'Dvd Calendar'!$E$87:$CZ$87,"&gt;"&amp;D$48,'Dvd Calendar'!$E$87:$CZ$87,"&lt;="&amp;D$49),"")))</f>
        <v/>
      </c>
      <c r="E91" s="140">
        <f>IF(E$49="","",IF($B91="","",IFERROR(SUMIFS('Dvd Calendar'!$E$88:$CZ$88,'Dvd Calendar'!$E$87:$CZ$87,"&gt;"&amp;E$48,'Dvd Calendar'!$E$87:$CZ$87,"&lt;="&amp;E$49),"")))</f>
        <v/>
      </c>
      <c r="F91" s="140">
        <f>IF(F$49="","",IF($B91="","",IFERROR(SUMIFS('Dvd Calendar'!$E$88:$CZ$88,'Dvd Calendar'!$E$87:$CZ$87,"&gt;"&amp;F$48,'Dvd Calendar'!$E$87:$CZ$87,"&lt;="&amp;F$49),"")))</f>
        <v/>
      </c>
      <c r="G91" s="140">
        <f>IF(G$49="","",IF($B91="","",IFERROR(SUMIFS('Dvd Calendar'!$E$88:$CZ$88,'Dvd Calendar'!$E$87:$CZ$87,"&gt;"&amp;G$48,'Dvd Calendar'!$E$87:$CZ$87,"&lt;="&amp;G$49),"")))</f>
        <v/>
      </c>
      <c r="H91" s="140">
        <f>IF(H$49="","",IF($B91="","",IFERROR(SUMIFS('Dvd Calendar'!$E$88:$CZ$88,'Dvd Calendar'!$E$87:$CZ$87,"&gt;"&amp;H$48,'Dvd Calendar'!$E$87:$CZ$87,"&lt;="&amp;H$49),"")))</f>
        <v/>
      </c>
      <c r="I91" s="140">
        <f>IF(I$49="","",IF($B91="","",IFERROR(SUMIFS('Dvd Calendar'!$E$88:$CZ$88,'Dvd Calendar'!$E$87:$CZ$87,"&gt;"&amp;I$48,'Dvd Calendar'!$E$87:$CZ$87,"&lt;="&amp;I$49),"")))</f>
        <v/>
      </c>
      <c r="J91" s="140">
        <f>IF(J$49="","",IF($B91="","",IFERROR(SUMIFS('Dvd Calendar'!$E$88:$CZ$88,'Dvd Calendar'!$E$87:$CZ$87,"&gt;"&amp;J$48,'Dvd Calendar'!$E$87:$CZ$87,"&lt;="&amp;J$49),"")))</f>
        <v/>
      </c>
      <c r="K91" s="140">
        <f>IF(K$49="","",IF($B91="","",IFERROR(SUMIFS('Dvd Calendar'!$E$88:$CZ$88,'Dvd Calendar'!$E$87:$CZ$87,"&gt;"&amp;K$48,'Dvd Calendar'!$E$87:$CZ$87,"&lt;="&amp;K$49),"")))</f>
        <v/>
      </c>
      <c r="L91" s="140">
        <f>IF(L$49="","",IF($B91="","",IFERROR(SUMIFS('Dvd Calendar'!$E$88:$CZ$88,'Dvd Calendar'!$E$87:$CZ$87,"&gt;"&amp;L$48,'Dvd Calendar'!$E$87:$CZ$87,"&lt;="&amp;L$49),"")))</f>
        <v/>
      </c>
      <c r="M91" s="140">
        <f>IF(M$49="","",IF($B91="","",IFERROR(SUMIFS('Dvd Calendar'!$E$88:$CZ$88,'Dvd Calendar'!$E$87:$CZ$87,"&gt;"&amp;M$48,'Dvd Calendar'!$E$87:$CZ$87,"&lt;="&amp;M$49),"")))</f>
        <v/>
      </c>
      <c r="N91" s="140">
        <f>IF(N$49="","",IF($B91="","",IFERROR(SUMIFS('Dvd Calendar'!$E$88:$CZ$88,'Dvd Calendar'!$E$87:$CZ$87,"&gt;"&amp;N$48,'Dvd Calendar'!$E$87:$CZ$87,"&lt;="&amp;N$49),"")))</f>
        <v/>
      </c>
      <c r="O91" s="140">
        <f>IF(O$49="","",IF($B91="","",IFERROR(SUMIFS('Dvd Calendar'!$E$88:$CZ$88,'Dvd Calendar'!$E$87:$CZ$87,"&gt;"&amp;O$48,'Dvd Calendar'!$E$87:$CZ$87,"&lt;="&amp;O$49),"")))</f>
        <v/>
      </c>
      <c r="P91" s="140">
        <f>IF(P$49="","",IF($B91="","",IFERROR(SUMIFS('Dvd Calendar'!$E$88:$CZ$88,'Dvd Calendar'!$E$87:$CZ$87,"&gt;"&amp;P$48,'Dvd Calendar'!$E$87:$CZ$87,"&lt;="&amp;P$49),"")))</f>
        <v/>
      </c>
      <c r="Q91" s="140">
        <f>IF(Q$49="","",IF($B91="","",IFERROR(SUMIFS('Dvd Calendar'!$E$88:$CZ$88,'Dvd Calendar'!$E$87:$CZ$87,"&gt;"&amp;Q$48,'Dvd Calendar'!$E$87:$CZ$87,"&lt;="&amp;Q$49),"")))</f>
        <v/>
      </c>
      <c r="R91" s="140">
        <f>IF(R$49="","",IF($B91="","",IFERROR(SUMIFS('Dvd Calendar'!$E$88:$CZ$88,'Dvd Calendar'!$E$87:$CZ$87,"&gt;"&amp;R$48,'Dvd Calendar'!$E$87:$CZ$87,"&lt;="&amp;R$49),"")))</f>
        <v/>
      </c>
      <c r="U91" s="146" t="n"/>
      <c r="V91" s="146" t="n"/>
      <c r="W91" s="146" t="n"/>
      <c r="X91" s="146" t="n"/>
      <c r="Y91" s="146" t="n"/>
      <c r="Z91" s="146" t="n"/>
      <c r="AA91" s="146" t="n"/>
      <c r="AB91" s="146" t="n"/>
      <c r="AC91" s="146" t="n"/>
      <c r="AD91" s="146" t="n"/>
      <c r="AE91" s="146" t="n"/>
      <c r="AF91" s="146" t="n"/>
      <c r="AG91" s="146" t="n"/>
      <c r="AH91" s="146" t="n"/>
      <c r="AI91" s="146" t="n"/>
      <c r="AJ91" s="146" t="n"/>
    </row>
    <row r="92">
      <c r="B92" s="5">
        <f>IF(AS51!$C$47="","",AS51!$C$47)</f>
        <v/>
      </c>
      <c r="C92" s="140">
        <f>IF(C$49="","",IF($B92="","",IFERROR(SUMIFS('Dvd Calendar'!$E$90:$CZ$90,'Dvd Calendar'!$E$89:$CZ$89,"&gt;"&amp;C$48,'Dvd Calendar'!$E$89:$CZ$89,"&lt;="&amp;C$49),"")))</f>
        <v/>
      </c>
      <c r="D92" s="140">
        <f>IF(D$49="","",IF($B92="","",IFERROR(SUMIFS('Dvd Calendar'!$E$90:$CZ$90,'Dvd Calendar'!$E$89:$CZ$89,"&gt;"&amp;D$48,'Dvd Calendar'!$E$89:$CZ$89,"&lt;="&amp;D$49),"")))</f>
        <v/>
      </c>
      <c r="E92" s="140">
        <f>IF(E$49="","",IF($B92="","",IFERROR(SUMIFS('Dvd Calendar'!$E$90:$CZ$90,'Dvd Calendar'!$E$89:$CZ$89,"&gt;"&amp;E$48,'Dvd Calendar'!$E$89:$CZ$89,"&lt;="&amp;E$49),"")))</f>
        <v/>
      </c>
      <c r="F92" s="140">
        <f>IF(F$49="","",IF($B92="","",IFERROR(SUMIFS('Dvd Calendar'!$E$90:$CZ$90,'Dvd Calendar'!$E$89:$CZ$89,"&gt;"&amp;F$48,'Dvd Calendar'!$E$89:$CZ$89,"&lt;="&amp;F$49),"")))</f>
        <v/>
      </c>
      <c r="G92" s="140">
        <f>IF(G$49="","",IF($B92="","",IFERROR(SUMIFS('Dvd Calendar'!$E$90:$CZ$90,'Dvd Calendar'!$E$89:$CZ$89,"&gt;"&amp;G$48,'Dvd Calendar'!$E$89:$CZ$89,"&lt;="&amp;G$49),"")))</f>
        <v/>
      </c>
      <c r="H92" s="140">
        <f>IF(H$49="","",IF($B92="","",IFERROR(SUMIFS('Dvd Calendar'!$E$90:$CZ$90,'Dvd Calendar'!$E$89:$CZ$89,"&gt;"&amp;H$48,'Dvd Calendar'!$E$89:$CZ$89,"&lt;="&amp;H$49),"")))</f>
        <v/>
      </c>
      <c r="I92" s="140">
        <f>IF(I$49="","",IF($B92="","",IFERROR(SUMIFS('Dvd Calendar'!$E$90:$CZ$90,'Dvd Calendar'!$E$89:$CZ$89,"&gt;"&amp;I$48,'Dvd Calendar'!$E$89:$CZ$89,"&lt;="&amp;I$49),"")))</f>
        <v/>
      </c>
      <c r="J92" s="140">
        <f>IF(J$49="","",IF($B92="","",IFERROR(SUMIFS('Dvd Calendar'!$E$90:$CZ$90,'Dvd Calendar'!$E$89:$CZ$89,"&gt;"&amp;J$48,'Dvd Calendar'!$E$89:$CZ$89,"&lt;="&amp;J$49),"")))</f>
        <v/>
      </c>
      <c r="K92" s="140">
        <f>IF(K$49="","",IF($B92="","",IFERROR(SUMIFS('Dvd Calendar'!$E$90:$CZ$90,'Dvd Calendar'!$E$89:$CZ$89,"&gt;"&amp;K$48,'Dvd Calendar'!$E$89:$CZ$89,"&lt;="&amp;K$49),"")))</f>
        <v/>
      </c>
      <c r="L92" s="140">
        <f>IF(L$49="","",IF($B92="","",IFERROR(SUMIFS('Dvd Calendar'!$E$90:$CZ$90,'Dvd Calendar'!$E$89:$CZ$89,"&gt;"&amp;L$48,'Dvd Calendar'!$E$89:$CZ$89,"&lt;="&amp;L$49),"")))</f>
        <v/>
      </c>
      <c r="M92" s="140">
        <f>IF(M$49="","",IF($B92="","",IFERROR(SUMIFS('Dvd Calendar'!$E$90:$CZ$90,'Dvd Calendar'!$E$89:$CZ$89,"&gt;"&amp;M$48,'Dvd Calendar'!$E$89:$CZ$89,"&lt;="&amp;M$49),"")))</f>
        <v/>
      </c>
      <c r="N92" s="140">
        <f>IF(N$49="","",IF($B92="","",IFERROR(SUMIFS('Dvd Calendar'!$E$90:$CZ$90,'Dvd Calendar'!$E$89:$CZ$89,"&gt;"&amp;N$48,'Dvd Calendar'!$E$89:$CZ$89,"&lt;="&amp;N$49),"")))</f>
        <v/>
      </c>
      <c r="O92" s="140">
        <f>IF(O$49="","",IF($B92="","",IFERROR(SUMIFS('Dvd Calendar'!$E$90:$CZ$90,'Dvd Calendar'!$E$89:$CZ$89,"&gt;"&amp;O$48,'Dvd Calendar'!$E$89:$CZ$89,"&lt;="&amp;O$49),"")))</f>
        <v/>
      </c>
      <c r="P92" s="140">
        <f>IF(P$49="","",IF($B92="","",IFERROR(SUMIFS('Dvd Calendar'!$E$90:$CZ$90,'Dvd Calendar'!$E$89:$CZ$89,"&gt;"&amp;P$48,'Dvd Calendar'!$E$89:$CZ$89,"&lt;="&amp;P$49),"")))</f>
        <v/>
      </c>
      <c r="Q92" s="140">
        <f>IF(Q$49="","",IF($B92="","",IFERROR(SUMIFS('Dvd Calendar'!$E$90:$CZ$90,'Dvd Calendar'!$E$89:$CZ$89,"&gt;"&amp;Q$48,'Dvd Calendar'!$E$89:$CZ$89,"&lt;="&amp;Q$49),"")))</f>
        <v/>
      </c>
      <c r="R92" s="140">
        <f>IF(R$49="","",IF($B92="","",IFERROR(SUMIFS('Dvd Calendar'!$E$90:$CZ$90,'Dvd Calendar'!$E$89:$CZ$89,"&gt;"&amp;R$48,'Dvd Calendar'!$E$89:$CZ$89,"&lt;="&amp;R$49),"")))</f>
        <v/>
      </c>
      <c r="U92" s="146" t="n"/>
      <c r="V92" s="146" t="n"/>
      <c r="W92" s="146" t="n"/>
      <c r="X92" s="146" t="n"/>
      <c r="Y92" s="146" t="n"/>
      <c r="Z92" s="146" t="n"/>
      <c r="AA92" s="146" t="n"/>
      <c r="AB92" s="146" t="n"/>
      <c r="AC92" s="146" t="n"/>
      <c r="AD92" s="146" t="n"/>
      <c r="AE92" s="146" t="n"/>
      <c r="AF92" s="146" t="n"/>
      <c r="AG92" s="146" t="n"/>
      <c r="AH92" s="146" t="n"/>
      <c r="AI92" s="146" t="n"/>
      <c r="AJ92" s="146" t="n"/>
    </row>
    <row r="93">
      <c r="B93" s="5">
        <f>IF(AS51!$C$48="","",AS51!$C$48)</f>
        <v/>
      </c>
      <c r="C93" s="140">
        <f>IF(C$49="","",IF($B93="","",IFERROR(SUMIFS('Dvd Calendar'!$E$92:$CZ$92,'Dvd Calendar'!$E$91:$CZ$91,"&gt;"&amp;C$48,'Dvd Calendar'!$E$91:$CZ$91,"&lt;="&amp;C$49),"")))</f>
        <v/>
      </c>
      <c r="D93" s="140">
        <f>IF(D$49="","",IF($B93="","",IFERROR(SUMIFS('Dvd Calendar'!$E$92:$CZ$92,'Dvd Calendar'!$E$91:$CZ$91,"&gt;"&amp;D$48,'Dvd Calendar'!$E$91:$CZ$91,"&lt;="&amp;D$49),"")))</f>
        <v/>
      </c>
      <c r="E93" s="140">
        <f>IF(E$49="","",IF($B93="","",IFERROR(SUMIFS('Dvd Calendar'!$E$92:$CZ$92,'Dvd Calendar'!$E$91:$CZ$91,"&gt;"&amp;E$48,'Dvd Calendar'!$E$91:$CZ$91,"&lt;="&amp;E$49),"")))</f>
        <v/>
      </c>
      <c r="F93" s="140">
        <f>IF(F$49="","",IF($B93="","",IFERROR(SUMIFS('Dvd Calendar'!$E$92:$CZ$92,'Dvd Calendar'!$E$91:$CZ$91,"&gt;"&amp;F$48,'Dvd Calendar'!$E$91:$CZ$91,"&lt;="&amp;F$49),"")))</f>
        <v/>
      </c>
      <c r="G93" s="140">
        <f>IF(G$49="","",IF($B93="","",IFERROR(SUMIFS('Dvd Calendar'!$E$92:$CZ$92,'Dvd Calendar'!$E$91:$CZ$91,"&gt;"&amp;G$48,'Dvd Calendar'!$E$91:$CZ$91,"&lt;="&amp;G$49),"")))</f>
        <v/>
      </c>
      <c r="H93" s="140">
        <f>IF(H$49="","",IF($B93="","",IFERROR(SUMIFS('Dvd Calendar'!$E$92:$CZ$92,'Dvd Calendar'!$E$91:$CZ$91,"&gt;"&amp;H$48,'Dvd Calendar'!$E$91:$CZ$91,"&lt;="&amp;H$49),"")))</f>
        <v/>
      </c>
      <c r="I93" s="140">
        <f>IF(I$49="","",IF($B93="","",IFERROR(SUMIFS('Dvd Calendar'!$E$92:$CZ$92,'Dvd Calendar'!$E$91:$CZ$91,"&gt;"&amp;I$48,'Dvd Calendar'!$E$91:$CZ$91,"&lt;="&amp;I$49),"")))</f>
        <v/>
      </c>
      <c r="J93" s="140">
        <f>IF(J$49="","",IF($B93="","",IFERROR(SUMIFS('Dvd Calendar'!$E$92:$CZ$92,'Dvd Calendar'!$E$91:$CZ$91,"&gt;"&amp;J$48,'Dvd Calendar'!$E$91:$CZ$91,"&lt;="&amp;J$49),"")))</f>
        <v/>
      </c>
      <c r="K93" s="140">
        <f>IF(K$49="","",IF($B93="","",IFERROR(SUMIFS('Dvd Calendar'!$E$92:$CZ$92,'Dvd Calendar'!$E$91:$CZ$91,"&gt;"&amp;K$48,'Dvd Calendar'!$E$91:$CZ$91,"&lt;="&amp;K$49),"")))</f>
        <v/>
      </c>
      <c r="L93" s="140">
        <f>IF(L$49="","",IF($B93="","",IFERROR(SUMIFS('Dvd Calendar'!$E$92:$CZ$92,'Dvd Calendar'!$E$91:$CZ$91,"&gt;"&amp;L$48,'Dvd Calendar'!$E$91:$CZ$91,"&lt;="&amp;L$49),"")))</f>
        <v/>
      </c>
      <c r="M93" s="140">
        <f>IF(M$49="","",IF($B93="","",IFERROR(SUMIFS('Dvd Calendar'!$E$92:$CZ$92,'Dvd Calendar'!$E$91:$CZ$91,"&gt;"&amp;M$48,'Dvd Calendar'!$E$91:$CZ$91,"&lt;="&amp;M$49),"")))</f>
        <v/>
      </c>
      <c r="N93" s="140">
        <f>IF(N$49="","",IF($B93="","",IFERROR(SUMIFS('Dvd Calendar'!$E$92:$CZ$92,'Dvd Calendar'!$E$91:$CZ$91,"&gt;"&amp;N$48,'Dvd Calendar'!$E$91:$CZ$91,"&lt;="&amp;N$49),"")))</f>
        <v/>
      </c>
      <c r="O93" s="140">
        <f>IF(O$49="","",IF($B93="","",IFERROR(SUMIFS('Dvd Calendar'!$E$92:$CZ$92,'Dvd Calendar'!$E$91:$CZ$91,"&gt;"&amp;O$48,'Dvd Calendar'!$E$91:$CZ$91,"&lt;="&amp;O$49),"")))</f>
        <v/>
      </c>
      <c r="P93" s="140">
        <f>IF(P$49="","",IF($B93="","",IFERROR(SUMIFS('Dvd Calendar'!$E$92:$CZ$92,'Dvd Calendar'!$E$91:$CZ$91,"&gt;"&amp;P$48,'Dvd Calendar'!$E$91:$CZ$91,"&lt;="&amp;P$49),"")))</f>
        <v/>
      </c>
      <c r="Q93" s="140">
        <f>IF(Q$49="","",IF($B93="","",IFERROR(SUMIFS('Dvd Calendar'!$E$92:$CZ$92,'Dvd Calendar'!$E$91:$CZ$91,"&gt;"&amp;Q$48,'Dvd Calendar'!$E$91:$CZ$91,"&lt;="&amp;Q$49),"")))</f>
        <v/>
      </c>
      <c r="R93" s="140">
        <f>IF(R$49="","",IF($B93="","",IFERROR(SUMIFS('Dvd Calendar'!$E$92:$CZ$92,'Dvd Calendar'!$E$91:$CZ$91,"&gt;"&amp;R$48,'Dvd Calendar'!$E$91:$CZ$91,"&lt;="&amp;R$49),"")))</f>
        <v/>
      </c>
      <c r="U93" s="146" t="n"/>
      <c r="V93" s="146" t="n"/>
      <c r="W93" s="146" t="n"/>
      <c r="X93" s="146" t="n"/>
      <c r="Y93" s="146" t="n"/>
      <c r="Z93" s="146" t="n"/>
      <c r="AA93" s="146" t="n"/>
      <c r="AB93" s="146" t="n"/>
      <c r="AC93" s="146" t="n"/>
      <c r="AD93" s="146" t="n"/>
      <c r="AE93" s="146" t="n"/>
      <c r="AF93" s="146" t="n"/>
      <c r="AG93" s="146" t="n"/>
      <c r="AH93" s="146" t="n"/>
      <c r="AI93" s="146" t="n"/>
      <c r="AJ93" s="146" t="n"/>
    </row>
    <row r="94">
      <c r="B94" s="5">
        <f>IF(AS51!$C$49="","",AS51!$C$49)</f>
        <v/>
      </c>
      <c r="C94" s="140">
        <f>IF(C$49="","",IF($B94="","",IFERROR(SUMIFS('Dvd Calendar'!$E$94:$CZ$94,'Dvd Calendar'!$E$93:$CZ$93,"&gt;"&amp;C$48,'Dvd Calendar'!$E$93:$CZ$93,"&lt;="&amp;C$49),"")))</f>
        <v/>
      </c>
      <c r="D94" s="140">
        <f>IF(D$49="","",IF($B94="","",IFERROR(SUMIFS('Dvd Calendar'!$E$94:$CZ$94,'Dvd Calendar'!$E$93:$CZ$93,"&gt;"&amp;D$48,'Dvd Calendar'!$E$93:$CZ$93,"&lt;="&amp;D$49),"")))</f>
        <v/>
      </c>
      <c r="E94" s="140">
        <f>IF(E$49="","",IF($B94="","",IFERROR(SUMIFS('Dvd Calendar'!$E$94:$CZ$94,'Dvd Calendar'!$E$93:$CZ$93,"&gt;"&amp;E$48,'Dvd Calendar'!$E$93:$CZ$93,"&lt;="&amp;E$49),"")))</f>
        <v/>
      </c>
      <c r="F94" s="140">
        <f>IF(F$49="","",IF($B94="","",IFERROR(SUMIFS('Dvd Calendar'!$E$94:$CZ$94,'Dvd Calendar'!$E$93:$CZ$93,"&gt;"&amp;F$48,'Dvd Calendar'!$E$93:$CZ$93,"&lt;="&amp;F$49),"")))</f>
        <v/>
      </c>
      <c r="G94" s="140">
        <f>IF(G$49="","",IF($B94="","",IFERROR(SUMIFS('Dvd Calendar'!$E$94:$CZ$94,'Dvd Calendar'!$E$93:$CZ$93,"&gt;"&amp;G$48,'Dvd Calendar'!$E$93:$CZ$93,"&lt;="&amp;G$49),"")))</f>
        <v/>
      </c>
      <c r="H94" s="140">
        <f>IF(H$49="","",IF($B94="","",IFERROR(SUMIFS('Dvd Calendar'!$E$94:$CZ$94,'Dvd Calendar'!$E$93:$CZ$93,"&gt;"&amp;H$48,'Dvd Calendar'!$E$93:$CZ$93,"&lt;="&amp;H$49),"")))</f>
        <v/>
      </c>
      <c r="I94" s="140">
        <f>IF(I$49="","",IF($B94="","",IFERROR(SUMIFS('Dvd Calendar'!$E$94:$CZ$94,'Dvd Calendar'!$E$93:$CZ$93,"&gt;"&amp;I$48,'Dvd Calendar'!$E$93:$CZ$93,"&lt;="&amp;I$49),"")))</f>
        <v/>
      </c>
      <c r="J94" s="140">
        <f>IF(J$49="","",IF($B94="","",IFERROR(SUMIFS('Dvd Calendar'!$E$94:$CZ$94,'Dvd Calendar'!$E$93:$CZ$93,"&gt;"&amp;J$48,'Dvd Calendar'!$E$93:$CZ$93,"&lt;="&amp;J$49),"")))</f>
        <v/>
      </c>
      <c r="K94" s="140">
        <f>IF(K$49="","",IF($B94="","",IFERROR(SUMIFS('Dvd Calendar'!$E$94:$CZ$94,'Dvd Calendar'!$E$93:$CZ$93,"&gt;"&amp;K$48,'Dvd Calendar'!$E$93:$CZ$93,"&lt;="&amp;K$49),"")))</f>
        <v/>
      </c>
      <c r="L94" s="140">
        <f>IF(L$49="","",IF($B94="","",IFERROR(SUMIFS('Dvd Calendar'!$E$94:$CZ$94,'Dvd Calendar'!$E$93:$CZ$93,"&gt;"&amp;L$48,'Dvd Calendar'!$E$93:$CZ$93,"&lt;="&amp;L$49),"")))</f>
        <v/>
      </c>
      <c r="M94" s="140">
        <f>IF(M$49="","",IF($B94="","",IFERROR(SUMIFS('Dvd Calendar'!$E$94:$CZ$94,'Dvd Calendar'!$E$93:$CZ$93,"&gt;"&amp;M$48,'Dvd Calendar'!$E$93:$CZ$93,"&lt;="&amp;M$49),"")))</f>
        <v/>
      </c>
      <c r="N94" s="140">
        <f>IF(N$49="","",IF($B94="","",IFERROR(SUMIFS('Dvd Calendar'!$E$94:$CZ$94,'Dvd Calendar'!$E$93:$CZ$93,"&gt;"&amp;N$48,'Dvd Calendar'!$E$93:$CZ$93,"&lt;="&amp;N$49),"")))</f>
        <v/>
      </c>
      <c r="O94" s="140">
        <f>IF(O$49="","",IF($B94="","",IFERROR(SUMIFS('Dvd Calendar'!$E$94:$CZ$94,'Dvd Calendar'!$E$93:$CZ$93,"&gt;"&amp;O$48,'Dvd Calendar'!$E$93:$CZ$93,"&lt;="&amp;O$49),"")))</f>
        <v/>
      </c>
      <c r="P94" s="140">
        <f>IF(P$49="","",IF($B94="","",IFERROR(SUMIFS('Dvd Calendar'!$E$94:$CZ$94,'Dvd Calendar'!$E$93:$CZ$93,"&gt;"&amp;P$48,'Dvd Calendar'!$E$93:$CZ$93,"&lt;="&amp;P$49),"")))</f>
        <v/>
      </c>
      <c r="Q94" s="140">
        <f>IF(Q$49="","",IF($B94="","",IFERROR(SUMIFS('Dvd Calendar'!$E$94:$CZ$94,'Dvd Calendar'!$E$93:$CZ$93,"&gt;"&amp;Q$48,'Dvd Calendar'!$E$93:$CZ$93,"&lt;="&amp;Q$49),"")))</f>
        <v/>
      </c>
      <c r="R94" s="140">
        <f>IF(R$49="","",IF($B94="","",IFERROR(SUMIFS('Dvd Calendar'!$E$94:$CZ$94,'Dvd Calendar'!$E$93:$CZ$93,"&gt;"&amp;R$48,'Dvd Calendar'!$E$93:$CZ$93,"&lt;="&amp;R$49),"")))</f>
        <v/>
      </c>
      <c r="U94" s="146" t="n"/>
      <c r="V94" s="146" t="n"/>
      <c r="W94" s="146" t="n"/>
      <c r="X94" s="146" t="n"/>
      <c r="Y94" s="146" t="n"/>
      <c r="Z94" s="146" t="n"/>
      <c r="AA94" s="146" t="n"/>
      <c r="AB94" s="146" t="n"/>
      <c r="AC94" s="146" t="n"/>
      <c r="AD94" s="146" t="n"/>
      <c r="AE94" s="146" t="n"/>
      <c r="AF94" s="146" t="n"/>
      <c r="AG94" s="146" t="n"/>
      <c r="AH94" s="146" t="n"/>
      <c r="AI94" s="146" t="n"/>
      <c r="AJ94" s="146" t="n"/>
    </row>
    <row r="95">
      <c r="B95" s="5">
        <f>IF(AS51!$C$50="","",AS51!$C$50)</f>
        <v/>
      </c>
      <c r="C95" s="140">
        <f>IF(C$49="","",IF($B95="","",IFERROR(SUMIFS('Dvd Calendar'!$E$96:$CZ$96,'Dvd Calendar'!$E$95:$CZ$95,"&gt;"&amp;C$48,'Dvd Calendar'!$E$95:$CZ$95,"&lt;="&amp;C$49),"")))</f>
        <v/>
      </c>
      <c r="D95" s="140">
        <f>IF(D$49="","",IF($B95="","",IFERROR(SUMIFS('Dvd Calendar'!$E$96:$CZ$96,'Dvd Calendar'!$E$95:$CZ$95,"&gt;"&amp;D$48,'Dvd Calendar'!$E$95:$CZ$95,"&lt;="&amp;D$49),"")))</f>
        <v/>
      </c>
      <c r="E95" s="140">
        <f>IF(E$49="","",IF($B95="","",IFERROR(SUMIFS('Dvd Calendar'!$E$96:$CZ$96,'Dvd Calendar'!$E$95:$CZ$95,"&gt;"&amp;E$48,'Dvd Calendar'!$E$95:$CZ$95,"&lt;="&amp;E$49),"")))</f>
        <v/>
      </c>
      <c r="F95" s="140">
        <f>IF(F$49="","",IF($B95="","",IFERROR(SUMIFS('Dvd Calendar'!$E$96:$CZ$96,'Dvd Calendar'!$E$95:$CZ$95,"&gt;"&amp;F$48,'Dvd Calendar'!$E$95:$CZ$95,"&lt;="&amp;F$49),"")))</f>
        <v/>
      </c>
      <c r="G95" s="140">
        <f>IF(G$49="","",IF($B95="","",IFERROR(SUMIFS('Dvd Calendar'!$E$96:$CZ$96,'Dvd Calendar'!$E$95:$CZ$95,"&gt;"&amp;G$48,'Dvd Calendar'!$E$95:$CZ$95,"&lt;="&amp;G$49),"")))</f>
        <v/>
      </c>
      <c r="H95" s="140">
        <f>IF(H$49="","",IF($B95="","",IFERROR(SUMIFS('Dvd Calendar'!$E$96:$CZ$96,'Dvd Calendar'!$E$95:$CZ$95,"&gt;"&amp;H$48,'Dvd Calendar'!$E$95:$CZ$95,"&lt;="&amp;H$49),"")))</f>
        <v/>
      </c>
      <c r="I95" s="140">
        <f>IF(I$49="","",IF($B95="","",IFERROR(SUMIFS('Dvd Calendar'!$E$96:$CZ$96,'Dvd Calendar'!$E$95:$CZ$95,"&gt;"&amp;I$48,'Dvd Calendar'!$E$95:$CZ$95,"&lt;="&amp;I$49),"")))</f>
        <v/>
      </c>
      <c r="J95" s="140">
        <f>IF(J$49="","",IF($B95="","",IFERROR(SUMIFS('Dvd Calendar'!$E$96:$CZ$96,'Dvd Calendar'!$E$95:$CZ$95,"&gt;"&amp;J$48,'Dvd Calendar'!$E$95:$CZ$95,"&lt;="&amp;J$49),"")))</f>
        <v/>
      </c>
      <c r="K95" s="140">
        <f>IF(K$49="","",IF($B95="","",IFERROR(SUMIFS('Dvd Calendar'!$E$96:$CZ$96,'Dvd Calendar'!$E$95:$CZ$95,"&gt;"&amp;K$48,'Dvd Calendar'!$E$95:$CZ$95,"&lt;="&amp;K$49),"")))</f>
        <v/>
      </c>
      <c r="L95" s="140">
        <f>IF(L$49="","",IF($B95="","",IFERROR(SUMIFS('Dvd Calendar'!$E$96:$CZ$96,'Dvd Calendar'!$E$95:$CZ$95,"&gt;"&amp;L$48,'Dvd Calendar'!$E$95:$CZ$95,"&lt;="&amp;L$49),"")))</f>
        <v/>
      </c>
      <c r="M95" s="140">
        <f>IF(M$49="","",IF($B95="","",IFERROR(SUMIFS('Dvd Calendar'!$E$96:$CZ$96,'Dvd Calendar'!$E$95:$CZ$95,"&gt;"&amp;M$48,'Dvd Calendar'!$E$95:$CZ$95,"&lt;="&amp;M$49),"")))</f>
        <v/>
      </c>
      <c r="N95" s="140">
        <f>IF(N$49="","",IF($B95="","",IFERROR(SUMIFS('Dvd Calendar'!$E$96:$CZ$96,'Dvd Calendar'!$E$95:$CZ$95,"&gt;"&amp;N$48,'Dvd Calendar'!$E$95:$CZ$95,"&lt;="&amp;N$49),"")))</f>
        <v/>
      </c>
      <c r="O95" s="140">
        <f>IF(O$49="","",IF($B95="","",IFERROR(SUMIFS('Dvd Calendar'!$E$96:$CZ$96,'Dvd Calendar'!$E$95:$CZ$95,"&gt;"&amp;O$48,'Dvd Calendar'!$E$95:$CZ$95,"&lt;="&amp;O$49),"")))</f>
        <v/>
      </c>
      <c r="P95" s="140">
        <f>IF(P$49="","",IF($B95="","",IFERROR(SUMIFS('Dvd Calendar'!$E$96:$CZ$96,'Dvd Calendar'!$E$95:$CZ$95,"&gt;"&amp;P$48,'Dvd Calendar'!$E$95:$CZ$95,"&lt;="&amp;P$49),"")))</f>
        <v/>
      </c>
      <c r="Q95" s="140">
        <f>IF(Q$49="","",IF($B95="","",IFERROR(SUMIFS('Dvd Calendar'!$E$96:$CZ$96,'Dvd Calendar'!$E$95:$CZ$95,"&gt;"&amp;Q$48,'Dvd Calendar'!$E$95:$CZ$95,"&lt;="&amp;Q$49),"")))</f>
        <v/>
      </c>
      <c r="R95" s="140">
        <f>IF(R$49="","",IF($B95="","",IFERROR(SUMIFS('Dvd Calendar'!$E$96:$CZ$96,'Dvd Calendar'!$E$95:$CZ$95,"&gt;"&amp;R$48,'Dvd Calendar'!$E$95:$CZ$95,"&lt;="&amp;R$49),"")))</f>
        <v/>
      </c>
      <c r="U95" s="146" t="n"/>
      <c r="V95" s="146" t="n"/>
      <c r="W95" s="146" t="n"/>
      <c r="X95" s="146" t="n"/>
      <c r="Y95" s="146" t="n"/>
      <c r="Z95" s="146" t="n"/>
      <c r="AA95" s="146" t="n"/>
      <c r="AB95" s="146" t="n"/>
      <c r="AC95" s="146" t="n"/>
      <c r="AD95" s="146" t="n"/>
      <c r="AE95" s="146" t="n"/>
      <c r="AF95" s="146" t="n"/>
      <c r="AG95" s="146" t="n"/>
      <c r="AH95" s="146" t="n"/>
      <c r="AI95" s="146" t="n"/>
      <c r="AJ95" s="146" t="n"/>
    </row>
    <row r="96">
      <c r="B96" s="5">
        <f>IF(AS51!$C$51="","",AS51!$C$51)</f>
        <v/>
      </c>
      <c r="C96" s="140">
        <f>IF(C$49="","",IF($B96="","",IFERROR(SUMIFS('Dvd Calendar'!$E$98:$CZ$98,'Dvd Calendar'!$E$97:$CZ$97,"&gt;"&amp;C$48,'Dvd Calendar'!$E$97:$CZ$97,"&lt;="&amp;C$49),"")))</f>
        <v/>
      </c>
      <c r="D96" s="140">
        <f>IF(D$49="","",IF($B96="","",IFERROR(SUMIFS('Dvd Calendar'!$E$98:$CZ$98,'Dvd Calendar'!$E$97:$CZ$97,"&gt;"&amp;D$48,'Dvd Calendar'!$E$97:$CZ$97,"&lt;="&amp;D$49),"")))</f>
        <v/>
      </c>
      <c r="E96" s="140">
        <f>IF(E$49="","",IF($B96="","",IFERROR(SUMIFS('Dvd Calendar'!$E$98:$CZ$98,'Dvd Calendar'!$E$97:$CZ$97,"&gt;"&amp;E$48,'Dvd Calendar'!$E$97:$CZ$97,"&lt;="&amp;E$49),"")))</f>
        <v/>
      </c>
      <c r="F96" s="140">
        <f>IF(F$49="","",IF($B96="","",IFERROR(SUMIFS('Dvd Calendar'!$E$98:$CZ$98,'Dvd Calendar'!$E$97:$CZ$97,"&gt;"&amp;F$48,'Dvd Calendar'!$E$97:$CZ$97,"&lt;="&amp;F$49),"")))</f>
        <v/>
      </c>
      <c r="G96" s="140">
        <f>IF(G$49="","",IF($B96="","",IFERROR(SUMIFS('Dvd Calendar'!$E$98:$CZ$98,'Dvd Calendar'!$E$97:$CZ$97,"&gt;"&amp;G$48,'Dvd Calendar'!$E$97:$CZ$97,"&lt;="&amp;G$49),"")))</f>
        <v/>
      </c>
      <c r="H96" s="140">
        <f>IF(H$49="","",IF($B96="","",IFERROR(SUMIFS('Dvd Calendar'!$E$98:$CZ$98,'Dvd Calendar'!$E$97:$CZ$97,"&gt;"&amp;H$48,'Dvd Calendar'!$E$97:$CZ$97,"&lt;="&amp;H$49),"")))</f>
        <v/>
      </c>
      <c r="I96" s="140">
        <f>IF(I$49="","",IF($B96="","",IFERROR(SUMIFS('Dvd Calendar'!$E$98:$CZ$98,'Dvd Calendar'!$E$97:$CZ$97,"&gt;"&amp;I$48,'Dvd Calendar'!$E$97:$CZ$97,"&lt;="&amp;I$49),"")))</f>
        <v/>
      </c>
      <c r="J96" s="140">
        <f>IF(J$49="","",IF($B96="","",IFERROR(SUMIFS('Dvd Calendar'!$E$98:$CZ$98,'Dvd Calendar'!$E$97:$CZ$97,"&gt;"&amp;J$48,'Dvd Calendar'!$E$97:$CZ$97,"&lt;="&amp;J$49),"")))</f>
        <v/>
      </c>
      <c r="K96" s="140">
        <f>IF(K$49="","",IF($B96="","",IFERROR(SUMIFS('Dvd Calendar'!$E$98:$CZ$98,'Dvd Calendar'!$E$97:$CZ$97,"&gt;"&amp;K$48,'Dvd Calendar'!$E$97:$CZ$97,"&lt;="&amp;K$49),"")))</f>
        <v/>
      </c>
      <c r="L96" s="140">
        <f>IF(L$49="","",IF($B96="","",IFERROR(SUMIFS('Dvd Calendar'!$E$98:$CZ$98,'Dvd Calendar'!$E$97:$CZ$97,"&gt;"&amp;L$48,'Dvd Calendar'!$E$97:$CZ$97,"&lt;="&amp;L$49),"")))</f>
        <v/>
      </c>
      <c r="M96" s="140">
        <f>IF(M$49="","",IF($B96="","",IFERROR(SUMIFS('Dvd Calendar'!$E$98:$CZ$98,'Dvd Calendar'!$E$97:$CZ$97,"&gt;"&amp;M$48,'Dvd Calendar'!$E$97:$CZ$97,"&lt;="&amp;M$49),"")))</f>
        <v/>
      </c>
      <c r="N96" s="140">
        <f>IF(N$49="","",IF($B96="","",IFERROR(SUMIFS('Dvd Calendar'!$E$98:$CZ$98,'Dvd Calendar'!$E$97:$CZ$97,"&gt;"&amp;N$48,'Dvd Calendar'!$E$97:$CZ$97,"&lt;="&amp;N$49),"")))</f>
        <v/>
      </c>
      <c r="O96" s="140">
        <f>IF(O$49="","",IF($B96="","",IFERROR(SUMIFS('Dvd Calendar'!$E$98:$CZ$98,'Dvd Calendar'!$E$97:$CZ$97,"&gt;"&amp;O$48,'Dvd Calendar'!$E$97:$CZ$97,"&lt;="&amp;O$49),"")))</f>
        <v/>
      </c>
      <c r="P96" s="140">
        <f>IF(P$49="","",IF($B96="","",IFERROR(SUMIFS('Dvd Calendar'!$E$98:$CZ$98,'Dvd Calendar'!$E$97:$CZ$97,"&gt;"&amp;P$48,'Dvd Calendar'!$E$97:$CZ$97,"&lt;="&amp;P$49),"")))</f>
        <v/>
      </c>
      <c r="Q96" s="140">
        <f>IF(Q$49="","",IF($B96="","",IFERROR(SUMIFS('Dvd Calendar'!$E$98:$CZ$98,'Dvd Calendar'!$E$97:$CZ$97,"&gt;"&amp;Q$48,'Dvd Calendar'!$E$97:$CZ$97,"&lt;="&amp;Q$49),"")))</f>
        <v/>
      </c>
      <c r="R96" s="140">
        <f>IF(R$49="","",IF($B96="","",IFERROR(SUMIFS('Dvd Calendar'!$E$98:$CZ$98,'Dvd Calendar'!$E$97:$CZ$97,"&gt;"&amp;R$48,'Dvd Calendar'!$E$97:$CZ$97,"&lt;="&amp;R$49),"")))</f>
        <v/>
      </c>
      <c r="U96" s="146" t="n"/>
      <c r="V96" s="146" t="n"/>
      <c r="W96" s="146" t="n"/>
      <c r="X96" s="146" t="n"/>
      <c r="Y96" s="146" t="n"/>
      <c r="Z96" s="146" t="n"/>
      <c r="AA96" s="146" t="n"/>
      <c r="AB96" s="146" t="n"/>
      <c r="AC96" s="146" t="n"/>
      <c r="AD96" s="146" t="n"/>
      <c r="AE96" s="146" t="n"/>
      <c r="AF96" s="146" t="n"/>
      <c r="AG96" s="146" t="n"/>
      <c r="AH96" s="146" t="n"/>
      <c r="AI96" s="146" t="n"/>
      <c r="AJ96" s="146" t="n"/>
    </row>
    <row r="97">
      <c r="B97" s="5">
        <f>IF(AS51!$C$52="","",AS51!$C$52)</f>
        <v/>
      </c>
      <c r="C97" s="140">
        <f>IF(C$49="","",IF($B97="","",IFERROR(SUMIFS('Dvd Calendar'!$E$100:$CZ$100,'Dvd Calendar'!$E$99:$CZ$99,"&gt;"&amp;C$48,'Dvd Calendar'!$E$99:$CZ$99,"&lt;="&amp;C$49),"")))</f>
        <v/>
      </c>
      <c r="D97" s="140">
        <f>IF(D$49="","",IF($B97="","",IFERROR(SUMIFS('Dvd Calendar'!$E$100:$CZ$100,'Dvd Calendar'!$E$99:$CZ$99,"&gt;"&amp;D$48,'Dvd Calendar'!$E$99:$CZ$99,"&lt;="&amp;D$49),"")))</f>
        <v/>
      </c>
      <c r="E97" s="140">
        <f>IF(E$49="","",IF($B97="","",IFERROR(SUMIFS('Dvd Calendar'!$E$100:$CZ$100,'Dvd Calendar'!$E$99:$CZ$99,"&gt;"&amp;E$48,'Dvd Calendar'!$E$99:$CZ$99,"&lt;="&amp;E$49),"")))</f>
        <v/>
      </c>
      <c r="F97" s="140">
        <f>IF(F$49="","",IF($B97="","",IFERROR(SUMIFS('Dvd Calendar'!$E$100:$CZ$100,'Dvd Calendar'!$E$99:$CZ$99,"&gt;"&amp;F$48,'Dvd Calendar'!$E$99:$CZ$99,"&lt;="&amp;F$49),"")))</f>
        <v/>
      </c>
      <c r="G97" s="140">
        <f>IF(G$49="","",IF($B97="","",IFERROR(SUMIFS('Dvd Calendar'!$E$100:$CZ$100,'Dvd Calendar'!$E$99:$CZ$99,"&gt;"&amp;G$48,'Dvd Calendar'!$E$99:$CZ$99,"&lt;="&amp;G$49),"")))</f>
        <v/>
      </c>
      <c r="H97" s="140">
        <f>IF(H$49="","",IF($B97="","",IFERROR(SUMIFS('Dvd Calendar'!$E$100:$CZ$100,'Dvd Calendar'!$E$99:$CZ$99,"&gt;"&amp;H$48,'Dvd Calendar'!$E$99:$CZ$99,"&lt;="&amp;H$49),"")))</f>
        <v/>
      </c>
      <c r="I97" s="140">
        <f>IF(I$49="","",IF($B97="","",IFERROR(SUMIFS('Dvd Calendar'!$E$100:$CZ$100,'Dvd Calendar'!$E$99:$CZ$99,"&gt;"&amp;I$48,'Dvd Calendar'!$E$99:$CZ$99,"&lt;="&amp;I$49),"")))</f>
        <v/>
      </c>
      <c r="J97" s="140">
        <f>IF(J$49="","",IF($B97="","",IFERROR(SUMIFS('Dvd Calendar'!$E$100:$CZ$100,'Dvd Calendar'!$E$99:$CZ$99,"&gt;"&amp;J$48,'Dvd Calendar'!$E$99:$CZ$99,"&lt;="&amp;J$49),"")))</f>
        <v/>
      </c>
      <c r="K97" s="140">
        <f>IF(K$49="","",IF($B97="","",IFERROR(SUMIFS('Dvd Calendar'!$E$100:$CZ$100,'Dvd Calendar'!$E$99:$CZ$99,"&gt;"&amp;K$48,'Dvd Calendar'!$E$99:$CZ$99,"&lt;="&amp;K$49),"")))</f>
        <v/>
      </c>
      <c r="L97" s="140">
        <f>IF(L$49="","",IF($B97="","",IFERROR(SUMIFS('Dvd Calendar'!$E$100:$CZ$100,'Dvd Calendar'!$E$99:$CZ$99,"&gt;"&amp;L$48,'Dvd Calendar'!$E$99:$CZ$99,"&lt;="&amp;L$49),"")))</f>
        <v/>
      </c>
      <c r="M97" s="140">
        <f>IF(M$49="","",IF($B97="","",IFERROR(SUMIFS('Dvd Calendar'!$E$100:$CZ$100,'Dvd Calendar'!$E$99:$CZ$99,"&gt;"&amp;M$48,'Dvd Calendar'!$E$99:$CZ$99,"&lt;="&amp;M$49),"")))</f>
        <v/>
      </c>
      <c r="N97" s="140">
        <f>IF(N$49="","",IF($B97="","",IFERROR(SUMIFS('Dvd Calendar'!$E$100:$CZ$100,'Dvd Calendar'!$E$99:$CZ$99,"&gt;"&amp;N$48,'Dvd Calendar'!$E$99:$CZ$99,"&lt;="&amp;N$49),"")))</f>
        <v/>
      </c>
      <c r="O97" s="140">
        <f>IF(O$49="","",IF($B97="","",IFERROR(SUMIFS('Dvd Calendar'!$E$100:$CZ$100,'Dvd Calendar'!$E$99:$CZ$99,"&gt;"&amp;O$48,'Dvd Calendar'!$E$99:$CZ$99,"&lt;="&amp;O$49),"")))</f>
        <v/>
      </c>
      <c r="P97" s="140">
        <f>IF(P$49="","",IF($B97="","",IFERROR(SUMIFS('Dvd Calendar'!$E$100:$CZ$100,'Dvd Calendar'!$E$99:$CZ$99,"&gt;"&amp;P$48,'Dvd Calendar'!$E$99:$CZ$99,"&lt;="&amp;P$49),"")))</f>
        <v/>
      </c>
      <c r="Q97" s="140">
        <f>IF(Q$49="","",IF($B97="","",IFERROR(SUMIFS('Dvd Calendar'!$E$100:$CZ$100,'Dvd Calendar'!$E$99:$CZ$99,"&gt;"&amp;Q$48,'Dvd Calendar'!$E$99:$CZ$99,"&lt;="&amp;Q$49),"")))</f>
        <v/>
      </c>
      <c r="R97" s="140">
        <f>IF(R$49="","",IF($B97="","",IFERROR(SUMIFS('Dvd Calendar'!$E$100:$CZ$100,'Dvd Calendar'!$E$99:$CZ$99,"&gt;"&amp;R$48,'Dvd Calendar'!$E$99:$CZ$99,"&lt;="&amp;R$49),"")))</f>
        <v/>
      </c>
      <c r="U97" s="146" t="n"/>
      <c r="V97" s="146" t="n"/>
      <c r="W97" s="146" t="n"/>
      <c r="X97" s="146" t="n"/>
      <c r="Y97" s="146" t="n"/>
      <c r="Z97" s="146" t="n"/>
      <c r="AA97" s="146" t="n"/>
      <c r="AB97" s="146" t="n"/>
      <c r="AC97" s="146" t="n"/>
      <c r="AD97" s="146" t="n"/>
      <c r="AE97" s="146" t="n"/>
      <c r="AF97" s="146" t="n"/>
      <c r="AG97" s="146" t="n"/>
      <c r="AH97" s="146" t="n"/>
      <c r="AI97" s="146" t="n"/>
      <c r="AJ97" s="146" t="n"/>
    </row>
    <row r="98">
      <c r="B98" s="5">
        <f>IF(AS51!$C$53="","",AS51!$C$53)</f>
        <v/>
      </c>
      <c r="C98" s="140">
        <f>IF(C$49="","",IF($B98="","",IFERROR(SUMIFS('Dvd Calendar'!$E$102:$CZ$102,'Dvd Calendar'!$E$101:$CZ$101,"&gt;"&amp;C$48,'Dvd Calendar'!$E$101:$CZ$101,"&lt;="&amp;C$49),"")))</f>
        <v/>
      </c>
      <c r="D98" s="140">
        <f>IF(D$49="","",IF($B98="","",IFERROR(SUMIFS('Dvd Calendar'!$E$102:$CZ$102,'Dvd Calendar'!$E$101:$CZ$101,"&gt;"&amp;D$48,'Dvd Calendar'!$E$101:$CZ$101,"&lt;="&amp;D$49),"")))</f>
        <v/>
      </c>
      <c r="E98" s="140">
        <f>IF(E$49="","",IF($B98="","",IFERROR(SUMIFS('Dvd Calendar'!$E$102:$CZ$102,'Dvd Calendar'!$E$101:$CZ$101,"&gt;"&amp;E$48,'Dvd Calendar'!$E$101:$CZ$101,"&lt;="&amp;E$49),"")))</f>
        <v/>
      </c>
      <c r="F98" s="140">
        <f>IF(F$49="","",IF($B98="","",IFERROR(SUMIFS('Dvd Calendar'!$E$102:$CZ$102,'Dvd Calendar'!$E$101:$CZ$101,"&gt;"&amp;F$48,'Dvd Calendar'!$E$101:$CZ$101,"&lt;="&amp;F$49),"")))</f>
        <v/>
      </c>
      <c r="G98" s="140">
        <f>IF(G$49="","",IF($B98="","",IFERROR(SUMIFS('Dvd Calendar'!$E$102:$CZ$102,'Dvd Calendar'!$E$101:$CZ$101,"&gt;"&amp;G$48,'Dvd Calendar'!$E$101:$CZ$101,"&lt;="&amp;G$49),"")))</f>
        <v/>
      </c>
      <c r="H98" s="140">
        <f>IF(H$49="","",IF($B98="","",IFERROR(SUMIFS('Dvd Calendar'!$E$102:$CZ$102,'Dvd Calendar'!$E$101:$CZ$101,"&gt;"&amp;H$48,'Dvd Calendar'!$E$101:$CZ$101,"&lt;="&amp;H$49),"")))</f>
        <v/>
      </c>
      <c r="I98" s="140">
        <f>IF(I$49="","",IF($B98="","",IFERROR(SUMIFS('Dvd Calendar'!$E$102:$CZ$102,'Dvd Calendar'!$E$101:$CZ$101,"&gt;"&amp;I$48,'Dvd Calendar'!$E$101:$CZ$101,"&lt;="&amp;I$49),"")))</f>
        <v/>
      </c>
      <c r="J98" s="140">
        <f>IF(J$49="","",IF($B98="","",IFERROR(SUMIFS('Dvd Calendar'!$E$102:$CZ$102,'Dvd Calendar'!$E$101:$CZ$101,"&gt;"&amp;J$48,'Dvd Calendar'!$E$101:$CZ$101,"&lt;="&amp;J$49),"")))</f>
        <v/>
      </c>
      <c r="K98" s="140">
        <f>IF(K$49="","",IF($B98="","",IFERROR(SUMIFS('Dvd Calendar'!$E$102:$CZ$102,'Dvd Calendar'!$E$101:$CZ$101,"&gt;"&amp;K$48,'Dvd Calendar'!$E$101:$CZ$101,"&lt;="&amp;K$49),"")))</f>
        <v/>
      </c>
      <c r="L98" s="140">
        <f>IF(L$49="","",IF($B98="","",IFERROR(SUMIFS('Dvd Calendar'!$E$102:$CZ$102,'Dvd Calendar'!$E$101:$CZ$101,"&gt;"&amp;L$48,'Dvd Calendar'!$E$101:$CZ$101,"&lt;="&amp;L$49),"")))</f>
        <v/>
      </c>
      <c r="M98" s="140">
        <f>IF(M$49="","",IF($B98="","",IFERROR(SUMIFS('Dvd Calendar'!$E$102:$CZ$102,'Dvd Calendar'!$E$101:$CZ$101,"&gt;"&amp;M$48,'Dvd Calendar'!$E$101:$CZ$101,"&lt;="&amp;M$49),"")))</f>
        <v/>
      </c>
      <c r="N98" s="140">
        <f>IF(N$49="","",IF($B98="","",IFERROR(SUMIFS('Dvd Calendar'!$E$102:$CZ$102,'Dvd Calendar'!$E$101:$CZ$101,"&gt;"&amp;N$48,'Dvd Calendar'!$E$101:$CZ$101,"&lt;="&amp;N$49),"")))</f>
        <v/>
      </c>
      <c r="O98" s="140">
        <f>IF(O$49="","",IF($B98="","",IFERROR(SUMIFS('Dvd Calendar'!$E$102:$CZ$102,'Dvd Calendar'!$E$101:$CZ$101,"&gt;"&amp;O$48,'Dvd Calendar'!$E$101:$CZ$101,"&lt;="&amp;O$49),"")))</f>
        <v/>
      </c>
      <c r="P98" s="140">
        <f>IF(P$49="","",IF($B98="","",IFERROR(SUMIFS('Dvd Calendar'!$E$102:$CZ$102,'Dvd Calendar'!$E$101:$CZ$101,"&gt;"&amp;P$48,'Dvd Calendar'!$E$101:$CZ$101,"&lt;="&amp;P$49),"")))</f>
        <v/>
      </c>
      <c r="Q98" s="140">
        <f>IF(Q$49="","",IF($B98="","",IFERROR(SUMIFS('Dvd Calendar'!$E$102:$CZ$102,'Dvd Calendar'!$E$101:$CZ$101,"&gt;"&amp;Q$48,'Dvd Calendar'!$E$101:$CZ$101,"&lt;="&amp;Q$49),"")))</f>
        <v/>
      </c>
      <c r="R98" s="140">
        <f>IF(R$49="","",IF($B98="","",IFERROR(SUMIFS('Dvd Calendar'!$E$102:$CZ$102,'Dvd Calendar'!$E$101:$CZ$101,"&gt;"&amp;R$48,'Dvd Calendar'!$E$101:$CZ$101,"&lt;="&amp;R$49),"")))</f>
        <v/>
      </c>
      <c r="U98" s="146" t="n"/>
      <c r="V98" s="146" t="n"/>
      <c r="W98" s="146" t="n"/>
      <c r="X98" s="146" t="n"/>
      <c r="Y98" s="146" t="n"/>
      <c r="Z98" s="146" t="n"/>
      <c r="AA98" s="146" t="n"/>
      <c r="AB98" s="146" t="n"/>
      <c r="AC98" s="146" t="n"/>
      <c r="AD98" s="146" t="n"/>
      <c r="AE98" s="146" t="n"/>
      <c r="AF98" s="146" t="n"/>
      <c r="AG98" s="146" t="n"/>
      <c r="AH98" s="146" t="n"/>
      <c r="AI98" s="146" t="n"/>
      <c r="AJ98" s="146" t="n"/>
    </row>
    <row r="99">
      <c r="B99" s="5">
        <f>IF(AS51!$C$54="","",AS51!$C$54)</f>
        <v/>
      </c>
      <c r="C99" s="140">
        <f>IF(C$49="","",IF($B99="","",IFERROR(SUMIFS('Dvd Calendar'!$E$104:$CZ$104,'Dvd Calendar'!$E$103:$CZ$103,"&gt;"&amp;C$48,'Dvd Calendar'!$E$103:$CZ$103,"&lt;="&amp;C$49),"")))</f>
        <v/>
      </c>
      <c r="D99" s="140">
        <f>IF(D$49="","",IF($B99="","",IFERROR(SUMIFS('Dvd Calendar'!$E$104:$CZ$104,'Dvd Calendar'!$E$103:$CZ$103,"&gt;"&amp;D$48,'Dvd Calendar'!$E$103:$CZ$103,"&lt;="&amp;D$49),"")))</f>
        <v/>
      </c>
      <c r="E99" s="140">
        <f>IF(E$49="","",IF($B99="","",IFERROR(SUMIFS('Dvd Calendar'!$E$104:$CZ$104,'Dvd Calendar'!$E$103:$CZ$103,"&gt;"&amp;E$48,'Dvd Calendar'!$E$103:$CZ$103,"&lt;="&amp;E$49),"")))</f>
        <v/>
      </c>
      <c r="F99" s="140">
        <f>IF(F$49="","",IF($B99="","",IFERROR(SUMIFS('Dvd Calendar'!$E$104:$CZ$104,'Dvd Calendar'!$E$103:$CZ$103,"&gt;"&amp;F$48,'Dvd Calendar'!$E$103:$CZ$103,"&lt;="&amp;F$49),"")))</f>
        <v/>
      </c>
      <c r="G99" s="140">
        <f>IF(G$49="","",IF($B99="","",IFERROR(SUMIFS('Dvd Calendar'!$E$104:$CZ$104,'Dvd Calendar'!$E$103:$CZ$103,"&gt;"&amp;G$48,'Dvd Calendar'!$E$103:$CZ$103,"&lt;="&amp;G$49),"")))</f>
        <v/>
      </c>
      <c r="H99" s="140">
        <f>IF(H$49="","",IF($B99="","",IFERROR(SUMIFS('Dvd Calendar'!$E$104:$CZ$104,'Dvd Calendar'!$E$103:$CZ$103,"&gt;"&amp;H$48,'Dvd Calendar'!$E$103:$CZ$103,"&lt;="&amp;H$49),"")))</f>
        <v/>
      </c>
      <c r="I99" s="140">
        <f>IF(I$49="","",IF($B99="","",IFERROR(SUMIFS('Dvd Calendar'!$E$104:$CZ$104,'Dvd Calendar'!$E$103:$CZ$103,"&gt;"&amp;I$48,'Dvd Calendar'!$E$103:$CZ$103,"&lt;="&amp;I$49),"")))</f>
        <v/>
      </c>
      <c r="J99" s="140">
        <f>IF(J$49="","",IF($B99="","",IFERROR(SUMIFS('Dvd Calendar'!$E$104:$CZ$104,'Dvd Calendar'!$E$103:$CZ$103,"&gt;"&amp;J$48,'Dvd Calendar'!$E$103:$CZ$103,"&lt;="&amp;J$49),"")))</f>
        <v/>
      </c>
      <c r="K99" s="140">
        <f>IF(K$49="","",IF($B99="","",IFERROR(SUMIFS('Dvd Calendar'!$E$104:$CZ$104,'Dvd Calendar'!$E$103:$CZ$103,"&gt;"&amp;K$48,'Dvd Calendar'!$E$103:$CZ$103,"&lt;="&amp;K$49),"")))</f>
        <v/>
      </c>
      <c r="L99" s="140">
        <f>IF(L$49="","",IF($B99="","",IFERROR(SUMIFS('Dvd Calendar'!$E$104:$CZ$104,'Dvd Calendar'!$E$103:$CZ$103,"&gt;"&amp;L$48,'Dvd Calendar'!$E$103:$CZ$103,"&lt;="&amp;L$49),"")))</f>
        <v/>
      </c>
      <c r="M99" s="140">
        <f>IF(M$49="","",IF($B99="","",IFERROR(SUMIFS('Dvd Calendar'!$E$104:$CZ$104,'Dvd Calendar'!$E$103:$CZ$103,"&gt;"&amp;M$48,'Dvd Calendar'!$E$103:$CZ$103,"&lt;="&amp;M$49),"")))</f>
        <v/>
      </c>
      <c r="N99" s="140">
        <f>IF(N$49="","",IF($B99="","",IFERROR(SUMIFS('Dvd Calendar'!$E$104:$CZ$104,'Dvd Calendar'!$E$103:$CZ$103,"&gt;"&amp;N$48,'Dvd Calendar'!$E$103:$CZ$103,"&lt;="&amp;N$49),"")))</f>
        <v/>
      </c>
      <c r="O99" s="140">
        <f>IF(O$49="","",IF($B99="","",IFERROR(SUMIFS('Dvd Calendar'!$E$104:$CZ$104,'Dvd Calendar'!$E$103:$CZ$103,"&gt;"&amp;O$48,'Dvd Calendar'!$E$103:$CZ$103,"&lt;="&amp;O$49),"")))</f>
        <v/>
      </c>
      <c r="P99" s="140">
        <f>IF(P$49="","",IF($B99="","",IFERROR(SUMIFS('Dvd Calendar'!$E$104:$CZ$104,'Dvd Calendar'!$E$103:$CZ$103,"&gt;"&amp;P$48,'Dvd Calendar'!$E$103:$CZ$103,"&lt;="&amp;P$49),"")))</f>
        <v/>
      </c>
      <c r="Q99" s="140">
        <f>IF(Q$49="","",IF($B99="","",IFERROR(SUMIFS('Dvd Calendar'!$E$104:$CZ$104,'Dvd Calendar'!$E$103:$CZ$103,"&gt;"&amp;Q$48,'Dvd Calendar'!$E$103:$CZ$103,"&lt;="&amp;Q$49),"")))</f>
        <v/>
      </c>
      <c r="R99" s="140">
        <f>IF(R$49="","",IF($B99="","",IFERROR(SUMIFS('Dvd Calendar'!$E$104:$CZ$104,'Dvd Calendar'!$E$103:$CZ$103,"&gt;"&amp;R$48,'Dvd Calendar'!$E$103:$CZ$103,"&lt;="&amp;R$49),"")))</f>
        <v/>
      </c>
      <c r="U99" s="146" t="n"/>
      <c r="V99" s="146" t="n"/>
      <c r="W99" s="146" t="n"/>
      <c r="X99" s="146" t="n"/>
      <c r="Y99" s="146" t="n"/>
      <c r="Z99" s="146" t="n"/>
      <c r="AA99" s="146" t="n"/>
      <c r="AB99" s="146" t="n"/>
      <c r="AC99" s="146" t="n"/>
      <c r="AD99" s="146" t="n"/>
      <c r="AE99" s="146" t="n"/>
      <c r="AF99" s="146" t="n"/>
      <c r="AG99" s="146" t="n"/>
      <c r="AH99" s="146" t="n"/>
      <c r="AI99" s="146" t="n"/>
      <c r="AJ99" s="146" t="n"/>
    </row>
    <row r="100">
      <c r="B100" s="5">
        <f>IF(AS51!$C$55="","",AS51!$C$55)</f>
        <v/>
      </c>
      <c r="C100" s="140">
        <f>IF(C$49="","",IF($B100="","",IFERROR(SUMIFS('Dvd Calendar'!$E$106:$CZ$106,'Dvd Calendar'!$E$105:$CZ$105,"&gt;"&amp;C$48,'Dvd Calendar'!$E$105:$CZ$105,"&lt;="&amp;C$49),"")))</f>
        <v/>
      </c>
      <c r="D100" s="140">
        <f>IF(D$49="","",IF($B100="","",IFERROR(SUMIFS('Dvd Calendar'!$E$106:$CZ$106,'Dvd Calendar'!$E$105:$CZ$105,"&gt;"&amp;D$48,'Dvd Calendar'!$E$105:$CZ$105,"&lt;="&amp;D$49),"")))</f>
        <v/>
      </c>
      <c r="E100" s="140">
        <f>IF(E$49="","",IF($B100="","",IFERROR(SUMIFS('Dvd Calendar'!$E$106:$CZ$106,'Dvd Calendar'!$E$105:$CZ$105,"&gt;"&amp;E$48,'Dvd Calendar'!$E$105:$CZ$105,"&lt;="&amp;E$49),"")))</f>
        <v/>
      </c>
      <c r="F100" s="140">
        <f>IF(F$49="","",IF($B100="","",IFERROR(SUMIFS('Dvd Calendar'!$E$106:$CZ$106,'Dvd Calendar'!$E$105:$CZ$105,"&gt;"&amp;F$48,'Dvd Calendar'!$E$105:$CZ$105,"&lt;="&amp;F$49),"")))</f>
        <v/>
      </c>
      <c r="G100" s="140">
        <f>IF(G$49="","",IF($B100="","",IFERROR(SUMIFS('Dvd Calendar'!$E$106:$CZ$106,'Dvd Calendar'!$E$105:$CZ$105,"&gt;"&amp;G$48,'Dvd Calendar'!$E$105:$CZ$105,"&lt;="&amp;G$49),"")))</f>
        <v/>
      </c>
      <c r="H100" s="140">
        <f>IF(H$49="","",IF($B100="","",IFERROR(SUMIFS('Dvd Calendar'!$E$106:$CZ$106,'Dvd Calendar'!$E$105:$CZ$105,"&gt;"&amp;H$48,'Dvd Calendar'!$E$105:$CZ$105,"&lt;="&amp;H$49),"")))</f>
        <v/>
      </c>
      <c r="I100" s="140">
        <f>IF(I$49="","",IF($B100="","",IFERROR(SUMIFS('Dvd Calendar'!$E$106:$CZ$106,'Dvd Calendar'!$E$105:$CZ$105,"&gt;"&amp;I$48,'Dvd Calendar'!$E$105:$CZ$105,"&lt;="&amp;I$49),"")))</f>
        <v/>
      </c>
      <c r="J100" s="140">
        <f>IF(J$49="","",IF($B100="","",IFERROR(SUMIFS('Dvd Calendar'!$E$106:$CZ$106,'Dvd Calendar'!$E$105:$CZ$105,"&gt;"&amp;J$48,'Dvd Calendar'!$E$105:$CZ$105,"&lt;="&amp;J$49),"")))</f>
        <v/>
      </c>
      <c r="K100" s="140">
        <f>IF(K$49="","",IF($B100="","",IFERROR(SUMIFS('Dvd Calendar'!$E$106:$CZ$106,'Dvd Calendar'!$E$105:$CZ$105,"&gt;"&amp;K$48,'Dvd Calendar'!$E$105:$CZ$105,"&lt;="&amp;K$49),"")))</f>
        <v/>
      </c>
      <c r="L100" s="140">
        <f>IF(L$49="","",IF($B100="","",IFERROR(SUMIFS('Dvd Calendar'!$E$106:$CZ$106,'Dvd Calendar'!$E$105:$CZ$105,"&gt;"&amp;L$48,'Dvd Calendar'!$E$105:$CZ$105,"&lt;="&amp;L$49),"")))</f>
        <v/>
      </c>
      <c r="M100" s="140">
        <f>IF(M$49="","",IF($B100="","",IFERROR(SUMIFS('Dvd Calendar'!$E$106:$CZ$106,'Dvd Calendar'!$E$105:$CZ$105,"&gt;"&amp;M$48,'Dvd Calendar'!$E$105:$CZ$105,"&lt;="&amp;M$49),"")))</f>
        <v/>
      </c>
      <c r="N100" s="140">
        <f>IF(N$49="","",IF($B100="","",IFERROR(SUMIFS('Dvd Calendar'!$E$106:$CZ$106,'Dvd Calendar'!$E$105:$CZ$105,"&gt;"&amp;N$48,'Dvd Calendar'!$E$105:$CZ$105,"&lt;="&amp;N$49),"")))</f>
        <v/>
      </c>
      <c r="O100" s="140">
        <f>IF(O$49="","",IF($B100="","",IFERROR(SUMIFS('Dvd Calendar'!$E$106:$CZ$106,'Dvd Calendar'!$E$105:$CZ$105,"&gt;"&amp;O$48,'Dvd Calendar'!$E$105:$CZ$105,"&lt;="&amp;O$49),"")))</f>
        <v/>
      </c>
      <c r="P100" s="140">
        <f>IF(P$49="","",IF($B100="","",IFERROR(SUMIFS('Dvd Calendar'!$E$106:$CZ$106,'Dvd Calendar'!$E$105:$CZ$105,"&gt;"&amp;P$48,'Dvd Calendar'!$E$105:$CZ$105,"&lt;="&amp;P$49),"")))</f>
        <v/>
      </c>
      <c r="Q100" s="140">
        <f>IF(Q$49="","",IF($B100="","",IFERROR(SUMIFS('Dvd Calendar'!$E$106:$CZ$106,'Dvd Calendar'!$E$105:$CZ$105,"&gt;"&amp;Q$48,'Dvd Calendar'!$E$105:$CZ$105,"&lt;="&amp;Q$49),"")))</f>
        <v/>
      </c>
      <c r="R100" s="140">
        <f>IF(R$49="","",IF($B100="","",IFERROR(SUMIFS('Dvd Calendar'!$E$106:$CZ$106,'Dvd Calendar'!$E$105:$CZ$105,"&gt;"&amp;R$48,'Dvd Calendar'!$E$105:$CZ$105,"&lt;="&amp;R$49),"")))</f>
        <v/>
      </c>
      <c r="U100" s="146" t="n"/>
      <c r="V100" s="146" t="n"/>
      <c r="W100" s="146" t="n"/>
      <c r="X100" s="146" t="n"/>
      <c r="Y100" s="146" t="n"/>
      <c r="Z100" s="146" t="n"/>
      <c r="AA100" s="146" t="n"/>
      <c r="AB100" s="146" t="n"/>
      <c r="AC100" s="146" t="n"/>
      <c r="AD100" s="146" t="n"/>
      <c r="AE100" s="146" t="n"/>
      <c r="AF100" s="146" t="n"/>
      <c r="AG100" s="146" t="n"/>
      <c r="AH100" s="146" t="n"/>
      <c r="AI100" s="146" t="n"/>
      <c r="AJ100" s="146" t="n"/>
    </row>
    <row r="101">
      <c r="B101" s="5">
        <f>IF(AS51!$C$56="","",AS51!$C$56)</f>
        <v/>
      </c>
      <c r="C101" s="140">
        <f>IF(C$49="","",IF($B101="","",IFERROR(SUMIFS('Dvd Calendar'!$E$108:$CZ$108,'Dvd Calendar'!$E$107:$CZ$107,"&gt;"&amp;C$48,'Dvd Calendar'!$E$107:$CZ$107,"&lt;="&amp;C$49),"")))</f>
        <v/>
      </c>
      <c r="D101" s="140">
        <f>IF(D$49="","",IF($B101="","",IFERROR(SUMIFS('Dvd Calendar'!$E$108:$CZ$108,'Dvd Calendar'!$E$107:$CZ$107,"&gt;"&amp;D$48,'Dvd Calendar'!$E$107:$CZ$107,"&lt;="&amp;D$49),"")))</f>
        <v/>
      </c>
      <c r="E101" s="140">
        <f>IF(E$49="","",IF($B101="","",IFERROR(SUMIFS('Dvd Calendar'!$E$108:$CZ$108,'Dvd Calendar'!$E$107:$CZ$107,"&gt;"&amp;E$48,'Dvd Calendar'!$E$107:$CZ$107,"&lt;="&amp;E$49),"")))</f>
        <v/>
      </c>
      <c r="F101" s="140">
        <f>IF(F$49="","",IF($B101="","",IFERROR(SUMIFS('Dvd Calendar'!$E$108:$CZ$108,'Dvd Calendar'!$E$107:$CZ$107,"&gt;"&amp;F$48,'Dvd Calendar'!$E$107:$CZ$107,"&lt;="&amp;F$49),"")))</f>
        <v/>
      </c>
      <c r="G101" s="140">
        <f>IF(G$49="","",IF($B101="","",IFERROR(SUMIFS('Dvd Calendar'!$E$108:$CZ$108,'Dvd Calendar'!$E$107:$CZ$107,"&gt;"&amp;G$48,'Dvd Calendar'!$E$107:$CZ$107,"&lt;="&amp;G$49),"")))</f>
        <v/>
      </c>
      <c r="H101" s="140">
        <f>IF(H$49="","",IF($B101="","",IFERROR(SUMIFS('Dvd Calendar'!$E$108:$CZ$108,'Dvd Calendar'!$E$107:$CZ$107,"&gt;"&amp;H$48,'Dvd Calendar'!$E$107:$CZ$107,"&lt;="&amp;H$49),"")))</f>
        <v/>
      </c>
      <c r="I101" s="140">
        <f>IF(I$49="","",IF($B101="","",IFERROR(SUMIFS('Dvd Calendar'!$E$108:$CZ$108,'Dvd Calendar'!$E$107:$CZ$107,"&gt;"&amp;I$48,'Dvd Calendar'!$E$107:$CZ$107,"&lt;="&amp;I$49),"")))</f>
        <v/>
      </c>
      <c r="J101" s="140">
        <f>IF(J$49="","",IF($B101="","",IFERROR(SUMIFS('Dvd Calendar'!$E$108:$CZ$108,'Dvd Calendar'!$E$107:$CZ$107,"&gt;"&amp;J$48,'Dvd Calendar'!$E$107:$CZ$107,"&lt;="&amp;J$49),"")))</f>
        <v/>
      </c>
      <c r="K101" s="140">
        <f>IF(K$49="","",IF($B101="","",IFERROR(SUMIFS('Dvd Calendar'!$E$108:$CZ$108,'Dvd Calendar'!$E$107:$CZ$107,"&gt;"&amp;K$48,'Dvd Calendar'!$E$107:$CZ$107,"&lt;="&amp;K$49),"")))</f>
        <v/>
      </c>
      <c r="L101" s="140">
        <f>IF(L$49="","",IF($B101="","",IFERROR(SUMIFS('Dvd Calendar'!$E$108:$CZ$108,'Dvd Calendar'!$E$107:$CZ$107,"&gt;"&amp;L$48,'Dvd Calendar'!$E$107:$CZ$107,"&lt;="&amp;L$49),"")))</f>
        <v/>
      </c>
      <c r="M101" s="140">
        <f>IF(M$49="","",IF($B101="","",IFERROR(SUMIFS('Dvd Calendar'!$E$108:$CZ$108,'Dvd Calendar'!$E$107:$CZ$107,"&gt;"&amp;M$48,'Dvd Calendar'!$E$107:$CZ$107,"&lt;="&amp;M$49),"")))</f>
        <v/>
      </c>
      <c r="N101" s="140">
        <f>IF(N$49="","",IF($B101="","",IFERROR(SUMIFS('Dvd Calendar'!$E$108:$CZ$108,'Dvd Calendar'!$E$107:$CZ$107,"&gt;"&amp;N$48,'Dvd Calendar'!$E$107:$CZ$107,"&lt;="&amp;N$49),"")))</f>
        <v/>
      </c>
      <c r="O101" s="140">
        <f>IF(O$49="","",IF($B101="","",IFERROR(SUMIFS('Dvd Calendar'!$E$108:$CZ$108,'Dvd Calendar'!$E$107:$CZ$107,"&gt;"&amp;O$48,'Dvd Calendar'!$E$107:$CZ$107,"&lt;="&amp;O$49),"")))</f>
        <v/>
      </c>
      <c r="P101" s="140">
        <f>IF(P$49="","",IF($B101="","",IFERROR(SUMIFS('Dvd Calendar'!$E$108:$CZ$108,'Dvd Calendar'!$E$107:$CZ$107,"&gt;"&amp;P$48,'Dvd Calendar'!$E$107:$CZ$107,"&lt;="&amp;P$49),"")))</f>
        <v/>
      </c>
      <c r="Q101" s="140">
        <f>IF(Q$49="","",IF($B101="","",IFERROR(SUMIFS('Dvd Calendar'!$E$108:$CZ$108,'Dvd Calendar'!$E$107:$CZ$107,"&gt;"&amp;Q$48,'Dvd Calendar'!$E$107:$CZ$107,"&lt;="&amp;Q$49),"")))</f>
        <v/>
      </c>
      <c r="R101" s="140">
        <f>IF(R$49="","",IF($B101="","",IFERROR(SUMIFS('Dvd Calendar'!$E$108:$CZ$108,'Dvd Calendar'!$E$107:$CZ$107,"&gt;"&amp;R$48,'Dvd Calendar'!$E$107:$CZ$107,"&lt;="&amp;R$49),"")))</f>
        <v/>
      </c>
      <c r="U101" s="146" t="n"/>
      <c r="V101" s="146" t="n"/>
      <c r="W101" s="146" t="n"/>
      <c r="X101" s="146" t="n"/>
      <c r="Y101" s="146" t="n"/>
      <c r="Z101" s="146" t="n"/>
      <c r="AA101" s="146" t="n"/>
      <c r="AB101" s="146" t="n"/>
      <c r="AC101" s="146" t="n"/>
      <c r="AD101" s="146" t="n"/>
      <c r="AE101" s="146" t="n"/>
      <c r="AF101" s="146" t="n"/>
      <c r="AG101" s="146" t="n"/>
      <c r="AH101" s="146" t="n"/>
      <c r="AI101" s="146" t="n"/>
      <c r="AJ101" s="146" t="n"/>
    </row>
    <row r="102">
      <c r="B102" s="5">
        <f>IF(AS51!$C$57="","",AS51!$C$57)</f>
        <v/>
      </c>
      <c r="C102" s="140">
        <f>IF(C$49="","",IF($B102="","",IFERROR(SUMIFS('Dvd Calendar'!$E$110:$CZ$110,'Dvd Calendar'!$E$109:$CZ$109,"&gt;"&amp;C$48,'Dvd Calendar'!$E$109:$CZ$109,"&lt;="&amp;C$49),"")))</f>
        <v/>
      </c>
      <c r="D102" s="140">
        <f>IF(D$49="","",IF($B102="","",IFERROR(SUMIFS('Dvd Calendar'!$E$110:$CZ$110,'Dvd Calendar'!$E$109:$CZ$109,"&gt;"&amp;D$48,'Dvd Calendar'!$E$109:$CZ$109,"&lt;="&amp;D$49),"")))</f>
        <v/>
      </c>
      <c r="E102" s="140">
        <f>IF(E$49="","",IF($B102="","",IFERROR(SUMIFS('Dvd Calendar'!$E$110:$CZ$110,'Dvd Calendar'!$E$109:$CZ$109,"&gt;"&amp;E$48,'Dvd Calendar'!$E$109:$CZ$109,"&lt;="&amp;E$49),"")))</f>
        <v/>
      </c>
      <c r="F102" s="140">
        <f>IF(F$49="","",IF($B102="","",IFERROR(SUMIFS('Dvd Calendar'!$E$110:$CZ$110,'Dvd Calendar'!$E$109:$CZ$109,"&gt;"&amp;F$48,'Dvd Calendar'!$E$109:$CZ$109,"&lt;="&amp;F$49),"")))</f>
        <v/>
      </c>
      <c r="G102" s="140">
        <f>IF(G$49="","",IF($B102="","",IFERROR(SUMIFS('Dvd Calendar'!$E$110:$CZ$110,'Dvd Calendar'!$E$109:$CZ$109,"&gt;"&amp;G$48,'Dvd Calendar'!$E$109:$CZ$109,"&lt;="&amp;G$49),"")))</f>
        <v/>
      </c>
      <c r="H102" s="140">
        <f>IF(H$49="","",IF($B102="","",IFERROR(SUMIFS('Dvd Calendar'!$E$110:$CZ$110,'Dvd Calendar'!$E$109:$CZ$109,"&gt;"&amp;H$48,'Dvd Calendar'!$E$109:$CZ$109,"&lt;="&amp;H$49),"")))</f>
        <v/>
      </c>
      <c r="I102" s="140">
        <f>IF(I$49="","",IF($B102="","",IFERROR(SUMIFS('Dvd Calendar'!$E$110:$CZ$110,'Dvd Calendar'!$E$109:$CZ$109,"&gt;"&amp;I$48,'Dvd Calendar'!$E$109:$CZ$109,"&lt;="&amp;I$49),"")))</f>
        <v/>
      </c>
      <c r="J102" s="140">
        <f>IF(J$49="","",IF($B102="","",IFERROR(SUMIFS('Dvd Calendar'!$E$110:$CZ$110,'Dvd Calendar'!$E$109:$CZ$109,"&gt;"&amp;J$48,'Dvd Calendar'!$E$109:$CZ$109,"&lt;="&amp;J$49),"")))</f>
        <v/>
      </c>
      <c r="K102" s="140">
        <f>IF(K$49="","",IF($B102="","",IFERROR(SUMIFS('Dvd Calendar'!$E$110:$CZ$110,'Dvd Calendar'!$E$109:$CZ$109,"&gt;"&amp;K$48,'Dvd Calendar'!$E$109:$CZ$109,"&lt;="&amp;K$49),"")))</f>
        <v/>
      </c>
      <c r="L102" s="140">
        <f>IF(L$49="","",IF($B102="","",IFERROR(SUMIFS('Dvd Calendar'!$E$110:$CZ$110,'Dvd Calendar'!$E$109:$CZ$109,"&gt;"&amp;L$48,'Dvd Calendar'!$E$109:$CZ$109,"&lt;="&amp;L$49),"")))</f>
        <v/>
      </c>
      <c r="M102" s="140">
        <f>IF(M$49="","",IF($B102="","",IFERROR(SUMIFS('Dvd Calendar'!$E$110:$CZ$110,'Dvd Calendar'!$E$109:$CZ$109,"&gt;"&amp;M$48,'Dvd Calendar'!$E$109:$CZ$109,"&lt;="&amp;M$49),"")))</f>
        <v/>
      </c>
      <c r="N102" s="140">
        <f>IF(N$49="","",IF($B102="","",IFERROR(SUMIFS('Dvd Calendar'!$E$110:$CZ$110,'Dvd Calendar'!$E$109:$CZ$109,"&gt;"&amp;N$48,'Dvd Calendar'!$E$109:$CZ$109,"&lt;="&amp;N$49),"")))</f>
        <v/>
      </c>
      <c r="O102" s="140">
        <f>IF(O$49="","",IF($B102="","",IFERROR(SUMIFS('Dvd Calendar'!$E$110:$CZ$110,'Dvd Calendar'!$E$109:$CZ$109,"&gt;"&amp;O$48,'Dvd Calendar'!$E$109:$CZ$109,"&lt;="&amp;O$49),"")))</f>
        <v/>
      </c>
      <c r="P102" s="140">
        <f>IF(P$49="","",IF($B102="","",IFERROR(SUMIFS('Dvd Calendar'!$E$110:$CZ$110,'Dvd Calendar'!$E$109:$CZ$109,"&gt;"&amp;P$48,'Dvd Calendar'!$E$109:$CZ$109,"&lt;="&amp;P$49),"")))</f>
        <v/>
      </c>
      <c r="Q102" s="140">
        <f>IF(Q$49="","",IF($B102="","",IFERROR(SUMIFS('Dvd Calendar'!$E$110:$CZ$110,'Dvd Calendar'!$E$109:$CZ$109,"&gt;"&amp;Q$48,'Dvd Calendar'!$E$109:$CZ$109,"&lt;="&amp;Q$49),"")))</f>
        <v/>
      </c>
      <c r="R102" s="140">
        <f>IF(R$49="","",IF($B102="","",IFERROR(SUMIFS('Dvd Calendar'!$E$110:$CZ$110,'Dvd Calendar'!$E$109:$CZ$109,"&gt;"&amp;R$48,'Dvd Calendar'!$E$109:$CZ$109,"&lt;="&amp;R$49),"")))</f>
        <v/>
      </c>
      <c r="U102" s="146" t="n"/>
      <c r="V102" s="146" t="n"/>
      <c r="W102" s="146" t="n"/>
      <c r="X102" s="146" t="n"/>
      <c r="Y102" s="146" t="n"/>
      <c r="Z102" s="146" t="n"/>
      <c r="AA102" s="146" t="n"/>
      <c r="AB102" s="146" t="n"/>
      <c r="AC102" s="146" t="n"/>
      <c r="AD102" s="146" t="n"/>
      <c r="AE102" s="146" t="n"/>
      <c r="AF102" s="146" t="n"/>
      <c r="AG102" s="146" t="n"/>
      <c r="AH102" s="146" t="n"/>
      <c r="AI102" s="146" t="n"/>
      <c r="AJ102" s="146" t="n"/>
    </row>
    <row r="103">
      <c r="B103" s="5">
        <f>IF(AS51!$C$58="","",AS51!$C$58)</f>
        <v/>
      </c>
      <c r="C103" s="140">
        <f>IF(C$49="","",IF($B103="","",IFERROR(SUMIFS('Dvd Calendar'!$E$112:$CZ$112,'Dvd Calendar'!$E$111:$CZ$111,"&gt;"&amp;C$48,'Dvd Calendar'!$E$111:$CZ$111,"&lt;="&amp;C$49),"")))</f>
        <v/>
      </c>
      <c r="D103" s="140">
        <f>IF(D$49="","",IF($B103="","",IFERROR(SUMIFS('Dvd Calendar'!$E$112:$CZ$112,'Dvd Calendar'!$E$111:$CZ$111,"&gt;"&amp;D$48,'Dvd Calendar'!$E$111:$CZ$111,"&lt;="&amp;D$49),"")))</f>
        <v/>
      </c>
      <c r="E103" s="140">
        <f>IF(E$49="","",IF($B103="","",IFERROR(SUMIFS('Dvd Calendar'!$E$112:$CZ$112,'Dvd Calendar'!$E$111:$CZ$111,"&gt;"&amp;E$48,'Dvd Calendar'!$E$111:$CZ$111,"&lt;="&amp;E$49),"")))</f>
        <v/>
      </c>
      <c r="F103" s="140">
        <f>IF(F$49="","",IF($B103="","",IFERROR(SUMIFS('Dvd Calendar'!$E$112:$CZ$112,'Dvd Calendar'!$E$111:$CZ$111,"&gt;"&amp;F$48,'Dvd Calendar'!$E$111:$CZ$111,"&lt;="&amp;F$49),"")))</f>
        <v/>
      </c>
      <c r="G103" s="140">
        <f>IF(G$49="","",IF($B103="","",IFERROR(SUMIFS('Dvd Calendar'!$E$112:$CZ$112,'Dvd Calendar'!$E$111:$CZ$111,"&gt;"&amp;G$48,'Dvd Calendar'!$E$111:$CZ$111,"&lt;="&amp;G$49),"")))</f>
        <v/>
      </c>
      <c r="H103" s="140">
        <f>IF(H$49="","",IF($B103="","",IFERROR(SUMIFS('Dvd Calendar'!$E$112:$CZ$112,'Dvd Calendar'!$E$111:$CZ$111,"&gt;"&amp;H$48,'Dvd Calendar'!$E$111:$CZ$111,"&lt;="&amp;H$49),"")))</f>
        <v/>
      </c>
      <c r="I103" s="140">
        <f>IF(I$49="","",IF($B103="","",IFERROR(SUMIFS('Dvd Calendar'!$E$112:$CZ$112,'Dvd Calendar'!$E$111:$CZ$111,"&gt;"&amp;I$48,'Dvd Calendar'!$E$111:$CZ$111,"&lt;="&amp;I$49),"")))</f>
        <v/>
      </c>
      <c r="J103" s="140">
        <f>IF(J$49="","",IF($B103="","",IFERROR(SUMIFS('Dvd Calendar'!$E$112:$CZ$112,'Dvd Calendar'!$E$111:$CZ$111,"&gt;"&amp;J$48,'Dvd Calendar'!$E$111:$CZ$111,"&lt;="&amp;J$49),"")))</f>
        <v/>
      </c>
      <c r="K103" s="140">
        <f>IF(K$49="","",IF($B103="","",IFERROR(SUMIFS('Dvd Calendar'!$E$112:$CZ$112,'Dvd Calendar'!$E$111:$CZ$111,"&gt;"&amp;K$48,'Dvd Calendar'!$E$111:$CZ$111,"&lt;="&amp;K$49),"")))</f>
        <v/>
      </c>
      <c r="L103" s="140">
        <f>IF(L$49="","",IF($B103="","",IFERROR(SUMIFS('Dvd Calendar'!$E$112:$CZ$112,'Dvd Calendar'!$E$111:$CZ$111,"&gt;"&amp;L$48,'Dvd Calendar'!$E$111:$CZ$111,"&lt;="&amp;L$49),"")))</f>
        <v/>
      </c>
      <c r="M103" s="140">
        <f>IF(M$49="","",IF($B103="","",IFERROR(SUMIFS('Dvd Calendar'!$E$112:$CZ$112,'Dvd Calendar'!$E$111:$CZ$111,"&gt;"&amp;M$48,'Dvd Calendar'!$E$111:$CZ$111,"&lt;="&amp;M$49),"")))</f>
        <v/>
      </c>
      <c r="N103" s="140">
        <f>IF(N$49="","",IF($B103="","",IFERROR(SUMIFS('Dvd Calendar'!$E$112:$CZ$112,'Dvd Calendar'!$E$111:$CZ$111,"&gt;"&amp;N$48,'Dvd Calendar'!$E$111:$CZ$111,"&lt;="&amp;N$49),"")))</f>
        <v/>
      </c>
      <c r="O103" s="140">
        <f>IF(O$49="","",IF($B103="","",IFERROR(SUMIFS('Dvd Calendar'!$E$112:$CZ$112,'Dvd Calendar'!$E$111:$CZ$111,"&gt;"&amp;O$48,'Dvd Calendar'!$E$111:$CZ$111,"&lt;="&amp;O$49),"")))</f>
        <v/>
      </c>
      <c r="P103" s="140">
        <f>IF(P$49="","",IF($B103="","",IFERROR(SUMIFS('Dvd Calendar'!$E$112:$CZ$112,'Dvd Calendar'!$E$111:$CZ$111,"&gt;"&amp;P$48,'Dvd Calendar'!$E$111:$CZ$111,"&lt;="&amp;P$49),"")))</f>
        <v/>
      </c>
      <c r="Q103" s="140">
        <f>IF(Q$49="","",IF($B103="","",IFERROR(SUMIFS('Dvd Calendar'!$E$112:$CZ$112,'Dvd Calendar'!$E$111:$CZ$111,"&gt;"&amp;Q$48,'Dvd Calendar'!$E$111:$CZ$111,"&lt;="&amp;Q$49),"")))</f>
        <v/>
      </c>
      <c r="R103" s="140">
        <f>IF(R$49="","",IF($B103="","",IFERROR(SUMIFS('Dvd Calendar'!$E$112:$CZ$112,'Dvd Calendar'!$E$111:$CZ$111,"&gt;"&amp;R$48,'Dvd Calendar'!$E$111:$CZ$111,"&lt;="&amp;R$49),"")))</f>
        <v/>
      </c>
      <c r="U103" s="146" t="n"/>
      <c r="V103" s="146" t="n"/>
      <c r="W103" s="146" t="n"/>
      <c r="X103" s="146" t="n"/>
      <c r="Y103" s="146" t="n"/>
      <c r="Z103" s="146" t="n"/>
      <c r="AA103" s="146" t="n"/>
      <c r="AB103" s="146" t="n"/>
      <c r="AC103" s="146" t="n"/>
      <c r="AD103" s="146" t="n"/>
      <c r="AE103" s="146" t="n"/>
      <c r="AF103" s="146" t="n"/>
      <c r="AG103" s="146" t="n"/>
      <c r="AH103" s="146" t="n"/>
      <c r="AI103" s="146" t="n"/>
      <c r="AJ103" s="146" t="n"/>
    </row>
    <row r="104">
      <c r="B104" s="5">
        <f>IF(AS51!$C$59="","",AS51!$C$59)</f>
        <v/>
      </c>
      <c r="C104" s="140">
        <f>IF(C$49="","",IF($B104="","",IFERROR(SUMIFS('Dvd Calendar'!$E$114:$CZ$114,'Dvd Calendar'!$E$113:$CZ$113,"&gt;"&amp;C$48,'Dvd Calendar'!$E$113:$CZ$113,"&lt;="&amp;C$49),"")))</f>
        <v/>
      </c>
      <c r="D104" s="140">
        <f>IF(D$49="","",IF($B104="","",IFERROR(SUMIFS('Dvd Calendar'!$E$114:$CZ$114,'Dvd Calendar'!$E$113:$CZ$113,"&gt;"&amp;D$48,'Dvd Calendar'!$E$113:$CZ$113,"&lt;="&amp;D$49),"")))</f>
        <v/>
      </c>
      <c r="E104" s="140">
        <f>IF(E$49="","",IF($B104="","",IFERROR(SUMIFS('Dvd Calendar'!$E$114:$CZ$114,'Dvd Calendar'!$E$113:$CZ$113,"&gt;"&amp;E$48,'Dvd Calendar'!$E$113:$CZ$113,"&lt;="&amp;E$49),"")))</f>
        <v/>
      </c>
      <c r="F104" s="140">
        <f>IF(F$49="","",IF($B104="","",IFERROR(SUMIFS('Dvd Calendar'!$E$114:$CZ$114,'Dvd Calendar'!$E$113:$CZ$113,"&gt;"&amp;F$48,'Dvd Calendar'!$E$113:$CZ$113,"&lt;="&amp;F$49),"")))</f>
        <v/>
      </c>
      <c r="G104" s="140">
        <f>IF(G$49="","",IF($B104="","",IFERROR(SUMIFS('Dvd Calendar'!$E$114:$CZ$114,'Dvd Calendar'!$E$113:$CZ$113,"&gt;"&amp;G$48,'Dvd Calendar'!$E$113:$CZ$113,"&lt;="&amp;G$49),"")))</f>
        <v/>
      </c>
      <c r="H104" s="140">
        <f>IF(H$49="","",IF($B104="","",IFERROR(SUMIFS('Dvd Calendar'!$E$114:$CZ$114,'Dvd Calendar'!$E$113:$CZ$113,"&gt;"&amp;H$48,'Dvd Calendar'!$E$113:$CZ$113,"&lt;="&amp;H$49),"")))</f>
        <v/>
      </c>
      <c r="I104" s="140">
        <f>IF(I$49="","",IF($B104="","",IFERROR(SUMIFS('Dvd Calendar'!$E$114:$CZ$114,'Dvd Calendar'!$E$113:$CZ$113,"&gt;"&amp;I$48,'Dvd Calendar'!$E$113:$CZ$113,"&lt;="&amp;I$49),"")))</f>
        <v/>
      </c>
      <c r="J104" s="140">
        <f>IF(J$49="","",IF($B104="","",IFERROR(SUMIFS('Dvd Calendar'!$E$114:$CZ$114,'Dvd Calendar'!$E$113:$CZ$113,"&gt;"&amp;J$48,'Dvd Calendar'!$E$113:$CZ$113,"&lt;="&amp;J$49),"")))</f>
        <v/>
      </c>
      <c r="K104" s="140">
        <f>IF(K$49="","",IF($B104="","",IFERROR(SUMIFS('Dvd Calendar'!$E$114:$CZ$114,'Dvd Calendar'!$E$113:$CZ$113,"&gt;"&amp;K$48,'Dvd Calendar'!$E$113:$CZ$113,"&lt;="&amp;K$49),"")))</f>
        <v/>
      </c>
      <c r="L104" s="140">
        <f>IF(L$49="","",IF($B104="","",IFERROR(SUMIFS('Dvd Calendar'!$E$114:$CZ$114,'Dvd Calendar'!$E$113:$CZ$113,"&gt;"&amp;L$48,'Dvd Calendar'!$E$113:$CZ$113,"&lt;="&amp;L$49),"")))</f>
        <v/>
      </c>
      <c r="M104" s="140">
        <f>IF(M$49="","",IF($B104="","",IFERROR(SUMIFS('Dvd Calendar'!$E$114:$CZ$114,'Dvd Calendar'!$E$113:$CZ$113,"&gt;"&amp;M$48,'Dvd Calendar'!$E$113:$CZ$113,"&lt;="&amp;M$49),"")))</f>
        <v/>
      </c>
      <c r="N104" s="140">
        <f>IF(N$49="","",IF($B104="","",IFERROR(SUMIFS('Dvd Calendar'!$E$114:$CZ$114,'Dvd Calendar'!$E$113:$CZ$113,"&gt;"&amp;N$48,'Dvd Calendar'!$E$113:$CZ$113,"&lt;="&amp;N$49),"")))</f>
        <v/>
      </c>
      <c r="O104" s="140">
        <f>IF(O$49="","",IF($B104="","",IFERROR(SUMIFS('Dvd Calendar'!$E$114:$CZ$114,'Dvd Calendar'!$E$113:$CZ$113,"&gt;"&amp;O$48,'Dvd Calendar'!$E$113:$CZ$113,"&lt;="&amp;O$49),"")))</f>
        <v/>
      </c>
      <c r="P104" s="140">
        <f>IF(P$49="","",IF($B104="","",IFERROR(SUMIFS('Dvd Calendar'!$E$114:$CZ$114,'Dvd Calendar'!$E$113:$CZ$113,"&gt;"&amp;P$48,'Dvd Calendar'!$E$113:$CZ$113,"&lt;="&amp;P$49),"")))</f>
        <v/>
      </c>
      <c r="Q104" s="140">
        <f>IF(Q$49="","",IF($B104="","",IFERROR(SUMIFS('Dvd Calendar'!$E$114:$CZ$114,'Dvd Calendar'!$E$113:$CZ$113,"&gt;"&amp;Q$48,'Dvd Calendar'!$E$113:$CZ$113,"&lt;="&amp;Q$49),"")))</f>
        <v/>
      </c>
      <c r="R104" s="140">
        <f>IF(R$49="","",IF($B104="","",IFERROR(SUMIFS('Dvd Calendar'!$E$114:$CZ$114,'Dvd Calendar'!$E$113:$CZ$113,"&gt;"&amp;R$48,'Dvd Calendar'!$E$113:$CZ$113,"&lt;="&amp;R$49),"")))</f>
        <v/>
      </c>
      <c r="U104" s="146" t="n"/>
      <c r="V104" s="146" t="n"/>
      <c r="W104" s="146" t="n"/>
      <c r="X104" s="146" t="n"/>
      <c r="Y104" s="146" t="n"/>
      <c r="Z104" s="146" t="n"/>
      <c r="AA104" s="146" t="n"/>
      <c r="AB104" s="146" t="n"/>
      <c r="AC104" s="146" t="n"/>
      <c r="AD104" s="146" t="n"/>
      <c r="AE104" s="146" t="n"/>
      <c r="AF104" s="146" t="n"/>
      <c r="AG104" s="146" t="n"/>
      <c r="AH104" s="146" t="n"/>
      <c r="AI104" s="146" t="n"/>
      <c r="AJ104" s="146" t="n"/>
    </row>
    <row r="105">
      <c r="B105" s="5">
        <f>IF(AS51!$C$60="","",AS51!$C$60)</f>
        <v/>
      </c>
      <c r="C105" s="140">
        <f>IF(C$49="","",IF($B105="","",IFERROR(SUMIFS('Dvd Calendar'!$E$116:$CZ$116,'Dvd Calendar'!$E$115:$CZ$115,"&gt;"&amp;C$48,'Dvd Calendar'!$E$115:$CZ$115,"&lt;="&amp;C$49),"")))</f>
        <v/>
      </c>
      <c r="D105" s="140">
        <f>IF(D$49="","",IF($B105="","",IFERROR(SUMIFS('Dvd Calendar'!$E$116:$CZ$116,'Dvd Calendar'!$E$115:$CZ$115,"&gt;"&amp;D$48,'Dvd Calendar'!$E$115:$CZ$115,"&lt;="&amp;D$49),"")))</f>
        <v/>
      </c>
      <c r="E105" s="140">
        <f>IF(E$49="","",IF($B105="","",IFERROR(SUMIFS('Dvd Calendar'!$E$116:$CZ$116,'Dvd Calendar'!$E$115:$CZ$115,"&gt;"&amp;E$48,'Dvd Calendar'!$E$115:$CZ$115,"&lt;="&amp;E$49),"")))</f>
        <v/>
      </c>
      <c r="F105" s="140">
        <f>IF(F$49="","",IF($B105="","",IFERROR(SUMIFS('Dvd Calendar'!$E$116:$CZ$116,'Dvd Calendar'!$E$115:$CZ$115,"&gt;"&amp;F$48,'Dvd Calendar'!$E$115:$CZ$115,"&lt;="&amp;F$49),"")))</f>
        <v/>
      </c>
      <c r="G105" s="140">
        <f>IF(G$49="","",IF($B105="","",IFERROR(SUMIFS('Dvd Calendar'!$E$116:$CZ$116,'Dvd Calendar'!$E$115:$CZ$115,"&gt;"&amp;G$48,'Dvd Calendar'!$E$115:$CZ$115,"&lt;="&amp;G$49),"")))</f>
        <v/>
      </c>
      <c r="H105" s="140">
        <f>IF(H$49="","",IF($B105="","",IFERROR(SUMIFS('Dvd Calendar'!$E$116:$CZ$116,'Dvd Calendar'!$E$115:$CZ$115,"&gt;"&amp;H$48,'Dvd Calendar'!$E$115:$CZ$115,"&lt;="&amp;H$49),"")))</f>
        <v/>
      </c>
      <c r="I105" s="140">
        <f>IF(I$49="","",IF($B105="","",IFERROR(SUMIFS('Dvd Calendar'!$E$116:$CZ$116,'Dvd Calendar'!$E$115:$CZ$115,"&gt;"&amp;I$48,'Dvd Calendar'!$E$115:$CZ$115,"&lt;="&amp;I$49),"")))</f>
        <v/>
      </c>
      <c r="J105" s="140">
        <f>IF(J$49="","",IF($B105="","",IFERROR(SUMIFS('Dvd Calendar'!$E$116:$CZ$116,'Dvd Calendar'!$E$115:$CZ$115,"&gt;"&amp;J$48,'Dvd Calendar'!$E$115:$CZ$115,"&lt;="&amp;J$49),"")))</f>
        <v/>
      </c>
      <c r="K105" s="140">
        <f>IF(K$49="","",IF($B105="","",IFERROR(SUMIFS('Dvd Calendar'!$E$116:$CZ$116,'Dvd Calendar'!$E$115:$CZ$115,"&gt;"&amp;K$48,'Dvd Calendar'!$E$115:$CZ$115,"&lt;="&amp;K$49),"")))</f>
        <v/>
      </c>
      <c r="L105" s="140">
        <f>IF(L$49="","",IF($B105="","",IFERROR(SUMIFS('Dvd Calendar'!$E$116:$CZ$116,'Dvd Calendar'!$E$115:$CZ$115,"&gt;"&amp;L$48,'Dvd Calendar'!$E$115:$CZ$115,"&lt;="&amp;L$49),"")))</f>
        <v/>
      </c>
      <c r="M105" s="140">
        <f>IF(M$49="","",IF($B105="","",IFERROR(SUMIFS('Dvd Calendar'!$E$116:$CZ$116,'Dvd Calendar'!$E$115:$CZ$115,"&gt;"&amp;M$48,'Dvd Calendar'!$E$115:$CZ$115,"&lt;="&amp;M$49),"")))</f>
        <v/>
      </c>
      <c r="N105" s="140">
        <f>IF(N$49="","",IF($B105="","",IFERROR(SUMIFS('Dvd Calendar'!$E$116:$CZ$116,'Dvd Calendar'!$E$115:$CZ$115,"&gt;"&amp;N$48,'Dvd Calendar'!$E$115:$CZ$115,"&lt;="&amp;N$49),"")))</f>
        <v/>
      </c>
      <c r="O105" s="140">
        <f>IF(O$49="","",IF($B105="","",IFERROR(SUMIFS('Dvd Calendar'!$E$116:$CZ$116,'Dvd Calendar'!$E$115:$CZ$115,"&gt;"&amp;O$48,'Dvd Calendar'!$E$115:$CZ$115,"&lt;="&amp;O$49),"")))</f>
        <v/>
      </c>
      <c r="P105" s="140">
        <f>IF(P$49="","",IF($B105="","",IFERROR(SUMIFS('Dvd Calendar'!$E$116:$CZ$116,'Dvd Calendar'!$E$115:$CZ$115,"&gt;"&amp;P$48,'Dvd Calendar'!$E$115:$CZ$115,"&lt;="&amp;P$49),"")))</f>
        <v/>
      </c>
      <c r="Q105" s="140">
        <f>IF(Q$49="","",IF($B105="","",IFERROR(SUMIFS('Dvd Calendar'!$E$116:$CZ$116,'Dvd Calendar'!$E$115:$CZ$115,"&gt;"&amp;Q$48,'Dvd Calendar'!$E$115:$CZ$115,"&lt;="&amp;Q$49),"")))</f>
        <v/>
      </c>
      <c r="R105" s="140">
        <f>IF(R$49="","",IF($B105="","",IFERROR(SUMIFS('Dvd Calendar'!$E$116:$CZ$116,'Dvd Calendar'!$E$115:$CZ$115,"&gt;"&amp;R$48,'Dvd Calendar'!$E$115:$CZ$115,"&lt;="&amp;R$49),"")))</f>
        <v/>
      </c>
      <c r="U105" s="146" t="n"/>
      <c r="V105" s="146" t="n"/>
      <c r="W105" s="146" t="n"/>
      <c r="X105" s="146" t="n"/>
      <c r="Y105" s="146" t="n"/>
      <c r="Z105" s="146" t="n"/>
      <c r="AA105" s="146" t="n"/>
      <c r="AB105" s="146" t="n"/>
      <c r="AC105" s="146" t="n"/>
      <c r="AD105" s="146" t="n"/>
      <c r="AE105" s="146" t="n"/>
      <c r="AF105" s="146" t="n"/>
      <c r="AG105" s="146" t="n"/>
      <c r="AH105" s="146" t="n"/>
      <c r="AI105" s="146" t="n"/>
      <c r="AJ105" s="146" t="n"/>
    </row>
    <row r="106">
      <c r="B106" s="5">
        <f>IF(AS51!$C$61="","",AS51!$C$61)</f>
        <v/>
      </c>
      <c r="C106" s="140">
        <f>IF(C$49="","",IF($B106="","",IFERROR(SUMIFS('Dvd Calendar'!$E$118:$CZ$118,'Dvd Calendar'!$E$117:$CZ$117,"&gt;"&amp;C$48,'Dvd Calendar'!$E$117:$CZ$117,"&lt;="&amp;C$49),"")))</f>
        <v/>
      </c>
      <c r="D106" s="140">
        <f>IF(D$49="","",IF($B106="","",IFERROR(SUMIFS('Dvd Calendar'!$E$118:$CZ$118,'Dvd Calendar'!$E$117:$CZ$117,"&gt;"&amp;D$48,'Dvd Calendar'!$E$117:$CZ$117,"&lt;="&amp;D$49),"")))</f>
        <v/>
      </c>
      <c r="E106" s="140">
        <f>IF(E$49="","",IF($B106="","",IFERROR(SUMIFS('Dvd Calendar'!$E$118:$CZ$118,'Dvd Calendar'!$E$117:$CZ$117,"&gt;"&amp;E$48,'Dvd Calendar'!$E$117:$CZ$117,"&lt;="&amp;E$49),"")))</f>
        <v/>
      </c>
      <c r="F106" s="140">
        <f>IF(F$49="","",IF($B106="","",IFERROR(SUMIFS('Dvd Calendar'!$E$118:$CZ$118,'Dvd Calendar'!$E$117:$CZ$117,"&gt;"&amp;F$48,'Dvd Calendar'!$E$117:$CZ$117,"&lt;="&amp;F$49),"")))</f>
        <v/>
      </c>
      <c r="G106" s="140">
        <f>IF(G$49="","",IF($B106="","",IFERROR(SUMIFS('Dvd Calendar'!$E$118:$CZ$118,'Dvd Calendar'!$E$117:$CZ$117,"&gt;"&amp;G$48,'Dvd Calendar'!$E$117:$CZ$117,"&lt;="&amp;G$49),"")))</f>
        <v/>
      </c>
      <c r="H106" s="140">
        <f>IF(H$49="","",IF($B106="","",IFERROR(SUMIFS('Dvd Calendar'!$E$118:$CZ$118,'Dvd Calendar'!$E$117:$CZ$117,"&gt;"&amp;H$48,'Dvd Calendar'!$E$117:$CZ$117,"&lt;="&amp;H$49),"")))</f>
        <v/>
      </c>
      <c r="I106" s="140">
        <f>IF(I$49="","",IF($B106="","",IFERROR(SUMIFS('Dvd Calendar'!$E$118:$CZ$118,'Dvd Calendar'!$E$117:$CZ$117,"&gt;"&amp;I$48,'Dvd Calendar'!$E$117:$CZ$117,"&lt;="&amp;I$49),"")))</f>
        <v/>
      </c>
      <c r="J106" s="140">
        <f>IF(J$49="","",IF($B106="","",IFERROR(SUMIFS('Dvd Calendar'!$E$118:$CZ$118,'Dvd Calendar'!$E$117:$CZ$117,"&gt;"&amp;J$48,'Dvd Calendar'!$E$117:$CZ$117,"&lt;="&amp;J$49),"")))</f>
        <v/>
      </c>
      <c r="K106" s="140">
        <f>IF(K$49="","",IF($B106="","",IFERROR(SUMIFS('Dvd Calendar'!$E$118:$CZ$118,'Dvd Calendar'!$E$117:$CZ$117,"&gt;"&amp;K$48,'Dvd Calendar'!$E$117:$CZ$117,"&lt;="&amp;K$49),"")))</f>
        <v/>
      </c>
      <c r="L106" s="140">
        <f>IF(L$49="","",IF($B106="","",IFERROR(SUMIFS('Dvd Calendar'!$E$118:$CZ$118,'Dvd Calendar'!$E$117:$CZ$117,"&gt;"&amp;L$48,'Dvd Calendar'!$E$117:$CZ$117,"&lt;="&amp;L$49),"")))</f>
        <v/>
      </c>
      <c r="M106" s="140">
        <f>IF(M$49="","",IF($B106="","",IFERROR(SUMIFS('Dvd Calendar'!$E$118:$CZ$118,'Dvd Calendar'!$E$117:$CZ$117,"&gt;"&amp;M$48,'Dvd Calendar'!$E$117:$CZ$117,"&lt;="&amp;M$49),"")))</f>
        <v/>
      </c>
      <c r="N106" s="140">
        <f>IF(N$49="","",IF($B106="","",IFERROR(SUMIFS('Dvd Calendar'!$E$118:$CZ$118,'Dvd Calendar'!$E$117:$CZ$117,"&gt;"&amp;N$48,'Dvd Calendar'!$E$117:$CZ$117,"&lt;="&amp;N$49),"")))</f>
        <v/>
      </c>
      <c r="O106" s="140">
        <f>IF(O$49="","",IF($B106="","",IFERROR(SUMIFS('Dvd Calendar'!$E$118:$CZ$118,'Dvd Calendar'!$E$117:$CZ$117,"&gt;"&amp;O$48,'Dvd Calendar'!$E$117:$CZ$117,"&lt;="&amp;O$49),"")))</f>
        <v/>
      </c>
      <c r="P106" s="140">
        <f>IF(P$49="","",IF($B106="","",IFERROR(SUMIFS('Dvd Calendar'!$E$118:$CZ$118,'Dvd Calendar'!$E$117:$CZ$117,"&gt;"&amp;P$48,'Dvd Calendar'!$E$117:$CZ$117,"&lt;="&amp;P$49),"")))</f>
        <v/>
      </c>
      <c r="Q106" s="140">
        <f>IF(Q$49="","",IF($B106="","",IFERROR(SUMIFS('Dvd Calendar'!$E$118:$CZ$118,'Dvd Calendar'!$E$117:$CZ$117,"&gt;"&amp;Q$48,'Dvd Calendar'!$E$117:$CZ$117,"&lt;="&amp;Q$49),"")))</f>
        <v/>
      </c>
      <c r="R106" s="140">
        <f>IF(R$49="","",IF($B106="","",IFERROR(SUMIFS('Dvd Calendar'!$E$118:$CZ$118,'Dvd Calendar'!$E$117:$CZ$117,"&gt;"&amp;R$48,'Dvd Calendar'!$E$117:$CZ$117,"&lt;="&amp;R$49),"")))</f>
        <v/>
      </c>
      <c r="U106" s="146" t="n"/>
      <c r="V106" s="146" t="n"/>
      <c r="W106" s="146" t="n"/>
      <c r="X106" s="146" t="n"/>
      <c r="Y106" s="146" t="n"/>
      <c r="Z106" s="146" t="n"/>
      <c r="AA106" s="146" t="n"/>
      <c r="AB106" s="146" t="n"/>
      <c r="AC106" s="146" t="n"/>
      <c r="AD106" s="146" t="n"/>
      <c r="AE106" s="146" t="n"/>
      <c r="AF106" s="146" t="n"/>
      <c r="AG106" s="146" t="n"/>
      <c r="AH106" s="146" t="n"/>
      <c r="AI106" s="146" t="n"/>
      <c r="AJ106" s="146" t="n"/>
    </row>
    <row r="107">
      <c r="B107" s="5">
        <f>IF(AS51!$C$62="","",AS51!$C$62)</f>
        <v/>
      </c>
      <c r="C107" s="140">
        <f>IF(C$49="","",IF($B107="","",IFERROR(SUMIFS('Dvd Calendar'!$E$120:$CZ$120,'Dvd Calendar'!$E$119:$CZ$119,"&gt;"&amp;C$48,'Dvd Calendar'!$E$119:$CZ$119,"&lt;="&amp;C$49),"")))</f>
        <v/>
      </c>
      <c r="D107" s="140">
        <f>IF(D$49="","",IF($B107="","",IFERROR(SUMIFS('Dvd Calendar'!$E$120:$CZ$120,'Dvd Calendar'!$E$119:$CZ$119,"&gt;"&amp;D$48,'Dvd Calendar'!$E$119:$CZ$119,"&lt;="&amp;D$49),"")))</f>
        <v/>
      </c>
      <c r="E107" s="140">
        <f>IF(E$49="","",IF($B107="","",IFERROR(SUMIFS('Dvd Calendar'!$E$120:$CZ$120,'Dvd Calendar'!$E$119:$CZ$119,"&gt;"&amp;E$48,'Dvd Calendar'!$E$119:$CZ$119,"&lt;="&amp;E$49),"")))</f>
        <v/>
      </c>
      <c r="F107" s="140">
        <f>IF(F$49="","",IF($B107="","",IFERROR(SUMIFS('Dvd Calendar'!$E$120:$CZ$120,'Dvd Calendar'!$E$119:$CZ$119,"&gt;"&amp;F$48,'Dvd Calendar'!$E$119:$CZ$119,"&lt;="&amp;F$49),"")))</f>
        <v/>
      </c>
      <c r="G107" s="140">
        <f>IF(G$49="","",IF($B107="","",IFERROR(SUMIFS('Dvd Calendar'!$E$120:$CZ$120,'Dvd Calendar'!$E$119:$CZ$119,"&gt;"&amp;G$48,'Dvd Calendar'!$E$119:$CZ$119,"&lt;="&amp;G$49),"")))</f>
        <v/>
      </c>
      <c r="H107" s="140">
        <f>IF(H$49="","",IF($B107="","",IFERROR(SUMIFS('Dvd Calendar'!$E$120:$CZ$120,'Dvd Calendar'!$E$119:$CZ$119,"&gt;"&amp;H$48,'Dvd Calendar'!$E$119:$CZ$119,"&lt;="&amp;H$49),"")))</f>
        <v/>
      </c>
      <c r="I107" s="140">
        <f>IF(I$49="","",IF($B107="","",IFERROR(SUMIFS('Dvd Calendar'!$E$120:$CZ$120,'Dvd Calendar'!$E$119:$CZ$119,"&gt;"&amp;I$48,'Dvd Calendar'!$E$119:$CZ$119,"&lt;="&amp;I$49),"")))</f>
        <v/>
      </c>
      <c r="J107" s="140">
        <f>IF(J$49="","",IF($B107="","",IFERROR(SUMIFS('Dvd Calendar'!$E$120:$CZ$120,'Dvd Calendar'!$E$119:$CZ$119,"&gt;"&amp;J$48,'Dvd Calendar'!$E$119:$CZ$119,"&lt;="&amp;J$49),"")))</f>
        <v/>
      </c>
      <c r="K107" s="140">
        <f>IF(K$49="","",IF($B107="","",IFERROR(SUMIFS('Dvd Calendar'!$E$120:$CZ$120,'Dvd Calendar'!$E$119:$CZ$119,"&gt;"&amp;K$48,'Dvd Calendar'!$E$119:$CZ$119,"&lt;="&amp;K$49),"")))</f>
        <v/>
      </c>
      <c r="L107" s="140">
        <f>IF(L$49="","",IF($B107="","",IFERROR(SUMIFS('Dvd Calendar'!$E$120:$CZ$120,'Dvd Calendar'!$E$119:$CZ$119,"&gt;"&amp;L$48,'Dvd Calendar'!$E$119:$CZ$119,"&lt;="&amp;L$49),"")))</f>
        <v/>
      </c>
      <c r="M107" s="140">
        <f>IF(M$49="","",IF($B107="","",IFERROR(SUMIFS('Dvd Calendar'!$E$120:$CZ$120,'Dvd Calendar'!$E$119:$CZ$119,"&gt;"&amp;M$48,'Dvd Calendar'!$E$119:$CZ$119,"&lt;="&amp;M$49),"")))</f>
        <v/>
      </c>
      <c r="N107" s="140">
        <f>IF(N$49="","",IF($B107="","",IFERROR(SUMIFS('Dvd Calendar'!$E$120:$CZ$120,'Dvd Calendar'!$E$119:$CZ$119,"&gt;"&amp;N$48,'Dvd Calendar'!$E$119:$CZ$119,"&lt;="&amp;N$49),"")))</f>
        <v/>
      </c>
      <c r="O107" s="140">
        <f>IF(O$49="","",IF($B107="","",IFERROR(SUMIFS('Dvd Calendar'!$E$120:$CZ$120,'Dvd Calendar'!$E$119:$CZ$119,"&gt;"&amp;O$48,'Dvd Calendar'!$E$119:$CZ$119,"&lt;="&amp;O$49),"")))</f>
        <v/>
      </c>
      <c r="P107" s="140">
        <f>IF(P$49="","",IF($B107="","",IFERROR(SUMIFS('Dvd Calendar'!$E$120:$CZ$120,'Dvd Calendar'!$E$119:$CZ$119,"&gt;"&amp;P$48,'Dvd Calendar'!$E$119:$CZ$119,"&lt;="&amp;P$49),"")))</f>
        <v/>
      </c>
      <c r="Q107" s="140">
        <f>IF(Q$49="","",IF($B107="","",IFERROR(SUMIFS('Dvd Calendar'!$E$120:$CZ$120,'Dvd Calendar'!$E$119:$CZ$119,"&gt;"&amp;Q$48,'Dvd Calendar'!$E$119:$CZ$119,"&lt;="&amp;Q$49),"")))</f>
        <v/>
      </c>
      <c r="R107" s="140">
        <f>IF(R$49="","",IF($B107="","",IFERROR(SUMIFS('Dvd Calendar'!$E$120:$CZ$120,'Dvd Calendar'!$E$119:$CZ$119,"&gt;"&amp;R$48,'Dvd Calendar'!$E$119:$CZ$119,"&lt;="&amp;R$49),"")))</f>
        <v/>
      </c>
      <c r="U107" s="146" t="n"/>
      <c r="V107" s="146" t="n"/>
      <c r="W107" s="146" t="n"/>
      <c r="X107" s="146" t="n"/>
      <c r="Y107" s="146" t="n"/>
      <c r="Z107" s="146" t="n"/>
      <c r="AA107" s="146" t="n"/>
      <c r="AB107" s="146" t="n"/>
      <c r="AC107" s="146" t="n"/>
      <c r="AD107" s="146" t="n"/>
      <c r="AE107" s="146" t="n"/>
      <c r="AF107" s="146" t="n"/>
      <c r="AG107" s="146" t="n"/>
      <c r="AH107" s="146" t="n"/>
      <c r="AI107" s="146" t="n"/>
      <c r="AJ107" s="146" t="n"/>
    </row>
    <row r="108">
      <c r="B108" s="5">
        <f>IF(AS51!$C$63="","",AS51!$C$63)</f>
        <v/>
      </c>
      <c r="C108" s="140">
        <f>IF(C$49="","",IF($B108="","",IFERROR(SUMIFS('Dvd Calendar'!$E$122:$CZ$122,'Dvd Calendar'!$E$121:$CZ$121,"&gt;"&amp;C$48,'Dvd Calendar'!$E$121:$CZ$121,"&lt;="&amp;C$49),"")))</f>
        <v/>
      </c>
      <c r="D108" s="140">
        <f>IF(D$49="","",IF($B108="","",IFERROR(SUMIFS('Dvd Calendar'!$E$122:$CZ$122,'Dvd Calendar'!$E$121:$CZ$121,"&gt;"&amp;D$48,'Dvd Calendar'!$E$121:$CZ$121,"&lt;="&amp;D$49),"")))</f>
        <v/>
      </c>
      <c r="E108" s="140">
        <f>IF(E$49="","",IF($B108="","",IFERROR(SUMIFS('Dvd Calendar'!$E$122:$CZ$122,'Dvd Calendar'!$E$121:$CZ$121,"&gt;"&amp;E$48,'Dvd Calendar'!$E$121:$CZ$121,"&lt;="&amp;E$49),"")))</f>
        <v/>
      </c>
      <c r="F108" s="140">
        <f>IF(F$49="","",IF($B108="","",IFERROR(SUMIFS('Dvd Calendar'!$E$122:$CZ$122,'Dvd Calendar'!$E$121:$CZ$121,"&gt;"&amp;F$48,'Dvd Calendar'!$E$121:$CZ$121,"&lt;="&amp;F$49),"")))</f>
        <v/>
      </c>
      <c r="G108" s="140">
        <f>IF(G$49="","",IF($B108="","",IFERROR(SUMIFS('Dvd Calendar'!$E$122:$CZ$122,'Dvd Calendar'!$E$121:$CZ$121,"&gt;"&amp;G$48,'Dvd Calendar'!$E$121:$CZ$121,"&lt;="&amp;G$49),"")))</f>
        <v/>
      </c>
      <c r="H108" s="140">
        <f>IF(H$49="","",IF($B108="","",IFERROR(SUMIFS('Dvd Calendar'!$E$122:$CZ$122,'Dvd Calendar'!$E$121:$CZ$121,"&gt;"&amp;H$48,'Dvd Calendar'!$E$121:$CZ$121,"&lt;="&amp;H$49),"")))</f>
        <v/>
      </c>
      <c r="I108" s="140">
        <f>IF(I$49="","",IF($B108="","",IFERROR(SUMIFS('Dvd Calendar'!$E$122:$CZ$122,'Dvd Calendar'!$E$121:$CZ$121,"&gt;"&amp;I$48,'Dvd Calendar'!$E$121:$CZ$121,"&lt;="&amp;I$49),"")))</f>
        <v/>
      </c>
      <c r="J108" s="140">
        <f>IF(J$49="","",IF($B108="","",IFERROR(SUMIFS('Dvd Calendar'!$E$122:$CZ$122,'Dvd Calendar'!$E$121:$CZ$121,"&gt;"&amp;J$48,'Dvd Calendar'!$E$121:$CZ$121,"&lt;="&amp;J$49),"")))</f>
        <v/>
      </c>
      <c r="K108" s="140">
        <f>IF(K$49="","",IF($B108="","",IFERROR(SUMIFS('Dvd Calendar'!$E$122:$CZ$122,'Dvd Calendar'!$E$121:$CZ$121,"&gt;"&amp;K$48,'Dvd Calendar'!$E$121:$CZ$121,"&lt;="&amp;K$49),"")))</f>
        <v/>
      </c>
      <c r="L108" s="140">
        <f>IF(L$49="","",IF($B108="","",IFERROR(SUMIFS('Dvd Calendar'!$E$122:$CZ$122,'Dvd Calendar'!$E$121:$CZ$121,"&gt;"&amp;L$48,'Dvd Calendar'!$E$121:$CZ$121,"&lt;="&amp;L$49),"")))</f>
        <v/>
      </c>
      <c r="M108" s="140">
        <f>IF(M$49="","",IF($B108="","",IFERROR(SUMIFS('Dvd Calendar'!$E$122:$CZ$122,'Dvd Calendar'!$E$121:$CZ$121,"&gt;"&amp;M$48,'Dvd Calendar'!$E$121:$CZ$121,"&lt;="&amp;M$49),"")))</f>
        <v/>
      </c>
      <c r="N108" s="140">
        <f>IF(N$49="","",IF($B108="","",IFERROR(SUMIFS('Dvd Calendar'!$E$122:$CZ$122,'Dvd Calendar'!$E$121:$CZ$121,"&gt;"&amp;N$48,'Dvd Calendar'!$E$121:$CZ$121,"&lt;="&amp;N$49),"")))</f>
        <v/>
      </c>
      <c r="O108" s="140">
        <f>IF(O$49="","",IF($B108="","",IFERROR(SUMIFS('Dvd Calendar'!$E$122:$CZ$122,'Dvd Calendar'!$E$121:$CZ$121,"&gt;"&amp;O$48,'Dvd Calendar'!$E$121:$CZ$121,"&lt;="&amp;O$49),"")))</f>
        <v/>
      </c>
      <c r="P108" s="140">
        <f>IF(P$49="","",IF($B108="","",IFERROR(SUMIFS('Dvd Calendar'!$E$122:$CZ$122,'Dvd Calendar'!$E$121:$CZ$121,"&gt;"&amp;P$48,'Dvd Calendar'!$E$121:$CZ$121,"&lt;="&amp;P$49),"")))</f>
        <v/>
      </c>
      <c r="Q108" s="140">
        <f>IF(Q$49="","",IF($B108="","",IFERROR(SUMIFS('Dvd Calendar'!$E$122:$CZ$122,'Dvd Calendar'!$E$121:$CZ$121,"&gt;"&amp;Q$48,'Dvd Calendar'!$E$121:$CZ$121,"&lt;="&amp;Q$49),"")))</f>
        <v/>
      </c>
      <c r="R108" s="140">
        <f>IF(R$49="","",IF($B108="","",IFERROR(SUMIFS('Dvd Calendar'!$E$122:$CZ$122,'Dvd Calendar'!$E$121:$CZ$121,"&gt;"&amp;R$48,'Dvd Calendar'!$E$121:$CZ$121,"&lt;="&amp;R$49),"")))</f>
        <v/>
      </c>
      <c r="U108" s="146" t="n"/>
      <c r="V108" s="146" t="n"/>
      <c r="W108" s="146" t="n"/>
      <c r="X108" s="146" t="n"/>
      <c r="Y108" s="146" t="n"/>
      <c r="Z108" s="146" t="n"/>
      <c r="AA108" s="146" t="n"/>
      <c r="AB108" s="146" t="n"/>
      <c r="AC108" s="146" t="n"/>
      <c r="AD108" s="146" t="n"/>
      <c r="AE108" s="146" t="n"/>
      <c r="AF108" s="146" t="n"/>
      <c r="AG108" s="146" t="n"/>
      <c r="AH108" s="146" t="n"/>
      <c r="AI108" s="146" t="n"/>
      <c r="AJ108" s="146" t="n"/>
    </row>
    <row r="109">
      <c r="B109" s="5">
        <f>IF(AS51!$C$64="","",AS51!$C$64)</f>
        <v/>
      </c>
      <c r="C109" s="140">
        <f>IF(C$49="","",IF($B109="","",IFERROR(SUMIFS('Dvd Calendar'!$E$124:$CZ$124,'Dvd Calendar'!$E$123:$CZ$123,"&gt;"&amp;C$48,'Dvd Calendar'!$E$123:$CZ$123,"&lt;="&amp;C$49),"")))</f>
        <v/>
      </c>
      <c r="D109" s="140">
        <f>IF(D$49="","",IF($B109="","",IFERROR(SUMIFS('Dvd Calendar'!$E$124:$CZ$124,'Dvd Calendar'!$E$123:$CZ$123,"&gt;"&amp;D$48,'Dvd Calendar'!$E$123:$CZ$123,"&lt;="&amp;D$49),"")))</f>
        <v/>
      </c>
      <c r="E109" s="140">
        <f>IF(E$49="","",IF($B109="","",IFERROR(SUMIFS('Dvd Calendar'!$E$124:$CZ$124,'Dvd Calendar'!$E$123:$CZ$123,"&gt;"&amp;E$48,'Dvd Calendar'!$E$123:$CZ$123,"&lt;="&amp;E$49),"")))</f>
        <v/>
      </c>
      <c r="F109" s="140">
        <f>IF(F$49="","",IF($B109="","",IFERROR(SUMIFS('Dvd Calendar'!$E$124:$CZ$124,'Dvd Calendar'!$E$123:$CZ$123,"&gt;"&amp;F$48,'Dvd Calendar'!$E$123:$CZ$123,"&lt;="&amp;F$49),"")))</f>
        <v/>
      </c>
      <c r="G109" s="140">
        <f>IF(G$49="","",IF($B109="","",IFERROR(SUMIFS('Dvd Calendar'!$E$124:$CZ$124,'Dvd Calendar'!$E$123:$CZ$123,"&gt;"&amp;G$48,'Dvd Calendar'!$E$123:$CZ$123,"&lt;="&amp;G$49),"")))</f>
        <v/>
      </c>
      <c r="H109" s="140">
        <f>IF(H$49="","",IF($B109="","",IFERROR(SUMIFS('Dvd Calendar'!$E$124:$CZ$124,'Dvd Calendar'!$E$123:$CZ$123,"&gt;"&amp;H$48,'Dvd Calendar'!$E$123:$CZ$123,"&lt;="&amp;H$49),"")))</f>
        <v/>
      </c>
      <c r="I109" s="140">
        <f>IF(I$49="","",IF($B109="","",IFERROR(SUMIFS('Dvd Calendar'!$E$124:$CZ$124,'Dvd Calendar'!$E$123:$CZ$123,"&gt;"&amp;I$48,'Dvd Calendar'!$E$123:$CZ$123,"&lt;="&amp;I$49),"")))</f>
        <v/>
      </c>
      <c r="J109" s="140">
        <f>IF(J$49="","",IF($B109="","",IFERROR(SUMIFS('Dvd Calendar'!$E$124:$CZ$124,'Dvd Calendar'!$E$123:$CZ$123,"&gt;"&amp;J$48,'Dvd Calendar'!$E$123:$CZ$123,"&lt;="&amp;J$49),"")))</f>
        <v/>
      </c>
      <c r="K109" s="140">
        <f>IF(K$49="","",IF($B109="","",IFERROR(SUMIFS('Dvd Calendar'!$E$124:$CZ$124,'Dvd Calendar'!$E$123:$CZ$123,"&gt;"&amp;K$48,'Dvd Calendar'!$E$123:$CZ$123,"&lt;="&amp;K$49),"")))</f>
        <v/>
      </c>
      <c r="L109" s="140">
        <f>IF(L$49="","",IF($B109="","",IFERROR(SUMIFS('Dvd Calendar'!$E$124:$CZ$124,'Dvd Calendar'!$E$123:$CZ$123,"&gt;"&amp;L$48,'Dvd Calendar'!$E$123:$CZ$123,"&lt;="&amp;L$49),"")))</f>
        <v/>
      </c>
      <c r="M109" s="140">
        <f>IF(M$49="","",IF($B109="","",IFERROR(SUMIFS('Dvd Calendar'!$E$124:$CZ$124,'Dvd Calendar'!$E$123:$CZ$123,"&gt;"&amp;M$48,'Dvd Calendar'!$E$123:$CZ$123,"&lt;="&amp;M$49),"")))</f>
        <v/>
      </c>
      <c r="N109" s="140">
        <f>IF(N$49="","",IF($B109="","",IFERROR(SUMIFS('Dvd Calendar'!$E$124:$CZ$124,'Dvd Calendar'!$E$123:$CZ$123,"&gt;"&amp;N$48,'Dvd Calendar'!$E$123:$CZ$123,"&lt;="&amp;N$49),"")))</f>
        <v/>
      </c>
      <c r="O109" s="140">
        <f>IF(O$49="","",IF($B109="","",IFERROR(SUMIFS('Dvd Calendar'!$E$124:$CZ$124,'Dvd Calendar'!$E$123:$CZ$123,"&gt;"&amp;O$48,'Dvd Calendar'!$E$123:$CZ$123,"&lt;="&amp;O$49),"")))</f>
        <v/>
      </c>
      <c r="P109" s="140">
        <f>IF(P$49="","",IF($B109="","",IFERROR(SUMIFS('Dvd Calendar'!$E$124:$CZ$124,'Dvd Calendar'!$E$123:$CZ$123,"&gt;"&amp;P$48,'Dvd Calendar'!$E$123:$CZ$123,"&lt;="&amp;P$49),"")))</f>
        <v/>
      </c>
      <c r="Q109" s="140">
        <f>IF(Q$49="","",IF($B109="","",IFERROR(SUMIFS('Dvd Calendar'!$E$124:$CZ$124,'Dvd Calendar'!$E$123:$CZ$123,"&gt;"&amp;Q$48,'Dvd Calendar'!$E$123:$CZ$123,"&lt;="&amp;Q$49),"")))</f>
        <v/>
      </c>
      <c r="R109" s="140">
        <f>IF(R$49="","",IF($B109="","",IFERROR(SUMIFS('Dvd Calendar'!$E$124:$CZ$124,'Dvd Calendar'!$E$123:$CZ$123,"&gt;"&amp;R$48,'Dvd Calendar'!$E$123:$CZ$123,"&lt;="&amp;R$49),"")))</f>
        <v/>
      </c>
      <c r="U109" s="146" t="n"/>
      <c r="V109" s="146" t="n"/>
      <c r="W109" s="146" t="n"/>
      <c r="X109" s="146" t="n"/>
      <c r="Y109" s="146" t="n"/>
      <c r="Z109" s="146" t="n"/>
      <c r="AA109" s="146" t="n"/>
      <c r="AB109" s="146" t="n"/>
      <c r="AC109" s="146" t="n"/>
      <c r="AD109" s="146" t="n"/>
      <c r="AE109" s="146" t="n"/>
      <c r="AF109" s="146" t="n"/>
      <c r="AG109" s="146" t="n"/>
      <c r="AH109" s="146" t="n"/>
      <c r="AI109" s="146" t="n"/>
      <c r="AJ109" s="146" t="n"/>
    </row>
    <row r="110">
      <c r="B110" s="5">
        <f>IF(AS51!$C$65="","",AS51!$C$65)</f>
        <v/>
      </c>
      <c r="C110" s="140">
        <f>IF(C$49="","",IF($B110="","",IFERROR(SUMIFS('Dvd Calendar'!$E$126:$CZ$126,'Dvd Calendar'!$E$125:$CZ$125,"&gt;"&amp;C$48,'Dvd Calendar'!$E$125:$CZ$125,"&lt;="&amp;C$49),"")))</f>
        <v/>
      </c>
      <c r="D110" s="140">
        <f>IF(D$49="","",IF($B110="","",IFERROR(SUMIFS('Dvd Calendar'!$E$126:$CZ$126,'Dvd Calendar'!$E$125:$CZ$125,"&gt;"&amp;D$48,'Dvd Calendar'!$E$125:$CZ$125,"&lt;="&amp;D$49),"")))</f>
        <v/>
      </c>
      <c r="E110" s="140">
        <f>IF(E$49="","",IF($B110="","",IFERROR(SUMIFS('Dvd Calendar'!$E$126:$CZ$126,'Dvd Calendar'!$E$125:$CZ$125,"&gt;"&amp;E$48,'Dvd Calendar'!$E$125:$CZ$125,"&lt;="&amp;E$49),"")))</f>
        <v/>
      </c>
      <c r="F110" s="140">
        <f>IF(F$49="","",IF($B110="","",IFERROR(SUMIFS('Dvd Calendar'!$E$126:$CZ$126,'Dvd Calendar'!$E$125:$CZ$125,"&gt;"&amp;F$48,'Dvd Calendar'!$E$125:$CZ$125,"&lt;="&amp;F$49),"")))</f>
        <v/>
      </c>
      <c r="G110" s="140">
        <f>IF(G$49="","",IF($B110="","",IFERROR(SUMIFS('Dvd Calendar'!$E$126:$CZ$126,'Dvd Calendar'!$E$125:$CZ$125,"&gt;"&amp;G$48,'Dvd Calendar'!$E$125:$CZ$125,"&lt;="&amp;G$49),"")))</f>
        <v/>
      </c>
      <c r="H110" s="140">
        <f>IF(H$49="","",IF($B110="","",IFERROR(SUMIFS('Dvd Calendar'!$E$126:$CZ$126,'Dvd Calendar'!$E$125:$CZ$125,"&gt;"&amp;H$48,'Dvd Calendar'!$E$125:$CZ$125,"&lt;="&amp;H$49),"")))</f>
        <v/>
      </c>
      <c r="I110" s="140">
        <f>IF(I$49="","",IF($B110="","",IFERROR(SUMIFS('Dvd Calendar'!$E$126:$CZ$126,'Dvd Calendar'!$E$125:$CZ$125,"&gt;"&amp;I$48,'Dvd Calendar'!$E$125:$CZ$125,"&lt;="&amp;I$49),"")))</f>
        <v/>
      </c>
      <c r="J110" s="140">
        <f>IF(J$49="","",IF($B110="","",IFERROR(SUMIFS('Dvd Calendar'!$E$126:$CZ$126,'Dvd Calendar'!$E$125:$CZ$125,"&gt;"&amp;J$48,'Dvd Calendar'!$E$125:$CZ$125,"&lt;="&amp;J$49),"")))</f>
        <v/>
      </c>
      <c r="K110" s="140">
        <f>IF(K$49="","",IF($B110="","",IFERROR(SUMIFS('Dvd Calendar'!$E$126:$CZ$126,'Dvd Calendar'!$E$125:$CZ$125,"&gt;"&amp;K$48,'Dvd Calendar'!$E$125:$CZ$125,"&lt;="&amp;K$49),"")))</f>
        <v/>
      </c>
      <c r="L110" s="140">
        <f>IF(L$49="","",IF($B110="","",IFERROR(SUMIFS('Dvd Calendar'!$E$126:$CZ$126,'Dvd Calendar'!$E$125:$CZ$125,"&gt;"&amp;L$48,'Dvd Calendar'!$E$125:$CZ$125,"&lt;="&amp;L$49),"")))</f>
        <v/>
      </c>
      <c r="M110" s="140">
        <f>IF(M$49="","",IF($B110="","",IFERROR(SUMIFS('Dvd Calendar'!$E$126:$CZ$126,'Dvd Calendar'!$E$125:$CZ$125,"&gt;"&amp;M$48,'Dvd Calendar'!$E$125:$CZ$125,"&lt;="&amp;M$49),"")))</f>
        <v/>
      </c>
      <c r="N110" s="140">
        <f>IF(N$49="","",IF($B110="","",IFERROR(SUMIFS('Dvd Calendar'!$E$126:$CZ$126,'Dvd Calendar'!$E$125:$CZ$125,"&gt;"&amp;N$48,'Dvd Calendar'!$E$125:$CZ$125,"&lt;="&amp;N$49),"")))</f>
        <v/>
      </c>
      <c r="O110" s="140">
        <f>IF(O$49="","",IF($B110="","",IFERROR(SUMIFS('Dvd Calendar'!$E$126:$CZ$126,'Dvd Calendar'!$E$125:$CZ$125,"&gt;"&amp;O$48,'Dvd Calendar'!$E$125:$CZ$125,"&lt;="&amp;O$49),"")))</f>
        <v/>
      </c>
      <c r="P110" s="140">
        <f>IF(P$49="","",IF($B110="","",IFERROR(SUMIFS('Dvd Calendar'!$E$126:$CZ$126,'Dvd Calendar'!$E$125:$CZ$125,"&gt;"&amp;P$48,'Dvd Calendar'!$E$125:$CZ$125,"&lt;="&amp;P$49),"")))</f>
        <v/>
      </c>
      <c r="Q110" s="140">
        <f>IF(Q$49="","",IF($B110="","",IFERROR(SUMIFS('Dvd Calendar'!$E$126:$CZ$126,'Dvd Calendar'!$E$125:$CZ$125,"&gt;"&amp;Q$48,'Dvd Calendar'!$E$125:$CZ$125,"&lt;="&amp;Q$49),"")))</f>
        <v/>
      </c>
      <c r="R110" s="140">
        <f>IF(R$49="","",IF($B110="","",IFERROR(SUMIFS('Dvd Calendar'!$E$126:$CZ$126,'Dvd Calendar'!$E$125:$CZ$125,"&gt;"&amp;R$48,'Dvd Calendar'!$E$125:$CZ$125,"&lt;="&amp;R$49),"")))</f>
        <v/>
      </c>
      <c r="U110" s="146" t="n"/>
      <c r="V110" s="146" t="n"/>
      <c r="W110" s="146" t="n"/>
      <c r="X110" s="146" t="n"/>
      <c r="Y110" s="146" t="n"/>
      <c r="Z110" s="146" t="n"/>
      <c r="AA110" s="146" t="n"/>
      <c r="AB110" s="146" t="n"/>
      <c r="AC110" s="146" t="n"/>
      <c r="AD110" s="146" t="n"/>
      <c r="AE110" s="146" t="n"/>
      <c r="AF110" s="146" t="n"/>
      <c r="AG110" s="146" t="n"/>
      <c r="AH110" s="146" t="n"/>
      <c r="AI110" s="146" t="n"/>
      <c r="AJ110" s="146" t="n"/>
    </row>
    <row r="111">
      <c r="B111" s="5">
        <f>IF(AS51!$C$66="","",AS51!$C$66)</f>
        <v/>
      </c>
      <c r="C111" s="140">
        <f>IF(C$49="","",IF($B111="","",IFERROR(SUMIFS('Dvd Calendar'!$E$128:$CZ$128,'Dvd Calendar'!$E$127:$CZ$127,"&gt;"&amp;C$48,'Dvd Calendar'!$E$127:$CZ$127,"&lt;="&amp;C$49),"")))</f>
        <v/>
      </c>
      <c r="D111" s="140">
        <f>IF(D$49="","",IF($B111="","",IFERROR(SUMIFS('Dvd Calendar'!$E$128:$CZ$128,'Dvd Calendar'!$E$127:$CZ$127,"&gt;"&amp;D$48,'Dvd Calendar'!$E$127:$CZ$127,"&lt;="&amp;D$49),"")))</f>
        <v/>
      </c>
      <c r="E111" s="140">
        <f>IF(E$49="","",IF($B111="","",IFERROR(SUMIFS('Dvd Calendar'!$E$128:$CZ$128,'Dvd Calendar'!$E$127:$CZ$127,"&gt;"&amp;E$48,'Dvd Calendar'!$E$127:$CZ$127,"&lt;="&amp;E$49),"")))</f>
        <v/>
      </c>
      <c r="F111" s="140">
        <f>IF(F$49="","",IF($B111="","",IFERROR(SUMIFS('Dvd Calendar'!$E$128:$CZ$128,'Dvd Calendar'!$E$127:$CZ$127,"&gt;"&amp;F$48,'Dvd Calendar'!$E$127:$CZ$127,"&lt;="&amp;F$49),"")))</f>
        <v/>
      </c>
      <c r="G111" s="140">
        <f>IF(G$49="","",IF($B111="","",IFERROR(SUMIFS('Dvd Calendar'!$E$128:$CZ$128,'Dvd Calendar'!$E$127:$CZ$127,"&gt;"&amp;G$48,'Dvd Calendar'!$E$127:$CZ$127,"&lt;="&amp;G$49),"")))</f>
        <v/>
      </c>
      <c r="H111" s="140">
        <f>IF(H$49="","",IF($B111="","",IFERROR(SUMIFS('Dvd Calendar'!$E$128:$CZ$128,'Dvd Calendar'!$E$127:$CZ$127,"&gt;"&amp;H$48,'Dvd Calendar'!$E$127:$CZ$127,"&lt;="&amp;H$49),"")))</f>
        <v/>
      </c>
      <c r="I111" s="140">
        <f>IF(I$49="","",IF($B111="","",IFERROR(SUMIFS('Dvd Calendar'!$E$128:$CZ$128,'Dvd Calendar'!$E$127:$CZ$127,"&gt;"&amp;I$48,'Dvd Calendar'!$E$127:$CZ$127,"&lt;="&amp;I$49),"")))</f>
        <v/>
      </c>
      <c r="J111" s="140">
        <f>IF(J$49="","",IF($B111="","",IFERROR(SUMIFS('Dvd Calendar'!$E$128:$CZ$128,'Dvd Calendar'!$E$127:$CZ$127,"&gt;"&amp;J$48,'Dvd Calendar'!$E$127:$CZ$127,"&lt;="&amp;J$49),"")))</f>
        <v/>
      </c>
      <c r="K111" s="140">
        <f>IF(K$49="","",IF($B111="","",IFERROR(SUMIFS('Dvd Calendar'!$E$128:$CZ$128,'Dvd Calendar'!$E$127:$CZ$127,"&gt;"&amp;K$48,'Dvd Calendar'!$E$127:$CZ$127,"&lt;="&amp;K$49),"")))</f>
        <v/>
      </c>
      <c r="L111" s="140">
        <f>IF(L$49="","",IF($B111="","",IFERROR(SUMIFS('Dvd Calendar'!$E$128:$CZ$128,'Dvd Calendar'!$E$127:$CZ$127,"&gt;"&amp;L$48,'Dvd Calendar'!$E$127:$CZ$127,"&lt;="&amp;L$49),"")))</f>
        <v/>
      </c>
      <c r="M111" s="140">
        <f>IF(M$49="","",IF($B111="","",IFERROR(SUMIFS('Dvd Calendar'!$E$128:$CZ$128,'Dvd Calendar'!$E$127:$CZ$127,"&gt;"&amp;M$48,'Dvd Calendar'!$E$127:$CZ$127,"&lt;="&amp;M$49),"")))</f>
        <v/>
      </c>
      <c r="N111" s="140">
        <f>IF(N$49="","",IF($B111="","",IFERROR(SUMIFS('Dvd Calendar'!$E$128:$CZ$128,'Dvd Calendar'!$E$127:$CZ$127,"&gt;"&amp;N$48,'Dvd Calendar'!$E$127:$CZ$127,"&lt;="&amp;N$49),"")))</f>
        <v/>
      </c>
      <c r="O111" s="140">
        <f>IF(O$49="","",IF($B111="","",IFERROR(SUMIFS('Dvd Calendar'!$E$128:$CZ$128,'Dvd Calendar'!$E$127:$CZ$127,"&gt;"&amp;O$48,'Dvd Calendar'!$E$127:$CZ$127,"&lt;="&amp;O$49),"")))</f>
        <v/>
      </c>
      <c r="P111" s="140">
        <f>IF(P$49="","",IF($B111="","",IFERROR(SUMIFS('Dvd Calendar'!$E$128:$CZ$128,'Dvd Calendar'!$E$127:$CZ$127,"&gt;"&amp;P$48,'Dvd Calendar'!$E$127:$CZ$127,"&lt;="&amp;P$49),"")))</f>
        <v/>
      </c>
      <c r="Q111" s="140">
        <f>IF(Q$49="","",IF($B111="","",IFERROR(SUMIFS('Dvd Calendar'!$E$128:$CZ$128,'Dvd Calendar'!$E$127:$CZ$127,"&gt;"&amp;Q$48,'Dvd Calendar'!$E$127:$CZ$127,"&lt;="&amp;Q$49),"")))</f>
        <v/>
      </c>
      <c r="R111" s="140">
        <f>IF(R$49="","",IF($B111="","",IFERROR(SUMIFS('Dvd Calendar'!$E$128:$CZ$128,'Dvd Calendar'!$E$127:$CZ$127,"&gt;"&amp;R$48,'Dvd Calendar'!$E$127:$CZ$127,"&lt;="&amp;R$49),"")))</f>
        <v/>
      </c>
      <c r="U111" s="146" t="n"/>
      <c r="V111" s="146" t="n"/>
      <c r="W111" s="146" t="n"/>
      <c r="X111" s="146" t="n"/>
      <c r="Y111" s="146" t="n"/>
      <c r="Z111" s="146" t="n"/>
      <c r="AA111" s="146" t="n"/>
      <c r="AB111" s="146" t="n"/>
      <c r="AC111" s="146" t="n"/>
      <c r="AD111" s="146" t="n"/>
      <c r="AE111" s="146" t="n"/>
      <c r="AF111" s="146" t="n"/>
      <c r="AG111" s="146" t="n"/>
      <c r="AH111" s="146" t="n"/>
      <c r="AI111" s="146" t="n"/>
      <c r="AJ111" s="146" t="n"/>
    </row>
    <row r="112">
      <c r="B112" s="5">
        <f>IF(AS51!$C$67="","",AS51!$C$67)</f>
        <v/>
      </c>
      <c r="C112" s="140">
        <f>IF(C$49="","",IF($B112="","",IFERROR(SUMIFS('Dvd Calendar'!$E$130:$CZ$130,'Dvd Calendar'!$E$129:$CZ$129,"&gt;"&amp;C$48,'Dvd Calendar'!$E$129:$CZ$129,"&lt;="&amp;C$49),"")))</f>
        <v/>
      </c>
      <c r="D112" s="140">
        <f>IF(D$49="","",IF($B112="","",IFERROR(SUMIFS('Dvd Calendar'!$E$130:$CZ$130,'Dvd Calendar'!$E$129:$CZ$129,"&gt;"&amp;D$48,'Dvd Calendar'!$E$129:$CZ$129,"&lt;="&amp;D$49),"")))</f>
        <v/>
      </c>
      <c r="E112" s="140">
        <f>IF(E$49="","",IF($B112="","",IFERROR(SUMIFS('Dvd Calendar'!$E$130:$CZ$130,'Dvd Calendar'!$E$129:$CZ$129,"&gt;"&amp;E$48,'Dvd Calendar'!$E$129:$CZ$129,"&lt;="&amp;E$49),"")))</f>
        <v/>
      </c>
      <c r="F112" s="140">
        <f>IF(F$49="","",IF($B112="","",IFERROR(SUMIFS('Dvd Calendar'!$E$130:$CZ$130,'Dvd Calendar'!$E$129:$CZ$129,"&gt;"&amp;F$48,'Dvd Calendar'!$E$129:$CZ$129,"&lt;="&amp;F$49),"")))</f>
        <v/>
      </c>
      <c r="G112" s="140">
        <f>IF(G$49="","",IF($B112="","",IFERROR(SUMIFS('Dvd Calendar'!$E$130:$CZ$130,'Dvd Calendar'!$E$129:$CZ$129,"&gt;"&amp;G$48,'Dvd Calendar'!$E$129:$CZ$129,"&lt;="&amp;G$49),"")))</f>
        <v/>
      </c>
      <c r="H112" s="140">
        <f>IF(H$49="","",IF($B112="","",IFERROR(SUMIFS('Dvd Calendar'!$E$130:$CZ$130,'Dvd Calendar'!$E$129:$CZ$129,"&gt;"&amp;H$48,'Dvd Calendar'!$E$129:$CZ$129,"&lt;="&amp;H$49),"")))</f>
        <v/>
      </c>
      <c r="I112" s="140">
        <f>IF(I$49="","",IF($B112="","",IFERROR(SUMIFS('Dvd Calendar'!$E$130:$CZ$130,'Dvd Calendar'!$E$129:$CZ$129,"&gt;"&amp;I$48,'Dvd Calendar'!$E$129:$CZ$129,"&lt;="&amp;I$49),"")))</f>
        <v/>
      </c>
      <c r="J112" s="140">
        <f>IF(J$49="","",IF($B112="","",IFERROR(SUMIFS('Dvd Calendar'!$E$130:$CZ$130,'Dvd Calendar'!$E$129:$CZ$129,"&gt;"&amp;J$48,'Dvd Calendar'!$E$129:$CZ$129,"&lt;="&amp;J$49),"")))</f>
        <v/>
      </c>
      <c r="K112" s="140">
        <f>IF(K$49="","",IF($B112="","",IFERROR(SUMIFS('Dvd Calendar'!$E$130:$CZ$130,'Dvd Calendar'!$E$129:$CZ$129,"&gt;"&amp;K$48,'Dvd Calendar'!$E$129:$CZ$129,"&lt;="&amp;K$49),"")))</f>
        <v/>
      </c>
      <c r="L112" s="140">
        <f>IF(L$49="","",IF($B112="","",IFERROR(SUMIFS('Dvd Calendar'!$E$130:$CZ$130,'Dvd Calendar'!$E$129:$CZ$129,"&gt;"&amp;L$48,'Dvd Calendar'!$E$129:$CZ$129,"&lt;="&amp;L$49),"")))</f>
        <v/>
      </c>
      <c r="M112" s="140">
        <f>IF(M$49="","",IF($B112="","",IFERROR(SUMIFS('Dvd Calendar'!$E$130:$CZ$130,'Dvd Calendar'!$E$129:$CZ$129,"&gt;"&amp;M$48,'Dvd Calendar'!$E$129:$CZ$129,"&lt;="&amp;M$49),"")))</f>
        <v/>
      </c>
      <c r="N112" s="140">
        <f>IF(N$49="","",IF($B112="","",IFERROR(SUMIFS('Dvd Calendar'!$E$130:$CZ$130,'Dvd Calendar'!$E$129:$CZ$129,"&gt;"&amp;N$48,'Dvd Calendar'!$E$129:$CZ$129,"&lt;="&amp;N$49),"")))</f>
        <v/>
      </c>
      <c r="O112" s="140">
        <f>IF(O$49="","",IF($B112="","",IFERROR(SUMIFS('Dvd Calendar'!$E$130:$CZ$130,'Dvd Calendar'!$E$129:$CZ$129,"&gt;"&amp;O$48,'Dvd Calendar'!$E$129:$CZ$129,"&lt;="&amp;O$49),"")))</f>
        <v/>
      </c>
      <c r="P112" s="140">
        <f>IF(P$49="","",IF($B112="","",IFERROR(SUMIFS('Dvd Calendar'!$E$130:$CZ$130,'Dvd Calendar'!$E$129:$CZ$129,"&gt;"&amp;P$48,'Dvd Calendar'!$E$129:$CZ$129,"&lt;="&amp;P$49),"")))</f>
        <v/>
      </c>
      <c r="Q112" s="140">
        <f>IF(Q$49="","",IF($B112="","",IFERROR(SUMIFS('Dvd Calendar'!$E$130:$CZ$130,'Dvd Calendar'!$E$129:$CZ$129,"&gt;"&amp;Q$48,'Dvd Calendar'!$E$129:$CZ$129,"&lt;="&amp;Q$49),"")))</f>
        <v/>
      </c>
      <c r="R112" s="140">
        <f>IF(R$49="","",IF($B112="","",IFERROR(SUMIFS('Dvd Calendar'!$E$130:$CZ$130,'Dvd Calendar'!$E$129:$CZ$129,"&gt;"&amp;R$48,'Dvd Calendar'!$E$129:$CZ$129,"&lt;="&amp;R$49),"")))</f>
        <v/>
      </c>
      <c r="U112" s="146" t="n"/>
      <c r="V112" s="146" t="n"/>
      <c r="W112" s="146" t="n"/>
      <c r="X112" s="146" t="n"/>
      <c r="Y112" s="146" t="n"/>
      <c r="Z112" s="146" t="n"/>
      <c r="AA112" s="146" t="n"/>
      <c r="AB112" s="146" t="n"/>
      <c r="AC112" s="146" t="n"/>
      <c r="AD112" s="146" t="n"/>
      <c r="AE112" s="146" t="n"/>
      <c r="AF112" s="146" t="n"/>
      <c r="AG112" s="146" t="n"/>
      <c r="AH112" s="146" t="n"/>
      <c r="AI112" s="146" t="n"/>
      <c r="AJ112" s="146" t="n"/>
    </row>
    <row r="113">
      <c r="B113" s="5">
        <f>IF(AS51!$C$68="","",AS51!$C$68)</f>
        <v/>
      </c>
      <c r="C113" s="140">
        <f>IF(C$49="","",IF($B113="","",IFERROR(SUMIFS('Dvd Calendar'!$E$132:$CZ$132,'Dvd Calendar'!$E$131:$CZ$131,"&gt;"&amp;C$48,'Dvd Calendar'!$E$131:$CZ$131,"&lt;="&amp;C$49),"")))</f>
        <v/>
      </c>
      <c r="D113" s="140">
        <f>IF(D$49="","",IF($B113="","",IFERROR(SUMIFS('Dvd Calendar'!$E$132:$CZ$132,'Dvd Calendar'!$E$131:$CZ$131,"&gt;"&amp;D$48,'Dvd Calendar'!$E$131:$CZ$131,"&lt;="&amp;D$49),"")))</f>
        <v/>
      </c>
      <c r="E113" s="140">
        <f>IF(E$49="","",IF($B113="","",IFERROR(SUMIFS('Dvd Calendar'!$E$132:$CZ$132,'Dvd Calendar'!$E$131:$CZ$131,"&gt;"&amp;E$48,'Dvd Calendar'!$E$131:$CZ$131,"&lt;="&amp;E$49),"")))</f>
        <v/>
      </c>
      <c r="F113" s="140">
        <f>IF(F$49="","",IF($B113="","",IFERROR(SUMIFS('Dvd Calendar'!$E$132:$CZ$132,'Dvd Calendar'!$E$131:$CZ$131,"&gt;"&amp;F$48,'Dvd Calendar'!$E$131:$CZ$131,"&lt;="&amp;F$49),"")))</f>
        <v/>
      </c>
      <c r="G113" s="140">
        <f>IF(G$49="","",IF($B113="","",IFERROR(SUMIFS('Dvd Calendar'!$E$132:$CZ$132,'Dvd Calendar'!$E$131:$CZ$131,"&gt;"&amp;G$48,'Dvd Calendar'!$E$131:$CZ$131,"&lt;="&amp;G$49),"")))</f>
        <v/>
      </c>
      <c r="H113" s="140">
        <f>IF(H$49="","",IF($B113="","",IFERROR(SUMIFS('Dvd Calendar'!$E$132:$CZ$132,'Dvd Calendar'!$E$131:$CZ$131,"&gt;"&amp;H$48,'Dvd Calendar'!$E$131:$CZ$131,"&lt;="&amp;H$49),"")))</f>
        <v/>
      </c>
      <c r="I113" s="140">
        <f>IF(I$49="","",IF($B113="","",IFERROR(SUMIFS('Dvd Calendar'!$E$132:$CZ$132,'Dvd Calendar'!$E$131:$CZ$131,"&gt;"&amp;I$48,'Dvd Calendar'!$E$131:$CZ$131,"&lt;="&amp;I$49),"")))</f>
        <v/>
      </c>
      <c r="J113" s="140">
        <f>IF(J$49="","",IF($B113="","",IFERROR(SUMIFS('Dvd Calendar'!$E$132:$CZ$132,'Dvd Calendar'!$E$131:$CZ$131,"&gt;"&amp;J$48,'Dvd Calendar'!$E$131:$CZ$131,"&lt;="&amp;J$49),"")))</f>
        <v/>
      </c>
      <c r="K113" s="140">
        <f>IF(K$49="","",IF($B113="","",IFERROR(SUMIFS('Dvd Calendar'!$E$132:$CZ$132,'Dvd Calendar'!$E$131:$CZ$131,"&gt;"&amp;K$48,'Dvd Calendar'!$E$131:$CZ$131,"&lt;="&amp;K$49),"")))</f>
        <v/>
      </c>
      <c r="L113" s="140">
        <f>IF(L$49="","",IF($B113="","",IFERROR(SUMIFS('Dvd Calendar'!$E$132:$CZ$132,'Dvd Calendar'!$E$131:$CZ$131,"&gt;"&amp;L$48,'Dvd Calendar'!$E$131:$CZ$131,"&lt;="&amp;L$49),"")))</f>
        <v/>
      </c>
      <c r="M113" s="140">
        <f>IF(M$49="","",IF($B113="","",IFERROR(SUMIFS('Dvd Calendar'!$E$132:$CZ$132,'Dvd Calendar'!$E$131:$CZ$131,"&gt;"&amp;M$48,'Dvd Calendar'!$E$131:$CZ$131,"&lt;="&amp;M$49),"")))</f>
        <v/>
      </c>
      <c r="N113" s="140">
        <f>IF(N$49="","",IF($B113="","",IFERROR(SUMIFS('Dvd Calendar'!$E$132:$CZ$132,'Dvd Calendar'!$E$131:$CZ$131,"&gt;"&amp;N$48,'Dvd Calendar'!$E$131:$CZ$131,"&lt;="&amp;N$49),"")))</f>
        <v/>
      </c>
      <c r="O113" s="140">
        <f>IF(O$49="","",IF($B113="","",IFERROR(SUMIFS('Dvd Calendar'!$E$132:$CZ$132,'Dvd Calendar'!$E$131:$CZ$131,"&gt;"&amp;O$48,'Dvd Calendar'!$E$131:$CZ$131,"&lt;="&amp;O$49),"")))</f>
        <v/>
      </c>
      <c r="P113" s="140">
        <f>IF(P$49="","",IF($B113="","",IFERROR(SUMIFS('Dvd Calendar'!$E$132:$CZ$132,'Dvd Calendar'!$E$131:$CZ$131,"&gt;"&amp;P$48,'Dvd Calendar'!$E$131:$CZ$131,"&lt;="&amp;P$49),"")))</f>
        <v/>
      </c>
      <c r="Q113" s="140">
        <f>IF(Q$49="","",IF($B113="","",IFERROR(SUMIFS('Dvd Calendar'!$E$132:$CZ$132,'Dvd Calendar'!$E$131:$CZ$131,"&gt;"&amp;Q$48,'Dvd Calendar'!$E$131:$CZ$131,"&lt;="&amp;Q$49),"")))</f>
        <v/>
      </c>
      <c r="R113" s="140">
        <f>IF(R$49="","",IF($B113="","",IFERROR(SUMIFS('Dvd Calendar'!$E$132:$CZ$132,'Dvd Calendar'!$E$131:$CZ$131,"&gt;"&amp;R$48,'Dvd Calendar'!$E$131:$CZ$131,"&lt;="&amp;R$49),"")))</f>
        <v/>
      </c>
      <c r="U113" s="146" t="n"/>
      <c r="V113" s="146" t="n"/>
      <c r="W113" s="146" t="n"/>
      <c r="X113" s="146" t="n"/>
      <c r="Y113" s="146" t="n"/>
      <c r="Z113" s="146" t="n"/>
      <c r="AA113" s="146" t="n"/>
      <c r="AB113" s="146" t="n"/>
      <c r="AC113" s="146" t="n"/>
      <c r="AD113" s="146" t="n"/>
      <c r="AE113" s="146" t="n"/>
      <c r="AF113" s="146" t="n"/>
      <c r="AG113" s="146" t="n"/>
      <c r="AH113" s="146" t="n"/>
      <c r="AI113" s="146" t="n"/>
      <c r="AJ113" s="146" t="n"/>
    </row>
    <row r="114">
      <c r="B114" s="5">
        <f>IF(AS51!$C$69="","",AS51!$C$69)</f>
        <v/>
      </c>
      <c r="C114" s="140">
        <f>IF(C$49="","",IF($B114="","",IFERROR(SUMIFS('Dvd Calendar'!$E$134:$CZ$134,'Dvd Calendar'!$E$133:$CZ$133,"&gt;"&amp;C$48,'Dvd Calendar'!$E$133:$CZ$133,"&lt;="&amp;C$49),"")))</f>
        <v/>
      </c>
      <c r="D114" s="140">
        <f>IF(D$49="","",IF($B114="","",IFERROR(SUMIFS('Dvd Calendar'!$E$134:$CZ$134,'Dvd Calendar'!$E$133:$CZ$133,"&gt;"&amp;D$48,'Dvd Calendar'!$E$133:$CZ$133,"&lt;="&amp;D$49),"")))</f>
        <v/>
      </c>
      <c r="E114" s="140">
        <f>IF(E$49="","",IF($B114="","",IFERROR(SUMIFS('Dvd Calendar'!$E$134:$CZ$134,'Dvd Calendar'!$E$133:$CZ$133,"&gt;"&amp;E$48,'Dvd Calendar'!$E$133:$CZ$133,"&lt;="&amp;E$49),"")))</f>
        <v/>
      </c>
      <c r="F114" s="140">
        <f>IF(F$49="","",IF($B114="","",IFERROR(SUMIFS('Dvd Calendar'!$E$134:$CZ$134,'Dvd Calendar'!$E$133:$CZ$133,"&gt;"&amp;F$48,'Dvd Calendar'!$E$133:$CZ$133,"&lt;="&amp;F$49),"")))</f>
        <v/>
      </c>
      <c r="G114" s="140">
        <f>IF(G$49="","",IF($B114="","",IFERROR(SUMIFS('Dvd Calendar'!$E$134:$CZ$134,'Dvd Calendar'!$E$133:$CZ$133,"&gt;"&amp;G$48,'Dvd Calendar'!$E$133:$CZ$133,"&lt;="&amp;G$49),"")))</f>
        <v/>
      </c>
      <c r="H114" s="140">
        <f>IF(H$49="","",IF($B114="","",IFERROR(SUMIFS('Dvd Calendar'!$E$134:$CZ$134,'Dvd Calendar'!$E$133:$CZ$133,"&gt;"&amp;H$48,'Dvd Calendar'!$E$133:$CZ$133,"&lt;="&amp;H$49),"")))</f>
        <v/>
      </c>
      <c r="I114" s="140">
        <f>IF(I$49="","",IF($B114="","",IFERROR(SUMIFS('Dvd Calendar'!$E$134:$CZ$134,'Dvd Calendar'!$E$133:$CZ$133,"&gt;"&amp;I$48,'Dvd Calendar'!$E$133:$CZ$133,"&lt;="&amp;I$49),"")))</f>
        <v/>
      </c>
      <c r="J114" s="140">
        <f>IF(J$49="","",IF($B114="","",IFERROR(SUMIFS('Dvd Calendar'!$E$134:$CZ$134,'Dvd Calendar'!$E$133:$CZ$133,"&gt;"&amp;J$48,'Dvd Calendar'!$E$133:$CZ$133,"&lt;="&amp;J$49),"")))</f>
        <v/>
      </c>
      <c r="K114" s="140">
        <f>IF(K$49="","",IF($B114="","",IFERROR(SUMIFS('Dvd Calendar'!$E$134:$CZ$134,'Dvd Calendar'!$E$133:$CZ$133,"&gt;"&amp;K$48,'Dvd Calendar'!$E$133:$CZ$133,"&lt;="&amp;K$49),"")))</f>
        <v/>
      </c>
      <c r="L114" s="140">
        <f>IF(L$49="","",IF($B114="","",IFERROR(SUMIFS('Dvd Calendar'!$E$134:$CZ$134,'Dvd Calendar'!$E$133:$CZ$133,"&gt;"&amp;L$48,'Dvd Calendar'!$E$133:$CZ$133,"&lt;="&amp;L$49),"")))</f>
        <v/>
      </c>
      <c r="M114" s="140">
        <f>IF(M$49="","",IF($B114="","",IFERROR(SUMIFS('Dvd Calendar'!$E$134:$CZ$134,'Dvd Calendar'!$E$133:$CZ$133,"&gt;"&amp;M$48,'Dvd Calendar'!$E$133:$CZ$133,"&lt;="&amp;M$49),"")))</f>
        <v/>
      </c>
      <c r="N114" s="140">
        <f>IF(N$49="","",IF($B114="","",IFERROR(SUMIFS('Dvd Calendar'!$E$134:$CZ$134,'Dvd Calendar'!$E$133:$CZ$133,"&gt;"&amp;N$48,'Dvd Calendar'!$E$133:$CZ$133,"&lt;="&amp;N$49),"")))</f>
        <v/>
      </c>
      <c r="O114" s="140">
        <f>IF(O$49="","",IF($B114="","",IFERROR(SUMIFS('Dvd Calendar'!$E$134:$CZ$134,'Dvd Calendar'!$E$133:$CZ$133,"&gt;"&amp;O$48,'Dvd Calendar'!$E$133:$CZ$133,"&lt;="&amp;O$49),"")))</f>
        <v/>
      </c>
      <c r="P114" s="140">
        <f>IF(P$49="","",IF($B114="","",IFERROR(SUMIFS('Dvd Calendar'!$E$134:$CZ$134,'Dvd Calendar'!$E$133:$CZ$133,"&gt;"&amp;P$48,'Dvd Calendar'!$E$133:$CZ$133,"&lt;="&amp;P$49),"")))</f>
        <v/>
      </c>
      <c r="Q114" s="140">
        <f>IF(Q$49="","",IF($B114="","",IFERROR(SUMIFS('Dvd Calendar'!$E$134:$CZ$134,'Dvd Calendar'!$E$133:$CZ$133,"&gt;"&amp;Q$48,'Dvd Calendar'!$E$133:$CZ$133,"&lt;="&amp;Q$49),"")))</f>
        <v/>
      </c>
      <c r="R114" s="140">
        <f>IF(R$49="","",IF($B114="","",IFERROR(SUMIFS('Dvd Calendar'!$E$134:$CZ$134,'Dvd Calendar'!$E$133:$CZ$133,"&gt;"&amp;R$48,'Dvd Calendar'!$E$133:$CZ$133,"&lt;="&amp;R$49),"")))</f>
        <v/>
      </c>
      <c r="U114" s="146" t="n"/>
      <c r="V114" s="146" t="n"/>
      <c r="W114" s="146" t="n"/>
      <c r="X114" s="146" t="n"/>
      <c r="Y114" s="146" t="n"/>
      <c r="Z114" s="146" t="n"/>
      <c r="AA114" s="146" t="n"/>
      <c r="AB114" s="146" t="n"/>
      <c r="AC114" s="146" t="n"/>
      <c r="AD114" s="146" t="n"/>
      <c r="AE114" s="146" t="n"/>
      <c r="AF114" s="146" t="n"/>
      <c r="AG114" s="146" t="n"/>
      <c r="AH114" s="146" t="n"/>
      <c r="AI114" s="146" t="n"/>
      <c r="AJ114" s="146" t="n"/>
    </row>
    <row r="115">
      <c r="B115" s="5">
        <f>IF(AS51!$C$70="","",AS51!$C$70)</f>
        <v/>
      </c>
      <c r="C115" s="140">
        <f>IF(C$49="","",IF($B115="","",IFERROR(SUMIFS('Dvd Calendar'!$E$136:$CZ$136,'Dvd Calendar'!$E$135:$CZ$135,"&gt;"&amp;C$48,'Dvd Calendar'!$E$135:$CZ$135,"&lt;="&amp;C$49),"")))</f>
        <v/>
      </c>
      <c r="D115" s="140">
        <f>IF(D$49="","",IF($B115="","",IFERROR(SUMIFS('Dvd Calendar'!$E$136:$CZ$136,'Dvd Calendar'!$E$135:$CZ$135,"&gt;"&amp;D$48,'Dvd Calendar'!$E$135:$CZ$135,"&lt;="&amp;D$49),"")))</f>
        <v/>
      </c>
      <c r="E115" s="140">
        <f>IF(E$49="","",IF($B115="","",IFERROR(SUMIFS('Dvd Calendar'!$E$136:$CZ$136,'Dvd Calendar'!$E$135:$CZ$135,"&gt;"&amp;E$48,'Dvd Calendar'!$E$135:$CZ$135,"&lt;="&amp;E$49),"")))</f>
        <v/>
      </c>
      <c r="F115" s="140">
        <f>IF(F$49="","",IF($B115="","",IFERROR(SUMIFS('Dvd Calendar'!$E$136:$CZ$136,'Dvd Calendar'!$E$135:$CZ$135,"&gt;"&amp;F$48,'Dvd Calendar'!$E$135:$CZ$135,"&lt;="&amp;F$49),"")))</f>
        <v/>
      </c>
      <c r="G115" s="140">
        <f>IF(G$49="","",IF($B115="","",IFERROR(SUMIFS('Dvd Calendar'!$E$136:$CZ$136,'Dvd Calendar'!$E$135:$CZ$135,"&gt;"&amp;G$48,'Dvd Calendar'!$E$135:$CZ$135,"&lt;="&amp;G$49),"")))</f>
        <v/>
      </c>
      <c r="H115" s="140">
        <f>IF(H$49="","",IF($B115="","",IFERROR(SUMIFS('Dvd Calendar'!$E$136:$CZ$136,'Dvd Calendar'!$E$135:$CZ$135,"&gt;"&amp;H$48,'Dvd Calendar'!$E$135:$CZ$135,"&lt;="&amp;H$49),"")))</f>
        <v/>
      </c>
      <c r="I115" s="140">
        <f>IF(I$49="","",IF($B115="","",IFERROR(SUMIFS('Dvd Calendar'!$E$136:$CZ$136,'Dvd Calendar'!$E$135:$CZ$135,"&gt;"&amp;I$48,'Dvd Calendar'!$E$135:$CZ$135,"&lt;="&amp;I$49),"")))</f>
        <v/>
      </c>
      <c r="J115" s="140">
        <f>IF(J$49="","",IF($B115="","",IFERROR(SUMIFS('Dvd Calendar'!$E$136:$CZ$136,'Dvd Calendar'!$E$135:$CZ$135,"&gt;"&amp;J$48,'Dvd Calendar'!$E$135:$CZ$135,"&lt;="&amp;J$49),"")))</f>
        <v/>
      </c>
      <c r="K115" s="140">
        <f>IF(K$49="","",IF($B115="","",IFERROR(SUMIFS('Dvd Calendar'!$E$136:$CZ$136,'Dvd Calendar'!$E$135:$CZ$135,"&gt;"&amp;K$48,'Dvd Calendar'!$E$135:$CZ$135,"&lt;="&amp;K$49),"")))</f>
        <v/>
      </c>
      <c r="L115" s="140">
        <f>IF(L$49="","",IF($B115="","",IFERROR(SUMIFS('Dvd Calendar'!$E$136:$CZ$136,'Dvd Calendar'!$E$135:$CZ$135,"&gt;"&amp;L$48,'Dvd Calendar'!$E$135:$CZ$135,"&lt;="&amp;L$49),"")))</f>
        <v/>
      </c>
      <c r="M115" s="140">
        <f>IF(M$49="","",IF($B115="","",IFERROR(SUMIFS('Dvd Calendar'!$E$136:$CZ$136,'Dvd Calendar'!$E$135:$CZ$135,"&gt;"&amp;M$48,'Dvd Calendar'!$E$135:$CZ$135,"&lt;="&amp;M$49),"")))</f>
        <v/>
      </c>
      <c r="N115" s="140">
        <f>IF(N$49="","",IF($B115="","",IFERROR(SUMIFS('Dvd Calendar'!$E$136:$CZ$136,'Dvd Calendar'!$E$135:$CZ$135,"&gt;"&amp;N$48,'Dvd Calendar'!$E$135:$CZ$135,"&lt;="&amp;N$49),"")))</f>
        <v/>
      </c>
      <c r="O115" s="140">
        <f>IF(O$49="","",IF($B115="","",IFERROR(SUMIFS('Dvd Calendar'!$E$136:$CZ$136,'Dvd Calendar'!$E$135:$CZ$135,"&gt;"&amp;O$48,'Dvd Calendar'!$E$135:$CZ$135,"&lt;="&amp;O$49),"")))</f>
        <v/>
      </c>
      <c r="P115" s="140">
        <f>IF(P$49="","",IF($B115="","",IFERROR(SUMIFS('Dvd Calendar'!$E$136:$CZ$136,'Dvd Calendar'!$E$135:$CZ$135,"&gt;"&amp;P$48,'Dvd Calendar'!$E$135:$CZ$135,"&lt;="&amp;P$49),"")))</f>
        <v/>
      </c>
      <c r="Q115" s="140">
        <f>IF(Q$49="","",IF($B115="","",IFERROR(SUMIFS('Dvd Calendar'!$E$136:$CZ$136,'Dvd Calendar'!$E$135:$CZ$135,"&gt;"&amp;Q$48,'Dvd Calendar'!$E$135:$CZ$135,"&lt;="&amp;Q$49),"")))</f>
        <v/>
      </c>
      <c r="R115" s="140">
        <f>IF(R$49="","",IF($B115="","",IFERROR(SUMIFS('Dvd Calendar'!$E$136:$CZ$136,'Dvd Calendar'!$E$135:$CZ$135,"&gt;"&amp;R$48,'Dvd Calendar'!$E$135:$CZ$135,"&lt;="&amp;R$49),"")))</f>
        <v/>
      </c>
      <c r="U115" s="146" t="n"/>
      <c r="V115" s="146" t="n"/>
      <c r="W115" s="146" t="n"/>
      <c r="X115" s="146" t="n"/>
      <c r="Y115" s="146" t="n"/>
      <c r="Z115" s="146" t="n"/>
      <c r="AA115" s="146" t="n"/>
      <c r="AB115" s="146" t="n"/>
      <c r="AC115" s="146" t="n"/>
      <c r="AD115" s="146" t="n"/>
      <c r="AE115" s="146" t="n"/>
      <c r="AF115" s="146" t="n"/>
      <c r="AG115" s="146" t="n"/>
      <c r="AH115" s="146" t="n"/>
      <c r="AI115" s="146" t="n"/>
      <c r="AJ115" s="146" t="n"/>
    </row>
    <row r="116">
      <c r="B116" s="5">
        <f>IF(AS51!$C$71="","",AS51!$C$71)</f>
        <v/>
      </c>
      <c r="C116" s="140">
        <f>IF(C$49="","",IF($B116="","",IFERROR(SUMIFS('Dvd Calendar'!$E$138:$CZ$138,'Dvd Calendar'!$E$137:$CZ$137,"&gt;"&amp;C$48,'Dvd Calendar'!$E$137:$CZ$137,"&lt;="&amp;C$49),"")))</f>
        <v/>
      </c>
      <c r="D116" s="140">
        <f>IF(D$49="","",IF($B116="","",IFERROR(SUMIFS('Dvd Calendar'!$E$138:$CZ$138,'Dvd Calendar'!$E$137:$CZ$137,"&gt;"&amp;D$48,'Dvd Calendar'!$E$137:$CZ$137,"&lt;="&amp;D$49),"")))</f>
        <v/>
      </c>
      <c r="E116" s="140">
        <f>IF(E$49="","",IF($B116="","",IFERROR(SUMIFS('Dvd Calendar'!$E$138:$CZ$138,'Dvd Calendar'!$E$137:$CZ$137,"&gt;"&amp;E$48,'Dvd Calendar'!$E$137:$CZ$137,"&lt;="&amp;E$49),"")))</f>
        <v/>
      </c>
      <c r="F116" s="140">
        <f>IF(F$49="","",IF($B116="","",IFERROR(SUMIFS('Dvd Calendar'!$E$138:$CZ$138,'Dvd Calendar'!$E$137:$CZ$137,"&gt;"&amp;F$48,'Dvd Calendar'!$E$137:$CZ$137,"&lt;="&amp;F$49),"")))</f>
        <v/>
      </c>
      <c r="G116" s="140">
        <f>IF(G$49="","",IF($B116="","",IFERROR(SUMIFS('Dvd Calendar'!$E$138:$CZ$138,'Dvd Calendar'!$E$137:$CZ$137,"&gt;"&amp;G$48,'Dvd Calendar'!$E$137:$CZ$137,"&lt;="&amp;G$49),"")))</f>
        <v/>
      </c>
      <c r="H116" s="140">
        <f>IF(H$49="","",IF($B116="","",IFERROR(SUMIFS('Dvd Calendar'!$E$138:$CZ$138,'Dvd Calendar'!$E$137:$CZ$137,"&gt;"&amp;H$48,'Dvd Calendar'!$E$137:$CZ$137,"&lt;="&amp;H$49),"")))</f>
        <v/>
      </c>
      <c r="I116" s="140">
        <f>IF(I$49="","",IF($B116="","",IFERROR(SUMIFS('Dvd Calendar'!$E$138:$CZ$138,'Dvd Calendar'!$E$137:$CZ$137,"&gt;"&amp;I$48,'Dvd Calendar'!$E$137:$CZ$137,"&lt;="&amp;I$49),"")))</f>
        <v/>
      </c>
      <c r="J116" s="140">
        <f>IF(J$49="","",IF($B116="","",IFERROR(SUMIFS('Dvd Calendar'!$E$138:$CZ$138,'Dvd Calendar'!$E$137:$CZ$137,"&gt;"&amp;J$48,'Dvd Calendar'!$E$137:$CZ$137,"&lt;="&amp;J$49),"")))</f>
        <v/>
      </c>
      <c r="K116" s="140">
        <f>IF(K$49="","",IF($B116="","",IFERROR(SUMIFS('Dvd Calendar'!$E$138:$CZ$138,'Dvd Calendar'!$E$137:$CZ$137,"&gt;"&amp;K$48,'Dvd Calendar'!$E$137:$CZ$137,"&lt;="&amp;K$49),"")))</f>
        <v/>
      </c>
      <c r="L116" s="140">
        <f>IF(L$49="","",IF($B116="","",IFERROR(SUMIFS('Dvd Calendar'!$E$138:$CZ$138,'Dvd Calendar'!$E$137:$CZ$137,"&gt;"&amp;L$48,'Dvd Calendar'!$E$137:$CZ$137,"&lt;="&amp;L$49),"")))</f>
        <v/>
      </c>
      <c r="M116" s="140">
        <f>IF(M$49="","",IF($B116="","",IFERROR(SUMIFS('Dvd Calendar'!$E$138:$CZ$138,'Dvd Calendar'!$E$137:$CZ$137,"&gt;"&amp;M$48,'Dvd Calendar'!$E$137:$CZ$137,"&lt;="&amp;M$49),"")))</f>
        <v/>
      </c>
      <c r="N116" s="140">
        <f>IF(N$49="","",IF($B116="","",IFERROR(SUMIFS('Dvd Calendar'!$E$138:$CZ$138,'Dvd Calendar'!$E$137:$CZ$137,"&gt;"&amp;N$48,'Dvd Calendar'!$E$137:$CZ$137,"&lt;="&amp;N$49),"")))</f>
        <v/>
      </c>
      <c r="O116" s="140">
        <f>IF(O$49="","",IF($B116="","",IFERROR(SUMIFS('Dvd Calendar'!$E$138:$CZ$138,'Dvd Calendar'!$E$137:$CZ$137,"&gt;"&amp;O$48,'Dvd Calendar'!$E$137:$CZ$137,"&lt;="&amp;O$49),"")))</f>
        <v/>
      </c>
      <c r="P116" s="140">
        <f>IF(P$49="","",IF($B116="","",IFERROR(SUMIFS('Dvd Calendar'!$E$138:$CZ$138,'Dvd Calendar'!$E$137:$CZ$137,"&gt;"&amp;P$48,'Dvd Calendar'!$E$137:$CZ$137,"&lt;="&amp;P$49),"")))</f>
        <v/>
      </c>
      <c r="Q116" s="140">
        <f>IF(Q$49="","",IF($B116="","",IFERROR(SUMIFS('Dvd Calendar'!$E$138:$CZ$138,'Dvd Calendar'!$E$137:$CZ$137,"&gt;"&amp;Q$48,'Dvd Calendar'!$E$137:$CZ$137,"&lt;="&amp;Q$49),"")))</f>
        <v/>
      </c>
      <c r="R116" s="140">
        <f>IF(R$49="","",IF($B116="","",IFERROR(SUMIFS('Dvd Calendar'!$E$138:$CZ$138,'Dvd Calendar'!$E$137:$CZ$137,"&gt;"&amp;R$48,'Dvd Calendar'!$E$137:$CZ$137,"&lt;="&amp;R$49),"")))</f>
        <v/>
      </c>
      <c r="U116" s="146" t="n"/>
      <c r="V116" s="146" t="n"/>
      <c r="W116" s="146" t="n"/>
      <c r="X116" s="146" t="n"/>
      <c r="Y116" s="146" t="n"/>
      <c r="Z116" s="146" t="n"/>
      <c r="AA116" s="146" t="n"/>
      <c r="AB116" s="146" t="n"/>
      <c r="AC116" s="146" t="n"/>
      <c r="AD116" s="146" t="n"/>
      <c r="AE116" s="146" t="n"/>
      <c r="AF116" s="146" t="n"/>
      <c r="AG116" s="146" t="n"/>
      <c r="AH116" s="146" t="n"/>
      <c r="AI116" s="146" t="n"/>
      <c r="AJ116" s="146" t="n"/>
    </row>
    <row r="117">
      <c r="B117" s="5">
        <f>IF(AS51!$C$72="","",AS51!$C$72)</f>
        <v/>
      </c>
      <c r="C117" s="140">
        <f>IF(C$49="","",IF($B117="","",IFERROR(SUMIFS('Dvd Calendar'!$E$140:$CZ$140,'Dvd Calendar'!$E$139:$CZ$139,"&gt;"&amp;C$48,'Dvd Calendar'!$E$139:$CZ$139,"&lt;="&amp;C$49),"")))</f>
        <v/>
      </c>
      <c r="D117" s="140">
        <f>IF(D$49="","",IF($B117="","",IFERROR(SUMIFS('Dvd Calendar'!$E$140:$CZ$140,'Dvd Calendar'!$E$139:$CZ$139,"&gt;"&amp;D$48,'Dvd Calendar'!$E$139:$CZ$139,"&lt;="&amp;D$49),"")))</f>
        <v/>
      </c>
      <c r="E117" s="140">
        <f>IF(E$49="","",IF($B117="","",IFERROR(SUMIFS('Dvd Calendar'!$E$140:$CZ$140,'Dvd Calendar'!$E$139:$CZ$139,"&gt;"&amp;E$48,'Dvd Calendar'!$E$139:$CZ$139,"&lt;="&amp;E$49),"")))</f>
        <v/>
      </c>
      <c r="F117" s="140">
        <f>IF(F$49="","",IF($B117="","",IFERROR(SUMIFS('Dvd Calendar'!$E$140:$CZ$140,'Dvd Calendar'!$E$139:$CZ$139,"&gt;"&amp;F$48,'Dvd Calendar'!$E$139:$CZ$139,"&lt;="&amp;F$49),"")))</f>
        <v/>
      </c>
      <c r="G117" s="140">
        <f>IF(G$49="","",IF($B117="","",IFERROR(SUMIFS('Dvd Calendar'!$E$140:$CZ$140,'Dvd Calendar'!$E$139:$CZ$139,"&gt;"&amp;G$48,'Dvd Calendar'!$E$139:$CZ$139,"&lt;="&amp;G$49),"")))</f>
        <v/>
      </c>
      <c r="H117" s="140">
        <f>IF(H$49="","",IF($B117="","",IFERROR(SUMIFS('Dvd Calendar'!$E$140:$CZ$140,'Dvd Calendar'!$E$139:$CZ$139,"&gt;"&amp;H$48,'Dvd Calendar'!$E$139:$CZ$139,"&lt;="&amp;H$49),"")))</f>
        <v/>
      </c>
      <c r="I117" s="140">
        <f>IF(I$49="","",IF($B117="","",IFERROR(SUMIFS('Dvd Calendar'!$E$140:$CZ$140,'Dvd Calendar'!$E$139:$CZ$139,"&gt;"&amp;I$48,'Dvd Calendar'!$E$139:$CZ$139,"&lt;="&amp;I$49),"")))</f>
        <v/>
      </c>
      <c r="J117" s="140">
        <f>IF(J$49="","",IF($B117="","",IFERROR(SUMIFS('Dvd Calendar'!$E$140:$CZ$140,'Dvd Calendar'!$E$139:$CZ$139,"&gt;"&amp;J$48,'Dvd Calendar'!$E$139:$CZ$139,"&lt;="&amp;J$49),"")))</f>
        <v/>
      </c>
      <c r="K117" s="140">
        <f>IF(K$49="","",IF($B117="","",IFERROR(SUMIFS('Dvd Calendar'!$E$140:$CZ$140,'Dvd Calendar'!$E$139:$CZ$139,"&gt;"&amp;K$48,'Dvd Calendar'!$E$139:$CZ$139,"&lt;="&amp;K$49),"")))</f>
        <v/>
      </c>
      <c r="L117" s="140">
        <f>IF(L$49="","",IF($B117="","",IFERROR(SUMIFS('Dvd Calendar'!$E$140:$CZ$140,'Dvd Calendar'!$E$139:$CZ$139,"&gt;"&amp;L$48,'Dvd Calendar'!$E$139:$CZ$139,"&lt;="&amp;L$49),"")))</f>
        <v/>
      </c>
      <c r="M117" s="140">
        <f>IF(M$49="","",IF($B117="","",IFERROR(SUMIFS('Dvd Calendar'!$E$140:$CZ$140,'Dvd Calendar'!$E$139:$CZ$139,"&gt;"&amp;M$48,'Dvd Calendar'!$E$139:$CZ$139,"&lt;="&amp;M$49),"")))</f>
        <v/>
      </c>
      <c r="N117" s="140">
        <f>IF(N$49="","",IF($B117="","",IFERROR(SUMIFS('Dvd Calendar'!$E$140:$CZ$140,'Dvd Calendar'!$E$139:$CZ$139,"&gt;"&amp;N$48,'Dvd Calendar'!$E$139:$CZ$139,"&lt;="&amp;N$49),"")))</f>
        <v/>
      </c>
      <c r="O117" s="140">
        <f>IF(O$49="","",IF($B117="","",IFERROR(SUMIFS('Dvd Calendar'!$E$140:$CZ$140,'Dvd Calendar'!$E$139:$CZ$139,"&gt;"&amp;O$48,'Dvd Calendar'!$E$139:$CZ$139,"&lt;="&amp;O$49),"")))</f>
        <v/>
      </c>
      <c r="P117" s="140">
        <f>IF(P$49="","",IF($B117="","",IFERROR(SUMIFS('Dvd Calendar'!$E$140:$CZ$140,'Dvd Calendar'!$E$139:$CZ$139,"&gt;"&amp;P$48,'Dvd Calendar'!$E$139:$CZ$139,"&lt;="&amp;P$49),"")))</f>
        <v/>
      </c>
      <c r="Q117" s="140">
        <f>IF(Q$49="","",IF($B117="","",IFERROR(SUMIFS('Dvd Calendar'!$E$140:$CZ$140,'Dvd Calendar'!$E$139:$CZ$139,"&gt;"&amp;Q$48,'Dvd Calendar'!$E$139:$CZ$139,"&lt;="&amp;Q$49),"")))</f>
        <v/>
      </c>
      <c r="R117" s="140">
        <f>IF(R$49="","",IF($B117="","",IFERROR(SUMIFS('Dvd Calendar'!$E$140:$CZ$140,'Dvd Calendar'!$E$139:$CZ$139,"&gt;"&amp;R$48,'Dvd Calendar'!$E$139:$CZ$139,"&lt;="&amp;R$49),"")))</f>
        <v/>
      </c>
      <c r="U117" s="146" t="n"/>
      <c r="V117" s="146" t="n"/>
      <c r="W117" s="146" t="n"/>
      <c r="X117" s="146" t="n"/>
      <c r="Y117" s="146" t="n"/>
      <c r="Z117" s="146" t="n"/>
      <c r="AA117" s="146" t="n"/>
      <c r="AB117" s="146" t="n"/>
      <c r="AC117" s="146" t="n"/>
      <c r="AD117" s="146" t="n"/>
      <c r="AE117" s="146" t="n"/>
      <c r="AF117" s="146" t="n"/>
      <c r="AG117" s="146" t="n"/>
      <c r="AH117" s="146" t="n"/>
      <c r="AI117" s="146" t="n"/>
      <c r="AJ117" s="146" t="n"/>
    </row>
    <row r="118">
      <c r="B118" s="5">
        <f>IF(AS51!$C$73="","",AS51!$C$73)</f>
        <v/>
      </c>
      <c r="C118" s="140">
        <f>IF(C$49="","",IF($B118="","",IFERROR(SUMIFS('Dvd Calendar'!$E$142:$CZ$142,'Dvd Calendar'!$E$141:$CZ$141,"&gt;"&amp;C$48,'Dvd Calendar'!$E$141:$CZ$141,"&lt;="&amp;C$49),"")))</f>
        <v/>
      </c>
      <c r="D118" s="140">
        <f>IF(D$49="","",IF($B118="","",IFERROR(SUMIFS('Dvd Calendar'!$E$142:$CZ$142,'Dvd Calendar'!$E$141:$CZ$141,"&gt;"&amp;D$48,'Dvd Calendar'!$E$141:$CZ$141,"&lt;="&amp;D$49),"")))</f>
        <v/>
      </c>
      <c r="E118" s="140">
        <f>IF(E$49="","",IF($B118="","",IFERROR(SUMIFS('Dvd Calendar'!$E$142:$CZ$142,'Dvd Calendar'!$E$141:$CZ$141,"&gt;"&amp;E$48,'Dvd Calendar'!$E$141:$CZ$141,"&lt;="&amp;E$49),"")))</f>
        <v/>
      </c>
      <c r="F118" s="140">
        <f>IF(F$49="","",IF($B118="","",IFERROR(SUMIFS('Dvd Calendar'!$E$142:$CZ$142,'Dvd Calendar'!$E$141:$CZ$141,"&gt;"&amp;F$48,'Dvd Calendar'!$E$141:$CZ$141,"&lt;="&amp;F$49),"")))</f>
        <v/>
      </c>
      <c r="G118" s="140">
        <f>IF(G$49="","",IF($B118="","",IFERROR(SUMIFS('Dvd Calendar'!$E$142:$CZ$142,'Dvd Calendar'!$E$141:$CZ$141,"&gt;"&amp;G$48,'Dvd Calendar'!$E$141:$CZ$141,"&lt;="&amp;G$49),"")))</f>
        <v/>
      </c>
      <c r="H118" s="140">
        <f>IF(H$49="","",IF($B118="","",IFERROR(SUMIFS('Dvd Calendar'!$E$142:$CZ$142,'Dvd Calendar'!$E$141:$CZ$141,"&gt;"&amp;H$48,'Dvd Calendar'!$E$141:$CZ$141,"&lt;="&amp;H$49),"")))</f>
        <v/>
      </c>
      <c r="I118" s="140">
        <f>IF(I$49="","",IF($B118="","",IFERROR(SUMIFS('Dvd Calendar'!$E$142:$CZ$142,'Dvd Calendar'!$E$141:$CZ$141,"&gt;"&amp;I$48,'Dvd Calendar'!$E$141:$CZ$141,"&lt;="&amp;I$49),"")))</f>
        <v/>
      </c>
      <c r="J118" s="140">
        <f>IF(J$49="","",IF($B118="","",IFERROR(SUMIFS('Dvd Calendar'!$E$142:$CZ$142,'Dvd Calendar'!$E$141:$CZ$141,"&gt;"&amp;J$48,'Dvd Calendar'!$E$141:$CZ$141,"&lt;="&amp;J$49),"")))</f>
        <v/>
      </c>
      <c r="K118" s="140">
        <f>IF(K$49="","",IF($B118="","",IFERROR(SUMIFS('Dvd Calendar'!$E$142:$CZ$142,'Dvd Calendar'!$E$141:$CZ$141,"&gt;"&amp;K$48,'Dvd Calendar'!$E$141:$CZ$141,"&lt;="&amp;K$49),"")))</f>
        <v/>
      </c>
      <c r="L118" s="140">
        <f>IF(L$49="","",IF($B118="","",IFERROR(SUMIFS('Dvd Calendar'!$E$142:$CZ$142,'Dvd Calendar'!$E$141:$CZ$141,"&gt;"&amp;L$48,'Dvd Calendar'!$E$141:$CZ$141,"&lt;="&amp;L$49),"")))</f>
        <v/>
      </c>
      <c r="M118" s="140">
        <f>IF(M$49="","",IF($B118="","",IFERROR(SUMIFS('Dvd Calendar'!$E$142:$CZ$142,'Dvd Calendar'!$E$141:$CZ$141,"&gt;"&amp;M$48,'Dvd Calendar'!$E$141:$CZ$141,"&lt;="&amp;M$49),"")))</f>
        <v/>
      </c>
      <c r="N118" s="140">
        <f>IF(N$49="","",IF($B118="","",IFERROR(SUMIFS('Dvd Calendar'!$E$142:$CZ$142,'Dvd Calendar'!$E$141:$CZ$141,"&gt;"&amp;N$48,'Dvd Calendar'!$E$141:$CZ$141,"&lt;="&amp;N$49),"")))</f>
        <v/>
      </c>
      <c r="O118" s="140">
        <f>IF(O$49="","",IF($B118="","",IFERROR(SUMIFS('Dvd Calendar'!$E$142:$CZ$142,'Dvd Calendar'!$E$141:$CZ$141,"&gt;"&amp;O$48,'Dvd Calendar'!$E$141:$CZ$141,"&lt;="&amp;O$49),"")))</f>
        <v/>
      </c>
      <c r="P118" s="140">
        <f>IF(P$49="","",IF($B118="","",IFERROR(SUMIFS('Dvd Calendar'!$E$142:$CZ$142,'Dvd Calendar'!$E$141:$CZ$141,"&gt;"&amp;P$48,'Dvd Calendar'!$E$141:$CZ$141,"&lt;="&amp;P$49),"")))</f>
        <v/>
      </c>
      <c r="Q118" s="140">
        <f>IF(Q$49="","",IF($B118="","",IFERROR(SUMIFS('Dvd Calendar'!$E$142:$CZ$142,'Dvd Calendar'!$E$141:$CZ$141,"&gt;"&amp;Q$48,'Dvd Calendar'!$E$141:$CZ$141,"&lt;="&amp;Q$49),"")))</f>
        <v/>
      </c>
      <c r="R118" s="140">
        <f>IF(R$49="","",IF($B118="","",IFERROR(SUMIFS('Dvd Calendar'!$E$142:$CZ$142,'Dvd Calendar'!$E$141:$CZ$141,"&gt;"&amp;R$48,'Dvd Calendar'!$E$141:$CZ$141,"&lt;="&amp;R$49),"")))</f>
        <v/>
      </c>
      <c r="U118" s="146" t="n"/>
      <c r="V118" s="146" t="n"/>
      <c r="W118" s="146" t="n"/>
      <c r="X118" s="146" t="n"/>
      <c r="Y118" s="146" t="n"/>
      <c r="Z118" s="146" t="n"/>
      <c r="AA118" s="146" t="n"/>
      <c r="AB118" s="146" t="n"/>
      <c r="AC118" s="146" t="n"/>
      <c r="AD118" s="146" t="n"/>
      <c r="AE118" s="146" t="n"/>
      <c r="AF118" s="146" t="n"/>
      <c r="AG118" s="146" t="n"/>
      <c r="AH118" s="146" t="n"/>
      <c r="AI118" s="146" t="n"/>
      <c r="AJ118" s="146" t="n"/>
    </row>
    <row r="119">
      <c r="B119" s="5">
        <f>IF(AS51!$C$74="","",AS51!$C$74)</f>
        <v/>
      </c>
      <c r="C119" s="140">
        <f>IF(C$49="","",IF($B119="","",IFERROR(SUMIFS('Dvd Calendar'!$E$144:$CZ$144,'Dvd Calendar'!$E$143:$CZ$143,"&gt;"&amp;C$48,'Dvd Calendar'!$E$143:$CZ$143,"&lt;="&amp;C$49),"")))</f>
        <v/>
      </c>
      <c r="D119" s="140">
        <f>IF(D$49="","",IF($B119="","",IFERROR(SUMIFS('Dvd Calendar'!$E$144:$CZ$144,'Dvd Calendar'!$E$143:$CZ$143,"&gt;"&amp;D$48,'Dvd Calendar'!$E$143:$CZ$143,"&lt;="&amp;D$49),"")))</f>
        <v/>
      </c>
      <c r="E119" s="140">
        <f>IF(E$49="","",IF($B119="","",IFERROR(SUMIFS('Dvd Calendar'!$E$144:$CZ$144,'Dvd Calendar'!$E$143:$CZ$143,"&gt;"&amp;E$48,'Dvd Calendar'!$E$143:$CZ$143,"&lt;="&amp;E$49),"")))</f>
        <v/>
      </c>
      <c r="F119" s="140">
        <f>IF(F$49="","",IF($B119="","",IFERROR(SUMIFS('Dvd Calendar'!$E$144:$CZ$144,'Dvd Calendar'!$E$143:$CZ$143,"&gt;"&amp;F$48,'Dvd Calendar'!$E$143:$CZ$143,"&lt;="&amp;F$49),"")))</f>
        <v/>
      </c>
      <c r="G119" s="140">
        <f>IF(G$49="","",IF($B119="","",IFERROR(SUMIFS('Dvd Calendar'!$E$144:$CZ$144,'Dvd Calendar'!$E$143:$CZ$143,"&gt;"&amp;G$48,'Dvd Calendar'!$E$143:$CZ$143,"&lt;="&amp;G$49),"")))</f>
        <v/>
      </c>
      <c r="H119" s="140">
        <f>IF(H$49="","",IF($B119="","",IFERROR(SUMIFS('Dvd Calendar'!$E$144:$CZ$144,'Dvd Calendar'!$E$143:$CZ$143,"&gt;"&amp;H$48,'Dvd Calendar'!$E$143:$CZ$143,"&lt;="&amp;H$49),"")))</f>
        <v/>
      </c>
      <c r="I119" s="140">
        <f>IF(I$49="","",IF($B119="","",IFERROR(SUMIFS('Dvd Calendar'!$E$144:$CZ$144,'Dvd Calendar'!$E$143:$CZ$143,"&gt;"&amp;I$48,'Dvd Calendar'!$E$143:$CZ$143,"&lt;="&amp;I$49),"")))</f>
        <v/>
      </c>
      <c r="J119" s="140">
        <f>IF(J$49="","",IF($B119="","",IFERROR(SUMIFS('Dvd Calendar'!$E$144:$CZ$144,'Dvd Calendar'!$E$143:$CZ$143,"&gt;"&amp;J$48,'Dvd Calendar'!$E$143:$CZ$143,"&lt;="&amp;J$49),"")))</f>
        <v/>
      </c>
      <c r="K119" s="140">
        <f>IF(K$49="","",IF($B119="","",IFERROR(SUMIFS('Dvd Calendar'!$E$144:$CZ$144,'Dvd Calendar'!$E$143:$CZ$143,"&gt;"&amp;K$48,'Dvd Calendar'!$E$143:$CZ$143,"&lt;="&amp;K$49),"")))</f>
        <v/>
      </c>
      <c r="L119" s="140">
        <f>IF(L$49="","",IF($B119="","",IFERROR(SUMIFS('Dvd Calendar'!$E$144:$CZ$144,'Dvd Calendar'!$E$143:$CZ$143,"&gt;"&amp;L$48,'Dvd Calendar'!$E$143:$CZ$143,"&lt;="&amp;L$49),"")))</f>
        <v/>
      </c>
      <c r="M119" s="140">
        <f>IF(M$49="","",IF($B119="","",IFERROR(SUMIFS('Dvd Calendar'!$E$144:$CZ$144,'Dvd Calendar'!$E$143:$CZ$143,"&gt;"&amp;M$48,'Dvd Calendar'!$E$143:$CZ$143,"&lt;="&amp;M$49),"")))</f>
        <v/>
      </c>
      <c r="N119" s="140">
        <f>IF(N$49="","",IF($B119="","",IFERROR(SUMIFS('Dvd Calendar'!$E$144:$CZ$144,'Dvd Calendar'!$E$143:$CZ$143,"&gt;"&amp;N$48,'Dvd Calendar'!$E$143:$CZ$143,"&lt;="&amp;N$49),"")))</f>
        <v/>
      </c>
      <c r="O119" s="140">
        <f>IF(O$49="","",IF($B119="","",IFERROR(SUMIFS('Dvd Calendar'!$E$144:$CZ$144,'Dvd Calendar'!$E$143:$CZ$143,"&gt;"&amp;O$48,'Dvd Calendar'!$E$143:$CZ$143,"&lt;="&amp;O$49),"")))</f>
        <v/>
      </c>
      <c r="P119" s="140">
        <f>IF(P$49="","",IF($B119="","",IFERROR(SUMIFS('Dvd Calendar'!$E$144:$CZ$144,'Dvd Calendar'!$E$143:$CZ$143,"&gt;"&amp;P$48,'Dvd Calendar'!$E$143:$CZ$143,"&lt;="&amp;P$49),"")))</f>
        <v/>
      </c>
      <c r="Q119" s="140">
        <f>IF(Q$49="","",IF($B119="","",IFERROR(SUMIFS('Dvd Calendar'!$E$144:$CZ$144,'Dvd Calendar'!$E$143:$CZ$143,"&gt;"&amp;Q$48,'Dvd Calendar'!$E$143:$CZ$143,"&lt;="&amp;Q$49),"")))</f>
        <v/>
      </c>
      <c r="R119" s="140">
        <f>IF(R$49="","",IF($B119="","",IFERROR(SUMIFS('Dvd Calendar'!$E$144:$CZ$144,'Dvd Calendar'!$E$143:$CZ$143,"&gt;"&amp;R$48,'Dvd Calendar'!$E$143:$CZ$143,"&lt;="&amp;R$49),"")))</f>
        <v/>
      </c>
      <c r="U119" s="146" t="n"/>
      <c r="V119" s="146" t="n"/>
      <c r="W119" s="146" t="n"/>
      <c r="X119" s="146" t="n"/>
      <c r="Y119" s="146" t="n"/>
      <c r="Z119" s="146" t="n"/>
      <c r="AA119" s="146" t="n"/>
      <c r="AB119" s="146" t="n"/>
      <c r="AC119" s="146" t="n"/>
      <c r="AD119" s="146" t="n"/>
      <c r="AE119" s="146" t="n"/>
      <c r="AF119" s="146" t="n"/>
      <c r="AG119" s="146" t="n"/>
      <c r="AH119" s="146" t="n"/>
      <c r="AI119" s="146" t="n"/>
      <c r="AJ119" s="146" t="n"/>
    </row>
    <row r="120">
      <c r="B120" s="5">
        <f>IF(AS51!$C$75="","",AS51!$C$75)</f>
        <v/>
      </c>
      <c r="C120" s="140">
        <f>IF(C$49="","",IF($B120="","",IFERROR(SUMIFS('Dvd Calendar'!$E$146:$CZ$146,'Dvd Calendar'!$E$145:$CZ$145,"&gt;"&amp;C$48,'Dvd Calendar'!$E$145:$CZ$145,"&lt;="&amp;C$49),"")))</f>
        <v/>
      </c>
      <c r="D120" s="140">
        <f>IF(D$49="","",IF($B120="","",IFERROR(SUMIFS('Dvd Calendar'!$E$146:$CZ$146,'Dvd Calendar'!$E$145:$CZ$145,"&gt;"&amp;D$48,'Dvd Calendar'!$E$145:$CZ$145,"&lt;="&amp;D$49),"")))</f>
        <v/>
      </c>
      <c r="E120" s="140">
        <f>IF(E$49="","",IF($B120="","",IFERROR(SUMIFS('Dvd Calendar'!$E$146:$CZ$146,'Dvd Calendar'!$E$145:$CZ$145,"&gt;"&amp;E$48,'Dvd Calendar'!$E$145:$CZ$145,"&lt;="&amp;E$49),"")))</f>
        <v/>
      </c>
      <c r="F120" s="140">
        <f>IF(F$49="","",IF($B120="","",IFERROR(SUMIFS('Dvd Calendar'!$E$146:$CZ$146,'Dvd Calendar'!$E$145:$CZ$145,"&gt;"&amp;F$48,'Dvd Calendar'!$E$145:$CZ$145,"&lt;="&amp;F$49),"")))</f>
        <v/>
      </c>
      <c r="G120" s="140">
        <f>IF(G$49="","",IF($B120="","",IFERROR(SUMIFS('Dvd Calendar'!$E$146:$CZ$146,'Dvd Calendar'!$E$145:$CZ$145,"&gt;"&amp;G$48,'Dvd Calendar'!$E$145:$CZ$145,"&lt;="&amp;G$49),"")))</f>
        <v/>
      </c>
      <c r="H120" s="140">
        <f>IF(H$49="","",IF($B120="","",IFERROR(SUMIFS('Dvd Calendar'!$E$146:$CZ$146,'Dvd Calendar'!$E$145:$CZ$145,"&gt;"&amp;H$48,'Dvd Calendar'!$E$145:$CZ$145,"&lt;="&amp;H$49),"")))</f>
        <v/>
      </c>
      <c r="I120" s="140">
        <f>IF(I$49="","",IF($B120="","",IFERROR(SUMIFS('Dvd Calendar'!$E$146:$CZ$146,'Dvd Calendar'!$E$145:$CZ$145,"&gt;"&amp;I$48,'Dvd Calendar'!$E$145:$CZ$145,"&lt;="&amp;I$49),"")))</f>
        <v/>
      </c>
      <c r="J120" s="140">
        <f>IF(J$49="","",IF($B120="","",IFERROR(SUMIFS('Dvd Calendar'!$E$146:$CZ$146,'Dvd Calendar'!$E$145:$CZ$145,"&gt;"&amp;J$48,'Dvd Calendar'!$E$145:$CZ$145,"&lt;="&amp;J$49),"")))</f>
        <v/>
      </c>
      <c r="K120" s="140">
        <f>IF(K$49="","",IF($B120="","",IFERROR(SUMIFS('Dvd Calendar'!$E$146:$CZ$146,'Dvd Calendar'!$E$145:$CZ$145,"&gt;"&amp;K$48,'Dvd Calendar'!$E$145:$CZ$145,"&lt;="&amp;K$49),"")))</f>
        <v/>
      </c>
      <c r="L120" s="140">
        <f>IF(L$49="","",IF($B120="","",IFERROR(SUMIFS('Dvd Calendar'!$E$146:$CZ$146,'Dvd Calendar'!$E$145:$CZ$145,"&gt;"&amp;L$48,'Dvd Calendar'!$E$145:$CZ$145,"&lt;="&amp;L$49),"")))</f>
        <v/>
      </c>
      <c r="M120" s="140">
        <f>IF(M$49="","",IF($B120="","",IFERROR(SUMIFS('Dvd Calendar'!$E$146:$CZ$146,'Dvd Calendar'!$E$145:$CZ$145,"&gt;"&amp;M$48,'Dvd Calendar'!$E$145:$CZ$145,"&lt;="&amp;M$49),"")))</f>
        <v/>
      </c>
      <c r="N120" s="140">
        <f>IF(N$49="","",IF($B120="","",IFERROR(SUMIFS('Dvd Calendar'!$E$146:$CZ$146,'Dvd Calendar'!$E$145:$CZ$145,"&gt;"&amp;N$48,'Dvd Calendar'!$E$145:$CZ$145,"&lt;="&amp;N$49),"")))</f>
        <v/>
      </c>
      <c r="O120" s="140">
        <f>IF(O$49="","",IF($B120="","",IFERROR(SUMIFS('Dvd Calendar'!$E$146:$CZ$146,'Dvd Calendar'!$E$145:$CZ$145,"&gt;"&amp;O$48,'Dvd Calendar'!$E$145:$CZ$145,"&lt;="&amp;O$49),"")))</f>
        <v/>
      </c>
      <c r="P120" s="140">
        <f>IF(P$49="","",IF($B120="","",IFERROR(SUMIFS('Dvd Calendar'!$E$146:$CZ$146,'Dvd Calendar'!$E$145:$CZ$145,"&gt;"&amp;P$48,'Dvd Calendar'!$E$145:$CZ$145,"&lt;="&amp;P$49),"")))</f>
        <v/>
      </c>
      <c r="Q120" s="140">
        <f>IF(Q$49="","",IF($B120="","",IFERROR(SUMIFS('Dvd Calendar'!$E$146:$CZ$146,'Dvd Calendar'!$E$145:$CZ$145,"&gt;"&amp;Q$48,'Dvd Calendar'!$E$145:$CZ$145,"&lt;="&amp;Q$49),"")))</f>
        <v/>
      </c>
      <c r="R120" s="140">
        <f>IF(R$49="","",IF($B120="","",IFERROR(SUMIFS('Dvd Calendar'!$E$146:$CZ$146,'Dvd Calendar'!$E$145:$CZ$145,"&gt;"&amp;R$48,'Dvd Calendar'!$E$145:$CZ$145,"&lt;="&amp;R$49),"")))</f>
        <v/>
      </c>
      <c r="U120" s="146" t="n"/>
      <c r="V120" s="146" t="n"/>
      <c r="W120" s="146" t="n"/>
      <c r="X120" s="146" t="n"/>
      <c r="Y120" s="146" t="n"/>
      <c r="Z120" s="146" t="n"/>
      <c r="AA120" s="146" t="n"/>
      <c r="AB120" s="146" t="n"/>
      <c r="AC120" s="146" t="n"/>
      <c r="AD120" s="146" t="n"/>
      <c r="AE120" s="146" t="n"/>
      <c r="AF120" s="146" t="n"/>
      <c r="AG120" s="146" t="n"/>
      <c r="AH120" s="146" t="n"/>
      <c r="AI120" s="146" t="n"/>
      <c r="AJ120" s="146" t="n"/>
    </row>
    <row r="121">
      <c r="B121" s="5">
        <f>IF(AS51!$C$76="","",AS51!$C$76)</f>
        <v/>
      </c>
      <c r="C121" s="140">
        <f>IF(C$49="","",IF($B121="","",IFERROR(SUMIFS('Dvd Calendar'!$E$148:$CZ$148,'Dvd Calendar'!$E$147:$CZ$147,"&gt;"&amp;C$48,'Dvd Calendar'!$E$147:$CZ$147,"&lt;="&amp;C$49),"")))</f>
        <v/>
      </c>
      <c r="D121" s="140">
        <f>IF(D$49="","",IF($B121="","",IFERROR(SUMIFS('Dvd Calendar'!$E$148:$CZ$148,'Dvd Calendar'!$E$147:$CZ$147,"&gt;"&amp;D$48,'Dvd Calendar'!$E$147:$CZ$147,"&lt;="&amp;D$49),"")))</f>
        <v/>
      </c>
      <c r="E121" s="140">
        <f>IF(E$49="","",IF($B121="","",IFERROR(SUMIFS('Dvd Calendar'!$E$148:$CZ$148,'Dvd Calendar'!$E$147:$CZ$147,"&gt;"&amp;E$48,'Dvd Calendar'!$E$147:$CZ$147,"&lt;="&amp;E$49),"")))</f>
        <v/>
      </c>
      <c r="F121" s="140">
        <f>IF(F$49="","",IF($B121="","",IFERROR(SUMIFS('Dvd Calendar'!$E$148:$CZ$148,'Dvd Calendar'!$E$147:$CZ$147,"&gt;"&amp;F$48,'Dvd Calendar'!$E$147:$CZ$147,"&lt;="&amp;F$49),"")))</f>
        <v/>
      </c>
      <c r="G121" s="140">
        <f>IF(G$49="","",IF($B121="","",IFERROR(SUMIFS('Dvd Calendar'!$E$148:$CZ$148,'Dvd Calendar'!$E$147:$CZ$147,"&gt;"&amp;G$48,'Dvd Calendar'!$E$147:$CZ$147,"&lt;="&amp;G$49),"")))</f>
        <v/>
      </c>
      <c r="H121" s="140">
        <f>IF(H$49="","",IF($B121="","",IFERROR(SUMIFS('Dvd Calendar'!$E$148:$CZ$148,'Dvd Calendar'!$E$147:$CZ$147,"&gt;"&amp;H$48,'Dvd Calendar'!$E$147:$CZ$147,"&lt;="&amp;H$49),"")))</f>
        <v/>
      </c>
      <c r="I121" s="140">
        <f>IF(I$49="","",IF($B121="","",IFERROR(SUMIFS('Dvd Calendar'!$E$148:$CZ$148,'Dvd Calendar'!$E$147:$CZ$147,"&gt;"&amp;I$48,'Dvd Calendar'!$E$147:$CZ$147,"&lt;="&amp;I$49),"")))</f>
        <v/>
      </c>
      <c r="J121" s="140">
        <f>IF(J$49="","",IF($B121="","",IFERROR(SUMIFS('Dvd Calendar'!$E$148:$CZ$148,'Dvd Calendar'!$E$147:$CZ$147,"&gt;"&amp;J$48,'Dvd Calendar'!$E$147:$CZ$147,"&lt;="&amp;J$49),"")))</f>
        <v/>
      </c>
      <c r="K121" s="140">
        <f>IF(K$49="","",IF($B121="","",IFERROR(SUMIFS('Dvd Calendar'!$E$148:$CZ$148,'Dvd Calendar'!$E$147:$CZ$147,"&gt;"&amp;K$48,'Dvd Calendar'!$E$147:$CZ$147,"&lt;="&amp;K$49),"")))</f>
        <v/>
      </c>
      <c r="L121" s="140">
        <f>IF(L$49="","",IF($B121="","",IFERROR(SUMIFS('Dvd Calendar'!$E$148:$CZ$148,'Dvd Calendar'!$E$147:$CZ$147,"&gt;"&amp;L$48,'Dvd Calendar'!$E$147:$CZ$147,"&lt;="&amp;L$49),"")))</f>
        <v/>
      </c>
      <c r="M121" s="140">
        <f>IF(M$49="","",IF($B121="","",IFERROR(SUMIFS('Dvd Calendar'!$E$148:$CZ$148,'Dvd Calendar'!$E$147:$CZ$147,"&gt;"&amp;M$48,'Dvd Calendar'!$E$147:$CZ$147,"&lt;="&amp;M$49),"")))</f>
        <v/>
      </c>
      <c r="N121" s="140">
        <f>IF(N$49="","",IF($B121="","",IFERROR(SUMIFS('Dvd Calendar'!$E$148:$CZ$148,'Dvd Calendar'!$E$147:$CZ$147,"&gt;"&amp;N$48,'Dvd Calendar'!$E$147:$CZ$147,"&lt;="&amp;N$49),"")))</f>
        <v/>
      </c>
      <c r="O121" s="140">
        <f>IF(O$49="","",IF($B121="","",IFERROR(SUMIFS('Dvd Calendar'!$E$148:$CZ$148,'Dvd Calendar'!$E$147:$CZ$147,"&gt;"&amp;O$48,'Dvd Calendar'!$E$147:$CZ$147,"&lt;="&amp;O$49),"")))</f>
        <v/>
      </c>
      <c r="P121" s="140">
        <f>IF(P$49="","",IF($B121="","",IFERROR(SUMIFS('Dvd Calendar'!$E$148:$CZ$148,'Dvd Calendar'!$E$147:$CZ$147,"&gt;"&amp;P$48,'Dvd Calendar'!$E$147:$CZ$147,"&lt;="&amp;P$49),"")))</f>
        <v/>
      </c>
      <c r="Q121" s="140">
        <f>IF(Q$49="","",IF($B121="","",IFERROR(SUMIFS('Dvd Calendar'!$E$148:$CZ$148,'Dvd Calendar'!$E$147:$CZ$147,"&gt;"&amp;Q$48,'Dvd Calendar'!$E$147:$CZ$147,"&lt;="&amp;Q$49),"")))</f>
        <v/>
      </c>
      <c r="R121" s="140">
        <f>IF(R$49="","",IF($B121="","",IFERROR(SUMIFS('Dvd Calendar'!$E$148:$CZ$148,'Dvd Calendar'!$E$147:$CZ$147,"&gt;"&amp;R$48,'Dvd Calendar'!$E$147:$CZ$147,"&lt;="&amp;R$49),"")))</f>
        <v/>
      </c>
    </row>
    <row r="122">
      <c r="B122" s="5">
        <f>IF(AS51!$C$77="","",AS51!$C$77)</f>
        <v/>
      </c>
      <c r="C122" s="140">
        <f>IF(C$49="","",IF($B122="","",IFERROR(SUMIFS('Dvd Calendar'!$E$150:$CZ$150,'Dvd Calendar'!$E$149:$CZ$149,"&gt;"&amp;C$48,'Dvd Calendar'!$E$149:$CZ$149,"&lt;="&amp;C$49),"")))</f>
        <v/>
      </c>
      <c r="D122" s="140">
        <f>IF(D$49="","",IF($B122="","",IFERROR(SUMIFS('Dvd Calendar'!$E$150:$CZ$150,'Dvd Calendar'!$E$149:$CZ$149,"&gt;"&amp;D$48,'Dvd Calendar'!$E$149:$CZ$149,"&lt;="&amp;D$49),"")))</f>
        <v/>
      </c>
      <c r="E122" s="140">
        <f>IF(E$49="","",IF($B122="","",IFERROR(SUMIFS('Dvd Calendar'!$E$150:$CZ$150,'Dvd Calendar'!$E$149:$CZ$149,"&gt;"&amp;E$48,'Dvd Calendar'!$E$149:$CZ$149,"&lt;="&amp;E$49),"")))</f>
        <v/>
      </c>
      <c r="F122" s="140">
        <f>IF(F$49="","",IF($B122="","",IFERROR(SUMIFS('Dvd Calendar'!$E$150:$CZ$150,'Dvd Calendar'!$E$149:$CZ$149,"&gt;"&amp;F$48,'Dvd Calendar'!$E$149:$CZ$149,"&lt;="&amp;F$49),"")))</f>
        <v/>
      </c>
      <c r="G122" s="140">
        <f>IF(G$49="","",IF($B122="","",IFERROR(SUMIFS('Dvd Calendar'!$E$150:$CZ$150,'Dvd Calendar'!$E$149:$CZ$149,"&gt;"&amp;G$48,'Dvd Calendar'!$E$149:$CZ$149,"&lt;="&amp;G$49),"")))</f>
        <v/>
      </c>
      <c r="H122" s="140">
        <f>IF(H$49="","",IF($B122="","",IFERROR(SUMIFS('Dvd Calendar'!$E$150:$CZ$150,'Dvd Calendar'!$E$149:$CZ$149,"&gt;"&amp;H$48,'Dvd Calendar'!$E$149:$CZ$149,"&lt;="&amp;H$49),"")))</f>
        <v/>
      </c>
      <c r="I122" s="140">
        <f>IF(I$49="","",IF($B122="","",IFERROR(SUMIFS('Dvd Calendar'!$E$150:$CZ$150,'Dvd Calendar'!$E$149:$CZ$149,"&gt;"&amp;I$48,'Dvd Calendar'!$E$149:$CZ$149,"&lt;="&amp;I$49),"")))</f>
        <v/>
      </c>
      <c r="J122" s="140">
        <f>IF(J$49="","",IF($B122="","",IFERROR(SUMIFS('Dvd Calendar'!$E$150:$CZ$150,'Dvd Calendar'!$E$149:$CZ$149,"&gt;"&amp;J$48,'Dvd Calendar'!$E$149:$CZ$149,"&lt;="&amp;J$49),"")))</f>
        <v/>
      </c>
      <c r="K122" s="140">
        <f>IF(K$49="","",IF($B122="","",IFERROR(SUMIFS('Dvd Calendar'!$E$150:$CZ$150,'Dvd Calendar'!$E$149:$CZ$149,"&gt;"&amp;K$48,'Dvd Calendar'!$E$149:$CZ$149,"&lt;="&amp;K$49),"")))</f>
        <v/>
      </c>
      <c r="L122" s="140">
        <f>IF(L$49="","",IF($B122="","",IFERROR(SUMIFS('Dvd Calendar'!$E$150:$CZ$150,'Dvd Calendar'!$E$149:$CZ$149,"&gt;"&amp;L$48,'Dvd Calendar'!$E$149:$CZ$149,"&lt;="&amp;L$49),"")))</f>
        <v/>
      </c>
      <c r="M122" s="140">
        <f>IF(M$49="","",IF($B122="","",IFERROR(SUMIFS('Dvd Calendar'!$E$150:$CZ$150,'Dvd Calendar'!$E$149:$CZ$149,"&gt;"&amp;M$48,'Dvd Calendar'!$E$149:$CZ$149,"&lt;="&amp;M$49),"")))</f>
        <v/>
      </c>
      <c r="N122" s="140">
        <f>IF(N$49="","",IF($B122="","",IFERROR(SUMIFS('Dvd Calendar'!$E$150:$CZ$150,'Dvd Calendar'!$E$149:$CZ$149,"&gt;"&amp;N$48,'Dvd Calendar'!$E$149:$CZ$149,"&lt;="&amp;N$49),"")))</f>
        <v/>
      </c>
      <c r="O122" s="140">
        <f>IF(O$49="","",IF($B122="","",IFERROR(SUMIFS('Dvd Calendar'!$E$150:$CZ$150,'Dvd Calendar'!$E$149:$CZ$149,"&gt;"&amp;O$48,'Dvd Calendar'!$E$149:$CZ$149,"&lt;="&amp;O$49),"")))</f>
        <v/>
      </c>
      <c r="P122" s="140">
        <f>IF(P$49="","",IF($B122="","",IFERROR(SUMIFS('Dvd Calendar'!$E$150:$CZ$150,'Dvd Calendar'!$E$149:$CZ$149,"&gt;"&amp;P$48,'Dvd Calendar'!$E$149:$CZ$149,"&lt;="&amp;P$49),"")))</f>
        <v/>
      </c>
      <c r="Q122" s="140">
        <f>IF(Q$49="","",IF($B122="","",IFERROR(SUMIFS('Dvd Calendar'!$E$150:$CZ$150,'Dvd Calendar'!$E$149:$CZ$149,"&gt;"&amp;Q$48,'Dvd Calendar'!$E$149:$CZ$149,"&lt;="&amp;Q$49),"")))</f>
        <v/>
      </c>
      <c r="R122" s="140">
        <f>IF(R$49="","",IF($B122="","",IFERROR(SUMIFS('Dvd Calendar'!$E$150:$CZ$150,'Dvd Calendar'!$E$149:$CZ$149,"&gt;"&amp;R$48,'Dvd Calendar'!$E$149:$CZ$149,"&lt;="&amp;R$49),"")))</f>
        <v/>
      </c>
    </row>
    <row r="123">
      <c r="B123" s="5">
        <f>IF(AS51!$C$78="","",AS51!$C$78)</f>
        <v/>
      </c>
      <c r="C123" s="140">
        <f>IF(C$49="","",IF($B123="","",IFERROR(SUMIFS('Dvd Calendar'!$E$152:$CZ$152,'Dvd Calendar'!$E$151:$CZ$151,"&gt;"&amp;C$48,'Dvd Calendar'!$E$151:$CZ$151,"&lt;="&amp;C$49),"")))</f>
        <v/>
      </c>
      <c r="D123" s="140">
        <f>IF(D$49="","",IF($B123="","",IFERROR(SUMIFS('Dvd Calendar'!$E$152:$CZ$152,'Dvd Calendar'!$E$151:$CZ$151,"&gt;"&amp;D$48,'Dvd Calendar'!$E$151:$CZ$151,"&lt;="&amp;D$49),"")))</f>
        <v/>
      </c>
      <c r="E123" s="140">
        <f>IF(E$49="","",IF($B123="","",IFERROR(SUMIFS('Dvd Calendar'!$E$152:$CZ$152,'Dvd Calendar'!$E$151:$CZ$151,"&gt;"&amp;E$48,'Dvd Calendar'!$E$151:$CZ$151,"&lt;="&amp;E$49),"")))</f>
        <v/>
      </c>
      <c r="F123" s="140">
        <f>IF(F$49="","",IF($B123="","",IFERROR(SUMIFS('Dvd Calendar'!$E$152:$CZ$152,'Dvd Calendar'!$E$151:$CZ$151,"&gt;"&amp;F$48,'Dvd Calendar'!$E$151:$CZ$151,"&lt;="&amp;F$49),"")))</f>
        <v/>
      </c>
      <c r="G123" s="140">
        <f>IF(G$49="","",IF($B123="","",IFERROR(SUMIFS('Dvd Calendar'!$E$152:$CZ$152,'Dvd Calendar'!$E$151:$CZ$151,"&gt;"&amp;G$48,'Dvd Calendar'!$E$151:$CZ$151,"&lt;="&amp;G$49),"")))</f>
        <v/>
      </c>
      <c r="H123" s="140">
        <f>IF(H$49="","",IF($B123="","",IFERROR(SUMIFS('Dvd Calendar'!$E$152:$CZ$152,'Dvd Calendar'!$E$151:$CZ$151,"&gt;"&amp;H$48,'Dvd Calendar'!$E$151:$CZ$151,"&lt;="&amp;H$49),"")))</f>
        <v/>
      </c>
      <c r="I123" s="140">
        <f>IF(I$49="","",IF($B123="","",IFERROR(SUMIFS('Dvd Calendar'!$E$152:$CZ$152,'Dvd Calendar'!$E$151:$CZ$151,"&gt;"&amp;I$48,'Dvd Calendar'!$E$151:$CZ$151,"&lt;="&amp;I$49),"")))</f>
        <v/>
      </c>
      <c r="J123" s="140">
        <f>IF(J$49="","",IF($B123="","",IFERROR(SUMIFS('Dvd Calendar'!$E$152:$CZ$152,'Dvd Calendar'!$E$151:$CZ$151,"&gt;"&amp;J$48,'Dvd Calendar'!$E$151:$CZ$151,"&lt;="&amp;J$49),"")))</f>
        <v/>
      </c>
      <c r="K123" s="140">
        <f>IF(K$49="","",IF($B123="","",IFERROR(SUMIFS('Dvd Calendar'!$E$152:$CZ$152,'Dvd Calendar'!$E$151:$CZ$151,"&gt;"&amp;K$48,'Dvd Calendar'!$E$151:$CZ$151,"&lt;="&amp;K$49),"")))</f>
        <v/>
      </c>
      <c r="L123" s="140">
        <f>IF(L$49="","",IF($B123="","",IFERROR(SUMIFS('Dvd Calendar'!$E$152:$CZ$152,'Dvd Calendar'!$E$151:$CZ$151,"&gt;"&amp;L$48,'Dvd Calendar'!$E$151:$CZ$151,"&lt;="&amp;L$49),"")))</f>
        <v/>
      </c>
      <c r="M123" s="140">
        <f>IF(M$49="","",IF($B123="","",IFERROR(SUMIFS('Dvd Calendar'!$E$152:$CZ$152,'Dvd Calendar'!$E$151:$CZ$151,"&gt;"&amp;M$48,'Dvd Calendar'!$E$151:$CZ$151,"&lt;="&amp;M$49),"")))</f>
        <v/>
      </c>
      <c r="N123" s="140">
        <f>IF(N$49="","",IF($B123="","",IFERROR(SUMIFS('Dvd Calendar'!$E$152:$CZ$152,'Dvd Calendar'!$E$151:$CZ$151,"&gt;"&amp;N$48,'Dvd Calendar'!$E$151:$CZ$151,"&lt;="&amp;N$49),"")))</f>
        <v/>
      </c>
      <c r="O123" s="140">
        <f>IF(O$49="","",IF($B123="","",IFERROR(SUMIFS('Dvd Calendar'!$E$152:$CZ$152,'Dvd Calendar'!$E$151:$CZ$151,"&gt;"&amp;O$48,'Dvd Calendar'!$E$151:$CZ$151,"&lt;="&amp;O$49),"")))</f>
        <v/>
      </c>
      <c r="P123" s="140">
        <f>IF(P$49="","",IF($B123="","",IFERROR(SUMIFS('Dvd Calendar'!$E$152:$CZ$152,'Dvd Calendar'!$E$151:$CZ$151,"&gt;"&amp;P$48,'Dvd Calendar'!$E$151:$CZ$151,"&lt;="&amp;P$49),"")))</f>
        <v/>
      </c>
      <c r="Q123" s="140">
        <f>IF(Q$49="","",IF($B123="","",IFERROR(SUMIFS('Dvd Calendar'!$E$152:$CZ$152,'Dvd Calendar'!$E$151:$CZ$151,"&gt;"&amp;Q$48,'Dvd Calendar'!$E$151:$CZ$151,"&lt;="&amp;Q$49),"")))</f>
        <v/>
      </c>
      <c r="R123" s="140">
        <f>IF(R$49="","",IF($B123="","",IFERROR(SUMIFS('Dvd Calendar'!$E$152:$CZ$152,'Dvd Calendar'!$E$151:$CZ$151,"&gt;"&amp;R$48,'Dvd Calendar'!$E$151:$CZ$151,"&lt;="&amp;R$49),"")))</f>
        <v/>
      </c>
    </row>
    <row r="124">
      <c r="B124" s="5">
        <f>IF(AS51!$C$79="","",AS51!$C$79)</f>
        <v/>
      </c>
      <c r="C124" s="140">
        <f>IF(C$49="","",IF($B124="","",IFERROR(SUMIFS('Dvd Calendar'!$E$154:$CZ$154,'Dvd Calendar'!$E$153:$CZ$153,"&gt;"&amp;C$48,'Dvd Calendar'!$E$153:$CZ$153,"&lt;="&amp;C$49),"")))</f>
        <v/>
      </c>
      <c r="D124" s="140">
        <f>IF(D$49="","",IF($B124="","",IFERROR(SUMIFS('Dvd Calendar'!$E$154:$CZ$154,'Dvd Calendar'!$E$153:$CZ$153,"&gt;"&amp;D$48,'Dvd Calendar'!$E$153:$CZ$153,"&lt;="&amp;D$49),"")))</f>
        <v/>
      </c>
      <c r="E124" s="140">
        <f>IF(E$49="","",IF($B124="","",IFERROR(SUMIFS('Dvd Calendar'!$E$154:$CZ$154,'Dvd Calendar'!$E$153:$CZ$153,"&gt;"&amp;E$48,'Dvd Calendar'!$E$153:$CZ$153,"&lt;="&amp;E$49),"")))</f>
        <v/>
      </c>
      <c r="F124" s="140">
        <f>IF(F$49="","",IF($B124="","",IFERROR(SUMIFS('Dvd Calendar'!$E$154:$CZ$154,'Dvd Calendar'!$E$153:$CZ$153,"&gt;"&amp;F$48,'Dvd Calendar'!$E$153:$CZ$153,"&lt;="&amp;F$49),"")))</f>
        <v/>
      </c>
      <c r="G124" s="140">
        <f>IF(G$49="","",IF($B124="","",IFERROR(SUMIFS('Dvd Calendar'!$E$154:$CZ$154,'Dvd Calendar'!$E$153:$CZ$153,"&gt;"&amp;G$48,'Dvd Calendar'!$E$153:$CZ$153,"&lt;="&amp;G$49),"")))</f>
        <v/>
      </c>
      <c r="H124" s="140">
        <f>IF(H$49="","",IF($B124="","",IFERROR(SUMIFS('Dvd Calendar'!$E$154:$CZ$154,'Dvd Calendar'!$E$153:$CZ$153,"&gt;"&amp;H$48,'Dvd Calendar'!$E$153:$CZ$153,"&lt;="&amp;H$49),"")))</f>
        <v/>
      </c>
      <c r="I124" s="140">
        <f>IF(I$49="","",IF($B124="","",IFERROR(SUMIFS('Dvd Calendar'!$E$154:$CZ$154,'Dvd Calendar'!$E$153:$CZ$153,"&gt;"&amp;I$48,'Dvd Calendar'!$E$153:$CZ$153,"&lt;="&amp;I$49),"")))</f>
        <v/>
      </c>
      <c r="J124" s="140">
        <f>IF(J$49="","",IF($B124="","",IFERROR(SUMIFS('Dvd Calendar'!$E$154:$CZ$154,'Dvd Calendar'!$E$153:$CZ$153,"&gt;"&amp;J$48,'Dvd Calendar'!$E$153:$CZ$153,"&lt;="&amp;J$49),"")))</f>
        <v/>
      </c>
      <c r="K124" s="140">
        <f>IF(K$49="","",IF($B124="","",IFERROR(SUMIFS('Dvd Calendar'!$E$154:$CZ$154,'Dvd Calendar'!$E$153:$CZ$153,"&gt;"&amp;K$48,'Dvd Calendar'!$E$153:$CZ$153,"&lt;="&amp;K$49),"")))</f>
        <v/>
      </c>
      <c r="L124" s="140">
        <f>IF(L$49="","",IF($B124="","",IFERROR(SUMIFS('Dvd Calendar'!$E$154:$CZ$154,'Dvd Calendar'!$E$153:$CZ$153,"&gt;"&amp;L$48,'Dvd Calendar'!$E$153:$CZ$153,"&lt;="&amp;L$49),"")))</f>
        <v/>
      </c>
      <c r="M124" s="140">
        <f>IF(M$49="","",IF($B124="","",IFERROR(SUMIFS('Dvd Calendar'!$E$154:$CZ$154,'Dvd Calendar'!$E$153:$CZ$153,"&gt;"&amp;M$48,'Dvd Calendar'!$E$153:$CZ$153,"&lt;="&amp;M$49),"")))</f>
        <v/>
      </c>
      <c r="N124" s="140">
        <f>IF(N$49="","",IF($B124="","",IFERROR(SUMIFS('Dvd Calendar'!$E$154:$CZ$154,'Dvd Calendar'!$E$153:$CZ$153,"&gt;"&amp;N$48,'Dvd Calendar'!$E$153:$CZ$153,"&lt;="&amp;N$49),"")))</f>
        <v/>
      </c>
      <c r="O124" s="140">
        <f>IF(O$49="","",IF($B124="","",IFERROR(SUMIFS('Dvd Calendar'!$E$154:$CZ$154,'Dvd Calendar'!$E$153:$CZ$153,"&gt;"&amp;O$48,'Dvd Calendar'!$E$153:$CZ$153,"&lt;="&amp;O$49),"")))</f>
        <v/>
      </c>
      <c r="P124" s="140">
        <f>IF(P$49="","",IF($B124="","",IFERROR(SUMIFS('Dvd Calendar'!$E$154:$CZ$154,'Dvd Calendar'!$E$153:$CZ$153,"&gt;"&amp;P$48,'Dvd Calendar'!$E$153:$CZ$153,"&lt;="&amp;P$49),"")))</f>
        <v/>
      </c>
      <c r="Q124" s="140">
        <f>IF(Q$49="","",IF($B124="","",IFERROR(SUMIFS('Dvd Calendar'!$E$154:$CZ$154,'Dvd Calendar'!$E$153:$CZ$153,"&gt;"&amp;Q$48,'Dvd Calendar'!$E$153:$CZ$153,"&lt;="&amp;Q$49),"")))</f>
        <v/>
      </c>
      <c r="R124" s="140">
        <f>IF(R$49="","",IF($B124="","",IFERROR(SUMIFS('Dvd Calendar'!$E$154:$CZ$154,'Dvd Calendar'!$E$153:$CZ$153,"&gt;"&amp;R$48,'Dvd Calendar'!$E$153:$CZ$153,"&lt;="&amp;R$49),"")))</f>
        <v/>
      </c>
    </row>
    <row r="125">
      <c r="B125" s="5">
        <f>IF(AS51!$C$80="","",AS51!$C$80)</f>
        <v/>
      </c>
      <c r="C125" s="140">
        <f>IF(C$49="","",IF($B125="","",IFERROR(SUMIFS('Dvd Calendar'!$E$156:$CZ$156,'Dvd Calendar'!$E$155:$CZ$155,"&gt;"&amp;C$48,'Dvd Calendar'!$E$155:$CZ$155,"&lt;="&amp;C$49),"")))</f>
        <v/>
      </c>
      <c r="D125" s="140">
        <f>IF(D$49="","",IF($B125="","",IFERROR(SUMIFS('Dvd Calendar'!$E$156:$CZ$156,'Dvd Calendar'!$E$155:$CZ$155,"&gt;"&amp;D$48,'Dvd Calendar'!$E$155:$CZ$155,"&lt;="&amp;D$49),"")))</f>
        <v/>
      </c>
      <c r="E125" s="140">
        <f>IF(E$49="","",IF($B125="","",IFERROR(SUMIFS('Dvd Calendar'!$E$156:$CZ$156,'Dvd Calendar'!$E$155:$CZ$155,"&gt;"&amp;E$48,'Dvd Calendar'!$E$155:$CZ$155,"&lt;="&amp;E$49),"")))</f>
        <v/>
      </c>
      <c r="F125" s="140">
        <f>IF(F$49="","",IF($B125="","",IFERROR(SUMIFS('Dvd Calendar'!$E$156:$CZ$156,'Dvd Calendar'!$E$155:$CZ$155,"&gt;"&amp;F$48,'Dvd Calendar'!$E$155:$CZ$155,"&lt;="&amp;F$49),"")))</f>
        <v/>
      </c>
      <c r="G125" s="140">
        <f>IF(G$49="","",IF($B125="","",IFERROR(SUMIFS('Dvd Calendar'!$E$156:$CZ$156,'Dvd Calendar'!$E$155:$CZ$155,"&gt;"&amp;G$48,'Dvd Calendar'!$E$155:$CZ$155,"&lt;="&amp;G$49),"")))</f>
        <v/>
      </c>
      <c r="H125" s="140">
        <f>IF(H$49="","",IF($B125="","",IFERROR(SUMIFS('Dvd Calendar'!$E$156:$CZ$156,'Dvd Calendar'!$E$155:$CZ$155,"&gt;"&amp;H$48,'Dvd Calendar'!$E$155:$CZ$155,"&lt;="&amp;H$49),"")))</f>
        <v/>
      </c>
      <c r="I125" s="140">
        <f>IF(I$49="","",IF($B125="","",IFERROR(SUMIFS('Dvd Calendar'!$E$156:$CZ$156,'Dvd Calendar'!$E$155:$CZ$155,"&gt;"&amp;I$48,'Dvd Calendar'!$E$155:$CZ$155,"&lt;="&amp;I$49),"")))</f>
        <v/>
      </c>
      <c r="J125" s="140">
        <f>IF(J$49="","",IF($B125="","",IFERROR(SUMIFS('Dvd Calendar'!$E$156:$CZ$156,'Dvd Calendar'!$E$155:$CZ$155,"&gt;"&amp;J$48,'Dvd Calendar'!$E$155:$CZ$155,"&lt;="&amp;J$49),"")))</f>
        <v/>
      </c>
      <c r="K125" s="140">
        <f>IF(K$49="","",IF($B125="","",IFERROR(SUMIFS('Dvd Calendar'!$E$156:$CZ$156,'Dvd Calendar'!$E$155:$CZ$155,"&gt;"&amp;K$48,'Dvd Calendar'!$E$155:$CZ$155,"&lt;="&amp;K$49),"")))</f>
        <v/>
      </c>
      <c r="L125" s="140">
        <f>IF(L$49="","",IF($B125="","",IFERROR(SUMIFS('Dvd Calendar'!$E$156:$CZ$156,'Dvd Calendar'!$E$155:$CZ$155,"&gt;"&amp;L$48,'Dvd Calendar'!$E$155:$CZ$155,"&lt;="&amp;L$49),"")))</f>
        <v/>
      </c>
      <c r="M125" s="140">
        <f>IF(M$49="","",IF($B125="","",IFERROR(SUMIFS('Dvd Calendar'!$E$156:$CZ$156,'Dvd Calendar'!$E$155:$CZ$155,"&gt;"&amp;M$48,'Dvd Calendar'!$E$155:$CZ$155,"&lt;="&amp;M$49),"")))</f>
        <v/>
      </c>
      <c r="N125" s="140">
        <f>IF(N$49="","",IF($B125="","",IFERROR(SUMIFS('Dvd Calendar'!$E$156:$CZ$156,'Dvd Calendar'!$E$155:$CZ$155,"&gt;"&amp;N$48,'Dvd Calendar'!$E$155:$CZ$155,"&lt;="&amp;N$49),"")))</f>
        <v/>
      </c>
      <c r="O125" s="140">
        <f>IF(O$49="","",IF($B125="","",IFERROR(SUMIFS('Dvd Calendar'!$E$156:$CZ$156,'Dvd Calendar'!$E$155:$CZ$155,"&gt;"&amp;O$48,'Dvd Calendar'!$E$155:$CZ$155,"&lt;="&amp;O$49),"")))</f>
        <v/>
      </c>
      <c r="P125" s="140">
        <f>IF(P$49="","",IF($B125="","",IFERROR(SUMIFS('Dvd Calendar'!$E$156:$CZ$156,'Dvd Calendar'!$E$155:$CZ$155,"&gt;"&amp;P$48,'Dvd Calendar'!$E$155:$CZ$155,"&lt;="&amp;P$49),"")))</f>
        <v/>
      </c>
      <c r="Q125" s="140">
        <f>IF(Q$49="","",IF($B125="","",IFERROR(SUMIFS('Dvd Calendar'!$E$156:$CZ$156,'Dvd Calendar'!$E$155:$CZ$155,"&gt;"&amp;Q$48,'Dvd Calendar'!$E$155:$CZ$155,"&lt;="&amp;Q$49),"")))</f>
        <v/>
      </c>
      <c r="R125" s="140">
        <f>IF(R$49="","",IF($B125="","",IFERROR(SUMIFS('Dvd Calendar'!$E$156:$CZ$156,'Dvd Calendar'!$E$155:$CZ$155,"&gt;"&amp;R$48,'Dvd Calendar'!$E$155:$CZ$155,"&lt;="&amp;R$49),"")))</f>
        <v/>
      </c>
    </row>
    <row r="126">
      <c r="B126" s="5">
        <f>IF(AS51!$C$81="","",AS51!$C$81)</f>
        <v/>
      </c>
      <c r="C126" s="140">
        <f>IF(C$49="","",IF($B126="","",IFERROR(SUMIFS('Dvd Calendar'!$E$158:$CZ$158,'Dvd Calendar'!$E$157:$CZ$157,"&gt;"&amp;C$48,'Dvd Calendar'!$E$157:$CZ$157,"&lt;="&amp;C$49),"")))</f>
        <v/>
      </c>
      <c r="D126" s="140">
        <f>IF(D$49="","",IF($B126="","",IFERROR(SUMIFS('Dvd Calendar'!$E$158:$CZ$158,'Dvd Calendar'!$E$157:$CZ$157,"&gt;"&amp;D$48,'Dvd Calendar'!$E$157:$CZ$157,"&lt;="&amp;D$49),"")))</f>
        <v/>
      </c>
      <c r="E126" s="140">
        <f>IF(E$49="","",IF($B126="","",IFERROR(SUMIFS('Dvd Calendar'!$E$158:$CZ$158,'Dvd Calendar'!$E$157:$CZ$157,"&gt;"&amp;E$48,'Dvd Calendar'!$E$157:$CZ$157,"&lt;="&amp;E$49),"")))</f>
        <v/>
      </c>
      <c r="F126" s="140">
        <f>IF(F$49="","",IF($B126="","",IFERROR(SUMIFS('Dvd Calendar'!$E$158:$CZ$158,'Dvd Calendar'!$E$157:$CZ$157,"&gt;"&amp;F$48,'Dvd Calendar'!$E$157:$CZ$157,"&lt;="&amp;F$49),"")))</f>
        <v/>
      </c>
      <c r="G126" s="140">
        <f>IF(G$49="","",IF($B126="","",IFERROR(SUMIFS('Dvd Calendar'!$E$158:$CZ$158,'Dvd Calendar'!$E$157:$CZ$157,"&gt;"&amp;G$48,'Dvd Calendar'!$E$157:$CZ$157,"&lt;="&amp;G$49),"")))</f>
        <v/>
      </c>
      <c r="H126" s="140">
        <f>IF(H$49="","",IF($B126="","",IFERROR(SUMIFS('Dvd Calendar'!$E$158:$CZ$158,'Dvd Calendar'!$E$157:$CZ$157,"&gt;"&amp;H$48,'Dvd Calendar'!$E$157:$CZ$157,"&lt;="&amp;H$49),"")))</f>
        <v/>
      </c>
      <c r="I126" s="140">
        <f>IF(I$49="","",IF($B126="","",IFERROR(SUMIFS('Dvd Calendar'!$E$158:$CZ$158,'Dvd Calendar'!$E$157:$CZ$157,"&gt;"&amp;I$48,'Dvd Calendar'!$E$157:$CZ$157,"&lt;="&amp;I$49),"")))</f>
        <v/>
      </c>
      <c r="J126" s="140">
        <f>IF(J$49="","",IF($B126="","",IFERROR(SUMIFS('Dvd Calendar'!$E$158:$CZ$158,'Dvd Calendar'!$E$157:$CZ$157,"&gt;"&amp;J$48,'Dvd Calendar'!$E$157:$CZ$157,"&lt;="&amp;J$49),"")))</f>
        <v/>
      </c>
      <c r="K126" s="140">
        <f>IF(K$49="","",IF($B126="","",IFERROR(SUMIFS('Dvd Calendar'!$E$158:$CZ$158,'Dvd Calendar'!$E$157:$CZ$157,"&gt;"&amp;K$48,'Dvd Calendar'!$E$157:$CZ$157,"&lt;="&amp;K$49),"")))</f>
        <v/>
      </c>
      <c r="L126" s="140">
        <f>IF(L$49="","",IF($B126="","",IFERROR(SUMIFS('Dvd Calendar'!$E$158:$CZ$158,'Dvd Calendar'!$E$157:$CZ$157,"&gt;"&amp;L$48,'Dvd Calendar'!$E$157:$CZ$157,"&lt;="&amp;L$49),"")))</f>
        <v/>
      </c>
      <c r="M126" s="140">
        <f>IF(M$49="","",IF($B126="","",IFERROR(SUMIFS('Dvd Calendar'!$E$158:$CZ$158,'Dvd Calendar'!$E$157:$CZ$157,"&gt;"&amp;M$48,'Dvd Calendar'!$E$157:$CZ$157,"&lt;="&amp;M$49),"")))</f>
        <v/>
      </c>
      <c r="N126" s="140">
        <f>IF(N$49="","",IF($B126="","",IFERROR(SUMIFS('Dvd Calendar'!$E$158:$CZ$158,'Dvd Calendar'!$E$157:$CZ$157,"&gt;"&amp;N$48,'Dvd Calendar'!$E$157:$CZ$157,"&lt;="&amp;N$49),"")))</f>
        <v/>
      </c>
      <c r="O126" s="140">
        <f>IF(O$49="","",IF($B126="","",IFERROR(SUMIFS('Dvd Calendar'!$E$158:$CZ$158,'Dvd Calendar'!$E$157:$CZ$157,"&gt;"&amp;O$48,'Dvd Calendar'!$E$157:$CZ$157,"&lt;="&amp;O$49),"")))</f>
        <v/>
      </c>
      <c r="P126" s="140">
        <f>IF(P$49="","",IF($B126="","",IFERROR(SUMIFS('Dvd Calendar'!$E$158:$CZ$158,'Dvd Calendar'!$E$157:$CZ$157,"&gt;"&amp;P$48,'Dvd Calendar'!$E$157:$CZ$157,"&lt;="&amp;P$49),"")))</f>
        <v/>
      </c>
      <c r="Q126" s="140">
        <f>IF(Q$49="","",IF($B126="","",IFERROR(SUMIFS('Dvd Calendar'!$E$158:$CZ$158,'Dvd Calendar'!$E$157:$CZ$157,"&gt;"&amp;Q$48,'Dvd Calendar'!$E$157:$CZ$157,"&lt;="&amp;Q$49),"")))</f>
        <v/>
      </c>
      <c r="R126" s="140">
        <f>IF(R$49="","",IF($B126="","",IFERROR(SUMIFS('Dvd Calendar'!$E$158:$CZ$158,'Dvd Calendar'!$E$157:$CZ$157,"&gt;"&amp;R$48,'Dvd Calendar'!$E$157:$CZ$157,"&lt;="&amp;R$49),"")))</f>
        <v/>
      </c>
    </row>
    <row r="127">
      <c r="B127" s="5">
        <f>IF(AS51!$C$82="","",AS51!$C$82)</f>
        <v/>
      </c>
      <c r="C127" s="140">
        <f>IF(C$49="","",IF($B127="","",IFERROR(SUMIFS('Dvd Calendar'!$E$160:$CZ$160,'Dvd Calendar'!$E$159:$CZ$159,"&gt;"&amp;C$48,'Dvd Calendar'!$E$159:$CZ$159,"&lt;="&amp;C$49),"")))</f>
        <v/>
      </c>
      <c r="D127" s="140">
        <f>IF(D$49="","",IF($B127="","",IFERROR(SUMIFS('Dvd Calendar'!$E$160:$CZ$160,'Dvd Calendar'!$E$159:$CZ$159,"&gt;"&amp;D$48,'Dvd Calendar'!$E$159:$CZ$159,"&lt;="&amp;D$49),"")))</f>
        <v/>
      </c>
      <c r="E127" s="140">
        <f>IF(E$49="","",IF($B127="","",IFERROR(SUMIFS('Dvd Calendar'!$E$160:$CZ$160,'Dvd Calendar'!$E$159:$CZ$159,"&gt;"&amp;E$48,'Dvd Calendar'!$E$159:$CZ$159,"&lt;="&amp;E$49),"")))</f>
        <v/>
      </c>
      <c r="F127" s="140">
        <f>IF(F$49="","",IF($B127="","",IFERROR(SUMIFS('Dvd Calendar'!$E$160:$CZ$160,'Dvd Calendar'!$E$159:$CZ$159,"&gt;"&amp;F$48,'Dvd Calendar'!$E$159:$CZ$159,"&lt;="&amp;F$49),"")))</f>
        <v/>
      </c>
      <c r="G127" s="140">
        <f>IF(G$49="","",IF($B127="","",IFERROR(SUMIFS('Dvd Calendar'!$E$160:$CZ$160,'Dvd Calendar'!$E$159:$CZ$159,"&gt;"&amp;G$48,'Dvd Calendar'!$E$159:$CZ$159,"&lt;="&amp;G$49),"")))</f>
        <v/>
      </c>
      <c r="H127" s="140">
        <f>IF(H$49="","",IF($B127="","",IFERROR(SUMIFS('Dvd Calendar'!$E$160:$CZ$160,'Dvd Calendar'!$E$159:$CZ$159,"&gt;"&amp;H$48,'Dvd Calendar'!$E$159:$CZ$159,"&lt;="&amp;H$49),"")))</f>
        <v/>
      </c>
      <c r="I127" s="140">
        <f>IF(I$49="","",IF($B127="","",IFERROR(SUMIFS('Dvd Calendar'!$E$160:$CZ$160,'Dvd Calendar'!$E$159:$CZ$159,"&gt;"&amp;I$48,'Dvd Calendar'!$E$159:$CZ$159,"&lt;="&amp;I$49),"")))</f>
        <v/>
      </c>
      <c r="J127" s="140">
        <f>IF(J$49="","",IF($B127="","",IFERROR(SUMIFS('Dvd Calendar'!$E$160:$CZ$160,'Dvd Calendar'!$E$159:$CZ$159,"&gt;"&amp;J$48,'Dvd Calendar'!$E$159:$CZ$159,"&lt;="&amp;J$49),"")))</f>
        <v/>
      </c>
      <c r="K127" s="140">
        <f>IF(K$49="","",IF($B127="","",IFERROR(SUMIFS('Dvd Calendar'!$E$160:$CZ$160,'Dvd Calendar'!$E$159:$CZ$159,"&gt;"&amp;K$48,'Dvd Calendar'!$E$159:$CZ$159,"&lt;="&amp;K$49),"")))</f>
        <v/>
      </c>
      <c r="L127" s="140">
        <f>IF(L$49="","",IF($B127="","",IFERROR(SUMIFS('Dvd Calendar'!$E$160:$CZ$160,'Dvd Calendar'!$E$159:$CZ$159,"&gt;"&amp;L$48,'Dvd Calendar'!$E$159:$CZ$159,"&lt;="&amp;L$49),"")))</f>
        <v/>
      </c>
      <c r="M127" s="140">
        <f>IF(M$49="","",IF($B127="","",IFERROR(SUMIFS('Dvd Calendar'!$E$160:$CZ$160,'Dvd Calendar'!$E$159:$CZ$159,"&gt;"&amp;M$48,'Dvd Calendar'!$E$159:$CZ$159,"&lt;="&amp;M$49),"")))</f>
        <v/>
      </c>
      <c r="N127" s="140">
        <f>IF(N$49="","",IF($B127="","",IFERROR(SUMIFS('Dvd Calendar'!$E$160:$CZ$160,'Dvd Calendar'!$E$159:$CZ$159,"&gt;"&amp;N$48,'Dvd Calendar'!$E$159:$CZ$159,"&lt;="&amp;N$49),"")))</f>
        <v/>
      </c>
      <c r="O127" s="140">
        <f>IF(O$49="","",IF($B127="","",IFERROR(SUMIFS('Dvd Calendar'!$E$160:$CZ$160,'Dvd Calendar'!$E$159:$CZ$159,"&gt;"&amp;O$48,'Dvd Calendar'!$E$159:$CZ$159,"&lt;="&amp;O$49),"")))</f>
        <v/>
      </c>
      <c r="P127" s="140">
        <f>IF(P$49="","",IF($B127="","",IFERROR(SUMIFS('Dvd Calendar'!$E$160:$CZ$160,'Dvd Calendar'!$E$159:$CZ$159,"&gt;"&amp;P$48,'Dvd Calendar'!$E$159:$CZ$159,"&lt;="&amp;P$49),"")))</f>
        <v/>
      </c>
      <c r="Q127" s="140">
        <f>IF(Q$49="","",IF($B127="","",IFERROR(SUMIFS('Dvd Calendar'!$E$160:$CZ$160,'Dvd Calendar'!$E$159:$CZ$159,"&gt;"&amp;Q$48,'Dvd Calendar'!$E$159:$CZ$159,"&lt;="&amp;Q$49),"")))</f>
        <v/>
      </c>
      <c r="R127" s="140">
        <f>IF(R$49="","",IF($B127="","",IFERROR(SUMIFS('Dvd Calendar'!$E$160:$CZ$160,'Dvd Calendar'!$E$159:$CZ$159,"&gt;"&amp;R$48,'Dvd Calendar'!$E$159:$CZ$159,"&lt;="&amp;R$49),"")))</f>
        <v/>
      </c>
    </row>
    <row r="128">
      <c r="B128" s="5">
        <f>IF(AS51!$C$83="","",AS51!$C$83)</f>
        <v/>
      </c>
      <c r="C128" s="140">
        <f>IF(C$49="","",IF($B128="","",IFERROR(SUMIFS('Dvd Calendar'!$E$162:$CZ$162,'Dvd Calendar'!$E$161:$CZ$161,"&gt;"&amp;C$48,'Dvd Calendar'!$E$161:$CZ$161,"&lt;="&amp;C$49),"")))</f>
        <v/>
      </c>
      <c r="D128" s="140">
        <f>IF(D$49="","",IF($B128="","",IFERROR(SUMIFS('Dvd Calendar'!$E$162:$CZ$162,'Dvd Calendar'!$E$161:$CZ$161,"&gt;"&amp;D$48,'Dvd Calendar'!$E$161:$CZ$161,"&lt;="&amp;D$49),"")))</f>
        <v/>
      </c>
      <c r="E128" s="140">
        <f>IF(E$49="","",IF($B128="","",IFERROR(SUMIFS('Dvd Calendar'!$E$162:$CZ$162,'Dvd Calendar'!$E$161:$CZ$161,"&gt;"&amp;E$48,'Dvd Calendar'!$E$161:$CZ$161,"&lt;="&amp;E$49),"")))</f>
        <v/>
      </c>
      <c r="F128" s="140">
        <f>IF(F$49="","",IF($B128="","",IFERROR(SUMIFS('Dvd Calendar'!$E$162:$CZ$162,'Dvd Calendar'!$E$161:$CZ$161,"&gt;"&amp;F$48,'Dvd Calendar'!$E$161:$CZ$161,"&lt;="&amp;F$49),"")))</f>
        <v/>
      </c>
      <c r="G128" s="140">
        <f>IF(G$49="","",IF($B128="","",IFERROR(SUMIFS('Dvd Calendar'!$E$162:$CZ$162,'Dvd Calendar'!$E$161:$CZ$161,"&gt;"&amp;G$48,'Dvd Calendar'!$E$161:$CZ$161,"&lt;="&amp;G$49),"")))</f>
        <v/>
      </c>
      <c r="H128" s="140">
        <f>IF(H$49="","",IF($B128="","",IFERROR(SUMIFS('Dvd Calendar'!$E$162:$CZ$162,'Dvd Calendar'!$E$161:$CZ$161,"&gt;"&amp;H$48,'Dvd Calendar'!$E$161:$CZ$161,"&lt;="&amp;H$49),"")))</f>
        <v/>
      </c>
      <c r="I128" s="140">
        <f>IF(I$49="","",IF($B128="","",IFERROR(SUMIFS('Dvd Calendar'!$E$162:$CZ$162,'Dvd Calendar'!$E$161:$CZ$161,"&gt;"&amp;I$48,'Dvd Calendar'!$E$161:$CZ$161,"&lt;="&amp;I$49),"")))</f>
        <v/>
      </c>
      <c r="J128" s="140">
        <f>IF(J$49="","",IF($B128="","",IFERROR(SUMIFS('Dvd Calendar'!$E$162:$CZ$162,'Dvd Calendar'!$E$161:$CZ$161,"&gt;"&amp;J$48,'Dvd Calendar'!$E$161:$CZ$161,"&lt;="&amp;J$49),"")))</f>
        <v/>
      </c>
      <c r="K128" s="140">
        <f>IF(K$49="","",IF($B128="","",IFERROR(SUMIFS('Dvd Calendar'!$E$162:$CZ$162,'Dvd Calendar'!$E$161:$CZ$161,"&gt;"&amp;K$48,'Dvd Calendar'!$E$161:$CZ$161,"&lt;="&amp;K$49),"")))</f>
        <v/>
      </c>
      <c r="L128" s="140">
        <f>IF(L$49="","",IF($B128="","",IFERROR(SUMIFS('Dvd Calendar'!$E$162:$CZ$162,'Dvd Calendar'!$E$161:$CZ$161,"&gt;"&amp;L$48,'Dvd Calendar'!$E$161:$CZ$161,"&lt;="&amp;L$49),"")))</f>
        <v/>
      </c>
      <c r="M128" s="140">
        <f>IF(M$49="","",IF($B128="","",IFERROR(SUMIFS('Dvd Calendar'!$E$162:$CZ$162,'Dvd Calendar'!$E$161:$CZ$161,"&gt;"&amp;M$48,'Dvd Calendar'!$E$161:$CZ$161,"&lt;="&amp;M$49),"")))</f>
        <v/>
      </c>
      <c r="N128" s="140">
        <f>IF(N$49="","",IF($B128="","",IFERROR(SUMIFS('Dvd Calendar'!$E$162:$CZ$162,'Dvd Calendar'!$E$161:$CZ$161,"&gt;"&amp;N$48,'Dvd Calendar'!$E$161:$CZ$161,"&lt;="&amp;N$49),"")))</f>
        <v/>
      </c>
      <c r="O128" s="140">
        <f>IF(O$49="","",IF($B128="","",IFERROR(SUMIFS('Dvd Calendar'!$E$162:$CZ$162,'Dvd Calendar'!$E$161:$CZ$161,"&gt;"&amp;O$48,'Dvd Calendar'!$E$161:$CZ$161,"&lt;="&amp;O$49),"")))</f>
        <v/>
      </c>
      <c r="P128" s="140">
        <f>IF(P$49="","",IF($B128="","",IFERROR(SUMIFS('Dvd Calendar'!$E$162:$CZ$162,'Dvd Calendar'!$E$161:$CZ$161,"&gt;"&amp;P$48,'Dvd Calendar'!$E$161:$CZ$161,"&lt;="&amp;P$49),"")))</f>
        <v/>
      </c>
      <c r="Q128" s="140">
        <f>IF(Q$49="","",IF($B128="","",IFERROR(SUMIFS('Dvd Calendar'!$E$162:$CZ$162,'Dvd Calendar'!$E$161:$CZ$161,"&gt;"&amp;Q$48,'Dvd Calendar'!$E$161:$CZ$161,"&lt;="&amp;Q$49),"")))</f>
        <v/>
      </c>
      <c r="R128" s="140">
        <f>IF(R$49="","",IF($B128="","",IFERROR(SUMIFS('Dvd Calendar'!$E$162:$CZ$162,'Dvd Calendar'!$E$161:$CZ$161,"&gt;"&amp;R$48,'Dvd Calendar'!$E$161:$CZ$161,"&lt;="&amp;R$49),"")))</f>
        <v/>
      </c>
    </row>
    <row r="129">
      <c r="B129" s="5">
        <f>IF(AS51!$C$84="","",AS51!$C$84)</f>
        <v/>
      </c>
      <c r="C129" s="140">
        <f>IF(C$49="","",IF($B129="","",IFERROR(SUMIFS('Dvd Calendar'!$E$164:$CZ$164,'Dvd Calendar'!$E$163:$CZ$163,"&gt;"&amp;C$48,'Dvd Calendar'!$E$163:$CZ$163,"&lt;="&amp;C$49),"")))</f>
        <v/>
      </c>
      <c r="D129" s="140">
        <f>IF(D$49="","",IF($B129="","",IFERROR(SUMIFS('Dvd Calendar'!$E$164:$CZ$164,'Dvd Calendar'!$E$163:$CZ$163,"&gt;"&amp;D$48,'Dvd Calendar'!$E$163:$CZ$163,"&lt;="&amp;D$49),"")))</f>
        <v/>
      </c>
      <c r="E129" s="140">
        <f>IF(E$49="","",IF($B129="","",IFERROR(SUMIFS('Dvd Calendar'!$E$164:$CZ$164,'Dvd Calendar'!$E$163:$CZ$163,"&gt;"&amp;E$48,'Dvd Calendar'!$E$163:$CZ$163,"&lt;="&amp;E$49),"")))</f>
        <v/>
      </c>
      <c r="F129" s="140">
        <f>IF(F$49="","",IF($B129="","",IFERROR(SUMIFS('Dvd Calendar'!$E$164:$CZ$164,'Dvd Calendar'!$E$163:$CZ$163,"&gt;"&amp;F$48,'Dvd Calendar'!$E$163:$CZ$163,"&lt;="&amp;F$49),"")))</f>
        <v/>
      </c>
      <c r="G129" s="140">
        <f>IF(G$49="","",IF($B129="","",IFERROR(SUMIFS('Dvd Calendar'!$E$164:$CZ$164,'Dvd Calendar'!$E$163:$CZ$163,"&gt;"&amp;G$48,'Dvd Calendar'!$E$163:$CZ$163,"&lt;="&amp;G$49),"")))</f>
        <v/>
      </c>
      <c r="H129" s="140">
        <f>IF(H$49="","",IF($B129="","",IFERROR(SUMIFS('Dvd Calendar'!$E$164:$CZ$164,'Dvd Calendar'!$E$163:$CZ$163,"&gt;"&amp;H$48,'Dvd Calendar'!$E$163:$CZ$163,"&lt;="&amp;H$49),"")))</f>
        <v/>
      </c>
      <c r="I129" s="140">
        <f>IF(I$49="","",IF($B129="","",IFERROR(SUMIFS('Dvd Calendar'!$E$164:$CZ$164,'Dvd Calendar'!$E$163:$CZ$163,"&gt;"&amp;I$48,'Dvd Calendar'!$E$163:$CZ$163,"&lt;="&amp;I$49),"")))</f>
        <v/>
      </c>
      <c r="J129" s="140">
        <f>IF(J$49="","",IF($B129="","",IFERROR(SUMIFS('Dvd Calendar'!$E$164:$CZ$164,'Dvd Calendar'!$E$163:$CZ$163,"&gt;"&amp;J$48,'Dvd Calendar'!$E$163:$CZ$163,"&lt;="&amp;J$49),"")))</f>
        <v/>
      </c>
      <c r="K129" s="140">
        <f>IF(K$49="","",IF($B129="","",IFERROR(SUMIFS('Dvd Calendar'!$E$164:$CZ$164,'Dvd Calendar'!$E$163:$CZ$163,"&gt;"&amp;K$48,'Dvd Calendar'!$E$163:$CZ$163,"&lt;="&amp;K$49),"")))</f>
        <v/>
      </c>
      <c r="L129" s="140">
        <f>IF(L$49="","",IF($B129="","",IFERROR(SUMIFS('Dvd Calendar'!$E$164:$CZ$164,'Dvd Calendar'!$E$163:$CZ$163,"&gt;"&amp;L$48,'Dvd Calendar'!$E$163:$CZ$163,"&lt;="&amp;L$49),"")))</f>
        <v/>
      </c>
      <c r="M129" s="140">
        <f>IF(M$49="","",IF($B129="","",IFERROR(SUMIFS('Dvd Calendar'!$E$164:$CZ$164,'Dvd Calendar'!$E$163:$CZ$163,"&gt;"&amp;M$48,'Dvd Calendar'!$E$163:$CZ$163,"&lt;="&amp;M$49),"")))</f>
        <v/>
      </c>
      <c r="N129" s="140">
        <f>IF(N$49="","",IF($B129="","",IFERROR(SUMIFS('Dvd Calendar'!$E$164:$CZ$164,'Dvd Calendar'!$E$163:$CZ$163,"&gt;"&amp;N$48,'Dvd Calendar'!$E$163:$CZ$163,"&lt;="&amp;N$49),"")))</f>
        <v/>
      </c>
      <c r="O129" s="140">
        <f>IF(O$49="","",IF($B129="","",IFERROR(SUMIFS('Dvd Calendar'!$E$164:$CZ$164,'Dvd Calendar'!$E$163:$CZ$163,"&gt;"&amp;O$48,'Dvd Calendar'!$E$163:$CZ$163,"&lt;="&amp;O$49),"")))</f>
        <v/>
      </c>
      <c r="P129" s="140">
        <f>IF(P$49="","",IF($B129="","",IFERROR(SUMIFS('Dvd Calendar'!$E$164:$CZ$164,'Dvd Calendar'!$E$163:$CZ$163,"&gt;"&amp;P$48,'Dvd Calendar'!$E$163:$CZ$163,"&lt;="&amp;P$49),"")))</f>
        <v/>
      </c>
      <c r="Q129" s="140">
        <f>IF(Q$49="","",IF($B129="","",IFERROR(SUMIFS('Dvd Calendar'!$E$164:$CZ$164,'Dvd Calendar'!$E$163:$CZ$163,"&gt;"&amp;Q$48,'Dvd Calendar'!$E$163:$CZ$163,"&lt;="&amp;Q$49),"")))</f>
        <v/>
      </c>
      <c r="R129" s="140">
        <f>IF(R$49="","",IF($B129="","",IFERROR(SUMIFS('Dvd Calendar'!$E$164:$CZ$164,'Dvd Calendar'!$E$163:$CZ$163,"&gt;"&amp;R$48,'Dvd Calendar'!$E$163:$CZ$163,"&lt;="&amp;R$49),"")))</f>
        <v/>
      </c>
    </row>
    <row r="130">
      <c r="B130" s="5">
        <f>IF(AS51!$C$85="","",AS51!$C$85)</f>
        <v/>
      </c>
      <c r="C130" s="140">
        <f>IF(C$49="","",IF($B130="","",IFERROR(SUMIFS('Dvd Calendar'!$E$166:$CZ$166,'Dvd Calendar'!$E$165:$CZ$165,"&gt;"&amp;C$48,'Dvd Calendar'!$E$165:$CZ$165,"&lt;="&amp;C$49),"")))</f>
        <v/>
      </c>
      <c r="D130" s="140">
        <f>IF(D$49="","",IF($B130="","",IFERROR(SUMIFS('Dvd Calendar'!$E$166:$CZ$166,'Dvd Calendar'!$E$165:$CZ$165,"&gt;"&amp;D$48,'Dvd Calendar'!$E$165:$CZ$165,"&lt;="&amp;D$49),"")))</f>
        <v/>
      </c>
      <c r="E130" s="140">
        <f>IF(E$49="","",IF($B130="","",IFERROR(SUMIFS('Dvd Calendar'!$E$166:$CZ$166,'Dvd Calendar'!$E$165:$CZ$165,"&gt;"&amp;E$48,'Dvd Calendar'!$E$165:$CZ$165,"&lt;="&amp;E$49),"")))</f>
        <v/>
      </c>
      <c r="F130" s="140">
        <f>IF(F$49="","",IF($B130="","",IFERROR(SUMIFS('Dvd Calendar'!$E$166:$CZ$166,'Dvd Calendar'!$E$165:$CZ$165,"&gt;"&amp;F$48,'Dvd Calendar'!$E$165:$CZ$165,"&lt;="&amp;F$49),"")))</f>
        <v/>
      </c>
      <c r="G130" s="140">
        <f>IF(G$49="","",IF($B130="","",IFERROR(SUMIFS('Dvd Calendar'!$E$166:$CZ$166,'Dvd Calendar'!$E$165:$CZ$165,"&gt;"&amp;G$48,'Dvd Calendar'!$E$165:$CZ$165,"&lt;="&amp;G$49),"")))</f>
        <v/>
      </c>
      <c r="H130" s="140">
        <f>IF(H$49="","",IF($B130="","",IFERROR(SUMIFS('Dvd Calendar'!$E$166:$CZ$166,'Dvd Calendar'!$E$165:$CZ$165,"&gt;"&amp;H$48,'Dvd Calendar'!$E$165:$CZ$165,"&lt;="&amp;H$49),"")))</f>
        <v/>
      </c>
      <c r="I130" s="140">
        <f>IF(I$49="","",IF($B130="","",IFERROR(SUMIFS('Dvd Calendar'!$E$166:$CZ$166,'Dvd Calendar'!$E$165:$CZ$165,"&gt;"&amp;I$48,'Dvd Calendar'!$E$165:$CZ$165,"&lt;="&amp;I$49),"")))</f>
        <v/>
      </c>
      <c r="J130" s="140">
        <f>IF(J$49="","",IF($B130="","",IFERROR(SUMIFS('Dvd Calendar'!$E$166:$CZ$166,'Dvd Calendar'!$E$165:$CZ$165,"&gt;"&amp;J$48,'Dvd Calendar'!$E$165:$CZ$165,"&lt;="&amp;J$49),"")))</f>
        <v/>
      </c>
      <c r="K130" s="140">
        <f>IF(K$49="","",IF($B130="","",IFERROR(SUMIFS('Dvd Calendar'!$E$166:$CZ$166,'Dvd Calendar'!$E$165:$CZ$165,"&gt;"&amp;K$48,'Dvd Calendar'!$E$165:$CZ$165,"&lt;="&amp;K$49),"")))</f>
        <v/>
      </c>
      <c r="L130" s="140">
        <f>IF(L$49="","",IF($B130="","",IFERROR(SUMIFS('Dvd Calendar'!$E$166:$CZ$166,'Dvd Calendar'!$E$165:$CZ$165,"&gt;"&amp;L$48,'Dvd Calendar'!$E$165:$CZ$165,"&lt;="&amp;L$49),"")))</f>
        <v/>
      </c>
      <c r="M130" s="140">
        <f>IF(M$49="","",IF($B130="","",IFERROR(SUMIFS('Dvd Calendar'!$E$166:$CZ$166,'Dvd Calendar'!$E$165:$CZ$165,"&gt;"&amp;M$48,'Dvd Calendar'!$E$165:$CZ$165,"&lt;="&amp;M$49),"")))</f>
        <v/>
      </c>
      <c r="N130" s="140">
        <f>IF(N$49="","",IF($B130="","",IFERROR(SUMIFS('Dvd Calendar'!$E$166:$CZ$166,'Dvd Calendar'!$E$165:$CZ$165,"&gt;"&amp;N$48,'Dvd Calendar'!$E$165:$CZ$165,"&lt;="&amp;N$49),"")))</f>
        <v/>
      </c>
      <c r="O130" s="140">
        <f>IF(O$49="","",IF($B130="","",IFERROR(SUMIFS('Dvd Calendar'!$E$166:$CZ$166,'Dvd Calendar'!$E$165:$CZ$165,"&gt;"&amp;O$48,'Dvd Calendar'!$E$165:$CZ$165,"&lt;="&amp;O$49),"")))</f>
        <v/>
      </c>
      <c r="P130" s="140">
        <f>IF(P$49="","",IF($B130="","",IFERROR(SUMIFS('Dvd Calendar'!$E$166:$CZ$166,'Dvd Calendar'!$E$165:$CZ$165,"&gt;"&amp;P$48,'Dvd Calendar'!$E$165:$CZ$165,"&lt;="&amp;P$49),"")))</f>
        <v/>
      </c>
      <c r="Q130" s="140">
        <f>IF(Q$49="","",IF($B130="","",IFERROR(SUMIFS('Dvd Calendar'!$E$166:$CZ$166,'Dvd Calendar'!$E$165:$CZ$165,"&gt;"&amp;Q$48,'Dvd Calendar'!$E$165:$CZ$165,"&lt;="&amp;Q$49),"")))</f>
        <v/>
      </c>
      <c r="R130" s="140">
        <f>IF(R$49="","",IF($B130="","",IFERROR(SUMIFS('Dvd Calendar'!$E$166:$CZ$166,'Dvd Calendar'!$E$165:$CZ$165,"&gt;"&amp;R$48,'Dvd Calendar'!$E$165:$CZ$165,"&lt;="&amp;R$49),"")))</f>
        <v/>
      </c>
    </row>
    <row r="131">
      <c r="B131" s="5">
        <f>IF(AS51!$C$86="","",AS51!$C$86)</f>
        <v/>
      </c>
      <c r="C131" s="140">
        <f>IF(C$49="","",IF($B131="","",IFERROR(SUMIFS('Dvd Calendar'!$E$168:$CZ$168,'Dvd Calendar'!$E$167:$CZ$167,"&gt;"&amp;C$48,'Dvd Calendar'!$E$167:$CZ$167,"&lt;="&amp;C$49),"")))</f>
        <v/>
      </c>
      <c r="D131" s="140">
        <f>IF(D$49="","",IF($B131="","",IFERROR(SUMIFS('Dvd Calendar'!$E$168:$CZ$168,'Dvd Calendar'!$E$167:$CZ$167,"&gt;"&amp;D$48,'Dvd Calendar'!$E$167:$CZ$167,"&lt;="&amp;D$49),"")))</f>
        <v/>
      </c>
      <c r="E131" s="140">
        <f>IF(E$49="","",IF($B131="","",IFERROR(SUMIFS('Dvd Calendar'!$E$168:$CZ$168,'Dvd Calendar'!$E$167:$CZ$167,"&gt;"&amp;E$48,'Dvd Calendar'!$E$167:$CZ$167,"&lt;="&amp;E$49),"")))</f>
        <v/>
      </c>
      <c r="F131" s="140">
        <f>IF(F$49="","",IF($B131="","",IFERROR(SUMIFS('Dvd Calendar'!$E$168:$CZ$168,'Dvd Calendar'!$E$167:$CZ$167,"&gt;"&amp;F$48,'Dvd Calendar'!$E$167:$CZ$167,"&lt;="&amp;F$49),"")))</f>
        <v/>
      </c>
      <c r="G131" s="140">
        <f>IF(G$49="","",IF($B131="","",IFERROR(SUMIFS('Dvd Calendar'!$E$168:$CZ$168,'Dvd Calendar'!$E$167:$CZ$167,"&gt;"&amp;G$48,'Dvd Calendar'!$E$167:$CZ$167,"&lt;="&amp;G$49),"")))</f>
        <v/>
      </c>
      <c r="H131" s="140">
        <f>IF(H$49="","",IF($B131="","",IFERROR(SUMIFS('Dvd Calendar'!$E$168:$CZ$168,'Dvd Calendar'!$E$167:$CZ$167,"&gt;"&amp;H$48,'Dvd Calendar'!$E$167:$CZ$167,"&lt;="&amp;H$49),"")))</f>
        <v/>
      </c>
      <c r="I131" s="140">
        <f>IF(I$49="","",IF($B131="","",IFERROR(SUMIFS('Dvd Calendar'!$E$168:$CZ$168,'Dvd Calendar'!$E$167:$CZ$167,"&gt;"&amp;I$48,'Dvd Calendar'!$E$167:$CZ$167,"&lt;="&amp;I$49),"")))</f>
        <v/>
      </c>
      <c r="J131" s="140">
        <f>IF(J$49="","",IF($B131="","",IFERROR(SUMIFS('Dvd Calendar'!$E$168:$CZ$168,'Dvd Calendar'!$E$167:$CZ$167,"&gt;"&amp;J$48,'Dvd Calendar'!$E$167:$CZ$167,"&lt;="&amp;J$49),"")))</f>
        <v/>
      </c>
      <c r="K131" s="140">
        <f>IF(K$49="","",IF($B131="","",IFERROR(SUMIFS('Dvd Calendar'!$E$168:$CZ$168,'Dvd Calendar'!$E$167:$CZ$167,"&gt;"&amp;K$48,'Dvd Calendar'!$E$167:$CZ$167,"&lt;="&amp;K$49),"")))</f>
        <v/>
      </c>
      <c r="L131" s="140">
        <f>IF(L$49="","",IF($B131="","",IFERROR(SUMIFS('Dvd Calendar'!$E$168:$CZ$168,'Dvd Calendar'!$E$167:$CZ$167,"&gt;"&amp;L$48,'Dvd Calendar'!$E$167:$CZ$167,"&lt;="&amp;L$49),"")))</f>
        <v/>
      </c>
      <c r="M131" s="140">
        <f>IF(M$49="","",IF($B131="","",IFERROR(SUMIFS('Dvd Calendar'!$E$168:$CZ$168,'Dvd Calendar'!$E$167:$CZ$167,"&gt;"&amp;M$48,'Dvd Calendar'!$E$167:$CZ$167,"&lt;="&amp;M$49),"")))</f>
        <v/>
      </c>
      <c r="N131" s="140">
        <f>IF(N$49="","",IF($B131="","",IFERROR(SUMIFS('Dvd Calendar'!$E$168:$CZ$168,'Dvd Calendar'!$E$167:$CZ$167,"&gt;"&amp;N$48,'Dvd Calendar'!$E$167:$CZ$167,"&lt;="&amp;N$49),"")))</f>
        <v/>
      </c>
      <c r="O131" s="140">
        <f>IF(O$49="","",IF($B131="","",IFERROR(SUMIFS('Dvd Calendar'!$E$168:$CZ$168,'Dvd Calendar'!$E$167:$CZ$167,"&gt;"&amp;O$48,'Dvd Calendar'!$E$167:$CZ$167,"&lt;="&amp;O$49),"")))</f>
        <v/>
      </c>
      <c r="P131" s="140">
        <f>IF(P$49="","",IF($B131="","",IFERROR(SUMIFS('Dvd Calendar'!$E$168:$CZ$168,'Dvd Calendar'!$E$167:$CZ$167,"&gt;"&amp;P$48,'Dvd Calendar'!$E$167:$CZ$167,"&lt;="&amp;P$49),"")))</f>
        <v/>
      </c>
      <c r="Q131" s="140">
        <f>IF(Q$49="","",IF($B131="","",IFERROR(SUMIFS('Dvd Calendar'!$E$168:$CZ$168,'Dvd Calendar'!$E$167:$CZ$167,"&gt;"&amp;Q$48,'Dvd Calendar'!$E$167:$CZ$167,"&lt;="&amp;Q$49),"")))</f>
        <v/>
      </c>
      <c r="R131" s="140">
        <f>IF(R$49="","",IF($B131="","",IFERROR(SUMIFS('Dvd Calendar'!$E$168:$CZ$168,'Dvd Calendar'!$E$167:$CZ$167,"&gt;"&amp;R$48,'Dvd Calendar'!$E$167:$CZ$167,"&lt;="&amp;R$49),"")))</f>
        <v/>
      </c>
    </row>
    <row r="132">
      <c r="B132" s="5">
        <f>IF(AS51!$C$87="","",AS51!$C$87)</f>
        <v/>
      </c>
      <c r="C132" s="140">
        <f>IF(C$49="","",IF($B132="","",IFERROR(SUMIFS('Dvd Calendar'!$E$170:$CZ$170,'Dvd Calendar'!$E$169:$CZ$169,"&gt;"&amp;C$48,'Dvd Calendar'!$E$169:$CZ$169,"&lt;="&amp;C$49),"")))</f>
        <v/>
      </c>
      <c r="D132" s="140">
        <f>IF(D$49="","",IF($B132="","",IFERROR(SUMIFS('Dvd Calendar'!$E$170:$CZ$170,'Dvd Calendar'!$E$169:$CZ$169,"&gt;"&amp;D$48,'Dvd Calendar'!$E$169:$CZ$169,"&lt;="&amp;D$49),"")))</f>
        <v/>
      </c>
      <c r="E132" s="140">
        <f>IF(E$49="","",IF($B132="","",IFERROR(SUMIFS('Dvd Calendar'!$E$170:$CZ$170,'Dvd Calendar'!$E$169:$CZ$169,"&gt;"&amp;E$48,'Dvd Calendar'!$E$169:$CZ$169,"&lt;="&amp;E$49),"")))</f>
        <v/>
      </c>
      <c r="F132" s="140">
        <f>IF(F$49="","",IF($B132="","",IFERROR(SUMIFS('Dvd Calendar'!$E$170:$CZ$170,'Dvd Calendar'!$E$169:$CZ$169,"&gt;"&amp;F$48,'Dvd Calendar'!$E$169:$CZ$169,"&lt;="&amp;F$49),"")))</f>
        <v/>
      </c>
      <c r="G132" s="140">
        <f>IF(G$49="","",IF($B132="","",IFERROR(SUMIFS('Dvd Calendar'!$E$170:$CZ$170,'Dvd Calendar'!$E$169:$CZ$169,"&gt;"&amp;G$48,'Dvd Calendar'!$E$169:$CZ$169,"&lt;="&amp;G$49),"")))</f>
        <v/>
      </c>
      <c r="H132" s="140">
        <f>IF(H$49="","",IF($B132="","",IFERROR(SUMIFS('Dvd Calendar'!$E$170:$CZ$170,'Dvd Calendar'!$E$169:$CZ$169,"&gt;"&amp;H$48,'Dvd Calendar'!$E$169:$CZ$169,"&lt;="&amp;H$49),"")))</f>
        <v/>
      </c>
      <c r="I132" s="140">
        <f>IF(I$49="","",IF($B132="","",IFERROR(SUMIFS('Dvd Calendar'!$E$170:$CZ$170,'Dvd Calendar'!$E$169:$CZ$169,"&gt;"&amp;I$48,'Dvd Calendar'!$E$169:$CZ$169,"&lt;="&amp;I$49),"")))</f>
        <v/>
      </c>
      <c r="J132" s="140">
        <f>IF(J$49="","",IF($B132="","",IFERROR(SUMIFS('Dvd Calendar'!$E$170:$CZ$170,'Dvd Calendar'!$E$169:$CZ$169,"&gt;"&amp;J$48,'Dvd Calendar'!$E$169:$CZ$169,"&lt;="&amp;J$49),"")))</f>
        <v/>
      </c>
      <c r="K132" s="140">
        <f>IF(K$49="","",IF($B132="","",IFERROR(SUMIFS('Dvd Calendar'!$E$170:$CZ$170,'Dvd Calendar'!$E$169:$CZ$169,"&gt;"&amp;K$48,'Dvd Calendar'!$E$169:$CZ$169,"&lt;="&amp;K$49),"")))</f>
        <v/>
      </c>
      <c r="L132" s="140">
        <f>IF(L$49="","",IF($B132="","",IFERROR(SUMIFS('Dvd Calendar'!$E$170:$CZ$170,'Dvd Calendar'!$E$169:$CZ$169,"&gt;"&amp;L$48,'Dvd Calendar'!$E$169:$CZ$169,"&lt;="&amp;L$49),"")))</f>
        <v/>
      </c>
      <c r="M132" s="140">
        <f>IF(M$49="","",IF($B132="","",IFERROR(SUMIFS('Dvd Calendar'!$E$170:$CZ$170,'Dvd Calendar'!$E$169:$CZ$169,"&gt;"&amp;M$48,'Dvd Calendar'!$E$169:$CZ$169,"&lt;="&amp;M$49),"")))</f>
        <v/>
      </c>
      <c r="N132" s="140">
        <f>IF(N$49="","",IF($B132="","",IFERROR(SUMIFS('Dvd Calendar'!$E$170:$CZ$170,'Dvd Calendar'!$E$169:$CZ$169,"&gt;"&amp;N$48,'Dvd Calendar'!$E$169:$CZ$169,"&lt;="&amp;N$49),"")))</f>
        <v/>
      </c>
      <c r="O132" s="140">
        <f>IF(O$49="","",IF($B132="","",IFERROR(SUMIFS('Dvd Calendar'!$E$170:$CZ$170,'Dvd Calendar'!$E$169:$CZ$169,"&gt;"&amp;O$48,'Dvd Calendar'!$E$169:$CZ$169,"&lt;="&amp;O$49),"")))</f>
        <v/>
      </c>
      <c r="P132" s="140">
        <f>IF(P$49="","",IF($B132="","",IFERROR(SUMIFS('Dvd Calendar'!$E$170:$CZ$170,'Dvd Calendar'!$E$169:$CZ$169,"&gt;"&amp;P$48,'Dvd Calendar'!$E$169:$CZ$169,"&lt;="&amp;P$49),"")))</f>
        <v/>
      </c>
      <c r="Q132" s="140">
        <f>IF(Q$49="","",IF($B132="","",IFERROR(SUMIFS('Dvd Calendar'!$E$170:$CZ$170,'Dvd Calendar'!$E$169:$CZ$169,"&gt;"&amp;Q$48,'Dvd Calendar'!$E$169:$CZ$169,"&lt;="&amp;Q$49),"")))</f>
        <v/>
      </c>
      <c r="R132" s="140">
        <f>IF(R$49="","",IF($B132="","",IFERROR(SUMIFS('Dvd Calendar'!$E$170:$CZ$170,'Dvd Calendar'!$E$169:$CZ$169,"&gt;"&amp;R$48,'Dvd Calendar'!$E$169:$CZ$169,"&lt;="&amp;R$49),"")))</f>
        <v/>
      </c>
    </row>
    <row r="133">
      <c r="B133" s="5">
        <f>IF(AS51!$C$88="","",AS51!$C$88)</f>
        <v/>
      </c>
      <c r="C133" s="140">
        <f>IF(C$49="","",IF($B133="","",IFERROR(SUMIFS('Dvd Calendar'!$E$172:$CZ$172,'Dvd Calendar'!$E$171:$CZ$171,"&gt;"&amp;C$48,'Dvd Calendar'!$E$171:$CZ$171,"&lt;="&amp;C$49),"")))</f>
        <v/>
      </c>
      <c r="D133" s="140">
        <f>IF(D$49="","",IF($B133="","",IFERROR(SUMIFS('Dvd Calendar'!$E$172:$CZ$172,'Dvd Calendar'!$E$171:$CZ$171,"&gt;"&amp;D$48,'Dvd Calendar'!$E$171:$CZ$171,"&lt;="&amp;D$49),"")))</f>
        <v/>
      </c>
      <c r="E133" s="140">
        <f>IF(E$49="","",IF($B133="","",IFERROR(SUMIFS('Dvd Calendar'!$E$172:$CZ$172,'Dvd Calendar'!$E$171:$CZ$171,"&gt;"&amp;E$48,'Dvd Calendar'!$E$171:$CZ$171,"&lt;="&amp;E$49),"")))</f>
        <v/>
      </c>
      <c r="F133" s="140">
        <f>IF(F$49="","",IF($B133="","",IFERROR(SUMIFS('Dvd Calendar'!$E$172:$CZ$172,'Dvd Calendar'!$E$171:$CZ$171,"&gt;"&amp;F$48,'Dvd Calendar'!$E$171:$CZ$171,"&lt;="&amp;F$49),"")))</f>
        <v/>
      </c>
      <c r="G133" s="140">
        <f>IF(G$49="","",IF($B133="","",IFERROR(SUMIFS('Dvd Calendar'!$E$172:$CZ$172,'Dvd Calendar'!$E$171:$CZ$171,"&gt;"&amp;G$48,'Dvd Calendar'!$E$171:$CZ$171,"&lt;="&amp;G$49),"")))</f>
        <v/>
      </c>
      <c r="H133" s="140">
        <f>IF(H$49="","",IF($B133="","",IFERROR(SUMIFS('Dvd Calendar'!$E$172:$CZ$172,'Dvd Calendar'!$E$171:$CZ$171,"&gt;"&amp;H$48,'Dvd Calendar'!$E$171:$CZ$171,"&lt;="&amp;H$49),"")))</f>
        <v/>
      </c>
      <c r="I133" s="140">
        <f>IF(I$49="","",IF($B133="","",IFERROR(SUMIFS('Dvd Calendar'!$E$172:$CZ$172,'Dvd Calendar'!$E$171:$CZ$171,"&gt;"&amp;I$48,'Dvd Calendar'!$E$171:$CZ$171,"&lt;="&amp;I$49),"")))</f>
        <v/>
      </c>
      <c r="J133" s="140">
        <f>IF(J$49="","",IF($B133="","",IFERROR(SUMIFS('Dvd Calendar'!$E$172:$CZ$172,'Dvd Calendar'!$E$171:$CZ$171,"&gt;"&amp;J$48,'Dvd Calendar'!$E$171:$CZ$171,"&lt;="&amp;J$49),"")))</f>
        <v/>
      </c>
      <c r="K133" s="140">
        <f>IF(K$49="","",IF($B133="","",IFERROR(SUMIFS('Dvd Calendar'!$E$172:$CZ$172,'Dvd Calendar'!$E$171:$CZ$171,"&gt;"&amp;K$48,'Dvd Calendar'!$E$171:$CZ$171,"&lt;="&amp;K$49),"")))</f>
        <v/>
      </c>
      <c r="L133" s="140">
        <f>IF(L$49="","",IF($B133="","",IFERROR(SUMIFS('Dvd Calendar'!$E$172:$CZ$172,'Dvd Calendar'!$E$171:$CZ$171,"&gt;"&amp;L$48,'Dvd Calendar'!$E$171:$CZ$171,"&lt;="&amp;L$49),"")))</f>
        <v/>
      </c>
      <c r="M133" s="140">
        <f>IF(M$49="","",IF($B133="","",IFERROR(SUMIFS('Dvd Calendar'!$E$172:$CZ$172,'Dvd Calendar'!$E$171:$CZ$171,"&gt;"&amp;M$48,'Dvd Calendar'!$E$171:$CZ$171,"&lt;="&amp;M$49),"")))</f>
        <v/>
      </c>
      <c r="N133" s="140">
        <f>IF(N$49="","",IF($B133="","",IFERROR(SUMIFS('Dvd Calendar'!$E$172:$CZ$172,'Dvd Calendar'!$E$171:$CZ$171,"&gt;"&amp;N$48,'Dvd Calendar'!$E$171:$CZ$171,"&lt;="&amp;N$49),"")))</f>
        <v/>
      </c>
      <c r="O133" s="140">
        <f>IF(O$49="","",IF($B133="","",IFERROR(SUMIFS('Dvd Calendar'!$E$172:$CZ$172,'Dvd Calendar'!$E$171:$CZ$171,"&gt;"&amp;O$48,'Dvd Calendar'!$E$171:$CZ$171,"&lt;="&amp;O$49),"")))</f>
        <v/>
      </c>
      <c r="P133" s="140">
        <f>IF(P$49="","",IF($B133="","",IFERROR(SUMIFS('Dvd Calendar'!$E$172:$CZ$172,'Dvd Calendar'!$E$171:$CZ$171,"&gt;"&amp;P$48,'Dvd Calendar'!$E$171:$CZ$171,"&lt;="&amp;P$49),"")))</f>
        <v/>
      </c>
      <c r="Q133" s="140">
        <f>IF(Q$49="","",IF($B133="","",IFERROR(SUMIFS('Dvd Calendar'!$E$172:$CZ$172,'Dvd Calendar'!$E$171:$CZ$171,"&gt;"&amp;Q$48,'Dvd Calendar'!$E$171:$CZ$171,"&lt;="&amp;Q$49),"")))</f>
        <v/>
      </c>
      <c r="R133" s="140">
        <f>IF(R$49="","",IF($B133="","",IFERROR(SUMIFS('Dvd Calendar'!$E$172:$CZ$172,'Dvd Calendar'!$E$171:$CZ$171,"&gt;"&amp;R$48,'Dvd Calendar'!$E$171:$CZ$171,"&lt;="&amp;R$49),"")))</f>
        <v/>
      </c>
    </row>
    <row r="134">
      <c r="B134" s="5">
        <f>IF(AS51!$C$89="","",AS51!$C$89)</f>
        <v/>
      </c>
      <c r="C134" s="140">
        <f>IF(C$49="","",IF($B134="","",IFERROR(SUMIFS('Dvd Calendar'!$E$174:$CZ$174,'Dvd Calendar'!$E$173:$CZ$173,"&gt;"&amp;C$48,'Dvd Calendar'!$E$173:$CZ$173,"&lt;="&amp;C$49),"")))</f>
        <v/>
      </c>
      <c r="D134" s="140">
        <f>IF(D$49="","",IF($B134="","",IFERROR(SUMIFS('Dvd Calendar'!$E$174:$CZ$174,'Dvd Calendar'!$E$173:$CZ$173,"&gt;"&amp;D$48,'Dvd Calendar'!$E$173:$CZ$173,"&lt;="&amp;D$49),"")))</f>
        <v/>
      </c>
      <c r="E134" s="140">
        <f>IF(E$49="","",IF($B134="","",IFERROR(SUMIFS('Dvd Calendar'!$E$174:$CZ$174,'Dvd Calendar'!$E$173:$CZ$173,"&gt;"&amp;E$48,'Dvd Calendar'!$E$173:$CZ$173,"&lt;="&amp;E$49),"")))</f>
        <v/>
      </c>
      <c r="F134" s="140">
        <f>IF(F$49="","",IF($B134="","",IFERROR(SUMIFS('Dvd Calendar'!$E$174:$CZ$174,'Dvd Calendar'!$E$173:$CZ$173,"&gt;"&amp;F$48,'Dvd Calendar'!$E$173:$CZ$173,"&lt;="&amp;F$49),"")))</f>
        <v/>
      </c>
      <c r="G134" s="140">
        <f>IF(G$49="","",IF($B134="","",IFERROR(SUMIFS('Dvd Calendar'!$E$174:$CZ$174,'Dvd Calendar'!$E$173:$CZ$173,"&gt;"&amp;G$48,'Dvd Calendar'!$E$173:$CZ$173,"&lt;="&amp;G$49),"")))</f>
        <v/>
      </c>
      <c r="H134" s="140">
        <f>IF(H$49="","",IF($B134="","",IFERROR(SUMIFS('Dvd Calendar'!$E$174:$CZ$174,'Dvd Calendar'!$E$173:$CZ$173,"&gt;"&amp;H$48,'Dvd Calendar'!$E$173:$CZ$173,"&lt;="&amp;H$49),"")))</f>
        <v/>
      </c>
      <c r="I134" s="140">
        <f>IF(I$49="","",IF($B134="","",IFERROR(SUMIFS('Dvd Calendar'!$E$174:$CZ$174,'Dvd Calendar'!$E$173:$CZ$173,"&gt;"&amp;I$48,'Dvd Calendar'!$E$173:$CZ$173,"&lt;="&amp;I$49),"")))</f>
        <v/>
      </c>
      <c r="J134" s="140">
        <f>IF(J$49="","",IF($B134="","",IFERROR(SUMIFS('Dvd Calendar'!$E$174:$CZ$174,'Dvd Calendar'!$E$173:$CZ$173,"&gt;"&amp;J$48,'Dvd Calendar'!$E$173:$CZ$173,"&lt;="&amp;J$49),"")))</f>
        <v/>
      </c>
      <c r="K134" s="140">
        <f>IF(K$49="","",IF($B134="","",IFERROR(SUMIFS('Dvd Calendar'!$E$174:$CZ$174,'Dvd Calendar'!$E$173:$CZ$173,"&gt;"&amp;K$48,'Dvd Calendar'!$E$173:$CZ$173,"&lt;="&amp;K$49),"")))</f>
        <v/>
      </c>
      <c r="L134" s="140">
        <f>IF(L$49="","",IF($B134="","",IFERROR(SUMIFS('Dvd Calendar'!$E$174:$CZ$174,'Dvd Calendar'!$E$173:$CZ$173,"&gt;"&amp;L$48,'Dvd Calendar'!$E$173:$CZ$173,"&lt;="&amp;L$49),"")))</f>
        <v/>
      </c>
      <c r="M134" s="140">
        <f>IF(M$49="","",IF($B134="","",IFERROR(SUMIFS('Dvd Calendar'!$E$174:$CZ$174,'Dvd Calendar'!$E$173:$CZ$173,"&gt;"&amp;M$48,'Dvd Calendar'!$E$173:$CZ$173,"&lt;="&amp;M$49),"")))</f>
        <v/>
      </c>
      <c r="N134" s="140">
        <f>IF(N$49="","",IF($B134="","",IFERROR(SUMIFS('Dvd Calendar'!$E$174:$CZ$174,'Dvd Calendar'!$E$173:$CZ$173,"&gt;"&amp;N$48,'Dvd Calendar'!$E$173:$CZ$173,"&lt;="&amp;N$49),"")))</f>
        <v/>
      </c>
      <c r="O134" s="140">
        <f>IF(O$49="","",IF($B134="","",IFERROR(SUMIFS('Dvd Calendar'!$E$174:$CZ$174,'Dvd Calendar'!$E$173:$CZ$173,"&gt;"&amp;O$48,'Dvd Calendar'!$E$173:$CZ$173,"&lt;="&amp;O$49),"")))</f>
        <v/>
      </c>
      <c r="P134" s="140">
        <f>IF(P$49="","",IF($B134="","",IFERROR(SUMIFS('Dvd Calendar'!$E$174:$CZ$174,'Dvd Calendar'!$E$173:$CZ$173,"&gt;"&amp;P$48,'Dvd Calendar'!$E$173:$CZ$173,"&lt;="&amp;P$49),"")))</f>
        <v/>
      </c>
      <c r="Q134" s="140">
        <f>IF(Q$49="","",IF($B134="","",IFERROR(SUMIFS('Dvd Calendar'!$E$174:$CZ$174,'Dvd Calendar'!$E$173:$CZ$173,"&gt;"&amp;Q$48,'Dvd Calendar'!$E$173:$CZ$173,"&lt;="&amp;Q$49),"")))</f>
        <v/>
      </c>
      <c r="R134" s="140">
        <f>IF(R$49="","",IF($B134="","",IFERROR(SUMIFS('Dvd Calendar'!$E$174:$CZ$174,'Dvd Calendar'!$E$173:$CZ$173,"&gt;"&amp;R$48,'Dvd Calendar'!$E$173:$CZ$173,"&lt;="&amp;R$49),"")))</f>
        <v/>
      </c>
    </row>
    <row r="135">
      <c r="B135" s="5">
        <f>IF(AS51!$C$90="","",AS51!$C$90)</f>
        <v/>
      </c>
      <c r="C135" s="140">
        <f>IF(C$49="","",IF($B135="","",IFERROR(SUMIFS('Dvd Calendar'!$E$176:$CZ$176,'Dvd Calendar'!$E$175:$CZ$175,"&gt;"&amp;C$48,'Dvd Calendar'!$E$175:$CZ$175,"&lt;="&amp;C$49),"")))</f>
        <v/>
      </c>
      <c r="D135" s="140">
        <f>IF(D$49="","",IF($B135="","",IFERROR(SUMIFS('Dvd Calendar'!$E$176:$CZ$176,'Dvd Calendar'!$E$175:$CZ$175,"&gt;"&amp;D$48,'Dvd Calendar'!$E$175:$CZ$175,"&lt;="&amp;D$49),"")))</f>
        <v/>
      </c>
      <c r="E135" s="140">
        <f>IF(E$49="","",IF($B135="","",IFERROR(SUMIFS('Dvd Calendar'!$E$176:$CZ$176,'Dvd Calendar'!$E$175:$CZ$175,"&gt;"&amp;E$48,'Dvd Calendar'!$E$175:$CZ$175,"&lt;="&amp;E$49),"")))</f>
        <v/>
      </c>
      <c r="F135" s="140">
        <f>IF(F$49="","",IF($B135="","",IFERROR(SUMIFS('Dvd Calendar'!$E$176:$CZ$176,'Dvd Calendar'!$E$175:$CZ$175,"&gt;"&amp;F$48,'Dvd Calendar'!$E$175:$CZ$175,"&lt;="&amp;F$49),"")))</f>
        <v/>
      </c>
      <c r="G135" s="140">
        <f>IF(G$49="","",IF($B135="","",IFERROR(SUMIFS('Dvd Calendar'!$E$176:$CZ$176,'Dvd Calendar'!$E$175:$CZ$175,"&gt;"&amp;G$48,'Dvd Calendar'!$E$175:$CZ$175,"&lt;="&amp;G$49),"")))</f>
        <v/>
      </c>
      <c r="H135" s="140">
        <f>IF(H$49="","",IF($B135="","",IFERROR(SUMIFS('Dvd Calendar'!$E$176:$CZ$176,'Dvd Calendar'!$E$175:$CZ$175,"&gt;"&amp;H$48,'Dvd Calendar'!$E$175:$CZ$175,"&lt;="&amp;H$49),"")))</f>
        <v/>
      </c>
      <c r="I135" s="140">
        <f>IF(I$49="","",IF($B135="","",IFERROR(SUMIFS('Dvd Calendar'!$E$176:$CZ$176,'Dvd Calendar'!$E$175:$CZ$175,"&gt;"&amp;I$48,'Dvd Calendar'!$E$175:$CZ$175,"&lt;="&amp;I$49),"")))</f>
        <v/>
      </c>
      <c r="J135" s="140">
        <f>IF(J$49="","",IF($B135="","",IFERROR(SUMIFS('Dvd Calendar'!$E$176:$CZ$176,'Dvd Calendar'!$E$175:$CZ$175,"&gt;"&amp;J$48,'Dvd Calendar'!$E$175:$CZ$175,"&lt;="&amp;J$49),"")))</f>
        <v/>
      </c>
      <c r="K135" s="140">
        <f>IF(K$49="","",IF($B135="","",IFERROR(SUMIFS('Dvd Calendar'!$E$176:$CZ$176,'Dvd Calendar'!$E$175:$CZ$175,"&gt;"&amp;K$48,'Dvd Calendar'!$E$175:$CZ$175,"&lt;="&amp;K$49),"")))</f>
        <v/>
      </c>
      <c r="L135" s="140">
        <f>IF(L$49="","",IF($B135="","",IFERROR(SUMIFS('Dvd Calendar'!$E$176:$CZ$176,'Dvd Calendar'!$E$175:$CZ$175,"&gt;"&amp;L$48,'Dvd Calendar'!$E$175:$CZ$175,"&lt;="&amp;L$49),"")))</f>
        <v/>
      </c>
      <c r="M135" s="140">
        <f>IF(M$49="","",IF($B135="","",IFERROR(SUMIFS('Dvd Calendar'!$E$176:$CZ$176,'Dvd Calendar'!$E$175:$CZ$175,"&gt;"&amp;M$48,'Dvd Calendar'!$E$175:$CZ$175,"&lt;="&amp;M$49),"")))</f>
        <v/>
      </c>
      <c r="N135" s="140">
        <f>IF(N$49="","",IF($B135="","",IFERROR(SUMIFS('Dvd Calendar'!$E$176:$CZ$176,'Dvd Calendar'!$E$175:$CZ$175,"&gt;"&amp;N$48,'Dvd Calendar'!$E$175:$CZ$175,"&lt;="&amp;N$49),"")))</f>
        <v/>
      </c>
      <c r="O135" s="140">
        <f>IF(O$49="","",IF($B135="","",IFERROR(SUMIFS('Dvd Calendar'!$E$176:$CZ$176,'Dvd Calendar'!$E$175:$CZ$175,"&gt;"&amp;O$48,'Dvd Calendar'!$E$175:$CZ$175,"&lt;="&amp;O$49),"")))</f>
        <v/>
      </c>
      <c r="P135" s="140">
        <f>IF(P$49="","",IF($B135="","",IFERROR(SUMIFS('Dvd Calendar'!$E$176:$CZ$176,'Dvd Calendar'!$E$175:$CZ$175,"&gt;"&amp;P$48,'Dvd Calendar'!$E$175:$CZ$175,"&lt;="&amp;P$49),"")))</f>
        <v/>
      </c>
      <c r="Q135" s="140">
        <f>IF(Q$49="","",IF($B135="","",IFERROR(SUMIFS('Dvd Calendar'!$E$176:$CZ$176,'Dvd Calendar'!$E$175:$CZ$175,"&gt;"&amp;Q$48,'Dvd Calendar'!$E$175:$CZ$175,"&lt;="&amp;Q$49),"")))</f>
        <v/>
      </c>
      <c r="R135" s="140">
        <f>IF(R$49="","",IF($B135="","",IFERROR(SUMIFS('Dvd Calendar'!$E$176:$CZ$176,'Dvd Calendar'!$E$175:$CZ$175,"&gt;"&amp;R$48,'Dvd Calendar'!$E$175:$CZ$175,"&lt;="&amp;R$49),"")))</f>
        <v/>
      </c>
    </row>
    <row r="136">
      <c r="B136" s="5">
        <f>IF(AS51!$C$91="","",AS51!$C$91)</f>
        <v/>
      </c>
      <c r="C136" s="140">
        <f>IF(C$49="","",IF($B136="","",IFERROR(SUMIFS('Dvd Calendar'!$E$178:$CZ$178,'Dvd Calendar'!$E$177:$CZ$177,"&gt;"&amp;C$48,'Dvd Calendar'!$E$177:$CZ$177,"&lt;="&amp;C$49),"")))</f>
        <v/>
      </c>
      <c r="D136" s="140">
        <f>IF(D$49="","",IF($B136="","",IFERROR(SUMIFS('Dvd Calendar'!$E$178:$CZ$178,'Dvd Calendar'!$E$177:$CZ$177,"&gt;"&amp;D$48,'Dvd Calendar'!$E$177:$CZ$177,"&lt;="&amp;D$49),"")))</f>
        <v/>
      </c>
      <c r="E136" s="140">
        <f>IF(E$49="","",IF($B136="","",IFERROR(SUMIFS('Dvd Calendar'!$E$178:$CZ$178,'Dvd Calendar'!$E$177:$CZ$177,"&gt;"&amp;E$48,'Dvd Calendar'!$E$177:$CZ$177,"&lt;="&amp;E$49),"")))</f>
        <v/>
      </c>
      <c r="F136" s="140">
        <f>IF(F$49="","",IF($B136="","",IFERROR(SUMIFS('Dvd Calendar'!$E$178:$CZ$178,'Dvd Calendar'!$E$177:$CZ$177,"&gt;"&amp;F$48,'Dvd Calendar'!$E$177:$CZ$177,"&lt;="&amp;F$49),"")))</f>
        <v/>
      </c>
      <c r="G136" s="140">
        <f>IF(G$49="","",IF($B136="","",IFERROR(SUMIFS('Dvd Calendar'!$E$178:$CZ$178,'Dvd Calendar'!$E$177:$CZ$177,"&gt;"&amp;G$48,'Dvd Calendar'!$E$177:$CZ$177,"&lt;="&amp;G$49),"")))</f>
        <v/>
      </c>
      <c r="H136" s="140">
        <f>IF(H$49="","",IF($B136="","",IFERROR(SUMIFS('Dvd Calendar'!$E$178:$CZ$178,'Dvd Calendar'!$E$177:$CZ$177,"&gt;"&amp;H$48,'Dvd Calendar'!$E$177:$CZ$177,"&lt;="&amp;H$49),"")))</f>
        <v/>
      </c>
      <c r="I136" s="140">
        <f>IF(I$49="","",IF($B136="","",IFERROR(SUMIFS('Dvd Calendar'!$E$178:$CZ$178,'Dvd Calendar'!$E$177:$CZ$177,"&gt;"&amp;I$48,'Dvd Calendar'!$E$177:$CZ$177,"&lt;="&amp;I$49),"")))</f>
        <v/>
      </c>
      <c r="J136" s="140">
        <f>IF(J$49="","",IF($B136="","",IFERROR(SUMIFS('Dvd Calendar'!$E$178:$CZ$178,'Dvd Calendar'!$E$177:$CZ$177,"&gt;"&amp;J$48,'Dvd Calendar'!$E$177:$CZ$177,"&lt;="&amp;J$49),"")))</f>
        <v/>
      </c>
      <c r="K136" s="140">
        <f>IF(K$49="","",IF($B136="","",IFERROR(SUMIFS('Dvd Calendar'!$E$178:$CZ$178,'Dvd Calendar'!$E$177:$CZ$177,"&gt;"&amp;K$48,'Dvd Calendar'!$E$177:$CZ$177,"&lt;="&amp;K$49),"")))</f>
        <v/>
      </c>
      <c r="L136" s="140">
        <f>IF(L$49="","",IF($B136="","",IFERROR(SUMIFS('Dvd Calendar'!$E$178:$CZ$178,'Dvd Calendar'!$E$177:$CZ$177,"&gt;"&amp;L$48,'Dvd Calendar'!$E$177:$CZ$177,"&lt;="&amp;L$49),"")))</f>
        <v/>
      </c>
      <c r="M136" s="140">
        <f>IF(M$49="","",IF($B136="","",IFERROR(SUMIFS('Dvd Calendar'!$E$178:$CZ$178,'Dvd Calendar'!$E$177:$CZ$177,"&gt;"&amp;M$48,'Dvd Calendar'!$E$177:$CZ$177,"&lt;="&amp;M$49),"")))</f>
        <v/>
      </c>
      <c r="N136" s="140">
        <f>IF(N$49="","",IF($B136="","",IFERROR(SUMIFS('Dvd Calendar'!$E$178:$CZ$178,'Dvd Calendar'!$E$177:$CZ$177,"&gt;"&amp;N$48,'Dvd Calendar'!$E$177:$CZ$177,"&lt;="&amp;N$49),"")))</f>
        <v/>
      </c>
      <c r="O136" s="140">
        <f>IF(O$49="","",IF($B136="","",IFERROR(SUMIFS('Dvd Calendar'!$E$178:$CZ$178,'Dvd Calendar'!$E$177:$CZ$177,"&gt;"&amp;O$48,'Dvd Calendar'!$E$177:$CZ$177,"&lt;="&amp;O$49),"")))</f>
        <v/>
      </c>
      <c r="P136" s="140">
        <f>IF(P$49="","",IF($B136="","",IFERROR(SUMIFS('Dvd Calendar'!$E$178:$CZ$178,'Dvd Calendar'!$E$177:$CZ$177,"&gt;"&amp;P$48,'Dvd Calendar'!$E$177:$CZ$177,"&lt;="&amp;P$49),"")))</f>
        <v/>
      </c>
      <c r="Q136" s="140">
        <f>IF(Q$49="","",IF($B136="","",IFERROR(SUMIFS('Dvd Calendar'!$E$178:$CZ$178,'Dvd Calendar'!$E$177:$CZ$177,"&gt;"&amp;Q$48,'Dvd Calendar'!$E$177:$CZ$177,"&lt;="&amp;Q$49),"")))</f>
        <v/>
      </c>
      <c r="R136" s="140">
        <f>IF(R$49="","",IF($B136="","",IFERROR(SUMIFS('Dvd Calendar'!$E$178:$CZ$178,'Dvd Calendar'!$E$177:$CZ$177,"&gt;"&amp;R$48,'Dvd Calendar'!$E$177:$CZ$177,"&lt;="&amp;R$49),"")))</f>
        <v/>
      </c>
    </row>
    <row r="137">
      <c r="B137" s="5">
        <f>IF(AS51!$C$92="","",AS51!$C$92)</f>
        <v/>
      </c>
      <c r="C137" s="140">
        <f>IF(C$49="","",IF($B137="","",IFERROR(SUMIFS('Dvd Calendar'!$E$180:$CZ$180,'Dvd Calendar'!$E$179:$CZ$179,"&gt;"&amp;C$48,'Dvd Calendar'!$E$179:$CZ$179,"&lt;="&amp;C$49),"")))</f>
        <v/>
      </c>
      <c r="D137" s="140">
        <f>IF(D$49="","",IF($B137="","",IFERROR(SUMIFS('Dvd Calendar'!$E$180:$CZ$180,'Dvd Calendar'!$E$179:$CZ$179,"&gt;"&amp;D$48,'Dvd Calendar'!$E$179:$CZ$179,"&lt;="&amp;D$49),"")))</f>
        <v/>
      </c>
      <c r="E137" s="140">
        <f>IF(E$49="","",IF($B137="","",IFERROR(SUMIFS('Dvd Calendar'!$E$180:$CZ$180,'Dvd Calendar'!$E$179:$CZ$179,"&gt;"&amp;E$48,'Dvd Calendar'!$E$179:$CZ$179,"&lt;="&amp;E$49),"")))</f>
        <v/>
      </c>
      <c r="F137" s="140">
        <f>IF(F$49="","",IF($B137="","",IFERROR(SUMIFS('Dvd Calendar'!$E$180:$CZ$180,'Dvd Calendar'!$E$179:$CZ$179,"&gt;"&amp;F$48,'Dvd Calendar'!$E$179:$CZ$179,"&lt;="&amp;F$49),"")))</f>
        <v/>
      </c>
      <c r="G137" s="140">
        <f>IF(G$49="","",IF($B137="","",IFERROR(SUMIFS('Dvd Calendar'!$E$180:$CZ$180,'Dvd Calendar'!$E$179:$CZ$179,"&gt;"&amp;G$48,'Dvd Calendar'!$E$179:$CZ$179,"&lt;="&amp;G$49),"")))</f>
        <v/>
      </c>
      <c r="H137" s="140">
        <f>IF(H$49="","",IF($B137="","",IFERROR(SUMIFS('Dvd Calendar'!$E$180:$CZ$180,'Dvd Calendar'!$E$179:$CZ$179,"&gt;"&amp;H$48,'Dvd Calendar'!$E$179:$CZ$179,"&lt;="&amp;H$49),"")))</f>
        <v/>
      </c>
      <c r="I137" s="140">
        <f>IF(I$49="","",IF($B137="","",IFERROR(SUMIFS('Dvd Calendar'!$E$180:$CZ$180,'Dvd Calendar'!$E$179:$CZ$179,"&gt;"&amp;I$48,'Dvd Calendar'!$E$179:$CZ$179,"&lt;="&amp;I$49),"")))</f>
        <v/>
      </c>
      <c r="J137" s="140">
        <f>IF(J$49="","",IF($B137="","",IFERROR(SUMIFS('Dvd Calendar'!$E$180:$CZ$180,'Dvd Calendar'!$E$179:$CZ$179,"&gt;"&amp;J$48,'Dvd Calendar'!$E$179:$CZ$179,"&lt;="&amp;J$49),"")))</f>
        <v/>
      </c>
      <c r="K137" s="140">
        <f>IF(K$49="","",IF($B137="","",IFERROR(SUMIFS('Dvd Calendar'!$E$180:$CZ$180,'Dvd Calendar'!$E$179:$CZ$179,"&gt;"&amp;K$48,'Dvd Calendar'!$E$179:$CZ$179,"&lt;="&amp;K$49),"")))</f>
        <v/>
      </c>
      <c r="L137" s="140">
        <f>IF(L$49="","",IF($B137="","",IFERROR(SUMIFS('Dvd Calendar'!$E$180:$CZ$180,'Dvd Calendar'!$E$179:$CZ$179,"&gt;"&amp;L$48,'Dvd Calendar'!$E$179:$CZ$179,"&lt;="&amp;L$49),"")))</f>
        <v/>
      </c>
      <c r="M137" s="140">
        <f>IF(M$49="","",IF($B137="","",IFERROR(SUMIFS('Dvd Calendar'!$E$180:$CZ$180,'Dvd Calendar'!$E$179:$CZ$179,"&gt;"&amp;M$48,'Dvd Calendar'!$E$179:$CZ$179,"&lt;="&amp;M$49),"")))</f>
        <v/>
      </c>
      <c r="N137" s="140">
        <f>IF(N$49="","",IF($B137="","",IFERROR(SUMIFS('Dvd Calendar'!$E$180:$CZ$180,'Dvd Calendar'!$E$179:$CZ$179,"&gt;"&amp;N$48,'Dvd Calendar'!$E$179:$CZ$179,"&lt;="&amp;N$49),"")))</f>
        <v/>
      </c>
      <c r="O137" s="140">
        <f>IF(O$49="","",IF($B137="","",IFERROR(SUMIFS('Dvd Calendar'!$E$180:$CZ$180,'Dvd Calendar'!$E$179:$CZ$179,"&gt;"&amp;O$48,'Dvd Calendar'!$E$179:$CZ$179,"&lt;="&amp;O$49),"")))</f>
        <v/>
      </c>
      <c r="P137" s="140">
        <f>IF(P$49="","",IF($B137="","",IFERROR(SUMIFS('Dvd Calendar'!$E$180:$CZ$180,'Dvd Calendar'!$E$179:$CZ$179,"&gt;"&amp;P$48,'Dvd Calendar'!$E$179:$CZ$179,"&lt;="&amp;P$49),"")))</f>
        <v/>
      </c>
      <c r="Q137" s="140">
        <f>IF(Q$49="","",IF($B137="","",IFERROR(SUMIFS('Dvd Calendar'!$E$180:$CZ$180,'Dvd Calendar'!$E$179:$CZ$179,"&gt;"&amp;Q$48,'Dvd Calendar'!$E$179:$CZ$179,"&lt;="&amp;Q$49),"")))</f>
        <v/>
      </c>
      <c r="R137" s="140">
        <f>IF(R$49="","",IF($B137="","",IFERROR(SUMIFS('Dvd Calendar'!$E$180:$CZ$180,'Dvd Calendar'!$E$179:$CZ$179,"&gt;"&amp;R$48,'Dvd Calendar'!$E$179:$CZ$179,"&lt;="&amp;R$49),"")))</f>
        <v/>
      </c>
    </row>
    <row r="138">
      <c r="B138" s="5">
        <f>IF(AS51!$C$93="","",AS51!$C$93)</f>
        <v/>
      </c>
      <c r="C138" s="140">
        <f>IF(C$49="","",IF($B138="","",IFERROR(SUMIFS('Dvd Calendar'!$E$182:$CZ$182,'Dvd Calendar'!$E$181:$CZ$181,"&gt;"&amp;C$48,'Dvd Calendar'!$E$181:$CZ$181,"&lt;="&amp;C$49),"")))</f>
        <v/>
      </c>
      <c r="D138" s="140">
        <f>IF(D$49="","",IF($B138="","",IFERROR(SUMIFS('Dvd Calendar'!$E$182:$CZ$182,'Dvd Calendar'!$E$181:$CZ$181,"&gt;"&amp;D$48,'Dvd Calendar'!$E$181:$CZ$181,"&lt;="&amp;D$49),"")))</f>
        <v/>
      </c>
      <c r="E138" s="140">
        <f>IF(E$49="","",IF($B138="","",IFERROR(SUMIFS('Dvd Calendar'!$E$182:$CZ$182,'Dvd Calendar'!$E$181:$CZ$181,"&gt;"&amp;E$48,'Dvd Calendar'!$E$181:$CZ$181,"&lt;="&amp;E$49),"")))</f>
        <v/>
      </c>
      <c r="F138" s="140">
        <f>IF(F$49="","",IF($B138="","",IFERROR(SUMIFS('Dvd Calendar'!$E$182:$CZ$182,'Dvd Calendar'!$E$181:$CZ$181,"&gt;"&amp;F$48,'Dvd Calendar'!$E$181:$CZ$181,"&lt;="&amp;F$49),"")))</f>
        <v/>
      </c>
      <c r="G138" s="140">
        <f>IF(G$49="","",IF($B138="","",IFERROR(SUMIFS('Dvd Calendar'!$E$182:$CZ$182,'Dvd Calendar'!$E$181:$CZ$181,"&gt;"&amp;G$48,'Dvd Calendar'!$E$181:$CZ$181,"&lt;="&amp;G$49),"")))</f>
        <v/>
      </c>
      <c r="H138" s="140">
        <f>IF(H$49="","",IF($B138="","",IFERROR(SUMIFS('Dvd Calendar'!$E$182:$CZ$182,'Dvd Calendar'!$E$181:$CZ$181,"&gt;"&amp;H$48,'Dvd Calendar'!$E$181:$CZ$181,"&lt;="&amp;H$49),"")))</f>
        <v/>
      </c>
      <c r="I138" s="140">
        <f>IF(I$49="","",IF($B138="","",IFERROR(SUMIFS('Dvd Calendar'!$E$182:$CZ$182,'Dvd Calendar'!$E$181:$CZ$181,"&gt;"&amp;I$48,'Dvd Calendar'!$E$181:$CZ$181,"&lt;="&amp;I$49),"")))</f>
        <v/>
      </c>
      <c r="J138" s="140">
        <f>IF(J$49="","",IF($B138="","",IFERROR(SUMIFS('Dvd Calendar'!$E$182:$CZ$182,'Dvd Calendar'!$E$181:$CZ$181,"&gt;"&amp;J$48,'Dvd Calendar'!$E$181:$CZ$181,"&lt;="&amp;J$49),"")))</f>
        <v/>
      </c>
      <c r="K138" s="140">
        <f>IF(K$49="","",IF($B138="","",IFERROR(SUMIFS('Dvd Calendar'!$E$182:$CZ$182,'Dvd Calendar'!$E$181:$CZ$181,"&gt;"&amp;K$48,'Dvd Calendar'!$E$181:$CZ$181,"&lt;="&amp;K$49),"")))</f>
        <v/>
      </c>
      <c r="L138" s="140">
        <f>IF(L$49="","",IF($B138="","",IFERROR(SUMIFS('Dvd Calendar'!$E$182:$CZ$182,'Dvd Calendar'!$E$181:$CZ$181,"&gt;"&amp;L$48,'Dvd Calendar'!$E$181:$CZ$181,"&lt;="&amp;L$49),"")))</f>
        <v/>
      </c>
      <c r="M138" s="140">
        <f>IF(M$49="","",IF($B138="","",IFERROR(SUMIFS('Dvd Calendar'!$E$182:$CZ$182,'Dvd Calendar'!$E$181:$CZ$181,"&gt;"&amp;M$48,'Dvd Calendar'!$E$181:$CZ$181,"&lt;="&amp;M$49),"")))</f>
        <v/>
      </c>
      <c r="N138" s="140">
        <f>IF(N$49="","",IF($B138="","",IFERROR(SUMIFS('Dvd Calendar'!$E$182:$CZ$182,'Dvd Calendar'!$E$181:$CZ$181,"&gt;"&amp;N$48,'Dvd Calendar'!$E$181:$CZ$181,"&lt;="&amp;N$49),"")))</f>
        <v/>
      </c>
      <c r="O138" s="140">
        <f>IF(O$49="","",IF($B138="","",IFERROR(SUMIFS('Dvd Calendar'!$E$182:$CZ$182,'Dvd Calendar'!$E$181:$CZ$181,"&gt;"&amp;O$48,'Dvd Calendar'!$E$181:$CZ$181,"&lt;="&amp;O$49),"")))</f>
        <v/>
      </c>
      <c r="P138" s="140">
        <f>IF(P$49="","",IF($B138="","",IFERROR(SUMIFS('Dvd Calendar'!$E$182:$CZ$182,'Dvd Calendar'!$E$181:$CZ$181,"&gt;"&amp;P$48,'Dvd Calendar'!$E$181:$CZ$181,"&lt;="&amp;P$49),"")))</f>
        <v/>
      </c>
      <c r="Q138" s="140">
        <f>IF(Q$49="","",IF($B138="","",IFERROR(SUMIFS('Dvd Calendar'!$E$182:$CZ$182,'Dvd Calendar'!$E$181:$CZ$181,"&gt;"&amp;Q$48,'Dvd Calendar'!$E$181:$CZ$181,"&lt;="&amp;Q$49),"")))</f>
        <v/>
      </c>
      <c r="R138" s="140">
        <f>IF(R$49="","",IF($B138="","",IFERROR(SUMIFS('Dvd Calendar'!$E$182:$CZ$182,'Dvd Calendar'!$E$181:$CZ$181,"&gt;"&amp;R$48,'Dvd Calendar'!$E$181:$CZ$181,"&lt;="&amp;R$49),"")))</f>
        <v/>
      </c>
    </row>
    <row r="139">
      <c r="B139" s="5">
        <f>IF(AS51!$C$94="","",AS51!$C$94)</f>
        <v/>
      </c>
      <c r="C139" s="140">
        <f>IF(C$49="","",IF($B139="","",IFERROR(SUMIFS('Dvd Calendar'!$E$184:$CZ$184,'Dvd Calendar'!$E$183:$CZ$183,"&gt;"&amp;C$48,'Dvd Calendar'!$E$183:$CZ$183,"&lt;="&amp;C$49),"")))</f>
        <v/>
      </c>
      <c r="D139" s="140">
        <f>IF(D$49="","",IF($B139="","",IFERROR(SUMIFS('Dvd Calendar'!$E$184:$CZ$184,'Dvd Calendar'!$E$183:$CZ$183,"&gt;"&amp;D$48,'Dvd Calendar'!$E$183:$CZ$183,"&lt;="&amp;D$49),"")))</f>
        <v/>
      </c>
      <c r="E139" s="140">
        <f>IF(E$49="","",IF($B139="","",IFERROR(SUMIFS('Dvd Calendar'!$E$184:$CZ$184,'Dvd Calendar'!$E$183:$CZ$183,"&gt;"&amp;E$48,'Dvd Calendar'!$E$183:$CZ$183,"&lt;="&amp;E$49),"")))</f>
        <v/>
      </c>
      <c r="F139" s="140">
        <f>IF(F$49="","",IF($B139="","",IFERROR(SUMIFS('Dvd Calendar'!$E$184:$CZ$184,'Dvd Calendar'!$E$183:$CZ$183,"&gt;"&amp;F$48,'Dvd Calendar'!$E$183:$CZ$183,"&lt;="&amp;F$49),"")))</f>
        <v/>
      </c>
      <c r="G139" s="140">
        <f>IF(G$49="","",IF($B139="","",IFERROR(SUMIFS('Dvd Calendar'!$E$184:$CZ$184,'Dvd Calendar'!$E$183:$CZ$183,"&gt;"&amp;G$48,'Dvd Calendar'!$E$183:$CZ$183,"&lt;="&amp;G$49),"")))</f>
        <v/>
      </c>
      <c r="H139" s="140">
        <f>IF(H$49="","",IF($B139="","",IFERROR(SUMIFS('Dvd Calendar'!$E$184:$CZ$184,'Dvd Calendar'!$E$183:$CZ$183,"&gt;"&amp;H$48,'Dvd Calendar'!$E$183:$CZ$183,"&lt;="&amp;H$49),"")))</f>
        <v/>
      </c>
      <c r="I139" s="140">
        <f>IF(I$49="","",IF($B139="","",IFERROR(SUMIFS('Dvd Calendar'!$E$184:$CZ$184,'Dvd Calendar'!$E$183:$CZ$183,"&gt;"&amp;I$48,'Dvd Calendar'!$E$183:$CZ$183,"&lt;="&amp;I$49),"")))</f>
        <v/>
      </c>
      <c r="J139" s="140">
        <f>IF(J$49="","",IF($B139="","",IFERROR(SUMIFS('Dvd Calendar'!$E$184:$CZ$184,'Dvd Calendar'!$E$183:$CZ$183,"&gt;"&amp;J$48,'Dvd Calendar'!$E$183:$CZ$183,"&lt;="&amp;J$49),"")))</f>
        <v/>
      </c>
      <c r="K139" s="140">
        <f>IF(K$49="","",IF($B139="","",IFERROR(SUMIFS('Dvd Calendar'!$E$184:$CZ$184,'Dvd Calendar'!$E$183:$CZ$183,"&gt;"&amp;K$48,'Dvd Calendar'!$E$183:$CZ$183,"&lt;="&amp;K$49),"")))</f>
        <v/>
      </c>
      <c r="L139" s="140">
        <f>IF(L$49="","",IF($B139="","",IFERROR(SUMIFS('Dvd Calendar'!$E$184:$CZ$184,'Dvd Calendar'!$E$183:$CZ$183,"&gt;"&amp;L$48,'Dvd Calendar'!$E$183:$CZ$183,"&lt;="&amp;L$49),"")))</f>
        <v/>
      </c>
      <c r="M139" s="140">
        <f>IF(M$49="","",IF($B139="","",IFERROR(SUMIFS('Dvd Calendar'!$E$184:$CZ$184,'Dvd Calendar'!$E$183:$CZ$183,"&gt;"&amp;M$48,'Dvd Calendar'!$E$183:$CZ$183,"&lt;="&amp;M$49),"")))</f>
        <v/>
      </c>
      <c r="N139" s="140">
        <f>IF(N$49="","",IF($B139="","",IFERROR(SUMIFS('Dvd Calendar'!$E$184:$CZ$184,'Dvd Calendar'!$E$183:$CZ$183,"&gt;"&amp;N$48,'Dvd Calendar'!$E$183:$CZ$183,"&lt;="&amp;N$49),"")))</f>
        <v/>
      </c>
      <c r="O139" s="140">
        <f>IF(O$49="","",IF($B139="","",IFERROR(SUMIFS('Dvd Calendar'!$E$184:$CZ$184,'Dvd Calendar'!$E$183:$CZ$183,"&gt;"&amp;O$48,'Dvd Calendar'!$E$183:$CZ$183,"&lt;="&amp;O$49),"")))</f>
        <v/>
      </c>
      <c r="P139" s="140">
        <f>IF(P$49="","",IF($B139="","",IFERROR(SUMIFS('Dvd Calendar'!$E$184:$CZ$184,'Dvd Calendar'!$E$183:$CZ$183,"&gt;"&amp;P$48,'Dvd Calendar'!$E$183:$CZ$183,"&lt;="&amp;P$49),"")))</f>
        <v/>
      </c>
      <c r="Q139" s="140">
        <f>IF(Q$49="","",IF($B139="","",IFERROR(SUMIFS('Dvd Calendar'!$E$184:$CZ$184,'Dvd Calendar'!$E$183:$CZ$183,"&gt;"&amp;Q$48,'Dvd Calendar'!$E$183:$CZ$183,"&lt;="&amp;Q$49),"")))</f>
        <v/>
      </c>
      <c r="R139" s="140">
        <f>IF(R$49="","",IF($B139="","",IFERROR(SUMIFS('Dvd Calendar'!$E$184:$CZ$184,'Dvd Calendar'!$E$183:$CZ$183,"&gt;"&amp;R$48,'Dvd Calendar'!$E$183:$CZ$183,"&lt;="&amp;R$49),"")))</f>
        <v/>
      </c>
    </row>
    <row r="140">
      <c r="B140" s="5">
        <f>IF(AS51!$C$95="","",AS51!$C$95)</f>
        <v/>
      </c>
      <c r="C140" s="140">
        <f>IF(C$49="","",IF($B140="","",IFERROR(SUMIFS('Dvd Calendar'!$E$186:$CZ$186,'Dvd Calendar'!$E$185:$CZ$185,"&gt;"&amp;C$48,'Dvd Calendar'!$E$185:$CZ$185,"&lt;="&amp;C$49),"")))</f>
        <v/>
      </c>
      <c r="D140" s="140">
        <f>IF(D$49="","",IF($B140="","",IFERROR(SUMIFS('Dvd Calendar'!$E$186:$CZ$186,'Dvd Calendar'!$E$185:$CZ$185,"&gt;"&amp;D$48,'Dvd Calendar'!$E$185:$CZ$185,"&lt;="&amp;D$49),"")))</f>
        <v/>
      </c>
      <c r="E140" s="140">
        <f>IF(E$49="","",IF($B140="","",IFERROR(SUMIFS('Dvd Calendar'!$E$186:$CZ$186,'Dvd Calendar'!$E$185:$CZ$185,"&gt;"&amp;E$48,'Dvd Calendar'!$E$185:$CZ$185,"&lt;="&amp;E$49),"")))</f>
        <v/>
      </c>
      <c r="F140" s="140">
        <f>IF(F$49="","",IF($B140="","",IFERROR(SUMIFS('Dvd Calendar'!$E$186:$CZ$186,'Dvd Calendar'!$E$185:$CZ$185,"&gt;"&amp;F$48,'Dvd Calendar'!$E$185:$CZ$185,"&lt;="&amp;F$49),"")))</f>
        <v/>
      </c>
      <c r="G140" s="140">
        <f>IF(G$49="","",IF($B140="","",IFERROR(SUMIFS('Dvd Calendar'!$E$186:$CZ$186,'Dvd Calendar'!$E$185:$CZ$185,"&gt;"&amp;G$48,'Dvd Calendar'!$E$185:$CZ$185,"&lt;="&amp;G$49),"")))</f>
        <v/>
      </c>
      <c r="H140" s="140">
        <f>IF(H$49="","",IF($B140="","",IFERROR(SUMIFS('Dvd Calendar'!$E$186:$CZ$186,'Dvd Calendar'!$E$185:$CZ$185,"&gt;"&amp;H$48,'Dvd Calendar'!$E$185:$CZ$185,"&lt;="&amp;H$49),"")))</f>
        <v/>
      </c>
      <c r="I140" s="140">
        <f>IF(I$49="","",IF($B140="","",IFERROR(SUMIFS('Dvd Calendar'!$E$186:$CZ$186,'Dvd Calendar'!$E$185:$CZ$185,"&gt;"&amp;I$48,'Dvd Calendar'!$E$185:$CZ$185,"&lt;="&amp;I$49),"")))</f>
        <v/>
      </c>
      <c r="J140" s="140">
        <f>IF(J$49="","",IF($B140="","",IFERROR(SUMIFS('Dvd Calendar'!$E$186:$CZ$186,'Dvd Calendar'!$E$185:$CZ$185,"&gt;"&amp;J$48,'Dvd Calendar'!$E$185:$CZ$185,"&lt;="&amp;J$49),"")))</f>
        <v/>
      </c>
      <c r="K140" s="140">
        <f>IF(K$49="","",IF($B140="","",IFERROR(SUMIFS('Dvd Calendar'!$E$186:$CZ$186,'Dvd Calendar'!$E$185:$CZ$185,"&gt;"&amp;K$48,'Dvd Calendar'!$E$185:$CZ$185,"&lt;="&amp;K$49),"")))</f>
        <v/>
      </c>
      <c r="L140" s="140">
        <f>IF(L$49="","",IF($B140="","",IFERROR(SUMIFS('Dvd Calendar'!$E$186:$CZ$186,'Dvd Calendar'!$E$185:$CZ$185,"&gt;"&amp;L$48,'Dvd Calendar'!$E$185:$CZ$185,"&lt;="&amp;L$49),"")))</f>
        <v/>
      </c>
      <c r="M140" s="140">
        <f>IF(M$49="","",IF($B140="","",IFERROR(SUMIFS('Dvd Calendar'!$E$186:$CZ$186,'Dvd Calendar'!$E$185:$CZ$185,"&gt;"&amp;M$48,'Dvd Calendar'!$E$185:$CZ$185,"&lt;="&amp;M$49),"")))</f>
        <v/>
      </c>
      <c r="N140" s="140">
        <f>IF(N$49="","",IF($B140="","",IFERROR(SUMIFS('Dvd Calendar'!$E$186:$CZ$186,'Dvd Calendar'!$E$185:$CZ$185,"&gt;"&amp;N$48,'Dvd Calendar'!$E$185:$CZ$185,"&lt;="&amp;N$49),"")))</f>
        <v/>
      </c>
      <c r="O140" s="140">
        <f>IF(O$49="","",IF($B140="","",IFERROR(SUMIFS('Dvd Calendar'!$E$186:$CZ$186,'Dvd Calendar'!$E$185:$CZ$185,"&gt;"&amp;O$48,'Dvd Calendar'!$E$185:$CZ$185,"&lt;="&amp;O$49),"")))</f>
        <v/>
      </c>
      <c r="P140" s="140">
        <f>IF(P$49="","",IF($B140="","",IFERROR(SUMIFS('Dvd Calendar'!$E$186:$CZ$186,'Dvd Calendar'!$E$185:$CZ$185,"&gt;"&amp;P$48,'Dvd Calendar'!$E$185:$CZ$185,"&lt;="&amp;P$49),"")))</f>
        <v/>
      </c>
      <c r="Q140" s="140">
        <f>IF(Q$49="","",IF($B140="","",IFERROR(SUMIFS('Dvd Calendar'!$E$186:$CZ$186,'Dvd Calendar'!$E$185:$CZ$185,"&gt;"&amp;Q$48,'Dvd Calendar'!$E$185:$CZ$185,"&lt;="&amp;Q$49),"")))</f>
        <v/>
      </c>
      <c r="R140" s="140">
        <f>IF(R$49="","",IF($B140="","",IFERROR(SUMIFS('Dvd Calendar'!$E$186:$CZ$186,'Dvd Calendar'!$E$185:$CZ$185,"&gt;"&amp;R$48,'Dvd Calendar'!$E$185:$CZ$185,"&lt;="&amp;R$49),"")))</f>
        <v/>
      </c>
    </row>
    <row r="141">
      <c r="B141" s="5">
        <f>IF(AS51!$C$96="","",AS51!$C$96)</f>
        <v/>
      </c>
      <c r="C141" s="140">
        <f>IF(C$49="","",IF($B141="","",IFERROR(SUMIFS('Dvd Calendar'!$E$188:$CZ$188,'Dvd Calendar'!$E$187:$CZ$187,"&gt;"&amp;C$48,'Dvd Calendar'!$E$187:$CZ$187,"&lt;="&amp;C$49),"")))</f>
        <v/>
      </c>
      <c r="D141" s="140">
        <f>IF(D$49="","",IF($B141="","",IFERROR(SUMIFS('Dvd Calendar'!$E$188:$CZ$188,'Dvd Calendar'!$E$187:$CZ$187,"&gt;"&amp;D$48,'Dvd Calendar'!$E$187:$CZ$187,"&lt;="&amp;D$49),"")))</f>
        <v/>
      </c>
      <c r="E141" s="140">
        <f>IF(E$49="","",IF($B141="","",IFERROR(SUMIFS('Dvd Calendar'!$E$188:$CZ$188,'Dvd Calendar'!$E$187:$CZ$187,"&gt;"&amp;E$48,'Dvd Calendar'!$E$187:$CZ$187,"&lt;="&amp;E$49),"")))</f>
        <v/>
      </c>
      <c r="F141" s="140">
        <f>IF(F$49="","",IF($B141="","",IFERROR(SUMIFS('Dvd Calendar'!$E$188:$CZ$188,'Dvd Calendar'!$E$187:$CZ$187,"&gt;"&amp;F$48,'Dvd Calendar'!$E$187:$CZ$187,"&lt;="&amp;F$49),"")))</f>
        <v/>
      </c>
      <c r="G141" s="140">
        <f>IF(G$49="","",IF($B141="","",IFERROR(SUMIFS('Dvd Calendar'!$E$188:$CZ$188,'Dvd Calendar'!$E$187:$CZ$187,"&gt;"&amp;G$48,'Dvd Calendar'!$E$187:$CZ$187,"&lt;="&amp;G$49),"")))</f>
        <v/>
      </c>
      <c r="H141" s="140">
        <f>IF(H$49="","",IF($B141="","",IFERROR(SUMIFS('Dvd Calendar'!$E$188:$CZ$188,'Dvd Calendar'!$E$187:$CZ$187,"&gt;"&amp;H$48,'Dvd Calendar'!$E$187:$CZ$187,"&lt;="&amp;H$49),"")))</f>
        <v/>
      </c>
      <c r="I141" s="140">
        <f>IF(I$49="","",IF($B141="","",IFERROR(SUMIFS('Dvd Calendar'!$E$188:$CZ$188,'Dvd Calendar'!$E$187:$CZ$187,"&gt;"&amp;I$48,'Dvd Calendar'!$E$187:$CZ$187,"&lt;="&amp;I$49),"")))</f>
        <v/>
      </c>
      <c r="J141" s="140">
        <f>IF(J$49="","",IF($B141="","",IFERROR(SUMIFS('Dvd Calendar'!$E$188:$CZ$188,'Dvd Calendar'!$E$187:$CZ$187,"&gt;"&amp;J$48,'Dvd Calendar'!$E$187:$CZ$187,"&lt;="&amp;J$49),"")))</f>
        <v/>
      </c>
      <c r="K141" s="140">
        <f>IF(K$49="","",IF($B141="","",IFERROR(SUMIFS('Dvd Calendar'!$E$188:$CZ$188,'Dvd Calendar'!$E$187:$CZ$187,"&gt;"&amp;K$48,'Dvd Calendar'!$E$187:$CZ$187,"&lt;="&amp;K$49),"")))</f>
        <v/>
      </c>
      <c r="L141" s="140">
        <f>IF(L$49="","",IF($B141="","",IFERROR(SUMIFS('Dvd Calendar'!$E$188:$CZ$188,'Dvd Calendar'!$E$187:$CZ$187,"&gt;"&amp;L$48,'Dvd Calendar'!$E$187:$CZ$187,"&lt;="&amp;L$49),"")))</f>
        <v/>
      </c>
      <c r="M141" s="140">
        <f>IF(M$49="","",IF($B141="","",IFERROR(SUMIFS('Dvd Calendar'!$E$188:$CZ$188,'Dvd Calendar'!$E$187:$CZ$187,"&gt;"&amp;M$48,'Dvd Calendar'!$E$187:$CZ$187,"&lt;="&amp;M$49),"")))</f>
        <v/>
      </c>
      <c r="N141" s="140">
        <f>IF(N$49="","",IF($B141="","",IFERROR(SUMIFS('Dvd Calendar'!$E$188:$CZ$188,'Dvd Calendar'!$E$187:$CZ$187,"&gt;"&amp;N$48,'Dvd Calendar'!$E$187:$CZ$187,"&lt;="&amp;N$49),"")))</f>
        <v/>
      </c>
      <c r="O141" s="140">
        <f>IF(O$49="","",IF($B141="","",IFERROR(SUMIFS('Dvd Calendar'!$E$188:$CZ$188,'Dvd Calendar'!$E$187:$CZ$187,"&gt;"&amp;O$48,'Dvd Calendar'!$E$187:$CZ$187,"&lt;="&amp;O$49),"")))</f>
        <v/>
      </c>
      <c r="P141" s="140">
        <f>IF(P$49="","",IF($B141="","",IFERROR(SUMIFS('Dvd Calendar'!$E$188:$CZ$188,'Dvd Calendar'!$E$187:$CZ$187,"&gt;"&amp;P$48,'Dvd Calendar'!$E$187:$CZ$187,"&lt;="&amp;P$49),"")))</f>
        <v/>
      </c>
      <c r="Q141" s="140">
        <f>IF(Q$49="","",IF($B141="","",IFERROR(SUMIFS('Dvd Calendar'!$E$188:$CZ$188,'Dvd Calendar'!$E$187:$CZ$187,"&gt;"&amp;Q$48,'Dvd Calendar'!$E$187:$CZ$187,"&lt;="&amp;Q$49),"")))</f>
        <v/>
      </c>
      <c r="R141" s="140">
        <f>IF(R$49="","",IF($B141="","",IFERROR(SUMIFS('Dvd Calendar'!$E$188:$CZ$188,'Dvd Calendar'!$E$187:$CZ$187,"&gt;"&amp;R$48,'Dvd Calendar'!$E$187:$CZ$187,"&lt;="&amp;R$49),"")))</f>
        <v/>
      </c>
    </row>
    <row r="142">
      <c r="B142" s="5">
        <f>IF(AS51!$C$97="","",AS51!$C$97)</f>
        <v/>
      </c>
      <c r="C142" s="140">
        <f>IF(C$49="","",IF($B142="","",IFERROR(SUMIFS('Dvd Calendar'!$E$190:$CZ$190,'Dvd Calendar'!$E$189:$CZ$189,"&gt;"&amp;C$48,'Dvd Calendar'!$E$189:$CZ$189,"&lt;="&amp;C$49),"")))</f>
        <v/>
      </c>
      <c r="D142" s="140">
        <f>IF(D$49="","",IF($B142="","",IFERROR(SUMIFS('Dvd Calendar'!$E$190:$CZ$190,'Dvd Calendar'!$E$189:$CZ$189,"&gt;"&amp;D$48,'Dvd Calendar'!$E$189:$CZ$189,"&lt;="&amp;D$49),"")))</f>
        <v/>
      </c>
      <c r="E142" s="140">
        <f>IF(E$49="","",IF($B142="","",IFERROR(SUMIFS('Dvd Calendar'!$E$190:$CZ$190,'Dvd Calendar'!$E$189:$CZ$189,"&gt;"&amp;E$48,'Dvd Calendar'!$E$189:$CZ$189,"&lt;="&amp;E$49),"")))</f>
        <v/>
      </c>
      <c r="F142" s="140">
        <f>IF(F$49="","",IF($B142="","",IFERROR(SUMIFS('Dvd Calendar'!$E$190:$CZ$190,'Dvd Calendar'!$E$189:$CZ$189,"&gt;"&amp;F$48,'Dvd Calendar'!$E$189:$CZ$189,"&lt;="&amp;F$49),"")))</f>
        <v/>
      </c>
      <c r="G142" s="140">
        <f>IF(G$49="","",IF($B142="","",IFERROR(SUMIFS('Dvd Calendar'!$E$190:$CZ$190,'Dvd Calendar'!$E$189:$CZ$189,"&gt;"&amp;G$48,'Dvd Calendar'!$E$189:$CZ$189,"&lt;="&amp;G$49),"")))</f>
        <v/>
      </c>
      <c r="H142" s="140">
        <f>IF(H$49="","",IF($B142="","",IFERROR(SUMIFS('Dvd Calendar'!$E$190:$CZ$190,'Dvd Calendar'!$E$189:$CZ$189,"&gt;"&amp;H$48,'Dvd Calendar'!$E$189:$CZ$189,"&lt;="&amp;H$49),"")))</f>
        <v/>
      </c>
      <c r="I142" s="140">
        <f>IF(I$49="","",IF($B142="","",IFERROR(SUMIFS('Dvd Calendar'!$E$190:$CZ$190,'Dvd Calendar'!$E$189:$CZ$189,"&gt;"&amp;I$48,'Dvd Calendar'!$E$189:$CZ$189,"&lt;="&amp;I$49),"")))</f>
        <v/>
      </c>
      <c r="J142" s="140">
        <f>IF(J$49="","",IF($B142="","",IFERROR(SUMIFS('Dvd Calendar'!$E$190:$CZ$190,'Dvd Calendar'!$E$189:$CZ$189,"&gt;"&amp;J$48,'Dvd Calendar'!$E$189:$CZ$189,"&lt;="&amp;J$49),"")))</f>
        <v/>
      </c>
      <c r="K142" s="140">
        <f>IF(K$49="","",IF($B142="","",IFERROR(SUMIFS('Dvd Calendar'!$E$190:$CZ$190,'Dvd Calendar'!$E$189:$CZ$189,"&gt;"&amp;K$48,'Dvd Calendar'!$E$189:$CZ$189,"&lt;="&amp;K$49),"")))</f>
        <v/>
      </c>
      <c r="L142" s="140">
        <f>IF(L$49="","",IF($B142="","",IFERROR(SUMIFS('Dvd Calendar'!$E$190:$CZ$190,'Dvd Calendar'!$E$189:$CZ$189,"&gt;"&amp;L$48,'Dvd Calendar'!$E$189:$CZ$189,"&lt;="&amp;L$49),"")))</f>
        <v/>
      </c>
      <c r="M142" s="140">
        <f>IF(M$49="","",IF($B142="","",IFERROR(SUMIFS('Dvd Calendar'!$E$190:$CZ$190,'Dvd Calendar'!$E$189:$CZ$189,"&gt;"&amp;M$48,'Dvd Calendar'!$E$189:$CZ$189,"&lt;="&amp;M$49),"")))</f>
        <v/>
      </c>
      <c r="N142" s="140">
        <f>IF(N$49="","",IF($B142="","",IFERROR(SUMIFS('Dvd Calendar'!$E$190:$CZ$190,'Dvd Calendar'!$E$189:$CZ$189,"&gt;"&amp;N$48,'Dvd Calendar'!$E$189:$CZ$189,"&lt;="&amp;N$49),"")))</f>
        <v/>
      </c>
      <c r="O142" s="140">
        <f>IF(O$49="","",IF($B142="","",IFERROR(SUMIFS('Dvd Calendar'!$E$190:$CZ$190,'Dvd Calendar'!$E$189:$CZ$189,"&gt;"&amp;O$48,'Dvd Calendar'!$E$189:$CZ$189,"&lt;="&amp;O$49),"")))</f>
        <v/>
      </c>
      <c r="P142" s="140">
        <f>IF(P$49="","",IF($B142="","",IFERROR(SUMIFS('Dvd Calendar'!$E$190:$CZ$190,'Dvd Calendar'!$E$189:$CZ$189,"&gt;"&amp;P$48,'Dvd Calendar'!$E$189:$CZ$189,"&lt;="&amp;P$49),"")))</f>
        <v/>
      </c>
      <c r="Q142" s="140">
        <f>IF(Q$49="","",IF($B142="","",IFERROR(SUMIFS('Dvd Calendar'!$E$190:$CZ$190,'Dvd Calendar'!$E$189:$CZ$189,"&gt;"&amp;Q$48,'Dvd Calendar'!$E$189:$CZ$189,"&lt;="&amp;Q$49),"")))</f>
        <v/>
      </c>
      <c r="R142" s="140">
        <f>IF(R$49="","",IF($B142="","",IFERROR(SUMIFS('Dvd Calendar'!$E$190:$CZ$190,'Dvd Calendar'!$E$189:$CZ$189,"&gt;"&amp;R$48,'Dvd Calendar'!$E$189:$CZ$189,"&lt;="&amp;R$49),"")))</f>
        <v/>
      </c>
    </row>
    <row r="143">
      <c r="B143" s="5">
        <f>IF(AS51!$C$98="","",AS51!$C$98)</f>
        <v/>
      </c>
      <c r="C143" s="140">
        <f>IF(C$49="","",IF($B143="","",IFERROR(SUMIFS('Dvd Calendar'!$E$192:$CZ$192,'Dvd Calendar'!$E$191:$CZ$191,"&gt;"&amp;C$48,'Dvd Calendar'!$E$191:$CZ$191,"&lt;="&amp;C$49),"")))</f>
        <v/>
      </c>
      <c r="D143" s="140">
        <f>IF(D$49="","",IF($B143="","",IFERROR(SUMIFS('Dvd Calendar'!$E$192:$CZ$192,'Dvd Calendar'!$E$191:$CZ$191,"&gt;"&amp;D$48,'Dvd Calendar'!$E$191:$CZ$191,"&lt;="&amp;D$49),"")))</f>
        <v/>
      </c>
      <c r="E143" s="140">
        <f>IF(E$49="","",IF($B143="","",IFERROR(SUMIFS('Dvd Calendar'!$E$192:$CZ$192,'Dvd Calendar'!$E$191:$CZ$191,"&gt;"&amp;E$48,'Dvd Calendar'!$E$191:$CZ$191,"&lt;="&amp;E$49),"")))</f>
        <v/>
      </c>
      <c r="F143" s="140">
        <f>IF(F$49="","",IF($B143="","",IFERROR(SUMIFS('Dvd Calendar'!$E$192:$CZ$192,'Dvd Calendar'!$E$191:$CZ$191,"&gt;"&amp;F$48,'Dvd Calendar'!$E$191:$CZ$191,"&lt;="&amp;F$49),"")))</f>
        <v/>
      </c>
      <c r="G143" s="140">
        <f>IF(G$49="","",IF($B143="","",IFERROR(SUMIFS('Dvd Calendar'!$E$192:$CZ$192,'Dvd Calendar'!$E$191:$CZ$191,"&gt;"&amp;G$48,'Dvd Calendar'!$E$191:$CZ$191,"&lt;="&amp;G$49),"")))</f>
        <v/>
      </c>
      <c r="H143" s="140">
        <f>IF(H$49="","",IF($B143="","",IFERROR(SUMIFS('Dvd Calendar'!$E$192:$CZ$192,'Dvd Calendar'!$E$191:$CZ$191,"&gt;"&amp;H$48,'Dvd Calendar'!$E$191:$CZ$191,"&lt;="&amp;H$49),"")))</f>
        <v/>
      </c>
      <c r="I143" s="140">
        <f>IF(I$49="","",IF($B143="","",IFERROR(SUMIFS('Dvd Calendar'!$E$192:$CZ$192,'Dvd Calendar'!$E$191:$CZ$191,"&gt;"&amp;I$48,'Dvd Calendar'!$E$191:$CZ$191,"&lt;="&amp;I$49),"")))</f>
        <v/>
      </c>
      <c r="J143" s="140">
        <f>IF(J$49="","",IF($B143="","",IFERROR(SUMIFS('Dvd Calendar'!$E$192:$CZ$192,'Dvd Calendar'!$E$191:$CZ$191,"&gt;"&amp;J$48,'Dvd Calendar'!$E$191:$CZ$191,"&lt;="&amp;J$49),"")))</f>
        <v/>
      </c>
      <c r="K143" s="140">
        <f>IF(K$49="","",IF($B143="","",IFERROR(SUMIFS('Dvd Calendar'!$E$192:$CZ$192,'Dvd Calendar'!$E$191:$CZ$191,"&gt;"&amp;K$48,'Dvd Calendar'!$E$191:$CZ$191,"&lt;="&amp;K$49),"")))</f>
        <v/>
      </c>
      <c r="L143" s="140">
        <f>IF(L$49="","",IF($B143="","",IFERROR(SUMIFS('Dvd Calendar'!$E$192:$CZ$192,'Dvd Calendar'!$E$191:$CZ$191,"&gt;"&amp;L$48,'Dvd Calendar'!$E$191:$CZ$191,"&lt;="&amp;L$49),"")))</f>
        <v/>
      </c>
      <c r="M143" s="140">
        <f>IF(M$49="","",IF($B143="","",IFERROR(SUMIFS('Dvd Calendar'!$E$192:$CZ$192,'Dvd Calendar'!$E$191:$CZ$191,"&gt;"&amp;M$48,'Dvd Calendar'!$E$191:$CZ$191,"&lt;="&amp;M$49),"")))</f>
        <v/>
      </c>
      <c r="N143" s="140">
        <f>IF(N$49="","",IF($B143="","",IFERROR(SUMIFS('Dvd Calendar'!$E$192:$CZ$192,'Dvd Calendar'!$E$191:$CZ$191,"&gt;"&amp;N$48,'Dvd Calendar'!$E$191:$CZ$191,"&lt;="&amp;N$49),"")))</f>
        <v/>
      </c>
      <c r="O143" s="140">
        <f>IF(O$49="","",IF($B143="","",IFERROR(SUMIFS('Dvd Calendar'!$E$192:$CZ$192,'Dvd Calendar'!$E$191:$CZ$191,"&gt;"&amp;O$48,'Dvd Calendar'!$E$191:$CZ$191,"&lt;="&amp;O$49),"")))</f>
        <v/>
      </c>
      <c r="P143" s="140">
        <f>IF(P$49="","",IF($B143="","",IFERROR(SUMIFS('Dvd Calendar'!$E$192:$CZ$192,'Dvd Calendar'!$E$191:$CZ$191,"&gt;"&amp;P$48,'Dvd Calendar'!$E$191:$CZ$191,"&lt;="&amp;P$49),"")))</f>
        <v/>
      </c>
      <c r="Q143" s="140">
        <f>IF(Q$49="","",IF($B143="","",IFERROR(SUMIFS('Dvd Calendar'!$E$192:$CZ$192,'Dvd Calendar'!$E$191:$CZ$191,"&gt;"&amp;Q$48,'Dvd Calendar'!$E$191:$CZ$191,"&lt;="&amp;Q$49),"")))</f>
        <v/>
      </c>
      <c r="R143" s="140">
        <f>IF(R$49="","",IF($B143="","",IFERROR(SUMIFS('Dvd Calendar'!$E$192:$CZ$192,'Dvd Calendar'!$E$191:$CZ$191,"&gt;"&amp;R$48,'Dvd Calendar'!$E$191:$CZ$191,"&lt;="&amp;R$49),"")))</f>
        <v/>
      </c>
    </row>
    <row r="144">
      <c r="B144" s="5">
        <f>IF(AS51!$C$99="","",AS51!$C$99)</f>
        <v/>
      </c>
      <c r="C144" s="140">
        <f>IF(C$49="","",IF($B144="","",IFERROR(SUMIFS('Dvd Calendar'!$E$194:$CZ$194,'Dvd Calendar'!$E$193:$CZ$193,"&gt;"&amp;C$48,'Dvd Calendar'!$E$193:$CZ$193,"&lt;="&amp;C$49),"")))</f>
        <v/>
      </c>
      <c r="D144" s="140">
        <f>IF(D$49="","",IF($B144="","",IFERROR(SUMIFS('Dvd Calendar'!$E$194:$CZ$194,'Dvd Calendar'!$E$193:$CZ$193,"&gt;"&amp;D$48,'Dvd Calendar'!$E$193:$CZ$193,"&lt;="&amp;D$49),"")))</f>
        <v/>
      </c>
      <c r="E144" s="140">
        <f>IF(E$49="","",IF($B144="","",IFERROR(SUMIFS('Dvd Calendar'!$E$194:$CZ$194,'Dvd Calendar'!$E$193:$CZ$193,"&gt;"&amp;E$48,'Dvd Calendar'!$E$193:$CZ$193,"&lt;="&amp;E$49),"")))</f>
        <v/>
      </c>
      <c r="F144" s="140">
        <f>IF(F$49="","",IF($B144="","",IFERROR(SUMIFS('Dvd Calendar'!$E$194:$CZ$194,'Dvd Calendar'!$E$193:$CZ$193,"&gt;"&amp;F$48,'Dvd Calendar'!$E$193:$CZ$193,"&lt;="&amp;F$49),"")))</f>
        <v/>
      </c>
      <c r="G144" s="140">
        <f>IF(G$49="","",IF($B144="","",IFERROR(SUMIFS('Dvd Calendar'!$E$194:$CZ$194,'Dvd Calendar'!$E$193:$CZ$193,"&gt;"&amp;G$48,'Dvd Calendar'!$E$193:$CZ$193,"&lt;="&amp;G$49),"")))</f>
        <v/>
      </c>
      <c r="H144" s="140">
        <f>IF(H$49="","",IF($B144="","",IFERROR(SUMIFS('Dvd Calendar'!$E$194:$CZ$194,'Dvd Calendar'!$E$193:$CZ$193,"&gt;"&amp;H$48,'Dvd Calendar'!$E$193:$CZ$193,"&lt;="&amp;H$49),"")))</f>
        <v/>
      </c>
      <c r="I144" s="140">
        <f>IF(I$49="","",IF($B144="","",IFERROR(SUMIFS('Dvd Calendar'!$E$194:$CZ$194,'Dvd Calendar'!$E$193:$CZ$193,"&gt;"&amp;I$48,'Dvd Calendar'!$E$193:$CZ$193,"&lt;="&amp;I$49),"")))</f>
        <v/>
      </c>
      <c r="J144" s="140">
        <f>IF(J$49="","",IF($B144="","",IFERROR(SUMIFS('Dvd Calendar'!$E$194:$CZ$194,'Dvd Calendar'!$E$193:$CZ$193,"&gt;"&amp;J$48,'Dvd Calendar'!$E$193:$CZ$193,"&lt;="&amp;J$49),"")))</f>
        <v/>
      </c>
      <c r="K144" s="140">
        <f>IF(K$49="","",IF($B144="","",IFERROR(SUMIFS('Dvd Calendar'!$E$194:$CZ$194,'Dvd Calendar'!$E$193:$CZ$193,"&gt;"&amp;K$48,'Dvd Calendar'!$E$193:$CZ$193,"&lt;="&amp;K$49),"")))</f>
        <v/>
      </c>
      <c r="L144" s="140">
        <f>IF(L$49="","",IF($B144="","",IFERROR(SUMIFS('Dvd Calendar'!$E$194:$CZ$194,'Dvd Calendar'!$E$193:$CZ$193,"&gt;"&amp;L$48,'Dvd Calendar'!$E$193:$CZ$193,"&lt;="&amp;L$49),"")))</f>
        <v/>
      </c>
      <c r="M144" s="140">
        <f>IF(M$49="","",IF($B144="","",IFERROR(SUMIFS('Dvd Calendar'!$E$194:$CZ$194,'Dvd Calendar'!$E$193:$CZ$193,"&gt;"&amp;M$48,'Dvd Calendar'!$E$193:$CZ$193,"&lt;="&amp;M$49),"")))</f>
        <v/>
      </c>
      <c r="N144" s="140">
        <f>IF(N$49="","",IF($B144="","",IFERROR(SUMIFS('Dvd Calendar'!$E$194:$CZ$194,'Dvd Calendar'!$E$193:$CZ$193,"&gt;"&amp;N$48,'Dvd Calendar'!$E$193:$CZ$193,"&lt;="&amp;N$49),"")))</f>
        <v/>
      </c>
      <c r="O144" s="140">
        <f>IF(O$49="","",IF($B144="","",IFERROR(SUMIFS('Dvd Calendar'!$E$194:$CZ$194,'Dvd Calendar'!$E$193:$CZ$193,"&gt;"&amp;O$48,'Dvd Calendar'!$E$193:$CZ$193,"&lt;="&amp;O$49),"")))</f>
        <v/>
      </c>
      <c r="P144" s="140">
        <f>IF(P$49="","",IF($B144="","",IFERROR(SUMIFS('Dvd Calendar'!$E$194:$CZ$194,'Dvd Calendar'!$E$193:$CZ$193,"&gt;"&amp;P$48,'Dvd Calendar'!$E$193:$CZ$193,"&lt;="&amp;P$49),"")))</f>
        <v/>
      </c>
      <c r="Q144" s="140">
        <f>IF(Q$49="","",IF($B144="","",IFERROR(SUMIFS('Dvd Calendar'!$E$194:$CZ$194,'Dvd Calendar'!$E$193:$CZ$193,"&gt;"&amp;Q$48,'Dvd Calendar'!$E$193:$CZ$193,"&lt;="&amp;Q$49),"")))</f>
        <v/>
      </c>
      <c r="R144" s="140">
        <f>IF(R$49="","",IF($B144="","",IFERROR(SUMIFS('Dvd Calendar'!$E$194:$CZ$194,'Dvd Calendar'!$E$193:$CZ$193,"&gt;"&amp;R$48,'Dvd Calendar'!$E$193:$CZ$193,"&lt;="&amp;R$49),"")))</f>
        <v/>
      </c>
    </row>
    <row r="145">
      <c r="B145" s="5">
        <f>IF(AS51!$C$100="","",AS51!$C$100)</f>
        <v/>
      </c>
      <c r="C145" s="140">
        <f>IF(C$49="","",IF($B145="","",IFERROR(SUMIFS('Dvd Calendar'!$E$196:$CZ$196,'Dvd Calendar'!$E$195:$CZ$195,"&gt;"&amp;C$48,'Dvd Calendar'!$E$195:$CZ$195,"&lt;="&amp;C$49),"")))</f>
        <v/>
      </c>
      <c r="D145" s="140">
        <f>IF(D$49="","",IF($B145="","",IFERROR(SUMIFS('Dvd Calendar'!$E$196:$CZ$196,'Dvd Calendar'!$E$195:$CZ$195,"&gt;"&amp;D$48,'Dvd Calendar'!$E$195:$CZ$195,"&lt;="&amp;D$49),"")))</f>
        <v/>
      </c>
      <c r="E145" s="140">
        <f>IF(E$49="","",IF($B145="","",IFERROR(SUMIFS('Dvd Calendar'!$E$196:$CZ$196,'Dvd Calendar'!$E$195:$CZ$195,"&gt;"&amp;E$48,'Dvd Calendar'!$E$195:$CZ$195,"&lt;="&amp;E$49),"")))</f>
        <v/>
      </c>
      <c r="F145" s="140">
        <f>IF(F$49="","",IF($B145="","",IFERROR(SUMIFS('Dvd Calendar'!$E$196:$CZ$196,'Dvd Calendar'!$E$195:$CZ$195,"&gt;"&amp;F$48,'Dvd Calendar'!$E$195:$CZ$195,"&lt;="&amp;F$49),"")))</f>
        <v/>
      </c>
      <c r="G145" s="140">
        <f>IF(G$49="","",IF($B145="","",IFERROR(SUMIFS('Dvd Calendar'!$E$196:$CZ$196,'Dvd Calendar'!$E$195:$CZ$195,"&gt;"&amp;G$48,'Dvd Calendar'!$E$195:$CZ$195,"&lt;="&amp;G$49),"")))</f>
        <v/>
      </c>
      <c r="H145" s="140">
        <f>IF(H$49="","",IF($B145="","",IFERROR(SUMIFS('Dvd Calendar'!$E$196:$CZ$196,'Dvd Calendar'!$E$195:$CZ$195,"&gt;"&amp;H$48,'Dvd Calendar'!$E$195:$CZ$195,"&lt;="&amp;H$49),"")))</f>
        <v/>
      </c>
      <c r="I145" s="140">
        <f>IF(I$49="","",IF($B145="","",IFERROR(SUMIFS('Dvd Calendar'!$E$196:$CZ$196,'Dvd Calendar'!$E$195:$CZ$195,"&gt;"&amp;I$48,'Dvd Calendar'!$E$195:$CZ$195,"&lt;="&amp;I$49),"")))</f>
        <v/>
      </c>
      <c r="J145" s="140">
        <f>IF(J$49="","",IF($B145="","",IFERROR(SUMIFS('Dvd Calendar'!$E$196:$CZ$196,'Dvd Calendar'!$E$195:$CZ$195,"&gt;"&amp;J$48,'Dvd Calendar'!$E$195:$CZ$195,"&lt;="&amp;J$49),"")))</f>
        <v/>
      </c>
      <c r="K145" s="140">
        <f>IF(K$49="","",IF($B145="","",IFERROR(SUMIFS('Dvd Calendar'!$E$196:$CZ$196,'Dvd Calendar'!$E$195:$CZ$195,"&gt;"&amp;K$48,'Dvd Calendar'!$E$195:$CZ$195,"&lt;="&amp;K$49),"")))</f>
        <v/>
      </c>
      <c r="L145" s="140">
        <f>IF(L$49="","",IF($B145="","",IFERROR(SUMIFS('Dvd Calendar'!$E$196:$CZ$196,'Dvd Calendar'!$E$195:$CZ$195,"&gt;"&amp;L$48,'Dvd Calendar'!$E$195:$CZ$195,"&lt;="&amp;L$49),"")))</f>
        <v/>
      </c>
      <c r="M145" s="140">
        <f>IF(M$49="","",IF($B145="","",IFERROR(SUMIFS('Dvd Calendar'!$E$196:$CZ$196,'Dvd Calendar'!$E$195:$CZ$195,"&gt;"&amp;M$48,'Dvd Calendar'!$E$195:$CZ$195,"&lt;="&amp;M$49),"")))</f>
        <v/>
      </c>
      <c r="N145" s="140">
        <f>IF(N$49="","",IF($B145="","",IFERROR(SUMIFS('Dvd Calendar'!$E$196:$CZ$196,'Dvd Calendar'!$E$195:$CZ$195,"&gt;"&amp;N$48,'Dvd Calendar'!$E$195:$CZ$195,"&lt;="&amp;N$49),"")))</f>
        <v/>
      </c>
      <c r="O145" s="140">
        <f>IF(O$49="","",IF($B145="","",IFERROR(SUMIFS('Dvd Calendar'!$E$196:$CZ$196,'Dvd Calendar'!$E$195:$CZ$195,"&gt;"&amp;O$48,'Dvd Calendar'!$E$195:$CZ$195,"&lt;="&amp;O$49),"")))</f>
        <v/>
      </c>
      <c r="P145" s="140">
        <f>IF(P$49="","",IF($B145="","",IFERROR(SUMIFS('Dvd Calendar'!$E$196:$CZ$196,'Dvd Calendar'!$E$195:$CZ$195,"&gt;"&amp;P$48,'Dvd Calendar'!$E$195:$CZ$195,"&lt;="&amp;P$49),"")))</f>
        <v/>
      </c>
      <c r="Q145" s="140">
        <f>IF(Q$49="","",IF($B145="","",IFERROR(SUMIFS('Dvd Calendar'!$E$196:$CZ$196,'Dvd Calendar'!$E$195:$CZ$195,"&gt;"&amp;Q$48,'Dvd Calendar'!$E$195:$CZ$195,"&lt;="&amp;Q$49),"")))</f>
        <v/>
      </c>
      <c r="R145" s="140">
        <f>IF(R$49="","",IF($B145="","",IFERROR(SUMIFS('Dvd Calendar'!$E$196:$CZ$196,'Dvd Calendar'!$E$195:$CZ$195,"&gt;"&amp;R$48,'Dvd Calendar'!$E$195:$CZ$195,"&lt;="&amp;R$49),"")))</f>
        <v/>
      </c>
    </row>
    <row r="146">
      <c r="B146" s="5">
        <f>IF(AS51!$C$101="","",AS51!$C$101)</f>
        <v/>
      </c>
      <c r="C146" s="140">
        <f>IF(C$49="","",IF($B146="","",IFERROR(SUMIFS('Dvd Calendar'!$E$198:$CZ$198,'Dvd Calendar'!$E$197:$CZ$197,"&gt;"&amp;C$48,'Dvd Calendar'!$E$197:$CZ$197,"&lt;="&amp;C$49),"")))</f>
        <v/>
      </c>
      <c r="D146" s="140">
        <f>IF(D$49="","",IF($B146="","",IFERROR(SUMIFS('Dvd Calendar'!$E$198:$CZ$198,'Dvd Calendar'!$E$197:$CZ$197,"&gt;"&amp;D$48,'Dvd Calendar'!$E$197:$CZ$197,"&lt;="&amp;D$49),"")))</f>
        <v/>
      </c>
      <c r="E146" s="140">
        <f>IF(E$49="","",IF($B146="","",IFERROR(SUMIFS('Dvd Calendar'!$E$198:$CZ$198,'Dvd Calendar'!$E$197:$CZ$197,"&gt;"&amp;E$48,'Dvd Calendar'!$E$197:$CZ$197,"&lt;="&amp;E$49),"")))</f>
        <v/>
      </c>
      <c r="F146" s="140">
        <f>IF(F$49="","",IF($B146="","",IFERROR(SUMIFS('Dvd Calendar'!$E$198:$CZ$198,'Dvd Calendar'!$E$197:$CZ$197,"&gt;"&amp;F$48,'Dvd Calendar'!$E$197:$CZ$197,"&lt;="&amp;F$49),"")))</f>
        <v/>
      </c>
      <c r="G146" s="140">
        <f>IF(G$49="","",IF($B146="","",IFERROR(SUMIFS('Dvd Calendar'!$E$198:$CZ$198,'Dvd Calendar'!$E$197:$CZ$197,"&gt;"&amp;G$48,'Dvd Calendar'!$E$197:$CZ$197,"&lt;="&amp;G$49),"")))</f>
        <v/>
      </c>
      <c r="H146" s="140">
        <f>IF(H$49="","",IF($B146="","",IFERROR(SUMIFS('Dvd Calendar'!$E$198:$CZ$198,'Dvd Calendar'!$E$197:$CZ$197,"&gt;"&amp;H$48,'Dvd Calendar'!$E$197:$CZ$197,"&lt;="&amp;H$49),"")))</f>
        <v/>
      </c>
      <c r="I146" s="140">
        <f>IF(I$49="","",IF($B146="","",IFERROR(SUMIFS('Dvd Calendar'!$E$198:$CZ$198,'Dvd Calendar'!$E$197:$CZ$197,"&gt;"&amp;I$48,'Dvd Calendar'!$E$197:$CZ$197,"&lt;="&amp;I$49),"")))</f>
        <v/>
      </c>
      <c r="J146" s="140">
        <f>IF(J$49="","",IF($B146="","",IFERROR(SUMIFS('Dvd Calendar'!$E$198:$CZ$198,'Dvd Calendar'!$E$197:$CZ$197,"&gt;"&amp;J$48,'Dvd Calendar'!$E$197:$CZ$197,"&lt;="&amp;J$49),"")))</f>
        <v/>
      </c>
      <c r="K146" s="140">
        <f>IF(K$49="","",IF($B146="","",IFERROR(SUMIFS('Dvd Calendar'!$E$198:$CZ$198,'Dvd Calendar'!$E$197:$CZ$197,"&gt;"&amp;K$48,'Dvd Calendar'!$E$197:$CZ$197,"&lt;="&amp;K$49),"")))</f>
        <v/>
      </c>
      <c r="L146" s="140">
        <f>IF(L$49="","",IF($B146="","",IFERROR(SUMIFS('Dvd Calendar'!$E$198:$CZ$198,'Dvd Calendar'!$E$197:$CZ$197,"&gt;"&amp;L$48,'Dvd Calendar'!$E$197:$CZ$197,"&lt;="&amp;L$49),"")))</f>
        <v/>
      </c>
      <c r="M146" s="140">
        <f>IF(M$49="","",IF($B146="","",IFERROR(SUMIFS('Dvd Calendar'!$E$198:$CZ$198,'Dvd Calendar'!$E$197:$CZ$197,"&gt;"&amp;M$48,'Dvd Calendar'!$E$197:$CZ$197,"&lt;="&amp;M$49),"")))</f>
        <v/>
      </c>
      <c r="N146" s="140">
        <f>IF(N$49="","",IF($B146="","",IFERROR(SUMIFS('Dvd Calendar'!$E$198:$CZ$198,'Dvd Calendar'!$E$197:$CZ$197,"&gt;"&amp;N$48,'Dvd Calendar'!$E$197:$CZ$197,"&lt;="&amp;N$49),"")))</f>
        <v/>
      </c>
      <c r="O146" s="140">
        <f>IF(O$49="","",IF($B146="","",IFERROR(SUMIFS('Dvd Calendar'!$E$198:$CZ$198,'Dvd Calendar'!$E$197:$CZ$197,"&gt;"&amp;O$48,'Dvd Calendar'!$E$197:$CZ$197,"&lt;="&amp;O$49),"")))</f>
        <v/>
      </c>
      <c r="P146" s="140">
        <f>IF(P$49="","",IF($B146="","",IFERROR(SUMIFS('Dvd Calendar'!$E$198:$CZ$198,'Dvd Calendar'!$E$197:$CZ$197,"&gt;"&amp;P$48,'Dvd Calendar'!$E$197:$CZ$197,"&lt;="&amp;P$49),"")))</f>
        <v/>
      </c>
      <c r="Q146" s="140">
        <f>IF(Q$49="","",IF($B146="","",IFERROR(SUMIFS('Dvd Calendar'!$E$198:$CZ$198,'Dvd Calendar'!$E$197:$CZ$197,"&gt;"&amp;Q$48,'Dvd Calendar'!$E$197:$CZ$197,"&lt;="&amp;Q$49),"")))</f>
        <v/>
      </c>
      <c r="R146" s="140">
        <f>IF(R$49="","",IF($B146="","",IFERROR(SUMIFS('Dvd Calendar'!$E$198:$CZ$198,'Dvd Calendar'!$E$197:$CZ$197,"&gt;"&amp;R$48,'Dvd Calendar'!$E$197:$CZ$197,"&lt;="&amp;R$49),"")))</f>
        <v/>
      </c>
    </row>
    <row r="147">
      <c r="B147" s="5">
        <f>IF(AS51!$C$102="","",AS51!$C$102)</f>
        <v/>
      </c>
      <c r="C147" s="140">
        <f>IF(C$49="","",IF($B147="","",IFERROR(SUMIFS('Dvd Calendar'!$E$200:$CZ$200,'Dvd Calendar'!$E$199:$CZ$199,"&gt;"&amp;C$48,'Dvd Calendar'!$E$199:$CZ$199,"&lt;="&amp;C$49),"")))</f>
        <v/>
      </c>
      <c r="D147" s="140">
        <f>IF(D$49="","",IF($B147="","",IFERROR(SUMIFS('Dvd Calendar'!$E$200:$CZ$200,'Dvd Calendar'!$E$199:$CZ$199,"&gt;"&amp;D$48,'Dvd Calendar'!$E$199:$CZ$199,"&lt;="&amp;D$49),"")))</f>
        <v/>
      </c>
      <c r="E147" s="140">
        <f>IF(E$49="","",IF($B147="","",IFERROR(SUMIFS('Dvd Calendar'!$E$200:$CZ$200,'Dvd Calendar'!$E$199:$CZ$199,"&gt;"&amp;E$48,'Dvd Calendar'!$E$199:$CZ$199,"&lt;="&amp;E$49),"")))</f>
        <v/>
      </c>
      <c r="F147" s="140">
        <f>IF(F$49="","",IF($B147="","",IFERROR(SUMIFS('Dvd Calendar'!$E$200:$CZ$200,'Dvd Calendar'!$E$199:$CZ$199,"&gt;"&amp;F$48,'Dvd Calendar'!$E$199:$CZ$199,"&lt;="&amp;F$49),"")))</f>
        <v/>
      </c>
      <c r="G147" s="140">
        <f>IF(G$49="","",IF($B147="","",IFERROR(SUMIFS('Dvd Calendar'!$E$200:$CZ$200,'Dvd Calendar'!$E$199:$CZ$199,"&gt;"&amp;G$48,'Dvd Calendar'!$E$199:$CZ$199,"&lt;="&amp;G$49),"")))</f>
        <v/>
      </c>
      <c r="H147" s="140">
        <f>IF(H$49="","",IF($B147="","",IFERROR(SUMIFS('Dvd Calendar'!$E$200:$CZ$200,'Dvd Calendar'!$E$199:$CZ$199,"&gt;"&amp;H$48,'Dvd Calendar'!$E$199:$CZ$199,"&lt;="&amp;H$49),"")))</f>
        <v/>
      </c>
      <c r="I147" s="140">
        <f>IF(I$49="","",IF($B147="","",IFERROR(SUMIFS('Dvd Calendar'!$E$200:$CZ$200,'Dvd Calendar'!$E$199:$CZ$199,"&gt;"&amp;I$48,'Dvd Calendar'!$E$199:$CZ$199,"&lt;="&amp;I$49),"")))</f>
        <v/>
      </c>
      <c r="J147" s="140">
        <f>IF(J$49="","",IF($B147="","",IFERROR(SUMIFS('Dvd Calendar'!$E$200:$CZ$200,'Dvd Calendar'!$E$199:$CZ$199,"&gt;"&amp;J$48,'Dvd Calendar'!$E$199:$CZ$199,"&lt;="&amp;J$49),"")))</f>
        <v/>
      </c>
      <c r="K147" s="140">
        <f>IF(K$49="","",IF($B147="","",IFERROR(SUMIFS('Dvd Calendar'!$E$200:$CZ$200,'Dvd Calendar'!$E$199:$CZ$199,"&gt;"&amp;K$48,'Dvd Calendar'!$E$199:$CZ$199,"&lt;="&amp;K$49),"")))</f>
        <v/>
      </c>
      <c r="L147" s="140">
        <f>IF(L$49="","",IF($B147="","",IFERROR(SUMIFS('Dvd Calendar'!$E$200:$CZ$200,'Dvd Calendar'!$E$199:$CZ$199,"&gt;"&amp;L$48,'Dvd Calendar'!$E$199:$CZ$199,"&lt;="&amp;L$49),"")))</f>
        <v/>
      </c>
      <c r="M147" s="140">
        <f>IF(M$49="","",IF($B147="","",IFERROR(SUMIFS('Dvd Calendar'!$E$200:$CZ$200,'Dvd Calendar'!$E$199:$CZ$199,"&gt;"&amp;M$48,'Dvd Calendar'!$E$199:$CZ$199,"&lt;="&amp;M$49),"")))</f>
        <v/>
      </c>
      <c r="N147" s="140">
        <f>IF(N$49="","",IF($B147="","",IFERROR(SUMIFS('Dvd Calendar'!$E$200:$CZ$200,'Dvd Calendar'!$E$199:$CZ$199,"&gt;"&amp;N$48,'Dvd Calendar'!$E$199:$CZ$199,"&lt;="&amp;N$49),"")))</f>
        <v/>
      </c>
      <c r="O147" s="140">
        <f>IF(O$49="","",IF($B147="","",IFERROR(SUMIFS('Dvd Calendar'!$E$200:$CZ$200,'Dvd Calendar'!$E$199:$CZ$199,"&gt;"&amp;O$48,'Dvd Calendar'!$E$199:$CZ$199,"&lt;="&amp;O$49),"")))</f>
        <v/>
      </c>
      <c r="P147" s="140">
        <f>IF(P$49="","",IF($B147="","",IFERROR(SUMIFS('Dvd Calendar'!$E$200:$CZ$200,'Dvd Calendar'!$E$199:$CZ$199,"&gt;"&amp;P$48,'Dvd Calendar'!$E$199:$CZ$199,"&lt;="&amp;P$49),"")))</f>
        <v/>
      </c>
      <c r="Q147" s="140">
        <f>IF(Q$49="","",IF($B147="","",IFERROR(SUMIFS('Dvd Calendar'!$E$200:$CZ$200,'Dvd Calendar'!$E$199:$CZ$199,"&gt;"&amp;Q$48,'Dvd Calendar'!$E$199:$CZ$199,"&lt;="&amp;Q$49),"")))</f>
        <v/>
      </c>
      <c r="R147" s="140">
        <f>IF(R$49="","",IF($B147="","",IFERROR(SUMIFS('Dvd Calendar'!$E$200:$CZ$200,'Dvd Calendar'!$E$199:$CZ$199,"&gt;"&amp;R$48,'Dvd Calendar'!$E$199:$CZ$199,"&lt;="&amp;R$49),"")))</f>
        <v/>
      </c>
    </row>
    <row r="148">
      <c r="B148" s="5">
        <f>IF(AS51!$C$103="","",AS51!$C$103)</f>
        <v/>
      </c>
      <c r="C148" s="140">
        <f>IF(C$49="","",IF($B148="","",IFERROR(SUMIFS('Dvd Calendar'!$E$202:$CZ$202,'Dvd Calendar'!$E$201:$CZ$201,"&gt;"&amp;C$48,'Dvd Calendar'!$E$201:$CZ$201,"&lt;="&amp;C$49),"")))</f>
        <v/>
      </c>
      <c r="D148" s="140">
        <f>IF(D$49="","",IF($B148="","",IFERROR(SUMIFS('Dvd Calendar'!$E$202:$CZ$202,'Dvd Calendar'!$E$201:$CZ$201,"&gt;"&amp;D$48,'Dvd Calendar'!$E$201:$CZ$201,"&lt;="&amp;D$49),"")))</f>
        <v/>
      </c>
      <c r="E148" s="140">
        <f>IF(E$49="","",IF($B148="","",IFERROR(SUMIFS('Dvd Calendar'!$E$202:$CZ$202,'Dvd Calendar'!$E$201:$CZ$201,"&gt;"&amp;E$48,'Dvd Calendar'!$E$201:$CZ$201,"&lt;="&amp;E$49),"")))</f>
        <v/>
      </c>
      <c r="F148" s="140">
        <f>IF(F$49="","",IF($B148="","",IFERROR(SUMIFS('Dvd Calendar'!$E$202:$CZ$202,'Dvd Calendar'!$E$201:$CZ$201,"&gt;"&amp;F$48,'Dvd Calendar'!$E$201:$CZ$201,"&lt;="&amp;F$49),"")))</f>
        <v/>
      </c>
      <c r="G148" s="140">
        <f>IF(G$49="","",IF($B148="","",IFERROR(SUMIFS('Dvd Calendar'!$E$202:$CZ$202,'Dvd Calendar'!$E$201:$CZ$201,"&gt;"&amp;G$48,'Dvd Calendar'!$E$201:$CZ$201,"&lt;="&amp;G$49),"")))</f>
        <v/>
      </c>
      <c r="H148" s="140">
        <f>IF(H$49="","",IF($B148="","",IFERROR(SUMIFS('Dvd Calendar'!$E$202:$CZ$202,'Dvd Calendar'!$E$201:$CZ$201,"&gt;"&amp;H$48,'Dvd Calendar'!$E$201:$CZ$201,"&lt;="&amp;H$49),"")))</f>
        <v/>
      </c>
      <c r="I148" s="140">
        <f>IF(I$49="","",IF($B148="","",IFERROR(SUMIFS('Dvd Calendar'!$E$202:$CZ$202,'Dvd Calendar'!$E$201:$CZ$201,"&gt;"&amp;I$48,'Dvd Calendar'!$E$201:$CZ$201,"&lt;="&amp;I$49),"")))</f>
        <v/>
      </c>
      <c r="J148" s="140">
        <f>IF(J$49="","",IF($B148="","",IFERROR(SUMIFS('Dvd Calendar'!$E$202:$CZ$202,'Dvd Calendar'!$E$201:$CZ$201,"&gt;"&amp;J$48,'Dvd Calendar'!$E$201:$CZ$201,"&lt;="&amp;J$49),"")))</f>
        <v/>
      </c>
      <c r="K148" s="140">
        <f>IF(K$49="","",IF($B148="","",IFERROR(SUMIFS('Dvd Calendar'!$E$202:$CZ$202,'Dvd Calendar'!$E$201:$CZ$201,"&gt;"&amp;K$48,'Dvd Calendar'!$E$201:$CZ$201,"&lt;="&amp;K$49),"")))</f>
        <v/>
      </c>
      <c r="L148" s="140">
        <f>IF(L$49="","",IF($B148="","",IFERROR(SUMIFS('Dvd Calendar'!$E$202:$CZ$202,'Dvd Calendar'!$E$201:$CZ$201,"&gt;"&amp;L$48,'Dvd Calendar'!$E$201:$CZ$201,"&lt;="&amp;L$49),"")))</f>
        <v/>
      </c>
      <c r="M148" s="140">
        <f>IF(M$49="","",IF($B148="","",IFERROR(SUMIFS('Dvd Calendar'!$E$202:$CZ$202,'Dvd Calendar'!$E$201:$CZ$201,"&gt;"&amp;M$48,'Dvd Calendar'!$E$201:$CZ$201,"&lt;="&amp;M$49),"")))</f>
        <v/>
      </c>
      <c r="N148" s="140">
        <f>IF(N$49="","",IF($B148="","",IFERROR(SUMIFS('Dvd Calendar'!$E$202:$CZ$202,'Dvd Calendar'!$E$201:$CZ$201,"&gt;"&amp;N$48,'Dvd Calendar'!$E$201:$CZ$201,"&lt;="&amp;N$49),"")))</f>
        <v/>
      </c>
      <c r="O148" s="140">
        <f>IF(O$49="","",IF($B148="","",IFERROR(SUMIFS('Dvd Calendar'!$E$202:$CZ$202,'Dvd Calendar'!$E$201:$CZ$201,"&gt;"&amp;O$48,'Dvd Calendar'!$E$201:$CZ$201,"&lt;="&amp;O$49),"")))</f>
        <v/>
      </c>
      <c r="P148" s="140">
        <f>IF(P$49="","",IF($B148="","",IFERROR(SUMIFS('Dvd Calendar'!$E$202:$CZ$202,'Dvd Calendar'!$E$201:$CZ$201,"&gt;"&amp;P$48,'Dvd Calendar'!$E$201:$CZ$201,"&lt;="&amp;P$49),"")))</f>
        <v/>
      </c>
      <c r="Q148" s="140">
        <f>IF(Q$49="","",IF($B148="","",IFERROR(SUMIFS('Dvd Calendar'!$E$202:$CZ$202,'Dvd Calendar'!$E$201:$CZ$201,"&gt;"&amp;Q$48,'Dvd Calendar'!$E$201:$CZ$201,"&lt;="&amp;Q$49),"")))</f>
        <v/>
      </c>
      <c r="R148" s="140">
        <f>IF(R$49="","",IF($B148="","",IFERROR(SUMIFS('Dvd Calendar'!$E$202:$CZ$202,'Dvd Calendar'!$E$201:$CZ$201,"&gt;"&amp;R$48,'Dvd Calendar'!$E$201:$CZ$201,"&lt;="&amp;R$49),"")))</f>
        <v/>
      </c>
    </row>
    <row r="149">
      <c r="B149" s="5">
        <f>IF(AS51!$C$104="","",AS51!$C$104)</f>
        <v/>
      </c>
      <c r="C149" s="140">
        <f>IF(C$49="","",IF($B149="","",IFERROR(SUMIFS('Dvd Calendar'!$E$204:$CZ$204,'Dvd Calendar'!$E$203:$CZ$203,"&gt;"&amp;C$48,'Dvd Calendar'!$E$203:$CZ$203,"&lt;="&amp;C$49),"")))</f>
        <v/>
      </c>
      <c r="D149" s="140">
        <f>IF(D$49="","",IF($B149="","",IFERROR(SUMIFS('Dvd Calendar'!$E$204:$CZ$204,'Dvd Calendar'!$E$203:$CZ$203,"&gt;"&amp;D$48,'Dvd Calendar'!$E$203:$CZ$203,"&lt;="&amp;D$49),"")))</f>
        <v/>
      </c>
      <c r="E149" s="140">
        <f>IF(E$49="","",IF($B149="","",IFERROR(SUMIFS('Dvd Calendar'!$E$204:$CZ$204,'Dvd Calendar'!$E$203:$CZ$203,"&gt;"&amp;E$48,'Dvd Calendar'!$E$203:$CZ$203,"&lt;="&amp;E$49),"")))</f>
        <v/>
      </c>
      <c r="F149" s="140">
        <f>IF(F$49="","",IF($B149="","",IFERROR(SUMIFS('Dvd Calendar'!$E$204:$CZ$204,'Dvd Calendar'!$E$203:$CZ$203,"&gt;"&amp;F$48,'Dvd Calendar'!$E$203:$CZ$203,"&lt;="&amp;F$49),"")))</f>
        <v/>
      </c>
      <c r="G149" s="140">
        <f>IF(G$49="","",IF($B149="","",IFERROR(SUMIFS('Dvd Calendar'!$E$204:$CZ$204,'Dvd Calendar'!$E$203:$CZ$203,"&gt;"&amp;G$48,'Dvd Calendar'!$E$203:$CZ$203,"&lt;="&amp;G$49),"")))</f>
        <v/>
      </c>
      <c r="H149" s="140">
        <f>IF(H$49="","",IF($B149="","",IFERROR(SUMIFS('Dvd Calendar'!$E$204:$CZ$204,'Dvd Calendar'!$E$203:$CZ$203,"&gt;"&amp;H$48,'Dvd Calendar'!$E$203:$CZ$203,"&lt;="&amp;H$49),"")))</f>
        <v/>
      </c>
      <c r="I149" s="140">
        <f>IF(I$49="","",IF($B149="","",IFERROR(SUMIFS('Dvd Calendar'!$E$204:$CZ$204,'Dvd Calendar'!$E$203:$CZ$203,"&gt;"&amp;I$48,'Dvd Calendar'!$E$203:$CZ$203,"&lt;="&amp;I$49),"")))</f>
        <v/>
      </c>
      <c r="J149" s="140">
        <f>IF(J$49="","",IF($B149="","",IFERROR(SUMIFS('Dvd Calendar'!$E$204:$CZ$204,'Dvd Calendar'!$E$203:$CZ$203,"&gt;"&amp;J$48,'Dvd Calendar'!$E$203:$CZ$203,"&lt;="&amp;J$49),"")))</f>
        <v/>
      </c>
      <c r="K149" s="140">
        <f>IF(K$49="","",IF($B149="","",IFERROR(SUMIFS('Dvd Calendar'!$E$204:$CZ$204,'Dvd Calendar'!$E$203:$CZ$203,"&gt;"&amp;K$48,'Dvd Calendar'!$E$203:$CZ$203,"&lt;="&amp;K$49),"")))</f>
        <v/>
      </c>
      <c r="L149" s="140">
        <f>IF(L$49="","",IF($B149="","",IFERROR(SUMIFS('Dvd Calendar'!$E$204:$CZ$204,'Dvd Calendar'!$E$203:$CZ$203,"&gt;"&amp;L$48,'Dvd Calendar'!$E$203:$CZ$203,"&lt;="&amp;L$49),"")))</f>
        <v/>
      </c>
      <c r="M149" s="140">
        <f>IF(M$49="","",IF($B149="","",IFERROR(SUMIFS('Dvd Calendar'!$E$204:$CZ$204,'Dvd Calendar'!$E$203:$CZ$203,"&gt;"&amp;M$48,'Dvd Calendar'!$E$203:$CZ$203,"&lt;="&amp;M$49),"")))</f>
        <v/>
      </c>
      <c r="N149" s="140">
        <f>IF(N$49="","",IF($B149="","",IFERROR(SUMIFS('Dvd Calendar'!$E$204:$CZ$204,'Dvd Calendar'!$E$203:$CZ$203,"&gt;"&amp;N$48,'Dvd Calendar'!$E$203:$CZ$203,"&lt;="&amp;N$49),"")))</f>
        <v/>
      </c>
      <c r="O149" s="140">
        <f>IF(O$49="","",IF($B149="","",IFERROR(SUMIFS('Dvd Calendar'!$E$204:$CZ$204,'Dvd Calendar'!$E$203:$CZ$203,"&gt;"&amp;O$48,'Dvd Calendar'!$E$203:$CZ$203,"&lt;="&amp;O$49),"")))</f>
        <v/>
      </c>
      <c r="P149" s="140">
        <f>IF(P$49="","",IF($B149="","",IFERROR(SUMIFS('Dvd Calendar'!$E$204:$CZ$204,'Dvd Calendar'!$E$203:$CZ$203,"&gt;"&amp;P$48,'Dvd Calendar'!$E$203:$CZ$203,"&lt;="&amp;P$49),"")))</f>
        <v/>
      </c>
      <c r="Q149" s="140">
        <f>IF(Q$49="","",IF($B149="","",IFERROR(SUMIFS('Dvd Calendar'!$E$204:$CZ$204,'Dvd Calendar'!$E$203:$CZ$203,"&gt;"&amp;Q$48,'Dvd Calendar'!$E$203:$CZ$203,"&lt;="&amp;Q$49),"")))</f>
        <v/>
      </c>
      <c r="R149" s="140">
        <f>IF(R$49="","",IF($B149="","",IFERROR(SUMIFS('Dvd Calendar'!$E$204:$CZ$204,'Dvd Calendar'!$E$203:$CZ$203,"&gt;"&amp;R$48,'Dvd Calendar'!$E$203:$CZ$203,"&lt;="&amp;R$49),"")))</f>
        <v/>
      </c>
    </row>
    <row r="150">
      <c r="B150" s="5">
        <f>IF(AS51!$C$105="","",AS51!$C$105)</f>
        <v/>
      </c>
      <c r="C150" s="140">
        <f>IF(C$49="","",IF($B150="","",IFERROR(SUMIFS('Dvd Calendar'!$E$206:$CZ$206,'Dvd Calendar'!$E$205:$CZ$205,"&gt;"&amp;C$48,'Dvd Calendar'!$E$205:$CZ$205,"&lt;="&amp;C$49),"")))</f>
        <v/>
      </c>
      <c r="D150" s="140">
        <f>IF(D$49="","",IF($B150="","",IFERROR(SUMIFS('Dvd Calendar'!$E$206:$CZ$206,'Dvd Calendar'!$E$205:$CZ$205,"&gt;"&amp;D$48,'Dvd Calendar'!$E$205:$CZ$205,"&lt;="&amp;D$49),"")))</f>
        <v/>
      </c>
      <c r="E150" s="140">
        <f>IF(E$49="","",IF($B150="","",IFERROR(SUMIFS('Dvd Calendar'!$E$206:$CZ$206,'Dvd Calendar'!$E$205:$CZ$205,"&gt;"&amp;E$48,'Dvd Calendar'!$E$205:$CZ$205,"&lt;="&amp;E$49),"")))</f>
        <v/>
      </c>
      <c r="F150" s="140">
        <f>IF(F$49="","",IF($B150="","",IFERROR(SUMIFS('Dvd Calendar'!$E$206:$CZ$206,'Dvd Calendar'!$E$205:$CZ$205,"&gt;"&amp;F$48,'Dvd Calendar'!$E$205:$CZ$205,"&lt;="&amp;F$49),"")))</f>
        <v/>
      </c>
      <c r="G150" s="140">
        <f>IF(G$49="","",IF($B150="","",IFERROR(SUMIFS('Dvd Calendar'!$E$206:$CZ$206,'Dvd Calendar'!$E$205:$CZ$205,"&gt;"&amp;G$48,'Dvd Calendar'!$E$205:$CZ$205,"&lt;="&amp;G$49),"")))</f>
        <v/>
      </c>
      <c r="H150" s="140">
        <f>IF(H$49="","",IF($B150="","",IFERROR(SUMIFS('Dvd Calendar'!$E$206:$CZ$206,'Dvd Calendar'!$E$205:$CZ$205,"&gt;"&amp;H$48,'Dvd Calendar'!$E$205:$CZ$205,"&lt;="&amp;H$49),"")))</f>
        <v/>
      </c>
      <c r="I150" s="140">
        <f>IF(I$49="","",IF($B150="","",IFERROR(SUMIFS('Dvd Calendar'!$E$206:$CZ$206,'Dvd Calendar'!$E$205:$CZ$205,"&gt;"&amp;I$48,'Dvd Calendar'!$E$205:$CZ$205,"&lt;="&amp;I$49),"")))</f>
        <v/>
      </c>
      <c r="J150" s="140">
        <f>IF(J$49="","",IF($B150="","",IFERROR(SUMIFS('Dvd Calendar'!$E$206:$CZ$206,'Dvd Calendar'!$E$205:$CZ$205,"&gt;"&amp;J$48,'Dvd Calendar'!$E$205:$CZ$205,"&lt;="&amp;J$49),"")))</f>
        <v/>
      </c>
      <c r="K150" s="140">
        <f>IF(K$49="","",IF($B150="","",IFERROR(SUMIFS('Dvd Calendar'!$E$206:$CZ$206,'Dvd Calendar'!$E$205:$CZ$205,"&gt;"&amp;K$48,'Dvd Calendar'!$E$205:$CZ$205,"&lt;="&amp;K$49),"")))</f>
        <v/>
      </c>
      <c r="L150" s="140">
        <f>IF(L$49="","",IF($B150="","",IFERROR(SUMIFS('Dvd Calendar'!$E$206:$CZ$206,'Dvd Calendar'!$E$205:$CZ$205,"&gt;"&amp;L$48,'Dvd Calendar'!$E$205:$CZ$205,"&lt;="&amp;L$49),"")))</f>
        <v/>
      </c>
      <c r="M150" s="140">
        <f>IF(M$49="","",IF($B150="","",IFERROR(SUMIFS('Dvd Calendar'!$E$206:$CZ$206,'Dvd Calendar'!$E$205:$CZ$205,"&gt;"&amp;M$48,'Dvd Calendar'!$E$205:$CZ$205,"&lt;="&amp;M$49),"")))</f>
        <v/>
      </c>
      <c r="N150" s="140">
        <f>IF(N$49="","",IF($B150="","",IFERROR(SUMIFS('Dvd Calendar'!$E$206:$CZ$206,'Dvd Calendar'!$E$205:$CZ$205,"&gt;"&amp;N$48,'Dvd Calendar'!$E$205:$CZ$205,"&lt;="&amp;N$49),"")))</f>
        <v/>
      </c>
      <c r="O150" s="140">
        <f>IF(O$49="","",IF($B150="","",IFERROR(SUMIFS('Dvd Calendar'!$E$206:$CZ$206,'Dvd Calendar'!$E$205:$CZ$205,"&gt;"&amp;O$48,'Dvd Calendar'!$E$205:$CZ$205,"&lt;="&amp;O$49),"")))</f>
        <v/>
      </c>
      <c r="P150" s="140">
        <f>IF(P$49="","",IF($B150="","",IFERROR(SUMIFS('Dvd Calendar'!$E$206:$CZ$206,'Dvd Calendar'!$E$205:$CZ$205,"&gt;"&amp;P$48,'Dvd Calendar'!$E$205:$CZ$205,"&lt;="&amp;P$49),"")))</f>
        <v/>
      </c>
      <c r="Q150" s="140">
        <f>IF(Q$49="","",IF($B150="","",IFERROR(SUMIFS('Dvd Calendar'!$E$206:$CZ$206,'Dvd Calendar'!$E$205:$CZ$205,"&gt;"&amp;Q$48,'Dvd Calendar'!$E$205:$CZ$205,"&lt;="&amp;Q$49),"")))</f>
        <v/>
      </c>
      <c r="R150" s="140">
        <f>IF(R$49="","",IF($B150="","",IFERROR(SUMIFS('Dvd Calendar'!$E$206:$CZ$206,'Dvd Calendar'!$E$205:$CZ$205,"&gt;"&amp;R$48,'Dvd Calendar'!$E$205:$CZ$205,"&lt;="&amp;R$49),"")))</f>
        <v/>
      </c>
    </row>
    <row r="151">
      <c r="B151" s="5">
        <f>IF(AS51!$C$106="","",AS51!$C$106)</f>
        <v/>
      </c>
      <c r="C151" s="140">
        <f>IF(C$49="","",IF($B151="","",IFERROR(SUMIFS('Dvd Calendar'!$E$208:$CZ$208,'Dvd Calendar'!$E$207:$CZ$207,"&gt;"&amp;C$48,'Dvd Calendar'!$E$207:$CZ$207,"&lt;="&amp;C$49),"")))</f>
        <v/>
      </c>
      <c r="D151" s="140">
        <f>IF(D$49="","",IF($B151="","",IFERROR(SUMIFS('Dvd Calendar'!$E$208:$CZ$208,'Dvd Calendar'!$E$207:$CZ$207,"&gt;"&amp;D$48,'Dvd Calendar'!$E$207:$CZ$207,"&lt;="&amp;D$49),"")))</f>
        <v/>
      </c>
      <c r="E151" s="140">
        <f>IF(E$49="","",IF($B151="","",IFERROR(SUMIFS('Dvd Calendar'!$E$208:$CZ$208,'Dvd Calendar'!$E$207:$CZ$207,"&gt;"&amp;E$48,'Dvd Calendar'!$E$207:$CZ$207,"&lt;="&amp;E$49),"")))</f>
        <v/>
      </c>
      <c r="F151" s="140">
        <f>IF(F$49="","",IF($B151="","",IFERROR(SUMIFS('Dvd Calendar'!$E$208:$CZ$208,'Dvd Calendar'!$E$207:$CZ$207,"&gt;"&amp;F$48,'Dvd Calendar'!$E$207:$CZ$207,"&lt;="&amp;F$49),"")))</f>
        <v/>
      </c>
      <c r="G151" s="140">
        <f>IF(G$49="","",IF($B151="","",IFERROR(SUMIFS('Dvd Calendar'!$E$208:$CZ$208,'Dvd Calendar'!$E$207:$CZ$207,"&gt;"&amp;G$48,'Dvd Calendar'!$E$207:$CZ$207,"&lt;="&amp;G$49),"")))</f>
        <v/>
      </c>
      <c r="H151" s="140">
        <f>IF(H$49="","",IF($B151="","",IFERROR(SUMIFS('Dvd Calendar'!$E$208:$CZ$208,'Dvd Calendar'!$E$207:$CZ$207,"&gt;"&amp;H$48,'Dvd Calendar'!$E$207:$CZ$207,"&lt;="&amp;H$49),"")))</f>
        <v/>
      </c>
      <c r="I151" s="140">
        <f>IF(I$49="","",IF($B151="","",IFERROR(SUMIFS('Dvd Calendar'!$E$208:$CZ$208,'Dvd Calendar'!$E$207:$CZ$207,"&gt;"&amp;I$48,'Dvd Calendar'!$E$207:$CZ$207,"&lt;="&amp;I$49),"")))</f>
        <v/>
      </c>
      <c r="J151" s="140">
        <f>IF(J$49="","",IF($B151="","",IFERROR(SUMIFS('Dvd Calendar'!$E$208:$CZ$208,'Dvd Calendar'!$E$207:$CZ$207,"&gt;"&amp;J$48,'Dvd Calendar'!$E$207:$CZ$207,"&lt;="&amp;J$49),"")))</f>
        <v/>
      </c>
      <c r="K151" s="140">
        <f>IF(K$49="","",IF($B151="","",IFERROR(SUMIFS('Dvd Calendar'!$E$208:$CZ$208,'Dvd Calendar'!$E$207:$CZ$207,"&gt;"&amp;K$48,'Dvd Calendar'!$E$207:$CZ$207,"&lt;="&amp;K$49),"")))</f>
        <v/>
      </c>
      <c r="L151" s="140">
        <f>IF(L$49="","",IF($B151="","",IFERROR(SUMIFS('Dvd Calendar'!$E$208:$CZ$208,'Dvd Calendar'!$E$207:$CZ$207,"&gt;"&amp;L$48,'Dvd Calendar'!$E$207:$CZ$207,"&lt;="&amp;L$49),"")))</f>
        <v/>
      </c>
      <c r="M151" s="140">
        <f>IF(M$49="","",IF($B151="","",IFERROR(SUMIFS('Dvd Calendar'!$E$208:$CZ$208,'Dvd Calendar'!$E$207:$CZ$207,"&gt;"&amp;M$48,'Dvd Calendar'!$E$207:$CZ$207,"&lt;="&amp;M$49),"")))</f>
        <v/>
      </c>
      <c r="N151" s="140">
        <f>IF(N$49="","",IF($B151="","",IFERROR(SUMIFS('Dvd Calendar'!$E$208:$CZ$208,'Dvd Calendar'!$E$207:$CZ$207,"&gt;"&amp;N$48,'Dvd Calendar'!$E$207:$CZ$207,"&lt;="&amp;N$49),"")))</f>
        <v/>
      </c>
      <c r="O151" s="140">
        <f>IF(O$49="","",IF($B151="","",IFERROR(SUMIFS('Dvd Calendar'!$E$208:$CZ$208,'Dvd Calendar'!$E$207:$CZ$207,"&gt;"&amp;O$48,'Dvd Calendar'!$E$207:$CZ$207,"&lt;="&amp;O$49),"")))</f>
        <v/>
      </c>
      <c r="P151" s="140">
        <f>IF(P$49="","",IF($B151="","",IFERROR(SUMIFS('Dvd Calendar'!$E$208:$CZ$208,'Dvd Calendar'!$E$207:$CZ$207,"&gt;"&amp;P$48,'Dvd Calendar'!$E$207:$CZ$207,"&lt;="&amp;P$49),"")))</f>
        <v/>
      </c>
      <c r="Q151" s="140">
        <f>IF(Q$49="","",IF($B151="","",IFERROR(SUMIFS('Dvd Calendar'!$E$208:$CZ$208,'Dvd Calendar'!$E$207:$CZ$207,"&gt;"&amp;Q$48,'Dvd Calendar'!$E$207:$CZ$207,"&lt;="&amp;Q$49),"")))</f>
        <v/>
      </c>
      <c r="R151" s="140">
        <f>IF(R$49="","",IF($B151="","",IFERROR(SUMIFS('Dvd Calendar'!$E$208:$CZ$208,'Dvd Calendar'!$E$207:$CZ$207,"&gt;"&amp;R$48,'Dvd Calendar'!$E$207:$CZ$207,"&lt;="&amp;R$49),"")))</f>
        <v/>
      </c>
    </row>
    <row r="152">
      <c r="B152" s="5">
        <f>IF(AS51!$C$107="","",AS51!$C$107)</f>
        <v/>
      </c>
      <c r="C152" s="140">
        <f>IF(C$49="","",IF($B152="","",IFERROR(SUMIFS('Dvd Calendar'!$E$210:$CZ$210,'Dvd Calendar'!$E$209:$CZ$209,"&gt;"&amp;C$48,'Dvd Calendar'!$E$209:$CZ$209,"&lt;="&amp;C$49),"")))</f>
        <v/>
      </c>
      <c r="D152" s="140">
        <f>IF(D$49="","",IF($B152="","",IFERROR(SUMIFS('Dvd Calendar'!$E$210:$CZ$210,'Dvd Calendar'!$E$209:$CZ$209,"&gt;"&amp;D$48,'Dvd Calendar'!$E$209:$CZ$209,"&lt;="&amp;D$49),"")))</f>
        <v/>
      </c>
      <c r="E152" s="140">
        <f>IF(E$49="","",IF($B152="","",IFERROR(SUMIFS('Dvd Calendar'!$E$210:$CZ$210,'Dvd Calendar'!$E$209:$CZ$209,"&gt;"&amp;E$48,'Dvd Calendar'!$E$209:$CZ$209,"&lt;="&amp;E$49),"")))</f>
        <v/>
      </c>
      <c r="F152" s="140">
        <f>IF(F$49="","",IF($B152="","",IFERROR(SUMIFS('Dvd Calendar'!$E$210:$CZ$210,'Dvd Calendar'!$E$209:$CZ$209,"&gt;"&amp;F$48,'Dvd Calendar'!$E$209:$CZ$209,"&lt;="&amp;F$49),"")))</f>
        <v/>
      </c>
      <c r="G152" s="140">
        <f>IF(G$49="","",IF($B152="","",IFERROR(SUMIFS('Dvd Calendar'!$E$210:$CZ$210,'Dvd Calendar'!$E$209:$CZ$209,"&gt;"&amp;G$48,'Dvd Calendar'!$E$209:$CZ$209,"&lt;="&amp;G$49),"")))</f>
        <v/>
      </c>
      <c r="H152" s="140">
        <f>IF(H$49="","",IF($B152="","",IFERROR(SUMIFS('Dvd Calendar'!$E$210:$CZ$210,'Dvd Calendar'!$E$209:$CZ$209,"&gt;"&amp;H$48,'Dvd Calendar'!$E$209:$CZ$209,"&lt;="&amp;H$49),"")))</f>
        <v/>
      </c>
      <c r="I152" s="140">
        <f>IF(I$49="","",IF($B152="","",IFERROR(SUMIFS('Dvd Calendar'!$E$210:$CZ$210,'Dvd Calendar'!$E$209:$CZ$209,"&gt;"&amp;I$48,'Dvd Calendar'!$E$209:$CZ$209,"&lt;="&amp;I$49),"")))</f>
        <v/>
      </c>
      <c r="J152" s="140">
        <f>IF(J$49="","",IF($B152="","",IFERROR(SUMIFS('Dvd Calendar'!$E$210:$CZ$210,'Dvd Calendar'!$E$209:$CZ$209,"&gt;"&amp;J$48,'Dvd Calendar'!$E$209:$CZ$209,"&lt;="&amp;J$49),"")))</f>
        <v/>
      </c>
      <c r="K152" s="140">
        <f>IF(K$49="","",IF($B152="","",IFERROR(SUMIFS('Dvd Calendar'!$E$210:$CZ$210,'Dvd Calendar'!$E$209:$CZ$209,"&gt;"&amp;K$48,'Dvd Calendar'!$E$209:$CZ$209,"&lt;="&amp;K$49),"")))</f>
        <v/>
      </c>
      <c r="L152" s="140">
        <f>IF(L$49="","",IF($B152="","",IFERROR(SUMIFS('Dvd Calendar'!$E$210:$CZ$210,'Dvd Calendar'!$E$209:$CZ$209,"&gt;"&amp;L$48,'Dvd Calendar'!$E$209:$CZ$209,"&lt;="&amp;L$49),"")))</f>
        <v/>
      </c>
      <c r="M152" s="140">
        <f>IF(M$49="","",IF($B152="","",IFERROR(SUMIFS('Dvd Calendar'!$E$210:$CZ$210,'Dvd Calendar'!$E$209:$CZ$209,"&gt;"&amp;M$48,'Dvd Calendar'!$E$209:$CZ$209,"&lt;="&amp;M$49),"")))</f>
        <v/>
      </c>
      <c r="N152" s="140">
        <f>IF(N$49="","",IF($B152="","",IFERROR(SUMIFS('Dvd Calendar'!$E$210:$CZ$210,'Dvd Calendar'!$E$209:$CZ$209,"&gt;"&amp;N$48,'Dvd Calendar'!$E$209:$CZ$209,"&lt;="&amp;N$49),"")))</f>
        <v/>
      </c>
      <c r="O152" s="140">
        <f>IF(O$49="","",IF($B152="","",IFERROR(SUMIFS('Dvd Calendar'!$E$210:$CZ$210,'Dvd Calendar'!$E$209:$CZ$209,"&gt;"&amp;O$48,'Dvd Calendar'!$E$209:$CZ$209,"&lt;="&amp;O$49),"")))</f>
        <v/>
      </c>
      <c r="P152" s="140">
        <f>IF(P$49="","",IF($B152="","",IFERROR(SUMIFS('Dvd Calendar'!$E$210:$CZ$210,'Dvd Calendar'!$E$209:$CZ$209,"&gt;"&amp;P$48,'Dvd Calendar'!$E$209:$CZ$209,"&lt;="&amp;P$49),"")))</f>
        <v/>
      </c>
      <c r="Q152" s="140">
        <f>IF(Q$49="","",IF($B152="","",IFERROR(SUMIFS('Dvd Calendar'!$E$210:$CZ$210,'Dvd Calendar'!$E$209:$CZ$209,"&gt;"&amp;Q$48,'Dvd Calendar'!$E$209:$CZ$209,"&lt;="&amp;Q$49),"")))</f>
        <v/>
      </c>
      <c r="R152" s="140">
        <f>IF(R$49="","",IF($B152="","",IFERROR(SUMIFS('Dvd Calendar'!$E$210:$CZ$210,'Dvd Calendar'!$E$209:$CZ$209,"&gt;"&amp;R$48,'Dvd Calendar'!$E$209:$CZ$209,"&lt;="&amp;R$49),"")))</f>
        <v/>
      </c>
    </row>
    <row r="153">
      <c r="B153" s="5">
        <f>IF(AS51!$C$108="","",AS51!$C$108)</f>
        <v/>
      </c>
      <c r="C153" s="140">
        <f>IF(C$49="","",IF($B153="","",IFERROR(SUMIFS('Dvd Calendar'!$E$212:$CZ$212,'Dvd Calendar'!$E$211:$CZ$211,"&gt;"&amp;C$48,'Dvd Calendar'!$E$211:$CZ$211,"&lt;="&amp;C$49),"")))</f>
        <v/>
      </c>
      <c r="D153" s="140">
        <f>IF(D$49="","",IF($B153="","",IFERROR(SUMIFS('Dvd Calendar'!$E$212:$CZ$212,'Dvd Calendar'!$E$211:$CZ$211,"&gt;"&amp;D$48,'Dvd Calendar'!$E$211:$CZ$211,"&lt;="&amp;D$49),"")))</f>
        <v/>
      </c>
      <c r="E153" s="140">
        <f>IF(E$49="","",IF($B153="","",IFERROR(SUMIFS('Dvd Calendar'!$E$212:$CZ$212,'Dvd Calendar'!$E$211:$CZ$211,"&gt;"&amp;E$48,'Dvd Calendar'!$E$211:$CZ$211,"&lt;="&amp;E$49),"")))</f>
        <v/>
      </c>
      <c r="F153" s="140">
        <f>IF(F$49="","",IF($B153="","",IFERROR(SUMIFS('Dvd Calendar'!$E$212:$CZ$212,'Dvd Calendar'!$E$211:$CZ$211,"&gt;"&amp;F$48,'Dvd Calendar'!$E$211:$CZ$211,"&lt;="&amp;F$49),"")))</f>
        <v/>
      </c>
      <c r="G153" s="140">
        <f>IF(G$49="","",IF($B153="","",IFERROR(SUMIFS('Dvd Calendar'!$E$212:$CZ$212,'Dvd Calendar'!$E$211:$CZ$211,"&gt;"&amp;G$48,'Dvd Calendar'!$E$211:$CZ$211,"&lt;="&amp;G$49),"")))</f>
        <v/>
      </c>
      <c r="H153" s="140">
        <f>IF(H$49="","",IF($B153="","",IFERROR(SUMIFS('Dvd Calendar'!$E$212:$CZ$212,'Dvd Calendar'!$E$211:$CZ$211,"&gt;"&amp;H$48,'Dvd Calendar'!$E$211:$CZ$211,"&lt;="&amp;H$49),"")))</f>
        <v/>
      </c>
      <c r="I153" s="140">
        <f>IF(I$49="","",IF($B153="","",IFERROR(SUMIFS('Dvd Calendar'!$E$212:$CZ$212,'Dvd Calendar'!$E$211:$CZ$211,"&gt;"&amp;I$48,'Dvd Calendar'!$E$211:$CZ$211,"&lt;="&amp;I$49),"")))</f>
        <v/>
      </c>
      <c r="J153" s="140">
        <f>IF(J$49="","",IF($B153="","",IFERROR(SUMIFS('Dvd Calendar'!$E$212:$CZ$212,'Dvd Calendar'!$E$211:$CZ$211,"&gt;"&amp;J$48,'Dvd Calendar'!$E$211:$CZ$211,"&lt;="&amp;J$49),"")))</f>
        <v/>
      </c>
      <c r="K153" s="140">
        <f>IF(K$49="","",IF($B153="","",IFERROR(SUMIFS('Dvd Calendar'!$E$212:$CZ$212,'Dvd Calendar'!$E$211:$CZ$211,"&gt;"&amp;K$48,'Dvd Calendar'!$E$211:$CZ$211,"&lt;="&amp;K$49),"")))</f>
        <v/>
      </c>
      <c r="L153" s="140">
        <f>IF(L$49="","",IF($B153="","",IFERROR(SUMIFS('Dvd Calendar'!$E$212:$CZ$212,'Dvd Calendar'!$E$211:$CZ$211,"&gt;"&amp;L$48,'Dvd Calendar'!$E$211:$CZ$211,"&lt;="&amp;L$49),"")))</f>
        <v/>
      </c>
      <c r="M153" s="140">
        <f>IF(M$49="","",IF($B153="","",IFERROR(SUMIFS('Dvd Calendar'!$E$212:$CZ$212,'Dvd Calendar'!$E$211:$CZ$211,"&gt;"&amp;M$48,'Dvd Calendar'!$E$211:$CZ$211,"&lt;="&amp;M$49),"")))</f>
        <v/>
      </c>
      <c r="N153" s="140">
        <f>IF(N$49="","",IF($B153="","",IFERROR(SUMIFS('Dvd Calendar'!$E$212:$CZ$212,'Dvd Calendar'!$E$211:$CZ$211,"&gt;"&amp;N$48,'Dvd Calendar'!$E$211:$CZ$211,"&lt;="&amp;N$49),"")))</f>
        <v/>
      </c>
      <c r="O153" s="140">
        <f>IF(O$49="","",IF($B153="","",IFERROR(SUMIFS('Dvd Calendar'!$E$212:$CZ$212,'Dvd Calendar'!$E$211:$CZ$211,"&gt;"&amp;O$48,'Dvd Calendar'!$E$211:$CZ$211,"&lt;="&amp;O$49),"")))</f>
        <v/>
      </c>
      <c r="P153" s="140">
        <f>IF(P$49="","",IF($B153="","",IFERROR(SUMIFS('Dvd Calendar'!$E$212:$CZ$212,'Dvd Calendar'!$E$211:$CZ$211,"&gt;"&amp;P$48,'Dvd Calendar'!$E$211:$CZ$211,"&lt;="&amp;P$49),"")))</f>
        <v/>
      </c>
      <c r="Q153" s="140">
        <f>IF(Q$49="","",IF($B153="","",IFERROR(SUMIFS('Dvd Calendar'!$E$212:$CZ$212,'Dvd Calendar'!$E$211:$CZ$211,"&gt;"&amp;Q$48,'Dvd Calendar'!$E$211:$CZ$211,"&lt;="&amp;Q$49),"")))</f>
        <v/>
      </c>
      <c r="R153" s="140">
        <f>IF(R$49="","",IF($B153="","",IFERROR(SUMIFS('Dvd Calendar'!$E$212:$CZ$212,'Dvd Calendar'!$E$211:$CZ$211,"&gt;"&amp;R$48,'Dvd Calendar'!$E$211:$CZ$211,"&lt;="&amp;R$49),"")))</f>
        <v/>
      </c>
    </row>
    <row r="154">
      <c r="B154" s="5">
        <f>IF(AS51!$C$109="","",AS51!$C$109)</f>
        <v/>
      </c>
      <c r="C154" s="140">
        <f>IF(C$49="","",IF($B154="","",IFERROR(SUMIFS('Dvd Calendar'!$E$214:$CZ$214,'Dvd Calendar'!$E$213:$CZ$213,"&gt;"&amp;C$48,'Dvd Calendar'!$E$213:$CZ$213,"&lt;="&amp;C$49),"")))</f>
        <v/>
      </c>
      <c r="D154" s="140">
        <f>IF(D$49="","",IF($B154="","",IFERROR(SUMIFS('Dvd Calendar'!$E$214:$CZ$214,'Dvd Calendar'!$E$213:$CZ$213,"&gt;"&amp;D$48,'Dvd Calendar'!$E$213:$CZ$213,"&lt;="&amp;D$49),"")))</f>
        <v/>
      </c>
      <c r="E154" s="140">
        <f>IF(E$49="","",IF($B154="","",IFERROR(SUMIFS('Dvd Calendar'!$E$214:$CZ$214,'Dvd Calendar'!$E$213:$CZ$213,"&gt;"&amp;E$48,'Dvd Calendar'!$E$213:$CZ$213,"&lt;="&amp;E$49),"")))</f>
        <v/>
      </c>
      <c r="F154" s="140">
        <f>IF(F$49="","",IF($B154="","",IFERROR(SUMIFS('Dvd Calendar'!$E$214:$CZ$214,'Dvd Calendar'!$E$213:$CZ$213,"&gt;"&amp;F$48,'Dvd Calendar'!$E$213:$CZ$213,"&lt;="&amp;F$49),"")))</f>
        <v/>
      </c>
      <c r="G154" s="140">
        <f>IF(G$49="","",IF($B154="","",IFERROR(SUMIFS('Dvd Calendar'!$E$214:$CZ$214,'Dvd Calendar'!$E$213:$CZ$213,"&gt;"&amp;G$48,'Dvd Calendar'!$E$213:$CZ$213,"&lt;="&amp;G$49),"")))</f>
        <v/>
      </c>
      <c r="H154" s="140">
        <f>IF(H$49="","",IF($B154="","",IFERROR(SUMIFS('Dvd Calendar'!$E$214:$CZ$214,'Dvd Calendar'!$E$213:$CZ$213,"&gt;"&amp;H$48,'Dvd Calendar'!$E$213:$CZ$213,"&lt;="&amp;H$49),"")))</f>
        <v/>
      </c>
      <c r="I154" s="140">
        <f>IF(I$49="","",IF($B154="","",IFERROR(SUMIFS('Dvd Calendar'!$E$214:$CZ$214,'Dvd Calendar'!$E$213:$CZ$213,"&gt;"&amp;I$48,'Dvd Calendar'!$E$213:$CZ$213,"&lt;="&amp;I$49),"")))</f>
        <v/>
      </c>
      <c r="J154" s="140">
        <f>IF(J$49="","",IF($B154="","",IFERROR(SUMIFS('Dvd Calendar'!$E$214:$CZ$214,'Dvd Calendar'!$E$213:$CZ$213,"&gt;"&amp;J$48,'Dvd Calendar'!$E$213:$CZ$213,"&lt;="&amp;J$49),"")))</f>
        <v/>
      </c>
      <c r="K154" s="140">
        <f>IF(K$49="","",IF($B154="","",IFERROR(SUMIFS('Dvd Calendar'!$E$214:$CZ$214,'Dvd Calendar'!$E$213:$CZ$213,"&gt;"&amp;K$48,'Dvd Calendar'!$E$213:$CZ$213,"&lt;="&amp;K$49),"")))</f>
        <v/>
      </c>
      <c r="L154" s="140">
        <f>IF(L$49="","",IF($B154="","",IFERROR(SUMIFS('Dvd Calendar'!$E$214:$CZ$214,'Dvd Calendar'!$E$213:$CZ$213,"&gt;"&amp;L$48,'Dvd Calendar'!$E$213:$CZ$213,"&lt;="&amp;L$49),"")))</f>
        <v/>
      </c>
      <c r="M154" s="140">
        <f>IF(M$49="","",IF($B154="","",IFERROR(SUMIFS('Dvd Calendar'!$E$214:$CZ$214,'Dvd Calendar'!$E$213:$CZ$213,"&gt;"&amp;M$48,'Dvd Calendar'!$E$213:$CZ$213,"&lt;="&amp;M$49),"")))</f>
        <v/>
      </c>
      <c r="N154" s="140">
        <f>IF(N$49="","",IF($B154="","",IFERROR(SUMIFS('Dvd Calendar'!$E$214:$CZ$214,'Dvd Calendar'!$E$213:$CZ$213,"&gt;"&amp;N$48,'Dvd Calendar'!$E$213:$CZ$213,"&lt;="&amp;N$49),"")))</f>
        <v/>
      </c>
      <c r="O154" s="140">
        <f>IF(O$49="","",IF($B154="","",IFERROR(SUMIFS('Dvd Calendar'!$E$214:$CZ$214,'Dvd Calendar'!$E$213:$CZ$213,"&gt;"&amp;O$48,'Dvd Calendar'!$E$213:$CZ$213,"&lt;="&amp;O$49),"")))</f>
        <v/>
      </c>
      <c r="P154" s="140">
        <f>IF(P$49="","",IF($B154="","",IFERROR(SUMIFS('Dvd Calendar'!$E$214:$CZ$214,'Dvd Calendar'!$E$213:$CZ$213,"&gt;"&amp;P$48,'Dvd Calendar'!$E$213:$CZ$213,"&lt;="&amp;P$49),"")))</f>
        <v/>
      </c>
      <c r="Q154" s="140">
        <f>IF(Q$49="","",IF($B154="","",IFERROR(SUMIFS('Dvd Calendar'!$E$214:$CZ$214,'Dvd Calendar'!$E$213:$CZ$213,"&gt;"&amp;Q$48,'Dvd Calendar'!$E$213:$CZ$213,"&lt;="&amp;Q$49),"")))</f>
        <v/>
      </c>
      <c r="R154" s="140">
        <f>IF(R$49="","",IF($B154="","",IFERROR(SUMIFS('Dvd Calendar'!$E$214:$CZ$214,'Dvd Calendar'!$E$213:$CZ$213,"&gt;"&amp;R$48,'Dvd Calendar'!$E$213:$CZ$213,"&lt;="&amp;R$49),"")))</f>
        <v/>
      </c>
    </row>
    <row r="155">
      <c r="B155" s="5">
        <f>IF(AS51!$C$110="","",AS51!$C$110)</f>
        <v/>
      </c>
      <c r="C155" s="140">
        <f>IF(C$49="","",IF($B155="","",IFERROR(SUMIFS('Dvd Calendar'!$E$216:$CZ$216,'Dvd Calendar'!$E$215:$CZ$215,"&gt;"&amp;C$48,'Dvd Calendar'!$E$215:$CZ$215,"&lt;="&amp;C$49),"")))</f>
        <v/>
      </c>
      <c r="D155" s="140">
        <f>IF(D$49="","",IF($B155="","",IFERROR(SUMIFS('Dvd Calendar'!$E$216:$CZ$216,'Dvd Calendar'!$E$215:$CZ$215,"&gt;"&amp;D$48,'Dvd Calendar'!$E$215:$CZ$215,"&lt;="&amp;D$49),"")))</f>
        <v/>
      </c>
      <c r="E155" s="140">
        <f>IF(E$49="","",IF($B155="","",IFERROR(SUMIFS('Dvd Calendar'!$E$216:$CZ$216,'Dvd Calendar'!$E$215:$CZ$215,"&gt;"&amp;E$48,'Dvd Calendar'!$E$215:$CZ$215,"&lt;="&amp;E$49),"")))</f>
        <v/>
      </c>
      <c r="F155" s="140">
        <f>IF(F$49="","",IF($B155="","",IFERROR(SUMIFS('Dvd Calendar'!$E$216:$CZ$216,'Dvd Calendar'!$E$215:$CZ$215,"&gt;"&amp;F$48,'Dvd Calendar'!$E$215:$CZ$215,"&lt;="&amp;F$49),"")))</f>
        <v/>
      </c>
      <c r="G155" s="140">
        <f>IF(G$49="","",IF($B155="","",IFERROR(SUMIFS('Dvd Calendar'!$E$216:$CZ$216,'Dvd Calendar'!$E$215:$CZ$215,"&gt;"&amp;G$48,'Dvd Calendar'!$E$215:$CZ$215,"&lt;="&amp;G$49),"")))</f>
        <v/>
      </c>
      <c r="H155" s="140">
        <f>IF(H$49="","",IF($B155="","",IFERROR(SUMIFS('Dvd Calendar'!$E$216:$CZ$216,'Dvd Calendar'!$E$215:$CZ$215,"&gt;"&amp;H$48,'Dvd Calendar'!$E$215:$CZ$215,"&lt;="&amp;H$49),"")))</f>
        <v/>
      </c>
      <c r="I155" s="140">
        <f>IF(I$49="","",IF($B155="","",IFERROR(SUMIFS('Dvd Calendar'!$E$216:$CZ$216,'Dvd Calendar'!$E$215:$CZ$215,"&gt;"&amp;I$48,'Dvd Calendar'!$E$215:$CZ$215,"&lt;="&amp;I$49),"")))</f>
        <v/>
      </c>
      <c r="J155" s="140">
        <f>IF(J$49="","",IF($B155="","",IFERROR(SUMIFS('Dvd Calendar'!$E$216:$CZ$216,'Dvd Calendar'!$E$215:$CZ$215,"&gt;"&amp;J$48,'Dvd Calendar'!$E$215:$CZ$215,"&lt;="&amp;J$49),"")))</f>
        <v/>
      </c>
      <c r="K155" s="140">
        <f>IF(K$49="","",IF($B155="","",IFERROR(SUMIFS('Dvd Calendar'!$E$216:$CZ$216,'Dvd Calendar'!$E$215:$CZ$215,"&gt;"&amp;K$48,'Dvd Calendar'!$E$215:$CZ$215,"&lt;="&amp;K$49),"")))</f>
        <v/>
      </c>
      <c r="L155" s="140">
        <f>IF(L$49="","",IF($B155="","",IFERROR(SUMIFS('Dvd Calendar'!$E$216:$CZ$216,'Dvd Calendar'!$E$215:$CZ$215,"&gt;"&amp;L$48,'Dvd Calendar'!$E$215:$CZ$215,"&lt;="&amp;L$49),"")))</f>
        <v/>
      </c>
      <c r="M155" s="140">
        <f>IF(M$49="","",IF($B155="","",IFERROR(SUMIFS('Dvd Calendar'!$E$216:$CZ$216,'Dvd Calendar'!$E$215:$CZ$215,"&gt;"&amp;M$48,'Dvd Calendar'!$E$215:$CZ$215,"&lt;="&amp;M$49),"")))</f>
        <v/>
      </c>
      <c r="N155" s="140">
        <f>IF(N$49="","",IF($B155="","",IFERROR(SUMIFS('Dvd Calendar'!$E$216:$CZ$216,'Dvd Calendar'!$E$215:$CZ$215,"&gt;"&amp;N$48,'Dvd Calendar'!$E$215:$CZ$215,"&lt;="&amp;N$49),"")))</f>
        <v/>
      </c>
      <c r="O155" s="140">
        <f>IF(O$49="","",IF($B155="","",IFERROR(SUMIFS('Dvd Calendar'!$E$216:$CZ$216,'Dvd Calendar'!$E$215:$CZ$215,"&gt;"&amp;O$48,'Dvd Calendar'!$E$215:$CZ$215,"&lt;="&amp;O$49),"")))</f>
        <v/>
      </c>
      <c r="P155" s="140">
        <f>IF(P$49="","",IF($B155="","",IFERROR(SUMIFS('Dvd Calendar'!$E$216:$CZ$216,'Dvd Calendar'!$E$215:$CZ$215,"&gt;"&amp;P$48,'Dvd Calendar'!$E$215:$CZ$215,"&lt;="&amp;P$49),"")))</f>
        <v/>
      </c>
      <c r="Q155" s="140">
        <f>IF(Q$49="","",IF($B155="","",IFERROR(SUMIFS('Dvd Calendar'!$E$216:$CZ$216,'Dvd Calendar'!$E$215:$CZ$215,"&gt;"&amp;Q$48,'Dvd Calendar'!$E$215:$CZ$215,"&lt;="&amp;Q$49),"")))</f>
        <v/>
      </c>
      <c r="R155" s="140">
        <f>IF(R$49="","",IF($B155="","",IFERROR(SUMIFS('Dvd Calendar'!$E$216:$CZ$216,'Dvd Calendar'!$E$215:$CZ$215,"&gt;"&amp;R$48,'Dvd Calendar'!$E$215:$CZ$215,"&lt;="&amp;R$49),"")))</f>
        <v/>
      </c>
    </row>
    <row r="156">
      <c r="B156" s="5">
        <f>IF(AS51!$C$111="","",AS51!$C$111)</f>
        <v/>
      </c>
      <c r="C156" s="140">
        <f>IF(C$49="","",IF($B156="","",IFERROR(SUMIFS('Dvd Calendar'!$E$218:$CZ$218,'Dvd Calendar'!$E$217:$CZ$217,"&gt;"&amp;C$48,'Dvd Calendar'!$E$217:$CZ$217,"&lt;="&amp;C$49),"")))</f>
        <v/>
      </c>
      <c r="D156" s="140">
        <f>IF(D$49="","",IF($B156="","",IFERROR(SUMIFS('Dvd Calendar'!$E$218:$CZ$218,'Dvd Calendar'!$E$217:$CZ$217,"&gt;"&amp;D$48,'Dvd Calendar'!$E$217:$CZ$217,"&lt;="&amp;D$49),"")))</f>
        <v/>
      </c>
      <c r="E156" s="140">
        <f>IF(E$49="","",IF($B156="","",IFERROR(SUMIFS('Dvd Calendar'!$E$218:$CZ$218,'Dvd Calendar'!$E$217:$CZ$217,"&gt;"&amp;E$48,'Dvd Calendar'!$E$217:$CZ$217,"&lt;="&amp;E$49),"")))</f>
        <v/>
      </c>
      <c r="F156" s="140">
        <f>IF(F$49="","",IF($B156="","",IFERROR(SUMIFS('Dvd Calendar'!$E$218:$CZ$218,'Dvd Calendar'!$E$217:$CZ$217,"&gt;"&amp;F$48,'Dvd Calendar'!$E$217:$CZ$217,"&lt;="&amp;F$49),"")))</f>
        <v/>
      </c>
      <c r="G156" s="140">
        <f>IF(G$49="","",IF($B156="","",IFERROR(SUMIFS('Dvd Calendar'!$E$218:$CZ$218,'Dvd Calendar'!$E$217:$CZ$217,"&gt;"&amp;G$48,'Dvd Calendar'!$E$217:$CZ$217,"&lt;="&amp;G$49),"")))</f>
        <v/>
      </c>
      <c r="H156" s="140">
        <f>IF(H$49="","",IF($B156="","",IFERROR(SUMIFS('Dvd Calendar'!$E$218:$CZ$218,'Dvd Calendar'!$E$217:$CZ$217,"&gt;"&amp;H$48,'Dvd Calendar'!$E$217:$CZ$217,"&lt;="&amp;H$49),"")))</f>
        <v/>
      </c>
      <c r="I156" s="140">
        <f>IF(I$49="","",IF($B156="","",IFERROR(SUMIFS('Dvd Calendar'!$E$218:$CZ$218,'Dvd Calendar'!$E$217:$CZ$217,"&gt;"&amp;I$48,'Dvd Calendar'!$E$217:$CZ$217,"&lt;="&amp;I$49),"")))</f>
        <v/>
      </c>
      <c r="J156" s="140">
        <f>IF(J$49="","",IF($B156="","",IFERROR(SUMIFS('Dvd Calendar'!$E$218:$CZ$218,'Dvd Calendar'!$E$217:$CZ$217,"&gt;"&amp;J$48,'Dvd Calendar'!$E$217:$CZ$217,"&lt;="&amp;J$49),"")))</f>
        <v/>
      </c>
      <c r="K156" s="140">
        <f>IF(K$49="","",IF($B156="","",IFERROR(SUMIFS('Dvd Calendar'!$E$218:$CZ$218,'Dvd Calendar'!$E$217:$CZ$217,"&gt;"&amp;K$48,'Dvd Calendar'!$E$217:$CZ$217,"&lt;="&amp;K$49),"")))</f>
        <v/>
      </c>
      <c r="L156" s="140">
        <f>IF(L$49="","",IF($B156="","",IFERROR(SUMIFS('Dvd Calendar'!$E$218:$CZ$218,'Dvd Calendar'!$E$217:$CZ$217,"&gt;"&amp;L$48,'Dvd Calendar'!$E$217:$CZ$217,"&lt;="&amp;L$49),"")))</f>
        <v/>
      </c>
      <c r="M156" s="140">
        <f>IF(M$49="","",IF($B156="","",IFERROR(SUMIFS('Dvd Calendar'!$E$218:$CZ$218,'Dvd Calendar'!$E$217:$CZ$217,"&gt;"&amp;M$48,'Dvd Calendar'!$E$217:$CZ$217,"&lt;="&amp;M$49),"")))</f>
        <v/>
      </c>
      <c r="N156" s="140">
        <f>IF(N$49="","",IF($B156="","",IFERROR(SUMIFS('Dvd Calendar'!$E$218:$CZ$218,'Dvd Calendar'!$E$217:$CZ$217,"&gt;"&amp;N$48,'Dvd Calendar'!$E$217:$CZ$217,"&lt;="&amp;N$49),"")))</f>
        <v/>
      </c>
      <c r="O156" s="140">
        <f>IF(O$49="","",IF($B156="","",IFERROR(SUMIFS('Dvd Calendar'!$E$218:$CZ$218,'Dvd Calendar'!$E$217:$CZ$217,"&gt;"&amp;O$48,'Dvd Calendar'!$E$217:$CZ$217,"&lt;="&amp;O$49),"")))</f>
        <v/>
      </c>
      <c r="P156" s="140">
        <f>IF(P$49="","",IF($B156="","",IFERROR(SUMIFS('Dvd Calendar'!$E$218:$CZ$218,'Dvd Calendar'!$E$217:$CZ$217,"&gt;"&amp;P$48,'Dvd Calendar'!$E$217:$CZ$217,"&lt;="&amp;P$49),"")))</f>
        <v/>
      </c>
      <c r="Q156" s="140">
        <f>IF(Q$49="","",IF($B156="","",IFERROR(SUMIFS('Dvd Calendar'!$E$218:$CZ$218,'Dvd Calendar'!$E$217:$CZ$217,"&gt;"&amp;Q$48,'Dvd Calendar'!$E$217:$CZ$217,"&lt;="&amp;Q$49),"")))</f>
        <v/>
      </c>
      <c r="R156" s="140">
        <f>IF(R$49="","",IF($B156="","",IFERROR(SUMIFS('Dvd Calendar'!$E$218:$CZ$218,'Dvd Calendar'!$E$217:$CZ$217,"&gt;"&amp;R$48,'Dvd Calendar'!$E$217:$CZ$217,"&lt;="&amp;R$49),"")))</f>
        <v/>
      </c>
    </row>
    <row r="157">
      <c r="B157" s="5">
        <f>IF(AS51!$C$112="","",AS51!$C$112)</f>
        <v/>
      </c>
      <c r="C157" s="140">
        <f>IF(C$49="","",IF($B157="","",IFERROR(SUMIFS('Dvd Calendar'!$E$220:$CZ$220,'Dvd Calendar'!$E$219:$CZ$219,"&gt;"&amp;C$48,'Dvd Calendar'!$E$219:$CZ$219,"&lt;="&amp;C$49),"")))</f>
        <v/>
      </c>
      <c r="D157" s="140">
        <f>IF(D$49="","",IF($B157="","",IFERROR(SUMIFS('Dvd Calendar'!$E$220:$CZ$220,'Dvd Calendar'!$E$219:$CZ$219,"&gt;"&amp;D$48,'Dvd Calendar'!$E$219:$CZ$219,"&lt;="&amp;D$49),"")))</f>
        <v/>
      </c>
      <c r="E157" s="140">
        <f>IF(E$49="","",IF($B157="","",IFERROR(SUMIFS('Dvd Calendar'!$E$220:$CZ$220,'Dvd Calendar'!$E$219:$CZ$219,"&gt;"&amp;E$48,'Dvd Calendar'!$E$219:$CZ$219,"&lt;="&amp;E$49),"")))</f>
        <v/>
      </c>
      <c r="F157" s="140">
        <f>IF(F$49="","",IF($B157="","",IFERROR(SUMIFS('Dvd Calendar'!$E$220:$CZ$220,'Dvd Calendar'!$E$219:$CZ$219,"&gt;"&amp;F$48,'Dvd Calendar'!$E$219:$CZ$219,"&lt;="&amp;F$49),"")))</f>
        <v/>
      </c>
      <c r="G157" s="140">
        <f>IF(G$49="","",IF($B157="","",IFERROR(SUMIFS('Dvd Calendar'!$E$220:$CZ$220,'Dvd Calendar'!$E$219:$CZ$219,"&gt;"&amp;G$48,'Dvd Calendar'!$E$219:$CZ$219,"&lt;="&amp;G$49),"")))</f>
        <v/>
      </c>
      <c r="H157" s="140">
        <f>IF(H$49="","",IF($B157="","",IFERROR(SUMIFS('Dvd Calendar'!$E$220:$CZ$220,'Dvd Calendar'!$E$219:$CZ$219,"&gt;"&amp;H$48,'Dvd Calendar'!$E$219:$CZ$219,"&lt;="&amp;H$49),"")))</f>
        <v/>
      </c>
      <c r="I157" s="140">
        <f>IF(I$49="","",IF($B157="","",IFERROR(SUMIFS('Dvd Calendar'!$E$220:$CZ$220,'Dvd Calendar'!$E$219:$CZ$219,"&gt;"&amp;I$48,'Dvd Calendar'!$E$219:$CZ$219,"&lt;="&amp;I$49),"")))</f>
        <v/>
      </c>
      <c r="J157" s="140">
        <f>IF(J$49="","",IF($B157="","",IFERROR(SUMIFS('Dvd Calendar'!$E$220:$CZ$220,'Dvd Calendar'!$E$219:$CZ$219,"&gt;"&amp;J$48,'Dvd Calendar'!$E$219:$CZ$219,"&lt;="&amp;J$49),"")))</f>
        <v/>
      </c>
      <c r="K157" s="140">
        <f>IF(K$49="","",IF($B157="","",IFERROR(SUMIFS('Dvd Calendar'!$E$220:$CZ$220,'Dvd Calendar'!$E$219:$CZ$219,"&gt;"&amp;K$48,'Dvd Calendar'!$E$219:$CZ$219,"&lt;="&amp;K$49),"")))</f>
        <v/>
      </c>
      <c r="L157" s="140">
        <f>IF(L$49="","",IF($B157="","",IFERROR(SUMIFS('Dvd Calendar'!$E$220:$CZ$220,'Dvd Calendar'!$E$219:$CZ$219,"&gt;"&amp;L$48,'Dvd Calendar'!$E$219:$CZ$219,"&lt;="&amp;L$49),"")))</f>
        <v/>
      </c>
      <c r="M157" s="140">
        <f>IF(M$49="","",IF($B157="","",IFERROR(SUMIFS('Dvd Calendar'!$E$220:$CZ$220,'Dvd Calendar'!$E$219:$CZ$219,"&gt;"&amp;M$48,'Dvd Calendar'!$E$219:$CZ$219,"&lt;="&amp;M$49),"")))</f>
        <v/>
      </c>
      <c r="N157" s="140">
        <f>IF(N$49="","",IF($B157="","",IFERROR(SUMIFS('Dvd Calendar'!$E$220:$CZ$220,'Dvd Calendar'!$E$219:$CZ$219,"&gt;"&amp;N$48,'Dvd Calendar'!$E$219:$CZ$219,"&lt;="&amp;N$49),"")))</f>
        <v/>
      </c>
      <c r="O157" s="140">
        <f>IF(O$49="","",IF($B157="","",IFERROR(SUMIFS('Dvd Calendar'!$E$220:$CZ$220,'Dvd Calendar'!$E$219:$CZ$219,"&gt;"&amp;O$48,'Dvd Calendar'!$E$219:$CZ$219,"&lt;="&amp;O$49),"")))</f>
        <v/>
      </c>
      <c r="P157" s="140">
        <f>IF(P$49="","",IF($B157="","",IFERROR(SUMIFS('Dvd Calendar'!$E$220:$CZ$220,'Dvd Calendar'!$E$219:$CZ$219,"&gt;"&amp;P$48,'Dvd Calendar'!$E$219:$CZ$219,"&lt;="&amp;P$49),"")))</f>
        <v/>
      </c>
      <c r="Q157" s="140">
        <f>IF(Q$49="","",IF($B157="","",IFERROR(SUMIFS('Dvd Calendar'!$E$220:$CZ$220,'Dvd Calendar'!$E$219:$CZ$219,"&gt;"&amp;Q$48,'Dvd Calendar'!$E$219:$CZ$219,"&lt;="&amp;Q$49),"")))</f>
        <v/>
      </c>
      <c r="R157" s="140">
        <f>IF(R$49="","",IF($B157="","",IFERROR(SUMIFS('Dvd Calendar'!$E$220:$CZ$220,'Dvd Calendar'!$E$219:$CZ$219,"&gt;"&amp;R$48,'Dvd Calendar'!$E$219:$CZ$219,"&lt;="&amp;R$49),"")))</f>
        <v/>
      </c>
    </row>
    <row r="158">
      <c r="B158" s="5">
        <f>IF(AS51!$C$113="","",AS51!$C$113)</f>
        <v/>
      </c>
      <c r="C158" s="140">
        <f>IF(C$49="","",IF($B158="","",IFERROR(SUMIFS('Dvd Calendar'!$E$222:$CZ$222,'Dvd Calendar'!$E$221:$CZ$221,"&gt;"&amp;C$48,'Dvd Calendar'!$E$221:$CZ$221,"&lt;="&amp;C$49),"")))</f>
        <v/>
      </c>
      <c r="D158" s="140">
        <f>IF(D$49="","",IF($B158="","",IFERROR(SUMIFS('Dvd Calendar'!$E$222:$CZ$222,'Dvd Calendar'!$E$221:$CZ$221,"&gt;"&amp;D$48,'Dvd Calendar'!$E$221:$CZ$221,"&lt;="&amp;D$49),"")))</f>
        <v/>
      </c>
      <c r="E158" s="140">
        <f>IF(E$49="","",IF($B158="","",IFERROR(SUMIFS('Dvd Calendar'!$E$222:$CZ$222,'Dvd Calendar'!$E$221:$CZ$221,"&gt;"&amp;E$48,'Dvd Calendar'!$E$221:$CZ$221,"&lt;="&amp;E$49),"")))</f>
        <v/>
      </c>
      <c r="F158" s="140">
        <f>IF(F$49="","",IF($B158="","",IFERROR(SUMIFS('Dvd Calendar'!$E$222:$CZ$222,'Dvd Calendar'!$E$221:$CZ$221,"&gt;"&amp;F$48,'Dvd Calendar'!$E$221:$CZ$221,"&lt;="&amp;F$49),"")))</f>
        <v/>
      </c>
      <c r="G158" s="140">
        <f>IF(G$49="","",IF($B158="","",IFERROR(SUMIFS('Dvd Calendar'!$E$222:$CZ$222,'Dvd Calendar'!$E$221:$CZ$221,"&gt;"&amp;G$48,'Dvd Calendar'!$E$221:$CZ$221,"&lt;="&amp;G$49),"")))</f>
        <v/>
      </c>
      <c r="H158" s="140">
        <f>IF(H$49="","",IF($B158="","",IFERROR(SUMIFS('Dvd Calendar'!$E$222:$CZ$222,'Dvd Calendar'!$E$221:$CZ$221,"&gt;"&amp;H$48,'Dvd Calendar'!$E$221:$CZ$221,"&lt;="&amp;H$49),"")))</f>
        <v/>
      </c>
      <c r="I158" s="140">
        <f>IF(I$49="","",IF($B158="","",IFERROR(SUMIFS('Dvd Calendar'!$E$222:$CZ$222,'Dvd Calendar'!$E$221:$CZ$221,"&gt;"&amp;I$48,'Dvd Calendar'!$E$221:$CZ$221,"&lt;="&amp;I$49),"")))</f>
        <v/>
      </c>
      <c r="J158" s="140">
        <f>IF(J$49="","",IF($B158="","",IFERROR(SUMIFS('Dvd Calendar'!$E$222:$CZ$222,'Dvd Calendar'!$E$221:$CZ$221,"&gt;"&amp;J$48,'Dvd Calendar'!$E$221:$CZ$221,"&lt;="&amp;J$49),"")))</f>
        <v/>
      </c>
      <c r="K158" s="140">
        <f>IF(K$49="","",IF($B158="","",IFERROR(SUMIFS('Dvd Calendar'!$E$222:$CZ$222,'Dvd Calendar'!$E$221:$CZ$221,"&gt;"&amp;K$48,'Dvd Calendar'!$E$221:$CZ$221,"&lt;="&amp;K$49),"")))</f>
        <v/>
      </c>
      <c r="L158" s="140">
        <f>IF(L$49="","",IF($B158="","",IFERROR(SUMIFS('Dvd Calendar'!$E$222:$CZ$222,'Dvd Calendar'!$E$221:$CZ$221,"&gt;"&amp;L$48,'Dvd Calendar'!$E$221:$CZ$221,"&lt;="&amp;L$49),"")))</f>
        <v/>
      </c>
      <c r="M158" s="140">
        <f>IF(M$49="","",IF($B158="","",IFERROR(SUMIFS('Dvd Calendar'!$E$222:$CZ$222,'Dvd Calendar'!$E$221:$CZ$221,"&gt;"&amp;M$48,'Dvd Calendar'!$E$221:$CZ$221,"&lt;="&amp;M$49),"")))</f>
        <v/>
      </c>
      <c r="N158" s="140">
        <f>IF(N$49="","",IF($B158="","",IFERROR(SUMIFS('Dvd Calendar'!$E$222:$CZ$222,'Dvd Calendar'!$E$221:$CZ$221,"&gt;"&amp;N$48,'Dvd Calendar'!$E$221:$CZ$221,"&lt;="&amp;N$49),"")))</f>
        <v/>
      </c>
      <c r="O158" s="140">
        <f>IF(O$49="","",IF($B158="","",IFERROR(SUMIFS('Dvd Calendar'!$E$222:$CZ$222,'Dvd Calendar'!$E$221:$CZ$221,"&gt;"&amp;O$48,'Dvd Calendar'!$E$221:$CZ$221,"&lt;="&amp;O$49),"")))</f>
        <v/>
      </c>
      <c r="P158" s="140">
        <f>IF(P$49="","",IF($B158="","",IFERROR(SUMIFS('Dvd Calendar'!$E$222:$CZ$222,'Dvd Calendar'!$E$221:$CZ$221,"&gt;"&amp;P$48,'Dvd Calendar'!$E$221:$CZ$221,"&lt;="&amp;P$49),"")))</f>
        <v/>
      </c>
      <c r="Q158" s="140">
        <f>IF(Q$49="","",IF($B158="","",IFERROR(SUMIFS('Dvd Calendar'!$E$222:$CZ$222,'Dvd Calendar'!$E$221:$CZ$221,"&gt;"&amp;Q$48,'Dvd Calendar'!$E$221:$CZ$221,"&lt;="&amp;Q$49),"")))</f>
        <v/>
      </c>
      <c r="R158" s="140">
        <f>IF(R$49="","",IF($B158="","",IFERROR(SUMIFS('Dvd Calendar'!$E$222:$CZ$222,'Dvd Calendar'!$E$221:$CZ$221,"&gt;"&amp;R$48,'Dvd Calendar'!$E$221:$CZ$221,"&lt;="&amp;R$49),"")))</f>
        <v/>
      </c>
    </row>
    <row r="159">
      <c r="B159" s="5">
        <f>IF(AS51!$C$114="","",AS51!$C$114)</f>
        <v/>
      </c>
      <c r="C159" s="140">
        <f>IF(C$49="","",IF($B159="","",IFERROR(SUMIFS('Dvd Calendar'!$E$224:$CZ$224,'Dvd Calendar'!$E$223:$CZ$223,"&gt;"&amp;C$48,'Dvd Calendar'!$E$223:$CZ$223,"&lt;="&amp;C$49),"")))</f>
        <v/>
      </c>
      <c r="D159" s="140">
        <f>IF(D$49="","",IF($B159="","",IFERROR(SUMIFS('Dvd Calendar'!$E$224:$CZ$224,'Dvd Calendar'!$E$223:$CZ$223,"&gt;"&amp;D$48,'Dvd Calendar'!$E$223:$CZ$223,"&lt;="&amp;D$49),"")))</f>
        <v/>
      </c>
      <c r="E159" s="140">
        <f>IF(E$49="","",IF($B159="","",IFERROR(SUMIFS('Dvd Calendar'!$E$224:$CZ$224,'Dvd Calendar'!$E$223:$CZ$223,"&gt;"&amp;E$48,'Dvd Calendar'!$E$223:$CZ$223,"&lt;="&amp;E$49),"")))</f>
        <v/>
      </c>
      <c r="F159" s="140">
        <f>IF(F$49="","",IF($B159="","",IFERROR(SUMIFS('Dvd Calendar'!$E$224:$CZ$224,'Dvd Calendar'!$E$223:$CZ$223,"&gt;"&amp;F$48,'Dvd Calendar'!$E$223:$CZ$223,"&lt;="&amp;F$49),"")))</f>
        <v/>
      </c>
      <c r="G159" s="140">
        <f>IF(G$49="","",IF($B159="","",IFERROR(SUMIFS('Dvd Calendar'!$E$224:$CZ$224,'Dvd Calendar'!$E$223:$CZ$223,"&gt;"&amp;G$48,'Dvd Calendar'!$E$223:$CZ$223,"&lt;="&amp;G$49),"")))</f>
        <v/>
      </c>
      <c r="H159" s="140">
        <f>IF(H$49="","",IF($B159="","",IFERROR(SUMIFS('Dvd Calendar'!$E$224:$CZ$224,'Dvd Calendar'!$E$223:$CZ$223,"&gt;"&amp;H$48,'Dvd Calendar'!$E$223:$CZ$223,"&lt;="&amp;H$49),"")))</f>
        <v/>
      </c>
      <c r="I159" s="140">
        <f>IF(I$49="","",IF($B159="","",IFERROR(SUMIFS('Dvd Calendar'!$E$224:$CZ$224,'Dvd Calendar'!$E$223:$CZ$223,"&gt;"&amp;I$48,'Dvd Calendar'!$E$223:$CZ$223,"&lt;="&amp;I$49),"")))</f>
        <v/>
      </c>
      <c r="J159" s="140">
        <f>IF(J$49="","",IF($B159="","",IFERROR(SUMIFS('Dvd Calendar'!$E$224:$CZ$224,'Dvd Calendar'!$E$223:$CZ$223,"&gt;"&amp;J$48,'Dvd Calendar'!$E$223:$CZ$223,"&lt;="&amp;J$49),"")))</f>
        <v/>
      </c>
      <c r="K159" s="140">
        <f>IF(K$49="","",IF($B159="","",IFERROR(SUMIFS('Dvd Calendar'!$E$224:$CZ$224,'Dvd Calendar'!$E$223:$CZ$223,"&gt;"&amp;K$48,'Dvd Calendar'!$E$223:$CZ$223,"&lt;="&amp;K$49),"")))</f>
        <v/>
      </c>
      <c r="L159" s="140">
        <f>IF(L$49="","",IF($B159="","",IFERROR(SUMIFS('Dvd Calendar'!$E$224:$CZ$224,'Dvd Calendar'!$E$223:$CZ$223,"&gt;"&amp;L$48,'Dvd Calendar'!$E$223:$CZ$223,"&lt;="&amp;L$49),"")))</f>
        <v/>
      </c>
      <c r="M159" s="140">
        <f>IF(M$49="","",IF($B159="","",IFERROR(SUMIFS('Dvd Calendar'!$E$224:$CZ$224,'Dvd Calendar'!$E$223:$CZ$223,"&gt;"&amp;M$48,'Dvd Calendar'!$E$223:$CZ$223,"&lt;="&amp;M$49),"")))</f>
        <v/>
      </c>
      <c r="N159" s="140">
        <f>IF(N$49="","",IF($B159="","",IFERROR(SUMIFS('Dvd Calendar'!$E$224:$CZ$224,'Dvd Calendar'!$E$223:$CZ$223,"&gt;"&amp;N$48,'Dvd Calendar'!$E$223:$CZ$223,"&lt;="&amp;N$49),"")))</f>
        <v/>
      </c>
      <c r="O159" s="140">
        <f>IF(O$49="","",IF($B159="","",IFERROR(SUMIFS('Dvd Calendar'!$E$224:$CZ$224,'Dvd Calendar'!$E$223:$CZ$223,"&gt;"&amp;O$48,'Dvd Calendar'!$E$223:$CZ$223,"&lt;="&amp;O$49),"")))</f>
        <v/>
      </c>
      <c r="P159" s="140">
        <f>IF(P$49="","",IF($B159="","",IFERROR(SUMIFS('Dvd Calendar'!$E$224:$CZ$224,'Dvd Calendar'!$E$223:$CZ$223,"&gt;"&amp;P$48,'Dvd Calendar'!$E$223:$CZ$223,"&lt;="&amp;P$49),"")))</f>
        <v/>
      </c>
      <c r="Q159" s="140">
        <f>IF(Q$49="","",IF($B159="","",IFERROR(SUMIFS('Dvd Calendar'!$E$224:$CZ$224,'Dvd Calendar'!$E$223:$CZ$223,"&gt;"&amp;Q$48,'Dvd Calendar'!$E$223:$CZ$223,"&lt;="&amp;Q$49),"")))</f>
        <v/>
      </c>
      <c r="R159" s="140">
        <f>IF(R$49="","",IF($B159="","",IFERROR(SUMIFS('Dvd Calendar'!$E$224:$CZ$224,'Dvd Calendar'!$E$223:$CZ$223,"&gt;"&amp;R$48,'Dvd Calendar'!$E$223:$CZ$223,"&lt;="&amp;R$49),"")))</f>
        <v/>
      </c>
    </row>
    <row r="160">
      <c r="B160" s="5">
        <f>IF(AS51!$C$115="","",AS51!$C$115)</f>
        <v/>
      </c>
      <c r="C160" s="140">
        <f>IF(C$49="","",IF($B160="","",IFERROR(SUMIFS('Dvd Calendar'!$E$226:$CZ$226,'Dvd Calendar'!$E$225:$CZ$225,"&gt;"&amp;C$48,'Dvd Calendar'!$E$225:$CZ$225,"&lt;="&amp;C$49),"")))</f>
        <v/>
      </c>
      <c r="D160" s="140">
        <f>IF(D$49="","",IF($B160="","",IFERROR(SUMIFS('Dvd Calendar'!$E$226:$CZ$226,'Dvd Calendar'!$E$225:$CZ$225,"&gt;"&amp;D$48,'Dvd Calendar'!$E$225:$CZ$225,"&lt;="&amp;D$49),"")))</f>
        <v/>
      </c>
      <c r="E160" s="140">
        <f>IF(E$49="","",IF($B160="","",IFERROR(SUMIFS('Dvd Calendar'!$E$226:$CZ$226,'Dvd Calendar'!$E$225:$CZ$225,"&gt;"&amp;E$48,'Dvd Calendar'!$E$225:$CZ$225,"&lt;="&amp;E$49),"")))</f>
        <v/>
      </c>
      <c r="F160" s="140">
        <f>IF(F$49="","",IF($B160="","",IFERROR(SUMIFS('Dvd Calendar'!$E$226:$CZ$226,'Dvd Calendar'!$E$225:$CZ$225,"&gt;"&amp;F$48,'Dvd Calendar'!$E$225:$CZ$225,"&lt;="&amp;F$49),"")))</f>
        <v/>
      </c>
      <c r="G160" s="140">
        <f>IF(G$49="","",IF($B160="","",IFERROR(SUMIFS('Dvd Calendar'!$E$226:$CZ$226,'Dvd Calendar'!$E$225:$CZ$225,"&gt;"&amp;G$48,'Dvd Calendar'!$E$225:$CZ$225,"&lt;="&amp;G$49),"")))</f>
        <v/>
      </c>
      <c r="H160" s="140">
        <f>IF(H$49="","",IF($B160="","",IFERROR(SUMIFS('Dvd Calendar'!$E$226:$CZ$226,'Dvd Calendar'!$E$225:$CZ$225,"&gt;"&amp;H$48,'Dvd Calendar'!$E$225:$CZ$225,"&lt;="&amp;H$49),"")))</f>
        <v/>
      </c>
      <c r="I160" s="140">
        <f>IF(I$49="","",IF($B160="","",IFERROR(SUMIFS('Dvd Calendar'!$E$226:$CZ$226,'Dvd Calendar'!$E$225:$CZ$225,"&gt;"&amp;I$48,'Dvd Calendar'!$E$225:$CZ$225,"&lt;="&amp;I$49),"")))</f>
        <v/>
      </c>
      <c r="J160" s="140">
        <f>IF(J$49="","",IF($B160="","",IFERROR(SUMIFS('Dvd Calendar'!$E$226:$CZ$226,'Dvd Calendar'!$E$225:$CZ$225,"&gt;"&amp;J$48,'Dvd Calendar'!$E$225:$CZ$225,"&lt;="&amp;J$49),"")))</f>
        <v/>
      </c>
      <c r="K160" s="140">
        <f>IF(K$49="","",IF($B160="","",IFERROR(SUMIFS('Dvd Calendar'!$E$226:$CZ$226,'Dvd Calendar'!$E$225:$CZ$225,"&gt;"&amp;K$48,'Dvd Calendar'!$E$225:$CZ$225,"&lt;="&amp;K$49),"")))</f>
        <v/>
      </c>
      <c r="L160" s="140">
        <f>IF(L$49="","",IF($B160="","",IFERROR(SUMIFS('Dvd Calendar'!$E$226:$CZ$226,'Dvd Calendar'!$E$225:$CZ$225,"&gt;"&amp;L$48,'Dvd Calendar'!$E$225:$CZ$225,"&lt;="&amp;L$49),"")))</f>
        <v/>
      </c>
      <c r="M160" s="140">
        <f>IF(M$49="","",IF($B160="","",IFERROR(SUMIFS('Dvd Calendar'!$E$226:$CZ$226,'Dvd Calendar'!$E$225:$CZ$225,"&gt;"&amp;M$48,'Dvd Calendar'!$E$225:$CZ$225,"&lt;="&amp;M$49),"")))</f>
        <v/>
      </c>
      <c r="N160" s="140">
        <f>IF(N$49="","",IF($B160="","",IFERROR(SUMIFS('Dvd Calendar'!$E$226:$CZ$226,'Dvd Calendar'!$E$225:$CZ$225,"&gt;"&amp;N$48,'Dvd Calendar'!$E$225:$CZ$225,"&lt;="&amp;N$49),"")))</f>
        <v/>
      </c>
      <c r="O160" s="140">
        <f>IF(O$49="","",IF($B160="","",IFERROR(SUMIFS('Dvd Calendar'!$E$226:$CZ$226,'Dvd Calendar'!$E$225:$CZ$225,"&gt;"&amp;O$48,'Dvd Calendar'!$E$225:$CZ$225,"&lt;="&amp;O$49),"")))</f>
        <v/>
      </c>
      <c r="P160" s="140">
        <f>IF(P$49="","",IF($B160="","",IFERROR(SUMIFS('Dvd Calendar'!$E$226:$CZ$226,'Dvd Calendar'!$E$225:$CZ$225,"&gt;"&amp;P$48,'Dvd Calendar'!$E$225:$CZ$225,"&lt;="&amp;P$49),"")))</f>
        <v/>
      </c>
      <c r="Q160" s="140">
        <f>IF(Q$49="","",IF($B160="","",IFERROR(SUMIFS('Dvd Calendar'!$E$226:$CZ$226,'Dvd Calendar'!$E$225:$CZ$225,"&gt;"&amp;Q$48,'Dvd Calendar'!$E$225:$CZ$225,"&lt;="&amp;Q$49),"")))</f>
        <v/>
      </c>
      <c r="R160" s="140">
        <f>IF(R$49="","",IF($B160="","",IFERROR(SUMIFS('Dvd Calendar'!$E$226:$CZ$226,'Dvd Calendar'!$E$225:$CZ$225,"&gt;"&amp;R$48,'Dvd Calendar'!$E$225:$CZ$225,"&lt;="&amp;R$49),"")))</f>
        <v/>
      </c>
    </row>
    <row r="161">
      <c r="B161" s="5">
        <f>IF(AS51!$C$116="","",AS51!$C$116)</f>
        <v/>
      </c>
      <c r="C161" s="140">
        <f>IF(C$49="","",IF($B161="","",IFERROR(SUMIFS('Dvd Calendar'!$E$228:$CZ$228,'Dvd Calendar'!$E$227:$CZ$227,"&gt;"&amp;C$48,'Dvd Calendar'!$E$227:$CZ$227,"&lt;="&amp;C$49),"")))</f>
        <v/>
      </c>
      <c r="D161" s="140">
        <f>IF(D$49="","",IF($B161="","",IFERROR(SUMIFS('Dvd Calendar'!$E$228:$CZ$228,'Dvd Calendar'!$E$227:$CZ$227,"&gt;"&amp;D$48,'Dvd Calendar'!$E$227:$CZ$227,"&lt;="&amp;D$49),"")))</f>
        <v/>
      </c>
      <c r="E161" s="140">
        <f>IF(E$49="","",IF($B161="","",IFERROR(SUMIFS('Dvd Calendar'!$E$228:$CZ$228,'Dvd Calendar'!$E$227:$CZ$227,"&gt;"&amp;E$48,'Dvd Calendar'!$E$227:$CZ$227,"&lt;="&amp;E$49),"")))</f>
        <v/>
      </c>
      <c r="F161" s="140">
        <f>IF(F$49="","",IF($B161="","",IFERROR(SUMIFS('Dvd Calendar'!$E$228:$CZ$228,'Dvd Calendar'!$E$227:$CZ$227,"&gt;"&amp;F$48,'Dvd Calendar'!$E$227:$CZ$227,"&lt;="&amp;F$49),"")))</f>
        <v/>
      </c>
      <c r="G161" s="140">
        <f>IF(G$49="","",IF($B161="","",IFERROR(SUMIFS('Dvd Calendar'!$E$228:$CZ$228,'Dvd Calendar'!$E$227:$CZ$227,"&gt;"&amp;G$48,'Dvd Calendar'!$E$227:$CZ$227,"&lt;="&amp;G$49),"")))</f>
        <v/>
      </c>
      <c r="H161" s="140">
        <f>IF(H$49="","",IF($B161="","",IFERROR(SUMIFS('Dvd Calendar'!$E$228:$CZ$228,'Dvd Calendar'!$E$227:$CZ$227,"&gt;"&amp;H$48,'Dvd Calendar'!$E$227:$CZ$227,"&lt;="&amp;H$49),"")))</f>
        <v/>
      </c>
      <c r="I161" s="140">
        <f>IF(I$49="","",IF($B161="","",IFERROR(SUMIFS('Dvd Calendar'!$E$228:$CZ$228,'Dvd Calendar'!$E$227:$CZ$227,"&gt;"&amp;I$48,'Dvd Calendar'!$E$227:$CZ$227,"&lt;="&amp;I$49),"")))</f>
        <v/>
      </c>
      <c r="J161" s="140">
        <f>IF(J$49="","",IF($B161="","",IFERROR(SUMIFS('Dvd Calendar'!$E$228:$CZ$228,'Dvd Calendar'!$E$227:$CZ$227,"&gt;"&amp;J$48,'Dvd Calendar'!$E$227:$CZ$227,"&lt;="&amp;J$49),"")))</f>
        <v/>
      </c>
      <c r="K161" s="140">
        <f>IF(K$49="","",IF($B161="","",IFERROR(SUMIFS('Dvd Calendar'!$E$228:$CZ$228,'Dvd Calendar'!$E$227:$CZ$227,"&gt;"&amp;K$48,'Dvd Calendar'!$E$227:$CZ$227,"&lt;="&amp;K$49),"")))</f>
        <v/>
      </c>
      <c r="L161" s="140">
        <f>IF(L$49="","",IF($B161="","",IFERROR(SUMIFS('Dvd Calendar'!$E$228:$CZ$228,'Dvd Calendar'!$E$227:$CZ$227,"&gt;"&amp;L$48,'Dvd Calendar'!$E$227:$CZ$227,"&lt;="&amp;L$49),"")))</f>
        <v/>
      </c>
      <c r="M161" s="140">
        <f>IF(M$49="","",IF($B161="","",IFERROR(SUMIFS('Dvd Calendar'!$E$228:$CZ$228,'Dvd Calendar'!$E$227:$CZ$227,"&gt;"&amp;M$48,'Dvd Calendar'!$E$227:$CZ$227,"&lt;="&amp;M$49),"")))</f>
        <v/>
      </c>
      <c r="N161" s="140">
        <f>IF(N$49="","",IF($B161="","",IFERROR(SUMIFS('Dvd Calendar'!$E$228:$CZ$228,'Dvd Calendar'!$E$227:$CZ$227,"&gt;"&amp;N$48,'Dvd Calendar'!$E$227:$CZ$227,"&lt;="&amp;N$49),"")))</f>
        <v/>
      </c>
      <c r="O161" s="140">
        <f>IF(O$49="","",IF($B161="","",IFERROR(SUMIFS('Dvd Calendar'!$E$228:$CZ$228,'Dvd Calendar'!$E$227:$CZ$227,"&gt;"&amp;O$48,'Dvd Calendar'!$E$227:$CZ$227,"&lt;="&amp;O$49),"")))</f>
        <v/>
      </c>
      <c r="P161" s="140">
        <f>IF(P$49="","",IF($B161="","",IFERROR(SUMIFS('Dvd Calendar'!$E$228:$CZ$228,'Dvd Calendar'!$E$227:$CZ$227,"&gt;"&amp;P$48,'Dvd Calendar'!$E$227:$CZ$227,"&lt;="&amp;P$49),"")))</f>
        <v/>
      </c>
      <c r="Q161" s="140">
        <f>IF(Q$49="","",IF($B161="","",IFERROR(SUMIFS('Dvd Calendar'!$E$228:$CZ$228,'Dvd Calendar'!$E$227:$CZ$227,"&gt;"&amp;Q$48,'Dvd Calendar'!$E$227:$CZ$227,"&lt;="&amp;Q$49),"")))</f>
        <v/>
      </c>
      <c r="R161" s="140">
        <f>IF(R$49="","",IF($B161="","",IFERROR(SUMIFS('Dvd Calendar'!$E$228:$CZ$228,'Dvd Calendar'!$E$227:$CZ$227,"&gt;"&amp;R$48,'Dvd Calendar'!$E$227:$CZ$227,"&lt;="&amp;R$49),"")))</f>
        <v/>
      </c>
    </row>
    <row r="162">
      <c r="B162" s="5">
        <f>IF(AS51!$C$117="","",AS51!$C$117)</f>
        <v/>
      </c>
      <c r="C162" s="140">
        <f>IF(C$49="","",IF($B162="","",IFERROR(SUMIFS('Dvd Calendar'!$E$230:$CZ$230,'Dvd Calendar'!$E$229:$CZ$229,"&gt;"&amp;C$48,'Dvd Calendar'!$E$229:$CZ$229,"&lt;="&amp;C$49),"")))</f>
        <v/>
      </c>
      <c r="D162" s="140">
        <f>IF(D$49="","",IF($B162="","",IFERROR(SUMIFS('Dvd Calendar'!$E$230:$CZ$230,'Dvd Calendar'!$E$229:$CZ$229,"&gt;"&amp;D$48,'Dvd Calendar'!$E$229:$CZ$229,"&lt;="&amp;D$49),"")))</f>
        <v/>
      </c>
      <c r="E162" s="140">
        <f>IF(E$49="","",IF($B162="","",IFERROR(SUMIFS('Dvd Calendar'!$E$230:$CZ$230,'Dvd Calendar'!$E$229:$CZ$229,"&gt;"&amp;E$48,'Dvd Calendar'!$E$229:$CZ$229,"&lt;="&amp;E$49),"")))</f>
        <v/>
      </c>
      <c r="F162" s="140">
        <f>IF(F$49="","",IF($B162="","",IFERROR(SUMIFS('Dvd Calendar'!$E$230:$CZ$230,'Dvd Calendar'!$E$229:$CZ$229,"&gt;"&amp;F$48,'Dvd Calendar'!$E$229:$CZ$229,"&lt;="&amp;F$49),"")))</f>
        <v/>
      </c>
      <c r="G162" s="140">
        <f>IF(G$49="","",IF($B162="","",IFERROR(SUMIFS('Dvd Calendar'!$E$230:$CZ$230,'Dvd Calendar'!$E$229:$CZ$229,"&gt;"&amp;G$48,'Dvd Calendar'!$E$229:$CZ$229,"&lt;="&amp;G$49),"")))</f>
        <v/>
      </c>
      <c r="H162" s="140">
        <f>IF(H$49="","",IF($B162="","",IFERROR(SUMIFS('Dvd Calendar'!$E$230:$CZ$230,'Dvd Calendar'!$E$229:$CZ$229,"&gt;"&amp;H$48,'Dvd Calendar'!$E$229:$CZ$229,"&lt;="&amp;H$49),"")))</f>
        <v/>
      </c>
      <c r="I162" s="140">
        <f>IF(I$49="","",IF($B162="","",IFERROR(SUMIFS('Dvd Calendar'!$E$230:$CZ$230,'Dvd Calendar'!$E$229:$CZ$229,"&gt;"&amp;I$48,'Dvd Calendar'!$E$229:$CZ$229,"&lt;="&amp;I$49),"")))</f>
        <v/>
      </c>
      <c r="J162" s="140">
        <f>IF(J$49="","",IF($B162="","",IFERROR(SUMIFS('Dvd Calendar'!$E$230:$CZ$230,'Dvd Calendar'!$E$229:$CZ$229,"&gt;"&amp;J$48,'Dvd Calendar'!$E$229:$CZ$229,"&lt;="&amp;J$49),"")))</f>
        <v/>
      </c>
      <c r="K162" s="140">
        <f>IF(K$49="","",IF($B162="","",IFERROR(SUMIFS('Dvd Calendar'!$E$230:$CZ$230,'Dvd Calendar'!$E$229:$CZ$229,"&gt;"&amp;K$48,'Dvd Calendar'!$E$229:$CZ$229,"&lt;="&amp;K$49),"")))</f>
        <v/>
      </c>
      <c r="L162" s="140">
        <f>IF(L$49="","",IF($B162="","",IFERROR(SUMIFS('Dvd Calendar'!$E$230:$CZ$230,'Dvd Calendar'!$E$229:$CZ$229,"&gt;"&amp;L$48,'Dvd Calendar'!$E$229:$CZ$229,"&lt;="&amp;L$49),"")))</f>
        <v/>
      </c>
      <c r="M162" s="140">
        <f>IF(M$49="","",IF($B162="","",IFERROR(SUMIFS('Dvd Calendar'!$E$230:$CZ$230,'Dvd Calendar'!$E$229:$CZ$229,"&gt;"&amp;M$48,'Dvd Calendar'!$E$229:$CZ$229,"&lt;="&amp;M$49),"")))</f>
        <v/>
      </c>
      <c r="N162" s="140">
        <f>IF(N$49="","",IF($B162="","",IFERROR(SUMIFS('Dvd Calendar'!$E$230:$CZ$230,'Dvd Calendar'!$E$229:$CZ$229,"&gt;"&amp;N$48,'Dvd Calendar'!$E$229:$CZ$229,"&lt;="&amp;N$49),"")))</f>
        <v/>
      </c>
      <c r="O162" s="140">
        <f>IF(O$49="","",IF($B162="","",IFERROR(SUMIFS('Dvd Calendar'!$E$230:$CZ$230,'Dvd Calendar'!$E$229:$CZ$229,"&gt;"&amp;O$48,'Dvd Calendar'!$E$229:$CZ$229,"&lt;="&amp;O$49),"")))</f>
        <v/>
      </c>
      <c r="P162" s="140">
        <f>IF(P$49="","",IF($B162="","",IFERROR(SUMIFS('Dvd Calendar'!$E$230:$CZ$230,'Dvd Calendar'!$E$229:$CZ$229,"&gt;"&amp;P$48,'Dvd Calendar'!$E$229:$CZ$229,"&lt;="&amp;P$49),"")))</f>
        <v/>
      </c>
      <c r="Q162" s="140">
        <f>IF(Q$49="","",IF($B162="","",IFERROR(SUMIFS('Dvd Calendar'!$E$230:$CZ$230,'Dvd Calendar'!$E$229:$CZ$229,"&gt;"&amp;Q$48,'Dvd Calendar'!$E$229:$CZ$229,"&lt;="&amp;Q$49),"")))</f>
        <v/>
      </c>
      <c r="R162" s="140">
        <f>IF(R$49="","",IF($B162="","",IFERROR(SUMIFS('Dvd Calendar'!$E$230:$CZ$230,'Dvd Calendar'!$E$229:$CZ$229,"&gt;"&amp;R$48,'Dvd Calendar'!$E$229:$CZ$229,"&lt;="&amp;R$49),"")))</f>
        <v/>
      </c>
    </row>
    <row r="163">
      <c r="B163" s="5">
        <f>IF(AS51!$C$118="","",AS51!$C$118)</f>
        <v/>
      </c>
      <c r="C163" s="140">
        <f>IF(C$49="","",IF($B163="","",IFERROR(SUMIFS('Dvd Calendar'!$E$232:$CZ$232,'Dvd Calendar'!$E$231:$CZ$231,"&gt;"&amp;C$48,'Dvd Calendar'!$E$231:$CZ$231,"&lt;="&amp;C$49),"")))</f>
        <v/>
      </c>
      <c r="D163" s="140">
        <f>IF(D$49="","",IF($B163="","",IFERROR(SUMIFS('Dvd Calendar'!$E$232:$CZ$232,'Dvd Calendar'!$E$231:$CZ$231,"&gt;"&amp;D$48,'Dvd Calendar'!$E$231:$CZ$231,"&lt;="&amp;D$49),"")))</f>
        <v/>
      </c>
      <c r="E163" s="140">
        <f>IF(E$49="","",IF($B163="","",IFERROR(SUMIFS('Dvd Calendar'!$E$232:$CZ$232,'Dvd Calendar'!$E$231:$CZ$231,"&gt;"&amp;E$48,'Dvd Calendar'!$E$231:$CZ$231,"&lt;="&amp;E$49),"")))</f>
        <v/>
      </c>
      <c r="F163" s="140">
        <f>IF(F$49="","",IF($B163="","",IFERROR(SUMIFS('Dvd Calendar'!$E$232:$CZ$232,'Dvd Calendar'!$E$231:$CZ$231,"&gt;"&amp;F$48,'Dvd Calendar'!$E$231:$CZ$231,"&lt;="&amp;F$49),"")))</f>
        <v/>
      </c>
      <c r="G163" s="140">
        <f>IF(G$49="","",IF($B163="","",IFERROR(SUMIFS('Dvd Calendar'!$E$232:$CZ$232,'Dvd Calendar'!$E$231:$CZ$231,"&gt;"&amp;G$48,'Dvd Calendar'!$E$231:$CZ$231,"&lt;="&amp;G$49),"")))</f>
        <v/>
      </c>
      <c r="H163" s="140">
        <f>IF(H$49="","",IF($B163="","",IFERROR(SUMIFS('Dvd Calendar'!$E$232:$CZ$232,'Dvd Calendar'!$E$231:$CZ$231,"&gt;"&amp;H$48,'Dvd Calendar'!$E$231:$CZ$231,"&lt;="&amp;H$49),"")))</f>
        <v/>
      </c>
      <c r="I163" s="140">
        <f>IF(I$49="","",IF($B163="","",IFERROR(SUMIFS('Dvd Calendar'!$E$232:$CZ$232,'Dvd Calendar'!$E$231:$CZ$231,"&gt;"&amp;I$48,'Dvd Calendar'!$E$231:$CZ$231,"&lt;="&amp;I$49),"")))</f>
        <v/>
      </c>
      <c r="J163" s="140">
        <f>IF(J$49="","",IF($B163="","",IFERROR(SUMIFS('Dvd Calendar'!$E$232:$CZ$232,'Dvd Calendar'!$E$231:$CZ$231,"&gt;"&amp;J$48,'Dvd Calendar'!$E$231:$CZ$231,"&lt;="&amp;J$49),"")))</f>
        <v/>
      </c>
      <c r="K163" s="140">
        <f>IF(K$49="","",IF($B163="","",IFERROR(SUMIFS('Dvd Calendar'!$E$232:$CZ$232,'Dvd Calendar'!$E$231:$CZ$231,"&gt;"&amp;K$48,'Dvd Calendar'!$E$231:$CZ$231,"&lt;="&amp;K$49),"")))</f>
        <v/>
      </c>
      <c r="L163" s="140">
        <f>IF(L$49="","",IF($B163="","",IFERROR(SUMIFS('Dvd Calendar'!$E$232:$CZ$232,'Dvd Calendar'!$E$231:$CZ$231,"&gt;"&amp;L$48,'Dvd Calendar'!$E$231:$CZ$231,"&lt;="&amp;L$49),"")))</f>
        <v/>
      </c>
      <c r="M163" s="140">
        <f>IF(M$49="","",IF($B163="","",IFERROR(SUMIFS('Dvd Calendar'!$E$232:$CZ$232,'Dvd Calendar'!$E$231:$CZ$231,"&gt;"&amp;M$48,'Dvd Calendar'!$E$231:$CZ$231,"&lt;="&amp;M$49),"")))</f>
        <v/>
      </c>
      <c r="N163" s="140">
        <f>IF(N$49="","",IF($B163="","",IFERROR(SUMIFS('Dvd Calendar'!$E$232:$CZ$232,'Dvd Calendar'!$E$231:$CZ$231,"&gt;"&amp;N$48,'Dvd Calendar'!$E$231:$CZ$231,"&lt;="&amp;N$49),"")))</f>
        <v/>
      </c>
      <c r="O163" s="140">
        <f>IF(O$49="","",IF($B163="","",IFERROR(SUMIFS('Dvd Calendar'!$E$232:$CZ$232,'Dvd Calendar'!$E$231:$CZ$231,"&gt;"&amp;O$48,'Dvd Calendar'!$E$231:$CZ$231,"&lt;="&amp;O$49),"")))</f>
        <v/>
      </c>
      <c r="P163" s="140">
        <f>IF(P$49="","",IF($B163="","",IFERROR(SUMIFS('Dvd Calendar'!$E$232:$CZ$232,'Dvd Calendar'!$E$231:$CZ$231,"&gt;"&amp;P$48,'Dvd Calendar'!$E$231:$CZ$231,"&lt;="&amp;P$49),"")))</f>
        <v/>
      </c>
      <c r="Q163" s="140">
        <f>IF(Q$49="","",IF($B163="","",IFERROR(SUMIFS('Dvd Calendar'!$E$232:$CZ$232,'Dvd Calendar'!$E$231:$CZ$231,"&gt;"&amp;Q$48,'Dvd Calendar'!$E$231:$CZ$231,"&lt;="&amp;Q$49),"")))</f>
        <v/>
      </c>
      <c r="R163" s="140">
        <f>IF(R$49="","",IF($B163="","",IFERROR(SUMIFS('Dvd Calendar'!$E$232:$CZ$232,'Dvd Calendar'!$E$231:$CZ$231,"&gt;"&amp;R$48,'Dvd Calendar'!$E$231:$CZ$231,"&lt;="&amp;R$49),"")))</f>
        <v/>
      </c>
    </row>
    <row r="164">
      <c r="B164" s="5">
        <f>IF(AS51!$C$119="","",AS51!$C$119)</f>
        <v/>
      </c>
      <c r="C164" s="140">
        <f>IF(C$49="","",IF($B164="","",IFERROR(SUMIFS('Dvd Calendar'!$E$234:$CZ$234,'Dvd Calendar'!$E$233:$CZ$233,"&gt;"&amp;C$48,'Dvd Calendar'!$E$233:$CZ$233,"&lt;="&amp;C$49),"")))</f>
        <v/>
      </c>
      <c r="D164" s="140">
        <f>IF(D$49="","",IF($B164="","",IFERROR(SUMIFS('Dvd Calendar'!$E$234:$CZ$234,'Dvd Calendar'!$E$233:$CZ$233,"&gt;"&amp;D$48,'Dvd Calendar'!$E$233:$CZ$233,"&lt;="&amp;D$49),"")))</f>
        <v/>
      </c>
      <c r="E164" s="140">
        <f>IF(E$49="","",IF($B164="","",IFERROR(SUMIFS('Dvd Calendar'!$E$234:$CZ$234,'Dvd Calendar'!$E$233:$CZ$233,"&gt;"&amp;E$48,'Dvd Calendar'!$E$233:$CZ$233,"&lt;="&amp;E$49),"")))</f>
        <v/>
      </c>
      <c r="F164" s="140">
        <f>IF(F$49="","",IF($B164="","",IFERROR(SUMIFS('Dvd Calendar'!$E$234:$CZ$234,'Dvd Calendar'!$E$233:$CZ$233,"&gt;"&amp;F$48,'Dvd Calendar'!$E$233:$CZ$233,"&lt;="&amp;F$49),"")))</f>
        <v/>
      </c>
      <c r="G164" s="140">
        <f>IF(G$49="","",IF($B164="","",IFERROR(SUMIFS('Dvd Calendar'!$E$234:$CZ$234,'Dvd Calendar'!$E$233:$CZ$233,"&gt;"&amp;G$48,'Dvd Calendar'!$E$233:$CZ$233,"&lt;="&amp;G$49),"")))</f>
        <v/>
      </c>
      <c r="H164" s="140">
        <f>IF(H$49="","",IF($B164="","",IFERROR(SUMIFS('Dvd Calendar'!$E$234:$CZ$234,'Dvd Calendar'!$E$233:$CZ$233,"&gt;"&amp;H$48,'Dvd Calendar'!$E$233:$CZ$233,"&lt;="&amp;H$49),"")))</f>
        <v/>
      </c>
      <c r="I164" s="140">
        <f>IF(I$49="","",IF($B164="","",IFERROR(SUMIFS('Dvd Calendar'!$E$234:$CZ$234,'Dvd Calendar'!$E$233:$CZ$233,"&gt;"&amp;I$48,'Dvd Calendar'!$E$233:$CZ$233,"&lt;="&amp;I$49),"")))</f>
        <v/>
      </c>
      <c r="J164" s="140">
        <f>IF(J$49="","",IF($B164="","",IFERROR(SUMIFS('Dvd Calendar'!$E$234:$CZ$234,'Dvd Calendar'!$E$233:$CZ$233,"&gt;"&amp;J$48,'Dvd Calendar'!$E$233:$CZ$233,"&lt;="&amp;J$49),"")))</f>
        <v/>
      </c>
      <c r="K164" s="140">
        <f>IF(K$49="","",IF($B164="","",IFERROR(SUMIFS('Dvd Calendar'!$E$234:$CZ$234,'Dvd Calendar'!$E$233:$CZ$233,"&gt;"&amp;K$48,'Dvd Calendar'!$E$233:$CZ$233,"&lt;="&amp;K$49),"")))</f>
        <v/>
      </c>
      <c r="L164" s="140">
        <f>IF(L$49="","",IF($B164="","",IFERROR(SUMIFS('Dvd Calendar'!$E$234:$CZ$234,'Dvd Calendar'!$E$233:$CZ$233,"&gt;"&amp;L$48,'Dvd Calendar'!$E$233:$CZ$233,"&lt;="&amp;L$49),"")))</f>
        <v/>
      </c>
      <c r="M164" s="140">
        <f>IF(M$49="","",IF($B164="","",IFERROR(SUMIFS('Dvd Calendar'!$E$234:$CZ$234,'Dvd Calendar'!$E$233:$CZ$233,"&gt;"&amp;M$48,'Dvd Calendar'!$E$233:$CZ$233,"&lt;="&amp;M$49),"")))</f>
        <v/>
      </c>
      <c r="N164" s="140">
        <f>IF(N$49="","",IF($B164="","",IFERROR(SUMIFS('Dvd Calendar'!$E$234:$CZ$234,'Dvd Calendar'!$E$233:$CZ$233,"&gt;"&amp;N$48,'Dvd Calendar'!$E$233:$CZ$233,"&lt;="&amp;N$49),"")))</f>
        <v/>
      </c>
      <c r="O164" s="140">
        <f>IF(O$49="","",IF($B164="","",IFERROR(SUMIFS('Dvd Calendar'!$E$234:$CZ$234,'Dvd Calendar'!$E$233:$CZ$233,"&gt;"&amp;O$48,'Dvd Calendar'!$E$233:$CZ$233,"&lt;="&amp;O$49),"")))</f>
        <v/>
      </c>
      <c r="P164" s="140">
        <f>IF(P$49="","",IF($B164="","",IFERROR(SUMIFS('Dvd Calendar'!$E$234:$CZ$234,'Dvd Calendar'!$E$233:$CZ$233,"&gt;"&amp;P$48,'Dvd Calendar'!$E$233:$CZ$233,"&lt;="&amp;P$49),"")))</f>
        <v/>
      </c>
      <c r="Q164" s="140">
        <f>IF(Q$49="","",IF($B164="","",IFERROR(SUMIFS('Dvd Calendar'!$E$234:$CZ$234,'Dvd Calendar'!$E$233:$CZ$233,"&gt;"&amp;Q$48,'Dvd Calendar'!$E$233:$CZ$233,"&lt;="&amp;Q$49),"")))</f>
        <v/>
      </c>
      <c r="R164" s="140">
        <f>IF(R$49="","",IF($B164="","",IFERROR(SUMIFS('Dvd Calendar'!$E$234:$CZ$234,'Dvd Calendar'!$E$233:$CZ$233,"&gt;"&amp;R$48,'Dvd Calendar'!$E$233:$CZ$233,"&lt;="&amp;R$49),"")))</f>
        <v/>
      </c>
    </row>
    <row r="165">
      <c r="B165" s="5">
        <f>IF(AS51!$C$120="","",AS51!$C$120)</f>
        <v/>
      </c>
      <c r="C165" s="140">
        <f>IF(C$49="","",IF($B165="","",IFERROR(SUMIFS('Dvd Calendar'!$E$236:$CZ$236,'Dvd Calendar'!$E$235:$CZ$235,"&gt;"&amp;C$48,'Dvd Calendar'!$E$235:$CZ$235,"&lt;="&amp;C$49),"")))</f>
        <v/>
      </c>
      <c r="D165" s="140">
        <f>IF(D$49="","",IF($B165="","",IFERROR(SUMIFS('Dvd Calendar'!$E$236:$CZ$236,'Dvd Calendar'!$E$235:$CZ$235,"&gt;"&amp;D$48,'Dvd Calendar'!$E$235:$CZ$235,"&lt;="&amp;D$49),"")))</f>
        <v/>
      </c>
      <c r="E165" s="140">
        <f>IF(E$49="","",IF($B165="","",IFERROR(SUMIFS('Dvd Calendar'!$E$236:$CZ$236,'Dvd Calendar'!$E$235:$CZ$235,"&gt;"&amp;E$48,'Dvd Calendar'!$E$235:$CZ$235,"&lt;="&amp;E$49),"")))</f>
        <v/>
      </c>
      <c r="F165" s="140">
        <f>IF(F$49="","",IF($B165="","",IFERROR(SUMIFS('Dvd Calendar'!$E$236:$CZ$236,'Dvd Calendar'!$E$235:$CZ$235,"&gt;"&amp;F$48,'Dvd Calendar'!$E$235:$CZ$235,"&lt;="&amp;F$49),"")))</f>
        <v/>
      </c>
      <c r="G165" s="140">
        <f>IF(G$49="","",IF($B165="","",IFERROR(SUMIFS('Dvd Calendar'!$E$236:$CZ$236,'Dvd Calendar'!$E$235:$CZ$235,"&gt;"&amp;G$48,'Dvd Calendar'!$E$235:$CZ$235,"&lt;="&amp;G$49),"")))</f>
        <v/>
      </c>
      <c r="H165" s="140">
        <f>IF(H$49="","",IF($B165="","",IFERROR(SUMIFS('Dvd Calendar'!$E$236:$CZ$236,'Dvd Calendar'!$E$235:$CZ$235,"&gt;"&amp;H$48,'Dvd Calendar'!$E$235:$CZ$235,"&lt;="&amp;H$49),"")))</f>
        <v/>
      </c>
      <c r="I165" s="140">
        <f>IF(I$49="","",IF($B165="","",IFERROR(SUMIFS('Dvd Calendar'!$E$236:$CZ$236,'Dvd Calendar'!$E$235:$CZ$235,"&gt;"&amp;I$48,'Dvd Calendar'!$E$235:$CZ$235,"&lt;="&amp;I$49),"")))</f>
        <v/>
      </c>
      <c r="J165" s="140">
        <f>IF(J$49="","",IF($B165="","",IFERROR(SUMIFS('Dvd Calendar'!$E$236:$CZ$236,'Dvd Calendar'!$E$235:$CZ$235,"&gt;"&amp;J$48,'Dvd Calendar'!$E$235:$CZ$235,"&lt;="&amp;J$49),"")))</f>
        <v/>
      </c>
      <c r="K165" s="140">
        <f>IF(K$49="","",IF($B165="","",IFERROR(SUMIFS('Dvd Calendar'!$E$236:$CZ$236,'Dvd Calendar'!$E$235:$CZ$235,"&gt;"&amp;K$48,'Dvd Calendar'!$E$235:$CZ$235,"&lt;="&amp;K$49),"")))</f>
        <v/>
      </c>
      <c r="L165" s="140">
        <f>IF(L$49="","",IF($B165="","",IFERROR(SUMIFS('Dvd Calendar'!$E$236:$CZ$236,'Dvd Calendar'!$E$235:$CZ$235,"&gt;"&amp;L$48,'Dvd Calendar'!$E$235:$CZ$235,"&lt;="&amp;L$49),"")))</f>
        <v/>
      </c>
      <c r="M165" s="140">
        <f>IF(M$49="","",IF($B165="","",IFERROR(SUMIFS('Dvd Calendar'!$E$236:$CZ$236,'Dvd Calendar'!$E$235:$CZ$235,"&gt;"&amp;M$48,'Dvd Calendar'!$E$235:$CZ$235,"&lt;="&amp;M$49),"")))</f>
        <v/>
      </c>
      <c r="N165" s="140">
        <f>IF(N$49="","",IF($B165="","",IFERROR(SUMIFS('Dvd Calendar'!$E$236:$CZ$236,'Dvd Calendar'!$E$235:$CZ$235,"&gt;"&amp;N$48,'Dvd Calendar'!$E$235:$CZ$235,"&lt;="&amp;N$49),"")))</f>
        <v/>
      </c>
      <c r="O165" s="140">
        <f>IF(O$49="","",IF($B165="","",IFERROR(SUMIFS('Dvd Calendar'!$E$236:$CZ$236,'Dvd Calendar'!$E$235:$CZ$235,"&gt;"&amp;O$48,'Dvd Calendar'!$E$235:$CZ$235,"&lt;="&amp;O$49),"")))</f>
        <v/>
      </c>
      <c r="P165" s="140">
        <f>IF(P$49="","",IF($B165="","",IFERROR(SUMIFS('Dvd Calendar'!$E$236:$CZ$236,'Dvd Calendar'!$E$235:$CZ$235,"&gt;"&amp;P$48,'Dvd Calendar'!$E$235:$CZ$235,"&lt;="&amp;P$49),"")))</f>
        <v/>
      </c>
      <c r="Q165" s="140">
        <f>IF(Q$49="","",IF($B165="","",IFERROR(SUMIFS('Dvd Calendar'!$E$236:$CZ$236,'Dvd Calendar'!$E$235:$CZ$235,"&gt;"&amp;Q$48,'Dvd Calendar'!$E$235:$CZ$235,"&lt;="&amp;Q$49),"")))</f>
        <v/>
      </c>
      <c r="R165" s="140">
        <f>IF(R$49="","",IF($B165="","",IFERROR(SUMIFS('Dvd Calendar'!$E$236:$CZ$236,'Dvd Calendar'!$E$235:$CZ$235,"&gt;"&amp;R$48,'Dvd Calendar'!$E$235:$CZ$235,"&lt;="&amp;R$49),"")))</f>
        <v/>
      </c>
    </row>
    <row r="166">
      <c r="B166" s="5">
        <f>IF(AS51!$C$121="","",AS51!$C$121)</f>
        <v/>
      </c>
      <c r="C166" s="140">
        <f>IF(C$49="","",IF($B166="","",IFERROR(SUMIFS('Dvd Calendar'!$E$238:$CZ$238,'Dvd Calendar'!$E$237:$CZ$237,"&gt;"&amp;C$48,'Dvd Calendar'!$E$237:$CZ$237,"&lt;="&amp;C$49),"")))</f>
        <v/>
      </c>
      <c r="D166" s="140">
        <f>IF(D$49="","",IF($B166="","",IFERROR(SUMIFS('Dvd Calendar'!$E$238:$CZ$238,'Dvd Calendar'!$E$237:$CZ$237,"&gt;"&amp;D$48,'Dvd Calendar'!$E$237:$CZ$237,"&lt;="&amp;D$49),"")))</f>
        <v/>
      </c>
      <c r="E166" s="140">
        <f>IF(E$49="","",IF($B166="","",IFERROR(SUMIFS('Dvd Calendar'!$E$238:$CZ$238,'Dvd Calendar'!$E$237:$CZ$237,"&gt;"&amp;E$48,'Dvd Calendar'!$E$237:$CZ$237,"&lt;="&amp;E$49),"")))</f>
        <v/>
      </c>
      <c r="F166" s="140">
        <f>IF(F$49="","",IF($B166="","",IFERROR(SUMIFS('Dvd Calendar'!$E$238:$CZ$238,'Dvd Calendar'!$E$237:$CZ$237,"&gt;"&amp;F$48,'Dvd Calendar'!$E$237:$CZ$237,"&lt;="&amp;F$49),"")))</f>
        <v/>
      </c>
      <c r="G166" s="140">
        <f>IF(G$49="","",IF($B166="","",IFERROR(SUMIFS('Dvd Calendar'!$E$238:$CZ$238,'Dvd Calendar'!$E$237:$CZ$237,"&gt;"&amp;G$48,'Dvd Calendar'!$E$237:$CZ$237,"&lt;="&amp;G$49),"")))</f>
        <v/>
      </c>
      <c r="H166" s="140">
        <f>IF(H$49="","",IF($B166="","",IFERROR(SUMIFS('Dvd Calendar'!$E$238:$CZ$238,'Dvd Calendar'!$E$237:$CZ$237,"&gt;"&amp;H$48,'Dvd Calendar'!$E$237:$CZ$237,"&lt;="&amp;H$49),"")))</f>
        <v/>
      </c>
      <c r="I166" s="140">
        <f>IF(I$49="","",IF($B166="","",IFERROR(SUMIFS('Dvd Calendar'!$E$238:$CZ$238,'Dvd Calendar'!$E$237:$CZ$237,"&gt;"&amp;I$48,'Dvd Calendar'!$E$237:$CZ$237,"&lt;="&amp;I$49),"")))</f>
        <v/>
      </c>
      <c r="J166" s="140">
        <f>IF(J$49="","",IF($B166="","",IFERROR(SUMIFS('Dvd Calendar'!$E$238:$CZ$238,'Dvd Calendar'!$E$237:$CZ$237,"&gt;"&amp;J$48,'Dvd Calendar'!$E$237:$CZ$237,"&lt;="&amp;J$49),"")))</f>
        <v/>
      </c>
      <c r="K166" s="140">
        <f>IF(K$49="","",IF($B166="","",IFERROR(SUMIFS('Dvd Calendar'!$E$238:$CZ$238,'Dvd Calendar'!$E$237:$CZ$237,"&gt;"&amp;K$48,'Dvd Calendar'!$E$237:$CZ$237,"&lt;="&amp;K$49),"")))</f>
        <v/>
      </c>
      <c r="L166" s="140">
        <f>IF(L$49="","",IF($B166="","",IFERROR(SUMIFS('Dvd Calendar'!$E$238:$CZ$238,'Dvd Calendar'!$E$237:$CZ$237,"&gt;"&amp;L$48,'Dvd Calendar'!$E$237:$CZ$237,"&lt;="&amp;L$49),"")))</f>
        <v/>
      </c>
      <c r="M166" s="140">
        <f>IF(M$49="","",IF($B166="","",IFERROR(SUMIFS('Dvd Calendar'!$E$238:$CZ$238,'Dvd Calendar'!$E$237:$CZ$237,"&gt;"&amp;M$48,'Dvd Calendar'!$E$237:$CZ$237,"&lt;="&amp;M$49),"")))</f>
        <v/>
      </c>
      <c r="N166" s="140">
        <f>IF(N$49="","",IF($B166="","",IFERROR(SUMIFS('Dvd Calendar'!$E$238:$CZ$238,'Dvd Calendar'!$E$237:$CZ$237,"&gt;"&amp;N$48,'Dvd Calendar'!$E$237:$CZ$237,"&lt;="&amp;N$49),"")))</f>
        <v/>
      </c>
      <c r="O166" s="140">
        <f>IF(O$49="","",IF($B166="","",IFERROR(SUMIFS('Dvd Calendar'!$E$238:$CZ$238,'Dvd Calendar'!$E$237:$CZ$237,"&gt;"&amp;O$48,'Dvd Calendar'!$E$237:$CZ$237,"&lt;="&amp;O$49),"")))</f>
        <v/>
      </c>
      <c r="P166" s="140">
        <f>IF(P$49="","",IF($B166="","",IFERROR(SUMIFS('Dvd Calendar'!$E$238:$CZ$238,'Dvd Calendar'!$E$237:$CZ$237,"&gt;"&amp;P$48,'Dvd Calendar'!$E$237:$CZ$237,"&lt;="&amp;P$49),"")))</f>
        <v/>
      </c>
      <c r="Q166" s="140">
        <f>IF(Q$49="","",IF($B166="","",IFERROR(SUMIFS('Dvd Calendar'!$E$238:$CZ$238,'Dvd Calendar'!$E$237:$CZ$237,"&gt;"&amp;Q$48,'Dvd Calendar'!$E$237:$CZ$237,"&lt;="&amp;Q$49),"")))</f>
        <v/>
      </c>
      <c r="R166" s="140">
        <f>IF(R$49="","",IF($B166="","",IFERROR(SUMIFS('Dvd Calendar'!$E$238:$CZ$238,'Dvd Calendar'!$E$237:$CZ$237,"&gt;"&amp;R$48,'Dvd Calendar'!$E$237:$CZ$237,"&lt;="&amp;R$49),"")))</f>
        <v/>
      </c>
    </row>
    <row r="167">
      <c r="B167" s="5">
        <f>IF(AS51!$C$122="","",AS51!$C$122)</f>
        <v/>
      </c>
      <c r="C167" s="140">
        <f>IF(C$49="","",IF($B167="","",IFERROR(SUMIFS('Dvd Calendar'!$E$240:$CZ$240,'Dvd Calendar'!$E$239:$CZ$239,"&gt;"&amp;C$48,'Dvd Calendar'!$E$239:$CZ$239,"&lt;="&amp;C$49),"")))</f>
        <v/>
      </c>
      <c r="D167" s="140">
        <f>IF(D$49="","",IF($B167="","",IFERROR(SUMIFS('Dvd Calendar'!$E$240:$CZ$240,'Dvd Calendar'!$E$239:$CZ$239,"&gt;"&amp;D$48,'Dvd Calendar'!$E$239:$CZ$239,"&lt;="&amp;D$49),"")))</f>
        <v/>
      </c>
      <c r="E167" s="140">
        <f>IF(E$49="","",IF($B167="","",IFERROR(SUMIFS('Dvd Calendar'!$E$240:$CZ$240,'Dvd Calendar'!$E$239:$CZ$239,"&gt;"&amp;E$48,'Dvd Calendar'!$E$239:$CZ$239,"&lt;="&amp;E$49),"")))</f>
        <v/>
      </c>
      <c r="F167" s="140">
        <f>IF(F$49="","",IF($B167="","",IFERROR(SUMIFS('Dvd Calendar'!$E$240:$CZ$240,'Dvd Calendar'!$E$239:$CZ$239,"&gt;"&amp;F$48,'Dvd Calendar'!$E$239:$CZ$239,"&lt;="&amp;F$49),"")))</f>
        <v/>
      </c>
      <c r="G167" s="140">
        <f>IF(G$49="","",IF($B167="","",IFERROR(SUMIFS('Dvd Calendar'!$E$240:$CZ$240,'Dvd Calendar'!$E$239:$CZ$239,"&gt;"&amp;G$48,'Dvd Calendar'!$E$239:$CZ$239,"&lt;="&amp;G$49),"")))</f>
        <v/>
      </c>
      <c r="H167" s="140">
        <f>IF(H$49="","",IF($B167="","",IFERROR(SUMIFS('Dvd Calendar'!$E$240:$CZ$240,'Dvd Calendar'!$E$239:$CZ$239,"&gt;"&amp;H$48,'Dvd Calendar'!$E$239:$CZ$239,"&lt;="&amp;H$49),"")))</f>
        <v/>
      </c>
      <c r="I167" s="140">
        <f>IF(I$49="","",IF($B167="","",IFERROR(SUMIFS('Dvd Calendar'!$E$240:$CZ$240,'Dvd Calendar'!$E$239:$CZ$239,"&gt;"&amp;I$48,'Dvd Calendar'!$E$239:$CZ$239,"&lt;="&amp;I$49),"")))</f>
        <v/>
      </c>
      <c r="J167" s="140">
        <f>IF(J$49="","",IF($B167="","",IFERROR(SUMIFS('Dvd Calendar'!$E$240:$CZ$240,'Dvd Calendar'!$E$239:$CZ$239,"&gt;"&amp;J$48,'Dvd Calendar'!$E$239:$CZ$239,"&lt;="&amp;J$49),"")))</f>
        <v/>
      </c>
      <c r="K167" s="140">
        <f>IF(K$49="","",IF($B167="","",IFERROR(SUMIFS('Dvd Calendar'!$E$240:$CZ$240,'Dvd Calendar'!$E$239:$CZ$239,"&gt;"&amp;K$48,'Dvd Calendar'!$E$239:$CZ$239,"&lt;="&amp;K$49),"")))</f>
        <v/>
      </c>
      <c r="L167" s="140">
        <f>IF(L$49="","",IF($B167="","",IFERROR(SUMIFS('Dvd Calendar'!$E$240:$CZ$240,'Dvd Calendar'!$E$239:$CZ$239,"&gt;"&amp;L$48,'Dvd Calendar'!$E$239:$CZ$239,"&lt;="&amp;L$49),"")))</f>
        <v/>
      </c>
      <c r="M167" s="140">
        <f>IF(M$49="","",IF($B167="","",IFERROR(SUMIFS('Dvd Calendar'!$E$240:$CZ$240,'Dvd Calendar'!$E$239:$CZ$239,"&gt;"&amp;M$48,'Dvd Calendar'!$E$239:$CZ$239,"&lt;="&amp;M$49),"")))</f>
        <v/>
      </c>
      <c r="N167" s="140">
        <f>IF(N$49="","",IF($B167="","",IFERROR(SUMIFS('Dvd Calendar'!$E$240:$CZ$240,'Dvd Calendar'!$E$239:$CZ$239,"&gt;"&amp;N$48,'Dvd Calendar'!$E$239:$CZ$239,"&lt;="&amp;N$49),"")))</f>
        <v/>
      </c>
      <c r="O167" s="140">
        <f>IF(O$49="","",IF($B167="","",IFERROR(SUMIFS('Dvd Calendar'!$E$240:$CZ$240,'Dvd Calendar'!$E$239:$CZ$239,"&gt;"&amp;O$48,'Dvd Calendar'!$E$239:$CZ$239,"&lt;="&amp;O$49),"")))</f>
        <v/>
      </c>
      <c r="P167" s="140">
        <f>IF(P$49="","",IF($B167="","",IFERROR(SUMIFS('Dvd Calendar'!$E$240:$CZ$240,'Dvd Calendar'!$E$239:$CZ$239,"&gt;"&amp;P$48,'Dvd Calendar'!$E$239:$CZ$239,"&lt;="&amp;P$49),"")))</f>
        <v/>
      </c>
      <c r="Q167" s="140">
        <f>IF(Q$49="","",IF($B167="","",IFERROR(SUMIFS('Dvd Calendar'!$E$240:$CZ$240,'Dvd Calendar'!$E$239:$CZ$239,"&gt;"&amp;Q$48,'Dvd Calendar'!$E$239:$CZ$239,"&lt;="&amp;Q$49),"")))</f>
        <v/>
      </c>
      <c r="R167" s="140">
        <f>IF(R$49="","",IF($B167="","",IFERROR(SUMIFS('Dvd Calendar'!$E$240:$CZ$240,'Dvd Calendar'!$E$239:$CZ$239,"&gt;"&amp;R$48,'Dvd Calendar'!$E$239:$CZ$239,"&lt;="&amp;R$49),"")))</f>
        <v/>
      </c>
    </row>
    <row r="168">
      <c r="B168" s="5">
        <f>IF(AS51!$C$123="","",AS51!$C$123)</f>
        <v/>
      </c>
      <c r="C168" s="140">
        <f>IF(C$49="","",IF($B168="","",IFERROR(SUMIFS('Dvd Calendar'!$E$242:$CZ$242,'Dvd Calendar'!$E$241:$CZ$241,"&gt;"&amp;C$48,'Dvd Calendar'!$E$241:$CZ$241,"&lt;="&amp;C$49),"")))</f>
        <v/>
      </c>
      <c r="D168" s="140">
        <f>IF(D$49="","",IF($B168="","",IFERROR(SUMIFS('Dvd Calendar'!$E$242:$CZ$242,'Dvd Calendar'!$E$241:$CZ$241,"&gt;"&amp;D$48,'Dvd Calendar'!$E$241:$CZ$241,"&lt;="&amp;D$49),"")))</f>
        <v/>
      </c>
      <c r="E168" s="140">
        <f>IF(E$49="","",IF($B168="","",IFERROR(SUMIFS('Dvd Calendar'!$E$242:$CZ$242,'Dvd Calendar'!$E$241:$CZ$241,"&gt;"&amp;E$48,'Dvd Calendar'!$E$241:$CZ$241,"&lt;="&amp;E$49),"")))</f>
        <v/>
      </c>
      <c r="F168" s="140">
        <f>IF(F$49="","",IF($B168="","",IFERROR(SUMIFS('Dvd Calendar'!$E$242:$CZ$242,'Dvd Calendar'!$E$241:$CZ$241,"&gt;"&amp;F$48,'Dvd Calendar'!$E$241:$CZ$241,"&lt;="&amp;F$49),"")))</f>
        <v/>
      </c>
      <c r="G168" s="140">
        <f>IF(G$49="","",IF($B168="","",IFERROR(SUMIFS('Dvd Calendar'!$E$242:$CZ$242,'Dvd Calendar'!$E$241:$CZ$241,"&gt;"&amp;G$48,'Dvd Calendar'!$E$241:$CZ$241,"&lt;="&amp;G$49),"")))</f>
        <v/>
      </c>
      <c r="H168" s="140">
        <f>IF(H$49="","",IF($B168="","",IFERROR(SUMIFS('Dvd Calendar'!$E$242:$CZ$242,'Dvd Calendar'!$E$241:$CZ$241,"&gt;"&amp;H$48,'Dvd Calendar'!$E$241:$CZ$241,"&lt;="&amp;H$49),"")))</f>
        <v/>
      </c>
      <c r="I168" s="140">
        <f>IF(I$49="","",IF($B168="","",IFERROR(SUMIFS('Dvd Calendar'!$E$242:$CZ$242,'Dvd Calendar'!$E$241:$CZ$241,"&gt;"&amp;I$48,'Dvd Calendar'!$E$241:$CZ$241,"&lt;="&amp;I$49),"")))</f>
        <v/>
      </c>
      <c r="J168" s="140">
        <f>IF(J$49="","",IF($B168="","",IFERROR(SUMIFS('Dvd Calendar'!$E$242:$CZ$242,'Dvd Calendar'!$E$241:$CZ$241,"&gt;"&amp;J$48,'Dvd Calendar'!$E$241:$CZ$241,"&lt;="&amp;J$49),"")))</f>
        <v/>
      </c>
      <c r="K168" s="140">
        <f>IF(K$49="","",IF($B168="","",IFERROR(SUMIFS('Dvd Calendar'!$E$242:$CZ$242,'Dvd Calendar'!$E$241:$CZ$241,"&gt;"&amp;K$48,'Dvd Calendar'!$E$241:$CZ$241,"&lt;="&amp;K$49),"")))</f>
        <v/>
      </c>
      <c r="L168" s="140">
        <f>IF(L$49="","",IF($B168="","",IFERROR(SUMIFS('Dvd Calendar'!$E$242:$CZ$242,'Dvd Calendar'!$E$241:$CZ$241,"&gt;"&amp;L$48,'Dvd Calendar'!$E$241:$CZ$241,"&lt;="&amp;L$49),"")))</f>
        <v/>
      </c>
      <c r="M168" s="140">
        <f>IF(M$49="","",IF($B168="","",IFERROR(SUMIFS('Dvd Calendar'!$E$242:$CZ$242,'Dvd Calendar'!$E$241:$CZ$241,"&gt;"&amp;M$48,'Dvd Calendar'!$E$241:$CZ$241,"&lt;="&amp;M$49),"")))</f>
        <v/>
      </c>
      <c r="N168" s="140">
        <f>IF(N$49="","",IF($B168="","",IFERROR(SUMIFS('Dvd Calendar'!$E$242:$CZ$242,'Dvd Calendar'!$E$241:$CZ$241,"&gt;"&amp;N$48,'Dvd Calendar'!$E$241:$CZ$241,"&lt;="&amp;N$49),"")))</f>
        <v/>
      </c>
      <c r="O168" s="140">
        <f>IF(O$49="","",IF($B168="","",IFERROR(SUMIFS('Dvd Calendar'!$E$242:$CZ$242,'Dvd Calendar'!$E$241:$CZ$241,"&gt;"&amp;O$48,'Dvd Calendar'!$E$241:$CZ$241,"&lt;="&amp;O$49),"")))</f>
        <v/>
      </c>
      <c r="P168" s="140">
        <f>IF(P$49="","",IF($B168="","",IFERROR(SUMIFS('Dvd Calendar'!$E$242:$CZ$242,'Dvd Calendar'!$E$241:$CZ$241,"&gt;"&amp;P$48,'Dvd Calendar'!$E$241:$CZ$241,"&lt;="&amp;P$49),"")))</f>
        <v/>
      </c>
      <c r="Q168" s="140">
        <f>IF(Q$49="","",IF($B168="","",IFERROR(SUMIFS('Dvd Calendar'!$E$242:$CZ$242,'Dvd Calendar'!$E$241:$CZ$241,"&gt;"&amp;Q$48,'Dvd Calendar'!$E$241:$CZ$241,"&lt;="&amp;Q$49),"")))</f>
        <v/>
      </c>
      <c r="R168" s="140">
        <f>IF(R$49="","",IF($B168="","",IFERROR(SUMIFS('Dvd Calendar'!$E$242:$CZ$242,'Dvd Calendar'!$E$241:$CZ$241,"&gt;"&amp;R$48,'Dvd Calendar'!$E$241:$CZ$241,"&lt;="&amp;R$49),"")))</f>
        <v/>
      </c>
    </row>
    <row r="169">
      <c r="B169" s="5">
        <f>IF(AS51!$C$124="","",AS51!$C$124)</f>
        <v/>
      </c>
      <c r="C169" s="140">
        <f>IF(C$49="","",IF($B169="","",IFERROR(SUMIFS('Dvd Calendar'!$E$244:$CZ$244,'Dvd Calendar'!$E$243:$CZ$243,"&gt;"&amp;C$48,'Dvd Calendar'!$E$243:$CZ$243,"&lt;="&amp;C$49),"")))</f>
        <v/>
      </c>
      <c r="D169" s="140">
        <f>IF(D$49="","",IF($B169="","",IFERROR(SUMIFS('Dvd Calendar'!$E$244:$CZ$244,'Dvd Calendar'!$E$243:$CZ$243,"&gt;"&amp;D$48,'Dvd Calendar'!$E$243:$CZ$243,"&lt;="&amp;D$49),"")))</f>
        <v/>
      </c>
      <c r="E169" s="140">
        <f>IF(E$49="","",IF($B169="","",IFERROR(SUMIFS('Dvd Calendar'!$E$244:$CZ$244,'Dvd Calendar'!$E$243:$CZ$243,"&gt;"&amp;E$48,'Dvd Calendar'!$E$243:$CZ$243,"&lt;="&amp;E$49),"")))</f>
        <v/>
      </c>
      <c r="F169" s="140">
        <f>IF(F$49="","",IF($B169="","",IFERROR(SUMIFS('Dvd Calendar'!$E$244:$CZ$244,'Dvd Calendar'!$E$243:$CZ$243,"&gt;"&amp;F$48,'Dvd Calendar'!$E$243:$CZ$243,"&lt;="&amp;F$49),"")))</f>
        <v/>
      </c>
      <c r="G169" s="140">
        <f>IF(G$49="","",IF($B169="","",IFERROR(SUMIFS('Dvd Calendar'!$E$244:$CZ$244,'Dvd Calendar'!$E$243:$CZ$243,"&gt;"&amp;G$48,'Dvd Calendar'!$E$243:$CZ$243,"&lt;="&amp;G$49),"")))</f>
        <v/>
      </c>
      <c r="H169" s="140">
        <f>IF(H$49="","",IF($B169="","",IFERROR(SUMIFS('Dvd Calendar'!$E$244:$CZ$244,'Dvd Calendar'!$E$243:$CZ$243,"&gt;"&amp;H$48,'Dvd Calendar'!$E$243:$CZ$243,"&lt;="&amp;H$49),"")))</f>
        <v/>
      </c>
      <c r="I169" s="140">
        <f>IF(I$49="","",IF($B169="","",IFERROR(SUMIFS('Dvd Calendar'!$E$244:$CZ$244,'Dvd Calendar'!$E$243:$CZ$243,"&gt;"&amp;I$48,'Dvd Calendar'!$E$243:$CZ$243,"&lt;="&amp;I$49),"")))</f>
        <v/>
      </c>
      <c r="J169" s="140">
        <f>IF(J$49="","",IF($B169="","",IFERROR(SUMIFS('Dvd Calendar'!$E$244:$CZ$244,'Dvd Calendar'!$E$243:$CZ$243,"&gt;"&amp;J$48,'Dvd Calendar'!$E$243:$CZ$243,"&lt;="&amp;J$49),"")))</f>
        <v/>
      </c>
      <c r="K169" s="140">
        <f>IF(K$49="","",IF($B169="","",IFERROR(SUMIFS('Dvd Calendar'!$E$244:$CZ$244,'Dvd Calendar'!$E$243:$CZ$243,"&gt;"&amp;K$48,'Dvd Calendar'!$E$243:$CZ$243,"&lt;="&amp;K$49),"")))</f>
        <v/>
      </c>
      <c r="L169" s="140">
        <f>IF(L$49="","",IF($B169="","",IFERROR(SUMIFS('Dvd Calendar'!$E$244:$CZ$244,'Dvd Calendar'!$E$243:$CZ$243,"&gt;"&amp;L$48,'Dvd Calendar'!$E$243:$CZ$243,"&lt;="&amp;L$49),"")))</f>
        <v/>
      </c>
      <c r="M169" s="140">
        <f>IF(M$49="","",IF($B169="","",IFERROR(SUMIFS('Dvd Calendar'!$E$244:$CZ$244,'Dvd Calendar'!$E$243:$CZ$243,"&gt;"&amp;M$48,'Dvd Calendar'!$E$243:$CZ$243,"&lt;="&amp;M$49),"")))</f>
        <v/>
      </c>
      <c r="N169" s="140">
        <f>IF(N$49="","",IF($B169="","",IFERROR(SUMIFS('Dvd Calendar'!$E$244:$CZ$244,'Dvd Calendar'!$E$243:$CZ$243,"&gt;"&amp;N$48,'Dvd Calendar'!$E$243:$CZ$243,"&lt;="&amp;N$49),"")))</f>
        <v/>
      </c>
      <c r="O169" s="140">
        <f>IF(O$49="","",IF($B169="","",IFERROR(SUMIFS('Dvd Calendar'!$E$244:$CZ$244,'Dvd Calendar'!$E$243:$CZ$243,"&gt;"&amp;O$48,'Dvd Calendar'!$E$243:$CZ$243,"&lt;="&amp;O$49),"")))</f>
        <v/>
      </c>
      <c r="P169" s="140">
        <f>IF(P$49="","",IF($B169="","",IFERROR(SUMIFS('Dvd Calendar'!$E$244:$CZ$244,'Dvd Calendar'!$E$243:$CZ$243,"&gt;"&amp;P$48,'Dvd Calendar'!$E$243:$CZ$243,"&lt;="&amp;P$49),"")))</f>
        <v/>
      </c>
      <c r="Q169" s="140">
        <f>IF(Q$49="","",IF($B169="","",IFERROR(SUMIFS('Dvd Calendar'!$E$244:$CZ$244,'Dvd Calendar'!$E$243:$CZ$243,"&gt;"&amp;Q$48,'Dvd Calendar'!$E$243:$CZ$243,"&lt;="&amp;Q$49),"")))</f>
        <v/>
      </c>
      <c r="R169" s="140">
        <f>IF(R$49="","",IF($B169="","",IFERROR(SUMIFS('Dvd Calendar'!$E$244:$CZ$244,'Dvd Calendar'!$E$243:$CZ$243,"&gt;"&amp;R$48,'Dvd Calendar'!$E$243:$CZ$243,"&lt;="&amp;R$49),"")))</f>
        <v/>
      </c>
    </row>
    <row r="170">
      <c r="B170" s="5">
        <f>IF(AS51!$C$125="","",AS51!$C$125)</f>
        <v/>
      </c>
      <c r="C170" s="140">
        <f>IF(C$49="","",IF($B170="","",IFERROR(SUMIFS('Dvd Calendar'!$E$246:$CZ$246,'Dvd Calendar'!$E$245:$CZ$245,"&gt;"&amp;C$48,'Dvd Calendar'!$E$245:$CZ$245,"&lt;="&amp;C$49),"")))</f>
        <v/>
      </c>
      <c r="D170" s="140">
        <f>IF(D$49="","",IF($B170="","",IFERROR(SUMIFS('Dvd Calendar'!$E$246:$CZ$246,'Dvd Calendar'!$E$245:$CZ$245,"&gt;"&amp;D$48,'Dvd Calendar'!$E$245:$CZ$245,"&lt;="&amp;D$49),"")))</f>
        <v/>
      </c>
      <c r="E170" s="140">
        <f>IF(E$49="","",IF($B170="","",IFERROR(SUMIFS('Dvd Calendar'!$E$246:$CZ$246,'Dvd Calendar'!$E$245:$CZ$245,"&gt;"&amp;E$48,'Dvd Calendar'!$E$245:$CZ$245,"&lt;="&amp;E$49),"")))</f>
        <v/>
      </c>
      <c r="F170" s="140">
        <f>IF(F$49="","",IF($B170="","",IFERROR(SUMIFS('Dvd Calendar'!$E$246:$CZ$246,'Dvd Calendar'!$E$245:$CZ$245,"&gt;"&amp;F$48,'Dvd Calendar'!$E$245:$CZ$245,"&lt;="&amp;F$49),"")))</f>
        <v/>
      </c>
      <c r="G170" s="140">
        <f>IF(G$49="","",IF($B170="","",IFERROR(SUMIFS('Dvd Calendar'!$E$246:$CZ$246,'Dvd Calendar'!$E$245:$CZ$245,"&gt;"&amp;G$48,'Dvd Calendar'!$E$245:$CZ$245,"&lt;="&amp;G$49),"")))</f>
        <v/>
      </c>
      <c r="H170" s="140">
        <f>IF(H$49="","",IF($B170="","",IFERROR(SUMIFS('Dvd Calendar'!$E$246:$CZ$246,'Dvd Calendar'!$E$245:$CZ$245,"&gt;"&amp;H$48,'Dvd Calendar'!$E$245:$CZ$245,"&lt;="&amp;H$49),"")))</f>
        <v/>
      </c>
      <c r="I170" s="140">
        <f>IF(I$49="","",IF($B170="","",IFERROR(SUMIFS('Dvd Calendar'!$E$246:$CZ$246,'Dvd Calendar'!$E$245:$CZ$245,"&gt;"&amp;I$48,'Dvd Calendar'!$E$245:$CZ$245,"&lt;="&amp;I$49),"")))</f>
        <v/>
      </c>
      <c r="J170" s="140">
        <f>IF(J$49="","",IF($B170="","",IFERROR(SUMIFS('Dvd Calendar'!$E$246:$CZ$246,'Dvd Calendar'!$E$245:$CZ$245,"&gt;"&amp;J$48,'Dvd Calendar'!$E$245:$CZ$245,"&lt;="&amp;J$49),"")))</f>
        <v/>
      </c>
      <c r="K170" s="140">
        <f>IF(K$49="","",IF($B170="","",IFERROR(SUMIFS('Dvd Calendar'!$E$246:$CZ$246,'Dvd Calendar'!$E$245:$CZ$245,"&gt;"&amp;K$48,'Dvd Calendar'!$E$245:$CZ$245,"&lt;="&amp;K$49),"")))</f>
        <v/>
      </c>
      <c r="L170" s="140">
        <f>IF(L$49="","",IF($B170="","",IFERROR(SUMIFS('Dvd Calendar'!$E$246:$CZ$246,'Dvd Calendar'!$E$245:$CZ$245,"&gt;"&amp;L$48,'Dvd Calendar'!$E$245:$CZ$245,"&lt;="&amp;L$49),"")))</f>
        <v/>
      </c>
      <c r="M170" s="140">
        <f>IF(M$49="","",IF($B170="","",IFERROR(SUMIFS('Dvd Calendar'!$E$246:$CZ$246,'Dvd Calendar'!$E$245:$CZ$245,"&gt;"&amp;M$48,'Dvd Calendar'!$E$245:$CZ$245,"&lt;="&amp;M$49),"")))</f>
        <v/>
      </c>
      <c r="N170" s="140">
        <f>IF(N$49="","",IF($B170="","",IFERROR(SUMIFS('Dvd Calendar'!$E$246:$CZ$246,'Dvd Calendar'!$E$245:$CZ$245,"&gt;"&amp;N$48,'Dvd Calendar'!$E$245:$CZ$245,"&lt;="&amp;N$49),"")))</f>
        <v/>
      </c>
      <c r="O170" s="140">
        <f>IF(O$49="","",IF($B170="","",IFERROR(SUMIFS('Dvd Calendar'!$E$246:$CZ$246,'Dvd Calendar'!$E$245:$CZ$245,"&gt;"&amp;O$48,'Dvd Calendar'!$E$245:$CZ$245,"&lt;="&amp;O$49),"")))</f>
        <v/>
      </c>
      <c r="P170" s="140">
        <f>IF(P$49="","",IF($B170="","",IFERROR(SUMIFS('Dvd Calendar'!$E$246:$CZ$246,'Dvd Calendar'!$E$245:$CZ$245,"&gt;"&amp;P$48,'Dvd Calendar'!$E$245:$CZ$245,"&lt;="&amp;P$49),"")))</f>
        <v/>
      </c>
      <c r="Q170" s="140">
        <f>IF(Q$49="","",IF($B170="","",IFERROR(SUMIFS('Dvd Calendar'!$E$246:$CZ$246,'Dvd Calendar'!$E$245:$CZ$245,"&gt;"&amp;Q$48,'Dvd Calendar'!$E$245:$CZ$245,"&lt;="&amp;Q$49),"")))</f>
        <v/>
      </c>
      <c r="R170" s="140">
        <f>IF(R$49="","",IF($B170="","",IFERROR(SUMIFS('Dvd Calendar'!$E$246:$CZ$246,'Dvd Calendar'!$E$245:$CZ$245,"&gt;"&amp;R$48,'Dvd Calendar'!$E$245:$CZ$245,"&lt;="&amp;R$49),"")))</f>
        <v/>
      </c>
    </row>
    <row r="171">
      <c r="B171" s="5">
        <f>IF(AS51!$C$126="","",AS51!$C$126)</f>
        <v/>
      </c>
      <c r="C171" s="140">
        <f>IF(C$49="","",IF($B171="","",IFERROR(SUMIFS('Dvd Calendar'!$E$248:$CZ$248,'Dvd Calendar'!$E$247:$CZ$247,"&gt;"&amp;C$48,'Dvd Calendar'!$E$247:$CZ$247,"&lt;="&amp;C$49),"")))</f>
        <v/>
      </c>
      <c r="D171" s="140">
        <f>IF(D$49="","",IF($B171="","",IFERROR(SUMIFS('Dvd Calendar'!$E$248:$CZ$248,'Dvd Calendar'!$E$247:$CZ$247,"&gt;"&amp;D$48,'Dvd Calendar'!$E$247:$CZ$247,"&lt;="&amp;D$49),"")))</f>
        <v/>
      </c>
      <c r="E171" s="140">
        <f>IF(E$49="","",IF($B171="","",IFERROR(SUMIFS('Dvd Calendar'!$E$248:$CZ$248,'Dvd Calendar'!$E$247:$CZ$247,"&gt;"&amp;E$48,'Dvd Calendar'!$E$247:$CZ$247,"&lt;="&amp;E$49),"")))</f>
        <v/>
      </c>
      <c r="F171" s="140">
        <f>IF(F$49="","",IF($B171="","",IFERROR(SUMIFS('Dvd Calendar'!$E$248:$CZ$248,'Dvd Calendar'!$E$247:$CZ$247,"&gt;"&amp;F$48,'Dvd Calendar'!$E$247:$CZ$247,"&lt;="&amp;F$49),"")))</f>
        <v/>
      </c>
      <c r="G171" s="140">
        <f>IF(G$49="","",IF($B171="","",IFERROR(SUMIFS('Dvd Calendar'!$E$248:$CZ$248,'Dvd Calendar'!$E$247:$CZ$247,"&gt;"&amp;G$48,'Dvd Calendar'!$E$247:$CZ$247,"&lt;="&amp;G$49),"")))</f>
        <v/>
      </c>
      <c r="H171" s="140">
        <f>IF(H$49="","",IF($B171="","",IFERROR(SUMIFS('Dvd Calendar'!$E$248:$CZ$248,'Dvd Calendar'!$E$247:$CZ$247,"&gt;"&amp;H$48,'Dvd Calendar'!$E$247:$CZ$247,"&lt;="&amp;H$49),"")))</f>
        <v/>
      </c>
      <c r="I171" s="140">
        <f>IF(I$49="","",IF($B171="","",IFERROR(SUMIFS('Dvd Calendar'!$E$248:$CZ$248,'Dvd Calendar'!$E$247:$CZ$247,"&gt;"&amp;I$48,'Dvd Calendar'!$E$247:$CZ$247,"&lt;="&amp;I$49),"")))</f>
        <v/>
      </c>
      <c r="J171" s="140">
        <f>IF(J$49="","",IF($B171="","",IFERROR(SUMIFS('Dvd Calendar'!$E$248:$CZ$248,'Dvd Calendar'!$E$247:$CZ$247,"&gt;"&amp;J$48,'Dvd Calendar'!$E$247:$CZ$247,"&lt;="&amp;J$49),"")))</f>
        <v/>
      </c>
      <c r="K171" s="140">
        <f>IF(K$49="","",IF($B171="","",IFERROR(SUMIFS('Dvd Calendar'!$E$248:$CZ$248,'Dvd Calendar'!$E$247:$CZ$247,"&gt;"&amp;K$48,'Dvd Calendar'!$E$247:$CZ$247,"&lt;="&amp;K$49),"")))</f>
        <v/>
      </c>
      <c r="L171" s="140">
        <f>IF(L$49="","",IF($B171="","",IFERROR(SUMIFS('Dvd Calendar'!$E$248:$CZ$248,'Dvd Calendar'!$E$247:$CZ$247,"&gt;"&amp;L$48,'Dvd Calendar'!$E$247:$CZ$247,"&lt;="&amp;L$49),"")))</f>
        <v/>
      </c>
      <c r="M171" s="140">
        <f>IF(M$49="","",IF($B171="","",IFERROR(SUMIFS('Dvd Calendar'!$E$248:$CZ$248,'Dvd Calendar'!$E$247:$CZ$247,"&gt;"&amp;M$48,'Dvd Calendar'!$E$247:$CZ$247,"&lt;="&amp;M$49),"")))</f>
        <v/>
      </c>
      <c r="N171" s="140">
        <f>IF(N$49="","",IF($B171="","",IFERROR(SUMIFS('Dvd Calendar'!$E$248:$CZ$248,'Dvd Calendar'!$E$247:$CZ$247,"&gt;"&amp;N$48,'Dvd Calendar'!$E$247:$CZ$247,"&lt;="&amp;N$49),"")))</f>
        <v/>
      </c>
      <c r="O171" s="140">
        <f>IF(O$49="","",IF($B171="","",IFERROR(SUMIFS('Dvd Calendar'!$E$248:$CZ$248,'Dvd Calendar'!$E$247:$CZ$247,"&gt;"&amp;O$48,'Dvd Calendar'!$E$247:$CZ$247,"&lt;="&amp;O$49),"")))</f>
        <v/>
      </c>
      <c r="P171" s="140">
        <f>IF(P$49="","",IF($B171="","",IFERROR(SUMIFS('Dvd Calendar'!$E$248:$CZ$248,'Dvd Calendar'!$E$247:$CZ$247,"&gt;"&amp;P$48,'Dvd Calendar'!$E$247:$CZ$247,"&lt;="&amp;P$49),"")))</f>
        <v/>
      </c>
      <c r="Q171" s="140">
        <f>IF(Q$49="","",IF($B171="","",IFERROR(SUMIFS('Dvd Calendar'!$E$248:$CZ$248,'Dvd Calendar'!$E$247:$CZ$247,"&gt;"&amp;Q$48,'Dvd Calendar'!$E$247:$CZ$247,"&lt;="&amp;Q$49),"")))</f>
        <v/>
      </c>
      <c r="R171" s="140">
        <f>IF(R$49="","",IF($B171="","",IFERROR(SUMIFS('Dvd Calendar'!$E$248:$CZ$248,'Dvd Calendar'!$E$247:$CZ$247,"&gt;"&amp;R$48,'Dvd Calendar'!$E$247:$CZ$247,"&lt;="&amp;R$49),"")))</f>
        <v/>
      </c>
    </row>
    <row r="172">
      <c r="B172" s="5">
        <f>IF(AS51!$C$127="","",AS51!$C$127)</f>
        <v/>
      </c>
      <c r="C172" s="140">
        <f>IF(C$49="","",IF($B172="","",IFERROR(SUMIFS('Dvd Calendar'!$E$250:$CZ$250,'Dvd Calendar'!$E$249:$CZ$249,"&gt;"&amp;C$48,'Dvd Calendar'!$E$249:$CZ$249,"&lt;="&amp;C$49),"")))</f>
        <v/>
      </c>
      <c r="D172" s="140">
        <f>IF(D$49="","",IF($B172="","",IFERROR(SUMIFS('Dvd Calendar'!$E$250:$CZ$250,'Dvd Calendar'!$E$249:$CZ$249,"&gt;"&amp;D$48,'Dvd Calendar'!$E$249:$CZ$249,"&lt;="&amp;D$49),"")))</f>
        <v/>
      </c>
      <c r="E172" s="140">
        <f>IF(E$49="","",IF($B172="","",IFERROR(SUMIFS('Dvd Calendar'!$E$250:$CZ$250,'Dvd Calendar'!$E$249:$CZ$249,"&gt;"&amp;E$48,'Dvd Calendar'!$E$249:$CZ$249,"&lt;="&amp;E$49),"")))</f>
        <v/>
      </c>
      <c r="F172" s="140">
        <f>IF(F$49="","",IF($B172="","",IFERROR(SUMIFS('Dvd Calendar'!$E$250:$CZ$250,'Dvd Calendar'!$E$249:$CZ$249,"&gt;"&amp;F$48,'Dvd Calendar'!$E$249:$CZ$249,"&lt;="&amp;F$49),"")))</f>
        <v/>
      </c>
      <c r="G172" s="140">
        <f>IF(G$49="","",IF($B172="","",IFERROR(SUMIFS('Dvd Calendar'!$E$250:$CZ$250,'Dvd Calendar'!$E$249:$CZ$249,"&gt;"&amp;G$48,'Dvd Calendar'!$E$249:$CZ$249,"&lt;="&amp;G$49),"")))</f>
        <v/>
      </c>
      <c r="H172" s="140">
        <f>IF(H$49="","",IF($B172="","",IFERROR(SUMIFS('Dvd Calendar'!$E$250:$CZ$250,'Dvd Calendar'!$E$249:$CZ$249,"&gt;"&amp;H$48,'Dvd Calendar'!$E$249:$CZ$249,"&lt;="&amp;H$49),"")))</f>
        <v/>
      </c>
      <c r="I172" s="140">
        <f>IF(I$49="","",IF($B172="","",IFERROR(SUMIFS('Dvd Calendar'!$E$250:$CZ$250,'Dvd Calendar'!$E$249:$CZ$249,"&gt;"&amp;I$48,'Dvd Calendar'!$E$249:$CZ$249,"&lt;="&amp;I$49),"")))</f>
        <v/>
      </c>
      <c r="J172" s="140">
        <f>IF(J$49="","",IF($B172="","",IFERROR(SUMIFS('Dvd Calendar'!$E$250:$CZ$250,'Dvd Calendar'!$E$249:$CZ$249,"&gt;"&amp;J$48,'Dvd Calendar'!$E$249:$CZ$249,"&lt;="&amp;J$49),"")))</f>
        <v/>
      </c>
      <c r="K172" s="140">
        <f>IF(K$49="","",IF($B172="","",IFERROR(SUMIFS('Dvd Calendar'!$E$250:$CZ$250,'Dvd Calendar'!$E$249:$CZ$249,"&gt;"&amp;K$48,'Dvd Calendar'!$E$249:$CZ$249,"&lt;="&amp;K$49),"")))</f>
        <v/>
      </c>
      <c r="L172" s="140">
        <f>IF(L$49="","",IF($B172="","",IFERROR(SUMIFS('Dvd Calendar'!$E$250:$CZ$250,'Dvd Calendar'!$E$249:$CZ$249,"&gt;"&amp;L$48,'Dvd Calendar'!$E$249:$CZ$249,"&lt;="&amp;L$49),"")))</f>
        <v/>
      </c>
      <c r="M172" s="140">
        <f>IF(M$49="","",IF($B172="","",IFERROR(SUMIFS('Dvd Calendar'!$E$250:$CZ$250,'Dvd Calendar'!$E$249:$CZ$249,"&gt;"&amp;M$48,'Dvd Calendar'!$E$249:$CZ$249,"&lt;="&amp;M$49),"")))</f>
        <v/>
      </c>
      <c r="N172" s="140">
        <f>IF(N$49="","",IF($B172="","",IFERROR(SUMIFS('Dvd Calendar'!$E$250:$CZ$250,'Dvd Calendar'!$E$249:$CZ$249,"&gt;"&amp;N$48,'Dvd Calendar'!$E$249:$CZ$249,"&lt;="&amp;N$49),"")))</f>
        <v/>
      </c>
      <c r="O172" s="140">
        <f>IF(O$49="","",IF($B172="","",IFERROR(SUMIFS('Dvd Calendar'!$E$250:$CZ$250,'Dvd Calendar'!$E$249:$CZ$249,"&gt;"&amp;O$48,'Dvd Calendar'!$E$249:$CZ$249,"&lt;="&amp;O$49),"")))</f>
        <v/>
      </c>
      <c r="P172" s="140">
        <f>IF(P$49="","",IF($B172="","",IFERROR(SUMIFS('Dvd Calendar'!$E$250:$CZ$250,'Dvd Calendar'!$E$249:$CZ$249,"&gt;"&amp;P$48,'Dvd Calendar'!$E$249:$CZ$249,"&lt;="&amp;P$49),"")))</f>
        <v/>
      </c>
      <c r="Q172" s="140">
        <f>IF(Q$49="","",IF($B172="","",IFERROR(SUMIFS('Dvd Calendar'!$E$250:$CZ$250,'Dvd Calendar'!$E$249:$CZ$249,"&gt;"&amp;Q$48,'Dvd Calendar'!$E$249:$CZ$249,"&lt;="&amp;Q$49),"")))</f>
        <v/>
      </c>
      <c r="R172" s="140">
        <f>IF(R$49="","",IF($B172="","",IFERROR(SUMIFS('Dvd Calendar'!$E$250:$CZ$250,'Dvd Calendar'!$E$249:$CZ$249,"&gt;"&amp;R$48,'Dvd Calendar'!$E$249:$CZ$249,"&lt;="&amp;R$49),"")))</f>
        <v/>
      </c>
    </row>
    <row r="173">
      <c r="B173" s="5">
        <f>IF(AS51!$C$128="","",AS51!$C$128)</f>
        <v/>
      </c>
      <c r="C173" s="140">
        <f>IF(C$49="","",IF($B173="","",IFERROR(SUMIFS('Dvd Calendar'!$E$252:$CZ$252,'Dvd Calendar'!$E$251:$CZ$251,"&gt;"&amp;C$48,'Dvd Calendar'!$E$251:$CZ$251,"&lt;="&amp;C$49),"")))</f>
        <v/>
      </c>
      <c r="D173" s="140">
        <f>IF(D$49="","",IF($B173="","",IFERROR(SUMIFS('Dvd Calendar'!$E$252:$CZ$252,'Dvd Calendar'!$E$251:$CZ$251,"&gt;"&amp;D$48,'Dvd Calendar'!$E$251:$CZ$251,"&lt;="&amp;D$49),"")))</f>
        <v/>
      </c>
      <c r="E173" s="140">
        <f>IF(E$49="","",IF($B173="","",IFERROR(SUMIFS('Dvd Calendar'!$E$252:$CZ$252,'Dvd Calendar'!$E$251:$CZ$251,"&gt;"&amp;E$48,'Dvd Calendar'!$E$251:$CZ$251,"&lt;="&amp;E$49),"")))</f>
        <v/>
      </c>
      <c r="F173" s="140">
        <f>IF(F$49="","",IF($B173="","",IFERROR(SUMIFS('Dvd Calendar'!$E$252:$CZ$252,'Dvd Calendar'!$E$251:$CZ$251,"&gt;"&amp;F$48,'Dvd Calendar'!$E$251:$CZ$251,"&lt;="&amp;F$49),"")))</f>
        <v/>
      </c>
      <c r="G173" s="140">
        <f>IF(G$49="","",IF($B173="","",IFERROR(SUMIFS('Dvd Calendar'!$E$252:$CZ$252,'Dvd Calendar'!$E$251:$CZ$251,"&gt;"&amp;G$48,'Dvd Calendar'!$E$251:$CZ$251,"&lt;="&amp;G$49),"")))</f>
        <v/>
      </c>
      <c r="H173" s="140">
        <f>IF(H$49="","",IF($B173="","",IFERROR(SUMIFS('Dvd Calendar'!$E$252:$CZ$252,'Dvd Calendar'!$E$251:$CZ$251,"&gt;"&amp;H$48,'Dvd Calendar'!$E$251:$CZ$251,"&lt;="&amp;H$49),"")))</f>
        <v/>
      </c>
      <c r="I173" s="140">
        <f>IF(I$49="","",IF($B173="","",IFERROR(SUMIFS('Dvd Calendar'!$E$252:$CZ$252,'Dvd Calendar'!$E$251:$CZ$251,"&gt;"&amp;I$48,'Dvd Calendar'!$E$251:$CZ$251,"&lt;="&amp;I$49),"")))</f>
        <v/>
      </c>
      <c r="J173" s="140">
        <f>IF(J$49="","",IF($B173="","",IFERROR(SUMIFS('Dvd Calendar'!$E$252:$CZ$252,'Dvd Calendar'!$E$251:$CZ$251,"&gt;"&amp;J$48,'Dvd Calendar'!$E$251:$CZ$251,"&lt;="&amp;J$49),"")))</f>
        <v/>
      </c>
      <c r="K173" s="140">
        <f>IF(K$49="","",IF($B173="","",IFERROR(SUMIFS('Dvd Calendar'!$E$252:$CZ$252,'Dvd Calendar'!$E$251:$CZ$251,"&gt;"&amp;K$48,'Dvd Calendar'!$E$251:$CZ$251,"&lt;="&amp;K$49),"")))</f>
        <v/>
      </c>
      <c r="L173" s="140">
        <f>IF(L$49="","",IF($B173="","",IFERROR(SUMIFS('Dvd Calendar'!$E$252:$CZ$252,'Dvd Calendar'!$E$251:$CZ$251,"&gt;"&amp;L$48,'Dvd Calendar'!$E$251:$CZ$251,"&lt;="&amp;L$49),"")))</f>
        <v/>
      </c>
      <c r="M173" s="140">
        <f>IF(M$49="","",IF($B173="","",IFERROR(SUMIFS('Dvd Calendar'!$E$252:$CZ$252,'Dvd Calendar'!$E$251:$CZ$251,"&gt;"&amp;M$48,'Dvd Calendar'!$E$251:$CZ$251,"&lt;="&amp;M$49),"")))</f>
        <v/>
      </c>
      <c r="N173" s="140">
        <f>IF(N$49="","",IF($B173="","",IFERROR(SUMIFS('Dvd Calendar'!$E$252:$CZ$252,'Dvd Calendar'!$E$251:$CZ$251,"&gt;"&amp;N$48,'Dvd Calendar'!$E$251:$CZ$251,"&lt;="&amp;N$49),"")))</f>
        <v/>
      </c>
      <c r="O173" s="140">
        <f>IF(O$49="","",IF($B173="","",IFERROR(SUMIFS('Dvd Calendar'!$E$252:$CZ$252,'Dvd Calendar'!$E$251:$CZ$251,"&gt;"&amp;O$48,'Dvd Calendar'!$E$251:$CZ$251,"&lt;="&amp;O$49),"")))</f>
        <v/>
      </c>
      <c r="P173" s="140">
        <f>IF(P$49="","",IF($B173="","",IFERROR(SUMIFS('Dvd Calendar'!$E$252:$CZ$252,'Dvd Calendar'!$E$251:$CZ$251,"&gt;"&amp;P$48,'Dvd Calendar'!$E$251:$CZ$251,"&lt;="&amp;P$49),"")))</f>
        <v/>
      </c>
      <c r="Q173" s="140">
        <f>IF(Q$49="","",IF($B173="","",IFERROR(SUMIFS('Dvd Calendar'!$E$252:$CZ$252,'Dvd Calendar'!$E$251:$CZ$251,"&gt;"&amp;Q$48,'Dvd Calendar'!$E$251:$CZ$251,"&lt;="&amp;Q$49),"")))</f>
        <v/>
      </c>
      <c r="R173" s="140">
        <f>IF(R$49="","",IF($B173="","",IFERROR(SUMIFS('Dvd Calendar'!$E$252:$CZ$252,'Dvd Calendar'!$E$251:$CZ$251,"&gt;"&amp;R$48,'Dvd Calendar'!$E$251:$CZ$251,"&lt;="&amp;R$49),"")))</f>
        <v/>
      </c>
    </row>
    <row r="174">
      <c r="B174" s="5">
        <f>IF(AS51!$C$129="","",AS51!$C$129)</f>
        <v/>
      </c>
      <c r="C174" s="140">
        <f>IF(C$49="","",IF($B174="","",IFERROR(SUMIFS('Dvd Calendar'!$E$254:$CZ$254,'Dvd Calendar'!$E$253:$CZ$253,"&gt;"&amp;C$48,'Dvd Calendar'!$E$253:$CZ$253,"&lt;="&amp;C$49),"")))</f>
        <v/>
      </c>
      <c r="D174" s="140">
        <f>IF(D$49="","",IF($B174="","",IFERROR(SUMIFS('Dvd Calendar'!$E$254:$CZ$254,'Dvd Calendar'!$E$253:$CZ$253,"&gt;"&amp;D$48,'Dvd Calendar'!$E$253:$CZ$253,"&lt;="&amp;D$49),"")))</f>
        <v/>
      </c>
      <c r="E174" s="140">
        <f>IF(E$49="","",IF($B174="","",IFERROR(SUMIFS('Dvd Calendar'!$E$254:$CZ$254,'Dvd Calendar'!$E$253:$CZ$253,"&gt;"&amp;E$48,'Dvd Calendar'!$E$253:$CZ$253,"&lt;="&amp;E$49),"")))</f>
        <v/>
      </c>
      <c r="F174" s="140">
        <f>IF(F$49="","",IF($B174="","",IFERROR(SUMIFS('Dvd Calendar'!$E$254:$CZ$254,'Dvd Calendar'!$E$253:$CZ$253,"&gt;"&amp;F$48,'Dvd Calendar'!$E$253:$CZ$253,"&lt;="&amp;F$49),"")))</f>
        <v/>
      </c>
      <c r="G174" s="140">
        <f>IF(G$49="","",IF($B174="","",IFERROR(SUMIFS('Dvd Calendar'!$E$254:$CZ$254,'Dvd Calendar'!$E$253:$CZ$253,"&gt;"&amp;G$48,'Dvd Calendar'!$E$253:$CZ$253,"&lt;="&amp;G$49),"")))</f>
        <v/>
      </c>
      <c r="H174" s="140">
        <f>IF(H$49="","",IF($B174="","",IFERROR(SUMIFS('Dvd Calendar'!$E$254:$CZ$254,'Dvd Calendar'!$E$253:$CZ$253,"&gt;"&amp;H$48,'Dvd Calendar'!$E$253:$CZ$253,"&lt;="&amp;H$49),"")))</f>
        <v/>
      </c>
      <c r="I174" s="140">
        <f>IF(I$49="","",IF($B174="","",IFERROR(SUMIFS('Dvd Calendar'!$E$254:$CZ$254,'Dvd Calendar'!$E$253:$CZ$253,"&gt;"&amp;I$48,'Dvd Calendar'!$E$253:$CZ$253,"&lt;="&amp;I$49),"")))</f>
        <v/>
      </c>
      <c r="J174" s="140">
        <f>IF(J$49="","",IF($B174="","",IFERROR(SUMIFS('Dvd Calendar'!$E$254:$CZ$254,'Dvd Calendar'!$E$253:$CZ$253,"&gt;"&amp;J$48,'Dvd Calendar'!$E$253:$CZ$253,"&lt;="&amp;J$49),"")))</f>
        <v/>
      </c>
      <c r="K174" s="140">
        <f>IF(K$49="","",IF($B174="","",IFERROR(SUMIFS('Dvd Calendar'!$E$254:$CZ$254,'Dvd Calendar'!$E$253:$CZ$253,"&gt;"&amp;K$48,'Dvd Calendar'!$E$253:$CZ$253,"&lt;="&amp;K$49),"")))</f>
        <v/>
      </c>
      <c r="L174" s="140">
        <f>IF(L$49="","",IF($B174="","",IFERROR(SUMIFS('Dvd Calendar'!$E$254:$CZ$254,'Dvd Calendar'!$E$253:$CZ$253,"&gt;"&amp;L$48,'Dvd Calendar'!$E$253:$CZ$253,"&lt;="&amp;L$49),"")))</f>
        <v/>
      </c>
      <c r="M174" s="140">
        <f>IF(M$49="","",IF($B174="","",IFERROR(SUMIFS('Dvd Calendar'!$E$254:$CZ$254,'Dvd Calendar'!$E$253:$CZ$253,"&gt;"&amp;M$48,'Dvd Calendar'!$E$253:$CZ$253,"&lt;="&amp;M$49),"")))</f>
        <v/>
      </c>
      <c r="N174" s="140">
        <f>IF(N$49="","",IF($B174="","",IFERROR(SUMIFS('Dvd Calendar'!$E$254:$CZ$254,'Dvd Calendar'!$E$253:$CZ$253,"&gt;"&amp;N$48,'Dvd Calendar'!$E$253:$CZ$253,"&lt;="&amp;N$49),"")))</f>
        <v/>
      </c>
      <c r="O174" s="140">
        <f>IF(O$49="","",IF($B174="","",IFERROR(SUMIFS('Dvd Calendar'!$E$254:$CZ$254,'Dvd Calendar'!$E$253:$CZ$253,"&gt;"&amp;O$48,'Dvd Calendar'!$E$253:$CZ$253,"&lt;="&amp;O$49),"")))</f>
        <v/>
      </c>
      <c r="P174" s="140">
        <f>IF(P$49="","",IF($B174="","",IFERROR(SUMIFS('Dvd Calendar'!$E$254:$CZ$254,'Dvd Calendar'!$E$253:$CZ$253,"&gt;"&amp;P$48,'Dvd Calendar'!$E$253:$CZ$253,"&lt;="&amp;P$49),"")))</f>
        <v/>
      </c>
      <c r="Q174" s="140">
        <f>IF(Q$49="","",IF($B174="","",IFERROR(SUMIFS('Dvd Calendar'!$E$254:$CZ$254,'Dvd Calendar'!$E$253:$CZ$253,"&gt;"&amp;Q$48,'Dvd Calendar'!$E$253:$CZ$253,"&lt;="&amp;Q$49),"")))</f>
        <v/>
      </c>
      <c r="R174" s="140">
        <f>IF(R$49="","",IF($B174="","",IFERROR(SUMIFS('Dvd Calendar'!$E$254:$CZ$254,'Dvd Calendar'!$E$253:$CZ$253,"&gt;"&amp;R$48,'Dvd Calendar'!$E$253:$CZ$253,"&lt;="&amp;R$49),"")))</f>
        <v/>
      </c>
    </row>
    <row r="175">
      <c r="B175" s="5">
        <f>IF(AS51!$C$130="","",AS51!$C$130)</f>
        <v/>
      </c>
      <c r="C175" s="140">
        <f>IF(C$49="","",IF($B175="","",IFERROR(SUMIFS('Dvd Calendar'!$E$256:$CZ$256,'Dvd Calendar'!$E$255:$CZ$255,"&gt;"&amp;C$48,'Dvd Calendar'!$E$255:$CZ$255,"&lt;="&amp;C$49),"")))</f>
        <v/>
      </c>
      <c r="D175" s="140">
        <f>IF(D$49="","",IF($B175="","",IFERROR(SUMIFS('Dvd Calendar'!$E$256:$CZ$256,'Dvd Calendar'!$E$255:$CZ$255,"&gt;"&amp;D$48,'Dvd Calendar'!$E$255:$CZ$255,"&lt;="&amp;D$49),"")))</f>
        <v/>
      </c>
      <c r="E175" s="140">
        <f>IF(E$49="","",IF($B175="","",IFERROR(SUMIFS('Dvd Calendar'!$E$256:$CZ$256,'Dvd Calendar'!$E$255:$CZ$255,"&gt;"&amp;E$48,'Dvd Calendar'!$E$255:$CZ$255,"&lt;="&amp;E$49),"")))</f>
        <v/>
      </c>
      <c r="F175" s="140">
        <f>IF(F$49="","",IF($B175="","",IFERROR(SUMIFS('Dvd Calendar'!$E$256:$CZ$256,'Dvd Calendar'!$E$255:$CZ$255,"&gt;"&amp;F$48,'Dvd Calendar'!$E$255:$CZ$255,"&lt;="&amp;F$49),"")))</f>
        <v/>
      </c>
      <c r="G175" s="140">
        <f>IF(G$49="","",IF($B175="","",IFERROR(SUMIFS('Dvd Calendar'!$E$256:$CZ$256,'Dvd Calendar'!$E$255:$CZ$255,"&gt;"&amp;G$48,'Dvd Calendar'!$E$255:$CZ$255,"&lt;="&amp;G$49),"")))</f>
        <v/>
      </c>
      <c r="H175" s="140">
        <f>IF(H$49="","",IF($B175="","",IFERROR(SUMIFS('Dvd Calendar'!$E$256:$CZ$256,'Dvd Calendar'!$E$255:$CZ$255,"&gt;"&amp;H$48,'Dvd Calendar'!$E$255:$CZ$255,"&lt;="&amp;H$49),"")))</f>
        <v/>
      </c>
      <c r="I175" s="140">
        <f>IF(I$49="","",IF($B175="","",IFERROR(SUMIFS('Dvd Calendar'!$E$256:$CZ$256,'Dvd Calendar'!$E$255:$CZ$255,"&gt;"&amp;I$48,'Dvd Calendar'!$E$255:$CZ$255,"&lt;="&amp;I$49),"")))</f>
        <v/>
      </c>
      <c r="J175" s="140">
        <f>IF(J$49="","",IF($B175="","",IFERROR(SUMIFS('Dvd Calendar'!$E$256:$CZ$256,'Dvd Calendar'!$E$255:$CZ$255,"&gt;"&amp;J$48,'Dvd Calendar'!$E$255:$CZ$255,"&lt;="&amp;J$49),"")))</f>
        <v/>
      </c>
      <c r="K175" s="140">
        <f>IF(K$49="","",IF($B175="","",IFERROR(SUMIFS('Dvd Calendar'!$E$256:$CZ$256,'Dvd Calendar'!$E$255:$CZ$255,"&gt;"&amp;K$48,'Dvd Calendar'!$E$255:$CZ$255,"&lt;="&amp;K$49),"")))</f>
        <v/>
      </c>
      <c r="L175" s="140">
        <f>IF(L$49="","",IF($B175="","",IFERROR(SUMIFS('Dvd Calendar'!$E$256:$CZ$256,'Dvd Calendar'!$E$255:$CZ$255,"&gt;"&amp;L$48,'Dvd Calendar'!$E$255:$CZ$255,"&lt;="&amp;L$49),"")))</f>
        <v/>
      </c>
      <c r="M175" s="140">
        <f>IF(M$49="","",IF($B175="","",IFERROR(SUMIFS('Dvd Calendar'!$E$256:$CZ$256,'Dvd Calendar'!$E$255:$CZ$255,"&gt;"&amp;M$48,'Dvd Calendar'!$E$255:$CZ$255,"&lt;="&amp;M$49),"")))</f>
        <v/>
      </c>
      <c r="N175" s="140">
        <f>IF(N$49="","",IF($B175="","",IFERROR(SUMIFS('Dvd Calendar'!$E$256:$CZ$256,'Dvd Calendar'!$E$255:$CZ$255,"&gt;"&amp;N$48,'Dvd Calendar'!$E$255:$CZ$255,"&lt;="&amp;N$49),"")))</f>
        <v/>
      </c>
      <c r="O175" s="140">
        <f>IF(O$49="","",IF($B175="","",IFERROR(SUMIFS('Dvd Calendar'!$E$256:$CZ$256,'Dvd Calendar'!$E$255:$CZ$255,"&gt;"&amp;O$48,'Dvd Calendar'!$E$255:$CZ$255,"&lt;="&amp;O$49),"")))</f>
        <v/>
      </c>
      <c r="P175" s="140">
        <f>IF(P$49="","",IF($B175="","",IFERROR(SUMIFS('Dvd Calendar'!$E$256:$CZ$256,'Dvd Calendar'!$E$255:$CZ$255,"&gt;"&amp;P$48,'Dvd Calendar'!$E$255:$CZ$255,"&lt;="&amp;P$49),"")))</f>
        <v/>
      </c>
      <c r="Q175" s="140">
        <f>IF(Q$49="","",IF($B175="","",IFERROR(SUMIFS('Dvd Calendar'!$E$256:$CZ$256,'Dvd Calendar'!$E$255:$CZ$255,"&gt;"&amp;Q$48,'Dvd Calendar'!$E$255:$CZ$255,"&lt;="&amp;Q$49),"")))</f>
        <v/>
      </c>
      <c r="R175" s="140">
        <f>IF(R$49="","",IF($B175="","",IFERROR(SUMIFS('Dvd Calendar'!$E$256:$CZ$256,'Dvd Calendar'!$E$255:$CZ$255,"&gt;"&amp;R$48,'Dvd Calendar'!$E$255:$CZ$255,"&lt;="&amp;R$49),"")))</f>
        <v/>
      </c>
    </row>
    <row r="176">
      <c r="B176" s="5">
        <f>IF(AS51!$C$131="","",AS51!$C$131)</f>
        <v/>
      </c>
      <c r="C176" s="140">
        <f>IF(C$49="","",IF($B176="","",IFERROR(SUMIFS('Dvd Calendar'!$E$258:$CZ$258,'Dvd Calendar'!$E$257:$CZ$257,"&gt;"&amp;C$48,'Dvd Calendar'!$E$257:$CZ$257,"&lt;="&amp;C$49),"")))</f>
        <v/>
      </c>
      <c r="D176" s="140">
        <f>IF(D$49="","",IF($B176="","",IFERROR(SUMIFS('Dvd Calendar'!$E$258:$CZ$258,'Dvd Calendar'!$E$257:$CZ$257,"&gt;"&amp;D$48,'Dvd Calendar'!$E$257:$CZ$257,"&lt;="&amp;D$49),"")))</f>
        <v/>
      </c>
      <c r="E176" s="140">
        <f>IF(E$49="","",IF($B176="","",IFERROR(SUMIFS('Dvd Calendar'!$E$258:$CZ$258,'Dvd Calendar'!$E$257:$CZ$257,"&gt;"&amp;E$48,'Dvd Calendar'!$E$257:$CZ$257,"&lt;="&amp;E$49),"")))</f>
        <v/>
      </c>
      <c r="F176" s="140">
        <f>IF(F$49="","",IF($B176="","",IFERROR(SUMIFS('Dvd Calendar'!$E$258:$CZ$258,'Dvd Calendar'!$E$257:$CZ$257,"&gt;"&amp;F$48,'Dvd Calendar'!$E$257:$CZ$257,"&lt;="&amp;F$49),"")))</f>
        <v/>
      </c>
      <c r="G176" s="140">
        <f>IF(G$49="","",IF($B176="","",IFERROR(SUMIFS('Dvd Calendar'!$E$258:$CZ$258,'Dvd Calendar'!$E$257:$CZ$257,"&gt;"&amp;G$48,'Dvd Calendar'!$E$257:$CZ$257,"&lt;="&amp;G$49),"")))</f>
        <v/>
      </c>
      <c r="H176" s="140">
        <f>IF(H$49="","",IF($B176="","",IFERROR(SUMIFS('Dvd Calendar'!$E$258:$CZ$258,'Dvd Calendar'!$E$257:$CZ$257,"&gt;"&amp;H$48,'Dvd Calendar'!$E$257:$CZ$257,"&lt;="&amp;H$49),"")))</f>
        <v/>
      </c>
      <c r="I176" s="140">
        <f>IF(I$49="","",IF($B176="","",IFERROR(SUMIFS('Dvd Calendar'!$E$258:$CZ$258,'Dvd Calendar'!$E$257:$CZ$257,"&gt;"&amp;I$48,'Dvd Calendar'!$E$257:$CZ$257,"&lt;="&amp;I$49),"")))</f>
        <v/>
      </c>
      <c r="J176" s="140">
        <f>IF(J$49="","",IF($B176="","",IFERROR(SUMIFS('Dvd Calendar'!$E$258:$CZ$258,'Dvd Calendar'!$E$257:$CZ$257,"&gt;"&amp;J$48,'Dvd Calendar'!$E$257:$CZ$257,"&lt;="&amp;J$49),"")))</f>
        <v/>
      </c>
      <c r="K176" s="140">
        <f>IF(K$49="","",IF($B176="","",IFERROR(SUMIFS('Dvd Calendar'!$E$258:$CZ$258,'Dvd Calendar'!$E$257:$CZ$257,"&gt;"&amp;K$48,'Dvd Calendar'!$E$257:$CZ$257,"&lt;="&amp;K$49),"")))</f>
        <v/>
      </c>
      <c r="L176" s="140">
        <f>IF(L$49="","",IF($B176="","",IFERROR(SUMIFS('Dvd Calendar'!$E$258:$CZ$258,'Dvd Calendar'!$E$257:$CZ$257,"&gt;"&amp;L$48,'Dvd Calendar'!$E$257:$CZ$257,"&lt;="&amp;L$49),"")))</f>
        <v/>
      </c>
      <c r="M176" s="140">
        <f>IF(M$49="","",IF($B176="","",IFERROR(SUMIFS('Dvd Calendar'!$E$258:$CZ$258,'Dvd Calendar'!$E$257:$CZ$257,"&gt;"&amp;M$48,'Dvd Calendar'!$E$257:$CZ$257,"&lt;="&amp;M$49),"")))</f>
        <v/>
      </c>
      <c r="N176" s="140">
        <f>IF(N$49="","",IF($B176="","",IFERROR(SUMIFS('Dvd Calendar'!$E$258:$CZ$258,'Dvd Calendar'!$E$257:$CZ$257,"&gt;"&amp;N$48,'Dvd Calendar'!$E$257:$CZ$257,"&lt;="&amp;N$49),"")))</f>
        <v/>
      </c>
      <c r="O176" s="140">
        <f>IF(O$49="","",IF($B176="","",IFERROR(SUMIFS('Dvd Calendar'!$E$258:$CZ$258,'Dvd Calendar'!$E$257:$CZ$257,"&gt;"&amp;O$48,'Dvd Calendar'!$E$257:$CZ$257,"&lt;="&amp;O$49),"")))</f>
        <v/>
      </c>
      <c r="P176" s="140">
        <f>IF(P$49="","",IF($B176="","",IFERROR(SUMIFS('Dvd Calendar'!$E$258:$CZ$258,'Dvd Calendar'!$E$257:$CZ$257,"&gt;"&amp;P$48,'Dvd Calendar'!$E$257:$CZ$257,"&lt;="&amp;P$49),"")))</f>
        <v/>
      </c>
      <c r="Q176" s="140">
        <f>IF(Q$49="","",IF($B176="","",IFERROR(SUMIFS('Dvd Calendar'!$E$258:$CZ$258,'Dvd Calendar'!$E$257:$CZ$257,"&gt;"&amp;Q$48,'Dvd Calendar'!$E$257:$CZ$257,"&lt;="&amp;Q$49),"")))</f>
        <v/>
      </c>
      <c r="R176" s="140">
        <f>IF(R$49="","",IF($B176="","",IFERROR(SUMIFS('Dvd Calendar'!$E$258:$CZ$258,'Dvd Calendar'!$E$257:$CZ$257,"&gt;"&amp;R$48,'Dvd Calendar'!$E$257:$CZ$257,"&lt;="&amp;R$49),"")))</f>
        <v/>
      </c>
    </row>
    <row r="177">
      <c r="B177" s="5">
        <f>IF(AS51!$C$132="","",AS51!$C$132)</f>
        <v/>
      </c>
      <c r="C177" s="140">
        <f>IF(C$49="","",IF($B177="","",IFERROR(SUMIFS('Dvd Calendar'!$E$260:$CZ$260,'Dvd Calendar'!$E$259:$CZ$259,"&gt;"&amp;C$48,'Dvd Calendar'!$E$259:$CZ$259,"&lt;="&amp;C$49),"")))</f>
        <v/>
      </c>
      <c r="D177" s="140">
        <f>IF(D$49="","",IF($B177="","",IFERROR(SUMIFS('Dvd Calendar'!$E$260:$CZ$260,'Dvd Calendar'!$E$259:$CZ$259,"&gt;"&amp;D$48,'Dvd Calendar'!$E$259:$CZ$259,"&lt;="&amp;D$49),"")))</f>
        <v/>
      </c>
      <c r="E177" s="140">
        <f>IF(E$49="","",IF($B177="","",IFERROR(SUMIFS('Dvd Calendar'!$E$260:$CZ$260,'Dvd Calendar'!$E$259:$CZ$259,"&gt;"&amp;E$48,'Dvd Calendar'!$E$259:$CZ$259,"&lt;="&amp;E$49),"")))</f>
        <v/>
      </c>
      <c r="F177" s="140">
        <f>IF(F$49="","",IF($B177="","",IFERROR(SUMIFS('Dvd Calendar'!$E$260:$CZ$260,'Dvd Calendar'!$E$259:$CZ$259,"&gt;"&amp;F$48,'Dvd Calendar'!$E$259:$CZ$259,"&lt;="&amp;F$49),"")))</f>
        <v/>
      </c>
      <c r="G177" s="140">
        <f>IF(G$49="","",IF($B177="","",IFERROR(SUMIFS('Dvd Calendar'!$E$260:$CZ$260,'Dvd Calendar'!$E$259:$CZ$259,"&gt;"&amp;G$48,'Dvd Calendar'!$E$259:$CZ$259,"&lt;="&amp;G$49),"")))</f>
        <v/>
      </c>
      <c r="H177" s="140">
        <f>IF(H$49="","",IF($B177="","",IFERROR(SUMIFS('Dvd Calendar'!$E$260:$CZ$260,'Dvd Calendar'!$E$259:$CZ$259,"&gt;"&amp;H$48,'Dvd Calendar'!$E$259:$CZ$259,"&lt;="&amp;H$49),"")))</f>
        <v/>
      </c>
      <c r="I177" s="140">
        <f>IF(I$49="","",IF($B177="","",IFERROR(SUMIFS('Dvd Calendar'!$E$260:$CZ$260,'Dvd Calendar'!$E$259:$CZ$259,"&gt;"&amp;I$48,'Dvd Calendar'!$E$259:$CZ$259,"&lt;="&amp;I$49),"")))</f>
        <v/>
      </c>
      <c r="J177" s="140">
        <f>IF(J$49="","",IF($B177="","",IFERROR(SUMIFS('Dvd Calendar'!$E$260:$CZ$260,'Dvd Calendar'!$E$259:$CZ$259,"&gt;"&amp;J$48,'Dvd Calendar'!$E$259:$CZ$259,"&lt;="&amp;J$49),"")))</f>
        <v/>
      </c>
      <c r="K177" s="140">
        <f>IF(K$49="","",IF($B177="","",IFERROR(SUMIFS('Dvd Calendar'!$E$260:$CZ$260,'Dvd Calendar'!$E$259:$CZ$259,"&gt;"&amp;K$48,'Dvd Calendar'!$E$259:$CZ$259,"&lt;="&amp;K$49),"")))</f>
        <v/>
      </c>
      <c r="L177" s="140">
        <f>IF(L$49="","",IF($B177="","",IFERROR(SUMIFS('Dvd Calendar'!$E$260:$CZ$260,'Dvd Calendar'!$E$259:$CZ$259,"&gt;"&amp;L$48,'Dvd Calendar'!$E$259:$CZ$259,"&lt;="&amp;L$49),"")))</f>
        <v/>
      </c>
      <c r="M177" s="140">
        <f>IF(M$49="","",IF($B177="","",IFERROR(SUMIFS('Dvd Calendar'!$E$260:$CZ$260,'Dvd Calendar'!$E$259:$CZ$259,"&gt;"&amp;M$48,'Dvd Calendar'!$E$259:$CZ$259,"&lt;="&amp;M$49),"")))</f>
        <v/>
      </c>
      <c r="N177" s="140">
        <f>IF(N$49="","",IF($B177="","",IFERROR(SUMIFS('Dvd Calendar'!$E$260:$CZ$260,'Dvd Calendar'!$E$259:$CZ$259,"&gt;"&amp;N$48,'Dvd Calendar'!$E$259:$CZ$259,"&lt;="&amp;N$49),"")))</f>
        <v/>
      </c>
      <c r="O177" s="140">
        <f>IF(O$49="","",IF($B177="","",IFERROR(SUMIFS('Dvd Calendar'!$E$260:$CZ$260,'Dvd Calendar'!$E$259:$CZ$259,"&gt;"&amp;O$48,'Dvd Calendar'!$E$259:$CZ$259,"&lt;="&amp;O$49),"")))</f>
        <v/>
      </c>
      <c r="P177" s="140">
        <f>IF(P$49="","",IF($B177="","",IFERROR(SUMIFS('Dvd Calendar'!$E$260:$CZ$260,'Dvd Calendar'!$E$259:$CZ$259,"&gt;"&amp;P$48,'Dvd Calendar'!$E$259:$CZ$259,"&lt;="&amp;P$49),"")))</f>
        <v/>
      </c>
      <c r="Q177" s="140">
        <f>IF(Q$49="","",IF($B177="","",IFERROR(SUMIFS('Dvd Calendar'!$E$260:$CZ$260,'Dvd Calendar'!$E$259:$CZ$259,"&gt;"&amp;Q$48,'Dvd Calendar'!$E$259:$CZ$259,"&lt;="&amp;Q$49),"")))</f>
        <v/>
      </c>
      <c r="R177" s="140">
        <f>IF(R$49="","",IF($B177="","",IFERROR(SUMIFS('Dvd Calendar'!$E$260:$CZ$260,'Dvd Calendar'!$E$259:$CZ$259,"&gt;"&amp;R$48,'Dvd Calendar'!$E$259:$CZ$259,"&lt;="&amp;R$49),"")))</f>
        <v/>
      </c>
    </row>
    <row r="178">
      <c r="B178" s="5">
        <f>IF(AS51!$C$133="","",AS51!$C$133)</f>
        <v/>
      </c>
      <c r="C178" s="140">
        <f>IF(C$49="","",IF($B178="","",IFERROR(SUMIFS('Dvd Calendar'!$E$262:$CZ$262,'Dvd Calendar'!$E$261:$CZ$261,"&gt;"&amp;C$48,'Dvd Calendar'!$E$261:$CZ$261,"&lt;="&amp;C$49),"")))</f>
        <v/>
      </c>
      <c r="D178" s="140">
        <f>IF(D$49="","",IF($B178="","",IFERROR(SUMIFS('Dvd Calendar'!$E$262:$CZ$262,'Dvd Calendar'!$E$261:$CZ$261,"&gt;"&amp;D$48,'Dvd Calendar'!$E$261:$CZ$261,"&lt;="&amp;D$49),"")))</f>
        <v/>
      </c>
      <c r="E178" s="140">
        <f>IF(E$49="","",IF($B178="","",IFERROR(SUMIFS('Dvd Calendar'!$E$262:$CZ$262,'Dvd Calendar'!$E$261:$CZ$261,"&gt;"&amp;E$48,'Dvd Calendar'!$E$261:$CZ$261,"&lt;="&amp;E$49),"")))</f>
        <v/>
      </c>
      <c r="F178" s="140">
        <f>IF(F$49="","",IF($B178="","",IFERROR(SUMIFS('Dvd Calendar'!$E$262:$CZ$262,'Dvd Calendar'!$E$261:$CZ$261,"&gt;"&amp;F$48,'Dvd Calendar'!$E$261:$CZ$261,"&lt;="&amp;F$49),"")))</f>
        <v/>
      </c>
      <c r="G178" s="140">
        <f>IF(G$49="","",IF($B178="","",IFERROR(SUMIFS('Dvd Calendar'!$E$262:$CZ$262,'Dvd Calendar'!$E$261:$CZ$261,"&gt;"&amp;G$48,'Dvd Calendar'!$E$261:$CZ$261,"&lt;="&amp;G$49),"")))</f>
        <v/>
      </c>
      <c r="H178" s="140">
        <f>IF(H$49="","",IF($B178="","",IFERROR(SUMIFS('Dvd Calendar'!$E$262:$CZ$262,'Dvd Calendar'!$E$261:$CZ$261,"&gt;"&amp;H$48,'Dvd Calendar'!$E$261:$CZ$261,"&lt;="&amp;H$49),"")))</f>
        <v/>
      </c>
      <c r="I178" s="140">
        <f>IF(I$49="","",IF($B178="","",IFERROR(SUMIFS('Dvd Calendar'!$E$262:$CZ$262,'Dvd Calendar'!$E$261:$CZ$261,"&gt;"&amp;I$48,'Dvd Calendar'!$E$261:$CZ$261,"&lt;="&amp;I$49),"")))</f>
        <v/>
      </c>
      <c r="J178" s="140">
        <f>IF(J$49="","",IF($B178="","",IFERROR(SUMIFS('Dvd Calendar'!$E$262:$CZ$262,'Dvd Calendar'!$E$261:$CZ$261,"&gt;"&amp;J$48,'Dvd Calendar'!$E$261:$CZ$261,"&lt;="&amp;J$49),"")))</f>
        <v/>
      </c>
      <c r="K178" s="140">
        <f>IF(K$49="","",IF($B178="","",IFERROR(SUMIFS('Dvd Calendar'!$E$262:$CZ$262,'Dvd Calendar'!$E$261:$CZ$261,"&gt;"&amp;K$48,'Dvd Calendar'!$E$261:$CZ$261,"&lt;="&amp;K$49),"")))</f>
        <v/>
      </c>
      <c r="L178" s="140">
        <f>IF(L$49="","",IF($B178="","",IFERROR(SUMIFS('Dvd Calendar'!$E$262:$CZ$262,'Dvd Calendar'!$E$261:$CZ$261,"&gt;"&amp;L$48,'Dvd Calendar'!$E$261:$CZ$261,"&lt;="&amp;L$49),"")))</f>
        <v/>
      </c>
      <c r="M178" s="140">
        <f>IF(M$49="","",IF($B178="","",IFERROR(SUMIFS('Dvd Calendar'!$E$262:$CZ$262,'Dvd Calendar'!$E$261:$CZ$261,"&gt;"&amp;M$48,'Dvd Calendar'!$E$261:$CZ$261,"&lt;="&amp;M$49),"")))</f>
        <v/>
      </c>
      <c r="N178" s="140">
        <f>IF(N$49="","",IF($B178="","",IFERROR(SUMIFS('Dvd Calendar'!$E$262:$CZ$262,'Dvd Calendar'!$E$261:$CZ$261,"&gt;"&amp;N$48,'Dvd Calendar'!$E$261:$CZ$261,"&lt;="&amp;N$49),"")))</f>
        <v/>
      </c>
      <c r="O178" s="140">
        <f>IF(O$49="","",IF($B178="","",IFERROR(SUMIFS('Dvd Calendar'!$E$262:$CZ$262,'Dvd Calendar'!$E$261:$CZ$261,"&gt;"&amp;O$48,'Dvd Calendar'!$E$261:$CZ$261,"&lt;="&amp;O$49),"")))</f>
        <v/>
      </c>
      <c r="P178" s="140">
        <f>IF(P$49="","",IF($B178="","",IFERROR(SUMIFS('Dvd Calendar'!$E$262:$CZ$262,'Dvd Calendar'!$E$261:$CZ$261,"&gt;"&amp;P$48,'Dvd Calendar'!$E$261:$CZ$261,"&lt;="&amp;P$49),"")))</f>
        <v/>
      </c>
      <c r="Q178" s="140">
        <f>IF(Q$49="","",IF($B178="","",IFERROR(SUMIFS('Dvd Calendar'!$E$262:$CZ$262,'Dvd Calendar'!$E$261:$CZ$261,"&gt;"&amp;Q$48,'Dvd Calendar'!$E$261:$CZ$261,"&lt;="&amp;Q$49),"")))</f>
        <v/>
      </c>
      <c r="R178" s="140">
        <f>IF(R$49="","",IF($B178="","",IFERROR(SUMIFS('Dvd Calendar'!$E$262:$CZ$262,'Dvd Calendar'!$E$261:$CZ$261,"&gt;"&amp;R$48,'Dvd Calendar'!$E$261:$CZ$261,"&lt;="&amp;R$49),"")))</f>
        <v/>
      </c>
    </row>
    <row r="179">
      <c r="B179" s="5">
        <f>IF(AS51!$C$134="","",AS51!$C$134)</f>
        <v/>
      </c>
      <c r="C179" s="140">
        <f>IF(C$49="","",IF($B179="","",IFERROR(SUMIFS('Dvd Calendar'!$E$264:$CZ$264,'Dvd Calendar'!$E$263:$CZ$263,"&gt;"&amp;C$48,'Dvd Calendar'!$E$263:$CZ$263,"&lt;="&amp;C$49),"")))</f>
        <v/>
      </c>
      <c r="D179" s="140">
        <f>IF(D$49="","",IF($B179="","",IFERROR(SUMIFS('Dvd Calendar'!$E$264:$CZ$264,'Dvd Calendar'!$E$263:$CZ$263,"&gt;"&amp;D$48,'Dvd Calendar'!$E$263:$CZ$263,"&lt;="&amp;D$49),"")))</f>
        <v/>
      </c>
      <c r="E179" s="140">
        <f>IF(E$49="","",IF($B179="","",IFERROR(SUMIFS('Dvd Calendar'!$E$264:$CZ$264,'Dvd Calendar'!$E$263:$CZ$263,"&gt;"&amp;E$48,'Dvd Calendar'!$E$263:$CZ$263,"&lt;="&amp;E$49),"")))</f>
        <v/>
      </c>
      <c r="F179" s="140">
        <f>IF(F$49="","",IF($B179="","",IFERROR(SUMIFS('Dvd Calendar'!$E$264:$CZ$264,'Dvd Calendar'!$E$263:$CZ$263,"&gt;"&amp;F$48,'Dvd Calendar'!$E$263:$CZ$263,"&lt;="&amp;F$49),"")))</f>
        <v/>
      </c>
      <c r="G179" s="140">
        <f>IF(G$49="","",IF($B179="","",IFERROR(SUMIFS('Dvd Calendar'!$E$264:$CZ$264,'Dvd Calendar'!$E$263:$CZ$263,"&gt;"&amp;G$48,'Dvd Calendar'!$E$263:$CZ$263,"&lt;="&amp;G$49),"")))</f>
        <v/>
      </c>
      <c r="H179" s="140">
        <f>IF(H$49="","",IF($B179="","",IFERROR(SUMIFS('Dvd Calendar'!$E$264:$CZ$264,'Dvd Calendar'!$E$263:$CZ$263,"&gt;"&amp;H$48,'Dvd Calendar'!$E$263:$CZ$263,"&lt;="&amp;H$49),"")))</f>
        <v/>
      </c>
      <c r="I179" s="140">
        <f>IF(I$49="","",IF($B179="","",IFERROR(SUMIFS('Dvd Calendar'!$E$264:$CZ$264,'Dvd Calendar'!$E$263:$CZ$263,"&gt;"&amp;I$48,'Dvd Calendar'!$E$263:$CZ$263,"&lt;="&amp;I$49),"")))</f>
        <v/>
      </c>
      <c r="J179" s="140">
        <f>IF(J$49="","",IF($B179="","",IFERROR(SUMIFS('Dvd Calendar'!$E$264:$CZ$264,'Dvd Calendar'!$E$263:$CZ$263,"&gt;"&amp;J$48,'Dvd Calendar'!$E$263:$CZ$263,"&lt;="&amp;J$49),"")))</f>
        <v/>
      </c>
      <c r="K179" s="140">
        <f>IF(K$49="","",IF($B179="","",IFERROR(SUMIFS('Dvd Calendar'!$E$264:$CZ$264,'Dvd Calendar'!$E$263:$CZ$263,"&gt;"&amp;K$48,'Dvd Calendar'!$E$263:$CZ$263,"&lt;="&amp;K$49),"")))</f>
        <v/>
      </c>
      <c r="L179" s="140">
        <f>IF(L$49="","",IF($B179="","",IFERROR(SUMIFS('Dvd Calendar'!$E$264:$CZ$264,'Dvd Calendar'!$E$263:$CZ$263,"&gt;"&amp;L$48,'Dvd Calendar'!$E$263:$CZ$263,"&lt;="&amp;L$49),"")))</f>
        <v/>
      </c>
      <c r="M179" s="140">
        <f>IF(M$49="","",IF($B179="","",IFERROR(SUMIFS('Dvd Calendar'!$E$264:$CZ$264,'Dvd Calendar'!$E$263:$CZ$263,"&gt;"&amp;M$48,'Dvd Calendar'!$E$263:$CZ$263,"&lt;="&amp;M$49),"")))</f>
        <v/>
      </c>
      <c r="N179" s="140">
        <f>IF(N$49="","",IF($B179="","",IFERROR(SUMIFS('Dvd Calendar'!$E$264:$CZ$264,'Dvd Calendar'!$E$263:$CZ$263,"&gt;"&amp;N$48,'Dvd Calendar'!$E$263:$CZ$263,"&lt;="&amp;N$49),"")))</f>
        <v/>
      </c>
      <c r="O179" s="140">
        <f>IF(O$49="","",IF($B179="","",IFERROR(SUMIFS('Dvd Calendar'!$E$264:$CZ$264,'Dvd Calendar'!$E$263:$CZ$263,"&gt;"&amp;O$48,'Dvd Calendar'!$E$263:$CZ$263,"&lt;="&amp;O$49),"")))</f>
        <v/>
      </c>
      <c r="P179" s="140">
        <f>IF(P$49="","",IF($B179="","",IFERROR(SUMIFS('Dvd Calendar'!$E$264:$CZ$264,'Dvd Calendar'!$E$263:$CZ$263,"&gt;"&amp;P$48,'Dvd Calendar'!$E$263:$CZ$263,"&lt;="&amp;P$49),"")))</f>
        <v/>
      </c>
      <c r="Q179" s="140">
        <f>IF(Q$49="","",IF($B179="","",IFERROR(SUMIFS('Dvd Calendar'!$E$264:$CZ$264,'Dvd Calendar'!$E$263:$CZ$263,"&gt;"&amp;Q$48,'Dvd Calendar'!$E$263:$CZ$263,"&lt;="&amp;Q$49),"")))</f>
        <v/>
      </c>
      <c r="R179" s="140">
        <f>IF(R$49="","",IF($B179="","",IFERROR(SUMIFS('Dvd Calendar'!$E$264:$CZ$264,'Dvd Calendar'!$E$263:$CZ$263,"&gt;"&amp;R$48,'Dvd Calendar'!$E$263:$CZ$263,"&lt;="&amp;R$49),"")))</f>
        <v/>
      </c>
    </row>
    <row r="180">
      <c r="B180" s="5">
        <f>IF(AS51!$C$135="","",AS51!$C$135)</f>
        <v/>
      </c>
      <c r="C180" s="140">
        <f>IF(C$49="","",IF($B180="","",IFERROR(SUMIFS('Dvd Calendar'!$E$266:$CZ$266,'Dvd Calendar'!$E$265:$CZ$265,"&gt;"&amp;C$48,'Dvd Calendar'!$E$265:$CZ$265,"&lt;="&amp;C$49),"")))</f>
        <v/>
      </c>
      <c r="D180" s="140">
        <f>IF(D$49="","",IF($B180="","",IFERROR(SUMIFS('Dvd Calendar'!$E$266:$CZ$266,'Dvd Calendar'!$E$265:$CZ$265,"&gt;"&amp;D$48,'Dvd Calendar'!$E$265:$CZ$265,"&lt;="&amp;D$49),"")))</f>
        <v/>
      </c>
      <c r="E180" s="140">
        <f>IF(E$49="","",IF($B180="","",IFERROR(SUMIFS('Dvd Calendar'!$E$266:$CZ$266,'Dvd Calendar'!$E$265:$CZ$265,"&gt;"&amp;E$48,'Dvd Calendar'!$E$265:$CZ$265,"&lt;="&amp;E$49),"")))</f>
        <v/>
      </c>
      <c r="F180" s="140">
        <f>IF(F$49="","",IF($B180="","",IFERROR(SUMIFS('Dvd Calendar'!$E$266:$CZ$266,'Dvd Calendar'!$E$265:$CZ$265,"&gt;"&amp;F$48,'Dvd Calendar'!$E$265:$CZ$265,"&lt;="&amp;F$49),"")))</f>
        <v/>
      </c>
      <c r="G180" s="140">
        <f>IF(G$49="","",IF($B180="","",IFERROR(SUMIFS('Dvd Calendar'!$E$266:$CZ$266,'Dvd Calendar'!$E$265:$CZ$265,"&gt;"&amp;G$48,'Dvd Calendar'!$E$265:$CZ$265,"&lt;="&amp;G$49),"")))</f>
        <v/>
      </c>
      <c r="H180" s="140">
        <f>IF(H$49="","",IF($B180="","",IFERROR(SUMIFS('Dvd Calendar'!$E$266:$CZ$266,'Dvd Calendar'!$E$265:$CZ$265,"&gt;"&amp;H$48,'Dvd Calendar'!$E$265:$CZ$265,"&lt;="&amp;H$49),"")))</f>
        <v/>
      </c>
      <c r="I180" s="140">
        <f>IF(I$49="","",IF($B180="","",IFERROR(SUMIFS('Dvd Calendar'!$E$266:$CZ$266,'Dvd Calendar'!$E$265:$CZ$265,"&gt;"&amp;I$48,'Dvd Calendar'!$E$265:$CZ$265,"&lt;="&amp;I$49),"")))</f>
        <v/>
      </c>
      <c r="J180" s="140">
        <f>IF(J$49="","",IF($B180="","",IFERROR(SUMIFS('Dvd Calendar'!$E$266:$CZ$266,'Dvd Calendar'!$E$265:$CZ$265,"&gt;"&amp;J$48,'Dvd Calendar'!$E$265:$CZ$265,"&lt;="&amp;J$49),"")))</f>
        <v/>
      </c>
      <c r="K180" s="140">
        <f>IF(K$49="","",IF($B180="","",IFERROR(SUMIFS('Dvd Calendar'!$E$266:$CZ$266,'Dvd Calendar'!$E$265:$CZ$265,"&gt;"&amp;K$48,'Dvd Calendar'!$E$265:$CZ$265,"&lt;="&amp;K$49),"")))</f>
        <v/>
      </c>
      <c r="L180" s="140">
        <f>IF(L$49="","",IF($B180="","",IFERROR(SUMIFS('Dvd Calendar'!$E$266:$CZ$266,'Dvd Calendar'!$E$265:$CZ$265,"&gt;"&amp;L$48,'Dvd Calendar'!$E$265:$CZ$265,"&lt;="&amp;L$49),"")))</f>
        <v/>
      </c>
      <c r="M180" s="140">
        <f>IF(M$49="","",IF($B180="","",IFERROR(SUMIFS('Dvd Calendar'!$E$266:$CZ$266,'Dvd Calendar'!$E$265:$CZ$265,"&gt;"&amp;M$48,'Dvd Calendar'!$E$265:$CZ$265,"&lt;="&amp;M$49),"")))</f>
        <v/>
      </c>
      <c r="N180" s="140">
        <f>IF(N$49="","",IF($B180="","",IFERROR(SUMIFS('Dvd Calendar'!$E$266:$CZ$266,'Dvd Calendar'!$E$265:$CZ$265,"&gt;"&amp;N$48,'Dvd Calendar'!$E$265:$CZ$265,"&lt;="&amp;N$49),"")))</f>
        <v/>
      </c>
      <c r="O180" s="140">
        <f>IF(O$49="","",IF($B180="","",IFERROR(SUMIFS('Dvd Calendar'!$E$266:$CZ$266,'Dvd Calendar'!$E$265:$CZ$265,"&gt;"&amp;O$48,'Dvd Calendar'!$E$265:$CZ$265,"&lt;="&amp;O$49),"")))</f>
        <v/>
      </c>
      <c r="P180" s="140">
        <f>IF(P$49="","",IF($B180="","",IFERROR(SUMIFS('Dvd Calendar'!$E$266:$CZ$266,'Dvd Calendar'!$E$265:$CZ$265,"&gt;"&amp;P$48,'Dvd Calendar'!$E$265:$CZ$265,"&lt;="&amp;P$49),"")))</f>
        <v/>
      </c>
      <c r="Q180" s="140">
        <f>IF(Q$49="","",IF($B180="","",IFERROR(SUMIFS('Dvd Calendar'!$E$266:$CZ$266,'Dvd Calendar'!$E$265:$CZ$265,"&gt;"&amp;Q$48,'Dvd Calendar'!$E$265:$CZ$265,"&lt;="&amp;Q$49),"")))</f>
        <v/>
      </c>
      <c r="R180" s="140">
        <f>IF(R$49="","",IF($B180="","",IFERROR(SUMIFS('Dvd Calendar'!$E$266:$CZ$266,'Dvd Calendar'!$E$265:$CZ$265,"&gt;"&amp;R$48,'Dvd Calendar'!$E$265:$CZ$265,"&lt;="&amp;R$49),"")))</f>
        <v/>
      </c>
    </row>
    <row r="181">
      <c r="B181" s="5">
        <f>IF(AS51!$C$136="","",AS51!$C$136)</f>
        <v/>
      </c>
      <c r="C181" s="140">
        <f>IF(C$49="","",IF($B181="","",IFERROR(SUMIFS('Dvd Calendar'!$E$268:$CZ$268,'Dvd Calendar'!$E$267:$CZ$267,"&gt;"&amp;C$48,'Dvd Calendar'!$E$267:$CZ$267,"&lt;="&amp;C$49),"")))</f>
        <v/>
      </c>
      <c r="D181" s="140">
        <f>IF(D$49="","",IF($B181="","",IFERROR(SUMIFS('Dvd Calendar'!$E$268:$CZ$268,'Dvd Calendar'!$E$267:$CZ$267,"&gt;"&amp;D$48,'Dvd Calendar'!$E$267:$CZ$267,"&lt;="&amp;D$49),"")))</f>
        <v/>
      </c>
      <c r="E181" s="140">
        <f>IF(E$49="","",IF($B181="","",IFERROR(SUMIFS('Dvd Calendar'!$E$268:$CZ$268,'Dvd Calendar'!$E$267:$CZ$267,"&gt;"&amp;E$48,'Dvd Calendar'!$E$267:$CZ$267,"&lt;="&amp;E$49),"")))</f>
        <v/>
      </c>
      <c r="F181" s="140">
        <f>IF(F$49="","",IF($B181="","",IFERROR(SUMIFS('Dvd Calendar'!$E$268:$CZ$268,'Dvd Calendar'!$E$267:$CZ$267,"&gt;"&amp;F$48,'Dvd Calendar'!$E$267:$CZ$267,"&lt;="&amp;F$49),"")))</f>
        <v/>
      </c>
      <c r="G181" s="140">
        <f>IF(G$49="","",IF($B181="","",IFERROR(SUMIFS('Dvd Calendar'!$E$268:$CZ$268,'Dvd Calendar'!$E$267:$CZ$267,"&gt;"&amp;G$48,'Dvd Calendar'!$E$267:$CZ$267,"&lt;="&amp;G$49),"")))</f>
        <v/>
      </c>
      <c r="H181" s="140">
        <f>IF(H$49="","",IF($B181="","",IFERROR(SUMIFS('Dvd Calendar'!$E$268:$CZ$268,'Dvd Calendar'!$E$267:$CZ$267,"&gt;"&amp;H$48,'Dvd Calendar'!$E$267:$CZ$267,"&lt;="&amp;H$49),"")))</f>
        <v/>
      </c>
      <c r="I181" s="140">
        <f>IF(I$49="","",IF($B181="","",IFERROR(SUMIFS('Dvd Calendar'!$E$268:$CZ$268,'Dvd Calendar'!$E$267:$CZ$267,"&gt;"&amp;I$48,'Dvd Calendar'!$E$267:$CZ$267,"&lt;="&amp;I$49),"")))</f>
        <v/>
      </c>
      <c r="J181" s="140">
        <f>IF(J$49="","",IF($B181="","",IFERROR(SUMIFS('Dvd Calendar'!$E$268:$CZ$268,'Dvd Calendar'!$E$267:$CZ$267,"&gt;"&amp;J$48,'Dvd Calendar'!$E$267:$CZ$267,"&lt;="&amp;J$49),"")))</f>
        <v/>
      </c>
      <c r="K181" s="140">
        <f>IF(K$49="","",IF($B181="","",IFERROR(SUMIFS('Dvd Calendar'!$E$268:$CZ$268,'Dvd Calendar'!$E$267:$CZ$267,"&gt;"&amp;K$48,'Dvd Calendar'!$E$267:$CZ$267,"&lt;="&amp;K$49),"")))</f>
        <v/>
      </c>
      <c r="L181" s="140">
        <f>IF(L$49="","",IF($B181="","",IFERROR(SUMIFS('Dvd Calendar'!$E$268:$CZ$268,'Dvd Calendar'!$E$267:$CZ$267,"&gt;"&amp;L$48,'Dvd Calendar'!$E$267:$CZ$267,"&lt;="&amp;L$49),"")))</f>
        <v/>
      </c>
      <c r="M181" s="140">
        <f>IF(M$49="","",IF($B181="","",IFERROR(SUMIFS('Dvd Calendar'!$E$268:$CZ$268,'Dvd Calendar'!$E$267:$CZ$267,"&gt;"&amp;M$48,'Dvd Calendar'!$E$267:$CZ$267,"&lt;="&amp;M$49),"")))</f>
        <v/>
      </c>
      <c r="N181" s="140">
        <f>IF(N$49="","",IF($B181="","",IFERROR(SUMIFS('Dvd Calendar'!$E$268:$CZ$268,'Dvd Calendar'!$E$267:$CZ$267,"&gt;"&amp;N$48,'Dvd Calendar'!$E$267:$CZ$267,"&lt;="&amp;N$49),"")))</f>
        <v/>
      </c>
      <c r="O181" s="140">
        <f>IF(O$49="","",IF($B181="","",IFERROR(SUMIFS('Dvd Calendar'!$E$268:$CZ$268,'Dvd Calendar'!$E$267:$CZ$267,"&gt;"&amp;O$48,'Dvd Calendar'!$E$267:$CZ$267,"&lt;="&amp;O$49),"")))</f>
        <v/>
      </c>
      <c r="P181" s="140">
        <f>IF(P$49="","",IF($B181="","",IFERROR(SUMIFS('Dvd Calendar'!$E$268:$CZ$268,'Dvd Calendar'!$E$267:$CZ$267,"&gt;"&amp;P$48,'Dvd Calendar'!$E$267:$CZ$267,"&lt;="&amp;P$49),"")))</f>
        <v/>
      </c>
      <c r="Q181" s="140">
        <f>IF(Q$49="","",IF($B181="","",IFERROR(SUMIFS('Dvd Calendar'!$E$268:$CZ$268,'Dvd Calendar'!$E$267:$CZ$267,"&gt;"&amp;Q$48,'Dvd Calendar'!$E$267:$CZ$267,"&lt;="&amp;Q$49),"")))</f>
        <v/>
      </c>
      <c r="R181" s="140">
        <f>IF(R$49="","",IF($B181="","",IFERROR(SUMIFS('Dvd Calendar'!$E$268:$CZ$268,'Dvd Calendar'!$E$267:$CZ$267,"&gt;"&amp;R$48,'Dvd Calendar'!$E$267:$CZ$267,"&lt;="&amp;R$49),"")))</f>
        <v/>
      </c>
    </row>
    <row r="182">
      <c r="B182" s="5">
        <f>IF(AS51!$C$137="","",AS51!$C$137)</f>
        <v/>
      </c>
      <c r="C182" s="140">
        <f>IF(C$49="","",IF($B182="","",IFERROR(SUMIFS('Dvd Calendar'!$E$270:$CZ$270,'Dvd Calendar'!$E$269:$CZ$269,"&gt;"&amp;C$48,'Dvd Calendar'!$E$269:$CZ$269,"&lt;="&amp;C$49),"")))</f>
        <v/>
      </c>
      <c r="D182" s="140">
        <f>IF(D$49="","",IF($B182="","",IFERROR(SUMIFS('Dvd Calendar'!$E$270:$CZ$270,'Dvd Calendar'!$E$269:$CZ$269,"&gt;"&amp;D$48,'Dvd Calendar'!$E$269:$CZ$269,"&lt;="&amp;D$49),"")))</f>
        <v/>
      </c>
      <c r="E182" s="140">
        <f>IF(E$49="","",IF($B182="","",IFERROR(SUMIFS('Dvd Calendar'!$E$270:$CZ$270,'Dvd Calendar'!$E$269:$CZ$269,"&gt;"&amp;E$48,'Dvd Calendar'!$E$269:$CZ$269,"&lt;="&amp;E$49),"")))</f>
        <v/>
      </c>
      <c r="F182" s="140">
        <f>IF(F$49="","",IF($B182="","",IFERROR(SUMIFS('Dvd Calendar'!$E$270:$CZ$270,'Dvd Calendar'!$E$269:$CZ$269,"&gt;"&amp;F$48,'Dvd Calendar'!$E$269:$CZ$269,"&lt;="&amp;F$49),"")))</f>
        <v/>
      </c>
      <c r="G182" s="140">
        <f>IF(G$49="","",IF($B182="","",IFERROR(SUMIFS('Dvd Calendar'!$E$270:$CZ$270,'Dvd Calendar'!$E$269:$CZ$269,"&gt;"&amp;G$48,'Dvd Calendar'!$E$269:$CZ$269,"&lt;="&amp;G$49),"")))</f>
        <v/>
      </c>
      <c r="H182" s="140">
        <f>IF(H$49="","",IF($B182="","",IFERROR(SUMIFS('Dvd Calendar'!$E$270:$CZ$270,'Dvd Calendar'!$E$269:$CZ$269,"&gt;"&amp;H$48,'Dvd Calendar'!$E$269:$CZ$269,"&lt;="&amp;H$49),"")))</f>
        <v/>
      </c>
      <c r="I182" s="140">
        <f>IF(I$49="","",IF($B182="","",IFERROR(SUMIFS('Dvd Calendar'!$E$270:$CZ$270,'Dvd Calendar'!$E$269:$CZ$269,"&gt;"&amp;I$48,'Dvd Calendar'!$E$269:$CZ$269,"&lt;="&amp;I$49),"")))</f>
        <v/>
      </c>
      <c r="J182" s="140">
        <f>IF(J$49="","",IF($B182="","",IFERROR(SUMIFS('Dvd Calendar'!$E$270:$CZ$270,'Dvd Calendar'!$E$269:$CZ$269,"&gt;"&amp;J$48,'Dvd Calendar'!$E$269:$CZ$269,"&lt;="&amp;J$49),"")))</f>
        <v/>
      </c>
      <c r="K182" s="140">
        <f>IF(K$49="","",IF($B182="","",IFERROR(SUMIFS('Dvd Calendar'!$E$270:$CZ$270,'Dvd Calendar'!$E$269:$CZ$269,"&gt;"&amp;K$48,'Dvd Calendar'!$E$269:$CZ$269,"&lt;="&amp;K$49),"")))</f>
        <v/>
      </c>
      <c r="L182" s="140">
        <f>IF(L$49="","",IF($B182="","",IFERROR(SUMIFS('Dvd Calendar'!$E$270:$CZ$270,'Dvd Calendar'!$E$269:$CZ$269,"&gt;"&amp;L$48,'Dvd Calendar'!$E$269:$CZ$269,"&lt;="&amp;L$49),"")))</f>
        <v/>
      </c>
      <c r="M182" s="140">
        <f>IF(M$49="","",IF($B182="","",IFERROR(SUMIFS('Dvd Calendar'!$E$270:$CZ$270,'Dvd Calendar'!$E$269:$CZ$269,"&gt;"&amp;M$48,'Dvd Calendar'!$E$269:$CZ$269,"&lt;="&amp;M$49),"")))</f>
        <v/>
      </c>
      <c r="N182" s="140">
        <f>IF(N$49="","",IF($B182="","",IFERROR(SUMIFS('Dvd Calendar'!$E$270:$CZ$270,'Dvd Calendar'!$E$269:$CZ$269,"&gt;"&amp;N$48,'Dvd Calendar'!$E$269:$CZ$269,"&lt;="&amp;N$49),"")))</f>
        <v/>
      </c>
      <c r="O182" s="140">
        <f>IF(O$49="","",IF($B182="","",IFERROR(SUMIFS('Dvd Calendar'!$E$270:$CZ$270,'Dvd Calendar'!$E$269:$CZ$269,"&gt;"&amp;O$48,'Dvd Calendar'!$E$269:$CZ$269,"&lt;="&amp;O$49),"")))</f>
        <v/>
      </c>
      <c r="P182" s="140">
        <f>IF(P$49="","",IF($B182="","",IFERROR(SUMIFS('Dvd Calendar'!$E$270:$CZ$270,'Dvd Calendar'!$E$269:$CZ$269,"&gt;"&amp;P$48,'Dvd Calendar'!$E$269:$CZ$269,"&lt;="&amp;P$49),"")))</f>
        <v/>
      </c>
      <c r="Q182" s="140">
        <f>IF(Q$49="","",IF($B182="","",IFERROR(SUMIFS('Dvd Calendar'!$E$270:$CZ$270,'Dvd Calendar'!$E$269:$CZ$269,"&gt;"&amp;Q$48,'Dvd Calendar'!$E$269:$CZ$269,"&lt;="&amp;Q$49),"")))</f>
        <v/>
      </c>
      <c r="R182" s="140">
        <f>IF(R$49="","",IF($B182="","",IFERROR(SUMIFS('Dvd Calendar'!$E$270:$CZ$270,'Dvd Calendar'!$E$269:$CZ$269,"&gt;"&amp;R$48,'Dvd Calendar'!$E$269:$CZ$269,"&lt;="&amp;R$49),"")))</f>
        <v/>
      </c>
    </row>
    <row r="183">
      <c r="B183" s="5">
        <f>IF(AS51!$C$138="","",AS51!$C$138)</f>
        <v/>
      </c>
      <c r="C183" s="140">
        <f>IF(C$49="","",IF($B183="","",IFERROR(SUMIFS('Dvd Calendar'!$E$272:$CZ$272,'Dvd Calendar'!$E$271:$CZ$271,"&gt;"&amp;C$48,'Dvd Calendar'!$E$271:$CZ$271,"&lt;="&amp;C$49),"")))</f>
        <v/>
      </c>
      <c r="D183" s="140">
        <f>IF(D$49="","",IF($B183="","",IFERROR(SUMIFS('Dvd Calendar'!$E$272:$CZ$272,'Dvd Calendar'!$E$271:$CZ$271,"&gt;"&amp;D$48,'Dvd Calendar'!$E$271:$CZ$271,"&lt;="&amp;D$49),"")))</f>
        <v/>
      </c>
      <c r="E183" s="140">
        <f>IF(E$49="","",IF($B183="","",IFERROR(SUMIFS('Dvd Calendar'!$E$272:$CZ$272,'Dvd Calendar'!$E$271:$CZ$271,"&gt;"&amp;E$48,'Dvd Calendar'!$E$271:$CZ$271,"&lt;="&amp;E$49),"")))</f>
        <v/>
      </c>
      <c r="F183" s="140">
        <f>IF(F$49="","",IF($B183="","",IFERROR(SUMIFS('Dvd Calendar'!$E$272:$CZ$272,'Dvd Calendar'!$E$271:$CZ$271,"&gt;"&amp;F$48,'Dvd Calendar'!$E$271:$CZ$271,"&lt;="&amp;F$49),"")))</f>
        <v/>
      </c>
      <c r="G183" s="140">
        <f>IF(G$49="","",IF($B183="","",IFERROR(SUMIFS('Dvd Calendar'!$E$272:$CZ$272,'Dvd Calendar'!$E$271:$CZ$271,"&gt;"&amp;G$48,'Dvd Calendar'!$E$271:$CZ$271,"&lt;="&amp;G$49),"")))</f>
        <v/>
      </c>
      <c r="H183" s="140">
        <f>IF(H$49="","",IF($B183="","",IFERROR(SUMIFS('Dvd Calendar'!$E$272:$CZ$272,'Dvd Calendar'!$E$271:$CZ$271,"&gt;"&amp;H$48,'Dvd Calendar'!$E$271:$CZ$271,"&lt;="&amp;H$49),"")))</f>
        <v/>
      </c>
      <c r="I183" s="140">
        <f>IF(I$49="","",IF($B183="","",IFERROR(SUMIFS('Dvd Calendar'!$E$272:$CZ$272,'Dvd Calendar'!$E$271:$CZ$271,"&gt;"&amp;I$48,'Dvd Calendar'!$E$271:$CZ$271,"&lt;="&amp;I$49),"")))</f>
        <v/>
      </c>
      <c r="J183" s="140">
        <f>IF(J$49="","",IF($B183="","",IFERROR(SUMIFS('Dvd Calendar'!$E$272:$CZ$272,'Dvd Calendar'!$E$271:$CZ$271,"&gt;"&amp;J$48,'Dvd Calendar'!$E$271:$CZ$271,"&lt;="&amp;J$49),"")))</f>
        <v/>
      </c>
      <c r="K183" s="140">
        <f>IF(K$49="","",IF($B183="","",IFERROR(SUMIFS('Dvd Calendar'!$E$272:$CZ$272,'Dvd Calendar'!$E$271:$CZ$271,"&gt;"&amp;K$48,'Dvd Calendar'!$E$271:$CZ$271,"&lt;="&amp;K$49),"")))</f>
        <v/>
      </c>
      <c r="L183" s="140">
        <f>IF(L$49="","",IF($B183="","",IFERROR(SUMIFS('Dvd Calendar'!$E$272:$CZ$272,'Dvd Calendar'!$E$271:$CZ$271,"&gt;"&amp;L$48,'Dvd Calendar'!$E$271:$CZ$271,"&lt;="&amp;L$49),"")))</f>
        <v/>
      </c>
      <c r="M183" s="140">
        <f>IF(M$49="","",IF($B183="","",IFERROR(SUMIFS('Dvd Calendar'!$E$272:$CZ$272,'Dvd Calendar'!$E$271:$CZ$271,"&gt;"&amp;M$48,'Dvd Calendar'!$E$271:$CZ$271,"&lt;="&amp;M$49),"")))</f>
        <v/>
      </c>
      <c r="N183" s="140">
        <f>IF(N$49="","",IF($B183="","",IFERROR(SUMIFS('Dvd Calendar'!$E$272:$CZ$272,'Dvd Calendar'!$E$271:$CZ$271,"&gt;"&amp;N$48,'Dvd Calendar'!$E$271:$CZ$271,"&lt;="&amp;N$49),"")))</f>
        <v/>
      </c>
      <c r="O183" s="140">
        <f>IF(O$49="","",IF($B183="","",IFERROR(SUMIFS('Dvd Calendar'!$E$272:$CZ$272,'Dvd Calendar'!$E$271:$CZ$271,"&gt;"&amp;O$48,'Dvd Calendar'!$E$271:$CZ$271,"&lt;="&amp;O$49),"")))</f>
        <v/>
      </c>
      <c r="P183" s="140">
        <f>IF(P$49="","",IF($B183="","",IFERROR(SUMIFS('Dvd Calendar'!$E$272:$CZ$272,'Dvd Calendar'!$E$271:$CZ$271,"&gt;"&amp;P$48,'Dvd Calendar'!$E$271:$CZ$271,"&lt;="&amp;P$49),"")))</f>
        <v/>
      </c>
      <c r="Q183" s="140">
        <f>IF(Q$49="","",IF($B183="","",IFERROR(SUMIFS('Dvd Calendar'!$E$272:$CZ$272,'Dvd Calendar'!$E$271:$CZ$271,"&gt;"&amp;Q$48,'Dvd Calendar'!$E$271:$CZ$271,"&lt;="&amp;Q$49),"")))</f>
        <v/>
      </c>
      <c r="R183" s="140">
        <f>IF(R$49="","",IF($B183="","",IFERROR(SUMIFS('Dvd Calendar'!$E$272:$CZ$272,'Dvd Calendar'!$E$271:$CZ$271,"&gt;"&amp;R$48,'Dvd Calendar'!$E$271:$CZ$271,"&lt;="&amp;R$49),"")))</f>
        <v/>
      </c>
    </row>
    <row r="184">
      <c r="B184" s="5">
        <f>IF(AS51!$C$139="","",AS51!$C$139)</f>
        <v/>
      </c>
      <c r="C184" s="140">
        <f>IF(C$49="","",IF($B184="","",IFERROR(SUMIFS('Dvd Calendar'!$E$274:$CZ$274,'Dvd Calendar'!$E$273:$CZ$273,"&gt;"&amp;C$48,'Dvd Calendar'!$E$273:$CZ$273,"&lt;="&amp;C$49),"")))</f>
        <v/>
      </c>
      <c r="D184" s="140">
        <f>IF(D$49="","",IF($B184="","",IFERROR(SUMIFS('Dvd Calendar'!$E$274:$CZ$274,'Dvd Calendar'!$E$273:$CZ$273,"&gt;"&amp;D$48,'Dvd Calendar'!$E$273:$CZ$273,"&lt;="&amp;D$49),"")))</f>
        <v/>
      </c>
      <c r="E184" s="140">
        <f>IF(E$49="","",IF($B184="","",IFERROR(SUMIFS('Dvd Calendar'!$E$274:$CZ$274,'Dvd Calendar'!$E$273:$CZ$273,"&gt;"&amp;E$48,'Dvd Calendar'!$E$273:$CZ$273,"&lt;="&amp;E$49),"")))</f>
        <v/>
      </c>
      <c r="F184" s="140">
        <f>IF(F$49="","",IF($B184="","",IFERROR(SUMIFS('Dvd Calendar'!$E$274:$CZ$274,'Dvd Calendar'!$E$273:$CZ$273,"&gt;"&amp;F$48,'Dvd Calendar'!$E$273:$CZ$273,"&lt;="&amp;F$49),"")))</f>
        <v/>
      </c>
      <c r="G184" s="140">
        <f>IF(G$49="","",IF($B184="","",IFERROR(SUMIFS('Dvd Calendar'!$E$274:$CZ$274,'Dvd Calendar'!$E$273:$CZ$273,"&gt;"&amp;G$48,'Dvd Calendar'!$E$273:$CZ$273,"&lt;="&amp;G$49),"")))</f>
        <v/>
      </c>
      <c r="H184" s="140">
        <f>IF(H$49="","",IF($B184="","",IFERROR(SUMIFS('Dvd Calendar'!$E$274:$CZ$274,'Dvd Calendar'!$E$273:$CZ$273,"&gt;"&amp;H$48,'Dvd Calendar'!$E$273:$CZ$273,"&lt;="&amp;H$49),"")))</f>
        <v/>
      </c>
      <c r="I184" s="140">
        <f>IF(I$49="","",IF($B184="","",IFERROR(SUMIFS('Dvd Calendar'!$E$274:$CZ$274,'Dvd Calendar'!$E$273:$CZ$273,"&gt;"&amp;I$48,'Dvd Calendar'!$E$273:$CZ$273,"&lt;="&amp;I$49),"")))</f>
        <v/>
      </c>
      <c r="J184" s="140">
        <f>IF(J$49="","",IF($B184="","",IFERROR(SUMIFS('Dvd Calendar'!$E$274:$CZ$274,'Dvd Calendar'!$E$273:$CZ$273,"&gt;"&amp;J$48,'Dvd Calendar'!$E$273:$CZ$273,"&lt;="&amp;J$49),"")))</f>
        <v/>
      </c>
      <c r="K184" s="140">
        <f>IF(K$49="","",IF($B184="","",IFERROR(SUMIFS('Dvd Calendar'!$E$274:$CZ$274,'Dvd Calendar'!$E$273:$CZ$273,"&gt;"&amp;K$48,'Dvd Calendar'!$E$273:$CZ$273,"&lt;="&amp;K$49),"")))</f>
        <v/>
      </c>
      <c r="L184" s="140">
        <f>IF(L$49="","",IF($B184="","",IFERROR(SUMIFS('Dvd Calendar'!$E$274:$CZ$274,'Dvd Calendar'!$E$273:$CZ$273,"&gt;"&amp;L$48,'Dvd Calendar'!$E$273:$CZ$273,"&lt;="&amp;L$49),"")))</f>
        <v/>
      </c>
      <c r="M184" s="140">
        <f>IF(M$49="","",IF($B184="","",IFERROR(SUMIFS('Dvd Calendar'!$E$274:$CZ$274,'Dvd Calendar'!$E$273:$CZ$273,"&gt;"&amp;M$48,'Dvd Calendar'!$E$273:$CZ$273,"&lt;="&amp;M$49),"")))</f>
        <v/>
      </c>
      <c r="N184" s="140">
        <f>IF(N$49="","",IF($B184="","",IFERROR(SUMIFS('Dvd Calendar'!$E$274:$CZ$274,'Dvd Calendar'!$E$273:$CZ$273,"&gt;"&amp;N$48,'Dvd Calendar'!$E$273:$CZ$273,"&lt;="&amp;N$49),"")))</f>
        <v/>
      </c>
      <c r="O184" s="140">
        <f>IF(O$49="","",IF($B184="","",IFERROR(SUMIFS('Dvd Calendar'!$E$274:$CZ$274,'Dvd Calendar'!$E$273:$CZ$273,"&gt;"&amp;O$48,'Dvd Calendar'!$E$273:$CZ$273,"&lt;="&amp;O$49),"")))</f>
        <v/>
      </c>
      <c r="P184" s="140">
        <f>IF(P$49="","",IF($B184="","",IFERROR(SUMIFS('Dvd Calendar'!$E$274:$CZ$274,'Dvd Calendar'!$E$273:$CZ$273,"&gt;"&amp;P$48,'Dvd Calendar'!$E$273:$CZ$273,"&lt;="&amp;P$49),"")))</f>
        <v/>
      </c>
      <c r="Q184" s="140">
        <f>IF(Q$49="","",IF($B184="","",IFERROR(SUMIFS('Dvd Calendar'!$E$274:$CZ$274,'Dvd Calendar'!$E$273:$CZ$273,"&gt;"&amp;Q$48,'Dvd Calendar'!$E$273:$CZ$273,"&lt;="&amp;Q$49),"")))</f>
        <v/>
      </c>
      <c r="R184" s="140">
        <f>IF(R$49="","",IF($B184="","",IFERROR(SUMIFS('Dvd Calendar'!$E$274:$CZ$274,'Dvd Calendar'!$E$273:$CZ$273,"&gt;"&amp;R$48,'Dvd Calendar'!$E$273:$CZ$273,"&lt;="&amp;R$49),"")))</f>
        <v/>
      </c>
    </row>
    <row r="185">
      <c r="B185" s="5">
        <f>IF(AS51!$C$140="","",AS51!$C$140)</f>
        <v/>
      </c>
      <c r="C185" s="140">
        <f>IF(C$49="","",IF($B185="","",IFERROR(SUMIFS('Dvd Calendar'!$E$276:$CZ$276,'Dvd Calendar'!$E$275:$CZ$275,"&gt;"&amp;C$48,'Dvd Calendar'!$E$275:$CZ$275,"&lt;="&amp;C$49),"")))</f>
        <v/>
      </c>
      <c r="D185" s="140">
        <f>IF(D$49="","",IF($B185="","",IFERROR(SUMIFS('Dvd Calendar'!$E$276:$CZ$276,'Dvd Calendar'!$E$275:$CZ$275,"&gt;"&amp;D$48,'Dvd Calendar'!$E$275:$CZ$275,"&lt;="&amp;D$49),"")))</f>
        <v/>
      </c>
      <c r="E185" s="140">
        <f>IF(E$49="","",IF($B185="","",IFERROR(SUMIFS('Dvd Calendar'!$E$276:$CZ$276,'Dvd Calendar'!$E$275:$CZ$275,"&gt;"&amp;E$48,'Dvd Calendar'!$E$275:$CZ$275,"&lt;="&amp;E$49),"")))</f>
        <v/>
      </c>
      <c r="F185" s="140">
        <f>IF(F$49="","",IF($B185="","",IFERROR(SUMIFS('Dvd Calendar'!$E$276:$CZ$276,'Dvd Calendar'!$E$275:$CZ$275,"&gt;"&amp;F$48,'Dvd Calendar'!$E$275:$CZ$275,"&lt;="&amp;F$49),"")))</f>
        <v/>
      </c>
      <c r="G185" s="140">
        <f>IF(G$49="","",IF($B185="","",IFERROR(SUMIFS('Dvd Calendar'!$E$276:$CZ$276,'Dvd Calendar'!$E$275:$CZ$275,"&gt;"&amp;G$48,'Dvd Calendar'!$E$275:$CZ$275,"&lt;="&amp;G$49),"")))</f>
        <v/>
      </c>
      <c r="H185" s="140">
        <f>IF(H$49="","",IF($B185="","",IFERROR(SUMIFS('Dvd Calendar'!$E$276:$CZ$276,'Dvd Calendar'!$E$275:$CZ$275,"&gt;"&amp;H$48,'Dvd Calendar'!$E$275:$CZ$275,"&lt;="&amp;H$49),"")))</f>
        <v/>
      </c>
      <c r="I185" s="140">
        <f>IF(I$49="","",IF($B185="","",IFERROR(SUMIFS('Dvd Calendar'!$E$276:$CZ$276,'Dvd Calendar'!$E$275:$CZ$275,"&gt;"&amp;I$48,'Dvd Calendar'!$E$275:$CZ$275,"&lt;="&amp;I$49),"")))</f>
        <v/>
      </c>
      <c r="J185" s="140">
        <f>IF(J$49="","",IF($B185="","",IFERROR(SUMIFS('Dvd Calendar'!$E$276:$CZ$276,'Dvd Calendar'!$E$275:$CZ$275,"&gt;"&amp;J$48,'Dvd Calendar'!$E$275:$CZ$275,"&lt;="&amp;J$49),"")))</f>
        <v/>
      </c>
      <c r="K185" s="140">
        <f>IF(K$49="","",IF($B185="","",IFERROR(SUMIFS('Dvd Calendar'!$E$276:$CZ$276,'Dvd Calendar'!$E$275:$CZ$275,"&gt;"&amp;K$48,'Dvd Calendar'!$E$275:$CZ$275,"&lt;="&amp;K$49),"")))</f>
        <v/>
      </c>
      <c r="L185" s="140">
        <f>IF(L$49="","",IF($B185="","",IFERROR(SUMIFS('Dvd Calendar'!$E$276:$CZ$276,'Dvd Calendar'!$E$275:$CZ$275,"&gt;"&amp;L$48,'Dvd Calendar'!$E$275:$CZ$275,"&lt;="&amp;L$49),"")))</f>
        <v/>
      </c>
      <c r="M185" s="140">
        <f>IF(M$49="","",IF($B185="","",IFERROR(SUMIFS('Dvd Calendar'!$E$276:$CZ$276,'Dvd Calendar'!$E$275:$CZ$275,"&gt;"&amp;M$48,'Dvd Calendar'!$E$275:$CZ$275,"&lt;="&amp;M$49),"")))</f>
        <v/>
      </c>
      <c r="N185" s="140">
        <f>IF(N$49="","",IF($B185="","",IFERROR(SUMIFS('Dvd Calendar'!$E$276:$CZ$276,'Dvd Calendar'!$E$275:$CZ$275,"&gt;"&amp;N$48,'Dvd Calendar'!$E$275:$CZ$275,"&lt;="&amp;N$49),"")))</f>
        <v/>
      </c>
      <c r="O185" s="140">
        <f>IF(O$49="","",IF($B185="","",IFERROR(SUMIFS('Dvd Calendar'!$E$276:$CZ$276,'Dvd Calendar'!$E$275:$CZ$275,"&gt;"&amp;O$48,'Dvd Calendar'!$E$275:$CZ$275,"&lt;="&amp;O$49),"")))</f>
        <v/>
      </c>
      <c r="P185" s="140">
        <f>IF(P$49="","",IF($B185="","",IFERROR(SUMIFS('Dvd Calendar'!$E$276:$CZ$276,'Dvd Calendar'!$E$275:$CZ$275,"&gt;"&amp;P$48,'Dvd Calendar'!$E$275:$CZ$275,"&lt;="&amp;P$49),"")))</f>
        <v/>
      </c>
      <c r="Q185" s="140">
        <f>IF(Q$49="","",IF($B185="","",IFERROR(SUMIFS('Dvd Calendar'!$E$276:$CZ$276,'Dvd Calendar'!$E$275:$CZ$275,"&gt;"&amp;Q$48,'Dvd Calendar'!$E$275:$CZ$275,"&lt;="&amp;Q$49),"")))</f>
        <v/>
      </c>
      <c r="R185" s="140">
        <f>IF(R$49="","",IF($B185="","",IFERROR(SUMIFS('Dvd Calendar'!$E$276:$CZ$276,'Dvd Calendar'!$E$275:$CZ$275,"&gt;"&amp;R$48,'Dvd Calendar'!$E$275:$CZ$275,"&lt;="&amp;R$49),"")))</f>
        <v/>
      </c>
    </row>
    <row r="186">
      <c r="B186" s="5">
        <f>IF(AS51!$C$141="","",AS51!$C$141)</f>
        <v/>
      </c>
      <c r="C186" s="140">
        <f>IF(C$49="","",IF($B186="","",IFERROR(SUMIFS('Dvd Calendar'!$E$278:$CZ$278,'Dvd Calendar'!$E$277:$CZ$277,"&gt;"&amp;C$48,'Dvd Calendar'!$E$277:$CZ$277,"&lt;="&amp;C$49),"")))</f>
        <v/>
      </c>
      <c r="D186" s="140">
        <f>IF(D$49="","",IF($B186="","",IFERROR(SUMIFS('Dvd Calendar'!$E$278:$CZ$278,'Dvd Calendar'!$E$277:$CZ$277,"&gt;"&amp;D$48,'Dvd Calendar'!$E$277:$CZ$277,"&lt;="&amp;D$49),"")))</f>
        <v/>
      </c>
      <c r="E186" s="140">
        <f>IF(E$49="","",IF($B186="","",IFERROR(SUMIFS('Dvd Calendar'!$E$278:$CZ$278,'Dvd Calendar'!$E$277:$CZ$277,"&gt;"&amp;E$48,'Dvd Calendar'!$E$277:$CZ$277,"&lt;="&amp;E$49),"")))</f>
        <v/>
      </c>
      <c r="F186" s="140">
        <f>IF(F$49="","",IF($B186="","",IFERROR(SUMIFS('Dvd Calendar'!$E$278:$CZ$278,'Dvd Calendar'!$E$277:$CZ$277,"&gt;"&amp;F$48,'Dvd Calendar'!$E$277:$CZ$277,"&lt;="&amp;F$49),"")))</f>
        <v/>
      </c>
      <c r="G186" s="140">
        <f>IF(G$49="","",IF($B186="","",IFERROR(SUMIFS('Dvd Calendar'!$E$278:$CZ$278,'Dvd Calendar'!$E$277:$CZ$277,"&gt;"&amp;G$48,'Dvd Calendar'!$E$277:$CZ$277,"&lt;="&amp;G$49),"")))</f>
        <v/>
      </c>
      <c r="H186" s="140">
        <f>IF(H$49="","",IF($B186="","",IFERROR(SUMIFS('Dvd Calendar'!$E$278:$CZ$278,'Dvd Calendar'!$E$277:$CZ$277,"&gt;"&amp;H$48,'Dvd Calendar'!$E$277:$CZ$277,"&lt;="&amp;H$49),"")))</f>
        <v/>
      </c>
      <c r="I186" s="140">
        <f>IF(I$49="","",IF($B186="","",IFERROR(SUMIFS('Dvd Calendar'!$E$278:$CZ$278,'Dvd Calendar'!$E$277:$CZ$277,"&gt;"&amp;I$48,'Dvd Calendar'!$E$277:$CZ$277,"&lt;="&amp;I$49),"")))</f>
        <v/>
      </c>
      <c r="J186" s="140">
        <f>IF(J$49="","",IF($B186="","",IFERROR(SUMIFS('Dvd Calendar'!$E$278:$CZ$278,'Dvd Calendar'!$E$277:$CZ$277,"&gt;"&amp;J$48,'Dvd Calendar'!$E$277:$CZ$277,"&lt;="&amp;J$49),"")))</f>
        <v/>
      </c>
      <c r="K186" s="140">
        <f>IF(K$49="","",IF($B186="","",IFERROR(SUMIFS('Dvd Calendar'!$E$278:$CZ$278,'Dvd Calendar'!$E$277:$CZ$277,"&gt;"&amp;K$48,'Dvd Calendar'!$E$277:$CZ$277,"&lt;="&amp;K$49),"")))</f>
        <v/>
      </c>
      <c r="L186" s="140">
        <f>IF(L$49="","",IF($B186="","",IFERROR(SUMIFS('Dvd Calendar'!$E$278:$CZ$278,'Dvd Calendar'!$E$277:$CZ$277,"&gt;"&amp;L$48,'Dvd Calendar'!$E$277:$CZ$277,"&lt;="&amp;L$49),"")))</f>
        <v/>
      </c>
      <c r="M186" s="140">
        <f>IF(M$49="","",IF($B186="","",IFERROR(SUMIFS('Dvd Calendar'!$E$278:$CZ$278,'Dvd Calendar'!$E$277:$CZ$277,"&gt;"&amp;M$48,'Dvd Calendar'!$E$277:$CZ$277,"&lt;="&amp;M$49),"")))</f>
        <v/>
      </c>
      <c r="N186" s="140">
        <f>IF(N$49="","",IF($B186="","",IFERROR(SUMIFS('Dvd Calendar'!$E$278:$CZ$278,'Dvd Calendar'!$E$277:$CZ$277,"&gt;"&amp;N$48,'Dvd Calendar'!$E$277:$CZ$277,"&lt;="&amp;N$49),"")))</f>
        <v/>
      </c>
      <c r="O186" s="140">
        <f>IF(O$49="","",IF($B186="","",IFERROR(SUMIFS('Dvd Calendar'!$E$278:$CZ$278,'Dvd Calendar'!$E$277:$CZ$277,"&gt;"&amp;O$48,'Dvd Calendar'!$E$277:$CZ$277,"&lt;="&amp;O$49),"")))</f>
        <v/>
      </c>
      <c r="P186" s="140">
        <f>IF(P$49="","",IF($B186="","",IFERROR(SUMIFS('Dvd Calendar'!$E$278:$CZ$278,'Dvd Calendar'!$E$277:$CZ$277,"&gt;"&amp;P$48,'Dvd Calendar'!$E$277:$CZ$277,"&lt;="&amp;P$49),"")))</f>
        <v/>
      </c>
      <c r="Q186" s="140">
        <f>IF(Q$49="","",IF($B186="","",IFERROR(SUMIFS('Dvd Calendar'!$E$278:$CZ$278,'Dvd Calendar'!$E$277:$CZ$277,"&gt;"&amp;Q$48,'Dvd Calendar'!$E$277:$CZ$277,"&lt;="&amp;Q$49),"")))</f>
        <v/>
      </c>
      <c r="R186" s="140">
        <f>IF(R$49="","",IF($B186="","",IFERROR(SUMIFS('Dvd Calendar'!$E$278:$CZ$278,'Dvd Calendar'!$E$277:$CZ$277,"&gt;"&amp;R$48,'Dvd Calendar'!$E$277:$CZ$277,"&lt;="&amp;R$49),"")))</f>
        <v/>
      </c>
    </row>
    <row r="187">
      <c r="B187" s="5">
        <f>IF(AS51!$C$142="","",AS51!$C$142)</f>
        <v/>
      </c>
      <c r="C187" s="140">
        <f>IF(C$49="","",IF($B187="","",IFERROR(SUMIFS('Dvd Calendar'!$E$280:$CZ$280,'Dvd Calendar'!$E$279:$CZ$279,"&gt;"&amp;C$48,'Dvd Calendar'!$E$279:$CZ$279,"&lt;="&amp;C$49),"")))</f>
        <v/>
      </c>
      <c r="D187" s="140">
        <f>IF(D$49="","",IF($B187="","",IFERROR(SUMIFS('Dvd Calendar'!$E$280:$CZ$280,'Dvd Calendar'!$E$279:$CZ$279,"&gt;"&amp;D$48,'Dvd Calendar'!$E$279:$CZ$279,"&lt;="&amp;D$49),"")))</f>
        <v/>
      </c>
      <c r="E187" s="140">
        <f>IF(E$49="","",IF($B187="","",IFERROR(SUMIFS('Dvd Calendar'!$E$280:$CZ$280,'Dvd Calendar'!$E$279:$CZ$279,"&gt;"&amp;E$48,'Dvd Calendar'!$E$279:$CZ$279,"&lt;="&amp;E$49),"")))</f>
        <v/>
      </c>
      <c r="F187" s="140">
        <f>IF(F$49="","",IF($B187="","",IFERROR(SUMIFS('Dvd Calendar'!$E$280:$CZ$280,'Dvd Calendar'!$E$279:$CZ$279,"&gt;"&amp;F$48,'Dvd Calendar'!$E$279:$CZ$279,"&lt;="&amp;F$49),"")))</f>
        <v/>
      </c>
      <c r="G187" s="140">
        <f>IF(G$49="","",IF($B187="","",IFERROR(SUMIFS('Dvd Calendar'!$E$280:$CZ$280,'Dvd Calendar'!$E$279:$CZ$279,"&gt;"&amp;G$48,'Dvd Calendar'!$E$279:$CZ$279,"&lt;="&amp;G$49),"")))</f>
        <v/>
      </c>
      <c r="H187" s="140">
        <f>IF(H$49="","",IF($B187="","",IFERROR(SUMIFS('Dvd Calendar'!$E$280:$CZ$280,'Dvd Calendar'!$E$279:$CZ$279,"&gt;"&amp;H$48,'Dvd Calendar'!$E$279:$CZ$279,"&lt;="&amp;H$49),"")))</f>
        <v/>
      </c>
      <c r="I187" s="140">
        <f>IF(I$49="","",IF($B187="","",IFERROR(SUMIFS('Dvd Calendar'!$E$280:$CZ$280,'Dvd Calendar'!$E$279:$CZ$279,"&gt;"&amp;I$48,'Dvd Calendar'!$E$279:$CZ$279,"&lt;="&amp;I$49),"")))</f>
        <v/>
      </c>
      <c r="J187" s="140">
        <f>IF(J$49="","",IF($B187="","",IFERROR(SUMIFS('Dvd Calendar'!$E$280:$CZ$280,'Dvd Calendar'!$E$279:$CZ$279,"&gt;"&amp;J$48,'Dvd Calendar'!$E$279:$CZ$279,"&lt;="&amp;J$49),"")))</f>
        <v/>
      </c>
      <c r="K187" s="140">
        <f>IF(K$49="","",IF($B187="","",IFERROR(SUMIFS('Dvd Calendar'!$E$280:$CZ$280,'Dvd Calendar'!$E$279:$CZ$279,"&gt;"&amp;K$48,'Dvd Calendar'!$E$279:$CZ$279,"&lt;="&amp;K$49),"")))</f>
        <v/>
      </c>
      <c r="L187" s="140">
        <f>IF(L$49="","",IF($B187="","",IFERROR(SUMIFS('Dvd Calendar'!$E$280:$CZ$280,'Dvd Calendar'!$E$279:$CZ$279,"&gt;"&amp;L$48,'Dvd Calendar'!$E$279:$CZ$279,"&lt;="&amp;L$49),"")))</f>
        <v/>
      </c>
      <c r="M187" s="140">
        <f>IF(M$49="","",IF($B187="","",IFERROR(SUMIFS('Dvd Calendar'!$E$280:$CZ$280,'Dvd Calendar'!$E$279:$CZ$279,"&gt;"&amp;M$48,'Dvd Calendar'!$E$279:$CZ$279,"&lt;="&amp;M$49),"")))</f>
        <v/>
      </c>
      <c r="N187" s="140">
        <f>IF(N$49="","",IF($B187="","",IFERROR(SUMIFS('Dvd Calendar'!$E$280:$CZ$280,'Dvd Calendar'!$E$279:$CZ$279,"&gt;"&amp;N$48,'Dvd Calendar'!$E$279:$CZ$279,"&lt;="&amp;N$49),"")))</f>
        <v/>
      </c>
      <c r="O187" s="140">
        <f>IF(O$49="","",IF($B187="","",IFERROR(SUMIFS('Dvd Calendar'!$E$280:$CZ$280,'Dvd Calendar'!$E$279:$CZ$279,"&gt;"&amp;O$48,'Dvd Calendar'!$E$279:$CZ$279,"&lt;="&amp;O$49),"")))</f>
        <v/>
      </c>
      <c r="P187" s="140">
        <f>IF(P$49="","",IF($B187="","",IFERROR(SUMIFS('Dvd Calendar'!$E$280:$CZ$280,'Dvd Calendar'!$E$279:$CZ$279,"&gt;"&amp;P$48,'Dvd Calendar'!$E$279:$CZ$279,"&lt;="&amp;P$49),"")))</f>
        <v/>
      </c>
      <c r="Q187" s="140">
        <f>IF(Q$49="","",IF($B187="","",IFERROR(SUMIFS('Dvd Calendar'!$E$280:$CZ$280,'Dvd Calendar'!$E$279:$CZ$279,"&gt;"&amp;Q$48,'Dvd Calendar'!$E$279:$CZ$279,"&lt;="&amp;Q$49),"")))</f>
        <v/>
      </c>
      <c r="R187" s="140">
        <f>IF(R$49="","",IF($B187="","",IFERROR(SUMIFS('Dvd Calendar'!$E$280:$CZ$280,'Dvd Calendar'!$E$279:$CZ$279,"&gt;"&amp;R$48,'Dvd Calendar'!$E$279:$CZ$279,"&lt;="&amp;R$49),"")))</f>
        <v/>
      </c>
    </row>
    <row r="188">
      <c r="B188" s="5">
        <f>IF(AS51!$C$143="","",AS51!$C$143)</f>
        <v/>
      </c>
      <c r="C188" s="140">
        <f>IF(C$49="","",IF($B188="","",IFERROR(SUMIFS('Dvd Calendar'!$E$282:$CZ$282,'Dvd Calendar'!$E$281:$CZ$281,"&gt;"&amp;C$48,'Dvd Calendar'!$E$281:$CZ$281,"&lt;="&amp;C$49),"")))</f>
        <v/>
      </c>
      <c r="D188" s="140">
        <f>IF(D$49="","",IF($B188="","",IFERROR(SUMIFS('Dvd Calendar'!$E$282:$CZ$282,'Dvd Calendar'!$E$281:$CZ$281,"&gt;"&amp;D$48,'Dvd Calendar'!$E$281:$CZ$281,"&lt;="&amp;D$49),"")))</f>
        <v/>
      </c>
      <c r="E188" s="140">
        <f>IF(E$49="","",IF($B188="","",IFERROR(SUMIFS('Dvd Calendar'!$E$282:$CZ$282,'Dvd Calendar'!$E$281:$CZ$281,"&gt;"&amp;E$48,'Dvd Calendar'!$E$281:$CZ$281,"&lt;="&amp;E$49),"")))</f>
        <v/>
      </c>
      <c r="F188" s="140">
        <f>IF(F$49="","",IF($B188="","",IFERROR(SUMIFS('Dvd Calendar'!$E$282:$CZ$282,'Dvd Calendar'!$E$281:$CZ$281,"&gt;"&amp;F$48,'Dvd Calendar'!$E$281:$CZ$281,"&lt;="&amp;F$49),"")))</f>
        <v/>
      </c>
      <c r="G188" s="140">
        <f>IF(G$49="","",IF($B188="","",IFERROR(SUMIFS('Dvd Calendar'!$E$282:$CZ$282,'Dvd Calendar'!$E$281:$CZ$281,"&gt;"&amp;G$48,'Dvd Calendar'!$E$281:$CZ$281,"&lt;="&amp;G$49),"")))</f>
        <v/>
      </c>
      <c r="H188" s="140">
        <f>IF(H$49="","",IF($B188="","",IFERROR(SUMIFS('Dvd Calendar'!$E$282:$CZ$282,'Dvd Calendar'!$E$281:$CZ$281,"&gt;"&amp;H$48,'Dvd Calendar'!$E$281:$CZ$281,"&lt;="&amp;H$49),"")))</f>
        <v/>
      </c>
      <c r="I188" s="140">
        <f>IF(I$49="","",IF($B188="","",IFERROR(SUMIFS('Dvd Calendar'!$E$282:$CZ$282,'Dvd Calendar'!$E$281:$CZ$281,"&gt;"&amp;I$48,'Dvd Calendar'!$E$281:$CZ$281,"&lt;="&amp;I$49),"")))</f>
        <v/>
      </c>
      <c r="J188" s="140">
        <f>IF(J$49="","",IF($B188="","",IFERROR(SUMIFS('Dvd Calendar'!$E$282:$CZ$282,'Dvd Calendar'!$E$281:$CZ$281,"&gt;"&amp;J$48,'Dvd Calendar'!$E$281:$CZ$281,"&lt;="&amp;J$49),"")))</f>
        <v/>
      </c>
      <c r="K188" s="140">
        <f>IF(K$49="","",IF($B188="","",IFERROR(SUMIFS('Dvd Calendar'!$E$282:$CZ$282,'Dvd Calendar'!$E$281:$CZ$281,"&gt;"&amp;K$48,'Dvd Calendar'!$E$281:$CZ$281,"&lt;="&amp;K$49),"")))</f>
        <v/>
      </c>
      <c r="L188" s="140">
        <f>IF(L$49="","",IF($B188="","",IFERROR(SUMIFS('Dvd Calendar'!$E$282:$CZ$282,'Dvd Calendar'!$E$281:$CZ$281,"&gt;"&amp;L$48,'Dvd Calendar'!$E$281:$CZ$281,"&lt;="&amp;L$49),"")))</f>
        <v/>
      </c>
      <c r="M188" s="140">
        <f>IF(M$49="","",IF($B188="","",IFERROR(SUMIFS('Dvd Calendar'!$E$282:$CZ$282,'Dvd Calendar'!$E$281:$CZ$281,"&gt;"&amp;M$48,'Dvd Calendar'!$E$281:$CZ$281,"&lt;="&amp;M$49),"")))</f>
        <v/>
      </c>
      <c r="N188" s="140">
        <f>IF(N$49="","",IF($B188="","",IFERROR(SUMIFS('Dvd Calendar'!$E$282:$CZ$282,'Dvd Calendar'!$E$281:$CZ$281,"&gt;"&amp;N$48,'Dvd Calendar'!$E$281:$CZ$281,"&lt;="&amp;N$49),"")))</f>
        <v/>
      </c>
      <c r="O188" s="140">
        <f>IF(O$49="","",IF($B188="","",IFERROR(SUMIFS('Dvd Calendar'!$E$282:$CZ$282,'Dvd Calendar'!$E$281:$CZ$281,"&gt;"&amp;O$48,'Dvd Calendar'!$E$281:$CZ$281,"&lt;="&amp;O$49),"")))</f>
        <v/>
      </c>
      <c r="P188" s="140">
        <f>IF(P$49="","",IF($B188="","",IFERROR(SUMIFS('Dvd Calendar'!$E$282:$CZ$282,'Dvd Calendar'!$E$281:$CZ$281,"&gt;"&amp;P$48,'Dvd Calendar'!$E$281:$CZ$281,"&lt;="&amp;P$49),"")))</f>
        <v/>
      </c>
      <c r="Q188" s="140">
        <f>IF(Q$49="","",IF($B188="","",IFERROR(SUMIFS('Dvd Calendar'!$E$282:$CZ$282,'Dvd Calendar'!$E$281:$CZ$281,"&gt;"&amp;Q$48,'Dvd Calendar'!$E$281:$CZ$281,"&lt;="&amp;Q$49),"")))</f>
        <v/>
      </c>
      <c r="R188" s="140">
        <f>IF(R$49="","",IF($B188="","",IFERROR(SUMIFS('Dvd Calendar'!$E$282:$CZ$282,'Dvd Calendar'!$E$281:$CZ$281,"&gt;"&amp;R$48,'Dvd Calendar'!$E$281:$CZ$281,"&lt;="&amp;R$49),"")))</f>
        <v/>
      </c>
    </row>
    <row r="189">
      <c r="B189" s="5">
        <f>IF(AS51!$C$144="","",AS51!$C$144)</f>
        <v/>
      </c>
      <c r="C189" s="140">
        <f>IF(C$49="","",IF($B189="","",IFERROR(SUMIFS('Dvd Calendar'!$E$284:$CZ$284,'Dvd Calendar'!$E$283:$CZ$283,"&gt;"&amp;C$48,'Dvd Calendar'!$E$283:$CZ$283,"&lt;="&amp;C$49),"")))</f>
        <v/>
      </c>
      <c r="D189" s="140">
        <f>IF(D$49="","",IF($B189="","",IFERROR(SUMIFS('Dvd Calendar'!$E$284:$CZ$284,'Dvd Calendar'!$E$283:$CZ$283,"&gt;"&amp;D$48,'Dvd Calendar'!$E$283:$CZ$283,"&lt;="&amp;D$49),"")))</f>
        <v/>
      </c>
      <c r="E189" s="140">
        <f>IF(E$49="","",IF($B189="","",IFERROR(SUMIFS('Dvd Calendar'!$E$284:$CZ$284,'Dvd Calendar'!$E$283:$CZ$283,"&gt;"&amp;E$48,'Dvd Calendar'!$E$283:$CZ$283,"&lt;="&amp;E$49),"")))</f>
        <v/>
      </c>
      <c r="F189" s="140">
        <f>IF(F$49="","",IF($B189="","",IFERROR(SUMIFS('Dvd Calendar'!$E$284:$CZ$284,'Dvd Calendar'!$E$283:$CZ$283,"&gt;"&amp;F$48,'Dvd Calendar'!$E$283:$CZ$283,"&lt;="&amp;F$49),"")))</f>
        <v/>
      </c>
      <c r="G189" s="140">
        <f>IF(G$49="","",IF($B189="","",IFERROR(SUMIFS('Dvd Calendar'!$E$284:$CZ$284,'Dvd Calendar'!$E$283:$CZ$283,"&gt;"&amp;G$48,'Dvd Calendar'!$E$283:$CZ$283,"&lt;="&amp;G$49),"")))</f>
        <v/>
      </c>
      <c r="H189" s="140">
        <f>IF(H$49="","",IF($B189="","",IFERROR(SUMIFS('Dvd Calendar'!$E$284:$CZ$284,'Dvd Calendar'!$E$283:$CZ$283,"&gt;"&amp;H$48,'Dvd Calendar'!$E$283:$CZ$283,"&lt;="&amp;H$49),"")))</f>
        <v/>
      </c>
      <c r="I189" s="140">
        <f>IF(I$49="","",IF($B189="","",IFERROR(SUMIFS('Dvd Calendar'!$E$284:$CZ$284,'Dvd Calendar'!$E$283:$CZ$283,"&gt;"&amp;I$48,'Dvd Calendar'!$E$283:$CZ$283,"&lt;="&amp;I$49),"")))</f>
        <v/>
      </c>
      <c r="J189" s="140">
        <f>IF(J$49="","",IF($B189="","",IFERROR(SUMIFS('Dvd Calendar'!$E$284:$CZ$284,'Dvd Calendar'!$E$283:$CZ$283,"&gt;"&amp;J$48,'Dvd Calendar'!$E$283:$CZ$283,"&lt;="&amp;J$49),"")))</f>
        <v/>
      </c>
      <c r="K189" s="140">
        <f>IF(K$49="","",IF($B189="","",IFERROR(SUMIFS('Dvd Calendar'!$E$284:$CZ$284,'Dvd Calendar'!$E$283:$CZ$283,"&gt;"&amp;K$48,'Dvd Calendar'!$E$283:$CZ$283,"&lt;="&amp;K$49),"")))</f>
        <v/>
      </c>
      <c r="L189" s="140">
        <f>IF(L$49="","",IF($B189="","",IFERROR(SUMIFS('Dvd Calendar'!$E$284:$CZ$284,'Dvd Calendar'!$E$283:$CZ$283,"&gt;"&amp;L$48,'Dvd Calendar'!$E$283:$CZ$283,"&lt;="&amp;L$49),"")))</f>
        <v/>
      </c>
      <c r="M189" s="140">
        <f>IF(M$49="","",IF($B189="","",IFERROR(SUMIFS('Dvd Calendar'!$E$284:$CZ$284,'Dvd Calendar'!$E$283:$CZ$283,"&gt;"&amp;M$48,'Dvd Calendar'!$E$283:$CZ$283,"&lt;="&amp;M$49),"")))</f>
        <v/>
      </c>
      <c r="N189" s="140">
        <f>IF(N$49="","",IF($B189="","",IFERROR(SUMIFS('Dvd Calendar'!$E$284:$CZ$284,'Dvd Calendar'!$E$283:$CZ$283,"&gt;"&amp;N$48,'Dvd Calendar'!$E$283:$CZ$283,"&lt;="&amp;N$49),"")))</f>
        <v/>
      </c>
      <c r="O189" s="140">
        <f>IF(O$49="","",IF($B189="","",IFERROR(SUMIFS('Dvd Calendar'!$E$284:$CZ$284,'Dvd Calendar'!$E$283:$CZ$283,"&gt;"&amp;O$48,'Dvd Calendar'!$E$283:$CZ$283,"&lt;="&amp;O$49),"")))</f>
        <v/>
      </c>
      <c r="P189" s="140">
        <f>IF(P$49="","",IF($B189="","",IFERROR(SUMIFS('Dvd Calendar'!$E$284:$CZ$284,'Dvd Calendar'!$E$283:$CZ$283,"&gt;"&amp;P$48,'Dvd Calendar'!$E$283:$CZ$283,"&lt;="&amp;P$49),"")))</f>
        <v/>
      </c>
      <c r="Q189" s="140">
        <f>IF(Q$49="","",IF($B189="","",IFERROR(SUMIFS('Dvd Calendar'!$E$284:$CZ$284,'Dvd Calendar'!$E$283:$CZ$283,"&gt;"&amp;Q$48,'Dvd Calendar'!$E$283:$CZ$283,"&lt;="&amp;Q$49),"")))</f>
        <v/>
      </c>
      <c r="R189" s="140">
        <f>IF(R$49="","",IF($B189="","",IFERROR(SUMIFS('Dvd Calendar'!$E$284:$CZ$284,'Dvd Calendar'!$E$283:$CZ$283,"&gt;"&amp;R$48,'Dvd Calendar'!$E$283:$CZ$283,"&lt;="&amp;R$49),"")))</f>
        <v/>
      </c>
    </row>
    <row r="190">
      <c r="B190" s="5">
        <f>IF(AS51!$C$145="","",AS51!$C$145)</f>
        <v/>
      </c>
      <c r="C190" s="140">
        <f>IF(C$49="","",IF($B190="","",IFERROR(SUMIFS('Dvd Calendar'!$E$286:$CZ$286,'Dvd Calendar'!$E$285:$CZ$285,"&gt;"&amp;C$48,'Dvd Calendar'!$E$285:$CZ$285,"&lt;="&amp;C$49),"")))</f>
        <v/>
      </c>
      <c r="D190" s="140">
        <f>IF(D$49="","",IF($B190="","",IFERROR(SUMIFS('Dvd Calendar'!$E$286:$CZ$286,'Dvd Calendar'!$E$285:$CZ$285,"&gt;"&amp;D$48,'Dvd Calendar'!$E$285:$CZ$285,"&lt;="&amp;D$49),"")))</f>
        <v/>
      </c>
      <c r="E190" s="140">
        <f>IF(E$49="","",IF($B190="","",IFERROR(SUMIFS('Dvd Calendar'!$E$286:$CZ$286,'Dvd Calendar'!$E$285:$CZ$285,"&gt;"&amp;E$48,'Dvd Calendar'!$E$285:$CZ$285,"&lt;="&amp;E$49),"")))</f>
        <v/>
      </c>
      <c r="F190" s="140">
        <f>IF(F$49="","",IF($B190="","",IFERROR(SUMIFS('Dvd Calendar'!$E$286:$CZ$286,'Dvd Calendar'!$E$285:$CZ$285,"&gt;"&amp;F$48,'Dvd Calendar'!$E$285:$CZ$285,"&lt;="&amp;F$49),"")))</f>
        <v/>
      </c>
      <c r="G190" s="140">
        <f>IF(G$49="","",IF($B190="","",IFERROR(SUMIFS('Dvd Calendar'!$E$286:$CZ$286,'Dvd Calendar'!$E$285:$CZ$285,"&gt;"&amp;G$48,'Dvd Calendar'!$E$285:$CZ$285,"&lt;="&amp;G$49),"")))</f>
        <v/>
      </c>
      <c r="H190" s="140">
        <f>IF(H$49="","",IF($B190="","",IFERROR(SUMIFS('Dvd Calendar'!$E$286:$CZ$286,'Dvd Calendar'!$E$285:$CZ$285,"&gt;"&amp;H$48,'Dvd Calendar'!$E$285:$CZ$285,"&lt;="&amp;H$49),"")))</f>
        <v/>
      </c>
      <c r="I190" s="140">
        <f>IF(I$49="","",IF($B190="","",IFERROR(SUMIFS('Dvd Calendar'!$E$286:$CZ$286,'Dvd Calendar'!$E$285:$CZ$285,"&gt;"&amp;I$48,'Dvd Calendar'!$E$285:$CZ$285,"&lt;="&amp;I$49),"")))</f>
        <v/>
      </c>
      <c r="J190" s="140">
        <f>IF(J$49="","",IF($B190="","",IFERROR(SUMIFS('Dvd Calendar'!$E$286:$CZ$286,'Dvd Calendar'!$E$285:$CZ$285,"&gt;"&amp;J$48,'Dvd Calendar'!$E$285:$CZ$285,"&lt;="&amp;J$49),"")))</f>
        <v/>
      </c>
      <c r="K190" s="140">
        <f>IF(K$49="","",IF($B190="","",IFERROR(SUMIFS('Dvd Calendar'!$E$286:$CZ$286,'Dvd Calendar'!$E$285:$CZ$285,"&gt;"&amp;K$48,'Dvd Calendar'!$E$285:$CZ$285,"&lt;="&amp;K$49),"")))</f>
        <v/>
      </c>
      <c r="L190" s="140">
        <f>IF(L$49="","",IF($B190="","",IFERROR(SUMIFS('Dvd Calendar'!$E$286:$CZ$286,'Dvd Calendar'!$E$285:$CZ$285,"&gt;"&amp;L$48,'Dvd Calendar'!$E$285:$CZ$285,"&lt;="&amp;L$49),"")))</f>
        <v/>
      </c>
      <c r="M190" s="140">
        <f>IF(M$49="","",IF($B190="","",IFERROR(SUMIFS('Dvd Calendar'!$E$286:$CZ$286,'Dvd Calendar'!$E$285:$CZ$285,"&gt;"&amp;M$48,'Dvd Calendar'!$E$285:$CZ$285,"&lt;="&amp;M$49),"")))</f>
        <v/>
      </c>
      <c r="N190" s="140">
        <f>IF(N$49="","",IF($B190="","",IFERROR(SUMIFS('Dvd Calendar'!$E$286:$CZ$286,'Dvd Calendar'!$E$285:$CZ$285,"&gt;"&amp;N$48,'Dvd Calendar'!$E$285:$CZ$285,"&lt;="&amp;N$49),"")))</f>
        <v/>
      </c>
      <c r="O190" s="140">
        <f>IF(O$49="","",IF($B190="","",IFERROR(SUMIFS('Dvd Calendar'!$E$286:$CZ$286,'Dvd Calendar'!$E$285:$CZ$285,"&gt;"&amp;O$48,'Dvd Calendar'!$E$285:$CZ$285,"&lt;="&amp;O$49),"")))</f>
        <v/>
      </c>
      <c r="P190" s="140">
        <f>IF(P$49="","",IF($B190="","",IFERROR(SUMIFS('Dvd Calendar'!$E$286:$CZ$286,'Dvd Calendar'!$E$285:$CZ$285,"&gt;"&amp;P$48,'Dvd Calendar'!$E$285:$CZ$285,"&lt;="&amp;P$49),"")))</f>
        <v/>
      </c>
      <c r="Q190" s="140">
        <f>IF(Q$49="","",IF($B190="","",IFERROR(SUMIFS('Dvd Calendar'!$E$286:$CZ$286,'Dvd Calendar'!$E$285:$CZ$285,"&gt;"&amp;Q$48,'Dvd Calendar'!$E$285:$CZ$285,"&lt;="&amp;Q$49),"")))</f>
        <v/>
      </c>
      <c r="R190" s="140">
        <f>IF(R$49="","",IF($B190="","",IFERROR(SUMIFS('Dvd Calendar'!$E$286:$CZ$286,'Dvd Calendar'!$E$285:$CZ$285,"&gt;"&amp;R$48,'Dvd Calendar'!$E$285:$CZ$285,"&lt;="&amp;R$49),"")))</f>
        <v/>
      </c>
    </row>
    <row r="191">
      <c r="B191" s="5">
        <f>IF(AS51!$C$146="","",AS51!$C$146)</f>
        <v/>
      </c>
      <c r="C191" s="140">
        <f>IF(C$49="","",IF($B191="","",IFERROR(SUMIFS('Dvd Calendar'!$E$288:$CZ$288,'Dvd Calendar'!$E$287:$CZ$287,"&gt;"&amp;C$48,'Dvd Calendar'!$E$287:$CZ$287,"&lt;="&amp;C$49),"")))</f>
        <v/>
      </c>
      <c r="D191" s="140">
        <f>IF(D$49="","",IF($B191="","",IFERROR(SUMIFS('Dvd Calendar'!$E$288:$CZ$288,'Dvd Calendar'!$E$287:$CZ$287,"&gt;"&amp;D$48,'Dvd Calendar'!$E$287:$CZ$287,"&lt;="&amp;D$49),"")))</f>
        <v/>
      </c>
      <c r="E191" s="140">
        <f>IF(E$49="","",IF($B191="","",IFERROR(SUMIFS('Dvd Calendar'!$E$288:$CZ$288,'Dvd Calendar'!$E$287:$CZ$287,"&gt;"&amp;E$48,'Dvd Calendar'!$E$287:$CZ$287,"&lt;="&amp;E$49),"")))</f>
        <v/>
      </c>
      <c r="F191" s="140">
        <f>IF(F$49="","",IF($B191="","",IFERROR(SUMIFS('Dvd Calendar'!$E$288:$CZ$288,'Dvd Calendar'!$E$287:$CZ$287,"&gt;"&amp;F$48,'Dvd Calendar'!$E$287:$CZ$287,"&lt;="&amp;F$49),"")))</f>
        <v/>
      </c>
      <c r="G191" s="140">
        <f>IF(G$49="","",IF($B191="","",IFERROR(SUMIFS('Dvd Calendar'!$E$288:$CZ$288,'Dvd Calendar'!$E$287:$CZ$287,"&gt;"&amp;G$48,'Dvd Calendar'!$E$287:$CZ$287,"&lt;="&amp;G$49),"")))</f>
        <v/>
      </c>
      <c r="H191" s="140">
        <f>IF(H$49="","",IF($B191="","",IFERROR(SUMIFS('Dvd Calendar'!$E$288:$CZ$288,'Dvd Calendar'!$E$287:$CZ$287,"&gt;"&amp;H$48,'Dvd Calendar'!$E$287:$CZ$287,"&lt;="&amp;H$49),"")))</f>
        <v/>
      </c>
      <c r="I191" s="140">
        <f>IF(I$49="","",IF($B191="","",IFERROR(SUMIFS('Dvd Calendar'!$E$288:$CZ$288,'Dvd Calendar'!$E$287:$CZ$287,"&gt;"&amp;I$48,'Dvd Calendar'!$E$287:$CZ$287,"&lt;="&amp;I$49),"")))</f>
        <v/>
      </c>
      <c r="J191" s="140">
        <f>IF(J$49="","",IF($B191="","",IFERROR(SUMIFS('Dvd Calendar'!$E$288:$CZ$288,'Dvd Calendar'!$E$287:$CZ$287,"&gt;"&amp;J$48,'Dvd Calendar'!$E$287:$CZ$287,"&lt;="&amp;J$49),"")))</f>
        <v/>
      </c>
      <c r="K191" s="140">
        <f>IF(K$49="","",IF($B191="","",IFERROR(SUMIFS('Dvd Calendar'!$E$288:$CZ$288,'Dvd Calendar'!$E$287:$CZ$287,"&gt;"&amp;K$48,'Dvd Calendar'!$E$287:$CZ$287,"&lt;="&amp;K$49),"")))</f>
        <v/>
      </c>
      <c r="L191" s="140">
        <f>IF(L$49="","",IF($B191="","",IFERROR(SUMIFS('Dvd Calendar'!$E$288:$CZ$288,'Dvd Calendar'!$E$287:$CZ$287,"&gt;"&amp;L$48,'Dvd Calendar'!$E$287:$CZ$287,"&lt;="&amp;L$49),"")))</f>
        <v/>
      </c>
      <c r="M191" s="140">
        <f>IF(M$49="","",IF($B191="","",IFERROR(SUMIFS('Dvd Calendar'!$E$288:$CZ$288,'Dvd Calendar'!$E$287:$CZ$287,"&gt;"&amp;M$48,'Dvd Calendar'!$E$287:$CZ$287,"&lt;="&amp;M$49),"")))</f>
        <v/>
      </c>
      <c r="N191" s="140">
        <f>IF(N$49="","",IF($B191="","",IFERROR(SUMIFS('Dvd Calendar'!$E$288:$CZ$288,'Dvd Calendar'!$E$287:$CZ$287,"&gt;"&amp;N$48,'Dvd Calendar'!$E$287:$CZ$287,"&lt;="&amp;N$49),"")))</f>
        <v/>
      </c>
      <c r="O191" s="140">
        <f>IF(O$49="","",IF($B191="","",IFERROR(SUMIFS('Dvd Calendar'!$E$288:$CZ$288,'Dvd Calendar'!$E$287:$CZ$287,"&gt;"&amp;O$48,'Dvd Calendar'!$E$287:$CZ$287,"&lt;="&amp;O$49),"")))</f>
        <v/>
      </c>
      <c r="P191" s="140">
        <f>IF(P$49="","",IF($B191="","",IFERROR(SUMIFS('Dvd Calendar'!$E$288:$CZ$288,'Dvd Calendar'!$E$287:$CZ$287,"&gt;"&amp;P$48,'Dvd Calendar'!$E$287:$CZ$287,"&lt;="&amp;P$49),"")))</f>
        <v/>
      </c>
      <c r="Q191" s="140">
        <f>IF(Q$49="","",IF($B191="","",IFERROR(SUMIFS('Dvd Calendar'!$E$288:$CZ$288,'Dvd Calendar'!$E$287:$CZ$287,"&gt;"&amp;Q$48,'Dvd Calendar'!$E$287:$CZ$287,"&lt;="&amp;Q$49),"")))</f>
        <v/>
      </c>
      <c r="R191" s="140">
        <f>IF(R$49="","",IF($B191="","",IFERROR(SUMIFS('Dvd Calendar'!$E$288:$CZ$288,'Dvd Calendar'!$E$287:$CZ$287,"&gt;"&amp;R$48,'Dvd Calendar'!$E$287:$CZ$287,"&lt;="&amp;R$49),"")))</f>
        <v/>
      </c>
    </row>
    <row r="192">
      <c r="B192" s="5">
        <f>IF(AS51!$C$147="","",AS51!$C$147)</f>
        <v/>
      </c>
      <c r="C192" s="140">
        <f>IF(C$49="","",IF($B192="","",IFERROR(SUMIFS('Dvd Calendar'!$E$290:$CZ$290,'Dvd Calendar'!$E$289:$CZ$289,"&gt;"&amp;C$48,'Dvd Calendar'!$E$289:$CZ$289,"&lt;="&amp;C$49),"")))</f>
        <v/>
      </c>
      <c r="D192" s="140">
        <f>IF(D$49="","",IF($B192="","",IFERROR(SUMIFS('Dvd Calendar'!$E$290:$CZ$290,'Dvd Calendar'!$E$289:$CZ$289,"&gt;"&amp;D$48,'Dvd Calendar'!$E$289:$CZ$289,"&lt;="&amp;D$49),"")))</f>
        <v/>
      </c>
      <c r="E192" s="140">
        <f>IF(E$49="","",IF($B192="","",IFERROR(SUMIFS('Dvd Calendar'!$E$290:$CZ$290,'Dvd Calendar'!$E$289:$CZ$289,"&gt;"&amp;E$48,'Dvd Calendar'!$E$289:$CZ$289,"&lt;="&amp;E$49),"")))</f>
        <v/>
      </c>
      <c r="F192" s="140">
        <f>IF(F$49="","",IF($B192="","",IFERROR(SUMIFS('Dvd Calendar'!$E$290:$CZ$290,'Dvd Calendar'!$E$289:$CZ$289,"&gt;"&amp;F$48,'Dvd Calendar'!$E$289:$CZ$289,"&lt;="&amp;F$49),"")))</f>
        <v/>
      </c>
      <c r="G192" s="140">
        <f>IF(G$49="","",IF($B192="","",IFERROR(SUMIFS('Dvd Calendar'!$E$290:$CZ$290,'Dvd Calendar'!$E$289:$CZ$289,"&gt;"&amp;G$48,'Dvd Calendar'!$E$289:$CZ$289,"&lt;="&amp;G$49),"")))</f>
        <v/>
      </c>
      <c r="H192" s="140">
        <f>IF(H$49="","",IF($B192="","",IFERROR(SUMIFS('Dvd Calendar'!$E$290:$CZ$290,'Dvd Calendar'!$E$289:$CZ$289,"&gt;"&amp;H$48,'Dvd Calendar'!$E$289:$CZ$289,"&lt;="&amp;H$49),"")))</f>
        <v/>
      </c>
      <c r="I192" s="140">
        <f>IF(I$49="","",IF($B192="","",IFERROR(SUMIFS('Dvd Calendar'!$E$290:$CZ$290,'Dvd Calendar'!$E$289:$CZ$289,"&gt;"&amp;I$48,'Dvd Calendar'!$E$289:$CZ$289,"&lt;="&amp;I$49),"")))</f>
        <v/>
      </c>
      <c r="J192" s="140">
        <f>IF(J$49="","",IF($B192="","",IFERROR(SUMIFS('Dvd Calendar'!$E$290:$CZ$290,'Dvd Calendar'!$E$289:$CZ$289,"&gt;"&amp;J$48,'Dvd Calendar'!$E$289:$CZ$289,"&lt;="&amp;J$49),"")))</f>
        <v/>
      </c>
      <c r="K192" s="140">
        <f>IF(K$49="","",IF($B192="","",IFERROR(SUMIFS('Dvd Calendar'!$E$290:$CZ$290,'Dvd Calendar'!$E$289:$CZ$289,"&gt;"&amp;K$48,'Dvd Calendar'!$E$289:$CZ$289,"&lt;="&amp;K$49),"")))</f>
        <v/>
      </c>
      <c r="L192" s="140">
        <f>IF(L$49="","",IF($B192="","",IFERROR(SUMIFS('Dvd Calendar'!$E$290:$CZ$290,'Dvd Calendar'!$E$289:$CZ$289,"&gt;"&amp;L$48,'Dvd Calendar'!$E$289:$CZ$289,"&lt;="&amp;L$49),"")))</f>
        <v/>
      </c>
      <c r="M192" s="140">
        <f>IF(M$49="","",IF($B192="","",IFERROR(SUMIFS('Dvd Calendar'!$E$290:$CZ$290,'Dvd Calendar'!$E$289:$CZ$289,"&gt;"&amp;M$48,'Dvd Calendar'!$E$289:$CZ$289,"&lt;="&amp;M$49),"")))</f>
        <v/>
      </c>
      <c r="N192" s="140">
        <f>IF(N$49="","",IF($B192="","",IFERROR(SUMIFS('Dvd Calendar'!$E$290:$CZ$290,'Dvd Calendar'!$E$289:$CZ$289,"&gt;"&amp;N$48,'Dvd Calendar'!$E$289:$CZ$289,"&lt;="&amp;N$49),"")))</f>
        <v/>
      </c>
      <c r="O192" s="140">
        <f>IF(O$49="","",IF($B192="","",IFERROR(SUMIFS('Dvd Calendar'!$E$290:$CZ$290,'Dvd Calendar'!$E$289:$CZ$289,"&gt;"&amp;O$48,'Dvd Calendar'!$E$289:$CZ$289,"&lt;="&amp;O$49),"")))</f>
        <v/>
      </c>
      <c r="P192" s="140">
        <f>IF(P$49="","",IF($B192="","",IFERROR(SUMIFS('Dvd Calendar'!$E$290:$CZ$290,'Dvd Calendar'!$E$289:$CZ$289,"&gt;"&amp;P$48,'Dvd Calendar'!$E$289:$CZ$289,"&lt;="&amp;P$49),"")))</f>
        <v/>
      </c>
      <c r="Q192" s="140">
        <f>IF(Q$49="","",IF($B192="","",IFERROR(SUMIFS('Dvd Calendar'!$E$290:$CZ$290,'Dvd Calendar'!$E$289:$CZ$289,"&gt;"&amp;Q$48,'Dvd Calendar'!$E$289:$CZ$289,"&lt;="&amp;Q$49),"")))</f>
        <v/>
      </c>
      <c r="R192" s="140">
        <f>IF(R$49="","",IF($B192="","",IFERROR(SUMIFS('Dvd Calendar'!$E$290:$CZ$290,'Dvd Calendar'!$E$289:$CZ$289,"&gt;"&amp;R$48,'Dvd Calendar'!$E$289:$CZ$289,"&lt;="&amp;R$49),"")))</f>
        <v/>
      </c>
    </row>
    <row r="193">
      <c r="B193" s="5">
        <f>IF(AS51!$C$148="","",AS51!$C$148)</f>
        <v/>
      </c>
      <c r="C193" s="140">
        <f>IF(C$49="","",IF($B193="","",IFERROR(SUMIFS('Dvd Calendar'!$E$292:$CZ$292,'Dvd Calendar'!$E$291:$CZ$291,"&gt;"&amp;C$48,'Dvd Calendar'!$E$291:$CZ$291,"&lt;="&amp;C$49),"")))</f>
        <v/>
      </c>
      <c r="D193" s="140">
        <f>IF(D$49="","",IF($B193="","",IFERROR(SUMIFS('Dvd Calendar'!$E$292:$CZ$292,'Dvd Calendar'!$E$291:$CZ$291,"&gt;"&amp;D$48,'Dvd Calendar'!$E$291:$CZ$291,"&lt;="&amp;D$49),"")))</f>
        <v/>
      </c>
      <c r="E193" s="140">
        <f>IF(E$49="","",IF($B193="","",IFERROR(SUMIFS('Dvd Calendar'!$E$292:$CZ$292,'Dvd Calendar'!$E$291:$CZ$291,"&gt;"&amp;E$48,'Dvd Calendar'!$E$291:$CZ$291,"&lt;="&amp;E$49),"")))</f>
        <v/>
      </c>
      <c r="F193" s="140">
        <f>IF(F$49="","",IF($B193="","",IFERROR(SUMIFS('Dvd Calendar'!$E$292:$CZ$292,'Dvd Calendar'!$E$291:$CZ$291,"&gt;"&amp;F$48,'Dvd Calendar'!$E$291:$CZ$291,"&lt;="&amp;F$49),"")))</f>
        <v/>
      </c>
      <c r="G193" s="140">
        <f>IF(G$49="","",IF($B193="","",IFERROR(SUMIFS('Dvd Calendar'!$E$292:$CZ$292,'Dvd Calendar'!$E$291:$CZ$291,"&gt;"&amp;G$48,'Dvd Calendar'!$E$291:$CZ$291,"&lt;="&amp;G$49),"")))</f>
        <v/>
      </c>
      <c r="H193" s="140">
        <f>IF(H$49="","",IF($B193="","",IFERROR(SUMIFS('Dvd Calendar'!$E$292:$CZ$292,'Dvd Calendar'!$E$291:$CZ$291,"&gt;"&amp;H$48,'Dvd Calendar'!$E$291:$CZ$291,"&lt;="&amp;H$49),"")))</f>
        <v/>
      </c>
      <c r="I193" s="140">
        <f>IF(I$49="","",IF($B193="","",IFERROR(SUMIFS('Dvd Calendar'!$E$292:$CZ$292,'Dvd Calendar'!$E$291:$CZ$291,"&gt;"&amp;I$48,'Dvd Calendar'!$E$291:$CZ$291,"&lt;="&amp;I$49),"")))</f>
        <v/>
      </c>
      <c r="J193" s="140">
        <f>IF(J$49="","",IF($B193="","",IFERROR(SUMIFS('Dvd Calendar'!$E$292:$CZ$292,'Dvd Calendar'!$E$291:$CZ$291,"&gt;"&amp;J$48,'Dvd Calendar'!$E$291:$CZ$291,"&lt;="&amp;J$49),"")))</f>
        <v/>
      </c>
      <c r="K193" s="140">
        <f>IF(K$49="","",IF($B193="","",IFERROR(SUMIFS('Dvd Calendar'!$E$292:$CZ$292,'Dvd Calendar'!$E$291:$CZ$291,"&gt;"&amp;K$48,'Dvd Calendar'!$E$291:$CZ$291,"&lt;="&amp;K$49),"")))</f>
        <v/>
      </c>
      <c r="L193" s="140">
        <f>IF(L$49="","",IF($B193="","",IFERROR(SUMIFS('Dvd Calendar'!$E$292:$CZ$292,'Dvd Calendar'!$E$291:$CZ$291,"&gt;"&amp;L$48,'Dvd Calendar'!$E$291:$CZ$291,"&lt;="&amp;L$49),"")))</f>
        <v/>
      </c>
      <c r="M193" s="140">
        <f>IF(M$49="","",IF($B193="","",IFERROR(SUMIFS('Dvd Calendar'!$E$292:$CZ$292,'Dvd Calendar'!$E$291:$CZ$291,"&gt;"&amp;M$48,'Dvd Calendar'!$E$291:$CZ$291,"&lt;="&amp;M$49),"")))</f>
        <v/>
      </c>
      <c r="N193" s="140">
        <f>IF(N$49="","",IF($B193="","",IFERROR(SUMIFS('Dvd Calendar'!$E$292:$CZ$292,'Dvd Calendar'!$E$291:$CZ$291,"&gt;"&amp;N$48,'Dvd Calendar'!$E$291:$CZ$291,"&lt;="&amp;N$49),"")))</f>
        <v/>
      </c>
      <c r="O193" s="140">
        <f>IF(O$49="","",IF($B193="","",IFERROR(SUMIFS('Dvd Calendar'!$E$292:$CZ$292,'Dvd Calendar'!$E$291:$CZ$291,"&gt;"&amp;O$48,'Dvd Calendar'!$E$291:$CZ$291,"&lt;="&amp;O$49),"")))</f>
        <v/>
      </c>
      <c r="P193" s="140">
        <f>IF(P$49="","",IF($B193="","",IFERROR(SUMIFS('Dvd Calendar'!$E$292:$CZ$292,'Dvd Calendar'!$E$291:$CZ$291,"&gt;"&amp;P$48,'Dvd Calendar'!$E$291:$CZ$291,"&lt;="&amp;P$49),"")))</f>
        <v/>
      </c>
      <c r="Q193" s="140">
        <f>IF(Q$49="","",IF($B193="","",IFERROR(SUMIFS('Dvd Calendar'!$E$292:$CZ$292,'Dvd Calendar'!$E$291:$CZ$291,"&gt;"&amp;Q$48,'Dvd Calendar'!$E$291:$CZ$291,"&lt;="&amp;Q$49),"")))</f>
        <v/>
      </c>
      <c r="R193" s="140">
        <f>IF(R$49="","",IF($B193="","",IFERROR(SUMIFS('Dvd Calendar'!$E$292:$CZ$292,'Dvd Calendar'!$E$291:$CZ$291,"&gt;"&amp;R$48,'Dvd Calendar'!$E$291:$CZ$291,"&lt;="&amp;R$49),"")))</f>
        <v/>
      </c>
    </row>
    <row r="194">
      <c r="B194" s="5">
        <f>IF(AS51!$C$149="","",AS51!$C$149)</f>
        <v/>
      </c>
      <c r="C194" s="140">
        <f>IF(C$49="","",IF($B194="","",IFERROR(SUMIFS('Dvd Calendar'!$E$294:$CZ$294,'Dvd Calendar'!$E$293:$CZ$293,"&gt;"&amp;C$48,'Dvd Calendar'!$E$293:$CZ$293,"&lt;="&amp;C$49),"")))</f>
        <v/>
      </c>
      <c r="D194" s="140">
        <f>IF(D$49="","",IF($B194="","",IFERROR(SUMIFS('Dvd Calendar'!$E$294:$CZ$294,'Dvd Calendar'!$E$293:$CZ$293,"&gt;"&amp;D$48,'Dvd Calendar'!$E$293:$CZ$293,"&lt;="&amp;D$49),"")))</f>
        <v/>
      </c>
      <c r="E194" s="140">
        <f>IF(E$49="","",IF($B194="","",IFERROR(SUMIFS('Dvd Calendar'!$E$294:$CZ$294,'Dvd Calendar'!$E$293:$CZ$293,"&gt;"&amp;E$48,'Dvd Calendar'!$E$293:$CZ$293,"&lt;="&amp;E$49),"")))</f>
        <v/>
      </c>
      <c r="F194" s="140">
        <f>IF(F$49="","",IF($B194="","",IFERROR(SUMIFS('Dvd Calendar'!$E$294:$CZ$294,'Dvd Calendar'!$E$293:$CZ$293,"&gt;"&amp;F$48,'Dvd Calendar'!$E$293:$CZ$293,"&lt;="&amp;F$49),"")))</f>
        <v/>
      </c>
      <c r="G194" s="140">
        <f>IF(G$49="","",IF($B194="","",IFERROR(SUMIFS('Dvd Calendar'!$E$294:$CZ$294,'Dvd Calendar'!$E$293:$CZ$293,"&gt;"&amp;G$48,'Dvd Calendar'!$E$293:$CZ$293,"&lt;="&amp;G$49),"")))</f>
        <v/>
      </c>
      <c r="H194" s="140">
        <f>IF(H$49="","",IF($B194="","",IFERROR(SUMIFS('Dvd Calendar'!$E$294:$CZ$294,'Dvd Calendar'!$E$293:$CZ$293,"&gt;"&amp;H$48,'Dvd Calendar'!$E$293:$CZ$293,"&lt;="&amp;H$49),"")))</f>
        <v/>
      </c>
      <c r="I194" s="140">
        <f>IF(I$49="","",IF($B194="","",IFERROR(SUMIFS('Dvd Calendar'!$E$294:$CZ$294,'Dvd Calendar'!$E$293:$CZ$293,"&gt;"&amp;I$48,'Dvd Calendar'!$E$293:$CZ$293,"&lt;="&amp;I$49),"")))</f>
        <v/>
      </c>
      <c r="J194" s="140">
        <f>IF(J$49="","",IF($B194="","",IFERROR(SUMIFS('Dvd Calendar'!$E$294:$CZ$294,'Dvd Calendar'!$E$293:$CZ$293,"&gt;"&amp;J$48,'Dvd Calendar'!$E$293:$CZ$293,"&lt;="&amp;J$49),"")))</f>
        <v/>
      </c>
      <c r="K194" s="140">
        <f>IF(K$49="","",IF($B194="","",IFERROR(SUMIFS('Dvd Calendar'!$E$294:$CZ$294,'Dvd Calendar'!$E$293:$CZ$293,"&gt;"&amp;K$48,'Dvd Calendar'!$E$293:$CZ$293,"&lt;="&amp;K$49),"")))</f>
        <v/>
      </c>
      <c r="L194" s="140">
        <f>IF(L$49="","",IF($B194="","",IFERROR(SUMIFS('Dvd Calendar'!$E$294:$CZ$294,'Dvd Calendar'!$E$293:$CZ$293,"&gt;"&amp;L$48,'Dvd Calendar'!$E$293:$CZ$293,"&lt;="&amp;L$49),"")))</f>
        <v/>
      </c>
      <c r="M194" s="140">
        <f>IF(M$49="","",IF($B194="","",IFERROR(SUMIFS('Dvd Calendar'!$E$294:$CZ$294,'Dvd Calendar'!$E$293:$CZ$293,"&gt;"&amp;M$48,'Dvd Calendar'!$E$293:$CZ$293,"&lt;="&amp;M$49),"")))</f>
        <v/>
      </c>
      <c r="N194" s="140">
        <f>IF(N$49="","",IF($B194="","",IFERROR(SUMIFS('Dvd Calendar'!$E$294:$CZ$294,'Dvd Calendar'!$E$293:$CZ$293,"&gt;"&amp;N$48,'Dvd Calendar'!$E$293:$CZ$293,"&lt;="&amp;N$49),"")))</f>
        <v/>
      </c>
      <c r="O194" s="140">
        <f>IF(O$49="","",IF($B194="","",IFERROR(SUMIFS('Dvd Calendar'!$E$294:$CZ$294,'Dvd Calendar'!$E$293:$CZ$293,"&gt;"&amp;O$48,'Dvd Calendar'!$E$293:$CZ$293,"&lt;="&amp;O$49),"")))</f>
        <v/>
      </c>
      <c r="P194" s="140">
        <f>IF(P$49="","",IF($B194="","",IFERROR(SUMIFS('Dvd Calendar'!$E$294:$CZ$294,'Dvd Calendar'!$E$293:$CZ$293,"&gt;"&amp;P$48,'Dvd Calendar'!$E$293:$CZ$293,"&lt;="&amp;P$49),"")))</f>
        <v/>
      </c>
      <c r="Q194" s="140">
        <f>IF(Q$49="","",IF($B194="","",IFERROR(SUMIFS('Dvd Calendar'!$E$294:$CZ$294,'Dvd Calendar'!$E$293:$CZ$293,"&gt;"&amp;Q$48,'Dvd Calendar'!$E$293:$CZ$293,"&lt;="&amp;Q$49),"")))</f>
        <v/>
      </c>
      <c r="R194" s="140">
        <f>IF(R$49="","",IF($B194="","",IFERROR(SUMIFS('Dvd Calendar'!$E$294:$CZ$294,'Dvd Calendar'!$E$293:$CZ$293,"&gt;"&amp;R$48,'Dvd Calendar'!$E$293:$CZ$293,"&lt;="&amp;R$49),"")))</f>
        <v/>
      </c>
    </row>
    <row r="195">
      <c r="B195" s="5">
        <f>IF(AS51!$C$150="","",AS51!$C$150)</f>
        <v/>
      </c>
      <c r="C195" s="140">
        <f>IF(C$49="","",IF($B195="","",IFERROR(SUMIFS('Dvd Calendar'!$E$296:$CZ$296,'Dvd Calendar'!$E$295:$CZ$295,"&gt;"&amp;C$48,'Dvd Calendar'!$E$295:$CZ$295,"&lt;="&amp;C$49),"")))</f>
        <v/>
      </c>
      <c r="D195" s="140">
        <f>IF(D$49="","",IF($B195="","",IFERROR(SUMIFS('Dvd Calendar'!$E$296:$CZ$296,'Dvd Calendar'!$E$295:$CZ$295,"&gt;"&amp;D$48,'Dvd Calendar'!$E$295:$CZ$295,"&lt;="&amp;D$49),"")))</f>
        <v/>
      </c>
      <c r="E195" s="140">
        <f>IF(E$49="","",IF($B195="","",IFERROR(SUMIFS('Dvd Calendar'!$E$296:$CZ$296,'Dvd Calendar'!$E$295:$CZ$295,"&gt;"&amp;E$48,'Dvd Calendar'!$E$295:$CZ$295,"&lt;="&amp;E$49),"")))</f>
        <v/>
      </c>
      <c r="F195" s="140">
        <f>IF(F$49="","",IF($B195="","",IFERROR(SUMIFS('Dvd Calendar'!$E$296:$CZ$296,'Dvd Calendar'!$E$295:$CZ$295,"&gt;"&amp;F$48,'Dvd Calendar'!$E$295:$CZ$295,"&lt;="&amp;F$49),"")))</f>
        <v/>
      </c>
      <c r="G195" s="140">
        <f>IF(G$49="","",IF($B195="","",IFERROR(SUMIFS('Dvd Calendar'!$E$296:$CZ$296,'Dvd Calendar'!$E$295:$CZ$295,"&gt;"&amp;G$48,'Dvd Calendar'!$E$295:$CZ$295,"&lt;="&amp;G$49),"")))</f>
        <v/>
      </c>
      <c r="H195" s="140">
        <f>IF(H$49="","",IF($B195="","",IFERROR(SUMIFS('Dvd Calendar'!$E$296:$CZ$296,'Dvd Calendar'!$E$295:$CZ$295,"&gt;"&amp;H$48,'Dvd Calendar'!$E$295:$CZ$295,"&lt;="&amp;H$49),"")))</f>
        <v/>
      </c>
      <c r="I195" s="140">
        <f>IF(I$49="","",IF($B195="","",IFERROR(SUMIFS('Dvd Calendar'!$E$296:$CZ$296,'Dvd Calendar'!$E$295:$CZ$295,"&gt;"&amp;I$48,'Dvd Calendar'!$E$295:$CZ$295,"&lt;="&amp;I$49),"")))</f>
        <v/>
      </c>
      <c r="J195" s="140">
        <f>IF(J$49="","",IF($B195="","",IFERROR(SUMIFS('Dvd Calendar'!$E$296:$CZ$296,'Dvd Calendar'!$E$295:$CZ$295,"&gt;"&amp;J$48,'Dvd Calendar'!$E$295:$CZ$295,"&lt;="&amp;J$49),"")))</f>
        <v/>
      </c>
      <c r="K195" s="140">
        <f>IF(K$49="","",IF($B195="","",IFERROR(SUMIFS('Dvd Calendar'!$E$296:$CZ$296,'Dvd Calendar'!$E$295:$CZ$295,"&gt;"&amp;K$48,'Dvd Calendar'!$E$295:$CZ$295,"&lt;="&amp;K$49),"")))</f>
        <v/>
      </c>
      <c r="L195" s="140">
        <f>IF(L$49="","",IF($B195="","",IFERROR(SUMIFS('Dvd Calendar'!$E$296:$CZ$296,'Dvd Calendar'!$E$295:$CZ$295,"&gt;"&amp;L$48,'Dvd Calendar'!$E$295:$CZ$295,"&lt;="&amp;L$49),"")))</f>
        <v/>
      </c>
      <c r="M195" s="140">
        <f>IF(M$49="","",IF($B195="","",IFERROR(SUMIFS('Dvd Calendar'!$E$296:$CZ$296,'Dvd Calendar'!$E$295:$CZ$295,"&gt;"&amp;M$48,'Dvd Calendar'!$E$295:$CZ$295,"&lt;="&amp;M$49),"")))</f>
        <v/>
      </c>
      <c r="N195" s="140">
        <f>IF(N$49="","",IF($B195="","",IFERROR(SUMIFS('Dvd Calendar'!$E$296:$CZ$296,'Dvd Calendar'!$E$295:$CZ$295,"&gt;"&amp;N$48,'Dvd Calendar'!$E$295:$CZ$295,"&lt;="&amp;N$49),"")))</f>
        <v/>
      </c>
      <c r="O195" s="140">
        <f>IF(O$49="","",IF($B195="","",IFERROR(SUMIFS('Dvd Calendar'!$E$296:$CZ$296,'Dvd Calendar'!$E$295:$CZ$295,"&gt;"&amp;O$48,'Dvd Calendar'!$E$295:$CZ$295,"&lt;="&amp;O$49),"")))</f>
        <v/>
      </c>
      <c r="P195" s="140">
        <f>IF(P$49="","",IF($B195="","",IFERROR(SUMIFS('Dvd Calendar'!$E$296:$CZ$296,'Dvd Calendar'!$E$295:$CZ$295,"&gt;"&amp;P$48,'Dvd Calendar'!$E$295:$CZ$295,"&lt;="&amp;P$49),"")))</f>
        <v/>
      </c>
      <c r="Q195" s="140">
        <f>IF(Q$49="","",IF($B195="","",IFERROR(SUMIFS('Dvd Calendar'!$E$296:$CZ$296,'Dvd Calendar'!$E$295:$CZ$295,"&gt;"&amp;Q$48,'Dvd Calendar'!$E$295:$CZ$295,"&lt;="&amp;Q$49),"")))</f>
        <v/>
      </c>
      <c r="R195" s="140">
        <f>IF(R$49="","",IF($B195="","",IFERROR(SUMIFS('Dvd Calendar'!$E$296:$CZ$296,'Dvd Calendar'!$E$295:$CZ$295,"&gt;"&amp;R$48,'Dvd Calendar'!$E$295:$CZ$295,"&lt;="&amp;R$49),"")))</f>
        <v/>
      </c>
    </row>
    <row r="196">
      <c r="B196" s="5">
        <f>IF(AS51!$C$151="","",AS51!$C$151)</f>
        <v/>
      </c>
      <c r="C196" s="140">
        <f>IF(C$49="","",IF($B196="","",IFERROR(SUMIFS('Dvd Calendar'!$E$298:$CZ$298,'Dvd Calendar'!$E$297:$CZ$297,"&gt;"&amp;C$48,'Dvd Calendar'!$E$297:$CZ$297,"&lt;="&amp;C$49),"")))</f>
        <v/>
      </c>
      <c r="D196" s="140">
        <f>IF(D$49="","",IF($B196="","",IFERROR(SUMIFS('Dvd Calendar'!$E$298:$CZ$298,'Dvd Calendar'!$E$297:$CZ$297,"&gt;"&amp;D$48,'Dvd Calendar'!$E$297:$CZ$297,"&lt;="&amp;D$49),"")))</f>
        <v/>
      </c>
      <c r="E196" s="140">
        <f>IF(E$49="","",IF($B196="","",IFERROR(SUMIFS('Dvd Calendar'!$E$298:$CZ$298,'Dvd Calendar'!$E$297:$CZ$297,"&gt;"&amp;E$48,'Dvd Calendar'!$E$297:$CZ$297,"&lt;="&amp;E$49),"")))</f>
        <v/>
      </c>
      <c r="F196" s="140">
        <f>IF(F$49="","",IF($B196="","",IFERROR(SUMIFS('Dvd Calendar'!$E$298:$CZ$298,'Dvd Calendar'!$E$297:$CZ$297,"&gt;"&amp;F$48,'Dvd Calendar'!$E$297:$CZ$297,"&lt;="&amp;F$49),"")))</f>
        <v/>
      </c>
      <c r="G196" s="140">
        <f>IF(G$49="","",IF($B196="","",IFERROR(SUMIFS('Dvd Calendar'!$E$298:$CZ$298,'Dvd Calendar'!$E$297:$CZ$297,"&gt;"&amp;G$48,'Dvd Calendar'!$E$297:$CZ$297,"&lt;="&amp;G$49),"")))</f>
        <v/>
      </c>
      <c r="H196" s="140">
        <f>IF(H$49="","",IF($B196="","",IFERROR(SUMIFS('Dvd Calendar'!$E$298:$CZ$298,'Dvd Calendar'!$E$297:$CZ$297,"&gt;"&amp;H$48,'Dvd Calendar'!$E$297:$CZ$297,"&lt;="&amp;H$49),"")))</f>
        <v/>
      </c>
      <c r="I196" s="140">
        <f>IF(I$49="","",IF($B196="","",IFERROR(SUMIFS('Dvd Calendar'!$E$298:$CZ$298,'Dvd Calendar'!$E$297:$CZ$297,"&gt;"&amp;I$48,'Dvd Calendar'!$E$297:$CZ$297,"&lt;="&amp;I$49),"")))</f>
        <v/>
      </c>
      <c r="J196" s="140">
        <f>IF(J$49="","",IF($B196="","",IFERROR(SUMIFS('Dvd Calendar'!$E$298:$CZ$298,'Dvd Calendar'!$E$297:$CZ$297,"&gt;"&amp;J$48,'Dvd Calendar'!$E$297:$CZ$297,"&lt;="&amp;J$49),"")))</f>
        <v/>
      </c>
      <c r="K196" s="140">
        <f>IF(K$49="","",IF($B196="","",IFERROR(SUMIFS('Dvd Calendar'!$E$298:$CZ$298,'Dvd Calendar'!$E$297:$CZ$297,"&gt;"&amp;K$48,'Dvd Calendar'!$E$297:$CZ$297,"&lt;="&amp;K$49),"")))</f>
        <v/>
      </c>
      <c r="L196" s="140">
        <f>IF(L$49="","",IF($B196="","",IFERROR(SUMIFS('Dvd Calendar'!$E$298:$CZ$298,'Dvd Calendar'!$E$297:$CZ$297,"&gt;"&amp;L$48,'Dvd Calendar'!$E$297:$CZ$297,"&lt;="&amp;L$49),"")))</f>
        <v/>
      </c>
      <c r="M196" s="140">
        <f>IF(M$49="","",IF($B196="","",IFERROR(SUMIFS('Dvd Calendar'!$E$298:$CZ$298,'Dvd Calendar'!$E$297:$CZ$297,"&gt;"&amp;M$48,'Dvd Calendar'!$E$297:$CZ$297,"&lt;="&amp;M$49),"")))</f>
        <v/>
      </c>
      <c r="N196" s="140">
        <f>IF(N$49="","",IF($B196="","",IFERROR(SUMIFS('Dvd Calendar'!$E$298:$CZ$298,'Dvd Calendar'!$E$297:$CZ$297,"&gt;"&amp;N$48,'Dvd Calendar'!$E$297:$CZ$297,"&lt;="&amp;N$49),"")))</f>
        <v/>
      </c>
      <c r="O196" s="140">
        <f>IF(O$49="","",IF($B196="","",IFERROR(SUMIFS('Dvd Calendar'!$E$298:$CZ$298,'Dvd Calendar'!$E$297:$CZ$297,"&gt;"&amp;O$48,'Dvd Calendar'!$E$297:$CZ$297,"&lt;="&amp;O$49),"")))</f>
        <v/>
      </c>
      <c r="P196" s="140">
        <f>IF(P$49="","",IF($B196="","",IFERROR(SUMIFS('Dvd Calendar'!$E$298:$CZ$298,'Dvd Calendar'!$E$297:$CZ$297,"&gt;"&amp;P$48,'Dvd Calendar'!$E$297:$CZ$297,"&lt;="&amp;P$49),"")))</f>
        <v/>
      </c>
      <c r="Q196" s="140">
        <f>IF(Q$49="","",IF($B196="","",IFERROR(SUMIFS('Dvd Calendar'!$E$298:$CZ$298,'Dvd Calendar'!$E$297:$CZ$297,"&gt;"&amp;Q$48,'Dvd Calendar'!$E$297:$CZ$297,"&lt;="&amp;Q$49),"")))</f>
        <v/>
      </c>
      <c r="R196" s="140">
        <f>IF(R$49="","",IF($B196="","",IFERROR(SUMIFS('Dvd Calendar'!$E$298:$CZ$298,'Dvd Calendar'!$E$297:$CZ$297,"&gt;"&amp;R$48,'Dvd Calendar'!$E$297:$CZ$297,"&lt;="&amp;R$49),"")))</f>
        <v/>
      </c>
    </row>
    <row r="197">
      <c r="B197" s="5">
        <f>IF(AS51!$C$152="","",AS51!$C$152)</f>
        <v/>
      </c>
      <c r="C197" s="140">
        <f>IF(C$49="","",IF($B197="","",IFERROR(SUMIFS('Dvd Calendar'!$E$300:$CZ$300,'Dvd Calendar'!$E$299:$CZ$299,"&gt;"&amp;C$48,'Dvd Calendar'!$E$299:$CZ$299,"&lt;="&amp;C$49),"")))</f>
        <v/>
      </c>
      <c r="D197" s="140">
        <f>IF(D$49="","",IF($B197="","",IFERROR(SUMIFS('Dvd Calendar'!$E$300:$CZ$300,'Dvd Calendar'!$E$299:$CZ$299,"&gt;"&amp;D$48,'Dvd Calendar'!$E$299:$CZ$299,"&lt;="&amp;D$49),"")))</f>
        <v/>
      </c>
      <c r="E197" s="140">
        <f>IF(E$49="","",IF($B197="","",IFERROR(SUMIFS('Dvd Calendar'!$E$300:$CZ$300,'Dvd Calendar'!$E$299:$CZ$299,"&gt;"&amp;E$48,'Dvd Calendar'!$E$299:$CZ$299,"&lt;="&amp;E$49),"")))</f>
        <v/>
      </c>
      <c r="F197" s="140">
        <f>IF(F$49="","",IF($B197="","",IFERROR(SUMIFS('Dvd Calendar'!$E$300:$CZ$300,'Dvd Calendar'!$E$299:$CZ$299,"&gt;"&amp;F$48,'Dvd Calendar'!$E$299:$CZ$299,"&lt;="&amp;F$49),"")))</f>
        <v/>
      </c>
      <c r="G197" s="140">
        <f>IF(G$49="","",IF($B197="","",IFERROR(SUMIFS('Dvd Calendar'!$E$300:$CZ$300,'Dvd Calendar'!$E$299:$CZ$299,"&gt;"&amp;G$48,'Dvd Calendar'!$E$299:$CZ$299,"&lt;="&amp;G$49),"")))</f>
        <v/>
      </c>
      <c r="H197" s="140">
        <f>IF(H$49="","",IF($B197="","",IFERROR(SUMIFS('Dvd Calendar'!$E$300:$CZ$300,'Dvd Calendar'!$E$299:$CZ$299,"&gt;"&amp;H$48,'Dvd Calendar'!$E$299:$CZ$299,"&lt;="&amp;H$49),"")))</f>
        <v/>
      </c>
      <c r="I197" s="140">
        <f>IF(I$49="","",IF($B197="","",IFERROR(SUMIFS('Dvd Calendar'!$E$300:$CZ$300,'Dvd Calendar'!$E$299:$CZ$299,"&gt;"&amp;I$48,'Dvd Calendar'!$E$299:$CZ$299,"&lt;="&amp;I$49),"")))</f>
        <v/>
      </c>
      <c r="J197" s="140">
        <f>IF(J$49="","",IF($B197="","",IFERROR(SUMIFS('Dvd Calendar'!$E$300:$CZ$300,'Dvd Calendar'!$E$299:$CZ$299,"&gt;"&amp;J$48,'Dvd Calendar'!$E$299:$CZ$299,"&lt;="&amp;J$49),"")))</f>
        <v/>
      </c>
      <c r="K197" s="140">
        <f>IF(K$49="","",IF($B197="","",IFERROR(SUMIFS('Dvd Calendar'!$E$300:$CZ$300,'Dvd Calendar'!$E$299:$CZ$299,"&gt;"&amp;K$48,'Dvd Calendar'!$E$299:$CZ$299,"&lt;="&amp;K$49),"")))</f>
        <v/>
      </c>
      <c r="L197" s="140">
        <f>IF(L$49="","",IF($B197="","",IFERROR(SUMIFS('Dvd Calendar'!$E$300:$CZ$300,'Dvd Calendar'!$E$299:$CZ$299,"&gt;"&amp;L$48,'Dvd Calendar'!$E$299:$CZ$299,"&lt;="&amp;L$49),"")))</f>
        <v/>
      </c>
      <c r="M197" s="140">
        <f>IF(M$49="","",IF($B197="","",IFERROR(SUMIFS('Dvd Calendar'!$E$300:$CZ$300,'Dvd Calendar'!$E$299:$CZ$299,"&gt;"&amp;M$48,'Dvd Calendar'!$E$299:$CZ$299,"&lt;="&amp;M$49),"")))</f>
        <v/>
      </c>
      <c r="N197" s="140">
        <f>IF(N$49="","",IF($B197="","",IFERROR(SUMIFS('Dvd Calendar'!$E$300:$CZ$300,'Dvd Calendar'!$E$299:$CZ$299,"&gt;"&amp;N$48,'Dvd Calendar'!$E$299:$CZ$299,"&lt;="&amp;N$49),"")))</f>
        <v/>
      </c>
      <c r="O197" s="140">
        <f>IF(O$49="","",IF($B197="","",IFERROR(SUMIFS('Dvd Calendar'!$E$300:$CZ$300,'Dvd Calendar'!$E$299:$CZ$299,"&gt;"&amp;O$48,'Dvd Calendar'!$E$299:$CZ$299,"&lt;="&amp;O$49),"")))</f>
        <v/>
      </c>
      <c r="P197" s="140">
        <f>IF(P$49="","",IF($B197="","",IFERROR(SUMIFS('Dvd Calendar'!$E$300:$CZ$300,'Dvd Calendar'!$E$299:$CZ$299,"&gt;"&amp;P$48,'Dvd Calendar'!$E$299:$CZ$299,"&lt;="&amp;P$49),"")))</f>
        <v/>
      </c>
      <c r="Q197" s="140">
        <f>IF(Q$49="","",IF($B197="","",IFERROR(SUMIFS('Dvd Calendar'!$E$300:$CZ$300,'Dvd Calendar'!$E$299:$CZ$299,"&gt;"&amp;Q$48,'Dvd Calendar'!$E$299:$CZ$299,"&lt;="&amp;Q$49),"")))</f>
        <v/>
      </c>
      <c r="R197" s="140">
        <f>IF(R$49="","",IF($B197="","",IFERROR(SUMIFS('Dvd Calendar'!$E$300:$CZ$300,'Dvd Calendar'!$E$299:$CZ$299,"&gt;"&amp;R$48,'Dvd Calendar'!$E$299:$CZ$299,"&lt;="&amp;R$49),"")))</f>
        <v/>
      </c>
    </row>
    <row r="198">
      <c r="B198" s="5">
        <f>IF(AS51!$C$153="","",AS51!$C$153)</f>
        <v/>
      </c>
      <c r="C198" s="140">
        <f>IF(C$49="","",IF($B198="","",IFERROR(SUMIFS('Dvd Calendar'!$E$302:$CZ$302,'Dvd Calendar'!$E$301:$CZ$301,"&gt;"&amp;C$48,'Dvd Calendar'!$E$301:$CZ$301,"&lt;="&amp;C$49),"")))</f>
        <v/>
      </c>
      <c r="D198" s="140">
        <f>IF(D$49="","",IF($B198="","",IFERROR(SUMIFS('Dvd Calendar'!$E$302:$CZ$302,'Dvd Calendar'!$E$301:$CZ$301,"&gt;"&amp;D$48,'Dvd Calendar'!$E$301:$CZ$301,"&lt;="&amp;D$49),"")))</f>
        <v/>
      </c>
      <c r="E198" s="140">
        <f>IF(E$49="","",IF($B198="","",IFERROR(SUMIFS('Dvd Calendar'!$E$302:$CZ$302,'Dvd Calendar'!$E$301:$CZ$301,"&gt;"&amp;E$48,'Dvd Calendar'!$E$301:$CZ$301,"&lt;="&amp;E$49),"")))</f>
        <v/>
      </c>
      <c r="F198" s="140">
        <f>IF(F$49="","",IF($B198="","",IFERROR(SUMIFS('Dvd Calendar'!$E$302:$CZ$302,'Dvd Calendar'!$E$301:$CZ$301,"&gt;"&amp;F$48,'Dvd Calendar'!$E$301:$CZ$301,"&lt;="&amp;F$49),"")))</f>
        <v/>
      </c>
      <c r="G198" s="140">
        <f>IF(G$49="","",IF($B198="","",IFERROR(SUMIFS('Dvd Calendar'!$E$302:$CZ$302,'Dvd Calendar'!$E$301:$CZ$301,"&gt;"&amp;G$48,'Dvd Calendar'!$E$301:$CZ$301,"&lt;="&amp;G$49),"")))</f>
        <v/>
      </c>
      <c r="H198" s="140">
        <f>IF(H$49="","",IF($B198="","",IFERROR(SUMIFS('Dvd Calendar'!$E$302:$CZ$302,'Dvd Calendar'!$E$301:$CZ$301,"&gt;"&amp;H$48,'Dvd Calendar'!$E$301:$CZ$301,"&lt;="&amp;H$49),"")))</f>
        <v/>
      </c>
      <c r="I198" s="140">
        <f>IF(I$49="","",IF($B198="","",IFERROR(SUMIFS('Dvd Calendar'!$E$302:$CZ$302,'Dvd Calendar'!$E$301:$CZ$301,"&gt;"&amp;I$48,'Dvd Calendar'!$E$301:$CZ$301,"&lt;="&amp;I$49),"")))</f>
        <v/>
      </c>
      <c r="J198" s="140">
        <f>IF(J$49="","",IF($B198="","",IFERROR(SUMIFS('Dvd Calendar'!$E$302:$CZ$302,'Dvd Calendar'!$E$301:$CZ$301,"&gt;"&amp;J$48,'Dvd Calendar'!$E$301:$CZ$301,"&lt;="&amp;J$49),"")))</f>
        <v/>
      </c>
      <c r="K198" s="140">
        <f>IF(K$49="","",IF($B198="","",IFERROR(SUMIFS('Dvd Calendar'!$E$302:$CZ$302,'Dvd Calendar'!$E$301:$CZ$301,"&gt;"&amp;K$48,'Dvd Calendar'!$E$301:$CZ$301,"&lt;="&amp;K$49),"")))</f>
        <v/>
      </c>
      <c r="L198" s="140">
        <f>IF(L$49="","",IF($B198="","",IFERROR(SUMIFS('Dvd Calendar'!$E$302:$CZ$302,'Dvd Calendar'!$E$301:$CZ$301,"&gt;"&amp;L$48,'Dvd Calendar'!$E$301:$CZ$301,"&lt;="&amp;L$49),"")))</f>
        <v/>
      </c>
      <c r="M198" s="140">
        <f>IF(M$49="","",IF($B198="","",IFERROR(SUMIFS('Dvd Calendar'!$E$302:$CZ$302,'Dvd Calendar'!$E$301:$CZ$301,"&gt;"&amp;M$48,'Dvd Calendar'!$E$301:$CZ$301,"&lt;="&amp;M$49),"")))</f>
        <v/>
      </c>
      <c r="N198" s="140">
        <f>IF(N$49="","",IF($B198="","",IFERROR(SUMIFS('Dvd Calendar'!$E$302:$CZ$302,'Dvd Calendar'!$E$301:$CZ$301,"&gt;"&amp;N$48,'Dvd Calendar'!$E$301:$CZ$301,"&lt;="&amp;N$49),"")))</f>
        <v/>
      </c>
      <c r="O198" s="140">
        <f>IF(O$49="","",IF($B198="","",IFERROR(SUMIFS('Dvd Calendar'!$E$302:$CZ$302,'Dvd Calendar'!$E$301:$CZ$301,"&gt;"&amp;O$48,'Dvd Calendar'!$E$301:$CZ$301,"&lt;="&amp;O$49),"")))</f>
        <v/>
      </c>
      <c r="P198" s="140">
        <f>IF(P$49="","",IF($B198="","",IFERROR(SUMIFS('Dvd Calendar'!$E$302:$CZ$302,'Dvd Calendar'!$E$301:$CZ$301,"&gt;"&amp;P$48,'Dvd Calendar'!$E$301:$CZ$301,"&lt;="&amp;P$49),"")))</f>
        <v/>
      </c>
      <c r="Q198" s="140">
        <f>IF(Q$49="","",IF($B198="","",IFERROR(SUMIFS('Dvd Calendar'!$E$302:$CZ$302,'Dvd Calendar'!$E$301:$CZ$301,"&gt;"&amp;Q$48,'Dvd Calendar'!$E$301:$CZ$301,"&lt;="&amp;Q$49),"")))</f>
        <v/>
      </c>
      <c r="R198" s="140">
        <f>IF(R$49="","",IF($B198="","",IFERROR(SUMIFS('Dvd Calendar'!$E$302:$CZ$302,'Dvd Calendar'!$E$301:$CZ$301,"&gt;"&amp;R$48,'Dvd Calendar'!$E$301:$CZ$301,"&lt;="&amp;R$49),"")))</f>
        <v/>
      </c>
    </row>
    <row r="199">
      <c r="B199" s="5">
        <f>IF(AS51!$C$154="","",AS51!$C$154)</f>
        <v/>
      </c>
      <c r="C199" s="140">
        <f>IF(C$49="","",IF($B199="","",IFERROR(SUMIFS('Dvd Calendar'!$E$304:$CZ$304,'Dvd Calendar'!$E$303:$CZ$303,"&gt;"&amp;C$48,'Dvd Calendar'!$E$303:$CZ$303,"&lt;="&amp;C$49),"")))</f>
        <v/>
      </c>
      <c r="D199" s="140">
        <f>IF(D$49="","",IF($B199="","",IFERROR(SUMIFS('Dvd Calendar'!$E$304:$CZ$304,'Dvd Calendar'!$E$303:$CZ$303,"&gt;"&amp;D$48,'Dvd Calendar'!$E$303:$CZ$303,"&lt;="&amp;D$49),"")))</f>
        <v/>
      </c>
      <c r="E199" s="140">
        <f>IF(E$49="","",IF($B199="","",IFERROR(SUMIFS('Dvd Calendar'!$E$304:$CZ$304,'Dvd Calendar'!$E$303:$CZ$303,"&gt;"&amp;E$48,'Dvd Calendar'!$E$303:$CZ$303,"&lt;="&amp;E$49),"")))</f>
        <v/>
      </c>
      <c r="F199" s="140">
        <f>IF(F$49="","",IF($B199="","",IFERROR(SUMIFS('Dvd Calendar'!$E$304:$CZ$304,'Dvd Calendar'!$E$303:$CZ$303,"&gt;"&amp;F$48,'Dvd Calendar'!$E$303:$CZ$303,"&lt;="&amp;F$49),"")))</f>
        <v/>
      </c>
      <c r="G199" s="140">
        <f>IF(G$49="","",IF($B199="","",IFERROR(SUMIFS('Dvd Calendar'!$E$304:$CZ$304,'Dvd Calendar'!$E$303:$CZ$303,"&gt;"&amp;G$48,'Dvd Calendar'!$E$303:$CZ$303,"&lt;="&amp;G$49),"")))</f>
        <v/>
      </c>
      <c r="H199" s="140">
        <f>IF(H$49="","",IF($B199="","",IFERROR(SUMIFS('Dvd Calendar'!$E$304:$CZ$304,'Dvd Calendar'!$E$303:$CZ$303,"&gt;"&amp;H$48,'Dvd Calendar'!$E$303:$CZ$303,"&lt;="&amp;H$49),"")))</f>
        <v/>
      </c>
      <c r="I199" s="140">
        <f>IF(I$49="","",IF($B199="","",IFERROR(SUMIFS('Dvd Calendar'!$E$304:$CZ$304,'Dvd Calendar'!$E$303:$CZ$303,"&gt;"&amp;I$48,'Dvd Calendar'!$E$303:$CZ$303,"&lt;="&amp;I$49),"")))</f>
        <v/>
      </c>
      <c r="J199" s="140">
        <f>IF(J$49="","",IF($B199="","",IFERROR(SUMIFS('Dvd Calendar'!$E$304:$CZ$304,'Dvd Calendar'!$E$303:$CZ$303,"&gt;"&amp;J$48,'Dvd Calendar'!$E$303:$CZ$303,"&lt;="&amp;J$49),"")))</f>
        <v/>
      </c>
      <c r="K199" s="140">
        <f>IF(K$49="","",IF($B199="","",IFERROR(SUMIFS('Dvd Calendar'!$E$304:$CZ$304,'Dvd Calendar'!$E$303:$CZ$303,"&gt;"&amp;K$48,'Dvd Calendar'!$E$303:$CZ$303,"&lt;="&amp;K$49),"")))</f>
        <v/>
      </c>
      <c r="L199" s="140">
        <f>IF(L$49="","",IF($B199="","",IFERROR(SUMIFS('Dvd Calendar'!$E$304:$CZ$304,'Dvd Calendar'!$E$303:$CZ$303,"&gt;"&amp;L$48,'Dvd Calendar'!$E$303:$CZ$303,"&lt;="&amp;L$49),"")))</f>
        <v/>
      </c>
      <c r="M199" s="140">
        <f>IF(M$49="","",IF($B199="","",IFERROR(SUMIFS('Dvd Calendar'!$E$304:$CZ$304,'Dvd Calendar'!$E$303:$CZ$303,"&gt;"&amp;M$48,'Dvd Calendar'!$E$303:$CZ$303,"&lt;="&amp;M$49),"")))</f>
        <v/>
      </c>
      <c r="N199" s="140">
        <f>IF(N$49="","",IF($B199="","",IFERROR(SUMIFS('Dvd Calendar'!$E$304:$CZ$304,'Dvd Calendar'!$E$303:$CZ$303,"&gt;"&amp;N$48,'Dvd Calendar'!$E$303:$CZ$303,"&lt;="&amp;N$49),"")))</f>
        <v/>
      </c>
      <c r="O199" s="140">
        <f>IF(O$49="","",IF($B199="","",IFERROR(SUMIFS('Dvd Calendar'!$E$304:$CZ$304,'Dvd Calendar'!$E$303:$CZ$303,"&gt;"&amp;O$48,'Dvd Calendar'!$E$303:$CZ$303,"&lt;="&amp;O$49),"")))</f>
        <v/>
      </c>
      <c r="P199" s="140">
        <f>IF(P$49="","",IF($B199="","",IFERROR(SUMIFS('Dvd Calendar'!$E$304:$CZ$304,'Dvd Calendar'!$E$303:$CZ$303,"&gt;"&amp;P$48,'Dvd Calendar'!$E$303:$CZ$303,"&lt;="&amp;P$49),"")))</f>
        <v/>
      </c>
      <c r="Q199" s="140">
        <f>IF(Q$49="","",IF($B199="","",IFERROR(SUMIFS('Dvd Calendar'!$E$304:$CZ$304,'Dvd Calendar'!$E$303:$CZ$303,"&gt;"&amp;Q$48,'Dvd Calendar'!$E$303:$CZ$303,"&lt;="&amp;Q$49),"")))</f>
        <v/>
      </c>
      <c r="R199" s="140">
        <f>IF(R$49="","",IF($B199="","",IFERROR(SUMIFS('Dvd Calendar'!$E$304:$CZ$304,'Dvd Calendar'!$E$303:$CZ$303,"&gt;"&amp;R$48,'Dvd Calendar'!$E$303:$CZ$303,"&lt;="&amp;R$49),"")))</f>
        <v/>
      </c>
    </row>
    <row r="200">
      <c r="B200" s="5">
        <f>IF(AS51!$C$155="","",AS51!$C$155)</f>
        <v/>
      </c>
      <c r="C200" s="140">
        <f>IF(C$49="","",IF($B200="","",IFERROR(SUMIFS('Dvd Calendar'!$E$306:$CZ$306,'Dvd Calendar'!$E$305:$CZ$305,"&gt;"&amp;C$48,'Dvd Calendar'!$E$305:$CZ$305,"&lt;="&amp;C$49),"")))</f>
        <v/>
      </c>
      <c r="D200" s="140">
        <f>IF(D$49="","",IF($B200="","",IFERROR(SUMIFS('Dvd Calendar'!$E$306:$CZ$306,'Dvd Calendar'!$E$305:$CZ$305,"&gt;"&amp;D$48,'Dvd Calendar'!$E$305:$CZ$305,"&lt;="&amp;D$49),"")))</f>
        <v/>
      </c>
      <c r="E200" s="140">
        <f>IF(E$49="","",IF($B200="","",IFERROR(SUMIFS('Dvd Calendar'!$E$306:$CZ$306,'Dvd Calendar'!$E$305:$CZ$305,"&gt;"&amp;E$48,'Dvd Calendar'!$E$305:$CZ$305,"&lt;="&amp;E$49),"")))</f>
        <v/>
      </c>
      <c r="F200" s="140">
        <f>IF(F$49="","",IF($B200="","",IFERROR(SUMIFS('Dvd Calendar'!$E$306:$CZ$306,'Dvd Calendar'!$E$305:$CZ$305,"&gt;"&amp;F$48,'Dvd Calendar'!$E$305:$CZ$305,"&lt;="&amp;F$49),"")))</f>
        <v/>
      </c>
      <c r="G200" s="140">
        <f>IF(G$49="","",IF($B200="","",IFERROR(SUMIFS('Dvd Calendar'!$E$306:$CZ$306,'Dvd Calendar'!$E$305:$CZ$305,"&gt;"&amp;G$48,'Dvd Calendar'!$E$305:$CZ$305,"&lt;="&amp;G$49),"")))</f>
        <v/>
      </c>
      <c r="H200" s="140">
        <f>IF(H$49="","",IF($B200="","",IFERROR(SUMIFS('Dvd Calendar'!$E$306:$CZ$306,'Dvd Calendar'!$E$305:$CZ$305,"&gt;"&amp;H$48,'Dvd Calendar'!$E$305:$CZ$305,"&lt;="&amp;H$49),"")))</f>
        <v/>
      </c>
      <c r="I200" s="140">
        <f>IF(I$49="","",IF($B200="","",IFERROR(SUMIFS('Dvd Calendar'!$E$306:$CZ$306,'Dvd Calendar'!$E$305:$CZ$305,"&gt;"&amp;I$48,'Dvd Calendar'!$E$305:$CZ$305,"&lt;="&amp;I$49),"")))</f>
        <v/>
      </c>
      <c r="J200" s="140">
        <f>IF(J$49="","",IF($B200="","",IFERROR(SUMIFS('Dvd Calendar'!$E$306:$CZ$306,'Dvd Calendar'!$E$305:$CZ$305,"&gt;"&amp;J$48,'Dvd Calendar'!$E$305:$CZ$305,"&lt;="&amp;J$49),"")))</f>
        <v/>
      </c>
      <c r="K200" s="140">
        <f>IF(K$49="","",IF($B200="","",IFERROR(SUMIFS('Dvd Calendar'!$E$306:$CZ$306,'Dvd Calendar'!$E$305:$CZ$305,"&gt;"&amp;K$48,'Dvd Calendar'!$E$305:$CZ$305,"&lt;="&amp;K$49),"")))</f>
        <v/>
      </c>
      <c r="L200" s="140">
        <f>IF(L$49="","",IF($B200="","",IFERROR(SUMIFS('Dvd Calendar'!$E$306:$CZ$306,'Dvd Calendar'!$E$305:$CZ$305,"&gt;"&amp;L$48,'Dvd Calendar'!$E$305:$CZ$305,"&lt;="&amp;L$49),"")))</f>
        <v/>
      </c>
      <c r="M200" s="140">
        <f>IF(M$49="","",IF($B200="","",IFERROR(SUMIFS('Dvd Calendar'!$E$306:$CZ$306,'Dvd Calendar'!$E$305:$CZ$305,"&gt;"&amp;M$48,'Dvd Calendar'!$E$305:$CZ$305,"&lt;="&amp;M$49),"")))</f>
        <v/>
      </c>
      <c r="N200" s="140">
        <f>IF(N$49="","",IF($B200="","",IFERROR(SUMIFS('Dvd Calendar'!$E$306:$CZ$306,'Dvd Calendar'!$E$305:$CZ$305,"&gt;"&amp;N$48,'Dvd Calendar'!$E$305:$CZ$305,"&lt;="&amp;N$49),"")))</f>
        <v/>
      </c>
      <c r="O200" s="140">
        <f>IF(O$49="","",IF($B200="","",IFERROR(SUMIFS('Dvd Calendar'!$E$306:$CZ$306,'Dvd Calendar'!$E$305:$CZ$305,"&gt;"&amp;O$48,'Dvd Calendar'!$E$305:$CZ$305,"&lt;="&amp;O$49),"")))</f>
        <v/>
      </c>
      <c r="P200" s="140">
        <f>IF(P$49="","",IF($B200="","",IFERROR(SUMIFS('Dvd Calendar'!$E$306:$CZ$306,'Dvd Calendar'!$E$305:$CZ$305,"&gt;"&amp;P$48,'Dvd Calendar'!$E$305:$CZ$305,"&lt;="&amp;P$49),"")))</f>
        <v/>
      </c>
      <c r="Q200" s="140">
        <f>IF(Q$49="","",IF($B200="","",IFERROR(SUMIFS('Dvd Calendar'!$E$306:$CZ$306,'Dvd Calendar'!$E$305:$CZ$305,"&gt;"&amp;Q$48,'Dvd Calendar'!$E$305:$CZ$305,"&lt;="&amp;Q$49),"")))</f>
        <v/>
      </c>
      <c r="R200" s="140">
        <f>IF(R$49="","",IF($B200="","",IFERROR(SUMIFS('Dvd Calendar'!$E$306:$CZ$306,'Dvd Calendar'!$E$305:$CZ$305,"&gt;"&amp;R$48,'Dvd Calendar'!$E$305:$CZ$305,"&lt;="&amp;R$49),"")))</f>
        <v/>
      </c>
    </row>
    <row r="201">
      <c r="B201" s="5">
        <f>IF(AS51!$C$156="","",AS51!$C$156)</f>
        <v/>
      </c>
      <c r="C201" s="140">
        <f>IF(C$49="","",IF($B201="","",IFERROR(SUMIFS('Dvd Calendar'!$E$308:$CZ$308,'Dvd Calendar'!$E$307:$CZ$307,"&gt;"&amp;C$48,'Dvd Calendar'!$E$307:$CZ$307,"&lt;="&amp;C$49),"")))</f>
        <v/>
      </c>
      <c r="D201" s="140">
        <f>IF(D$49="","",IF($B201="","",IFERROR(SUMIFS('Dvd Calendar'!$E$308:$CZ$308,'Dvd Calendar'!$E$307:$CZ$307,"&gt;"&amp;D$48,'Dvd Calendar'!$E$307:$CZ$307,"&lt;="&amp;D$49),"")))</f>
        <v/>
      </c>
      <c r="E201" s="140">
        <f>IF(E$49="","",IF($B201="","",IFERROR(SUMIFS('Dvd Calendar'!$E$308:$CZ$308,'Dvd Calendar'!$E$307:$CZ$307,"&gt;"&amp;E$48,'Dvd Calendar'!$E$307:$CZ$307,"&lt;="&amp;E$49),"")))</f>
        <v/>
      </c>
      <c r="F201" s="140">
        <f>IF(F$49="","",IF($B201="","",IFERROR(SUMIFS('Dvd Calendar'!$E$308:$CZ$308,'Dvd Calendar'!$E$307:$CZ$307,"&gt;"&amp;F$48,'Dvd Calendar'!$E$307:$CZ$307,"&lt;="&amp;F$49),"")))</f>
        <v/>
      </c>
      <c r="G201" s="140">
        <f>IF(G$49="","",IF($B201="","",IFERROR(SUMIFS('Dvd Calendar'!$E$308:$CZ$308,'Dvd Calendar'!$E$307:$CZ$307,"&gt;"&amp;G$48,'Dvd Calendar'!$E$307:$CZ$307,"&lt;="&amp;G$49),"")))</f>
        <v/>
      </c>
      <c r="H201" s="140">
        <f>IF(H$49="","",IF($B201="","",IFERROR(SUMIFS('Dvd Calendar'!$E$308:$CZ$308,'Dvd Calendar'!$E$307:$CZ$307,"&gt;"&amp;H$48,'Dvd Calendar'!$E$307:$CZ$307,"&lt;="&amp;H$49),"")))</f>
        <v/>
      </c>
      <c r="I201" s="140">
        <f>IF(I$49="","",IF($B201="","",IFERROR(SUMIFS('Dvd Calendar'!$E$308:$CZ$308,'Dvd Calendar'!$E$307:$CZ$307,"&gt;"&amp;I$48,'Dvd Calendar'!$E$307:$CZ$307,"&lt;="&amp;I$49),"")))</f>
        <v/>
      </c>
      <c r="J201" s="140">
        <f>IF(J$49="","",IF($B201="","",IFERROR(SUMIFS('Dvd Calendar'!$E$308:$CZ$308,'Dvd Calendar'!$E$307:$CZ$307,"&gt;"&amp;J$48,'Dvd Calendar'!$E$307:$CZ$307,"&lt;="&amp;J$49),"")))</f>
        <v/>
      </c>
      <c r="K201" s="140">
        <f>IF(K$49="","",IF($B201="","",IFERROR(SUMIFS('Dvd Calendar'!$E$308:$CZ$308,'Dvd Calendar'!$E$307:$CZ$307,"&gt;"&amp;K$48,'Dvd Calendar'!$E$307:$CZ$307,"&lt;="&amp;K$49),"")))</f>
        <v/>
      </c>
      <c r="L201" s="140">
        <f>IF(L$49="","",IF($B201="","",IFERROR(SUMIFS('Dvd Calendar'!$E$308:$CZ$308,'Dvd Calendar'!$E$307:$CZ$307,"&gt;"&amp;L$48,'Dvd Calendar'!$E$307:$CZ$307,"&lt;="&amp;L$49),"")))</f>
        <v/>
      </c>
      <c r="M201" s="140">
        <f>IF(M$49="","",IF($B201="","",IFERROR(SUMIFS('Dvd Calendar'!$E$308:$CZ$308,'Dvd Calendar'!$E$307:$CZ$307,"&gt;"&amp;M$48,'Dvd Calendar'!$E$307:$CZ$307,"&lt;="&amp;M$49),"")))</f>
        <v/>
      </c>
      <c r="N201" s="140">
        <f>IF(N$49="","",IF($B201="","",IFERROR(SUMIFS('Dvd Calendar'!$E$308:$CZ$308,'Dvd Calendar'!$E$307:$CZ$307,"&gt;"&amp;N$48,'Dvd Calendar'!$E$307:$CZ$307,"&lt;="&amp;N$49),"")))</f>
        <v/>
      </c>
      <c r="O201" s="140">
        <f>IF(O$49="","",IF($B201="","",IFERROR(SUMIFS('Dvd Calendar'!$E$308:$CZ$308,'Dvd Calendar'!$E$307:$CZ$307,"&gt;"&amp;O$48,'Dvd Calendar'!$E$307:$CZ$307,"&lt;="&amp;O$49),"")))</f>
        <v/>
      </c>
      <c r="P201" s="140">
        <f>IF(P$49="","",IF($B201="","",IFERROR(SUMIFS('Dvd Calendar'!$E$308:$CZ$308,'Dvd Calendar'!$E$307:$CZ$307,"&gt;"&amp;P$48,'Dvd Calendar'!$E$307:$CZ$307,"&lt;="&amp;P$49),"")))</f>
        <v/>
      </c>
      <c r="Q201" s="140">
        <f>IF(Q$49="","",IF($B201="","",IFERROR(SUMIFS('Dvd Calendar'!$E$308:$CZ$308,'Dvd Calendar'!$E$307:$CZ$307,"&gt;"&amp;Q$48,'Dvd Calendar'!$E$307:$CZ$307,"&lt;="&amp;Q$49),"")))</f>
        <v/>
      </c>
      <c r="R201" s="140">
        <f>IF(R$49="","",IF($B201="","",IFERROR(SUMIFS('Dvd Calendar'!$E$308:$CZ$308,'Dvd Calendar'!$E$307:$CZ$307,"&gt;"&amp;R$48,'Dvd Calendar'!$E$307:$CZ$307,"&lt;="&amp;R$49),"")))</f>
        <v/>
      </c>
    </row>
    <row r="202">
      <c r="B202" s="5">
        <f>IF(AS51!$C$157="","",AS51!$C$157)</f>
        <v/>
      </c>
      <c r="C202" s="140">
        <f>IF(C$49="","",IF($B202="","",IFERROR(SUMIFS('Dvd Calendar'!$E$310:$CZ$310,'Dvd Calendar'!$E$309:$CZ$309,"&gt;"&amp;C$48,'Dvd Calendar'!$E$309:$CZ$309,"&lt;="&amp;C$49),"")))</f>
        <v/>
      </c>
      <c r="D202" s="140">
        <f>IF(D$49="","",IF($B202="","",IFERROR(SUMIFS('Dvd Calendar'!$E$310:$CZ$310,'Dvd Calendar'!$E$309:$CZ$309,"&gt;"&amp;D$48,'Dvd Calendar'!$E$309:$CZ$309,"&lt;="&amp;D$49),"")))</f>
        <v/>
      </c>
      <c r="E202" s="140">
        <f>IF(E$49="","",IF($B202="","",IFERROR(SUMIFS('Dvd Calendar'!$E$310:$CZ$310,'Dvd Calendar'!$E$309:$CZ$309,"&gt;"&amp;E$48,'Dvd Calendar'!$E$309:$CZ$309,"&lt;="&amp;E$49),"")))</f>
        <v/>
      </c>
      <c r="F202" s="140">
        <f>IF(F$49="","",IF($B202="","",IFERROR(SUMIFS('Dvd Calendar'!$E$310:$CZ$310,'Dvd Calendar'!$E$309:$CZ$309,"&gt;"&amp;F$48,'Dvd Calendar'!$E$309:$CZ$309,"&lt;="&amp;F$49),"")))</f>
        <v/>
      </c>
      <c r="G202" s="140">
        <f>IF(G$49="","",IF($B202="","",IFERROR(SUMIFS('Dvd Calendar'!$E$310:$CZ$310,'Dvd Calendar'!$E$309:$CZ$309,"&gt;"&amp;G$48,'Dvd Calendar'!$E$309:$CZ$309,"&lt;="&amp;G$49),"")))</f>
        <v/>
      </c>
      <c r="H202" s="140">
        <f>IF(H$49="","",IF($B202="","",IFERROR(SUMIFS('Dvd Calendar'!$E$310:$CZ$310,'Dvd Calendar'!$E$309:$CZ$309,"&gt;"&amp;H$48,'Dvd Calendar'!$E$309:$CZ$309,"&lt;="&amp;H$49),"")))</f>
        <v/>
      </c>
      <c r="I202" s="140">
        <f>IF(I$49="","",IF($B202="","",IFERROR(SUMIFS('Dvd Calendar'!$E$310:$CZ$310,'Dvd Calendar'!$E$309:$CZ$309,"&gt;"&amp;I$48,'Dvd Calendar'!$E$309:$CZ$309,"&lt;="&amp;I$49),"")))</f>
        <v/>
      </c>
      <c r="J202" s="140">
        <f>IF(J$49="","",IF($B202="","",IFERROR(SUMIFS('Dvd Calendar'!$E$310:$CZ$310,'Dvd Calendar'!$E$309:$CZ$309,"&gt;"&amp;J$48,'Dvd Calendar'!$E$309:$CZ$309,"&lt;="&amp;J$49),"")))</f>
        <v/>
      </c>
      <c r="K202" s="140">
        <f>IF(K$49="","",IF($B202="","",IFERROR(SUMIFS('Dvd Calendar'!$E$310:$CZ$310,'Dvd Calendar'!$E$309:$CZ$309,"&gt;"&amp;K$48,'Dvd Calendar'!$E$309:$CZ$309,"&lt;="&amp;K$49),"")))</f>
        <v/>
      </c>
      <c r="L202" s="140">
        <f>IF(L$49="","",IF($B202="","",IFERROR(SUMIFS('Dvd Calendar'!$E$310:$CZ$310,'Dvd Calendar'!$E$309:$CZ$309,"&gt;"&amp;L$48,'Dvd Calendar'!$E$309:$CZ$309,"&lt;="&amp;L$49),"")))</f>
        <v/>
      </c>
      <c r="M202" s="140">
        <f>IF(M$49="","",IF($B202="","",IFERROR(SUMIFS('Dvd Calendar'!$E$310:$CZ$310,'Dvd Calendar'!$E$309:$CZ$309,"&gt;"&amp;M$48,'Dvd Calendar'!$E$309:$CZ$309,"&lt;="&amp;M$49),"")))</f>
        <v/>
      </c>
      <c r="N202" s="140">
        <f>IF(N$49="","",IF($B202="","",IFERROR(SUMIFS('Dvd Calendar'!$E$310:$CZ$310,'Dvd Calendar'!$E$309:$CZ$309,"&gt;"&amp;N$48,'Dvd Calendar'!$E$309:$CZ$309,"&lt;="&amp;N$49),"")))</f>
        <v/>
      </c>
      <c r="O202" s="140">
        <f>IF(O$49="","",IF($B202="","",IFERROR(SUMIFS('Dvd Calendar'!$E$310:$CZ$310,'Dvd Calendar'!$E$309:$CZ$309,"&gt;"&amp;O$48,'Dvd Calendar'!$E$309:$CZ$309,"&lt;="&amp;O$49),"")))</f>
        <v/>
      </c>
      <c r="P202" s="140">
        <f>IF(P$49="","",IF($B202="","",IFERROR(SUMIFS('Dvd Calendar'!$E$310:$CZ$310,'Dvd Calendar'!$E$309:$CZ$309,"&gt;"&amp;P$48,'Dvd Calendar'!$E$309:$CZ$309,"&lt;="&amp;P$49),"")))</f>
        <v/>
      </c>
      <c r="Q202" s="140">
        <f>IF(Q$49="","",IF($B202="","",IFERROR(SUMIFS('Dvd Calendar'!$E$310:$CZ$310,'Dvd Calendar'!$E$309:$CZ$309,"&gt;"&amp;Q$48,'Dvd Calendar'!$E$309:$CZ$309,"&lt;="&amp;Q$49),"")))</f>
        <v/>
      </c>
      <c r="R202" s="140">
        <f>IF(R$49="","",IF($B202="","",IFERROR(SUMIFS('Dvd Calendar'!$E$310:$CZ$310,'Dvd Calendar'!$E$309:$CZ$309,"&gt;"&amp;R$48,'Dvd Calendar'!$E$309:$CZ$309,"&lt;="&amp;R$49),"")))</f>
        <v/>
      </c>
    </row>
    <row r="203">
      <c r="B203" s="5">
        <f>IF(AS51!$C$158="","",AS51!$C$158)</f>
        <v/>
      </c>
      <c r="C203" s="140">
        <f>IF(C$49="","",IF($B203="","",IFERROR(SUMIFS('Dvd Calendar'!$E$312:$CZ$312,'Dvd Calendar'!$E$311:$CZ$311,"&gt;"&amp;C$48,'Dvd Calendar'!$E$311:$CZ$311,"&lt;="&amp;C$49),"")))</f>
        <v/>
      </c>
      <c r="D203" s="140">
        <f>IF(D$49="","",IF($B203="","",IFERROR(SUMIFS('Dvd Calendar'!$E$312:$CZ$312,'Dvd Calendar'!$E$311:$CZ$311,"&gt;"&amp;D$48,'Dvd Calendar'!$E$311:$CZ$311,"&lt;="&amp;D$49),"")))</f>
        <v/>
      </c>
      <c r="E203" s="140">
        <f>IF(E$49="","",IF($B203="","",IFERROR(SUMIFS('Dvd Calendar'!$E$312:$CZ$312,'Dvd Calendar'!$E$311:$CZ$311,"&gt;"&amp;E$48,'Dvd Calendar'!$E$311:$CZ$311,"&lt;="&amp;E$49),"")))</f>
        <v/>
      </c>
      <c r="F203" s="140">
        <f>IF(F$49="","",IF($B203="","",IFERROR(SUMIFS('Dvd Calendar'!$E$312:$CZ$312,'Dvd Calendar'!$E$311:$CZ$311,"&gt;"&amp;F$48,'Dvd Calendar'!$E$311:$CZ$311,"&lt;="&amp;F$49),"")))</f>
        <v/>
      </c>
      <c r="G203" s="140">
        <f>IF(G$49="","",IF($B203="","",IFERROR(SUMIFS('Dvd Calendar'!$E$312:$CZ$312,'Dvd Calendar'!$E$311:$CZ$311,"&gt;"&amp;G$48,'Dvd Calendar'!$E$311:$CZ$311,"&lt;="&amp;G$49),"")))</f>
        <v/>
      </c>
      <c r="H203" s="140">
        <f>IF(H$49="","",IF($B203="","",IFERROR(SUMIFS('Dvd Calendar'!$E$312:$CZ$312,'Dvd Calendar'!$E$311:$CZ$311,"&gt;"&amp;H$48,'Dvd Calendar'!$E$311:$CZ$311,"&lt;="&amp;H$49),"")))</f>
        <v/>
      </c>
      <c r="I203" s="140">
        <f>IF(I$49="","",IF($B203="","",IFERROR(SUMIFS('Dvd Calendar'!$E$312:$CZ$312,'Dvd Calendar'!$E$311:$CZ$311,"&gt;"&amp;I$48,'Dvd Calendar'!$E$311:$CZ$311,"&lt;="&amp;I$49),"")))</f>
        <v/>
      </c>
      <c r="J203" s="140">
        <f>IF(J$49="","",IF($B203="","",IFERROR(SUMIFS('Dvd Calendar'!$E$312:$CZ$312,'Dvd Calendar'!$E$311:$CZ$311,"&gt;"&amp;J$48,'Dvd Calendar'!$E$311:$CZ$311,"&lt;="&amp;J$49),"")))</f>
        <v/>
      </c>
      <c r="K203" s="140">
        <f>IF(K$49="","",IF($B203="","",IFERROR(SUMIFS('Dvd Calendar'!$E$312:$CZ$312,'Dvd Calendar'!$E$311:$CZ$311,"&gt;"&amp;K$48,'Dvd Calendar'!$E$311:$CZ$311,"&lt;="&amp;K$49),"")))</f>
        <v/>
      </c>
      <c r="L203" s="140">
        <f>IF(L$49="","",IF($B203="","",IFERROR(SUMIFS('Dvd Calendar'!$E$312:$CZ$312,'Dvd Calendar'!$E$311:$CZ$311,"&gt;"&amp;L$48,'Dvd Calendar'!$E$311:$CZ$311,"&lt;="&amp;L$49),"")))</f>
        <v/>
      </c>
      <c r="M203" s="140">
        <f>IF(M$49="","",IF($B203="","",IFERROR(SUMIFS('Dvd Calendar'!$E$312:$CZ$312,'Dvd Calendar'!$E$311:$CZ$311,"&gt;"&amp;M$48,'Dvd Calendar'!$E$311:$CZ$311,"&lt;="&amp;M$49),"")))</f>
        <v/>
      </c>
      <c r="N203" s="140">
        <f>IF(N$49="","",IF($B203="","",IFERROR(SUMIFS('Dvd Calendar'!$E$312:$CZ$312,'Dvd Calendar'!$E$311:$CZ$311,"&gt;"&amp;N$48,'Dvd Calendar'!$E$311:$CZ$311,"&lt;="&amp;N$49),"")))</f>
        <v/>
      </c>
      <c r="O203" s="140">
        <f>IF(O$49="","",IF($B203="","",IFERROR(SUMIFS('Dvd Calendar'!$E$312:$CZ$312,'Dvd Calendar'!$E$311:$CZ$311,"&gt;"&amp;O$48,'Dvd Calendar'!$E$311:$CZ$311,"&lt;="&amp;O$49),"")))</f>
        <v/>
      </c>
      <c r="P203" s="140">
        <f>IF(P$49="","",IF($B203="","",IFERROR(SUMIFS('Dvd Calendar'!$E$312:$CZ$312,'Dvd Calendar'!$E$311:$CZ$311,"&gt;"&amp;P$48,'Dvd Calendar'!$E$311:$CZ$311,"&lt;="&amp;P$49),"")))</f>
        <v/>
      </c>
      <c r="Q203" s="140">
        <f>IF(Q$49="","",IF($B203="","",IFERROR(SUMIFS('Dvd Calendar'!$E$312:$CZ$312,'Dvd Calendar'!$E$311:$CZ$311,"&gt;"&amp;Q$48,'Dvd Calendar'!$E$311:$CZ$311,"&lt;="&amp;Q$49),"")))</f>
        <v/>
      </c>
      <c r="R203" s="140">
        <f>IF(R$49="","",IF($B203="","",IFERROR(SUMIFS('Dvd Calendar'!$E$312:$CZ$312,'Dvd Calendar'!$E$311:$CZ$311,"&gt;"&amp;R$48,'Dvd Calendar'!$E$311:$CZ$311,"&lt;="&amp;R$49),"")))</f>
        <v/>
      </c>
    </row>
    <row r="204">
      <c r="B204" s="5">
        <f>IF(AS51!$C$159="","",AS51!$C$159)</f>
        <v/>
      </c>
      <c r="C204" s="140">
        <f>IF(C$49="","",IF($B204="","",IFERROR(SUMIFS('Dvd Calendar'!$E$314:$CZ$314,'Dvd Calendar'!$E$313:$CZ$313,"&gt;"&amp;C$48,'Dvd Calendar'!$E$313:$CZ$313,"&lt;="&amp;C$49),"")))</f>
        <v/>
      </c>
      <c r="D204" s="140">
        <f>IF(D$49="","",IF($B204="","",IFERROR(SUMIFS('Dvd Calendar'!$E$314:$CZ$314,'Dvd Calendar'!$E$313:$CZ$313,"&gt;"&amp;D$48,'Dvd Calendar'!$E$313:$CZ$313,"&lt;="&amp;D$49),"")))</f>
        <v/>
      </c>
      <c r="E204" s="140">
        <f>IF(E$49="","",IF($B204="","",IFERROR(SUMIFS('Dvd Calendar'!$E$314:$CZ$314,'Dvd Calendar'!$E$313:$CZ$313,"&gt;"&amp;E$48,'Dvd Calendar'!$E$313:$CZ$313,"&lt;="&amp;E$49),"")))</f>
        <v/>
      </c>
      <c r="F204" s="140">
        <f>IF(F$49="","",IF($B204="","",IFERROR(SUMIFS('Dvd Calendar'!$E$314:$CZ$314,'Dvd Calendar'!$E$313:$CZ$313,"&gt;"&amp;F$48,'Dvd Calendar'!$E$313:$CZ$313,"&lt;="&amp;F$49),"")))</f>
        <v/>
      </c>
      <c r="G204" s="140">
        <f>IF(G$49="","",IF($B204="","",IFERROR(SUMIFS('Dvd Calendar'!$E$314:$CZ$314,'Dvd Calendar'!$E$313:$CZ$313,"&gt;"&amp;G$48,'Dvd Calendar'!$E$313:$CZ$313,"&lt;="&amp;G$49),"")))</f>
        <v/>
      </c>
      <c r="H204" s="140">
        <f>IF(H$49="","",IF($B204="","",IFERROR(SUMIFS('Dvd Calendar'!$E$314:$CZ$314,'Dvd Calendar'!$E$313:$CZ$313,"&gt;"&amp;H$48,'Dvd Calendar'!$E$313:$CZ$313,"&lt;="&amp;H$49),"")))</f>
        <v/>
      </c>
      <c r="I204" s="140">
        <f>IF(I$49="","",IF($B204="","",IFERROR(SUMIFS('Dvd Calendar'!$E$314:$CZ$314,'Dvd Calendar'!$E$313:$CZ$313,"&gt;"&amp;I$48,'Dvd Calendar'!$E$313:$CZ$313,"&lt;="&amp;I$49),"")))</f>
        <v/>
      </c>
      <c r="J204" s="140">
        <f>IF(J$49="","",IF($B204="","",IFERROR(SUMIFS('Dvd Calendar'!$E$314:$CZ$314,'Dvd Calendar'!$E$313:$CZ$313,"&gt;"&amp;J$48,'Dvd Calendar'!$E$313:$CZ$313,"&lt;="&amp;J$49),"")))</f>
        <v/>
      </c>
      <c r="K204" s="140">
        <f>IF(K$49="","",IF($B204="","",IFERROR(SUMIFS('Dvd Calendar'!$E$314:$CZ$314,'Dvd Calendar'!$E$313:$CZ$313,"&gt;"&amp;K$48,'Dvd Calendar'!$E$313:$CZ$313,"&lt;="&amp;K$49),"")))</f>
        <v/>
      </c>
      <c r="L204" s="140">
        <f>IF(L$49="","",IF($B204="","",IFERROR(SUMIFS('Dvd Calendar'!$E$314:$CZ$314,'Dvd Calendar'!$E$313:$CZ$313,"&gt;"&amp;L$48,'Dvd Calendar'!$E$313:$CZ$313,"&lt;="&amp;L$49),"")))</f>
        <v/>
      </c>
      <c r="M204" s="140">
        <f>IF(M$49="","",IF($B204="","",IFERROR(SUMIFS('Dvd Calendar'!$E$314:$CZ$314,'Dvd Calendar'!$E$313:$CZ$313,"&gt;"&amp;M$48,'Dvd Calendar'!$E$313:$CZ$313,"&lt;="&amp;M$49),"")))</f>
        <v/>
      </c>
      <c r="N204" s="140">
        <f>IF(N$49="","",IF($B204="","",IFERROR(SUMIFS('Dvd Calendar'!$E$314:$CZ$314,'Dvd Calendar'!$E$313:$CZ$313,"&gt;"&amp;N$48,'Dvd Calendar'!$E$313:$CZ$313,"&lt;="&amp;N$49),"")))</f>
        <v/>
      </c>
      <c r="O204" s="140">
        <f>IF(O$49="","",IF($B204="","",IFERROR(SUMIFS('Dvd Calendar'!$E$314:$CZ$314,'Dvd Calendar'!$E$313:$CZ$313,"&gt;"&amp;O$48,'Dvd Calendar'!$E$313:$CZ$313,"&lt;="&amp;O$49),"")))</f>
        <v/>
      </c>
      <c r="P204" s="140">
        <f>IF(P$49="","",IF($B204="","",IFERROR(SUMIFS('Dvd Calendar'!$E$314:$CZ$314,'Dvd Calendar'!$E$313:$CZ$313,"&gt;"&amp;P$48,'Dvd Calendar'!$E$313:$CZ$313,"&lt;="&amp;P$49),"")))</f>
        <v/>
      </c>
      <c r="Q204" s="140">
        <f>IF(Q$49="","",IF($B204="","",IFERROR(SUMIFS('Dvd Calendar'!$E$314:$CZ$314,'Dvd Calendar'!$E$313:$CZ$313,"&gt;"&amp;Q$48,'Dvd Calendar'!$E$313:$CZ$313,"&lt;="&amp;Q$49),"")))</f>
        <v/>
      </c>
      <c r="R204" s="140">
        <f>IF(R$49="","",IF($B204="","",IFERROR(SUMIFS('Dvd Calendar'!$E$314:$CZ$314,'Dvd Calendar'!$E$313:$CZ$313,"&gt;"&amp;R$48,'Dvd Calendar'!$E$313:$CZ$313,"&lt;="&amp;R$49),"")))</f>
        <v/>
      </c>
    </row>
    <row r="205">
      <c r="B205" s="5">
        <f>IF(AS51!$C$160="","",AS51!$C$160)</f>
        <v/>
      </c>
      <c r="C205" s="140">
        <f>IF(C$49="","",IF($B205="","",IFERROR(SUMIFS('Dvd Calendar'!$E$316:$CZ$316,'Dvd Calendar'!$E$315:$CZ$315,"&gt;"&amp;C$48,'Dvd Calendar'!$E$315:$CZ$315,"&lt;="&amp;C$49),"")))</f>
        <v/>
      </c>
      <c r="D205" s="140">
        <f>IF(D$49="","",IF($B205="","",IFERROR(SUMIFS('Dvd Calendar'!$E$316:$CZ$316,'Dvd Calendar'!$E$315:$CZ$315,"&gt;"&amp;D$48,'Dvd Calendar'!$E$315:$CZ$315,"&lt;="&amp;D$49),"")))</f>
        <v/>
      </c>
      <c r="E205" s="140">
        <f>IF(E$49="","",IF($B205="","",IFERROR(SUMIFS('Dvd Calendar'!$E$316:$CZ$316,'Dvd Calendar'!$E$315:$CZ$315,"&gt;"&amp;E$48,'Dvd Calendar'!$E$315:$CZ$315,"&lt;="&amp;E$49),"")))</f>
        <v/>
      </c>
      <c r="F205" s="140">
        <f>IF(F$49="","",IF($B205="","",IFERROR(SUMIFS('Dvd Calendar'!$E$316:$CZ$316,'Dvd Calendar'!$E$315:$CZ$315,"&gt;"&amp;F$48,'Dvd Calendar'!$E$315:$CZ$315,"&lt;="&amp;F$49),"")))</f>
        <v/>
      </c>
      <c r="G205" s="140">
        <f>IF(G$49="","",IF($B205="","",IFERROR(SUMIFS('Dvd Calendar'!$E$316:$CZ$316,'Dvd Calendar'!$E$315:$CZ$315,"&gt;"&amp;G$48,'Dvd Calendar'!$E$315:$CZ$315,"&lt;="&amp;G$49),"")))</f>
        <v/>
      </c>
      <c r="H205" s="140">
        <f>IF(H$49="","",IF($B205="","",IFERROR(SUMIFS('Dvd Calendar'!$E$316:$CZ$316,'Dvd Calendar'!$E$315:$CZ$315,"&gt;"&amp;H$48,'Dvd Calendar'!$E$315:$CZ$315,"&lt;="&amp;H$49),"")))</f>
        <v/>
      </c>
      <c r="I205" s="140">
        <f>IF(I$49="","",IF($B205="","",IFERROR(SUMIFS('Dvd Calendar'!$E$316:$CZ$316,'Dvd Calendar'!$E$315:$CZ$315,"&gt;"&amp;I$48,'Dvd Calendar'!$E$315:$CZ$315,"&lt;="&amp;I$49),"")))</f>
        <v/>
      </c>
      <c r="J205" s="140">
        <f>IF(J$49="","",IF($B205="","",IFERROR(SUMIFS('Dvd Calendar'!$E$316:$CZ$316,'Dvd Calendar'!$E$315:$CZ$315,"&gt;"&amp;J$48,'Dvd Calendar'!$E$315:$CZ$315,"&lt;="&amp;J$49),"")))</f>
        <v/>
      </c>
      <c r="K205" s="140">
        <f>IF(K$49="","",IF($B205="","",IFERROR(SUMIFS('Dvd Calendar'!$E$316:$CZ$316,'Dvd Calendar'!$E$315:$CZ$315,"&gt;"&amp;K$48,'Dvd Calendar'!$E$315:$CZ$315,"&lt;="&amp;K$49),"")))</f>
        <v/>
      </c>
      <c r="L205" s="140">
        <f>IF(L$49="","",IF($B205="","",IFERROR(SUMIFS('Dvd Calendar'!$E$316:$CZ$316,'Dvd Calendar'!$E$315:$CZ$315,"&gt;"&amp;L$48,'Dvd Calendar'!$E$315:$CZ$315,"&lt;="&amp;L$49),"")))</f>
        <v/>
      </c>
      <c r="M205" s="140">
        <f>IF(M$49="","",IF($B205="","",IFERROR(SUMIFS('Dvd Calendar'!$E$316:$CZ$316,'Dvd Calendar'!$E$315:$CZ$315,"&gt;"&amp;M$48,'Dvd Calendar'!$E$315:$CZ$315,"&lt;="&amp;M$49),"")))</f>
        <v/>
      </c>
      <c r="N205" s="140">
        <f>IF(N$49="","",IF($B205="","",IFERROR(SUMIFS('Dvd Calendar'!$E$316:$CZ$316,'Dvd Calendar'!$E$315:$CZ$315,"&gt;"&amp;N$48,'Dvd Calendar'!$E$315:$CZ$315,"&lt;="&amp;N$49),"")))</f>
        <v/>
      </c>
      <c r="O205" s="140">
        <f>IF(O$49="","",IF($B205="","",IFERROR(SUMIFS('Dvd Calendar'!$E$316:$CZ$316,'Dvd Calendar'!$E$315:$CZ$315,"&gt;"&amp;O$48,'Dvd Calendar'!$E$315:$CZ$315,"&lt;="&amp;O$49),"")))</f>
        <v/>
      </c>
      <c r="P205" s="140">
        <f>IF(P$49="","",IF($B205="","",IFERROR(SUMIFS('Dvd Calendar'!$E$316:$CZ$316,'Dvd Calendar'!$E$315:$CZ$315,"&gt;"&amp;P$48,'Dvd Calendar'!$E$315:$CZ$315,"&lt;="&amp;P$49),"")))</f>
        <v/>
      </c>
      <c r="Q205" s="140">
        <f>IF(Q$49="","",IF($B205="","",IFERROR(SUMIFS('Dvd Calendar'!$E$316:$CZ$316,'Dvd Calendar'!$E$315:$CZ$315,"&gt;"&amp;Q$48,'Dvd Calendar'!$E$315:$CZ$315,"&lt;="&amp;Q$49),"")))</f>
        <v/>
      </c>
      <c r="R205" s="140">
        <f>IF(R$49="","",IF($B205="","",IFERROR(SUMIFS('Dvd Calendar'!$E$316:$CZ$316,'Dvd Calendar'!$E$315:$CZ$315,"&gt;"&amp;R$48,'Dvd Calendar'!$E$315:$CZ$315,"&lt;="&amp;R$49),"")))</f>
        <v/>
      </c>
    </row>
    <row r="206">
      <c r="B206" s="5">
        <f>IF(AS51!$C$161="","",AS51!$C$161)</f>
        <v/>
      </c>
      <c r="C206" s="140">
        <f>IF(C$49="","",IF($B206="","",IFERROR(SUMIFS('Dvd Calendar'!$E$318:$CZ$318,'Dvd Calendar'!$E$317:$CZ$317,"&gt;"&amp;C$48,'Dvd Calendar'!$E$317:$CZ$317,"&lt;="&amp;C$49),"")))</f>
        <v/>
      </c>
      <c r="D206" s="140">
        <f>IF(D$49="","",IF($B206="","",IFERROR(SUMIFS('Dvd Calendar'!$E$318:$CZ$318,'Dvd Calendar'!$E$317:$CZ$317,"&gt;"&amp;D$48,'Dvd Calendar'!$E$317:$CZ$317,"&lt;="&amp;D$49),"")))</f>
        <v/>
      </c>
      <c r="E206" s="140">
        <f>IF(E$49="","",IF($B206="","",IFERROR(SUMIFS('Dvd Calendar'!$E$318:$CZ$318,'Dvd Calendar'!$E$317:$CZ$317,"&gt;"&amp;E$48,'Dvd Calendar'!$E$317:$CZ$317,"&lt;="&amp;E$49),"")))</f>
        <v/>
      </c>
      <c r="F206" s="140">
        <f>IF(F$49="","",IF($B206="","",IFERROR(SUMIFS('Dvd Calendar'!$E$318:$CZ$318,'Dvd Calendar'!$E$317:$CZ$317,"&gt;"&amp;F$48,'Dvd Calendar'!$E$317:$CZ$317,"&lt;="&amp;F$49),"")))</f>
        <v/>
      </c>
      <c r="G206" s="140">
        <f>IF(G$49="","",IF($B206="","",IFERROR(SUMIFS('Dvd Calendar'!$E$318:$CZ$318,'Dvd Calendar'!$E$317:$CZ$317,"&gt;"&amp;G$48,'Dvd Calendar'!$E$317:$CZ$317,"&lt;="&amp;G$49),"")))</f>
        <v/>
      </c>
      <c r="H206" s="140">
        <f>IF(H$49="","",IF($B206="","",IFERROR(SUMIFS('Dvd Calendar'!$E$318:$CZ$318,'Dvd Calendar'!$E$317:$CZ$317,"&gt;"&amp;H$48,'Dvd Calendar'!$E$317:$CZ$317,"&lt;="&amp;H$49),"")))</f>
        <v/>
      </c>
      <c r="I206" s="140">
        <f>IF(I$49="","",IF($B206="","",IFERROR(SUMIFS('Dvd Calendar'!$E$318:$CZ$318,'Dvd Calendar'!$E$317:$CZ$317,"&gt;"&amp;I$48,'Dvd Calendar'!$E$317:$CZ$317,"&lt;="&amp;I$49),"")))</f>
        <v/>
      </c>
      <c r="J206" s="140">
        <f>IF(J$49="","",IF($B206="","",IFERROR(SUMIFS('Dvd Calendar'!$E$318:$CZ$318,'Dvd Calendar'!$E$317:$CZ$317,"&gt;"&amp;J$48,'Dvd Calendar'!$E$317:$CZ$317,"&lt;="&amp;J$49),"")))</f>
        <v/>
      </c>
      <c r="K206" s="140">
        <f>IF(K$49="","",IF($B206="","",IFERROR(SUMIFS('Dvd Calendar'!$E$318:$CZ$318,'Dvd Calendar'!$E$317:$CZ$317,"&gt;"&amp;K$48,'Dvd Calendar'!$E$317:$CZ$317,"&lt;="&amp;K$49),"")))</f>
        <v/>
      </c>
      <c r="L206" s="140">
        <f>IF(L$49="","",IF($B206="","",IFERROR(SUMIFS('Dvd Calendar'!$E$318:$CZ$318,'Dvd Calendar'!$E$317:$CZ$317,"&gt;"&amp;L$48,'Dvd Calendar'!$E$317:$CZ$317,"&lt;="&amp;L$49),"")))</f>
        <v/>
      </c>
      <c r="M206" s="140">
        <f>IF(M$49="","",IF($B206="","",IFERROR(SUMIFS('Dvd Calendar'!$E$318:$CZ$318,'Dvd Calendar'!$E$317:$CZ$317,"&gt;"&amp;M$48,'Dvd Calendar'!$E$317:$CZ$317,"&lt;="&amp;M$49),"")))</f>
        <v/>
      </c>
      <c r="N206" s="140">
        <f>IF(N$49="","",IF($B206="","",IFERROR(SUMIFS('Dvd Calendar'!$E$318:$CZ$318,'Dvd Calendar'!$E$317:$CZ$317,"&gt;"&amp;N$48,'Dvd Calendar'!$E$317:$CZ$317,"&lt;="&amp;N$49),"")))</f>
        <v/>
      </c>
      <c r="O206" s="140">
        <f>IF(O$49="","",IF($B206="","",IFERROR(SUMIFS('Dvd Calendar'!$E$318:$CZ$318,'Dvd Calendar'!$E$317:$CZ$317,"&gt;"&amp;O$48,'Dvd Calendar'!$E$317:$CZ$317,"&lt;="&amp;O$49),"")))</f>
        <v/>
      </c>
      <c r="P206" s="140">
        <f>IF(P$49="","",IF($B206="","",IFERROR(SUMIFS('Dvd Calendar'!$E$318:$CZ$318,'Dvd Calendar'!$E$317:$CZ$317,"&gt;"&amp;P$48,'Dvd Calendar'!$E$317:$CZ$317,"&lt;="&amp;P$49),"")))</f>
        <v/>
      </c>
      <c r="Q206" s="140">
        <f>IF(Q$49="","",IF($B206="","",IFERROR(SUMIFS('Dvd Calendar'!$E$318:$CZ$318,'Dvd Calendar'!$E$317:$CZ$317,"&gt;"&amp;Q$48,'Dvd Calendar'!$E$317:$CZ$317,"&lt;="&amp;Q$49),"")))</f>
        <v/>
      </c>
      <c r="R206" s="140">
        <f>IF(R$49="","",IF($B206="","",IFERROR(SUMIFS('Dvd Calendar'!$E$318:$CZ$318,'Dvd Calendar'!$E$317:$CZ$317,"&gt;"&amp;R$48,'Dvd Calendar'!$E$317:$CZ$317,"&lt;="&amp;R$49),"")))</f>
        <v/>
      </c>
    </row>
    <row r="207">
      <c r="B207" s="5">
        <f>IF(AS51!$C$162="","",AS51!$C$162)</f>
        <v/>
      </c>
      <c r="C207" s="140">
        <f>IF(C$49="","",IF($B207="","",IFERROR(SUMIFS('Dvd Calendar'!$E$320:$CZ$320,'Dvd Calendar'!$E$319:$CZ$319,"&gt;"&amp;C$48,'Dvd Calendar'!$E$319:$CZ$319,"&lt;="&amp;C$49),"")))</f>
        <v/>
      </c>
      <c r="D207" s="140">
        <f>IF(D$49="","",IF($B207="","",IFERROR(SUMIFS('Dvd Calendar'!$E$320:$CZ$320,'Dvd Calendar'!$E$319:$CZ$319,"&gt;"&amp;D$48,'Dvd Calendar'!$E$319:$CZ$319,"&lt;="&amp;D$49),"")))</f>
        <v/>
      </c>
      <c r="E207" s="140">
        <f>IF(E$49="","",IF($B207="","",IFERROR(SUMIFS('Dvd Calendar'!$E$320:$CZ$320,'Dvd Calendar'!$E$319:$CZ$319,"&gt;"&amp;E$48,'Dvd Calendar'!$E$319:$CZ$319,"&lt;="&amp;E$49),"")))</f>
        <v/>
      </c>
      <c r="F207" s="140">
        <f>IF(F$49="","",IF($B207="","",IFERROR(SUMIFS('Dvd Calendar'!$E$320:$CZ$320,'Dvd Calendar'!$E$319:$CZ$319,"&gt;"&amp;F$48,'Dvd Calendar'!$E$319:$CZ$319,"&lt;="&amp;F$49),"")))</f>
        <v/>
      </c>
      <c r="G207" s="140">
        <f>IF(G$49="","",IF($B207="","",IFERROR(SUMIFS('Dvd Calendar'!$E$320:$CZ$320,'Dvd Calendar'!$E$319:$CZ$319,"&gt;"&amp;G$48,'Dvd Calendar'!$E$319:$CZ$319,"&lt;="&amp;G$49),"")))</f>
        <v/>
      </c>
      <c r="H207" s="140">
        <f>IF(H$49="","",IF($B207="","",IFERROR(SUMIFS('Dvd Calendar'!$E$320:$CZ$320,'Dvd Calendar'!$E$319:$CZ$319,"&gt;"&amp;H$48,'Dvd Calendar'!$E$319:$CZ$319,"&lt;="&amp;H$49),"")))</f>
        <v/>
      </c>
      <c r="I207" s="140">
        <f>IF(I$49="","",IF($B207="","",IFERROR(SUMIFS('Dvd Calendar'!$E$320:$CZ$320,'Dvd Calendar'!$E$319:$CZ$319,"&gt;"&amp;I$48,'Dvd Calendar'!$E$319:$CZ$319,"&lt;="&amp;I$49),"")))</f>
        <v/>
      </c>
      <c r="J207" s="140">
        <f>IF(J$49="","",IF($B207="","",IFERROR(SUMIFS('Dvd Calendar'!$E$320:$CZ$320,'Dvd Calendar'!$E$319:$CZ$319,"&gt;"&amp;J$48,'Dvd Calendar'!$E$319:$CZ$319,"&lt;="&amp;J$49),"")))</f>
        <v/>
      </c>
      <c r="K207" s="140">
        <f>IF(K$49="","",IF($B207="","",IFERROR(SUMIFS('Dvd Calendar'!$E$320:$CZ$320,'Dvd Calendar'!$E$319:$CZ$319,"&gt;"&amp;K$48,'Dvd Calendar'!$E$319:$CZ$319,"&lt;="&amp;K$49),"")))</f>
        <v/>
      </c>
      <c r="L207" s="140">
        <f>IF(L$49="","",IF($B207="","",IFERROR(SUMIFS('Dvd Calendar'!$E$320:$CZ$320,'Dvd Calendar'!$E$319:$CZ$319,"&gt;"&amp;L$48,'Dvd Calendar'!$E$319:$CZ$319,"&lt;="&amp;L$49),"")))</f>
        <v/>
      </c>
      <c r="M207" s="140">
        <f>IF(M$49="","",IF($B207="","",IFERROR(SUMIFS('Dvd Calendar'!$E$320:$CZ$320,'Dvd Calendar'!$E$319:$CZ$319,"&gt;"&amp;M$48,'Dvd Calendar'!$E$319:$CZ$319,"&lt;="&amp;M$49),"")))</f>
        <v/>
      </c>
      <c r="N207" s="140">
        <f>IF(N$49="","",IF($B207="","",IFERROR(SUMIFS('Dvd Calendar'!$E$320:$CZ$320,'Dvd Calendar'!$E$319:$CZ$319,"&gt;"&amp;N$48,'Dvd Calendar'!$E$319:$CZ$319,"&lt;="&amp;N$49),"")))</f>
        <v/>
      </c>
      <c r="O207" s="140">
        <f>IF(O$49="","",IF($B207="","",IFERROR(SUMIFS('Dvd Calendar'!$E$320:$CZ$320,'Dvd Calendar'!$E$319:$CZ$319,"&gt;"&amp;O$48,'Dvd Calendar'!$E$319:$CZ$319,"&lt;="&amp;O$49),"")))</f>
        <v/>
      </c>
      <c r="P207" s="140">
        <f>IF(P$49="","",IF($B207="","",IFERROR(SUMIFS('Dvd Calendar'!$E$320:$CZ$320,'Dvd Calendar'!$E$319:$CZ$319,"&gt;"&amp;P$48,'Dvd Calendar'!$E$319:$CZ$319,"&lt;="&amp;P$49),"")))</f>
        <v/>
      </c>
      <c r="Q207" s="140">
        <f>IF(Q$49="","",IF($B207="","",IFERROR(SUMIFS('Dvd Calendar'!$E$320:$CZ$320,'Dvd Calendar'!$E$319:$CZ$319,"&gt;"&amp;Q$48,'Dvd Calendar'!$E$319:$CZ$319,"&lt;="&amp;Q$49),"")))</f>
        <v/>
      </c>
      <c r="R207" s="140">
        <f>IF(R$49="","",IF($B207="","",IFERROR(SUMIFS('Dvd Calendar'!$E$320:$CZ$320,'Dvd Calendar'!$E$319:$CZ$319,"&gt;"&amp;R$48,'Dvd Calendar'!$E$319:$CZ$319,"&lt;="&amp;R$49),"")))</f>
        <v/>
      </c>
    </row>
    <row r="208">
      <c r="B208" s="5">
        <f>IF(AS51!$C$163="","",AS51!$C$163)</f>
        <v/>
      </c>
      <c r="C208" s="140">
        <f>IF(C$49="","",IF($B208="","",IFERROR(SUMIFS('Dvd Calendar'!$E$322:$CZ$322,'Dvd Calendar'!$E$321:$CZ$321,"&gt;"&amp;C$48,'Dvd Calendar'!$E$321:$CZ$321,"&lt;="&amp;C$49),"")))</f>
        <v/>
      </c>
      <c r="D208" s="140">
        <f>IF(D$49="","",IF($B208="","",IFERROR(SUMIFS('Dvd Calendar'!$E$322:$CZ$322,'Dvd Calendar'!$E$321:$CZ$321,"&gt;"&amp;D$48,'Dvd Calendar'!$E$321:$CZ$321,"&lt;="&amp;D$49),"")))</f>
        <v/>
      </c>
      <c r="E208" s="140">
        <f>IF(E$49="","",IF($B208="","",IFERROR(SUMIFS('Dvd Calendar'!$E$322:$CZ$322,'Dvd Calendar'!$E$321:$CZ$321,"&gt;"&amp;E$48,'Dvd Calendar'!$E$321:$CZ$321,"&lt;="&amp;E$49),"")))</f>
        <v/>
      </c>
      <c r="F208" s="140">
        <f>IF(F$49="","",IF($B208="","",IFERROR(SUMIFS('Dvd Calendar'!$E$322:$CZ$322,'Dvd Calendar'!$E$321:$CZ$321,"&gt;"&amp;F$48,'Dvd Calendar'!$E$321:$CZ$321,"&lt;="&amp;F$49),"")))</f>
        <v/>
      </c>
      <c r="G208" s="140">
        <f>IF(G$49="","",IF($B208="","",IFERROR(SUMIFS('Dvd Calendar'!$E$322:$CZ$322,'Dvd Calendar'!$E$321:$CZ$321,"&gt;"&amp;G$48,'Dvd Calendar'!$E$321:$CZ$321,"&lt;="&amp;G$49),"")))</f>
        <v/>
      </c>
      <c r="H208" s="140">
        <f>IF(H$49="","",IF($B208="","",IFERROR(SUMIFS('Dvd Calendar'!$E$322:$CZ$322,'Dvd Calendar'!$E$321:$CZ$321,"&gt;"&amp;H$48,'Dvd Calendar'!$E$321:$CZ$321,"&lt;="&amp;H$49),"")))</f>
        <v/>
      </c>
      <c r="I208" s="140">
        <f>IF(I$49="","",IF($B208="","",IFERROR(SUMIFS('Dvd Calendar'!$E$322:$CZ$322,'Dvd Calendar'!$E$321:$CZ$321,"&gt;"&amp;I$48,'Dvd Calendar'!$E$321:$CZ$321,"&lt;="&amp;I$49),"")))</f>
        <v/>
      </c>
      <c r="J208" s="140">
        <f>IF(J$49="","",IF($B208="","",IFERROR(SUMIFS('Dvd Calendar'!$E$322:$CZ$322,'Dvd Calendar'!$E$321:$CZ$321,"&gt;"&amp;J$48,'Dvd Calendar'!$E$321:$CZ$321,"&lt;="&amp;J$49),"")))</f>
        <v/>
      </c>
      <c r="K208" s="140">
        <f>IF(K$49="","",IF($B208="","",IFERROR(SUMIFS('Dvd Calendar'!$E$322:$CZ$322,'Dvd Calendar'!$E$321:$CZ$321,"&gt;"&amp;K$48,'Dvd Calendar'!$E$321:$CZ$321,"&lt;="&amp;K$49),"")))</f>
        <v/>
      </c>
      <c r="L208" s="140">
        <f>IF(L$49="","",IF($B208="","",IFERROR(SUMIFS('Dvd Calendar'!$E$322:$CZ$322,'Dvd Calendar'!$E$321:$CZ$321,"&gt;"&amp;L$48,'Dvd Calendar'!$E$321:$CZ$321,"&lt;="&amp;L$49),"")))</f>
        <v/>
      </c>
      <c r="M208" s="140">
        <f>IF(M$49="","",IF($B208="","",IFERROR(SUMIFS('Dvd Calendar'!$E$322:$CZ$322,'Dvd Calendar'!$E$321:$CZ$321,"&gt;"&amp;M$48,'Dvd Calendar'!$E$321:$CZ$321,"&lt;="&amp;M$49),"")))</f>
        <v/>
      </c>
      <c r="N208" s="140">
        <f>IF(N$49="","",IF($B208="","",IFERROR(SUMIFS('Dvd Calendar'!$E$322:$CZ$322,'Dvd Calendar'!$E$321:$CZ$321,"&gt;"&amp;N$48,'Dvd Calendar'!$E$321:$CZ$321,"&lt;="&amp;N$49),"")))</f>
        <v/>
      </c>
      <c r="O208" s="140">
        <f>IF(O$49="","",IF($B208="","",IFERROR(SUMIFS('Dvd Calendar'!$E$322:$CZ$322,'Dvd Calendar'!$E$321:$CZ$321,"&gt;"&amp;O$48,'Dvd Calendar'!$E$321:$CZ$321,"&lt;="&amp;O$49),"")))</f>
        <v/>
      </c>
      <c r="P208" s="140">
        <f>IF(P$49="","",IF($B208="","",IFERROR(SUMIFS('Dvd Calendar'!$E$322:$CZ$322,'Dvd Calendar'!$E$321:$CZ$321,"&gt;"&amp;P$48,'Dvd Calendar'!$E$321:$CZ$321,"&lt;="&amp;P$49),"")))</f>
        <v/>
      </c>
      <c r="Q208" s="140">
        <f>IF(Q$49="","",IF($B208="","",IFERROR(SUMIFS('Dvd Calendar'!$E$322:$CZ$322,'Dvd Calendar'!$E$321:$CZ$321,"&gt;"&amp;Q$48,'Dvd Calendar'!$E$321:$CZ$321,"&lt;="&amp;Q$49),"")))</f>
        <v/>
      </c>
      <c r="R208" s="140">
        <f>IF(R$49="","",IF($B208="","",IFERROR(SUMIFS('Dvd Calendar'!$E$322:$CZ$322,'Dvd Calendar'!$E$321:$CZ$321,"&gt;"&amp;R$48,'Dvd Calendar'!$E$321:$CZ$321,"&lt;="&amp;R$49),"")))</f>
        <v/>
      </c>
    </row>
    <row r="209">
      <c r="B209" s="5">
        <f>IF(AS51!$C$164="","",AS51!$C$164)</f>
        <v/>
      </c>
      <c r="C209" s="140">
        <f>IF(C$49="","",IF($B209="","",IFERROR(SUMIFS('Dvd Calendar'!$E$324:$CZ$324,'Dvd Calendar'!$E$323:$CZ$323,"&gt;"&amp;C$48,'Dvd Calendar'!$E$323:$CZ$323,"&lt;="&amp;C$49),"")))</f>
        <v/>
      </c>
      <c r="D209" s="140">
        <f>IF(D$49="","",IF($B209="","",IFERROR(SUMIFS('Dvd Calendar'!$E$324:$CZ$324,'Dvd Calendar'!$E$323:$CZ$323,"&gt;"&amp;D$48,'Dvd Calendar'!$E$323:$CZ$323,"&lt;="&amp;D$49),"")))</f>
        <v/>
      </c>
      <c r="E209" s="140">
        <f>IF(E$49="","",IF($B209="","",IFERROR(SUMIFS('Dvd Calendar'!$E$324:$CZ$324,'Dvd Calendar'!$E$323:$CZ$323,"&gt;"&amp;E$48,'Dvd Calendar'!$E$323:$CZ$323,"&lt;="&amp;E$49),"")))</f>
        <v/>
      </c>
      <c r="F209" s="140">
        <f>IF(F$49="","",IF($B209="","",IFERROR(SUMIFS('Dvd Calendar'!$E$324:$CZ$324,'Dvd Calendar'!$E$323:$CZ$323,"&gt;"&amp;F$48,'Dvd Calendar'!$E$323:$CZ$323,"&lt;="&amp;F$49),"")))</f>
        <v/>
      </c>
      <c r="G209" s="140">
        <f>IF(G$49="","",IF($B209="","",IFERROR(SUMIFS('Dvd Calendar'!$E$324:$CZ$324,'Dvd Calendar'!$E$323:$CZ$323,"&gt;"&amp;G$48,'Dvd Calendar'!$E$323:$CZ$323,"&lt;="&amp;G$49),"")))</f>
        <v/>
      </c>
      <c r="H209" s="140">
        <f>IF(H$49="","",IF($B209="","",IFERROR(SUMIFS('Dvd Calendar'!$E$324:$CZ$324,'Dvd Calendar'!$E$323:$CZ$323,"&gt;"&amp;H$48,'Dvd Calendar'!$E$323:$CZ$323,"&lt;="&amp;H$49),"")))</f>
        <v/>
      </c>
      <c r="I209" s="140">
        <f>IF(I$49="","",IF($B209="","",IFERROR(SUMIFS('Dvd Calendar'!$E$324:$CZ$324,'Dvd Calendar'!$E$323:$CZ$323,"&gt;"&amp;I$48,'Dvd Calendar'!$E$323:$CZ$323,"&lt;="&amp;I$49),"")))</f>
        <v/>
      </c>
      <c r="J209" s="140">
        <f>IF(J$49="","",IF($B209="","",IFERROR(SUMIFS('Dvd Calendar'!$E$324:$CZ$324,'Dvd Calendar'!$E$323:$CZ$323,"&gt;"&amp;J$48,'Dvd Calendar'!$E$323:$CZ$323,"&lt;="&amp;J$49),"")))</f>
        <v/>
      </c>
      <c r="K209" s="140">
        <f>IF(K$49="","",IF($B209="","",IFERROR(SUMIFS('Dvd Calendar'!$E$324:$CZ$324,'Dvd Calendar'!$E$323:$CZ$323,"&gt;"&amp;K$48,'Dvd Calendar'!$E$323:$CZ$323,"&lt;="&amp;K$49),"")))</f>
        <v/>
      </c>
      <c r="L209" s="140">
        <f>IF(L$49="","",IF($B209="","",IFERROR(SUMIFS('Dvd Calendar'!$E$324:$CZ$324,'Dvd Calendar'!$E$323:$CZ$323,"&gt;"&amp;L$48,'Dvd Calendar'!$E$323:$CZ$323,"&lt;="&amp;L$49),"")))</f>
        <v/>
      </c>
      <c r="M209" s="140">
        <f>IF(M$49="","",IF($B209="","",IFERROR(SUMIFS('Dvd Calendar'!$E$324:$CZ$324,'Dvd Calendar'!$E$323:$CZ$323,"&gt;"&amp;M$48,'Dvd Calendar'!$E$323:$CZ$323,"&lt;="&amp;M$49),"")))</f>
        <v/>
      </c>
      <c r="N209" s="140">
        <f>IF(N$49="","",IF($B209="","",IFERROR(SUMIFS('Dvd Calendar'!$E$324:$CZ$324,'Dvd Calendar'!$E$323:$CZ$323,"&gt;"&amp;N$48,'Dvd Calendar'!$E$323:$CZ$323,"&lt;="&amp;N$49),"")))</f>
        <v/>
      </c>
      <c r="O209" s="140">
        <f>IF(O$49="","",IF($B209="","",IFERROR(SUMIFS('Dvd Calendar'!$E$324:$CZ$324,'Dvd Calendar'!$E$323:$CZ$323,"&gt;"&amp;O$48,'Dvd Calendar'!$E$323:$CZ$323,"&lt;="&amp;O$49),"")))</f>
        <v/>
      </c>
      <c r="P209" s="140">
        <f>IF(P$49="","",IF($B209="","",IFERROR(SUMIFS('Dvd Calendar'!$E$324:$CZ$324,'Dvd Calendar'!$E$323:$CZ$323,"&gt;"&amp;P$48,'Dvd Calendar'!$E$323:$CZ$323,"&lt;="&amp;P$49),"")))</f>
        <v/>
      </c>
      <c r="Q209" s="140">
        <f>IF(Q$49="","",IF($B209="","",IFERROR(SUMIFS('Dvd Calendar'!$E$324:$CZ$324,'Dvd Calendar'!$E$323:$CZ$323,"&gt;"&amp;Q$48,'Dvd Calendar'!$E$323:$CZ$323,"&lt;="&amp;Q$49),"")))</f>
        <v/>
      </c>
      <c r="R209" s="140">
        <f>IF(R$49="","",IF($B209="","",IFERROR(SUMIFS('Dvd Calendar'!$E$324:$CZ$324,'Dvd Calendar'!$E$323:$CZ$323,"&gt;"&amp;R$48,'Dvd Calendar'!$E$323:$CZ$323,"&lt;="&amp;R$49),"")))</f>
        <v/>
      </c>
    </row>
    <row r="210">
      <c r="B210" s="5">
        <f>IF(AS51!$C$165="","",AS51!$C$165)</f>
        <v/>
      </c>
      <c r="C210" s="140">
        <f>IF(C$49="","",IF($B210="","",IFERROR(SUMIFS('Dvd Calendar'!$E$326:$CZ$326,'Dvd Calendar'!$E$325:$CZ$325,"&gt;"&amp;C$48,'Dvd Calendar'!$E$325:$CZ$325,"&lt;="&amp;C$49),"")))</f>
        <v/>
      </c>
      <c r="D210" s="140">
        <f>IF(D$49="","",IF($B210="","",IFERROR(SUMIFS('Dvd Calendar'!$E$326:$CZ$326,'Dvd Calendar'!$E$325:$CZ$325,"&gt;"&amp;D$48,'Dvd Calendar'!$E$325:$CZ$325,"&lt;="&amp;D$49),"")))</f>
        <v/>
      </c>
      <c r="E210" s="140">
        <f>IF(E$49="","",IF($B210="","",IFERROR(SUMIFS('Dvd Calendar'!$E$326:$CZ$326,'Dvd Calendar'!$E$325:$CZ$325,"&gt;"&amp;E$48,'Dvd Calendar'!$E$325:$CZ$325,"&lt;="&amp;E$49),"")))</f>
        <v/>
      </c>
      <c r="F210" s="140">
        <f>IF(F$49="","",IF($B210="","",IFERROR(SUMIFS('Dvd Calendar'!$E$326:$CZ$326,'Dvd Calendar'!$E$325:$CZ$325,"&gt;"&amp;F$48,'Dvd Calendar'!$E$325:$CZ$325,"&lt;="&amp;F$49),"")))</f>
        <v/>
      </c>
      <c r="G210" s="140">
        <f>IF(G$49="","",IF($B210="","",IFERROR(SUMIFS('Dvd Calendar'!$E$326:$CZ$326,'Dvd Calendar'!$E$325:$CZ$325,"&gt;"&amp;G$48,'Dvd Calendar'!$E$325:$CZ$325,"&lt;="&amp;G$49),"")))</f>
        <v/>
      </c>
      <c r="H210" s="140">
        <f>IF(H$49="","",IF($B210="","",IFERROR(SUMIFS('Dvd Calendar'!$E$326:$CZ$326,'Dvd Calendar'!$E$325:$CZ$325,"&gt;"&amp;H$48,'Dvd Calendar'!$E$325:$CZ$325,"&lt;="&amp;H$49),"")))</f>
        <v/>
      </c>
      <c r="I210" s="140">
        <f>IF(I$49="","",IF($B210="","",IFERROR(SUMIFS('Dvd Calendar'!$E$326:$CZ$326,'Dvd Calendar'!$E$325:$CZ$325,"&gt;"&amp;I$48,'Dvd Calendar'!$E$325:$CZ$325,"&lt;="&amp;I$49),"")))</f>
        <v/>
      </c>
      <c r="J210" s="140">
        <f>IF(J$49="","",IF($B210="","",IFERROR(SUMIFS('Dvd Calendar'!$E$326:$CZ$326,'Dvd Calendar'!$E$325:$CZ$325,"&gt;"&amp;J$48,'Dvd Calendar'!$E$325:$CZ$325,"&lt;="&amp;J$49),"")))</f>
        <v/>
      </c>
      <c r="K210" s="140">
        <f>IF(K$49="","",IF($B210="","",IFERROR(SUMIFS('Dvd Calendar'!$E$326:$CZ$326,'Dvd Calendar'!$E$325:$CZ$325,"&gt;"&amp;K$48,'Dvd Calendar'!$E$325:$CZ$325,"&lt;="&amp;K$49),"")))</f>
        <v/>
      </c>
      <c r="L210" s="140">
        <f>IF(L$49="","",IF($B210="","",IFERROR(SUMIFS('Dvd Calendar'!$E$326:$CZ$326,'Dvd Calendar'!$E$325:$CZ$325,"&gt;"&amp;L$48,'Dvd Calendar'!$E$325:$CZ$325,"&lt;="&amp;L$49),"")))</f>
        <v/>
      </c>
      <c r="M210" s="140">
        <f>IF(M$49="","",IF($B210="","",IFERROR(SUMIFS('Dvd Calendar'!$E$326:$CZ$326,'Dvd Calendar'!$E$325:$CZ$325,"&gt;"&amp;M$48,'Dvd Calendar'!$E$325:$CZ$325,"&lt;="&amp;M$49),"")))</f>
        <v/>
      </c>
      <c r="N210" s="140">
        <f>IF(N$49="","",IF($B210="","",IFERROR(SUMIFS('Dvd Calendar'!$E$326:$CZ$326,'Dvd Calendar'!$E$325:$CZ$325,"&gt;"&amp;N$48,'Dvd Calendar'!$E$325:$CZ$325,"&lt;="&amp;N$49),"")))</f>
        <v/>
      </c>
      <c r="O210" s="140">
        <f>IF(O$49="","",IF($B210="","",IFERROR(SUMIFS('Dvd Calendar'!$E$326:$CZ$326,'Dvd Calendar'!$E$325:$CZ$325,"&gt;"&amp;O$48,'Dvd Calendar'!$E$325:$CZ$325,"&lt;="&amp;O$49),"")))</f>
        <v/>
      </c>
      <c r="P210" s="140">
        <f>IF(P$49="","",IF($B210="","",IFERROR(SUMIFS('Dvd Calendar'!$E$326:$CZ$326,'Dvd Calendar'!$E$325:$CZ$325,"&gt;"&amp;P$48,'Dvd Calendar'!$E$325:$CZ$325,"&lt;="&amp;P$49),"")))</f>
        <v/>
      </c>
      <c r="Q210" s="140">
        <f>IF(Q$49="","",IF($B210="","",IFERROR(SUMIFS('Dvd Calendar'!$E$326:$CZ$326,'Dvd Calendar'!$E$325:$CZ$325,"&gt;"&amp;Q$48,'Dvd Calendar'!$E$325:$CZ$325,"&lt;="&amp;Q$49),"")))</f>
        <v/>
      </c>
      <c r="R210" s="140">
        <f>IF(R$49="","",IF($B210="","",IFERROR(SUMIFS('Dvd Calendar'!$E$326:$CZ$326,'Dvd Calendar'!$E$325:$CZ$325,"&gt;"&amp;R$48,'Dvd Calendar'!$E$325:$CZ$325,"&lt;="&amp;R$49),"")))</f>
        <v/>
      </c>
    </row>
    <row r="211">
      <c r="B211" s="5">
        <f>IF(AS51!$C$166="","",AS51!$C$166)</f>
        <v/>
      </c>
      <c r="C211" s="140">
        <f>IF(C$49="","",IF($B211="","",IFERROR(SUMIFS('Dvd Calendar'!$E$328:$CZ$328,'Dvd Calendar'!$E$327:$CZ$327,"&gt;"&amp;C$48,'Dvd Calendar'!$E$327:$CZ$327,"&lt;="&amp;C$49),"")))</f>
        <v/>
      </c>
      <c r="D211" s="140">
        <f>IF(D$49="","",IF($B211="","",IFERROR(SUMIFS('Dvd Calendar'!$E$328:$CZ$328,'Dvd Calendar'!$E$327:$CZ$327,"&gt;"&amp;D$48,'Dvd Calendar'!$E$327:$CZ$327,"&lt;="&amp;D$49),"")))</f>
        <v/>
      </c>
      <c r="E211" s="140">
        <f>IF(E$49="","",IF($B211="","",IFERROR(SUMIFS('Dvd Calendar'!$E$328:$CZ$328,'Dvd Calendar'!$E$327:$CZ$327,"&gt;"&amp;E$48,'Dvd Calendar'!$E$327:$CZ$327,"&lt;="&amp;E$49),"")))</f>
        <v/>
      </c>
      <c r="F211" s="140">
        <f>IF(F$49="","",IF($B211="","",IFERROR(SUMIFS('Dvd Calendar'!$E$328:$CZ$328,'Dvd Calendar'!$E$327:$CZ$327,"&gt;"&amp;F$48,'Dvd Calendar'!$E$327:$CZ$327,"&lt;="&amp;F$49),"")))</f>
        <v/>
      </c>
      <c r="G211" s="140">
        <f>IF(G$49="","",IF($B211="","",IFERROR(SUMIFS('Dvd Calendar'!$E$328:$CZ$328,'Dvd Calendar'!$E$327:$CZ$327,"&gt;"&amp;G$48,'Dvd Calendar'!$E$327:$CZ$327,"&lt;="&amp;G$49),"")))</f>
        <v/>
      </c>
      <c r="H211" s="140">
        <f>IF(H$49="","",IF($B211="","",IFERROR(SUMIFS('Dvd Calendar'!$E$328:$CZ$328,'Dvd Calendar'!$E$327:$CZ$327,"&gt;"&amp;H$48,'Dvd Calendar'!$E$327:$CZ$327,"&lt;="&amp;H$49),"")))</f>
        <v/>
      </c>
      <c r="I211" s="140">
        <f>IF(I$49="","",IF($B211="","",IFERROR(SUMIFS('Dvd Calendar'!$E$328:$CZ$328,'Dvd Calendar'!$E$327:$CZ$327,"&gt;"&amp;I$48,'Dvd Calendar'!$E$327:$CZ$327,"&lt;="&amp;I$49),"")))</f>
        <v/>
      </c>
      <c r="J211" s="140">
        <f>IF(J$49="","",IF($B211="","",IFERROR(SUMIFS('Dvd Calendar'!$E$328:$CZ$328,'Dvd Calendar'!$E$327:$CZ$327,"&gt;"&amp;J$48,'Dvd Calendar'!$E$327:$CZ$327,"&lt;="&amp;J$49),"")))</f>
        <v/>
      </c>
      <c r="K211" s="140">
        <f>IF(K$49="","",IF($B211="","",IFERROR(SUMIFS('Dvd Calendar'!$E$328:$CZ$328,'Dvd Calendar'!$E$327:$CZ$327,"&gt;"&amp;K$48,'Dvd Calendar'!$E$327:$CZ$327,"&lt;="&amp;K$49),"")))</f>
        <v/>
      </c>
      <c r="L211" s="140">
        <f>IF(L$49="","",IF($B211="","",IFERROR(SUMIFS('Dvd Calendar'!$E$328:$CZ$328,'Dvd Calendar'!$E$327:$CZ$327,"&gt;"&amp;L$48,'Dvd Calendar'!$E$327:$CZ$327,"&lt;="&amp;L$49),"")))</f>
        <v/>
      </c>
      <c r="M211" s="140">
        <f>IF(M$49="","",IF($B211="","",IFERROR(SUMIFS('Dvd Calendar'!$E$328:$CZ$328,'Dvd Calendar'!$E$327:$CZ$327,"&gt;"&amp;M$48,'Dvd Calendar'!$E$327:$CZ$327,"&lt;="&amp;M$49),"")))</f>
        <v/>
      </c>
      <c r="N211" s="140">
        <f>IF(N$49="","",IF($B211="","",IFERROR(SUMIFS('Dvd Calendar'!$E$328:$CZ$328,'Dvd Calendar'!$E$327:$CZ$327,"&gt;"&amp;N$48,'Dvd Calendar'!$E$327:$CZ$327,"&lt;="&amp;N$49),"")))</f>
        <v/>
      </c>
      <c r="O211" s="140">
        <f>IF(O$49="","",IF($B211="","",IFERROR(SUMIFS('Dvd Calendar'!$E$328:$CZ$328,'Dvd Calendar'!$E$327:$CZ$327,"&gt;"&amp;O$48,'Dvd Calendar'!$E$327:$CZ$327,"&lt;="&amp;O$49),"")))</f>
        <v/>
      </c>
      <c r="P211" s="140">
        <f>IF(P$49="","",IF($B211="","",IFERROR(SUMIFS('Dvd Calendar'!$E$328:$CZ$328,'Dvd Calendar'!$E$327:$CZ$327,"&gt;"&amp;P$48,'Dvd Calendar'!$E$327:$CZ$327,"&lt;="&amp;P$49),"")))</f>
        <v/>
      </c>
      <c r="Q211" s="140">
        <f>IF(Q$49="","",IF($B211="","",IFERROR(SUMIFS('Dvd Calendar'!$E$328:$CZ$328,'Dvd Calendar'!$E$327:$CZ$327,"&gt;"&amp;Q$48,'Dvd Calendar'!$E$327:$CZ$327,"&lt;="&amp;Q$49),"")))</f>
        <v/>
      </c>
      <c r="R211" s="140">
        <f>IF(R$49="","",IF($B211="","",IFERROR(SUMIFS('Dvd Calendar'!$E$328:$CZ$328,'Dvd Calendar'!$E$327:$CZ$327,"&gt;"&amp;R$48,'Dvd Calendar'!$E$327:$CZ$327,"&lt;="&amp;R$49),"")))</f>
        <v/>
      </c>
    </row>
    <row r="212">
      <c r="B212" s="5">
        <f>IF(AS51!$C$167="","",AS51!$C$167)</f>
        <v/>
      </c>
      <c r="C212" s="140">
        <f>IF(C$49="","",IF($B212="","",IFERROR(SUMIFS('Dvd Calendar'!$E$330:$CZ$330,'Dvd Calendar'!$E$329:$CZ$329,"&gt;"&amp;C$48,'Dvd Calendar'!$E$329:$CZ$329,"&lt;="&amp;C$49),"")))</f>
        <v/>
      </c>
      <c r="D212" s="140">
        <f>IF(D$49="","",IF($B212="","",IFERROR(SUMIFS('Dvd Calendar'!$E$330:$CZ$330,'Dvd Calendar'!$E$329:$CZ$329,"&gt;"&amp;D$48,'Dvd Calendar'!$E$329:$CZ$329,"&lt;="&amp;D$49),"")))</f>
        <v/>
      </c>
      <c r="E212" s="140">
        <f>IF(E$49="","",IF($B212="","",IFERROR(SUMIFS('Dvd Calendar'!$E$330:$CZ$330,'Dvd Calendar'!$E$329:$CZ$329,"&gt;"&amp;E$48,'Dvd Calendar'!$E$329:$CZ$329,"&lt;="&amp;E$49),"")))</f>
        <v/>
      </c>
      <c r="F212" s="140">
        <f>IF(F$49="","",IF($B212="","",IFERROR(SUMIFS('Dvd Calendar'!$E$330:$CZ$330,'Dvd Calendar'!$E$329:$CZ$329,"&gt;"&amp;F$48,'Dvd Calendar'!$E$329:$CZ$329,"&lt;="&amp;F$49),"")))</f>
        <v/>
      </c>
      <c r="G212" s="140">
        <f>IF(G$49="","",IF($B212="","",IFERROR(SUMIFS('Dvd Calendar'!$E$330:$CZ$330,'Dvd Calendar'!$E$329:$CZ$329,"&gt;"&amp;G$48,'Dvd Calendar'!$E$329:$CZ$329,"&lt;="&amp;G$49),"")))</f>
        <v/>
      </c>
      <c r="H212" s="140">
        <f>IF(H$49="","",IF($B212="","",IFERROR(SUMIFS('Dvd Calendar'!$E$330:$CZ$330,'Dvd Calendar'!$E$329:$CZ$329,"&gt;"&amp;H$48,'Dvd Calendar'!$E$329:$CZ$329,"&lt;="&amp;H$49),"")))</f>
        <v/>
      </c>
      <c r="I212" s="140">
        <f>IF(I$49="","",IF($B212="","",IFERROR(SUMIFS('Dvd Calendar'!$E$330:$CZ$330,'Dvd Calendar'!$E$329:$CZ$329,"&gt;"&amp;I$48,'Dvd Calendar'!$E$329:$CZ$329,"&lt;="&amp;I$49),"")))</f>
        <v/>
      </c>
      <c r="J212" s="140">
        <f>IF(J$49="","",IF($B212="","",IFERROR(SUMIFS('Dvd Calendar'!$E$330:$CZ$330,'Dvd Calendar'!$E$329:$CZ$329,"&gt;"&amp;J$48,'Dvd Calendar'!$E$329:$CZ$329,"&lt;="&amp;J$49),"")))</f>
        <v/>
      </c>
      <c r="K212" s="140">
        <f>IF(K$49="","",IF($B212="","",IFERROR(SUMIFS('Dvd Calendar'!$E$330:$CZ$330,'Dvd Calendar'!$E$329:$CZ$329,"&gt;"&amp;K$48,'Dvd Calendar'!$E$329:$CZ$329,"&lt;="&amp;K$49),"")))</f>
        <v/>
      </c>
      <c r="L212" s="140">
        <f>IF(L$49="","",IF($B212="","",IFERROR(SUMIFS('Dvd Calendar'!$E$330:$CZ$330,'Dvd Calendar'!$E$329:$CZ$329,"&gt;"&amp;L$48,'Dvd Calendar'!$E$329:$CZ$329,"&lt;="&amp;L$49),"")))</f>
        <v/>
      </c>
      <c r="M212" s="140">
        <f>IF(M$49="","",IF($B212="","",IFERROR(SUMIFS('Dvd Calendar'!$E$330:$CZ$330,'Dvd Calendar'!$E$329:$CZ$329,"&gt;"&amp;M$48,'Dvd Calendar'!$E$329:$CZ$329,"&lt;="&amp;M$49),"")))</f>
        <v/>
      </c>
      <c r="N212" s="140">
        <f>IF(N$49="","",IF($B212="","",IFERROR(SUMIFS('Dvd Calendar'!$E$330:$CZ$330,'Dvd Calendar'!$E$329:$CZ$329,"&gt;"&amp;N$48,'Dvd Calendar'!$E$329:$CZ$329,"&lt;="&amp;N$49),"")))</f>
        <v/>
      </c>
      <c r="O212" s="140">
        <f>IF(O$49="","",IF($B212="","",IFERROR(SUMIFS('Dvd Calendar'!$E$330:$CZ$330,'Dvd Calendar'!$E$329:$CZ$329,"&gt;"&amp;O$48,'Dvd Calendar'!$E$329:$CZ$329,"&lt;="&amp;O$49),"")))</f>
        <v/>
      </c>
      <c r="P212" s="140">
        <f>IF(P$49="","",IF($B212="","",IFERROR(SUMIFS('Dvd Calendar'!$E$330:$CZ$330,'Dvd Calendar'!$E$329:$CZ$329,"&gt;"&amp;P$48,'Dvd Calendar'!$E$329:$CZ$329,"&lt;="&amp;P$49),"")))</f>
        <v/>
      </c>
      <c r="Q212" s="140">
        <f>IF(Q$49="","",IF($B212="","",IFERROR(SUMIFS('Dvd Calendar'!$E$330:$CZ$330,'Dvd Calendar'!$E$329:$CZ$329,"&gt;"&amp;Q$48,'Dvd Calendar'!$E$329:$CZ$329,"&lt;="&amp;Q$49),"")))</f>
        <v/>
      </c>
      <c r="R212" s="140">
        <f>IF(R$49="","",IF($B212="","",IFERROR(SUMIFS('Dvd Calendar'!$E$330:$CZ$330,'Dvd Calendar'!$E$329:$CZ$329,"&gt;"&amp;R$48,'Dvd Calendar'!$E$329:$CZ$329,"&lt;="&amp;R$49),"")))</f>
        <v/>
      </c>
    </row>
    <row r="213">
      <c r="B213" s="5">
        <f>IF(AS51!$C$168="","",AS51!$C$168)</f>
        <v/>
      </c>
      <c r="C213" s="140">
        <f>IF(C$49="","",IF($B213="","",IFERROR(SUMIFS('Dvd Calendar'!$E$332:$CZ$332,'Dvd Calendar'!$E$331:$CZ$331,"&gt;"&amp;C$48,'Dvd Calendar'!$E$331:$CZ$331,"&lt;="&amp;C$49),"")))</f>
        <v/>
      </c>
      <c r="D213" s="140">
        <f>IF(D$49="","",IF($B213="","",IFERROR(SUMIFS('Dvd Calendar'!$E$332:$CZ$332,'Dvd Calendar'!$E$331:$CZ$331,"&gt;"&amp;D$48,'Dvd Calendar'!$E$331:$CZ$331,"&lt;="&amp;D$49),"")))</f>
        <v/>
      </c>
      <c r="E213" s="140">
        <f>IF(E$49="","",IF($B213="","",IFERROR(SUMIFS('Dvd Calendar'!$E$332:$CZ$332,'Dvd Calendar'!$E$331:$CZ$331,"&gt;"&amp;E$48,'Dvd Calendar'!$E$331:$CZ$331,"&lt;="&amp;E$49),"")))</f>
        <v/>
      </c>
      <c r="F213" s="140">
        <f>IF(F$49="","",IF($B213="","",IFERROR(SUMIFS('Dvd Calendar'!$E$332:$CZ$332,'Dvd Calendar'!$E$331:$CZ$331,"&gt;"&amp;F$48,'Dvd Calendar'!$E$331:$CZ$331,"&lt;="&amp;F$49),"")))</f>
        <v/>
      </c>
      <c r="G213" s="140">
        <f>IF(G$49="","",IF($B213="","",IFERROR(SUMIFS('Dvd Calendar'!$E$332:$CZ$332,'Dvd Calendar'!$E$331:$CZ$331,"&gt;"&amp;G$48,'Dvd Calendar'!$E$331:$CZ$331,"&lt;="&amp;G$49),"")))</f>
        <v/>
      </c>
      <c r="H213" s="140">
        <f>IF(H$49="","",IF($B213="","",IFERROR(SUMIFS('Dvd Calendar'!$E$332:$CZ$332,'Dvd Calendar'!$E$331:$CZ$331,"&gt;"&amp;H$48,'Dvd Calendar'!$E$331:$CZ$331,"&lt;="&amp;H$49),"")))</f>
        <v/>
      </c>
      <c r="I213" s="140">
        <f>IF(I$49="","",IF($B213="","",IFERROR(SUMIFS('Dvd Calendar'!$E$332:$CZ$332,'Dvd Calendar'!$E$331:$CZ$331,"&gt;"&amp;I$48,'Dvd Calendar'!$E$331:$CZ$331,"&lt;="&amp;I$49),"")))</f>
        <v/>
      </c>
      <c r="J213" s="140">
        <f>IF(J$49="","",IF($B213="","",IFERROR(SUMIFS('Dvd Calendar'!$E$332:$CZ$332,'Dvd Calendar'!$E$331:$CZ$331,"&gt;"&amp;J$48,'Dvd Calendar'!$E$331:$CZ$331,"&lt;="&amp;J$49),"")))</f>
        <v/>
      </c>
      <c r="K213" s="140">
        <f>IF(K$49="","",IF($B213="","",IFERROR(SUMIFS('Dvd Calendar'!$E$332:$CZ$332,'Dvd Calendar'!$E$331:$CZ$331,"&gt;"&amp;K$48,'Dvd Calendar'!$E$331:$CZ$331,"&lt;="&amp;K$49),"")))</f>
        <v/>
      </c>
      <c r="L213" s="140">
        <f>IF(L$49="","",IF($B213="","",IFERROR(SUMIFS('Dvd Calendar'!$E$332:$CZ$332,'Dvd Calendar'!$E$331:$CZ$331,"&gt;"&amp;L$48,'Dvd Calendar'!$E$331:$CZ$331,"&lt;="&amp;L$49),"")))</f>
        <v/>
      </c>
      <c r="M213" s="140">
        <f>IF(M$49="","",IF($B213="","",IFERROR(SUMIFS('Dvd Calendar'!$E$332:$CZ$332,'Dvd Calendar'!$E$331:$CZ$331,"&gt;"&amp;M$48,'Dvd Calendar'!$E$331:$CZ$331,"&lt;="&amp;M$49),"")))</f>
        <v/>
      </c>
      <c r="N213" s="140">
        <f>IF(N$49="","",IF($B213="","",IFERROR(SUMIFS('Dvd Calendar'!$E$332:$CZ$332,'Dvd Calendar'!$E$331:$CZ$331,"&gt;"&amp;N$48,'Dvd Calendar'!$E$331:$CZ$331,"&lt;="&amp;N$49),"")))</f>
        <v/>
      </c>
      <c r="O213" s="140">
        <f>IF(O$49="","",IF($B213="","",IFERROR(SUMIFS('Dvd Calendar'!$E$332:$CZ$332,'Dvd Calendar'!$E$331:$CZ$331,"&gt;"&amp;O$48,'Dvd Calendar'!$E$331:$CZ$331,"&lt;="&amp;O$49),"")))</f>
        <v/>
      </c>
      <c r="P213" s="140">
        <f>IF(P$49="","",IF($B213="","",IFERROR(SUMIFS('Dvd Calendar'!$E$332:$CZ$332,'Dvd Calendar'!$E$331:$CZ$331,"&gt;"&amp;P$48,'Dvd Calendar'!$E$331:$CZ$331,"&lt;="&amp;P$49),"")))</f>
        <v/>
      </c>
      <c r="Q213" s="140">
        <f>IF(Q$49="","",IF($B213="","",IFERROR(SUMIFS('Dvd Calendar'!$E$332:$CZ$332,'Dvd Calendar'!$E$331:$CZ$331,"&gt;"&amp;Q$48,'Dvd Calendar'!$E$331:$CZ$331,"&lt;="&amp;Q$49),"")))</f>
        <v/>
      </c>
      <c r="R213" s="140">
        <f>IF(R$49="","",IF($B213="","",IFERROR(SUMIFS('Dvd Calendar'!$E$332:$CZ$332,'Dvd Calendar'!$E$331:$CZ$331,"&gt;"&amp;R$48,'Dvd Calendar'!$E$331:$CZ$331,"&lt;="&amp;R$49),"")))</f>
        <v/>
      </c>
    </row>
    <row r="214">
      <c r="B214" s="5">
        <f>IF(AS51!$C$169="","",AS51!$C$169)</f>
        <v/>
      </c>
      <c r="C214" s="140">
        <f>IF(C$49="","",IF($B214="","",IFERROR(SUMIFS('Dvd Calendar'!$E$334:$CZ$334,'Dvd Calendar'!$E$333:$CZ$333,"&gt;"&amp;C$48,'Dvd Calendar'!$E$333:$CZ$333,"&lt;="&amp;C$49),"")))</f>
        <v/>
      </c>
      <c r="D214" s="140">
        <f>IF(D$49="","",IF($B214="","",IFERROR(SUMIFS('Dvd Calendar'!$E$334:$CZ$334,'Dvd Calendar'!$E$333:$CZ$333,"&gt;"&amp;D$48,'Dvd Calendar'!$E$333:$CZ$333,"&lt;="&amp;D$49),"")))</f>
        <v/>
      </c>
      <c r="E214" s="140">
        <f>IF(E$49="","",IF($B214="","",IFERROR(SUMIFS('Dvd Calendar'!$E$334:$CZ$334,'Dvd Calendar'!$E$333:$CZ$333,"&gt;"&amp;E$48,'Dvd Calendar'!$E$333:$CZ$333,"&lt;="&amp;E$49),"")))</f>
        <v/>
      </c>
      <c r="F214" s="140">
        <f>IF(F$49="","",IF($B214="","",IFERROR(SUMIFS('Dvd Calendar'!$E$334:$CZ$334,'Dvd Calendar'!$E$333:$CZ$333,"&gt;"&amp;F$48,'Dvd Calendar'!$E$333:$CZ$333,"&lt;="&amp;F$49),"")))</f>
        <v/>
      </c>
      <c r="G214" s="140">
        <f>IF(G$49="","",IF($B214="","",IFERROR(SUMIFS('Dvd Calendar'!$E$334:$CZ$334,'Dvd Calendar'!$E$333:$CZ$333,"&gt;"&amp;G$48,'Dvd Calendar'!$E$333:$CZ$333,"&lt;="&amp;G$49),"")))</f>
        <v/>
      </c>
      <c r="H214" s="140">
        <f>IF(H$49="","",IF($B214="","",IFERROR(SUMIFS('Dvd Calendar'!$E$334:$CZ$334,'Dvd Calendar'!$E$333:$CZ$333,"&gt;"&amp;H$48,'Dvd Calendar'!$E$333:$CZ$333,"&lt;="&amp;H$49),"")))</f>
        <v/>
      </c>
      <c r="I214" s="140">
        <f>IF(I$49="","",IF($B214="","",IFERROR(SUMIFS('Dvd Calendar'!$E$334:$CZ$334,'Dvd Calendar'!$E$333:$CZ$333,"&gt;"&amp;I$48,'Dvd Calendar'!$E$333:$CZ$333,"&lt;="&amp;I$49),"")))</f>
        <v/>
      </c>
      <c r="J214" s="140">
        <f>IF(J$49="","",IF($B214="","",IFERROR(SUMIFS('Dvd Calendar'!$E$334:$CZ$334,'Dvd Calendar'!$E$333:$CZ$333,"&gt;"&amp;J$48,'Dvd Calendar'!$E$333:$CZ$333,"&lt;="&amp;J$49),"")))</f>
        <v/>
      </c>
      <c r="K214" s="140">
        <f>IF(K$49="","",IF($B214="","",IFERROR(SUMIFS('Dvd Calendar'!$E$334:$CZ$334,'Dvd Calendar'!$E$333:$CZ$333,"&gt;"&amp;K$48,'Dvd Calendar'!$E$333:$CZ$333,"&lt;="&amp;K$49),"")))</f>
        <v/>
      </c>
      <c r="L214" s="140">
        <f>IF(L$49="","",IF($B214="","",IFERROR(SUMIFS('Dvd Calendar'!$E$334:$CZ$334,'Dvd Calendar'!$E$333:$CZ$333,"&gt;"&amp;L$48,'Dvd Calendar'!$E$333:$CZ$333,"&lt;="&amp;L$49),"")))</f>
        <v/>
      </c>
      <c r="M214" s="140">
        <f>IF(M$49="","",IF($B214="","",IFERROR(SUMIFS('Dvd Calendar'!$E$334:$CZ$334,'Dvd Calendar'!$E$333:$CZ$333,"&gt;"&amp;M$48,'Dvd Calendar'!$E$333:$CZ$333,"&lt;="&amp;M$49),"")))</f>
        <v/>
      </c>
      <c r="N214" s="140">
        <f>IF(N$49="","",IF($B214="","",IFERROR(SUMIFS('Dvd Calendar'!$E$334:$CZ$334,'Dvd Calendar'!$E$333:$CZ$333,"&gt;"&amp;N$48,'Dvd Calendar'!$E$333:$CZ$333,"&lt;="&amp;N$49),"")))</f>
        <v/>
      </c>
      <c r="O214" s="140">
        <f>IF(O$49="","",IF($B214="","",IFERROR(SUMIFS('Dvd Calendar'!$E$334:$CZ$334,'Dvd Calendar'!$E$333:$CZ$333,"&gt;"&amp;O$48,'Dvd Calendar'!$E$333:$CZ$333,"&lt;="&amp;O$49),"")))</f>
        <v/>
      </c>
      <c r="P214" s="140">
        <f>IF(P$49="","",IF($B214="","",IFERROR(SUMIFS('Dvd Calendar'!$E$334:$CZ$334,'Dvd Calendar'!$E$333:$CZ$333,"&gt;"&amp;P$48,'Dvd Calendar'!$E$333:$CZ$333,"&lt;="&amp;P$49),"")))</f>
        <v/>
      </c>
      <c r="Q214" s="140">
        <f>IF(Q$49="","",IF($B214="","",IFERROR(SUMIFS('Dvd Calendar'!$E$334:$CZ$334,'Dvd Calendar'!$E$333:$CZ$333,"&gt;"&amp;Q$48,'Dvd Calendar'!$E$333:$CZ$333,"&lt;="&amp;Q$49),"")))</f>
        <v/>
      </c>
      <c r="R214" s="140">
        <f>IF(R$49="","",IF($B214="","",IFERROR(SUMIFS('Dvd Calendar'!$E$334:$CZ$334,'Dvd Calendar'!$E$333:$CZ$333,"&gt;"&amp;R$48,'Dvd Calendar'!$E$333:$CZ$333,"&lt;="&amp;R$49),"")))</f>
        <v/>
      </c>
    </row>
    <row r="215">
      <c r="B215" s="5">
        <f>IF(AS51!$C$170="","",AS51!$C$170)</f>
        <v/>
      </c>
      <c r="C215" s="140">
        <f>IF(C$49="","",IF($B215="","",IFERROR(SUMIFS('Dvd Calendar'!$E$336:$CZ$336,'Dvd Calendar'!$E$335:$CZ$335,"&gt;"&amp;C$48,'Dvd Calendar'!$E$335:$CZ$335,"&lt;="&amp;C$49),"")))</f>
        <v/>
      </c>
      <c r="D215" s="140">
        <f>IF(D$49="","",IF($B215="","",IFERROR(SUMIFS('Dvd Calendar'!$E$336:$CZ$336,'Dvd Calendar'!$E$335:$CZ$335,"&gt;"&amp;D$48,'Dvd Calendar'!$E$335:$CZ$335,"&lt;="&amp;D$49),"")))</f>
        <v/>
      </c>
      <c r="E215" s="140">
        <f>IF(E$49="","",IF($B215="","",IFERROR(SUMIFS('Dvd Calendar'!$E$336:$CZ$336,'Dvd Calendar'!$E$335:$CZ$335,"&gt;"&amp;E$48,'Dvd Calendar'!$E$335:$CZ$335,"&lt;="&amp;E$49),"")))</f>
        <v/>
      </c>
      <c r="F215" s="140">
        <f>IF(F$49="","",IF($B215="","",IFERROR(SUMIFS('Dvd Calendar'!$E$336:$CZ$336,'Dvd Calendar'!$E$335:$CZ$335,"&gt;"&amp;F$48,'Dvd Calendar'!$E$335:$CZ$335,"&lt;="&amp;F$49),"")))</f>
        <v/>
      </c>
      <c r="G215" s="140">
        <f>IF(G$49="","",IF($B215="","",IFERROR(SUMIFS('Dvd Calendar'!$E$336:$CZ$336,'Dvd Calendar'!$E$335:$CZ$335,"&gt;"&amp;G$48,'Dvd Calendar'!$E$335:$CZ$335,"&lt;="&amp;G$49),"")))</f>
        <v/>
      </c>
      <c r="H215" s="140">
        <f>IF(H$49="","",IF($B215="","",IFERROR(SUMIFS('Dvd Calendar'!$E$336:$CZ$336,'Dvd Calendar'!$E$335:$CZ$335,"&gt;"&amp;H$48,'Dvd Calendar'!$E$335:$CZ$335,"&lt;="&amp;H$49),"")))</f>
        <v/>
      </c>
      <c r="I215" s="140">
        <f>IF(I$49="","",IF($B215="","",IFERROR(SUMIFS('Dvd Calendar'!$E$336:$CZ$336,'Dvd Calendar'!$E$335:$CZ$335,"&gt;"&amp;I$48,'Dvd Calendar'!$E$335:$CZ$335,"&lt;="&amp;I$49),"")))</f>
        <v/>
      </c>
      <c r="J215" s="140">
        <f>IF(J$49="","",IF($B215="","",IFERROR(SUMIFS('Dvd Calendar'!$E$336:$CZ$336,'Dvd Calendar'!$E$335:$CZ$335,"&gt;"&amp;J$48,'Dvd Calendar'!$E$335:$CZ$335,"&lt;="&amp;J$49),"")))</f>
        <v/>
      </c>
      <c r="K215" s="140">
        <f>IF(K$49="","",IF($B215="","",IFERROR(SUMIFS('Dvd Calendar'!$E$336:$CZ$336,'Dvd Calendar'!$E$335:$CZ$335,"&gt;"&amp;K$48,'Dvd Calendar'!$E$335:$CZ$335,"&lt;="&amp;K$49),"")))</f>
        <v/>
      </c>
      <c r="L215" s="140">
        <f>IF(L$49="","",IF($B215="","",IFERROR(SUMIFS('Dvd Calendar'!$E$336:$CZ$336,'Dvd Calendar'!$E$335:$CZ$335,"&gt;"&amp;L$48,'Dvd Calendar'!$E$335:$CZ$335,"&lt;="&amp;L$49),"")))</f>
        <v/>
      </c>
      <c r="M215" s="140">
        <f>IF(M$49="","",IF($B215="","",IFERROR(SUMIFS('Dvd Calendar'!$E$336:$CZ$336,'Dvd Calendar'!$E$335:$CZ$335,"&gt;"&amp;M$48,'Dvd Calendar'!$E$335:$CZ$335,"&lt;="&amp;M$49),"")))</f>
        <v/>
      </c>
      <c r="N215" s="140">
        <f>IF(N$49="","",IF($B215="","",IFERROR(SUMIFS('Dvd Calendar'!$E$336:$CZ$336,'Dvd Calendar'!$E$335:$CZ$335,"&gt;"&amp;N$48,'Dvd Calendar'!$E$335:$CZ$335,"&lt;="&amp;N$49),"")))</f>
        <v/>
      </c>
      <c r="O215" s="140">
        <f>IF(O$49="","",IF($B215="","",IFERROR(SUMIFS('Dvd Calendar'!$E$336:$CZ$336,'Dvd Calendar'!$E$335:$CZ$335,"&gt;"&amp;O$48,'Dvd Calendar'!$E$335:$CZ$335,"&lt;="&amp;O$49),"")))</f>
        <v/>
      </c>
      <c r="P215" s="140">
        <f>IF(P$49="","",IF($B215="","",IFERROR(SUMIFS('Dvd Calendar'!$E$336:$CZ$336,'Dvd Calendar'!$E$335:$CZ$335,"&gt;"&amp;P$48,'Dvd Calendar'!$E$335:$CZ$335,"&lt;="&amp;P$49),"")))</f>
        <v/>
      </c>
      <c r="Q215" s="140">
        <f>IF(Q$49="","",IF($B215="","",IFERROR(SUMIFS('Dvd Calendar'!$E$336:$CZ$336,'Dvd Calendar'!$E$335:$CZ$335,"&gt;"&amp;Q$48,'Dvd Calendar'!$E$335:$CZ$335,"&lt;="&amp;Q$49),"")))</f>
        <v/>
      </c>
      <c r="R215" s="140">
        <f>IF(R$49="","",IF($B215="","",IFERROR(SUMIFS('Dvd Calendar'!$E$336:$CZ$336,'Dvd Calendar'!$E$335:$CZ$335,"&gt;"&amp;R$48,'Dvd Calendar'!$E$335:$CZ$335,"&lt;="&amp;R$49),"")))</f>
        <v/>
      </c>
    </row>
    <row r="216">
      <c r="B216" s="5">
        <f>IF(AS51!$C$171="","",AS51!$C$171)</f>
        <v/>
      </c>
      <c r="C216" s="140">
        <f>IF(C$49="","",IF($B216="","",IFERROR(SUMIFS('Dvd Calendar'!$E$338:$CZ$338,'Dvd Calendar'!$E$337:$CZ$337,"&gt;"&amp;C$48,'Dvd Calendar'!$E$337:$CZ$337,"&lt;="&amp;C$49),"")))</f>
        <v/>
      </c>
      <c r="D216" s="140">
        <f>IF(D$49="","",IF($B216="","",IFERROR(SUMIFS('Dvd Calendar'!$E$338:$CZ$338,'Dvd Calendar'!$E$337:$CZ$337,"&gt;"&amp;D$48,'Dvd Calendar'!$E$337:$CZ$337,"&lt;="&amp;D$49),"")))</f>
        <v/>
      </c>
      <c r="E216" s="140">
        <f>IF(E$49="","",IF($B216="","",IFERROR(SUMIFS('Dvd Calendar'!$E$338:$CZ$338,'Dvd Calendar'!$E$337:$CZ$337,"&gt;"&amp;E$48,'Dvd Calendar'!$E$337:$CZ$337,"&lt;="&amp;E$49),"")))</f>
        <v/>
      </c>
      <c r="F216" s="140">
        <f>IF(F$49="","",IF($B216="","",IFERROR(SUMIFS('Dvd Calendar'!$E$338:$CZ$338,'Dvd Calendar'!$E$337:$CZ$337,"&gt;"&amp;F$48,'Dvd Calendar'!$E$337:$CZ$337,"&lt;="&amp;F$49),"")))</f>
        <v/>
      </c>
      <c r="G216" s="140">
        <f>IF(G$49="","",IF($B216="","",IFERROR(SUMIFS('Dvd Calendar'!$E$338:$CZ$338,'Dvd Calendar'!$E$337:$CZ$337,"&gt;"&amp;G$48,'Dvd Calendar'!$E$337:$CZ$337,"&lt;="&amp;G$49),"")))</f>
        <v/>
      </c>
      <c r="H216" s="140">
        <f>IF(H$49="","",IF($B216="","",IFERROR(SUMIFS('Dvd Calendar'!$E$338:$CZ$338,'Dvd Calendar'!$E$337:$CZ$337,"&gt;"&amp;H$48,'Dvd Calendar'!$E$337:$CZ$337,"&lt;="&amp;H$49),"")))</f>
        <v/>
      </c>
      <c r="I216" s="140">
        <f>IF(I$49="","",IF($B216="","",IFERROR(SUMIFS('Dvd Calendar'!$E$338:$CZ$338,'Dvd Calendar'!$E$337:$CZ$337,"&gt;"&amp;I$48,'Dvd Calendar'!$E$337:$CZ$337,"&lt;="&amp;I$49),"")))</f>
        <v/>
      </c>
      <c r="J216" s="140">
        <f>IF(J$49="","",IF($B216="","",IFERROR(SUMIFS('Dvd Calendar'!$E$338:$CZ$338,'Dvd Calendar'!$E$337:$CZ$337,"&gt;"&amp;J$48,'Dvd Calendar'!$E$337:$CZ$337,"&lt;="&amp;J$49),"")))</f>
        <v/>
      </c>
      <c r="K216" s="140">
        <f>IF(K$49="","",IF($B216="","",IFERROR(SUMIFS('Dvd Calendar'!$E$338:$CZ$338,'Dvd Calendar'!$E$337:$CZ$337,"&gt;"&amp;K$48,'Dvd Calendar'!$E$337:$CZ$337,"&lt;="&amp;K$49),"")))</f>
        <v/>
      </c>
      <c r="L216" s="140">
        <f>IF(L$49="","",IF($B216="","",IFERROR(SUMIFS('Dvd Calendar'!$E$338:$CZ$338,'Dvd Calendar'!$E$337:$CZ$337,"&gt;"&amp;L$48,'Dvd Calendar'!$E$337:$CZ$337,"&lt;="&amp;L$49),"")))</f>
        <v/>
      </c>
      <c r="M216" s="140">
        <f>IF(M$49="","",IF($B216="","",IFERROR(SUMIFS('Dvd Calendar'!$E$338:$CZ$338,'Dvd Calendar'!$E$337:$CZ$337,"&gt;"&amp;M$48,'Dvd Calendar'!$E$337:$CZ$337,"&lt;="&amp;M$49),"")))</f>
        <v/>
      </c>
      <c r="N216" s="140">
        <f>IF(N$49="","",IF($B216="","",IFERROR(SUMIFS('Dvd Calendar'!$E$338:$CZ$338,'Dvd Calendar'!$E$337:$CZ$337,"&gt;"&amp;N$48,'Dvd Calendar'!$E$337:$CZ$337,"&lt;="&amp;N$49),"")))</f>
        <v/>
      </c>
      <c r="O216" s="140">
        <f>IF(O$49="","",IF($B216="","",IFERROR(SUMIFS('Dvd Calendar'!$E$338:$CZ$338,'Dvd Calendar'!$E$337:$CZ$337,"&gt;"&amp;O$48,'Dvd Calendar'!$E$337:$CZ$337,"&lt;="&amp;O$49),"")))</f>
        <v/>
      </c>
      <c r="P216" s="140">
        <f>IF(P$49="","",IF($B216="","",IFERROR(SUMIFS('Dvd Calendar'!$E$338:$CZ$338,'Dvd Calendar'!$E$337:$CZ$337,"&gt;"&amp;P$48,'Dvd Calendar'!$E$337:$CZ$337,"&lt;="&amp;P$49),"")))</f>
        <v/>
      </c>
      <c r="Q216" s="140">
        <f>IF(Q$49="","",IF($B216="","",IFERROR(SUMIFS('Dvd Calendar'!$E$338:$CZ$338,'Dvd Calendar'!$E$337:$CZ$337,"&gt;"&amp;Q$48,'Dvd Calendar'!$E$337:$CZ$337,"&lt;="&amp;Q$49),"")))</f>
        <v/>
      </c>
      <c r="R216" s="140">
        <f>IF(R$49="","",IF($B216="","",IFERROR(SUMIFS('Dvd Calendar'!$E$338:$CZ$338,'Dvd Calendar'!$E$337:$CZ$337,"&gt;"&amp;R$48,'Dvd Calendar'!$E$337:$CZ$337,"&lt;="&amp;R$49),"")))</f>
        <v/>
      </c>
    </row>
    <row r="217">
      <c r="B217" s="5">
        <f>IF(AS51!$C$172="","",AS51!$C$172)</f>
        <v/>
      </c>
      <c r="C217" s="140">
        <f>IF(C$49="","",IF($B217="","",IFERROR(SUMIFS('Dvd Calendar'!$E$340:$CZ$340,'Dvd Calendar'!$E$339:$CZ$339,"&gt;"&amp;C$48,'Dvd Calendar'!$E$339:$CZ$339,"&lt;="&amp;C$49),"")))</f>
        <v/>
      </c>
      <c r="D217" s="140">
        <f>IF(D$49="","",IF($B217="","",IFERROR(SUMIFS('Dvd Calendar'!$E$340:$CZ$340,'Dvd Calendar'!$E$339:$CZ$339,"&gt;"&amp;D$48,'Dvd Calendar'!$E$339:$CZ$339,"&lt;="&amp;D$49),"")))</f>
        <v/>
      </c>
      <c r="E217" s="140">
        <f>IF(E$49="","",IF($B217="","",IFERROR(SUMIFS('Dvd Calendar'!$E$340:$CZ$340,'Dvd Calendar'!$E$339:$CZ$339,"&gt;"&amp;E$48,'Dvd Calendar'!$E$339:$CZ$339,"&lt;="&amp;E$49),"")))</f>
        <v/>
      </c>
      <c r="F217" s="140">
        <f>IF(F$49="","",IF($B217="","",IFERROR(SUMIFS('Dvd Calendar'!$E$340:$CZ$340,'Dvd Calendar'!$E$339:$CZ$339,"&gt;"&amp;F$48,'Dvd Calendar'!$E$339:$CZ$339,"&lt;="&amp;F$49),"")))</f>
        <v/>
      </c>
      <c r="G217" s="140">
        <f>IF(G$49="","",IF($B217="","",IFERROR(SUMIFS('Dvd Calendar'!$E$340:$CZ$340,'Dvd Calendar'!$E$339:$CZ$339,"&gt;"&amp;G$48,'Dvd Calendar'!$E$339:$CZ$339,"&lt;="&amp;G$49),"")))</f>
        <v/>
      </c>
      <c r="H217" s="140">
        <f>IF(H$49="","",IF($B217="","",IFERROR(SUMIFS('Dvd Calendar'!$E$340:$CZ$340,'Dvd Calendar'!$E$339:$CZ$339,"&gt;"&amp;H$48,'Dvd Calendar'!$E$339:$CZ$339,"&lt;="&amp;H$49),"")))</f>
        <v/>
      </c>
      <c r="I217" s="140">
        <f>IF(I$49="","",IF($B217="","",IFERROR(SUMIFS('Dvd Calendar'!$E$340:$CZ$340,'Dvd Calendar'!$E$339:$CZ$339,"&gt;"&amp;I$48,'Dvd Calendar'!$E$339:$CZ$339,"&lt;="&amp;I$49),"")))</f>
        <v/>
      </c>
      <c r="J217" s="140">
        <f>IF(J$49="","",IF($B217="","",IFERROR(SUMIFS('Dvd Calendar'!$E$340:$CZ$340,'Dvd Calendar'!$E$339:$CZ$339,"&gt;"&amp;J$48,'Dvd Calendar'!$E$339:$CZ$339,"&lt;="&amp;J$49),"")))</f>
        <v/>
      </c>
      <c r="K217" s="140">
        <f>IF(K$49="","",IF($B217="","",IFERROR(SUMIFS('Dvd Calendar'!$E$340:$CZ$340,'Dvd Calendar'!$E$339:$CZ$339,"&gt;"&amp;K$48,'Dvd Calendar'!$E$339:$CZ$339,"&lt;="&amp;K$49),"")))</f>
        <v/>
      </c>
      <c r="L217" s="140">
        <f>IF(L$49="","",IF($B217="","",IFERROR(SUMIFS('Dvd Calendar'!$E$340:$CZ$340,'Dvd Calendar'!$E$339:$CZ$339,"&gt;"&amp;L$48,'Dvd Calendar'!$E$339:$CZ$339,"&lt;="&amp;L$49),"")))</f>
        <v/>
      </c>
      <c r="M217" s="140">
        <f>IF(M$49="","",IF($B217="","",IFERROR(SUMIFS('Dvd Calendar'!$E$340:$CZ$340,'Dvd Calendar'!$E$339:$CZ$339,"&gt;"&amp;M$48,'Dvd Calendar'!$E$339:$CZ$339,"&lt;="&amp;M$49),"")))</f>
        <v/>
      </c>
      <c r="N217" s="140">
        <f>IF(N$49="","",IF($B217="","",IFERROR(SUMIFS('Dvd Calendar'!$E$340:$CZ$340,'Dvd Calendar'!$E$339:$CZ$339,"&gt;"&amp;N$48,'Dvd Calendar'!$E$339:$CZ$339,"&lt;="&amp;N$49),"")))</f>
        <v/>
      </c>
      <c r="O217" s="140">
        <f>IF(O$49="","",IF($B217="","",IFERROR(SUMIFS('Dvd Calendar'!$E$340:$CZ$340,'Dvd Calendar'!$E$339:$CZ$339,"&gt;"&amp;O$48,'Dvd Calendar'!$E$339:$CZ$339,"&lt;="&amp;O$49),"")))</f>
        <v/>
      </c>
      <c r="P217" s="140">
        <f>IF(P$49="","",IF($B217="","",IFERROR(SUMIFS('Dvd Calendar'!$E$340:$CZ$340,'Dvd Calendar'!$E$339:$CZ$339,"&gt;"&amp;P$48,'Dvd Calendar'!$E$339:$CZ$339,"&lt;="&amp;P$49),"")))</f>
        <v/>
      </c>
      <c r="Q217" s="140">
        <f>IF(Q$49="","",IF($B217="","",IFERROR(SUMIFS('Dvd Calendar'!$E$340:$CZ$340,'Dvd Calendar'!$E$339:$CZ$339,"&gt;"&amp;Q$48,'Dvd Calendar'!$E$339:$CZ$339,"&lt;="&amp;Q$49),"")))</f>
        <v/>
      </c>
      <c r="R217" s="140">
        <f>IF(R$49="","",IF($B217="","",IFERROR(SUMIFS('Dvd Calendar'!$E$340:$CZ$340,'Dvd Calendar'!$E$339:$CZ$339,"&gt;"&amp;R$48,'Dvd Calendar'!$E$339:$CZ$339,"&lt;="&amp;R$49),"")))</f>
        <v/>
      </c>
    </row>
    <row r="218">
      <c r="B218" s="5">
        <f>IF(AS51!$C$173="","",AS51!$C$173)</f>
        <v/>
      </c>
      <c r="C218" s="140">
        <f>IF(C$49="","",IF($B218="","",IFERROR(SUMIFS('Dvd Calendar'!$E$342:$CZ$342,'Dvd Calendar'!$E$341:$CZ$341,"&gt;"&amp;C$48,'Dvd Calendar'!$E$341:$CZ$341,"&lt;="&amp;C$49),"")))</f>
        <v/>
      </c>
      <c r="D218" s="140">
        <f>IF(D$49="","",IF($B218="","",IFERROR(SUMIFS('Dvd Calendar'!$E$342:$CZ$342,'Dvd Calendar'!$E$341:$CZ$341,"&gt;"&amp;D$48,'Dvd Calendar'!$E$341:$CZ$341,"&lt;="&amp;D$49),"")))</f>
        <v/>
      </c>
      <c r="E218" s="140">
        <f>IF(E$49="","",IF($B218="","",IFERROR(SUMIFS('Dvd Calendar'!$E$342:$CZ$342,'Dvd Calendar'!$E$341:$CZ$341,"&gt;"&amp;E$48,'Dvd Calendar'!$E$341:$CZ$341,"&lt;="&amp;E$49),"")))</f>
        <v/>
      </c>
      <c r="F218" s="140">
        <f>IF(F$49="","",IF($B218="","",IFERROR(SUMIFS('Dvd Calendar'!$E$342:$CZ$342,'Dvd Calendar'!$E$341:$CZ$341,"&gt;"&amp;F$48,'Dvd Calendar'!$E$341:$CZ$341,"&lt;="&amp;F$49),"")))</f>
        <v/>
      </c>
      <c r="G218" s="140">
        <f>IF(G$49="","",IF($B218="","",IFERROR(SUMIFS('Dvd Calendar'!$E$342:$CZ$342,'Dvd Calendar'!$E$341:$CZ$341,"&gt;"&amp;G$48,'Dvd Calendar'!$E$341:$CZ$341,"&lt;="&amp;G$49),"")))</f>
        <v/>
      </c>
      <c r="H218" s="140">
        <f>IF(H$49="","",IF($B218="","",IFERROR(SUMIFS('Dvd Calendar'!$E$342:$CZ$342,'Dvd Calendar'!$E$341:$CZ$341,"&gt;"&amp;H$48,'Dvd Calendar'!$E$341:$CZ$341,"&lt;="&amp;H$49),"")))</f>
        <v/>
      </c>
      <c r="I218" s="140">
        <f>IF(I$49="","",IF($B218="","",IFERROR(SUMIFS('Dvd Calendar'!$E$342:$CZ$342,'Dvd Calendar'!$E$341:$CZ$341,"&gt;"&amp;I$48,'Dvd Calendar'!$E$341:$CZ$341,"&lt;="&amp;I$49),"")))</f>
        <v/>
      </c>
      <c r="J218" s="140">
        <f>IF(J$49="","",IF($B218="","",IFERROR(SUMIFS('Dvd Calendar'!$E$342:$CZ$342,'Dvd Calendar'!$E$341:$CZ$341,"&gt;"&amp;J$48,'Dvd Calendar'!$E$341:$CZ$341,"&lt;="&amp;J$49),"")))</f>
        <v/>
      </c>
      <c r="K218" s="140">
        <f>IF(K$49="","",IF($B218="","",IFERROR(SUMIFS('Dvd Calendar'!$E$342:$CZ$342,'Dvd Calendar'!$E$341:$CZ$341,"&gt;"&amp;K$48,'Dvd Calendar'!$E$341:$CZ$341,"&lt;="&amp;K$49),"")))</f>
        <v/>
      </c>
      <c r="L218" s="140">
        <f>IF(L$49="","",IF($B218="","",IFERROR(SUMIFS('Dvd Calendar'!$E$342:$CZ$342,'Dvd Calendar'!$E$341:$CZ$341,"&gt;"&amp;L$48,'Dvd Calendar'!$E$341:$CZ$341,"&lt;="&amp;L$49),"")))</f>
        <v/>
      </c>
      <c r="M218" s="140">
        <f>IF(M$49="","",IF($B218="","",IFERROR(SUMIFS('Dvd Calendar'!$E$342:$CZ$342,'Dvd Calendar'!$E$341:$CZ$341,"&gt;"&amp;M$48,'Dvd Calendar'!$E$341:$CZ$341,"&lt;="&amp;M$49),"")))</f>
        <v/>
      </c>
      <c r="N218" s="140">
        <f>IF(N$49="","",IF($B218="","",IFERROR(SUMIFS('Dvd Calendar'!$E$342:$CZ$342,'Dvd Calendar'!$E$341:$CZ$341,"&gt;"&amp;N$48,'Dvd Calendar'!$E$341:$CZ$341,"&lt;="&amp;N$49),"")))</f>
        <v/>
      </c>
      <c r="O218" s="140">
        <f>IF(O$49="","",IF($B218="","",IFERROR(SUMIFS('Dvd Calendar'!$E$342:$CZ$342,'Dvd Calendar'!$E$341:$CZ$341,"&gt;"&amp;O$48,'Dvd Calendar'!$E$341:$CZ$341,"&lt;="&amp;O$49),"")))</f>
        <v/>
      </c>
      <c r="P218" s="140">
        <f>IF(P$49="","",IF($B218="","",IFERROR(SUMIFS('Dvd Calendar'!$E$342:$CZ$342,'Dvd Calendar'!$E$341:$CZ$341,"&gt;"&amp;P$48,'Dvd Calendar'!$E$341:$CZ$341,"&lt;="&amp;P$49),"")))</f>
        <v/>
      </c>
      <c r="Q218" s="140">
        <f>IF(Q$49="","",IF($B218="","",IFERROR(SUMIFS('Dvd Calendar'!$E$342:$CZ$342,'Dvd Calendar'!$E$341:$CZ$341,"&gt;"&amp;Q$48,'Dvd Calendar'!$E$341:$CZ$341,"&lt;="&amp;Q$49),"")))</f>
        <v/>
      </c>
      <c r="R218" s="140">
        <f>IF(R$49="","",IF($B218="","",IFERROR(SUMIFS('Dvd Calendar'!$E$342:$CZ$342,'Dvd Calendar'!$E$341:$CZ$341,"&gt;"&amp;R$48,'Dvd Calendar'!$E$341:$CZ$341,"&lt;="&amp;R$49),"")))</f>
        <v/>
      </c>
    </row>
    <row r="219">
      <c r="B219" s="5">
        <f>IF(AS51!$C$174="","",AS51!$C$174)</f>
        <v/>
      </c>
      <c r="C219" s="140">
        <f>IF(C$49="","",IF($B219="","",IFERROR(SUMIFS('Dvd Calendar'!$E$344:$CZ$344,'Dvd Calendar'!$E$343:$CZ$343,"&gt;"&amp;C$48,'Dvd Calendar'!$E$343:$CZ$343,"&lt;="&amp;C$49),"")))</f>
        <v/>
      </c>
      <c r="D219" s="140">
        <f>IF(D$49="","",IF($B219="","",IFERROR(SUMIFS('Dvd Calendar'!$E$344:$CZ$344,'Dvd Calendar'!$E$343:$CZ$343,"&gt;"&amp;D$48,'Dvd Calendar'!$E$343:$CZ$343,"&lt;="&amp;D$49),"")))</f>
        <v/>
      </c>
      <c r="E219" s="140">
        <f>IF(E$49="","",IF($B219="","",IFERROR(SUMIFS('Dvd Calendar'!$E$344:$CZ$344,'Dvd Calendar'!$E$343:$CZ$343,"&gt;"&amp;E$48,'Dvd Calendar'!$E$343:$CZ$343,"&lt;="&amp;E$49),"")))</f>
        <v/>
      </c>
      <c r="F219" s="140">
        <f>IF(F$49="","",IF($B219="","",IFERROR(SUMIFS('Dvd Calendar'!$E$344:$CZ$344,'Dvd Calendar'!$E$343:$CZ$343,"&gt;"&amp;F$48,'Dvd Calendar'!$E$343:$CZ$343,"&lt;="&amp;F$49),"")))</f>
        <v/>
      </c>
      <c r="G219" s="140">
        <f>IF(G$49="","",IF($B219="","",IFERROR(SUMIFS('Dvd Calendar'!$E$344:$CZ$344,'Dvd Calendar'!$E$343:$CZ$343,"&gt;"&amp;G$48,'Dvd Calendar'!$E$343:$CZ$343,"&lt;="&amp;G$49),"")))</f>
        <v/>
      </c>
      <c r="H219" s="140">
        <f>IF(H$49="","",IF($B219="","",IFERROR(SUMIFS('Dvd Calendar'!$E$344:$CZ$344,'Dvd Calendar'!$E$343:$CZ$343,"&gt;"&amp;H$48,'Dvd Calendar'!$E$343:$CZ$343,"&lt;="&amp;H$49),"")))</f>
        <v/>
      </c>
      <c r="I219" s="140">
        <f>IF(I$49="","",IF($B219="","",IFERROR(SUMIFS('Dvd Calendar'!$E$344:$CZ$344,'Dvd Calendar'!$E$343:$CZ$343,"&gt;"&amp;I$48,'Dvd Calendar'!$E$343:$CZ$343,"&lt;="&amp;I$49),"")))</f>
        <v/>
      </c>
      <c r="J219" s="140">
        <f>IF(J$49="","",IF($B219="","",IFERROR(SUMIFS('Dvd Calendar'!$E$344:$CZ$344,'Dvd Calendar'!$E$343:$CZ$343,"&gt;"&amp;J$48,'Dvd Calendar'!$E$343:$CZ$343,"&lt;="&amp;J$49),"")))</f>
        <v/>
      </c>
      <c r="K219" s="140">
        <f>IF(K$49="","",IF($B219="","",IFERROR(SUMIFS('Dvd Calendar'!$E$344:$CZ$344,'Dvd Calendar'!$E$343:$CZ$343,"&gt;"&amp;K$48,'Dvd Calendar'!$E$343:$CZ$343,"&lt;="&amp;K$49),"")))</f>
        <v/>
      </c>
      <c r="L219" s="140">
        <f>IF(L$49="","",IF($B219="","",IFERROR(SUMIFS('Dvd Calendar'!$E$344:$CZ$344,'Dvd Calendar'!$E$343:$CZ$343,"&gt;"&amp;L$48,'Dvd Calendar'!$E$343:$CZ$343,"&lt;="&amp;L$49),"")))</f>
        <v/>
      </c>
      <c r="M219" s="140">
        <f>IF(M$49="","",IF($B219="","",IFERROR(SUMIFS('Dvd Calendar'!$E$344:$CZ$344,'Dvd Calendar'!$E$343:$CZ$343,"&gt;"&amp;M$48,'Dvd Calendar'!$E$343:$CZ$343,"&lt;="&amp;M$49),"")))</f>
        <v/>
      </c>
      <c r="N219" s="140">
        <f>IF(N$49="","",IF($B219="","",IFERROR(SUMIFS('Dvd Calendar'!$E$344:$CZ$344,'Dvd Calendar'!$E$343:$CZ$343,"&gt;"&amp;N$48,'Dvd Calendar'!$E$343:$CZ$343,"&lt;="&amp;N$49),"")))</f>
        <v/>
      </c>
      <c r="O219" s="140">
        <f>IF(O$49="","",IF($B219="","",IFERROR(SUMIFS('Dvd Calendar'!$E$344:$CZ$344,'Dvd Calendar'!$E$343:$CZ$343,"&gt;"&amp;O$48,'Dvd Calendar'!$E$343:$CZ$343,"&lt;="&amp;O$49),"")))</f>
        <v/>
      </c>
      <c r="P219" s="140">
        <f>IF(P$49="","",IF($B219="","",IFERROR(SUMIFS('Dvd Calendar'!$E$344:$CZ$344,'Dvd Calendar'!$E$343:$CZ$343,"&gt;"&amp;P$48,'Dvd Calendar'!$E$343:$CZ$343,"&lt;="&amp;P$49),"")))</f>
        <v/>
      </c>
      <c r="Q219" s="140">
        <f>IF(Q$49="","",IF($B219="","",IFERROR(SUMIFS('Dvd Calendar'!$E$344:$CZ$344,'Dvd Calendar'!$E$343:$CZ$343,"&gt;"&amp;Q$48,'Dvd Calendar'!$E$343:$CZ$343,"&lt;="&amp;Q$49),"")))</f>
        <v/>
      </c>
      <c r="R219" s="140">
        <f>IF(R$49="","",IF($B219="","",IFERROR(SUMIFS('Dvd Calendar'!$E$344:$CZ$344,'Dvd Calendar'!$E$343:$CZ$343,"&gt;"&amp;R$48,'Dvd Calendar'!$E$343:$CZ$343,"&lt;="&amp;R$49),"")))</f>
        <v/>
      </c>
    </row>
    <row r="220">
      <c r="B220" s="5">
        <f>IF(AS51!$C$175="","",AS51!$C$175)</f>
        <v/>
      </c>
      <c r="C220" s="140">
        <f>IF(C$49="","",IF($B220="","",IFERROR(SUMIFS('Dvd Calendar'!$E$346:$CZ$346,'Dvd Calendar'!$E$345:$CZ$345,"&gt;"&amp;C$48,'Dvd Calendar'!$E$345:$CZ$345,"&lt;="&amp;C$49),"")))</f>
        <v/>
      </c>
      <c r="D220" s="140">
        <f>IF(D$49="","",IF($B220="","",IFERROR(SUMIFS('Dvd Calendar'!$E$346:$CZ$346,'Dvd Calendar'!$E$345:$CZ$345,"&gt;"&amp;D$48,'Dvd Calendar'!$E$345:$CZ$345,"&lt;="&amp;D$49),"")))</f>
        <v/>
      </c>
      <c r="E220" s="140">
        <f>IF(E$49="","",IF($B220="","",IFERROR(SUMIFS('Dvd Calendar'!$E$346:$CZ$346,'Dvd Calendar'!$E$345:$CZ$345,"&gt;"&amp;E$48,'Dvd Calendar'!$E$345:$CZ$345,"&lt;="&amp;E$49),"")))</f>
        <v/>
      </c>
      <c r="F220" s="140">
        <f>IF(F$49="","",IF($B220="","",IFERROR(SUMIFS('Dvd Calendar'!$E$346:$CZ$346,'Dvd Calendar'!$E$345:$CZ$345,"&gt;"&amp;F$48,'Dvd Calendar'!$E$345:$CZ$345,"&lt;="&amp;F$49),"")))</f>
        <v/>
      </c>
      <c r="G220" s="140">
        <f>IF(G$49="","",IF($B220="","",IFERROR(SUMIFS('Dvd Calendar'!$E$346:$CZ$346,'Dvd Calendar'!$E$345:$CZ$345,"&gt;"&amp;G$48,'Dvd Calendar'!$E$345:$CZ$345,"&lt;="&amp;G$49),"")))</f>
        <v/>
      </c>
      <c r="H220" s="140">
        <f>IF(H$49="","",IF($B220="","",IFERROR(SUMIFS('Dvd Calendar'!$E$346:$CZ$346,'Dvd Calendar'!$E$345:$CZ$345,"&gt;"&amp;H$48,'Dvd Calendar'!$E$345:$CZ$345,"&lt;="&amp;H$49),"")))</f>
        <v/>
      </c>
      <c r="I220" s="140">
        <f>IF(I$49="","",IF($B220="","",IFERROR(SUMIFS('Dvd Calendar'!$E$346:$CZ$346,'Dvd Calendar'!$E$345:$CZ$345,"&gt;"&amp;I$48,'Dvd Calendar'!$E$345:$CZ$345,"&lt;="&amp;I$49),"")))</f>
        <v/>
      </c>
      <c r="J220" s="140">
        <f>IF(J$49="","",IF($B220="","",IFERROR(SUMIFS('Dvd Calendar'!$E$346:$CZ$346,'Dvd Calendar'!$E$345:$CZ$345,"&gt;"&amp;J$48,'Dvd Calendar'!$E$345:$CZ$345,"&lt;="&amp;J$49),"")))</f>
        <v/>
      </c>
      <c r="K220" s="140">
        <f>IF(K$49="","",IF($B220="","",IFERROR(SUMIFS('Dvd Calendar'!$E$346:$CZ$346,'Dvd Calendar'!$E$345:$CZ$345,"&gt;"&amp;K$48,'Dvd Calendar'!$E$345:$CZ$345,"&lt;="&amp;K$49),"")))</f>
        <v/>
      </c>
      <c r="L220" s="140">
        <f>IF(L$49="","",IF($B220="","",IFERROR(SUMIFS('Dvd Calendar'!$E$346:$CZ$346,'Dvd Calendar'!$E$345:$CZ$345,"&gt;"&amp;L$48,'Dvd Calendar'!$E$345:$CZ$345,"&lt;="&amp;L$49),"")))</f>
        <v/>
      </c>
      <c r="M220" s="140">
        <f>IF(M$49="","",IF($B220="","",IFERROR(SUMIFS('Dvd Calendar'!$E$346:$CZ$346,'Dvd Calendar'!$E$345:$CZ$345,"&gt;"&amp;M$48,'Dvd Calendar'!$E$345:$CZ$345,"&lt;="&amp;M$49),"")))</f>
        <v/>
      </c>
      <c r="N220" s="140">
        <f>IF(N$49="","",IF($B220="","",IFERROR(SUMIFS('Dvd Calendar'!$E$346:$CZ$346,'Dvd Calendar'!$E$345:$CZ$345,"&gt;"&amp;N$48,'Dvd Calendar'!$E$345:$CZ$345,"&lt;="&amp;N$49),"")))</f>
        <v/>
      </c>
      <c r="O220" s="140">
        <f>IF(O$49="","",IF($B220="","",IFERROR(SUMIFS('Dvd Calendar'!$E$346:$CZ$346,'Dvd Calendar'!$E$345:$CZ$345,"&gt;"&amp;O$48,'Dvd Calendar'!$E$345:$CZ$345,"&lt;="&amp;O$49),"")))</f>
        <v/>
      </c>
      <c r="P220" s="140">
        <f>IF(P$49="","",IF($B220="","",IFERROR(SUMIFS('Dvd Calendar'!$E$346:$CZ$346,'Dvd Calendar'!$E$345:$CZ$345,"&gt;"&amp;P$48,'Dvd Calendar'!$E$345:$CZ$345,"&lt;="&amp;P$49),"")))</f>
        <v/>
      </c>
      <c r="Q220" s="140">
        <f>IF(Q$49="","",IF($B220="","",IFERROR(SUMIFS('Dvd Calendar'!$E$346:$CZ$346,'Dvd Calendar'!$E$345:$CZ$345,"&gt;"&amp;Q$48,'Dvd Calendar'!$E$345:$CZ$345,"&lt;="&amp;Q$49),"")))</f>
        <v/>
      </c>
      <c r="R220" s="140">
        <f>IF(R$49="","",IF($B220="","",IFERROR(SUMIFS('Dvd Calendar'!$E$346:$CZ$346,'Dvd Calendar'!$E$345:$CZ$345,"&gt;"&amp;R$48,'Dvd Calendar'!$E$345:$CZ$345,"&lt;="&amp;R$49),"")))</f>
        <v/>
      </c>
    </row>
    <row r="221">
      <c r="B221" s="5">
        <f>IF(AS51!$C$176="","",AS51!$C$176)</f>
        <v/>
      </c>
      <c r="C221" s="140">
        <f>IF(C$49="","",IF($B221="","",IFERROR(SUMIFS('Dvd Calendar'!$E$348:$CZ$348,'Dvd Calendar'!$E$347:$CZ$347,"&gt;"&amp;C$48,'Dvd Calendar'!$E$347:$CZ$347,"&lt;="&amp;C$49),"")))</f>
        <v/>
      </c>
      <c r="D221" s="140">
        <f>IF(D$49="","",IF($B221="","",IFERROR(SUMIFS('Dvd Calendar'!$E$348:$CZ$348,'Dvd Calendar'!$E$347:$CZ$347,"&gt;"&amp;D$48,'Dvd Calendar'!$E$347:$CZ$347,"&lt;="&amp;D$49),"")))</f>
        <v/>
      </c>
      <c r="E221" s="140">
        <f>IF(E$49="","",IF($B221="","",IFERROR(SUMIFS('Dvd Calendar'!$E$348:$CZ$348,'Dvd Calendar'!$E$347:$CZ$347,"&gt;"&amp;E$48,'Dvd Calendar'!$E$347:$CZ$347,"&lt;="&amp;E$49),"")))</f>
        <v/>
      </c>
      <c r="F221" s="140">
        <f>IF(F$49="","",IF($B221="","",IFERROR(SUMIFS('Dvd Calendar'!$E$348:$CZ$348,'Dvd Calendar'!$E$347:$CZ$347,"&gt;"&amp;F$48,'Dvd Calendar'!$E$347:$CZ$347,"&lt;="&amp;F$49),"")))</f>
        <v/>
      </c>
      <c r="G221" s="140">
        <f>IF(G$49="","",IF($B221="","",IFERROR(SUMIFS('Dvd Calendar'!$E$348:$CZ$348,'Dvd Calendar'!$E$347:$CZ$347,"&gt;"&amp;G$48,'Dvd Calendar'!$E$347:$CZ$347,"&lt;="&amp;G$49),"")))</f>
        <v/>
      </c>
      <c r="H221" s="140">
        <f>IF(H$49="","",IF($B221="","",IFERROR(SUMIFS('Dvd Calendar'!$E$348:$CZ$348,'Dvd Calendar'!$E$347:$CZ$347,"&gt;"&amp;H$48,'Dvd Calendar'!$E$347:$CZ$347,"&lt;="&amp;H$49),"")))</f>
        <v/>
      </c>
      <c r="I221" s="140">
        <f>IF(I$49="","",IF($B221="","",IFERROR(SUMIFS('Dvd Calendar'!$E$348:$CZ$348,'Dvd Calendar'!$E$347:$CZ$347,"&gt;"&amp;I$48,'Dvd Calendar'!$E$347:$CZ$347,"&lt;="&amp;I$49),"")))</f>
        <v/>
      </c>
      <c r="J221" s="140">
        <f>IF(J$49="","",IF($B221="","",IFERROR(SUMIFS('Dvd Calendar'!$E$348:$CZ$348,'Dvd Calendar'!$E$347:$CZ$347,"&gt;"&amp;J$48,'Dvd Calendar'!$E$347:$CZ$347,"&lt;="&amp;J$49),"")))</f>
        <v/>
      </c>
      <c r="K221" s="140">
        <f>IF(K$49="","",IF($B221="","",IFERROR(SUMIFS('Dvd Calendar'!$E$348:$CZ$348,'Dvd Calendar'!$E$347:$CZ$347,"&gt;"&amp;K$48,'Dvd Calendar'!$E$347:$CZ$347,"&lt;="&amp;K$49),"")))</f>
        <v/>
      </c>
      <c r="L221" s="140">
        <f>IF(L$49="","",IF($B221="","",IFERROR(SUMIFS('Dvd Calendar'!$E$348:$CZ$348,'Dvd Calendar'!$E$347:$CZ$347,"&gt;"&amp;L$48,'Dvd Calendar'!$E$347:$CZ$347,"&lt;="&amp;L$49),"")))</f>
        <v/>
      </c>
      <c r="M221" s="140">
        <f>IF(M$49="","",IF($B221="","",IFERROR(SUMIFS('Dvd Calendar'!$E$348:$CZ$348,'Dvd Calendar'!$E$347:$CZ$347,"&gt;"&amp;M$48,'Dvd Calendar'!$E$347:$CZ$347,"&lt;="&amp;M$49),"")))</f>
        <v/>
      </c>
      <c r="N221" s="140">
        <f>IF(N$49="","",IF($B221="","",IFERROR(SUMIFS('Dvd Calendar'!$E$348:$CZ$348,'Dvd Calendar'!$E$347:$CZ$347,"&gt;"&amp;N$48,'Dvd Calendar'!$E$347:$CZ$347,"&lt;="&amp;N$49),"")))</f>
        <v/>
      </c>
      <c r="O221" s="140">
        <f>IF(O$49="","",IF($B221="","",IFERROR(SUMIFS('Dvd Calendar'!$E$348:$CZ$348,'Dvd Calendar'!$E$347:$CZ$347,"&gt;"&amp;O$48,'Dvd Calendar'!$E$347:$CZ$347,"&lt;="&amp;O$49),"")))</f>
        <v/>
      </c>
      <c r="P221" s="140">
        <f>IF(P$49="","",IF($B221="","",IFERROR(SUMIFS('Dvd Calendar'!$E$348:$CZ$348,'Dvd Calendar'!$E$347:$CZ$347,"&gt;"&amp;P$48,'Dvd Calendar'!$E$347:$CZ$347,"&lt;="&amp;P$49),"")))</f>
        <v/>
      </c>
      <c r="Q221" s="140">
        <f>IF(Q$49="","",IF($B221="","",IFERROR(SUMIFS('Dvd Calendar'!$E$348:$CZ$348,'Dvd Calendar'!$E$347:$CZ$347,"&gt;"&amp;Q$48,'Dvd Calendar'!$E$347:$CZ$347,"&lt;="&amp;Q$49),"")))</f>
        <v/>
      </c>
      <c r="R221" s="140">
        <f>IF(R$49="","",IF($B221="","",IFERROR(SUMIFS('Dvd Calendar'!$E$348:$CZ$348,'Dvd Calendar'!$E$347:$CZ$347,"&gt;"&amp;R$48,'Dvd Calendar'!$E$347:$CZ$347,"&lt;="&amp;R$49),"")))</f>
        <v/>
      </c>
    </row>
    <row r="222">
      <c r="B222" s="5">
        <f>IF(AS51!$C$177="","",AS51!$C$177)</f>
        <v/>
      </c>
      <c r="C222" s="140">
        <f>IF(C$49="","",IF($B222="","",IFERROR(SUMIFS('Dvd Calendar'!$E$350:$CZ$350,'Dvd Calendar'!$E$349:$CZ$349,"&gt;"&amp;C$48,'Dvd Calendar'!$E$349:$CZ$349,"&lt;="&amp;C$49),"")))</f>
        <v/>
      </c>
      <c r="D222" s="140">
        <f>IF(D$49="","",IF($B222="","",IFERROR(SUMIFS('Dvd Calendar'!$E$350:$CZ$350,'Dvd Calendar'!$E$349:$CZ$349,"&gt;"&amp;D$48,'Dvd Calendar'!$E$349:$CZ$349,"&lt;="&amp;D$49),"")))</f>
        <v/>
      </c>
      <c r="E222" s="140">
        <f>IF(E$49="","",IF($B222="","",IFERROR(SUMIFS('Dvd Calendar'!$E$350:$CZ$350,'Dvd Calendar'!$E$349:$CZ$349,"&gt;"&amp;E$48,'Dvd Calendar'!$E$349:$CZ$349,"&lt;="&amp;E$49),"")))</f>
        <v/>
      </c>
      <c r="F222" s="140">
        <f>IF(F$49="","",IF($B222="","",IFERROR(SUMIFS('Dvd Calendar'!$E$350:$CZ$350,'Dvd Calendar'!$E$349:$CZ$349,"&gt;"&amp;F$48,'Dvd Calendar'!$E$349:$CZ$349,"&lt;="&amp;F$49),"")))</f>
        <v/>
      </c>
      <c r="G222" s="140">
        <f>IF(G$49="","",IF($B222="","",IFERROR(SUMIFS('Dvd Calendar'!$E$350:$CZ$350,'Dvd Calendar'!$E$349:$CZ$349,"&gt;"&amp;G$48,'Dvd Calendar'!$E$349:$CZ$349,"&lt;="&amp;G$49),"")))</f>
        <v/>
      </c>
      <c r="H222" s="140">
        <f>IF(H$49="","",IF($B222="","",IFERROR(SUMIFS('Dvd Calendar'!$E$350:$CZ$350,'Dvd Calendar'!$E$349:$CZ$349,"&gt;"&amp;H$48,'Dvd Calendar'!$E$349:$CZ$349,"&lt;="&amp;H$49),"")))</f>
        <v/>
      </c>
      <c r="I222" s="140">
        <f>IF(I$49="","",IF($B222="","",IFERROR(SUMIFS('Dvd Calendar'!$E$350:$CZ$350,'Dvd Calendar'!$E$349:$CZ$349,"&gt;"&amp;I$48,'Dvd Calendar'!$E$349:$CZ$349,"&lt;="&amp;I$49),"")))</f>
        <v/>
      </c>
      <c r="J222" s="140">
        <f>IF(J$49="","",IF($B222="","",IFERROR(SUMIFS('Dvd Calendar'!$E$350:$CZ$350,'Dvd Calendar'!$E$349:$CZ$349,"&gt;"&amp;J$48,'Dvd Calendar'!$E$349:$CZ$349,"&lt;="&amp;J$49),"")))</f>
        <v/>
      </c>
      <c r="K222" s="140">
        <f>IF(K$49="","",IF($B222="","",IFERROR(SUMIFS('Dvd Calendar'!$E$350:$CZ$350,'Dvd Calendar'!$E$349:$CZ$349,"&gt;"&amp;K$48,'Dvd Calendar'!$E$349:$CZ$349,"&lt;="&amp;K$49),"")))</f>
        <v/>
      </c>
      <c r="L222" s="140">
        <f>IF(L$49="","",IF($B222="","",IFERROR(SUMIFS('Dvd Calendar'!$E$350:$CZ$350,'Dvd Calendar'!$E$349:$CZ$349,"&gt;"&amp;L$48,'Dvd Calendar'!$E$349:$CZ$349,"&lt;="&amp;L$49),"")))</f>
        <v/>
      </c>
      <c r="M222" s="140">
        <f>IF(M$49="","",IF($B222="","",IFERROR(SUMIFS('Dvd Calendar'!$E$350:$CZ$350,'Dvd Calendar'!$E$349:$CZ$349,"&gt;"&amp;M$48,'Dvd Calendar'!$E$349:$CZ$349,"&lt;="&amp;M$49),"")))</f>
        <v/>
      </c>
      <c r="N222" s="140">
        <f>IF(N$49="","",IF($B222="","",IFERROR(SUMIFS('Dvd Calendar'!$E$350:$CZ$350,'Dvd Calendar'!$E$349:$CZ$349,"&gt;"&amp;N$48,'Dvd Calendar'!$E$349:$CZ$349,"&lt;="&amp;N$49),"")))</f>
        <v/>
      </c>
      <c r="O222" s="140">
        <f>IF(O$49="","",IF($B222="","",IFERROR(SUMIFS('Dvd Calendar'!$E$350:$CZ$350,'Dvd Calendar'!$E$349:$CZ$349,"&gt;"&amp;O$48,'Dvd Calendar'!$E$349:$CZ$349,"&lt;="&amp;O$49),"")))</f>
        <v/>
      </c>
      <c r="P222" s="140">
        <f>IF(P$49="","",IF($B222="","",IFERROR(SUMIFS('Dvd Calendar'!$E$350:$CZ$350,'Dvd Calendar'!$E$349:$CZ$349,"&gt;"&amp;P$48,'Dvd Calendar'!$E$349:$CZ$349,"&lt;="&amp;P$49),"")))</f>
        <v/>
      </c>
      <c r="Q222" s="140">
        <f>IF(Q$49="","",IF($B222="","",IFERROR(SUMIFS('Dvd Calendar'!$E$350:$CZ$350,'Dvd Calendar'!$E$349:$CZ$349,"&gt;"&amp;Q$48,'Dvd Calendar'!$E$349:$CZ$349,"&lt;="&amp;Q$49),"")))</f>
        <v/>
      </c>
      <c r="R222" s="140">
        <f>IF(R$49="","",IF($B222="","",IFERROR(SUMIFS('Dvd Calendar'!$E$350:$CZ$350,'Dvd Calendar'!$E$349:$CZ$349,"&gt;"&amp;R$48,'Dvd Calendar'!$E$349:$CZ$349,"&lt;="&amp;R$49),"")))</f>
        <v/>
      </c>
    </row>
    <row r="223">
      <c r="B223" s="5">
        <f>IF(AS51!$C$178="","",AS51!$C$178)</f>
        <v/>
      </c>
      <c r="C223" s="140">
        <f>IF(C$49="","",IF($B223="","",IFERROR(SUMIFS('Dvd Calendar'!$E$352:$CZ$352,'Dvd Calendar'!$E$351:$CZ$351,"&gt;"&amp;C$48,'Dvd Calendar'!$E$351:$CZ$351,"&lt;="&amp;C$49),"")))</f>
        <v/>
      </c>
      <c r="D223" s="140">
        <f>IF(D$49="","",IF($B223="","",IFERROR(SUMIFS('Dvd Calendar'!$E$352:$CZ$352,'Dvd Calendar'!$E$351:$CZ$351,"&gt;"&amp;D$48,'Dvd Calendar'!$E$351:$CZ$351,"&lt;="&amp;D$49),"")))</f>
        <v/>
      </c>
      <c r="E223" s="140">
        <f>IF(E$49="","",IF($B223="","",IFERROR(SUMIFS('Dvd Calendar'!$E$352:$CZ$352,'Dvd Calendar'!$E$351:$CZ$351,"&gt;"&amp;E$48,'Dvd Calendar'!$E$351:$CZ$351,"&lt;="&amp;E$49),"")))</f>
        <v/>
      </c>
      <c r="F223" s="140">
        <f>IF(F$49="","",IF($B223="","",IFERROR(SUMIFS('Dvd Calendar'!$E$352:$CZ$352,'Dvd Calendar'!$E$351:$CZ$351,"&gt;"&amp;F$48,'Dvd Calendar'!$E$351:$CZ$351,"&lt;="&amp;F$49),"")))</f>
        <v/>
      </c>
      <c r="G223" s="140">
        <f>IF(G$49="","",IF($B223="","",IFERROR(SUMIFS('Dvd Calendar'!$E$352:$CZ$352,'Dvd Calendar'!$E$351:$CZ$351,"&gt;"&amp;G$48,'Dvd Calendar'!$E$351:$CZ$351,"&lt;="&amp;G$49),"")))</f>
        <v/>
      </c>
      <c r="H223" s="140">
        <f>IF(H$49="","",IF($B223="","",IFERROR(SUMIFS('Dvd Calendar'!$E$352:$CZ$352,'Dvd Calendar'!$E$351:$CZ$351,"&gt;"&amp;H$48,'Dvd Calendar'!$E$351:$CZ$351,"&lt;="&amp;H$49),"")))</f>
        <v/>
      </c>
      <c r="I223" s="140">
        <f>IF(I$49="","",IF($B223="","",IFERROR(SUMIFS('Dvd Calendar'!$E$352:$CZ$352,'Dvd Calendar'!$E$351:$CZ$351,"&gt;"&amp;I$48,'Dvd Calendar'!$E$351:$CZ$351,"&lt;="&amp;I$49),"")))</f>
        <v/>
      </c>
      <c r="J223" s="140">
        <f>IF(J$49="","",IF($B223="","",IFERROR(SUMIFS('Dvd Calendar'!$E$352:$CZ$352,'Dvd Calendar'!$E$351:$CZ$351,"&gt;"&amp;J$48,'Dvd Calendar'!$E$351:$CZ$351,"&lt;="&amp;J$49),"")))</f>
        <v/>
      </c>
      <c r="K223" s="140">
        <f>IF(K$49="","",IF($B223="","",IFERROR(SUMIFS('Dvd Calendar'!$E$352:$CZ$352,'Dvd Calendar'!$E$351:$CZ$351,"&gt;"&amp;K$48,'Dvd Calendar'!$E$351:$CZ$351,"&lt;="&amp;K$49),"")))</f>
        <v/>
      </c>
      <c r="L223" s="140">
        <f>IF(L$49="","",IF($B223="","",IFERROR(SUMIFS('Dvd Calendar'!$E$352:$CZ$352,'Dvd Calendar'!$E$351:$CZ$351,"&gt;"&amp;L$48,'Dvd Calendar'!$E$351:$CZ$351,"&lt;="&amp;L$49),"")))</f>
        <v/>
      </c>
      <c r="M223" s="140">
        <f>IF(M$49="","",IF($B223="","",IFERROR(SUMIFS('Dvd Calendar'!$E$352:$CZ$352,'Dvd Calendar'!$E$351:$CZ$351,"&gt;"&amp;M$48,'Dvd Calendar'!$E$351:$CZ$351,"&lt;="&amp;M$49),"")))</f>
        <v/>
      </c>
      <c r="N223" s="140">
        <f>IF(N$49="","",IF($B223="","",IFERROR(SUMIFS('Dvd Calendar'!$E$352:$CZ$352,'Dvd Calendar'!$E$351:$CZ$351,"&gt;"&amp;N$48,'Dvd Calendar'!$E$351:$CZ$351,"&lt;="&amp;N$49),"")))</f>
        <v/>
      </c>
      <c r="O223" s="140">
        <f>IF(O$49="","",IF($B223="","",IFERROR(SUMIFS('Dvd Calendar'!$E$352:$CZ$352,'Dvd Calendar'!$E$351:$CZ$351,"&gt;"&amp;O$48,'Dvd Calendar'!$E$351:$CZ$351,"&lt;="&amp;O$49),"")))</f>
        <v/>
      </c>
      <c r="P223" s="140">
        <f>IF(P$49="","",IF($B223="","",IFERROR(SUMIFS('Dvd Calendar'!$E$352:$CZ$352,'Dvd Calendar'!$E$351:$CZ$351,"&gt;"&amp;P$48,'Dvd Calendar'!$E$351:$CZ$351,"&lt;="&amp;P$49),"")))</f>
        <v/>
      </c>
      <c r="Q223" s="140">
        <f>IF(Q$49="","",IF($B223="","",IFERROR(SUMIFS('Dvd Calendar'!$E$352:$CZ$352,'Dvd Calendar'!$E$351:$CZ$351,"&gt;"&amp;Q$48,'Dvd Calendar'!$E$351:$CZ$351,"&lt;="&amp;Q$49),"")))</f>
        <v/>
      </c>
      <c r="R223" s="140">
        <f>IF(R$49="","",IF($B223="","",IFERROR(SUMIFS('Dvd Calendar'!$E$352:$CZ$352,'Dvd Calendar'!$E$351:$CZ$351,"&gt;"&amp;R$48,'Dvd Calendar'!$E$351:$CZ$351,"&lt;="&amp;R$49),"")))</f>
        <v/>
      </c>
    </row>
    <row r="224">
      <c r="B224" s="5">
        <f>IF(AS51!$C$179="","",AS51!$C$179)</f>
        <v/>
      </c>
      <c r="C224" s="140">
        <f>IF(C$49="","",IF($B224="","",IFERROR(SUMIFS('Dvd Calendar'!$E$354:$CZ$354,'Dvd Calendar'!$E$353:$CZ$353,"&gt;"&amp;C$48,'Dvd Calendar'!$E$353:$CZ$353,"&lt;="&amp;C$49),"")))</f>
        <v/>
      </c>
      <c r="D224" s="140">
        <f>IF(D$49="","",IF($B224="","",IFERROR(SUMIFS('Dvd Calendar'!$E$354:$CZ$354,'Dvd Calendar'!$E$353:$CZ$353,"&gt;"&amp;D$48,'Dvd Calendar'!$E$353:$CZ$353,"&lt;="&amp;D$49),"")))</f>
        <v/>
      </c>
      <c r="E224" s="140">
        <f>IF(E$49="","",IF($B224="","",IFERROR(SUMIFS('Dvd Calendar'!$E$354:$CZ$354,'Dvd Calendar'!$E$353:$CZ$353,"&gt;"&amp;E$48,'Dvd Calendar'!$E$353:$CZ$353,"&lt;="&amp;E$49),"")))</f>
        <v/>
      </c>
      <c r="F224" s="140">
        <f>IF(F$49="","",IF($B224="","",IFERROR(SUMIFS('Dvd Calendar'!$E$354:$CZ$354,'Dvd Calendar'!$E$353:$CZ$353,"&gt;"&amp;F$48,'Dvd Calendar'!$E$353:$CZ$353,"&lt;="&amp;F$49),"")))</f>
        <v/>
      </c>
      <c r="G224" s="140">
        <f>IF(G$49="","",IF($B224="","",IFERROR(SUMIFS('Dvd Calendar'!$E$354:$CZ$354,'Dvd Calendar'!$E$353:$CZ$353,"&gt;"&amp;G$48,'Dvd Calendar'!$E$353:$CZ$353,"&lt;="&amp;G$49),"")))</f>
        <v/>
      </c>
      <c r="H224" s="140">
        <f>IF(H$49="","",IF($B224="","",IFERROR(SUMIFS('Dvd Calendar'!$E$354:$CZ$354,'Dvd Calendar'!$E$353:$CZ$353,"&gt;"&amp;H$48,'Dvd Calendar'!$E$353:$CZ$353,"&lt;="&amp;H$49),"")))</f>
        <v/>
      </c>
      <c r="I224" s="140">
        <f>IF(I$49="","",IF($B224="","",IFERROR(SUMIFS('Dvd Calendar'!$E$354:$CZ$354,'Dvd Calendar'!$E$353:$CZ$353,"&gt;"&amp;I$48,'Dvd Calendar'!$E$353:$CZ$353,"&lt;="&amp;I$49),"")))</f>
        <v/>
      </c>
      <c r="J224" s="140">
        <f>IF(J$49="","",IF($B224="","",IFERROR(SUMIFS('Dvd Calendar'!$E$354:$CZ$354,'Dvd Calendar'!$E$353:$CZ$353,"&gt;"&amp;J$48,'Dvd Calendar'!$E$353:$CZ$353,"&lt;="&amp;J$49),"")))</f>
        <v/>
      </c>
      <c r="K224" s="140">
        <f>IF(K$49="","",IF($B224="","",IFERROR(SUMIFS('Dvd Calendar'!$E$354:$CZ$354,'Dvd Calendar'!$E$353:$CZ$353,"&gt;"&amp;K$48,'Dvd Calendar'!$E$353:$CZ$353,"&lt;="&amp;K$49),"")))</f>
        <v/>
      </c>
      <c r="L224" s="140">
        <f>IF(L$49="","",IF($B224="","",IFERROR(SUMIFS('Dvd Calendar'!$E$354:$CZ$354,'Dvd Calendar'!$E$353:$CZ$353,"&gt;"&amp;L$48,'Dvd Calendar'!$E$353:$CZ$353,"&lt;="&amp;L$49),"")))</f>
        <v/>
      </c>
      <c r="M224" s="140">
        <f>IF(M$49="","",IF($B224="","",IFERROR(SUMIFS('Dvd Calendar'!$E$354:$CZ$354,'Dvd Calendar'!$E$353:$CZ$353,"&gt;"&amp;M$48,'Dvd Calendar'!$E$353:$CZ$353,"&lt;="&amp;M$49),"")))</f>
        <v/>
      </c>
      <c r="N224" s="140">
        <f>IF(N$49="","",IF($B224="","",IFERROR(SUMIFS('Dvd Calendar'!$E$354:$CZ$354,'Dvd Calendar'!$E$353:$CZ$353,"&gt;"&amp;N$48,'Dvd Calendar'!$E$353:$CZ$353,"&lt;="&amp;N$49),"")))</f>
        <v/>
      </c>
      <c r="O224" s="140">
        <f>IF(O$49="","",IF($B224="","",IFERROR(SUMIFS('Dvd Calendar'!$E$354:$CZ$354,'Dvd Calendar'!$E$353:$CZ$353,"&gt;"&amp;O$48,'Dvd Calendar'!$E$353:$CZ$353,"&lt;="&amp;O$49),"")))</f>
        <v/>
      </c>
      <c r="P224" s="140">
        <f>IF(P$49="","",IF($B224="","",IFERROR(SUMIFS('Dvd Calendar'!$E$354:$CZ$354,'Dvd Calendar'!$E$353:$CZ$353,"&gt;"&amp;P$48,'Dvd Calendar'!$E$353:$CZ$353,"&lt;="&amp;P$49),"")))</f>
        <v/>
      </c>
      <c r="Q224" s="140">
        <f>IF(Q$49="","",IF($B224="","",IFERROR(SUMIFS('Dvd Calendar'!$E$354:$CZ$354,'Dvd Calendar'!$E$353:$CZ$353,"&gt;"&amp;Q$48,'Dvd Calendar'!$E$353:$CZ$353,"&lt;="&amp;Q$49),"")))</f>
        <v/>
      </c>
      <c r="R224" s="140">
        <f>IF(R$49="","",IF($B224="","",IFERROR(SUMIFS('Dvd Calendar'!$E$354:$CZ$354,'Dvd Calendar'!$E$353:$CZ$353,"&gt;"&amp;R$48,'Dvd Calendar'!$E$353:$CZ$353,"&lt;="&amp;R$49),"")))</f>
        <v/>
      </c>
    </row>
    <row r="225">
      <c r="B225" s="5">
        <f>IF(AS51!$C$180="","",AS51!$C$180)</f>
        <v/>
      </c>
      <c r="C225" s="140">
        <f>IF(C$49="","",IF($B225="","",IFERROR(SUMIFS('Dvd Calendar'!$E$356:$CZ$356,'Dvd Calendar'!$E$355:$CZ$355,"&gt;"&amp;C$48,'Dvd Calendar'!$E$355:$CZ$355,"&lt;="&amp;C$49),"")))</f>
        <v/>
      </c>
      <c r="D225" s="140">
        <f>IF(D$49="","",IF($B225="","",IFERROR(SUMIFS('Dvd Calendar'!$E$356:$CZ$356,'Dvd Calendar'!$E$355:$CZ$355,"&gt;"&amp;D$48,'Dvd Calendar'!$E$355:$CZ$355,"&lt;="&amp;D$49),"")))</f>
        <v/>
      </c>
      <c r="E225" s="140">
        <f>IF(E$49="","",IF($B225="","",IFERROR(SUMIFS('Dvd Calendar'!$E$356:$CZ$356,'Dvd Calendar'!$E$355:$CZ$355,"&gt;"&amp;E$48,'Dvd Calendar'!$E$355:$CZ$355,"&lt;="&amp;E$49),"")))</f>
        <v/>
      </c>
      <c r="F225" s="140">
        <f>IF(F$49="","",IF($B225="","",IFERROR(SUMIFS('Dvd Calendar'!$E$356:$CZ$356,'Dvd Calendar'!$E$355:$CZ$355,"&gt;"&amp;F$48,'Dvd Calendar'!$E$355:$CZ$355,"&lt;="&amp;F$49),"")))</f>
        <v/>
      </c>
      <c r="G225" s="140">
        <f>IF(G$49="","",IF($B225="","",IFERROR(SUMIFS('Dvd Calendar'!$E$356:$CZ$356,'Dvd Calendar'!$E$355:$CZ$355,"&gt;"&amp;G$48,'Dvd Calendar'!$E$355:$CZ$355,"&lt;="&amp;G$49),"")))</f>
        <v/>
      </c>
      <c r="H225" s="140">
        <f>IF(H$49="","",IF($B225="","",IFERROR(SUMIFS('Dvd Calendar'!$E$356:$CZ$356,'Dvd Calendar'!$E$355:$CZ$355,"&gt;"&amp;H$48,'Dvd Calendar'!$E$355:$CZ$355,"&lt;="&amp;H$49),"")))</f>
        <v/>
      </c>
      <c r="I225" s="140">
        <f>IF(I$49="","",IF($B225="","",IFERROR(SUMIFS('Dvd Calendar'!$E$356:$CZ$356,'Dvd Calendar'!$E$355:$CZ$355,"&gt;"&amp;I$48,'Dvd Calendar'!$E$355:$CZ$355,"&lt;="&amp;I$49),"")))</f>
        <v/>
      </c>
      <c r="J225" s="140">
        <f>IF(J$49="","",IF($B225="","",IFERROR(SUMIFS('Dvd Calendar'!$E$356:$CZ$356,'Dvd Calendar'!$E$355:$CZ$355,"&gt;"&amp;J$48,'Dvd Calendar'!$E$355:$CZ$355,"&lt;="&amp;J$49),"")))</f>
        <v/>
      </c>
      <c r="K225" s="140">
        <f>IF(K$49="","",IF($B225="","",IFERROR(SUMIFS('Dvd Calendar'!$E$356:$CZ$356,'Dvd Calendar'!$E$355:$CZ$355,"&gt;"&amp;K$48,'Dvd Calendar'!$E$355:$CZ$355,"&lt;="&amp;K$49),"")))</f>
        <v/>
      </c>
      <c r="L225" s="140">
        <f>IF(L$49="","",IF($B225="","",IFERROR(SUMIFS('Dvd Calendar'!$E$356:$CZ$356,'Dvd Calendar'!$E$355:$CZ$355,"&gt;"&amp;L$48,'Dvd Calendar'!$E$355:$CZ$355,"&lt;="&amp;L$49),"")))</f>
        <v/>
      </c>
      <c r="M225" s="140">
        <f>IF(M$49="","",IF($B225="","",IFERROR(SUMIFS('Dvd Calendar'!$E$356:$CZ$356,'Dvd Calendar'!$E$355:$CZ$355,"&gt;"&amp;M$48,'Dvd Calendar'!$E$355:$CZ$355,"&lt;="&amp;M$49),"")))</f>
        <v/>
      </c>
      <c r="N225" s="140">
        <f>IF(N$49="","",IF($B225="","",IFERROR(SUMIFS('Dvd Calendar'!$E$356:$CZ$356,'Dvd Calendar'!$E$355:$CZ$355,"&gt;"&amp;N$48,'Dvd Calendar'!$E$355:$CZ$355,"&lt;="&amp;N$49),"")))</f>
        <v/>
      </c>
      <c r="O225" s="140">
        <f>IF(O$49="","",IF($B225="","",IFERROR(SUMIFS('Dvd Calendar'!$E$356:$CZ$356,'Dvd Calendar'!$E$355:$CZ$355,"&gt;"&amp;O$48,'Dvd Calendar'!$E$355:$CZ$355,"&lt;="&amp;O$49),"")))</f>
        <v/>
      </c>
      <c r="P225" s="140">
        <f>IF(P$49="","",IF($B225="","",IFERROR(SUMIFS('Dvd Calendar'!$E$356:$CZ$356,'Dvd Calendar'!$E$355:$CZ$355,"&gt;"&amp;P$48,'Dvd Calendar'!$E$355:$CZ$355,"&lt;="&amp;P$49),"")))</f>
        <v/>
      </c>
      <c r="Q225" s="140">
        <f>IF(Q$49="","",IF($B225="","",IFERROR(SUMIFS('Dvd Calendar'!$E$356:$CZ$356,'Dvd Calendar'!$E$355:$CZ$355,"&gt;"&amp;Q$48,'Dvd Calendar'!$E$355:$CZ$355,"&lt;="&amp;Q$49),"")))</f>
        <v/>
      </c>
      <c r="R225" s="140">
        <f>IF(R$49="","",IF($B225="","",IFERROR(SUMIFS('Dvd Calendar'!$E$356:$CZ$356,'Dvd Calendar'!$E$355:$CZ$355,"&gt;"&amp;R$48,'Dvd Calendar'!$E$355:$CZ$355,"&lt;="&amp;R$49),"")))</f>
        <v/>
      </c>
    </row>
    <row r="226">
      <c r="B226" s="5">
        <f>IF(AS51!$C$181="","",AS51!$C$181)</f>
        <v/>
      </c>
      <c r="C226" s="140">
        <f>IF(C$49="","",IF($B226="","",IFERROR(SUMIFS('Dvd Calendar'!$E$358:$CZ$358,'Dvd Calendar'!$E$357:$CZ$357,"&gt;"&amp;C$48,'Dvd Calendar'!$E$357:$CZ$357,"&lt;="&amp;C$49),"")))</f>
        <v/>
      </c>
      <c r="D226" s="140">
        <f>IF(D$49="","",IF($B226="","",IFERROR(SUMIFS('Dvd Calendar'!$E$358:$CZ$358,'Dvd Calendar'!$E$357:$CZ$357,"&gt;"&amp;D$48,'Dvd Calendar'!$E$357:$CZ$357,"&lt;="&amp;D$49),"")))</f>
        <v/>
      </c>
      <c r="E226" s="140">
        <f>IF(E$49="","",IF($B226="","",IFERROR(SUMIFS('Dvd Calendar'!$E$358:$CZ$358,'Dvd Calendar'!$E$357:$CZ$357,"&gt;"&amp;E$48,'Dvd Calendar'!$E$357:$CZ$357,"&lt;="&amp;E$49),"")))</f>
        <v/>
      </c>
      <c r="F226" s="140">
        <f>IF(F$49="","",IF($B226="","",IFERROR(SUMIFS('Dvd Calendar'!$E$358:$CZ$358,'Dvd Calendar'!$E$357:$CZ$357,"&gt;"&amp;F$48,'Dvd Calendar'!$E$357:$CZ$357,"&lt;="&amp;F$49),"")))</f>
        <v/>
      </c>
      <c r="G226" s="140">
        <f>IF(G$49="","",IF($B226="","",IFERROR(SUMIFS('Dvd Calendar'!$E$358:$CZ$358,'Dvd Calendar'!$E$357:$CZ$357,"&gt;"&amp;G$48,'Dvd Calendar'!$E$357:$CZ$357,"&lt;="&amp;G$49),"")))</f>
        <v/>
      </c>
      <c r="H226" s="140">
        <f>IF(H$49="","",IF($B226="","",IFERROR(SUMIFS('Dvd Calendar'!$E$358:$CZ$358,'Dvd Calendar'!$E$357:$CZ$357,"&gt;"&amp;H$48,'Dvd Calendar'!$E$357:$CZ$357,"&lt;="&amp;H$49),"")))</f>
        <v/>
      </c>
      <c r="I226" s="140">
        <f>IF(I$49="","",IF($B226="","",IFERROR(SUMIFS('Dvd Calendar'!$E$358:$CZ$358,'Dvd Calendar'!$E$357:$CZ$357,"&gt;"&amp;I$48,'Dvd Calendar'!$E$357:$CZ$357,"&lt;="&amp;I$49),"")))</f>
        <v/>
      </c>
      <c r="J226" s="140">
        <f>IF(J$49="","",IF($B226="","",IFERROR(SUMIFS('Dvd Calendar'!$E$358:$CZ$358,'Dvd Calendar'!$E$357:$CZ$357,"&gt;"&amp;J$48,'Dvd Calendar'!$E$357:$CZ$357,"&lt;="&amp;J$49),"")))</f>
        <v/>
      </c>
      <c r="K226" s="140">
        <f>IF(K$49="","",IF($B226="","",IFERROR(SUMIFS('Dvd Calendar'!$E$358:$CZ$358,'Dvd Calendar'!$E$357:$CZ$357,"&gt;"&amp;K$48,'Dvd Calendar'!$E$357:$CZ$357,"&lt;="&amp;K$49),"")))</f>
        <v/>
      </c>
      <c r="L226" s="140">
        <f>IF(L$49="","",IF($B226="","",IFERROR(SUMIFS('Dvd Calendar'!$E$358:$CZ$358,'Dvd Calendar'!$E$357:$CZ$357,"&gt;"&amp;L$48,'Dvd Calendar'!$E$357:$CZ$357,"&lt;="&amp;L$49),"")))</f>
        <v/>
      </c>
      <c r="M226" s="140">
        <f>IF(M$49="","",IF($B226="","",IFERROR(SUMIFS('Dvd Calendar'!$E$358:$CZ$358,'Dvd Calendar'!$E$357:$CZ$357,"&gt;"&amp;M$48,'Dvd Calendar'!$E$357:$CZ$357,"&lt;="&amp;M$49),"")))</f>
        <v/>
      </c>
      <c r="N226" s="140">
        <f>IF(N$49="","",IF($B226="","",IFERROR(SUMIFS('Dvd Calendar'!$E$358:$CZ$358,'Dvd Calendar'!$E$357:$CZ$357,"&gt;"&amp;N$48,'Dvd Calendar'!$E$357:$CZ$357,"&lt;="&amp;N$49),"")))</f>
        <v/>
      </c>
      <c r="O226" s="140">
        <f>IF(O$49="","",IF($B226="","",IFERROR(SUMIFS('Dvd Calendar'!$E$358:$CZ$358,'Dvd Calendar'!$E$357:$CZ$357,"&gt;"&amp;O$48,'Dvd Calendar'!$E$357:$CZ$357,"&lt;="&amp;O$49),"")))</f>
        <v/>
      </c>
      <c r="P226" s="140">
        <f>IF(P$49="","",IF($B226="","",IFERROR(SUMIFS('Dvd Calendar'!$E$358:$CZ$358,'Dvd Calendar'!$E$357:$CZ$357,"&gt;"&amp;P$48,'Dvd Calendar'!$E$357:$CZ$357,"&lt;="&amp;P$49),"")))</f>
        <v/>
      </c>
      <c r="Q226" s="140">
        <f>IF(Q$49="","",IF($B226="","",IFERROR(SUMIFS('Dvd Calendar'!$E$358:$CZ$358,'Dvd Calendar'!$E$357:$CZ$357,"&gt;"&amp;Q$48,'Dvd Calendar'!$E$357:$CZ$357,"&lt;="&amp;Q$49),"")))</f>
        <v/>
      </c>
      <c r="R226" s="140">
        <f>IF(R$49="","",IF($B226="","",IFERROR(SUMIFS('Dvd Calendar'!$E$358:$CZ$358,'Dvd Calendar'!$E$357:$CZ$357,"&gt;"&amp;R$48,'Dvd Calendar'!$E$357:$CZ$357,"&lt;="&amp;R$49),"")))</f>
        <v/>
      </c>
    </row>
    <row r="227">
      <c r="B227" s="5">
        <f>IF(AS51!$C$182="","",AS51!$C$182)</f>
        <v/>
      </c>
      <c r="C227" s="140">
        <f>IF(C$49="","",IF($B227="","",IFERROR(SUMIFS('Dvd Calendar'!$E$360:$CZ$360,'Dvd Calendar'!$E$359:$CZ$359,"&gt;"&amp;C$48,'Dvd Calendar'!$E$359:$CZ$359,"&lt;="&amp;C$49),"")))</f>
        <v/>
      </c>
      <c r="D227" s="140">
        <f>IF(D$49="","",IF($B227="","",IFERROR(SUMIFS('Dvd Calendar'!$E$360:$CZ$360,'Dvd Calendar'!$E$359:$CZ$359,"&gt;"&amp;D$48,'Dvd Calendar'!$E$359:$CZ$359,"&lt;="&amp;D$49),"")))</f>
        <v/>
      </c>
      <c r="E227" s="140">
        <f>IF(E$49="","",IF($B227="","",IFERROR(SUMIFS('Dvd Calendar'!$E$360:$CZ$360,'Dvd Calendar'!$E$359:$CZ$359,"&gt;"&amp;E$48,'Dvd Calendar'!$E$359:$CZ$359,"&lt;="&amp;E$49),"")))</f>
        <v/>
      </c>
      <c r="F227" s="140">
        <f>IF(F$49="","",IF($B227="","",IFERROR(SUMIFS('Dvd Calendar'!$E$360:$CZ$360,'Dvd Calendar'!$E$359:$CZ$359,"&gt;"&amp;F$48,'Dvd Calendar'!$E$359:$CZ$359,"&lt;="&amp;F$49),"")))</f>
        <v/>
      </c>
      <c r="G227" s="140">
        <f>IF(G$49="","",IF($B227="","",IFERROR(SUMIFS('Dvd Calendar'!$E$360:$CZ$360,'Dvd Calendar'!$E$359:$CZ$359,"&gt;"&amp;G$48,'Dvd Calendar'!$E$359:$CZ$359,"&lt;="&amp;G$49),"")))</f>
        <v/>
      </c>
      <c r="H227" s="140">
        <f>IF(H$49="","",IF($B227="","",IFERROR(SUMIFS('Dvd Calendar'!$E$360:$CZ$360,'Dvd Calendar'!$E$359:$CZ$359,"&gt;"&amp;H$48,'Dvd Calendar'!$E$359:$CZ$359,"&lt;="&amp;H$49),"")))</f>
        <v/>
      </c>
      <c r="I227" s="140">
        <f>IF(I$49="","",IF($B227="","",IFERROR(SUMIFS('Dvd Calendar'!$E$360:$CZ$360,'Dvd Calendar'!$E$359:$CZ$359,"&gt;"&amp;I$48,'Dvd Calendar'!$E$359:$CZ$359,"&lt;="&amp;I$49),"")))</f>
        <v/>
      </c>
      <c r="J227" s="140">
        <f>IF(J$49="","",IF($B227="","",IFERROR(SUMIFS('Dvd Calendar'!$E$360:$CZ$360,'Dvd Calendar'!$E$359:$CZ$359,"&gt;"&amp;J$48,'Dvd Calendar'!$E$359:$CZ$359,"&lt;="&amp;J$49),"")))</f>
        <v/>
      </c>
      <c r="K227" s="140">
        <f>IF(K$49="","",IF($B227="","",IFERROR(SUMIFS('Dvd Calendar'!$E$360:$CZ$360,'Dvd Calendar'!$E$359:$CZ$359,"&gt;"&amp;K$48,'Dvd Calendar'!$E$359:$CZ$359,"&lt;="&amp;K$49),"")))</f>
        <v/>
      </c>
      <c r="L227" s="140">
        <f>IF(L$49="","",IF($B227="","",IFERROR(SUMIFS('Dvd Calendar'!$E$360:$CZ$360,'Dvd Calendar'!$E$359:$CZ$359,"&gt;"&amp;L$48,'Dvd Calendar'!$E$359:$CZ$359,"&lt;="&amp;L$49),"")))</f>
        <v/>
      </c>
      <c r="M227" s="140">
        <f>IF(M$49="","",IF($B227="","",IFERROR(SUMIFS('Dvd Calendar'!$E$360:$CZ$360,'Dvd Calendar'!$E$359:$CZ$359,"&gt;"&amp;M$48,'Dvd Calendar'!$E$359:$CZ$359,"&lt;="&amp;M$49),"")))</f>
        <v/>
      </c>
      <c r="N227" s="140">
        <f>IF(N$49="","",IF($B227="","",IFERROR(SUMIFS('Dvd Calendar'!$E$360:$CZ$360,'Dvd Calendar'!$E$359:$CZ$359,"&gt;"&amp;N$48,'Dvd Calendar'!$E$359:$CZ$359,"&lt;="&amp;N$49),"")))</f>
        <v/>
      </c>
      <c r="O227" s="140">
        <f>IF(O$49="","",IF($B227="","",IFERROR(SUMIFS('Dvd Calendar'!$E$360:$CZ$360,'Dvd Calendar'!$E$359:$CZ$359,"&gt;"&amp;O$48,'Dvd Calendar'!$E$359:$CZ$359,"&lt;="&amp;O$49),"")))</f>
        <v/>
      </c>
      <c r="P227" s="140">
        <f>IF(P$49="","",IF($B227="","",IFERROR(SUMIFS('Dvd Calendar'!$E$360:$CZ$360,'Dvd Calendar'!$E$359:$CZ$359,"&gt;"&amp;P$48,'Dvd Calendar'!$E$359:$CZ$359,"&lt;="&amp;P$49),"")))</f>
        <v/>
      </c>
      <c r="Q227" s="140">
        <f>IF(Q$49="","",IF($B227="","",IFERROR(SUMIFS('Dvd Calendar'!$E$360:$CZ$360,'Dvd Calendar'!$E$359:$CZ$359,"&gt;"&amp;Q$48,'Dvd Calendar'!$E$359:$CZ$359,"&lt;="&amp;Q$49),"")))</f>
        <v/>
      </c>
      <c r="R227" s="140">
        <f>IF(R$49="","",IF($B227="","",IFERROR(SUMIFS('Dvd Calendar'!$E$360:$CZ$360,'Dvd Calendar'!$E$359:$CZ$359,"&gt;"&amp;R$48,'Dvd Calendar'!$E$359:$CZ$359,"&lt;="&amp;R$49),"")))</f>
        <v/>
      </c>
    </row>
    <row r="228">
      <c r="B228" s="5">
        <f>IF(AS51!$C$183="","",AS51!$C$183)</f>
        <v/>
      </c>
      <c r="C228" s="140">
        <f>IF(C$49="","",IF($B228="","",IFERROR(SUMIFS('Dvd Calendar'!$E$362:$CZ$362,'Dvd Calendar'!$E$361:$CZ$361,"&gt;"&amp;C$48,'Dvd Calendar'!$E$361:$CZ$361,"&lt;="&amp;C$49),"")))</f>
        <v/>
      </c>
      <c r="D228" s="140">
        <f>IF(D$49="","",IF($B228="","",IFERROR(SUMIFS('Dvd Calendar'!$E$362:$CZ$362,'Dvd Calendar'!$E$361:$CZ$361,"&gt;"&amp;D$48,'Dvd Calendar'!$E$361:$CZ$361,"&lt;="&amp;D$49),"")))</f>
        <v/>
      </c>
      <c r="E228" s="140">
        <f>IF(E$49="","",IF($B228="","",IFERROR(SUMIFS('Dvd Calendar'!$E$362:$CZ$362,'Dvd Calendar'!$E$361:$CZ$361,"&gt;"&amp;E$48,'Dvd Calendar'!$E$361:$CZ$361,"&lt;="&amp;E$49),"")))</f>
        <v/>
      </c>
      <c r="F228" s="140">
        <f>IF(F$49="","",IF($B228="","",IFERROR(SUMIFS('Dvd Calendar'!$E$362:$CZ$362,'Dvd Calendar'!$E$361:$CZ$361,"&gt;"&amp;F$48,'Dvd Calendar'!$E$361:$CZ$361,"&lt;="&amp;F$49),"")))</f>
        <v/>
      </c>
      <c r="G228" s="140">
        <f>IF(G$49="","",IF($B228="","",IFERROR(SUMIFS('Dvd Calendar'!$E$362:$CZ$362,'Dvd Calendar'!$E$361:$CZ$361,"&gt;"&amp;G$48,'Dvd Calendar'!$E$361:$CZ$361,"&lt;="&amp;G$49),"")))</f>
        <v/>
      </c>
      <c r="H228" s="140">
        <f>IF(H$49="","",IF($B228="","",IFERROR(SUMIFS('Dvd Calendar'!$E$362:$CZ$362,'Dvd Calendar'!$E$361:$CZ$361,"&gt;"&amp;H$48,'Dvd Calendar'!$E$361:$CZ$361,"&lt;="&amp;H$49),"")))</f>
        <v/>
      </c>
      <c r="I228" s="140">
        <f>IF(I$49="","",IF($B228="","",IFERROR(SUMIFS('Dvd Calendar'!$E$362:$CZ$362,'Dvd Calendar'!$E$361:$CZ$361,"&gt;"&amp;I$48,'Dvd Calendar'!$E$361:$CZ$361,"&lt;="&amp;I$49),"")))</f>
        <v/>
      </c>
      <c r="J228" s="140">
        <f>IF(J$49="","",IF($B228="","",IFERROR(SUMIFS('Dvd Calendar'!$E$362:$CZ$362,'Dvd Calendar'!$E$361:$CZ$361,"&gt;"&amp;J$48,'Dvd Calendar'!$E$361:$CZ$361,"&lt;="&amp;J$49),"")))</f>
        <v/>
      </c>
      <c r="K228" s="140">
        <f>IF(K$49="","",IF($B228="","",IFERROR(SUMIFS('Dvd Calendar'!$E$362:$CZ$362,'Dvd Calendar'!$E$361:$CZ$361,"&gt;"&amp;K$48,'Dvd Calendar'!$E$361:$CZ$361,"&lt;="&amp;K$49),"")))</f>
        <v/>
      </c>
      <c r="L228" s="140">
        <f>IF(L$49="","",IF($B228="","",IFERROR(SUMIFS('Dvd Calendar'!$E$362:$CZ$362,'Dvd Calendar'!$E$361:$CZ$361,"&gt;"&amp;L$48,'Dvd Calendar'!$E$361:$CZ$361,"&lt;="&amp;L$49),"")))</f>
        <v/>
      </c>
      <c r="M228" s="140">
        <f>IF(M$49="","",IF($B228="","",IFERROR(SUMIFS('Dvd Calendar'!$E$362:$CZ$362,'Dvd Calendar'!$E$361:$CZ$361,"&gt;"&amp;M$48,'Dvd Calendar'!$E$361:$CZ$361,"&lt;="&amp;M$49),"")))</f>
        <v/>
      </c>
      <c r="N228" s="140">
        <f>IF(N$49="","",IF($B228="","",IFERROR(SUMIFS('Dvd Calendar'!$E$362:$CZ$362,'Dvd Calendar'!$E$361:$CZ$361,"&gt;"&amp;N$48,'Dvd Calendar'!$E$361:$CZ$361,"&lt;="&amp;N$49),"")))</f>
        <v/>
      </c>
      <c r="O228" s="140">
        <f>IF(O$49="","",IF($B228="","",IFERROR(SUMIFS('Dvd Calendar'!$E$362:$CZ$362,'Dvd Calendar'!$E$361:$CZ$361,"&gt;"&amp;O$48,'Dvd Calendar'!$E$361:$CZ$361,"&lt;="&amp;O$49),"")))</f>
        <v/>
      </c>
      <c r="P228" s="140">
        <f>IF(P$49="","",IF($B228="","",IFERROR(SUMIFS('Dvd Calendar'!$E$362:$CZ$362,'Dvd Calendar'!$E$361:$CZ$361,"&gt;"&amp;P$48,'Dvd Calendar'!$E$361:$CZ$361,"&lt;="&amp;P$49),"")))</f>
        <v/>
      </c>
      <c r="Q228" s="140">
        <f>IF(Q$49="","",IF($B228="","",IFERROR(SUMIFS('Dvd Calendar'!$E$362:$CZ$362,'Dvd Calendar'!$E$361:$CZ$361,"&gt;"&amp;Q$48,'Dvd Calendar'!$E$361:$CZ$361,"&lt;="&amp;Q$49),"")))</f>
        <v/>
      </c>
      <c r="R228" s="140">
        <f>IF(R$49="","",IF($B228="","",IFERROR(SUMIFS('Dvd Calendar'!$E$362:$CZ$362,'Dvd Calendar'!$E$361:$CZ$361,"&gt;"&amp;R$48,'Dvd Calendar'!$E$361:$CZ$361,"&lt;="&amp;R$49),"")))</f>
        <v/>
      </c>
    </row>
    <row r="229">
      <c r="B229" s="5">
        <f>IF(AS51!$C$184="","",AS51!$C$184)</f>
        <v/>
      </c>
      <c r="C229" s="140">
        <f>IF(C$49="","",IF($B229="","",IFERROR(SUMIFS('Dvd Calendar'!$E$364:$CZ$364,'Dvd Calendar'!$E$363:$CZ$363,"&gt;"&amp;C$48,'Dvd Calendar'!$E$363:$CZ$363,"&lt;="&amp;C$49),"")))</f>
        <v/>
      </c>
      <c r="D229" s="140">
        <f>IF(D$49="","",IF($B229="","",IFERROR(SUMIFS('Dvd Calendar'!$E$364:$CZ$364,'Dvd Calendar'!$E$363:$CZ$363,"&gt;"&amp;D$48,'Dvd Calendar'!$E$363:$CZ$363,"&lt;="&amp;D$49),"")))</f>
        <v/>
      </c>
      <c r="E229" s="140">
        <f>IF(E$49="","",IF($B229="","",IFERROR(SUMIFS('Dvd Calendar'!$E$364:$CZ$364,'Dvd Calendar'!$E$363:$CZ$363,"&gt;"&amp;E$48,'Dvd Calendar'!$E$363:$CZ$363,"&lt;="&amp;E$49),"")))</f>
        <v/>
      </c>
      <c r="F229" s="140">
        <f>IF(F$49="","",IF($B229="","",IFERROR(SUMIFS('Dvd Calendar'!$E$364:$CZ$364,'Dvd Calendar'!$E$363:$CZ$363,"&gt;"&amp;F$48,'Dvd Calendar'!$E$363:$CZ$363,"&lt;="&amp;F$49),"")))</f>
        <v/>
      </c>
      <c r="G229" s="140">
        <f>IF(G$49="","",IF($B229="","",IFERROR(SUMIFS('Dvd Calendar'!$E$364:$CZ$364,'Dvd Calendar'!$E$363:$CZ$363,"&gt;"&amp;G$48,'Dvd Calendar'!$E$363:$CZ$363,"&lt;="&amp;G$49),"")))</f>
        <v/>
      </c>
      <c r="H229" s="140">
        <f>IF(H$49="","",IF($B229="","",IFERROR(SUMIFS('Dvd Calendar'!$E$364:$CZ$364,'Dvd Calendar'!$E$363:$CZ$363,"&gt;"&amp;H$48,'Dvd Calendar'!$E$363:$CZ$363,"&lt;="&amp;H$49),"")))</f>
        <v/>
      </c>
      <c r="I229" s="140">
        <f>IF(I$49="","",IF($B229="","",IFERROR(SUMIFS('Dvd Calendar'!$E$364:$CZ$364,'Dvd Calendar'!$E$363:$CZ$363,"&gt;"&amp;I$48,'Dvd Calendar'!$E$363:$CZ$363,"&lt;="&amp;I$49),"")))</f>
        <v/>
      </c>
      <c r="J229" s="140">
        <f>IF(J$49="","",IF($B229="","",IFERROR(SUMIFS('Dvd Calendar'!$E$364:$CZ$364,'Dvd Calendar'!$E$363:$CZ$363,"&gt;"&amp;J$48,'Dvd Calendar'!$E$363:$CZ$363,"&lt;="&amp;J$49),"")))</f>
        <v/>
      </c>
      <c r="K229" s="140">
        <f>IF(K$49="","",IF($B229="","",IFERROR(SUMIFS('Dvd Calendar'!$E$364:$CZ$364,'Dvd Calendar'!$E$363:$CZ$363,"&gt;"&amp;K$48,'Dvd Calendar'!$E$363:$CZ$363,"&lt;="&amp;K$49),"")))</f>
        <v/>
      </c>
      <c r="L229" s="140">
        <f>IF(L$49="","",IF($B229="","",IFERROR(SUMIFS('Dvd Calendar'!$E$364:$CZ$364,'Dvd Calendar'!$E$363:$CZ$363,"&gt;"&amp;L$48,'Dvd Calendar'!$E$363:$CZ$363,"&lt;="&amp;L$49),"")))</f>
        <v/>
      </c>
      <c r="M229" s="140">
        <f>IF(M$49="","",IF($B229="","",IFERROR(SUMIFS('Dvd Calendar'!$E$364:$CZ$364,'Dvd Calendar'!$E$363:$CZ$363,"&gt;"&amp;M$48,'Dvd Calendar'!$E$363:$CZ$363,"&lt;="&amp;M$49),"")))</f>
        <v/>
      </c>
      <c r="N229" s="140">
        <f>IF(N$49="","",IF($B229="","",IFERROR(SUMIFS('Dvd Calendar'!$E$364:$CZ$364,'Dvd Calendar'!$E$363:$CZ$363,"&gt;"&amp;N$48,'Dvd Calendar'!$E$363:$CZ$363,"&lt;="&amp;N$49),"")))</f>
        <v/>
      </c>
      <c r="O229" s="140">
        <f>IF(O$49="","",IF($B229="","",IFERROR(SUMIFS('Dvd Calendar'!$E$364:$CZ$364,'Dvd Calendar'!$E$363:$CZ$363,"&gt;"&amp;O$48,'Dvd Calendar'!$E$363:$CZ$363,"&lt;="&amp;O$49),"")))</f>
        <v/>
      </c>
      <c r="P229" s="140">
        <f>IF(P$49="","",IF($B229="","",IFERROR(SUMIFS('Dvd Calendar'!$E$364:$CZ$364,'Dvd Calendar'!$E$363:$CZ$363,"&gt;"&amp;P$48,'Dvd Calendar'!$E$363:$CZ$363,"&lt;="&amp;P$49),"")))</f>
        <v/>
      </c>
      <c r="Q229" s="140">
        <f>IF(Q$49="","",IF($B229="","",IFERROR(SUMIFS('Dvd Calendar'!$E$364:$CZ$364,'Dvd Calendar'!$E$363:$CZ$363,"&gt;"&amp;Q$48,'Dvd Calendar'!$E$363:$CZ$363,"&lt;="&amp;Q$49),"")))</f>
        <v/>
      </c>
      <c r="R229" s="140">
        <f>IF(R$49="","",IF($B229="","",IFERROR(SUMIFS('Dvd Calendar'!$E$364:$CZ$364,'Dvd Calendar'!$E$363:$CZ$363,"&gt;"&amp;R$48,'Dvd Calendar'!$E$363:$CZ$363,"&lt;="&amp;R$49),"")))</f>
        <v/>
      </c>
    </row>
    <row r="230">
      <c r="B230" s="5">
        <f>IF(AS51!$C$185="","",AS51!$C$185)</f>
        <v/>
      </c>
      <c r="C230" s="140">
        <f>IF(C$49="","",IF($B230="","",IFERROR(SUMIFS('Dvd Calendar'!$E$366:$CZ$366,'Dvd Calendar'!$E$365:$CZ$365,"&gt;"&amp;C$48,'Dvd Calendar'!$E$365:$CZ$365,"&lt;="&amp;C$49),"")))</f>
        <v/>
      </c>
      <c r="D230" s="140">
        <f>IF(D$49="","",IF($B230="","",IFERROR(SUMIFS('Dvd Calendar'!$E$366:$CZ$366,'Dvd Calendar'!$E$365:$CZ$365,"&gt;"&amp;D$48,'Dvd Calendar'!$E$365:$CZ$365,"&lt;="&amp;D$49),"")))</f>
        <v/>
      </c>
      <c r="E230" s="140">
        <f>IF(E$49="","",IF($B230="","",IFERROR(SUMIFS('Dvd Calendar'!$E$366:$CZ$366,'Dvd Calendar'!$E$365:$CZ$365,"&gt;"&amp;E$48,'Dvd Calendar'!$E$365:$CZ$365,"&lt;="&amp;E$49),"")))</f>
        <v/>
      </c>
      <c r="F230" s="140">
        <f>IF(F$49="","",IF($B230="","",IFERROR(SUMIFS('Dvd Calendar'!$E$366:$CZ$366,'Dvd Calendar'!$E$365:$CZ$365,"&gt;"&amp;F$48,'Dvd Calendar'!$E$365:$CZ$365,"&lt;="&amp;F$49),"")))</f>
        <v/>
      </c>
      <c r="G230" s="140">
        <f>IF(G$49="","",IF($B230="","",IFERROR(SUMIFS('Dvd Calendar'!$E$366:$CZ$366,'Dvd Calendar'!$E$365:$CZ$365,"&gt;"&amp;G$48,'Dvd Calendar'!$E$365:$CZ$365,"&lt;="&amp;G$49),"")))</f>
        <v/>
      </c>
      <c r="H230" s="140">
        <f>IF(H$49="","",IF($B230="","",IFERROR(SUMIFS('Dvd Calendar'!$E$366:$CZ$366,'Dvd Calendar'!$E$365:$CZ$365,"&gt;"&amp;H$48,'Dvd Calendar'!$E$365:$CZ$365,"&lt;="&amp;H$49),"")))</f>
        <v/>
      </c>
      <c r="I230" s="140">
        <f>IF(I$49="","",IF($B230="","",IFERROR(SUMIFS('Dvd Calendar'!$E$366:$CZ$366,'Dvd Calendar'!$E$365:$CZ$365,"&gt;"&amp;I$48,'Dvd Calendar'!$E$365:$CZ$365,"&lt;="&amp;I$49),"")))</f>
        <v/>
      </c>
      <c r="J230" s="140">
        <f>IF(J$49="","",IF($B230="","",IFERROR(SUMIFS('Dvd Calendar'!$E$366:$CZ$366,'Dvd Calendar'!$E$365:$CZ$365,"&gt;"&amp;J$48,'Dvd Calendar'!$E$365:$CZ$365,"&lt;="&amp;J$49),"")))</f>
        <v/>
      </c>
      <c r="K230" s="140">
        <f>IF(K$49="","",IF($B230="","",IFERROR(SUMIFS('Dvd Calendar'!$E$366:$CZ$366,'Dvd Calendar'!$E$365:$CZ$365,"&gt;"&amp;K$48,'Dvd Calendar'!$E$365:$CZ$365,"&lt;="&amp;K$49),"")))</f>
        <v/>
      </c>
      <c r="L230" s="140">
        <f>IF(L$49="","",IF($B230="","",IFERROR(SUMIFS('Dvd Calendar'!$E$366:$CZ$366,'Dvd Calendar'!$E$365:$CZ$365,"&gt;"&amp;L$48,'Dvd Calendar'!$E$365:$CZ$365,"&lt;="&amp;L$49),"")))</f>
        <v/>
      </c>
      <c r="M230" s="140">
        <f>IF(M$49="","",IF($B230="","",IFERROR(SUMIFS('Dvd Calendar'!$E$366:$CZ$366,'Dvd Calendar'!$E$365:$CZ$365,"&gt;"&amp;M$48,'Dvd Calendar'!$E$365:$CZ$365,"&lt;="&amp;M$49),"")))</f>
        <v/>
      </c>
      <c r="N230" s="140">
        <f>IF(N$49="","",IF($B230="","",IFERROR(SUMIFS('Dvd Calendar'!$E$366:$CZ$366,'Dvd Calendar'!$E$365:$CZ$365,"&gt;"&amp;N$48,'Dvd Calendar'!$E$365:$CZ$365,"&lt;="&amp;N$49),"")))</f>
        <v/>
      </c>
      <c r="O230" s="140">
        <f>IF(O$49="","",IF($B230="","",IFERROR(SUMIFS('Dvd Calendar'!$E$366:$CZ$366,'Dvd Calendar'!$E$365:$CZ$365,"&gt;"&amp;O$48,'Dvd Calendar'!$E$365:$CZ$365,"&lt;="&amp;O$49),"")))</f>
        <v/>
      </c>
      <c r="P230" s="140">
        <f>IF(P$49="","",IF($B230="","",IFERROR(SUMIFS('Dvd Calendar'!$E$366:$CZ$366,'Dvd Calendar'!$E$365:$CZ$365,"&gt;"&amp;P$48,'Dvd Calendar'!$E$365:$CZ$365,"&lt;="&amp;P$49),"")))</f>
        <v/>
      </c>
      <c r="Q230" s="140">
        <f>IF(Q$49="","",IF($B230="","",IFERROR(SUMIFS('Dvd Calendar'!$E$366:$CZ$366,'Dvd Calendar'!$E$365:$CZ$365,"&gt;"&amp;Q$48,'Dvd Calendar'!$E$365:$CZ$365,"&lt;="&amp;Q$49),"")))</f>
        <v/>
      </c>
      <c r="R230" s="140">
        <f>IF(R$49="","",IF($B230="","",IFERROR(SUMIFS('Dvd Calendar'!$E$366:$CZ$366,'Dvd Calendar'!$E$365:$CZ$365,"&gt;"&amp;R$48,'Dvd Calendar'!$E$365:$CZ$365,"&lt;="&amp;R$49),"")))</f>
        <v/>
      </c>
    </row>
    <row r="231">
      <c r="B231" s="5">
        <f>IF(AS51!$C$186="","",AS51!$C$186)</f>
        <v/>
      </c>
      <c r="C231" s="140">
        <f>IF(C$49="","",IF($B231="","",IFERROR(SUMIFS('Dvd Calendar'!$E$368:$CZ$368,'Dvd Calendar'!$E$367:$CZ$367,"&gt;"&amp;C$48,'Dvd Calendar'!$E$367:$CZ$367,"&lt;="&amp;C$49),"")))</f>
        <v/>
      </c>
      <c r="D231" s="140">
        <f>IF(D$49="","",IF($B231="","",IFERROR(SUMIFS('Dvd Calendar'!$E$368:$CZ$368,'Dvd Calendar'!$E$367:$CZ$367,"&gt;"&amp;D$48,'Dvd Calendar'!$E$367:$CZ$367,"&lt;="&amp;D$49),"")))</f>
        <v/>
      </c>
      <c r="E231" s="140">
        <f>IF(E$49="","",IF($B231="","",IFERROR(SUMIFS('Dvd Calendar'!$E$368:$CZ$368,'Dvd Calendar'!$E$367:$CZ$367,"&gt;"&amp;E$48,'Dvd Calendar'!$E$367:$CZ$367,"&lt;="&amp;E$49),"")))</f>
        <v/>
      </c>
      <c r="F231" s="140">
        <f>IF(F$49="","",IF($B231="","",IFERROR(SUMIFS('Dvd Calendar'!$E$368:$CZ$368,'Dvd Calendar'!$E$367:$CZ$367,"&gt;"&amp;F$48,'Dvd Calendar'!$E$367:$CZ$367,"&lt;="&amp;F$49),"")))</f>
        <v/>
      </c>
      <c r="G231" s="140">
        <f>IF(G$49="","",IF($B231="","",IFERROR(SUMIFS('Dvd Calendar'!$E$368:$CZ$368,'Dvd Calendar'!$E$367:$CZ$367,"&gt;"&amp;G$48,'Dvd Calendar'!$E$367:$CZ$367,"&lt;="&amp;G$49),"")))</f>
        <v/>
      </c>
      <c r="H231" s="140">
        <f>IF(H$49="","",IF($B231="","",IFERROR(SUMIFS('Dvd Calendar'!$E$368:$CZ$368,'Dvd Calendar'!$E$367:$CZ$367,"&gt;"&amp;H$48,'Dvd Calendar'!$E$367:$CZ$367,"&lt;="&amp;H$49),"")))</f>
        <v/>
      </c>
      <c r="I231" s="140">
        <f>IF(I$49="","",IF($B231="","",IFERROR(SUMIFS('Dvd Calendar'!$E$368:$CZ$368,'Dvd Calendar'!$E$367:$CZ$367,"&gt;"&amp;I$48,'Dvd Calendar'!$E$367:$CZ$367,"&lt;="&amp;I$49),"")))</f>
        <v/>
      </c>
      <c r="J231" s="140">
        <f>IF(J$49="","",IF($B231="","",IFERROR(SUMIFS('Dvd Calendar'!$E$368:$CZ$368,'Dvd Calendar'!$E$367:$CZ$367,"&gt;"&amp;J$48,'Dvd Calendar'!$E$367:$CZ$367,"&lt;="&amp;J$49),"")))</f>
        <v/>
      </c>
      <c r="K231" s="140">
        <f>IF(K$49="","",IF($B231="","",IFERROR(SUMIFS('Dvd Calendar'!$E$368:$CZ$368,'Dvd Calendar'!$E$367:$CZ$367,"&gt;"&amp;K$48,'Dvd Calendar'!$E$367:$CZ$367,"&lt;="&amp;K$49),"")))</f>
        <v/>
      </c>
      <c r="L231" s="140">
        <f>IF(L$49="","",IF($B231="","",IFERROR(SUMIFS('Dvd Calendar'!$E$368:$CZ$368,'Dvd Calendar'!$E$367:$CZ$367,"&gt;"&amp;L$48,'Dvd Calendar'!$E$367:$CZ$367,"&lt;="&amp;L$49),"")))</f>
        <v/>
      </c>
      <c r="M231" s="140">
        <f>IF(M$49="","",IF($B231="","",IFERROR(SUMIFS('Dvd Calendar'!$E$368:$CZ$368,'Dvd Calendar'!$E$367:$CZ$367,"&gt;"&amp;M$48,'Dvd Calendar'!$E$367:$CZ$367,"&lt;="&amp;M$49),"")))</f>
        <v/>
      </c>
      <c r="N231" s="140">
        <f>IF(N$49="","",IF($B231="","",IFERROR(SUMIFS('Dvd Calendar'!$E$368:$CZ$368,'Dvd Calendar'!$E$367:$CZ$367,"&gt;"&amp;N$48,'Dvd Calendar'!$E$367:$CZ$367,"&lt;="&amp;N$49),"")))</f>
        <v/>
      </c>
      <c r="O231" s="140">
        <f>IF(O$49="","",IF($B231="","",IFERROR(SUMIFS('Dvd Calendar'!$E$368:$CZ$368,'Dvd Calendar'!$E$367:$CZ$367,"&gt;"&amp;O$48,'Dvd Calendar'!$E$367:$CZ$367,"&lt;="&amp;O$49),"")))</f>
        <v/>
      </c>
      <c r="P231" s="140">
        <f>IF(P$49="","",IF($B231="","",IFERROR(SUMIFS('Dvd Calendar'!$E$368:$CZ$368,'Dvd Calendar'!$E$367:$CZ$367,"&gt;"&amp;P$48,'Dvd Calendar'!$E$367:$CZ$367,"&lt;="&amp;P$49),"")))</f>
        <v/>
      </c>
      <c r="Q231" s="140">
        <f>IF(Q$49="","",IF($B231="","",IFERROR(SUMIFS('Dvd Calendar'!$E$368:$CZ$368,'Dvd Calendar'!$E$367:$CZ$367,"&gt;"&amp;Q$48,'Dvd Calendar'!$E$367:$CZ$367,"&lt;="&amp;Q$49),"")))</f>
        <v/>
      </c>
      <c r="R231" s="140">
        <f>IF(R$49="","",IF($B231="","",IFERROR(SUMIFS('Dvd Calendar'!$E$368:$CZ$368,'Dvd Calendar'!$E$367:$CZ$367,"&gt;"&amp;R$48,'Dvd Calendar'!$E$367:$CZ$367,"&lt;="&amp;R$49),"")))</f>
        <v/>
      </c>
    </row>
    <row r="232">
      <c r="B232" s="5">
        <f>IF(AS51!$C$187="","",AS51!$C$187)</f>
        <v/>
      </c>
      <c r="C232" s="140">
        <f>IF(C$49="","",IF($B232="","",IFERROR(SUMIFS('Dvd Calendar'!$E$370:$CZ$370,'Dvd Calendar'!$E$369:$CZ$369,"&gt;"&amp;C$48,'Dvd Calendar'!$E$369:$CZ$369,"&lt;="&amp;C$49),"")))</f>
        <v/>
      </c>
      <c r="D232" s="140">
        <f>IF(D$49="","",IF($B232="","",IFERROR(SUMIFS('Dvd Calendar'!$E$370:$CZ$370,'Dvd Calendar'!$E$369:$CZ$369,"&gt;"&amp;D$48,'Dvd Calendar'!$E$369:$CZ$369,"&lt;="&amp;D$49),"")))</f>
        <v/>
      </c>
      <c r="E232" s="140">
        <f>IF(E$49="","",IF($B232="","",IFERROR(SUMIFS('Dvd Calendar'!$E$370:$CZ$370,'Dvd Calendar'!$E$369:$CZ$369,"&gt;"&amp;E$48,'Dvd Calendar'!$E$369:$CZ$369,"&lt;="&amp;E$49),"")))</f>
        <v/>
      </c>
      <c r="F232" s="140">
        <f>IF(F$49="","",IF($B232="","",IFERROR(SUMIFS('Dvd Calendar'!$E$370:$CZ$370,'Dvd Calendar'!$E$369:$CZ$369,"&gt;"&amp;F$48,'Dvd Calendar'!$E$369:$CZ$369,"&lt;="&amp;F$49),"")))</f>
        <v/>
      </c>
      <c r="G232" s="140">
        <f>IF(G$49="","",IF($B232="","",IFERROR(SUMIFS('Dvd Calendar'!$E$370:$CZ$370,'Dvd Calendar'!$E$369:$CZ$369,"&gt;"&amp;G$48,'Dvd Calendar'!$E$369:$CZ$369,"&lt;="&amp;G$49),"")))</f>
        <v/>
      </c>
      <c r="H232" s="140">
        <f>IF(H$49="","",IF($B232="","",IFERROR(SUMIFS('Dvd Calendar'!$E$370:$CZ$370,'Dvd Calendar'!$E$369:$CZ$369,"&gt;"&amp;H$48,'Dvd Calendar'!$E$369:$CZ$369,"&lt;="&amp;H$49),"")))</f>
        <v/>
      </c>
      <c r="I232" s="140">
        <f>IF(I$49="","",IF($B232="","",IFERROR(SUMIFS('Dvd Calendar'!$E$370:$CZ$370,'Dvd Calendar'!$E$369:$CZ$369,"&gt;"&amp;I$48,'Dvd Calendar'!$E$369:$CZ$369,"&lt;="&amp;I$49),"")))</f>
        <v/>
      </c>
      <c r="J232" s="140">
        <f>IF(J$49="","",IF($B232="","",IFERROR(SUMIFS('Dvd Calendar'!$E$370:$CZ$370,'Dvd Calendar'!$E$369:$CZ$369,"&gt;"&amp;J$48,'Dvd Calendar'!$E$369:$CZ$369,"&lt;="&amp;J$49),"")))</f>
        <v/>
      </c>
      <c r="K232" s="140">
        <f>IF(K$49="","",IF($B232="","",IFERROR(SUMIFS('Dvd Calendar'!$E$370:$CZ$370,'Dvd Calendar'!$E$369:$CZ$369,"&gt;"&amp;K$48,'Dvd Calendar'!$E$369:$CZ$369,"&lt;="&amp;K$49),"")))</f>
        <v/>
      </c>
      <c r="L232" s="140">
        <f>IF(L$49="","",IF($B232="","",IFERROR(SUMIFS('Dvd Calendar'!$E$370:$CZ$370,'Dvd Calendar'!$E$369:$CZ$369,"&gt;"&amp;L$48,'Dvd Calendar'!$E$369:$CZ$369,"&lt;="&amp;L$49),"")))</f>
        <v/>
      </c>
      <c r="M232" s="140">
        <f>IF(M$49="","",IF($B232="","",IFERROR(SUMIFS('Dvd Calendar'!$E$370:$CZ$370,'Dvd Calendar'!$E$369:$CZ$369,"&gt;"&amp;M$48,'Dvd Calendar'!$E$369:$CZ$369,"&lt;="&amp;M$49),"")))</f>
        <v/>
      </c>
      <c r="N232" s="140">
        <f>IF(N$49="","",IF($B232="","",IFERROR(SUMIFS('Dvd Calendar'!$E$370:$CZ$370,'Dvd Calendar'!$E$369:$CZ$369,"&gt;"&amp;N$48,'Dvd Calendar'!$E$369:$CZ$369,"&lt;="&amp;N$49),"")))</f>
        <v/>
      </c>
      <c r="O232" s="140">
        <f>IF(O$49="","",IF($B232="","",IFERROR(SUMIFS('Dvd Calendar'!$E$370:$CZ$370,'Dvd Calendar'!$E$369:$CZ$369,"&gt;"&amp;O$48,'Dvd Calendar'!$E$369:$CZ$369,"&lt;="&amp;O$49),"")))</f>
        <v/>
      </c>
      <c r="P232" s="140">
        <f>IF(P$49="","",IF($B232="","",IFERROR(SUMIFS('Dvd Calendar'!$E$370:$CZ$370,'Dvd Calendar'!$E$369:$CZ$369,"&gt;"&amp;P$48,'Dvd Calendar'!$E$369:$CZ$369,"&lt;="&amp;P$49),"")))</f>
        <v/>
      </c>
      <c r="Q232" s="140">
        <f>IF(Q$49="","",IF($B232="","",IFERROR(SUMIFS('Dvd Calendar'!$E$370:$CZ$370,'Dvd Calendar'!$E$369:$CZ$369,"&gt;"&amp;Q$48,'Dvd Calendar'!$E$369:$CZ$369,"&lt;="&amp;Q$49),"")))</f>
        <v/>
      </c>
      <c r="R232" s="140">
        <f>IF(R$49="","",IF($B232="","",IFERROR(SUMIFS('Dvd Calendar'!$E$370:$CZ$370,'Dvd Calendar'!$E$369:$CZ$369,"&gt;"&amp;R$48,'Dvd Calendar'!$E$369:$CZ$369,"&lt;="&amp;R$49),"")))</f>
        <v/>
      </c>
    </row>
    <row r="233">
      <c r="B233" s="5">
        <f>IF(AS51!$C$188="","",AS51!$C$188)</f>
        <v/>
      </c>
      <c r="C233" s="140">
        <f>IF(C$49="","",IF($B233="","",IFERROR(SUMIFS('Dvd Calendar'!$E$372:$CZ$372,'Dvd Calendar'!$E$371:$CZ$371,"&gt;"&amp;C$48,'Dvd Calendar'!$E$371:$CZ$371,"&lt;="&amp;C$49),"")))</f>
        <v/>
      </c>
      <c r="D233" s="140">
        <f>IF(D$49="","",IF($B233="","",IFERROR(SUMIFS('Dvd Calendar'!$E$372:$CZ$372,'Dvd Calendar'!$E$371:$CZ$371,"&gt;"&amp;D$48,'Dvd Calendar'!$E$371:$CZ$371,"&lt;="&amp;D$49),"")))</f>
        <v/>
      </c>
      <c r="E233" s="140">
        <f>IF(E$49="","",IF($B233="","",IFERROR(SUMIFS('Dvd Calendar'!$E$372:$CZ$372,'Dvd Calendar'!$E$371:$CZ$371,"&gt;"&amp;E$48,'Dvd Calendar'!$E$371:$CZ$371,"&lt;="&amp;E$49),"")))</f>
        <v/>
      </c>
      <c r="F233" s="140">
        <f>IF(F$49="","",IF($B233="","",IFERROR(SUMIFS('Dvd Calendar'!$E$372:$CZ$372,'Dvd Calendar'!$E$371:$CZ$371,"&gt;"&amp;F$48,'Dvd Calendar'!$E$371:$CZ$371,"&lt;="&amp;F$49),"")))</f>
        <v/>
      </c>
      <c r="G233" s="140">
        <f>IF(G$49="","",IF($B233="","",IFERROR(SUMIFS('Dvd Calendar'!$E$372:$CZ$372,'Dvd Calendar'!$E$371:$CZ$371,"&gt;"&amp;G$48,'Dvd Calendar'!$E$371:$CZ$371,"&lt;="&amp;G$49),"")))</f>
        <v/>
      </c>
      <c r="H233" s="140">
        <f>IF(H$49="","",IF($B233="","",IFERROR(SUMIFS('Dvd Calendar'!$E$372:$CZ$372,'Dvd Calendar'!$E$371:$CZ$371,"&gt;"&amp;H$48,'Dvd Calendar'!$E$371:$CZ$371,"&lt;="&amp;H$49),"")))</f>
        <v/>
      </c>
      <c r="I233" s="140">
        <f>IF(I$49="","",IF($B233="","",IFERROR(SUMIFS('Dvd Calendar'!$E$372:$CZ$372,'Dvd Calendar'!$E$371:$CZ$371,"&gt;"&amp;I$48,'Dvd Calendar'!$E$371:$CZ$371,"&lt;="&amp;I$49),"")))</f>
        <v/>
      </c>
      <c r="J233" s="140">
        <f>IF(J$49="","",IF($B233="","",IFERROR(SUMIFS('Dvd Calendar'!$E$372:$CZ$372,'Dvd Calendar'!$E$371:$CZ$371,"&gt;"&amp;J$48,'Dvd Calendar'!$E$371:$CZ$371,"&lt;="&amp;J$49),"")))</f>
        <v/>
      </c>
      <c r="K233" s="140">
        <f>IF(K$49="","",IF($B233="","",IFERROR(SUMIFS('Dvd Calendar'!$E$372:$CZ$372,'Dvd Calendar'!$E$371:$CZ$371,"&gt;"&amp;K$48,'Dvd Calendar'!$E$371:$CZ$371,"&lt;="&amp;K$49),"")))</f>
        <v/>
      </c>
      <c r="L233" s="140">
        <f>IF(L$49="","",IF($B233="","",IFERROR(SUMIFS('Dvd Calendar'!$E$372:$CZ$372,'Dvd Calendar'!$E$371:$CZ$371,"&gt;"&amp;L$48,'Dvd Calendar'!$E$371:$CZ$371,"&lt;="&amp;L$49),"")))</f>
        <v/>
      </c>
      <c r="M233" s="140">
        <f>IF(M$49="","",IF($B233="","",IFERROR(SUMIFS('Dvd Calendar'!$E$372:$CZ$372,'Dvd Calendar'!$E$371:$CZ$371,"&gt;"&amp;M$48,'Dvd Calendar'!$E$371:$CZ$371,"&lt;="&amp;M$49),"")))</f>
        <v/>
      </c>
      <c r="N233" s="140">
        <f>IF(N$49="","",IF($B233="","",IFERROR(SUMIFS('Dvd Calendar'!$E$372:$CZ$372,'Dvd Calendar'!$E$371:$CZ$371,"&gt;"&amp;N$48,'Dvd Calendar'!$E$371:$CZ$371,"&lt;="&amp;N$49),"")))</f>
        <v/>
      </c>
      <c r="O233" s="140">
        <f>IF(O$49="","",IF($B233="","",IFERROR(SUMIFS('Dvd Calendar'!$E$372:$CZ$372,'Dvd Calendar'!$E$371:$CZ$371,"&gt;"&amp;O$48,'Dvd Calendar'!$E$371:$CZ$371,"&lt;="&amp;O$49),"")))</f>
        <v/>
      </c>
      <c r="P233" s="140">
        <f>IF(P$49="","",IF($B233="","",IFERROR(SUMIFS('Dvd Calendar'!$E$372:$CZ$372,'Dvd Calendar'!$E$371:$CZ$371,"&gt;"&amp;P$48,'Dvd Calendar'!$E$371:$CZ$371,"&lt;="&amp;P$49),"")))</f>
        <v/>
      </c>
      <c r="Q233" s="140">
        <f>IF(Q$49="","",IF($B233="","",IFERROR(SUMIFS('Dvd Calendar'!$E$372:$CZ$372,'Dvd Calendar'!$E$371:$CZ$371,"&gt;"&amp;Q$48,'Dvd Calendar'!$E$371:$CZ$371,"&lt;="&amp;Q$49),"")))</f>
        <v/>
      </c>
      <c r="R233" s="140">
        <f>IF(R$49="","",IF($B233="","",IFERROR(SUMIFS('Dvd Calendar'!$E$372:$CZ$372,'Dvd Calendar'!$E$371:$CZ$371,"&gt;"&amp;R$48,'Dvd Calendar'!$E$371:$CZ$371,"&lt;="&amp;R$49),"")))</f>
        <v/>
      </c>
    </row>
    <row r="234">
      <c r="B234" s="5">
        <f>IF(AS51!$C$189="","",AS51!$C$189)</f>
        <v/>
      </c>
      <c r="C234" s="140">
        <f>IF(C$49="","",IF($B234="","",IFERROR(SUMIFS('Dvd Calendar'!$E$374:$CZ$374,'Dvd Calendar'!$E$373:$CZ$373,"&gt;"&amp;C$48,'Dvd Calendar'!$E$373:$CZ$373,"&lt;="&amp;C$49),"")))</f>
        <v/>
      </c>
      <c r="D234" s="140">
        <f>IF(D$49="","",IF($B234="","",IFERROR(SUMIFS('Dvd Calendar'!$E$374:$CZ$374,'Dvd Calendar'!$E$373:$CZ$373,"&gt;"&amp;D$48,'Dvd Calendar'!$E$373:$CZ$373,"&lt;="&amp;D$49),"")))</f>
        <v/>
      </c>
      <c r="E234" s="140">
        <f>IF(E$49="","",IF($B234="","",IFERROR(SUMIFS('Dvd Calendar'!$E$374:$CZ$374,'Dvd Calendar'!$E$373:$CZ$373,"&gt;"&amp;E$48,'Dvd Calendar'!$E$373:$CZ$373,"&lt;="&amp;E$49),"")))</f>
        <v/>
      </c>
      <c r="F234" s="140">
        <f>IF(F$49="","",IF($B234="","",IFERROR(SUMIFS('Dvd Calendar'!$E$374:$CZ$374,'Dvd Calendar'!$E$373:$CZ$373,"&gt;"&amp;F$48,'Dvd Calendar'!$E$373:$CZ$373,"&lt;="&amp;F$49),"")))</f>
        <v/>
      </c>
      <c r="G234" s="140">
        <f>IF(G$49="","",IF($B234="","",IFERROR(SUMIFS('Dvd Calendar'!$E$374:$CZ$374,'Dvd Calendar'!$E$373:$CZ$373,"&gt;"&amp;G$48,'Dvd Calendar'!$E$373:$CZ$373,"&lt;="&amp;G$49),"")))</f>
        <v/>
      </c>
      <c r="H234" s="140">
        <f>IF(H$49="","",IF($B234="","",IFERROR(SUMIFS('Dvd Calendar'!$E$374:$CZ$374,'Dvd Calendar'!$E$373:$CZ$373,"&gt;"&amp;H$48,'Dvd Calendar'!$E$373:$CZ$373,"&lt;="&amp;H$49),"")))</f>
        <v/>
      </c>
      <c r="I234" s="140">
        <f>IF(I$49="","",IF($B234="","",IFERROR(SUMIFS('Dvd Calendar'!$E$374:$CZ$374,'Dvd Calendar'!$E$373:$CZ$373,"&gt;"&amp;I$48,'Dvd Calendar'!$E$373:$CZ$373,"&lt;="&amp;I$49),"")))</f>
        <v/>
      </c>
      <c r="J234" s="140">
        <f>IF(J$49="","",IF($B234="","",IFERROR(SUMIFS('Dvd Calendar'!$E$374:$CZ$374,'Dvd Calendar'!$E$373:$CZ$373,"&gt;"&amp;J$48,'Dvd Calendar'!$E$373:$CZ$373,"&lt;="&amp;J$49),"")))</f>
        <v/>
      </c>
      <c r="K234" s="140">
        <f>IF(K$49="","",IF($B234="","",IFERROR(SUMIFS('Dvd Calendar'!$E$374:$CZ$374,'Dvd Calendar'!$E$373:$CZ$373,"&gt;"&amp;K$48,'Dvd Calendar'!$E$373:$CZ$373,"&lt;="&amp;K$49),"")))</f>
        <v/>
      </c>
      <c r="L234" s="140">
        <f>IF(L$49="","",IF($B234="","",IFERROR(SUMIFS('Dvd Calendar'!$E$374:$CZ$374,'Dvd Calendar'!$E$373:$CZ$373,"&gt;"&amp;L$48,'Dvd Calendar'!$E$373:$CZ$373,"&lt;="&amp;L$49),"")))</f>
        <v/>
      </c>
      <c r="M234" s="140">
        <f>IF(M$49="","",IF($B234="","",IFERROR(SUMIFS('Dvd Calendar'!$E$374:$CZ$374,'Dvd Calendar'!$E$373:$CZ$373,"&gt;"&amp;M$48,'Dvd Calendar'!$E$373:$CZ$373,"&lt;="&amp;M$49),"")))</f>
        <v/>
      </c>
      <c r="N234" s="140">
        <f>IF(N$49="","",IF($B234="","",IFERROR(SUMIFS('Dvd Calendar'!$E$374:$CZ$374,'Dvd Calendar'!$E$373:$CZ$373,"&gt;"&amp;N$48,'Dvd Calendar'!$E$373:$CZ$373,"&lt;="&amp;N$49),"")))</f>
        <v/>
      </c>
      <c r="O234" s="140">
        <f>IF(O$49="","",IF($B234="","",IFERROR(SUMIFS('Dvd Calendar'!$E$374:$CZ$374,'Dvd Calendar'!$E$373:$CZ$373,"&gt;"&amp;O$48,'Dvd Calendar'!$E$373:$CZ$373,"&lt;="&amp;O$49),"")))</f>
        <v/>
      </c>
      <c r="P234" s="140">
        <f>IF(P$49="","",IF($B234="","",IFERROR(SUMIFS('Dvd Calendar'!$E$374:$CZ$374,'Dvd Calendar'!$E$373:$CZ$373,"&gt;"&amp;P$48,'Dvd Calendar'!$E$373:$CZ$373,"&lt;="&amp;P$49),"")))</f>
        <v/>
      </c>
      <c r="Q234" s="140">
        <f>IF(Q$49="","",IF($B234="","",IFERROR(SUMIFS('Dvd Calendar'!$E$374:$CZ$374,'Dvd Calendar'!$E$373:$CZ$373,"&gt;"&amp;Q$48,'Dvd Calendar'!$E$373:$CZ$373,"&lt;="&amp;Q$49),"")))</f>
        <v/>
      </c>
      <c r="R234" s="140">
        <f>IF(R$49="","",IF($B234="","",IFERROR(SUMIFS('Dvd Calendar'!$E$374:$CZ$374,'Dvd Calendar'!$E$373:$CZ$373,"&gt;"&amp;R$48,'Dvd Calendar'!$E$373:$CZ$373,"&lt;="&amp;R$49),"")))</f>
        <v/>
      </c>
    </row>
    <row r="235">
      <c r="B235" s="5">
        <f>IF(AS51!$C$190="","",AS51!$C$190)</f>
        <v/>
      </c>
      <c r="C235" s="140">
        <f>IF(C$49="","",IF($B235="","",IFERROR(SUMIFS('Dvd Calendar'!$E$376:$CZ$376,'Dvd Calendar'!$E$375:$CZ$375,"&gt;"&amp;C$48,'Dvd Calendar'!$E$375:$CZ$375,"&lt;="&amp;C$49),"")))</f>
        <v/>
      </c>
      <c r="D235" s="140">
        <f>IF(D$49="","",IF($B235="","",IFERROR(SUMIFS('Dvd Calendar'!$E$376:$CZ$376,'Dvd Calendar'!$E$375:$CZ$375,"&gt;"&amp;D$48,'Dvd Calendar'!$E$375:$CZ$375,"&lt;="&amp;D$49),"")))</f>
        <v/>
      </c>
      <c r="E235" s="140">
        <f>IF(E$49="","",IF($B235="","",IFERROR(SUMIFS('Dvd Calendar'!$E$376:$CZ$376,'Dvd Calendar'!$E$375:$CZ$375,"&gt;"&amp;E$48,'Dvd Calendar'!$E$375:$CZ$375,"&lt;="&amp;E$49),"")))</f>
        <v/>
      </c>
      <c r="F235" s="140">
        <f>IF(F$49="","",IF($B235="","",IFERROR(SUMIFS('Dvd Calendar'!$E$376:$CZ$376,'Dvd Calendar'!$E$375:$CZ$375,"&gt;"&amp;F$48,'Dvd Calendar'!$E$375:$CZ$375,"&lt;="&amp;F$49),"")))</f>
        <v/>
      </c>
      <c r="G235" s="140">
        <f>IF(G$49="","",IF($B235="","",IFERROR(SUMIFS('Dvd Calendar'!$E$376:$CZ$376,'Dvd Calendar'!$E$375:$CZ$375,"&gt;"&amp;G$48,'Dvd Calendar'!$E$375:$CZ$375,"&lt;="&amp;G$49),"")))</f>
        <v/>
      </c>
      <c r="H235" s="140">
        <f>IF(H$49="","",IF($B235="","",IFERROR(SUMIFS('Dvd Calendar'!$E$376:$CZ$376,'Dvd Calendar'!$E$375:$CZ$375,"&gt;"&amp;H$48,'Dvd Calendar'!$E$375:$CZ$375,"&lt;="&amp;H$49),"")))</f>
        <v/>
      </c>
      <c r="I235" s="140">
        <f>IF(I$49="","",IF($B235="","",IFERROR(SUMIFS('Dvd Calendar'!$E$376:$CZ$376,'Dvd Calendar'!$E$375:$CZ$375,"&gt;"&amp;I$48,'Dvd Calendar'!$E$375:$CZ$375,"&lt;="&amp;I$49),"")))</f>
        <v/>
      </c>
      <c r="J235" s="140">
        <f>IF(J$49="","",IF($B235="","",IFERROR(SUMIFS('Dvd Calendar'!$E$376:$CZ$376,'Dvd Calendar'!$E$375:$CZ$375,"&gt;"&amp;J$48,'Dvd Calendar'!$E$375:$CZ$375,"&lt;="&amp;J$49),"")))</f>
        <v/>
      </c>
      <c r="K235" s="140">
        <f>IF(K$49="","",IF($B235="","",IFERROR(SUMIFS('Dvd Calendar'!$E$376:$CZ$376,'Dvd Calendar'!$E$375:$CZ$375,"&gt;"&amp;K$48,'Dvd Calendar'!$E$375:$CZ$375,"&lt;="&amp;K$49),"")))</f>
        <v/>
      </c>
      <c r="L235" s="140">
        <f>IF(L$49="","",IF($B235="","",IFERROR(SUMIFS('Dvd Calendar'!$E$376:$CZ$376,'Dvd Calendar'!$E$375:$CZ$375,"&gt;"&amp;L$48,'Dvd Calendar'!$E$375:$CZ$375,"&lt;="&amp;L$49),"")))</f>
        <v/>
      </c>
      <c r="M235" s="140">
        <f>IF(M$49="","",IF($B235="","",IFERROR(SUMIFS('Dvd Calendar'!$E$376:$CZ$376,'Dvd Calendar'!$E$375:$CZ$375,"&gt;"&amp;M$48,'Dvd Calendar'!$E$375:$CZ$375,"&lt;="&amp;M$49),"")))</f>
        <v/>
      </c>
      <c r="N235" s="140">
        <f>IF(N$49="","",IF($B235="","",IFERROR(SUMIFS('Dvd Calendar'!$E$376:$CZ$376,'Dvd Calendar'!$E$375:$CZ$375,"&gt;"&amp;N$48,'Dvd Calendar'!$E$375:$CZ$375,"&lt;="&amp;N$49),"")))</f>
        <v/>
      </c>
      <c r="O235" s="140">
        <f>IF(O$49="","",IF($B235="","",IFERROR(SUMIFS('Dvd Calendar'!$E$376:$CZ$376,'Dvd Calendar'!$E$375:$CZ$375,"&gt;"&amp;O$48,'Dvd Calendar'!$E$375:$CZ$375,"&lt;="&amp;O$49),"")))</f>
        <v/>
      </c>
      <c r="P235" s="140">
        <f>IF(P$49="","",IF($B235="","",IFERROR(SUMIFS('Dvd Calendar'!$E$376:$CZ$376,'Dvd Calendar'!$E$375:$CZ$375,"&gt;"&amp;P$48,'Dvd Calendar'!$E$375:$CZ$375,"&lt;="&amp;P$49),"")))</f>
        <v/>
      </c>
      <c r="Q235" s="140">
        <f>IF(Q$49="","",IF($B235="","",IFERROR(SUMIFS('Dvd Calendar'!$E$376:$CZ$376,'Dvd Calendar'!$E$375:$CZ$375,"&gt;"&amp;Q$48,'Dvd Calendar'!$E$375:$CZ$375,"&lt;="&amp;Q$49),"")))</f>
        <v/>
      </c>
      <c r="R235" s="140">
        <f>IF(R$49="","",IF($B235="","",IFERROR(SUMIFS('Dvd Calendar'!$E$376:$CZ$376,'Dvd Calendar'!$E$375:$CZ$375,"&gt;"&amp;R$48,'Dvd Calendar'!$E$375:$CZ$375,"&lt;="&amp;R$49),"")))</f>
        <v/>
      </c>
    </row>
    <row r="236">
      <c r="B236" s="5">
        <f>IF(AS51!$C$191="","",AS51!$C$191)</f>
        <v/>
      </c>
      <c r="C236" s="140">
        <f>IF(C$49="","",IF($B236="","",IFERROR(SUMIFS('Dvd Calendar'!$E$378:$CZ$378,'Dvd Calendar'!$E$377:$CZ$377,"&gt;"&amp;C$48,'Dvd Calendar'!$E$377:$CZ$377,"&lt;="&amp;C$49),"")))</f>
        <v/>
      </c>
      <c r="D236" s="140">
        <f>IF(D$49="","",IF($B236="","",IFERROR(SUMIFS('Dvd Calendar'!$E$378:$CZ$378,'Dvd Calendar'!$E$377:$CZ$377,"&gt;"&amp;D$48,'Dvd Calendar'!$E$377:$CZ$377,"&lt;="&amp;D$49),"")))</f>
        <v/>
      </c>
      <c r="E236" s="140">
        <f>IF(E$49="","",IF($B236="","",IFERROR(SUMIFS('Dvd Calendar'!$E$378:$CZ$378,'Dvd Calendar'!$E$377:$CZ$377,"&gt;"&amp;E$48,'Dvd Calendar'!$E$377:$CZ$377,"&lt;="&amp;E$49),"")))</f>
        <v/>
      </c>
      <c r="F236" s="140">
        <f>IF(F$49="","",IF($B236="","",IFERROR(SUMIFS('Dvd Calendar'!$E$378:$CZ$378,'Dvd Calendar'!$E$377:$CZ$377,"&gt;"&amp;F$48,'Dvd Calendar'!$E$377:$CZ$377,"&lt;="&amp;F$49),"")))</f>
        <v/>
      </c>
      <c r="G236" s="140">
        <f>IF(G$49="","",IF($B236="","",IFERROR(SUMIFS('Dvd Calendar'!$E$378:$CZ$378,'Dvd Calendar'!$E$377:$CZ$377,"&gt;"&amp;G$48,'Dvd Calendar'!$E$377:$CZ$377,"&lt;="&amp;G$49),"")))</f>
        <v/>
      </c>
      <c r="H236" s="140">
        <f>IF(H$49="","",IF($B236="","",IFERROR(SUMIFS('Dvd Calendar'!$E$378:$CZ$378,'Dvd Calendar'!$E$377:$CZ$377,"&gt;"&amp;H$48,'Dvd Calendar'!$E$377:$CZ$377,"&lt;="&amp;H$49),"")))</f>
        <v/>
      </c>
      <c r="I236" s="140">
        <f>IF(I$49="","",IF($B236="","",IFERROR(SUMIFS('Dvd Calendar'!$E$378:$CZ$378,'Dvd Calendar'!$E$377:$CZ$377,"&gt;"&amp;I$48,'Dvd Calendar'!$E$377:$CZ$377,"&lt;="&amp;I$49),"")))</f>
        <v/>
      </c>
      <c r="J236" s="140">
        <f>IF(J$49="","",IF($B236="","",IFERROR(SUMIFS('Dvd Calendar'!$E$378:$CZ$378,'Dvd Calendar'!$E$377:$CZ$377,"&gt;"&amp;J$48,'Dvd Calendar'!$E$377:$CZ$377,"&lt;="&amp;J$49),"")))</f>
        <v/>
      </c>
      <c r="K236" s="140">
        <f>IF(K$49="","",IF($B236="","",IFERROR(SUMIFS('Dvd Calendar'!$E$378:$CZ$378,'Dvd Calendar'!$E$377:$CZ$377,"&gt;"&amp;K$48,'Dvd Calendar'!$E$377:$CZ$377,"&lt;="&amp;K$49),"")))</f>
        <v/>
      </c>
      <c r="L236" s="140">
        <f>IF(L$49="","",IF($B236="","",IFERROR(SUMIFS('Dvd Calendar'!$E$378:$CZ$378,'Dvd Calendar'!$E$377:$CZ$377,"&gt;"&amp;L$48,'Dvd Calendar'!$E$377:$CZ$377,"&lt;="&amp;L$49),"")))</f>
        <v/>
      </c>
      <c r="M236" s="140">
        <f>IF(M$49="","",IF($B236="","",IFERROR(SUMIFS('Dvd Calendar'!$E$378:$CZ$378,'Dvd Calendar'!$E$377:$CZ$377,"&gt;"&amp;M$48,'Dvd Calendar'!$E$377:$CZ$377,"&lt;="&amp;M$49),"")))</f>
        <v/>
      </c>
      <c r="N236" s="140">
        <f>IF(N$49="","",IF($B236="","",IFERROR(SUMIFS('Dvd Calendar'!$E$378:$CZ$378,'Dvd Calendar'!$E$377:$CZ$377,"&gt;"&amp;N$48,'Dvd Calendar'!$E$377:$CZ$377,"&lt;="&amp;N$49),"")))</f>
        <v/>
      </c>
      <c r="O236" s="140">
        <f>IF(O$49="","",IF($B236="","",IFERROR(SUMIFS('Dvd Calendar'!$E$378:$CZ$378,'Dvd Calendar'!$E$377:$CZ$377,"&gt;"&amp;O$48,'Dvd Calendar'!$E$377:$CZ$377,"&lt;="&amp;O$49),"")))</f>
        <v/>
      </c>
      <c r="P236" s="140">
        <f>IF(P$49="","",IF($B236="","",IFERROR(SUMIFS('Dvd Calendar'!$E$378:$CZ$378,'Dvd Calendar'!$E$377:$CZ$377,"&gt;"&amp;P$48,'Dvd Calendar'!$E$377:$CZ$377,"&lt;="&amp;P$49),"")))</f>
        <v/>
      </c>
      <c r="Q236" s="140">
        <f>IF(Q$49="","",IF($B236="","",IFERROR(SUMIFS('Dvd Calendar'!$E$378:$CZ$378,'Dvd Calendar'!$E$377:$CZ$377,"&gt;"&amp;Q$48,'Dvd Calendar'!$E$377:$CZ$377,"&lt;="&amp;Q$49),"")))</f>
        <v/>
      </c>
      <c r="R236" s="140">
        <f>IF(R$49="","",IF($B236="","",IFERROR(SUMIFS('Dvd Calendar'!$E$378:$CZ$378,'Dvd Calendar'!$E$377:$CZ$377,"&gt;"&amp;R$48,'Dvd Calendar'!$E$377:$CZ$377,"&lt;="&amp;R$49),"")))</f>
        <v/>
      </c>
    </row>
    <row r="237">
      <c r="B237" s="5">
        <f>IF(AS51!$C$192="","",AS51!$C$192)</f>
        <v/>
      </c>
      <c r="C237" s="140">
        <f>IF(C$49="","",IF($B237="","",IFERROR(SUMIFS('Dvd Calendar'!$E$380:$CZ$380,'Dvd Calendar'!$E$379:$CZ$379,"&gt;"&amp;C$48,'Dvd Calendar'!$E$379:$CZ$379,"&lt;="&amp;C$49),"")))</f>
        <v/>
      </c>
      <c r="D237" s="140">
        <f>IF(D$49="","",IF($B237="","",IFERROR(SUMIFS('Dvd Calendar'!$E$380:$CZ$380,'Dvd Calendar'!$E$379:$CZ$379,"&gt;"&amp;D$48,'Dvd Calendar'!$E$379:$CZ$379,"&lt;="&amp;D$49),"")))</f>
        <v/>
      </c>
      <c r="E237" s="140">
        <f>IF(E$49="","",IF($B237="","",IFERROR(SUMIFS('Dvd Calendar'!$E$380:$CZ$380,'Dvd Calendar'!$E$379:$CZ$379,"&gt;"&amp;E$48,'Dvd Calendar'!$E$379:$CZ$379,"&lt;="&amp;E$49),"")))</f>
        <v/>
      </c>
      <c r="F237" s="140">
        <f>IF(F$49="","",IF($B237="","",IFERROR(SUMIFS('Dvd Calendar'!$E$380:$CZ$380,'Dvd Calendar'!$E$379:$CZ$379,"&gt;"&amp;F$48,'Dvd Calendar'!$E$379:$CZ$379,"&lt;="&amp;F$49),"")))</f>
        <v/>
      </c>
      <c r="G237" s="140">
        <f>IF(G$49="","",IF($B237="","",IFERROR(SUMIFS('Dvd Calendar'!$E$380:$CZ$380,'Dvd Calendar'!$E$379:$CZ$379,"&gt;"&amp;G$48,'Dvd Calendar'!$E$379:$CZ$379,"&lt;="&amp;G$49),"")))</f>
        <v/>
      </c>
      <c r="H237" s="140">
        <f>IF(H$49="","",IF($B237="","",IFERROR(SUMIFS('Dvd Calendar'!$E$380:$CZ$380,'Dvd Calendar'!$E$379:$CZ$379,"&gt;"&amp;H$48,'Dvd Calendar'!$E$379:$CZ$379,"&lt;="&amp;H$49),"")))</f>
        <v/>
      </c>
      <c r="I237" s="140">
        <f>IF(I$49="","",IF($B237="","",IFERROR(SUMIFS('Dvd Calendar'!$E$380:$CZ$380,'Dvd Calendar'!$E$379:$CZ$379,"&gt;"&amp;I$48,'Dvd Calendar'!$E$379:$CZ$379,"&lt;="&amp;I$49),"")))</f>
        <v/>
      </c>
      <c r="J237" s="140">
        <f>IF(J$49="","",IF($B237="","",IFERROR(SUMIFS('Dvd Calendar'!$E$380:$CZ$380,'Dvd Calendar'!$E$379:$CZ$379,"&gt;"&amp;J$48,'Dvd Calendar'!$E$379:$CZ$379,"&lt;="&amp;J$49),"")))</f>
        <v/>
      </c>
      <c r="K237" s="140">
        <f>IF(K$49="","",IF($B237="","",IFERROR(SUMIFS('Dvd Calendar'!$E$380:$CZ$380,'Dvd Calendar'!$E$379:$CZ$379,"&gt;"&amp;K$48,'Dvd Calendar'!$E$379:$CZ$379,"&lt;="&amp;K$49),"")))</f>
        <v/>
      </c>
      <c r="L237" s="140">
        <f>IF(L$49="","",IF($B237="","",IFERROR(SUMIFS('Dvd Calendar'!$E$380:$CZ$380,'Dvd Calendar'!$E$379:$CZ$379,"&gt;"&amp;L$48,'Dvd Calendar'!$E$379:$CZ$379,"&lt;="&amp;L$49),"")))</f>
        <v/>
      </c>
      <c r="M237" s="140">
        <f>IF(M$49="","",IF($B237="","",IFERROR(SUMIFS('Dvd Calendar'!$E$380:$CZ$380,'Dvd Calendar'!$E$379:$CZ$379,"&gt;"&amp;M$48,'Dvd Calendar'!$E$379:$CZ$379,"&lt;="&amp;M$49),"")))</f>
        <v/>
      </c>
      <c r="N237" s="140">
        <f>IF(N$49="","",IF($B237="","",IFERROR(SUMIFS('Dvd Calendar'!$E$380:$CZ$380,'Dvd Calendar'!$E$379:$CZ$379,"&gt;"&amp;N$48,'Dvd Calendar'!$E$379:$CZ$379,"&lt;="&amp;N$49),"")))</f>
        <v/>
      </c>
      <c r="O237" s="140">
        <f>IF(O$49="","",IF($B237="","",IFERROR(SUMIFS('Dvd Calendar'!$E$380:$CZ$380,'Dvd Calendar'!$E$379:$CZ$379,"&gt;"&amp;O$48,'Dvd Calendar'!$E$379:$CZ$379,"&lt;="&amp;O$49),"")))</f>
        <v/>
      </c>
      <c r="P237" s="140">
        <f>IF(P$49="","",IF($B237="","",IFERROR(SUMIFS('Dvd Calendar'!$E$380:$CZ$380,'Dvd Calendar'!$E$379:$CZ$379,"&gt;"&amp;P$48,'Dvd Calendar'!$E$379:$CZ$379,"&lt;="&amp;P$49),"")))</f>
        <v/>
      </c>
      <c r="Q237" s="140">
        <f>IF(Q$49="","",IF($B237="","",IFERROR(SUMIFS('Dvd Calendar'!$E$380:$CZ$380,'Dvd Calendar'!$E$379:$CZ$379,"&gt;"&amp;Q$48,'Dvd Calendar'!$E$379:$CZ$379,"&lt;="&amp;Q$49),"")))</f>
        <v/>
      </c>
      <c r="R237" s="140">
        <f>IF(R$49="","",IF($B237="","",IFERROR(SUMIFS('Dvd Calendar'!$E$380:$CZ$380,'Dvd Calendar'!$E$379:$CZ$379,"&gt;"&amp;R$48,'Dvd Calendar'!$E$379:$CZ$379,"&lt;="&amp;R$49),"")))</f>
        <v/>
      </c>
    </row>
    <row r="238">
      <c r="B238" s="5">
        <f>IF(AS51!$C$193="","",AS51!$C$193)</f>
        <v/>
      </c>
      <c r="C238" s="140">
        <f>IF(C$49="","",IF($B238="","",IFERROR(SUMIFS('Dvd Calendar'!$E$382:$CZ$382,'Dvd Calendar'!$E$381:$CZ$381,"&gt;"&amp;C$48,'Dvd Calendar'!$E$381:$CZ$381,"&lt;="&amp;C$49),"")))</f>
        <v/>
      </c>
      <c r="D238" s="140">
        <f>IF(D$49="","",IF($B238="","",IFERROR(SUMIFS('Dvd Calendar'!$E$382:$CZ$382,'Dvd Calendar'!$E$381:$CZ$381,"&gt;"&amp;D$48,'Dvd Calendar'!$E$381:$CZ$381,"&lt;="&amp;D$49),"")))</f>
        <v/>
      </c>
      <c r="E238" s="140">
        <f>IF(E$49="","",IF($B238="","",IFERROR(SUMIFS('Dvd Calendar'!$E$382:$CZ$382,'Dvd Calendar'!$E$381:$CZ$381,"&gt;"&amp;E$48,'Dvd Calendar'!$E$381:$CZ$381,"&lt;="&amp;E$49),"")))</f>
        <v/>
      </c>
      <c r="F238" s="140">
        <f>IF(F$49="","",IF($B238="","",IFERROR(SUMIFS('Dvd Calendar'!$E$382:$CZ$382,'Dvd Calendar'!$E$381:$CZ$381,"&gt;"&amp;F$48,'Dvd Calendar'!$E$381:$CZ$381,"&lt;="&amp;F$49),"")))</f>
        <v/>
      </c>
      <c r="G238" s="140">
        <f>IF(G$49="","",IF($B238="","",IFERROR(SUMIFS('Dvd Calendar'!$E$382:$CZ$382,'Dvd Calendar'!$E$381:$CZ$381,"&gt;"&amp;G$48,'Dvd Calendar'!$E$381:$CZ$381,"&lt;="&amp;G$49),"")))</f>
        <v/>
      </c>
      <c r="H238" s="140">
        <f>IF(H$49="","",IF($B238="","",IFERROR(SUMIFS('Dvd Calendar'!$E$382:$CZ$382,'Dvd Calendar'!$E$381:$CZ$381,"&gt;"&amp;H$48,'Dvd Calendar'!$E$381:$CZ$381,"&lt;="&amp;H$49),"")))</f>
        <v/>
      </c>
      <c r="I238" s="140">
        <f>IF(I$49="","",IF($B238="","",IFERROR(SUMIFS('Dvd Calendar'!$E$382:$CZ$382,'Dvd Calendar'!$E$381:$CZ$381,"&gt;"&amp;I$48,'Dvd Calendar'!$E$381:$CZ$381,"&lt;="&amp;I$49),"")))</f>
        <v/>
      </c>
      <c r="J238" s="140">
        <f>IF(J$49="","",IF($B238="","",IFERROR(SUMIFS('Dvd Calendar'!$E$382:$CZ$382,'Dvd Calendar'!$E$381:$CZ$381,"&gt;"&amp;J$48,'Dvd Calendar'!$E$381:$CZ$381,"&lt;="&amp;J$49),"")))</f>
        <v/>
      </c>
      <c r="K238" s="140">
        <f>IF(K$49="","",IF($B238="","",IFERROR(SUMIFS('Dvd Calendar'!$E$382:$CZ$382,'Dvd Calendar'!$E$381:$CZ$381,"&gt;"&amp;K$48,'Dvd Calendar'!$E$381:$CZ$381,"&lt;="&amp;K$49),"")))</f>
        <v/>
      </c>
      <c r="L238" s="140">
        <f>IF(L$49="","",IF($B238="","",IFERROR(SUMIFS('Dvd Calendar'!$E$382:$CZ$382,'Dvd Calendar'!$E$381:$CZ$381,"&gt;"&amp;L$48,'Dvd Calendar'!$E$381:$CZ$381,"&lt;="&amp;L$49),"")))</f>
        <v/>
      </c>
      <c r="M238" s="140">
        <f>IF(M$49="","",IF($B238="","",IFERROR(SUMIFS('Dvd Calendar'!$E$382:$CZ$382,'Dvd Calendar'!$E$381:$CZ$381,"&gt;"&amp;M$48,'Dvd Calendar'!$E$381:$CZ$381,"&lt;="&amp;M$49),"")))</f>
        <v/>
      </c>
      <c r="N238" s="140">
        <f>IF(N$49="","",IF($B238="","",IFERROR(SUMIFS('Dvd Calendar'!$E$382:$CZ$382,'Dvd Calendar'!$E$381:$CZ$381,"&gt;"&amp;N$48,'Dvd Calendar'!$E$381:$CZ$381,"&lt;="&amp;N$49),"")))</f>
        <v/>
      </c>
      <c r="O238" s="140">
        <f>IF(O$49="","",IF($B238="","",IFERROR(SUMIFS('Dvd Calendar'!$E$382:$CZ$382,'Dvd Calendar'!$E$381:$CZ$381,"&gt;"&amp;O$48,'Dvd Calendar'!$E$381:$CZ$381,"&lt;="&amp;O$49),"")))</f>
        <v/>
      </c>
      <c r="P238" s="140">
        <f>IF(P$49="","",IF($B238="","",IFERROR(SUMIFS('Dvd Calendar'!$E$382:$CZ$382,'Dvd Calendar'!$E$381:$CZ$381,"&gt;"&amp;P$48,'Dvd Calendar'!$E$381:$CZ$381,"&lt;="&amp;P$49),"")))</f>
        <v/>
      </c>
      <c r="Q238" s="140">
        <f>IF(Q$49="","",IF($B238="","",IFERROR(SUMIFS('Dvd Calendar'!$E$382:$CZ$382,'Dvd Calendar'!$E$381:$CZ$381,"&gt;"&amp;Q$48,'Dvd Calendar'!$E$381:$CZ$381,"&lt;="&amp;Q$49),"")))</f>
        <v/>
      </c>
      <c r="R238" s="140">
        <f>IF(R$49="","",IF($B238="","",IFERROR(SUMIFS('Dvd Calendar'!$E$382:$CZ$382,'Dvd Calendar'!$E$381:$CZ$381,"&gt;"&amp;R$48,'Dvd Calendar'!$E$381:$CZ$381,"&lt;="&amp;R$49),"")))</f>
        <v/>
      </c>
    </row>
    <row r="239">
      <c r="B239" s="5">
        <f>IF(AS51!$C$194="","",AS51!$C$194)</f>
        <v/>
      </c>
      <c r="C239" s="140">
        <f>IF(C$49="","",IF($B239="","",IFERROR(SUMIFS('Dvd Calendar'!$E$384:$CZ$384,'Dvd Calendar'!$E$383:$CZ$383,"&gt;"&amp;C$48,'Dvd Calendar'!$E$383:$CZ$383,"&lt;="&amp;C$49),"")))</f>
        <v/>
      </c>
      <c r="D239" s="140">
        <f>IF(D$49="","",IF($B239="","",IFERROR(SUMIFS('Dvd Calendar'!$E$384:$CZ$384,'Dvd Calendar'!$E$383:$CZ$383,"&gt;"&amp;D$48,'Dvd Calendar'!$E$383:$CZ$383,"&lt;="&amp;D$49),"")))</f>
        <v/>
      </c>
      <c r="E239" s="140">
        <f>IF(E$49="","",IF($B239="","",IFERROR(SUMIFS('Dvd Calendar'!$E$384:$CZ$384,'Dvd Calendar'!$E$383:$CZ$383,"&gt;"&amp;E$48,'Dvd Calendar'!$E$383:$CZ$383,"&lt;="&amp;E$49),"")))</f>
        <v/>
      </c>
      <c r="F239" s="140">
        <f>IF(F$49="","",IF($B239="","",IFERROR(SUMIFS('Dvd Calendar'!$E$384:$CZ$384,'Dvd Calendar'!$E$383:$CZ$383,"&gt;"&amp;F$48,'Dvd Calendar'!$E$383:$CZ$383,"&lt;="&amp;F$49),"")))</f>
        <v/>
      </c>
      <c r="G239" s="140">
        <f>IF(G$49="","",IF($B239="","",IFERROR(SUMIFS('Dvd Calendar'!$E$384:$CZ$384,'Dvd Calendar'!$E$383:$CZ$383,"&gt;"&amp;G$48,'Dvd Calendar'!$E$383:$CZ$383,"&lt;="&amp;G$49),"")))</f>
        <v/>
      </c>
      <c r="H239" s="140">
        <f>IF(H$49="","",IF($B239="","",IFERROR(SUMIFS('Dvd Calendar'!$E$384:$CZ$384,'Dvd Calendar'!$E$383:$CZ$383,"&gt;"&amp;H$48,'Dvd Calendar'!$E$383:$CZ$383,"&lt;="&amp;H$49),"")))</f>
        <v/>
      </c>
      <c r="I239" s="140">
        <f>IF(I$49="","",IF($B239="","",IFERROR(SUMIFS('Dvd Calendar'!$E$384:$CZ$384,'Dvd Calendar'!$E$383:$CZ$383,"&gt;"&amp;I$48,'Dvd Calendar'!$E$383:$CZ$383,"&lt;="&amp;I$49),"")))</f>
        <v/>
      </c>
      <c r="J239" s="140">
        <f>IF(J$49="","",IF($B239="","",IFERROR(SUMIFS('Dvd Calendar'!$E$384:$CZ$384,'Dvd Calendar'!$E$383:$CZ$383,"&gt;"&amp;J$48,'Dvd Calendar'!$E$383:$CZ$383,"&lt;="&amp;J$49),"")))</f>
        <v/>
      </c>
      <c r="K239" s="140">
        <f>IF(K$49="","",IF($B239="","",IFERROR(SUMIFS('Dvd Calendar'!$E$384:$CZ$384,'Dvd Calendar'!$E$383:$CZ$383,"&gt;"&amp;K$48,'Dvd Calendar'!$E$383:$CZ$383,"&lt;="&amp;K$49),"")))</f>
        <v/>
      </c>
      <c r="L239" s="140">
        <f>IF(L$49="","",IF($B239="","",IFERROR(SUMIFS('Dvd Calendar'!$E$384:$CZ$384,'Dvd Calendar'!$E$383:$CZ$383,"&gt;"&amp;L$48,'Dvd Calendar'!$E$383:$CZ$383,"&lt;="&amp;L$49),"")))</f>
        <v/>
      </c>
      <c r="M239" s="140">
        <f>IF(M$49="","",IF($B239="","",IFERROR(SUMIFS('Dvd Calendar'!$E$384:$CZ$384,'Dvd Calendar'!$E$383:$CZ$383,"&gt;"&amp;M$48,'Dvd Calendar'!$E$383:$CZ$383,"&lt;="&amp;M$49),"")))</f>
        <v/>
      </c>
      <c r="N239" s="140">
        <f>IF(N$49="","",IF($B239="","",IFERROR(SUMIFS('Dvd Calendar'!$E$384:$CZ$384,'Dvd Calendar'!$E$383:$CZ$383,"&gt;"&amp;N$48,'Dvd Calendar'!$E$383:$CZ$383,"&lt;="&amp;N$49),"")))</f>
        <v/>
      </c>
      <c r="O239" s="140">
        <f>IF(O$49="","",IF($B239="","",IFERROR(SUMIFS('Dvd Calendar'!$E$384:$CZ$384,'Dvd Calendar'!$E$383:$CZ$383,"&gt;"&amp;O$48,'Dvd Calendar'!$E$383:$CZ$383,"&lt;="&amp;O$49),"")))</f>
        <v/>
      </c>
      <c r="P239" s="140">
        <f>IF(P$49="","",IF($B239="","",IFERROR(SUMIFS('Dvd Calendar'!$E$384:$CZ$384,'Dvd Calendar'!$E$383:$CZ$383,"&gt;"&amp;P$48,'Dvd Calendar'!$E$383:$CZ$383,"&lt;="&amp;P$49),"")))</f>
        <v/>
      </c>
      <c r="Q239" s="140">
        <f>IF(Q$49="","",IF($B239="","",IFERROR(SUMIFS('Dvd Calendar'!$E$384:$CZ$384,'Dvd Calendar'!$E$383:$CZ$383,"&gt;"&amp;Q$48,'Dvd Calendar'!$E$383:$CZ$383,"&lt;="&amp;Q$49),"")))</f>
        <v/>
      </c>
      <c r="R239" s="140">
        <f>IF(R$49="","",IF($B239="","",IFERROR(SUMIFS('Dvd Calendar'!$E$384:$CZ$384,'Dvd Calendar'!$E$383:$CZ$383,"&gt;"&amp;R$48,'Dvd Calendar'!$E$383:$CZ$383,"&lt;="&amp;R$49),"")))</f>
        <v/>
      </c>
    </row>
    <row r="240">
      <c r="B240" s="5">
        <f>IF(AS51!$C$195="","",AS51!$C$195)</f>
        <v/>
      </c>
      <c r="C240" s="140">
        <f>IF(C$49="","",IF($B240="","",IFERROR(SUMIFS('Dvd Calendar'!$E$386:$CZ$386,'Dvd Calendar'!$E$385:$CZ$385,"&gt;"&amp;C$48,'Dvd Calendar'!$E$385:$CZ$385,"&lt;="&amp;C$49),"")))</f>
        <v/>
      </c>
      <c r="D240" s="140">
        <f>IF(D$49="","",IF($B240="","",IFERROR(SUMIFS('Dvd Calendar'!$E$386:$CZ$386,'Dvd Calendar'!$E$385:$CZ$385,"&gt;"&amp;D$48,'Dvd Calendar'!$E$385:$CZ$385,"&lt;="&amp;D$49),"")))</f>
        <v/>
      </c>
      <c r="E240" s="140">
        <f>IF(E$49="","",IF($B240="","",IFERROR(SUMIFS('Dvd Calendar'!$E$386:$CZ$386,'Dvd Calendar'!$E$385:$CZ$385,"&gt;"&amp;E$48,'Dvd Calendar'!$E$385:$CZ$385,"&lt;="&amp;E$49),"")))</f>
        <v/>
      </c>
      <c r="F240" s="140">
        <f>IF(F$49="","",IF($B240="","",IFERROR(SUMIFS('Dvd Calendar'!$E$386:$CZ$386,'Dvd Calendar'!$E$385:$CZ$385,"&gt;"&amp;F$48,'Dvd Calendar'!$E$385:$CZ$385,"&lt;="&amp;F$49),"")))</f>
        <v/>
      </c>
      <c r="G240" s="140">
        <f>IF(G$49="","",IF($B240="","",IFERROR(SUMIFS('Dvd Calendar'!$E$386:$CZ$386,'Dvd Calendar'!$E$385:$CZ$385,"&gt;"&amp;G$48,'Dvd Calendar'!$E$385:$CZ$385,"&lt;="&amp;G$49),"")))</f>
        <v/>
      </c>
      <c r="H240" s="140">
        <f>IF(H$49="","",IF($B240="","",IFERROR(SUMIFS('Dvd Calendar'!$E$386:$CZ$386,'Dvd Calendar'!$E$385:$CZ$385,"&gt;"&amp;H$48,'Dvd Calendar'!$E$385:$CZ$385,"&lt;="&amp;H$49),"")))</f>
        <v/>
      </c>
      <c r="I240" s="140">
        <f>IF(I$49="","",IF($B240="","",IFERROR(SUMIFS('Dvd Calendar'!$E$386:$CZ$386,'Dvd Calendar'!$E$385:$CZ$385,"&gt;"&amp;I$48,'Dvd Calendar'!$E$385:$CZ$385,"&lt;="&amp;I$49),"")))</f>
        <v/>
      </c>
      <c r="J240" s="140">
        <f>IF(J$49="","",IF($B240="","",IFERROR(SUMIFS('Dvd Calendar'!$E$386:$CZ$386,'Dvd Calendar'!$E$385:$CZ$385,"&gt;"&amp;J$48,'Dvd Calendar'!$E$385:$CZ$385,"&lt;="&amp;J$49),"")))</f>
        <v/>
      </c>
      <c r="K240" s="140">
        <f>IF(K$49="","",IF($B240="","",IFERROR(SUMIFS('Dvd Calendar'!$E$386:$CZ$386,'Dvd Calendar'!$E$385:$CZ$385,"&gt;"&amp;K$48,'Dvd Calendar'!$E$385:$CZ$385,"&lt;="&amp;K$49),"")))</f>
        <v/>
      </c>
      <c r="L240" s="140">
        <f>IF(L$49="","",IF($B240="","",IFERROR(SUMIFS('Dvd Calendar'!$E$386:$CZ$386,'Dvd Calendar'!$E$385:$CZ$385,"&gt;"&amp;L$48,'Dvd Calendar'!$E$385:$CZ$385,"&lt;="&amp;L$49),"")))</f>
        <v/>
      </c>
      <c r="M240" s="140">
        <f>IF(M$49="","",IF($B240="","",IFERROR(SUMIFS('Dvd Calendar'!$E$386:$CZ$386,'Dvd Calendar'!$E$385:$CZ$385,"&gt;"&amp;M$48,'Dvd Calendar'!$E$385:$CZ$385,"&lt;="&amp;M$49),"")))</f>
        <v/>
      </c>
      <c r="N240" s="140">
        <f>IF(N$49="","",IF($B240="","",IFERROR(SUMIFS('Dvd Calendar'!$E$386:$CZ$386,'Dvd Calendar'!$E$385:$CZ$385,"&gt;"&amp;N$48,'Dvd Calendar'!$E$385:$CZ$385,"&lt;="&amp;N$49),"")))</f>
        <v/>
      </c>
      <c r="O240" s="140">
        <f>IF(O$49="","",IF($B240="","",IFERROR(SUMIFS('Dvd Calendar'!$E$386:$CZ$386,'Dvd Calendar'!$E$385:$CZ$385,"&gt;"&amp;O$48,'Dvd Calendar'!$E$385:$CZ$385,"&lt;="&amp;O$49),"")))</f>
        <v/>
      </c>
      <c r="P240" s="140">
        <f>IF(P$49="","",IF($B240="","",IFERROR(SUMIFS('Dvd Calendar'!$E$386:$CZ$386,'Dvd Calendar'!$E$385:$CZ$385,"&gt;"&amp;P$48,'Dvd Calendar'!$E$385:$CZ$385,"&lt;="&amp;P$49),"")))</f>
        <v/>
      </c>
      <c r="Q240" s="140">
        <f>IF(Q$49="","",IF($B240="","",IFERROR(SUMIFS('Dvd Calendar'!$E$386:$CZ$386,'Dvd Calendar'!$E$385:$CZ$385,"&gt;"&amp;Q$48,'Dvd Calendar'!$E$385:$CZ$385,"&lt;="&amp;Q$49),"")))</f>
        <v/>
      </c>
      <c r="R240" s="140">
        <f>IF(R$49="","",IF($B240="","",IFERROR(SUMIFS('Dvd Calendar'!$E$386:$CZ$386,'Dvd Calendar'!$E$385:$CZ$385,"&gt;"&amp;R$48,'Dvd Calendar'!$E$385:$CZ$385,"&lt;="&amp;R$49),"")))</f>
        <v/>
      </c>
    </row>
    <row r="241">
      <c r="B241" s="5">
        <f>IF(AS51!$C$196="","",AS51!$C$196)</f>
        <v/>
      </c>
      <c r="C241" s="140">
        <f>IF(C$49="","",IF($B241="","",IFERROR(SUMIFS('Dvd Calendar'!$E$388:$CZ$388,'Dvd Calendar'!$E$387:$CZ$387,"&gt;"&amp;C$48,'Dvd Calendar'!$E$387:$CZ$387,"&lt;="&amp;C$49),"")))</f>
        <v/>
      </c>
      <c r="D241" s="140">
        <f>IF(D$49="","",IF($B241="","",IFERROR(SUMIFS('Dvd Calendar'!$E$388:$CZ$388,'Dvd Calendar'!$E$387:$CZ$387,"&gt;"&amp;D$48,'Dvd Calendar'!$E$387:$CZ$387,"&lt;="&amp;D$49),"")))</f>
        <v/>
      </c>
      <c r="E241" s="140">
        <f>IF(E$49="","",IF($B241="","",IFERROR(SUMIFS('Dvd Calendar'!$E$388:$CZ$388,'Dvd Calendar'!$E$387:$CZ$387,"&gt;"&amp;E$48,'Dvd Calendar'!$E$387:$CZ$387,"&lt;="&amp;E$49),"")))</f>
        <v/>
      </c>
      <c r="F241" s="140">
        <f>IF(F$49="","",IF($B241="","",IFERROR(SUMIFS('Dvd Calendar'!$E$388:$CZ$388,'Dvd Calendar'!$E$387:$CZ$387,"&gt;"&amp;F$48,'Dvd Calendar'!$E$387:$CZ$387,"&lt;="&amp;F$49),"")))</f>
        <v/>
      </c>
      <c r="G241" s="140">
        <f>IF(G$49="","",IF($B241="","",IFERROR(SUMIFS('Dvd Calendar'!$E$388:$CZ$388,'Dvd Calendar'!$E$387:$CZ$387,"&gt;"&amp;G$48,'Dvd Calendar'!$E$387:$CZ$387,"&lt;="&amp;G$49),"")))</f>
        <v/>
      </c>
      <c r="H241" s="140">
        <f>IF(H$49="","",IF($B241="","",IFERROR(SUMIFS('Dvd Calendar'!$E$388:$CZ$388,'Dvd Calendar'!$E$387:$CZ$387,"&gt;"&amp;H$48,'Dvd Calendar'!$E$387:$CZ$387,"&lt;="&amp;H$49),"")))</f>
        <v/>
      </c>
      <c r="I241" s="140">
        <f>IF(I$49="","",IF($B241="","",IFERROR(SUMIFS('Dvd Calendar'!$E$388:$CZ$388,'Dvd Calendar'!$E$387:$CZ$387,"&gt;"&amp;I$48,'Dvd Calendar'!$E$387:$CZ$387,"&lt;="&amp;I$49),"")))</f>
        <v/>
      </c>
      <c r="J241" s="140">
        <f>IF(J$49="","",IF($B241="","",IFERROR(SUMIFS('Dvd Calendar'!$E$388:$CZ$388,'Dvd Calendar'!$E$387:$CZ$387,"&gt;"&amp;J$48,'Dvd Calendar'!$E$387:$CZ$387,"&lt;="&amp;J$49),"")))</f>
        <v/>
      </c>
      <c r="K241" s="140">
        <f>IF(K$49="","",IF($B241="","",IFERROR(SUMIFS('Dvd Calendar'!$E$388:$CZ$388,'Dvd Calendar'!$E$387:$CZ$387,"&gt;"&amp;K$48,'Dvd Calendar'!$E$387:$CZ$387,"&lt;="&amp;K$49),"")))</f>
        <v/>
      </c>
      <c r="L241" s="140">
        <f>IF(L$49="","",IF($B241="","",IFERROR(SUMIFS('Dvd Calendar'!$E$388:$CZ$388,'Dvd Calendar'!$E$387:$CZ$387,"&gt;"&amp;L$48,'Dvd Calendar'!$E$387:$CZ$387,"&lt;="&amp;L$49),"")))</f>
        <v/>
      </c>
      <c r="M241" s="140">
        <f>IF(M$49="","",IF($B241="","",IFERROR(SUMIFS('Dvd Calendar'!$E$388:$CZ$388,'Dvd Calendar'!$E$387:$CZ$387,"&gt;"&amp;M$48,'Dvd Calendar'!$E$387:$CZ$387,"&lt;="&amp;M$49),"")))</f>
        <v/>
      </c>
      <c r="N241" s="140">
        <f>IF(N$49="","",IF($B241="","",IFERROR(SUMIFS('Dvd Calendar'!$E$388:$CZ$388,'Dvd Calendar'!$E$387:$CZ$387,"&gt;"&amp;N$48,'Dvd Calendar'!$E$387:$CZ$387,"&lt;="&amp;N$49),"")))</f>
        <v/>
      </c>
      <c r="O241" s="140">
        <f>IF(O$49="","",IF($B241="","",IFERROR(SUMIFS('Dvd Calendar'!$E$388:$CZ$388,'Dvd Calendar'!$E$387:$CZ$387,"&gt;"&amp;O$48,'Dvd Calendar'!$E$387:$CZ$387,"&lt;="&amp;O$49),"")))</f>
        <v/>
      </c>
      <c r="P241" s="140">
        <f>IF(P$49="","",IF($B241="","",IFERROR(SUMIFS('Dvd Calendar'!$E$388:$CZ$388,'Dvd Calendar'!$E$387:$CZ$387,"&gt;"&amp;P$48,'Dvd Calendar'!$E$387:$CZ$387,"&lt;="&amp;P$49),"")))</f>
        <v/>
      </c>
      <c r="Q241" s="140">
        <f>IF(Q$49="","",IF($B241="","",IFERROR(SUMIFS('Dvd Calendar'!$E$388:$CZ$388,'Dvd Calendar'!$E$387:$CZ$387,"&gt;"&amp;Q$48,'Dvd Calendar'!$E$387:$CZ$387,"&lt;="&amp;Q$49),"")))</f>
        <v/>
      </c>
      <c r="R241" s="140">
        <f>IF(R$49="","",IF($B241="","",IFERROR(SUMIFS('Dvd Calendar'!$E$388:$CZ$388,'Dvd Calendar'!$E$387:$CZ$387,"&gt;"&amp;R$48,'Dvd Calendar'!$E$387:$CZ$387,"&lt;="&amp;R$49),"")))</f>
        <v/>
      </c>
    </row>
    <row r="242">
      <c r="B242" s="5">
        <f>IF(AS51!$C$197="","",AS51!$C$197)</f>
        <v/>
      </c>
      <c r="C242" s="140">
        <f>IF(C$49="","",IF($B242="","",IFERROR(SUMIFS('Dvd Calendar'!$E$390:$CZ$390,'Dvd Calendar'!$E$389:$CZ$389,"&gt;"&amp;C$48,'Dvd Calendar'!$E$389:$CZ$389,"&lt;="&amp;C$49),"")))</f>
        <v/>
      </c>
      <c r="D242" s="140">
        <f>IF(D$49="","",IF($B242="","",IFERROR(SUMIFS('Dvd Calendar'!$E$390:$CZ$390,'Dvd Calendar'!$E$389:$CZ$389,"&gt;"&amp;D$48,'Dvd Calendar'!$E$389:$CZ$389,"&lt;="&amp;D$49),"")))</f>
        <v/>
      </c>
      <c r="E242" s="140">
        <f>IF(E$49="","",IF($B242="","",IFERROR(SUMIFS('Dvd Calendar'!$E$390:$CZ$390,'Dvd Calendar'!$E$389:$CZ$389,"&gt;"&amp;E$48,'Dvd Calendar'!$E$389:$CZ$389,"&lt;="&amp;E$49),"")))</f>
        <v/>
      </c>
      <c r="F242" s="140">
        <f>IF(F$49="","",IF($B242="","",IFERROR(SUMIFS('Dvd Calendar'!$E$390:$CZ$390,'Dvd Calendar'!$E$389:$CZ$389,"&gt;"&amp;F$48,'Dvd Calendar'!$E$389:$CZ$389,"&lt;="&amp;F$49),"")))</f>
        <v/>
      </c>
      <c r="G242" s="140">
        <f>IF(G$49="","",IF($B242="","",IFERROR(SUMIFS('Dvd Calendar'!$E$390:$CZ$390,'Dvd Calendar'!$E$389:$CZ$389,"&gt;"&amp;G$48,'Dvd Calendar'!$E$389:$CZ$389,"&lt;="&amp;G$49),"")))</f>
        <v/>
      </c>
      <c r="H242" s="140">
        <f>IF(H$49="","",IF($B242="","",IFERROR(SUMIFS('Dvd Calendar'!$E$390:$CZ$390,'Dvd Calendar'!$E$389:$CZ$389,"&gt;"&amp;H$48,'Dvd Calendar'!$E$389:$CZ$389,"&lt;="&amp;H$49),"")))</f>
        <v/>
      </c>
      <c r="I242" s="140">
        <f>IF(I$49="","",IF($B242="","",IFERROR(SUMIFS('Dvd Calendar'!$E$390:$CZ$390,'Dvd Calendar'!$E$389:$CZ$389,"&gt;"&amp;I$48,'Dvd Calendar'!$E$389:$CZ$389,"&lt;="&amp;I$49),"")))</f>
        <v/>
      </c>
      <c r="J242" s="140">
        <f>IF(J$49="","",IF($B242="","",IFERROR(SUMIFS('Dvd Calendar'!$E$390:$CZ$390,'Dvd Calendar'!$E$389:$CZ$389,"&gt;"&amp;J$48,'Dvd Calendar'!$E$389:$CZ$389,"&lt;="&amp;J$49),"")))</f>
        <v/>
      </c>
      <c r="K242" s="140">
        <f>IF(K$49="","",IF($B242="","",IFERROR(SUMIFS('Dvd Calendar'!$E$390:$CZ$390,'Dvd Calendar'!$E$389:$CZ$389,"&gt;"&amp;K$48,'Dvd Calendar'!$E$389:$CZ$389,"&lt;="&amp;K$49),"")))</f>
        <v/>
      </c>
      <c r="L242" s="140">
        <f>IF(L$49="","",IF($B242="","",IFERROR(SUMIFS('Dvd Calendar'!$E$390:$CZ$390,'Dvd Calendar'!$E$389:$CZ$389,"&gt;"&amp;L$48,'Dvd Calendar'!$E$389:$CZ$389,"&lt;="&amp;L$49),"")))</f>
        <v/>
      </c>
      <c r="M242" s="140">
        <f>IF(M$49="","",IF($B242="","",IFERROR(SUMIFS('Dvd Calendar'!$E$390:$CZ$390,'Dvd Calendar'!$E$389:$CZ$389,"&gt;"&amp;M$48,'Dvd Calendar'!$E$389:$CZ$389,"&lt;="&amp;M$49),"")))</f>
        <v/>
      </c>
      <c r="N242" s="140">
        <f>IF(N$49="","",IF($B242="","",IFERROR(SUMIFS('Dvd Calendar'!$E$390:$CZ$390,'Dvd Calendar'!$E$389:$CZ$389,"&gt;"&amp;N$48,'Dvd Calendar'!$E$389:$CZ$389,"&lt;="&amp;N$49),"")))</f>
        <v/>
      </c>
      <c r="O242" s="140">
        <f>IF(O$49="","",IF($B242="","",IFERROR(SUMIFS('Dvd Calendar'!$E$390:$CZ$390,'Dvd Calendar'!$E$389:$CZ$389,"&gt;"&amp;O$48,'Dvd Calendar'!$E$389:$CZ$389,"&lt;="&amp;O$49),"")))</f>
        <v/>
      </c>
      <c r="P242" s="140">
        <f>IF(P$49="","",IF($B242="","",IFERROR(SUMIFS('Dvd Calendar'!$E$390:$CZ$390,'Dvd Calendar'!$E$389:$CZ$389,"&gt;"&amp;P$48,'Dvd Calendar'!$E$389:$CZ$389,"&lt;="&amp;P$49),"")))</f>
        <v/>
      </c>
      <c r="Q242" s="140">
        <f>IF(Q$49="","",IF($B242="","",IFERROR(SUMIFS('Dvd Calendar'!$E$390:$CZ$390,'Dvd Calendar'!$E$389:$CZ$389,"&gt;"&amp;Q$48,'Dvd Calendar'!$E$389:$CZ$389,"&lt;="&amp;Q$49),"")))</f>
        <v/>
      </c>
      <c r="R242" s="140">
        <f>IF(R$49="","",IF($B242="","",IFERROR(SUMIFS('Dvd Calendar'!$E$390:$CZ$390,'Dvd Calendar'!$E$389:$CZ$389,"&gt;"&amp;R$48,'Dvd Calendar'!$E$389:$CZ$389,"&lt;="&amp;R$49),"")))</f>
        <v/>
      </c>
    </row>
    <row r="243">
      <c r="B243" s="5">
        <f>IF(AS51!$C$198="","",AS51!$C$198)</f>
        <v/>
      </c>
      <c r="C243" s="140">
        <f>IF(C$49="","",IF($B243="","",IFERROR(SUMIFS('Dvd Calendar'!$E$392:$CZ$392,'Dvd Calendar'!$E$391:$CZ$391,"&gt;"&amp;C$48,'Dvd Calendar'!$E$391:$CZ$391,"&lt;="&amp;C$49),"")))</f>
        <v/>
      </c>
      <c r="D243" s="140">
        <f>IF(D$49="","",IF($B243="","",IFERROR(SUMIFS('Dvd Calendar'!$E$392:$CZ$392,'Dvd Calendar'!$E$391:$CZ$391,"&gt;"&amp;D$48,'Dvd Calendar'!$E$391:$CZ$391,"&lt;="&amp;D$49),"")))</f>
        <v/>
      </c>
      <c r="E243" s="140">
        <f>IF(E$49="","",IF($B243="","",IFERROR(SUMIFS('Dvd Calendar'!$E$392:$CZ$392,'Dvd Calendar'!$E$391:$CZ$391,"&gt;"&amp;E$48,'Dvd Calendar'!$E$391:$CZ$391,"&lt;="&amp;E$49),"")))</f>
        <v/>
      </c>
      <c r="F243" s="140">
        <f>IF(F$49="","",IF($B243="","",IFERROR(SUMIFS('Dvd Calendar'!$E$392:$CZ$392,'Dvd Calendar'!$E$391:$CZ$391,"&gt;"&amp;F$48,'Dvd Calendar'!$E$391:$CZ$391,"&lt;="&amp;F$49),"")))</f>
        <v/>
      </c>
      <c r="G243" s="140">
        <f>IF(G$49="","",IF($B243="","",IFERROR(SUMIFS('Dvd Calendar'!$E$392:$CZ$392,'Dvd Calendar'!$E$391:$CZ$391,"&gt;"&amp;G$48,'Dvd Calendar'!$E$391:$CZ$391,"&lt;="&amp;G$49),"")))</f>
        <v/>
      </c>
      <c r="H243" s="140">
        <f>IF(H$49="","",IF($B243="","",IFERROR(SUMIFS('Dvd Calendar'!$E$392:$CZ$392,'Dvd Calendar'!$E$391:$CZ$391,"&gt;"&amp;H$48,'Dvd Calendar'!$E$391:$CZ$391,"&lt;="&amp;H$49),"")))</f>
        <v/>
      </c>
      <c r="I243" s="140">
        <f>IF(I$49="","",IF($B243="","",IFERROR(SUMIFS('Dvd Calendar'!$E$392:$CZ$392,'Dvd Calendar'!$E$391:$CZ$391,"&gt;"&amp;I$48,'Dvd Calendar'!$E$391:$CZ$391,"&lt;="&amp;I$49),"")))</f>
        <v/>
      </c>
      <c r="J243" s="140">
        <f>IF(J$49="","",IF($B243="","",IFERROR(SUMIFS('Dvd Calendar'!$E$392:$CZ$392,'Dvd Calendar'!$E$391:$CZ$391,"&gt;"&amp;J$48,'Dvd Calendar'!$E$391:$CZ$391,"&lt;="&amp;J$49),"")))</f>
        <v/>
      </c>
      <c r="K243" s="140">
        <f>IF(K$49="","",IF($B243="","",IFERROR(SUMIFS('Dvd Calendar'!$E$392:$CZ$392,'Dvd Calendar'!$E$391:$CZ$391,"&gt;"&amp;K$48,'Dvd Calendar'!$E$391:$CZ$391,"&lt;="&amp;K$49),"")))</f>
        <v/>
      </c>
      <c r="L243" s="140">
        <f>IF(L$49="","",IF($B243="","",IFERROR(SUMIFS('Dvd Calendar'!$E$392:$CZ$392,'Dvd Calendar'!$E$391:$CZ$391,"&gt;"&amp;L$48,'Dvd Calendar'!$E$391:$CZ$391,"&lt;="&amp;L$49),"")))</f>
        <v/>
      </c>
      <c r="M243" s="140">
        <f>IF(M$49="","",IF($B243="","",IFERROR(SUMIFS('Dvd Calendar'!$E$392:$CZ$392,'Dvd Calendar'!$E$391:$CZ$391,"&gt;"&amp;M$48,'Dvd Calendar'!$E$391:$CZ$391,"&lt;="&amp;M$49),"")))</f>
        <v/>
      </c>
      <c r="N243" s="140">
        <f>IF(N$49="","",IF($B243="","",IFERROR(SUMIFS('Dvd Calendar'!$E$392:$CZ$392,'Dvd Calendar'!$E$391:$CZ$391,"&gt;"&amp;N$48,'Dvd Calendar'!$E$391:$CZ$391,"&lt;="&amp;N$49),"")))</f>
        <v/>
      </c>
      <c r="O243" s="140">
        <f>IF(O$49="","",IF($B243="","",IFERROR(SUMIFS('Dvd Calendar'!$E$392:$CZ$392,'Dvd Calendar'!$E$391:$CZ$391,"&gt;"&amp;O$48,'Dvd Calendar'!$E$391:$CZ$391,"&lt;="&amp;O$49),"")))</f>
        <v/>
      </c>
      <c r="P243" s="140">
        <f>IF(P$49="","",IF($B243="","",IFERROR(SUMIFS('Dvd Calendar'!$E$392:$CZ$392,'Dvd Calendar'!$E$391:$CZ$391,"&gt;"&amp;P$48,'Dvd Calendar'!$E$391:$CZ$391,"&lt;="&amp;P$49),"")))</f>
        <v/>
      </c>
      <c r="Q243" s="140">
        <f>IF(Q$49="","",IF($B243="","",IFERROR(SUMIFS('Dvd Calendar'!$E$392:$CZ$392,'Dvd Calendar'!$E$391:$CZ$391,"&gt;"&amp;Q$48,'Dvd Calendar'!$E$391:$CZ$391,"&lt;="&amp;Q$49),"")))</f>
        <v/>
      </c>
      <c r="R243" s="140">
        <f>IF(R$49="","",IF($B243="","",IFERROR(SUMIFS('Dvd Calendar'!$E$392:$CZ$392,'Dvd Calendar'!$E$391:$CZ$391,"&gt;"&amp;R$48,'Dvd Calendar'!$E$391:$CZ$391,"&lt;="&amp;R$49),"")))</f>
        <v/>
      </c>
    </row>
    <row r="244">
      <c r="B244" s="5">
        <f>IF(AS51!$C$199="","",AS51!$C$199)</f>
        <v/>
      </c>
      <c r="C244" s="140">
        <f>IF(C$49="","",IF($B244="","",IFERROR(SUMIFS('Dvd Calendar'!$E$394:$CZ$394,'Dvd Calendar'!$E$393:$CZ$393,"&gt;"&amp;C$48,'Dvd Calendar'!$E$393:$CZ$393,"&lt;="&amp;C$49),"")))</f>
        <v/>
      </c>
      <c r="D244" s="140">
        <f>IF(D$49="","",IF($B244="","",IFERROR(SUMIFS('Dvd Calendar'!$E$394:$CZ$394,'Dvd Calendar'!$E$393:$CZ$393,"&gt;"&amp;D$48,'Dvd Calendar'!$E$393:$CZ$393,"&lt;="&amp;D$49),"")))</f>
        <v/>
      </c>
      <c r="E244" s="140">
        <f>IF(E$49="","",IF($B244="","",IFERROR(SUMIFS('Dvd Calendar'!$E$394:$CZ$394,'Dvd Calendar'!$E$393:$CZ$393,"&gt;"&amp;E$48,'Dvd Calendar'!$E$393:$CZ$393,"&lt;="&amp;E$49),"")))</f>
        <v/>
      </c>
      <c r="F244" s="140">
        <f>IF(F$49="","",IF($B244="","",IFERROR(SUMIFS('Dvd Calendar'!$E$394:$CZ$394,'Dvd Calendar'!$E$393:$CZ$393,"&gt;"&amp;F$48,'Dvd Calendar'!$E$393:$CZ$393,"&lt;="&amp;F$49),"")))</f>
        <v/>
      </c>
      <c r="G244" s="140">
        <f>IF(G$49="","",IF($B244="","",IFERROR(SUMIFS('Dvd Calendar'!$E$394:$CZ$394,'Dvd Calendar'!$E$393:$CZ$393,"&gt;"&amp;G$48,'Dvd Calendar'!$E$393:$CZ$393,"&lt;="&amp;G$49),"")))</f>
        <v/>
      </c>
      <c r="H244" s="140">
        <f>IF(H$49="","",IF($B244="","",IFERROR(SUMIFS('Dvd Calendar'!$E$394:$CZ$394,'Dvd Calendar'!$E$393:$CZ$393,"&gt;"&amp;H$48,'Dvd Calendar'!$E$393:$CZ$393,"&lt;="&amp;H$49),"")))</f>
        <v/>
      </c>
      <c r="I244" s="140">
        <f>IF(I$49="","",IF($B244="","",IFERROR(SUMIFS('Dvd Calendar'!$E$394:$CZ$394,'Dvd Calendar'!$E$393:$CZ$393,"&gt;"&amp;I$48,'Dvd Calendar'!$E$393:$CZ$393,"&lt;="&amp;I$49),"")))</f>
        <v/>
      </c>
      <c r="J244" s="140">
        <f>IF(J$49="","",IF($B244="","",IFERROR(SUMIFS('Dvd Calendar'!$E$394:$CZ$394,'Dvd Calendar'!$E$393:$CZ$393,"&gt;"&amp;J$48,'Dvd Calendar'!$E$393:$CZ$393,"&lt;="&amp;J$49),"")))</f>
        <v/>
      </c>
      <c r="K244" s="140">
        <f>IF(K$49="","",IF($B244="","",IFERROR(SUMIFS('Dvd Calendar'!$E$394:$CZ$394,'Dvd Calendar'!$E$393:$CZ$393,"&gt;"&amp;K$48,'Dvd Calendar'!$E$393:$CZ$393,"&lt;="&amp;K$49),"")))</f>
        <v/>
      </c>
      <c r="L244" s="140">
        <f>IF(L$49="","",IF($B244="","",IFERROR(SUMIFS('Dvd Calendar'!$E$394:$CZ$394,'Dvd Calendar'!$E$393:$CZ$393,"&gt;"&amp;L$48,'Dvd Calendar'!$E$393:$CZ$393,"&lt;="&amp;L$49),"")))</f>
        <v/>
      </c>
      <c r="M244" s="140">
        <f>IF(M$49="","",IF($B244="","",IFERROR(SUMIFS('Dvd Calendar'!$E$394:$CZ$394,'Dvd Calendar'!$E$393:$CZ$393,"&gt;"&amp;M$48,'Dvd Calendar'!$E$393:$CZ$393,"&lt;="&amp;M$49),"")))</f>
        <v/>
      </c>
      <c r="N244" s="140">
        <f>IF(N$49="","",IF($B244="","",IFERROR(SUMIFS('Dvd Calendar'!$E$394:$CZ$394,'Dvd Calendar'!$E$393:$CZ$393,"&gt;"&amp;N$48,'Dvd Calendar'!$E$393:$CZ$393,"&lt;="&amp;N$49),"")))</f>
        <v/>
      </c>
      <c r="O244" s="140">
        <f>IF(O$49="","",IF($B244="","",IFERROR(SUMIFS('Dvd Calendar'!$E$394:$CZ$394,'Dvd Calendar'!$E$393:$CZ$393,"&gt;"&amp;O$48,'Dvd Calendar'!$E$393:$CZ$393,"&lt;="&amp;O$49),"")))</f>
        <v/>
      </c>
      <c r="P244" s="140">
        <f>IF(P$49="","",IF($B244="","",IFERROR(SUMIFS('Dvd Calendar'!$E$394:$CZ$394,'Dvd Calendar'!$E$393:$CZ$393,"&gt;"&amp;P$48,'Dvd Calendar'!$E$393:$CZ$393,"&lt;="&amp;P$49),"")))</f>
        <v/>
      </c>
      <c r="Q244" s="140">
        <f>IF(Q$49="","",IF($B244="","",IFERROR(SUMIFS('Dvd Calendar'!$E$394:$CZ$394,'Dvd Calendar'!$E$393:$CZ$393,"&gt;"&amp;Q$48,'Dvd Calendar'!$E$393:$CZ$393,"&lt;="&amp;Q$49),"")))</f>
        <v/>
      </c>
      <c r="R244" s="140">
        <f>IF(R$49="","",IF($B244="","",IFERROR(SUMIFS('Dvd Calendar'!$E$394:$CZ$394,'Dvd Calendar'!$E$393:$CZ$393,"&gt;"&amp;R$48,'Dvd Calendar'!$E$393:$CZ$393,"&lt;="&amp;R$49),"")))</f>
        <v/>
      </c>
    </row>
    <row r="245">
      <c r="B245" s="5">
        <f>IF(AS51!$C$200="","",AS51!$C$200)</f>
        <v/>
      </c>
      <c r="C245" s="140">
        <f>IF(C$49="","",IF($B245="","",IFERROR(SUMIFS('Dvd Calendar'!$E$396:$CZ$396,'Dvd Calendar'!$E$395:$CZ$395,"&gt;"&amp;C$48,'Dvd Calendar'!$E$395:$CZ$395,"&lt;="&amp;C$49),"")))</f>
        <v/>
      </c>
      <c r="D245" s="140">
        <f>IF(D$49="","",IF($B245="","",IFERROR(SUMIFS('Dvd Calendar'!$E$396:$CZ$396,'Dvd Calendar'!$E$395:$CZ$395,"&gt;"&amp;D$48,'Dvd Calendar'!$E$395:$CZ$395,"&lt;="&amp;D$49),"")))</f>
        <v/>
      </c>
      <c r="E245" s="140">
        <f>IF(E$49="","",IF($B245="","",IFERROR(SUMIFS('Dvd Calendar'!$E$396:$CZ$396,'Dvd Calendar'!$E$395:$CZ$395,"&gt;"&amp;E$48,'Dvd Calendar'!$E$395:$CZ$395,"&lt;="&amp;E$49),"")))</f>
        <v/>
      </c>
      <c r="F245" s="140">
        <f>IF(F$49="","",IF($B245="","",IFERROR(SUMIFS('Dvd Calendar'!$E$396:$CZ$396,'Dvd Calendar'!$E$395:$CZ$395,"&gt;"&amp;F$48,'Dvd Calendar'!$E$395:$CZ$395,"&lt;="&amp;F$49),"")))</f>
        <v/>
      </c>
      <c r="G245" s="140">
        <f>IF(G$49="","",IF($B245="","",IFERROR(SUMIFS('Dvd Calendar'!$E$396:$CZ$396,'Dvd Calendar'!$E$395:$CZ$395,"&gt;"&amp;G$48,'Dvd Calendar'!$E$395:$CZ$395,"&lt;="&amp;G$49),"")))</f>
        <v/>
      </c>
      <c r="H245" s="140">
        <f>IF(H$49="","",IF($B245="","",IFERROR(SUMIFS('Dvd Calendar'!$E$396:$CZ$396,'Dvd Calendar'!$E$395:$CZ$395,"&gt;"&amp;H$48,'Dvd Calendar'!$E$395:$CZ$395,"&lt;="&amp;H$49),"")))</f>
        <v/>
      </c>
      <c r="I245" s="140">
        <f>IF(I$49="","",IF($B245="","",IFERROR(SUMIFS('Dvd Calendar'!$E$396:$CZ$396,'Dvd Calendar'!$E$395:$CZ$395,"&gt;"&amp;I$48,'Dvd Calendar'!$E$395:$CZ$395,"&lt;="&amp;I$49),"")))</f>
        <v/>
      </c>
      <c r="J245" s="140">
        <f>IF(J$49="","",IF($B245="","",IFERROR(SUMIFS('Dvd Calendar'!$E$396:$CZ$396,'Dvd Calendar'!$E$395:$CZ$395,"&gt;"&amp;J$48,'Dvd Calendar'!$E$395:$CZ$395,"&lt;="&amp;J$49),"")))</f>
        <v/>
      </c>
      <c r="K245" s="140">
        <f>IF(K$49="","",IF($B245="","",IFERROR(SUMIFS('Dvd Calendar'!$E$396:$CZ$396,'Dvd Calendar'!$E$395:$CZ$395,"&gt;"&amp;K$48,'Dvd Calendar'!$E$395:$CZ$395,"&lt;="&amp;K$49),"")))</f>
        <v/>
      </c>
      <c r="L245" s="140">
        <f>IF(L$49="","",IF($B245="","",IFERROR(SUMIFS('Dvd Calendar'!$E$396:$CZ$396,'Dvd Calendar'!$E$395:$CZ$395,"&gt;"&amp;L$48,'Dvd Calendar'!$E$395:$CZ$395,"&lt;="&amp;L$49),"")))</f>
        <v/>
      </c>
      <c r="M245" s="140">
        <f>IF(M$49="","",IF($B245="","",IFERROR(SUMIFS('Dvd Calendar'!$E$396:$CZ$396,'Dvd Calendar'!$E$395:$CZ$395,"&gt;"&amp;M$48,'Dvd Calendar'!$E$395:$CZ$395,"&lt;="&amp;M$49),"")))</f>
        <v/>
      </c>
      <c r="N245" s="140">
        <f>IF(N$49="","",IF($B245="","",IFERROR(SUMIFS('Dvd Calendar'!$E$396:$CZ$396,'Dvd Calendar'!$E$395:$CZ$395,"&gt;"&amp;N$48,'Dvd Calendar'!$E$395:$CZ$395,"&lt;="&amp;N$49),"")))</f>
        <v/>
      </c>
      <c r="O245" s="140">
        <f>IF(O$49="","",IF($B245="","",IFERROR(SUMIFS('Dvd Calendar'!$E$396:$CZ$396,'Dvd Calendar'!$E$395:$CZ$395,"&gt;"&amp;O$48,'Dvd Calendar'!$E$395:$CZ$395,"&lt;="&amp;O$49),"")))</f>
        <v/>
      </c>
      <c r="P245" s="140">
        <f>IF(P$49="","",IF($B245="","",IFERROR(SUMIFS('Dvd Calendar'!$E$396:$CZ$396,'Dvd Calendar'!$E$395:$CZ$395,"&gt;"&amp;P$48,'Dvd Calendar'!$E$395:$CZ$395,"&lt;="&amp;P$49),"")))</f>
        <v/>
      </c>
      <c r="Q245" s="140">
        <f>IF(Q$49="","",IF($B245="","",IFERROR(SUMIFS('Dvd Calendar'!$E$396:$CZ$396,'Dvd Calendar'!$E$395:$CZ$395,"&gt;"&amp;Q$48,'Dvd Calendar'!$E$395:$CZ$395,"&lt;="&amp;Q$49),"")))</f>
        <v/>
      </c>
      <c r="R245" s="140">
        <f>IF(R$49="","",IF($B245="","",IFERROR(SUMIFS('Dvd Calendar'!$E$396:$CZ$396,'Dvd Calendar'!$E$395:$CZ$395,"&gt;"&amp;R$48,'Dvd Calendar'!$E$395:$CZ$395,"&lt;="&amp;R$49),"")))</f>
        <v/>
      </c>
    </row>
    <row r="246">
      <c r="B246" s="5">
        <f>IF(AS51!$C$201="","",AS51!$C$201)</f>
        <v/>
      </c>
      <c r="C246" s="140">
        <f>IF(C$49="","",IF($B246="","",IFERROR(SUMIFS('Dvd Calendar'!$E$398:$CZ$398,'Dvd Calendar'!$E$397:$CZ$397,"&gt;"&amp;C$48,'Dvd Calendar'!$E$397:$CZ$397,"&lt;="&amp;C$49),"")))</f>
        <v/>
      </c>
      <c r="D246" s="140">
        <f>IF(D$49="","",IF($B246="","",IFERROR(SUMIFS('Dvd Calendar'!$E$398:$CZ$398,'Dvd Calendar'!$E$397:$CZ$397,"&gt;"&amp;D$48,'Dvd Calendar'!$E$397:$CZ$397,"&lt;="&amp;D$49),"")))</f>
        <v/>
      </c>
      <c r="E246" s="140">
        <f>IF(E$49="","",IF($B246="","",IFERROR(SUMIFS('Dvd Calendar'!$E$398:$CZ$398,'Dvd Calendar'!$E$397:$CZ$397,"&gt;"&amp;E$48,'Dvd Calendar'!$E$397:$CZ$397,"&lt;="&amp;E$49),"")))</f>
        <v/>
      </c>
      <c r="F246" s="140">
        <f>IF(F$49="","",IF($B246="","",IFERROR(SUMIFS('Dvd Calendar'!$E$398:$CZ$398,'Dvd Calendar'!$E$397:$CZ$397,"&gt;"&amp;F$48,'Dvd Calendar'!$E$397:$CZ$397,"&lt;="&amp;F$49),"")))</f>
        <v/>
      </c>
      <c r="G246" s="140">
        <f>IF(G$49="","",IF($B246="","",IFERROR(SUMIFS('Dvd Calendar'!$E$398:$CZ$398,'Dvd Calendar'!$E$397:$CZ$397,"&gt;"&amp;G$48,'Dvd Calendar'!$E$397:$CZ$397,"&lt;="&amp;G$49),"")))</f>
        <v/>
      </c>
      <c r="H246" s="140">
        <f>IF(H$49="","",IF($B246="","",IFERROR(SUMIFS('Dvd Calendar'!$E$398:$CZ$398,'Dvd Calendar'!$E$397:$CZ$397,"&gt;"&amp;H$48,'Dvd Calendar'!$E$397:$CZ$397,"&lt;="&amp;H$49),"")))</f>
        <v/>
      </c>
      <c r="I246" s="140">
        <f>IF(I$49="","",IF($B246="","",IFERROR(SUMIFS('Dvd Calendar'!$E$398:$CZ$398,'Dvd Calendar'!$E$397:$CZ$397,"&gt;"&amp;I$48,'Dvd Calendar'!$E$397:$CZ$397,"&lt;="&amp;I$49),"")))</f>
        <v/>
      </c>
      <c r="J246" s="140">
        <f>IF(J$49="","",IF($B246="","",IFERROR(SUMIFS('Dvd Calendar'!$E$398:$CZ$398,'Dvd Calendar'!$E$397:$CZ$397,"&gt;"&amp;J$48,'Dvd Calendar'!$E$397:$CZ$397,"&lt;="&amp;J$49),"")))</f>
        <v/>
      </c>
      <c r="K246" s="140">
        <f>IF(K$49="","",IF($B246="","",IFERROR(SUMIFS('Dvd Calendar'!$E$398:$CZ$398,'Dvd Calendar'!$E$397:$CZ$397,"&gt;"&amp;K$48,'Dvd Calendar'!$E$397:$CZ$397,"&lt;="&amp;K$49),"")))</f>
        <v/>
      </c>
      <c r="L246" s="140">
        <f>IF(L$49="","",IF($B246="","",IFERROR(SUMIFS('Dvd Calendar'!$E$398:$CZ$398,'Dvd Calendar'!$E$397:$CZ$397,"&gt;"&amp;L$48,'Dvd Calendar'!$E$397:$CZ$397,"&lt;="&amp;L$49),"")))</f>
        <v/>
      </c>
      <c r="M246" s="140">
        <f>IF(M$49="","",IF($B246="","",IFERROR(SUMIFS('Dvd Calendar'!$E$398:$CZ$398,'Dvd Calendar'!$E$397:$CZ$397,"&gt;"&amp;M$48,'Dvd Calendar'!$E$397:$CZ$397,"&lt;="&amp;M$49),"")))</f>
        <v/>
      </c>
      <c r="N246" s="140">
        <f>IF(N$49="","",IF($B246="","",IFERROR(SUMIFS('Dvd Calendar'!$E$398:$CZ$398,'Dvd Calendar'!$E$397:$CZ$397,"&gt;"&amp;N$48,'Dvd Calendar'!$E$397:$CZ$397,"&lt;="&amp;N$49),"")))</f>
        <v/>
      </c>
      <c r="O246" s="140">
        <f>IF(O$49="","",IF($B246="","",IFERROR(SUMIFS('Dvd Calendar'!$E$398:$CZ$398,'Dvd Calendar'!$E$397:$CZ$397,"&gt;"&amp;O$48,'Dvd Calendar'!$E$397:$CZ$397,"&lt;="&amp;O$49),"")))</f>
        <v/>
      </c>
      <c r="P246" s="140">
        <f>IF(P$49="","",IF($B246="","",IFERROR(SUMIFS('Dvd Calendar'!$E$398:$CZ$398,'Dvd Calendar'!$E$397:$CZ$397,"&gt;"&amp;P$48,'Dvd Calendar'!$E$397:$CZ$397,"&lt;="&amp;P$49),"")))</f>
        <v/>
      </c>
      <c r="Q246" s="140">
        <f>IF(Q$49="","",IF($B246="","",IFERROR(SUMIFS('Dvd Calendar'!$E$398:$CZ$398,'Dvd Calendar'!$E$397:$CZ$397,"&gt;"&amp;Q$48,'Dvd Calendar'!$E$397:$CZ$397,"&lt;="&amp;Q$49),"")))</f>
        <v/>
      </c>
      <c r="R246" s="140">
        <f>IF(R$49="","",IF($B246="","",IFERROR(SUMIFS('Dvd Calendar'!$E$398:$CZ$398,'Dvd Calendar'!$E$397:$CZ$397,"&gt;"&amp;R$48,'Dvd Calendar'!$E$397:$CZ$397,"&lt;="&amp;R$49),"")))</f>
        <v/>
      </c>
    </row>
    <row r="247">
      <c r="B247" s="5">
        <f>IF(AS51!$C$202="","",AS51!$C$202)</f>
        <v/>
      </c>
      <c r="C247" s="140">
        <f>IF(C$49="","",IF($B247="","",IFERROR(SUMIFS('Dvd Calendar'!$E$400:$CZ$400,'Dvd Calendar'!$E$399:$CZ$399,"&gt;"&amp;C$48,'Dvd Calendar'!$E$399:$CZ$399,"&lt;="&amp;C$49),"")))</f>
        <v/>
      </c>
      <c r="D247" s="140">
        <f>IF(D$49="","",IF($B247="","",IFERROR(SUMIFS('Dvd Calendar'!$E$400:$CZ$400,'Dvd Calendar'!$E$399:$CZ$399,"&gt;"&amp;D$48,'Dvd Calendar'!$E$399:$CZ$399,"&lt;="&amp;D$49),"")))</f>
        <v/>
      </c>
      <c r="E247" s="140">
        <f>IF(E$49="","",IF($B247="","",IFERROR(SUMIFS('Dvd Calendar'!$E$400:$CZ$400,'Dvd Calendar'!$E$399:$CZ$399,"&gt;"&amp;E$48,'Dvd Calendar'!$E$399:$CZ$399,"&lt;="&amp;E$49),"")))</f>
        <v/>
      </c>
      <c r="F247" s="140">
        <f>IF(F$49="","",IF($B247="","",IFERROR(SUMIFS('Dvd Calendar'!$E$400:$CZ$400,'Dvd Calendar'!$E$399:$CZ$399,"&gt;"&amp;F$48,'Dvd Calendar'!$E$399:$CZ$399,"&lt;="&amp;F$49),"")))</f>
        <v/>
      </c>
      <c r="G247" s="140">
        <f>IF(G$49="","",IF($B247="","",IFERROR(SUMIFS('Dvd Calendar'!$E$400:$CZ$400,'Dvd Calendar'!$E$399:$CZ$399,"&gt;"&amp;G$48,'Dvd Calendar'!$E$399:$CZ$399,"&lt;="&amp;G$49),"")))</f>
        <v/>
      </c>
      <c r="H247" s="140">
        <f>IF(H$49="","",IF($B247="","",IFERROR(SUMIFS('Dvd Calendar'!$E$400:$CZ$400,'Dvd Calendar'!$E$399:$CZ$399,"&gt;"&amp;H$48,'Dvd Calendar'!$E$399:$CZ$399,"&lt;="&amp;H$49),"")))</f>
        <v/>
      </c>
      <c r="I247" s="140">
        <f>IF(I$49="","",IF($B247="","",IFERROR(SUMIFS('Dvd Calendar'!$E$400:$CZ$400,'Dvd Calendar'!$E$399:$CZ$399,"&gt;"&amp;I$48,'Dvd Calendar'!$E$399:$CZ$399,"&lt;="&amp;I$49),"")))</f>
        <v/>
      </c>
      <c r="J247" s="140">
        <f>IF(J$49="","",IF($B247="","",IFERROR(SUMIFS('Dvd Calendar'!$E$400:$CZ$400,'Dvd Calendar'!$E$399:$CZ$399,"&gt;"&amp;J$48,'Dvd Calendar'!$E$399:$CZ$399,"&lt;="&amp;J$49),"")))</f>
        <v/>
      </c>
      <c r="K247" s="140">
        <f>IF(K$49="","",IF($B247="","",IFERROR(SUMIFS('Dvd Calendar'!$E$400:$CZ$400,'Dvd Calendar'!$E$399:$CZ$399,"&gt;"&amp;K$48,'Dvd Calendar'!$E$399:$CZ$399,"&lt;="&amp;K$49),"")))</f>
        <v/>
      </c>
      <c r="L247" s="140">
        <f>IF(L$49="","",IF($B247="","",IFERROR(SUMIFS('Dvd Calendar'!$E$400:$CZ$400,'Dvd Calendar'!$E$399:$CZ$399,"&gt;"&amp;L$48,'Dvd Calendar'!$E$399:$CZ$399,"&lt;="&amp;L$49),"")))</f>
        <v/>
      </c>
      <c r="M247" s="140">
        <f>IF(M$49="","",IF($B247="","",IFERROR(SUMIFS('Dvd Calendar'!$E$400:$CZ$400,'Dvd Calendar'!$E$399:$CZ$399,"&gt;"&amp;M$48,'Dvd Calendar'!$E$399:$CZ$399,"&lt;="&amp;M$49),"")))</f>
        <v/>
      </c>
      <c r="N247" s="140">
        <f>IF(N$49="","",IF($B247="","",IFERROR(SUMIFS('Dvd Calendar'!$E$400:$CZ$400,'Dvd Calendar'!$E$399:$CZ$399,"&gt;"&amp;N$48,'Dvd Calendar'!$E$399:$CZ$399,"&lt;="&amp;N$49),"")))</f>
        <v/>
      </c>
      <c r="O247" s="140">
        <f>IF(O$49="","",IF($B247="","",IFERROR(SUMIFS('Dvd Calendar'!$E$400:$CZ$400,'Dvd Calendar'!$E$399:$CZ$399,"&gt;"&amp;O$48,'Dvd Calendar'!$E$399:$CZ$399,"&lt;="&amp;O$49),"")))</f>
        <v/>
      </c>
      <c r="P247" s="140">
        <f>IF(P$49="","",IF($B247="","",IFERROR(SUMIFS('Dvd Calendar'!$E$400:$CZ$400,'Dvd Calendar'!$E$399:$CZ$399,"&gt;"&amp;P$48,'Dvd Calendar'!$E$399:$CZ$399,"&lt;="&amp;P$49),"")))</f>
        <v/>
      </c>
      <c r="Q247" s="140">
        <f>IF(Q$49="","",IF($B247="","",IFERROR(SUMIFS('Dvd Calendar'!$E$400:$CZ$400,'Dvd Calendar'!$E$399:$CZ$399,"&gt;"&amp;Q$48,'Dvd Calendar'!$E$399:$CZ$399,"&lt;="&amp;Q$49),"")))</f>
        <v/>
      </c>
      <c r="R247" s="140">
        <f>IF(R$49="","",IF($B247="","",IFERROR(SUMIFS('Dvd Calendar'!$E$400:$CZ$400,'Dvd Calendar'!$E$399:$CZ$399,"&gt;"&amp;R$48,'Dvd Calendar'!$E$399:$CZ$399,"&lt;="&amp;R$49),"")))</f>
        <v/>
      </c>
    </row>
    <row r="248">
      <c r="B248" s="5">
        <f>IF(AS51!$C$203="","",AS51!$C$203)</f>
        <v/>
      </c>
      <c r="C248" s="140">
        <f>IF(C$49="","",IF($B248="","",IFERROR(SUMIFS('Dvd Calendar'!$E$402:$CZ$402,'Dvd Calendar'!$E$401:$CZ$401,"&gt;"&amp;C$48,'Dvd Calendar'!$E$401:$CZ$401,"&lt;="&amp;C$49),"")))</f>
        <v/>
      </c>
      <c r="D248" s="140">
        <f>IF(D$49="","",IF($B248="","",IFERROR(SUMIFS('Dvd Calendar'!$E$402:$CZ$402,'Dvd Calendar'!$E$401:$CZ$401,"&gt;"&amp;D$48,'Dvd Calendar'!$E$401:$CZ$401,"&lt;="&amp;D$49),"")))</f>
        <v/>
      </c>
      <c r="E248" s="140">
        <f>IF(E$49="","",IF($B248="","",IFERROR(SUMIFS('Dvd Calendar'!$E$402:$CZ$402,'Dvd Calendar'!$E$401:$CZ$401,"&gt;"&amp;E$48,'Dvd Calendar'!$E$401:$CZ$401,"&lt;="&amp;E$49),"")))</f>
        <v/>
      </c>
      <c r="F248" s="140">
        <f>IF(F$49="","",IF($B248="","",IFERROR(SUMIFS('Dvd Calendar'!$E$402:$CZ$402,'Dvd Calendar'!$E$401:$CZ$401,"&gt;"&amp;F$48,'Dvd Calendar'!$E$401:$CZ$401,"&lt;="&amp;F$49),"")))</f>
        <v/>
      </c>
      <c r="G248" s="140">
        <f>IF(G$49="","",IF($B248="","",IFERROR(SUMIFS('Dvd Calendar'!$E$402:$CZ$402,'Dvd Calendar'!$E$401:$CZ$401,"&gt;"&amp;G$48,'Dvd Calendar'!$E$401:$CZ$401,"&lt;="&amp;G$49),"")))</f>
        <v/>
      </c>
      <c r="H248" s="140">
        <f>IF(H$49="","",IF($B248="","",IFERROR(SUMIFS('Dvd Calendar'!$E$402:$CZ$402,'Dvd Calendar'!$E$401:$CZ$401,"&gt;"&amp;H$48,'Dvd Calendar'!$E$401:$CZ$401,"&lt;="&amp;H$49),"")))</f>
        <v/>
      </c>
      <c r="I248" s="140">
        <f>IF(I$49="","",IF($B248="","",IFERROR(SUMIFS('Dvd Calendar'!$E$402:$CZ$402,'Dvd Calendar'!$E$401:$CZ$401,"&gt;"&amp;I$48,'Dvd Calendar'!$E$401:$CZ$401,"&lt;="&amp;I$49),"")))</f>
        <v/>
      </c>
      <c r="J248" s="140">
        <f>IF(J$49="","",IF($B248="","",IFERROR(SUMIFS('Dvd Calendar'!$E$402:$CZ$402,'Dvd Calendar'!$E$401:$CZ$401,"&gt;"&amp;J$48,'Dvd Calendar'!$E$401:$CZ$401,"&lt;="&amp;J$49),"")))</f>
        <v/>
      </c>
      <c r="K248" s="140">
        <f>IF(K$49="","",IF($B248="","",IFERROR(SUMIFS('Dvd Calendar'!$E$402:$CZ$402,'Dvd Calendar'!$E$401:$CZ$401,"&gt;"&amp;K$48,'Dvd Calendar'!$E$401:$CZ$401,"&lt;="&amp;K$49),"")))</f>
        <v/>
      </c>
      <c r="L248" s="140">
        <f>IF(L$49="","",IF($B248="","",IFERROR(SUMIFS('Dvd Calendar'!$E$402:$CZ$402,'Dvd Calendar'!$E$401:$CZ$401,"&gt;"&amp;L$48,'Dvd Calendar'!$E$401:$CZ$401,"&lt;="&amp;L$49),"")))</f>
        <v/>
      </c>
      <c r="M248" s="140">
        <f>IF(M$49="","",IF($B248="","",IFERROR(SUMIFS('Dvd Calendar'!$E$402:$CZ$402,'Dvd Calendar'!$E$401:$CZ$401,"&gt;"&amp;M$48,'Dvd Calendar'!$E$401:$CZ$401,"&lt;="&amp;M$49),"")))</f>
        <v/>
      </c>
      <c r="N248" s="140">
        <f>IF(N$49="","",IF($B248="","",IFERROR(SUMIFS('Dvd Calendar'!$E$402:$CZ$402,'Dvd Calendar'!$E$401:$CZ$401,"&gt;"&amp;N$48,'Dvd Calendar'!$E$401:$CZ$401,"&lt;="&amp;N$49),"")))</f>
        <v/>
      </c>
      <c r="O248" s="140">
        <f>IF(O$49="","",IF($B248="","",IFERROR(SUMIFS('Dvd Calendar'!$E$402:$CZ$402,'Dvd Calendar'!$E$401:$CZ$401,"&gt;"&amp;O$48,'Dvd Calendar'!$E$401:$CZ$401,"&lt;="&amp;O$49),"")))</f>
        <v/>
      </c>
      <c r="P248" s="140">
        <f>IF(P$49="","",IF($B248="","",IFERROR(SUMIFS('Dvd Calendar'!$E$402:$CZ$402,'Dvd Calendar'!$E$401:$CZ$401,"&gt;"&amp;P$48,'Dvd Calendar'!$E$401:$CZ$401,"&lt;="&amp;P$49),"")))</f>
        <v/>
      </c>
      <c r="Q248" s="140">
        <f>IF(Q$49="","",IF($B248="","",IFERROR(SUMIFS('Dvd Calendar'!$E$402:$CZ$402,'Dvd Calendar'!$E$401:$CZ$401,"&gt;"&amp;Q$48,'Dvd Calendar'!$E$401:$CZ$401,"&lt;="&amp;Q$49),"")))</f>
        <v/>
      </c>
      <c r="R248" s="140">
        <f>IF(R$49="","",IF($B248="","",IFERROR(SUMIFS('Dvd Calendar'!$E$402:$CZ$402,'Dvd Calendar'!$E$401:$CZ$401,"&gt;"&amp;R$48,'Dvd Calendar'!$E$401:$CZ$401,"&lt;="&amp;R$49),"")))</f>
        <v/>
      </c>
    </row>
    <row r="249">
      <c r="B249" s="5">
        <f>IF(AS51!$C$204="","",AS51!$C$204)</f>
        <v/>
      </c>
      <c r="C249" s="140">
        <f>IF(C$49="","",IF($B249="","",IFERROR(SUMIFS('Dvd Calendar'!$E$404:$CZ$404,'Dvd Calendar'!$E$403:$CZ$403,"&gt;"&amp;C$48,'Dvd Calendar'!$E$403:$CZ$403,"&lt;="&amp;C$49),"")))</f>
        <v/>
      </c>
      <c r="D249" s="140">
        <f>IF(D$49="","",IF($B249="","",IFERROR(SUMIFS('Dvd Calendar'!$E$404:$CZ$404,'Dvd Calendar'!$E$403:$CZ$403,"&gt;"&amp;D$48,'Dvd Calendar'!$E$403:$CZ$403,"&lt;="&amp;D$49),"")))</f>
        <v/>
      </c>
      <c r="E249" s="140">
        <f>IF(E$49="","",IF($B249="","",IFERROR(SUMIFS('Dvd Calendar'!$E$404:$CZ$404,'Dvd Calendar'!$E$403:$CZ$403,"&gt;"&amp;E$48,'Dvd Calendar'!$E$403:$CZ$403,"&lt;="&amp;E$49),"")))</f>
        <v/>
      </c>
      <c r="F249" s="140">
        <f>IF(F$49="","",IF($B249="","",IFERROR(SUMIFS('Dvd Calendar'!$E$404:$CZ$404,'Dvd Calendar'!$E$403:$CZ$403,"&gt;"&amp;F$48,'Dvd Calendar'!$E$403:$CZ$403,"&lt;="&amp;F$49),"")))</f>
        <v/>
      </c>
      <c r="G249" s="140">
        <f>IF(G$49="","",IF($B249="","",IFERROR(SUMIFS('Dvd Calendar'!$E$404:$CZ$404,'Dvd Calendar'!$E$403:$CZ$403,"&gt;"&amp;G$48,'Dvd Calendar'!$E$403:$CZ$403,"&lt;="&amp;G$49),"")))</f>
        <v/>
      </c>
      <c r="H249" s="140">
        <f>IF(H$49="","",IF($B249="","",IFERROR(SUMIFS('Dvd Calendar'!$E$404:$CZ$404,'Dvd Calendar'!$E$403:$CZ$403,"&gt;"&amp;H$48,'Dvd Calendar'!$E$403:$CZ$403,"&lt;="&amp;H$49),"")))</f>
        <v/>
      </c>
      <c r="I249" s="140">
        <f>IF(I$49="","",IF($B249="","",IFERROR(SUMIFS('Dvd Calendar'!$E$404:$CZ$404,'Dvd Calendar'!$E$403:$CZ$403,"&gt;"&amp;I$48,'Dvd Calendar'!$E$403:$CZ$403,"&lt;="&amp;I$49),"")))</f>
        <v/>
      </c>
      <c r="J249" s="140">
        <f>IF(J$49="","",IF($B249="","",IFERROR(SUMIFS('Dvd Calendar'!$E$404:$CZ$404,'Dvd Calendar'!$E$403:$CZ$403,"&gt;"&amp;J$48,'Dvd Calendar'!$E$403:$CZ$403,"&lt;="&amp;J$49),"")))</f>
        <v/>
      </c>
      <c r="K249" s="140">
        <f>IF(K$49="","",IF($B249="","",IFERROR(SUMIFS('Dvd Calendar'!$E$404:$CZ$404,'Dvd Calendar'!$E$403:$CZ$403,"&gt;"&amp;K$48,'Dvd Calendar'!$E$403:$CZ$403,"&lt;="&amp;K$49),"")))</f>
        <v/>
      </c>
      <c r="L249" s="140">
        <f>IF(L$49="","",IF($B249="","",IFERROR(SUMIFS('Dvd Calendar'!$E$404:$CZ$404,'Dvd Calendar'!$E$403:$CZ$403,"&gt;"&amp;L$48,'Dvd Calendar'!$E$403:$CZ$403,"&lt;="&amp;L$49),"")))</f>
        <v/>
      </c>
      <c r="M249" s="140">
        <f>IF(M$49="","",IF($B249="","",IFERROR(SUMIFS('Dvd Calendar'!$E$404:$CZ$404,'Dvd Calendar'!$E$403:$CZ$403,"&gt;"&amp;M$48,'Dvd Calendar'!$E$403:$CZ$403,"&lt;="&amp;M$49),"")))</f>
        <v/>
      </c>
      <c r="N249" s="140">
        <f>IF(N$49="","",IF($B249="","",IFERROR(SUMIFS('Dvd Calendar'!$E$404:$CZ$404,'Dvd Calendar'!$E$403:$CZ$403,"&gt;"&amp;N$48,'Dvd Calendar'!$E$403:$CZ$403,"&lt;="&amp;N$49),"")))</f>
        <v/>
      </c>
      <c r="O249" s="140">
        <f>IF(O$49="","",IF($B249="","",IFERROR(SUMIFS('Dvd Calendar'!$E$404:$CZ$404,'Dvd Calendar'!$E$403:$CZ$403,"&gt;"&amp;O$48,'Dvd Calendar'!$E$403:$CZ$403,"&lt;="&amp;O$49),"")))</f>
        <v/>
      </c>
      <c r="P249" s="140">
        <f>IF(P$49="","",IF($B249="","",IFERROR(SUMIFS('Dvd Calendar'!$E$404:$CZ$404,'Dvd Calendar'!$E$403:$CZ$403,"&gt;"&amp;P$48,'Dvd Calendar'!$E$403:$CZ$403,"&lt;="&amp;P$49),"")))</f>
        <v/>
      </c>
      <c r="Q249" s="140">
        <f>IF(Q$49="","",IF($B249="","",IFERROR(SUMIFS('Dvd Calendar'!$E$404:$CZ$404,'Dvd Calendar'!$E$403:$CZ$403,"&gt;"&amp;Q$48,'Dvd Calendar'!$E$403:$CZ$403,"&lt;="&amp;Q$49),"")))</f>
        <v/>
      </c>
      <c r="R249" s="140">
        <f>IF(R$49="","",IF($B249="","",IFERROR(SUMIFS('Dvd Calendar'!$E$404:$CZ$404,'Dvd Calendar'!$E$403:$CZ$403,"&gt;"&amp;R$48,'Dvd Calendar'!$E$403:$CZ$403,"&lt;="&amp;R$49),"")))</f>
        <v/>
      </c>
    </row>
    <row r="250">
      <c r="B250" s="5">
        <f>IF(AS51!$C$205="","",AS51!$C$205)</f>
        <v/>
      </c>
      <c r="C250" s="140">
        <f>IF(C$49="","",IF($B250="","",IFERROR(SUMIFS('Dvd Calendar'!$E$406:$CZ$406,'Dvd Calendar'!$E$405:$CZ$405,"&gt;"&amp;C$48,'Dvd Calendar'!$E$405:$CZ$405,"&lt;="&amp;C$49),"")))</f>
        <v/>
      </c>
      <c r="D250" s="140">
        <f>IF(D$49="","",IF($B250="","",IFERROR(SUMIFS('Dvd Calendar'!$E$406:$CZ$406,'Dvd Calendar'!$E$405:$CZ$405,"&gt;"&amp;D$48,'Dvd Calendar'!$E$405:$CZ$405,"&lt;="&amp;D$49),"")))</f>
        <v/>
      </c>
      <c r="E250" s="140">
        <f>IF(E$49="","",IF($B250="","",IFERROR(SUMIFS('Dvd Calendar'!$E$406:$CZ$406,'Dvd Calendar'!$E$405:$CZ$405,"&gt;"&amp;E$48,'Dvd Calendar'!$E$405:$CZ$405,"&lt;="&amp;E$49),"")))</f>
        <v/>
      </c>
      <c r="F250" s="140">
        <f>IF(F$49="","",IF($B250="","",IFERROR(SUMIFS('Dvd Calendar'!$E$406:$CZ$406,'Dvd Calendar'!$E$405:$CZ$405,"&gt;"&amp;F$48,'Dvd Calendar'!$E$405:$CZ$405,"&lt;="&amp;F$49),"")))</f>
        <v/>
      </c>
      <c r="G250" s="140">
        <f>IF(G$49="","",IF($B250="","",IFERROR(SUMIFS('Dvd Calendar'!$E$406:$CZ$406,'Dvd Calendar'!$E$405:$CZ$405,"&gt;"&amp;G$48,'Dvd Calendar'!$E$405:$CZ$405,"&lt;="&amp;G$49),"")))</f>
        <v/>
      </c>
      <c r="H250" s="140">
        <f>IF(H$49="","",IF($B250="","",IFERROR(SUMIFS('Dvd Calendar'!$E$406:$CZ$406,'Dvd Calendar'!$E$405:$CZ$405,"&gt;"&amp;H$48,'Dvd Calendar'!$E$405:$CZ$405,"&lt;="&amp;H$49),"")))</f>
        <v/>
      </c>
      <c r="I250" s="140">
        <f>IF(I$49="","",IF($B250="","",IFERROR(SUMIFS('Dvd Calendar'!$E$406:$CZ$406,'Dvd Calendar'!$E$405:$CZ$405,"&gt;"&amp;I$48,'Dvd Calendar'!$E$405:$CZ$405,"&lt;="&amp;I$49),"")))</f>
        <v/>
      </c>
      <c r="J250" s="140">
        <f>IF(J$49="","",IF($B250="","",IFERROR(SUMIFS('Dvd Calendar'!$E$406:$CZ$406,'Dvd Calendar'!$E$405:$CZ$405,"&gt;"&amp;J$48,'Dvd Calendar'!$E$405:$CZ$405,"&lt;="&amp;J$49),"")))</f>
        <v/>
      </c>
      <c r="K250" s="140">
        <f>IF(K$49="","",IF($B250="","",IFERROR(SUMIFS('Dvd Calendar'!$E$406:$CZ$406,'Dvd Calendar'!$E$405:$CZ$405,"&gt;"&amp;K$48,'Dvd Calendar'!$E$405:$CZ$405,"&lt;="&amp;K$49),"")))</f>
        <v/>
      </c>
      <c r="L250" s="140">
        <f>IF(L$49="","",IF($B250="","",IFERROR(SUMIFS('Dvd Calendar'!$E$406:$CZ$406,'Dvd Calendar'!$E$405:$CZ$405,"&gt;"&amp;L$48,'Dvd Calendar'!$E$405:$CZ$405,"&lt;="&amp;L$49),"")))</f>
        <v/>
      </c>
      <c r="M250" s="140">
        <f>IF(M$49="","",IF($B250="","",IFERROR(SUMIFS('Dvd Calendar'!$E$406:$CZ$406,'Dvd Calendar'!$E$405:$CZ$405,"&gt;"&amp;M$48,'Dvd Calendar'!$E$405:$CZ$405,"&lt;="&amp;M$49),"")))</f>
        <v/>
      </c>
      <c r="N250" s="140">
        <f>IF(N$49="","",IF($B250="","",IFERROR(SUMIFS('Dvd Calendar'!$E$406:$CZ$406,'Dvd Calendar'!$E$405:$CZ$405,"&gt;"&amp;N$48,'Dvd Calendar'!$E$405:$CZ$405,"&lt;="&amp;N$49),"")))</f>
        <v/>
      </c>
      <c r="O250" s="140">
        <f>IF(O$49="","",IF($B250="","",IFERROR(SUMIFS('Dvd Calendar'!$E$406:$CZ$406,'Dvd Calendar'!$E$405:$CZ$405,"&gt;"&amp;O$48,'Dvd Calendar'!$E$405:$CZ$405,"&lt;="&amp;O$49),"")))</f>
        <v/>
      </c>
      <c r="P250" s="140">
        <f>IF(P$49="","",IF($B250="","",IFERROR(SUMIFS('Dvd Calendar'!$E$406:$CZ$406,'Dvd Calendar'!$E$405:$CZ$405,"&gt;"&amp;P$48,'Dvd Calendar'!$E$405:$CZ$405,"&lt;="&amp;P$49),"")))</f>
        <v/>
      </c>
      <c r="Q250" s="140">
        <f>IF(Q$49="","",IF($B250="","",IFERROR(SUMIFS('Dvd Calendar'!$E$406:$CZ$406,'Dvd Calendar'!$E$405:$CZ$405,"&gt;"&amp;Q$48,'Dvd Calendar'!$E$405:$CZ$405,"&lt;="&amp;Q$49),"")))</f>
        <v/>
      </c>
      <c r="R250" s="140">
        <f>IF(R$49="","",IF($B250="","",IFERROR(SUMIFS('Dvd Calendar'!$E$406:$CZ$406,'Dvd Calendar'!$E$405:$CZ$405,"&gt;"&amp;R$48,'Dvd Calendar'!$E$405:$CZ$405,"&lt;="&amp;R$49),"")))</f>
        <v/>
      </c>
    </row>
    <row r="251">
      <c r="B251" s="5">
        <f>IF(AS51!$C$206="","",AS51!$C$206)</f>
        <v/>
      </c>
      <c r="C251" s="140">
        <f>IF(C$49="","",IF($B251="","",IFERROR(SUMIFS('Dvd Calendar'!$E$408:$CZ$408,'Dvd Calendar'!$E$407:$CZ$407,"&gt;"&amp;C$48,'Dvd Calendar'!$E$407:$CZ$407,"&lt;="&amp;C$49),"")))</f>
        <v/>
      </c>
      <c r="D251" s="140">
        <f>IF(D$49="","",IF($B251="","",IFERROR(SUMIFS('Dvd Calendar'!$E$408:$CZ$408,'Dvd Calendar'!$E$407:$CZ$407,"&gt;"&amp;D$48,'Dvd Calendar'!$E$407:$CZ$407,"&lt;="&amp;D$49),"")))</f>
        <v/>
      </c>
      <c r="E251" s="140">
        <f>IF(E$49="","",IF($B251="","",IFERROR(SUMIFS('Dvd Calendar'!$E$408:$CZ$408,'Dvd Calendar'!$E$407:$CZ$407,"&gt;"&amp;E$48,'Dvd Calendar'!$E$407:$CZ$407,"&lt;="&amp;E$49),"")))</f>
        <v/>
      </c>
      <c r="F251" s="140">
        <f>IF(F$49="","",IF($B251="","",IFERROR(SUMIFS('Dvd Calendar'!$E$408:$CZ$408,'Dvd Calendar'!$E$407:$CZ$407,"&gt;"&amp;F$48,'Dvd Calendar'!$E$407:$CZ$407,"&lt;="&amp;F$49),"")))</f>
        <v/>
      </c>
      <c r="G251" s="140">
        <f>IF(G$49="","",IF($B251="","",IFERROR(SUMIFS('Dvd Calendar'!$E$408:$CZ$408,'Dvd Calendar'!$E$407:$CZ$407,"&gt;"&amp;G$48,'Dvd Calendar'!$E$407:$CZ$407,"&lt;="&amp;G$49),"")))</f>
        <v/>
      </c>
      <c r="H251" s="140">
        <f>IF(H$49="","",IF($B251="","",IFERROR(SUMIFS('Dvd Calendar'!$E$408:$CZ$408,'Dvd Calendar'!$E$407:$CZ$407,"&gt;"&amp;H$48,'Dvd Calendar'!$E$407:$CZ$407,"&lt;="&amp;H$49),"")))</f>
        <v/>
      </c>
      <c r="I251" s="140">
        <f>IF(I$49="","",IF($B251="","",IFERROR(SUMIFS('Dvd Calendar'!$E$408:$CZ$408,'Dvd Calendar'!$E$407:$CZ$407,"&gt;"&amp;I$48,'Dvd Calendar'!$E$407:$CZ$407,"&lt;="&amp;I$49),"")))</f>
        <v/>
      </c>
      <c r="J251" s="140">
        <f>IF(J$49="","",IF($B251="","",IFERROR(SUMIFS('Dvd Calendar'!$E$408:$CZ$408,'Dvd Calendar'!$E$407:$CZ$407,"&gt;"&amp;J$48,'Dvd Calendar'!$E$407:$CZ$407,"&lt;="&amp;J$49),"")))</f>
        <v/>
      </c>
      <c r="K251" s="140">
        <f>IF(K$49="","",IF($B251="","",IFERROR(SUMIFS('Dvd Calendar'!$E$408:$CZ$408,'Dvd Calendar'!$E$407:$CZ$407,"&gt;"&amp;K$48,'Dvd Calendar'!$E$407:$CZ$407,"&lt;="&amp;K$49),"")))</f>
        <v/>
      </c>
      <c r="L251" s="140">
        <f>IF(L$49="","",IF($B251="","",IFERROR(SUMIFS('Dvd Calendar'!$E$408:$CZ$408,'Dvd Calendar'!$E$407:$CZ$407,"&gt;"&amp;L$48,'Dvd Calendar'!$E$407:$CZ$407,"&lt;="&amp;L$49),"")))</f>
        <v/>
      </c>
      <c r="M251" s="140">
        <f>IF(M$49="","",IF($B251="","",IFERROR(SUMIFS('Dvd Calendar'!$E$408:$CZ$408,'Dvd Calendar'!$E$407:$CZ$407,"&gt;"&amp;M$48,'Dvd Calendar'!$E$407:$CZ$407,"&lt;="&amp;M$49),"")))</f>
        <v/>
      </c>
      <c r="N251" s="140">
        <f>IF(N$49="","",IF($B251="","",IFERROR(SUMIFS('Dvd Calendar'!$E$408:$CZ$408,'Dvd Calendar'!$E$407:$CZ$407,"&gt;"&amp;N$48,'Dvd Calendar'!$E$407:$CZ$407,"&lt;="&amp;N$49),"")))</f>
        <v/>
      </c>
      <c r="O251" s="140">
        <f>IF(O$49="","",IF($B251="","",IFERROR(SUMIFS('Dvd Calendar'!$E$408:$CZ$408,'Dvd Calendar'!$E$407:$CZ$407,"&gt;"&amp;O$48,'Dvd Calendar'!$E$407:$CZ$407,"&lt;="&amp;O$49),"")))</f>
        <v/>
      </c>
      <c r="P251" s="140">
        <f>IF(P$49="","",IF($B251="","",IFERROR(SUMIFS('Dvd Calendar'!$E$408:$CZ$408,'Dvd Calendar'!$E$407:$CZ$407,"&gt;"&amp;P$48,'Dvd Calendar'!$E$407:$CZ$407,"&lt;="&amp;P$49),"")))</f>
        <v/>
      </c>
      <c r="Q251" s="140">
        <f>IF(Q$49="","",IF($B251="","",IFERROR(SUMIFS('Dvd Calendar'!$E$408:$CZ$408,'Dvd Calendar'!$E$407:$CZ$407,"&gt;"&amp;Q$48,'Dvd Calendar'!$E$407:$CZ$407,"&lt;="&amp;Q$49),"")))</f>
        <v/>
      </c>
      <c r="R251" s="140">
        <f>IF(R$49="","",IF($B251="","",IFERROR(SUMIFS('Dvd Calendar'!$E$408:$CZ$408,'Dvd Calendar'!$E$407:$CZ$407,"&gt;"&amp;R$48,'Dvd Calendar'!$E$407:$CZ$407,"&lt;="&amp;R$49),"")))</f>
        <v/>
      </c>
    </row>
    <row r="252">
      <c r="B252" s="5">
        <f>IF(AS51!$C$207="","",AS51!$C$207)</f>
        <v/>
      </c>
      <c r="C252" s="140">
        <f>IF(C$49="","",IF($B252="","",IFERROR(SUMIFS('Dvd Calendar'!$E$410:$CZ$410,'Dvd Calendar'!$E$409:$CZ$409,"&gt;"&amp;C$48,'Dvd Calendar'!$E$409:$CZ$409,"&lt;="&amp;C$49),"")))</f>
        <v/>
      </c>
      <c r="D252" s="140">
        <f>IF(D$49="","",IF($B252="","",IFERROR(SUMIFS('Dvd Calendar'!$E$410:$CZ$410,'Dvd Calendar'!$E$409:$CZ$409,"&gt;"&amp;D$48,'Dvd Calendar'!$E$409:$CZ$409,"&lt;="&amp;D$49),"")))</f>
        <v/>
      </c>
      <c r="E252" s="140">
        <f>IF(E$49="","",IF($B252="","",IFERROR(SUMIFS('Dvd Calendar'!$E$410:$CZ$410,'Dvd Calendar'!$E$409:$CZ$409,"&gt;"&amp;E$48,'Dvd Calendar'!$E$409:$CZ$409,"&lt;="&amp;E$49),"")))</f>
        <v/>
      </c>
      <c r="F252" s="140">
        <f>IF(F$49="","",IF($B252="","",IFERROR(SUMIFS('Dvd Calendar'!$E$410:$CZ$410,'Dvd Calendar'!$E$409:$CZ$409,"&gt;"&amp;F$48,'Dvd Calendar'!$E$409:$CZ$409,"&lt;="&amp;F$49),"")))</f>
        <v/>
      </c>
      <c r="G252" s="140">
        <f>IF(G$49="","",IF($B252="","",IFERROR(SUMIFS('Dvd Calendar'!$E$410:$CZ$410,'Dvd Calendar'!$E$409:$CZ$409,"&gt;"&amp;G$48,'Dvd Calendar'!$E$409:$CZ$409,"&lt;="&amp;G$49),"")))</f>
        <v/>
      </c>
      <c r="H252" s="140">
        <f>IF(H$49="","",IF($B252="","",IFERROR(SUMIFS('Dvd Calendar'!$E$410:$CZ$410,'Dvd Calendar'!$E$409:$CZ$409,"&gt;"&amp;H$48,'Dvd Calendar'!$E$409:$CZ$409,"&lt;="&amp;H$49),"")))</f>
        <v/>
      </c>
      <c r="I252" s="140">
        <f>IF(I$49="","",IF($B252="","",IFERROR(SUMIFS('Dvd Calendar'!$E$410:$CZ$410,'Dvd Calendar'!$E$409:$CZ$409,"&gt;"&amp;I$48,'Dvd Calendar'!$E$409:$CZ$409,"&lt;="&amp;I$49),"")))</f>
        <v/>
      </c>
      <c r="J252" s="140">
        <f>IF(J$49="","",IF($B252="","",IFERROR(SUMIFS('Dvd Calendar'!$E$410:$CZ$410,'Dvd Calendar'!$E$409:$CZ$409,"&gt;"&amp;J$48,'Dvd Calendar'!$E$409:$CZ$409,"&lt;="&amp;J$49),"")))</f>
        <v/>
      </c>
      <c r="K252" s="140">
        <f>IF(K$49="","",IF($B252="","",IFERROR(SUMIFS('Dvd Calendar'!$E$410:$CZ$410,'Dvd Calendar'!$E$409:$CZ$409,"&gt;"&amp;K$48,'Dvd Calendar'!$E$409:$CZ$409,"&lt;="&amp;K$49),"")))</f>
        <v/>
      </c>
      <c r="L252" s="140">
        <f>IF(L$49="","",IF($B252="","",IFERROR(SUMIFS('Dvd Calendar'!$E$410:$CZ$410,'Dvd Calendar'!$E$409:$CZ$409,"&gt;"&amp;L$48,'Dvd Calendar'!$E$409:$CZ$409,"&lt;="&amp;L$49),"")))</f>
        <v/>
      </c>
      <c r="M252" s="140">
        <f>IF(M$49="","",IF($B252="","",IFERROR(SUMIFS('Dvd Calendar'!$E$410:$CZ$410,'Dvd Calendar'!$E$409:$CZ$409,"&gt;"&amp;M$48,'Dvd Calendar'!$E$409:$CZ$409,"&lt;="&amp;M$49),"")))</f>
        <v/>
      </c>
      <c r="N252" s="140">
        <f>IF(N$49="","",IF($B252="","",IFERROR(SUMIFS('Dvd Calendar'!$E$410:$CZ$410,'Dvd Calendar'!$E$409:$CZ$409,"&gt;"&amp;N$48,'Dvd Calendar'!$E$409:$CZ$409,"&lt;="&amp;N$49),"")))</f>
        <v/>
      </c>
      <c r="O252" s="140">
        <f>IF(O$49="","",IF($B252="","",IFERROR(SUMIFS('Dvd Calendar'!$E$410:$CZ$410,'Dvd Calendar'!$E$409:$CZ$409,"&gt;"&amp;O$48,'Dvd Calendar'!$E$409:$CZ$409,"&lt;="&amp;O$49),"")))</f>
        <v/>
      </c>
      <c r="P252" s="140">
        <f>IF(P$49="","",IF($B252="","",IFERROR(SUMIFS('Dvd Calendar'!$E$410:$CZ$410,'Dvd Calendar'!$E$409:$CZ$409,"&gt;"&amp;P$48,'Dvd Calendar'!$E$409:$CZ$409,"&lt;="&amp;P$49),"")))</f>
        <v/>
      </c>
      <c r="Q252" s="140">
        <f>IF(Q$49="","",IF($B252="","",IFERROR(SUMIFS('Dvd Calendar'!$E$410:$CZ$410,'Dvd Calendar'!$E$409:$CZ$409,"&gt;"&amp;Q$48,'Dvd Calendar'!$E$409:$CZ$409,"&lt;="&amp;Q$49),"")))</f>
        <v/>
      </c>
      <c r="R252" s="140">
        <f>IF(R$49="","",IF($B252="","",IFERROR(SUMIFS('Dvd Calendar'!$E$410:$CZ$410,'Dvd Calendar'!$E$409:$CZ$409,"&gt;"&amp;R$48,'Dvd Calendar'!$E$409:$CZ$409,"&lt;="&amp;R$49),"")))</f>
        <v/>
      </c>
    </row>
    <row r="253">
      <c r="B253" s="5">
        <f>IF(AS51!$C$208="","",AS51!$C$208)</f>
        <v/>
      </c>
      <c r="C253" s="140">
        <f>IF(C$49="","",IF($B253="","",IFERROR(SUMIFS('Dvd Calendar'!$E$412:$CZ$412,'Dvd Calendar'!$E$411:$CZ$411,"&gt;"&amp;C$48,'Dvd Calendar'!$E$411:$CZ$411,"&lt;="&amp;C$49),"")))</f>
        <v/>
      </c>
      <c r="D253" s="140">
        <f>IF(D$49="","",IF($B253="","",IFERROR(SUMIFS('Dvd Calendar'!$E$412:$CZ$412,'Dvd Calendar'!$E$411:$CZ$411,"&gt;"&amp;D$48,'Dvd Calendar'!$E$411:$CZ$411,"&lt;="&amp;D$49),"")))</f>
        <v/>
      </c>
      <c r="E253" s="140">
        <f>IF(E$49="","",IF($B253="","",IFERROR(SUMIFS('Dvd Calendar'!$E$412:$CZ$412,'Dvd Calendar'!$E$411:$CZ$411,"&gt;"&amp;E$48,'Dvd Calendar'!$E$411:$CZ$411,"&lt;="&amp;E$49),"")))</f>
        <v/>
      </c>
      <c r="F253" s="140">
        <f>IF(F$49="","",IF($B253="","",IFERROR(SUMIFS('Dvd Calendar'!$E$412:$CZ$412,'Dvd Calendar'!$E$411:$CZ$411,"&gt;"&amp;F$48,'Dvd Calendar'!$E$411:$CZ$411,"&lt;="&amp;F$49),"")))</f>
        <v/>
      </c>
      <c r="G253" s="140">
        <f>IF(G$49="","",IF($B253="","",IFERROR(SUMIFS('Dvd Calendar'!$E$412:$CZ$412,'Dvd Calendar'!$E$411:$CZ$411,"&gt;"&amp;G$48,'Dvd Calendar'!$E$411:$CZ$411,"&lt;="&amp;G$49),"")))</f>
        <v/>
      </c>
      <c r="H253" s="140">
        <f>IF(H$49="","",IF($B253="","",IFERROR(SUMIFS('Dvd Calendar'!$E$412:$CZ$412,'Dvd Calendar'!$E$411:$CZ$411,"&gt;"&amp;H$48,'Dvd Calendar'!$E$411:$CZ$411,"&lt;="&amp;H$49),"")))</f>
        <v/>
      </c>
      <c r="I253" s="140">
        <f>IF(I$49="","",IF($B253="","",IFERROR(SUMIFS('Dvd Calendar'!$E$412:$CZ$412,'Dvd Calendar'!$E$411:$CZ$411,"&gt;"&amp;I$48,'Dvd Calendar'!$E$411:$CZ$411,"&lt;="&amp;I$49),"")))</f>
        <v/>
      </c>
      <c r="J253" s="140">
        <f>IF(J$49="","",IF($B253="","",IFERROR(SUMIFS('Dvd Calendar'!$E$412:$CZ$412,'Dvd Calendar'!$E$411:$CZ$411,"&gt;"&amp;J$48,'Dvd Calendar'!$E$411:$CZ$411,"&lt;="&amp;J$49),"")))</f>
        <v/>
      </c>
      <c r="K253" s="140">
        <f>IF(K$49="","",IF($B253="","",IFERROR(SUMIFS('Dvd Calendar'!$E$412:$CZ$412,'Dvd Calendar'!$E$411:$CZ$411,"&gt;"&amp;K$48,'Dvd Calendar'!$E$411:$CZ$411,"&lt;="&amp;K$49),"")))</f>
        <v/>
      </c>
      <c r="L253" s="140">
        <f>IF(L$49="","",IF($B253="","",IFERROR(SUMIFS('Dvd Calendar'!$E$412:$CZ$412,'Dvd Calendar'!$E$411:$CZ$411,"&gt;"&amp;L$48,'Dvd Calendar'!$E$411:$CZ$411,"&lt;="&amp;L$49),"")))</f>
        <v/>
      </c>
      <c r="M253" s="140">
        <f>IF(M$49="","",IF($B253="","",IFERROR(SUMIFS('Dvd Calendar'!$E$412:$CZ$412,'Dvd Calendar'!$E$411:$CZ$411,"&gt;"&amp;M$48,'Dvd Calendar'!$E$411:$CZ$411,"&lt;="&amp;M$49),"")))</f>
        <v/>
      </c>
      <c r="N253" s="140">
        <f>IF(N$49="","",IF($B253="","",IFERROR(SUMIFS('Dvd Calendar'!$E$412:$CZ$412,'Dvd Calendar'!$E$411:$CZ$411,"&gt;"&amp;N$48,'Dvd Calendar'!$E$411:$CZ$411,"&lt;="&amp;N$49),"")))</f>
        <v/>
      </c>
      <c r="O253" s="140">
        <f>IF(O$49="","",IF($B253="","",IFERROR(SUMIFS('Dvd Calendar'!$E$412:$CZ$412,'Dvd Calendar'!$E$411:$CZ$411,"&gt;"&amp;O$48,'Dvd Calendar'!$E$411:$CZ$411,"&lt;="&amp;O$49),"")))</f>
        <v/>
      </c>
      <c r="P253" s="140">
        <f>IF(P$49="","",IF($B253="","",IFERROR(SUMIFS('Dvd Calendar'!$E$412:$CZ$412,'Dvd Calendar'!$E$411:$CZ$411,"&gt;"&amp;P$48,'Dvd Calendar'!$E$411:$CZ$411,"&lt;="&amp;P$49),"")))</f>
        <v/>
      </c>
      <c r="Q253" s="140">
        <f>IF(Q$49="","",IF($B253="","",IFERROR(SUMIFS('Dvd Calendar'!$E$412:$CZ$412,'Dvd Calendar'!$E$411:$CZ$411,"&gt;"&amp;Q$48,'Dvd Calendar'!$E$411:$CZ$411,"&lt;="&amp;Q$49),"")))</f>
        <v/>
      </c>
      <c r="R253" s="140">
        <f>IF(R$49="","",IF($B253="","",IFERROR(SUMIFS('Dvd Calendar'!$E$412:$CZ$412,'Dvd Calendar'!$E$411:$CZ$411,"&gt;"&amp;R$48,'Dvd Calendar'!$E$411:$CZ$411,"&lt;="&amp;R$49),"")))</f>
        <v/>
      </c>
    </row>
    <row r="254">
      <c r="B254" s="5">
        <f>IF(AS51!$C$209="","",AS51!$C$209)</f>
        <v/>
      </c>
      <c r="C254" s="140">
        <f>IF(C$49="","",IF($B254="","",IFERROR(SUMIFS('Dvd Calendar'!$E$414:$CZ$414,'Dvd Calendar'!$E$413:$CZ$413,"&gt;"&amp;C$48,'Dvd Calendar'!$E$413:$CZ$413,"&lt;="&amp;C$49),"")))</f>
        <v/>
      </c>
      <c r="D254" s="140">
        <f>IF(D$49="","",IF($B254="","",IFERROR(SUMIFS('Dvd Calendar'!$E$414:$CZ$414,'Dvd Calendar'!$E$413:$CZ$413,"&gt;"&amp;D$48,'Dvd Calendar'!$E$413:$CZ$413,"&lt;="&amp;D$49),"")))</f>
        <v/>
      </c>
      <c r="E254" s="140">
        <f>IF(E$49="","",IF($B254="","",IFERROR(SUMIFS('Dvd Calendar'!$E$414:$CZ$414,'Dvd Calendar'!$E$413:$CZ$413,"&gt;"&amp;E$48,'Dvd Calendar'!$E$413:$CZ$413,"&lt;="&amp;E$49),"")))</f>
        <v/>
      </c>
      <c r="F254" s="140">
        <f>IF(F$49="","",IF($B254="","",IFERROR(SUMIFS('Dvd Calendar'!$E$414:$CZ$414,'Dvd Calendar'!$E$413:$CZ$413,"&gt;"&amp;F$48,'Dvd Calendar'!$E$413:$CZ$413,"&lt;="&amp;F$49),"")))</f>
        <v/>
      </c>
      <c r="G254" s="140">
        <f>IF(G$49="","",IF($B254="","",IFERROR(SUMIFS('Dvd Calendar'!$E$414:$CZ$414,'Dvd Calendar'!$E$413:$CZ$413,"&gt;"&amp;G$48,'Dvd Calendar'!$E$413:$CZ$413,"&lt;="&amp;G$49),"")))</f>
        <v/>
      </c>
      <c r="H254" s="140">
        <f>IF(H$49="","",IF($B254="","",IFERROR(SUMIFS('Dvd Calendar'!$E$414:$CZ$414,'Dvd Calendar'!$E$413:$CZ$413,"&gt;"&amp;H$48,'Dvd Calendar'!$E$413:$CZ$413,"&lt;="&amp;H$49),"")))</f>
        <v/>
      </c>
      <c r="I254" s="140">
        <f>IF(I$49="","",IF($B254="","",IFERROR(SUMIFS('Dvd Calendar'!$E$414:$CZ$414,'Dvd Calendar'!$E$413:$CZ$413,"&gt;"&amp;I$48,'Dvd Calendar'!$E$413:$CZ$413,"&lt;="&amp;I$49),"")))</f>
        <v/>
      </c>
      <c r="J254" s="140">
        <f>IF(J$49="","",IF($B254="","",IFERROR(SUMIFS('Dvd Calendar'!$E$414:$CZ$414,'Dvd Calendar'!$E$413:$CZ$413,"&gt;"&amp;J$48,'Dvd Calendar'!$E$413:$CZ$413,"&lt;="&amp;J$49),"")))</f>
        <v/>
      </c>
      <c r="K254" s="140">
        <f>IF(K$49="","",IF($B254="","",IFERROR(SUMIFS('Dvd Calendar'!$E$414:$CZ$414,'Dvd Calendar'!$E$413:$CZ$413,"&gt;"&amp;K$48,'Dvd Calendar'!$E$413:$CZ$413,"&lt;="&amp;K$49),"")))</f>
        <v/>
      </c>
      <c r="L254" s="140">
        <f>IF(L$49="","",IF($B254="","",IFERROR(SUMIFS('Dvd Calendar'!$E$414:$CZ$414,'Dvd Calendar'!$E$413:$CZ$413,"&gt;"&amp;L$48,'Dvd Calendar'!$E$413:$CZ$413,"&lt;="&amp;L$49),"")))</f>
        <v/>
      </c>
      <c r="M254" s="140">
        <f>IF(M$49="","",IF($B254="","",IFERROR(SUMIFS('Dvd Calendar'!$E$414:$CZ$414,'Dvd Calendar'!$E$413:$CZ$413,"&gt;"&amp;M$48,'Dvd Calendar'!$E$413:$CZ$413,"&lt;="&amp;M$49),"")))</f>
        <v/>
      </c>
      <c r="N254" s="140">
        <f>IF(N$49="","",IF($B254="","",IFERROR(SUMIFS('Dvd Calendar'!$E$414:$CZ$414,'Dvd Calendar'!$E$413:$CZ$413,"&gt;"&amp;N$48,'Dvd Calendar'!$E$413:$CZ$413,"&lt;="&amp;N$49),"")))</f>
        <v/>
      </c>
      <c r="O254" s="140">
        <f>IF(O$49="","",IF($B254="","",IFERROR(SUMIFS('Dvd Calendar'!$E$414:$CZ$414,'Dvd Calendar'!$E$413:$CZ$413,"&gt;"&amp;O$48,'Dvd Calendar'!$E$413:$CZ$413,"&lt;="&amp;O$49),"")))</f>
        <v/>
      </c>
      <c r="P254" s="140">
        <f>IF(P$49="","",IF($B254="","",IFERROR(SUMIFS('Dvd Calendar'!$E$414:$CZ$414,'Dvd Calendar'!$E$413:$CZ$413,"&gt;"&amp;P$48,'Dvd Calendar'!$E$413:$CZ$413,"&lt;="&amp;P$49),"")))</f>
        <v/>
      </c>
      <c r="Q254" s="140">
        <f>IF(Q$49="","",IF($B254="","",IFERROR(SUMIFS('Dvd Calendar'!$E$414:$CZ$414,'Dvd Calendar'!$E$413:$CZ$413,"&gt;"&amp;Q$48,'Dvd Calendar'!$E$413:$CZ$413,"&lt;="&amp;Q$49),"")))</f>
        <v/>
      </c>
      <c r="R254" s="140">
        <f>IF(R$49="","",IF($B254="","",IFERROR(SUMIFS('Dvd Calendar'!$E$414:$CZ$414,'Dvd Calendar'!$E$413:$CZ$413,"&gt;"&amp;R$48,'Dvd Calendar'!$E$413:$CZ$413,"&lt;="&amp;R$49),"")))</f>
        <v/>
      </c>
    </row>
    <row r="255">
      <c r="B255" s="5">
        <f>IF(AS51!$C$210="","",AS51!$C$210)</f>
        <v/>
      </c>
      <c r="C255" s="140">
        <f>IF(C$49="","",IF($B255="","",IFERROR(SUMIFS('Dvd Calendar'!$E$416:$CZ$416,'Dvd Calendar'!$E$415:$CZ$415,"&gt;"&amp;C$48,'Dvd Calendar'!$E$415:$CZ$415,"&lt;="&amp;C$49),"")))</f>
        <v/>
      </c>
      <c r="D255" s="140">
        <f>IF(D$49="","",IF($B255="","",IFERROR(SUMIFS('Dvd Calendar'!$E$416:$CZ$416,'Dvd Calendar'!$E$415:$CZ$415,"&gt;"&amp;D$48,'Dvd Calendar'!$E$415:$CZ$415,"&lt;="&amp;D$49),"")))</f>
        <v/>
      </c>
      <c r="E255" s="140">
        <f>IF(E$49="","",IF($B255="","",IFERROR(SUMIFS('Dvd Calendar'!$E$416:$CZ$416,'Dvd Calendar'!$E$415:$CZ$415,"&gt;"&amp;E$48,'Dvd Calendar'!$E$415:$CZ$415,"&lt;="&amp;E$49),"")))</f>
        <v/>
      </c>
      <c r="F255" s="140">
        <f>IF(F$49="","",IF($B255="","",IFERROR(SUMIFS('Dvd Calendar'!$E$416:$CZ$416,'Dvd Calendar'!$E$415:$CZ$415,"&gt;"&amp;F$48,'Dvd Calendar'!$E$415:$CZ$415,"&lt;="&amp;F$49),"")))</f>
        <v/>
      </c>
      <c r="G255" s="140">
        <f>IF(G$49="","",IF($B255="","",IFERROR(SUMIFS('Dvd Calendar'!$E$416:$CZ$416,'Dvd Calendar'!$E$415:$CZ$415,"&gt;"&amp;G$48,'Dvd Calendar'!$E$415:$CZ$415,"&lt;="&amp;G$49),"")))</f>
        <v/>
      </c>
      <c r="H255" s="140">
        <f>IF(H$49="","",IF($B255="","",IFERROR(SUMIFS('Dvd Calendar'!$E$416:$CZ$416,'Dvd Calendar'!$E$415:$CZ$415,"&gt;"&amp;H$48,'Dvd Calendar'!$E$415:$CZ$415,"&lt;="&amp;H$49),"")))</f>
        <v/>
      </c>
      <c r="I255" s="140">
        <f>IF(I$49="","",IF($B255="","",IFERROR(SUMIFS('Dvd Calendar'!$E$416:$CZ$416,'Dvd Calendar'!$E$415:$CZ$415,"&gt;"&amp;I$48,'Dvd Calendar'!$E$415:$CZ$415,"&lt;="&amp;I$49),"")))</f>
        <v/>
      </c>
      <c r="J255" s="140">
        <f>IF(J$49="","",IF($B255="","",IFERROR(SUMIFS('Dvd Calendar'!$E$416:$CZ$416,'Dvd Calendar'!$E$415:$CZ$415,"&gt;"&amp;J$48,'Dvd Calendar'!$E$415:$CZ$415,"&lt;="&amp;J$49),"")))</f>
        <v/>
      </c>
      <c r="K255" s="140">
        <f>IF(K$49="","",IF($B255="","",IFERROR(SUMIFS('Dvd Calendar'!$E$416:$CZ$416,'Dvd Calendar'!$E$415:$CZ$415,"&gt;"&amp;K$48,'Dvd Calendar'!$E$415:$CZ$415,"&lt;="&amp;K$49),"")))</f>
        <v/>
      </c>
      <c r="L255" s="140">
        <f>IF(L$49="","",IF($B255="","",IFERROR(SUMIFS('Dvd Calendar'!$E$416:$CZ$416,'Dvd Calendar'!$E$415:$CZ$415,"&gt;"&amp;L$48,'Dvd Calendar'!$E$415:$CZ$415,"&lt;="&amp;L$49),"")))</f>
        <v/>
      </c>
      <c r="M255" s="140">
        <f>IF(M$49="","",IF($B255="","",IFERROR(SUMIFS('Dvd Calendar'!$E$416:$CZ$416,'Dvd Calendar'!$E$415:$CZ$415,"&gt;"&amp;M$48,'Dvd Calendar'!$E$415:$CZ$415,"&lt;="&amp;M$49),"")))</f>
        <v/>
      </c>
      <c r="N255" s="140">
        <f>IF(N$49="","",IF($B255="","",IFERROR(SUMIFS('Dvd Calendar'!$E$416:$CZ$416,'Dvd Calendar'!$E$415:$CZ$415,"&gt;"&amp;N$48,'Dvd Calendar'!$E$415:$CZ$415,"&lt;="&amp;N$49),"")))</f>
        <v/>
      </c>
      <c r="O255" s="140">
        <f>IF(O$49="","",IF($B255="","",IFERROR(SUMIFS('Dvd Calendar'!$E$416:$CZ$416,'Dvd Calendar'!$E$415:$CZ$415,"&gt;"&amp;O$48,'Dvd Calendar'!$E$415:$CZ$415,"&lt;="&amp;O$49),"")))</f>
        <v/>
      </c>
      <c r="P255" s="140">
        <f>IF(P$49="","",IF($B255="","",IFERROR(SUMIFS('Dvd Calendar'!$E$416:$CZ$416,'Dvd Calendar'!$E$415:$CZ$415,"&gt;"&amp;P$48,'Dvd Calendar'!$E$415:$CZ$415,"&lt;="&amp;P$49),"")))</f>
        <v/>
      </c>
      <c r="Q255" s="140">
        <f>IF(Q$49="","",IF($B255="","",IFERROR(SUMIFS('Dvd Calendar'!$E$416:$CZ$416,'Dvd Calendar'!$E$415:$CZ$415,"&gt;"&amp;Q$48,'Dvd Calendar'!$E$415:$CZ$415,"&lt;="&amp;Q$49),"")))</f>
        <v/>
      </c>
      <c r="R255" s="140">
        <f>IF(R$49="","",IF($B255="","",IFERROR(SUMIFS('Dvd Calendar'!$E$416:$CZ$416,'Dvd Calendar'!$E$415:$CZ$415,"&gt;"&amp;R$48,'Dvd Calendar'!$E$415:$CZ$415,"&lt;="&amp;R$49),"")))</f>
        <v/>
      </c>
    </row>
    <row r="257">
      <c r="B257" s="3" t="inlineStr">
        <is>
          <t>MSCI Australia (MXAU)</t>
        </is>
      </c>
    </row>
    <row r="258">
      <c r="B258" s="2" t="inlineStr">
        <is>
          <t>window start</t>
        </is>
      </c>
      <c r="C258" s="136">
        <f>IF(Expiries!$B16="","",Expiries!$K16)</f>
        <v/>
      </c>
      <c r="D258" s="136">
        <f>IF(Expiries!$B17="","",Expiries!$K17)</f>
        <v/>
      </c>
      <c r="E258" s="136">
        <f>IF(Expiries!$B18="","",Expiries!$K18)</f>
        <v/>
      </c>
      <c r="F258" s="136">
        <f>IF(Expiries!$B19="","",Expiries!$K19)</f>
        <v/>
      </c>
      <c r="G258" s="136">
        <f>IF(Expiries!$B20="","",Expiries!$K20)</f>
        <v/>
      </c>
      <c r="H258" s="136">
        <f>IF(Expiries!$B21="","",Expiries!$K21)</f>
        <v/>
      </c>
      <c r="I258" s="136">
        <f>IF(Expiries!$B22="","",Expiries!$K22)</f>
        <v/>
      </c>
      <c r="J258" s="136">
        <f>IF(Expiries!$B23="","",Expiries!$K23)</f>
        <v/>
      </c>
      <c r="K258" s="136">
        <f>IF(Expiries!$B24="","",Expiries!$K24)</f>
        <v/>
      </c>
      <c r="L258" s="136">
        <f>IF(Expiries!$B25="","",Expiries!$K25)</f>
        <v/>
      </c>
      <c r="M258" s="136">
        <f>IF(Expiries!$B26="","",Expiries!$K26)</f>
        <v/>
      </c>
      <c r="N258" s="136">
        <f>IF(Expiries!$B27="","",Expiries!$K27)</f>
        <v/>
      </c>
      <c r="O258" s="136">
        <f>IF(Expiries!$B28="","",Expiries!$K28)</f>
        <v/>
      </c>
      <c r="P258" s="136">
        <f>IF(Expiries!$B29="","",Expiries!$K29)</f>
        <v/>
      </c>
      <c r="Q258" s="136">
        <f>IF(Expiries!$B30="","",Expiries!$K30)</f>
        <v/>
      </c>
      <c r="R258" s="136">
        <f>IF(Expiries!$B31="","",Expiries!$K31)</f>
        <v/>
      </c>
    </row>
    <row r="259">
      <c r="B259" s="3" t="inlineStr">
        <is>
          <t>expiry</t>
        </is>
      </c>
      <c r="C259" s="137">
        <f>IF(Expiries!$B16="","",Expiries!$I16)</f>
        <v/>
      </c>
      <c r="D259" s="137">
        <f>IF(Expiries!$B17="","",Expiries!$I17)</f>
        <v/>
      </c>
      <c r="E259" s="137">
        <f>IF(Expiries!$B18="","",Expiries!$I18)</f>
        <v/>
      </c>
      <c r="F259" s="137">
        <f>IF(Expiries!$B19="","",Expiries!$I19)</f>
        <v/>
      </c>
      <c r="G259" s="137">
        <f>IF(Expiries!$B20="","",Expiries!$I20)</f>
        <v/>
      </c>
      <c r="H259" s="137">
        <f>IF(Expiries!$B21="","",Expiries!$I21)</f>
        <v/>
      </c>
      <c r="I259" s="137">
        <f>IF(Expiries!$B22="","",Expiries!$I22)</f>
        <v/>
      </c>
      <c r="J259" s="137">
        <f>IF(Expiries!$B23="","",Expiries!$I23)</f>
        <v/>
      </c>
      <c r="K259" s="137">
        <f>IF(Expiries!$B24="","",Expiries!$I24)</f>
        <v/>
      </c>
      <c r="L259" s="137">
        <f>IF(Expiries!$B25="","",Expiries!$I25)</f>
        <v/>
      </c>
      <c r="M259" s="137">
        <f>IF(Expiries!$B26="","",Expiries!$I26)</f>
        <v/>
      </c>
      <c r="N259" s="137">
        <f>IF(Expiries!$B27="","",Expiries!$I27)</f>
        <v/>
      </c>
      <c r="O259" s="137">
        <f>IF(Expiries!$B28="","",Expiries!$I28)</f>
        <v/>
      </c>
      <c r="P259" s="137">
        <f>IF(Expiries!$B29="","",Expiries!$I29)</f>
        <v/>
      </c>
      <c r="Q259" s="137">
        <f>IF(Expiries!$B30="","",Expiries!$I30)</f>
        <v/>
      </c>
      <c r="R259" s="137">
        <f>IF(Expiries!$B31="","",Expiries!$I31)</f>
        <v/>
      </c>
    </row>
    <row r="260">
      <c r="B260" s="54" t="inlineStr">
        <is>
          <t>Ticker</t>
        </is>
      </c>
      <c r="C260" s="54">
        <f>IF(Expiries!$B16="","","#"&amp;Expiries!$B16&amp;" - "&amp;Expiries!$C16)</f>
        <v/>
      </c>
      <c r="D260" s="54">
        <f>IF(Expiries!$B17="","","#"&amp;Expiries!$B17&amp;" - "&amp;Expiries!$C17)</f>
        <v/>
      </c>
      <c r="E260" s="54">
        <f>IF(Expiries!$B18="","","#"&amp;Expiries!$B18&amp;" - "&amp;Expiries!$C18)</f>
        <v/>
      </c>
      <c r="F260" s="54">
        <f>IF(Expiries!$B19="","","#"&amp;Expiries!$B19&amp;" - "&amp;Expiries!$C19)</f>
        <v/>
      </c>
      <c r="G260" s="54">
        <f>IF(Expiries!$B20="","","#"&amp;Expiries!$B20&amp;" - "&amp;Expiries!$C20)</f>
        <v/>
      </c>
      <c r="H260" s="54">
        <f>IF(Expiries!$B21="","","#"&amp;Expiries!$B21&amp;" - "&amp;Expiries!$C21)</f>
        <v/>
      </c>
      <c r="I260" s="54">
        <f>IF(Expiries!$B22="","","#"&amp;Expiries!$B22&amp;" - "&amp;Expiries!$C22)</f>
        <v/>
      </c>
      <c r="J260" s="54">
        <f>IF(Expiries!$B23="","","#"&amp;Expiries!$B23&amp;" - "&amp;Expiries!$C23)</f>
        <v/>
      </c>
      <c r="K260" s="54">
        <f>IF(Expiries!$B24="","","#"&amp;Expiries!$B24&amp;" - "&amp;Expiries!$C24)</f>
        <v/>
      </c>
      <c r="L260" s="54">
        <f>IF(Expiries!$B25="","","#"&amp;Expiries!$B25&amp;" - "&amp;Expiries!$C25)</f>
        <v/>
      </c>
      <c r="M260" s="54">
        <f>IF(Expiries!$B26="","","#"&amp;Expiries!$B26&amp;" - "&amp;Expiries!$C26)</f>
        <v/>
      </c>
      <c r="N260" s="54">
        <f>IF(Expiries!$B27="","","#"&amp;Expiries!$B27&amp;" - "&amp;Expiries!$C27)</f>
        <v/>
      </c>
      <c r="O260" s="54">
        <f>IF(Expiries!$B28="","","#"&amp;Expiries!$B28&amp;" - "&amp;Expiries!$C28)</f>
        <v/>
      </c>
      <c r="P260" s="54">
        <f>IF(Expiries!$B29="","","#"&amp;Expiries!$B29&amp;" - "&amp;Expiries!$C29)</f>
        <v/>
      </c>
      <c r="Q260" s="54">
        <f>IF(Expiries!$B30="","","#"&amp;Expiries!$B30&amp;" - "&amp;Expiries!$C30)</f>
        <v/>
      </c>
      <c r="R260" s="54">
        <f>IF(Expiries!$B31="","","#"&amp;Expiries!$B31&amp;" - "&amp;Expiries!$C31)</f>
        <v/>
      </c>
    </row>
    <row r="261">
      <c r="B261" s="5">
        <f>IF(MXAU!$C$6="","",MXAU!$C$6)</f>
        <v/>
      </c>
      <c r="C261" s="140">
        <f>IF(C$259="","",IF($B261="","",IFERROR(SUMIFS('Dvd Calendar'!$E$421:$CZ$421,'Dvd Calendar'!$E$420:$CZ$420,"&gt;"&amp;C$258,'Dvd Calendar'!$E$420:$CZ$420,"&lt;="&amp;C$259),"")))</f>
        <v/>
      </c>
      <c r="D261" s="140">
        <f>IF(D$259="","",IF($B261="","",IFERROR(SUMIFS('Dvd Calendar'!$E$421:$CZ$421,'Dvd Calendar'!$E$420:$CZ$420,"&gt;"&amp;D$258,'Dvd Calendar'!$E$420:$CZ$420,"&lt;="&amp;D$259),"")))</f>
        <v/>
      </c>
      <c r="E261" s="140">
        <f>IF(E$259="","",IF($B261="","",IFERROR(SUMIFS('Dvd Calendar'!$E$421:$CZ$421,'Dvd Calendar'!$E$420:$CZ$420,"&gt;"&amp;E$258,'Dvd Calendar'!$E$420:$CZ$420,"&lt;="&amp;E$259),"")))</f>
        <v/>
      </c>
      <c r="F261" s="140">
        <f>IF(F$259="","",IF($B261="","",IFERROR(SUMIFS('Dvd Calendar'!$E$421:$CZ$421,'Dvd Calendar'!$E$420:$CZ$420,"&gt;"&amp;F$258,'Dvd Calendar'!$E$420:$CZ$420,"&lt;="&amp;F$259),"")))</f>
        <v/>
      </c>
      <c r="G261" s="140">
        <f>IF(G$259="","",IF($B261="","",IFERROR(SUMIFS('Dvd Calendar'!$E$421:$CZ$421,'Dvd Calendar'!$E$420:$CZ$420,"&gt;"&amp;G$258,'Dvd Calendar'!$E$420:$CZ$420,"&lt;="&amp;G$259),"")))</f>
        <v/>
      </c>
      <c r="H261" s="140">
        <f>IF(H$259="","",IF($B261="","",IFERROR(SUMIFS('Dvd Calendar'!$E$421:$CZ$421,'Dvd Calendar'!$E$420:$CZ$420,"&gt;"&amp;H$258,'Dvd Calendar'!$E$420:$CZ$420,"&lt;="&amp;H$259),"")))</f>
        <v/>
      </c>
      <c r="I261" s="140">
        <f>IF(I$259="","",IF($B261="","",IFERROR(SUMIFS('Dvd Calendar'!$E$421:$CZ$421,'Dvd Calendar'!$E$420:$CZ$420,"&gt;"&amp;I$258,'Dvd Calendar'!$E$420:$CZ$420,"&lt;="&amp;I$259),"")))</f>
        <v/>
      </c>
      <c r="J261" s="140">
        <f>IF(J$259="","",IF($B261="","",IFERROR(SUMIFS('Dvd Calendar'!$E$421:$CZ$421,'Dvd Calendar'!$E$420:$CZ$420,"&gt;"&amp;J$258,'Dvd Calendar'!$E$420:$CZ$420,"&lt;="&amp;J$259),"")))</f>
        <v/>
      </c>
      <c r="K261" s="140">
        <f>IF(K$259="","",IF($B261="","",IFERROR(SUMIFS('Dvd Calendar'!$E$421:$CZ$421,'Dvd Calendar'!$E$420:$CZ$420,"&gt;"&amp;K$258,'Dvd Calendar'!$E$420:$CZ$420,"&lt;="&amp;K$259),"")))</f>
        <v/>
      </c>
      <c r="L261" s="140">
        <f>IF(L$259="","",IF($B261="","",IFERROR(SUMIFS('Dvd Calendar'!$E$421:$CZ$421,'Dvd Calendar'!$E$420:$CZ$420,"&gt;"&amp;L$258,'Dvd Calendar'!$E$420:$CZ$420,"&lt;="&amp;L$259),"")))</f>
        <v/>
      </c>
      <c r="M261" s="140">
        <f>IF(M$259="","",IF($B261="","",IFERROR(SUMIFS('Dvd Calendar'!$E$421:$CZ$421,'Dvd Calendar'!$E$420:$CZ$420,"&gt;"&amp;M$258,'Dvd Calendar'!$E$420:$CZ$420,"&lt;="&amp;M$259),"")))</f>
        <v/>
      </c>
      <c r="N261" s="140">
        <f>IF(N$259="","",IF($B261="","",IFERROR(SUMIFS('Dvd Calendar'!$E$421:$CZ$421,'Dvd Calendar'!$E$420:$CZ$420,"&gt;"&amp;N$258,'Dvd Calendar'!$E$420:$CZ$420,"&lt;="&amp;N$259),"")))</f>
        <v/>
      </c>
      <c r="O261" s="140">
        <f>IF(O$259="","",IF($B261="","",IFERROR(SUMIFS('Dvd Calendar'!$E$421:$CZ$421,'Dvd Calendar'!$E$420:$CZ$420,"&gt;"&amp;O$258,'Dvd Calendar'!$E$420:$CZ$420,"&lt;="&amp;O$259),"")))</f>
        <v/>
      </c>
      <c r="P261" s="140">
        <f>IF(P$259="","",IF($B261="","",IFERROR(SUMIFS('Dvd Calendar'!$E$421:$CZ$421,'Dvd Calendar'!$E$420:$CZ$420,"&gt;"&amp;P$258,'Dvd Calendar'!$E$420:$CZ$420,"&lt;="&amp;P$259),"")))</f>
        <v/>
      </c>
      <c r="Q261" s="140">
        <f>IF(Q$259="","",IF($B261="","",IFERROR(SUMIFS('Dvd Calendar'!$E$421:$CZ$421,'Dvd Calendar'!$E$420:$CZ$420,"&gt;"&amp;Q$258,'Dvd Calendar'!$E$420:$CZ$420,"&lt;="&amp;Q$259),"")))</f>
        <v/>
      </c>
      <c r="R261" s="140">
        <f>IF(R$259="","",IF($B261="","",IFERROR(SUMIFS('Dvd Calendar'!$E$421:$CZ$421,'Dvd Calendar'!$E$420:$CZ$420,"&gt;"&amp;R$258,'Dvd Calendar'!$E$420:$CZ$420,"&lt;="&amp;R$259),"")))</f>
        <v/>
      </c>
    </row>
    <row r="262">
      <c r="B262" s="5">
        <f>IF(MXAU!$C$7="","",MXAU!$C$7)</f>
        <v/>
      </c>
      <c r="C262" s="140">
        <f>IF(C$259="","",IF($B262="","",IFERROR(SUMIFS('Dvd Calendar'!$E$423:$CZ$423,'Dvd Calendar'!$E$422:$CZ$422,"&gt;"&amp;C$258,'Dvd Calendar'!$E$422:$CZ$422,"&lt;="&amp;C$259),"")))</f>
        <v/>
      </c>
      <c r="D262" s="140">
        <f>IF(D$259="","",IF($B262="","",IFERROR(SUMIFS('Dvd Calendar'!$E$423:$CZ$423,'Dvd Calendar'!$E$422:$CZ$422,"&gt;"&amp;D$258,'Dvd Calendar'!$E$422:$CZ$422,"&lt;="&amp;D$259),"")))</f>
        <v/>
      </c>
      <c r="E262" s="140">
        <f>IF(E$259="","",IF($B262="","",IFERROR(SUMIFS('Dvd Calendar'!$E$423:$CZ$423,'Dvd Calendar'!$E$422:$CZ$422,"&gt;"&amp;E$258,'Dvd Calendar'!$E$422:$CZ$422,"&lt;="&amp;E$259),"")))</f>
        <v/>
      </c>
      <c r="F262" s="140">
        <f>IF(F$259="","",IF($B262="","",IFERROR(SUMIFS('Dvd Calendar'!$E$423:$CZ$423,'Dvd Calendar'!$E$422:$CZ$422,"&gt;"&amp;F$258,'Dvd Calendar'!$E$422:$CZ$422,"&lt;="&amp;F$259),"")))</f>
        <v/>
      </c>
      <c r="G262" s="140">
        <f>IF(G$259="","",IF($B262="","",IFERROR(SUMIFS('Dvd Calendar'!$E$423:$CZ$423,'Dvd Calendar'!$E$422:$CZ$422,"&gt;"&amp;G$258,'Dvd Calendar'!$E$422:$CZ$422,"&lt;="&amp;G$259),"")))</f>
        <v/>
      </c>
      <c r="H262" s="140">
        <f>IF(H$259="","",IF($B262="","",IFERROR(SUMIFS('Dvd Calendar'!$E$423:$CZ$423,'Dvd Calendar'!$E$422:$CZ$422,"&gt;"&amp;H$258,'Dvd Calendar'!$E$422:$CZ$422,"&lt;="&amp;H$259),"")))</f>
        <v/>
      </c>
      <c r="I262" s="140">
        <f>IF(I$259="","",IF($B262="","",IFERROR(SUMIFS('Dvd Calendar'!$E$423:$CZ$423,'Dvd Calendar'!$E$422:$CZ$422,"&gt;"&amp;I$258,'Dvd Calendar'!$E$422:$CZ$422,"&lt;="&amp;I$259),"")))</f>
        <v/>
      </c>
      <c r="J262" s="140">
        <f>IF(J$259="","",IF($B262="","",IFERROR(SUMIFS('Dvd Calendar'!$E$423:$CZ$423,'Dvd Calendar'!$E$422:$CZ$422,"&gt;"&amp;J$258,'Dvd Calendar'!$E$422:$CZ$422,"&lt;="&amp;J$259),"")))</f>
        <v/>
      </c>
      <c r="K262" s="140">
        <f>IF(K$259="","",IF($B262="","",IFERROR(SUMIFS('Dvd Calendar'!$E$423:$CZ$423,'Dvd Calendar'!$E$422:$CZ$422,"&gt;"&amp;K$258,'Dvd Calendar'!$E$422:$CZ$422,"&lt;="&amp;K$259),"")))</f>
        <v/>
      </c>
      <c r="L262" s="140">
        <f>IF(L$259="","",IF($B262="","",IFERROR(SUMIFS('Dvd Calendar'!$E$423:$CZ$423,'Dvd Calendar'!$E$422:$CZ$422,"&gt;"&amp;L$258,'Dvd Calendar'!$E$422:$CZ$422,"&lt;="&amp;L$259),"")))</f>
        <v/>
      </c>
      <c r="M262" s="140">
        <f>IF(M$259="","",IF($B262="","",IFERROR(SUMIFS('Dvd Calendar'!$E$423:$CZ$423,'Dvd Calendar'!$E$422:$CZ$422,"&gt;"&amp;M$258,'Dvd Calendar'!$E$422:$CZ$422,"&lt;="&amp;M$259),"")))</f>
        <v/>
      </c>
      <c r="N262" s="140">
        <f>IF(N$259="","",IF($B262="","",IFERROR(SUMIFS('Dvd Calendar'!$E$423:$CZ$423,'Dvd Calendar'!$E$422:$CZ$422,"&gt;"&amp;N$258,'Dvd Calendar'!$E$422:$CZ$422,"&lt;="&amp;N$259),"")))</f>
        <v/>
      </c>
      <c r="O262" s="140">
        <f>IF(O$259="","",IF($B262="","",IFERROR(SUMIFS('Dvd Calendar'!$E$423:$CZ$423,'Dvd Calendar'!$E$422:$CZ$422,"&gt;"&amp;O$258,'Dvd Calendar'!$E$422:$CZ$422,"&lt;="&amp;O$259),"")))</f>
        <v/>
      </c>
      <c r="P262" s="140">
        <f>IF(P$259="","",IF($B262="","",IFERROR(SUMIFS('Dvd Calendar'!$E$423:$CZ$423,'Dvd Calendar'!$E$422:$CZ$422,"&gt;"&amp;P$258,'Dvd Calendar'!$E$422:$CZ$422,"&lt;="&amp;P$259),"")))</f>
        <v/>
      </c>
      <c r="Q262" s="140">
        <f>IF(Q$259="","",IF($B262="","",IFERROR(SUMIFS('Dvd Calendar'!$E$423:$CZ$423,'Dvd Calendar'!$E$422:$CZ$422,"&gt;"&amp;Q$258,'Dvd Calendar'!$E$422:$CZ$422,"&lt;="&amp;Q$259),"")))</f>
        <v/>
      </c>
      <c r="R262" s="140">
        <f>IF(R$259="","",IF($B262="","",IFERROR(SUMIFS('Dvd Calendar'!$E$423:$CZ$423,'Dvd Calendar'!$E$422:$CZ$422,"&gt;"&amp;R$258,'Dvd Calendar'!$E$422:$CZ$422,"&lt;="&amp;R$259),"")))</f>
        <v/>
      </c>
    </row>
    <row r="263">
      <c r="B263" s="5">
        <f>IF(MXAU!$C$8="","",MXAU!$C$8)</f>
        <v/>
      </c>
      <c r="C263" s="140">
        <f>IF(C$259="","",IF($B263="","",IFERROR(SUMIFS('Dvd Calendar'!$E$425:$CZ$425,'Dvd Calendar'!$E$424:$CZ$424,"&gt;"&amp;C$258,'Dvd Calendar'!$E$424:$CZ$424,"&lt;="&amp;C$259),"")))</f>
        <v/>
      </c>
      <c r="D263" s="140">
        <f>IF(D$259="","",IF($B263="","",IFERROR(SUMIFS('Dvd Calendar'!$E$425:$CZ$425,'Dvd Calendar'!$E$424:$CZ$424,"&gt;"&amp;D$258,'Dvd Calendar'!$E$424:$CZ$424,"&lt;="&amp;D$259),"")))</f>
        <v/>
      </c>
      <c r="E263" s="140">
        <f>IF(E$259="","",IF($B263="","",IFERROR(SUMIFS('Dvd Calendar'!$E$425:$CZ$425,'Dvd Calendar'!$E$424:$CZ$424,"&gt;"&amp;E$258,'Dvd Calendar'!$E$424:$CZ$424,"&lt;="&amp;E$259),"")))</f>
        <v/>
      </c>
      <c r="F263" s="140">
        <f>IF(F$259="","",IF($B263="","",IFERROR(SUMIFS('Dvd Calendar'!$E$425:$CZ$425,'Dvd Calendar'!$E$424:$CZ$424,"&gt;"&amp;F$258,'Dvd Calendar'!$E$424:$CZ$424,"&lt;="&amp;F$259),"")))</f>
        <v/>
      </c>
      <c r="G263" s="140">
        <f>IF(G$259="","",IF($B263="","",IFERROR(SUMIFS('Dvd Calendar'!$E$425:$CZ$425,'Dvd Calendar'!$E$424:$CZ$424,"&gt;"&amp;G$258,'Dvd Calendar'!$E$424:$CZ$424,"&lt;="&amp;G$259),"")))</f>
        <v/>
      </c>
      <c r="H263" s="140">
        <f>IF(H$259="","",IF($B263="","",IFERROR(SUMIFS('Dvd Calendar'!$E$425:$CZ$425,'Dvd Calendar'!$E$424:$CZ$424,"&gt;"&amp;H$258,'Dvd Calendar'!$E$424:$CZ$424,"&lt;="&amp;H$259),"")))</f>
        <v/>
      </c>
      <c r="I263" s="140">
        <f>IF(I$259="","",IF($B263="","",IFERROR(SUMIFS('Dvd Calendar'!$E$425:$CZ$425,'Dvd Calendar'!$E$424:$CZ$424,"&gt;"&amp;I$258,'Dvd Calendar'!$E$424:$CZ$424,"&lt;="&amp;I$259),"")))</f>
        <v/>
      </c>
      <c r="J263" s="140">
        <f>IF(J$259="","",IF($B263="","",IFERROR(SUMIFS('Dvd Calendar'!$E$425:$CZ$425,'Dvd Calendar'!$E$424:$CZ$424,"&gt;"&amp;J$258,'Dvd Calendar'!$E$424:$CZ$424,"&lt;="&amp;J$259),"")))</f>
        <v/>
      </c>
      <c r="K263" s="140">
        <f>IF(K$259="","",IF($B263="","",IFERROR(SUMIFS('Dvd Calendar'!$E$425:$CZ$425,'Dvd Calendar'!$E$424:$CZ$424,"&gt;"&amp;K$258,'Dvd Calendar'!$E$424:$CZ$424,"&lt;="&amp;K$259),"")))</f>
        <v/>
      </c>
      <c r="L263" s="140">
        <f>IF(L$259="","",IF($B263="","",IFERROR(SUMIFS('Dvd Calendar'!$E$425:$CZ$425,'Dvd Calendar'!$E$424:$CZ$424,"&gt;"&amp;L$258,'Dvd Calendar'!$E$424:$CZ$424,"&lt;="&amp;L$259),"")))</f>
        <v/>
      </c>
      <c r="M263" s="140">
        <f>IF(M$259="","",IF($B263="","",IFERROR(SUMIFS('Dvd Calendar'!$E$425:$CZ$425,'Dvd Calendar'!$E$424:$CZ$424,"&gt;"&amp;M$258,'Dvd Calendar'!$E$424:$CZ$424,"&lt;="&amp;M$259),"")))</f>
        <v/>
      </c>
      <c r="N263" s="140">
        <f>IF(N$259="","",IF($B263="","",IFERROR(SUMIFS('Dvd Calendar'!$E$425:$CZ$425,'Dvd Calendar'!$E$424:$CZ$424,"&gt;"&amp;N$258,'Dvd Calendar'!$E$424:$CZ$424,"&lt;="&amp;N$259),"")))</f>
        <v/>
      </c>
      <c r="O263" s="140">
        <f>IF(O$259="","",IF($B263="","",IFERROR(SUMIFS('Dvd Calendar'!$E$425:$CZ$425,'Dvd Calendar'!$E$424:$CZ$424,"&gt;"&amp;O$258,'Dvd Calendar'!$E$424:$CZ$424,"&lt;="&amp;O$259),"")))</f>
        <v/>
      </c>
      <c r="P263" s="140">
        <f>IF(P$259="","",IF($B263="","",IFERROR(SUMIFS('Dvd Calendar'!$E$425:$CZ$425,'Dvd Calendar'!$E$424:$CZ$424,"&gt;"&amp;P$258,'Dvd Calendar'!$E$424:$CZ$424,"&lt;="&amp;P$259),"")))</f>
        <v/>
      </c>
      <c r="Q263" s="140">
        <f>IF(Q$259="","",IF($B263="","",IFERROR(SUMIFS('Dvd Calendar'!$E$425:$CZ$425,'Dvd Calendar'!$E$424:$CZ$424,"&gt;"&amp;Q$258,'Dvd Calendar'!$E$424:$CZ$424,"&lt;="&amp;Q$259),"")))</f>
        <v/>
      </c>
      <c r="R263" s="140">
        <f>IF(R$259="","",IF($B263="","",IFERROR(SUMIFS('Dvd Calendar'!$E$425:$CZ$425,'Dvd Calendar'!$E$424:$CZ$424,"&gt;"&amp;R$258,'Dvd Calendar'!$E$424:$CZ$424,"&lt;="&amp;R$259),"")))</f>
        <v/>
      </c>
    </row>
    <row r="264">
      <c r="B264" s="5">
        <f>IF(MXAU!$C$9="","",MXAU!$C$9)</f>
        <v/>
      </c>
      <c r="C264" s="140">
        <f>IF(C$259="","",IF($B264="","",IFERROR(SUMIFS('Dvd Calendar'!$E$427:$CZ$427,'Dvd Calendar'!$E$426:$CZ$426,"&gt;"&amp;C$258,'Dvd Calendar'!$E$426:$CZ$426,"&lt;="&amp;C$259),"")))</f>
        <v/>
      </c>
      <c r="D264" s="140">
        <f>IF(D$259="","",IF($B264="","",IFERROR(SUMIFS('Dvd Calendar'!$E$427:$CZ$427,'Dvd Calendar'!$E$426:$CZ$426,"&gt;"&amp;D$258,'Dvd Calendar'!$E$426:$CZ$426,"&lt;="&amp;D$259),"")))</f>
        <v/>
      </c>
      <c r="E264" s="140">
        <f>IF(E$259="","",IF($B264="","",IFERROR(SUMIFS('Dvd Calendar'!$E$427:$CZ$427,'Dvd Calendar'!$E$426:$CZ$426,"&gt;"&amp;E$258,'Dvd Calendar'!$E$426:$CZ$426,"&lt;="&amp;E$259),"")))</f>
        <v/>
      </c>
      <c r="F264" s="140">
        <f>IF(F$259="","",IF($B264="","",IFERROR(SUMIFS('Dvd Calendar'!$E$427:$CZ$427,'Dvd Calendar'!$E$426:$CZ$426,"&gt;"&amp;F$258,'Dvd Calendar'!$E$426:$CZ$426,"&lt;="&amp;F$259),"")))</f>
        <v/>
      </c>
      <c r="G264" s="140">
        <f>IF(G$259="","",IF($B264="","",IFERROR(SUMIFS('Dvd Calendar'!$E$427:$CZ$427,'Dvd Calendar'!$E$426:$CZ$426,"&gt;"&amp;G$258,'Dvd Calendar'!$E$426:$CZ$426,"&lt;="&amp;G$259),"")))</f>
        <v/>
      </c>
      <c r="H264" s="140">
        <f>IF(H$259="","",IF($B264="","",IFERROR(SUMIFS('Dvd Calendar'!$E$427:$CZ$427,'Dvd Calendar'!$E$426:$CZ$426,"&gt;"&amp;H$258,'Dvd Calendar'!$E$426:$CZ$426,"&lt;="&amp;H$259),"")))</f>
        <v/>
      </c>
      <c r="I264" s="140">
        <f>IF(I$259="","",IF($B264="","",IFERROR(SUMIFS('Dvd Calendar'!$E$427:$CZ$427,'Dvd Calendar'!$E$426:$CZ$426,"&gt;"&amp;I$258,'Dvd Calendar'!$E$426:$CZ$426,"&lt;="&amp;I$259),"")))</f>
        <v/>
      </c>
      <c r="J264" s="140">
        <f>IF(J$259="","",IF($B264="","",IFERROR(SUMIFS('Dvd Calendar'!$E$427:$CZ$427,'Dvd Calendar'!$E$426:$CZ$426,"&gt;"&amp;J$258,'Dvd Calendar'!$E$426:$CZ$426,"&lt;="&amp;J$259),"")))</f>
        <v/>
      </c>
      <c r="K264" s="140">
        <f>IF(K$259="","",IF($B264="","",IFERROR(SUMIFS('Dvd Calendar'!$E$427:$CZ$427,'Dvd Calendar'!$E$426:$CZ$426,"&gt;"&amp;K$258,'Dvd Calendar'!$E$426:$CZ$426,"&lt;="&amp;K$259),"")))</f>
        <v/>
      </c>
      <c r="L264" s="140">
        <f>IF(L$259="","",IF($B264="","",IFERROR(SUMIFS('Dvd Calendar'!$E$427:$CZ$427,'Dvd Calendar'!$E$426:$CZ$426,"&gt;"&amp;L$258,'Dvd Calendar'!$E$426:$CZ$426,"&lt;="&amp;L$259),"")))</f>
        <v/>
      </c>
      <c r="M264" s="140">
        <f>IF(M$259="","",IF($B264="","",IFERROR(SUMIFS('Dvd Calendar'!$E$427:$CZ$427,'Dvd Calendar'!$E$426:$CZ$426,"&gt;"&amp;M$258,'Dvd Calendar'!$E$426:$CZ$426,"&lt;="&amp;M$259),"")))</f>
        <v/>
      </c>
      <c r="N264" s="140">
        <f>IF(N$259="","",IF($B264="","",IFERROR(SUMIFS('Dvd Calendar'!$E$427:$CZ$427,'Dvd Calendar'!$E$426:$CZ$426,"&gt;"&amp;N$258,'Dvd Calendar'!$E$426:$CZ$426,"&lt;="&amp;N$259),"")))</f>
        <v/>
      </c>
      <c r="O264" s="140">
        <f>IF(O$259="","",IF($B264="","",IFERROR(SUMIFS('Dvd Calendar'!$E$427:$CZ$427,'Dvd Calendar'!$E$426:$CZ$426,"&gt;"&amp;O$258,'Dvd Calendar'!$E$426:$CZ$426,"&lt;="&amp;O$259),"")))</f>
        <v/>
      </c>
      <c r="P264" s="140">
        <f>IF(P$259="","",IF($B264="","",IFERROR(SUMIFS('Dvd Calendar'!$E$427:$CZ$427,'Dvd Calendar'!$E$426:$CZ$426,"&gt;"&amp;P$258,'Dvd Calendar'!$E$426:$CZ$426,"&lt;="&amp;P$259),"")))</f>
        <v/>
      </c>
      <c r="Q264" s="140">
        <f>IF(Q$259="","",IF($B264="","",IFERROR(SUMIFS('Dvd Calendar'!$E$427:$CZ$427,'Dvd Calendar'!$E$426:$CZ$426,"&gt;"&amp;Q$258,'Dvd Calendar'!$E$426:$CZ$426,"&lt;="&amp;Q$259),"")))</f>
        <v/>
      </c>
      <c r="R264" s="140">
        <f>IF(R$259="","",IF($B264="","",IFERROR(SUMIFS('Dvd Calendar'!$E$427:$CZ$427,'Dvd Calendar'!$E$426:$CZ$426,"&gt;"&amp;R$258,'Dvd Calendar'!$E$426:$CZ$426,"&lt;="&amp;R$259),"")))</f>
        <v/>
      </c>
    </row>
    <row r="265">
      <c r="B265" s="5">
        <f>IF(MXAU!$C$10="","",MXAU!$C$10)</f>
        <v/>
      </c>
      <c r="C265" s="140">
        <f>IF(C$259="","",IF($B265="","",IFERROR(SUMIFS('Dvd Calendar'!$E$429:$CZ$429,'Dvd Calendar'!$E$428:$CZ$428,"&gt;"&amp;C$258,'Dvd Calendar'!$E$428:$CZ$428,"&lt;="&amp;C$259),"")))</f>
        <v/>
      </c>
      <c r="D265" s="140">
        <f>IF(D$259="","",IF($B265="","",IFERROR(SUMIFS('Dvd Calendar'!$E$429:$CZ$429,'Dvd Calendar'!$E$428:$CZ$428,"&gt;"&amp;D$258,'Dvd Calendar'!$E$428:$CZ$428,"&lt;="&amp;D$259),"")))</f>
        <v/>
      </c>
      <c r="E265" s="140">
        <f>IF(E$259="","",IF($B265="","",IFERROR(SUMIFS('Dvd Calendar'!$E$429:$CZ$429,'Dvd Calendar'!$E$428:$CZ$428,"&gt;"&amp;E$258,'Dvd Calendar'!$E$428:$CZ$428,"&lt;="&amp;E$259),"")))</f>
        <v/>
      </c>
      <c r="F265" s="140">
        <f>IF(F$259="","",IF($B265="","",IFERROR(SUMIFS('Dvd Calendar'!$E$429:$CZ$429,'Dvd Calendar'!$E$428:$CZ$428,"&gt;"&amp;F$258,'Dvd Calendar'!$E$428:$CZ$428,"&lt;="&amp;F$259),"")))</f>
        <v/>
      </c>
      <c r="G265" s="140">
        <f>IF(G$259="","",IF($B265="","",IFERROR(SUMIFS('Dvd Calendar'!$E$429:$CZ$429,'Dvd Calendar'!$E$428:$CZ$428,"&gt;"&amp;G$258,'Dvd Calendar'!$E$428:$CZ$428,"&lt;="&amp;G$259),"")))</f>
        <v/>
      </c>
      <c r="H265" s="140">
        <f>IF(H$259="","",IF($B265="","",IFERROR(SUMIFS('Dvd Calendar'!$E$429:$CZ$429,'Dvd Calendar'!$E$428:$CZ$428,"&gt;"&amp;H$258,'Dvd Calendar'!$E$428:$CZ$428,"&lt;="&amp;H$259),"")))</f>
        <v/>
      </c>
      <c r="I265" s="140">
        <f>IF(I$259="","",IF($B265="","",IFERROR(SUMIFS('Dvd Calendar'!$E$429:$CZ$429,'Dvd Calendar'!$E$428:$CZ$428,"&gt;"&amp;I$258,'Dvd Calendar'!$E$428:$CZ$428,"&lt;="&amp;I$259),"")))</f>
        <v/>
      </c>
      <c r="J265" s="140">
        <f>IF(J$259="","",IF($B265="","",IFERROR(SUMIFS('Dvd Calendar'!$E$429:$CZ$429,'Dvd Calendar'!$E$428:$CZ$428,"&gt;"&amp;J$258,'Dvd Calendar'!$E$428:$CZ$428,"&lt;="&amp;J$259),"")))</f>
        <v/>
      </c>
      <c r="K265" s="140">
        <f>IF(K$259="","",IF($B265="","",IFERROR(SUMIFS('Dvd Calendar'!$E$429:$CZ$429,'Dvd Calendar'!$E$428:$CZ$428,"&gt;"&amp;K$258,'Dvd Calendar'!$E$428:$CZ$428,"&lt;="&amp;K$259),"")))</f>
        <v/>
      </c>
      <c r="L265" s="140">
        <f>IF(L$259="","",IF($B265="","",IFERROR(SUMIFS('Dvd Calendar'!$E$429:$CZ$429,'Dvd Calendar'!$E$428:$CZ$428,"&gt;"&amp;L$258,'Dvd Calendar'!$E$428:$CZ$428,"&lt;="&amp;L$259),"")))</f>
        <v/>
      </c>
      <c r="M265" s="140">
        <f>IF(M$259="","",IF($B265="","",IFERROR(SUMIFS('Dvd Calendar'!$E$429:$CZ$429,'Dvd Calendar'!$E$428:$CZ$428,"&gt;"&amp;M$258,'Dvd Calendar'!$E$428:$CZ$428,"&lt;="&amp;M$259),"")))</f>
        <v/>
      </c>
      <c r="N265" s="140">
        <f>IF(N$259="","",IF($B265="","",IFERROR(SUMIFS('Dvd Calendar'!$E$429:$CZ$429,'Dvd Calendar'!$E$428:$CZ$428,"&gt;"&amp;N$258,'Dvd Calendar'!$E$428:$CZ$428,"&lt;="&amp;N$259),"")))</f>
        <v/>
      </c>
      <c r="O265" s="140">
        <f>IF(O$259="","",IF($B265="","",IFERROR(SUMIFS('Dvd Calendar'!$E$429:$CZ$429,'Dvd Calendar'!$E$428:$CZ$428,"&gt;"&amp;O$258,'Dvd Calendar'!$E$428:$CZ$428,"&lt;="&amp;O$259),"")))</f>
        <v/>
      </c>
      <c r="P265" s="140">
        <f>IF(P$259="","",IF($B265="","",IFERROR(SUMIFS('Dvd Calendar'!$E$429:$CZ$429,'Dvd Calendar'!$E$428:$CZ$428,"&gt;"&amp;P$258,'Dvd Calendar'!$E$428:$CZ$428,"&lt;="&amp;P$259),"")))</f>
        <v/>
      </c>
      <c r="Q265" s="140">
        <f>IF(Q$259="","",IF($B265="","",IFERROR(SUMIFS('Dvd Calendar'!$E$429:$CZ$429,'Dvd Calendar'!$E$428:$CZ$428,"&gt;"&amp;Q$258,'Dvd Calendar'!$E$428:$CZ$428,"&lt;="&amp;Q$259),"")))</f>
        <v/>
      </c>
      <c r="R265" s="140">
        <f>IF(R$259="","",IF($B265="","",IFERROR(SUMIFS('Dvd Calendar'!$E$429:$CZ$429,'Dvd Calendar'!$E$428:$CZ$428,"&gt;"&amp;R$258,'Dvd Calendar'!$E$428:$CZ$428,"&lt;="&amp;R$259),"")))</f>
        <v/>
      </c>
    </row>
    <row r="266">
      <c r="B266" s="5">
        <f>IF(MXAU!$C$11="","",MXAU!$C$11)</f>
        <v/>
      </c>
      <c r="C266" s="140">
        <f>IF(C$259="","",IF($B266="","",IFERROR(SUMIFS('Dvd Calendar'!$E$431:$CZ$431,'Dvd Calendar'!$E$430:$CZ$430,"&gt;"&amp;C$258,'Dvd Calendar'!$E$430:$CZ$430,"&lt;="&amp;C$259),"")))</f>
        <v/>
      </c>
      <c r="D266" s="140">
        <f>IF(D$259="","",IF($B266="","",IFERROR(SUMIFS('Dvd Calendar'!$E$431:$CZ$431,'Dvd Calendar'!$E$430:$CZ$430,"&gt;"&amp;D$258,'Dvd Calendar'!$E$430:$CZ$430,"&lt;="&amp;D$259),"")))</f>
        <v/>
      </c>
      <c r="E266" s="140">
        <f>IF(E$259="","",IF($B266="","",IFERROR(SUMIFS('Dvd Calendar'!$E$431:$CZ$431,'Dvd Calendar'!$E$430:$CZ$430,"&gt;"&amp;E$258,'Dvd Calendar'!$E$430:$CZ$430,"&lt;="&amp;E$259),"")))</f>
        <v/>
      </c>
      <c r="F266" s="140">
        <f>IF(F$259="","",IF($B266="","",IFERROR(SUMIFS('Dvd Calendar'!$E$431:$CZ$431,'Dvd Calendar'!$E$430:$CZ$430,"&gt;"&amp;F$258,'Dvd Calendar'!$E$430:$CZ$430,"&lt;="&amp;F$259),"")))</f>
        <v/>
      </c>
      <c r="G266" s="140">
        <f>IF(G$259="","",IF($B266="","",IFERROR(SUMIFS('Dvd Calendar'!$E$431:$CZ$431,'Dvd Calendar'!$E$430:$CZ$430,"&gt;"&amp;G$258,'Dvd Calendar'!$E$430:$CZ$430,"&lt;="&amp;G$259),"")))</f>
        <v/>
      </c>
      <c r="H266" s="140">
        <f>IF(H$259="","",IF($B266="","",IFERROR(SUMIFS('Dvd Calendar'!$E$431:$CZ$431,'Dvd Calendar'!$E$430:$CZ$430,"&gt;"&amp;H$258,'Dvd Calendar'!$E$430:$CZ$430,"&lt;="&amp;H$259),"")))</f>
        <v/>
      </c>
      <c r="I266" s="140">
        <f>IF(I$259="","",IF($B266="","",IFERROR(SUMIFS('Dvd Calendar'!$E$431:$CZ$431,'Dvd Calendar'!$E$430:$CZ$430,"&gt;"&amp;I$258,'Dvd Calendar'!$E$430:$CZ$430,"&lt;="&amp;I$259),"")))</f>
        <v/>
      </c>
      <c r="J266" s="140">
        <f>IF(J$259="","",IF($B266="","",IFERROR(SUMIFS('Dvd Calendar'!$E$431:$CZ$431,'Dvd Calendar'!$E$430:$CZ$430,"&gt;"&amp;J$258,'Dvd Calendar'!$E$430:$CZ$430,"&lt;="&amp;J$259),"")))</f>
        <v/>
      </c>
      <c r="K266" s="140">
        <f>IF(K$259="","",IF($B266="","",IFERROR(SUMIFS('Dvd Calendar'!$E$431:$CZ$431,'Dvd Calendar'!$E$430:$CZ$430,"&gt;"&amp;K$258,'Dvd Calendar'!$E$430:$CZ$430,"&lt;="&amp;K$259),"")))</f>
        <v/>
      </c>
      <c r="L266" s="140">
        <f>IF(L$259="","",IF($B266="","",IFERROR(SUMIFS('Dvd Calendar'!$E$431:$CZ$431,'Dvd Calendar'!$E$430:$CZ$430,"&gt;"&amp;L$258,'Dvd Calendar'!$E$430:$CZ$430,"&lt;="&amp;L$259),"")))</f>
        <v/>
      </c>
      <c r="M266" s="140">
        <f>IF(M$259="","",IF($B266="","",IFERROR(SUMIFS('Dvd Calendar'!$E$431:$CZ$431,'Dvd Calendar'!$E$430:$CZ$430,"&gt;"&amp;M$258,'Dvd Calendar'!$E$430:$CZ$430,"&lt;="&amp;M$259),"")))</f>
        <v/>
      </c>
      <c r="N266" s="140">
        <f>IF(N$259="","",IF($B266="","",IFERROR(SUMIFS('Dvd Calendar'!$E$431:$CZ$431,'Dvd Calendar'!$E$430:$CZ$430,"&gt;"&amp;N$258,'Dvd Calendar'!$E$430:$CZ$430,"&lt;="&amp;N$259),"")))</f>
        <v/>
      </c>
      <c r="O266" s="140">
        <f>IF(O$259="","",IF($B266="","",IFERROR(SUMIFS('Dvd Calendar'!$E$431:$CZ$431,'Dvd Calendar'!$E$430:$CZ$430,"&gt;"&amp;O$258,'Dvd Calendar'!$E$430:$CZ$430,"&lt;="&amp;O$259),"")))</f>
        <v/>
      </c>
      <c r="P266" s="140">
        <f>IF(P$259="","",IF($B266="","",IFERROR(SUMIFS('Dvd Calendar'!$E$431:$CZ$431,'Dvd Calendar'!$E$430:$CZ$430,"&gt;"&amp;P$258,'Dvd Calendar'!$E$430:$CZ$430,"&lt;="&amp;P$259),"")))</f>
        <v/>
      </c>
      <c r="Q266" s="140">
        <f>IF(Q$259="","",IF($B266="","",IFERROR(SUMIFS('Dvd Calendar'!$E$431:$CZ$431,'Dvd Calendar'!$E$430:$CZ$430,"&gt;"&amp;Q$258,'Dvd Calendar'!$E$430:$CZ$430,"&lt;="&amp;Q$259),"")))</f>
        <v/>
      </c>
      <c r="R266" s="140">
        <f>IF(R$259="","",IF($B266="","",IFERROR(SUMIFS('Dvd Calendar'!$E$431:$CZ$431,'Dvd Calendar'!$E$430:$CZ$430,"&gt;"&amp;R$258,'Dvd Calendar'!$E$430:$CZ$430,"&lt;="&amp;R$259),"")))</f>
        <v/>
      </c>
    </row>
    <row r="267">
      <c r="B267" s="5">
        <f>IF(MXAU!$C$12="","",MXAU!$C$12)</f>
        <v/>
      </c>
      <c r="C267" s="140">
        <f>IF(C$259="","",IF($B267="","",IFERROR(SUMIFS('Dvd Calendar'!$E$433:$CZ$433,'Dvd Calendar'!$E$432:$CZ$432,"&gt;"&amp;C$258,'Dvd Calendar'!$E$432:$CZ$432,"&lt;="&amp;C$259),"")))</f>
        <v/>
      </c>
      <c r="D267" s="140">
        <f>IF(D$259="","",IF($B267="","",IFERROR(SUMIFS('Dvd Calendar'!$E$433:$CZ$433,'Dvd Calendar'!$E$432:$CZ$432,"&gt;"&amp;D$258,'Dvd Calendar'!$E$432:$CZ$432,"&lt;="&amp;D$259),"")))</f>
        <v/>
      </c>
      <c r="E267" s="140">
        <f>IF(E$259="","",IF($B267="","",IFERROR(SUMIFS('Dvd Calendar'!$E$433:$CZ$433,'Dvd Calendar'!$E$432:$CZ$432,"&gt;"&amp;E$258,'Dvd Calendar'!$E$432:$CZ$432,"&lt;="&amp;E$259),"")))</f>
        <v/>
      </c>
      <c r="F267" s="140">
        <f>IF(F$259="","",IF($B267="","",IFERROR(SUMIFS('Dvd Calendar'!$E$433:$CZ$433,'Dvd Calendar'!$E$432:$CZ$432,"&gt;"&amp;F$258,'Dvd Calendar'!$E$432:$CZ$432,"&lt;="&amp;F$259),"")))</f>
        <v/>
      </c>
      <c r="G267" s="140">
        <f>IF(G$259="","",IF($B267="","",IFERROR(SUMIFS('Dvd Calendar'!$E$433:$CZ$433,'Dvd Calendar'!$E$432:$CZ$432,"&gt;"&amp;G$258,'Dvd Calendar'!$E$432:$CZ$432,"&lt;="&amp;G$259),"")))</f>
        <v/>
      </c>
      <c r="H267" s="140">
        <f>IF(H$259="","",IF($B267="","",IFERROR(SUMIFS('Dvd Calendar'!$E$433:$CZ$433,'Dvd Calendar'!$E$432:$CZ$432,"&gt;"&amp;H$258,'Dvd Calendar'!$E$432:$CZ$432,"&lt;="&amp;H$259),"")))</f>
        <v/>
      </c>
      <c r="I267" s="140">
        <f>IF(I$259="","",IF($B267="","",IFERROR(SUMIFS('Dvd Calendar'!$E$433:$CZ$433,'Dvd Calendar'!$E$432:$CZ$432,"&gt;"&amp;I$258,'Dvd Calendar'!$E$432:$CZ$432,"&lt;="&amp;I$259),"")))</f>
        <v/>
      </c>
      <c r="J267" s="140">
        <f>IF(J$259="","",IF($B267="","",IFERROR(SUMIFS('Dvd Calendar'!$E$433:$CZ$433,'Dvd Calendar'!$E$432:$CZ$432,"&gt;"&amp;J$258,'Dvd Calendar'!$E$432:$CZ$432,"&lt;="&amp;J$259),"")))</f>
        <v/>
      </c>
      <c r="K267" s="140">
        <f>IF(K$259="","",IF($B267="","",IFERROR(SUMIFS('Dvd Calendar'!$E$433:$CZ$433,'Dvd Calendar'!$E$432:$CZ$432,"&gt;"&amp;K$258,'Dvd Calendar'!$E$432:$CZ$432,"&lt;="&amp;K$259),"")))</f>
        <v/>
      </c>
      <c r="L267" s="140">
        <f>IF(L$259="","",IF($B267="","",IFERROR(SUMIFS('Dvd Calendar'!$E$433:$CZ$433,'Dvd Calendar'!$E$432:$CZ$432,"&gt;"&amp;L$258,'Dvd Calendar'!$E$432:$CZ$432,"&lt;="&amp;L$259),"")))</f>
        <v/>
      </c>
      <c r="M267" s="140">
        <f>IF(M$259="","",IF($B267="","",IFERROR(SUMIFS('Dvd Calendar'!$E$433:$CZ$433,'Dvd Calendar'!$E$432:$CZ$432,"&gt;"&amp;M$258,'Dvd Calendar'!$E$432:$CZ$432,"&lt;="&amp;M$259),"")))</f>
        <v/>
      </c>
      <c r="N267" s="140">
        <f>IF(N$259="","",IF($B267="","",IFERROR(SUMIFS('Dvd Calendar'!$E$433:$CZ$433,'Dvd Calendar'!$E$432:$CZ$432,"&gt;"&amp;N$258,'Dvd Calendar'!$E$432:$CZ$432,"&lt;="&amp;N$259),"")))</f>
        <v/>
      </c>
      <c r="O267" s="140">
        <f>IF(O$259="","",IF($B267="","",IFERROR(SUMIFS('Dvd Calendar'!$E$433:$CZ$433,'Dvd Calendar'!$E$432:$CZ$432,"&gt;"&amp;O$258,'Dvd Calendar'!$E$432:$CZ$432,"&lt;="&amp;O$259),"")))</f>
        <v/>
      </c>
      <c r="P267" s="140">
        <f>IF(P$259="","",IF($B267="","",IFERROR(SUMIFS('Dvd Calendar'!$E$433:$CZ$433,'Dvd Calendar'!$E$432:$CZ$432,"&gt;"&amp;P$258,'Dvd Calendar'!$E$432:$CZ$432,"&lt;="&amp;P$259),"")))</f>
        <v/>
      </c>
      <c r="Q267" s="140">
        <f>IF(Q$259="","",IF($B267="","",IFERROR(SUMIFS('Dvd Calendar'!$E$433:$CZ$433,'Dvd Calendar'!$E$432:$CZ$432,"&gt;"&amp;Q$258,'Dvd Calendar'!$E$432:$CZ$432,"&lt;="&amp;Q$259),"")))</f>
        <v/>
      </c>
      <c r="R267" s="140">
        <f>IF(R$259="","",IF($B267="","",IFERROR(SUMIFS('Dvd Calendar'!$E$433:$CZ$433,'Dvd Calendar'!$E$432:$CZ$432,"&gt;"&amp;R$258,'Dvd Calendar'!$E$432:$CZ$432,"&lt;="&amp;R$259),"")))</f>
        <v/>
      </c>
    </row>
    <row r="268">
      <c r="B268" s="5">
        <f>IF(MXAU!$C$13="","",MXAU!$C$13)</f>
        <v/>
      </c>
      <c r="C268" s="140">
        <f>IF(C$259="","",IF($B268="","",IFERROR(SUMIFS('Dvd Calendar'!$E$435:$CZ$435,'Dvd Calendar'!$E$434:$CZ$434,"&gt;"&amp;C$258,'Dvd Calendar'!$E$434:$CZ$434,"&lt;="&amp;C$259),"")))</f>
        <v/>
      </c>
      <c r="D268" s="140">
        <f>IF(D$259="","",IF($B268="","",IFERROR(SUMIFS('Dvd Calendar'!$E$435:$CZ$435,'Dvd Calendar'!$E$434:$CZ$434,"&gt;"&amp;D$258,'Dvd Calendar'!$E$434:$CZ$434,"&lt;="&amp;D$259),"")))</f>
        <v/>
      </c>
      <c r="E268" s="140">
        <f>IF(E$259="","",IF($B268="","",IFERROR(SUMIFS('Dvd Calendar'!$E$435:$CZ$435,'Dvd Calendar'!$E$434:$CZ$434,"&gt;"&amp;E$258,'Dvd Calendar'!$E$434:$CZ$434,"&lt;="&amp;E$259),"")))</f>
        <v/>
      </c>
      <c r="F268" s="140">
        <f>IF(F$259="","",IF($B268="","",IFERROR(SUMIFS('Dvd Calendar'!$E$435:$CZ$435,'Dvd Calendar'!$E$434:$CZ$434,"&gt;"&amp;F$258,'Dvd Calendar'!$E$434:$CZ$434,"&lt;="&amp;F$259),"")))</f>
        <v/>
      </c>
      <c r="G268" s="140">
        <f>IF(G$259="","",IF($B268="","",IFERROR(SUMIFS('Dvd Calendar'!$E$435:$CZ$435,'Dvd Calendar'!$E$434:$CZ$434,"&gt;"&amp;G$258,'Dvd Calendar'!$E$434:$CZ$434,"&lt;="&amp;G$259),"")))</f>
        <v/>
      </c>
      <c r="H268" s="140">
        <f>IF(H$259="","",IF($B268="","",IFERROR(SUMIFS('Dvd Calendar'!$E$435:$CZ$435,'Dvd Calendar'!$E$434:$CZ$434,"&gt;"&amp;H$258,'Dvd Calendar'!$E$434:$CZ$434,"&lt;="&amp;H$259),"")))</f>
        <v/>
      </c>
      <c r="I268" s="140">
        <f>IF(I$259="","",IF($B268="","",IFERROR(SUMIFS('Dvd Calendar'!$E$435:$CZ$435,'Dvd Calendar'!$E$434:$CZ$434,"&gt;"&amp;I$258,'Dvd Calendar'!$E$434:$CZ$434,"&lt;="&amp;I$259),"")))</f>
        <v/>
      </c>
      <c r="J268" s="140">
        <f>IF(J$259="","",IF($B268="","",IFERROR(SUMIFS('Dvd Calendar'!$E$435:$CZ$435,'Dvd Calendar'!$E$434:$CZ$434,"&gt;"&amp;J$258,'Dvd Calendar'!$E$434:$CZ$434,"&lt;="&amp;J$259),"")))</f>
        <v/>
      </c>
      <c r="K268" s="140">
        <f>IF(K$259="","",IF($B268="","",IFERROR(SUMIFS('Dvd Calendar'!$E$435:$CZ$435,'Dvd Calendar'!$E$434:$CZ$434,"&gt;"&amp;K$258,'Dvd Calendar'!$E$434:$CZ$434,"&lt;="&amp;K$259),"")))</f>
        <v/>
      </c>
      <c r="L268" s="140">
        <f>IF(L$259="","",IF($B268="","",IFERROR(SUMIFS('Dvd Calendar'!$E$435:$CZ$435,'Dvd Calendar'!$E$434:$CZ$434,"&gt;"&amp;L$258,'Dvd Calendar'!$E$434:$CZ$434,"&lt;="&amp;L$259),"")))</f>
        <v/>
      </c>
      <c r="M268" s="140">
        <f>IF(M$259="","",IF($B268="","",IFERROR(SUMIFS('Dvd Calendar'!$E$435:$CZ$435,'Dvd Calendar'!$E$434:$CZ$434,"&gt;"&amp;M$258,'Dvd Calendar'!$E$434:$CZ$434,"&lt;="&amp;M$259),"")))</f>
        <v/>
      </c>
      <c r="N268" s="140">
        <f>IF(N$259="","",IF($B268="","",IFERROR(SUMIFS('Dvd Calendar'!$E$435:$CZ$435,'Dvd Calendar'!$E$434:$CZ$434,"&gt;"&amp;N$258,'Dvd Calendar'!$E$434:$CZ$434,"&lt;="&amp;N$259),"")))</f>
        <v/>
      </c>
      <c r="O268" s="140">
        <f>IF(O$259="","",IF($B268="","",IFERROR(SUMIFS('Dvd Calendar'!$E$435:$CZ$435,'Dvd Calendar'!$E$434:$CZ$434,"&gt;"&amp;O$258,'Dvd Calendar'!$E$434:$CZ$434,"&lt;="&amp;O$259),"")))</f>
        <v/>
      </c>
      <c r="P268" s="140">
        <f>IF(P$259="","",IF($B268="","",IFERROR(SUMIFS('Dvd Calendar'!$E$435:$CZ$435,'Dvd Calendar'!$E$434:$CZ$434,"&gt;"&amp;P$258,'Dvd Calendar'!$E$434:$CZ$434,"&lt;="&amp;P$259),"")))</f>
        <v/>
      </c>
      <c r="Q268" s="140">
        <f>IF(Q$259="","",IF($B268="","",IFERROR(SUMIFS('Dvd Calendar'!$E$435:$CZ$435,'Dvd Calendar'!$E$434:$CZ$434,"&gt;"&amp;Q$258,'Dvd Calendar'!$E$434:$CZ$434,"&lt;="&amp;Q$259),"")))</f>
        <v/>
      </c>
      <c r="R268" s="140">
        <f>IF(R$259="","",IF($B268="","",IFERROR(SUMIFS('Dvd Calendar'!$E$435:$CZ$435,'Dvd Calendar'!$E$434:$CZ$434,"&gt;"&amp;R$258,'Dvd Calendar'!$E$434:$CZ$434,"&lt;="&amp;R$259),"")))</f>
        <v/>
      </c>
    </row>
    <row r="269">
      <c r="B269" s="5">
        <f>IF(MXAU!$C$14="","",MXAU!$C$14)</f>
        <v/>
      </c>
      <c r="C269" s="140">
        <f>IF(C$259="","",IF($B269="","",IFERROR(SUMIFS('Dvd Calendar'!$E$437:$CZ$437,'Dvd Calendar'!$E$436:$CZ$436,"&gt;"&amp;C$258,'Dvd Calendar'!$E$436:$CZ$436,"&lt;="&amp;C$259),"")))</f>
        <v/>
      </c>
      <c r="D269" s="140">
        <f>IF(D$259="","",IF($B269="","",IFERROR(SUMIFS('Dvd Calendar'!$E$437:$CZ$437,'Dvd Calendar'!$E$436:$CZ$436,"&gt;"&amp;D$258,'Dvd Calendar'!$E$436:$CZ$436,"&lt;="&amp;D$259),"")))</f>
        <v/>
      </c>
      <c r="E269" s="140">
        <f>IF(E$259="","",IF($B269="","",IFERROR(SUMIFS('Dvd Calendar'!$E$437:$CZ$437,'Dvd Calendar'!$E$436:$CZ$436,"&gt;"&amp;E$258,'Dvd Calendar'!$E$436:$CZ$436,"&lt;="&amp;E$259),"")))</f>
        <v/>
      </c>
      <c r="F269" s="140">
        <f>IF(F$259="","",IF($B269="","",IFERROR(SUMIFS('Dvd Calendar'!$E$437:$CZ$437,'Dvd Calendar'!$E$436:$CZ$436,"&gt;"&amp;F$258,'Dvd Calendar'!$E$436:$CZ$436,"&lt;="&amp;F$259),"")))</f>
        <v/>
      </c>
      <c r="G269" s="140">
        <f>IF(G$259="","",IF($B269="","",IFERROR(SUMIFS('Dvd Calendar'!$E$437:$CZ$437,'Dvd Calendar'!$E$436:$CZ$436,"&gt;"&amp;G$258,'Dvd Calendar'!$E$436:$CZ$436,"&lt;="&amp;G$259),"")))</f>
        <v/>
      </c>
      <c r="H269" s="140">
        <f>IF(H$259="","",IF($B269="","",IFERROR(SUMIFS('Dvd Calendar'!$E$437:$CZ$437,'Dvd Calendar'!$E$436:$CZ$436,"&gt;"&amp;H$258,'Dvd Calendar'!$E$436:$CZ$436,"&lt;="&amp;H$259),"")))</f>
        <v/>
      </c>
      <c r="I269" s="140">
        <f>IF(I$259="","",IF($B269="","",IFERROR(SUMIFS('Dvd Calendar'!$E$437:$CZ$437,'Dvd Calendar'!$E$436:$CZ$436,"&gt;"&amp;I$258,'Dvd Calendar'!$E$436:$CZ$436,"&lt;="&amp;I$259),"")))</f>
        <v/>
      </c>
      <c r="J269" s="140">
        <f>IF(J$259="","",IF($B269="","",IFERROR(SUMIFS('Dvd Calendar'!$E$437:$CZ$437,'Dvd Calendar'!$E$436:$CZ$436,"&gt;"&amp;J$258,'Dvd Calendar'!$E$436:$CZ$436,"&lt;="&amp;J$259),"")))</f>
        <v/>
      </c>
      <c r="K269" s="140">
        <f>IF(K$259="","",IF($B269="","",IFERROR(SUMIFS('Dvd Calendar'!$E$437:$CZ$437,'Dvd Calendar'!$E$436:$CZ$436,"&gt;"&amp;K$258,'Dvd Calendar'!$E$436:$CZ$436,"&lt;="&amp;K$259),"")))</f>
        <v/>
      </c>
      <c r="L269" s="140">
        <f>IF(L$259="","",IF($B269="","",IFERROR(SUMIFS('Dvd Calendar'!$E$437:$CZ$437,'Dvd Calendar'!$E$436:$CZ$436,"&gt;"&amp;L$258,'Dvd Calendar'!$E$436:$CZ$436,"&lt;="&amp;L$259),"")))</f>
        <v/>
      </c>
      <c r="M269" s="140">
        <f>IF(M$259="","",IF($B269="","",IFERROR(SUMIFS('Dvd Calendar'!$E$437:$CZ$437,'Dvd Calendar'!$E$436:$CZ$436,"&gt;"&amp;M$258,'Dvd Calendar'!$E$436:$CZ$436,"&lt;="&amp;M$259),"")))</f>
        <v/>
      </c>
      <c r="N269" s="140">
        <f>IF(N$259="","",IF($B269="","",IFERROR(SUMIFS('Dvd Calendar'!$E$437:$CZ$437,'Dvd Calendar'!$E$436:$CZ$436,"&gt;"&amp;N$258,'Dvd Calendar'!$E$436:$CZ$436,"&lt;="&amp;N$259),"")))</f>
        <v/>
      </c>
      <c r="O269" s="140">
        <f>IF(O$259="","",IF($B269="","",IFERROR(SUMIFS('Dvd Calendar'!$E$437:$CZ$437,'Dvd Calendar'!$E$436:$CZ$436,"&gt;"&amp;O$258,'Dvd Calendar'!$E$436:$CZ$436,"&lt;="&amp;O$259),"")))</f>
        <v/>
      </c>
      <c r="P269" s="140">
        <f>IF(P$259="","",IF($B269="","",IFERROR(SUMIFS('Dvd Calendar'!$E$437:$CZ$437,'Dvd Calendar'!$E$436:$CZ$436,"&gt;"&amp;P$258,'Dvd Calendar'!$E$436:$CZ$436,"&lt;="&amp;P$259),"")))</f>
        <v/>
      </c>
      <c r="Q269" s="140">
        <f>IF(Q$259="","",IF($B269="","",IFERROR(SUMIFS('Dvd Calendar'!$E$437:$CZ$437,'Dvd Calendar'!$E$436:$CZ$436,"&gt;"&amp;Q$258,'Dvd Calendar'!$E$436:$CZ$436,"&lt;="&amp;Q$259),"")))</f>
        <v/>
      </c>
      <c r="R269" s="140">
        <f>IF(R$259="","",IF($B269="","",IFERROR(SUMIFS('Dvd Calendar'!$E$437:$CZ$437,'Dvd Calendar'!$E$436:$CZ$436,"&gt;"&amp;R$258,'Dvd Calendar'!$E$436:$CZ$436,"&lt;="&amp;R$259),"")))</f>
        <v/>
      </c>
    </row>
    <row r="270">
      <c r="B270" s="5">
        <f>IF(MXAU!$C$15="","",MXAU!$C$15)</f>
        <v/>
      </c>
      <c r="C270" s="140">
        <f>IF(C$259="","",IF($B270="","",IFERROR(SUMIFS('Dvd Calendar'!$E$439:$CZ$439,'Dvd Calendar'!$E$438:$CZ$438,"&gt;"&amp;C$258,'Dvd Calendar'!$E$438:$CZ$438,"&lt;="&amp;C$259),"")))</f>
        <v/>
      </c>
      <c r="D270" s="140">
        <f>IF(D$259="","",IF($B270="","",IFERROR(SUMIFS('Dvd Calendar'!$E$439:$CZ$439,'Dvd Calendar'!$E$438:$CZ$438,"&gt;"&amp;D$258,'Dvd Calendar'!$E$438:$CZ$438,"&lt;="&amp;D$259),"")))</f>
        <v/>
      </c>
      <c r="E270" s="140">
        <f>IF(E$259="","",IF($B270="","",IFERROR(SUMIFS('Dvd Calendar'!$E$439:$CZ$439,'Dvd Calendar'!$E$438:$CZ$438,"&gt;"&amp;E$258,'Dvd Calendar'!$E$438:$CZ$438,"&lt;="&amp;E$259),"")))</f>
        <v/>
      </c>
      <c r="F270" s="140">
        <f>IF(F$259="","",IF($B270="","",IFERROR(SUMIFS('Dvd Calendar'!$E$439:$CZ$439,'Dvd Calendar'!$E$438:$CZ$438,"&gt;"&amp;F$258,'Dvd Calendar'!$E$438:$CZ$438,"&lt;="&amp;F$259),"")))</f>
        <v/>
      </c>
      <c r="G270" s="140">
        <f>IF(G$259="","",IF($B270="","",IFERROR(SUMIFS('Dvd Calendar'!$E$439:$CZ$439,'Dvd Calendar'!$E$438:$CZ$438,"&gt;"&amp;G$258,'Dvd Calendar'!$E$438:$CZ$438,"&lt;="&amp;G$259),"")))</f>
        <v/>
      </c>
      <c r="H270" s="140">
        <f>IF(H$259="","",IF($B270="","",IFERROR(SUMIFS('Dvd Calendar'!$E$439:$CZ$439,'Dvd Calendar'!$E$438:$CZ$438,"&gt;"&amp;H$258,'Dvd Calendar'!$E$438:$CZ$438,"&lt;="&amp;H$259),"")))</f>
        <v/>
      </c>
      <c r="I270" s="140">
        <f>IF(I$259="","",IF($B270="","",IFERROR(SUMIFS('Dvd Calendar'!$E$439:$CZ$439,'Dvd Calendar'!$E$438:$CZ$438,"&gt;"&amp;I$258,'Dvd Calendar'!$E$438:$CZ$438,"&lt;="&amp;I$259),"")))</f>
        <v/>
      </c>
      <c r="J270" s="140">
        <f>IF(J$259="","",IF($B270="","",IFERROR(SUMIFS('Dvd Calendar'!$E$439:$CZ$439,'Dvd Calendar'!$E$438:$CZ$438,"&gt;"&amp;J$258,'Dvd Calendar'!$E$438:$CZ$438,"&lt;="&amp;J$259),"")))</f>
        <v/>
      </c>
      <c r="K270" s="140">
        <f>IF(K$259="","",IF($B270="","",IFERROR(SUMIFS('Dvd Calendar'!$E$439:$CZ$439,'Dvd Calendar'!$E$438:$CZ$438,"&gt;"&amp;K$258,'Dvd Calendar'!$E$438:$CZ$438,"&lt;="&amp;K$259),"")))</f>
        <v/>
      </c>
      <c r="L270" s="140">
        <f>IF(L$259="","",IF($B270="","",IFERROR(SUMIFS('Dvd Calendar'!$E$439:$CZ$439,'Dvd Calendar'!$E$438:$CZ$438,"&gt;"&amp;L$258,'Dvd Calendar'!$E$438:$CZ$438,"&lt;="&amp;L$259),"")))</f>
        <v/>
      </c>
      <c r="M270" s="140">
        <f>IF(M$259="","",IF($B270="","",IFERROR(SUMIFS('Dvd Calendar'!$E$439:$CZ$439,'Dvd Calendar'!$E$438:$CZ$438,"&gt;"&amp;M$258,'Dvd Calendar'!$E$438:$CZ$438,"&lt;="&amp;M$259),"")))</f>
        <v/>
      </c>
      <c r="N270" s="140">
        <f>IF(N$259="","",IF($B270="","",IFERROR(SUMIFS('Dvd Calendar'!$E$439:$CZ$439,'Dvd Calendar'!$E$438:$CZ$438,"&gt;"&amp;N$258,'Dvd Calendar'!$E$438:$CZ$438,"&lt;="&amp;N$259),"")))</f>
        <v/>
      </c>
      <c r="O270" s="140">
        <f>IF(O$259="","",IF($B270="","",IFERROR(SUMIFS('Dvd Calendar'!$E$439:$CZ$439,'Dvd Calendar'!$E$438:$CZ$438,"&gt;"&amp;O$258,'Dvd Calendar'!$E$438:$CZ$438,"&lt;="&amp;O$259),"")))</f>
        <v/>
      </c>
      <c r="P270" s="140">
        <f>IF(P$259="","",IF($B270="","",IFERROR(SUMIFS('Dvd Calendar'!$E$439:$CZ$439,'Dvd Calendar'!$E$438:$CZ$438,"&gt;"&amp;P$258,'Dvd Calendar'!$E$438:$CZ$438,"&lt;="&amp;P$259),"")))</f>
        <v/>
      </c>
      <c r="Q270" s="140">
        <f>IF(Q$259="","",IF($B270="","",IFERROR(SUMIFS('Dvd Calendar'!$E$439:$CZ$439,'Dvd Calendar'!$E$438:$CZ$438,"&gt;"&amp;Q$258,'Dvd Calendar'!$E$438:$CZ$438,"&lt;="&amp;Q$259),"")))</f>
        <v/>
      </c>
      <c r="R270" s="140">
        <f>IF(R$259="","",IF($B270="","",IFERROR(SUMIFS('Dvd Calendar'!$E$439:$CZ$439,'Dvd Calendar'!$E$438:$CZ$438,"&gt;"&amp;R$258,'Dvd Calendar'!$E$438:$CZ$438,"&lt;="&amp;R$259),"")))</f>
        <v/>
      </c>
    </row>
    <row r="271">
      <c r="B271" s="5">
        <f>IF(MXAU!$C$16="","",MXAU!$C$16)</f>
        <v/>
      </c>
      <c r="C271" s="140">
        <f>IF(C$259="","",IF($B271="","",IFERROR(SUMIFS('Dvd Calendar'!$E$441:$CZ$441,'Dvd Calendar'!$E$440:$CZ$440,"&gt;"&amp;C$258,'Dvd Calendar'!$E$440:$CZ$440,"&lt;="&amp;C$259),"")))</f>
        <v/>
      </c>
      <c r="D271" s="140">
        <f>IF(D$259="","",IF($B271="","",IFERROR(SUMIFS('Dvd Calendar'!$E$441:$CZ$441,'Dvd Calendar'!$E$440:$CZ$440,"&gt;"&amp;D$258,'Dvd Calendar'!$E$440:$CZ$440,"&lt;="&amp;D$259),"")))</f>
        <v/>
      </c>
      <c r="E271" s="140">
        <f>IF(E$259="","",IF($B271="","",IFERROR(SUMIFS('Dvd Calendar'!$E$441:$CZ$441,'Dvd Calendar'!$E$440:$CZ$440,"&gt;"&amp;E$258,'Dvd Calendar'!$E$440:$CZ$440,"&lt;="&amp;E$259),"")))</f>
        <v/>
      </c>
      <c r="F271" s="140">
        <f>IF(F$259="","",IF($B271="","",IFERROR(SUMIFS('Dvd Calendar'!$E$441:$CZ$441,'Dvd Calendar'!$E$440:$CZ$440,"&gt;"&amp;F$258,'Dvd Calendar'!$E$440:$CZ$440,"&lt;="&amp;F$259),"")))</f>
        <v/>
      </c>
      <c r="G271" s="140">
        <f>IF(G$259="","",IF($B271="","",IFERROR(SUMIFS('Dvd Calendar'!$E$441:$CZ$441,'Dvd Calendar'!$E$440:$CZ$440,"&gt;"&amp;G$258,'Dvd Calendar'!$E$440:$CZ$440,"&lt;="&amp;G$259),"")))</f>
        <v/>
      </c>
      <c r="H271" s="140">
        <f>IF(H$259="","",IF($B271="","",IFERROR(SUMIFS('Dvd Calendar'!$E$441:$CZ$441,'Dvd Calendar'!$E$440:$CZ$440,"&gt;"&amp;H$258,'Dvd Calendar'!$E$440:$CZ$440,"&lt;="&amp;H$259),"")))</f>
        <v/>
      </c>
      <c r="I271" s="140">
        <f>IF(I$259="","",IF($B271="","",IFERROR(SUMIFS('Dvd Calendar'!$E$441:$CZ$441,'Dvd Calendar'!$E$440:$CZ$440,"&gt;"&amp;I$258,'Dvd Calendar'!$E$440:$CZ$440,"&lt;="&amp;I$259),"")))</f>
        <v/>
      </c>
      <c r="J271" s="140">
        <f>IF(J$259="","",IF($B271="","",IFERROR(SUMIFS('Dvd Calendar'!$E$441:$CZ$441,'Dvd Calendar'!$E$440:$CZ$440,"&gt;"&amp;J$258,'Dvd Calendar'!$E$440:$CZ$440,"&lt;="&amp;J$259),"")))</f>
        <v/>
      </c>
      <c r="K271" s="140">
        <f>IF(K$259="","",IF($B271="","",IFERROR(SUMIFS('Dvd Calendar'!$E$441:$CZ$441,'Dvd Calendar'!$E$440:$CZ$440,"&gt;"&amp;K$258,'Dvd Calendar'!$E$440:$CZ$440,"&lt;="&amp;K$259),"")))</f>
        <v/>
      </c>
      <c r="L271" s="140">
        <f>IF(L$259="","",IF($B271="","",IFERROR(SUMIFS('Dvd Calendar'!$E$441:$CZ$441,'Dvd Calendar'!$E$440:$CZ$440,"&gt;"&amp;L$258,'Dvd Calendar'!$E$440:$CZ$440,"&lt;="&amp;L$259),"")))</f>
        <v/>
      </c>
      <c r="M271" s="140">
        <f>IF(M$259="","",IF($B271="","",IFERROR(SUMIFS('Dvd Calendar'!$E$441:$CZ$441,'Dvd Calendar'!$E$440:$CZ$440,"&gt;"&amp;M$258,'Dvd Calendar'!$E$440:$CZ$440,"&lt;="&amp;M$259),"")))</f>
        <v/>
      </c>
      <c r="N271" s="140">
        <f>IF(N$259="","",IF($B271="","",IFERROR(SUMIFS('Dvd Calendar'!$E$441:$CZ$441,'Dvd Calendar'!$E$440:$CZ$440,"&gt;"&amp;N$258,'Dvd Calendar'!$E$440:$CZ$440,"&lt;="&amp;N$259),"")))</f>
        <v/>
      </c>
      <c r="O271" s="140">
        <f>IF(O$259="","",IF($B271="","",IFERROR(SUMIFS('Dvd Calendar'!$E$441:$CZ$441,'Dvd Calendar'!$E$440:$CZ$440,"&gt;"&amp;O$258,'Dvd Calendar'!$E$440:$CZ$440,"&lt;="&amp;O$259),"")))</f>
        <v/>
      </c>
      <c r="P271" s="140">
        <f>IF(P$259="","",IF($B271="","",IFERROR(SUMIFS('Dvd Calendar'!$E$441:$CZ$441,'Dvd Calendar'!$E$440:$CZ$440,"&gt;"&amp;P$258,'Dvd Calendar'!$E$440:$CZ$440,"&lt;="&amp;P$259),"")))</f>
        <v/>
      </c>
      <c r="Q271" s="140">
        <f>IF(Q$259="","",IF($B271="","",IFERROR(SUMIFS('Dvd Calendar'!$E$441:$CZ$441,'Dvd Calendar'!$E$440:$CZ$440,"&gt;"&amp;Q$258,'Dvd Calendar'!$E$440:$CZ$440,"&lt;="&amp;Q$259),"")))</f>
        <v/>
      </c>
      <c r="R271" s="140">
        <f>IF(R$259="","",IF($B271="","",IFERROR(SUMIFS('Dvd Calendar'!$E$441:$CZ$441,'Dvd Calendar'!$E$440:$CZ$440,"&gt;"&amp;R$258,'Dvd Calendar'!$E$440:$CZ$440,"&lt;="&amp;R$259),"")))</f>
        <v/>
      </c>
    </row>
    <row r="272">
      <c r="B272" s="5">
        <f>IF(MXAU!$C$17="","",MXAU!$C$17)</f>
        <v/>
      </c>
      <c r="C272" s="140">
        <f>IF(C$259="","",IF($B272="","",IFERROR(SUMIFS('Dvd Calendar'!$E$443:$CZ$443,'Dvd Calendar'!$E$442:$CZ$442,"&gt;"&amp;C$258,'Dvd Calendar'!$E$442:$CZ$442,"&lt;="&amp;C$259),"")))</f>
        <v/>
      </c>
      <c r="D272" s="140">
        <f>IF(D$259="","",IF($B272="","",IFERROR(SUMIFS('Dvd Calendar'!$E$443:$CZ$443,'Dvd Calendar'!$E$442:$CZ$442,"&gt;"&amp;D$258,'Dvd Calendar'!$E$442:$CZ$442,"&lt;="&amp;D$259),"")))</f>
        <v/>
      </c>
      <c r="E272" s="140">
        <f>IF(E$259="","",IF($B272="","",IFERROR(SUMIFS('Dvd Calendar'!$E$443:$CZ$443,'Dvd Calendar'!$E$442:$CZ$442,"&gt;"&amp;E$258,'Dvd Calendar'!$E$442:$CZ$442,"&lt;="&amp;E$259),"")))</f>
        <v/>
      </c>
      <c r="F272" s="140">
        <f>IF(F$259="","",IF($B272="","",IFERROR(SUMIFS('Dvd Calendar'!$E$443:$CZ$443,'Dvd Calendar'!$E$442:$CZ$442,"&gt;"&amp;F$258,'Dvd Calendar'!$E$442:$CZ$442,"&lt;="&amp;F$259),"")))</f>
        <v/>
      </c>
      <c r="G272" s="140">
        <f>IF(G$259="","",IF($B272="","",IFERROR(SUMIFS('Dvd Calendar'!$E$443:$CZ$443,'Dvd Calendar'!$E$442:$CZ$442,"&gt;"&amp;G$258,'Dvd Calendar'!$E$442:$CZ$442,"&lt;="&amp;G$259),"")))</f>
        <v/>
      </c>
      <c r="H272" s="140">
        <f>IF(H$259="","",IF($B272="","",IFERROR(SUMIFS('Dvd Calendar'!$E$443:$CZ$443,'Dvd Calendar'!$E$442:$CZ$442,"&gt;"&amp;H$258,'Dvd Calendar'!$E$442:$CZ$442,"&lt;="&amp;H$259),"")))</f>
        <v/>
      </c>
      <c r="I272" s="140">
        <f>IF(I$259="","",IF($B272="","",IFERROR(SUMIFS('Dvd Calendar'!$E$443:$CZ$443,'Dvd Calendar'!$E$442:$CZ$442,"&gt;"&amp;I$258,'Dvd Calendar'!$E$442:$CZ$442,"&lt;="&amp;I$259),"")))</f>
        <v/>
      </c>
      <c r="J272" s="140">
        <f>IF(J$259="","",IF($B272="","",IFERROR(SUMIFS('Dvd Calendar'!$E$443:$CZ$443,'Dvd Calendar'!$E$442:$CZ$442,"&gt;"&amp;J$258,'Dvd Calendar'!$E$442:$CZ$442,"&lt;="&amp;J$259),"")))</f>
        <v/>
      </c>
      <c r="K272" s="140">
        <f>IF(K$259="","",IF($B272="","",IFERROR(SUMIFS('Dvd Calendar'!$E$443:$CZ$443,'Dvd Calendar'!$E$442:$CZ$442,"&gt;"&amp;K$258,'Dvd Calendar'!$E$442:$CZ$442,"&lt;="&amp;K$259),"")))</f>
        <v/>
      </c>
      <c r="L272" s="140">
        <f>IF(L$259="","",IF($B272="","",IFERROR(SUMIFS('Dvd Calendar'!$E$443:$CZ$443,'Dvd Calendar'!$E$442:$CZ$442,"&gt;"&amp;L$258,'Dvd Calendar'!$E$442:$CZ$442,"&lt;="&amp;L$259),"")))</f>
        <v/>
      </c>
      <c r="M272" s="140">
        <f>IF(M$259="","",IF($B272="","",IFERROR(SUMIFS('Dvd Calendar'!$E$443:$CZ$443,'Dvd Calendar'!$E$442:$CZ$442,"&gt;"&amp;M$258,'Dvd Calendar'!$E$442:$CZ$442,"&lt;="&amp;M$259),"")))</f>
        <v/>
      </c>
      <c r="N272" s="140">
        <f>IF(N$259="","",IF($B272="","",IFERROR(SUMIFS('Dvd Calendar'!$E$443:$CZ$443,'Dvd Calendar'!$E$442:$CZ$442,"&gt;"&amp;N$258,'Dvd Calendar'!$E$442:$CZ$442,"&lt;="&amp;N$259),"")))</f>
        <v/>
      </c>
      <c r="O272" s="140">
        <f>IF(O$259="","",IF($B272="","",IFERROR(SUMIFS('Dvd Calendar'!$E$443:$CZ$443,'Dvd Calendar'!$E$442:$CZ$442,"&gt;"&amp;O$258,'Dvd Calendar'!$E$442:$CZ$442,"&lt;="&amp;O$259),"")))</f>
        <v/>
      </c>
      <c r="P272" s="140">
        <f>IF(P$259="","",IF($B272="","",IFERROR(SUMIFS('Dvd Calendar'!$E$443:$CZ$443,'Dvd Calendar'!$E$442:$CZ$442,"&gt;"&amp;P$258,'Dvd Calendar'!$E$442:$CZ$442,"&lt;="&amp;P$259),"")))</f>
        <v/>
      </c>
      <c r="Q272" s="140">
        <f>IF(Q$259="","",IF($B272="","",IFERROR(SUMIFS('Dvd Calendar'!$E$443:$CZ$443,'Dvd Calendar'!$E$442:$CZ$442,"&gt;"&amp;Q$258,'Dvd Calendar'!$E$442:$CZ$442,"&lt;="&amp;Q$259),"")))</f>
        <v/>
      </c>
      <c r="R272" s="140">
        <f>IF(R$259="","",IF($B272="","",IFERROR(SUMIFS('Dvd Calendar'!$E$443:$CZ$443,'Dvd Calendar'!$E$442:$CZ$442,"&gt;"&amp;R$258,'Dvd Calendar'!$E$442:$CZ$442,"&lt;="&amp;R$259),"")))</f>
        <v/>
      </c>
    </row>
    <row r="273">
      <c r="B273" s="5">
        <f>IF(MXAU!$C$18="","",MXAU!$C$18)</f>
        <v/>
      </c>
      <c r="C273" s="140">
        <f>IF(C$259="","",IF($B273="","",IFERROR(SUMIFS('Dvd Calendar'!$E$445:$CZ$445,'Dvd Calendar'!$E$444:$CZ$444,"&gt;"&amp;C$258,'Dvd Calendar'!$E$444:$CZ$444,"&lt;="&amp;C$259),"")))</f>
        <v/>
      </c>
      <c r="D273" s="140">
        <f>IF(D$259="","",IF($B273="","",IFERROR(SUMIFS('Dvd Calendar'!$E$445:$CZ$445,'Dvd Calendar'!$E$444:$CZ$444,"&gt;"&amp;D$258,'Dvd Calendar'!$E$444:$CZ$444,"&lt;="&amp;D$259),"")))</f>
        <v/>
      </c>
      <c r="E273" s="140">
        <f>IF(E$259="","",IF($B273="","",IFERROR(SUMIFS('Dvd Calendar'!$E$445:$CZ$445,'Dvd Calendar'!$E$444:$CZ$444,"&gt;"&amp;E$258,'Dvd Calendar'!$E$444:$CZ$444,"&lt;="&amp;E$259),"")))</f>
        <v/>
      </c>
      <c r="F273" s="140">
        <f>IF(F$259="","",IF($B273="","",IFERROR(SUMIFS('Dvd Calendar'!$E$445:$CZ$445,'Dvd Calendar'!$E$444:$CZ$444,"&gt;"&amp;F$258,'Dvd Calendar'!$E$444:$CZ$444,"&lt;="&amp;F$259),"")))</f>
        <v/>
      </c>
      <c r="G273" s="140">
        <f>IF(G$259="","",IF($B273="","",IFERROR(SUMIFS('Dvd Calendar'!$E$445:$CZ$445,'Dvd Calendar'!$E$444:$CZ$444,"&gt;"&amp;G$258,'Dvd Calendar'!$E$444:$CZ$444,"&lt;="&amp;G$259),"")))</f>
        <v/>
      </c>
      <c r="H273" s="140">
        <f>IF(H$259="","",IF($B273="","",IFERROR(SUMIFS('Dvd Calendar'!$E$445:$CZ$445,'Dvd Calendar'!$E$444:$CZ$444,"&gt;"&amp;H$258,'Dvd Calendar'!$E$444:$CZ$444,"&lt;="&amp;H$259),"")))</f>
        <v/>
      </c>
      <c r="I273" s="140">
        <f>IF(I$259="","",IF($B273="","",IFERROR(SUMIFS('Dvd Calendar'!$E$445:$CZ$445,'Dvd Calendar'!$E$444:$CZ$444,"&gt;"&amp;I$258,'Dvd Calendar'!$E$444:$CZ$444,"&lt;="&amp;I$259),"")))</f>
        <v/>
      </c>
      <c r="J273" s="140">
        <f>IF(J$259="","",IF($B273="","",IFERROR(SUMIFS('Dvd Calendar'!$E$445:$CZ$445,'Dvd Calendar'!$E$444:$CZ$444,"&gt;"&amp;J$258,'Dvd Calendar'!$E$444:$CZ$444,"&lt;="&amp;J$259),"")))</f>
        <v/>
      </c>
      <c r="K273" s="140">
        <f>IF(K$259="","",IF($B273="","",IFERROR(SUMIFS('Dvd Calendar'!$E$445:$CZ$445,'Dvd Calendar'!$E$444:$CZ$444,"&gt;"&amp;K$258,'Dvd Calendar'!$E$444:$CZ$444,"&lt;="&amp;K$259),"")))</f>
        <v/>
      </c>
      <c r="L273" s="140">
        <f>IF(L$259="","",IF($B273="","",IFERROR(SUMIFS('Dvd Calendar'!$E$445:$CZ$445,'Dvd Calendar'!$E$444:$CZ$444,"&gt;"&amp;L$258,'Dvd Calendar'!$E$444:$CZ$444,"&lt;="&amp;L$259),"")))</f>
        <v/>
      </c>
      <c r="M273" s="140">
        <f>IF(M$259="","",IF($B273="","",IFERROR(SUMIFS('Dvd Calendar'!$E$445:$CZ$445,'Dvd Calendar'!$E$444:$CZ$444,"&gt;"&amp;M$258,'Dvd Calendar'!$E$444:$CZ$444,"&lt;="&amp;M$259),"")))</f>
        <v/>
      </c>
      <c r="N273" s="140">
        <f>IF(N$259="","",IF($B273="","",IFERROR(SUMIFS('Dvd Calendar'!$E$445:$CZ$445,'Dvd Calendar'!$E$444:$CZ$444,"&gt;"&amp;N$258,'Dvd Calendar'!$E$444:$CZ$444,"&lt;="&amp;N$259),"")))</f>
        <v/>
      </c>
      <c r="O273" s="140">
        <f>IF(O$259="","",IF($B273="","",IFERROR(SUMIFS('Dvd Calendar'!$E$445:$CZ$445,'Dvd Calendar'!$E$444:$CZ$444,"&gt;"&amp;O$258,'Dvd Calendar'!$E$444:$CZ$444,"&lt;="&amp;O$259),"")))</f>
        <v/>
      </c>
      <c r="P273" s="140">
        <f>IF(P$259="","",IF($B273="","",IFERROR(SUMIFS('Dvd Calendar'!$E$445:$CZ$445,'Dvd Calendar'!$E$444:$CZ$444,"&gt;"&amp;P$258,'Dvd Calendar'!$E$444:$CZ$444,"&lt;="&amp;P$259),"")))</f>
        <v/>
      </c>
      <c r="Q273" s="140">
        <f>IF(Q$259="","",IF($B273="","",IFERROR(SUMIFS('Dvd Calendar'!$E$445:$CZ$445,'Dvd Calendar'!$E$444:$CZ$444,"&gt;"&amp;Q$258,'Dvd Calendar'!$E$444:$CZ$444,"&lt;="&amp;Q$259),"")))</f>
        <v/>
      </c>
      <c r="R273" s="140">
        <f>IF(R$259="","",IF($B273="","",IFERROR(SUMIFS('Dvd Calendar'!$E$445:$CZ$445,'Dvd Calendar'!$E$444:$CZ$444,"&gt;"&amp;R$258,'Dvd Calendar'!$E$444:$CZ$444,"&lt;="&amp;R$259),"")))</f>
        <v/>
      </c>
    </row>
    <row r="274">
      <c r="B274" s="5">
        <f>IF(MXAU!$C$19="","",MXAU!$C$19)</f>
        <v/>
      </c>
      <c r="C274" s="140">
        <f>IF(C$259="","",IF($B274="","",IFERROR(SUMIFS('Dvd Calendar'!$E$447:$CZ$447,'Dvd Calendar'!$E$446:$CZ$446,"&gt;"&amp;C$258,'Dvd Calendar'!$E$446:$CZ$446,"&lt;="&amp;C$259),"")))</f>
        <v/>
      </c>
      <c r="D274" s="140">
        <f>IF(D$259="","",IF($B274="","",IFERROR(SUMIFS('Dvd Calendar'!$E$447:$CZ$447,'Dvd Calendar'!$E$446:$CZ$446,"&gt;"&amp;D$258,'Dvd Calendar'!$E$446:$CZ$446,"&lt;="&amp;D$259),"")))</f>
        <v/>
      </c>
      <c r="E274" s="140">
        <f>IF(E$259="","",IF($B274="","",IFERROR(SUMIFS('Dvd Calendar'!$E$447:$CZ$447,'Dvd Calendar'!$E$446:$CZ$446,"&gt;"&amp;E$258,'Dvd Calendar'!$E$446:$CZ$446,"&lt;="&amp;E$259),"")))</f>
        <v/>
      </c>
      <c r="F274" s="140">
        <f>IF(F$259="","",IF($B274="","",IFERROR(SUMIFS('Dvd Calendar'!$E$447:$CZ$447,'Dvd Calendar'!$E$446:$CZ$446,"&gt;"&amp;F$258,'Dvd Calendar'!$E$446:$CZ$446,"&lt;="&amp;F$259),"")))</f>
        <v/>
      </c>
      <c r="G274" s="140">
        <f>IF(G$259="","",IF($B274="","",IFERROR(SUMIFS('Dvd Calendar'!$E$447:$CZ$447,'Dvd Calendar'!$E$446:$CZ$446,"&gt;"&amp;G$258,'Dvd Calendar'!$E$446:$CZ$446,"&lt;="&amp;G$259),"")))</f>
        <v/>
      </c>
      <c r="H274" s="140">
        <f>IF(H$259="","",IF($B274="","",IFERROR(SUMIFS('Dvd Calendar'!$E$447:$CZ$447,'Dvd Calendar'!$E$446:$CZ$446,"&gt;"&amp;H$258,'Dvd Calendar'!$E$446:$CZ$446,"&lt;="&amp;H$259),"")))</f>
        <v/>
      </c>
      <c r="I274" s="140">
        <f>IF(I$259="","",IF($B274="","",IFERROR(SUMIFS('Dvd Calendar'!$E$447:$CZ$447,'Dvd Calendar'!$E$446:$CZ$446,"&gt;"&amp;I$258,'Dvd Calendar'!$E$446:$CZ$446,"&lt;="&amp;I$259),"")))</f>
        <v/>
      </c>
      <c r="J274" s="140">
        <f>IF(J$259="","",IF($B274="","",IFERROR(SUMIFS('Dvd Calendar'!$E$447:$CZ$447,'Dvd Calendar'!$E$446:$CZ$446,"&gt;"&amp;J$258,'Dvd Calendar'!$E$446:$CZ$446,"&lt;="&amp;J$259),"")))</f>
        <v/>
      </c>
      <c r="K274" s="140">
        <f>IF(K$259="","",IF($B274="","",IFERROR(SUMIFS('Dvd Calendar'!$E$447:$CZ$447,'Dvd Calendar'!$E$446:$CZ$446,"&gt;"&amp;K$258,'Dvd Calendar'!$E$446:$CZ$446,"&lt;="&amp;K$259),"")))</f>
        <v/>
      </c>
      <c r="L274" s="140">
        <f>IF(L$259="","",IF($B274="","",IFERROR(SUMIFS('Dvd Calendar'!$E$447:$CZ$447,'Dvd Calendar'!$E$446:$CZ$446,"&gt;"&amp;L$258,'Dvd Calendar'!$E$446:$CZ$446,"&lt;="&amp;L$259),"")))</f>
        <v/>
      </c>
      <c r="M274" s="140">
        <f>IF(M$259="","",IF($B274="","",IFERROR(SUMIFS('Dvd Calendar'!$E$447:$CZ$447,'Dvd Calendar'!$E$446:$CZ$446,"&gt;"&amp;M$258,'Dvd Calendar'!$E$446:$CZ$446,"&lt;="&amp;M$259),"")))</f>
        <v/>
      </c>
      <c r="N274" s="140">
        <f>IF(N$259="","",IF($B274="","",IFERROR(SUMIFS('Dvd Calendar'!$E$447:$CZ$447,'Dvd Calendar'!$E$446:$CZ$446,"&gt;"&amp;N$258,'Dvd Calendar'!$E$446:$CZ$446,"&lt;="&amp;N$259),"")))</f>
        <v/>
      </c>
      <c r="O274" s="140">
        <f>IF(O$259="","",IF($B274="","",IFERROR(SUMIFS('Dvd Calendar'!$E$447:$CZ$447,'Dvd Calendar'!$E$446:$CZ$446,"&gt;"&amp;O$258,'Dvd Calendar'!$E$446:$CZ$446,"&lt;="&amp;O$259),"")))</f>
        <v/>
      </c>
      <c r="P274" s="140">
        <f>IF(P$259="","",IF($B274="","",IFERROR(SUMIFS('Dvd Calendar'!$E$447:$CZ$447,'Dvd Calendar'!$E$446:$CZ$446,"&gt;"&amp;P$258,'Dvd Calendar'!$E$446:$CZ$446,"&lt;="&amp;P$259),"")))</f>
        <v/>
      </c>
      <c r="Q274" s="140">
        <f>IF(Q$259="","",IF($B274="","",IFERROR(SUMIFS('Dvd Calendar'!$E$447:$CZ$447,'Dvd Calendar'!$E$446:$CZ$446,"&gt;"&amp;Q$258,'Dvd Calendar'!$E$446:$CZ$446,"&lt;="&amp;Q$259),"")))</f>
        <v/>
      </c>
      <c r="R274" s="140">
        <f>IF(R$259="","",IF($B274="","",IFERROR(SUMIFS('Dvd Calendar'!$E$447:$CZ$447,'Dvd Calendar'!$E$446:$CZ$446,"&gt;"&amp;R$258,'Dvd Calendar'!$E$446:$CZ$446,"&lt;="&amp;R$259),"")))</f>
        <v/>
      </c>
    </row>
    <row r="275">
      <c r="B275" s="5">
        <f>IF(MXAU!$C$20="","",MXAU!$C$20)</f>
        <v/>
      </c>
      <c r="C275" s="140">
        <f>IF(C$259="","",IF($B275="","",IFERROR(SUMIFS('Dvd Calendar'!$E$449:$CZ$449,'Dvd Calendar'!$E$448:$CZ$448,"&gt;"&amp;C$258,'Dvd Calendar'!$E$448:$CZ$448,"&lt;="&amp;C$259),"")))</f>
        <v/>
      </c>
      <c r="D275" s="140">
        <f>IF(D$259="","",IF($B275="","",IFERROR(SUMIFS('Dvd Calendar'!$E$449:$CZ$449,'Dvd Calendar'!$E$448:$CZ$448,"&gt;"&amp;D$258,'Dvd Calendar'!$E$448:$CZ$448,"&lt;="&amp;D$259),"")))</f>
        <v/>
      </c>
      <c r="E275" s="140">
        <f>IF(E$259="","",IF($B275="","",IFERROR(SUMIFS('Dvd Calendar'!$E$449:$CZ$449,'Dvd Calendar'!$E$448:$CZ$448,"&gt;"&amp;E$258,'Dvd Calendar'!$E$448:$CZ$448,"&lt;="&amp;E$259),"")))</f>
        <v/>
      </c>
      <c r="F275" s="140">
        <f>IF(F$259="","",IF($B275="","",IFERROR(SUMIFS('Dvd Calendar'!$E$449:$CZ$449,'Dvd Calendar'!$E$448:$CZ$448,"&gt;"&amp;F$258,'Dvd Calendar'!$E$448:$CZ$448,"&lt;="&amp;F$259),"")))</f>
        <v/>
      </c>
      <c r="G275" s="140">
        <f>IF(G$259="","",IF($B275="","",IFERROR(SUMIFS('Dvd Calendar'!$E$449:$CZ$449,'Dvd Calendar'!$E$448:$CZ$448,"&gt;"&amp;G$258,'Dvd Calendar'!$E$448:$CZ$448,"&lt;="&amp;G$259),"")))</f>
        <v/>
      </c>
      <c r="H275" s="140">
        <f>IF(H$259="","",IF($B275="","",IFERROR(SUMIFS('Dvd Calendar'!$E$449:$CZ$449,'Dvd Calendar'!$E$448:$CZ$448,"&gt;"&amp;H$258,'Dvd Calendar'!$E$448:$CZ$448,"&lt;="&amp;H$259),"")))</f>
        <v/>
      </c>
      <c r="I275" s="140">
        <f>IF(I$259="","",IF($B275="","",IFERROR(SUMIFS('Dvd Calendar'!$E$449:$CZ$449,'Dvd Calendar'!$E$448:$CZ$448,"&gt;"&amp;I$258,'Dvd Calendar'!$E$448:$CZ$448,"&lt;="&amp;I$259),"")))</f>
        <v/>
      </c>
      <c r="J275" s="140">
        <f>IF(J$259="","",IF($B275="","",IFERROR(SUMIFS('Dvd Calendar'!$E$449:$CZ$449,'Dvd Calendar'!$E$448:$CZ$448,"&gt;"&amp;J$258,'Dvd Calendar'!$E$448:$CZ$448,"&lt;="&amp;J$259),"")))</f>
        <v/>
      </c>
      <c r="K275" s="140">
        <f>IF(K$259="","",IF($B275="","",IFERROR(SUMIFS('Dvd Calendar'!$E$449:$CZ$449,'Dvd Calendar'!$E$448:$CZ$448,"&gt;"&amp;K$258,'Dvd Calendar'!$E$448:$CZ$448,"&lt;="&amp;K$259),"")))</f>
        <v/>
      </c>
      <c r="L275" s="140">
        <f>IF(L$259="","",IF($B275="","",IFERROR(SUMIFS('Dvd Calendar'!$E$449:$CZ$449,'Dvd Calendar'!$E$448:$CZ$448,"&gt;"&amp;L$258,'Dvd Calendar'!$E$448:$CZ$448,"&lt;="&amp;L$259),"")))</f>
        <v/>
      </c>
      <c r="M275" s="140">
        <f>IF(M$259="","",IF($B275="","",IFERROR(SUMIFS('Dvd Calendar'!$E$449:$CZ$449,'Dvd Calendar'!$E$448:$CZ$448,"&gt;"&amp;M$258,'Dvd Calendar'!$E$448:$CZ$448,"&lt;="&amp;M$259),"")))</f>
        <v/>
      </c>
      <c r="N275" s="140">
        <f>IF(N$259="","",IF($B275="","",IFERROR(SUMIFS('Dvd Calendar'!$E$449:$CZ$449,'Dvd Calendar'!$E$448:$CZ$448,"&gt;"&amp;N$258,'Dvd Calendar'!$E$448:$CZ$448,"&lt;="&amp;N$259),"")))</f>
        <v/>
      </c>
      <c r="O275" s="140">
        <f>IF(O$259="","",IF($B275="","",IFERROR(SUMIFS('Dvd Calendar'!$E$449:$CZ$449,'Dvd Calendar'!$E$448:$CZ$448,"&gt;"&amp;O$258,'Dvd Calendar'!$E$448:$CZ$448,"&lt;="&amp;O$259),"")))</f>
        <v/>
      </c>
      <c r="P275" s="140">
        <f>IF(P$259="","",IF($B275="","",IFERROR(SUMIFS('Dvd Calendar'!$E$449:$CZ$449,'Dvd Calendar'!$E$448:$CZ$448,"&gt;"&amp;P$258,'Dvd Calendar'!$E$448:$CZ$448,"&lt;="&amp;P$259),"")))</f>
        <v/>
      </c>
      <c r="Q275" s="140">
        <f>IF(Q$259="","",IF($B275="","",IFERROR(SUMIFS('Dvd Calendar'!$E$449:$CZ$449,'Dvd Calendar'!$E$448:$CZ$448,"&gt;"&amp;Q$258,'Dvd Calendar'!$E$448:$CZ$448,"&lt;="&amp;Q$259),"")))</f>
        <v/>
      </c>
      <c r="R275" s="140">
        <f>IF(R$259="","",IF($B275="","",IFERROR(SUMIFS('Dvd Calendar'!$E$449:$CZ$449,'Dvd Calendar'!$E$448:$CZ$448,"&gt;"&amp;R$258,'Dvd Calendar'!$E$448:$CZ$448,"&lt;="&amp;R$259),"")))</f>
        <v/>
      </c>
    </row>
    <row r="276">
      <c r="B276" s="5">
        <f>IF(MXAU!$C$21="","",MXAU!$C$21)</f>
        <v/>
      </c>
      <c r="C276" s="140">
        <f>IF(C$259="","",IF($B276="","",IFERROR(SUMIFS('Dvd Calendar'!$E$451:$CZ$451,'Dvd Calendar'!$E$450:$CZ$450,"&gt;"&amp;C$258,'Dvd Calendar'!$E$450:$CZ$450,"&lt;="&amp;C$259),"")))</f>
        <v/>
      </c>
      <c r="D276" s="140">
        <f>IF(D$259="","",IF($B276="","",IFERROR(SUMIFS('Dvd Calendar'!$E$451:$CZ$451,'Dvd Calendar'!$E$450:$CZ$450,"&gt;"&amp;D$258,'Dvd Calendar'!$E$450:$CZ$450,"&lt;="&amp;D$259),"")))</f>
        <v/>
      </c>
      <c r="E276" s="140">
        <f>IF(E$259="","",IF($B276="","",IFERROR(SUMIFS('Dvd Calendar'!$E$451:$CZ$451,'Dvd Calendar'!$E$450:$CZ$450,"&gt;"&amp;E$258,'Dvd Calendar'!$E$450:$CZ$450,"&lt;="&amp;E$259),"")))</f>
        <v/>
      </c>
      <c r="F276" s="140">
        <f>IF(F$259="","",IF($B276="","",IFERROR(SUMIFS('Dvd Calendar'!$E$451:$CZ$451,'Dvd Calendar'!$E$450:$CZ$450,"&gt;"&amp;F$258,'Dvd Calendar'!$E$450:$CZ$450,"&lt;="&amp;F$259),"")))</f>
        <v/>
      </c>
      <c r="G276" s="140">
        <f>IF(G$259="","",IF($B276="","",IFERROR(SUMIFS('Dvd Calendar'!$E$451:$CZ$451,'Dvd Calendar'!$E$450:$CZ$450,"&gt;"&amp;G$258,'Dvd Calendar'!$E$450:$CZ$450,"&lt;="&amp;G$259),"")))</f>
        <v/>
      </c>
      <c r="H276" s="140">
        <f>IF(H$259="","",IF($B276="","",IFERROR(SUMIFS('Dvd Calendar'!$E$451:$CZ$451,'Dvd Calendar'!$E$450:$CZ$450,"&gt;"&amp;H$258,'Dvd Calendar'!$E$450:$CZ$450,"&lt;="&amp;H$259),"")))</f>
        <v/>
      </c>
      <c r="I276" s="140">
        <f>IF(I$259="","",IF($B276="","",IFERROR(SUMIFS('Dvd Calendar'!$E$451:$CZ$451,'Dvd Calendar'!$E$450:$CZ$450,"&gt;"&amp;I$258,'Dvd Calendar'!$E$450:$CZ$450,"&lt;="&amp;I$259),"")))</f>
        <v/>
      </c>
      <c r="J276" s="140">
        <f>IF(J$259="","",IF($B276="","",IFERROR(SUMIFS('Dvd Calendar'!$E$451:$CZ$451,'Dvd Calendar'!$E$450:$CZ$450,"&gt;"&amp;J$258,'Dvd Calendar'!$E$450:$CZ$450,"&lt;="&amp;J$259),"")))</f>
        <v/>
      </c>
      <c r="K276" s="140">
        <f>IF(K$259="","",IF($B276="","",IFERROR(SUMIFS('Dvd Calendar'!$E$451:$CZ$451,'Dvd Calendar'!$E$450:$CZ$450,"&gt;"&amp;K$258,'Dvd Calendar'!$E$450:$CZ$450,"&lt;="&amp;K$259),"")))</f>
        <v/>
      </c>
      <c r="L276" s="140">
        <f>IF(L$259="","",IF($B276="","",IFERROR(SUMIFS('Dvd Calendar'!$E$451:$CZ$451,'Dvd Calendar'!$E$450:$CZ$450,"&gt;"&amp;L$258,'Dvd Calendar'!$E$450:$CZ$450,"&lt;="&amp;L$259),"")))</f>
        <v/>
      </c>
      <c r="M276" s="140">
        <f>IF(M$259="","",IF($B276="","",IFERROR(SUMIFS('Dvd Calendar'!$E$451:$CZ$451,'Dvd Calendar'!$E$450:$CZ$450,"&gt;"&amp;M$258,'Dvd Calendar'!$E$450:$CZ$450,"&lt;="&amp;M$259),"")))</f>
        <v/>
      </c>
      <c r="N276" s="140">
        <f>IF(N$259="","",IF($B276="","",IFERROR(SUMIFS('Dvd Calendar'!$E$451:$CZ$451,'Dvd Calendar'!$E$450:$CZ$450,"&gt;"&amp;N$258,'Dvd Calendar'!$E$450:$CZ$450,"&lt;="&amp;N$259),"")))</f>
        <v/>
      </c>
      <c r="O276" s="140">
        <f>IF(O$259="","",IF($B276="","",IFERROR(SUMIFS('Dvd Calendar'!$E$451:$CZ$451,'Dvd Calendar'!$E$450:$CZ$450,"&gt;"&amp;O$258,'Dvd Calendar'!$E$450:$CZ$450,"&lt;="&amp;O$259),"")))</f>
        <v/>
      </c>
      <c r="P276" s="140">
        <f>IF(P$259="","",IF($B276="","",IFERROR(SUMIFS('Dvd Calendar'!$E$451:$CZ$451,'Dvd Calendar'!$E$450:$CZ$450,"&gt;"&amp;P$258,'Dvd Calendar'!$E$450:$CZ$450,"&lt;="&amp;P$259),"")))</f>
        <v/>
      </c>
      <c r="Q276" s="140">
        <f>IF(Q$259="","",IF($B276="","",IFERROR(SUMIFS('Dvd Calendar'!$E$451:$CZ$451,'Dvd Calendar'!$E$450:$CZ$450,"&gt;"&amp;Q$258,'Dvd Calendar'!$E$450:$CZ$450,"&lt;="&amp;Q$259),"")))</f>
        <v/>
      </c>
      <c r="R276" s="140">
        <f>IF(R$259="","",IF($B276="","",IFERROR(SUMIFS('Dvd Calendar'!$E$451:$CZ$451,'Dvd Calendar'!$E$450:$CZ$450,"&gt;"&amp;R$258,'Dvd Calendar'!$E$450:$CZ$450,"&lt;="&amp;R$259),"")))</f>
        <v/>
      </c>
    </row>
    <row r="277">
      <c r="B277" s="5">
        <f>IF(MXAU!$C$22="","",MXAU!$C$22)</f>
        <v/>
      </c>
      <c r="C277" s="140">
        <f>IF(C$259="","",IF($B277="","",IFERROR(SUMIFS('Dvd Calendar'!$E$453:$CZ$453,'Dvd Calendar'!$E$452:$CZ$452,"&gt;"&amp;C$258,'Dvd Calendar'!$E$452:$CZ$452,"&lt;="&amp;C$259),"")))</f>
        <v/>
      </c>
      <c r="D277" s="140">
        <f>IF(D$259="","",IF($B277="","",IFERROR(SUMIFS('Dvd Calendar'!$E$453:$CZ$453,'Dvd Calendar'!$E$452:$CZ$452,"&gt;"&amp;D$258,'Dvd Calendar'!$E$452:$CZ$452,"&lt;="&amp;D$259),"")))</f>
        <v/>
      </c>
      <c r="E277" s="140">
        <f>IF(E$259="","",IF($B277="","",IFERROR(SUMIFS('Dvd Calendar'!$E$453:$CZ$453,'Dvd Calendar'!$E$452:$CZ$452,"&gt;"&amp;E$258,'Dvd Calendar'!$E$452:$CZ$452,"&lt;="&amp;E$259),"")))</f>
        <v/>
      </c>
      <c r="F277" s="140">
        <f>IF(F$259="","",IF($B277="","",IFERROR(SUMIFS('Dvd Calendar'!$E$453:$CZ$453,'Dvd Calendar'!$E$452:$CZ$452,"&gt;"&amp;F$258,'Dvd Calendar'!$E$452:$CZ$452,"&lt;="&amp;F$259),"")))</f>
        <v/>
      </c>
      <c r="G277" s="140">
        <f>IF(G$259="","",IF($B277="","",IFERROR(SUMIFS('Dvd Calendar'!$E$453:$CZ$453,'Dvd Calendar'!$E$452:$CZ$452,"&gt;"&amp;G$258,'Dvd Calendar'!$E$452:$CZ$452,"&lt;="&amp;G$259),"")))</f>
        <v/>
      </c>
      <c r="H277" s="140">
        <f>IF(H$259="","",IF($B277="","",IFERROR(SUMIFS('Dvd Calendar'!$E$453:$CZ$453,'Dvd Calendar'!$E$452:$CZ$452,"&gt;"&amp;H$258,'Dvd Calendar'!$E$452:$CZ$452,"&lt;="&amp;H$259),"")))</f>
        <v/>
      </c>
      <c r="I277" s="140">
        <f>IF(I$259="","",IF($B277="","",IFERROR(SUMIFS('Dvd Calendar'!$E$453:$CZ$453,'Dvd Calendar'!$E$452:$CZ$452,"&gt;"&amp;I$258,'Dvd Calendar'!$E$452:$CZ$452,"&lt;="&amp;I$259),"")))</f>
        <v/>
      </c>
      <c r="J277" s="140">
        <f>IF(J$259="","",IF($B277="","",IFERROR(SUMIFS('Dvd Calendar'!$E$453:$CZ$453,'Dvd Calendar'!$E$452:$CZ$452,"&gt;"&amp;J$258,'Dvd Calendar'!$E$452:$CZ$452,"&lt;="&amp;J$259),"")))</f>
        <v/>
      </c>
      <c r="K277" s="140">
        <f>IF(K$259="","",IF($B277="","",IFERROR(SUMIFS('Dvd Calendar'!$E$453:$CZ$453,'Dvd Calendar'!$E$452:$CZ$452,"&gt;"&amp;K$258,'Dvd Calendar'!$E$452:$CZ$452,"&lt;="&amp;K$259),"")))</f>
        <v/>
      </c>
      <c r="L277" s="140">
        <f>IF(L$259="","",IF($B277="","",IFERROR(SUMIFS('Dvd Calendar'!$E$453:$CZ$453,'Dvd Calendar'!$E$452:$CZ$452,"&gt;"&amp;L$258,'Dvd Calendar'!$E$452:$CZ$452,"&lt;="&amp;L$259),"")))</f>
        <v/>
      </c>
      <c r="M277" s="140">
        <f>IF(M$259="","",IF($B277="","",IFERROR(SUMIFS('Dvd Calendar'!$E$453:$CZ$453,'Dvd Calendar'!$E$452:$CZ$452,"&gt;"&amp;M$258,'Dvd Calendar'!$E$452:$CZ$452,"&lt;="&amp;M$259),"")))</f>
        <v/>
      </c>
      <c r="N277" s="140">
        <f>IF(N$259="","",IF($B277="","",IFERROR(SUMIFS('Dvd Calendar'!$E$453:$CZ$453,'Dvd Calendar'!$E$452:$CZ$452,"&gt;"&amp;N$258,'Dvd Calendar'!$E$452:$CZ$452,"&lt;="&amp;N$259),"")))</f>
        <v/>
      </c>
      <c r="O277" s="140">
        <f>IF(O$259="","",IF($B277="","",IFERROR(SUMIFS('Dvd Calendar'!$E$453:$CZ$453,'Dvd Calendar'!$E$452:$CZ$452,"&gt;"&amp;O$258,'Dvd Calendar'!$E$452:$CZ$452,"&lt;="&amp;O$259),"")))</f>
        <v/>
      </c>
      <c r="P277" s="140">
        <f>IF(P$259="","",IF($B277="","",IFERROR(SUMIFS('Dvd Calendar'!$E$453:$CZ$453,'Dvd Calendar'!$E$452:$CZ$452,"&gt;"&amp;P$258,'Dvd Calendar'!$E$452:$CZ$452,"&lt;="&amp;P$259),"")))</f>
        <v/>
      </c>
      <c r="Q277" s="140">
        <f>IF(Q$259="","",IF($B277="","",IFERROR(SUMIFS('Dvd Calendar'!$E$453:$CZ$453,'Dvd Calendar'!$E$452:$CZ$452,"&gt;"&amp;Q$258,'Dvd Calendar'!$E$452:$CZ$452,"&lt;="&amp;Q$259),"")))</f>
        <v/>
      </c>
      <c r="R277" s="140">
        <f>IF(R$259="","",IF($B277="","",IFERROR(SUMIFS('Dvd Calendar'!$E$453:$CZ$453,'Dvd Calendar'!$E$452:$CZ$452,"&gt;"&amp;R$258,'Dvd Calendar'!$E$452:$CZ$452,"&lt;="&amp;R$259),"")))</f>
        <v/>
      </c>
    </row>
    <row r="278">
      <c r="B278" s="5">
        <f>IF(MXAU!$C$23="","",MXAU!$C$23)</f>
        <v/>
      </c>
      <c r="C278" s="140">
        <f>IF(C$259="","",IF($B278="","",IFERROR(SUMIFS('Dvd Calendar'!$E$455:$CZ$455,'Dvd Calendar'!$E$454:$CZ$454,"&gt;"&amp;C$258,'Dvd Calendar'!$E$454:$CZ$454,"&lt;="&amp;C$259),"")))</f>
        <v/>
      </c>
      <c r="D278" s="140">
        <f>IF(D$259="","",IF($B278="","",IFERROR(SUMIFS('Dvd Calendar'!$E$455:$CZ$455,'Dvd Calendar'!$E$454:$CZ$454,"&gt;"&amp;D$258,'Dvd Calendar'!$E$454:$CZ$454,"&lt;="&amp;D$259),"")))</f>
        <v/>
      </c>
      <c r="E278" s="140">
        <f>IF(E$259="","",IF($B278="","",IFERROR(SUMIFS('Dvd Calendar'!$E$455:$CZ$455,'Dvd Calendar'!$E$454:$CZ$454,"&gt;"&amp;E$258,'Dvd Calendar'!$E$454:$CZ$454,"&lt;="&amp;E$259),"")))</f>
        <v/>
      </c>
      <c r="F278" s="140">
        <f>IF(F$259="","",IF($B278="","",IFERROR(SUMIFS('Dvd Calendar'!$E$455:$CZ$455,'Dvd Calendar'!$E$454:$CZ$454,"&gt;"&amp;F$258,'Dvd Calendar'!$E$454:$CZ$454,"&lt;="&amp;F$259),"")))</f>
        <v/>
      </c>
      <c r="G278" s="140">
        <f>IF(G$259="","",IF($B278="","",IFERROR(SUMIFS('Dvd Calendar'!$E$455:$CZ$455,'Dvd Calendar'!$E$454:$CZ$454,"&gt;"&amp;G$258,'Dvd Calendar'!$E$454:$CZ$454,"&lt;="&amp;G$259),"")))</f>
        <v/>
      </c>
      <c r="H278" s="140">
        <f>IF(H$259="","",IF($B278="","",IFERROR(SUMIFS('Dvd Calendar'!$E$455:$CZ$455,'Dvd Calendar'!$E$454:$CZ$454,"&gt;"&amp;H$258,'Dvd Calendar'!$E$454:$CZ$454,"&lt;="&amp;H$259),"")))</f>
        <v/>
      </c>
      <c r="I278" s="140">
        <f>IF(I$259="","",IF($B278="","",IFERROR(SUMIFS('Dvd Calendar'!$E$455:$CZ$455,'Dvd Calendar'!$E$454:$CZ$454,"&gt;"&amp;I$258,'Dvd Calendar'!$E$454:$CZ$454,"&lt;="&amp;I$259),"")))</f>
        <v/>
      </c>
      <c r="J278" s="140">
        <f>IF(J$259="","",IF($B278="","",IFERROR(SUMIFS('Dvd Calendar'!$E$455:$CZ$455,'Dvd Calendar'!$E$454:$CZ$454,"&gt;"&amp;J$258,'Dvd Calendar'!$E$454:$CZ$454,"&lt;="&amp;J$259),"")))</f>
        <v/>
      </c>
      <c r="K278" s="140">
        <f>IF(K$259="","",IF($B278="","",IFERROR(SUMIFS('Dvd Calendar'!$E$455:$CZ$455,'Dvd Calendar'!$E$454:$CZ$454,"&gt;"&amp;K$258,'Dvd Calendar'!$E$454:$CZ$454,"&lt;="&amp;K$259),"")))</f>
        <v/>
      </c>
      <c r="L278" s="140">
        <f>IF(L$259="","",IF($B278="","",IFERROR(SUMIFS('Dvd Calendar'!$E$455:$CZ$455,'Dvd Calendar'!$E$454:$CZ$454,"&gt;"&amp;L$258,'Dvd Calendar'!$E$454:$CZ$454,"&lt;="&amp;L$259),"")))</f>
        <v/>
      </c>
      <c r="M278" s="140">
        <f>IF(M$259="","",IF($B278="","",IFERROR(SUMIFS('Dvd Calendar'!$E$455:$CZ$455,'Dvd Calendar'!$E$454:$CZ$454,"&gt;"&amp;M$258,'Dvd Calendar'!$E$454:$CZ$454,"&lt;="&amp;M$259),"")))</f>
        <v/>
      </c>
      <c r="N278" s="140">
        <f>IF(N$259="","",IF($B278="","",IFERROR(SUMIFS('Dvd Calendar'!$E$455:$CZ$455,'Dvd Calendar'!$E$454:$CZ$454,"&gt;"&amp;N$258,'Dvd Calendar'!$E$454:$CZ$454,"&lt;="&amp;N$259),"")))</f>
        <v/>
      </c>
      <c r="O278" s="140">
        <f>IF(O$259="","",IF($B278="","",IFERROR(SUMIFS('Dvd Calendar'!$E$455:$CZ$455,'Dvd Calendar'!$E$454:$CZ$454,"&gt;"&amp;O$258,'Dvd Calendar'!$E$454:$CZ$454,"&lt;="&amp;O$259),"")))</f>
        <v/>
      </c>
      <c r="P278" s="140">
        <f>IF(P$259="","",IF($B278="","",IFERROR(SUMIFS('Dvd Calendar'!$E$455:$CZ$455,'Dvd Calendar'!$E$454:$CZ$454,"&gt;"&amp;P$258,'Dvd Calendar'!$E$454:$CZ$454,"&lt;="&amp;P$259),"")))</f>
        <v/>
      </c>
      <c r="Q278" s="140">
        <f>IF(Q$259="","",IF($B278="","",IFERROR(SUMIFS('Dvd Calendar'!$E$455:$CZ$455,'Dvd Calendar'!$E$454:$CZ$454,"&gt;"&amp;Q$258,'Dvd Calendar'!$E$454:$CZ$454,"&lt;="&amp;Q$259),"")))</f>
        <v/>
      </c>
      <c r="R278" s="140">
        <f>IF(R$259="","",IF($B278="","",IFERROR(SUMIFS('Dvd Calendar'!$E$455:$CZ$455,'Dvd Calendar'!$E$454:$CZ$454,"&gt;"&amp;R$258,'Dvd Calendar'!$E$454:$CZ$454,"&lt;="&amp;R$259),"")))</f>
        <v/>
      </c>
    </row>
    <row r="279">
      <c r="B279" s="5">
        <f>IF(MXAU!$C$24="","",MXAU!$C$24)</f>
        <v/>
      </c>
      <c r="C279" s="140">
        <f>IF(C$259="","",IF($B279="","",IFERROR(SUMIFS('Dvd Calendar'!$E$457:$CZ$457,'Dvd Calendar'!$E$456:$CZ$456,"&gt;"&amp;C$258,'Dvd Calendar'!$E$456:$CZ$456,"&lt;="&amp;C$259),"")))</f>
        <v/>
      </c>
      <c r="D279" s="140">
        <f>IF(D$259="","",IF($B279="","",IFERROR(SUMIFS('Dvd Calendar'!$E$457:$CZ$457,'Dvd Calendar'!$E$456:$CZ$456,"&gt;"&amp;D$258,'Dvd Calendar'!$E$456:$CZ$456,"&lt;="&amp;D$259),"")))</f>
        <v/>
      </c>
      <c r="E279" s="140">
        <f>IF(E$259="","",IF($B279="","",IFERROR(SUMIFS('Dvd Calendar'!$E$457:$CZ$457,'Dvd Calendar'!$E$456:$CZ$456,"&gt;"&amp;E$258,'Dvd Calendar'!$E$456:$CZ$456,"&lt;="&amp;E$259),"")))</f>
        <v/>
      </c>
      <c r="F279" s="140">
        <f>IF(F$259="","",IF($B279="","",IFERROR(SUMIFS('Dvd Calendar'!$E$457:$CZ$457,'Dvd Calendar'!$E$456:$CZ$456,"&gt;"&amp;F$258,'Dvd Calendar'!$E$456:$CZ$456,"&lt;="&amp;F$259),"")))</f>
        <v/>
      </c>
      <c r="G279" s="140">
        <f>IF(G$259="","",IF($B279="","",IFERROR(SUMIFS('Dvd Calendar'!$E$457:$CZ$457,'Dvd Calendar'!$E$456:$CZ$456,"&gt;"&amp;G$258,'Dvd Calendar'!$E$456:$CZ$456,"&lt;="&amp;G$259),"")))</f>
        <v/>
      </c>
      <c r="H279" s="140">
        <f>IF(H$259="","",IF($B279="","",IFERROR(SUMIFS('Dvd Calendar'!$E$457:$CZ$457,'Dvd Calendar'!$E$456:$CZ$456,"&gt;"&amp;H$258,'Dvd Calendar'!$E$456:$CZ$456,"&lt;="&amp;H$259),"")))</f>
        <v/>
      </c>
      <c r="I279" s="140">
        <f>IF(I$259="","",IF($B279="","",IFERROR(SUMIFS('Dvd Calendar'!$E$457:$CZ$457,'Dvd Calendar'!$E$456:$CZ$456,"&gt;"&amp;I$258,'Dvd Calendar'!$E$456:$CZ$456,"&lt;="&amp;I$259),"")))</f>
        <v/>
      </c>
      <c r="J279" s="140">
        <f>IF(J$259="","",IF($B279="","",IFERROR(SUMIFS('Dvd Calendar'!$E$457:$CZ$457,'Dvd Calendar'!$E$456:$CZ$456,"&gt;"&amp;J$258,'Dvd Calendar'!$E$456:$CZ$456,"&lt;="&amp;J$259),"")))</f>
        <v/>
      </c>
      <c r="K279" s="140">
        <f>IF(K$259="","",IF($B279="","",IFERROR(SUMIFS('Dvd Calendar'!$E$457:$CZ$457,'Dvd Calendar'!$E$456:$CZ$456,"&gt;"&amp;K$258,'Dvd Calendar'!$E$456:$CZ$456,"&lt;="&amp;K$259),"")))</f>
        <v/>
      </c>
      <c r="L279" s="140">
        <f>IF(L$259="","",IF($B279="","",IFERROR(SUMIFS('Dvd Calendar'!$E$457:$CZ$457,'Dvd Calendar'!$E$456:$CZ$456,"&gt;"&amp;L$258,'Dvd Calendar'!$E$456:$CZ$456,"&lt;="&amp;L$259),"")))</f>
        <v/>
      </c>
      <c r="M279" s="140">
        <f>IF(M$259="","",IF($B279="","",IFERROR(SUMIFS('Dvd Calendar'!$E$457:$CZ$457,'Dvd Calendar'!$E$456:$CZ$456,"&gt;"&amp;M$258,'Dvd Calendar'!$E$456:$CZ$456,"&lt;="&amp;M$259),"")))</f>
        <v/>
      </c>
      <c r="N279" s="140">
        <f>IF(N$259="","",IF($B279="","",IFERROR(SUMIFS('Dvd Calendar'!$E$457:$CZ$457,'Dvd Calendar'!$E$456:$CZ$456,"&gt;"&amp;N$258,'Dvd Calendar'!$E$456:$CZ$456,"&lt;="&amp;N$259),"")))</f>
        <v/>
      </c>
      <c r="O279" s="140">
        <f>IF(O$259="","",IF($B279="","",IFERROR(SUMIFS('Dvd Calendar'!$E$457:$CZ$457,'Dvd Calendar'!$E$456:$CZ$456,"&gt;"&amp;O$258,'Dvd Calendar'!$E$456:$CZ$456,"&lt;="&amp;O$259),"")))</f>
        <v/>
      </c>
      <c r="P279" s="140">
        <f>IF(P$259="","",IF($B279="","",IFERROR(SUMIFS('Dvd Calendar'!$E$457:$CZ$457,'Dvd Calendar'!$E$456:$CZ$456,"&gt;"&amp;P$258,'Dvd Calendar'!$E$456:$CZ$456,"&lt;="&amp;P$259),"")))</f>
        <v/>
      </c>
      <c r="Q279" s="140">
        <f>IF(Q$259="","",IF($B279="","",IFERROR(SUMIFS('Dvd Calendar'!$E$457:$CZ$457,'Dvd Calendar'!$E$456:$CZ$456,"&gt;"&amp;Q$258,'Dvd Calendar'!$E$456:$CZ$456,"&lt;="&amp;Q$259),"")))</f>
        <v/>
      </c>
      <c r="R279" s="140">
        <f>IF(R$259="","",IF($B279="","",IFERROR(SUMIFS('Dvd Calendar'!$E$457:$CZ$457,'Dvd Calendar'!$E$456:$CZ$456,"&gt;"&amp;R$258,'Dvd Calendar'!$E$456:$CZ$456,"&lt;="&amp;R$259),"")))</f>
        <v/>
      </c>
    </row>
    <row r="280">
      <c r="B280" s="5">
        <f>IF(MXAU!$C$25="","",MXAU!$C$25)</f>
        <v/>
      </c>
      <c r="C280" s="140">
        <f>IF(C$259="","",IF($B280="","",IFERROR(SUMIFS('Dvd Calendar'!$E$459:$CZ$459,'Dvd Calendar'!$E$458:$CZ$458,"&gt;"&amp;C$258,'Dvd Calendar'!$E$458:$CZ$458,"&lt;="&amp;C$259),"")))</f>
        <v/>
      </c>
      <c r="D280" s="140">
        <f>IF(D$259="","",IF($B280="","",IFERROR(SUMIFS('Dvd Calendar'!$E$459:$CZ$459,'Dvd Calendar'!$E$458:$CZ$458,"&gt;"&amp;D$258,'Dvd Calendar'!$E$458:$CZ$458,"&lt;="&amp;D$259),"")))</f>
        <v/>
      </c>
      <c r="E280" s="140">
        <f>IF(E$259="","",IF($B280="","",IFERROR(SUMIFS('Dvd Calendar'!$E$459:$CZ$459,'Dvd Calendar'!$E$458:$CZ$458,"&gt;"&amp;E$258,'Dvd Calendar'!$E$458:$CZ$458,"&lt;="&amp;E$259),"")))</f>
        <v/>
      </c>
      <c r="F280" s="140">
        <f>IF(F$259="","",IF($B280="","",IFERROR(SUMIFS('Dvd Calendar'!$E$459:$CZ$459,'Dvd Calendar'!$E$458:$CZ$458,"&gt;"&amp;F$258,'Dvd Calendar'!$E$458:$CZ$458,"&lt;="&amp;F$259),"")))</f>
        <v/>
      </c>
      <c r="G280" s="140">
        <f>IF(G$259="","",IF($B280="","",IFERROR(SUMIFS('Dvd Calendar'!$E$459:$CZ$459,'Dvd Calendar'!$E$458:$CZ$458,"&gt;"&amp;G$258,'Dvd Calendar'!$E$458:$CZ$458,"&lt;="&amp;G$259),"")))</f>
        <v/>
      </c>
      <c r="H280" s="140">
        <f>IF(H$259="","",IF($B280="","",IFERROR(SUMIFS('Dvd Calendar'!$E$459:$CZ$459,'Dvd Calendar'!$E$458:$CZ$458,"&gt;"&amp;H$258,'Dvd Calendar'!$E$458:$CZ$458,"&lt;="&amp;H$259),"")))</f>
        <v/>
      </c>
      <c r="I280" s="140">
        <f>IF(I$259="","",IF($B280="","",IFERROR(SUMIFS('Dvd Calendar'!$E$459:$CZ$459,'Dvd Calendar'!$E$458:$CZ$458,"&gt;"&amp;I$258,'Dvd Calendar'!$E$458:$CZ$458,"&lt;="&amp;I$259),"")))</f>
        <v/>
      </c>
      <c r="J280" s="140">
        <f>IF(J$259="","",IF($B280="","",IFERROR(SUMIFS('Dvd Calendar'!$E$459:$CZ$459,'Dvd Calendar'!$E$458:$CZ$458,"&gt;"&amp;J$258,'Dvd Calendar'!$E$458:$CZ$458,"&lt;="&amp;J$259),"")))</f>
        <v/>
      </c>
      <c r="K280" s="140">
        <f>IF(K$259="","",IF($B280="","",IFERROR(SUMIFS('Dvd Calendar'!$E$459:$CZ$459,'Dvd Calendar'!$E$458:$CZ$458,"&gt;"&amp;K$258,'Dvd Calendar'!$E$458:$CZ$458,"&lt;="&amp;K$259),"")))</f>
        <v/>
      </c>
      <c r="L280" s="140">
        <f>IF(L$259="","",IF($B280="","",IFERROR(SUMIFS('Dvd Calendar'!$E$459:$CZ$459,'Dvd Calendar'!$E$458:$CZ$458,"&gt;"&amp;L$258,'Dvd Calendar'!$E$458:$CZ$458,"&lt;="&amp;L$259),"")))</f>
        <v/>
      </c>
      <c r="M280" s="140">
        <f>IF(M$259="","",IF($B280="","",IFERROR(SUMIFS('Dvd Calendar'!$E$459:$CZ$459,'Dvd Calendar'!$E$458:$CZ$458,"&gt;"&amp;M$258,'Dvd Calendar'!$E$458:$CZ$458,"&lt;="&amp;M$259),"")))</f>
        <v/>
      </c>
      <c r="N280" s="140">
        <f>IF(N$259="","",IF($B280="","",IFERROR(SUMIFS('Dvd Calendar'!$E$459:$CZ$459,'Dvd Calendar'!$E$458:$CZ$458,"&gt;"&amp;N$258,'Dvd Calendar'!$E$458:$CZ$458,"&lt;="&amp;N$259),"")))</f>
        <v/>
      </c>
      <c r="O280" s="140">
        <f>IF(O$259="","",IF($B280="","",IFERROR(SUMIFS('Dvd Calendar'!$E$459:$CZ$459,'Dvd Calendar'!$E$458:$CZ$458,"&gt;"&amp;O$258,'Dvd Calendar'!$E$458:$CZ$458,"&lt;="&amp;O$259),"")))</f>
        <v/>
      </c>
      <c r="P280" s="140">
        <f>IF(P$259="","",IF($B280="","",IFERROR(SUMIFS('Dvd Calendar'!$E$459:$CZ$459,'Dvd Calendar'!$E$458:$CZ$458,"&gt;"&amp;P$258,'Dvd Calendar'!$E$458:$CZ$458,"&lt;="&amp;P$259),"")))</f>
        <v/>
      </c>
      <c r="Q280" s="140">
        <f>IF(Q$259="","",IF($B280="","",IFERROR(SUMIFS('Dvd Calendar'!$E$459:$CZ$459,'Dvd Calendar'!$E$458:$CZ$458,"&gt;"&amp;Q$258,'Dvd Calendar'!$E$458:$CZ$458,"&lt;="&amp;Q$259),"")))</f>
        <v/>
      </c>
      <c r="R280" s="140">
        <f>IF(R$259="","",IF($B280="","",IFERROR(SUMIFS('Dvd Calendar'!$E$459:$CZ$459,'Dvd Calendar'!$E$458:$CZ$458,"&gt;"&amp;R$258,'Dvd Calendar'!$E$458:$CZ$458,"&lt;="&amp;R$259),"")))</f>
        <v/>
      </c>
    </row>
    <row r="281">
      <c r="B281" s="5">
        <f>IF(MXAU!$C$26="","",MXAU!$C$26)</f>
        <v/>
      </c>
      <c r="C281" s="140">
        <f>IF(C$259="","",IF($B281="","",IFERROR(SUMIFS('Dvd Calendar'!$E$461:$CZ$461,'Dvd Calendar'!$E$460:$CZ$460,"&gt;"&amp;C$258,'Dvd Calendar'!$E$460:$CZ$460,"&lt;="&amp;C$259),"")))</f>
        <v/>
      </c>
      <c r="D281" s="140">
        <f>IF(D$259="","",IF($B281="","",IFERROR(SUMIFS('Dvd Calendar'!$E$461:$CZ$461,'Dvd Calendar'!$E$460:$CZ$460,"&gt;"&amp;D$258,'Dvd Calendar'!$E$460:$CZ$460,"&lt;="&amp;D$259),"")))</f>
        <v/>
      </c>
      <c r="E281" s="140">
        <f>IF(E$259="","",IF($B281="","",IFERROR(SUMIFS('Dvd Calendar'!$E$461:$CZ$461,'Dvd Calendar'!$E$460:$CZ$460,"&gt;"&amp;E$258,'Dvd Calendar'!$E$460:$CZ$460,"&lt;="&amp;E$259),"")))</f>
        <v/>
      </c>
      <c r="F281" s="140">
        <f>IF(F$259="","",IF($B281="","",IFERROR(SUMIFS('Dvd Calendar'!$E$461:$CZ$461,'Dvd Calendar'!$E$460:$CZ$460,"&gt;"&amp;F$258,'Dvd Calendar'!$E$460:$CZ$460,"&lt;="&amp;F$259),"")))</f>
        <v/>
      </c>
      <c r="G281" s="140">
        <f>IF(G$259="","",IF($B281="","",IFERROR(SUMIFS('Dvd Calendar'!$E$461:$CZ$461,'Dvd Calendar'!$E$460:$CZ$460,"&gt;"&amp;G$258,'Dvd Calendar'!$E$460:$CZ$460,"&lt;="&amp;G$259),"")))</f>
        <v/>
      </c>
      <c r="H281" s="140">
        <f>IF(H$259="","",IF($B281="","",IFERROR(SUMIFS('Dvd Calendar'!$E$461:$CZ$461,'Dvd Calendar'!$E$460:$CZ$460,"&gt;"&amp;H$258,'Dvd Calendar'!$E$460:$CZ$460,"&lt;="&amp;H$259),"")))</f>
        <v/>
      </c>
      <c r="I281" s="140">
        <f>IF(I$259="","",IF($B281="","",IFERROR(SUMIFS('Dvd Calendar'!$E$461:$CZ$461,'Dvd Calendar'!$E$460:$CZ$460,"&gt;"&amp;I$258,'Dvd Calendar'!$E$460:$CZ$460,"&lt;="&amp;I$259),"")))</f>
        <v/>
      </c>
      <c r="J281" s="140">
        <f>IF(J$259="","",IF($B281="","",IFERROR(SUMIFS('Dvd Calendar'!$E$461:$CZ$461,'Dvd Calendar'!$E$460:$CZ$460,"&gt;"&amp;J$258,'Dvd Calendar'!$E$460:$CZ$460,"&lt;="&amp;J$259),"")))</f>
        <v/>
      </c>
      <c r="K281" s="140">
        <f>IF(K$259="","",IF($B281="","",IFERROR(SUMIFS('Dvd Calendar'!$E$461:$CZ$461,'Dvd Calendar'!$E$460:$CZ$460,"&gt;"&amp;K$258,'Dvd Calendar'!$E$460:$CZ$460,"&lt;="&amp;K$259),"")))</f>
        <v/>
      </c>
      <c r="L281" s="140">
        <f>IF(L$259="","",IF($B281="","",IFERROR(SUMIFS('Dvd Calendar'!$E$461:$CZ$461,'Dvd Calendar'!$E$460:$CZ$460,"&gt;"&amp;L$258,'Dvd Calendar'!$E$460:$CZ$460,"&lt;="&amp;L$259),"")))</f>
        <v/>
      </c>
      <c r="M281" s="140">
        <f>IF(M$259="","",IF($B281="","",IFERROR(SUMIFS('Dvd Calendar'!$E$461:$CZ$461,'Dvd Calendar'!$E$460:$CZ$460,"&gt;"&amp;M$258,'Dvd Calendar'!$E$460:$CZ$460,"&lt;="&amp;M$259),"")))</f>
        <v/>
      </c>
      <c r="N281" s="140">
        <f>IF(N$259="","",IF($B281="","",IFERROR(SUMIFS('Dvd Calendar'!$E$461:$CZ$461,'Dvd Calendar'!$E$460:$CZ$460,"&gt;"&amp;N$258,'Dvd Calendar'!$E$460:$CZ$460,"&lt;="&amp;N$259),"")))</f>
        <v/>
      </c>
      <c r="O281" s="140">
        <f>IF(O$259="","",IF($B281="","",IFERROR(SUMIFS('Dvd Calendar'!$E$461:$CZ$461,'Dvd Calendar'!$E$460:$CZ$460,"&gt;"&amp;O$258,'Dvd Calendar'!$E$460:$CZ$460,"&lt;="&amp;O$259),"")))</f>
        <v/>
      </c>
      <c r="P281" s="140">
        <f>IF(P$259="","",IF($B281="","",IFERROR(SUMIFS('Dvd Calendar'!$E$461:$CZ$461,'Dvd Calendar'!$E$460:$CZ$460,"&gt;"&amp;P$258,'Dvd Calendar'!$E$460:$CZ$460,"&lt;="&amp;P$259),"")))</f>
        <v/>
      </c>
      <c r="Q281" s="140">
        <f>IF(Q$259="","",IF($B281="","",IFERROR(SUMIFS('Dvd Calendar'!$E$461:$CZ$461,'Dvd Calendar'!$E$460:$CZ$460,"&gt;"&amp;Q$258,'Dvd Calendar'!$E$460:$CZ$460,"&lt;="&amp;Q$259),"")))</f>
        <v/>
      </c>
      <c r="R281" s="140">
        <f>IF(R$259="","",IF($B281="","",IFERROR(SUMIFS('Dvd Calendar'!$E$461:$CZ$461,'Dvd Calendar'!$E$460:$CZ$460,"&gt;"&amp;R$258,'Dvd Calendar'!$E$460:$CZ$460,"&lt;="&amp;R$259),"")))</f>
        <v/>
      </c>
    </row>
    <row r="282">
      <c r="B282" s="5">
        <f>IF(MXAU!$C$27="","",MXAU!$C$27)</f>
        <v/>
      </c>
      <c r="C282" s="140">
        <f>IF(C$259="","",IF($B282="","",IFERROR(SUMIFS('Dvd Calendar'!$E$463:$CZ$463,'Dvd Calendar'!$E$462:$CZ$462,"&gt;"&amp;C$258,'Dvd Calendar'!$E$462:$CZ$462,"&lt;="&amp;C$259),"")))</f>
        <v/>
      </c>
      <c r="D282" s="140">
        <f>IF(D$259="","",IF($B282="","",IFERROR(SUMIFS('Dvd Calendar'!$E$463:$CZ$463,'Dvd Calendar'!$E$462:$CZ$462,"&gt;"&amp;D$258,'Dvd Calendar'!$E$462:$CZ$462,"&lt;="&amp;D$259),"")))</f>
        <v/>
      </c>
      <c r="E282" s="140">
        <f>IF(E$259="","",IF($B282="","",IFERROR(SUMIFS('Dvd Calendar'!$E$463:$CZ$463,'Dvd Calendar'!$E$462:$CZ$462,"&gt;"&amp;E$258,'Dvd Calendar'!$E$462:$CZ$462,"&lt;="&amp;E$259),"")))</f>
        <v/>
      </c>
      <c r="F282" s="140">
        <f>IF(F$259="","",IF($B282="","",IFERROR(SUMIFS('Dvd Calendar'!$E$463:$CZ$463,'Dvd Calendar'!$E$462:$CZ$462,"&gt;"&amp;F$258,'Dvd Calendar'!$E$462:$CZ$462,"&lt;="&amp;F$259),"")))</f>
        <v/>
      </c>
      <c r="G282" s="140">
        <f>IF(G$259="","",IF($B282="","",IFERROR(SUMIFS('Dvd Calendar'!$E$463:$CZ$463,'Dvd Calendar'!$E$462:$CZ$462,"&gt;"&amp;G$258,'Dvd Calendar'!$E$462:$CZ$462,"&lt;="&amp;G$259),"")))</f>
        <v/>
      </c>
      <c r="H282" s="140">
        <f>IF(H$259="","",IF($B282="","",IFERROR(SUMIFS('Dvd Calendar'!$E$463:$CZ$463,'Dvd Calendar'!$E$462:$CZ$462,"&gt;"&amp;H$258,'Dvd Calendar'!$E$462:$CZ$462,"&lt;="&amp;H$259),"")))</f>
        <v/>
      </c>
      <c r="I282" s="140">
        <f>IF(I$259="","",IF($B282="","",IFERROR(SUMIFS('Dvd Calendar'!$E$463:$CZ$463,'Dvd Calendar'!$E$462:$CZ$462,"&gt;"&amp;I$258,'Dvd Calendar'!$E$462:$CZ$462,"&lt;="&amp;I$259),"")))</f>
        <v/>
      </c>
      <c r="J282" s="140">
        <f>IF(J$259="","",IF($B282="","",IFERROR(SUMIFS('Dvd Calendar'!$E$463:$CZ$463,'Dvd Calendar'!$E$462:$CZ$462,"&gt;"&amp;J$258,'Dvd Calendar'!$E$462:$CZ$462,"&lt;="&amp;J$259),"")))</f>
        <v/>
      </c>
      <c r="K282" s="140">
        <f>IF(K$259="","",IF($B282="","",IFERROR(SUMIFS('Dvd Calendar'!$E$463:$CZ$463,'Dvd Calendar'!$E$462:$CZ$462,"&gt;"&amp;K$258,'Dvd Calendar'!$E$462:$CZ$462,"&lt;="&amp;K$259),"")))</f>
        <v/>
      </c>
      <c r="L282" s="140">
        <f>IF(L$259="","",IF($B282="","",IFERROR(SUMIFS('Dvd Calendar'!$E$463:$CZ$463,'Dvd Calendar'!$E$462:$CZ$462,"&gt;"&amp;L$258,'Dvd Calendar'!$E$462:$CZ$462,"&lt;="&amp;L$259),"")))</f>
        <v/>
      </c>
      <c r="M282" s="140">
        <f>IF(M$259="","",IF($B282="","",IFERROR(SUMIFS('Dvd Calendar'!$E$463:$CZ$463,'Dvd Calendar'!$E$462:$CZ$462,"&gt;"&amp;M$258,'Dvd Calendar'!$E$462:$CZ$462,"&lt;="&amp;M$259),"")))</f>
        <v/>
      </c>
      <c r="N282" s="140">
        <f>IF(N$259="","",IF($B282="","",IFERROR(SUMIFS('Dvd Calendar'!$E$463:$CZ$463,'Dvd Calendar'!$E$462:$CZ$462,"&gt;"&amp;N$258,'Dvd Calendar'!$E$462:$CZ$462,"&lt;="&amp;N$259),"")))</f>
        <v/>
      </c>
      <c r="O282" s="140">
        <f>IF(O$259="","",IF($B282="","",IFERROR(SUMIFS('Dvd Calendar'!$E$463:$CZ$463,'Dvd Calendar'!$E$462:$CZ$462,"&gt;"&amp;O$258,'Dvd Calendar'!$E$462:$CZ$462,"&lt;="&amp;O$259),"")))</f>
        <v/>
      </c>
      <c r="P282" s="140">
        <f>IF(P$259="","",IF($B282="","",IFERROR(SUMIFS('Dvd Calendar'!$E$463:$CZ$463,'Dvd Calendar'!$E$462:$CZ$462,"&gt;"&amp;P$258,'Dvd Calendar'!$E$462:$CZ$462,"&lt;="&amp;P$259),"")))</f>
        <v/>
      </c>
      <c r="Q282" s="140">
        <f>IF(Q$259="","",IF($B282="","",IFERROR(SUMIFS('Dvd Calendar'!$E$463:$CZ$463,'Dvd Calendar'!$E$462:$CZ$462,"&gt;"&amp;Q$258,'Dvd Calendar'!$E$462:$CZ$462,"&lt;="&amp;Q$259),"")))</f>
        <v/>
      </c>
      <c r="R282" s="140">
        <f>IF(R$259="","",IF($B282="","",IFERROR(SUMIFS('Dvd Calendar'!$E$463:$CZ$463,'Dvd Calendar'!$E$462:$CZ$462,"&gt;"&amp;R$258,'Dvd Calendar'!$E$462:$CZ$462,"&lt;="&amp;R$259),"")))</f>
        <v/>
      </c>
    </row>
    <row r="283">
      <c r="B283" s="5">
        <f>IF(MXAU!$C$28="","",MXAU!$C$28)</f>
        <v/>
      </c>
      <c r="C283" s="140">
        <f>IF(C$259="","",IF($B283="","",IFERROR(SUMIFS('Dvd Calendar'!$E$465:$CZ$465,'Dvd Calendar'!$E$464:$CZ$464,"&gt;"&amp;C$258,'Dvd Calendar'!$E$464:$CZ$464,"&lt;="&amp;C$259),"")))</f>
        <v/>
      </c>
      <c r="D283" s="140">
        <f>IF(D$259="","",IF($B283="","",IFERROR(SUMIFS('Dvd Calendar'!$E$465:$CZ$465,'Dvd Calendar'!$E$464:$CZ$464,"&gt;"&amp;D$258,'Dvd Calendar'!$E$464:$CZ$464,"&lt;="&amp;D$259),"")))</f>
        <v/>
      </c>
      <c r="E283" s="140">
        <f>IF(E$259="","",IF($B283="","",IFERROR(SUMIFS('Dvd Calendar'!$E$465:$CZ$465,'Dvd Calendar'!$E$464:$CZ$464,"&gt;"&amp;E$258,'Dvd Calendar'!$E$464:$CZ$464,"&lt;="&amp;E$259),"")))</f>
        <v/>
      </c>
      <c r="F283" s="140">
        <f>IF(F$259="","",IF($B283="","",IFERROR(SUMIFS('Dvd Calendar'!$E$465:$CZ$465,'Dvd Calendar'!$E$464:$CZ$464,"&gt;"&amp;F$258,'Dvd Calendar'!$E$464:$CZ$464,"&lt;="&amp;F$259),"")))</f>
        <v/>
      </c>
      <c r="G283" s="140">
        <f>IF(G$259="","",IF($B283="","",IFERROR(SUMIFS('Dvd Calendar'!$E$465:$CZ$465,'Dvd Calendar'!$E$464:$CZ$464,"&gt;"&amp;G$258,'Dvd Calendar'!$E$464:$CZ$464,"&lt;="&amp;G$259),"")))</f>
        <v/>
      </c>
      <c r="H283" s="140">
        <f>IF(H$259="","",IF($B283="","",IFERROR(SUMIFS('Dvd Calendar'!$E$465:$CZ$465,'Dvd Calendar'!$E$464:$CZ$464,"&gt;"&amp;H$258,'Dvd Calendar'!$E$464:$CZ$464,"&lt;="&amp;H$259),"")))</f>
        <v/>
      </c>
      <c r="I283" s="140">
        <f>IF(I$259="","",IF($B283="","",IFERROR(SUMIFS('Dvd Calendar'!$E$465:$CZ$465,'Dvd Calendar'!$E$464:$CZ$464,"&gt;"&amp;I$258,'Dvd Calendar'!$E$464:$CZ$464,"&lt;="&amp;I$259),"")))</f>
        <v/>
      </c>
      <c r="J283" s="140">
        <f>IF(J$259="","",IF($B283="","",IFERROR(SUMIFS('Dvd Calendar'!$E$465:$CZ$465,'Dvd Calendar'!$E$464:$CZ$464,"&gt;"&amp;J$258,'Dvd Calendar'!$E$464:$CZ$464,"&lt;="&amp;J$259),"")))</f>
        <v/>
      </c>
      <c r="K283" s="140">
        <f>IF(K$259="","",IF($B283="","",IFERROR(SUMIFS('Dvd Calendar'!$E$465:$CZ$465,'Dvd Calendar'!$E$464:$CZ$464,"&gt;"&amp;K$258,'Dvd Calendar'!$E$464:$CZ$464,"&lt;="&amp;K$259),"")))</f>
        <v/>
      </c>
      <c r="L283" s="140">
        <f>IF(L$259="","",IF($B283="","",IFERROR(SUMIFS('Dvd Calendar'!$E$465:$CZ$465,'Dvd Calendar'!$E$464:$CZ$464,"&gt;"&amp;L$258,'Dvd Calendar'!$E$464:$CZ$464,"&lt;="&amp;L$259),"")))</f>
        <v/>
      </c>
      <c r="M283" s="140">
        <f>IF(M$259="","",IF($B283="","",IFERROR(SUMIFS('Dvd Calendar'!$E$465:$CZ$465,'Dvd Calendar'!$E$464:$CZ$464,"&gt;"&amp;M$258,'Dvd Calendar'!$E$464:$CZ$464,"&lt;="&amp;M$259),"")))</f>
        <v/>
      </c>
      <c r="N283" s="140">
        <f>IF(N$259="","",IF($B283="","",IFERROR(SUMIFS('Dvd Calendar'!$E$465:$CZ$465,'Dvd Calendar'!$E$464:$CZ$464,"&gt;"&amp;N$258,'Dvd Calendar'!$E$464:$CZ$464,"&lt;="&amp;N$259),"")))</f>
        <v/>
      </c>
      <c r="O283" s="140">
        <f>IF(O$259="","",IF($B283="","",IFERROR(SUMIFS('Dvd Calendar'!$E$465:$CZ$465,'Dvd Calendar'!$E$464:$CZ$464,"&gt;"&amp;O$258,'Dvd Calendar'!$E$464:$CZ$464,"&lt;="&amp;O$259),"")))</f>
        <v/>
      </c>
      <c r="P283" s="140">
        <f>IF(P$259="","",IF($B283="","",IFERROR(SUMIFS('Dvd Calendar'!$E$465:$CZ$465,'Dvd Calendar'!$E$464:$CZ$464,"&gt;"&amp;P$258,'Dvd Calendar'!$E$464:$CZ$464,"&lt;="&amp;P$259),"")))</f>
        <v/>
      </c>
      <c r="Q283" s="140">
        <f>IF(Q$259="","",IF($B283="","",IFERROR(SUMIFS('Dvd Calendar'!$E$465:$CZ$465,'Dvd Calendar'!$E$464:$CZ$464,"&gt;"&amp;Q$258,'Dvd Calendar'!$E$464:$CZ$464,"&lt;="&amp;Q$259),"")))</f>
        <v/>
      </c>
      <c r="R283" s="140">
        <f>IF(R$259="","",IF($B283="","",IFERROR(SUMIFS('Dvd Calendar'!$E$465:$CZ$465,'Dvd Calendar'!$E$464:$CZ$464,"&gt;"&amp;R$258,'Dvd Calendar'!$E$464:$CZ$464,"&lt;="&amp;R$259),"")))</f>
        <v/>
      </c>
    </row>
    <row r="284">
      <c r="B284" s="5">
        <f>IF(MXAU!$C$29="","",MXAU!$C$29)</f>
        <v/>
      </c>
      <c r="C284" s="140">
        <f>IF(C$259="","",IF($B284="","",IFERROR(SUMIFS('Dvd Calendar'!$E$467:$CZ$467,'Dvd Calendar'!$E$466:$CZ$466,"&gt;"&amp;C$258,'Dvd Calendar'!$E$466:$CZ$466,"&lt;="&amp;C$259),"")))</f>
        <v/>
      </c>
      <c r="D284" s="140">
        <f>IF(D$259="","",IF($B284="","",IFERROR(SUMIFS('Dvd Calendar'!$E$467:$CZ$467,'Dvd Calendar'!$E$466:$CZ$466,"&gt;"&amp;D$258,'Dvd Calendar'!$E$466:$CZ$466,"&lt;="&amp;D$259),"")))</f>
        <v/>
      </c>
      <c r="E284" s="140">
        <f>IF(E$259="","",IF($B284="","",IFERROR(SUMIFS('Dvd Calendar'!$E$467:$CZ$467,'Dvd Calendar'!$E$466:$CZ$466,"&gt;"&amp;E$258,'Dvd Calendar'!$E$466:$CZ$466,"&lt;="&amp;E$259),"")))</f>
        <v/>
      </c>
      <c r="F284" s="140">
        <f>IF(F$259="","",IF($B284="","",IFERROR(SUMIFS('Dvd Calendar'!$E$467:$CZ$467,'Dvd Calendar'!$E$466:$CZ$466,"&gt;"&amp;F$258,'Dvd Calendar'!$E$466:$CZ$466,"&lt;="&amp;F$259),"")))</f>
        <v/>
      </c>
      <c r="G284" s="140">
        <f>IF(G$259="","",IF($B284="","",IFERROR(SUMIFS('Dvd Calendar'!$E$467:$CZ$467,'Dvd Calendar'!$E$466:$CZ$466,"&gt;"&amp;G$258,'Dvd Calendar'!$E$466:$CZ$466,"&lt;="&amp;G$259),"")))</f>
        <v/>
      </c>
      <c r="H284" s="140">
        <f>IF(H$259="","",IF($B284="","",IFERROR(SUMIFS('Dvd Calendar'!$E$467:$CZ$467,'Dvd Calendar'!$E$466:$CZ$466,"&gt;"&amp;H$258,'Dvd Calendar'!$E$466:$CZ$466,"&lt;="&amp;H$259),"")))</f>
        <v/>
      </c>
      <c r="I284" s="140">
        <f>IF(I$259="","",IF($B284="","",IFERROR(SUMIFS('Dvd Calendar'!$E$467:$CZ$467,'Dvd Calendar'!$E$466:$CZ$466,"&gt;"&amp;I$258,'Dvd Calendar'!$E$466:$CZ$466,"&lt;="&amp;I$259),"")))</f>
        <v/>
      </c>
      <c r="J284" s="140">
        <f>IF(J$259="","",IF($B284="","",IFERROR(SUMIFS('Dvd Calendar'!$E$467:$CZ$467,'Dvd Calendar'!$E$466:$CZ$466,"&gt;"&amp;J$258,'Dvd Calendar'!$E$466:$CZ$466,"&lt;="&amp;J$259),"")))</f>
        <v/>
      </c>
      <c r="K284" s="140">
        <f>IF(K$259="","",IF($B284="","",IFERROR(SUMIFS('Dvd Calendar'!$E$467:$CZ$467,'Dvd Calendar'!$E$466:$CZ$466,"&gt;"&amp;K$258,'Dvd Calendar'!$E$466:$CZ$466,"&lt;="&amp;K$259),"")))</f>
        <v/>
      </c>
      <c r="L284" s="140">
        <f>IF(L$259="","",IF($B284="","",IFERROR(SUMIFS('Dvd Calendar'!$E$467:$CZ$467,'Dvd Calendar'!$E$466:$CZ$466,"&gt;"&amp;L$258,'Dvd Calendar'!$E$466:$CZ$466,"&lt;="&amp;L$259),"")))</f>
        <v/>
      </c>
      <c r="M284" s="140">
        <f>IF(M$259="","",IF($B284="","",IFERROR(SUMIFS('Dvd Calendar'!$E$467:$CZ$467,'Dvd Calendar'!$E$466:$CZ$466,"&gt;"&amp;M$258,'Dvd Calendar'!$E$466:$CZ$466,"&lt;="&amp;M$259),"")))</f>
        <v/>
      </c>
      <c r="N284" s="140">
        <f>IF(N$259="","",IF($B284="","",IFERROR(SUMIFS('Dvd Calendar'!$E$467:$CZ$467,'Dvd Calendar'!$E$466:$CZ$466,"&gt;"&amp;N$258,'Dvd Calendar'!$E$466:$CZ$466,"&lt;="&amp;N$259),"")))</f>
        <v/>
      </c>
      <c r="O284" s="140">
        <f>IF(O$259="","",IF($B284="","",IFERROR(SUMIFS('Dvd Calendar'!$E$467:$CZ$467,'Dvd Calendar'!$E$466:$CZ$466,"&gt;"&amp;O$258,'Dvd Calendar'!$E$466:$CZ$466,"&lt;="&amp;O$259),"")))</f>
        <v/>
      </c>
      <c r="P284" s="140">
        <f>IF(P$259="","",IF($B284="","",IFERROR(SUMIFS('Dvd Calendar'!$E$467:$CZ$467,'Dvd Calendar'!$E$466:$CZ$466,"&gt;"&amp;P$258,'Dvd Calendar'!$E$466:$CZ$466,"&lt;="&amp;P$259),"")))</f>
        <v/>
      </c>
      <c r="Q284" s="140">
        <f>IF(Q$259="","",IF($B284="","",IFERROR(SUMIFS('Dvd Calendar'!$E$467:$CZ$467,'Dvd Calendar'!$E$466:$CZ$466,"&gt;"&amp;Q$258,'Dvd Calendar'!$E$466:$CZ$466,"&lt;="&amp;Q$259),"")))</f>
        <v/>
      </c>
      <c r="R284" s="140">
        <f>IF(R$259="","",IF($B284="","",IFERROR(SUMIFS('Dvd Calendar'!$E$467:$CZ$467,'Dvd Calendar'!$E$466:$CZ$466,"&gt;"&amp;R$258,'Dvd Calendar'!$E$466:$CZ$466,"&lt;="&amp;R$259),"")))</f>
        <v/>
      </c>
    </row>
    <row r="285">
      <c r="B285" s="5">
        <f>IF(MXAU!$C$30="","",MXAU!$C$30)</f>
        <v/>
      </c>
      <c r="C285" s="140">
        <f>IF(C$259="","",IF($B285="","",IFERROR(SUMIFS('Dvd Calendar'!$E$469:$CZ$469,'Dvd Calendar'!$E$468:$CZ$468,"&gt;"&amp;C$258,'Dvd Calendar'!$E$468:$CZ$468,"&lt;="&amp;C$259),"")))</f>
        <v/>
      </c>
      <c r="D285" s="140">
        <f>IF(D$259="","",IF($B285="","",IFERROR(SUMIFS('Dvd Calendar'!$E$469:$CZ$469,'Dvd Calendar'!$E$468:$CZ$468,"&gt;"&amp;D$258,'Dvd Calendar'!$E$468:$CZ$468,"&lt;="&amp;D$259),"")))</f>
        <v/>
      </c>
      <c r="E285" s="140">
        <f>IF(E$259="","",IF($B285="","",IFERROR(SUMIFS('Dvd Calendar'!$E$469:$CZ$469,'Dvd Calendar'!$E$468:$CZ$468,"&gt;"&amp;E$258,'Dvd Calendar'!$E$468:$CZ$468,"&lt;="&amp;E$259),"")))</f>
        <v/>
      </c>
      <c r="F285" s="140">
        <f>IF(F$259="","",IF($B285="","",IFERROR(SUMIFS('Dvd Calendar'!$E$469:$CZ$469,'Dvd Calendar'!$E$468:$CZ$468,"&gt;"&amp;F$258,'Dvd Calendar'!$E$468:$CZ$468,"&lt;="&amp;F$259),"")))</f>
        <v/>
      </c>
      <c r="G285" s="140">
        <f>IF(G$259="","",IF($B285="","",IFERROR(SUMIFS('Dvd Calendar'!$E$469:$CZ$469,'Dvd Calendar'!$E$468:$CZ$468,"&gt;"&amp;G$258,'Dvd Calendar'!$E$468:$CZ$468,"&lt;="&amp;G$259),"")))</f>
        <v/>
      </c>
      <c r="H285" s="140">
        <f>IF(H$259="","",IF($B285="","",IFERROR(SUMIFS('Dvd Calendar'!$E$469:$CZ$469,'Dvd Calendar'!$E$468:$CZ$468,"&gt;"&amp;H$258,'Dvd Calendar'!$E$468:$CZ$468,"&lt;="&amp;H$259),"")))</f>
        <v/>
      </c>
      <c r="I285" s="140">
        <f>IF(I$259="","",IF($B285="","",IFERROR(SUMIFS('Dvd Calendar'!$E$469:$CZ$469,'Dvd Calendar'!$E$468:$CZ$468,"&gt;"&amp;I$258,'Dvd Calendar'!$E$468:$CZ$468,"&lt;="&amp;I$259),"")))</f>
        <v/>
      </c>
      <c r="J285" s="140">
        <f>IF(J$259="","",IF($B285="","",IFERROR(SUMIFS('Dvd Calendar'!$E$469:$CZ$469,'Dvd Calendar'!$E$468:$CZ$468,"&gt;"&amp;J$258,'Dvd Calendar'!$E$468:$CZ$468,"&lt;="&amp;J$259),"")))</f>
        <v/>
      </c>
      <c r="K285" s="140">
        <f>IF(K$259="","",IF($B285="","",IFERROR(SUMIFS('Dvd Calendar'!$E$469:$CZ$469,'Dvd Calendar'!$E$468:$CZ$468,"&gt;"&amp;K$258,'Dvd Calendar'!$E$468:$CZ$468,"&lt;="&amp;K$259),"")))</f>
        <v/>
      </c>
      <c r="L285" s="140">
        <f>IF(L$259="","",IF($B285="","",IFERROR(SUMIFS('Dvd Calendar'!$E$469:$CZ$469,'Dvd Calendar'!$E$468:$CZ$468,"&gt;"&amp;L$258,'Dvd Calendar'!$E$468:$CZ$468,"&lt;="&amp;L$259),"")))</f>
        <v/>
      </c>
      <c r="M285" s="140">
        <f>IF(M$259="","",IF($B285="","",IFERROR(SUMIFS('Dvd Calendar'!$E$469:$CZ$469,'Dvd Calendar'!$E$468:$CZ$468,"&gt;"&amp;M$258,'Dvd Calendar'!$E$468:$CZ$468,"&lt;="&amp;M$259),"")))</f>
        <v/>
      </c>
      <c r="N285" s="140">
        <f>IF(N$259="","",IF($B285="","",IFERROR(SUMIFS('Dvd Calendar'!$E$469:$CZ$469,'Dvd Calendar'!$E$468:$CZ$468,"&gt;"&amp;N$258,'Dvd Calendar'!$E$468:$CZ$468,"&lt;="&amp;N$259),"")))</f>
        <v/>
      </c>
      <c r="O285" s="140">
        <f>IF(O$259="","",IF($B285="","",IFERROR(SUMIFS('Dvd Calendar'!$E$469:$CZ$469,'Dvd Calendar'!$E$468:$CZ$468,"&gt;"&amp;O$258,'Dvd Calendar'!$E$468:$CZ$468,"&lt;="&amp;O$259),"")))</f>
        <v/>
      </c>
      <c r="P285" s="140">
        <f>IF(P$259="","",IF($B285="","",IFERROR(SUMIFS('Dvd Calendar'!$E$469:$CZ$469,'Dvd Calendar'!$E$468:$CZ$468,"&gt;"&amp;P$258,'Dvd Calendar'!$E$468:$CZ$468,"&lt;="&amp;P$259),"")))</f>
        <v/>
      </c>
      <c r="Q285" s="140">
        <f>IF(Q$259="","",IF($B285="","",IFERROR(SUMIFS('Dvd Calendar'!$E$469:$CZ$469,'Dvd Calendar'!$E$468:$CZ$468,"&gt;"&amp;Q$258,'Dvd Calendar'!$E$468:$CZ$468,"&lt;="&amp;Q$259),"")))</f>
        <v/>
      </c>
      <c r="R285" s="140">
        <f>IF(R$259="","",IF($B285="","",IFERROR(SUMIFS('Dvd Calendar'!$E$469:$CZ$469,'Dvd Calendar'!$E$468:$CZ$468,"&gt;"&amp;R$258,'Dvd Calendar'!$E$468:$CZ$468,"&lt;="&amp;R$259),"")))</f>
        <v/>
      </c>
    </row>
    <row r="286">
      <c r="B286" s="5">
        <f>IF(MXAU!$C$31="","",MXAU!$C$31)</f>
        <v/>
      </c>
      <c r="C286" s="140">
        <f>IF(C$259="","",IF($B286="","",IFERROR(SUMIFS('Dvd Calendar'!$E$471:$CZ$471,'Dvd Calendar'!$E$470:$CZ$470,"&gt;"&amp;C$258,'Dvd Calendar'!$E$470:$CZ$470,"&lt;="&amp;C$259),"")))</f>
        <v/>
      </c>
      <c r="D286" s="140">
        <f>IF(D$259="","",IF($B286="","",IFERROR(SUMIFS('Dvd Calendar'!$E$471:$CZ$471,'Dvd Calendar'!$E$470:$CZ$470,"&gt;"&amp;D$258,'Dvd Calendar'!$E$470:$CZ$470,"&lt;="&amp;D$259),"")))</f>
        <v/>
      </c>
      <c r="E286" s="140">
        <f>IF(E$259="","",IF($B286="","",IFERROR(SUMIFS('Dvd Calendar'!$E$471:$CZ$471,'Dvd Calendar'!$E$470:$CZ$470,"&gt;"&amp;E$258,'Dvd Calendar'!$E$470:$CZ$470,"&lt;="&amp;E$259),"")))</f>
        <v/>
      </c>
      <c r="F286" s="140">
        <f>IF(F$259="","",IF($B286="","",IFERROR(SUMIFS('Dvd Calendar'!$E$471:$CZ$471,'Dvd Calendar'!$E$470:$CZ$470,"&gt;"&amp;F$258,'Dvd Calendar'!$E$470:$CZ$470,"&lt;="&amp;F$259),"")))</f>
        <v/>
      </c>
      <c r="G286" s="140">
        <f>IF(G$259="","",IF($B286="","",IFERROR(SUMIFS('Dvd Calendar'!$E$471:$CZ$471,'Dvd Calendar'!$E$470:$CZ$470,"&gt;"&amp;G$258,'Dvd Calendar'!$E$470:$CZ$470,"&lt;="&amp;G$259),"")))</f>
        <v/>
      </c>
      <c r="H286" s="140">
        <f>IF(H$259="","",IF($B286="","",IFERROR(SUMIFS('Dvd Calendar'!$E$471:$CZ$471,'Dvd Calendar'!$E$470:$CZ$470,"&gt;"&amp;H$258,'Dvd Calendar'!$E$470:$CZ$470,"&lt;="&amp;H$259),"")))</f>
        <v/>
      </c>
      <c r="I286" s="140">
        <f>IF(I$259="","",IF($B286="","",IFERROR(SUMIFS('Dvd Calendar'!$E$471:$CZ$471,'Dvd Calendar'!$E$470:$CZ$470,"&gt;"&amp;I$258,'Dvd Calendar'!$E$470:$CZ$470,"&lt;="&amp;I$259),"")))</f>
        <v/>
      </c>
      <c r="J286" s="140">
        <f>IF(J$259="","",IF($B286="","",IFERROR(SUMIFS('Dvd Calendar'!$E$471:$CZ$471,'Dvd Calendar'!$E$470:$CZ$470,"&gt;"&amp;J$258,'Dvd Calendar'!$E$470:$CZ$470,"&lt;="&amp;J$259),"")))</f>
        <v/>
      </c>
      <c r="K286" s="140">
        <f>IF(K$259="","",IF($B286="","",IFERROR(SUMIFS('Dvd Calendar'!$E$471:$CZ$471,'Dvd Calendar'!$E$470:$CZ$470,"&gt;"&amp;K$258,'Dvd Calendar'!$E$470:$CZ$470,"&lt;="&amp;K$259),"")))</f>
        <v/>
      </c>
      <c r="L286" s="140">
        <f>IF(L$259="","",IF($B286="","",IFERROR(SUMIFS('Dvd Calendar'!$E$471:$CZ$471,'Dvd Calendar'!$E$470:$CZ$470,"&gt;"&amp;L$258,'Dvd Calendar'!$E$470:$CZ$470,"&lt;="&amp;L$259),"")))</f>
        <v/>
      </c>
      <c r="M286" s="140">
        <f>IF(M$259="","",IF($B286="","",IFERROR(SUMIFS('Dvd Calendar'!$E$471:$CZ$471,'Dvd Calendar'!$E$470:$CZ$470,"&gt;"&amp;M$258,'Dvd Calendar'!$E$470:$CZ$470,"&lt;="&amp;M$259),"")))</f>
        <v/>
      </c>
      <c r="N286" s="140">
        <f>IF(N$259="","",IF($B286="","",IFERROR(SUMIFS('Dvd Calendar'!$E$471:$CZ$471,'Dvd Calendar'!$E$470:$CZ$470,"&gt;"&amp;N$258,'Dvd Calendar'!$E$470:$CZ$470,"&lt;="&amp;N$259),"")))</f>
        <v/>
      </c>
      <c r="O286" s="140">
        <f>IF(O$259="","",IF($B286="","",IFERROR(SUMIFS('Dvd Calendar'!$E$471:$CZ$471,'Dvd Calendar'!$E$470:$CZ$470,"&gt;"&amp;O$258,'Dvd Calendar'!$E$470:$CZ$470,"&lt;="&amp;O$259),"")))</f>
        <v/>
      </c>
      <c r="P286" s="140">
        <f>IF(P$259="","",IF($B286="","",IFERROR(SUMIFS('Dvd Calendar'!$E$471:$CZ$471,'Dvd Calendar'!$E$470:$CZ$470,"&gt;"&amp;P$258,'Dvd Calendar'!$E$470:$CZ$470,"&lt;="&amp;P$259),"")))</f>
        <v/>
      </c>
      <c r="Q286" s="140">
        <f>IF(Q$259="","",IF($B286="","",IFERROR(SUMIFS('Dvd Calendar'!$E$471:$CZ$471,'Dvd Calendar'!$E$470:$CZ$470,"&gt;"&amp;Q$258,'Dvd Calendar'!$E$470:$CZ$470,"&lt;="&amp;Q$259),"")))</f>
        <v/>
      </c>
      <c r="R286" s="140">
        <f>IF(R$259="","",IF($B286="","",IFERROR(SUMIFS('Dvd Calendar'!$E$471:$CZ$471,'Dvd Calendar'!$E$470:$CZ$470,"&gt;"&amp;R$258,'Dvd Calendar'!$E$470:$CZ$470,"&lt;="&amp;R$259),"")))</f>
        <v/>
      </c>
    </row>
    <row r="287">
      <c r="B287" s="5">
        <f>IF(MXAU!$C$32="","",MXAU!$C$32)</f>
        <v/>
      </c>
      <c r="C287" s="140">
        <f>IF(C$259="","",IF($B287="","",IFERROR(SUMIFS('Dvd Calendar'!$E$473:$CZ$473,'Dvd Calendar'!$E$472:$CZ$472,"&gt;"&amp;C$258,'Dvd Calendar'!$E$472:$CZ$472,"&lt;="&amp;C$259),"")))</f>
        <v/>
      </c>
      <c r="D287" s="140">
        <f>IF(D$259="","",IF($B287="","",IFERROR(SUMIFS('Dvd Calendar'!$E$473:$CZ$473,'Dvd Calendar'!$E$472:$CZ$472,"&gt;"&amp;D$258,'Dvd Calendar'!$E$472:$CZ$472,"&lt;="&amp;D$259),"")))</f>
        <v/>
      </c>
      <c r="E287" s="140">
        <f>IF(E$259="","",IF($B287="","",IFERROR(SUMIFS('Dvd Calendar'!$E$473:$CZ$473,'Dvd Calendar'!$E$472:$CZ$472,"&gt;"&amp;E$258,'Dvd Calendar'!$E$472:$CZ$472,"&lt;="&amp;E$259),"")))</f>
        <v/>
      </c>
      <c r="F287" s="140">
        <f>IF(F$259="","",IF($B287="","",IFERROR(SUMIFS('Dvd Calendar'!$E$473:$CZ$473,'Dvd Calendar'!$E$472:$CZ$472,"&gt;"&amp;F$258,'Dvd Calendar'!$E$472:$CZ$472,"&lt;="&amp;F$259),"")))</f>
        <v/>
      </c>
      <c r="G287" s="140">
        <f>IF(G$259="","",IF($B287="","",IFERROR(SUMIFS('Dvd Calendar'!$E$473:$CZ$473,'Dvd Calendar'!$E$472:$CZ$472,"&gt;"&amp;G$258,'Dvd Calendar'!$E$472:$CZ$472,"&lt;="&amp;G$259),"")))</f>
        <v/>
      </c>
      <c r="H287" s="140">
        <f>IF(H$259="","",IF($B287="","",IFERROR(SUMIFS('Dvd Calendar'!$E$473:$CZ$473,'Dvd Calendar'!$E$472:$CZ$472,"&gt;"&amp;H$258,'Dvd Calendar'!$E$472:$CZ$472,"&lt;="&amp;H$259),"")))</f>
        <v/>
      </c>
      <c r="I287" s="140">
        <f>IF(I$259="","",IF($B287="","",IFERROR(SUMIFS('Dvd Calendar'!$E$473:$CZ$473,'Dvd Calendar'!$E$472:$CZ$472,"&gt;"&amp;I$258,'Dvd Calendar'!$E$472:$CZ$472,"&lt;="&amp;I$259),"")))</f>
        <v/>
      </c>
      <c r="J287" s="140">
        <f>IF(J$259="","",IF($B287="","",IFERROR(SUMIFS('Dvd Calendar'!$E$473:$CZ$473,'Dvd Calendar'!$E$472:$CZ$472,"&gt;"&amp;J$258,'Dvd Calendar'!$E$472:$CZ$472,"&lt;="&amp;J$259),"")))</f>
        <v/>
      </c>
      <c r="K287" s="140">
        <f>IF(K$259="","",IF($B287="","",IFERROR(SUMIFS('Dvd Calendar'!$E$473:$CZ$473,'Dvd Calendar'!$E$472:$CZ$472,"&gt;"&amp;K$258,'Dvd Calendar'!$E$472:$CZ$472,"&lt;="&amp;K$259),"")))</f>
        <v/>
      </c>
      <c r="L287" s="140">
        <f>IF(L$259="","",IF($B287="","",IFERROR(SUMIFS('Dvd Calendar'!$E$473:$CZ$473,'Dvd Calendar'!$E$472:$CZ$472,"&gt;"&amp;L$258,'Dvd Calendar'!$E$472:$CZ$472,"&lt;="&amp;L$259),"")))</f>
        <v/>
      </c>
      <c r="M287" s="140">
        <f>IF(M$259="","",IF($B287="","",IFERROR(SUMIFS('Dvd Calendar'!$E$473:$CZ$473,'Dvd Calendar'!$E$472:$CZ$472,"&gt;"&amp;M$258,'Dvd Calendar'!$E$472:$CZ$472,"&lt;="&amp;M$259),"")))</f>
        <v/>
      </c>
      <c r="N287" s="140">
        <f>IF(N$259="","",IF($B287="","",IFERROR(SUMIFS('Dvd Calendar'!$E$473:$CZ$473,'Dvd Calendar'!$E$472:$CZ$472,"&gt;"&amp;N$258,'Dvd Calendar'!$E$472:$CZ$472,"&lt;="&amp;N$259),"")))</f>
        <v/>
      </c>
      <c r="O287" s="140">
        <f>IF(O$259="","",IF($B287="","",IFERROR(SUMIFS('Dvd Calendar'!$E$473:$CZ$473,'Dvd Calendar'!$E$472:$CZ$472,"&gt;"&amp;O$258,'Dvd Calendar'!$E$472:$CZ$472,"&lt;="&amp;O$259),"")))</f>
        <v/>
      </c>
      <c r="P287" s="140">
        <f>IF(P$259="","",IF($B287="","",IFERROR(SUMIFS('Dvd Calendar'!$E$473:$CZ$473,'Dvd Calendar'!$E$472:$CZ$472,"&gt;"&amp;P$258,'Dvd Calendar'!$E$472:$CZ$472,"&lt;="&amp;P$259),"")))</f>
        <v/>
      </c>
      <c r="Q287" s="140">
        <f>IF(Q$259="","",IF($B287="","",IFERROR(SUMIFS('Dvd Calendar'!$E$473:$CZ$473,'Dvd Calendar'!$E$472:$CZ$472,"&gt;"&amp;Q$258,'Dvd Calendar'!$E$472:$CZ$472,"&lt;="&amp;Q$259),"")))</f>
        <v/>
      </c>
      <c r="R287" s="140">
        <f>IF(R$259="","",IF($B287="","",IFERROR(SUMIFS('Dvd Calendar'!$E$473:$CZ$473,'Dvd Calendar'!$E$472:$CZ$472,"&gt;"&amp;R$258,'Dvd Calendar'!$E$472:$CZ$472,"&lt;="&amp;R$259),"")))</f>
        <v/>
      </c>
    </row>
    <row r="288">
      <c r="B288" s="5">
        <f>IF(MXAU!$C$33="","",MXAU!$C$33)</f>
        <v/>
      </c>
      <c r="C288" s="140">
        <f>IF(C$259="","",IF($B288="","",IFERROR(SUMIFS('Dvd Calendar'!$E$475:$CZ$475,'Dvd Calendar'!$E$474:$CZ$474,"&gt;"&amp;C$258,'Dvd Calendar'!$E$474:$CZ$474,"&lt;="&amp;C$259),"")))</f>
        <v/>
      </c>
      <c r="D288" s="140">
        <f>IF(D$259="","",IF($B288="","",IFERROR(SUMIFS('Dvd Calendar'!$E$475:$CZ$475,'Dvd Calendar'!$E$474:$CZ$474,"&gt;"&amp;D$258,'Dvd Calendar'!$E$474:$CZ$474,"&lt;="&amp;D$259),"")))</f>
        <v/>
      </c>
      <c r="E288" s="140">
        <f>IF(E$259="","",IF($B288="","",IFERROR(SUMIFS('Dvd Calendar'!$E$475:$CZ$475,'Dvd Calendar'!$E$474:$CZ$474,"&gt;"&amp;E$258,'Dvd Calendar'!$E$474:$CZ$474,"&lt;="&amp;E$259),"")))</f>
        <v/>
      </c>
      <c r="F288" s="140">
        <f>IF(F$259="","",IF($B288="","",IFERROR(SUMIFS('Dvd Calendar'!$E$475:$CZ$475,'Dvd Calendar'!$E$474:$CZ$474,"&gt;"&amp;F$258,'Dvd Calendar'!$E$474:$CZ$474,"&lt;="&amp;F$259),"")))</f>
        <v/>
      </c>
      <c r="G288" s="140">
        <f>IF(G$259="","",IF($B288="","",IFERROR(SUMIFS('Dvd Calendar'!$E$475:$CZ$475,'Dvd Calendar'!$E$474:$CZ$474,"&gt;"&amp;G$258,'Dvd Calendar'!$E$474:$CZ$474,"&lt;="&amp;G$259),"")))</f>
        <v/>
      </c>
      <c r="H288" s="140">
        <f>IF(H$259="","",IF($B288="","",IFERROR(SUMIFS('Dvd Calendar'!$E$475:$CZ$475,'Dvd Calendar'!$E$474:$CZ$474,"&gt;"&amp;H$258,'Dvd Calendar'!$E$474:$CZ$474,"&lt;="&amp;H$259),"")))</f>
        <v/>
      </c>
      <c r="I288" s="140">
        <f>IF(I$259="","",IF($B288="","",IFERROR(SUMIFS('Dvd Calendar'!$E$475:$CZ$475,'Dvd Calendar'!$E$474:$CZ$474,"&gt;"&amp;I$258,'Dvd Calendar'!$E$474:$CZ$474,"&lt;="&amp;I$259),"")))</f>
        <v/>
      </c>
      <c r="J288" s="140">
        <f>IF(J$259="","",IF($B288="","",IFERROR(SUMIFS('Dvd Calendar'!$E$475:$CZ$475,'Dvd Calendar'!$E$474:$CZ$474,"&gt;"&amp;J$258,'Dvd Calendar'!$E$474:$CZ$474,"&lt;="&amp;J$259),"")))</f>
        <v/>
      </c>
      <c r="K288" s="140">
        <f>IF(K$259="","",IF($B288="","",IFERROR(SUMIFS('Dvd Calendar'!$E$475:$CZ$475,'Dvd Calendar'!$E$474:$CZ$474,"&gt;"&amp;K$258,'Dvd Calendar'!$E$474:$CZ$474,"&lt;="&amp;K$259),"")))</f>
        <v/>
      </c>
      <c r="L288" s="140">
        <f>IF(L$259="","",IF($B288="","",IFERROR(SUMIFS('Dvd Calendar'!$E$475:$CZ$475,'Dvd Calendar'!$E$474:$CZ$474,"&gt;"&amp;L$258,'Dvd Calendar'!$E$474:$CZ$474,"&lt;="&amp;L$259),"")))</f>
        <v/>
      </c>
      <c r="M288" s="140">
        <f>IF(M$259="","",IF($B288="","",IFERROR(SUMIFS('Dvd Calendar'!$E$475:$CZ$475,'Dvd Calendar'!$E$474:$CZ$474,"&gt;"&amp;M$258,'Dvd Calendar'!$E$474:$CZ$474,"&lt;="&amp;M$259),"")))</f>
        <v/>
      </c>
      <c r="N288" s="140">
        <f>IF(N$259="","",IF($B288="","",IFERROR(SUMIFS('Dvd Calendar'!$E$475:$CZ$475,'Dvd Calendar'!$E$474:$CZ$474,"&gt;"&amp;N$258,'Dvd Calendar'!$E$474:$CZ$474,"&lt;="&amp;N$259),"")))</f>
        <v/>
      </c>
      <c r="O288" s="140">
        <f>IF(O$259="","",IF($B288="","",IFERROR(SUMIFS('Dvd Calendar'!$E$475:$CZ$475,'Dvd Calendar'!$E$474:$CZ$474,"&gt;"&amp;O$258,'Dvd Calendar'!$E$474:$CZ$474,"&lt;="&amp;O$259),"")))</f>
        <v/>
      </c>
      <c r="P288" s="140">
        <f>IF(P$259="","",IF($B288="","",IFERROR(SUMIFS('Dvd Calendar'!$E$475:$CZ$475,'Dvd Calendar'!$E$474:$CZ$474,"&gt;"&amp;P$258,'Dvd Calendar'!$E$474:$CZ$474,"&lt;="&amp;P$259),"")))</f>
        <v/>
      </c>
      <c r="Q288" s="140">
        <f>IF(Q$259="","",IF($B288="","",IFERROR(SUMIFS('Dvd Calendar'!$E$475:$CZ$475,'Dvd Calendar'!$E$474:$CZ$474,"&gt;"&amp;Q$258,'Dvd Calendar'!$E$474:$CZ$474,"&lt;="&amp;Q$259),"")))</f>
        <v/>
      </c>
      <c r="R288" s="140">
        <f>IF(R$259="","",IF($B288="","",IFERROR(SUMIFS('Dvd Calendar'!$E$475:$CZ$475,'Dvd Calendar'!$E$474:$CZ$474,"&gt;"&amp;R$258,'Dvd Calendar'!$E$474:$CZ$474,"&lt;="&amp;R$259),"")))</f>
        <v/>
      </c>
    </row>
    <row r="289">
      <c r="B289" s="5">
        <f>IF(MXAU!$C$34="","",MXAU!$C$34)</f>
        <v/>
      </c>
      <c r="C289" s="140">
        <f>IF(C$259="","",IF($B289="","",IFERROR(SUMIFS('Dvd Calendar'!$E$477:$CZ$477,'Dvd Calendar'!$E$476:$CZ$476,"&gt;"&amp;C$258,'Dvd Calendar'!$E$476:$CZ$476,"&lt;="&amp;C$259),"")))</f>
        <v/>
      </c>
      <c r="D289" s="140">
        <f>IF(D$259="","",IF($B289="","",IFERROR(SUMIFS('Dvd Calendar'!$E$477:$CZ$477,'Dvd Calendar'!$E$476:$CZ$476,"&gt;"&amp;D$258,'Dvd Calendar'!$E$476:$CZ$476,"&lt;="&amp;D$259),"")))</f>
        <v/>
      </c>
      <c r="E289" s="140">
        <f>IF(E$259="","",IF($B289="","",IFERROR(SUMIFS('Dvd Calendar'!$E$477:$CZ$477,'Dvd Calendar'!$E$476:$CZ$476,"&gt;"&amp;E$258,'Dvd Calendar'!$E$476:$CZ$476,"&lt;="&amp;E$259),"")))</f>
        <v/>
      </c>
      <c r="F289" s="140">
        <f>IF(F$259="","",IF($B289="","",IFERROR(SUMIFS('Dvd Calendar'!$E$477:$CZ$477,'Dvd Calendar'!$E$476:$CZ$476,"&gt;"&amp;F$258,'Dvd Calendar'!$E$476:$CZ$476,"&lt;="&amp;F$259),"")))</f>
        <v/>
      </c>
      <c r="G289" s="140">
        <f>IF(G$259="","",IF($B289="","",IFERROR(SUMIFS('Dvd Calendar'!$E$477:$CZ$477,'Dvd Calendar'!$E$476:$CZ$476,"&gt;"&amp;G$258,'Dvd Calendar'!$E$476:$CZ$476,"&lt;="&amp;G$259),"")))</f>
        <v/>
      </c>
      <c r="H289" s="140">
        <f>IF(H$259="","",IF($B289="","",IFERROR(SUMIFS('Dvd Calendar'!$E$477:$CZ$477,'Dvd Calendar'!$E$476:$CZ$476,"&gt;"&amp;H$258,'Dvd Calendar'!$E$476:$CZ$476,"&lt;="&amp;H$259),"")))</f>
        <v/>
      </c>
      <c r="I289" s="140">
        <f>IF(I$259="","",IF($B289="","",IFERROR(SUMIFS('Dvd Calendar'!$E$477:$CZ$477,'Dvd Calendar'!$E$476:$CZ$476,"&gt;"&amp;I$258,'Dvd Calendar'!$E$476:$CZ$476,"&lt;="&amp;I$259),"")))</f>
        <v/>
      </c>
      <c r="J289" s="140">
        <f>IF(J$259="","",IF($B289="","",IFERROR(SUMIFS('Dvd Calendar'!$E$477:$CZ$477,'Dvd Calendar'!$E$476:$CZ$476,"&gt;"&amp;J$258,'Dvd Calendar'!$E$476:$CZ$476,"&lt;="&amp;J$259),"")))</f>
        <v/>
      </c>
      <c r="K289" s="140">
        <f>IF(K$259="","",IF($B289="","",IFERROR(SUMIFS('Dvd Calendar'!$E$477:$CZ$477,'Dvd Calendar'!$E$476:$CZ$476,"&gt;"&amp;K$258,'Dvd Calendar'!$E$476:$CZ$476,"&lt;="&amp;K$259),"")))</f>
        <v/>
      </c>
      <c r="L289" s="140">
        <f>IF(L$259="","",IF($B289="","",IFERROR(SUMIFS('Dvd Calendar'!$E$477:$CZ$477,'Dvd Calendar'!$E$476:$CZ$476,"&gt;"&amp;L$258,'Dvd Calendar'!$E$476:$CZ$476,"&lt;="&amp;L$259),"")))</f>
        <v/>
      </c>
      <c r="M289" s="140">
        <f>IF(M$259="","",IF($B289="","",IFERROR(SUMIFS('Dvd Calendar'!$E$477:$CZ$477,'Dvd Calendar'!$E$476:$CZ$476,"&gt;"&amp;M$258,'Dvd Calendar'!$E$476:$CZ$476,"&lt;="&amp;M$259),"")))</f>
        <v/>
      </c>
      <c r="N289" s="140">
        <f>IF(N$259="","",IF($B289="","",IFERROR(SUMIFS('Dvd Calendar'!$E$477:$CZ$477,'Dvd Calendar'!$E$476:$CZ$476,"&gt;"&amp;N$258,'Dvd Calendar'!$E$476:$CZ$476,"&lt;="&amp;N$259),"")))</f>
        <v/>
      </c>
      <c r="O289" s="140">
        <f>IF(O$259="","",IF($B289="","",IFERROR(SUMIFS('Dvd Calendar'!$E$477:$CZ$477,'Dvd Calendar'!$E$476:$CZ$476,"&gt;"&amp;O$258,'Dvd Calendar'!$E$476:$CZ$476,"&lt;="&amp;O$259),"")))</f>
        <v/>
      </c>
      <c r="P289" s="140">
        <f>IF(P$259="","",IF($B289="","",IFERROR(SUMIFS('Dvd Calendar'!$E$477:$CZ$477,'Dvd Calendar'!$E$476:$CZ$476,"&gt;"&amp;P$258,'Dvd Calendar'!$E$476:$CZ$476,"&lt;="&amp;P$259),"")))</f>
        <v/>
      </c>
      <c r="Q289" s="140">
        <f>IF(Q$259="","",IF($B289="","",IFERROR(SUMIFS('Dvd Calendar'!$E$477:$CZ$477,'Dvd Calendar'!$E$476:$CZ$476,"&gt;"&amp;Q$258,'Dvd Calendar'!$E$476:$CZ$476,"&lt;="&amp;Q$259),"")))</f>
        <v/>
      </c>
      <c r="R289" s="140">
        <f>IF(R$259="","",IF($B289="","",IFERROR(SUMIFS('Dvd Calendar'!$E$477:$CZ$477,'Dvd Calendar'!$E$476:$CZ$476,"&gt;"&amp;R$258,'Dvd Calendar'!$E$476:$CZ$476,"&lt;="&amp;R$259),"")))</f>
        <v/>
      </c>
    </row>
    <row r="290">
      <c r="B290" s="5">
        <f>IF(MXAU!$C$35="","",MXAU!$C$35)</f>
        <v/>
      </c>
      <c r="C290" s="140">
        <f>IF(C$259="","",IF($B290="","",IFERROR(SUMIFS('Dvd Calendar'!$E$479:$CZ$479,'Dvd Calendar'!$E$478:$CZ$478,"&gt;"&amp;C$258,'Dvd Calendar'!$E$478:$CZ$478,"&lt;="&amp;C$259),"")))</f>
        <v/>
      </c>
      <c r="D290" s="140">
        <f>IF(D$259="","",IF($B290="","",IFERROR(SUMIFS('Dvd Calendar'!$E$479:$CZ$479,'Dvd Calendar'!$E$478:$CZ$478,"&gt;"&amp;D$258,'Dvd Calendar'!$E$478:$CZ$478,"&lt;="&amp;D$259),"")))</f>
        <v/>
      </c>
      <c r="E290" s="140">
        <f>IF(E$259="","",IF($B290="","",IFERROR(SUMIFS('Dvd Calendar'!$E$479:$CZ$479,'Dvd Calendar'!$E$478:$CZ$478,"&gt;"&amp;E$258,'Dvd Calendar'!$E$478:$CZ$478,"&lt;="&amp;E$259),"")))</f>
        <v/>
      </c>
      <c r="F290" s="140">
        <f>IF(F$259="","",IF($B290="","",IFERROR(SUMIFS('Dvd Calendar'!$E$479:$CZ$479,'Dvd Calendar'!$E$478:$CZ$478,"&gt;"&amp;F$258,'Dvd Calendar'!$E$478:$CZ$478,"&lt;="&amp;F$259),"")))</f>
        <v/>
      </c>
      <c r="G290" s="140">
        <f>IF(G$259="","",IF($B290="","",IFERROR(SUMIFS('Dvd Calendar'!$E$479:$CZ$479,'Dvd Calendar'!$E$478:$CZ$478,"&gt;"&amp;G$258,'Dvd Calendar'!$E$478:$CZ$478,"&lt;="&amp;G$259),"")))</f>
        <v/>
      </c>
      <c r="H290" s="140">
        <f>IF(H$259="","",IF($B290="","",IFERROR(SUMIFS('Dvd Calendar'!$E$479:$CZ$479,'Dvd Calendar'!$E$478:$CZ$478,"&gt;"&amp;H$258,'Dvd Calendar'!$E$478:$CZ$478,"&lt;="&amp;H$259),"")))</f>
        <v/>
      </c>
      <c r="I290" s="140">
        <f>IF(I$259="","",IF($B290="","",IFERROR(SUMIFS('Dvd Calendar'!$E$479:$CZ$479,'Dvd Calendar'!$E$478:$CZ$478,"&gt;"&amp;I$258,'Dvd Calendar'!$E$478:$CZ$478,"&lt;="&amp;I$259),"")))</f>
        <v/>
      </c>
      <c r="J290" s="140">
        <f>IF(J$259="","",IF($B290="","",IFERROR(SUMIFS('Dvd Calendar'!$E$479:$CZ$479,'Dvd Calendar'!$E$478:$CZ$478,"&gt;"&amp;J$258,'Dvd Calendar'!$E$478:$CZ$478,"&lt;="&amp;J$259),"")))</f>
        <v/>
      </c>
      <c r="K290" s="140">
        <f>IF(K$259="","",IF($B290="","",IFERROR(SUMIFS('Dvd Calendar'!$E$479:$CZ$479,'Dvd Calendar'!$E$478:$CZ$478,"&gt;"&amp;K$258,'Dvd Calendar'!$E$478:$CZ$478,"&lt;="&amp;K$259),"")))</f>
        <v/>
      </c>
      <c r="L290" s="140">
        <f>IF(L$259="","",IF($B290="","",IFERROR(SUMIFS('Dvd Calendar'!$E$479:$CZ$479,'Dvd Calendar'!$E$478:$CZ$478,"&gt;"&amp;L$258,'Dvd Calendar'!$E$478:$CZ$478,"&lt;="&amp;L$259),"")))</f>
        <v/>
      </c>
      <c r="M290" s="140">
        <f>IF(M$259="","",IF($B290="","",IFERROR(SUMIFS('Dvd Calendar'!$E$479:$CZ$479,'Dvd Calendar'!$E$478:$CZ$478,"&gt;"&amp;M$258,'Dvd Calendar'!$E$478:$CZ$478,"&lt;="&amp;M$259),"")))</f>
        <v/>
      </c>
      <c r="N290" s="140">
        <f>IF(N$259="","",IF($B290="","",IFERROR(SUMIFS('Dvd Calendar'!$E$479:$CZ$479,'Dvd Calendar'!$E$478:$CZ$478,"&gt;"&amp;N$258,'Dvd Calendar'!$E$478:$CZ$478,"&lt;="&amp;N$259),"")))</f>
        <v/>
      </c>
      <c r="O290" s="140">
        <f>IF(O$259="","",IF($B290="","",IFERROR(SUMIFS('Dvd Calendar'!$E$479:$CZ$479,'Dvd Calendar'!$E$478:$CZ$478,"&gt;"&amp;O$258,'Dvd Calendar'!$E$478:$CZ$478,"&lt;="&amp;O$259),"")))</f>
        <v/>
      </c>
      <c r="P290" s="140">
        <f>IF(P$259="","",IF($B290="","",IFERROR(SUMIFS('Dvd Calendar'!$E$479:$CZ$479,'Dvd Calendar'!$E$478:$CZ$478,"&gt;"&amp;P$258,'Dvd Calendar'!$E$478:$CZ$478,"&lt;="&amp;P$259),"")))</f>
        <v/>
      </c>
      <c r="Q290" s="140">
        <f>IF(Q$259="","",IF($B290="","",IFERROR(SUMIFS('Dvd Calendar'!$E$479:$CZ$479,'Dvd Calendar'!$E$478:$CZ$478,"&gt;"&amp;Q$258,'Dvd Calendar'!$E$478:$CZ$478,"&lt;="&amp;Q$259),"")))</f>
        <v/>
      </c>
      <c r="R290" s="140">
        <f>IF(R$259="","",IF($B290="","",IFERROR(SUMIFS('Dvd Calendar'!$E$479:$CZ$479,'Dvd Calendar'!$E$478:$CZ$478,"&gt;"&amp;R$258,'Dvd Calendar'!$E$478:$CZ$478,"&lt;="&amp;R$259),"")))</f>
        <v/>
      </c>
    </row>
    <row r="291">
      <c r="B291" s="5">
        <f>IF(MXAU!$C$36="","",MXAU!$C$36)</f>
        <v/>
      </c>
      <c r="C291" s="140">
        <f>IF(C$259="","",IF($B291="","",IFERROR(SUMIFS('Dvd Calendar'!$E$481:$CZ$481,'Dvd Calendar'!$E$480:$CZ$480,"&gt;"&amp;C$258,'Dvd Calendar'!$E$480:$CZ$480,"&lt;="&amp;C$259),"")))</f>
        <v/>
      </c>
      <c r="D291" s="140">
        <f>IF(D$259="","",IF($B291="","",IFERROR(SUMIFS('Dvd Calendar'!$E$481:$CZ$481,'Dvd Calendar'!$E$480:$CZ$480,"&gt;"&amp;D$258,'Dvd Calendar'!$E$480:$CZ$480,"&lt;="&amp;D$259),"")))</f>
        <v/>
      </c>
      <c r="E291" s="140">
        <f>IF(E$259="","",IF($B291="","",IFERROR(SUMIFS('Dvd Calendar'!$E$481:$CZ$481,'Dvd Calendar'!$E$480:$CZ$480,"&gt;"&amp;E$258,'Dvd Calendar'!$E$480:$CZ$480,"&lt;="&amp;E$259),"")))</f>
        <v/>
      </c>
      <c r="F291" s="140">
        <f>IF(F$259="","",IF($B291="","",IFERROR(SUMIFS('Dvd Calendar'!$E$481:$CZ$481,'Dvd Calendar'!$E$480:$CZ$480,"&gt;"&amp;F$258,'Dvd Calendar'!$E$480:$CZ$480,"&lt;="&amp;F$259),"")))</f>
        <v/>
      </c>
      <c r="G291" s="140">
        <f>IF(G$259="","",IF($B291="","",IFERROR(SUMIFS('Dvd Calendar'!$E$481:$CZ$481,'Dvd Calendar'!$E$480:$CZ$480,"&gt;"&amp;G$258,'Dvd Calendar'!$E$480:$CZ$480,"&lt;="&amp;G$259),"")))</f>
        <v/>
      </c>
      <c r="H291" s="140">
        <f>IF(H$259="","",IF($B291="","",IFERROR(SUMIFS('Dvd Calendar'!$E$481:$CZ$481,'Dvd Calendar'!$E$480:$CZ$480,"&gt;"&amp;H$258,'Dvd Calendar'!$E$480:$CZ$480,"&lt;="&amp;H$259),"")))</f>
        <v/>
      </c>
      <c r="I291" s="140">
        <f>IF(I$259="","",IF($B291="","",IFERROR(SUMIFS('Dvd Calendar'!$E$481:$CZ$481,'Dvd Calendar'!$E$480:$CZ$480,"&gt;"&amp;I$258,'Dvd Calendar'!$E$480:$CZ$480,"&lt;="&amp;I$259),"")))</f>
        <v/>
      </c>
      <c r="J291" s="140">
        <f>IF(J$259="","",IF($B291="","",IFERROR(SUMIFS('Dvd Calendar'!$E$481:$CZ$481,'Dvd Calendar'!$E$480:$CZ$480,"&gt;"&amp;J$258,'Dvd Calendar'!$E$480:$CZ$480,"&lt;="&amp;J$259),"")))</f>
        <v/>
      </c>
      <c r="K291" s="140">
        <f>IF(K$259="","",IF($B291="","",IFERROR(SUMIFS('Dvd Calendar'!$E$481:$CZ$481,'Dvd Calendar'!$E$480:$CZ$480,"&gt;"&amp;K$258,'Dvd Calendar'!$E$480:$CZ$480,"&lt;="&amp;K$259),"")))</f>
        <v/>
      </c>
      <c r="L291" s="140">
        <f>IF(L$259="","",IF($B291="","",IFERROR(SUMIFS('Dvd Calendar'!$E$481:$CZ$481,'Dvd Calendar'!$E$480:$CZ$480,"&gt;"&amp;L$258,'Dvd Calendar'!$E$480:$CZ$480,"&lt;="&amp;L$259),"")))</f>
        <v/>
      </c>
      <c r="M291" s="140">
        <f>IF(M$259="","",IF($B291="","",IFERROR(SUMIFS('Dvd Calendar'!$E$481:$CZ$481,'Dvd Calendar'!$E$480:$CZ$480,"&gt;"&amp;M$258,'Dvd Calendar'!$E$480:$CZ$480,"&lt;="&amp;M$259),"")))</f>
        <v/>
      </c>
      <c r="N291" s="140">
        <f>IF(N$259="","",IF($B291="","",IFERROR(SUMIFS('Dvd Calendar'!$E$481:$CZ$481,'Dvd Calendar'!$E$480:$CZ$480,"&gt;"&amp;N$258,'Dvd Calendar'!$E$480:$CZ$480,"&lt;="&amp;N$259),"")))</f>
        <v/>
      </c>
      <c r="O291" s="140">
        <f>IF(O$259="","",IF($B291="","",IFERROR(SUMIFS('Dvd Calendar'!$E$481:$CZ$481,'Dvd Calendar'!$E$480:$CZ$480,"&gt;"&amp;O$258,'Dvd Calendar'!$E$480:$CZ$480,"&lt;="&amp;O$259),"")))</f>
        <v/>
      </c>
      <c r="P291" s="140">
        <f>IF(P$259="","",IF($B291="","",IFERROR(SUMIFS('Dvd Calendar'!$E$481:$CZ$481,'Dvd Calendar'!$E$480:$CZ$480,"&gt;"&amp;P$258,'Dvd Calendar'!$E$480:$CZ$480,"&lt;="&amp;P$259),"")))</f>
        <v/>
      </c>
      <c r="Q291" s="140">
        <f>IF(Q$259="","",IF($B291="","",IFERROR(SUMIFS('Dvd Calendar'!$E$481:$CZ$481,'Dvd Calendar'!$E$480:$CZ$480,"&gt;"&amp;Q$258,'Dvd Calendar'!$E$480:$CZ$480,"&lt;="&amp;Q$259),"")))</f>
        <v/>
      </c>
      <c r="R291" s="140">
        <f>IF(R$259="","",IF($B291="","",IFERROR(SUMIFS('Dvd Calendar'!$E$481:$CZ$481,'Dvd Calendar'!$E$480:$CZ$480,"&gt;"&amp;R$258,'Dvd Calendar'!$E$480:$CZ$480,"&lt;="&amp;R$259),"")))</f>
        <v/>
      </c>
    </row>
    <row r="292">
      <c r="B292" s="5">
        <f>IF(MXAU!$C$37="","",MXAU!$C$37)</f>
        <v/>
      </c>
      <c r="C292" s="140">
        <f>IF(C$259="","",IF($B292="","",IFERROR(SUMIFS('Dvd Calendar'!$E$483:$CZ$483,'Dvd Calendar'!$E$482:$CZ$482,"&gt;"&amp;C$258,'Dvd Calendar'!$E$482:$CZ$482,"&lt;="&amp;C$259),"")))</f>
        <v/>
      </c>
      <c r="D292" s="140">
        <f>IF(D$259="","",IF($B292="","",IFERROR(SUMIFS('Dvd Calendar'!$E$483:$CZ$483,'Dvd Calendar'!$E$482:$CZ$482,"&gt;"&amp;D$258,'Dvd Calendar'!$E$482:$CZ$482,"&lt;="&amp;D$259),"")))</f>
        <v/>
      </c>
      <c r="E292" s="140">
        <f>IF(E$259="","",IF($B292="","",IFERROR(SUMIFS('Dvd Calendar'!$E$483:$CZ$483,'Dvd Calendar'!$E$482:$CZ$482,"&gt;"&amp;E$258,'Dvd Calendar'!$E$482:$CZ$482,"&lt;="&amp;E$259),"")))</f>
        <v/>
      </c>
      <c r="F292" s="140">
        <f>IF(F$259="","",IF($B292="","",IFERROR(SUMIFS('Dvd Calendar'!$E$483:$CZ$483,'Dvd Calendar'!$E$482:$CZ$482,"&gt;"&amp;F$258,'Dvd Calendar'!$E$482:$CZ$482,"&lt;="&amp;F$259),"")))</f>
        <v/>
      </c>
      <c r="G292" s="140">
        <f>IF(G$259="","",IF($B292="","",IFERROR(SUMIFS('Dvd Calendar'!$E$483:$CZ$483,'Dvd Calendar'!$E$482:$CZ$482,"&gt;"&amp;G$258,'Dvd Calendar'!$E$482:$CZ$482,"&lt;="&amp;G$259),"")))</f>
        <v/>
      </c>
      <c r="H292" s="140">
        <f>IF(H$259="","",IF($B292="","",IFERROR(SUMIFS('Dvd Calendar'!$E$483:$CZ$483,'Dvd Calendar'!$E$482:$CZ$482,"&gt;"&amp;H$258,'Dvd Calendar'!$E$482:$CZ$482,"&lt;="&amp;H$259),"")))</f>
        <v/>
      </c>
      <c r="I292" s="140">
        <f>IF(I$259="","",IF($B292="","",IFERROR(SUMIFS('Dvd Calendar'!$E$483:$CZ$483,'Dvd Calendar'!$E$482:$CZ$482,"&gt;"&amp;I$258,'Dvd Calendar'!$E$482:$CZ$482,"&lt;="&amp;I$259),"")))</f>
        <v/>
      </c>
      <c r="J292" s="140">
        <f>IF(J$259="","",IF($B292="","",IFERROR(SUMIFS('Dvd Calendar'!$E$483:$CZ$483,'Dvd Calendar'!$E$482:$CZ$482,"&gt;"&amp;J$258,'Dvd Calendar'!$E$482:$CZ$482,"&lt;="&amp;J$259),"")))</f>
        <v/>
      </c>
      <c r="K292" s="140">
        <f>IF(K$259="","",IF($B292="","",IFERROR(SUMIFS('Dvd Calendar'!$E$483:$CZ$483,'Dvd Calendar'!$E$482:$CZ$482,"&gt;"&amp;K$258,'Dvd Calendar'!$E$482:$CZ$482,"&lt;="&amp;K$259),"")))</f>
        <v/>
      </c>
      <c r="L292" s="140">
        <f>IF(L$259="","",IF($B292="","",IFERROR(SUMIFS('Dvd Calendar'!$E$483:$CZ$483,'Dvd Calendar'!$E$482:$CZ$482,"&gt;"&amp;L$258,'Dvd Calendar'!$E$482:$CZ$482,"&lt;="&amp;L$259),"")))</f>
        <v/>
      </c>
      <c r="M292" s="140">
        <f>IF(M$259="","",IF($B292="","",IFERROR(SUMIFS('Dvd Calendar'!$E$483:$CZ$483,'Dvd Calendar'!$E$482:$CZ$482,"&gt;"&amp;M$258,'Dvd Calendar'!$E$482:$CZ$482,"&lt;="&amp;M$259),"")))</f>
        <v/>
      </c>
      <c r="N292" s="140">
        <f>IF(N$259="","",IF($B292="","",IFERROR(SUMIFS('Dvd Calendar'!$E$483:$CZ$483,'Dvd Calendar'!$E$482:$CZ$482,"&gt;"&amp;N$258,'Dvd Calendar'!$E$482:$CZ$482,"&lt;="&amp;N$259),"")))</f>
        <v/>
      </c>
      <c r="O292" s="140">
        <f>IF(O$259="","",IF($B292="","",IFERROR(SUMIFS('Dvd Calendar'!$E$483:$CZ$483,'Dvd Calendar'!$E$482:$CZ$482,"&gt;"&amp;O$258,'Dvd Calendar'!$E$482:$CZ$482,"&lt;="&amp;O$259),"")))</f>
        <v/>
      </c>
      <c r="P292" s="140">
        <f>IF(P$259="","",IF($B292="","",IFERROR(SUMIFS('Dvd Calendar'!$E$483:$CZ$483,'Dvd Calendar'!$E$482:$CZ$482,"&gt;"&amp;P$258,'Dvd Calendar'!$E$482:$CZ$482,"&lt;="&amp;P$259),"")))</f>
        <v/>
      </c>
      <c r="Q292" s="140">
        <f>IF(Q$259="","",IF($B292="","",IFERROR(SUMIFS('Dvd Calendar'!$E$483:$CZ$483,'Dvd Calendar'!$E$482:$CZ$482,"&gt;"&amp;Q$258,'Dvd Calendar'!$E$482:$CZ$482,"&lt;="&amp;Q$259),"")))</f>
        <v/>
      </c>
      <c r="R292" s="140">
        <f>IF(R$259="","",IF($B292="","",IFERROR(SUMIFS('Dvd Calendar'!$E$483:$CZ$483,'Dvd Calendar'!$E$482:$CZ$482,"&gt;"&amp;R$258,'Dvd Calendar'!$E$482:$CZ$482,"&lt;="&amp;R$259),"")))</f>
        <v/>
      </c>
    </row>
    <row r="293">
      <c r="B293" s="5">
        <f>IF(MXAU!$C$38="","",MXAU!$C$38)</f>
        <v/>
      </c>
      <c r="C293" s="140">
        <f>IF(C$259="","",IF($B293="","",IFERROR(SUMIFS('Dvd Calendar'!$E$485:$CZ$485,'Dvd Calendar'!$E$484:$CZ$484,"&gt;"&amp;C$258,'Dvd Calendar'!$E$484:$CZ$484,"&lt;="&amp;C$259),"")))</f>
        <v/>
      </c>
      <c r="D293" s="140">
        <f>IF(D$259="","",IF($B293="","",IFERROR(SUMIFS('Dvd Calendar'!$E$485:$CZ$485,'Dvd Calendar'!$E$484:$CZ$484,"&gt;"&amp;D$258,'Dvd Calendar'!$E$484:$CZ$484,"&lt;="&amp;D$259),"")))</f>
        <v/>
      </c>
      <c r="E293" s="140">
        <f>IF(E$259="","",IF($B293="","",IFERROR(SUMIFS('Dvd Calendar'!$E$485:$CZ$485,'Dvd Calendar'!$E$484:$CZ$484,"&gt;"&amp;E$258,'Dvd Calendar'!$E$484:$CZ$484,"&lt;="&amp;E$259),"")))</f>
        <v/>
      </c>
      <c r="F293" s="140">
        <f>IF(F$259="","",IF($B293="","",IFERROR(SUMIFS('Dvd Calendar'!$E$485:$CZ$485,'Dvd Calendar'!$E$484:$CZ$484,"&gt;"&amp;F$258,'Dvd Calendar'!$E$484:$CZ$484,"&lt;="&amp;F$259),"")))</f>
        <v/>
      </c>
      <c r="G293" s="140">
        <f>IF(G$259="","",IF($B293="","",IFERROR(SUMIFS('Dvd Calendar'!$E$485:$CZ$485,'Dvd Calendar'!$E$484:$CZ$484,"&gt;"&amp;G$258,'Dvd Calendar'!$E$484:$CZ$484,"&lt;="&amp;G$259),"")))</f>
        <v/>
      </c>
      <c r="H293" s="140">
        <f>IF(H$259="","",IF($B293="","",IFERROR(SUMIFS('Dvd Calendar'!$E$485:$CZ$485,'Dvd Calendar'!$E$484:$CZ$484,"&gt;"&amp;H$258,'Dvd Calendar'!$E$484:$CZ$484,"&lt;="&amp;H$259),"")))</f>
        <v/>
      </c>
      <c r="I293" s="140">
        <f>IF(I$259="","",IF($B293="","",IFERROR(SUMIFS('Dvd Calendar'!$E$485:$CZ$485,'Dvd Calendar'!$E$484:$CZ$484,"&gt;"&amp;I$258,'Dvd Calendar'!$E$484:$CZ$484,"&lt;="&amp;I$259),"")))</f>
        <v/>
      </c>
      <c r="J293" s="140">
        <f>IF(J$259="","",IF($B293="","",IFERROR(SUMIFS('Dvd Calendar'!$E$485:$CZ$485,'Dvd Calendar'!$E$484:$CZ$484,"&gt;"&amp;J$258,'Dvd Calendar'!$E$484:$CZ$484,"&lt;="&amp;J$259),"")))</f>
        <v/>
      </c>
      <c r="K293" s="140">
        <f>IF(K$259="","",IF($B293="","",IFERROR(SUMIFS('Dvd Calendar'!$E$485:$CZ$485,'Dvd Calendar'!$E$484:$CZ$484,"&gt;"&amp;K$258,'Dvd Calendar'!$E$484:$CZ$484,"&lt;="&amp;K$259),"")))</f>
        <v/>
      </c>
      <c r="L293" s="140">
        <f>IF(L$259="","",IF($B293="","",IFERROR(SUMIFS('Dvd Calendar'!$E$485:$CZ$485,'Dvd Calendar'!$E$484:$CZ$484,"&gt;"&amp;L$258,'Dvd Calendar'!$E$484:$CZ$484,"&lt;="&amp;L$259),"")))</f>
        <v/>
      </c>
      <c r="M293" s="140">
        <f>IF(M$259="","",IF($B293="","",IFERROR(SUMIFS('Dvd Calendar'!$E$485:$CZ$485,'Dvd Calendar'!$E$484:$CZ$484,"&gt;"&amp;M$258,'Dvd Calendar'!$E$484:$CZ$484,"&lt;="&amp;M$259),"")))</f>
        <v/>
      </c>
      <c r="N293" s="140">
        <f>IF(N$259="","",IF($B293="","",IFERROR(SUMIFS('Dvd Calendar'!$E$485:$CZ$485,'Dvd Calendar'!$E$484:$CZ$484,"&gt;"&amp;N$258,'Dvd Calendar'!$E$484:$CZ$484,"&lt;="&amp;N$259),"")))</f>
        <v/>
      </c>
      <c r="O293" s="140">
        <f>IF(O$259="","",IF($B293="","",IFERROR(SUMIFS('Dvd Calendar'!$E$485:$CZ$485,'Dvd Calendar'!$E$484:$CZ$484,"&gt;"&amp;O$258,'Dvd Calendar'!$E$484:$CZ$484,"&lt;="&amp;O$259),"")))</f>
        <v/>
      </c>
      <c r="P293" s="140">
        <f>IF(P$259="","",IF($B293="","",IFERROR(SUMIFS('Dvd Calendar'!$E$485:$CZ$485,'Dvd Calendar'!$E$484:$CZ$484,"&gt;"&amp;P$258,'Dvd Calendar'!$E$484:$CZ$484,"&lt;="&amp;P$259),"")))</f>
        <v/>
      </c>
      <c r="Q293" s="140">
        <f>IF(Q$259="","",IF($B293="","",IFERROR(SUMIFS('Dvd Calendar'!$E$485:$CZ$485,'Dvd Calendar'!$E$484:$CZ$484,"&gt;"&amp;Q$258,'Dvd Calendar'!$E$484:$CZ$484,"&lt;="&amp;Q$259),"")))</f>
        <v/>
      </c>
      <c r="R293" s="140">
        <f>IF(R$259="","",IF($B293="","",IFERROR(SUMIFS('Dvd Calendar'!$E$485:$CZ$485,'Dvd Calendar'!$E$484:$CZ$484,"&gt;"&amp;R$258,'Dvd Calendar'!$E$484:$CZ$484,"&lt;="&amp;R$259),"")))</f>
        <v/>
      </c>
    </row>
    <row r="294">
      <c r="B294" s="5">
        <f>IF(MXAU!$C$39="","",MXAU!$C$39)</f>
        <v/>
      </c>
      <c r="C294" s="140">
        <f>IF(C$259="","",IF($B294="","",IFERROR(SUMIFS('Dvd Calendar'!$E$487:$CZ$487,'Dvd Calendar'!$E$486:$CZ$486,"&gt;"&amp;C$258,'Dvd Calendar'!$E$486:$CZ$486,"&lt;="&amp;C$259),"")))</f>
        <v/>
      </c>
      <c r="D294" s="140">
        <f>IF(D$259="","",IF($B294="","",IFERROR(SUMIFS('Dvd Calendar'!$E$487:$CZ$487,'Dvd Calendar'!$E$486:$CZ$486,"&gt;"&amp;D$258,'Dvd Calendar'!$E$486:$CZ$486,"&lt;="&amp;D$259),"")))</f>
        <v/>
      </c>
      <c r="E294" s="140">
        <f>IF(E$259="","",IF($B294="","",IFERROR(SUMIFS('Dvd Calendar'!$E$487:$CZ$487,'Dvd Calendar'!$E$486:$CZ$486,"&gt;"&amp;E$258,'Dvd Calendar'!$E$486:$CZ$486,"&lt;="&amp;E$259),"")))</f>
        <v/>
      </c>
      <c r="F294" s="140">
        <f>IF(F$259="","",IF($B294="","",IFERROR(SUMIFS('Dvd Calendar'!$E$487:$CZ$487,'Dvd Calendar'!$E$486:$CZ$486,"&gt;"&amp;F$258,'Dvd Calendar'!$E$486:$CZ$486,"&lt;="&amp;F$259),"")))</f>
        <v/>
      </c>
      <c r="G294" s="140">
        <f>IF(G$259="","",IF($B294="","",IFERROR(SUMIFS('Dvd Calendar'!$E$487:$CZ$487,'Dvd Calendar'!$E$486:$CZ$486,"&gt;"&amp;G$258,'Dvd Calendar'!$E$486:$CZ$486,"&lt;="&amp;G$259),"")))</f>
        <v/>
      </c>
      <c r="H294" s="140">
        <f>IF(H$259="","",IF($B294="","",IFERROR(SUMIFS('Dvd Calendar'!$E$487:$CZ$487,'Dvd Calendar'!$E$486:$CZ$486,"&gt;"&amp;H$258,'Dvd Calendar'!$E$486:$CZ$486,"&lt;="&amp;H$259),"")))</f>
        <v/>
      </c>
      <c r="I294" s="140">
        <f>IF(I$259="","",IF($B294="","",IFERROR(SUMIFS('Dvd Calendar'!$E$487:$CZ$487,'Dvd Calendar'!$E$486:$CZ$486,"&gt;"&amp;I$258,'Dvd Calendar'!$E$486:$CZ$486,"&lt;="&amp;I$259),"")))</f>
        <v/>
      </c>
      <c r="J294" s="140">
        <f>IF(J$259="","",IF($B294="","",IFERROR(SUMIFS('Dvd Calendar'!$E$487:$CZ$487,'Dvd Calendar'!$E$486:$CZ$486,"&gt;"&amp;J$258,'Dvd Calendar'!$E$486:$CZ$486,"&lt;="&amp;J$259),"")))</f>
        <v/>
      </c>
      <c r="K294" s="140">
        <f>IF(K$259="","",IF($B294="","",IFERROR(SUMIFS('Dvd Calendar'!$E$487:$CZ$487,'Dvd Calendar'!$E$486:$CZ$486,"&gt;"&amp;K$258,'Dvd Calendar'!$E$486:$CZ$486,"&lt;="&amp;K$259),"")))</f>
        <v/>
      </c>
      <c r="L294" s="140">
        <f>IF(L$259="","",IF($B294="","",IFERROR(SUMIFS('Dvd Calendar'!$E$487:$CZ$487,'Dvd Calendar'!$E$486:$CZ$486,"&gt;"&amp;L$258,'Dvd Calendar'!$E$486:$CZ$486,"&lt;="&amp;L$259),"")))</f>
        <v/>
      </c>
      <c r="M294" s="140">
        <f>IF(M$259="","",IF($B294="","",IFERROR(SUMIFS('Dvd Calendar'!$E$487:$CZ$487,'Dvd Calendar'!$E$486:$CZ$486,"&gt;"&amp;M$258,'Dvd Calendar'!$E$486:$CZ$486,"&lt;="&amp;M$259),"")))</f>
        <v/>
      </c>
      <c r="N294" s="140">
        <f>IF(N$259="","",IF($B294="","",IFERROR(SUMIFS('Dvd Calendar'!$E$487:$CZ$487,'Dvd Calendar'!$E$486:$CZ$486,"&gt;"&amp;N$258,'Dvd Calendar'!$E$486:$CZ$486,"&lt;="&amp;N$259),"")))</f>
        <v/>
      </c>
      <c r="O294" s="140">
        <f>IF(O$259="","",IF($B294="","",IFERROR(SUMIFS('Dvd Calendar'!$E$487:$CZ$487,'Dvd Calendar'!$E$486:$CZ$486,"&gt;"&amp;O$258,'Dvd Calendar'!$E$486:$CZ$486,"&lt;="&amp;O$259),"")))</f>
        <v/>
      </c>
      <c r="P294" s="140">
        <f>IF(P$259="","",IF($B294="","",IFERROR(SUMIFS('Dvd Calendar'!$E$487:$CZ$487,'Dvd Calendar'!$E$486:$CZ$486,"&gt;"&amp;P$258,'Dvd Calendar'!$E$486:$CZ$486,"&lt;="&amp;P$259),"")))</f>
        <v/>
      </c>
      <c r="Q294" s="140">
        <f>IF(Q$259="","",IF($B294="","",IFERROR(SUMIFS('Dvd Calendar'!$E$487:$CZ$487,'Dvd Calendar'!$E$486:$CZ$486,"&gt;"&amp;Q$258,'Dvd Calendar'!$E$486:$CZ$486,"&lt;="&amp;Q$259),"")))</f>
        <v/>
      </c>
      <c r="R294" s="140">
        <f>IF(R$259="","",IF($B294="","",IFERROR(SUMIFS('Dvd Calendar'!$E$487:$CZ$487,'Dvd Calendar'!$E$486:$CZ$486,"&gt;"&amp;R$258,'Dvd Calendar'!$E$486:$CZ$486,"&lt;="&amp;R$259),"")))</f>
        <v/>
      </c>
    </row>
    <row r="295">
      <c r="B295" s="5">
        <f>IF(MXAU!$C$40="","",MXAU!$C$40)</f>
        <v/>
      </c>
      <c r="C295" s="140">
        <f>IF(C$259="","",IF($B295="","",IFERROR(SUMIFS('Dvd Calendar'!$E$489:$CZ$489,'Dvd Calendar'!$E$488:$CZ$488,"&gt;"&amp;C$258,'Dvd Calendar'!$E$488:$CZ$488,"&lt;="&amp;C$259),"")))</f>
        <v/>
      </c>
      <c r="D295" s="140">
        <f>IF(D$259="","",IF($B295="","",IFERROR(SUMIFS('Dvd Calendar'!$E$489:$CZ$489,'Dvd Calendar'!$E$488:$CZ$488,"&gt;"&amp;D$258,'Dvd Calendar'!$E$488:$CZ$488,"&lt;="&amp;D$259),"")))</f>
        <v/>
      </c>
      <c r="E295" s="140">
        <f>IF(E$259="","",IF($B295="","",IFERROR(SUMIFS('Dvd Calendar'!$E$489:$CZ$489,'Dvd Calendar'!$E$488:$CZ$488,"&gt;"&amp;E$258,'Dvd Calendar'!$E$488:$CZ$488,"&lt;="&amp;E$259),"")))</f>
        <v/>
      </c>
      <c r="F295" s="140">
        <f>IF(F$259="","",IF($B295="","",IFERROR(SUMIFS('Dvd Calendar'!$E$489:$CZ$489,'Dvd Calendar'!$E$488:$CZ$488,"&gt;"&amp;F$258,'Dvd Calendar'!$E$488:$CZ$488,"&lt;="&amp;F$259),"")))</f>
        <v/>
      </c>
      <c r="G295" s="140">
        <f>IF(G$259="","",IF($B295="","",IFERROR(SUMIFS('Dvd Calendar'!$E$489:$CZ$489,'Dvd Calendar'!$E$488:$CZ$488,"&gt;"&amp;G$258,'Dvd Calendar'!$E$488:$CZ$488,"&lt;="&amp;G$259),"")))</f>
        <v/>
      </c>
      <c r="H295" s="140">
        <f>IF(H$259="","",IF($B295="","",IFERROR(SUMIFS('Dvd Calendar'!$E$489:$CZ$489,'Dvd Calendar'!$E$488:$CZ$488,"&gt;"&amp;H$258,'Dvd Calendar'!$E$488:$CZ$488,"&lt;="&amp;H$259),"")))</f>
        <v/>
      </c>
      <c r="I295" s="140">
        <f>IF(I$259="","",IF($B295="","",IFERROR(SUMIFS('Dvd Calendar'!$E$489:$CZ$489,'Dvd Calendar'!$E$488:$CZ$488,"&gt;"&amp;I$258,'Dvd Calendar'!$E$488:$CZ$488,"&lt;="&amp;I$259),"")))</f>
        <v/>
      </c>
      <c r="J295" s="140">
        <f>IF(J$259="","",IF($B295="","",IFERROR(SUMIFS('Dvd Calendar'!$E$489:$CZ$489,'Dvd Calendar'!$E$488:$CZ$488,"&gt;"&amp;J$258,'Dvd Calendar'!$E$488:$CZ$488,"&lt;="&amp;J$259),"")))</f>
        <v/>
      </c>
      <c r="K295" s="140">
        <f>IF(K$259="","",IF($B295="","",IFERROR(SUMIFS('Dvd Calendar'!$E$489:$CZ$489,'Dvd Calendar'!$E$488:$CZ$488,"&gt;"&amp;K$258,'Dvd Calendar'!$E$488:$CZ$488,"&lt;="&amp;K$259),"")))</f>
        <v/>
      </c>
      <c r="L295" s="140">
        <f>IF(L$259="","",IF($B295="","",IFERROR(SUMIFS('Dvd Calendar'!$E$489:$CZ$489,'Dvd Calendar'!$E$488:$CZ$488,"&gt;"&amp;L$258,'Dvd Calendar'!$E$488:$CZ$488,"&lt;="&amp;L$259),"")))</f>
        <v/>
      </c>
      <c r="M295" s="140">
        <f>IF(M$259="","",IF($B295="","",IFERROR(SUMIFS('Dvd Calendar'!$E$489:$CZ$489,'Dvd Calendar'!$E$488:$CZ$488,"&gt;"&amp;M$258,'Dvd Calendar'!$E$488:$CZ$488,"&lt;="&amp;M$259),"")))</f>
        <v/>
      </c>
      <c r="N295" s="140">
        <f>IF(N$259="","",IF($B295="","",IFERROR(SUMIFS('Dvd Calendar'!$E$489:$CZ$489,'Dvd Calendar'!$E$488:$CZ$488,"&gt;"&amp;N$258,'Dvd Calendar'!$E$488:$CZ$488,"&lt;="&amp;N$259),"")))</f>
        <v/>
      </c>
      <c r="O295" s="140">
        <f>IF(O$259="","",IF($B295="","",IFERROR(SUMIFS('Dvd Calendar'!$E$489:$CZ$489,'Dvd Calendar'!$E$488:$CZ$488,"&gt;"&amp;O$258,'Dvd Calendar'!$E$488:$CZ$488,"&lt;="&amp;O$259),"")))</f>
        <v/>
      </c>
      <c r="P295" s="140">
        <f>IF(P$259="","",IF($B295="","",IFERROR(SUMIFS('Dvd Calendar'!$E$489:$CZ$489,'Dvd Calendar'!$E$488:$CZ$488,"&gt;"&amp;P$258,'Dvd Calendar'!$E$488:$CZ$488,"&lt;="&amp;P$259),"")))</f>
        <v/>
      </c>
      <c r="Q295" s="140">
        <f>IF(Q$259="","",IF($B295="","",IFERROR(SUMIFS('Dvd Calendar'!$E$489:$CZ$489,'Dvd Calendar'!$E$488:$CZ$488,"&gt;"&amp;Q$258,'Dvd Calendar'!$E$488:$CZ$488,"&lt;="&amp;Q$259),"")))</f>
        <v/>
      </c>
      <c r="R295" s="140">
        <f>IF(R$259="","",IF($B295="","",IFERROR(SUMIFS('Dvd Calendar'!$E$489:$CZ$489,'Dvd Calendar'!$E$488:$CZ$488,"&gt;"&amp;R$258,'Dvd Calendar'!$E$488:$CZ$488,"&lt;="&amp;R$259),"")))</f>
        <v/>
      </c>
    </row>
    <row r="296">
      <c r="B296" s="5">
        <f>IF(MXAU!$C$41="","",MXAU!$C$41)</f>
        <v/>
      </c>
      <c r="C296" s="140">
        <f>IF(C$259="","",IF($B296="","",IFERROR(SUMIFS('Dvd Calendar'!$E$491:$CZ$491,'Dvd Calendar'!$E$490:$CZ$490,"&gt;"&amp;C$258,'Dvd Calendar'!$E$490:$CZ$490,"&lt;="&amp;C$259),"")))</f>
        <v/>
      </c>
      <c r="D296" s="140">
        <f>IF(D$259="","",IF($B296="","",IFERROR(SUMIFS('Dvd Calendar'!$E$491:$CZ$491,'Dvd Calendar'!$E$490:$CZ$490,"&gt;"&amp;D$258,'Dvd Calendar'!$E$490:$CZ$490,"&lt;="&amp;D$259),"")))</f>
        <v/>
      </c>
      <c r="E296" s="140">
        <f>IF(E$259="","",IF($B296="","",IFERROR(SUMIFS('Dvd Calendar'!$E$491:$CZ$491,'Dvd Calendar'!$E$490:$CZ$490,"&gt;"&amp;E$258,'Dvd Calendar'!$E$490:$CZ$490,"&lt;="&amp;E$259),"")))</f>
        <v/>
      </c>
      <c r="F296" s="140">
        <f>IF(F$259="","",IF($B296="","",IFERROR(SUMIFS('Dvd Calendar'!$E$491:$CZ$491,'Dvd Calendar'!$E$490:$CZ$490,"&gt;"&amp;F$258,'Dvd Calendar'!$E$490:$CZ$490,"&lt;="&amp;F$259),"")))</f>
        <v/>
      </c>
      <c r="G296" s="140">
        <f>IF(G$259="","",IF($B296="","",IFERROR(SUMIFS('Dvd Calendar'!$E$491:$CZ$491,'Dvd Calendar'!$E$490:$CZ$490,"&gt;"&amp;G$258,'Dvd Calendar'!$E$490:$CZ$490,"&lt;="&amp;G$259),"")))</f>
        <v/>
      </c>
      <c r="H296" s="140">
        <f>IF(H$259="","",IF($B296="","",IFERROR(SUMIFS('Dvd Calendar'!$E$491:$CZ$491,'Dvd Calendar'!$E$490:$CZ$490,"&gt;"&amp;H$258,'Dvd Calendar'!$E$490:$CZ$490,"&lt;="&amp;H$259),"")))</f>
        <v/>
      </c>
      <c r="I296" s="140">
        <f>IF(I$259="","",IF($B296="","",IFERROR(SUMIFS('Dvd Calendar'!$E$491:$CZ$491,'Dvd Calendar'!$E$490:$CZ$490,"&gt;"&amp;I$258,'Dvd Calendar'!$E$490:$CZ$490,"&lt;="&amp;I$259),"")))</f>
        <v/>
      </c>
      <c r="J296" s="140">
        <f>IF(J$259="","",IF($B296="","",IFERROR(SUMIFS('Dvd Calendar'!$E$491:$CZ$491,'Dvd Calendar'!$E$490:$CZ$490,"&gt;"&amp;J$258,'Dvd Calendar'!$E$490:$CZ$490,"&lt;="&amp;J$259),"")))</f>
        <v/>
      </c>
      <c r="K296" s="140">
        <f>IF(K$259="","",IF($B296="","",IFERROR(SUMIFS('Dvd Calendar'!$E$491:$CZ$491,'Dvd Calendar'!$E$490:$CZ$490,"&gt;"&amp;K$258,'Dvd Calendar'!$E$490:$CZ$490,"&lt;="&amp;K$259),"")))</f>
        <v/>
      </c>
      <c r="L296" s="140">
        <f>IF(L$259="","",IF($B296="","",IFERROR(SUMIFS('Dvd Calendar'!$E$491:$CZ$491,'Dvd Calendar'!$E$490:$CZ$490,"&gt;"&amp;L$258,'Dvd Calendar'!$E$490:$CZ$490,"&lt;="&amp;L$259),"")))</f>
        <v/>
      </c>
      <c r="M296" s="140">
        <f>IF(M$259="","",IF($B296="","",IFERROR(SUMIFS('Dvd Calendar'!$E$491:$CZ$491,'Dvd Calendar'!$E$490:$CZ$490,"&gt;"&amp;M$258,'Dvd Calendar'!$E$490:$CZ$490,"&lt;="&amp;M$259),"")))</f>
        <v/>
      </c>
      <c r="N296" s="140">
        <f>IF(N$259="","",IF($B296="","",IFERROR(SUMIFS('Dvd Calendar'!$E$491:$CZ$491,'Dvd Calendar'!$E$490:$CZ$490,"&gt;"&amp;N$258,'Dvd Calendar'!$E$490:$CZ$490,"&lt;="&amp;N$259),"")))</f>
        <v/>
      </c>
      <c r="O296" s="140">
        <f>IF(O$259="","",IF($B296="","",IFERROR(SUMIFS('Dvd Calendar'!$E$491:$CZ$491,'Dvd Calendar'!$E$490:$CZ$490,"&gt;"&amp;O$258,'Dvd Calendar'!$E$490:$CZ$490,"&lt;="&amp;O$259),"")))</f>
        <v/>
      </c>
      <c r="P296" s="140">
        <f>IF(P$259="","",IF($B296="","",IFERROR(SUMIFS('Dvd Calendar'!$E$491:$CZ$491,'Dvd Calendar'!$E$490:$CZ$490,"&gt;"&amp;P$258,'Dvd Calendar'!$E$490:$CZ$490,"&lt;="&amp;P$259),"")))</f>
        <v/>
      </c>
      <c r="Q296" s="140">
        <f>IF(Q$259="","",IF($B296="","",IFERROR(SUMIFS('Dvd Calendar'!$E$491:$CZ$491,'Dvd Calendar'!$E$490:$CZ$490,"&gt;"&amp;Q$258,'Dvd Calendar'!$E$490:$CZ$490,"&lt;="&amp;Q$259),"")))</f>
        <v/>
      </c>
      <c r="R296" s="140">
        <f>IF(R$259="","",IF($B296="","",IFERROR(SUMIFS('Dvd Calendar'!$E$491:$CZ$491,'Dvd Calendar'!$E$490:$CZ$490,"&gt;"&amp;R$258,'Dvd Calendar'!$E$490:$CZ$490,"&lt;="&amp;R$259),"")))</f>
        <v/>
      </c>
    </row>
    <row r="297">
      <c r="B297" s="5">
        <f>IF(MXAU!$C$42="","",MXAU!$C$42)</f>
        <v/>
      </c>
      <c r="C297" s="140">
        <f>IF(C$259="","",IF($B297="","",IFERROR(SUMIFS('Dvd Calendar'!$E$493:$CZ$493,'Dvd Calendar'!$E$492:$CZ$492,"&gt;"&amp;C$258,'Dvd Calendar'!$E$492:$CZ$492,"&lt;="&amp;C$259),"")))</f>
        <v/>
      </c>
      <c r="D297" s="140">
        <f>IF(D$259="","",IF($B297="","",IFERROR(SUMIFS('Dvd Calendar'!$E$493:$CZ$493,'Dvd Calendar'!$E$492:$CZ$492,"&gt;"&amp;D$258,'Dvd Calendar'!$E$492:$CZ$492,"&lt;="&amp;D$259),"")))</f>
        <v/>
      </c>
      <c r="E297" s="140">
        <f>IF(E$259="","",IF($B297="","",IFERROR(SUMIFS('Dvd Calendar'!$E$493:$CZ$493,'Dvd Calendar'!$E$492:$CZ$492,"&gt;"&amp;E$258,'Dvd Calendar'!$E$492:$CZ$492,"&lt;="&amp;E$259),"")))</f>
        <v/>
      </c>
      <c r="F297" s="140">
        <f>IF(F$259="","",IF($B297="","",IFERROR(SUMIFS('Dvd Calendar'!$E$493:$CZ$493,'Dvd Calendar'!$E$492:$CZ$492,"&gt;"&amp;F$258,'Dvd Calendar'!$E$492:$CZ$492,"&lt;="&amp;F$259),"")))</f>
        <v/>
      </c>
      <c r="G297" s="140">
        <f>IF(G$259="","",IF($B297="","",IFERROR(SUMIFS('Dvd Calendar'!$E$493:$CZ$493,'Dvd Calendar'!$E$492:$CZ$492,"&gt;"&amp;G$258,'Dvd Calendar'!$E$492:$CZ$492,"&lt;="&amp;G$259),"")))</f>
        <v/>
      </c>
      <c r="H297" s="140">
        <f>IF(H$259="","",IF($B297="","",IFERROR(SUMIFS('Dvd Calendar'!$E$493:$CZ$493,'Dvd Calendar'!$E$492:$CZ$492,"&gt;"&amp;H$258,'Dvd Calendar'!$E$492:$CZ$492,"&lt;="&amp;H$259),"")))</f>
        <v/>
      </c>
      <c r="I297" s="140">
        <f>IF(I$259="","",IF($B297="","",IFERROR(SUMIFS('Dvd Calendar'!$E$493:$CZ$493,'Dvd Calendar'!$E$492:$CZ$492,"&gt;"&amp;I$258,'Dvd Calendar'!$E$492:$CZ$492,"&lt;="&amp;I$259),"")))</f>
        <v/>
      </c>
      <c r="J297" s="140">
        <f>IF(J$259="","",IF($B297="","",IFERROR(SUMIFS('Dvd Calendar'!$E$493:$CZ$493,'Dvd Calendar'!$E$492:$CZ$492,"&gt;"&amp;J$258,'Dvd Calendar'!$E$492:$CZ$492,"&lt;="&amp;J$259),"")))</f>
        <v/>
      </c>
      <c r="K297" s="140">
        <f>IF(K$259="","",IF($B297="","",IFERROR(SUMIFS('Dvd Calendar'!$E$493:$CZ$493,'Dvd Calendar'!$E$492:$CZ$492,"&gt;"&amp;K$258,'Dvd Calendar'!$E$492:$CZ$492,"&lt;="&amp;K$259),"")))</f>
        <v/>
      </c>
      <c r="L297" s="140">
        <f>IF(L$259="","",IF($B297="","",IFERROR(SUMIFS('Dvd Calendar'!$E$493:$CZ$493,'Dvd Calendar'!$E$492:$CZ$492,"&gt;"&amp;L$258,'Dvd Calendar'!$E$492:$CZ$492,"&lt;="&amp;L$259),"")))</f>
        <v/>
      </c>
      <c r="M297" s="140">
        <f>IF(M$259="","",IF($B297="","",IFERROR(SUMIFS('Dvd Calendar'!$E$493:$CZ$493,'Dvd Calendar'!$E$492:$CZ$492,"&gt;"&amp;M$258,'Dvd Calendar'!$E$492:$CZ$492,"&lt;="&amp;M$259),"")))</f>
        <v/>
      </c>
      <c r="N297" s="140">
        <f>IF(N$259="","",IF($B297="","",IFERROR(SUMIFS('Dvd Calendar'!$E$493:$CZ$493,'Dvd Calendar'!$E$492:$CZ$492,"&gt;"&amp;N$258,'Dvd Calendar'!$E$492:$CZ$492,"&lt;="&amp;N$259),"")))</f>
        <v/>
      </c>
      <c r="O297" s="140">
        <f>IF(O$259="","",IF($B297="","",IFERROR(SUMIFS('Dvd Calendar'!$E$493:$CZ$493,'Dvd Calendar'!$E$492:$CZ$492,"&gt;"&amp;O$258,'Dvd Calendar'!$E$492:$CZ$492,"&lt;="&amp;O$259),"")))</f>
        <v/>
      </c>
      <c r="P297" s="140">
        <f>IF(P$259="","",IF($B297="","",IFERROR(SUMIFS('Dvd Calendar'!$E$493:$CZ$493,'Dvd Calendar'!$E$492:$CZ$492,"&gt;"&amp;P$258,'Dvd Calendar'!$E$492:$CZ$492,"&lt;="&amp;P$259),"")))</f>
        <v/>
      </c>
      <c r="Q297" s="140">
        <f>IF(Q$259="","",IF($B297="","",IFERROR(SUMIFS('Dvd Calendar'!$E$493:$CZ$493,'Dvd Calendar'!$E$492:$CZ$492,"&gt;"&amp;Q$258,'Dvd Calendar'!$E$492:$CZ$492,"&lt;="&amp;Q$259),"")))</f>
        <v/>
      </c>
      <c r="R297" s="140">
        <f>IF(R$259="","",IF($B297="","",IFERROR(SUMIFS('Dvd Calendar'!$E$493:$CZ$493,'Dvd Calendar'!$E$492:$CZ$492,"&gt;"&amp;R$258,'Dvd Calendar'!$E$492:$CZ$492,"&lt;="&amp;R$259),"")))</f>
        <v/>
      </c>
    </row>
    <row r="298">
      <c r="B298" s="5">
        <f>IF(MXAU!$C$43="","",MXAU!$C$43)</f>
        <v/>
      </c>
      <c r="C298" s="140">
        <f>IF(C$259="","",IF($B298="","",IFERROR(SUMIFS('Dvd Calendar'!$E$495:$CZ$495,'Dvd Calendar'!$E$494:$CZ$494,"&gt;"&amp;C$258,'Dvd Calendar'!$E$494:$CZ$494,"&lt;="&amp;C$259),"")))</f>
        <v/>
      </c>
      <c r="D298" s="140">
        <f>IF(D$259="","",IF($B298="","",IFERROR(SUMIFS('Dvd Calendar'!$E$495:$CZ$495,'Dvd Calendar'!$E$494:$CZ$494,"&gt;"&amp;D$258,'Dvd Calendar'!$E$494:$CZ$494,"&lt;="&amp;D$259),"")))</f>
        <v/>
      </c>
      <c r="E298" s="140">
        <f>IF(E$259="","",IF($B298="","",IFERROR(SUMIFS('Dvd Calendar'!$E$495:$CZ$495,'Dvd Calendar'!$E$494:$CZ$494,"&gt;"&amp;E$258,'Dvd Calendar'!$E$494:$CZ$494,"&lt;="&amp;E$259),"")))</f>
        <v/>
      </c>
      <c r="F298" s="140">
        <f>IF(F$259="","",IF($B298="","",IFERROR(SUMIFS('Dvd Calendar'!$E$495:$CZ$495,'Dvd Calendar'!$E$494:$CZ$494,"&gt;"&amp;F$258,'Dvd Calendar'!$E$494:$CZ$494,"&lt;="&amp;F$259),"")))</f>
        <v/>
      </c>
      <c r="G298" s="140">
        <f>IF(G$259="","",IF($B298="","",IFERROR(SUMIFS('Dvd Calendar'!$E$495:$CZ$495,'Dvd Calendar'!$E$494:$CZ$494,"&gt;"&amp;G$258,'Dvd Calendar'!$E$494:$CZ$494,"&lt;="&amp;G$259),"")))</f>
        <v/>
      </c>
      <c r="H298" s="140">
        <f>IF(H$259="","",IF($B298="","",IFERROR(SUMIFS('Dvd Calendar'!$E$495:$CZ$495,'Dvd Calendar'!$E$494:$CZ$494,"&gt;"&amp;H$258,'Dvd Calendar'!$E$494:$CZ$494,"&lt;="&amp;H$259),"")))</f>
        <v/>
      </c>
      <c r="I298" s="140">
        <f>IF(I$259="","",IF($B298="","",IFERROR(SUMIFS('Dvd Calendar'!$E$495:$CZ$495,'Dvd Calendar'!$E$494:$CZ$494,"&gt;"&amp;I$258,'Dvd Calendar'!$E$494:$CZ$494,"&lt;="&amp;I$259),"")))</f>
        <v/>
      </c>
      <c r="J298" s="140">
        <f>IF(J$259="","",IF($B298="","",IFERROR(SUMIFS('Dvd Calendar'!$E$495:$CZ$495,'Dvd Calendar'!$E$494:$CZ$494,"&gt;"&amp;J$258,'Dvd Calendar'!$E$494:$CZ$494,"&lt;="&amp;J$259),"")))</f>
        <v/>
      </c>
      <c r="K298" s="140">
        <f>IF(K$259="","",IF($B298="","",IFERROR(SUMIFS('Dvd Calendar'!$E$495:$CZ$495,'Dvd Calendar'!$E$494:$CZ$494,"&gt;"&amp;K$258,'Dvd Calendar'!$E$494:$CZ$494,"&lt;="&amp;K$259),"")))</f>
        <v/>
      </c>
      <c r="L298" s="140">
        <f>IF(L$259="","",IF($B298="","",IFERROR(SUMIFS('Dvd Calendar'!$E$495:$CZ$495,'Dvd Calendar'!$E$494:$CZ$494,"&gt;"&amp;L$258,'Dvd Calendar'!$E$494:$CZ$494,"&lt;="&amp;L$259),"")))</f>
        <v/>
      </c>
      <c r="M298" s="140">
        <f>IF(M$259="","",IF($B298="","",IFERROR(SUMIFS('Dvd Calendar'!$E$495:$CZ$495,'Dvd Calendar'!$E$494:$CZ$494,"&gt;"&amp;M$258,'Dvd Calendar'!$E$494:$CZ$494,"&lt;="&amp;M$259),"")))</f>
        <v/>
      </c>
      <c r="N298" s="140">
        <f>IF(N$259="","",IF($B298="","",IFERROR(SUMIFS('Dvd Calendar'!$E$495:$CZ$495,'Dvd Calendar'!$E$494:$CZ$494,"&gt;"&amp;N$258,'Dvd Calendar'!$E$494:$CZ$494,"&lt;="&amp;N$259),"")))</f>
        <v/>
      </c>
      <c r="O298" s="140">
        <f>IF(O$259="","",IF($B298="","",IFERROR(SUMIFS('Dvd Calendar'!$E$495:$CZ$495,'Dvd Calendar'!$E$494:$CZ$494,"&gt;"&amp;O$258,'Dvd Calendar'!$E$494:$CZ$494,"&lt;="&amp;O$259),"")))</f>
        <v/>
      </c>
      <c r="P298" s="140">
        <f>IF(P$259="","",IF($B298="","",IFERROR(SUMIFS('Dvd Calendar'!$E$495:$CZ$495,'Dvd Calendar'!$E$494:$CZ$494,"&gt;"&amp;P$258,'Dvd Calendar'!$E$494:$CZ$494,"&lt;="&amp;P$259),"")))</f>
        <v/>
      </c>
      <c r="Q298" s="140">
        <f>IF(Q$259="","",IF($B298="","",IFERROR(SUMIFS('Dvd Calendar'!$E$495:$CZ$495,'Dvd Calendar'!$E$494:$CZ$494,"&gt;"&amp;Q$258,'Dvd Calendar'!$E$494:$CZ$494,"&lt;="&amp;Q$259),"")))</f>
        <v/>
      </c>
      <c r="R298" s="140">
        <f>IF(R$259="","",IF($B298="","",IFERROR(SUMIFS('Dvd Calendar'!$E$495:$CZ$495,'Dvd Calendar'!$E$494:$CZ$494,"&gt;"&amp;R$258,'Dvd Calendar'!$E$494:$CZ$494,"&lt;="&amp;R$259),"")))</f>
        <v/>
      </c>
    </row>
    <row r="299">
      <c r="B299" s="5">
        <f>IF(MXAU!$C$44="","",MXAU!$C$44)</f>
        <v/>
      </c>
      <c r="C299" s="140">
        <f>IF(C$259="","",IF($B299="","",IFERROR(SUMIFS('Dvd Calendar'!$E$497:$CZ$497,'Dvd Calendar'!$E$496:$CZ$496,"&gt;"&amp;C$258,'Dvd Calendar'!$E$496:$CZ$496,"&lt;="&amp;C$259),"")))</f>
        <v/>
      </c>
      <c r="D299" s="140">
        <f>IF(D$259="","",IF($B299="","",IFERROR(SUMIFS('Dvd Calendar'!$E$497:$CZ$497,'Dvd Calendar'!$E$496:$CZ$496,"&gt;"&amp;D$258,'Dvd Calendar'!$E$496:$CZ$496,"&lt;="&amp;D$259),"")))</f>
        <v/>
      </c>
      <c r="E299" s="140">
        <f>IF(E$259="","",IF($B299="","",IFERROR(SUMIFS('Dvd Calendar'!$E$497:$CZ$497,'Dvd Calendar'!$E$496:$CZ$496,"&gt;"&amp;E$258,'Dvd Calendar'!$E$496:$CZ$496,"&lt;="&amp;E$259),"")))</f>
        <v/>
      </c>
      <c r="F299" s="140">
        <f>IF(F$259="","",IF($B299="","",IFERROR(SUMIFS('Dvd Calendar'!$E$497:$CZ$497,'Dvd Calendar'!$E$496:$CZ$496,"&gt;"&amp;F$258,'Dvd Calendar'!$E$496:$CZ$496,"&lt;="&amp;F$259),"")))</f>
        <v/>
      </c>
      <c r="G299" s="140">
        <f>IF(G$259="","",IF($B299="","",IFERROR(SUMIFS('Dvd Calendar'!$E$497:$CZ$497,'Dvd Calendar'!$E$496:$CZ$496,"&gt;"&amp;G$258,'Dvd Calendar'!$E$496:$CZ$496,"&lt;="&amp;G$259),"")))</f>
        <v/>
      </c>
      <c r="H299" s="140">
        <f>IF(H$259="","",IF($B299="","",IFERROR(SUMIFS('Dvd Calendar'!$E$497:$CZ$497,'Dvd Calendar'!$E$496:$CZ$496,"&gt;"&amp;H$258,'Dvd Calendar'!$E$496:$CZ$496,"&lt;="&amp;H$259),"")))</f>
        <v/>
      </c>
      <c r="I299" s="140">
        <f>IF(I$259="","",IF($B299="","",IFERROR(SUMIFS('Dvd Calendar'!$E$497:$CZ$497,'Dvd Calendar'!$E$496:$CZ$496,"&gt;"&amp;I$258,'Dvd Calendar'!$E$496:$CZ$496,"&lt;="&amp;I$259),"")))</f>
        <v/>
      </c>
      <c r="J299" s="140">
        <f>IF(J$259="","",IF($B299="","",IFERROR(SUMIFS('Dvd Calendar'!$E$497:$CZ$497,'Dvd Calendar'!$E$496:$CZ$496,"&gt;"&amp;J$258,'Dvd Calendar'!$E$496:$CZ$496,"&lt;="&amp;J$259),"")))</f>
        <v/>
      </c>
      <c r="K299" s="140">
        <f>IF(K$259="","",IF($B299="","",IFERROR(SUMIFS('Dvd Calendar'!$E$497:$CZ$497,'Dvd Calendar'!$E$496:$CZ$496,"&gt;"&amp;K$258,'Dvd Calendar'!$E$496:$CZ$496,"&lt;="&amp;K$259),"")))</f>
        <v/>
      </c>
      <c r="L299" s="140">
        <f>IF(L$259="","",IF($B299="","",IFERROR(SUMIFS('Dvd Calendar'!$E$497:$CZ$497,'Dvd Calendar'!$E$496:$CZ$496,"&gt;"&amp;L$258,'Dvd Calendar'!$E$496:$CZ$496,"&lt;="&amp;L$259),"")))</f>
        <v/>
      </c>
      <c r="M299" s="140">
        <f>IF(M$259="","",IF($B299="","",IFERROR(SUMIFS('Dvd Calendar'!$E$497:$CZ$497,'Dvd Calendar'!$E$496:$CZ$496,"&gt;"&amp;M$258,'Dvd Calendar'!$E$496:$CZ$496,"&lt;="&amp;M$259),"")))</f>
        <v/>
      </c>
      <c r="N299" s="140">
        <f>IF(N$259="","",IF($B299="","",IFERROR(SUMIFS('Dvd Calendar'!$E$497:$CZ$497,'Dvd Calendar'!$E$496:$CZ$496,"&gt;"&amp;N$258,'Dvd Calendar'!$E$496:$CZ$496,"&lt;="&amp;N$259),"")))</f>
        <v/>
      </c>
      <c r="O299" s="140">
        <f>IF(O$259="","",IF($B299="","",IFERROR(SUMIFS('Dvd Calendar'!$E$497:$CZ$497,'Dvd Calendar'!$E$496:$CZ$496,"&gt;"&amp;O$258,'Dvd Calendar'!$E$496:$CZ$496,"&lt;="&amp;O$259),"")))</f>
        <v/>
      </c>
      <c r="P299" s="140">
        <f>IF(P$259="","",IF($B299="","",IFERROR(SUMIFS('Dvd Calendar'!$E$497:$CZ$497,'Dvd Calendar'!$E$496:$CZ$496,"&gt;"&amp;P$258,'Dvd Calendar'!$E$496:$CZ$496,"&lt;="&amp;P$259),"")))</f>
        <v/>
      </c>
      <c r="Q299" s="140">
        <f>IF(Q$259="","",IF($B299="","",IFERROR(SUMIFS('Dvd Calendar'!$E$497:$CZ$497,'Dvd Calendar'!$E$496:$CZ$496,"&gt;"&amp;Q$258,'Dvd Calendar'!$E$496:$CZ$496,"&lt;="&amp;Q$259),"")))</f>
        <v/>
      </c>
      <c r="R299" s="140">
        <f>IF(R$259="","",IF($B299="","",IFERROR(SUMIFS('Dvd Calendar'!$E$497:$CZ$497,'Dvd Calendar'!$E$496:$CZ$496,"&gt;"&amp;R$258,'Dvd Calendar'!$E$496:$CZ$496,"&lt;="&amp;R$259),"")))</f>
        <v/>
      </c>
    </row>
    <row r="300">
      <c r="B300" s="5">
        <f>IF(MXAU!$C$45="","",MXAU!$C$45)</f>
        <v/>
      </c>
      <c r="C300" s="140">
        <f>IF(C$259="","",IF($B300="","",IFERROR(SUMIFS('Dvd Calendar'!$E$499:$CZ$499,'Dvd Calendar'!$E$498:$CZ$498,"&gt;"&amp;C$258,'Dvd Calendar'!$E$498:$CZ$498,"&lt;="&amp;C$259),"")))</f>
        <v/>
      </c>
      <c r="D300" s="140">
        <f>IF(D$259="","",IF($B300="","",IFERROR(SUMIFS('Dvd Calendar'!$E$499:$CZ$499,'Dvd Calendar'!$E$498:$CZ$498,"&gt;"&amp;D$258,'Dvd Calendar'!$E$498:$CZ$498,"&lt;="&amp;D$259),"")))</f>
        <v/>
      </c>
      <c r="E300" s="140">
        <f>IF(E$259="","",IF($B300="","",IFERROR(SUMIFS('Dvd Calendar'!$E$499:$CZ$499,'Dvd Calendar'!$E$498:$CZ$498,"&gt;"&amp;E$258,'Dvd Calendar'!$E$498:$CZ$498,"&lt;="&amp;E$259),"")))</f>
        <v/>
      </c>
      <c r="F300" s="140">
        <f>IF(F$259="","",IF($B300="","",IFERROR(SUMIFS('Dvd Calendar'!$E$499:$CZ$499,'Dvd Calendar'!$E$498:$CZ$498,"&gt;"&amp;F$258,'Dvd Calendar'!$E$498:$CZ$498,"&lt;="&amp;F$259),"")))</f>
        <v/>
      </c>
      <c r="G300" s="140">
        <f>IF(G$259="","",IF($B300="","",IFERROR(SUMIFS('Dvd Calendar'!$E$499:$CZ$499,'Dvd Calendar'!$E$498:$CZ$498,"&gt;"&amp;G$258,'Dvd Calendar'!$E$498:$CZ$498,"&lt;="&amp;G$259),"")))</f>
        <v/>
      </c>
      <c r="H300" s="140">
        <f>IF(H$259="","",IF($B300="","",IFERROR(SUMIFS('Dvd Calendar'!$E$499:$CZ$499,'Dvd Calendar'!$E$498:$CZ$498,"&gt;"&amp;H$258,'Dvd Calendar'!$E$498:$CZ$498,"&lt;="&amp;H$259),"")))</f>
        <v/>
      </c>
      <c r="I300" s="140">
        <f>IF(I$259="","",IF($B300="","",IFERROR(SUMIFS('Dvd Calendar'!$E$499:$CZ$499,'Dvd Calendar'!$E$498:$CZ$498,"&gt;"&amp;I$258,'Dvd Calendar'!$E$498:$CZ$498,"&lt;="&amp;I$259),"")))</f>
        <v/>
      </c>
      <c r="J300" s="140">
        <f>IF(J$259="","",IF($B300="","",IFERROR(SUMIFS('Dvd Calendar'!$E$499:$CZ$499,'Dvd Calendar'!$E$498:$CZ$498,"&gt;"&amp;J$258,'Dvd Calendar'!$E$498:$CZ$498,"&lt;="&amp;J$259),"")))</f>
        <v/>
      </c>
      <c r="K300" s="140">
        <f>IF(K$259="","",IF($B300="","",IFERROR(SUMIFS('Dvd Calendar'!$E$499:$CZ$499,'Dvd Calendar'!$E$498:$CZ$498,"&gt;"&amp;K$258,'Dvd Calendar'!$E$498:$CZ$498,"&lt;="&amp;K$259),"")))</f>
        <v/>
      </c>
      <c r="L300" s="140">
        <f>IF(L$259="","",IF($B300="","",IFERROR(SUMIFS('Dvd Calendar'!$E$499:$CZ$499,'Dvd Calendar'!$E$498:$CZ$498,"&gt;"&amp;L$258,'Dvd Calendar'!$E$498:$CZ$498,"&lt;="&amp;L$259),"")))</f>
        <v/>
      </c>
      <c r="M300" s="140">
        <f>IF(M$259="","",IF($B300="","",IFERROR(SUMIFS('Dvd Calendar'!$E$499:$CZ$499,'Dvd Calendar'!$E$498:$CZ$498,"&gt;"&amp;M$258,'Dvd Calendar'!$E$498:$CZ$498,"&lt;="&amp;M$259),"")))</f>
        <v/>
      </c>
      <c r="N300" s="140">
        <f>IF(N$259="","",IF($B300="","",IFERROR(SUMIFS('Dvd Calendar'!$E$499:$CZ$499,'Dvd Calendar'!$E$498:$CZ$498,"&gt;"&amp;N$258,'Dvd Calendar'!$E$498:$CZ$498,"&lt;="&amp;N$259),"")))</f>
        <v/>
      </c>
      <c r="O300" s="140">
        <f>IF(O$259="","",IF($B300="","",IFERROR(SUMIFS('Dvd Calendar'!$E$499:$CZ$499,'Dvd Calendar'!$E$498:$CZ$498,"&gt;"&amp;O$258,'Dvd Calendar'!$E$498:$CZ$498,"&lt;="&amp;O$259),"")))</f>
        <v/>
      </c>
      <c r="P300" s="140">
        <f>IF(P$259="","",IF($B300="","",IFERROR(SUMIFS('Dvd Calendar'!$E$499:$CZ$499,'Dvd Calendar'!$E$498:$CZ$498,"&gt;"&amp;P$258,'Dvd Calendar'!$E$498:$CZ$498,"&lt;="&amp;P$259),"")))</f>
        <v/>
      </c>
      <c r="Q300" s="140">
        <f>IF(Q$259="","",IF($B300="","",IFERROR(SUMIFS('Dvd Calendar'!$E$499:$CZ$499,'Dvd Calendar'!$E$498:$CZ$498,"&gt;"&amp;Q$258,'Dvd Calendar'!$E$498:$CZ$498,"&lt;="&amp;Q$259),"")))</f>
        <v/>
      </c>
      <c r="R300" s="140">
        <f>IF(R$259="","",IF($B300="","",IFERROR(SUMIFS('Dvd Calendar'!$E$499:$CZ$499,'Dvd Calendar'!$E$498:$CZ$498,"&gt;"&amp;R$258,'Dvd Calendar'!$E$498:$CZ$498,"&lt;="&amp;R$259),"")))</f>
        <v/>
      </c>
    </row>
    <row r="301">
      <c r="B301" s="5">
        <f>IF(MXAU!$C$46="","",MXAU!$C$46)</f>
        <v/>
      </c>
      <c r="C301" s="140">
        <f>IF(C$259="","",IF($B301="","",IFERROR(SUMIFS('Dvd Calendar'!$E$501:$CZ$501,'Dvd Calendar'!$E$500:$CZ$500,"&gt;"&amp;C$258,'Dvd Calendar'!$E$500:$CZ$500,"&lt;="&amp;C$259),"")))</f>
        <v/>
      </c>
      <c r="D301" s="140">
        <f>IF(D$259="","",IF($B301="","",IFERROR(SUMIFS('Dvd Calendar'!$E$501:$CZ$501,'Dvd Calendar'!$E$500:$CZ$500,"&gt;"&amp;D$258,'Dvd Calendar'!$E$500:$CZ$500,"&lt;="&amp;D$259),"")))</f>
        <v/>
      </c>
      <c r="E301" s="140">
        <f>IF(E$259="","",IF($B301="","",IFERROR(SUMIFS('Dvd Calendar'!$E$501:$CZ$501,'Dvd Calendar'!$E$500:$CZ$500,"&gt;"&amp;E$258,'Dvd Calendar'!$E$500:$CZ$500,"&lt;="&amp;E$259),"")))</f>
        <v/>
      </c>
      <c r="F301" s="140">
        <f>IF(F$259="","",IF($B301="","",IFERROR(SUMIFS('Dvd Calendar'!$E$501:$CZ$501,'Dvd Calendar'!$E$500:$CZ$500,"&gt;"&amp;F$258,'Dvd Calendar'!$E$500:$CZ$500,"&lt;="&amp;F$259),"")))</f>
        <v/>
      </c>
      <c r="G301" s="140">
        <f>IF(G$259="","",IF($B301="","",IFERROR(SUMIFS('Dvd Calendar'!$E$501:$CZ$501,'Dvd Calendar'!$E$500:$CZ$500,"&gt;"&amp;G$258,'Dvd Calendar'!$E$500:$CZ$500,"&lt;="&amp;G$259),"")))</f>
        <v/>
      </c>
      <c r="H301" s="140">
        <f>IF(H$259="","",IF($B301="","",IFERROR(SUMIFS('Dvd Calendar'!$E$501:$CZ$501,'Dvd Calendar'!$E$500:$CZ$500,"&gt;"&amp;H$258,'Dvd Calendar'!$E$500:$CZ$500,"&lt;="&amp;H$259),"")))</f>
        <v/>
      </c>
      <c r="I301" s="140">
        <f>IF(I$259="","",IF($B301="","",IFERROR(SUMIFS('Dvd Calendar'!$E$501:$CZ$501,'Dvd Calendar'!$E$500:$CZ$500,"&gt;"&amp;I$258,'Dvd Calendar'!$E$500:$CZ$500,"&lt;="&amp;I$259),"")))</f>
        <v/>
      </c>
      <c r="J301" s="140">
        <f>IF(J$259="","",IF($B301="","",IFERROR(SUMIFS('Dvd Calendar'!$E$501:$CZ$501,'Dvd Calendar'!$E$500:$CZ$500,"&gt;"&amp;J$258,'Dvd Calendar'!$E$500:$CZ$500,"&lt;="&amp;J$259),"")))</f>
        <v/>
      </c>
      <c r="K301" s="140">
        <f>IF(K$259="","",IF($B301="","",IFERROR(SUMIFS('Dvd Calendar'!$E$501:$CZ$501,'Dvd Calendar'!$E$500:$CZ$500,"&gt;"&amp;K$258,'Dvd Calendar'!$E$500:$CZ$500,"&lt;="&amp;K$259),"")))</f>
        <v/>
      </c>
      <c r="L301" s="140">
        <f>IF(L$259="","",IF($B301="","",IFERROR(SUMIFS('Dvd Calendar'!$E$501:$CZ$501,'Dvd Calendar'!$E$500:$CZ$500,"&gt;"&amp;L$258,'Dvd Calendar'!$E$500:$CZ$500,"&lt;="&amp;L$259),"")))</f>
        <v/>
      </c>
      <c r="M301" s="140">
        <f>IF(M$259="","",IF($B301="","",IFERROR(SUMIFS('Dvd Calendar'!$E$501:$CZ$501,'Dvd Calendar'!$E$500:$CZ$500,"&gt;"&amp;M$258,'Dvd Calendar'!$E$500:$CZ$500,"&lt;="&amp;M$259),"")))</f>
        <v/>
      </c>
      <c r="N301" s="140">
        <f>IF(N$259="","",IF($B301="","",IFERROR(SUMIFS('Dvd Calendar'!$E$501:$CZ$501,'Dvd Calendar'!$E$500:$CZ$500,"&gt;"&amp;N$258,'Dvd Calendar'!$E$500:$CZ$500,"&lt;="&amp;N$259),"")))</f>
        <v/>
      </c>
      <c r="O301" s="140">
        <f>IF(O$259="","",IF($B301="","",IFERROR(SUMIFS('Dvd Calendar'!$E$501:$CZ$501,'Dvd Calendar'!$E$500:$CZ$500,"&gt;"&amp;O$258,'Dvd Calendar'!$E$500:$CZ$500,"&lt;="&amp;O$259),"")))</f>
        <v/>
      </c>
      <c r="P301" s="140">
        <f>IF(P$259="","",IF($B301="","",IFERROR(SUMIFS('Dvd Calendar'!$E$501:$CZ$501,'Dvd Calendar'!$E$500:$CZ$500,"&gt;"&amp;P$258,'Dvd Calendar'!$E$500:$CZ$500,"&lt;="&amp;P$259),"")))</f>
        <v/>
      </c>
      <c r="Q301" s="140">
        <f>IF(Q$259="","",IF($B301="","",IFERROR(SUMIFS('Dvd Calendar'!$E$501:$CZ$501,'Dvd Calendar'!$E$500:$CZ$500,"&gt;"&amp;Q$258,'Dvd Calendar'!$E$500:$CZ$500,"&lt;="&amp;Q$259),"")))</f>
        <v/>
      </c>
      <c r="R301" s="140">
        <f>IF(R$259="","",IF($B301="","",IFERROR(SUMIFS('Dvd Calendar'!$E$501:$CZ$501,'Dvd Calendar'!$E$500:$CZ$500,"&gt;"&amp;R$258,'Dvd Calendar'!$E$500:$CZ$500,"&lt;="&amp;R$259),"")))</f>
        <v/>
      </c>
    </row>
    <row r="302">
      <c r="B302" s="5">
        <f>IF(MXAU!$C$47="","",MXAU!$C$47)</f>
        <v/>
      </c>
      <c r="C302" s="140">
        <f>IF(C$259="","",IF($B302="","",IFERROR(SUMIFS('Dvd Calendar'!$E$503:$CZ$503,'Dvd Calendar'!$E$502:$CZ$502,"&gt;"&amp;C$258,'Dvd Calendar'!$E$502:$CZ$502,"&lt;="&amp;C$259),"")))</f>
        <v/>
      </c>
      <c r="D302" s="140">
        <f>IF(D$259="","",IF($B302="","",IFERROR(SUMIFS('Dvd Calendar'!$E$503:$CZ$503,'Dvd Calendar'!$E$502:$CZ$502,"&gt;"&amp;D$258,'Dvd Calendar'!$E$502:$CZ$502,"&lt;="&amp;D$259),"")))</f>
        <v/>
      </c>
      <c r="E302" s="140">
        <f>IF(E$259="","",IF($B302="","",IFERROR(SUMIFS('Dvd Calendar'!$E$503:$CZ$503,'Dvd Calendar'!$E$502:$CZ$502,"&gt;"&amp;E$258,'Dvd Calendar'!$E$502:$CZ$502,"&lt;="&amp;E$259),"")))</f>
        <v/>
      </c>
      <c r="F302" s="140">
        <f>IF(F$259="","",IF($B302="","",IFERROR(SUMIFS('Dvd Calendar'!$E$503:$CZ$503,'Dvd Calendar'!$E$502:$CZ$502,"&gt;"&amp;F$258,'Dvd Calendar'!$E$502:$CZ$502,"&lt;="&amp;F$259),"")))</f>
        <v/>
      </c>
      <c r="G302" s="140">
        <f>IF(G$259="","",IF($B302="","",IFERROR(SUMIFS('Dvd Calendar'!$E$503:$CZ$503,'Dvd Calendar'!$E$502:$CZ$502,"&gt;"&amp;G$258,'Dvd Calendar'!$E$502:$CZ$502,"&lt;="&amp;G$259),"")))</f>
        <v/>
      </c>
      <c r="H302" s="140">
        <f>IF(H$259="","",IF($B302="","",IFERROR(SUMIFS('Dvd Calendar'!$E$503:$CZ$503,'Dvd Calendar'!$E$502:$CZ$502,"&gt;"&amp;H$258,'Dvd Calendar'!$E$502:$CZ$502,"&lt;="&amp;H$259),"")))</f>
        <v/>
      </c>
      <c r="I302" s="140">
        <f>IF(I$259="","",IF($B302="","",IFERROR(SUMIFS('Dvd Calendar'!$E$503:$CZ$503,'Dvd Calendar'!$E$502:$CZ$502,"&gt;"&amp;I$258,'Dvd Calendar'!$E$502:$CZ$502,"&lt;="&amp;I$259),"")))</f>
        <v/>
      </c>
      <c r="J302" s="140">
        <f>IF(J$259="","",IF($B302="","",IFERROR(SUMIFS('Dvd Calendar'!$E$503:$CZ$503,'Dvd Calendar'!$E$502:$CZ$502,"&gt;"&amp;J$258,'Dvd Calendar'!$E$502:$CZ$502,"&lt;="&amp;J$259),"")))</f>
        <v/>
      </c>
      <c r="K302" s="140">
        <f>IF(K$259="","",IF($B302="","",IFERROR(SUMIFS('Dvd Calendar'!$E$503:$CZ$503,'Dvd Calendar'!$E$502:$CZ$502,"&gt;"&amp;K$258,'Dvd Calendar'!$E$502:$CZ$502,"&lt;="&amp;K$259),"")))</f>
        <v/>
      </c>
      <c r="L302" s="140">
        <f>IF(L$259="","",IF($B302="","",IFERROR(SUMIFS('Dvd Calendar'!$E$503:$CZ$503,'Dvd Calendar'!$E$502:$CZ$502,"&gt;"&amp;L$258,'Dvd Calendar'!$E$502:$CZ$502,"&lt;="&amp;L$259),"")))</f>
        <v/>
      </c>
      <c r="M302" s="140">
        <f>IF(M$259="","",IF($B302="","",IFERROR(SUMIFS('Dvd Calendar'!$E$503:$CZ$503,'Dvd Calendar'!$E$502:$CZ$502,"&gt;"&amp;M$258,'Dvd Calendar'!$E$502:$CZ$502,"&lt;="&amp;M$259),"")))</f>
        <v/>
      </c>
      <c r="N302" s="140">
        <f>IF(N$259="","",IF($B302="","",IFERROR(SUMIFS('Dvd Calendar'!$E$503:$CZ$503,'Dvd Calendar'!$E$502:$CZ$502,"&gt;"&amp;N$258,'Dvd Calendar'!$E$502:$CZ$502,"&lt;="&amp;N$259),"")))</f>
        <v/>
      </c>
      <c r="O302" s="140">
        <f>IF(O$259="","",IF($B302="","",IFERROR(SUMIFS('Dvd Calendar'!$E$503:$CZ$503,'Dvd Calendar'!$E$502:$CZ$502,"&gt;"&amp;O$258,'Dvd Calendar'!$E$502:$CZ$502,"&lt;="&amp;O$259),"")))</f>
        <v/>
      </c>
      <c r="P302" s="140">
        <f>IF(P$259="","",IF($B302="","",IFERROR(SUMIFS('Dvd Calendar'!$E$503:$CZ$503,'Dvd Calendar'!$E$502:$CZ$502,"&gt;"&amp;P$258,'Dvd Calendar'!$E$502:$CZ$502,"&lt;="&amp;P$259),"")))</f>
        <v/>
      </c>
      <c r="Q302" s="140">
        <f>IF(Q$259="","",IF($B302="","",IFERROR(SUMIFS('Dvd Calendar'!$E$503:$CZ$503,'Dvd Calendar'!$E$502:$CZ$502,"&gt;"&amp;Q$258,'Dvd Calendar'!$E$502:$CZ$502,"&lt;="&amp;Q$259),"")))</f>
        <v/>
      </c>
      <c r="R302" s="140">
        <f>IF(R$259="","",IF($B302="","",IFERROR(SUMIFS('Dvd Calendar'!$E$503:$CZ$503,'Dvd Calendar'!$E$502:$CZ$502,"&gt;"&amp;R$258,'Dvd Calendar'!$E$502:$CZ$502,"&lt;="&amp;R$259),"")))</f>
        <v/>
      </c>
    </row>
    <row r="303">
      <c r="B303" s="5">
        <f>IF(MXAU!$C$48="","",MXAU!$C$48)</f>
        <v/>
      </c>
      <c r="C303" s="140">
        <f>IF(C$259="","",IF($B303="","",IFERROR(SUMIFS('Dvd Calendar'!$E$505:$CZ$505,'Dvd Calendar'!$E$504:$CZ$504,"&gt;"&amp;C$258,'Dvd Calendar'!$E$504:$CZ$504,"&lt;="&amp;C$259),"")))</f>
        <v/>
      </c>
      <c r="D303" s="140">
        <f>IF(D$259="","",IF($B303="","",IFERROR(SUMIFS('Dvd Calendar'!$E$505:$CZ$505,'Dvd Calendar'!$E$504:$CZ$504,"&gt;"&amp;D$258,'Dvd Calendar'!$E$504:$CZ$504,"&lt;="&amp;D$259),"")))</f>
        <v/>
      </c>
      <c r="E303" s="140">
        <f>IF(E$259="","",IF($B303="","",IFERROR(SUMIFS('Dvd Calendar'!$E$505:$CZ$505,'Dvd Calendar'!$E$504:$CZ$504,"&gt;"&amp;E$258,'Dvd Calendar'!$E$504:$CZ$504,"&lt;="&amp;E$259),"")))</f>
        <v/>
      </c>
      <c r="F303" s="140">
        <f>IF(F$259="","",IF($B303="","",IFERROR(SUMIFS('Dvd Calendar'!$E$505:$CZ$505,'Dvd Calendar'!$E$504:$CZ$504,"&gt;"&amp;F$258,'Dvd Calendar'!$E$504:$CZ$504,"&lt;="&amp;F$259),"")))</f>
        <v/>
      </c>
      <c r="G303" s="140">
        <f>IF(G$259="","",IF($B303="","",IFERROR(SUMIFS('Dvd Calendar'!$E$505:$CZ$505,'Dvd Calendar'!$E$504:$CZ$504,"&gt;"&amp;G$258,'Dvd Calendar'!$E$504:$CZ$504,"&lt;="&amp;G$259),"")))</f>
        <v/>
      </c>
      <c r="H303" s="140">
        <f>IF(H$259="","",IF($B303="","",IFERROR(SUMIFS('Dvd Calendar'!$E$505:$CZ$505,'Dvd Calendar'!$E$504:$CZ$504,"&gt;"&amp;H$258,'Dvd Calendar'!$E$504:$CZ$504,"&lt;="&amp;H$259),"")))</f>
        <v/>
      </c>
      <c r="I303" s="140">
        <f>IF(I$259="","",IF($B303="","",IFERROR(SUMIFS('Dvd Calendar'!$E$505:$CZ$505,'Dvd Calendar'!$E$504:$CZ$504,"&gt;"&amp;I$258,'Dvd Calendar'!$E$504:$CZ$504,"&lt;="&amp;I$259),"")))</f>
        <v/>
      </c>
      <c r="J303" s="140">
        <f>IF(J$259="","",IF($B303="","",IFERROR(SUMIFS('Dvd Calendar'!$E$505:$CZ$505,'Dvd Calendar'!$E$504:$CZ$504,"&gt;"&amp;J$258,'Dvd Calendar'!$E$504:$CZ$504,"&lt;="&amp;J$259),"")))</f>
        <v/>
      </c>
      <c r="K303" s="140">
        <f>IF(K$259="","",IF($B303="","",IFERROR(SUMIFS('Dvd Calendar'!$E$505:$CZ$505,'Dvd Calendar'!$E$504:$CZ$504,"&gt;"&amp;K$258,'Dvd Calendar'!$E$504:$CZ$504,"&lt;="&amp;K$259),"")))</f>
        <v/>
      </c>
      <c r="L303" s="140">
        <f>IF(L$259="","",IF($B303="","",IFERROR(SUMIFS('Dvd Calendar'!$E$505:$CZ$505,'Dvd Calendar'!$E$504:$CZ$504,"&gt;"&amp;L$258,'Dvd Calendar'!$E$504:$CZ$504,"&lt;="&amp;L$259),"")))</f>
        <v/>
      </c>
      <c r="M303" s="140">
        <f>IF(M$259="","",IF($B303="","",IFERROR(SUMIFS('Dvd Calendar'!$E$505:$CZ$505,'Dvd Calendar'!$E$504:$CZ$504,"&gt;"&amp;M$258,'Dvd Calendar'!$E$504:$CZ$504,"&lt;="&amp;M$259),"")))</f>
        <v/>
      </c>
      <c r="N303" s="140">
        <f>IF(N$259="","",IF($B303="","",IFERROR(SUMIFS('Dvd Calendar'!$E$505:$CZ$505,'Dvd Calendar'!$E$504:$CZ$504,"&gt;"&amp;N$258,'Dvd Calendar'!$E$504:$CZ$504,"&lt;="&amp;N$259),"")))</f>
        <v/>
      </c>
      <c r="O303" s="140">
        <f>IF(O$259="","",IF($B303="","",IFERROR(SUMIFS('Dvd Calendar'!$E$505:$CZ$505,'Dvd Calendar'!$E$504:$CZ$504,"&gt;"&amp;O$258,'Dvd Calendar'!$E$504:$CZ$504,"&lt;="&amp;O$259),"")))</f>
        <v/>
      </c>
      <c r="P303" s="140">
        <f>IF(P$259="","",IF($B303="","",IFERROR(SUMIFS('Dvd Calendar'!$E$505:$CZ$505,'Dvd Calendar'!$E$504:$CZ$504,"&gt;"&amp;P$258,'Dvd Calendar'!$E$504:$CZ$504,"&lt;="&amp;P$259),"")))</f>
        <v/>
      </c>
      <c r="Q303" s="140">
        <f>IF(Q$259="","",IF($B303="","",IFERROR(SUMIFS('Dvd Calendar'!$E$505:$CZ$505,'Dvd Calendar'!$E$504:$CZ$504,"&gt;"&amp;Q$258,'Dvd Calendar'!$E$504:$CZ$504,"&lt;="&amp;Q$259),"")))</f>
        <v/>
      </c>
      <c r="R303" s="140">
        <f>IF(R$259="","",IF($B303="","",IFERROR(SUMIFS('Dvd Calendar'!$E$505:$CZ$505,'Dvd Calendar'!$E$504:$CZ$504,"&gt;"&amp;R$258,'Dvd Calendar'!$E$504:$CZ$504,"&lt;="&amp;R$259),"")))</f>
        <v/>
      </c>
    </row>
    <row r="304">
      <c r="B304" s="5">
        <f>IF(MXAU!$C$49="","",MXAU!$C$49)</f>
        <v/>
      </c>
      <c r="C304" s="140">
        <f>IF(C$259="","",IF($B304="","",IFERROR(SUMIFS('Dvd Calendar'!$E$507:$CZ$507,'Dvd Calendar'!$E$506:$CZ$506,"&gt;"&amp;C$258,'Dvd Calendar'!$E$506:$CZ$506,"&lt;="&amp;C$259),"")))</f>
        <v/>
      </c>
      <c r="D304" s="140">
        <f>IF(D$259="","",IF($B304="","",IFERROR(SUMIFS('Dvd Calendar'!$E$507:$CZ$507,'Dvd Calendar'!$E$506:$CZ$506,"&gt;"&amp;D$258,'Dvd Calendar'!$E$506:$CZ$506,"&lt;="&amp;D$259),"")))</f>
        <v/>
      </c>
      <c r="E304" s="140">
        <f>IF(E$259="","",IF($B304="","",IFERROR(SUMIFS('Dvd Calendar'!$E$507:$CZ$507,'Dvd Calendar'!$E$506:$CZ$506,"&gt;"&amp;E$258,'Dvd Calendar'!$E$506:$CZ$506,"&lt;="&amp;E$259),"")))</f>
        <v/>
      </c>
      <c r="F304" s="140">
        <f>IF(F$259="","",IF($B304="","",IFERROR(SUMIFS('Dvd Calendar'!$E$507:$CZ$507,'Dvd Calendar'!$E$506:$CZ$506,"&gt;"&amp;F$258,'Dvd Calendar'!$E$506:$CZ$506,"&lt;="&amp;F$259),"")))</f>
        <v/>
      </c>
      <c r="G304" s="140">
        <f>IF(G$259="","",IF($B304="","",IFERROR(SUMIFS('Dvd Calendar'!$E$507:$CZ$507,'Dvd Calendar'!$E$506:$CZ$506,"&gt;"&amp;G$258,'Dvd Calendar'!$E$506:$CZ$506,"&lt;="&amp;G$259),"")))</f>
        <v/>
      </c>
      <c r="H304" s="140">
        <f>IF(H$259="","",IF($B304="","",IFERROR(SUMIFS('Dvd Calendar'!$E$507:$CZ$507,'Dvd Calendar'!$E$506:$CZ$506,"&gt;"&amp;H$258,'Dvd Calendar'!$E$506:$CZ$506,"&lt;="&amp;H$259),"")))</f>
        <v/>
      </c>
      <c r="I304" s="140">
        <f>IF(I$259="","",IF($B304="","",IFERROR(SUMIFS('Dvd Calendar'!$E$507:$CZ$507,'Dvd Calendar'!$E$506:$CZ$506,"&gt;"&amp;I$258,'Dvd Calendar'!$E$506:$CZ$506,"&lt;="&amp;I$259),"")))</f>
        <v/>
      </c>
      <c r="J304" s="140">
        <f>IF(J$259="","",IF($B304="","",IFERROR(SUMIFS('Dvd Calendar'!$E$507:$CZ$507,'Dvd Calendar'!$E$506:$CZ$506,"&gt;"&amp;J$258,'Dvd Calendar'!$E$506:$CZ$506,"&lt;="&amp;J$259),"")))</f>
        <v/>
      </c>
      <c r="K304" s="140">
        <f>IF(K$259="","",IF($B304="","",IFERROR(SUMIFS('Dvd Calendar'!$E$507:$CZ$507,'Dvd Calendar'!$E$506:$CZ$506,"&gt;"&amp;K$258,'Dvd Calendar'!$E$506:$CZ$506,"&lt;="&amp;K$259),"")))</f>
        <v/>
      </c>
      <c r="L304" s="140">
        <f>IF(L$259="","",IF($B304="","",IFERROR(SUMIFS('Dvd Calendar'!$E$507:$CZ$507,'Dvd Calendar'!$E$506:$CZ$506,"&gt;"&amp;L$258,'Dvd Calendar'!$E$506:$CZ$506,"&lt;="&amp;L$259),"")))</f>
        <v/>
      </c>
      <c r="M304" s="140">
        <f>IF(M$259="","",IF($B304="","",IFERROR(SUMIFS('Dvd Calendar'!$E$507:$CZ$507,'Dvd Calendar'!$E$506:$CZ$506,"&gt;"&amp;M$258,'Dvd Calendar'!$E$506:$CZ$506,"&lt;="&amp;M$259),"")))</f>
        <v/>
      </c>
      <c r="N304" s="140">
        <f>IF(N$259="","",IF($B304="","",IFERROR(SUMIFS('Dvd Calendar'!$E$507:$CZ$507,'Dvd Calendar'!$E$506:$CZ$506,"&gt;"&amp;N$258,'Dvd Calendar'!$E$506:$CZ$506,"&lt;="&amp;N$259),"")))</f>
        <v/>
      </c>
      <c r="O304" s="140">
        <f>IF(O$259="","",IF($B304="","",IFERROR(SUMIFS('Dvd Calendar'!$E$507:$CZ$507,'Dvd Calendar'!$E$506:$CZ$506,"&gt;"&amp;O$258,'Dvd Calendar'!$E$506:$CZ$506,"&lt;="&amp;O$259),"")))</f>
        <v/>
      </c>
      <c r="P304" s="140">
        <f>IF(P$259="","",IF($B304="","",IFERROR(SUMIFS('Dvd Calendar'!$E$507:$CZ$507,'Dvd Calendar'!$E$506:$CZ$506,"&gt;"&amp;P$258,'Dvd Calendar'!$E$506:$CZ$506,"&lt;="&amp;P$259),"")))</f>
        <v/>
      </c>
      <c r="Q304" s="140">
        <f>IF(Q$259="","",IF($B304="","",IFERROR(SUMIFS('Dvd Calendar'!$E$507:$CZ$507,'Dvd Calendar'!$E$506:$CZ$506,"&gt;"&amp;Q$258,'Dvd Calendar'!$E$506:$CZ$506,"&lt;="&amp;Q$259),"")))</f>
        <v/>
      </c>
      <c r="R304" s="140">
        <f>IF(R$259="","",IF($B304="","",IFERROR(SUMIFS('Dvd Calendar'!$E$507:$CZ$507,'Dvd Calendar'!$E$506:$CZ$506,"&gt;"&amp;R$258,'Dvd Calendar'!$E$506:$CZ$506,"&lt;="&amp;R$259),"")))</f>
        <v/>
      </c>
    </row>
    <row r="305">
      <c r="B305" s="5">
        <f>IF(MXAU!$C$50="","",MXAU!$C$50)</f>
        <v/>
      </c>
      <c r="C305" s="140">
        <f>IF(C$259="","",IF($B305="","",IFERROR(SUMIFS('Dvd Calendar'!$E$509:$CZ$509,'Dvd Calendar'!$E$508:$CZ$508,"&gt;"&amp;C$258,'Dvd Calendar'!$E$508:$CZ$508,"&lt;="&amp;C$259),"")))</f>
        <v/>
      </c>
      <c r="D305" s="140">
        <f>IF(D$259="","",IF($B305="","",IFERROR(SUMIFS('Dvd Calendar'!$E$509:$CZ$509,'Dvd Calendar'!$E$508:$CZ$508,"&gt;"&amp;D$258,'Dvd Calendar'!$E$508:$CZ$508,"&lt;="&amp;D$259),"")))</f>
        <v/>
      </c>
      <c r="E305" s="140">
        <f>IF(E$259="","",IF($B305="","",IFERROR(SUMIFS('Dvd Calendar'!$E$509:$CZ$509,'Dvd Calendar'!$E$508:$CZ$508,"&gt;"&amp;E$258,'Dvd Calendar'!$E$508:$CZ$508,"&lt;="&amp;E$259),"")))</f>
        <v/>
      </c>
      <c r="F305" s="140">
        <f>IF(F$259="","",IF($B305="","",IFERROR(SUMIFS('Dvd Calendar'!$E$509:$CZ$509,'Dvd Calendar'!$E$508:$CZ$508,"&gt;"&amp;F$258,'Dvd Calendar'!$E$508:$CZ$508,"&lt;="&amp;F$259),"")))</f>
        <v/>
      </c>
      <c r="G305" s="140">
        <f>IF(G$259="","",IF($B305="","",IFERROR(SUMIFS('Dvd Calendar'!$E$509:$CZ$509,'Dvd Calendar'!$E$508:$CZ$508,"&gt;"&amp;G$258,'Dvd Calendar'!$E$508:$CZ$508,"&lt;="&amp;G$259),"")))</f>
        <v/>
      </c>
      <c r="H305" s="140">
        <f>IF(H$259="","",IF($B305="","",IFERROR(SUMIFS('Dvd Calendar'!$E$509:$CZ$509,'Dvd Calendar'!$E$508:$CZ$508,"&gt;"&amp;H$258,'Dvd Calendar'!$E$508:$CZ$508,"&lt;="&amp;H$259),"")))</f>
        <v/>
      </c>
      <c r="I305" s="140">
        <f>IF(I$259="","",IF($B305="","",IFERROR(SUMIFS('Dvd Calendar'!$E$509:$CZ$509,'Dvd Calendar'!$E$508:$CZ$508,"&gt;"&amp;I$258,'Dvd Calendar'!$E$508:$CZ$508,"&lt;="&amp;I$259),"")))</f>
        <v/>
      </c>
      <c r="J305" s="140">
        <f>IF(J$259="","",IF($B305="","",IFERROR(SUMIFS('Dvd Calendar'!$E$509:$CZ$509,'Dvd Calendar'!$E$508:$CZ$508,"&gt;"&amp;J$258,'Dvd Calendar'!$E$508:$CZ$508,"&lt;="&amp;J$259),"")))</f>
        <v/>
      </c>
      <c r="K305" s="140">
        <f>IF(K$259="","",IF($B305="","",IFERROR(SUMIFS('Dvd Calendar'!$E$509:$CZ$509,'Dvd Calendar'!$E$508:$CZ$508,"&gt;"&amp;K$258,'Dvd Calendar'!$E$508:$CZ$508,"&lt;="&amp;K$259),"")))</f>
        <v/>
      </c>
      <c r="L305" s="140">
        <f>IF(L$259="","",IF($B305="","",IFERROR(SUMIFS('Dvd Calendar'!$E$509:$CZ$509,'Dvd Calendar'!$E$508:$CZ$508,"&gt;"&amp;L$258,'Dvd Calendar'!$E$508:$CZ$508,"&lt;="&amp;L$259),"")))</f>
        <v/>
      </c>
      <c r="M305" s="140">
        <f>IF(M$259="","",IF($B305="","",IFERROR(SUMIFS('Dvd Calendar'!$E$509:$CZ$509,'Dvd Calendar'!$E$508:$CZ$508,"&gt;"&amp;M$258,'Dvd Calendar'!$E$508:$CZ$508,"&lt;="&amp;M$259),"")))</f>
        <v/>
      </c>
      <c r="N305" s="140">
        <f>IF(N$259="","",IF($B305="","",IFERROR(SUMIFS('Dvd Calendar'!$E$509:$CZ$509,'Dvd Calendar'!$E$508:$CZ$508,"&gt;"&amp;N$258,'Dvd Calendar'!$E$508:$CZ$508,"&lt;="&amp;N$259),"")))</f>
        <v/>
      </c>
      <c r="O305" s="140">
        <f>IF(O$259="","",IF($B305="","",IFERROR(SUMIFS('Dvd Calendar'!$E$509:$CZ$509,'Dvd Calendar'!$E$508:$CZ$508,"&gt;"&amp;O$258,'Dvd Calendar'!$E$508:$CZ$508,"&lt;="&amp;O$259),"")))</f>
        <v/>
      </c>
      <c r="P305" s="140">
        <f>IF(P$259="","",IF($B305="","",IFERROR(SUMIFS('Dvd Calendar'!$E$509:$CZ$509,'Dvd Calendar'!$E$508:$CZ$508,"&gt;"&amp;P$258,'Dvd Calendar'!$E$508:$CZ$508,"&lt;="&amp;P$259),"")))</f>
        <v/>
      </c>
      <c r="Q305" s="140">
        <f>IF(Q$259="","",IF($B305="","",IFERROR(SUMIFS('Dvd Calendar'!$E$509:$CZ$509,'Dvd Calendar'!$E$508:$CZ$508,"&gt;"&amp;Q$258,'Dvd Calendar'!$E$508:$CZ$508,"&lt;="&amp;Q$259),"")))</f>
        <v/>
      </c>
      <c r="R305" s="140">
        <f>IF(R$259="","",IF($B305="","",IFERROR(SUMIFS('Dvd Calendar'!$E$509:$CZ$509,'Dvd Calendar'!$E$508:$CZ$508,"&gt;"&amp;R$258,'Dvd Calendar'!$E$508:$CZ$508,"&lt;="&amp;R$259),"")))</f>
        <v/>
      </c>
    </row>
    <row r="306">
      <c r="B306" s="5">
        <f>IF(MXAU!$C$51="","",MXAU!$C$51)</f>
        <v/>
      </c>
      <c r="C306" s="140">
        <f>IF(C$259="","",IF($B306="","",IFERROR(SUMIFS('Dvd Calendar'!$E$511:$CZ$511,'Dvd Calendar'!$E$510:$CZ$510,"&gt;"&amp;C$258,'Dvd Calendar'!$E$510:$CZ$510,"&lt;="&amp;C$259),"")))</f>
        <v/>
      </c>
      <c r="D306" s="140">
        <f>IF(D$259="","",IF($B306="","",IFERROR(SUMIFS('Dvd Calendar'!$E$511:$CZ$511,'Dvd Calendar'!$E$510:$CZ$510,"&gt;"&amp;D$258,'Dvd Calendar'!$E$510:$CZ$510,"&lt;="&amp;D$259),"")))</f>
        <v/>
      </c>
      <c r="E306" s="140">
        <f>IF(E$259="","",IF($B306="","",IFERROR(SUMIFS('Dvd Calendar'!$E$511:$CZ$511,'Dvd Calendar'!$E$510:$CZ$510,"&gt;"&amp;E$258,'Dvd Calendar'!$E$510:$CZ$510,"&lt;="&amp;E$259),"")))</f>
        <v/>
      </c>
      <c r="F306" s="140">
        <f>IF(F$259="","",IF($B306="","",IFERROR(SUMIFS('Dvd Calendar'!$E$511:$CZ$511,'Dvd Calendar'!$E$510:$CZ$510,"&gt;"&amp;F$258,'Dvd Calendar'!$E$510:$CZ$510,"&lt;="&amp;F$259),"")))</f>
        <v/>
      </c>
      <c r="G306" s="140">
        <f>IF(G$259="","",IF($B306="","",IFERROR(SUMIFS('Dvd Calendar'!$E$511:$CZ$511,'Dvd Calendar'!$E$510:$CZ$510,"&gt;"&amp;G$258,'Dvd Calendar'!$E$510:$CZ$510,"&lt;="&amp;G$259),"")))</f>
        <v/>
      </c>
      <c r="H306" s="140">
        <f>IF(H$259="","",IF($B306="","",IFERROR(SUMIFS('Dvd Calendar'!$E$511:$CZ$511,'Dvd Calendar'!$E$510:$CZ$510,"&gt;"&amp;H$258,'Dvd Calendar'!$E$510:$CZ$510,"&lt;="&amp;H$259),"")))</f>
        <v/>
      </c>
      <c r="I306" s="140">
        <f>IF(I$259="","",IF($B306="","",IFERROR(SUMIFS('Dvd Calendar'!$E$511:$CZ$511,'Dvd Calendar'!$E$510:$CZ$510,"&gt;"&amp;I$258,'Dvd Calendar'!$E$510:$CZ$510,"&lt;="&amp;I$259),"")))</f>
        <v/>
      </c>
      <c r="J306" s="140">
        <f>IF(J$259="","",IF($B306="","",IFERROR(SUMIFS('Dvd Calendar'!$E$511:$CZ$511,'Dvd Calendar'!$E$510:$CZ$510,"&gt;"&amp;J$258,'Dvd Calendar'!$E$510:$CZ$510,"&lt;="&amp;J$259),"")))</f>
        <v/>
      </c>
      <c r="K306" s="140">
        <f>IF(K$259="","",IF($B306="","",IFERROR(SUMIFS('Dvd Calendar'!$E$511:$CZ$511,'Dvd Calendar'!$E$510:$CZ$510,"&gt;"&amp;K$258,'Dvd Calendar'!$E$510:$CZ$510,"&lt;="&amp;K$259),"")))</f>
        <v/>
      </c>
      <c r="L306" s="140">
        <f>IF(L$259="","",IF($B306="","",IFERROR(SUMIFS('Dvd Calendar'!$E$511:$CZ$511,'Dvd Calendar'!$E$510:$CZ$510,"&gt;"&amp;L$258,'Dvd Calendar'!$E$510:$CZ$510,"&lt;="&amp;L$259),"")))</f>
        <v/>
      </c>
      <c r="M306" s="140">
        <f>IF(M$259="","",IF($B306="","",IFERROR(SUMIFS('Dvd Calendar'!$E$511:$CZ$511,'Dvd Calendar'!$E$510:$CZ$510,"&gt;"&amp;M$258,'Dvd Calendar'!$E$510:$CZ$510,"&lt;="&amp;M$259),"")))</f>
        <v/>
      </c>
      <c r="N306" s="140">
        <f>IF(N$259="","",IF($B306="","",IFERROR(SUMIFS('Dvd Calendar'!$E$511:$CZ$511,'Dvd Calendar'!$E$510:$CZ$510,"&gt;"&amp;N$258,'Dvd Calendar'!$E$510:$CZ$510,"&lt;="&amp;N$259),"")))</f>
        <v/>
      </c>
      <c r="O306" s="140">
        <f>IF(O$259="","",IF($B306="","",IFERROR(SUMIFS('Dvd Calendar'!$E$511:$CZ$511,'Dvd Calendar'!$E$510:$CZ$510,"&gt;"&amp;O$258,'Dvd Calendar'!$E$510:$CZ$510,"&lt;="&amp;O$259),"")))</f>
        <v/>
      </c>
      <c r="P306" s="140">
        <f>IF(P$259="","",IF($B306="","",IFERROR(SUMIFS('Dvd Calendar'!$E$511:$CZ$511,'Dvd Calendar'!$E$510:$CZ$510,"&gt;"&amp;P$258,'Dvd Calendar'!$E$510:$CZ$510,"&lt;="&amp;P$259),"")))</f>
        <v/>
      </c>
      <c r="Q306" s="140">
        <f>IF(Q$259="","",IF($B306="","",IFERROR(SUMIFS('Dvd Calendar'!$E$511:$CZ$511,'Dvd Calendar'!$E$510:$CZ$510,"&gt;"&amp;Q$258,'Dvd Calendar'!$E$510:$CZ$510,"&lt;="&amp;Q$259),"")))</f>
        <v/>
      </c>
      <c r="R306" s="140">
        <f>IF(R$259="","",IF($B306="","",IFERROR(SUMIFS('Dvd Calendar'!$E$511:$CZ$511,'Dvd Calendar'!$E$510:$CZ$510,"&gt;"&amp;R$258,'Dvd Calendar'!$E$510:$CZ$510,"&lt;="&amp;R$259),"")))</f>
        <v/>
      </c>
    </row>
    <row r="307">
      <c r="B307" s="5">
        <f>IF(MXAU!$C$52="","",MXAU!$C$52)</f>
        <v/>
      </c>
      <c r="C307" s="140">
        <f>IF(C$259="","",IF($B307="","",IFERROR(SUMIFS('Dvd Calendar'!$E$513:$CZ$513,'Dvd Calendar'!$E$512:$CZ$512,"&gt;"&amp;C$258,'Dvd Calendar'!$E$512:$CZ$512,"&lt;="&amp;C$259),"")))</f>
        <v/>
      </c>
      <c r="D307" s="140">
        <f>IF(D$259="","",IF($B307="","",IFERROR(SUMIFS('Dvd Calendar'!$E$513:$CZ$513,'Dvd Calendar'!$E$512:$CZ$512,"&gt;"&amp;D$258,'Dvd Calendar'!$E$512:$CZ$512,"&lt;="&amp;D$259),"")))</f>
        <v/>
      </c>
      <c r="E307" s="140">
        <f>IF(E$259="","",IF($B307="","",IFERROR(SUMIFS('Dvd Calendar'!$E$513:$CZ$513,'Dvd Calendar'!$E$512:$CZ$512,"&gt;"&amp;E$258,'Dvd Calendar'!$E$512:$CZ$512,"&lt;="&amp;E$259),"")))</f>
        <v/>
      </c>
      <c r="F307" s="140">
        <f>IF(F$259="","",IF($B307="","",IFERROR(SUMIFS('Dvd Calendar'!$E$513:$CZ$513,'Dvd Calendar'!$E$512:$CZ$512,"&gt;"&amp;F$258,'Dvd Calendar'!$E$512:$CZ$512,"&lt;="&amp;F$259),"")))</f>
        <v/>
      </c>
      <c r="G307" s="140">
        <f>IF(G$259="","",IF($B307="","",IFERROR(SUMIFS('Dvd Calendar'!$E$513:$CZ$513,'Dvd Calendar'!$E$512:$CZ$512,"&gt;"&amp;G$258,'Dvd Calendar'!$E$512:$CZ$512,"&lt;="&amp;G$259),"")))</f>
        <v/>
      </c>
      <c r="H307" s="140">
        <f>IF(H$259="","",IF($B307="","",IFERROR(SUMIFS('Dvd Calendar'!$E$513:$CZ$513,'Dvd Calendar'!$E$512:$CZ$512,"&gt;"&amp;H$258,'Dvd Calendar'!$E$512:$CZ$512,"&lt;="&amp;H$259),"")))</f>
        <v/>
      </c>
      <c r="I307" s="140">
        <f>IF(I$259="","",IF($B307="","",IFERROR(SUMIFS('Dvd Calendar'!$E$513:$CZ$513,'Dvd Calendar'!$E$512:$CZ$512,"&gt;"&amp;I$258,'Dvd Calendar'!$E$512:$CZ$512,"&lt;="&amp;I$259),"")))</f>
        <v/>
      </c>
      <c r="J307" s="140">
        <f>IF(J$259="","",IF($B307="","",IFERROR(SUMIFS('Dvd Calendar'!$E$513:$CZ$513,'Dvd Calendar'!$E$512:$CZ$512,"&gt;"&amp;J$258,'Dvd Calendar'!$E$512:$CZ$512,"&lt;="&amp;J$259),"")))</f>
        <v/>
      </c>
      <c r="K307" s="140">
        <f>IF(K$259="","",IF($B307="","",IFERROR(SUMIFS('Dvd Calendar'!$E$513:$CZ$513,'Dvd Calendar'!$E$512:$CZ$512,"&gt;"&amp;K$258,'Dvd Calendar'!$E$512:$CZ$512,"&lt;="&amp;K$259),"")))</f>
        <v/>
      </c>
      <c r="L307" s="140">
        <f>IF(L$259="","",IF($B307="","",IFERROR(SUMIFS('Dvd Calendar'!$E$513:$CZ$513,'Dvd Calendar'!$E$512:$CZ$512,"&gt;"&amp;L$258,'Dvd Calendar'!$E$512:$CZ$512,"&lt;="&amp;L$259),"")))</f>
        <v/>
      </c>
      <c r="M307" s="140">
        <f>IF(M$259="","",IF($B307="","",IFERROR(SUMIFS('Dvd Calendar'!$E$513:$CZ$513,'Dvd Calendar'!$E$512:$CZ$512,"&gt;"&amp;M$258,'Dvd Calendar'!$E$512:$CZ$512,"&lt;="&amp;M$259),"")))</f>
        <v/>
      </c>
      <c r="N307" s="140">
        <f>IF(N$259="","",IF($B307="","",IFERROR(SUMIFS('Dvd Calendar'!$E$513:$CZ$513,'Dvd Calendar'!$E$512:$CZ$512,"&gt;"&amp;N$258,'Dvd Calendar'!$E$512:$CZ$512,"&lt;="&amp;N$259),"")))</f>
        <v/>
      </c>
      <c r="O307" s="140">
        <f>IF(O$259="","",IF($B307="","",IFERROR(SUMIFS('Dvd Calendar'!$E$513:$CZ$513,'Dvd Calendar'!$E$512:$CZ$512,"&gt;"&amp;O$258,'Dvd Calendar'!$E$512:$CZ$512,"&lt;="&amp;O$259),"")))</f>
        <v/>
      </c>
      <c r="P307" s="140">
        <f>IF(P$259="","",IF($B307="","",IFERROR(SUMIFS('Dvd Calendar'!$E$513:$CZ$513,'Dvd Calendar'!$E$512:$CZ$512,"&gt;"&amp;P$258,'Dvd Calendar'!$E$512:$CZ$512,"&lt;="&amp;P$259),"")))</f>
        <v/>
      </c>
      <c r="Q307" s="140">
        <f>IF(Q$259="","",IF($B307="","",IFERROR(SUMIFS('Dvd Calendar'!$E$513:$CZ$513,'Dvd Calendar'!$E$512:$CZ$512,"&gt;"&amp;Q$258,'Dvd Calendar'!$E$512:$CZ$512,"&lt;="&amp;Q$259),"")))</f>
        <v/>
      </c>
      <c r="R307" s="140">
        <f>IF(R$259="","",IF($B307="","",IFERROR(SUMIFS('Dvd Calendar'!$E$513:$CZ$513,'Dvd Calendar'!$E$512:$CZ$512,"&gt;"&amp;R$258,'Dvd Calendar'!$E$512:$CZ$512,"&lt;="&amp;R$259),"")))</f>
        <v/>
      </c>
    </row>
    <row r="308">
      <c r="B308" s="5">
        <f>IF(MXAU!$C$53="","",MXAU!$C$53)</f>
        <v/>
      </c>
      <c r="C308" s="140">
        <f>IF(C$259="","",IF($B308="","",IFERROR(SUMIFS('Dvd Calendar'!$E$515:$CZ$515,'Dvd Calendar'!$E$514:$CZ$514,"&gt;"&amp;C$258,'Dvd Calendar'!$E$514:$CZ$514,"&lt;="&amp;C$259),"")))</f>
        <v/>
      </c>
      <c r="D308" s="140">
        <f>IF(D$259="","",IF($B308="","",IFERROR(SUMIFS('Dvd Calendar'!$E$515:$CZ$515,'Dvd Calendar'!$E$514:$CZ$514,"&gt;"&amp;D$258,'Dvd Calendar'!$E$514:$CZ$514,"&lt;="&amp;D$259),"")))</f>
        <v/>
      </c>
      <c r="E308" s="140">
        <f>IF(E$259="","",IF($B308="","",IFERROR(SUMIFS('Dvd Calendar'!$E$515:$CZ$515,'Dvd Calendar'!$E$514:$CZ$514,"&gt;"&amp;E$258,'Dvd Calendar'!$E$514:$CZ$514,"&lt;="&amp;E$259),"")))</f>
        <v/>
      </c>
      <c r="F308" s="140">
        <f>IF(F$259="","",IF($B308="","",IFERROR(SUMIFS('Dvd Calendar'!$E$515:$CZ$515,'Dvd Calendar'!$E$514:$CZ$514,"&gt;"&amp;F$258,'Dvd Calendar'!$E$514:$CZ$514,"&lt;="&amp;F$259),"")))</f>
        <v/>
      </c>
      <c r="G308" s="140">
        <f>IF(G$259="","",IF($B308="","",IFERROR(SUMIFS('Dvd Calendar'!$E$515:$CZ$515,'Dvd Calendar'!$E$514:$CZ$514,"&gt;"&amp;G$258,'Dvd Calendar'!$E$514:$CZ$514,"&lt;="&amp;G$259),"")))</f>
        <v/>
      </c>
      <c r="H308" s="140">
        <f>IF(H$259="","",IF($B308="","",IFERROR(SUMIFS('Dvd Calendar'!$E$515:$CZ$515,'Dvd Calendar'!$E$514:$CZ$514,"&gt;"&amp;H$258,'Dvd Calendar'!$E$514:$CZ$514,"&lt;="&amp;H$259),"")))</f>
        <v/>
      </c>
      <c r="I308" s="140">
        <f>IF(I$259="","",IF($B308="","",IFERROR(SUMIFS('Dvd Calendar'!$E$515:$CZ$515,'Dvd Calendar'!$E$514:$CZ$514,"&gt;"&amp;I$258,'Dvd Calendar'!$E$514:$CZ$514,"&lt;="&amp;I$259),"")))</f>
        <v/>
      </c>
      <c r="J308" s="140">
        <f>IF(J$259="","",IF($B308="","",IFERROR(SUMIFS('Dvd Calendar'!$E$515:$CZ$515,'Dvd Calendar'!$E$514:$CZ$514,"&gt;"&amp;J$258,'Dvd Calendar'!$E$514:$CZ$514,"&lt;="&amp;J$259),"")))</f>
        <v/>
      </c>
      <c r="K308" s="140">
        <f>IF(K$259="","",IF($B308="","",IFERROR(SUMIFS('Dvd Calendar'!$E$515:$CZ$515,'Dvd Calendar'!$E$514:$CZ$514,"&gt;"&amp;K$258,'Dvd Calendar'!$E$514:$CZ$514,"&lt;="&amp;K$259),"")))</f>
        <v/>
      </c>
      <c r="L308" s="140">
        <f>IF(L$259="","",IF($B308="","",IFERROR(SUMIFS('Dvd Calendar'!$E$515:$CZ$515,'Dvd Calendar'!$E$514:$CZ$514,"&gt;"&amp;L$258,'Dvd Calendar'!$E$514:$CZ$514,"&lt;="&amp;L$259),"")))</f>
        <v/>
      </c>
      <c r="M308" s="140">
        <f>IF(M$259="","",IF($B308="","",IFERROR(SUMIFS('Dvd Calendar'!$E$515:$CZ$515,'Dvd Calendar'!$E$514:$CZ$514,"&gt;"&amp;M$258,'Dvd Calendar'!$E$514:$CZ$514,"&lt;="&amp;M$259),"")))</f>
        <v/>
      </c>
      <c r="N308" s="140">
        <f>IF(N$259="","",IF($B308="","",IFERROR(SUMIFS('Dvd Calendar'!$E$515:$CZ$515,'Dvd Calendar'!$E$514:$CZ$514,"&gt;"&amp;N$258,'Dvd Calendar'!$E$514:$CZ$514,"&lt;="&amp;N$259),"")))</f>
        <v/>
      </c>
      <c r="O308" s="140">
        <f>IF(O$259="","",IF($B308="","",IFERROR(SUMIFS('Dvd Calendar'!$E$515:$CZ$515,'Dvd Calendar'!$E$514:$CZ$514,"&gt;"&amp;O$258,'Dvd Calendar'!$E$514:$CZ$514,"&lt;="&amp;O$259),"")))</f>
        <v/>
      </c>
      <c r="P308" s="140">
        <f>IF(P$259="","",IF($B308="","",IFERROR(SUMIFS('Dvd Calendar'!$E$515:$CZ$515,'Dvd Calendar'!$E$514:$CZ$514,"&gt;"&amp;P$258,'Dvd Calendar'!$E$514:$CZ$514,"&lt;="&amp;P$259),"")))</f>
        <v/>
      </c>
      <c r="Q308" s="140">
        <f>IF(Q$259="","",IF($B308="","",IFERROR(SUMIFS('Dvd Calendar'!$E$515:$CZ$515,'Dvd Calendar'!$E$514:$CZ$514,"&gt;"&amp;Q$258,'Dvd Calendar'!$E$514:$CZ$514,"&lt;="&amp;Q$259),"")))</f>
        <v/>
      </c>
      <c r="R308" s="140">
        <f>IF(R$259="","",IF($B308="","",IFERROR(SUMIFS('Dvd Calendar'!$E$515:$CZ$515,'Dvd Calendar'!$E$514:$CZ$514,"&gt;"&amp;R$258,'Dvd Calendar'!$E$514:$CZ$514,"&lt;="&amp;R$259),"")))</f>
        <v/>
      </c>
    </row>
    <row r="309">
      <c r="B309" s="5">
        <f>IF(MXAU!$C$54="","",MXAU!$C$54)</f>
        <v/>
      </c>
      <c r="C309" s="140">
        <f>IF(C$259="","",IF($B309="","",IFERROR(SUMIFS('Dvd Calendar'!$E$517:$CZ$517,'Dvd Calendar'!$E$516:$CZ$516,"&gt;"&amp;C$258,'Dvd Calendar'!$E$516:$CZ$516,"&lt;="&amp;C$259),"")))</f>
        <v/>
      </c>
      <c r="D309" s="140">
        <f>IF(D$259="","",IF($B309="","",IFERROR(SUMIFS('Dvd Calendar'!$E$517:$CZ$517,'Dvd Calendar'!$E$516:$CZ$516,"&gt;"&amp;D$258,'Dvd Calendar'!$E$516:$CZ$516,"&lt;="&amp;D$259),"")))</f>
        <v/>
      </c>
      <c r="E309" s="140">
        <f>IF(E$259="","",IF($B309="","",IFERROR(SUMIFS('Dvd Calendar'!$E$517:$CZ$517,'Dvd Calendar'!$E$516:$CZ$516,"&gt;"&amp;E$258,'Dvd Calendar'!$E$516:$CZ$516,"&lt;="&amp;E$259),"")))</f>
        <v/>
      </c>
      <c r="F309" s="140">
        <f>IF(F$259="","",IF($B309="","",IFERROR(SUMIFS('Dvd Calendar'!$E$517:$CZ$517,'Dvd Calendar'!$E$516:$CZ$516,"&gt;"&amp;F$258,'Dvd Calendar'!$E$516:$CZ$516,"&lt;="&amp;F$259),"")))</f>
        <v/>
      </c>
      <c r="G309" s="140">
        <f>IF(G$259="","",IF($B309="","",IFERROR(SUMIFS('Dvd Calendar'!$E$517:$CZ$517,'Dvd Calendar'!$E$516:$CZ$516,"&gt;"&amp;G$258,'Dvd Calendar'!$E$516:$CZ$516,"&lt;="&amp;G$259),"")))</f>
        <v/>
      </c>
      <c r="H309" s="140">
        <f>IF(H$259="","",IF($B309="","",IFERROR(SUMIFS('Dvd Calendar'!$E$517:$CZ$517,'Dvd Calendar'!$E$516:$CZ$516,"&gt;"&amp;H$258,'Dvd Calendar'!$E$516:$CZ$516,"&lt;="&amp;H$259),"")))</f>
        <v/>
      </c>
      <c r="I309" s="140">
        <f>IF(I$259="","",IF($B309="","",IFERROR(SUMIFS('Dvd Calendar'!$E$517:$CZ$517,'Dvd Calendar'!$E$516:$CZ$516,"&gt;"&amp;I$258,'Dvd Calendar'!$E$516:$CZ$516,"&lt;="&amp;I$259),"")))</f>
        <v/>
      </c>
      <c r="J309" s="140">
        <f>IF(J$259="","",IF($B309="","",IFERROR(SUMIFS('Dvd Calendar'!$E$517:$CZ$517,'Dvd Calendar'!$E$516:$CZ$516,"&gt;"&amp;J$258,'Dvd Calendar'!$E$516:$CZ$516,"&lt;="&amp;J$259),"")))</f>
        <v/>
      </c>
      <c r="K309" s="140">
        <f>IF(K$259="","",IF($B309="","",IFERROR(SUMIFS('Dvd Calendar'!$E$517:$CZ$517,'Dvd Calendar'!$E$516:$CZ$516,"&gt;"&amp;K$258,'Dvd Calendar'!$E$516:$CZ$516,"&lt;="&amp;K$259),"")))</f>
        <v/>
      </c>
      <c r="L309" s="140">
        <f>IF(L$259="","",IF($B309="","",IFERROR(SUMIFS('Dvd Calendar'!$E$517:$CZ$517,'Dvd Calendar'!$E$516:$CZ$516,"&gt;"&amp;L$258,'Dvd Calendar'!$E$516:$CZ$516,"&lt;="&amp;L$259),"")))</f>
        <v/>
      </c>
      <c r="M309" s="140">
        <f>IF(M$259="","",IF($B309="","",IFERROR(SUMIFS('Dvd Calendar'!$E$517:$CZ$517,'Dvd Calendar'!$E$516:$CZ$516,"&gt;"&amp;M$258,'Dvd Calendar'!$E$516:$CZ$516,"&lt;="&amp;M$259),"")))</f>
        <v/>
      </c>
      <c r="N309" s="140">
        <f>IF(N$259="","",IF($B309="","",IFERROR(SUMIFS('Dvd Calendar'!$E$517:$CZ$517,'Dvd Calendar'!$E$516:$CZ$516,"&gt;"&amp;N$258,'Dvd Calendar'!$E$516:$CZ$516,"&lt;="&amp;N$259),"")))</f>
        <v/>
      </c>
      <c r="O309" s="140">
        <f>IF(O$259="","",IF($B309="","",IFERROR(SUMIFS('Dvd Calendar'!$E$517:$CZ$517,'Dvd Calendar'!$E$516:$CZ$516,"&gt;"&amp;O$258,'Dvd Calendar'!$E$516:$CZ$516,"&lt;="&amp;O$259),"")))</f>
        <v/>
      </c>
      <c r="P309" s="140">
        <f>IF(P$259="","",IF($B309="","",IFERROR(SUMIFS('Dvd Calendar'!$E$517:$CZ$517,'Dvd Calendar'!$E$516:$CZ$516,"&gt;"&amp;P$258,'Dvd Calendar'!$E$516:$CZ$516,"&lt;="&amp;P$259),"")))</f>
        <v/>
      </c>
      <c r="Q309" s="140">
        <f>IF(Q$259="","",IF($B309="","",IFERROR(SUMIFS('Dvd Calendar'!$E$517:$CZ$517,'Dvd Calendar'!$E$516:$CZ$516,"&gt;"&amp;Q$258,'Dvd Calendar'!$E$516:$CZ$516,"&lt;="&amp;Q$259),"")))</f>
        <v/>
      </c>
      <c r="R309" s="140">
        <f>IF(R$259="","",IF($B309="","",IFERROR(SUMIFS('Dvd Calendar'!$E$517:$CZ$517,'Dvd Calendar'!$E$516:$CZ$516,"&gt;"&amp;R$258,'Dvd Calendar'!$E$516:$CZ$516,"&lt;="&amp;R$259),"")))</f>
        <v/>
      </c>
    </row>
    <row r="310">
      <c r="B310" s="5">
        <f>IF(MXAU!$C$55="","",MXAU!$C$55)</f>
        <v/>
      </c>
      <c r="C310" s="140">
        <f>IF(C$259="","",IF($B310="","",IFERROR(SUMIFS('Dvd Calendar'!$E$519:$CZ$519,'Dvd Calendar'!$E$518:$CZ$518,"&gt;"&amp;C$258,'Dvd Calendar'!$E$518:$CZ$518,"&lt;="&amp;C$259),"")))</f>
        <v/>
      </c>
      <c r="D310" s="140">
        <f>IF(D$259="","",IF($B310="","",IFERROR(SUMIFS('Dvd Calendar'!$E$519:$CZ$519,'Dvd Calendar'!$E$518:$CZ$518,"&gt;"&amp;D$258,'Dvd Calendar'!$E$518:$CZ$518,"&lt;="&amp;D$259),"")))</f>
        <v/>
      </c>
      <c r="E310" s="140">
        <f>IF(E$259="","",IF($B310="","",IFERROR(SUMIFS('Dvd Calendar'!$E$519:$CZ$519,'Dvd Calendar'!$E$518:$CZ$518,"&gt;"&amp;E$258,'Dvd Calendar'!$E$518:$CZ$518,"&lt;="&amp;E$259),"")))</f>
        <v/>
      </c>
      <c r="F310" s="140">
        <f>IF(F$259="","",IF($B310="","",IFERROR(SUMIFS('Dvd Calendar'!$E$519:$CZ$519,'Dvd Calendar'!$E$518:$CZ$518,"&gt;"&amp;F$258,'Dvd Calendar'!$E$518:$CZ$518,"&lt;="&amp;F$259),"")))</f>
        <v/>
      </c>
      <c r="G310" s="140">
        <f>IF(G$259="","",IF($B310="","",IFERROR(SUMIFS('Dvd Calendar'!$E$519:$CZ$519,'Dvd Calendar'!$E$518:$CZ$518,"&gt;"&amp;G$258,'Dvd Calendar'!$E$518:$CZ$518,"&lt;="&amp;G$259),"")))</f>
        <v/>
      </c>
      <c r="H310" s="140">
        <f>IF(H$259="","",IF($B310="","",IFERROR(SUMIFS('Dvd Calendar'!$E$519:$CZ$519,'Dvd Calendar'!$E$518:$CZ$518,"&gt;"&amp;H$258,'Dvd Calendar'!$E$518:$CZ$518,"&lt;="&amp;H$259),"")))</f>
        <v/>
      </c>
      <c r="I310" s="140">
        <f>IF(I$259="","",IF($B310="","",IFERROR(SUMIFS('Dvd Calendar'!$E$519:$CZ$519,'Dvd Calendar'!$E$518:$CZ$518,"&gt;"&amp;I$258,'Dvd Calendar'!$E$518:$CZ$518,"&lt;="&amp;I$259),"")))</f>
        <v/>
      </c>
      <c r="J310" s="140">
        <f>IF(J$259="","",IF($B310="","",IFERROR(SUMIFS('Dvd Calendar'!$E$519:$CZ$519,'Dvd Calendar'!$E$518:$CZ$518,"&gt;"&amp;J$258,'Dvd Calendar'!$E$518:$CZ$518,"&lt;="&amp;J$259),"")))</f>
        <v/>
      </c>
      <c r="K310" s="140">
        <f>IF(K$259="","",IF($B310="","",IFERROR(SUMIFS('Dvd Calendar'!$E$519:$CZ$519,'Dvd Calendar'!$E$518:$CZ$518,"&gt;"&amp;K$258,'Dvd Calendar'!$E$518:$CZ$518,"&lt;="&amp;K$259),"")))</f>
        <v/>
      </c>
      <c r="L310" s="140">
        <f>IF(L$259="","",IF($B310="","",IFERROR(SUMIFS('Dvd Calendar'!$E$519:$CZ$519,'Dvd Calendar'!$E$518:$CZ$518,"&gt;"&amp;L$258,'Dvd Calendar'!$E$518:$CZ$518,"&lt;="&amp;L$259),"")))</f>
        <v/>
      </c>
      <c r="M310" s="140">
        <f>IF(M$259="","",IF($B310="","",IFERROR(SUMIFS('Dvd Calendar'!$E$519:$CZ$519,'Dvd Calendar'!$E$518:$CZ$518,"&gt;"&amp;M$258,'Dvd Calendar'!$E$518:$CZ$518,"&lt;="&amp;M$259),"")))</f>
        <v/>
      </c>
      <c r="N310" s="140">
        <f>IF(N$259="","",IF($B310="","",IFERROR(SUMIFS('Dvd Calendar'!$E$519:$CZ$519,'Dvd Calendar'!$E$518:$CZ$518,"&gt;"&amp;N$258,'Dvd Calendar'!$E$518:$CZ$518,"&lt;="&amp;N$259),"")))</f>
        <v/>
      </c>
      <c r="O310" s="140">
        <f>IF(O$259="","",IF($B310="","",IFERROR(SUMIFS('Dvd Calendar'!$E$519:$CZ$519,'Dvd Calendar'!$E$518:$CZ$518,"&gt;"&amp;O$258,'Dvd Calendar'!$E$518:$CZ$518,"&lt;="&amp;O$259),"")))</f>
        <v/>
      </c>
      <c r="P310" s="140">
        <f>IF(P$259="","",IF($B310="","",IFERROR(SUMIFS('Dvd Calendar'!$E$519:$CZ$519,'Dvd Calendar'!$E$518:$CZ$518,"&gt;"&amp;P$258,'Dvd Calendar'!$E$518:$CZ$518,"&lt;="&amp;P$259),"")))</f>
        <v/>
      </c>
      <c r="Q310" s="140">
        <f>IF(Q$259="","",IF($B310="","",IFERROR(SUMIFS('Dvd Calendar'!$E$519:$CZ$519,'Dvd Calendar'!$E$518:$CZ$518,"&gt;"&amp;Q$258,'Dvd Calendar'!$E$518:$CZ$518,"&lt;="&amp;Q$259),"")))</f>
        <v/>
      </c>
      <c r="R310" s="140">
        <f>IF(R$259="","",IF($B310="","",IFERROR(SUMIFS('Dvd Calendar'!$E$519:$CZ$519,'Dvd Calendar'!$E$518:$CZ$518,"&gt;"&amp;R$258,'Dvd Calendar'!$E$518:$CZ$518,"&lt;="&amp;R$259),"")))</f>
        <v/>
      </c>
    </row>
    <row r="311">
      <c r="B311" s="5">
        <f>IF(MXAU!$C$56="","",MXAU!$C$56)</f>
        <v/>
      </c>
      <c r="C311" s="140">
        <f>IF(C$259="","",IF($B311="","",IFERROR(SUMIFS('Dvd Calendar'!$E$521:$CZ$521,'Dvd Calendar'!$E$520:$CZ$520,"&gt;"&amp;C$258,'Dvd Calendar'!$E$520:$CZ$520,"&lt;="&amp;C$259),"")))</f>
        <v/>
      </c>
      <c r="D311" s="140">
        <f>IF(D$259="","",IF($B311="","",IFERROR(SUMIFS('Dvd Calendar'!$E$521:$CZ$521,'Dvd Calendar'!$E$520:$CZ$520,"&gt;"&amp;D$258,'Dvd Calendar'!$E$520:$CZ$520,"&lt;="&amp;D$259),"")))</f>
        <v/>
      </c>
      <c r="E311" s="140">
        <f>IF(E$259="","",IF($B311="","",IFERROR(SUMIFS('Dvd Calendar'!$E$521:$CZ$521,'Dvd Calendar'!$E$520:$CZ$520,"&gt;"&amp;E$258,'Dvd Calendar'!$E$520:$CZ$520,"&lt;="&amp;E$259),"")))</f>
        <v/>
      </c>
      <c r="F311" s="140">
        <f>IF(F$259="","",IF($B311="","",IFERROR(SUMIFS('Dvd Calendar'!$E$521:$CZ$521,'Dvd Calendar'!$E$520:$CZ$520,"&gt;"&amp;F$258,'Dvd Calendar'!$E$520:$CZ$520,"&lt;="&amp;F$259),"")))</f>
        <v/>
      </c>
      <c r="G311" s="140">
        <f>IF(G$259="","",IF($B311="","",IFERROR(SUMIFS('Dvd Calendar'!$E$521:$CZ$521,'Dvd Calendar'!$E$520:$CZ$520,"&gt;"&amp;G$258,'Dvd Calendar'!$E$520:$CZ$520,"&lt;="&amp;G$259),"")))</f>
        <v/>
      </c>
      <c r="H311" s="140">
        <f>IF(H$259="","",IF($B311="","",IFERROR(SUMIFS('Dvd Calendar'!$E$521:$CZ$521,'Dvd Calendar'!$E$520:$CZ$520,"&gt;"&amp;H$258,'Dvd Calendar'!$E$520:$CZ$520,"&lt;="&amp;H$259),"")))</f>
        <v/>
      </c>
      <c r="I311" s="140">
        <f>IF(I$259="","",IF($B311="","",IFERROR(SUMIFS('Dvd Calendar'!$E$521:$CZ$521,'Dvd Calendar'!$E$520:$CZ$520,"&gt;"&amp;I$258,'Dvd Calendar'!$E$520:$CZ$520,"&lt;="&amp;I$259),"")))</f>
        <v/>
      </c>
      <c r="J311" s="140">
        <f>IF(J$259="","",IF($B311="","",IFERROR(SUMIFS('Dvd Calendar'!$E$521:$CZ$521,'Dvd Calendar'!$E$520:$CZ$520,"&gt;"&amp;J$258,'Dvd Calendar'!$E$520:$CZ$520,"&lt;="&amp;J$259),"")))</f>
        <v/>
      </c>
      <c r="K311" s="140">
        <f>IF(K$259="","",IF($B311="","",IFERROR(SUMIFS('Dvd Calendar'!$E$521:$CZ$521,'Dvd Calendar'!$E$520:$CZ$520,"&gt;"&amp;K$258,'Dvd Calendar'!$E$520:$CZ$520,"&lt;="&amp;K$259),"")))</f>
        <v/>
      </c>
      <c r="L311" s="140">
        <f>IF(L$259="","",IF($B311="","",IFERROR(SUMIFS('Dvd Calendar'!$E$521:$CZ$521,'Dvd Calendar'!$E$520:$CZ$520,"&gt;"&amp;L$258,'Dvd Calendar'!$E$520:$CZ$520,"&lt;="&amp;L$259),"")))</f>
        <v/>
      </c>
      <c r="M311" s="140">
        <f>IF(M$259="","",IF($B311="","",IFERROR(SUMIFS('Dvd Calendar'!$E$521:$CZ$521,'Dvd Calendar'!$E$520:$CZ$520,"&gt;"&amp;M$258,'Dvd Calendar'!$E$520:$CZ$520,"&lt;="&amp;M$259),"")))</f>
        <v/>
      </c>
      <c r="N311" s="140">
        <f>IF(N$259="","",IF($B311="","",IFERROR(SUMIFS('Dvd Calendar'!$E$521:$CZ$521,'Dvd Calendar'!$E$520:$CZ$520,"&gt;"&amp;N$258,'Dvd Calendar'!$E$520:$CZ$520,"&lt;="&amp;N$259),"")))</f>
        <v/>
      </c>
      <c r="O311" s="140">
        <f>IF(O$259="","",IF($B311="","",IFERROR(SUMIFS('Dvd Calendar'!$E$521:$CZ$521,'Dvd Calendar'!$E$520:$CZ$520,"&gt;"&amp;O$258,'Dvd Calendar'!$E$520:$CZ$520,"&lt;="&amp;O$259),"")))</f>
        <v/>
      </c>
      <c r="P311" s="140">
        <f>IF(P$259="","",IF($B311="","",IFERROR(SUMIFS('Dvd Calendar'!$E$521:$CZ$521,'Dvd Calendar'!$E$520:$CZ$520,"&gt;"&amp;P$258,'Dvd Calendar'!$E$520:$CZ$520,"&lt;="&amp;P$259),"")))</f>
        <v/>
      </c>
      <c r="Q311" s="140">
        <f>IF(Q$259="","",IF($B311="","",IFERROR(SUMIFS('Dvd Calendar'!$E$521:$CZ$521,'Dvd Calendar'!$E$520:$CZ$520,"&gt;"&amp;Q$258,'Dvd Calendar'!$E$520:$CZ$520,"&lt;="&amp;Q$259),"")))</f>
        <v/>
      </c>
      <c r="R311" s="140">
        <f>IF(R$259="","",IF($B311="","",IFERROR(SUMIFS('Dvd Calendar'!$E$521:$CZ$521,'Dvd Calendar'!$E$520:$CZ$520,"&gt;"&amp;R$258,'Dvd Calendar'!$E$520:$CZ$520,"&lt;="&amp;R$259),"")))</f>
        <v/>
      </c>
    </row>
    <row r="312">
      <c r="B312" s="5">
        <f>IF(MXAU!$C$57="","",MXAU!$C$57)</f>
        <v/>
      </c>
      <c r="C312" s="140">
        <f>IF(C$259="","",IF($B312="","",IFERROR(SUMIFS('Dvd Calendar'!$E$523:$CZ$523,'Dvd Calendar'!$E$522:$CZ$522,"&gt;"&amp;C$258,'Dvd Calendar'!$E$522:$CZ$522,"&lt;="&amp;C$259),"")))</f>
        <v/>
      </c>
      <c r="D312" s="140">
        <f>IF(D$259="","",IF($B312="","",IFERROR(SUMIFS('Dvd Calendar'!$E$523:$CZ$523,'Dvd Calendar'!$E$522:$CZ$522,"&gt;"&amp;D$258,'Dvd Calendar'!$E$522:$CZ$522,"&lt;="&amp;D$259),"")))</f>
        <v/>
      </c>
      <c r="E312" s="140">
        <f>IF(E$259="","",IF($B312="","",IFERROR(SUMIFS('Dvd Calendar'!$E$523:$CZ$523,'Dvd Calendar'!$E$522:$CZ$522,"&gt;"&amp;E$258,'Dvd Calendar'!$E$522:$CZ$522,"&lt;="&amp;E$259),"")))</f>
        <v/>
      </c>
      <c r="F312" s="140">
        <f>IF(F$259="","",IF($B312="","",IFERROR(SUMIFS('Dvd Calendar'!$E$523:$CZ$523,'Dvd Calendar'!$E$522:$CZ$522,"&gt;"&amp;F$258,'Dvd Calendar'!$E$522:$CZ$522,"&lt;="&amp;F$259),"")))</f>
        <v/>
      </c>
      <c r="G312" s="140">
        <f>IF(G$259="","",IF($B312="","",IFERROR(SUMIFS('Dvd Calendar'!$E$523:$CZ$523,'Dvd Calendar'!$E$522:$CZ$522,"&gt;"&amp;G$258,'Dvd Calendar'!$E$522:$CZ$522,"&lt;="&amp;G$259),"")))</f>
        <v/>
      </c>
      <c r="H312" s="140">
        <f>IF(H$259="","",IF($B312="","",IFERROR(SUMIFS('Dvd Calendar'!$E$523:$CZ$523,'Dvd Calendar'!$E$522:$CZ$522,"&gt;"&amp;H$258,'Dvd Calendar'!$E$522:$CZ$522,"&lt;="&amp;H$259),"")))</f>
        <v/>
      </c>
      <c r="I312" s="140">
        <f>IF(I$259="","",IF($B312="","",IFERROR(SUMIFS('Dvd Calendar'!$E$523:$CZ$523,'Dvd Calendar'!$E$522:$CZ$522,"&gt;"&amp;I$258,'Dvd Calendar'!$E$522:$CZ$522,"&lt;="&amp;I$259),"")))</f>
        <v/>
      </c>
      <c r="J312" s="140">
        <f>IF(J$259="","",IF($B312="","",IFERROR(SUMIFS('Dvd Calendar'!$E$523:$CZ$523,'Dvd Calendar'!$E$522:$CZ$522,"&gt;"&amp;J$258,'Dvd Calendar'!$E$522:$CZ$522,"&lt;="&amp;J$259),"")))</f>
        <v/>
      </c>
      <c r="K312" s="140">
        <f>IF(K$259="","",IF($B312="","",IFERROR(SUMIFS('Dvd Calendar'!$E$523:$CZ$523,'Dvd Calendar'!$E$522:$CZ$522,"&gt;"&amp;K$258,'Dvd Calendar'!$E$522:$CZ$522,"&lt;="&amp;K$259),"")))</f>
        <v/>
      </c>
      <c r="L312" s="140">
        <f>IF(L$259="","",IF($B312="","",IFERROR(SUMIFS('Dvd Calendar'!$E$523:$CZ$523,'Dvd Calendar'!$E$522:$CZ$522,"&gt;"&amp;L$258,'Dvd Calendar'!$E$522:$CZ$522,"&lt;="&amp;L$259),"")))</f>
        <v/>
      </c>
      <c r="M312" s="140">
        <f>IF(M$259="","",IF($B312="","",IFERROR(SUMIFS('Dvd Calendar'!$E$523:$CZ$523,'Dvd Calendar'!$E$522:$CZ$522,"&gt;"&amp;M$258,'Dvd Calendar'!$E$522:$CZ$522,"&lt;="&amp;M$259),"")))</f>
        <v/>
      </c>
      <c r="N312" s="140">
        <f>IF(N$259="","",IF($B312="","",IFERROR(SUMIFS('Dvd Calendar'!$E$523:$CZ$523,'Dvd Calendar'!$E$522:$CZ$522,"&gt;"&amp;N$258,'Dvd Calendar'!$E$522:$CZ$522,"&lt;="&amp;N$259),"")))</f>
        <v/>
      </c>
      <c r="O312" s="140">
        <f>IF(O$259="","",IF($B312="","",IFERROR(SUMIFS('Dvd Calendar'!$E$523:$CZ$523,'Dvd Calendar'!$E$522:$CZ$522,"&gt;"&amp;O$258,'Dvd Calendar'!$E$522:$CZ$522,"&lt;="&amp;O$259),"")))</f>
        <v/>
      </c>
      <c r="P312" s="140">
        <f>IF(P$259="","",IF($B312="","",IFERROR(SUMIFS('Dvd Calendar'!$E$523:$CZ$523,'Dvd Calendar'!$E$522:$CZ$522,"&gt;"&amp;P$258,'Dvd Calendar'!$E$522:$CZ$522,"&lt;="&amp;P$259),"")))</f>
        <v/>
      </c>
      <c r="Q312" s="140">
        <f>IF(Q$259="","",IF($B312="","",IFERROR(SUMIFS('Dvd Calendar'!$E$523:$CZ$523,'Dvd Calendar'!$E$522:$CZ$522,"&gt;"&amp;Q$258,'Dvd Calendar'!$E$522:$CZ$522,"&lt;="&amp;Q$259),"")))</f>
        <v/>
      </c>
      <c r="R312" s="140">
        <f>IF(R$259="","",IF($B312="","",IFERROR(SUMIFS('Dvd Calendar'!$E$523:$CZ$523,'Dvd Calendar'!$E$522:$CZ$522,"&gt;"&amp;R$258,'Dvd Calendar'!$E$522:$CZ$522,"&lt;="&amp;R$259),"")))</f>
        <v/>
      </c>
    </row>
    <row r="313">
      <c r="B313" s="5">
        <f>IF(MXAU!$C$58="","",MXAU!$C$58)</f>
        <v/>
      </c>
      <c r="C313" s="140">
        <f>IF(C$259="","",IF($B313="","",IFERROR(SUMIFS('Dvd Calendar'!$E$525:$CZ$525,'Dvd Calendar'!$E$524:$CZ$524,"&gt;"&amp;C$258,'Dvd Calendar'!$E$524:$CZ$524,"&lt;="&amp;C$259),"")))</f>
        <v/>
      </c>
      <c r="D313" s="140">
        <f>IF(D$259="","",IF($B313="","",IFERROR(SUMIFS('Dvd Calendar'!$E$525:$CZ$525,'Dvd Calendar'!$E$524:$CZ$524,"&gt;"&amp;D$258,'Dvd Calendar'!$E$524:$CZ$524,"&lt;="&amp;D$259),"")))</f>
        <v/>
      </c>
      <c r="E313" s="140">
        <f>IF(E$259="","",IF($B313="","",IFERROR(SUMIFS('Dvd Calendar'!$E$525:$CZ$525,'Dvd Calendar'!$E$524:$CZ$524,"&gt;"&amp;E$258,'Dvd Calendar'!$E$524:$CZ$524,"&lt;="&amp;E$259),"")))</f>
        <v/>
      </c>
      <c r="F313" s="140">
        <f>IF(F$259="","",IF($B313="","",IFERROR(SUMIFS('Dvd Calendar'!$E$525:$CZ$525,'Dvd Calendar'!$E$524:$CZ$524,"&gt;"&amp;F$258,'Dvd Calendar'!$E$524:$CZ$524,"&lt;="&amp;F$259),"")))</f>
        <v/>
      </c>
      <c r="G313" s="140">
        <f>IF(G$259="","",IF($B313="","",IFERROR(SUMIFS('Dvd Calendar'!$E$525:$CZ$525,'Dvd Calendar'!$E$524:$CZ$524,"&gt;"&amp;G$258,'Dvd Calendar'!$E$524:$CZ$524,"&lt;="&amp;G$259),"")))</f>
        <v/>
      </c>
      <c r="H313" s="140">
        <f>IF(H$259="","",IF($B313="","",IFERROR(SUMIFS('Dvd Calendar'!$E$525:$CZ$525,'Dvd Calendar'!$E$524:$CZ$524,"&gt;"&amp;H$258,'Dvd Calendar'!$E$524:$CZ$524,"&lt;="&amp;H$259),"")))</f>
        <v/>
      </c>
      <c r="I313" s="140">
        <f>IF(I$259="","",IF($B313="","",IFERROR(SUMIFS('Dvd Calendar'!$E$525:$CZ$525,'Dvd Calendar'!$E$524:$CZ$524,"&gt;"&amp;I$258,'Dvd Calendar'!$E$524:$CZ$524,"&lt;="&amp;I$259),"")))</f>
        <v/>
      </c>
      <c r="J313" s="140">
        <f>IF(J$259="","",IF($B313="","",IFERROR(SUMIFS('Dvd Calendar'!$E$525:$CZ$525,'Dvd Calendar'!$E$524:$CZ$524,"&gt;"&amp;J$258,'Dvd Calendar'!$E$524:$CZ$524,"&lt;="&amp;J$259),"")))</f>
        <v/>
      </c>
      <c r="K313" s="140">
        <f>IF(K$259="","",IF($B313="","",IFERROR(SUMIFS('Dvd Calendar'!$E$525:$CZ$525,'Dvd Calendar'!$E$524:$CZ$524,"&gt;"&amp;K$258,'Dvd Calendar'!$E$524:$CZ$524,"&lt;="&amp;K$259),"")))</f>
        <v/>
      </c>
      <c r="L313" s="140">
        <f>IF(L$259="","",IF($B313="","",IFERROR(SUMIFS('Dvd Calendar'!$E$525:$CZ$525,'Dvd Calendar'!$E$524:$CZ$524,"&gt;"&amp;L$258,'Dvd Calendar'!$E$524:$CZ$524,"&lt;="&amp;L$259),"")))</f>
        <v/>
      </c>
      <c r="M313" s="140">
        <f>IF(M$259="","",IF($B313="","",IFERROR(SUMIFS('Dvd Calendar'!$E$525:$CZ$525,'Dvd Calendar'!$E$524:$CZ$524,"&gt;"&amp;M$258,'Dvd Calendar'!$E$524:$CZ$524,"&lt;="&amp;M$259),"")))</f>
        <v/>
      </c>
      <c r="N313" s="140">
        <f>IF(N$259="","",IF($B313="","",IFERROR(SUMIFS('Dvd Calendar'!$E$525:$CZ$525,'Dvd Calendar'!$E$524:$CZ$524,"&gt;"&amp;N$258,'Dvd Calendar'!$E$524:$CZ$524,"&lt;="&amp;N$259),"")))</f>
        <v/>
      </c>
      <c r="O313" s="140">
        <f>IF(O$259="","",IF($B313="","",IFERROR(SUMIFS('Dvd Calendar'!$E$525:$CZ$525,'Dvd Calendar'!$E$524:$CZ$524,"&gt;"&amp;O$258,'Dvd Calendar'!$E$524:$CZ$524,"&lt;="&amp;O$259),"")))</f>
        <v/>
      </c>
      <c r="P313" s="140">
        <f>IF(P$259="","",IF($B313="","",IFERROR(SUMIFS('Dvd Calendar'!$E$525:$CZ$525,'Dvd Calendar'!$E$524:$CZ$524,"&gt;"&amp;P$258,'Dvd Calendar'!$E$524:$CZ$524,"&lt;="&amp;P$259),"")))</f>
        <v/>
      </c>
      <c r="Q313" s="140">
        <f>IF(Q$259="","",IF($B313="","",IFERROR(SUMIFS('Dvd Calendar'!$E$525:$CZ$525,'Dvd Calendar'!$E$524:$CZ$524,"&gt;"&amp;Q$258,'Dvd Calendar'!$E$524:$CZ$524,"&lt;="&amp;Q$259),"")))</f>
        <v/>
      </c>
      <c r="R313" s="140">
        <f>IF(R$259="","",IF($B313="","",IFERROR(SUMIFS('Dvd Calendar'!$E$525:$CZ$525,'Dvd Calendar'!$E$524:$CZ$524,"&gt;"&amp;R$258,'Dvd Calendar'!$E$524:$CZ$524,"&lt;="&amp;R$259),"")))</f>
        <v/>
      </c>
    </row>
    <row r="314">
      <c r="B314" s="5">
        <f>IF(MXAU!$C$59="","",MXAU!$C$59)</f>
        <v/>
      </c>
      <c r="C314" s="140">
        <f>IF(C$259="","",IF($B314="","",IFERROR(SUMIFS('Dvd Calendar'!$E$527:$CZ$527,'Dvd Calendar'!$E$526:$CZ$526,"&gt;"&amp;C$258,'Dvd Calendar'!$E$526:$CZ$526,"&lt;="&amp;C$259),"")))</f>
        <v/>
      </c>
      <c r="D314" s="140">
        <f>IF(D$259="","",IF($B314="","",IFERROR(SUMIFS('Dvd Calendar'!$E$527:$CZ$527,'Dvd Calendar'!$E$526:$CZ$526,"&gt;"&amp;D$258,'Dvd Calendar'!$E$526:$CZ$526,"&lt;="&amp;D$259),"")))</f>
        <v/>
      </c>
      <c r="E314" s="140">
        <f>IF(E$259="","",IF($B314="","",IFERROR(SUMIFS('Dvd Calendar'!$E$527:$CZ$527,'Dvd Calendar'!$E$526:$CZ$526,"&gt;"&amp;E$258,'Dvd Calendar'!$E$526:$CZ$526,"&lt;="&amp;E$259),"")))</f>
        <v/>
      </c>
      <c r="F314" s="140">
        <f>IF(F$259="","",IF($B314="","",IFERROR(SUMIFS('Dvd Calendar'!$E$527:$CZ$527,'Dvd Calendar'!$E$526:$CZ$526,"&gt;"&amp;F$258,'Dvd Calendar'!$E$526:$CZ$526,"&lt;="&amp;F$259),"")))</f>
        <v/>
      </c>
      <c r="G314" s="140">
        <f>IF(G$259="","",IF($B314="","",IFERROR(SUMIFS('Dvd Calendar'!$E$527:$CZ$527,'Dvd Calendar'!$E$526:$CZ$526,"&gt;"&amp;G$258,'Dvd Calendar'!$E$526:$CZ$526,"&lt;="&amp;G$259),"")))</f>
        <v/>
      </c>
      <c r="H314" s="140">
        <f>IF(H$259="","",IF($B314="","",IFERROR(SUMIFS('Dvd Calendar'!$E$527:$CZ$527,'Dvd Calendar'!$E$526:$CZ$526,"&gt;"&amp;H$258,'Dvd Calendar'!$E$526:$CZ$526,"&lt;="&amp;H$259),"")))</f>
        <v/>
      </c>
      <c r="I314" s="140">
        <f>IF(I$259="","",IF($B314="","",IFERROR(SUMIFS('Dvd Calendar'!$E$527:$CZ$527,'Dvd Calendar'!$E$526:$CZ$526,"&gt;"&amp;I$258,'Dvd Calendar'!$E$526:$CZ$526,"&lt;="&amp;I$259),"")))</f>
        <v/>
      </c>
      <c r="J314" s="140">
        <f>IF(J$259="","",IF($B314="","",IFERROR(SUMIFS('Dvd Calendar'!$E$527:$CZ$527,'Dvd Calendar'!$E$526:$CZ$526,"&gt;"&amp;J$258,'Dvd Calendar'!$E$526:$CZ$526,"&lt;="&amp;J$259),"")))</f>
        <v/>
      </c>
      <c r="K314" s="140">
        <f>IF(K$259="","",IF($B314="","",IFERROR(SUMIFS('Dvd Calendar'!$E$527:$CZ$527,'Dvd Calendar'!$E$526:$CZ$526,"&gt;"&amp;K$258,'Dvd Calendar'!$E$526:$CZ$526,"&lt;="&amp;K$259),"")))</f>
        <v/>
      </c>
      <c r="L314" s="140">
        <f>IF(L$259="","",IF($B314="","",IFERROR(SUMIFS('Dvd Calendar'!$E$527:$CZ$527,'Dvd Calendar'!$E$526:$CZ$526,"&gt;"&amp;L$258,'Dvd Calendar'!$E$526:$CZ$526,"&lt;="&amp;L$259),"")))</f>
        <v/>
      </c>
      <c r="M314" s="140">
        <f>IF(M$259="","",IF($B314="","",IFERROR(SUMIFS('Dvd Calendar'!$E$527:$CZ$527,'Dvd Calendar'!$E$526:$CZ$526,"&gt;"&amp;M$258,'Dvd Calendar'!$E$526:$CZ$526,"&lt;="&amp;M$259),"")))</f>
        <v/>
      </c>
      <c r="N314" s="140">
        <f>IF(N$259="","",IF($B314="","",IFERROR(SUMIFS('Dvd Calendar'!$E$527:$CZ$527,'Dvd Calendar'!$E$526:$CZ$526,"&gt;"&amp;N$258,'Dvd Calendar'!$E$526:$CZ$526,"&lt;="&amp;N$259),"")))</f>
        <v/>
      </c>
      <c r="O314" s="140">
        <f>IF(O$259="","",IF($B314="","",IFERROR(SUMIFS('Dvd Calendar'!$E$527:$CZ$527,'Dvd Calendar'!$E$526:$CZ$526,"&gt;"&amp;O$258,'Dvd Calendar'!$E$526:$CZ$526,"&lt;="&amp;O$259),"")))</f>
        <v/>
      </c>
      <c r="P314" s="140">
        <f>IF(P$259="","",IF($B314="","",IFERROR(SUMIFS('Dvd Calendar'!$E$527:$CZ$527,'Dvd Calendar'!$E$526:$CZ$526,"&gt;"&amp;P$258,'Dvd Calendar'!$E$526:$CZ$526,"&lt;="&amp;P$259),"")))</f>
        <v/>
      </c>
      <c r="Q314" s="140">
        <f>IF(Q$259="","",IF($B314="","",IFERROR(SUMIFS('Dvd Calendar'!$E$527:$CZ$527,'Dvd Calendar'!$E$526:$CZ$526,"&gt;"&amp;Q$258,'Dvd Calendar'!$E$526:$CZ$526,"&lt;="&amp;Q$259),"")))</f>
        <v/>
      </c>
      <c r="R314" s="140">
        <f>IF(R$259="","",IF($B314="","",IFERROR(SUMIFS('Dvd Calendar'!$E$527:$CZ$527,'Dvd Calendar'!$E$526:$CZ$526,"&gt;"&amp;R$258,'Dvd Calendar'!$E$526:$CZ$526,"&lt;="&amp;R$259),"")))</f>
        <v/>
      </c>
    </row>
    <row r="315">
      <c r="B315" s="5">
        <f>IF(MXAU!$C$60="","",MXAU!$C$60)</f>
        <v/>
      </c>
      <c r="C315" s="140">
        <f>IF(C$259="","",IF($B315="","",IFERROR(SUMIFS('Dvd Calendar'!$E$529:$CZ$529,'Dvd Calendar'!$E$528:$CZ$528,"&gt;"&amp;C$258,'Dvd Calendar'!$E$528:$CZ$528,"&lt;="&amp;C$259),"")))</f>
        <v/>
      </c>
      <c r="D315" s="140">
        <f>IF(D$259="","",IF($B315="","",IFERROR(SUMIFS('Dvd Calendar'!$E$529:$CZ$529,'Dvd Calendar'!$E$528:$CZ$528,"&gt;"&amp;D$258,'Dvd Calendar'!$E$528:$CZ$528,"&lt;="&amp;D$259),"")))</f>
        <v/>
      </c>
      <c r="E315" s="140">
        <f>IF(E$259="","",IF($B315="","",IFERROR(SUMIFS('Dvd Calendar'!$E$529:$CZ$529,'Dvd Calendar'!$E$528:$CZ$528,"&gt;"&amp;E$258,'Dvd Calendar'!$E$528:$CZ$528,"&lt;="&amp;E$259),"")))</f>
        <v/>
      </c>
      <c r="F315" s="140">
        <f>IF(F$259="","",IF($B315="","",IFERROR(SUMIFS('Dvd Calendar'!$E$529:$CZ$529,'Dvd Calendar'!$E$528:$CZ$528,"&gt;"&amp;F$258,'Dvd Calendar'!$E$528:$CZ$528,"&lt;="&amp;F$259),"")))</f>
        <v/>
      </c>
      <c r="G315" s="140">
        <f>IF(G$259="","",IF($B315="","",IFERROR(SUMIFS('Dvd Calendar'!$E$529:$CZ$529,'Dvd Calendar'!$E$528:$CZ$528,"&gt;"&amp;G$258,'Dvd Calendar'!$E$528:$CZ$528,"&lt;="&amp;G$259),"")))</f>
        <v/>
      </c>
      <c r="H315" s="140">
        <f>IF(H$259="","",IF($B315="","",IFERROR(SUMIFS('Dvd Calendar'!$E$529:$CZ$529,'Dvd Calendar'!$E$528:$CZ$528,"&gt;"&amp;H$258,'Dvd Calendar'!$E$528:$CZ$528,"&lt;="&amp;H$259),"")))</f>
        <v/>
      </c>
      <c r="I315" s="140">
        <f>IF(I$259="","",IF($B315="","",IFERROR(SUMIFS('Dvd Calendar'!$E$529:$CZ$529,'Dvd Calendar'!$E$528:$CZ$528,"&gt;"&amp;I$258,'Dvd Calendar'!$E$528:$CZ$528,"&lt;="&amp;I$259),"")))</f>
        <v/>
      </c>
      <c r="J315" s="140">
        <f>IF(J$259="","",IF($B315="","",IFERROR(SUMIFS('Dvd Calendar'!$E$529:$CZ$529,'Dvd Calendar'!$E$528:$CZ$528,"&gt;"&amp;J$258,'Dvd Calendar'!$E$528:$CZ$528,"&lt;="&amp;J$259),"")))</f>
        <v/>
      </c>
      <c r="K315" s="140">
        <f>IF(K$259="","",IF($B315="","",IFERROR(SUMIFS('Dvd Calendar'!$E$529:$CZ$529,'Dvd Calendar'!$E$528:$CZ$528,"&gt;"&amp;K$258,'Dvd Calendar'!$E$528:$CZ$528,"&lt;="&amp;K$259),"")))</f>
        <v/>
      </c>
      <c r="L315" s="140">
        <f>IF(L$259="","",IF($B315="","",IFERROR(SUMIFS('Dvd Calendar'!$E$529:$CZ$529,'Dvd Calendar'!$E$528:$CZ$528,"&gt;"&amp;L$258,'Dvd Calendar'!$E$528:$CZ$528,"&lt;="&amp;L$259),"")))</f>
        <v/>
      </c>
      <c r="M315" s="140">
        <f>IF(M$259="","",IF($B315="","",IFERROR(SUMIFS('Dvd Calendar'!$E$529:$CZ$529,'Dvd Calendar'!$E$528:$CZ$528,"&gt;"&amp;M$258,'Dvd Calendar'!$E$528:$CZ$528,"&lt;="&amp;M$259),"")))</f>
        <v/>
      </c>
      <c r="N315" s="140">
        <f>IF(N$259="","",IF($B315="","",IFERROR(SUMIFS('Dvd Calendar'!$E$529:$CZ$529,'Dvd Calendar'!$E$528:$CZ$528,"&gt;"&amp;N$258,'Dvd Calendar'!$E$528:$CZ$528,"&lt;="&amp;N$259),"")))</f>
        <v/>
      </c>
      <c r="O315" s="140">
        <f>IF(O$259="","",IF($B315="","",IFERROR(SUMIFS('Dvd Calendar'!$E$529:$CZ$529,'Dvd Calendar'!$E$528:$CZ$528,"&gt;"&amp;O$258,'Dvd Calendar'!$E$528:$CZ$528,"&lt;="&amp;O$259),"")))</f>
        <v/>
      </c>
      <c r="P315" s="140">
        <f>IF(P$259="","",IF($B315="","",IFERROR(SUMIFS('Dvd Calendar'!$E$529:$CZ$529,'Dvd Calendar'!$E$528:$CZ$528,"&gt;"&amp;P$258,'Dvd Calendar'!$E$528:$CZ$528,"&lt;="&amp;P$259),"")))</f>
        <v/>
      </c>
      <c r="Q315" s="140">
        <f>IF(Q$259="","",IF($B315="","",IFERROR(SUMIFS('Dvd Calendar'!$E$529:$CZ$529,'Dvd Calendar'!$E$528:$CZ$528,"&gt;"&amp;Q$258,'Dvd Calendar'!$E$528:$CZ$528,"&lt;="&amp;Q$259),"")))</f>
        <v/>
      </c>
      <c r="R315" s="140">
        <f>IF(R$259="","",IF($B315="","",IFERROR(SUMIFS('Dvd Calendar'!$E$529:$CZ$529,'Dvd Calendar'!$E$528:$CZ$528,"&gt;"&amp;R$258,'Dvd Calendar'!$E$528:$CZ$528,"&lt;="&amp;R$259),"")))</f>
        <v/>
      </c>
    </row>
    <row r="316">
      <c r="B316" s="5">
        <f>IF(MXAU!$C$61="","",MXAU!$C$61)</f>
        <v/>
      </c>
      <c r="C316" s="140">
        <f>IF(C$259="","",IF($B316="","",IFERROR(SUMIFS('Dvd Calendar'!$E$531:$CZ$531,'Dvd Calendar'!$E$530:$CZ$530,"&gt;"&amp;C$258,'Dvd Calendar'!$E$530:$CZ$530,"&lt;="&amp;C$259),"")))</f>
        <v/>
      </c>
      <c r="D316" s="140">
        <f>IF(D$259="","",IF($B316="","",IFERROR(SUMIFS('Dvd Calendar'!$E$531:$CZ$531,'Dvd Calendar'!$E$530:$CZ$530,"&gt;"&amp;D$258,'Dvd Calendar'!$E$530:$CZ$530,"&lt;="&amp;D$259),"")))</f>
        <v/>
      </c>
      <c r="E316" s="140">
        <f>IF(E$259="","",IF($B316="","",IFERROR(SUMIFS('Dvd Calendar'!$E$531:$CZ$531,'Dvd Calendar'!$E$530:$CZ$530,"&gt;"&amp;E$258,'Dvd Calendar'!$E$530:$CZ$530,"&lt;="&amp;E$259),"")))</f>
        <v/>
      </c>
      <c r="F316" s="140">
        <f>IF(F$259="","",IF($B316="","",IFERROR(SUMIFS('Dvd Calendar'!$E$531:$CZ$531,'Dvd Calendar'!$E$530:$CZ$530,"&gt;"&amp;F$258,'Dvd Calendar'!$E$530:$CZ$530,"&lt;="&amp;F$259),"")))</f>
        <v/>
      </c>
      <c r="G316" s="140">
        <f>IF(G$259="","",IF($B316="","",IFERROR(SUMIFS('Dvd Calendar'!$E$531:$CZ$531,'Dvd Calendar'!$E$530:$CZ$530,"&gt;"&amp;G$258,'Dvd Calendar'!$E$530:$CZ$530,"&lt;="&amp;G$259),"")))</f>
        <v/>
      </c>
      <c r="H316" s="140">
        <f>IF(H$259="","",IF($B316="","",IFERROR(SUMIFS('Dvd Calendar'!$E$531:$CZ$531,'Dvd Calendar'!$E$530:$CZ$530,"&gt;"&amp;H$258,'Dvd Calendar'!$E$530:$CZ$530,"&lt;="&amp;H$259),"")))</f>
        <v/>
      </c>
      <c r="I316" s="140">
        <f>IF(I$259="","",IF($B316="","",IFERROR(SUMIFS('Dvd Calendar'!$E$531:$CZ$531,'Dvd Calendar'!$E$530:$CZ$530,"&gt;"&amp;I$258,'Dvd Calendar'!$E$530:$CZ$530,"&lt;="&amp;I$259),"")))</f>
        <v/>
      </c>
      <c r="J316" s="140">
        <f>IF(J$259="","",IF($B316="","",IFERROR(SUMIFS('Dvd Calendar'!$E$531:$CZ$531,'Dvd Calendar'!$E$530:$CZ$530,"&gt;"&amp;J$258,'Dvd Calendar'!$E$530:$CZ$530,"&lt;="&amp;J$259),"")))</f>
        <v/>
      </c>
      <c r="K316" s="140">
        <f>IF(K$259="","",IF($B316="","",IFERROR(SUMIFS('Dvd Calendar'!$E$531:$CZ$531,'Dvd Calendar'!$E$530:$CZ$530,"&gt;"&amp;K$258,'Dvd Calendar'!$E$530:$CZ$530,"&lt;="&amp;K$259),"")))</f>
        <v/>
      </c>
      <c r="L316" s="140">
        <f>IF(L$259="","",IF($B316="","",IFERROR(SUMIFS('Dvd Calendar'!$E$531:$CZ$531,'Dvd Calendar'!$E$530:$CZ$530,"&gt;"&amp;L$258,'Dvd Calendar'!$E$530:$CZ$530,"&lt;="&amp;L$259),"")))</f>
        <v/>
      </c>
      <c r="M316" s="140">
        <f>IF(M$259="","",IF($B316="","",IFERROR(SUMIFS('Dvd Calendar'!$E$531:$CZ$531,'Dvd Calendar'!$E$530:$CZ$530,"&gt;"&amp;M$258,'Dvd Calendar'!$E$530:$CZ$530,"&lt;="&amp;M$259),"")))</f>
        <v/>
      </c>
      <c r="N316" s="140">
        <f>IF(N$259="","",IF($B316="","",IFERROR(SUMIFS('Dvd Calendar'!$E$531:$CZ$531,'Dvd Calendar'!$E$530:$CZ$530,"&gt;"&amp;N$258,'Dvd Calendar'!$E$530:$CZ$530,"&lt;="&amp;N$259),"")))</f>
        <v/>
      </c>
      <c r="O316" s="140">
        <f>IF(O$259="","",IF($B316="","",IFERROR(SUMIFS('Dvd Calendar'!$E$531:$CZ$531,'Dvd Calendar'!$E$530:$CZ$530,"&gt;"&amp;O$258,'Dvd Calendar'!$E$530:$CZ$530,"&lt;="&amp;O$259),"")))</f>
        <v/>
      </c>
      <c r="P316" s="140">
        <f>IF(P$259="","",IF($B316="","",IFERROR(SUMIFS('Dvd Calendar'!$E$531:$CZ$531,'Dvd Calendar'!$E$530:$CZ$530,"&gt;"&amp;P$258,'Dvd Calendar'!$E$530:$CZ$530,"&lt;="&amp;P$259),"")))</f>
        <v/>
      </c>
      <c r="Q316" s="140">
        <f>IF(Q$259="","",IF($B316="","",IFERROR(SUMIFS('Dvd Calendar'!$E$531:$CZ$531,'Dvd Calendar'!$E$530:$CZ$530,"&gt;"&amp;Q$258,'Dvd Calendar'!$E$530:$CZ$530,"&lt;="&amp;Q$259),"")))</f>
        <v/>
      </c>
      <c r="R316" s="140">
        <f>IF(R$259="","",IF($B316="","",IFERROR(SUMIFS('Dvd Calendar'!$E$531:$CZ$531,'Dvd Calendar'!$E$530:$CZ$530,"&gt;"&amp;R$258,'Dvd Calendar'!$E$530:$CZ$530,"&lt;="&amp;R$259),"")))</f>
        <v/>
      </c>
    </row>
    <row r="317">
      <c r="B317" s="5">
        <f>IF(MXAU!$C$62="","",MXAU!$C$62)</f>
        <v/>
      </c>
      <c r="C317" s="140">
        <f>IF(C$259="","",IF($B317="","",IFERROR(SUMIFS('Dvd Calendar'!$E$533:$CZ$533,'Dvd Calendar'!$E$532:$CZ$532,"&gt;"&amp;C$258,'Dvd Calendar'!$E$532:$CZ$532,"&lt;="&amp;C$259),"")))</f>
        <v/>
      </c>
      <c r="D317" s="140">
        <f>IF(D$259="","",IF($B317="","",IFERROR(SUMIFS('Dvd Calendar'!$E$533:$CZ$533,'Dvd Calendar'!$E$532:$CZ$532,"&gt;"&amp;D$258,'Dvd Calendar'!$E$532:$CZ$532,"&lt;="&amp;D$259),"")))</f>
        <v/>
      </c>
      <c r="E317" s="140">
        <f>IF(E$259="","",IF($B317="","",IFERROR(SUMIFS('Dvd Calendar'!$E$533:$CZ$533,'Dvd Calendar'!$E$532:$CZ$532,"&gt;"&amp;E$258,'Dvd Calendar'!$E$532:$CZ$532,"&lt;="&amp;E$259),"")))</f>
        <v/>
      </c>
      <c r="F317" s="140">
        <f>IF(F$259="","",IF($B317="","",IFERROR(SUMIFS('Dvd Calendar'!$E$533:$CZ$533,'Dvd Calendar'!$E$532:$CZ$532,"&gt;"&amp;F$258,'Dvd Calendar'!$E$532:$CZ$532,"&lt;="&amp;F$259),"")))</f>
        <v/>
      </c>
      <c r="G317" s="140">
        <f>IF(G$259="","",IF($B317="","",IFERROR(SUMIFS('Dvd Calendar'!$E$533:$CZ$533,'Dvd Calendar'!$E$532:$CZ$532,"&gt;"&amp;G$258,'Dvd Calendar'!$E$532:$CZ$532,"&lt;="&amp;G$259),"")))</f>
        <v/>
      </c>
      <c r="H317" s="140">
        <f>IF(H$259="","",IF($B317="","",IFERROR(SUMIFS('Dvd Calendar'!$E$533:$CZ$533,'Dvd Calendar'!$E$532:$CZ$532,"&gt;"&amp;H$258,'Dvd Calendar'!$E$532:$CZ$532,"&lt;="&amp;H$259),"")))</f>
        <v/>
      </c>
      <c r="I317" s="140">
        <f>IF(I$259="","",IF($B317="","",IFERROR(SUMIFS('Dvd Calendar'!$E$533:$CZ$533,'Dvd Calendar'!$E$532:$CZ$532,"&gt;"&amp;I$258,'Dvd Calendar'!$E$532:$CZ$532,"&lt;="&amp;I$259),"")))</f>
        <v/>
      </c>
      <c r="J317" s="140">
        <f>IF(J$259="","",IF($B317="","",IFERROR(SUMIFS('Dvd Calendar'!$E$533:$CZ$533,'Dvd Calendar'!$E$532:$CZ$532,"&gt;"&amp;J$258,'Dvd Calendar'!$E$532:$CZ$532,"&lt;="&amp;J$259),"")))</f>
        <v/>
      </c>
      <c r="K317" s="140">
        <f>IF(K$259="","",IF($B317="","",IFERROR(SUMIFS('Dvd Calendar'!$E$533:$CZ$533,'Dvd Calendar'!$E$532:$CZ$532,"&gt;"&amp;K$258,'Dvd Calendar'!$E$532:$CZ$532,"&lt;="&amp;K$259),"")))</f>
        <v/>
      </c>
      <c r="L317" s="140">
        <f>IF(L$259="","",IF($B317="","",IFERROR(SUMIFS('Dvd Calendar'!$E$533:$CZ$533,'Dvd Calendar'!$E$532:$CZ$532,"&gt;"&amp;L$258,'Dvd Calendar'!$E$532:$CZ$532,"&lt;="&amp;L$259),"")))</f>
        <v/>
      </c>
      <c r="M317" s="140">
        <f>IF(M$259="","",IF($B317="","",IFERROR(SUMIFS('Dvd Calendar'!$E$533:$CZ$533,'Dvd Calendar'!$E$532:$CZ$532,"&gt;"&amp;M$258,'Dvd Calendar'!$E$532:$CZ$532,"&lt;="&amp;M$259),"")))</f>
        <v/>
      </c>
      <c r="N317" s="140">
        <f>IF(N$259="","",IF($B317="","",IFERROR(SUMIFS('Dvd Calendar'!$E$533:$CZ$533,'Dvd Calendar'!$E$532:$CZ$532,"&gt;"&amp;N$258,'Dvd Calendar'!$E$532:$CZ$532,"&lt;="&amp;N$259),"")))</f>
        <v/>
      </c>
      <c r="O317" s="140">
        <f>IF(O$259="","",IF($B317="","",IFERROR(SUMIFS('Dvd Calendar'!$E$533:$CZ$533,'Dvd Calendar'!$E$532:$CZ$532,"&gt;"&amp;O$258,'Dvd Calendar'!$E$532:$CZ$532,"&lt;="&amp;O$259),"")))</f>
        <v/>
      </c>
      <c r="P317" s="140">
        <f>IF(P$259="","",IF($B317="","",IFERROR(SUMIFS('Dvd Calendar'!$E$533:$CZ$533,'Dvd Calendar'!$E$532:$CZ$532,"&gt;"&amp;P$258,'Dvd Calendar'!$E$532:$CZ$532,"&lt;="&amp;P$259),"")))</f>
        <v/>
      </c>
      <c r="Q317" s="140">
        <f>IF(Q$259="","",IF($B317="","",IFERROR(SUMIFS('Dvd Calendar'!$E$533:$CZ$533,'Dvd Calendar'!$E$532:$CZ$532,"&gt;"&amp;Q$258,'Dvd Calendar'!$E$532:$CZ$532,"&lt;="&amp;Q$259),"")))</f>
        <v/>
      </c>
      <c r="R317" s="140">
        <f>IF(R$259="","",IF($B317="","",IFERROR(SUMIFS('Dvd Calendar'!$E$533:$CZ$533,'Dvd Calendar'!$E$532:$CZ$532,"&gt;"&amp;R$258,'Dvd Calendar'!$E$532:$CZ$532,"&lt;="&amp;R$259),"")))</f>
        <v/>
      </c>
    </row>
    <row r="318">
      <c r="B318" s="5">
        <f>IF(MXAU!$C$63="","",MXAU!$C$63)</f>
        <v/>
      </c>
      <c r="C318" s="140">
        <f>IF(C$259="","",IF($B318="","",IFERROR(SUMIFS('Dvd Calendar'!$E$535:$CZ$535,'Dvd Calendar'!$E$534:$CZ$534,"&gt;"&amp;C$258,'Dvd Calendar'!$E$534:$CZ$534,"&lt;="&amp;C$259),"")))</f>
        <v/>
      </c>
      <c r="D318" s="140">
        <f>IF(D$259="","",IF($B318="","",IFERROR(SUMIFS('Dvd Calendar'!$E$535:$CZ$535,'Dvd Calendar'!$E$534:$CZ$534,"&gt;"&amp;D$258,'Dvd Calendar'!$E$534:$CZ$534,"&lt;="&amp;D$259),"")))</f>
        <v/>
      </c>
      <c r="E318" s="140">
        <f>IF(E$259="","",IF($B318="","",IFERROR(SUMIFS('Dvd Calendar'!$E$535:$CZ$535,'Dvd Calendar'!$E$534:$CZ$534,"&gt;"&amp;E$258,'Dvd Calendar'!$E$534:$CZ$534,"&lt;="&amp;E$259),"")))</f>
        <v/>
      </c>
      <c r="F318" s="140">
        <f>IF(F$259="","",IF($B318="","",IFERROR(SUMIFS('Dvd Calendar'!$E$535:$CZ$535,'Dvd Calendar'!$E$534:$CZ$534,"&gt;"&amp;F$258,'Dvd Calendar'!$E$534:$CZ$534,"&lt;="&amp;F$259),"")))</f>
        <v/>
      </c>
      <c r="G318" s="140">
        <f>IF(G$259="","",IF($B318="","",IFERROR(SUMIFS('Dvd Calendar'!$E$535:$CZ$535,'Dvd Calendar'!$E$534:$CZ$534,"&gt;"&amp;G$258,'Dvd Calendar'!$E$534:$CZ$534,"&lt;="&amp;G$259),"")))</f>
        <v/>
      </c>
      <c r="H318" s="140">
        <f>IF(H$259="","",IF($B318="","",IFERROR(SUMIFS('Dvd Calendar'!$E$535:$CZ$535,'Dvd Calendar'!$E$534:$CZ$534,"&gt;"&amp;H$258,'Dvd Calendar'!$E$534:$CZ$534,"&lt;="&amp;H$259),"")))</f>
        <v/>
      </c>
      <c r="I318" s="140">
        <f>IF(I$259="","",IF($B318="","",IFERROR(SUMIFS('Dvd Calendar'!$E$535:$CZ$535,'Dvd Calendar'!$E$534:$CZ$534,"&gt;"&amp;I$258,'Dvd Calendar'!$E$534:$CZ$534,"&lt;="&amp;I$259),"")))</f>
        <v/>
      </c>
      <c r="J318" s="140">
        <f>IF(J$259="","",IF($B318="","",IFERROR(SUMIFS('Dvd Calendar'!$E$535:$CZ$535,'Dvd Calendar'!$E$534:$CZ$534,"&gt;"&amp;J$258,'Dvd Calendar'!$E$534:$CZ$534,"&lt;="&amp;J$259),"")))</f>
        <v/>
      </c>
      <c r="K318" s="140">
        <f>IF(K$259="","",IF($B318="","",IFERROR(SUMIFS('Dvd Calendar'!$E$535:$CZ$535,'Dvd Calendar'!$E$534:$CZ$534,"&gt;"&amp;K$258,'Dvd Calendar'!$E$534:$CZ$534,"&lt;="&amp;K$259),"")))</f>
        <v/>
      </c>
      <c r="L318" s="140">
        <f>IF(L$259="","",IF($B318="","",IFERROR(SUMIFS('Dvd Calendar'!$E$535:$CZ$535,'Dvd Calendar'!$E$534:$CZ$534,"&gt;"&amp;L$258,'Dvd Calendar'!$E$534:$CZ$534,"&lt;="&amp;L$259),"")))</f>
        <v/>
      </c>
      <c r="M318" s="140">
        <f>IF(M$259="","",IF($B318="","",IFERROR(SUMIFS('Dvd Calendar'!$E$535:$CZ$535,'Dvd Calendar'!$E$534:$CZ$534,"&gt;"&amp;M$258,'Dvd Calendar'!$E$534:$CZ$534,"&lt;="&amp;M$259),"")))</f>
        <v/>
      </c>
      <c r="N318" s="140">
        <f>IF(N$259="","",IF($B318="","",IFERROR(SUMIFS('Dvd Calendar'!$E$535:$CZ$535,'Dvd Calendar'!$E$534:$CZ$534,"&gt;"&amp;N$258,'Dvd Calendar'!$E$534:$CZ$534,"&lt;="&amp;N$259),"")))</f>
        <v/>
      </c>
      <c r="O318" s="140">
        <f>IF(O$259="","",IF($B318="","",IFERROR(SUMIFS('Dvd Calendar'!$E$535:$CZ$535,'Dvd Calendar'!$E$534:$CZ$534,"&gt;"&amp;O$258,'Dvd Calendar'!$E$534:$CZ$534,"&lt;="&amp;O$259),"")))</f>
        <v/>
      </c>
      <c r="P318" s="140">
        <f>IF(P$259="","",IF($B318="","",IFERROR(SUMIFS('Dvd Calendar'!$E$535:$CZ$535,'Dvd Calendar'!$E$534:$CZ$534,"&gt;"&amp;P$258,'Dvd Calendar'!$E$534:$CZ$534,"&lt;="&amp;P$259),"")))</f>
        <v/>
      </c>
      <c r="Q318" s="140">
        <f>IF(Q$259="","",IF($B318="","",IFERROR(SUMIFS('Dvd Calendar'!$E$535:$CZ$535,'Dvd Calendar'!$E$534:$CZ$534,"&gt;"&amp;Q$258,'Dvd Calendar'!$E$534:$CZ$534,"&lt;="&amp;Q$259),"")))</f>
        <v/>
      </c>
      <c r="R318" s="140">
        <f>IF(R$259="","",IF($B318="","",IFERROR(SUMIFS('Dvd Calendar'!$E$535:$CZ$535,'Dvd Calendar'!$E$534:$CZ$534,"&gt;"&amp;R$258,'Dvd Calendar'!$E$534:$CZ$534,"&lt;="&amp;R$259),"")))</f>
        <v/>
      </c>
    </row>
    <row r="319">
      <c r="B319" s="5">
        <f>IF(MXAU!$C$64="","",MXAU!$C$64)</f>
        <v/>
      </c>
      <c r="C319" s="140">
        <f>IF(C$259="","",IF($B319="","",IFERROR(SUMIFS('Dvd Calendar'!$E$537:$CZ$537,'Dvd Calendar'!$E$536:$CZ$536,"&gt;"&amp;C$258,'Dvd Calendar'!$E$536:$CZ$536,"&lt;="&amp;C$259),"")))</f>
        <v/>
      </c>
      <c r="D319" s="140">
        <f>IF(D$259="","",IF($B319="","",IFERROR(SUMIFS('Dvd Calendar'!$E$537:$CZ$537,'Dvd Calendar'!$E$536:$CZ$536,"&gt;"&amp;D$258,'Dvd Calendar'!$E$536:$CZ$536,"&lt;="&amp;D$259),"")))</f>
        <v/>
      </c>
      <c r="E319" s="140">
        <f>IF(E$259="","",IF($B319="","",IFERROR(SUMIFS('Dvd Calendar'!$E$537:$CZ$537,'Dvd Calendar'!$E$536:$CZ$536,"&gt;"&amp;E$258,'Dvd Calendar'!$E$536:$CZ$536,"&lt;="&amp;E$259),"")))</f>
        <v/>
      </c>
      <c r="F319" s="140">
        <f>IF(F$259="","",IF($B319="","",IFERROR(SUMIFS('Dvd Calendar'!$E$537:$CZ$537,'Dvd Calendar'!$E$536:$CZ$536,"&gt;"&amp;F$258,'Dvd Calendar'!$E$536:$CZ$536,"&lt;="&amp;F$259),"")))</f>
        <v/>
      </c>
      <c r="G319" s="140">
        <f>IF(G$259="","",IF($B319="","",IFERROR(SUMIFS('Dvd Calendar'!$E$537:$CZ$537,'Dvd Calendar'!$E$536:$CZ$536,"&gt;"&amp;G$258,'Dvd Calendar'!$E$536:$CZ$536,"&lt;="&amp;G$259),"")))</f>
        <v/>
      </c>
      <c r="H319" s="140">
        <f>IF(H$259="","",IF($B319="","",IFERROR(SUMIFS('Dvd Calendar'!$E$537:$CZ$537,'Dvd Calendar'!$E$536:$CZ$536,"&gt;"&amp;H$258,'Dvd Calendar'!$E$536:$CZ$536,"&lt;="&amp;H$259),"")))</f>
        <v/>
      </c>
      <c r="I319" s="140">
        <f>IF(I$259="","",IF($B319="","",IFERROR(SUMIFS('Dvd Calendar'!$E$537:$CZ$537,'Dvd Calendar'!$E$536:$CZ$536,"&gt;"&amp;I$258,'Dvd Calendar'!$E$536:$CZ$536,"&lt;="&amp;I$259),"")))</f>
        <v/>
      </c>
      <c r="J319" s="140">
        <f>IF(J$259="","",IF($B319="","",IFERROR(SUMIFS('Dvd Calendar'!$E$537:$CZ$537,'Dvd Calendar'!$E$536:$CZ$536,"&gt;"&amp;J$258,'Dvd Calendar'!$E$536:$CZ$536,"&lt;="&amp;J$259),"")))</f>
        <v/>
      </c>
      <c r="K319" s="140">
        <f>IF(K$259="","",IF($B319="","",IFERROR(SUMIFS('Dvd Calendar'!$E$537:$CZ$537,'Dvd Calendar'!$E$536:$CZ$536,"&gt;"&amp;K$258,'Dvd Calendar'!$E$536:$CZ$536,"&lt;="&amp;K$259),"")))</f>
        <v/>
      </c>
      <c r="L319" s="140">
        <f>IF(L$259="","",IF($B319="","",IFERROR(SUMIFS('Dvd Calendar'!$E$537:$CZ$537,'Dvd Calendar'!$E$536:$CZ$536,"&gt;"&amp;L$258,'Dvd Calendar'!$E$536:$CZ$536,"&lt;="&amp;L$259),"")))</f>
        <v/>
      </c>
      <c r="M319" s="140">
        <f>IF(M$259="","",IF($B319="","",IFERROR(SUMIFS('Dvd Calendar'!$E$537:$CZ$537,'Dvd Calendar'!$E$536:$CZ$536,"&gt;"&amp;M$258,'Dvd Calendar'!$E$536:$CZ$536,"&lt;="&amp;M$259),"")))</f>
        <v/>
      </c>
      <c r="N319" s="140">
        <f>IF(N$259="","",IF($B319="","",IFERROR(SUMIFS('Dvd Calendar'!$E$537:$CZ$537,'Dvd Calendar'!$E$536:$CZ$536,"&gt;"&amp;N$258,'Dvd Calendar'!$E$536:$CZ$536,"&lt;="&amp;N$259),"")))</f>
        <v/>
      </c>
      <c r="O319" s="140">
        <f>IF(O$259="","",IF($B319="","",IFERROR(SUMIFS('Dvd Calendar'!$E$537:$CZ$537,'Dvd Calendar'!$E$536:$CZ$536,"&gt;"&amp;O$258,'Dvd Calendar'!$E$536:$CZ$536,"&lt;="&amp;O$259),"")))</f>
        <v/>
      </c>
      <c r="P319" s="140">
        <f>IF(P$259="","",IF($B319="","",IFERROR(SUMIFS('Dvd Calendar'!$E$537:$CZ$537,'Dvd Calendar'!$E$536:$CZ$536,"&gt;"&amp;P$258,'Dvd Calendar'!$E$536:$CZ$536,"&lt;="&amp;P$259),"")))</f>
        <v/>
      </c>
      <c r="Q319" s="140">
        <f>IF(Q$259="","",IF($B319="","",IFERROR(SUMIFS('Dvd Calendar'!$E$537:$CZ$537,'Dvd Calendar'!$E$536:$CZ$536,"&gt;"&amp;Q$258,'Dvd Calendar'!$E$536:$CZ$536,"&lt;="&amp;Q$259),"")))</f>
        <v/>
      </c>
      <c r="R319" s="140">
        <f>IF(R$259="","",IF($B319="","",IFERROR(SUMIFS('Dvd Calendar'!$E$537:$CZ$537,'Dvd Calendar'!$E$536:$CZ$536,"&gt;"&amp;R$258,'Dvd Calendar'!$E$536:$CZ$536,"&lt;="&amp;R$259),"")))</f>
        <v/>
      </c>
    </row>
    <row r="320">
      <c r="B320" s="5">
        <f>IF(MXAU!$C$65="","",MXAU!$C$65)</f>
        <v/>
      </c>
      <c r="C320" s="140">
        <f>IF(C$259="","",IF($B320="","",IFERROR(SUMIFS('Dvd Calendar'!$E$539:$CZ$539,'Dvd Calendar'!$E$538:$CZ$538,"&gt;"&amp;C$258,'Dvd Calendar'!$E$538:$CZ$538,"&lt;="&amp;C$259),"")))</f>
        <v/>
      </c>
      <c r="D320" s="140">
        <f>IF(D$259="","",IF($B320="","",IFERROR(SUMIFS('Dvd Calendar'!$E$539:$CZ$539,'Dvd Calendar'!$E$538:$CZ$538,"&gt;"&amp;D$258,'Dvd Calendar'!$E$538:$CZ$538,"&lt;="&amp;D$259),"")))</f>
        <v/>
      </c>
      <c r="E320" s="140">
        <f>IF(E$259="","",IF($B320="","",IFERROR(SUMIFS('Dvd Calendar'!$E$539:$CZ$539,'Dvd Calendar'!$E$538:$CZ$538,"&gt;"&amp;E$258,'Dvd Calendar'!$E$538:$CZ$538,"&lt;="&amp;E$259),"")))</f>
        <v/>
      </c>
      <c r="F320" s="140">
        <f>IF(F$259="","",IF($B320="","",IFERROR(SUMIFS('Dvd Calendar'!$E$539:$CZ$539,'Dvd Calendar'!$E$538:$CZ$538,"&gt;"&amp;F$258,'Dvd Calendar'!$E$538:$CZ$538,"&lt;="&amp;F$259),"")))</f>
        <v/>
      </c>
      <c r="G320" s="140">
        <f>IF(G$259="","",IF($B320="","",IFERROR(SUMIFS('Dvd Calendar'!$E$539:$CZ$539,'Dvd Calendar'!$E$538:$CZ$538,"&gt;"&amp;G$258,'Dvd Calendar'!$E$538:$CZ$538,"&lt;="&amp;G$259),"")))</f>
        <v/>
      </c>
      <c r="H320" s="140">
        <f>IF(H$259="","",IF($B320="","",IFERROR(SUMIFS('Dvd Calendar'!$E$539:$CZ$539,'Dvd Calendar'!$E$538:$CZ$538,"&gt;"&amp;H$258,'Dvd Calendar'!$E$538:$CZ$538,"&lt;="&amp;H$259),"")))</f>
        <v/>
      </c>
      <c r="I320" s="140">
        <f>IF(I$259="","",IF($B320="","",IFERROR(SUMIFS('Dvd Calendar'!$E$539:$CZ$539,'Dvd Calendar'!$E$538:$CZ$538,"&gt;"&amp;I$258,'Dvd Calendar'!$E$538:$CZ$538,"&lt;="&amp;I$259),"")))</f>
        <v/>
      </c>
      <c r="J320" s="140">
        <f>IF(J$259="","",IF($B320="","",IFERROR(SUMIFS('Dvd Calendar'!$E$539:$CZ$539,'Dvd Calendar'!$E$538:$CZ$538,"&gt;"&amp;J$258,'Dvd Calendar'!$E$538:$CZ$538,"&lt;="&amp;J$259),"")))</f>
        <v/>
      </c>
      <c r="K320" s="140">
        <f>IF(K$259="","",IF($B320="","",IFERROR(SUMIFS('Dvd Calendar'!$E$539:$CZ$539,'Dvd Calendar'!$E$538:$CZ$538,"&gt;"&amp;K$258,'Dvd Calendar'!$E$538:$CZ$538,"&lt;="&amp;K$259),"")))</f>
        <v/>
      </c>
      <c r="L320" s="140">
        <f>IF(L$259="","",IF($B320="","",IFERROR(SUMIFS('Dvd Calendar'!$E$539:$CZ$539,'Dvd Calendar'!$E$538:$CZ$538,"&gt;"&amp;L$258,'Dvd Calendar'!$E$538:$CZ$538,"&lt;="&amp;L$259),"")))</f>
        <v/>
      </c>
      <c r="M320" s="140">
        <f>IF(M$259="","",IF($B320="","",IFERROR(SUMIFS('Dvd Calendar'!$E$539:$CZ$539,'Dvd Calendar'!$E$538:$CZ$538,"&gt;"&amp;M$258,'Dvd Calendar'!$E$538:$CZ$538,"&lt;="&amp;M$259),"")))</f>
        <v/>
      </c>
      <c r="N320" s="140">
        <f>IF(N$259="","",IF($B320="","",IFERROR(SUMIFS('Dvd Calendar'!$E$539:$CZ$539,'Dvd Calendar'!$E$538:$CZ$538,"&gt;"&amp;N$258,'Dvd Calendar'!$E$538:$CZ$538,"&lt;="&amp;N$259),"")))</f>
        <v/>
      </c>
      <c r="O320" s="140">
        <f>IF(O$259="","",IF($B320="","",IFERROR(SUMIFS('Dvd Calendar'!$E$539:$CZ$539,'Dvd Calendar'!$E$538:$CZ$538,"&gt;"&amp;O$258,'Dvd Calendar'!$E$538:$CZ$538,"&lt;="&amp;O$259),"")))</f>
        <v/>
      </c>
      <c r="P320" s="140">
        <f>IF(P$259="","",IF($B320="","",IFERROR(SUMIFS('Dvd Calendar'!$E$539:$CZ$539,'Dvd Calendar'!$E$538:$CZ$538,"&gt;"&amp;P$258,'Dvd Calendar'!$E$538:$CZ$538,"&lt;="&amp;P$259),"")))</f>
        <v/>
      </c>
      <c r="Q320" s="140">
        <f>IF(Q$259="","",IF($B320="","",IFERROR(SUMIFS('Dvd Calendar'!$E$539:$CZ$539,'Dvd Calendar'!$E$538:$CZ$538,"&gt;"&amp;Q$258,'Dvd Calendar'!$E$538:$CZ$538,"&lt;="&amp;Q$259),"")))</f>
        <v/>
      </c>
      <c r="R320" s="140">
        <f>IF(R$259="","",IF($B320="","",IFERROR(SUMIFS('Dvd Calendar'!$E$539:$CZ$539,'Dvd Calendar'!$E$538:$CZ$538,"&gt;"&amp;R$258,'Dvd Calendar'!$E$538:$CZ$538,"&lt;="&amp;R$259),"")))</f>
        <v/>
      </c>
    </row>
    <row r="321">
      <c r="B321" s="5">
        <f>IF(MXAU!$C$66="","",MXAU!$C$66)</f>
        <v/>
      </c>
      <c r="C321" s="140">
        <f>IF(C$259="","",IF($B321="","",IFERROR(SUMIFS('Dvd Calendar'!$E$541:$CZ$541,'Dvd Calendar'!$E$540:$CZ$540,"&gt;"&amp;C$258,'Dvd Calendar'!$E$540:$CZ$540,"&lt;="&amp;C$259),"")))</f>
        <v/>
      </c>
      <c r="D321" s="140">
        <f>IF(D$259="","",IF($B321="","",IFERROR(SUMIFS('Dvd Calendar'!$E$541:$CZ$541,'Dvd Calendar'!$E$540:$CZ$540,"&gt;"&amp;D$258,'Dvd Calendar'!$E$540:$CZ$540,"&lt;="&amp;D$259),"")))</f>
        <v/>
      </c>
      <c r="E321" s="140">
        <f>IF(E$259="","",IF($B321="","",IFERROR(SUMIFS('Dvd Calendar'!$E$541:$CZ$541,'Dvd Calendar'!$E$540:$CZ$540,"&gt;"&amp;E$258,'Dvd Calendar'!$E$540:$CZ$540,"&lt;="&amp;E$259),"")))</f>
        <v/>
      </c>
      <c r="F321" s="140">
        <f>IF(F$259="","",IF($B321="","",IFERROR(SUMIFS('Dvd Calendar'!$E$541:$CZ$541,'Dvd Calendar'!$E$540:$CZ$540,"&gt;"&amp;F$258,'Dvd Calendar'!$E$540:$CZ$540,"&lt;="&amp;F$259),"")))</f>
        <v/>
      </c>
      <c r="G321" s="140">
        <f>IF(G$259="","",IF($B321="","",IFERROR(SUMIFS('Dvd Calendar'!$E$541:$CZ$541,'Dvd Calendar'!$E$540:$CZ$540,"&gt;"&amp;G$258,'Dvd Calendar'!$E$540:$CZ$540,"&lt;="&amp;G$259),"")))</f>
        <v/>
      </c>
      <c r="H321" s="140">
        <f>IF(H$259="","",IF($B321="","",IFERROR(SUMIFS('Dvd Calendar'!$E$541:$CZ$541,'Dvd Calendar'!$E$540:$CZ$540,"&gt;"&amp;H$258,'Dvd Calendar'!$E$540:$CZ$540,"&lt;="&amp;H$259),"")))</f>
        <v/>
      </c>
      <c r="I321" s="140">
        <f>IF(I$259="","",IF($B321="","",IFERROR(SUMIFS('Dvd Calendar'!$E$541:$CZ$541,'Dvd Calendar'!$E$540:$CZ$540,"&gt;"&amp;I$258,'Dvd Calendar'!$E$540:$CZ$540,"&lt;="&amp;I$259),"")))</f>
        <v/>
      </c>
      <c r="J321" s="140">
        <f>IF(J$259="","",IF($B321="","",IFERROR(SUMIFS('Dvd Calendar'!$E$541:$CZ$541,'Dvd Calendar'!$E$540:$CZ$540,"&gt;"&amp;J$258,'Dvd Calendar'!$E$540:$CZ$540,"&lt;="&amp;J$259),"")))</f>
        <v/>
      </c>
      <c r="K321" s="140">
        <f>IF(K$259="","",IF($B321="","",IFERROR(SUMIFS('Dvd Calendar'!$E$541:$CZ$541,'Dvd Calendar'!$E$540:$CZ$540,"&gt;"&amp;K$258,'Dvd Calendar'!$E$540:$CZ$540,"&lt;="&amp;K$259),"")))</f>
        <v/>
      </c>
      <c r="L321" s="140">
        <f>IF(L$259="","",IF($B321="","",IFERROR(SUMIFS('Dvd Calendar'!$E$541:$CZ$541,'Dvd Calendar'!$E$540:$CZ$540,"&gt;"&amp;L$258,'Dvd Calendar'!$E$540:$CZ$540,"&lt;="&amp;L$259),"")))</f>
        <v/>
      </c>
      <c r="M321" s="140">
        <f>IF(M$259="","",IF($B321="","",IFERROR(SUMIFS('Dvd Calendar'!$E$541:$CZ$541,'Dvd Calendar'!$E$540:$CZ$540,"&gt;"&amp;M$258,'Dvd Calendar'!$E$540:$CZ$540,"&lt;="&amp;M$259),"")))</f>
        <v/>
      </c>
      <c r="N321" s="140">
        <f>IF(N$259="","",IF($B321="","",IFERROR(SUMIFS('Dvd Calendar'!$E$541:$CZ$541,'Dvd Calendar'!$E$540:$CZ$540,"&gt;"&amp;N$258,'Dvd Calendar'!$E$540:$CZ$540,"&lt;="&amp;N$259),"")))</f>
        <v/>
      </c>
      <c r="O321" s="140">
        <f>IF(O$259="","",IF($B321="","",IFERROR(SUMIFS('Dvd Calendar'!$E$541:$CZ$541,'Dvd Calendar'!$E$540:$CZ$540,"&gt;"&amp;O$258,'Dvd Calendar'!$E$540:$CZ$540,"&lt;="&amp;O$259),"")))</f>
        <v/>
      </c>
      <c r="P321" s="140">
        <f>IF(P$259="","",IF($B321="","",IFERROR(SUMIFS('Dvd Calendar'!$E$541:$CZ$541,'Dvd Calendar'!$E$540:$CZ$540,"&gt;"&amp;P$258,'Dvd Calendar'!$E$540:$CZ$540,"&lt;="&amp;P$259),"")))</f>
        <v/>
      </c>
      <c r="Q321" s="140">
        <f>IF(Q$259="","",IF($B321="","",IFERROR(SUMIFS('Dvd Calendar'!$E$541:$CZ$541,'Dvd Calendar'!$E$540:$CZ$540,"&gt;"&amp;Q$258,'Dvd Calendar'!$E$540:$CZ$540,"&lt;="&amp;Q$259),"")))</f>
        <v/>
      </c>
      <c r="R321" s="140">
        <f>IF(R$259="","",IF($B321="","",IFERROR(SUMIFS('Dvd Calendar'!$E$541:$CZ$541,'Dvd Calendar'!$E$540:$CZ$540,"&gt;"&amp;R$258,'Dvd Calendar'!$E$540:$CZ$540,"&lt;="&amp;R$259),"")))</f>
        <v/>
      </c>
    </row>
    <row r="322">
      <c r="B322" s="5">
        <f>IF(MXAU!$C$67="","",MXAU!$C$67)</f>
        <v/>
      </c>
      <c r="C322" s="140">
        <f>IF(C$259="","",IF($B322="","",IFERROR(SUMIFS('Dvd Calendar'!$E$543:$CZ$543,'Dvd Calendar'!$E$542:$CZ$542,"&gt;"&amp;C$258,'Dvd Calendar'!$E$542:$CZ$542,"&lt;="&amp;C$259),"")))</f>
        <v/>
      </c>
      <c r="D322" s="140">
        <f>IF(D$259="","",IF($B322="","",IFERROR(SUMIFS('Dvd Calendar'!$E$543:$CZ$543,'Dvd Calendar'!$E$542:$CZ$542,"&gt;"&amp;D$258,'Dvd Calendar'!$E$542:$CZ$542,"&lt;="&amp;D$259),"")))</f>
        <v/>
      </c>
      <c r="E322" s="140">
        <f>IF(E$259="","",IF($B322="","",IFERROR(SUMIFS('Dvd Calendar'!$E$543:$CZ$543,'Dvd Calendar'!$E$542:$CZ$542,"&gt;"&amp;E$258,'Dvd Calendar'!$E$542:$CZ$542,"&lt;="&amp;E$259),"")))</f>
        <v/>
      </c>
      <c r="F322" s="140">
        <f>IF(F$259="","",IF($B322="","",IFERROR(SUMIFS('Dvd Calendar'!$E$543:$CZ$543,'Dvd Calendar'!$E$542:$CZ$542,"&gt;"&amp;F$258,'Dvd Calendar'!$E$542:$CZ$542,"&lt;="&amp;F$259),"")))</f>
        <v/>
      </c>
      <c r="G322" s="140">
        <f>IF(G$259="","",IF($B322="","",IFERROR(SUMIFS('Dvd Calendar'!$E$543:$CZ$543,'Dvd Calendar'!$E$542:$CZ$542,"&gt;"&amp;G$258,'Dvd Calendar'!$E$542:$CZ$542,"&lt;="&amp;G$259),"")))</f>
        <v/>
      </c>
      <c r="H322" s="140">
        <f>IF(H$259="","",IF($B322="","",IFERROR(SUMIFS('Dvd Calendar'!$E$543:$CZ$543,'Dvd Calendar'!$E$542:$CZ$542,"&gt;"&amp;H$258,'Dvd Calendar'!$E$542:$CZ$542,"&lt;="&amp;H$259),"")))</f>
        <v/>
      </c>
      <c r="I322" s="140">
        <f>IF(I$259="","",IF($B322="","",IFERROR(SUMIFS('Dvd Calendar'!$E$543:$CZ$543,'Dvd Calendar'!$E$542:$CZ$542,"&gt;"&amp;I$258,'Dvd Calendar'!$E$542:$CZ$542,"&lt;="&amp;I$259),"")))</f>
        <v/>
      </c>
      <c r="J322" s="140">
        <f>IF(J$259="","",IF($B322="","",IFERROR(SUMIFS('Dvd Calendar'!$E$543:$CZ$543,'Dvd Calendar'!$E$542:$CZ$542,"&gt;"&amp;J$258,'Dvd Calendar'!$E$542:$CZ$542,"&lt;="&amp;J$259),"")))</f>
        <v/>
      </c>
      <c r="K322" s="140">
        <f>IF(K$259="","",IF($B322="","",IFERROR(SUMIFS('Dvd Calendar'!$E$543:$CZ$543,'Dvd Calendar'!$E$542:$CZ$542,"&gt;"&amp;K$258,'Dvd Calendar'!$E$542:$CZ$542,"&lt;="&amp;K$259),"")))</f>
        <v/>
      </c>
      <c r="L322" s="140">
        <f>IF(L$259="","",IF($B322="","",IFERROR(SUMIFS('Dvd Calendar'!$E$543:$CZ$543,'Dvd Calendar'!$E$542:$CZ$542,"&gt;"&amp;L$258,'Dvd Calendar'!$E$542:$CZ$542,"&lt;="&amp;L$259),"")))</f>
        <v/>
      </c>
      <c r="M322" s="140">
        <f>IF(M$259="","",IF($B322="","",IFERROR(SUMIFS('Dvd Calendar'!$E$543:$CZ$543,'Dvd Calendar'!$E$542:$CZ$542,"&gt;"&amp;M$258,'Dvd Calendar'!$E$542:$CZ$542,"&lt;="&amp;M$259),"")))</f>
        <v/>
      </c>
      <c r="N322" s="140">
        <f>IF(N$259="","",IF($B322="","",IFERROR(SUMIFS('Dvd Calendar'!$E$543:$CZ$543,'Dvd Calendar'!$E$542:$CZ$542,"&gt;"&amp;N$258,'Dvd Calendar'!$E$542:$CZ$542,"&lt;="&amp;N$259),"")))</f>
        <v/>
      </c>
      <c r="O322" s="140">
        <f>IF(O$259="","",IF($B322="","",IFERROR(SUMIFS('Dvd Calendar'!$E$543:$CZ$543,'Dvd Calendar'!$E$542:$CZ$542,"&gt;"&amp;O$258,'Dvd Calendar'!$E$542:$CZ$542,"&lt;="&amp;O$259),"")))</f>
        <v/>
      </c>
      <c r="P322" s="140">
        <f>IF(P$259="","",IF($B322="","",IFERROR(SUMIFS('Dvd Calendar'!$E$543:$CZ$543,'Dvd Calendar'!$E$542:$CZ$542,"&gt;"&amp;P$258,'Dvd Calendar'!$E$542:$CZ$542,"&lt;="&amp;P$259),"")))</f>
        <v/>
      </c>
      <c r="Q322" s="140">
        <f>IF(Q$259="","",IF($B322="","",IFERROR(SUMIFS('Dvd Calendar'!$E$543:$CZ$543,'Dvd Calendar'!$E$542:$CZ$542,"&gt;"&amp;Q$258,'Dvd Calendar'!$E$542:$CZ$542,"&lt;="&amp;Q$259),"")))</f>
        <v/>
      </c>
      <c r="R322" s="140">
        <f>IF(R$259="","",IF($B322="","",IFERROR(SUMIFS('Dvd Calendar'!$E$543:$CZ$543,'Dvd Calendar'!$E$542:$CZ$542,"&gt;"&amp;R$258,'Dvd Calendar'!$E$542:$CZ$542,"&lt;="&amp;R$259),"")))</f>
        <v/>
      </c>
    </row>
    <row r="323">
      <c r="B323" s="5">
        <f>IF(MXAU!$C$68="","",MXAU!$C$68)</f>
        <v/>
      </c>
      <c r="C323" s="140">
        <f>IF(C$259="","",IF($B323="","",IFERROR(SUMIFS('Dvd Calendar'!$E$545:$CZ$545,'Dvd Calendar'!$E$544:$CZ$544,"&gt;"&amp;C$258,'Dvd Calendar'!$E$544:$CZ$544,"&lt;="&amp;C$259),"")))</f>
        <v/>
      </c>
      <c r="D323" s="140">
        <f>IF(D$259="","",IF($B323="","",IFERROR(SUMIFS('Dvd Calendar'!$E$545:$CZ$545,'Dvd Calendar'!$E$544:$CZ$544,"&gt;"&amp;D$258,'Dvd Calendar'!$E$544:$CZ$544,"&lt;="&amp;D$259),"")))</f>
        <v/>
      </c>
      <c r="E323" s="140">
        <f>IF(E$259="","",IF($B323="","",IFERROR(SUMIFS('Dvd Calendar'!$E$545:$CZ$545,'Dvd Calendar'!$E$544:$CZ$544,"&gt;"&amp;E$258,'Dvd Calendar'!$E$544:$CZ$544,"&lt;="&amp;E$259),"")))</f>
        <v/>
      </c>
      <c r="F323" s="140">
        <f>IF(F$259="","",IF($B323="","",IFERROR(SUMIFS('Dvd Calendar'!$E$545:$CZ$545,'Dvd Calendar'!$E$544:$CZ$544,"&gt;"&amp;F$258,'Dvd Calendar'!$E$544:$CZ$544,"&lt;="&amp;F$259),"")))</f>
        <v/>
      </c>
      <c r="G323" s="140">
        <f>IF(G$259="","",IF($B323="","",IFERROR(SUMIFS('Dvd Calendar'!$E$545:$CZ$545,'Dvd Calendar'!$E$544:$CZ$544,"&gt;"&amp;G$258,'Dvd Calendar'!$E$544:$CZ$544,"&lt;="&amp;G$259),"")))</f>
        <v/>
      </c>
      <c r="H323" s="140">
        <f>IF(H$259="","",IF($B323="","",IFERROR(SUMIFS('Dvd Calendar'!$E$545:$CZ$545,'Dvd Calendar'!$E$544:$CZ$544,"&gt;"&amp;H$258,'Dvd Calendar'!$E$544:$CZ$544,"&lt;="&amp;H$259),"")))</f>
        <v/>
      </c>
      <c r="I323" s="140">
        <f>IF(I$259="","",IF($B323="","",IFERROR(SUMIFS('Dvd Calendar'!$E$545:$CZ$545,'Dvd Calendar'!$E$544:$CZ$544,"&gt;"&amp;I$258,'Dvd Calendar'!$E$544:$CZ$544,"&lt;="&amp;I$259),"")))</f>
        <v/>
      </c>
      <c r="J323" s="140">
        <f>IF(J$259="","",IF($B323="","",IFERROR(SUMIFS('Dvd Calendar'!$E$545:$CZ$545,'Dvd Calendar'!$E$544:$CZ$544,"&gt;"&amp;J$258,'Dvd Calendar'!$E$544:$CZ$544,"&lt;="&amp;J$259),"")))</f>
        <v/>
      </c>
      <c r="K323" s="140">
        <f>IF(K$259="","",IF($B323="","",IFERROR(SUMIFS('Dvd Calendar'!$E$545:$CZ$545,'Dvd Calendar'!$E$544:$CZ$544,"&gt;"&amp;K$258,'Dvd Calendar'!$E$544:$CZ$544,"&lt;="&amp;K$259),"")))</f>
        <v/>
      </c>
      <c r="L323" s="140">
        <f>IF(L$259="","",IF($B323="","",IFERROR(SUMIFS('Dvd Calendar'!$E$545:$CZ$545,'Dvd Calendar'!$E$544:$CZ$544,"&gt;"&amp;L$258,'Dvd Calendar'!$E$544:$CZ$544,"&lt;="&amp;L$259),"")))</f>
        <v/>
      </c>
      <c r="M323" s="140">
        <f>IF(M$259="","",IF($B323="","",IFERROR(SUMIFS('Dvd Calendar'!$E$545:$CZ$545,'Dvd Calendar'!$E$544:$CZ$544,"&gt;"&amp;M$258,'Dvd Calendar'!$E$544:$CZ$544,"&lt;="&amp;M$259),"")))</f>
        <v/>
      </c>
      <c r="N323" s="140">
        <f>IF(N$259="","",IF($B323="","",IFERROR(SUMIFS('Dvd Calendar'!$E$545:$CZ$545,'Dvd Calendar'!$E$544:$CZ$544,"&gt;"&amp;N$258,'Dvd Calendar'!$E$544:$CZ$544,"&lt;="&amp;N$259),"")))</f>
        <v/>
      </c>
      <c r="O323" s="140">
        <f>IF(O$259="","",IF($B323="","",IFERROR(SUMIFS('Dvd Calendar'!$E$545:$CZ$545,'Dvd Calendar'!$E$544:$CZ$544,"&gt;"&amp;O$258,'Dvd Calendar'!$E$544:$CZ$544,"&lt;="&amp;O$259),"")))</f>
        <v/>
      </c>
      <c r="P323" s="140">
        <f>IF(P$259="","",IF($B323="","",IFERROR(SUMIFS('Dvd Calendar'!$E$545:$CZ$545,'Dvd Calendar'!$E$544:$CZ$544,"&gt;"&amp;P$258,'Dvd Calendar'!$E$544:$CZ$544,"&lt;="&amp;P$259),"")))</f>
        <v/>
      </c>
      <c r="Q323" s="140">
        <f>IF(Q$259="","",IF($B323="","",IFERROR(SUMIFS('Dvd Calendar'!$E$545:$CZ$545,'Dvd Calendar'!$E$544:$CZ$544,"&gt;"&amp;Q$258,'Dvd Calendar'!$E$544:$CZ$544,"&lt;="&amp;Q$259),"")))</f>
        <v/>
      </c>
      <c r="R323" s="140">
        <f>IF(R$259="","",IF($B323="","",IFERROR(SUMIFS('Dvd Calendar'!$E$545:$CZ$545,'Dvd Calendar'!$E$544:$CZ$544,"&gt;"&amp;R$258,'Dvd Calendar'!$E$544:$CZ$544,"&lt;="&amp;R$259),"")))</f>
        <v/>
      </c>
    </row>
    <row r="324">
      <c r="B324" s="5">
        <f>IF(MXAU!$C$69="","",MXAU!$C$69)</f>
        <v/>
      </c>
      <c r="C324" s="140">
        <f>IF(C$259="","",IF($B324="","",IFERROR(SUMIFS('Dvd Calendar'!$E$547:$CZ$547,'Dvd Calendar'!$E$546:$CZ$546,"&gt;"&amp;C$258,'Dvd Calendar'!$E$546:$CZ$546,"&lt;="&amp;C$259),"")))</f>
        <v/>
      </c>
      <c r="D324" s="140">
        <f>IF(D$259="","",IF($B324="","",IFERROR(SUMIFS('Dvd Calendar'!$E$547:$CZ$547,'Dvd Calendar'!$E$546:$CZ$546,"&gt;"&amp;D$258,'Dvd Calendar'!$E$546:$CZ$546,"&lt;="&amp;D$259),"")))</f>
        <v/>
      </c>
      <c r="E324" s="140">
        <f>IF(E$259="","",IF($B324="","",IFERROR(SUMIFS('Dvd Calendar'!$E$547:$CZ$547,'Dvd Calendar'!$E$546:$CZ$546,"&gt;"&amp;E$258,'Dvd Calendar'!$E$546:$CZ$546,"&lt;="&amp;E$259),"")))</f>
        <v/>
      </c>
      <c r="F324" s="140">
        <f>IF(F$259="","",IF($B324="","",IFERROR(SUMIFS('Dvd Calendar'!$E$547:$CZ$547,'Dvd Calendar'!$E$546:$CZ$546,"&gt;"&amp;F$258,'Dvd Calendar'!$E$546:$CZ$546,"&lt;="&amp;F$259),"")))</f>
        <v/>
      </c>
      <c r="G324" s="140">
        <f>IF(G$259="","",IF($B324="","",IFERROR(SUMIFS('Dvd Calendar'!$E$547:$CZ$547,'Dvd Calendar'!$E$546:$CZ$546,"&gt;"&amp;G$258,'Dvd Calendar'!$E$546:$CZ$546,"&lt;="&amp;G$259),"")))</f>
        <v/>
      </c>
      <c r="H324" s="140">
        <f>IF(H$259="","",IF($B324="","",IFERROR(SUMIFS('Dvd Calendar'!$E$547:$CZ$547,'Dvd Calendar'!$E$546:$CZ$546,"&gt;"&amp;H$258,'Dvd Calendar'!$E$546:$CZ$546,"&lt;="&amp;H$259),"")))</f>
        <v/>
      </c>
      <c r="I324" s="140">
        <f>IF(I$259="","",IF($B324="","",IFERROR(SUMIFS('Dvd Calendar'!$E$547:$CZ$547,'Dvd Calendar'!$E$546:$CZ$546,"&gt;"&amp;I$258,'Dvd Calendar'!$E$546:$CZ$546,"&lt;="&amp;I$259),"")))</f>
        <v/>
      </c>
      <c r="J324" s="140">
        <f>IF(J$259="","",IF($B324="","",IFERROR(SUMIFS('Dvd Calendar'!$E$547:$CZ$547,'Dvd Calendar'!$E$546:$CZ$546,"&gt;"&amp;J$258,'Dvd Calendar'!$E$546:$CZ$546,"&lt;="&amp;J$259),"")))</f>
        <v/>
      </c>
      <c r="K324" s="140">
        <f>IF(K$259="","",IF($B324="","",IFERROR(SUMIFS('Dvd Calendar'!$E$547:$CZ$547,'Dvd Calendar'!$E$546:$CZ$546,"&gt;"&amp;K$258,'Dvd Calendar'!$E$546:$CZ$546,"&lt;="&amp;K$259),"")))</f>
        <v/>
      </c>
      <c r="L324" s="140">
        <f>IF(L$259="","",IF($B324="","",IFERROR(SUMIFS('Dvd Calendar'!$E$547:$CZ$547,'Dvd Calendar'!$E$546:$CZ$546,"&gt;"&amp;L$258,'Dvd Calendar'!$E$546:$CZ$546,"&lt;="&amp;L$259),"")))</f>
        <v/>
      </c>
      <c r="M324" s="140">
        <f>IF(M$259="","",IF($B324="","",IFERROR(SUMIFS('Dvd Calendar'!$E$547:$CZ$547,'Dvd Calendar'!$E$546:$CZ$546,"&gt;"&amp;M$258,'Dvd Calendar'!$E$546:$CZ$546,"&lt;="&amp;M$259),"")))</f>
        <v/>
      </c>
      <c r="N324" s="140">
        <f>IF(N$259="","",IF($B324="","",IFERROR(SUMIFS('Dvd Calendar'!$E$547:$CZ$547,'Dvd Calendar'!$E$546:$CZ$546,"&gt;"&amp;N$258,'Dvd Calendar'!$E$546:$CZ$546,"&lt;="&amp;N$259),"")))</f>
        <v/>
      </c>
      <c r="O324" s="140">
        <f>IF(O$259="","",IF($B324="","",IFERROR(SUMIFS('Dvd Calendar'!$E$547:$CZ$547,'Dvd Calendar'!$E$546:$CZ$546,"&gt;"&amp;O$258,'Dvd Calendar'!$E$546:$CZ$546,"&lt;="&amp;O$259),"")))</f>
        <v/>
      </c>
      <c r="P324" s="140">
        <f>IF(P$259="","",IF($B324="","",IFERROR(SUMIFS('Dvd Calendar'!$E$547:$CZ$547,'Dvd Calendar'!$E$546:$CZ$546,"&gt;"&amp;P$258,'Dvd Calendar'!$E$546:$CZ$546,"&lt;="&amp;P$259),"")))</f>
        <v/>
      </c>
      <c r="Q324" s="140">
        <f>IF(Q$259="","",IF($B324="","",IFERROR(SUMIFS('Dvd Calendar'!$E$547:$CZ$547,'Dvd Calendar'!$E$546:$CZ$546,"&gt;"&amp;Q$258,'Dvd Calendar'!$E$546:$CZ$546,"&lt;="&amp;Q$259),"")))</f>
        <v/>
      </c>
      <c r="R324" s="140">
        <f>IF(R$259="","",IF($B324="","",IFERROR(SUMIFS('Dvd Calendar'!$E$547:$CZ$547,'Dvd Calendar'!$E$546:$CZ$546,"&gt;"&amp;R$258,'Dvd Calendar'!$E$546:$CZ$546,"&lt;="&amp;R$259),"")))</f>
        <v/>
      </c>
    </row>
    <row r="325">
      <c r="B325" s="5">
        <f>IF(MXAU!$C$70="","",MXAU!$C$70)</f>
        <v/>
      </c>
      <c r="C325" s="140">
        <f>IF(C$259="","",IF($B325="","",IFERROR(SUMIFS('Dvd Calendar'!$E$549:$CZ$549,'Dvd Calendar'!$E$548:$CZ$548,"&gt;"&amp;C$258,'Dvd Calendar'!$E$548:$CZ$548,"&lt;="&amp;C$259),"")))</f>
        <v/>
      </c>
      <c r="D325" s="140">
        <f>IF(D$259="","",IF($B325="","",IFERROR(SUMIFS('Dvd Calendar'!$E$549:$CZ$549,'Dvd Calendar'!$E$548:$CZ$548,"&gt;"&amp;D$258,'Dvd Calendar'!$E$548:$CZ$548,"&lt;="&amp;D$259),"")))</f>
        <v/>
      </c>
      <c r="E325" s="140">
        <f>IF(E$259="","",IF($B325="","",IFERROR(SUMIFS('Dvd Calendar'!$E$549:$CZ$549,'Dvd Calendar'!$E$548:$CZ$548,"&gt;"&amp;E$258,'Dvd Calendar'!$E$548:$CZ$548,"&lt;="&amp;E$259),"")))</f>
        <v/>
      </c>
      <c r="F325" s="140">
        <f>IF(F$259="","",IF($B325="","",IFERROR(SUMIFS('Dvd Calendar'!$E$549:$CZ$549,'Dvd Calendar'!$E$548:$CZ$548,"&gt;"&amp;F$258,'Dvd Calendar'!$E$548:$CZ$548,"&lt;="&amp;F$259),"")))</f>
        <v/>
      </c>
      <c r="G325" s="140">
        <f>IF(G$259="","",IF($B325="","",IFERROR(SUMIFS('Dvd Calendar'!$E$549:$CZ$549,'Dvd Calendar'!$E$548:$CZ$548,"&gt;"&amp;G$258,'Dvd Calendar'!$E$548:$CZ$548,"&lt;="&amp;G$259),"")))</f>
        <v/>
      </c>
      <c r="H325" s="140">
        <f>IF(H$259="","",IF($B325="","",IFERROR(SUMIFS('Dvd Calendar'!$E$549:$CZ$549,'Dvd Calendar'!$E$548:$CZ$548,"&gt;"&amp;H$258,'Dvd Calendar'!$E$548:$CZ$548,"&lt;="&amp;H$259),"")))</f>
        <v/>
      </c>
      <c r="I325" s="140">
        <f>IF(I$259="","",IF($B325="","",IFERROR(SUMIFS('Dvd Calendar'!$E$549:$CZ$549,'Dvd Calendar'!$E$548:$CZ$548,"&gt;"&amp;I$258,'Dvd Calendar'!$E$548:$CZ$548,"&lt;="&amp;I$259),"")))</f>
        <v/>
      </c>
      <c r="J325" s="140">
        <f>IF(J$259="","",IF($B325="","",IFERROR(SUMIFS('Dvd Calendar'!$E$549:$CZ$549,'Dvd Calendar'!$E$548:$CZ$548,"&gt;"&amp;J$258,'Dvd Calendar'!$E$548:$CZ$548,"&lt;="&amp;J$259),"")))</f>
        <v/>
      </c>
      <c r="K325" s="140">
        <f>IF(K$259="","",IF($B325="","",IFERROR(SUMIFS('Dvd Calendar'!$E$549:$CZ$549,'Dvd Calendar'!$E$548:$CZ$548,"&gt;"&amp;K$258,'Dvd Calendar'!$E$548:$CZ$548,"&lt;="&amp;K$259),"")))</f>
        <v/>
      </c>
      <c r="L325" s="140">
        <f>IF(L$259="","",IF($B325="","",IFERROR(SUMIFS('Dvd Calendar'!$E$549:$CZ$549,'Dvd Calendar'!$E$548:$CZ$548,"&gt;"&amp;L$258,'Dvd Calendar'!$E$548:$CZ$548,"&lt;="&amp;L$259),"")))</f>
        <v/>
      </c>
      <c r="M325" s="140">
        <f>IF(M$259="","",IF($B325="","",IFERROR(SUMIFS('Dvd Calendar'!$E$549:$CZ$549,'Dvd Calendar'!$E$548:$CZ$548,"&gt;"&amp;M$258,'Dvd Calendar'!$E$548:$CZ$548,"&lt;="&amp;M$259),"")))</f>
        <v/>
      </c>
      <c r="N325" s="140">
        <f>IF(N$259="","",IF($B325="","",IFERROR(SUMIFS('Dvd Calendar'!$E$549:$CZ$549,'Dvd Calendar'!$E$548:$CZ$548,"&gt;"&amp;N$258,'Dvd Calendar'!$E$548:$CZ$548,"&lt;="&amp;N$259),"")))</f>
        <v/>
      </c>
      <c r="O325" s="140">
        <f>IF(O$259="","",IF($B325="","",IFERROR(SUMIFS('Dvd Calendar'!$E$549:$CZ$549,'Dvd Calendar'!$E$548:$CZ$548,"&gt;"&amp;O$258,'Dvd Calendar'!$E$548:$CZ$548,"&lt;="&amp;O$259),"")))</f>
        <v/>
      </c>
      <c r="P325" s="140">
        <f>IF(P$259="","",IF($B325="","",IFERROR(SUMIFS('Dvd Calendar'!$E$549:$CZ$549,'Dvd Calendar'!$E$548:$CZ$548,"&gt;"&amp;P$258,'Dvd Calendar'!$E$548:$CZ$548,"&lt;="&amp;P$259),"")))</f>
        <v/>
      </c>
      <c r="Q325" s="140">
        <f>IF(Q$259="","",IF($B325="","",IFERROR(SUMIFS('Dvd Calendar'!$E$549:$CZ$549,'Dvd Calendar'!$E$548:$CZ$548,"&gt;"&amp;Q$258,'Dvd Calendar'!$E$548:$CZ$548,"&lt;="&amp;Q$259),"")))</f>
        <v/>
      </c>
      <c r="R325" s="140">
        <f>IF(R$259="","",IF($B325="","",IFERROR(SUMIFS('Dvd Calendar'!$E$549:$CZ$549,'Dvd Calendar'!$E$548:$CZ$548,"&gt;"&amp;R$258,'Dvd Calendar'!$E$548:$CZ$548,"&lt;="&amp;R$259),"")))</f>
        <v/>
      </c>
    </row>
    <row r="326">
      <c r="B326" s="5">
        <f>IF(MXAU!$C$71="","",MXAU!$C$71)</f>
        <v/>
      </c>
      <c r="C326" s="140">
        <f>IF(C$259="","",IF($B326="","",IFERROR(SUMIFS('Dvd Calendar'!$E$551:$CZ$551,'Dvd Calendar'!$E$550:$CZ$550,"&gt;"&amp;C$258,'Dvd Calendar'!$E$550:$CZ$550,"&lt;="&amp;C$259),"")))</f>
        <v/>
      </c>
      <c r="D326" s="140">
        <f>IF(D$259="","",IF($B326="","",IFERROR(SUMIFS('Dvd Calendar'!$E$551:$CZ$551,'Dvd Calendar'!$E$550:$CZ$550,"&gt;"&amp;D$258,'Dvd Calendar'!$E$550:$CZ$550,"&lt;="&amp;D$259),"")))</f>
        <v/>
      </c>
      <c r="E326" s="140">
        <f>IF(E$259="","",IF($B326="","",IFERROR(SUMIFS('Dvd Calendar'!$E$551:$CZ$551,'Dvd Calendar'!$E$550:$CZ$550,"&gt;"&amp;E$258,'Dvd Calendar'!$E$550:$CZ$550,"&lt;="&amp;E$259),"")))</f>
        <v/>
      </c>
      <c r="F326" s="140">
        <f>IF(F$259="","",IF($B326="","",IFERROR(SUMIFS('Dvd Calendar'!$E$551:$CZ$551,'Dvd Calendar'!$E$550:$CZ$550,"&gt;"&amp;F$258,'Dvd Calendar'!$E$550:$CZ$550,"&lt;="&amp;F$259),"")))</f>
        <v/>
      </c>
      <c r="G326" s="140">
        <f>IF(G$259="","",IF($B326="","",IFERROR(SUMIFS('Dvd Calendar'!$E$551:$CZ$551,'Dvd Calendar'!$E$550:$CZ$550,"&gt;"&amp;G$258,'Dvd Calendar'!$E$550:$CZ$550,"&lt;="&amp;G$259),"")))</f>
        <v/>
      </c>
      <c r="H326" s="140">
        <f>IF(H$259="","",IF($B326="","",IFERROR(SUMIFS('Dvd Calendar'!$E$551:$CZ$551,'Dvd Calendar'!$E$550:$CZ$550,"&gt;"&amp;H$258,'Dvd Calendar'!$E$550:$CZ$550,"&lt;="&amp;H$259),"")))</f>
        <v/>
      </c>
      <c r="I326" s="140">
        <f>IF(I$259="","",IF($B326="","",IFERROR(SUMIFS('Dvd Calendar'!$E$551:$CZ$551,'Dvd Calendar'!$E$550:$CZ$550,"&gt;"&amp;I$258,'Dvd Calendar'!$E$550:$CZ$550,"&lt;="&amp;I$259),"")))</f>
        <v/>
      </c>
      <c r="J326" s="140">
        <f>IF(J$259="","",IF($B326="","",IFERROR(SUMIFS('Dvd Calendar'!$E$551:$CZ$551,'Dvd Calendar'!$E$550:$CZ$550,"&gt;"&amp;J$258,'Dvd Calendar'!$E$550:$CZ$550,"&lt;="&amp;J$259),"")))</f>
        <v/>
      </c>
      <c r="K326" s="140">
        <f>IF(K$259="","",IF($B326="","",IFERROR(SUMIFS('Dvd Calendar'!$E$551:$CZ$551,'Dvd Calendar'!$E$550:$CZ$550,"&gt;"&amp;K$258,'Dvd Calendar'!$E$550:$CZ$550,"&lt;="&amp;K$259),"")))</f>
        <v/>
      </c>
      <c r="L326" s="140">
        <f>IF(L$259="","",IF($B326="","",IFERROR(SUMIFS('Dvd Calendar'!$E$551:$CZ$551,'Dvd Calendar'!$E$550:$CZ$550,"&gt;"&amp;L$258,'Dvd Calendar'!$E$550:$CZ$550,"&lt;="&amp;L$259),"")))</f>
        <v/>
      </c>
      <c r="M326" s="140">
        <f>IF(M$259="","",IF($B326="","",IFERROR(SUMIFS('Dvd Calendar'!$E$551:$CZ$551,'Dvd Calendar'!$E$550:$CZ$550,"&gt;"&amp;M$258,'Dvd Calendar'!$E$550:$CZ$550,"&lt;="&amp;M$259),"")))</f>
        <v/>
      </c>
      <c r="N326" s="140">
        <f>IF(N$259="","",IF($B326="","",IFERROR(SUMIFS('Dvd Calendar'!$E$551:$CZ$551,'Dvd Calendar'!$E$550:$CZ$550,"&gt;"&amp;N$258,'Dvd Calendar'!$E$550:$CZ$550,"&lt;="&amp;N$259),"")))</f>
        <v/>
      </c>
      <c r="O326" s="140">
        <f>IF(O$259="","",IF($B326="","",IFERROR(SUMIFS('Dvd Calendar'!$E$551:$CZ$551,'Dvd Calendar'!$E$550:$CZ$550,"&gt;"&amp;O$258,'Dvd Calendar'!$E$550:$CZ$550,"&lt;="&amp;O$259),"")))</f>
        <v/>
      </c>
      <c r="P326" s="140">
        <f>IF(P$259="","",IF($B326="","",IFERROR(SUMIFS('Dvd Calendar'!$E$551:$CZ$551,'Dvd Calendar'!$E$550:$CZ$550,"&gt;"&amp;P$258,'Dvd Calendar'!$E$550:$CZ$550,"&lt;="&amp;P$259),"")))</f>
        <v/>
      </c>
      <c r="Q326" s="140">
        <f>IF(Q$259="","",IF($B326="","",IFERROR(SUMIFS('Dvd Calendar'!$E$551:$CZ$551,'Dvd Calendar'!$E$550:$CZ$550,"&gt;"&amp;Q$258,'Dvd Calendar'!$E$550:$CZ$550,"&lt;="&amp;Q$259),"")))</f>
        <v/>
      </c>
      <c r="R326" s="140">
        <f>IF(R$259="","",IF($B326="","",IFERROR(SUMIFS('Dvd Calendar'!$E$551:$CZ$551,'Dvd Calendar'!$E$550:$CZ$550,"&gt;"&amp;R$258,'Dvd Calendar'!$E$550:$CZ$550,"&lt;="&amp;R$259),"")))</f>
        <v/>
      </c>
    </row>
    <row r="327">
      <c r="B327" s="5">
        <f>IF(MXAU!$C$72="","",MXAU!$C$72)</f>
        <v/>
      </c>
      <c r="C327" s="140">
        <f>IF(C$259="","",IF($B327="","",IFERROR(SUMIFS('Dvd Calendar'!$E$553:$CZ$553,'Dvd Calendar'!$E$552:$CZ$552,"&gt;"&amp;C$258,'Dvd Calendar'!$E$552:$CZ$552,"&lt;="&amp;C$259),"")))</f>
        <v/>
      </c>
      <c r="D327" s="140">
        <f>IF(D$259="","",IF($B327="","",IFERROR(SUMIFS('Dvd Calendar'!$E$553:$CZ$553,'Dvd Calendar'!$E$552:$CZ$552,"&gt;"&amp;D$258,'Dvd Calendar'!$E$552:$CZ$552,"&lt;="&amp;D$259),"")))</f>
        <v/>
      </c>
      <c r="E327" s="140">
        <f>IF(E$259="","",IF($B327="","",IFERROR(SUMIFS('Dvd Calendar'!$E$553:$CZ$553,'Dvd Calendar'!$E$552:$CZ$552,"&gt;"&amp;E$258,'Dvd Calendar'!$E$552:$CZ$552,"&lt;="&amp;E$259),"")))</f>
        <v/>
      </c>
      <c r="F327" s="140">
        <f>IF(F$259="","",IF($B327="","",IFERROR(SUMIFS('Dvd Calendar'!$E$553:$CZ$553,'Dvd Calendar'!$E$552:$CZ$552,"&gt;"&amp;F$258,'Dvd Calendar'!$E$552:$CZ$552,"&lt;="&amp;F$259),"")))</f>
        <v/>
      </c>
      <c r="G327" s="140">
        <f>IF(G$259="","",IF($B327="","",IFERROR(SUMIFS('Dvd Calendar'!$E$553:$CZ$553,'Dvd Calendar'!$E$552:$CZ$552,"&gt;"&amp;G$258,'Dvd Calendar'!$E$552:$CZ$552,"&lt;="&amp;G$259),"")))</f>
        <v/>
      </c>
      <c r="H327" s="140">
        <f>IF(H$259="","",IF($B327="","",IFERROR(SUMIFS('Dvd Calendar'!$E$553:$CZ$553,'Dvd Calendar'!$E$552:$CZ$552,"&gt;"&amp;H$258,'Dvd Calendar'!$E$552:$CZ$552,"&lt;="&amp;H$259),"")))</f>
        <v/>
      </c>
      <c r="I327" s="140">
        <f>IF(I$259="","",IF($B327="","",IFERROR(SUMIFS('Dvd Calendar'!$E$553:$CZ$553,'Dvd Calendar'!$E$552:$CZ$552,"&gt;"&amp;I$258,'Dvd Calendar'!$E$552:$CZ$552,"&lt;="&amp;I$259),"")))</f>
        <v/>
      </c>
      <c r="J327" s="140">
        <f>IF(J$259="","",IF($B327="","",IFERROR(SUMIFS('Dvd Calendar'!$E$553:$CZ$553,'Dvd Calendar'!$E$552:$CZ$552,"&gt;"&amp;J$258,'Dvd Calendar'!$E$552:$CZ$552,"&lt;="&amp;J$259),"")))</f>
        <v/>
      </c>
      <c r="K327" s="140">
        <f>IF(K$259="","",IF($B327="","",IFERROR(SUMIFS('Dvd Calendar'!$E$553:$CZ$553,'Dvd Calendar'!$E$552:$CZ$552,"&gt;"&amp;K$258,'Dvd Calendar'!$E$552:$CZ$552,"&lt;="&amp;K$259),"")))</f>
        <v/>
      </c>
      <c r="L327" s="140">
        <f>IF(L$259="","",IF($B327="","",IFERROR(SUMIFS('Dvd Calendar'!$E$553:$CZ$553,'Dvd Calendar'!$E$552:$CZ$552,"&gt;"&amp;L$258,'Dvd Calendar'!$E$552:$CZ$552,"&lt;="&amp;L$259),"")))</f>
        <v/>
      </c>
      <c r="M327" s="140">
        <f>IF(M$259="","",IF($B327="","",IFERROR(SUMIFS('Dvd Calendar'!$E$553:$CZ$553,'Dvd Calendar'!$E$552:$CZ$552,"&gt;"&amp;M$258,'Dvd Calendar'!$E$552:$CZ$552,"&lt;="&amp;M$259),"")))</f>
        <v/>
      </c>
      <c r="N327" s="140">
        <f>IF(N$259="","",IF($B327="","",IFERROR(SUMIFS('Dvd Calendar'!$E$553:$CZ$553,'Dvd Calendar'!$E$552:$CZ$552,"&gt;"&amp;N$258,'Dvd Calendar'!$E$552:$CZ$552,"&lt;="&amp;N$259),"")))</f>
        <v/>
      </c>
      <c r="O327" s="140">
        <f>IF(O$259="","",IF($B327="","",IFERROR(SUMIFS('Dvd Calendar'!$E$553:$CZ$553,'Dvd Calendar'!$E$552:$CZ$552,"&gt;"&amp;O$258,'Dvd Calendar'!$E$552:$CZ$552,"&lt;="&amp;O$259),"")))</f>
        <v/>
      </c>
      <c r="P327" s="140">
        <f>IF(P$259="","",IF($B327="","",IFERROR(SUMIFS('Dvd Calendar'!$E$553:$CZ$553,'Dvd Calendar'!$E$552:$CZ$552,"&gt;"&amp;P$258,'Dvd Calendar'!$E$552:$CZ$552,"&lt;="&amp;P$259),"")))</f>
        <v/>
      </c>
      <c r="Q327" s="140">
        <f>IF(Q$259="","",IF($B327="","",IFERROR(SUMIFS('Dvd Calendar'!$E$553:$CZ$553,'Dvd Calendar'!$E$552:$CZ$552,"&gt;"&amp;Q$258,'Dvd Calendar'!$E$552:$CZ$552,"&lt;="&amp;Q$259),"")))</f>
        <v/>
      </c>
      <c r="R327" s="140">
        <f>IF(R$259="","",IF($B327="","",IFERROR(SUMIFS('Dvd Calendar'!$E$553:$CZ$553,'Dvd Calendar'!$E$552:$CZ$552,"&gt;"&amp;R$258,'Dvd Calendar'!$E$552:$CZ$552,"&lt;="&amp;R$259),"")))</f>
        <v/>
      </c>
    </row>
    <row r="328">
      <c r="B328" s="5">
        <f>IF(MXAU!$C$73="","",MXAU!$C$73)</f>
        <v/>
      </c>
      <c r="C328" s="140">
        <f>IF(C$259="","",IF($B328="","",IFERROR(SUMIFS('Dvd Calendar'!$E$555:$CZ$555,'Dvd Calendar'!$E$554:$CZ$554,"&gt;"&amp;C$258,'Dvd Calendar'!$E$554:$CZ$554,"&lt;="&amp;C$259),"")))</f>
        <v/>
      </c>
      <c r="D328" s="140">
        <f>IF(D$259="","",IF($B328="","",IFERROR(SUMIFS('Dvd Calendar'!$E$555:$CZ$555,'Dvd Calendar'!$E$554:$CZ$554,"&gt;"&amp;D$258,'Dvd Calendar'!$E$554:$CZ$554,"&lt;="&amp;D$259),"")))</f>
        <v/>
      </c>
      <c r="E328" s="140">
        <f>IF(E$259="","",IF($B328="","",IFERROR(SUMIFS('Dvd Calendar'!$E$555:$CZ$555,'Dvd Calendar'!$E$554:$CZ$554,"&gt;"&amp;E$258,'Dvd Calendar'!$E$554:$CZ$554,"&lt;="&amp;E$259),"")))</f>
        <v/>
      </c>
      <c r="F328" s="140">
        <f>IF(F$259="","",IF($B328="","",IFERROR(SUMIFS('Dvd Calendar'!$E$555:$CZ$555,'Dvd Calendar'!$E$554:$CZ$554,"&gt;"&amp;F$258,'Dvd Calendar'!$E$554:$CZ$554,"&lt;="&amp;F$259),"")))</f>
        <v/>
      </c>
      <c r="G328" s="140">
        <f>IF(G$259="","",IF($B328="","",IFERROR(SUMIFS('Dvd Calendar'!$E$555:$CZ$555,'Dvd Calendar'!$E$554:$CZ$554,"&gt;"&amp;G$258,'Dvd Calendar'!$E$554:$CZ$554,"&lt;="&amp;G$259),"")))</f>
        <v/>
      </c>
      <c r="H328" s="140">
        <f>IF(H$259="","",IF($B328="","",IFERROR(SUMIFS('Dvd Calendar'!$E$555:$CZ$555,'Dvd Calendar'!$E$554:$CZ$554,"&gt;"&amp;H$258,'Dvd Calendar'!$E$554:$CZ$554,"&lt;="&amp;H$259),"")))</f>
        <v/>
      </c>
      <c r="I328" s="140">
        <f>IF(I$259="","",IF($B328="","",IFERROR(SUMIFS('Dvd Calendar'!$E$555:$CZ$555,'Dvd Calendar'!$E$554:$CZ$554,"&gt;"&amp;I$258,'Dvd Calendar'!$E$554:$CZ$554,"&lt;="&amp;I$259),"")))</f>
        <v/>
      </c>
      <c r="J328" s="140">
        <f>IF(J$259="","",IF($B328="","",IFERROR(SUMIFS('Dvd Calendar'!$E$555:$CZ$555,'Dvd Calendar'!$E$554:$CZ$554,"&gt;"&amp;J$258,'Dvd Calendar'!$E$554:$CZ$554,"&lt;="&amp;J$259),"")))</f>
        <v/>
      </c>
      <c r="K328" s="140">
        <f>IF(K$259="","",IF($B328="","",IFERROR(SUMIFS('Dvd Calendar'!$E$555:$CZ$555,'Dvd Calendar'!$E$554:$CZ$554,"&gt;"&amp;K$258,'Dvd Calendar'!$E$554:$CZ$554,"&lt;="&amp;K$259),"")))</f>
        <v/>
      </c>
      <c r="L328" s="140">
        <f>IF(L$259="","",IF($B328="","",IFERROR(SUMIFS('Dvd Calendar'!$E$555:$CZ$555,'Dvd Calendar'!$E$554:$CZ$554,"&gt;"&amp;L$258,'Dvd Calendar'!$E$554:$CZ$554,"&lt;="&amp;L$259),"")))</f>
        <v/>
      </c>
      <c r="M328" s="140">
        <f>IF(M$259="","",IF($B328="","",IFERROR(SUMIFS('Dvd Calendar'!$E$555:$CZ$555,'Dvd Calendar'!$E$554:$CZ$554,"&gt;"&amp;M$258,'Dvd Calendar'!$E$554:$CZ$554,"&lt;="&amp;M$259),"")))</f>
        <v/>
      </c>
      <c r="N328" s="140">
        <f>IF(N$259="","",IF($B328="","",IFERROR(SUMIFS('Dvd Calendar'!$E$555:$CZ$555,'Dvd Calendar'!$E$554:$CZ$554,"&gt;"&amp;N$258,'Dvd Calendar'!$E$554:$CZ$554,"&lt;="&amp;N$259),"")))</f>
        <v/>
      </c>
      <c r="O328" s="140">
        <f>IF(O$259="","",IF($B328="","",IFERROR(SUMIFS('Dvd Calendar'!$E$555:$CZ$555,'Dvd Calendar'!$E$554:$CZ$554,"&gt;"&amp;O$258,'Dvd Calendar'!$E$554:$CZ$554,"&lt;="&amp;O$259),"")))</f>
        <v/>
      </c>
      <c r="P328" s="140">
        <f>IF(P$259="","",IF($B328="","",IFERROR(SUMIFS('Dvd Calendar'!$E$555:$CZ$555,'Dvd Calendar'!$E$554:$CZ$554,"&gt;"&amp;P$258,'Dvd Calendar'!$E$554:$CZ$554,"&lt;="&amp;P$259),"")))</f>
        <v/>
      </c>
      <c r="Q328" s="140">
        <f>IF(Q$259="","",IF($B328="","",IFERROR(SUMIFS('Dvd Calendar'!$E$555:$CZ$555,'Dvd Calendar'!$E$554:$CZ$554,"&gt;"&amp;Q$258,'Dvd Calendar'!$E$554:$CZ$554,"&lt;="&amp;Q$259),"")))</f>
        <v/>
      </c>
      <c r="R328" s="140">
        <f>IF(R$259="","",IF($B328="","",IFERROR(SUMIFS('Dvd Calendar'!$E$555:$CZ$555,'Dvd Calendar'!$E$554:$CZ$554,"&gt;"&amp;R$258,'Dvd Calendar'!$E$554:$CZ$554,"&lt;="&amp;R$259),"")))</f>
        <v/>
      </c>
    </row>
    <row r="329">
      <c r="B329" s="5">
        <f>IF(MXAU!$C$74="","",MXAU!$C$74)</f>
        <v/>
      </c>
      <c r="C329" s="140">
        <f>IF(C$259="","",IF($B329="","",IFERROR(SUMIFS('Dvd Calendar'!$E$557:$CZ$557,'Dvd Calendar'!$E$556:$CZ$556,"&gt;"&amp;C$258,'Dvd Calendar'!$E$556:$CZ$556,"&lt;="&amp;C$259),"")))</f>
        <v/>
      </c>
      <c r="D329" s="140">
        <f>IF(D$259="","",IF($B329="","",IFERROR(SUMIFS('Dvd Calendar'!$E$557:$CZ$557,'Dvd Calendar'!$E$556:$CZ$556,"&gt;"&amp;D$258,'Dvd Calendar'!$E$556:$CZ$556,"&lt;="&amp;D$259),"")))</f>
        <v/>
      </c>
      <c r="E329" s="140">
        <f>IF(E$259="","",IF($B329="","",IFERROR(SUMIFS('Dvd Calendar'!$E$557:$CZ$557,'Dvd Calendar'!$E$556:$CZ$556,"&gt;"&amp;E$258,'Dvd Calendar'!$E$556:$CZ$556,"&lt;="&amp;E$259),"")))</f>
        <v/>
      </c>
      <c r="F329" s="140">
        <f>IF(F$259="","",IF($B329="","",IFERROR(SUMIFS('Dvd Calendar'!$E$557:$CZ$557,'Dvd Calendar'!$E$556:$CZ$556,"&gt;"&amp;F$258,'Dvd Calendar'!$E$556:$CZ$556,"&lt;="&amp;F$259),"")))</f>
        <v/>
      </c>
      <c r="G329" s="140">
        <f>IF(G$259="","",IF($B329="","",IFERROR(SUMIFS('Dvd Calendar'!$E$557:$CZ$557,'Dvd Calendar'!$E$556:$CZ$556,"&gt;"&amp;G$258,'Dvd Calendar'!$E$556:$CZ$556,"&lt;="&amp;G$259),"")))</f>
        <v/>
      </c>
      <c r="H329" s="140">
        <f>IF(H$259="","",IF($B329="","",IFERROR(SUMIFS('Dvd Calendar'!$E$557:$CZ$557,'Dvd Calendar'!$E$556:$CZ$556,"&gt;"&amp;H$258,'Dvd Calendar'!$E$556:$CZ$556,"&lt;="&amp;H$259),"")))</f>
        <v/>
      </c>
      <c r="I329" s="140">
        <f>IF(I$259="","",IF($B329="","",IFERROR(SUMIFS('Dvd Calendar'!$E$557:$CZ$557,'Dvd Calendar'!$E$556:$CZ$556,"&gt;"&amp;I$258,'Dvd Calendar'!$E$556:$CZ$556,"&lt;="&amp;I$259),"")))</f>
        <v/>
      </c>
      <c r="J329" s="140">
        <f>IF(J$259="","",IF($B329="","",IFERROR(SUMIFS('Dvd Calendar'!$E$557:$CZ$557,'Dvd Calendar'!$E$556:$CZ$556,"&gt;"&amp;J$258,'Dvd Calendar'!$E$556:$CZ$556,"&lt;="&amp;J$259),"")))</f>
        <v/>
      </c>
      <c r="K329" s="140">
        <f>IF(K$259="","",IF($B329="","",IFERROR(SUMIFS('Dvd Calendar'!$E$557:$CZ$557,'Dvd Calendar'!$E$556:$CZ$556,"&gt;"&amp;K$258,'Dvd Calendar'!$E$556:$CZ$556,"&lt;="&amp;K$259),"")))</f>
        <v/>
      </c>
      <c r="L329" s="140">
        <f>IF(L$259="","",IF($B329="","",IFERROR(SUMIFS('Dvd Calendar'!$E$557:$CZ$557,'Dvd Calendar'!$E$556:$CZ$556,"&gt;"&amp;L$258,'Dvd Calendar'!$E$556:$CZ$556,"&lt;="&amp;L$259),"")))</f>
        <v/>
      </c>
      <c r="M329" s="140">
        <f>IF(M$259="","",IF($B329="","",IFERROR(SUMIFS('Dvd Calendar'!$E$557:$CZ$557,'Dvd Calendar'!$E$556:$CZ$556,"&gt;"&amp;M$258,'Dvd Calendar'!$E$556:$CZ$556,"&lt;="&amp;M$259),"")))</f>
        <v/>
      </c>
      <c r="N329" s="140">
        <f>IF(N$259="","",IF($B329="","",IFERROR(SUMIFS('Dvd Calendar'!$E$557:$CZ$557,'Dvd Calendar'!$E$556:$CZ$556,"&gt;"&amp;N$258,'Dvd Calendar'!$E$556:$CZ$556,"&lt;="&amp;N$259),"")))</f>
        <v/>
      </c>
      <c r="O329" s="140">
        <f>IF(O$259="","",IF($B329="","",IFERROR(SUMIFS('Dvd Calendar'!$E$557:$CZ$557,'Dvd Calendar'!$E$556:$CZ$556,"&gt;"&amp;O$258,'Dvd Calendar'!$E$556:$CZ$556,"&lt;="&amp;O$259),"")))</f>
        <v/>
      </c>
      <c r="P329" s="140">
        <f>IF(P$259="","",IF($B329="","",IFERROR(SUMIFS('Dvd Calendar'!$E$557:$CZ$557,'Dvd Calendar'!$E$556:$CZ$556,"&gt;"&amp;P$258,'Dvd Calendar'!$E$556:$CZ$556,"&lt;="&amp;P$259),"")))</f>
        <v/>
      </c>
      <c r="Q329" s="140">
        <f>IF(Q$259="","",IF($B329="","",IFERROR(SUMIFS('Dvd Calendar'!$E$557:$CZ$557,'Dvd Calendar'!$E$556:$CZ$556,"&gt;"&amp;Q$258,'Dvd Calendar'!$E$556:$CZ$556,"&lt;="&amp;Q$259),"")))</f>
        <v/>
      </c>
      <c r="R329" s="140">
        <f>IF(R$259="","",IF($B329="","",IFERROR(SUMIFS('Dvd Calendar'!$E$557:$CZ$557,'Dvd Calendar'!$E$556:$CZ$556,"&gt;"&amp;R$258,'Dvd Calendar'!$E$556:$CZ$556,"&lt;="&amp;R$259),"")))</f>
        <v/>
      </c>
    </row>
    <row r="330">
      <c r="B330" s="5">
        <f>IF(MXAU!$C$75="","",MXAU!$C$75)</f>
        <v/>
      </c>
      <c r="C330" s="140">
        <f>IF(C$259="","",IF($B330="","",IFERROR(SUMIFS('Dvd Calendar'!$E$559:$CZ$559,'Dvd Calendar'!$E$558:$CZ$558,"&gt;"&amp;C$258,'Dvd Calendar'!$E$558:$CZ$558,"&lt;="&amp;C$259),"")))</f>
        <v/>
      </c>
      <c r="D330" s="140">
        <f>IF(D$259="","",IF($B330="","",IFERROR(SUMIFS('Dvd Calendar'!$E$559:$CZ$559,'Dvd Calendar'!$E$558:$CZ$558,"&gt;"&amp;D$258,'Dvd Calendar'!$E$558:$CZ$558,"&lt;="&amp;D$259),"")))</f>
        <v/>
      </c>
      <c r="E330" s="140">
        <f>IF(E$259="","",IF($B330="","",IFERROR(SUMIFS('Dvd Calendar'!$E$559:$CZ$559,'Dvd Calendar'!$E$558:$CZ$558,"&gt;"&amp;E$258,'Dvd Calendar'!$E$558:$CZ$558,"&lt;="&amp;E$259),"")))</f>
        <v/>
      </c>
      <c r="F330" s="140">
        <f>IF(F$259="","",IF($B330="","",IFERROR(SUMIFS('Dvd Calendar'!$E$559:$CZ$559,'Dvd Calendar'!$E$558:$CZ$558,"&gt;"&amp;F$258,'Dvd Calendar'!$E$558:$CZ$558,"&lt;="&amp;F$259),"")))</f>
        <v/>
      </c>
      <c r="G330" s="140">
        <f>IF(G$259="","",IF($B330="","",IFERROR(SUMIFS('Dvd Calendar'!$E$559:$CZ$559,'Dvd Calendar'!$E$558:$CZ$558,"&gt;"&amp;G$258,'Dvd Calendar'!$E$558:$CZ$558,"&lt;="&amp;G$259),"")))</f>
        <v/>
      </c>
      <c r="H330" s="140">
        <f>IF(H$259="","",IF($B330="","",IFERROR(SUMIFS('Dvd Calendar'!$E$559:$CZ$559,'Dvd Calendar'!$E$558:$CZ$558,"&gt;"&amp;H$258,'Dvd Calendar'!$E$558:$CZ$558,"&lt;="&amp;H$259),"")))</f>
        <v/>
      </c>
      <c r="I330" s="140">
        <f>IF(I$259="","",IF($B330="","",IFERROR(SUMIFS('Dvd Calendar'!$E$559:$CZ$559,'Dvd Calendar'!$E$558:$CZ$558,"&gt;"&amp;I$258,'Dvd Calendar'!$E$558:$CZ$558,"&lt;="&amp;I$259),"")))</f>
        <v/>
      </c>
      <c r="J330" s="140">
        <f>IF(J$259="","",IF($B330="","",IFERROR(SUMIFS('Dvd Calendar'!$E$559:$CZ$559,'Dvd Calendar'!$E$558:$CZ$558,"&gt;"&amp;J$258,'Dvd Calendar'!$E$558:$CZ$558,"&lt;="&amp;J$259),"")))</f>
        <v/>
      </c>
      <c r="K330" s="140">
        <f>IF(K$259="","",IF($B330="","",IFERROR(SUMIFS('Dvd Calendar'!$E$559:$CZ$559,'Dvd Calendar'!$E$558:$CZ$558,"&gt;"&amp;K$258,'Dvd Calendar'!$E$558:$CZ$558,"&lt;="&amp;K$259),"")))</f>
        <v/>
      </c>
      <c r="L330" s="140">
        <f>IF(L$259="","",IF($B330="","",IFERROR(SUMIFS('Dvd Calendar'!$E$559:$CZ$559,'Dvd Calendar'!$E$558:$CZ$558,"&gt;"&amp;L$258,'Dvd Calendar'!$E$558:$CZ$558,"&lt;="&amp;L$259),"")))</f>
        <v/>
      </c>
      <c r="M330" s="140">
        <f>IF(M$259="","",IF($B330="","",IFERROR(SUMIFS('Dvd Calendar'!$E$559:$CZ$559,'Dvd Calendar'!$E$558:$CZ$558,"&gt;"&amp;M$258,'Dvd Calendar'!$E$558:$CZ$558,"&lt;="&amp;M$259),"")))</f>
        <v/>
      </c>
      <c r="N330" s="140">
        <f>IF(N$259="","",IF($B330="","",IFERROR(SUMIFS('Dvd Calendar'!$E$559:$CZ$559,'Dvd Calendar'!$E$558:$CZ$558,"&gt;"&amp;N$258,'Dvd Calendar'!$E$558:$CZ$558,"&lt;="&amp;N$259),"")))</f>
        <v/>
      </c>
      <c r="O330" s="140">
        <f>IF(O$259="","",IF($B330="","",IFERROR(SUMIFS('Dvd Calendar'!$E$559:$CZ$559,'Dvd Calendar'!$E$558:$CZ$558,"&gt;"&amp;O$258,'Dvd Calendar'!$E$558:$CZ$558,"&lt;="&amp;O$259),"")))</f>
        <v/>
      </c>
      <c r="P330" s="140">
        <f>IF(P$259="","",IF($B330="","",IFERROR(SUMIFS('Dvd Calendar'!$E$559:$CZ$559,'Dvd Calendar'!$E$558:$CZ$558,"&gt;"&amp;P$258,'Dvd Calendar'!$E$558:$CZ$558,"&lt;="&amp;P$259),"")))</f>
        <v/>
      </c>
      <c r="Q330" s="140">
        <f>IF(Q$259="","",IF($B330="","",IFERROR(SUMIFS('Dvd Calendar'!$E$559:$CZ$559,'Dvd Calendar'!$E$558:$CZ$558,"&gt;"&amp;Q$258,'Dvd Calendar'!$E$558:$CZ$558,"&lt;="&amp;Q$259),"")))</f>
        <v/>
      </c>
      <c r="R330" s="140">
        <f>IF(R$259="","",IF($B330="","",IFERROR(SUMIFS('Dvd Calendar'!$E$559:$CZ$559,'Dvd Calendar'!$E$558:$CZ$558,"&gt;"&amp;R$258,'Dvd Calendar'!$E$558:$CZ$558,"&lt;="&amp;R$259),"")))</f>
        <v/>
      </c>
    </row>
    <row r="331">
      <c r="B331" s="5">
        <f>IF(MXAU!$C$76="","",MXAU!$C$76)</f>
        <v/>
      </c>
      <c r="C331" s="140">
        <f>IF(C$259="","",IF($B331="","",IFERROR(SUMIFS('Dvd Calendar'!$E$561:$CZ$561,'Dvd Calendar'!$E$560:$CZ$560,"&gt;"&amp;C$258,'Dvd Calendar'!$E$560:$CZ$560,"&lt;="&amp;C$259),"")))</f>
        <v/>
      </c>
      <c r="D331" s="140">
        <f>IF(D$259="","",IF($B331="","",IFERROR(SUMIFS('Dvd Calendar'!$E$561:$CZ$561,'Dvd Calendar'!$E$560:$CZ$560,"&gt;"&amp;D$258,'Dvd Calendar'!$E$560:$CZ$560,"&lt;="&amp;D$259),"")))</f>
        <v/>
      </c>
      <c r="E331" s="140">
        <f>IF(E$259="","",IF($B331="","",IFERROR(SUMIFS('Dvd Calendar'!$E$561:$CZ$561,'Dvd Calendar'!$E$560:$CZ$560,"&gt;"&amp;E$258,'Dvd Calendar'!$E$560:$CZ$560,"&lt;="&amp;E$259),"")))</f>
        <v/>
      </c>
      <c r="F331" s="140">
        <f>IF(F$259="","",IF($B331="","",IFERROR(SUMIFS('Dvd Calendar'!$E$561:$CZ$561,'Dvd Calendar'!$E$560:$CZ$560,"&gt;"&amp;F$258,'Dvd Calendar'!$E$560:$CZ$560,"&lt;="&amp;F$259),"")))</f>
        <v/>
      </c>
      <c r="G331" s="140">
        <f>IF(G$259="","",IF($B331="","",IFERROR(SUMIFS('Dvd Calendar'!$E$561:$CZ$561,'Dvd Calendar'!$E$560:$CZ$560,"&gt;"&amp;G$258,'Dvd Calendar'!$E$560:$CZ$560,"&lt;="&amp;G$259),"")))</f>
        <v/>
      </c>
      <c r="H331" s="140">
        <f>IF(H$259="","",IF($B331="","",IFERROR(SUMIFS('Dvd Calendar'!$E$561:$CZ$561,'Dvd Calendar'!$E$560:$CZ$560,"&gt;"&amp;H$258,'Dvd Calendar'!$E$560:$CZ$560,"&lt;="&amp;H$259),"")))</f>
        <v/>
      </c>
      <c r="I331" s="140">
        <f>IF(I$259="","",IF($B331="","",IFERROR(SUMIFS('Dvd Calendar'!$E$561:$CZ$561,'Dvd Calendar'!$E$560:$CZ$560,"&gt;"&amp;I$258,'Dvd Calendar'!$E$560:$CZ$560,"&lt;="&amp;I$259),"")))</f>
        <v/>
      </c>
      <c r="J331" s="140">
        <f>IF(J$259="","",IF($B331="","",IFERROR(SUMIFS('Dvd Calendar'!$E$561:$CZ$561,'Dvd Calendar'!$E$560:$CZ$560,"&gt;"&amp;J$258,'Dvd Calendar'!$E$560:$CZ$560,"&lt;="&amp;J$259),"")))</f>
        <v/>
      </c>
      <c r="K331" s="140">
        <f>IF(K$259="","",IF($B331="","",IFERROR(SUMIFS('Dvd Calendar'!$E$561:$CZ$561,'Dvd Calendar'!$E$560:$CZ$560,"&gt;"&amp;K$258,'Dvd Calendar'!$E$560:$CZ$560,"&lt;="&amp;K$259),"")))</f>
        <v/>
      </c>
      <c r="L331" s="140">
        <f>IF(L$259="","",IF($B331="","",IFERROR(SUMIFS('Dvd Calendar'!$E$561:$CZ$561,'Dvd Calendar'!$E$560:$CZ$560,"&gt;"&amp;L$258,'Dvd Calendar'!$E$560:$CZ$560,"&lt;="&amp;L$259),"")))</f>
        <v/>
      </c>
      <c r="M331" s="140">
        <f>IF(M$259="","",IF($B331="","",IFERROR(SUMIFS('Dvd Calendar'!$E$561:$CZ$561,'Dvd Calendar'!$E$560:$CZ$560,"&gt;"&amp;M$258,'Dvd Calendar'!$E$560:$CZ$560,"&lt;="&amp;M$259),"")))</f>
        <v/>
      </c>
      <c r="N331" s="140">
        <f>IF(N$259="","",IF($B331="","",IFERROR(SUMIFS('Dvd Calendar'!$E$561:$CZ$561,'Dvd Calendar'!$E$560:$CZ$560,"&gt;"&amp;N$258,'Dvd Calendar'!$E$560:$CZ$560,"&lt;="&amp;N$259),"")))</f>
        <v/>
      </c>
      <c r="O331" s="140">
        <f>IF(O$259="","",IF($B331="","",IFERROR(SUMIFS('Dvd Calendar'!$E$561:$CZ$561,'Dvd Calendar'!$E$560:$CZ$560,"&gt;"&amp;O$258,'Dvd Calendar'!$E$560:$CZ$560,"&lt;="&amp;O$259),"")))</f>
        <v/>
      </c>
      <c r="P331" s="140">
        <f>IF(P$259="","",IF($B331="","",IFERROR(SUMIFS('Dvd Calendar'!$E$561:$CZ$561,'Dvd Calendar'!$E$560:$CZ$560,"&gt;"&amp;P$258,'Dvd Calendar'!$E$560:$CZ$560,"&lt;="&amp;P$259),"")))</f>
        <v/>
      </c>
      <c r="Q331" s="140">
        <f>IF(Q$259="","",IF($B331="","",IFERROR(SUMIFS('Dvd Calendar'!$E$561:$CZ$561,'Dvd Calendar'!$E$560:$CZ$560,"&gt;"&amp;Q$258,'Dvd Calendar'!$E$560:$CZ$560,"&lt;="&amp;Q$259),"")))</f>
        <v/>
      </c>
      <c r="R331" s="140">
        <f>IF(R$259="","",IF($B331="","",IFERROR(SUMIFS('Dvd Calendar'!$E$561:$CZ$561,'Dvd Calendar'!$E$560:$CZ$560,"&gt;"&amp;R$258,'Dvd Calendar'!$E$560:$CZ$560,"&lt;="&amp;R$259),"")))</f>
        <v/>
      </c>
    </row>
    <row r="332">
      <c r="B332" s="5">
        <f>IF(MXAU!$C$77="","",MXAU!$C$77)</f>
        <v/>
      </c>
      <c r="C332" s="140">
        <f>IF(C$259="","",IF($B332="","",IFERROR(SUMIFS('Dvd Calendar'!$E$563:$CZ$563,'Dvd Calendar'!$E$562:$CZ$562,"&gt;"&amp;C$258,'Dvd Calendar'!$E$562:$CZ$562,"&lt;="&amp;C$259),"")))</f>
        <v/>
      </c>
      <c r="D332" s="140">
        <f>IF(D$259="","",IF($B332="","",IFERROR(SUMIFS('Dvd Calendar'!$E$563:$CZ$563,'Dvd Calendar'!$E$562:$CZ$562,"&gt;"&amp;D$258,'Dvd Calendar'!$E$562:$CZ$562,"&lt;="&amp;D$259),"")))</f>
        <v/>
      </c>
      <c r="E332" s="140">
        <f>IF(E$259="","",IF($B332="","",IFERROR(SUMIFS('Dvd Calendar'!$E$563:$CZ$563,'Dvd Calendar'!$E$562:$CZ$562,"&gt;"&amp;E$258,'Dvd Calendar'!$E$562:$CZ$562,"&lt;="&amp;E$259),"")))</f>
        <v/>
      </c>
      <c r="F332" s="140">
        <f>IF(F$259="","",IF($B332="","",IFERROR(SUMIFS('Dvd Calendar'!$E$563:$CZ$563,'Dvd Calendar'!$E$562:$CZ$562,"&gt;"&amp;F$258,'Dvd Calendar'!$E$562:$CZ$562,"&lt;="&amp;F$259),"")))</f>
        <v/>
      </c>
      <c r="G332" s="140">
        <f>IF(G$259="","",IF($B332="","",IFERROR(SUMIFS('Dvd Calendar'!$E$563:$CZ$563,'Dvd Calendar'!$E$562:$CZ$562,"&gt;"&amp;G$258,'Dvd Calendar'!$E$562:$CZ$562,"&lt;="&amp;G$259),"")))</f>
        <v/>
      </c>
      <c r="H332" s="140">
        <f>IF(H$259="","",IF($B332="","",IFERROR(SUMIFS('Dvd Calendar'!$E$563:$CZ$563,'Dvd Calendar'!$E$562:$CZ$562,"&gt;"&amp;H$258,'Dvd Calendar'!$E$562:$CZ$562,"&lt;="&amp;H$259),"")))</f>
        <v/>
      </c>
      <c r="I332" s="140">
        <f>IF(I$259="","",IF($B332="","",IFERROR(SUMIFS('Dvd Calendar'!$E$563:$CZ$563,'Dvd Calendar'!$E$562:$CZ$562,"&gt;"&amp;I$258,'Dvd Calendar'!$E$562:$CZ$562,"&lt;="&amp;I$259),"")))</f>
        <v/>
      </c>
      <c r="J332" s="140">
        <f>IF(J$259="","",IF($B332="","",IFERROR(SUMIFS('Dvd Calendar'!$E$563:$CZ$563,'Dvd Calendar'!$E$562:$CZ$562,"&gt;"&amp;J$258,'Dvd Calendar'!$E$562:$CZ$562,"&lt;="&amp;J$259),"")))</f>
        <v/>
      </c>
      <c r="K332" s="140">
        <f>IF(K$259="","",IF($B332="","",IFERROR(SUMIFS('Dvd Calendar'!$E$563:$CZ$563,'Dvd Calendar'!$E$562:$CZ$562,"&gt;"&amp;K$258,'Dvd Calendar'!$E$562:$CZ$562,"&lt;="&amp;K$259),"")))</f>
        <v/>
      </c>
      <c r="L332" s="140">
        <f>IF(L$259="","",IF($B332="","",IFERROR(SUMIFS('Dvd Calendar'!$E$563:$CZ$563,'Dvd Calendar'!$E$562:$CZ$562,"&gt;"&amp;L$258,'Dvd Calendar'!$E$562:$CZ$562,"&lt;="&amp;L$259),"")))</f>
        <v/>
      </c>
      <c r="M332" s="140">
        <f>IF(M$259="","",IF($B332="","",IFERROR(SUMIFS('Dvd Calendar'!$E$563:$CZ$563,'Dvd Calendar'!$E$562:$CZ$562,"&gt;"&amp;M$258,'Dvd Calendar'!$E$562:$CZ$562,"&lt;="&amp;M$259),"")))</f>
        <v/>
      </c>
      <c r="N332" s="140">
        <f>IF(N$259="","",IF($B332="","",IFERROR(SUMIFS('Dvd Calendar'!$E$563:$CZ$563,'Dvd Calendar'!$E$562:$CZ$562,"&gt;"&amp;N$258,'Dvd Calendar'!$E$562:$CZ$562,"&lt;="&amp;N$259),"")))</f>
        <v/>
      </c>
      <c r="O332" s="140">
        <f>IF(O$259="","",IF($B332="","",IFERROR(SUMIFS('Dvd Calendar'!$E$563:$CZ$563,'Dvd Calendar'!$E$562:$CZ$562,"&gt;"&amp;O$258,'Dvd Calendar'!$E$562:$CZ$562,"&lt;="&amp;O$259),"")))</f>
        <v/>
      </c>
      <c r="P332" s="140">
        <f>IF(P$259="","",IF($B332="","",IFERROR(SUMIFS('Dvd Calendar'!$E$563:$CZ$563,'Dvd Calendar'!$E$562:$CZ$562,"&gt;"&amp;P$258,'Dvd Calendar'!$E$562:$CZ$562,"&lt;="&amp;P$259),"")))</f>
        <v/>
      </c>
      <c r="Q332" s="140">
        <f>IF(Q$259="","",IF($B332="","",IFERROR(SUMIFS('Dvd Calendar'!$E$563:$CZ$563,'Dvd Calendar'!$E$562:$CZ$562,"&gt;"&amp;Q$258,'Dvd Calendar'!$E$562:$CZ$562,"&lt;="&amp;Q$259),"")))</f>
        <v/>
      </c>
      <c r="R332" s="140">
        <f>IF(R$259="","",IF($B332="","",IFERROR(SUMIFS('Dvd Calendar'!$E$563:$CZ$563,'Dvd Calendar'!$E$562:$CZ$562,"&gt;"&amp;R$258,'Dvd Calendar'!$E$562:$CZ$562,"&lt;="&amp;R$259),"")))</f>
        <v/>
      </c>
    </row>
    <row r="333">
      <c r="B333" s="5">
        <f>IF(MXAU!$C$78="","",MXAU!$C$78)</f>
        <v/>
      </c>
      <c r="C333" s="140">
        <f>IF(C$259="","",IF($B333="","",IFERROR(SUMIFS('Dvd Calendar'!$E$565:$CZ$565,'Dvd Calendar'!$E$564:$CZ$564,"&gt;"&amp;C$258,'Dvd Calendar'!$E$564:$CZ$564,"&lt;="&amp;C$259),"")))</f>
        <v/>
      </c>
      <c r="D333" s="140">
        <f>IF(D$259="","",IF($B333="","",IFERROR(SUMIFS('Dvd Calendar'!$E$565:$CZ$565,'Dvd Calendar'!$E$564:$CZ$564,"&gt;"&amp;D$258,'Dvd Calendar'!$E$564:$CZ$564,"&lt;="&amp;D$259),"")))</f>
        <v/>
      </c>
      <c r="E333" s="140">
        <f>IF(E$259="","",IF($B333="","",IFERROR(SUMIFS('Dvd Calendar'!$E$565:$CZ$565,'Dvd Calendar'!$E$564:$CZ$564,"&gt;"&amp;E$258,'Dvd Calendar'!$E$564:$CZ$564,"&lt;="&amp;E$259),"")))</f>
        <v/>
      </c>
      <c r="F333" s="140">
        <f>IF(F$259="","",IF($B333="","",IFERROR(SUMIFS('Dvd Calendar'!$E$565:$CZ$565,'Dvd Calendar'!$E$564:$CZ$564,"&gt;"&amp;F$258,'Dvd Calendar'!$E$564:$CZ$564,"&lt;="&amp;F$259),"")))</f>
        <v/>
      </c>
      <c r="G333" s="140">
        <f>IF(G$259="","",IF($B333="","",IFERROR(SUMIFS('Dvd Calendar'!$E$565:$CZ$565,'Dvd Calendar'!$E$564:$CZ$564,"&gt;"&amp;G$258,'Dvd Calendar'!$E$564:$CZ$564,"&lt;="&amp;G$259),"")))</f>
        <v/>
      </c>
      <c r="H333" s="140">
        <f>IF(H$259="","",IF($B333="","",IFERROR(SUMIFS('Dvd Calendar'!$E$565:$CZ$565,'Dvd Calendar'!$E$564:$CZ$564,"&gt;"&amp;H$258,'Dvd Calendar'!$E$564:$CZ$564,"&lt;="&amp;H$259),"")))</f>
        <v/>
      </c>
      <c r="I333" s="140">
        <f>IF(I$259="","",IF($B333="","",IFERROR(SUMIFS('Dvd Calendar'!$E$565:$CZ$565,'Dvd Calendar'!$E$564:$CZ$564,"&gt;"&amp;I$258,'Dvd Calendar'!$E$564:$CZ$564,"&lt;="&amp;I$259),"")))</f>
        <v/>
      </c>
      <c r="J333" s="140">
        <f>IF(J$259="","",IF($B333="","",IFERROR(SUMIFS('Dvd Calendar'!$E$565:$CZ$565,'Dvd Calendar'!$E$564:$CZ$564,"&gt;"&amp;J$258,'Dvd Calendar'!$E$564:$CZ$564,"&lt;="&amp;J$259),"")))</f>
        <v/>
      </c>
      <c r="K333" s="140">
        <f>IF(K$259="","",IF($B333="","",IFERROR(SUMIFS('Dvd Calendar'!$E$565:$CZ$565,'Dvd Calendar'!$E$564:$CZ$564,"&gt;"&amp;K$258,'Dvd Calendar'!$E$564:$CZ$564,"&lt;="&amp;K$259),"")))</f>
        <v/>
      </c>
      <c r="L333" s="140">
        <f>IF(L$259="","",IF($B333="","",IFERROR(SUMIFS('Dvd Calendar'!$E$565:$CZ$565,'Dvd Calendar'!$E$564:$CZ$564,"&gt;"&amp;L$258,'Dvd Calendar'!$E$564:$CZ$564,"&lt;="&amp;L$259),"")))</f>
        <v/>
      </c>
      <c r="M333" s="140">
        <f>IF(M$259="","",IF($B333="","",IFERROR(SUMIFS('Dvd Calendar'!$E$565:$CZ$565,'Dvd Calendar'!$E$564:$CZ$564,"&gt;"&amp;M$258,'Dvd Calendar'!$E$564:$CZ$564,"&lt;="&amp;M$259),"")))</f>
        <v/>
      </c>
      <c r="N333" s="140">
        <f>IF(N$259="","",IF($B333="","",IFERROR(SUMIFS('Dvd Calendar'!$E$565:$CZ$565,'Dvd Calendar'!$E$564:$CZ$564,"&gt;"&amp;N$258,'Dvd Calendar'!$E$564:$CZ$564,"&lt;="&amp;N$259),"")))</f>
        <v/>
      </c>
      <c r="O333" s="140">
        <f>IF(O$259="","",IF($B333="","",IFERROR(SUMIFS('Dvd Calendar'!$E$565:$CZ$565,'Dvd Calendar'!$E$564:$CZ$564,"&gt;"&amp;O$258,'Dvd Calendar'!$E$564:$CZ$564,"&lt;="&amp;O$259),"")))</f>
        <v/>
      </c>
      <c r="P333" s="140">
        <f>IF(P$259="","",IF($B333="","",IFERROR(SUMIFS('Dvd Calendar'!$E$565:$CZ$565,'Dvd Calendar'!$E$564:$CZ$564,"&gt;"&amp;P$258,'Dvd Calendar'!$E$564:$CZ$564,"&lt;="&amp;P$259),"")))</f>
        <v/>
      </c>
      <c r="Q333" s="140">
        <f>IF(Q$259="","",IF($B333="","",IFERROR(SUMIFS('Dvd Calendar'!$E$565:$CZ$565,'Dvd Calendar'!$E$564:$CZ$564,"&gt;"&amp;Q$258,'Dvd Calendar'!$E$564:$CZ$564,"&lt;="&amp;Q$259),"")))</f>
        <v/>
      </c>
      <c r="R333" s="140">
        <f>IF(R$259="","",IF($B333="","",IFERROR(SUMIFS('Dvd Calendar'!$E$565:$CZ$565,'Dvd Calendar'!$E$564:$CZ$564,"&gt;"&amp;R$258,'Dvd Calendar'!$E$564:$CZ$564,"&lt;="&amp;R$259),"")))</f>
        <v/>
      </c>
    </row>
    <row r="334">
      <c r="B334" s="5">
        <f>IF(MXAU!$C$79="","",MXAU!$C$79)</f>
        <v/>
      </c>
      <c r="C334" s="140">
        <f>IF(C$259="","",IF($B334="","",IFERROR(SUMIFS('Dvd Calendar'!$E$567:$CZ$567,'Dvd Calendar'!$E$566:$CZ$566,"&gt;"&amp;C$258,'Dvd Calendar'!$E$566:$CZ$566,"&lt;="&amp;C$259),"")))</f>
        <v/>
      </c>
      <c r="D334" s="140">
        <f>IF(D$259="","",IF($B334="","",IFERROR(SUMIFS('Dvd Calendar'!$E$567:$CZ$567,'Dvd Calendar'!$E$566:$CZ$566,"&gt;"&amp;D$258,'Dvd Calendar'!$E$566:$CZ$566,"&lt;="&amp;D$259),"")))</f>
        <v/>
      </c>
      <c r="E334" s="140">
        <f>IF(E$259="","",IF($B334="","",IFERROR(SUMIFS('Dvd Calendar'!$E$567:$CZ$567,'Dvd Calendar'!$E$566:$CZ$566,"&gt;"&amp;E$258,'Dvd Calendar'!$E$566:$CZ$566,"&lt;="&amp;E$259),"")))</f>
        <v/>
      </c>
      <c r="F334" s="140">
        <f>IF(F$259="","",IF($B334="","",IFERROR(SUMIFS('Dvd Calendar'!$E$567:$CZ$567,'Dvd Calendar'!$E$566:$CZ$566,"&gt;"&amp;F$258,'Dvd Calendar'!$E$566:$CZ$566,"&lt;="&amp;F$259),"")))</f>
        <v/>
      </c>
      <c r="G334" s="140">
        <f>IF(G$259="","",IF($B334="","",IFERROR(SUMIFS('Dvd Calendar'!$E$567:$CZ$567,'Dvd Calendar'!$E$566:$CZ$566,"&gt;"&amp;G$258,'Dvd Calendar'!$E$566:$CZ$566,"&lt;="&amp;G$259),"")))</f>
        <v/>
      </c>
      <c r="H334" s="140">
        <f>IF(H$259="","",IF($B334="","",IFERROR(SUMIFS('Dvd Calendar'!$E$567:$CZ$567,'Dvd Calendar'!$E$566:$CZ$566,"&gt;"&amp;H$258,'Dvd Calendar'!$E$566:$CZ$566,"&lt;="&amp;H$259),"")))</f>
        <v/>
      </c>
      <c r="I334" s="140">
        <f>IF(I$259="","",IF($B334="","",IFERROR(SUMIFS('Dvd Calendar'!$E$567:$CZ$567,'Dvd Calendar'!$E$566:$CZ$566,"&gt;"&amp;I$258,'Dvd Calendar'!$E$566:$CZ$566,"&lt;="&amp;I$259),"")))</f>
        <v/>
      </c>
      <c r="J334" s="140">
        <f>IF(J$259="","",IF($B334="","",IFERROR(SUMIFS('Dvd Calendar'!$E$567:$CZ$567,'Dvd Calendar'!$E$566:$CZ$566,"&gt;"&amp;J$258,'Dvd Calendar'!$E$566:$CZ$566,"&lt;="&amp;J$259),"")))</f>
        <v/>
      </c>
      <c r="K334" s="140">
        <f>IF(K$259="","",IF($B334="","",IFERROR(SUMIFS('Dvd Calendar'!$E$567:$CZ$567,'Dvd Calendar'!$E$566:$CZ$566,"&gt;"&amp;K$258,'Dvd Calendar'!$E$566:$CZ$566,"&lt;="&amp;K$259),"")))</f>
        <v/>
      </c>
      <c r="L334" s="140">
        <f>IF(L$259="","",IF($B334="","",IFERROR(SUMIFS('Dvd Calendar'!$E$567:$CZ$567,'Dvd Calendar'!$E$566:$CZ$566,"&gt;"&amp;L$258,'Dvd Calendar'!$E$566:$CZ$566,"&lt;="&amp;L$259),"")))</f>
        <v/>
      </c>
      <c r="M334" s="140">
        <f>IF(M$259="","",IF($B334="","",IFERROR(SUMIFS('Dvd Calendar'!$E$567:$CZ$567,'Dvd Calendar'!$E$566:$CZ$566,"&gt;"&amp;M$258,'Dvd Calendar'!$E$566:$CZ$566,"&lt;="&amp;M$259),"")))</f>
        <v/>
      </c>
      <c r="N334" s="140">
        <f>IF(N$259="","",IF($B334="","",IFERROR(SUMIFS('Dvd Calendar'!$E$567:$CZ$567,'Dvd Calendar'!$E$566:$CZ$566,"&gt;"&amp;N$258,'Dvd Calendar'!$E$566:$CZ$566,"&lt;="&amp;N$259),"")))</f>
        <v/>
      </c>
      <c r="O334" s="140">
        <f>IF(O$259="","",IF($B334="","",IFERROR(SUMIFS('Dvd Calendar'!$E$567:$CZ$567,'Dvd Calendar'!$E$566:$CZ$566,"&gt;"&amp;O$258,'Dvd Calendar'!$E$566:$CZ$566,"&lt;="&amp;O$259),"")))</f>
        <v/>
      </c>
      <c r="P334" s="140">
        <f>IF(P$259="","",IF($B334="","",IFERROR(SUMIFS('Dvd Calendar'!$E$567:$CZ$567,'Dvd Calendar'!$E$566:$CZ$566,"&gt;"&amp;P$258,'Dvd Calendar'!$E$566:$CZ$566,"&lt;="&amp;P$259),"")))</f>
        <v/>
      </c>
      <c r="Q334" s="140">
        <f>IF(Q$259="","",IF($B334="","",IFERROR(SUMIFS('Dvd Calendar'!$E$567:$CZ$567,'Dvd Calendar'!$E$566:$CZ$566,"&gt;"&amp;Q$258,'Dvd Calendar'!$E$566:$CZ$566,"&lt;="&amp;Q$259),"")))</f>
        <v/>
      </c>
      <c r="R334" s="140">
        <f>IF(R$259="","",IF($B334="","",IFERROR(SUMIFS('Dvd Calendar'!$E$567:$CZ$567,'Dvd Calendar'!$E$566:$CZ$566,"&gt;"&amp;R$258,'Dvd Calendar'!$E$566:$CZ$566,"&lt;="&amp;R$259),"")))</f>
        <v/>
      </c>
    </row>
    <row r="335">
      <c r="B335" s="5">
        <f>IF(MXAU!$C$80="","",MXAU!$C$80)</f>
        <v/>
      </c>
      <c r="C335" s="140">
        <f>IF(C$259="","",IF($B335="","",IFERROR(SUMIFS('Dvd Calendar'!$E$569:$CZ$569,'Dvd Calendar'!$E$568:$CZ$568,"&gt;"&amp;C$258,'Dvd Calendar'!$E$568:$CZ$568,"&lt;="&amp;C$259),"")))</f>
        <v/>
      </c>
      <c r="D335" s="140">
        <f>IF(D$259="","",IF($B335="","",IFERROR(SUMIFS('Dvd Calendar'!$E$569:$CZ$569,'Dvd Calendar'!$E$568:$CZ$568,"&gt;"&amp;D$258,'Dvd Calendar'!$E$568:$CZ$568,"&lt;="&amp;D$259),"")))</f>
        <v/>
      </c>
      <c r="E335" s="140">
        <f>IF(E$259="","",IF($B335="","",IFERROR(SUMIFS('Dvd Calendar'!$E$569:$CZ$569,'Dvd Calendar'!$E$568:$CZ$568,"&gt;"&amp;E$258,'Dvd Calendar'!$E$568:$CZ$568,"&lt;="&amp;E$259),"")))</f>
        <v/>
      </c>
      <c r="F335" s="140">
        <f>IF(F$259="","",IF($B335="","",IFERROR(SUMIFS('Dvd Calendar'!$E$569:$CZ$569,'Dvd Calendar'!$E$568:$CZ$568,"&gt;"&amp;F$258,'Dvd Calendar'!$E$568:$CZ$568,"&lt;="&amp;F$259),"")))</f>
        <v/>
      </c>
      <c r="G335" s="140">
        <f>IF(G$259="","",IF($B335="","",IFERROR(SUMIFS('Dvd Calendar'!$E$569:$CZ$569,'Dvd Calendar'!$E$568:$CZ$568,"&gt;"&amp;G$258,'Dvd Calendar'!$E$568:$CZ$568,"&lt;="&amp;G$259),"")))</f>
        <v/>
      </c>
      <c r="H335" s="140">
        <f>IF(H$259="","",IF($B335="","",IFERROR(SUMIFS('Dvd Calendar'!$E$569:$CZ$569,'Dvd Calendar'!$E$568:$CZ$568,"&gt;"&amp;H$258,'Dvd Calendar'!$E$568:$CZ$568,"&lt;="&amp;H$259),"")))</f>
        <v/>
      </c>
      <c r="I335" s="140">
        <f>IF(I$259="","",IF($B335="","",IFERROR(SUMIFS('Dvd Calendar'!$E$569:$CZ$569,'Dvd Calendar'!$E$568:$CZ$568,"&gt;"&amp;I$258,'Dvd Calendar'!$E$568:$CZ$568,"&lt;="&amp;I$259),"")))</f>
        <v/>
      </c>
      <c r="J335" s="140">
        <f>IF(J$259="","",IF($B335="","",IFERROR(SUMIFS('Dvd Calendar'!$E$569:$CZ$569,'Dvd Calendar'!$E$568:$CZ$568,"&gt;"&amp;J$258,'Dvd Calendar'!$E$568:$CZ$568,"&lt;="&amp;J$259),"")))</f>
        <v/>
      </c>
      <c r="K335" s="140">
        <f>IF(K$259="","",IF($B335="","",IFERROR(SUMIFS('Dvd Calendar'!$E$569:$CZ$569,'Dvd Calendar'!$E$568:$CZ$568,"&gt;"&amp;K$258,'Dvd Calendar'!$E$568:$CZ$568,"&lt;="&amp;K$259),"")))</f>
        <v/>
      </c>
      <c r="L335" s="140">
        <f>IF(L$259="","",IF($B335="","",IFERROR(SUMIFS('Dvd Calendar'!$E$569:$CZ$569,'Dvd Calendar'!$E$568:$CZ$568,"&gt;"&amp;L$258,'Dvd Calendar'!$E$568:$CZ$568,"&lt;="&amp;L$259),"")))</f>
        <v/>
      </c>
      <c r="M335" s="140">
        <f>IF(M$259="","",IF($B335="","",IFERROR(SUMIFS('Dvd Calendar'!$E$569:$CZ$569,'Dvd Calendar'!$E$568:$CZ$568,"&gt;"&amp;M$258,'Dvd Calendar'!$E$568:$CZ$568,"&lt;="&amp;M$259),"")))</f>
        <v/>
      </c>
      <c r="N335" s="140">
        <f>IF(N$259="","",IF($B335="","",IFERROR(SUMIFS('Dvd Calendar'!$E$569:$CZ$569,'Dvd Calendar'!$E$568:$CZ$568,"&gt;"&amp;N$258,'Dvd Calendar'!$E$568:$CZ$568,"&lt;="&amp;N$259),"")))</f>
        <v/>
      </c>
      <c r="O335" s="140">
        <f>IF(O$259="","",IF($B335="","",IFERROR(SUMIFS('Dvd Calendar'!$E$569:$CZ$569,'Dvd Calendar'!$E$568:$CZ$568,"&gt;"&amp;O$258,'Dvd Calendar'!$E$568:$CZ$568,"&lt;="&amp;O$259),"")))</f>
        <v/>
      </c>
      <c r="P335" s="140">
        <f>IF(P$259="","",IF($B335="","",IFERROR(SUMIFS('Dvd Calendar'!$E$569:$CZ$569,'Dvd Calendar'!$E$568:$CZ$568,"&gt;"&amp;P$258,'Dvd Calendar'!$E$568:$CZ$568,"&lt;="&amp;P$259),"")))</f>
        <v/>
      </c>
      <c r="Q335" s="140">
        <f>IF(Q$259="","",IF($B335="","",IFERROR(SUMIFS('Dvd Calendar'!$E$569:$CZ$569,'Dvd Calendar'!$E$568:$CZ$568,"&gt;"&amp;Q$258,'Dvd Calendar'!$E$568:$CZ$568,"&lt;="&amp;Q$259),"")))</f>
        <v/>
      </c>
      <c r="R335" s="140">
        <f>IF(R$259="","",IF($B335="","",IFERROR(SUMIFS('Dvd Calendar'!$E$569:$CZ$569,'Dvd Calendar'!$E$568:$CZ$568,"&gt;"&amp;R$258,'Dvd Calendar'!$E$568:$CZ$568,"&lt;="&amp;R$259),"")))</f>
        <v/>
      </c>
    </row>
    <row r="336">
      <c r="B336" s="5">
        <f>IF(MXAU!$C$81="","",MXAU!$C$81)</f>
        <v/>
      </c>
      <c r="C336" s="140">
        <f>IF(C$259="","",IF($B336="","",IFERROR(SUMIFS('Dvd Calendar'!$E$571:$CZ$571,'Dvd Calendar'!$E$570:$CZ$570,"&gt;"&amp;C$258,'Dvd Calendar'!$E$570:$CZ$570,"&lt;="&amp;C$259),"")))</f>
        <v/>
      </c>
      <c r="D336" s="140">
        <f>IF(D$259="","",IF($B336="","",IFERROR(SUMIFS('Dvd Calendar'!$E$571:$CZ$571,'Dvd Calendar'!$E$570:$CZ$570,"&gt;"&amp;D$258,'Dvd Calendar'!$E$570:$CZ$570,"&lt;="&amp;D$259),"")))</f>
        <v/>
      </c>
      <c r="E336" s="140">
        <f>IF(E$259="","",IF($B336="","",IFERROR(SUMIFS('Dvd Calendar'!$E$571:$CZ$571,'Dvd Calendar'!$E$570:$CZ$570,"&gt;"&amp;E$258,'Dvd Calendar'!$E$570:$CZ$570,"&lt;="&amp;E$259),"")))</f>
        <v/>
      </c>
      <c r="F336" s="140">
        <f>IF(F$259="","",IF($B336="","",IFERROR(SUMIFS('Dvd Calendar'!$E$571:$CZ$571,'Dvd Calendar'!$E$570:$CZ$570,"&gt;"&amp;F$258,'Dvd Calendar'!$E$570:$CZ$570,"&lt;="&amp;F$259),"")))</f>
        <v/>
      </c>
      <c r="G336" s="140">
        <f>IF(G$259="","",IF($B336="","",IFERROR(SUMIFS('Dvd Calendar'!$E$571:$CZ$571,'Dvd Calendar'!$E$570:$CZ$570,"&gt;"&amp;G$258,'Dvd Calendar'!$E$570:$CZ$570,"&lt;="&amp;G$259),"")))</f>
        <v/>
      </c>
      <c r="H336" s="140">
        <f>IF(H$259="","",IF($B336="","",IFERROR(SUMIFS('Dvd Calendar'!$E$571:$CZ$571,'Dvd Calendar'!$E$570:$CZ$570,"&gt;"&amp;H$258,'Dvd Calendar'!$E$570:$CZ$570,"&lt;="&amp;H$259),"")))</f>
        <v/>
      </c>
      <c r="I336" s="140">
        <f>IF(I$259="","",IF($B336="","",IFERROR(SUMIFS('Dvd Calendar'!$E$571:$CZ$571,'Dvd Calendar'!$E$570:$CZ$570,"&gt;"&amp;I$258,'Dvd Calendar'!$E$570:$CZ$570,"&lt;="&amp;I$259),"")))</f>
        <v/>
      </c>
      <c r="J336" s="140">
        <f>IF(J$259="","",IF($B336="","",IFERROR(SUMIFS('Dvd Calendar'!$E$571:$CZ$571,'Dvd Calendar'!$E$570:$CZ$570,"&gt;"&amp;J$258,'Dvd Calendar'!$E$570:$CZ$570,"&lt;="&amp;J$259),"")))</f>
        <v/>
      </c>
      <c r="K336" s="140">
        <f>IF(K$259="","",IF($B336="","",IFERROR(SUMIFS('Dvd Calendar'!$E$571:$CZ$571,'Dvd Calendar'!$E$570:$CZ$570,"&gt;"&amp;K$258,'Dvd Calendar'!$E$570:$CZ$570,"&lt;="&amp;K$259),"")))</f>
        <v/>
      </c>
      <c r="L336" s="140">
        <f>IF(L$259="","",IF($B336="","",IFERROR(SUMIFS('Dvd Calendar'!$E$571:$CZ$571,'Dvd Calendar'!$E$570:$CZ$570,"&gt;"&amp;L$258,'Dvd Calendar'!$E$570:$CZ$570,"&lt;="&amp;L$259),"")))</f>
        <v/>
      </c>
      <c r="M336" s="140">
        <f>IF(M$259="","",IF($B336="","",IFERROR(SUMIFS('Dvd Calendar'!$E$571:$CZ$571,'Dvd Calendar'!$E$570:$CZ$570,"&gt;"&amp;M$258,'Dvd Calendar'!$E$570:$CZ$570,"&lt;="&amp;M$259),"")))</f>
        <v/>
      </c>
      <c r="N336" s="140">
        <f>IF(N$259="","",IF($B336="","",IFERROR(SUMIFS('Dvd Calendar'!$E$571:$CZ$571,'Dvd Calendar'!$E$570:$CZ$570,"&gt;"&amp;N$258,'Dvd Calendar'!$E$570:$CZ$570,"&lt;="&amp;N$259),"")))</f>
        <v/>
      </c>
      <c r="O336" s="140">
        <f>IF(O$259="","",IF($B336="","",IFERROR(SUMIFS('Dvd Calendar'!$E$571:$CZ$571,'Dvd Calendar'!$E$570:$CZ$570,"&gt;"&amp;O$258,'Dvd Calendar'!$E$570:$CZ$570,"&lt;="&amp;O$259),"")))</f>
        <v/>
      </c>
      <c r="P336" s="140">
        <f>IF(P$259="","",IF($B336="","",IFERROR(SUMIFS('Dvd Calendar'!$E$571:$CZ$571,'Dvd Calendar'!$E$570:$CZ$570,"&gt;"&amp;P$258,'Dvd Calendar'!$E$570:$CZ$570,"&lt;="&amp;P$259),"")))</f>
        <v/>
      </c>
      <c r="Q336" s="140">
        <f>IF(Q$259="","",IF($B336="","",IFERROR(SUMIFS('Dvd Calendar'!$E$571:$CZ$571,'Dvd Calendar'!$E$570:$CZ$570,"&gt;"&amp;Q$258,'Dvd Calendar'!$E$570:$CZ$570,"&lt;="&amp;Q$259),"")))</f>
        <v/>
      </c>
      <c r="R336" s="140">
        <f>IF(R$259="","",IF($B336="","",IFERROR(SUMIFS('Dvd Calendar'!$E$571:$CZ$571,'Dvd Calendar'!$E$570:$CZ$570,"&gt;"&amp;R$258,'Dvd Calendar'!$E$570:$CZ$570,"&lt;="&amp;R$259),"")))</f>
        <v/>
      </c>
    </row>
    <row r="337">
      <c r="B337" s="5">
        <f>IF(MXAU!$C$82="","",MXAU!$C$82)</f>
        <v/>
      </c>
      <c r="C337" s="140">
        <f>IF(C$259="","",IF($B337="","",IFERROR(SUMIFS('Dvd Calendar'!$E$573:$CZ$573,'Dvd Calendar'!$E$572:$CZ$572,"&gt;"&amp;C$258,'Dvd Calendar'!$E$572:$CZ$572,"&lt;="&amp;C$259),"")))</f>
        <v/>
      </c>
      <c r="D337" s="140">
        <f>IF(D$259="","",IF($B337="","",IFERROR(SUMIFS('Dvd Calendar'!$E$573:$CZ$573,'Dvd Calendar'!$E$572:$CZ$572,"&gt;"&amp;D$258,'Dvd Calendar'!$E$572:$CZ$572,"&lt;="&amp;D$259),"")))</f>
        <v/>
      </c>
      <c r="E337" s="140">
        <f>IF(E$259="","",IF($B337="","",IFERROR(SUMIFS('Dvd Calendar'!$E$573:$CZ$573,'Dvd Calendar'!$E$572:$CZ$572,"&gt;"&amp;E$258,'Dvd Calendar'!$E$572:$CZ$572,"&lt;="&amp;E$259),"")))</f>
        <v/>
      </c>
      <c r="F337" s="140">
        <f>IF(F$259="","",IF($B337="","",IFERROR(SUMIFS('Dvd Calendar'!$E$573:$CZ$573,'Dvd Calendar'!$E$572:$CZ$572,"&gt;"&amp;F$258,'Dvd Calendar'!$E$572:$CZ$572,"&lt;="&amp;F$259),"")))</f>
        <v/>
      </c>
      <c r="G337" s="140">
        <f>IF(G$259="","",IF($B337="","",IFERROR(SUMIFS('Dvd Calendar'!$E$573:$CZ$573,'Dvd Calendar'!$E$572:$CZ$572,"&gt;"&amp;G$258,'Dvd Calendar'!$E$572:$CZ$572,"&lt;="&amp;G$259),"")))</f>
        <v/>
      </c>
      <c r="H337" s="140">
        <f>IF(H$259="","",IF($B337="","",IFERROR(SUMIFS('Dvd Calendar'!$E$573:$CZ$573,'Dvd Calendar'!$E$572:$CZ$572,"&gt;"&amp;H$258,'Dvd Calendar'!$E$572:$CZ$572,"&lt;="&amp;H$259),"")))</f>
        <v/>
      </c>
      <c r="I337" s="140">
        <f>IF(I$259="","",IF($B337="","",IFERROR(SUMIFS('Dvd Calendar'!$E$573:$CZ$573,'Dvd Calendar'!$E$572:$CZ$572,"&gt;"&amp;I$258,'Dvd Calendar'!$E$572:$CZ$572,"&lt;="&amp;I$259),"")))</f>
        <v/>
      </c>
      <c r="J337" s="140">
        <f>IF(J$259="","",IF($B337="","",IFERROR(SUMIFS('Dvd Calendar'!$E$573:$CZ$573,'Dvd Calendar'!$E$572:$CZ$572,"&gt;"&amp;J$258,'Dvd Calendar'!$E$572:$CZ$572,"&lt;="&amp;J$259),"")))</f>
        <v/>
      </c>
      <c r="K337" s="140">
        <f>IF(K$259="","",IF($B337="","",IFERROR(SUMIFS('Dvd Calendar'!$E$573:$CZ$573,'Dvd Calendar'!$E$572:$CZ$572,"&gt;"&amp;K$258,'Dvd Calendar'!$E$572:$CZ$572,"&lt;="&amp;K$259),"")))</f>
        <v/>
      </c>
      <c r="L337" s="140">
        <f>IF(L$259="","",IF($B337="","",IFERROR(SUMIFS('Dvd Calendar'!$E$573:$CZ$573,'Dvd Calendar'!$E$572:$CZ$572,"&gt;"&amp;L$258,'Dvd Calendar'!$E$572:$CZ$572,"&lt;="&amp;L$259),"")))</f>
        <v/>
      </c>
      <c r="M337" s="140">
        <f>IF(M$259="","",IF($B337="","",IFERROR(SUMIFS('Dvd Calendar'!$E$573:$CZ$573,'Dvd Calendar'!$E$572:$CZ$572,"&gt;"&amp;M$258,'Dvd Calendar'!$E$572:$CZ$572,"&lt;="&amp;M$259),"")))</f>
        <v/>
      </c>
      <c r="N337" s="140">
        <f>IF(N$259="","",IF($B337="","",IFERROR(SUMIFS('Dvd Calendar'!$E$573:$CZ$573,'Dvd Calendar'!$E$572:$CZ$572,"&gt;"&amp;N$258,'Dvd Calendar'!$E$572:$CZ$572,"&lt;="&amp;N$259),"")))</f>
        <v/>
      </c>
      <c r="O337" s="140">
        <f>IF(O$259="","",IF($B337="","",IFERROR(SUMIFS('Dvd Calendar'!$E$573:$CZ$573,'Dvd Calendar'!$E$572:$CZ$572,"&gt;"&amp;O$258,'Dvd Calendar'!$E$572:$CZ$572,"&lt;="&amp;O$259),"")))</f>
        <v/>
      </c>
      <c r="P337" s="140">
        <f>IF(P$259="","",IF($B337="","",IFERROR(SUMIFS('Dvd Calendar'!$E$573:$CZ$573,'Dvd Calendar'!$E$572:$CZ$572,"&gt;"&amp;P$258,'Dvd Calendar'!$E$572:$CZ$572,"&lt;="&amp;P$259),"")))</f>
        <v/>
      </c>
      <c r="Q337" s="140">
        <f>IF(Q$259="","",IF($B337="","",IFERROR(SUMIFS('Dvd Calendar'!$E$573:$CZ$573,'Dvd Calendar'!$E$572:$CZ$572,"&gt;"&amp;Q$258,'Dvd Calendar'!$E$572:$CZ$572,"&lt;="&amp;Q$259),"")))</f>
        <v/>
      </c>
      <c r="R337" s="140">
        <f>IF(R$259="","",IF($B337="","",IFERROR(SUMIFS('Dvd Calendar'!$E$573:$CZ$573,'Dvd Calendar'!$E$572:$CZ$572,"&gt;"&amp;R$258,'Dvd Calendar'!$E$572:$CZ$572,"&lt;="&amp;R$259),"")))</f>
        <v/>
      </c>
    </row>
    <row r="338">
      <c r="B338" s="5">
        <f>IF(MXAU!$C$83="","",MXAU!$C$83)</f>
        <v/>
      </c>
      <c r="C338" s="140">
        <f>IF(C$259="","",IF($B338="","",IFERROR(SUMIFS('Dvd Calendar'!$E$575:$CZ$575,'Dvd Calendar'!$E$574:$CZ$574,"&gt;"&amp;C$258,'Dvd Calendar'!$E$574:$CZ$574,"&lt;="&amp;C$259),"")))</f>
        <v/>
      </c>
      <c r="D338" s="140">
        <f>IF(D$259="","",IF($B338="","",IFERROR(SUMIFS('Dvd Calendar'!$E$575:$CZ$575,'Dvd Calendar'!$E$574:$CZ$574,"&gt;"&amp;D$258,'Dvd Calendar'!$E$574:$CZ$574,"&lt;="&amp;D$259),"")))</f>
        <v/>
      </c>
      <c r="E338" s="140">
        <f>IF(E$259="","",IF($B338="","",IFERROR(SUMIFS('Dvd Calendar'!$E$575:$CZ$575,'Dvd Calendar'!$E$574:$CZ$574,"&gt;"&amp;E$258,'Dvd Calendar'!$E$574:$CZ$574,"&lt;="&amp;E$259),"")))</f>
        <v/>
      </c>
      <c r="F338" s="140">
        <f>IF(F$259="","",IF($B338="","",IFERROR(SUMIFS('Dvd Calendar'!$E$575:$CZ$575,'Dvd Calendar'!$E$574:$CZ$574,"&gt;"&amp;F$258,'Dvd Calendar'!$E$574:$CZ$574,"&lt;="&amp;F$259),"")))</f>
        <v/>
      </c>
      <c r="G338" s="140">
        <f>IF(G$259="","",IF($B338="","",IFERROR(SUMIFS('Dvd Calendar'!$E$575:$CZ$575,'Dvd Calendar'!$E$574:$CZ$574,"&gt;"&amp;G$258,'Dvd Calendar'!$E$574:$CZ$574,"&lt;="&amp;G$259),"")))</f>
        <v/>
      </c>
      <c r="H338" s="140">
        <f>IF(H$259="","",IF($B338="","",IFERROR(SUMIFS('Dvd Calendar'!$E$575:$CZ$575,'Dvd Calendar'!$E$574:$CZ$574,"&gt;"&amp;H$258,'Dvd Calendar'!$E$574:$CZ$574,"&lt;="&amp;H$259),"")))</f>
        <v/>
      </c>
      <c r="I338" s="140">
        <f>IF(I$259="","",IF($B338="","",IFERROR(SUMIFS('Dvd Calendar'!$E$575:$CZ$575,'Dvd Calendar'!$E$574:$CZ$574,"&gt;"&amp;I$258,'Dvd Calendar'!$E$574:$CZ$574,"&lt;="&amp;I$259),"")))</f>
        <v/>
      </c>
      <c r="J338" s="140">
        <f>IF(J$259="","",IF($B338="","",IFERROR(SUMIFS('Dvd Calendar'!$E$575:$CZ$575,'Dvd Calendar'!$E$574:$CZ$574,"&gt;"&amp;J$258,'Dvd Calendar'!$E$574:$CZ$574,"&lt;="&amp;J$259),"")))</f>
        <v/>
      </c>
      <c r="K338" s="140">
        <f>IF(K$259="","",IF($B338="","",IFERROR(SUMIFS('Dvd Calendar'!$E$575:$CZ$575,'Dvd Calendar'!$E$574:$CZ$574,"&gt;"&amp;K$258,'Dvd Calendar'!$E$574:$CZ$574,"&lt;="&amp;K$259),"")))</f>
        <v/>
      </c>
      <c r="L338" s="140">
        <f>IF(L$259="","",IF($B338="","",IFERROR(SUMIFS('Dvd Calendar'!$E$575:$CZ$575,'Dvd Calendar'!$E$574:$CZ$574,"&gt;"&amp;L$258,'Dvd Calendar'!$E$574:$CZ$574,"&lt;="&amp;L$259),"")))</f>
        <v/>
      </c>
      <c r="M338" s="140">
        <f>IF(M$259="","",IF($B338="","",IFERROR(SUMIFS('Dvd Calendar'!$E$575:$CZ$575,'Dvd Calendar'!$E$574:$CZ$574,"&gt;"&amp;M$258,'Dvd Calendar'!$E$574:$CZ$574,"&lt;="&amp;M$259),"")))</f>
        <v/>
      </c>
      <c r="N338" s="140">
        <f>IF(N$259="","",IF($B338="","",IFERROR(SUMIFS('Dvd Calendar'!$E$575:$CZ$575,'Dvd Calendar'!$E$574:$CZ$574,"&gt;"&amp;N$258,'Dvd Calendar'!$E$574:$CZ$574,"&lt;="&amp;N$259),"")))</f>
        <v/>
      </c>
      <c r="O338" s="140">
        <f>IF(O$259="","",IF($B338="","",IFERROR(SUMIFS('Dvd Calendar'!$E$575:$CZ$575,'Dvd Calendar'!$E$574:$CZ$574,"&gt;"&amp;O$258,'Dvd Calendar'!$E$574:$CZ$574,"&lt;="&amp;O$259),"")))</f>
        <v/>
      </c>
      <c r="P338" s="140">
        <f>IF(P$259="","",IF($B338="","",IFERROR(SUMIFS('Dvd Calendar'!$E$575:$CZ$575,'Dvd Calendar'!$E$574:$CZ$574,"&gt;"&amp;P$258,'Dvd Calendar'!$E$574:$CZ$574,"&lt;="&amp;P$259),"")))</f>
        <v/>
      </c>
      <c r="Q338" s="140">
        <f>IF(Q$259="","",IF($B338="","",IFERROR(SUMIFS('Dvd Calendar'!$E$575:$CZ$575,'Dvd Calendar'!$E$574:$CZ$574,"&gt;"&amp;Q$258,'Dvd Calendar'!$E$574:$CZ$574,"&lt;="&amp;Q$259),"")))</f>
        <v/>
      </c>
      <c r="R338" s="140">
        <f>IF(R$259="","",IF($B338="","",IFERROR(SUMIFS('Dvd Calendar'!$E$575:$CZ$575,'Dvd Calendar'!$E$574:$CZ$574,"&gt;"&amp;R$258,'Dvd Calendar'!$E$574:$CZ$574,"&lt;="&amp;R$259),"")))</f>
        <v/>
      </c>
    </row>
    <row r="339">
      <c r="B339" s="5">
        <f>IF(MXAU!$C$84="","",MXAU!$C$84)</f>
        <v/>
      </c>
      <c r="C339" s="140">
        <f>IF(C$259="","",IF($B339="","",IFERROR(SUMIFS('Dvd Calendar'!$E$577:$CZ$577,'Dvd Calendar'!$E$576:$CZ$576,"&gt;"&amp;C$258,'Dvd Calendar'!$E$576:$CZ$576,"&lt;="&amp;C$259),"")))</f>
        <v/>
      </c>
      <c r="D339" s="140">
        <f>IF(D$259="","",IF($B339="","",IFERROR(SUMIFS('Dvd Calendar'!$E$577:$CZ$577,'Dvd Calendar'!$E$576:$CZ$576,"&gt;"&amp;D$258,'Dvd Calendar'!$E$576:$CZ$576,"&lt;="&amp;D$259),"")))</f>
        <v/>
      </c>
      <c r="E339" s="140">
        <f>IF(E$259="","",IF($B339="","",IFERROR(SUMIFS('Dvd Calendar'!$E$577:$CZ$577,'Dvd Calendar'!$E$576:$CZ$576,"&gt;"&amp;E$258,'Dvd Calendar'!$E$576:$CZ$576,"&lt;="&amp;E$259),"")))</f>
        <v/>
      </c>
      <c r="F339" s="140">
        <f>IF(F$259="","",IF($B339="","",IFERROR(SUMIFS('Dvd Calendar'!$E$577:$CZ$577,'Dvd Calendar'!$E$576:$CZ$576,"&gt;"&amp;F$258,'Dvd Calendar'!$E$576:$CZ$576,"&lt;="&amp;F$259),"")))</f>
        <v/>
      </c>
      <c r="G339" s="140">
        <f>IF(G$259="","",IF($B339="","",IFERROR(SUMIFS('Dvd Calendar'!$E$577:$CZ$577,'Dvd Calendar'!$E$576:$CZ$576,"&gt;"&amp;G$258,'Dvd Calendar'!$E$576:$CZ$576,"&lt;="&amp;G$259),"")))</f>
        <v/>
      </c>
      <c r="H339" s="140">
        <f>IF(H$259="","",IF($B339="","",IFERROR(SUMIFS('Dvd Calendar'!$E$577:$CZ$577,'Dvd Calendar'!$E$576:$CZ$576,"&gt;"&amp;H$258,'Dvd Calendar'!$E$576:$CZ$576,"&lt;="&amp;H$259),"")))</f>
        <v/>
      </c>
      <c r="I339" s="140">
        <f>IF(I$259="","",IF($B339="","",IFERROR(SUMIFS('Dvd Calendar'!$E$577:$CZ$577,'Dvd Calendar'!$E$576:$CZ$576,"&gt;"&amp;I$258,'Dvd Calendar'!$E$576:$CZ$576,"&lt;="&amp;I$259),"")))</f>
        <v/>
      </c>
      <c r="J339" s="140">
        <f>IF(J$259="","",IF($B339="","",IFERROR(SUMIFS('Dvd Calendar'!$E$577:$CZ$577,'Dvd Calendar'!$E$576:$CZ$576,"&gt;"&amp;J$258,'Dvd Calendar'!$E$576:$CZ$576,"&lt;="&amp;J$259),"")))</f>
        <v/>
      </c>
      <c r="K339" s="140">
        <f>IF(K$259="","",IF($B339="","",IFERROR(SUMIFS('Dvd Calendar'!$E$577:$CZ$577,'Dvd Calendar'!$E$576:$CZ$576,"&gt;"&amp;K$258,'Dvd Calendar'!$E$576:$CZ$576,"&lt;="&amp;K$259),"")))</f>
        <v/>
      </c>
      <c r="L339" s="140">
        <f>IF(L$259="","",IF($B339="","",IFERROR(SUMIFS('Dvd Calendar'!$E$577:$CZ$577,'Dvd Calendar'!$E$576:$CZ$576,"&gt;"&amp;L$258,'Dvd Calendar'!$E$576:$CZ$576,"&lt;="&amp;L$259),"")))</f>
        <v/>
      </c>
      <c r="M339" s="140">
        <f>IF(M$259="","",IF($B339="","",IFERROR(SUMIFS('Dvd Calendar'!$E$577:$CZ$577,'Dvd Calendar'!$E$576:$CZ$576,"&gt;"&amp;M$258,'Dvd Calendar'!$E$576:$CZ$576,"&lt;="&amp;M$259),"")))</f>
        <v/>
      </c>
      <c r="N339" s="140">
        <f>IF(N$259="","",IF($B339="","",IFERROR(SUMIFS('Dvd Calendar'!$E$577:$CZ$577,'Dvd Calendar'!$E$576:$CZ$576,"&gt;"&amp;N$258,'Dvd Calendar'!$E$576:$CZ$576,"&lt;="&amp;N$259),"")))</f>
        <v/>
      </c>
      <c r="O339" s="140">
        <f>IF(O$259="","",IF($B339="","",IFERROR(SUMIFS('Dvd Calendar'!$E$577:$CZ$577,'Dvd Calendar'!$E$576:$CZ$576,"&gt;"&amp;O$258,'Dvd Calendar'!$E$576:$CZ$576,"&lt;="&amp;O$259),"")))</f>
        <v/>
      </c>
      <c r="P339" s="140">
        <f>IF(P$259="","",IF($B339="","",IFERROR(SUMIFS('Dvd Calendar'!$E$577:$CZ$577,'Dvd Calendar'!$E$576:$CZ$576,"&gt;"&amp;P$258,'Dvd Calendar'!$E$576:$CZ$576,"&lt;="&amp;P$259),"")))</f>
        <v/>
      </c>
      <c r="Q339" s="140">
        <f>IF(Q$259="","",IF($B339="","",IFERROR(SUMIFS('Dvd Calendar'!$E$577:$CZ$577,'Dvd Calendar'!$E$576:$CZ$576,"&gt;"&amp;Q$258,'Dvd Calendar'!$E$576:$CZ$576,"&lt;="&amp;Q$259),"")))</f>
        <v/>
      </c>
      <c r="R339" s="140">
        <f>IF(R$259="","",IF($B339="","",IFERROR(SUMIFS('Dvd Calendar'!$E$577:$CZ$577,'Dvd Calendar'!$E$576:$CZ$576,"&gt;"&amp;R$258,'Dvd Calendar'!$E$576:$CZ$576,"&lt;="&amp;R$259),"")))</f>
        <v/>
      </c>
    </row>
    <row r="340">
      <c r="B340" s="5">
        <f>IF(MXAU!$C$85="","",MXAU!$C$85)</f>
        <v/>
      </c>
      <c r="C340" s="140">
        <f>IF(C$259="","",IF($B340="","",IFERROR(SUMIFS('Dvd Calendar'!$E$579:$CZ$579,'Dvd Calendar'!$E$578:$CZ$578,"&gt;"&amp;C$258,'Dvd Calendar'!$E$578:$CZ$578,"&lt;="&amp;C$259),"")))</f>
        <v/>
      </c>
      <c r="D340" s="140">
        <f>IF(D$259="","",IF($B340="","",IFERROR(SUMIFS('Dvd Calendar'!$E$579:$CZ$579,'Dvd Calendar'!$E$578:$CZ$578,"&gt;"&amp;D$258,'Dvd Calendar'!$E$578:$CZ$578,"&lt;="&amp;D$259),"")))</f>
        <v/>
      </c>
      <c r="E340" s="140">
        <f>IF(E$259="","",IF($B340="","",IFERROR(SUMIFS('Dvd Calendar'!$E$579:$CZ$579,'Dvd Calendar'!$E$578:$CZ$578,"&gt;"&amp;E$258,'Dvd Calendar'!$E$578:$CZ$578,"&lt;="&amp;E$259),"")))</f>
        <v/>
      </c>
      <c r="F340" s="140">
        <f>IF(F$259="","",IF($B340="","",IFERROR(SUMIFS('Dvd Calendar'!$E$579:$CZ$579,'Dvd Calendar'!$E$578:$CZ$578,"&gt;"&amp;F$258,'Dvd Calendar'!$E$578:$CZ$578,"&lt;="&amp;F$259),"")))</f>
        <v/>
      </c>
      <c r="G340" s="140">
        <f>IF(G$259="","",IF($B340="","",IFERROR(SUMIFS('Dvd Calendar'!$E$579:$CZ$579,'Dvd Calendar'!$E$578:$CZ$578,"&gt;"&amp;G$258,'Dvd Calendar'!$E$578:$CZ$578,"&lt;="&amp;G$259),"")))</f>
        <v/>
      </c>
      <c r="H340" s="140">
        <f>IF(H$259="","",IF($B340="","",IFERROR(SUMIFS('Dvd Calendar'!$E$579:$CZ$579,'Dvd Calendar'!$E$578:$CZ$578,"&gt;"&amp;H$258,'Dvd Calendar'!$E$578:$CZ$578,"&lt;="&amp;H$259),"")))</f>
        <v/>
      </c>
      <c r="I340" s="140">
        <f>IF(I$259="","",IF($B340="","",IFERROR(SUMIFS('Dvd Calendar'!$E$579:$CZ$579,'Dvd Calendar'!$E$578:$CZ$578,"&gt;"&amp;I$258,'Dvd Calendar'!$E$578:$CZ$578,"&lt;="&amp;I$259),"")))</f>
        <v/>
      </c>
      <c r="J340" s="140">
        <f>IF(J$259="","",IF($B340="","",IFERROR(SUMIFS('Dvd Calendar'!$E$579:$CZ$579,'Dvd Calendar'!$E$578:$CZ$578,"&gt;"&amp;J$258,'Dvd Calendar'!$E$578:$CZ$578,"&lt;="&amp;J$259),"")))</f>
        <v/>
      </c>
      <c r="K340" s="140">
        <f>IF(K$259="","",IF($B340="","",IFERROR(SUMIFS('Dvd Calendar'!$E$579:$CZ$579,'Dvd Calendar'!$E$578:$CZ$578,"&gt;"&amp;K$258,'Dvd Calendar'!$E$578:$CZ$578,"&lt;="&amp;K$259),"")))</f>
        <v/>
      </c>
      <c r="L340" s="140">
        <f>IF(L$259="","",IF($B340="","",IFERROR(SUMIFS('Dvd Calendar'!$E$579:$CZ$579,'Dvd Calendar'!$E$578:$CZ$578,"&gt;"&amp;L$258,'Dvd Calendar'!$E$578:$CZ$578,"&lt;="&amp;L$259),"")))</f>
        <v/>
      </c>
      <c r="M340" s="140">
        <f>IF(M$259="","",IF($B340="","",IFERROR(SUMIFS('Dvd Calendar'!$E$579:$CZ$579,'Dvd Calendar'!$E$578:$CZ$578,"&gt;"&amp;M$258,'Dvd Calendar'!$E$578:$CZ$578,"&lt;="&amp;M$259),"")))</f>
        <v/>
      </c>
      <c r="N340" s="140">
        <f>IF(N$259="","",IF($B340="","",IFERROR(SUMIFS('Dvd Calendar'!$E$579:$CZ$579,'Dvd Calendar'!$E$578:$CZ$578,"&gt;"&amp;N$258,'Dvd Calendar'!$E$578:$CZ$578,"&lt;="&amp;N$259),"")))</f>
        <v/>
      </c>
      <c r="O340" s="140">
        <f>IF(O$259="","",IF($B340="","",IFERROR(SUMIFS('Dvd Calendar'!$E$579:$CZ$579,'Dvd Calendar'!$E$578:$CZ$578,"&gt;"&amp;O$258,'Dvd Calendar'!$E$578:$CZ$578,"&lt;="&amp;O$259),"")))</f>
        <v/>
      </c>
      <c r="P340" s="140">
        <f>IF(P$259="","",IF($B340="","",IFERROR(SUMIFS('Dvd Calendar'!$E$579:$CZ$579,'Dvd Calendar'!$E$578:$CZ$578,"&gt;"&amp;P$258,'Dvd Calendar'!$E$578:$CZ$578,"&lt;="&amp;P$259),"")))</f>
        <v/>
      </c>
      <c r="Q340" s="140">
        <f>IF(Q$259="","",IF($B340="","",IFERROR(SUMIFS('Dvd Calendar'!$E$579:$CZ$579,'Dvd Calendar'!$E$578:$CZ$578,"&gt;"&amp;Q$258,'Dvd Calendar'!$E$578:$CZ$578,"&lt;="&amp;Q$259),"")))</f>
        <v/>
      </c>
      <c r="R340" s="140">
        <f>IF(R$259="","",IF($B340="","",IFERROR(SUMIFS('Dvd Calendar'!$E$579:$CZ$579,'Dvd Calendar'!$E$578:$CZ$578,"&gt;"&amp;R$258,'Dvd Calendar'!$E$578:$CZ$578,"&lt;="&amp;R$259),"")))</f>
        <v/>
      </c>
    </row>
  </sheetData>
  <conditionalFormatting sqref="C51:R255">
    <cfRule type="expression" priority="1" dxfId="0">
      <formula>($C$4="ON")*(COUNTIFS($B$11:$B$40,$B51,$D$11:$D$40,COLUMN()-2,$E$11:$E$40,"&gt;=0")-COUNTIFS($B$11:$B$40,$B51,$D$11:$D$40,COLUMN()-2,$E$11:$E$40,"&gt;=0",$C$11:$C$40,"MXAU"))&gt;0</formula>
    </cfRule>
  </conditionalFormatting>
  <conditionalFormatting sqref="C261:R340">
    <cfRule type="expression" priority="2" dxfId="0">
      <formula>($C$4="ON")*(COUNTIFS($B$11:$B$40,$B261,$D$11:$D$40,COLUMN()-2,$E$11:$E$40,"&gt;=0")-COUNTIFS($B$11:$B$40,$B261,$D$11:$D$40,COLUMN()-2,$E$11:$E$40,"&gt;=0",$C$11:$C$40,"AS51"))&gt;0</formula>
    </cfRule>
  </conditionalFormatting>
  <dataValidations count="5">
    <dataValidation sqref="C4" showDropDown="0" showInputMessage="0" showErrorMessage="0" allowBlank="0" type="list">
      <formula1>"ON,OFF"</formula1>
    </dataValidation>
    <dataValidation sqref="C11:C40" showDropDown="0" showInputMessage="0" showErrorMessage="0" allowBlank="1" type="list">
      <formula1>"BOTH,AS51,MXAU"</formula1>
    </dataValidation>
    <dataValidation sqref="D11:D40" showDropDown="0" showInputMessage="0" showErrorMessage="0" allowBlank="1" type="whole" operator="between">
      <formula1>1</formula1>
      <formula2>16</formula2>
    </dataValidation>
    <dataValidation sqref="E11:E40" showDropDown="0" showInputMessage="0" showErrorMessage="0" allowBlank="1" type="decimal" operator="greaterThanOrEqual">
      <formula1>0</formula1>
    </dataValidation>
    <dataValidation sqref="V11" showDropDown="0" showInputMessage="0" showErrorMessage="0" allowBlank="1" type="whole" operator="between">
      <formula1>1</formula1>
      <formula2>15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6" customWidth="1" min="5" max="5"/>
    <col width="74" customWidth="1" min="6" max="6"/>
  </cols>
  <sheetData>
    <row r="2">
      <c r="B2" s="1" t="inlineStr">
        <is>
          <t>INDEX DIVIDEND YIELD &amp; FRANKING SPLIT</t>
        </is>
      </c>
    </row>
    <row r="3">
      <c r="B3" s="2" t="inlineStr">
        <is>
          <t>Reference block, trailing-12M basis. The per-contract numbers live on Div by Expiry.</t>
        </is>
      </c>
    </row>
    <row r="5">
      <c r="B5" s="3" t="inlineStr">
        <is>
          <t>ASSUMPTIONS</t>
        </is>
      </c>
    </row>
    <row r="6">
      <c r="B6" s="5" t="inlineStr">
        <is>
          <t>Australian corporate tax rate</t>
        </is>
      </c>
      <c r="C6" s="105" t="n">
        <v>0.3</v>
      </c>
      <c r="F6" s="2" t="inlineStr">
        <is>
          <t>Drives the franking gross-up: credit = franked dividend x t/(1-t).</t>
        </is>
      </c>
    </row>
    <row r="7">
      <c r="B7" s="5" t="inlineStr">
        <is>
          <t>Franking % when field is blank</t>
        </is>
      </c>
      <c r="C7" s="106" t="n">
        <v>100</v>
      </c>
      <c r="F7" s="2" t="inlineStr">
        <is>
          <t>CNU, FPH, IFT and similar return no franking value - taken as fully franked, per instruction.</t>
        </is>
      </c>
    </row>
    <row r="10">
      <c r="B10" s="107" t="inlineStr">
        <is>
          <t>Metric</t>
        </is>
      </c>
      <c r="C10" s="107" t="inlineStr">
        <is>
          <t>AS51</t>
        </is>
      </c>
      <c r="D10" s="107" t="inlineStr">
        <is>
          <t>MXAU</t>
        </is>
      </c>
      <c r="F10" s="107" t="inlineStr">
        <is>
          <t>Notes</t>
        </is>
      </c>
    </row>
    <row r="11">
      <c r="B11" s="13" t="inlineStr">
        <is>
          <t>INDEX YIELD - TRAILING 12M (reference)</t>
        </is>
      </c>
      <c r="C11" s="14" t="n"/>
      <c r="D11" s="14" t="n"/>
      <c r="E11" s="14" t="n"/>
      <c r="F11" s="14" t="n"/>
    </row>
    <row r="12">
      <c r="B12" s="16" t="inlineStr">
        <is>
          <t>Bloomberg index yield 12M (%)</t>
        </is>
      </c>
      <c r="C12" s="108">
        <f>BDP(AS51!$B$2,"EQY_DVD_YLD_12M")</f>
        <v/>
      </c>
      <c r="D12" s="108">
        <f>BDP(MXAU!$B$2,"EQY_DVD_YLD_12M")</f>
        <v/>
      </c>
      <c r="F12" s="2" t="inlineStr">
        <is>
          <t>EQY_DVD_YLD_IND returns N/A at index level - the 12M field is the one that works. 3.85 = 3.85%.</t>
        </is>
      </c>
    </row>
    <row r="13">
      <c r="B13" s="16" t="inlineStr">
        <is>
          <t>Bottom-up 12M dividend points</t>
        </is>
      </c>
      <c r="C13" s="109">
        <f>IFERROR(AS51!$J$4,"")</f>
        <v/>
      </c>
      <c r="D13" s="109">
        <f>IFERROR(MXAU!$J$4,"")</f>
        <v/>
      </c>
      <c r="F13" s="2" t="inlineStr">
        <is>
          <t>SUM of shares x 12M DPS / divisor, non-payers at zero.</t>
        </is>
      </c>
    </row>
    <row r="14">
      <c r="B14" s="16" t="inlineStr">
        <is>
          <t>Index level</t>
        </is>
      </c>
      <c r="C14" s="110">
        <f>'Div by Expiry'!$C$5</f>
        <v/>
      </c>
      <c r="D14" s="111">
        <f>'Div by Expiry'!$C$6</f>
        <v/>
      </c>
      <c r="F14" s="2" t="n"/>
    </row>
    <row r="15">
      <c r="B15" s="16" t="inlineStr">
        <is>
          <t>Bottom-up 12M yield (%)</t>
        </is>
      </c>
      <c r="C15" s="112">
        <f>IFERROR(C13/C14,"")</f>
        <v/>
      </c>
      <c r="D15" s="112">
        <f>IFERROR(D13/D14,"")</f>
        <v/>
      </c>
      <c r="F15" s="2" t="n"/>
    </row>
    <row r="16">
      <c r="B16" s="113" t="inlineStr">
        <is>
          <t>Gap vs Bloomberg (bp)</t>
        </is>
      </c>
      <c r="C16" s="68">
        <f>IFERROR((C15-C12/100)*10000,"")</f>
        <v/>
      </c>
      <c r="D16" s="68">
        <f>IFERROR((D15-D12/100)*10000,"")</f>
        <v/>
      </c>
      <c r="E16" s="14" t="n"/>
      <c r="F16" s="114" t="inlineStr">
        <is>
          <t>THE DIVISOR CHECK. A large gap means the divisor or the pasted shares are off. Within ~20bp is fine.</t>
        </is>
      </c>
    </row>
    <row r="17">
      <c r="B17" s="16" t="n"/>
      <c r="C17" s="39" t="n"/>
      <c r="D17" s="39" t="n"/>
      <c r="F17" s="2" t="n"/>
    </row>
    <row r="18">
      <c r="B18" s="20" t="inlineStr">
        <is>
          <t>FRANKED vs UNFRANKED - 12M BASIS</t>
        </is>
      </c>
      <c r="C18" s="39" t="n"/>
      <c r="D18" s="39" t="n"/>
      <c r="F18" s="2" t="n"/>
    </row>
    <row r="19">
      <c r="B19" s="23" t="inlineStr">
        <is>
          <t>Franked points</t>
        </is>
      </c>
      <c r="C19" s="109">
        <f>IFERROR(AS51!$K$4,"")</f>
        <v/>
      </c>
      <c r="D19" s="109">
        <f>IFERROR(MXAU!$K$4,"")</f>
        <v/>
      </c>
      <c r="F19" s="6" t="n"/>
    </row>
    <row r="20">
      <c r="B20" s="16" t="inlineStr">
        <is>
          <t>Unfranked points</t>
        </is>
      </c>
      <c r="C20" s="109">
        <f>IFERROR(AS51!$L$4,"")</f>
        <v/>
      </c>
      <c r="D20" s="109">
        <f>IFERROR(MXAU!$L$4,"")</f>
        <v/>
      </c>
      <c r="F20" s="2" t="n"/>
    </row>
    <row r="21">
      <c r="B21" s="23" t="inlineStr">
        <is>
          <t>Franked % of index dividends</t>
        </is>
      </c>
      <c r="C21" s="115">
        <f>IFERROR(C19/(C19+C20),"")</f>
        <v/>
      </c>
      <c r="D21" s="115">
        <f>IFERROR(D19/(D19+D20),"")</f>
        <v/>
      </c>
      <c r="F21" s="2" t="inlineStr">
        <is>
          <t>THE HEADLINE SPLIT, dividend-dollar weighted.</t>
        </is>
      </c>
    </row>
    <row r="22">
      <c r="B22" s="113" t="inlineStr">
        <is>
          <t>Franking reported (% of dividends)</t>
        </is>
      </c>
      <c r="C22" s="71">
        <f>IFERROR(AS51!$N$4,"")</f>
        <v/>
      </c>
      <c r="D22" s="71">
        <f>IFERROR(MXAU!$N$4,"")</f>
        <v/>
      </c>
      <c r="E22" s="14" t="n"/>
      <c r="F22" s="114" t="inlineStr">
        <is>
          <t>Share of dividend points where Bloomberg returned a franking value. The rest lean on the blank = 100% assumption above.</t>
        </is>
      </c>
    </row>
    <row r="23">
      <c r="B23" s="16" t="n"/>
      <c r="C23" s="40" t="n"/>
      <c r="D23" s="40" t="n"/>
      <c r="F23" s="2" t="n"/>
    </row>
    <row r="24">
      <c r="B24" s="20" t="inlineStr">
        <is>
          <t>GROSS-UP FOR FRANKING CREDITS - 12M BASIS</t>
        </is>
      </c>
      <c r="C24" s="40" t="n"/>
      <c r="D24" s="40" t="n"/>
      <c r="F24" s="2" t="n"/>
    </row>
    <row r="25">
      <c r="B25" s="16" t="inlineStr">
        <is>
          <t>Credit points</t>
        </is>
      </c>
      <c r="C25" s="109">
        <f>IFERROR(C19*$C$6/(1-$C$6),"")</f>
        <v/>
      </c>
      <c r="D25" s="109">
        <f>IFERROR(D19*$C$6/(1-$C$6),"")</f>
        <v/>
      </c>
      <c r="F25" s="2" t="n"/>
    </row>
    <row r="26">
      <c r="B26" s="113" t="inlineStr">
        <is>
          <t>Grossed-up points</t>
        </is>
      </c>
      <c r="C26" s="59">
        <f>IFERROR(C13+C25,"")</f>
        <v/>
      </c>
      <c r="D26" s="59">
        <f>IFERROR(D13+D25,"")</f>
        <v/>
      </c>
      <c r="E26" s="14" t="n"/>
      <c r="F26" s="14" t="n"/>
    </row>
    <row r="27">
      <c r="B27" s="16" t="inlineStr">
        <is>
          <t>Grossed-up yield (%)</t>
        </is>
      </c>
      <c r="C27" s="112">
        <f>IFERROR(C26/C14,"")</f>
        <v/>
      </c>
      <c r="D27" s="112">
        <f>IFERROR(D26/D14,"")</f>
        <v/>
      </c>
      <c r="F27" s="2" t="n"/>
    </row>
    <row r="28">
      <c r="B28" s="16" t="inlineStr">
        <is>
          <t>Uplift from imputation</t>
        </is>
      </c>
      <c r="C28" s="116">
        <f>IFERROR(C26/C13-1,"")</f>
        <v/>
      </c>
      <c r="D28" s="116">
        <f>IFERROR(D26/D13-1,"")</f>
        <v/>
      </c>
      <c r="F28" s="2" t="n"/>
    </row>
    <row r="29">
      <c r="B29" s="16" t="n"/>
      <c r="C29" s="43" t="n"/>
      <c r="D29" s="43" t="n"/>
      <c r="F29" s="2" t="n"/>
    </row>
    <row r="30">
      <c r="B30" s="20" t="inlineStr">
        <is>
          <t>DATA QUALITY</t>
        </is>
      </c>
      <c r="C30" s="43" t="n"/>
      <c r="D30" s="43" t="n"/>
      <c r="F30" s="2" t="n"/>
    </row>
    <row r="31">
      <c r="B31" s="5" t="inlineStr">
        <is>
          <t>Members returned</t>
        </is>
      </c>
      <c r="C31" s="62">
        <f>IFERROR(AS51!$H$2,"")</f>
        <v/>
      </c>
      <c r="D31" s="62">
        <f>IFERROR(MXAU!$H$2,"")</f>
        <v/>
      </c>
      <c r="F31" s="2" t="inlineStr">
        <is>
          <t>AS51 should be 200. Short = BDS truncated.</t>
        </is>
      </c>
    </row>
    <row r="32">
      <c r="B32" s="5" t="inlineStr">
        <is>
          <t>Dividend payers</t>
        </is>
      </c>
      <c r="C32" s="62">
        <f>IFERROR(AS51!$H$3,"")</f>
        <v/>
      </c>
      <c r="D32" s="62">
        <f>IFERROR(MXAU!$H$3,"")</f>
        <v/>
      </c>
      <c r="F32" s="2" t="inlineStr">
        <is>
          <t>Paid something in the last 12 months.</t>
        </is>
      </c>
    </row>
    <row r="33">
      <c r="B33" s="117" t="inlineStr">
        <is>
          <t>Non-payers</t>
        </is>
      </c>
      <c r="C33" s="62">
        <f>IFERROR(AS51!$L$2,"")</f>
        <v/>
      </c>
      <c r="D33" s="62">
        <f>IFERROR(MXAU!$L$2,"")</f>
        <v/>
      </c>
      <c r="F33" s="2" t="inlineStr">
        <is>
          <t>Zero points, full membership - not deleted.</t>
        </is>
      </c>
    </row>
    <row r="34">
      <c r="B34" s="5" t="inlineStr">
        <is>
          <t>Franking assumed 100%</t>
        </is>
      </c>
      <c r="C34" s="62">
        <f>IFERROR(AS51!$L$3,"")</f>
        <v/>
      </c>
      <c r="D34" s="62">
        <f>IFERROR(MXAU!$L$3,"")</f>
        <v/>
      </c>
      <c r="F34" s="2" t="inlineStr">
        <is>
          <t>Payers with no franking value returned.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J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</cols>
  <sheetData>
    <row r="2">
      <c r="B2" s="1" t="inlineStr">
        <is>
          <t>FRANKING BY GICS SECTOR</t>
        </is>
      </c>
    </row>
    <row r="3">
      <c r="B3" s="18" t="inlineStr">
        <is>
          <t>This is where the sector column earns its place: franking is not spread evenly. Banks and retailers generally frank fully because they pay Australian tax on Australian earnings; miners and companies with large offshore operations often cannot, because foreign-earned profit generates no Australian franking credits.</t>
        </is>
      </c>
    </row>
    <row r="4"/>
    <row r="6">
      <c r="B6" s="3" t="inlineStr">
        <is>
          <t>S&amp;P/ASX 200 (AS51)</t>
        </is>
      </c>
    </row>
    <row r="7" ht="28" customHeight="1">
      <c r="B7" s="26" t="inlineStr">
        <is>
          <t>GICS Sector</t>
        </is>
      </c>
      <c r="C7" s="54" t="inlineStr">
        <is>
          <t>Dvd 12M (pts)</t>
        </is>
      </c>
      <c r="D7" s="54" t="inlineStr">
        <is>
          <t>Franked (pts)</t>
        </is>
      </c>
      <c r="E7" s="54" t="inlineStr">
        <is>
          <t>Unfranked (pts)</t>
        </is>
      </c>
      <c r="F7" s="54" t="inlineStr">
        <is>
          <t>Franked %</t>
        </is>
      </c>
      <c r="G7" s="54" t="inlineStr">
        <is>
          <t>% of Index Dvds</t>
        </is>
      </c>
      <c r="H7" s="26" t="n"/>
    </row>
    <row r="8">
      <c r="B8" s="47" t="inlineStr">
        <is>
          <t>Energy</t>
        </is>
      </c>
      <c r="C8" s="63">
        <f>IFERROR(SUMIF(AS51!$E$6:$E$275,$B8,AS51!$J$6:$J$275),"")</f>
        <v/>
      </c>
      <c r="D8" s="63">
        <f>IFERROR(SUMIF(AS51!$E$6:$E$275,$B8,AS51!$K$6:$K$275),"")</f>
        <v/>
      </c>
      <c r="E8" s="63">
        <f>IFERROR(SUMIF(AS51!$E$6:$E$275,$B8,AS51!$L$6:$L$275),"")</f>
        <v/>
      </c>
      <c r="F8" s="71">
        <f>IFERROR($D8/($D8+$E8),"")</f>
        <v/>
      </c>
      <c r="G8" s="71">
        <f>IFERROR($C8/$C$19,"")</f>
        <v/>
      </c>
      <c r="H8" s="30" t="n"/>
    </row>
    <row r="9">
      <c r="B9" s="15" t="inlineStr">
        <is>
          <t>Materials</t>
        </is>
      </c>
      <c r="C9" s="63">
        <f>IFERROR(SUMIF(AS51!$E$6:$E$275,$B9,AS51!$J$6:$J$275),"")</f>
        <v/>
      </c>
      <c r="D9" s="63">
        <f>IFERROR(SUMIF(AS51!$E$6:$E$275,$B9,AS51!$K$6:$K$275),"")</f>
        <v/>
      </c>
      <c r="E9" s="63">
        <f>IFERROR(SUMIF(AS51!$E$6:$E$275,$B9,AS51!$L$6:$L$275),"")</f>
        <v/>
      </c>
      <c r="F9" s="71">
        <f>IFERROR($D9/($D9+$E9),"")</f>
        <v/>
      </c>
      <c r="G9" s="71">
        <f>IFERROR($C9/$C$19,"")</f>
        <v/>
      </c>
      <c r="H9" s="34" t="n"/>
    </row>
    <row r="10">
      <c r="B10" s="47" t="inlineStr">
        <is>
          <t>Industrials</t>
        </is>
      </c>
      <c r="C10" s="63">
        <f>IFERROR(SUMIF(AS51!$E$6:$E$275,$B10,AS51!$J$6:$J$275),"")</f>
        <v/>
      </c>
      <c r="D10" s="63">
        <f>IFERROR(SUMIF(AS51!$E$6:$E$275,$B10,AS51!$K$6:$K$275),"")</f>
        <v/>
      </c>
      <c r="E10" s="63">
        <f>IFERROR(SUMIF(AS51!$E$6:$E$275,$B10,AS51!$L$6:$L$275),"")</f>
        <v/>
      </c>
      <c r="F10" s="71">
        <f>IFERROR($D10/($D10+$E10),"")</f>
        <v/>
      </c>
      <c r="G10" s="71">
        <f>IFERROR($C10/$C$19,"")</f>
        <v/>
      </c>
      <c r="H10" s="30" t="n"/>
    </row>
    <row r="11">
      <c r="B11" s="15" t="inlineStr">
        <is>
          <t>Consumer Discretionary</t>
        </is>
      </c>
      <c r="C11" s="63">
        <f>IFERROR(SUMIF(AS51!$E$6:$E$275,$B11,AS51!$J$6:$J$275),"")</f>
        <v/>
      </c>
      <c r="D11" s="63">
        <f>IFERROR(SUMIF(AS51!$E$6:$E$275,$B11,AS51!$K$6:$K$275),"")</f>
        <v/>
      </c>
      <c r="E11" s="63">
        <f>IFERROR(SUMIF(AS51!$E$6:$E$275,$B11,AS51!$L$6:$L$275),"")</f>
        <v/>
      </c>
      <c r="F11" s="71">
        <f>IFERROR($D11/($D11+$E11),"")</f>
        <v/>
      </c>
      <c r="G11" s="71">
        <f>IFERROR($C11/$C$19,"")</f>
        <v/>
      </c>
      <c r="H11" s="34" t="n"/>
    </row>
    <row r="12">
      <c r="B12" s="47" t="inlineStr">
        <is>
          <t>Consumer Staples</t>
        </is>
      </c>
      <c r="C12" s="63">
        <f>IFERROR(SUMIF(AS51!$E$6:$E$275,$B12,AS51!$J$6:$J$275),"")</f>
        <v/>
      </c>
      <c r="D12" s="63">
        <f>IFERROR(SUMIF(AS51!$E$6:$E$275,$B12,AS51!$K$6:$K$275),"")</f>
        <v/>
      </c>
      <c r="E12" s="63">
        <f>IFERROR(SUMIF(AS51!$E$6:$E$275,$B12,AS51!$L$6:$L$275),"")</f>
        <v/>
      </c>
      <c r="F12" s="71">
        <f>IFERROR($D12/($D12+$E12),"")</f>
        <v/>
      </c>
      <c r="G12" s="71">
        <f>IFERROR($C12/$C$19,"")</f>
        <v/>
      </c>
      <c r="H12" s="30" t="n"/>
    </row>
    <row r="13">
      <c r="B13" s="15" t="inlineStr">
        <is>
          <t>Health Care</t>
        </is>
      </c>
      <c r="C13" s="63">
        <f>IFERROR(SUMIF(AS51!$E$6:$E$275,$B13,AS51!$J$6:$J$275),"")</f>
        <v/>
      </c>
      <c r="D13" s="63">
        <f>IFERROR(SUMIF(AS51!$E$6:$E$275,$B13,AS51!$K$6:$K$275),"")</f>
        <v/>
      </c>
      <c r="E13" s="63">
        <f>IFERROR(SUMIF(AS51!$E$6:$E$275,$B13,AS51!$L$6:$L$275),"")</f>
        <v/>
      </c>
      <c r="F13" s="71">
        <f>IFERROR($D13/($D13+$E13),"")</f>
        <v/>
      </c>
      <c r="G13" s="71">
        <f>IFERROR($C13/$C$19,"")</f>
        <v/>
      </c>
      <c r="H13" s="34" t="n"/>
    </row>
    <row r="14">
      <c r="B14" s="47" t="inlineStr">
        <is>
          <t>Financials</t>
        </is>
      </c>
      <c r="C14" s="63">
        <f>IFERROR(SUMIF(AS51!$E$6:$E$275,$B14,AS51!$J$6:$J$275),"")</f>
        <v/>
      </c>
      <c r="D14" s="63">
        <f>IFERROR(SUMIF(AS51!$E$6:$E$275,$B14,AS51!$K$6:$K$275),"")</f>
        <v/>
      </c>
      <c r="E14" s="63">
        <f>IFERROR(SUMIF(AS51!$E$6:$E$275,$B14,AS51!$L$6:$L$275),"")</f>
        <v/>
      </c>
      <c r="F14" s="71">
        <f>IFERROR($D14/($D14+$E14),"")</f>
        <v/>
      </c>
      <c r="G14" s="71">
        <f>IFERROR($C14/$C$19,"")</f>
        <v/>
      </c>
      <c r="H14" s="30" t="n"/>
    </row>
    <row r="15">
      <c r="B15" s="15" t="inlineStr">
        <is>
          <t>Information Technology</t>
        </is>
      </c>
      <c r="C15" s="63">
        <f>IFERROR(SUMIF(AS51!$E$6:$E$275,$B15,AS51!$J$6:$J$275),"")</f>
        <v/>
      </c>
      <c r="D15" s="63">
        <f>IFERROR(SUMIF(AS51!$E$6:$E$275,$B15,AS51!$K$6:$K$275),"")</f>
        <v/>
      </c>
      <c r="E15" s="63">
        <f>IFERROR(SUMIF(AS51!$E$6:$E$275,$B15,AS51!$L$6:$L$275),"")</f>
        <v/>
      </c>
      <c r="F15" s="71">
        <f>IFERROR($D15/($D15+$E15),"")</f>
        <v/>
      </c>
      <c r="G15" s="71">
        <f>IFERROR($C15/$C$19,"")</f>
        <v/>
      </c>
      <c r="H15" s="34" t="n"/>
    </row>
    <row r="16">
      <c r="B16" s="47" t="inlineStr">
        <is>
          <t>Communication Services</t>
        </is>
      </c>
      <c r="C16" s="63">
        <f>IFERROR(SUMIF(AS51!$E$6:$E$275,$B16,AS51!$J$6:$J$275),"")</f>
        <v/>
      </c>
      <c r="D16" s="63">
        <f>IFERROR(SUMIF(AS51!$E$6:$E$275,$B16,AS51!$K$6:$K$275),"")</f>
        <v/>
      </c>
      <c r="E16" s="63">
        <f>IFERROR(SUMIF(AS51!$E$6:$E$275,$B16,AS51!$L$6:$L$275),"")</f>
        <v/>
      </c>
      <c r="F16" s="71">
        <f>IFERROR($D16/($D16+$E16),"")</f>
        <v/>
      </c>
      <c r="G16" s="71">
        <f>IFERROR($C16/$C$19,"")</f>
        <v/>
      </c>
      <c r="H16" s="30" t="n"/>
    </row>
    <row r="17">
      <c r="B17" s="15" t="inlineStr">
        <is>
          <t>Utilities</t>
        </is>
      </c>
      <c r="C17" s="63">
        <f>IFERROR(SUMIF(AS51!$E$6:$E$275,$B17,AS51!$J$6:$J$275),"")</f>
        <v/>
      </c>
      <c r="D17" s="63">
        <f>IFERROR(SUMIF(AS51!$E$6:$E$275,$B17,AS51!$K$6:$K$275),"")</f>
        <v/>
      </c>
      <c r="E17" s="63">
        <f>IFERROR(SUMIF(AS51!$E$6:$E$275,$B17,AS51!$L$6:$L$275),"")</f>
        <v/>
      </c>
      <c r="F17" s="71">
        <f>IFERROR($D17/($D17+$E17),"")</f>
        <v/>
      </c>
      <c r="G17" s="71">
        <f>IFERROR($C17/$C$19,"")</f>
        <v/>
      </c>
      <c r="H17" s="34" t="n"/>
    </row>
    <row r="18">
      <c r="B18" s="47" t="inlineStr">
        <is>
          <t>Real Estate</t>
        </is>
      </c>
      <c r="C18" s="63">
        <f>IFERROR(SUMIF(AS51!$E$6:$E$275,$B18,AS51!$J$6:$J$275),"")</f>
        <v/>
      </c>
      <c r="D18" s="63">
        <f>IFERROR(SUMIF(AS51!$E$6:$E$275,$B18,AS51!$K$6:$K$275),"")</f>
        <v/>
      </c>
      <c r="E18" s="63">
        <f>IFERROR(SUMIF(AS51!$E$6:$E$275,$B18,AS51!$L$6:$L$275),"")</f>
        <v/>
      </c>
      <c r="F18" s="71">
        <f>IFERROR($D18/($D18+$E18),"")</f>
        <v/>
      </c>
      <c r="G18" s="71">
        <f>IFERROR($C18/$C$19,"")</f>
        <v/>
      </c>
      <c r="H18" s="30" t="n"/>
    </row>
    <row r="19">
      <c r="B19" s="3" t="inlineStr">
        <is>
          <t>TOTAL</t>
        </is>
      </c>
      <c r="C19" s="65">
        <f>IFERROR(SUM(C8:C18),"")</f>
        <v/>
      </c>
      <c r="D19" s="65">
        <f>IFERROR(SUM(D8:D18),"")</f>
        <v/>
      </c>
      <c r="E19" s="65">
        <f>IFERROR(SUM(E8:E18),"")</f>
        <v/>
      </c>
      <c r="F19" s="118">
        <f>IFERROR($D$19/($D$19+$E$19),"")</f>
        <v/>
      </c>
      <c r="G19" s="118">
        <f>IFERROR(SUM(G8:G18),"")</f>
        <v/>
      </c>
      <c r="H19" s="24" t="n"/>
    </row>
    <row r="20">
      <c r="B20" s="3" t="inlineStr">
        <is>
          <t>Sector names matched?</t>
        </is>
      </c>
      <c r="C20" s="5">
        <f>IFERROR(IF(ABS($C$19-AS51!$J$4)&lt;0.01,"OK - all points allocated","CHECK: "&amp;TEXT(AS51!$J$4-$C$19,"0.00")&amp;" pts unmatched"),"")</f>
        <v/>
      </c>
      <c r="F20" s="6" t="inlineStr">
        <is>
          <t>&lt;- if this flags, Bloomberg spelled a sector differently. Overwrite the blue label to match and it resolves.</t>
        </is>
      </c>
    </row>
    <row r="23">
      <c r="B23" s="3" t="inlineStr">
        <is>
          <t>MSCI Australia (MXAU)</t>
        </is>
      </c>
    </row>
    <row r="24" ht="28" customHeight="1">
      <c r="B24" s="26" t="inlineStr">
        <is>
          <t>GICS Sector</t>
        </is>
      </c>
      <c r="C24" s="54" t="inlineStr">
        <is>
          <t>Dvd 12M (pts)</t>
        </is>
      </c>
      <c r="D24" s="54" t="inlineStr">
        <is>
          <t>Franked (pts)</t>
        </is>
      </c>
      <c r="E24" s="54" t="inlineStr">
        <is>
          <t>Unfranked (pts)</t>
        </is>
      </c>
      <c r="F24" s="54" t="inlineStr">
        <is>
          <t>Franked %</t>
        </is>
      </c>
      <c r="G24" s="54" t="inlineStr">
        <is>
          <t>% of Index Dvds</t>
        </is>
      </c>
      <c r="H24" s="26" t="n"/>
    </row>
    <row r="25">
      <c r="B25" s="15" t="inlineStr">
        <is>
          <t>Energy</t>
        </is>
      </c>
      <c r="C25" s="63">
        <f>IFERROR(SUMIF(MXAU!$E$6:$E$175,$B25,MXAU!$J$6:$J$175),"")</f>
        <v/>
      </c>
      <c r="D25" s="63">
        <f>IFERROR(SUMIF(MXAU!$E$6:$E$175,$B25,MXAU!$K$6:$K$175),"")</f>
        <v/>
      </c>
      <c r="E25" s="63">
        <f>IFERROR(SUMIF(MXAU!$E$6:$E$175,$B25,MXAU!$L$6:$L$175),"")</f>
        <v/>
      </c>
      <c r="F25" s="71">
        <f>IFERROR($D25/($D25+$E25),"")</f>
        <v/>
      </c>
      <c r="G25" s="71">
        <f>IFERROR($C25/$C$36,"")</f>
        <v/>
      </c>
      <c r="H25" s="34" t="n"/>
    </row>
    <row r="26">
      <c r="B26" s="47" t="inlineStr">
        <is>
          <t>Materials</t>
        </is>
      </c>
      <c r="C26" s="63">
        <f>IFERROR(SUMIF(MXAU!$E$6:$E$175,$B26,MXAU!$J$6:$J$175),"")</f>
        <v/>
      </c>
      <c r="D26" s="63">
        <f>IFERROR(SUMIF(MXAU!$E$6:$E$175,$B26,MXAU!$K$6:$K$175),"")</f>
        <v/>
      </c>
      <c r="E26" s="63">
        <f>IFERROR(SUMIF(MXAU!$E$6:$E$175,$B26,MXAU!$L$6:$L$175),"")</f>
        <v/>
      </c>
      <c r="F26" s="71">
        <f>IFERROR($D26/($D26+$E26),"")</f>
        <v/>
      </c>
      <c r="G26" s="71">
        <f>IFERROR($C26/$C$36,"")</f>
        <v/>
      </c>
      <c r="H26" s="30" t="n"/>
    </row>
    <row r="27">
      <c r="B27" s="15" t="inlineStr">
        <is>
          <t>Industrials</t>
        </is>
      </c>
      <c r="C27" s="63">
        <f>IFERROR(SUMIF(MXAU!$E$6:$E$175,$B27,MXAU!$J$6:$J$175),"")</f>
        <v/>
      </c>
      <c r="D27" s="63">
        <f>IFERROR(SUMIF(MXAU!$E$6:$E$175,$B27,MXAU!$K$6:$K$175),"")</f>
        <v/>
      </c>
      <c r="E27" s="63">
        <f>IFERROR(SUMIF(MXAU!$E$6:$E$175,$B27,MXAU!$L$6:$L$175),"")</f>
        <v/>
      </c>
      <c r="F27" s="71">
        <f>IFERROR($D27/($D27+$E27),"")</f>
        <v/>
      </c>
      <c r="G27" s="71">
        <f>IFERROR($C27/$C$36,"")</f>
        <v/>
      </c>
      <c r="H27" s="34" t="n"/>
    </row>
    <row r="28">
      <c r="B28" s="47" t="inlineStr">
        <is>
          <t>Consumer Discretionary</t>
        </is>
      </c>
      <c r="C28" s="63">
        <f>IFERROR(SUMIF(MXAU!$E$6:$E$175,$B28,MXAU!$J$6:$J$175),"")</f>
        <v/>
      </c>
      <c r="D28" s="63">
        <f>IFERROR(SUMIF(MXAU!$E$6:$E$175,$B28,MXAU!$K$6:$K$175),"")</f>
        <v/>
      </c>
      <c r="E28" s="63">
        <f>IFERROR(SUMIF(MXAU!$E$6:$E$175,$B28,MXAU!$L$6:$L$175),"")</f>
        <v/>
      </c>
      <c r="F28" s="71">
        <f>IFERROR($D28/($D28+$E28),"")</f>
        <v/>
      </c>
      <c r="G28" s="71">
        <f>IFERROR($C28/$C$36,"")</f>
        <v/>
      </c>
      <c r="H28" s="30" t="n"/>
    </row>
    <row r="29">
      <c r="B29" s="15" t="inlineStr">
        <is>
          <t>Consumer Staples</t>
        </is>
      </c>
      <c r="C29" s="63">
        <f>IFERROR(SUMIF(MXAU!$E$6:$E$175,$B29,MXAU!$J$6:$J$175),"")</f>
        <v/>
      </c>
      <c r="D29" s="63">
        <f>IFERROR(SUMIF(MXAU!$E$6:$E$175,$B29,MXAU!$K$6:$K$175),"")</f>
        <v/>
      </c>
      <c r="E29" s="63">
        <f>IFERROR(SUMIF(MXAU!$E$6:$E$175,$B29,MXAU!$L$6:$L$175),"")</f>
        <v/>
      </c>
      <c r="F29" s="71">
        <f>IFERROR($D29/($D29+$E29),"")</f>
        <v/>
      </c>
      <c r="G29" s="71">
        <f>IFERROR($C29/$C$36,"")</f>
        <v/>
      </c>
      <c r="H29" s="34" t="n"/>
    </row>
    <row r="30">
      <c r="B30" s="47" t="inlineStr">
        <is>
          <t>Health Care</t>
        </is>
      </c>
      <c r="C30" s="63">
        <f>IFERROR(SUMIF(MXAU!$E$6:$E$175,$B30,MXAU!$J$6:$J$175),"")</f>
        <v/>
      </c>
      <c r="D30" s="63">
        <f>IFERROR(SUMIF(MXAU!$E$6:$E$175,$B30,MXAU!$K$6:$K$175),"")</f>
        <v/>
      </c>
      <c r="E30" s="63">
        <f>IFERROR(SUMIF(MXAU!$E$6:$E$175,$B30,MXAU!$L$6:$L$175),"")</f>
        <v/>
      </c>
      <c r="F30" s="71">
        <f>IFERROR($D30/($D30+$E30),"")</f>
        <v/>
      </c>
      <c r="G30" s="71">
        <f>IFERROR($C30/$C$36,"")</f>
        <v/>
      </c>
      <c r="H30" s="30" t="n"/>
    </row>
    <row r="31">
      <c r="B31" s="15" t="inlineStr">
        <is>
          <t>Financials</t>
        </is>
      </c>
      <c r="C31" s="63">
        <f>IFERROR(SUMIF(MXAU!$E$6:$E$175,$B31,MXAU!$J$6:$J$175),"")</f>
        <v/>
      </c>
      <c r="D31" s="63">
        <f>IFERROR(SUMIF(MXAU!$E$6:$E$175,$B31,MXAU!$K$6:$K$175),"")</f>
        <v/>
      </c>
      <c r="E31" s="63">
        <f>IFERROR(SUMIF(MXAU!$E$6:$E$175,$B31,MXAU!$L$6:$L$175),"")</f>
        <v/>
      </c>
      <c r="F31" s="71">
        <f>IFERROR($D31/($D31+$E31),"")</f>
        <v/>
      </c>
      <c r="G31" s="71">
        <f>IFERROR($C31/$C$36,"")</f>
        <v/>
      </c>
      <c r="H31" s="34" t="n"/>
    </row>
    <row r="32">
      <c r="B32" s="47" t="inlineStr">
        <is>
          <t>Information Technology</t>
        </is>
      </c>
      <c r="C32" s="63">
        <f>IFERROR(SUMIF(MXAU!$E$6:$E$175,$B32,MXAU!$J$6:$J$175),"")</f>
        <v/>
      </c>
      <c r="D32" s="63">
        <f>IFERROR(SUMIF(MXAU!$E$6:$E$175,$B32,MXAU!$K$6:$K$175),"")</f>
        <v/>
      </c>
      <c r="E32" s="63">
        <f>IFERROR(SUMIF(MXAU!$E$6:$E$175,$B32,MXAU!$L$6:$L$175),"")</f>
        <v/>
      </c>
      <c r="F32" s="71">
        <f>IFERROR($D32/($D32+$E32),"")</f>
        <v/>
      </c>
      <c r="G32" s="71">
        <f>IFERROR($C32/$C$36,"")</f>
        <v/>
      </c>
      <c r="H32" s="30" t="n"/>
    </row>
    <row r="33">
      <c r="B33" s="15" t="inlineStr">
        <is>
          <t>Communication Services</t>
        </is>
      </c>
      <c r="C33" s="63">
        <f>IFERROR(SUMIF(MXAU!$E$6:$E$175,$B33,MXAU!$J$6:$J$175),"")</f>
        <v/>
      </c>
      <c r="D33" s="63">
        <f>IFERROR(SUMIF(MXAU!$E$6:$E$175,$B33,MXAU!$K$6:$K$175),"")</f>
        <v/>
      </c>
      <c r="E33" s="63">
        <f>IFERROR(SUMIF(MXAU!$E$6:$E$175,$B33,MXAU!$L$6:$L$175),"")</f>
        <v/>
      </c>
      <c r="F33" s="71">
        <f>IFERROR($D33/($D33+$E33),"")</f>
        <v/>
      </c>
      <c r="G33" s="71">
        <f>IFERROR($C33/$C$36,"")</f>
        <v/>
      </c>
      <c r="H33" s="34" t="n"/>
    </row>
    <row r="34">
      <c r="B34" s="47" t="inlineStr">
        <is>
          <t>Utilities</t>
        </is>
      </c>
      <c r="C34" s="63">
        <f>IFERROR(SUMIF(MXAU!$E$6:$E$175,$B34,MXAU!$J$6:$J$175),"")</f>
        <v/>
      </c>
      <c r="D34" s="63">
        <f>IFERROR(SUMIF(MXAU!$E$6:$E$175,$B34,MXAU!$K$6:$K$175),"")</f>
        <v/>
      </c>
      <c r="E34" s="63">
        <f>IFERROR(SUMIF(MXAU!$E$6:$E$175,$B34,MXAU!$L$6:$L$175),"")</f>
        <v/>
      </c>
      <c r="F34" s="71">
        <f>IFERROR($D34/($D34+$E34),"")</f>
        <v/>
      </c>
      <c r="G34" s="71">
        <f>IFERROR($C34/$C$36,"")</f>
        <v/>
      </c>
      <c r="H34" s="30" t="n"/>
    </row>
    <row r="35">
      <c r="B35" s="15" t="inlineStr">
        <is>
          <t>Real Estate</t>
        </is>
      </c>
      <c r="C35" s="63">
        <f>IFERROR(SUMIF(MXAU!$E$6:$E$175,$B35,MXAU!$J$6:$J$175),"")</f>
        <v/>
      </c>
      <c r="D35" s="63">
        <f>IFERROR(SUMIF(MXAU!$E$6:$E$175,$B35,MXAU!$K$6:$K$175),"")</f>
        <v/>
      </c>
      <c r="E35" s="63">
        <f>IFERROR(SUMIF(MXAU!$E$6:$E$175,$B35,MXAU!$L$6:$L$175),"")</f>
        <v/>
      </c>
      <c r="F35" s="71">
        <f>IFERROR($D35/($D35+$E35),"")</f>
        <v/>
      </c>
      <c r="G35" s="71">
        <f>IFERROR($C35/$C$36,"")</f>
        <v/>
      </c>
      <c r="H35" s="34" t="n"/>
    </row>
    <row r="36">
      <c r="B36" s="3" t="inlineStr">
        <is>
          <t>TOTAL</t>
        </is>
      </c>
      <c r="C36" s="65">
        <f>IFERROR(SUM(C25:C35),"")</f>
        <v/>
      </c>
      <c r="D36" s="65">
        <f>IFERROR(SUM(D25:D35),"")</f>
        <v/>
      </c>
      <c r="E36" s="65">
        <f>IFERROR(SUM(E25:E35),"")</f>
        <v/>
      </c>
      <c r="F36" s="118">
        <f>IFERROR($D$36/($D$36+$E$36),"")</f>
        <v/>
      </c>
      <c r="G36" s="118">
        <f>IFERROR(SUM(G25:G35),"")</f>
        <v/>
      </c>
      <c r="H36" s="24" t="n"/>
    </row>
    <row r="37">
      <c r="B37" s="3" t="inlineStr">
        <is>
          <t>Sector names matched?</t>
        </is>
      </c>
      <c r="C37" s="5">
        <f>IFERROR(IF(ABS($C$36-MXAU!$J$4)&lt;0.01,"OK - all points allocated","CHECK: "&amp;TEXT(MXAU!$J$4-$C$36,"0.00")&amp;" pts unmatched"),"")</f>
        <v/>
      </c>
      <c r="F37" s="6" t="inlineStr">
        <is>
          <t>&lt;- if this flags, Bloomberg spelled a sector differently. Overwrite the blue label to match and it resolves.</t>
        </is>
      </c>
    </row>
    <row r="40">
      <c r="B40" s="3" t="inlineStr">
        <is>
          <t>HOW TO READ THIS</t>
        </is>
      </c>
    </row>
    <row r="41" ht="24" customHeight="1">
      <c r="B41" s="2" t="inlineStr">
        <is>
          <t>-</t>
        </is>
      </c>
      <c r="C41" s="18" t="inlineStr">
        <is>
          <t>Franked % is within-sector: of the dividends that sector pays, how much carries franking credits. Sectors with no dividends show blank rather than zero.</t>
        </is>
      </c>
    </row>
    <row r="42" ht="24" customHeight="1">
      <c r="B42" s="2" t="inlineStr">
        <is>
          <t>-</t>
        </is>
      </c>
      <c r="C42" s="18" t="inlineStr">
        <is>
          <t>% of Index Dvds is the sector's share of total 12M dividend points - not its market-cap weight. A sector can be small in the index and still dominate its dividends.</t>
        </is>
      </c>
    </row>
    <row r="43" ht="24" customHeight="1">
      <c r="B43" s="2" t="inlineStr">
        <is>
          <t>-</t>
        </is>
      </c>
      <c r="C43" s="18" t="inlineStr">
        <is>
          <t>Sector labels are blue because they are inputs. GICS_SECTOR_NAME should return these exact strings, but if a sector reads zero while you can see members in it on the data tab, the spelling differs - fix the label here.</t>
        </is>
      </c>
    </row>
    <row r="44" ht="24" customHeight="1">
      <c r="B44" s="2" t="inlineStr">
        <is>
          <t>-</t>
        </is>
      </c>
      <c r="C44" s="18" t="inlineStr">
        <is>
          <t>Same caveat as everywhere else: a sector's franked % only covers members that returned a franking value. Check overall coverage on Index Summary first.</t>
        </is>
      </c>
    </row>
    <row r="47">
      <c r="B47" s="1" t="inlineStr">
        <is>
          <t>PROJECTED - CUMULATIVE TO A CONTRACT EXPIRY YOU PICK</t>
        </is>
      </c>
    </row>
    <row r="48">
      <c r="B48" s="2" t="inlineStr">
        <is>
          <t>The 12M blocks above are history. This block is the projection: pick a contract below and every row shows that sector's dividends from the valuation date to that expiry - overrides included when the Override switch is ON.</t>
        </is>
      </c>
    </row>
    <row r="50">
      <c r="B50" s="3" t="inlineStr">
        <is>
          <t>Pick contract #</t>
        </is>
      </c>
      <c r="C50" s="50" t="n">
        <v>13</v>
      </c>
      <c r="D50" s="5" t="n"/>
      <c r="F50" s="2" t="inlineStr">
        <is>
          <t>1 = front contract. 13 = a full year.</t>
        </is>
      </c>
    </row>
    <row r="51">
      <c r="B51" s="5" t="inlineStr">
        <is>
          <t>Contract / expiry (AS51 / MXAU)</t>
        </is>
      </c>
      <c r="C51" s="119">
        <f>IFERROR(INDEX(Expiries!$C$16:$C$31,$C$50),"")</f>
        <v/>
      </c>
      <c r="D51" s="120">
        <f>IFERROR(INDEX(Expiries!$F$16:$F$31,$C$50),"")</f>
        <v/>
      </c>
      <c r="E51" s="120">
        <f>IFERROR(INDEX(Expiries!$I$16:$I$31,$C$50),"")</f>
        <v/>
      </c>
    </row>
    <row r="52">
      <c r="B52" s="5" t="inlineStr">
        <is>
          <t>Days to expiry (AS51 / MXAU)</t>
        </is>
      </c>
      <c r="C52" s="62">
        <f>IFERROR($D$51-Expiries!$C$6,"")</f>
        <v/>
      </c>
      <c r="D52" s="62">
        <f>IFERROR($E$51-Expiries!$C$6,"")</f>
        <v/>
      </c>
    </row>
    <row r="53">
      <c r="B53" s="5" t="inlineStr">
        <is>
          <t>Overrides</t>
        </is>
      </c>
      <c r="C53" s="61">
        <f>IF(Override!$C$4="ON","ON - "&amp;Override!$E$4&amp;" row(s) live - Accrual uses YOUR numbers where set (Override tab).","OFF - pure Bloomberg projections.")</f>
        <v/>
      </c>
    </row>
    <row r="55">
      <c r="B55" s="3" t="inlineStr">
        <is>
          <t>S&amp;P/ASX 200 (AS51) - cumulative to chosen expiry</t>
        </is>
      </c>
    </row>
    <row r="56">
      <c r="B56" s="54" t="inlineStr">
        <is>
          <t>GICS Sector</t>
        </is>
      </c>
      <c r="C56" s="54" t="inlineStr">
        <is>
          <t>Cum dvd
(pts)</t>
        </is>
      </c>
      <c r="D56" s="54" t="inlineStr">
        <is>
          <t>Franked
(pts)</t>
        </is>
      </c>
      <c r="E56" s="54" t="inlineStr">
        <is>
          <t>Unfranked
(pts)</t>
        </is>
      </c>
      <c r="F56" s="54" t="inlineStr">
        <is>
          <t>Franked %</t>
        </is>
      </c>
      <c r="G56" s="54" t="inlineStr">
        <is>
          <t>Credit
(pts)</t>
        </is>
      </c>
      <c r="H56" s="54" t="inlineStr">
        <is>
          <t>Grossed
(pts)</t>
        </is>
      </c>
      <c r="I56" s="54" t="inlineStr">
        <is>
          <t>Yld contrib
(%)</t>
        </is>
      </c>
      <c r="J56" s="54" t="inlineStr">
        <is>
          <t>% of dvds</t>
        </is>
      </c>
    </row>
    <row r="57">
      <c r="B57" s="5">
        <f>IF($B8="","",$B8)</f>
        <v/>
      </c>
      <c r="C57" s="143">
        <f>IFERROR(SUMIF(AS51!$E$6:$E$210,$B57,Accrual!$AN$16:$AN$220),"")</f>
        <v/>
      </c>
      <c r="D57" s="143">
        <f>IFERROR(SUMIF(AS51!$E$6:$E$210,$B57,Accrual!$AO$16:$AO$220),"")</f>
        <v/>
      </c>
      <c r="E57" s="143">
        <f>IFERROR($C57-$D57,"")</f>
        <v/>
      </c>
      <c r="F57" s="71">
        <f>IFERROR($D57/$C57,"")</f>
        <v/>
      </c>
      <c r="G57" s="143">
        <f>IFERROR($D57*'Index Summary'!$C$6/(1-'Index Summary'!$C$6),"")</f>
        <v/>
      </c>
      <c r="H57" s="143">
        <f>IFERROR($C57+$G57,"")</f>
        <v/>
      </c>
      <c r="I57" s="64">
        <f>IFERROR($C57/'Div by Expiry'!$C$5,"")</f>
        <v/>
      </c>
      <c r="J57" s="71">
        <f>IFERROR($C57/$C$68,"")</f>
        <v/>
      </c>
    </row>
    <row r="58">
      <c r="B58" s="5">
        <f>IF($B9="","",$B9)</f>
        <v/>
      </c>
      <c r="C58" s="143">
        <f>IFERROR(SUMIF(AS51!$E$6:$E$210,$B58,Accrual!$AN$16:$AN$220),"")</f>
        <v/>
      </c>
      <c r="D58" s="143">
        <f>IFERROR(SUMIF(AS51!$E$6:$E$210,$B58,Accrual!$AO$16:$AO$220),"")</f>
        <v/>
      </c>
      <c r="E58" s="143">
        <f>IFERROR($C58-$D58,"")</f>
        <v/>
      </c>
      <c r="F58" s="71">
        <f>IFERROR($D58/$C58,"")</f>
        <v/>
      </c>
      <c r="G58" s="143">
        <f>IFERROR($D58*'Index Summary'!$C$6/(1-'Index Summary'!$C$6),"")</f>
        <v/>
      </c>
      <c r="H58" s="143">
        <f>IFERROR($C58+$G58,"")</f>
        <v/>
      </c>
      <c r="I58" s="64">
        <f>IFERROR($C58/'Div by Expiry'!$C$5,"")</f>
        <v/>
      </c>
      <c r="J58" s="71">
        <f>IFERROR($C58/$C$68,"")</f>
        <v/>
      </c>
    </row>
    <row r="59">
      <c r="B59" s="5">
        <f>IF($B10="","",$B10)</f>
        <v/>
      </c>
      <c r="C59" s="143">
        <f>IFERROR(SUMIF(AS51!$E$6:$E$210,$B59,Accrual!$AN$16:$AN$220),"")</f>
        <v/>
      </c>
      <c r="D59" s="143">
        <f>IFERROR(SUMIF(AS51!$E$6:$E$210,$B59,Accrual!$AO$16:$AO$220),"")</f>
        <v/>
      </c>
      <c r="E59" s="143">
        <f>IFERROR($C59-$D59,"")</f>
        <v/>
      </c>
      <c r="F59" s="71">
        <f>IFERROR($D59/$C59,"")</f>
        <v/>
      </c>
      <c r="G59" s="143">
        <f>IFERROR($D59*'Index Summary'!$C$6/(1-'Index Summary'!$C$6),"")</f>
        <v/>
      </c>
      <c r="H59" s="143">
        <f>IFERROR($C59+$G59,"")</f>
        <v/>
      </c>
      <c r="I59" s="64">
        <f>IFERROR($C59/'Div by Expiry'!$C$5,"")</f>
        <v/>
      </c>
      <c r="J59" s="71">
        <f>IFERROR($C59/$C$68,"")</f>
        <v/>
      </c>
    </row>
    <row r="60">
      <c r="B60" s="5">
        <f>IF($B11="","",$B11)</f>
        <v/>
      </c>
      <c r="C60" s="143">
        <f>IFERROR(SUMIF(AS51!$E$6:$E$210,$B60,Accrual!$AN$16:$AN$220),"")</f>
        <v/>
      </c>
      <c r="D60" s="143">
        <f>IFERROR(SUMIF(AS51!$E$6:$E$210,$B60,Accrual!$AO$16:$AO$220),"")</f>
        <v/>
      </c>
      <c r="E60" s="143">
        <f>IFERROR($C60-$D60,"")</f>
        <v/>
      </c>
      <c r="F60" s="71">
        <f>IFERROR($D60/$C60,"")</f>
        <v/>
      </c>
      <c r="G60" s="143">
        <f>IFERROR($D60*'Index Summary'!$C$6/(1-'Index Summary'!$C$6),"")</f>
        <v/>
      </c>
      <c r="H60" s="143">
        <f>IFERROR($C60+$G60,"")</f>
        <v/>
      </c>
      <c r="I60" s="64">
        <f>IFERROR($C60/'Div by Expiry'!$C$5,"")</f>
        <v/>
      </c>
      <c r="J60" s="71">
        <f>IFERROR($C60/$C$68,"")</f>
        <v/>
      </c>
    </row>
    <row r="61">
      <c r="B61" s="5">
        <f>IF($B12="","",$B12)</f>
        <v/>
      </c>
      <c r="C61" s="143">
        <f>IFERROR(SUMIF(AS51!$E$6:$E$210,$B61,Accrual!$AN$16:$AN$220),"")</f>
        <v/>
      </c>
      <c r="D61" s="143">
        <f>IFERROR(SUMIF(AS51!$E$6:$E$210,$B61,Accrual!$AO$16:$AO$220),"")</f>
        <v/>
      </c>
      <c r="E61" s="143">
        <f>IFERROR($C61-$D61,"")</f>
        <v/>
      </c>
      <c r="F61" s="71">
        <f>IFERROR($D61/$C61,"")</f>
        <v/>
      </c>
      <c r="G61" s="143">
        <f>IFERROR($D61*'Index Summary'!$C$6/(1-'Index Summary'!$C$6),"")</f>
        <v/>
      </c>
      <c r="H61" s="143">
        <f>IFERROR($C61+$G61,"")</f>
        <v/>
      </c>
      <c r="I61" s="64">
        <f>IFERROR($C61/'Div by Expiry'!$C$5,"")</f>
        <v/>
      </c>
      <c r="J61" s="71">
        <f>IFERROR($C61/$C$68,"")</f>
        <v/>
      </c>
    </row>
    <row r="62">
      <c r="B62" s="5">
        <f>IF($B13="","",$B13)</f>
        <v/>
      </c>
      <c r="C62" s="143">
        <f>IFERROR(SUMIF(AS51!$E$6:$E$210,$B62,Accrual!$AN$16:$AN$220),"")</f>
        <v/>
      </c>
      <c r="D62" s="143">
        <f>IFERROR(SUMIF(AS51!$E$6:$E$210,$B62,Accrual!$AO$16:$AO$220),"")</f>
        <v/>
      </c>
      <c r="E62" s="143">
        <f>IFERROR($C62-$D62,"")</f>
        <v/>
      </c>
      <c r="F62" s="71">
        <f>IFERROR($D62/$C62,"")</f>
        <v/>
      </c>
      <c r="G62" s="143">
        <f>IFERROR($D62*'Index Summary'!$C$6/(1-'Index Summary'!$C$6),"")</f>
        <v/>
      </c>
      <c r="H62" s="143">
        <f>IFERROR($C62+$G62,"")</f>
        <v/>
      </c>
      <c r="I62" s="64">
        <f>IFERROR($C62/'Div by Expiry'!$C$5,"")</f>
        <v/>
      </c>
      <c r="J62" s="71">
        <f>IFERROR($C62/$C$68,"")</f>
        <v/>
      </c>
    </row>
    <row r="63">
      <c r="B63" s="5">
        <f>IF($B14="","",$B14)</f>
        <v/>
      </c>
      <c r="C63" s="143">
        <f>IFERROR(SUMIF(AS51!$E$6:$E$210,$B63,Accrual!$AN$16:$AN$220),"")</f>
        <v/>
      </c>
      <c r="D63" s="143">
        <f>IFERROR(SUMIF(AS51!$E$6:$E$210,$B63,Accrual!$AO$16:$AO$220),"")</f>
        <v/>
      </c>
      <c r="E63" s="143">
        <f>IFERROR($C63-$D63,"")</f>
        <v/>
      </c>
      <c r="F63" s="71">
        <f>IFERROR($D63/$C63,"")</f>
        <v/>
      </c>
      <c r="G63" s="143">
        <f>IFERROR($D63*'Index Summary'!$C$6/(1-'Index Summary'!$C$6),"")</f>
        <v/>
      </c>
      <c r="H63" s="143">
        <f>IFERROR($C63+$G63,"")</f>
        <v/>
      </c>
      <c r="I63" s="64">
        <f>IFERROR($C63/'Div by Expiry'!$C$5,"")</f>
        <v/>
      </c>
      <c r="J63" s="71">
        <f>IFERROR($C63/$C$68,"")</f>
        <v/>
      </c>
    </row>
    <row r="64">
      <c r="B64" s="5">
        <f>IF($B15="","",$B15)</f>
        <v/>
      </c>
      <c r="C64" s="143">
        <f>IFERROR(SUMIF(AS51!$E$6:$E$210,$B64,Accrual!$AN$16:$AN$220),"")</f>
        <v/>
      </c>
      <c r="D64" s="143">
        <f>IFERROR(SUMIF(AS51!$E$6:$E$210,$B64,Accrual!$AO$16:$AO$220),"")</f>
        <v/>
      </c>
      <c r="E64" s="143">
        <f>IFERROR($C64-$D64,"")</f>
        <v/>
      </c>
      <c r="F64" s="71">
        <f>IFERROR($D64/$C64,"")</f>
        <v/>
      </c>
      <c r="G64" s="143">
        <f>IFERROR($D64*'Index Summary'!$C$6/(1-'Index Summary'!$C$6),"")</f>
        <v/>
      </c>
      <c r="H64" s="143">
        <f>IFERROR($C64+$G64,"")</f>
        <v/>
      </c>
      <c r="I64" s="64">
        <f>IFERROR($C64/'Div by Expiry'!$C$5,"")</f>
        <v/>
      </c>
      <c r="J64" s="71">
        <f>IFERROR($C64/$C$68,"")</f>
        <v/>
      </c>
    </row>
    <row r="65">
      <c r="B65" s="5">
        <f>IF($B16="","",$B16)</f>
        <v/>
      </c>
      <c r="C65" s="143">
        <f>IFERROR(SUMIF(AS51!$E$6:$E$210,$B65,Accrual!$AN$16:$AN$220),"")</f>
        <v/>
      </c>
      <c r="D65" s="143">
        <f>IFERROR(SUMIF(AS51!$E$6:$E$210,$B65,Accrual!$AO$16:$AO$220),"")</f>
        <v/>
      </c>
      <c r="E65" s="143">
        <f>IFERROR($C65-$D65,"")</f>
        <v/>
      </c>
      <c r="F65" s="71">
        <f>IFERROR($D65/$C65,"")</f>
        <v/>
      </c>
      <c r="G65" s="143">
        <f>IFERROR($D65*'Index Summary'!$C$6/(1-'Index Summary'!$C$6),"")</f>
        <v/>
      </c>
      <c r="H65" s="143">
        <f>IFERROR($C65+$G65,"")</f>
        <v/>
      </c>
      <c r="I65" s="64">
        <f>IFERROR($C65/'Div by Expiry'!$C$5,"")</f>
        <v/>
      </c>
      <c r="J65" s="71">
        <f>IFERROR($C65/$C$68,"")</f>
        <v/>
      </c>
    </row>
    <row r="66">
      <c r="B66" s="5">
        <f>IF($B17="","",$B17)</f>
        <v/>
      </c>
      <c r="C66" s="143">
        <f>IFERROR(SUMIF(AS51!$E$6:$E$210,$B66,Accrual!$AN$16:$AN$220),"")</f>
        <v/>
      </c>
      <c r="D66" s="143">
        <f>IFERROR(SUMIF(AS51!$E$6:$E$210,$B66,Accrual!$AO$16:$AO$220),"")</f>
        <v/>
      </c>
      <c r="E66" s="143">
        <f>IFERROR($C66-$D66,"")</f>
        <v/>
      </c>
      <c r="F66" s="71">
        <f>IFERROR($D66/$C66,"")</f>
        <v/>
      </c>
      <c r="G66" s="143">
        <f>IFERROR($D66*'Index Summary'!$C$6/(1-'Index Summary'!$C$6),"")</f>
        <v/>
      </c>
      <c r="H66" s="143">
        <f>IFERROR($C66+$G66,"")</f>
        <v/>
      </c>
      <c r="I66" s="64">
        <f>IFERROR($C66/'Div by Expiry'!$C$5,"")</f>
        <v/>
      </c>
      <c r="J66" s="71">
        <f>IFERROR($C66/$C$68,"")</f>
        <v/>
      </c>
    </row>
    <row r="67">
      <c r="B67" s="5">
        <f>IF($B18="","",$B18)</f>
        <v/>
      </c>
      <c r="C67" s="143">
        <f>IFERROR(SUMIF(AS51!$E$6:$E$210,$B67,Accrual!$AN$16:$AN$220),"")</f>
        <v/>
      </c>
      <c r="D67" s="143">
        <f>IFERROR(SUMIF(AS51!$E$6:$E$210,$B67,Accrual!$AO$16:$AO$220),"")</f>
        <v/>
      </c>
      <c r="E67" s="143">
        <f>IFERROR($C67-$D67,"")</f>
        <v/>
      </c>
      <c r="F67" s="71">
        <f>IFERROR($D67/$C67,"")</f>
        <v/>
      </c>
      <c r="G67" s="143">
        <f>IFERROR($D67*'Index Summary'!$C$6/(1-'Index Summary'!$C$6),"")</f>
        <v/>
      </c>
      <c r="H67" s="143">
        <f>IFERROR($C67+$G67,"")</f>
        <v/>
      </c>
      <c r="I67" s="64">
        <f>IFERROR($C67/'Div by Expiry'!$C$5,"")</f>
        <v/>
      </c>
      <c r="J67" s="71">
        <f>IFERROR($C67/$C$68,"")</f>
        <v/>
      </c>
    </row>
    <row r="68">
      <c r="B68" s="3" t="inlineStr">
        <is>
          <t>TOTAL</t>
        </is>
      </c>
      <c r="C68" s="121">
        <f>IFERROR(SUM(C57:C67),"")</f>
        <v/>
      </c>
      <c r="D68" s="121">
        <f>IFERROR(SUM(D57:D67),"")</f>
        <v/>
      </c>
      <c r="E68" s="121">
        <f>IFERROR(SUM(E57:E67),"")</f>
        <v/>
      </c>
      <c r="F68" s="118">
        <f>IFERROR($D$68/$C$68,"")</f>
        <v/>
      </c>
      <c r="G68" s="121">
        <f>IFERROR(SUM(G57:G67),"")</f>
        <v/>
      </c>
      <c r="H68" s="121">
        <f>IFERROR(SUM(H57:H67),"")</f>
        <v/>
      </c>
      <c r="I68" s="66">
        <f>IFERROR($C$68/'Div by Expiry'!$C$5,"")</f>
        <v/>
      </c>
      <c r="J68" s="118">
        <f>IFERROR(SUM(J57:J67),"")</f>
        <v/>
      </c>
    </row>
    <row r="69">
      <c r="C69" s="5">
        <f>IF($C$50="","pick a contract #",IF(ABS($C$68-IFERROR(INDEX('Div by Expiry'!$G$13:$G$28,$C$50),0))&lt;0.01,"OK - matches Div by Expiry cum pts","CHECK - sector names vs data tab"))</f>
        <v/>
      </c>
    </row>
    <row r="71">
      <c r="B71" s="3" t="inlineStr">
        <is>
          <t>MSCI Australia (MXAU) - cumulative to chosen expiry</t>
        </is>
      </c>
    </row>
    <row r="72">
      <c r="B72" s="54" t="inlineStr">
        <is>
          <t>GICS Sector</t>
        </is>
      </c>
      <c r="C72" s="54" t="inlineStr">
        <is>
          <t>Cum dvd
(pts)</t>
        </is>
      </c>
      <c r="D72" s="54" t="inlineStr">
        <is>
          <t>Franked
(pts)</t>
        </is>
      </c>
      <c r="E72" s="54" t="inlineStr">
        <is>
          <t>Unfranked
(pts)</t>
        </is>
      </c>
      <c r="F72" s="54" t="inlineStr">
        <is>
          <t>Franked %</t>
        </is>
      </c>
      <c r="G72" s="54" t="inlineStr">
        <is>
          <t>Credit
(pts)</t>
        </is>
      </c>
      <c r="H72" s="54" t="inlineStr">
        <is>
          <t>Grossed
(pts)</t>
        </is>
      </c>
      <c r="I72" s="54" t="inlineStr">
        <is>
          <t>Yld contrib
(%)</t>
        </is>
      </c>
      <c r="J72" s="54" t="inlineStr">
        <is>
          <t>% of dvds</t>
        </is>
      </c>
    </row>
    <row r="73">
      <c r="B73" s="5">
        <f>IF($B25="","",$B25)</f>
        <v/>
      </c>
      <c r="C73" s="143">
        <f>IFERROR(SUMIF(MXAU!$E$6:$E$85,$B73,Accrual!$AN$229:$AN$308),"")</f>
        <v/>
      </c>
      <c r="D73" s="143">
        <f>IFERROR(SUMIF(MXAU!$E$6:$E$85,$B73,Accrual!$AO$229:$AO$308),"")</f>
        <v/>
      </c>
      <c r="E73" s="143">
        <f>IFERROR($C73-$D73,"")</f>
        <v/>
      </c>
      <c r="F73" s="71">
        <f>IFERROR($D73/$C73,"")</f>
        <v/>
      </c>
      <c r="G73" s="143">
        <f>IFERROR($D73*'Index Summary'!$C$6/(1-'Index Summary'!$C$6),"")</f>
        <v/>
      </c>
      <c r="H73" s="143">
        <f>IFERROR($C73+$G73,"")</f>
        <v/>
      </c>
      <c r="I73" s="64">
        <f>IFERROR($C73/'Div by Expiry'!$C$6,"")</f>
        <v/>
      </c>
      <c r="J73" s="71">
        <f>IFERROR($C73/$C$84,"")</f>
        <v/>
      </c>
    </row>
    <row r="74">
      <c r="B74" s="5">
        <f>IF($B26="","",$B26)</f>
        <v/>
      </c>
      <c r="C74" s="143">
        <f>IFERROR(SUMIF(MXAU!$E$6:$E$85,$B74,Accrual!$AN$229:$AN$308),"")</f>
        <v/>
      </c>
      <c r="D74" s="143">
        <f>IFERROR(SUMIF(MXAU!$E$6:$E$85,$B74,Accrual!$AO$229:$AO$308),"")</f>
        <v/>
      </c>
      <c r="E74" s="143">
        <f>IFERROR($C74-$D74,"")</f>
        <v/>
      </c>
      <c r="F74" s="71">
        <f>IFERROR($D74/$C74,"")</f>
        <v/>
      </c>
      <c r="G74" s="143">
        <f>IFERROR($D74*'Index Summary'!$C$6/(1-'Index Summary'!$C$6),"")</f>
        <v/>
      </c>
      <c r="H74" s="143">
        <f>IFERROR($C74+$G74,"")</f>
        <v/>
      </c>
      <c r="I74" s="64">
        <f>IFERROR($C74/'Div by Expiry'!$C$6,"")</f>
        <v/>
      </c>
      <c r="J74" s="71">
        <f>IFERROR($C74/$C$84,"")</f>
        <v/>
      </c>
    </row>
    <row r="75">
      <c r="B75" s="5">
        <f>IF($B27="","",$B27)</f>
        <v/>
      </c>
      <c r="C75" s="143">
        <f>IFERROR(SUMIF(MXAU!$E$6:$E$85,$B75,Accrual!$AN$229:$AN$308),"")</f>
        <v/>
      </c>
      <c r="D75" s="143">
        <f>IFERROR(SUMIF(MXAU!$E$6:$E$85,$B75,Accrual!$AO$229:$AO$308),"")</f>
        <v/>
      </c>
      <c r="E75" s="143">
        <f>IFERROR($C75-$D75,"")</f>
        <v/>
      </c>
      <c r="F75" s="71">
        <f>IFERROR($D75/$C75,"")</f>
        <v/>
      </c>
      <c r="G75" s="143">
        <f>IFERROR($D75*'Index Summary'!$C$6/(1-'Index Summary'!$C$6),"")</f>
        <v/>
      </c>
      <c r="H75" s="143">
        <f>IFERROR($C75+$G75,"")</f>
        <v/>
      </c>
      <c r="I75" s="64">
        <f>IFERROR($C75/'Div by Expiry'!$C$6,"")</f>
        <v/>
      </c>
      <c r="J75" s="71">
        <f>IFERROR($C75/$C$84,"")</f>
        <v/>
      </c>
    </row>
    <row r="76">
      <c r="B76" s="5">
        <f>IF($B28="","",$B28)</f>
        <v/>
      </c>
      <c r="C76" s="143">
        <f>IFERROR(SUMIF(MXAU!$E$6:$E$85,$B76,Accrual!$AN$229:$AN$308),"")</f>
        <v/>
      </c>
      <c r="D76" s="143">
        <f>IFERROR(SUMIF(MXAU!$E$6:$E$85,$B76,Accrual!$AO$229:$AO$308),"")</f>
        <v/>
      </c>
      <c r="E76" s="143">
        <f>IFERROR($C76-$D76,"")</f>
        <v/>
      </c>
      <c r="F76" s="71">
        <f>IFERROR($D76/$C76,"")</f>
        <v/>
      </c>
      <c r="G76" s="143">
        <f>IFERROR($D76*'Index Summary'!$C$6/(1-'Index Summary'!$C$6),"")</f>
        <v/>
      </c>
      <c r="H76" s="143">
        <f>IFERROR($C76+$G76,"")</f>
        <v/>
      </c>
      <c r="I76" s="64">
        <f>IFERROR($C76/'Div by Expiry'!$C$6,"")</f>
        <v/>
      </c>
      <c r="J76" s="71">
        <f>IFERROR($C76/$C$84,"")</f>
        <v/>
      </c>
    </row>
    <row r="77">
      <c r="B77" s="5">
        <f>IF($B29="","",$B29)</f>
        <v/>
      </c>
      <c r="C77" s="143">
        <f>IFERROR(SUMIF(MXAU!$E$6:$E$85,$B77,Accrual!$AN$229:$AN$308),"")</f>
        <v/>
      </c>
      <c r="D77" s="143">
        <f>IFERROR(SUMIF(MXAU!$E$6:$E$85,$B77,Accrual!$AO$229:$AO$308),"")</f>
        <v/>
      </c>
      <c r="E77" s="143">
        <f>IFERROR($C77-$D77,"")</f>
        <v/>
      </c>
      <c r="F77" s="71">
        <f>IFERROR($D77/$C77,"")</f>
        <v/>
      </c>
      <c r="G77" s="143">
        <f>IFERROR($D77*'Index Summary'!$C$6/(1-'Index Summary'!$C$6),"")</f>
        <v/>
      </c>
      <c r="H77" s="143">
        <f>IFERROR($C77+$G77,"")</f>
        <v/>
      </c>
      <c r="I77" s="64">
        <f>IFERROR($C77/'Div by Expiry'!$C$6,"")</f>
        <v/>
      </c>
      <c r="J77" s="71">
        <f>IFERROR($C77/$C$84,"")</f>
        <v/>
      </c>
    </row>
    <row r="78">
      <c r="B78" s="5">
        <f>IF($B30="","",$B30)</f>
        <v/>
      </c>
      <c r="C78" s="143">
        <f>IFERROR(SUMIF(MXAU!$E$6:$E$85,$B78,Accrual!$AN$229:$AN$308),"")</f>
        <v/>
      </c>
      <c r="D78" s="143">
        <f>IFERROR(SUMIF(MXAU!$E$6:$E$85,$B78,Accrual!$AO$229:$AO$308),"")</f>
        <v/>
      </c>
      <c r="E78" s="143">
        <f>IFERROR($C78-$D78,"")</f>
        <v/>
      </c>
      <c r="F78" s="71">
        <f>IFERROR($D78/$C78,"")</f>
        <v/>
      </c>
      <c r="G78" s="143">
        <f>IFERROR($D78*'Index Summary'!$C$6/(1-'Index Summary'!$C$6),"")</f>
        <v/>
      </c>
      <c r="H78" s="143">
        <f>IFERROR($C78+$G78,"")</f>
        <v/>
      </c>
      <c r="I78" s="64">
        <f>IFERROR($C78/'Div by Expiry'!$C$6,"")</f>
        <v/>
      </c>
      <c r="J78" s="71">
        <f>IFERROR($C78/$C$84,"")</f>
        <v/>
      </c>
    </row>
    <row r="79">
      <c r="B79" s="5">
        <f>IF($B31="","",$B31)</f>
        <v/>
      </c>
      <c r="C79" s="143">
        <f>IFERROR(SUMIF(MXAU!$E$6:$E$85,$B79,Accrual!$AN$229:$AN$308),"")</f>
        <v/>
      </c>
      <c r="D79" s="143">
        <f>IFERROR(SUMIF(MXAU!$E$6:$E$85,$B79,Accrual!$AO$229:$AO$308),"")</f>
        <v/>
      </c>
      <c r="E79" s="143">
        <f>IFERROR($C79-$D79,"")</f>
        <v/>
      </c>
      <c r="F79" s="71">
        <f>IFERROR($D79/$C79,"")</f>
        <v/>
      </c>
      <c r="G79" s="143">
        <f>IFERROR($D79*'Index Summary'!$C$6/(1-'Index Summary'!$C$6),"")</f>
        <v/>
      </c>
      <c r="H79" s="143">
        <f>IFERROR($C79+$G79,"")</f>
        <v/>
      </c>
      <c r="I79" s="64">
        <f>IFERROR($C79/'Div by Expiry'!$C$6,"")</f>
        <v/>
      </c>
      <c r="J79" s="71">
        <f>IFERROR($C79/$C$84,"")</f>
        <v/>
      </c>
    </row>
    <row r="80">
      <c r="B80" s="5">
        <f>IF($B32="","",$B32)</f>
        <v/>
      </c>
      <c r="C80" s="143">
        <f>IFERROR(SUMIF(MXAU!$E$6:$E$85,$B80,Accrual!$AN$229:$AN$308),"")</f>
        <v/>
      </c>
      <c r="D80" s="143">
        <f>IFERROR(SUMIF(MXAU!$E$6:$E$85,$B80,Accrual!$AO$229:$AO$308),"")</f>
        <v/>
      </c>
      <c r="E80" s="143">
        <f>IFERROR($C80-$D80,"")</f>
        <v/>
      </c>
      <c r="F80" s="71">
        <f>IFERROR($D80/$C80,"")</f>
        <v/>
      </c>
      <c r="G80" s="143">
        <f>IFERROR($D80*'Index Summary'!$C$6/(1-'Index Summary'!$C$6),"")</f>
        <v/>
      </c>
      <c r="H80" s="143">
        <f>IFERROR($C80+$G80,"")</f>
        <v/>
      </c>
      <c r="I80" s="64">
        <f>IFERROR($C80/'Div by Expiry'!$C$6,"")</f>
        <v/>
      </c>
      <c r="J80" s="71">
        <f>IFERROR($C80/$C$84,"")</f>
        <v/>
      </c>
    </row>
    <row r="81">
      <c r="B81" s="5">
        <f>IF($B33="","",$B33)</f>
        <v/>
      </c>
      <c r="C81" s="143">
        <f>IFERROR(SUMIF(MXAU!$E$6:$E$85,$B81,Accrual!$AN$229:$AN$308),"")</f>
        <v/>
      </c>
      <c r="D81" s="143">
        <f>IFERROR(SUMIF(MXAU!$E$6:$E$85,$B81,Accrual!$AO$229:$AO$308),"")</f>
        <v/>
      </c>
      <c r="E81" s="143">
        <f>IFERROR($C81-$D81,"")</f>
        <v/>
      </c>
      <c r="F81" s="71">
        <f>IFERROR($D81/$C81,"")</f>
        <v/>
      </c>
      <c r="G81" s="143">
        <f>IFERROR($D81*'Index Summary'!$C$6/(1-'Index Summary'!$C$6),"")</f>
        <v/>
      </c>
      <c r="H81" s="143">
        <f>IFERROR($C81+$G81,"")</f>
        <v/>
      </c>
      <c r="I81" s="64">
        <f>IFERROR($C81/'Div by Expiry'!$C$6,"")</f>
        <v/>
      </c>
      <c r="J81" s="71">
        <f>IFERROR($C81/$C$84,"")</f>
        <v/>
      </c>
    </row>
    <row r="82">
      <c r="B82" s="5">
        <f>IF($B34="","",$B34)</f>
        <v/>
      </c>
      <c r="C82" s="143">
        <f>IFERROR(SUMIF(MXAU!$E$6:$E$85,$B82,Accrual!$AN$229:$AN$308),"")</f>
        <v/>
      </c>
      <c r="D82" s="143">
        <f>IFERROR(SUMIF(MXAU!$E$6:$E$85,$B82,Accrual!$AO$229:$AO$308),"")</f>
        <v/>
      </c>
      <c r="E82" s="143">
        <f>IFERROR($C82-$D82,"")</f>
        <v/>
      </c>
      <c r="F82" s="71">
        <f>IFERROR($D82/$C82,"")</f>
        <v/>
      </c>
      <c r="G82" s="143">
        <f>IFERROR($D82*'Index Summary'!$C$6/(1-'Index Summary'!$C$6),"")</f>
        <v/>
      </c>
      <c r="H82" s="143">
        <f>IFERROR($C82+$G82,"")</f>
        <v/>
      </c>
      <c r="I82" s="64">
        <f>IFERROR($C82/'Div by Expiry'!$C$6,"")</f>
        <v/>
      </c>
      <c r="J82" s="71">
        <f>IFERROR($C82/$C$84,"")</f>
        <v/>
      </c>
    </row>
    <row r="83">
      <c r="B83" s="5">
        <f>IF($B35="","",$B35)</f>
        <v/>
      </c>
      <c r="C83" s="143">
        <f>IFERROR(SUMIF(MXAU!$E$6:$E$85,$B83,Accrual!$AN$229:$AN$308),"")</f>
        <v/>
      </c>
      <c r="D83" s="143">
        <f>IFERROR(SUMIF(MXAU!$E$6:$E$85,$B83,Accrual!$AO$229:$AO$308),"")</f>
        <v/>
      </c>
      <c r="E83" s="143">
        <f>IFERROR($C83-$D83,"")</f>
        <v/>
      </c>
      <c r="F83" s="71">
        <f>IFERROR($D83/$C83,"")</f>
        <v/>
      </c>
      <c r="G83" s="143">
        <f>IFERROR($D83*'Index Summary'!$C$6/(1-'Index Summary'!$C$6),"")</f>
        <v/>
      </c>
      <c r="H83" s="143">
        <f>IFERROR($C83+$G83,"")</f>
        <v/>
      </c>
      <c r="I83" s="64">
        <f>IFERROR($C83/'Div by Expiry'!$C$6,"")</f>
        <v/>
      </c>
      <c r="J83" s="71">
        <f>IFERROR($C83/$C$84,"")</f>
        <v/>
      </c>
    </row>
    <row r="84">
      <c r="B84" s="3" t="inlineStr">
        <is>
          <t>TOTAL</t>
        </is>
      </c>
      <c r="C84" s="121">
        <f>IFERROR(SUM(C73:C83),"")</f>
        <v/>
      </c>
      <c r="D84" s="121">
        <f>IFERROR(SUM(D73:D83),"")</f>
        <v/>
      </c>
      <c r="E84" s="121">
        <f>IFERROR(SUM(E73:E83),"")</f>
        <v/>
      </c>
      <c r="F84" s="118">
        <f>IFERROR($D$84/$C$84,"")</f>
        <v/>
      </c>
      <c r="G84" s="121">
        <f>IFERROR(SUM(G73:G83),"")</f>
        <v/>
      </c>
      <c r="H84" s="121">
        <f>IFERROR(SUM(H73:H83),"")</f>
        <v/>
      </c>
      <c r="I84" s="66">
        <f>IFERROR($C$84/'Div by Expiry'!$C$6,"")</f>
        <v/>
      </c>
      <c r="J84" s="118">
        <f>IFERROR(SUM(J73:J83),"")</f>
        <v/>
      </c>
    </row>
    <row r="85">
      <c r="C85" s="5">
        <f>IF($C$50="","pick a contract #",IF(ABS($C$84-IFERROR(INDEX('Div by Expiry'!$M$13:$M$28,$C$50),0))&lt;0.01,"OK - matches Div by Expiry cum pts","CHECK - sector names vs data tab"))</f>
        <v/>
      </c>
    </row>
    <row r="87">
      <c r="B87" s="3" t="inlineStr">
        <is>
          <t>SUMMARY - TO THE CHOSEN EXPIRY</t>
        </is>
      </c>
    </row>
    <row r="88">
      <c r="C88" s="54" t="inlineStr">
        <is>
          <t>AS51</t>
        </is>
      </c>
      <c r="D88" s="54" t="inlineStr">
        <is>
          <t>MXAU</t>
        </is>
      </c>
      <c r="E88" s="54" t="inlineStr">
        <is>
          <t>AS51-MXAU
(bps)</t>
        </is>
      </c>
    </row>
    <row r="89">
      <c r="B89" s="3" t="inlineStr">
        <is>
          <t>Cum dividend yield</t>
        </is>
      </c>
      <c r="C89" s="66">
        <f>IFERROR(INDEX('Div by Expiry'!$H$13:$H$28,$C$50),"")</f>
        <v/>
      </c>
      <c r="D89" s="66">
        <f>IFERROR(INDEX('Div by Expiry'!$N$13:$N$28,$C$50),"")</f>
        <v/>
      </c>
      <c r="E89" s="68">
        <f>IFERROR(($C89-$D89)*10000,"")</f>
        <v/>
      </c>
      <c r="F89" s="2" t="inlineStr">
        <is>
          <t>cash only</t>
        </is>
      </c>
    </row>
    <row r="90">
      <c r="B90" s="5" t="inlineStr">
        <is>
          <t xml:space="preserve">  annualized</t>
        </is>
      </c>
      <c r="C90" s="66">
        <f>IFERROR(INDEX('Div by Expiry'!$I$13:$I$28,$C$50),"")</f>
        <v/>
      </c>
      <c r="D90" s="66">
        <f>IFERROR(INDEX('Div by Expiry'!$O$13:$O$28,$C$50),"")</f>
        <v/>
      </c>
      <c r="E90" s="68">
        <f>IFERROR(($C90-$D90)*10000,"")</f>
        <v/>
      </c>
      <c r="F90" s="2" t="inlineStr">
        <is>
          <t>ACT/365, per leg</t>
        </is>
      </c>
    </row>
    <row r="91">
      <c r="B91" s="3" t="inlineStr">
        <is>
          <t>Grossed-up cum yield</t>
        </is>
      </c>
      <c r="C91" s="66">
        <f>IFERROR(INDEX('Div by Expiry'!$F$36:$F$51,$C$50),"")</f>
        <v/>
      </c>
      <c r="D91" s="66">
        <f>IFERROR(INDEX('Div by Expiry'!$K$36:$K$51,$C$50),"")</f>
        <v/>
      </c>
      <c r="E91" s="68">
        <f>IFERROR(($C91-$D91)*10000,"")</f>
        <v/>
      </c>
      <c r="F91" s="2" t="inlineStr">
        <is>
          <t>cash + franking credit</t>
        </is>
      </c>
    </row>
    <row r="92">
      <c r="B92" s="5" t="inlineStr">
        <is>
          <t xml:space="preserve">  annualized</t>
        </is>
      </c>
      <c r="C92" s="66">
        <f>IFERROR(INDEX('Div by Expiry'!$G$36:$G$51,$C$50),"")</f>
        <v/>
      </c>
      <c r="D92" s="66">
        <f>IFERROR(INDEX('Div by Expiry'!$L$36:$L$51,$C$50),"")</f>
        <v/>
      </c>
      <c r="E92" s="68">
        <f>IFERROR(($C92-$D92)*10000,"")</f>
        <v/>
      </c>
      <c r="F92" s="2" t="inlineStr">
        <is>
          <t>ACT/365, per leg</t>
        </is>
      </c>
    </row>
    <row r="94">
      <c r="B94" s="2" t="inlineStr">
        <is>
          <t>Same numbers as Div by Expiry, sliced at your contract - the sector blocks above show you WHERE they come from.</t>
        </is>
      </c>
    </row>
  </sheetData>
  <mergeCells count="7">
    <mergeCell ref="C41:H41"/>
    <mergeCell ref="C42:H42"/>
    <mergeCell ref="C37:E37"/>
    <mergeCell ref="C44:H44"/>
    <mergeCell ref="B3:H4"/>
    <mergeCell ref="C43:H43"/>
    <mergeCell ref="C20:E20"/>
  </mergeCells>
  <dataValidations count="1">
    <dataValidation sqref="C50" showDropDown="0" showInputMessage="0" showErrorMessage="0" allowBlank="1" type="whole" operator="between">
      <formula1>1</formula1>
      <formula2>16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2026-08-03T05:37:33Z</dcterms:created>
  <dcterms:modified xsi:type="dcterms:W3CDTF">2026-08-06T16:28:41Z</dcterms:modified>
</cp:coreProperties>
</file>