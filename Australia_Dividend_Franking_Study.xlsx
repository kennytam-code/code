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piries" sheetId="2" state="visible" r:id="rId2"/>
    <sheet name="Div by Expiry" sheetId="3" state="visible" r:id="rId3"/>
    <sheet name="Field Check" sheetId="4" state="visible" r:id="rId4"/>
    <sheet name="AS51" sheetId="5" state="visible" r:id="rId5"/>
    <sheet name="MXAU" sheetId="6" state="visible" r:id="rId6"/>
    <sheet name="Dvd Calendar" sheetId="7" state="visible" r:id="rId7"/>
    <sheet name="Accrual" sheetId="8" state="visible" r:id="rId8"/>
    <sheet name="Index Summary" sheetId="9" state="visible" r:id="rId9"/>
    <sheet name="Secto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dd-mmm-yy"/>
    <numFmt numFmtId="165" formatCode="#,##0.0"/>
    <numFmt numFmtId="166" formatCode="0.000%"/>
    <numFmt numFmtId="167" formatCode="0.0%"/>
    <numFmt numFmtId="168" formatCode="0.0000"/>
    <numFmt numFmtId="169" formatCode="0.00;;"/>
    <numFmt numFmtId="170" formatCode="0;;"/>
    <numFmt numFmtId="171" formatCode="dd-mmm-yy;;"/>
    <numFmt numFmtId="172" formatCode="dd-mmm;;"/>
    <numFmt numFmtId="173" formatCode="0.000;;"/>
    <numFmt numFmtId="174" formatCode="#,##0.00;;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color rgb="000061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9" fillId="5" borderId="1" applyAlignment="1" pivotButton="0" quotePrefix="0" xfId="0">
      <alignment horizontal="center"/>
    </xf>
    <xf numFmtId="0" fontId="3" fillId="6" borderId="0" pivotButton="0" quotePrefix="0" xfId="0"/>
    <xf numFmtId="0" fontId="0" fillId="6" borderId="0" pivotButton="0" quotePrefix="0" xfId="0"/>
    <xf numFmtId="0" fontId="7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9" fillId="5" borderId="1" pivotButton="0" quotePrefix="0" xfId="0"/>
    <xf numFmtId="0" fontId="3" fillId="0" borderId="1" pivotButton="0" quotePrefix="0" xfId="0"/>
    <xf numFmtId="0" fontId="0" fillId="0" borderId="1" pivotButton="0" quotePrefix="0" xfId="0"/>
    <xf numFmtId="3" fontId="3" fillId="6" borderId="1" pivotButton="0" quotePrefix="0" xfId="0"/>
    <xf numFmtId="0" fontId="5" fillId="2" borderId="1" pivotButton="0" quotePrefix="0" xfId="0"/>
    <xf numFmtId="10" fontId="3" fillId="6" borderId="1" pivotButton="0" quotePrefix="0" xfId="0"/>
    <xf numFmtId="10" fontId="3" fillId="2" borderId="1" pivotButton="0" quotePrefix="0" xfId="0"/>
    <xf numFmtId="0" fontId="9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4" fontId="5" fillId="6" borderId="1" pivotButton="0" quotePrefix="0" xfId="0"/>
    <xf numFmtId="2" fontId="5" fillId="6" borderId="1" pivotButton="0" quotePrefix="0" xfId="0"/>
    <xf numFmtId="10" fontId="5" fillId="6" borderId="1" pivotButton="0" quotePrefix="0" xfId="0"/>
    <xf numFmtId="0" fontId="5" fillId="6" borderId="1" applyAlignment="1" pivotButton="0" quotePrefix="0" xfId="0">
      <alignment horizontal="center"/>
    </xf>
    <xf numFmtId="4" fontId="5" fillId="0" borderId="1" pivotButton="0" quotePrefix="0" xfId="0"/>
    <xf numFmtId="2" fontId="5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horizontal="center"/>
    </xf>
    <xf numFmtId="10" fontId="7" fillId="2" borderId="1" pivotButton="0" quotePrefix="0" xfId="0"/>
    <xf numFmtId="3" fontId="7" fillId="2" borderId="1" pivotButton="0" quotePrefix="0" xfId="0"/>
    <xf numFmtId="2" fontId="5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0" fontId="5" fillId="2" borderId="1" applyAlignment="1" pivotButton="0" quotePrefix="0" xfId="0">
      <alignment horizontal="center"/>
    </xf>
    <xf numFmtId="10" fontId="8" fillId="2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4" fontId="7" fillId="3" borderId="1" pivotButton="0" quotePrefix="0" xfId="0"/>
    <xf numFmtId="2" fontId="7" fillId="3" borderId="1" pivotButton="0" quotePrefix="0" xfId="0"/>
    <xf numFmtId="4" fontId="3" fillId="6" borderId="1" pivotButton="0" quotePrefix="0" xfId="0"/>
    <xf numFmtId="0" fontId="7" fillId="6" borderId="1" pivotButton="0" quotePrefix="0" xfId="0"/>
    <xf numFmtId="164" fontId="7" fillId="3" borderId="5" pivotButton="0" quotePrefix="0" xfId="0"/>
    <xf numFmtId="1" fontId="7" fillId="3" borderId="5" pivotButton="0" quotePrefix="0" xfId="0"/>
    <xf numFmtId="17" fontId="5" fillId="6" borderId="5" pivotButton="0" quotePrefix="0" xfId="0"/>
    <xf numFmtId="164" fontId="3" fillId="2" borderId="5" pivotButton="0" quotePrefix="0" xfId="0"/>
    <xf numFmtId="1" fontId="5" fillId="6" borderId="5" pivotButton="0" quotePrefix="0" xfId="0"/>
    <xf numFmtId="0" fontId="9" fillId="5" borderId="5" applyAlignment="1" pivotButton="0" quotePrefix="0" xfId="0">
      <alignment horizontal="center" vertical="center" wrapText="1"/>
    </xf>
    <xf numFmtId="0" fontId="5" fillId="6" borderId="5" pivotButton="0" quotePrefix="0" xfId="0"/>
    <xf numFmtId="164" fontId="5" fillId="6" borderId="5" pivotButton="0" quotePrefix="0" xfId="0"/>
    <xf numFmtId="164" fontId="3" fillId="6" borderId="5" pivotButton="0" quotePrefix="0" xfId="0"/>
    <xf numFmtId="0" fontId="5" fillId="6" borderId="5" applyAlignment="1" pivotButton="0" quotePrefix="0" xfId="0">
      <alignment horizontal="center"/>
    </xf>
    <xf numFmtId="165" fontId="5" fillId="6" borderId="5" pivotButton="0" quotePrefix="0" xfId="0"/>
    <xf numFmtId="4" fontId="5" fillId="6" borderId="5" pivotButton="0" quotePrefix="0" xfId="0"/>
    <xf numFmtId="3" fontId="5" fillId="6" borderId="5" pivotButton="0" quotePrefix="0" xfId="0"/>
    <xf numFmtId="2" fontId="5" fillId="6" borderId="5" pivotButton="0" quotePrefix="0" xfId="0"/>
    <xf numFmtId="166" fontId="5" fillId="6" borderId="5" pivotButton="0" quotePrefix="0" xfId="0"/>
    <xf numFmtId="165" fontId="3" fillId="6" borderId="5" pivotButton="0" quotePrefix="0" xfId="0"/>
    <xf numFmtId="166" fontId="3" fillId="6" borderId="5" pivotButton="0" quotePrefix="0" xfId="0"/>
    <xf numFmtId="4" fontId="3" fillId="6" borderId="5" pivotButton="0" quotePrefix="0" xfId="0"/>
    <xf numFmtId="165" fontId="3" fillId="2" borderId="5" pivotButton="0" quotePrefix="0" xfId="0"/>
    <xf numFmtId="0" fontId="2" fillId="0" borderId="5" applyAlignment="1" pivotButton="0" quotePrefix="0" xfId="0">
      <alignment horizontal="center"/>
    </xf>
    <xf numFmtId="0" fontId="9" fillId="7" borderId="5" applyAlignment="1" pivotButton="0" quotePrefix="0" xfId="0">
      <alignment horizontal="center" vertical="center" wrapText="1"/>
    </xf>
    <xf numFmtId="167" fontId="5" fillId="6" borderId="5" pivotButton="0" quotePrefix="0" xfId="0"/>
    <xf numFmtId="0" fontId="0" fillId="0" borderId="4" pivotButton="0" quotePrefix="0" xfId="0"/>
    <xf numFmtId="0" fontId="7" fillId="4" borderId="5" pivotButton="0" quotePrefix="0" xfId="0"/>
    <xf numFmtId="0" fontId="7" fillId="3" borderId="5" pivotButton="0" quotePrefix="0" xfId="0"/>
    <xf numFmtId="4" fontId="7" fillId="3" borderId="5" pivotButton="0" quotePrefix="0" xfId="0"/>
    <xf numFmtId="168" fontId="5" fillId="6" borderId="5" pivotButton="0" quotePrefix="0" xfId="0"/>
    <xf numFmtId="10" fontId="3" fillId="2" borderId="5" pivotButton="0" quotePrefix="0" xfId="0"/>
    <xf numFmtId="3" fontId="7" fillId="3" borderId="5" pivotButton="0" quotePrefix="0" xfId="0"/>
    <xf numFmtId="169" fontId="5" fillId="6" borderId="5" pivotButton="0" quotePrefix="0" xfId="0"/>
    <xf numFmtId="3" fontId="3" fillId="6" borderId="5" pivotButton="0" quotePrefix="0" xfId="0"/>
    <xf numFmtId="3" fontId="3" fillId="2" borderId="5" pivotButton="0" quotePrefix="0" xfId="0"/>
    <xf numFmtId="170" fontId="2" fillId="0" borderId="0" pivotButton="0" quotePrefix="0" xfId="0"/>
    <xf numFmtId="171" fontId="2" fillId="0" borderId="0" pivotButton="0" quotePrefix="0" xfId="0"/>
    <xf numFmtId="0" fontId="3" fillId="2" borderId="5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5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9" fontId="7" fillId="2" borderId="5" pivotButton="0" quotePrefix="0" xfId="0"/>
    <xf numFmtId="1" fontId="7" fillId="2" borderId="5" pivotButton="0" quotePrefix="0" xfId="0"/>
    <xf numFmtId="0" fontId="3" fillId="5" borderId="1" applyAlignment="1" pivotButton="0" quotePrefix="0" xfId="0">
      <alignment horizontal="center"/>
    </xf>
    <xf numFmtId="2" fontId="5" fillId="6" borderId="5" applyAlignment="1" pivotButton="0" quotePrefix="0" xfId="0">
      <alignment horizontal="center"/>
    </xf>
    <xf numFmtId="165" fontId="5" fillId="6" borderId="5" applyAlignment="1" pivotButton="0" quotePrefix="0" xfId="0">
      <alignment horizontal="center"/>
    </xf>
    <xf numFmtId="165" fontId="10" fillId="6" borderId="5" applyAlignment="1" pivotButton="0" quotePrefix="0" xfId="0">
      <alignment horizontal="center"/>
    </xf>
    <xf numFmtId="4" fontId="10" fillId="6" borderId="5" applyAlignment="1" pivotButton="0" quotePrefix="0" xfId="0">
      <alignment horizontal="center"/>
    </xf>
    <xf numFmtId="166" fontId="3" fillId="6" borderId="5" applyAlignment="1" pivotButton="0" quotePrefix="0" xfId="0">
      <alignment horizontal="center"/>
    </xf>
    <xf numFmtId="0" fontId="5" fillId="6" borderId="0" pivotButton="0" quotePrefix="0" xfId="0"/>
    <xf numFmtId="0" fontId="2" fillId="6" borderId="0" pivotButton="0" quotePrefix="0" xfId="0"/>
    <xf numFmtId="167" fontId="3" fillId="2" borderId="5" applyAlignment="1" pivotButton="0" quotePrefix="0" xfId="0">
      <alignment horizontal="center"/>
    </xf>
    <xf numFmtId="167" fontId="5" fillId="6" borderId="5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67" fontId="3" fillId="6" borderId="5" pivotButton="0" quotePrefix="0" xfId="0"/>
    <xf numFmtId="168" fontId="5" fillId="6" borderId="5" pivotButton="0" quotePrefix="0" xfId="0"/>
    <xf numFmtId="169" fontId="5" fillId="6" borderId="5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00" customWidth="1" min="3" max="3"/>
  </cols>
  <sheetData>
    <row r="2">
      <c r="B2" s="1" t="inlineStr">
        <is>
          <t>AUSTRALIA DIVIDEND &amp; FRANKING STUDY</t>
        </is>
      </c>
    </row>
    <row r="3">
      <c r="B3" s="2" t="inlineStr">
        <is>
          <t>S&amp;P/ASX 200 (AS51) and MSCI Australia (MXAU)  |  Bloomberg BDP / BDS  |  v4</t>
        </is>
      </c>
    </row>
    <row r="5">
      <c r="B5" s="3" t="inlineStr">
        <is>
          <t>HOW TO USE</t>
        </is>
      </c>
    </row>
    <row r="6">
      <c r="B6" s="4" t="inlineStr">
        <is>
          <t>1.</t>
        </is>
      </c>
      <c r="C6" s="5" t="inlineStr">
        <is>
          <t>Paste INDEX SHARES into column B and the INDEX DIVISOR into B3 on the AS51 and MXAU tabs (blue cells).</t>
        </is>
      </c>
    </row>
    <row r="7">
      <c r="B7" s="4" t="inlineStr">
        <is>
          <t>2.</t>
        </is>
      </c>
      <c r="C7" s="5" t="inlineStr">
        <is>
          <t>On Expiries, set the valuation date and how many monthly contracts you want (13 = a full year).</t>
        </is>
      </c>
    </row>
    <row r="8">
      <c r="B8" s="4" t="inlineStr">
        <is>
          <t>3.</t>
        </is>
      </c>
      <c r="C8" s="5" t="inlineStr">
        <is>
          <t>On a Bloomberg terminal: Ctrl+Alt+F9. First refresh runs ~290 BDS pulls - give it a minute.</t>
        </is>
      </c>
    </row>
    <row r="9">
      <c r="B9" s="4" t="inlineStr">
        <is>
          <t>4.</t>
        </is>
      </c>
      <c r="C9" s="5" t="inlineStr">
        <is>
          <t>Read Div by Expiry: DPS points and yield per contract for both indices, the cash spread in column N, and the franking view below it.</t>
        </is>
      </c>
    </row>
    <row r="10">
      <c r="B10" s="4" t="inlineStr">
        <is>
          <t>5.</t>
        </is>
      </c>
      <c r="C10" s="5" t="inlineStr">
        <is>
          <t>If a number looks wrong: checks on Dvd Calendar row 3, then the Gap row on Index Summary (divisor check).</t>
        </is>
      </c>
    </row>
    <row r="12">
      <c r="B12" s="3" t="inlineStr">
        <is>
          <t>WHAT CHANGED IN V4</t>
        </is>
      </c>
    </row>
    <row r="13">
      <c r="B13" s="4" t="inlineStr">
        <is>
          <t>One dividend source</t>
        </is>
      </c>
      <c r="C13" s="5" t="inlineStr">
        <is>
          <t>BDVD_ALL_PROJECTIONS returns the full projected schedule (it runs years out), pulled once per stock on Dvd Calendar. The projected/history pair and the growth band are gone - Bloomberg's projection already covers every contract.</t>
        </is>
      </c>
    </row>
    <row r="14">
      <c r="B14" s="4" t="inlineStr">
        <is>
          <t>Weights from your shares</t>
        </is>
      </c>
      <c r="C14" s="5" t="inlineStr">
        <is>
          <t>INDX_MWEIGHT needs an entitlement we do not have. Column A now pulls members only (INDX_MEMBERS); you paste index shares; dividend points = shares x DPS x FX / divisor. No per-stock prices, no market cap anywhere.</t>
        </is>
      </c>
    </row>
    <row r="15">
      <c r="B15" s="4" t="inlineStr">
        <is>
          <t>Franking by contract</t>
        </is>
      </c>
      <c r="C15" s="5" t="inlineStr">
        <is>
          <t>Accrual carries a franked band (gross x company franked %, blank = 100%). Div by Expiry turns it into credit points, grossed-up yield and a grossed spread per contract.</t>
        </is>
      </c>
    </row>
    <row r="16">
      <c r="B16" s="4" t="inlineStr">
        <is>
          <t>Index yield field</t>
        </is>
      </c>
      <c r="C16" s="5" t="inlineStr">
        <is>
          <t>EQY_DVD_YLD_IND is N/A at index level, so Index Summary reconciles EQY_DVD_YLD_12M against bottom-up 12M points - that gap row is also the divisor sanity check.</t>
        </is>
      </c>
    </row>
    <row r="17">
      <c r="B17" s="4" t="inlineStr">
        <is>
          <t>Simpler engine tabs</t>
        </is>
      </c>
      <c r="C17" s="5" t="inlineStr">
        <is>
          <t>Dvd Calendar: one pull per stock, two rows each. Accrual: one row per stock, one column per contract, two bands. The formula is on each tab's subtitle.</t>
        </is>
      </c>
    </row>
    <row r="18">
      <c r="B18" s="4" t="inlineStr">
        <is>
          <t>Removed</t>
        </is>
      </c>
      <c r="C18" s="5" t="inlineStr">
        <is>
          <t>Dvd History tab (DVD_HIST_ALL carries no franking and fed nothing), franking-scale input (field returns 100, hardcoded), currency assumption cell (now per data tab).</t>
        </is>
      </c>
    </row>
    <row r="19">
      <c r="B19" s="3" t="n"/>
    </row>
    <row r="20">
      <c r="B20" s="3" t="inlineStr">
        <is>
          <t>TABS</t>
        </is>
      </c>
      <c r="C20" s="5" t="n"/>
    </row>
    <row r="21">
      <c r="B21" s="4" t="inlineStr">
        <is>
          <t>Expiries</t>
        </is>
      </c>
      <c r="C21" s="5" t="inlineStr">
        <is>
          <t>Master control: valuation date, contract count, expiry dates with per-contract overrides.</t>
        </is>
      </c>
    </row>
    <row r="22">
      <c r="B22" s="4" t="inlineStr">
        <is>
          <t>Div by Expiry</t>
        </is>
      </c>
      <c r="C22" s="5" t="inlineStr">
        <is>
          <t>THE OUTPUT. Per contract: DPS points and yield, cash spread, franking credit value.</t>
        </is>
      </c>
    </row>
    <row r="23">
      <c r="B23" s="4" t="inlineStr">
        <is>
          <t>Dvd Calendar / Accrual</t>
        </is>
      </c>
      <c r="C23" s="5" t="inlineStr">
        <is>
          <t>Engine room - you should not need to edit either. Calendar holds the raw Bloomberg pulls; Accrual buckets them per stock per contract.</t>
        </is>
      </c>
    </row>
    <row r="24">
      <c r="B24" s="4" t="inlineStr">
        <is>
          <t>AS51 / MXAU</t>
        </is>
      </c>
      <c r="C24" s="5" t="inlineStr">
        <is>
          <t>Members, YOUR pasted shares and divisor, reference 12M yields, franking. Column B and B3 are the only things you touch.</t>
        </is>
      </c>
    </row>
    <row r="25">
      <c r="B25" s="4" t="inlineStr">
        <is>
          <t>Index Summary / Sector</t>
        </is>
      </c>
      <c r="C25" s="5" t="inlineStr">
        <is>
          <t>Reference, 12M basis: reconciliation vs Bloomberg, franked split, gross-up, sector cut.</t>
        </is>
      </c>
    </row>
    <row r="26">
      <c r="B26" s="4" t="inlineStr">
        <is>
          <t>Field Check</t>
        </is>
      </c>
      <c r="C26" s="5" t="inlineStr">
        <is>
          <t>Field mnemonics plus a live sample of the exact projection pull.</t>
        </is>
      </c>
    </row>
    <row r="27">
      <c r="B27" s="5" t="n"/>
      <c r="C27" s="2" t="n"/>
    </row>
    <row r="28">
      <c r="B28" s="3" t="inlineStr">
        <is>
          <t>STILL TRUE</t>
        </is>
      </c>
      <c r="C28" s="2" t="n"/>
    </row>
    <row r="29">
      <c r="B29" s="4" t="inlineStr">
        <is>
          <t>Terminal + Ctrl+Alt+F9</t>
        </is>
      </c>
      <c r="C29" s="2" t="inlineStr">
        <is>
          <t>Off-terminal everything reads as a name error - that is the add-in, not the sheet.</t>
        </is>
      </c>
    </row>
    <row r="30">
      <c r="B30" s="4" t="inlineStr">
        <is>
          <t>Percentages are not fractions</t>
        </is>
      </c>
      <c r="C30" s="2" t="inlineStr">
        <is>
          <t>Bloomberg returns 3.85 meaning 3.85%. Raw columns keep that convention.</t>
        </is>
      </c>
    </row>
    <row r="31">
      <c r="B31" s="4" t="inlineStr">
        <is>
          <t>Non-payers stay in</t>
        </is>
      </c>
      <c r="C31" s="2" t="inlineStr">
        <is>
          <t>Zero dividend, full membership. Deleting them would overstate the index yield.</t>
        </is>
      </c>
    </row>
    <row r="32">
      <c r="B32" s="4" t="inlineStr">
        <is>
          <t>Franking is per dividend</t>
        </is>
      </c>
      <c r="C32" s="2" t="inlineStr">
        <is>
          <t>The company-level field is a proxy (per-event franking is not retrievable via BDS), so the franked split leans on it.</t>
        </is>
      </c>
    </row>
    <row r="33">
      <c r="B33" s="4" t="inlineStr">
        <is>
          <t>Members are a live snapshot</t>
        </is>
      </c>
      <c r="C33" s="2" t="inlineStr">
        <is>
          <t>A refresh can reshuffle the member list. Your pasted shares do not reshuffle with it - re-check alignment after index reviews.</t>
        </is>
      </c>
    </row>
    <row r="34">
      <c r="B34" s="7" t="n"/>
      <c r="C34" s="2" t="n"/>
    </row>
    <row r="35">
      <c r="B35" s="3" t="inlineStr">
        <is>
          <t>COLOUR KEY</t>
        </is>
      </c>
      <c r="C35" s="2" t="n"/>
    </row>
    <row r="36">
      <c r="B36" s="7" t="inlineStr">
        <is>
          <t>Blue text</t>
        </is>
      </c>
      <c r="C36" s="2" t="inlineStr">
        <is>
          <t>Hardcoded input - safe to edit.</t>
        </is>
      </c>
    </row>
    <row r="37">
      <c r="B37" s="9" t="inlineStr">
        <is>
          <t>Black text</t>
        </is>
      </c>
      <c r="C37" s="2" t="inlineStr">
        <is>
          <t>Formula - do not overwrite.</t>
        </is>
      </c>
    </row>
    <row r="38">
      <c r="B38" s="5" t="inlineStr">
        <is>
          <t>Green text</t>
        </is>
      </c>
      <c r="C38" s="2" t="inlineStr">
        <is>
          <t>Link to another tab.</t>
        </is>
      </c>
    </row>
    <row r="39">
      <c r="B39" s="5" t="inlineStr">
        <is>
          <t>Yellow fill</t>
        </is>
      </c>
      <c r="C39" s="2" t="inlineStr">
        <is>
          <t>Key assumption or check - read before quoting.</t>
        </is>
      </c>
    </row>
    <row r="40">
      <c r="B40" s="7" t="n"/>
      <c r="C40" s="2" t="n"/>
    </row>
    <row r="41">
      <c r="B41" s="3" t="inlineStr">
        <is>
          <t>ASSUMPTIONS</t>
        </is>
      </c>
      <c r="C41" s="2" t="n"/>
    </row>
    <row r="42">
      <c r="B42" s="4" t="inlineStr">
        <is>
          <t>Corporate tax 30%</t>
        </is>
      </c>
      <c r="C42" s="2" t="inlineStr">
        <is>
          <t>Gross-up rate, 'Index Summary'!C6.</t>
        </is>
      </c>
    </row>
    <row r="43">
      <c r="B43" s="4" t="inlineStr">
        <is>
          <t>Blank franking = 100%</t>
        </is>
      </c>
      <c r="C43" s="2" t="inlineStr">
        <is>
          <t>'Index Summary'!C7. NZ names (CNU, FPH, IFT) carry NZ credits, not Australian franking - your call, kept visible.</t>
        </is>
      </c>
    </row>
    <row r="44">
      <c r="B44" s="4" t="inlineStr">
        <is>
          <t>Reference yields = trailing 12M</t>
        </is>
      </c>
      <c r="C44" s="2" t="inlineStr">
        <is>
          <t>Matches the index-level field that works. The arb numbers use projected period dividends instead.</t>
        </is>
      </c>
    </row>
    <row r="45">
      <c r="B45" s="4" t="inlineStr">
        <is>
          <t>Dividends converted per index</t>
        </is>
      </c>
      <c r="C45" s="2" t="inlineStr">
        <is>
          <t>Declared currency -&gt; index currency (D2 on each data tab) via the Dvd FX column; AUD DPS reference converts via D3.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6" customWidth="1" min="4" max="4"/>
    <col width="13" customWidth="1" min="5" max="5"/>
    <col width="15" customWidth="1" min="6" max="6"/>
    <col width="16" customWidth="1" min="7" max="7"/>
    <col width="13" customWidth="1" min="8" max="8"/>
    <col width="15" customWidth="1" min="9" max="9"/>
    <col width="16" customWidth="1" min="10" max="10"/>
    <col width="16" customWidth="1" min="11" max="11"/>
    <col width="12" customWidth="1" min="12" max="12"/>
    <col width="4" customWidth="1" min="13" max="13"/>
    <col width="64" customWidth="1" min="14" max="14"/>
  </cols>
  <sheetData>
    <row r="2">
      <c r="B2" s="1" t="inlineStr">
        <is>
          <t>CONTRACT EXPIRY CALENDAR - MASTER CONTROL</t>
        </is>
      </c>
    </row>
    <row r="3">
      <c r="B3" s="2" t="inlineStr">
        <is>
          <t>Everything downstream keys off this tab. Change the two inputs here, nothing else.</t>
        </is>
      </c>
    </row>
    <row r="5">
      <c r="B5" s="3" t="inlineStr">
        <is>
          <t>INPUTS</t>
        </is>
      </c>
    </row>
    <row r="6">
      <c r="B6" s="5" t="inlineStr">
        <is>
          <t>Valuation date</t>
        </is>
      </c>
      <c r="C6" s="48">
        <f>TODAY()</f>
        <v/>
      </c>
      <c r="N6" s="2" t="inlineStr">
        <is>
          <t>Today by default. Type a date to freeze the study.</t>
        </is>
      </c>
    </row>
    <row r="7">
      <c r="B7" s="5" t="inlineStr">
        <is>
          <t>Contracts to build</t>
        </is>
      </c>
      <c r="C7" s="49" t="n">
        <v>13</v>
      </c>
      <c r="N7" s="2" t="inlineStr">
        <is>
          <t>13 = a full year of monthly expiries. Max 16.</t>
        </is>
      </c>
    </row>
    <row r="9">
      <c r="B9" s="3" t="inlineStr">
        <is>
          <t>AUTO</t>
        </is>
      </c>
    </row>
    <row r="10">
      <c r="B10" s="5" t="inlineStr">
        <is>
          <t>First contract month</t>
        </is>
      </c>
      <c r="C10" s="50">
        <f>IF(DATE(YEAR($C$6),MONTH($C$6),1)+MOD(5-WEEKDAY(DATE(YEAR($C$6),MONTH($C$6),1),1)+7,7)+14&gt;=$C$6,DATE(YEAR($C$6),MONTH($C$6),1),EDATE(DATE(YEAR($C$6),MONTH($C$6),1),1))</f>
        <v/>
      </c>
      <c r="N10" s="2" t="inlineStr">
        <is>
          <t>Rolls to the next month once the front expiry has passed.</t>
        </is>
      </c>
    </row>
    <row r="11">
      <c r="B11" s="5" t="inlineStr">
        <is>
          <t>Projections run to</t>
        </is>
      </c>
      <c r="C11" s="51">
        <f>'Dvd Calendar'!$K$3</f>
        <v/>
      </c>
      <c r="N11" s="2" t="inlineStr">
        <is>
          <t>Last projected ex-date found in the data. Contracts expiring after it are flagged CHECK.</t>
        </is>
      </c>
    </row>
    <row r="12">
      <c r="B12" s="5" t="inlineStr">
        <is>
          <t>Contracts covered</t>
        </is>
      </c>
      <c r="C12" s="52">
        <f>COUNTIF($L$16:$L$31,"OK")</f>
        <v/>
      </c>
    </row>
    <row r="13">
      <c r="B13" s="5" t="inlineStr">
        <is>
          <t>Contracts flagged CHECK</t>
        </is>
      </c>
      <c r="C13" s="52">
        <f>COUNTIF($L$16:$L$31,"CHECK")</f>
        <v/>
      </c>
      <c r="N13" s="2" t="inlineStr">
        <is>
          <t>CHECK = Bloomberg's projections stop before that expiry, so its dividends are understated.</t>
        </is>
      </c>
    </row>
    <row r="15">
      <c r="B15" s="53" t="inlineStr">
        <is>
          <t>#</t>
        </is>
      </c>
      <c r="C15" s="53" t="inlineStr">
        <is>
          <t>Contract</t>
        </is>
      </c>
      <c r="D15" s="53" t="inlineStr">
        <is>
          <t>AS51 expiry
(auto 3rd Thu)</t>
        </is>
      </c>
      <c r="E15" s="53" t="inlineStr">
        <is>
          <t>Override</t>
        </is>
      </c>
      <c r="F15" s="53" t="inlineStr">
        <is>
          <t>AS51 EXPIRY</t>
        </is>
      </c>
      <c r="G15" s="53" t="inlineStr">
        <is>
          <t>MXAU expiry
(auto 3rd Fri)</t>
        </is>
      </c>
      <c r="H15" s="53" t="inlineStr">
        <is>
          <t>Override</t>
        </is>
      </c>
      <c r="I15" s="53" t="inlineStr">
        <is>
          <t>MXAU EXPIRY</t>
        </is>
      </c>
      <c r="J15" s="53" t="inlineStr">
        <is>
          <t>AS51 window
start</t>
        </is>
      </c>
      <c r="K15" s="53" t="inlineStr">
        <is>
          <t>MXAU window
start</t>
        </is>
      </c>
      <c r="L15" s="53" t="inlineStr">
        <is>
          <t>Covered?</t>
        </is>
      </c>
      <c r="N15" s="2" t="inlineStr">
        <is>
          <t>Blue cells are optional. Fill one only if your contract expires on a different day.</t>
        </is>
      </c>
    </row>
    <row r="16">
      <c r="B16" s="52">
        <f>IF(1&gt;$C$7,"",1)</f>
        <v/>
      </c>
      <c r="C16" s="54">
        <f>IF($B16="","",UPPER(TEXT(EDATE($C$10,$B16-1),"mmmyy")))</f>
        <v/>
      </c>
      <c r="D16" s="55">
        <f>IF($B16="","",EDATE($C$10,$B16-1)+MOD(5-WEEKDAY(EDATE($C$10,$B16-1),1)+7,7)+14)</f>
        <v/>
      </c>
      <c r="E16" s="48" t="n"/>
      <c r="F16" s="56">
        <f>IF($B16="","",IF($E16="",$D16,$E16))</f>
        <v/>
      </c>
      <c r="G16" s="55">
        <f>IF($B16="","",EDATE($C$10,$B16-1)+MOD(6-WEEKDAY(EDATE($C$10,$B16-1),1)+7,7)+14)</f>
        <v/>
      </c>
      <c r="H16" s="48" t="n"/>
      <c r="I16" s="56">
        <f>IF($B16="","",IF($H16="",$G16,$H16))</f>
        <v/>
      </c>
      <c r="J16" s="55">
        <f>IF($B16="","",IF($B16=1,$C$6,$F15))</f>
        <v/>
      </c>
      <c r="K16" s="55">
        <f>IF($B16="","",IF($B16=1,$C$6,$I15))</f>
        <v/>
      </c>
      <c r="L16" s="57">
        <f>IF($B16="","",IF($C$11="","CHECK",IF($F16&lt;=$C$11,"OK","CHECK")))</f>
        <v/>
      </c>
    </row>
    <row r="17">
      <c r="B17" s="52">
        <f>IF(2&gt;$C$7,"",2)</f>
        <v/>
      </c>
      <c r="C17" s="54">
        <f>IF($B17="","",UPPER(TEXT(EDATE($C$10,$B17-1),"mmmyy")))</f>
        <v/>
      </c>
      <c r="D17" s="55">
        <f>IF($B17="","",EDATE($C$10,$B17-1)+MOD(5-WEEKDAY(EDATE($C$10,$B17-1),1)+7,7)+14)</f>
        <v/>
      </c>
      <c r="E17" s="48" t="n"/>
      <c r="F17" s="56">
        <f>IF($B17="","",IF($E17="",$D17,$E17))</f>
        <v/>
      </c>
      <c r="G17" s="55">
        <f>IF($B17="","",EDATE($C$10,$B17-1)+MOD(6-WEEKDAY(EDATE($C$10,$B17-1),1)+7,7)+14)</f>
        <v/>
      </c>
      <c r="H17" s="48" t="n"/>
      <c r="I17" s="56">
        <f>IF($B17="","",IF($H17="",$G17,$H17))</f>
        <v/>
      </c>
      <c r="J17" s="55">
        <f>IF($B17="","",IF($B17=1,$C$6,$F16))</f>
        <v/>
      </c>
      <c r="K17" s="55">
        <f>IF($B17="","",IF($B17=1,$C$6,$I16))</f>
        <v/>
      </c>
      <c r="L17" s="57">
        <f>IF($B17="","",IF($C$11="","CHECK",IF($F17&lt;=$C$11,"OK","CHECK")))</f>
        <v/>
      </c>
    </row>
    <row r="18">
      <c r="B18" s="52">
        <f>IF(3&gt;$C$7,"",3)</f>
        <v/>
      </c>
      <c r="C18" s="54">
        <f>IF($B18="","",UPPER(TEXT(EDATE($C$10,$B18-1),"mmmyy")))</f>
        <v/>
      </c>
      <c r="D18" s="55">
        <f>IF($B18="","",EDATE($C$10,$B18-1)+MOD(5-WEEKDAY(EDATE($C$10,$B18-1),1)+7,7)+14)</f>
        <v/>
      </c>
      <c r="E18" s="48" t="n"/>
      <c r="F18" s="56">
        <f>IF($B18="","",IF($E18="",$D18,$E18))</f>
        <v/>
      </c>
      <c r="G18" s="55">
        <f>IF($B18="","",EDATE($C$10,$B18-1)+MOD(6-WEEKDAY(EDATE($C$10,$B18-1),1)+7,7)+14)</f>
        <v/>
      </c>
      <c r="H18" s="48" t="n"/>
      <c r="I18" s="56">
        <f>IF($B18="","",IF($H18="",$G18,$H18))</f>
        <v/>
      </c>
      <c r="J18" s="55">
        <f>IF($B18="","",IF($B18=1,$C$6,$F17))</f>
        <v/>
      </c>
      <c r="K18" s="55">
        <f>IF($B18="","",IF($B18=1,$C$6,$I17))</f>
        <v/>
      </c>
      <c r="L18" s="57">
        <f>IF($B18="","",IF($C$11="","CHECK",IF($F18&lt;=$C$11,"OK","CHECK")))</f>
        <v/>
      </c>
    </row>
    <row r="19">
      <c r="B19" s="52">
        <f>IF(4&gt;$C$7,"",4)</f>
        <v/>
      </c>
      <c r="C19" s="54">
        <f>IF($B19="","",UPPER(TEXT(EDATE($C$10,$B19-1),"mmmyy")))</f>
        <v/>
      </c>
      <c r="D19" s="55">
        <f>IF($B19="","",EDATE($C$10,$B19-1)+MOD(5-WEEKDAY(EDATE($C$10,$B19-1),1)+7,7)+14)</f>
        <v/>
      </c>
      <c r="E19" s="48" t="n"/>
      <c r="F19" s="56">
        <f>IF($B19="","",IF($E19="",$D19,$E19))</f>
        <v/>
      </c>
      <c r="G19" s="55">
        <f>IF($B19="","",EDATE($C$10,$B19-1)+MOD(6-WEEKDAY(EDATE($C$10,$B19-1),1)+7,7)+14)</f>
        <v/>
      </c>
      <c r="H19" s="48" t="n"/>
      <c r="I19" s="56">
        <f>IF($B19="","",IF($H19="",$G19,$H19))</f>
        <v/>
      </c>
      <c r="J19" s="55">
        <f>IF($B19="","",IF($B19=1,$C$6,$F18))</f>
        <v/>
      </c>
      <c r="K19" s="55">
        <f>IF($B19="","",IF($B19=1,$C$6,$I18))</f>
        <v/>
      </c>
      <c r="L19" s="57">
        <f>IF($B19="","",IF($C$11="","CHECK",IF($F19&lt;=$C$11,"OK","CHECK")))</f>
        <v/>
      </c>
    </row>
    <row r="20">
      <c r="B20" s="52">
        <f>IF(5&gt;$C$7,"",5)</f>
        <v/>
      </c>
      <c r="C20" s="54">
        <f>IF($B20="","",UPPER(TEXT(EDATE($C$10,$B20-1),"mmmyy")))</f>
        <v/>
      </c>
      <c r="D20" s="55">
        <f>IF($B20="","",EDATE($C$10,$B20-1)+MOD(5-WEEKDAY(EDATE($C$10,$B20-1),1)+7,7)+14)</f>
        <v/>
      </c>
      <c r="E20" s="48" t="n"/>
      <c r="F20" s="56">
        <f>IF($B20="","",IF($E20="",$D20,$E20))</f>
        <v/>
      </c>
      <c r="G20" s="55">
        <f>IF($B20="","",EDATE($C$10,$B20-1)+MOD(6-WEEKDAY(EDATE($C$10,$B20-1),1)+7,7)+14)</f>
        <v/>
      </c>
      <c r="H20" s="48" t="n"/>
      <c r="I20" s="56">
        <f>IF($B20="","",IF($H20="",$G20,$H20))</f>
        <v/>
      </c>
      <c r="J20" s="55">
        <f>IF($B20="","",IF($B20=1,$C$6,$F19))</f>
        <v/>
      </c>
      <c r="K20" s="55">
        <f>IF($B20="","",IF($B20=1,$C$6,$I19))</f>
        <v/>
      </c>
      <c r="L20" s="57">
        <f>IF($B20="","",IF($C$11="","CHECK",IF($F20&lt;=$C$11,"OK","CHECK")))</f>
        <v/>
      </c>
    </row>
    <row r="21">
      <c r="B21" s="52">
        <f>IF(6&gt;$C$7,"",6)</f>
        <v/>
      </c>
      <c r="C21" s="54">
        <f>IF($B21="","",UPPER(TEXT(EDATE($C$10,$B21-1),"mmmyy")))</f>
        <v/>
      </c>
      <c r="D21" s="55">
        <f>IF($B21="","",EDATE($C$10,$B21-1)+MOD(5-WEEKDAY(EDATE($C$10,$B21-1),1)+7,7)+14)</f>
        <v/>
      </c>
      <c r="E21" s="48" t="n"/>
      <c r="F21" s="56">
        <f>IF($B21="","",IF($E21="",$D21,$E21))</f>
        <v/>
      </c>
      <c r="G21" s="55">
        <f>IF($B21="","",EDATE($C$10,$B21-1)+MOD(6-WEEKDAY(EDATE($C$10,$B21-1),1)+7,7)+14)</f>
        <v/>
      </c>
      <c r="H21" s="48" t="n"/>
      <c r="I21" s="56">
        <f>IF($B21="","",IF($H21="",$G21,$H21))</f>
        <v/>
      </c>
      <c r="J21" s="55">
        <f>IF($B21="","",IF($B21=1,$C$6,$F20))</f>
        <v/>
      </c>
      <c r="K21" s="55">
        <f>IF($B21="","",IF($B21=1,$C$6,$I20))</f>
        <v/>
      </c>
      <c r="L21" s="57">
        <f>IF($B21="","",IF($C$11="","CHECK",IF($F21&lt;=$C$11,"OK","CHECK")))</f>
        <v/>
      </c>
    </row>
    <row r="22">
      <c r="B22" s="52">
        <f>IF(7&gt;$C$7,"",7)</f>
        <v/>
      </c>
      <c r="C22" s="54">
        <f>IF($B22="","",UPPER(TEXT(EDATE($C$10,$B22-1),"mmmyy")))</f>
        <v/>
      </c>
      <c r="D22" s="55">
        <f>IF($B22="","",EDATE($C$10,$B22-1)+MOD(5-WEEKDAY(EDATE($C$10,$B22-1),1)+7,7)+14)</f>
        <v/>
      </c>
      <c r="E22" s="48" t="n"/>
      <c r="F22" s="56">
        <f>IF($B22="","",IF($E22="",$D22,$E22))</f>
        <v/>
      </c>
      <c r="G22" s="55">
        <f>IF($B22="","",EDATE($C$10,$B22-1)+MOD(6-WEEKDAY(EDATE($C$10,$B22-1),1)+7,7)+14)</f>
        <v/>
      </c>
      <c r="H22" s="48" t="n"/>
      <c r="I22" s="56">
        <f>IF($B22="","",IF($H22="",$G22,$H22))</f>
        <v/>
      </c>
      <c r="J22" s="55">
        <f>IF($B22="","",IF($B22=1,$C$6,$F21))</f>
        <v/>
      </c>
      <c r="K22" s="55">
        <f>IF($B22="","",IF($B22=1,$C$6,$I21))</f>
        <v/>
      </c>
      <c r="L22" s="57">
        <f>IF($B22="","",IF($C$11="","CHECK",IF($F22&lt;=$C$11,"OK","CHECK")))</f>
        <v/>
      </c>
    </row>
    <row r="23">
      <c r="B23" s="52">
        <f>IF(8&gt;$C$7,"",8)</f>
        <v/>
      </c>
      <c r="C23" s="54">
        <f>IF($B23="","",UPPER(TEXT(EDATE($C$10,$B23-1),"mmmyy")))</f>
        <v/>
      </c>
      <c r="D23" s="55">
        <f>IF($B23="","",EDATE($C$10,$B23-1)+MOD(5-WEEKDAY(EDATE($C$10,$B23-1),1)+7,7)+14)</f>
        <v/>
      </c>
      <c r="E23" s="48" t="n"/>
      <c r="F23" s="56">
        <f>IF($B23="","",IF($E23="",$D23,$E23))</f>
        <v/>
      </c>
      <c r="G23" s="55">
        <f>IF($B23="","",EDATE($C$10,$B23-1)+MOD(6-WEEKDAY(EDATE($C$10,$B23-1),1)+7,7)+14)</f>
        <v/>
      </c>
      <c r="H23" s="48" t="n"/>
      <c r="I23" s="56">
        <f>IF($B23="","",IF($H23="",$G23,$H23))</f>
        <v/>
      </c>
      <c r="J23" s="55">
        <f>IF($B23="","",IF($B23=1,$C$6,$F22))</f>
        <v/>
      </c>
      <c r="K23" s="55">
        <f>IF($B23="","",IF($B23=1,$C$6,$I22))</f>
        <v/>
      </c>
      <c r="L23" s="57">
        <f>IF($B23="","",IF($C$11="","CHECK",IF($F23&lt;=$C$11,"OK","CHECK")))</f>
        <v/>
      </c>
    </row>
    <row r="24">
      <c r="B24" s="52">
        <f>IF(9&gt;$C$7,"",9)</f>
        <v/>
      </c>
      <c r="C24" s="54">
        <f>IF($B24="","",UPPER(TEXT(EDATE($C$10,$B24-1),"mmmyy")))</f>
        <v/>
      </c>
      <c r="D24" s="55">
        <f>IF($B24="","",EDATE($C$10,$B24-1)+MOD(5-WEEKDAY(EDATE($C$10,$B24-1),1)+7,7)+14)</f>
        <v/>
      </c>
      <c r="E24" s="48" t="n"/>
      <c r="F24" s="56">
        <f>IF($B24="","",IF($E24="",$D24,$E24))</f>
        <v/>
      </c>
      <c r="G24" s="55">
        <f>IF($B24="","",EDATE($C$10,$B24-1)+MOD(6-WEEKDAY(EDATE($C$10,$B24-1),1)+7,7)+14)</f>
        <v/>
      </c>
      <c r="H24" s="48" t="n"/>
      <c r="I24" s="56">
        <f>IF($B24="","",IF($H24="",$G24,$H24))</f>
        <v/>
      </c>
      <c r="J24" s="55">
        <f>IF($B24="","",IF($B24=1,$C$6,$F23))</f>
        <v/>
      </c>
      <c r="K24" s="55">
        <f>IF($B24="","",IF($B24=1,$C$6,$I23))</f>
        <v/>
      </c>
      <c r="L24" s="57">
        <f>IF($B24="","",IF($C$11="","CHECK",IF($F24&lt;=$C$11,"OK","CHECK")))</f>
        <v/>
      </c>
    </row>
    <row r="25">
      <c r="B25" s="52">
        <f>IF(10&gt;$C$7,"",10)</f>
        <v/>
      </c>
      <c r="C25" s="54">
        <f>IF($B25="","",UPPER(TEXT(EDATE($C$10,$B25-1),"mmmyy")))</f>
        <v/>
      </c>
      <c r="D25" s="55">
        <f>IF($B25="","",EDATE($C$10,$B25-1)+MOD(5-WEEKDAY(EDATE($C$10,$B25-1),1)+7,7)+14)</f>
        <v/>
      </c>
      <c r="E25" s="48" t="n"/>
      <c r="F25" s="56">
        <f>IF($B25="","",IF($E25="",$D25,$E25))</f>
        <v/>
      </c>
      <c r="G25" s="55">
        <f>IF($B25="","",EDATE($C$10,$B25-1)+MOD(6-WEEKDAY(EDATE($C$10,$B25-1),1)+7,7)+14)</f>
        <v/>
      </c>
      <c r="H25" s="48" t="n"/>
      <c r="I25" s="56">
        <f>IF($B25="","",IF($H25="",$G25,$H25))</f>
        <v/>
      </c>
      <c r="J25" s="55">
        <f>IF($B25="","",IF($B25=1,$C$6,$F24))</f>
        <v/>
      </c>
      <c r="K25" s="55">
        <f>IF($B25="","",IF($B25=1,$C$6,$I24))</f>
        <v/>
      </c>
      <c r="L25" s="57">
        <f>IF($B25="","",IF($C$11="","CHECK",IF($F25&lt;=$C$11,"OK","CHECK")))</f>
        <v/>
      </c>
    </row>
    <row r="26">
      <c r="B26" s="52">
        <f>IF(11&gt;$C$7,"",11)</f>
        <v/>
      </c>
      <c r="C26" s="54">
        <f>IF($B26="","",UPPER(TEXT(EDATE($C$10,$B26-1),"mmmyy")))</f>
        <v/>
      </c>
      <c r="D26" s="55">
        <f>IF($B26="","",EDATE($C$10,$B26-1)+MOD(5-WEEKDAY(EDATE($C$10,$B26-1),1)+7,7)+14)</f>
        <v/>
      </c>
      <c r="E26" s="48" t="n"/>
      <c r="F26" s="56">
        <f>IF($B26="","",IF($E26="",$D26,$E26))</f>
        <v/>
      </c>
      <c r="G26" s="55">
        <f>IF($B26="","",EDATE($C$10,$B26-1)+MOD(6-WEEKDAY(EDATE($C$10,$B26-1),1)+7,7)+14)</f>
        <v/>
      </c>
      <c r="H26" s="48" t="n"/>
      <c r="I26" s="56">
        <f>IF($B26="","",IF($H26="",$G26,$H26))</f>
        <v/>
      </c>
      <c r="J26" s="55">
        <f>IF($B26="","",IF($B26=1,$C$6,$F25))</f>
        <v/>
      </c>
      <c r="K26" s="55">
        <f>IF($B26="","",IF($B26=1,$C$6,$I25))</f>
        <v/>
      </c>
      <c r="L26" s="57">
        <f>IF($B26="","",IF($C$11="","CHECK",IF($F26&lt;=$C$11,"OK","CHECK")))</f>
        <v/>
      </c>
    </row>
    <row r="27">
      <c r="B27" s="52">
        <f>IF(12&gt;$C$7,"",12)</f>
        <v/>
      </c>
      <c r="C27" s="54">
        <f>IF($B27="","",UPPER(TEXT(EDATE($C$10,$B27-1),"mmmyy")))</f>
        <v/>
      </c>
      <c r="D27" s="55">
        <f>IF($B27="","",EDATE($C$10,$B27-1)+MOD(5-WEEKDAY(EDATE($C$10,$B27-1),1)+7,7)+14)</f>
        <v/>
      </c>
      <c r="E27" s="48" t="n"/>
      <c r="F27" s="56">
        <f>IF($B27="","",IF($E27="",$D27,$E27))</f>
        <v/>
      </c>
      <c r="G27" s="55">
        <f>IF($B27="","",EDATE($C$10,$B27-1)+MOD(6-WEEKDAY(EDATE($C$10,$B27-1),1)+7,7)+14)</f>
        <v/>
      </c>
      <c r="H27" s="48" t="n"/>
      <c r="I27" s="56">
        <f>IF($B27="","",IF($H27="",$G27,$H27))</f>
        <v/>
      </c>
      <c r="J27" s="55">
        <f>IF($B27="","",IF($B27=1,$C$6,$F26))</f>
        <v/>
      </c>
      <c r="K27" s="55">
        <f>IF($B27="","",IF($B27=1,$C$6,$I26))</f>
        <v/>
      </c>
      <c r="L27" s="57">
        <f>IF($B27="","",IF($C$11="","CHECK",IF($F27&lt;=$C$11,"OK","CHECK")))</f>
        <v/>
      </c>
    </row>
    <row r="28">
      <c r="B28" s="52">
        <f>IF(13&gt;$C$7,"",13)</f>
        <v/>
      </c>
      <c r="C28" s="54">
        <f>IF($B28="","",UPPER(TEXT(EDATE($C$10,$B28-1),"mmmyy")))</f>
        <v/>
      </c>
      <c r="D28" s="55">
        <f>IF($B28="","",EDATE($C$10,$B28-1)+MOD(5-WEEKDAY(EDATE($C$10,$B28-1),1)+7,7)+14)</f>
        <v/>
      </c>
      <c r="E28" s="48" t="n"/>
      <c r="F28" s="56">
        <f>IF($B28="","",IF($E28="",$D28,$E28))</f>
        <v/>
      </c>
      <c r="G28" s="55">
        <f>IF($B28="","",EDATE($C$10,$B28-1)+MOD(6-WEEKDAY(EDATE($C$10,$B28-1),1)+7,7)+14)</f>
        <v/>
      </c>
      <c r="H28" s="48" t="n"/>
      <c r="I28" s="56">
        <f>IF($B28="","",IF($H28="",$G28,$H28))</f>
        <v/>
      </c>
      <c r="J28" s="55">
        <f>IF($B28="","",IF($B28=1,$C$6,$F27))</f>
        <v/>
      </c>
      <c r="K28" s="55">
        <f>IF($B28="","",IF($B28=1,$C$6,$I27))</f>
        <v/>
      </c>
      <c r="L28" s="57">
        <f>IF($B28="","",IF($C$11="","CHECK",IF($F28&lt;=$C$11,"OK","CHECK")))</f>
        <v/>
      </c>
    </row>
    <row r="29">
      <c r="B29" s="52">
        <f>IF(14&gt;$C$7,"",14)</f>
        <v/>
      </c>
      <c r="C29" s="54">
        <f>IF($B29="","",UPPER(TEXT(EDATE($C$10,$B29-1),"mmmyy")))</f>
        <v/>
      </c>
      <c r="D29" s="55">
        <f>IF($B29="","",EDATE($C$10,$B29-1)+MOD(5-WEEKDAY(EDATE($C$10,$B29-1),1)+7,7)+14)</f>
        <v/>
      </c>
      <c r="E29" s="48" t="n"/>
      <c r="F29" s="56">
        <f>IF($B29="","",IF($E29="",$D29,$E29))</f>
        <v/>
      </c>
      <c r="G29" s="55">
        <f>IF($B29="","",EDATE($C$10,$B29-1)+MOD(6-WEEKDAY(EDATE($C$10,$B29-1),1)+7,7)+14)</f>
        <v/>
      </c>
      <c r="H29" s="48" t="n"/>
      <c r="I29" s="56">
        <f>IF($B29="","",IF($H29="",$G29,$H29))</f>
        <v/>
      </c>
      <c r="J29" s="55">
        <f>IF($B29="","",IF($B29=1,$C$6,$F28))</f>
        <v/>
      </c>
      <c r="K29" s="55">
        <f>IF($B29="","",IF($B29=1,$C$6,$I28))</f>
        <v/>
      </c>
      <c r="L29" s="57">
        <f>IF($B29="","",IF($C$11="","CHECK",IF($F29&lt;=$C$11,"OK","CHECK")))</f>
        <v/>
      </c>
    </row>
    <row r="30">
      <c r="B30" s="52">
        <f>IF(15&gt;$C$7,"",15)</f>
        <v/>
      </c>
      <c r="C30" s="54">
        <f>IF($B30="","",UPPER(TEXT(EDATE($C$10,$B30-1),"mmmyy")))</f>
        <v/>
      </c>
      <c r="D30" s="55">
        <f>IF($B30="","",EDATE($C$10,$B30-1)+MOD(5-WEEKDAY(EDATE($C$10,$B30-1),1)+7,7)+14)</f>
        <v/>
      </c>
      <c r="E30" s="48" t="n"/>
      <c r="F30" s="56">
        <f>IF($B30="","",IF($E30="",$D30,$E30))</f>
        <v/>
      </c>
      <c r="G30" s="55">
        <f>IF($B30="","",EDATE($C$10,$B30-1)+MOD(6-WEEKDAY(EDATE($C$10,$B30-1),1)+7,7)+14)</f>
        <v/>
      </c>
      <c r="H30" s="48" t="n"/>
      <c r="I30" s="56">
        <f>IF($B30="","",IF($H30="",$G30,$H30))</f>
        <v/>
      </c>
      <c r="J30" s="55">
        <f>IF($B30="","",IF($B30=1,$C$6,$F29))</f>
        <v/>
      </c>
      <c r="K30" s="55">
        <f>IF($B30="","",IF($B30=1,$C$6,$I29))</f>
        <v/>
      </c>
      <c r="L30" s="57">
        <f>IF($B30="","",IF($C$11="","CHECK",IF($F30&lt;=$C$11,"OK","CHECK")))</f>
        <v/>
      </c>
    </row>
    <row r="31">
      <c r="B31" s="52">
        <f>IF(16&gt;$C$7,"",16)</f>
        <v/>
      </c>
      <c r="C31" s="54">
        <f>IF($B31="","",UPPER(TEXT(EDATE($C$10,$B31-1),"mmmyy")))</f>
        <v/>
      </c>
      <c r="D31" s="55">
        <f>IF($B31="","",EDATE($C$10,$B31-1)+MOD(5-WEEKDAY(EDATE($C$10,$B31-1),1)+7,7)+14)</f>
        <v/>
      </c>
      <c r="E31" s="48" t="n"/>
      <c r="F31" s="56">
        <f>IF($B31="","",IF($E31="",$D31,$E31))</f>
        <v/>
      </c>
      <c r="G31" s="55">
        <f>IF($B31="","",EDATE($C$10,$B31-1)+MOD(6-WEEKDAY(EDATE($C$10,$B31-1),1)+7,7)+14)</f>
        <v/>
      </c>
      <c r="H31" s="48" t="n"/>
      <c r="I31" s="56">
        <f>IF($B31="","",IF($H31="",$G31,$H31))</f>
        <v/>
      </c>
      <c r="J31" s="55">
        <f>IF($B31="","",IF($B31=1,$C$6,$F30))</f>
        <v/>
      </c>
      <c r="K31" s="55">
        <f>IF($B31="","",IF($B31=1,$C$6,$I30))</f>
        <v/>
      </c>
      <c r="L31" s="57">
        <f>IF($B31="","",IF($C$11="","CHECK",IF($F31&lt;=$C$11,"OK","CHECK")))</f>
        <v/>
      </c>
    </row>
    <row r="33">
      <c r="B33" s="3" t="inlineStr">
        <is>
          <t>Window</t>
        </is>
      </c>
      <c r="C33" s="2" t="inlineStr">
        <is>
          <t>A contract holds the dividends with an ex-date after the previous expiry and on or before its own. The front contract's window opens on the valuation date, so it carries only what is still to come.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56"/>
  <sheetViews>
    <sheetView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  <col width="13" customWidth="1" min="12" max="12"/>
    <col width="12" customWidth="1" min="13" max="13"/>
    <col width="13" customWidth="1" min="14" max="14"/>
    <col width="10" customWidth="1" min="15" max="15"/>
    <col width="4" customWidth="1" min="16" max="16"/>
    <col width="56" customWidth="1" min="17" max="17"/>
  </cols>
  <sheetData>
    <row r="2">
      <c r="B2" s="1" t="inlineStr">
        <is>
          <t>INDEX DIVIDEND BY FUTURES EXPIRY</t>
        </is>
      </c>
    </row>
    <row r="3">
      <c r="B3" s="2" t="inlineStr">
        <is>
          <t>Projected dividends bucketed into each contract window - index points and yield, both indices, and the spread between them.</t>
        </is>
      </c>
    </row>
    <row r="5">
      <c r="B5" s="5" t="inlineStr">
        <is>
          <t>AS51 index level</t>
        </is>
      </c>
      <c r="C5" s="58">
        <f>BDP(AS51!$B$2,"PX_LAST")</f>
        <v/>
      </c>
      <c r="E5" s="2" t="inlineStr">
        <is>
          <t>MXAU is quoted in USD, so its points are USD points. Yields and the bps spread are currency-consistent - each index is divided by its own level.</t>
        </is>
      </c>
    </row>
    <row r="6">
      <c r="B6" s="5" t="inlineStr">
        <is>
          <t>MXAU index level</t>
        </is>
      </c>
      <c r="C6" s="59">
        <f>BDP(MXAU!$B$2,"PX_LAST")</f>
        <v/>
      </c>
      <c r="E6" s="2" t="inlineStr">
        <is>
          <t>Everything here is Bloomberg's BDVD projection - no growth model. Covered? flags contracts past the projected horizon.</t>
        </is>
      </c>
    </row>
    <row r="7">
      <c r="B7" s="5" t="inlineStr">
        <is>
          <t>Valuation date</t>
        </is>
      </c>
      <c r="C7" s="55">
        <f>Expiries!$C$6</f>
        <v/>
      </c>
    </row>
    <row r="8">
      <c r="B8" s="5" t="inlineStr">
        <is>
          <t>Projections run to</t>
        </is>
      </c>
      <c r="C8" s="51">
        <f>Expiries!$C$11</f>
        <v/>
      </c>
    </row>
    <row r="11">
      <c r="E11" s="3" t="inlineStr">
        <is>
          <t>S&amp;P/ASX 200 (AS51)</t>
        </is>
      </c>
      <c r="J11" s="3" t="inlineStr">
        <is>
          <t>MSCI AUSTRALIA (MXAU)</t>
        </is>
      </c>
    </row>
    <row r="12">
      <c r="B12" s="53" t="inlineStr">
        <is>
          <t>Contract</t>
        </is>
      </c>
      <c r="C12" s="53" t="inlineStr">
        <is>
          <t>Expiry</t>
        </is>
      </c>
      <c r="D12" s="53" t="inlineStr">
        <is>
          <t>Days</t>
        </is>
      </c>
      <c r="E12" s="53" t="inlineStr">
        <is>
          <t>Period DPS
(pts)</t>
        </is>
      </c>
      <c r="F12" s="53" t="inlineStr">
        <is>
          <t>Period yld
(%)</t>
        </is>
      </c>
      <c r="G12" s="53" t="inlineStr">
        <is>
          <t>Cum DPS
(pts)</t>
        </is>
      </c>
      <c r="H12" s="53" t="inlineStr">
        <is>
          <t>Cum yld
(%)</t>
        </is>
      </c>
      <c r="I12" s="53" t="inlineStr">
        <is>
          <t>Expiry</t>
        </is>
      </c>
      <c r="J12" s="53" t="inlineStr">
        <is>
          <t>Period DPS
(pts)</t>
        </is>
      </c>
      <c r="K12" s="53" t="inlineStr">
        <is>
          <t>Period yld
(%)</t>
        </is>
      </c>
      <c r="L12" s="53" t="inlineStr">
        <is>
          <t>Cum DPS
(pts)</t>
        </is>
      </c>
      <c r="M12" s="53" t="inlineStr">
        <is>
          <t>Cum yld
(%)</t>
        </is>
      </c>
      <c r="N12" s="53" t="inlineStr">
        <is>
          <t>AS51-MXAU
cum (bps)</t>
        </is>
      </c>
      <c r="O12" s="53" t="inlineStr">
        <is>
          <t>Covered?</t>
        </is>
      </c>
    </row>
    <row r="13">
      <c r="B13" s="54">
        <f>IF(Expiries!$B16="","",Expiries!$C16)</f>
        <v/>
      </c>
      <c r="C13" s="55">
        <f>IF($B13="","",Expiries!$F16)</f>
        <v/>
      </c>
      <c r="D13" s="60">
        <f>IF($B13="","",$C13-$C$7)</f>
        <v/>
      </c>
      <c r="E13" s="61">
        <f>IF($B13="","",IFERROR(Accrual!F$221,""))</f>
        <v/>
      </c>
      <c r="F13" s="62">
        <f>IF($B13="","",IFERROR($E13/$C$5,""))</f>
        <v/>
      </c>
      <c r="G13" s="63">
        <f>IF($B13="","",SUM($E$13:$E13))</f>
        <v/>
      </c>
      <c r="H13" s="64">
        <f>IF($B13="","",IFERROR($G13/$C$5,""))</f>
        <v/>
      </c>
      <c r="I13" s="55">
        <f>IF($B13="","",Expiries!$I16)</f>
        <v/>
      </c>
      <c r="J13" s="61">
        <f>IF($B13="","",IFERROR(Accrual!F$309,""))</f>
        <v/>
      </c>
      <c r="K13" s="62">
        <f>IF($B13="","",IFERROR($J13/$C$6,""))</f>
        <v/>
      </c>
      <c r="L13" s="65">
        <f>IF($B13="","",SUM($J$13:$J13))</f>
        <v/>
      </c>
      <c r="M13" s="64">
        <f>IF($B13="","",IFERROR($L13/$C$6,""))</f>
        <v/>
      </c>
      <c r="N13" s="66">
        <f>IF($B13="","",IFERROR(($H13-$M13)*10000,""))</f>
        <v/>
      </c>
      <c r="O13" s="67">
        <f>IF($B13="","",Expiries!$L16)</f>
        <v/>
      </c>
    </row>
    <row r="14">
      <c r="B14" s="54">
        <f>IF(Expiries!$B17="","",Expiries!$C17)</f>
        <v/>
      </c>
      <c r="C14" s="55">
        <f>IF($B14="","",Expiries!$F17)</f>
        <v/>
      </c>
      <c r="D14" s="60">
        <f>IF($B14="","",$C14-$C$7)</f>
        <v/>
      </c>
      <c r="E14" s="61">
        <f>IF($B14="","",IFERROR(Accrual!G$221,""))</f>
        <v/>
      </c>
      <c r="F14" s="62">
        <f>IF($B14="","",IFERROR($E14/$C$5,""))</f>
        <v/>
      </c>
      <c r="G14" s="63">
        <f>IF($B14="","",SUM($E$13:$E14))</f>
        <v/>
      </c>
      <c r="H14" s="64">
        <f>IF($B14="","",IFERROR($G14/$C$5,""))</f>
        <v/>
      </c>
      <c r="I14" s="55">
        <f>IF($B14="","",Expiries!$I17)</f>
        <v/>
      </c>
      <c r="J14" s="61">
        <f>IF($B14="","",IFERROR(Accrual!G$309,""))</f>
        <v/>
      </c>
      <c r="K14" s="62">
        <f>IF($B14="","",IFERROR($J14/$C$6,""))</f>
        <v/>
      </c>
      <c r="L14" s="65">
        <f>IF($B14="","",SUM($J$13:$J14))</f>
        <v/>
      </c>
      <c r="M14" s="64">
        <f>IF($B14="","",IFERROR($L14/$C$6,""))</f>
        <v/>
      </c>
      <c r="N14" s="66">
        <f>IF($B14="","",IFERROR(($H14-$M14)*10000,""))</f>
        <v/>
      </c>
      <c r="O14" s="67">
        <f>IF($B14="","",Expiries!$L17)</f>
        <v/>
      </c>
    </row>
    <row r="15">
      <c r="B15" s="54">
        <f>IF(Expiries!$B18="","",Expiries!$C18)</f>
        <v/>
      </c>
      <c r="C15" s="55">
        <f>IF($B15="","",Expiries!$F18)</f>
        <v/>
      </c>
      <c r="D15" s="60">
        <f>IF($B15="","",$C15-$C$7)</f>
        <v/>
      </c>
      <c r="E15" s="61">
        <f>IF($B15="","",IFERROR(Accrual!H$221,""))</f>
        <v/>
      </c>
      <c r="F15" s="62">
        <f>IF($B15="","",IFERROR($E15/$C$5,""))</f>
        <v/>
      </c>
      <c r="G15" s="63">
        <f>IF($B15="","",SUM($E$13:$E15))</f>
        <v/>
      </c>
      <c r="H15" s="64">
        <f>IF($B15="","",IFERROR($G15/$C$5,""))</f>
        <v/>
      </c>
      <c r="I15" s="55">
        <f>IF($B15="","",Expiries!$I18)</f>
        <v/>
      </c>
      <c r="J15" s="61">
        <f>IF($B15="","",IFERROR(Accrual!H$309,""))</f>
        <v/>
      </c>
      <c r="K15" s="62">
        <f>IF($B15="","",IFERROR($J15/$C$6,""))</f>
        <v/>
      </c>
      <c r="L15" s="65">
        <f>IF($B15="","",SUM($J$13:$J15))</f>
        <v/>
      </c>
      <c r="M15" s="64">
        <f>IF($B15="","",IFERROR($L15/$C$6,""))</f>
        <v/>
      </c>
      <c r="N15" s="66">
        <f>IF($B15="","",IFERROR(($H15-$M15)*10000,""))</f>
        <v/>
      </c>
      <c r="O15" s="67">
        <f>IF($B15="","",Expiries!$L18)</f>
        <v/>
      </c>
    </row>
    <row r="16">
      <c r="B16" s="54">
        <f>IF(Expiries!$B19="","",Expiries!$C19)</f>
        <v/>
      </c>
      <c r="C16" s="55">
        <f>IF($B16="","",Expiries!$F19)</f>
        <v/>
      </c>
      <c r="D16" s="60">
        <f>IF($B16="","",$C16-$C$7)</f>
        <v/>
      </c>
      <c r="E16" s="61">
        <f>IF($B16="","",IFERROR(Accrual!I$221,""))</f>
        <v/>
      </c>
      <c r="F16" s="62">
        <f>IF($B16="","",IFERROR($E16/$C$5,""))</f>
        <v/>
      </c>
      <c r="G16" s="63">
        <f>IF($B16="","",SUM($E$13:$E16))</f>
        <v/>
      </c>
      <c r="H16" s="64">
        <f>IF($B16="","",IFERROR($G16/$C$5,""))</f>
        <v/>
      </c>
      <c r="I16" s="55">
        <f>IF($B16="","",Expiries!$I19)</f>
        <v/>
      </c>
      <c r="J16" s="61">
        <f>IF($B16="","",IFERROR(Accrual!I$309,""))</f>
        <v/>
      </c>
      <c r="K16" s="62">
        <f>IF($B16="","",IFERROR($J16/$C$6,""))</f>
        <v/>
      </c>
      <c r="L16" s="65">
        <f>IF($B16="","",SUM($J$13:$J16))</f>
        <v/>
      </c>
      <c r="M16" s="64">
        <f>IF($B16="","",IFERROR($L16/$C$6,""))</f>
        <v/>
      </c>
      <c r="N16" s="66">
        <f>IF($B16="","",IFERROR(($H16-$M16)*10000,""))</f>
        <v/>
      </c>
      <c r="O16" s="67">
        <f>IF($B16="","",Expiries!$L19)</f>
        <v/>
      </c>
    </row>
    <row r="17">
      <c r="B17" s="54">
        <f>IF(Expiries!$B20="","",Expiries!$C20)</f>
        <v/>
      </c>
      <c r="C17" s="55">
        <f>IF($B17="","",Expiries!$F20)</f>
        <v/>
      </c>
      <c r="D17" s="60">
        <f>IF($B17="","",$C17-$C$7)</f>
        <v/>
      </c>
      <c r="E17" s="61">
        <f>IF($B17="","",IFERROR(Accrual!J$221,""))</f>
        <v/>
      </c>
      <c r="F17" s="62">
        <f>IF($B17="","",IFERROR($E17/$C$5,""))</f>
        <v/>
      </c>
      <c r="G17" s="63">
        <f>IF($B17="","",SUM($E$13:$E17))</f>
        <v/>
      </c>
      <c r="H17" s="64">
        <f>IF($B17="","",IFERROR($G17/$C$5,""))</f>
        <v/>
      </c>
      <c r="I17" s="55">
        <f>IF($B17="","",Expiries!$I20)</f>
        <v/>
      </c>
      <c r="J17" s="61">
        <f>IF($B17="","",IFERROR(Accrual!J$309,""))</f>
        <v/>
      </c>
      <c r="K17" s="62">
        <f>IF($B17="","",IFERROR($J17/$C$6,""))</f>
        <v/>
      </c>
      <c r="L17" s="65">
        <f>IF($B17="","",SUM($J$13:$J17))</f>
        <v/>
      </c>
      <c r="M17" s="64">
        <f>IF($B17="","",IFERROR($L17/$C$6,""))</f>
        <v/>
      </c>
      <c r="N17" s="66">
        <f>IF($B17="","",IFERROR(($H17-$M17)*10000,""))</f>
        <v/>
      </c>
      <c r="O17" s="67">
        <f>IF($B17="","",Expiries!$L20)</f>
        <v/>
      </c>
    </row>
    <row r="18">
      <c r="B18" s="54">
        <f>IF(Expiries!$B21="","",Expiries!$C21)</f>
        <v/>
      </c>
      <c r="C18" s="55">
        <f>IF($B18="","",Expiries!$F21)</f>
        <v/>
      </c>
      <c r="D18" s="60">
        <f>IF($B18="","",$C18-$C$7)</f>
        <v/>
      </c>
      <c r="E18" s="61">
        <f>IF($B18="","",IFERROR(Accrual!K$221,""))</f>
        <v/>
      </c>
      <c r="F18" s="62">
        <f>IF($B18="","",IFERROR($E18/$C$5,""))</f>
        <v/>
      </c>
      <c r="G18" s="63">
        <f>IF($B18="","",SUM($E$13:$E18))</f>
        <v/>
      </c>
      <c r="H18" s="64">
        <f>IF($B18="","",IFERROR($G18/$C$5,""))</f>
        <v/>
      </c>
      <c r="I18" s="55">
        <f>IF($B18="","",Expiries!$I21)</f>
        <v/>
      </c>
      <c r="J18" s="61">
        <f>IF($B18="","",IFERROR(Accrual!K$309,""))</f>
        <v/>
      </c>
      <c r="K18" s="62">
        <f>IF($B18="","",IFERROR($J18/$C$6,""))</f>
        <v/>
      </c>
      <c r="L18" s="65">
        <f>IF($B18="","",SUM($J$13:$J18))</f>
        <v/>
      </c>
      <c r="M18" s="64">
        <f>IF($B18="","",IFERROR($L18/$C$6,""))</f>
        <v/>
      </c>
      <c r="N18" s="66">
        <f>IF($B18="","",IFERROR(($H18-$M18)*10000,""))</f>
        <v/>
      </c>
      <c r="O18" s="67">
        <f>IF($B18="","",Expiries!$L21)</f>
        <v/>
      </c>
    </row>
    <row r="19">
      <c r="B19" s="54">
        <f>IF(Expiries!$B22="","",Expiries!$C22)</f>
        <v/>
      </c>
      <c r="C19" s="55">
        <f>IF($B19="","",Expiries!$F22)</f>
        <v/>
      </c>
      <c r="D19" s="60">
        <f>IF($B19="","",$C19-$C$7)</f>
        <v/>
      </c>
      <c r="E19" s="61">
        <f>IF($B19="","",IFERROR(Accrual!L$221,""))</f>
        <v/>
      </c>
      <c r="F19" s="62">
        <f>IF($B19="","",IFERROR($E19/$C$5,""))</f>
        <v/>
      </c>
      <c r="G19" s="63">
        <f>IF($B19="","",SUM($E$13:$E19))</f>
        <v/>
      </c>
      <c r="H19" s="64">
        <f>IF($B19="","",IFERROR($G19/$C$5,""))</f>
        <v/>
      </c>
      <c r="I19" s="55">
        <f>IF($B19="","",Expiries!$I22)</f>
        <v/>
      </c>
      <c r="J19" s="61">
        <f>IF($B19="","",IFERROR(Accrual!L$309,""))</f>
        <v/>
      </c>
      <c r="K19" s="62">
        <f>IF($B19="","",IFERROR($J19/$C$6,""))</f>
        <v/>
      </c>
      <c r="L19" s="65">
        <f>IF($B19="","",SUM($J$13:$J19))</f>
        <v/>
      </c>
      <c r="M19" s="64">
        <f>IF($B19="","",IFERROR($L19/$C$6,""))</f>
        <v/>
      </c>
      <c r="N19" s="66">
        <f>IF($B19="","",IFERROR(($H19-$M19)*10000,""))</f>
        <v/>
      </c>
      <c r="O19" s="67">
        <f>IF($B19="","",Expiries!$L22)</f>
        <v/>
      </c>
    </row>
    <row r="20">
      <c r="B20" s="54">
        <f>IF(Expiries!$B23="","",Expiries!$C23)</f>
        <v/>
      </c>
      <c r="C20" s="55">
        <f>IF($B20="","",Expiries!$F23)</f>
        <v/>
      </c>
      <c r="D20" s="60">
        <f>IF($B20="","",$C20-$C$7)</f>
        <v/>
      </c>
      <c r="E20" s="61">
        <f>IF($B20="","",IFERROR(Accrual!M$221,""))</f>
        <v/>
      </c>
      <c r="F20" s="62">
        <f>IF($B20="","",IFERROR($E20/$C$5,""))</f>
        <v/>
      </c>
      <c r="G20" s="63">
        <f>IF($B20="","",SUM($E$13:$E20))</f>
        <v/>
      </c>
      <c r="H20" s="64">
        <f>IF($B20="","",IFERROR($G20/$C$5,""))</f>
        <v/>
      </c>
      <c r="I20" s="55">
        <f>IF($B20="","",Expiries!$I23)</f>
        <v/>
      </c>
      <c r="J20" s="61">
        <f>IF($B20="","",IFERROR(Accrual!M$309,""))</f>
        <v/>
      </c>
      <c r="K20" s="62">
        <f>IF($B20="","",IFERROR($J20/$C$6,""))</f>
        <v/>
      </c>
      <c r="L20" s="65">
        <f>IF($B20="","",SUM($J$13:$J20))</f>
        <v/>
      </c>
      <c r="M20" s="64">
        <f>IF($B20="","",IFERROR($L20/$C$6,""))</f>
        <v/>
      </c>
      <c r="N20" s="66">
        <f>IF($B20="","",IFERROR(($H20-$M20)*10000,""))</f>
        <v/>
      </c>
      <c r="O20" s="67">
        <f>IF($B20="","",Expiries!$L23)</f>
        <v/>
      </c>
    </row>
    <row r="21">
      <c r="B21" s="54">
        <f>IF(Expiries!$B24="","",Expiries!$C24)</f>
        <v/>
      </c>
      <c r="C21" s="55">
        <f>IF($B21="","",Expiries!$F24)</f>
        <v/>
      </c>
      <c r="D21" s="60">
        <f>IF($B21="","",$C21-$C$7)</f>
        <v/>
      </c>
      <c r="E21" s="61">
        <f>IF($B21="","",IFERROR(Accrual!N$221,""))</f>
        <v/>
      </c>
      <c r="F21" s="62">
        <f>IF($B21="","",IFERROR($E21/$C$5,""))</f>
        <v/>
      </c>
      <c r="G21" s="63">
        <f>IF($B21="","",SUM($E$13:$E21))</f>
        <v/>
      </c>
      <c r="H21" s="64">
        <f>IF($B21="","",IFERROR($G21/$C$5,""))</f>
        <v/>
      </c>
      <c r="I21" s="55">
        <f>IF($B21="","",Expiries!$I24)</f>
        <v/>
      </c>
      <c r="J21" s="61">
        <f>IF($B21="","",IFERROR(Accrual!N$309,""))</f>
        <v/>
      </c>
      <c r="K21" s="62">
        <f>IF($B21="","",IFERROR($J21/$C$6,""))</f>
        <v/>
      </c>
      <c r="L21" s="65">
        <f>IF($B21="","",SUM($J$13:$J21))</f>
        <v/>
      </c>
      <c r="M21" s="64">
        <f>IF($B21="","",IFERROR($L21/$C$6,""))</f>
        <v/>
      </c>
      <c r="N21" s="66">
        <f>IF($B21="","",IFERROR(($H21-$M21)*10000,""))</f>
        <v/>
      </c>
      <c r="O21" s="67">
        <f>IF($B21="","",Expiries!$L24)</f>
        <v/>
      </c>
    </row>
    <row r="22">
      <c r="B22" s="54">
        <f>IF(Expiries!$B25="","",Expiries!$C25)</f>
        <v/>
      </c>
      <c r="C22" s="55">
        <f>IF($B22="","",Expiries!$F25)</f>
        <v/>
      </c>
      <c r="D22" s="60">
        <f>IF($B22="","",$C22-$C$7)</f>
        <v/>
      </c>
      <c r="E22" s="61">
        <f>IF($B22="","",IFERROR(Accrual!O$221,""))</f>
        <v/>
      </c>
      <c r="F22" s="62">
        <f>IF($B22="","",IFERROR($E22/$C$5,""))</f>
        <v/>
      </c>
      <c r="G22" s="63">
        <f>IF($B22="","",SUM($E$13:$E22))</f>
        <v/>
      </c>
      <c r="H22" s="64">
        <f>IF($B22="","",IFERROR($G22/$C$5,""))</f>
        <v/>
      </c>
      <c r="I22" s="55">
        <f>IF($B22="","",Expiries!$I25)</f>
        <v/>
      </c>
      <c r="J22" s="61">
        <f>IF($B22="","",IFERROR(Accrual!O$309,""))</f>
        <v/>
      </c>
      <c r="K22" s="62">
        <f>IF($B22="","",IFERROR($J22/$C$6,""))</f>
        <v/>
      </c>
      <c r="L22" s="65">
        <f>IF($B22="","",SUM($J$13:$J22))</f>
        <v/>
      </c>
      <c r="M22" s="64">
        <f>IF($B22="","",IFERROR($L22/$C$6,""))</f>
        <v/>
      </c>
      <c r="N22" s="66">
        <f>IF($B22="","",IFERROR(($H22-$M22)*10000,""))</f>
        <v/>
      </c>
      <c r="O22" s="67">
        <f>IF($B22="","",Expiries!$L25)</f>
        <v/>
      </c>
    </row>
    <row r="23">
      <c r="B23" s="54">
        <f>IF(Expiries!$B26="","",Expiries!$C26)</f>
        <v/>
      </c>
      <c r="C23" s="55">
        <f>IF($B23="","",Expiries!$F26)</f>
        <v/>
      </c>
      <c r="D23" s="60">
        <f>IF($B23="","",$C23-$C$7)</f>
        <v/>
      </c>
      <c r="E23" s="61">
        <f>IF($B23="","",IFERROR(Accrual!P$221,""))</f>
        <v/>
      </c>
      <c r="F23" s="62">
        <f>IF($B23="","",IFERROR($E23/$C$5,""))</f>
        <v/>
      </c>
      <c r="G23" s="63">
        <f>IF($B23="","",SUM($E$13:$E23))</f>
        <v/>
      </c>
      <c r="H23" s="64">
        <f>IF($B23="","",IFERROR($G23/$C$5,""))</f>
        <v/>
      </c>
      <c r="I23" s="55">
        <f>IF($B23="","",Expiries!$I26)</f>
        <v/>
      </c>
      <c r="J23" s="61">
        <f>IF($B23="","",IFERROR(Accrual!P$309,""))</f>
        <v/>
      </c>
      <c r="K23" s="62">
        <f>IF($B23="","",IFERROR($J23/$C$6,""))</f>
        <v/>
      </c>
      <c r="L23" s="65">
        <f>IF($B23="","",SUM($J$13:$J23))</f>
        <v/>
      </c>
      <c r="M23" s="64">
        <f>IF($B23="","",IFERROR($L23/$C$6,""))</f>
        <v/>
      </c>
      <c r="N23" s="66">
        <f>IF($B23="","",IFERROR(($H23-$M23)*10000,""))</f>
        <v/>
      </c>
      <c r="O23" s="67">
        <f>IF($B23="","",Expiries!$L26)</f>
        <v/>
      </c>
    </row>
    <row r="24">
      <c r="B24" s="54">
        <f>IF(Expiries!$B27="","",Expiries!$C27)</f>
        <v/>
      </c>
      <c r="C24" s="55">
        <f>IF($B24="","",Expiries!$F27)</f>
        <v/>
      </c>
      <c r="D24" s="60">
        <f>IF($B24="","",$C24-$C$7)</f>
        <v/>
      </c>
      <c r="E24" s="61">
        <f>IF($B24="","",IFERROR(Accrual!Q$221,""))</f>
        <v/>
      </c>
      <c r="F24" s="62">
        <f>IF($B24="","",IFERROR($E24/$C$5,""))</f>
        <v/>
      </c>
      <c r="G24" s="63">
        <f>IF($B24="","",SUM($E$13:$E24))</f>
        <v/>
      </c>
      <c r="H24" s="64">
        <f>IF($B24="","",IFERROR($G24/$C$5,""))</f>
        <v/>
      </c>
      <c r="I24" s="55">
        <f>IF($B24="","",Expiries!$I27)</f>
        <v/>
      </c>
      <c r="J24" s="61">
        <f>IF($B24="","",IFERROR(Accrual!Q$309,""))</f>
        <v/>
      </c>
      <c r="K24" s="62">
        <f>IF($B24="","",IFERROR($J24/$C$6,""))</f>
        <v/>
      </c>
      <c r="L24" s="65">
        <f>IF($B24="","",SUM($J$13:$J24))</f>
        <v/>
      </c>
      <c r="M24" s="64">
        <f>IF($B24="","",IFERROR($L24/$C$6,""))</f>
        <v/>
      </c>
      <c r="N24" s="66">
        <f>IF($B24="","",IFERROR(($H24-$M24)*10000,""))</f>
        <v/>
      </c>
      <c r="O24" s="67">
        <f>IF($B24="","",Expiries!$L27)</f>
        <v/>
      </c>
    </row>
    <row r="25">
      <c r="B25" s="54">
        <f>IF(Expiries!$B28="","",Expiries!$C28)</f>
        <v/>
      </c>
      <c r="C25" s="55">
        <f>IF($B25="","",Expiries!$F28)</f>
        <v/>
      </c>
      <c r="D25" s="60">
        <f>IF($B25="","",$C25-$C$7)</f>
        <v/>
      </c>
      <c r="E25" s="61">
        <f>IF($B25="","",IFERROR(Accrual!R$221,""))</f>
        <v/>
      </c>
      <c r="F25" s="62">
        <f>IF($B25="","",IFERROR($E25/$C$5,""))</f>
        <v/>
      </c>
      <c r="G25" s="63">
        <f>IF($B25="","",SUM($E$13:$E25))</f>
        <v/>
      </c>
      <c r="H25" s="64">
        <f>IF($B25="","",IFERROR($G25/$C$5,""))</f>
        <v/>
      </c>
      <c r="I25" s="55">
        <f>IF($B25="","",Expiries!$I28)</f>
        <v/>
      </c>
      <c r="J25" s="61">
        <f>IF($B25="","",IFERROR(Accrual!R$309,""))</f>
        <v/>
      </c>
      <c r="K25" s="62">
        <f>IF($B25="","",IFERROR($J25/$C$6,""))</f>
        <v/>
      </c>
      <c r="L25" s="65">
        <f>IF($B25="","",SUM($J$13:$J25))</f>
        <v/>
      </c>
      <c r="M25" s="64">
        <f>IF($B25="","",IFERROR($L25/$C$6,""))</f>
        <v/>
      </c>
      <c r="N25" s="66">
        <f>IF($B25="","",IFERROR(($H25-$M25)*10000,""))</f>
        <v/>
      </c>
      <c r="O25" s="67">
        <f>IF($B25="","",Expiries!$L28)</f>
        <v/>
      </c>
    </row>
    <row r="26">
      <c r="B26" s="54">
        <f>IF(Expiries!$B29="","",Expiries!$C29)</f>
        <v/>
      </c>
      <c r="C26" s="55">
        <f>IF($B26="","",Expiries!$F29)</f>
        <v/>
      </c>
      <c r="D26" s="60">
        <f>IF($B26="","",$C26-$C$7)</f>
        <v/>
      </c>
      <c r="E26" s="61">
        <f>IF($B26="","",IFERROR(Accrual!S$221,""))</f>
        <v/>
      </c>
      <c r="F26" s="62">
        <f>IF($B26="","",IFERROR($E26/$C$5,""))</f>
        <v/>
      </c>
      <c r="G26" s="63">
        <f>IF($B26="","",SUM($E$13:$E26))</f>
        <v/>
      </c>
      <c r="H26" s="64">
        <f>IF($B26="","",IFERROR($G26/$C$5,""))</f>
        <v/>
      </c>
      <c r="I26" s="55">
        <f>IF($B26="","",Expiries!$I29)</f>
        <v/>
      </c>
      <c r="J26" s="61">
        <f>IF($B26="","",IFERROR(Accrual!S$309,""))</f>
        <v/>
      </c>
      <c r="K26" s="62">
        <f>IF($B26="","",IFERROR($J26/$C$6,""))</f>
        <v/>
      </c>
      <c r="L26" s="65">
        <f>IF($B26="","",SUM($J$13:$J26))</f>
        <v/>
      </c>
      <c r="M26" s="64">
        <f>IF($B26="","",IFERROR($L26/$C$6,""))</f>
        <v/>
      </c>
      <c r="N26" s="66">
        <f>IF($B26="","",IFERROR(($H26-$M26)*10000,""))</f>
        <v/>
      </c>
      <c r="O26" s="67">
        <f>IF($B26="","",Expiries!$L29)</f>
        <v/>
      </c>
    </row>
    <row r="27">
      <c r="B27" s="54">
        <f>IF(Expiries!$B30="","",Expiries!$C30)</f>
        <v/>
      </c>
      <c r="C27" s="55">
        <f>IF($B27="","",Expiries!$F30)</f>
        <v/>
      </c>
      <c r="D27" s="60">
        <f>IF($B27="","",$C27-$C$7)</f>
        <v/>
      </c>
      <c r="E27" s="61">
        <f>IF($B27="","",IFERROR(Accrual!T$221,""))</f>
        <v/>
      </c>
      <c r="F27" s="62">
        <f>IF($B27="","",IFERROR($E27/$C$5,""))</f>
        <v/>
      </c>
      <c r="G27" s="63">
        <f>IF($B27="","",SUM($E$13:$E27))</f>
        <v/>
      </c>
      <c r="H27" s="64">
        <f>IF($B27="","",IFERROR($G27/$C$5,""))</f>
        <v/>
      </c>
      <c r="I27" s="55">
        <f>IF($B27="","",Expiries!$I30)</f>
        <v/>
      </c>
      <c r="J27" s="61">
        <f>IF($B27="","",IFERROR(Accrual!T$309,""))</f>
        <v/>
      </c>
      <c r="K27" s="62">
        <f>IF($B27="","",IFERROR($J27/$C$6,""))</f>
        <v/>
      </c>
      <c r="L27" s="65">
        <f>IF($B27="","",SUM($J$13:$J27))</f>
        <v/>
      </c>
      <c r="M27" s="64">
        <f>IF($B27="","",IFERROR($L27/$C$6,""))</f>
        <v/>
      </c>
      <c r="N27" s="66">
        <f>IF($B27="","",IFERROR(($H27-$M27)*10000,""))</f>
        <v/>
      </c>
      <c r="O27" s="67">
        <f>IF($B27="","",Expiries!$L30)</f>
        <v/>
      </c>
    </row>
    <row r="28">
      <c r="B28" s="54">
        <f>IF(Expiries!$B31="","",Expiries!$C31)</f>
        <v/>
      </c>
      <c r="C28" s="55">
        <f>IF($B28="","",Expiries!$F31)</f>
        <v/>
      </c>
      <c r="D28" s="60">
        <f>IF($B28="","",$C28-$C$7)</f>
        <v/>
      </c>
      <c r="E28" s="61">
        <f>IF($B28="","",IFERROR(Accrual!U$221,""))</f>
        <v/>
      </c>
      <c r="F28" s="62">
        <f>IF($B28="","",IFERROR($E28/$C$5,""))</f>
        <v/>
      </c>
      <c r="G28" s="63">
        <f>IF($B28="","",SUM($E$13:$E28))</f>
        <v/>
      </c>
      <c r="H28" s="64">
        <f>IF($B28="","",IFERROR($G28/$C$5,""))</f>
        <v/>
      </c>
      <c r="I28" s="55">
        <f>IF($B28="","",Expiries!$I31)</f>
        <v/>
      </c>
      <c r="J28" s="61">
        <f>IF($B28="","",IFERROR(Accrual!U$309,""))</f>
        <v/>
      </c>
      <c r="K28" s="62">
        <f>IF($B28="","",IFERROR($J28/$C$6,""))</f>
        <v/>
      </c>
      <c r="L28" s="65">
        <f>IF($B28="","",SUM($J$13:$J28))</f>
        <v/>
      </c>
      <c r="M28" s="64">
        <f>IF($B28="","",IFERROR($L28/$C$6,""))</f>
        <v/>
      </c>
      <c r="N28" s="66">
        <f>IF($B28="","",IFERROR(($H28-$M28)*10000,""))</f>
        <v/>
      </c>
      <c r="O28" s="67">
        <f>IF($B28="","",Expiries!$L31)</f>
        <v/>
      </c>
    </row>
    <row r="32">
      <c r="B32" s="3" t="inlineStr">
        <is>
          <t>FRANKING VIEW - CREDIT VALUE BY CONTRACT</t>
        </is>
      </c>
    </row>
    <row r="33">
      <c r="B33" s="2" t="inlineStr">
        <is>
          <t>Franked share uses each stock's company-level franked % (blank = 100%). Credit = franked dividend x t/(1-t) with t = 'Index Summary'!C6. Grossed-up = cash + credit.</t>
        </is>
      </c>
    </row>
    <row r="34">
      <c r="C34" s="3" t="inlineStr">
        <is>
          <t>S&amp;P/ASX 200 (AS51)</t>
        </is>
      </c>
      <c r="G34" s="3" t="inlineStr">
        <is>
          <t>MSCI AUSTRALIA (MXAU)</t>
        </is>
      </c>
    </row>
    <row r="35">
      <c r="B35" s="68" t="inlineStr">
        <is>
          <t>Contract</t>
        </is>
      </c>
      <c r="C35" s="68" t="inlineStr">
        <is>
          <t>Franked
(% of dvd)</t>
        </is>
      </c>
      <c r="D35" s="68" t="inlineStr">
        <is>
          <t>Credit
(pts)</t>
        </is>
      </c>
      <c r="E35" s="68" t="inlineStr">
        <is>
          <t>Cum credit
(pts)</t>
        </is>
      </c>
      <c r="F35" s="68" t="inlineStr">
        <is>
          <t>Grossed cum
yld (%)</t>
        </is>
      </c>
      <c r="G35" s="68" t="inlineStr">
        <is>
          <t>Franked
(% of dvd)</t>
        </is>
      </c>
      <c r="H35" s="68" t="inlineStr">
        <is>
          <t>Credit
(pts)</t>
        </is>
      </c>
      <c r="I35" s="68" t="inlineStr">
        <is>
          <t>Cum credit
(pts)</t>
        </is>
      </c>
      <c r="J35" s="68" t="inlineStr">
        <is>
          <t>Grossed cum
yld (%)</t>
        </is>
      </c>
      <c r="K35" s="68" t="inlineStr">
        <is>
          <t>Grossed sprd
(bps)</t>
        </is>
      </c>
    </row>
    <row r="36">
      <c r="B36" s="54">
        <f>IF(Expiries!$B16="","",Expiries!$C16)</f>
        <v/>
      </c>
      <c r="C36" s="69">
        <f>IF($B36="","",IFERROR(Accrual!W$221/Accrual!F$221,""))</f>
        <v/>
      </c>
      <c r="D36" s="61">
        <f>IF($B36="","",IFERROR(Accrual!W$221*'Index Summary'!$C$6/(1-'Index Summary'!$C$6),""))</f>
        <v/>
      </c>
      <c r="E36" s="58">
        <f>IF($B36="","",SUM($D$36:$D36))</f>
        <v/>
      </c>
      <c r="F36" s="64">
        <f>IF($B36="","",IFERROR(($G13+$E36)/$C$5,""))</f>
        <v/>
      </c>
      <c r="G36" s="69">
        <f>IF($B36="","",IFERROR(Accrual!W$309/Accrual!F$309,""))</f>
        <v/>
      </c>
      <c r="H36" s="61">
        <f>IF($B36="","",IFERROR(Accrual!W$309*'Index Summary'!$C$6/(1-'Index Summary'!$C$6),""))</f>
        <v/>
      </c>
      <c r="I36" s="59">
        <f>IF($B36="","",SUM($H$36:$H36))</f>
        <v/>
      </c>
      <c r="J36" s="64">
        <f>IF($B36="","",IFERROR(($L13+$I36)/$C$6,""))</f>
        <v/>
      </c>
      <c r="K36" s="66">
        <f>IF($B36="","",IFERROR(($F36-$J36)*10000,""))</f>
        <v/>
      </c>
    </row>
    <row r="37">
      <c r="B37" s="54">
        <f>IF(Expiries!$B17="","",Expiries!$C17)</f>
        <v/>
      </c>
      <c r="C37" s="69">
        <f>IF($B37="","",IFERROR(Accrual!X$221/Accrual!G$221,""))</f>
        <v/>
      </c>
      <c r="D37" s="61">
        <f>IF($B37="","",IFERROR(Accrual!X$221*'Index Summary'!$C$6/(1-'Index Summary'!$C$6),""))</f>
        <v/>
      </c>
      <c r="E37" s="58">
        <f>IF($B37="","",SUM($D$36:$D37))</f>
        <v/>
      </c>
      <c r="F37" s="64">
        <f>IF($B37="","",IFERROR(($G14+$E37)/$C$5,""))</f>
        <v/>
      </c>
      <c r="G37" s="69">
        <f>IF($B37="","",IFERROR(Accrual!X$309/Accrual!G$309,""))</f>
        <v/>
      </c>
      <c r="H37" s="61">
        <f>IF($B37="","",IFERROR(Accrual!X$309*'Index Summary'!$C$6/(1-'Index Summary'!$C$6),""))</f>
        <v/>
      </c>
      <c r="I37" s="59">
        <f>IF($B37="","",SUM($H$36:$H37))</f>
        <v/>
      </c>
      <c r="J37" s="64">
        <f>IF($B37="","",IFERROR(($L14+$I37)/$C$6,""))</f>
        <v/>
      </c>
      <c r="K37" s="66">
        <f>IF($B37="","",IFERROR(($F37-$J37)*10000,""))</f>
        <v/>
      </c>
    </row>
    <row r="38">
      <c r="B38" s="54">
        <f>IF(Expiries!$B18="","",Expiries!$C18)</f>
        <v/>
      </c>
      <c r="C38" s="69">
        <f>IF($B38="","",IFERROR(Accrual!Y$221/Accrual!H$221,""))</f>
        <v/>
      </c>
      <c r="D38" s="61">
        <f>IF($B38="","",IFERROR(Accrual!Y$221*'Index Summary'!$C$6/(1-'Index Summary'!$C$6),""))</f>
        <v/>
      </c>
      <c r="E38" s="58">
        <f>IF($B38="","",SUM($D$36:$D38))</f>
        <v/>
      </c>
      <c r="F38" s="64">
        <f>IF($B38="","",IFERROR(($G15+$E38)/$C$5,""))</f>
        <v/>
      </c>
      <c r="G38" s="69">
        <f>IF($B38="","",IFERROR(Accrual!Y$309/Accrual!H$309,""))</f>
        <v/>
      </c>
      <c r="H38" s="61">
        <f>IF($B38="","",IFERROR(Accrual!Y$309*'Index Summary'!$C$6/(1-'Index Summary'!$C$6),""))</f>
        <v/>
      </c>
      <c r="I38" s="59">
        <f>IF($B38="","",SUM($H$36:$H38))</f>
        <v/>
      </c>
      <c r="J38" s="64">
        <f>IF($B38="","",IFERROR(($L15+$I38)/$C$6,""))</f>
        <v/>
      </c>
      <c r="K38" s="66">
        <f>IF($B38="","",IFERROR(($F38-$J38)*10000,""))</f>
        <v/>
      </c>
    </row>
    <row r="39">
      <c r="B39" s="54">
        <f>IF(Expiries!$B19="","",Expiries!$C19)</f>
        <v/>
      </c>
      <c r="C39" s="69">
        <f>IF($B39="","",IFERROR(Accrual!Z$221/Accrual!I$221,""))</f>
        <v/>
      </c>
      <c r="D39" s="61">
        <f>IF($B39="","",IFERROR(Accrual!Z$221*'Index Summary'!$C$6/(1-'Index Summary'!$C$6),""))</f>
        <v/>
      </c>
      <c r="E39" s="58">
        <f>IF($B39="","",SUM($D$36:$D39))</f>
        <v/>
      </c>
      <c r="F39" s="64">
        <f>IF($B39="","",IFERROR(($G16+$E39)/$C$5,""))</f>
        <v/>
      </c>
      <c r="G39" s="69">
        <f>IF($B39="","",IFERROR(Accrual!Z$309/Accrual!I$309,""))</f>
        <v/>
      </c>
      <c r="H39" s="61">
        <f>IF($B39="","",IFERROR(Accrual!Z$309*'Index Summary'!$C$6/(1-'Index Summary'!$C$6),""))</f>
        <v/>
      </c>
      <c r="I39" s="59">
        <f>IF($B39="","",SUM($H$36:$H39))</f>
        <v/>
      </c>
      <c r="J39" s="64">
        <f>IF($B39="","",IFERROR(($L16+$I39)/$C$6,""))</f>
        <v/>
      </c>
      <c r="K39" s="66">
        <f>IF($B39="","",IFERROR(($F39-$J39)*10000,""))</f>
        <v/>
      </c>
    </row>
    <row r="40">
      <c r="B40" s="54">
        <f>IF(Expiries!$B20="","",Expiries!$C20)</f>
        <v/>
      </c>
      <c r="C40" s="69">
        <f>IF($B40="","",IFERROR(Accrual!AA$221/Accrual!J$221,""))</f>
        <v/>
      </c>
      <c r="D40" s="61">
        <f>IF($B40="","",IFERROR(Accrual!AA$221*'Index Summary'!$C$6/(1-'Index Summary'!$C$6),""))</f>
        <v/>
      </c>
      <c r="E40" s="58">
        <f>IF($B40="","",SUM($D$36:$D40))</f>
        <v/>
      </c>
      <c r="F40" s="64">
        <f>IF($B40="","",IFERROR(($G17+$E40)/$C$5,""))</f>
        <v/>
      </c>
      <c r="G40" s="69">
        <f>IF($B40="","",IFERROR(Accrual!AA$309/Accrual!J$309,""))</f>
        <v/>
      </c>
      <c r="H40" s="61">
        <f>IF($B40="","",IFERROR(Accrual!AA$309*'Index Summary'!$C$6/(1-'Index Summary'!$C$6),""))</f>
        <v/>
      </c>
      <c r="I40" s="59">
        <f>IF($B40="","",SUM($H$36:$H40))</f>
        <v/>
      </c>
      <c r="J40" s="64">
        <f>IF($B40="","",IFERROR(($L17+$I40)/$C$6,""))</f>
        <v/>
      </c>
      <c r="K40" s="66">
        <f>IF($B40="","",IFERROR(($F40-$J40)*10000,""))</f>
        <v/>
      </c>
    </row>
    <row r="41">
      <c r="B41" s="54">
        <f>IF(Expiries!$B21="","",Expiries!$C21)</f>
        <v/>
      </c>
      <c r="C41" s="69">
        <f>IF($B41="","",IFERROR(Accrual!AB$221/Accrual!K$221,""))</f>
        <v/>
      </c>
      <c r="D41" s="61">
        <f>IF($B41="","",IFERROR(Accrual!AB$221*'Index Summary'!$C$6/(1-'Index Summary'!$C$6),""))</f>
        <v/>
      </c>
      <c r="E41" s="58">
        <f>IF($B41="","",SUM($D$36:$D41))</f>
        <v/>
      </c>
      <c r="F41" s="64">
        <f>IF($B41="","",IFERROR(($G18+$E41)/$C$5,""))</f>
        <v/>
      </c>
      <c r="G41" s="69">
        <f>IF($B41="","",IFERROR(Accrual!AB$309/Accrual!K$309,""))</f>
        <v/>
      </c>
      <c r="H41" s="61">
        <f>IF($B41="","",IFERROR(Accrual!AB$309*'Index Summary'!$C$6/(1-'Index Summary'!$C$6),""))</f>
        <v/>
      </c>
      <c r="I41" s="59">
        <f>IF($B41="","",SUM($H$36:$H41))</f>
        <v/>
      </c>
      <c r="J41" s="64">
        <f>IF($B41="","",IFERROR(($L18+$I41)/$C$6,""))</f>
        <v/>
      </c>
      <c r="K41" s="66">
        <f>IF($B41="","",IFERROR(($F41-$J41)*10000,""))</f>
        <v/>
      </c>
    </row>
    <row r="42">
      <c r="B42" s="54">
        <f>IF(Expiries!$B22="","",Expiries!$C22)</f>
        <v/>
      </c>
      <c r="C42" s="69">
        <f>IF($B42="","",IFERROR(Accrual!AC$221/Accrual!L$221,""))</f>
        <v/>
      </c>
      <c r="D42" s="61">
        <f>IF($B42="","",IFERROR(Accrual!AC$221*'Index Summary'!$C$6/(1-'Index Summary'!$C$6),""))</f>
        <v/>
      </c>
      <c r="E42" s="58">
        <f>IF($B42="","",SUM($D$36:$D42))</f>
        <v/>
      </c>
      <c r="F42" s="64">
        <f>IF($B42="","",IFERROR(($G19+$E42)/$C$5,""))</f>
        <v/>
      </c>
      <c r="G42" s="69">
        <f>IF($B42="","",IFERROR(Accrual!AC$309/Accrual!L$309,""))</f>
        <v/>
      </c>
      <c r="H42" s="61">
        <f>IF($B42="","",IFERROR(Accrual!AC$309*'Index Summary'!$C$6/(1-'Index Summary'!$C$6),""))</f>
        <v/>
      </c>
      <c r="I42" s="59">
        <f>IF($B42="","",SUM($H$36:$H42))</f>
        <v/>
      </c>
      <c r="J42" s="64">
        <f>IF($B42="","",IFERROR(($L19+$I42)/$C$6,""))</f>
        <v/>
      </c>
      <c r="K42" s="66">
        <f>IF($B42="","",IFERROR(($F42-$J42)*10000,""))</f>
        <v/>
      </c>
    </row>
    <row r="43">
      <c r="B43" s="54">
        <f>IF(Expiries!$B23="","",Expiries!$C23)</f>
        <v/>
      </c>
      <c r="C43" s="69">
        <f>IF($B43="","",IFERROR(Accrual!AD$221/Accrual!M$221,""))</f>
        <v/>
      </c>
      <c r="D43" s="61">
        <f>IF($B43="","",IFERROR(Accrual!AD$221*'Index Summary'!$C$6/(1-'Index Summary'!$C$6),""))</f>
        <v/>
      </c>
      <c r="E43" s="58">
        <f>IF($B43="","",SUM($D$36:$D43))</f>
        <v/>
      </c>
      <c r="F43" s="64">
        <f>IF($B43="","",IFERROR(($G20+$E43)/$C$5,""))</f>
        <v/>
      </c>
      <c r="G43" s="69">
        <f>IF($B43="","",IFERROR(Accrual!AD$309/Accrual!M$309,""))</f>
        <v/>
      </c>
      <c r="H43" s="61">
        <f>IF($B43="","",IFERROR(Accrual!AD$309*'Index Summary'!$C$6/(1-'Index Summary'!$C$6),""))</f>
        <v/>
      </c>
      <c r="I43" s="59">
        <f>IF($B43="","",SUM($H$36:$H43))</f>
        <v/>
      </c>
      <c r="J43" s="64">
        <f>IF($B43="","",IFERROR(($L20+$I43)/$C$6,""))</f>
        <v/>
      </c>
      <c r="K43" s="66">
        <f>IF($B43="","",IFERROR(($F43-$J43)*10000,""))</f>
        <v/>
      </c>
    </row>
    <row r="44">
      <c r="B44" s="54">
        <f>IF(Expiries!$B24="","",Expiries!$C24)</f>
        <v/>
      </c>
      <c r="C44" s="69">
        <f>IF($B44="","",IFERROR(Accrual!AE$221/Accrual!N$221,""))</f>
        <v/>
      </c>
      <c r="D44" s="61">
        <f>IF($B44="","",IFERROR(Accrual!AE$221*'Index Summary'!$C$6/(1-'Index Summary'!$C$6),""))</f>
        <v/>
      </c>
      <c r="E44" s="58">
        <f>IF($B44="","",SUM($D$36:$D44))</f>
        <v/>
      </c>
      <c r="F44" s="64">
        <f>IF($B44="","",IFERROR(($G21+$E44)/$C$5,""))</f>
        <v/>
      </c>
      <c r="G44" s="69">
        <f>IF($B44="","",IFERROR(Accrual!AE$309/Accrual!N$309,""))</f>
        <v/>
      </c>
      <c r="H44" s="61">
        <f>IF($B44="","",IFERROR(Accrual!AE$309*'Index Summary'!$C$6/(1-'Index Summary'!$C$6),""))</f>
        <v/>
      </c>
      <c r="I44" s="59">
        <f>IF($B44="","",SUM($H$36:$H44))</f>
        <v/>
      </c>
      <c r="J44" s="64">
        <f>IF($B44="","",IFERROR(($L21+$I44)/$C$6,""))</f>
        <v/>
      </c>
      <c r="K44" s="66">
        <f>IF($B44="","",IFERROR(($F44-$J44)*10000,""))</f>
        <v/>
      </c>
    </row>
    <row r="45">
      <c r="B45" s="54">
        <f>IF(Expiries!$B25="","",Expiries!$C25)</f>
        <v/>
      </c>
      <c r="C45" s="69">
        <f>IF($B45="","",IFERROR(Accrual!AF$221/Accrual!O$221,""))</f>
        <v/>
      </c>
      <c r="D45" s="61">
        <f>IF($B45="","",IFERROR(Accrual!AF$221*'Index Summary'!$C$6/(1-'Index Summary'!$C$6),""))</f>
        <v/>
      </c>
      <c r="E45" s="58">
        <f>IF($B45="","",SUM($D$36:$D45))</f>
        <v/>
      </c>
      <c r="F45" s="64">
        <f>IF($B45="","",IFERROR(($G22+$E45)/$C$5,""))</f>
        <v/>
      </c>
      <c r="G45" s="69">
        <f>IF($B45="","",IFERROR(Accrual!AF$309/Accrual!O$309,""))</f>
        <v/>
      </c>
      <c r="H45" s="61">
        <f>IF($B45="","",IFERROR(Accrual!AF$309*'Index Summary'!$C$6/(1-'Index Summary'!$C$6),""))</f>
        <v/>
      </c>
      <c r="I45" s="59">
        <f>IF($B45="","",SUM($H$36:$H45))</f>
        <v/>
      </c>
      <c r="J45" s="64">
        <f>IF($B45="","",IFERROR(($L22+$I45)/$C$6,""))</f>
        <v/>
      </c>
      <c r="K45" s="66">
        <f>IF($B45="","",IFERROR(($F45-$J45)*10000,""))</f>
        <v/>
      </c>
    </row>
    <row r="46">
      <c r="B46" s="54">
        <f>IF(Expiries!$B26="","",Expiries!$C26)</f>
        <v/>
      </c>
      <c r="C46" s="69">
        <f>IF($B46="","",IFERROR(Accrual!AG$221/Accrual!P$221,""))</f>
        <v/>
      </c>
      <c r="D46" s="61">
        <f>IF($B46="","",IFERROR(Accrual!AG$221*'Index Summary'!$C$6/(1-'Index Summary'!$C$6),""))</f>
        <v/>
      </c>
      <c r="E46" s="58">
        <f>IF($B46="","",SUM($D$36:$D46))</f>
        <v/>
      </c>
      <c r="F46" s="64">
        <f>IF($B46="","",IFERROR(($G23+$E46)/$C$5,""))</f>
        <v/>
      </c>
      <c r="G46" s="69">
        <f>IF($B46="","",IFERROR(Accrual!AG$309/Accrual!P$309,""))</f>
        <v/>
      </c>
      <c r="H46" s="61">
        <f>IF($B46="","",IFERROR(Accrual!AG$309*'Index Summary'!$C$6/(1-'Index Summary'!$C$6),""))</f>
        <v/>
      </c>
      <c r="I46" s="59">
        <f>IF($B46="","",SUM($H$36:$H46))</f>
        <v/>
      </c>
      <c r="J46" s="64">
        <f>IF($B46="","",IFERROR(($L23+$I46)/$C$6,""))</f>
        <v/>
      </c>
      <c r="K46" s="66">
        <f>IF($B46="","",IFERROR(($F46-$J46)*10000,""))</f>
        <v/>
      </c>
    </row>
    <row r="47">
      <c r="B47" s="54">
        <f>IF(Expiries!$B27="","",Expiries!$C27)</f>
        <v/>
      </c>
      <c r="C47" s="69">
        <f>IF($B47="","",IFERROR(Accrual!AH$221/Accrual!Q$221,""))</f>
        <v/>
      </c>
      <c r="D47" s="61">
        <f>IF($B47="","",IFERROR(Accrual!AH$221*'Index Summary'!$C$6/(1-'Index Summary'!$C$6),""))</f>
        <v/>
      </c>
      <c r="E47" s="58">
        <f>IF($B47="","",SUM($D$36:$D47))</f>
        <v/>
      </c>
      <c r="F47" s="64">
        <f>IF($B47="","",IFERROR(($G24+$E47)/$C$5,""))</f>
        <v/>
      </c>
      <c r="G47" s="69">
        <f>IF($B47="","",IFERROR(Accrual!AH$309/Accrual!Q$309,""))</f>
        <v/>
      </c>
      <c r="H47" s="61">
        <f>IF($B47="","",IFERROR(Accrual!AH$309*'Index Summary'!$C$6/(1-'Index Summary'!$C$6),""))</f>
        <v/>
      </c>
      <c r="I47" s="59">
        <f>IF($B47="","",SUM($H$36:$H47))</f>
        <v/>
      </c>
      <c r="J47" s="64">
        <f>IF($B47="","",IFERROR(($L24+$I47)/$C$6,""))</f>
        <v/>
      </c>
      <c r="K47" s="66">
        <f>IF($B47="","",IFERROR(($F47-$J47)*10000,""))</f>
        <v/>
      </c>
    </row>
    <row r="48">
      <c r="B48" s="54">
        <f>IF(Expiries!$B28="","",Expiries!$C28)</f>
        <v/>
      </c>
      <c r="C48" s="69">
        <f>IF($B48="","",IFERROR(Accrual!AI$221/Accrual!R$221,""))</f>
        <v/>
      </c>
      <c r="D48" s="61">
        <f>IF($B48="","",IFERROR(Accrual!AI$221*'Index Summary'!$C$6/(1-'Index Summary'!$C$6),""))</f>
        <v/>
      </c>
      <c r="E48" s="58">
        <f>IF($B48="","",SUM($D$36:$D48))</f>
        <v/>
      </c>
      <c r="F48" s="64">
        <f>IF($B48="","",IFERROR(($G25+$E48)/$C$5,""))</f>
        <v/>
      </c>
      <c r="G48" s="69">
        <f>IF($B48="","",IFERROR(Accrual!AI$309/Accrual!R$309,""))</f>
        <v/>
      </c>
      <c r="H48" s="61">
        <f>IF($B48="","",IFERROR(Accrual!AI$309*'Index Summary'!$C$6/(1-'Index Summary'!$C$6),""))</f>
        <v/>
      </c>
      <c r="I48" s="59">
        <f>IF($B48="","",SUM($H$36:$H48))</f>
        <v/>
      </c>
      <c r="J48" s="64">
        <f>IF($B48="","",IFERROR(($L25+$I48)/$C$6,""))</f>
        <v/>
      </c>
      <c r="K48" s="66">
        <f>IF($B48="","",IFERROR(($F48-$J48)*10000,""))</f>
        <v/>
      </c>
    </row>
    <row r="49">
      <c r="B49" s="54">
        <f>IF(Expiries!$B29="","",Expiries!$C29)</f>
        <v/>
      </c>
      <c r="C49" s="69">
        <f>IF($B49="","",IFERROR(Accrual!AJ$221/Accrual!S$221,""))</f>
        <v/>
      </c>
      <c r="D49" s="61">
        <f>IF($B49="","",IFERROR(Accrual!AJ$221*'Index Summary'!$C$6/(1-'Index Summary'!$C$6),""))</f>
        <v/>
      </c>
      <c r="E49" s="58">
        <f>IF($B49="","",SUM($D$36:$D49))</f>
        <v/>
      </c>
      <c r="F49" s="64">
        <f>IF($B49="","",IFERROR(($G26+$E49)/$C$5,""))</f>
        <v/>
      </c>
      <c r="G49" s="69">
        <f>IF($B49="","",IFERROR(Accrual!AJ$309/Accrual!S$309,""))</f>
        <v/>
      </c>
      <c r="H49" s="61">
        <f>IF($B49="","",IFERROR(Accrual!AJ$309*'Index Summary'!$C$6/(1-'Index Summary'!$C$6),""))</f>
        <v/>
      </c>
      <c r="I49" s="59">
        <f>IF($B49="","",SUM($H$36:$H49))</f>
        <v/>
      </c>
      <c r="J49" s="64">
        <f>IF($B49="","",IFERROR(($L26+$I49)/$C$6,""))</f>
        <v/>
      </c>
      <c r="K49" s="66">
        <f>IF($B49="","",IFERROR(($F49-$J49)*10000,""))</f>
        <v/>
      </c>
    </row>
    <row r="50">
      <c r="B50" s="54">
        <f>IF(Expiries!$B30="","",Expiries!$C30)</f>
        <v/>
      </c>
      <c r="C50" s="69">
        <f>IF($B50="","",IFERROR(Accrual!AK$221/Accrual!T$221,""))</f>
        <v/>
      </c>
      <c r="D50" s="61">
        <f>IF($B50="","",IFERROR(Accrual!AK$221*'Index Summary'!$C$6/(1-'Index Summary'!$C$6),""))</f>
        <v/>
      </c>
      <c r="E50" s="58">
        <f>IF($B50="","",SUM($D$36:$D50))</f>
        <v/>
      </c>
      <c r="F50" s="64">
        <f>IF($B50="","",IFERROR(($G27+$E50)/$C$5,""))</f>
        <v/>
      </c>
      <c r="G50" s="69">
        <f>IF($B50="","",IFERROR(Accrual!AK$309/Accrual!T$309,""))</f>
        <v/>
      </c>
      <c r="H50" s="61">
        <f>IF($B50="","",IFERROR(Accrual!AK$309*'Index Summary'!$C$6/(1-'Index Summary'!$C$6),""))</f>
        <v/>
      </c>
      <c r="I50" s="59">
        <f>IF($B50="","",SUM($H$36:$H50))</f>
        <v/>
      </c>
      <c r="J50" s="64">
        <f>IF($B50="","",IFERROR(($L27+$I50)/$C$6,""))</f>
        <v/>
      </c>
      <c r="K50" s="66">
        <f>IF($B50="","",IFERROR(($F50-$J50)*10000,""))</f>
        <v/>
      </c>
    </row>
    <row r="51">
      <c r="B51" s="54">
        <f>IF(Expiries!$B31="","",Expiries!$C31)</f>
        <v/>
      </c>
      <c r="C51" s="69">
        <f>IF($B51="","",IFERROR(Accrual!AL$221/Accrual!U$221,""))</f>
        <v/>
      </c>
      <c r="D51" s="61">
        <f>IF($B51="","",IFERROR(Accrual!AL$221*'Index Summary'!$C$6/(1-'Index Summary'!$C$6),""))</f>
        <v/>
      </c>
      <c r="E51" s="58">
        <f>IF($B51="","",SUM($D$36:$D51))</f>
        <v/>
      </c>
      <c r="F51" s="64">
        <f>IF($B51="","",IFERROR(($G28+$E51)/$C$5,""))</f>
        <v/>
      </c>
      <c r="G51" s="69">
        <f>IF($B51="","",IFERROR(Accrual!AL$309/Accrual!U$309,""))</f>
        <v/>
      </c>
      <c r="H51" s="61">
        <f>IF($B51="","",IFERROR(Accrual!AL$309*'Index Summary'!$C$6/(1-'Index Summary'!$C$6),""))</f>
        <v/>
      </c>
      <c r="I51" s="59">
        <f>IF($B51="","",SUM($H$36:$H51))</f>
        <v/>
      </c>
      <c r="J51" s="64">
        <f>IF($B51="","",IFERROR(($L28+$I51)/$C$6,""))</f>
        <v/>
      </c>
      <c r="K51" s="66">
        <f>IF($B51="","",IFERROR(($F51-$J51)*10000,""))</f>
        <v/>
      </c>
    </row>
    <row r="53">
      <c r="B53" s="6" t="inlineStr">
        <is>
          <t>BEFORE YOU TRADE OFF THIS</t>
        </is>
      </c>
    </row>
    <row r="54">
      <c r="B54" s="5" t="inlineStr">
        <is>
          <t>-</t>
        </is>
      </c>
      <c r="C54" s="2" t="inlineStr">
        <is>
          <t>The cash spread (N) prices dividends as cash. The grossed spread (K) adds franking credits at full value - the gap between them is what franking is worth per contract to an investor who can use the credits.</t>
        </is>
      </c>
    </row>
    <row r="55">
      <c r="B55" s="5" t="inlineStr">
        <is>
          <t>-</t>
        </is>
      </c>
      <c r="C55" s="2" t="inlineStr">
        <is>
          <t>Futures price dividends as CASH to the marginal holder - compare implied dividends from futures against column G/L, and the franking columns tell you how much credit value sits on top.</t>
        </is>
      </c>
    </row>
    <row r="56">
      <c r="B56" s="5" t="inlineStr">
        <is>
          <t>-</t>
        </is>
      </c>
      <c r="C56" s="2" t="inlineStr">
        <is>
          <t>If Covered? shows CHECK, that contract's dividends are understated - Bloomberg's projections stop early. See the checks on Dvd Calendar row 3.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2" customWidth="1" min="4" max="4"/>
    <col width="78" customWidth="1" min="5" max="5"/>
  </cols>
  <sheetData>
    <row r="2">
      <c r="B2" s="1" t="inlineStr">
        <is>
          <t>FIELD MNEMONIC TESTER</t>
        </is>
      </c>
    </row>
    <row r="3">
      <c r="B3" s="3" t="inlineStr">
        <is>
          <t>Test ticker</t>
        </is>
      </c>
      <c r="C3" s="10" t="inlineStr">
        <is>
          <t>BHP AU Equity</t>
        </is>
      </c>
      <c r="E3" s="2" t="inlineStr">
        <is>
          <t>BHP pays fully franked dividends, so a working franking field should return 100 here.</t>
        </is>
      </c>
    </row>
    <row r="4">
      <c r="B4" s="4" t="inlineStr">
        <is>
          <t>FRANKING FIELD (CONFIRMED)</t>
        </is>
      </c>
      <c r="C4" s="11" t="inlineStr">
        <is>
          <t>EQY_DVD_PCT_FRANKED</t>
        </is>
      </c>
      <c r="E4" s="4" t="inlineStr">
        <is>
          <t>Confirmed working on terminal. Both data tabs read their franking mnemonic from this cell - change it here and it flows everywhere.</t>
        </is>
      </c>
    </row>
    <row r="7">
      <c r="B7" s="12" t="inlineStr">
        <is>
          <t>Field</t>
        </is>
      </c>
      <c r="C7" s="12" t="inlineStr">
        <is>
          <t>Result</t>
        </is>
      </c>
      <c r="D7" s="12" t="inlineStr">
        <is>
          <t>Status</t>
        </is>
      </c>
      <c r="E7" s="12" t="inlineStr">
        <is>
          <t>Notes</t>
        </is>
      </c>
    </row>
    <row r="8">
      <c r="B8" s="13" t="inlineStr">
        <is>
          <t>--- IN USE (all confirmed working) ---</t>
        </is>
      </c>
      <c r="C8" s="14" t="n"/>
      <c r="D8" s="14" t="n"/>
      <c r="E8" s="14" t="n"/>
    </row>
    <row r="9">
      <c r="B9" s="15" t="inlineStr">
        <is>
          <t>EQY_DVD_PCT_FRANKED</t>
        </is>
      </c>
      <c r="C9" s="16">
        <f>BDP($C$3,$B9)</f>
        <v/>
      </c>
      <c r="D9" s="16">
        <f>IF(ISNUMBER(C9),"OK - numeric",IF(C9="","blank / no data",IF(ISTEXT(C9),"OK - text","INVALID or error")))</f>
        <v/>
      </c>
      <c r="E9" s="17" t="inlineStr">
        <is>
          <t>Franked %. Returns 100 for fully franked. Confirmed.</t>
        </is>
      </c>
    </row>
    <row r="10">
      <c r="B10" s="15" t="inlineStr">
        <is>
          <t>EQY_DVD_SH_12M</t>
        </is>
      </c>
      <c r="C10" s="16">
        <f>BDP($C$3,$B10)</f>
        <v/>
      </c>
      <c r="D10" s="16">
        <f>IF(ISNUMBER(C10),"OK - numeric",IF(C10="","blank / no data",IF(ISTEXT(C10),"OK - text","INVALID or error")))</f>
        <v/>
      </c>
      <c r="E10" s="17" t="inlineStr">
        <is>
          <t>Gross DPS paid over trailing 12 months, in trading currency.</t>
        </is>
      </c>
    </row>
    <row r="11">
      <c r="B11" s="15" t="inlineStr">
        <is>
          <t>EQY_DVD_YLD_12M</t>
        </is>
      </c>
      <c r="C11" s="16">
        <f>BDP($C$3,$B11)</f>
        <v/>
      </c>
      <c r="D11" s="16">
        <f>IF(ISNUMBER(C11),"OK - numeric",IF(C11="","blank / no data",IF(ISTEXT(C11),"OK - text","INVALID or error")))</f>
        <v/>
      </c>
      <c r="E11" s="17" t="inlineStr">
        <is>
          <t>Trailing 12-month gross dividend yield, %.</t>
        </is>
      </c>
    </row>
    <row r="12">
      <c r="B12" s="15" t="inlineStr">
        <is>
          <t>EQY_DVD_YLD_IND</t>
        </is>
      </c>
      <c r="C12" s="16">
        <f>BDP($C$3,$B12)</f>
        <v/>
      </c>
      <c r="D12" s="16">
        <f>IF(ISNUMBER(C12),"OK - numeric",IF(C12="","blank / no data",IF(ISTEXT(C12),"OK - text","INVALID or error")))</f>
        <v/>
      </c>
      <c r="E12" s="17" t="inlineStr">
        <is>
          <t>Indicated gross dividend yield, %. Primary bottom-up input.</t>
        </is>
      </c>
    </row>
    <row r="13">
      <c r="B13" s="15" t="inlineStr">
        <is>
          <t>NAME</t>
        </is>
      </c>
      <c r="C13" s="16">
        <f>BDP($C$3,$B13)</f>
        <v/>
      </c>
      <c r="D13" s="16">
        <f>IF(ISNUMBER(C13),"OK - numeric",IF(C13="","blank / no data",IF(ISTEXT(C13),"OK - text","INVALID or error")))</f>
        <v/>
      </c>
      <c r="E13" s="17" t="inlineStr">
        <is>
          <t>Company name. If this fails, the ticker or the add-in is the problem, not the field.</t>
        </is>
      </c>
    </row>
    <row r="14">
      <c r="B14" s="13" t="inlineStr">
        <is>
          <t>--- NEXT / UPCOMING DIVIDEND: RESOLVED - see the v4 block below ---</t>
        </is>
      </c>
      <c r="C14" s="14" t="n"/>
      <c r="D14" s="14" t="n"/>
      <c r="E14" s="14" t="n"/>
    </row>
    <row r="15">
      <c r="B15" s="15" t="inlineStr">
        <is>
          <t>BDVD_PROJ_DIV_AMT</t>
        </is>
      </c>
      <c r="C15" s="16">
        <f>BDP($C$3,$B15)</f>
        <v/>
      </c>
      <c r="D15" s="16">
        <f>IF(ISNUMBER(C15),"OK - numeric",IF(C15="","blank / no data",IF(ISTEXT(C15),"OK - text","INVALID or error")))</f>
        <v/>
      </c>
      <c r="E15" s="17" t="inlineStr">
        <is>
          <t>Single next projected amount. Superseded by BDVD_ALL_PROJECTIONS, which returns the full schedule.</t>
        </is>
      </c>
    </row>
    <row r="16">
      <c r="B16" s="15" t="inlineStr">
        <is>
          <t>BDVD_PROJ_DIV_EX_DT</t>
        </is>
      </c>
      <c r="C16" s="16">
        <f>BDP($C$3,$B16)</f>
        <v/>
      </c>
      <c r="D16" s="16">
        <f>IF(ISNUMBER(C16),"OK - numeric",IF(C16="","blank / no data",IF(ISTEXT(C16),"OK - text","INVALID or error")))</f>
        <v/>
      </c>
      <c r="E16" s="17" t="inlineStr">
        <is>
          <t>Projected ex-date to go with the above.</t>
        </is>
      </c>
    </row>
    <row r="17">
      <c r="B17" s="15" t="inlineStr">
        <is>
          <t>EQY_DVD_SH_LAST</t>
        </is>
      </c>
      <c r="C17" s="16">
        <f>BDP($C$3,$B17)</f>
        <v/>
      </c>
      <c r="D17" s="16">
        <f>IF(ISNUMBER(C17),"OK - numeric",IF(C17="","blank / no data",IF(ISTEXT(C17),"OK - text","INVALID or error")))</f>
        <v/>
      </c>
      <c r="E17" s="17" t="inlineStr">
        <is>
          <t>Most recent declared gross DPS. Not forward-looking, but it always works and is often close enough.</t>
        </is>
      </c>
    </row>
    <row r="18">
      <c r="B18" s="15" t="inlineStr">
        <is>
          <t>DVD_SH_LAST</t>
        </is>
      </c>
      <c r="C18" s="16">
        <f>BDP($C$3,$B18)</f>
        <v/>
      </c>
      <c r="D18" s="16">
        <f>IF(ISNUMBER(C18),"OK - numeric",IF(C18="","blank / no data",IF(ISTEXT(C18),"OK - text","INVALID or error")))</f>
        <v/>
      </c>
      <c r="E18" s="17" t="inlineStr">
        <is>
          <t>Shorter variant of the above - test which one your terminal takes.</t>
        </is>
      </c>
    </row>
    <row r="19">
      <c r="B19" s="15" t="inlineStr">
        <is>
          <t>EQY_DVD_SH_NEXT</t>
        </is>
      </c>
      <c r="C19" s="16">
        <f>BDP($C$3,$B19)</f>
        <v/>
      </c>
      <c r="D19" s="16">
        <f>IF(ISNUMBER(C19),"OK - numeric",IF(C19="","blank / no data",IF(ISTEXT(C19),"OK - text","INVALID or error")))</f>
        <v/>
      </c>
      <c r="E19" s="17" t="inlineStr">
        <is>
          <t>YOUR ATTEMPT - returns Invalid Field. Kept here only so nobody retries it.</t>
        </is>
      </c>
    </row>
    <row r="20">
      <c r="B20" s="13" t="inlineStr">
        <is>
          <t>--- CONTEXT FROM V2 ---</t>
        </is>
      </c>
      <c r="C20" s="14" t="n"/>
      <c r="D20" s="14" t="n"/>
      <c r="E20" s="14" t="n"/>
    </row>
    <row r="21">
      <c r="B21" s="2" t="inlineStr">
        <is>
          <t>GICS_SECTOR_NAME</t>
        </is>
      </c>
      <c r="D21" s="2" t="inlineStr">
        <is>
          <t>not pulled</t>
        </is>
      </c>
      <c r="E21" s="2" t="inlineStr">
        <is>
          <t>Pulled on the data tabs (column E) and rolled up on the Sector tab.</t>
        </is>
      </c>
    </row>
    <row r="22">
      <c r="B22" s="2" t="inlineStr">
        <is>
          <t>CUR_MKT_CAP / PX_LAST / CRNCY</t>
        </is>
      </c>
      <c r="D22" s="2" t="inlineStr">
        <is>
          <t>not pulled</t>
        </is>
      </c>
      <c r="E22" s="2" t="inlineStr">
        <is>
          <t>Not used by any calculation. Weights now come from your pasted index shares and divisor (v4).</t>
        </is>
      </c>
    </row>
    <row r="23">
      <c r="B23" s="2" t="inlineStr">
        <is>
          <t>BEST_DIV_YLD / DVD_PAYOUT_RATIO</t>
        </is>
      </c>
      <c r="D23" s="2" t="inlineStr">
        <is>
          <t>not pulled</t>
        </is>
      </c>
      <c r="E23" s="2" t="inlineStr">
        <is>
          <t>Forward and context metrics. Not part of steps 1-4.</t>
        </is>
      </c>
    </row>
    <row r="25">
      <c r="B25" s="4" t="inlineStr">
        <is>
          <t>FORWARD DIVIDENDS - RESOLVED</t>
        </is>
      </c>
    </row>
    <row r="26" ht="26" customHeight="1">
      <c r="B26" s="5" t="inlineStr">
        <is>
          <t>-</t>
        </is>
      </c>
      <c r="C26" s="18" t="inlineStr">
        <is>
          <t>BDVD_ALL_PROJECTIONS (v4 block below) returns the full projected schedule - ex-dates and amounts running years out. Needs the BDVD entitlement; the single-value candidates above are superseded.</t>
        </is>
      </c>
    </row>
    <row r="27" ht="26" customHeight="1">
      <c r="B27" s="2" t="n"/>
      <c r="C27" s="18" t="n"/>
    </row>
    <row r="28" ht="26" customHeight="1">
      <c r="B28" s="2" t="n"/>
      <c r="C28" s="18" t="n"/>
    </row>
    <row r="29" ht="26" customHeight="1">
      <c r="B29" s="2" t="n"/>
      <c r="C29" s="18" t="n"/>
    </row>
    <row r="31">
      <c r="B31" s="3" t="inlineStr">
        <is>
          <t>OTHER SYNTAX</t>
        </is>
      </c>
    </row>
    <row r="32">
      <c r="B32" s="19" t="inlineStr">
        <is>
          <t>Purpose</t>
        </is>
      </c>
      <c r="C32" s="19" t="inlineStr">
        <is>
          <t>Formula</t>
        </is>
      </c>
      <c r="D32" s="19" t="inlineStr">
        <is>
          <t>Notes</t>
        </is>
      </c>
    </row>
    <row r="33">
      <c r="B33" s="16" t="inlineStr">
        <is>
          <t>Members (names only)</t>
        </is>
      </c>
      <c r="C33" s="16" t="inlineStr">
        <is>
          <t>'=BDS("AS51 Index","INDX_MEMBERS")</t>
        </is>
      </c>
      <c r="D33" s="70" t="n"/>
      <c r="E33" s="17" t="inlineStr">
        <is>
          <t>What the data tabs use - no weight entitlement needed. Weights come from your pasted shares.</t>
        </is>
      </c>
    </row>
    <row r="34">
      <c r="B34" s="20" t="inlineStr">
        <is>
          <t>Dividend history</t>
        </is>
      </c>
      <c r="C34" s="15" t="inlineStr">
        <is>
          <t>'=BDS($C$3,"DVD_HIST_ALL","DVD_START_DT","20250801","DVD_END_DT","20260803")</t>
        </is>
      </c>
      <c r="D34" s="70" t="n"/>
      <c r="E34" s="17" t="inlineStr">
        <is>
          <t>Dividend history. Spills a DIFFERENT shape from the projections pull - vertical, more columns. Reference only; nothing reads it any more.</t>
        </is>
      </c>
    </row>
    <row r="35">
      <c r="B35" s="16" t="inlineStr">
        <is>
          <t>Index yield now (12M)</t>
        </is>
      </c>
      <c r="C35" s="16" t="inlineStr">
        <is>
          <t>'=BDP("AS51 Index","EQY_DVD_YLD_12M")</t>
        </is>
      </c>
      <c r="D35" s="70" t="n"/>
      <c r="E35" s="17" t="inlineStr">
        <is>
          <t>EQY_DVD_YLD_IND returns N/A at index level - 12M is the field that works.</t>
        </is>
      </c>
    </row>
    <row r="36">
      <c r="B36" s="20" t="inlineStr">
        <is>
          <t>Suppress errors at source</t>
        </is>
      </c>
      <c r="C36" s="15" t="inlineStr">
        <is>
          <t>'=IFERROR(BDP($C$3,"EQY_DVD_YLD_IND"),0)</t>
        </is>
      </c>
      <c r="D36" s="70" t="n"/>
      <c r="E36" s="17" t="inlineStr">
        <is>
          <t>Excel-side, always works. Preferred over Bloomberg's own fill parameters, which vary by add-in version.</t>
        </is>
      </c>
    </row>
    <row r="37">
      <c r="B37" s="5" t="inlineStr">
        <is>
          <t>Index yield, point-in-time</t>
        </is>
      </c>
      <c r="C37" s="5" t="inlineStr">
        <is>
          <t>'=BDH("AS51 Index","EQY_DVD_YLD_12M","20260630","20260630")</t>
        </is>
      </c>
    </row>
    <row r="38">
      <c r="B38" s="5" t="inlineStr">
        <is>
          <t>Index yield, monthly history</t>
        </is>
      </c>
      <c r="C38" s="5" t="inlineStr">
        <is>
          <t>'=BDH("AS51 Index","EQY_DVD_YLD_12M","20150101","20260804","per=m")</t>
        </is>
      </c>
      <c r="E38" s="2" t="inlineStr">
        <is>
          <t>Spills down - park it on a scratch sheet, not here.</t>
        </is>
      </c>
    </row>
    <row r="39">
      <c r="B39" s="2" t="inlineStr">
        <is>
          <t>Formulas shown as text - copy and drop the leading apostrophe.</t>
        </is>
      </c>
    </row>
    <row r="41">
      <c r="B41" s="4" t="inlineStr">
        <is>
          <t>v4 - FIELDS THE CALENDAR USES</t>
        </is>
      </c>
    </row>
    <row r="42">
      <c r="B42" s="5" t="inlineStr">
        <is>
          <t>Projected dividends (BDS)</t>
        </is>
      </c>
      <c r="C42" s="71" t="inlineStr">
        <is>
          <t>BDVD_ALL_PROJECTIONS</t>
        </is>
      </c>
      <c r="E42" s="2" t="inlineStr">
        <is>
          <t>Confirmed working. Full projected schedule; Dvd Calendar reads this cell - a wrong mnemonic is a one-cell fix.</t>
        </is>
      </c>
    </row>
    <row r="43">
      <c r="B43" s="5" t="inlineStr">
        <is>
          <t>Dividend currency (BDP)</t>
        </is>
      </c>
      <c r="C43" s="71" t="inlineStr">
        <is>
          <t>EQY_DVD_CRNCY</t>
        </is>
      </c>
      <c r="E43" s="2" t="inlineStr">
        <is>
          <t>Confirmed working. Feeds the Dvd FX column on the data tabs.</t>
        </is>
      </c>
    </row>
    <row r="45">
      <c r="B45" s="3" t="inlineStr">
        <is>
          <t>LIVE SAMPLE - the exact calendar pull</t>
        </is>
      </c>
      <c r="E45" s="2" t="inlineStr">
        <is>
          <t>Two rows spill right: ex-dates on top, amounts underneath. If this is empty, the calendar is empty too (that is the BDVD entitlement).</t>
        </is>
      </c>
    </row>
    <row r="46">
      <c r="C46" s="5">
        <f>BDS($C$3,$C$42,"headers=y","startcol=2","endcol=3","dir=h")</f>
        <v/>
      </c>
    </row>
    <row r="49">
      <c r="B49" s="2" t="inlineStr">
        <is>
          <t>Keep the rows to the right of the sample clear - it spills as far as it needs.</t>
        </is>
      </c>
    </row>
  </sheetData>
  <mergeCells count="8">
    <mergeCell ref="C34:D34"/>
    <mergeCell ref="C28:E28"/>
    <mergeCell ref="C27:E27"/>
    <mergeCell ref="C33:D33"/>
    <mergeCell ref="C36:D36"/>
    <mergeCell ref="C26:E26"/>
    <mergeCell ref="C29:E29"/>
    <mergeCell ref="C35:D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S&amp;P/ASX 200 (AS51) - MEMBERS, DIVIDENDS &amp; FRANKING</t>
        </is>
      </c>
    </row>
    <row r="2">
      <c r="A2" s="3" t="inlineStr">
        <is>
          <t>Index ticker</t>
        </is>
      </c>
      <c r="B2" s="10" t="inlineStr">
        <is>
          <t>AS51 Index</t>
        </is>
      </c>
      <c r="C2" s="3" t="inlineStr">
        <is>
          <t>Index ccy</t>
        </is>
      </c>
      <c r="D2" s="72" t="inlineStr">
        <is>
          <t>AUD</t>
        </is>
      </c>
      <c r="E2" s="3" t="inlineStr">
        <is>
          <t>Members returned</t>
        </is>
      </c>
      <c r="H2" s="22">
        <f>SUMPRODUCT(($A$6:$A$275&lt;&gt;"")*1)</f>
        <v/>
      </c>
      <c r="J2" s="3" t="inlineStr">
        <is>
          <t>No dividend</t>
        </is>
      </c>
      <c r="L2" s="22">
        <f>COUNTIF($N$6:$N$275,"No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3" t="n"/>
      <c r="C3" s="3" t="inlineStr">
        <is>
          <t>AUD -&gt; index ccy</t>
        </is>
      </c>
      <c r="D3" s="105">
        <f>IF($D$2="AUD",1,BDP("AUD"&amp;$D$2&amp;" Curncy","PX_LAST"))</f>
        <v/>
      </c>
      <c r="E3" s="3" t="inlineStr">
        <is>
          <t>Dividend payers</t>
        </is>
      </c>
      <c r="H3" s="22">
        <f>COUNTIF($N$6:$N$275,"OK")+COUNTIF($N$6:$N$275,"Frank assumed")</f>
        <v/>
      </c>
      <c r="J3" s="3" t="inlineStr">
        <is>
          <t>Frank assumed</t>
        </is>
      </c>
      <c r="L3" s="22">
        <f>COUNTIF($N$6:$N$275,"Frank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3">
        <f>IFERROR(SUM($J$6:$J$275),"")</f>
        <v/>
      </c>
      <c r="K4" s="63">
        <f>IFERROR(SUM($K$6:$K$275),"")</f>
        <v/>
      </c>
      <c r="L4" s="63">
        <f>IFERROR(SUM($L$6:$L$275),"")</f>
        <v/>
      </c>
      <c r="M4" s="24" t="n"/>
      <c r="N4" s="75">
        <f>IFERROR(SUMIF($N$6:$N$275,"OK",$J$6:$J$275)/$J$4,"")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3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3" t="inlineStr">
        <is>
          <t>Dvd 12M
(pts)</t>
        </is>
      </c>
      <c r="K5" s="53" t="inlineStr">
        <is>
          <t>Franked
(pts)</t>
        </is>
      </c>
      <c r="L5" s="53" t="inlineStr">
        <is>
          <t>Unfranked
(pts)</t>
        </is>
      </c>
      <c r="M5" s="26" t="n"/>
      <c r="N5" s="26" t="inlineStr">
        <is>
          <t>Status</t>
        </is>
      </c>
      <c r="P5" s="53" t="inlineStr">
        <is>
          <t>Dvd
CCY</t>
        </is>
      </c>
      <c r="Q5" s="53" t="inlineStr">
        <is>
          <t>Dvd FX</t>
        </is>
      </c>
    </row>
    <row r="6">
      <c r="A6" s="16">
        <f>BDS($B$2,"INDX_MEMBERS")</f>
        <v/>
      </c>
      <c r="B6" s="76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06">
        <f>IFERROR(IF($B6="","",IF(ISNUMBER($F6),$B6*$F6*$D$3/$B$3,0)),"")</f>
        <v/>
      </c>
      <c r="K6" s="106">
        <f>IFERROR(IF($J6="","",$J6*IF(ISNUMBER($I6),$I6,'Index Summary'!$C$7)/100),"")</f>
        <v/>
      </c>
      <c r="L6" s="106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7">
        <f>IF($N6="No dividend","",IF($C6="","",BDP($C6,'Field Check'!$C$43)))</f>
        <v/>
      </c>
      <c r="Q6" s="105">
        <f>IFERROR(IF(LEN($P6)&lt;&gt;3,1,IF($P6=$D$2,1,BDP($P6&amp;$D$2&amp;" Curncy","PX_LAST"))),1)</f>
        <v/>
      </c>
    </row>
    <row r="7">
      <c r="A7" s="16" t="n"/>
      <c r="B7" s="76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06">
        <f>IFERROR(IF($B7="","",IF(ISNUMBER($F7),$B7*$F7*$D$3/$B$3,0)),"")</f>
        <v/>
      </c>
      <c r="K7" s="106">
        <f>IFERROR(IF($J7="","",$J7*IF(ISNUMBER($I7),$I7,'Index Summary'!$C$7)/100),"")</f>
        <v/>
      </c>
      <c r="L7" s="106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7">
        <f>IF($N7="No dividend","",IF($C7="","",BDP($C7,'Field Check'!$C$43)))</f>
        <v/>
      </c>
      <c r="Q7" s="105">
        <f>IFERROR(IF(LEN($P7)&lt;&gt;3,1,IF($P7=$D$2,1,BDP($P7&amp;$D$2&amp;" Curncy","PX_LAST"))),1)</f>
        <v/>
      </c>
    </row>
    <row r="8">
      <c r="A8" s="27" t="n"/>
      <c r="B8" s="76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06">
        <f>IFERROR(IF($B8="","",IF(ISNUMBER($F8),$B8*$F8*$D$3/$B$3,0)),"")</f>
        <v/>
      </c>
      <c r="K8" s="106">
        <f>IFERROR(IF($J8="","",$J8*IF(ISNUMBER($I8),$I8,'Index Summary'!$C$7)/100),"")</f>
        <v/>
      </c>
      <c r="L8" s="106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7">
        <f>IF($N8="No dividend","",IF($C8="","",BDP($C8,'Field Check'!$C$43)))</f>
        <v/>
      </c>
      <c r="Q8" s="105">
        <f>IFERROR(IF(LEN($P8)&lt;&gt;3,1,IF($P8=$D$2,1,BDP($P8&amp;$D$2&amp;" Curncy","PX_LAST"))),1)</f>
        <v/>
      </c>
    </row>
    <row r="9">
      <c r="A9" s="16" t="n"/>
      <c r="B9" s="76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06">
        <f>IFERROR(IF($B9="","",IF(ISNUMBER($F9),$B9*$F9*$D$3/$B$3,0)),"")</f>
        <v/>
      </c>
      <c r="K9" s="106">
        <f>IFERROR(IF($J9="","",$J9*IF(ISNUMBER($I9),$I9,'Index Summary'!$C$7)/100),"")</f>
        <v/>
      </c>
      <c r="L9" s="106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7">
        <f>IF($N9="No dividend","",IF($C9="","",BDP($C9,'Field Check'!$C$43)))</f>
        <v/>
      </c>
      <c r="Q9" s="105">
        <f>IFERROR(IF(LEN($P9)&lt;&gt;3,1,IF($P9=$D$2,1,BDP($P9&amp;$D$2&amp;" Curncy","PX_LAST"))),1)</f>
        <v/>
      </c>
    </row>
    <row r="10">
      <c r="A10" s="27" t="n"/>
      <c r="B10" s="76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06">
        <f>IFERROR(IF($B10="","",IF(ISNUMBER($F10),$B10*$F10*$D$3/$B$3,0)),"")</f>
        <v/>
      </c>
      <c r="K10" s="106">
        <f>IFERROR(IF($J10="","",$J10*IF(ISNUMBER($I10),$I10,'Index Summary'!$C$7)/100),"")</f>
        <v/>
      </c>
      <c r="L10" s="106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7">
        <f>IF($N10="No dividend","",IF($C10="","",BDP($C10,'Field Check'!$C$43)))</f>
        <v/>
      </c>
      <c r="Q10" s="105">
        <f>IFERROR(IF(LEN($P10)&lt;&gt;3,1,IF($P10=$D$2,1,BDP($P10&amp;$D$2&amp;" Curncy","PX_LAST"))),1)</f>
        <v/>
      </c>
    </row>
    <row r="11">
      <c r="A11" s="16" t="n"/>
      <c r="B11" s="76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06">
        <f>IFERROR(IF($B11="","",IF(ISNUMBER($F11),$B11*$F11*$D$3/$B$3,0)),"")</f>
        <v/>
      </c>
      <c r="K11" s="106">
        <f>IFERROR(IF($J11="","",$J11*IF(ISNUMBER($I11),$I11,'Index Summary'!$C$7)/100),"")</f>
        <v/>
      </c>
      <c r="L11" s="106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7">
        <f>IF($N11="No dividend","",IF($C11="","",BDP($C11,'Field Check'!$C$43)))</f>
        <v/>
      </c>
      <c r="Q11" s="105">
        <f>IFERROR(IF(LEN($P11)&lt;&gt;3,1,IF($P11=$D$2,1,BDP($P11&amp;$D$2&amp;" Curncy","PX_LAST"))),1)</f>
        <v/>
      </c>
    </row>
    <row r="12">
      <c r="A12" s="27" t="n"/>
      <c r="B12" s="76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06">
        <f>IFERROR(IF($B12="","",IF(ISNUMBER($F12),$B12*$F12*$D$3/$B$3,0)),"")</f>
        <v/>
      </c>
      <c r="K12" s="106">
        <f>IFERROR(IF($J12="","",$J12*IF(ISNUMBER($I12),$I12,'Index Summary'!$C$7)/100),"")</f>
        <v/>
      </c>
      <c r="L12" s="106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7">
        <f>IF($N12="No dividend","",IF($C12="","",BDP($C12,'Field Check'!$C$43)))</f>
        <v/>
      </c>
      <c r="Q12" s="105">
        <f>IFERROR(IF(LEN($P12)&lt;&gt;3,1,IF($P12=$D$2,1,BDP($P12&amp;$D$2&amp;" Curncy","PX_LAST"))),1)</f>
        <v/>
      </c>
    </row>
    <row r="13">
      <c r="A13" s="16" t="n"/>
      <c r="B13" s="76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06">
        <f>IFERROR(IF($B13="","",IF(ISNUMBER($F13),$B13*$F13*$D$3/$B$3,0)),"")</f>
        <v/>
      </c>
      <c r="K13" s="106">
        <f>IFERROR(IF($J13="","",$J13*IF(ISNUMBER($I13),$I13,'Index Summary'!$C$7)/100),"")</f>
        <v/>
      </c>
      <c r="L13" s="106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7">
        <f>IF($N13="No dividend","",IF($C13="","",BDP($C13,'Field Check'!$C$43)))</f>
        <v/>
      </c>
      <c r="Q13" s="105">
        <f>IFERROR(IF(LEN($P13)&lt;&gt;3,1,IF($P13=$D$2,1,BDP($P13&amp;$D$2&amp;" Curncy","PX_LAST"))),1)</f>
        <v/>
      </c>
    </row>
    <row r="14">
      <c r="A14" s="27" t="n"/>
      <c r="B14" s="76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06">
        <f>IFERROR(IF($B14="","",IF(ISNUMBER($F14),$B14*$F14*$D$3/$B$3,0)),"")</f>
        <v/>
      </c>
      <c r="K14" s="106">
        <f>IFERROR(IF($J14="","",$J14*IF(ISNUMBER($I14),$I14,'Index Summary'!$C$7)/100),"")</f>
        <v/>
      </c>
      <c r="L14" s="106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7">
        <f>IF($N14="No dividend","",IF($C14="","",BDP($C14,'Field Check'!$C$43)))</f>
        <v/>
      </c>
      <c r="Q14" s="105">
        <f>IFERROR(IF(LEN($P14)&lt;&gt;3,1,IF($P14=$D$2,1,BDP($P14&amp;$D$2&amp;" Curncy","PX_LAST"))),1)</f>
        <v/>
      </c>
    </row>
    <row r="15">
      <c r="A15" s="16" t="n"/>
      <c r="B15" s="76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06">
        <f>IFERROR(IF($B15="","",IF(ISNUMBER($F15),$B15*$F15*$D$3/$B$3,0)),"")</f>
        <v/>
      </c>
      <c r="K15" s="106">
        <f>IFERROR(IF($J15="","",$J15*IF(ISNUMBER($I15),$I15,'Index Summary'!$C$7)/100),"")</f>
        <v/>
      </c>
      <c r="L15" s="106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7">
        <f>IF($N15="No dividend","",IF($C15="","",BDP($C15,'Field Check'!$C$43)))</f>
        <v/>
      </c>
      <c r="Q15" s="105">
        <f>IFERROR(IF(LEN($P15)&lt;&gt;3,1,IF($P15=$D$2,1,BDP($P15&amp;$D$2&amp;" Curncy","PX_LAST"))),1)</f>
        <v/>
      </c>
    </row>
    <row r="16">
      <c r="A16" s="27" t="n"/>
      <c r="B16" s="76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06">
        <f>IFERROR(IF($B16="","",IF(ISNUMBER($F16),$B16*$F16*$D$3/$B$3,0)),"")</f>
        <v/>
      </c>
      <c r="K16" s="106">
        <f>IFERROR(IF($J16="","",$J16*IF(ISNUMBER($I16),$I16,'Index Summary'!$C$7)/100),"")</f>
        <v/>
      </c>
      <c r="L16" s="106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7">
        <f>IF($N16="No dividend","",IF($C16="","",BDP($C16,'Field Check'!$C$43)))</f>
        <v/>
      </c>
      <c r="Q16" s="105">
        <f>IFERROR(IF(LEN($P16)&lt;&gt;3,1,IF($P16=$D$2,1,BDP($P16&amp;$D$2&amp;" Curncy","PX_LAST"))),1)</f>
        <v/>
      </c>
    </row>
    <row r="17">
      <c r="A17" s="16" t="n"/>
      <c r="B17" s="76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06">
        <f>IFERROR(IF($B17="","",IF(ISNUMBER($F17),$B17*$F17*$D$3/$B$3,0)),"")</f>
        <v/>
      </c>
      <c r="K17" s="106">
        <f>IFERROR(IF($J17="","",$J17*IF(ISNUMBER($I17),$I17,'Index Summary'!$C$7)/100),"")</f>
        <v/>
      </c>
      <c r="L17" s="106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7">
        <f>IF($N17="No dividend","",IF($C17="","",BDP($C17,'Field Check'!$C$43)))</f>
        <v/>
      </c>
      <c r="Q17" s="105">
        <f>IFERROR(IF(LEN($P17)&lt;&gt;3,1,IF($P17=$D$2,1,BDP($P17&amp;$D$2&amp;" Curncy","PX_LAST"))),1)</f>
        <v/>
      </c>
    </row>
    <row r="18">
      <c r="A18" s="27" t="n"/>
      <c r="B18" s="76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06">
        <f>IFERROR(IF($B18="","",IF(ISNUMBER($F18),$B18*$F18*$D$3/$B$3,0)),"")</f>
        <v/>
      </c>
      <c r="K18" s="106">
        <f>IFERROR(IF($J18="","",$J18*IF(ISNUMBER($I18),$I18,'Index Summary'!$C$7)/100),"")</f>
        <v/>
      </c>
      <c r="L18" s="106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7">
        <f>IF($N18="No dividend","",IF($C18="","",BDP($C18,'Field Check'!$C$43)))</f>
        <v/>
      </c>
      <c r="Q18" s="105">
        <f>IFERROR(IF(LEN($P18)&lt;&gt;3,1,IF($P18=$D$2,1,BDP($P18&amp;$D$2&amp;" Curncy","PX_LAST"))),1)</f>
        <v/>
      </c>
    </row>
    <row r="19">
      <c r="A19" s="16" t="n"/>
      <c r="B19" s="76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06">
        <f>IFERROR(IF($B19="","",IF(ISNUMBER($F19),$B19*$F19*$D$3/$B$3,0)),"")</f>
        <v/>
      </c>
      <c r="K19" s="106">
        <f>IFERROR(IF($J19="","",$J19*IF(ISNUMBER($I19),$I19,'Index Summary'!$C$7)/100),"")</f>
        <v/>
      </c>
      <c r="L19" s="106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7">
        <f>IF($N19="No dividend","",IF($C19="","",BDP($C19,'Field Check'!$C$43)))</f>
        <v/>
      </c>
      <c r="Q19" s="105">
        <f>IFERROR(IF(LEN($P19)&lt;&gt;3,1,IF($P19=$D$2,1,BDP($P19&amp;$D$2&amp;" Curncy","PX_LAST"))),1)</f>
        <v/>
      </c>
    </row>
    <row r="20">
      <c r="A20" s="27" t="n"/>
      <c r="B20" s="76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06">
        <f>IFERROR(IF($B20="","",IF(ISNUMBER($F20),$B20*$F20*$D$3/$B$3,0)),"")</f>
        <v/>
      </c>
      <c r="K20" s="106">
        <f>IFERROR(IF($J20="","",$J20*IF(ISNUMBER($I20),$I20,'Index Summary'!$C$7)/100),"")</f>
        <v/>
      </c>
      <c r="L20" s="106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7">
        <f>IF($N20="No dividend","",IF($C20="","",BDP($C20,'Field Check'!$C$43)))</f>
        <v/>
      </c>
      <c r="Q20" s="105">
        <f>IFERROR(IF(LEN($P20)&lt;&gt;3,1,IF($P20=$D$2,1,BDP($P20&amp;$D$2&amp;" Curncy","PX_LAST"))),1)</f>
        <v/>
      </c>
    </row>
    <row r="21">
      <c r="A21" s="16" t="n"/>
      <c r="B21" s="76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06">
        <f>IFERROR(IF($B21="","",IF(ISNUMBER($F21),$B21*$F21*$D$3/$B$3,0)),"")</f>
        <v/>
      </c>
      <c r="K21" s="106">
        <f>IFERROR(IF($J21="","",$J21*IF(ISNUMBER($I21),$I21,'Index Summary'!$C$7)/100),"")</f>
        <v/>
      </c>
      <c r="L21" s="106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7">
        <f>IF($N21="No dividend","",IF($C21="","",BDP($C21,'Field Check'!$C$43)))</f>
        <v/>
      </c>
      <c r="Q21" s="105">
        <f>IFERROR(IF(LEN($P21)&lt;&gt;3,1,IF($P21=$D$2,1,BDP($P21&amp;$D$2&amp;" Curncy","PX_LAST"))),1)</f>
        <v/>
      </c>
    </row>
    <row r="22">
      <c r="A22" s="27" t="n"/>
      <c r="B22" s="76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06">
        <f>IFERROR(IF($B22="","",IF(ISNUMBER($F22),$B22*$F22*$D$3/$B$3,0)),"")</f>
        <v/>
      </c>
      <c r="K22" s="106">
        <f>IFERROR(IF($J22="","",$J22*IF(ISNUMBER($I22),$I22,'Index Summary'!$C$7)/100),"")</f>
        <v/>
      </c>
      <c r="L22" s="106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7">
        <f>IF($N22="No dividend","",IF($C22="","",BDP($C22,'Field Check'!$C$43)))</f>
        <v/>
      </c>
      <c r="Q22" s="105">
        <f>IFERROR(IF(LEN($P22)&lt;&gt;3,1,IF($P22=$D$2,1,BDP($P22&amp;$D$2&amp;" Curncy","PX_LAST"))),1)</f>
        <v/>
      </c>
    </row>
    <row r="23">
      <c r="A23" s="16" t="n"/>
      <c r="B23" s="76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06">
        <f>IFERROR(IF($B23="","",IF(ISNUMBER($F23),$B23*$F23*$D$3/$B$3,0)),"")</f>
        <v/>
      </c>
      <c r="K23" s="106">
        <f>IFERROR(IF($J23="","",$J23*IF(ISNUMBER($I23),$I23,'Index Summary'!$C$7)/100),"")</f>
        <v/>
      </c>
      <c r="L23" s="106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7">
        <f>IF($N23="No dividend","",IF($C23="","",BDP($C23,'Field Check'!$C$43)))</f>
        <v/>
      </c>
      <c r="Q23" s="105">
        <f>IFERROR(IF(LEN($P23)&lt;&gt;3,1,IF($P23=$D$2,1,BDP($P23&amp;$D$2&amp;" Curncy","PX_LAST"))),1)</f>
        <v/>
      </c>
    </row>
    <row r="24">
      <c r="A24" s="27" t="n"/>
      <c r="B24" s="76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06">
        <f>IFERROR(IF($B24="","",IF(ISNUMBER($F24),$B24*$F24*$D$3/$B$3,0)),"")</f>
        <v/>
      </c>
      <c r="K24" s="106">
        <f>IFERROR(IF($J24="","",$J24*IF(ISNUMBER($I24),$I24,'Index Summary'!$C$7)/100),"")</f>
        <v/>
      </c>
      <c r="L24" s="106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7">
        <f>IF($N24="No dividend","",IF($C24="","",BDP($C24,'Field Check'!$C$43)))</f>
        <v/>
      </c>
      <c r="Q24" s="105">
        <f>IFERROR(IF(LEN($P24)&lt;&gt;3,1,IF($P24=$D$2,1,BDP($P24&amp;$D$2&amp;" Curncy","PX_LAST"))),1)</f>
        <v/>
      </c>
    </row>
    <row r="25">
      <c r="A25" s="16" t="n"/>
      <c r="B25" s="76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06">
        <f>IFERROR(IF($B25="","",IF(ISNUMBER($F25),$B25*$F25*$D$3/$B$3,0)),"")</f>
        <v/>
      </c>
      <c r="K25" s="106">
        <f>IFERROR(IF($J25="","",$J25*IF(ISNUMBER($I25),$I25,'Index Summary'!$C$7)/100),"")</f>
        <v/>
      </c>
      <c r="L25" s="106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7">
        <f>IF($N25="No dividend","",IF($C25="","",BDP($C25,'Field Check'!$C$43)))</f>
        <v/>
      </c>
      <c r="Q25" s="105">
        <f>IFERROR(IF(LEN($P25)&lt;&gt;3,1,IF($P25=$D$2,1,BDP($P25&amp;$D$2&amp;" Curncy","PX_LAST"))),1)</f>
        <v/>
      </c>
    </row>
    <row r="26">
      <c r="A26" s="27" t="n"/>
      <c r="B26" s="76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06">
        <f>IFERROR(IF($B26="","",IF(ISNUMBER($F26),$B26*$F26*$D$3/$B$3,0)),"")</f>
        <v/>
      </c>
      <c r="K26" s="106">
        <f>IFERROR(IF($J26="","",$J26*IF(ISNUMBER($I26),$I26,'Index Summary'!$C$7)/100),"")</f>
        <v/>
      </c>
      <c r="L26" s="106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7">
        <f>IF($N26="No dividend","",IF($C26="","",BDP($C26,'Field Check'!$C$43)))</f>
        <v/>
      </c>
      <c r="Q26" s="105">
        <f>IFERROR(IF(LEN($P26)&lt;&gt;3,1,IF($P26=$D$2,1,BDP($P26&amp;$D$2&amp;" Curncy","PX_LAST"))),1)</f>
        <v/>
      </c>
    </row>
    <row r="27">
      <c r="A27" s="16" t="n"/>
      <c r="B27" s="76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06">
        <f>IFERROR(IF($B27="","",IF(ISNUMBER($F27),$B27*$F27*$D$3/$B$3,0)),"")</f>
        <v/>
      </c>
      <c r="K27" s="106">
        <f>IFERROR(IF($J27="","",$J27*IF(ISNUMBER($I27),$I27,'Index Summary'!$C$7)/100),"")</f>
        <v/>
      </c>
      <c r="L27" s="106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7">
        <f>IF($N27="No dividend","",IF($C27="","",BDP($C27,'Field Check'!$C$43)))</f>
        <v/>
      </c>
      <c r="Q27" s="105">
        <f>IFERROR(IF(LEN($P27)&lt;&gt;3,1,IF($P27=$D$2,1,BDP($P27&amp;$D$2&amp;" Curncy","PX_LAST"))),1)</f>
        <v/>
      </c>
    </row>
    <row r="28">
      <c r="A28" s="27" t="n"/>
      <c r="B28" s="76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06">
        <f>IFERROR(IF($B28="","",IF(ISNUMBER($F28),$B28*$F28*$D$3/$B$3,0)),"")</f>
        <v/>
      </c>
      <c r="K28" s="106">
        <f>IFERROR(IF($J28="","",$J28*IF(ISNUMBER($I28),$I28,'Index Summary'!$C$7)/100),"")</f>
        <v/>
      </c>
      <c r="L28" s="106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7">
        <f>IF($N28="No dividend","",IF($C28="","",BDP($C28,'Field Check'!$C$43)))</f>
        <v/>
      </c>
      <c r="Q28" s="105">
        <f>IFERROR(IF(LEN($P28)&lt;&gt;3,1,IF($P28=$D$2,1,BDP($P28&amp;$D$2&amp;" Curncy","PX_LAST"))),1)</f>
        <v/>
      </c>
    </row>
    <row r="29">
      <c r="A29" s="16" t="n"/>
      <c r="B29" s="76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06">
        <f>IFERROR(IF($B29="","",IF(ISNUMBER($F29),$B29*$F29*$D$3/$B$3,0)),"")</f>
        <v/>
      </c>
      <c r="K29" s="106">
        <f>IFERROR(IF($J29="","",$J29*IF(ISNUMBER($I29),$I29,'Index Summary'!$C$7)/100),"")</f>
        <v/>
      </c>
      <c r="L29" s="106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7">
        <f>IF($N29="No dividend","",IF($C29="","",BDP($C29,'Field Check'!$C$43)))</f>
        <v/>
      </c>
      <c r="Q29" s="105">
        <f>IFERROR(IF(LEN($P29)&lt;&gt;3,1,IF($P29=$D$2,1,BDP($P29&amp;$D$2&amp;" Curncy","PX_LAST"))),1)</f>
        <v/>
      </c>
    </row>
    <row r="30">
      <c r="A30" s="27" t="n"/>
      <c r="B30" s="76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06">
        <f>IFERROR(IF($B30="","",IF(ISNUMBER($F30),$B30*$F30*$D$3/$B$3,0)),"")</f>
        <v/>
      </c>
      <c r="K30" s="106">
        <f>IFERROR(IF($J30="","",$J30*IF(ISNUMBER($I30),$I30,'Index Summary'!$C$7)/100),"")</f>
        <v/>
      </c>
      <c r="L30" s="106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7">
        <f>IF($N30="No dividend","",IF($C30="","",BDP($C30,'Field Check'!$C$43)))</f>
        <v/>
      </c>
      <c r="Q30" s="105">
        <f>IFERROR(IF(LEN($P30)&lt;&gt;3,1,IF($P30=$D$2,1,BDP($P30&amp;$D$2&amp;" Curncy","PX_LAST"))),1)</f>
        <v/>
      </c>
    </row>
    <row r="31">
      <c r="A31" s="16" t="n"/>
      <c r="B31" s="76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06">
        <f>IFERROR(IF($B31="","",IF(ISNUMBER($F31),$B31*$F31*$D$3/$B$3,0)),"")</f>
        <v/>
      </c>
      <c r="K31" s="106">
        <f>IFERROR(IF($J31="","",$J31*IF(ISNUMBER($I31),$I31,'Index Summary'!$C$7)/100),"")</f>
        <v/>
      </c>
      <c r="L31" s="106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7">
        <f>IF($N31="No dividend","",IF($C31="","",BDP($C31,'Field Check'!$C$43)))</f>
        <v/>
      </c>
      <c r="Q31" s="105">
        <f>IFERROR(IF(LEN($P31)&lt;&gt;3,1,IF($P31=$D$2,1,BDP($P31&amp;$D$2&amp;" Curncy","PX_LAST"))),1)</f>
        <v/>
      </c>
    </row>
    <row r="32">
      <c r="A32" s="27" t="n"/>
      <c r="B32" s="76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06">
        <f>IFERROR(IF($B32="","",IF(ISNUMBER($F32),$B32*$F32*$D$3/$B$3,0)),"")</f>
        <v/>
      </c>
      <c r="K32" s="106">
        <f>IFERROR(IF($J32="","",$J32*IF(ISNUMBER($I32),$I32,'Index Summary'!$C$7)/100),"")</f>
        <v/>
      </c>
      <c r="L32" s="106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7">
        <f>IF($N32="No dividend","",IF($C32="","",BDP($C32,'Field Check'!$C$43)))</f>
        <v/>
      </c>
      <c r="Q32" s="105">
        <f>IFERROR(IF(LEN($P32)&lt;&gt;3,1,IF($P32=$D$2,1,BDP($P32&amp;$D$2&amp;" Curncy","PX_LAST"))),1)</f>
        <v/>
      </c>
    </row>
    <row r="33">
      <c r="A33" s="16" t="n"/>
      <c r="B33" s="76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06">
        <f>IFERROR(IF($B33="","",IF(ISNUMBER($F33),$B33*$F33*$D$3/$B$3,0)),"")</f>
        <v/>
      </c>
      <c r="K33" s="106">
        <f>IFERROR(IF($J33="","",$J33*IF(ISNUMBER($I33),$I33,'Index Summary'!$C$7)/100),"")</f>
        <v/>
      </c>
      <c r="L33" s="106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7">
        <f>IF($N33="No dividend","",IF($C33="","",BDP($C33,'Field Check'!$C$43)))</f>
        <v/>
      </c>
      <c r="Q33" s="105">
        <f>IFERROR(IF(LEN($P33)&lt;&gt;3,1,IF($P33=$D$2,1,BDP($P33&amp;$D$2&amp;" Curncy","PX_LAST"))),1)</f>
        <v/>
      </c>
    </row>
    <row r="34">
      <c r="A34" s="27" t="n"/>
      <c r="B34" s="76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06">
        <f>IFERROR(IF($B34="","",IF(ISNUMBER($F34),$B34*$F34*$D$3/$B$3,0)),"")</f>
        <v/>
      </c>
      <c r="K34" s="106">
        <f>IFERROR(IF($J34="","",$J34*IF(ISNUMBER($I34),$I34,'Index Summary'!$C$7)/100),"")</f>
        <v/>
      </c>
      <c r="L34" s="106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7">
        <f>IF($N34="No dividend","",IF($C34="","",BDP($C34,'Field Check'!$C$43)))</f>
        <v/>
      </c>
      <c r="Q34" s="105">
        <f>IFERROR(IF(LEN($P34)&lt;&gt;3,1,IF($P34=$D$2,1,BDP($P34&amp;$D$2&amp;" Curncy","PX_LAST"))),1)</f>
        <v/>
      </c>
    </row>
    <row r="35">
      <c r="A35" s="16" t="n"/>
      <c r="B35" s="76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06">
        <f>IFERROR(IF($B35="","",IF(ISNUMBER($F35),$B35*$F35*$D$3/$B$3,0)),"")</f>
        <v/>
      </c>
      <c r="K35" s="106">
        <f>IFERROR(IF($J35="","",$J35*IF(ISNUMBER($I35),$I35,'Index Summary'!$C$7)/100),"")</f>
        <v/>
      </c>
      <c r="L35" s="106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7">
        <f>IF($N35="No dividend","",IF($C35="","",BDP($C35,'Field Check'!$C$43)))</f>
        <v/>
      </c>
      <c r="Q35" s="105">
        <f>IFERROR(IF(LEN($P35)&lt;&gt;3,1,IF($P35=$D$2,1,BDP($P35&amp;$D$2&amp;" Curncy","PX_LAST"))),1)</f>
        <v/>
      </c>
    </row>
    <row r="36">
      <c r="A36" s="27" t="n"/>
      <c r="B36" s="76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06">
        <f>IFERROR(IF($B36="","",IF(ISNUMBER($F36),$B36*$F36*$D$3/$B$3,0)),"")</f>
        <v/>
      </c>
      <c r="K36" s="106">
        <f>IFERROR(IF($J36="","",$J36*IF(ISNUMBER($I36),$I36,'Index Summary'!$C$7)/100),"")</f>
        <v/>
      </c>
      <c r="L36" s="106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7">
        <f>IF($N36="No dividend","",IF($C36="","",BDP($C36,'Field Check'!$C$43)))</f>
        <v/>
      </c>
      <c r="Q36" s="105">
        <f>IFERROR(IF(LEN($P36)&lt;&gt;3,1,IF($P36=$D$2,1,BDP($P36&amp;$D$2&amp;" Curncy","PX_LAST"))),1)</f>
        <v/>
      </c>
    </row>
    <row r="37">
      <c r="A37" s="16" t="n"/>
      <c r="B37" s="76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06">
        <f>IFERROR(IF($B37="","",IF(ISNUMBER($F37),$B37*$F37*$D$3/$B$3,0)),"")</f>
        <v/>
      </c>
      <c r="K37" s="106">
        <f>IFERROR(IF($J37="","",$J37*IF(ISNUMBER($I37),$I37,'Index Summary'!$C$7)/100),"")</f>
        <v/>
      </c>
      <c r="L37" s="106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7">
        <f>IF($N37="No dividend","",IF($C37="","",BDP($C37,'Field Check'!$C$43)))</f>
        <v/>
      </c>
      <c r="Q37" s="105">
        <f>IFERROR(IF(LEN($P37)&lt;&gt;3,1,IF($P37=$D$2,1,BDP($P37&amp;$D$2&amp;" Curncy","PX_LAST"))),1)</f>
        <v/>
      </c>
    </row>
    <row r="38">
      <c r="A38" s="27" t="n"/>
      <c r="B38" s="76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06">
        <f>IFERROR(IF($B38="","",IF(ISNUMBER($F38),$B38*$F38*$D$3/$B$3,0)),"")</f>
        <v/>
      </c>
      <c r="K38" s="106">
        <f>IFERROR(IF($J38="","",$J38*IF(ISNUMBER($I38),$I38,'Index Summary'!$C$7)/100),"")</f>
        <v/>
      </c>
      <c r="L38" s="106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7">
        <f>IF($N38="No dividend","",IF($C38="","",BDP($C38,'Field Check'!$C$43)))</f>
        <v/>
      </c>
      <c r="Q38" s="105">
        <f>IFERROR(IF(LEN($P38)&lt;&gt;3,1,IF($P38=$D$2,1,BDP($P38&amp;$D$2&amp;" Curncy","PX_LAST"))),1)</f>
        <v/>
      </c>
    </row>
    <row r="39">
      <c r="A39" s="16" t="n"/>
      <c r="B39" s="76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06">
        <f>IFERROR(IF($B39="","",IF(ISNUMBER($F39),$B39*$F39*$D$3/$B$3,0)),"")</f>
        <v/>
      </c>
      <c r="K39" s="106">
        <f>IFERROR(IF($J39="","",$J39*IF(ISNUMBER($I39),$I39,'Index Summary'!$C$7)/100),"")</f>
        <v/>
      </c>
      <c r="L39" s="106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7">
        <f>IF($N39="No dividend","",IF($C39="","",BDP($C39,'Field Check'!$C$43)))</f>
        <v/>
      </c>
      <c r="Q39" s="105">
        <f>IFERROR(IF(LEN($P39)&lt;&gt;3,1,IF($P39=$D$2,1,BDP($P39&amp;$D$2&amp;" Curncy","PX_LAST"))),1)</f>
        <v/>
      </c>
    </row>
    <row r="40">
      <c r="A40" s="27" t="n"/>
      <c r="B40" s="76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06">
        <f>IFERROR(IF($B40="","",IF(ISNUMBER($F40),$B40*$F40*$D$3/$B$3,0)),"")</f>
        <v/>
      </c>
      <c r="K40" s="106">
        <f>IFERROR(IF($J40="","",$J40*IF(ISNUMBER($I40),$I40,'Index Summary'!$C$7)/100),"")</f>
        <v/>
      </c>
      <c r="L40" s="106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7">
        <f>IF($N40="No dividend","",IF($C40="","",BDP($C40,'Field Check'!$C$43)))</f>
        <v/>
      </c>
      <c r="Q40" s="105">
        <f>IFERROR(IF(LEN($P40)&lt;&gt;3,1,IF($P40=$D$2,1,BDP($P40&amp;$D$2&amp;" Curncy","PX_LAST"))),1)</f>
        <v/>
      </c>
    </row>
    <row r="41">
      <c r="A41" s="16" t="n"/>
      <c r="B41" s="76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06">
        <f>IFERROR(IF($B41="","",IF(ISNUMBER($F41),$B41*$F41*$D$3/$B$3,0)),"")</f>
        <v/>
      </c>
      <c r="K41" s="106">
        <f>IFERROR(IF($J41="","",$J41*IF(ISNUMBER($I41),$I41,'Index Summary'!$C$7)/100),"")</f>
        <v/>
      </c>
      <c r="L41" s="106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7">
        <f>IF($N41="No dividend","",IF($C41="","",BDP($C41,'Field Check'!$C$43)))</f>
        <v/>
      </c>
      <c r="Q41" s="105">
        <f>IFERROR(IF(LEN($P41)&lt;&gt;3,1,IF($P41=$D$2,1,BDP($P41&amp;$D$2&amp;" Curncy","PX_LAST"))),1)</f>
        <v/>
      </c>
    </row>
    <row r="42">
      <c r="A42" s="27" t="n"/>
      <c r="B42" s="76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06">
        <f>IFERROR(IF($B42="","",IF(ISNUMBER($F42),$B42*$F42*$D$3/$B$3,0)),"")</f>
        <v/>
      </c>
      <c r="K42" s="106">
        <f>IFERROR(IF($J42="","",$J42*IF(ISNUMBER($I42),$I42,'Index Summary'!$C$7)/100),"")</f>
        <v/>
      </c>
      <c r="L42" s="106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7">
        <f>IF($N42="No dividend","",IF($C42="","",BDP($C42,'Field Check'!$C$43)))</f>
        <v/>
      </c>
      <c r="Q42" s="105">
        <f>IFERROR(IF(LEN($P42)&lt;&gt;3,1,IF($P42=$D$2,1,BDP($P42&amp;$D$2&amp;" Curncy","PX_LAST"))),1)</f>
        <v/>
      </c>
    </row>
    <row r="43">
      <c r="A43" s="16" t="n"/>
      <c r="B43" s="76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06">
        <f>IFERROR(IF($B43="","",IF(ISNUMBER($F43),$B43*$F43*$D$3/$B$3,0)),"")</f>
        <v/>
      </c>
      <c r="K43" s="106">
        <f>IFERROR(IF($J43="","",$J43*IF(ISNUMBER($I43),$I43,'Index Summary'!$C$7)/100),"")</f>
        <v/>
      </c>
      <c r="L43" s="106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7">
        <f>IF($N43="No dividend","",IF($C43="","",BDP($C43,'Field Check'!$C$43)))</f>
        <v/>
      </c>
      <c r="Q43" s="105">
        <f>IFERROR(IF(LEN($P43)&lt;&gt;3,1,IF($P43=$D$2,1,BDP($P43&amp;$D$2&amp;" Curncy","PX_LAST"))),1)</f>
        <v/>
      </c>
    </row>
    <row r="44">
      <c r="A44" s="27" t="n"/>
      <c r="B44" s="76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06">
        <f>IFERROR(IF($B44="","",IF(ISNUMBER($F44),$B44*$F44*$D$3/$B$3,0)),"")</f>
        <v/>
      </c>
      <c r="K44" s="106">
        <f>IFERROR(IF($J44="","",$J44*IF(ISNUMBER($I44),$I44,'Index Summary'!$C$7)/100),"")</f>
        <v/>
      </c>
      <c r="L44" s="106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7">
        <f>IF($N44="No dividend","",IF($C44="","",BDP($C44,'Field Check'!$C$43)))</f>
        <v/>
      </c>
      <c r="Q44" s="105">
        <f>IFERROR(IF(LEN($P44)&lt;&gt;3,1,IF($P44=$D$2,1,BDP($P44&amp;$D$2&amp;" Curncy","PX_LAST"))),1)</f>
        <v/>
      </c>
    </row>
    <row r="45">
      <c r="A45" s="16" t="n"/>
      <c r="B45" s="76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06">
        <f>IFERROR(IF($B45="","",IF(ISNUMBER($F45),$B45*$F45*$D$3/$B$3,0)),"")</f>
        <v/>
      </c>
      <c r="K45" s="106">
        <f>IFERROR(IF($J45="","",$J45*IF(ISNUMBER($I45),$I45,'Index Summary'!$C$7)/100),"")</f>
        <v/>
      </c>
      <c r="L45" s="106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7">
        <f>IF($N45="No dividend","",IF($C45="","",BDP($C45,'Field Check'!$C$43)))</f>
        <v/>
      </c>
      <c r="Q45" s="105">
        <f>IFERROR(IF(LEN($P45)&lt;&gt;3,1,IF($P45=$D$2,1,BDP($P45&amp;$D$2&amp;" Curncy","PX_LAST"))),1)</f>
        <v/>
      </c>
    </row>
    <row r="46">
      <c r="A46" s="27" t="n"/>
      <c r="B46" s="76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06">
        <f>IFERROR(IF($B46="","",IF(ISNUMBER($F46),$B46*$F46*$D$3/$B$3,0)),"")</f>
        <v/>
      </c>
      <c r="K46" s="106">
        <f>IFERROR(IF($J46="","",$J46*IF(ISNUMBER($I46),$I46,'Index Summary'!$C$7)/100),"")</f>
        <v/>
      </c>
      <c r="L46" s="106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7">
        <f>IF($N46="No dividend","",IF($C46="","",BDP($C46,'Field Check'!$C$43)))</f>
        <v/>
      </c>
      <c r="Q46" s="105">
        <f>IFERROR(IF(LEN($P46)&lt;&gt;3,1,IF($P46=$D$2,1,BDP($P46&amp;$D$2&amp;" Curncy","PX_LAST"))),1)</f>
        <v/>
      </c>
    </row>
    <row r="47">
      <c r="A47" s="16" t="n"/>
      <c r="B47" s="76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06">
        <f>IFERROR(IF($B47="","",IF(ISNUMBER($F47),$B47*$F47*$D$3/$B$3,0)),"")</f>
        <v/>
      </c>
      <c r="K47" s="106">
        <f>IFERROR(IF($J47="","",$J47*IF(ISNUMBER($I47),$I47,'Index Summary'!$C$7)/100),"")</f>
        <v/>
      </c>
      <c r="L47" s="106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7">
        <f>IF($N47="No dividend","",IF($C47="","",BDP($C47,'Field Check'!$C$43)))</f>
        <v/>
      </c>
      <c r="Q47" s="105">
        <f>IFERROR(IF(LEN($P47)&lt;&gt;3,1,IF($P47=$D$2,1,BDP($P47&amp;$D$2&amp;" Curncy","PX_LAST"))),1)</f>
        <v/>
      </c>
    </row>
    <row r="48">
      <c r="A48" s="27" t="n"/>
      <c r="B48" s="76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06">
        <f>IFERROR(IF($B48="","",IF(ISNUMBER($F48),$B48*$F48*$D$3/$B$3,0)),"")</f>
        <v/>
      </c>
      <c r="K48" s="106">
        <f>IFERROR(IF($J48="","",$J48*IF(ISNUMBER($I48),$I48,'Index Summary'!$C$7)/100),"")</f>
        <v/>
      </c>
      <c r="L48" s="106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7">
        <f>IF($N48="No dividend","",IF($C48="","",BDP($C48,'Field Check'!$C$43)))</f>
        <v/>
      </c>
      <c r="Q48" s="105">
        <f>IFERROR(IF(LEN($P48)&lt;&gt;3,1,IF($P48=$D$2,1,BDP($P48&amp;$D$2&amp;" Curncy","PX_LAST"))),1)</f>
        <v/>
      </c>
    </row>
    <row r="49">
      <c r="A49" s="16" t="n"/>
      <c r="B49" s="76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06">
        <f>IFERROR(IF($B49="","",IF(ISNUMBER($F49),$B49*$F49*$D$3/$B$3,0)),"")</f>
        <v/>
      </c>
      <c r="K49" s="106">
        <f>IFERROR(IF($J49="","",$J49*IF(ISNUMBER($I49),$I49,'Index Summary'!$C$7)/100),"")</f>
        <v/>
      </c>
      <c r="L49" s="106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7">
        <f>IF($N49="No dividend","",IF($C49="","",BDP($C49,'Field Check'!$C$43)))</f>
        <v/>
      </c>
      <c r="Q49" s="105">
        <f>IFERROR(IF(LEN($P49)&lt;&gt;3,1,IF($P49=$D$2,1,BDP($P49&amp;$D$2&amp;" Curncy","PX_LAST"))),1)</f>
        <v/>
      </c>
    </row>
    <row r="50">
      <c r="A50" s="27" t="n"/>
      <c r="B50" s="76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06">
        <f>IFERROR(IF($B50="","",IF(ISNUMBER($F50),$B50*$F50*$D$3/$B$3,0)),"")</f>
        <v/>
      </c>
      <c r="K50" s="106">
        <f>IFERROR(IF($J50="","",$J50*IF(ISNUMBER($I50),$I50,'Index Summary'!$C$7)/100),"")</f>
        <v/>
      </c>
      <c r="L50" s="106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7">
        <f>IF($N50="No dividend","",IF($C50="","",BDP($C50,'Field Check'!$C$43)))</f>
        <v/>
      </c>
      <c r="Q50" s="105">
        <f>IFERROR(IF(LEN($P50)&lt;&gt;3,1,IF($P50=$D$2,1,BDP($P50&amp;$D$2&amp;" Curncy","PX_LAST"))),1)</f>
        <v/>
      </c>
    </row>
    <row r="51">
      <c r="A51" s="16" t="n"/>
      <c r="B51" s="76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06">
        <f>IFERROR(IF($B51="","",IF(ISNUMBER($F51),$B51*$F51*$D$3/$B$3,0)),"")</f>
        <v/>
      </c>
      <c r="K51" s="106">
        <f>IFERROR(IF($J51="","",$J51*IF(ISNUMBER($I51),$I51,'Index Summary'!$C$7)/100),"")</f>
        <v/>
      </c>
      <c r="L51" s="106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7">
        <f>IF($N51="No dividend","",IF($C51="","",BDP($C51,'Field Check'!$C$43)))</f>
        <v/>
      </c>
      <c r="Q51" s="105">
        <f>IFERROR(IF(LEN($P51)&lt;&gt;3,1,IF($P51=$D$2,1,BDP($P51&amp;$D$2&amp;" Curncy","PX_LAST"))),1)</f>
        <v/>
      </c>
    </row>
    <row r="52">
      <c r="A52" s="27" t="n"/>
      <c r="B52" s="76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06">
        <f>IFERROR(IF($B52="","",IF(ISNUMBER($F52),$B52*$F52*$D$3/$B$3,0)),"")</f>
        <v/>
      </c>
      <c r="K52" s="106">
        <f>IFERROR(IF($J52="","",$J52*IF(ISNUMBER($I52),$I52,'Index Summary'!$C$7)/100),"")</f>
        <v/>
      </c>
      <c r="L52" s="106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7">
        <f>IF($N52="No dividend","",IF($C52="","",BDP($C52,'Field Check'!$C$43)))</f>
        <v/>
      </c>
      <c r="Q52" s="105">
        <f>IFERROR(IF(LEN($P52)&lt;&gt;3,1,IF($P52=$D$2,1,BDP($P52&amp;$D$2&amp;" Curncy","PX_LAST"))),1)</f>
        <v/>
      </c>
    </row>
    <row r="53">
      <c r="A53" s="16" t="n"/>
      <c r="B53" s="76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06">
        <f>IFERROR(IF($B53="","",IF(ISNUMBER($F53),$B53*$F53*$D$3/$B$3,0)),"")</f>
        <v/>
      </c>
      <c r="K53" s="106">
        <f>IFERROR(IF($J53="","",$J53*IF(ISNUMBER($I53),$I53,'Index Summary'!$C$7)/100),"")</f>
        <v/>
      </c>
      <c r="L53" s="106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7">
        <f>IF($N53="No dividend","",IF($C53="","",BDP($C53,'Field Check'!$C$43)))</f>
        <v/>
      </c>
      <c r="Q53" s="105">
        <f>IFERROR(IF(LEN($P53)&lt;&gt;3,1,IF($P53=$D$2,1,BDP($P53&amp;$D$2&amp;" Curncy","PX_LAST"))),1)</f>
        <v/>
      </c>
    </row>
    <row r="54">
      <c r="A54" s="27" t="n"/>
      <c r="B54" s="76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06">
        <f>IFERROR(IF($B54="","",IF(ISNUMBER($F54),$B54*$F54*$D$3/$B$3,0)),"")</f>
        <v/>
      </c>
      <c r="K54" s="106">
        <f>IFERROR(IF($J54="","",$J54*IF(ISNUMBER($I54),$I54,'Index Summary'!$C$7)/100),"")</f>
        <v/>
      </c>
      <c r="L54" s="106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7">
        <f>IF($N54="No dividend","",IF($C54="","",BDP($C54,'Field Check'!$C$43)))</f>
        <v/>
      </c>
      <c r="Q54" s="105">
        <f>IFERROR(IF(LEN($P54)&lt;&gt;3,1,IF($P54=$D$2,1,BDP($P54&amp;$D$2&amp;" Curncy","PX_LAST"))),1)</f>
        <v/>
      </c>
    </row>
    <row r="55">
      <c r="A55" s="16" t="n"/>
      <c r="B55" s="76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06">
        <f>IFERROR(IF($B55="","",IF(ISNUMBER($F55),$B55*$F55*$D$3/$B$3,0)),"")</f>
        <v/>
      </c>
      <c r="K55" s="106">
        <f>IFERROR(IF($J55="","",$J55*IF(ISNUMBER($I55),$I55,'Index Summary'!$C$7)/100),"")</f>
        <v/>
      </c>
      <c r="L55" s="106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7">
        <f>IF($N55="No dividend","",IF($C55="","",BDP($C55,'Field Check'!$C$43)))</f>
        <v/>
      </c>
      <c r="Q55" s="105">
        <f>IFERROR(IF(LEN($P55)&lt;&gt;3,1,IF($P55=$D$2,1,BDP($P55&amp;$D$2&amp;" Curncy","PX_LAST"))),1)</f>
        <v/>
      </c>
    </row>
    <row r="56">
      <c r="A56" s="27" t="n"/>
      <c r="B56" s="76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06">
        <f>IFERROR(IF($B56="","",IF(ISNUMBER($F56),$B56*$F56*$D$3/$B$3,0)),"")</f>
        <v/>
      </c>
      <c r="K56" s="106">
        <f>IFERROR(IF($J56="","",$J56*IF(ISNUMBER($I56),$I56,'Index Summary'!$C$7)/100),"")</f>
        <v/>
      </c>
      <c r="L56" s="106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7">
        <f>IF($N56="No dividend","",IF($C56="","",BDP($C56,'Field Check'!$C$43)))</f>
        <v/>
      </c>
      <c r="Q56" s="105">
        <f>IFERROR(IF(LEN($P56)&lt;&gt;3,1,IF($P56=$D$2,1,BDP($P56&amp;$D$2&amp;" Curncy","PX_LAST"))),1)</f>
        <v/>
      </c>
    </row>
    <row r="57">
      <c r="A57" s="16" t="n"/>
      <c r="B57" s="76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06">
        <f>IFERROR(IF($B57="","",IF(ISNUMBER($F57),$B57*$F57*$D$3/$B$3,0)),"")</f>
        <v/>
      </c>
      <c r="K57" s="106">
        <f>IFERROR(IF($J57="","",$J57*IF(ISNUMBER($I57),$I57,'Index Summary'!$C$7)/100),"")</f>
        <v/>
      </c>
      <c r="L57" s="106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7">
        <f>IF($N57="No dividend","",IF($C57="","",BDP($C57,'Field Check'!$C$43)))</f>
        <v/>
      </c>
      <c r="Q57" s="105">
        <f>IFERROR(IF(LEN($P57)&lt;&gt;3,1,IF($P57=$D$2,1,BDP($P57&amp;$D$2&amp;" Curncy","PX_LAST"))),1)</f>
        <v/>
      </c>
    </row>
    <row r="58">
      <c r="A58" s="27" t="n"/>
      <c r="B58" s="76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06">
        <f>IFERROR(IF($B58="","",IF(ISNUMBER($F58),$B58*$F58*$D$3/$B$3,0)),"")</f>
        <v/>
      </c>
      <c r="K58" s="106">
        <f>IFERROR(IF($J58="","",$J58*IF(ISNUMBER($I58),$I58,'Index Summary'!$C$7)/100),"")</f>
        <v/>
      </c>
      <c r="L58" s="106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7">
        <f>IF($N58="No dividend","",IF($C58="","",BDP($C58,'Field Check'!$C$43)))</f>
        <v/>
      </c>
      <c r="Q58" s="105">
        <f>IFERROR(IF(LEN($P58)&lt;&gt;3,1,IF($P58=$D$2,1,BDP($P58&amp;$D$2&amp;" Curncy","PX_LAST"))),1)</f>
        <v/>
      </c>
    </row>
    <row r="59">
      <c r="A59" s="16" t="n"/>
      <c r="B59" s="76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06">
        <f>IFERROR(IF($B59="","",IF(ISNUMBER($F59),$B59*$F59*$D$3/$B$3,0)),"")</f>
        <v/>
      </c>
      <c r="K59" s="106">
        <f>IFERROR(IF($J59="","",$J59*IF(ISNUMBER($I59),$I59,'Index Summary'!$C$7)/100),"")</f>
        <v/>
      </c>
      <c r="L59" s="106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7">
        <f>IF($N59="No dividend","",IF($C59="","",BDP($C59,'Field Check'!$C$43)))</f>
        <v/>
      </c>
      <c r="Q59" s="105">
        <f>IFERROR(IF(LEN($P59)&lt;&gt;3,1,IF($P59=$D$2,1,BDP($P59&amp;$D$2&amp;" Curncy","PX_LAST"))),1)</f>
        <v/>
      </c>
    </row>
    <row r="60">
      <c r="A60" s="27" t="n"/>
      <c r="B60" s="76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06">
        <f>IFERROR(IF($B60="","",IF(ISNUMBER($F60),$B60*$F60*$D$3/$B$3,0)),"")</f>
        <v/>
      </c>
      <c r="K60" s="106">
        <f>IFERROR(IF($J60="","",$J60*IF(ISNUMBER($I60),$I60,'Index Summary'!$C$7)/100),"")</f>
        <v/>
      </c>
      <c r="L60" s="106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7">
        <f>IF($N60="No dividend","",IF($C60="","",BDP($C60,'Field Check'!$C$43)))</f>
        <v/>
      </c>
      <c r="Q60" s="105">
        <f>IFERROR(IF(LEN($P60)&lt;&gt;3,1,IF($P60=$D$2,1,BDP($P60&amp;$D$2&amp;" Curncy","PX_LAST"))),1)</f>
        <v/>
      </c>
    </row>
    <row r="61">
      <c r="A61" s="16" t="n"/>
      <c r="B61" s="76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06">
        <f>IFERROR(IF($B61="","",IF(ISNUMBER($F61),$B61*$F61*$D$3/$B$3,0)),"")</f>
        <v/>
      </c>
      <c r="K61" s="106">
        <f>IFERROR(IF($J61="","",$J61*IF(ISNUMBER($I61),$I61,'Index Summary'!$C$7)/100),"")</f>
        <v/>
      </c>
      <c r="L61" s="106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7">
        <f>IF($N61="No dividend","",IF($C61="","",BDP($C61,'Field Check'!$C$43)))</f>
        <v/>
      </c>
      <c r="Q61" s="105">
        <f>IFERROR(IF(LEN($P61)&lt;&gt;3,1,IF($P61=$D$2,1,BDP($P61&amp;$D$2&amp;" Curncy","PX_LAST"))),1)</f>
        <v/>
      </c>
    </row>
    <row r="62">
      <c r="A62" s="27" t="n"/>
      <c r="B62" s="76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06">
        <f>IFERROR(IF($B62="","",IF(ISNUMBER($F62),$B62*$F62*$D$3/$B$3,0)),"")</f>
        <v/>
      </c>
      <c r="K62" s="106">
        <f>IFERROR(IF($J62="","",$J62*IF(ISNUMBER($I62),$I62,'Index Summary'!$C$7)/100),"")</f>
        <v/>
      </c>
      <c r="L62" s="106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7">
        <f>IF($N62="No dividend","",IF($C62="","",BDP($C62,'Field Check'!$C$43)))</f>
        <v/>
      </c>
      <c r="Q62" s="105">
        <f>IFERROR(IF(LEN($P62)&lt;&gt;3,1,IF($P62=$D$2,1,BDP($P62&amp;$D$2&amp;" Curncy","PX_LAST"))),1)</f>
        <v/>
      </c>
    </row>
    <row r="63">
      <c r="A63" s="16" t="n"/>
      <c r="B63" s="76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06">
        <f>IFERROR(IF($B63="","",IF(ISNUMBER($F63),$B63*$F63*$D$3/$B$3,0)),"")</f>
        <v/>
      </c>
      <c r="K63" s="106">
        <f>IFERROR(IF($J63="","",$J63*IF(ISNUMBER($I63),$I63,'Index Summary'!$C$7)/100),"")</f>
        <v/>
      </c>
      <c r="L63" s="106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7">
        <f>IF($N63="No dividend","",IF($C63="","",BDP($C63,'Field Check'!$C$43)))</f>
        <v/>
      </c>
      <c r="Q63" s="105">
        <f>IFERROR(IF(LEN($P63)&lt;&gt;3,1,IF($P63=$D$2,1,BDP($P63&amp;$D$2&amp;" Curncy","PX_LAST"))),1)</f>
        <v/>
      </c>
    </row>
    <row r="64">
      <c r="A64" s="27" t="n"/>
      <c r="B64" s="76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06">
        <f>IFERROR(IF($B64="","",IF(ISNUMBER($F64),$B64*$F64*$D$3/$B$3,0)),"")</f>
        <v/>
      </c>
      <c r="K64" s="106">
        <f>IFERROR(IF($J64="","",$J64*IF(ISNUMBER($I64),$I64,'Index Summary'!$C$7)/100),"")</f>
        <v/>
      </c>
      <c r="L64" s="106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7">
        <f>IF($N64="No dividend","",IF($C64="","",BDP($C64,'Field Check'!$C$43)))</f>
        <v/>
      </c>
      <c r="Q64" s="105">
        <f>IFERROR(IF(LEN($P64)&lt;&gt;3,1,IF($P64=$D$2,1,BDP($P64&amp;$D$2&amp;" Curncy","PX_LAST"))),1)</f>
        <v/>
      </c>
    </row>
    <row r="65">
      <c r="A65" s="16" t="n"/>
      <c r="B65" s="76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06">
        <f>IFERROR(IF($B65="","",IF(ISNUMBER($F65),$B65*$F65*$D$3/$B$3,0)),"")</f>
        <v/>
      </c>
      <c r="K65" s="106">
        <f>IFERROR(IF($J65="","",$J65*IF(ISNUMBER($I65),$I65,'Index Summary'!$C$7)/100),"")</f>
        <v/>
      </c>
      <c r="L65" s="106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7">
        <f>IF($N65="No dividend","",IF($C65="","",BDP($C65,'Field Check'!$C$43)))</f>
        <v/>
      </c>
      <c r="Q65" s="105">
        <f>IFERROR(IF(LEN($P65)&lt;&gt;3,1,IF($P65=$D$2,1,BDP($P65&amp;$D$2&amp;" Curncy","PX_LAST"))),1)</f>
        <v/>
      </c>
    </row>
    <row r="66">
      <c r="A66" s="27" t="n"/>
      <c r="B66" s="76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06">
        <f>IFERROR(IF($B66="","",IF(ISNUMBER($F66),$B66*$F66*$D$3/$B$3,0)),"")</f>
        <v/>
      </c>
      <c r="K66" s="106">
        <f>IFERROR(IF($J66="","",$J66*IF(ISNUMBER($I66),$I66,'Index Summary'!$C$7)/100),"")</f>
        <v/>
      </c>
      <c r="L66" s="106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7">
        <f>IF($N66="No dividend","",IF($C66="","",BDP($C66,'Field Check'!$C$43)))</f>
        <v/>
      </c>
      <c r="Q66" s="105">
        <f>IFERROR(IF(LEN($P66)&lt;&gt;3,1,IF($P66=$D$2,1,BDP($P66&amp;$D$2&amp;" Curncy","PX_LAST"))),1)</f>
        <v/>
      </c>
    </row>
    <row r="67">
      <c r="A67" s="16" t="n"/>
      <c r="B67" s="76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06">
        <f>IFERROR(IF($B67="","",IF(ISNUMBER($F67),$B67*$F67*$D$3/$B$3,0)),"")</f>
        <v/>
      </c>
      <c r="K67" s="106">
        <f>IFERROR(IF($J67="","",$J67*IF(ISNUMBER($I67),$I67,'Index Summary'!$C$7)/100),"")</f>
        <v/>
      </c>
      <c r="L67" s="106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7">
        <f>IF($N67="No dividend","",IF($C67="","",BDP($C67,'Field Check'!$C$43)))</f>
        <v/>
      </c>
      <c r="Q67" s="105">
        <f>IFERROR(IF(LEN($P67)&lt;&gt;3,1,IF($P67=$D$2,1,BDP($P67&amp;$D$2&amp;" Curncy","PX_LAST"))),1)</f>
        <v/>
      </c>
    </row>
    <row r="68">
      <c r="A68" s="27" t="n"/>
      <c r="B68" s="76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06">
        <f>IFERROR(IF($B68="","",IF(ISNUMBER($F68),$B68*$F68*$D$3/$B$3,0)),"")</f>
        <v/>
      </c>
      <c r="K68" s="106">
        <f>IFERROR(IF($J68="","",$J68*IF(ISNUMBER($I68),$I68,'Index Summary'!$C$7)/100),"")</f>
        <v/>
      </c>
      <c r="L68" s="106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7">
        <f>IF($N68="No dividend","",IF($C68="","",BDP($C68,'Field Check'!$C$43)))</f>
        <v/>
      </c>
      <c r="Q68" s="105">
        <f>IFERROR(IF(LEN($P68)&lt;&gt;3,1,IF($P68=$D$2,1,BDP($P68&amp;$D$2&amp;" Curncy","PX_LAST"))),1)</f>
        <v/>
      </c>
    </row>
    <row r="69">
      <c r="A69" s="16" t="n"/>
      <c r="B69" s="76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06">
        <f>IFERROR(IF($B69="","",IF(ISNUMBER($F69),$B69*$F69*$D$3/$B$3,0)),"")</f>
        <v/>
      </c>
      <c r="K69" s="106">
        <f>IFERROR(IF($J69="","",$J69*IF(ISNUMBER($I69),$I69,'Index Summary'!$C$7)/100),"")</f>
        <v/>
      </c>
      <c r="L69" s="106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7">
        <f>IF($N69="No dividend","",IF($C69="","",BDP($C69,'Field Check'!$C$43)))</f>
        <v/>
      </c>
      <c r="Q69" s="105">
        <f>IFERROR(IF(LEN($P69)&lt;&gt;3,1,IF($P69=$D$2,1,BDP($P69&amp;$D$2&amp;" Curncy","PX_LAST"))),1)</f>
        <v/>
      </c>
    </row>
    <row r="70">
      <c r="A70" s="27" t="n"/>
      <c r="B70" s="76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06">
        <f>IFERROR(IF($B70="","",IF(ISNUMBER($F70),$B70*$F70*$D$3/$B$3,0)),"")</f>
        <v/>
      </c>
      <c r="K70" s="106">
        <f>IFERROR(IF($J70="","",$J70*IF(ISNUMBER($I70),$I70,'Index Summary'!$C$7)/100),"")</f>
        <v/>
      </c>
      <c r="L70" s="106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7">
        <f>IF($N70="No dividend","",IF($C70="","",BDP($C70,'Field Check'!$C$43)))</f>
        <v/>
      </c>
      <c r="Q70" s="105">
        <f>IFERROR(IF(LEN($P70)&lt;&gt;3,1,IF($P70=$D$2,1,BDP($P70&amp;$D$2&amp;" Curncy","PX_LAST"))),1)</f>
        <v/>
      </c>
    </row>
    <row r="71">
      <c r="A71" s="16" t="n"/>
      <c r="B71" s="76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06">
        <f>IFERROR(IF($B71="","",IF(ISNUMBER($F71),$B71*$F71*$D$3/$B$3,0)),"")</f>
        <v/>
      </c>
      <c r="K71" s="106">
        <f>IFERROR(IF($J71="","",$J71*IF(ISNUMBER($I71),$I71,'Index Summary'!$C$7)/100),"")</f>
        <v/>
      </c>
      <c r="L71" s="106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7">
        <f>IF($N71="No dividend","",IF($C71="","",BDP($C71,'Field Check'!$C$43)))</f>
        <v/>
      </c>
      <c r="Q71" s="105">
        <f>IFERROR(IF(LEN($P71)&lt;&gt;3,1,IF($P71=$D$2,1,BDP($P71&amp;$D$2&amp;" Curncy","PX_LAST"))),1)</f>
        <v/>
      </c>
    </row>
    <row r="72">
      <c r="A72" s="27" t="n"/>
      <c r="B72" s="76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06">
        <f>IFERROR(IF($B72="","",IF(ISNUMBER($F72),$B72*$F72*$D$3/$B$3,0)),"")</f>
        <v/>
      </c>
      <c r="K72" s="106">
        <f>IFERROR(IF($J72="","",$J72*IF(ISNUMBER($I72),$I72,'Index Summary'!$C$7)/100),"")</f>
        <v/>
      </c>
      <c r="L72" s="106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7">
        <f>IF($N72="No dividend","",IF($C72="","",BDP($C72,'Field Check'!$C$43)))</f>
        <v/>
      </c>
      <c r="Q72" s="105">
        <f>IFERROR(IF(LEN($P72)&lt;&gt;3,1,IF($P72=$D$2,1,BDP($P72&amp;$D$2&amp;" Curncy","PX_LAST"))),1)</f>
        <v/>
      </c>
    </row>
    <row r="73">
      <c r="A73" s="16" t="n"/>
      <c r="B73" s="76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06">
        <f>IFERROR(IF($B73="","",IF(ISNUMBER($F73),$B73*$F73*$D$3/$B$3,0)),"")</f>
        <v/>
      </c>
      <c r="K73" s="106">
        <f>IFERROR(IF($J73="","",$J73*IF(ISNUMBER($I73),$I73,'Index Summary'!$C$7)/100),"")</f>
        <v/>
      </c>
      <c r="L73" s="106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7">
        <f>IF($N73="No dividend","",IF($C73="","",BDP($C73,'Field Check'!$C$43)))</f>
        <v/>
      </c>
      <c r="Q73" s="105">
        <f>IFERROR(IF(LEN($P73)&lt;&gt;3,1,IF($P73=$D$2,1,BDP($P73&amp;$D$2&amp;" Curncy","PX_LAST"))),1)</f>
        <v/>
      </c>
    </row>
    <row r="74">
      <c r="A74" s="27" t="n"/>
      <c r="B74" s="76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06">
        <f>IFERROR(IF($B74="","",IF(ISNUMBER($F74),$B74*$F74*$D$3/$B$3,0)),"")</f>
        <v/>
      </c>
      <c r="K74" s="106">
        <f>IFERROR(IF($J74="","",$J74*IF(ISNUMBER($I74),$I74,'Index Summary'!$C$7)/100),"")</f>
        <v/>
      </c>
      <c r="L74" s="106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7">
        <f>IF($N74="No dividend","",IF($C74="","",BDP($C74,'Field Check'!$C$43)))</f>
        <v/>
      </c>
      <c r="Q74" s="105">
        <f>IFERROR(IF(LEN($P74)&lt;&gt;3,1,IF($P74=$D$2,1,BDP($P74&amp;$D$2&amp;" Curncy","PX_LAST"))),1)</f>
        <v/>
      </c>
    </row>
    <row r="75">
      <c r="A75" s="16" t="n"/>
      <c r="B75" s="76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06">
        <f>IFERROR(IF($B75="","",IF(ISNUMBER($F75),$B75*$F75*$D$3/$B$3,0)),"")</f>
        <v/>
      </c>
      <c r="K75" s="106">
        <f>IFERROR(IF($J75="","",$J75*IF(ISNUMBER($I75),$I75,'Index Summary'!$C$7)/100),"")</f>
        <v/>
      </c>
      <c r="L75" s="106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7">
        <f>IF($N75="No dividend","",IF($C75="","",BDP($C75,'Field Check'!$C$43)))</f>
        <v/>
      </c>
      <c r="Q75" s="105">
        <f>IFERROR(IF(LEN($P75)&lt;&gt;3,1,IF($P75=$D$2,1,BDP($P75&amp;$D$2&amp;" Curncy","PX_LAST"))),1)</f>
        <v/>
      </c>
    </row>
    <row r="76">
      <c r="A76" s="27" t="n"/>
      <c r="B76" s="76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06">
        <f>IFERROR(IF($B76="","",IF(ISNUMBER($F76),$B76*$F76*$D$3/$B$3,0)),"")</f>
        <v/>
      </c>
      <c r="K76" s="106">
        <f>IFERROR(IF($J76="","",$J76*IF(ISNUMBER($I76),$I76,'Index Summary'!$C$7)/100),"")</f>
        <v/>
      </c>
      <c r="L76" s="106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7">
        <f>IF($N76="No dividend","",IF($C76="","",BDP($C76,'Field Check'!$C$43)))</f>
        <v/>
      </c>
      <c r="Q76" s="105">
        <f>IFERROR(IF(LEN($P76)&lt;&gt;3,1,IF($P76=$D$2,1,BDP($P76&amp;$D$2&amp;" Curncy","PX_LAST"))),1)</f>
        <v/>
      </c>
    </row>
    <row r="77">
      <c r="A77" s="16" t="n"/>
      <c r="B77" s="76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06">
        <f>IFERROR(IF($B77="","",IF(ISNUMBER($F77),$B77*$F77*$D$3/$B$3,0)),"")</f>
        <v/>
      </c>
      <c r="K77" s="106">
        <f>IFERROR(IF($J77="","",$J77*IF(ISNUMBER($I77),$I77,'Index Summary'!$C$7)/100),"")</f>
        <v/>
      </c>
      <c r="L77" s="106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7">
        <f>IF($N77="No dividend","",IF($C77="","",BDP($C77,'Field Check'!$C$43)))</f>
        <v/>
      </c>
      <c r="Q77" s="105">
        <f>IFERROR(IF(LEN($P77)&lt;&gt;3,1,IF($P77=$D$2,1,BDP($P77&amp;$D$2&amp;" Curncy","PX_LAST"))),1)</f>
        <v/>
      </c>
    </row>
    <row r="78">
      <c r="A78" s="27" t="n"/>
      <c r="B78" s="76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06">
        <f>IFERROR(IF($B78="","",IF(ISNUMBER($F78),$B78*$F78*$D$3/$B$3,0)),"")</f>
        <v/>
      </c>
      <c r="K78" s="106">
        <f>IFERROR(IF($J78="","",$J78*IF(ISNUMBER($I78),$I78,'Index Summary'!$C$7)/100),"")</f>
        <v/>
      </c>
      <c r="L78" s="106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7">
        <f>IF($N78="No dividend","",IF($C78="","",BDP($C78,'Field Check'!$C$43)))</f>
        <v/>
      </c>
      <c r="Q78" s="105">
        <f>IFERROR(IF(LEN($P78)&lt;&gt;3,1,IF($P78=$D$2,1,BDP($P78&amp;$D$2&amp;" Curncy","PX_LAST"))),1)</f>
        <v/>
      </c>
    </row>
    <row r="79">
      <c r="A79" s="16" t="n"/>
      <c r="B79" s="76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06">
        <f>IFERROR(IF($B79="","",IF(ISNUMBER($F79),$B79*$F79*$D$3/$B$3,0)),"")</f>
        <v/>
      </c>
      <c r="K79" s="106">
        <f>IFERROR(IF($J79="","",$J79*IF(ISNUMBER($I79),$I79,'Index Summary'!$C$7)/100),"")</f>
        <v/>
      </c>
      <c r="L79" s="106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7">
        <f>IF($N79="No dividend","",IF($C79="","",BDP($C79,'Field Check'!$C$43)))</f>
        <v/>
      </c>
      <c r="Q79" s="105">
        <f>IFERROR(IF(LEN($P79)&lt;&gt;3,1,IF($P79=$D$2,1,BDP($P79&amp;$D$2&amp;" Curncy","PX_LAST"))),1)</f>
        <v/>
      </c>
    </row>
    <row r="80">
      <c r="A80" s="27" t="n"/>
      <c r="B80" s="76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06">
        <f>IFERROR(IF($B80="","",IF(ISNUMBER($F80),$B80*$F80*$D$3/$B$3,0)),"")</f>
        <v/>
      </c>
      <c r="K80" s="106">
        <f>IFERROR(IF($J80="","",$J80*IF(ISNUMBER($I80),$I80,'Index Summary'!$C$7)/100),"")</f>
        <v/>
      </c>
      <c r="L80" s="106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7">
        <f>IF($N80="No dividend","",IF($C80="","",BDP($C80,'Field Check'!$C$43)))</f>
        <v/>
      </c>
      <c r="Q80" s="105">
        <f>IFERROR(IF(LEN($P80)&lt;&gt;3,1,IF($P80=$D$2,1,BDP($P80&amp;$D$2&amp;" Curncy","PX_LAST"))),1)</f>
        <v/>
      </c>
    </row>
    <row r="81">
      <c r="A81" s="16" t="n"/>
      <c r="B81" s="76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06">
        <f>IFERROR(IF($B81="","",IF(ISNUMBER($F81),$B81*$F81*$D$3/$B$3,0)),"")</f>
        <v/>
      </c>
      <c r="K81" s="106">
        <f>IFERROR(IF($J81="","",$J81*IF(ISNUMBER($I81),$I81,'Index Summary'!$C$7)/100),"")</f>
        <v/>
      </c>
      <c r="L81" s="106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7">
        <f>IF($N81="No dividend","",IF($C81="","",BDP($C81,'Field Check'!$C$43)))</f>
        <v/>
      </c>
      <c r="Q81" s="105">
        <f>IFERROR(IF(LEN($P81)&lt;&gt;3,1,IF($P81=$D$2,1,BDP($P81&amp;$D$2&amp;" Curncy","PX_LAST"))),1)</f>
        <v/>
      </c>
    </row>
    <row r="82">
      <c r="A82" s="27" t="n"/>
      <c r="B82" s="76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06">
        <f>IFERROR(IF($B82="","",IF(ISNUMBER($F82),$B82*$F82*$D$3/$B$3,0)),"")</f>
        <v/>
      </c>
      <c r="K82" s="106">
        <f>IFERROR(IF($J82="","",$J82*IF(ISNUMBER($I82),$I82,'Index Summary'!$C$7)/100),"")</f>
        <v/>
      </c>
      <c r="L82" s="106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7">
        <f>IF($N82="No dividend","",IF($C82="","",BDP($C82,'Field Check'!$C$43)))</f>
        <v/>
      </c>
      <c r="Q82" s="105">
        <f>IFERROR(IF(LEN($P82)&lt;&gt;3,1,IF($P82=$D$2,1,BDP($P82&amp;$D$2&amp;" Curncy","PX_LAST"))),1)</f>
        <v/>
      </c>
    </row>
    <row r="83">
      <c r="A83" s="16" t="n"/>
      <c r="B83" s="76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06">
        <f>IFERROR(IF($B83="","",IF(ISNUMBER($F83),$B83*$F83*$D$3/$B$3,0)),"")</f>
        <v/>
      </c>
      <c r="K83" s="106">
        <f>IFERROR(IF($J83="","",$J83*IF(ISNUMBER($I83),$I83,'Index Summary'!$C$7)/100),"")</f>
        <v/>
      </c>
      <c r="L83" s="106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7">
        <f>IF($N83="No dividend","",IF($C83="","",BDP($C83,'Field Check'!$C$43)))</f>
        <v/>
      </c>
      <c r="Q83" s="105">
        <f>IFERROR(IF(LEN($P83)&lt;&gt;3,1,IF($P83=$D$2,1,BDP($P83&amp;$D$2&amp;" Curncy","PX_LAST"))),1)</f>
        <v/>
      </c>
    </row>
    <row r="84">
      <c r="A84" s="27" t="n"/>
      <c r="B84" s="76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06">
        <f>IFERROR(IF($B84="","",IF(ISNUMBER($F84),$B84*$F84*$D$3/$B$3,0)),"")</f>
        <v/>
      </c>
      <c r="K84" s="106">
        <f>IFERROR(IF($J84="","",$J84*IF(ISNUMBER($I84),$I84,'Index Summary'!$C$7)/100),"")</f>
        <v/>
      </c>
      <c r="L84" s="106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7">
        <f>IF($N84="No dividend","",IF($C84="","",BDP($C84,'Field Check'!$C$43)))</f>
        <v/>
      </c>
      <c r="Q84" s="105">
        <f>IFERROR(IF(LEN($P84)&lt;&gt;3,1,IF($P84=$D$2,1,BDP($P84&amp;$D$2&amp;" Curncy","PX_LAST"))),1)</f>
        <v/>
      </c>
    </row>
    <row r="85">
      <c r="A85" s="16" t="n"/>
      <c r="B85" s="76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06">
        <f>IFERROR(IF($B85="","",IF(ISNUMBER($F85),$B85*$F85*$D$3/$B$3,0)),"")</f>
        <v/>
      </c>
      <c r="K85" s="106">
        <f>IFERROR(IF($J85="","",$J85*IF(ISNUMBER($I85),$I85,'Index Summary'!$C$7)/100),"")</f>
        <v/>
      </c>
      <c r="L85" s="106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7">
        <f>IF($N85="No dividend","",IF($C85="","",BDP($C85,'Field Check'!$C$43)))</f>
        <v/>
      </c>
      <c r="Q85" s="105">
        <f>IFERROR(IF(LEN($P85)&lt;&gt;3,1,IF($P85=$D$2,1,BDP($P85&amp;$D$2&amp;" Curncy","PX_LAST"))),1)</f>
        <v/>
      </c>
    </row>
    <row r="86">
      <c r="A86" s="27" t="n"/>
      <c r="B86" s="76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06">
        <f>IFERROR(IF($B86="","",IF(ISNUMBER($F86),$B86*$F86*$D$3/$B$3,0)),"")</f>
        <v/>
      </c>
      <c r="K86" s="106">
        <f>IFERROR(IF($J86="","",$J86*IF(ISNUMBER($I86),$I86,'Index Summary'!$C$7)/100),"")</f>
        <v/>
      </c>
      <c r="L86" s="106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7">
        <f>IF($N86="No dividend","",IF($C86="","",BDP($C86,'Field Check'!$C$43)))</f>
        <v/>
      </c>
      <c r="Q86" s="105">
        <f>IFERROR(IF(LEN($P86)&lt;&gt;3,1,IF($P86=$D$2,1,BDP($P86&amp;$D$2&amp;" Curncy","PX_LAST"))),1)</f>
        <v/>
      </c>
    </row>
    <row r="87">
      <c r="A87" s="16" t="n"/>
      <c r="B87" s="76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06">
        <f>IFERROR(IF($B87="","",IF(ISNUMBER($F87),$B87*$F87*$D$3/$B$3,0)),"")</f>
        <v/>
      </c>
      <c r="K87" s="106">
        <f>IFERROR(IF($J87="","",$J87*IF(ISNUMBER($I87),$I87,'Index Summary'!$C$7)/100),"")</f>
        <v/>
      </c>
      <c r="L87" s="106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7">
        <f>IF($N87="No dividend","",IF($C87="","",BDP($C87,'Field Check'!$C$43)))</f>
        <v/>
      </c>
      <c r="Q87" s="105">
        <f>IFERROR(IF(LEN($P87)&lt;&gt;3,1,IF($P87=$D$2,1,BDP($P87&amp;$D$2&amp;" Curncy","PX_LAST"))),1)</f>
        <v/>
      </c>
    </row>
    <row r="88">
      <c r="A88" s="27" t="n"/>
      <c r="B88" s="76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06">
        <f>IFERROR(IF($B88="","",IF(ISNUMBER($F88),$B88*$F88*$D$3/$B$3,0)),"")</f>
        <v/>
      </c>
      <c r="K88" s="106">
        <f>IFERROR(IF($J88="","",$J88*IF(ISNUMBER($I88),$I88,'Index Summary'!$C$7)/100),"")</f>
        <v/>
      </c>
      <c r="L88" s="106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7">
        <f>IF($N88="No dividend","",IF($C88="","",BDP($C88,'Field Check'!$C$43)))</f>
        <v/>
      </c>
      <c r="Q88" s="105">
        <f>IFERROR(IF(LEN($P88)&lt;&gt;3,1,IF($P88=$D$2,1,BDP($P88&amp;$D$2&amp;" Curncy","PX_LAST"))),1)</f>
        <v/>
      </c>
    </row>
    <row r="89">
      <c r="A89" s="16" t="n"/>
      <c r="B89" s="76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06">
        <f>IFERROR(IF($B89="","",IF(ISNUMBER($F89),$B89*$F89*$D$3/$B$3,0)),"")</f>
        <v/>
      </c>
      <c r="K89" s="106">
        <f>IFERROR(IF($J89="","",$J89*IF(ISNUMBER($I89),$I89,'Index Summary'!$C$7)/100),"")</f>
        <v/>
      </c>
      <c r="L89" s="106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7">
        <f>IF($N89="No dividend","",IF($C89="","",BDP($C89,'Field Check'!$C$43)))</f>
        <v/>
      </c>
      <c r="Q89" s="105">
        <f>IFERROR(IF(LEN($P89)&lt;&gt;3,1,IF($P89=$D$2,1,BDP($P89&amp;$D$2&amp;" Curncy","PX_LAST"))),1)</f>
        <v/>
      </c>
    </row>
    <row r="90">
      <c r="A90" s="27" t="n"/>
      <c r="B90" s="76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06">
        <f>IFERROR(IF($B90="","",IF(ISNUMBER($F90),$B90*$F90*$D$3/$B$3,0)),"")</f>
        <v/>
      </c>
      <c r="K90" s="106">
        <f>IFERROR(IF($J90="","",$J90*IF(ISNUMBER($I90),$I90,'Index Summary'!$C$7)/100),"")</f>
        <v/>
      </c>
      <c r="L90" s="106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7">
        <f>IF($N90="No dividend","",IF($C90="","",BDP($C90,'Field Check'!$C$43)))</f>
        <v/>
      </c>
      <c r="Q90" s="105">
        <f>IFERROR(IF(LEN($P90)&lt;&gt;3,1,IF($P90=$D$2,1,BDP($P90&amp;$D$2&amp;" Curncy","PX_LAST"))),1)</f>
        <v/>
      </c>
    </row>
    <row r="91">
      <c r="A91" s="16" t="n"/>
      <c r="B91" s="76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06">
        <f>IFERROR(IF($B91="","",IF(ISNUMBER($F91),$B91*$F91*$D$3/$B$3,0)),"")</f>
        <v/>
      </c>
      <c r="K91" s="106">
        <f>IFERROR(IF($J91="","",$J91*IF(ISNUMBER($I91),$I91,'Index Summary'!$C$7)/100),"")</f>
        <v/>
      </c>
      <c r="L91" s="106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7">
        <f>IF($N91="No dividend","",IF($C91="","",BDP($C91,'Field Check'!$C$43)))</f>
        <v/>
      </c>
      <c r="Q91" s="105">
        <f>IFERROR(IF(LEN($P91)&lt;&gt;3,1,IF($P91=$D$2,1,BDP($P91&amp;$D$2&amp;" Curncy","PX_LAST"))),1)</f>
        <v/>
      </c>
    </row>
    <row r="92">
      <c r="A92" s="27" t="n"/>
      <c r="B92" s="76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06">
        <f>IFERROR(IF($B92="","",IF(ISNUMBER($F92),$B92*$F92*$D$3/$B$3,0)),"")</f>
        <v/>
      </c>
      <c r="K92" s="106">
        <f>IFERROR(IF($J92="","",$J92*IF(ISNUMBER($I92),$I92,'Index Summary'!$C$7)/100),"")</f>
        <v/>
      </c>
      <c r="L92" s="106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7">
        <f>IF($N92="No dividend","",IF($C92="","",BDP($C92,'Field Check'!$C$43)))</f>
        <v/>
      </c>
      <c r="Q92" s="105">
        <f>IFERROR(IF(LEN($P92)&lt;&gt;3,1,IF($P92=$D$2,1,BDP($P92&amp;$D$2&amp;" Curncy","PX_LAST"))),1)</f>
        <v/>
      </c>
    </row>
    <row r="93">
      <c r="A93" s="16" t="n"/>
      <c r="B93" s="76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06">
        <f>IFERROR(IF($B93="","",IF(ISNUMBER($F93),$B93*$F93*$D$3/$B$3,0)),"")</f>
        <v/>
      </c>
      <c r="K93" s="106">
        <f>IFERROR(IF($J93="","",$J93*IF(ISNUMBER($I93),$I93,'Index Summary'!$C$7)/100),"")</f>
        <v/>
      </c>
      <c r="L93" s="106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7">
        <f>IF($N93="No dividend","",IF($C93="","",BDP($C93,'Field Check'!$C$43)))</f>
        <v/>
      </c>
      <c r="Q93" s="105">
        <f>IFERROR(IF(LEN($P93)&lt;&gt;3,1,IF($P93=$D$2,1,BDP($P93&amp;$D$2&amp;" Curncy","PX_LAST"))),1)</f>
        <v/>
      </c>
    </row>
    <row r="94">
      <c r="A94" s="27" t="n"/>
      <c r="B94" s="76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06">
        <f>IFERROR(IF($B94="","",IF(ISNUMBER($F94),$B94*$F94*$D$3/$B$3,0)),"")</f>
        <v/>
      </c>
      <c r="K94" s="106">
        <f>IFERROR(IF($J94="","",$J94*IF(ISNUMBER($I94),$I94,'Index Summary'!$C$7)/100),"")</f>
        <v/>
      </c>
      <c r="L94" s="106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7">
        <f>IF($N94="No dividend","",IF($C94="","",BDP($C94,'Field Check'!$C$43)))</f>
        <v/>
      </c>
      <c r="Q94" s="105">
        <f>IFERROR(IF(LEN($P94)&lt;&gt;3,1,IF($P94=$D$2,1,BDP($P94&amp;$D$2&amp;" Curncy","PX_LAST"))),1)</f>
        <v/>
      </c>
    </row>
    <row r="95">
      <c r="A95" s="16" t="n"/>
      <c r="B95" s="76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06">
        <f>IFERROR(IF($B95="","",IF(ISNUMBER($F95),$B95*$F95*$D$3/$B$3,0)),"")</f>
        <v/>
      </c>
      <c r="K95" s="106">
        <f>IFERROR(IF($J95="","",$J95*IF(ISNUMBER($I95),$I95,'Index Summary'!$C$7)/100),"")</f>
        <v/>
      </c>
      <c r="L95" s="106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7">
        <f>IF($N95="No dividend","",IF($C95="","",BDP($C95,'Field Check'!$C$43)))</f>
        <v/>
      </c>
      <c r="Q95" s="105">
        <f>IFERROR(IF(LEN($P95)&lt;&gt;3,1,IF($P95=$D$2,1,BDP($P95&amp;$D$2&amp;" Curncy","PX_LAST"))),1)</f>
        <v/>
      </c>
    </row>
    <row r="96">
      <c r="A96" s="27" t="n"/>
      <c r="B96" s="76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06">
        <f>IFERROR(IF($B96="","",IF(ISNUMBER($F96),$B96*$F96*$D$3/$B$3,0)),"")</f>
        <v/>
      </c>
      <c r="K96" s="106">
        <f>IFERROR(IF($J96="","",$J96*IF(ISNUMBER($I96),$I96,'Index Summary'!$C$7)/100),"")</f>
        <v/>
      </c>
      <c r="L96" s="106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7">
        <f>IF($N96="No dividend","",IF($C96="","",BDP($C96,'Field Check'!$C$43)))</f>
        <v/>
      </c>
      <c r="Q96" s="105">
        <f>IFERROR(IF(LEN($P96)&lt;&gt;3,1,IF($P96=$D$2,1,BDP($P96&amp;$D$2&amp;" Curncy","PX_LAST"))),1)</f>
        <v/>
      </c>
    </row>
    <row r="97">
      <c r="A97" s="16" t="n"/>
      <c r="B97" s="76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06">
        <f>IFERROR(IF($B97="","",IF(ISNUMBER($F97),$B97*$F97*$D$3/$B$3,0)),"")</f>
        <v/>
      </c>
      <c r="K97" s="106">
        <f>IFERROR(IF($J97="","",$J97*IF(ISNUMBER($I97),$I97,'Index Summary'!$C$7)/100),"")</f>
        <v/>
      </c>
      <c r="L97" s="106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7">
        <f>IF($N97="No dividend","",IF($C97="","",BDP($C97,'Field Check'!$C$43)))</f>
        <v/>
      </c>
      <c r="Q97" s="105">
        <f>IFERROR(IF(LEN($P97)&lt;&gt;3,1,IF($P97=$D$2,1,BDP($P97&amp;$D$2&amp;" Curncy","PX_LAST"))),1)</f>
        <v/>
      </c>
    </row>
    <row r="98">
      <c r="A98" s="27" t="n"/>
      <c r="B98" s="76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06">
        <f>IFERROR(IF($B98="","",IF(ISNUMBER($F98),$B98*$F98*$D$3/$B$3,0)),"")</f>
        <v/>
      </c>
      <c r="K98" s="106">
        <f>IFERROR(IF($J98="","",$J98*IF(ISNUMBER($I98),$I98,'Index Summary'!$C$7)/100),"")</f>
        <v/>
      </c>
      <c r="L98" s="106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7">
        <f>IF($N98="No dividend","",IF($C98="","",BDP($C98,'Field Check'!$C$43)))</f>
        <v/>
      </c>
      <c r="Q98" s="105">
        <f>IFERROR(IF(LEN($P98)&lt;&gt;3,1,IF($P98=$D$2,1,BDP($P98&amp;$D$2&amp;" Curncy","PX_LAST"))),1)</f>
        <v/>
      </c>
    </row>
    <row r="99">
      <c r="A99" s="16" t="n"/>
      <c r="B99" s="76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06">
        <f>IFERROR(IF($B99="","",IF(ISNUMBER($F99),$B99*$F99*$D$3/$B$3,0)),"")</f>
        <v/>
      </c>
      <c r="K99" s="106">
        <f>IFERROR(IF($J99="","",$J99*IF(ISNUMBER($I99),$I99,'Index Summary'!$C$7)/100),"")</f>
        <v/>
      </c>
      <c r="L99" s="106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7">
        <f>IF($N99="No dividend","",IF($C99="","",BDP($C99,'Field Check'!$C$43)))</f>
        <v/>
      </c>
      <c r="Q99" s="105">
        <f>IFERROR(IF(LEN($P99)&lt;&gt;3,1,IF($P99=$D$2,1,BDP($P99&amp;$D$2&amp;" Curncy","PX_LAST"))),1)</f>
        <v/>
      </c>
    </row>
    <row r="100">
      <c r="A100" s="27" t="n"/>
      <c r="B100" s="76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06">
        <f>IFERROR(IF($B100="","",IF(ISNUMBER($F100),$B100*$F100*$D$3/$B$3,0)),"")</f>
        <v/>
      </c>
      <c r="K100" s="106">
        <f>IFERROR(IF($J100="","",$J100*IF(ISNUMBER($I100),$I100,'Index Summary'!$C$7)/100),"")</f>
        <v/>
      </c>
      <c r="L100" s="106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7">
        <f>IF($N100="No dividend","",IF($C100="","",BDP($C100,'Field Check'!$C$43)))</f>
        <v/>
      </c>
      <c r="Q100" s="105">
        <f>IFERROR(IF(LEN($P100)&lt;&gt;3,1,IF($P100=$D$2,1,BDP($P100&amp;$D$2&amp;" Curncy","PX_LAST"))),1)</f>
        <v/>
      </c>
    </row>
    <row r="101">
      <c r="A101" s="16" t="n"/>
      <c r="B101" s="76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06">
        <f>IFERROR(IF($B101="","",IF(ISNUMBER($F101),$B101*$F101*$D$3/$B$3,0)),"")</f>
        <v/>
      </c>
      <c r="K101" s="106">
        <f>IFERROR(IF($J101="","",$J101*IF(ISNUMBER($I101),$I101,'Index Summary'!$C$7)/100),"")</f>
        <v/>
      </c>
      <c r="L101" s="106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7">
        <f>IF($N101="No dividend","",IF($C101="","",BDP($C101,'Field Check'!$C$43)))</f>
        <v/>
      </c>
      <c r="Q101" s="105">
        <f>IFERROR(IF(LEN($P101)&lt;&gt;3,1,IF($P101=$D$2,1,BDP($P101&amp;$D$2&amp;" Curncy","PX_LAST"))),1)</f>
        <v/>
      </c>
    </row>
    <row r="102">
      <c r="A102" s="27" t="n"/>
      <c r="B102" s="76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06">
        <f>IFERROR(IF($B102="","",IF(ISNUMBER($F102),$B102*$F102*$D$3/$B$3,0)),"")</f>
        <v/>
      </c>
      <c r="K102" s="106">
        <f>IFERROR(IF($J102="","",$J102*IF(ISNUMBER($I102),$I102,'Index Summary'!$C$7)/100),"")</f>
        <v/>
      </c>
      <c r="L102" s="106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7">
        <f>IF($N102="No dividend","",IF($C102="","",BDP($C102,'Field Check'!$C$43)))</f>
        <v/>
      </c>
      <c r="Q102" s="105">
        <f>IFERROR(IF(LEN($P102)&lt;&gt;3,1,IF($P102=$D$2,1,BDP($P102&amp;$D$2&amp;" Curncy","PX_LAST"))),1)</f>
        <v/>
      </c>
    </row>
    <row r="103">
      <c r="A103" s="16" t="n"/>
      <c r="B103" s="76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06">
        <f>IFERROR(IF($B103="","",IF(ISNUMBER($F103),$B103*$F103*$D$3/$B$3,0)),"")</f>
        <v/>
      </c>
      <c r="K103" s="106">
        <f>IFERROR(IF($J103="","",$J103*IF(ISNUMBER($I103),$I103,'Index Summary'!$C$7)/100),"")</f>
        <v/>
      </c>
      <c r="L103" s="106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7">
        <f>IF($N103="No dividend","",IF($C103="","",BDP($C103,'Field Check'!$C$43)))</f>
        <v/>
      </c>
      <c r="Q103" s="105">
        <f>IFERROR(IF(LEN($P103)&lt;&gt;3,1,IF($P103=$D$2,1,BDP($P103&amp;$D$2&amp;" Curncy","PX_LAST"))),1)</f>
        <v/>
      </c>
    </row>
    <row r="104">
      <c r="A104" s="27" t="n"/>
      <c r="B104" s="76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06">
        <f>IFERROR(IF($B104="","",IF(ISNUMBER($F104),$B104*$F104*$D$3/$B$3,0)),"")</f>
        <v/>
      </c>
      <c r="K104" s="106">
        <f>IFERROR(IF($J104="","",$J104*IF(ISNUMBER($I104),$I104,'Index Summary'!$C$7)/100),"")</f>
        <v/>
      </c>
      <c r="L104" s="106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7">
        <f>IF($N104="No dividend","",IF($C104="","",BDP($C104,'Field Check'!$C$43)))</f>
        <v/>
      </c>
      <c r="Q104" s="105">
        <f>IFERROR(IF(LEN($P104)&lt;&gt;3,1,IF($P104=$D$2,1,BDP($P104&amp;$D$2&amp;" Curncy","PX_LAST"))),1)</f>
        <v/>
      </c>
    </row>
    <row r="105">
      <c r="A105" s="16" t="n"/>
      <c r="B105" s="76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06">
        <f>IFERROR(IF($B105="","",IF(ISNUMBER($F105),$B105*$F105*$D$3/$B$3,0)),"")</f>
        <v/>
      </c>
      <c r="K105" s="106">
        <f>IFERROR(IF($J105="","",$J105*IF(ISNUMBER($I105),$I105,'Index Summary'!$C$7)/100),"")</f>
        <v/>
      </c>
      <c r="L105" s="106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7">
        <f>IF($N105="No dividend","",IF($C105="","",BDP($C105,'Field Check'!$C$43)))</f>
        <v/>
      </c>
      <c r="Q105" s="105">
        <f>IFERROR(IF(LEN($P105)&lt;&gt;3,1,IF($P105=$D$2,1,BDP($P105&amp;$D$2&amp;" Curncy","PX_LAST"))),1)</f>
        <v/>
      </c>
    </row>
    <row r="106">
      <c r="A106" s="27" t="n"/>
      <c r="B106" s="76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06">
        <f>IFERROR(IF($B106="","",IF(ISNUMBER($F106),$B106*$F106*$D$3/$B$3,0)),"")</f>
        <v/>
      </c>
      <c r="K106" s="106">
        <f>IFERROR(IF($J106="","",$J106*IF(ISNUMBER($I106),$I106,'Index Summary'!$C$7)/100),"")</f>
        <v/>
      </c>
      <c r="L106" s="106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7">
        <f>IF($N106="No dividend","",IF($C106="","",BDP($C106,'Field Check'!$C$43)))</f>
        <v/>
      </c>
      <c r="Q106" s="105">
        <f>IFERROR(IF(LEN($P106)&lt;&gt;3,1,IF($P106=$D$2,1,BDP($P106&amp;$D$2&amp;" Curncy","PX_LAST"))),1)</f>
        <v/>
      </c>
    </row>
    <row r="107">
      <c r="A107" s="16" t="n"/>
      <c r="B107" s="76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06">
        <f>IFERROR(IF($B107="","",IF(ISNUMBER($F107),$B107*$F107*$D$3/$B$3,0)),"")</f>
        <v/>
      </c>
      <c r="K107" s="106">
        <f>IFERROR(IF($J107="","",$J107*IF(ISNUMBER($I107),$I107,'Index Summary'!$C$7)/100),"")</f>
        <v/>
      </c>
      <c r="L107" s="106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7">
        <f>IF($N107="No dividend","",IF($C107="","",BDP($C107,'Field Check'!$C$43)))</f>
        <v/>
      </c>
      <c r="Q107" s="105">
        <f>IFERROR(IF(LEN($P107)&lt;&gt;3,1,IF($P107=$D$2,1,BDP($P107&amp;$D$2&amp;" Curncy","PX_LAST"))),1)</f>
        <v/>
      </c>
    </row>
    <row r="108">
      <c r="A108" s="27" t="n"/>
      <c r="B108" s="76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06">
        <f>IFERROR(IF($B108="","",IF(ISNUMBER($F108),$B108*$F108*$D$3/$B$3,0)),"")</f>
        <v/>
      </c>
      <c r="K108" s="106">
        <f>IFERROR(IF($J108="","",$J108*IF(ISNUMBER($I108),$I108,'Index Summary'!$C$7)/100),"")</f>
        <v/>
      </c>
      <c r="L108" s="106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7">
        <f>IF($N108="No dividend","",IF($C108="","",BDP($C108,'Field Check'!$C$43)))</f>
        <v/>
      </c>
      <c r="Q108" s="105">
        <f>IFERROR(IF(LEN($P108)&lt;&gt;3,1,IF($P108=$D$2,1,BDP($P108&amp;$D$2&amp;" Curncy","PX_LAST"))),1)</f>
        <v/>
      </c>
    </row>
    <row r="109">
      <c r="A109" s="16" t="n"/>
      <c r="B109" s="76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06">
        <f>IFERROR(IF($B109="","",IF(ISNUMBER($F109),$B109*$F109*$D$3/$B$3,0)),"")</f>
        <v/>
      </c>
      <c r="K109" s="106">
        <f>IFERROR(IF($J109="","",$J109*IF(ISNUMBER($I109),$I109,'Index Summary'!$C$7)/100),"")</f>
        <v/>
      </c>
      <c r="L109" s="106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7">
        <f>IF($N109="No dividend","",IF($C109="","",BDP($C109,'Field Check'!$C$43)))</f>
        <v/>
      </c>
      <c r="Q109" s="105">
        <f>IFERROR(IF(LEN($P109)&lt;&gt;3,1,IF($P109=$D$2,1,BDP($P109&amp;$D$2&amp;" Curncy","PX_LAST"))),1)</f>
        <v/>
      </c>
    </row>
    <row r="110">
      <c r="A110" s="27" t="n"/>
      <c r="B110" s="76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06">
        <f>IFERROR(IF($B110="","",IF(ISNUMBER($F110),$B110*$F110*$D$3/$B$3,0)),"")</f>
        <v/>
      </c>
      <c r="K110" s="106">
        <f>IFERROR(IF($J110="","",$J110*IF(ISNUMBER($I110),$I110,'Index Summary'!$C$7)/100),"")</f>
        <v/>
      </c>
      <c r="L110" s="106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7">
        <f>IF($N110="No dividend","",IF($C110="","",BDP($C110,'Field Check'!$C$43)))</f>
        <v/>
      </c>
      <c r="Q110" s="105">
        <f>IFERROR(IF(LEN($P110)&lt;&gt;3,1,IF($P110=$D$2,1,BDP($P110&amp;$D$2&amp;" Curncy","PX_LAST"))),1)</f>
        <v/>
      </c>
    </row>
    <row r="111">
      <c r="A111" s="16" t="n"/>
      <c r="B111" s="76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06">
        <f>IFERROR(IF($B111="","",IF(ISNUMBER($F111),$B111*$F111*$D$3/$B$3,0)),"")</f>
        <v/>
      </c>
      <c r="K111" s="106">
        <f>IFERROR(IF($J111="","",$J111*IF(ISNUMBER($I111),$I111,'Index Summary'!$C$7)/100),"")</f>
        <v/>
      </c>
      <c r="L111" s="106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7">
        <f>IF($N111="No dividend","",IF($C111="","",BDP($C111,'Field Check'!$C$43)))</f>
        <v/>
      </c>
      <c r="Q111" s="105">
        <f>IFERROR(IF(LEN($P111)&lt;&gt;3,1,IF($P111=$D$2,1,BDP($P111&amp;$D$2&amp;" Curncy","PX_LAST"))),1)</f>
        <v/>
      </c>
    </row>
    <row r="112">
      <c r="A112" s="27" t="n"/>
      <c r="B112" s="76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06">
        <f>IFERROR(IF($B112="","",IF(ISNUMBER($F112),$B112*$F112*$D$3/$B$3,0)),"")</f>
        <v/>
      </c>
      <c r="K112" s="106">
        <f>IFERROR(IF($J112="","",$J112*IF(ISNUMBER($I112),$I112,'Index Summary'!$C$7)/100),"")</f>
        <v/>
      </c>
      <c r="L112" s="106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7">
        <f>IF($N112="No dividend","",IF($C112="","",BDP($C112,'Field Check'!$C$43)))</f>
        <v/>
      </c>
      <c r="Q112" s="105">
        <f>IFERROR(IF(LEN($P112)&lt;&gt;3,1,IF($P112=$D$2,1,BDP($P112&amp;$D$2&amp;" Curncy","PX_LAST"))),1)</f>
        <v/>
      </c>
    </row>
    <row r="113">
      <c r="A113" s="16" t="n"/>
      <c r="B113" s="76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06">
        <f>IFERROR(IF($B113="","",IF(ISNUMBER($F113),$B113*$F113*$D$3/$B$3,0)),"")</f>
        <v/>
      </c>
      <c r="K113" s="106">
        <f>IFERROR(IF($J113="","",$J113*IF(ISNUMBER($I113),$I113,'Index Summary'!$C$7)/100),"")</f>
        <v/>
      </c>
      <c r="L113" s="106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7">
        <f>IF($N113="No dividend","",IF($C113="","",BDP($C113,'Field Check'!$C$43)))</f>
        <v/>
      </c>
      <c r="Q113" s="105">
        <f>IFERROR(IF(LEN($P113)&lt;&gt;3,1,IF($P113=$D$2,1,BDP($P113&amp;$D$2&amp;" Curncy","PX_LAST"))),1)</f>
        <v/>
      </c>
    </row>
    <row r="114">
      <c r="A114" s="27" t="n"/>
      <c r="B114" s="76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06">
        <f>IFERROR(IF($B114="","",IF(ISNUMBER($F114),$B114*$F114*$D$3/$B$3,0)),"")</f>
        <v/>
      </c>
      <c r="K114" s="106">
        <f>IFERROR(IF($J114="","",$J114*IF(ISNUMBER($I114),$I114,'Index Summary'!$C$7)/100),"")</f>
        <v/>
      </c>
      <c r="L114" s="106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7">
        <f>IF($N114="No dividend","",IF($C114="","",BDP($C114,'Field Check'!$C$43)))</f>
        <v/>
      </c>
      <c r="Q114" s="105">
        <f>IFERROR(IF(LEN($P114)&lt;&gt;3,1,IF($P114=$D$2,1,BDP($P114&amp;$D$2&amp;" Curncy","PX_LAST"))),1)</f>
        <v/>
      </c>
    </row>
    <row r="115">
      <c r="A115" s="16" t="n"/>
      <c r="B115" s="76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06">
        <f>IFERROR(IF($B115="","",IF(ISNUMBER($F115),$B115*$F115*$D$3/$B$3,0)),"")</f>
        <v/>
      </c>
      <c r="K115" s="106">
        <f>IFERROR(IF($J115="","",$J115*IF(ISNUMBER($I115),$I115,'Index Summary'!$C$7)/100),"")</f>
        <v/>
      </c>
      <c r="L115" s="106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7">
        <f>IF($N115="No dividend","",IF($C115="","",BDP($C115,'Field Check'!$C$43)))</f>
        <v/>
      </c>
      <c r="Q115" s="105">
        <f>IFERROR(IF(LEN($P115)&lt;&gt;3,1,IF($P115=$D$2,1,BDP($P115&amp;$D$2&amp;" Curncy","PX_LAST"))),1)</f>
        <v/>
      </c>
    </row>
    <row r="116">
      <c r="A116" s="27" t="n"/>
      <c r="B116" s="76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06">
        <f>IFERROR(IF($B116="","",IF(ISNUMBER($F116),$B116*$F116*$D$3/$B$3,0)),"")</f>
        <v/>
      </c>
      <c r="K116" s="106">
        <f>IFERROR(IF($J116="","",$J116*IF(ISNUMBER($I116),$I116,'Index Summary'!$C$7)/100),"")</f>
        <v/>
      </c>
      <c r="L116" s="106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7">
        <f>IF($N116="No dividend","",IF($C116="","",BDP($C116,'Field Check'!$C$43)))</f>
        <v/>
      </c>
      <c r="Q116" s="105">
        <f>IFERROR(IF(LEN($P116)&lt;&gt;3,1,IF($P116=$D$2,1,BDP($P116&amp;$D$2&amp;" Curncy","PX_LAST"))),1)</f>
        <v/>
      </c>
    </row>
    <row r="117">
      <c r="A117" s="16" t="n"/>
      <c r="B117" s="76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06">
        <f>IFERROR(IF($B117="","",IF(ISNUMBER($F117),$B117*$F117*$D$3/$B$3,0)),"")</f>
        <v/>
      </c>
      <c r="K117" s="106">
        <f>IFERROR(IF($J117="","",$J117*IF(ISNUMBER($I117),$I117,'Index Summary'!$C$7)/100),"")</f>
        <v/>
      </c>
      <c r="L117" s="106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7">
        <f>IF($N117="No dividend","",IF($C117="","",BDP($C117,'Field Check'!$C$43)))</f>
        <v/>
      </c>
      <c r="Q117" s="105">
        <f>IFERROR(IF(LEN($P117)&lt;&gt;3,1,IF($P117=$D$2,1,BDP($P117&amp;$D$2&amp;" Curncy","PX_LAST"))),1)</f>
        <v/>
      </c>
    </row>
    <row r="118">
      <c r="A118" s="27" t="n"/>
      <c r="B118" s="76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06">
        <f>IFERROR(IF($B118="","",IF(ISNUMBER($F118),$B118*$F118*$D$3/$B$3,0)),"")</f>
        <v/>
      </c>
      <c r="K118" s="106">
        <f>IFERROR(IF($J118="","",$J118*IF(ISNUMBER($I118),$I118,'Index Summary'!$C$7)/100),"")</f>
        <v/>
      </c>
      <c r="L118" s="106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7">
        <f>IF($N118="No dividend","",IF($C118="","",BDP($C118,'Field Check'!$C$43)))</f>
        <v/>
      </c>
      <c r="Q118" s="105">
        <f>IFERROR(IF(LEN($P118)&lt;&gt;3,1,IF($P118=$D$2,1,BDP($P118&amp;$D$2&amp;" Curncy","PX_LAST"))),1)</f>
        <v/>
      </c>
    </row>
    <row r="119">
      <c r="A119" s="16" t="n"/>
      <c r="B119" s="76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06">
        <f>IFERROR(IF($B119="","",IF(ISNUMBER($F119),$B119*$F119*$D$3/$B$3,0)),"")</f>
        <v/>
      </c>
      <c r="K119" s="106">
        <f>IFERROR(IF($J119="","",$J119*IF(ISNUMBER($I119),$I119,'Index Summary'!$C$7)/100),"")</f>
        <v/>
      </c>
      <c r="L119" s="106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7">
        <f>IF($N119="No dividend","",IF($C119="","",BDP($C119,'Field Check'!$C$43)))</f>
        <v/>
      </c>
      <c r="Q119" s="105">
        <f>IFERROR(IF(LEN($P119)&lt;&gt;3,1,IF($P119=$D$2,1,BDP($P119&amp;$D$2&amp;" Curncy","PX_LAST"))),1)</f>
        <v/>
      </c>
    </row>
    <row r="120">
      <c r="A120" s="27" t="n"/>
      <c r="B120" s="76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06">
        <f>IFERROR(IF($B120="","",IF(ISNUMBER($F120),$B120*$F120*$D$3/$B$3,0)),"")</f>
        <v/>
      </c>
      <c r="K120" s="106">
        <f>IFERROR(IF($J120="","",$J120*IF(ISNUMBER($I120),$I120,'Index Summary'!$C$7)/100),"")</f>
        <v/>
      </c>
      <c r="L120" s="106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7">
        <f>IF($N120="No dividend","",IF($C120="","",BDP($C120,'Field Check'!$C$43)))</f>
        <v/>
      </c>
      <c r="Q120" s="105">
        <f>IFERROR(IF(LEN($P120)&lt;&gt;3,1,IF($P120=$D$2,1,BDP($P120&amp;$D$2&amp;" Curncy","PX_LAST"))),1)</f>
        <v/>
      </c>
    </row>
    <row r="121">
      <c r="A121" s="16" t="n"/>
      <c r="B121" s="76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06">
        <f>IFERROR(IF($B121="","",IF(ISNUMBER($F121),$B121*$F121*$D$3/$B$3,0)),"")</f>
        <v/>
      </c>
      <c r="K121" s="106">
        <f>IFERROR(IF($J121="","",$J121*IF(ISNUMBER($I121),$I121,'Index Summary'!$C$7)/100),"")</f>
        <v/>
      </c>
      <c r="L121" s="106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7">
        <f>IF($N121="No dividend","",IF($C121="","",BDP($C121,'Field Check'!$C$43)))</f>
        <v/>
      </c>
      <c r="Q121" s="105">
        <f>IFERROR(IF(LEN($P121)&lt;&gt;3,1,IF($P121=$D$2,1,BDP($P121&amp;$D$2&amp;" Curncy","PX_LAST"))),1)</f>
        <v/>
      </c>
    </row>
    <row r="122">
      <c r="A122" s="27" t="n"/>
      <c r="B122" s="76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06">
        <f>IFERROR(IF($B122="","",IF(ISNUMBER($F122),$B122*$F122*$D$3/$B$3,0)),"")</f>
        <v/>
      </c>
      <c r="K122" s="106">
        <f>IFERROR(IF($J122="","",$J122*IF(ISNUMBER($I122),$I122,'Index Summary'!$C$7)/100),"")</f>
        <v/>
      </c>
      <c r="L122" s="106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7">
        <f>IF($N122="No dividend","",IF($C122="","",BDP($C122,'Field Check'!$C$43)))</f>
        <v/>
      </c>
      <c r="Q122" s="105">
        <f>IFERROR(IF(LEN($P122)&lt;&gt;3,1,IF($P122=$D$2,1,BDP($P122&amp;$D$2&amp;" Curncy","PX_LAST"))),1)</f>
        <v/>
      </c>
    </row>
    <row r="123">
      <c r="A123" s="16" t="n"/>
      <c r="B123" s="76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06">
        <f>IFERROR(IF($B123="","",IF(ISNUMBER($F123),$B123*$F123*$D$3/$B$3,0)),"")</f>
        <v/>
      </c>
      <c r="K123" s="106">
        <f>IFERROR(IF($J123="","",$J123*IF(ISNUMBER($I123),$I123,'Index Summary'!$C$7)/100),"")</f>
        <v/>
      </c>
      <c r="L123" s="106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7">
        <f>IF($N123="No dividend","",IF($C123="","",BDP($C123,'Field Check'!$C$43)))</f>
        <v/>
      </c>
      <c r="Q123" s="105">
        <f>IFERROR(IF(LEN($P123)&lt;&gt;3,1,IF($P123=$D$2,1,BDP($P123&amp;$D$2&amp;" Curncy","PX_LAST"))),1)</f>
        <v/>
      </c>
    </row>
    <row r="124">
      <c r="A124" s="27" t="n"/>
      <c r="B124" s="76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06">
        <f>IFERROR(IF($B124="","",IF(ISNUMBER($F124),$B124*$F124*$D$3/$B$3,0)),"")</f>
        <v/>
      </c>
      <c r="K124" s="106">
        <f>IFERROR(IF($J124="","",$J124*IF(ISNUMBER($I124),$I124,'Index Summary'!$C$7)/100),"")</f>
        <v/>
      </c>
      <c r="L124" s="106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7">
        <f>IF($N124="No dividend","",IF($C124="","",BDP($C124,'Field Check'!$C$43)))</f>
        <v/>
      </c>
      <c r="Q124" s="105">
        <f>IFERROR(IF(LEN($P124)&lt;&gt;3,1,IF($P124=$D$2,1,BDP($P124&amp;$D$2&amp;" Curncy","PX_LAST"))),1)</f>
        <v/>
      </c>
    </row>
    <row r="125">
      <c r="A125" s="16" t="n"/>
      <c r="B125" s="76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06">
        <f>IFERROR(IF($B125="","",IF(ISNUMBER($F125),$B125*$F125*$D$3/$B$3,0)),"")</f>
        <v/>
      </c>
      <c r="K125" s="106">
        <f>IFERROR(IF($J125="","",$J125*IF(ISNUMBER($I125),$I125,'Index Summary'!$C$7)/100),"")</f>
        <v/>
      </c>
      <c r="L125" s="106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7">
        <f>IF($N125="No dividend","",IF($C125="","",BDP($C125,'Field Check'!$C$43)))</f>
        <v/>
      </c>
      <c r="Q125" s="105">
        <f>IFERROR(IF(LEN($P125)&lt;&gt;3,1,IF($P125=$D$2,1,BDP($P125&amp;$D$2&amp;" Curncy","PX_LAST"))),1)</f>
        <v/>
      </c>
    </row>
    <row r="126">
      <c r="A126" s="27" t="n"/>
      <c r="B126" s="76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06">
        <f>IFERROR(IF($B126="","",IF(ISNUMBER($F126),$B126*$F126*$D$3/$B$3,0)),"")</f>
        <v/>
      </c>
      <c r="K126" s="106">
        <f>IFERROR(IF($J126="","",$J126*IF(ISNUMBER($I126),$I126,'Index Summary'!$C$7)/100),"")</f>
        <v/>
      </c>
      <c r="L126" s="106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7">
        <f>IF($N126="No dividend","",IF($C126="","",BDP($C126,'Field Check'!$C$43)))</f>
        <v/>
      </c>
      <c r="Q126" s="105">
        <f>IFERROR(IF(LEN($P126)&lt;&gt;3,1,IF($P126=$D$2,1,BDP($P126&amp;$D$2&amp;" Curncy","PX_LAST"))),1)</f>
        <v/>
      </c>
    </row>
    <row r="127">
      <c r="A127" s="16" t="n"/>
      <c r="B127" s="76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06">
        <f>IFERROR(IF($B127="","",IF(ISNUMBER($F127),$B127*$F127*$D$3/$B$3,0)),"")</f>
        <v/>
      </c>
      <c r="K127" s="106">
        <f>IFERROR(IF($J127="","",$J127*IF(ISNUMBER($I127),$I127,'Index Summary'!$C$7)/100),"")</f>
        <v/>
      </c>
      <c r="L127" s="106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7">
        <f>IF($N127="No dividend","",IF($C127="","",BDP($C127,'Field Check'!$C$43)))</f>
        <v/>
      </c>
      <c r="Q127" s="105">
        <f>IFERROR(IF(LEN($P127)&lt;&gt;3,1,IF($P127=$D$2,1,BDP($P127&amp;$D$2&amp;" Curncy","PX_LAST"))),1)</f>
        <v/>
      </c>
    </row>
    <row r="128">
      <c r="A128" s="27" t="n"/>
      <c r="B128" s="76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06">
        <f>IFERROR(IF($B128="","",IF(ISNUMBER($F128),$B128*$F128*$D$3/$B$3,0)),"")</f>
        <v/>
      </c>
      <c r="K128" s="106">
        <f>IFERROR(IF($J128="","",$J128*IF(ISNUMBER($I128),$I128,'Index Summary'!$C$7)/100),"")</f>
        <v/>
      </c>
      <c r="L128" s="106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7">
        <f>IF($N128="No dividend","",IF($C128="","",BDP($C128,'Field Check'!$C$43)))</f>
        <v/>
      </c>
      <c r="Q128" s="105">
        <f>IFERROR(IF(LEN($P128)&lt;&gt;3,1,IF($P128=$D$2,1,BDP($P128&amp;$D$2&amp;" Curncy","PX_LAST"))),1)</f>
        <v/>
      </c>
    </row>
    <row r="129">
      <c r="A129" s="16" t="n"/>
      <c r="B129" s="76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06">
        <f>IFERROR(IF($B129="","",IF(ISNUMBER($F129),$B129*$F129*$D$3/$B$3,0)),"")</f>
        <v/>
      </c>
      <c r="K129" s="106">
        <f>IFERROR(IF($J129="","",$J129*IF(ISNUMBER($I129),$I129,'Index Summary'!$C$7)/100),"")</f>
        <v/>
      </c>
      <c r="L129" s="106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7">
        <f>IF($N129="No dividend","",IF($C129="","",BDP($C129,'Field Check'!$C$43)))</f>
        <v/>
      </c>
      <c r="Q129" s="105">
        <f>IFERROR(IF(LEN($P129)&lt;&gt;3,1,IF($P129=$D$2,1,BDP($P129&amp;$D$2&amp;" Curncy","PX_LAST"))),1)</f>
        <v/>
      </c>
    </row>
    <row r="130">
      <c r="A130" s="27" t="n"/>
      <c r="B130" s="76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06">
        <f>IFERROR(IF($B130="","",IF(ISNUMBER($F130),$B130*$F130*$D$3/$B$3,0)),"")</f>
        <v/>
      </c>
      <c r="K130" s="106">
        <f>IFERROR(IF($J130="","",$J130*IF(ISNUMBER($I130),$I130,'Index Summary'!$C$7)/100),"")</f>
        <v/>
      </c>
      <c r="L130" s="106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7">
        <f>IF($N130="No dividend","",IF($C130="","",BDP($C130,'Field Check'!$C$43)))</f>
        <v/>
      </c>
      <c r="Q130" s="105">
        <f>IFERROR(IF(LEN($P130)&lt;&gt;3,1,IF($P130=$D$2,1,BDP($P130&amp;$D$2&amp;" Curncy","PX_LAST"))),1)</f>
        <v/>
      </c>
    </row>
    <row r="131">
      <c r="A131" s="16" t="n"/>
      <c r="B131" s="76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06">
        <f>IFERROR(IF($B131="","",IF(ISNUMBER($F131),$B131*$F131*$D$3/$B$3,0)),"")</f>
        <v/>
      </c>
      <c r="K131" s="106">
        <f>IFERROR(IF($J131="","",$J131*IF(ISNUMBER($I131),$I131,'Index Summary'!$C$7)/100),"")</f>
        <v/>
      </c>
      <c r="L131" s="106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7">
        <f>IF($N131="No dividend","",IF($C131="","",BDP($C131,'Field Check'!$C$43)))</f>
        <v/>
      </c>
      <c r="Q131" s="105">
        <f>IFERROR(IF(LEN($P131)&lt;&gt;3,1,IF($P131=$D$2,1,BDP($P131&amp;$D$2&amp;" Curncy","PX_LAST"))),1)</f>
        <v/>
      </c>
    </row>
    <row r="132">
      <c r="A132" s="27" t="n"/>
      <c r="B132" s="76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06">
        <f>IFERROR(IF($B132="","",IF(ISNUMBER($F132),$B132*$F132*$D$3/$B$3,0)),"")</f>
        <v/>
      </c>
      <c r="K132" s="106">
        <f>IFERROR(IF($J132="","",$J132*IF(ISNUMBER($I132),$I132,'Index Summary'!$C$7)/100),"")</f>
        <v/>
      </c>
      <c r="L132" s="106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7">
        <f>IF($N132="No dividend","",IF($C132="","",BDP($C132,'Field Check'!$C$43)))</f>
        <v/>
      </c>
      <c r="Q132" s="105">
        <f>IFERROR(IF(LEN($P132)&lt;&gt;3,1,IF($P132=$D$2,1,BDP($P132&amp;$D$2&amp;" Curncy","PX_LAST"))),1)</f>
        <v/>
      </c>
    </row>
    <row r="133">
      <c r="A133" s="16" t="n"/>
      <c r="B133" s="76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06">
        <f>IFERROR(IF($B133="","",IF(ISNUMBER($F133),$B133*$F133*$D$3/$B$3,0)),"")</f>
        <v/>
      </c>
      <c r="K133" s="106">
        <f>IFERROR(IF($J133="","",$J133*IF(ISNUMBER($I133),$I133,'Index Summary'!$C$7)/100),"")</f>
        <v/>
      </c>
      <c r="L133" s="106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7">
        <f>IF($N133="No dividend","",IF($C133="","",BDP($C133,'Field Check'!$C$43)))</f>
        <v/>
      </c>
      <c r="Q133" s="105">
        <f>IFERROR(IF(LEN($P133)&lt;&gt;3,1,IF($P133=$D$2,1,BDP($P133&amp;$D$2&amp;" Curncy","PX_LAST"))),1)</f>
        <v/>
      </c>
    </row>
    <row r="134">
      <c r="A134" s="27" t="n"/>
      <c r="B134" s="76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06">
        <f>IFERROR(IF($B134="","",IF(ISNUMBER($F134),$B134*$F134*$D$3/$B$3,0)),"")</f>
        <v/>
      </c>
      <c r="K134" s="106">
        <f>IFERROR(IF($J134="","",$J134*IF(ISNUMBER($I134),$I134,'Index Summary'!$C$7)/100),"")</f>
        <v/>
      </c>
      <c r="L134" s="106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7">
        <f>IF($N134="No dividend","",IF($C134="","",BDP($C134,'Field Check'!$C$43)))</f>
        <v/>
      </c>
      <c r="Q134" s="105">
        <f>IFERROR(IF(LEN($P134)&lt;&gt;3,1,IF($P134=$D$2,1,BDP($P134&amp;$D$2&amp;" Curncy","PX_LAST"))),1)</f>
        <v/>
      </c>
    </row>
    <row r="135">
      <c r="A135" s="16" t="n"/>
      <c r="B135" s="76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06">
        <f>IFERROR(IF($B135="","",IF(ISNUMBER($F135),$B135*$F135*$D$3/$B$3,0)),"")</f>
        <v/>
      </c>
      <c r="K135" s="106">
        <f>IFERROR(IF($J135="","",$J135*IF(ISNUMBER($I135),$I135,'Index Summary'!$C$7)/100),"")</f>
        <v/>
      </c>
      <c r="L135" s="106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7">
        <f>IF($N135="No dividend","",IF($C135="","",BDP($C135,'Field Check'!$C$43)))</f>
        <v/>
      </c>
      <c r="Q135" s="105">
        <f>IFERROR(IF(LEN($P135)&lt;&gt;3,1,IF($P135=$D$2,1,BDP($P135&amp;$D$2&amp;" Curncy","PX_LAST"))),1)</f>
        <v/>
      </c>
    </row>
    <row r="136">
      <c r="A136" s="27" t="n"/>
      <c r="B136" s="76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06">
        <f>IFERROR(IF($B136="","",IF(ISNUMBER($F136),$B136*$F136*$D$3/$B$3,0)),"")</f>
        <v/>
      </c>
      <c r="K136" s="106">
        <f>IFERROR(IF($J136="","",$J136*IF(ISNUMBER($I136),$I136,'Index Summary'!$C$7)/100),"")</f>
        <v/>
      </c>
      <c r="L136" s="106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7">
        <f>IF($N136="No dividend","",IF($C136="","",BDP($C136,'Field Check'!$C$43)))</f>
        <v/>
      </c>
      <c r="Q136" s="105">
        <f>IFERROR(IF(LEN($P136)&lt;&gt;3,1,IF($P136=$D$2,1,BDP($P136&amp;$D$2&amp;" Curncy","PX_LAST"))),1)</f>
        <v/>
      </c>
    </row>
    <row r="137">
      <c r="A137" s="16" t="n"/>
      <c r="B137" s="76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06">
        <f>IFERROR(IF($B137="","",IF(ISNUMBER($F137),$B137*$F137*$D$3/$B$3,0)),"")</f>
        <v/>
      </c>
      <c r="K137" s="106">
        <f>IFERROR(IF($J137="","",$J137*IF(ISNUMBER($I137),$I137,'Index Summary'!$C$7)/100),"")</f>
        <v/>
      </c>
      <c r="L137" s="106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7">
        <f>IF($N137="No dividend","",IF($C137="","",BDP($C137,'Field Check'!$C$43)))</f>
        <v/>
      </c>
      <c r="Q137" s="105">
        <f>IFERROR(IF(LEN($P137)&lt;&gt;3,1,IF($P137=$D$2,1,BDP($P137&amp;$D$2&amp;" Curncy","PX_LAST"))),1)</f>
        <v/>
      </c>
    </row>
    <row r="138">
      <c r="A138" s="27" t="n"/>
      <c r="B138" s="76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06">
        <f>IFERROR(IF($B138="","",IF(ISNUMBER($F138),$B138*$F138*$D$3/$B$3,0)),"")</f>
        <v/>
      </c>
      <c r="K138" s="106">
        <f>IFERROR(IF($J138="","",$J138*IF(ISNUMBER($I138),$I138,'Index Summary'!$C$7)/100),"")</f>
        <v/>
      </c>
      <c r="L138" s="106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7">
        <f>IF($N138="No dividend","",IF($C138="","",BDP($C138,'Field Check'!$C$43)))</f>
        <v/>
      </c>
      <c r="Q138" s="105">
        <f>IFERROR(IF(LEN($P138)&lt;&gt;3,1,IF($P138=$D$2,1,BDP($P138&amp;$D$2&amp;" Curncy","PX_LAST"))),1)</f>
        <v/>
      </c>
    </row>
    <row r="139">
      <c r="A139" s="16" t="n"/>
      <c r="B139" s="76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06">
        <f>IFERROR(IF($B139="","",IF(ISNUMBER($F139),$B139*$F139*$D$3/$B$3,0)),"")</f>
        <v/>
      </c>
      <c r="K139" s="106">
        <f>IFERROR(IF($J139="","",$J139*IF(ISNUMBER($I139),$I139,'Index Summary'!$C$7)/100),"")</f>
        <v/>
      </c>
      <c r="L139" s="106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7">
        <f>IF($N139="No dividend","",IF($C139="","",BDP($C139,'Field Check'!$C$43)))</f>
        <v/>
      </c>
      <c r="Q139" s="105">
        <f>IFERROR(IF(LEN($P139)&lt;&gt;3,1,IF($P139=$D$2,1,BDP($P139&amp;$D$2&amp;" Curncy","PX_LAST"))),1)</f>
        <v/>
      </c>
    </row>
    <row r="140">
      <c r="A140" s="27" t="n"/>
      <c r="B140" s="76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06">
        <f>IFERROR(IF($B140="","",IF(ISNUMBER($F140),$B140*$F140*$D$3/$B$3,0)),"")</f>
        <v/>
      </c>
      <c r="K140" s="106">
        <f>IFERROR(IF($J140="","",$J140*IF(ISNUMBER($I140),$I140,'Index Summary'!$C$7)/100),"")</f>
        <v/>
      </c>
      <c r="L140" s="106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7">
        <f>IF($N140="No dividend","",IF($C140="","",BDP($C140,'Field Check'!$C$43)))</f>
        <v/>
      </c>
      <c r="Q140" s="105">
        <f>IFERROR(IF(LEN($P140)&lt;&gt;3,1,IF($P140=$D$2,1,BDP($P140&amp;$D$2&amp;" Curncy","PX_LAST"))),1)</f>
        <v/>
      </c>
    </row>
    <row r="141">
      <c r="A141" s="16" t="n"/>
      <c r="B141" s="76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06">
        <f>IFERROR(IF($B141="","",IF(ISNUMBER($F141),$B141*$F141*$D$3/$B$3,0)),"")</f>
        <v/>
      </c>
      <c r="K141" s="106">
        <f>IFERROR(IF($J141="","",$J141*IF(ISNUMBER($I141),$I141,'Index Summary'!$C$7)/100),"")</f>
        <v/>
      </c>
      <c r="L141" s="106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7">
        <f>IF($N141="No dividend","",IF($C141="","",BDP($C141,'Field Check'!$C$43)))</f>
        <v/>
      </c>
      <c r="Q141" s="105">
        <f>IFERROR(IF(LEN($P141)&lt;&gt;3,1,IF($P141=$D$2,1,BDP($P141&amp;$D$2&amp;" Curncy","PX_LAST"))),1)</f>
        <v/>
      </c>
    </row>
    <row r="142">
      <c r="A142" s="27" t="n"/>
      <c r="B142" s="76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06">
        <f>IFERROR(IF($B142="","",IF(ISNUMBER($F142),$B142*$F142*$D$3/$B$3,0)),"")</f>
        <v/>
      </c>
      <c r="K142" s="106">
        <f>IFERROR(IF($J142="","",$J142*IF(ISNUMBER($I142),$I142,'Index Summary'!$C$7)/100),"")</f>
        <v/>
      </c>
      <c r="L142" s="106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7">
        <f>IF($N142="No dividend","",IF($C142="","",BDP($C142,'Field Check'!$C$43)))</f>
        <v/>
      </c>
      <c r="Q142" s="105">
        <f>IFERROR(IF(LEN($P142)&lt;&gt;3,1,IF($P142=$D$2,1,BDP($P142&amp;$D$2&amp;" Curncy","PX_LAST"))),1)</f>
        <v/>
      </c>
    </row>
    <row r="143">
      <c r="A143" s="16" t="n"/>
      <c r="B143" s="76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06">
        <f>IFERROR(IF($B143="","",IF(ISNUMBER($F143),$B143*$F143*$D$3/$B$3,0)),"")</f>
        <v/>
      </c>
      <c r="K143" s="106">
        <f>IFERROR(IF($J143="","",$J143*IF(ISNUMBER($I143),$I143,'Index Summary'!$C$7)/100),"")</f>
        <v/>
      </c>
      <c r="L143" s="106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7">
        <f>IF($N143="No dividend","",IF($C143="","",BDP($C143,'Field Check'!$C$43)))</f>
        <v/>
      </c>
      <c r="Q143" s="105">
        <f>IFERROR(IF(LEN($P143)&lt;&gt;3,1,IF($P143=$D$2,1,BDP($P143&amp;$D$2&amp;" Curncy","PX_LAST"))),1)</f>
        <v/>
      </c>
    </row>
    <row r="144">
      <c r="A144" s="27" t="n"/>
      <c r="B144" s="76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06">
        <f>IFERROR(IF($B144="","",IF(ISNUMBER($F144),$B144*$F144*$D$3/$B$3,0)),"")</f>
        <v/>
      </c>
      <c r="K144" s="106">
        <f>IFERROR(IF($J144="","",$J144*IF(ISNUMBER($I144),$I144,'Index Summary'!$C$7)/100),"")</f>
        <v/>
      </c>
      <c r="L144" s="106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7">
        <f>IF($N144="No dividend","",IF($C144="","",BDP($C144,'Field Check'!$C$43)))</f>
        <v/>
      </c>
      <c r="Q144" s="105">
        <f>IFERROR(IF(LEN($P144)&lt;&gt;3,1,IF($P144=$D$2,1,BDP($P144&amp;$D$2&amp;" Curncy","PX_LAST"))),1)</f>
        <v/>
      </c>
    </row>
    <row r="145">
      <c r="A145" s="16" t="n"/>
      <c r="B145" s="76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06">
        <f>IFERROR(IF($B145="","",IF(ISNUMBER($F145),$B145*$F145*$D$3/$B$3,0)),"")</f>
        <v/>
      </c>
      <c r="K145" s="106">
        <f>IFERROR(IF($J145="","",$J145*IF(ISNUMBER($I145),$I145,'Index Summary'!$C$7)/100),"")</f>
        <v/>
      </c>
      <c r="L145" s="106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7">
        <f>IF($N145="No dividend","",IF($C145="","",BDP($C145,'Field Check'!$C$43)))</f>
        <v/>
      </c>
      <c r="Q145" s="105">
        <f>IFERROR(IF(LEN($P145)&lt;&gt;3,1,IF($P145=$D$2,1,BDP($P145&amp;$D$2&amp;" Curncy","PX_LAST"))),1)</f>
        <v/>
      </c>
    </row>
    <row r="146">
      <c r="A146" s="27" t="n"/>
      <c r="B146" s="76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06">
        <f>IFERROR(IF($B146="","",IF(ISNUMBER($F146),$B146*$F146*$D$3/$B$3,0)),"")</f>
        <v/>
      </c>
      <c r="K146" s="106">
        <f>IFERROR(IF($J146="","",$J146*IF(ISNUMBER($I146),$I146,'Index Summary'!$C$7)/100),"")</f>
        <v/>
      </c>
      <c r="L146" s="106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7">
        <f>IF($N146="No dividend","",IF($C146="","",BDP($C146,'Field Check'!$C$43)))</f>
        <v/>
      </c>
      <c r="Q146" s="105">
        <f>IFERROR(IF(LEN($P146)&lt;&gt;3,1,IF($P146=$D$2,1,BDP($P146&amp;$D$2&amp;" Curncy","PX_LAST"))),1)</f>
        <v/>
      </c>
    </row>
    <row r="147">
      <c r="A147" s="16" t="n"/>
      <c r="B147" s="76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06">
        <f>IFERROR(IF($B147="","",IF(ISNUMBER($F147),$B147*$F147*$D$3/$B$3,0)),"")</f>
        <v/>
      </c>
      <c r="K147" s="106">
        <f>IFERROR(IF($J147="","",$J147*IF(ISNUMBER($I147),$I147,'Index Summary'!$C$7)/100),"")</f>
        <v/>
      </c>
      <c r="L147" s="106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7">
        <f>IF($N147="No dividend","",IF($C147="","",BDP($C147,'Field Check'!$C$43)))</f>
        <v/>
      </c>
      <c r="Q147" s="105">
        <f>IFERROR(IF(LEN($P147)&lt;&gt;3,1,IF($P147=$D$2,1,BDP($P147&amp;$D$2&amp;" Curncy","PX_LAST"))),1)</f>
        <v/>
      </c>
    </row>
    <row r="148">
      <c r="A148" s="27" t="n"/>
      <c r="B148" s="76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06">
        <f>IFERROR(IF($B148="","",IF(ISNUMBER($F148),$B148*$F148*$D$3/$B$3,0)),"")</f>
        <v/>
      </c>
      <c r="K148" s="106">
        <f>IFERROR(IF($J148="","",$J148*IF(ISNUMBER($I148),$I148,'Index Summary'!$C$7)/100),"")</f>
        <v/>
      </c>
      <c r="L148" s="106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7">
        <f>IF($N148="No dividend","",IF($C148="","",BDP($C148,'Field Check'!$C$43)))</f>
        <v/>
      </c>
      <c r="Q148" s="105">
        <f>IFERROR(IF(LEN($P148)&lt;&gt;3,1,IF($P148=$D$2,1,BDP($P148&amp;$D$2&amp;" Curncy","PX_LAST"))),1)</f>
        <v/>
      </c>
    </row>
    <row r="149">
      <c r="A149" s="16" t="n"/>
      <c r="B149" s="76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06">
        <f>IFERROR(IF($B149="","",IF(ISNUMBER($F149),$B149*$F149*$D$3/$B$3,0)),"")</f>
        <v/>
      </c>
      <c r="K149" s="106">
        <f>IFERROR(IF($J149="","",$J149*IF(ISNUMBER($I149),$I149,'Index Summary'!$C$7)/100),"")</f>
        <v/>
      </c>
      <c r="L149" s="106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7">
        <f>IF($N149="No dividend","",IF($C149="","",BDP($C149,'Field Check'!$C$43)))</f>
        <v/>
      </c>
      <c r="Q149" s="105">
        <f>IFERROR(IF(LEN($P149)&lt;&gt;3,1,IF($P149=$D$2,1,BDP($P149&amp;$D$2&amp;" Curncy","PX_LAST"))),1)</f>
        <v/>
      </c>
    </row>
    <row r="150">
      <c r="A150" s="27" t="n"/>
      <c r="B150" s="76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06">
        <f>IFERROR(IF($B150="","",IF(ISNUMBER($F150),$B150*$F150*$D$3/$B$3,0)),"")</f>
        <v/>
      </c>
      <c r="K150" s="106">
        <f>IFERROR(IF($J150="","",$J150*IF(ISNUMBER($I150),$I150,'Index Summary'!$C$7)/100),"")</f>
        <v/>
      </c>
      <c r="L150" s="106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7">
        <f>IF($N150="No dividend","",IF($C150="","",BDP($C150,'Field Check'!$C$43)))</f>
        <v/>
      </c>
      <c r="Q150" s="105">
        <f>IFERROR(IF(LEN($P150)&lt;&gt;3,1,IF($P150=$D$2,1,BDP($P150&amp;$D$2&amp;" Curncy","PX_LAST"))),1)</f>
        <v/>
      </c>
    </row>
    <row r="151">
      <c r="A151" s="16" t="n"/>
      <c r="B151" s="76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06">
        <f>IFERROR(IF($B151="","",IF(ISNUMBER($F151),$B151*$F151*$D$3/$B$3,0)),"")</f>
        <v/>
      </c>
      <c r="K151" s="106">
        <f>IFERROR(IF($J151="","",$J151*IF(ISNUMBER($I151),$I151,'Index Summary'!$C$7)/100),"")</f>
        <v/>
      </c>
      <c r="L151" s="106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7">
        <f>IF($N151="No dividend","",IF($C151="","",BDP($C151,'Field Check'!$C$43)))</f>
        <v/>
      </c>
      <c r="Q151" s="105">
        <f>IFERROR(IF(LEN($P151)&lt;&gt;3,1,IF($P151=$D$2,1,BDP($P151&amp;$D$2&amp;" Curncy","PX_LAST"))),1)</f>
        <v/>
      </c>
    </row>
    <row r="152">
      <c r="A152" s="27" t="n"/>
      <c r="B152" s="76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06">
        <f>IFERROR(IF($B152="","",IF(ISNUMBER($F152),$B152*$F152*$D$3/$B$3,0)),"")</f>
        <v/>
      </c>
      <c r="K152" s="106">
        <f>IFERROR(IF($J152="","",$J152*IF(ISNUMBER($I152),$I152,'Index Summary'!$C$7)/100),"")</f>
        <v/>
      </c>
      <c r="L152" s="106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7">
        <f>IF($N152="No dividend","",IF($C152="","",BDP($C152,'Field Check'!$C$43)))</f>
        <v/>
      </c>
      <c r="Q152" s="105">
        <f>IFERROR(IF(LEN($P152)&lt;&gt;3,1,IF($P152=$D$2,1,BDP($P152&amp;$D$2&amp;" Curncy","PX_LAST"))),1)</f>
        <v/>
      </c>
    </row>
    <row r="153">
      <c r="A153" s="16" t="n"/>
      <c r="B153" s="76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06">
        <f>IFERROR(IF($B153="","",IF(ISNUMBER($F153),$B153*$F153*$D$3/$B$3,0)),"")</f>
        <v/>
      </c>
      <c r="K153" s="106">
        <f>IFERROR(IF($J153="","",$J153*IF(ISNUMBER($I153),$I153,'Index Summary'!$C$7)/100),"")</f>
        <v/>
      </c>
      <c r="L153" s="106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7">
        <f>IF($N153="No dividend","",IF($C153="","",BDP($C153,'Field Check'!$C$43)))</f>
        <v/>
      </c>
      <c r="Q153" s="105">
        <f>IFERROR(IF(LEN($P153)&lt;&gt;3,1,IF($P153=$D$2,1,BDP($P153&amp;$D$2&amp;" Curncy","PX_LAST"))),1)</f>
        <v/>
      </c>
    </row>
    <row r="154">
      <c r="A154" s="27" t="n"/>
      <c r="B154" s="76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06">
        <f>IFERROR(IF($B154="","",IF(ISNUMBER($F154),$B154*$F154*$D$3/$B$3,0)),"")</f>
        <v/>
      </c>
      <c r="K154" s="106">
        <f>IFERROR(IF($J154="","",$J154*IF(ISNUMBER($I154),$I154,'Index Summary'!$C$7)/100),"")</f>
        <v/>
      </c>
      <c r="L154" s="106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7">
        <f>IF($N154="No dividend","",IF($C154="","",BDP($C154,'Field Check'!$C$43)))</f>
        <v/>
      </c>
      <c r="Q154" s="105">
        <f>IFERROR(IF(LEN($P154)&lt;&gt;3,1,IF($P154=$D$2,1,BDP($P154&amp;$D$2&amp;" Curncy","PX_LAST"))),1)</f>
        <v/>
      </c>
    </row>
    <row r="155">
      <c r="A155" s="16" t="n"/>
      <c r="B155" s="76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06">
        <f>IFERROR(IF($B155="","",IF(ISNUMBER($F155),$B155*$F155*$D$3/$B$3,0)),"")</f>
        <v/>
      </c>
      <c r="K155" s="106">
        <f>IFERROR(IF($J155="","",$J155*IF(ISNUMBER($I155),$I155,'Index Summary'!$C$7)/100),"")</f>
        <v/>
      </c>
      <c r="L155" s="106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7">
        <f>IF($N155="No dividend","",IF($C155="","",BDP($C155,'Field Check'!$C$43)))</f>
        <v/>
      </c>
      <c r="Q155" s="105">
        <f>IFERROR(IF(LEN($P155)&lt;&gt;3,1,IF($P155=$D$2,1,BDP($P155&amp;$D$2&amp;" Curncy","PX_LAST"))),1)</f>
        <v/>
      </c>
    </row>
    <row r="156">
      <c r="A156" s="27" t="n"/>
      <c r="B156" s="76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06">
        <f>IFERROR(IF($B156="","",IF(ISNUMBER($F156),$B156*$F156*$D$3/$B$3,0)),"")</f>
        <v/>
      </c>
      <c r="K156" s="106">
        <f>IFERROR(IF($J156="","",$J156*IF(ISNUMBER($I156),$I156,'Index Summary'!$C$7)/100),"")</f>
        <v/>
      </c>
      <c r="L156" s="106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7">
        <f>IF($N156="No dividend","",IF($C156="","",BDP($C156,'Field Check'!$C$43)))</f>
        <v/>
      </c>
      <c r="Q156" s="105">
        <f>IFERROR(IF(LEN($P156)&lt;&gt;3,1,IF($P156=$D$2,1,BDP($P156&amp;$D$2&amp;" Curncy","PX_LAST"))),1)</f>
        <v/>
      </c>
    </row>
    <row r="157">
      <c r="A157" s="16" t="n"/>
      <c r="B157" s="76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06">
        <f>IFERROR(IF($B157="","",IF(ISNUMBER($F157),$B157*$F157*$D$3/$B$3,0)),"")</f>
        <v/>
      </c>
      <c r="K157" s="106">
        <f>IFERROR(IF($J157="","",$J157*IF(ISNUMBER($I157),$I157,'Index Summary'!$C$7)/100),"")</f>
        <v/>
      </c>
      <c r="L157" s="106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7">
        <f>IF($N157="No dividend","",IF($C157="","",BDP($C157,'Field Check'!$C$43)))</f>
        <v/>
      </c>
      <c r="Q157" s="105">
        <f>IFERROR(IF(LEN($P157)&lt;&gt;3,1,IF($P157=$D$2,1,BDP($P157&amp;$D$2&amp;" Curncy","PX_LAST"))),1)</f>
        <v/>
      </c>
    </row>
    <row r="158">
      <c r="A158" s="27" t="n"/>
      <c r="B158" s="76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06">
        <f>IFERROR(IF($B158="","",IF(ISNUMBER($F158),$B158*$F158*$D$3/$B$3,0)),"")</f>
        <v/>
      </c>
      <c r="K158" s="106">
        <f>IFERROR(IF($J158="","",$J158*IF(ISNUMBER($I158),$I158,'Index Summary'!$C$7)/100),"")</f>
        <v/>
      </c>
      <c r="L158" s="106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7">
        <f>IF($N158="No dividend","",IF($C158="","",BDP($C158,'Field Check'!$C$43)))</f>
        <v/>
      </c>
      <c r="Q158" s="105">
        <f>IFERROR(IF(LEN($P158)&lt;&gt;3,1,IF($P158=$D$2,1,BDP($P158&amp;$D$2&amp;" Curncy","PX_LAST"))),1)</f>
        <v/>
      </c>
    </row>
    <row r="159">
      <c r="A159" s="16" t="n"/>
      <c r="B159" s="76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06">
        <f>IFERROR(IF($B159="","",IF(ISNUMBER($F159),$B159*$F159*$D$3/$B$3,0)),"")</f>
        <v/>
      </c>
      <c r="K159" s="106">
        <f>IFERROR(IF($J159="","",$J159*IF(ISNUMBER($I159),$I159,'Index Summary'!$C$7)/100),"")</f>
        <v/>
      </c>
      <c r="L159" s="106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7">
        <f>IF($N159="No dividend","",IF($C159="","",BDP($C159,'Field Check'!$C$43)))</f>
        <v/>
      </c>
      <c r="Q159" s="105">
        <f>IFERROR(IF(LEN($P159)&lt;&gt;3,1,IF($P159=$D$2,1,BDP($P159&amp;$D$2&amp;" Curncy","PX_LAST"))),1)</f>
        <v/>
      </c>
    </row>
    <row r="160">
      <c r="A160" s="27" t="n"/>
      <c r="B160" s="76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06">
        <f>IFERROR(IF($B160="","",IF(ISNUMBER($F160),$B160*$F160*$D$3/$B$3,0)),"")</f>
        <v/>
      </c>
      <c r="K160" s="106">
        <f>IFERROR(IF($J160="","",$J160*IF(ISNUMBER($I160),$I160,'Index Summary'!$C$7)/100),"")</f>
        <v/>
      </c>
      <c r="L160" s="106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7">
        <f>IF($N160="No dividend","",IF($C160="","",BDP($C160,'Field Check'!$C$43)))</f>
        <v/>
      </c>
      <c r="Q160" s="105">
        <f>IFERROR(IF(LEN($P160)&lt;&gt;3,1,IF($P160=$D$2,1,BDP($P160&amp;$D$2&amp;" Curncy","PX_LAST"))),1)</f>
        <v/>
      </c>
    </row>
    <row r="161">
      <c r="A161" s="16" t="n"/>
      <c r="B161" s="76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06">
        <f>IFERROR(IF($B161="","",IF(ISNUMBER($F161),$B161*$F161*$D$3/$B$3,0)),"")</f>
        <v/>
      </c>
      <c r="K161" s="106">
        <f>IFERROR(IF($J161="","",$J161*IF(ISNUMBER($I161),$I161,'Index Summary'!$C$7)/100),"")</f>
        <v/>
      </c>
      <c r="L161" s="106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7">
        <f>IF($N161="No dividend","",IF($C161="","",BDP($C161,'Field Check'!$C$43)))</f>
        <v/>
      </c>
      <c r="Q161" s="105">
        <f>IFERROR(IF(LEN($P161)&lt;&gt;3,1,IF($P161=$D$2,1,BDP($P161&amp;$D$2&amp;" Curncy","PX_LAST"))),1)</f>
        <v/>
      </c>
    </row>
    <row r="162">
      <c r="A162" s="27" t="n"/>
      <c r="B162" s="76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06">
        <f>IFERROR(IF($B162="","",IF(ISNUMBER($F162),$B162*$F162*$D$3/$B$3,0)),"")</f>
        <v/>
      </c>
      <c r="K162" s="106">
        <f>IFERROR(IF($J162="","",$J162*IF(ISNUMBER($I162),$I162,'Index Summary'!$C$7)/100),"")</f>
        <v/>
      </c>
      <c r="L162" s="106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7">
        <f>IF($N162="No dividend","",IF($C162="","",BDP($C162,'Field Check'!$C$43)))</f>
        <v/>
      </c>
      <c r="Q162" s="105">
        <f>IFERROR(IF(LEN($P162)&lt;&gt;3,1,IF($P162=$D$2,1,BDP($P162&amp;$D$2&amp;" Curncy","PX_LAST"))),1)</f>
        <v/>
      </c>
    </row>
    <row r="163">
      <c r="A163" s="16" t="n"/>
      <c r="B163" s="76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06">
        <f>IFERROR(IF($B163="","",IF(ISNUMBER($F163),$B163*$F163*$D$3/$B$3,0)),"")</f>
        <v/>
      </c>
      <c r="K163" s="106">
        <f>IFERROR(IF($J163="","",$J163*IF(ISNUMBER($I163),$I163,'Index Summary'!$C$7)/100),"")</f>
        <v/>
      </c>
      <c r="L163" s="106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7">
        <f>IF($N163="No dividend","",IF($C163="","",BDP($C163,'Field Check'!$C$43)))</f>
        <v/>
      </c>
      <c r="Q163" s="105">
        <f>IFERROR(IF(LEN($P163)&lt;&gt;3,1,IF($P163=$D$2,1,BDP($P163&amp;$D$2&amp;" Curncy","PX_LAST"))),1)</f>
        <v/>
      </c>
    </row>
    <row r="164">
      <c r="A164" s="27" t="n"/>
      <c r="B164" s="76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06">
        <f>IFERROR(IF($B164="","",IF(ISNUMBER($F164),$B164*$F164*$D$3/$B$3,0)),"")</f>
        <v/>
      </c>
      <c r="K164" s="106">
        <f>IFERROR(IF($J164="","",$J164*IF(ISNUMBER($I164),$I164,'Index Summary'!$C$7)/100),"")</f>
        <v/>
      </c>
      <c r="L164" s="106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7">
        <f>IF($N164="No dividend","",IF($C164="","",BDP($C164,'Field Check'!$C$43)))</f>
        <v/>
      </c>
      <c r="Q164" s="105">
        <f>IFERROR(IF(LEN($P164)&lt;&gt;3,1,IF($P164=$D$2,1,BDP($P164&amp;$D$2&amp;" Curncy","PX_LAST"))),1)</f>
        <v/>
      </c>
    </row>
    <row r="165">
      <c r="A165" s="16" t="n"/>
      <c r="B165" s="76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06">
        <f>IFERROR(IF($B165="","",IF(ISNUMBER($F165),$B165*$F165*$D$3/$B$3,0)),"")</f>
        <v/>
      </c>
      <c r="K165" s="106">
        <f>IFERROR(IF($J165="","",$J165*IF(ISNUMBER($I165),$I165,'Index Summary'!$C$7)/100),"")</f>
        <v/>
      </c>
      <c r="L165" s="106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7">
        <f>IF($N165="No dividend","",IF($C165="","",BDP($C165,'Field Check'!$C$43)))</f>
        <v/>
      </c>
      <c r="Q165" s="105">
        <f>IFERROR(IF(LEN($P165)&lt;&gt;3,1,IF($P165=$D$2,1,BDP($P165&amp;$D$2&amp;" Curncy","PX_LAST"))),1)</f>
        <v/>
      </c>
    </row>
    <row r="166">
      <c r="A166" s="27" t="n"/>
      <c r="B166" s="76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06">
        <f>IFERROR(IF($B166="","",IF(ISNUMBER($F166),$B166*$F166*$D$3/$B$3,0)),"")</f>
        <v/>
      </c>
      <c r="K166" s="106">
        <f>IFERROR(IF($J166="","",$J166*IF(ISNUMBER($I166),$I166,'Index Summary'!$C$7)/100),"")</f>
        <v/>
      </c>
      <c r="L166" s="106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7">
        <f>IF($N166="No dividend","",IF($C166="","",BDP($C166,'Field Check'!$C$43)))</f>
        <v/>
      </c>
      <c r="Q166" s="105">
        <f>IFERROR(IF(LEN($P166)&lt;&gt;3,1,IF($P166=$D$2,1,BDP($P166&amp;$D$2&amp;" Curncy","PX_LAST"))),1)</f>
        <v/>
      </c>
    </row>
    <row r="167">
      <c r="A167" s="16" t="n"/>
      <c r="B167" s="76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06">
        <f>IFERROR(IF($B167="","",IF(ISNUMBER($F167),$B167*$F167*$D$3/$B$3,0)),"")</f>
        <v/>
      </c>
      <c r="K167" s="106">
        <f>IFERROR(IF($J167="","",$J167*IF(ISNUMBER($I167),$I167,'Index Summary'!$C$7)/100),"")</f>
        <v/>
      </c>
      <c r="L167" s="106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7">
        <f>IF($N167="No dividend","",IF($C167="","",BDP($C167,'Field Check'!$C$43)))</f>
        <v/>
      </c>
      <c r="Q167" s="105">
        <f>IFERROR(IF(LEN($P167)&lt;&gt;3,1,IF($P167=$D$2,1,BDP($P167&amp;$D$2&amp;" Curncy","PX_LAST"))),1)</f>
        <v/>
      </c>
    </row>
    <row r="168">
      <c r="A168" s="27" t="n"/>
      <c r="B168" s="76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06">
        <f>IFERROR(IF($B168="","",IF(ISNUMBER($F168),$B168*$F168*$D$3/$B$3,0)),"")</f>
        <v/>
      </c>
      <c r="K168" s="106">
        <f>IFERROR(IF($J168="","",$J168*IF(ISNUMBER($I168),$I168,'Index Summary'!$C$7)/100),"")</f>
        <v/>
      </c>
      <c r="L168" s="106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7">
        <f>IF($N168="No dividend","",IF($C168="","",BDP($C168,'Field Check'!$C$43)))</f>
        <v/>
      </c>
      <c r="Q168" s="105">
        <f>IFERROR(IF(LEN($P168)&lt;&gt;3,1,IF($P168=$D$2,1,BDP($P168&amp;$D$2&amp;" Curncy","PX_LAST"))),1)</f>
        <v/>
      </c>
    </row>
    <row r="169">
      <c r="A169" s="16" t="n"/>
      <c r="B169" s="76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06">
        <f>IFERROR(IF($B169="","",IF(ISNUMBER($F169),$B169*$F169*$D$3/$B$3,0)),"")</f>
        <v/>
      </c>
      <c r="K169" s="106">
        <f>IFERROR(IF($J169="","",$J169*IF(ISNUMBER($I169),$I169,'Index Summary'!$C$7)/100),"")</f>
        <v/>
      </c>
      <c r="L169" s="106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7">
        <f>IF($N169="No dividend","",IF($C169="","",BDP($C169,'Field Check'!$C$43)))</f>
        <v/>
      </c>
      <c r="Q169" s="105">
        <f>IFERROR(IF(LEN($P169)&lt;&gt;3,1,IF($P169=$D$2,1,BDP($P169&amp;$D$2&amp;" Curncy","PX_LAST"))),1)</f>
        <v/>
      </c>
    </row>
    <row r="170">
      <c r="A170" s="27" t="n"/>
      <c r="B170" s="76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06">
        <f>IFERROR(IF($B170="","",IF(ISNUMBER($F170),$B170*$F170*$D$3/$B$3,0)),"")</f>
        <v/>
      </c>
      <c r="K170" s="106">
        <f>IFERROR(IF($J170="","",$J170*IF(ISNUMBER($I170),$I170,'Index Summary'!$C$7)/100),"")</f>
        <v/>
      </c>
      <c r="L170" s="106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7">
        <f>IF($N170="No dividend","",IF($C170="","",BDP($C170,'Field Check'!$C$43)))</f>
        <v/>
      </c>
      <c r="Q170" s="105">
        <f>IFERROR(IF(LEN($P170)&lt;&gt;3,1,IF($P170=$D$2,1,BDP($P170&amp;$D$2&amp;" Curncy","PX_LAST"))),1)</f>
        <v/>
      </c>
    </row>
    <row r="171">
      <c r="A171" s="16" t="n"/>
      <c r="B171" s="76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06">
        <f>IFERROR(IF($B171="","",IF(ISNUMBER($F171),$B171*$F171*$D$3/$B$3,0)),"")</f>
        <v/>
      </c>
      <c r="K171" s="106">
        <f>IFERROR(IF($J171="","",$J171*IF(ISNUMBER($I171),$I171,'Index Summary'!$C$7)/100),"")</f>
        <v/>
      </c>
      <c r="L171" s="106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7">
        <f>IF($N171="No dividend","",IF($C171="","",BDP($C171,'Field Check'!$C$43)))</f>
        <v/>
      </c>
      <c r="Q171" s="105">
        <f>IFERROR(IF(LEN($P171)&lt;&gt;3,1,IF($P171=$D$2,1,BDP($P171&amp;$D$2&amp;" Curncy","PX_LAST"))),1)</f>
        <v/>
      </c>
    </row>
    <row r="172">
      <c r="A172" s="27" t="n"/>
      <c r="B172" s="76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06">
        <f>IFERROR(IF($B172="","",IF(ISNUMBER($F172),$B172*$F172*$D$3/$B$3,0)),"")</f>
        <v/>
      </c>
      <c r="K172" s="106">
        <f>IFERROR(IF($J172="","",$J172*IF(ISNUMBER($I172),$I172,'Index Summary'!$C$7)/100),"")</f>
        <v/>
      </c>
      <c r="L172" s="106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7">
        <f>IF($N172="No dividend","",IF($C172="","",BDP($C172,'Field Check'!$C$43)))</f>
        <v/>
      </c>
      <c r="Q172" s="105">
        <f>IFERROR(IF(LEN($P172)&lt;&gt;3,1,IF($P172=$D$2,1,BDP($P172&amp;$D$2&amp;" Curncy","PX_LAST"))),1)</f>
        <v/>
      </c>
    </row>
    <row r="173">
      <c r="A173" s="16" t="n"/>
      <c r="B173" s="76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06">
        <f>IFERROR(IF($B173="","",IF(ISNUMBER($F173),$B173*$F173*$D$3/$B$3,0)),"")</f>
        <v/>
      </c>
      <c r="K173" s="106">
        <f>IFERROR(IF($J173="","",$J173*IF(ISNUMBER($I173),$I173,'Index Summary'!$C$7)/100),"")</f>
        <v/>
      </c>
      <c r="L173" s="106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7">
        <f>IF($N173="No dividend","",IF($C173="","",BDP($C173,'Field Check'!$C$43)))</f>
        <v/>
      </c>
      <c r="Q173" s="105">
        <f>IFERROR(IF(LEN($P173)&lt;&gt;3,1,IF($P173=$D$2,1,BDP($P173&amp;$D$2&amp;" Curncy","PX_LAST"))),1)</f>
        <v/>
      </c>
    </row>
    <row r="174">
      <c r="A174" s="27" t="n"/>
      <c r="B174" s="76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06">
        <f>IFERROR(IF($B174="","",IF(ISNUMBER($F174),$B174*$F174*$D$3/$B$3,0)),"")</f>
        <v/>
      </c>
      <c r="K174" s="106">
        <f>IFERROR(IF($J174="","",$J174*IF(ISNUMBER($I174),$I174,'Index Summary'!$C$7)/100),"")</f>
        <v/>
      </c>
      <c r="L174" s="106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7">
        <f>IF($N174="No dividend","",IF($C174="","",BDP($C174,'Field Check'!$C$43)))</f>
        <v/>
      </c>
      <c r="Q174" s="105">
        <f>IFERROR(IF(LEN($P174)&lt;&gt;3,1,IF($P174=$D$2,1,BDP($P174&amp;$D$2&amp;" Curncy","PX_LAST"))),1)</f>
        <v/>
      </c>
    </row>
    <row r="175">
      <c r="A175" s="16" t="n"/>
      <c r="B175" s="76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06">
        <f>IFERROR(IF($B175="","",IF(ISNUMBER($F175),$B175*$F175*$D$3/$B$3,0)),"")</f>
        <v/>
      </c>
      <c r="K175" s="106">
        <f>IFERROR(IF($J175="","",$J175*IF(ISNUMBER($I175),$I175,'Index Summary'!$C$7)/100),"")</f>
        <v/>
      </c>
      <c r="L175" s="106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7">
        <f>IF($N175="No dividend","",IF($C175="","",BDP($C175,'Field Check'!$C$43)))</f>
        <v/>
      </c>
      <c r="Q175" s="105">
        <f>IFERROR(IF(LEN($P175)&lt;&gt;3,1,IF($P175=$D$2,1,BDP($P175&amp;$D$2&amp;" Curncy","PX_LAST"))),1)</f>
        <v/>
      </c>
    </row>
    <row r="176">
      <c r="A176" s="27" t="n"/>
      <c r="B176" s="76" t="n"/>
      <c r="C176" s="27">
        <f>IF($A176="","",$A176&amp;" Equity")</f>
        <v/>
      </c>
      <c r="D176" s="27">
        <f>IF($A176="","",BDP($C176,"NAME"))</f>
        <v/>
      </c>
      <c r="E176" s="27">
        <f>IF($A176="","",BDP($C176,"GICS_SECTOR_NAME"))</f>
        <v/>
      </c>
      <c r="F176" s="28">
        <f>IF($A176="","",BDP($C176,"EQY_DVD_SH_12M"))</f>
        <v/>
      </c>
      <c r="G176" s="29">
        <f>IF($A176="","",BDP($C176,"EQY_DVD_YLD_12M"))</f>
        <v/>
      </c>
      <c r="H176" s="29">
        <f>IF($A176="","",BDP($C176,"EQY_DVD_YLD_IND"))</f>
        <v/>
      </c>
      <c r="I176" s="29">
        <f>IF($A176="","",BDP($C176,'Field Check'!$C$4))</f>
        <v/>
      </c>
      <c r="J176" s="106">
        <f>IFERROR(IF($B176="","",IF(ISNUMBER($F176),$B176*$F176*$D$3/$B$3,0)),"")</f>
        <v/>
      </c>
      <c r="K176" s="106">
        <f>IFERROR(IF($J176="","",$J176*IF(ISNUMBER($I176),$I176,'Index Summary'!$C$7)/100),"")</f>
        <v/>
      </c>
      <c r="L176" s="106">
        <f>IFERROR(IF($K176="","",$J176-$K176),"")</f>
        <v/>
      </c>
      <c r="M176" s="30" t="n"/>
      <c r="N176" s="31">
        <f>IF($C176="","",IF(NOT(ISNUMBER($F176)),"No dividend",IF($F176=0,"No dividend",IF(ISNUMBER($I176),"OK","Frank assumed"))))</f>
        <v/>
      </c>
      <c r="P176" s="57">
        <f>IF($N176="No dividend","",IF($C176="","",BDP($C176,'Field Check'!$C$43)))</f>
        <v/>
      </c>
      <c r="Q176" s="105">
        <f>IFERROR(IF(LEN($P176)&lt;&gt;3,1,IF($P176=$D$2,1,BDP($P176&amp;$D$2&amp;" Curncy","PX_LAST"))),1)</f>
        <v/>
      </c>
    </row>
    <row r="177">
      <c r="A177" s="16" t="n"/>
      <c r="B177" s="76" t="n"/>
      <c r="C177" s="16">
        <f>IF($A177="","",$A177&amp;" Equity")</f>
        <v/>
      </c>
      <c r="D177" s="16">
        <f>IF($A177="","",BDP($C177,"NAME"))</f>
        <v/>
      </c>
      <c r="E177" s="16">
        <f>IF($A177="","",BDP($C177,"GICS_SECTOR_NAME"))</f>
        <v/>
      </c>
      <c r="F177" s="32">
        <f>IF($A177="","",BDP($C177,"EQY_DVD_SH_12M"))</f>
        <v/>
      </c>
      <c r="G177" s="33">
        <f>IF($A177="","",BDP($C177,"EQY_DVD_YLD_12M"))</f>
        <v/>
      </c>
      <c r="H177" s="33">
        <f>IF($A177="","",BDP($C177,"EQY_DVD_YLD_IND"))</f>
        <v/>
      </c>
      <c r="I177" s="33">
        <f>IF($A177="","",BDP($C177,'Field Check'!$C$4))</f>
        <v/>
      </c>
      <c r="J177" s="106">
        <f>IFERROR(IF($B177="","",IF(ISNUMBER($F177),$B177*$F177*$D$3/$B$3,0)),"")</f>
        <v/>
      </c>
      <c r="K177" s="106">
        <f>IFERROR(IF($J177="","",$J177*IF(ISNUMBER($I177),$I177,'Index Summary'!$C$7)/100),"")</f>
        <v/>
      </c>
      <c r="L177" s="106">
        <f>IFERROR(IF($K177="","",$J177-$K177),"")</f>
        <v/>
      </c>
      <c r="M177" s="34" t="n"/>
      <c r="N177" s="35">
        <f>IF($C177="","",IF(NOT(ISNUMBER($F177)),"No dividend",IF($F177=0,"No dividend",IF(ISNUMBER($I177),"OK","Frank assumed"))))</f>
        <v/>
      </c>
      <c r="P177" s="57">
        <f>IF($N177="No dividend","",IF($C177="","",BDP($C177,'Field Check'!$C$43)))</f>
        <v/>
      </c>
      <c r="Q177" s="105">
        <f>IFERROR(IF(LEN($P177)&lt;&gt;3,1,IF($P177=$D$2,1,BDP($P177&amp;$D$2&amp;" Curncy","PX_LAST"))),1)</f>
        <v/>
      </c>
    </row>
    <row r="178">
      <c r="A178" s="27" t="n"/>
      <c r="B178" s="76" t="n"/>
      <c r="C178" s="27">
        <f>IF($A178="","",$A178&amp;" Equity")</f>
        <v/>
      </c>
      <c r="D178" s="27">
        <f>IF($A178="","",BDP($C178,"NAME"))</f>
        <v/>
      </c>
      <c r="E178" s="27">
        <f>IF($A178="","",BDP($C178,"GICS_SECTOR_NAME"))</f>
        <v/>
      </c>
      <c r="F178" s="28">
        <f>IF($A178="","",BDP($C178,"EQY_DVD_SH_12M"))</f>
        <v/>
      </c>
      <c r="G178" s="29">
        <f>IF($A178="","",BDP($C178,"EQY_DVD_YLD_12M"))</f>
        <v/>
      </c>
      <c r="H178" s="29">
        <f>IF($A178="","",BDP($C178,"EQY_DVD_YLD_IND"))</f>
        <v/>
      </c>
      <c r="I178" s="29">
        <f>IF($A178="","",BDP($C178,'Field Check'!$C$4))</f>
        <v/>
      </c>
      <c r="J178" s="106">
        <f>IFERROR(IF($B178="","",IF(ISNUMBER($F178),$B178*$F178*$D$3/$B$3,0)),"")</f>
        <v/>
      </c>
      <c r="K178" s="106">
        <f>IFERROR(IF($J178="","",$J178*IF(ISNUMBER($I178),$I178,'Index Summary'!$C$7)/100),"")</f>
        <v/>
      </c>
      <c r="L178" s="106">
        <f>IFERROR(IF($K178="","",$J178-$K178),"")</f>
        <v/>
      </c>
      <c r="M178" s="30" t="n"/>
      <c r="N178" s="31">
        <f>IF($C178="","",IF(NOT(ISNUMBER($F178)),"No dividend",IF($F178=0,"No dividend",IF(ISNUMBER($I178),"OK","Frank assumed"))))</f>
        <v/>
      </c>
      <c r="P178" s="57">
        <f>IF($N178="No dividend","",IF($C178="","",BDP($C178,'Field Check'!$C$43)))</f>
        <v/>
      </c>
      <c r="Q178" s="105">
        <f>IFERROR(IF(LEN($P178)&lt;&gt;3,1,IF($P178=$D$2,1,BDP($P178&amp;$D$2&amp;" Curncy","PX_LAST"))),1)</f>
        <v/>
      </c>
    </row>
    <row r="179">
      <c r="A179" s="16" t="n"/>
      <c r="B179" s="76" t="n"/>
      <c r="C179" s="16">
        <f>IF($A179="","",$A179&amp;" Equity")</f>
        <v/>
      </c>
      <c r="D179" s="16">
        <f>IF($A179="","",BDP($C179,"NAME"))</f>
        <v/>
      </c>
      <c r="E179" s="16">
        <f>IF($A179="","",BDP($C179,"GICS_SECTOR_NAME"))</f>
        <v/>
      </c>
      <c r="F179" s="32">
        <f>IF($A179="","",BDP($C179,"EQY_DVD_SH_12M"))</f>
        <v/>
      </c>
      <c r="G179" s="33">
        <f>IF($A179="","",BDP($C179,"EQY_DVD_YLD_12M"))</f>
        <v/>
      </c>
      <c r="H179" s="33">
        <f>IF($A179="","",BDP($C179,"EQY_DVD_YLD_IND"))</f>
        <v/>
      </c>
      <c r="I179" s="33">
        <f>IF($A179="","",BDP($C179,'Field Check'!$C$4))</f>
        <v/>
      </c>
      <c r="J179" s="106">
        <f>IFERROR(IF($B179="","",IF(ISNUMBER($F179),$B179*$F179*$D$3/$B$3,0)),"")</f>
        <v/>
      </c>
      <c r="K179" s="106">
        <f>IFERROR(IF($J179="","",$J179*IF(ISNUMBER($I179),$I179,'Index Summary'!$C$7)/100),"")</f>
        <v/>
      </c>
      <c r="L179" s="106">
        <f>IFERROR(IF($K179="","",$J179-$K179),"")</f>
        <v/>
      </c>
      <c r="M179" s="34" t="n"/>
      <c r="N179" s="35">
        <f>IF($C179="","",IF(NOT(ISNUMBER($F179)),"No dividend",IF($F179=0,"No dividend",IF(ISNUMBER($I179),"OK","Frank assumed"))))</f>
        <v/>
      </c>
      <c r="P179" s="57">
        <f>IF($N179="No dividend","",IF($C179="","",BDP($C179,'Field Check'!$C$43)))</f>
        <v/>
      </c>
      <c r="Q179" s="105">
        <f>IFERROR(IF(LEN($P179)&lt;&gt;3,1,IF($P179=$D$2,1,BDP($P179&amp;$D$2&amp;" Curncy","PX_LAST"))),1)</f>
        <v/>
      </c>
    </row>
    <row r="180">
      <c r="A180" s="27" t="n"/>
      <c r="B180" s="76" t="n"/>
      <c r="C180" s="27">
        <f>IF($A180="","",$A180&amp;" Equity")</f>
        <v/>
      </c>
      <c r="D180" s="27">
        <f>IF($A180="","",BDP($C180,"NAME"))</f>
        <v/>
      </c>
      <c r="E180" s="27">
        <f>IF($A180="","",BDP($C180,"GICS_SECTOR_NAME"))</f>
        <v/>
      </c>
      <c r="F180" s="28">
        <f>IF($A180="","",BDP($C180,"EQY_DVD_SH_12M"))</f>
        <v/>
      </c>
      <c r="G180" s="29">
        <f>IF($A180="","",BDP($C180,"EQY_DVD_YLD_12M"))</f>
        <v/>
      </c>
      <c r="H180" s="29">
        <f>IF($A180="","",BDP($C180,"EQY_DVD_YLD_IND"))</f>
        <v/>
      </c>
      <c r="I180" s="29">
        <f>IF($A180="","",BDP($C180,'Field Check'!$C$4))</f>
        <v/>
      </c>
      <c r="J180" s="106">
        <f>IFERROR(IF($B180="","",IF(ISNUMBER($F180),$B180*$F180*$D$3/$B$3,0)),"")</f>
        <v/>
      </c>
      <c r="K180" s="106">
        <f>IFERROR(IF($J180="","",$J180*IF(ISNUMBER($I180),$I180,'Index Summary'!$C$7)/100),"")</f>
        <v/>
      </c>
      <c r="L180" s="106">
        <f>IFERROR(IF($K180="","",$J180-$K180),"")</f>
        <v/>
      </c>
      <c r="M180" s="30" t="n"/>
      <c r="N180" s="31">
        <f>IF($C180="","",IF(NOT(ISNUMBER($F180)),"No dividend",IF($F180=0,"No dividend",IF(ISNUMBER($I180),"OK","Frank assumed"))))</f>
        <v/>
      </c>
      <c r="P180" s="57">
        <f>IF($N180="No dividend","",IF($C180="","",BDP($C180,'Field Check'!$C$43)))</f>
        <v/>
      </c>
      <c r="Q180" s="105">
        <f>IFERROR(IF(LEN($P180)&lt;&gt;3,1,IF($P180=$D$2,1,BDP($P180&amp;$D$2&amp;" Curncy","PX_LAST"))),1)</f>
        <v/>
      </c>
    </row>
    <row r="181">
      <c r="A181" s="16" t="n"/>
      <c r="B181" s="76" t="n"/>
      <c r="C181" s="16">
        <f>IF($A181="","",$A181&amp;" Equity")</f>
        <v/>
      </c>
      <c r="D181" s="16">
        <f>IF($A181="","",BDP($C181,"NAME"))</f>
        <v/>
      </c>
      <c r="E181" s="16">
        <f>IF($A181="","",BDP($C181,"GICS_SECTOR_NAME"))</f>
        <v/>
      </c>
      <c r="F181" s="32">
        <f>IF($A181="","",BDP($C181,"EQY_DVD_SH_12M"))</f>
        <v/>
      </c>
      <c r="G181" s="33">
        <f>IF($A181="","",BDP($C181,"EQY_DVD_YLD_12M"))</f>
        <v/>
      </c>
      <c r="H181" s="33">
        <f>IF($A181="","",BDP($C181,"EQY_DVD_YLD_IND"))</f>
        <v/>
      </c>
      <c r="I181" s="33">
        <f>IF($A181="","",BDP($C181,'Field Check'!$C$4))</f>
        <v/>
      </c>
      <c r="J181" s="106">
        <f>IFERROR(IF($B181="","",IF(ISNUMBER($F181),$B181*$F181*$D$3/$B$3,0)),"")</f>
        <v/>
      </c>
      <c r="K181" s="106">
        <f>IFERROR(IF($J181="","",$J181*IF(ISNUMBER($I181),$I181,'Index Summary'!$C$7)/100),"")</f>
        <v/>
      </c>
      <c r="L181" s="106">
        <f>IFERROR(IF($K181="","",$J181-$K181),"")</f>
        <v/>
      </c>
      <c r="M181" s="34" t="n"/>
      <c r="N181" s="35">
        <f>IF($C181="","",IF(NOT(ISNUMBER($F181)),"No dividend",IF($F181=0,"No dividend",IF(ISNUMBER($I181),"OK","Frank assumed"))))</f>
        <v/>
      </c>
      <c r="P181" s="57">
        <f>IF($N181="No dividend","",IF($C181="","",BDP($C181,'Field Check'!$C$43)))</f>
        <v/>
      </c>
      <c r="Q181" s="105">
        <f>IFERROR(IF(LEN($P181)&lt;&gt;3,1,IF($P181=$D$2,1,BDP($P181&amp;$D$2&amp;" Curncy","PX_LAST"))),1)</f>
        <v/>
      </c>
    </row>
    <row r="182">
      <c r="A182" s="27" t="n"/>
      <c r="B182" s="76" t="n"/>
      <c r="C182" s="27">
        <f>IF($A182="","",$A182&amp;" Equity")</f>
        <v/>
      </c>
      <c r="D182" s="27">
        <f>IF($A182="","",BDP($C182,"NAME"))</f>
        <v/>
      </c>
      <c r="E182" s="27">
        <f>IF($A182="","",BDP($C182,"GICS_SECTOR_NAME"))</f>
        <v/>
      </c>
      <c r="F182" s="28">
        <f>IF($A182="","",BDP($C182,"EQY_DVD_SH_12M"))</f>
        <v/>
      </c>
      <c r="G182" s="29">
        <f>IF($A182="","",BDP($C182,"EQY_DVD_YLD_12M"))</f>
        <v/>
      </c>
      <c r="H182" s="29">
        <f>IF($A182="","",BDP($C182,"EQY_DVD_YLD_IND"))</f>
        <v/>
      </c>
      <c r="I182" s="29">
        <f>IF($A182="","",BDP($C182,'Field Check'!$C$4))</f>
        <v/>
      </c>
      <c r="J182" s="106">
        <f>IFERROR(IF($B182="","",IF(ISNUMBER($F182),$B182*$F182*$D$3/$B$3,0)),"")</f>
        <v/>
      </c>
      <c r="K182" s="106">
        <f>IFERROR(IF($J182="","",$J182*IF(ISNUMBER($I182),$I182,'Index Summary'!$C$7)/100),"")</f>
        <v/>
      </c>
      <c r="L182" s="106">
        <f>IFERROR(IF($K182="","",$J182-$K182),"")</f>
        <v/>
      </c>
      <c r="M182" s="30" t="n"/>
      <c r="N182" s="31">
        <f>IF($C182="","",IF(NOT(ISNUMBER($F182)),"No dividend",IF($F182=0,"No dividend",IF(ISNUMBER($I182),"OK","Frank assumed"))))</f>
        <v/>
      </c>
      <c r="P182" s="57">
        <f>IF($N182="No dividend","",IF($C182="","",BDP($C182,'Field Check'!$C$43)))</f>
        <v/>
      </c>
      <c r="Q182" s="105">
        <f>IFERROR(IF(LEN($P182)&lt;&gt;3,1,IF($P182=$D$2,1,BDP($P182&amp;$D$2&amp;" Curncy","PX_LAST"))),1)</f>
        <v/>
      </c>
    </row>
    <row r="183">
      <c r="A183" s="16" t="n"/>
      <c r="B183" s="76" t="n"/>
      <c r="C183" s="16">
        <f>IF($A183="","",$A183&amp;" Equity")</f>
        <v/>
      </c>
      <c r="D183" s="16">
        <f>IF($A183="","",BDP($C183,"NAME"))</f>
        <v/>
      </c>
      <c r="E183" s="16">
        <f>IF($A183="","",BDP($C183,"GICS_SECTOR_NAME"))</f>
        <v/>
      </c>
      <c r="F183" s="32">
        <f>IF($A183="","",BDP($C183,"EQY_DVD_SH_12M"))</f>
        <v/>
      </c>
      <c r="G183" s="33">
        <f>IF($A183="","",BDP($C183,"EQY_DVD_YLD_12M"))</f>
        <v/>
      </c>
      <c r="H183" s="33">
        <f>IF($A183="","",BDP($C183,"EQY_DVD_YLD_IND"))</f>
        <v/>
      </c>
      <c r="I183" s="33">
        <f>IF($A183="","",BDP($C183,'Field Check'!$C$4))</f>
        <v/>
      </c>
      <c r="J183" s="106">
        <f>IFERROR(IF($B183="","",IF(ISNUMBER($F183),$B183*$F183*$D$3/$B$3,0)),"")</f>
        <v/>
      </c>
      <c r="K183" s="106">
        <f>IFERROR(IF($J183="","",$J183*IF(ISNUMBER($I183),$I183,'Index Summary'!$C$7)/100),"")</f>
        <v/>
      </c>
      <c r="L183" s="106">
        <f>IFERROR(IF($K183="","",$J183-$K183),"")</f>
        <v/>
      </c>
      <c r="M183" s="34" t="n"/>
      <c r="N183" s="35">
        <f>IF($C183="","",IF(NOT(ISNUMBER($F183)),"No dividend",IF($F183=0,"No dividend",IF(ISNUMBER($I183),"OK","Frank assumed"))))</f>
        <v/>
      </c>
      <c r="P183" s="57">
        <f>IF($N183="No dividend","",IF($C183="","",BDP($C183,'Field Check'!$C$43)))</f>
        <v/>
      </c>
      <c r="Q183" s="105">
        <f>IFERROR(IF(LEN($P183)&lt;&gt;3,1,IF($P183=$D$2,1,BDP($P183&amp;$D$2&amp;" Curncy","PX_LAST"))),1)</f>
        <v/>
      </c>
    </row>
    <row r="184">
      <c r="A184" s="27" t="n"/>
      <c r="B184" s="76" t="n"/>
      <c r="C184" s="27">
        <f>IF($A184="","",$A184&amp;" Equity")</f>
        <v/>
      </c>
      <c r="D184" s="27">
        <f>IF($A184="","",BDP($C184,"NAME"))</f>
        <v/>
      </c>
      <c r="E184" s="27">
        <f>IF($A184="","",BDP($C184,"GICS_SECTOR_NAME"))</f>
        <v/>
      </c>
      <c r="F184" s="28">
        <f>IF($A184="","",BDP($C184,"EQY_DVD_SH_12M"))</f>
        <v/>
      </c>
      <c r="G184" s="29">
        <f>IF($A184="","",BDP($C184,"EQY_DVD_YLD_12M"))</f>
        <v/>
      </c>
      <c r="H184" s="29">
        <f>IF($A184="","",BDP($C184,"EQY_DVD_YLD_IND"))</f>
        <v/>
      </c>
      <c r="I184" s="29">
        <f>IF($A184="","",BDP($C184,'Field Check'!$C$4))</f>
        <v/>
      </c>
      <c r="J184" s="106">
        <f>IFERROR(IF($B184="","",IF(ISNUMBER($F184),$B184*$F184*$D$3/$B$3,0)),"")</f>
        <v/>
      </c>
      <c r="K184" s="106">
        <f>IFERROR(IF($J184="","",$J184*IF(ISNUMBER($I184),$I184,'Index Summary'!$C$7)/100),"")</f>
        <v/>
      </c>
      <c r="L184" s="106">
        <f>IFERROR(IF($K184="","",$J184-$K184),"")</f>
        <v/>
      </c>
      <c r="M184" s="30" t="n"/>
      <c r="N184" s="31">
        <f>IF($C184="","",IF(NOT(ISNUMBER($F184)),"No dividend",IF($F184=0,"No dividend",IF(ISNUMBER($I184),"OK","Frank assumed"))))</f>
        <v/>
      </c>
      <c r="P184" s="57">
        <f>IF($N184="No dividend","",IF($C184="","",BDP($C184,'Field Check'!$C$43)))</f>
        <v/>
      </c>
      <c r="Q184" s="105">
        <f>IFERROR(IF(LEN($P184)&lt;&gt;3,1,IF($P184=$D$2,1,BDP($P184&amp;$D$2&amp;" Curncy","PX_LAST"))),1)</f>
        <v/>
      </c>
    </row>
    <row r="185">
      <c r="A185" s="16" t="n"/>
      <c r="B185" s="76" t="n"/>
      <c r="C185" s="16">
        <f>IF($A185="","",$A185&amp;" Equity")</f>
        <v/>
      </c>
      <c r="D185" s="16">
        <f>IF($A185="","",BDP($C185,"NAME"))</f>
        <v/>
      </c>
      <c r="E185" s="16">
        <f>IF($A185="","",BDP($C185,"GICS_SECTOR_NAME"))</f>
        <v/>
      </c>
      <c r="F185" s="32">
        <f>IF($A185="","",BDP($C185,"EQY_DVD_SH_12M"))</f>
        <v/>
      </c>
      <c r="G185" s="33">
        <f>IF($A185="","",BDP($C185,"EQY_DVD_YLD_12M"))</f>
        <v/>
      </c>
      <c r="H185" s="33">
        <f>IF($A185="","",BDP($C185,"EQY_DVD_YLD_IND"))</f>
        <v/>
      </c>
      <c r="I185" s="33">
        <f>IF($A185="","",BDP($C185,'Field Check'!$C$4))</f>
        <v/>
      </c>
      <c r="J185" s="106">
        <f>IFERROR(IF($B185="","",IF(ISNUMBER($F185),$B185*$F185*$D$3/$B$3,0)),"")</f>
        <v/>
      </c>
      <c r="K185" s="106">
        <f>IFERROR(IF($J185="","",$J185*IF(ISNUMBER($I185),$I185,'Index Summary'!$C$7)/100),"")</f>
        <v/>
      </c>
      <c r="L185" s="106">
        <f>IFERROR(IF($K185="","",$J185-$K185),"")</f>
        <v/>
      </c>
      <c r="M185" s="34" t="n"/>
      <c r="N185" s="35">
        <f>IF($C185="","",IF(NOT(ISNUMBER($F185)),"No dividend",IF($F185=0,"No dividend",IF(ISNUMBER($I185),"OK","Frank assumed"))))</f>
        <v/>
      </c>
      <c r="P185" s="57">
        <f>IF($N185="No dividend","",IF($C185="","",BDP($C185,'Field Check'!$C$43)))</f>
        <v/>
      </c>
      <c r="Q185" s="105">
        <f>IFERROR(IF(LEN($P185)&lt;&gt;3,1,IF($P185=$D$2,1,BDP($P185&amp;$D$2&amp;" Curncy","PX_LAST"))),1)</f>
        <v/>
      </c>
    </row>
    <row r="186">
      <c r="A186" s="27" t="n"/>
      <c r="B186" s="76" t="n"/>
      <c r="C186" s="27">
        <f>IF($A186="","",$A186&amp;" Equity")</f>
        <v/>
      </c>
      <c r="D186" s="27">
        <f>IF($A186="","",BDP($C186,"NAME"))</f>
        <v/>
      </c>
      <c r="E186" s="27">
        <f>IF($A186="","",BDP($C186,"GICS_SECTOR_NAME"))</f>
        <v/>
      </c>
      <c r="F186" s="28">
        <f>IF($A186="","",BDP($C186,"EQY_DVD_SH_12M"))</f>
        <v/>
      </c>
      <c r="G186" s="29">
        <f>IF($A186="","",BDP($C186,"EQY_DVD_YLD_12M"))</f>
        <v/>
      </c>
      <c r="H186" s="29">
        <f>IF($A186="","",BDP($C186,"EQY_DVD_YLD_IND"))</f>
        <v/>
      </c>
      <c r="I186" s="29">
        <f>IF($A186="","",BDP($C186,'Field Check'!$C$4))</f>
        <v/>
      </c>
      <c r="J186" s="106">
        <f>IFERROR(IF($B186="","",IF(ISNUMBER($F186),$B186*$F186*$D$3/$B$3,0)),"")</f>
        <v/>
      </c>
      <c r="K186" s="106">
        <f>IFERROR(IF($J186="","",$J186*IF(ISNUMBER($I186),$I186,'Index Summary'!$C$7)/100),"")</f>
        <v/>
      </c>
      <c r="L186" s="106">
        <f>IFERROR(IF($K186="","",$J186-$K186),"")</f>
        <v/>
      </c>
      <c r="M186" s="30" t="n"/>
      <c r="N186" s="31">
        <f>IF($C186="","",IF(NOT(ISNUMBER($F186)),"No dividend",IF($F186=0,"No dividend",IF(ISNUMBER($I186),"OK","Frank assumed"))))</f>
        <v/>
      </c>
      <c r="P186" s="57">
        <f>IF($N186="No dividend","",IF($C186="","",BDP($C186,'Field Check'!$C$43)))</f>
        <v/>
      </c>
      <c r="Q186" s="105">
        <f>IFERROR(IF(LEN($P186)&lt;&gt;3,1,IF($P186=$D$2,1,BDP($P186&amp;$D$2&amp;" Curncy","PX_LAST"))),1)</f>
        <v/>
      </c>
    </row>
    <row r="187">
      <c r="A187" s="16" t="n"/>
      <c r="B187" s="76" t="n"/>
      <c r="C187" s="16">
        <f>IF($A187="","",$A187&amp;" Equity")</f>
        <v/>
      </c>
      <c r="D187" s="16">
        <f>IF($A187="","",BDP($C187,"NAME"))</f>
        <v/>
      </c>
      <c r="E187" s="16">
        <f>IF($A187="","",BDP($C187,"GICS_SECTOR_NAME"))</f>
        <v/>
      </c>
      <c r="F187" s="32">
        <f>IF($A187="","",BDP($C187,"EQY_DVD_SH_12M"))</f>
        <v/>
      </c>
      <c r="G187" s="33">
        <f>IF($A187="","",BDP($C187,"EQY_DVD_YLD_12M"))</f>
        <v/>
      </c>
      <c r="H187" s="33">
        <f>IF($A187="","",BDP($C187,"EQY_DVD_YLD_IND"))</f>
        <v/>
      </c>
      <c r="I187" s="33">
        <f>IF($A187="","",BDP($C187,'Field Check'!$C$4))</f>
        <v/>
      </c>
      <c r="J187" s="106">
        <f>IFERROR(IF($B187="","",IF(ISNUMBER($F187),$B187*$F187*$D$3/$B$3,0)),"")</f>
        <v/>
      </c>
      <c r="K187" s="106">
        <f>IFERROR(IF($J187="","",$J187*IF(ISNUMBER($I187),$I187,'Index Summary'!$C$7)/100),"")</f>
        <v/>
      </c>
      <c r="L187" s="106">
        <f>IFERROR(IF($K187="","",$J187-$K187),"")</f>
        <v/>
      </c>
      <c r="M187" s="34" t="n"/>
      <c r="N187" s="35">
        <f>IF($C187="","",IF(NOT(ISNUMBER($F187)),"No dividend",IF($F187=0,"No dividend",IF(ISNUMBER($I187),"OK","Frank assumed"))))</f>
        <v/>
      </c>
      <c r="P187" s="57">
        <f>IF($N187="No dividend","",IF($C187="","",BDP($C187,'Field Check'!$C$43)))</f>
        <v/>
      </c>
      <c r="Q187" s="105">
        <f>IFERROR(IF(LEN($P187)&lt;&gt;3,1,IF($P187=$D$2,1,BDP($P187&amp;$D$2&amp;" Curncy","PX_LAST"))),1)</f>
        <v/>
      </c>
    </row>
    <row r="188">
      <c r="A188" s="27" t="n"/>
      <c r="B188" s="76" t="n"/>
      <c r="C188" s="27">
        <f>IF($A188="","",$A188&amp;" Equity")</f>
        <v/>
      </c>
      <c r="D188" s="27">
        <f>IF($A188="","",BDP($C188,"NAME"))</f>
        <v/>
      </c>
      <c r="E188" s="27">
        <f>IF($A188="","",BDP($C188,"GICS_SECTOR_NAME"))</f>
        <v/>
      </c>
      <c r="F188" s="28">
        <f>IF($A188="","",BDP($C188,"EQY_DVD_SH_12M"))</f>
        <v/>
      </c>
      <c r="G188" s="29">
        <f>IF($A188="","",BDP($C188,"EQY_DVD_YLD_12M"))</f>
        <v/>
      </c>
      <c r="H188" s="29">
        <f>IF($A188="","",BDP($C188,"EQY_DVD_YLD_IND"))</f>
        <v/>
      </c>
      <c r="I188" s="29">
        <f>IF($A188="","",BDP($C188,'Field Check'!$C$4))</f>
        <v/>
      </c>
      <c r="J188" s="106">
        <f>IFERROR(IF($B188="","",IF(ISNUMBER($F188),$B188*$F188*$D$3/$B$3,0)),"")</f>
        <v/>
      </c>
      <c r="K188" s="106">
        <f>IFERROR(IF($J188="","",$J188*IF(ISNUMBER($I188),$I188,'Index Summary'!$C$7)/100),"")</f>
        <v/>
      </c>
      <c r="L188" s="106">
        <f>IFERROR(IF($K188="","",$J188-$K188),"")</f>
        <v/>
      </c>
      <c r="M188" s="30" t="n"/>
      <c r="N188" s="31">
        <f>IF($C188="","",IF(NOT(ISNUMBER($F188)),"No dividend",IF($F188=0,"No dividend",IF(ISNUMBER($I188),"OK","Frank assumed"))))</f>
        <v/>
      </c>
      <c r="P188" s="57">
        <f>IF($N188="No dividend","",IF($C188="","",BDP($C188,'Field Check'!$C$43)))</f>
        <v/>
      </c>
      <c r="Q188" s="105">
        <f>IFERROR(IF(LEN($P188)&lt;&gt;3,1,IF($P188=$D$2,1,BDP($P188&amp;$D$2&amp;" Curncy","PX_LAST"))),1)</f>
        <v/>
      </c>
    </row>
    <row r="189">
      <c r="A189" s="16" t="n"/>
      <c r="B189" s="76" t="n"/>
      <c r="C189" s="16">
        <f>IF($A189="","",$A189&amp;" Equity")</f>
        <v/>
      </c>
      <c r="D189" s="16">
        <f>IF($A189="","",BDP($C189,"NAME"))</f>
        <v/>
      </c>
      <c r="E189" s="16">
        <f>IF($A189="","",BDP($C189,"GICS_SECTOR_NAME"))</f>
        <v/>
      </c>
      <c r="F189" s="32">
        <f>IF($A189="","",BDP($C189,"EQY_DVD_SH_12M"))</f>
        <v/>
      </c>
      <c r="G189" s="33">
        <f>IF($A189="","",BDP($C189,"EQY_DVD_YLD_12M"))</f>
        <v/>
      </c>
      <c r="H189" s="33">
        <f>IF($A189="","",BDP($C189,"EQY_DVD_YLD_IND"))</f>
        <v/>
      </c>
      <c r="I189" s="33">
        <f>IF($A189="","",BDP($C189,'Field Check'!$C$4))</f>
        <v/>
      </c>
      <c r="J189" s="106">
        <f>IFERROR(IF($B189="","",IF(ISNUMBER($F189),$B189*$F189*$D$3/$B$3,0)),"")</f>
        <v/>
      </c>
      <c r="K189" s="106">
        <f>IFERROR(IF($J189="","",$J189*IF(ISNUMBER($I189),$I189,'Index Summary'!$C$7)/100),"")</f>
        <v/>
      </c>
      <c r="L189" s="106">
        <f>IFERROR(IF($K189="","",$J189-$K189),"")</f>
        <v/>
      </c>
      <c r="M189" s="34" t="n"/>
      <c r="N189" s="35">
        <f>IF($C189="","",IF(NOT(ISNUMBER($F189)),"No dividend",IF($F189=0,"No dividend",IF(ISNUMBER($I189),"OK","Frank assumed"))))</f>
        <v/>
      </c>
      <c r="P189" s="57">
        <f>IF($N189="No dividend","",IF($C189="","",BDP($C189,'Field Check'!$C$43)))</f>
        <v/>
      </c>
      <c r="Q189" s="105">
        <f>IFERROR(IF(LEN($P189)&lt;&gt;3,1,IF($P189=$D$2,1,BDP($P189&amp;$D$2&amp;" Curncy","PX_LAST"))),1)</f>
        <v/>
      </c>
    </row>
    <row r="190">
      <c r="A190" s="27" t="n"/>
      <c r="B190" s="76" t="n"/>
      <c r="C190" s="27">
        <f>IF($A190="","",$A190&amp;" Equity")</f>
        <v/>
      </c>
      <c r="D190" s="27">
        <f>IF($A190="","",BDP($C190,"NAME"))</f>
        <v/>
      </c>
      <c r="E190" s="27">
        <f>IF($A190="","",BDP($C190,"GICS_SECTOR_NAME"))</f>
        <v/>
      </c>
      <c r="F190" s="28">
        <f>IF($A190="","",BDP($C190,"EQY_DVD_SH_12M"))</f>
        <v/>
      </c>
      <c r="G190" s="29">
        <f>IF($A190="","",BDP($C190,"EQY_DVD_YLD_12M"))</f>
        <v/>
      </c>
      <c r="H190" s="29">
        <f>IF($A190="","",BDP($C190,"EQY_DVD_YLD_IND"))</f>
        <v/>
      </c>
      <c r="I190" s="29">
        <f>IF($A190="","",BDP($C190,'Field Check'!$C$4))</f>
        <v/>
      </c>
      <c r="J190" s="106">
        <f>IFERROR(IF($B190="","",IF(ISNUMBER($F190),$B190*$F190*$D$3/$B$3,0)),"")</f>
        <v/>
      </c>
      <c r="K190" s="106">
        <f>IFERROR(IF($J190="","",$J190*IF(ISNUMBER($I190),$I190,'Index Summary'!$C$7)/100),"")</f>
        <v/>
      </c>
      <c r="L190" s="106">
        <f>IFERROR(IF($K190="","",$J190-$K190),"")</f>
        <v/>
      </c>
      <c r="M190" s="30" t="n"/>
      <c r="N190" s="31">
        <f>IF($C190="","",IF(NOT(ISNUMBER($F190)),"No dividend",IF($F190=0,"No dividend",IF(ISNUMBER($I190),"OK","Frank assumed"))))</f>
        <v/>
      </c>
      <c r="P190" s="57">
        <f>IF($N190="No dividend","",IF($C190="","",BDP($C190,'Field Check'!$C$43)))</f>
        <v/>
      </c>
      <c r="Q190" s="105">
        <f>IFERROR(IF(LEN($P190)&lt;&gt;3,1,IF($P190=$D$2,1,BDP($P190&amp;$D$2&amp;" Curncy","PX_LAST"))),1)</f>
        <v/>
      </c>
    </row>
    <row r="191">
      <c r="A191" s="16" t="n"/>
      <c r="B191" s="76" t="n"/>
      <c r="C191" s="16">
        <f>IF($A191="","",$A191&amp;" Equity")</f>
        <v/>
      </c>
      <c r="D191" s="16">
        <f>IF($A191="","",BDP($C191,"NAME"))</f>
        <v/>
      </c>
      <c r="E191" s="16">
        <f>IF($A191="","",BDP($C191,"GICS_SECTOR_NAME"))</f>
        <v/>
      </c>
      <c r="F191" s="32">
        <f>IF($A191="","",BDP($C191,"EQY_DVD_SH_12M"))</f>
        <v/>
      </c>
      <c r="G191" s="33">
        <f>IF($A191="","",BDP($C191,"EQY_DVD_YLD_12M"))</f>
        <v/>
      </c>
      <c r="H191" s="33">
        <f>IF($A191="","",BDP($C191,"EQY_DVD_YLD_IND"))</f>
        <v/>
      </c>
      <c r="I191" s="33">
        <f>IF($A191="","",BDP($C191,'Field Check'!$C$4))</f>
        <v/>
      </c>
      <c r="J191" s="106">
        <f>IFERROR(IF($B191="","",IF(ISNUMBER($F191),$B191*$F191*$D$3/$B$3,0)),"")</f>
        <v/>
      </c>
      <c r="K191" s="106">
        <f>IFERROR(IF($J191="","",$J191*IF(ISNUMBER($I191),$I191,'Index Summary'!$C$7)/100),"")</f>
        <v/>
      </c>
      <c r="L191" s="106">
        <f>IFERROR(IF($K191="","",$J191-$K191),"")</f>
        <v/>
      </c>
      <c r="M191" s="34" t="n"/>
      <c r="N191" s="35">
        <f>IF($C191="","",IF(NOT(ISNUMBER($F191)),"No dividend",IF($F191=0,"No dividend",IF(ISNUMBER($I191),"OK","Frank assumed"))))</f>
        <v/>
      </c>
      <c r="P191" s="57">
        <f>IF($N191="No dividend","",IF($C191="","",BDP($C191,'Field Check'!$C$43)))</f>
        <v/>
      </c>
      <c r="Q191" s="105">
        <f>IFERROR(IF(LEN($P191)&lt;&gt;3,1,IF($P191=$D$2,1,BDP($P191&amp;$D$2&amp;" Curncy","PX_LAST"))),1)</f>
        <v/>
      </c>
    </row>
    <row r="192">
      <c r="A192" s="27" t="n"/>
      <c r="B192" s="76" t="n"/>
      <c r="C192" s="27">
        <f>IF($A192="","",$A192&amp;" Equity")</f>
        <v/>
      </c>
      <c r="D192" s="27">
        <f>IF($A192="","",BDP($C192,"NAME"))</f>
        <v/>
      </c>
      <c r="E192" s="27">
        <f>IF($A192="","",BDP($C192,"GICS_SECTOR_NAME"))</f>
        <v/>
      </c>
      <c r="F192" s="28">
        <f>IF($A192="","",BDP($C192,"EQY_DVD_SH_12M"))</f>
        <v/>
      </c>
      <c r="G192" s="29">
        <f>IF($A192="","",BDP($C192,"EQY_DVD_YLD_12M"))</f>
        <v/>
      </c>
      <c r="H192" s="29">
        <f>IF($A192="","",BDP($C192,"EQY_DVD_YLD_IND"))</f>
        <v/>
      </c>
      <c r="I192" s="29">
        <f>IF($A192="","",BDP($C192,'Field Check'!$C$4))</f>
        <v/>
      </c>
      <c r="J192" s="106">
        <f>IFERROR(IF($B192="","",IF(ISNUMBER($F192),$B192*$F192*$D$3/$B$3,0)),"")</f>
        <v/>
      </c>
      <c r="K192" s="106">
        <f>IFERROR(IF($J192="","",$J192*IF(ISNUMBER($I192),$I192,'Index Summary'!$C$7)/100),"")</f>
        <v/>
      </c>
      <c r="L192" s="106">
        <f>IFERROR(IF($K192="","",$J192-$K192),"")</f>
        <v/>
      </c>
      <c r="M192" s="30" t="n"/>
      <c r="N192" s="31">
        <f>IF($C192="","",IF(NOT(ISNUMBER($F192)),"No dividend",IF($F192=0,"No dividend",IF(ISNUMBER($I192),"OK","Frank assumed"))))</f>
        <v/>
      </c>
      <c r="P192" s="57">
        <f>IF($N192="No dividend","",IF($C192="","",BDP($C192,'Field Check'!$C$43)))</f>
        <v/>
      </c>
      <c r="Q192" s="105">
        <f>IFERROR(IF(LEN($P192)&lt;&gt;3,1,IF($P192=$D$2,1,BDP($P192&amp;$D$2&amp;" Curncy","PX_LAST"))),1)</f>
        <v/>
      </c>
    </row>
    <row r="193">
      <c r="A193" s="16" t="n"/>
      <c r="B193" s="76" t="n"/>
      <c r="C193" s="16">
        <f>IF($A193="","",$A193&amp;" Equity")</f>
        <v/>
      </c>
      <c r="D193" s="16">
        <f>IF($A193="","",BDP($C193,"NAME"))</f>
        <v/>
      </c>
      <c r="E193" s="16">
        <f>IF($A193="","",BDP($C193,"GICS_SECTOR_NAME"))</f>
        <v/>
      </c>
      <c r="F193" s="32">
        <f>IF($A193="","",BDP($C193,"EQY_DVD_SH_12M"))</f>
        <v/>
      </c>
      <c r="G193" s="33">
        <f>IF($A193="","",BDP($C193,"EQY_DVD_YLD_12M"))</f>
        <v/>
      </c>
      <c r="H193" s="33">
        <f>IF($A193="","",BDP($C193,"EQY_DVD_YLD_IND"))</f>
        <v/>
      </c>
      <c r="I193" s="33">
        <f>IF($A193="","",BDP($C193,'Field Check'!$C$4))</f>
        <v/>
      </c>
      <c r="J193" s="106">
        <f>IFERROR(IF($B193="","",IF(ISNUMBER($F193),$B193*$F193*$D$3/$B$3,0)),"")</f>
        <v/>
      </c>
      <c r="K193" s="106">
        <f>IFERROR(IF($J193="","",$J193*IF(ISNUMBER($I193),$I193,'Index Summary'!$C$7)/100),"")</f>
        <v/>
      </c>
      <c r="L193" s="106">
        <f>IFERROR(IF($K193="","",$J193-$K193),"")</f>
        <v/>
      </c>
      <c r="M193" s="34" t="n"/>
      <c r="N193" s="35">
        <f>IF($C193="","",IF(NOT(ISNUMBER($F193)),"No dividend",IF($F193=0,"No dividend",IF(ISNUMBER($I193),"OK","Frank assumed"))))</f>
        <v/>
      </c>
      <c r="P193" s="57">
        <f>IF($N193="No dividend","",IF($C193="","",BDP($C193,'Field Check'!$C$43)))</f>
        <v/>
      </c>
      <c r="Q193" s="105">
        <f>IFERROR(IF(LEN($P193)&lt;&gt;3,1,IF($P193=$D$2,1,BDP($P193&amp;$D$2&amp;" Curncy","PX_LAST"))),1)</f>
        <v/>
      </c>
    </row>
    <row r="194">
      <c r="A194" s="27" t="n"/>
      <c r="B194" s="76" t="n"/>
      <c r="C194" s="27">
        <f>IF($A194="","",$A194&amp;" Equity")</f>
        <v/>
      </c>
      <c r="D194" s="27">
        <f>IF($A194="","",BDP($C194,"NAME"))</f>
        <v/>
      </c>
      <c r="E194" s="27">
        <f>IF($A194="","",BDP($C194,"GICS_SECTOR_NAME"))</f>
        <v/>
      </c>
      <c r="F194" s="28">
        <f>IF($A194="","",BDP($C194,"EQY_DVD_SH_12M"))</f>
        <v/>
      </c>
      <c r="G194" s="29">
        <f>IF($A194="","",BDP($C194,"EQY_DVD_YLD_12M"))</f>
        <v/>
      </c>
      <c r="H194" s="29">
        <f>IF($A194="","",BDP($C194,"EQY_DVD_YLD_IND"))</f>
        <v/>
      </c>
      <c r="I194" s="29">
        <f>IF($A194="","",BDP($C194,'Field Check'!$C$4))</f>
        <v/>
      </c>
      <c r="J194" s="106">
        <f>IFERROR(IF($B194="","",IF(ISNUMBER($F194),$B194*$F194*$D$3/$B$3,0)),"")</f>
        <v/>
      </c>
      <c r="K194" s="106">
        <f>IFERROR(IF($J194="","",$J194*IF(ISNUMBER($I194),$I194,'Index Summary'!$C$7)/100),"")</f>
        <v/>
      </c>
      <c r="L194" s="106">
        <f>IFERROR(IF($K194="","",$J194-$K194),"")</f>
        <v/>
      </c>
      <c r="M194" s="30" t="n"/>
      <c r="N194" s="31">
        <f>IF($C194="","",IF(NOT(ISNUMBER($F194)),"No dividend",IF($F194=0,"No dividend",IF(ISNUMBER($I194),"OK","Frank assumed"))))</f>
        <v/>
      </c>
      <c r="P194" s="57">
        <f>IF($N194="No dividend","",IF($C194="","",BDP($C194,'Field Check'!$C$43)))</f>
        <v/>
      </c>
      <c r="Q194" s="105">
        <f>IFERROR(IF(LEN($P194)&lt;&gt;3,1,IF($P194=$D$2,1,BDP($P194&amp;$D$2&amp;" Curncy","PX_LAST"))),1)</f>
        <v/>
      </c>
    </row>
    <row r="195">
      <c r="A195" s="16" t="n"/>
      <c r="B195" s="76" t="n"/>
      <c r="C195" s="16">
        <f>IF($A195="","",$A195&amp;" Equity")</f>
        <v/>
      </c>
      <c r="D195" s="16">
        <f>IF($A195="","",BDP($C195,"NAME"))</f>
        <v/>
      </c>
      <c r="E195" s="16">
        <f>IF($A195="","",BDP($C195,"GICS_SECTOR_NAME"))</f>
        <v/>
      </c>
      <c r="F195" s="32">
        <f>IF($A195="","",BDP($C195,"EQY_DVD_SH_12M"))</f>
        <v/>
      </c>
      <c r="G195" s="33">
        <f>IF($A195="","",BDP($C195,"EQY_DVD_YLD_12M"))</f>
        <v/>
      </c>
      <c r="H195" s="33">
        <f>IF($A195="","",BDP($C195,"EQY_DVD_YLD_IND"))</f>
        <v/>
      </c>
      <c r="I195" s="33">
        <f>IF($A195="","",BDP($C195,'Field Check'!$C$4))</f>
        <v/>
      </c>
      <c r="J195" s="106">
        <f>IFERROR(IF($B195="","",IF(ISNUMBER($F195),$B195*$F195*$D$3/$B$3,0)),"")</f>
        <v/>
      </c>
      <c r="K195" s="106">
        <f>IFERROR(IF($J195="","",$J195*IF(ISNUMBER($I195),$I195,'Index Summary'!$C$7)/100),"")</f>
        <v/>
      </c>
      <c r="L195" s="106">
        <f>IFERROR(IF($K195="","",$J195-$K195),"")</f>
        <v/>
      </c>
      <c r="M195" s="34" t="n"/>
      <c r="N195" s="35">
        <f>IF($C195="","",IF(NOT(ISNUMBER($F195)),"No dividend",IF($F195=0,"No dividend",IF(ISNUMBER($I195),"OK","Frank assumed"))))</f>
        <v/>
      </c>
      <c r="P195" s="57">
        <f>IF($N195="No dividend","",IF($C195="","",BDP($C195,'Field Check'!$C$43)))</f>
        <v/>
      </c>
      <c r="Q195" s="105">
        <f>IFERROR(IF(LEN($P195)&lt;&gt;3,1,IF($P195=$D$2,1,BDP($P195&amp;$D$2&amp;" Curncy","PX_LAST"))),1)</f>
        <v/>
      </c>
    </row>
    <row r="196">
      <c r="A196" s="27" t="n"/>
      <c r="B196" s="76" t="n"/>
      <c r="C196" s="27">
        <f>IF($A196="","",$A196&amp;" Equity")</f>
        <v/>
      </c>
      <c r="D196" s="27">
        <f>IF($A196="","",BDP($C196,"NAME"))</f>
        <v/>
      </c>
      <c r="E196" s="27">
        <f>IF($A196="","",BDP($C196,"GICS_SECTOR_NAME"))</f>
        <v/>
      </c>
      <c r="F196" s="28">
        <f>IF($A196="","",BDP($C196,"EQY_DVD_SH_12M"))</f>
        <v/>
      </c>
      <c r="G196" s="29">
        <f>IF($A196="","",BDP($C196,"EQY_DVD_YLD_12M"))</f>
        <v/>
      </c>
      <c r="H196" s="29">
        <f>IF($A196="","",BDP($C196,"EQY_DVD_YLD_IND"))</f>
        <v/>
      </c>
      <c r="I196" s="29">
        <f>IF($A196="","",BDP($C196,'Field Check'!$C$4))</f>
        <v/>
      </c>
      <c r="J196" s="106">
        <f>IFERROR(IF($B196="","",IF(ISNUMBER($F196),$B196*$F196*$D$3/$B$3,0)),"")</f>
        <v/>
      </c>
      <c r="K196" s="106">
        <f>IFERROR(IF($J196="","",$J196*IF(ISNUMBER($I196),$I196,'Index Summary'!$C$7)/100),"")</f>
        <v/>
      </c>
      <c r="L196" s="106">
        <f>IFERROR(IF($K196="","",$J196-$K196),"")</f>
        <v/>
      </c>
      <c r="M196" s="30" t="n"/>
      <c r="N196" s="31">
        <f>IF($C196="","",IF(NOT(ISNUMBER($F196)),"No dividend",IF($F196=0,"No dividend",IF(ISNUMBER($I196),"OK","Frank assumed"))))</f>
        <v/>
      </c>
      <c r="P196" s="57">
        <f>IF($N196="No dividend","",IF($C196="","",BDP($C196,'Field Check'!$C$43)))</f>
        <v/>
      </c>
      <c r="Q196" s="105">
        <f>IFERROR(IF(LEN($P196)&lt;&gt;3,1,IF($P196=$D$2,1,BDP($P196&amp;$D$2&amp;" Curncy","PX_LAST"))),1)</f>
        <v/>
      </c>
    </row>
    <row r="197">
      <c r="A197" s="16" t="n"/>
      <c r="B197" s="76" t="n"/>
      <c r="C197" s="16">
        <f>IF($A197="","",$A197&amp;" Equity")</f>
        <v/>
      </c>
      <c r="D197" s="16">
        <f>IF($A197="","",BDP($C197,"NAME"))</f>
        <v/>
      </c>
      <c r="E197" s="16">
        <f>IF($A197="","",BDP($C197,"GICS_SECTOR_NAME"))</f>
        <v/>
      </c>
      <c r="F197" s="32">
        <f>IF($A197="","",BDP($C197,"EQY_DVD_SH_12M"))</f>
        <v/>
      </c>
      <c r="G197" s="33">
        <f>IF($A197="","",BDP($C197,"EQY_DVD_YLD_12M"))</f>
        <v/>
      </c>
      <c r="H197" s="33">
        <f>IF($A197="","",BDP($C197,"EQY_DVD_YLD_IND"))</f>
        <v/>
      </c>
      <c r="I197" s="33">
        <f>IF($A197="","",BDP($C197,'Field Check'!$C$4))</f>
        <v/>
      </c>
      <c r="J197" s="106">
        <f>IFERROR(IF($B197="","",IF(ISNUMBER($F197),$B197*$F197*$D$3/$B$3,0)),"")</f>
        <v/>
      </c>
      <c r="K197" s="106">
        <f>IFERROR(IF($J197="","",$J197*IF(ISNUMBER($I197),$I197,'Index Summary'!$C$7)/100),"")</f>
        <v/>
      </c>
      <c r="L197" s="106">
        <f>IFERROR(IF($K197="","",$J197-$K197),"")</f>
        <v/>
      </c>
      <c r="M197" s="34" t="n"/>
      <c r="N197" s="35">
        <f>IF($C197="","",IF(NOT(ISNUMBER($F197)),"No dividend",IF($F197=0,"No dividend",IF(ISNUMBER($I197),"OK","Frank assumed"))))</f>
        <v/>
      </c>
      <c r="P197" s="57">
        <f>IF($N197="No dividend","",IF($C197="","",BDP($C197,'Field Check'!$C$43)))</f>
        <v/>
      </c>
      <c r="Q197" s="105">
        <f>IFERROR(IF(LEN($P197)&lt;&gt;3,1,IF($P197=$D$2,1,BDP($P197&amp;$D$2&amp;" Curncy","PX_LAST"))),1)</f>
        <v/>
      </c>
    </row>
    <row r="198">
      <c r="A198" s="27" t="n"/>
      <c r="B198" s="76" t="n"/>
      <c r="C198" s="27">
        <f>IF($A198="","",$A198&amp;" Equity")</f>
        <v/>
      </c>
      <c r="D198" s="27">
        <f>IF($A198="","",BDP($C198,"NAME"))</f>
        <v/>
      </c>
      <c r="E198" s="27">
        <f>IF($A198="","",BDP($C198,"GICS_SECTOR_NAME"))</f>
        <v/>
      </c>
      <c r="F198" s="28">
        <f>IF($A198="","",BDP($C198,"EQY_DVD_SH_12M"))</f>
        <v/>
      </c>
      <c r="G198" s="29">
        <f>IF($A198="","",BDP($C198,"EQY_DVD_YLD_12M"))</f>
        <v/>
      </c>
      <c r="H198" s="29">
        <f>IF($A198="","",BDP($C198,"EQY_DVD_YLD_IND"))</f>
        <v/>
      </c>
      <c r="I198" s="29">
        <f>IF($A198="","",BDP($C198,'Field Check'!$C$4))</f>
        <v/>
      </c>
      <c r="J198" s="106">
        <f>IFERROR(IF($B198="","",IF(ISNUMBER($F198),$B198*$F198*$D$3/$B$3,0)),"")</f>
        <v/>
      </c>
      <c r="K198" s="106">
        <f>IFERROR(IF($J198="","",$J198*IF(ISNUMBER($I198),$I198,'Index Summary'!$C$7)/100),"")</f>
        <v/>
      </c>
      <c r="L198" s="106">
        <f>IFERROR(IF($K198="","",$J198-$K198),"")</f>
        <v/>
      </c>
      <c r="M198" s="30" t="n"/>
      <c r="N198" s="31">
        <f>IF($C198="","",IF(NOT(ISNUMBER($F198)),"No dividend",IF($F198=0,"No dividend",IF(ISNUMBER($I198),"OK","Frank assumed"))))</f>
        <v/>
      </c>
      <c r="P198" s="57">
        <f>IF($N198="No dividend","",IF($C198="","",BDP($C198,'Field Check'!$C$43)))</f>
        <v/>
      </c>
      <c r="Q198" s="105">
        <f>IFERROR(IF(LEN($P198)&lt;&gt;3,1,IF($P198=$D$2,1,BDP($P198&amp;$D$2&amp;" Curncy","PX_LAST"))),1)</f>
        <v/>
      </c>
    </row>
    <row r="199">
      <c r="A199" s="16" t="n"/>
      <c r="B199" s="76" t="n"/>
      <c r="C199" s="16">
        <f>IF($A199="","",$A199&amp;" Equity")</f>
        <v/>
      </c>
      <c r="D199" s="16">
        <f>IF($A199="","",BDP($C199,"NAME"))</f>
        <v/>
      </c>
      <c r="E199" s="16">
        <f>IF($A199="","",BDP($C199,"GICS_SECTOR_NAME"))</f>
        <v/>
      </c>
      <c r="F199" s="32">
        <f>IF($A199="","",BDP($C199,"EQY_DVD_SH_12M"))</f>
        <v/>
      </c>
      <c r="G199" s="33">
        <f>IF($A199="","",BDP($C199,"EQY_DVD_YLD_12M"))</f>
        <v/>
      </c>
      <c r="H199" s="33">
        <f>IF($A199="","",BDP($C199,"EQY_DVD_YLD_IND"))</f>
        <v/>
      </c>
      <c r="I199" s="33">
        <f>IF($A199="","",BDP($C199,'Field Check'!$C$4))</f>
        <v/>
      </c>
      <c r="J199" s="106">
        <f>IFERROR(IF($B199="","",IF(ISNUMBER($F199),$B199*$F199*$D$3/$B$3,0)),"")</f>
        <v/>
      </c>
      <c r="K199" s="106">
        <f>IFERROR(IF($J199="","",$J199*IF(ISNUMBER($I199),$I199,'Index Summary'!$C$7)/100),"")</f>
        <v/>
      </c>
      <c r="L199" s="106">
        <f>IFERROR(IF($K199="","",$J199-$K199),"")</f>
        <v/>
      </c>
      <c r="M199" s="34" t="n"/>
      <c r="N199" s="35">
        <f>IF($C199="","",IF(NOT(ISNUMBER($F199)),"No dividend",IF($F199=0,"No dividend",IF(ISNUMBER($I199),"OK","Frank assumed"))))</f>
        <v/>
      </c>
      <c r="P199" s="57">
        <f>IF($N199="No dividend","",IF($C199="","",BDP($C199,'Field Check'!$C$43)))</f>
        <v/>
      </c>
      <c r="Q199" s="105">
        <f>IFERROR(IF(LEN($P199)&lt;&gt;3,1,IF($P199=$D$2,1,BDP($P199&amp;$D$2&amp;" Curncy","PX_LAST"))),1)</f>
        <v/>
      </c>
    </row>
    <row r="200">
      <c r="A200" s="27" t="n"/>
      <c r="B200" s="76" t="n"/>
      <c r="C200" s="27">
        <f>IF($A200="","",$A200&amp;" Equity")</f>
        <v/>
      </c>
      <c r="D200" s="27">
        <f>IF($A200="","",BDP($C200,"NAME"))</f>
        <v/>
      </c>
      <c r="E200" s="27">
        <f>IF($A200="","",BDP($C200,"GICS_SECTOR_NAME"))</f>
        <v/>
      </c>
      <c r="F200" s="28">
        <f>IF($A200="","",BDP($C200,"EQY_DVD_SH_12M"))</f>
        <v/>
      </c>
      <c r="G200" s="29">
        <f>IF($A200="","",BDP($C200,"EQY_DVD_YLD_12M"))</f>
        <v/>
      </c>
      <c r="H200" s="29">
        <f>IF($A200="","",BDP($C200,"EQY_DVD_YLD_IND"))</f>
        <v/>
      </c>
      <c r="I200" s="29">
        <f>IF($A200="","",BDP($C200,'Field Check'!$C$4))</f>
        <v/>
      </c>
      <c r="J200" s="106">
        <f>IFERROR(IF($B200="","",IF(ISNUMBER($F200),$B200*$F200*$D$3/$B$3,0)),"")</f>
        <v/>
      </c>
      <c r="K200" s="106">
        <f>IFERROR(IF($J200="","",$J200*IF(ISNUMBER($I200),$I200,'Index Summary'!$C$7)/100),"")</f>
        <v/>
      </c>
      <c r="L200" s="106">
        <f>IFERROR(IF($K200="","",$J200-$K200),"")</f>
        <v/>
      </c>
      <c r="M200" s="30" t="n"/>
      <c r="N200" s="31">
        <f>IF($C200="","",IF(NOT(ISNUMBER($F200)),"No dividend",IF($F200=0,"No dividend",IF(ISNUMBER($I200),"OK","Frank assumed"))))</f>
        <v/>
      </c>
      <c r="P200" s="57">
        <f>IF($N200="No dividend","",IF($C200="","",BDP($C200,'Field Check'!$C$43)))</f>
        <v/>
      </c>
      <c r="Q200" s="105">
        <f>IFERROR(IF(LEN($P200)&lt;&gt;3,1,IF($P200=$D$2,1,BDP($P200&amp;$D$2&amp;" Curncy","PX_LAST"))),1)</f>
        <v/>
      </c>
    </row>
    <row r="201">
      <c r="A201" s="16" t="n"/>
      <c r="B201" s="76" t="n"/>
      <c r="C201" s="16">
        <f>IF($A201="","",$A201&amp;" Equity")</f>
        <v/>
      </c>
      <c r="D201" s="16">
        <f>IF($A201="","",BDP($C201,"NAME"))</f>
        <v/>
      </c>
      <c r="E201" s="16">
        <f>IF($A201="","",BDP($C201,"GICS_SECTOR_NAME"))</f>
        <v/>
      </c>
      <c r="F201" s="32">
        <f>IF($A201="","",BDP($C201,"EQY_DVD_SH_12M"))</f>
        <v/>
      </c>
      <c r="G201" s="33">
        <f>IF($A201="","",BDP($C201,"EQY_DVD_YLD_12M"))</f>
        <v/>
      </c>
      <c r="H201" s="33">
        <f>IF($A201="","",BDP($C201,"EQY_DVD_YLD_IND"))</f>
        <v/>
      </c>
      <c r="I201" s="33">
        <f>IF($A201="","",BDP($C201,'Field Check'!$C$4))</f>
        <v/>
      </c>
      <c r="J201" s="106">
        <f>IFERROR(IF($B201="","",IF(ISNUMBER($F201),$B201*$F201*$D$3/$B$3,0)),"")</f>
        <v/>
      </c>
      <c r="K201" s="106">
        <f>IFERROR(IF($J201="","",$J201*IF(ISNUMBER($I201),$I201,'Index Summary'!$C$7)/100),"")</f>
        <v/>
      </c>
      <c r="L201" s="106">
        <f>IFERROR(IF($K201="","",$J201-$K201),"")</f>
        <v/>
      </c>
      <c r="M201" s="34" t="n"/>
      <c r="N201" s="35">
        <f>IF($C201="","",IF(NOT(ISNUMBER($F201)),"No dividend",IF($F201=0,"No dividend",IF(ISNUMBER($I201),"OK","Frank assumed"))))</f>
        <v/>
      </c>
      <c r="P201" s="57">
        <f>IF($N201="No dividend","",IF($C201="","",BDP($C201,'Field Check'!$C$43)))</f>
        <v/>
      </c>
      <c r="Q201" s="105">
        <f>IFERROR(IF(LEN($P201)&lt;&gt;3,1,IF($P201=$D$2,1,BDP($P201&amp;$D$2&amp;" Curncy","PX_LAST"))),1)</f>
        <v/>
      </c>
    </row>
    <row r="202">
      <c r="A202" s="27" t="n"/>
      <c r="B202" s="76" t="n"/>
      <c r="C202" s="27">
        <f>IF($A202="","",$A202&amp;" Equity")</f>
        <v/>
      </c>
      <c r="D202" s="27">
        <f>IF($A202="","",BDP($C202,"NAME"))</f>
        <v/>
      </c>
      <c r="E202" s="27">
        <f>IF($A202="","",BDP($C202,"GICS_SECTOR_NAME"))</f>
        <v/>
      </c>
      <c r="F202" s="28">
        <f>IF($A202="","",BDP($C202,"EQY_DVD_SH_12M"))</f>
        <v/>
      </c>
      <c r="G202" s="29">
        <f>IF($A202="","",BDP($C202,"EQY_DVD_YLD_12M"))</f>
        <v/>
      </c>
      <c r="H202" s="29">
        <f>IF($A202="","",BDP($C202,"EQY_DVD_YLD_IND"))</f>
        <v/>
      </c>
      <c r="I202" s="29">
        <f>IF($A202="","",BDP($C202,'Field Check'!$C$4))</f>
        <v/>
      </c>
      <c r="J202" s="106">
        <f>IFERROR(IF($B202="","",IF(ISNUMBER($F202),$B202*$F202*$D$3/$B$3,0)),"")</f>
        <v/>
      </c>
      <c r="K202" s="106">
        <f>IFERROR(IF($J202="","",$J202*IF(ISNUMBER($I202),$I202,'Index Summary'!$C$7)/100),"")</f>
        <v/>
      </c>
      <c r="L202" s="106">
        <f>IFERROR(IF($K202="","",$J202-$K202),"")</f>
        <v/>
      </c>
      <c r="M202" s="30" t="n"/>
      <c r="N202" s="31">
        <f>IF($C202="","",IF(NOT(ISNUMBER($F202)),"No dividend",IF($F202=0,"No dividend",IF(ISNUMBER($I202),"OK","Frank assumed"))))</f>
        <v/>
      </c>
      <c r="P202" s="57">
        <f>IF($N202="No dividend","",IF($C202="","",BDP($C202,'Field Check'!$C$43)))</f>
        <v/>
      </c>
      <c r="Q202" s="105">
        <f>IFERROR(IF(LEN($P202)&lt;&gt;3,1,IF($P202=$D$2,1,BDP($P202&amp;$D$2&amp;" Curncy","PX_LAST"))),1)</f>
        <v/>
      </c>
    </row>
    <row r="203">
      <c r="A203" s="16" t="n"/>
      <c r="B203" s="76" t="n"/>
      <c r="C203" s="16">
        <f>IF($A203="","",$A203&amp;" Equity")</f>
        <v/>
      </c>
      <c r="D203" s="16">
        <f>IF($A203="","",BDP($C203,"NAME"))</f>
        <v/>
      </c>
      <c r="E203" s="16">
        <f>IF($A203="","",BDP($C203,"GICS_SECTOR_NAME"))</f>
        <v/>
      </c>
      <c r="F203" s="32">
        <f>IF($A203="","",BDP($C203,"EQY_DVD_SH_12M"))</f>
        <v/>
      </c>
      <c r="G203" s="33">
        <f>IF($A203="","",BDP($C203,"EQY_DVD_YLD_12M"))</f>
        <v/>
      </c>
      <c r="H203" s="33">
        <f>IF($A203="","",BDP($C203,"EQY_DVD_YLD_IND"))</f>
        <v/>
      </c>
      <c r="I203" s="33">
        <f>IF($A203="","",BDP($C203,'Field Check'!$C$4))</f>
        <v/>
      </c>
      <c r="J203" s="106">
        <f>IFERROR(IF($B203="","",IF(ISNUMBER($F203),$B203*$F203*$D$3/$B$3,0)),"")</f>
        <v/>
      </c>
      <c r="K203" s="106">
        <f>IFERROR(IF($J203="","",$J203*IF(ISNUMBER($I203),$I203,'Index Summary'!$C$7)/100),"")</f>
        <v/>
      </c>
      <c r="L203" s="106">
        <f>IFERROR(IF($K203="","",$J203-$K203),"")</f>
        <v/>
      </c>
      <c r="M203" s="34" t="n"/>
      <c r="N203" s="35">
        <f>IF($C203="","",IF(NOT(ISNUMBER($F203)),"No dividend",IF($F203=0,"No dividend",IF(ISNUMBER($I203),"OK","Frank assumed"))))</f>
        <v/>
      </c>
      <c r="P203" s="57">
        <f>IF($N203="No dividend","",IF($C203="","",BDP($C203,'Field Check'!$C$43)))</f>
        <v/>
      </c>
      <c r="Q203" s="105">
        <f>IFERROR(IF(LEN($P203)&lt;&gt;3,1,IF($P203=$D$2,1,BDP($P203&amp;$D$2&amp;" Curncy","PX_LAST"))),1)</f>
        <v/>
      </c>
    </row>
    <row r="204">
      <c r="A204" s="27" t="n"/>
      <c r="B204" s="76" t="n"/>
      <c r="C204" s="27">
        <f>IF($A204="","",$A204&amp;" Equity")</f>
        <v/>
      </c>
      <c r="D204" s="27">
        <f>IF($A204="","",BDP($C204,"NAME"))</f>
        <v/>
      </c>
      <c r="E204" s="27">
        <f>IF($A204="","",BDP($C204,"GICS_SECTOR_NAME"))</f>
        <v/>
      </c>
      <c r="F204" s="28">
        <f>IF($A204="","",BDP($C204,"EQY_DVD_SH_12M"))</f>
        <v/>
      </c>
      <c r="G204" s="29">
        <f>IF($A204="","",BDP($C204,"EQY_DVD_YLD_12M"))</f>
        <v/>
      </c>
      <c r="H204" s="29">
        <f>IF($A204="","",BDP($C204,"EQY_DVD_YLD_IND"))</f>
        <v/>
      </c>
      <c r="I204" s="29">
        <f>IF($A204="","",BDP($C204,'Field Check'!$C$4))</f>
        <v/>
      </c>
      <c r="J204" s="106">
        <f>IFERROR(IF($B204="","",IF(ISNUMBER($F204),$B204*$F204*$D$3/$B$3,0)),"")</f>
        <v/>
      </c>
      <c r="K204" s="106">
        <f>IFERROR(IF($J204="","",$J204*IF(ISNUMBER($I204),$I204,'Index Summary'!$C$7)/100),"")</f>
        <v/>
      </c>
      <c r="L204" s="106">
        <f>IFERROR(IF($K204="","",$J204-$K204),"")</f>
        <v/>
      </c>
      <c r="M204" s="30" t="n"/>
      <c r="N204" s="31">
        <f>IF($C204="","",IF(NOT(ISNUMBER($F204)),"No dividend",IF($F204=0,"No dividend",IF(ISNUMBER($I204),"OK","Frank assumed"))))</f>
        <v/>
      </c>
      <c r="P204" s="57">
        <f>IF($N204="No dividend","",IF($C204="","",BDP($C204,'Field Check'!$C$43)))</f>
        <v/>
      </c>
      <c r="Q204" s="105">
        <f>IFERROR(IF(LEN($P204)&lt;&gt;3,1,IF($P204=$D$2,1,BDP($P204&amp;$D$2&amp;" Curncy","PX_LAST"))),1)</f>
        <v/>
      </c>
    </row>
    <row r="205">
      <c r="A205" s="16" t="n"/>
      <c r="B205" s="76" t="n"/>
      <c r="C205" s="16">
        <f>IF($A205="","",$A205&amp;" Equity")</f>
        <v/>
      </c>
      <c r="D205" s="16">
        <f>IF($A205="","",BDP($C205,"NAME"))</f>
        <v/>
      </c>
      <c r="E205" s="16">
        <f>IF($A205="","",BDP($C205,"GICS_SECTOR_NAME"))</f>
        <v/>
      </c>
      <c r="F205" s="32">
        <f>IF($A205="","",BDP($C205,"EQY_DVD_SH_12M"))</f>
        <v/>
      </c>
      <c r="G205" s="33">
        <f>IF($A205="","",BDP($C205,"EQY_DVD_YLD_12M"))</f>
        <v/>
      </c>
      <c r="H205" s="33">
        <f>IF($A205="","",BDP($C205,"EQY_DVD_YLD_IND"))</f>
        <v/>
      </c>
      <c r="I205" s="33">
        <f>IF($A205="","",BDP($C205,'Field Check'!$C$4))</f>
        <v/>
      </c>
      <c r="J205" s="106">
        <f>IFERROR(IF($B205="","",IF(ISNUMBER($F205),$B205*$F205*$D$3/$B$3,0)),"")</f>
        <v/>
      </c>
      <c r="K205" s="106">
        <f>IFERROR(IF($J205="","",$J205*IF(ISNUMBER($I205),$I205,'Index Summary'!$C$7)/100),"")</f>
        <v/>
      </c>
      <c r="L205" s="106">
        <f>IFERROR(IF($K205="","",$J205-$K205),"")</f>
        <v/>
      </c>
      <c r="M205" s="34" t="n"/>
      <c r="N205" s="35">
        <f>IF($C205="","",IF(NOT(ISNUMBER($F205)),"No dividend",IF($F205=0,"No dividend",IF(ISNUMBER($I205),"OK","Frank assumed"))))</f>
        <v/>
      </c>
      <c r="P205" s="57">
        <f>IF($N205="No dividend","",IF($C205="","",BDP($C205,'Field Check'!$C$43)))</f>
        <v/>
      </c>
      <c r="Q205" s="105">
        <f>IFERROR(IF(LEN($P205)&lt;&gt;3,1,IF($P205=$D$2,1,BDP($P205&amp;$D$2&amp;" Curncy","PX_LAST"))),1)</f>
        <v/>
      </c>
    </row>
    <row r="206">
      <c r="A206" s="27" t="n"/>
      <c r="B206" s="76" t="n"/>
      <c r="C206" s="27">
        <f>IF($A206="","",$A206&amp;" Equity")</f>
        <v/>
      </c>
      <c r="D206" s="27">
        <f>IF($A206="","",BDP($C206,"NAME"))</f>
        <v/>
      </c>
      <c r="E206" s="27">
        <f>IF($A206="","",BDP($C206,"GICS_SECTOR_NAME"))</f>
        <v/>
      </c>
      <c r="F206" s="28">
        <f>IF($A206="","",BDP($C206,"EQY_DVD_SH_12M"))</f>
        <v/>
      </c>
      <c r="G206" s="29">
        <f>IF($A206="","",BDP($C206,"EQY_DVD_YLD_12M"))</f>
        <v/>
      </c>
      <c r="H206" s="29">
        <f>IF($A206="","",BDP($C206,"EQY_DVD_YLD_IND"))</f>
        <v/>
      </c>
      <c r="I206" s="29">
        <f>IF($A206="","",BDP($C206,'Field Check'!$C$4))</f>
        <v/>
      </c>
      <c r="J206" s="106">
        <f>IFERROR(IF($B206="","",IF(ISNUMBER($F206),$B206*$F206*$D$3/$B$3,0)),"")</f>
        <v/>
      </c>
      <c r="K206" s="106">
        <f>IFERROR(IF($J206="","",$J206*IF(ISNUMBER($I206),$I206,'Index Summary'!$C$7)/100),"")</f>
        <v/>
      </c>
      <c r="L206" s="106">
        <f>IFERROR(IF($K206="","",$J206-$K206),"")</f>
        <v/>
      </c>
      <c r="M206" s="30" t="n"/>
      <c r="N206" s="31">
        <f>IF($C206="","",IF(NOT(ISNUMBER($F206)),"No dividend",IF($F206=0,"No dividend",IF(ISNUMBER($I206),"OK","Frank assumed"))))</f>
        <v/>
      </c>
      <c r="P206" s="57">
        <f>IF($N206="No dividend","",IF($C206="","",BDP($C206,'Field Check'!$C$43)))</f>
        <v/>
      </c>
      <c r="Q206" s="105">
        <f>IFERROR(IF(LEN($P206)&lt;&gt;3,1,IF($P206=$D$2,1,BDP($P206&amp;$D$2&amp;" Curncy","PX_LAST"))),1)</f>
        <v/>
      </c>
    </row>
    <row r="207">
      <c r="A207" s="16" t="n"/>
      <c r="B207" s="76" t="n"/>
      <c r="C207" s="16">
        <f>IF($A207="","",$A207&amp;" Equity")</f>
        <v/>
      </c>
      <c r="D207" s="16">
        <f>IF($A207="","",BDP($C207,"NAME"))</f>
        <v/>
      </c>
      <c r="E207" s="16">
        <f>IF($A207="","",BDP($C207,"GICS_SECTOR_NAME"))</f>
        <v/>
      </c>
      <c r="F207" s="32">
        <f>IF($A207="","",BDP($C207,"EQY_DVD_SH_12M"))</f>
        <v/>
      </c>
      <c r="G207" s="33">
        <f>IF($A207="","",BDP($C207,"EQY_DVD_YLD_12M"))</f>
        <v/>
      </c>
      <c r="H207" s="33">
        <f>IF($A207="","",BDP($C207,"EQY_DVD_YLD_IND"))</f>
        <v/>
      </c>
      <c r="I207" s="33">
        <f>IF($A207="","",BDP($C207,'Field Check'!$C$4))</f>
        <v/>
      </c>
      <c r="J207" s="106">
        <f>IFERROR(IF($B207="","",IF(ISNUMBER($F207),$B207*$F207*$D$3/$B$3,0)),"")</f>
        <v/>
      </c>
      <c r="K207" s="106">
        <f>IFERROR(IF($J207="","",$J207*IF(ISNUMBER($I207),$I207,'Index Summary'!$C$7)/100),"")</f>
        <v/>
      </c>
      <c r="L207" s="106">
        <f>IFERROR(IF($K207="","",$J207-$K207),"")</f>
        <v/>
      </c>
      <c r="M207" s="34" t="n"/>
      <c r="N207" s="35">
        <f>IF($C207="","",IF(NOT(ISNUMBER($F207)),"No dividend",IF($F207=0,"No dividend",IF(ISNUMBER($I207),"OK","Frank assumed"))))</f>
        <v/>
      </c>
      <c r="P207" s="57">
        <f>IF($N207="No dividend","",IF($C207="","",BDP($C207,'Field Check'!$C$43)))</f>
        <v/>
      </c>
      <c r="Q207" s="105">
        <f>IFERROR(IF(LEN($P207)&lt;&gt;3,1,IF($P207=$D$2,1,BDP($P207&amp;$D$2&amp;" Curncy","PX_LAST"))),1)</f>
        <v/>
      </c>
    </row>
    <row r="208">
      <c r="A208" s="27" t="n"/>
      <c r="B208" s="76" t="n"/>
      <c r="C208" s="27">
        <f>IF($A208="","",$A208&amp;" Equity")</f>
        <v/>
      </c>
      <c r="D208" s="27">
        <f>IF($A208="","",BDP($C208,"NAME"))</f>
        <v/>
      </c>
      <c r="E208" s="27">
        <f>IF($A208="","",BDP($C208,"GICS_SECTOR_NAME"))</f>
        <v/>
      </c>
      <c r="F208" s="28">
        <f>IF($A208="","",BDP($C208,"EQY_DVD_SH_12M"))</f>
        <v/>
      </c>
      <c r="G208" s="29">
        <f>IF($A208="","",BDP($C208,"EQY_DVD_YLD_12M"))</f>
        <v/>
      </c>
      <c r="H208" s="29">
        <f>IF($A208="","",BDP($C208,"EQY_DVD_YLD_IND"))</f>
        <v/>
      </c>
      <c r="I208" s="29">
        <f>IF($A208="","",BDP($C208,'Field Check'!$C$4))</f>
        <v/>
      </c>
      <c r="J208" s="106">
        <f>IFERROR(IF($B208="","",IF(ISNUMBER($F208),$B208*$F208*$D$3/$B$3,0)),"")</f>
        <v/>
      </c>
      <c r="K208" s="106">
        <f>IFERROR(IF($J208="","",$J208*IF(ISNUMBER($I208),$I208,'Index Summary'!$C$7)/100),"")</f>
        <v/>
      </c>
      <c r="L208" s="106">
        <f>IFERROR(IF($K208="","",$J208-$K208),"")</f>
        <v/>
      </c>
      <c r="M208" s="30" t="n"/>
      <c r="N208" s="31">
        <f>IF($C208="","",IF(NOT(ISNUMBER($F208)),"No dividend",IF($F208=0,"No dividend",IF(ISNUMBER($I208),"OK","Frank assumed"))))</f>
        <v/>
      </c>
      <c r="P208" s="57">
        <f>IF($N208="No dividend","",IF($C208="","",BDP($C208,'Field Check'!$C$43)))</f>
        <v/>
      </c>
      <c r="Q208" s="105">
        <f>IFERROR(IF(LEN($P208)&lt;&gt;3,1,IF($P208=$D$2,1,BDP($P208&amp;$D$2&amp;" Curncy","PX_LAST"))),1)</f>
        <v/>
      </c>
    </row>
    <row r="209">
      <c r="A209" s="16" t="n"/>
      <c r="B209" s="76" t="n"/>
      <c r="C209" s="16">
        <f>IF($A209="","",$A209&amp;" Equity")</f>
        <v/>
      </c>
      <c r="D209" s="16">
        <f>IF($A209="","",BDP($C209,"NAME"))</f>
        <v/>
      </c>
      <c r="E209" s="16">
        <f>IF($A209="","",BDP($C209,"GICS_SECTOR_NAME"))</f>
        <v/>
      </c>
      <c r="F209" s="32">
        <f>IF($A209="","",BDP($C209,"EQY_DVD_SH_12M"))</f>
        <v/>
      </c>
      <c r="G209" s="33">
        <f>IF($A209="","",BDP($C209,"EQY_DVD_YLD_12M"))</f>
        <v/>
      </c>
      <c r="H209" s="33">
        <f>IF($A209="","",BDP($C209,"EQY_DVD_YLD_IND"))</f>
        <v/>
      </c>
      <c r="I209" s="33">
        <f>IF($A209="","",BDP($C209,'Field Check'!$C$4))</f>
        <v/>
      </c>
      <c r="J209" s="106">
        <f>IFERROR(IF($B209="","",IF(ISNUMBER($F209),$B209*$F209*$D$3/$B$3,0)),"")</f>
        <v/>
      </c>
      <c r="K209" s="106">
        <f>IFERROR(IF($J209="","",$J209*IF(ISNUMBER($I209),$I209,'Index Summary'!$C$7)/100),"")</f>
        <v/>
      </c>
      <c r="L209" s="106">
        <f>IFERROR(IF($K209="","",$J209-$K209),"")</f>
        <v/>
      </c>
      <c r="M209" s="34" t="n"/>
      <c r="N209" s="35">
        <f>IF($C209="","",IF(NOT(ISNUMBER($F209)),"No dividend",IF($F209=0,"No dividend",IF(ISNUMBER($I209),"OK","Frank assumed"))))</f>
        <v/>
      </c>
      <c r="P209" s="57">
        <f>IF($N209="No dividend","",IF($C209="","",BDP($C209,'Field Check'!$C$43)))</f>
        <v/>
      </c>
      <c r="Q209" s="105">
        <f>IFERROR(IF(LEN($P209)&lt;&gt;3,1,IF($P209=$D$2,1,BDP($P209&amp;$D$2&amp;" Curncy","PX_LAST"))),1)</f>
        <v/>
      </c>
    </row>
    <row r="210">
      <c r="A210" s="27" t="n"/>
      <c r="B210" s="76" t="n"/>
      <c r="C210" s="27">
        <f>IF($A210="","",$A210&amp;" Equity")</f>
        <v/>
      </c>
      <c r="D210" s="27">
        <f>IF($A210="","",BDP($C210,"NAME"))</f>
        <v/>
      </c>
      <c r="E210" s="27">
        <f>IF($A210="","",BDP($C210,"GICS_SECTOR_NAME"))</f>
        <v/>
      </c>
      <c r="F210" s="28">
        <f>IF($A210="","",BDP($C210,"EQY_DVD_SH_12M"))</f>
        <v/>
      </c>
      <c r="G210" s="29">
        <f>IF($A210="","",BDP($C210,"EQY_DVD_YLD_12M"))</f>
        <v/>
      </c>
      <c r="H210" s="29">
        <f>IF($A210="","",BDP($C210,"EQY_DVD_YLD_IND"))</f>
        <v/>
      </c>
      <c r="I210" s="29">
        <f>IF($A210="","",BDP($C210,'Field Check'!$C$4))</f>
        <v/>
      </c>
      <c r="J210" s="106">
        <f>IFERROR(IF($B210="","",IF(ISNUMBER($F210),$B210*$F210*$D$3/$B$3,0)),"")</f>
        <v/>
      </c>
      <c r="K210" s="106">
        <f>IFERROR(IF($J210="","",$J210*IF(ISNUMBER($I210),$I210,'Index Summary'!$C$7)/100),"")</f>
        <v/>
      </c>
      <c r="L210" s="106">
        <f>IFERROR(IF($K210="","",$J210-$K210),"")</f>
        <v/>
      </c>
      <c r="M210" s="30" t="n"/>
      <c r="N210" s="31">
        <f>IF($C210="","",IF(NOT(ISNUMBER($F210)),"No dividend",IF($F210=0,"No dividend",IF(ISNUMBER($I210),"OK","Frank assumed"))))</f>
        <v/>
      </c>
      <c r="P210" s="57">
        <f>IF($N210="No dividend","",IF($C210="","",BDP($C210,'Field Check'!$C$43)))</f>
        <v/>
      </c>
      <c r="Q210" s="105">
        <f>IFERROR(IF(LEN($P210)&lt;&gt;3,1,IF($P210=$D$2,1,BDP($P210&amp;$D$2&amp;" Curncy","PX_LAST"))),1)</f>
        <v/>
      </c>
    </row>
    <row r="211">
      <c r="A211" s="16" t="n"/>
      <c r="B211" s="76" t="n"/>
      <c r="C211" s="16">
        <f>IF($A211="","",$A211&amp;" Equity")</f>
        <v/>
      </c>
      <c r="D211" s="16">
        <f>IF($A211="","",BDP($C211,"NAME"))</f>
        <v/>
      </c>
      <c r="E211" s="16">
        <f>IF($A211="","",BDP($C211,"GICS_SECTOR_NAME"))</f>
        <v/>
      </c>
      <c r="F211" s="32">
        <f>IF($A211="","",BDP($C211,"EQY_DVD_SH_12M"))</f>
        <v/>
      </c>
      <c r="G211" s="33">
        <f>IF($A211="","",BDP($C211,"EQY_DVD_YLD_12M"))</f>
        <v/>
      </c>
      <c r="H211" s="33">
        <f>IF($A211="","",BDP($C211,"EQY_DVD_YLD_IND"))</f>
        <v/>
      </c>
      <c r="I211" s="33">
        <f>IF($A211="","",BDP($C211,'Field Check'!$C$4))</f>
        <v/>
      </c>
      <c r="J211" s="106">
        <f>IFERROR(IF($B211="","",IF(ISNUMBER($F211),$B211*$F211*$D$3/$B$3,0)),"")</f>
        <v/>
      </c>
      <c r="K211" s="106">
        <f>IFERROR(IF($J211="","",$J211*IF(ISNUMBER($I211),$I211,'Index Summary'!$C$7)/100),"")</f>
        <v/>
      </c>
      <c r="L211" s="106">
        <f>IFERROR(IF($K211="","",$J211-$K211),"")</f>
        <v/>
      </c>
      <c r="M211" s="34" t="n"/>
      <c r="N211" s="35">
        <f>IF($C211="","",IF(NOT(ISNUMBER($F211)),"No dividend",IF($F211=0,"No dividend",IF(ISNUMBER($I211),"OK","Frank assumed"))))</f>
        <v/>
      </c>
      <c r="P211" s="57">
        <f>IF($N211="No dividend","",IF($C211="","",BDP($C211,'Field Check'!$C$43)))</f>
        <v/>
      </c>
      <c r="Q211" s="105">
        <f>IFERROR(IF(LEN($P211)&lt;&gt;3,1,IF($P211=$D$2,1,BDP($P211&amp;$D$2&amp;" Curncy","PX_LAST"))),1)</f>
        <v/>
      </c>
    </row>
    <row r="212">
      <c r="A212" s="27" t="n"/>
      <c r="B212" s="76" t="n"/>
      <c r="C212" s="27">
        <f>IF($A212="","",$A212&amp;" Equity")</f>
        <v/>
      </c>
      <c r="D212" s="27">
        <f>IF($A212="","",BDP($C212,"NAME"))</f>
        <v/>
      </c>
      <c r="E212" s="27">
        <f>IF($A212="","",BDP($C212,"GICS_SECTOR_NAME"))</f>
        <v/>
      </c>
      <c r="F212" s="28">
        <f>IF($A212="","",BDP($C212,"EQY_DVD_SH_12M"))</f>
        <v/>
      </c>
      <c r="G212" s="29">
        <f>IF($A212="","",BDP($C212,"EQY_DVD_YLD_12M"))</f>
        <v/>
      </c>
      <c r="H212" s="29">
        <f>IF($A212="","",BDP($C212,"EQY_DVD_YLD_IND"))</f>
        <v/>
      </c>
      <c r="I212" s="29">
        <f>IF($A212="","",BDP($C212,'Field Check'!$C$4))</f>
        <v/>
      </c>
      <c r="J212" s="106">
        <f>IFERROR(IF($B212="","",IF(ISNUMBER($F212),$B212*$F212*$D$3/$B$3,0)),"")</f>
        <v/>
      </c>
      <c r="K212" s="106">
        <f>IFERROR(IF($J212="","",$J212*IF(ISNUMBER($I212),$I212,'Index Summary'!$C$7)/100),"")</f>
        <v/>
      </c>
      <c r="L212" s="106">
        <f>IFERROR(IF($K212="","",$J212-$K212),"")</f>
        <v/>
      </c>
      <c r="M212" s="30" t="n"/>
      <c r="N212" s="31">
        <f>IF($C212="","",IF(NOT(ISNUMBER($F212)),"No dividend",IF($F212=0,"No dividend",IF(ISNUMBER($I212),"OK","Frank assumed"))))</f>
        <v/>
      </c>
      <c r="P212" s="57">
        <f>IF($N212="No dividend","",IF($C212="","",BDP($C212,'Field Check'!$C$43)))</f>
        <v/>
      </c>
      <c r="Q212" s="105">
        <f>IFERROR(IF(LEN($P212)&lt;&gt;3,1,IF($P212=$D$2,1,BDP($P212&amp;$D$2&amp;" Curncy","PX_LAST"))),1)</f>
        <v/>
      </c>
    </row>
    <row r="213">
      <c r="A213" s="16" t="n"/>
      <c r="B213" s="76" t="n"/>
      <c r="C213" s="16">
        <f>IF($A213="","",$A213&amp;" Equity")</f>
        <v/>
      </c>
      <c r="D213" s="16">
        <f>IF($A213="","",BDP($C213,"NAME"))</f>
        <v/>
      </c>
      <c r="E213" s="16">
        <f>IF($A213="","",BDP($C213,"GICS_SECTOR_NAME"))</f>
        <v/>
      </c>
      <c r="F213" s="32">
        <f>IF($A213="","",BDP($C213,"EQY_DVD_SH_12M"))</f>
        <v/>
      </c>
      <c r="G213" s="33">
        <f>IF($A213="","",BDP($C213,"EQY_DVD_YLD_12M"))</f>
        <v/>
      </c>
      <c r="H213" s="33">
        <f>IF($A213="","",BDP($C213,"EQY_DVD_YLD_IND"))</f>
        <v/>
      </c>
      <c r="I213" s="33">
        <f>IF($A213="","",BDP($C213,'Field Check'!$C$4))</f>
        <v/>
      </c>
      <c r="J213" s="106">
        <f>IFERROR(IF($B213="","",IF(ISNUMBER($F213),$B213*$F213*$D$3/$B$3,0)),"")</f>
        <v/>
      </c>
      <c r="K213" s="106">
        <f>IFERROR(IF($J213="","",$J213*IF(ISNUMBER($I213),$I213,'Index Summary'!$C$7)/100),"")</f>
        <v/>
      </c>
      <c r="L213" s="106">
        <f>IFERROR(IF($K213="","",$J213-$K213),"")</f>
        <v/>
      </c>
      <c r="M213" s="34" t="n"/>
      <c r="N213" s="35">
        <f>IF($C213="","",IF(NOT(ISNUMBER($F213)),"No dividend",IF($F213=0,"No dividend",IF(ISNUMBER($I213),"OK","Frank assumed"))))</f>
        <v/>
      </c>
      <c r="P213" s="57">
        <f>IF($N213="No dividend","",IF($C213="","",BDP($C213,'Field Check'!$C$43)))</f>
        <v/>
      </c>
      <c r="Q213" s="105">
        <f>IFERROR(IF(LEN($P213)&lt;&gt;3,1,IF($P213=$D$2,1,BDP($P213&amp;$D$2&amp;" Curncy","PX_LAST"))),1)</f>
        <v/>
      </c>
    </row>
    <row r="214">
      <c r="A214" s="27" t="n"/>
      <c r="B214" s="76" t="n"/>
      <c r="C214" s="27">
        <f>IF($A214="","",$A214&amp;" Equity")</f>
        <v/>
      </c>
      <c r="D214" s="27">
        <f>IF($A214="","",BDP($C214,"NAME"))</f>
        <v/>
      </c>
      <c r="E214" s="27">
        <f>IF($A214="","",BDP($C214,"GICS_SECTOR_NAME"))</f>
        <v/>
      </c>
      <c r="F214" s="28">
        <f>IF($A214="","",BDP($C214,"EQY_DVD_SH_12M"))</f>
        <v/>
      </c>
      <c r="G214" s="29">
        <f>IF($A214="","",BDP($C214,"EQY_DVD_YLD_12M"))</f>
        <v/>
      </c>
      <c r="H214" s="29">
        <f>IF($A214="","",BDP($C214,"EQY_DVD_YLD_IND"))</f>
        <v/>
      </c>
      <c r="I214" s="29">
        <f>IF($A214="","",BDP($C214,'Field Check'!$C$4))</f>
        <v/>
      </c>
      <c r="J214" s="106">
        <f>IFERROR(IF($B214="","",IF(ISNUMBER($F214),$B214*$F214*$D$3/$B$3,0)),"")</f>
        <v/>
      </c>
      <c r="K214" s="106">
        <f>IFERROR(IF($J214="","",$J214*IF(ISNUMBER($I214),$I214,'Index Summary'!$C$7)/100),"")</f>
        <v/>
      </c>
      <c r="L214" s="106">
        <f>IFERROR(IF($K214="","",$J214-$K214),"")</f>
        <v/>
      </c>
      <c r="M214" s="30" t="n"/>
      <c r="N214" s="31">
        <f>IF($C214="","",IF(NOT(ISNUMBER($F214)),"No dividend",IF($F214=0,"No dividend",IF(ISNUMBER($I214),"OK","Frank assumed"))))</f>
        <v/>
      </c>
      <c r="P214" s="57">
        <f>IF($N214="No dividend","",IF($C214="","",BDP($C214,'Field Check'!$C$43)))</f>
        <v/>
      </c>
      <c r="Q214" s="105">
        <f>IFERROR(IF(LEN($P214)&lt;&gt;3,1,IF($P214=$D$2,1,BDP($P214&amp;$D$2&amp;" Curncy","PX_LAST"))),1)</f>
        <v/>
      </c>
    </row>
    <row r="215">
      <c r="A215" s="16" t="n"/>
      <c r="B215" s="76" t="n"/>
      <c r="C215" s="16">
        <f>IF($A215="","",$A215&amp;" Equity")</f>
        <v/>
      </c>
      <c r="D215" s="16">
        <f>IF($A215="","",BDP($C215,"NAME"))</f>
        <v/>
      </c>
      <c r="E215" s="16">
        <f>IF($A215="","",BDP($C215,"GICS_SECTOR_NAME"))</f>
        <v/>
      </c>
      <c r="F215" s="32">
        <f>IF($A215="","",BDP($C215,"EQY_DVD_SH_12M"))</f>
        <v/>
      </c>
      <c r="G215" s="33">
        <f>IF($A215="","",BDP($C215,"EQY_DVD_YLD_12M"))</f>
        <v/>
      </c>
      <c r="H215" s="33">
        <f>IF($A215="","",BDP($C215,"EQY_DVD_YLD_IND"))</f>
        <v/>
      </c>
      <c r="I215" s="33">
        <f>IF($A215="","",BDP($C215,'Field Check'!$C$4))</f>
        <v/>
      </c>
      <c r="J215" s="106">
        <f>IFERROR(IF($B215="","",IF(ISNUMBER($F215),$B215*$F215*$D$3/$B$3,0)),"")</f>
        <v/>
      </c>
      <c r="K215" s="106">
        <f>IFERROR(IF($J215="","",$J215*IF(ISNUMBER($I215),$I215,'Index Summary'!$C$7)/100),"")</f>
        <v/>
      </c>
      <c r="L215" s="106">
        <f>IFERROR(IF($K215="","",$J215-$K215),"")</f>
        <v/>
      </c>
      <c r="M215" s="34" t="n"/>
      <c r="N215" s="35">
        <f>IF($C215="","",IF(NOT(ISNUMBER($F215)),"No dividend",IF($F215=0,"No dividend",IF(ISNUMBER($I215),"OK","Frank assumed"))))</f>
        <v/>
      </c>
      <c r="P215" s="57">
        <f>IF($N215="No dividend","",IF($C215="","",BDP($C215,'Field Check'!$C$43)))</f>
        <v/>
      </c>
      <c r="Q215" s="105">
        <f>IFERROR(IF(LEN($P215)&lt;&gt;3,1,IF($P215=$D$2,1,BDP($P215&amp;$D$2&amp;" Curncy","PX_LAST"))),1)</f>
        <v/>
      </c>
    </row>
    <row r="216">
      <c r="A216" s="27" t="n"/>
      <c r="B216" s="76" t="n"/>
      <c r="C216" s="27">
        <f>IF($A216="","",$A216&amp;" Equity")</f>
        <v/>
      </c>
      <c r="D216" s="27">
        <f>IF($A216="","",BDP($C216,"NAME"))</f>
        <v/>
      </c>
      <c r="E216" s="27">
        <f>IF($A216="","",BDP($C216,"GICS_SECTOR_NAME"))</f>
        <v/>
      </c>
      <c r="F216" s="28">
        <f>IF($A216="","",BDP($C216,"EQY_DVD_SH_12M"))</f>
        <v/>
      </c>
      <c r="G216" s="29">
        <f>IF($A216="","",BDP($C216,"EQY_DVD_YLD_12M"))</f>
        <v/>
      </c>
      <c r="H216" s="29">
        <f>IF($A216="","",BDP($C216,"EQY_DVD_YLD_IND"))</f>
        <v/>
      </c>
      <c r="I216" s="29">
        <f>IF($A216="","",BDP($C216,'Field Check'!$C$4))</f>
        <v/>
      </c>
      <c r="J216" s="106">
        <f>IFERROR(IF($B216="","",IF(ISNUMBER($F216),$B216*$F216*$D$3/$B$3,0)),"")</f>
        <v/>
      </c>
      <c r="K216" s="106">
        <f>IFERROR(IF($J216="","",$J216*IF(ISNUMBER($I216),$I216,'Index Summary'!$C$7)/100),"")</f>
        <v/>
      </c>
      <c r="L216" s="106">
        <f>IFERROR(IF($K216="","",$J216-$K216),"")</f>
        <v/>
      </c>
      <c r="M216" s="30" t="n"/>
      <c r="N216" s="31">
        <f>IF($C216="","",IF(NOT(ISNUMBER($F216)),"No dividend",IF($F216=0,"No dividend",IF(ISNUMBER($I216),"OK","Frank assumed"))))</f>
        <v/>
      </c>
      <c r="P216" s="57">
        <f>IF($N216="No dividend","",IF($C216="","",BDP($C216,'Field Check'!$C$43)))</f>
        <v/>
      </c>
      <c r="Q216" s="105">
        <f>IFERROR(IF(LEN($P216)&lt;&gt;3,1,IF($P216=$D$2,1,BDP($P216&amp;$D$2&amp;" Curncy","PX_LAST"))),1)</f>
        <v/>
      </c>
    </row>
    <row r="217">
      <c r="A217" s="16" t="n"/>
      <c r="B217" s="76" t="n"/>
      <c r="C217" s="16">
        <f>IF($A217="","",$A217&amp;" Equity")</f>
        <v/>
      </c>
      <c r="D217" s="16">
        <f>IF($A217="","",BDP($C217,"NAME"))</f>
        <v/>
      </c>
      <c r="E217" s="16">
        <f>IF($A217="","",BDP($C217,"GICS_SECTOR_NAME"))</f>
        <v/>
      </c>
      <c r="F217" s="32">
        <f>IF($A217="","",BDP($C217,"EQY_DVD_SH_12M"))</f>
        <v/>
      </c>
      <c r="G217" s="33">
        <f>IF($A217="","",BDP($C217,"EQY_DVD_YLD_12M"))</f>
        <v/>
      </c>
      <c r="H217" s="33">
        <f>IF($A217="","",BDP($C217,"EQY_DVD_YLD_IND"))</f>
        <v/>
      </c>
      <c r="I217" s="33">
        <f>IF($A217="","",BDP($C217,'Field Check'!$C$4))</f>
        <v/>
      </c>
      <c r="J217" s="106">
        <f>IFERROR(IF($B217="","",IF(ISNUMBER($F217),$B217*$F217*$D$3/$B$3,0)),"")</f>
        <v/>
      </c>
      <c r="K217" s="106">
        <f>IFERROR(IF($J217="","",$J217*IF(ISNUMBER($I217),$I217,'Index Summary'!$C$7)/100),"")</f>
        <v/>
      </c>
      <c r="L217" s="106">
        <f>IFERROR(IF($K217="","",$J217-$K217),"")</f>
        <v/>
      </c>
      <c r="M217" s="34" t="n"/>
      <c r="N217" s="35">
        <f>IF($C217="","",IF(NOT(ISNUMBER($F217)),"No dividend",IF($F217=0,"No dividend",IF(ISNUMBER($I217),"OK","Frank assumed"))))</f>
        <v/>
      </c>
      <c r="P217" s="57">
        <f>IF($N217="No dividend","",IF($C217="","",BDP($C217,'Field Check'!$C$43)))</f>
        <v/>
      </c>
      <c r="Q217" s="105">
        <f>IFERROR(IF(LEN($P217)&lt;&gt;3,1,IF($P217=$D$2,1,BDP($P217&amp;$D$2&amp;" Curncy","PX_LAST"))),1)</f>
        <v/>
      </c>
    </row>
    <row r="218">
      <c r="A218" s="27" t="n"/>
      <c r="B218" s="76" t="n"/>
      <c r="C218" s="27">
        <f>IF($A218="","",$A218&amp;" Equity")</f>
        <v/>
      </c>
      <c r="D218" s="27">
        <f>IF($A218="","",BDP($C218,"NAME"))</f>
        <v/>
      </c>
      <c r="E218" s="27">
        <f>IF($A218="","",BDP($C218,"GICS_SECTOR_NAME"))</f>
        <v/>
      </c>
      <c r="F218" s="28">
        <f>IF($A218="","",BDP($C218,"EQY_DVD_SH_12M"))</f>
        <v/>
      </c>
      <c r="G218" s="29">
        <f>IF($A218="","",BDP($C218,"EQY_DVD_YLD_12M"))</f>
        <v/>
      </c>
      <c r="H218" s="29">
        <f>IF($A218="","",BDP($C218,"EQY_DVD_YLD_IND"))</f>
        <v/>
      </c>
      <c r="I218" s="29">
        <f>IF($A218="","",BDP($C218,'Field Check'!$C$4))</f>
        <v/>
      </c>
      <c r="J218" s="106">
        <f>IFERROR(IF($B218="","",IF(ISNUMBER($F218),$B218*$F218*$D$3/$B$3,0)),"")</f>
        <v/>
      </c>
      <c r="K218" s="106">
        <f>IFERROR(IF($J218="","",$J218*IF(ISNUMBER($I218),$I218,'Index Summary'!$C$7)/100),"")</f>
        <v/>
      </c>
      <c r="L218" s="106">
        <f>IFERROR(IF($K218="","",$J218-$K218),"")</f>
        <v/>
      </c>
      <c r="M218" s="30" t="n"/>
      <c r="N218" s="31">
        <f>IF($C218="","",IF(NOT(ISNUMBER($F218)),"No dividend",IF($F218=0,"No dividend",IF(ISNUMBER($I218),"OK","Frank assumed"))))</f>
        <v/>
      </c>
      <c r="P218" s="57">
        <f>IF($N218="No dividend","",IF($C218="","",BDP($C218,'Field Check'!$C$43)))</f>
        <v/>
      </c>
      <c r="Q218" s="105">
        <f>IFERROR(IF(LEN($P218)&lt;&gt;3,1,IF($P218=$D$2,1,BDP($P218&amp;$D$2&amp;" Curncy","PX_LAST"))),1)</f>
        <v/>
      </c>
    </row>
    <row r="219">
      <c r="A219" s="16" t="n"/>
      <c r="B219" s="76" t="n"/>
      <c r="C219" s="16">
        <f>IF($A219="","",$A219&amp;" Equity")</f>
        <v/>
      </c>
      <c r="D219" s="16">
        <f>IF($A219="","",BDP($C219,"NAME"))</f>
        <v/>
      </c>
      <c r="E219" s="16">
        <f>IF($A219="","",BDP($C219,"GICS_SECTOR_NAME"))</f>
        <v/>
      </c>
      <c r="F219" s="32">
        <f>IF($A219="","",BDP($C219,"EQY_DVD_SH_12M"))</f>
        <v/>
      </c>
      <c r="G219" s="33">
        <f>IF($A219="","",BDP($C219,"EQY_DVD_YLD_12M"))</f>
        <v/>
      </c>
      <c r="H219" s="33">
        <f>IF($A219="","",BDP($C219,"EQY_DVD_YLD_IND"))</f>
        <v/>
      </c>
      <c r="I219" s="33">
        <f>IF($A219="","",BDP($C219,'Field Check'!$C$4))</f>
        <v/>
      </c>
      <c r="J219" s="106">
        <f>IFERROR(IF($B219="","",IF(ISNUMBER($F219),$B219*$F219*$D$3/$B$3,0)),"")</f>
        <v/>
      </c>
      <c r="K219" s="106">
        <f>IFERROR(IF($J219="","",$J219*IF(ISNUMBER($I219),$I219,'Index Summary'!$C$7)/100),"")</f>
        <v/>
      </c>
      <c r="L219" s="106">
        <f>IFERROR(IF($K219="","",$J219-$K219),"")</f>
        <v/>
      </c>
      <c r="M219" s="34" t="n"/>
      <c r="N219" s="35">
        <f>IF($C219="","",IF(NOT(ISNUMBER($F219)),"No dividend",IF($F219=0,"No dividend",IF(ISNUMBER($I219),"OK","Frank assumed"))))</f>
        <v/>
      </c>
      <c r="P219" s="57">
        <f>IF($N219="No dividend","",IF($C219="","",BDP($C219,'Field Check'!$C$43)))</f>
        <v/>
      </c>
      <c r="Q219" s="105">
        <f>IFERROR(IF(LEN($P219)&lt;&gt;3,1,IF($P219=$D$2,1,BDP($P219&amp;$D$2&amp;" Curncy","PX_LAST"))),1)</f>
        <v/>
      </c>
    </row>
    <row r="220">
      <c r="A220" s="27" t="n"/>
      <c r="B220" s="76" t="n"/>
      <c r="C220" s="27">
        <f>IF($A220="","",$A220&amp;" Equity")</f>
        <v/>
      </c>
      <c r="D220" s="27">
        <f>IF($A220="","",BDP($C220,"NAME"))</f>
        <v/>
      </c>
      <c r="E220" s="27">
        <f>IF($A220="","",BDP($C220,"GICS_SECTOR_NAME"))</f>
        <v/>
      </c>
      <c r="F220" s="28">
        <f>IF($A220="","",BDP($C220,"EQY_DVD_SH_12M"))</f>
        <v/>
      </c>
      <c r="G220" s="29">
        <f>IF($A220="","",BDP($C220,"EQY_DVD_YLD_12M"))</f>
        <v/>
      </c>
      <c r="H220" s="29">
        <f>IF($A220="","",BDP($C220,"EQY_DVD_YLD_IND"))</f>
        <v/>
      </c>
      <c r="I220" s="29">
        <f>IF($A220="","",BDP($C220,'Field Check'!$C$4))</f>
        <v/>
      </c>
      <c r="J220" s="106">
        <f>IFERROR(IF($B220="","",IF(ISNUMBER($F220),$B220*$F220*$D$3/$B$3,0)),"")</f>
        <v/>
      </c>
      <c r="K220" s="106">
        <f>IFERROR(IF($J220="","",$J220*IF(ISNUMBER($I220),$I220,'Index Summary'!$C$7)/100),"")</f>
        <v/>
      </c>
      <c r="L220" s="106">
        <f>IFERROR(IF($K220="","",$J220-$K220),"")</f>
        <v/>
      </c>
      <c r="M220" s="30" t="n"/>
      <c r="N220" s="31">
        <f>IF($C220="","",IF(NOT(ISNUMBER($F220)),"No dividend",IF($F220=0,"No dividend",IF(ISNUMBER($I220),"OK","Frank assumed"))))</f>
        <v/>
      </c>
      <c r="P220" s="57">
        <f>IF($N220="No dividend","",IF($C220="","",BDP($C220,'Field Check'!$C$43)))</f>
        <v/>
      </c>
      <c r="Q220" s="105">
        <f>IFERROR(IF(LEN($P220)&lt;&gt;3,1,IF($P220=$D$2,1,BDP($P220&amp;$D$2&amp;" Curncy","PX_LAST"))),1)</f>
        <v/>
      </c>
    </row>
    <row r="221">
      <c r="A221" s="16" t="n"/>
      <c r="B221" s="76" t="n"/>
      <c r="C221" s="16">
        <f>IF($A221="","",$A221&amp;" Equity")</f>
        <v/>
      </c>
      <c r="D221" s="16">
        <f>IF($A221="","",BDP($C221,"NAME"))</f>
        <v/>
      </c>
      <c r="E221" s="16">
        <f>IF($A221="","",BDP($C221,"GICS_SECTOR_NAME"))</f>
        <v/>
      </c>
      <c r="F221" s="32">
        <f>IF($A221="","",BDP($C221,"EQY_DVD_SH_12M"))</f>
        <v/>
      </c>
      <c r="G221" s="33">
        <f>IF($A221="","",BDP($C221,"EQY_DVD_YLD_12M"))</f>
        <v/>
      </c>
      <c r="H221" s="33">
        <f>IF($A221="","",BDP($C221,"EQY_DVD_YLD_IND"))</f>
        <v/>
      </c>
      <c r="I221" s="33">
        <f>IF($A221="","",BDP($C221,'Field Check'!$C$4))</f>
        <v/>
      </c>
      <c r="J221" s="106">
        <f>IFERROR(IF($B221="","",IF(ISNUMBER($F221),$B221*$F221*$D$3/$B$3,0)),"")</f>
        <v/>
      </c>
      <c r="K221" s="106">
        <f>IFERROR(IF($J221="","",$J221*IF(ISNUMBER($I221),$I221,'Index Summary'!$C$7)/100),"")</f>
        <v/>
      </c>
      <c r="L221" s="106">
        <f>IFERROR(IF($K221="","",$J221-$K221),"")</f>
        <v/>
      </c>
      <c r="M221" s="34" t="n"/>
      <c r="N221" s="35">
        <f>IF($C221="","",IF(NOT(ISNUMBER($F221)),"No dividend",IF($F221=0,"No dividend",IF(ISNUMBER($I221),"OK","Frank assumed"))))</f>
        <v/>
      </c>
      <c r="P221" s="57">
        <f>IF($N221="No dividend","",IF($C221="","",BDP($C221,'Field Check'!$C$43)))</f>
        <v/>
      </c>
      <c r="Q221" s="105">
        <f>IFERROR(IF(LEN($P221)&lt;&gt;3,1,IF($P221=$D$2,1,BDP($P221&amp;$D$2&amp;" Curncy","PX_LAST"))),1)</f>
        <v/>
      </c>
    </row>
    <row r="222">
      <c r="A222" s="27" t="n"/>
      <c r="B222" s="76" t="n"/>
      <c r="C222" s="27">
        <f>IF($A222="","",$A222&amp;" Equity")</f>
        <v/>
      </c>
      <c r="D222" s="27">
        <f>IF($A222="","",BDP($C222,"NAME"))</f>
        <v/>
      </c>
      <c r="E222" s="27">
        <f>IF($A222="","",BDP($C222,"GICS_SECTOR_NAME"))</f>
        <v/>
      </c>
      <c r="F222" s="28">
        <f>IF($A222="","",BDP($C222,"EQY_DVD_SH_12M"))</f>
        <v/>
      </c>
      <c r="G222" s="29">
        <f>IF($A222="","",BDP($C222,"EQY_DVD_YLD_12M"))</f>
        <v/>
      </c>
      <c r="H222" s="29">
        <f>IF($A222="","",BDP($C222,"EQY_DVD_YLD_IND"))</f>
        <v/>
      </c>
      <c r="I222" s="29">
        <f>IF($A222="","",BDP($C222,'Field Check'!$C$4))</f>
        <v/>
      </c>
      <c r="J222" s="106">
        <f>IFERROR(IF($B222="","",IF(ISNUMBER($F222),$B222*$F222*$D$3/$B$3,0)),"")</f>
        <v/>
      </c>
      <c r="K222" s="106">
        <f>IFERROR(IF($J222="","",$J222*IF(ISNUMBER($I222),$I222,'Index Summary'!$C$7)/100),"")</f>
        <v/>
      </c>
      <c r="L222" s="106">
        <f>IFERROR(IF($K222="","",$J222-$K222),"")</f>
        <v/>
      </c>
      <c r="M222" s="30" t="n"/>
      <c r="N222" s="31">
        <f>IF($C222="","",IF(NOT(ISNUMBER($F222)),"No dividend",IF($F222=0,"No dividend",IF(ISNUMBER($I222),"OK","Frank assumed"))))</f>
        <v/>
      </c>
      <c r="P222" s="57">
        <f>IF($N222="No dividend","",IF($C222="","",BDP($C222,'Field Check'!$C$43)))</f>
        <v/>
      </c>
      <c r="Q222" s="105">
        <f>IFERROR(IF(LEN($P222)&lt;&gt;3,1,IF($P222=$D$2,1,BDP($P222&amp;$D$2&amp;" Curncy","PX_LAST"))),1)</f>
        <v/>
      </c>
    </row>
    <row r="223">
      <c r="A223" s="16" t="n"/>
      <c r="B223" s="76" t="n"/>
      <c r="C223" s="16">
        <f>IF($A223="","",$A223&amp;" Equity")</f>
        <v/>
      </c>
      <c r="D223" s="16">
        <f>IF($A223="","",BDP($C223,"NAME"))</f>
        <v/>
      </c>
      <c r="E223" s="16">
        <f>IF($A223="","",BDP($C223,"GICS_SECTOR_NAME"))</f>
        <v/>
      </c>
      <c r="F223" s="32">
        <f>IF($A223="","",BDP($C223,"EQY_DVD_SH_12M"))</f>
        <v/>
      </c>
      <c r="G223" s="33">
        <f>IF($A223="","",BDP($C223,"EQY_DVD_YLD_12M"))</f>
        <v/>
      </c>
      <c r="H223" s="33">
        <f>IF($A223="","",BDP($C223,"EQY_DVD_YLD_IND"))</f>
        <v/>
      </c>
      <c r="I223" s="33">
        <f>IF($A223="","",BDP($C223,'Field Check'!$C$4))</f>
        <v/>
      </c>
      <c r="J223" s="106">
        <f>IFERROR(IF($B223="","",IF(ISNUMBER($F223),$B223*$F223*$D$3/$B$3,0)),"")</f>
        <v/>
      </c>
      <c r="K223" s="106">
        <f>IFERROR(IF($J223="","",$J223*IF(ISNUMBER($I223),$I223,'Index Summary'!$C$7)/100),"")</f>
        <v/>
      </c>
      <c r="L223" s="106">
        <f>IFERROR(IF($K223="","",$J223-$K223),"")</f>
        <v/>
      </c>
      <c r="M223" s="34" t="n"/>
      <c r="N223" s="35">
        <f>IF($C223="","",IF(NOT(ISNUMBER($F223)),"No dividend",IF($F223=0,"No dividend",IF(ISNUMBER($I223),"OK","Frank assumed"))))</f>
        <v/>
      </c>
      <c r="P223" s="57">
        <f>IF($N223="No dividend","",IF($C223="","",BDP($C223,'Field Check'!$C$43)))</f>
        <v/>
      </c>
      <c r="Q223" s="105">
        <f>IFERROR(IF(LEN($P223)&lt;&gt;3,1,IF($P223=$D$2,1,BDP($P223&amp;$D$2&amp;" Curncy","PX_LAST"))),1)</f>
        <v/>
      </c>
    </row>
    <row r="224">
      <c r="A224" s="27" t="n"/>
      <c r="B224" s="76" t="n"/>
      <c r="C224" s="27">
        <f>IF($A224="","",$A224&amp;" Equity")</f>
        <v/>
      </c>
      <c r="D224" s="27">
        <f>IF($A224="","",BDP($C224,"NAME"))</f>
        <v/>
      </c>
      <c r="E224" s="27">
        <f>IF($A224="","",BDP($C224,"GICS_SECTOR_NAME"))</f>
        <v/>
      </c>
      <c r="F224" s="28">
        <f>IF($A224="","",BDP($C224,"EQY_DVD_SH_12M"))</f>
        <v/>
      </c>
      <c r="G224" s="29">
        <f>IF($A224="","",BDP($C224,"EQY_DVD_YLD_12M"))</f>
        <v/>
      </c>
      <c r="H224" s="29">
        <f>IF($A224="","",BDP($C224,"EQY_DVD_YLD_IND"))</f>
        <v/>
      </c>
      <c r="I224" s="29">
        <f>IF($A224="","",BDP($C224,'Field Check'!$C$4))</f>
        <v/>
      </c>
      <c r="J224" s="106">
        <f>IFERROR(IF($B224="","",IF(ISNUMBER($F224),$B224*$F224*$D$3/$B$3,0)),"")</f>
        <v/>
      </c>
      <c r="K224" s="106">
        <f>IFERROR(IF($J224="","",$J224*IF(ISNUMBER($I224),$I224,'Index Summary'!$C$7)/100),"")</f>
        <v/>
      </c>
      <c r="L224" s="106">
        <f>IFERROR(IF($K224="","",$J224-$K224),"")</f>
        <v/>
      </c>
      <c r="M224" s="30" t="n"/>
      <c r="N224" s="31">
        <f>IF($C224="","",IF(NOT(ISNUMBER($F224)),"No dividend",IF($F224=0,"No dividend",IF(ISNUMBER($I224),"OK","Frank assumed"))))</f>
        <v/>
      </c>
      <c r="P224" s="57">
        <f>IF($N224="No dividend","",IF($C224="","",BDP($C224,'Field Check'!$C$43)))</f>
        <v/>
      </c>
      <c r="Q224" s="105">
        <f>IFERROR(IF(LEN($P224)&lt;&gt;3,1,IF($P224=$D$2,1,BDP($P224&amp;$D$2&amp;" Curncy","PX_LAST"))),1)</f>
        <v/>
      </c>
    </row>
    <row r="225">
      <c r="A225" s="16" t="n"/>
      <c r="B225" s="76" t="n"/>
      <c r="C225" s="16">
        <f>IF($A225="","",$A225&amp;" Equity")</f>
        <v/>
      </c>
      <c r="D225" s="16">
        <f>IF($A225="","",BDP($C225,"NAME"))</f>
        <v/>
      </c>
      <c r="E225" s="16">
        <f>IF($A225="","",BDP($C225,"GICS_SECTOR_NAME"))</f>
        <v/>
      </c>
      <c r="F225" s="32">
        <f>IF($A225="","",BDP($C225,"EQY_DVD_SH_12M"))</f>
        <v/>
      </c>
      <c r="G225" s="33">
        <f>IF($A225="","",BDP($C225,"EQY_DVD_YLD_12M"))</f>
        <v/>
      </c>
      <c r="H225" s="33">
        <f>IF($A225="","",BDP($C225,"EQY_DVD_YLD_IND"))</f>
        <v/>
      </c>
      <c r="I225" s="33">
        <f>IF($A225="","",BDP($C225,'Field Check'!$C$4))</f>
        <v/>
      </c>
      <c r="J225" s="106">
        <f>IFERROR(IF($B225="","",IF(ISNUMBER($F225),$B225*$F225*$D$3/$B$3,0)),"")</f>
        <v/>
      </c>
      <c r="K225" s="106">
        <f>IFERROR(IF($J225="","",$J225*IF(ISNUMBER($I225),$I225,'Index Summary'!$C$7)/100),"")</f>
        <v/>
      </c>
      <c r="L225" s="106">
        <f>IFERROR(IF($K225="","",$J225-$K225),"")</f>
        <v/>
      </c>
      <c r="M225" s="34" t="n"/>
      <c r="N225" s="35">
        <f>IF($C225="","",IF(NOT(ISNUMBER($F225)),"No dividend",IF($F225=0,"No dividend",IF(ISNUMBER($I225),"OK","Frank assumed"))))</f>
        <v/>
      </c>
      <c r="P225" s="57">
        <f>IF($N225="No dividend","",IF($C225="","",BDP($C225,'Field Check'!$C$43)))</f>
        <v/>
      </c>
      <c r="Q225" s="105">
        <f>IFERROR(IF(LEN($P225)&lt;&gt;3,1,IF($P225=$D$2,1,BDP($P225&amp;$D$2&amp;" Curncy","PX_LAST"))),1)</f>
        <v/>
      </c>
    </row>
    <row r="226">
      <c r="A226" s="27" t="n"/>
      <c r="B226" s="76" t="n"/>
      <c r="C226" s="27">
        <f>IF($A226="","",$A226&amp;" Equity")</f>
        <v/>
      </c>
      <c r="D226" s="27">
        <f>IF($A226="","",BDP($C226,"NAME"))</f>
        <v/>
      </c>
      <c r="E226" s="27">
        <f>IF($A226="","",BDP($C226,"GICS_SECTOR_NAME"))</f>
        <v/>
      </c>
      <c r="F226" s="28">
        <f>IF($A226="","",BDP($C226,"EQY_DVD_SH_12M"))</f>
        <v/>
      </c>
      <c r="G226" s="29">
        <f>IF($A226="","",BDP($C226,"EQY_DVD_YLD_12M"))</f>
        <v/>
      </c>
      <c r="H226" s="29">
        <f>IF($A226="","",BDP($C226,"EQY_DVD_YLD_IND"))</f>
        <v/>
      </c>
      <c r="I226" s="29">
        <f>IF($A226="","",BDP($C226,'Field Check'!$C$4))</f>
        <v/>
      </c>
      <c r="J226" s="106">
        <f>IFERROR(IF($B226="","",IF(ISNUMBER($F226),$B226*$F226*$D$3/$B$3,0)),"")</f>
        <v/>
      </c>
      <c r="K226" s="106">
        <f>IFERROR(IF($J226="","",$J226*IF(ISNUMBER($I226),$I226,'Index Summary'!$C$7)/100),"")</f>
        <v/>
      </c>
      <c r="L226" s="106">
        <f>IFERROR(IF($K226="","",$J226-$K226),"")</f>
        <v/>
      </c>
      <c r="M226" s="30" t="n"/>
      <c r="N226" s="31">
        <f>IF($C226="","",IF(NOT(ISNUMBER($F226)),"No dividend",IF($F226=0,"No dividend",IF(ISNUMBER($I226),"OK","Frank assumed"))))</f>
        <v/>
      </c>
      <c r="P226" s="57">
        <f>IF($N226="No dividend","",IF($C226="","",BDP($C226,'Field Check'!$C$43)))</f>
        <v/>
      </c>
      <c r="Q226" s="105">
        <f>IFERROR(IF(LEN($P226)&lt;&gt;3,1,IF($P226=$D$2,1,BDP($P226&amp;$D$2&amp;" Curncy","PX_LAST"))),1)</f>
        <v/>
      </c>
    </row>
    <row r="227">
      <c r="A227" s="16" t="n"/>
      <c r="B227" s="76" t="n"/>
      <c r="C227" s="16">
        <f>IF($A227="","",$A227&amp;" Equity")</f>
        <v/>
      </c>
      <c r="D227" s="16">
        <f>IF($A227="","",BDP($C227,"NAME"))</f>
        <v/>
      </c>
      <c r="E227" s="16">
        <f>IF($A227="","",BDP($C227,"GICS_SECTOR_NAME"))</f>
        <v/>
      </c>
      <c r="F227" s="32">
        <f>IF($A227="","",BDP($C227,"EQY_DVD_SH_12M"))</f>
        <v/>
      </c>
      <c r="G227" s="33">
        <f>IF($A227="","",BDP($C227,"EQY_DVD_YLD_12M"))</f>
        <v/>
      </c>
      <c r="H227" s="33">
        <f>IF($A227="","",BDP($C227,"EQY_DVD_YLD_IND"))</f>
        <v/>
      </c>
      <c r="I227" s="33">
        <f>IF($A227="","",BDP($C227,'Field Check'!$C$4))</f>
        <v/>
      </c>
      <c r="J227" s="106">
        <f>IFERROR(IF($B227="","",IF(ISNUMBER($F227),$B227*$F227*$D$3/$B$3,0)),"")</f>
        <v/>
      </c>
      <c r="K227" s="106">
        <f>IFERROR(IF($J227="","",$J227*IF(ISNUMBER($I227),$I227,'Index Summary'!$C$7)/100),"")</f>
        <v/>
      </c>
      <c r="L227" s="106">
        <f>IFERROR(IF($K227="","",$J227-$K227),"")</f>
        <v/>
      </c>
      <c r="M227" s="34" t="n"/>
      <c r="N227" s="35">
        <f>IF($C227="","",IF(NOT(ISNUMBER($F227)),"No dividend",IF($F227=0,"No dividend",IF(ISNUMBER($I227),"OK","Frank assumed"))))</f>
        <v/>
      </c>
      <c r="P227" s="57">
        <f>IF($N227="No dividend","",IF($C227="","",BDP($C227,'Field Check'!$C$43)))</f>
        <v/>
      </c>
      <c r="Q227" s="105">
        <f>IFERROR(IF(LEN($P227)&lt;&gt;3,1,IF($P227=$D$2,1,BDP($P227&amp;$D$2&amp;" Curncy","PX_LAST"))),1)</f>
        <v/>
      </c>
    </row>
    <row r="228">
      <c r="A228" s="27" t="n"/>
      <c r="B228" s="76" t="n"/>
      <c r="C228" s="27">
        <f>IF($A228="","",$A228&amp;" Equity")</f>
        <v/>
      </c>
      <c r="D228" s="27">
        <f>IF($A228="","",BDP($C228,"NAME"))</f>
        <v/>
      </c>
      <c r="E228" s="27">
        <f>IF($A228="","",BDP($C228,"GICS_SECTOR_NAME"))</f>
        <v/>
      </c>
      <c r="F228" s="28">
        <f>IF($A228="","",BDP($C228,"EQY_DVD_SH_12M"))</f>
        <v/>
      </c>
      <c r="G228" s="29">
        <f>IF($A228="","",BDP($C228,"EQY_DVD_YLD_12M"))</f>
        <v/>
      </c>
      <c r="H228" s="29">
        <f>IF($A228="","",BDP($C228,"EQY_DVD_YLD_IND"))</f>
        <v/>
      </c>
      <c r="I228" s="29">
        <f>IF($A228="","",BDP($C228,'Field Check'!$C$4))</f>
        <v/>
      </c>
      <c r="J228" s="106">
        <f>IFERROR(IF($B228="","",IF(ISNUMBER($F228),$B228*$F228*$D$3/$B$3,0)),"")</f>
        <v/>
      </c>
      <c r="K228" s="106">
        <f>IFERROR(IF($J228="","",$J228*IF(ISNUMBER($I228),$I228,'Index Summary'!$C$7)/100),"")</f>
        <v/>
      </c>
      <c r="L228" s="106">
        <f>IFERROR(IF($K228="","",$J228-$K228),"")</f>
        <v/>
      </c>
      <c r="M228" s="30" t="n"/>
      <c r="N228" s="31">
        <f>IF($C228="","",IF(NOT(ISNUMBER($F228)),"No dividend",IF($F228=0,"No dividend",IF(ISNUMBER($I228),"OK","Frank assumed"))))</f>
        <v/>
      </c>
      <c r="P228" s="57">
        <f>IF($N228="No dividend","",IF($C228="","",BDP($C228,'Field Check'!$C$43)))</f>
        <v/>
      </c>
      <c r="Q228" s="105">
        <f>IFERROR(IF(LEN($P228)&lt;&gt;3,1,IF($P228=$D$2,1,BDP($P228&amp;$D$2&amp;" Curncy","PX_LAST"))),1)</f>
        <v/>
      </c>
    </row>
    <row r="229">
      <c r="A229" s="16" t="n"/>
      <c r="B229" s="76" t="n"/>
      <c r="C229" s="16">
        <f>IF($A229="","",$A229&amp;" Equity")</f>
        <v/>
      </c>
      <c r="D229" s="16">
        <f>IF($A229="","",BDP($C229,"NAME"))</f>
        <v/>
      </c>
      <c r="E229" s="16">
        <f>IF($A229="","",BDP($C229,"GICS_SECTOR_NAME"))</f>
        <v/>
      </c>
      <c r="F229" s="32">
        <f>IF($A229="","",BDP($C229,"EQY_DVD_SH_12M"))</f>
        <v/>
      </c>
      <c r="G229" s="33">
        <f>IF($A229="","",BDP($C229,"EQY_DVD_YLD_12M"))</f>
        <v/>
      </c>
      <c r="H229" s="33">
        <f>IF($A229="","",BDP($C229,"EQY_DVD_YLD_IND"))</f>
        <v/>
      </c>
      <c r="I229" s="33">
        <f>IF($A229="","",BDP($C229,'Field Check'!$C$4))</f>
        <v/>
      </c>
      <c r="J229" s="106">
        <f>IFERROR(IF($B229="","",IF(ISNUMBER($F229),$B229*$F229*$D$3/$B$3,0)),"")</f>
        <v/>
      </c>
      <c r="K229" s="106">
        <f>IFERROR(IF($J229="","",$J229*IF(ISNUMBER($I229),$I229,'Index Summary'!$C$7)/100),"")</f>
        <v/>
      </c>
      <c r="L229" s="106">
        <f>IFERROR(IF($K229="","",$J229-$K229),"")</f>
        <v/>
      </c>
      <c r="M229" s="34" t="n"/>
      <c r="N229" s="35">
        <f>IF($C229="","",IF(NOT(ISNUMBER($F229)),"No dividend",IF($F229=0,"No dividend",IF(ISNUMBER($I229),"OK","Frank assumed"))))</f>
        <v/>
      </c>
      <c r="P229" s="57">
        <f>IF($N229="No dividend","",IF($C229="","",BDP($C229,'Field Check'!$C$43)))</f>
        <v/>
      </c>
      <c r="Q229" s="105">
        <f>IFERROR(IF(LEN($P229)&lt;&gt;3,1,IF($P229=$D$2,1,BDP($P229&amp;$D$2&amp;" Curncy","PX_LAST"))),1)</f>
        <v/>
      </c>
    </row>
    <row r="230">
      <c r="A230" s="27" t="n"/>
      <c r="B230" s="76" t="n"/>
      <c r="C230" s="27">
        <f>IF($A230="","",$A230&amp;" Equity")</f>
        <v/>
      </c>
      <c r="D230" s="27">
        <f>IF($A230="","",BDP($C230,"NAME"))</f>
        <v/>
      </c>
      <c r="E230" s="27">
        <f>IF($A230="","",BDP($C230,"GICS_SECTOR_NAME"))</f>
        <v/>
      </c>
      <c r="F230" s="28">
        <f>IF($A230="","",BDP($C230,"EQY_DVD_SH_12M"))</f>
        <v/>
      </c>
      <c r="G230" s="29">
        <f>IF($A230="","",BDP($C230,"EQY_DVD_YLD_12M"))</f>
        <v/>
      </c>
      <c r="H230" s="29">
        <f>IF($A230="","",BDP($C230,"EQY_DVD_YLD_IND"))</f>
        <v/>
      </c>
      <c r="I230" s="29">
        <f>IF($A230="","",BDP($C230,'Field Check'!$C$4))</f>
        <v/>
      </c>
      <c r="J230" s="106">
        <f>IFERROR(IF($B230="","",IF(ISNUMBER($F230),$B230*$F230*$D$3/$B$3,0)),"")</f>
        <v/>
      </c>
      <c r="K230" s="106">
        <f>IFERROR(IF($J230="","",$J230*IF(ISNUMBER($I230),$I230,'Index Summary'!$C$7)/100),"")</f>
        <v/>
      </c>
      <c r="L230" s="106">
        <f>IFERROR(IF($K230="","",$J230-$K230),"")</f>
        <v/>
      </c>
      <c r="M230" s="30" t="n"/>
      <c r="N230" s="31">
        <f>IF($C230="","",IF(NOT(ISNUMBER($F230)),"No dividend",IF($F230=0,"No dividend",IF(ISNUMBER($I230),"OK","Frank assumed"))))</f>
        <v/>
      </c>
      <c r="P230" s="57">
        <f>IF($N230="No dividend","",IF($C230="","",BDP($C230,'Field Check'!$C$43)))</f>
        <v/>
      </c>
      <c r="Q230" s="105">
        <f>IFERROR(IF(LEN($P230)&lt;&gt;3,1,IF($P230=$D$2,1,BDP($P230&amp;$D$2&amp;" Curncy","PX_LAST"))),1)</f>
        <v/>
      </c>
    </row>
    <row r="231">
      <c r="A231" s="16" t="n"/>
      <c r="B231" s="76" t="n"/>
      <c r="C231" s="16">
        <f>IF($A231="","",$A231&amp;" Equity")</f>
        <v/>
      </c>
      <c r="D231" s="16">
        <f>IF($A231="","",BDP($C231,"NAME"))</f>
        <v/>
      </c>
      <c r="E231" s="16">
        <f>IF($A231="","",BDP($C231,"GICS_SECTOR_NAME"))</f>
        <v/>
      </c>
      <c r="F231" s="32">
        <f>IF($A231="","",BDP($C231,"EQY_DVD_SH_12M"))</f>
        <v/>
      </c>
      <c r="G231" s="33">
        <f>IF($A231="","",BDP($C231,"EQY_DVD_YLD_12M"))</f>
        <v/>
      </c>
      <c r="H231" s="33">
        <f>IF($A231="","",BDP($C231,"EQY_DVD_YLD_IND"))</f>
        <v/>
      </c>
      <c r="I231" s="33">
        <f>IF($A231="","",BDP($C231,'Field Check'!$C$4))</f>
        <v/>
      </c>
      <c r="J231" s="106">
        <f>IFERROR(IF($B231="","",IF(ISNUMBER($F231),$B231*$F231*$D$3/$B$3,0)),"")</f>
        <v/>
      </c>
      <c r="K231" s="106">
        <f>IFERROR(IF($J231="","",$J231*IF(ISNUMBER($I231),$I231,'Index Summary'!$C$7)/100),"")</f>
        <v/>
      </c>
      <c r="L231" s="106">
        <f>IFERROR(IF($K231="","",$J231-$K231),"")</f>
        <v/>
      </c>
      <c r="M231" s="34" t="n"/>
      <c r="N231" s="35">
        <f>IF($C231="","",IF(NOT(ISNUMBER($F231)),"No dividend",IF($F231=0,"No dividend",IF(ISNUMBER($I231),"OK","Frank assumed"))))</f>
        <v/>
      </c>
      <c r="P231" s="57">
        <f>IF($N231="No dividend","",IF($C231="","",BDP($C231,'Field Check'!$C$43)))</f>
        <v/>
      </c>
      <c r="Q231" s="105">
        <f>IFERROR(IF(LEN($P231)&lt;&gt;3,1,IF($P231=$D$2,1,BDP($P231&amp;$D$2&amp;" Curncy","PX_LAST"))),1)</f>
        <v/>
      </c>
    </row>
    <row r="232">
      <c r="A232" s="27" t="n"/>
      <c r="B232" s="76" t="n"/>
      <c r="C232" s="27">
        <f>IF($A232="","",$A232&amp;" Equity")</f>
        <v/>
      </c>
      <c r="D232" s="27">
        <f>IF($A232="","",BDP($C232,"NAME"))</f>
        <v/>
      </c>
      <c r="E232" s="27">
        <f>IF($A232="","",BDP($C232,"GICS_SECTOR_NAME"))</f>
        <v/>
      </c>
      <c r="F232" s="28">
        <f>IF($A232="","",BDP($C232,"EQY_DVD_SH_12M"))</f>
        <v/>
      </c>
      <c r="G232" s="29">
        <f>IF($A232="","",BDP($C232,"EQY_DVD_YLD_12M"))</f>
        <v/>
      </c>
      <c r="H232" s="29">
        <f>IF($A232="","",BDP($C232,"EQY_DVD_YLD_IND"))</f>
        <v/>
      </c>
      <c r="I232" s="29">
        <f>IF($A232="","",BDP($C232,'Field Check'!$C$4))</f>
        <v/>
      </c>
      <c r="J232" s="106">
        <f>IFERROR(IF($B232="","",IF(ISNUMBER($F232),$B232*$F232*$D$3/$B$3,0)),"")</f>
        <v/>
      </c>
      <c r="K232" s="106">
        <f>IFERROR(IF($J232="","",$J232*IF(ISNUMBER($I232),$I232,'Index Summary'!$C$7)/100),"")</f>
        <v/>
      </c>
      <c r="L232" s="106">
        <f>IFERROR(IF($K232="","",$J232-$K232),"")</f>
        <v/>
      </c>
      <c r="M232" s="30" t="n"/>
      <c r="N232" s="31">
        <f>IF($C232="","",IF(NOT(ISNUMBER($F232)),"No dividend",IF($F232=0,"No dividend",IF(ISNUMBER($I232),"OK","Frank assumed"))))</f>
        <v/>
      </c>
      <c r="P232" s="57">
        <f>IF($N232="No dividend","",IF($C232="","",BDP($C232,'Field Check'!$C$43)))</f>
        <v/>
      </c>
      <c r="Q232" s="105">
        <f>IFERROR(IF(LEN($P232)&lt;&gt;3,1,IF($P232=$D$2,1,BDP($P232&amp;$D$2&amp;" Curncy","PX_LAST"))),1)</f>
        <v/>
      </c>
    </row>
    <row r="233">
      <c r="A233" s="16" t="n"/>
      <c r="B233" s="76" t="n"/>
      <c r="C233" s="16">
        <f>IF($A233="","",$A233&amp;" Equity")</f>
        <v/>
      </c>
      <c r="D233" s="16">
        <f>IF($A233="","",BDP($C233,"NAME"))</f>
        <v/>
      </c>
      <c r="E233" s="16">
        <f>IF($A233="","",BDP($C233,"GICS_SECTOR_NAME"))</f>
        <v/>
      </c>
      <c r="F233" s="32">
        <f>IF($A233="","",BDP($C233,"EQY_DVD_SH_12M"))</f>
        <v/>
      </c>
      <c r="G233" s="33">
        <f>IF($A233="","",BDP($C233,"EQY_DVD_YLD_12M"))</f>
        <v/>
      </c>
      <c r="H233" s="33">
        <f>IF($A233="","",BDP($C233,"EQY_DVD_YLD_IND"))</f>
        <v/>
      </c>
      <c r="I233" s="33">
        <f>IF($A233="","",BDP($C233,'Field Check'!$C$4))</f>
        <v/>
      </c>
      <c r="J233" s="106">
        <f>IFERROR(IF($B233="","",IF(ISNUMBER($F233),$B233*$F233*$D$3/$B$3,0)),"")</f>
        <v/>
      </c>
      <c r="K233" s="106">
        <f>IFERROR(IF($J233="","",$J233*IF(ISNUMBER($I233),$I233,'Index Summary'!$C$7)/100),"")</f>
        <v/>
      </c>
      <c r="L233" s="106">
        <f>IFERROR(IF($K233="","",$J233-$K233),"")</f>
        <v/>
      </c>
      <c r="M233" s="34" t="n"/>
      <c r="N233" s="35">
        <f>IF($C233="","",IF(NOT(ISNUMBER($F233)),"No dividend",IF($F233=0,"No dividend",IF(ISNUMBER($I233),"OK","Frank assumed"))))</f>
        <v/>
      </c>
      <c r="P233" s="57">
        <f>IF($N233="No dividend","",IF($C233="","",BDP($C233,'Field Check'!$C$43)))</f>
        <v/>
      </c>
      <c r="Q233" s="105">
        <f>IFERROR(IF(LEN($P233)&lt;&gt;3,1,IF($P233=$D$2,1,BDP($P233&amp;$D$2&amp;" Curncy","PX_LAST"))),1)</f>
        <v/>
      </c>
    </row>
    <row r="234">
      <c r="A234" s="27" t="n"/>
      <c r="B234" s="76" t="n"/>
      <c r="C234" s="27">
        <f>IF($A234="","",$A234&amp;" Equity")</f>
        <v/>
      </c>
      <c r="D234" s="27">
        <f>IF($A234="","",BDP($C234,"NAME"))</f>
        <v/>
      </c>
      <c r="E234" s="27">
        <f>IF($A234="","",BDP($C234,"GICS_SECTOR_NAME"))</f>
        <v/>
      </c>
      <c r="F234" s="28">
        <f>IF($A234="","",BDP($C234,"EQY_DVD_SH_12M"))</f>
        <v/>
      </c>
      <c r="G234" s="29">
        <f>IF($A234="","",BDP($C234,"EQY_DVD_YLD_12M"))</f>
        <v/>
      </c>
      <c r="H234" s="29">
        <f>IF($A234="","",BDP($C234,"EQY_DVD_YLD_IND"))</f>
        <v/>
      </c>
      <c r="I234" s="29">
        <f>IF($A234="","",BDP($C234,'Field Check'!$C$4))</f>
        <v/>
      </c>
      <c r="J234" s="106">
        <f>IFERROR(IF($B234="","",IF(ISNUMBER($F234),$B234*$F234*$D$3/$B$3,0)),"")</f>
        <v/>
      </c>
      <c r="K234" s="106">
        <f>IFERROR(IF($J234="","",$J234*IF(ISNUMBER($I234),$I234,'Index Summary'!$C$7)/100),"")</f>
        <v/>
      </c>
      <c r="L234" s="106">
        <f>IFERROR(IF($K234="","",$J234-$K234),"")</f>
        <v/>
      </c>
      <c r="M234" s="30" t="n"/>
      <c r="N234" s="31">
        <f>IF($C234="","",IF(NOT(ISNUMBER($F234)),"No dividend",IF($F234=0,"No dividend",IF(ISNUMBER($I234),"OK","Frank assumed"))))</f>
        <v/>
      </c>
      <c r="P234" s="57">
        <f>IF($N234="No dividend","",IF($C234="","",BDP($C234,'Field Check'!$C$43)))</f>
        <v/>
      </c>
      <c r="Q234" s="105">
        <f>IFERROR(IF(LEN($P234)&lt;&gt;3,1,IF($P234=$D$2,1,BDP($P234&amp;$D$2&amp;" Curncy","PX_LAST"))),1)</f>
        <v/>
      </c>
    </row>
    <row r="235">
      <c r="A235" s="16" t="n"/>
      <c r="B235" s="76" t="n"/>
      <c r="C235" s="16">
        <f>IF($A235="","",$A235&amp;" Equity")</f>
        <v/>
      </c>
      <c r="D235" s="16">
        <f>IF($A235="","",BDP($C235,"NAME"))</f>
        <v/>
      </c>
      <c r="E235" s="16">
        <f>IF($A235="","",BDP($C235,"GICS_SECTOR_NAME"))</f>
        <v/>
      </c>
      <c r="F235" s="32">
        <f>IF($A235="","",BDP($C235,"EQY_DVD_SH_12M"))</f>
        <v/>
      </c>
      <c r="G235" s="33">
        <f>IF($A235="","",BDP($C235,"EQY_DVD_YLD_12M"))</f>
        <v/>
      </c>
      <c r="H235" s="33">
        <f>IF($A235="","",BDP($C235,"EQY_DVD_YLD_IND"))</f>
        <v/>
      </c>
      <c r="I235" s="33">
        <f>IF($A235="","",BDP($C235,'Field Check'!$C$4))</f>
        <v/>
      </c>
      <c r="J235" s="106">
        <f>IFERROR(IF($B235="","",IF(ISNUMBER($F235),$B235*$F235*$D$3/$B$3,0)),"")</f>
        <v/>
      </c>
      <c r="K235" s="106">
        <f>IFERROR(IF($J235="","",$J235*IF(ISNUMBER($I235),$I235,'Index Summary'!$C$7)/100),"")</f>
        <v/>
      </c>
      <c r="L235" s="106">
        <f>IFERROR(IF($K235="","",$J235-$K235),"")</f>
        <v/>
      </c>
      <c r="M235" s="34" t="n"/>
      <c r="N235" s="35">
        <f>IF($C235="","",IF(NOT(ISNUMBER($F235)),"No dividend",IF($F235=0,"No dividend",IF(ISNUMBER($I235),"OK","Frank assumed"))))</f>
        <v/>
      </c>
      <c r="P235" s="57">
        <f>IF($N235="No dividend","",IF($C235="","",BDP($C235,'Field Check'!$C$43)))</f>
        <v/>
      </c>
      <c r="Q235" s="105">
        <f>IFERROR(IF(LEN($P235)&lt;&gt;3,1,IF($P235=$D$2,1,BDP($P235&amp;$D$2&amp;" Curncy","PX_LAST"))),1)</f>
        <v/>
      </c>
    </row>
    <row r="236">
      <c r="A236" s="27" t="n"/>
      <c r="B236" s="76" t="n"/>
      <c r="C236" s="27">
        <f>IF($A236="","",$A236&amp;" Equity")</f>
        <v/>
      </c>
      <c r="D236" s="27">
        <f>IF($A236="","",BDP($C236,"NAME"))</f>
        <v/>
      </c>
      <c r="E236" s="27">
        <f>IF($A236="","",BDP($C236,"GICS_SECTOR_NAME"))</f>
        <v/>
      </c>
      <c r="F236" s="28">
        <f>IF($A236="","",BDP($C236,"EQY_DVD_SH_12M"))</f>
        <v/>
      </c>
      <c r="G236" s="29">
        <f>IF($A236="","",BDP($C236,"EQY_DVD_YLD_12M"))</f>
        <v/>
      </c>
      <c r="H236" s="29">
        <f>IF($A236="","",BDP($C236,"EQY_DVD_YLD_IND"))</f>
        <v/>
      </c>
      <c r="I236" s="29">
        <f>IF($A236="","",BDP($C236,'Field Check'!$C$4))</f>
        <v/>
      </c>
      <c r="J236" s="106">
        <f>IFERROR(IF($B236="","",IF(ISNUMBER($F236),$B236*$F236*$D$3/$B$3,0)),"")</f>
        <v/>
      </c>
      <c r="K236" s="106">
        <f>IFERROR(IF($J236="","",$J236*IF(ISNUMBER($I236),$I236,'Index Summary'!$C$7)/100),"")</f>
        <v/>
      </c>
      <c r="L236" s="106">
        <f>IFERROR(IF($K236="","",$J236-$K236),"")</f>
        <v/>
      </c>
      <c r="M236" s="30" t="n"/>
      <c r="N236" s="31">
        <f>IF($C236="","",IF(NOT(ISNUMBER($F236)),"No dividend",IF($F236=0,"No dividend",IF(ISNUMBER($I236),"OK","Frank assumed"))))</f>
        <v/>
      </c>
      <c r="P236" s="57">
        <f>IF($N236="No dividend","",IF($C236="","",BDP($C236,'Field Check'!$C$43)))</f>
        <v/>
      </c>
      <c r="Q236" s="105">
        <f>IFERROR(IF(LEN($P236)&lt;&gt;3,1,IF($P236=$D$2,1,BDP($P236&amp;$D$2&amp;" Curncy","PX_LAST"))),1)</f>
        <v/>
      </c>
    </row>
    <row r="237">
      <c r="A237" s="16" t="n"/>
      <c r="B237" s="76" t="n"/>
      <c r="C237" s="16">
        <f>IF($A237="","",$A237&amp;" Equity")</f>
        <v/>
      </c>
      <c r="D237" s="16">
        <f>IF($A237="","",BDP($C237,"NAME"))</f>
        <v/>
      </c>
      <c r="E237" s="16">
        <f>IF($A237="","",BDP($C237,"GICS_SECTOR_NAME"))</f>
        <v/>
      </c>
      <c r="F237" s="32">
        <f>IF($A237="","",BDP($C237,"EQY_DVD_SH_12M"))</f>
        <v/>
      </c>
      <c r="G237" s="33">
        <f>IF($A237="","",BDP($C237,"EQY_DVD_YLD_12M"))</f>
        <v/>
      </c>
      <c r="H237" s="33">
        <f>IF($A237="","",BDP($C237,"EQY_DVD_YLD_IND"))</f>
        <v/>
      </c>
      <c r="I237" s="33">
        <f>IF($A237="","",BDP($C237,'Field Check'!$C$4))</f>
        <v/>
      </c>
      <c r="J237" s="106">
        <f>IFERROR(IF($B237="","",IF(ISNUMBER($F237),$B237*$F237*$D$3/$B$3,0)),"")</f>
        <v/>
      </c>
      <c r="K237" s="106">
        <f>IFERROR(IF($J237="","",$J237*IF(ISNUMBER($I237),$I237,'Index Summary'!$C$7)/100),"")</f>
        <v/>
      </c>
      <c r="L237" s="106">
        <f>IFERROR(IF($K237="","",$J237-$K237),"")</f>
        <v/>
      </c>
      <c r="M237" s="34" t="n"/>
      <c r="N237" s="35">
        <f>IF($C237="","",IF(NOT(ISNUMBER($F237)),"No dividend",IF($F237=0,"No dividend",IF(ISNUMBER($I237),"OK","Frank assumed"))))</f>
        <v/>
      </c>
      <c r="P237" s="57">
        <f>IF($N237="No dividend","",IF($C237="","",BDP($C237,'Field Check'!$C$43)))</f>
        <v/>
      </c>
      <c r="Q237" s="105">
        <f>IFERROR(IF(LEN($P237)&lt;&gt;3,1,IF($P237=$D$2,1,BDP($P237&amp;$D$2&amp;" Curncy","PX_LAST"))),1)</f>
        <v/>
      </c>
    </row>
    <row r="238">
      <c r="A238" s="27" t="n"/>
      <c r="B238" s="76" t="n"/>
      <c r="C238" s="27">
        <f>IF($A238="","",$A238&amp;" Equity")</f>
        <v/>
      </c>
      <c r="D238" s="27">
        <f>IF($A238="","",BDP($C238,"NAME"))</f>
        <v/>
      </c>
      <c r="E238" s="27">
        <f>IF($A238="","",BDP($C238,"GICS_SECTOR_NAME"))</f>
        <v/>
      </c>
      <c r="F238" s="28">
        <f>IF($A238="","",BDP($C238,"EQY_DVD_SH_12M"))</f>
        <v/>
      </c>
      <c r="G238" s="29">
        <f>IF($A238="","",BDP($C238,"EQY_DVD_YLD_12M"))</f>
        <v/>
      </c>
      <c r="H238" s="29">
        <f>IF($A238="","",BDP($C238,"EQY_DVD_YLD_IND"))</f>
        <v/>
      </c>
      <c r="I238" s="29">
        <f>IF($A238="","",BDP($C238,'Field Check'!$C$4))</f>
        <v/>
      </c>
      <c r="J238" s="106">
        <f>IFERROR(IF($B238="","",IF(ISNUMBER($F238),$B238*$F238*$D$3/$B$3,0)),"")</f>
        <v/>
      </c>
      <c r="K238" s="106">
        <f>IFERROR(IF($J238="","",$J238*IF(ISNUMBER($I238),$I238,'Index Summary'!$C$7)/100),"")</f>
        <v/>
      </c>
      <c r="L238" s="106">
        <f>IFERROR(IF($K238="","",$J238-$K238),"")</f>
        <v/>
      </c>
      <c r="M238" s="30" t="n"/>
      <c r="N238" s="31">
        <f>IF($C238="","",IF(NOT(ISNUMBER($F238)),"No dividend",IF($F238=0,"No dividend",IF(ISNUMBER($I238),"OK","Frank assumed"))))</f>
        <v/>
      </c>
      <c r="P238" s="57">
        <f>IF($N238="No dividend","",IF($C238="","",BDP($C238,'Field Check'!$C$43)))</f>
        <v/>
      </c>
      <c r="Q238" s="105">
        <f>IFERROR(IF(LEN($P238)&lt;&gt;3,1,IF($P238=$D$2,1,BDP($P238&amp;$D$2&amp;" Curncy","PX_LAST"))),1)</f>
        <v/>
      </c>
    </row>
    <row r="239">
      <c r="A239" s="16" t="n"/>
      <c r="B239" s="76" t="n"/>
      <c r="C239" s="16">
        <f>IF($A239="","",$A239&amp;" Equity")</f>
        <v/>
      </c>
      <c r="D239" s="16">
        <f>IF($A239="","",BDP($C239,"NAME"))</f>
        <v/>
      </c>
      <c r="E239" s="16">
        <f>IF($A239="","",BDP($C239,"GICS_SECTOR_NAME"))</f>
        <v/>
      </c>
      <c r="F239" s="32">
        <f>IF($A239="","",BDP($C239,"EQY_DVD_SH_12M"))</f>
        <v/>
      </c>
      <c r="G239" s="33">
        <f>IF($A239="","",BDP($C239,"EQY_DVD_YLD_12M"))</f>
        <v/>
      </c>
      <c r="H239" s="33">
        <f>IF($A239="","",BDP($C239,"EQY_DVD_YLD_IND"))</f>
        <v/>
      </c>
      <c r="I239" s="33">
        <f>IF($A239="","",BDP($C239,'Field Check'!$C$4))</f>
        <v/>
      </c>
      <c r="J239" s="106">
        <f>IFERROR(IF($B239="","",IF(ISNUMBER($F239),$B239*$F239*$D$3/$B$3,0)),"")</f>
        <v/>
      </c>
      <c r="K239" s="106">
        <f>IFERROR(IF($J239="","",$J239*IF(ISNUMBER($I239),$I239,'Index Summary'!$C$7)/100),"")</f>
        <v/>
      </c>
      <c r="L239" s="106">
        <f>IFERROR(IF($K239="","",$J239-$K239),"")</f>
        <v/>
      </c>
      <c r="M239" s="34" t="n"/>
      <c r="N239" s="35">
        <f>IF($C239="","",IF(NOT(ISNUMBER($F239)),"No dividend",IF($F239=0,"No dividend",IF(ISNUMBER($I239),"OK","Frank assumed"))))</f>
        <v/>
      </c>
      <c r="P239" s="57">
        <f>IF($N239="No dividend","",IF($C239="","",BDP($C239,'Field Check'!$C$43)))</f>
        <v/>
      </c>
      <c r="Q239" s="105">
        <f>IFERROR(IF(LEN($P239)&lt;&gt;3,1,IF($P239=$D$2,1,BDP($P239&amp;$D$2&amp;" Curncy","PX_LAST"))),1)</f>
        <v/>
      </c>
    </row>
    <row r="240">
      <c r="A240" s="27" t="n"/>
      <c r="B240" s="76" t="n"/>
      <c r="C240" s="27">
        <f>IF($A240="","",$A240&amp;" Equity")</f>
        <v/>
      </c>
      <c r="D240" s="27">
        <f>IF($A240="","",BDP($C240,"NAME"))</f>
        <v/>
      </c>
      <c r="E240" s="27">
        <f>IF($A240="","",BDP($C240,"GICS_SECTOR_NAME"))</f>
        <v/>
      </c>
      <c r="F240" s="28">
        <f>IF($A240="","",BDP($C240,"EQY_DVD_SH_12M"))</f>
        <v/>
      </c>
      <c r="G240" s="29">
        <f>IF($A240="","",BDP($C240,"EQY_DVD_YLD_12M"))</f>
        <v/>
      </c>
      <c r="H240" s="29">
        <f>IF($A240="","",BDP($C240,"EQY_DVD_YLD_IND"))</f>
        <v/>
      </c>
      <c r="I240" s="29">
        <f>IF($A240="","",BDP($C240,'Field Check'!$C$4))</f>
        <v/>
      </c>
      <c r="J240" s="106">
        <f>IFERROR(IF($B240="","",IF(ISNUMBER($F240),$B240*$F240*$D$3/$B$3,0)),"")</f>
        <v/>
      </c>
      <c r="K240" s="106">
        <f>IFERROR(IF($J240="","",$J240*IF(ISNUMBER($I240),$I240,'Index Summary'!$C$7)/100),"")</f>
        <v/>
      </c>
      <c r="L240" s="106">
        <f>IFERROR(IF($K240="","",$J240-$K240),"")</f>
        <v/>
      </c>
      <c r="M240" s="30" t="n"/>
      <c r="N240" s="31">
        <f>IF($C240="","",IF(NOT(ISNUMBER($F240)),"No dividend",IF($F240=0,"No dividend",IF(ISNUMBER($I240),"OK","Frank assumed"))))</f>
        <v/>
      </c>
      <c r="P240" s="57">
        <f>IF($N240="No dividend","",IF($C240="","",BDP($C240,'Field Check'!$C$43)))</f>
        <v/>
      </c>
      <c r="Q240" s="105">
        <f>IFERROR(IF(LEN($P240)&lt;&gt;3,1,IF($P240=$D$2,1,BDP($P240&amp;$D$2&amp;" Curncy","PX_LAST"))),1)</f>
        <v/>
      </c>
    </row>
    <row r="241">
      <c r="A241" s="16" t="n"/>
      <c r="B241" s="76" t="n"/>
      <c r="C241" s="16">
        <f>IF($A241="","",$A241&amp;" Equity")</f>
        <v/>
      </c>
      <c r="D241" s="16">
        <f>IF($A241="","",BDP($C241,"NAME"))</f>
        <v/>
      </c>
      <c r="E241" s="16">
        <f>IF($A241="","",BDP($C241,"GICS_SECTOR_NAME"))</f>
        <v/>
      </c>
      <c r="F241" s="32">
        <f>IF($A241="","",BDP($C241,"EQY_DVD_SH_12M"))</f>
        <v/>
      </c>
      <c r="G241" s="33">
        <f>IF($A241="","",BDP($C241,"EQY_DVD_YLD_12M"))</f>
        <v/>
      </c>
      <c r="H241" s="33">
        <f>IF($A241="","",BDP($C241,"EQY_DVD_YLD_IND"))</f>
        <v/>
      </c>
      <c r="I241" s="33">
        <f>IF($A241="","",BDP($C241,'Field Check'!$C$4))</f>
        <v/>
      </c>
      <c r="J241" s="106">
        <f>IFERROR(IF($B241="","",IF(ISNUMBER($F241),$B241*$F241*$D$3/$B$3,0)),"")</f>
        <v/>
      </c>
      <c r="K241" s="106">
        <f>IFERROR(IF($J241="","",$J241*IF(ISNUMBER($I241),$I241,'Index Summary'!$C$7)/100),"")</f>
        <v/>
      </c>
      <c r="L241" s="106">
        <f>IFERROR(IF($K241="","",$J241-$K241),"")</f>
        <v/>
      </c>
      <c r="M241" s="34" t="n"/>
      <c r="N241" s="35">
        <f>IF($C241="","",IF(NOT(ISNUMBER($F241)),"No dividend",IF($F241=0,"No dividend",IF(ISNUMBER($I241),"OK","Frank assumed"))))</f>
        <v/>
      </c>
      <c r="P241" s="57">
        <f>IF($N241="No dividend","",IF($C241="","",BDP($C241,'Field Check'!$C$43)))</f>
        <v/>
      </c>
      <c r="Q241" s="105">
        <f>IFERROR(IF(LEN($P241)&lt;&gt;3,1,IF($P241=$D$2,1,BDP($P241&amp;$D$2&amp;" Curncy","PX_LAST"))),1)</f>
        <v/>
      </c>
    </row>
    <row r="242">
      <c r="A242" s="27" t="n"/>
      <c r="B242" s="76" t="n"/>
      <c r="C242" s="27">
        <f>IF($A242="","",$A242&amp;" Equity")</f>
        <v/>
      </c>
      <c r="D242" s="27">
        <f>IF($A242="","",BDP($C242,"NAME"))</f>
        <v/>
      </c>
      <c r="E242" s="27">
        <f>IF($A242="","",BDP($C242,"GICS_SECTOR_NAME"))</f>
        <v/>
      </c>
      <c r="F242" s="28">
        <f>IF($A242="","",BDP($C242,"EQY_DVD_SH_12M"))</f>
        <v/>
      </c>
      <c r="G242" s="29">
        <f>IF($A242="","",BDP($C242,"EQY_DVD_YLD_12M"))</f>
        <v/>
      </c>
      <c r="H242" s="29">
        <f>IF($A242="","",BDP($C242,"EQY_DVD_YLD_IND"))</f>
        <v/>
      </c>
      <c r="I242" s="29">
        <f>IF($A242="","",BDP($C242,'Field Check'!$C$4))</f>
        <v/>
      </c>
      <c r="J242" s="106">
        <f>IFERROR(IF($B242="","",IF(ISNUMBER($F242),$B242*$F242*$D$3/$B$3,0)),"")</f>
        <v/>
      </c>
      <c r="K242" s="106">
        <f>IFERROR(IF($J242="","",$J242*IF(ISNUMBER($I242),$I242,'Index Summary'!$C$7)/100),"")</f>
        <v/>
      </c>
      <c r="L242" s="106">
        <f>IFERROR(IF($K242="","",$J242-$K242),"")</f>
        <v/>
      </c>
      <c r="M242" s="30" t="n"/>
      <c r="N242" s="31">
        <f>IF($C242="","",IF(NOT(ISNUMBER($F242)),"No dividend",IF($F242=0,"No dividend",IF(ISNUMBER($I242),"OK","Frank assumed"))))</f>
        <v/>
      </c>
      <c r="P242" s="57">
        <f>IF($N242="No dividend","",IF($C242="","",BDP($C242,'Field Check'!$C$43)))</f>
        <v/>
      </c>
      <c r="Q242" s="105">
        <f>IFERROR(IF(LEN($P242)&lt;&gt;3,1,IF($P242=$D$2,1,BDP($P242&amp;$D$2&amp;" Curncy","PX_LAST"))),1)</f>
        <v/>
      </c>
    </row>
    <row r="243">
      <c r="A243" s="16" t="n"/>
      <c r="B243" s="76" t="n"/>
      <c r="C243" s="16">
        <f>IF($A243="","",$A243&amp;" Equity")</f>
        <v/>
      </c>
      <c r="D243" s="16">
        <f>IF($A243="","",BDP($C243,"NAME"))</f>
        <v/>
      </c>
      <c r="E243" s="16">
        <f>IF($A243="","",BDP($C243,"GICS_SECTOR_NAME"))</f>
        <v/>
      </c>
      <c r="F243" s="32">
        <f>IF($A243="","",BDP($C243,"EQY_DVD_SH_12M"))</f>
        <v/>
      </c>
      <c r="G243" s="33">
        <f>IF($A243="","",BDP($C243,"EQY_DVD_YLD_12M"))</f>
        <v/>
      </c>
      <c r="H243" s="33">
        <f>IF($A243="","",BDP($C243,"EQY_DVD_YLD_IND"))</f>
        <v/>
      </c>
      <c r="I243" s="33">
        <f>IF($A243="","",BDP($C243,'Field Check'!$C$4))</f>
        <v/>
      </c>
      <c r="J243" s="106">
        <f>IFERROR(IF($B243="","",IF(ISNUMBER($F243),$B243*$F243*$D$3/$B$3,0)),"")</f>
        <v/>
      </c>
      <c r="K243" s="106">
        <f>IFERROR(IF($J243="","",$J243*IF(ISNUMBER($I243),$I243,'Index Summary'!$C$7)/100),"")</f>
        <v/>
      </c>
      <c r="L243" s="106">
        <f>IFERROR(IF($K243="","",$J243-$K243),"")</f>
        <v/>
      </c>
      <c r="M243" s="34" t="n"/>
      <c r="N243" s="35">
        <f>IF($C243="","",IF(NOT(ISNUMBER($F243)),"No dividend",IF($F243=0,"No dividend",IF(ISNUMBER($I243),"OK","Frank assumed"))))</f>
        <v/>
      </c>
      <c r="P243" s="57">
        <f>IF($N243="No dividend","",IF($C243="","",BDP($C243,'Field Check'!$C$43)))</f>
        <v/>
      </c>
      <c r="Q243" s="105">
        <f>IFERROR(IF(LEN($P243)&lt;&gt;3,1,IF($P243=$D$2,1,BDP($P243&amp;$D$2&amp;" Curncy","PX_LAST"))),1)</f>
        <v/>
      </c>
    </row>
    <row r="244">
      <c r="A244" s="27" t="n"/>
      <c r="B244" s="76" t="n"/>
      <c r="C244" s="27">
        <f>IF($A244="","",$A244&amp;" Equity")</f>
        <v/>
      </c>
      <c r="D244" s="27">
        <f>IF($A244="","",BDP($C244,"NAME"))</f>
        <v/>
      </c>
      <c r="E244" s="27">
        <f>IF($A244="","",BDP($C244,"GICS_SECTOR_NAME"))</f>
        <v/>
      </c>
      <c r="F244" s="28">
        <f>IF($A244="","",BDP($C244,"EQY_DVD_SH_12M"))</f>
        <v/>
      </c>
      <c r="G244" s="29">
        <f>IF($A244="","",BDP($C244,"EQY_DVD_YLD_12M"))</f>
        <v/>
      </c>
      <c r="H244" s="29">
        <f>IF($A244="","",BDP($C244,"EQY_DVD_YLD_IND"))</f>
        <v/>
      </c>
      <c r="I244" s="29">
        <f>IF($A244="","",BDP($C244,'Field Check'!$C$4))</f>
        <v/>
      </c>
      <c r="J244" s="106">
        <f>IFERROR(IF($B244="","",IF(ISNUMBER($F244),$B244*$F244*$D$3/$B$3,0)),"")</f>
        <v/>
      </c>
      <c r="K244" s="106">
        <f>IFERROR(IF($J244="","",$J244*IF(ISNUMBER($I244),$I244,'Index Summary'!$C$7)/100),"")</f>
        <v/>
      </c>
      <c r="L244" s="106">
        <f>IFERROR(IF($K244="","",$J244-$K244),"")</f>
        <v/>
      </c>
      <c r="M244" s="30" t="n"/>
      <c r="N244" s="31">
        <f>IF($C244="","",IF(NOT(ISNUMBER($F244)),"No dividend",IF($F244=0,"No dividend",IF(ISNUMBER($I244),"OK","Frank assumed"))))</f>
        <v/>
      </c>
      <c r="P244" s="57">
        <f>IF($N244="No dividend","",IF($C244="","",BDP($C244,'Field Check'!$C$43)))</f>
        <v/>
      </c>
      <c r="Q244" s="105">
        <f>IFERROR(IF(LEN($P244)&lt;&gt;3,1,IF($P244=$D$2,1,BDP($P244&amp;$D$2&amp;" Curncy","PX_LAST"))),1)</f>
        <v/>
      </c>
    </row>
    <row r="245">
      <c r="A245" s="16" t="n"/>
      <c r="B245" s="76" t="n"/>
      <c r="C245" s="16">
        <f>IF($A245="","",$A245&amp;" Equity")</f>
        <v/>
      </c>
      <c r="D245" s="16">
        <f>IF($A245="","",BDP($C245,"NAME"))</f>
        <v/>
      </c>
      <c r="E245" s="16">
        <f>IF($A245="","",BDP($C245,"GICS_SECTOR_NAME"))</f>
        <v/>
      </c>
      <c r="F245" s="32">
        <f>IF($A245="","",BDP($C245,"EQY_DVD_SH_12M"))</f>
        <v/>
      </c>
      <c r="G245" s="33">
        <f>IF($A245="","",BDP($C245,"EQY_DVD_YLD_12M"))</f>
        <v/>
      </c>
      <c r="H245" s="33">
        <f>IF($A245="","",BDP($C245,"EQY_DVD_YLD_IND"))</f>
        <v/>
      </c>
      <c r="I245" s="33">
        <f>IF($A245="","",BDP($C245,'Field Check'!$C$4))</f>
        <v/>
      </c>
      <c r="J245" s="106">
        <f>IFERROR(IF($B245="","",IF(ISNUMBER($F245),$B245*$F245*$D$3/$B$3,0)),"")</f>
        <v/>
      </c>
      <c r="K245" s="106">
        <f>IFERROR(IF($J245="","",$J245*IF(ISNUMBER($I245),$I245,'Index Summary'!$C$7)/100),"")</f>
        <v/>
      </c>
      <c r="L245" s="106">
        <f>IFERROR(IF($K245="","",$J245-$K245),"")</f>
        <v/>
      </c>
      <c r="M245" s="34" t="n"/>
      <c r="N245" s="35">
        <f>IF($C245="","",IF(NOT(ISNUMBER($F245)),"No dividend",IF($F245=0,"No dividend",IF(ISNUMBER($I245),"OK","Frank assumed"))))</f>
        <v/>
      </c>
      <c r="P245" s="57">
        <f>IF($N245="No dividend","",IF($C245="","",BDP($C245,'Field Check'!$C$43)))</f>
        <v/>
      </c>
      <c r="Q245" s="105">
        <f>IFERROR(IF(LEN($P245)&lt;&gt;3,1,IF($P245=$D$2,1,BDP($P245&amp;$D$2&amp;" Curncy","PX_LAST"))),1)</f>
        <v/>
      </c>
    </row>
    <row r="246">
      <c r="A246" s="27" t="n"/>
      <c r="B246" s="76" t="n"/>
      <c r="C246" s="27">
        <f>IF($A246="","",$A246&amp;" Equity")</f>
        <v/>
      </c>
      <c r="D246" s="27">
        <f>IF($A246="","",BDP($C246,"NAME"))</f>
        <v/>
      </c>
      <c r="E246" s="27">
        <f>IF($A246="","",BDP($C246,"GICS_SECTOR_NAME"))</f>
        <v/>
      </c>
      <c r="F246" s="28">
        <f>IF($A246="","",BDP($C246,"EQY_DVD_SH_12M"))</f>
        <v/>
      </c>
      <c r="G246" s="29">
        <f>IF($A246="","",BDP($C246,"EQY_DVD_YLD_12M"))</f>
        <v/>
      </c>
      <c r="H246" s="29">
        <f>IF($A246="","",BDP($C246,"EQY_DVD_YLD_IND"))</f>
        <v/>
      </c>
      <c r="I246" s="29">
        <f>IF($A246="","",BDP($C246,'Field Check'!$C$4))</f>
        <v/>
      </c>
      <c r="J246" s="106">
        <f>IFERROR(IF($B246="","",IF(ISNUMBER($F246),$B246*$F246*$D$3/$B$3,0)),"")</f>
        <v/>
      </c>
      <c r="K246" s="106">
        <f>IFERROR(IF($J246="","",$J246*IF(ISNUMBER($I246),$I246,'Index Summary'!$C$7)/100),"")</f>
        <v/>
      </c>
      <c r="L246" s="106">
        <f>IFERROR(IF($K246="","",$J246-$K246),"")</f>
        <v/>
      </c>
      <c r="M246" s="30" t="n"/>
      <c r="N246" s="31">
        <f>IF($C246="","",IF(NOT(ISNUMBER($F246)),"No dividend",IF($F246=0,"No dividend",IF(ISNUMBER($I246),"OK","Frank assumed"))))</f>
        <v/>
      </c>
      <c r="P246" s="57">
        <f>IF($N246="No dividend","",IF($C246="","",BDP($C246,'Field Check'!$C$43)))</f>
        <v/>
      </c>
      <c r="Q246" s="105">
        <f>IFERROR(IF(LEN($P246)&lt;&gt;3,1,IF($P246=$D$2,1,BDP($P246&amp;$D$2&amp;" Curncy","PX_LAST"))),1)</f>
        <v/>
      </c>
    </row>
    <row r="247">
      <c r="A247" s="16" t="n"/>
      <c r="B247" s="76" t="n"/>
      <c r="C247" s="16">
        <f>IF($A247="","",$A247&amp;" Equity")</f>
        <v/>
      </c>
      <c r="D247" s="16">
        <f>IF($A247="","",BDP($C247,"NAME"))</f>
        <v/>
      </c>
      <c r="E247" s="16">
        <f>IF($A247="","",BDP($C247,"GICS_SECTOR_NAME"))</f>
        <v/>
      </c>
      <c r="F247" s="32">
        <f>IF($A247="","",BDP($C247,"EQY_DVD_SH_12M"))</f>
        <v/>
      </c>
      <c r="G247" s="33">
        <f>IF($A247="","",BDP($C247,"EQY_DVD_YLD_12M"))</f>
        <v/>
      </c>
      <c r="H247" s="33">
        <f>IF($A247="","",BDP($C247,"EQY_DVD_YLD_IND"))</f>
        <v/>
      </c>
      <c r="I247" s="33">
        <f>IF($A247="","",BDP($C247,'Field Check'!$C$4))</f>
        <v/>
      </c>
      <c r="J247" s="106">
        <f>IFERROR(IF($B247="","",IF(ISNUMBER($F247),$B247*$F247*$D$3/$B$3,0)),"")</f>
        <v/>
      </c>
      <c r="K247" s="106">
        <f>IFERROR(IF($J247="","",$J247*IF(ISNUMBER($I247),$I247,'Index Summary'!$C$7)/100),"")</f>
        <v/>
      </c>
      <c r="L247" s="106">
        <f>IFERROR(IF($K247="","",$J247-$K247),"")</f>
        <v/>
      </c>
      <c r="M247" s="34" t="n"/>
      <c r="N247" s="35">
        <f>IF($C247="","",IF(NOT(ISNUMBER($F247)),"No dividend",IF($F247=0,"No dividend",IF(ISNUMBER($I247),"OK","Frank assumed"))))</f>
        <v/>
      </c>
      <c r="P247" s="57">
        <f>IF($N247="No dividend","",IF($C247="","",BDP($C247,'Field Check'!$C$43)))</f>
        <v/>
      </c>
      <c r="Q247" s="105">
        <f>IFERROR(IF(LEN($P247)&lt;&gt;3,1,IF($P247=$D$2,1,BDP($P247&amp;$D$2&amp;" Curncy","PX_LAST"))),1)</f>
        <v/>
      </c>
    </row>
    <row r="248">
      <c r="A248" s="27" t="n"/>
      <c r="B248" s="76" t="n"/>
      <c r="C248" s="27">
        <f>IF($A248="","",$A248&amp;" Equity")</f>
        <v/>
      </c>
      <c r="D248" s="27">
        <f>IF($A248="","",BDP($C248,"NAME"))</f>
        <v/>
      </c>
      <c r="E248" s="27">
        <f>IF($A248="","",BDP($C248,"GICS_SECTOR_NAME"))</f>
        <v/>
      </c>
      <c r="F248" s="28">
        <f>IF($A248="","",BDP($C248,"EQY_DVD_SH_12M"))</f>
        <v/>
      </c>
      <c r="G248" s="29">
        <f>IF($A248="","",BDP($C248,"EQY_DVD_YLD_12M"))</f>
        <v/>
      </c>
      <c r="H248" s="29">
        <f>IF($A248="","",BDP($C248,"EQY_DVD_YLD_IND"))</f>
        <v/>
      </c>
      <c r="I248" s="29">
        <f>IF($A248="","",BDP($C248,'Field Check'!$C$4))</f>
        <v/>
      </c>
      <c r="J248" s="106">
        <f>IFERROR(IF($B248="","",IF(ISNUMBER($F248),$B248*$F248*$D$3/$B$3,0)),"")</f>
        <v/>
      </c>
      <c r="K248" s="106">
        <f>IFERROR(IF($J248="","",$J248*IF(ISNUMBER($I248),$I248,'Index Summary'!$C$7)/100),"")</f>
        <v/>
      </c>
      <c r="L248" s="106">
        <f>IFERROR(IF($K248="","",$J248-$K248),"")</f>
        <v/>
      </c>
      <c r="M248" s="30" t="n"/>
      <c r="N248" s="31">
        <f>IF($C248="","",IF(NOT(ISNUMBER($F248)),"No dividend",IF($F248=0,"No dividend",IF(ISNUMBER($I248),"OK","Frank assumed"))))</f>
        <v/>
      </c>
      <c r="P248" s="57">
        <f>IF($N248="No dividend","",IF($C248="","",BDP($C248,'Field Check'!$C$43)))</f>
        <v/>
      </c>
      <c r="Q248" s="105">
        <f>IFERROR(IF(LEN($P248)&lt;&gt;3,1,IF($P248=$D$2,1,BDP($P248&amp;$D$2&amp;" Curncy","PX_LAST"))),1)</f>
        <v/>
      </c>
    </row>
    <row r="249">
      <c r="A249" s="16" t="n"/>
      <c r="B249" s="76" t="n"/>
      <c r="C249" s="16">
        <f>IF($A249="","",$A249&amp;" Equity")</f>
        <v/>
      </c>
      <c r="D249" s="16">
        <f>IF($A249="","",BDP($C249,"NAME"))</f>
        <v/>
      </c>
      <c r="E249" s="16">
        <f>IF($A249="","",BDP($C249,"GICS_SECTOR_NAME"))</f>
        <v/>
      </c>
      <c r="F249" s="32">
        <f>IF($A249="","",BDP($C249,"EQY_DVD_SH_12M"))</f>
        <v/>
      </c>
      <c r="G249" s="33">
        <f>IF($A249="","",BDP($C249,"EQY_DVD_YLD_12M"))</f>
        <v/>
      </c>
      <c r="H249" s="33">
        <f>IF($A249="","",BDP($C249,"EQY_DVD_YLD_IND"))</f>
        <v/>
      </c>
      <c r="I249" s="33">
        <f>IF($A249="","",BDP($C249,'Field Check'!$C$4))</f>
        <v/>
      </c>
      <c r="J249" s="106">
        <f>IFERROR(IF($B249="","",IF(ISNUMBER($F249),$B249*$F249*$D$3/$B$3,0)),"")</f>
        <v/>
      </c>
      <c r="K249" s="106">
        <f>IFERROR(IF($J249="","",$J249*IF(ISNUMBER($I249),$I249,'Index Summary'!$C$7)/100),"")</f>
        <v/>
      </c>
      <c r="L249" s="106">
        <f>IFERROR(IF($K249="","",$J249-$K249),"")</f>
        <v/>
      </c>
      <c r="M249" s="34" t="n"/>
      <c r="N249" s="35">
        <f>IF($C249="","",IF(NOT(ISNUMBER($F249)),"No dividend",IF($F249=0,"No dividend",IF(ISNUMBER($I249),"OK","Frank assumed"))))</f>
        <v/>
      </c>
      <c r="P249" s="57">
        <f>IF($N249="No dividend","",IF($C249="","",BDP($C249,'Field Check'!$C$43)))</f>
        <v/>
      </c>
      <c r="Q249" s="105">
        <f>IFERROR(IF(LEN($P249)&lt;&gt;3,1,IF($P249=$D$2,1,BDP($P249&amp;$D$2&amp;" Curncy","PX_LAST"))),1)</f>
        <v/>
      </c>
    </row>
    <row r="250">
      <c r="A250" s="27" t="n"/>
      <c r="B250" s="76" t="n"/>
      <c r="C250" s="27">
        <f>IF($A250="","",$A250&amp;" Equity")</f>
        <v/>
      </c>
      <c r="D250" s="27">
        <f>IF($A250="","",BDP($C250,"NAME"))</f>
        <v/>
      </c>
      <c r="E250" s="27">
        <f>IF($A250="","",BDP($C250,"GICS_SECTOR_NAME"))</f>
        <v/>
      </c>
      <c r="F250" s="28">
        <f>IF($A250="","",BDP($C250,"EQY_DVD_SH_12M"))</f>
        <v/>
      </c>
      <c r="G250" s="29">
        <f>IF($A250="","",BDP($C250,"EQY_DVD_YLD_12M"))</f>
        <v/>
      </c>
      <c r="H250" s="29">
        <f>IF($A250="","",BDP($C250,"EQY_DVD_YLD_IND"))</f>
        <v/>
      </c>
      <c r="I250" s="29">
        <f>IF($A250="","",BDP($C250,'Field Check'!$C$4))</f>
        <v/>
      </c>
      <c r="J250" s="106">
        <f>IFERROR(IF($B250="","",IF(ISNUMBER($F250),$B250*$F250*$D$3/$B$3,0)),"")</f>
        <v/>
      </c>
      <c r="K250" s="106">
        <f>IFERROR(IF($J250="","",$J250*IF(ISNUMBER($I250),$I250,'Index Summary'!$C$7)/100),"")</f>
        <v/>
      </c>
      <c r="L250" s="106">
        <f>IFERROR(IF($K250="","",$J250-$K250),"")</f>
        <v/>
      </c>
      <c r="M250" s="30" t="n"/>
      <c r="N250" s="31">
        <f>IF($C250="","",IF(NOT(ISNUMBER($F250)),"No dividend",IF($F250=0,"No dividend",IF(ISNUMBER($I250),"OK","Frank assumed"))))</f>
        <v/>
      </c>
      <c r="P250" s="57">
        <f>IF($N250="No dividend","",IF($C250="","",BDP($C250,'Field Check'!$C$43)))</f>
        <v/>
      </c>
      <c r="Q250" s="105">
        <f>IFERROR(IF(LEN($P250)&lt;&gt;3,1,IF($P250=$D$2,1,BDP($P250&amp;$D$2&amp;" Curncy","PX_LAST"))),1)</f>
        <v/>
      </c>
    </row>
    <row r="251">
      <c r="A251" s="16" t="n"/>
      <c r="B251" s="76" t="n"/>
      <c r="C251" s="16">
        <f>IF($A251="","",$A251&amp;" Equity")</f>
        <v/>
      </c>
      <c r="D251" s="16">
        <f>IF($A251="","",BDP($C251,"NAME"))</f>
        <v/>
      </c>
      <c r="E251" s="16">
        <f>IF($A251="","",BDP($C251,"GICS_SECTOR_NAME"))</f>
        <v/>
      </c>
      <c r="F251" s="32">
        <f>IF($A251="","",BDP($C251,"EQY_DVD_SH_12M"))</f>
        <v/>
      </c>
      <c r="G251" s="33">
        <f>IF($A251="","",BDP($C251,"EQY_DVD_YLD_12M"))</f>
        <v/>
      </c>
      <c r="H251" s="33">
        <f>IF($A251="","",BDP($C251,"EQY_DVD_YLD_IND"))</f>
        <v/>
      </c>
      <c r="I251" s="33">
        <f>IF($A251="","",BDP($C251,'Field Check'!$C$4))</f>
        <v/>
      </c>
      <c r="J251" s="106">
        <f>IFERROR(IF($B251="","",IF(ISNUMBER($F251),$B251*$F251*$D$3/$B$3,0)),"")</f>
        <v/>
      </c>
      <c r="K251" s="106">
        <f>IFERROR(IF($J251="","",$J251*IF(ISNUMBER($I251),$I251,'Index Summary'!$C$7)/100),"")</f>
        <v/>
      </c>
      <c r="L251" s="106">
        <f>IFERROR(IF($K251="","",$J251-$K251),"")</f>
        <v/>
      </c>
      <c r="M251" s="34" t="n"/>
      <c r="N251" s="35">
        <f>IF($C251="","",IF(NOT(ISNUMBER($F251)),"No dividend",IF($F251=0,"No dividend",IF(ISNUMBER($I251),"OK","Frank assumed"))))</f>
        <v/>
      </c>
      <c r="P251" s="57">
        <f>IF($N251="No dividend","",IF($C251="","",BDP($C251,'Field Check'!$C$43)))</f>
        <v/>
      </c>
      <c r="Q251" s="105">
        <f>IFERROR(IF(LEN($P251)&lt;&gt;3,1,IF($P251=$D$2,1,BDP($P251&amp;$D$2&amp;" Curncy","PX_LAST"))),1)</f>
        <v/>
      </c>
    </row>
    <row r="252">
      <c r="A252" s="27" t="n"/>
      <c r="B252" s="76" t="n"/>
      <c r="C252" s="27">
        <f>IF($A252="","",$A252&amp;" Equity")</f>
        <v/>
      </c>
      <c r="D252" s="27">
        <f>IF($A252="","",BDP($C252,"NAME"))</f>
        <v/>
      </c>
      <c r="E252" s="27">
        <f>IF($A252="","",BDP($C252,"GICS_SECTOR_NAME"))</f>
        <v/>
      </c>
      <c r="F252" s="28">
        <f>IF($A252="","",BDP($C252,"EQY_DVD_SH_12M"))</f>
        <v/>
      </c>
      <c r="G252" s="29">
        <f>IF($A252="","",BDP($C252,"EQY_DVD_YLD_12M"))</f>
        <v/>
      </c>
      <c r="H252" s="29">
        <f>IF($A252="","",BDP($C252,"EQY_DVD_YLD_IND"))</f>
        <v/>
      </c>
      <c r="I252" s="29">
        <f>IF($A252="","",BDP($C252,'Field Check'!$C$4))</f>
        <v/>
      </c>
      <c r="J252" s="106">
        <f>IFERROR(IF($B252="","",IF(ISNUMBER($F252),$B252*$F252*$D$3/$B$3,0)),"")</f>
        <v/>
      </c>
      <c r="K252" s="106">
        <f>IFERROR(IF($J252="","",$J252*IF(ISNUMBER($I252),$I252,'Index Summary'!$C$7)/100),"")</f>
        <v/>
      </c>
      <c r="L252" s="106">
        <f>IFERROR(IF($K252="","",$J252-$K252),"")</f>
        <v/>
      </c>
      <c r="M252" s="30" t="n"/>
      <c r="N252" s="31">
        <f>IF($C252="","",IF(NOT(ISNUMBER($F252)),"No dividend",IF($F252=0,"No dividend",IF(ISNUMBER($I252),"OK","Frank assumed"))))</f>
        <v/>
      </c>
      <c r="P252" s="57">
        <f>IF($N252="No dividend","",IF($C252="","",BDP($C252,'Field Check'!$C$43)))</f>
        <v/>
      </c>
      <c r="Q252" s="105">
        <f>IFERROR(IF(LEN($P252)&lt;&gt;3,1,IF($P252=$D$2,1,BDP($P252&amp;$D$2&amp;" Curncy","PX_LAST"))),1)</f>
        <v/>
      </c>
    </row>
    <row r="253">
      <c r="A253" s="16" t="n"/>
      <c r="B253" s="76" t="n"/>
      <c r="C253" s="16">
        <f>IF($A253="","",$A253&amp;" Equity")</f>
        <v/>
      </c>
      <c r="D253" s="16">
        <f>IF($A253="","",BDP($C253,"NAME"))</f>
        <v/>
      </c>
      <c r="E253" s="16">
        <f>IF($A253="","",BDP($C253,"GICS_SECTOR_NAME"))</f>
        <v/>
      </c>
      <c r="F253" s="32">
        <f>IF($A253="","",BDP($C253,"EQY_DVD_SH_12M"))</f>
        <v/>
      </c>
      <c r="G253" s="33">
        <f>IF($A253="","",BDP($C253,"EQY_DVD_YLD_12M"))</f>
        <v/>
      </c>
      <c r="H253" s="33">
        <f>IF($A253="","",BDP($C253,"EQY_DVD_YLD_IND"))</f>
        <v/>
      </c>
      <c r="I253" s="33">
        <f>IF($A253="","",BDP($C253,'Field Check'!$C$4))</f>
        <v/>
      </c>
      <c r="J253" s="106">
        <f>IFERROR(IF($B253="","",IF(ISNUMBER($F253),$B253*$F253*$D$3/$B$3,0)),"")</f>
        <v/>
      </c>
      <c r="K253" s="106">
        <f>IFERROR(IF($J253="","",$J253*IF(ISNUMBER($I253),$I253,'Index Summary'!$C$7)/100),"")</f>
        <v/>
      </c>
      <c r="L253" s="106">
        <f>IFERROR(IF($K253="","",$J253-$K253),"")</f>
        <v/>
      </c>
      <c r="M253" s="34" t="n"/>
      <c r="N253" s="35">
        <f>IF($C253="","",IF(NOT(ISNUMBER($F253)),"No dividend",IF($F253=0,"No dividend",IF(ISNUMBER($I253),"OK","Frank assumed"))))</f>
        <v/>
      </c>
      <c r="P253" s="57">
        <f>IF($N253="No dividend","",IF($C253="","",BDP($C253,'Field Check'!$C$43)))</f>
        <v/>
      </c>
      <c r="Q253" s="105">
        <f>IFERROR(IF(LEN($P253)&lt;&gt;3,1,IF($P253=$D$2,1,BDP($P253&amp;$D$2&amp;" Curncy","PX_LAST"))),1)</f>
        <v/>
      </c>
    </row>
    <row r="254">
      <c r="A254" s="27" t="n"/>
      <c r="B254" s="76" t="n"/>
      <c r="C254" s="27">
        <f>IF($A254="","",$A254&amp;" Equity")</f>
        <v/>
      </c>
      <c r="D254" s="27">
        <f>IF($A254="","",BDP($C254,"NAME"))</f>
        <v/>
      </c>
      <c r="E254" s="27">
        <f>IF($A254="","",BDP($C254,"GICS_SECTOR_NAME"))</f>
        <v/>
      </c>
      <c r="F254" s="28">
        <f>IF($A254="","",BDP($C254,"EQY_DVD_SH_12M"))</f>
        <v/>
      </c>
      <c r="G254" s="29">
        <f>IF($A254="","",BDP($C254,"EQY_DVD_YLD_12M"))</f>
        <v/>
      </c>
      <c r="H254" s="29">
        <f>IF($A254="","",BDP($C254,"EQY_DVD_YLD_IND"))</f>
        <v/>
      </c>
      <c r="I254" s="29">
        <f>IF($A254="","",BDP($C254,'Field Check'!$C$4))</f>
        <v/>
      </c>
      <c r="J254" s="106">
        <f>IFERROR(IF($B254="","",IF(ISNUMBER($F254),$B254*$F254*$D$3/$B$3,0)),"")</f>
        <v/>
      </c>
      <c r="K254" s="106">
        <f>IFERROR(IF($J254="","",$J254*IF(ISNUMBER($I254),$I254,'Index Summary'!$C$7)/100),"")</f>
        <v/>
      </c>
      <c r="L254" s="106">
        <f>IFERROR(IF($K254="","",$J254-$K254),"")</f>
        <v/>
      </c>
      <c r="M254" s="30" t="n"/>
      <c r="N254" s="31">
        <f>IF($C254="","",IF(NOT(ISNUMBER($F254)),"No dividend",IF($F254=0,"No dividend",IF(ISNUMBER($I254),"OK","Frank assumed"))))</f>
        <v/>
      </c>
      <c r="P254" s="57">
        <f>IF($N254="No dividend","",IF($C254="","",BDP($C254,'Field Check'!$C$43)))</f>
        <v/>
      </c>
      <c r="Q254" s="105">
        <f>IFERROR(IF(LEN($P254)&lt;&gt;3,1,IF($P254=$D$2,1,BDP($P254&amp;$D$2&amp;" Curncy","PX_LAST"))),1)</f>
        <v/>
      </c>
    </row>
    <row r="255">
      <c r="A255" s="16" t="n"/>
      <c r="B255" s="76" t="n"/>
      <c r="C255" s="16">
        <f>IF($A255="","",$A255&amp;" Equity")</f>
        <v/>
      </c>
      <c r="D255" s="16">
        <f>IF($A255="","",BDP($C255,"NAME"))</f>
        <v/>
      </c>
      <c r="E255" s="16">
        <f>IF($A255="","",BDP($C255,"GICS_SECTOR_NAME"))</f>
        <v/>
      </c>
      <c r="F255" s="32">
        <f>IF($A255="","",BDP($C255,"EQY_DVD_SH_12M"))</f>
        <v/>
      </c>
      <c r="G255" s="33">
        <f>IF($A255="","",BDP($C255,"EQY_DVD_YLD_12M"))</f>
        <v/>
      </c>
      <c r="H255" s="33">
        <f>IF($A255="","",BDP($C255,"EQY_DVD_YLD_IND"))</f>
        <v/>
      </c>
      <c r="I255" s="33">
        <f>IF($A255="","",BDP($C255,'Field Check'!$C$4))</f>
        <v/>
      </c>
      <c r="J255" s="106">
        <f>IFERROR(IF($B255="","",IF(ISNUMBER($F255),$B255*$F255*$D$3/$B$3,0)),"")</f>
        <v/>
      </c>
      <c r="K255" s="106">
        <f>IFERROR(IF($J255="","",$J255*IF(ISNUMBER($I255),$I255,'Index Summary'!$C$7)/100),"")</f>
        <v/>
      </c>
      <c r="L255" s="106">
        <f>IFERROR(IF($K255="","",$J255-$K255),"")</f>
        <v/>
      </c>
      <c r="M255" s="34" t="n"/>
      <c r="N255" s="35">
        <f>IF($C255="","",IF(NOT(ISNUMBER($F255)),"No dividend",IF($F255=0,"No dividend",IF(ISNUMBER($I255),"OK","Frank assumed"))))</f>
        <v/>
      </c>
      <c r="P255" s="57">
        <f>IF($N255="No dividend","",IF($C255="","",BDP($C255,'Field Check'!$C$43)))</f>
        <v/>
      </c>
      <c r="Q255" s="105">
        <f>IFERROR(IF(LEN($P255)&lt;&gt;3,1,IF($P255=$D$2,1,BDP($P255&amp;$D$2&amp;" Curncy","PX_LAST"))),1)</f>
        <v/>
      </c>
    </row>
    <row r="256">
      <c r="A256" s="27" t="n"/>
      <c r="B256" s="76" t="n"/>
      <c r="C256" s="27">
        <f>IF($A256="","",$A256&amp;" Equity")</f>
        <v/>
      </c>
      <c r="D256" s="27">
        <f>IF($A256="","",BDP($C256,"NAME"))</f>
        <v/>
      </c>
      <c r="E256" s="27">
        <f>IF($A256="","",BDP($C256,"GICS_SECTOR_NAME"))</f>
        <v/>
      </c>
      <c r="F256" s="28">
        <f>IF($A256="","",BDP($C256,"EQY_DVD_SH_12M"))</f>
        <v/>
      </c>
      <c r="G256" s="29">
        <f>IF($A256="","",BDP($C256,"EQY_DVD_YLD_12M"))</f>
        <v/>
      </c>
      <c r="H256" s="29">
        <f>IF($A256="","",BDP($C256,"EQY_DVD_YLD_IND"))</f>
        <v/>
      </c>
      <c r="I256" s="29">
        <f>IF($A256="","",BDP($C256,'Field Check'!$C$4))</f>
        <v/>
      </c>
      <c r="J256" s="106">
        <f>IFERROR(IF($B256="","",IF(ISNUMBER($F256),$B256*$F256*$D$3/$B$3,0)),"")</f>
        <v/>
      </c>
      <c r="K256" s="106">
        <f>IFERROR(IF($J256="","",$J256*IF(ISNUMBER($I256),$I256,'Index Summary'!$C$7)/100),"")</f>
        <v/>
      </c>
      <c r="L256" s="106">
        <f>IFERROR(IF($K256="","",$J256-$K256),"")</f>
        <v/>
      </c>
      <c r="M256" s="30" t="n"/>
      <c r="N256" s="31">
        <f>IF($C256="","",IF(NOT(ISNUMBER($F256)),"No dividend",IF($F256=0,"No dividend",IF(ISNUMBER($I256),"OK","Frank assumed"))))</f>
        <v/>
      </c>
      <c r="P256" s="57">
        <f>IF($N256="No dividend","",IF($C256="","",BDP($C256,'Field Check'!$C$43)))</f>
        <v/>
      </c>
      <c r="Q256" s="105">
        <f>IFERROR(IF(LEN($P256)&lt;&gt;3,1,IF($P256=$D$2,1,BDP($P256&amp;$D$2&amp;" Curncy","PX_LAST"))),1)</f>
        <v/>
      </c>
    </row>
    <row r="257">
      <c r="A257" s="16" t="n"/>
      <c r="B257" s="76" t="n"/>
      <c r="C257" s="16">
        <f>IF($A257="","",$A257&amp;" Equity")</f>
        <v/>
      </c>
      <c r="D257" s="16">
        <f>IF($A257="","",BDP($C257,"NAME"))</f>
        <v/>
      </c>
      <c r="E257" s="16">
        <f>IF($A257="","",BDP($C257,"GICS_SECTOR_NAME"))</f>
        <v/>
      </c>
      <c r="F257" s="32">
        <f>IF($A257="","",BDP($C257,"EQY_DVD_SH_12M"))</f>
        <v/>
      </c>
      <c r="G257" s="33">
        <f>IF($A257="","",BDP($C257,"EQY_DVD_YLD_12M"))</f>
        <v/>
      </c>
      <c r="H257" s="33">
        <f>IF($A257="","",BDP($C257,"EQY_DVD_YLD_IND"))</f>
        <v/>
      </c>
      <c r="I257" s="33">
        <f>IF($A257="","",BDP($C257,'Field Check'!$C$4))</f>
        <v/>
      </c>
      <c r="J257" s="106">
        <f>IFERROR(IF($B257="","",IF(ISNUMBER($F257),$B257*$F257*$D$3/$B$3,0)),"")</f>
        <v/>
      </c>
      <c r="K257" s="106">
        <f>IFERROR(IF($J257="","",$J257*IF(ISNUMBER($I257),$I257,'Index Summary'!$C$7)/100),"")</f>
        <v/>
      </c>
      <c r="L257" s="106">
        <f>IFERROR(IF($K257="","",$J257-$K257),"")</f>
        <v/>
      </c>
      <c r="M257" s="34" t="n"/>
      <c r="N257" s="35">
        <f>IF($C257="","",IF(NOT(ISNUMBER($F257)),"No dividend",IF($F257=0,"No dividend",IF(ISNUMBER($I257),"OK","Frank assumed"))))</f>
        <v/>
      </c>
      <c r="P257" s="57">
        <f>IF($N257="No dividend","",IF($C257="","",BDP($C257,'Field Check'!$C$43)))</f>
        <v/>
      </c>
      <c r="Q257" s="105">
        <f>IFERROR(IF(LEN($P257)&lt;&gt;3,1,IF($P257=$D$2,1,BDP($P257&amp;$D$2&amp;" Curncy","PX_LAST"))),1)</f>
        <v/>
      </c>
    </row>
    <row r="258">
      <c r="A258" s="27" t="n"/>
      <c r="B258" s="76" t="n"/>
      <c r="C258" s="27">
        <f>IF($A258="","",$A258&amp;" Equity")</f>
        <v/>
      </c>
      <c r="D258" s="27">
        <f>IF($A258="","",BDP($C258,"NAME"))</f>
        <v/>
      </c>
      <c r="E258" s="27">
        <f>IF($A258="","",BDP($C258,"GICS_SECTOR_NAME"))</f>
        <v/>
      </c>
      <c r="F258" s="28">
        <f>IF($A258="","",BDP($C258,"EQY_DVD_SH_12M"))</f>
        <v/>
      </c>
      <c r="G258" s="29">
        <f>IF($A258="","",BDP($C258,"EQY_DVD_YLD_12M"))</f>
        <v/>
      </c>
      <c r="H258" s="29">
        <f>IF($A258="","",BDP($C258,"EQY_DVD_YLD_IND"))</f>
        <v/>
      </c>
      <c r="I258" s="29">
        <f>IF($A258="","",BDP($C258,'Field Check'!$C$4))</f>
        <v/>
      </c>
      <c r="J258" s="106">
        <f>IFERROR(IF($B258="","",IF(ISNUMBER($F258),$B258*$F258*$D$3/$B$3,0)),"")</f>
        <v/>
      </c>
      <c r="K258" s="106">
        <f>IFERROR(IF($J258="","",$J258*IF(ISNUMBER($I258),$I258,'Index Summary'!$C$7)/100),"")</f>
        <v/>
      </c>
      <c r="L258" s="106">
        <f>IFERROR(IF($K258="","",$J258-$K258),"")</f>
        <v/>
      </c>
      <c r="M258" s="30" t="n"/>
      <c r="N258" s="31">
        <f>IF($C258="","",IF(NOT(ISNUMBER($F258)),"No dividend",IF($F258=0,"No dividend",IF(ISNUMBER($I258),"OK","Frank assumed"))))</f>
        <v/>
      </c>
      <c r="P258" s="57">
        <f>IF($N258="No dividend","",IF($C258="","",BDP($C258,'Field Check'!$C$43)))</f>
        <v/>
      </c>
      <c r="Q258" s="105">
        <f>IFERROR(IF(LEN($P258)&lt;&gt;3,1,IF($P258=$D$2,1,BDP($P258&amp;$D$2&amp;" Curncy","PX_LAST"))),1)</f>
        <v/>
      </c>
    </row>
    <row r="259">
      <c r="A259" s="16" t="n"/>
      <c r="B259" s="76" t="n"/>
      <c r="C259" s="16">
        <f>IF($A259="","",$A259&amp;" Equity")</f>
        <v/>
      </c>
      <c r="D259" s="16">
        <f>IF($A259="","",BDP($C259,"NAME"))</f>
        <v/>
      </c>
      <c r="E259" s="16">
        <f>IF($A259="","",BDP($C259,"GICS_SECTOR_NAME"))</f>
        <v/>
      </c>
      <c r="F259" s="32">
        <f>IF($A259="","",BDP($C259,"EQY_DVD_SH_12M"))</f>
        <v/>
      </c>
      <c r="G259" s="33">
        <f>IF($A259="","",BDP($C259,"EQY_DVD_YLD_12M"))</f>
        <v/>
      </c>
      <c r="H259" s="33">
        <f>IF($A259="","",BDP($C259,"EQY_DVD_YLD_IND"))</f>
        <v/>
      </c>
      <c r="I259" s="33">
        <f>IF($A259="","",BDP($C259,'Field Check'!$C$4))</f>
        <v/>
      </c>
      <c r="J259" s="106">
        <f>IFERROR(IF($B259="","",IF(ISNUMBER($F259),$B259*$F259*$D$3/$B$3,0)),"")</f>
        <v/>
      </c>
      <c r="K259" s="106">
        <f>IFERROR(IF($J259="","",$J259*IF(ISNUMBER($I259),$I259,'Index Summary'!$C$7)/100),"")</f>
        <v/>
      </c>
      <c r="L259" s="106">
        <f>IFERROR(IF($K259="","",$J259-$K259),"")</f>
        <v/>
      </c>
      <c r="M259" s="34" t="n"/>
      <c r="N259" s="35">
        <f>IF($C259="","",IF(NOT(ISNUMBER($F259)),"No dividend",IF($F259=0,"No dividend",IF(ISNUMBER($I259),"OK","Frank assumed"))))</f>
        <v/>
      </c>
      <c r="P259" s="57">
        <f>IF($N259="No dividend","",IF($C259="","",BDP($C259,'Field Check'!$C$43)))</f>
        <v/>
      </c>
      <c r="Q259" s="105">
        <f>IFERROR(IF(LEN($P259)&lt;&gt;3,1,IF($P259=$D$2,1,BDP($P259&amp;$D$2&amp;" Curncy","PX_LAST"))),1)</f>
        <v/>
      </c>
    </row>
    <row r="260">
      <c r="A260" s="27" t="n"/>
      <c r="B260" s="76" t="n"/>
      <c r="C260" s="27">
        <f>IF($A260="","",$A260&amp;" Equity")</f>
        <v/>
      </c>
      <c r="D260" s="27">
        <f>IF($A260="","",BDP($C260,"NAME"))</f>
        <v/>
      </c>
      <c r="E260" s="27">
        <f>IF($A260="","",BDP($C260,"GICS_SECTOR_NAME"))</f>
        <v/>
      </c>
      <c r="F260" s="28">
        <f>IF($A260="","",BDP($C260,"EQY_DVD_SH_12M"))</f>
        <v/>
      </c>
      <c r="G260" s="29">
        <f>IF($A260="","",BDP($C260,"EQY_DVD_YLD_12M"))</f>
        <v/>
      </c>
      <c r="H260" s="29">
        <f>IF($A260="","",BDP($C260,"EQY_DVD_YLD_IND"))</f>
        <v/>
      </c>
      <c r="I260" s="29">
        <f>IF($A260="","",BDP($C260,'Field Check'!$C$4))</f>
        <v/>
      </c>
      <c r="J260" s="106">
        <f>IFERROR(IF($B260="","",IF(ISNUMBER($F260),$B260*$F260*$D$3/$B$3,0)),"")</f>
        <v/>
      </c>
      <c r="K260" s="106">
        <f>IFERROR(IF($J260="","",$J260*IF(ISNUMBER($I260),$I260,'Index Summary'!$C$7)/100),"")</f>
        <v/>
      </c>
      <c r="L260" s="106">
        <f>IFERROR(IF($K260="","",$J260-$K260),"")</f>
        <v/>
      </c>
      <c r="M260" s="30" t="n"/>
      <c r="N260" s="31">
        <f>IF($C260="","",IF(NOT(ISNUMBER($F260)),"No dividend",IF($F260=0,"No dividend",IF(ISNUMBER($I260),"OK","Frank assumed"))))</f>
        <v/>
      </c>
      <c r="P260" s="57">
        <f>IF($N260="No dividend","",IF($C260="","",BDP($C260,'Field Check'!$C$43)))</f>
        <v/>
      </c>
      <c r="Q260" s="105">
        <f>IFERROR(IF(LEN($P260)&lt;&gt;3,1,IF($P260=$D$2,1,BDP($P260&amp;$D$2&amp;" Curncy","PX_LAST"))),1)</f>
        <v/>
      </c>
    </row>
    <row r="261">
      <c r="A261" s="16" t="n"/>
      <c r="B261" s="76" t="n"/>
      <c r="C261" s="16">
        <f>IF($A261="","",$A261&amp;" Equity")</f>
        <v/>
      </c>
      <c r="D261" s="16">
        <f>IF($A261="","",BDP($C261,"NAME"))</f>
        <v/>
      </c>
      <c r="E261" s="16">
        <f>IF($A261="","",BDP($C261,"GICS_SECTOR_NAME"))</f>
        <v/>
      </c>
      <c r="F261" s="32">
        <f>IF($A261="","",BDP($C261,"EQY_DVD_SH_12M"))</f>
        <v/>
      </c>
      <c r="G261" s="33">
        <f>IF($A261="","",BDP($C261,"EQY_DVD_YLD_12M"))</f>
        <v/>
      </c>
      <c r="H261" s="33">
        <f>IF($A261="","",BDP($C261,"EQY_DVD_YLD_IND"))</f>
        <v/>
      </c>
      <c r="I261" s="33">
        <f>IF($A261="","",BDP($C261,'Field Check'!$C$4))</f>
        <v/>
      </c>
      <c r="J261" s="106">
        <f>IFERROR(IF($B261="","",IF(ISNUMBER($F261),$B261*$F261*$D$3/$B$3,0)),"")</f>
        <v/>
      </c>
      <c r="K261" s="106">
        <f>IFERROR(IF($J261="","",$J261*IF(ISNUMBER($I261),$I261,'Index Summary'!$C$7)/100),"")</f>
        <v/>
      </c>
      <c r="L261" s="106">
        <f>IFERROR(IF($K261="","",$J261-$K261),"")</f>
        <v/>
      </c>
      <c r="M261" s="34" t="n"/>
      <c r="N261" s="35">
        <f>IF($C261="","",IF(NOT(ISNUMBER($F261)),"No dividend",IF($F261=0,"No dividend",IF(ISNUMBER($I261),"OK","Frank assumed"))))</f>
        <v/>
      </c>
      <c r="P261" s="57">
        <f>IF($N261="No dividend","",IF($C261="","",BDP($C261,'Field Check'!$C$43)))</f>
        <v/>
      </c>
      <c r="Q261" s="105">
        <f>IFERROR(IF(LEN($P261)&lt;&gt;3,1,IF($P261=$D$2,1,BDP($P261&amp;$D$2&amp;" Curncy","PX_LAST"))),1)</f>
        <v/>
      </c>
    </row>
    <row r="262">
      <c r="A262" s="27" t="n"/>
      <c r="B262" s="76" t="n"/>
      <c r="C262" s="27">
        <f>IF($A262="","",$A262&amp;" Equity")</f>
        <v/>
      </c>
      <c r="D262" s="27">
        <f>IF($A262="","",BDP($C262,"NAME"))</f>
        <v/>
      </c>
      <c r="E262" s="27">
        <f>IF($A262="","",BDP($C262,"GICS_SECTOR_NAME"))</f>
        <v/>
      </c>
      <c r="F262" s="28">
        <f>IF($A262="","",BDP($C262,"EQY_DVD_SH_12M"))</f>
        <v/>
      </c>
      <c r="G262" s="29">
        <f>IF($A262="","",BDP($C262,"EQY_DVD_YLD_12M"))</f>
        <v/>
      </c>
      <c r="H262" s="29">
        <f>IF($A262="","",BDP($C262,"EQY_DVD_YLD_IND"))</f>
        <v/>
      </c>
      <c r="I262" s="29">
        <f>IF($A262="","",BDP($C262,'Field Check'!$C$4))</f>
        <v/>
      </c>
      <c r="J262" s="106">
        <f>IFERROR(IF($B262="","",IF(ISNUMBER($F262),$B262*$F262*$D$3/$B$3,0)),"")</f>
        <v/>
      </c>
      <c r="K262" s="106">
        <f>IFERROR(IF($J262="","",$J262*IF(ISNUMBER($I262),$I262,'Index Summary'!$C$7)/100),"")</f>
        <v/>
      </c>
      <c r="L262" s="106">
        <f>IFERROR(IF($K262="","",$J262-$K262),"")</f>
        <v/>
      </c>
      <c r="M262" s="30" t="n"/>
      <c r="N262" s="31">
        <f>IF($C262="","",IF(NOT(ISNUMBER($F262)),"No dividend",IF($F262=0,"No dividend",IF(ISNUMBER($I262),"OK","Frank assumed"))))</f>
        <v/>
      </c>
      <c r="P262" s="57">
        <f>IF($N262="No dividend","",IF($C262="","",BDP($C262,'Field Check'!$C$43)))</f>
        <v/>
      </c>
      <c r="Q262" s="105">
        <f>IFERROR(IF(LEN($P262)&lt;&gt;3,1,IF($P262=$D$2,1,BDP($P262&amp;$D$2&amp;" Curncy","PX_LAST"))),1)</f>
        <v/>
      </c>
    </row>
    <row r="263">
      <c r="A263" s="16" t="n"/>
      <c r="B263" s="76" t="n"/>
      <c r="C263" s="16">
        <f>IF($A263="","",$A263&amp;" Equity")</f>
        <v/>
      </c>
      <c r="D263" s="16">
        <f>IF($A263="","",BDP($C263,"NAME"))</f>
        <v/>
      </c>
      <c r="E263" s="16">
        <f>IF($A263="","",BDP($C263,"GICS_SECTOR_NAME"))</f>
        <v/>
      </c>
      <c r="F263" s="32">
        <f>IF($A263="","",BDP($C263,"EQY_DVD_SH_12M"))</f>
        <v/>
      </c>
      <c r="G263" s="33">
        <f>IF($A263="","",BDP($C263,"EQY_DVD_YLD_12M"))</f>
        <v/>
      </c>
      <c r="H263" s="33">
        <f>IF($A263="","",BDP($C263,"EQY_DVD_YLD_IND"))</f>
        <v/>
      </c>
      <c r="I263" s="33">
        <f>IF($A263="","",BDP($C263,'Field Check'!$C$4))</f>
        <v/>
      </c>
      <c r="J263" s="106">
        <f>IFERROR(IF($B263="","",IF(ISNUMBER($F263),$B263*$F263*$D$3/$B$3,0)),"")</f>
        <v/>
      </c>
      <c r="K263" s="106">
        <f>IFERROR(IF($J263="","",$J263*IF(ISNUMBER($I263),$I263,'Index Summary'!$C$7)/100),"")</f>
        <v/>
      </c>
      <c r="L263" s="106">
        <f>IFERROR(IF($K263="","",$J263-$K263),"")</f>
        <v/>
      </c>
      <c r="M263" s="34" t="n"/>
      <c r="N263" s="35">
        <f>IF($C263="","",IF(NOT(ISNUMBER($F263)),"No dividend",IF($F263=0,"No dividend",IF(ISNUMBER($I263),"OK","Frank assumed"))))</f>
        <v/>
      </c>
      <c r="P263" s="57">
        <f>IF($N263="No dividend","",IF($C263="","",BDP($C263,'Field Check'!$C$43)))</f>
        <v/>
      </c>
      <c r="Q263" s="105">
        <f>IFERROR(IF(LEN($P263)&lt;&gt;3,1,IF($P263=$D$2,1,BDP($P263&amp;$D$2&amp;" Curncy","PX_LAST"))),1)</f>
        <v/>
      </c>
    </row>
    <row r="264">
      <c r="A264" s="27" t="n"/>
      <c r="B264" s="76" t="n"/>
      <c r="C264" s="27">
        <f>IF($A264="","",$A264&amp;" Equity")</f>
        <v/>
      </c>
      <c r="D264" s="27">
        <f>IF($A264="","",BDP($C264,"NAME"))</f>
        <v/>
      </c>
      <c r="E264" s="27">
        <f>IF($A264="","",BDP($C264,"GICS_SECTOR_NAME"))</f>
        <v/>
      </c>
      <c r="F264" s="28">
        <f>IF($A264="","",BDP($C264,"EQY_DVD_SH_12M"))</f>
        <v/>
      </c>
      <c r="G264" s="29">
        <f>IF($A264="","",BDP($C264,"EQY_DVD_YLD_12M"))</f>
        <v/>
      </c>
      <c r="H264" s="29">
        <f>IF($A264="","",BDP($C264,"EQY_DVD_YLD_IND"))</f>
        <v/>
      </c>
      <c r="I264" s="29">
        <f>IF($A264="","",BDP($C264,'Field Check'!$C$4))</f>
        <v/>
      </c>
      <c r="J264" s="106">
        <f>IFERROR(IF($B264="","",IF(ISNUMBER($F264),$B264*$F264*$D$3/$B$3,0)),"")</f>
        <v/>
      </c>
      <c r="K264" s="106">
        <f>IFERROR(IF($J264="","",$J264*IF(ISNUMBER($I264),$I264,'Index Summary'!$C$7)/100),"")</f>
        <v/>
      </c>
      <c r="L264" s="106">
        <f>IFERROR(IF($K264="","",$J264-$K264),"")</f>
        <v/>
      </c>
      <c r="M264" s="30" t="n"/>
      <c r="N264" s="31">
        <f>IF($C264="","",IF(NOT(ISNUMBER($F264)),"No dividend",IF($F264=0,"No dividend",IF(ISNUMBER($I264),"OK","Frank assumed"))))</f>
        <v/>
      </c>
      <c r="P264" s="57">
        <f>IF($N264="No dividend","",IF($C264="","",BDP($C264,'Field Check'!$C$43)))</f>
        <v/>
      </c>
      <c r="Q264" s="105">
        <f>IFERROR(IF(LEN($P264)&lt;&gt;3,1,IF($P264=$D$2,1,BDP($P264&amp;$D$2&amp;" Curncy","PX_LAST"))),1)</f>
        <v/>
      </c>
    </row>
    <row r="265">
      <c r="A265" s="16" t="n"/>
      <c r="B265" s="76" t="n"/>
      <c r="C265" s="16">
        <f>IF($A265="","",$A265&amp;" Equity")</f>
        <v/>
      </c>
      <c r="D265" s="16">
        <f>IF($A265="","",BDP($C265,"NAME"))</f>
        <v/>
      </c>
      <c r="E265" s="16">
        <f>IF($A265="","",BDP($C265,"GICS_SECTOR_NAME"))</f>
        <v/>
      </c>
      <c r="F265" s="32">
        <f>IF($A265="","",BDP($C265,"EQY_DVD_SH_12M"))</f>
        <v/>
      </c>
      <c r="G265" s="33">
        <f>IF($A265="","",BDP($C265,"EQY_DVD_YLD_12M"))</f>
        <v/>
      </c>
      <c r="H265" s="33">
        <f>IF($A265="","",BDP($C265,"EQY_DVD_YLD_IND"))</f>
        <v/>
      </c>
      <c r="I265" s="33">
        <f>IF($A265="","",BDP($C265,'Field Check'!$C$4))</f>
        <v/>
      </c>
      <c r="J265" s="106">
        <f>IFERROR(IF($B265="","",IF(ISNUMBER($F265),$B265*$F265*$D$3/$B$3,0)),"")</f>
        <v/>
      </c>
      <c r="K265" s="106">
        <f>IFERROR(IF($J265="","",$J265*IF(ISNUMBER($I265),$I265,'Index Summary'!$C$7)/100),"")</f>
        <v/>
      </c>
      <c r="L265" s="106">
        <f>IFERROR(IF($K265="","",$J265-$K265),"")</f>
        <v/>
      </c>
      <c r="M265" s="34" t="n"/>
      <c r="N265" s="35">
        <f>IF($C265="","",IF(NOT(ISNUMBER($F265)),"No dividend",IF($F265=0,"No dividend",IF(ISNUMBER($I265),"OK","Frank assumed"))))</f>
        <v/>
      </c>
      <c r="P265" s="57">
        <f>IF($N265="No dividend","",IF($C265="","",BDP($C265,'Field Check'!$C$43)))</f>
        <v/>
      </c>
      <c r="Q265" s="105">
        <f>IFERROR(IF(LEN($P265)&lt;&gt;3,1,IF($P265=$D$2,1,BDP($P265&amp;$D$2&amp;" Curncy","PX_LAST"))),1)</f>
        <v/>
      </c>
    </row>
    <row r="266">
      <c r="A266" s="27" t="n"/>
      <c r="B266" s="76" t="n"/>
      <c r="C266" s="27">
        <f>IF($A266="","",$A266&amp;" Equity")</f>
        <v/>
      </c>
      <c r="D266" s="27">
        <f>IF($A266="","",BDP($C266,"NAME"))</f>
        <v/>
      </c>
      <c r="E266" s="27">
        <f>IF($A266="","",BDP($C266,"GICS_SECTOR_NAME"))</f>
        <v/>
      </c>
      <c r="F266" s="28">
        <f>IF($A266="","",BDP($C266,"EQY_DVD_SH_12M"))</f>
        <v/>
      </c>
      <c r="G266" s="29">
        <f>IF($A266="","",BDP($C266,"EQY_DVD_YLD_12M"))</f>
        <v/>
      </c>
      <c r="H266" s="29">
        <f>IF($A266="","",BDP($C266,"EQY_DVD_YLD_IND"))</f>
        <v/>
      </c>
      <c r="I266" s="29">
        <f>IF($A266="","",BDP($C266,'Field Check'!$C$4))</f>
        <v/>
      </c>
      <c r="J266" s="106">
        <f>IFERROR(IF($B266="","",IF(ISNUMBER($F266),$B266*$F266*$D$3/$B$3,0)),"")</f>
        <v/>
      </c>
      <c r="K266" s="106">
        <f>IFERROR(IF($J266="","",$J266*IF(ISNUMBER($I266),$I266,'Index Summary'!$C$7)/100),"")</f>
        <v/>
      </c>
      <c r="L266" s="106">
        <f>IFERROR(IF($K266="","",$J266-$K266),"")</f>
        <v/>
      </c>
      <c r="M266" s="30" t="n"/>
      <c r="N266" s="31">
        <f>IF($C266="","",IF(NOT(ISNUMBER($F266)),"No dividend",IF($F266=0,"No dividend",IF(ISNUMBER($I266),"OK","Frank assumed"))))</f>
        <v/>
      </c>
      <c r="P266" s="57">
        <f>IF($N266="No dividend","",IF($C266="","",BDP($C266,'Field Check'!$C$43)))</f>
        <v/>
      </c>
      <c r="Q266" s="105">
        <f>IFERROR(IF(LEN($P266)&lt;&gt;3,1,IF($P266=$D$2,1,BDP($P266&amp;$D$2&amp;" Curncy","PX_LAST"))),1)</f>
        <v/>
      </c>
    </row>
    <row r="267">
      <c r="A267" s="16" t="n"/>
      <c r="B267" s="76" t="n"/>
      <c r="C267" s="16">
        <f>IF($A267="","",$A267&amp;" Equity")</f>
        <v/>
      </c>
      <c r="D267" s="16">
        <f>IF($A267="","",BDP($C267,"NAME"))</f>
        <v/>
      </c>
      <c r="E267" s="16">
        <f>IF($A267="","",BDP($C267,"GICS_SECTOR_NAME"))</f>
        <v/>
      </c>
      <c r="F267" s="32">
        <f>IF($A267="","",BDP($C267,"EQY_DVD_SH_12M"))</f>
        <v/>
      </c>
      <c r="G267" s="33">
        <f>IF($A267="","",BDP($C267,"EQY_DVD_YLD_12M"))</f>
        <v/>
      </c>
      <c r="H267" s="33">
        <f>IF($A267="","",BDP($C267,"EQY_DVD_YLD_IND"))</f>
        <v/>
      </c>
      <c r="I267" s="33">
        <f>IF($A267="","",BDP($C267,'Field Check'!$C$4))</f>
        <v/>
      </c>
      <c r="J267" s="106">
        <f>IFERROR(IF($B267="","",IF(ISNUMBER($F267),$B267*$F267*$D$3/$B$3,0)),"")</f>
        <v/>
      </c>
      <c r="K267" s="106">
        <f>IFERROR(IF($J267="","",$J267*IF(ISNUMBER($I267),$I267,'Index Summary'!$C$7)/100),"")</f>
        <v/>
      </c>
      <c r="L267" s="106">
        <f>IFERROR(IF($K267="","",$J267-$K267),"")</f>
        <v/>
      </c>
      <c r="M267" s="34" t="n"/>
      <c r="N267" s="35">
        <f>IF($C267="","",IF(NOT(ISNUMBER($F267)),"No dividend",IF($F267=0,"No dividend",IF(ISNUMBER($I267),"OK","Frank assumed"))))</f>
        <v/>
      </c>
      <c r="P267" s="57">
        <f>IF($N267="No dividend","",IF($C267="","",BDP($C267,'Field Check'!$C$43)))</f>
        <v/>
      </c>
      <c r="Q267" s="105">
        <f>IFERROR(IF(LEN($P267)&lt;&gt;3,1,IF($P267=$D$2,1,BDP($P267&amp;$D$2&amp;" Curncy","PX_LAST"))),1)</f>
        <v/>
      </c>
    </row>
    <row r="268">
      <c r="A268" s="27" t="n"/>
      <c r="B268" s="76" t="n"/>
      <c r="C268" s="27">
        <f>IF($A268="","",$A268&amp;" Equity")</f>
        <v/>
      </c>
      <c r="D268" s="27">
        <f>IF($A268="","",BDP($C268,"NAME"))</f>
        <v/>
      </c>
      <c r="E268" s="27">
        <f>IF($A268="","",BDP($C268,"GICS_SECTOR_NAME"))</f>
        <v/>
      </c>
      <c r="F268" s="28">
        <f>IF($A268="","",BDP($C268,"EQY_DVD_SH_12M"))</f>
        <v/>
      </c>
      <c r="G268" s="29">
        <f>IF($A268="","",BDP($C268,"EQY_DVD_YLD_12M"))</f>
        <v/>
      </c>
      <c r="H268" s="29">
        <f>IF($A268="","",BDP($C268,"EQY_DVD_YLD_IND"))</f>
        <v/>
      </c>
      <c r="I268" s="29">
        <f>IF($A268="","",BDP($C268,'Field Check'!$C$4))</f>
        <v/>
      </c>
      <c r="J268" s="106">
        <f>IFERROR(IF($B268="","",IF(ISNUMBER($F268),$B268*$F268*$D$3/$B$3,0)),"")</f>
        <v/>
      </c>
      <c r="K268" s="106">
        <f>IFERROR(IF($J268="","",$J268*IF(ISNUMBER($I268),$I268,'Index Summary'!$C$7)/100),"")</f>
        <v/>
      </c>
      <c r="L268" s="106">
        <f>IFERROR(IF($K268="","",$J268-$K268),"")</f>
        <v/>
      </c>
      <c r="M268" s="30" t="n"/>
      <c r="N268" s="31">
        <f>IF($C268="","",IF(NOT(ISNUMBER($F268)),"No dividend",IF($F268=0,"No dividend",IF(ISNUMBER($I268),"OK","Frank assumed"))))</f>
        <v/>
      </c>
      <c r="P268" s="57">
        <f>IF($N268="No dividend","",IF($C268="","",BDP($C268,'Field Check'!$C$43)))</f>
        <v/>
      </c>
      <c r="Q268" s="105">
        <f>IFERROR(IF(LEN($P268)&lt;&gt;3,1,IF($P268=$D$2,1,BDP($P268&amp;$D$2&amp;" Curncy","PX_LAST"))),1)</f>
        <v/>
      </c>
    </row>
    <row r="269">
      <c r="A269" s="16" t="n"/>
      <c r="B269" s="76" t="n"/>
      <c r="C269" s="16">
        <f>IF($A269="","",$A269&amp;" Equity")</f>
        <v/>
      </c>
      <c r="D269" s="16">
        <f>IF($A269="","",BDP($C269,"NAME"))</f>
        <v/>
      </c>
      <c r="E269" s="16">
        <f>IF($A269="","",BDP($C269,"GICS_SECTOR_NAME"))</f>
        <v/>
      </c>
      <c r="F269" s="32">
        <f>IF($A269="","",BDP($C269,"EQY_DVD_SH_12M"))</f>
        <v/>
      </c>
      <c r="G269" s="33">
        <f>IF($A269="","",BDP($C269,"EQY_DVD_YLD_12M"))</f>
        <v/>
      </c>
      <c r="H269" s="33">
        <f>IF($A269="","",BDP($C269,"EQY_DVD_YLD_IND"))</f>
        <v/>
      </c>
      <c r="I269" s="33">
        <f>IF($A269="","",BDP($C269,'Field Check'!$C$4))</f>
        <v/>
      </c>
      <c r="J269" s="106">
        <f>IFERROR(IF($B269="","",IF(ISNUMBER($F269),$B269*$F269*$D$3/$B$3,0)),"")</f>
        <v/>
      </c>
      <c r="K269" s="106">
        <f>IFERROR(IF($J269="","",$J269*IF(ISNUMBER($I269),$I269,'Index Summary'!$C$7)/100),"")</f>
        <v/>
      </c>
      <c r="L269" s="106">
        <f>IFERROR(IF($K269="","",$J269-$K269),"")</f>
        <v/>
      </c>
      <c r="M269" s="34" t="n"/>
      <c r="N269" s="35">
        <f>IF($C269="","",IF(NOT(ISNUMBER($F269)),"No dividend",IF($F269=0,"No dividend",IF(ISNUMBER($I269),"OK","Frank assumed"))))</f>
        <v/>
      </c>
      <c r="P269" s="57">
        <f>IF($N269="No dividend","",IF($C269="","",BDP($C269,'Field Check'!$C$43)))</f>
        <v/>
      </c>
      <c r="Q269" s="105">
        <f>IFERROR(IF(LEN($P269)&lt;&gt;3,1,IF($P269=$D$2,1,BDP($P269&amp;$D$2&amp;" Curncy","PX_LAST"))),1)</f>
        <v/>
      </c>
    </row>
    <row r="270">
      <c r="A270" s="27" t="n"/>
      <c r="B270" s="76" t="n"/>
      <c r="C270" s="27">
        <f>IF($A270="","",$A270&amp;" Equity")</f>
        <v/>
      </c>
      <c r="D270" s="27">
        <f>IF($A270="","",BDP($C270,"NAME"))</f>
        <v/>
      </c>
      <c r="E270" s="27">
        <f>IF($A270="","",BDP($C270,"GICS_SECTOR_NAME"))</f>
        <v/>
      </c>
      <c r="F270" s="28">
        <f>IF($A270="","",BDP($C270,"EQY_DVD_SH_12M"))</f>
        <v/>
      </c>
      <c r="G270" s="29">
        <f>IF($A270="","",BDP($C270,"EQY_DVD_YLD_12M"))</f>
        <v/>
      </c>
      <c r="H270" s="29">
        <f>IF($A270="","",BDP($C270,"EQY_DVD_YLD_IND"))</f>
        <v/>
      </c>
      <c r="I270" s="29">
        <f>IF($A270="","",BDP($C270,'Field Check'!$C$4))</f>
        <v/>
      </c>
      <c r="J270" s="106">
        <f>IFERROR(IF($B270="","",IF(ISNUMBER($F270),$B270*$F270*$D$3/$B$3,0)),"")</f>
        <v/>
      </c>
      <c r="K270" s="106">
        <f>IFERROR(IF($J270="","",$J270*IF(ISNUMBER($I270),$I270,'Index Summary'!$C$7)/100),"")</f>
        <v/>
      </c>
      <c r="L270" s="106">
        <f>IFERROR(IF($K270="","",$J270-$K270),"")</f>
        <v/>
      </c>
      <c r="M270" s="30" t="n"/>
      <c r="N270" s="31">
        <f>IF($C270="","",IF(NOT(ISNUMBER($F270)),"No dividend",IF($F270=0,"No dividend",IF(ISNUMBER($I270),"OK","Frank assumed"))))</f>
        <v/>
      </c>
      <c r="P270" s="57">
        <f>IF($N270="No dividend","",IF($C270="","",BDP($C270,'Field Check'!$C$43)))</f>
        <v/>
      </c>
      <c r="Q270" s="105">
        <f>IFERROR(IF(LEN($P270)&lt;&gt;3,1,IF($P270=$D$2,1,BDP($P270&amp;$D$2&amp;" Curncy","PX_LAST"))),1)</f>
        <v/>
      </c>
    </row>
    <row r="271">
      <c r="A271" s="16" t="n"/>
      <c r="B271" s="76" t="n"/>
      <c r="C271" s="16">
        <f>IF($A271="","",$A271&amp;" Equity")</f>
        <v/>
      </c>
      <c r="D271" s="16">
        <f>IF($A271="","",BDP($C271,"NAME"))</f>
        <v/>
      </c>
      <c r="E271" s="16">
        <f>IF($A271="","",BDP($C271,"GICS_SECTOR_NAME"))</f>
        <v/>
      </c>
      <c r="F271" s="32">
        <f>IF($A271="","",BDP($C271,"EQY_DVD_SH_12M"))</f>
        <v/>
      </c>
      <c r="G271" s="33">
        <f>IF($A271="","",BDP($C271,"EQY_DVD_YLD_12M"))</f>
        <v/>
      </c>
      <c r="H271" s="33">
        <f>IF($A271="","",BDP($C271,"EQY_DVD_YLD_IND"))</f>
        <v/>
      </c>
      <c r="I271" s="33">
        <f>IF($A271="","",BDP($C271,'Field Check'!$C$4))</f>
        <v/>
      </c>
      <c r="J271" s="106">
        <f>IFERROR(IF($B271="","",IF(ISNUMBER($F271),$B271*$F271*$D$3/$B$3,0)),"")</f>
        <v/>
      </c>
      <c r="K271" s="106">
        <f>IFERROR(IF($J271="","",$J271*IF(ISNUMBER($I271),$I271,'Index Summary'!$C$7)/100),"")</f>
        <v/>
      </c>
      <c r="L271" s="106">
        <f>IFERROR(IF($K271="","",$J271-$K271),"")</f>
        <v/>
      </c>
      <c r="M271" s="34" t="n"/>
      <c r="N271" s="35">
        <f>IF($C271="","",IF(NOT(ISNUMBER($F271)),"No dividend",IF($F271=0,"No dividend",IF(ISNUMBER($I271),"OK","Frank assumed"))))</f>
        <v/>
      </c>
      <c r="P271" s="57">
        <f>IF($N271="No dividend","",IF($C271="","",BDP($C271,'Field Check'!$C$43)))</f>
        <v/>
      </c>
      <c r="Q271" s="105">
        <f>IFERROR(IF(LEN($P271)&lt;&gt;3,1,IF($P271=$D$2,1,BDP($P271&amp;$D$2&amp;" Curncy","PX_LAST"))),1)</f>
        <v/>
      </c>
    </row>
    <row r="272">
      <c r="A272" s="27" t="n"/>
      <c r="B272" s="76" t="n"/>
      <c r="C272" s="27">
        <f>IF($A272="","",$A272&amp;" Equity")</f>
        <v/>
      </c>
      <c r="D272" s="27">
        <f>IF($A272="","",BDP($C272,"NAME"))</f>
        <v/>
      </c>
      <c r="E272" s="27">
        <f>IF($A272="","",BDP($C272,"GICS_SECTOR_NAME"))</f>
        <v/>
      </c>
      <c r="F272" s="28">
        <f>IF($A272="","",BDP($C272,"EQY_DVD_SH_12M"))</f>
        <v/>
      </c>
      <c r="G272" s="29">
        <f>IF($A272="","",BDP($C272,"EQY_DVD_YLD_12M"))</f>
        <v/>
      </c>
      <c r="H272" s="29">
        <f>IF($A272="","",BDP($C272,"EQY_DVD_YLD_IND"))</f>
        <v/>
      </c>
      <c r="I272" s="29">
        <f>IF($A272="","",BDP($C272,'Field Check'!$C$4))</f>
        <v/>
      </c>
      <c r="J272" s="106">
        <f>IFERROR(IF($B272="","",IF(ISNUMBER($F272),$B272*$F272*$D$3/$B$3,0)),"")</f>
        <v/>
      </c>
      <c r="K272" s="106">
        <f>IFERROR(IF($J272="","",$J272*IF(ISNUMBER($I272),$I272,'Index Summary'!$C$7)/100),"")</f>
        <v/>
      </c>
      <c r="L272" s="106">
        <f>IFERROR(IF($K272="","",$J272-$K272),"")</f>
        <v/>
      </c>
      <c r="M272" s="30" t="n"/>
      <c r="N272" s="31">
        <f>IF($C272="","",IF(NOT(ISNUMBER($F272)),"No dividend",IF($F272=0,"No dividend",IF(ISNUMBER($I272),"OK","Frank assumed"))))</f>
        <v/>
      </c>
      <c r="P272" s="57">
        <f>IF($N272="No dividend","",IF($C272="","",BDP($C272,'Field Check'!$C$43)))</f>
        <v/>
      </c>
      <c r="Q272" s="105">
        <f>IFERROR(IF(LEN($P272)&lt;&gt;3,1,IF($P272=$D$2,1,BDP($P272&amp;$D$2&amp;" Curncy","PX_LAST"))),1)</f>
        <v/>
      </c>
    </row>
    <row r="273">
      <c r="A273" s="16" t="n"/>
      <c r="B273" s="76" t="n"/>
      <c r="C273" s="16">
        <f>IF($A273="","",$A273&amp;" Equity")</f>
        <v/>
      </c>
      <c r="D273" s="16">
        <f>IF($A273="","",BDP($C273,"NAME"))</f>
        <v/>
      </c>
      <c r="E273" s="16">
        <f>IF($A273="","",BDP($C273,"GICS_SECTOR_NAME"))</f>
        <v/>
      </c>
      <c r="F273" s="32">
        <f>IF($A273="","",BDP($C273,"EQY_DVD_SH_12M"))</f>
        <v/>
      </c>
      <c r="G273" s="33">
        <f>IF($A273="","",BDP($C273,"EQY_DVD_YLD_12M"))</f>
        <v/>
      </c>
      <c r="H273" s="33">
        <f>IF($A273="","",BDP($C273,"EQY_DVD_YLD_IND"))</f>
        <v/>
      </c>
      <c r="I273" s="33">
        <f>IF($A273="","",BDP($C273,'Field Check'!$C$4))</f>
        <v/>
      </c>
      <c r="J273" s="106">
        <f>IFERROR(IF($B273="","",IF(ISNUMBER($F273),$B273*$F273*$D$3/$B$3,0)),"")</f>
        <v/>
      </c>
      <c r="K273" s="106">
        <f>IFERROR(IF($J273="","",$J273*IF(ISNUMBER($I273),$I273,'Index Summary'!$C$7)/100),"")</f>
        <v/>
      </c>
      <c r="L273" s="106">
        <f>IFERROR(IF($K273="","",$J273-$K273),"")</f>
        <v/>
      </c>
      <c r="M273" s="34" t="n"/>
      <c r="N273" s="35">
        <f>IF($C273="","",IF(NOT(ISNUMBER($F273)),"No dividend",IF($F273=0,"No dividend",IF(ISNUMBER($I273),"OK","Frank assumed"))))</f>
        <v/>
      </c>
      <c r="P273" s="57">
        <f>IF($N273="No dividend","",IF($C273="","",BDP($C273,'Field Check'!$C$43)))</f>
        <v/>
      </c>
      <c r="Q273" s="105">
        <f>IFERROR(IF(LEN($P273)&lt;&gt;3,1,IF($P273=$D$2,1,BDP($P273&amp;$D$2&amp;" Curncy","PX_LAST"))),1)</f>
        <v/>
      </c>
    </row>
    <row r="274">
      <c r="A274" s="27" t="n"/>
      <c r="B274" s="76" t="n"/>
      <c r="C274" s="27">
        <f>IF($A274="","",$A274&amp;" Equity")</f>
        <v/>
      </c>
      <c r="D274" s="27">
        <f>IF($A274="","",BDP($C274,"NAME"))</f>
        <v/>
      </c>
      <c r="E274" s="27">
        <f>IF($A274="","",BDP($C274,"GICS_SECTOR_NAME"))</f>
        <v/>
      </c>
      <c r="F274" s="28">
        <f>IF($A274="","",BDP($C274,"EQY_DVD_SH_12M"))</f>
        <v/>
      </c>
      <c r="G274" s="29">
        <f>IF($A274="","",BDP($C274,"EQY_DVD_YLD_12M"))</f>
        <v/>
      </c>
      <c r="H274" s="29">
        <f>IF($A274="","",BDP($C274,"EQY_DVD_YLD_IND"))</f>
        <v/>
      </c>
      <c r="I274" s="29">
        <f>IF($A274="","",BDP($C274,'Field Check'!$C$4))</f>
        <v/>
      </c>
      <c r="J274" s="106">
        <f>IFERROR(IF($B274="","",IF(ISNUMBER($F274),$B274*$F274*$D$3/$B$3,0)),"")</f>
        <v/>
      </c>
      <c r="K274" s="106">
        <f>IFERROR(IF($J274="","",$J274*IF(ISNUMBER($I274),$I274,'Index Summary'!$C$7)/100),"")</f>
        <v/>
      </c>
      <c r="L274" s="106">
        <f>IFERROR(IF($K274="","",$J274-$K274),"")</f>
        <v/>
      </c>
      <c r="M274" s="30" t="n"/>
      <c r="N274" s="31">
        <f>IF($C274="","",IF(NOT(ISNUMBER($F274)),"No dividend",IF($F274=0,"No dividend",IF(ISNUMBER($I274),"OK","Frank assumed"))))</f>
        <v/>
      </c>
      <c r="P274" s="57">
        <f>IF($N274="No dividend","",IF($C274="","",BDP($C274,'Field Check'!$C$43)))</f>
        <v/>
      </c>
      <c r="Q274" s="105">
        <f>IFERROR(IF(LEN($P274)&lt;&gt;3,1,IF($P274=$D$2,1,BDP($P274&amp;$D$2&amp;" Curncy","PX_LAST"))),1)</f>
        <v/>
      </c>
    </row>
    <row r="275">
      <c r="A275" s="16" t="n"/>
      <c r="B275" s="76" t="n"/>
      <c r="C275" s="16">
        <f>IF($A275="","",$A275&amp;" Equity")</f>
        <v/>
      </c>
      <c r="D275" s="16">
        <f>IF($A275="","",BDP($C275,"NAME"))</f>
        <v/>
      </c>
      <c r="E275" s="16">
        <f>IF($A275="","",BDP($C275,"GICS_SECTOR_NAME"))</f>
        <v/>
      </c>
      <c r="F275" s="32">
        <f>IF($A275="","",BDP($C275,"EQY_DVD_SH_12M"))</f>
        <v/>
      </c>
      <c r="G275" s="33">
        <f>IF($A275="","",BDP($C275,"EQY_DVD_YLD_12M"))</f>
        <v/>
      </c>
      <c r="H275" s="33">
        <f>IF($A275="","",BDP($C275,"EQY_DVD_YLD_IND"))</f>
        <v/>
      </c>
      <c r="I275" s="33">
        <f>IF($A275="","",BDP($C275,'Field Check'!$C$4))</f>
        <v/>
      </c>
      <c r="J275" s="106">
        <f>IFERROR(IF($B275="","",IF(ISNUMBER($F275),$B275*$F275*$D$3/$B$3,0)),"")</f>
        <v/>
      </c>
      <c r="K275" s="106">
        <f>IFERROR(IF($J275="","",$J275*IF(ISNUMBER($I275),$I275,'Index Summary'!$C$7)/100),"")</f>
        <v/>
      </c>
      <c r="L275" s="106">
        <f>IFERROR(IF($K275="","",$J275-$K275),"")</f>
        <v/>
      </c>
      <c r="M275" s="34" t="n"/>
      <c r="N275" s="35">
        <f>IF($C275="","",IF(NOT(ISNUMBER($F275)),"No dividend",IF($F275=0,"No dividend",IF(ISNUMBER($I275),"OK","Frank assumed"))))</f>
        <v/>
      </c>
      <c r="P275" s="57">
        <f>IF($N275="No dividend","",IF($C275="","",BDP($C275,'Field Check'!$C$43)))</f>
        <v/>
      </c>
      <c r="Q275" s="105">
        <f>IFERROR(IF(LEN($P275)&lt;&gt;3,1,IF($P275=$D$2,1,BDP($P275&amp;$D$2&amp;" Curncy","PX_LAST"))),1)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MSCI Australia (MXAU) - MEMBERS, DIVIDENDS &amp; FRANKING</t>
        </is>
      </c>
    </row>
    <row r="2">
      <c r="A2" s="3" t="inlineStr">
        <is>
          <t>Index ticker</t>
        </is>
      </c>
      <c r="B2" s="10" t="inlineStr">
        <is>
          <t>MXAU Index</t>
        </is>
      </c>
      <c r="C2" s="3" t="inlineStr">
        <is>
          <t>Index ccy</t>
        </is>
      </c>
      <c r="D2" s="72" t="inlineStr">
        <is>
          <t>USD</t>
        </is>
      </c>
      <c r="E2" s="3" t="inlineStr">
        <is>
          <t>Members returned</t>
        </is>
      </c>
      <c r="H2" s="22">
        <f>SUMPRODUCT(($A$6:$A$175&lt;&gt;"")*1)</f>
        <v/>
      </c>
      <c r="J2" s="3" t="inlineStr">
        <is>
          <t>No dividend</t>
        </is>
      </c>
      <c r="L2" s="22">
        <f>COUNTIF($N$6:$N$175,"No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3" t="n"/>
      <c r="C3" s="3" t="inlineStr">
        <is>
          <t>AUD -&gt; index ccy</t>
        </is>
      </c>
      <c r="D3" s="105">
        <f>IF($D$2="AUD",1,BDP("AUD"&amp;$D$2&amp;" Curncy","PX_LAST"))</f>
        <v/>
      </c>
      <c r="E3" s="3" t="inlineStr">
        <is>
          <t>Dividend payers</t>
        </is>
      </c>
      <c r="H3" s="22">
        <f>COUNTIF($N$6:$N$175,"OK")+COUNTIF($N$6:$N$175,"Frank assumed")</f>
        <v/>
      </c>
      <c r="J3" s="3" t="inlineStr">
        <is>
          <t>Frank assumed</t>
        </is>
      </c>
      <c r="L3" s="22">
        <f>COUNTIF($N$6:$N$175,"Frank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3">
        <f>IFERROR(SUM($J$6:$J$175),"")</f>
        <v/>
      </c>
      <c r="K4" s="63">
        <f>IFERROR(SUM($K$6:$K$175),"")</f>
        <v/>
      </c>
      <c r="L4" s="63">
        <f>IFERROR(SUM($L$6:$L$175),"")</f>
        <v/>
      </c>
      <c r="M4" s="24" t="n"/>
      <c r="N4" s="75">
        <f>IFERROR(SUMIF($N$6:$N$175,"OK",$J$6:$J$175)/$J$4,"")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3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3" t="inlineStr">
        <is>
          <t>Dvd 12M
(pts)</t>
        </is>
      </c>
      <c r="K5" s="53" t="inlineStr">
        <is>
          <t>Franked
(pts)</t>
        </is>
      </c>
      <c r="L5" s="53" t="inlineStr">
        <is>
          <t>Unfranked
(pts)</t>
        </is>
      </c>
      <c r="M5" s="26" t="n"/>
      <c r="N5" s="26" t="inlineStr">
        <is>
          <t>Status</t>
        </is>
      </c>
      <c r="P5" s="53" t="inlineStr">
        <is>
          <t>Dvd
CCY</t>
        </is>
      </c>
      <c r="Q5" s="53" t="inlineStr">
        <is>
          <t>Dvd FX</t>
        </is>
      </c>
    </row>
    <row r="6">
      <c r="A6" s="16">
        <f>BDS($B$2,"INDX_MEMBERS")</f>
        <v/>
      </c>
      <c r="B6" s="76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06">
        <f>IFERROR(IF($B6="","",IF(ISNUMBER($F6),$B6*$F6*$D$3/$B$3,0)),"")</f>
        <v/>
      </c>
      <c r="K6" s="106">
        <f>IFERROR(IF($J6="","",$J6*IF(ISNUMBER($I6),$I6,'Index Summary'!$C$7)/100),"")</f>
        <v/>
      </c>
      <c r="L6" s="106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7">
        <f>IF($N6="No dividend","",IF($C6="","",BDP($C6,'Field Check'!$C$43)))</f>
        <v/>
      </c>
      <c r="Q6" s="105">
        <f>IFERROR(IF(LEN($P6)&lt;&gt;3,1,IF($P6=$D$2,1,BDP($P6&amp;$D$2&amp;" Curncy","PX_LAST"))),1)</f>
        <v/>
      </c>
    </row>
    <row r="7">
      <c r="A7" s="16" t="n"/>
      <c r="B7" s="76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06">
        <f>IFERROR(IF($B7="","",IF(ISNUMBER($F7),$B7*$F7*$D$3/$B$3,0)),"")</f>
        <v/>
      </c>
      <c r="K7" s="106">
        <f>IFERROR(IF($J7="","",$J7*IF(ISNUMBER($I7),$I7,'Index Summary'!$C$7)/100),"")</f>
        <v/>
      </c>
      <c r="L7" s="106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7">
        <f>IF($N7="No dividend","",IF($C7="","",BDP($C7,'Field Check'!$C$43)))</f>
        <v/>
      </c>
      <c r="Q7" s="105">
        <f>IFERROR(IF(LEN($P7)&lt;&gt;3,1,IF($P7=$D$2,1,BDP($P7&amp;$D$2&amp;" Curncy","PX_LAST"))),1)</f>
        <v/>
      </c>
    </row>
    <row r="8">
      <c r="A8" s="27" t="n"/>
      <c r="B8" s="76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06">
        <f>IFERROR(IF($B8="","",IF(ISNUMBER($F8),$B8*$F8*$D$3/$B$3,0)),"")</f>
        <v/>
      </c>
      <c r="K8" s="106">
        <f>IFERROR(IF($J8="","",$J8*IF(ISNUMBER($I8),$I8,'Index Summary'!$C$7)/100),"")</f>
        <v/>
      </c>
      <c r="L8" s="106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7">
        <f>IF($N8="No dividend","",IF($C8="","",BDP($C8,'Field Check'!$C$43)))</f>
        <v/>
      </c>
      <c r="Q8" s="105">
        <f>IFERROR(IF(LEN($P8)&lt;&gt;3,1,IF($P8=$D$2,1,BDP($P8&amp;$D$2&amp;" Curncy","PX_LAST"))),1)</f>
        <v/>
      </c>
    </row>
    <row r="9">
      <c r="A9" s="16" t="n"/>
      <c r="B9" s="76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06">
        <f>IFERROR(IF($B9="","",IF(ISNUMBER($F9),$B9*$F9*$D$3/$B$3,0)),"")</f>
        <v/>
      </c>
      <c r="K9" s="106">
        <f>IFERROR(IF($J9="","",$J9*IF(ISNUMBER($I9),$I9,'Index Summary'!$C$7)/100),"")</f>
        <v/>
      </c>
      <c r="L9" s="106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7">
        <f>IF($N9="No dividend","",IF($C9="","",BDP($C9,'Field Check'!$C$43)))</f>
        <v/>
      </c>
      <c r="Q9" s="105">
        <f>IFERROR(IF(LEN($P9)&lt;&gt;3,1,IF($P9=$D$2,1,BDP($P9&amp;$D$2&amp;" Curncy","PX_LAST"))),1)</f>
        <v/>
      </c>
    </row>
    <row r="10">
      <c r="A10" s="27" t="n"/>
      <c r="B10" s="76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06">
        <f>IFERROR(IF($B10="","",IF(ISNUMBER($F10),$B10*$F10*$D$3/$B$3,0)),"")</f>
        <v/>
      </c>
      <c r="K10" s="106">
        <f>IFERROR(IF($J10="","",$J10*IF(ISNUMBER($I10),$I10,'Index Summary'!$C$7)/100),"")</f>
        <v/>
      </c>
      <c r="L10" s="106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7">
        <f>IF($N10="No dividend","",IF($C10="","",BDP($C10,'Field Check'!$C$43)))</f>
        <v/>
      </c>
      <c r="Q10" s="105">
        <f>IFERROR(IF(LEN($P10)&lt;&gt;3,1,IF($P10=$D$2,1,BDP($P10&amp;$D$2&amp;" Curncy","PX_LAST"))),1)</f>
        <v/>
      </c>
    </row>
    <row r="11">
      <c r="A11" s="16" t="n"/>
      <c r="B11" s="76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06">
        <f>IFERROR(IF($B11="","",IF(ISNUMBER($F11),$B11*$F11*$D$3/$B$3,0)),"")</f>
        <v/>
      </c>
      <c r="K11" s="106">
        <f>IFERROR(IF($J11="","",$J11*IF(ISNUMBER($I11),$I11,'Index Summary'!$C$7)/100),"")</f>
        <v/>
      </c>
      <c r="L11" s="106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7">
        <f>IF($N11="No dividend","",IF($C11="","",BDP($C11,'Field Check'!$C$43)))</f>
        <v/>
      </c>
      <c r="Q11" s="105">
        <f>IFERROR(IF(LEN($P11)&lt;&gt;3,1,IF($P11=$D$2,1,BDP($P11&amp;$D$2&amp;" Curncy","PX_LAST"))),1)</f>
        <v/>
      </c>
    </row>
    <row r="12">
      <c r="A12" s="27" t="n"/>
      <c r="B12" s="76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06">
        <f>IFERROR(IF($B12="","",IF(ISNUMBER($F12),$B12*$F12*$D$3/$B$3,0)),"")</f>
        <v/>
      </c>
      <c r="K12" s="106">
        <f>IFERROR(IF($J12="","",$J12*IF(ISNUMBER($I12),$I12,'Index Summary'!$C$7)/100),"")</f>
        <v/>
      </c>
      <c r="L12" s="106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7">
        <f>IF($N12="No dividend","",IF($C12="","",BDP($C12,'Field Check'!$C$43)))</f>
        <v/>
      </c>
      <c r="Q12" s="105">
        <f>IFERROR(IF(LEN($P12)&lt;&gt;3,1,IF($P12=$D$2,1,BDP($P12&amp;$D$2&amp;" Curncy","PX_LAST"))),1)</f>
        <v/>
      </c>
    </row>
    <row r="13">
      <c r="A13" s="16" t="n"/>
      <c r="B13" s="76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06">
        <f>IFERROR(IF($B13="","",IF(ISNUMBER($F13),$B13*$F13*$D$3/$B$3,0)),"")</f>
        <v/>
      </c>
      <c r="K13" s="106">
        <f>IFERROR(IF($J13="","",$J13*IF(ISNUMBER($I13),$I13,'Index Summary'!$C$7)/100),"")</f>
        <v/>
      </c>
      <c r="L13" s="106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7">
        <f>IF($N13="No dividend","",IF($C13="","",BDP($C13,'Field Check'!$C$43)))</f>
        <v/>
      </c>
      <c r="Q13" s="105">
        <f>IFERROR(IF(LEN($P13)&lt;&gt;3,1,IF($P13=$D$2,1,BDP($P13&amp;$D$2&amp;" Curncy","PX_LAST"))),1)</f>
        <v/>
      </c>
    </row>
    <row r="14">
      <c r="A14" s="27" t="n"/>
      <c r="B14" s="76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06">
        <f>IFERROR(IF($B14="","",IF(ISNUMBER($F14),$B14*$F14*$D$3/$B$3,0)),"")</f>
        <v/>
      </c>
      <c r="K14" s="106">
        <f>IFERROR(IF($J14="","",$J14*IF(ISNUMBER($I14),$I14,'Index Summary'!$C$7)/100),"")</f>
        <v/>
      </c>
      <c r="L14" s="106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7">
        <f>IF($N14="No dividend","",IF($C14="","",BDP($C14,'Field Check'!$C$43)))</f>
        <v/>
      </c>
      <c r="Q14" s="105">
        <f>IFERROR(IF(LEN($P14)&lt;&gt;3,1,IF($P14=$D$2,1,BDP($P14&amp;$D$2&amp;" Curncy","PX_LAST"))),1)</f>
        <v/>
      </c>
    </row>
    <row r="15">
      <c r="A15" s="16" t="n"/>
      <c r="B15" s="76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06">
        <f>IFERROR(IF($B15="","",IF(ISNUMBER($F15),$B15*$F15*$D$3/$B$3,0)),"")</f>
        <v/>
      </c>
      <c r="K15" s="106">
        <f>IFERROR(IF($J15="","",$J15*IF(ISNUMBER($I15),$I15,'Index Summary'!$C$7)/100),"")</f>
        <v/>
      </c>
      <c r="L15" s="106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7">
        <f>IF($N15="No dividend","",IF($C15="","",BDP($C15,'Field Check'!$C$43)))</f>
        <v/>
      </c>
      <c r="Q15" s="105">
        <f>IFERROR(IF(LEN($P15)&lt;&gt;3,1,IF($P15=$D$2,1,BDP($P15&amp;$D$2&amp;" Curncy","PX_LAST"))),1)</f>
        <v/>
      </c>
    </row>
    <row r="16">
      <c r="A16" s="27" t="n"/>
      <c r="B16" s="76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06">
        <f>IFERROR(IF($B16="","",IF(ISNUMBER($F16),$B16*$F16*$D$3/$B$3,0)),"")</f>
        <v/>
      </c>
      <c r="K16" s="106">
        <f>IFERROR(IF($J16="","",$J16*IF(ISNUMBER($I16),$I16,'Index Summary'!$C$7)/100),"")</f>
        <v/>
      </c>
      <c r="L16" s="106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7">
        <f>IF($N16="No dividend","",IF($C16="","",BDP($C16,'Field Check'!$C$43)))</f>
        <v/>
      </c>
      <c r="Q16" s="105">
        <f>IFERROR(IF(LEN($P16)&lt;&gt;3,1,IF($P16=$D$2,1,BDP($P16&amp;$D$2&amp;" Curncy","PX_LAST"))),1)</f>
        <v/>
      </c>
    </row>
    <row r="17">
      <c r="A17" s="16" t="n"/>
      <c r="B17" s="76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06">
        <f>IFERROR(IF($B17="","",IF(ISNUMBER($F17),$B17*$F17*$D$3/$B$3,0)),"")</f>
        <v/>
      </c>
      <c r="K17" s="106">
        <f>IFERROR(IF($J17="","",$J17*IF(ISNUMBER($I17),$I17,'Index Summary'!$C$7)/100),"")</f>
        <v/>
      </c>
      <c r="L17" s="106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7">
        <f>IF($N17="No dividend","",IF($C17="","",BDP($C17,'Field Check'!$C$43)))</f>
        <v/>
      </c>
      <c r="Q17" s="105">
        <f>IFERROR(IF(LEN($P17)&lt;&gt;3,1,IF($P17=$D$2,1,BDP($P17&amp;$D$2&amp;" Curncy","PX_LAST"))),1)</f>
        <v/>
      </c>
    </row>
    <row r="18">
      <c r="A18" s="27" t="n"/>
      <c r="B18" s="76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06">
        <f>IFERROR(IF($B18="","",IF(ISNUMBER($F18),$B18*$F18*$D$3/$B$3,0)),"")</f>
        <v/>
      </c>
      <c r="K18" s="106">
        <f>IFERROR(IF($J18="","",$J18*IF(ISNUMBER($I18),$I18,'Index Summary'!$C$7)/100),"")</f>
        <v/>
      </c>
      <c r="L18" s="106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7">
        <f>IF($N18="No dividend","",IF($C18="","",BDP($C18,'Field Check'!$C$43)))</f>
        <v/>
      </c>
      <c r="Q18" s="105">
        <f>IFERROR(IF(LEN($P18)&lt;&gt;3,1,IF($P18=$D$2,1,BDP($P18&amp;$D$2&amp;" Curncy","PX_LAST"))),1)</f>
        <v/>
      </c>
    </row>
    <row r="19">
      <c r="A19" s="16" t="n"/>
      <c r="B19" s="76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06">
        <f>IFERROR(IF($B19="","",IF(ISNUMBER($F19),$B19*$F19*$D$3/$B$3,0)),"")</f>
        <v/>
      </c>
      <c r="K19" s="106">
        <f>IFERROR(IF($J19="","",$J19*IF(ISNUMBER($I19),$I19,'Index Summary'!$C$7)/100),"")</f>
        <v/>
      </c>
      <c r="L19" s="106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7">
        <f>IF($N19="No dividend","",IF($C19="","",BDP($C19,'Field Check'!$C$43)))</f>
        <v/>
      </c>
      <c r="Q19" s="105">
        <f>IFERROR(IF(LEN($P19)&lt;&gt;3,1,IF($P19=$D$2,1,BDP($P19&amp;$D$2&amp;" Curncy","PX_LAST"))),1)</f>
        <v/>
      </c>
    </row>
    <row r="20">
      <c r="A20" s="27" t="n"/>
      <c r="B20" s="76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06">
        <f>IFERROR(IF($B20="","",IF(ISNUMBER($F20),$B20*$F20*$D$3/$B$3,0)),"")</f>
        <v/>
      </c>
      <c r="K20" s="106">
        <f>IFERROR(IF($J20="","",$J20*IF(ISNUMBER($I20),$I20,'Index Summary'!$C$7)/100),"")</f>
        <v/>
      </c>
      <c r="L20" s="106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7">
        <f>IF($N20="No dividend","",IF($C20="","",BDP($C20,'Field Check'!$C$43)))</f>
        <v/>
      </c>
      <c r="Q20" s="105">
        <f>IFERROR(IF(LEN($P20)&lt;&gt;3,1,IF($P20=$D$2,1,BDP($P20&amp;$D$2&amp;" Curncy","PX_LAST"))),1)</f>
        <v/>
      </c>
    </row>
    <row r="21">
      <c r="A21" s="16" t="n"/>
      <c r="B21" s="76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06">
        <f>IFERROR(IF($B21="","",IF(ISNUMBER($F21),$B21*$F21*$D$3/$B$3,0)),"")</f>
        <v/>
      </c>
      <c r="K21" s="106">
        <f>IFERROR(IF($J21="","",$J21*IF(ISNUMBER($I21),$I21,'Index Summary'!$C$7)/100),"")</f>
        <v/>
      </c>
      <c r="L21" s="106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7">
        <f>IF($N21="No dividend","",IF($C21="","",BDP($C21,'Field Check'!$C$43)))</f>
        <v/>
      </c>
      <c r="Q21" s="105">
        <f>IFERROR(IF(LEN($P21)&lt;&gt;3,1,IF($P21=$D$2,1,BDP($P21&amp;$D$2&amp;" Curncy","PX_LAST"))),1)</f>
        <v/>
      </c>
    </row>
    <row r="22">
      <c r="A22" s="27" t="n"/>
      <c r="B22" s="76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06">
        <f>IFERROR(IF($B22="","",IF(ISNUMBER($F22),$B22*$F22*$D$3/$B$3,0)),"")</f>
        <v/>
      </c>
      <c r="K22" s="106">
        <f>IFERROR(IF($J22="","",$J22*IF(ISNUMBER($I22),$I22,'Index Summary'!$C$7)/100),"")</f>
        <v/>
      </c>
      <c r="L22" s="106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7">
        <f>IF($N22="No dividend","",IF($C22="","",BDP($C22,'Field Check'!$C$43)))</f>
        <v/>
      </c>
      <c r="Q22" s="105">
        <f>IFERROR(IF(LEN($P22)&lt;&gt;3,1,IF($P22=$D$2,1,BDP($P22&amp;$D$2&amp;" Curncy","PX_LAST"))),1)</f>
        <v/>
      </c>
    </row>
    <row r="23">
      <c r="A23" s="16" t="n"/>
      <c r="B23" s="76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06">
        <f>IFERROR(IF($B23="","",IF(ISNUMBER($F23),$B23*$F23*$D$3/$B$3,0)),"")</f>
        <v/>
      </c>
      <c r="K23" s="106">
        <f>IFERROR(IF($J23="","",$J23*IF(ISNUMBER($I23),$I23,'Index Summary'!$C$7)/100),"")</f>
        <v/>
      </c>
      <c r="L23" s="106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7">
        <f>IF($N23="No dividend","",IF($C23="","",BDP($C23,'Field Check'!$C$43)))</f>
        <v/>
      </c>
      <c r="Q23" s="105">
        <f>IFERROR(IF(LEN($P23)&lt;&gt;3,1,IF($P23=$D$2,1,BDP($P23&amp;$D$2&amp;" Curncy","PX_LAST"))),1)</f>
        <v/>
      </c>
    </row>
    <row r="24">
      <c r="A24" s="27" t="n"/>
      <c r="B24" s="76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06">
        <f>IFERROR(IF($B24="","",IF(ISNUMBER($F24),$B24*$F24*$D$3/$B$3,0)),"")</f>
        <v/>
      </c>
      <c r="K24" s="106">
        <f>IFERROR(IF($J24="","",$J24*IF(ISNUMBER($I24),$I24,'Index Summary'!$C$7)/100),"")</f>
        <v/>
      </c>
      <c r="L24" s="106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7">
        <f>IF($N24="No dividend","",IF($C24="","",BDP($C24,'Field Check'!$C$43)))</f>
        <v/>
      </c>
      <c r="Q24" s="105">
        <f>IFERROR(IF(LEN($P24)&lt;&gt;3,1,IF($P24=$D$2,1,BDP($P24&amp;$D$2&amp;" Curncy","PX_LAST"))),1)</f>
        <v/>
      </c>
    </row>
    <row r="25">
      <c r="A25" s="16" t="n"/>
      <c r="B25" s="76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06">
        <f>IFERROR(IF($B25="","",IF(ISNUMBER($F25),$B25*$F25*$D$3/$B$3,0)),"")</f>
        <v/>
      </c>
      <c r="K25" s="106">
        <f>IFERROR(IF($J25="","",$J25*IF(ISNUMBER($I25),$I25,'Index Summary'!$C$7)/100),"")</f>
        <v/>
      </c>
      <c r="L25" s="106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7">
        <f>IF($N25="No dividend","",IF($C25="","",BDP($C25,'Field Check'!$C$43)))</f>
        <v/>
      </c>
      <c r="Q25" s="105">
        <f>IFERROR(IF(LEN($P25)&lt;&gt;3,1,IF($P25=$D$2,1,BDP($P25&amp;$D$2&amp;" Curncy","PX_LAST"))),1)</f>
        <v/>
      </c>
    </row>
    <row r="26">
      <c r="A26" s="27" t="n"/>
      <c r="B26" s="76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06">
        <f>IFERROR(IF($B26="","",IF(ISNUMBER($F26),$B26*$F26*$D$3/$B$3,0)),"")</f>
        <v/>
      </c>
      <c r="K26" s="106">
        <f>IFERROR(IF($J26="","",$J26*IF(ISNUMBER($I26),$I26,'Index Summary'!$C$7)/100),"")</f>
        <v/>
      </c>
      <c r="L26" s="106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7">
        <f>IF($N26="No dividend","",IF($C26="","",BDP($C26,'Field Check'!$C$43)))</f>
        <v/>
      </c>
      <c r="Q26" s="105">
        <f>IFERROR(IF(LEN($P26)&lt;&gt;3,1,IF($P26=$D$2,1,BDP($P26&amp;$D$2&amp;" Curncy","PX_LAST"))),1)</f>
        <v/>
      </c>
    </row>
    <row r="27">
      <c r="A27" s="16" t="n"/>
      <c r="B27" s="76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06">
        <f>IFERROR(IF($B27="","",IF(ISNUMBER($F27),$B27*$F27*$D$3/$B$3,0)),"")</f>
        <v/>
      </c>
      <c r="K27" s="106">
        <f>IFERROR(IF($J27="","",$J27*IF(ISNUMBER($I27),$I27,'Index Summary'!$C$7)/100),"")</f>
        <v/>
      </c>
      <c r="L27" s="106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7">
        <f>IF($N27="No dividend","",IF($C27="","",BDP($C27,'Field Check'!$C$43)))</f>
        <v/>
      </c>
      <c r="Q27" s="105">
        <f>IFERROR(IF(LEN($P27)&lt;&gt;3,1,IF($P27=$D$2,1,BDP($P27&amp;$D$2&amp;" Curncy","PX_LAST"))),1)</f>
        <v/>
      </c>
    </row>
    <row r="28">
      <c r="A28" s="27" t="n"/>
      <c r="B28" s="76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06">
        <f>IFERROR(IF($B28="","",IF(ISNUMBER($F28),$B28*$F28*$D$3/$B$3,0)),"")</f>
        <v/>
      </c>
      <c r="K28" s="106">
        <f>IFERROR(IF($J28="","",$J28*IF(ISNUMBER($I28),$I28,'Index Summary'!$C$7)/100),"")</f>
        <v/>
      </c>
      <c r="L28" s="106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7">
        <f>IF($N28="No dividend","",IF($C28="","",BDP($C28,'Field Check'!$C$43)))</f>
        <v/>
      </c>
      <c r="Q28" s="105">
        <f>IFERROR(IF(LEN($P28)&lt;&gt;3,1,IF($P28=$D$2,1,BDP($P28&amp;$D$2&amp;" Curncy","PX_LAST"))),1)</f>
        <v/>
      </c>
    </row>
    <row r="29">
      <c r="A29" s="16" t="n"/>
      <c r="B29" s="76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06">
        <f>IFERROR(IF($B29="","",IF(ISNUMBER($F29),$B29*$F29*$D$3/$B$3,0)),"")</f>
        <v/>
      </c>
      <c r="K29" s="106">
        <f>IFERROR(IF($J29="","",$J29*IF(ISNUMBER($I29),$I29,'Index Summary'!$C$7)/100),"")</f>
        <v/>
      </c>
      <c r="L29" s="106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7">
        <f>IF($N29="No dividend","",IF($C29="","",BDP($C29,'Field Check'!$C$43)))</f>
        <v/>
      </c>
      <c r="Q29" s="105">
        <f>IFERROR(IF(LEN($P29)&lt;&gt;3,1,IF($P29=$D$2,1,BDP($P29&amp;$D$2&amp;" Curncy","PX_LAST"))),1)</f>
        <v/>
      </c>
    </row>
    <row r="30">
      <c r="A30" s="27" t="n"/>
      <c r="B30" s="76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06">
        <f>IFERROR(IF($B30="","",IF(ISNUMBER($F30),$B30*$F30*$D$3/$B$3,0)),"")</f>
        <v/>
      </c>
      <c r="K30" s="106">
        <f>IFERROR(IF($J30="","",$J30*IF(ISNUMBER($I30),$I30,'Index Summary'!$C$7)/100),"")</f>
        <v/>
      </c>
      <c r="L30" s="106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7">
        <f>IF($N30="No dividend","",IF($C30="","",BDP($C30,'Field Check'!$C$43)))</f>
        <v/>
      </c>
      <c r="Q30" s="105">
        <f>IFERROR(IF(LEN($P30)&lt;&gt;3,1,IF($P30=$D$2,1,BDP($P30&amp;$D$2&amp;" Curncy","PX_LAST"))),1)</f>
        <v/>
      </c>
    </row>
    <row r="31">
      <c r="A31" s="16" t="n"/>
      <c r="B31" s="76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06">
        <f>IFERROR(IF($B31="","",IF(ISNUMBER($F31),$B31*$F31*$D$3/$B$3,0)),"")</f>
        <v/>
      </c>
      <c r="K31" s="106">
        <f>IFERROR(IF($J31="","",$J31*IF(ISNUMBER($I31),$I31,'Index Summary'!$C$7)/100),"")</f>
        <v/>
      </c>
      <c r="L31" s="106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7">
        <f>IF($N31="No dividend","",IF($C31="","",BDP($C31,'Field Check'!$C$43)))</f>
        <v/>
      </c>
      <c r="Q31" s="105">
        <f>IFERROR(IF(LEN($P31)&lt;&gt;3,1,IF($P31=$D$2,1,BDP($P31&amp;$D$2&amp;" Curncy","PX_LAST"))),1)</f>
        <v/>
      </c>
    </row>
    <row r="32">
      <c r="A32" s="27" t="n"/>
      <c r="B32" s="76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06">
        <f>IFERROR(IF($B32="","",IF(ISNUMBER($F32),$B32*$F32*$D$3/$B$3,0)),"")</f>
        <v/>
      </c>
      <c r="K32" s="106">
        <f>IFERROR(IF($J32="","",$J32*IF(ISNUMBER($I32),$I32,'Index Summary'!$C$7)/100),"")</f>
        <v/>
      </c>
      <c r="L32" s="106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7">
        <f>IF($N32="No dividend","",IF($C32="","",BDP($C32,'Field Check'!$C$43)))</f>
        <v/>
      </c>
      <c r="Q32" s="105">
        <f>IFERROR(IF(LEN($P32)&lt;&gt;3,1,IF($P32=$D$2,1,BDP($P32&amp;$D$2&amp;" Curncy","PX_LAST"))),1)</f>
        <v/>
      </c>
    </row>
    <row r="33">
      <c r="A33" s="16" t="n"/>
      <c r="B33" s="76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06">
        <f>IFERROR(IF($B33="","",IF(ISNUMBER($F33),$B33*$F33*$D$3/$B$3,0)),"")</f>
        <v/>
      </c>
      <c r="K33" s="106">
        <f>IFERROR(IF($J33="","",$J33*IF(ISNUMBER($I33),$I33,'Index Summary'!$C$7)/100),"")</f>
        <v/>
      </c>
      <c r="L33" s="106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7">
        <f>IF($N33="No dividend","",IF($C33="","",BDP($C33,'Field Check'!$C$43)))</f>
        <v/>
      </c>
      <c r="Q33" s="105">
        <f>IFERROR(IF(LEN($P33)&lt;&gt;3,1,IF($P33=$D$2,1,BDP($P33&amp;$D$2&amp;" Curncy","PX_LAST"))),1)</f>
        <v/>
      </c>
    </row>
    <row r="34">
      <c r="A34" s="27" t="n"/>
      <c r="B34" s="76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06">
        <f>IFERROR(IF($B34="","",IF(ISNUMBER($F34),$B34*$F34*$D$3/$B$3,0)),"")</f>
        <v/>
      </c>
      <c r="K34" s="106">
        <f>IFERROR(IF($J34="","",$J34*IF(ISNUMBER($I34),$I34,'Index Summary'!$C$7)/100),"")</f>
        <v/>
      </c>
      <c r="L34" s="106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7">
        <f>IF($N34="No dividend","",IF($C34="","",BDP($C34,'Field Check'!$C$43)))</f>
        <v/>
      </c>
      <c r="Q34" s="105">
        <f>IFERROR(IF(LEN($P34)&lt;&gt;3,1,IF($P34=$D$2,1,BDP($P34&amp;$D$2&amp;" Curncy","PX_LAST"))),1)</f>
        <v/>
      </c>
    </row>
    <row r="35">
      <c r="A35" s="16" t="n"/>
      <c r="B35" s="76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06">
        <f>IFERROR(IF($B35="","",IF(ISNUMBER($F35),$B35*$F35*$D$3/$B$3,0)),"")</f>
        <v/>
      </c>
      <c r="K35" s="106">
        <f>IFERROR(IF($J35="","",$J35*IF(ISNUMBER($I35),$I35,'Index Summary'!$C$7)/100),"")</f>
        <v/>
      </c>
      <c r="L35" s="106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7">
        <f>IF($N35="No dividend","",IF($C35="","",BDP($C35,'Field Check'!$C$43)))</f>
        <v/>
      </c>
      <c r="Q35" s="105">
        <f>IFERROR(IF(LEN($P35)&lt;&gt;3,1,IF($P35=$D$2,1,BDP($P35&amp;$D$2&amp;" Curncy","PX_LAST"))),1)</f>
        <v/>
      </c>
    </row>
    <row r="36">
      <c r="A36" s="27" t="n"/>
      <c r="B36" s="76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06">
        <f>IFERROR(IF($B36="","",IF(ISNUMBER($F36),$B36*$F36*$D$3/$B$3,0)),"")</f>
        <v/>
      </c>
      <c r="K36" s="106">
        <f>IFERROR(IF($J36="","",$J36*IF(ISNUMBER($I36),$I36,'Index Summary'!$C$7)/100),"")</f>
        <v/>
      </c>
      <c r="L36" s="106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7">
        <f>IF($N36="No dividend","",IF($C36="","",BDP($C36,'Field Check'!$C$43)))</f>
        <v/>
      </c>
      <c r="Q36" s="105">
        <f>IFERROR(IF(LEN($P36)&lt;&gt;3,1,IF($P36=$D$2,1,BDP($P36&amp;$D$2&amp;" Curncy","PX_LAST"))),1)</f>
        <v/>
      </c>
    </row>
    <row r="37">
      <c r="A37" s="16" t="n"/>
      <c r="B37" s="76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06">
        <f>IFERROR(IF($B37="","",IF(ISNUMBER($F37),$B37*$F37*$D$3/$B$3,0)),"")</f>
        <v/>
      </c>
      <c r="K37" s="106">
        <f>IFERROR(IF($J37="","",$J37*IF(ISNUMBER($I37),$I37,'Index Summary'!$C$7)/100),"")</f>
        <v/>
      </c>
      <c r="L37" s="106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7">
        <f>IF($N37="No dividend","",IF($C37="","",BDP($C37,'Field Check'!$C$43)))</f>
        <v/>
      </c>
      <c r="Q37" s="105">
        <f>IFERROR(IF(LEN($P37)&lt;&gt;3,1,IF($P37=$D$2,1,BDP($P37&amp;$D$2&amp;" Curncy","PX_LAST"))),1)</f>
        <v/>
      </c>
    </row>
    <row r="38">
      <c r="A38" s="27" t="n"/>
      <c r="B38" s="76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06">
        <f>IFERROR(IF($B38="","",IF(ISNUMBER($F38),$B38*$F38*$D$3/$B$3,0)),"")</f>
        <v/>
      </c>
      <c r="K38" s="106">
        <f>IFERROR(IF($J38="","",$J38*IF(ISNUMBER($I38),$I38,'Index Summary'!$C$7)/100),"")</f>
        <v/>
      </c>
      <c r="L38" s="106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7">
        <f>IF($N38="No dividend","",IF($C38="","",BDP($C38,'Field Check'!$C$43)))</f>
        <v/>
      </c>
      <c r="Q38" s="105">
        <f>IFERROR(IF(LEN($P38)&lt;&gt;3,1,IF($P38=$D$2,1,BDP($P38&amp;$D$2&amp;" Curncy","PX_LAST"))),1)</f>
        <v/>
      </c>
    </row>
    <row r="39">
      <c r="A39" s="16" t="n"/>
      <c r="B39" s="76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06">
        <f>IFERROR(IF($B39="","",IF(ISNUMBER($F39),$B39*$F39*$D$3/$B$3,0)),"")</f>
        <v/>
      </c>
      <c r="K39" s="106">
        <f>IFERROR(IF($J39="","",$J39*IF(ISNUMBER($I39),$I39,'Index Summary'!$C$7)/100),"")</f>
        <v/>
      </c>
      <c r="L39" s="106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7">
        <f>IF($N39="No dividend","",IF($C39="","",BDP($C39,'Field Check'!$C$43)))</f>
        <v/>
      </c>
      <c r="Q39" s="105">
        <f>IFERROR(IF(LEN($P39)&lt;&gt;3,1,IF($P39=$D$2,1,BDP($P39&amp;$D$2&amp;" Curncy","PX_LAST"))),1)</f>
        <v/>
      </c>
    </row>
    <row r="40">
      <c r="A40" s="27" t="n"/>
      <c r="B40" s="76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06">
        <f>IFERROR(IF($B40="","",IF(ISNUMBER($F40),$B40*$F40*$D$3/$B$3,0)),"")</f>
        <v/>
      </c>
      <c r="K40" s="106">
        <f>IFERROR(IF($J40="","",$J40*IF(ISNUMBER($I40),$I40,'Index Summary'!$C$7)/100),"")</f>
        <v/>
      </c>
      <c r="L40" s="106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7">
        <f>IF($N40="No dividend","",IF($C40="","",BDP($C40,'Field Check'!$C$43)))</f>
        <v/>
      </c>
      <c r="Q40" s="105">
        <f>IFERROR(IF(LEN($P40)&lt;&gt;3,1,IF($P40=$D$2,1,BDP($P40&amp;$D$2&amp;" Curncy","PX_LAST"))),1)</f>
        <v/>
      </c>
    </row>
    <row r="41">
      <c r="A41" s="16" t="n"/>
      <c r="B41" s="76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06">
        <f>IFERROR(IF($B41="","",IF(ISNUMBER($F41),$B41*$F41*$D$3/$B$3,0)),"")</f>
        <v/>
      </c>
      <c r="K41" s="106">
        <f>IFERROR(IF($J41="","",$J41*IF(ISNUMBER($I41),$I41,'Index Summary'!$C$7)/100),"")</f>
        <v/>
      </c>
      <c r="L41" s="106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7">
        <f>IF($N41="No dividend","",IF($C41="","",BDP($C41,'Field Check'!$C$43)))</f>
        <v/>
      </c>
      <c r="Q41" s="105">
        <f>IFERROR(IF(LEN($P41)&lt;&gt;3,1,IF($P41=$D$2,1,BDP($P41&amp;$D$2&amp;" Curncy","PX_LAST"))),1)</f>
        <v/>
      </c>
    </row>
    <row r="42">
      <c r="A42" s="27" t="n"/>
      <c r="B42" s="76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06">
        <f>IFERROR(IF($B42="","",IF(ISNUMBER($F42),$B42*$F42*$D$3/$B$3,0)),"")</f>
        <v/>
      </c>
      <c r="K42" s="106">
        <f>IFERROR(IF($J42="","",$J42*IF(ISNUMBER($I42),$I42,'Index Summary'!$C$7)/100),"")</f>
        <v/>
      </c>
      <c r="L42" s="106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7">
        <f>IF($N42="No dividend","",IF($C42="","",BDP($C42,'Field Check'!$C$43)))</f>
        <v/>
      </c>
      <c r="Q42" s="105">
        <f>IFERROR(IF(LEN($P42)&lt;&gt;3,1,IF($P42=$D$2,1,BDP($P42&amp;$D$2&amp;" Curncy","PX_LAST"))),1)</f>
        <v/>
      </c>
    </row>
    <row r="43">
      <c r="A43" s="16" t="n"/>
      <c r="B43" s="76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06">
        <f>IFERROR(IF($B43="","",IF(ISNUMBER($F43),$B43*$F43*$D$3/$B$3,0)),"")</f>
        <v/>
      </c>
      <c r="K43" s="106">
        <f>IFERROR(IF($J43="","",$J43*IF(ISNUMBER($I43),$I43,'Index Summary'!$C$7)/100),"")</f>
        <v/>
      </c>
      <c r="L43" s="106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7">
        <f>IF($N43="No dividend","",IF($C43="","",BDP($C43,'Field Check'!$C$43)))</f>
        <v/>
      </c>
      <c r="Q43" s="105">
        <f>IFERROR(IF(LEN($P43)&lt;&gt;3,1,IF($P43=$D$2,1,BDP($P43&amp;$D$2&amp;" Curncy","PX_LAST"))),1)</f>
        <v/>
      </c>
    </row>
    <row r="44">
      <c r="A44" s="27" t="n"/>
      <c r="B44" s="76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06">
        <f>IFERROR(IF($B44="","",IF(ISNUMBER($F44),$B44*$F44*$D$3/$B$3,0)),"")</f>
        <v/>
      </c>
      <c r="K44" s="106">
        <f>IFERROR(IF($J44="","",$J44*IF(ISNUMBER($I44),$I44,'Index Summary'!$C$7)/100),"")</f>
        <v/>
      </c>
      <c r="L44" s="106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7">
        <f>IF($N44="No dividend","",IF($C44="","",BDP($C44,'Field Check'!$C$43)))</f>
        <v/>
      </c>
      <c r="Q44" s="105">
        <f>IFERROR(IF(LEN($P44)&lt;&gt;3,1,IF($P44=$D$2,1,BDP($P44&amp;$D$2&amp;" Curncy","PX_LAST"))),1)</f>
        <v/>
      </c>
    </row>
    <row r="45">
      <c r="A45" s="16" t="n"/>
      <c r="B45" s="76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06">
        <f>IFERROR(IF($B45="","",IF(ISNUMBER($F45),$B45*$F45*$D$3/$B$3,0)),"")</f>
        <v/>
      </c>
      <c r="K45" s="106">
        <f>IFERROR(IF($J45="","",$J45*IF(ISNUMBER($I45),$I45,'Index Summary'!$C$7)/100),"")</f>
        <v/>
      </c>
      <c r="L45" s="106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7">
        <f>IF($N45="No dividend","",IF($C45="","",BDP($C45,'Field Check'!$C$43)))</f>
        <v/>
      </c>
      <c r="Q45" s="105">
        <f>IFERROR(IF(LEN($P45)&lt;&gt;3,1,IF($P45=$D$2,1,BDP($P45&amp;$D$2&amp;" Curncy","PX_LAST"))),1)</f>
        <v/>
      </c>
    </row>
    <row r="46">
      <c r="A46" s="27" t="n"/>
      <c r="B46" s="76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06">
        <f>IFERROR(IF($B46="","",IF(ISNUMBER($F46),$B46*$F46*$D$3/$B$3,0)),"")</f>
        <v/>
      </c>
      <c r="K46" s="106">
        <f>IFERROR(IF($J46="","",$J46*IF(ISNUMBER($I46),$I46,'Index Summary'!$C$7)/100),"")</f>
        <v/>
      </c>
      <c r="L46" s="106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7">
        <f>IF($N46="No dividend","",IF($C46="","",BDP($C46,'Field Check'!$C$43)))</f>
        <v/>
      </c>
      <c r="Q46" s="105">
        <f>IFERROR(IF(LEN($P46)&lt;&gt;3,1,IF($P46=$D$2,1,BDP($P46&amp;$D$2&amp;" Curncy","PX_LAST"))),1)</f>
        <v/>
      </c>
    </row>
    <row r="47">
      <c r="A47" s="16" t="n"/>
      <c r="B47" s="76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06">
        <f>IFERROR(IF($B47="","",IF(ISNUMBER($F47),$B47*$F47*$D$3/$B$3,0)),"")</f>
        <v/>
      </c>
      <c r="K47" s="106">
        <f>IFERROR(IF($J47="","",$J47*IF(ISNUMBER($I47),$I47,'Index Summary'!$C$7)/100),"")</f>
        <v/>
      </c>
      <c r="L47" s="106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7">
        <f>IF($N47="No dividend","",IF($C47="","",BDP($C47,'Field Check'!$C$43)))</f>
        <v/>
      </c>
      <c r="Q47" s="105">
        <f>IFERROR(IF(LEN($P47)&lt;&gt;3,1,IF($P47=$D$2,1,BDP($P47&amp;$D$2&amp;" Curncy","PX_LAST"))),1)</f>
        <v/>
      </c>
    </row>
    <row r="48">
      <c r="A48" s="27" t="n"/>
      <c r="B48" s="76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06">
        <f>IFERROR(IF($B48="","",IF(ISNUMBER($F48),$B48*$F48*$D$3/$B$3,0)),"")</f>
        <v/>
      </c>
      <c r="K48" s="106">
        <f>IFERROR(IF($J48="","",$J48*IF(ISNUMBER($I48),$I48,'Index Summary'!$C$7)/100),"")</f>
        <v/>
      </c>
      <c r="L48" s="106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7">
        <f>IF($N48="No dividend","",IF($C48="","",BDP($C48,'Field Check'!$C$43)))</f>
        <v/>
      </c>
      <c r="Q48" s="105">
        <f>IFERROR(IF(LEN($P48)&lt;&gt;3,1,IF($P48=$D$2,1,BDP($P48&amp;$D$2&amp;" Curncy","PX_LAST"))),1)</f>
        <v/>
      </c>
    </row>
    <row r="49">
      <c r="A49" s="16" t="n"/>
      <c r="B49" s="76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06">
        <f>IFERROR(IF($B49="","",IF(ISNUMBER($F49),$B49*$F49*$D$3/$B$3,0)),"")</f>
        <v/>
      </c>
      <c r="K49" s="106">
        <f>IFERROR(IF($J49="","",$J49*IF(ISNUMBER($I49),$I49,'Index Summary'!$C$7)/100),"")</f>
        <v/>
      </c>
      <c r="L49" s="106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7">
        <f>IF($N49="No dividend","",IF($C49="","",BDP($C49,'Field Check'!$C$43)))</f>
        <v/>
      </c>
      <c r="Q49" s="105">
        <f>IFERROR(IF(LEN($P49)&lt;&gt;3,1,IF($P49=$D$2,1,BDP($P49&amp;$D$2&amp;" Curncy","PX_LAST"))),1)</f>
        <v/>
      </c>
    </row>
    <row r="50">
      <c r="A50" s="27" t="n"/>
      <c r="B50" s="76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06">
        <f>IFERROR(IF($B50="","",IF(ISNUMBER($F50),$B50*$F50*$D$3/$B$3,0)),"")</f>
        <v/>
      </c>
      <c r="K50" s="106">
        <f>IFERROR(IF($J50="","",$J50*IF(ISNUMBER($I50),$I50,'Index Summary'!$C$7)/100),"")</f>
        <v/>
      </c>
      <c r="L50" s="106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7">
        <f>IF($N50="No dividend","",IF($C50="","",BDP($C50,'Field Check'!$C$43)))</f>
        <v/>
      </c>
      <c r="Q50" s="105">
        <f>IFERROR(IF(LEN($P50)&lt;&gt;3,1,IF($P50=$D$2,1,BDP($P50&amp;$D$2&amp;" Curncy","PX_LAST"))),1)</f>
        <v/>
      </c>
    </row>
    <row r="51">
      <c r="A51" s="16" t="n"/>
      <c r="B51" s="76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06">
        <f>IFERROR(IF($B51="","",IF(ISNUMBER($F51),$B51*$F51*$D$3/$B$3,0)),"")</f>
        <v/>
      </c>
      <c r="K51" s="106">
        <f>IFERROR(IF($J51="","",$J51*IF(ISNUMBER($I51),$I51,'Index Summary'!$C$7)/100),"")</f>
        <v/>
      </c>
      <c r="L51" s="106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7">
        <f>IF($N51="No dividend","",IF($C51="","",BDP($C51,'Field Check'!$C$43)))</f>
        <v/>
      </c>
      <c r="Q51" s="105">
        <f>IFERROR(IF(LEN($P51)&lt;&gt;3,1,IF($P51=$D$2,1,BDP($P51&amp;$D$2&amp;" Curncy","PX_LAST"))),1)</f>
        <v/>
      </c>
    </row>
    <row r="52">
      <c r="A52" s="27" t="n"/>
      <c r="B52" s="76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06">
        <f>IFERROR(IF($B52="","",IF(ISNUMBER($F52),$B52*$F52*$D$3/$B$3,0)),"")</f>
        <v/>
      </c>
      <c r="K52" s="106">
        <f>IFERROR(IF($J52="","",$J52*IF(ISNUMBER($I52),$I52,'Index Summary'!$C$7)/100),"")</f>
        <v/>
      </c>
      <c r="L52" s="106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7">
        <f>IF($N52="No dividend","",IF($C52="","",BDP($C52,'Field Check'!$C$43)))</f>
        <v/>
      </c>
      <c r="Q52" s="105">
        <f>IFERROR(IF(LEN($P52)&lt;&gt;3,1,IF($P52=$D$2,1,BDP($P52&amp;$D$2&amp;" Curncy","PX_LAST"))),1)</f>
        <v/>
      </c>
    </row>
    <row r="53">
      <c r="A53" s="16" t="n"/>
      <c r="B53" s="76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06">
        <f>IFERROR(IF($B53="","",IF(ISNUMBER($F53),$B53*$F53*$D$3/$B$3,0)),"")</f>
        <v/>
      </c>
      <c r="K53" s="106">
        <f>IFERROR(IF($J53="","",$J53*IF(ISNUMBER($I53),$I53,'Index Summary'!$C$7)/100),"")</f>
        <v/>
      </c>
      <c r="L53" s="106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7">
        <f>IF($N53="No dividend","",IF($C53="","",BDP($C53,'Field Check'!$C$43)))</f>
        <v/>
      </c>
      <c r="Q53" s="105">
        <f>IFERROR(IF(LEN($P53)&lt;&gt;3,1,IF($P53=$D$2,1,BDP($P53&amp;$D$2&amp;" Curncy","PX_LAST"))),1)</f>
        <v/>
      </c>
    </row>
    <row r="54">
      <c r="A54" s="27" t="n"/>
      <c r="B54" s="76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06">
        <f>IFERROR(IF($B54="","",IF(ISNUMBER($F54),$B54*$F54*$D$3/$B$3,0)),"")</f>
        <v/>
      </c>
      <c r="K54" s="106">
        <f>IFERROR(IF($J54="","",$J54*IF(ISNUMBER($I54),$I54,'Index Summary'!$C$7)/100),"")</f>
        <v/>
      </c>
      <c r="L54" s="106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7">
        <f>IF($N54="No dividend","",IF($C54="","",BDP($C54,'Field Check'!$C$43)))</f>
        <v/>
      </c>
      <c r="Q54" s="105">
        <f>IFERROR(IF(LEN($P54)&lt;&gt;3,1,IF($P54=$D$2,1,BDP($P54&amp;$D$2&amp;" Curncy","PX_LAST"))),1)</f>
        <v/>
      </c>
    </row>
    <row r="55">
      <c r="A55" s="16" t="n"/>
      <c r="B55" s="76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06">
        <f>IFERROR(IF($B55="","",IF(ISNUMBER($F55),$B55*$F55*$D$3/$B$3,0)),"")</f>
        <v/>
      </c>
      <c r="K55" s="106">
        <f>IFERROR(IF($J55="","",$J55*IF(ISNUMBER($I55),$I55,'Index Summary'!$C$7)/100),"")</f>
        <v/>
      </c>
      <c r="L55" s="106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7">
        <f>IF($N55="No dividend","",IF($C55="","",BDP($C55,'Field Check'!$C$43)))</f>
        <v/>
      </c>
      <c r="Q55" s="105">
        <f>IFERROR(IF(LEN($P55)&lt;&gt;3,1,IF($P55=$D$2,1,BDP($P55&amp;$D$2&amp;" Curncy","PX_LAST"))),1)</f>
        <v/>
      </c>
    </row>
    <row r="56">
      <c r="A56" s="27" t="n"/>
      <c r="B56" s="76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06">
        <f>IFERROR(IF($B56="","",IF(ISNUMBER($F56),$B56*$F56*$D$3/$B$3,0)),"")</f>
        <v/>
      </c>
      <c r="K56" s="106">
        <f>IFERROR(IF($J56="","",$J56*IF(ISNUMBER($I56),$I56,'Index Summary'!$C$7)/100),"")</f>
        <v/>
      </c>
      <c r="L56" s="106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7">
        <f>IF($N56="No dividend","",IF($C56="","",BDP($C56,'Field Check'!$C$43)))</f>
        <v/>
      </c>
      <c r="Q56" s="105">
        <f>IFERROR(IF(LEN($P56)&lt;&gt;3,1,IF($P56=$D$2,1,BDP($P56&amp;$D$2&amp;" Curncy","PX_LAST"))),1)</f>
        <v/>
      </c>
    </row>
    <row r="57">
      <c r="A57" s="16" t="n"/>
      <c r="B57" s="76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06">
        <f>IFERROR(IF($B57="","",IF(ISNUMBER($F57),$B57*$F57*$D$3/$B$3,0)),"")</f>
        <v/>
      </c>
      <c r="K57" s="106">
        <f>IFERROR(IF($J57="","",$J57*IF(ISNUMBER($I57),$I57,'Index Summary'!$C$7)/100),"")</f>
        <v/>
      </c>
      <c r="L57" s="106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7">
        <f>IF($N57="No dividend","",IF($C57="","",BDP($C57,'Field Check'!$C$43)))</f>
        <v/>
      </c>
      <c r="Q57" s="105">
        <f>IFERROR(IF(LEN($P57)&lt;&gt;3,1,IF($P57=$D$2,1,BDP($P57&amp;$D$2&amp;" Curncy","PX_LAST"))),1)</f>
        <v/>
      </c>
    </row>
    <row r="58">
      <c r="A58" s="27" t="n"/>
      <c r="B58" s="76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06">
        <f>IFERROR(IF($B58="","",IF(ISNUMBER($F58),$B58*$F58*$D$3/$B$3,0)),"")</f>
        <v/>
      </c>
      <c r="K58" s="106">
        <f>IFERROR(IF($J58="","",$J58*IF(ISNUMBER($I58),$I58,'Index Summary'!$C$7)/100),"")</f>
        <v/>
      </c>
      <c r="L58" s="106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7">
        <f>IF($N58="No dividend","",IF($C58="","",BDP($C58,'Field Check'!$C$43)))</f>
        <v/>
      </c>
      <c r="Q58" s="105">
        <f>IFERROR(IF(LEN($P58)&lt;&gt;3,1,IF($P58=$D$2,1,BDP($P58&amp;$D$2&amp;" Curncy","PX_LAST"))),1)</f>
        <v/>
      </c>
    </row>
    <row r="59">
      <c r="A59" s="16" t="n"/>
      <c r="B59" s="76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06">
        <f>IFERROR(IF($B59="","",IF(ISNUMBER($F59),$B59*$F59*$D$3/$B$3,0)),"")</f>
        <v/>
      </c>
      <c r="K59" s="106">
        <f>IFERROR(IF($J59="","",$J59*IF(ISNUMBER($I59),$I59,'Index Summary'!$C$7)/100),"")</f>
        <v/>
      </c>
      <c r="L59" s="106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7">
        <f>IF($N59="No dividend","",IF($C59="","",BDP($C59,'Field Check'!$C$43)))</f>
        <v/>
      </c>
      <c r="Q59" s="105">
        <f>IFERROR(IF(LEN($P59)&lt;&gt;3,1,IF($P59=$D$2,1,BDP($P59&amp;$D$2&amp;" Curncy","PX_LAST"))),1)</f>
        <v/>
      </c>
    </row>
    <row r="60">
      <c r="A60" s="27" t="n"/>
      <c r="B60" s="76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06">
        <f>IFERROR(IF($B60="","",IF(ISNUMBER($F60),$B60*$F60*$D$3/$B$3,0)),"")</f>
        <v/>
      </c>
      <c r="K60" s="106">
        <f>IFERROR(IF($J60="","",$J60*IF(ISNUMBER($I60),$I60,'Index Summary'!$C$7)/100),"")</f>
        <v/>
      </c>
      <c r="L60" s="106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7">
        <f>IF($N60="No dividend","",IF($C60="","",BDP($C60,'Field Check'!$C$43)))</f>
        <v/>
      </c>
      <c r="Q60" s="105">
        <f>IFERROR(IF(LEN($P60)&lt;&gt;3,1,IF($P60=$D$2,1,BDP($P60&amp;$D$2&amp;" Curncy","PX_LAST"))),1)</f>
        <v/>
      </c>
    </row>
    <row r="61">
      <c r="A61" s="16" t="n"/>
      <c r="B61" s="76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06">
        <f>IFERROR(IF($B61="","",IF(ISNUMBER($F61),$B61*$F61*$D$3/$B$3,0)),"")</f>
        <v/>
      </c>
      <c r="K61" s="106">
        <f>IFERROR(IF($J61="","",$J61*IF(ISNUMBER($I61),$I61,'Index Summary'!$C$7)/100),"")</f>
        <v/>
      </c>
      <c r="L61" s="106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7">
        <f>IF($N61="No dividend","",IF($C61="","",BDP($C61,'Field Check'!$C$43)))</f>
        <v/>
      </c>
      <c r="Q61" s="105">
        <f>IFERROR(IF(LEN($P61)&lt;&gt;3,1,IF($P61=$D$2,1,BDP($P61&amp;$D$2&amp;" Curncy","PX_LAST"))),1)</f>
        <v/>
      </c>
    </row>
    <row r="62">
      <c r="A62" s="27" t="n"/>
      <c r="B62" s="76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06">
        <f>IFERROR(IF($B62="","",IF(ISNUMBER($F62),$B62*$F62*$D$3/$B$3,0)),"")</f>
        <v/>
      </c>
      <c r="K62" s="106">
        <f>IFERROR(IF($J62="","",$J62*IF(ISNUMBER($I62),$I62,'Index Summary'!$C$7)/100),"")</f>
        <v/>
      </c>
      <c r="L62" s="106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7">
        <f>IF($N62="No dividend","",IF($C62="","",BDP($C62,'Field Check'!$C$43)))</f>
        <v/>
      </c>
      <c r="Q62" s="105">
        <f>IFERROR(IF(LEN($P62)&lt;&gt;3,1,IF($P62=$D$2,1,BDP($P62&amp;$D$2&amp;" Curncy","PX_LAST"))),1)</f>
        <v/>
      </c>
    </row>
    <row r="63">
      <c r="A63" s="16" t="n"/>
      <c r="B63" s="76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06">
        <f>IFERROR(IF($B63="","",IF(ISNUMBER($F63),$B63*$F63*$D$3/$B$3,0)),"")</f>
        <v/>
      </c>
      <c r="K63" s="106">
        <f>IFERROR(IF($J63="","",$J63*IF(ISNUMBER($I63),$I63,'Index Summary'!$C$7)/100),"")</f>
        <v/>
      </c>
      <c r="L63" s="106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7">
        <f>IF($N63="No dividend","",IF($C63="","",BDP($C63,'Field Check'!$C$43)))</f>
        <v/>
      </c>
      <c r="Q63" s="105">
        <f>IFERROR(IF(LEN($P63)&lt;&gt;3,1,IF($P63=$D$2,1,BDP($P63&amp;$D$2&amp;" Curncy","PX_LAST"))),1)</f>
        <v/>
      </c>
    </row>
    <row r="64">
      <c r="A64" s="27" t="n"/>
      <c r="B64" s="76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06">
        <f>IFERROR(IF($B64="","",IF(ISNUMBER($F64),$B64*$F64*$D$3/$B$3,0)),"")</f>
        <v/>
      </c>
      <c r="K64" s="106">
        <f>IFERROR(IF($J64="","",$J64*IF(ISNUMBER($I64),$I64,'Index Summary'!$C$7)/100),"")</f>
        <v/>
      </c>
      <c r="L64" s="106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7">
        <f>IF($N64="No dividend","",IF($C64="","",BDP($C64,'Field Check'!$C$43)))</f>
        <v/>
      </c>
      <c r="Q64" s="105">
        <f>IFERROR(IF(LEN($P64)&lt;&gt;3,1,IF($P64=$D$2,1,BDP($P64&amp;$D$2&amp;" Curncy","PX_LAST"))),1)</f>
        <v/>
      </c>
    </row>
    <row r="65">
      <c r="A65" s="16" t="n"/>
      <c r="B65" s="76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06">
        <f>IFERROR(IF($B65="","",IF(ISNUMBER($F65),$B65*$F65*$D$3/$B$3,0)),"")</f>
        <v/>
      </c>
      <c r="K65" s="106">
        <f>IFERROR(IF($J65="","",$J65*IF(ISNUMBER($I65),$I65,'Index Summary'!$C$7)/100),"")</f>
        <v/>
      </c>
      <c r="L65" s="106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7">
        <f>IF($N65="No dividend","",IF($C65="","",BDP($C65,'Field Check'!$C$43)))</f>
        <v/>
      </c>
      <c r="Q65" s="105">
        <f>IFERROR(IF(LEN($P65)&lt;&gt;3,1,IF($P65=$D$2,1,BDP($P65&amp;$D$2&amp;" Curncy","PX_LAST"))),1)</f>
        <v/>
      </c>
    </row>
    <row r="66">
      <c r="A66" s="27" t="n"/>
      <c r="B66" s="76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06">
        <f>IFERROR(IF($B66="","",IF(ISNUMBER($F66),$B66*$F66*$D$3/$B$3,0)),"")</f>
        <v/>
      </c>
      <c r="K66" s="106">
        <f>IFERROR(IF($J66="","",$J66*IF(ISNUMBER($I66),$I66,'Index Summary'!$C$7)/100),"")</f>
        <v/>
      </c>
      <c r="L66" s="106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7">
        <f>IF($N66="No dividend","",IF($C66="","",BDP($C66,'Field Check'!$C$43)))</f>
        <v/>
      </c>
      <c r="Q66" s="105">
        <f>IFERROR(IF(LEN($P66)&lt;&gt;3,1,IF($P66=$D$2,1,BDP($P66&amp;$D$2&amp;" Curncy","PX_LAST"))),1)</f>
        <v/>
      </c>
    </row>
    <row r="67">
      <c r="A67" s="16" t="n"/>
      <c r="B67" s="76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06">
        <f>IFERROR(IF($B67="","",IF(ISNUMBER($F67),$B67*$F67*$D$3/$B$3,0)),"")</f>
        <v/>
      </c>
      <c r="K67" s="106">
        <f>IFERROR(IF($J67="","",$J67*IF(ISNUMBER($I67),$I67,'Index Summary'!$C$7)/100),"")</f>
        <v/>
      </c>
      <c r="L67" s="106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7">
        <f>IF($N67="No dividend","",IF($C67="","",BDP($C67,'Field Check'!$C$43)))</f>
        <v/>
      </c>
      <c r="Q67" s="105">
        <f>IFERROR(IF(LEN($P67)&lt;&gt;3,1,IF($P67=$D$2,1,BDP($P67&amp;$D$2&amp;" Curncy","PX_LAST"))),1)</f>
        <v/>
      </c>
    </row>
    <row r="68">
      <c r="A68" s="27" t="n"/>
      <c r="B68" s="76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06">
        <f>IFERROR(IF($B68="","",IF(ISNUMBER($F68),$B68*$F68*$D$3/$B$3,0)),"")</f>
        <v/>
      </c>
      <c r="K68" s="106">
        <f>IFERROR(IF($J68="","",$J68*IF(ISNUMBER($I68),$I68,'Index Summary'!$C$7)/100),"")</f>
        <v/>
      </c>
      <c r="L68" s="106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7">
        <f>IF($N68="No dividend","",IF($C68="","",BDP($C68,'Field Check'!$C$43)))</f>
        <v/>
      </c>
      <c r="Q68" s="105">
        <f>IFERROR(IF(LEN($P68)&lt;&gt;3,1,IF($P68=$D$2,1,BDP($P68&amp;$D$2&amp;" Curncy","PX_LAST"))),1)</f>
        <v/>
      </c>
    </row>
    <row r="69">
      <c r="A69" s="16" t="n"/>
      <c r="B69" s="76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06">
        <f>IFERROR(IF($B69="","",IF(ISNUMBER($F69),$B69*$F69*$D$3/$B$3,0)),"")</f>
        <v/>
      </c>
      <c r="K69" s="106">
        <f>IFERROR(IF($J69="","",$J69*IF(ISNUMBER($I69),$I69,'Index Summary'!$C$7)/100),"")</f>
        <v/>
      </c>
      <c r="L69" s="106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7">
        <f>IF($N69="No dividend","",IF($C69="","",BDP($C69,'Field Check'!$C$43)))</f>
        <v/>
      </c>
      <c r="Q69" s="105">
        <f>IFERROR(IF(LEN($P69)&lt;&gt;3,1,IF($P69=$D$2,1,BDP($P69&amp;$D$2&amp;" Curncy","PX_LAST"))),1)</f>
        <v/>
      </c>
    </row>
    <row r="70">
      <c r="A70" s="27" t="n"/>
      <c r="B70" s="76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06">
        <f>IFERROR(IF($B70="","",IF(ISNUMBER($F70),$B70*$F70*$D$3/$B$3,0)),"")</f>
        <v/>
      </c>
      <c r="K70" s="106">
        <f>IFERROR(IF($J70="","",$J70*IF(ISNUMBER($I70),$I70,'Index Summary'!$C$7)/100),"")</f>
        <v/>
      </c>
      <c r="L70" s="106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7">
        <f>IF($N70="No dividend","",IF($C70="","",BDP($C70,'Field Check'!$C$43)))</f>
        <v/>
      </c>
      <c r="Q70" s="105">
        <f>IFERROR(IF(LEN($P70)&lt;&gt;3,1,IF($P70=$D$2,1,BDP($P70&amp;$D$2&amp;" Curncy","PX_LAST"))),1)</f>
        <v/>
      </c>
    </row>
    <row r="71">
      <c r="A71" s="16" t="n"/>
      <c r="B71" s="76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06">
        <f>IFERROR(IF($B71="","",IF(ISNUMBER($F71),$B71*$F71*$D$3/$B$3,0)),"")</f>
        <v/>
      </c>
      <c r="K71" s="106">
        <f>IFERROR(IF($J71="","",$J71*IF(ISNUMBER($I71),$I71,'Index Summary'!$C$7)/100),"")</f>
        <v/>
      </c>
      <c r="L71" s="106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7">
        <f>IF($N71="No dividend","",IF($C71="","",BDP($C71,'Field Check'!$C$43)))</f>
        <v/>
      </c>
      <c r="Q71" s="105">
        <f>IFERROR(IF(LEN($P71)&lt;&gt;3,1,IF($P71=$D$2,1,BDP($P71&amp;$D$2&amp;" Curncy","PX_LAST"))),1)</f>
        <v/>
      </c>
    </row>
    <row r="72">
      <c r="A72" s="27" t="n"/>
      <c r="B72" s="76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06">
        <f>IFERROR(IF($B72="","",IF(ISNUMBER($F72),$B72*$F72*$D$3/$B$3,0)),"")</f>
        <v/>
      </c>
      <c r="K72" s="106">
        <f>IFERROR(IF($J72="","",$J72*IF(ISNUMBER($I72),$I72,'Index Summary'!$C$7)/100),"")</f>
        <v/>
      </c>
      <c r="L72" s="106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7">
        <f>IF($N72="No dividend","",IF($C72="","",BDP($C72,'Field Check'!$C$43)))</f>
        <v/>
      </c>
      <c r="Q72" s="105">
        <f>IFERROR(IF(LEN($P72)&lt;&gt;3,1,IF($P72=$D$2,1,BDP($P72&amp;$D$2&amp;" Curncy","PX_LAST"))),1)</f>
        <v/>
      </c>
    </row>
    <row r="73">
      <c r="A73" s="16" t="n"/>
      <c r="B73" s="76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06">
        <f>IFERROR(IF($B73="","",IF(ISNUMBER($F73),$B73*$F73*$D$3/$B$3,0)),"")</f>
        <v/>
      </c>
      <c r="K73" s="106">
        <f>IFERROR(IF($J73="","",$J73*IF(ISNUMBER($I73),$I73,'Index Summary'!$C$7)/100),"")</f>
        <v/>
      </c>
      <c r="L73" s="106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7">
        <f>IF($N73="No dividend","",IF($C73="","",BDP($C73,'Field Check'!$C$43)))</f>
        <v/>
      </c>
      <c r="Q73" s="105">
        <f>IFERROR(IF(LEN($P73)&lt;&gt;3,1,IF($P73=$D$2,1,BDP($P73&amp;$D$2&amp;" Curncy","PX_LAST"))),1)</f>
        <v/>
      </c>
    </row>
    <row r="74">
      <c r="A74" s="27" t="n"/>
      <c r="B74" s="76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06">
        <f>IFERROR(IF($B74="","",IF(ISNUMBER($F74),$B74*$F74*$D$3/$B$3,0)),"")</f>
        <v/>
      </c>
      <c r="K74" s="106">
        <f>IFERROR(IF($J74="","",$J74*IF(ISNUMBER($I74),$I74,'Index Summary'!$C$7)/100),"")</f>
        <v/>
      </c>
      <c r="L74" s="106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7">
        <f>IF($N74="No dividend","",IF($C74="","",BDP($C74,'Field Check'!$C$43)))</f>
        <v/>
      </c>
      <c r="Q74" s="105">
        <f>IFERROR(IF(LEN($P74)&lt;&gt;3,1,IF($P74=$D$2,1,BDP($P74&amp;$D$2&amp;" Curncy","PX_LAST"))),1)</f>
        <v/>
      </c>
    </row>
    <row r="75">
      <c r="A75" s="16" t="n"/>
      <c r="B75" s="76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06">
        <f>IFERROR(IF($B75="","",IF(ISNUMBER($F75),$B75*$F75*$D$3/$B$3,0)),"")</f>
        <v/>
      </c>
      <c r="K75" s="106">
        <f>IFERROR(IF($J75="","",$J75*IF(ISNUMBER($I75),$I75,'Index Summary'!$C$7)/100),"")</f>
        <v/>
      </c>
      <c r="L75" s="106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7">
        <f>IF($N75="No dividend","",IF($C75="","",BDP($C75,'Field Check'!$C$43)))</f>
        <v/>
      </c>
      <c r="Q75" s="105">
        <f>IFERROR(IF(LEN($P75)&lt;&gt;3,1,IF($P75=$D$2,1,BDP($P75&amp;$D$2&amp;" Curncy","PX_LAST"))),1)</f>
        <v/>
      </c>
    </row>
    <row r="76">
      <c r="A76" s="27" t="n"/>
      <c r="B76" s="76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06">
        <f>IFERROR(IF($B76="","",IF(ISNUMBER($F76),$B76*$F76*$D$3/$B$3,0)),"")</f>
        <v/>
      </c>
      <c r="K76" s="106">
        <f>IFERROR(IF($J76="","",$J76*IF(ISNUMBER($I76),$I76,'Index Summary'!$C$7)/100),"")</f>
        <v/>
      </c>
      <c r="L76" s="106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7">
        <f>IF($N76="No dividend","",IF($C76="","",BDP($C76,'Field Check'!$C$43)))</f>
        <v/>
      </c>
      <c r="Q76" s="105">
        <f>IFERROR(IF(LEN($P76)&lt;&gt;3,1,IF($P76=$D$2,1,BDP($P76&amp;$D$2&amp;" Curncy","PX_LAST"))),1)</f>
        <v/>
      </c>
    </row>
    <row r="77">
      <c r="A77" s="16" t="n"/>
      <c r="B77" s="76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06">
        <f>IFERROR(IF($B77="","",IF(ISNUMBER($F77),$B77*$F77*$D$3/$B$3,0)),"")</f>
        <v/>
      </c>
      <c r="K77" s="106">
        <f>IFERROR(IF($J77="","",$J77*IF(ISNUMBER($I77),$I77,'Index Summary'!$C$7)/100),"")</f>
        <v/>
      </c>
      <c r="L77" s="106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7">
        <f>IF($N77="No dividend","",IF($C77="","",BDP($C77,'Field Check'!$C$43)))</f>
        <v/>
      </c>
      <c r="Q77" s="105">
        <f>IFERROR(IF(LEN($P77)&lt;&gt;3,1,IF($P77=$D$2,1,BDP($P77&amp;$D$2&amp;" Curncy","PX_LAST"))),1)</f>
        <v/>
      </c>
    </row>
    <row r="78">
      <c r="A78" s="27" t="n"/>
      <c r="B78" s="76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06">
        <f>IFERROR(IF($B78="","",IF(ISNUMBER($F78),$B78*$F78*$D$3/$B$3,0)),"")</f>
        <v/>
      </c>
      <c r="K78" s="106">
        <f>IFERROR(IF($J78="","",$J78*IF(ISNUMBER($I78),$I78,'Index Summary'!$C$7)/100),"")</f>
        <v/>
      </c>
      <c r="L78" s="106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7">
        <f>IF($N78="No dividend","",IF($C78="","",BDP($C78,'Field Check'!$C$43)))</f>
        <v/>
      </c>
      <c r="Q78" s="105">
        <f>IFERROR(IF(LEN($P78)&lt;&gt;3,1,IF($P78=$D$2,1,BDP($P78&amp;$D$2&amp;" Curncy","PX_LAST"))),1)</f>
        <v/>
      </c>
    </row>
    <row r="79">
      <c r="A79" s="16" t="n"/>
      <c r="B79" s="76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06">
        <f>IFERROR(IF($B79="","",IF(ISNUMBER($F79),$B79*$F79*$D$3/$B$3,0)),"")</f>
        <v/>
      </c>
      <c r="K79" s="106">
        <f>IFERROR(IF($J79="","",$J79*IF(ISNUMBER($I79),$I79,'Index Summary'!$C$7)/100),"")</f>
        <v/>
      </c>
      <c r="L79" s="106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7">
        <f>IF($N79="No dividend","",IF($C79="","",BDP($C79,'Field Check'!$C$43)))</f>
        <v/>
      </c>
      <c r="Q79" s="105">
        <f>IFERROR(IF(LEN($P79)&lt;&gt;3,1,IF($P79=$D$2,1,BDP($P79&amp;$D$2&amp;" Curncy","PX_LAST"))),1)</f>
        <v/>
      </c>
    </row>
    <row r="80">
      <c r="A80" s="27" t="n"/>
      <c r="B80" s="76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06">
        <f>IFERROR(IF($B80="","",IF(ISNUMBER($F80),$B80*$F80*$D$3/$B$3,0)),"")</f>
        <v/>
      </c>
      <c r="K80" s="106">
        <f>IFERROR(IF($J80="","",$J80*IF(ISNUMBER($I80),$I80,'Index Summary'!$C$7)/100),"")</f>
        <v/>
      </c>
      <c r="L80" s="106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7">
        <f>IF($N80="No dividend","",IF($C80="","",BDP($C80,'Field Check'!$C$43)))</f>
        <v/>
      </c>
      <c r="Q80" s="105">
        <f>IFERROR(IF(LEN($P80)&lt;&gt;3,1,IF($P80=$D$2,1,BDP($P80&amp;$D$2&amp;" Curncy","PX_LAST"))),1)</f>
        <v/>
      </c>
    </row>
    <row r="81">
      <c r="A81" s="16" t="n"/>
      <c r="B81" s="76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06">
        <f>IFERROR(IF($B81="","",IF(ISNUMBER($F81),$B81*$F81*$D$3/$B$3,0)),"")</f>
        <v/>
      </c>
      <c r="K81" s="106">
        <f>IFERROR(IF($J81="","",$J81*IF(ISNUMBER($I81),$I81,'Index Summary'!$C$7)/100),"")</f>
        <v/>
      </c>
      <c r="L81" s="106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7">
        <f>IF($N81="No dividend","",IF($C81="","",BDP($C81,'Field Check'!$C$43)))</f>
        <v/>
      </c>
      <c r="Q81" s="105">
        <f>IFERROR(IF(LEN($P81)&lt;&gt;3,1,IF($P81=$D$2,1,BDP($P81&amp;$D$2&amp;" Curncy","PX_LAST"))),1)</f>
        <v/>
      </c>
    </row>
    <row r="82">
      <c r="A82" s="27" t="n"/>
      <c r="B82" s="76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06">
        <f>IFERROR(IF($B82="","",IF(ISNUMBER($F82),$B82*$F82*$D$3/$B$3,0)),"")</f>
        <v/>
      </c>
      <c r="K82" s="106">
        <f>IFERROR(IF($J82="","",$J82*IF(ISNUMBER($I82),$I82,'Index Summary'!$C$7)/100),"")</f>
        <v/>
      </c>
      <c r="L82" s="106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7">
        <f>IF($N82="No dividend","",IF($C82="","",BDP($C82,'Field Check'!$C$43)))</f>
        <v/>
      </c>
      <c r="Q82" s="105">
        <f>IFERROR(IF(LEN($P82)&lt;&gt;3,1,IF($P82=$D$2,1,BDP($P82&amp;$D$2&amp;" Curncy","PX_LAST"))),1)</f>
        <v/>
      </c>
    </row>
    <row r="83">
      <c r="A83" s="16" t="n"/>
      <c r="B83" s="76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06">
        <f>IFERROR(IF($B83="","",IF(ISNUMBER($F83),$B83*$F83*$D$3/$B$3,0)),"")</f>
        <v/>
      </c>
      <c r="K83" s="106">
        <f>IFERROR(IF($J83="","",$J83*IF(ISNUMBER($I83),$I83,'Index Summary'!$C$7)/100),"")</f>
        <v/>
      </c>
      <c r="L83" s="106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7">
        <f>IF($N83="No dividend","",IF($C83="","",BDP($C83,'Field Check'!$C$43)))</f>
        <v/>
      </c>
      <c r="Q83" s="105">
        <f>IFERROR(IF(LEN($P83)&lt;&gt;3,1,IF($P83=$D$2,1,BDP($P83&amp;$D$2&amp;" Curncy","PX_LAST"))),1)</f>
        <v/>
      </c>
    </row>
    <row r="84">
      <c r="A84" s="27" t="n"/>
      <c r="B84" s="76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06">
        <f>IFERROR(IF($B84="","",IF(ISNUMBER($F84),$B84*$F84*$D$3/$B$3,0)),"")</f>
        <v/>
      </c>
      <c r="K84" s="106">
        <f>IFERROR(IF($J84="","",$J84*IF(ISNUMBER($I84),$I84,'Index Summary'!$C$7)/100),"")</f>
        <v/>
      </c>
      <c r="L84" s="106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7">
        <f>IF($N84="No dividend","",IF($C84="","",BDP($C84,'Field Check'!$C$43)))</f>
        <v/>
      </c>
      <c r="Q84" s="105">
        <f>IFERROR(IF(LEN($P84)&lt;&gt;3,1,IF($P84=$D$2,1,BDP($P84&amp;$D$2&amp;" Curncy","PX_LAST"))),1)</f>
        <v/>
      </c>
    </row>
    <row r="85">
      <c r="A85" s="16" t="n"/>
      <c r="B85" s="76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06">
        <f>IFERROR(IF($B85="","",IF(ISNUMBER($F85),$B85*$F85*$D$3/$B$3,0)),"")</f>
        <v/>
      </c>
      <c r="K85" s="106">
        <f>IFERROR(IF($J85="","",$J85*IF(ISNUMBER($I85),$I85,'Index Summary'!$C$7)/100),"")</f>
        <v/>
      </c>
      <c r="L85" s="106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7">
        <f>IF($N85="No dividend","",IF($C85="","",BDP($C85,'Field Check'!$C$43)))</f>
        <v/>
      </c>
      <c r="Q85" s="105">
        <f>IFERROR(IF(LEN($P85)&lt;&gt;3,1,IF($P85=$D$2,1,BDP($P85&amp;$D$2&amp;" Curncy","PX_LAST"))),1)</f>
        <v/>
      </c>
    </row>
    <row r="86">
      <c r="A86" s="27" t="n"/>
      <c r="B86" s="76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06">
        <f>IFERROR(IF($B86="","",IF(ISNUMBER($F86),$B86*$F86*$D$3/$B$3,0)),"")</f>
        <v/>
      </c>
      <c r="K86" s="106">
        <f>IFERROR(IF($J86="","",$J86*IF(ISNUMBER($I86),$I86,'Index Summary'!$C$7)/100),"")</f>
        <v/>
      </c>
      <c r="L86" s="106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7">
        <f>IF($N86="No dividend","",IF($C86="","",BDP($C86,'Field Check'!$C$43)))</f>
        <v/>
      </c>
      <c r="Q86" s="105">
        <f>IFERROR(IF(LEN($P86)&lt;&gt;3,1,IF($P86=$D$2,1,BDP($P86&amp;$D$2&amp;" Curncy","PX_LAST"))),1)</f>
        <v/>
      </c>
    </row>
    <row r="87">
      <c r="A87" s="16" t="n"/>
      <c r="B87" s="76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06">
        <f>IFERROR(IF($B87="","",IF(ISNUMBER($F87),$B87*$F87*$D$3/$B$3,0)),"")</f>
        <v/>
      </c>
      <c r="K87" s="106">
        <f>IFERROR(IF($J87="","",$J87*IF(ISNUMBER($I87),$I87,'Index Summary'!$C$7)/100),"")</f>
        <v/>
      </c>
      <c r="L87" s="106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7">
        <f>IF($N87="No dividend","",IF($C87="","",BDP($C87,'Field Check'!$C$43)))</f>
        <v/>
      </c>
      <c r="Q87" s="105">
        <f>IFERROR(IF(LEN($P87)&lt;&gt;3,1,IF($P87=$D$2,1,BDP($P87&amp;$D$2&amp;" Curncy","PX_LAST"))),1)</f>
        <v/>
      </c>
    </row>
    <row r="88">
      <c r="A88" s="27" t="n"/>
      <c r="B88" s="76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06">
        <f>IFERROR(IF($B88="","",IF(ISNUMBER($F88),$B88*$F88*$D$3/$B$3,0)),"")</f>
        <v/>
      </c>
      <c r="K88" s="106">
        <f>IFERROR(IF($J88="","",$J88*IF(ISNUMBER($I88),$I88,'Index Summary'!$C$7)/100),"")</f>
        <v/>
      </c>
      <c r="L88" s="106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7">
        <f>IF($N88="No dividend","",IF($C88="","",BDP($C88,'Field Check'!$C$43)))</f>
        <v/>
      </c>
      <c r="Q88" s="105">
        <f>IFERROR(IF(LEN($P88)&lt;&gt;3,1,IF($P88=$D$2,1,BDP($P88&amp;$D$2&amp;" Curncy","PX_LAST"))),1)</f>
        <v/>
      </c>
    </row>
    <row r="89">
      <c r="A89" s="16" t="n"/>
      <c r="B89" s="76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06">
        <f>IFERROR(IF($B89="","",IF(ISNUMBER($F89),$B89*$F89*$D$3/$B$3,0)),"")</f>
        <v/>
      </c>
      <c r="K89" s="106">
        <f>IFERROR(IF($J89="","",$J89*IF(ISNUMBER($I89),$I89,'Index Summary'!$C$7)/100),"")</f>
        <v/>
      </c>
      <c r="L89" s="106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7">
        <f>IF($N89="No dividend","",IF($C89="","",BDP($C89,'Field Check'!$C$43)))</f>
        <v/>
      </c>
      <c r="Q89" s="105">
        <f>IFERROR(IF(LEN($P89)&lt;&gt;3,1,IF($P89=$D$2,1,BDP($P89&amp;$D$2&amp;" Curncy","PX_LAST"))),1)</f>
        <v/>
      </c>
    </row>
    <row r="90">
      <c r="A90" s="27" t="n"/>
      <c r="B90" s="76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06">
        <f>IFERROR(IF($B90="","",IF(ISNUMBER($F90),$B90*$F90*$D$3/$B$3,0)),"")</f>
        <v/>
      </c>
      <c r="K90" s="106">
        <f>IFERROR(IF($J90="","",$J90*IF(ISNUMBER($I90),$I90,'Index Summary'!$C$7)/100),"")</f>
        <v/>
      </c>
      <c r="L90" s="106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7">
        <f>IF($N90="No dividend","",IF($C90="","",BDP($C90,'Field Check'!$C$43)))</f>
        <v/>
      </c>
      <c r="Q90" s="105">
        <f>IFERROR(IF(LEN($P90)&lt;&gt;3,1,IF($P90=$D$2,1,BDP($P90&amp;$D$2&amp;" Curncy","PX_LAST"))),1)</f>
        <v/>
      </c>
    </row>
    <row r="91">
      <c r="A91" s="16" t="n"/>
      <c r="B91" s="76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06">
        <f>IFERROR(IF($B91="","",IF(ISNUMBER($F91),$B91*$F91*$D$3/$B$3,0)),"")</f>
        <v/>
      </c>
      <c r="K91" s="106">
        <f>IFERROR(IF($J91="","",$J91*IF(ISNUMBER($I91),$I91,'Index Summary'!$C$7)/100),"")</f>
        <v/>
      </c>
      <c r="L91" s="106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7">
        <f>IF($N91="No dividend","",IF($C91="","",BDP($C91,'Field Check'!$C$43)))</f>
        <v/>
      </c>
      <c r="Q91" s="105">
        <f>IFERROR(IF(LEN($P91)&lt;&gt;3,1,IF($P91=$D$2,1,BDP($P91&amp;$D$2&amp;" Curncy","PX_LAST"))),1)</f>
        <v/>
      </c>
    </row>
    <row r="92">
      <c r="A92" s="27" t="n"/>
      <c r="B92" s="76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06">
        <f>IFERROR(IF($B92="","",IF(ISNUMBER($F92),$B92*$F92*$D$3/$B$3,0)),"")</f>
        <v/>
      </c>
      <c r="K92" s="106">
        <f>IFERROR(IF($J92="","",$J92*IF(ISNUMBER($I92),$I92,'Index Summary'!$C$7)/100),"")</f>
        <v/>
      </c>
      <c r="L92" s="106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7">
        <f>IF($N92="No dividend","",IF($C92="","",BDP($C92,'Field Check'!$C$43)))</f>
        <v/>
      </c>
      <c r="Q92" s="105">
        <f>IFERROR(IF(LEN($P92)&lt;&gt;3,1,IF($P92=$D$2,1,BDP($P92&amp;$D$2&amp;" Curncy","PX_LAST"))),1)</f>
        <v/>
      </c>
    </row>
    <row r="93">
      <c r="A93" s="16" t="n"/>
      <c r="B93" s="76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06">
        <f>IFERROR(IF($B93="","",IF(ISNUMBER($F93),$B93*$F93*$D$3/$B$3,0)),"")</f>
        <v/>
      </c>
      <c r="K93" s="106">
        <f>IFERROR(IF($J93="","",$J93*IF(ISNUMBER($I93),$I93,'Index Summary'!$C$7)/100),"")</f>
        <v/>
      </c>
      <c r="L93" s="106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7">
        <f>IF($N93="No dividend","",IF($C93="","",BDP($C93,'Field Check'!$C$43)))</f>
        <v/>
      </c>
      <c r="Q93" s="105">
        <f>IFERROR(IF(LEN($P93)&lt;&gt;3,1,IF($P93=$D$2,1,BDP($P93&amp;$D$2&amp;" Curncy","PX_LAST"))),1)</f>
        <v/>
      </c>
    </row>
    <row r="94">
      <c r="A94" s="27" t="n"/>
      <c r="B94" s="76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06">
        <f>IFERROR(IF($B94="","",IF(ISNUMBER($F94),$B94*$F94*$D$3/$B$3,0)),"")</f>
        <v/>
      </c>
      <c r="K94" s="106">
        <f>IFERROR(IF($J94="","",$J94*IF(ISNUMBER($I94),$I94,'Index Summary'!$C$7)/100),"")</f>
        <v/>
      </c>
      <c r="L94" s="106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7">
        <f>IF($N94="No dividend","",IF($C94="","",BDP($C94,'Field Check'!$C$43)))</f>
        <v/>
      </c>
      <c r="Q94" s="105">
        <f>IFERROR(IF(LEN($P94)&lt;&gt;3,1,IF($P94=$D$2,1,BDP($P94&amp;$D$2&amp;" Curncy","PX_LAST"))),1)</f>
        <v/>
      </c>
    </row>
    <row r="95">
      <c r="A95" s="16" t="n"/>
      <c r="B95" s="76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06">
        <f>IFERROR(IF($B95="","",IF(ISNUMBER($F95),$B95*$F95*$D$3/$B$3,0)),"")</f>
        <v/>
      </c>
      <c r="K95" s="106">
        <f>IFERROR(IF($J95="","",$J95*IF(ISNUMBER($I95),$I95,'Index Summary'!$C$7)/100),"")</f>
        <v/>
      </c>
      <c r="L95" s="106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7">
        <f>IF($N95="No dividend","",IF($C95="","",BDP($C95,'Field Check'!$C$43)))</f>
        <v/>
      </c>
      <c r="Q95" s="105">
        <f>IFERROR(IF(LEN($P95)&lt;&gt;3,1,IF($P95=$D$2,1,BDP($P95&amp;$D$2&amp;" Curncy","PX_LAST"))),1)</f>
        <v/>
      </c>
    </row>
    <row r="96">
      <c r="A96" s="27" t="n"/>
      <c r="B96" s="76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06">
        <f>IFERROR(IF($B96="","",IF(ISNUMBER($F96),$B96*$F96*$D$3/$B$3,0)),"")</f>
        <v/>
      </c>
      <c r="K96" s="106">
        <f>IFERROR(IF($J96="","",$J96*IF(ISNUMBER($I96),$I96,'Index Summary'!$C$7)/100),"")</f>
        <v/>
      </c>
      <c r="L96" s="106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7">
        <f>IF($N96="No dividend","",IF($C96="","",BDP($C96,'Field Check'!$C$43)))</f>
        <v/>
      </c>
      <c r="Q96" s="105">
        <f>IFERROR(IF(LEN($P96)&lt;&gt;3,1,IF($P96=$D$2,1,BDP($P96&amp;$D$2&amp;" Curncy","PX_LAST"))),1)</f>
        <v/>
      </c>
    </row>
    <row r="97">
      <c r="A97" s="16" t="n"/>
      <c r="B97" s="76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06">
        <f>IFERROR(IF($B97="","",IF(ISNUMBER($F97),$B97*$F97*$D$3/$B$3,0)),"")</f>
        <v/>
      </c>
      <c r="K97" s="106">
        <f>IFERROR(IF($J97="","",$J97*IF(ISNUMBER($I97),$I97,'Index Summary'!$C$7)/100),"")</f>
        <v/>
      </c>
      <c r="L97" s="106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7">
        <f>IF($N97="No dividend","",IF($C97="","",BDP($C97,'Field Check'!$C$43)))</f>
        <v/>
      </c>
      <c r="Q97" s="105">
        <f>IFERROR(IF(LEN($P97)&lt;&gt;3,1,IF($P97=$D$2,1,BDP($P97&amp;$D$2&amp;" Curncy","PX_LAST"))),1)</f>
        <v/>
      </c>
    </row>
    <row r="98">
      <c r="A98" s="27" t="n"/>
      <c r="B98" s="76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06">
        <f>IFERROR(IF($B98="","",IF(ISNUMBER($F98),$B98*$F98*$D$3/$B$3,0)),"")</f>
        <v/>
      </c>
      <c r="K98" s="106">
        <f>IFERROR(IF($J98="","",$J98*IF(ISNUMBER($I98),$I98,'Index Summary'!$C$7)/100),"")</f>
        <v/>
      </c>
      <c r="L98" s="106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7">
        <f>IF($N98="No dividend","",IF($C98="","",BDP($C98,'Field Check'!$C$43)))</f>
        <v/>
      </c>
      <c r="Q98" s="105">
        <f>IFERROR(IF(LEN($P98)&lt;&gt;3,1,IF($P98=$D$2,1,BDP($P98&amp;$D$2&amp;" Curncy","PX_LAST"))),1)</f>
        <v/>
      </c>
    </row>
    <row r="99">
      <c r="A99" s="16" t="n"/>
      <c r="B99" s="76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06">
        <f>IFERROR(IF($B99="","",IF(ISNUMBER($F99),$B99*$F99*$D$3/$B$3,0)),"")</f>
        <v/>
      </c>
      <c r="K99" s="106">
        <f>IFERROR(IF($J99="","",$J99*IF(ISNUMBER($I99),$I99,'Index Summary'!$C$7)/100),"")</f>
        <v/>
      </c>
      <c r="L99" s="106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7">
        <f>IF($N99="No dividend","",IF($C99="","",BDP($C99,'Field Check'!$C$43)))</f>
        <v/>
      </c>
      <c r="Q99" s="105">
        <f>IFERROR(IF(LEN($P99)&lt;&gt;3,1,IF($P99=$D$2,1,BDP($P99&amp;$D$2&amp;" Curncy","PX_LAST"))),1)</f>
        <v/>
      </c>
    </row>
    <row r="100">
      <c r="A100" s="27" t="n"/>
      <c r="B100" s="76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06">
        <f>IFERROR(IF($B100="","",IF(ISNUMBER($F100),$B100*$F100*$D$3/$B$3,0)),"")</f>
        <v/>
      </c>
      <c r="K100" s="106">
        <f>IFERROR(IF($J100="","",$J100*IF(ISNUMBER($I100),$I100,'Index Summary'!$C$7)/100),"")</f>
        <v/>
      </c>
      <c r="L100" s="106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7">
        <f>IF($N100="No dividend","",IF($C100="","",BDP($C100,'Field Check'!$C$43)))</f>
        <v/>
      </c>
      <c r="Q100" s="105">
        <f>IFERROR(IF(LEN($P100)&lt;&gt;3,1,IF($P100=$D$2,1,BDP($P100&amp;$D$2&amp;" Curncy","PX_LAST"))),1)</f>
        <v/>
      </c>
    </row>
    <row r="101">
      <c r="A101" s="16" t="n"/>
      <c r="B101" s="76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06">
        <f>IFERROR(IF($B101="","",IF(ISNUMBER($F101),$B101*$F101*$D$3/$B$3,0)),"")</f>
        <v/>
      </c>
      <c r="K101" s="106">
        <f>IFERROR(IF($J101="","",$J101*IF(ISNUMBER($I101),$I101,'Index Summary'!$C$7)/100),"")</f>
        <v/>
      </c>
      <c r="L101" s="106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7">
        <f>IF($N101="No dividend","",IF($C101="","",BDP($C101,'Field Check'!$C$43)))</f>
        <v/>
      </c>
      <c r="Q101" s="105">
        <f>IFERROR(IF(LEN($P101)&lt;&gt;3,1,IF($P101=$D$2,1,BDP($P101&amp;$D$2&amp;" Curncy","PX_LAST"))),1)</f>
        <v/>
      </c>
    </row>
    <row r="102">
      <c r="A102" s="27" t="n"/>
      <c r="B102" s="76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06">
        <f>IFERROR(IF($B102="","",IF(ISNUMBER($F102),$B102*$F102*$D$3/$B$3,0)),"")</f>
        <v/>
      </c>
      <c r="K102" s="106">
        <f>IFERROR(IF($J102="","",$J102*IF(ISNUMBER($I102),$I102,'Index Summary'!$C$7)/100),"")</f>
        <v/>
      </c>
      <c r="L102" s="106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7">
        <f>IF($N102="No dividend","",IF($C102="","",BDP($C102,'Field Check'!$C$43)))</f>
        <v/>
      </c>
      <c r="Q102" s="105">
        <f>IFERROR(IF(LEN($P102)&lt;&gt;3,1,IF($P102=$D$2,1,BDP($P102&amp;$D$2&amp;" Curncy","PX_LAST"))),1)</f>
        <v/>
      </c>
    </row>
    <row r="103">
      <c r="A103" s="16" t="n"/>
      <c r="B103" s="76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06">
        <f>IFERROR(IF($B103="","",IF(ISNUMBER($F103),$B103*$F103*$D$3/$B$3,0)),"")</f>
        <v/>
      </c>
      <c r="K103" s="106">
        <f>IFERROR(IF($J103="","",$J103*IF(ISNUMBER($I103),$I103,'Index Summary'!$C$7)/100),"")</f>
        <v/>
      </c>
      <c r="L103" s="106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7">
        <f>IF($N103="No dividend","",IF($C103="","",BDP($C103,'Field Check'!$C$43)))</f>
        <v/>
      </c>
      <c r="Q103" s="105">
        <f>IFERROR(IF(LEN($P103)&lt;&gt;3,1,IF($P103=$D$2,1,BDP($P103&amp;$D$2&amp;" Curncy","PX_LAST"))),1)</f>
        <v/>
      </c>
    </row>
    <row r="104">
      <c r="A104" s="27" t="n"/>
      <c r="B104" s="76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06">
        <f>IFERROR(IF($B104="","",IF(ISNUMBER($F104),$B104*$F104*$D$3/$B$3,0)),"")</f>
        <v/>
      </c>
      <c r="K104" s="106">
        <f>IFERROR(IF($J104="","",$J104*IF(ISNUMBER($I104),$I104,'Index Summary'!$C$7)/100),"")</f>
        <v/>
      </c>
      <c r="L104" s="106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7">
        <f>IF($N104="No dividend","",IF($C104="","",BDP($C104,'Field Check'!$C$43)))</f>
        <v/>
      </c>
      <c r="Q104" s="105">
        <f>IFERROR(IF(LEN($P104)&lt;&gt;3,1,IF($P104=$D$2,1,BDP($P104&amp;$D$2&amp;" Curncy","PX_LAST"))),1)</f>
        <v/>
      </c>
    </row>
    <row r="105">
      <c r="A105" s="16" t="n"/>
      <c r="B105" s="76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06">
        <f>IFERROR(IF($B105="","",IF(ISNUMBER($F105),$B105*$F105*$D$3/$B$3,0)),"")</f>
        <v/>
      </c>
      <c r="K105" s="106">
        <f>IFERROR(IF($J105="","",$J105*IF(ISNUMBER($I105),$I105,'Index Summary'!$C$7)/100),"")</f>
        <v/>
      </c>
      <c r="L105" s="106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7">
        <f>IF($N105="No dividend","",IF($C105="","",BDP($C105,'Field Check'!$C$43)))</f>
        <v/>
      </c>
      <c r="Q105" s="105">
        <f>IFERROR(IF(LEN($P105)&lt;&gt;3,1,IF($P105=$D$2,1,BDP($P105&amp;$D$2&amp;" Curncy","PX_LAST"))),1)</f>
        <v/>
      </c>
    </row>
    <row r="106">
      <c r="A106" s="27" t="n"/>
      <c r="B106" s="76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06">
        <f>IFERROR(IF($B106="","",IF(ISNUMBER($F106),$B106*$F106*$D$3/$B$3,0)),"")</f>
        <v/>
      </c>
      <c r="K106" s="106">
        <f>IFERROR(IF($J106="","",$J106*IF(ISNUMBER($I106),$I106,'Index Summary'!$C$7)/100),"")</f>
        <v/>
      </c>
      <c r="L106" s="106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7">
        <f>IF($N106="No dividend","",IF($C106="","",BDP($C106,'Field Check'!$C$43)))</f>
        <v/>
      </c>
      <c r="Q106" s="105">
        <f>IFERROR(IF(LEN($P106)&lt;&gt;3,1,IF($P106=$D$2,1,BDP($P106&amp;$D$2&amp;" Curncy","PX_LAST"))),1)</f>
        <v/>
      </c>
    </row>
    <row r="107">
      <c r="A107" s="16" t="n"/>
      <c r="B107" s="76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06">
        <f>IFERROR(IF($B107="","",IF(ISNUMBER($F107),$B107*$F107*$D$3/$B$3,0)),"")</f>
        <v/>
      </c>
      <c r="K107" s="106">
        <f>IFERROR(IF($J107="","",$J107*IF(ISNUMBER($I107),$I107,'Index Summary'!$C$7)/100),"")</f>
        <v/>
      </c>
      <c r="L107" s="106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7">
        <f>IF($N107="No dividend","",IF($C107="","",BDP($C107,'Field Check'!$C$43)))</f>
        <v/>
      </c>
      <c r="Q107" s="105">
        <f>IFERROR(IF(LEN($P107)&lt;&gt;3,1,IF($P107=$D$2,1,BDP($P107&amp;$D$2&amp;" Curncy","PX_LAST"))),1)</f>
        <v/>
      </c>
    </row>
    <row r="108">
      <c r="A108" s="27" t="n"/>
      <c r="B108" s="76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06">
        <f>IFERROR(IF($B108="","",IF(ISNUMBER($F108),$B108*$F108*$D$3/$B$3,0)),"")</f>
        <v/>
      </c>
      <c r="K108" s="106">
        <f>IFERROR(IF($J108="","",$J108*IF(ISNUMBER($I108),$I108,'Index Summary'!$C$7)/100),"")</f>
        <v/>
      </c>
      <c r="L108" s="106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7">
        <f>IF($N108="No dividend","",IF($C108="","",BDP($C108,'Field Check'!$C$43)))</f>
        <v/>
      </c>
      <c r="Q108" s="105">
        <f>IFERROR(IF(LEN($P108)&lt;&gt;3,1,IF($P108=$D$2,1,BDP($P108&amp;$D$2&amp;" Curncy","PX_LAST"))),1)</f>
        <v/>
      </c>
    </row>
    <row r="109">
      <c r="A109" s="16" t="n"/>
      <c r="B109" s="76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06">
        <f>IFERROR(IF($B109="","",IF(ISNUMBER($F109),$B109*$F109*$D$3/$B$3,0)),"")</f>
        <v/>
      </c>
      <c r="K109" s="106">
        <f>IFERROR(IF($J109="","",$J109*IF(ISNUMBER($I109),$I109,'Index Summary'!$C$7)/100),"")</f>
        <v/>
      </c>
      <c r="L109" s="106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7">
        <f>IF($N109="No dividend","",IF($C109="","",BDP($C109,'Field Check'!$C$43)))</f>
        <v/>
      </c>
      <c r="Q109" s="105">
        <f>IFERROR(IF(LEN($P109)&lt;&gt;3,1,IF($P109=$D$2,1,BDP($P109&amp;$D$2&amp;" Curncy","PX_LAST"))),1)</f>
        <v/>
      </c>
    </row>
    <row r="110">
      <c r="A110" s="27" t="n"/>
      <c r="B110" s="76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06">
        <f>IFERROR(IF($B110="","",IF(ISNUMBER($F110),$B110*$F110*$D$3/$B$3,0)),"")</f>
        <v/>
      </c>
      <c r="K110" s="106">
        <f>IFERROR(IF($J110="","",$J110*IF(ISNUMBER($I110),$I110,'Index Summary'!$C$7)/100),"")</f>
        <v/>
      </c>
      <c r="L110" s="106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7">
        <f>IF($N110="No dividend","",IF($C110="","",BDP($C110,'Field Check'!$C$43)))</f>
        <v/>
      </c>
      <c r="Q110" s="105">
        <f>IFERROR(IF(LEN($P110)&lt;&gt;3,1,IF($P110=$D$2,1,BDP($P110&amp;$D$2&amp;" Curncy","PX_LAST"))),1)</f>
        <v/>
      </c>
    </row>
    <row r="111">
      <c r="A111" s="16" t="n"/>
      <c r="B111" s="76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06">
        <f>IFERROR(IF($B111="","",IF(ISNUMBER($F111),$B111*$F111*$D$3/$B$3,0)),"")</f>
        <v/>
      </c>
      <c r="K111" s="106">
        <f>IFERROR(IF($J111="","",$J111*IF(ISNUMBER($I111),$I111,'Index Summary'!$C$7)/100),"")</f>
        <v/>
      </c>
      <c r="L111" s="106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7">
        <f>IF($N111="No dividend","",IF($C111="","",BDP($C111,'Field Check'!$C$43)))</f>
        <v/>
      </c>
      <c r="Q111" s="105">
        <f>IFERROR(IF(LEN($P111)&lt;&gt;3,1,IF($P111=$D$2,1,BDP($P111&amp;$D$2&amp;" Curncy","PX_LAST"))),1)</f>
        <v/>
      </c>
    </row>
    <row r="112">
      <c r="A112" s="27" t="n"/>
      <c r="B112" s="76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06">
        <f>IFERROR(IF($B112="","",IF(ISNUMBER($F112),$B112*$F112*$D$3/$B$3,0)),"")</f>
        <v/>
      </c>
      <c r="K112" s="106">
        <f>IFERROR(IF($J112="","",$J112*IF(ISNUMBER($I112),$I112,'Index Summary'!$C$7)/100),"")</f>
        <v/>
      </c>
      <c r="L112" s="106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7">
        <f>IF($N112="No dividend","",IF($C112="","",BDP($C112,'Field Check'!$C$43)))</f>
        <v/>
      </c>
      <c r="Q112" s="105">
        <f>IFERROR(IF(LEN($P112)&lt;&gt;3,1,IF($P112=$D$2,1,BDP($P112&amp;$D$2&amp;" Curncy","PX_LAST"))),1)</f>
        <v/>
      </c>
    </row>
    <row r="113">
      <c r="A113" s="16" t="n"/>
      <c r="B113" s="76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06">
        <f>IFERROR(IF($B113="","",IF(ISNUMBER($F113),$B113*$F113*$D$3/$B$3,0)),"")</f>
        <v/>
      </c>
      <c r="K113" s="106">
        <f>IFERROR(IF($J113="","",$J113*IF(ISNUMBER($I113),$I113,'Index Summary'!$C$7)/100),"")</f>
        <v/>
      </c>
      <c r="L113" s="106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7">
        <f>IF($N113="No dividend","",IF($C113="","",BDP($C113,'Field Check'!$C$43)))</f>
        <v/>
      </c>
      <c r="Q113" s="105">
        <f>IFERROR(IF(LEN($P113)&lt;&gt;3,1,IF($P113=$D$2,1,BDP($P113&amp;$D$2&amp;" Curncy","PX_LAST"))),1)</f>
        <v/>
      </c>
    </row>
    <row r="114">
      <c r="A114" s="27" t="n"/>
      <c r="B114" s="76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06">
        <f>IFERROR(IF($B114="","",IF(ISNUMBER($F114),$B114*$F114*$D$3/$B$3,0)),"")</f>
        <v/>
      </c>
      <c r="K114" s="106">
        <f>IFERROR(IF($J114="","",$J114*IF(ISNUMBER($I114),$I114,'Index Summary'!$C$7)/100),"")</f>
        <v/>
      </c>
      <c r="L114" s="106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7">
        <f>IF($N114="No dividend","",IF($C114="","",BDP($C114,'Field Check'!$C$43)))</f>
        <v/>
      </c>
      <c r="Q114" s="105">
        <f>IFERROR(IF(LEN($P114)&lt;&gt;3,1,IF($P114=$D$2,1,BDP($P114&amp;$D$2&amp;" Curncy","PX_LAST"))),1)</f>
        <v/>
      </c>
    </row>
    <row r="115">
      <c r="A115" s="16" t="n"/>
      <c r="B115" s="76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06">
        <f>IFERROR(IF($B115="","",IF(ISNUMBER($F115),$B115*$F115*$D$3/$B$3,0)),"")</f>
        <v/>
      </c>
      <c r="K115" s="106">
        <f>IFERROR(IF($J115="","",$J115*IF(ISNUMBER($I115),$I115,'Index Summary'!$C$7)/100),"")</f>
        <v/>
      </c>
      <c r="L115" s="106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7">
        <f>IF($N115="No dividend","",IF($C115="","",BDP($C115,'Field Check'!$C$43)))</f>
        <v/>
      </c>
      <c r="Q115" s="105">
        <f>IFERROR(IF(LEN($P115)&lt;&gt;3,1,IF($P115=$D$2,1,BDP($P115&amp;$D$2&amp;" Curncy","PX_LAST"))),1)</f>
        <v/>
      </c>
    </row>
    <row r="116">
      <c r="A116" s="27" t="n"/>
      <c r="B116" s="76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06">
        <f>IFERROR(IF($B116="","",IF(ISNUMBER($F116),$B116*$F116*$D$3/$B$3,0)),"")</f>
        <v/>
      </c>
      <c r="K116" s="106">
        <f>IFERROR(IF($J116="","",$J116*IF(ISNUMBER($I116),$I116,'Index Summary'!$C$7)/100),"")</f>
        <v/>
      </c>
      <c r="L116" s="106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7">
        <f>IF($N116="No dividend","",IF($C116="","",BDP($C116,'Field Check'!$C$43)))</f>
        <v/>
      </c>
      <c r="Q116" s="105">
        <f>IFERROR(IF(LEN($P116)&lt;&gt;3,1,IF($P116=$D$2,1,BDP($P116&amp;$D$2&amp;" Curncy","PX_LAST"))),1)</f>
        <v/>
      </c>
    </row>
    <row r="117">
      <c r="A117" s="16" t="n"/>
      <c r="B117" s="76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06">
        <f>IFERROR(IF($B117="","",IF(ISNUMBER($F117),$B117*$F117*$D$3/$B$3,0)),"")</f>
        <v/>
      </c>
      <c r="K117" s="106">
        <f>IFERROR(IF($J117="","",$J117*IF(ISNUMBER($I117),$I117,'Index Summary'!$C$7)/100),"")</f>
        <v/>
      </c>
      <c r="L117" s="106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7">
        <f>IF($N117="No dividend","",IF($C117="","",BDP($C117,'Field Check'!$C$43)))</f>
        <v/>
      </c>
      <c r="Q117" s="105">
        <f>IFERROR(IF(LEN($P117)&lt;&gt;3,1,IF($P117=$D$2,1,BDP($P117&amp;$D$2&amp;" Curncy","PX_LAST"))),1)</f>
        <v/>
      </c>
    </row>
    <row r="118">
      <c r="A118" s="27" t="n"/>
      <c r="B118" s="76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06">
        <f>IFERROR(IF($B118="","",IF(ISNUMBER($F118),$B118*$F118*$D$3/$B$3,0)),"")</f>
        <v/>
      </c>
      <c r="K118" s="106">
        <f>IFERROR(IF($J118="","",$J118*IF(ISNUMBER($I118),$I118,'Index Summary'!$C$7)/100),"")</f>
        <v/>
      </c>
      <c r="L118" s="106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7">
        <f>IF($N118="No dividend","",IF($C118="","",BDP($C118,'Field Check'!$C$43)))</f>
        <v/>
      </c>
      <c r="Q118" s="105">
        <f>IFERROR(IF(LEN($P118)&lt;&gt;3,1,IF($P118=$D$2,1,BDP($P118&amp;$D$2&amp;" Curncy","PX_LAST"))),1)</f>
        <v/>
      </c>
    </row>
    <row r="119">
      <c r="A119" s="16" t="n"/>
      <c r="B119" s="76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06">
        <f>IFERROR(IF($B119="","",IF(ISNUMBER($F119),$B119*$F119*$D$3/$B$3,0)),"")</f>
        <v/>
      </c>
      <c r="K119" s="106">
        <f>IFERROR(IF($J119="","",$J119*IF(ISNUMBER($I119),$I119,'Index Summary'!$C$7)/100),"")</f>
        <v/>
      </c>
      <c r="L119" s="106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7">
        <f>IF($N119="No dividend","",IF($C119="","",BDP($C119,'Field Check'!$C$43)))</f>
        <v/>
      </c>
      <c r="Q119" s="105">
        <f>IFERROR(IF(LEN($P119)&lt;&gt;3,1,IF($P119=$D$2,1,BDP($P119&amp;$D$2&amp;" Curncy","PX_LAST"))),1)</f>
        <v/>
      </c>
    </row>
    <row r="120">
      <c r="A120" s="27" t="n"/>
      <c r="B120" s="76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06">
        <f>IFERROR(IF($B120="","",IF(ISNUMBER($F120),$B120*$F120*$D$3/$B$3,0)),"")</f>
        <v/>
      </c>
      <c r="K120" s="106">
        <f>IFERROR(IF($J120="","",$J120*IF(ISNUMBER($I120),$I120,'Index Summary'!$C$7)/100),"")</f>
        <v/>
      </c>
      <c r="L120" s="106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7">
        <f>IF($N120="No dividend","",IF($C120="","",BDP($C120,'Field Check'!$C$43)))</f>
        <v/>
      </c>
      <c r="Q120" s="105">
        <f>IFERROR(IF(LEN($P120)&lt;&gt;3,1,IF($P120=$D$2,1,BDP($P120&amp;$D$2&amp;" Curncy","PX_LAST"))),1)</f>
        <v/>
      </c>
    </row>
    <row r="121">
      <c r="A121" s="16" t="n"/>
      <c r="B121" s="76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06">
        <f>IFERROR(IF($B121="","",IF(ISNUMBER($F121),$B121*$F121*$D$3/$B$3,0)),"")</f>
        <v/>
      </c>
      <c r="K121" s="106">
        <f>IFERROR(IF($J121="","",$J121*IF(ISNUMBER($I121),$I121,'Index Summary'!$C$7)/100),"")</f>
        <v/>
      </c>
      <c r="L121" s="106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7">
        <f>IF($N121="No dividend","",IF($C121="","",BDP($C121,'Field Check'!$C$43)))</f>
        <v/>
      </c>
      <c r="Q121" s="105">
        <f>IFERROR(IF(LEN($P121)&lt;&gt;3,1,IF($P121=$D$2,1,BDP($P121&amp;$D$2&amp;" Curncy","PX_LAST"))),1)</f>
        <v/>
      </c>
    </row>
    <row r="122">
      <c r="A122" s="27" t="n"/>
      <c r="B122" s="76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06">
        <f>IFERROR(IF($B122="","",IF(ISNUMBER($F122),$B122*$F122*$D$3/$B$3,0)),"")</f>
        <v/>
      </c>
      <c r="K122" s="106">
        <f>IFERROR(IF($J122="","",$J122*IF(ISNUMBER($I122),$I122,'Index Summary'!$C$7)/100),"")</f>
        <v/>
      </c>
      <c r="L122" s="106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7">
        <f>IF($N122="No dividend","",IF($C122="","",BDP($C122,'Field Check'!$C$43)))</f>
        <v/>
      </c>
      <c r="Q122" s="105">
        <f>IFERROR(IF(LEN($P122)&lt;&gt;3,1,IF($P122=$D$2,1,BDP($P122&amp;$D$2&amp;" Curncy","PX_LAST"))),1)</f>
        <v/>
      </c>
    </row>
    <row r="123">
      <c r="A123" s="16" t="n"/>
      <c r="B123" s="76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06">
        <f>IFERROR(IF($B123="","",IF(ISNUMBER($F123),$B123*$F123*$D$3/$B$3,0)),"")</f>
        <v/>
      </c>
      <c r="K123" s="106">
        <f>IFERROR(IF($J123="","",$J123*IF(ISNUMBER($I123),$I123,'Index Summary'!$C$7)/100),"")</f>
        <v/>
      </c>
      <c r="L123" s="106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7">
        <f>IF($N123="No dividend","",IF($C123="","",BDP($C123,'Field Check'!$C$43)))</f>
        <v/>
      </c>
      <c r="Q123" s="105">
        <f>IFERROR(IF(LEN($P123)&lt;&gt;3,1,IF($P123=$D$2,1,BDP($P123&amp;$D$2&amp;" Curncy","PX_LAST"))),1)</f>
        <v/>
      </c>
    </row>
    <row r="124">
      <c r="A124" s="27" t="n"/>
      <c r="B124" s="76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06">
        <f>IFERROR(IF($B124="","",IF(ISNUMBER($F124),$B124*$F124*$D$3/$B$3,0)),"")</f>
        <v/>
      </c>
      <c r="K124" s="106">
        <f>IFERROR(IF($J124="","",$J124*IF(ISNUMBER($I124),$I124,'Index Summary'!$C$7)/100),"")</f>
        <v/>
      </c>
      <c r="L124" s="106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7">
        <f>IF($N124="No dividend","",IF($C124="","",BDP($C124,'Field Check'!$C$43)))</f>
        <v/>
      </c>
      <c r="Q124" s="105">
        <f>IFERROR(IF(LEN($P124)&lt;&gt;3,1,IF($P124=$D$2,1,BDP($P124&amp;$D$2&amp;" Curncy","PX_LAST"))),1)</f>
        <v/>
      </c>
    </row>
    <row r="125">
      <c r="A125" s="16" t="n"/>
      <c r="B125" s="76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06">
        <f>IFERROR(IF($B125="","",IF(ISNUMBER($F125),$B125*$F125*$D$3/$B$3,0)),"")</f>
        <v/>
      </c>
      <c r="K125" s="106">
        <f>IFERROR(IF($J125="","",$J125*IF(ISNUMBER($I125),$I125,'Index Summary'!$C$7)/100),"")</f>
        <v/>
      </c>
      <c r="L125" s="106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7">
        <f>IF($N125="No dividend","",IF($C125="","",BDP($C125,'Field Check'!$C$43)))</f>
        <v/>
      </c>
      <c r="Q125" s="105">
        <f>IFERROR(IF(LEN($P125)&lt;&gt;3,1,IF($P125=$D$2,1,BDP($P125&amp;$D$2&amp;" Curncy","PX_LAST"))),1)</f>
        <v/>
      </c>
    </row>
    <row r="126">
      <c r="A126" s="27" t="n"/>
      <c r="B126" s="76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06">
        <f>IFERROR(IF($B126="","",IF(ISNUMBER($F126),$B126*$F126*$D$3/$B$3,0)),"")</f>
        <v/>
      </c>
      <c r="K126" s="106">
        <f>IFERROR(IF($J126="","",$J126*IF(ISNUMBER($I126),$I126,'Index Summary'!$C$7)/100),"")</f>
        <v/>
      </c>
      <c r="L126" s="106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7">
        <f>IF($N126="No dividend","",IF($C126="","",BDP($C126,'Field Check'!$C$43)))</f>
        <v/>
      </c>
      <c r="Q126" s="105">
        <f>IFERROR(IF(LEN($P126)&lt;&gt;3,1,IF($P126=$D$2,1,BDP($P126&amp;$D$2&amp;" Curncy","PX_LAST"))),1)</f>
        <v/>
      </c>
    </row>
    <row r="127">
      <c r="A127" s="16" t="n"/>
      <c r="B127" s="76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06">
        <f>IFERROR(IF($B127="","",IF(ISNUMBER($F127),$B127*$F127*$D$3/$B$3,0)),"")</f>
        <v/>
      </c>
      <c r="K127" s="106">
        <f>IFERROR(IF($J127="","",$J127*IF(ISNUMBER($I127),$I127,'Index Summary'!$C$7)/100),"")</f>
        <v/>
      </c>
      <c r="L127" s="106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7">
        <f>IF($N127="No dividend","",IF($C127="","",BDP($C127,'Field Check'!$C$43)))</f>
        <v/>
      </c>
      <c r="Q127" s="105">
        <f>IFERROR(IF(LEN($P127)&lt;&gt;3,1,IF($P127=$D$2,1,BDP($P127&amp;$D$2&amp;" Curncy","PX_LAST"))),1)</f>
        <v/>
      </c>
    </row>
    <row r="128">
      <c r="A128" s="27" t="n"/>
      <c r="B128" s="76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06">
        <f>IFERROR(IF($B128="","",IF(ISNUMBER($F128),$B128*$F128*$D$3/$B$3,0)),"")</f>
        <v/>
      </c>
      <c r="K128" s="106">
        <f>IFERROR(IF($J128="","",$J128*IF(ISNUMBER($I128),$I128,'Index Summary'!$C$7)/100),"")</f>
        <v/>
      </c>
      <c r="L128" s="106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7">
        <f>IF($N128="No dividend","",IF($C128="","",BDP($C128,'Field Check'!$C$43)))</f>
        <v/>
      </c>
      <c r="Q128" s="105">
        <f>IFERROR(IF(LEN($P128)&lt;&gt;3,1,IF($P128=$D$2,1,BDP($P128&amp;$D$2&amp;" Curncy","PX_LAST"))),1)</f>
        <v/>
      </c>
    </row>
    <row r="129">
      <c r="A129" s="16" t="n"/>
      <c r="B129" s="76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06">
        <f>IFERROR(IF($B129="","",IF(ISNUMBER($F129),$B129*$F129*$D$3/$B$3,0)),"")</f>
        <v/>
      </c>
      <c r="K129" s="106">
        <f>IFERROR(IF($J129="","",$J129*IF(ISNUMBER($I129),$I129,'Index Summary'!$C$7)/100),"")</f>
        <v/>
      </c>
      <c r="L129" s="106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7">
        <f>IF($N129="No dividend","",IF($C129="","",BDP($C129,'Field Check'!$C$43)))</f>
        <v/>
      </c>
      <c r="Q129" s="105">
        <f>IFERROR(IF(LEN($P129)&lt;&gt;3,1,IF($P129=$D$2,1,BDP($P129&amp;$D$2&amp;" Curncy","PX_LAST"))),1)</f>
        <v/>
      </c>
    </row>
    <row r="130">
      <c r="A130" s="27" t="n"/>
      <c r="B130" s="76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06">
        <f>IFERROR(IF($B130="","",IF(ISNUMBER($F130),$B130*$F130*$D$3/$B$3,0)),"")</f>
        <v/>
      </c>
      <c r="K130" s="106">
        <f>IFERROR(IF($J130="","",$J130*IF(ISNUMBER($I130),$I130,'Index Summary'!$C$7)/100),"")</f>
        <v/>
      </c>
      <c r="L130" s="106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7">
        <f>IF($N130="No dividend","",IF($C130="","",BDP($C130,'Field Check'!$C$43)))</f>
        <v/>
      </c>
      <c r="Q130" s="105">
        <f>IFERROR(IF(LEN($P130)&lt;&gt;3,1,IF($P130=$D$2,1,BDP($P130&amp;$D$2&amp;" Curncy","PX_LAST"))),1)</f>
        <v/>
      </c>
    </row>
    <row r="131">
      <c r="A131" s="16" t="n"/>
      <c r="B131" s="76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06">
        <f>IFERROR(IF($B131="","",IF(ISNUMBER($F131),$B131*$F131*$D$3/$B$3,0)),"")</f>
        <v/>
      </c>
      <c r="K131" s="106">
        <f>IFERROR(IF($J131="","",$J131*IF(ISNUMBER($I131),$I131,'Index Summary'!$C$7)/100),"")</f>
        <v/>
      </c>
      <c r="L131" s="106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7">
        <f>IF($N131="No dividend","",IF($C131="","",BDP($C131,'Field Check'!$C$43)))</f>
        <v/>
      </c>
      <c r="Q131" s="105">
        <f>IFERROR(IF(LEN($P131)&lt;&gt;3,1,IF($P131=$D$2,1,BDP($P131&amp;$D$2&amp;" Curncy","PX_LAST"))),1)</f>
        <v/>
      </c>
    </row>
    <row r="132">
      <c r="A132" s="27" t="n"/>
      <c r="B132" s="76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06">
        <f>IFERROR(IF($B132="","",IF(ISNUMBER($F132),$B132*$F132*$D$3/$B$3,0)),"")</f>
        <v/>
      </c>
      <c r="K132" s="106">
        <f>IFERROR(IF($J132="","",$J132*IF(ISNUMBER($I132),$I132,'Index Summary'!$C$7)/100),"")</f>
        <v/>
      </c>
      <c r="L132" s="106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7">
        <f>IF($N132="No dividend","",IF($C132="","",BDP($C132,'Field Check'!$C$43)))</f>
        <v/>
      </c>
      <c r="Q132" s="105">
        <f>IFERROR(IF(LEN($P132)&lt;&gt;3,1,IF($P132=$D$2,1,BDP($P132&amp;$D$2&amp;" Curncy","PX_LAST"))),1)</f>
        <v/>
      </c>
    </row>
    <row r="133">
      <c r="A133" s="16" t="n"/>
      <c r="B133" s="76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06">
        <f>IFERROR(IF($B133="","",IF(ISNUMBER($F133),$B133*$F133*$D$3/$B$3,0)),"")</f>
        <v/>
      </c>
      <c r="K133" s="106">
        <f>IFERROR(IF($J133="","",$J133*IF(ISNUMBER($I133),$I133,'Index Summary'!$C$7)/100),"")</f>
        <v/>
      </c>
      <c r="L133" s="106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7">
        <f>IF($N133="No dividend","",IF($C133="","",BDP($C133,'Field Check'!$C$43)))</f>
        <v/>
      </c>
      <c r="Q133" s="105">
        <f>IFERROR(IF(LEN($P133)&lt;&gt;3,1,IF($P133=$D$2,1,BDP($P133&amp;$D$2&amp;" Curncy","PX_LAST"))),1)</f>
        <v/>
      </c>
    </row>
    <row r="134">
      <c r="A134" s="27" t="n"/>
      <c r="B134" s="76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06">
        <f>IFERROR(IF($B134="","",IF(ISNUMBER($F134),$B134*$F134*$D$3/$B$3,0)),"")</f>
        <v/>
      </c>
      <c r="K134" s="106">
        <f>IFERROR(IF($J134="","",$J134*IF(ISNUMBER($I134),$I134,'Index Summary'!$C$7)/100),"")</f>
        <v/>
      </c>
      <c r="L134" s="106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7">
        <f>IF($N134="No dividend","",IF($C134="","",BDP($C134,'Field Check'!$C$43)))</f>
        <v/>
      </c>
      <c r="Q134" s="105">
        <f>IFERROR(IF(LEN($P134)&lt;&gt;3,1,IF($P134=$D$2,1,BDP($P134&amp;$D$2&amp;" Curncy","PX_LAST"))),1)</f>
        <v/>
      </c>
    </row>
    <row r="135">
      <c r="A135" s="16" t="n"/>
      <c r="B135" s="76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06">
        <f>IFERROR(IF($B135="","",IF(ISNUMBER($F135),$B135*$F135*$D$3/$B$3,0)),"")</f>
        <v/>
      </c>
      <c r="K135" s="106">
        <f>IFERROR(IF($J135="","",$J135*IF(ISNUMBER($I135),$I135,'Index Summary'!$C$7)/100),"")</f>
        <v/>
      </c>
      <c r="L135" s="106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7">
        <f>IF($N135="No dividend","",IF($C135="","",BDP($C135,'Field Check'!$C$43)))</f>
        <v/>
      </c>
      <c r="Q135" s="105">
        <f>IFERROR(IF(LEN($P135)&lt;&gt;3,1,IF($P135=$D$2,1,BDP($P135&amp;$D$2&amp;" Curncy","PX_LAST"))),1)</f>
        <v/>
      </c>
    </row>
    <row r="136">
      <c r="A136" s="27" t="n"/>
      <c r="B136" s="76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06">
        <f>IFERROR(IF($B136="","",IF(ISNUMBER($F136),$B136*$F136*$D$3/$B$3,0)),"")</f>
        <v/>
      </c>
      <c r="K136" s="106">
        <f>IFERROR(IF($J136="","",$J136*IF(ISNUMBER($I136),$I136,'Index Summary'!$C$7)/100),"")</f>
        <v/>
      </c>
      <c r="L136" s="106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7">
        <f>IF($N136="No dividend","",IF($C136="","",BDP($C136,'Field Check'!$C$43)))</f>
        <v/>
      </c>
      <c r="Q136" s="105">
        <f>IFERROR(IF(LEN($P136)&lt;&gt;3,1,IF($P136=$D$2,1,BDP($P136&amp;$D$2&amp;" Curncy","PX_LAST"))),1)</f>
        <v/>
      </c>
    </row>
    <row r="137">
      <c r="A137" s="16" t="n"/>
      <c r="B137" s="76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06">
        <f>IFERROR(IF($B137="","",IF(ISNUMBER($F137),$B137*$F137*$D$3/$B$3,0)),"")</f>
        <v/>
      </c>
      <c r="K137" s="106">
        <f>IFERROR(IF($J137="","",$J137*IF(ISNUMBER($I137),$I137,'Index Summary'!$C$7)/100),"")</f>
        <v/>
      </c>
      <c r="L137" s="106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7">
        <f>IF($N137="No dividend","",IF($C137="","",BDP($C137,'Field Check'!$C$43)))</f>
        <v/>
      </c>
      <c r="Q137" s="105">
        <f>IFERROR(IF(LEN($P137)&lt;&gt;3,1,IF($P137=$D$2,1,BDP($P137&amp;$D$2&amp;" Curncy","PX_LAST"))),1)</f>
        <v/>
      </c>
    </row>
    <row r="138">
      <c r="A138" s="27" t="n"/>
      <c r="B138" s="76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06">
        <f>IFERROR(IF($B138="","",IF(ISNUMBER($F138),$B138*$F138*$D$3/$B$3,0)),"")</f>
        <v/>
      </c>
      <c r="K138" s="106">
        <f>IFERROR(IF($J138="","",$J138*IF(ISNUMBER($I138),$I138,'Index Summary'!$C$7)/100),"")</f>
        <v/>
      </c>
      <c r="L138" s="106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7">
        <f>IF($N138="No dividend","",IF($C138="","",BDP($C138,'Field Check'!$C$43)))</f>
        <v/>
      </c>
      <c r="Q138" s="105">
        <f>IFERROR(IF(LEN($P138)&lt;&gt;3,1,IF($P138=$D$2,1,BDP($P138&amp;$D$2&amp;" Curncy","PX_LAST"))),1)</f>
        <v/>
      </c>
    </row>
    <row r="139">
      <c r="A139" s="16" t="n"/>
      <c r="B139" s="76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06">
        <f>IFERROR(IF($B139="","",IF(ISNUMBER($F139),$B139*$F139*$D$3/$B$3,0)),"")</f>
        <v/>
      </c>
      <c r="K139" s="106">
        <f>IFERROR(IF($J139="","",$J139*IF(ISNUMBER($I139),$I139,'Index Summary'!$C$7)/100),"")</f>
        <v/>
      </c>
      <c r="L139" s="106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7">
        <f>IF($N139="No dividend","",IF($C139="","",BDP($C139,'Field Check'!$C$43)))</f>
        <v/>
      </c>
      <c r="Q139" s="105">
        <f>IFERROR(IF(LEN($P139)&lt;&gt;3,1,IF($P139=$D$2,1,BDP($P139&amp;$D$2&amp;" Curncy","PX_LAST"))),1)</f>
        <v/>
      </c>
    </row>
    <row r="140">
      <c r="A140" s="27" t="n"/>
      <c r="B140" s="76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06">
        <f>IFERROR(IF($B140="","",IF(ISNUMBER($F140),$B140*$F140*$D$3/$B$3,0)),"")</f>
        <v/>
      </c>
      <c r="K140" s="106">
        <f>IFERROR(IF($J140="","",$J140*IF(ISNUMBER($I140),$I140,'Index Summary'!$C$7)/100),"")</f>
        <v/>
      </c>
      <c r="L140" s="106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7">
        <f>IF($N140="No dividend","",IF($C140="","",BDP($C140,'Field Check'!$C$43)))</f>
        <v/>
      </c>
      <c r="Q140" s="105">
        <f>IFERROR(IF(LEN($P140)&lt;&gt;3,1,IF($P140=$D$2,1,BDP($P140&amp;$D$2&amp;" Curncy","PX_LAST"))),1)</f>
        <v/>
      </c>
    </row>
    <row r="141">
      <c r="A141" s="16" t="n"/>
      <c r="B141" s="76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06">
        <f>IFERROR(IF($B141="","",IF(ISNUMBER($F141),$B141*$F141*$D$3/$B$3,0)),"")</f>
        <v/>
      </c>
      <c r="K141" s="106">
        <f>IFERROR(IF($J141="","",$J141*IF(ISNUMBER($I141),$I141,'Index Summary'!$C$7)/100),"")</f>
        <v/>
      </c>
      <c r="L141" s="106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7">
        <f>IF($N141="No dividend","",IF($C141="","",BDP($C141,'Field Check'!$C$43)))</f>
        <v/>
      </c>
      <c r="Q141" s="105">
        <f>IFERROR(IF(LEN($P141)&lt;&gt;3,1,IF($P141=$D$2,1,BDP($P141&amp;$D$2&amp;" Curncy","PX_LAST"))),1)</f>
        <v/>
      </c>
    </row>
    <row r="142">
      <c r="A142" s="27" t="n"/>
      <c r="B142" s="76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06">
        <f>IFERROR(IF($B142="","",IF(ISNUMBER($F142),$B142*$F142*$D$3/$B$3,0)),"")</f>
        <v/>
      </c>
      <c r="K142" s="106">
        <f>IFERROR(IF($J142="","",$J142*IF(ISNUMBER($I142),$I142,'Index Summary'!$C$7)/100),"")</f>
        <v/>
      </c>
      <c r="L142" s="106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7">
        <f>IF($N142="No dividend","",IF($C142="","",BDP($C142,'Field Check'!$C$43)))</f>
        <v/>
      </c>
      <c r="Q142" s="105">
        <f>IFERROR(IF(LEN($P142)&lt;&gt;3,1,IF($P142=$D$2,1,BDP($P142&amp;$D$2&amp;" Curncy","PX_LAST"))),1)</f>
        <v/>
      </c>
    </row>
    <row r="143">
      <c r="A143" s="16" t="n"/>
      <c r="B143" s="76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06">
        <f>IFERROR(IF($B143="","",IF(ISNUMBER($F143),$B143*$F143*$D$3/$B$3,0)),"")</f>
        <v/>
      </c>
      <c r="K143" s="106">
        <f>IFERROR(IF($J143="","",$J143*IF(ISNUMBER($I143),$I143,'Index Summary'!$C$7)/100),"")</f>
        <v/>
      </c>
      <c r="L143" s="106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7">
        <f>IF($N143="No dividend","",IF($C143="","",BDP($C143,'Field Check'!$C$43)))</f>
        <v/>
      </c>
      <c r="Q143" s="105">
        <f>IFERROR(IF(LEN($P143)&lt;&gt;3,1,IF($P143=$D$2,1,BDP($P143&amp;$D$2&amp;" Curncy","PX_LAST"))),1)</f>
        <v/>
      </c>
    </row>
    <row r="144">
      <c r="A144" s="27" t="n"/>
      <c r="B144" s="76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06">
        <f>IFERROR(IF($B144="","",IF(ISNUMBER($F144),$B144*$F144*$D$3/$B$3,0)),"")</f>
        <v/>
      </c>
      <c r="K144" s="106">
        <f>IFERROR(IF($J144="","",$J144*IF(ISNUMBER($I144),$I144,'Index Summary'!$C$7)/100),"")</f>
        <v/>
      </c>
      <c r="L144" s="106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7">
        <f>IF($N144="No dividend","",IF($C144="","",BDP($C144,'Field Check'!$C$43)))</f>
        <v/>
      </c>
      <c r="Q144" s="105">
        <f>IFERROR(IF(LEN($P144)&lt;&gt;3,1,IF($P144=$D$2,1,BDP($P144&amp;$D$2&amp;" Curncy","PX_LAST"))),1)</f>
        <v/>
      </c>
    </row>
    <row r="145">
      <c r="A145" s="16" t="n"/>
      <c r="B145" s="76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06">
        <f>IFERROR(IF($B145="","",IF(ISNUMBER($F145),$B145*$F145*$D$3/$B$3,0)),"")</f>
        <v/>
      </c>
      <c r="K145" s="106">
        <f>IFERROR(IF($J145="","",$J145*IF(ISNUMBER($I145),$I145,'Index Summary'!$C$7)/100),"")</f>
        <v/>
      </c>
      <c r="L145" s="106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7">
        <f>IF($N145="No dividend","",IF($C145="","",BDP($C145,'Field Check'!$C$43)))</f>
        <v/>
      </c>
      <c r="Q145" s="105">
        <f>IFERROR(IF(LEN($P145)&lt;&gt;3,1,IF($P145=$D$2,1,BDP($P145&amp;$D$2&amp;" Curncy","PX_LAST"))),1)</f>
        <v/>
      </c>
    </row>
    <row r="146">
      <c r="A146" s="27" t="n"/>
      <c r="B146" s="76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06">
        <f>IFERROR(IF($B146="","",IF(ISNUMBER($F146),$B146*$F146*$D$3/$B$3,0)),"")</f>
        <v/>
      </c>
      <c r="K146" s="106">
        <f>IFERROR(IF($J146="","",$J146*IF(ISNUMBER($I146),$I146,'Index Summary'!$C$7)/100),"")</f>
        <v/>
      </c>
      <c r="L146" s="106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7">
        <f>IF($N146="No dividend","",IF($C146="","",BDP($C146,'Field Check'!$C$43)))</f>
        <v/>
      </c>
      <c r="Q146" s="105">
        <f>IFERROR(IF(LEN($P146)&lt;&gt;3,1,IF($P146=$D$2,1,BDP($P146&amp;$D$2&amp;" Curncy","PX_LAST"))),1)</f>
        <v/>
      </c>
    </row>
    <row r="147">
      <c r="A147" s="16" t="n"/>
      <c r="B147" s="76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06">
        <f>IFERROR(IF($B147="","",IF(ISNUMBER($F147),$B147*$F147*$D$3/$B$3,0)),"")</f>
        <v/>
      </c>
      <c r="K147" s="106">
        <f>IFERROR(IF($J147="","",$J147*IF(ISNUMBER($I147),$I147,'Index Summary'!$C$7)/100),"")</f>
        <v/>
      </c>
      <c r="L147" s="106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7">
        <f>IF($N147="No dividend","",IF($C147="","",BDP($C147,'Field Check'!$C$43)))</f>
        <v/>
      </c>
      <c r="Q147" s="105">
        <f>IFERROR(IF(LEN($P147)&lt;&gt;3,1,IF($P147=$D$2,1,BDP($P147&amp;$D$2&amp;" Curncy","PX_LAST"))),1)</f>
        <v/>
      </c>
    </row>
    <row r="148">
      <c r="A148" s="27" t="n"/>
      <c r="B148" s="76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06">
        <f>IFERROR(IF($B148="","",IF(ISNUMBER($F148),$B148*$F148*$D$3/$B$3,0)),"")</f>
        <v/>
      </c>
      <c r="K148" s="106">
        <f>IFERROR(IF($J148="","",$J148*IF(ISNUMBER($I148),$I148,'Index Summary'!$C$7)/100),"")</f>
        <v/>
      </c>
      <c r="L148" s="106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7">
        <f>IF($N148="No dividend","",IF($C148="","",BDP($C148,'Field Check'!$C$43)))</f>
        <v/>
      </c>
      <c r="Q148" s="105">
        <f>IFERROR(IF(LEN($P148)&lt;&gt;3,1,IF($P148=$D$2,1,BDP($P148&amp;$D$2&amp;" Curncy","PX_LAST"))),1)</f>
        <v/>
      </c>
    </row>
    <row r="149">
      <c r="A149" s="16" t="n"/>
      <c r="B149" s="76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06">
        <f>IFERROR(IF($B149="","",IF(ISNUMBER($F149),$B149*$F149*$D$3/$B$3,0)),"")</f>
        <v/>
      </c>
      <c r="K149" s="106">
        <f>IFERROR(IF($J149="","",$J149*IF(ISNUMBER($I149),$I149,'Index Summary'!$C$7)/100),"")</f>
        <v/>
      </c>
      <c r="L149" s="106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7">
        <f>IF($N149="No dividend","",IF($C149="","",BDP($C149,'Field Check'!$C$43)))</f>
        <v/>
      </c>
      <c r="Q149" s="105">
        <f>IFERROR(IF(LEN($P149)&lt;&gt;3,1,IF($P149=$D$2,1,BDP($P149&amp;$D$2&amp;" Curncy","PX_LAST"))),1)</f>
        <v/>
      </c>
    </row>
    <row r="150">
      <c r="A150" s="27" t="n"/>
      <c r="B150" s="76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06">
        <f>IFERROR(IF($B150="","",IF(ISNUMBER($F150),$B150*$F150*$D$3/$B$3,0)),"")</f>
        <v/>
      </c>
      <c r="K150" s="106">
        <f>IFERROR(IF($J150="","",$J150*IF(ISNUMBER($I150),$I150,'Index Summary'!$C$7)/100),"")</f>
        <v/>
      </c>
      <c r="L150" s="106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7">
        <f>IF($N150="No dividend","",IF($C150="","",BDP($C150,'Field Check'!$C$43)))</f>
        <v/>
      </c>
      <c r="Q150" s="105">
        <f>IFERROR(IF(LEN($P150)&lt;&gt;3,1,IF($P150=$D$2,1,BDP($P150&amp;$D$2&amp;" Curncy","PX_LAST"))),1)</f>
        <v/>
      </c>
    </row>
    <row r="151">
      <c r="A151" s="16" t="n"/>
      <c r="B151" s="76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06">
        <f>IFERROR(IF($B151="","",IF(ISNUMBER($F151),$B151*$F151*$D$3/$B$3,0)),"")</f>
        <v/>
      </c>
      <c r="K151" s="106">
        <f>IFERROR(IF($J151="","",$J151*IF(ISNUMBER($I151),$I151,'Index Summary'!$C$7)/100),"")</f>
        <v/>
      </c>
      <c r="L151" s="106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7">
        <f>IF($N151="No dividend","",IF($C151="","",BDP($C151,'Field Check'!$C$43)))</f>
        <v/>
      </c>
      <c r="Q151" s="105">
        <f>IFERROR(IF(LEN($P151)&lt;&gt;3,1,IF($P151=$D$2,1,BDP($P151&amp;$D$2&amp;" Curncy","PX_LAST"))),1)</f>
        <v/>
      </c>
    </row>
    <row r="152">
      <c r="A152" s="27" t="n"/>
      <c r="B152" s="76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06">
        <f>IFERROR(IF($B152="","",IF(ISNUMBER($F152),$B152*$F152*$D$3/$B$3,0)),"")</f>
        <v/>
      </c>
      <c r="K152" s="106">
        <f>IFERROR(IF($J152="","",$J152*IF(ISNUMBER($I152),$I152,'Index Summary'!$C$7)/100),"")</f>
        <v/>
      </c>
      <c r="L152" s="106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7">
        <f>IF($N152="No dividend","",IF($C152="","",BDP($C152,'Field Check'!$C$43)))</f>
        <v/>
      </c>
      <c r="Q152" s="105">
        <f>IFERROR(IF(LEN($P152)&lt;&gt;3,1,IF($P152=$D$2,1,BDP($P152&amp;$D$2&amp;" Curncy","PX_LAST"))),1)</f>
        <v/>
      </c>
    </row>
    <row r="153">
      <c r="A153" s="16" t="n"/>
      <c r="B153" s="76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06">
        <f>IFERROR(IF($B153="","",IF(ISNUMBER($F153),$B153*$F153*$D$3/$B$3,0)),"")</f>
        <v/>
      </c>
      <c r="K153" s="106">
        <f>IFERROR(IF($J153="","",$J153*IF(ISNUMBER($I153),$I153,'Index Summary'!$C$7)/100),"")</f>
        <v/>
      </c>
      <c r="L153" s="106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7">
        <f>IF($N153="No dividend","",IF($C153="","",BDP($C153,'Field Check'!$C$43)))</f>
        <v/>
      </c>
      <c r="Q153" s="105">
        <f>IFERROR(IF(LEN($P153)&lt;&gt;3,1,IF($P153=$D$2,1,BDP($P153&amp;$D$2&amp;" Curncy","PX_LAST"))),1)</f>
        <v/>
      </c>
    </row>
    <row r="154">
      <c r="A154" s="27" t="n"/>
      <c r="B154" s="76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06">
        <f>IFERROR(IF($B154="","",IF(ISNUMBER($F154),$B154*$F154*$D$3/$B$3,0)),"")</f>
        <v/>
      </c>
      <c r="K154" s="106">
        <f>IFERROR(IF($J154="","",$J154*IF(ISNUMBER($I154),$I154,'Index Summary'!$C$7)/100),"")</f>
        <v/>
      </c>
      <c r="L154" s="106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7">
        <f>IF($N154="No dividend","",IF($C154="","",BDP($C154,'Field Check'!$C$43)))</f>
        <v/>
      </c>
      <c r="Q154" s="105">
        <f>IFERROR(IF(LEN($P154)&lt;&gt;3,1,IF($P154=$D$2,1,BDP($P154&amp;$D$2&amp;" Curncy","PX_LAST"))),1)</f>
        <v/>
      </c>
    </row>
    <row r="155">
      <c r="A155" s="16" t="n"/>
      <c r="B155" s="76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06">
        <f>IFERROR(IF($B155="","",IF(ISNUMBER($F155),$B155*$F155*$D$3/$B$3,0)),"")</f>
        <v/>
      </c>
      <c r="K155" s="106">
        <f>IFERROR(IF($J155="","",$J155*IF(ISNUMBER($I155),$I155,'Index Summary'!$C$7)/100),"")</f>
        <v/>
      </c>
      <c r="L155" s="106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7">
        <f>IF($N155="No dividend","",IF($C155="","",BDP($C155,'Field Check'!$C$43)))</f>
        <v/>
      </c>
      <c r="Q155" s="105">
        <f>IFERROR(IF(LEN($P155)&lt;&gt;3,1,IF($P155=$D$2,1,BDP($P155&amp;$D$2&amp;" Curncy","PX_LAST"))),1)</f>
        <v/>
      </c>
    </row>
    <row r="156">
      <c r="A156" s="27" t="n"/>
      <c r="B156" s="76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06">
        <f>IFERROR(IF($B156="","",IF(ISNUMBER($F156),$B156*$F156*$D$3/$B$3,0)),"")</f>
        <v/>
      </c>
      <c r="K156" s="106">
        <f>IFERROR(IF($J156="","",$J156*IF(ISNUMBER($I156),$I156,'Index Summary'!$C$7)/100),"")</f>
        <v/>
      </c>
      <c r="L156" s="106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7">
        <f>IF($N156="No dividend","",IF($C156="","",BDP($C156,'Field Check'!$C$43)))</f>
        <v/>
      </c>
      <c r="Q156" s="105">
        <f>IFERROR(IF(LEN($P156)&lt;&gt;3,1,IF($P156=$D$2,1,BDP($P156&amp;$D$2&amp;" Curncy","PX_LAST"))),1)</f>
        <v/>
      </c>
    </row>
    <row r="157">
      <c r="A157" s="16" t="n"/>
      <c r="B157" s="76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06">
        <f>IFERROR(IF($B157="","",IF(ISNUMBER($F157),$B157*$F157*$D$3/$B$3,0)),"")</f>
        <v/>
      </c>
      <c r="K157" s="106">
        <f>IFERROR(IF($J157="","",$J157*IF(ISNUMBER($I157),$I157,'Index Summary'!$C$7)/100),"")</f>
        <v/>
      </c>
      <c r="L157" s="106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7">
        <f>IF($N157="No dividend","",IF($C157="","",BDP($C157,'Field Check'!$C$43)))</f>
        <v/>
      </c>
      <c r="Q157" s="105">
        <f>IFERROR(IF(LEN($P157)&lt;&gt;3,1,IF($P157=$D$2,1,BDP($P157&amp;$D$2&amp;" Curncy","PX_LAST"))),1)</f>
        <v/>
      </c>
    </row>
    <row r="158">
      <c r="A158" s="27" t="n"/>
      <c r="B158" s="76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06">
        <f>IFERROR(IF($B158="","",IF(ISNUMBER($F158),$B158*$F158*$D$3/$B$3,0)),"")</f>
        <v/>
      </c>
      <c r="K158" s="106">
        <f>IFERROR(IF($J158="","",$J158*IF(ISNUMBER($I158),$I158,'Index Summary'!$C$7)/100),"")</f>
        <v/>
      </c>
      <c r="L158" s="106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7">
        <f>IF($N158="No dividend","",IF($C158="","",BDP($C158,'Field Check'!$C$43)))</f>
        <v/>
      </c>
      <c r="Q158" s="105">
        <f>IFERROR(IF(LEN($P158)&lt;&gt;3,1,IF($P158=$D$2,1,BDP($P158&amp;$D$2&amp;" Curncy","PX_LAST"))),1)</f>
        <v/>
      </c>
    </row>
    <row r="159">
      <c r="A159" s="16" t="n"/>
      <c r="B159" s="76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06">
        <f>IFERROR(IF($B159="","",IF(ISNUMBER($F159),$B159*$F159*$D$3/$B$3,0)),"")</f>
        <v/>
      </c>
      <c r="K159" s="106">
        <f>IFERROR(IF($J159="","",$J159*IF(ISNUMBER($I159),$I159,'Index Summary'!$C$7)/100),"")</f>
        <v/>
      </c>
      <c r="L159" s="106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7">
        <f>IF($N159="No dividend","",IF($C159="","",BDP($C159,'Field Check'!$C$43)))</f>
        <v/>
      </c>
      <c r="Q159" s="105">
        <f>IFERROR(IF(LEN($P159)&lt;&gt;3,1,IF($P159=$D$2,1,BDP($P159&amp;$D$2&amp;" Curncy","PX_LAST"))),1)</f>
        <v/>
      </c>
    </row>
    <row r="160">
      <c r="A160" s="27" t="n"/>
      <c r="B160" s="76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06">
        <f>IFERROR(IF($B160="","",IF(ISNUMBER($F160),$B160*$F160*$D$3/$B$3,0)),"")</f>
        <v/>
      </c>
      <c r="K160" s="106">
        <f>IFERROR(IF($J160="","",$J160*IF(ISNUMBER($I160),$I160,'Index Summary'!$C$7)/100),"")</f>
        <v/>
      </c>
      <c r="L160" s="106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7">
        <f>IF($N160="No dividend","",IF($C160="","",BDP($C160,'Field Check'!$C$43)))</f>
        <v/>
      </c>
      <c r="Q160" s="105">
        <f>IFERROR(IF(LEN($P160)&lt;&gt;3,1,IF($P160=$D$2,1,BDP($P160&amp;$D$2&amp;" Curncy","PX_LAST"))),1)</f>
        <v/>
      </c>
    </row>
    <row r="161">
      <c r="A161" s="16" t="n"/>
      <c r="B161" s="76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06">
        <f>IFERROR(IF($B161="","",IF(ISNUMBER($F161),$B161*$F161*$D$3/$B$3,0)),"")</f>
        <v/>
      </c>
      <c r="K161" s="106">
        <f>IFERROR(IF($J161="","",$J161*IF(ISNUMBER($I161),$I161,'Index Summary'!$C$7)/100),"")</f>
        <v/>
      </c>
      <c r="L161" s="106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7">
        <f>IF($N161="No dividend","",IF($C161="","",BDP($C161,'Field Check'!$C$43)))</f>
        <v/>
      </c>
      <c r="Q161" s="105">
        <f>IFERROR(IF(LEN($P161)&lt;&gt;3,1,IF($P161=$D$2,1,BDP($P161&amp;$D$2&amp;" Curncy","PX_LAST"))),1)</f>
        <v/>
      </c>
    </row>
    <row r="162">
      <c r="A162" s="27" t="n"/>
      <c r="B162" s="76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06">
        <f>IFERROR(IF($B162="","",IF(ISNUMBER($F162),$B162*$F162*$D$3/$B$3,0)),"")</f>
        <v/>
      </c>
      <c r="K162" s="106">
        <f>IFERROR(IF($J162="","",$J162*IF(ISNUMBER($I162),$I162,'Index Summary'!$C$7)/100),"")</f>
        <v/>
      </c>
      <c r="L162" s="106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7">
        <f>IF($N162="No dividend","",IF($C162="","",BDP($C162,'Field Check'!$C$43)))</f>
        <v/>
      </c>
      <c r="Q162" s="105">
        <f>IFERROR(IF(LEN($P162)&lt;&gt;3,1,IF($P162=$D$2,1,BDP($P162&amp;$D$2&amp;" Curncy","PX_LAST"))),1)</f>
        <v/>
      </c>
    </row>
    <row r="163">
      <c r="A163" s="16" t="n"/>
      <c r="B163" s="76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06">
        <f>IFERROR(IF($B163="","",IF(ISNUMBER($F163),$B163*$F163*$D$3/$B$3,0)),"")</f>
        <v/>
      </c>
      <c r="K163" s="106">
        <f>IFERROR(IF($J163="","",$J163*IF(ISNUMBER($I163),$I163,'Index Summary'!$C$7)/100),"")</f>
        <v/>
      </c>
      <c r="L163" s="106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7">
        <f>IF($N163="No dividend","",IF($C163="","",BDP($C163,'Field Check'!$C$43)))</f>
        <v/>
      </c>
      <c r="Q163" s="105">
        <f>IFERROR(IF(LEN($P163)&lt;&gt;3,1,IF($P163=$D$2,1,BDP($P163&amp;$D$2&amp;" Curncy","PX_LAST"))),1)</f>
        <v/>
      </c>
    </row>
    <row r="164">
      <c r="A164" s="27" t="n"/>
      <c r="B164" s="76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06">
        <f>IFERROR(IF($B164="","",IF(ISNUMBER($F164),$B164*$F164*$D$3/$B$3,0)),"")</f>
        <v/>
      </c>
      <c r="K164" s="106">
        <f>IFERROR(IF($J164="","",$J164*IF(ISNUMBER($I164),$I164,'Index Summary'!$C$7)/100),"")</f>
        <v/>
      </c>
      <c r="L164" s="106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7">
        <f>IF($N164="No dividend","",IF($C164="","",BDP($C164,'Field Check'!$C$43)))</f>
        <v/>
      </c>
      <c r="Q164" s="105">
        <f>IFERROR(IF(LEN($P164)&lt;&gt;3,1,IF($P164=$D$2,1,BDP($P164&amp;$D$2&amp;" Curncy","PX_LAST"))),1)</f>
        <v/>
      </c>
    </row>
    <row r="165">
      <c r="A165" s="16" t="n"/>
      <c r="B165" s="76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06">
        <f>IFERROR(IF($B165="","",IF(ISNUMBER($F165),$B165*$F165*$D$3/$B$3,0)),"")</f>
        <v/>
      </c>
      <c r="K165" s="106">
        <f>IFERROR(IF($J165="","",$J165*IF(ISNUMBER($I165),$I165,'Index Summary'!$C$7)/100),"")</f>
        <v/>
      </c>
      <c r="L165" s="106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7">
        <f>IF($N165="No dividend","",IF($C165="","",BDP($C165,'Field Check'!$C$43)))</f>
        <v/>
      </c>
      <c r="Q165" s="105">
        <f>IFERROR(IF(LEN($P165)&lt;&gt;3,1,IF($P165=$D$2,1,BDP($P165&amp;$D$2&amp;" Curncy","PX_LAST"))),1)</f>
        <v/>
      </c>
    </row>
    <row r="166">
      <c r="A166" s="27" t="n"/>
      <c r="B166" s="76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06">
        <f>IFERROR(IF($B166="","",IF(ISNUMBER($F166),$B166*$F166*$D$3/$B$3,0)),"")</f>
        <v/>
      </c>
      <c r="K166" s="106">
        <f>IFERROR(IF($J166="","",$J166*IF(ISNUMBER($I166),$I166,'Index Summary'!$C$7)/100),"")</f>
        <v/>
      </c>
      <c r="L166" s="106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7">
        <f>IF($N166="No dividend","",IF($C166="","",BDP($C166,'Field Check'!$C$43)))</f>
        <v/>
      </c>
      <c r="Q166" s="105">
        <f>IFERROR(IF(LEN($P166)&lt;&gt;3,1,IF($P166=$D$2,1,BDP($P166&amp;$D$2&amp;" Curncy","PX_LAST"))),1)</f>
        <v/>
      </c>
    </row>
    <row r="167">
      <c r="A167" s="16" t="n"/>
      <c r="B167" s="76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06">
        <f>IFERROR(IF($B167="","",IF(ISNUMBER($F167),$B167*$F167*$D$3/$B$3,0)),"")</f>
        <v/>
      </c>
      <c r="K167" s="106">
        <f>IFERROR(IF($J167="","",$J167*IF(ISNUMBER($I167),$I167,'Index Summary'!$C$7)/100),"")</f>
        <v/>
      </c>
      <c r="L167" s="106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7">
        <f>IF($N167="No dividend","",IF($C167="","",BDP($C167,'Field Check'!$C$43)))</f>
        <v/>
      </c>
      <c r="Q167" s="105">
        <f>IFERROR(IF(LEN($P167)&lt;&gt;3,1,IF($P167=$D$2,1,BDP($P167&amp;$D$2&amp;" Curncy","PX_LAST"))),1)</f>
        <v/>
      </c>
    </row>
    <row r="168">
      <c r="A168" s="27" t="n"/>
      <c r="B168" s="76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06">
        <f>IFERROR(IF($B168="","",IF(ISNUMBER($F168),$B168*$F168*$D$3/$B$3,0)),"")</f>
        <v/>
      </c>
      <c r="K168" s="106">
        <f>IFERROR(IF($J168="","",$J168*IF(ISNUMBER($I168),$I168,'Index Summary'!$C$7)/100),"")</f>
        <v/>
      </c>
      <c r="L168" s="106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7">
        <f>IF($N168="No dividend","",IF($C168="","",BDP($C168,'Field Check'!$C$43)))</f>
        <v/>
      </c>
      <c r="Q168" s="105">
        <f>IFERROR(IF(LEN($P168)&lt;&gt;3,1,IF($P168=$D$2,1,BDP($P168&amp;$D$2&amp;" Curncy","PX_LAST"))),1)</f>
        <v/>
      </c>
    </row>
    <row r="169">
      <c r="A169" s="16" t="n"/>
      <c r="B169" s="76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06">
        <f>IFERROR(IF($B169="","",IF(ISNUMBER($F169),$B169*$F169*$D$3/$B$3,0)),"")</f>
        <v/>
      </c>
      <c r="K169" s="106">
        <f>IFERROR(IF($J169="","",$J169*IF(ISNUMBER($I169),$I169,'Index Summary'!$C$7)/100),"")</f>
        <v/>
      </c>
      <c r="L169" s="106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7">
        <f>IF($N169="No dividend","",IF($C169="","",BDP($C169,'Field Check'!$C$43)))</f>
        <v/>
      </c>
      <c r="Q169" s="105">
        <f>IFERROR(IF(LEN($P169)&lt;&gt;3,1,IF($P169=$D$2,1,BDP($P169&amp;$D$2&amp;" Curncy","PX_LAST"))),1)</f>
        <v/>
      </c>
    </row>
    <row r="170">
      <c r="A170" s="27" t="n"/>
      <c r="B170" s="76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06">
        <f>IFERROR(IF($B170="","",IF(ISNUMBER($F170),$B170*$F170*$D$3/$B$3,0)),"")</f>
        <v/>
      </c>
      <c r="K170" s="106">
        <f>IFERROR(IF($J170="","",$J170*IF(ISNUMBER($I170),$I170,'Index Summary'!$C$7)/100),"")</f>
        <v/>
      </c>
      <c r="L170" s="106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7">
        <f>IF($N170="No dividend","",IF($C170="","",BDP($C170,'Field Check'!$C$43)))</f>
        <v/>
      </c>
      <c r="Q170" s="105">
        <f>IFERROR(IF(LEN($P170)&lt;&gt;3,1,IF($P170=$D$2,1,BDP($P170&amp;$D$2&amp;" Curncy","PX_LAST"))),1)</f>
        <v/>
      </c>
    </row>
    <row r="171">
      <c r="A171" s="16" t="n"/>
      <c r="B171" s="76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06">
        <f>IFERROR(IF($B171="","",IF(ISNUMBER($F171),$B171*$F171*$D$3/$B$3,0)),"")</f>
        <v/>
      </c>
      <c r="K171" s="106">
        <f>IFERROR(IF($J171="","",$J171*IF(ISNUMBER($I171),$I171,'Index Summary'!$C$7)/100),"")</f>
        <v/>
      </c>
      <c r="L171" s="106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7">
        <f>IF($N171="No dividend","",IF($C171="","",BDP($C171,'Field Check'!$C$43)))</f>
        <v/>
      </c>
      <c r="Q171" s="105">
        <f>IFERROR(IF(LEN($P171)&lt;&gt;3,1,IF($P171=$D$2,1,BDP($P171&amp;$D$2&amp;" Curncy","PX_LAST"))),1)</f>
        <v/>
      </c>
    </row>
    <row r="172">
      <c r="A172" s="27" t="n"/>
      <c r="B172" s="76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06">
        <f>IFERROR(IF($B172="","",IF(ISNUMBER($F172),$B172*$F172*$D$3/$B$3,0)),"")</f>
        <v/>
      </c>
      <c r="K172" s="106">
        <f>IFERROR(IF($J172="","",$J172*IF(ISNUMBER($I172),$I172,'Index Summary'!$C$7)/100),"")</f>
        <v/>
      </c>
      <c r="L172" s="106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7">
        <f>IF($N172="No dividend","",IF($C172="","",BDP($C172,'Field Check'!$C$43)))</f>
        <v/>
      </c>
      <c r="Q172" s="105">
        <f>IFERROR(IF(LEN($P172)&lt;&gt;3,1,IF($P172=$D$2,1,BDP($P172&amp;$D$2&amp;" Curncy","PX_LAST"))),1)</f>
        <v/>
      </c>
    </row>
    <row r="173">
      <c r="A173" s="16" t="n"/>
      <c r="B173" s="76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06">
        <f>IFERROR(IF($B173="","",IF(ISNUMBER($F173),$B173*$F173*$D$3/$B$3,0)),"")</f>
        <v/>
      </c>
      <c r="K173" s="106">
        <f>IFERROR(IF($J173="","",$J173*IF(ISNUMBER($I173),$I173,'Index Summary'!$C$7)/100),"")</f>
        <v/>
      </c>
      <c r="L173" s="106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7">
        <f>IF($N173="No dividend","",IF($C173="","",BDP($C173,'Field Check'!$C$43)))</f>
        <v/>
      </c>
      <c r="Q173" s="105">
        <f>IFERROR(IF(LEN($P173)&lt;&gt;3,1,IF($P173=$D$2,1,BDP($P173&amp;$D$2&amp;" Curncy","PX_LAST"))),1)</f>
        <v/>
      </c>
    </row>
    <row r="174">
      <c r="A174" s="27" t="n"/>
      <c r="B174" s="76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06">
        <f>IFERROR(IF($B174="","",IF(ISNUMBER($F174),$B174*$F174*$D$3/$B$3,0)),"")</f>
        <v/>
      </c>
      <c r="K174" s="106">
        <f>IFERROR(IF($J174="","",$J174*IF(ISNUMBER($I174),$I174,'Index Summary'!$C$7)/100),"")</f>
        <v/>
      </c>
      <c r="L174" s="106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7">
        <f>IF($N174="No dividend","",IF($C174="","",BDP($C174,'Field Check'!$C$43)))</f>
        <v/>
      </c>
      <c r="Q174" s="105">
        <f>IFERROR(IF(LEN($P174)&lt;&gt;3,1,IF($P174=$D$2,1,BDP($P174&amp;$D$2&amp;" Curncy","PX_LAST"))),1)</f>
        <v/>
      </c>
    </row>
    <row r="175">
      <c r="A175" s="16" t="n"/>
      <c r="B175" s="76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06">
        <f>IFERROR(IF($B175="","",IF(ISNUMBER($F175),$B175*$F175*$D$3/$B$3,0)),"")</f>
        <v/>
      </c>
      <c r="K175" s="106">
        <f>IFERROR(IF($J175="","",$J175*IF(ISNUMBER($I175),$I175,'Index Summary'!$C$7)/100),"")</f>
        <v/>
      </c>
      <c r="L175" s="106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7">
        <f>IF($N175="No dividend","",IF($C175="","",BDP($C175,'Field Check'!$C$43)))</f>
        <v/>
      </c>
      <c r="Q175" s="105">
        <f>IFERROR(IF(LEN($P175)&lt;&gt;3,1,IF($P175=$D$2,1,BDP($P175&amp;$D$2&amp;" Curncy","PX_LAST"))),1)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9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</cols>
  <sheetData>
    <row r="1">
      <c r="A1" s="1" t="inlineStr">
        <is>
          <t>DIVIDEND CALENDAR - PROJECTED EX-DATES &amp; AMOUNTS PER STOCK</t>
        </is>
      </c>
    </row>
    <row r="2">
      <c r="A2" s="2" t="inlineStr">
        <is>
          <t>One Bloomberg pull per stock (BDVD_ALL_PROJECTIONS): top row = ex-dates, bottom row = amounts, spilling right. startcol/endcol pick those two columns; dir=h lays them flat. Accrual sums each stock's amounts by contract window.</t>
        </is>
      </c>
    </row>
    <row r="3">
      <c r="B3" s="3" t="inlineStr">
        <is>
          <t>CHECKS</t>
        </is>
      </c>
      <c r="C3" s="2" t="inlineStr">
        <is>
          <t>ex-dates read</t>
        </is>
      </c>
      <c r="D3" s="78">
        <f>SUMPRODUCT(($A$7:$A$416&lt;&gt;"")*$B$7:$B$416)+SUMPRODUCT(($A$420:$A$579&lt;&gt;"")*$B$420:$B$579)</f>
        <v/>
      </c>
      <c r="E3" s="2" t="inlineStr">
        <is>
          <t>amounts read</t>
        </is>
      </c>
      <c r="F3" s="78">
        <f>SUM($B$7:$B$416)+SUM($B$420:$B$579)-$D$3</f>
        <v/>
      </c>
      <c r="G3" s="2" t="inlineStr">
        <is>
          <t>stocks with 0 projections</t>
        </is>
      </c>
      <c r="I3" s="79">
        <f>SUMPRODUCT(($A$7:$A$416&lt;&gt;"")*($B$7:$B$416=0))+SUMPRODUCT(($A$420:$A$579&lt;&gt;"")*($B$420:$B$579=0))</f>
        <v/>
      </c>
      <c r="J3" s="2" t="inlineStr">
        <is>
          <t>last projected ex-date</t>
        </is>
      </c>
      <c r="K3" s="51">
        <f>IFERROR(IF(MAX($C$7:$C$416,$C$420:$C$579)=0,"",MAX($C$7:$C$416,$C$420:$C$579)),"")</f>
        <v/>
      </c>
    </row>
    <row r="4">
      <c r="A4" s="2" t="inlineStr">
        <is>
          <t>Non-payers show 0 projections too - compare the No dividend counts (L2) on the data tabs. ex-dates and amounts should match; a difference means a ragged pull - eyeball that stock. Other BDS fields (e.g. DVD_HIST_ALL) spill a DIFFERENT shape - check the live sample on Field Check before swapping the field.</t>
        </is>
      </c>
    </row>
    <row r="5">
      <c r="A5" s="3" t="inlineStr">
        <is>
          <t>S&amp;P/ASX 200 (AS51)</t>
        </is>
      </c>
    </row>
    <row r="6">
      <c r="A6" s="53" t="inlineStr">
        <is>
          <t>Ticker</t>
        </is>
      </c>
      <c r="B6" s="53" t="inlineStr">
        <is>
          <t>Events</t>
        </is>
      </c>
      <c r="C6" s="53" t="inlineStr">
        <is>
          <t>Last ex</t>
        </is>
      </c>
      <c r="D6" s="53" t="inlineStr">
        <is>
          <t>Bloomberg spill -&gt;</t>
        </is>
      </c>
    </row>
    <row r="7">
      <c r="A7" s="5">
        <f>IF(AS51!$C$6="","",AS51!$C$6)</f>
        <v/>
      </c>
      <c r="B7" s="107">
        <f>IF($A7="",0,COUNT($E7:$CZ7))</f>
        <v/>
      </c>
      <c r="C7" s="108">
        <f>IF($A7="",0,IF($B7=0,0,MAX($E7:$CZ7)))</f>
        <v/>
      </c>
      <c r="D7" s="5">
        <f>BDS($A7,'Field Check'!$C$42,"headers=y","startcol=2","endcol=3","dir=h")</f>
        <v/>
      </c>
    </row>
    <row r="8">
      <c r="B8" s="107">
        <f>IF($A7="",0,COUNT($E8:$CZ8))</f>
        <v/>
      </c>
    </row>
    <row r="9">
      <c r="A9" s="5">
        <f>IF(AS51!$C$7="","",AS51!$C$7)</f>
        <v/>
      </c>
      <c r="B9" s="107">
        <f>IF($A9="",0,COUNT($E9:$CZ9))</f>
        <v/>
      </c>
      <c r="C9" s="108">
        <f>IF($A9="",0,IF($B9=0,0,MAX($E9:$CZ9)))</f>
        <v/>
      </c>
      <c r="D9" s="5">
        <f>BDS($A9,'Field Check'!$C$42,"headers=y","startcol=2","endcol=3","dir=h")</f>
        <v/>
      </c>
    </row>
    <row r="10">
      <c r="B10" s="107">
        <f>IF($A9="",0,COUNT($E10:$CZ10))</f>
        <v/>
      </c>
    </row>
    <row r="11">
      <c r="A11" s="5">
        <f>IF(AS51!$C$8="","",AS51!$C$8)</f>
        <v/>
      </c>
      <c r="B11" s="107">
        <f>IF($A11="",0,COUNT($E11:$CZ11))</f>
        <v/>
      </c>
      <c r="C11" s="108">
        <f>IF($A11="",0,IF($B11=0,0,MAX($E11:$CZ11)))</f>
        <v/>
      </c>
      <c r="D11" s="5">
        <f>BDS($A11,'Field Check'!$C$42,"headers=y","startcol=2","endcol=3","dir=h")</f>
        <v/>
      </c>
    </row>
    <row r="12">
      <c r="B12" s="107">
        <f>IF($A11="",0,COUNT($E12:$CZ12))</f>
        <v/>
      </c>
    </row>
    <row r="13">
      <c r="A13" s="5">
        <f>IF(AS51!$C$9="","",AS51!$C$9)</f>
        <v/>
      </c>
      <c r="B13" s="107">
        <f>IF($A13="",0,COUNT($E13:$CZ13))</f>
        <v/>
      </c>
      <c r="C13" s="108">
        <f>IF($A13="",0,IF($B13=0,0,MAX($E13:$CZ13)))</f>
        <v/>
      </c>
      <c r="D13" s="5">
        <f>BDS($A13,'Field Check'!$C$42,"headers=y","startcol=2","endcol=3","dir=h")</f>
        <v/>
      </c>
    </row>
    <row r="14">
      <c r="B14" s="107">
        <f>IF($A13="",0,COUNT($E14:$CZ14))</f>
        <v/>
      </c>
    </row>
    <row r="15">
      <c r="A15" s="5">
        <f>IF(AS51!$C$10="","",AS51!$C$10)</f>
        <v/>
      </c>
      <c r="B15" s="107">
        <f>IF($A15="",0,COUNT($E15:$CZ15))</f>
        <v/>
      </c>
      <c r="C15" s="108">
        <f>IF($A15="",0,IF($B15=0,0,MAX($E15:$CZ15)))</f>
        <v/>
      </c>
      <c r="D15" s="5">
        <f>BDS($A15,'Field Check'!$C$42,"headers=y","startcol=2","endcol=3","dir=h")</f>
        <v/>
      </c>
    </row>
    <row r="16">
      <c r="B16" s="107">
        <f>IF($A15="",0,COUNT($E16:$CZ16))</f>
        <v/>
      </c>
    </row>
    <row r="17">
      <c r="A17" s="5">
        <f>IF(AS51!$C$11="","",AS51!$C$11)</f>
        <v/>
      </c>
      <c r="B17" s="107">
        <f>IF($A17="",0,COUNT($E17:$CZ17))</f>
        <v/>
      </c>
      <c r="C17" s="108">
        <f>IF($A17="",0,IF($B17=0,0,MAX($E17:$CZ17)))</f>
        <v/>
      </c>
      <c r="D17" s="5">
        <f>BDS($A17,'Field Check'!$C$42,"headers=y","startcol=2","endcol=3","dir=h")</f>
        <v/>
      </c>
    </row>
    <row r="18">
      <c r="B18" s="107">
        <f>IF($A17="",0,COUNT($E18:$CZ18))</f>
        <v/>
      </c>
    </row>
    <row r="19">
      <c r="A19" s="5">
        <f>IF(AS51!$C$12="","",AS51!$C$12)</f>
        <v/>
      </c>
      <c r="B19" s="107">
        <f>IF($A19="",0,COUNT($E19:$CZ19))</f>
        <v/>
      </c>
      <c r="C19" s="108">
        <f>IF($A19="",0,IF($B19=0,0,MAX($E19:$CZ19)))</f>
        <v/>
      </c>
      <c r="D19" s="5">
        <f>BDS($A19,'Field Check'!$C$42,"headers=y","startcol=2","endcol=3","dir=h")</f>
        <v/>
      </c>
    </row>
    <row r="20">
      <c r="B20" s="107">
        <f>IF($A19="",0,COUNT($E20:$CZ20))</f>
        <v/>
      </c>
    </row>
    <row r="21">
      <c r="A21" s="5">
        <f>IF(AS51!$C$13="","",AS51!$C$13)</f>
        <v/>
      </c>
      <c r="B21" s="107">
        <f>IF($A21="",0,COUNT($E21:$CZ21))</f>
        <v/>
      </c>
      <c r="C21" s="108">
        <f>IF($A21="",0,IF($B21=0,0,MAX($E21:$CZ21)))</f>
        <v/>
      </c>
      <c r="D21" s="5">
        <f>BDS($A21,'Field Check'!$C$42,"headers=y","startcol=2","endcol=3","dir=h")</f>
        <v/>
      </c>
    </row>
    <row r="22">
      <c r="B22" s="107">
        <f>IF($A21="",0,COUNT($E22:$CZ22))</f>
        <v/>
      </c>
    </row>
    <row r="23">
      <c r="A23" s="5">
        <f>IF(AS51!$C$14="","",AS51!$C$14)</f>
        <v/>
      </c>
      <c r="B23" s="107">
        <f>IF($A23="",0,COUNT($E23:$CZ23))</f>
        <v/>
      </c>
      <c r="C23" s="108">
        <f>IF($A23="",0,IF($B23=0,0,MAX($E23:$CZ23)))</f>
        <v/>
      </c>
      <c r="D23" s="5">
        <f>BDS($A23,'Field Check'!$C$42,"headers=y","startcol=2","endcol=3","dir=h")</f>
        <v/>
      </c>
    </row>
    <row r="24">
      <c r="B24" s="107">
        <f>IF($A23="",0,COUNT($E24:$CZ24))</f>
        <v/>
      </c>
    </row>
    <row r="25">
      <c r="A25" s="5">
        <f>IF(AS51!$C$15="","",AS51!$C$15)</f>
        <v/>
      </c>
      <c r="B25" s="107">
        <f>IF($A25="",0,COUNT($E25:$CZ25))</f>
        <v/>
      </c>
      <c r="C25" s="108">
        <f>IF($A25="",0,IF($B25=0,0,MAX($E25:$CZ25)))</f>
        <v/>
      </c>
      <c r="D25" s="5">
        <f>BDS($A25,'Field Check'!$C$42,"headers=y","startcol=2","endcol=3","dir=h")</f>
        <v/>
      </c>
    </row>
    <row r="26">
      <c r="B26" s="107">
        <f>IF($A25="",0,COUNT($E26:$CZ26))</f>
        <v/>
      </c>
    </row>
    <row r="27">
      <c r="A27" s="5">
        <f>IF(AS51!$C$16="","",AS51!$C$16)</f>
        <v/>
      </c>
      <c r="B27" s="107">
        <f>IF($A27="",0,COUNT($E27:$CZ27))</f>
        <v/>
      </c>
      <c r="C27" s="108">
        <f>IF($A27="",0,IF($B27=0,0,MAX($E27:$CZ27)))</f>
        <v/>
      </c>
      <c r="D27" s="5">
        <f>BDS($A27,'Field Check'!$C$42,"headers=y","startcol=2","endcol=3","dir=h")</f>
        <v/>
      </c>
    </row>
    <row r="28">
      <c r="B28" s="107">
        <f>IF($A27="",0,COUNT($E28:$CZ28))</f>
        <v/>
      </c>
    </row>
    <row r="29">
      <c r="A29" s="5">
        <f>IF(AS51!$C$17="","",AS51!$C$17)</f>
        <v/>
      </c>
      <c r="B29" s="107">
        <f>IF($A29="",0,COUNT($E29:$CZ29))</f>
        <v/>
      </c>
      <c r="C29" s="108">
        <f>IF($A29="",0,IF($B29=0,0,MAX($E29:$CZ29)))</f>
        <v/>
      </c>
      <c r="D29" s="5">
        <f>BDS($A29,'Field Check'!$C$42,"headers=y","startcol=2","endcol=3","dir=h")</f>
        <v/>
      </c>
    </row>
    <row r="30">
      <c r="B30" s="107">
        <f>IF($A29="",0,COUNT($E30:$CZ30))</f>
        <v/>
      </c>
    </row>
    <row r="31">
      <c r="A31" s="5">
        <f>IF(AS51!$C$18="","",AS51!$C$18)</f>
        <v/>
      </c>
      <c r="B31" s="107">
        <f>IF($A31="",0,COUNT($E31:$CZ31))</f>
        <v/>
      </c>
      <c r="C31" s="108">
        <f>IF($A31="",0,IF($B31=0,0,MAX($E31:$CZ31)))</f>
        <v/>
      </c>
      <c r="D31" s="5">
        <f>BDS($A31,'Field Check'!$C$42,"headers=y","startcol=2","endcol=3","dir=h")</f>
        <v/>
      </c>
    </row>
    <row r="32">
      <c r="B32" s="107">
        <f>IF($A31="",0,COUNT($E32:$CZ32))</f>
        <v/>
      </c>
    </row>
    <row r="33">
      <c r="A33" s="5">
        <f>IF(AS51!$C$19="","",AS51!$C$19)</f>
        <v/>
      </c>
      <c r="B33" s="107">
        <f>IF($A33="",0,COUNT($E33:$CZ33))</f>
        <v/>
      </c>
      <c r="C33" s="108">
        <f>IF($A33="",0,IF($B33=0,0,MAX($E33:$CZ33)))</f>
        <v/>
      </c>
      <c r="D33" s="5">
        <f>BDS($A33,'Field Check'!$C$42,"headers=y","startcol=2","endcol=3","dir=h")</f>
        <v/>
      </c>
    </row>
    <row r="34">
      <c r="B34" s="107">
        <f>IF($A33="",0,COUNT($E34:$CZ34))</f>
        <v/>
      </c>
    </row>
    <row r="35">
      <c r="A35" s="5">
        <f>IF(AS51!$C$20="","",AS51!$C$20)</f>
        <v/>
      </c>
      <c r="B35" s="107">
        <f>IF($A35="",0,COUNT($E35:$CZ35))</f>
        <v/>
      </c>
      <c r="C35" s="108">
        <f>IF($A35="",0,IF($B35=0,0,MAX($E35:$CZ35)))</f>
        <v/>
      </c>
      <c r="D35" s="5">
        <f>BDS($A35,'Field Check'!$C$42,"headers=y","startcol=2","endcol=3","dir=h")</f>
        <v/>
      </c>
    </row>
    <row r="36">
      <c r="B36" s="107">
        <f>IF($A35="",0,COUNT($E36:$CZ36))</f>
        <v/>
      </c>
    </row>
    <row r="37">
      <c r="A37" s="5">
        <f>IF(AS51!$C$21="","",AS51!$C$21)</f>
        <v/>
      </c>
      <c r="B37" s="107">
        <f>IF($A37="",0,COUNT($E37:$CZ37))</f>
        <v/>
      </c>
      <c r="C37" s="108">
        <f>IF($A37="",0,IF($B37=0,0,MAX($E37:$CZ37)))</f>
        <v/>
      </c>
      <c r="D37" s="5">
        <f>BDS($A37,'Field Check'!$C$42,"headers=y","startcol=2","endcol=3","dir=h")</f>
        <v/>
      </c>
    </row>
    <row r="38">
      <c r="B38" s="107">
        <f>IF($A37="",0,COUNT($E38:$CZ38))</f>
        <v/>
      </c>
    </row>
    <row r="39">
      <c r="A39" s="5">
        <f>IF(AS51!$C$22="","",AS51!$C$22)</f>
        <v/>
      </c>
      <c r="B39" s="107">
        <f>IF($A39="",0,COUNT($E39:$CZ39))</f>
        <v/>
      </c>
      <c r="C39" s="108">
        <f>IF($A39="",0,IF($B39=0,0,MAX($E39:$CZ39)))</f>
        <v/>
      </c>
      <c r="D39" s="5">
        <f>BDS($A39,'Field Check'!$C$42,"headers=y","startcol=2","endcol=3","dir=h")</f>
        <v/>
      </c>
    </row>
    <row r="40">
      <c r="B40" s="107">
        <f>IF($A39="",0,COUNT($E40:$CZ40))</f>
        <v/>
      </c>
    </row>
    <row r="41">
      <c r="A41" s="5">
        <f>IF(AS51!$C$23="","",AS51!$C$23)</f>
        <v/>
      </c>
      <c r="B41" s="107">
        <f>IF($A41="",0,COUNT($E41:$CZ41))</f>
        <v/>
      </c>
      <c r="C41" s="108">
        <f>IF($A41="",0,IF($B41=0,0,MAX($E41:$CZ41)))</f>
        <v/>
      </c>
      <c r="D41" s="5">
        <f>BDS($A41,'Field Check'!$C$42,"headers=y","startcol=2","endcol=3","dir=h")</f>
        <v/>
      </c>
    </row>
    <row r="42">
      <c r="B42" s="107">
        <f>IF($A41="",0,COUNT($E42:$CZ42))</f>
        <v/>
      </c>
    </row>
    <row r="43">
      <c r="A43" s="5">
        <f>IF(AS51!$C$24="","",AS51!$C$24)</f>
        <v/>
      </c>
      <c r="B43" s="107">
        <f>IF($A43="",0,COUNT($E43:$CZ43))</f>
        <v/>
      </c>
      <c r="C43" s="108">
        <f>IF($A43="",0,IF($B43=0,0,MAX($E43:$CZ43)))</f>
        <v/>
      </c>
      <c r="D43" s="5">
        <f>BDS($A43,'Field Check'!$C$42,"headers=y","startcol=2","endcol=3","dir=h")</f>
        <v/>
      </c>
    </row>
    <row r="44">
      <c r="B44" s="107">
        <f>IF($A43="",0,COUNT($E44:$CZ44))</f>
        <v/>
      </c>
    </row>
    <row r="45">
      <c r="A45" s="5">
        <f>IF(AS51!$C$25="","",AS51!$C$25)</f>
        <v/>
      </c>
      <c r="B45" s="107">
        <f>IF($A45="",0,COUNT($E45:$CZ45))</f>
        <v/>
      </c>
      <c r="C45" s="108">
        <f>IF($A45="",0,IF($B45=0,0,MAX($E45:$CZ45)))</f>
        <v/>
      </c>
      <c r="D45" s="5">
        <f>BDS($A45,'Field Check'!$C$42,"headers=y","startcol=2","endcol=3","dir=h")</f>
        <v/>
      </c>
    </row>
    <row r="46">
      <c r="B46" s="107">
        <f>IF($A45="",0,COUNT($E46:$CZ46))</f>
        <v/>
      </c>
    </row>
    <row r="47">
      <c r="A47" s="5">
        <f>IF(AS51!$C$26="","",AS51!$C$26)</f>
        <v/>
      </c>
      <c r="B47" s="107">
        <f>IF($A47="",0,COUNT($E47:$CZ47))</f>
        <v/>
      </c>
      <c r="C47" s="108">
        <f>IF($A47="",0,IF($B47=0,0,MAX($E47:$CZ47)))</f>
        <v/>
      </c>
      <c r="D47" s="5">
        <f>BDS($A47,'Field Check'!$C$42,"headers=y","startcol=2","endcol=3","dir=h")</f>
        <v/>
      </c>
    </row>
    <row r="48">
      <c r="B48" s="107">
        <f>IF($A47="",0,COUNT($E48:$CZ48))</f>
        <v/>
      </c>
    </row>
    <row r="49">
      <c r="A49" s="5">
        <f>IF(AS51!$C$27="","",AS51!$C$27)</f>
        <v/>
      </c>
      <c r="B49" s="107">
        <f>IF($A49="",0,COUNT($E49:$CZ49))</f>
        <v/>
      </c>
      <c r="C49" s="108">
        <f>IF($A49="",0,IF($B49=0,0,MAX($E49:$CZ49)))</f>
        <v/>
      </c>
      <c r="D49" s="5">
        <f>BDS($A49,'Field Check'!$C$42,"headers=y","startcol=2","endcol=3","dir=h")</f>
        <v/>
      </c>
    </row>
    <row r="50">
      <c r="B50" s="107">
        <f>IF($A49="",0,COUNT($E50:$CZ50))</f>
        <v/>
      </c>
    </row>
    <row r="51">
      <c r="A51" s="5">
        <f>IF(AS51!$C$28="","",AS51!$C$28)</f>
        <v/>
      </c>
      <c r="B51" s="107">
        <f>IF($A51="",0,COUNT($E51:$CZ51))</f>
        <v/>
      </c>
      <c r="C51" s="108">
        <f>IF($A51="",0,IF($B51=0,0,MAX($E51:$CZ51)))</f>
        <v/>
      </c>
      <c r="D51" s="5">
        <f>BDS($A51,'Field Check'!$C$42,"headers=y","startcol=2","endcol=3","dir=h")</f>
        <v/>
      </c>
    </row>
    <row r="52">
      <c r="B52" s="107">
        <f>IF($A51="",0,COUNT($E52:$CZ52))</f>
        <v/>
      </c>
    </row>
    <row r="53">
      <c r="A53" s="5">
        <f>IF(AS51!$C$29="","",AS51!$C$29)</f>
        <v/>
      </c>
      <c r="B53" s="107">
        <f>IF($A53="",0,COUNT($E53:$CZ53))</f>
        <v/>
      </c>
      <c r="C53" s="108">
        <f>IF($A53="",0,IF($B53=0,0,MAX($E53:$CZ53)))</f>
        <v/>
      </c>
      <c r="D53" s="5">
        <f>BDS($A53,'Field Check'!$C$42,"headers=y","startcol=2","endcol=3","dir=h")</f>
        <v/>
      </c>
    </row>
    <row r="54">
      <c r="B54" s="107">
        <f>IF($A53="",0,COUNT($E54:$CZ54))</f>
        <v/>
      </c>
    </row>
    <row r="55">
      <c r="A55" s="5">
        <f>IF(AS51!$C$30="","",AS51!$C$30)</f>
        <v/>
      </c>
      <c r="B55" s="107">
        <f>IF($A55="",0,COUNT($E55:$CZ55))</f>
        <v/>
      </c>
      <c r="C55" s="108">
        <f>IF($A55="",0,IF($B55=0,0,MAX($E55:$CZ55)))</f>
        <v/>
      </c>
      <c r="D55" s="5">
        <f>BDS($A55,'Field Check'!$C$42,"headers=y","startcol=2","endcol=3","dir=h")</f>
        <v/>
      </c>
    </row>
    <row r="56">
      <c r="B56" s="107">
        <f>IF($A55="",0,COUNT($E56:$CZ56))</f>
        <v/>
      </c>
    </row>
    <row r="57">
      <c r="A57" s="5">
        <f>IF(AS51!$C$31="","",AS51!$C$31)</f>
        <v/>
      </c>
      <c r="B57" s="107">
        <f>IF($A57="",0,COUNT($E57:$CZ57))</f>
        <v/>
      </c>
      <c r="C57" s="108">
        <f>IF($A57="",0,IF($B57=0,0,MAX($E57:$CZ57)))</f>
        <v/>
      </c>
      <c r="D57" s="5">
        <f>BDS($A57,'Field Check'!$C$42,"headers=y","startcol=2","endcol=3","dir=h")</f>
        <v/>
      </c>
    </row>
    <row r="58">
      <c r="B58" s="107">
        <f>IF($A57="",0,COUNT($E58:$CZ58))</f>
        <v/>
      </c>
    </row>
    <row r="59">
      <c r="A59" s="5">
        <f>IF(AS51!$C$32="","",AS51!$C$32)</f>
        <v/>
      </c>
      <c r="B59" s="107">
        <f>IF($A59="",0,COUNT($E59:$CZ59))</f>
        <v/>
      </c>
      <c r="C59" s="108">
        <f>IF($A59="",0,IF($B59=0,0,MAX($E59:$CZ59)))</f>
        <v/>
      </c>
      <c r="D59" s="5">
        <f>BDS($A59,'Field Check'!$C$42,"headers=y","startcol=2","endcol=3","dir=h")</f>
        <v/>
      </c>
    </row>
    <row r="60">
      <c r="B60" s="107">
        <f>IF($A59="",0,COUNT($E60:$CZ60))</f>
        <v/>
      </c>
    </row>
    <row r="61">
      <c r="A61" s="5">
        <f>IF(AS51!$C$33="","",AS51!$C$33)</f>
        <v/>
      </c>
      <c r="B61" s="107">
        <f>IF($A61="",0,COUNT($E61:$CZ61))</f>
        <v/>
      </c>
      <c r="C61" s="108">
        <f>IF($A61="",0,IF($B61=0,0,MAX($E61:$CZ61)))</f>
        <v/>
      </c>
      <c r="D61" s="5">
        <f>BDS($A61,'Field Check'!$C$42,"headers=y","startcol=2","endcol=3","dir=h")</f>
        <v/>
      </c>
    </row>
    <row r="62">
      <c r="B62" s="107">
        <f>IF($A61="",0,COUNT($E62:$CZ62))</f>
        <v/>
      </c>
    </row>
    <row r="63">
      <c r="A63" s="5">
        <f>IF(AS51!$C$34="","",AS51!$C$34)</f>
        <v/>
      </c>
      <c r="B63" s="107">
        <f>IF($A63="",0,COUNT($E63:$CZ63))</f>
        <v/>
      </c>
      <c r="C63" s="108">
        <f>IF($A63="",0,IF($B63=0,0,MAX($E63:$CZ63)))</f>
        <v/>
      </c>
      <c r="D63" s="5">
        <f>BDS($A63,'Field Check'!$C$42,"headers=y","startcol=2","endcol=3","dir=h")</f>
        <v/>
      </c>
    </row>
    <row r="64">
      <c r="B64" s="107">
        <f>IF($A63="",0,COUNT($E64:$CZ64))</f>
        <v/>
      </c>
    </row>
    <row r="65">
      <c r="A65" s="5">
        <f>IF(AS51!$C$35="","",AS51!$C$35)</f>
        <v/>
      </c>
      <c r="B65" s="107">
        <f>IF($A65="",0,COUNT($E65:$CZ65))</f>
        <v/>
      </c>
      <c r="C65" s="108">
        <f>IF($A65="",0,IF($B65=0,0,MAX($E65:$CZ65)))</f>
        <v/>
      </c>
      <c r="D65" s="5">
        <f>BDS($A65,'Field Check'!$C$42,"headers=y","startcol=2","endcol=3","dir=h")</f>
        <v/>
      </c>
    </row>
    <row r="66">
      <c r="B66" s="107">
        <f>IF($A65="",0,COUNT($E66:$CZ66))</f>
        <v/>
      </c>
    </row>
    <row r="67">
      <c r="A67" s="5">
        <f>IF(AS51!$C$36="","",AS51!$C$36)</f>
        <v/>
      </c>
      <c r="B67" s="107">
        <f>IF($A67="",0,COUNT($E67:$CZ67))</f>
        <v/>
      </c>
      <c r="C67" s="108">
        <f>IF($A67="",0,IF($B67=0,0,MAX($E67:$CZ67)))</f>
        <v/>
      </c>
      <c r="D67" s="5">
        <f>BDS($A67,'Field Check'!$C$42,"headers=y","startcol=2","endcol=3","dir=h")</f>
        <v/>
      </c>
    </row>
    <row r="68">
      <c r="B68" s="107">
        <f>IF($A67="",0,COUNT($E68:$CZ68))</f>
        <v/>
      </c>
    </row>
    <row r="69">
      <c r="A69" s="5">
        <f>IF(AS51!$C$37="","",AS51!$C$37)</f>
        <v/>
      </c>
      <c r="B69" s="107">
        <f>IF($A69="",0,COUNT($E69:$CZ69))</f>
        <v/>
      </c>
      <c r="C69" s="108">
        <f>IF($A69="",0,IF($B69=0,0,MAX($E69:$CZ69)))</f>
        <v/>
      </c>
      <c r="D69" s="5">
        <f>BDS($A69,'Field Check'!$C$42,"headers=y","startcol=2","endcol=3","dir=h")</f>
        <v/>
      </c>
    </row>
    <row r="70">
      <c r="B70" s="107">
        <f>IF($A69="",0,COUNT($E70:$CZ70))</f>
        <v/>
      </c>
    </row>
    <row r="71">
      <c r="A71" s="5">
        <f>IF(AS51!$C$38="","",AS51!$C$38)</f>
        <v/>
      </c>
      <c r="B71" s="107">
        <f>IF($A71="",0,COUNT($E71:$CZ71))</f>
        <v/>
      </c>
      <c r="C71" s="108">
        <f>IF($A71="",0,IF($B71=0,0,MAX($E71:$CZ71)))</f>
        <v/>
      </c>
      <c r="D71" s="5">
        <f>BDS($A71,'Field Check'!$C$42,"headers=y","startcol=2","endcol=3","dir=h")</f>
        <v/>
      </c>
    </row>
    <row r="72">
      <c r="B72" s="107">
        <f>IF($A71="",0,COUNT($E72:$CZ72))</f>
        <v/>
      </c>
    </row>
    <row r="73">
      <c r="A73" s="5">
        <f>IF(AS51!$C$39="","",AS51!$C$39)</f>
        <v/>
      </c>
      <c r="B73" s="107">
        <f>IF($A73="",0,COUNT($E73:$CZ73))</f>
        <v/>
      </c>
      <c r="C73" s="108">
        <f>IF($A73="",0,IF($B73=0,0,MAX($E73:$CZ73)))</f>
        <v/>
      </c>
      <c r="D73" s="5">
        <f>BDS($A73,'Field Check'!$C$42,"headers=y","startcol=2","endcol=3","dir=h")</f>
        <v/>
      </c>
    </row>
    <row r="74">
      <c r="B74" s="107">
        <f>IF($A73="",0,COUNT($E74:$CZ74))</f>
        <v/>
      </c>
    </row>
    <row r="75">
      <c r="A75" s="5">
        <f>IF(AS51!$C$40="","",AS51!$C$40)</f>
        <v/>
      </c>
      <c r="B75" s="107">
        <f>IF($A75="",0,COUNT($E75:$CZ75))</f>
        <v/>
      </c>
      <c r="C75" s="108">
        <f>IF($A75="",0,IF($B75=0,0,MAX($E75:$CZ75)))</f>
        <v/>
      </c>
      <c r="D75" s="5">
        <f>BDS($A75,'Field Check'!$C$42,"headers=y","startcol=2","endcol=3","dir=h")</f>
        <v/>
      </c>
    </row>
    <row r="76">
      <c r="B76" s="107">
        <f>IF($A75="",0,COUNT($E76:$CZ76))</f>
        <v/>
      </c>
    </row>
    <row r="77">
      <c r="A77" s="5">
        <f>IF(AS51!$C$41="","",AS51!$C$41)</f>
        <v/>
      </c>
      <c r="B77" s="107">
        <f>IF($A77="",0,COUNT($E77:$CZ77))</f>
        <v/>
      </c>
      <c r="C77" s="108">
        <f>IF($A77="",0,IF($B77=0,0,MAX($E77:$CZ77)))</f>
        <v/>
      </c>
      <c r="D77" s="5">
        <f>BDS($A77,'Field Check'!$C$42,"headers=y","startcol=2","endcol=3","dir=h")</f>
        <v/>
      </c>
    </row>
    <row r="78">
      <c r="B78" s="107">
        <f>IF($A77="",0,COUNT($E78:$CZ78))</f>
        <v/>
      </c>
    </row>
    <row r="79">
      <c r="A79" s="5">
        <f>IF(AS51!$C$42="","",AS51!$C$42)</f>
        <v/>
      </c>
      <c r="B79" s="107">
        <f>IF($A79="",0,COUNT($E79:$CZ79))</f>
        <v/>
      </c>
      <c r="C79" s="108">
        <f>IF($A79="",0,IF($B79=0,0,MAX($E79:$CZ79)))</f>
        <v/>
      </c>
      <c r="D79" s="5">
        <f>BDS($A79,'Field Check'!$C$42,"headers=y","startcol=2","endcol=3","dir=h")</f>
        <v/>
      </c>
    </row>
    <row r="80">
      <c r="B80" s="107">
        <f>IF($A79="",0,COUNT($E80:$CZ80))</f>
        <v/>
      </c>
    </row>
    <row r="81">
      <c r="A81" s="5">
        <f>IF(AS51!$C$43="","",AS51!$C$43)</f>
        <v/>
      </c>
      <c r="B81" s="107">
        <f>IF($A81="",0,COUNT($E81:$CZ81))</f>
        <v/>
      </c>
      <c r="C81" s="108">
        <f>IF($A81="",0,IF($B81=0,0,MAX($E81:$CZ81)))</f>
        <v/>
      </c>
      <c r="D81" s="5">
        <f>BDS($A81,'Field Check'!$C$42,"headers=y","startcol=2","endcol=3","dir=h")</f>
        <v/>
      </c>
    </row>
    <row r="82">
      <c r="B82" s="107">
        <f>IF($A81="",0,COUNT($E82:$CZ82))</f>
        <v/>
      </c>
    </row>
    <row r="83">
      <c r="A83" s="5">
        <f>IF(AS51!$C$44="","",AS51!$C$44)</f>
        <v/>
      </c>
      <c r="B83" s="107">
        <f>IF($A83="",0,COUNT($E83:$CZ83))</f>
        <v/>
      </c>
      <c r="C83" s="108">
        <f>IF($A83="",0,IF($B83=0,0,MAX($E83:$CZ83)))</f>
        <v/>
      </c>
      <c r="D83" s="5">
        <f>BDS($A83,'Field Check'!$C$42,"headers=y","startcol=2","endcol=3","dir=h")</f>
        <v/>
      </c>
    </row>
    <row r="84">
      <c r="B84" s="107">
        <f>IF($A83="",0,COUNT($E84:$CZ84))</f>
        <v/>
      </c>
    </row>
    <row r="85">
      <c r="A85" s="5">
        <f>IF(AS51!$C$45="","",AS51!$C$45)</f>
        <v/>
      </c>
      <c r="B85" s="107">
        <f>IF($A85="",0,COUNT($E85:$CZ85))</f>
        <v/>
      </c>
      <c r="C85" s="108">
        <f>IF($A85="",0,IF($B85=0,0,MAX($E85:$CZ85)))</f>
        <v/>
      </c>
      <c r="D85" s="5">
        <f>BDS($A85,'Field Check'!$C$42,"headers=y","startcol=2","endcol=3","dir=h")</f>
        <v/>
      </c>
    </row>
    <row r="86">
      <c r="B86" s="107">
        <f>IF($A85="",0,COUNT($E86:$CZ86))</f>
        <v/>
      </c>
    </row>
    <row r="87">
      <c r="A87" s="5">
        <f>IF(AS51!$C$46="","",AS51!$C$46)</f>
        <v/>
      </c>
      <c r="B87" s="107">
        <f>IF($A87="",0,COUNT($E87:$CZ87))</f>
        <v/>
      </c>
      <c r="C87" s="108">
        <f>IF($A87="",0,IF($B87=0,0,MAX($E87:$CZ87)))</f>
        <v/>
      </c>
      <c r="D87" s="5">
        <f>BDS($A87,'Field Check'!$C$42,"headers=y","startcol=2","endcol=3","dir=h")</f>
        <v/>
      </c>
    </row>
    <row r="88">
      <c r="B88" s="107">
        <f>IF($A87="",0,COUNT($E88:$CZ88))</f>
        <v/>
      </c>
    </row>
    <row r="89">
      <c r="A89" s="5">
        <f>IF(AS51!$C$47="","",AS51!$C$47)</f>
        <v/>
      </c>
      <c r="B89" s="107">
        <f>IF($A89="",0,COUNT($E89:$CZ89))</f>
        <v/>
      </c>
      <c r="C89" s="108">
        <f>IF($A89="",0,IF($B89=0,0,MAX($E89:$CZ89)))</f>
        <v/>
      </c>
      <c r="D89" s="5">
        <f>BDS($A89,'Field Check'!$C$42,"headers=y","startcol=2","endcol=3","dir=h")</f>
        <v/>
      </c>
    </row>
    <row r="90">
      <c r="B90" s="107">
        <f>IF($A89="",0,COUNT($E90:$CZ90))</f>
        <v/>
      </c>
    </row>
    <row r="91">
      <c r="A91" s="5">
        <f>IF(AS51!$C$48="","",AS51!$C$48)</f>
        <v/>
      </c>
      <c r="B91" s="107">
        <f>IF($A91="",0,COUNT($E91:$CZ91))</f>
        <v/>
      </c>
      <c r="C91" s="108">
        <f>IF($A91="",0,IF($B91=0,0,MAX($E91:$CZ91)))</f>
        <v/>
      </c>
      <c r="D91" s="5">
        <f>BDS($A91,'Field Check'!$C$42,"headers=y","startcol=2","endcol=3","dir=h")</f>
        <v/>
      </c>
    </row>
    <row r="92">
      <c r="B92" s="107">
        <f>IF($A91="",0,COUNT($E92:$CZ92))</f>
        <v/>
      </c>
    </row>
    <row r="93">
      <c r="A93" s="5">
        <f>IF(AS51!$C$49="","",AS51!$C$49)</f>
        <v/>
      </c>
      <c r="B93" s="107">
        <f>IF($A93="",0,COUNT($E93:$CZ93))</f>
        <v/>
      </c>
      <c r="C93" s="108">
        <f>IF($A93="",0,IF($B93=0,0,MAX($E93:$CZ93)))</f>
        <v/>
      </c>
      <c r="D93" s="5">
        <f>BDS($A93,'Field Check'!$C$42,"headers=y","startcol=2","endcol=3","dir=h")</f>
        <v/>
      </c>
    </row>
    <row r="94">
      <c r="B94" s="107">
        <f>IF($A93="",0,COUNT($E94:$CZ94))</f>
        <v/>
      </c>
    </row>
    <row r="95">
      <c r="A95" s="5">
        <f>IF(AS51!$C$50="","",AS51!$C$50)</f>
        <v/>
      </c>
      <c r="B95" s="107">
        <f>IF($A95="",0,COUNT($E95:$CZ95))</f>
        <v/>
      </c>
      <c r="C95" s="108">
        <f>IF($A95="",0,IF($B95=0,0,MAX($E95:$CZ95)))</f>
        <v/>
      </c>
      <c r="D95" s="5">
        <f>BDS($A95,'Field Check'!$C$42,"headers=y","startcol=2","endcol=3","dir=h")</f>
        <v/>
      </c>
    </row>
    <row r="96">
      <c r="B96" s="107">
        <f>IF($A95="",0,COUNT($E96:$CZ96))</f>
        <v/>
      </c>
    </row>
    <row r="97">
      <c r="A97" s="5">
        <f>IF(AS51!$C$51="","",AS51!$C$51)</f>
        <v/>
      </c>
      <c r="B97" s="107">
        <f>IF($A97="",0,COUNT($E97:$CZ97))</f>
        <v/>
      </c>
      <c r="C97" s="108">
        <f>IF($A97="",0,IF($B97=0,0,MAX($E97:$CZ97)))</f>
        <v/>
      </c>
      <c r="D97" s="5">
        <f>BDS($A97,'Field Check'!$C$42,"headers=y","startcol=2","endcol=3","dir=h")</f>
        <v/>
      </c>
    </row>
    <row r="98">
      <c r="B98" s="107">
        <f>IF($A97="",0,COUNT($E98:$CZ98))</f>
        <v/>
      </c>
    </row>
    <row r="99">
      <c r="A99" s="5">
        <f>IF(AS51!$C$52="","",AS51!$C$52)</f>
        <v/>
      </c>
      <c r="B99" s="107">
        <f>IF($A99="",0,COUNT($E99:$CZ99))</f>
        <v/>
      </c>
      <c r="C99" s="108">
        <f>IF($A99="",0,IF($B99=0,0,MAX($E99:$CZ99)))</f>
        <v/>
      </c>
      <c r="D99" s="5">
        <f>BDS($A99,'Field Check'!$C$42,"headers=y","startcol=2","endcol=3","dir=h")</f>
        <v/>
      </c>
    </row>
    <row r="100">
      <c r="B100" s="107">
        <f>IF($A99="",0,COUNT($E100:$CZ100))</f>
        <v/>
      </c>
    </row>
    <row r="101">
      <c r="A101" s="5">
        <f>IF(AS51!$C$53="","",AS51!$C$53)</f>
        <v/>
      </c>
      <c r="B101" s="107">
        <f>IF($A101="",0,COUNT($E101:$CZ101))</f>
        <v/>
      </c>
      <c r="C101" s="108">
        <f>IF($A101="",0,IF($B101=0,0,MAX($E101:$CZ101)))</f>
        <v/>
      </c>
      <c r="D101" s="5">
        <f>BDS($A101,'Field Check'!$C$42,"headers=y","startcol=2","endcol=3","dir=h")</f>
        <v/>
      </c>
    </row>
    <row r="102">
      <c r="B102" s="107">
        <f>IF($A101="",0,COUNT($E102:$CZ102))</f>
        <v/>
      </c>
    </row>
    <row r="103">
      <c r="A103" s="5">
        <f>IF(AS51!$C$54="","",AS51!$C$54)</f>
        <v/>
      </c>
      <c r="B103" s="107">
        <f>IF($A103="",0,COUNT($E103:$CZ103))</f>
        <v/>
      </c>
      <c r="C103" s="108">
        <f>IF($A103="",0,IF($B103=0,0,MAX($E103:$CZ103)))</f>
        <v/>
      </c>
      <c r="D103" s="5">
        <f>BDS($A103,'Field Check'!$C$42,"headers=y","startcol=2","endcol=3","dir=h")</f>
        <v/>
      </c>
    </row>
    <row r="104">
      <c r="B104" s="107">
        <f>IF($A103="",0,COUNT($E104:$CZ104))</f>
        <v/>
      </c>
    </row>
    <row r="105">
      <c r="A105" s="5">
        <f>IF(AS51!$C$55="","",AS51!$C$55)</f>
        <v/>
      </c>
      <c r="B105" s="107">
        <f>IF($A105="",0,COUNT($E105:$CZ105))</f>
        <v/>
      </c>
      <c r="C105" s="108">
        <f>IF($A105="",0,IF($B105=0,0,MAX($E105:$CZ105)))</f>
        <v/>
      </c>
      <c r="D105" s="5">
        <f>BDS($A105,'Field Check'!$C$42,"headers=y","startcol=2","endcol=3","dir=h")</f>
        <v/>
      </c>
    </row>
    <row r="106">
      <c r="B106" s="107">
        <f>IF($A105="",0,COUNT($E106:$CZ106))</f>
        <v/>
      </c>
    </row>
    <row r="107">
      <c r="A107" s="5">
        <f>IF(AS51!$C$56="","",AS51!$C$56)</f>
        <v/>
      </c>
      <c r="B107" s="107">
        <f>IF($A107="",0,COUNT($E107:$CZ107))</f>
        <v/>
      </c>
      <c r="C107" s="108">
        <f>IF($A107="",0,IF($B107=0,0,MAX($E107:$CZ107)))</f>
        <v/>
      </c>
      <c r="D107" s="5">
        <f>BDS($A107,'Field Check'!$C$42,"headers=y","startcol=2","endcol=3","dir=h")</f>
        <v/>
      </c>
    </row>
    <row r="108">
      <c r="B108" s="107">
        <f>IF($A107="",0,COUNT($E108:$CZ108))</f>
        <v/>
      </c>
    </row>
    <row r="109">
      <c r="A109" s="5">
        <f>IF(AS51!$C$57="","",AS51!$C$57)</f>
        <v/>
      </c>
      <c r="B109" s="107">
        <f>IF($A109="",0,COUNT($E109:$CZ109))</f>
        <v/>
      </c>
      <c r="C109" s="108">
        <f>IF($A109="",0,IF($B109=0,0,MAX($E109:$CZ109)))</f>
        <v/>
      </c>
      <c r="D109" s="5">
        <f>BDS($A109,'Field Check'!$C$42,"headers=y","startcol=2","endcol=3","dir=h")</f>
        <v/>
      </c>
    </row>
    <row r="110">
      <c r="B110" s="107">
        <f>IF($A109="",0,COUNT($E110:$CZ110))</f>
        <v/>
      </c>
    </row>
    <row r="111">
      <c r="A111" s="5">
        <f>IF(AS51!$C$58="","",AS51!$C$58)</f>
        <v/>
      </c>
      <c r="B111" s="107">
        <f>IF($A111="",0,COUNT($E111:$CZ111))</f>
        <v/>
      </c>
      <c r="C111" s="108">
        <f>IF($A111="",0,IF($B111=0,0,MAX($E111:$CZ111)))</f>
        <v/>
      </c>
      <c r="D111" s="5">
        <f>BDS($A111,'Field Check'!$C$42,"headers=y","startcol=2","endcol=3","dir=h")</f>
        <v/>
      </c>
    </row>
    <row r="112">
      <c r="B112" s="107">
        <f>IF($A111="",0,COUNT($E112:$CZ112))</f>
        <v/>
      </c>
    </row>
    <row r="113">
      <c r="A113" s="5">
        <f>IF(AS51!$C$59="","",AS51!$C$59)</f>
        <v/>
      </c>
      <c r="B113" s="107">
        <f>IF($A113="",0,COUNT($E113:$CZ113))</f>
        <v/>
      </c>
      <c r="C113" s="108">
        <f>IF($A113="",0,IF($B113=0,0,MAX($E113:$CZ113)))</f>
        <v/>
      </c>
      <c r="D113" s="5">
        <f>BDS($A113,'Field Check'!$C$42,"headers=y","startcol=2","endcol=3","dir=h")</f>
        <v/>
      </c>
    </row>
    <row r="114">
      <c r="B114" s="107">
        <f>IF($A113="",0,COUNT($E114:$CZ114))</f>
        <v/>
      </c>
    </row>
    <row r="115">
      <c r="A115" s="5">
        <f>IF(AS51!$C$60="","",AS51!$C$60)</f>
        <v/>
      </c>
      <c r="B115" s="107">
        <f>IF($A115="",0,COUNT($E115:$CZ115))</f>
        <v/>
      </c>
      <c r="C115" s="108">
        <f>IF($A115="",0,IF($B115=0,0,MAX($E115:$CZ115)))</f>
        <v/>
      </c>
      <c r="D115" s="5">
        <f>BDS($A115,'Field Check'!$C$42,"headers=y","startcol=2","endcol=3","dir=h")</f>
        <v/>
      </c>
    </row>
    <row r="116">
      <c r="B116" s="107">
        <f>IF($A115="",0,COUNT($E116:$CZ116))</f>
        <v/>
      </c>
    </row>
    <row r="117">
      <c r="A117" s="5">
        <f>IF(AS51!$C$61="","",AS51!$C$61)</f>
        <v/>
      </c>
      <c r="B117" s="107">
        <f>IF($A117="",0,COUNT($E117:$CZ117))</f>
        <v/>
      </c>
      <c r="C117" s="108">
        <f>IF($A117="",0,IF($B117=0,0,MAX($E117:$CZ117)))</f>
        <v/>
      </c>
      <c r="D117" s="5">
        <f>BDS($A117,'Field Check'!$C$42,"headers=y","startcol=2","endcol=3","dir=h")</f>
        <v/>
      </c>
    </row>
    <row r="118">
      <c r="B118" s="107">
        <f>IF($A117="",0,COUNT($E118:$CZ118))</f>
        <v/>
      </c>
    </row>
    <row r="119">
      <c r="A119" s="5">
        <f>IF(AS51!$C$62="","",AS51!$C$62)</f>
        <v/>
      </c>
      <c r="B119" s="107">
        <f>IF($A119="",0,COUNT($E119:$CZ119))</f>
        <v/>
      </c>
      <c r="C119" s="108">
        <f>IF($A119="",0,IF($B119=0,0,MAX($E119:$CZ119)))</f>
        <v/>
      </c>
      <c r="D119" s="5">
        <f>BDS($A119,'Field Check'!$C$42,"headers=y","startcol=2","endcol=3","dir=h")</f>
        <v/>
      </c>
    </row>
    <row r="120">
      <c r="B120" s="107">
        <f>IF($A119="",0,COUNT($E120:$CZ120))</f>
        <v/>
      </c>
    </row>
    <row r="121">
      <c r="A121" s="5">
        <f>IF(AS51!$C$63="","",AS51!$C$63)</f>
        <v/>
      </c>
      <c r="B121" s="107">
        <f>IF($A121="",0,COUNT($E121:$CZ121))</f>
        <v/>
      </c>
      <c r="C121" s="108">
        <f>IF($A121="",0,IF($B121=0,0,MAX($E121:$CZ121)))</f>
        <v/>
      </c>
      <c r="D121" s="5">
        <f>BDS($A121,'Field Check'!$C$42,"headers=y","startcol=2","endcol=3","dir=h")</f>
        <v/>
      </c>
    </row>
    <row r="122">
      <c r="B122" s="107">
        <f>IF($A121="",0,COUNT($E122:$CZ122))</f>
        <v/>
      </c>
    </row>
    <row r="123">
      <c r="A123" s="5">
        <f>IF(AS51!$C$64="","",AS51!$C$64)</f>
        <v/>
      </c>
      <c r="B123" s="107">
        <f>IF($A123="",0,COUNT($E123:$CZ123))</f>
        <v/>
      </c>
      <c r="C123" s="108">
        <f>IF($A123="",0,IF($B123=0,0,MAX($E123:$CZ123)))</f>
        <v/>
      </c>
      <c r="D123" s="5">
        <f>BDS($A123,'Field Check'!$C$42,"headers=y","startcol=2","endcol=3","dir=h")</f>
        <v/>
      </c>
    </row>
    <row r="124">
      <c r="B124" s="107">
        <f>IF($A123="",0,COUNT($E124:$CZ124))</f>
        <v/>
      </c>
    </row>
    <row r="125">
      <c r="A125" s="5">
        <f>IF(AS51!$C$65="","",AS51!$C$65)</f>
        <v/>
      </c>
      <c r="B125" s="107">
        <f>IF($A125="",0,COUNT($E125:$CZ125))</f>
        <v/>
      </c>
      <c r="C125" s="108">
        <f>IF($A125="",0,IF($B125=0,0,MAX($E125:$CZ125)))</f>
        <v/>
      </c>
      <c r="D125" s="5">
        <f>BDS($A125,'Field Check'!$C$42,"headers=y","startcol=2","endcol=3","dir=h")</f>
        <v/>
      </c>
    </row>
    <row r="126">
      <c r="B126" s="107">
        <f>IF($A125="",0,COUNT($E126:$CZ126))</f>
        <v/>
      </c>
    </row>
    <row r="127">
      <c r="A127" s="5">
        <f>IF(AS51!$C$66="","",AS51!$C$66)</f>
        <v/>
      </c>
      <c r="B127" s="107">
        <f>IF($A127="",0,COUNT($E127:$CZ127))</f>
        <v/>
      </c>
      <c r="C127" s="108">
        <f>IF($A127="",0,IF($B127=0,0,MAX($E127:$CZ127)))</f>
        <v/>
      </c>
      <c r="D127" s="5">
        <f>BDS($A127,'Field Check'!$C$42,"headers=y","startcol=2","endcol=3","dir=h")</f>
        <v/>
      </c>
    </row>
    <row r="128">
      <c r="B128" s="107">
        <f>IF($A127="",0,COUNT($E128:$CZ128))</f>
        <v/>
      </c>
    </row>
    <row r="129">
      <c r="A129" s="5">
        <f>IF(AS51!$C$67="","",AS51!$C$67)</f>
        <v/>
      </c>
      <c r="B129" s="107">
        <f>IF($A129="",0,COUNT($E129:$CZ129))</f>
        <v/>
      </c>
      <c r="C129" s="108">
        <f>IF($A129="",0,IF($B129=0,0,MAX($E129:$CZ129)))</f>
        <v/>
      </c>
      <c r="D129" s="5">
        <f>BDS($A129,'Field Check'!$C$42,"headers=y","startcol=2","endcol=3","dir=h")</f>
        <v/>
      </c>
    </row>
    <row r="130">
      <c r="B130" s="107">
        <f>IF($A129="",0,COUNT($E130:$CZ130))</f>
        <v/>
      </c>
    </row>
    <row r="131">
      <c r="A131" s="5">
        <f>IF(AS51!$C$68="","",AS51!$C$68)</f>
        <v/>
      </c>
      <c r="B131" s="107">
        <f>IF($A131="",0,COUNT($E131:$CZ131))</f>
        <v/>
      </c>
      <c r="C131" s="108">
        <f>IF($A131="",0,IF($B131=0,0,MAX($E131:$CZ131)))</f>
        <v/>
      </c>
      <c r="D131" s="5">
        <f>BDS($A131,'Field Check'!$C$42,"headers=y","startcol=2","endcol=3","dir=h")</f>
        <v/>
      </c>
    </row>
    <row r="132">
      <c r="B132" s="107">
        <f>IF($A131="",0,COUNT($E132:$CZ132))</f>
        <v/>
      </c>
    </row>
    <row r="133">
      <c r="A133" s="5">
        <f>IF(AS51!$C$69="","",AS51!$C$69)</f>
        <v/>
      </c>
      <c r="B133" s="107">
        <f>IF($A133="",0,COUNT($E133:$CZ133))</f>
        <v/>
      </c>
      <c r="C133" s="108">
        <f>IF($A133="",0,IF($B133=0,0,MAX($E133:$CZ133)))</f>
        <v/>
      </c>
      <c r="D133" s="5">
        <f>BDS($A133,'Field Check'!$C$42,"headers=y","startcol=2","endcol=3","dir=h")</f>
        <v/>
      </c>
    </row>
    <row r="134">
      <c r="B134" s="107">
        <f>IF($A133="",0,COUNT($E134:$CZ134))</f>
        <v/>
      </c>
    </row>
    <row r="135">
      <c r="A135" s="5">
        <f>IF(AS51!$C$70="","",AS51!$C$70)</f>
        <v/>
      </c>
      <c r="B135" s="107">
        <f>IF($A135="",0,COUNT($E135:$CZ135))</f>
        <v/>
      </c>
      <c r="C135" s="108">
        <f>IF($A135="",0,IF($B135=0,0,MAX($E135:$CZ135)))</f>
        <v/>
      </c>
      <c r="D135" s="5">
        <f>BDS($A135,'Field Check'!$C$42,"headers=y","startcol=2","endcol=3","dir=h")</f>
        <v/>
      </c>
    </row>
    <row r="136">
      <c r="B136" s="107">
        <f>IF($A135="",0,COUNT($E136:$CZ136))</f>
        <v/>
      </c>
    </row>
    <row r="137">
      <c r="A137" s="5">
        <f>IF(AS51!$C$71="","",AS51!$C$71)</f>
        <v/>
      </c>
      <c r="B137" s="107">
        <f>IF($A137="",0,COUNT($E137:$CZ137))</f>
        <v/>
      </c>
      <c r="C137" s="108">
        <f>IF($A137="",0,IF($B137=0,0,MAX($E137:$CZ137)))</f>
        <v/>
      </c>
      <c r="D137" s="5">
        <f>BDS($A137,'Field Check'!$C$42,"headers=y","startcol=2","endcol=3","dir=h")</f>
        <v/>
      </c>
    </row>
    <row r="138">
      <c r="B138" s="107">
        <f>IF($A137="",0,COUNT($E138:$CZ138))</f>
        <v/>
      </c>
    </row>
    <row r="139">
      <c r="A139" s="5">
        <f>IF(AS51!$C$72="","",AS51!$C$72)</f>
        <v/>
      </c>
      <c r="B139" s="107">
        <f>IF($A139="",0,COUNT($E139:$CZ139))</f>
        <v/>
      </c>
      <c r="C139" s="108">
        <f>IF($A139="",0,IF($B139=0,0,MAX($E139:$CZ139)))</f>
        <v/>
      </c>
      <c r="D139" s="5">
        <f>BDS($A139,'Field Check'!$C$42,"headers=y","startcol=2","endcol=3","dir=h")</f>
        <v/>
      </c>
    </row>
    <row r="140">
      <c r="B140" s="107">
        <f>IF($A139="",0,COUNT($E140:$CZ140))</f>
        <v/>
      </c>
    </row>
    <row r="141">
      <c r="A141" s="5">
        <f>IF(AS51!$C$73="","",AS51!$C$73)</f>
        <v/>
      </c>
      <c r="B141" s="107">
        <f>IF($A141="",0,COUNT($E141:$CZ141))</f>
        <v/>
      </c>
      <c r="C141" s="108">
        <f>IF($A141="",0,IF($B141=0,0,MAX($E141:$CZ141)))</f>
        <v/>
      </c>
      <c r="D141" s="5">
        <f>BDS($A141,'Field Check'!$C$42,"headers=y","startcol=2","endcol=3","dir=h")</f>
        <v/>
      </c>
    </row>
    <row r="142">
      <c r="B142" s="107">
        <f>IF($A141="",0,COUNT($E142:$CZ142))</f>
        <v/>
      </c>
    </row>
    <row r="143">
      <c r="A143" s="5">
        <f>IF(AS51!$C$74="","",AS51!$C$74)</f>
        <v/>
      </c>
      <c r="B143" s="107">
        <f>IF($A143="",0,COUNT($E143:$CZ143))</f>
        <v/>
      </c>
      <c r="C143" s="108">
        <f>IF($A143="",0,IF($B143=0,0,MAX($E143:$CZ143)))</f>
        <v/>
      </c>
      <c r="D143" s="5">
        <f>BDS($A143,'Field Check'!$C$42,"headers=y","startcol=2","endcol=3","dir=h")</f>
        <v/>
      </c>
    </row>
    <row r="144">
      <c r="B144" s="107">
        <f>IF($A143="",0,COUNT($E144:$CZ144))</f>
        <v/>
      </c>
    </row>
    <row r="145">
      <c r="A145" s="5">
        <f>IF(AS51!$C$75="","",AS51!$C$75)</f>
        <v/>
      </c>
      <c r="B145" s="107">
        <f>IF($A145="",0,COUNT($E145:$CZ145))</f>
        <v/>
      </c>
      <c r="C145" s="108">
        <f>IF($A145="",0,IF($B145=0,0,MAX($E145:$CZ145)))</f>
        <v/>
      </c>
      <c r="D145" s="5">
        <f>BDS($A145,'Field Check'!$C$42,"headers=y","startcol=2","endcol=3","dir=h")</f>
        <v/>
      </c>
    </row>
    <row r="146">
      <c r="B146" s="107">
        <f>IF($A145="",0,COUNT($E146:$CZ146))</f>
        <v/>
      </c>
    </row>
    <row r="147">
      <c r="A147" s="5">
        <f>IF(AS51!$C$76="","",AS51!$C$76)</f>
        <v/>
      </c>
      <c r="B147" s="107">
        <f>IF($A147="",0,COUNT($E147:$CZ147))</f>
        <v/>
      </c>
      <c r="C147" s="108">
        <f>IF($A147="",0,IF($B147=0,0,MAX($E147:$CZ147)))</f>
        <v/>
      </c>
      <c r="D147" s="5">
        <f>BDS($A147,'Field Check'!$C$42,"headers=y","startcol=2","endcol=3","dir=h")</f>
        <v/>
      </c>
    </row>
    <row r="148">
      <c r="B148" s="107">
        <f>IF($A147="",0,COUNT($E148:$CZ148))</f>
        <v/>
      </c>
    </row>
    <row r="149">
      <c r="A149" s="5">
        <f>IF(AS51!$C$77="","",AS51!$C$77)</f>
        <v/>
      </c>
      <c r="B149" s="107">
        <f>IF($A149="",0,COUNT($E149:$CZ149))</f>
        <v/>
      </c>
      <c r="C149" s="108">
        <f>IF($A149="",0,IF($B149=0,0,MAX($E149:$CZ149)))</f>
        <v/>
      </c>
      <c r="D149" s="5">
        <f>BDS($A149,'Field Check'!$C$42,"headers=y","startcol=2","endcol=3","dir=h")</f>
        <v/>
      </c>
    </row>
    <row r="150">
      <c r="B150" s="107">
        <f>IF($A149="",0,COUNT($E150:$CZ150))</f>
        <v/>
      </c>
    </row>
    <row r="151">
      <c r="A151" s="5">
        <f>IF(AS51!$C$78="","",AS51!$C$78)</f>
        <v/>
      </c>
      <c r="B151" s="107">
        <f>IF($A151="",0,COUNT($E151:$CZ151))</f>
        <v/>
      </c>
      <c r="C151" s="108">
        <f>IF($A151="",0,IF($B151=0,0,MAX($E151:$CZ151)))</f>
        <v/>
      </c>
      <c r="D151" s="5">
        <f>BDS($A151,'Field Check'!$C$42,"headers=y","startcol=2","endcol=3","dir=h")</f>
        <v/>
      </c>
    </row>
    <row r="152">
      <c r="B152" s="107">
        <f>IF($A151="",0,COUNT($E152:$CZ152))</f>
        <v/>
      </c>
    </row>
    <row r="153">
      <c r="A153" s="5">
        <f>IF(AS51!$C$79="","",AS51!$C$79)</f>
        <v/>
      </c>
      <c r="B153" s="107">
        <f>IF($A153="",0,COUNT($E153:$CZ153))</f>
        <v/>
      </c>
      <c r="C153" s="108">
        <f>IF($A153="",0,IF($B153=0,0,MAX($E153:$CZ153)))</f>
        <v/>
      </c>
      <c r="D153" s="5">
        <f>BDS($A153,'Field Check'!$C$42,"headers=y","startcol=2","endcol=3","dir=h")</f>
        <v/>
      </c>
    </row>
    <row r="154">
      <c r="B154" s="107">
        <f>IF($A153="",0,COUNT($E154:$CZ154))</f>
        <v/>
      </c>
    </row>
    <row r="155">
      <c r="A155" s="5">
        <f>IF(AS51!$C$80="","",AS51!$C$80)</f>
        <v/>
      </c>
      <c r="B155" s="107">
        <f>IF($A155="",0,COUNT($E155:$CZ155))</f>
        <v/>
      </c>
      <c r="C155" s="108">
        <f>IF($A155="",0,IF($B155=0,0,MAX($E155:$CZ155)))</f>
        <v/>
      </c>
      <c r="D155" s="5">
        <f>BDS($A155,'Field Check'!$C$42,"headers=y","startcol=2","endcol=3","dir=h")</f>
        <v/>
      </c>
    </row>
    <row r="156">
      <c r="B156" s="107">
        <f>IF($A155="",0,COUNT($E156:$CZ156))</f>
        <v/>
      </c>
    </row>
    <row r="157">
      <c r="A157" s="5">
        <f>IF(AS51!$C$81="","",AS51!$C$81)</f>
        <v/>
      </c>
      <c r="B157" s="107">
        <f>IF($A157="",0,COUNT($E157:$CZ157))</f>
        <v/>
      </c>
      <c r="C157" s="108">
        <f>IF($A157="",0,IF($B157=0,0,MAX($E157:$CZ157)))</f>
        <v/>
      </c>
      <c r="D157" s="5">
        <f>BDS($A157,'Field Check'!$C$42,"headers=y","startcol=2","endcol=3","dir=h")</f>
        <v/>
      </c>
    </row>
    <row r="158">
      <c r="B158" s="107">
        <f>IF($A157="",0,COUNT($E158:$CZ158))</f>
        <v/>
      </c>
    </row>
    <row r="159">
      <c r="A159" s="5">
        <f>IF(AS51!$C$82="","",AS51!$C$82)</f>
        <v/>
      </c>
      <c r="B159" s="107">
        <f>IF($A159="",0,COUNT($E159:$CZ159))</f>
        <v/>
      </c>
      <c r="C159" s="108">
        <f>IF($A159="",0,IF($B159=0,0,MAX($E159:$CZ159)))</f>
        <v/>
      </c>
      <c r="D159" s="5">
        <f>BDS($A159,'Field Check'!$C$42,"headers=y","startcol=2","endcol=3","dir=h")</f>
        <v/>
      </c>
    </row>
    <row r="160">
      <c r="B160" s="107">
        <f>IF($A159="",0,COUNT($E160:$CZ160))</f>
        <v/>
      </c>
    </row>
    <row r="161">
      <c r="A161" s="5">
        <f>IF(AS51!$C$83="","",AS51!$C$83)</f>
        <v/>
      </c>
      <c r="B161" s="107">
        <f>IF($A161="",0,COUNT($E161:$CZ161))</f>
        <v/>
      </c>
      <c r="C161" s="108">
        <f>IF($A161="",0,IF($B161=0,0,MAX($E161:$CZ161)))</f>
        <v/>
      </c>
      <c r="D161" s="5">
        <f>BDS($A161,'Field Check'!$C$42,"headers=y","startcol=2","endcol=3","dir=h")</f>
        <v/>
      </c>
    </row>
    <row r="162">
      <c r="B162" s="107">
        <f>IF($A161="",0,COUNT($E162:$CZ162))</f>
        <v/>
      </c>
    </row>
    <row r="163">
      <c r="A163" s="5">
        <f>IF(AS51!$C$84="","",AS51!$C$84)</f>
        <v/>
      </c>
      <c r="B163" s="107">
        <f>IF($A163="",0,COUNT($E163:$CZ163))</f>
        <v/>
      </c>
      <c r="C163" s="108">
        <f>IF($A163="",0,IF($B163=0,0,MAX($E163:$CZ163)))</f>
        <v/>
      </c>
      <c r="D163" s="5">
        <f>BDS($A163,'Field Check'!$C$42,"headers=y","startcol=2","endcol=3","dir=h")</f>
        <v/>
      </c>
    </row>
    <row r="164">
      <c r="B164" s="107">
        <f>IF($A163="",0,COUNT($E164:$CZ164))</f>
        <v/>
      </c>
    </row>
    <row r="165">
      <c r="A165" s="5">
        <f>IF(AS51!$C$85="","",AS51!$C$85)</f>
        <v/>
      </c>
      <c r="B165" s="107">
        <f>IF($A165="",0,COUNT($E165:$CZ165))</f>
        <v/>
      </c>
      <c r="C165" s="108">
        <f>IF($A165="",0,IF($B165=0,0,MAX($E165:$CZ165)))</f>
        <v/>
      </c>
      <c r="D165" s="5">
        <f>BDS($A165,'Field Check'!$C$42,"headers=y","startcol=2","endcol=3","dir=h")</f>
        <v/>
      </c>
    </row>
    <row r="166">
      <c r="B166" s="107">
        <f>IF($A165="",0,COUNT($E166:$CZ166))</f>
        <v/>
      </c>
    </row>
    <row r="167">
      <c r="A167" s="5">
        <f>IF(AS51!$C$86="","",AS51!$C$86)</f>
        <v/>
      </c>
      <c r="B167" s="107">
        <f>IF($A167="",0,COUNT($E167:$CZ167))</f>
        <v/>
      </c>
      <c r="C167" s="108">
        <f>IF($A167="",0,IF($B167=0,0,MAX($E167:$CZ167)))</f>
        <v/>
      </c>
      <c r="D167" s="5">
        <f>BDS($A167,'Field Check'!$C$42,"headers=y","startcol=2","endcol=3","dir=h")</f>
        <v/>
      </c>
    </row>
    <row r="168">
      <c r="B168" s="107">
        <f>IF($A167="",0,COUNT($E168:$CZ168))</f>
        <v/>
      </c>
    </row>
    <row r="169">
      <c r="A169" s="5">
        <f>IF(AS51!$C$87="","",AS51!$C$87)</f>
        <v/>
      </c>
      <c r="B169" s="107">
        <f>IF($A169="",0,COUNT($E169:$CZ169))</f>
        <v/>
      </c>
      <c r="C169" s="108">
        <f>IF($A169="",0,IF($B169=0,0,MAX($E169:$CZ169)))</f>
        <v/>
      </c>
      <c r="D169" s="5">
        <f>BDS($A169,'Field Check'!$C$42,"headers=y","startcol=2","endcol=3","dir=h")</f>
        <v/>
      </c>
    </row>
    <row r="170">
      <c r="B170" s="107">
        <f>IF($A169="",0,COUNT($E170:$CZ170))</f>
        <v/>
      </c>
    </row>
    <row r="171">
      <c r="A171" s="5">
        <f>IF(AS51!$C$88="","",AS51!$C$88)</f>
        <v/>
      </c>
      <c r="B171" s="107">
        <f>IF($A171="",0,COUNT($E171:$CZ171))</f>
        <v/>
      </c>
      <c r="C171" s="108">
        <f>IF($A171="",0,IF($B171=0,0,MAX($E171:$CZ171)))</f>
        <v/>
      </c>
      <c r="D171" s="5">
        <f>BDS($A171,'Field Check'!$C$42,"headers=y","startcol=2","endcol=3","dir=h")</f>
        <v/>
      </c>
    </row>
    <row r="172">
      <c r="B172" s="107">
        <f>IF($A171="",0,COUNT($E172:$CZ172))</f>
        <v/>
      </c>
    </row>
    <row r="173">
      <c r="A173" s="5">
        <f>IF(AS51!$C$89="","",AS51!$C$89)</f>
        <v/>
      </c>
      <c r="B173" s="107">
        <f>IF($A173="",0,COUNT($E173:$CZ173))</f>
        <v/>
      </c>
      <c r="C173" s="108">
        <f>IF($A173="",0,IF($B173=0,0,MAX($E173:$CZ173)))</f>
        <v/>
      </c>
      <c r="D173" s="5">
        <f>BDS($A173,'Field Check'!$C$42,"headers=y","startcol=2","endcol=3","dir=h")</f>
        <v/>
      </c>
    </row>
    <row r="174">
      <c r="B174" s="107">
        <f>IF($A173="",0,COUNT($E174:$CZ174))</f>
        <v/>
      </c>
    </row>
    <row r="175">
      <c r="A175" s="5">
        <f>IF(AS51!$C$90="","",AS51!$C$90)</f>
        <v/>
      </c>
      <c r="B175" s="107">
        <f>IF($A175="",0,COUNT($E175:$CZ175))</f>
        <v/>
      </c>
      <c r="C175" s="108">
        <f>IF($A175="",0,IF($B175=0,0,MAX($E175:$CZ175)))</f>
        <v/>
      </c>
      <c r="D175" s="5">
        <f>BDS($A175,'Field Check'!$C$42,"headers=y","startcol=2","endcol=3","dir=h")</f>
        <v/>
      </c>
    </row>
    <row r="176">
      <c r="B176" s="107">
        <f>IF($A175="",0,COUNT($E176:$CZ176))</f>
        <v/>
      </c>
    </row>
    <row r="177">
      <c r="A177" s="5">
        <f>IF(AS51!$C$91="","",AS51!$C$91)</f>
        <v/>
      </c>
      <c r="B177" s="107">
        <f>IF($A177="",0,COUNT($E177:$CZ177))</f>
        <v/>
      </c>
      <c r="C177" s="108">
        <f>IF($A177="",0,IF($B177=0,0,MAX($E177:$CZ177)))</f>
        <v/>
      </c>
      <c r="D177" s="5">
        <f>BDS($A177,'Field Check'!$C$42,"headers=y","startcol=2","endcol=3","dir=h")</f>
        <v/>
      </c>
    </row>
    <row r="178">
      <c r="B178" s="107">
        <f>IF($A177="",0,COUNT($E178:$CZ178))</f>
        <v/>
      </c>
    </row>
    <row r="179">
      <c r="A179" s="5">
        <f>IF(AS51!$C$92="","",AS51!$C$92)</f>
        <v/>
      </c>
      <c r="B179" s="107">
        <f>IF($A179="",0,COUNT($E179:$CZ179))</f>
        <v/>
      </c>
      <c r="C179" s="108">
        <f>IF($A179="",0,IF($B179=0,0,MAX($E179:$CZ179)))</f>
        <v/>
      </c>
      <c r="D179" s="5">
        <f>BDS($A179,'Field Check'!$C$42,"headers=y","startcol=2","endcol=3","dir=h")</f>
        <v/>
      </c>
    </row>
    <row r="180">
      <c r="B180" s="107">
        <f>IF($A179="",0,COUNT($E180:$CZ180))</f>
        <v/>
      </c>
    </row>
    <row r="181">
      <c r="A181" s="5">
        <f>IF(AS51!$C$93="","",AS51!$C$93)</f>
        <v/>
      </c>
      <c r="B181" s="107">
        <f>IF($A181="",0,COUNT($E181:$CZ181))</f>
        <v/>
      </c>
      <c r="C181" s="108">
        <f>IF($A181="",0,IF($B181=0,0,MAX($E181:$CZ181)))</f>
        <v/>
      </c>
      <c r="D181" s="5">
        <f>BDS($A181,'Field Check'!$C$42,"headers=y","startcol=2","endcol=3","dir=h")</f>
        <v/>
      </c>
    </row>
    <row r="182">
      <c r="B182" s="107">
        <f>IF($A181="",0,COUNT($E182:$CZ182))</f>
        <v/>
      </c>
    </row>
    <row r="183">
      <c r="A183" s="5">
        <f>IF(AS51!$C$94="","",AS51!$C$94)</f>
        <v/>
      </c>
      <c r="B183" s="107">
        <f>IF($A183="",0,COUNT($E183:$CZ183))</f>
        <v/>
      </c>
      <c r="C183" s="108">
        <f>IF($A183="",0,IF($B183=0,0,MAX($E183:$CZ183)))</f>
        <v/>
      </c>
      <c r="D183" s="5">
        <f>BDS($A183,'Field Check'!$C$42,"headers=y","startcol=2","endcol=3","dir=h")</f>
        <v/>
      </c>
    </row>
    <row r="184">
      <c r="B184" s="107">
        <f>IF($A183="",0,COUNT($E184:$CZ184))</f>
        <v/>
      </c>
    </row>
    <row r="185">
      <c r="A185" s="5">
        <f>IF(AS51!$C$95="","",AS51!$C$95)</f>
        <v/>
      </c>
      <c r="B185" s="107">
        <f>IF($A185="",0,COUNT($E185:$CZ185))</f>
        <v/>
      </c>
      <c r="C185" s="108">
        <f>IF($A185="",0,IF($B185=0,0,MAX($E185:$CZ185)))</f>
        <v/>
      </c>
      <c r="D185" s="5">
        <f>BDS($A185,'Field Check'!$C$42,"headers=y","startcol=2","endcol=3","dir=h")</f>
        <v/>
      </c>
    </row>
    <row r="186">
      <c r="B186" s="107">
        <f>IF($A185="",0,COUNT($E186:$CZ186))</f>
        <v/>
      </c>
    </row>
    <row r="187">
      <c r="A187" s="5">
        <f>IF(AS51!$C$96="","",AS51!$C$96)</f>
        <v/>
      </c>
      <c r="B187" s="107">
        <f>IF($A187="",0,COUNT($E187:$CZ187))</f>
        <v/>
      </c>
      <c r="C187" s="108">
        <f>IF($A187="",0,IF($B187=0,0,MAX($E187:$CZ187)))</f>
        <v/>
      </c>
      <c r="D187" s="5">
        <f>BDS($A187,'Field Check'!$C$42,"headers=y","startcol=2","endcol=3","dir=h")</f>
        <v/>
      </c>
    </row>
    <row r="188">
      <c r="B188" s="107">
        <f>IF($A187="",0,COUNT($E188:$CZ188))</f>
        <v/>
      </c>
    </row>
    <row r="189">
      <c r="A189" s="5">
        <f>IF(AS51!$C$97="","",AS51!$C$97)</f>
        <v/>
      </c>
      <c r="B189" s="107">
        <f>IF($A189="",0,COUNT($E189:$CZ189))</f>
        <v/>
      </c>
      <c r="C189" s="108">
        <f>IF($A189="",0,IF($B189=0,0,MAX($E189:$CZ189)))</f>
        <v/>
      </c>
      <c r="D189" s="5">
        <f>BDS($A189,'Field Check'!$C$42,"headers=y","startcol=2","endcol=3","dir=h")</f>
        <v/>
      </c>
    </row>
    <row r="190">
      <c r="B190" s="107">
        <f>IF($A189="",0,COUNT($E190:$CZ190))</f>
        <v/>
      </c>
    </row>
    <row r="191">
      <c r="A191" s="5">
        <f>IF(AS51!$C$98="","",AS51!$C$98)</f>
        <v/>
      </c>
      <c r="B191" s="107">
        <f>IF($A191="",0,COUNT($E191:$CZ191))</f>
        <v/>
      </c>
      <c r="C191" s="108">
        <f>IF($A191="",0,IF($B191=0,0,MAX($E191:$CZ191)))</f>
        <v/>
      </c>
      <c r="D191" s="5">
        <f>BDS($A191,'Field Check'!$C$42,"headers=y","startcol=2","endcol=3","dir=h")</f>
        <v/>
      </c>
    </row>
    <row r="192">
      <c r="B192" s="107">
        <f>IF($A191="",0,COUNT($E192:$CZ192))</f>
        <v/>
      </c>
    </row>
    <row r="193">
      <c r="A193" s="5">
        <f>IF(AS51!$C$99="","",AS51!$C$99)</f>
        <v/>
      </c>
      <c r="B193" s="107">
        <f>IF($A193="",0,COUNT($E193:$CZ193))</f>
        <v/>
      </c>
      <c r="C193" s="108">
        <f>IF($A193="",0,IF($B193=0,0,MAX($E193:$CZ193)))</f>
        <v/>
      </c>
      <c r="D193" s="5">
        <f>BDS($A193,'Field Check'!$C$42,"headers=y","startcol=2","endcol=3","dir=h")</f>
        <v/>
      </c>
    </row>
    <row r="194">
      <c r="B194" s="107">
        <f>IF($A193="",0,COUNT($E194:$CZ194))</f>
        <v/>
      </c>
    </row>
    <row r="195">
      <c r="A195" s="5">
        <f>IF(AS51!$C$100="","",AS51!$C$100)</f>
        <v/>
      </c>
      <c r="B195" s="107">
        <f>IF($A195="",0,COUNT($E195:$CZ195))</f>
        <v/>
      </c>
      <c r="C195" s="108">
        <f>IF($A195="",0,IF($B195=0,0,MAX($E195:$CZ195)))</f>
        <v/>
      </c>
      <c r="D195" s="5">
        <f>BDS($A195,'Field Check'!$C$42,"headers=y","startcol=2","endcol=3","dir=h")</f>
        <v/>
      </c>
    </row>
    <row r="196">
      <c r="B196" s="107">
        <f>IF($A195="",0,COUNT($E196:$CZ196))</f>
        <v/>
      </c>
    </row>
    <row r="197">
      <c r="A197" s="5">
        <f>IF(AS51!$C$101="","",AS51!$C$101)</f>
        <v/>
      </c>
      <c r="B197" s="107">
        <f>IF($A197="",0,COUNT($E197:$CZ197))</f>
        <v/>
      </c>
      <c r="C197" s="108">
        <f>IF($A197="",0,IF($B197=0,0,MAX($E197:$CZ197)))</f>
        <v/>
      </c>
      <c r="D197" s="5">
        <f>BDS($A197,'Field Check'!$C$42,"headers=y","startcol=2","endcol=3","dir=h")</f>
        <v/>
      </c>
    </row>
    <row r="198">
      <c r="B198" s="107">
        <f>IF($A197="",0,COUNT($E198:$CZ198))</f>
        <v/>
      </c>
    </row>
    <row r="199">
      <c r="A199" s="5">
        <f>IF(AS51!$C$102="","",AS51!$C$102)</f>
        <v/>
      </c>
      <c r="B199" s="107">
        <f>IF($A199="",0,COUNT($E199:$CZ199))</f>
        <v/>
      </c>
      <c r="C199" s="108">
        <f>IF($A199="",0,IF($B199=0,0,MAX($E199:$CZ199)))</f>
        <v/>
      </c>
      <c r="D199" s="5">
        <f>BDS($A199,'Field Check'!$C$42,"headers=y","startcol=2","endcol=3","dir=h")</f>
        <v/>
      </c>
    </row>
    <row r="200">
      <c r="B200" s="107">
        <f>IF($A199="",0,COUNT($E200:$CZ200))</f>
        <v/>
      </c>
    </row>
    <row r="201">
      <c r="A201" s="5">
        <f>IF(AS51!$C$103="","",AS51!$C$103)</f>
        <v/>
      </c>
      <c r="B201" s="107">
        <f>IF($A201="",0,COUNT($E201:$CZ201))</f>
        <v/>
      </c>
      <c r="C201" s="108">
        <f>IF($A201="",0,IF($B201=0,0,MAX($E201:$CZ201)))</f>
        <v/>
      </c>
      <c r="D201" s="5">
        <f>BDS($A201,'Field Check'!$C$42,"headers=y","startcol=2","endcol=3","dir=h")</f>
        <v/>
      </c>
    </row>
    <row r="202">
      <c r="B202" s="107">
        <f>IF($A201="",0,COUNT($E202:$CZ202))</f>
        <v/>
      </c>
    </row>
    <row r="203">
      <c r="A203" s="5">
        <f>IF(AS51!$C$104="","",AS51!$C$104)</f>
        <v/>
      </c>
      <c r="B203" s="107">
        <f>IF($A203="",0,COUNT($E203:$CZ203))</f>
        <v/>
      </c>
      <c r="C203" s="108">
        <f>IF($A203="",0,IF($B203=0,0,MAX($E203:$CZ203)))</f>
        <v/>
      </c>
      <c r="D203" s="5">
        <f>BDS($A203,'Field Check'!$C$42,"headers=y","startcol=2","endcol=3","dir=h")</f>
        <v/>
      </c>
    </row>
    <row r="204">
      <c r="B204" s="107">
        <f>IF($A203="",0,COUNT($E204:$CZ204))</f>
        <v/>
      </c>
    </row>
    <row r="205">
      <c r="A205" s="5">
        <f>IF(AS51!$C$105="","",AS51!$C$105)</f>
        <v/>
      </c>
      <c r="B205" s="107">
        <f>IF($A205="",0,COUNT($E205:$CZ205))</f>
        <v/>
      </c>
      <c r="C205" s="108">
        <f>IF($A205="",0,IF($B205=0,0,MAX($E205:$CZ205)))</f>
        <v/>
      </c>
      <c r="D205" s="5">
        <f>BDS($A205,'Field Check'!$C$42,"headers=y","startcol=2","endcol=3","dir=h")</f>
        <v/>
      </c>
    </row>
    <row r="206">
      <c r="B206" s="107">
        <f>IF($A205="",0,COUNT($E206:$CZ206))</f>
        <v/>
      </c>
    </row>
    <row r="207">
      <c r="A207" s="5">
        <f>IF(AS51!$C$106="","",AS51!$C$106)</f>
        <v/>
      </c>
      <c r="B207" s="107">
        <f>IF($A207="",0,COUNT($E207:$CZ207))</f>
        <v/>
      </c>
      <c r="C207" s="108">
        <f>IF($A207="",0,IF($B207=0,0,MAX($E207:$CZ207)))</f>
        <v/>
      </c>
      <c r="D207" s="5">
        <f>BDS($A207,'Field Check'!$C$42,"headers=y","startcol=2","endcol=3","dir=h")</f>
        <v/>
      </c>
    </row>
    <row r="208">
      <c r="B208" s="107">
        <f>IF($A207="",0,COUNT($E208:$CZ208))</f>
        <v/>
      </c>
    </row>
    <row r="209">
      <c r="A209" s="5">
        <f>IF(AS51!$C$107="","",AS51!$C$107)</f>
        <v/>
      </c>
      <c r="B209" s="107">
        <f>IF($A209="",0,COUNT($E209:$CZ209))</f>
        <v/>
      </c>
      <c r="C209" s="108">
        <f>IF($A209="",0,IF($B209=0,0,MAX($E209:$CZ209)))</f>
        <v/>
      </c>
      <c r="D209" s="5">
        <f>BDS($A209,'Field Check'!$C$42,"headers=y","startcol=2","endcol=3","dir=h")</f>
        <v/>
      </c>
    </row>
    <row r="210">
      <c r="B210" s="107">
        <f>IF($A209="",0,COUNT($E210:$CZ210))</f>
        <v/>
      </c>
    </row>
    <row r="211">
      <c r="A211" s="5">
        <f>IF(AS51!$C$108="","",AS51!$C$108)</f>
        <v/>
      </c>
      <c r="B211" s="107">
        <f>IF($A211="",0,COUNT($E211:$CZ211))</f>
        <v/>
      </c>
      <c r="C211" s="108">
        <f>IF($A211="",0,IF($B211=0,0,MAX($E211:$CZ211)))</f>
        <v/>
      </c>
      <c r="D211" s="5">
        <f>BDS($A211,'Field Check'!$C$42,"headers=y","startcol=2","endcol=3","dir=h")</f>
        <v/>
      </c>
    </row>
    <row r="212">
      <c r="B212" s="107">
        <f>IF($A211="",0,COUNT($E212:$CZ212))</f>
        <v/>
      </c>
    </row>
    <row r="213">
      <c r="A213" s="5">
        <f>IF(AS51!$C$109="","",AS51!$C$109)</f>
        <v/>
      </c>
      <c r="B213" s="107">
        <f>IF($A213="",0,COUNT($E213:$CZ213))</f>
        <v/>
      </c>
      <c r="C213" s="108">
        <f>IF($A213="",0,IF($B213=0,0,MAX($E213:$CZ213)))</f>
        <v/>
      </c>
      <c r="D213" s="5">
        <f>BDS($A213,'Field Check'!$C$42,"headers=y","startcol=2","endcol=3","dir=h")</f>
        <v/>
      </c>
    </row>
    <row r="214">
      <c r="B214" s="107">
        <f>IF($A213="",0,COUNT($E214:$CZ214))</f>
        <v/>
      </c>
    </row>
    <row r="215">
      <c r="A215" s="5">
        <f>IF(AS51!$C$110="","",AS51!$C$110)</f>
        <v/>
      </c>
      <c r="B215" s="107">
        <f>IF($A215="",0,COUNT($E215:$CZ215))</f>
        <v/>
      </c>
      <c r="C215" s="108">
        <f>IF($A215="",0,IF($B215=0,0,MAX($E215:$CZ215)))</f>
        <v/>
      </c>
      <c r="D215" s="5">
        <f>BDS($A215,'Field Check'!$C$42,"headers=y","startcol=2","endcol=3","dir=h")</f>
        <v/>
      </c>
    </row>
    <row r="216">
      <c r="B216" s="107">
        <f>IF($A215="",0,COUNT($E216:$CZ216))</f>
        <v/>
      </c>
    </row>
    <row r="217">
      <c r="A217" s="5">
        <f>IF(AS51!$C$111="","",AS51!$C$111)</f>
        <v/>
      </c>
      <c r="B217" s="107">
        <f>IF($A217="",0,COUNT($E217:$CZ217))</f>
        <v/>
      </c>
      <c r="C217" s="108">
        <f>IF($A217="",0,IF($B217=0,0,MAX($E217:$CZ217)))</f>
        <v/>
      </c>
      <c r="D217" s="5">
        <f>BDS($A217,'Field Check'!$C$42,"headers=y","startcol=2","endcol=3","dir=h")</f>
        <v/>
      </c>
    </row>
    <row r="218">
      <c r="B218" s="107">
        <f>IF($A217="",0,COUNT($E218:$CZ218))</f>
        <v/>
      </c>
    </row>
    <row r="219">
      <c r="A219" s="5">
        <f>IF(AS51!$C$112="","",AS51!$C$112)</f>
        <v/>
      </c>
      <c r="B219" s="107">
        <f>IF($A219="",0,COUNT($E219:$CZ219))</f>
        <v/>
      </c>
      <c r="C219" s="108">
        <f>IF($A219="",0,IF($B219=0,0,MAX($E219:$CZ219)))</f>
        <v/>
      </c>
      <c r="D219" s="5">
        <f>BDS($A219,'Field Check'!$C$42,"headers=y","startcol=2","endcol=3","dir=h")</f>
        <v/>
      </c>
    </row>
    <row r="220">
      <c r="B220" s="107">
        <f>IF($A219="",0,COUNT($E220:$CZ220))</f>
        <v/>
      </c>
    </row>
    <row r="221">
      <c r="A221" s="5">
        <f>IF(AS51!$C$113="","",AS51!$C$113)</f>
        <v/>
      </c>
      <c r="B221" s="107">
        <f>IF($A221="",0,COUNT($E221:$CZ221))</f>
        <v/>
      </c>
      <c r="C221" s="108">
        <f>IF($A221="",0,IF($B221=0,0,MAX($E221:$CZ221)))</f>
        <v/>
      </c>
      <c r="D221" s="5">
        <f>BDS($A221,'Field Check'!$C$42,"headers=y","startcol=2","endcol=3","dir=h")</f>
        <v/>
      </c>
    </row>
    <row r="222">
      <c r="B222" s="107">
        <f>IF($A221="",0,COUNT($E222:$CZ222))</f>
        <v/>
      </c>
    </row>
    <row r="223">
      <c r="A223" s="5">
        <f>IF(AS51!$C$114="","",AS51!$C$114)</f>
        <v/>
      </c>
      <c r="B223" s="107">
        <f>IF($A223="",0,COUNT($E223:$CZ223))</f>
        <v/>
      </c>
      <c r="C223" s="108">
        <f>IF($A223="",0,IF($B223=0,0,MAX($E223:$CZ223)))</f>
        <v/>
      </c>
      <c r="D223" s="5">
        <f>BDS($A223,'Field Check'!$C$42,"headers=y","startcol=2","endcol=3","dir=h")</f>
        <v/>
      </c>
    </row>
    <row r="224">
      <c r="B224" s="107">
        <f>IF($A223="",0,COUNT($E224:$CZ224))</f>
        <v/>
      </c>
    </row>
    <row r="225">
      <c r="A225" s="5">
        <f>IF(AS51!$C$115="","",AS51!$C$115)</f>
        <v/>
      </c>
      <c r="B225" s="107">
        <f>IF($A225="",0,COUNT($E225:$CZ225))</f>
        <v/>
      </c>
      <c r="C225" s="108">
        <f>IF($A225="",0,IF($B225=0,0,MAX($E225:$CZ225)))</f>
        <v/>
      </c>
      <c r="D225" s="5">
        <f>BDS($A225,'Field Check'!$C$42,"headers=y","startcol=2","endcol=3","dir=h")</f>
        <v/>
      </c>
    </row>
    <row r="226">
      <c r="B226" s="107">
        <f>IF($A225="",0,COUNT($E226:$CZ226))</f>
        <v/>
      </c>
    </row>
    <row r="227">
      <c r="A227" s="5">
        <f>IF(AS51!$C$116="","",AS51!$C$116)</f>
        <v/>
      </c>
      <c r="B227" s="107">
        <f>IF($A227="",0,COUNT($E227:$CZ227))</f>
        <v/>
      </c>
      <c r="C227" s="108">
        <f>IF($A227="",0,IF($B227=0,0,MAX($E227:$CZ227)))</f>
        <v/>
      </c>
      <c r="D227" s="5">
        <f>BDS($A227,'Field Check'!$C$42,"headers=y","startcol=2","endcol=3","dir=h")</f>
        <v/>
      </c>
    </row>
    <row r="228">
      <c r="B228" s="107">
        <f>IF($A227="",0,COUNT($E228:$CZ228))</f>
        <v/>
      </c>
    </row>
    <row r="229">
      <c r="A229" s="5">
        <f>IF(AS51!$C$117="","",AS51!$C$117)</f>
        <v/>
      </c>
      <c r="B229" s="107">
        <f>IF($A229="",0,COUNT($E229:$CZ229))</f>
        <v/>
      </c>
      <c r="C229" s="108">
        <f>IF($A229="",0,IF($B229=0,0,MAX($E229:$CZ229)))</f>
        <v/>
      </c>
      <c r="D229" s="5">
        <f>BDS($A229,'Field Check'!$C$42,"headers=y","startcol=2","endcol=3","dir=h")</f>
        <v/>
      </c>
    </row>
    <row r="230">
      <c r="B230" s="107">
        <f>IF($A229="",0,COUNT($E230:$CZ230))</f>
        <v/>
      </c>
    </row>
    <row r="231">
      <c r="A231" s="5">
        <f>IF(AS51!$C$118="","",AS51!$C$118)</f>
        <v/>
      </c>
      <c r="B231" s="107">
        <f>IF($A231="",0,COUNT($E231:$CZ231))</f>
        <v/>
      </c>
      <c r="C231" s="108">
        <f>IF($A231="",0,IF($B231=0,0,MAX($E231:$CZ231)))</f>
        <v/>
      </c>
      <c r="D231" s="5">
        <f>BDS($A231,'Field Check'!$C$42,"headers=y","startcol=2","endcol=3","dir=h")</f>
        <v/>
      </c>
    </row>
    <row r="232">
      <c r="B232" s="107">
        <f>IF($A231="",0,COUNT($E232:$CZ232))</f>
        <v/>
      </c>
    </row>
    <row r="233">
      <c r="A233" s="5">
        <f>IF(AS51!$C$119="","",AS51!$C$119)</f>
        <v/>
      </c>
      <c r="B233" s="107">
        <f>IF($A233="",0,COUNT($E233:$CZ233))</f>
        <v/>
      </c>
      <c r="C233" s="108">
        <f>IF($A233="",0,IF($B233=0,0,MAX($E233:$CZ233)))</f>
        <v/>
      </c>
      <c r="D233" s="5">
        <f>BDS($A233,'Field Check'!$C$42,"headers=y","startcol=2","endcol=3","dir=h")</f>
        <v/>
      </c>
    </row>
    <row r="234">
      <c r="B234" s="107">
        <f>IF($A233="",0,COUNT($E234:$CZ234))</f>
        <v/>
      </c>
    </row>
    <row r="235">
      <c r="A235" s="5">
        <f>IF(AS51!$C$120="","",AS51!$C$120)</f>
        <v/>
      </c>
      <c r="B235" s="107">
        <f>IF($A235="",0,COUNT($E235:$CZ235))</f>
        <v/>
      </c>
      <c r="C235" s="108">
        <f>IF($A235="",0,IF($B235=0,0,MAX($E235:$CZ235)))</f>
        <v/>
      </c>
      <c r="D235" s="5">
        <f>BDS($A235,'Field Check'!$C$42,"headers=y","startcol=2","endcol=3","dir=h")</f>
        <v/>
      </c>
    </row>
    <row r="236">
      <c r="B236" s="107">
        <f>IF($A235="",0,COUNT($E236:$CZ236))</f>
        <v/>
      </c>
    </row>
    <row r="237">
      <c r="A237" s="5">
        <f>IF(AS51!$C$121="","",AS51!$C$121)</f>
        <v/>
      </c>
      <c r="B237" s="107">
        <f>IF($A237="",0,COUNT($E237:$CZ237))</f>
        <v/>
      </c>
      <c r="C237" s="108">
        <f>IF($A237="",0,IF($B237=0,0,MAX($E237:$CZ237)))</f>
        <v/>
      </c>
      <c r="D237" s="5">
        <f>BDS($A237,'Field Check'!$C$42,"headers=y","startcol=2","endcol=3","dir=h")</f>
        <v/>
      </c>
    </row>
    <row r="238">
      <c r="B238" s="107">
        <f>IF($A237="",0,COUNT($E238:$CZ238))</f>
        <v/>
      </c>
    </row>
    <row r="239">
      <c r="A239" s="5">
        <f>IF(AS51!$C$122="","",AS51!$C$122)</f>
        <v/>
      </c>
      <c r="B239" s="107">
        <f>IF($A239="",0,COUNT($E239:$CZ239))</f>
        <v/>
      </c>
      <c r="C239" s="108">
        <f>IF($A239="",0,IF($B239=0,0,MAX($E239:$CZ239)))</f>
        <v/>
      </c>
      <c r="D239" s="5">
        <f>BDS($A239,'Field Check'!$C$42,"headers=y","startcol=2","endcol=3","dir=h")</f>
        <v/>
      </c>
    </row>
    <row r="240">
      <c r="B240" s="107">
        <f>IF($A239="",0,COUNT($E240:$CZ240))</f>
        <v/>
      </c>
    </row>
    <row r="241">
      <c r="A241" s="5">
        <f>IF(AS51!$C$123="","",AS51!$C$123)</f>
        <v/>
      </c>
      <c r="B241" s="107">
        <f>IF($A241="",0,COUNT($E241:$CZ241))</f>
        <v/>
      </c>
      <c r="C241" s="108">
        <f>IF($A241="",0,IF($B241=0,0,MAX($E241:$CZ241)))</f>
        <v/>
      </c>
      <c r="D241" s="5">
        <f>BDS($A241,'Field Check'!$C$42,"headers=y","startcol=2","endcol=3","dir=h")</f>
        <v/>
      </c>
    </row>
    <row r="242">
      <c r="B242" s="107">
        <f>IF($A241="",0,COUNT($E242:$CZ242))</f>
        <v/>
      </c>
    </row>
    <row r="243">
      <c r="A243" s="5">
        <f>IF(AS51!$C$124="","",AS51!$C$124)</f>
        <v/>
      </c>
      <c r="B243" s="107">
        <f>IF($A243="",0,COUNT($E243:$CZ243))</f>
        <v/>
      </c>
      <c r="C243" s="108">
        <f>IF($A243="",0,IF($B243=0,0,MAX($E243:$CZ243)))</f>
        <v/>
      </c>
      <c r="D243" s="5">
        <f>BDS($A243,'Field Check'!$C$42,"headers=y","startcol=2","endcol=3","dir=h")</f>
        <v/>
      </c>
    </row>
    <row r="244">
      <c r="B244" s="107">
        <f>IF($A243="",0,COUNT($E244:$CZ244))</f>
        <v/>
      </c>
    </row>
    <row r="245">
      <c r="A245" s="5">
        <f>IF(AS51!$C$125="","",AS51!$C$125)</f>
        <v/>
      </c>
      <c r="B245" s="107">
        <f>IF($A245="",0,COUNT($E245:$CZ245))</f>
        <v/>
      </c>
      <c r="C245" s="108">
        <f>IF($A245="",0,IF($B245=0,0,MAX($E245:$CZ245)))</f>
        <v/>
      </c>
      <c r="D245" s="5">
        <f>BDS($A245,'Field Check'!$C$42,"headers=y","startcol=2","endcol=3","dir=h")</f>
        <v/>
      </c>
    </row>
    <row r="246">
      <c r="B246" s="107">
        <f>IF($A245="",0,COUNT($E246:$CZ246))</f>
        <v/>
      </c>
    </row>
    <row r="247">
      <c r="A247" s="5">
        <f>IF(AS51!$C$126="","",AS51!$C$126)</f>
        <v/>
      </c>
      <c r="B247" s="107">
        <f>IF($A247="",0,COUNT($E247:$CZ247))</f>
        <v/>
      </c>
      <c r="C247" s="108">
        <f>IF($A247="",0,IF($B247=0,0,MAX($E247:$CZ247)))</f>
        <v/>
      </c>
      <c r="D247" s="5">
        <f>BDS($A247,'Field Check'!$C$42,"headers=y","startcol=2","endcol=3","dir=h")</f>
        <v/>
      </c>
    </row>
    <row r="248">
      <c r="B248" s="107">
        <f>IF($A247="",0,COUNT($E248:$CZ248))</f>
        <v/>
      </c>
    </row>
    <row r="249">
      <c r="A249" s="5">
        <f>IF(AS51!$C$127="","",AS51!$C$127)</f>
        <v/>
      </c>
      <c r="B249" s="107">
        <f>IF($A249="",0,COUNT($E249:$CZ249))</f>
        <v/>
      </c>
      <c r="C249" s="108">
        <f>IF($A249="",0,IF($B249=0,0,MAX($E249:$CZ249)))</f>
        <v/>
      </c>
      <c r="D249" s="5">
        <f>BDS($A249,'Field Check'!$C$42,"headers=y","startcol=2","endcol=3","dir=h")</f>
        <v/>
      </c>
    </row>
    <row r="250">
      <c r="B250" s="107">
        <f>IF($A249="",0,COUNT($E250:$CZ250))</f>
        <v/>
      </c>
    </row>
    <row r="251">
      <c r="A251" s="5">
        <f>IF(AS51!$C$128="","",AS51!$C$128)</f>
        <v/>
      </c>
      <c r="B251" s="107">
        <f>IF($A251="",0,COUNT($E251:$CZ251))</f>
        <v/>
      </c>
      <c r="C251" s="108">
        <f>IF($A251="",0,IF($B251=0,0,MAX($E251:$CZ251)))</f>
        <v/>
      </c>
      <c r="D251" s="5">
        <f>BDS($A251,'Field Check'!$C$42,"headers=y","startcol=2","endcol=3","dir=h")</f>
        <v/>
      </c>
    </row>
    <row r="252">
      <c r="B252" s="107">
        <f>IF($A251="",0,COUNT($E252:$CZ252))</f>
        <v/>
      </c>
    </row>
    <row r="253">
      <c r="A253" s="5">
        <f>IF(AS51!$C$129="","",AS51!$C$129)</f>
        <v/>
      </c>
      <c r="B253" s="107">
        <f>IF($A253="",0,COUNT($E253:$CZ253))</f>
        <v/>
      </c>
      <c r="C253" s="108">
        <f>IF($A253="",0,IF($B253=0,0,MAX($E253:$CZ253)))</f>
        <v/>
      </c>
      <c r="D253" s="5">
        <f>BDS($A253,'Field Check'!$C$42,"headers=y","startcol=2","endcol=3","dir=h")</f>
        <v/>
      </c>
    </row>
    <row r="254">
      <c r="B254" s="107">
        <f>IF($A253="",0,COUNT($E254:$CZ254))</f>
        <v/>
      </c>
    </row>
    <row r="255">
      <c r="A255" s="5">
        <f>IF(AS51!$C$130="","",AS51!$C$130)</f>
        <v/>
      </c>
      <c r="B255" s="107">
        <f>IF($A255="",0,COUNT($E255:$CZ255))</f>
        <v/>
      </c>
      <c r="C255" s="108">
        <f>IF($A255="",0,IF($B255=0,0,MAX($E255:$CZ255)))</f>
        <v/>
      </c>
      <c r="D255" s="5">
        <f>BDS($A255,'Field Check'!$C$42,"headers=y","startcol=2","endcol=3","dir=h")</f>
        <v/>
      </c>
    </row>
    <row r="256">
      <c r="B256" s="107">
        <f>IF($A255="",0,COUNT($E256:$CZ256))</f>
        <v/>
      </c>
    </row>
    <row r="257">
      <c r="A257" s="5">
        <f>IF(AS51!$C$131="","",AS51!$C$131)</f>
        <v/>
      </c>
      <c r="B257" s="107">
        <f>IF($A257="",0,COUNT($E257:$CZ257))</f>
        <v/>
      </c>
      <c r="C257" s="108">
        <f>IF($A257="",0,IF($B257=0,0,MAX($E257:$CZ257)))</f>
        <v/>
      </c>
      <c r="D257" s="5">
        <f>BDS($A257,'Field Check'!$C$42,"headers=y","startcol=2","endcol=3","dir=h")</f>
        <v/>
      </c>
    </row>
    <row r="258">
      <c r="B258" s="107">
        <f>IF($A257="",0,COUNT($E258:$CZ258))</f>
        <v/>
      </c>
    </row>
    <row r="259">
      <c r="A259" s="5">
        <f>IF(AS51!$C$132="","",AS51!$C$132)</f>
        <v/>
      </c>
      <c r="B259" s="107">
        <f>IF($A259="",0,COUNT($E259:$CZ259))</f>
        <v/>
      </c>
      <c r="C259" s="108">
        <f>IF($A259="",0,IF($B259=0,0,MAX($E259:$CZ259)))</f>
        <v/>
      </c>
      <c r="D259" s="5">
        <f>BDS($A259,'Field Check'!$C$42,"headers=y","startcol=2","endcol=3","dir=h")</f>
        <v/>
      </c>
    </row>
    <row r="260">
      <c r="B260" s="107">
        <f>IF($A259="",0,COUNT($E260:$CZ260))</f>
        <v/>
      </c>
    </row>
    <row r="261">
      <c r="A261" s="5">
        <f>IF(AS51!$C$133="","",AS51!$C$133)</f>
        <v/>
      </c>
      <c r="B261" s="107">
        <f>IF($A261="",0,COUNT($E261:$CZ261))</f>
        <v/>
      </c>
      <c r="C261" s="108">
        <f>IF($A261="",0,IF($B261=0,0,MAX($E261:$CZ261)))</f>
        <v/>
      </c>
      <c r="D261" s="5">
        <f>BDS($A261,'Field Check'!$C$42,"headers=y","startcol=2","endcol=3","dir=h")</f>
        <v/>
      </c>
    </row>
    <row r="262">
      <c r="B262" s="107">
        <f>IF($A261="",0,COUNT($E262:$CZ262))</f>
        <v/>
      </c>
    </row>
    <row r="263">
      <c r="A263" s="5">
        <f>IF(AS51!$C$134="","",AS51!$C$134)</f>
        <v/>
      </c>
      <c r="B263" s="107">
        <f>IF($A263="",0,COUNT($E263:$CZ263))</f>
        <v/>
      </c>
      <c r="C263" s="108">
        <f>IF($A263="",0,IF($B263=0,0,MAX($E263:$CZ263)))</f>
        <v/>
      </c>
      <c r="D263" s="5">
        <f>BDS($A263,'Field Check'!$C$42,"headers=y","startcol=2","endcol=3","dir=h")</f>
        <v/>
      </c>
    </row>
    <row r="264">
      <c r="B264" s="107">
        <f>IF($A263="",0,COUNT($E264:$CZ264))</f>
        <v/>
      </c>
    </row>
    <row r="265">
      <c r="A265" s="5">
        <f>IF(AS51!$C$135="","",AS51!$C$135)</f>
        <v/>
      </c>
      <c r="B265" s="107">
        <f>IF($A265="",0,COUNT($E265:$CZ265))</f>
        <v/>
      </c>
      <c r="C265" s="108">
        <f>IF($A265="",0,IF($B265=0,0,MAX($E265:$CZ265)))</f>
        <v/>
      </c>
      <c r="D265" s="5">
        <f>BDS($A265,'Field Check'!$C$42,"headers=y","startcol=2","endcol=3","dir=h")</f>
        <v/>
      </c>
    </row>
    <row r="266">
      <c r="B266" s="107">
        <f>IF($A265="",0,COUNT($E266:$CZ266))</f>
        <v/>
      </c>
    </row>
    <row r="267">
      <c r="A267" s="5">
        <f>IF(AS51!$C$136="","",AS51!$C$136)</f>
        <v/>
      </c>
      <c r="B267" s="107">
        <f>IF($A267="",0,COUNT($E267:$CZ267))</f>
        <v/>
      </c>
      <c r="C267" s="108">
        <f>IF($A267="",0,IF($B267=0,0,MAX($E267:$CZ267)))</f>
        <v/>
      </c>
      <c r="D267" s="5">
        <f>BDS($A267,'Field Check'!$C$42,"headers=y","startcol=2","endcol=3","dir=h")</f>
        <v/>
      </c>
    </row>
    <row r="268">
      <c r="B268" s="107">
        <f>IF($A267="",0,COUNT($E268:$CZ268))</f>
        <v/>
      </c>
    </row>
    <row r="269">
      <c r="A269" s="5">
        <f>IF(AS51!$C$137="","",AS51!$C$137)</f>
        <v/>
      </c>
      <c r="B269" s="107">
        <f>IF($A269="",0,COUNT($E269:$CZ269))</f>
        <v/>
      </c>
      <c r="C269" s="108">
        <f>IF($A269="",0,IF($B269=0,0,MAX($E269:$CZ269)))</f>
        <v/>
      </c>
      <c r="D269" s="5">
        <f>BDS($A269,'Field Check'!$C$42,"headers=y","startcol=2","endcol=3","dir=h")</f>
        <v/>
      </c>
    </row>
    <row r="270">
      <c r="B270" s="107">
        <f>IF($A269="",0,COUNT($E270:$CZ270))</f>
        <v/>
      </c>
    </row>
    <row r="271">
      <c r="A271" s="5">
        <f>IF(AS51!$C$138="","",AS51!$C$138)</f>
        <v/>
      </c>
      <c r="B271" s="107">
        <f>IF($A271="",0,COUNT($E271:$CZ271))</f>
        <v/>
      </c>
      <c r="C271" s="108">
        <f>IF($A271="",0,IF($B271=0,0,MAX($E271:$CZ271)))</f>
        <v/>
      </c>
      <c r="D271" s="5">
        <f>BDS($A271,'Field Check'!$C$42,"headers=y","startcol=2","endcol=3","dir=h")</f>
        <v/>
      </c>
    </row>
    <row r="272">
      <c r="B272" s="107">
        <f>IF($A271="",0,COUNT($E272:$CZ272))</f>
        <v/>
      </c>
    </row>
    <row r="273">
      <c r="A273" s="5">
        <f>IF(AS51!$C$139="","",AS51!$C$139)</f>
        <v/>
      </c>
      <c r="B273" s="107">
        <f>IF($A273="",0,COUNT($E273:$CZ273))</f>
        <v/>
      </c>
      <c r="C273" s="108">
        <f>IF($A273="",0,IF($B273=0,0,MAX($E273:$CZ273)))</f>
        <v/>
      </c>
      <c r="D273" s="5">
        <f>BDS($A273,'Field Check'!$C$42,"headers=y","startcol=2","endcol=3","dir=h")</f>
        <v/>
      </c>
    </row>
    <row r="274">
      <c r="B274" s="107">
        <f>IF($A273="",0,COUNT($E274:$CZ274))</f>
        <v/>
      </c>
    </row>
    <row r="275">
      <c r="A275" s="5">
        <f>IF(AS51!$C$140="","",AS51!$C$140)</f>
        <v/>
      </c>
      <c r="B275" s="107">
        <f>IF($A275="",0,COUNT($E275:$CZ275))</f>
        <v/>
      </c>
      <c r="C275" s="108">
        <f>IF($A275="",0,IF($B275=0,0,MAX($E275:$CZ275)))</f>
        <v/>
      </c>
      <c r="D275" s="5">
        <f>BDS($A275,'Field Check'!$C$42,"headers=y","startcol=2","endcol=3","dir=h")</f>
        <v/>
      </c>
    </row>
    <row r="276">
      <c r="B276" s="107">
        <f>IF($A275="",0,COUNT($E276:$CZ276))</f>
        <v/>
      </c>
    </row>
    <row r="277">
      <c r="A277" s="5">
        <f>IF(AS51!$C$141="","",AS51!$C$141)</f>
        <v/>
      </c>
      <c r="B277" s="107">
        <f>IF($A277="",0,COUNT($E277:$CZ277))</f>
        <v/>
      </c>
      <c r="C277" s="108">
        <f>IF($A277="",0,IF($B277=0,0,MAX($E277:$CZ277)))</f>
        <v/>
      </c>
      <c r="D277" s="5">
        <f>BDS($A277,'Field Check'!$C$42,"headers=y","startcol=2","endcol=3","dir=h")</f>
        <v/>
      </c>
    </row>
    <row r="278">
      <c r="B278" s="107">
        <f>IF($A277="",0,COUNT($E278:$CZ278))</f>
        <v/>
      </c>
    </row>
    <row r="279">
      <c r="A279" s="5">
        <f>IF(AS51!$C$142="","",AS51!$C$142)</f>
        <v/>
      </c>
      <c r="B279" s="107">
        <f>IF($A279="",0,COUNT($E279:$CZ279))</f>
        <v/>
      </c>
      <c r="C279" s="108">
        <f>IF($A279="",0,IF($B279=0,0,MAX($E279:$CZ279)))</f>
        <v/>
      </c>
      <c r="D279" s="5">
        <f>BDS($A279,'Field Check'!$C$42,"headers=y","startcol=2","endcol=3","dir=h")</f>
        <v/>
      </c>
    </row>
    <row r="280">
      <c r="B280" s="107">
        <f>IF($A279="",0,COUNT($E280:$CZ280))</f>
        <v/>
      </c>
    </row>
    <row r="281">
      <c r="A281" s="5">
        <f>IF(AS51!$C$143="","",AS51!$C$143)</f>
        <v/>
      </c>
      <c r="B281" s="107">
        <f>IF($A281="",0,COUNT($E281:$CZ281))</f>
        <v/>
      </c>
      <c r="C281" s="108">
        <f>IF($A281="",0,IF($B281=0,0,MAX($E281:$CZ281)))</f>
        <v/>
      </c>
      <c r="D281" s="5">
        <f>BDS($A281,'Field Check'!$C$42,"headers=y","startcol=2","endcol=3","dir=h")</f>
        <v/>
      </c>
    </row>
    <row r="282">
      <c r="B282" s="107">
        <f>IF($A281="",0,COUNT($E282:$CZ282))</f>
        <v/>
      </c>
    </row>
    <row r="283">
      <c r="A283" s="5">
        <f>IF(AS51!$C$144="","",AS51!$C$144)</f>
        <v/>
      </c>
      <c r="B283" s="107">
        <f>IF($A283="",0,COUNT($E283:$CZ283))</f>
        <v/>
      </c>
      <c r="C283" s="108">
        <f>IF($A283="",0,IF($B283=0,0,MAX($E283:$CZ283)))</f>
        <v/>
      </c>
      <c r="D283" s="5">
        <f>BDS($A283,'Field Check'!$C$42,"headers=y","startcol=2","endcol=3","dir=h")</f>
        <v/>
      </c>
    </row>
    <row r="284">
      <c r="B284" s="107">
        <f>IF($A283="",0,COUNT($E284:$CZ284))</f>
        <v/>
      </c>
    </row>
    <row r="285">
      <c r="A285" s="5">
        <f>IF(AS51!$C$145="","",AS51!$C$145)</f>
        <v/>
      </c>
      <c r="B285" s="107">
        <f>IF($A285="",0,COUNT($E285:$CZ285))</f>
        <v/>
      </c>
      <c r="C285" s="108">
        <f>IF($A285="",0,IF($B285=0,0,MAX($E285:$CZ285)))</f>
        <v/>
      </c>
      <c r="D285" s="5">
        <f>BDS($A285,'Field Check'!$C$42,"headers=y","startcol=2","endcol=3","dir=h")</f>
        <v/>
      </c>
    </row>
    <row r="286">
      <c r="B286" s="107">
        <f>IF($A285="",0,COUNT($E286:$CZ286))</f>
        <v/>
      </c>
    </row>
    <row r="287">
      <c r="A287" s="5">
        <f>IF(AS51!$C$146="","",AS51!$C$146)</f>
        <v/>
      </c>
      <c r="B287" s="107">
        <f>IF($A287="",0,COUNT($E287:$CZ287))</f>
        <v/>
      </c>
      <c r="C287" s="108">
        <f>IF($A287="",0,IF($B287=0,0,MAX($E287:$CZ287)))</f>
        <v/>
      </c>
      <c r="D287" s="5">
        <f>BDS($A287,'Field Check'!$C$42,"headers=y","startcol=2","endcol=3","dir=h")</f>
        <v/>
      </c>
    </row>
    <row r="288">
      <c r="B288" s="107">
        <f>IF($A287="",0,COUNT($E288:$CZ288))</f>
        <v/>
      </c>
    </row>
    <row r="289">
      <c r="A289" s="5">
        <f>IF(AS51!$C$147="","",AS51!$C$147)</f>
        <v/>
      </c>
      <c r="B289" s="107">
        <f>IF($A289="",0,COUNT($E289:$CZ289))</f>
        <v/>
      </c>
      <c r="C289" s="108">
        <f>IF($A289="",0,IF($B289=0,0,MAX($E289:$CZ289)))</f>
        <v/>
      </c>
      <c r="D289" s="5">
        <f>BDS($A289,'Field Check'!$C$42,"headers=y","startcol=2","endcol=3","dir=h")</f>
        <v/>
      </c>
    </row>
    <row r="290">
      <c r="B290" s="107">
        <f>IF($A289="",0,COUNT($E290:$CZ290))</f>
        <v/>
      </c>
    </row>
    <row r="291">
      <c r="A291" s="5">
        <f>IF(AS51!$C$148="","",AS51!$C$148)</f>
        <v/>
      </c>
      <c r="B291" s="107">
        <f>IF($A291="",0,COUNT($E291:$CZ291))</f>
        <v/>
      </c>
      <c r="C291" s="108">
        <f>IF($A291="",0,IF($B291=0,0,MAX($E291:$CZ291)))</f>
        <v/>
      </c>
      <c r="D291" s="5">
        <f>BDS($A291,'Field Check'!$C$42,"headers=y","startcol=2","endcol=3","dir=h")</f>
        <v/>
      </c>
    </row>
    <row r="292">
      <c r="B292" s="107">
        <f>IF($A291="",0,COUNT($E292:$CZ292))</f>
        <v/>
      </c>
    </row>
    <row r="293">
      <c r="A293" s="5">
        <f>IF(AS51!$C$149="","",AS51!$C$149)</f>
        <v/>
      </c>
      <c r="B293" s="107">
        <f>IF($A293="",0,COUNT($E293:$CZ293))</f>
        <v/>
      </c>
      <c r="C293" s="108">
        <f>IF($A293="",0,IF($B293=0,0,MAX($E293:$CZ293)))</f>
        <v/>
      </c>
      <c r="D293" s="5">
        <f>BDS($A293,'Field Check'!$C$42,"headers=y","startcol=2","endcol=3","dir=h")</f>
        <v/>
      </c>
    </row>
    <row r="294">
      <c r="B294" s="107">
        <f>IF($A293="",0,COUNT($E294:$CZ294))</f>
        <v/>
      </c>
    </row>
    <row r="295">
      <c r="A295" s="5">
        <f>IF(AS51!$C$150="","",AS51!$C$150)</f>
        <v/>
      </c>
      <c r="B295" s="107">
        <f>IF($A295="",0,COUNT($E295:$CZ295))</f>
        <v/>
      </c>
      <c r="C295" s="108">
        <f>IF($A295="",0,IF($B295=0,0,MAX($E295:$CZ295)))</f>
        <v/>
      </c>
      <c r="D295" s="5">
        <f>BDS($A295,'Field Check'!$C$42,"headers=y","startcol=2","endcol=3","dir=h")</f>
        <v/>
      </c>
    </row>
    <row r="296">
      <c r="B296" s="107">
        <f>IF($A295="",0,COUNT($E296:$CZ296))</f>
        <v/>
      </c>
    </row>
    <row r="297">
      <c r="A297" s="5">
        <f>IF(AS51!$C$151="","",AS51!$C$151)</f>
        <v/>
      </c>
      <c r="B297" s="107">
        <f>IF($A297="",0,COUNT($E297:$CZ297))</f>
        <v/>
      </c>
      <c r="C297" s="108">
        <f>IF($A297="",0,IF($B297=0,0,MAX($E297:$CZ297)))</f>
        <v/>
      </c>
      <c r="D297" s="5">
        <f>BDS($A297,'Field Check'!$C$42,"headers=y","startcol=2","endcol=3","dir=h")</f>
        <v/>
      </c>
    </row>
    <row r="298">
      <c r="B298" s="107">
        <f>IF($A297="",0,COUNT($E298:$CZ298))</f>
        <v/>
      </c>
    </row>
    <row r="299">
      <c r="A299" s="5">
        <f>IF(AS51!$C$152="","",AS51!$C$152)</f>
        <v/>
      </c>
      <c r="B299" s="107">
        <f>IF($A299="",0,COUNT($E299:$CZ299))</f>
        <v/>
      </c>
      <c r="C299" s="108">
        <f>IF($A299="",0,IF($B299=0,0,MAX($E299:$CZ299)))</f>
        <v/>
      </c>
      <c r="D299" s="5">
        <f>BDS($A299,'Field Check'!$C$42,"headers=y","startcol=2","endcol=3","dir=h")</f>
        <v/>
      </c>
    </row>
    <row r="300">
      <c r="B300" s="107">
        <f>IF($A299="",0,COUNT($E300:$CZ300))</f>
        <v/>
      </c>
    </row>
    <row r="301">
      <c r="A301" s="5">
        <f>IF(AS51!$C$153="","",AS51!$C$153)</f>
        <v/>
      </c>
      <c r="B301" s="107">
        <f>IF($A301="",0,COUNT($E301:$CZ301))</f>
        <v/>
      </c>
      <c r="C301" s="108">
        <f>IF($A301="",0,IF($B301=0,0,MAX($E301:$CZ301)))</f>
        <v/>
      </c>
      <c r="D301" s="5">
        <f>BDS($A301,'Field Check'!$C$42,"headers=y","startcol=2","endcol=3","dir=h")</f>
        <v/>
      </c>
    </row>
    <row r="302">
      <c r="B302" s="107">
        <f>IF($A301="",0,COUNT($E302:$CZ302))</f>
        <v/>
      </c>
    </row>
    <row r="303">
      <c r="A303" s="5">
        <f>IF(AS51!$C$154="","",AS51!$C$154)</f>
        <v/>
      </c>
      <c r="B303" s="107">
        <f>IF($A303="",0,COUNT($E303:$CZ303))</f>
        <v/>
      </c>
      <c r="C303" s="108">
        <f>IF($A303="",0,IF($B303=0,0,MAX($E303:$CZ303)))</f>
        <v/>
      </c>
      <c r="D303" s="5">
        <f>BDS($A303,'Field Check'!$C$42,"headers=y","startcol=2","endcol=3","dir=h")</f>
        <v/>
      </c>
    </row>
    <row r="304">
      <c r="B304" s="107">
        <f>IF($A303="",0,COUNT($E304:$CZ304))</f>
        <v/>
      </c>
    </row>
    <row r="305">
      <c r="A305" s="5">
        <f>IF(AS51!$C$155="","",AS51!$C$155)</f>
        <v/>
      </c>
      <c r="B305" s="107">
        <f>IF($A305="",0,COUNT($E305:$CZ305))</f>
        <v/>
      </c>
      <c r="C305" s="108">
        <f>IF($A305="",0,IF($B305=0,0,MAX($E305:$CZ305)))</f>
        <v/>
      </c>
      <c r="D305" s="5">
        <f>BDS($A305,'Field Check'!$C$42,"headers=y","startcol=2","endcol=3","dir=h")</f>
        <v/>
      </c>
    </row>
    <row r="306">
      <c r="B306" s="107">
        <f>IF($A305="",0,COUNT($E306:$CZ306))</f>
        <v/>
      </c>
    </row>
    <row r="307">
      <c r="A307" s="5">
        <f>IF(AS51!$C$156="","",AS51!$C$156)</f>
        <v/>
      </c>
      <c r="B307" s="107">
        <f>IF($A307="",0,COUNT($E307:$CZ307))</f>
        <v/>
      </c>
      <c r="C307" s="108">
        <f>IF($A307="",0,IF($B307=0,0,MAX($E307:$CZ307)))</f>
        <v/>
      </c>
      <c r="D307" s="5">
        <f>BDS($A307,'Field Check'!$C$42,"headers=y","startcol=2","endcol=3","dir=h")</f>
        <v/>
      </c>
    </row>
    <row r="308">
      <c r="B308" s="107">
        <f>IF($A307="",0,COUNT($E308:$CZ308))</f>
        <v/>
      </c>
    </row>
    <row r="309">
      <c r="A309" s="5">
        <f>IF(AS51!$C$157="","",AS51!$C$157)</f>
        <v/>
      </c>
      <c r="B309" s="107">
        <f>IF($A309="",0,COUNT($E309:$CZ309))</f>
        <v/>
      </c>
      <c r="C309" s="108">
        <f>IF($A309="",0,IF($B309=0,0,MAX($E309:$CZ309)))</f>
        <v/>
      </c>
      <c r="D309" s="5">
        <f>BDS($A309,'Field Check'!$C$42,"headers=y","startcol=2","endcol=3","dir=h")</f>
        <v/>
      </c>
    </row>
    <row r="310">
      <c r="B310" s="107">
        <f>IF($A309="",0,COUNT($E310:$CZ310))</f>
        <v/>
      </c>
    </row>
    <row r="311">
      <c r="A311" s="5">
        <f>IF(AS51!$C$158="","",AS51!$C$158)</f>
        <v/>
      </c>
      <c r="B311" s="107">
        <f>IF($A311="",0,COUNT($E311:$CZ311))</f>
        <v/>
      </c>
      <c r="C311" s="108">
        <f>IF($A311="",0,IF($B311=0,0,MAX($E311:$CZ311)))</f>
        <v/>
      </c>
      <c r="D311" s="5">
        <f>BDS($A311,'Field Check'!$C$42,"headers=y","startcol=2","endcol=3","dir=h")</f>
        <v/>
      </c>
    </row>
    <row r="312">
      <c r="B312" s="107">
        <f>IF($A311="",0,COUNT($E312:$CZ312))</f>
        <v/>
      </c>
    </row>
    <row r="313">
      <c r="A313" s="5">
        <f>IF(AS51!$C$159="","",AS51!$C$159)</f>
        <v/>
      </c>
      <c r="B313" s="107">
        <f>IF($A313="",0,COUNT($E313:$CZ313))</f>
        <v/>
      </c>
      <c r="C313" s="108">
        <f>IF($A313="",0,IF($B313=0,0,MAX($E313:$CZ313)))</f>
        <v/>
      </c>
      <c r="D313" s="5">
        <f>BDS($A313,'Field Check'!$C$42,"headers=y","startcol=2","endcol=3","dir=h")</f>
        <v/>
      </c>
    </row>
    <row r="314">
      <c r="B314" s="107">
        <f>IF($A313="",0,COUNT($E314:$CZ314))</f>
        <v/>
      </c>
    </row>
    <row r="315">
      <c r="A315" s="5">
        <f>IF(AS51!$C$160="","",AS51!$C$160)</f>
        <v/>
      </c>
      <c r="B315" s="107">
        <f>IF($A315="",0,COUNT($E315:$CZ315))</f>
        <v/>
      </c>
      <c r="C315" s="108">
        <f>IF($A315="",0,IF($B315=0,0,MAX($E315:$CZ315)))</f>
        <v/>
      </c>
      <c r="D315" s="5">
        <f>BDS($A315,'Field Check'!$C$42,"headers=y","startcol=2","endcol=3","dir=h")</f>
        <v/>
      </c>
    </row>
    <row r="316">
      <c r="B316" s="107">
        <f>IF($A315="",0,COUNT($E316:$CZ316))</f>
        <v/>
      </c>
    </row>
    <row r="317">
      <c r="A317" s="5">
        <f>IF(AS51!$C$161="","",AS51!$C$161)</f>
        <v/>
      </c>
      <c r="B317" s="107">
        <f>IF($A317="",0,COUNT($E317:$CZ317))</f>
        <v/>
      </c>
      <c r="C317" s="108">
        <f>IF($A317="",0,IF($B317=0,0,MAX($E317:$CZ317)))</f>
        <v/>
      </c>
      <c r="D317" s="5">
        <f>BDS($A317,'Field Check'!$C$42,"headers=y","startcol=2","endcol=3","dir=h")</f>
        <v/>
      </c>
    </row>
    <row r="318">
      <c r="B318" s="107">
        <f>IF($A317="",0,COUNT($E318:$CZ318))</f>
        <v/>
      </c>
    </row>
    <row r="319">
      <c r="A319" s="5">
        <f>IF(AS51!$C$162="","",AS51!$C$162)</f>
        <v/>
      </c>
      <c r="B319" s="107">
        <f>IF($A319="",0,COUNT($E319:$CZ319))</f>
        <v/>
      </c>
      <c r="C319" s="108">
        <f>IF($A319="",0,IF($B319=0,0,MAX($E319:$CZ319)))</f>
        <v/>
      </c>
      <c r="D319" s="5">
        <f>BDS($A319,'Field Check'!$C$42,"headers=y","startcol=2","endcol=3","dir=h")</f>
        <v/>
      </c>
    </row>
    <row r="320">
      <c r="B320" s="107">
        <f>IF($A319="",0,COUNT($E320:$CZ320))</f>
        <v/>
      </c>
    </row>
    <row r="321">
      <c r="A321" s="5">
        <f>IF(AS51!$C$163="","",AS51!$C$163)</f>
        <v/>
      </c>
      <c r="B321" s="107">
        <f>IF($A321="",0,COUNT($E321:$CZ321))</f>
        <v/>
      </c>
      <c r="C321" s="108">
        <f>IF($A321="",0,IF($B321=0,0,MAX($E321:$CZ321)))</f>
        <v/>
      </c>
      <c r="D321" s="5">
        <f>BDS($A321,'Field Check'!$C$42,"headers=y","startcol=2","endcol=3","dir=h")</f>
        <v/>
      </c>
    </row>
    <row r="322">
      <c r="B322" s="107">
        <f>IF($A321="",0,COUNT($E322:$CZ322))</f>
        <v/>
      </c>
    </row>
    <row r="323">
      <c r="A323" s="5">
        <f>IF(AS51!$C$164="","",AS51!$C$164)</f>
        <v/>
      </c>
      <c r="B323" s="107">
        <f>IF($A323="",0,COUNT($E323:$CZ323))</f>
        <v/>
      </c>
      <c r="C323" s="108">
        <f>IF($A323="",0,IF($B323=0,0,MAX($E323:$CZ323)))</f>
        <v/>
      </c>
      <c r="D323" s="5">
        <f>BDS($A323,'Field Check'!$C$42,"headers=y","startcol=2","endcol=3","dir=h")</f>
        <v/>
      </c>
    </row>
    <row r="324">
      <c r="B324" s="107">
        <f>IF($A323="",0,COUNT($E324:$CZ324))</f>
        <v/>
      </c>
    </row>
    <row r="325">
      <c r="A325" s="5">
        <f>IF(AS51!$C$165="","",AS51!$C$165)</f>
        <v/>
      </c>
      <c r="B325" s="107">
        <f>IF($A325="",0,COUNT($E325:$CZ325))</f>
        <v/>
      </c>
      <c r="C325" s="108">
        <f>IF($A325="",0,IF($B325=0,0,MAX($E325:$CZ325)))</f>
        <v/>
      </c>
      <c r="D325" s="5">
        <f>BDS($A325,'Field Check'!$C$42,"headers=y","startcol=2","endcol=3","dir=h")</f>
        <v/>
      </c>
    </row>
    <row r="326">
      <c r="B326" s="107">
        <f>IF($A325="",0,COUNT($E326:$CZ326))</f>
        <v/>
      </c>
    </row>
    <row r="327">
      <c r="A327" s="5">
        <f>IF(AS51!$C$166="","",AS51!$C$166)</f>
        <v/>
      </c>
      <c r="B327" s="107">
        <f>IF($A327="",0,COUNT($E327:$CZ327))</f>
        <v/>
      </c>
      <c r="C327" s="108">
        <f>IF($A327="",0,IF($B327=0,0,MAX($E327:$CZ327)))</f>
        <v/>
      </c>
      <c r="D327" s="5">
        <f>BDS($A327,'Field Check'!$C$42,"headers=y","startcol=2","endcol=3","dir=h")</f>
        <v/>
      </c>
    </row>
    <row r="328">
      <c r="B328" s="107">
        <f>IF($A327="",0,COUNT($E328:$CZ328))</f>
        <v/>
      </c>
    </row>
    <row r="329">
      <c r="A329" s="5">
        <f>IF(AS51!$C$167="","",AS51!$C$167)</f>
        <v/>
      </c>
      <c r="B329" s="107">
        <f>IF($A329="",0,COUNT($E329:$CZ329))</f>
        <v/>
      </c>
      <c r="C329" s="108">
        <f>IF($A329="",0,IF($B329=0,0,MAX($E329:$CZ329)))</f>
        <v/>
      </c>
      <c r="D329" s="5">
        <f>BDS($A329,'Field Check'!$C$42,"headers=y","startcol=2","endcol=3","dir=h")</f>
        <v/>
      </c>
    </row>
    <row r="330">
      <c r="B330" s="107">
        <f>IF($A329="",0,COUNT($E330:$CZ330))</f>
        <v/>
      </c>
    </row>
    <row r="331">
      <c r="A331" s="5">
        <f>IF(AS51!$C$168="","",AS51!$C$168)</f>
        <v/>
      </c>
      <c r="B331" s="107">
        <f>IF($A331="",0,COUNT($E331:$CZ331))</f>
        <v/>
      </c>
      <c r="C331" s="108">
        <f>IF($A331="",0,IF($B331=0,0,MAX($E331:$CZ331)))</f>
        <v/>
      </c>
      <c r="D331" s="5">
        <f>BDS($A331,'Field Check'!$C$42,"headers=y","startcol=2","endcol=3","dir=h")</f>
        <v/>
      </c>
    </row>
    <row r="332">
      <c r="B332" s="107">
        <f>IF($A331="",0,COUNT($E332:$CZ332))</f>
        <v/>
      </c>
    </row>
    <row r="333">
      <c r="A333" s="5">
        <f>IF(AS51!$C$169="","",AS51!$C$169)</f>
        <v/>
      </c>
      <c r="B333" s="107">
        <f>IF($A333="",0,COUNT($E333:$CZ333))</f>
        <v/>
      </c>
      <c r="C333" s="108">
        <f>IF($A333="",0,IF($B333=0,0,MAX($E333:$CZ333)))</f>
        <v/>
      </c>
      <c r="D333" s="5">
        <f>BDS($A333,'Field Check'!$C$42,"headers=y","startcol=2","endcol=3","dir=h")</f>
        <v/>
      </c>
    </row>
    <row r="334">
      <c r="B334" s="107">
        <f>IF($A333="",0,COUNT($E334:$CZ334))</f>
        <v/>
      </c>
    </row>
    <row r="335">
      <c r="A335" s="5">
        <f>IF(AS51!$C$170="","",AS51!$C$170)</f>
        <v/>
      </c>
      <c r="B335" s="107">
        <f>IF($A335="",0,COUNT($E335:$CZ335))</f>
        <v/>
      </c>
      <c r="C335" s="108">
        <f>IF($A335="",0,IF($B335=0,0,MAX($E335:$CZ335)))</f>
        <v/>
      </c>
      <c r="D335" s="5">
        <f>BDS($A335,'Field Check'!$C$42,"headers=y","startcol=2","endcol=3","dir=h")</f>
        <v/>
      </c>
    </row>
    <row r="336">
      <c r="B336" s="107">
        <f>IF($A335="",0,COUNT($E336:$CZ336))</f>
        <v/>
      </c>
    </row>
    <row r="337">
      <c r="A337" s="5">
        <f>IF(AS51!$C$171="","",AS51!$C$171)</f>
        <v/>
      </c>
      <c r="B337" s="107">
        <f>IF($A337="",0,COUNT($E337:$CZ337))</f>
        <v/>
      </c>
      <c r="C337" s="108">
        <f>IF($A337="",0,IF($B337=0,0,MAX($E337:$CZ337)))</f>
        <v/>
      </c>
      <c r="D337" s="5">
        <f>BDS($A337,'Field Check'!$C$42,"headers=y","startcol=2","endcol=3","dir=h")</f>
        <v/>
      </c>
    </row>
    <row r="338">
      <c r="B338" s="107">
        <f>IF($A337="",0,COUNT($E338:$CZ338))</f>
        <v/>
      </c>
    </row>
    <row r="339">
      <c r="A339" s="5">
        <f>IF(AS51!$C$172="","",AS51!$C$172)</f>
        <v/>
      </c>
      <c r="B339" s="107">
        <f>IF($A339="",0,COUNT($E339:$CZ339))</f>
        <v/>
      </c>
      <c r="C339" s="108">
        <f>IF($A339="",0,IF($B339=0,0,MAX($E339:$CZ339)))</f>
        <v/>
      </c>
      <c r="D339" s="5">
        <f>BDS($A339,'Field Check'!$C$42,"headers=y","startcol=2","endcol=3","dir=h")</f>
        <v/>
      </c>
    </row>
    <row r="340">
      <c r="B340" s="107">
        <f>IF($A339="",0,COUNT($E340:$CZ340))</f>
        <v/>
      </c>
    </row>
    <row r="341">
      <c r="A341" s="5">
        <f>IF(AS51!$C$173="","",AS51!$C$173)</f>
        <v/>
      </c>
      <c r="B341" s="107">
        <f>IF($A341="",0,COUNT($E341:$CZ341))</f>
        <v/>
      </c>
      <c r="C341" s="108">
        <f>IF($A341="",0,IF($B341=0,0,MAX($E341:$CZ341)))</f>
        <v/>
      </c>
      <c r="D341" s="5">
        <f>BDS($A341,'Field Check'!$C$42,"headers=y","startcol=2","endcol=3","dir=h")</f>
        <v/>
      </c>
    </row>
    <row r="342">
      <c r="B342" s="107">
        <f>IF($A341="",0,COUNT($E342:$CZ342))</f>
        <v/>
      </c>
    </row>
    <row r="343">
      <c r="A343" s="5">
        <f>IF(AS51!$C$174="","",AS51!$C$174)</f>
        <v/>
      </c>
      <c r="B343" s="107">
        <f>IF($A343="",0,COUNT($E343:$CZ343))</f>
        <v/>
      </c>
      <c r="C343" s="108">
        <f>IF($A343="",0,IF($B343=0,0,MAX($E343:$CZ343)))</f>
        <v/>
      </c>
      <c r="D343" s="5">
        <f>BDS($A343,'Field Check'!$C$42,"headers=y","startcol=2","endcol=3","dir=h")</f>
        <v/>
      </c>
    </row>
    <row r="344">
      <c r="B344" s="107">
        <f>IF($A343="",0,COUNT($E344:$CZ344))</f>
        <v/>
      </c>
    </row>
    <row r="345">
      <c r="A345" s="5">
        <f>IF(AS51!$C$175="","",AS51!$C$175)</f>
        <v/>
      </c>
      <c r="B345" s="107">
        <f>IF($A345="",0,COUNT($E345:$CZ345))</f>
        <v/>
      </c>
      <c r="C345" s="108">
        <f>IF($A345="",0,IF($B345=0,0,MAX($E345:$CZ345)))</f>
        <v/>
      </c>
      <c r="D345" s="5">
        <f>BDS($A345,'Field Check'!$C$42,"headers=y","startcol=2","endcol=3","dir=h")</f>
        <v/>
      </c>
    </row>
    <row r="346">
      <c r="B346" s="107">
        <f>IF($A345="",0,COUNT($E346:$CZ346))</f>
        <v/>
      </c>
    </row>
    <row r="347">
      <c r="A347" s="5">
        <f>IF(AS51!$C$176="","",AS51!$C$176)</f>
        <v/>
      </c>
      <c r="B347" s="107">
        <f>IF($A347="",0,COUNT($E347:$CZ347))</f>
        <v/>
      </c>
      <c r="C347" s="108">
        <f>IF($A347="",0,IF($B347=0,0,MAX($E347:$CZ347)))</f>
        <v/>
      </c>
      <c r="D347" s="5">
        <f>BDS($A347,'Field Check'!$C$42,"headers=y","startcol=2","endcol=3","dir=h")</f>
        <v/>
      </c>
    </row>
    <row r="348">
      <c r="B348" s="107">
        <f>IF($A347="",0,COUNT($E348:$CZ348))</f>
        <v/>
      </c>
    </row>
    <row r="349">
      <c r="A349" s="5">
        <f>IF(AS51!$C$177="","",AS51!$C$177)</f>
        <v/>
      </c>
      <c r="B349" s="107">
        <f>IF($A349="",0,COUNT($E349:$CZ349))</f>
        <v/>
      </c>
      <c r="C349" s="108">
        <f>IF($A349="",0,IF($B349=0,0,MAX($E349:$CZ349)))</f>
        <v/>
      </c>
      <c r="D349" s="5">
        <f>BDS($A349,'Field Check'!$C$42,"headers=y","startcol=2","endcol=3","dir=h")</f>
        <v/>
      </c>
    </row>
    <row r="350">
      <c r="B350" s="107">
        <f>IF($A349="",0,COUNT($E350:$CZ350))</f>
        <v/>
      </c>
    </row>
    <row r="351">
      <c r="A351" s="5">
        <f>IF(AS51!$C$178="","",AS51!$C$178)</f>
        <v/>
      </c>
      <c r="B351" s="107">
        <f>IF($A351="",0,COUNT($E351:$CZ351))</f>
        <v/>
      </c>
      <c r="C351" s="108">
        <f>IF($A351="",0,IF($B351=0,0,MAX($E351:$CZ351)))</f>
        <v/>
      </c>
      <c r="D351" s="5">
        <f>BDS($A351,'Field Check'!$C$42,"headers=y","startcol=2","endcol=3","dir=h")</f>
        <v/>
      </c>
    </row>
    <row r="352">
      <c r="B352" s="107">
        <f>IF($A351="",0,COUNT($E352:$CZ352))</f>
        <v/>
      </c>
    </row>
    <row r="353">
      <c r="A353" s="5">
        <f>IF(AS51!$C$179="","",AS51!$C$179)</f>
        <v/>
      </c>
      <c r="B353" s="107">
        <f>IF($A353="",0,COUNT($E353:$CZ353))</f>
        <v/>
      </c>
      <c r="C353" s="108">
        <f>IF($A353="",0,IF($B353=0,0,MAX($E353:$CZ353)))</f>
        <v/>
      </c>
      <c r="D353" s="5">
        <f>BDS($A353,'Field Check'!$C$42,"headers=y","startcol=2","endcol=3","dir=h")</f>
        <v/>
      </c>
    </row>
    <row r="354">
      <c r="B354" s="107">
        <f>IF($A353="",0,COUNT($E354:$CZ354))</f>
        <v/>
      </c>
    </row>
    <row r="355">
      <c r="A355" s="5">
        <f>IF(AS51!$C$180="","",AS51!$C$180)</f>
        <v/>
      </c>
      <c r="B355" s="107">
        <f>IF($A355="",0,COUNT($E355:$CZ355))</f>
        <v/>
      </c>
      <c r="C355" s="108">
        <f>IF($A355="",0,IF($B355=0,0,MAX($E355:$CZ355)))</f>
        <v/>
      </c>
      <c r="D355" s="5">
        <f>BDS($A355,'Field Check'!$C$42,"headers=y","startcol=2","endcol=3","dir=h")</f>
        <v/>
      </c>
    </row>
    <row r="356">
      <c r="B356" s="107">
        <f>IF($A355="",0,COUNT($E356:$CZ356))</f>
        <v/>
      </c>
    </row>
    <row r="357">
      <c r="A357" s="5">
        <f>IF(AS51!$C$181="","",AS51!$C$181)</f>
        <v/>
      </c>
      <c r="B357" s="107">
        <f>IF($A357="",0,COUNT($E357:$CZ357))</f>
        <v/>
      </c>
      <c r="C357" s="108">
        <f>IF($A357="",0,IF($B357=0,0,MAX($E357:$CZ357)))</f>
        <v/>
      </c>
      <c r="D357" s="5">
        <f>BDS($A357,'Field Check'!$C$42,"headers=y","startcol=2","endcol=3","dir=h")</f>
        <v/>
      </c>
    </row>
    <row r="358">
      <c r="B358" s="107">
        <f>IF($A357="",0,COUNT($E358:$CZ358))</f>
        <v/>
      </c>
    </row>
    <row r="359">
      <c r="A359" s="5">
        <f>IF(AS51!$C$182="","",AS51!$C$182)</f>
        <v/>
      </c>
      <c r="B359" s="107">
        <f>IF($A359="",0,COUNT($E359:$CZ359))</f>
        <v/>
      </c>
      <c r="C359" s="108">
        <f>IF($A359="",0,IF($B359=0,0,MAX($E359:$CZ359)))</f>
        <v/>
      </c>
      <c r="D359" s="5">
        <f>BDS($A359,'Field Check'!$C$42,"headers=y","startcol=2","endcol=3","dir=h")</f>
        <v/>
      </c>
    </row>
    <row r="360">
      <c r="B360" s="107">
        <f>IF($A359="",0,COUNT($E360:$CZ360))</f>
        <v/>
      </c>
    </row>
    <row r="361">
      <c r="A361" s="5">
        <f>IF(AS51!$C$183="","",AS51!$C$183)</f>
        <v/>
      </c>
      <c r="B361" s="107">
        <f>IF($A361="",0,COUNT($E361:$CZ361))</f>
        <v/>
      </c>
      <c r="C361" s="108">
        <f>IF($A361="",0,IF($B361=0,0,MAX($E361:$CZ361)))</f>
        <v/>
      </c>
      <c r="D361" s="5">
        <f>BDS($A361,'Field Check'!$C$42,"headers=y","startcol=2","endcol=3","dir=h")</f>
        <v/>
      </c>
    </row>
    <row r="362">
      <c r="B362" s="107">
        <f>IF($A361="",0,COUNT($E362:$CZ362))</f>
        <v/>
      </c>
    </row>
    <row r="363">
      <c r="A363" s="5">
        <f>IF(AS51!$C$184="","",AS51!$C$184)</f>
        <v/>
      </c>
      <c r="B363" s="107">
        <f>IF($A363="",0,COUNT($E363:$CZ363))</f>
        <v/>
      </c>
      <c r="C363" s="108">
        <f>IF($A363="",0,IF($B363=0,0,MAX($E363:$CZ363)))</f>
        <v/>
      </c>
      <c r="D363" s="5">
        <f>BDS($A363,'Field Check'!$C$42,"headers=y","startcol=2","endcol=3","dir=h")</f>
        <v/>
      </c>
    </row>
    <row r="364">
      <c r="B364" s="107">
        <f>IF($A363="",0,COUNT($E364:$CZ364))</f>
        <v/>
      </c>
    </row>
    <row r="365">
      <c r="A365" s="5">
        <f>IF(AS51!$C$185="","",AS51!$C$185)</f>
        <v/>
      </c>
      <c r="B365" s="107">
        <f>IF($A365="",0,COUNT($E365:$CZ365))</f>
        <v/>
      </c>
      <c r="C365" s="108">
        <f>IF($A365="",0,IF($B365=0,0,MAX($E365:$CZ365)))</f>
        <v/>
      </c>
      <c r="D365" s="5">
        <f>BDS($A365,'Field Check'!$C$42,"headers=y","startcol=2","endcol=3","dir=h")</f>
        <v/>
      </c>
    </row>
    <row r="366">
      <c r="B366" s="107">
        <f>IF($A365="",0,COUNT($E366:$CZ366))</f>
        <v/>
      </c>
    </row>
    <row r="367">
      <c r="A367" s="5">
        <f>IF(AS51!$C$186="","",AS51!$C$186)</f>
        <v/>
      </c>
      <c r="B367" s="107">
        <f>IF($A367="",0,COUNT($E367:$CZ367))</f>
        <v/>
      </c>
      <c r="C367" s="108">
        <f>IF($A367="",0,IF($B367=0,0,MAX($E367:$CZ367)))</f>
        <v/>
      </c>
      <c r="D367" s="5">
        <f>BDS($A367,'Field Check'!$C$42,"headers=y","startcol=2","endcol=3","dir=h")</f>
        <v/>
      </c>
    </row>
    <row r="368">
      <c r="B368" s="107">
        <f>IF($A367="",0,COUNT($E368:$CZ368))</f>
        <v/>
      </c>
    </row>
    <row r="369">
      <c r="A369" s="5">
        <f>IF(AS51!$C$187="","",AS51!$C$187)</f>
        <v/>
      </c>
      <c r="B369" s="107">
        <f>IF($A369="",0,COUNT($E369:$CZ369))</f>
        <v/>
      </c>
      <c r="C369" s="108">
        <f>IF($A369="",0,IF($B369=0,0,MAX($E369:$CZ369)))</f>
        <v/>
      </c>
      <c r="D369" s="5">
        <f>BDS($A369,'Field Check'!$C$42,"headers=y","startcol=2","endcol=3","dir=h")</f>
        <v/>
      </c>
    </row>
    <row r="370">
      <c r="B370" s="107">
        <f>IF($A369="",0,COUNT($E370:$CZ370))</f>
        <v/>
      </c>
    </row>
    <row r="371">
      <c r="A371" s="5">
        <f>IF(AS51!$C$188="","",AS51!$C$188)</f>
        <v/>
      </c>
      <c r="B371" s="107">
        <f>IF($A371="",0,COUNT($E371:$CZ371))</f>
        <v/>
      </c>
      <c r="C371" s="108">
        <f>IF($A371="",0,IF($B371=0,0,MAX($E371:$CZ371)))</f>
        <v/>
      </c>
      <c r="D371" s="5">
        <f>BDS($A371,'Field Check'!$C$42,"headers=y","startcol=2","endcol=3","dir=h")</f>
        <v/>
      </c>
    </row>
    <row r="372">
      <c r="B372" s="107">
        <f>IF($A371="",0,COUNT($E372:$CZ372))</f>
        <v/>
      </c>
    </row>
    <row r="373">
      <c r="A373" s="5">
        <f>IF(AS51!$C$189="","",AS51!$C$189)</f>
        <v/>
      </c>
      <c r="B373" s="107">
        <f>IF($A373="",0,COUNT($E373:$CZ373))</f>
        <v/>
      </c>
      <c r="C373" s="108">
        <f>IF($A373="",0,IF($B373=0,0,MAX($E373:$CZ373)))</f>
        <v/>
      </c>
      <c r="D373" s="5">
        <f>BDS($A373,'Field Check'!$C$42,"headers=y","startcol=2","endcol=3","dir=h")</f>
        <v/>
      </c>
    </row>
    <row r="374">
      <c r="B374" s="107">
        <f>IF($A373="",0,COUNT($E374:$CZ374))</f>
        <v/>
      </c>
    </row>
    <row r="375">
      <c r="A375" s="5">
        <f>IF(AS51!$C$190="","",AS51!$C$190)</f>
        <v/>
      </c>
      <c r="B375" s="107">
        <f>IF($A375="",0,COUNT($E375:$CZ375))</f>
        <v/>
      </c>
      <c r="C375" s="108">
        <f>IF($A375="",0,IF($B375=0,0,MAX($E375:$CZ375)))</f>
        <v/>
      </c>
      <c r="D375" s="5">
        <f>BDS($A375,'Field Check'!$C$42,"headers=y","startcol=2","endcol=3","dir=h")</f>
        <v/>
      </c>
    </row>
    <row r="376">
      <c r="B376" s="107">
        <f>IF($A375="",0,COUNT($E376:$CZ376))</f>
        <v/>
      </c>
    </row>
    <row r="377">
      <c r="A377" s="5">
        <f>IF(AS51!$C$191="","",AS51!$C$191)</f>
        <v/>
      </c>
      <c r="B377" s="107">
        <f>IF($A377="",0,COUNT($E377:$CZ377))</f>
        <v/>
      </c>
      <c r="C377" s="108">
        <f>IF($A377="",0,IF($B377=0,0,MAX($E377:$CZ377)))</f>
        <v/>
      </c>
      <c r="D377" s="5">
        <f>BDS($A377,'Field Check'!$C$42,"headers=y","startcol=2","endcol=3","dir=h")</f>
        <v/>
      </c>
    </row>
    <row r="378">
      <c r="B378" s="107">
        <f>IF($A377="",0,COUNT($E378:$CZ378))</f>
        <v/>
      </c>
    </row>
    <row r="379">
      <c r="A379" s="5">
        <f>IF(AS51!$C$192="","",AS51!$C$192)</f>
        <v/>
      </c>
      <c r="B379" s="107">
        <f>IF($A379="",0,COUNT($E379:$CZ379))</f>
        <v/>
      </c>
      <c r="C379" s="108">
        <f>IF($A379="",0,IF($B379=0,0,MAX($E379:$CZ379)))</f>
        <v/>
      </c>
      <c r="D379" s="5">
        <f>BDS($A379,'Field Check'!$C$42,"headers=y","startcol=2","endcol=3","dir=h")</f>
        <v/>
      </c>
    </row>
    <row r="380">
      <c r="B380" s="107">
        <f>IF($A379="",0,COUNT($E380:$CZ380))</f>
        <v/>
      </c>
    </row>
    <row r="381">
      <c r="A381" s="5">
        <f>IF(AS51!$C$193="","",AS51!$C$193)</f>
        <v/>
      </c>
      <c r="B381" s="107">
        <f>IF($A381="",0,COUNT($E381:$CZ381))</f>
        <v/>
      </c>
      <c r="C381" s="108">
        <f>IF($A381="",0,IF($B381=0,0,MAX($E381:$CZ381)))</f>
        <v/>
      </c>
      <c r="D381" s="5">
        <f>BDS($A381,'Field Check'!$C$42,"headers=y","startcol=2","endcol=3","dir=h")</f>
        <v/>
      </c>
    </row>
    <row r="382">
      <c r="B382" s="107">
        <f>IF($A381="",0,COUNT($E382:$CZ382))</f>
        <v/>
      </c>
    </row>
    <row r="383">
      <c r="A383" s="5">
        <f>IF(AS51!$C$194="","",AS51!$C$194)</f>
        <v/>
      </c>
      <c r="B383" s="107">
        <f>IF($A383="",0,COUNT($E383:$CZ383))</f>
        <v/>
      </c>
      <c r="C383" s="108">
        <f>IF($A383="",0,IF($B383=0,0,MAX($E383:$CZ383)))</f>
        <v/>
      </c>
      <c r="D383" s="5">
        <f>BDS($A383,'Field Check'!$C$42,"headers=y","startcol=2","endcol=3","dir=h")</f>
        <v/>
      </c>
    </row>
    <row r="384">
      <c r="B384" s="107">
        <f>IF($A383="",0,COUNT($E384:$CZ384))</f>
        <v/>
      </c>
    </row>
    <row r="385">
      <c r="A385" s="5">
        <f>IF(AS51!$C$195="","",AS51!$C$195)</f>
        <v/>
      </c>
      <c r="B385" s="107">
        <f>IF($A385="",0,COUNT($E385:$CZ385))</f>
        <v/>
      </c>
      <c r="C385" s="108">
        <f>IF($A385="",0,IF($B385=0,0,MAX($E385:$CZ385)))</f>
        <v/>
      </c>
      <c r="D385" s="5">
        <f>BDS($A385,'Field Check'!$C$42,"headers=y","startcol=2","endcol=3","dir=h")</f>
        <v/>
      </c>
    </row>
    <row r="386">
      <c r="B386" s="107">
        <f>IF($A385="",0,COUNT($E386:$CZ386))</f>
        <v/>
      </c>
    </row>
    <row r="387">
      <c r="A387" s="5">
        <f>IF(AS51!$C$196="","",AS51!$C$196)</f>
        <v/>
      </c>
      <c r="B387" s="107">
        <f>IF($A387="",0,COUNT($E387:$CZ387))</f>
        <v/>
      </c>
      <c r="C387" s="108">
        <f>IF($A387="",0,IF($B387=0,0,MAX($E387:$CZ387)))</f>
        <v/>
      </c>
      <c r="D387" s="5">
        <f>BDS($A387,'Field Check'!$C$42,"headers=y","startcol=2","endcol=3","dir=h")</f>
        <v/>
      </c>
    </row>
    <row r="388">
      <c r="B388" s="107">
        <f>IF($A387="",0,COUNT($E388:$CZ388))</f>
        <v/>
      </c>
    </row>
    <row r="389">
      <c r="A389" s="5">
        <f>IF(AS51!$C$197="","",AS51!$C$197)</f>
        <v/>
      </c>
      <c r="B389" s="107">
        <f>IF($A389="",0,COUNT($E389:$CZ389))</f>
        <v/>
      </c>
      <c r="C389" s="108">
        <f>IF($A389="",0,IF($B389=0,0,MAX($E389:$CZ389)))</f>
        <v/>
      </c>
      <c r="D389" s="5">
        <f>BDS($A389,'Field Check'!$C$42,"headers=y","startcol=2","endcol=3","dir=h")</f>
        <v/>
      </c>
    </row>
    <row r="390">
      <c r="B390" s="107">
        <f>IF($A389="",0,COUNT($E390:$CZ390))</f>
        <v/>
      </c>
    </row>
    <row r="391">
      <c r="A391" s="5">
        <f>IF(AS51!$C$198="","",AS51!$C$198)</f>
        <v/>
      </c>
      <c r="B391" s="107">
        <f>IF($A391="",0,COUNT($E391:$CZ391))</f>
        <v/>
      </c>
      <c r="C391" s="108">
        <f>IF($A391="",0,IF($B391=0,0,MAX($E391:$CZ391)))</f>
        <v/>
      </c>
      <c r="D391" s="5">
        <f>BDS($A391,'Field Check'!$C$42,"headers=y","startcol=2","endcol=3","dir=h")</f>
        <v/>
      </c>
    </row>
    <row r="392">
      <c r="B392" s="107">
        <f>IF($A391="",0,COUNT($E392:$CZ392))</f>
        <v/>
      </c>
    </row>
    <row r="393">
      <c r="A393" s="5">
        <f>IF(AS51!$C$199="","",AS51!$C$199)</f>
        <v/>
      </c>
      <c r="B393" s="107">
        <f>IF($A393="",0,COUNT($E393:$CZ393))</f>
        <v/>
      </c>
      <c r="C393" s="108">
        <f>IF($A393="",0,IF($B393=0,0,MAX($E393:$CZ393)))</f>
        <v/>
      </c>
      <c r="D393" s="5">
        <f>BDS($A393,'Field Check'!$C$42,"headers=y","startcol=2","endcol=3","dir=h")</f>
        <v/>
      </c>
    </row>
    <row r="394">
      <c r="B394" s="107">
        <f>IF($A393="",0,COUNT($E394:$CZ394))</f>
        <v/>
      </c>
    </row>
    <row r="395">
      <c r="A395" s="5">
        <f>IF(AS51!$C$200="","",AS51!$C$200)</f>
        <v/>
      </c>
      <c r="B395" s="107">
        <f>IF($A395="",0,COUNT($E395:$CZ395))</f>
        <v/>
      </c>
      <c r="C395" s="108">
        <f>IF($A395="",0,IF($B395=0,0,MAX($E395:$CZ395)))</f>
        <v/>
      </c>
      <c r="D395" s="5">
        <f>BDS($A395,'Field Check'!$C$42,"headers=y","startcol=2","endcol=3","dir=h")</f>
        <v/>
      </c>
    </row>
    <row r="396">
      <c r="B396" s="107">
        <f>IF($A395="",0,COUNT($E396:$CZ396))</f>
        <v/>
      </c>
    </row>
    <row r="397">
      <c r="A397" s="5">
        <f>IF(AS51!$C$201="","",AS51!$C$201)</f>
        <v/>
      </c>
      <c r="B397" s="107">
        <f>IF($A397="",0,COUNT($E397:$CZ397))</f>
        <v/>
      </c>
      <c r="C397" s="108">
        <f>IF($A397="",0,IF($B397=0,0,MAX($E397:$CZ397)))</f>
        <v/>
      </c>
      <c r="D397" s="5">
        <f>BDS($A397,'Field Check'!$C$42,"headers=y","startcol=2","endcol=3","dir=h")</f>
        <v/>
      </c>
    </row>
    <row r="398">
      <c r="B398" s="107">
        <f>IF($A397="",0,COUNT($E398:$CZ398))</f>
        <v/>
      </c>
    </row>
    <row r="399">
      <c r="A399" s="5">
        <f>IF(AS51!$C$202="","",AS51!$C$202)</f>
        <v/>
      </c>
      <c r="B399" s="107">
        <f>IF($A399="",0,COUNT($E399:$CZ399))</f>
        <v/>
      </c>
      <c r="C399" s="108">
        <f>IF($A399="",0,IF($B399=0,0,MAX($E399:$CZ399)))</f>
        <v/>
      </c>
      <c r="D399" s="5">
        <f>BDS($A399,'Field Check'!$C$42,"headers=y","startcol=2","endcol=3","dir=h")</f>
        <v/>
      </c>
    </row>
    <row r="400">
      <c r="B400" s="107">
        <f>IF($A399="",0,COUNT($E400:$CZ400))</f>
        <v/>
      </c>
    </row>
    <row r="401">
      <c r="A401" s="5">
        <f>IF(AS51!$C$203="","",AS51!$C$203)</f>
        <v/>
      </c>
      <c r="B401" s="107">
        <f>IF($A401="",0,COUNT($E401:$CZ401))</f>
        <v/>
      </c>
      <c r="C401" s="108">
        <f>IF($A401="",0,IF($B401=0,0,MAX($E401:$CZ401)))</f>
        <v/>
      </c>
      <c r="D401" s="5">
        <f>BDS($A401,'Field Check'!$C$42,"headers=y","startcol=2","endcol=3","dir=h")</f>
        <v/>
      </c>
    </row>
    <row r="402">
      <c r="B402" s="107">
        <f>IF($A401="",0,COUNT($E402:$CZ402))</f>
        <v/>
      </c>
    </row>
    <row r="403">
      <c r="A403" s="5">
        <f>IF(AS51!$C$204="","",AS51!$C$204)</f>
        <v/>
      </c>
      <c r="B403" s="107">
        <f>IF($A403="",0,COUNT($E403:$CZ403))</f>
        <v/>
      </c>
      <c r="C403" s="108">
        <f>IF($A403="",0,IF($B403=0,0,MAX($E403:$CZ403)))</f>
        <v/>
      </c>
      <c r="D403" s="5">
        <f>BDS($A403,'Field Check'!$C$42,"headers=y","startcol=2","endcol=3","dir=h")</f>
        <v/>
      </c>
    </row>
    <row r="404">
      <c r="B404" s="107">
        <f>IF($A403="",0,COUNT($E404:$CZ404))</f>
        <v/>
      </c>
    </row>
    <row r="405">
      <c r="A405" s="5">
        <f>IF(AS51!$C$205="","",AS51!$C$205)</f>
        <v/>
      </c>
      <c r="B405" s="107">
        <f>IF($A405="",0,COUNT($E405:$CZ405))</f>
        <v/>
      </c>
      <c r="C405" s="108">
        <f>IF($A405="",0,IF($B405=0,0,MAX($E405:$CZ405)))</f>
        <v/>
      </c>
      <c r="D405" s="5">
        <f>BDS($A405,'Field Check'!$C$42,"headers=y","startcol=2","endcol=3","dir=h")</f>
        <v/>
      </c>
    </row>
    <row r="406">
      <c r="B406" s="107">
        <f>IF($A405="",0,COUNT($E406:$CZ406))</f>
        <v/>
      </c>
    </row>
    <row r="407">
      <c r="A407" s="5">
        <f>IF(AS51!$C$206="","",AS51!$C$206)</f>
        <v/>
      </c>
      <c r="B407" s="107">
        <f>IF($A407="",0,COUNT($E407:$CZ407))</f>
        <v/>
      </c>
      <c r="C407" s="108">
        <f>IF($A407="",0,IF($B407=0,0,MAX($E407:$CZ407)))</f>
        <v/>
      </c>
      <c r="D407" s="5">
        <f>BDS($A407,'Field Check'!$C$42,"headers=y","startcol=2","endcol=3","dir=h")</f>
        <v/>
      </c>
    </row>
    <row r="408">
      <c r="B408" s="107">
        <f>IF($A407="",0,COUNT($E408:$CZ408))</f>
        <v/>
      </c>
    </row>
    <row r="409">
      <c r="A409" s="5">
        <f>IF(AS51!$C$207="","",AS51!$C$207)</f>
        <v/>
      </c>
      <c r="B409" s="107">
        <f>IF($A409="",0,COUNT($E409:$CZ409))</f>
        <v/>
      </c>
      <c r="C409" s="108">
        <f>IF($A409="",0,IF($B409=0,0,MAX($E409:$CZ409)))</f>
        <v/>
      </c>
      <c r="D409" s="5">
        <f>BDS($A409,'Field Check'!$C$42,"headers=y","startcol=2","endcol=3","dir=h")</f>
        <v/>
      </c>
    </row>
    <row r="410">
      <c r="B410" s="107">
        <f>IF($A409="",0,COUNT($E410:$CZ410))</f>
        <v/>
      </c>
    </row>
    <row r="411">
      <c r="A411" s="5">
        <f>IF(AS51!$C$208="","",AS51!$C$208)</f>
        <v/>
      </c>
      <c r="B411" s="107">
        <f>IF($A411="",0,COUNT($E411:$CZ411))</f>
        <v/>
      </c>
      <c r="C411" s="108">
        <f>IF($A411="",0,IF($B411=0,0,MAX($E411:$CZ411)))</f>
        <v/>
      </c>
      <c r="D411" s="5">
        <f>BDS($A411,'Field Check'!$C$42,"headers=y","startcol=2","endcol=3","dir=h")</f>
        <v/>
      </c>
    </row>
    <row r="412">
      <c r="B412" s="107">
        <f>IF($A411="",0,COUNT($E412:$CZ412))</f>
        <v/>
      </c>
    </row>
    <row r="413">
      <c r="A413" s="5">
        <f>IF(AS51!$C$209="","",AS51!$C$209)</f>
        <v/>
      </c>
      <c r="B413" s="107">
        <f>IF($A413="",0,COUNT($E413:$CZ413))</f>
        <v/>
      </c>
      <c r="C413" s="108">
        <f>IF($A413="",0,IF($B413=0,0,MAX($E413:$CZ413)))</f>
        <v/>
      </c>
      <c r="D413" s="5">
        <f>BDS($A413,'Field Check'!$C$42,"headers=y","startcol=2","endcol=3","dir=h")</f>
        <v/>
      </c>
    </row>
    <row r="414">
      <c r="B414" s="107">
        <f>IF($A413="",0,COUNT($E414:$CZ414))</f>
        <v/>
      </c>
    </row>
    <row r="415">
      <c r="A415" s="5">
        <f>IF(AS51!$C$210="","",AS51!$C$210)</f>
        <v/>
      </c>
      <c r="B415" s="107">
        <f>IF($A415="",0,COUNT($E415:$CZ415))</f>
        <v/>
      </c>
      <c r="C415" s="108">
        <f>IF($A415="",0,IF($B415=0,0,MAX($E415:$CZ415)))</f>
        <v/>
      </c>
      <c r="D415" s="5">
        <f>BDS($A415,'Field Check'!$C$42,"headers=y","startcol=2","endcol=3","dir=h")</f>
        <v/>
      </c>
    </row>
    <row r="416">
      <c r="B416" s="107">
        <f>IF($A415="",0,COUNT($E416:$CZ416))</f>
        <v/>
      </c>
    </row>
    <row r="418">
      <c r="A418" s="3" t="inlineStr">
        <is>
          <t>MSCI Australia (MXAU)</t>
        </is>
      </c>
    </row>
    <row r="419">
      <c r="A419" s="53" t="inlineStr">
        <is>
          <t>Ticker</t>
        </is>
      </c>
      <c r="B419" s="53" t="inlineStr">
        <is>
          <t>Events</t>
        </is>
      </c>
      <c r="C419" s="53" t="inlineStr">
        <is>
          <t>Last ex</t>
        </is>
      </c>
      <c r="D419" s="53" t="inlineStr">
        <is>
          <t>Bloomberg spill -&gt;</t>
        </is>
      </c>
    </row>
    <row r="420">
      <c r="A420" s="5">
        <f>IF(MXAU!$C$6="","",MXAU!$C$6)</f>
        <v/>
      </c>
      <c r="B420" s="107">
        <f>IF($A420="",0,COUNT($E420:$CZ420))</f>
        <v/>
      </c>
      <c r="C420" s="108">
        <f>IF($A420="",0,IF($B420=0,0,MAX($E420:$CZ420)))</f>
        <v/>
      </c>
      <c r="D420" s="5">
        <f>BDS($A420,'Field Check'!$C$42,"headers=y","startcol=2","endcol=3","dir=h")</f>
        <v/>
      </c>
    </row>
    <row r="421">
      <c r="B421" s="107">
        <f>IF($A420="",0,COUNT($E421:$CZ421))</f>
        <v/>
      </c>
    </row>
    <row r="422">
      <c r="A422" s="5">
        <f>IF(MXAU!$C$7="","",MXAU!$C$7)</f>
        <v/>
      </c>
      <c r="B422" s="107">
        <f>IF($A422="",0,COUNT($E422:$CZ422))</f>
        <v/>
      </c>
      <c r="C422" s="108">
        <f>IF($A422="",0,IF($B422=0,0,MAX($E422:$CZ422)))</f>
        <v/>
      </c>
      <c r="D422" s="5">
        <f>BDS($A422,'Field Check'!$C$42,"headers=y","startcol=2","endcol=3","dir=h")</f>
        <v/>
      </c>
    </row>
    <row r="423">
      <c r="B423" s="107">
        <f>IF($A422="",0,COUNT($E423:$CZ423))</f>
        <v/>
      </c>
    </row>
    <row r="424">
      <c r="A424" s="5">
        <f>IF(MXAU!$C$8="","",MXAU!$C$8)</f>
        <v/>
      </c>
      <c r="B424" s="107">
        <f>IF($A424="",0,COUNT($E424:$CZ424))</f>
        <v/>
      </c>
      <c r="C424" s="108">
        <f>IF($A424="",0,IF($B424=0,0,MAX($E424:$CZ424)))</f>
        <v/>
      </c>
      <c r="D424" s="5">
        <f>BDS($A424,'Field Check'!$C$42,"headers=y","startcol=2","endcol=3","dir=h")</f>
        <v/>
      </c>
    </row>
    <row r="425">
      <c r="B425" s="107">
        <f>IF($A424="",0,COUNT($E425:$CZ425))</f>
        <v/>
      </c>
    </row>
    <row r="426">
      <c r="A426" s="5">
        <f>IF(MXAU!$C$9="","",MXAU!$C$9)</f>
        <v/>
      </c>
      <c r="B426" s="107">
        <f>IF($A426="",0,COUNT($E426:$CZ426))</f>
        <v/>
      </c>
      <c r="C426" s="108">
        <f>IF($A426="",0,IF($B426=0,0,MAX($E426:$CZ426)))</f>
        <v/>
      </c>
      <c r="D426" s="5">
        <f>BDS($A426,'Field Check'!$C$42,"headers=y","startcol=2","endcol=3","dir=h")</f>
        <v/>
      </c>
    </row>
    <row r="427">
      <c r="B427" s="107">
        <f>IF($A426="",0,COUNT($E427:$CZ427))</f>
        <v/>
      </c>
    </row>
    <row r="428">
      <c r="A428" s="5">
        <f>IF(MXAU!$C$10="","",MXAU!$C$10)</f>
        <v/>
      </c>
      <c r="B428" s="107">
        <f>IF($A428="",0,COUNT($E428:$CZ428))</f>
        <v/>
      </c>
      <c r="C428" s="108">
        <f>IF($A428="",0,IF($B428=0,0,MAX($E428:$CZ428)))</f>
        <v/>
      </c>
      <c r="D428" s="5">
        <f>BDS($A428,'Field Check'!$C$42,"headers=y","startcol=2","endcol=3","dir=h")</f>
        <v/>
      </c>
    </row>
    <row r="429">
      <c r="B429" s="107">
        <f>IF($A428="",0,COUNT($E429:$CZ429))</f>
        <v/>
      </c>
    </row>
    <row r="430">
      <c r="A430" s="5">
        <f>IF(MXAU!$C$11="","",MXAU!$C$11)</f>
        <v/>
      </c>
      <c r="B430" s="107">
        <f>IF($A430="",0,COUNT($E430:$CZ430))</f>
        <v/>
      </c>
      <c r="C430" s="108">
        <f>IF($A430="",0,IF($B430=0,0,MAX($E430:$CZ430)))</f>
        <v/>
      </c>
      <c r="D430" s="5">
        <f>BDS($A430,'Field Check'!$C$42,"headers=y","startcol=2","endcol=3","dir=h")</f>
        <v/>
      </c>
    </row>
    <row r="431">
      <c r="B431" s="107">
        <f>IF($A430="",0,COUNT($E431:$CZ431))</f>
        <v/>
      </c>
    </row>
    <row r="432">
      <c r="A432" s="5">
        <f>IF(MXAU!$C$12="","",MXAU!$C$12)</f>
        <v/>
      </c>
      <c r="B432" s="107">
        <f>IF($A432="",0,COUNT($E432:$CZ432))</f>
        <v/>
      </c>
      <c r="C432" s="108">
        <f>IF($A432="",0,IF($B432=0,0,MAX($E432:$CZ432)))</f>
        <v/>
      </c>
      <c r="D432" s="5">
        <f>BDS($A432,'Field Check'!$C$42,"headers=y","startcol=2","endcol=3","dir=h")</f>
        <v/>
      </c>
    </row>
    <row r="433">
      <c r="B433" s="107">
        <f>IF($A432="",0,COUNT($E433:$CZ433))</f>
        <v/>
      </c>
    </row>
    <row r="434">
      <c r="A434" s="5">
        <f>IF(MXAU!$C$13="","",MXAU!$C$13)</f>
        <v/>
      </c>
      <c r="B434" s="107">
        <f>IF($A434="",0,COUNT($E434:$CZ434))</f>
        <v/>
      </c>
      <c r="C434" s="108">
        <f>IF($A434="",0,IF($B434=0,0,MAX($E434:$CZ434)))</f>
        <v/>
      </c>
      <c r="D434" s="5">
        <f>BDS($A434,'Field Check'!$C$42,"headers=y","startcol=2","endcol=3","dir=h")</f>
        <v/>
      </c>
    </row>
    <row r="435">
      <c r="B435" s="107">
        <f>IF($A434="",0,COUNT($E435:$CZ435))</f>
        <v/>
      </c>
    </row>
    <row r="436">
      <c r="A436" s="5">
        <f>IF(MXAU!$C$14="","",MXAU!$C$14)</f>
        <v/>
      </c>
      <c r="B436" s="107">
        <f>IF($A436="",0,COUNT($E436:$CZ436))</f>
        <v/>
      </c>
      <c r="C436" s="108">
        <f>IF($A436="",0,IF($B436=0,0,MAX($E436:$CZ436)))</f>
        <v/>
      </c>
      <c r="D436" s="5">
        <f>BDS($A436,'Field Check'!$C$42,"headers=y","startcol=2","endcol=3","dir=h")</f>
        <v/>
      </c>
    </row>
    <row r="437">
      <c r="B437" s="107">
        <f>IF($A436="",0,COUNT($E437:$CZ437))</f>
        <v/>
      </c>
    </row>
    <row r="438">
      <c r="A438" s="5">
        <f>IF(MXAU!$C$15="","",MXAU!$C$15)</f>
        <v/>
      </c>
      <c r="B438" s="107">
        <f>IF($A438="",0,COUNT($E438:$CZ438))</f>
        <v/>
      </c>
      <c r="C438" s="108">
        <f>IF($A438="",0,IF($B438=0,0,MAX($E438:$CZ438)))</f>
        <v/>
      </c>
      <c r="D438" s="5">
        <f>BDS($A438,'Field Check'!$C$42,"headers=y","startcol=2","endcol=3","dir=h")</f>
        <v/>
      </c>
    </row>
    <row r="439">
      <c r="B439" s="107">
        <f>IF($A438="",0,COUNT($E439:$CZ439))</f>
        <v/>
      </c>
    </row>
    <row r="440">
      <c r="A440" s="5">
        <f>IF(MXAU!$C$16="","",MXAU!$C$16)</f>
        <v/>
      </c>
      <c r="B440" s="107">
        <f>IF($A440="",0,COUNT($E440:$CZ440))</f>
        <v/>
      </c>
      <c r="C440" s="108">
        <f>IF($A440="",0,IF($B440=0,0,MAX($E440:$CZ440)))</f>
        <v/>
      </c>
      <c r="D440" s="5">
        <f>BDS($A440,'Field Check'!$C$42,"headers=y","startcol=2","endcol=3","dir=h")</f>
        <v/>
      </c>
    </row>
    <row r="441">
      <c r="B441" s="107">
        <f>IF($A440="",0,COUNT($E441:$CZ441))</f>
        <v/>
      </c>
    </row>
    <row r="442">
      <c r="A442" s="5">
        <f>IF(MXAU!$C$17="","",MXAU!$C$17)</f>
        <v/>
      </c>
      <c r="B442" s="107">
        <f>IF($A442="",0,COUNT($E442:$CZ442))</f>
        <v/>
      </c>
      <c r="C442" s="108">
        <f>IF($A442="",0,IF($B442=0,0,MAX($E442:$CZ442)))</f>
        <v/>
      </c>
      <c r="D442" s="5">
        <f>BDS($A442,'Field Check'!$C$42,"headers=y","startcol=2","endcol=3","dir=h")</f>
        <v/>
      </c>
    </row>
    <row r="443">
      <c r="B443" s="107">
        <f>IF($A442="",0,COUNT($E443:$CZ443))</f>
        <v/>
      </c>
    </row>
    <row r="444">
      <c r="A444" s="5">
        <f>IF(MXAU!$C$18="","",MXAU!$C$18)</f>
        <v/>
      </c>
      <c r="B444" s="107">
        <f>IF($A444="",0,COUNT($E444:$CZ444))</f>
        <v/>
      </c>
      <c r="C444" s="108">
        <f>IF($A444="",0,IF($B444=0,0,MAX($E444:$CZ444)))</f>
        <v/>
      </c>
      <c r="D444" s="5">
        <f>BDS($A444,'Field Check'!$C$42,"headers=y","startcol=2","endcol=3","dir=h")</f>
        <v/>
      </c>
    </row>
    <row r="445">
      <c r="B445" s="107">
        <f>IF($A444="",0,COUNT($E445:$CZ445))</f>
        <v/>
      </c>
    </row>
    <row r="446">
      <c r="A446" s="5">
        <f>IF(MXAU!$C$19="","",MXAU!$C$19)</f>
        <v/>
      </c>
      <c r="B446" s="107">
        <f>IF($A446="",0,COUNT($E446:$CZ446))</f>
        <v/>
      </c>
      <c r="C446" s="108">
        <f>IF($A446="",0,IF($B446=0,0,MAX($E446:$CZ446)))</f>
        <v/>
      </c>
      <c r="D446" s="5">
        <f>BDS($A446,'Field Check'!$C$42,"headers=y","startcol=2","endcol=3","dir=h")</f>
        <v/>
      </c>
    </row>
    <row r="447">
      <c r="B447" s="107">
        <f>IF($A446="",0,COUNT($E447:$CZ447))</f>
        <v/>
      </c>
    </row>
    <row r="448">
      <c r="A448" s="5">
        <f>IF(MXAU!$C$20="","",MXAU!$C$20)</f>
        <v/>
      </c>
      <c r="B448" s="107">
        <f>IF($A448="",0,COUNT($E448:$CZ448))</f>
        <v/>
      </c>
      <c r="C448" s="108">
        <f>IF($A448="",0,IF($B448=0,0,MAX($E448:$CZ448)))</f>
        <v/>
      </c>
      <c r="D448" s="5">
        <f>BDS($A448,'Field Check'!$C$42,"headers=y","startcol=2","endcol=3","dir=h")</f>
        <v/>
      </c>
    </row>
    <row r="449">
      <c r="B449" s="107">
        <f>IF($A448="",0,COUNT($E449:$CZ449))</f>
        <v/>
      </c>
    </row>
    <row r="450">
      <c r="A450" s="5">
        <f>IF(MXAU!$C$21="","",MXAU!$C$21)</f>
        <v/>
      </c>
      <c r="B450" s="107">
        <f>IF($A450="",0,COUNT($E450:$CZ450))</f>
        <v/>
      </c>
      <c r="C450" s="108">
        <f>IF($A450="",0,IF($B450=0,0,MAX($E450:$CZ450)))</f>
        <v/>
      </c>
      <c r="D450" s="5">
        <f>BDS($A450,'Field Check'!$C$42,"headers=y","startcol=2","endcol=3","dir=h")</f>
        <v/>
      </c>
    </row>
    <row r="451">
      <c r="B451" s="107">
        <f>IF($A450="",0,COUNT($E451:$CZ451))</f>
        <v/>
      </c>
    </row>
    <row r="452">
      <c r="A452" s="5">
        <f>IF(MXAU!$C$22="","",MXAU!$C$22)</f>
        <v/>
      </c>
      <c r="B452" s="107">
        <f>IF($A452="",0,COUNT($E452:$CZ452))</f>
        <v/>
      </c>
      <c r="C452" s="108">
        <f>IF($A452="",0,IF($B452=0,0,MAX($E452:$CZ452)))</f>
        <v/>
      </c>
      <c r="D452" s="5">
        <f>BDS($A452,'Field Check'!$C$42,"headers=y","startcol=2","endcol=3","dir=h")</f>
        <v/>
      </c>
    </row>
    <row r="453">
      <c r="B453" s="107">
        <f>IF($A452="",0,COUNT($E453:$CZ453))</f>
        <v/>
      </c>
    </row>
    <row r="454">
      <c r="A454" s="5">
        <f>IF(MXAU!$C$23="","",MXAU!$C$23)</f>
        <v/>
      </c>
      <c r="B454" s="107">
        <f>IF($A454="",0,COUNT($E454:$CZ454))</f>
        <v/>
      </c>
      <c r="C454" s="108">
        <f>IF($A454="",0,IF($B454=0,0,MAX($E454:$CZ454)))</f>
        <v/>
      </c>
      <c r="D454" s="5">
        <f>BDS($A454,'Field Check'!$C$42,"headers=y","startcol=2","endcol=3","dir=h")</f>
        <v/>
      </c>
    </row>
    <row r="455">
      <c r="B455" s="107">
        <f>IF($A454="",0,COUNT($E455:$CZ455))</f>
        <v/>
      </c>
    </row>
    <row r="456">
      <c r="A456" s="5">
        <f>IF(MXAU!$C$24="","",MXAU!$C$24)</f>
        <v/>
      </c>
      <c r="B456" s="107">
        <f>IF($A456="",0,COUNT($E456:$CZ456))</f>
        <v/>
      </c>
      <c r="C456" s="108">
        <f>IF($A456="",0,IF($B456=0,0,MAX($E456:$CZ456)))</f>
        <v/>
      </c>
      <c r="D456" s="5">
        <f>BDS($A456,'Field Check'!$C$42,"headers=y","startcol=2","endcol=3","dir=h")</f>
        <v/>
      </c>
    </row>
    <row r="457">
      <c r="B457" s="107">
        <f>IF($A456="",0,COUNT($E457:$CZ457))</f>
        <v/>
      </c>
    </row>
    <row r="458">
      <c r="A458" s="5">
        <f>IF(MXAU!$C$25="","",MXAU!$C$25)</f>
        <v/>
      </c>
      <c r="B458" s="107">
        <f>IF($A458="",0,COUNT($E458:$CZ458))</f>
        <v/>
      </c>
      <c r="C458" s="108">
        <f>IF($A458="",0,IF($B458=0,0,MAX($E458:$CZ458)))</f>
        <v/>
      </c>
      <c r="D458" s="5">
        <f>BDS($A458,'Field Check'!$C$42,"headers=y","startcol=2","endcol=3","dir=h")</f>
        <v/>
      </c>
    </row>
    <row r="459">
      <c r="B459" s="107">
        <f>IF($A458="",0,COUNT($E459:$CZ459))</f>
        <v/>
      </c>
    </row>
    <row r="460">
      <c r="A460" s="5">
        <f>IF(MXAU!$C$26="","",MXAU!$C$26)</f>
        <v/>
      </c>
      <c r="B460" s="107">
        <f>IF($A460="",0,COUNT($E460:$CZ460))</f>
        <v/>
      </c>
      <c r="C460" s="108">
        <f>IF($A460="",0,IF($B460=0,0,MAX($E460:$CZ460)))</f>
        <v/>
      </c>
      <c r="D460" s="5">
        <f>BDS($A460,'Field Check'!$C$42,"headers=y","startcol=2","endcol=3","dir=h")</f>
        <v/>
      </c>
    </row>
    <row r="461">
      <c r="B461" s="107">
        <f>IF($A460="",0,COUNT($E461:$CZ461))</f>
        <v/>
      </c>
    </row>
    <row r="462">
      <c r="A462" s="5">
        <f>IF(MXAU!$C$27="","",MXAU!$C$27)</f>
        <v/>
      </c>
      <c r="B462" s="107">
        <f>IF($A462="",0,COUNT($E462:$CZ462))</f>
        <v/>
      </c>
      <c r="C462" s="108">
        <f>IF($A462="",0,IF($B462=0,0,MAX($E462:$CZ462)))</f>
        <v/>
      </c>
      <c r="D462" s="5">
        <f>BDS($A462,'Field Check'!$C$42,"headers=y","startcol=2","endcol=3","dir=h")</f>
        <v/>
      </c>
    </row>
    <row r="463">
      <c r="B463" s="107">
        <f>IF($A462="",0,COUNT($E463:$CZ463))</f>
        <v/>
      </c>
    </row>
    <row r="464">
      <c r="A464" s="5">
        <f>IF(MXAU!$C$28="","",MXAU!$C$28)</f>
        <v/>
      </c>
      <c r="B464" s="107">
        <f>IF($A464="",0,COUNT($E464:$CZ464))</f>
        <v/>
      </c>
      <c r="C464" s="108">
        <f>IF($A464="",0,IF($B464=0,0,MAX($E464:$CZ464)))</f>
        <v/>
      </c>
      <c r="D464" s="5">
        <f>BDS($A464,'Field Check'!$C$42,"headers=y","startcol=2","endcol=3","dir=h")</f>
        <v/>
      </c>
    </row>
    <row r="465">
      <c r="B465" s="107">
        <f>IF($A464="",0,COUNT($E465:$CZ465))</f>
        <v/>
      </c>
    </row>
    <row r="466">
      <c r="A466" s="5">
        <f>IF(MXAU!$C$29="","",MXAU!$C$29)</f>
        <v/>
      </c>
      <c r="B466" s="107">
        <f>IF($A466="",0,COUNT($E466:$CZ466))</f>
        <v/>
      </c>
      <c r="C466" s="108">
        <f>IF($A466="",0,IF($B466=0,0,MAX($E466:$CZ466)))</f>
        <v/>
      </c>
      <c r="D466" s="5">
        <f>BDS($A466,'Field Check'!$C$42,"headers=y","startcol=2","endcol=3","dir=h")</f>
        <v/>
      </c>
    </row>
    <row r="467">
      <c r="B467" s="107">
        <f>IF($A466="",0,COUNT($E467:$CZ467))</f>
        <v/>
      </c>
    </row>
    <row r="468">
      <c r="A468" s="5">
        <f>IF(MXAU!$C$30="","",MXAU!$C$30)</f>
        <v/>
      </c>
      <c r="B468" s="107">
        <f>IF($A468="",0,COUNT($E468:$CZ468))</f>
        <v/>
      </c>
      <c r="C468" s="108">
        <f>IF($A468="",0,IF($B468=0,0,MAX($E468:$CZ468)))</f>
        <v/>
      </c>
      <c r="D468" s="5">
        <f>BDS($A468,'Field Check'!$C$42,"headers=y","startcol=2","endcol=3","dir=h")</f>
        <v/>
      </c>
    </row>
    <row r="469">
      <c r="B469" s="107">
        <f>IF($A468="",0,COUNT($E469:$CZ469))</f>
        <v/>
      </c>
    </row>
    <row r="470">
      <c r="A470" s="5">
        <f>IF(MXAU!$C$31="","",MXAU!$C$31)</f>
        <v/>
      </c>
      <c r="B470" s="107">
        <f>IF($A470="",0,COUNT($E470:$CZ470))</f>
        <v/>
      </c>
      <c r="C470" s="108">
        <f>IF($A470="",0,IF($B470=0,0,MAX($E470:$CZ470)))</f>
        <v/>
      </c>
      <c r="D470" s="5">
        <f>BDS($A470,'Field Check'!$C$42,"headers=y","startcol=2","endcol=3","dir=h")</f>
        <v/>
      </c>
    </row>
    <row r="471">
      <c r="B471" s="107">
        <f>IF($A470="",0,COUNT($E471:$CZ471))</f>
        <v/>
      </c>
    </row>
    <row r="472">
      <c r="A472" s="5">
        <f>IF(MXAU!$C$32="","",MXAU!$C$32)</f>
        <v/>
      </c>
      <c r="B472" s="107">
        <f>IF($A472="",0,COUNT($E472:$CZ472))</f>
        <v/>
      </c>
      <c r="C472" s="108">
        <f>IF($A472="",0,IF($B472=0,0,MAX($E472:$CZ472)))</f>
        <v/>
      </c>
      <c r="D472" s="5">
        <f>BDS($A472,'Field Check'!$C$42,"headers=y","startcol=2","endcol=3","dir=h")</f>
        <v/>
      </c>
    </row>
    <row r="473">
      <c r="B473" s="107">
        <f>IF($A472="",0,COUNT($E473:$CZ473))</f>
        <v/>
      </c>
    </row>
    <row r="474">
      <c r="A474" s="5">
        <f>IF(MXAU!$C$33="","",MXAU!$C$33)</f>
        <v/>
      </c>
      <c r="B474" s="107">
        <f>IF($A474="",0,COUNT($E474:$CZ474))</f>
        <v/>
      </c>
      <c r="C474" s="108">
        <f>IF($A474="",0,IF($B474=0,0,MAX($E474:$CZ474)))</f>
        <v/>
      </c>
      <c r="D474" s="5">
        <f>BDS($A474,'Field Check'!$C$42,"headers=y","startcol=2","endcol=3","dir=h")</f>
        <v/>
      </c>
    </row>
    <row r="475">
      <c r="B475" s="107">
        <f>IF($A474="",0,COUNT($E475:$CZ475))</f>
        <v/>
      </c>
    </row>
    <row r="476">
      <c r="A476" s="5">
        <f>IF(MXAU!$C$34="","",MXAU!$C$34)</f>
        <v/>
      </c>
      <c r="B476" s="107">
        <f>IF($A476="",0,COUNT($E476:$CZ476))</f>
        <v/>
      </c>
      <c r="C476" s="108">
        <f>IF($A476="",0,IF($B476=0,0,MAX($E476:$CZ476)))</f>
        <v/>
      </c>
      <c r="D476" s="5">
        <f>BDS($A476,'Field Check'!$C$42,"headers=y","startcol=2","endcol=3","dir=h")</f>
        <v/>
      </c>
    </row>
    <row r="477">
      <c r="B477" s="107">
        <f>IF($A476="",0,COUNT($E477:$CZ477))</f>
        <v/>
      </c>
    </row>
    <row r="478">
      <c r="A478" s="5">
        <f>IF(MXAU!$C$35="","",MXAU!$C$35)</f>
        <v/>
      </c>
      <c r="B478" s="107">
        <f>IF($A478="",0,COUNT($E478:$CZ478))</f>
        <v/>
      </c>
      <c r="C478" s="108">
        <f>IF($A478="",0,IF($B478=0,0,MAX($E478:$CZ478)))</f>
        <v/>
      </c>
      <c r="D478" s="5">
        <f>BDS($A478,'Field Check'!$C$42,"headers=y","startcol=2","endcol=3","dir=h")</f>
        <v/>
      </c>
    </row>
    <row r="479">
      <c r="B479" s="107">
        <f>IF($A478="",0,COUNT($E479:$CZ479))</f>
        <v/>
      </c>
    </row>
    <row r="480">
      <c r="A480" s="5">
        <f>IF(MXAU!$C$36="","",MXAU!$C$36)</f>
        <v/>
      </c>
      <c r="B480" s="107">
        <f>IF($A480="",0,COUNT($E480:$CZ480))</f>
        <v/>
      </c>
      <c r="C480" s="108">
        <f>IF($A480="",0,IF($B480=0,0,MAX($E480:$CZ480)))</f>
        <v/>
      </c>
      <c r="D480" s="5">
        <f>BDS($A480,'Field Check'!$C$42,"headers=y","startcol=2","endcol=3","dir=h")</f>
        <v/>
      </c>
    </row>
    <row r="481">
      <c r="B481" s="107">
        <f>IF($A480="",0,COUNT($E481:$CZ481))</f>
        <v/>
      </c>
    </row>
    <row r="482">
      <c r="A482" s="5">
        <f>IF(MXAU!$C$37="","",MXAU!$C$37)</f>
        <v/>
      </c>
      <c r="B482" s="107">
        <f>IF($A482="",0,COUNT($E482:$CZ482))</f>
        <v/>
      </c>
      <c r="C482" s="108">
        <f>IF($A482="",0,IF($B482=0,0,MAX($E482:$CZ482)))</f>
        <v/>
      </c>
      <c r="D482" s="5">
        <f>BDS($A482,'Field Check'!$C$42,"headers=y","startcol=2","endcol=3","dir=h")</f>
        <v/>
      </c>
    </row>
    <row r="483">
      <c r="B483" s="107">
        <f>IF($A482="",0,COUNT($E483:$CZ483))</f>
        <v/>
      </c>
    </row>
    <row r="484">
      <c r="A484" s="5">
        <f>IF(MXAU!$C$38="","",MXAU!$C$38)</f>
        <v/>
      </c>
      <c r="B484" s="107">
        <f>IF($A484="",0,COUNT($E484:$CZ484))</f>
        <v/>
      </c>
      <c r="C484" s="108">
        <f>IF($A484="",0,IF($B484=0,0,MAX($E484:$CZ484)))</f>
        <v/>
      </c>
      <c r="D484" s="5">
        <f>BDS($A484,'Field Check'!$C$42,"headers=y","startcol=2","endcol=3","dir=h")</f>
        <v/>
      </c>
    </row>
    <row r="485">
      <c r="B485" s="107">
        <f>IF($A484="",0,COUNT($E485:$CZ485))</f>
        <v/>
      </c>
    </row>
    <row r="486">
      <c r="A486" s="5">
        <f>IF(MXAU!$C$39="","",MXAU!$C$39)</f>
        <v/>
      </c>
      <c r="B486" s="107">
        <f>IF($A486="",0,COUNT($E486:$CZ486))</f>
        <v/>
      </c>
      <c r="C486" s="108">
        <f>IF($A486="",0,IF($B486=0,0,MAX($E486:$CZ486)))</f>
        <v/>
      </c>
      <c r="D486" s="5">
        <f>BDS($A486,'Field Check'!$C$42,"headers=y","startcol=2","endcol=3","dir=h")</f>
        <v/>
      </c>
    </row>
    <row r="487">
      <c r="B487" s="107">
        <f>IF($A486="",0,COUNT($E487:$CZ487))</f>
        <v/>
      </c>
    </row>
    <row r="488">
      <c r="A488" s="5">
        <f>IF(MXAU!$C$40="","",MXAU!$C$40)</f>
        <v/>
      </c>
      <c r="B488" s="107">
        <f>IF($A488="",0,COUNT($E488:$CZ488))</f>
        <v/>
      </c>
      <c r="C488" s="108">
        <f>IF($A488="",0,IF($B488=0,0,MAX($E488:$CZ488)))</f>
        <v/>
      </c>
      <c r="D488" s="5">
        <f>BDS($A488,'Field Check'!$C$42,"headers=y","startcol=2","endcol=3","dir=h")</f>
        <v/>
      </c>
    </row>
    <row r="489">
      <c r="B489" s="107">
        <f>IF($A488="",0,COUNT($E489:$CZ489))</f>
        <v/>
      </c>
    </row>
    <row r="490">
      <c r="A490" s="5">
        <f>IF(MXAU!$C$41="","",MXAU!$C$41)</f>
        <v/>
      </c>
      <c r="B490" s="107">
        <f>IF($A490="",0,COUNT($E490:$CZ490))</f>
        <v/>
      </c>
      <c r="C490" s="108">
        <f>IF($A490="",0,IF($B490=0,0,MAX($E490:$CZ490)))</f>
        <v/>
      </c>
      <c r="D490" s="5">
        <f>BDS($A490,'Field Check'!$C$42,"headers=y","startcol=2","endcol=3","dir=h")</f>
        <v/>
      </c>
    </row>
    <row r="491">
      <c r="B491" s="107">
        <f>IF($A490="",0,COUNT($E491:$CZ491))</f>
        <v/>
      </c>
    </row>
    <row r="492">
      <c r="A492" s="5">
        <f>IF(MXAU!$C$42="","",MXAU!$C$42)</f>
        <v/>
      </c>
      <c r="B492" s="107">
        <f>IF($A492="",0,COUNT($E492:$CZ492))</f>
        <v/>
      </c>
      <c r="C492" s="108">
        <f>IF($A492="",0,IF($B492=0,0,MAX($E492:$CZ492)))</f>
        <v/>
      </c>
      <c r="D492" s="5">
        <f>BDS($A492,'Field Check'!$C$42,"headers=y","startcol=2","endcol=3","dir=h")</f>
        <v/>
      </c>
    </row>
    <row r="493">
      <c r="B493" s="107">
        <f>IF($A492="",0,COUNT($E493:$CZ493))</f>
        <v/>
      </c>
    </row>
    <row r="494">
      <c r="A494" s="5">
        <f>IF(MXAU!$C$43="","",MXAU!$C$43)</f>
        <v/>
      </c>
      <c r="B494" s="107">
        <f>IF($A494="",0,COUNT($E494:$CZ494))</f>
        <v/>
      </c>
      <c r="C494" s="108">
        <f>IF($A494="",0,IF($B494=0,0,MAX($E494:$CZ494)))</f>
        <v/>
      </c>
      <c r="D494" s="5">
        <f>BDS($A494,'Field Check'!$C$42,"headers=y","startcol=2","endcol=3","dir=h")</f>
        <v/>
      </c>
    </row>
    <row r="495">
      <c r="B495" s="107">
        <f>IF($A494="",0,COUNT($E495:$CZ495))</f>
        <v/>
      </c>
    </row>
    <row r="496">
      <c r="A496" s="5">
        <f>IF(MXAU!$C$44="","",MXAU!$C$44)</f>
        <v/>
      </c>
      <c r="B496" s="107">
        <f>IF($A496="",0,COUNT($E496:$CZ496))</f>
        <v/>
      </c>
      <c r="C496" s="108">
        <f>IF($A496="",0,IF($B496=0,0,MAX($E496:$CZ496)))</f>
        <v/>
      </c>
      <c r="D496" s="5">
        <f>BDS($A496,'Field Check'!$C$42,"headers=y","startcol=2","endcol=3","dir=h")</f>
        <v/>
      </c>
    </row>
    <row r="497">
      <c r="B497" s="107">
        <f>IF($A496="",0,COUNT($E497:$CZ497))</f>
        <v/>
      </c>
    </row>
    <row r="498">
      <c r="A498" s="5">
        <f>IF(MXAU!$C$45="","",MXAU!$C$45)</f>
        <v/>
      </c>
      <c r="B498" s="107">
        <f>IF($A498="",0,COUNT($E498:$CZ498))</f>
        <v/>
      </c>
      <c r="C498" s="108">
        <f>IF($A498="",0,IF($B498=0,0,MAX($E498:$CZ498)))</f>
        <v/>
      </c>
      <c r="D498" s="5">
        <f>BDS($A498,'Field Check'!$C$42,"headers=y","startcol=2","endcol=3","dir=h")</f>
        <v/>
      </c>
    </row>
    <row r="499">
      <c r="B499" s="107">
        <f>IF($A498="",0,COUNT($E499:$CZ499))</f>
        <v/>
      </c>
    </row>
    <row r="500">
      <c r="A500" s="5">
        <f>IF(MXAU!$C$46="","",MXAU!$C$46)</f>
        <v/>
      </c>
      <c r="B500" s="107">
        <f>IF($A500="",0,COUNT($E500:$CZ500))</f>
        <v/>
      </c>
      <c r="C500" s="108">
        <f>IF($A500="",0,IF($B500=0,0,MAX($E500:$CZ500)))</f>
        <v/>
      </c>
      <c r="D500" s="5">
        <f>BDS($A500,'Field Check'!$C$42,"headers=y","startcol=2","endcol=3","dir=h")</f>
        <v/>
      </c>
    </row>
    <row r="501">
      <c r="B501" s="107">
        <f>IF($A500="",0,COUNT($E501:$CZ501))</f>
        <v/>
      </c>
    </row>
    <row r="502">
      <c r="A502" s="5">
        <f>IF(MXAU!$C$47="","",MXAU!$C$47)</f>
        <v/>
      </c>
      <c r="B502" s="107">
        <f>IF($A502="",0,COUNT($E502:$CZ502))</f>
        <v/>
      </c>
      <c r="C502" s="108">
        <f>IF($A502="",0,IF($B502=0,0,MAX($E502:$CZ502)))</f>
        <v/>
      </c>
      <c r="D502" s="5">
        <f>BDS($A502,'Field Check'!$C$42,"headers=y","startcol=2","endcol=3","dir=h")</f>
        <v/>
      </c>
    </row>
    <row r="503">
      <c r="B503" s="107">
        <f>IF($A502="",0,COUNT($E503:$CZ503))</f>
        <v/>
      </c>
    </row>
    <row r="504">
      <c r="A504" s="5">
        <f>IF(MXAU!$C$48="","",MXAU!$C$48)</f>
        <v/>
      </c>
      <c r="B504" s="107">
        <f>IF($A504="",0,COUNT($E504:$CZ504))</f>
        <v/>
      </c>
      <c r="C504" s="108">
        <f>IF($A504="",0,IF($B504=0,0,MAX($E504:$CZ504)))</f>
        <v/>
      </c>
      <c r="D504" s="5">
        <f>BDS($A504,'Field Check'!$C$42,"headers=y","startcol=2","endcol=3","dir=h")</f>
        <v/>
      </c>
    </row>
    <row r="505">
      <c r="B505" s="107">
        <f>IF($A504="",0,COUNT($E505:$CZ505))</f>
        <v/>
      </c>
    </row>
    <row r="506">
      <c r="A506" s="5">
        <f>IF(MXAU!$C$49="","",MXAU!$C$49)</f>
        <v/>
      </c>
      <c r="B506" s="107">
        <f>IF($A506="",0,COUNT($E506:$CZ506))</f>
        <v/>
      </c>
      <c r="C506" s="108">
        <f>IF($A506="",0,IF($B506=0,0,MAX($E506:$CZ506)))</f>
        <v/>
      </c>
      <c r="D506" s="5">
        <f>BDS($A506,'Field Check'!$C$42,"headers=y","startcol=2","endcol=3","dir=h")</f>
        <v/>
      </c>
    </row>
    <row r="507">
      <c r="B507" s="107">
        <f>IF($A506="",0,COUNT($E507:$CZ507))</f>
        <v/>
      </c>
    </row>
    <row r="508">
      <c r="A508" s="5">
        <f>IF(MXAU!$C$50="","",MXAU!$C$50)</f>
        <v/>
      </c>
      <c r="B508" s="107">
        <f>IF($A508="",0,COUNT($E508:$CZ508))</f>
        <v/>
      </c>
      <c r="C508" s="108">
        <f>IF($A508="",0,IF($B508=0,0,MAX($E508:$CZ508)))</f>
        <v/>
      </c>
      <c r="D508" s="5">
        <f>BDS($A508,'Field Check'!$C$42,"headers=y","startcol=2","endcol=3","dir=h")</f>
        <v/>
      </c>
    </row>
    <row r="509">
      <c r="B509" s="107">
        <f>IF($A508="",0,COUNT($E509:$CZ509))</f>
        <v/>
      </c>
    </row>
    <row r="510">
      <c r="A510" s="5">
        <f>IF(MXAU!$C$51="","",MXAU!$C$51)</f>
        <v/>
      </c>
      <c r="B510" s="107">
        <f>IF($A510="",0,COUNT($E510:$CZ510))</f>
        <v/>
      </c>
      <c r="C510" s="108">
        <f>IF($A510="",0,IF($B510=0,0,MAX($E510:$CZ510)))</f>
        <v/>
      </c>
      <c r="D510" s="5">
        <f>BDS($A510,'Field Check'!$C$42,"headers=y","startcol=2","endcol=3","dir=h")</f>
        <v/>
      </c>
    </row>
    <row r="511">
      <c r="B511" s="107">
        <f>IF($A510="",0,COUNT($E511:$CZ511))</f>
        <v/>
      </c>
    </row>
    <row r="512">
      <c r="A512" s="5">
        <f>IF(MXAU!$C$52="","",MXAU!$C$52)</f>
        <v/>
      </c>
      <c r="B512" s="107">
        <f>IF($A512="",0,COUNT($E512:$CZ512))</f>
        <v/>
      </c>
      <c r="C512" s="108">
        <f>IF($A512="",0,IF($B512=0,0,MAX($E512:$CZ512)))</f>
        <v/>
      </c>
      <c r="D512" s="5">
        <f>BDS($A512,'Field Check'!$C$42,"headers=y","startcol=2","endcol=3","dir=h")</f>
        <v/>
      </c>
    </row>
    <row r="513">
      <c r="B513" s="107">
        <f>IF($A512="",0,COUNT($E513:$CZ513))</f>
        <v/>
      </c>
    </row>
    <row r="514">
      <c r="A514" s="5">
        <f>IF(MXAU!$C$53="","",MXAU!$C$53)</f>
        <v/>
      </c>
      <c r="B514" s="107">
        <f>IF($A514="",0,COUNT($E514:$CZ514))</f>
        <v/>
      </c>
      <c r="C514" s="108">
        <f>IF($A514="",0,IF($B514=0,0,MAX($E514:$CZ514)))</f>
        <v/>
      </c>
      <c r="D514" s="5">
        <f>BDS($A514,'Field Check'!$C$42,"headers=y","startcol=2","endcol=3","dir=h")</f>
        <v/>
      </c>
    </row>
    <row r="515">
      <c r="B515" s="107">
        <f>IF($A514="",0,COUNT($E515:$CZ515))</f>
        <v/>
      </c>
    </row>
    <row r="516">
      <c r="A516" s="5">
        <f>IF(MXAU!$C$54="","",MXAU!$C$54)</f>
        <v/>
      </c>
      <c r="B516" s="107">
        <f>IF($A516="",0,COUNT($E516:$CZ516))</f>
        <v/>
      </c>
      <c r="C516" s="108">
        <f>IF($A516="",0,IF($B516=0,0,MAX($E516:$CZ516)))</f>
        <v/>
      </c>
      <c r="D516" s="5">
        <f>BDS($A516,'Field Check'!$C$42,"headers=y","startcol=2","endcol=3","dir=h")</f>
        <v/>
      </c>
    </row>
    <row r="517">
      <c r="B517" s="107">
        <f>IF($A516="",0,COUNT($E517:$CZ517))</f>
        <v/>
      </c>
    </row>
    <row r="518">
      <c r="A518" s="5">
        <f>IF(MXAU!$C$55="","",MXAU!$C$55)</f>
        <v/>
      </c>
      <c r="B518" s="107">
        <f>IF($A518="",0,COUNT($E518:$CZ518))</f>
        <v/>
      </c>
      <c r="C518" s="108">
        <f>IF($A518="",0,IF($B518=0,0,MAX($E518:$CZ518)))</f>
        <v/>
      </c>
      <c r="D518" s="5">
        <f>BDS($A518,'Field Check'!$C$42,"headers=y","startcol=2","endcol=3","dir=h")</f>
        <v/>
      </c>
    </row>
    <row r="519">
      <c r="B519" s="107">
        <f>IF($A518="",0,COUNT($E519:$CZ519))</f>
        <v/>
      </c>
    </row>
    <row r="520">
      <c r="A520" s="5">
        <f>IF(MXAU!$C$56="","",MXAU!$C$56)</f>
        <v/>
      </c>
      <c r="B520" s="107">
        <f>IF($A520="",0,COUNT($E520:$CZ520))</f>
        <v/>
      </c>
      <c r="C520" s="108">
        <f>IF($A520="",0,IF($B520=0,0,MAX($E520:$CZ520)))</f>
        <v/>
      </c>
      <c r="D520" s="5">
        <f>BDS($A520,'Field Check'!$C$42,"headers=y","startcol=2","endcol=3","dir=h")</f>
        <v/>
      </c>
    </row>
    <row r="521">
      <c r="B521" s="107">
        <f>IF($A520="",0,COUNT($E521:$CZ521))</f>
        <v/>
      </c>
    </row>
    <row r="522">
      <c r="A522" s="5">
        <f>IF(MXAU!$C$57="","",MXAU!$C$57)</f>
        <v/>
      </c>
      <c r="B522" s="107">
        <f>IF($A522="",0,COUNT($E522:$CZ522))</f>
        <v/>
      </c>
      <c r="C522" s="108">
        <f>IF($A522="",0,IF($B522=0,0,MAX($E522:$CZ522)))</f>
        <v/>
      </c>
      <c r="D522" s="5">
        <f>BDS($A522,'Field Check'!$C$42,"headers=y","startcol=2","endcol=3","dir=h")</f>
        <v/>
      </c>
    </row>
    <row r="523">
      <c r="B523" s="107">
        <f>IF($A522="",0,COUNT($E523:$CZ523))</f>
        <v/>
      </c>
    </row>
    <row r="524">
      <c r="A524" s="5">
        <f>IF(MXAU!$C$58="","",MXAU!$C$58)</f>
        <v/>
      </c>
      <c r="B524" s="107">
        <f>IF($A524="",0,COUNT($E524:$CZ524))</f>
        <v/>
      </c>
      <c r="C524" s="108">
        <f>IF($A524="",0,IF($B524=0,0,MAX($E524:$CZ524)))</f>
        <v/>
      </c>
      <c r="D524" s="5">
        <f>BDS($A524,'Field Check'!$C$42,"headers=y","startcol=2","endcol=3","dir=h")</f>
        <v/>
      </c>
    </row>
    <row r="525">
      <c r="B525" s="107">
        <f>IF($A524="",0,COUNT($E525:$CZ525))</f>
        <v/>
      </c>
    </row>
    <row r="526">
      <c r="A526" s="5">
        <f>IF(MXAU!$C$59="","",MXAU!$C$59)</f>
        <v/>
      </c>
      <c r="B526" s="107">
        <f>IF($A526="",0,COUNT($E526:$CZ526))</f>
        <v/>
      </c>
      <c r="C526" s="108">
        <f>IF($A526="",0,IF($B526=0,0,MAX($E526:$CZ526)))</f>
        <v/>
      </c>
      <c r="D526" s="5">
        <f>BDS($A526,'Field Check'!$C$42,"headers=y","startcol=2","endcol=3","dir=h")</f>
        <v/>
      </c>
    </row>
    <row r="527">
      <c r="B527" s="107">
        <f>IF($A526="",0,COUNT($E527:$CZ527))</f>
        <v/>
      </c>
    </row>
    <row r="528">
      <c r="A528" s="5">
        <f>IF(MXAU!$C$60="","",MXAU!$C$60)</f>
        <v/>
      </c>
      <c r="B528" s="107">
        <f>IF($A528="",0,COUNT($E528:$CZ528))</f>
        <v/>
      </c>
      <c r="C528" s="108">
        <f>IF($A528="",0,IF($B528=0,0,MAX($E528:$CZ528)))</f>
        <v/>
      </c>
      <c r="D528" s="5">
        <f>BDS($A528,'Field Check'!$C$42,"headers=y","startcol=2","endcol=3","dir=h")</f>
        <v/>
      </c>
    </row>
    <row r="529">
      <c r="B529" s="107">
        <f>IF($A528="",0,COUNT($E529:$CZ529))</f>
        <v/>
      </c>
    </row>
    <row r="530">
      <c r="A530" s="5">
        <f>IF(MXAU!$C$61="","",MXAU!$C$61)</f>
        <v/>
      </c>
      <c r="B530" s="107">
        <f>IF($A530="",0,COUNT($E530:$CZ530))</f>
        <v/>
      </c>
      <c r="C530" s="108">
        <f>IF($A530="",0,IF($B530=0,0,MAX($E530:$CZ530)))</f>
        <v/>
      </c>
      <c r="D530" s="5">
        <f>BDS($A530,'Field Check'!$C$42,"headers=y","startcol=2","endcol=3","dir=h")</f>
        <v/>
      </c>
    </row>
    <row r="531">
      <c r="B531" s="107">
        <f>IF($A530="",0,COUNT($E531:$CZ531))</f>
        <v/>
      </c>
    </row>
    <row r="532">
      <c r="A532" s="5">
        <f>IF(MXAU!$C$62="","",MXAU!$C$62)</f>
        <v/>
      </c>
      <c r="B532" s="107">
        <f>IF($A532="",0,COUNT($E532:$CZ532))</f>
        <v/>
      </c>
      <c r="C532" s="108">
        <f>IF($A532="",0,IF($B532=0,0,MAX($E532:$CZ532)))</f>
        <v/>
      </c>
      <c r="D532" s="5">
        <f>BDS($A532,'Field Check'!$C$42,"headers=y","startcol=2","endcol=3","dir=h")</f>
        <v/>
      </c>
    </row>
    <row r="533">
      <c r="B533" s="107">
        <f>IF($A532="",0,COUNT($E533:$CZ533))</f>
        <v/>
      </c>
    </row>
    <row r="534">
      <c r="A534" s="5">
        <f>IF(MXAU!$C$63="","",MXAU!$C$63)</f>
        <v/>
      </c>
      <c r="B534" s="107">
        <f>IF($A534="",0,COUNT($E534:$CZ534))</f>
        <v/>
      </c>
      <c r="C534" s="108">
        <f>IF($A534="",0,IF($B534=0,0,MAX($E534:$CZ534)))</f>
        <v/>
      </c>
      <c r="D534" s="5">
        <f>BDS($A534,'Field Check'!$C$42,"headers=y","startcol=2","endcol=3","dir=h")</f>
        <v/>
      </c>
    </row>
    <row r="535">
      <c r="B535" s="107">
        <f>IF($A534="",0,COUNT($E535:$CZ535))</f>
        <v/>
      </c>
    </row>
    <row r="536">
      <c r="A536" s="5">
        <f>IF(MXAU!$C$64="","",MXAU!$C$64)</f>
        <v/>
      </c>
      <c r="B536" s="107">
        <f>IF($A536="",0,COUNT($E536:$CZ536))</f>
        <v/>
      </c>
      <c r="C536" s="108">
        <f>IF($A536="",0,IF($B536=0,0,MAX($E536:$CZ536)))</f>
        <v/>
      </c>
      <c r="D536" s="5">
        <f>BDS($A536,'Field Check'!$C$42,"headers=y","startcol=2","endcol=3","dir=h")</f>
        <v/>
      </c>
    </row>
    <row r="537">
      <c r="B537" s="107">
        <f>IF($A536="",0,COUNT($E537:$CZ537))</f>
        <v/>
      </c>
    </row>
    <row r="538">
      <c r="A538" s="5">
        <f>IF(MXAU!$C$65="","",MXAU!$C$65)</f>
        <v/>
      </c>
      <c r="B538" s="107">
        <f>IF($A538="",0,COUNT($E538:$CZ538))</f>
        <v/>
      </c>
      <c r="C538" s="108">
        <f>IF($A538="",0,IF($B538=0,0,MAX($E538:$CZ538)))</f>
        <v/>
      </c>
      <c r="D538" s="5">
        <f>BDS($A538,'Field Check'!$C$42,"headers=y","startcol=2","endcol=3","dir=h")</f>
        <v/>
      </c>
    </row>
    <row r="539">
      <c r="B539" s="107">
        <f>IF($A538="",0,COUNT($E539:$CZ539))</f>
        <v/>
      </c>
    </row>
    <row r="540">
      <c r="A540" s="5">
        <f>IF(MXAU!$C$66="","",MXAU!$C$66)</f>
        <v/>
      </c>
      <c r="B540" s="107">
        <f>IF($A540="",0,COUNT($E540:$CZ540))</f>
        <v/>
      </c>
      <c r="C540" s="108">
        <f>IF($A540="",0,IF($B540=0,0,MAX($E540:$CZ540)))</f>
        <v/>
      </c>
      <c r="D540" s="5">
        <f>BDS($A540,'Field Check'!$C$42,"headers=y","startcol=2","endcol=3","dir=h")</f>
        <v/>
      </c>
    </row>
    <row r="541">
      <c r="B541" s="107">
        <f>IF($A540="",0,COUNT($E541:$CZ541))</f>
        <v/>
      </c>
    </row>
    <row r="542">
      <c r="A542" s="5">
        <f>IF(MXAU!$C$67="","",MXAU!$C$67)</f>
        <v/>
      </c>
      <c r="B542" s="107">
        <f>IF($A542="",0,COUNT($E542:$CZ542))</f>
        <v/>
      </c>
      <c r="C542" s="108">
        <f>IF($A542="",0,IF($B542=0,0,MAX($E542:$CZ542)))</f>
        <v/>
      </c>
      <c r="D542" s="5">
        <f>BDS($A542,'Field Check'!$C$42,"headers=y","startcol=2","endcol=3","dir=h")</f>
        <v/>
      </c>
    </row>
    <row r="543">
      <c r="B543" s="107">
        <f>IF($A542="",0,COUNT($E543:$CZ543))</f>
        <v/>
      </c>
    </row>
    <row r="544">
      <c r="A544" s="5">
        <f>IF(MXAU!$C$68="","",MXAU!$C$68)</f>
        <v/>
      </c>
      <c r="B544" s="107">
        <f>IF($A544="",0,COUNT($E544:$CZ544))</f>
        <v/>
      </c>
      <c r="C544" s="108">
        <f>IF($A544="",0,IF($B544=0,0,MAX($E544:$CZ544)))</f>
        <v/>
      </c>
      <c r="D544" s="5">
        <f>BDS($A544,'Field Check'!$C$42,"headers=y","startcol=2","endcol=3","dir=h")</f>
        <v/>
      </c>
    </row>
    <row r="545">
      <c r="B545" s="107">
        <f>IF($A544="",0,COUNT($E545:$CZ545))</f>
        <v/>
      </c>
    </row>
    <row r="546">
      <c r="A546" s="5">
        <f>IF(MXAU!$C$69="","",MXAU!$C$69)</f>
        <v/>
      </c>
      <c r="B546" s="107">
        <f>IF($A546="",0,COUNT($E546:$CZ546))</f>
        <v/>
      </c>
      <c r="C546" s="108">
        <f>IF($A546="",0,IF($B546=0,0,MAX($E546:$CZ546)))</f>
        <v/>
      </c>
      <c r="D546" s="5">
        <f>BDS($A546,'Field Check'!$C$42,"headers=y","startcol=2","endcol=3","dir=h")</f>
        <v/>
      </c>
    </row>
    <row r="547">
      <c r="B547" s="107">
        <f>IF($A546="",0,COUNT($E547:$CZ547))</f>
        <v/>
      </c>
    </row>
    <row r="548">
      <c r="A548" s="5">
        <f>IF(MXAU!$C$70="","",MXAU!$C$70)</f>
        <v/>
      </c>
      <c r="B548" s="107">
        <f>IF($A548="",0,COUNT($E548:$CZ548))</f>
        <v/>
      </c>
      <c r="C548" s="108">
        <f>IF($A548="",0,IF($B548=0,0,MAX($E548:$CZ548)))</f>
        <v/>
      </c>
      <c r="D548" s="5">
        <f>BDS($A548,'Field Check'!$C$42,"headers=y","startcol=2","endcol=3","dir=h")</f>
        <v/>
      </c>
    </row>
    <row r="549">
      <c r="B549" s="107">
        <f>IF($A548="",0,COUNT($E549:$CZ549))</f>
        <v/>
      </c>
    </row>
    <row r="550">
      <c r="A550" s="5">
        <f>IF(MXAU!$C$71="","",MXAU!$C$71)</f>
        <v/>
      </c>
      <c r="B550" s="107">
        <f>IF($A550="",0,COUNT($E550:$CZ550))</f>
        <v/>
      </c>
      <c r="C550" s="108">
        <f>IF($A550="",0,IF($B550=0,0,MAX($E550:$CZ550)))</f>
        <v/>
      </c>
      <c r="D550" s="5">
        <f>BDS($A550,'Field Check'!$C$42,"headers=y","startcol=2","endcol=3","dir=h")</f>
        <v/>
      </c>
    </row>
    <row r="551">
      <c r="B551" s="107">
        <f>IF($A550="",0,COUNT($E551:$CZ551))</f>
        <v/>
      </c>
    </row>
    <row r="552">
      <c r="A552" s="5">
        <f>IF(MXAU!$C$72="","",MXAU!$C$72)</f>
        <v/>
      </c>
      <c r="B552" s="107">
        <f>IF($A552="",0,COUNT($E552:$CZ552))</f>
        <v/>
      </c>
      <c r="C552" s="108">
        <f>IF($A552="",0,IF($B552=0,0,MAX($E552:$CZ552)))</f>
        <v/>
      </c>
      <c r="D552" s="5">
        <f>BDS($A552,'Field Check'!$C$42,"headers=y","startcol=2","endcol=3","dir=h")</f>
        <v/>
      </c>
    </row>
    <row r="553">
      <c r="B553" s="107">
        <f>IF($A552="",0,COUNT($E553:$CZ553))</f>
        <v/>
      </c>
    </row>
    <row r="554">
      <c r="A554" s="5">
        <f>IF(MXAU!$C$73="","",MXAU!$C$73)</f>
        <v/>
      </c>
      <c r="B554" s="107">
        <f>IF($A554="",0,COUNT($E554:$CZ554))</f>
        <v/>
      </c>
      <c r="C554" s="108">
        <f>IF($A554="",0,IF($B554=0,0,MAX($E554:$CZ554)))</f>
        <v/>
      </c>
      <c r="D554" s="5">
        <f>BDS($A554,'Field Check'!$C$42,"headers=y","startcol=2","endcol=3","dir=h")</f>
        <v/>
      </c>
    </row>
    <row r="555">
      <c r="B555" s="107">
        <f>IF($A554="",0,COUNT($E555:$CZ555))</f>
        <v/>
      </c>
    </row>
    <row r="556">
      <c r="A556" s="5">
        <f>IF(MXAU!$C$74="","",MXAU!$C$74)</f>
        <v/>
      </c>
      <c r="B556" s="107">
        <f>IF($A556="",0,COUNT($E556:$CZ556))</f>
        <v/>
      </c>
      <c r="C556" s="108">
        <f>IF($A556="",0,IF($B556=0,0,MAX($E556:$CZ556)))</f>
        <v/>
      </c>
      <c r="D556" s="5">
        <f>BDS($A556,'Field Check'!$C$42,"headers=y","startcol=2","endcol=3","dir=h")</f>
        <v/>
      </c>
    </row>
    <row r="557">
      <c r="B557" s="107">
        <f>IF($A556="",0,COUNT($E557:$CZ557))</f>
        <v/>
      </c>
    </row>
    <row r="558">
      <c r="A558" s="5">
        <f>IF(MXAU!$C$75="","",MXAU!$C$75)</f>
        <v/>
      </c>
      <c r="B558" s="107">
        <f>IF($A558="",0,COUNT($E558:$CZ558))</f>
        <v/>
      </c>
      <c r="C558" s="108">
        <f>IF($A558="",0,IF($B558=0,0,MAX($E558:$CZ558)))</f>
        <v/>
      </c>
      <c r="D558" s="5">
        <f>BDS($A558,'Field Check'!$C$42,"headers=y","startcol=2","endcol=3","dir=h")</f>
        <v/>
      </c>
    </row>
    <row r="559">
      <c r="B559" s="107">
        <f>IF($A558="",0,COUNT($E559:$CZ559))</f>
        <v/>
      </c>
    </row>
    <row r="560">
      <c r="A560" s="5">
        <f>IF(MXAU!$C$76="","",MXAU!$C$76)</f>
        <v/>
      </c>
      <c r="B560" s="107">
        <f>IF($A560="",0,COUNT($E560:$CZ560))</f>
        <v/>
      </c>
      <c r="C560" s="108">
        <f>IF($A560="",0,IF($B560=0,0,MAX($E560:$CZ560)))</f>
        <v/>
      </c>
      <c r="D560" s="5">
        <f>BDS($A560,'Field Check'!$C$42,"headers=y","startcol=2","endcol=3","dir=h")</f>
        <v/>
      </c>
    </row>
    <row r="561">
      <c r="B561" s="107">
        <f>IF($A560="",0,COUNT($E561:$CZ561))</f>
        <v/>
      </c>
    </row>
    <row r="562">
      <c r="A562" s="5">
        <f>IF(MXAU!$C$77="","",MXAU!$C$77)</f>
        <v/>
      </c>
      <c r="B562" s="107">
        <f>IF($A562="",0,COUNT($E562:$CZ562))</f>
        <v/>
      </c>
      <c r="C562" s="108">
        <f>IF($A562="",0,IF($B562=0,0,MAX($E562:$CZ562)))</f>
        <v/>
      </c>
      <c r="D562" s="5">
        <f>BDS($A562,'Field Check'!$C$42,"headers=y","startcol=2","endcol=3","dir=h")</f>
        <v/>
      </c>
    </row>
    <row r="563">
      <c r="B563" s="107">
        <f>IF($A562="",0,COUNT($E563:$CZ563))</f>
        <v/>
      </c>
    </row>
    <row r="564">
      <c r="A564" s="5">
        <f>IF(MXAU!$C$78="","",MXAU!$C$78)</f>
        <v/>
      </c>
      <c r="B564" s="107">
        <f>IF($A564="",0,COUNT($E564:$CZ564))</f>
        <v/>
      </c>
      <c r="C564" s="108">
        <f>IF($A564="",0,IF($B564=0,0,MAX($E564:$CZ564)))</f>
        <v/>
      </c>
      <c r="D564" s="5">
        <f>BDS($A564,'Field Check'!$C$42,"headers=y","startcol=2","endcol=3","dir=h")</f>
        <v/>
      </c>
    </row>
    <row r="565">
      <c r="B565" s="107">
        <f>IF($A564="",0,COUNT($E565:$CZ565))</f>
        <v/>
      </c>
    </row>
    <row r="566">
      <c r="A566" s="5">
        <f>IF(MXAU!$C$79="","",MXAU!$C$79)</f>
        <v/>
      </c>
      <c r="B566" s="107">
        <f>IF($A566="",0,COUNT($E566:$CZ566))</f>
        <v/>
      </c>
      <c r="C566" s="108">
        <f>IF($A566="",0,IF($B566=0,0,MAX($E566:$CZ566)))</f>
        <v/>
      </c>
      <c r="D566" s="5">
        <f>BDS($A566,'Field Check'!$C$42,"headers=y","startcol=2","endcol=3","dir=h")</f>
        <v/>
      </c>
    </row>
    <row r="567">
      <c r="B567" s="107">
        <f>IF($A566="",0,COUNT($E567:$CZ567))</f>
        <v/>
      </c>
    </row>
    <row r="568">
      <c r="A568" s="5">
        <f>IF(MXAU!$C$80="","",MXAU!$C$80)</f>
        <v/>
      </c>
      <c r="B568" s="107">
        <f>IF($A568="",0,COUNT($E568:$CZ568))</f>
        <v/>
      </c>
      <c r="C568" s="108">
        <f>IF($A568="",0,IF($B568=0,0,MAX($E568:$CZ568)))</f>
        <v/>
      </c>
      <c r="D568" s="5">
        <f>BDS($A568,'Field Check'!$C$42,"headers=y","startcol=2","endcol=3","dir=h")</f>
        <v/>
      </c>
    </row>
    <row r="569">
      <c r="B569" s="107">
        <f>IF($A568="",0,COUNT($E569:$CZ569))</f>
        <v/>
      </c>
    </row>
    <row r="570">
      <c r="A570" s="5">
        <f>IF(MXAU!$C$81="","",MXAU!$C$81)</f>
        <v/>
      </c>
      <c r="B570" s="107">
        <f>IF($A570="",0,COUNT($E570:$CZ570))</f>
        <v/>
      </c>
      <c r="C570" s="108">
        <f>IF($A570="",0,IF($B570=0,0,MAX($E570:$CZ570)))</f>
        <v/>
      </c>
      <c r="D570" s="5">
        <f>BDS($A570,'Field Check'!$C$42,"headers=y","startcol=2","endcol=3","dir=h")</f>
        <v/>
      </c>
    </row>
    <row r="571">
      <c r="B571" s="107">
        <f>IF($A570="",0,COUNT($E571:$CZ571))</f>
        <v/>
      </c>
    </row>
    <row r="572">
      <c r="A572" s="5">
        <f>IF(MXAU!$C$82="","",MXAU!$C$82)</f>
        <v/>
      </c>
      <c r="B572" s="107">
        <f>IF($A572="",0,COUNT($E572:$CZ572))</f>
        <v/>
      </c>
      <c r="C572" s="108">
        <f>IF($A572="",0,IF($B572=0,0,MAX($E572:$CZ572)))</f>
        <v/>
      </c>
      <c r="D572" s="5">
        <f>BDS($A572,'Field Check'!$C$42,"headers=y","startcol=2","endcol=3","dir=h")</f>
        <v/>
      </c>
    </row>
    <row r="573">
      <c r="B573" s="107">
        <f>IF($A572="",0,COUNT($E573:$CZ573))</f>
        <v/>
      </c>
    </row>
    <row r="574">
      <c r="A574" s="5">
        <f>IF(MXAU!$C$83="","",MXAU!$C$83)</f>
        <v/>
      </c>
      <c r="B574" s="107">
        <f>IF($A574="",0,COUNT($E574:$CZ574))</f>
        <v/>
      </c>
      <c r="C574" s="108">
        <f>IF($A574="",0,IF($B574=0,0,MAX($E574:$CZ574)))</f>
        <v/>
      </c>
      <c r="D574" s="5">
        <f>BDS($A574,'Field Check'!$C$42,"headers=y","startcol=2","endcol=3","dir=h")</f>
        <v/>
      </c>
    </row>
    <row r="575">
      <c r="B575" s="107">
        <f>IF($A574="",0,COUNT($E575:$CZ575))</f>
        <v/>
      </c>
    </row>
    <row r="576">
      <c r="A576" s="5">
        <f>IF(MXAU!$C$84="","",MXAU!$C$84)</f>
        <v/>
      </c>
      <c r="B576" s="107">
        <f>IF($A576="",0,COUNT($E576:$CZ576))</f>
        <v/>
      </c>
      <c r="C576" s="108">
        <f>IF($A576="",0,IF($B576=0,0,MAX($E576:$CZ576)))</f>
        <v/>
      </c>
      <c r="D576" s="5">
        <f>BDS($A576,'Field Check'!$C$42,"headers=y","startcol=2","endcol=3","dir=h")</f>
        <v/>
      </c>
    </row>
    <row r="577">
      <c r="B577" s="107">
        <f>IF($A576="",0,COUNT($E577:$CZ577))</f>
        <v/>
      </c>
    </row>
    <row r="578">
      <c r="A578" s="5">
        <f>IF(MXAU!$C$85="","",MXAU!$C$85)</f>
        <v/>
      </c>
      <c r="B578" s="107">
        <f>IF($A578="",0,COUNT($E578:$CZ578))</f>
        <v/>
      </c>
      <c r="C578" s="108">
        <f>IF($A578="",0,IF($B578=0,0,MAX($E578:$CZ578)))</f>
        <v/>
      </c>
      <c r="D578" s="5">
        <f>BDS($A578,'Field Check'!$C$42,"headers=y","startcol=2","endcol=3","dir=h")</f>
        <v/>
      </c>
    </row>
    <row r="579">
      <c r="B579" s="107">
        <f>IF($A578="",0,COUNT($E579:$CZ579))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L309"/>
  <sheetViews>
    <sheetView workbookViewId="0">
      <pane xSplit="5" ySplit="15" topLeftCell="F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2">
      <c r="B2" s="1" t="inlineStr">
        <is>
          <t>DIVIDEND ACCRUAL PER STOCK, PER CONTRACT</t>
        </is>
      </c>
    </row>
    <row r="3">
      <c r="B3" s="2" t="inlineStr">
        <is>
          <t>Gross cell = index shares x FX x projected DPS with ex-date in the window / index divisor = that stock's dividend points for the contract. Franked cell = gross x the stock's franked %.</t>
        </is>
      </c>
    </row>
    <row r="5">
      <c r="B5" s="3" t="inlineStr">
        <is>
          <t>CHECKS</t>
        </is>
      </c>
    </row>
    <row r="6">
      <c r="B6" s="5" t="inlineStr">
        <is>
          <t>AS51 members missing shares</t>
        </is>
      </c>
      <c r="C6" s="79">
        <f>SUMPRODUCT((AS51!$A$6:$A$275&lt;&gt;"")*(AS51!$B$6:$B$275=""))</f>
        <v/>
      </c>
      <c r="F6" s="2" t="inlineStr">
        <is>
          <t>Paste index shares into column B of the data tab. Anything counted here contributes nothing.</t>
        </is>
      </c>
    </row>
    <row r="7">
      <c r="B7" s="5" t="inlineStr">
        <is>
          <t>MXAU members missing shares</t>
        </is>
      </c>
      <c r="C7" s="79">
        <f>SUMPRODUCT((MXAU!$A$6:$A$175&lt;&gt;"")*(MXAU!$B$6:$B$175=""))</f>
        <v/>
      </c>
    </row>
    <row r="8">
      <c r="B8" s="5" t="inlineStr">
        <is>
          <t>Divisors entered (AS51 / MXAU)</t>
        </is>
      </c>
      <c r="C8" s="82">
        <f>IF(ISNUMBER(AS51!$B$3),"OK","MISSING")</f>
        <v/>
      </c>
      <c r="D8" s="82">
        <f>IF(ISNUMBER(MXAU!$B$3),"OK","MISSING")</f>
        <v/>
      </c>
      <c r="F8" s="2" t="inlineStr">
        <is>
          <t>B3 on each data tab. Without it every cell below is blank.</t>
        </is>
      </c>
    </row>
    <row r="9">
      <c r="B9" s="5" t="inlineStr">
        <is>
          <t>Payers declaring in another currency</t>
        </is>
      </c>
      <c r="C9" s="78">
        <f>SUMPRODUCT((AS51!$C$6:$C$275&lt;&gt;"")*(LEN(AS51!$P$6:$P$275)=3)*(AS51!$P$6:$P$275&lt;&gt;AS51!$D$2))+SUMPRODUCT((MXAU!$C$6:$C$175&lt;&gt;"")*(LEN(MXAU!$P$6:$P$175)=3)*(MXAU!$P$6:$P$175&lt;&gt;MXAU!$D$2))</f>
        <v/>
      </c>
      <c r="F9" s="2" t="inlineStr">
        <is>
          <t>Converted by the Dvd FX column - typically BHP and RIO (declare in USD).</t>
        </is>
      </c>
    </row>
    <row r="11">
      <c r="B11" s="3" t="inlineStr">
        <is>
          <t>S&amp;P/ASX 200 (AS51)</t>
        </is>
      </c>
      <c r="F11" s="3" t="inlineStr">
        <is>
          <t>GROSS DIVIDEND (index pts)</t>
        </is>
      </c>
      <c r="W11" s="4" t="inlineStr">
        <is>
          <t>FRANKED PORTION (index pts)</t>
        </is>
      </c>
    </row>
    <row r="12">
      <c r="B12" s="2" t="inlineStr">
        <is>
          <t>window start</t>
        </is>
      </c>
      <c r="F12" s="109">
        <f>IF(Expiries!$B16="","",Expiries!$J16)</f>
        <v/>
      </c>
      <c r="G12" s="109">
        <f>IF(Expiries!$B17="","",Expiries!$J17)</f>
        <v/>
      </c>
      <c r="H12" s="109">
        <f>IF(Expiries!$B18="","",Expiries!$J18)</f>
        <v/>
      </c>
      <c r="I12" s="109">
        <f>IF(Expiries!$B19="","",Expiries!$J19)</f>
        <v/>
      </c>
      <c r="J12" s="109">
        <f>IF(Expiries!$B20="","",Expiries!$J20)</f>
        <v/>
      </c>
      <c r="K12" s="109">
        <f>IF(Expiries!$B21="","",Expiries!$J21)</f>
        <v/>
      </c>
      <c r="L12" s="109">
        <f>IF(Expiries!$B22="","",Expiries!$J22)</f>
        <v/>
      </c>
      <c r="M12" s="109">
        <f>IF(Expiries!$B23="","",Expiries!$J23)</f>
        <v/>
      </c>
      <c r="N12" s="109">
        <f>IF(Expiries!$B24="","",Expiries!$J24)</f>
        <v/>
      </c>
      <c r="O12" s="109">
        <f>IF(Expiries!$B25="","",Expiries!$J25)</f>
        <v/>
      </c>
      <c r="P12" s="109">
        <f>IF(Expiries!$B26="","",Expiries!$J26)</f>
        <v/>
      </c>
      <c r="Q12" s="109">
        <f>IF(Expiries!$B27="","",Expiries!$J27)</f>
        <v/>
      </c>
      <c r="R12" s="109">
        <f>IF(Expiries!$B28="","",Expiries!$J28)</f>
        <v/>
      </c>
      <c r="S12" s="109">
        <f>IF(Expiries!$B29="","",Expiries!$J29)</f>
        <v/>
      </c>
      <c r="T12" s="109">
        <f>IF(Expiries!$B30="","",Expiries!$J30)</f>
        <v/>
      </c>
      <c r="U12" s="109">
        <f>IF(Expiries!$B31="","",Expiries!$J31)</f>
        <v/>
      </c>
      <c r="W12" s="109">
        <f>IF(Expiries!$B16="","",Expiries!$J16)</f>
        <v/>
      </c>
      <c r="X12" s="109">
        <f>IF(Expiries!$B17="","",Expiries!$J17)</f>
        <v/>
      </c>
      <c r="Y12" s="109">
        <f>IF(Expiries!$B18="","",Expiries!$J18)</f>
        <v/>
      </c>
      <c r="Z12" s="109">
        <f>IF(Expiries!$B19="","",Expiries!$J19)</f>
        <v/>
      </c>
      <c r="AA12" s="109">
        <f>IF(Expiries!$B20="","",Expiries!$J20)</f>
        <v/>
      </c>
      <c r="AB12" s="109">
        <f>IF(Expiries!$B21="","",Expiries!$J21)</f>
        <v/>
      </c>
      <c r="AC12" s="109">
        <f>IF(Expiries!$B22="","",Expiries!$J22)</f>
        <v/>
      </c>
      <c r="AD12" s="109">
        <f>IF(Expiries!$B23="","",Expiries!$J23)</f>
        <v/>
      </c>
      <c r="AE12" s="109">
        <f>IF(Expiries!$B24="","",Expiries!$J24)</f>
        <v/>
      </c>
      <c r="AF12" s="109">
        <f>IF(Expiries!$B25="","",Expiries!$J25)</f>
        <v/>
      </c>
      <c r="AG12" s="109">
        <f>IF(Expiries!$B26="","",Expiries!$J26)</f>
        <v/>
      </c>
      <c r="AH12" s="109">
        <f>IF(Expiries!$B27="","",Expiries!$J27)</f>
        <v/>
      </c>
      <c r="AI12" s="109">
        <f>IF(Expiries!$B28="","",Expiries!$J28)</f>
        <v/>
      </c>
      <c r="AJ12" s="109">
        <f>IF(Expiries!$B29="","",Expiries!$J29)</f>
        <v/>
      </c>
      <c r="AK12" s="109">
        <f>IF(Expiries!$B30="","",Expiries!$J30)</f>
        <v/>
      </c>
      <c r="AL12" s="109">
        <f>IF(Expiries!$B31="","",Expiries!$J31)</f>
        <v/>
      </c>
    </row>
    <row r="13">
      <c r="B13" s="3" t="inlineStr">
        <is>
          <t>expiry</t>
        </is>
      </c>
      <c r="F13" s="110">
        <f>IF(Expiries!$B16="","",Expiries!$F16)</f>
        <v/>
      </c>
      <c r="G13" s="110">
        <f>IF(Expiries!$B17="","",Expiries!$F17)</f>
        <v/>
      </c>
      <c r="H13" s="110">
        <f>IF(Expiries!$B18="","",Expiries!$F18)</f>
        <v/>
      </c>
      <c r="I13" s="110">
        <f>IF(Expiries!$B19="","",Expiries!$F19)</f>
        <v/>
      </c>
      <c r="J13" s="110">
        <f>IF(Expiries!$B20="","",Expiries!$F20)</f>
        <v/>
      </c>
      <c r="K13" s="110">
        <f>IF(Expiries!$B21="","",Expiries!$F21)</f>
        <v/>
      </c>
      <c r="L13" s="110">
        <f>IF(Expiries!$B22="","",Expiries!$F22)</f>
        <v/>
      </c>
      <c r="M13" s="110">
        <f>IF(Expiries!$B23="","",Expiries!$F23)</f>
        <v/>
      </c>
      <c r="N13" s="110">
        <f>IF(Expiries!$B24="","",Expiries!$F24)</f>
        <v/>
      </c>
      <c r="O13" s="110">
        <f>IF(Expiries!$B25="","",Expiries!$F25)</f>
        <v/>
      </c>
      <c r="P13" s="110">
        <f>IF(Expiries!$B26="","",Expiries!$F26)</f>
        <v/>
      </c>
      <c r="Q13" s="110">
        <f>IF(Expiries!$B27="","",Expiries!$F27)</f>
        <v/>
      </c>
      <c r="R13" s="110">
        <f>IF(Expiries!$B28="","",Expiries!$F28)</f>
        <v/>
      </c>
      <c r="S13" s="110">
        <f>IF(Expiries!$B29="","",Expiries!$F29)</f>
        <v/>
      </c>
      <c r="T13" s="110">
        <f>IF(Expiries!$B30="","",Expiries!$F30)</f>
        <v/>
      </c>
      <c r="U13" s="110">
        <f>IF(Expiries!$B31="","",Expiries!$F31)</f>
        <v/>
      </c>
      <c r="W13" s="110">
        <f>IF(Expiries!$B16="","",Expiries!$F16)</f>
        <v/>
      </c>
      <c r="X13" s="110">
        <f>IF(Expiries!$B17="","",Expiries!$F17)</f>
        <v/>
      </c>
      <c r="Y13" s="110">
        <f>IF(Expiries!$B18="","",Expiries!$F18)</f>
        <v/>
      </c>
      <c r="Z13" s="110">
        <f>IF(Expiries!$B19="","",Expiries!$F19)</f>
        <v/>
      </c>
      <c r="AA13" s="110">
        <f>IF(Expiries!$B20="","",Expiries!$F20)</f>
        <v/>
      </c>
      <c r="AB13" s="110">
        <f>IF(Expiries!$B21="","",Expiries!$F21)</f>
        <v/>
      </c>
      <c r="AC13" s="110">
        <f>IF(Expiries!$B22="","",Expiries!$F22)</f>
        <v/>
      </c>
      <c r="AD13" s="110">
        <f>IF(Expiries!$B23="","",Expiries!$F23)</f>
        <v/>
      </c>
      <c r="AE13" s="110">
        <f>IF(Expiries!$B24="","",Expiries!$F24)</f>
        <v/>
      </c>
      <c r="AF13" s="110">
        <f>IF(Expiries!$B25="","",Expiries!$F25)</f>
        <v/>
      </c>
      <c r="AG13" s="110">
        <f>IF(Expiries!$B26="","",Expiries!$F26)</f>
        <v/>
      </c>
      <c r="AH13" s="110">
        <f>IF(Expiries!$B27="","",Expiries!$F27)</f>
        <v/>
      </c>
      <c r="AI13" s="110">
        <f>IF(Expiries!$B28="","",Expiries!$F28)</f>
        <v/>
      </c>
      <c r="AJ13" s="110">
        <f>IF(Expiries!$B29="","",Expiries!$F29)</f>
        <v/>
      </c>
      <c r="AK13" s="110">
        <f>IF(Expiries!$B30="","",Expiries!$F30)</f>
        <v/>
      </c>
      <c r="AL13" s="110">
        <f>IF(Expiries!$B31="","",Expiries!$F31)</f>
        <v/>
      </c>
    </row>
    <row r="14">
      <c r="B14" s="2" t="inlineStr">
        <is>
          <t>covered?</t>
        </is>
      </c>
      <c r="F14" s="85">
        <f>IF(Expiries!$B16="","",Expiries!$L16)</f>
        <v/>
      </c>
      <c r="G14" s="85">
        <f>IF(Expiries!$B17="","",Expiries!$L17)</f>
        <v/>
      </c>
      <c r="H14" s="85">
        <f>IF(Expiries!$B18="","",Expiries!$L18)</f>
        <v/>
      </c>
      <c r="I14" s="85">
        <f>IF(Expiries!$B19="","",Expiries!$L19)</f>
        <v/>
      </c>
      <c r="J14" s="85">
        <f>IF(Expiries!$B20="","",Expiries!$L20)</f>
        <v/>
      </c>
      <c r="K14" s="85">
        <f>IF(Expiries!$B21="","",Expiries!$L21)</f>
        <v/>
      </c>
      <c r="L14" s="85">
        <f>IF(Expiries!$B22="","",Expiries!$L22)</f>
        <v/>
      </c>
      <c r="M14" s="85">
        <f>IF(Expiries!$B23="","",Expiries!$L23)</f>
        <v/>
      </c>
      <c r="N14" s="85">
        <f>IF(Expiries!$B24="","",Expiries!$L24)</f>
        <v/>
      </c>
      <c r="O14" s="85">
        <f>IF(Expiries!$B25="","",Expiries!$L25)</f>
        <v/>
      </c>
      <c r="P14" s="85">
        <f>IF(Expiries!$B26="","",Expiries!$L26)</f>
        <v/>
      </c>
      <c r="Q14" s="85">
        <f>IF(Expiries!$B27="","",Expiries!$L27)</f>
        <v/>
      </c>
      <c r="R14" s="85">
        <f>IF(Expiries!$B28="","",Expiries!$L28)</f>
        <v/>
      </c>
      <c r="S14" s="85">
        <f>IF(Expiries!$B29="","",Expiries!$L29)</f>
        <v/>
      </c>
      <c r="T14" s="85">
        <f>IF(Expiries!$B30="","",Expiries!$L30)</f>
        <v/>
      </c>
      <c r="U14" s="85">
        <f>IF(Expiries!$B31="","",Expiries!$L31)</f>
        <v/>
      </c>
      <c r="W14" s="85">
        <f>IF(Expiries!$B16="","",Expiries!$L16)</f>
        <v/>
      </c>
      <c r="X14" s="85">
        <f>IF(Expiries!$B17="","",Expiries!$L17)</f>
        <v/>
      </c>
      <c r="Y14" s="85">
        <f>IF(Expiries!$B18="","",Expiries!$L18)</f>
        <v/>
      </c>
      <c r="Z14" s="85">
        <f>IF(Expiries!$B19="","",Expiries!$L19)</f>
        <v/>
      </c>
      <c r="AA14" s="85">
        <f>IF(Expiries!$B20="","",Expiries!$L20)</f>
        <v/>
      </c>
      <c r="AB14" s="85">
        <f>IF(Expiries!$B21="","",Expiries!$L21)</f>
        <v/>
      </c>
      <c r="AC14" s="85">
        <f>IF(Expiries!$B22="","",Expiries!$L22)</f>
        <v/>
      </c>
      <c r="AD14" s="85">
        <f>IF(Expiries!$B23="","",Expiries!$L23)</f>
        <v/>
      </c>
      <c r="AE14" s="85">
        <f>IF(Expiries!$B24="","",Expiries!$L24)</f>
        <v/>
      </c>
      <c r="AF14" s="85">
        <f>IF(Expiries!$B25="","",Expiries!$L25)</f>
        <v/>
      </c>
      <c r="AG14" s="85">
        <f>IF(Expiries!$B26="","",Expiries!$L26)</f>
        <v/>
      </c>
      <c r="AH14" s="85">
        <f>IF(Expiries!$B27="","",Expiries!$L27)</f>
        <v/>
      </c>
      <c r="AI14" s="85">
        <f>IF(Expiries!$B28="","",Expiries!$L28)</f>
        <v/>
      </c>
      <c r="AJ14" s="85">
        <f>IF(Expiries!$B29="","",Expiries!$L29)</f>
        <v/>
      </c>
      <c r="AK14" s="85">
        <f>IF(Expiries!$B30="","",Expiries!$L30)</f>
        <v/>
      </c>
      <c r="AL14" s="85">
        <f>IF(Expiries!$B31="","",Expiries!$L31)</f>
        <v/>
      </c>
    </row>
    <row r="15">
      <c r="B15" s="53" t="inlineStr">
        <is>
          <t>Bloomberg Ticker</t>
        </is>
      </c>
      <c r="C15" s="53" t="inlineStr">
        <is>
          <t>Index
Shares</t>
        </is>
      </c>
      <c r="D15" s="53" t="inlineStr">
        <is>
          <t>Dvd FX</t>
        </is>
      </c>
      <c r="E15" s="53" t="inlineStr">
        <is>
          <t>Frank %</t>
        </is>
      </c>
      <c r="F15" s="53">
        <f>IF(Expiries!$B16="","",Expiries!$C16)</f>
        <v/>
      </c>
      <c r="G15" s="53">
        <f>IF(Expiries!$B17="","",Expiries!$C17)</f>
        <v/>
      </c>
      <c r="H15" s="53">
        <f>IF(Expiries!$B18="","",Expiries!$C18)</f>
        <v/>
      </c>
      <c r="I15" s="53">
        <f>IF(Expiries!$B19="","",Expiries!$C19)</f>
        <v/>
      </c>
      <c r="J15" s="53">
        <f>IF(Expiries!$B20="","",Expiries!$C20)</f>
        <v/>
      </c>
      <c r="K15" s="53">
        <f>IF(Expiries!$B21="","",Expiries!$C21)</f>
        <v/>
      </c>
      <c r="L15" s="53">
        <f>IF(Expiries!$B22="","",Expiries!$C22)</f>
        <v/>
      </c>
      <c r="M15" s="53">
        <f>IF(Expiries!$B23="","",Expiries!$C23)</f>
        <v/>
      </c>
      <c r="N15" s="53">
        <f>IF(Expiries!$B24="","",Expiries!$C24)</f>
        <v/>
      </c>
      <c r="O15" s="53">
        <f>IF(Expiries!$B25="","",Expiries!$C25)</f>
        <v/>
      </c>
      <c r="P15" s="53">
        <f>IF(Expiries!$B26="","",Expiries!$C26)</f>
        <v/>
      </c>
      <c r="Q15" s="53">
        <f>IF(Expiries!$B27="","",Expiries!$C27)</f>
        <v/>
      </c>
      <c r="R15" s="53">
        <f>IF(Expiries!$B28="","",Expiries!$C28)</f>
        <v/>
      </c>
      <c r="S15" s="53">
        <f>IF(Expiries!$B29="","",Expiries!$C29)</f>
        <v/>
      </c>
      <c r="T15" s="53">
        <f>IF(Expiries!$B30="","",Expiries!$C30)</f>
        <v/>
      </c>
      <c r="U15" s="53">
        <f>IF(Expiries!$B31="","",Expiries!$C31)</f>
        <v/>
      </c>
      <c r="W15" s="68">
        <f>IF(Expiries!$B16="","",Expiries!$C16)</f>
        <v/>
      </c>
      <c r="X15" s="68">
        <f>IF(Expiries!$B17="","",Expiries!$C17)</f>
        <v/>
      </c>
      <c r="Y15" s="68">
        <f>IF(Expiries!$B18="","",Expiries!$C18)</f>
        <v/>
      </c>
      <c r="Z15" s="68">
        <f>IF(Expiries!$B19="","",Expiries!$C19)</f>
        <v/>
      </c>
      <c r="AA15" s="68">
        <f>IF(Expiries!$B20="","",Expiries!$C20)</f>
        <v/>
      </c>
      <c r="AB15" s="68">
        <f>IF(Expiries!$B21="","",Expiries!$C21)</f>
        <v/>
      </c>
      <c r="AC15" s="68">
        <f>IF(Expiries!$B22="","",Expiries!$C22)</f>
        <v/>
      </c>
      <c r="AD15" s="68">
        <f>IF(Expiries!$B23="","",Expiries!$C23)</f>
        <v/>
      </c>
      <c r="AE15" s="68">
        <f>IF(Expiries!$B24="","",Expiries!$C24)</f>
        <v/>
      </c>
      <c r="AF15" s="68">
        <f>IF(Expiries!$B25="","",Expiries!$C25)</f>
        <v/>
      </c>
      <c r="AG15" s="68">
        <f>IF(Expiries!$B26="","",Expiries!$C26)</f>
        <v/>
      </c>
      <c r="AH15" s="68">
        <f>IF(Expiries!$B27="","",Expiries!$C27)</f>
        <v/>
      </c>
      <c r="AI15" s="68">
        <f>IF(Expiries!$B28="","",Expiries!$C28)</f>
        <v/>
      </c>
      <c r="AJ15" s="68">
        <f>IF(Expiries!$B29="","",Expiries!$C29)</f>
        <v/>
      </c>
      <c r="AK15" s="68">
        <f>IF(Expiries!$B30="","",Expiries!$C30)</f>
        <v/>
      </c>
      <c r="AL15" s="68">
        <f>IF(Expiries!$B31="","",Expiries!$C31)</f>
        <v/>
      </c>
    </row>
    <row r="16">
      <c r="B16" s="5">
        <f>IF(AS51!$C$6="","",AS51!$C$6)</f>
        <v/>
      </c>
      <c r="C16" s="86">
        <f>IF(AS51!$B$6="","",AS51!$B$6)</f>
        <v/>
      </c>
      <c r="D16" s="111">
        <f>IFERROR(AS51!$Q$6,1)</f>
        <v/>
      </c>
      <c r="E16" s="112">
        <f>IF($B16="","",IF(ISNUMBER(AS51!$I$6),AS51!$I$6,'Index Summary'!$C$7))</f>
        <v/>
      </c>
      <c r="F16" s="113">
        <f>IF(F$13="","",IF($B16="","",IFERROR($C16*$D16*SUMIFS('Dvd Calendar'!$E$8:$CZ$8,'Dvd Calendar'!$E$7:$CZ$7,"&gt;"&amp;F$12,'Dvd Calendar'!$E$7:$CZ$7,"&lt;="&amp;F$13)/AS51!$B$3,"")))</f>
        <v/>
      </c>
      <c r="G16" s="113">
        <f>IF(G$13="","",IF($B16="","",IFERROR($C16*$D16*SUMIFS('Dvd Calendar'!$E$8:$CZ$8,'Dvd Calendar'!$E$7:$CZ$7,"&gt;"&amp;G$12,'Dvd Calendar'!$E$7:$CZ$7,"&lt;="&amp;G$13)/AS51!$B$3,"")))</f>
        <v/>
      </c>
      <c r="H16" s="113">
        <f>IF(H$13="","",IF($B16="","",IFERROR($C16*$D16*SUMIFS('Dvd Calendar'!$E$8:$CZ$8,'Dvd Calendar'!$E$7:$CZ$7,"&gt;"&amp;H$12,'Dvd Calendar'!$E$7:$CZ$7,"&lt;="&amp;H$13)/AS51!$B$3,"")))</f>
        <v/>
      </c>
      <c r="I16" s="113">
        <f>IF(I$13="","",IF($B16="","",IFERROR($C16*$D16*SUMIFS('Dvd Calendar'!$E$8:$CZ$8,'Dvd Calendar'!$E$7:$CZ$7,"&gt;"&amp;I$12,'Dvd Calendar'!$E$7:$CZ$7,"&lt;="&amp;I$13)/AS51!$B$3,"")))</f>
        <v/>
      </c>
      <c r="J16" s="113">
        <f>IF(J$13="","",IF($B16="","",IFERROR($C16*$D16*SUMIFS('Dvd Calendar'!$E$8:$CZ$8,'Dvd Calendar'!$E$7:$CZ$7,"&gt;"&amp;J$12,'Dvd Calendar'!$E$7:$CZ$7,"&lt;="&amp;J$13)/AS51!$B$3,"")))</f>
        <v/>
      </c>
      <c r="K16" s="113">
        <f>IF(K$13="","",IF($B16="","",IFERROR($C16*$D16*SUMIFS('Dvd Calendar'!$E$8:$CZ$8,'Dvd Calendar'!$E$7:$CZ$7,"&gt;"&amp;K$12,'Dvd Calendar'!$E$7:$CZ$7,"&lt;="&amp;K$13)/AS51!$B$3,"")))</f>
        <v/>
      </c>
      <c r="L16" s="113">
        <f>IF(L$13="","",IF($B16="","",IFERROR($C16*$D16*SUMIFS('Dvd Calendar'!$E$8:$CZ$8,'Dvd Calendar'!$E$7:$CZ$7,"&gt;"&amp;L$12,'Dvd Calendar'!$E$7:$CZ$7,"&lt;="&amp;L$13)/AS51!$B$3,"")))</f>
        <v/>
      </c>
      <c r="M16" s="113">
        <f>IF(M$13="","",IF($B16="","",IFERROR($C16*$D16*SUMIFS('Dvd Calendar'!$E$8:$CZ$8,'Dvd Calendar'!$E$7:$CZ$7,"&gt;"&amp;M$12,'Dvd Calendar'!$E$7:$CZ$7,"&lt;="&amp;M$13)/AS51!$B$3,"")))</f>
        <v/>
      </c>
      <c r="N16" s="113">
        <f>IF(N$13="","",IF($B16="","",IFERROR($C16*$D16*SUMIFS('Dvd Calendar'!$E$8:$CZ$8,'Dvd Calendar'!$E$7:$CZ$7,"&gt;"&amp;N$12,'Dvd Calendar'!$E$7:$CZ$7,"&lt;="&amp;N$13)/AS51!$B$3,"")))</f>
        <v/>
      </c>
      <c r="O16" s="113">
        <f>IF(O$13="","",IF($B16="","",IFERROR($C16*$D16*SUMIFS('Dvd Calendar'!$E$8:$CZ$8,'Dvd Calendar'!$E$7:$CZ$7,"&gt;"&amp;O$12,'Dvd Calendar'!$E$7:$CZ$7,"&lt;="&amp;O$13)/AS51!$B$3,"")))</f>
        <v/>
      </c>
      <c r="P16" s="113">
        <f>IF(P$13="","",IF($B16="","",IFERROR($C16*$D16*SUMIFS('Dvd Calendar'!$E$8:$CZ$8,'Dvd Calendar'!$E$7:$CZ$7,"&gt;"&amp;P$12,'Dvd Calendar'!$E$7:$CZ$7,"&lt;="&amp;P$13)/AS51!$B$3,"")))</f>
        <v/>
      </c>
      <c r="Q16" s="113">
        <f>IF(Q$13="","",IF($B16="","",IFERROR($C16*$D16*SUMIFS('Dvd Calendar'!$E$8:$CZ$8,'Dvd Calendar'!$E$7:$CZ$7,"&gt;"&amp;Q$12,'Dvd Calendar'!$E$7:$CZ$7,"&lt;="&amp;Q$13)/AS51!$B$3,"")))</f>
        <v/>
      </c>
      <c r="R16" s="113">
        <f>IF(R$13="","",IF($B16="","",IFERROR($C16*$D16*SUMIFS('Dvd Calendar'!$E$8:$CZ$8,'Dvd Calendar'!$E$7:$CZ$7,"&gt;"&amp;R$12,'Dvd Calendar'!$E$7:$CZ$7,"&lt;="&amp;R$13)/AS51!$B$3,"")))</f>
        <v/>
      </c>
      <c r="S16" s="113">
        <f>IF(S$13="","",IF($B16="","",IFERROR($C16*$D16*SUMIFS('Dvd Calendar'!$E$8:$CZ$8,'Dvd Calendar'!$E$7:$CZ$7,"&gt;"&amp;S$12,'Dvd Calendar'!$E$7:$CZ$7,"&lt;="&amp;S$13)/AS51!$B$3,"")))</f>
        <v/>
      </c>
      <c r="T16" s="113">
        <f>IF(T$13="","",IF($B16="","",IFERROR($C16*$D16*SUMIFS('Dvd Calendar'!$E$8:$CZ$8,'Dvd Calendar'!$E$7:$CZ$7,"&gt;"&amp;T$12,'Dvd Calendar'!$E$7:$CZ$7,"&lt;="&amp;T$13)/AS51!$B$3,"")))</f>
        <v/>
      </c>
      <c r="U16" s="113">
        <f>IF(U$13="","",IF($B16="","",IFERROR($C16*$D16*SUMIFS('Dvd Calendar'!$E$8:$CZ$8,'Dvd Calendar'!$E$7:$CZ$7,"&gt;"&amp;U$12,'Dvd Calendar'!$E$7:$CZ$7,"&lt;="&amp;U$13)/AS51!$B$3,"")))</f>
        <v/>
      </c>
      <c r="W16" s="113">
        <f>IF(W$13="","",IF($B16="","",IFERROR(F16*$E16/100,"")))</f>
        <v/>
      </c>
      <c r="X16" s="113">
        <f>IF(X$13="","",IF($B16="","",IFERROR(G16*$E16/100,"")))</f>
        <v/>
      </c>
      <c r="Y16" s="113">
        <f>IF(Y$13="","",IF($B16="","",IFERROR(H16*$E16/100,"")))</f>
        <v/>
      </c>
      <c r="Z16" s="113">
        <f>IF(Z$13="","",IF($B16="","",IFERROR(I16*$E16/100,"")))</f>
        <v/>
      </c>
      <c r="AA16" s="113">
        <f>IF(AA$13="","",IF($B16="","",IFERROR(J16*$E16/100,"")))</f>
        <v/>
      </c>
      <c r="AB16" s="113">
        <f>IF(AB$13="","",IF($B16="","",IFERROR(K16*$E16/100,"")))</f>
        <v/>
      </c>
      <c r="AC16" s="113">
        <f>IF(AC$13="","",IF($B16="","",IFERROR(L16*$E16/100,"")))</f>
        <v/>
      </c>
      <c r="AD16" s="113">
        <f>IF(AD$13="","",IF($B16="","",IFERROR(M16*$E16/100,"")))</f>
        <v/>
      </c>
      <c r="AE16" s="113">
        <f>IF(AE$13="","",IF($B16="","",IFERROR(N16*$E16/100,"")))</f>
        <v/>
      </c>
      <c r="AF16" s="113">
        <f>IF(AF$13="","",IF($B16="","",IFERROR(O16*$E16/100,"")))</f>
        <v/>
      </c>
      <c r="AG16" s="113">
        <f>IF(AG$13="","",IF($B16="","",IFERROR(P16*$E16/100,"")))</f>
        <v/>
      </c>
      <c r="AH16" s="113">
        <f>IF(AH$13="","",IF($B16="","",IFERROR(Q16*$E16/100,"")))</f>
        <v/>
      </c>
      <c r="AI16" s="113">
        <f>IF(AI$13="","",IF($B16="","",IFERROR(R16*$E16/100,"")))</f>
        <v/>
      </c>
      <c r="AJ16" s="113">
        <f>IF(AJ$13="","",IF($B16="","",IFERROR(S16*$E16/100,"")))</f>
        <v/>
      </c>
      <c r="AK16" s="113">
        <f>IF(AK$13="","",IF($B16="","",IFERROR(T16*$E16/100,"")))</f>
        <v/>
      </c>
      <c r="AL16" s="113">
        <f>IF(AL$13="","",IF($B16="","",IFERROR(U16*$E16/100,"")))</f>
        <v/>
      </c>
    </row>
    <row r="17">
      <c r="B17" s="5">
        <f>IF(AS51!$C$7="","",AS51!$C$7)</f>
        <v/>
      </c>
      <c r="C17" s="86">
        <f>IF(AS51!$B$7="","",AS51!$B$7)</f>
        <v/>
      </c>
      <c r="D17" s="111">
        <f>IFERROR(AS51!$Q$7,1)</f>
        <v/>
      </c>
      <c r="E17" s="112">
        <f>IF($B17="","",IF(ISNUMBER(AS51!$I$7),AS51!$I$7,'Index Summary'!$C$7))</f>
        <v/>
      </c>
      <c r="F17" s="113">
        <f>IF(F$13="","",IF($B17="","",IFERROR($C17*$D17*SUMIFS('Dvd Calendar'!$E$10:$CZ$10,'Dvd Calendar'!$E$9:$CZ$9,"&gt;"&amp;F$12,'Dvd Calendar'!$E$9:$CZ$9,"&lt;="&amp;F$13)/AS51!$B$3,"")))</f>
        <v/>
      </c>
      <c r="G17" s="113">
        <f>IF(G$13="","",IF($B17="","",IFERROR($C17*$D17*SUMIFS('Dvd Calendar'!$E$10:$CZ$10,'Dvd Calendar'!$E$9:$CZ$9,"&gt;"&amp;G$12,'Dvd Calendar'!$E$9:$CZ$9,"&lt;="&amp;G$13)/AS51!$B$3,"")))</f>
        <v/>
      </c>
      <c r="H17" s="113">
        <f>IF(H$13="","",IF($B17="","",IFERROR($C17*$D17*SUMIFS('Dvd Calendar'!$E$10:$CZ$10,'Dvd Calendar'!$E$9:$CZ$9,"&gt;"&amp;H$12,'Dvd Calendar'!$E$9:$CZ$9,"&lt;="&amp;H$13)/AS51!$B$3,"")))</f>
        <v/>
      </c>
      <c r="I17" s="113">
        <f>IF(I$13="","",IF($B17="","",IFERROR($C17*$D17*SUMIFS('Dvd Calendar'!$E$10:$CZ$10,'Dvd Calendar'!$E$9:$CZ$9,"&gt;"&amp;I$12,'Dvd Calendar'!$E$9:$CZ$9,"&lt;="&amp;I$13)/AS51!$B$3,"")))</f>
        <v/>
      </c>
      <c r="J17" s="113">
        <f>IF(J$13="","",IF($B17="","",IFERROR($C17*$D17*SUMIFS('Dvd Calendar'!$E$10:$CZ$10,'Dvd Calendar'!$E$9:$CZ$9,"&gt;"&amp;J$12,'Dvd Calendar'!$E$9:$CZ$9,"&lt;="&amp;J$13)/AS51!$B$3,"")))</f>
        <v/>
      </c>
      <c r="K17" s="113">
        <f>IF(K$13="","",IF($B17="","",IFERROR($C17*$D17*SUMIFS('Dvd Calendar'!$E$10:$CZ$10,'Dvd Calendar'!$E$9:$CZ$9,"&gt;"&amp;K$12,'Dvd Calendar'!$E$9:$CZ$9,"&lt;="&amp;K$13)/AS51!$B$3,"")))</f>
        <v/>
      </c>
      <c r="L17" s="113">
        <f>IF(L$13="","",IF($B17="","",IFERROR($C17*$D17*SUMIFS('Dvd Calendar'!$E$10:$CZ$10,'Dvd Calendar'!$E$9:$CZ$9,"&gt;"&amp;L$12,'Dvd Calendar'!$E$9:$CZ$9,"&lt;="&amp;L$13)/AS51!$B$3,"")))</f>
        <v/>
      </c>
      <c r="M17" s="113">
        <f>IF(M$13="","",IF($B17="","",IFERROR($C17*$D17*SUMIFS('Dvd Calendar'!$E$10:$CZ$10,'Dvd Calendar'!$E$9:$CZ$9,"&gt;"&amp;M$12,'Dvd Calendar'!$E$9:$CZ$9,"&lt;="&amp;M$13)/AS51!$B$3,"")))</f>
        <v/>
      </c>
      <c r="N17" s="113">
        <f>IF(N$13="","",IF($B17="","",IFERROR($C17*$D17*SUMIFS('Dvd Calendar'!$E$10:$CZ$10,'Dvd Calendar'!$E$9:$CZ$9,"&gt;"&amp;N$12,'Dvd Calendar'!$E$9:$CZ$9,"&lt;="&amp;N$13)/AS51!$B$3,"")))</f>
        <v/>
      </c>
      <c r="O17" s="113">
        <f>IF(O$13="","",IF($B17="","",IFERROR($C17*$D17*SUMIFS('Dvd Calendar'!$E$10:$CZ$10,'Dvd Calendar'!$E$9:$CZ$9,"&gt;"&amp;O$12,'Dvd Calendar'!$E$9:$CZ$9,"&lt;="&amp;O$13)/AS51!$B$3,"")))</f>
        <v/>
      </c>
      <c r="P17" s="113">
        <f>IF(P$13="","",IF($B17="","",IFERROR($C17*$D17*SUMIFS('Dvd Calendar'!$E$10:$CZ$10,'Dvd Calendar'!$E$9:$CZ$9,"&gt;"&amp;P$12,'Dvd Calendar'!$E$9:$CZ$9,"&lt;="&amp;P$13)/AS51!$B$3,"")))</f>
        <v/>
      </c>
      <c r="Q17" s="113">
        <f>IF(Q$13="","",IF($B17="","",IFERROR($C17*$D17*SUMIFS('Dvd Calendar'!$E$10:$CZ$10,'Dvd Calendar'!$E$9:$CZ$9,"&gt;"&amp;Q$12,'Dvd Calendar'!$E$9:$CZ$9,"&lt;="&amp;Q$13)/AS51!$B$3,"")))</f>
        <v/>
      </c>
      <c r="R17" s="113">
        <f>IF(R$13="","",IF($B17="","",IFERROR($C17*$D17*SUMIFS('Dvd Calendar'!$E$10:$CZ$10,'Dvd Calendar'!$E$9:$CZ$9,"&gt;"&amp;R$12,'Dvd Calendar'!$E$9:$CZ$9,"&lt;="&amp;R$13)/AS51!$B$3,"")))</f>
        <v/>
      </c>
      <c r="S17" s="113">
        <f>IF(S$13="","",IF($B17="","",IFERROR($C17*$D17*SUMIFS('Dvd Calendar'!$E$10:$CZ$10,'Dvd Calendar'!$E$9:$CZ$9,"&gt;"&amp;S$12,'Dvd Calendar'!$E$9:$CZ$9,"&lt;="&amp;S$13)/AS51!$B$3,"")))</f>
        <v/>
      </c>
      <c r="T17" s="113">
        <f>IF(T$13="","",IF($B17="","",IFERROR($C17*$D17*SUMIFS('Dvd Calendar'!$E$10:$CZ$10,'Dvd Calendar'!$E$9:$CZ$9,"&gt;"&amp;T$12,'Dvd Calendar'!$E$9:$CZ$9,"&lt;="&amp;T$13)/AS51!$B$3,"")))</f>
        <v/>
      </c>
      <c r="U17" s="113">
        <f>IF(U$13="","",IF($B17="","",IFERROR($C17*$D17*SUMIFS('Dvd Calendar'!$E$10:$CZ$10,'Dvd Calendar'!$E$9:$CZ$9,"&gt;"&amp;U$12,'Dvd Calendar'!$E$9:$CZ$9,"&lt;="&amp;U$13)/AS51!$B$3,"")))</f>
        <v/>
      </c>
      <c r="W17" s="113">
        <f>IF(W$13="","",IF($B17="","",IFERROR(F17*$E17/100,"")))</f>
        <v/>
      </c>
      <c r="X17" s="113">
        <f>IF(X$13="","",IF($B17="","",IFERROR(G17*$E17/100,"")))</f>
        <v/>
      </c>
      <c r="Y17" s="113">
        <f>IF(Y$13="","",IF($B17="","",IFERROR(H17*$E17/100,"")))</f>
        <v/>
      </c>
      <c r="Z17" s="113">
        <f>IF(Z$13="","",IF($B17="","",IFERROR(I17*$E17/100,"")))</f>
        <v/>
      </c>
      <c r="AA17" s="113">
        <f>IF(AA$13="","",IF($B17="","",IFERROR(J17*$E17/100,"")))</f>
        <v/>
      </c>
      <c r="AB17" s="113">
        <f>IF(AB$13="","",IF($B17="","",IFERROR(K17*$E17/100,"")))</f>
        <v/>
      </c>
      <c r="AC17" s="113">
        <f>IF(AC$13="","",IF($B17="","",IFERROR(L17*$E17/100,"")))</f>
        <v/>
      </c>
      <c r="AD17" s="113">
        <f>IF(AD$13="","",IF($B17="","",IFERROR(M17*$E17/100,"")))</f>
        <v/>
      </c>
      <c r="AE17" s="113">
        <f>IF(AE$13="","",IF($B17="","",IFERROR(N17*$E17/100,"")))</f>
        <v/>
      </c>
      <c r="AF17" s="113">
        <f>IF(AF$13="","",IF($B17="","",IFERROR(O17*$E17/100,"")))</f>
        <v/>
      </c>
      <c r="AG17" s="113">
        <f>IF(AG$13="","",IF($B17="","",IFERROR(P17*$E17/100,"")))</f>
        <v/>
      </c>
      <c r="AH17" s="113">
        <f>IF(AH$13="","",IF($B17="","",IFERROR(Q17*$E17/100,"")))</f>
        <v/>
      </c>
      <c r="AI17" s="113">
        <f>IF(AI$13="","",IF($B17="","",IFERROR(R17*$E17/100,"")))</f>
        <v/>
      </c>
      <c r="AJ17" s="113">
        <f>IF(AJ$13="","",IF($B17="","",IFERROR(S17*$E17/100,"")))</f>
        <v/>
      </c>
      <c r="AK17" s="113">
        <f>IF(AK$13="","",IF($B17="","",IFERROR(T17*$E17/100,"")))</f>
        <v/>
      </c>
      <c r="AL17" s="113">
        <f>IF(AL$13="","",IF($B17="","",IFERROR(U17*$E17/100,"")))</f>
        <v/>
      </c>
    </row>
    <row r="18">
      <c r="B18" s="5">
        <f>IF(AS51!$C$8="","",AS51!$C$8)</f>
        <v/>
      </c>
      <c r="C18" s="86">
        <f>IF(AS51!$B$8="","",AS51!$B$8)</f>
        <v/>
      </c>
      <c r="D18" s="111">
        <f>IFERROR(AS51!$Q$8,1)</f>
        <v/>
      </c>
      <c r="E18" s="112">
        <f>IF($B18="","",IF(ISNUMBER(AS51!$I$8),AS51!$I$8,'Index Summary'!$C$7))</f>
        <v/>
      </c>
      <c r="F18" s="113">
        <f>IF(F$13="","",IF($B18="","",IFERROR($C18*$D18*SUMIFS('Dvd Calendar'!$E$12:$CZ$12,'Dvd Calendar'!$E$11:$CZ$11,"&gt;"&amp;F$12,'Dvd Calendar'!$E$11:$CZ$11,"&lt;="&amp;F$13)/AS51!$B$3,"")))</f>
        <v/>
      </c>
      <c r="G18" s="113">
        <f>IF(G$13="","",IF($B18="","",IFERROR($C18*$D18*SUMIFS('Dvd Calendar'!$E$12:$CZ$12,'Dvd Calendar'!$E$11:$CZ$11,"&gt;"&amp;G$12,'Dvd Calendar'!$E$11:$CZ$11,"&lt;="&amp;G$13)/AS51!$B$3,"")))</f>
        <v/>
      </c>
      <c r="H18" s="113">
        <f>IF(H$13="","",IF($B18="","",IFERROR($C18*$D18*SUMIFS('Dvd Calendar'!$E$12:$CZ$12,'Dvd Calendar'!$E$11:$CZ$11,"&gt;"&amp;H$12,'Dvd Calendar'!$E$11:$CZ$11,"&lt;="&amp;H$13)/AS51!$B$3,"")))</f>
        <v/>
      </c>
      <c r="I18" s="113">
        <f>IF(I$13="","",IF($B18="","",IFERROR($C18*$D18*SUMIFS('Dvd Calendar'!$E$12:$CZ$12,'Dvd Calendar'!$E$11:$CZ$11,"&gt;"&amp;I$12,'Dvd Calendar'!$E$11:$CZ$11,"&lt;="&amp;I$13)/AS51!$B$3,"")))</f>
        <v/>
      </c>
      <c r="J18" s="113">
        <f>IF(J$13="","",IF($B18="","",IFERROR($C18*$D18*SUMIFS('Dvd Calendar'!$E$12:$CZ$12,'Dvd Calendar'!$E$11:$CZ$11,"&gt;"&amp;J$12,'Dvd Calendar'!$E$11:$CZ$11,"&lt;="&amp;J$13)/AS51!$B$3,"")))</f>
        <v/>
      </c>
      <c r="K18" s="113">
        <f>IF(K$13="","",IF($B18="","",IFERROR($C18*$D18*SUMIFS('Dvd Calendar'!$E$12:$CZ$12,'Dvd Calendar'!$E$11:$CZ$11,"&gt;"&amp;K$12,'Dvd Calendar'!$E$11:$CZ$11,"&lt;="&amp;K$13)/AS51!$B$3,"")))</f>
        <v/>
      </c>
      <c r="L18" s="113">
        <f>IF(L$13="","",IF($B18="","",IFERROR($C18*$D18*SUMIFS('Dvd Calendar'!$E$12:$CZ$12,'Dvd Calendar'!$E$11:$CZ$11,"&gt;"&amp;L$12,'Dvd Calendar'!$E$11:$CZ$11,"&lt;="&amp;L$13)/AS51!$B$3,"")))</f>
        <v/>
      </c>
      <c r="M18" s="113">
        <f>IF(M$13="","",IF($B18="","",IFERROR($C18*$D18*SUMIFS('Dvd Calendar'!$E$12:$CZ$12,'Dvd Calendar'!$E$11:$CZ$11,"&gt;"&amp;M$12,'Dvd Calendar'!$E$11:$CZ$11,"&lt;="&amp;M$13)/AS51!$B$3,"")))</f>
        <v/>
      </c>
      <c r="N18" s="113">
        <f>IF(N$13="","",IF($B18="","",IFERROR($C18*$D18*SUMIFS('Dvd Calendar'!$E$12:$CZ$12,'Dvd Calendar'!$E$11:$CZ$11,"&gt;"&amp;N$12,'Dvd Calendar'!$E$11:$CZ$11,"&lt;="&amp;N$13)/AS51!$B$3,"")))</f>
        <v/>
      </c>
      <c r="O18" s="113">
        <f>IF(O$13="","",IF($B18="","",IFERROR($C18*$D18*SUMIFS('Dvd Calendar'!$E$12:$CZ$12,'Dvd Calendar'!$E$11:$CZ$11,"&gt;"&amp;O$12,'Dvd Calendar'!$E$11:$CZ$11,"&lt;="&amp;O$13)/AS51!$B$3,"")))</f>
        <v/>
      </c>
      <c r="P18" s="113">
        <f>IF(P$13="","",IF($B18="","",IFERROR($C18*$D18*SUMIFS('Dvd Calendar'!$E$12:$CZ$12,'Dvd Calendar'!$E$11:$CZ$11,"&gt;"&amp;P$12,'Dvd Calendar'!$E$11:$CZ$11,"&lt;="&amp;P$13)/AS51!$B$3,"")))</f>
        <v/>
      </c>
      <c r="Q18" s="113">
        <f>IF(Q$13="","",IF($B18="","",IFERROR($C18*$D18*SUMIFS('Dvd Calendar'!$E$12:$CZ$12,'Dvd Calendar'!$E$11:$CZ$11,"&gt;"&amp;Q$12,'Dvd Calendar'!$E$11:$CZ$11,"&lt;="&amp;Q$13)/AS51!$B$3,"")))</f>
        <v/>
      </c>
      <c r="R18" s="113">
        <f>IF(R$13="","",IF($B18="","",IFERROR($C18*$D18*SUMIFS('Dvd Calendar'!$E$12:$CZ$12,'Dvd Calendar'!$E$11:$CZ$11,"&gt;"&amp;R$12,'Dvd Calendar'!$E$11:$CZ$11,"&lt;="&amp;R$13)/AS51!$B$3,"")))</f>
        <v/>
      </c>
      <c r="S18" s="113">
        <f>IF(S$13="","",IF($B18="","",IFERROR($C18*$D18*SUMIFS('Dvd Calendar'!$E$12:$CZ$12,'Dvd Calendar'!$E$11:$CZ$11,"&gt;"&amp;S$12,'Dvd Calendar'!$E$11:$CZ$11,"&lt;="&amp;S$13)/AS51!$B$3,"")))</f>
        <v/>
      </c>
      <c r="T18" s="113">
        <f>IF(T$13="","",IF($B18="","",IFERROR($C18*$D18*SUMIFS('Dvd Calendar'!$E$12:$CZ$12,'Dvd Calendar'!$E$11:$CZ$11,"&gt;"&amp;T$12,'Dvd Calendar'!$E$11:$CZ$11,"&lt;="&amp;T$13)/AS51!$B$3,"")))</f>
        <v/>
      </c>
      <c r="U18" s="113">
        <f>IF(U$13="","",IF($B18="","",IFERROR($C18*$D18*SUMIFS('Dvd Calendar'!$E$12:$CZ$12,'Dvd Calendar'!$E$11:$CZ$11,"&gt;"&amp;U$12,'Dvd Calendar'!$E$11:$CZ$11,"&lt;="&amp;U$13)/AS51!$B$3,"")))</f>
        <v/>
      </c>
      <c r="W18" s="113">
        <f>IF(W$13="","",IF($B18="","",IFERROR(F18*$E18/100,"")))</f>
        <v/>
      </c>
      <c r="X18" s="113">
        <f>IF(X$13="","",IF($B18="","",IFERROR(G18*$E18/100,"")))</f>
        <v/>
      </c>
      <c r="Y18" s="113">
        <f>IF(Y$13="","",IF($B18="","",IFERROR(H18*$E18/100,"")))</f>
        <v/>
      </c>
      <c r="Z18" s="113">
        <f>IF(Z$13="","",IF($B18="","",IFERROR(I18*$E18/100,"")))</f>
        <v/>
      </c>
      <c r="AA18" s="113">
        <f>IF(AA$13="","",IF($B18="","",IFERROR(J18*$E18/100,"")))</f>
        <v/>
      </c>
      <c r="AB18" s="113">
        <f>IF(AB$13="","",IF($B18="","",IFERROR(K18*$E18/100,"")))</f>
        <v/>
      </c>
      <c r="AC18" s="113">
        <f>IF(AC$13="","",IF($B18="","",IFERROR(L18*$E18/100,"")))</f>
        <v/>
      </c>
      <c r="AD18" s="113">
        <f>IF(AD$13="","",IF($B18="","",IFERROR(M18*$E18/100,"")))</f>
        <v/>
      </c>
      <c r="AE18" s="113">
        <f>IF(AE$13="","",IF($B18="","",IFERROR(N18*$E18/100,"")))</f>
        <v/>
      </c>
      <c r="AF18" s="113">
        <f>IF(AF$13="","",IF($B18="","",IFERROR(O18*$E18/100,"")))</f>
        <v/>
      </c>
      <c r="AG18" s="113">
        <f>IF(AG$13="","",IF($B18="","",IFERROR(P18*$E18/100,"")))</f>
        <v/>
      </c>
      <c r="AH18" s="113">
        <f>IF(AH$13="","",IF($B18="","",IFERROR(Q18*$E18/100,"")))</f>
        <v/>
      </c>
      <c r="AI18" s="113">
        <f>IF(AI$13="","",IF($B18="","",IFERROR(R18*$E18/100,"")))</f>
        <v/>
      </c>
      <c r="AJ18" s="113">
        <f>IF(AJ$13="","",IF($B18="","",IFERROR(S18*$E18/100,"")))</f>
        <v/>
      </c>
      <c r="AK18" s="113">
        <f>IF(AK$13="","",IF($B18="","",IFERROR(T18*$E18/100,"")))</f>
        <v/>
      </c>
      <c r="AL18" s="113">
        <f>IF(AL$13="","",IF($B18="","",IFERROR(U18*$E18/100,"")))</f>
        <v/>
      </c>
    </row>
    <row r="19">
      <c r="B19" s="5">
        <f>IF(AS51!$C$9="","",AS51!$C$9)</f>
        <v/>
      </c>
      <c r="C19" s="86">
        <f>IF(AS51!$B$9="","",AS51!$B$9)</f>
        <v/>
      </c>
      <c r="D19" s="111">
        <f>IFERROR(AS51!$Q$9,1)</f>
        <v/>
      </c>
      <c r="E19" s="112">
        <f>IF($B19="","",IF(ISNUMBER(AS51!$I$9),AS51!$I$9,'Index Summary'!$C$7))</f>
        <v/>
      </c>
      <c r="F19" s="113">
        <f>IF(F$13="","",IF($B19="","",IFERROR($C19*$D19*SUMIFS('Dvd Calendar'!$E$14:$CZ$14,'Dvd Calendar'!$E$13:$CZ$13,"&gt;"&amp;F$12,'Dvd Calendar'!$E$13:$CZ$13,"&lt;="&amp;F$13)/AS51!$B$3,"")))</f>
        <v/>
      </c>
      <c r="G19" s="113">
        <f>IF(G$13="","",IF($B19="","",IFERROR($C19*$D19*SUMIFS('Dvd Calendar'!$E$14:$CZ$14,'Dvd Calendar'!$E$13:$CZ$13,"&gt;"&amp;G$12,'Dvd Calendar'!$E$13:$CZ$13,"&lt;="&amp;G$13)/AS51!$B$3,"")))</f>
        <v/>
      </c>
      <c r="H19" s="113">
        <f>IF(H$13="","",IF($B19="","",IFERROR($C19*$D19*SUMIFS('Dvd Calendar'!$E$14:$CZ$14,'Dvd Calendar'!$E$13:$CZ$13,"&gt;"&amp;H$12,'Dvd Calendar'!$E$13:$CZ$13,"&lt;="&amp;H$13)/AS51!$B$3,"")))</f>
        <v/>
      </c>
      <c r="I19" s="113">
        <f>IF(I$13="","",IF($B19="","",IFERROR($C19*$D19*SUMIFS('Dvd Calendar'!$E$14:$CZ$14,'Dvd Calendar'!$E$13:$CZ$13,"&gt;"&amp;I$12,'Dvd Calendar'!$E$13:$CZ$13,"&lt;="&amp;I$13)/AS51!$B$3,"")))</f>
        <v/>
      </c>
      <c r="J19" s="113">
        <f>IF(J$13="","",IF($B19="","",IFERROR($C19*$D19*SUMIFS('Dvd Calendar'!$E$14:$CZ$14,'Dvd Calendar'!$E$13:$CZ$13,"&gt;"&amp;J$12,'Dvd Calendar'!$E$13:$CZ$13,"&lt;="&amp;J$13)/AS51!$B$3,"")))</f>
        <v/>
      </c>
      <c r="K19" s="113">
        <f>IF(K$13="","",IF($B19="","",IFERROR($C19*$D19*SUMIFS('Dvd Calendar'!$E$14:$CZ$14,'Dvd Calendar'!$E$13:$CZ$13,"&gt;"&amp;K$12,'Dvd Calendar'!$E$13:$CZ$13,"&lt;="&amp;K$13)/AS51!$B$3,"")))</f>
        <v/>
      </c>
      <c r="L19" s="113">
        <f>IF(L$13="","",IF($B19="","",IFERROR($C19*$D19*SUMIFS('Dvd Calendar'!$E$14:$CZ$14,'Dvd Calendar'!$E$13:$CZ$13,"&gt;"&amp;L$12,'Dvd Calendar'!$E$13:$CZ$13,"&lt;="&amp;L$13)/AS51!$B$3,"")))</f>
        <v/>
      </c>
      <c r="M19" s="113">
        <f>IF(M$13="","",IF($B19="","",IFERROR($C19*$D19*SUMIFS('Dvd Calendar'!$E$14:$CZ$14,'Dvd Calendar'!$E$13:$CZ$13,"&gt;"&amp;M$12,'Dvd Calendar'!$E$13:$CZ$13,"&lt;="&amp;M$13)/AS51!$B$3,"")))</f>
        <v/>
      </c>
      <c r="N19" s="113">
        <f>IF(N$13="","",IF($B19="","",IFERROR($C19*$D19*SUMIFS('Dvd Calendar'!$E$14:$CZ$14,'Dvd Calendar'!$E$13:$CZ$13,"&gt;"&amp;N$12,'Dvd Calendar'!$E$13:$CZ$13,"&lt;="&amp;N$13)/AS51!$B$3,"")))</f>
        <v/>
      </c>
      <c r="O19" s="113">
        <f>IF(O$13="","",IF($B19="","",IFERROR($C19*$D19*SUMIFS('Dvd Calendar'!$E$14:$CZ$14,'Dvd Calendar'!$E$13:$CZ$13,"&gt;"&amp;O$12,'Dvd Calendar'!$E$13:$CZ$13,"&lt;="&amp;O$13)/AS51!$B$3,"")))</f>
        <v/>
      </c>
      <c r="P19" s="113">
        <f>IF(P$13="","",IF($B19="","",IFERROR($C19*$D19*SUMIFS('Dvd Calendar'!$E$14:$CZ$14,'Dvd Calendar'!$E$13:$CZ$13,"&gt;"&amp;P$12,'Dvd Calendar'!$E$13:$CZ$13,"&lt;="&amp;P$13)/AS51!$B$3,"")))</f>
        <v/>
      </c>
      <c r="Q19" s="113">
        <f>IF(Q$13="","",IF($B19="","",IFERROR($C19*$D19*SUMIFS('Dvd Calendar'!$E$14:$CZ$14,'Dvd Calendar'!$E$13:$CZ$13,"&gt;"&amp;Q$12,'Dvd Calendar'!$E$13:$CZ$13,"&lt;="&amp;Q$13)/AS51!$B$3,"")))</f>
        <v/>
      </c>
      <c r="R19" s="113">
        <f>IF(R$13="","",IF($B19="","",IFERROR($C19*$D19*SUMIFS('Dvd Calendar'!$E$14:$CZ$14,'Dvd Calendar'!$E$13:$CZ$13,"&gt;"&amp;R$12,'Dvd Calendar'!$E$13:$CZ$13,"&lt;="&amp;R$13)/AS51!$B$3,"")))</f>
        <v/>
      </c>
      <c r="S19" s="113">
        <f>IF(S$13="","",IF($B19="","",IFERROR($C19*$D19*SUMIFS('Dvd Calendar'!$E$14:$CZ$14,'Dvd Calendar'!$E$13:$CZ$13,"&gt;"&amp;S$12,'Dvd Calendar'!$E$13:$CZ$13,"&lt;="&amp;S$13)/AS51!$B$3,"")))</f>
        <v/>
      </c>
      <c r="T19" s="113">
        <f>IF(T$13="","",IF($B19="","",IFERROR($C19*$D19*SUMIFS('Dvd Calendar'!$E$14:$CZ$14,'Dvd Calendar'!$E$13:$CZ$13,"&gt;"&amp;T$12,'Dvd Calendar'!$E$13:$CZ$13,"&lt;="&amp;T$13)/AS51!$B$3,"")))</f>
        <v/>
      </c>
      <c r="U19" s="113">
        <f>IF(U$13="","",IF($B19="","",IFERROR($C19*$D19*SUMIFS('Dvd Calendar'!$E$14:$CZ$14,'Dvd Calendar'!$E$13:$CZ$13,"&gt;"&amp;U$12,'Dvd Calendar'!$E$13:$CZ$13,"&lt;="&amp;U$13)/AS51!$B$3,"")))</f>
        <v/>
      </c>
      <c r="W19" s="113">
        <f>IF(W$13="","",IF($B19="","",IFERROR(F19*$E19/100,"")))</f>
        <v/>
      </c>
      <c r="X19" s="113">
        <f>IF(X$13="","",IF($B19="","",IFERROR(G19*$E19/100,"")))</f>
        <v/>
      </c>
      <c r="Y19" s="113">
        <f>IF(Y$13="","",IF($B19="","",IFERROR(H19*$E19/100,"")))</f>
        <v/>
      </c>
      <c r="Z19" s="113">
        <f>IF(Z$13="","",IF($B19="","",IFERROR(I19*$E19/100,"")))</f>
        <v/>
      </c>
      <c r="AA19" s="113">
        <f>IF(AA$13="","",IF($B19="","",IFERROR(J19*$E19/100,"")))</f>
        <v/>
      </c>
      <c r="AB19" s="113">
        <f>IF(AB$13="","",IF($B19="","",IFERROR(K19*$E19/100,"")))</f>
        <v/>
      </c>
      <c r="AC19" s="113">
        <f>IF(AC$13="","",IF($B19="","",IFERROR(L19*$E19/100,"")))</f>
        <v/>
      </c>
      <c r="AD19" s="113">
        <f>IF(AD$13="","",IF($B19="","",IFERROR(M19*$E19/100,"")))</f>
        <v/>
      </c>
      <c r="AE19" s="113">
        <f>IF(AE$13="","",IF($B19="","",IFERROR(N19*$E19/100,"")))</f>
        <v/>
      </c>
      <c r="AF19" s="113">
        <f>IF(AF$13="","",IF($B19="","",IFERROR(O19*$E19/100,"")))</f>
        <v/>
      </c>
      <c r="AG19" s="113">
        <f>IF(AG$13="","",IF($B19="","",IFERROR(P19*$E19/100,"")))</f>
        <v/>
      </c>
      <c r="AH19" s="113">
        <f>IF(AH$13="","",IF($B19="","",IFERROR(Q19*$E19/100,"")))</f>
        <v/>
      </c>
      <c r="AI19" s="113">
        <f>IF(AI$13="","",IF($B19="","",IFERROR(R19*$E19/100,"")))</f>
        <v/>
      </c>
      <c r="AJ19" s="113">
        <f>IF(AJ$13="","",IF($B19="","",IFERROR(S19*$E19/100,"")))</f>
        <v/>
      </c>
      <c r="AK19" s="113">
        <f>IF(AK$13="","",IF($B19="","",IFERROR(T19*$E19/100,"")))</f>
        <v/>
      </c>
      <c r="AL19" s="113">
        <f>IF(AL$13="","",IF($B19="","",IFERROR(U19*$E19/100,"")))</f>
        <v/>
      </c>
    </row>
    <row r="20">
      <c r="B20" s="5">
        <f>IF(AS51!$C$10="","",AS51!$C$10)</f>
        <v/>
      </c>
      <c r="C20" s="86">
        <f>IF(AS51!$B$10="","",AS51!$B$10)</f>
        <v/>
      </c>
      <c r="D20" s="111">
        <f>IFERROR(AS51!$Q$10,1)</f>
        <v/>
      </c>
      <c r="E20" s="112">
        <f>IF($B20="","",IF(ISNUMBER(AS51!$I$10),AS51!$I$10,'Index Summary'!$C$7))</f>
        <v/>
      </c>
      <c r="F20" s="113">
        <f>IF(F$13="","",IF($B20="","",IFERROR($C20*$D20*SUMIFS('Dvd Calendar'!$E$16:$CZ$16,'Dvd Calendar'!$E$15:$CZ$15,"&gt;"&amp;F$12,'Dvd Calendar'!$E$15:$CZ$15,"&lt;="&amp;F$13)/AS51!$B$3,"")))</f>
        <v/>
      </c>
      <c r="G20" s="113">
        <f>IF(G$13="","",IF($B20="","",IFERROR($C20*$D20*SUMIFS('Dvd Calendar'!$E$16:$CZ$16,'Dvd Calendar'!$E$15:$CZ$15,"&gt;"&amp;G$12,'Dvd Calendar'!$E$15:$CZ$15,"&lt;="&amp;G$13)/AS51!$B$3,"")))</f>
        <v/>
      </c>
      <c r="H20" s="113">
        <f>IF(H$13="","",IF($B20="","",IFERROR($C20*$D20*SUMIFS('Dvd Calendar'!$E$16:$CZ$16,'Dvd Calendar'!$E$15:$CZ$15,"&gt;"&amp;H$12,'Dvd Calendar'!$E$15:$CZ$15,"&lt;="&amp;H$13)/AS51!$B$3,"")))</f>
        <v/>
      </c>
      <c r="I20" s="113">
        <f>IF(I$13="","",IF($B20="","",IFERROR($C20*$D20*SUMIFS('Dvd Calendar'!$E$16:$CZ$16,'Dvd Calendar'!$E$15:$CZ$15,"&gt;"&amp;I$12,'Dvd Calendar'!$E$15:$CZ$15,"&lt;="&amp;I$13)/AS51!$B$3,"")))</f>
        <v/>
      </c>
      <c r="J20" s="113">
        <f>IF(J$13="","",IF($B20="","",IFERROR($C20*$D20*SUMIFS('Dvd Calendar'!$E$16:$CZ$16,'Dvd Calendar'!$E$15:$CZ$15,"&gt;"&amp;J$12,'Dvd Calendar'!$E$15:$CZ$15,"&lt;="&amp;J$13)/AS51!$B$3,"")))</f>
        <v/>
      </c>
      <c r="K20" s="113">
        <f>IF(K$13="","",IF($B20="","",IFERROR($C20*$D20*SUMIFS('Dvd Calendar'!$E$16:$CZ$16,'Dvd Calendar'!$E$15:$CZ$15,"&gt;"&amp;K$12,'Dvd Calendar'!$E$15:$CZ$15,"&lt;="&amp;K$13)/AS51!$B$3,"")))</f>
        <v/>
      </c>
      <c r="L20" s="113">
        <f>IF(L$13="","",IF($B20="","",IFERROR($C20*$D20*SUMIFS('Dvd Calendar'!$E$16:$CZ$16,'Dvd Calendar'!$E$15:$CZ$15,"&gt;"&amp;L$12,'Dvd Calendar'!$E$15:$CZ$15,"&lt;="&amp;L$13)/AS51!$B$3,"")))</f>
        <v/>
      </c>
      <c r="M20" s="113">
        <f>IF(M$13="","",IF($B20="","",IFERROR($C20*$D20*SUMIFS('Dvd Calendar'!$E$16:$CZ$16,'Dvd Calendar'!$E$15:$CZ$15,"&gt;"&amp;M$12,'Dvd Calendar'!$E$15:$CZ$15,"&lt;="&amp;M$13)/AS51!$B$3,"")))</f>
        <v/>
      </c>
      <c r="N20" s="113">
        <f>IF(N$13="","",IF($B20="","",IFERROR($C20*$D20*SUMIFS('Dvd Calendar'!$E$16:$CZ$16,'Dvd Calendar'!$E$15:$CZ$15,"&gt;"&amp;N$12,'Dvd Calendar'!$E$15:$CZ$15,"&lt;="&amp;N$13)/AS51!$B$3,"")))</f>
        <v/>
      </c>
      <c r="O20" s="113">
        <f>IF(O$13="","",IF($B20="","",IFERROR($C20*$D20*SUMIFS('Dvd Calendar'!$E$16:$CZ$16,'Dvd Calendar'!$E$15:$CZ$15,"&gt;"&amp;O$12,'Dvd Calendar'!$E$15:$CZ$15,"&lt;="&amp;O$13)/AS51!$B$3,"")))</f>
        <v/>
      </c>
      <c r="P20" s="113">
        <f>IF(P$13="","",IF($B20="","",IFERROR($C20*$D20*SUMIFS('Dvd Calendar'!$E$16:$CZ$16,'Dvd Calendar'!$E$15:$CZ$15,"&gt;"&amp;P$12,'Dvd Calendar'!$E$15:$CZ$15,"&lt;="&amp;P$13)/AS51!$B$3,"")))</f>
        <v/>
      </c>
      <c r="Q20" s="113">
        <f>IF(Q$13="","",IF($B20="","",IFERROR($C20*$D20*SUMIFS('Dvd Calendar'!$E$16:$CZ$16,'Dvd Calendar'!$E$15:$CZ$15,"&gt;"&amp;Q$12,'Dvd Calendar'!$E$15:$CZ$15,"&lt;="&amp;Q$13)/AS51!$B$3,"")))</f>
        <v/>
      </c>
      <c r="R20" s="113">
        <f>IF(R$13="","",IF($B20="","",IFERROR($C20*$D20*SUMIFS('Dvd Calendar'!$E$16:$CZ$16,'Dvd Calendar'!$E$15:$CZ$15,"&gt;"&amp;R$12,'Dvd Calendar'!$E$15:$CZ$15,"&lt;="&amp;R$13)/AS51!$B$3,"")))</f>
        <v/>
      </c>
      <c r="S20" s="113">
        <f>IF(S$13="","",IF($B20="","",IFERROR($C20*$D20*SUMIFS('Dvd Calendar'!$E$16:$CZ$16,'Dvd Calendar'!$E$15:$CZ$15,"&gt;"&amp;S$12,'Dvd Calendar'!$E$15:$CZ$15,"&lt;="&amp;S$13)/AS51!$B$3,"")))</f>
        <v/>
      </c>
      <c r="T20" s="113">
        <f>IF(T$13="","",IF($B20="","",IFERROR($C20*$D20*SUMIFS('Dvd Calendar'!$E$16:$CZ$16,'Dvd Calendar'!$E$15:$CZ$15,"&gt;"&amp;T$12,'Dvd Calendar'!$E$15:$CZ$15,"&lt;="&amp;T$13)/AS51!$B$3,"")))</f>
        <v/>
      </c>
      <c r="U20" s="113">
        <f>IF(U$13="","",IF($B20="","",IFERROR($C20*$D20*SUMIFS('Dvd Calendar'!$E$16:$CZ$16,'Dvd Calendar'!$E$15:$CZ$15,"&gt;"&amp;U$12,'Dvd Calendar'!$E$15:$CZ$15,"&lt;="&amp;U$13)/AS51!$B$3,"")))</f>
        <v/>
      </c>
      <c r="W20" s="113">
        <f>IF(W$13="","",IF($B20="","",IFERROR(F20*$E20/100,"")))</f>
        <v/>
      </c>
      <c r="X20" s="113">
        <f>IF(X$13="","",IF($B20="","",IFERROR(G20*$E20/100,"")))</f>
        <v/>
      </c>
      <c r="Y20" s="113">
        <f>IF(Y$13="","",IF($B20="","",IFERROR(H20*$E20/100,"")))</f>
        <v/>
      </c>
      <c r="Z20" s="113">
        <f>IF(Z$13="","",IF($B20="","",IFERROR(I20*$E20/100,"")))</f>
        <v/>
      </c>
      <c r="AA20" s="113">
        <f>IF(AA$13="","",IF($B20="","",IFERROR(J20*$E20/100,"")))</f>
        <v/>
      </c>
      <c r="AB20" s="113">
        <f>IF(AB$13="","",IF($B20="","",IFERROR(K20*$E20/100,"")))</f>
        <v/>
      </c>
      <c r="AC20" s="113">
        <f>IF(AC$13="","",IF($B20="","",IFERROR(L20*$E20/100,"")))</f>
        <v/>
      </c>
      <c r="AD20" s="113">
        <f>IF(AD$13="","",IF($B20="","",IFERROR(M20*$E20/100,"")))</f>
        <v/>
      </c>
      <c r="AE20" s="113">
        <f>IF(AE$13="","",IF($B20="","",IFERROR(N20*$E20/100,"")))</f>
        <v/>
      </c>
      <c r="AF20" s="113">
        <f>IF(AF$13="","",IF($B20="","",IFERROR(O20*$E20/100,"")))</f>
        <v/>
      </c>
      <c r="AG20" s="113">
        <f>IF(AG$13="","",IF($B20="","",IFERROR(P20*$E20/100,"")))</f>
        <v/>
      </c>
      <c r="AH20" s="113">
        <f>IF(AH$13="","",IF($B20="","",IFERROR(Q20*$E20/100,"")))</f>
        <v/>
      </c>
      <c r="AI20" s="113">
        <f>IF(AI$13="","",IF($B20="","",IFERROR(R20*$E20/100,"")))</f>
        <v/>
      </c>
      <c r="AJ20" s="113">
        <f>IF(AJ$13="","",IF($B20="","",IFERROR(S20*$E20/100,"")))</f>
        <v/>
      </c>
      <c r="AK20" s="113">
        <f>IF(AK$13="","",IF($B20="","",IFERROR(T20*$E20/100,"")))</f>
        <v/>
      </c>
      <c r="AL20" s="113">
        <f>IF(AL$13="","",IF($B20="","",IFERROR(U20*$E20/100,"")))</f>
        <v/>
      </c>
    </row>
    <row r="21">
      <c r="B21" s="5">
        <f>IF(AS51!$C$11="","",AS51!$C$11)</f>
        <v/>
      </c>
      <c r="C21" s="86">
        <f>IF(AS51!$B$11="","",AS51!$B$11)</f>
        <v/>
      </c>
      <c r="D21" s="111">
        <f>IFERROR(AS51!$Q$11,1)</f>
        <v/>
      </c>
      <c r="E21" s="112">
        <f>IF($B21="","",IF(ISNUMBER(AS51!$I$11),AS51!$I$11,'Index Summary'!$C$7))</f>
        <v/>
      </c>
      <c r="F21" s="113">
        <f>IF(F$13="","",IF($B21="","",IFERROR($C21*$D21*SUMIFS('Dvd Calendar'!$E$18:$CZ$18,'Dvd Calendar'!$E$17:$CZ$17,"&gt;"&amp;F$12,'Dvd Calendar'!$E$17:$CZ$17,"&lt;="&amp;F$13)/AS51!$B$3,"")))</f>
        <v/>
      </c>
      <c r="G21" s="113">
        <f>IF(G$13="","",IF($B21="","",IFERROR($C21*$D21*SUMIFS('Dvd Calendar'!$E$18:$CZ$18,'Dvd Calendar'!$E$17:$CZ$17,"&gt;"&amp;G$12,'Dvd Calendar'!$E$17:$CZ$17,"&lt;="&amp;G$13)/AS51!$B$3,"")))</f>
        <v/>
      </c>
      <c r="H21" s="113">
        <f>IF(H$13="","",IF($B21="","",IFERROR($C21*$D21*SUMIFS('Dvd Calendar'!$E$18:$CZ$18,'Dvd Calendar'!$E$17:$CZ$17,"&gt;"&amp;H$12,'Dvd Calendar'!$E$17:$CZ$17,"&lt;="&amp;H$13)/AS51!$B$3,"")))</f>
        <v/>
      </c>
      <c r="I21" s="113">
        <f>IF(I$13="","",IF($B21="","",IFERROR($C21*$D21*SUMIFS('Dvd Calendar'!$E$18:$CZ$18,'Dvd Calendar'!$E$17:$CZ$17,"&gt;"&amp;I$12,'Dvd Calendar'!$E$17:$CZ$17,"&lt;="&amp;I$13)/AS51!$B$3,"")))</f>
        <v/>
      </c>
      <c r="J21" s="113">
        <f>IF(J$13="","",IF($B21="","",IFERROR($C21*$D21*SUMIFS('Dvd Calendar'!$E$18:$CZ$18,'Dvd Calendar'!$E$17:$CZ$17,"&gt;"&amp;J$12,'Dvd Calendar'!$E$17:$CZ$17,"&lt;="&amp;J$13)/AS51!$B$3,"")))</f>
        <v/>
      </c>
      <c r="K21" s="113">
        <f>IF(K$13="","",IF($B21="","",IFERROR($C21*$D21*SUMIFS('Dvd Calendar'!$E$18:$CZ$18,'Dvd Calendar'!$E$17:$CZ$17,"&gt;"&amp;K$12,'Dvd Calendar'!$E$17:$CZ$17,"&lt;="&amp;K$13)/AS51!$B$3,"")))</f>
        <v/>
      </c>
      <c r="L21" s="113">
        <f>IF(L$13="","",IF($B21="","",IFERROR($C21*$D21*SUMIFS('Dvd Calendar'!$E$18:$CZ$18,'Dvd Calendar'!$E$17:$CZ$17,"&gt;"&amp;L$12,'Dvd Calendar'!$E$17:$CZ$17,"&lt;="&amp;L$13)/AS51!$B$3,"")))</f>
        <v/>
      </c>
      <c r="M21" s="113">
        <f>IF(M$13="","",IF($B21="","",IFERROR($C21*$D21*SUMIFS('Dvd Calendar'!$E$18:$CZ$18,'Dvd Calendar'!$E$17:$CZ$17,"&gt;"&amp;M$12,'Dvd Calendar'!$E$17:$CZ$17,"&lt;="&amp;M$13)/AS51!$B$3,"")))</f>
        <v/>
      </c>
      <c r="N21" s="113">
        <f>IF(N$13="","",IF($B21="","",IFERROR($C21*$D21*SUMIFS('Dvd Calendar'!$E$18:$CZ$18,'Dvd Calendar'!$E$17:$CZ$17,"&gt;"&amp;N$12,'Dvd Calendar'!$E$17:$CZ$17,"&lt;="&amp;N$13)/AS51!$B$3,"")))</f>
        <v/>
      </c>
      <c r="O21" s="113">
        <f>IF(O$13="","",IF($B21="","",IFERROR($C21*$D21*SUMIFS('Dvd Calendar'!$E$18:$CZ$18,'Dvd Calendar'!$E$17:$CZ$17,"&gt;"&amp;O$12,'Dvd Calendar'!$E$17:$CZ$17,"&lt;="&amp;O$13)/AS51!$B$3,"")))</f>
        <v/>
      </c>
      <c r="P21" s="113">
        <f>IF(P$13="","",IF($B21="","",IFERROR($C21*$D21*SUMIFS('Dvd Calendar'!$E$18:$CZ$18,'Dvd Calendar'!$E$17:$CZ$17,"&gt;"&amp;P$12,'Dvd Calendar'!$E$17:$CZ$17,"&lt;="&amp;P$13)/AS51!$B$3,"")))</f>
        <v/>
      </c>
      <c r="Q21" s="113">
        <f>IF(Q$13="","",IF($B21="","",IFERROR($C21*$D21*SUMIFS('Dvd Calendar'!$E$18:$CZ$18,'Dvd Calendar'!$E$17:$CZ$17,"&gt;"&amp;Q$12,'Dvd Calendar'!$E$17:$CZ$17,"&lt;="&amp;Q$13)/AS51!$B$3,"")))</f>
        <v/>
      </c>
      <c r="R21" s="113">
        <f>IF(R$13="","",IF($B21="","",IFERROR($C21*$D21*SUMIFS('Dvd Calendar'!$E$18:$CZ$18,'Dvd Calendar'!$E$17:$CZ$17,"&gt;"&amp;R$12,'Dvd Calendar'!$E$17:$CZ$17,"&lt;="&amp;R$13)/AS51!$B$3,"")))</f>
        <v/>
      </c>
      <c r="S21" s="113">
        <f>IF(S$13="","",IF($B21="","",IFERROR($C21*$D21*SUMIFS('Dvd Calendar'!$E$18:$CZ$18,'Dvd Calendar'!$E$17:$CZ$17,"&gt;"&amp;S$12,'Dvd Calendar'!$E$17:$CZ$17,"&lt;="&amp;S$13)/AS51!$B$3,"")))</f>
        <v/>
      </c>
      <c r="T21" s="113">
        <f>IF(T$13="","",IF($B21="","",IFERROR($C21*$D21*SUMIFS('Dvd Calendar'!$E$18:$CZ$18,'Dvd Calendar'!$E$17:$CZ$17,"&gt;"&amp;T$12,'Dvd Calendar'!$E$17:$CZ$17,"&lt;="&amp;T$13)/AS51!$B$3,"")))</f>
        <v/>
      </c>
      <c r="U21" s="113">
        <f>IF(U$13="","",IF($B21="","",IFERROR($C21*$D21*SUMIFS('Dvd Calendar'!$E$18:$CZ$18,'Dvd Calendar'!$E$17:$CZ$17,"&gt;"&amp;U$12,'Dvd Calendar'!$E$17:$CZ$17,"&lt;="&amp;U$13)/AS51!$B$3,"")))</f>
        <v/>
      </c>
      <c r="W21" s="113">
        <f>IF(W$13="","",IF($B21="","",IFERROR(F21*$E21/100,"")))</f>
        <v/>
      </c>
      <c r="X21" s="113">
        <f>IF(X$13="","",IF($B21="","",IFERROR(G21*$E21/100,"")))</f>
        <v/>
      </c>
      <c r="Y21" s="113">
        <f>IF(Y$13="","",IF($B21="","",IFERROR(H21*$E21/100,"")))</f>
        <v/>
      </c>
      <c r="Z21" s="113">
        <f>IF(Z$13="","",IF($B21="","",IFERROR(I21*$E21/100,"")))</f>
        <v/>
      </c>
      <c r="AA21" s="113">
        <f>IF(AA$13="","",IF($B21="","",IFERROR(J21*$E21/100,"")))</f>
        <v/>
      </c>
      <c r="AB21" s="113">
        <f>IF(AB$13="","",IF($B21="","",IFERROR(K21*$E21/100,"")))</f>
        <v/>
      </c>
      <c r="AC21" s="113">
        <f>IF(AC$13="","",IF($B21="","",IFERROR(L21*$E21/100,"")))</f>
        <v/>
      </c>
      <c r="AD21" s="113">
        <f>IF(AD$13="","",IF($B21="","",IFERROR(M21*$E21/100,"")))</f>
        <v/>
      </c>
      <c r="AE21" s="113">
        <f>IF(AE$13="","",IF($B21="","",IFERROR(N21*$E21/100,"")))</f>
        <v/>
      </c>
      <c r="AF21" s="113">
        <f>IF(AF$13="","",IF($B21="","",IFERROR(O21*$E21/100,"")))</f>
        <v/>
      </c>
      <c r="AG21" s="113">
        <f>IF(AG$13="","",IF($B21="","",IFERROR(P21*$E21/100,"")))</f>
        <v/>
      </c>
      <c r="AH21" s="113">
        <f>IF(AH$13="","",IF($B21="","",IFERROR(Q21*$E21/100,"")))</f>
        <v/>
      </c>
      <c r="AI21" s="113">
        <f>IF(AI$13="","",IF($B21="","",IFERROR(R21*$E21/100,"")))</f>
        <v/>
      </c>
      <c r="AJ21" s="113">
        <f>IF(AJ$13="","",IF($B21="","",IFERROR(S21*$E21/100,"")))</f>
        <v/>
      </c>
      <c r="AK21" s="113">
        <f>IF(AK$13="","",IF($B21="","",IFERROR(T21*$E21/100,"")))</f>
        <v/>
      </c>
      <c r="AL21" s="113">
        <f>IF(AL$13="","",IF($B21="","",IFERROR(U21*$E21/100,"")))</f>
        <v/>
      </c>
    </row>
    <row r="22">
      <c r="B22" s="5">
        <f>IF(AS51!$C$12="","",AS51!$C$12)</f>
        <v/>
      </c>
      <c r="C22" s="86">
        <f>IF(AS51!$B$12="","",AS51!$B$12)</f>
        <v/>
      </c>
      <c r="D22" s="111">
        <f>IFERROR(AS51!$Q$12,1)</f>
        <v/>
      </c>
      <c r="E22" s="112">
        <f>IF($B22="","",IF(ISNUMBER(AS51!$I$12),AS51!$I$12,'Index Summary'!$C$7))</f>
        <v/>
      </c>
      <c r="F22" s="113">
        <f>IF(F$13="","",IF($B22="","",IFERROR($C22*$D22*SUMIFS('Dvd Calendar'!$E$20:$CZ$20,'Dvd Calendar'!$E$19:$CZ$19,"&gt;"&amp;F$12,'Dvd Calendar'!$E$19:$CZ$19,"&lt;="&amp;F$13)/AS51!$B$3,"")))</f>
        <v/>
      </c>
      <c r="G22" s="113">
        <f>IF(G$13="","",IF($B22="","",IFERROR($C22*$D22*SUMIFS('Dvd Calendar'!$E$20:$CZ$20,'Dvd Calendar'!$E$19:$CZ$19,"&gt;"&amp;G$12,'Dvd Calendar'!$E$19:$CZ$19,"&lt;="&amp;G$13)/AS51!$B$3,"")))</f>
        <v/>
      </c>
      <c r="H22" s="113">
        <f>IF(H$13="","",IF($B22="","",IFERROR($C22*$D22*SUMIFS('Dvd Calendar'!$E$20:$CZ$20,'Dvd Calendar'!$E$19:$CZ$19,"&gt;"&amp;H$12,'Dvd Calendar'!$E$19:$CZ$19,"&lt;="&amp;H$13)/AS51!$B$3,"")))</f>
        <v/>
      </c>
      <c r="I22" s="113">
        <f>IF(I$13="","",IF($B22="","",IFERROR($C22*$D22*SUMIFS('Dvd Calendar'!$E$20:$CZ$20,'Dvd Calendar'!$E$19:$CZ$19,"&gt;"&amp;I$12,'Dvd Calendar'!$E$19:$CZ$19,"&lt;="&amp;I$13)/AS51!$B$3,"")))</f>
        <v/>
      </c>
      <c r="J22" s="113">
        <f>IF(J$13="","",IF($B22="","",IFERROR($C22*$D22*SUMIFS('Dvd Calendar'!$E$20:$CZ$20,'Dvd Calendar'!$E$19:$CZ$19,"&gt;"&amp;J$12,'Dvd Calendar'!$E$19:$CZ$19,"&lt;="&amp;J$13)/AS51!$B$3,"")))</f>
        <v/>
      </c>
      <c r="K22" s="113">
        <f>IF(K$13="","",IF($B22="","",IFERROR($C22*$D22*SUMIFS('Dvd Calendar'!$E$20:$CZ$20,'Dvd Calendar'!$E$19:$CZ$19,"&gt;"&amp;K$12,'Dvd Calendar'!$E$19:$CZ$19,"&lt;="&amp;K$13)/AS51!$B$3,"")))</f>
        <v/>
      </c>
      <c r="L22" s="113">
        <f>IF(L$13="","",IF($B22="","",IFERROR($C22*$D22*SUMIFS('Dvd Calendar'!$E$20:$CZ$20,'Dvd Calendar'!$E$19:$CZ$19,"&gt;"&amp;L$12,'Dvd Calendar'!$E$19:$CZ$19,"&lt;="&amp;L$13)/AS51!$B$3,"")))</f>
        <v/>
      </c>
      <c r="M22" s="113">
        <f>IF(M$13="","",IF($B22="","",IFERROR($C22*$D22*SUMIFS('Dvd Calendar'!$E$20:$CZ$20,'Dvd Calendar'!$E$19:$CZ$19,"&gt;"&amp;M$12,'Dvd Calendar'!$E$19:$CZ$19,"&lt;="&amp;M$13)/AS51!$B$3,"")))</f>
        <v/>
      </c>
      <c r="N22" s="113">
        <f>IF(N$13="","",IF($B22="","",IFERROR($C22*$D22*SUMIFS('Dvd Calendar'!$E$20:$CZ$20,'Dvd Calendar'!$E$19:$CZ$19,"&gt;"&amp;N$12,'Dvd Calendar'!$E$19:$CZ$19,"&lt;="&amp;N$13)/AS51!$B$3,"")))</f>
        <v/>
      </c>
      <c r="O22" s="113">
        <f>IF(O$13="","",IF($B22="","",IFERROR($C22*$D22*SUMIFS('Dvd Calendar'!$E$20:$CZ$20,'Dvd Calendar'!$E$19:$CZ$19,"&gt;"&amp;O$12,'Dvd Calendar'!$E$19:$CZ$19,"&lt;="&amp;O$13)/AS51!$B$3,"")))</f>
        <v/>
      </c>
      <c r="P22" s="113">
        <f>IF(P$13="","",IF($B22="","",IFERROR($C22*$D22*SUMIFS('Dvd Calendar'!$E$20:$CZ$20,'Dvd Calendar'!$E$19:$CZ$19,"&gt;"&amp;P$12,'Dvd Calendar'!$E$19:$CZ$19,"&lt;="&amp;P$13)/AS51!$B$3,"")))</f>
        <v/>
      </c>
      <c r="Q22" s="113">
        <f>IF(Q$13="","",IF($B22="","",IFERROR($C22*$D22*SUMIFS('Dvd Calendar'!$E$20:$CZ$20,'Dvd Calendar'!$E$19:$CZ$19,"&gt;"&amp;Q$12,'Dvd Calendar'!$E$19:$CZ$19,"&lt;="&amp;Q$13)/AS51!$B$3,"")))</f>
        <v/>
      </c>
      <c r="R22" s="113">
        <f>IF(R$13="","",IF($B22="","",IFERROR($C22*$D22*SUMIFS('Dvd Calendar'!$E$20:$CZ$20,'Dvd Calendar'!$E$19:$CZ$19,"&gt;"&amp;R$12,'Dvd Calendar'!$E$19:$CZ$19,"&lt;="&amp;R$13)/AS51!$B$3,"")))</f>
        <v/>
      </c>
      <c r="S22" s="113">
        <f>IF(S$13="","",IF($B22="","",IFERROR($C22*$D22*SUMIFS('Dvd Calendar'!$E$20:$CZ$20,'Dvd Calendar'!$E$19:$CZ$19,"&gt;"&amp;S$12,'Dvd Calendar'!$E$19:$CZ$19,"&lt;="&amp;S$13)/AS51!$B$3,"")))</f>
        <v/>
      </c>
      <c r="T22" s="113">
        <f>IF(T$13="","",IF($B22="","",IFERROR($C22*$D22*SUMIFS('Dvd Calendar'!$E$20:$CZ$20,'Dvd Calendar'!$E$19:$CZ$19,"&gt;"&amp;T$12,'Dvd Calendar'!$E$19:$CZ$19,"&lt;="&amp;T$13)/AS51!$B$3,"")))</f>
        <v/>
      </c>
      <c r="U22" s="113">
        <f>IF(U$13="","",IF($B22="","",IFERROR($C22*$D22*SUMIFS('Dvd Calendar'!$E$20:$CZ$20,'Dvd Calendar'!$E$19:$CZ$19,"&gt;"&amp;U$12,'Dvd Calendar'!$E$19:$CZ$19,"&lt;="&amp;U$13)/AS51!$B$3,"")))</f>
        <v/>
      </c>
      <c r="W22" s="113">
        <f>IF(W$13="","",IF($B22="","",IFERROR(F22*$E22/100,"")))</f>
        <v/>
      </c>
      <c r="X22" s="113">
        <f>IF(X$13="","",IF($B22="","",IFERROR(G22*$E22/100,"")))</f>
        <v/>
      </c>
      <c r="Y22" s="113">
        <f>IF(Y$13="","",IF($B22="","",IFERROR(H22*$E22/100,"")))</f>
        <v/>
      </c>
      <c r="Z22" s="113">
        <f>IF(Z$13="","",IF($B22="","",IFERROR(I22*$E22/100,"")))</f>
        <v/>
      </c>
      <c r="AA22" s="113">
        <f>IF(AA$13="","",IF($B22="","",IFERROR(J22*$E22/100,"")))</f>
        <v/>
      </c>
      <c r="AB22" s="113">
        <f>IF(AB$13="","",IF($B22="","",IFERROR(K22*$E22/100,"")))</f>
        <v/>
      </c>
      <c r="AC22" s="113">
        <f>IF(AC$13="","",IF($B22="","",IFERROR(L22*$E22/100,"")))</f>
        <v/>
      </c>
      <c r="AD22" s="113">
        <f>IF(AD$13="","",IF($B22="","",IFERROR(M22*$E22/100,"")))</f>
        <v/>
      </c>
      <c r="AE22" s="113">
        <f>IF(AE$13="","",IF($B22="","",IFERROR(N22*$E22/100,"")))</f>
        <v/>
      </c>
      <c r="AF22" s="113">
        <f>IF(AF$13="","",IF($B22="","",IFERROR(O22*$E22/100,"")))</f>
        <v/>
      </c>
      <c r="AG22" s="113">
        <f>IF(AG$13="","",IF($B22="","",IFERROR(P22*$E22/100,"")))</f>
        <v/>
      </c>
      <c r="AH22" s="113">
        <f>IF(AH$13="","",IF($B22="","",IFERROR(Q22*$E22/100,"")))</f>
        <v/>
      </c>
      <c r="AI22" s="113">
        <f>IF(AI$13="","",IF($B22="","",IFERROR(R22*$E22/100,"")))</f>
        <v/>
      </c>
      <c r="AJ22" s="113">
        <f>IF(AJ$13="","",IF($B22="","",IFERROR(S22*$E22/100,"")))</f>
        <v/>
      </c>
      <c r="AK22" s="113">
        <f>IF(AK$13="","",IF($B22="","",IFERROR(T22*$E22/100,"")))</f>
        <v/>
      </c>
      <c r="AL22" s="113">
        <f>IF(AL$13="","",IF($B22="","",IFERROR(U22*$E22/100,"")))</f>
        <v/>
      </c>
    </row>
    <row r="23">
      <c r="B23" s="5">
        <f>IF(AS51!$C$13="","",AS51!$C$13)</f>
        <v/>
      </c>
      <c r="C23" s="86">
        <f>IF(AS51!$B$13="","",AS51!$B$13)</f>
        <v/>
      </c>
      <c r="D23" s="111">
        <f>IFERROR(AS51!$Q$13,1)</f>
        <v/>
      </c>
      <c r="E23" s="112">
        <f>IF($B23="","",IF(ISNUMBER(AS51!$I$13),AS51!$I$13,'Index Summary'!$C$7))</f>
        <v/>
      </c>
      <c r="F23" s="113">
        <f>IF(F$13="","",IF($B23="","",IFERROR($C23*$D23*SUMIFS('Dvd Calendar'!$E$22:$CZ$22,'Dvd Calendar'!$E$21:$CZ$21,"&gt;"&amp;F$12,'Dvd Calendar'!$E$21:$CZ$21,"&lt;="&amp;F$13)/AS51!$B$3,"")))</f>
        <v/>
      </c>
      <c r="G23" s="113">
        <f>IF(G$13="","",IF($B23="","",IFERROR($C23*$D23*SUMIFS('Dvd Calendar'!$E$22:$CZ$22,'Dvd Calendar'!$E$21:$CZ$21,"&gt;"&amp;G$12,'Dvd Calendar'!$E$21:$CZ$21,"&lt;="&amp;G$13)/AS51!$B$3,"")))</f>
        <v/>
      </c>
      <c r="H23" s="113">
        <f>IF(H$13="","",IF($B23="","",IFERROR($C23*$D23*SUMIFS('Dvd Calendar'!$E$22:$CZ$22,'Dvd Calendar'!$E$21:$CZ$21,"&gt;"&amp;H$12,'Dvd Calendar'!$E$21:$CZ$21,"&lt;="&amp;H$13)/AS51!$B$3,"")))</f>
        <v/>
      </c>
      <c r="I23" s="113">
        <f>IF(I$13="","",IF($B23="","",IFERROR($C23*$D23*SUMIFS('Dvd Calendar'!$E$22:$CZ$22,'Dvd Calendar'!$E$21:$CZ$21,"&gt;"&amp;I$12,'Dvd Calendar'!$E$21:$CZ$21,"&lt;="&amp;I$13)/AS51!$B$3,"")))</f>
        <v/>
      </c>
      <c r="J23" s="113">
        <f>IF(J$13="","",IF($B23="","",IFERROR($C23*$D23*SUMIFS('Dvd Calendar'!$E$22:$CZ$22,'Dvd Calendar'!$E$21:$CZ$21,"&gt;"&amp;J$12,'Dvd Calendar'!$E$21:$CZ$21,"&lt;="&amp;J$13)/AS51!$B$3,"")))</f>
        <v/>
      </c>
      <c r="K23" s="113">
        <f>IF(K$13="","",IF($B23="","",IFERROR($C23*$D23*SUMIFS('Dvd Calendar'!$E$22:$CZ$22,'Dvd Calendar'!$E$21:$CZ$21,"&gt;"&amp;K$12,'Dvd Calendar'!$E$21:$CZ$21,"&lt;="&amp;K$13)/AS51!$B$3,"")))</f>
        <v/>
      </c>
      <c r="L23" s="113">
        <f>IF(L$13="","",IF($B23="","",IFERROR($C23*$D23*SUMIFS('Dvd Calendar'!$E$22:$CZ$22,'Dvd Calendar'!$E$21:$CZ$21,"&gt;"&amp;L$12,'Dvd Calendar'!$E$21:$CZ$21,"&lt;="&amp;L$13)/AS51!$B$3,"")))</f>
        <v/>
      </c>
      <c r="M23" s="113">
        <f>IF(M$13="","",IF($B23="","",IFERROR($C23*$D23*SUMIFS('Dvd Calendar'!$E$22:$CZ$22,'Dvd Calendar'!$E$21:$CZ$21,"&gt;"&amp;M$12,'Dvd Calendar'!$E$21:$CZ$21,"&lt;="&amp;M$13)/AS51!$B$3,"")))</f>
        <v/>
      </c>
      <c r="N23" s="113">
        <f>IF(N$13="","",IF($B23="","",IFERROR($C23*$D23*SUMIFS('Dvd Calendar'!$E$22:$CZ$22,'Dvd Calendar'!$E$21:$CZ$21,"&gt;"&amp;N$12,'Dvd Calendar'!$E$21:$CZ$21,"&lt;="&amp;N$13)/AS51!$B$3,"")))</f>
        <v/>
      </c>
      <c r="O23" s="113">
        <f>IF(O$13="","",IF($B23="","",IFERROR($C23*$D23*SUMIFS('Dvd Calendar'!$E$22:$CZ$22,'Dvd Calendar'!$E$21:$CZ$21,"&gt;"&amp;O$12,'Dvd Calendar'!$E$21:$CZ$21,"&lt;="&amp;O$13)/AS51!$B$3,"")))</f>
        <v/>
      </c>
      <c r="P23" s="113">
        <f>IF(P$13="","",IF($B23="","",IFERROR($C23*$D23*SUMIFS('Dvd Calendar'!$E$22:$CZ$22,'Dvd Calendar'!$E$21:$CZ$21,"&gt;"&amp;P$12,'Dvd Calendar'!$E$21:$CZ$21,"&lt;="&amp;P$13)/AS51!$B$3,"")))</f>
        <v/>
      </c>
      <c r="Q23" s="113">
        <f>IF(Q$13="","",IF($B23="","",IFERROR($C23*$D23*SUMIFS('Dvd Calendar'!$E$22:$CZ$22,'Dvd Calendar'!$E$21:$CZ$21,"&gt;"&amp;Q$12,'Dvd Calendar'!$E$21:$CZ$21,"&lt;="&amp;Q$13)/AS51!$B$3,"")))</f>
        <v/>
      </c>
      <c r="R23" s="113">
        <f>IF(R$13="","",IF($B23="","",IFERROR($C23*$D23*SUMIFS('Dvd Calendar'!$E$22:$CZ$22,'Dvd Calendar'!$E$21:$CZ$21,"&gt;"&amp;R$12,'Dvd Calendar'!$E$21:$CZ$21,"&lt;="&amp;R$13)/AS51!$B$3,"")))</f>
        <v/>
      </c>
      <c r="S23" s="113">
        <f>IF(S$13="","",IF($B23="","",IFERROR($C23*$D23*SUMIFS('Dvd Calendar'!$E$22:$CZ$22,'Dvd Calendar'!$E$21:$CZ$21,"&gt;"&amp;S$12,'Dvd Calendar'!$E$21:$CZ$21,"&lt;="&amp;S$13)/AS51!$B$3,"")))</f>
        <v/>
      </c>
      <c r="T23" s="113">
        <f>IF(T$13="","",IF($B23="","",IFERROR($C23*$D23*SUMIFS('Dvd Calendar'!$E$22:$CZ$22,'Dvd Calendar'!$E$21:$CZ$21,"&gt;"&amp;T$12,'Dvd Calendar'!$E$21:$CZ$21,"&lt;="&amp;T$13)/AS51!$B$3,"")))</f>
        <v/>
      </c>
      <c r="U23" s="113">
        <f>IF(U$13="","",IF($B23="","",IFERROR($C23*$D23*SUMIFS('Dvd Calendar'!$E$22:$CZ$22,'Dvd Calendar'!$E$21:$CZ$21,"&gt;"&amp;U$12,'Dvd Calendar'!$E$21:$CZ$21,"&lt;="&amp;U$13)/AS51!$B$3,"")))</f>
        <v/>
      </c>
      <c r="W23" s="113">
        <f>IF(W$13="","",IF($B23="","",IFERROR(F23*$E23/100,"")))</f>
        <v/>
      </c>
      <c r="X23" s="113">
        <f>IF(X$13="","",IF($B23="","",IFERROR(G23*$E23/100,"")))</f>
        <v/>
      </c>
      <c r="Y23" s="113">
        <f>IF(Y$13="","",IF($B23="","",IFERROR(H23*$E23/100,"")))</f>
        <v/>
      </c>
      <c r="Z23" s="113">
        <f>IF(Z$13="","",IF($B23="","",IFERROR(I23*$E23/100,"")))</f>
        <v/>
      </c>
      <c r="AA23" s="113">
        <f>IF(AA$13="","",IF($B23="","",IFERROR(J23*$E23/100,"")))</f>
        <v/>
      </c>
      <c r="AB23" s="113">
        <f>IF(AB$13="","",IF($B23="","",IFERROR(K23*$E23/100,"")))</f>
        <v/>
      </c>
      <c r="AC23" s="113">
        <f>IF(AC$13="","",IF($B23="","",IFERROR(L23*$E23/100,"")))</f>
        <v/>
      </c>
      <c r="AD23" s="113">
        <f>IF(AD$13="","",IF($B23="","",IFERROR(M23*$E23/100,"")))</f>
        <v/>
      </c>
      <c r="AE23" s="113">
        <f>IF(AE$13="","",IF($B23="","",IFERROR(N23*$E23/100,"")))</f>
        <v/>
      </c>
      <c r="AF23" s="113">
        <f>IF(AF$13="","",IF($B23="","",IFERROR(O23*$E23/100,"")))</f>
        <v/>
      </c>
      <c r="AG23" s="113">
        <f>IF(AG$13="","",IF($B23="","",IFERROR(P23*$E23/100,"")))</f>
        <v/>
      </c>
      <c r="AH23" s="113">
        <f>IF(AH$13="","",IF($B23="","",IFERROR(Q23*$E23/100,"")))</f>
        <v/>
      </c>
      <c r="AI23" s="113">
        <f>IF(AI$13="","",IF($B23="","",IFERROR(R23*$E23/100,"")))</f>
        <v/>
      </c>
      <c r="AJ23" s="113">
        <f>IF(AJ$13="","",IF($B23="","",IFERROR(S23*$E23/100,"")))</f>
        <v/>
      </c>
      <c r="AK23" s="113">
        <f>IF(AK$13="","",IF($B23="","",IFERROR(T23*$E23/100,"")))</f>
        <v/>
      </c>
      <c r="AL23" s="113">
        <f>IF(AL$13="","",IF($B23="","",IFERROR(U23*$E23/100,"")))</f>
        <v/>
      </c>
    </row>
    <row r="24">
      <c r="B24" s="5">
        <f>IF(AS51!$C$14="","",AS51!$C$14)</f>
        <v/>
      </c>
      <c r="C24" s="86">
        <f>IF(AS51!$B$14="","",AS51!$B$14)</f>
        <v/>
      </c>
      <c r="D24" s="111">
        <f>IFERROR(AS51!$Q$14,1)</f>
        <v/>
      </c>
      <c r="E24" s="112">
        <f>IF($B24="","",IF(ISNUMBER(AS51!$I$14),AS51!$I$14,'Index Summary'!$C$7))</f>
        <v/>
      </c>
      <c r="F24" s="113">
        <f>IF(F$13="","",IF($B24="","",IFERROR($C24*$D24*SUMIFS('Dvd Calendar'!$E$24:$CZ$24,'Dvd Calendar'!$E$23:$CZ$23,"&gt;"&amp;F$12,'Dvd Calendar'!$E$23:$CZ$23,"&lt;="&amp;F$13)/AS51!$B$3,"")))</f>
        <v/>
      </c>
      <c r="G24" s="113">
        <f>IF(G$13="","",IF($B24="","",IFERROR($C24*$D24*SUMIFS('Dvd Calendar'!$E$24:$CZ$24,'Dvd Calendar'!$E$23:$CZ$23,"&gt;"&amp;G$12,'Dvd Calendar'!$E$23:$CZ$23,"&lt;="&amp;G$13)/AS51!$B$3,"")))</f>
        <v/>
      </c>
      <c r="H24" s="113">
        <f>IF(H$13="","",IF($B24="","",IFERROR($C24*$D24*SUMIFS('Dvd Calendar'!$E$24:$CZ$24,'Dvd Calendar'!$E$23:$CZ$23,"&gt;"&amp;H$12,'Dvd Calendar'!$E$23:$CZ$23,"&lt;="&amp;H$13)/AS51!$B$3,"")))</f>
        <v/>
      </c>
      <c r="I24" s="113">
        <f>IF(I$13="","",IF($B24="","",IFERROR($C24*$D24*SUMIFS('Dvd Calendar'!$E$24:$CZ$24,'Dvd Calendar'!$E$23:$CZ$23,"&gt;"&amp;I$12,'Dvd Calendar'!$E$23:$CZ$23,"&lt;="&amp;I$13)/AS51!$B$3,"")))</f>
        <v/>
      </c>
      <c r="J24" s="113">
        <f>IF(J$13="","",IF($B24="","",IFERROR($C24*$D24*SUMIFS('Dvd Calendar'!$E$24:$CZ$24,'Dvd Calendar'!$E$23:$CZ$23,"&gt;"&amp;J$12,'Dvd Calendar'!$E$23:$CZ$23,"&lt;="&amp;J$13)/AS51!$B$3,"")))</f>
        <v/>
      </c>
      <c r="K24" s="113">
        <f>IF(K$13="","",IF($B24="","",IFERROR($C24*$D24*SUMIFS('Dvd Calendar'!$E$24:$CZ$24,'Dvd Calendar'!$E$23:$CZ$23,"&gt;"&amp;K$12,'Dvd Calendar'!$E$23:$CZ$23,"&lt;="&amp;K$13)/AS51!$B$3,"")))</f>
        <v/>
      </c>
      <c r="L24" s="113">
        <f>IF(L$13="","",IF($B24="","",IFERROR($C24*$D24*SUMIFS('Dvd Calendar'!$E$24:$CZ$24,'Dvd Calendar'!$E$23:$CZ$23,"&gt;"&amp;L$12,'Dvd Calendar'!$E$23:$CZ$23,"&lt;="&amp;L$13)/AS51!$B$3,"")))</f>
        <v/>
      </c>
      <c r="M24" s="113">
        <f>IF(M$13="","",IF($B24="","",IFERROR($C24*$D24*SUMIFS('Dvd Calendar'!$E$24:$CZ$24,'Dvd Calendar'!$E$23:$CZ$23,"&gt;"&amp;M$12,'Dvd Calendar'!$E$23:$CZ$23,"&lt;="&amp;M$13)/AS51!$B$3,"")))</f>
        <v/>
      </c>
      <c r="N24" s="113">
        <f>IF(N$13="","",IF($B24="","",IFERROR($C24*$D24*SUMIFS('Dvd Calendar'!$E$24:$CZ$24,'Dvd Calendar'!$E$23:$CZ$23,"&gt;"&amp;N$12,'Dvd Calendar'!$E$23:$CZ$23,"&lt;="&amp;N$13)/AS51!$B$3,"")))</f>
        <v/>
      </c>
      <c r="O24" s="113">
        <f>IF(O$13="","",IF($B24="","",IFERROR($C24*$D24*SUMIFS('Dvd Calendar'!$E$24:$CZ$24,'Dvd Calendar'!$E$23:$CZ$23,"&gt;"&amp;O$12,'Dvd Calendar'!$E$23:$CZ$23,"&lt;="&amp;O$13)/AS51!$B$3,"")))</f>
        <v/>
      </c>
      <c r="P24" s="113">
        <f>IF(P$13="","",IF($B24="","",IFERROR($C24*$D24*SUMIFS('Dvd Calendar'!$E$24:$CZ$24,'Dvd Calendar'!$E$23:$CZ$23,"&gt;"&amp;P$12,'Dvd Calendar'!$E$23:$CZ$23,"&lt;="&amp;P$13)/AS51!$B$3,"")))</f>
        <v/>
      </c>
      <c r="Q24" s="113">
        <f>IF(Q$13="","",IF($B24="","",IFERROR($C24*$D24*SUMIFS('Dvd Calendar'!$E$24:$CZ$24,'Dvd Calendar'!$E$23:$CZ$23,"&gt;"&amp;Q$12,'Dvd Calendar'!$E$23:$CZ$23,"&lt;="&amp;Q$13)/AS51!$B$3,"")))</f>
        <v/>
      </c>
      <c r="R24" s="113">
        <f>IF(R$13="","",IF($B24="","",IFERROR($C24*$D24*SUMIFS('Dvd Calendar'!$E$24:$CZ$24,'Dvd Calendar'!$E$23:$CZ$23,"&gt;"&amp;R$12,'Dvd Calendar'!$E$23:$CZ$23,"&lt;="&amp;R$13)/AS51!$B$3,"")))</f>
        <v/>
      </c>
      <c r="S24" s="113">
        <f>IF(S$13="","",IF($B24="","",IFERROR($C24*$D24*SUMIFS('Dvd Calendar'!$E$24:$CZ$24,'Dvd Calendar'!$E$23:$CZ$23,"&gt;"&amp;S$12,'Dvd Calendar'!$E$23:$CZ$23,"&lt;="&amp;S$13)/AS51!$B$3,"")))</f>
        <v/>
      </c>
      <c r="T24" s="113">
        <f>IF(T$13="","",IF($B24="","",IFERROR($C24*$D24*SUMIFS('Dvd Calendar'!$E$24:$CZ$24,'Dvd Calendar'!$E$23:$CZ$23,"&gt;"&amp;T$12,'Dvd Calendar'!$E$23:$CZ$23,"&lt;="&amp;T$13)/AS51!$B$3,"")))</f>
        <v/>
      </c>
      <c r="U24" s="113">
        <f>IF(U$13="","",IF($B24="","",IFERROR($C24*$D24*SUMIFS('Dvd Calendar'!$E$24:$CZ$24,'Dvd Calendar'!$E$23:$CZ$23,"&gt;"&amp;U$12,'Dvd Calendar'!$E$23:$CZ$23,"&lt;="&amp;U$13)/AS51!$B$3,"")))</f>
        <v/>
      </c>
      <c r="W24" s="113">
        <f>IF(W$13="","",IF($B24="","",IFERROR(F24*$E24/100,"")))</f>
        <v/>
      </c>
      <c r="X24" s="113">
        <f>IF(X$13="","",IF($B24="","",IFERROR(G24*$E24/100,"")))</f>
        <v/>
      </c>
      <c r="Y24" s="113">
        <f>IF(Y$13="","",IF($B24="","",IFERROR(H24*$E24/100,"")))</f>
        <v/>
      </c>
      <c r="Z24" s="113">
        <f>IF(Z$13="","",IF($B24="","",IFERROR(I24*$E24/100,"")))</f>
        <v/>
      </c>
      <c r="AA24" s="113">
        <f>IF(AA$13="","",IF($B24="","",IFERROR(J24*$E24/100,"")))</f>
        <v/>
      </c>
      <c r="AB24" s="113">
        <f>IF(AB$13="","",IF($B24="","",IFERROR(K24*$E24/100,"")))</f>
        <v/>
      </c>
      <c r="AC24" s="113">
        <f>IF(AC$13="","",IF($B24="","",IFERROR(L24*$E24/100,"")))</f>
        <v/>
      </c>
      <c r="AD24" s="113">
        <f>IF(AD$13="","",IF($B24="","",IFERROR(M24*$E24/100,"")))</f>
        <v/>
      </c>
      <c r="AE24" s="113">
        <f>IF(AE$13="","",IF($B24="","",IFERROR(N24*$E24/100,"")))</f>
        <v/>
      </c>
      <c r="AF24" s="113">
        <f>IF(AF$13="","",IF($B24="","",IFERROR(O24*$E24/100,"")))</f>
        <v/>
      </c>
      <c r="AG24" s="113">
        <f>IF(AG$13="","",IF($B24="","",IFERROR(P24*$E24/100,"")))</f>
        <v/>
      </c>
      <c r="AH24" s="113">
        <f>IF(AH$13="","",IF($B24="","",IFERROR(Q24*$E24/100,"")))</f>
        <v/>
      </c>
      <c r="AI24" s="113">
        <f>IF(AI$13="","",IF($B24="","",IFERROR(R24*$E24/100,"")))</f>
        <v/>
      </c>
      <c r="AJ24" s="113">
        <f>IF(AJ$13="","",IF($B24="","",IFERROR(S24*$E24/100,"")))</f>
        <v/>
      </c>
      <c r="AK24" s="113">
        <f>IF(AK$13="","",IF($B24="","",IFERROR(T24*$E24/100,"")))</f>
        <v/>
      </c>
      <c r="AL24" s="113">
        <f>IF(AL$13="","",IF($B24="","",IFERROR(U24*$E24/100,"")))</f>
        <v/>
      </c>
    </row>
    <row r="25">
      <c r="B25" s="5">
        <f>IF(AS51!$C$15="","",AS51!$C$15)</f>
        <v/>
      </c>
      <c r="C25" s="86">
        <f>IF(AS51!$B$15="","",AS51!$B$15)</f>
        <v/>
      </c>
      <c r="D25" s="111">
        <f>IFERROR(AS51!$Q$15,1)</f>
        <v/>
      </c>
      <c r="E25" s="112">
        <f>IF($B25="","",IF(ISNUMBER(AS51!$I$15),AS51!$I$15,'Index Summary'!$C$7))</f>
        <v/>
      </c>
      <c r="F25" s="113">
        <f>IF(F$13="","",IF($B25="","",IFERROR($C25*$D25*SUMIFS('Dvd Calendar'!$E$26:$CZ$26,'Dvd Calendar'!$E$25:$CZ$25,"&gt;"&amp;F$12,'Dvd Calendar'!$E$25:$CZ$25,"&lt;="&amp;F$13)/AS51!$B$3,"")))</f>
        <v/>
      </c>
      <c r="G25" s="113">
        <f>IF(G$13="","",IF($B25="","",IFERROR($C25*$D25*SUMIFS('Dvd Calendar'!$E$26:$CZ$26,'Dvd Calendar'!$E$25:$CZ$25,"&gt;"&amp;G$12,'Dvd Calendar'!$E$25:$CZ$25,"&lt;="&amp;G$13)/AS51!$B$3,"")))</f>
        <v/>
      </c>
      <c r="H25" s="113">
        <f>IF(H$13="","",IF($B25="","",IFERROR($C25*$D25*SUMIFS('Dvd Calendar'!$E$26:$CZ$26,'Dvd Calendar'!$E$25:$CZ$25,"&gt;"&amp;H$12,'Dvd Calendar'!$E$25:$CZ$25,"&lt;="&amp;H$13)/AS51!$B$3,"")))</f>
        <v/>
      </c>
      <c r="I25" s="113">
        <f>IF(I$13="","",IF($B25="","",IFERROR($C25*$D25*SUMIFS('Dvd Calendar'!$E$26:$CZ$26,'Dvd Calendar'!$E$25:$CZ$25,"&gt;"&amp;I$12,'Dvd Calendar'!$E$25:$CZ$25,"&lt;="&amp;I$13)/AS51!$B$3,"")))</f>
        <v/>
      </c>
      <c r="J25" s="113">
        <f>IF(J$13="","",IF($B25="","",IFERROR($C25*$D25*SUMIFS('Dvd Calendar'!$E$26:$CZ$26,'Dvd Calendar'!$E$25:$CZ$25,"&gt;"&amp;J$12,'Dvd Calendar'!$E$25:$CZ$25,"&lt;="&amp;J$13)/AS51!$B$3,"")))</f>
        <v/>
      </c>
      <c r="K25" s="113">
        <f>IF(K$13="","",IF($B25="","",IFERROR($C25*$D25*SUMIFS('Dvd Calendar'!$E$26:$CZ$26,'Dvd Calendar'!$E$25:$CZ$25,"&gt;"&amp;K$12,'Dvd Calendar'!$E$25:$CZ$25,"&lt;="&amp;K$13)/AS51!$B$3,"")))</f>
        <v/>
      </c>
      <c r="L25" s="113">
        <f>IF(L$13="","",IF($B25="","",IFERROR($C25*$D25*SUMIFS('Dvd Calendar'!$E$26:$CZ$26,'Dvd Calendar'!$E$25:$CZ$25,"&gt;"&amp;L$12,'Dvd Calendar'!$E$25:$CZ$25,"&lt;="&amp;L$13)/AS51!$B$3,"")))</f>
        <v/>
      </c>
      <c r="M25" s="113">
        <f>IF(M$13="","",IF($B25="","",IFERROR($C25*$D25*SUMIFS('Dvd Calendar'!$E$26:$CZ$26,'Dvd Calendar'!$E$25:$CZ$25,"&gt;"&amp;M$12,'Dvd Calendar'!$E$25:$CZ$25,"&lt;="&amp;M$13)/AS51!$B$3,"")))</f>
        <v/>
      </c>
      <c r="N25" s="113">
        <f>IF(N$13="","",IF($B25="","",IFERROR($C25*$D25*SUMIFS('Dvd Calendar'!$E$26:$CZ$26,'Dvd Calendar'!$E$25:$CZ$25,"&gt;"&amp;N$12,'Dvd Calendar'!$E$25:$CZ$25,"&lt;="&amp;N$13)/AS51!$B$3,"")))</f>
        <v/>
      </c>
      <c r="O25" s="113">
        <f>IF(O$13="","",IF($B25="","",IFERROR($C25*$D25*SUMIFS('Dvd Calendar'!$E$26:$CZ$26,'Dvd Calendar'!$E$25:$CZ$25,"&gt;"&amp;O$12,'Dvd Calendar'!$E$25:$CZ$25,"&lt;="&amp;O$13)/AS51!$B$3,"")))</f>
        <v/>
      </c>
      <c r="P25" s="113">
        <f>IF(P$13="","",IF($B25="","",IFERROR($C25*$D25*SUMIFS('Dvd Calendar'!$E$26:$CZ$26,'Dvd Calendar'!$E$25:$CZ$25,"&gt;"&amp;P$12,'Dvd Calendar'!$E$25:$CZ$25,"&lt;="&amp;P$13)/AS51!$B$3,"")))</f>
        <v/>
      </c>
      <c r="Q25" s="113">
        <f>IF(Q$13="","",IF($B25="","",IFERROR($C25*$D25*SUMIFS('Dvd Calendar'!$E$26:$CZ$26,'Dvd Calendar'!$E$25:$CZ$25,"&gt;"&amp;Q$12,'Dvd Calendar'!$E$25:$CZ$25,"&lt;="&amp;Q$13)/AS51!$B$3,"")))</f>
        <v/>
      </c>
      <c r="R25" s="113">
        <f>IF(R$13="","",IF($B25="","",IFERROR($C25*$D25*SUMIFS('Dvd Calendar'!$E$26:$CZ$26,'Dvd Calendar'!$E$25:$CZ$25,"&gt;"&amp;R$12,'Dvd Calendar'!$E$25:$CZ$25,"&lt;="&amp;R$13)/AS51!$B$3,"")))</f>
        <v/>
      </c>
      <c r="S25" s="113">
        <f>IF(S$13="","",IF($B25="","",IFERROR($C25*$D25*SUMIFS('Dvd Calendar'!$E$26:$CZ$26,'Dvd Calendar'!$E$25:$CZ$25,"&gt;"&amp;S$12,'Dvd Calendar'!$E$25:$CZ$25,"&lt;="&amp;S$13)/AS51!$B$3,"")))</f>
        <v/>
      </c>
      <c r="T25" s="113">
        <f>IF(T$13="","",IF($B25="","",IFERROR($C25*$D25*SUMIFS('Dvd Calendar'!$E$26:$CZ$26,'Dvd Calendar'!$E$25:$CZ$25,"&gt;"&amp;T$12,'Dvd Calendar'!$E$25:$CZ$25,"&lt;="&amp;T$13)/AS51!$B$3,"")))</f>
        <v/>
      </c>
      <c r="U25" s="113">
        <f>IF(U$13="","",IF($B25="","",IFERROR($C25*$D25*SUMIFS('Dvd Calendar'!$E$26:$CZ$26,'Dvd Calendar'!$E$25:$CZ$25,"&gt;"&amp;U$12,'Dvd Calendar'!$E$25:$CZ$25,"&lt;="&amp;U$13)/AS51!$B$3,"")))</f>
        <v/>
      </c>
      <c r="W25" s="113">
        <f>IF(W$13="","",IF($B25="","",IFERROR(F25*$E25/100,"")))</f>
        <v/>
      </c>
      <c r="X25" s="113">
        <f>IF(X$13="","",IF($B25="","",IFERROR(G25*$E25/100,"")))</f>
        <v/>
      </c>
      <c r="Y25" s="113">
        <f>IF(Y$13="","",IF($B25="","",IFERROR(H25*$E25/100,"")))</f>
        <v/>
      </c>
      <c r="Z25" s="113">
        <f>IF(Z$13="","",IF($B25="","",IFERROR(I25*$E25/100,"")))</f>
        <v/>
      </c>
      <c r="AA25" s="113">
        <f>IF(AA$13="","",IF($B25="","",IFERROR(J25*$E25/100,"")))</f>
        <v/>
      </c>
      <c r="AB25" s="113">
        <f>IF(AB$13="","",IF($B25="","",IFERROR(K25*$E25/100,"")))</f>
        <v/>
      </c>
      <c r="AC25" s="113">
        <f>IF(AC$13="","",IF($B25="","",IFERROR(L25*$E25/100,"")))</f>
        <v/>
      </c>
      <c r="AD25" s="113">
        <f>IF(AD$13="","",IF($B25="","",IFERROR(M25*$E25/100,"")))</f>
        <v/>
      </c>
      <c r="AE25" s="113">
        <f>IF(AE$13="","",IF($B25="","",IFERROR(N25*$E25/100,"")))</f>
        <v/>
      </c>
      <c r="AF25" s="113">
        <f>IF(AF$13="","",IF($B25="","",IFERROR(O25*$E25/100,"")))</f>
        <v/>
      </c>
      <c r="AG25" s="113">
        <f>IF(AG$13="","",IF($B25="","",IFERROR(P25*$E25/100,"")))</f>
        <v/>
      </c>
      <c r="AH25" s="113">
        <f>IF(AH$13="","",IF($B25="","",IFERROR(Q25*$E25/100,"")))</f>
        <v/>
      </c>
      <c r="AI25" s="113">
        <f>IF(AI$13="","",IF($B25="","",IFERROR(R25*$E25/100,"")))</f>
        <v/>
      </c>
      <c r="AJ25" s="113">
        <f>IF(AJ$13="","",IF($B25="","",IFERROR(S25*$E25/100,"")))</f>
        <v/>
      </c>
      <c r="AK25" s="113">
        <f>IF(AK$13="","",IF($B25="","",IFERROR(T25*$E25/100,"")))</f>
        <v/>
      </c>
      <c r="AL25" s="113">
        <f>IF(AL$13="","",IF($B25="","",IFERROR(U25*$E25/100,"")))</f>
        <v/>
      </c>
    </row>
    <row r="26">
      <c r="B26" s="5">
        <f>IF(AS51!$C$16="","",AS51!$C$16)</f>
        <v/>
      </c>
      <c r="C26" s="86">
        <f>IF(AS51!$B$16="","",AS51!$B$16)</f>
        <v/>
      </c>
      <c r="D26" s="111">
        <f>IFERROR(AS51!$Q$16,1)</f>
        <v/>
      </c>
      <c r="E26" s="112">
        <f>IF($B26="","",IF(ISNUMBER(AS51!$I$16),AS51!$I$16,'Index Summary'!$C$7))</f>
        <v/>
      </c>
      <c r="F26" s="113">
        <f>IF(F$13="","",IF($B26="","",IFERROR($C26*$D26*SUMIFS('Dvd Calendar'!$E$28:$CZ$28,'Dvd Calendar'!$E$27:$CZ$27,"&gt;"&amp;F$12,'Dvd Calendar'!$E$27:$CZ$27,"&lt;="&amp;F$13)/AS51!$B$3,"")))</f>
        <v/>
      </c>
      <c r="G26" s="113">
        <f>IF(G$13="","",IF($B26="","",IFERROR($C26*$D26*SUMIFS('Dvd Calendar'!$E$28:$CZ$28,'Dvd Calendar'!$E$27:$CZ$27,"&gt;"&amp;G$12,'Dvd Calendar'!$E$27:$CZ$27,"&lt;="&amp;G$13)/AS51!$B$3,"")))</f>
        <v/>
      </c>
      <c r="H26" s="113">
        <f>IF(H$13="","",IF($B26="","",IFERROR($C26*$D26*SUMIFS('Dvd Calendar'!$E$28:$CZ$28,'Dvd Calendar'!$E$27:$CZ$27,"&gt;"&amp;H$12,'Dvd Calendar'!$E$27:$CZ$27,"&lt;="&amp;H$13)/AS51!$B$3,"")))</f>
        <v/>
      </c>
      <c r="I26" s="113">
        <f>IF(I$13="","",IF($B26="","",IFERROR($C26*$D26*SUMIFS('Dvd Calendar'!$E$28:$CZ$28,'Dvd Calendar'!$E$27:$CZ$27,"&gt;"&amp;I$12,'Dvd Calendar'!$E$27:$CZ$27,"&lt;="&amp;I$13)/AS51!$B$3,"")))</f>
        <v/>
      </c>
      <c r="J26" s="113">
        <f>IF(J$13="","",IF($B26="","",IFERROR($C26*$D26*SUMIFS('Dvd Calendar'!$E$28:$CZ$28,'Dvd Calendar'!$E$27:$CZ$27,"&gt;"&amp;J$12,'Dvd Calendar'!$E$27:$CZ$27,"&lt;="&amp;J$13)/AS51!$B$3,"")))</f>
        <v/>
      </c>
      <c r="K26" s="113">
        <f>IF(K$13="","",IF($B26="","",IFERROR($C26*$D26*SUMIFS('Dvd Calendar'!$E$28:$CZ$28,'Dvd Calendar'!$E$27:$CZ$27,"&gt;"&amp;K$12,'Dvd Calendar'!$E$27:$CZ$27,"&lt;="&amp;K$13)/AS51!$B$3,"")))</f>
        <v/>
      </c>
      <c r="L26" s="113">
        <f>IF(L$13="","",IF($B26="","",IFERROR($C26*$D26*SUMIFS('Dvd Calendar'!$E$28:$CZ$28,'Dvd Calendar'!$E$27:$CZ$27,"&gt;"&amp;L$12,'Dvd Calendar'!$E$27:$CZ$27,"&lt;="&amp;L$13)/AS51!$B$3,"")))</f>
        <v/>
      </c>
      <c r="M26" s="113">
        <f>IF(M$13="","",IF($B26="","",IFERROR($C26*$D26*SUMIFS('Dvd Calendar'!$E$28:$CZ$28,'Dvd Calendar'!$E$27:$CZ$27,"&gt;"&amp;M$12,'Dvd Calendar'!$E$27:$CZ$27,"&lt;="&amp;M$13)/AS51!$B$3,"")))</f>
        <v/>
      </c>
      <c r="N26" s="113">
        <f>IF(N$13="","",IF($B26="","",IFERROR($C26*$D26*SUMIFS('Dvd Calendar'!$E$28:$CZ$28,'Dvd Calendar'!$E$27:$CZ$27,"&gt;"&amp;N$12,'Dvd Calendar'!$E$27:$CZ$27,"&lt;="&amp;N$13)/AS51!$B$3,"")))</f>
        <v/>
      </c>
      <c r="O26" s="113">
        <f>IF(O$13="","",IF($B26="","",IFERROR($C26*$D26*SUMIFS('Dvd Calendar'!$E$28:$CZ$28,'Dvd Calendar'!$E$27:$CZ$27,"&gt;"&amp;O$12,'Dvd Calendar'!$E$27:$CZ$27,"&lt;="&amp;O$13)/AS51!$B$3,"")))</f>
        <v/>
      </c>
      <c r="P26" s="113">
        <f>IF(P$13="","",IF($B26="","",IFERROR($C26*$D26*SUMIFS('Dvd Calendar'!$E$28:$CZ$28,'Dvd Calendar'!$E$27:$CZ$27,"&gt;"&amp;P$12,'Dvd Calendar'!$E$27:$CZ$27,"&lt;="&amp;P$13)/AS51!$B$3,"")))</f>
        <v/>
      </c>
      <c r="Q26" s="113">
        <f>IF(Q$13="","",IF($B26="","",IFERROR($C26*$D26*SUMIFS('Dvd Calendar'!$E$28:$CZ$28,'Dvd Calendar'!$E$27:$CZ$27,"&gt;"&amp;Q$12,'Dvd Calendar'!$E$27:$CZ$27,"&lt;="&amp;Q$13)/AS51!$B$3,"")))</f>
        <v/>
      </c>
      <c r="R26" s="113">
        <f>IF(R$13="","",IF($B26="","",IFERROR($C26*$D26*SUMIFS('Dvd Calendar'!$E$28:$CZ$28,'Dvd Calendar'!$E$27:$CZ$27,"&gt;"&amp;R$12,'Dvd Calendar'!$E$27:$CZ$27,"&lt;="&amp;R$13)/AS51!$B$3,"")))</f>
        <v/>
      </c>
      <c r="S26" s="113">
        <f>IF(S$13="","",IF($B26="","",IFERROR($C26*$D26*SUMIFS('Dvd Calendar'!$E$28:$CZ$28,'Dvd Calendar'!$E$27:$CZ$27,"&gt;"&amp;S$12,'Dvd Calendar'!$E$27:$CZ$27,"&lt;="&amp;S$13)/AS51!$B$3,"")))</f>
        <v/>
      </c>
      <c r="T26" s="113">
        <f>IF(T$13="","",IF($B26="","",IFERROR($C26*$D26*SUMIFS('Dvd Calendar'!$E$28:$CZ$28,'Dvd Calendar'!$E$27:$CZ$27,"&gt;"&amp;T$12,'Dvd Calendar'!$E$27:$CZ$27,"&lt;="&amp;T$13)/AS51!$B$3,"")))</f>
        <v/>
      </c>
      <c r="U26" s="113">
        <f>IF(U$13="","",IF($B26="","",IFERROR($C26*$D26*SUMIFS('Dvd Calendar'!$E$28:$CZ$28,'Dvd Calendar'!$E$27:$CZ$27,"&gt;"&amp;U$12,'Dvd Calendar'!$E$27:$CZ$27,"&lt;="&amp;U$13)/AS51!$B$3,"")))</f>
        <v/>
      </c>
      <c r="W26" s="113">
        <f>IF(W$13="","",IF($B26="","",IFERROR(F26*$E26/100,"")))</f>
        <v/>
      </c>
      <c r="X26" s="113">
        <f>IF(X$13="","",IF($B26="","",IFERROR(G26*$E26/100,"")))</f>
        <v/>
      </c>
      <c r="Y26" s="113">
        <f>IF(Y$13="","",IF($B26="","",IFERROR(H26*$E26/100,"")))</f>
        <v/>
      </c>
      <c r="Z26" s="113">
        <f>IF(Z$13="","",IF($B26="","",IFERROR(I26*$E26/100,"")))</f>
        <v/>
      </c>
      <c r="AA26" s="113">
        <f>IF(AA$13="","",IF($B26="","",IFERROR(J26*$E26/100,"")))</f>
        <v/>
      </c>
      <c r="AB26" s="113">
        <f>IF(AB$13="","",IF($B26="","",IFERROR(K26*$E26/100,"")))</f>
        <v/>
      </c>
      <c r="AC26" s="113">
        <f>IF(AC$13="","",IF($B26="","",IFERROR(L26*$E26/100,"")))</f>
        <v/>
      </c>
      <c r="AD26" s="113">
        <f>IF(AD$13="","",IF($B26="","",IFERROR(M26*$E26/100,"")))</f>
        <v/>
      </c>
      <c r="AE26" s="113">
        <f>IF(AE$13="","",IF($B26="","",IFERROR(N26*$E26/100,"")))</f>
        <v/>
      </c>
      <c r="AF26" s="113">
        <f>IF(AF$13="","",IF($B26="","",IFERROR(O26*$E26/100,"")))</f>
        <v/>
      </c>
      <c r="AG26" s="113">
        <f>IF(AG$13="","",IF($B26="","",IFERROR(P26*$E26/100,"")))</f>
        <v/>
      </c>
      <c r="AH26" s="113">
        <f>IF(AH$13="","",IF($B26="","",IFERROR(Q26*$E26/100,"")))</f>
        <v/>
      </c>
      <c r="AI26" s="113">
        <f>IF(AI$13="","",IF($B26="","",IFERROR(R26*$E26/100,"")))</f>
        <v/>
      </c>
      <c r="AJ26" s="113">
        <f>IF(AJ$13="","",IF($B26="","",IFERROR(S26*$E26/100,"")))</f>
        <v/>
      </c>
      <c r="AK26" s="113">
        <f>IF(AK$13="","",IF($B26="","",IFERROR(T26*$E26/100,"")))</f>
        <v/>
      </c>
      <c r="AL26" s="113">
        <f>IF(AL$13="","",IF($B26="","",IFERROR(U26*$E26/100,"")))</f>
        <v/>
      </c>
    </row>
    <row r="27">
      <c r="B27" s="5">
        <f>IF(AS51!$C$17="","",AS51!$C$17)</f>
        <v/>
      </c>
      <c r="C27" s="86">
        <f>IF(AS51!$B$17="","",AS51!$B$17)</f>
        <v/>
      </c>
      <c r="D27" s="111">
        <f>IFERROR(AS51!$Q$17,1)</f>
        <v/>
      </c>
      <c r="E27" s="112">
        <f>IF($B27="","",IF(ISNUMBER(AS51!$I$17),AS51!$I$17,'Index Summary'!$C$7))</f>
        <v/>
      </c>
      <c r="F27" s="113">
        <f>IF(F$13="","",IF($B27="","",IFERROR($C27*$D27*SUMIFS('Dvd Calendar'!$E$30:$CZ$30,'Dvd Calendar'!$E$29:$CZ$29,"&gt;"&amp;F$12,'Dvd Calendar'!$E$29:$CZ$29,"&lt;="&amp;F$13)/AS51!$B$3,"")))</f>
        <v/>
      </c>
      <c r="G27" s="113">
        <f>IF(G$13="","",IF($B27="","",IFERROR($C27*$D27*SUMIFS('Dvd Calendar'!$E$30:$CZ$30,'Dvd Calendar'!$E$29:$CZ$29,"&gt;"&amp;G$12,'Dvd Calendar'!$E$29:$CZ$29,"&lt;="&amp;G$13)/AS51!$B$3,"")))</f>
        <v/>
      </c>
      <c r="H27" s="113">
        <f>IF(H$13="","",IF($B27="","",IFERROR($C27*$D27*SUMIFS('Dvd Calendar'!$E$30:$CZ$30,'Dvd Calendar'!$E$29:$CZ$29,"&gt;"&amp;H$12,'Dvd Calendar'!$E$29:$CZ$29,"&lt;="&amp;H$13)/AS51!$B$3,"")))</f>
        <v/>
      </c>
      <c r="I27" s="113">
        <f>IF(I$13="","",IF($B27="","",IFERROR($C27*$D27*SUMIFS('Dvd Calendar'!$E$30:$CZ$30,'Dvd Calendar'!$E$29:$CZ$29,"&gt;"&amp;I$12,'Dvd Calendar'!$E$29:$CZ$29,"&lt;="&amp;I$13)/AS51!$B$3,"")))</f>
        <v/>
      </c>
      <c r="J27" s="113">
        <f>IF(J$13="","",IF($B27="","",IFERROR($C27*$D27*SUMIFS('Dvd Calendar'!$E$30:$CZ$30,'Dvd Calendar'!$E$29:$CZ$29,"&gt;"&amp;J$12,'Dvd Calendar'!$E$29:$CZ$29,"&lt;="&amp;J$13)/AS51!$B$3,"")))</f>
        <v/>
      </c>
      <c r="K27" s="113">
        <f>IF(K$13="","",IF($B27="","",IFERROR($C27*$D27*SUMIFS('Dvd Calendar'!$E$30:$CZ$30,'Dvd Calendar'!$E$29:$CZ$29,"&gt;"&amp;K$12,'Dvd Calendar'!$E$29:$CZ$29,"&lt;="&amp;K$13)/AS51!$B$3,"")))</f>
        <v/>
      </c>
      <c r="L27" s="113">
        <f>IF(L$13="","",IF($B27="","",IFERROR($C27*$D27*SUMIFS('Dvd Calendar'!$E$30:$CZ$30,'Dvd Calendar'!$E$29:$CZ$29,"&gt;"&amp;L$12,'Dvd Calendar'!$E$29:$CZ$29,"&lt;="&amp;L$13)/AS51!$B$3,"")))</f>
        <v/>
      </c>
      <c r="M27" s="113">
        <f>IF(M$13="","",IF($B27="","",IFERROR($C27*$D27*SUMIFS('Dvd Calendar'!$E$30:$CZ$30,'Dvd Calendar'!$E$29:$CZ$29,"&gt;"&amp;M$12,'Dvd Calendar'!$E$29:$CZ$29,"&lt;="&amp;M$13)/AS51!$B$3,"")))</f>
        <v/>
      </c>
      <c r="N27" s="113">
        <f>IF(N$13="","",IF($B27="","",IFERROR($C27*$D27*SUMIFS('Dvd Calendar'!$E$30:$CZ$30,'Dvd Calendar'!$E$29:$CZ$29,"&gt;"&amp;N$12,'Dvd Calendar'!$E$29:$CZ$29,"&lt;="&amp;N$13)/AS51!$B$3,"")))</f>
        <v/>
      </c>
      <c r="O27" s="113">
        <f>IF(O$13="","",IF($B27="","",IFERROR($C27*$D27*SUMIFS('Dvd Calendar'!$E$30:$CZ$30,'Dvd Calendar'!$E$29:$CZ$29,"&gt;"&amp;O$12,'Dvd Calendar'!$E$29:$CZ$29,"&lt;="&amp;O$13)/AS51!$B$3,"")))</f>
        <v/>
      </c>
      <c r="P27" s="113">
        <f>IF(P$13="","",IF($B27="","",IFERROR($C27*$D27*SUMIFS('Dvd Calendar'!$E$30:$CZ$30,'Dvd Calendar'!$E$29:$CZ$29,"&gt;"&amp;P$12,'Dvd Calendar'!$E$29:$CZ$29,"&lt;="&amp;P$13)/AS51!$B$3,"")))</f>
        <v/>
      </c>
      <c r="Q27" s="113">
        <f>IF(Q$13="","",IF($B27="","",IFERROR($C27*$D27*SUMIFS('Dvd Calendar'!$E$30:$CZ$30,'Dvd Calendar'!$E$29:$CZ$29,"&gt;"&amp;Q$12,'Dvd Calendar'!$E$29:$CZ$29,"&lt;="&amp;Q$13)/AS51!$B$3,"")))</f>
        <v/>
      </c>
      <c r="R27" s="113">
        <f>IF(R$13="","",IF($B27="","",IFERROR($C27*$D27*SUMIFS('Dvd Calendar'!$E$30:$CZ$30,'Dvd Calendar'!$E$29:$CZ$29,"&gt;"&amp;R$12,'Dvd Calendar'!$E$29:$CZ$29,"&lt;="&amp;R$13)/AS51!$B$3,"")))</f>
        <v/>
      </c>
      <c r="S27" s="113">
        <f>IF(S$13="","",IF($B27="","",IFERROR($C27*$D27*SUMIFS('Dvd Calendar'!$E$30:$CZ$30,'Dvd Calendar'!$E$29:$CZ$29,"&gt;"&amp;S$12,'Dvd Calendar'!$E$29:$CZ$29,"&lt;="&amp;S$13)/AS51!$B$3,"")))</f>
        <v/>
      </c>
      <c r="T27" s="113">
        <f>IF(T$13="","",IF($B27="","",IFERROR($C27*$D27*SUMIFS('Dvd Calendar'!$E$30:$CZ$30,'Dvd Calendar'!$E$29:$CZ$29,"&gt;"&amp;T$12,'Dvd Calendar'!$E$29:$CZ$29,"&lt;="&amp;T$13)/AS51!$B$3,"")))</f>
        <v/>
      </c>
      <c r="U27" s="113">
        <f>IF(U$13="","",IF($B27="","",IFERROR($C27*$D27*SUMIFS('Dvd Calendar'!$E$30:$CZ$30,'Dvd Calendar'!$E$29:$CZ$29,"&gt;"&amp;U$12,'Dvd Calendar'!$E$29:$CZ$29,"&lt;="&amp;U$13)/AS51!$B$3,"")))</f>
        <v/>
      </c>
      <c r="W27" s="113">
        <f>IF(W$13="","",IF($B27="","",IFERROR(F27*$E27/100,"")))</f>
        <v/>
      </c>
      <c r="X27" s="113">
        <f>IF(X$13="","",IF($B27="","",IFERROR(G27*$E27/100,"")))</f>
        <v/>
      </c>
      <c r="Y27" s="113">
        <f>IF(Y$13="","",IF($B27="","",IFERROR(H27*$E27/100,"")))</f>
        <v/>
      </c>
      <c r="Z27" s="113">
        <f>IF(Z$13="","",IF($B27="","",IFERROR(I27*$E27/100,"")))</f>
        <v/>
      </c>
      <c r="AA27" s="113">
        <f>IF(AA$13="","",IF($B27="","",IFERROR(J27*$E27/100,"")))</f>
        <v/>
      </c>
      <c r="AB27" s="113">
        <f>IF(AB$13="","",IF($B27="","",IFERROR(K27*$E27/100,"")))</f>
        <v/>
      </c>
      <c r="AC27" s="113">
        <f>IF(AC$13="","",IF($B27="","",IFERROR(L27*$E27/100,"")))</f>
        <v/>
      </c>
      <c r="AD27" s="113">
        <f>IF(AD$13="","",IF($B27="","",IFERROR(M27*$E27/100,"")))</f>
        <v/>
      </c>
      <c r="AE27" s="113">
        <f>IF(AE$13="","",IF($B27="","",IFERROR(N27*$E27/100,"")))</f>
        <v/>
      </c>
      <c r="AF27" s="113">
        <f>IF(AF$13="","",IF($B27="","",IFERROR(O27*$E27/100,"")))</f>
        <v/>
      </c>
      <c r="AG27" s="113">
        <f>IF(AG$13="","",IF($B27="","",IFERROR(P27*$E27/100,"")))</f>
        <v/>
      </c>
      <c r="AH27" s="113">
        <f>IF(AH$13="","",IF($B27="","",IFERROR(Q27*$E27/100,"")))</f>
        <v/>
      </c>
      <c r="AI27" s="113">
        <f>IF(AI$13="","",IF($B27="","",IFERROR(R27*$E27/100,"")))</f>
        <v/>
      </c>
      <c r="AJ27" s="113">
        <f>IF(AJ$13="","",IF($B27="","",IFERROR(S27*$E27/100,"")))</f>
        <v/>
      </c>
      <c r="AK27" s="113">
        <f>IF(AK$13="","",IF($B27="","",IFERROR(T27*$E27/100,"")))</f>
        <v/>
      </c>
      <c r="AL27" s="113">
        <f>IF(AL$13="","",IF($B27="","",IFERROR(U27*$E27/100,"")))</f>
        <v/>
      </c>
    </row>
    <row r="28">
      <c r="B28" s="5">
        <f>IF(AS51!$C$18="","",AS51!$C$18)</f>
        <v/>
      </c>
      <c r="C28" s="86">
        <f>IF(AS51!$B$18="","",AS51!$B$18)</f>
        <v/>
      </c>
      <c r="D28" s="111">
        <f>IFERROR(AS51!$Q$18,1)</f>
        <v/>
      </c>
      <c r="E28" s="112">
        <f>IF($B28="","",IF(ISNUMBER(AS51!$I$18),AS51!$I$18,'Index Summary'!$C$7))</f>
        <v/>
      </c>
      <c r="F28" s="113">
        <f>IF(F$13="","",IF($B28="","",IFERROR($C28*$D28*SUMIFS('Dvd Calendar'!$E$32:$CZ$32,'Dvd Calendar'!$E$31:$CZ$31,"&gt;"&amp;F$12,'Dvd Calendar'!$E$31:$CZ$31,"&lt;="&amp;F$13)/AS51!$B$3,"")))</f>
        <v/>
      </c>
      <c r="G28" s="113">
        <f>IF(G$13="","",IF($B28="","",IFERROR($C28*$D28*SUMIFS('Dvd Calendar'!$E$32:$CZ$32,'Dvd Calendar'!$E$31:$CZ$31,"&gt;"&amp;G$12,'Dvd Calendar'!$E$31:$CZ$31,"&lt;="&amp;G$13)/AS51!$B$3,"")))</f>
        <v/>
      </c>
      <c r="H28" s="113">
        <f>IF(H$13="","",IF($B28="","",IFERROR($C28*$D28*SUMIFS('Dvd Calendar'!$E$32:$CZ$32,'Dvd Calendar'!$E$31:$CZ$31,"&gt;"&amp;H$12,'Dvd Calendar'!$E$31:$CZ$31,"&lt;="&amp;H$13)/AS51!$B$3,"")))</f>
        <v/>
      </c>
      <c r="I28" s="113">
        <f>IF(I$13="","",IF($B28="","",IFERROR($C28*$D28*SUMIFS('Dvd Calendar'!$E$32:$CZ$32,'Dvd Calendar'!$E$31:$CZ$31,"&gt;"&amp;I$12,'Dvd Calendar'!$E$31:$CZ$31,"&lt;="&amp;I$13)/AS51!$B$3,"")))</f>
        <v/>
      </c>
      <c r="J28" s="113">
        <f>IF(J$13="","",IF($B28="","",IFERROR($C28*$D28*SUMIFS('Dvd Calendar'!$E$32:$CZ$32,'Dvd Calendar'!$E$31:$CZ$31,"&gt;"&amp;J$12,'Dvd Calendar'!$E$31:$CZ$31,"&lt;="&amp;J$13)/AS51!$B$3,"")))</f>
        <v/>
      </c>
      <c r="K28" s="113">
        <f>IF(K$13="","",IF($B28="","",IFERROR($C28*$D28*SUMIFS('Dvd Calendar'!$E$32:$CZ$32,'Dvd Calendar'!$E$31:$CZ$31,"&gt;"&amp;K$12,'Dvd Calendar'!$E$31:$CZ$31,"&lt;="&amp;K$13)/AS51!$B$3,"")))</f>
        <v/>
      </c>
      <c r="L28" s="113">
        <f>IF(L$13="","",IF($B28="","",IFERROR($C28*$D28*SUMIFS('Dvd Calendar'!$E$32:$CZ$32,'Dvd Calendar'!$E$31:$CZ$31,"&gt;"&amp;L$12,'Dvd Calendar'!$E$31:$CZ$31,"&lt;="&amp;L$13)/AS51!$B$3,"")))</f>
        <v/>
      </c>
      <c r="M28" s="113">
        <f>IF(M$13="","",IF($B28="","",IFERROR($C28*$D28*SUMIFS('Dvd Calendar'!$E$32:$CZ$32,'Dvd Calendar'!$E$31:$CZ$31,"&gt;"&amp;M$12,'Dvd Calendar'!$E$31:$CZ$31,"&lt;="&amp;M$13)/AS51!$B$3,"")))</f>
        <v/>
      </c>
      <c r="N28" s="113">
        <f>IF(N$13="","",IF($B28="","",IFERROR($C28*$D28*SUMIFS('Dvd Calendar'!$E$32:$CZ$32,'Dvd Calendar'!$E$31:$CZ$31,"&gt;"&amp;N$12,'Dvd Calendar'!$E$31:$CZ$31,"&lt;="&amp;N$13)/AS51!$B$3,"")))</f>
        <v/>
      </c>
      <c r="O28" s="113">
        <f>IF(O$13="","",IF($B28="","",IFERROR($C28*$D28*SUMIFS('Dvd Calendar'!$E$32:$CZ$32,'Dvd Calendar'!$E$31:$CZ$31,"&gt;"&amp;O$12,'Dvd Calendar'!$E$31:$CZ$31,"&lt;="&amp;O$13)/AS51!$B$3,"")))</f>
        <v/>
      </c>
      <c r="P28" s="113">
        <f>IF(P$13="","",IF($B28="","",IFERROR($C28*$D28*SUMIFS('Dvd Calendar'!$E$32:$CZ$32,'Dvd Calendar'!$E$31:$CZ$31,"&gt;"&amp;P$12,'Dvd Calendar'!$E$31:$CZ$31,"&lt;="&amp;P$13)/AS51!$B$3,"")))</f>
        <v/>
      </c>
      <c r="Q28" s="113">
        <f>IF(Q$13="","",IF($B28="","",IFERROR($C28*$D28*SUMIFS('Dvd Calendar'!$E$32:$CZ$32,'Dvd Calendar'!$E$31:$CZ$31,"&gt;"&amp;Q$12,'Dvd Calendar'!$E$31:$CZ$31,"&lt;="&amp;Q$13)/AS51!$B$3,"")))</f>
        <v/>
      </c>
      <c r="R28" s="113">
        <f>IF(R$13="","",IF($B28="","",IFERROR($C28*$D28*SUMIFS('Dvd Calendar'!$E$32:$CZ$32,'Dvd Calendar'!$E$31:$CZ$31,"&gt;"&amp;R$12,'Dvd Calendar'!$E$31:$CZ$31,"&lt;="&amp;R$13)/AS51!$B$3,"")))</f>
        <v/>
      </c>
      <c r="S28" s="113">
        <f>IF(S$13="","",IF($B28="","",IFERROR($C28*$D28*SUMIFS('Dvd Calendar'!$E$32:$CZ$32,'Dvd Calendar'!$E$31:$CZ$31,"&gt;"&amp;S$12,'Dvd Calendar'!$E$31:$CZ$31,"&lt;="&amp;S$13)/AS51!$B$3,"")))</f>
        <v/>
      </c>
      <c r="T28" s="113">
        <f>IF(T$13="","",IF($B28="","",IFERROR($C28*$D28*SUMIFS('Dvd Calendar'!$E$32:$CZ$32,'Dvd Calendar'!$E$31:$CZ$31,"&gt;"&amp;T$12,'Dvd Calendar'!$E$31:$CZ$31,"&lt;="&amp;T$13)/AS51!$B$3,"")))</f>
        <v/>
      </c>
      <c r="U28" s="113">
        <f>IF(U$13="","",IF($B28="","",IFERROR($C28*$D28*SUMIFS('Dvd Calendar'!$E$32:$CZ$32,'Dvd Calendar'!$E$31:$CZ$31,"&gt;"&amp;U$12,'Dvd Calendar'!$E$31:$CZ$31,"&lt;="&amp;U$13)/AS51!$B$3,"")))</f>
        <v/>
      </c>
      <c r="W28" s="113">
        <f>IF(W$13="","",IF($B28="","",IFERROR(F28*$E28/100,"")))</f>
        <v/>
      </c>
      <c r="X28" s="113">
        <f>IF(X$13="","",IF($B28="","",IFERROR(G28*$E28/100,"")))</f>
        <v/>
      </c>
      <c r="Y28" s="113">
        <f>IF(Y$13="","",IF($B28="","",IFERROR(H28*$E28/100,"")))</f>
        <v/>
      </c>
      <c r="Z28" s="113">
        <f>IF(Z$13="","",IF($B28="","",IFERROR(I28*$E28/100,"")))</f>
        <v/>
      </c>
      <c r="AA28" s="113">
        <f>IF(AA$13="","",IF($B28="","",IFERROR(J28*$E28/100,"")))</f>
        <v/>
      </c>
      <c r="AB28" s="113">
        <f>IF(AB$13="","",IF($B28="","",IFERROR(K28*$E28/100,"")))</f>
        <v/>
      </c>
      <c r="AC28" s="113">
        <f>IF(AC$13="","",IF($B28="","",IFERROR(L28*$E28/100,"")))</f>
        <v/>
      </c>
      <c r="AD28" s="113">
        <f>IF(AD$13="","",IF($B28="","",IFERROR(M28*$E28/100,"")))</f>
        <v/>
      </c>
      <c r="AE28" s="113">
        <f>IF(AE$13="","",IF($B28="","",IFERROR(N28*$E28/100,"")))</f>
        <v/>
      </c>
      <c r="AF28" s="113">
        <f>IF(AF$13="","",IF($B28="","",IFERROR(O28*$E28/100,"")))</f>
        <v/>
      </c>
      <c r="AG28" s="113">
        <f>IF(AG$13="","",IF($B28="","",IFERROR(P28*$E28/100,"")))</f>
        <v/>
      </c>
      <c r="AH28" s="113">
        <f>IF(AH$13="","",IF($B28="","",IFERROR(Q28*$E28/100,"")))</f>
        <v/>
      </c>
      <c r="AI28" s="113">
        <f>IF(AI$13="","",IF($B28="","",IFERROR(R28*$E28/100,"")))</f>
        <v/>
      </c>
      <c r="AJ28" s="113">
        <f>IF(AJ$13="","",IF($B28="","",IFERROR(S28*$E28/100,"")))</f>
        <v/>
      </c>
      <c r="AK28" s="113">
        <f>IF(AK$13="","",IF($B28="","",IFERROR(T28*$E28/100,"")))</f>
        <v/>
      </c>
      <c r="AL28" s="113">
        <f>IF(AL$13="","",IF($B28="","",IFERROR(U28*$E28/100,"")))</f>
        <v/>
      </c>
    </row>
    <row r="29">
      <c r="B29" s="5">
        <f>IF(AS51!$C$19="","",AS51!$C$19)</f>
        <v/>
      </c>
      <c r="C29" s="86">
        <f>IF(AS51!$B$19="","",AS51!$B$19)</f>
        <v/>
      </c>
      <c r="D29" s="111">
        <f>IFERROR(AS51!$Q$19,1)</f>
        <v/>
      </c>
      <c r="E29" s="112">
        <f>IF($B29="","",IF(ISNUMBER(AS51!$I$19),AS51!$I$19,'Index Summary'!$C$7))</f>
        <v/>
      </c>
      <c r="F29" s="113">
        <f>IF(F$13="","",IF($B29="","",IFERROR($C29*$D29*SUMIFS('Dvd Calendar'!$E$34:$CZ$34,'Dvd Calendar'!$E$33:$CZ$33,"&gt;"&amp;F$12,'Dvd Calendar'!$E$33:$CZ$33,"&lt;="&amp;F$13)/AS51!$B$3,"")))</f>
        <v/>
      </c>
      <c r="G29" s="113">
        <f>IF(G$13="","",IF($B29="","",IFERROR($C29*$D29*SUMIFS('Dvd Calendar'!$E$34:$CZ$34,'Dvd Calendar'!$E$33:$CZ$33,"&gt;"&amp;G$12,'Dvd Calendar'!$E$33:$CZ$33,"&lt;="&amp;G$13)/AS51!$B$3,"")))</f>
        <v/>
      </c>
      <c r="H29" s="113">
        <f>IF(H$13="","",IF($B29="","",IFERROR($C29*$D29*SUMIFS('Dvd Calendar'!$E$34:$CZ$34,'Dvd Calendar'!$E$33:$CZ$33,"&gt;"&amp;H$12,'Dvd Calendar'!$E$33:$CZ$33,"&lt;="&amp;H$13)/AS51!$B$3,"")))</f>
        <v/>
      </c>
      <c r="I29" s="113">
        <f>IF(I$13="","",IF($B29="","",IFERROR($C29*$D29*SUMIFS('Dvd Calendar'!$E$34:$CZ$34,'Dvd Calendar'!$E$33:$CZ$33,"&gt;"&amp;I$12,'Dvd Calendar'!$E$33:$CZ$33,"&lt;="&amp;I$13)/AS51!$B$3,"")))</f>
        <v/>
      </c>
      <c r="J29" s="113">
        <f>IF(J$13="","",IF($B29="","",IFERROR($C29*$D29*SUMIFS('Dvd Calendar'!$E$34:$CZ$34,'Dvd Calendar'!$E$33:$CZ$33,"&gt;"&amp;J$12,'Dvd Calendar'!$E$33:$CZ$33,"&lt;="&amp;J$13)/AS51!$B$3,"")))</f>
        <v/>
      </c>
      <c r="K29" s="113">
        <f>IF(K$13="","",IF($B29="","",IFERROR($C29*$D29*SUMIFS('Dvd Calendar'!$E$34:$CZ$34,'Dvd Calendar'!$E$33:$CZ$33,"&gt;"&amp;K$12,'Dvd Calendar'!$E$33:$CZ$33,"&lt;="&amp;K$13)/AS51!$B$3,"")))</f>
        <v/>
      </c>
      <c r="L29" s="113">
        <f>IF(L$13="","",IF($B29="","",IFERROR($C29*$D29*SUMIFS('Dvd Calendar'!$E$34:$CZ$34,'Dvd Calendar'!$E$33:$CZ$33,"&gt;"&amp;L$12,'Dvd Calendar'!$E$33:$CZ$33,"&lt;="&amp;L$13)/AS51!$B$3,"")))</f>
        <v/>
      </c>
      <c r="M29" s="113">
        <f>IF(M$13="","",IF($B29="","",IFERROR($C29*$D29*SUMIFS('Dvd Calendar'!$E$34:$CZ$34,'Dvd Calendar'!$E$33:$CZ$33,"&gt;"&amp;M$12,'Dvd Calendar'!$E$33:$CZ$33,"&lt;="&amp;M$13)/AS51!$B$3,"")))</f>
        <v/>
      </c>
      <c r="N29" s="113">
        <f>IF(N$13="","",IF($B29="","",IFERROR($C29*$D29*SUMIFS('Dvd Calendar'!$E$34:$CZ$34,'Dvd Calendar'!$E$33:$CZ$33,"&gt;"&amp;N$12,'Dvd Calendar'!$E$33:$CZ$33,"&lt;="&amp;N$13)/AS51!$B$3,"")))</f>
        <v/>
      </c>
      <c r="O29" s="113">
        <f>IF(O$13="","",IF($B29="","",IFERROR($C29*$D29*SUMIFS('Dvd Calendar'!$E$34:$CZ$34,'Dvd Calendar'!$E$33:$CZ$33,"&gt;"&amp;O$12,'Dvd Calendar'!$E$33:$CZ$33,"&lt;="&amp;O$13)/AS51!$B$3,"")))</f>
        <v/>
      </c>
      <c r="P29" s="113">
        <f>IF(P$13="","",IF($B29="","",IFERROR($C29*$D29*SUMIFS('Dvd Calendar'!$E$34:$CZ$34,'Dvd Calendar'!$E$33:$CZ$33,"&gt;"&amp;P$12,'Dvd Calendar'!$E$33:$CZ$33,"&lt;="&amp;P$13)/AS51!$B$3,"")))</f>
        <v/>
      </c>
      <c r="Q29" s="113">
        <f>IF(Q$13="","",IF($B29="","",IFERROR($C29*$D29*SUMIFS('Dvd Calendar'!$E$34:$CZ$34,'Dvd Calendar'!$E$33:$CZ$33,"&gt;"&amp;Q$12,'Dvd Calendar'!$E$33:$CZ$33,"&lt;="&amp;Q$13)/AS51!$B$3,"")))</f>
        <v/>
      </c>
      <c r="R29" s="113">
        <f>IF(R$13="","",IF($B29="","",IFERROR($C29*$D29*SUMIFS('Dvd Calendar'!$E$34:$CZ$34,'Dvd Calendar'!$E$33:$CZ$33,"&gt;"&amp;R$12,'Dvd Calendar'!$E$33:$CZ$33,"&lt;="&amp;R$13)/AS51!$B$3,"")))</f>
        <v/>
      </c>
      <c r="S29" s="113">
        <f>IF(S$13="","",IF($B29="","",IFERROR($C29*$D29*SUMIFS('Dvd Calendar'!$E$34:$CZ$34,'Dvd Calendar'!$E$33:$CZ$33,"&gt;"&amp;S$12,'Dvd Calendar'!$E$33:$CZ$33,"&lt;="&amp;S$13)/AS51!$B$3,"")))</f>
        <v/>
      </c>
      <c r="T29" s="113">
        <f>IF(T$13="","",IF($B29="","",IFERROR($C29*$D29*SUMIFS('Dvd Calendar'!$E$34:$CZ$34,'Dvd Calendar'!$E$33:$CZ$33,"&gt;"&amp;T$12,'Dvd Calendar'!$E$33:$CZ$33,"&lt;="&amp;T$13)/AS51!$B$3,"")))</f>
        <v/>
      </c>
      <c r="U29" s="113">
        <f>IF(U$13="","",IF($B29="","",IFERROR($C29*$D29*SUMIFS('Dvd Calendar'!$E$34:$CZ$34,'Dvd Calendar'!$E$33:$CZ$33,"&gt;"&amp;U$12,'Dvd Calendar'!$E$33:$CZ$33,"&lt;="&amp;U$13)/AS51!$B$3,"")))</f>
        <v/>
      </c>
      <c r="W29" s="113">
        <f>IF(W$13="","",IF($B29="","",IFERROR(F29*$E29/100,"")))</f>
        <v/>
      </c>
      <c r="X29" s="113">
        <f>IF(X$13="","",IF($B29="","",IFERROR(G29*$E29/100,"")))</f>
        <v/>
      </c>
      <c r="Y29" s="113">
        <f>IF(Y$13="","",IF($B29="","",IFERROR(H29*$E29/100,"")))</f>
        <v/>
      </c>
      <c r="Z29" s="113">
        <f>IF(Z$13="","",IF($B29="","",IFERROR(I29*$E29/100,"")))</f>
        <v/>
      </c>
      <c r="AA29" s="113">
        <f>IF(AA$13="","",IF($B29="","",IFERROR(J29*$E29/100,"")))</f>
        <v/>
      </c>
      <c r="AB29" s="113">
        <f>IF(AB$13="","",IF($B29="","",IFERROR(K29*$E29/100,"")))</f>
        <v/>
      </c>
      <c r="AC29" s="113">
        <f>IF(AC$13="","",IF($B29="","",IFERROR(L29*$E29/100,"")))</f>
        <v/>
      </c>
      <c r="AD29" s="113">
        <f>IF(AD$13="","",IF($B29="","",IFERROR(M29*$E29/100,"")))</f>
        <v/>
      </c>
      <c r="AE29" s="113">
        <f>IF(AE$13="","",IF($B29="","",IFERROR(N29*$E29/100,"")))</f>
        <v/>
      </c>
      <c r="AF29" s="113">
        <f>IF(AF$13="","",IF($B29="","",IFERROR(O29*$E29/100,"")))</f>
        <v/>
      </c>
      <c r="AG29" s="113">
        <f>IF(AG$13="","",IF($B29="","",IFERROR(P29*$E29/100,"")))</f>
        <v/>
      </c>
      <c r="AH29" s="113">
        <f>IF(AH$13="","",IF($B29="","",IFERROR(Q29*$E29/100,"")))</f>
        <v/>
      </c>
      <c r="AI29" s="113">
        <f>IF(AI$13="","",IF($B29="","",IFERROR(R29*$E29/100,"")))</f>
        <v/>
      </c>
      <c r="AJ29" s="113">
        <f>IF(AJ$13="","",IF($B29="","",IFERROR(S29*$E29/100,"")))</f>
        <v/>
      </c>
      <c r="AK29" s="113">
        <f>IF(AK$13="","",IF($B29="","",IFERROR(T29*$E29/100,"")))</f>
        <v/>
      </c>
      <c r="AL29" s="113">
        <f>IF(AL$13="","",IF($B29="","",IFERROR(U29*$E29/100,"")))</f>
        <v/>
      </c>
    </row>
    <row r="30">
      <c r="B30" s="5">
        <f>IF(AS51!$C$20="","",AS51!$C$20)</f>
        <v/>
      </c>
      <c r="C30" s="86">
        <f>IF(AS51!$B$20="","",AS51!$B$20)</f>
        <v/>
      </c>
      <c r="D30" s="111">
        <f>IFERROR(AS51!$Q$20,1)</f>
        <v/>
      </c>
      <c r="E30" s="112">
        <f>IF($B30="","",IF(ISNUMBER(AS51!$I$20),AS51!$I$20,'Index Summary'!$C$7))</f>
        <v/>
      </c>
      <c r="F30" s="113">
        <f>IF(F$13="","",IF($B30="","",IFERROR($C30*$D30*SUMIFS('Dvd Calendar'!$E$36:$CZ$36,'Dvd Calendar'!$E$35:$CZ$35,"&gt;"&amp;F$12,'Dvd Calendar'!$E$35:$CZ$35,"&lt;="&amp;F$13)/AS51!$B$3,"")))</f>
        <v/>
      </c>
      <c r="G30" s="113">
        <f>IF(G$13="","",IF($B30="","",IFERROR($C30*$D30*SUMIFS('Dvd Calendar'!$E$36:$CZ$36,'Dvd Calendar'!$E$35:$CZ$35,"&gt;"&amp;G$12,'Dvd Calendar'!$E$35:$CZ$35,"&lt;="&amp;G$13)/AS51!$B$3,"")))</f>
        <v/>
      </c>
      <c r="H30" s="113">
        <f>IF(H$13="","",IF($B30="","",IFERROR($C30*$D30*SUMIFS('Dvd Calendar'!$E$36:$CZ$36,'Dvd Calendar'!$E$35:$CZ$35,"&gt;"&amp;H$12,'Dvd Calendar'!$E$35:$CZ$35,"&lt;="&amp;H$13)/AS51!$B$3,"")))</f>
        <v/>
      </c>
      <c r="I30" s="113">
        <f>IF(I$13="","",IF($B30="","",IFERROR($C30*$D30*SUMIFS('Dvd Calendar'!$E$36:$CZ$36,'Dvd Calendar'!$E$35:$CZ$35,"&gt;"&amp;I$12,'Dvd Calendar'!$E$35:$CZ$35,"&lt;="&amp;I$13)/AS51!$B$3,"")))</f>
        <v/>
      </c>
      <c r="J30" s="113">
        <f>IF(J$13="","",IF($B30="","",IFERROR($C30*$D30*SUMIFS('Dvd Calendar'!$E$36:$CZ$36,'Dvd Calendar'!$E$35:$CZ$35,"&gt;"&amp;J$12,'Dvd Calendar'!$E$35:$CZ$35,"&lt;="&amp;J$13)/AS51!$B$3,"")))</f>
        <v/>
      </c>
      <c r="K30" s="113">
        <f>IF(K$13="","",IF($B30="","",IFERROR($C30*$D30*SUMIFS('Dvd Calendar'!$E$36:$CZ$36,'Dvd Calendar'!$E$35:$CZ$35,"&gt;"&amp;K$12,'Dvd Calendar'!$E$35:$CZ$35,"&lt;="&amp;K$13)/AS51!$B$3,"")))</f>
        <v/>
      </c>
      <c r="L30" s="113">
        <f>IF(L$13="","",IF($B30="","",IFERROR($C30*$D30*SUMIFS('Dvd Calendar'!$E$36:$CZ$36,'Dvd Calendar'!$E$35:$CZ$35,"&gt;"&amp;L$12,'Dvd Calendar'!$E$35:$CZ$35,"&lt;="&amp;L$13)/AS51!$B$3,"")))</f>
        <v/>
      </c>
      <c r="M30" s="113">
        <f>IF(M$13="","",IF($B30="","",IFERROR($C30*$D30*SUMIFS('Dvd Calendar'!$E$36:$CZ$36,'Dvd Calendar'!$E$35:$CZ$35,"&gt;"&amp;M$12,'Dvd Calendar'!$E$35:$CZ$35,"&lt;="&amp;M$13)/AS51!$B$3,"")))</f>
        <v/>
      </c>
      <c r="N30" s="113">
        <f>IF(N$13="","",IF($B30="","",IFERROR($C30*$D30*SUMIFS('Dvd Calendar'!$E$36:$CZ$36,'Dvd Calendar'!$E$35:$CZ$35,"&gt;"&amp;N$12,'Dvd Calendar'!$E$35:$CZ$35,"&lt;="&amp;N$13)/AS51!$B$3,"")))</f>
        <v/>
      </c>
      <c r="O30" s="113">
        <f>IF(O$13="","",IF($B30="","",IFERROR($C30*$D30*SUMIFS('Dvd Calendar'!$E$36:$CZ$36,'Dvd Calendar'!$E$35:$CZ$35,"&gt;"&amp;O$12,'Dvd Calendar'!$E$35:$CZ$35,"&lt;="&amp;O$13)/AS51!$B$3,"")))</f>
        <v/>
      </c>
      <c r="P30" s="113">
        <f>IF(P$13="","",IF($B30="","",IFERROR($C30*$D30*SUMIFS('Dvd Calendar'!$E$36:$CZ$36,'Dvd Calendar'!$E$35:$CZ$35,"&gt;"&amp;P$12,'Dvd Calendar'!$E$35:$CZ$35,"&lt;="&amp;P$13)/AS51!$B$3,"")))</f>
        <v/>
      </c>
      <c r="Q30" s="113">
        <f>IF(Q$13="","",IF($B30="","",IFERROR($C30*$D30*SUMIFS('Dvd Calendar'!$E$36:$CZ$36,'Dvd Calendar'!$E$35:$CZ$35,"&gt;"&amp;Q$12,'Dvd Calendar'!$E$35:$CZ$35,"&lt;="&amp;Q$13)/AS51!$B$3,"")))</f>
        <v/>
      </c>
      <c r="R30" s="113">
        <f>IF(R$13="","",IF($B30="","",IFERROR($C30*$D30*SUMIFS('Dvd Calendar'!$E$36:$CZ$36,'Dvd Calendar'!$E$35:$CZ$35,"&gt;"&amp;R$12,'Dvd Calendar'!$E$35:$CZ$35,"&lt;="&amp;R$13)/AS51!$B$3,"")))</f>
        <v/>
      </c>
      <c r="S30" s="113">
        <f>IF(S$13="","",IF($B30="","",IFERROR($C30*$D30*SUMIFS('Dvd Calendar'!$E$36:$CZ$36,'Dvd Calendar'!$E$35:$CZ$35,"&gt;"&amp;S$12,'Dvd Calendar'!$E$35:$CZ$35,"&lt;="&amp;S$13)/AS51!$B$3,"")))</f>
        <v/>
      </c>
      <c r="T30" s="113">
        <f>IF(T$13="","",IF($B30="","",IFERROR($C30*$D30*SUMIFS('Dvd Calendar'!$E$36:$CZ$36,'Dvd Calendar'!$E$35:$CZ$35,"&gt;"&amp;T$12,'Dvd Calendar'!$E$35:$CZ$35,"&lt;="&amp;T$13)/AS51!$B$3,"")))</f>
        <v/>
      </c>
      <c r="U30" s="113">
        <f>IF(U$13="","",IF($B30="","",IFERROR($C30*$D30*SUMIFS('Dvd Calendar'!$E$36:$CZ$36,'Dvd Calendar'!$E$35:$CZ$35,"&gt;"&amp;U$12,'Dvd Calendar'!$E$35:$CZ$35,"&lt;="&amp;U$13)/AS51!$B$3,"")))</f>
        <v/>
      </c>
      <c r="W30" s="113">
        <f>IF(W$13="","",IF($B30="","",IFERROR(F30*$E30/100,"")))</f>
        <v/>
      </c>
      <c r="X30" s="113">
        <f>IF(X$13="","",IF($B30="","",IFERROR(G30*$E30/100,"")))</f>
        <v/>
      </c>
      <c r="Y30" s="113">
        <f>IF(Y$13="","",IF($B30="","",IFERROR(H30*$E30/100,"")))</f>
        <v/>
      </c>
      <c r="Z30" s="113">
        <f>IF(Z$13="","",IF($B30="","",IFERROR(I30*$E30/100,"")))</f>
        <v/>
      </c>
      <c r="AA30" s="113">
        <f>IF(AA$13="","",IF($B30="","",IFERROR(J30*$E30/100,"")))</f>
        <v/>
      </c>
      <c r="AB30" s="113">
        <f>IF(AB$13="","",IF($B30="","",IFERROR(K30*$E30/100,"")))</f>
        <v/>
      </c>
      <c r="AC30" s="113">
        <f>IF(AC$13="","",IF($B30="","",IFERROR(L30*$E30/100,"")))</f>
        <v/>
      </c>
      <c r="AD30" s="113">
        <f>IF(AD$13="","",IF($B30="","",IFERROR(M30*$E30/100,"")))</f>
        <v/>
      </c>
      <c r="AE30" s="113">
        <f>IF(AE$13="","",IF($B30="","",IFERROR(N30*$E30/100,"")))</f>
        <v/>
      </c>
      <c r="AF30" s="113">
        <f>IF(AF$13="","",IF($B30="","",IFERROR(O30*$E30/100,"")))</f>
        <v/>
      </c>
      <c r="AG30" s="113">
        <f>IF(AG$13="","",IF($B30="","",IFERROR(P30*$E30/100,"")))</f>
        <v/>
      </c>
      <c r="AH30" s="113">
        <f>IF(AH$13="","",IF($B30="","",IFERROR(Q30*$E30/100,"")))</f>
        <v/>
      </c>
      <c r="AI30" s="113">
        <f>IF(AI$13="","",IF($B30="","",IFERROR(R30*$E30/100,"")))</f>
        <v/>
      </c>
      <c r="AJ30" s="113">
        <f>IF(AJ$13="","",IF($B30="","",IFERROR(S30*$E30/100,"")))</f>
        <v/>
      </c>
      <c r="AK30" s="113">
        <f>IF(AK$13="","",IF($B30="","",IFERROR(T30*$E30/100,"")))</f>
        <v/>
      </c>
      <c r="AL30" s="113">
        <f>IF(AL$13="","",IF($B30="","",IFERROR(U30*$E30/100,"")))</f>
        <v/>
      </c>
    </row>
    <row r="31">
      <c r="B31" s="5">
        <f>IF(AS51!$C$21="","",AS51!$C$21)</f>
        <v/>
      </c>
      <c r="C31" s="86">
        <f>IF(AS51!$B$21="","",AS51!$B$21)</f>
        <v/>
      </c>
      <c r="D31" s="111">
        <f>IFERROR(AS51!$Q$21,1)</f>
        <v/>
      </c>
      <c r="E31" s="112">
        <f>IF($B31="","",IF(ISNUMBER(AS51!$I$21),AS51!$I$21,'Index Summary'!$C$7))</f>
        <v/>
      </c>
      <c r="F31" s="113">
        <f>IF(F$13="","",IF($B31="","",IFERROR($C31*$D31*SUMIFS('Dvd Calendar'!$E$38:$CZ$38,'Dvd Calendar'!$E$37:$CZ$37,"&gt;"&amp;F$12,'Dvd Calendar'!$E$37:$CZ$37,"&lt;="&amp;F$13)/AS51!$B$3,"")))</f>
        <v/>
      </c>
      <c r="G31" s="113">
        <f>IF(G$13="","",IF($B31="","",IFERROR($C31*$D31*SUMIFS('Dvd Calendar'!$E$38:$CZ$38,'Dvd Calendar'!$E$37:$CZ$37,"&gt;"&amp;G$12,'Dvd Calendar'!$E$37:$CZ$37,"&lt;="&amp;G$13)/AS51!$B$3,"")))</f>
        <v/>
      </c>
      <c r="H31" s="113">
        <f>IF(H$13="","",IF($B31="","",IFERROR($C31*$D31*SUMIFS('Dvd Calendar'!$E$38:$CZ$38,'Dvd Calendar'!$E$37:$CZ$37,"&gt;"&amp;H$12,'Dvd Calendar'!$E$37:$CZ$37,"&lt;="&amp;H$13)/AS51!$B$3,"")))</f>
        <v/>
      </c>
      <c r="I31" s="113">
        <f>IF(I$13="","",IF($B31="","",IFERROR($C31*$D31*SUMIFS('Dvd Calendar'!$E$38:$CZ$38,'Dvd Calendar'!$E$37:$CZ$37,"&gt;"&amp;I$12,'Dvd Calendar'!$E$37:$CZ$37,"&lt;="&amp;I$13)/AS51!$B$3,"")))</f>
        <v/>
      </c>
      <c r="J31" s="113">
        <f>IF(J$13="","",IF($B31="","",IFERROR($C31*$D31*SUMIFS('Dvd Calendar'!$E$38:$CZ$38,'Dvd Calendar'!$E$37:$CZ$37,"&gt;"&amp;J$12,'Dvd Calendar'!$E$37:$CZ$37,"&lt;="&amp;J$13)/AS51!$B$3,"")))</f>
        <v/>
      </c>
      <c r="K31" s="113">
        <f>IF(K$13="","",IF($B31="","",IFERROR($C31*$D31*SUMIFS('Dvd Calendar'!$E$38:$CZ$38,'Dvd Calendar'!$E$37:$CZ$37,"&gt;"&amp;K$12,'Dvd Calendar'!$E$37:$CZ$37,"&lt;="&amp;K$13)/AS51!$B$3,"")))</f>
        <v/>
      </c>
      <c r="L31" s="113">
        <f>IF(L$13="","",IF($B31="","",IFERROR($C31*$D31*SUMIFS('Dvd Calendar'!$E$38:$CZ$38,'Dvd Calendar'!$E$37:$CZ$37,"&gt;"&amp;L$12,'Dvd Calendar'!$E$37:$CZ$37,"&lt;="&amp;L$13)/AS51!$B$3,"")))</f>
        <v/>
      </c>
      <c r="M31" s="113">
        <f>IF(M$13="","",IF($B31="","",IFERROR($C31*$D31*SUMIFS('Dvd Calendar'!$E$38:$CZ$38,'Dvd Calendar'!$E$37:$CZ$37,"&gt;"&amp;M$12,'Dvd Calendar'!$E$37:$CZ$37,"&lt;="&amp;M$13)/AS51!$B$3,"")))</f>
        <v/>
      </c>
      <c r="N31" s="113">
        <f>IF(N$13="","",IF($B31="","",IFERROR($C31*$D31*SUMIFS('Dvd Calendar'!$E$38:$CZ$38,'Dvd Calendar'!$E$37:$CZ$37,"&gt;"&amp;N$12,'Dvd Calendar'!$E$37:$CZ$37,"&lt;="&amp;N$13)/AS51!$B$3,"")))</f>
        <v/>
      </c>
      <c r="O31" s="113">
        <f>IF(O$13="","",IF($B31="","",IFERROR($C31*$D31*SUMIFS('Dvd Calendar'!$E$38:$CZ$38,'Dvd Calendar'!$E$37:$CZ$37,"&gt;"&amp;O$12,'Dvd Calendar'!$E$37:$CZ$37,"&lt;="&amp;O$13)/AS51!$B$3,"")))</f>
        <v/>
      </c>
      <c r="P31" s="113">
        <f>IF(P$13="","",IF($B31="","",IFERROR($C31*$D31*SUMIFS('Dvd Calendar'!$E$38:$CZ$38,'Dvd Calendar'!$E$37:$CZ$37,"&gt;"&amp;P$12,'Dvd Calendar'!$E$37:$CZ$37,"&lt;="&amp;P$13)/AS51!$B$3,"")))</f>
        <v/>
      </c>
      <c r="Q31" s="113">
        <f>IF(Q$13="","",IF($B31="","",IFERROR($C31*$D31*SUMIFS('Dvd Calendar'!$E$38:$CZ$38,'Dvd Calendar'!$E$37:$CZ$37,"&gt;"&amp;Q$12,'Dvd Calendar'!$E$37:$CZ$37,"&lt;="&amp;Q$13)/AS51!$B$3,"")))</f>
        <v/>
      </c>
      <c r="R31" s="113">
        <f>IF(R$13="","",IF($B31="","",IFERROR($C31*$D31*SUMIFS('Dvd Calendar'!$E$38:$CZ$38,'Dvd Calendar'!$E$37:$CZ$37,"&gt;"&amp;R$12,'Dvd Calendar'!$E$37:$CZ$37,"&lt;="&amp;R$13)/AS51!$B$3,"")))</f>
        <v/>
      </c>
      <c r="S31" s="113">
        <f>IF(S$13="","",IF($B31="","",IFERROR($C31*$D31*SUMIFS('Dvd Calendar'!$E$38:$CZ$38,'Dvd Calendar'!$E$37:$CZ$37,"&gt;"&amp;S$12,'Dvd Calendar'!$E$37:$CZ$37,"&lt;="&amp;S$13)/AS51!$B$3,"")))</f>
        <v/>
      </c>
      <c r="T31" s="113">
        <f>IF(T$13="","",IF($B31="","",IFERROR($C31*$D31*SUMIFS('Dvd Calendar'!$E$38:$CZ$38,'Dvd Calendar'!$E$37:$CZ$37,"&gt;"&amp;T$12,'Dvd Calendar'!$E$37:$CZ$37,"&lt;="&amp;T$13)/AS51!$B$3,"")))</f>
        <v/>
      </c>
      <c r="U31" s="113">
        <f>IF(U$13="","",IF($B31="","",IFERROR($C31*$D31*SUMIFS('Dvd Calendar'!$E$38:$CZ$38,'Dvd Calendar'!$E$37:$CZ$37,"&gt;"&amp;U$12,'Dvd Calendar'!$E$37:$CZ$37,"&lt;="&amp;U$13)/AS51!$B$3,"")))</f>
        <v/>
      </c>
      <c r="W31" s="113">
        <f>IF(W$13="","",IF($B31="","",IFERROR(F31*$E31/100,"")))</f>
        <v/>
      </c>
      <c r="X31" s="113">
        <f>IF(X$13="","",IF($B31="","",IFERROR(G31*$E31/100,"")))</f>
        <v/>
      </c>
      <c r="Y31" s="113">
        <f>IF(Y$13="","",IF($B31="","",IFERROR(H31*$E31/100,"")))</f>
        <v/>
      </c>
      <c r="Z31" s="113">
        <f>IF(Z$13="","",IF($B31="","",IFERROR(I31*$E31/100,"")))</f>
        <v/>
      </c>
      <c r="AA31" s="113">
        <f>IF(AA$13="","",IF($B31="","",IFERROR(J31*$E31/100,"")))</f>
        <v/>
      </c>
      <c r="AB31" s="113">
        <f>IF(AB$13="","",IF($B31="","",IFERROR(K31*$E31/100,"")))</f>
        <v/>
      </c>
      <c r="AC31" s="113">
        <f>IF(AC$13="","",IF($B31="","",IFERROR(L31*$E31/100,"")))</f>
        <v/>
      </c>
      <c r="AD31" s="113">
        <f>IF(AD$13="","",IF($B31="","",IFERROR(M31*$E31/100,"")))</f>
        <v/>
      </c>
      <c r="AE31" s="113">
        <f>IF(AE$13="","",IF($B31="","",IFERROR(N31*$E31/100,"")))</f>
        <v/>
      </c>
      <c r="AF31" s="113">
        <f>IF(AF$13="","",IF($B31="","",IFERROR(O31*$E31/100,"")))</f>
        <v/>
      </c>
      <c r="AG31" s="113">
        <f>IF(AG$13="","",IF($B31="","",IFERROR(P31*$E31/100,"")))</f>
        <v/>
      </c>
      <c r="AH31" s="113">
        <f>IF(AH$13="","",IF($B31="","",IFERROR(Q31*$E31/100,"")))</f>
        <v/>
      </c>
      <c r="AI31" s="113">
        <f>IF(AI$13="","",IF($B31="","",IFERROR(R31*$E31/100,"")))</f>
        <v/>
      </c>
      <c r="AJ31" s="113">
        <f>IF(AJ$13="","",IF($B31="","",IFERROR(S31*$E31/100,"")))</f>
        <v/>
      </c>
      <c r="AK31" s="113">
        <f>IF(AK$13="","",IF($B31="","",IFERROR(T31*$E31/100,"")))</f>
        <v/>
      </c>
      <c r="AL31" s="113">
        <f>IF(AL$13="","",IF($B31="","",IFERROR(U31*$E31/100,"")))</f>
        <v/>
      </c>
    </row>
    <row r="32">
      <c r="B32" s="5">
        <f>IF(AS51!$C$22="","",AS51!$C$22)</f>
        <v/>
      </c>
      <c r="C32" s="86">
        <f>IF(AS51!$B$22="","",AS51!$B$22)</f>
        <v/>
      </c>
      <c r="D32" s="111">
        <f>IFERROR(AS51!$Q$22,1)</f>
        <v/>
      </c>
      <c r="E32" s="112">
        <f>IF($B32="","",IF(ISNUMBER(AS51!$I$22),AS51!$I$22,'Index Summary'!$C$7))</f>
        <v/>
      </c>
      <c r="F32" s="113">
        <f>IF(F$13="","",IF($B32="","",IFERROR($C32*$D32*SUMIFS('Dvd Calendar'!$E$40:$CZ$40,'Dvd Calendar'!$E$39:$CZ$39,"&gt;"&amp;F$12,'Dvd Calendar'!$E$39:$CZ$39,"&lt;="&amp;F$13)/AS51!$B$3,"")))</f>
        <v/>
      </c>
      <c r="G32" s="113">
        <f>IF(G$13="","",IF($B32="","",IFERROR($C32*$D32*SUMIFS('Dvd Calendar'!$E$40:$CZ$40,'Dvd Calendar'!$E$39:$CZ$39,"&gt;"&amp;G$12,'Dvd Calendar'!$E$39:$CZ$39,"&lt;="&amp;G$13)/AS51!$B$3,"")))</f>
        <v/>
      </c>
      <c r="H32" s="113">
        <f>IF(H$13="","",IF($B32="","",IFERROR($C32*$D32*SUMIFS('Dvd Calendar'!$E$40:$CZ$40,'Dvd Calendar'!$E$39:$CZ$39,"&gt;"&amp;H$12,'Dvd Calendar'!$E$39:$CZ$39,"&lt;="&amp;H$13)/AS51!$B$3,"")))</f>
        <v/>
      </c>
      <c r="I32" s="113">
        <f>IF(I$13="","",IF($B32="","",IFERROR($C32*$D32*SUMIFS('Dvd Calendar'!$E$40:$CZ$40,'Dvd Calendar'!$E$39:$CZ$39,"&gt;"&amp;I$12,'Dvd Calendar'!$E$39:$CZ$39,"&lt;="&amp;I$13)/AS51!$B$3,"")))</f>
        <v/>
      </c>
      <c r="J32" s="113">
        <f>IF(J$13="","",IF($B32="","",IFERROR($C32*$D32*SUMIFS('Dvd Calendar'!$E$40:$CZ$40,'Dvd Calendar'!$E$39:$CZ$39,"&gt;"&amp;J$12,'Dvd Calendar'!$E$39:$CZ$39,"&lt;="&amp;J$13)/AS51!$B$3,"")))</f>
        <v/>
      </c>
      <c r="K32" s="113">
        <f>IF(K$13="","",IF($B32="","",IFERROR($C32*$D32*SUMIFS('Dvd Calendar'!$E$40:$CZ$40,'Dvd Calendar'!$E$39:$CZ$39,"&gt;"&amp;K$12,'Dvd Calendar'!$E$39:$CZ$39,"&lt;="&amp;K$13)/AS51!$B$3,"")))</f>
        <v/>
      </c>
      <c r="L32" s="113">
        <f>IF(L$13="","",IF($B32="","",IFERROR($C32*$D32*SUMIFS('Dvd Calendar'!$E$40:$CZ$40,'Dvd Calendar'!$E$39:$CZ$39,"&gt;"&amp;L$12,'Dvd Calendar'!$E$39:$CZ$39,"&lt;="&amp;L$13)/AS51!$B$3,"")))</f>
        <v/>
      </c>
      <c r="M32" s="113">
        <f>IF(M$13="","",IF($B32="","",IFERROR($C32*$D32*SUMIFS('Dvd Calendar'!$E$40:$CZ$40,'Dvd Calendar'!$E$39:$CZ$39,"&gt;"&amp;M$12,'Dvd Calendar'!$E$39:$CZ$39,"&lt;="&amp;M$13)/AS51!$B$3,"")))</f>
        <v/>
      </c>
      <c r="N32" s="113">
        <f>IF(N$13="","",IF($B32="","",IFERROR($C32*$D32*SUMIFS('Dvd Calendar'!$E$40:$CZ$40,'Dvd Calendar'!$E$39:$CZ$39,"&gt;"&amp;N$12,'Dvd Calendar'!$E$39:$CZ$39,"&lt;="&amp;N$13)/AS51!$B$3,"")))</f>
        <v/>
      </c>
      <c r="O32" s="113">
        <f>IF(O$13="","",IF($B32="","",IFERROR($C32*$D32*SUMIFS('Dvd Calendar'!$E$40:$CZ$40,'Dvd Calendar'!$E$39:$CZ$39,"&gt;"&amp;O$12,'Dvd Calendar'!$E$39:$CZ$39,"&lt;="&amp;O$13)/AS51!$B$3,"")))</f>
        <v/>
      </c>
      <c r="P32" s="113">
        <f>IF(P$13="","",IF($B32="","",IFERROR($C32*$D32*SUMIFS('Dvd Calendar'!$E$40:$CZ$40,'Dvd Calendar'!$E$39:$CZ$39,"&gt;"&amp;P$12,'Dvd Calendar'!$E$39:$CZ$39,"&lt;="&amp;P$13)/AS51!$B$3,"")))</f>
        <v/>
      </c>
      <c r="Q32" s="113">
        <f>IF(Q$13="","",IF($B32="","",IFERROR($C32*$D32*SUMIFS('Dvd Calendar'!$E$40:$CZ$40,'Dvd Calendar'!$E$39:$CZ$39,"&gt;"&amp;Q$12,'Dvd Calendar'!$E$39:$CZ$39,"&lt;="&amp;Q$13)/AS51!$B$3,"")))</f>
        <v/>
      </c>
      <c r="R32" s="113">
        <f>IF(R$13="","",IF($B32="","",IFERROR($C32*$D32*SUMIFS('Dvd Calendar'!$E$40:$CZ$40,'Dvd Calendar'!$E$39:$CZ$39,"&gt;"&amp;R$12,'Dvd Calendar'!$E$39:$CZ$39,"&lt;="&amp;R$13)/AS51!$B$3,"")))</f>
        <v/>
      </c>
      <c r="S32" s="113">
        <f>IF(S$13="","",IF($B32="","",IFERROR($C32*$D32*SUMIFS('Dvd Calendar'!$E$40:$CZ$40,'Dvd Calendar'!$E$39:$CZ$39,"&gt;"&amp;S$12,'Dvd Calendar'!$E$39:$CZ$39,"&lt;="&amp;S$13)/AS51!$B$3,"")))</f>
        <v/>
      </c>
      <c r="T32" s="113">
        <f>IF(T$13="","",IF($B32="","",IFERROR($C32*$D32*SUMIFS('Dvd Calendar'!$E$40:$CZ$40,'Dvd Calendar'!$E$39:$CZ$39,"&gt;"&amp;T$12,'Dvd Calendar'!$E$39:$CZ$39,"&lt;="&amp;T$13)/AS51!$B$3,"")))</f>
        <v/>
      </c>
      <c r="U32" s="113">
        <f>IF(U$13="","",IF($B32="","",IFERROR($C32*$D32*SUMIFS('Dvd Calendar'!$E$40:$CZ$40,'Dvd Calendar'!$E$39:$CZ$39,"&gt;"&amp;U$12,'Dvd Calendar'!$E$39:$CZ$39,"&lt;="&amp;U$13)/AS51!$B$3,"")))</f>
        <v/>
      </c>
      <c r="W32" s="113">
        <f>IF(W$13="","",IF($B32="","",IFERROR(F32*$E32/100,"")))</f>
        <v/>
      </c>
      <c r="X32" s="113">
        <f>IF(X$13="","",IF($B32="","",IFERROR(G32*$E32/100,"")))</f>
        <v/>
      </c>
      <c r="Y32" s="113">
        <f>IF(Y$13="","",IF($B32="","",IFERROR(H32*$E32/100,"")))</f>
        <v/>
      </c>
      <c r="Z32" s="113">
        <f>IF(Z$13="","",IF($B32="","",IFERROR(I32*$E32/100,"")))</f>
        <v/>
      </c>
      <c r="AA32" s="113">
        <f>IF(AA$13="","",IF($B32="","",IFERROR(J32*$E32/100,"")))</f>
        <v/>
      </c>
      <c r="AB32" s="113">
        <f>IF(AB$13="","",IF($B32="","",IFERROR(K32*$E32/100,"")))</f>
        <v/>
      </c>
      <c r="AC32" s="113">
        <f>IF(AC$13="","",IF($B32="","",IFERROR(L32*$E32/100,"")))</f>
        <v/>
      </c>
      <c r="AD32" s="113">
        <f>IF(AD$13="","",IF($B32="","",IFERROR(M32*$E32/100,"")))</f>
        <v/>
      </c>
      <c r="AE32" s="113">
        <f>IF(AE$13="","",IF($B32="","",IFERROR(N32*$E32/100,"")))</f>
        <v/>
      </c>
      <c r="AF32" s="113">
        <f>IF(AF$13="","",IF($B32="","",IFERROR(O32*$E32/100,"")))</f>
        <v/>
      </c>
      <c r="AG32" s="113">
        <f>IF(AG$13="","",IF($B32="","",IFERROR(P32*$E32/100,"")))</f>
        <v/>
      </c>
      <c r="AH32" s="113">
        <f>IF(AH$13="","",IF($B32="","",IFERROR(Q32*$E32/100,"")))</f>
        <v/>
      </c>
      <c r="AI32" s="113">
        <f>IF(AI$13="","",IF($B32="","",IFERROR(R32*$E32/100,"")))</f>
        <v/>
      </c>
      <c r="AJ32" s="113">
        <f>IF(AJ$13="","",IF($B32="","",IFERROR(S32*$E32/100,"")))</f>
        <v/>
      </c>
      <c r="AK32" s="113">
        <f>IF(AK$13="","",IF($B32="","",IFERROR(T32*$E32/100,"")))</f>
        <v/>
      </c>
      <c r="AL32" s="113">
        <f>IF(AL$13="","",IF($B32="","",IFERROR(U32*$E32/100,"")))</f>
        <v/>
      </c>
    </row>
    <row r="33">
      <c r="B33" s="5">
        <f>IF(AS51!$C$23="","",AS51!$C$23)</f>
        <v/>
      </c>
      <c r="C33" s="86">
        <f>IF(AS51!$B$23="","",AS51!$B$23)</f>
        <v/>
      </c>
      <c r="D33" s="111">
        <f>IFERROR(AS51!$Q$23,1)</f>
        <v/>
      </c>
      <c r="E33" s="112">
        <f>IF($B33="","",IF(ISNUMBER(AS51!$I$23),AS51!$I$23,'Index Summary'!$C$7))</f>
        <v/>
      </c>
      <c r="F33" s="113">
        <f>IF(F$13="","",IF($B33="","",IFERROR($C33*$D33*SUMIFS('Dvd Calendar'!$E$42:$CZ$42,'Dvd Calendar'!$E$41:$CZ$41,"&gt;"&amp;F$12,'Dvd Calendar'!$E$41:$CZ$41,"&lt;="&amp;F$13)/AS51!$B$3,"")))</f>
        <v/>
      </c>
      <c r="G33" s="113">
        <f>IF(G$13="","",IF($B33="","",IFERROR($C33*$D33*SUMIFS('Dvd Calendar'!$E$42:$CZ$42,'Dvd Calendar'!$E$41:$CZ$41,"&gt;"&amp;G$12,'Dvd Calendar'!$E$41:$CZ$41,"&lt;="&amp;G$13)/AS51!$B$3,"")))</f>
        <v/>
      </c>
      <c r="H33" s="113">
        <f>IF(H$13="","",IF($B33="","",IFERROR($C33*$D33*SUMIFS('Dvd Calendar'!$E$42:$CZ$42,'Dvd Calendar'!$E$41:$CZ$41,"&gt;"&amp;H$12,'Dvd Calendar'!$E$41:$CZ$41,"&lt;="&amp;H$13)/AS51!$B$3,"")))</f>
        <v/>
      </c>
      <c r="I33" s="113">
        <f>IF(I$13="","",IF($B33="","",IFERROR($C33*$D33*SUMIFS('Dvd Calendar'!$E$42:$CZ$42,'Dvd Calendar'!$E$41:$CZ$41,"&gt;"&amp;I$12,'Dvd Calendar'!$E$41:$CZ$41,"&lt;="&amp;I$13)/AS51!$B$3,"")))</f>
        <v/>
      </c>
      <c r="J33" s="113">
        <f>IF(J$13="","",IF($B33="","",IFERROR($C33*$D33*SUMIFS('Dvd Calendar'!$E$42:$CZ$42,'Dvd Calendar'!$E$41:$CZ$41,"&gt;"&amp;J$12,'Dvd Calendar'!$E$41:$CZ$41,"&lt;="&amp;J$13)/AS51!$B$3,"")))</f>
        <v/>
      </c>
      <c r="K33" s="113">
        <f>IF(K$13="","",IF($B33="","",IFERROR($C33*$D33*SUMIFS('Dvd Calendar'!$E$42:$CZ$42,'Dvd Calendar'!$E$41:$CZ$41,"&gt;"&amp;K$12,'Dvd Calendar'!$E$41:$CZ$41,"&lt;="&amp;K$13)/AS51!$B$3,"")))</f>
        <v/>
      </c>
      <c r="L33" s="113">
        <f>IF(L$13="","",IF($B33="","",IFERROR($C33*$D33*SUMIFS('Dvd Calendar'!$E$42:$CZ$42,'Dvd Calendar'!$E$41:$CZ$41,"&gt;"&amp;L$12,'Dvd Calendar'!$E$41:$CZ$41,"&lt;="&amp;L$13)/AS51!$B$3,"")))</f>
        <v/>
      </c>
      <c r="M33" s="113">
        <f>IF(M$13="","",IF($B33="","",IFERROR($C33*$D33*SUMIFS('Dvd Calendar'!$E$42:$CZ$42,'Dvd Calendar'!$E$41:$CZ$41,"&gt;"&amp;M$12,'Dvd Calendar'!$E$41:$CZ$41,"&lt;="&amp;M$13)/AS51!$B$3,"")))</f>
        <v/>
      </c>
      <c r="N33" s="113">
        <f>IF(N$13="","",IF($B33="","",IFERROR($C33*$D33*SUMIFS('Dvd Calendar'!$E$42:$CZ$42,'Dvd Calendar'!$E$41:$CZ$41,"&gt;"&amp;N$12,'Dvd Calendar'!$E$41:$CZ$41,"&lt;="&amp;N$13)/AS51!$B$3,"")))</f>
        <v/>
      </c>
      <c r="O33" s="113">
        <f>IF(O$13="","",IF($B33="","",IFERROR($C33*$D33*SUMIFS('Dvd Calendar'!$E$42:$CZ$42,'Dvd Calendar'!$E$41:$CZ$41,"&gt;"&amp;O$12,'Dvd Calendar'!$E$41:$CZ$41,"&lt;="&amp;O$13)/AS51!$B$3,"")))</f>
        <v/>
      </c>
      <c r="P33" s="113">
        <f>IF(P$13="","",IF($B33="","",IFERROR($C33*$D33*SUMIFS('Dvd Calendar'!$E$42:$CZ$42,'Dvd Calendar'!$E$41:$CZ$41,"&gt;"&amp;P$12,'Dvd Calendar'!$E$41:$CZ$41,"&lt;="&amp;P$13)/AS51!$B$3,"")))</f>
        <v/>
      </c>
      <c r="Q33" s="113">
        <f>IF(Q$13="","",IF($B33="","",IFERROR($C33*$D33*SUMIFS('Dvd Calendar'!$E$42:$CZ$42,'Dvd Calendar'!$E$41:$CZ$41,"&gt;"&amp;Q$12,'Dvd Calendar'!$E$41:$CZ$41,"&lt;="&amp;Q$13)/AS51!$B$3,"")))</f>
        <v/>
      </c>
      <c r="R33" s="113">
        <f>IF(R$13="","",IF($B33="","",IFERROR($C33*$D33*SUMIFS('Dvd Calendar'!$E$42:$CZ$42,'Dvd Calendar'!$E$41:$CZ$41,"&gt;"&amp;R$12,'Dvd Calendar'!$E$41:$CZ$41,"&lt;="&amp;R$13)/AS51!$B$3,"")))</f>
        <v/>
      </c>
      <c r="S33" s="113">
        <f>IF(S$13="","",IF($B33="","",IFERROR($C33*$D33*SUMIFS('Dvd Calendar'!$E$42:$CZ$42,'Dvd Calendar'!$E$41:$CZ$41,"&gt;"&amp;S$12,'Dvd Calendar'!$E$41:$CZ$41,"&lt;="&amp;S$13)/AS51!$B$3,"")))</f>
        <v/>
      </c>
      <c r="T33" s="113">
        <f>IF(T$13="","",IF($B33="","",IFERROR($C33*$D33*SUMIFS('Dvd Calendar'!$E$42:$CZ$42,'Dvd Calendar'!$E$41:$CZ$41,"&gt;"&amp;T$12,'Dvd Calendar'!$E$41:$CZ$41,"&lt;="&amp;T$13)/AS51!$B$3,"")))</f>
        <v/>
      </c>
      <c r="U33" s="113">
        <f>IF(U$13="","",IF($B33="","",IFERROR($C33*$D33*SUMIFS('Dvd Calendar'!$E$42:$CZ$42,'Dvd Calendar'!$E$41:$CZ$41,"&gt;"&amp;U$12,'Dvd Calendar'!$E$41:$CZ$41,"&lt;="&amp;U$13)/AS51!$B$3,"")))</f>
        <v/>
      </c>
      <c r="W33" s="113">
        <f>IF(W$13="","",IF($B33="","",IFERROR(F33*$E33/100,"")))</f>
        <v/>
      </c>
      <c r="X33" s="113">
        <f>IF(X$13="","",IF($B33="","",IFERROR(G33*$E33/100,"")))</f>
        <v/>
      </c>
      <c r="Y33" s="113">
        <f>IF(Y$13="","",IF($B33="","",IFERROR(H33*$E33/100,"")))</f>
        <v/>
      </c>
      <c r="Z33" s="113">
        <f>IF(Z$13="","",IF($B33="","",IFERROR(I33*$E33/100,"")))</f>
        <v/>
      </c>
      <c r="AA33" s="113">
        <f>IF(AA$13="","",IF($B33="","",IFERROR(J33*$E33/100,"")))</f>
        <v/>
      </c>
      <c r="AB33" s="113">
        <f>IF(AB$13="","",IF($B33="","",IFERROR(K33*$E33/100,"")))</f>
        <v/>
      </c>
      <c r="AC33" s="113">
        <f>IF(AC$13="","",IF($B33="","",IFERROR(L33*$E33/100,"")))</f>
        <v/>
      </c>
      <c r="AD33" s="113">
        <f>IF(AD$13="","",IF($B33="","",IFERROR(M33*$E33/100,"")))</f>
        <v/>
      </c>
      <c r="AE33" s="113">
        <f>IF(AE$13="","",IF($B33="","",IFERROR(N33*$E33/100,"")))</f>
        <v/>
      </c>
      <c r="AF33" s="113">
        <f>IF(AF$13="","",IF($B33="","",IFERROR(O33*$E33/100,"")))</f>
        <v/>
      </c>
      <c r="AG33" s="113">
        <f>IF(AG$13="","",IF($B33="","",IFERROR(P33*$E33/100,"")))</f>
        <v/>
      </c>
      <c r="AH33" s="113">
        <f>IF(AH$13="","",IF($B33="","",IFERROR(Q33*$E33/100,"")))</f>
        <v/>
      </c>
      <c r="AI33" s="113">
        <f>IF(AI$13="","",IF($B33="","",IFERROR(R33*$E33/100,"")))</f>
        <v/>
      </c>
      <c r="AJ33" s="113">
        <f>IF(AJ$13="","",IF($B33="","",IFERROR(S33*$E33/100,"")))</f>
        <v/>
      </c>
      <c r="AK33" s="113">
        <f>IF(AK$13="","",IF($B33="","",IFERROR(T33*$E33/100,"")))</f>
        <v/>
      </c>
      <c r="AL33" s="113">
        <f>IF(AL$13="","",IF($B33="","",IFERROR(U33*$E33/100,"")))</f>
        <v/>
      </c>
    </row>
    <row r="34">
      <c r="B34" s="5">
        <f>IF(AS51!$C$24="","",AS51!$C$24)</f>
        <v/>
      </c>
      <c r="C34" s="86">
        <f>IF(AS51!$B$24="","",AS51!$B$24)</f>
        <v/>
      </c>
      <c r="D34" s="111">
        <f>IFERROR(AS51!$Q$24,1)</f>
        <v/>
      </c>
      <c r="E34" s="112">
        <f>IF($B34="","",IF(ISNUMBER(AS51!$I$24),AS51!$I$24,'Index Summary'!$C$7))</f>
        <v/>
      </c>
      <c r="F34" s="113">
        <f>IF(F$13="","",IF($B34="","",IFERROR($C34*$D34*SUMIFS('Dvd Calendar'!$E$44:$CZ$44,'Dvd Calendar'!$E$43:$CZ$43,"&gt;"&amp;F$12,'Dvd Calendar'!$E$43:$CZ$43,"&lt;="&amp;F$13)/AS51!$B$3,"")))</f>
        <v/>
      </c>
      <c r="G34" s="113">
        <f>IF(G$13="","",IF($B34="","",IFERROR($C34*$D34*SUMIFS('Dvd Calendar'!$E$44:$CZ$44,'Dvd Calendar'!$E$43:$CZ$43,"&gt;"&amp;G$12,'Dvd Calendar'!$E$43:$CZ$43,"&lt;="&amp;G$13)/AS51!$B$3,"")))</f>
        <v/>
      </c>
      <c r="H34" s="113">
        <f>IF(H$13="","",IF($B34="","",IFERROR($C34*$D34*SUMIFS('Dvd Calendar'!$E$44:$CZ$44,'Dvd Calendar'!$E$43:$CZ$43,"&gt;"&amp;H$12,'Dvd Calendar'!$E$43:$CZ$43,"&lt;="&amp;H$13)/AS51!$B$3,"")))</f>
        <v/>
      </c>
      <c r="I34" s="113">
        <f>IF(I$13="","",IF($B34="","",IFERROR($C34*$D34*SUMIFS('Dvd Calendar'!$E$44:$CZ$44,'Dvd Calendar'!$E$43:$CZ$43,"&gt;"&amp;I$12,'Dvd Calendar'!$E$43:$CZ$43,"&lt;="&amp;I$13)/AS51!$B$3,"")))</f>
        <v/>
      </c>
      <c r="J34" s="113">
        <f>IF(J$13="","",IF($B34="","",IFERROR($C34*$D34*SUMIFS('Dvd Calendar'!$E$44:$CZ$44,'Dvd Calendar'!$E$43:$CZ$43,"&gt;"&amp;J$12,'Dvd Calendar'!$E$43:$CZ$43,"&lt;="&amp;J$13)/AS51!$B$3,"")))</f>
        <v/>
      </c>
      <c r="K34" s="113">
        <f>IF(K$13="","",IF($B34="","",IFERROR($C34*$D34*SUMIFS('Dvd Calendar'!$E$44:$CZ$44,'Dvd Calendar'!$E$43:$CZ$43,"&gt;"&amp;K$12,'Dvd Calendar'!$E$43:$CZ$43,"&lt;="&amp;K$13)/AS51!$B$3,"")))</f>
        <v/>
      </c>
      <c r="L34" s="113">
        <f>IF(L$13="","",IF($B34="","",IFERROR($C34*$D34*SUMIFS('Dvd Calendar'!$E$44:$CZ$44,'Dvd Calendar'!$E$43:$CZ$43,"&gt;"&amp;L$12,'Dvd Calendar'!$E$43:$CZ$43,"&lt;="&amp;L$13)/AS51!$B$3,"")))</f>
        <v/>
      </c>
      <c r="M34" s="113">
        <f>IF(M$13="","",IF($B34="","",IFERROR($C34*$D34*SUMIFS('Dvd Calendar'!$E$44:$CZ$44,'Dvd Calendar'!$E$43:$CZ$43,"&gt;"&amp;M$12,'Dvd Calendar'!$E$43:$CZ$43,"&lt;="&amp;M$13)/AS51!$B$3,"")))</f>
        <v/>
      </c>
      <c r="N34" s="113">
        <f>IF(N$13="","",IF($B34="","",IFERROR($C34*$D34*SUMIFS('Dvd Calendar'!$E$44:$CZ$44,'Dvd Calendar'!$E$43:$CZ$43,"&gt;"&amp;N$12,'Dvd Calendar'!$E$43:$CZ$43,"&lt;="&amp;N$13)/AS51!$B$3,"")))</f>
        <v/>
      </c>
      <c r="O34" s="113">
        <f>IF(O$13="","",IF($B34="","",IFERROR($C34*$D34*SUMIFS('Dvd Calendar'!$E$44:$CZ$44,'Dvd Calendar'!$E$43:$CZ$43,"&gt;"&amp;O$12,'Dvd Calendar'!$E$43:$CZ$43,"&lt;="&amp;O$13)/AS51!$B$3,"")))</f>
        <v/>
      </c>
      <c r="P34" s="113">
        <f>IF(P$13="","",IF($B34="","",IFERROR($C34*$D34*SUMIFS('Dvd Calendar'!$E$44:$CZ$44,'Dvd Calendar'!$E$43:$CZ$43,"&gt;"&amp;P$12,'Dvd Calendar'!$E$43:$CZ$43,"&lt;="&amp;P$13)/AS51!$B$3,"")))</f>
        <v/>
      </c>
      <c r="Q34" s="113">
        <f>IF(Q$13="","",IF($B34="","",IFERROR($C34*$D34*SUMIFS('Dvd Calendar'!$E$44:$CZ$44,'Dvd Calendar'!$E$43:$CZ$43,"&gt;"&amp;Q$12,'Dvd Calendar'!$E$43:$CZ$43,"&lt;="&amp;Q$13)/AS51!$B$3,"")))</f>
        <v/>
      </c>
      <c r="R34" s="113">
        <f>IF(R$13="","",IF($B34="","",IFERROR($C34*$D34*SUMIFS('Dvd Calendar'!$E$44:$CZ$44,'Dvd Calendar'!$E$43:$CZ$43,"&gt;"&amp;R$12,'Dvd Calendar'!$E$43:$CZ$43,"&lt;="&amp;R$13)/AS51!$B$3,"")))</f>
        <v/>
      </c>
      <c r="S34" s="113">
        <f>IF(S$13="","",IF($B34="","",IFERROR($C34*$D34*SUMIFS('Dvd Calendar'!$E$44:$CZ$44,'Dvd Calendar'!$E$43:$CZ$43,"&gt;"&amp;S$12,'Dvd Calendar'!$E$43:$CZ$43,"&lt;="&amp;S$13)/AS51!$B$3,"")))</f>
        <v/>
      </c>
      <c r="T34" s="113">
        <f>IF(T$13="","",IF($B34="","",IFERROR($C34*$D34*SUMIFS('Dvd Calendar'!$E$44:$CZ$44,'Dvd Calendar'!$E$43:$CZ$43,"&gt;"&amp;T$12,'Dvd Calendar'!$E$43:$CZ$43,"&lt;="&amp;T$13)/AS51!$B$3,"")))</f>
        <v/>
      </c>
      <c r="U34" s="113">
        <f>IF(U$13="","",IF($B34="","",IFERROR($C34*$D34*SUMIFS('Dvd Calendar'!$E$44:$CZ$44,'Dvd Calendar'!$E$43:$CZ$43,"&gt;"&amp;U$12,'Dvd Calendar'!$E$43:$CZ$43,"&lt;="&amp;U$13)/AS51!$B$3,"")))</f>
        <v/>
      </c>
      <c r="W34" s="113">
        <f>IF(W$13="","",IF($B34="","",IFERROR(F34*$E34/100,"")))</f>
        <v/>
      </c>
      <c r="X34" s="113">
        <f>IF(X$13="","",IF($B34="","",IFERROR(G34*$E34/100,"")))</f>
        <v/>
      </c>
      <c r="Y34" s="113">
        <f>IF(Y$13="","",IF($B34="","",IFERROR(H34*$E34/100,"")))</f>
        <v/>
      </c>
      <c r="Z34" s="113">
        <f>IF(Z$13="","",IF($B34="","",IFERROR(I34*$E34/100,"")))</f>
        <v/>
      </c>
      <c r="AA34" s="113">
        <f>IF(AA$13="","",IF($B34="","",IFERROR(J34*$E34/100,"")))</f>
        <v/>
      </c>
      <c r="AB34" s="113">
        <f>IF(AB$13="","",IF($B34="","",IFERROR(K34*$E34/100,"")))</f>
        <v/>
      </c>
      <c r="AC34" s="113">
        <f>IF(AC$13="","",IF($B34="","",IFERROR(L34*$E34/100,"")))</f>
        <v/>
      </c>
      <c r="AD34" s="113">
        <f>IF(AD$13="","",IF($B34="","",IFERROR(M34*$E34/100,"")))</f>
        <v/>
      </c>
      <c r="AE34" s="113">
        <f>IF(AE$13="","",IF($B34="","",IFERROR(N34*$E34/100,"")))</f>
        <v/>
      </c>
      <c r="AF34" s="113">
        <f>IF(AF$13="","",IF($B34="","",IFERROR(O34*$E34/100,"")))</f>
        <v/>
      </c>
      <c r="AG34" s="113">
        <f>IF(AG$13="","",IF($B34="","",IFERROR(P34*$E34/100,"")))</f>
        <v/>
      </c>
      <c r="AH34" s="113">
        <f>IF(AH$13="","",IF($B34="","",IFERROR(Q34*$E34/100,"")))</f>
        <v/>
      </c>
      <c r="AI34" s="113">
        <f>IF(AI$13="","",IF($B34="","",IFERROR(R34*$E34/100,"")))</f>
        <v/>
      </c>
      <c r="AJ34" s="113">
        <f>IF(AJ$13="","",IF($B34="","",IFERROR(S34*$E34/100,"")))</f>
        <v/>
      </c>
      <c r="AK34" s="113">
        <f>IF(AK$13="","",IF($B34="","",IFERROR(T34*$E34/100,"")))</f>
        <v/>
      </c>
      <c r="AL34" s="113">
        <f>IF(AL$13="","",IF($B34="","",IFERROR(U34*$E34/100,"")))</f>
        <v/>
      </c>
    </row>
    <row r="35">
      <c r="B35" s="5">
        <f>IF(AS51!$C$25="","",AS51!$C$25)</f>
        <v/>
      </c>
      <c r="C35" s="86">
        <f>IF(AS51!$B$25="","",AS51!$B$25)</f>
        <v/>
      </c>
      <c r="D35" s="111">
        <f>IFERROR(AS51!$Q$25,1)</f>
        <v/>
      </c>
      <c r="E35" s="112">
        <f>IF($B35="","",IF(ISNUMBER(AS51!$I$25),AS51!$I$25,'Index Summary'!$C$7))</f>
        <v/>
      </c>
      <c r="F35" s="113">
        <f>IF(F$13="","",IF($B35="","",IFERROR($C35*$D35*SUMIFS('Dvd Calendar'!$E$46:$CZ$46,'Dvd Calendar'!$E$45:$CZ$45,"&gt;"&amp;F$12,'Dvd Calendar'!$E$45:$CZ$45,"&lt;="&amp;F$13)/AS51!$B$3,"")))</f>
        <v/>
      </c>
      <c r="G35" s="113">
        <f>IF(G$13="","",IF($B35="","",IFERROR($C35*$D35*SUMIFS('Dvd Calendar'!$E$46:$CZ$46,'Dvd Calendar'!$E$45:$CZ$45,"&gt;"&amp;G$12,'Dvd Calendar'!$E$45:$CZ$45,"&lt;="&amp;G$13)/AS51!$B$3,"")))</f>
        <v/>
      </c>
      <c r="H35" s="113">
        <f>IF(H$13="","",IF($B35="","",IFERROR($C35*$D35*SUMIFS('Dvd Calendar'!$E$46:$CZ$46,'Dvd Calendar'!$E$45:$CZ$45,"&gt;"&amp;H$12,'Dvd Calendar'!$E$45:$CZ$45,"&lt;="&amp;H$13)/AS51!$B$3,"")))</f>
        <v/>
      </c>
      <c r="I35" s="113">
        <f>IF(I$13="","",IF($B35="","",IFERROR($C35*$D35*SUMIFS('Dvd Calendar'!$E$46:$CZ$46,'Dvd Calendar'!$E$45:$CZ$45,"&gt;"&amp;I$12,'Dvd Calendar'!$E$45:$CZ$45,"&lt;="&amp;I$13)/AS51!$B$3,"")))</f>
        <v/>
      </c>
      <c r="J35" s="113">
        <f>IF(J$13="","",IF($B35="","",IFERROR($C35*$D35*SUMIFS('Dvd Calendar'!$E$46:$CZ$46,'Dvd Calendar'!$E$45:$CZ$45,"&gt;"&amp;J$12,'Dvd Calendar'!$E$45:$CZ$45,"&lt;="&amp;J$13)/AS51!$B$3,"")))</f>
        <v/>
      </c>
      <c r="K35" s="113">
        <f>IF(K$13="","",IF($B35="","",IFERROR($C35*$D35*SUMIFS('Dvd Calendar'!$E$46:$CZ$46,'Dvd Calendar'!$E$45:$CZ$45,"&gt;"&amp;K$12,'Dvd Calendar'!$E$45:$CZ$45,"&lt;="&amp;K$13)/AS51!$B$3,"")))</f>
        <v/>
      </c>
      <c r="L35" s="113">
        <f>IF(L$13="","",IF($B35="","",IFERROR($C35*$D35*SUMIFS('Dvd Calendar'!$E$46:$CZ$46,'Dvd Calendar'!$E$45:$CZ$45,"&gt;"&amp;L$12,'Dvd Calendar'!$E$45:$CZ$45,"&lt;="&amp;L$13)/AS51!$B$3,"")))</f>
        <v/>
      </c>
      <c r="M35" s="113">
        <f>IF(M$13="","",IF($B35="","",IFERROR($C35*$D35*SUMIFS('Dvd Calendar'!$E$46:$CZ$46,'Dvd Calendar'!$E$45:$CZ$45,"&gt;"&amp;M$12,'Dvd Calendar'!$E$45:$CZ$45,"&lt;="&amp;M$13)/AS51!$B$3,"")))</f>
        <v/>
      </c>
      <c r="N35" s="113">
        <f>IF(N$13="","",IF($B35="","",IFERROR($C35*$D35*SUMIFS('Dvd Calendar'!$E$46:$CZ$46,'Dvd Calendar'!$E$45:$CZ$45,"&gt;"&amp;N$12,'Dvd Calendar'!$E$45:$CZ$45,"&lt;="&amp;N$13)/AS51!$B$3,"")))</f>
        <v/>
      </c>
      <c r="O35" s="113">
        <f>IF(O$13="","",IF($B35="","",IFERROR($C35*$D35*SUMIFS('Dvd Calendar'!$E$46:$CZ$46,'Dvd Calendar'!$E$45:$CZ$45,"&gt;"&amp;O$12,'Dvd Calendar'!$E$45:$CZ$45,"&lt;="&amp;O$13)/AS51!$B$3,"")))</f>
        <v/>
      </c>
      <c r="P35" s="113">
        <f>IF(P$13="","",IF($B35="","",IFERROR($C35*$D35*SUMIFS('Dvd Calendar'!$E$46:$CZ$46,'Dvd Calendar'!$E$45:$CZ$45,"&gt;"&amp;P$12,'Dvd Calendar'!$E$45:$CZ$45,"&lt;="&amp;P$13)/AS51!$B$3,"")))</f>
        <v/>
      </c>
      <c r="Q35" s="113">
        <f>IF(Q$13="","",IF($B35="","",IFERROR($C35*$D35*SUMIFS('Dvd Calendar'!$E$46:$CZ$46,'Dvd Calendar'!$E$45:$CZ$45,"&gt;"&amp;Q$12,'Dvd Calendar'!$E$45:$CZ$45,"&lt;="&amp;Q$13)/AS51!$B$3,"")))</f>
        <v/>
      </c>
      <c r="R35" s="113">
        <f>IF(R$13="","",IF($B35="","",IFERROR($C35*$D35*SUMIFS('Dvd Calendar'!$E$46:$CZ$46,'Dvd Calendar'!$E$45:$CZ$45,"&gt;"&amp;R$12,'Dvd Calendar'!$E$45:$CZ$45,"&lt;="&amp;R$13)/AS51!$B$3,"")))</f>
        <v/>
      </c>
      <c r="S35" s="113">
        <f>IF(S$13="","",IF($B35="","",IFERROR($C35*$D35*SUMIFS('Dvd Calendar'!$E$46:$CZ$46,'Dvd Calendar'!$E$45:$CZ$45,"&gt;"&amp;S$12,'Dvd Calendar'!$E$45:$CZ$45,"&lt;="&amp;S$13)/AS51!$B$3,"")))</f>
        <v/>
      </c>
      <c r="T35" s="113">
        <f>IF(T$13="","",IF($B35="","",IFERROR($C35*$D35*SUMIFS('Dvd Calendar'!$E$46:$CZ$46,'Dvd Calendar'!$E$45:$CZ$45,"&gt;"&amp;T$12,'Dvd Calendar'!$E$45:$CZ$45,"&lt;="&amp;T$13)/AS51!$B$3,"")))</f>
        <v/>
      </c>
      <c r="U35" s="113">
        <f>IF(U$13="","",IF($B35="","",IFERROR($C35*$D35*SUMIFS('Dvd Calendar'!$E$46:$CZ$46,'Dvd Calendar'!$E$45:$CZ$45,"&gt;"&amp;U$12,'Dvd Calendar'!$E$45:$CZ$45,"&lt;="&amp;U$13)/AS51!$B$3,"")))</f>
        <v/>
      </c>
      <c r="W35" s="113">
        <f>IF(W$13="","",IF($B35="","",IFERROR(F35*$E35/100,"")))</f>
        <v/>
      </c>
      <c r="X35" s="113">
        <f>IF(X$13="","",IF($B35="","",IFERROR(G35*$E35/100,"")))</f>
        <v/>
      </c>
      <c r="Y35" s="113">
        <f>IF(Y$13="","",IF($B35="","",IFERROR(H35*$E35/100,"")))</f>
        <v/>
      </c>
      <c r="Z35" s="113">
        <f>IF(Z$13="","",IF($B35="","",IFERROR(I35*$E35/100,"")))</f>
        <v/>
      </c>
      <c r="AA35" s="113">
        <f>IF(AA$13="","",IF($B35="","",IFERROR(J35*$E35/100,"")))</f>
        <v/>
      </c>
      <c r="AB35" s="113">
        <f>IF(AB$13="","",IF($B35="","",IFERROR(K35*$E35/100,"")))</f>
        <v/>
      </c>
      <c r="AC35" s="113">
        <f>IF(AC$13="","",IF($B35="","",IFERROR(L35*$E35/100,"")))</f>
        <v/>
      </c>
      <c r="AD35" s="113">
        <f>IF(AD$13="","",IF($B35="","",IFERROR(M35*$E35/100,"")))</f>
        <v/>
      </c>
      <c r="AE35" s="113">
        <f>IF(AE$13="","",IF($B35="","",IFERROR(N35*$E35/100,"")))</f>
        <v/>
      </c>
      <c r="AF35" s="113">
        <f>IF(AF$13="","",IF($B35="","",IFERROR(O35*$E35/100,"")))</f>
        <v/>
      </c>
      <c r="AG35" s="113">
        <f>IF(AG$13="","",IF($B35="","",IFERROR(P35*$E35/100,"")))</f>
        <v/>
      </c>
      <c r="AH35" s="113">
        <f>IF(AH$13="","",IF($B35="","",IFERROR(Q35*$E35/100,"")))</f>
        <v/>
      </c>
      <c r="AI35" s="113">
        <f>IF(AI$13="","",IF($B35="","",IFERROR(R35*$E35/100,"")))</f>
        <v/>
      </c>
      <c r="AJ35" s="113">
        <f>IF(AJ$13="","",IF($B35="","",IFERROR(S35*$E35/100,"")))</f>
        <v/>
      </c>
      <c r="AK35" s="113">
        <f>IF(AK$13="","",IF($B35="","",IFERROR(T35*$E35/100,"")))</f>
        <v/>
      </c>
      <c r="AL35" s="113">
        <f>IF(AL$13="","",IF($B35="","",IFERROR(U35*$E35/100,"")))</f>
        <v/>
      </c>
    </row>
    <row r="36">
      <c r="B36" s="5">
        <f>IF(AS51!$C$26="","",AS51!$C$26)</f>
        <v/>
      </c>
      <c r="C36" s="86">
        <f>IF(AS51!$B$26="","",AS51!$B$26)</f>
        <v/>
      </c>
      <c r="D36" s="111">
        <f>IFERROR(AS51!$Q$26,1)</f>
        <v/>
      </c>
      <c r="E36" s="112">
        <f>IF($B36="","",IF(ISNUMBER(AS51!$I$26),AS51!$I$26,'Index Summary'!$C$7))</f>
        <v/>
      </c>
      <c r="F36" s="113">
        <f>IF(F$13="","",IF($B36="","",IFERROR($C36*$D36*SUMIFS('Dvd Calendar'!$E$48:$CZ$48,'Dvd Calendar'!$E$47:$CZ$47,"&gt;"&amp;F$12,'Dvd Calendar'!$E$47:$CZ$47,"&lt;="&amp;F$13)/AS51!$B$3,"")))</f>
        <v/>
      </c>
      <c r="G36" s="113">
        <f>IF(G$13="","",IF($B36="","",IFERROR($C36*$D36*SUMIFS('Dvd Calendar'!$E$48:$CZ$48,'Dvd Calendar'!$E$47:$CZ$47,"&gt;"&amp;G$12,'Dvd Calendar'!$E$47:$CZ$47,"&lt;="&amp;G$13)/AS51!$B$3,"")))</f>
        <v/>
      </c>
      <c r="H36" s="113">
        <f>IF(H$13="","",IF($B36="","",IFERROR($C36*$D36*SUMIFS('Dvd Calendar'!$E$48:$CZ$48,'Dvd Calendar'!$E$47:$CZ$47,"&gt;"&amp;H$12,'Dvd Calendar'!$E$47:$CZ$47,"&lt;="&amp;H$13)/AS51!$B$3,"")))</f>
        <v/>
      </c>
      <c r="I36" s="113">
        <f>IF(I$13="","",IF($B36="","",IFERROR($C36*$D36*SUMIFS('Dvd Calendar'!$E$48:$CZ$48,'Dvd Calendar'!$E$47:$CZ$47,"&gt;"&amp;I$12,'Dvd Calendar'!$E$47:$CZ$47,"&lt;="&amp;I$13)/AS51!$B$3,"")))</f>
        <v/>
      </c>
      <c r="J36" s="113">
        <f>IF(J$13="","",IF($B36="","",IFERROR($C36*$D36*SUMIFS('Dvd Calendar'!$E$48:$CZ$48,'Dvd Calendar'!$E$47:$CZ$47,"&gt;"&amp;J$12,'Dvd Calendar'!$E$47:$CZ$47,"&lt;="&amp;J$13)/AS51!$B$3,"")))</f>
        <v/>
      </c>
      <c r="K36" s="113">
        <f>IF(K$13="","",IF($B36="","",IFERROR($C36*$D36*SUMIFS('Dvd Calendar'!$E$48:$CZ$48,'Dvd Calendar'!$E$47:$CZ$47,"&gt;"&amp;K$12,'Dvd Calendar'!$E$47:$CZ$47,"&lt;="&amp;K$13)/AS51!$B$3,"")))</f>
        <v/>
      </c>
      <c r="L36" s="113">
        <f>IF(L$13="","",IF($B36="","",IFERROR($C36*$D36*SUMIFS('Dvd Calendar'!$E$48:$CZ$48,'Dvd Calendar'!$E$47:$CZ$47,"&gt;"&amp;L$12,'Dvd Calendar'!$E$47:$CZ$47,"&lt;="&amp;L$13)/AS51!$B$3,"")))</f>
        <v/>
      </c>
      <c r="M36" s="113">
        <f>IF(M$13="","",IF($B36="","",IFERROR($C36*$D36*SUMIFS('Dvd Calendar'!$E$48:$CZ$48,'Dvd Calendar'!$E$47:$CZ$47,"&gt;"&amp;M$12,'Dvd Calendar'!$E$47:$CZ$47,"&lt;="&amp;M$13)/AS51!$B$3,"")))</f>
        <v/>
      </c>
      <c r="N36" s="113">
        <f>IF(N$13="","",IF($B36="","",IFERROR($C36*$D36*SUMIFS('Dvd Calendar'!$E$48:$CZ$48,'Dvd Calendar'!$E$47:$CZ$47,"&gt;"&amp;N$12,'Dvd Calendar'!$E$47:$CZ$47,"&lt;="&amp;N$13)/AS51!$B$3,"")))</f>
        <v/>
      </c>
      <c r="O36" s="113">
        <f>IF(O$13="","",IF($B36="","",IFERROR($C36*$D36*SUMIFS('Dvd Calendar'!$E$48:$CZ$48,'Dvd Calendar'!$E$47:$CZ$47,"&gt;"&amp;O$12,'Dvd Calendar'!$E$47:$CZ$47,"&lt;="&amp;O$13)/AS51!$B$3,"")))</f>
        <v/>
      </c>
      <c r="P36" s="113">
        <f>IF(P$13="","",IF($B36="","",IFERROR($C36*$D36*SUMIFS('Dvd Calendar'!$E$48:$CZ$48,'Dvd Calendar'!$E$47:$CZ$47,"&gt;"&amp;P$12,'Dvd Calendar'!$E$47:$CZ$47,"&lt;="&amp;P$13)/AS51!$B$3,"")))</f>
        <v/>
      </c>
      <c r="Q36" s="113">
        <f>IF(Q$13="","",IF($B36="","",IFERROR($C36*$D36*SUMIFS('Dvd Calendar'!$E$48:$CZ$48,'Dvd Calendar'!$E$47:$CZ$47,"&gt;"&amp;Q$12,'Dvd Calendar'!$E$47:$CZ$47,"&lt;="&amp;Q$13)/AS51!$B$3,"")))</f>
        <v/>
      </c>
      <c r="R36" s="113">
        <f>IF(R$13="","",IF($B36="","",IFERROR($C36*$D36*SUMIFS('Dvd Calendar'!$E$48:$CZ$48,'Dvd Calendar'!$E$47:$CZ$47,"&gt;"&amp;R$12,'Dvd Calendar'!$E$47:$CZ$47,"&lt;="&amp;R$13)/AS51!$B$3,"")))</f>
        <v/>
      </c>
      <c r="S36" s="113">
        <f>IF(S$13="","",IF($B36="","",IFERROR($C36*$D36*SUMIFS('Dvd Calendar'!$E$48:$CZ$48,'Dvd Calendar'!$E$47:$CZ$47,"&gt;"&amp;S$12,'Dvd Calendar'!$E$47:$CZ$47,"&lt;="&amp;S$13)/AS51!$B$3,"")))</f>
        <v/>
      </c>
      <c r="T36" s="113">
        <f>IF(T$13="","",IF($B36="","",IFERROR($C36*$D36*SUMIFS('Dvd Calendar'!$E$48:$CZ$48,'Dvd Calendar'!$E$47:$CZ$47,"&gt;"&amp;T$12,'Dvd Calendar'!$E$47:$CZ$47,"&lt;="&amp;T$13)/AS51!$B$3,"")))</f>
        <v/>
      </c>
      <c r="U36" s="113">
        <f>IF(U$13="","",IF($B36="","",IFERROR($C36*$D36*SUMIFS('Dvd Calendar'!$E$48:$CZ$48,'Dvd Calendar'!$E$47:$CZ$47,"&gt;"&amp;U$12,'Dvd Calendar'!$E$47:$CZ$47,"&lt;="&amp;U$13)/AS51!$B$3,"")))</f>
        <v/>
      </c>
      <c r="W36" s="113">
        <f>IF(W$13="","",IF($B36="","",IFERROR(F36*$E36/100,"")))</f>
        <v/>
      </c>
      <c r="X36" s="113">
        <f>IF(X$13="","",IF($B36="","",IFERROR(G36*$E36/100,"")))</f>
        <v/>
      </c>
      <c r="Y36" s="113">
        <f>IF(Y$13="","",IF($B36="","",IFERROR(H36*$E36/100,"")))</f>
        <v/>
      </c>
      <c r="Z36" s="113">
        <f>IF(Z$13="","",IF($B36="","",IFERROR(I36*$E36/100,"")))</f>
        <v/>
      </c>
      <c r="AA36" s="113">
        <f>IF(AA$13="","",IF($B36="","",IFERROR(J36*$E36/100,"")))</f>
        <v/>
      </c>
      <c r="AB36" s="113">
        <f>IF(AB$13="","",IF($B36="","",IFERROR(K36*$E36/100,"")))</f>
        <v/>
      </c>
      <c r="AC36" s="113">
        <f>IF(AC$13="","",IF($B36="","",IFERROR(L36*$E36/100,"")))</f>
        <v/>
      </c>
      <c r="AD36" s="113">
        <f>IF(AD$13="","",IF($B36="","",IFERROR(M36*$E36/100,"")))</f>
        <v/>
      </c>
      <c r="AE36" s="113">
        <f>IF(AE$13="","",IF($B36="","",IFERROR(N36*$E36/100,"")))</f>
        <v/>
      </c>
      <c r="AF36" s="113">
        <f>IF(AF$13="","",IF($B36="","",IFERROR(O36*$E36/100,"")))</f>
        <v/>
      </c>
      <c r="AG36" s="113">
        <f>IF(AG$13="","",IF($B36="","",IFERROR(P36*$E36/100,"")))</f>
        <v/>
      </c>
      <c r="AH36" s="113">
        <f>IF(AH$13="","",IF($B36="","",IFERROR(Q36*$E36/100,"")))</f>
        <v/>
      </c>
      <c r="AI36" s="113">
        <f>IF(AI$13="","",IF($B36="","",IFERROR(R36*$E36/100,"")))</f>
        <v/>
      </c>
      <c r="AJ36" s="113">
        <f>IF(AJ$13="","",IF($B36="","",IFERROR(S36*$E36/100,"")))</f>
        <v/>
      </c>
      <c r="AK36" s="113">
        <f>IF(AK$13="","",IF($B36="","",IFERROR(T36*$E36/100,"")))</f>
        <v/>
      </c>
      <c r="AL36" s="113">
        <f>IF(AL$13="","",IF($B36="","",IFERROR(U36*$E36/100,"")))</f>
        <v/>
      </c>
    </row>
    <row r="37">
      <c r="B37" s="5">
        <f>IF(AS51!$C$27="","",AS51!$C$27)</f>
        <v/>
      </c>
      <c r="C37" s="86">
        <f>IF(AS51!$B$27="","",AS51!$B$27)</f>
        <v/>
      </c>
      <c r="D37" s="111">
        <f>IFERROR(AS51!$Q$27,1)</f>
        <v/>
      </c>
      <c r="E37" s="112">
        <f>IF($B37="","",IF(ISNUMBER(AS51!$I$27),AS51!$I$27,'Index Summary'!$C$7))</f>
        <v/>
      </c>
      <c r="F37" s="113">
        <f>IF(F$13="","",IF($B37="","",IFERROR($C37*$D37*SUMIFS('Dvd Calendar'!$E$50:$CZ$50,'Dvd Calendar'!$E$49:$CZ$49,"&gt;"&amp;F$12,'Dvd Calendar'!$E$49:$CZ$49,"&lt;="&amp;F$13)/AS51!$B$3,"")))</f>
        <v/>
      </c>
      <c r="G37" s="113">
        <f>IF(G$13="","",IF($B37="","",IFERROR($C37*$D37*SUMIFS('Dvd Calendar'!$E$50:$CZ$50,'Dvd Calendar'!$E$49:$CZ$49,"&gt;"&amp;G$12,'Dvd Calendar'!$E$49:$CZ$49,"&lt;="&amp;G$13)/AS51!$B$3,"")))</f>
        <v/>
      </c>
      <c r="H37" s="113">
        <f>IF(H$13="","",IF($B37="","",IFERROR($C37*$D37*SUMIFS('Dvd Calendar'!$E$50:$CZ$50,'Dvd Calendar'!$E$49:$CZ$49,"&gt;"&amp;H$12,'Dvd Calendar'!$E$49:$CZ$49,"&lt;="&amp;H$13)/AS51!$B$3,"")))</f>
        <v/>
      </c>
      <c r="I37" s="113">
        <f>IF(I$13="","",IF($B37="","",IFERROR($C37*$D37*SUMIFS('Dvd Calendar'!$E$50:$CZ$50,'Dvd Calendar'!$E$49:$CZ$49,"&gt;"&amp;I$12,'Dvd Calendar'!$E$49:$CZ$49,"&lt;="&amp;I$13)/AS51!$B$3,"")))</f>
        <v/>
      </c>
      <c r="J37" s="113">
        <f>IF(J$13="","",IF($B37="","",IFERROR($C37*$D37*SUMIFS('Dvd Calendar'!$E$50:$CZ$50,'Dvd Calendar'!$E$49:$CZ$49,"&gt;"&amp;J$12,'Dvd Calendar'!$E$49:$CZ$49,"&lt;="&amp;J$13)/AS51!$B$3,"")))</f>
        <v/>
      </c>
      <c r="K37" s="113">
        <f>IF(K$13="","",IF($B37="","",IFERROR($C37*$D37*SUMIFS('Dvd Calendar'!$E$50:$CZ$50,'Dvd Calendar'!$E$49:$CZ$49,"&gt;"&amp;K$12,'Dvd Calendar'!$E$49:$CZ$49,"&lt;="&amp;K$13)/AS51!$B$3,"")))</f>
        <v/>
      </c>
      <c r="L37" s="113">
        <f>IF(L$13="","",IF($B37="","",IFERROR($C37*$D37*SUMIFS('Dvd Calendar'!$E$50:$CZ$50,'Dvd Calendar'!$E$49:$CZ$49,"&gt;"&amp;L$12,'Dvd Calendar'!$E$49:$CZ$49,"&lt;="&amp;L$13)/AS51!$B$3,"")))</f>
        <v/>
      </c>
      <c r="M37" s="113">
        <f>IF(M$13="","",IF($B37="","",IFERROR($C37*$D37*SUMIFS('Dvd Calendar'!$E$50:$CZ$50,'Dvd Calendar'!$E$49:$CZ$49,"&gt;"&amp;M$12,'Dvd Calendar'!$E$49:$CZ$49,"&lt;="&amp;M$13)/AS51!$B$3,"")))</f>
        <v/>
      </c>
      <c r="N37" s="113">
        <f>IF(N$13="","",IF($B37="","",IFERROR($C37*$D37*SUMIFS('Dvd Calendar'!$E$50:$CZ$50,'Dvd Calendar'!$E$49:$CZ$49,"&gt;"&amp;N$12,'Dvd Calendar'!$E$49:$CZ$49,"&lt;="&amp;N$13)/AS51!$B$3,"")))</f>
        <v/>
      </c>
      <c r="O37" s="113">
        <f>IF(O$13="","",IF($B37="","",IFERROR($C37*$D37*SUMIFS('Dvd Calendar'!$E$50:$CZ$50,'Dvd Calendar'!$E$49:$CZ$49,"&gt;"&amp;O$12,'Dvd Calendar'!$E$49:$CZ$49,"&lt;="&amp;O$13)/AS51!$B$3,"")))</f>
        <v/>
      </c>
      <c r="P37" s="113">
        <f>IF(P$13="","",IF($B37="","",IFERROR($C37*$D37*SUMIFS('Dvd Calendar'!$E$50:$CZ$50,'Dvd Calendar'!$E$49:$CZ$49,"&gt;"&amp;P$12,'Dvd Calendar'!$E$49:$CZ$49,"&lt;="&amp;P$13)/AS51!$B$3,"")))</f>
        <v/>
      </c>
      <c r="Q37" s="113">
        <f>IF(Q$13="","",IF($B37="","",IFERROR($C37*$D37*SUMIFS('Dvd Calendar'!$E$50:$CZ$50,'Dvd Calendar'!$E$49:$CZ$49,"&gt;"&amp;Q$12,'Dvd Calendar'!$E$49:$CZ$49,"&lt;="&amp;Q$13)/AS51!$B$3,"")))</f>
        <v/>
      </c>
      <c r="R37" s="113">
        <f>IF(R$13="","",IF($B37="","",IFERROR($C37*$D37*SUMIFS('Dvd Calendar'!$E$50:$CZ$50,'Dvd Calendar'!$E$49:$CZ$49,"&gt;"&amp;R$12,'Dvd Calendar'!$E$49:$CZ$49,"&lt;="&amp;R$13)/AS51!$B$3,"")))</f>
        <v/>
      </c>
      <c r="S37" s="113">
        <f>IF(S$13="","",IF($B37="","",IFERROR($C37*$D37*SUMIFS('Dvd Calendar'!$E$50:$CZ$50,'Dvd Calendar'!$E$49:$CZ$49,"&gt;"&amp;S$12,'Dvd Calendar'!$E$49:$CZ$49,"&lt;="&amp;S$13)/AS51!$B$3,"")))</f>
        <v/>
      </c>
      <c r="T37" s="113">
        <f>IF(T$13="","",IF($B37="","",IFERROR($C37*$D37*SUMIFS('Dvd Calendar'!$E$50:$CZ$50,'Dvd Calendar'!$E$49:$CZ$49,"&gt;"&amp;T$12,'Dvd Calendar'!$E$49:$CZ$49,"&lt;="&amp;T$13)/AS51!$B$3,"")))</f>
        <v/>
      </c>
      <c r="U37" s="113">
        <f>IF(U$13="","",IF($B37="","",IFERROR($C37*$D37*SUMIFS('Dvd Calendar'!$E$50:$CZ$50,'Dvd Calendar'!$E$49:$CZ$49,"&gt;"&amp;U$12,'Dvd Calendar'!$E$49:$CZ$49,"&lt;="&amp;U$13)/AS51!$B$3,"")))</f>
        <v/>
      </c>
      <c r="W37" s="113">
        <f>IF(W$13="","",IF($B37="","",IFERROR(F37*$E37/100,"")))</f>
        <v/>
      </c>
      <c r="X37" s="113">
        <f>IF(X$13="","",IF($B37="","",IFERROR(G37*$E37/100,"")))</f>
        <v/>
      </c>
      <c r="Y37" s="113">
        <f>IF(Y$13="","",IF($B37="","",IFERROR(H37*$E37/100,"")))</f>
        <v/>
      </c>
      <c r="Z37" s="113">
        <f>IF(Z$13="","",IF($B37="","",IFERROR(I37*$E37/100,"")))</f>
        <v/>
      </c>
      <c r="AA37" s="113">
        <f>IF(AA$13="","",IF($B37="","",IFERROR(J37*$E37/100,"")))</f>
        <v/>
      </c>
      <c r="AB37" s="113">
        <f>IF(AB$13="","",IF($B37="","",IFERROR(K37*$E37/100,"")))</f>
        <v/>
      </c>
      <c r="AC37" s="113">
        <f>IF(AC$13="","",IF($B37="","",IFERROR(L37*$E37/100,"")))</f>
        <v/>
      </c>
      <c r="AD37" s="113">
        <f>IF(AD$13="","",IF($B37="","",IFERROR(M37*$E37/100,"")))</f>
        <v/>
      </c>
      <c r="AE37" s="113">
        <f>IF(AE$13="","",IF($B37="","",IFERROR(N37*$E37/100,"")))</f>
        <v/>
      </c>
      <c r="AF37" s="113">
        <f>IF(AF$13="","",IF($B37="","",IFERROR(O37*$E37/100,"")))</f>
        <v/>
      </c>
      <c r="AG37" s="113">
        <f>IF(AG$13="","",IF($B37="","",IFERROR(P37*$E37/100,"")))</f>
        <v/>
      </c>
      <c r="AH37" s="113">
        <f>IF(AH$13="","",IF($B37="","",IFERROR(Q37*$E37/100,"")))</f>
        <v/>
      </c>
      <c r="AI37" s="113">
        <f>IF(AI$13="","",IF($B37="","",IFERROR(R37*$E37/100,"")))</f>
        <v/>
      </c>
      <c r="AJ37" s="113">
        <f>IF(AJ$13="","",IF($B37="","",IFERROR(S37*$E37/100,"")))</f>
        <v/>
      </c>
      <c r="AK37" s="113">
        <f>IF(AK$13="","",IF($B37="","",IFERROR(T37*$E37/100,"")))</f>
        <v/>
      </c>
      <c r="AL37" s="113">
        <f>IF(AL$13="","",IF($B37="","",IFERROR(U37*$E37/100,"")))</f>
        <v/>
      </c>
    </row>
    <row r="38">
      <c r="B38" s="5">
        <f>IF(AS51!$C$28="","",AS51!$C$28)</f>
        <v/>
      </c>
      <c r="C38" s="86">
        <f>IF(AS51!$B$28="","",AS51!$B$28)</f>
        <v/>
      </c>
      <c r="D38" s="111">
        <f>IFERROR(AS51!$Q$28,1)</f>
        <v/>
      </c>
      <c r="E38" s="112">
        <f>IF($B38="","",IF(ISNUMBER(AS51!$I$28),AS51!$I$28,'Index Summary'!$C$7))</f>
        <v/>
      </c>
      <c r="F38" s="113">
        <f>IF(F$13="","",IF($B38="","",IFERROR($C38*$D38*SUMIFS('Dvd Calendar'!$E$52:$CZ$52,'Dvd Calendar'!$E$51:$CZ$51,"&gt;"&amp;F$12,'Dvd Calendar'!$E$51:$CZ$51,"&lt;="&amp;F$13)/AS51!$B$3,"")))</f>
        <v/>
      </c>
      <c r="G38" s="113">
        <f>IF(G$13="","",IF($B38="","",IFERROR($C38*$D38*SUMIFS('Dvd Calendar'!$E$52:$CZ$52,'Dvd Calendar'!$E$51:$CZ$51,"&gt;"&amp;G$12,'Dvd Calendar'!$E$51:$CZ$51,"&lt;="&amp;G$13)/AS51!$B$3,"")))</f>
        <v/>
      </c>
      <c r="H38" s="113">
        <f>IF(H$13="","",IF($B38="","",IFERROR($C38*$D38*SUMIFS('Dvd Calendar'!$E$52:$CZ$52,'Dvd Calendar'!$E$51:$CZ$51,"&gt;"&amp;H$12,'Dvd Calendar'!$E$51:$CZ$51,"&lt;="&amp;H$13)/AS51!$B$3,"")))</f>
        <v/>
      </c>
      <c r="I38" s="113">
        <f>IF(I$13="","",IF($B38="","",IFERROR($C38*$D38*SUMIFS('Dvd Calendar'!$E$52:$CZ$52,'Dvd Calendar'!$E$51:$CZ$51,"&gt;"&amp;I$12,'Dvd Calendar'!$E$51:$CZ$51,"&lt;="&amp;I$13)/AS51!$B$3,"")))</f>
        <v/>
      </c>
      <c r="J38" s="113">
        <f>IF(J$13="","",IF($B38="","",IFERROR($C38*$D38*SUMIFS('Dvd Calendar'!$E$52:$CZ$52,'Dvd Calendar'!$E$51:$CZ$51,"&gt;"&amp;J$12,'Dvd Calendar'!$E$51:$CZ$51,"&lt;="&amp;J$13)/AS51!$B$3,"")))</f>
        <v/>
      </c>
      <c r="K38" s="113">
        <f>IF(K$13="","",IF($B38="","",IFERROR($C38*$D38*SUMIFS('Dvd Calendar'!$E$52:$CZ$52,'Dvd Calendar'!$E$51:$CZ$51,"&gt;"&amp;K$12,'Dvd Calendar'!$E$51:$CZ$51,"&lt;="&amp;K$13)/AS51!$B$3,"")))</f>
        <v/>
      </c>
      <c r="L38" s="113">
        <f>IF(L$13="","",IF($B38="","",IFERROR($C38*$D38*SUMIFS('Dvd Calendar'!$E$52:$CZ$52,'Dvd Calendar'!$E$51:$CZ$51,"&gt;"&amp;L$12,'Dvd Calendar'!$E$51:$CZ$51,"&lt;="&amp;L$13)/AS51!$B$3,"")))</f>
        <v/>
      </c>
      <c r="M38" s="113">
        <f>IF(M$13="","",IF($B38="","",IFERROR($C38*$D38*SUMIFS('Dvd Calendar'!$E$52:$CZ$52,'Dvd Calendar'!$E$51:$CZ$51,"&gt;"&amp;M$12,'Dvd Calendar'!$E$51:$CZ$51,"&lt;="&amp;M$13)/AS51!$B$3,"")))</f>
        <v/>
      </c>
      <c r="N38" s="113">
        <f>IF(N$13="","",IF($B38="","",IFERROR($C38*$D38*SUMIFS('Dvd Calendar'!$E$52:$CZ$52,'Dvd Calendar'!$E$51:$CZ$51,"&gt;"&amp;N$12,'Dvd Calendar'!$E$51:$CZ$51,"&lt;="&amp;N$13)/AS51!$B$3,"")))</f>
        <v/>
      </c>
      <c r="O38" s="113">
        <f>IF(O$13="","",IF($B38="","",IFERROR($C38*$D38*SUMIFS('Dvd Calendar'!$E$52:$CZ$52,'Dvd Calendar'!$E$51:$CZ$51,"&gt;"&amp;O$12,'Dvd Calendar'!$E$51:$CZ$51,"&lt;="&amp;O$13)/AS51!$B$3,"")))</f>
        <v/>
      </c>
      <c r="P38" s="113">
        <f>IF(P$13="","",IF($B38="","",IFERROR($C38*$D38*SUMIFS('Dvd Calendar'!$E$52:$CZ$52,'Dvd Calendar'!$E$51:$CZ$51,"&gt;"&amp;P$12,'Dvd Calendar'!$E$51:$CZ$51,"&lt;="&amp;P$13)/AS51!$B$3,"")))</f>
        <v/>
      </c>
      <c r="Q38" s="113">
        <f>IF(Q$13="","",IF($B38="","",IFERROR($C38*$D38*SUMIFS('Dvd Calendar'!$E$52:$CZ$52,'Dvd Calendar'!$E$51:$CZ$51,"&gt;"&amp;Q$12,'Dvd Calendar'!$E$51:$CZ$51,"&lt;="&amp;Q$13)/AS51!$B$3,"")))</f>
        <v/>
      </c>
      <c r="R38" s="113">
        <f>IF(R$13="","",IF($B38="","",IFERROR($C38*$D38*SUMIFS('Dvd Calendar'!$E$52:$CZ$52,'Dvd Calendar'!$E$51:$CZ$51,"&gt;"&amp;R$12,'Dvd Calendar'!$E$51:$CZ$51,"&lt;="&amp;R$13)/AS51!$B$3,"")))</f>
        <v/>
      </c>
      <c r="S38" s="113">
        <f>IF(S$13="","",IF($B38="","",IFERROR($C38*$D38*SUMIFS('Dvd Calendar'!$E$52:$CZ$52,'Dvd Calendar'!$E$51:$CZ$51,"&gt;"&amp;S$12,'Dvd Calendar'!$E$51:$CZ$51,"&lt;="&amp;S$13)/AS51!$B$3,"")))</f>
        <v/>
      </c>
      <c r="T38" s="113">
        <f>IF(T$13="","",IF($B38="","",IFERROR($C38*$D38*SUMIFS('Dvd Calendar'!$E$52:$CZ$52,'Dvd Calendar'!$E$51:$CZ$51,"&gt;"&amp;T$12,'Dvd Calendar'!$E$51:$CZ$51,"&lt;="&amp;T$13)/AS51!$B$3,"")))</f>
        <v/>
      </c>
      <c r="U38" s="113">
        <f>IF(U$13="","",IF($B38="","",IFERROR($C38*$D38*SUMIFS('Dvd Calendar'!$E$52:$CZ$52,'Dvd Calendar'!$E$51:$CZ$51,"&gt;"&amp;U$12,'Dvd Calendar'!$E$51:$CZ$51,"&lt;="&amp;U$13)/AS51!$B$3,"")))</f>
        <v/>
      </c>
      <c r="W38" s="113">
        <f>IF(W$13="","",IF($B38="","",IFERROR(F38*$E38/100,"")))</f>
        <v/>
      </c>
      <c r="X38" s="113">
        <f>IF(X$13="","",IF($B38="","",IFERROR(G38*$E38/100,"")))</f>
        <v/>
      </c>
      <c r="Y38" s="113">
        <f>IF(Y$13="","",IF($B38="","",IFERROR(H38*$E38/100,"")))</f>
        <v/>
      </c>
      <c r="Z38" s="113">
        <f>IF(Z$13="","",IF($B38="","",IFERROR(I38*$E38/100,"")))</f>
        <v/>
      </c>
      <c r="AA38" s="113">
        <f>IF(AA$13="","",IF($B38="","",IFERROR(J38*$E38/100,"")))</f>
        <v/>
      </c>
      <c r="AB38" s="113">
        <f>IF(AB$13="","",IF($B38="","",IFERROR(K38*$E38/100,"")))</f>
        <v/>
      </c>
      <c r="AC38" s="113">
        <f>IF(AC$13="","",IF($B38="","",IFERROR(L38*$E38/100,"")))</f>
        <v/>
      </c>
      <c r="AD38" s="113">
        <f>IF(AD$13="","",IF($B38="","",IFERROR(M38*$E38/100,"")))</f>
        <v/>
      </c>
      <c r="AE38" s="113">
        <f>IF(AE$13="","",IF($B38="","",IFERROR(N38*$E38/100,"")))</f>
        <v/>
      </c>
      <c r="AF38" s="113">
        <f>IF(AF$13="","",IF($B38="","",IFERROR(O38*$E38/100,"")))</f>
        <v/>
      </c>
      <c r="AG38" s="113">
        <f>IF(AG$13="","",IF($B38="","",IFERROR(P38*$E38/100,"")))</f>
        <v/>
      </c>
      <c r="AH38" s="113">
        <f>IF(AH$13="","",IF($B38="","",IFERROR(Q38*$E38/100,"")))</f>
        <v/>
      </c>
      <c r="AI38" s="113">
        <f>IF(AI$13="","",IF($B38="","",IFERROR(R38*$E38/100,"")))</f>
        <v/>
      </c>
      <c r="AJ38" s="113">
        <f>IF(AJ$13="","",IF($B38="","",IFERROR(S38*$E38/100,"")))</f>
        <v/>
      </c>
      <c r="AK38" s="113">
        <f>IF(AK$13="","",IF($B38="","",IFERROR(T38*$E38/100,"")))</f>
        <v/>
      </c>
      <c r="AL38" s="113">
        <f>IF(AL$13="","",IF($B38="","",IFERROR(U38*$E38/100,"")))</f>
        <v/>
      </c>
    </row>
    <row r="39">
      <c r="B39" s="5">
        <f>IF(AS51!$C$29="","",AS51!$C$29)</f>
        <v/>
      </c>
      <c r="C39" s="86">
        <f>IF(AS51!$B$29="","",AS51!$B$29)</f>
        <v/>
      </c>
      <c r="D39" s="111">
        <f>IFERROR(AS51!$Q$29,1)</f>
        <v/>
      </c>
      <c r="E39" s="112">
        <f>IF($B39="","",IF(ISNUMBER(AS51!$I$29),AS51!$I$29,'Index Summary'!$C$7))</f>
        <v/>
      </c>
      <c r="F39" s="113">
        <f>IF(F$13="","",IF($B39="","",IFERROR($C39*$D39*SUMIFS('Dvd Calendar'!$E$54:$CZ$54,'Dvd Calendar'!$E$53:$CZ$53,"&gt;"&amp;F$12,'Dvd Calendar'!$E$53:$CZ$53,"&lt;="&amp;F$13)/AS51!$B$3,"")))</f>
        <v/>
      </c>
      <c r="G39" s="113">
        <f>IF(G$13="","",IF($B39="","",IFERROR($C39*$D39*SUMIFS('Dvd Calendar'!$E$54:$CZ$54,'Dvd Calendar'!$E$53:$CZ$53,"&gt;"&amp;G$12,'Dvd Calendar'!$E$53:$CZ$53,"&lt;="&amp;G$13)/AS51!$B$3,"")))</f>
        <v/>
      </c>
      <c r="H39" s="113">
        <f>IF(H$13="","",IF($B39="","",IFERROR($C39*$D39*SUMIFS('Dvd Calendar'!$E$54:$CZ$54,'Dvd Calendar'!$E$53:$CZ$53,"&gt;"&amp;H$12,'Dvd Calendar'!$E$53:$CZ$53,"&lt;="&amp;H$13)/AS51!$B$3,"")))</f>
        <v/>
      </c>
      <c r="I39" s="113">
        <f>IF(I$13="","",IF($B39="","",IFERROR($C39*$D39*SUMIFS('Dvd Calendar'!$E$54:$CZ$54,'Dvd Calendar'!$E$53:$CZ$53,"&gt;"&amp;I$12,'Dvd Calendar'!$E$53:$CZ$53,"&lt;="&amp;I$13)/AS51!$B$3,"")))</f>
        <v/>
      </c>
      <c r="J39" s="113">
        <f>IF(J$13="","",IF($B39="","",IFERROR($C39*$D39*SUMIFS('Dvd Calendar'!$E$54:$CZ$54,'Dvd Calendar'!$E$53:$CZ$53,"&gt;"&amp;J$12,'Dvd Calendar'!$E$53:$CZ$53,"&lt;="&amp;J$13)/AS51!$B$3,"")))</f>
        <v/>
      </c>
      <c r="K39" s="113">
        <f>IF(K$13="","",IF($B39="","",IFERROR($C39*$D39*SUMIFS('Dvd Calendar'!$E$54:$CZ$54,'Dvd Calendar'!$E$53:$CZ$53,"&gt;"&amp;K$12,'Dvd Calendar'!$E$53:$CZ$53,"&lt;="&amp;K$13)/AS51!$B$3,"")))</f>
        <v/>
      </c>
      <c r="L39" s="113">
        <f>IF(L$13="","",IF($B39="","",IFERROR($C39*$D39*SUMIFS('Dvd Calendar'!$E$54:$CZ$54,'Dvd Calendar'!$E$53:$CZ$53,"&gt;"&amp;L$12,'Dvd Calendar'!$E$53:$CZ$53,"&lt;="&amp;L$13)/AS51!$B$3,"")))</f>
        <v/>
      </c>
      <c r="M39" s="113">
        <f>IF(M$13="","",IF($B39="","",IFERROR($C39*$D39*SUMIFS('Dvd Calendar'!$E$54:$CZ$54,'Dvd Calendar'!$E$53:$CZ$53,"&gt;"&amp;M$12,'Dvd Calendar'!$E$53:$CZ$53,"&lt;="&amp;M$13)/AS51!$B$3,"")))</f>
        <v/>
      </c>
      <c r="N39" s="113">
        <f>IF(N$13="","",IF($B39="","",IFERROR($C39*$D39*SUMIFS('Dvd Calendar'!$E$54:$CZ$54,'Dvd Calendar'!$E$53:$CZ$53,"&gt;"&amp;N$12,'Dvd Calendar'!$E$53:$CZ$53,"&lt;="&amp;N$13)/AS51!$B$3,"")))</f>
        <v/>
      </c>
      <c r="O39" s="113">
        <f>IF(O$13="","",IF($B39="","",IFERROR($C39*$D39*SUMIFS('Dvd Calendar'!$E$54:$CZ$54,'Dvd Calendar'!$E$53:$CZ$53,"&gt;"&amp;O$12,'Dvd Calendar'!$E$53:$CZ$53,"&lt;="&amp;O$13)/AS51!$B$3,"")))</f>
        <v/>
      </c>
      <c r="P39" s="113">
        <f>IF(P$13="","",IF($B39="","",IFERROR($C39*$D39*SUMIFS('Dvd Calendar'!$E$54:$CZ$54,'Dvd Calendar'!$E$53:$CZ$53,"&gt;"&amp;P$12,'Dvd Calendar'!$E$53:$CZ$53,"&lt;="&amp;P$13)/AS51!$B$3,"")))</f>
        <v/>
      </c>
      <c r="Q39" s="113">
        <f>IF(Q$13="","",IF($B39="","",IFERROR($C39*$D39*SUMIFS('Dvd Calendar'!$E$54:$CZ$54,'Dvd Calendar'!$E$53:$CZ$53,"&gt;"&amp;Q$12,'Dvd Calendar'!$E$53:$CZ$53,"&lt;="&amp;Q$13)/AS51!$B$3,"")))</f>
        <v/>
      </c>
      <c r="R39" s="113">
        <f>IF(R$13="","",IF($B39="","",IFERROR($C39*$D39*SUMIFS('Dvd Calendar'!$E$54:$CZ$54,'Dvd Calendar'!$E$53:$CZ$53,"&gt;"&amp;R$12,'Dvd Calendar'!$E$53:$CZ$53,"&lt;="&amp;R$13)/AS51!$B$3,"")))</f>
        <v/>
      </c>
      <c r="S39" s="113">
        <f>IF(S$13="","",IF($B39="","",IFERROR($C39*$D39*SUMIFS('Dvd Calendar'!$E$54:$CZ$54,'Dvd Calendar'!$E$53:$CZ$53,"&gt;"&amp;S$12,'Dvd Calendar'!$E$53:$CZ$53,"&lt;="&amp;S$13)/AS51!$B$3,"")))</f>
        <v/>
      </c>
      <c r="T39" s="113">
        <f>IF(T$13="","",IF($B39="","",IFERROR($C39*$D39*SUMIFS('Dvd Calendar'!$E$54:$CZ$54,'Dvd Calendar'!$E$53:$CZ$53,"&gt;"&amp;T$12,'Dvd Calendar'!$E$53:$CZ$53,"&lt;="&amp;T$13)/AS51!$B$3,"")))</f>
        <v/>
      </c>
      <c r="U39" s="113">
        <f>IF(U$13="","",IF($B39="","",IFERROR($C39*$D39*SUMIFS('Dvd Calendar'!$E$54:$CZ$54,'Dvd Calendar'!$E$53:$CZ$53,"&gt;"&amp;U$12,'Dvd Calendar'!$E$53:$CZ$53,"&lt;="&amp;U$13)/AS51!$B$3,"")))</f>
        <v/>
      </c>
      <c r="W39" s="113">
        <f>IF(W$13="","",IF($B39="","",IFERROR(F39*$E39/100,"")))</f>
        <v/>
      </c>
      <c r="X39" s="113">
        <f>IF(X$13="","",IF($B39="","",IFERROR(G39*$E39/100,"")))</f>
        <v/>
      </c>
      <c r="Y39" s="113">
        <f>IF(Y$13="","",IF($B39="","",IFERROR(H39*$E39/100,"")))</f>
        <v/>
      </c>
      <c r="Z39" s="113">
        <f>IF(Z$13="","",IF($B39="","",IFERROR(I39*$E39/100,"")))</f>
        <v/>
      </c>
      <c r="AA39" s="113">
        <f>IF(AA$13="","",IF($B39="","",IFERROR(J39*$E39/100,"")))</f>
        <v/>
      </c>
      <c r="AB39" s="113">
        <f>IF(AB$13="","",IF($B39="","",IFERROR(K39*$E39/100,"")))</f>
        <v/>
      </c>
      <c r="AC39" s="113">
        <f>IF(AC$13="","",IF($B39="","",IFERROR(L39*$E39/100,"")))</f>
        <v/>
      </c>
      <c r="AD39" s="113">
        <f>IF(AD$13="","",IF($B39="","",IFERROR(M39*$E39/100,"")))</f>
        <v/>
      </c>
      <c r="AE39" s="113">
        <f>IF(AE$13="","",IF($B39="","",IFERROR(N39*$E39/100,"")))</f>
        <v/>
      </c>
      <c r="AF39" s="113">
        <f>IF(AF$13="","",IF($B39="","",IFERROR(O39*$E39/100,"")))</f>
        <v/>
      </c>
      <c r="AG39" s="113">
        <f>IF(AG$13="","",IF($B39="","",IFERROR(P39*$E39/100,"")))</f>
        <v/>
      </c>
      <c r="AH39" s="113">
        <f>IF(AH$13="","",IF($B39="","",IFERROR(Q39*$E39/100,"")))</f>
        <v/>
      </c>
      <c r="AI39" s="113">
        <f>IF(AI$13="","",IF($B39="","",IFERROR(R39*$E39/100,"")))</f>
        <v/>
      </c>
      <c r="AJ39" s="113">
        <f>IF(AJ$13="","",IF($B39="","",IFERROR(S39*$E39/100,"")))</f>
        <v/>
      </c>
      <c r="AK39" s="113">
        <f>IF(AK$13="","",IF($B39="","",IFERROR(T39*$E39/100,"")))</f>
        <v/>
      </c>
      <c r="AL39" s="113">
        <f>IF(AL$13="","",IF($B39="","",IFERROR(U39*$E39/100,"")))</f>
        <v/>
      </c>
    </row>
    <row r="40">
      <c r="B40" s="5">
        <f>IF(AS51!$C$30="","",AS51!$C$30)</f>
        <v/>
      </c>
      <c r="C40" s="86">
        <f>IF(AS51!$B$30="","",AS51!$B$30)</f>
        <v/>
      </c>
      <c r="D40" s="111">
        <f>IFERROR(AS51!$Q$30,1)</f>
        <v/>
      </c>
      <c r="E40" s="112">
        <f>IF($B40="","",IF(ISNUMBER(AS51!$I$30),AS51!$I$30,'Index Summary'!$C$7))</f>
        <v/>
      </c>
      <c r="F40" s="113">
        <f>IF(F$13="","",IF($B40="","",IFERROR($C40*$D40*SUMIFS('Dvd Calendar'!$E$56:$CZ$56,'Dvd Calendar'!$E$55:$CZ$55,"&gt;"&amp;F$12,'Dvd Calendar'!$E$55:$CZ$55,"&lt;="&amp;F$13)/AS51!$B$3,"")))</f>
        <v/>
      </c>
      <c r="G40" s="113">
        <f>IF(G$13="","",IF($B40="","",IFERROR($C40*$D40*SUMIFS('Dvd Calendar'!$E$56:$CZ$56,'Dvd Calendar'!$E$55:$CZ$55,"&gt;"&amp;G$12,'Dvd Calendar'!$E$55:$CZ$55,"&lt;="&amp;G$13)/AS51!$B$3,"")))</f>
        <v/>
      </c>
      <c r="H40" s="113">
        <f>IF(H$13="","",IF($B40="","",IFERROR($C40*$D40*SUMIFS('Dvd Calendar'!$E$56:$CZ$56,'Dvd Calendar'!$E$55:$CZ$55,"&gt;"&amp;H$12,'Dvd Calendar'!$E$55:$CZ$55,"&lt;="&amp;H$13)/AS51!$B$3,"")))</f>
        <v/>
      </c>
      <c r="I40" s="113">
        <f>IF(I$13="","",IF($B40="","",IFERROR($C40*$D40*SUMIFS('Dvd Calendar'!$E$56:$CZ$56,'Dvd Calendar'!$E$55:$CZ$55,"&gt;"&amp;I$12,'Dvd Calendar'!$E$55:$CZ$55,"&lt;="&amp;I$13)/AS51!$B$3,"")))</f>
        <v/>
      </c>
      <c r="J40" s="113">
        <f>IF(J$13="","",IF($B40="","",IFERROR($C40*$D40*SUMIFS('Dvd Calendar'!$E$56:$CZ$56,'Dvd Calendar'!$E$55:$CZ$55,"&gt;"&amp;J$12,'Dvd Calendar'!$E$55:$CZ$55,"&lt;="&amp;J$13)/AS51!$B$3,"")))</f>
        <v/>
      </c>
      <c r="K40" s="113">
        <f>IF(K$13="","",IF($B40="","",IFERROR($C40*$D40*SUMIFS('Dvd Calendar'!$E$56:$CZ$56,'Dvd Calendar'!$E$55:$CZ$55,"&gt;"&amp;K$12,'Dvd Calendar'!$E$55:$CZ$55,"&lt;="&amp;K$13)/AS51!$B$3,"")))</f>
        <v/>
      </c>
      <c r="L40" s="113">
        <f>IF(L$13="","",IF($B40="","",IFERROR($C40*$D40*SUMIFS('Dvd Calendar'!$E$56:$CZ$56,'Dvd Calendar'!$E$55:$CZ$55,"&gt;"&amp;L$12,'Dvd Calendar'!$E$55:$CZ$55,"&lt;="&amp;L$13)/AS51!$B$3,"")))</f>
        <v/>
      </c>
      <c r="M40" s="113">
        <f>IF(M$13="","",IF($B40="","",IFERROR($C40*$D40*SUMIFS('Dvd Calendar'!$E$56:$CZ$56,'Dvd Calendar'!$E$55:$CZ$55,"&gt;"&amp;M$12,'Dvd Calendar'!$E$55:$CZ$55,"&lt;="&amp;M$13)/AS51!$B$3,"")))</f>
        <v/>
      </c>
      <c r="N40" s="113">
        <f>IF(N$13="","",IF($B40="","",IFERROR($C40*$D40*SUMIFS('Dvd Calendar'!$E$56:$CZ$56,'Dvd Calendar'!$E$55:$CZ$55,"&gt;"&amp;N$12,'Dvd Calendar'!$E$55:$CZ$55,"&lt;="&amp;N$13)/AS51!$B$3,"")))</f>
        <v/>
      </c>
      <c r="O40" s="113">
        <f>IF(O$13="","",IF($B40="","",IFERROR($C40*$D40*SUMIFS('Dvd Calendar'!$E$56:$CZ$56,'Dvd Calendar'!$E$55:$CZ$55,"&gt;"&amp;O$12,'Dvd Calendar'!$E$55:$CZ$55,"&lt;="&amp;O$13)/AS51!$B$3,"")))</f>
        <v/>
      </c>
      <c r="P40" s="113">
        <f>IF(P$13="","",IF($B40="","",IFERROR($C40*$D40*SUMIFS('Dvd Calendar'!$E$56:$CZ$56,'Dvd Calendar'!$E$55:$CZ$55,"&gt;"&amp;P$12,'Dvd Calendar'!$E$55:$CZ$55,"&lt;="&amp;P$13)/AS51!$B$3,"")))</f>
        <v/>
      </c>
      <c r="Q40" s="113">
        <f>IF(Q$13="","",IF($B40="","",IFERROR($C40*$D40*SUMIFS('Dvd Calendar'!$E$56:$CZ$56,'Dvd Calendar'!$E$55:$CZ$55,"&gt;"&amp;Q$12,'Dvd Calendar'!$E$55:$CZ$55,"&lt;="&amp;Q$13)/AS51!$B$3,"")))</f>
        <v/>
      </c>
      <c r="R40" s="113">
        <f>IF(R$13="","",IF($B40="","",IFERROR($C40*$D40*SUMIFS('Dvd Calendar'!$E$56:$CZ$56,'Dvd Calendar'!$E$55:$CZ$55,"&gt;"&amp;R$12,'Dvd Calendar'!$E$55:$CZ$55,"&lt;="&amp;R$13)/AS51!$B$3,"")))</f>
        <v/>
      </c>
      <c r="S40" s="113">
        <f>IF(S$13="","",IF($B40="","",IFERROR($C40*$D40*SUMIFS('Dvd Calendar'!$E$56:$CZ$56,'Dvd Calendar'!$E$55:$CZ$55,"&gt;"&amp;S$12,'Dvd Calendar'!$E$55:$CZ$55,"&lt;="&amp;S$13)/AS51!$B$3,"")))</f>
        <v/>
      </c>
      <c r="T40" s="113">
        <f>IF(T$13="","",IF($B40="","",IFERROR($C40*$D40*SUMIFS('Dvd Calendar'!$E$56:$CZ$56,'Dvd Calendar'!$E$55:$CZ$55,"&gt;"&amp;T$12,'Dvd Calendar'!$E$55:$CZ$55,"&lt;="&amp;T$13)/AS51!$B$3,"")))</f>
        <v/>
      </c>
      <c r="U40" s="113">
        <f>IF(U$13="","",IF($B40="","",IFERROR($C40*$D40*SUMIFS('Dvd Calendar'!$E$56:$CZ$56,'Dvd Calendar'!$E$55:$CZ$55,"&gt;"&amp;U$12,'Dvd Calendar'!$E$55:$CZ$55,"&lt;="&amp;U$13)/AS51!$B$3,"")))</f>
        <v/>
      </c>
      <c r="W40" s="113">
        <f>IF(W$13="","",IF($B40="","",IFERROR(F40*$E40/100,"")))</f>
        <v/>
      </c>
      <c r="X40" s="113">
        <f>IF(X$13="","",IF($B40="","",IFERROR(G40*$E40/100,"")))</f>
        <v/>
      </c>
      <c r="Y40" s="113">
        <f>IF(Y$13="","",IF($B40="","",IFERROR(H40*$E40/100,"")))</f>
        <v/>
      </c>
      <c r="Z40" s="113">
        <f>IF(Z$13="","",IF($B40="","",IFERROR(I40*$E40/100,"")))</f>
        <v/>
      </c>
      <c r="AA40" s="113">
        <f>IF(AA$13="","",IF($B40="","",IFERROR(J40*$E40/100,"")))</f>
        <v/>
      </c>
      <c r="AB40" s="113">
        <f>IF(AB$13="","",IF($B40="","",IFERROR(K40*$E40/100,"")))</f>
        <v/>
      </c>
      <c r="AC40" s="113">
        <f>IF(AC$13="","",IF($B40="","",IFERROR(L40*$E40/100,"")))</f>
        <v/>
      </c>
      <c r="AD40" s="113">
        <f>IF(AD$13="","",IF($B40="","",IFERROR(M40*$E40/100,"")))</f>
        <v/>
      </c>
      <c r="AE40" s="113">
        <f>IF(AE$13="","",IF($B40="","",IFERROR(N40*$E40/100,"")))</f>
        <v/>
      </c>
      <c r="AF40" s="113">
        <f>IF(AF$13="","",IF($B40="","",IFERROR(O40*$E40/100,"")))</f>
        <v/>
      </c>
      <c r="AG40" s="113">
        <f>IF(AG$13="","",IF($B40="","",IFERROR(P40*$E40/100,"")))</f>
        <v/>
      </c>
      <c r="AH40" s="113">
        <f>IF(AH$13="","",IF($B40="","",IFERROR(Q40*$E40/100,"")))</f>
        <v/>
      </c>
      <c r="AI40" s="113">
        <f>IF(AI$13="","",IF($B40="","",IFERROR(R40*$E40/100,"")))</f>
        <v/>
      </c>
      <c r="AJ40" s="113">
        <f>IF(AJ$13="","",IF($B40="","",IFERROR(S40*$E40/100,"")))</f>
        <v/>
      </c>
      <c r="AK40" s="113">
        <f>IF(AK$13="","",IF($B40="","",IFERROR(T40*$E40/100,"")))</f>
        <v/>
      </c>
      <c r="AL40" s="113">
        <f>IF(AL$13="","",IF($B40="","",IFERROR(U40*$E40/100,"")))</f>
        <v/>
      </c>
    </row>
    <row r="41">
      <c r="B41" s="5">
        <f>IF(AS51!$C$31="","",AS51!$C$31)</f>
        <v/>
      </c>
      <c r="C41" s="86">
        <f>IF(AS51!$B$31="","",AS51!$B$31)</f>
        <v/>
      </c>
      <c r="D41" s="111">
        <f>IFERROR(AS51!$Q$31,1)</f>
        <v/>
      </c>
      <c r="E41" s="112">
        <f>IF($B41="","",IF(ISNUMBER(AS51!$I$31),AS51!$I$31,'Index Summary'!$C$7))</f>
        <v/>
      </c>
      <c r="F41" s="113">
        <f>IF(F$13="","",IF($B41="","",IFERROR($C41*$D41*SUMIFS('Dvd Calendar'!$E$58:$CZ$58,'Dvd Calendar'!$E$57:$CZ$57,"&gt;"&amp;F$12,'Dvd Calendar'!$E$57:$CZ$57,"&lt;="&amp;F$13)/AS51!$B$3,"")))</f>
        <v/>
      </c>
      <c r="G41" s="113">
        <f>IF(G$13="","",IF($B41="","",IFERROR($C41*$D41*SUMIFS('Dvd Calendar'!$E$58:$CZ$58,'Dvd Calendar'!$E$57:$CZ$57,"&gt;"&amp;G$12,'Dvd Calendar'!$E$57:$CZ$57,"&lt;="&amp;G$13)/AS51!$B$3,"")))</f>
        <v/>
      </c>
      <c r="H41" s="113">
        <f>IF(H$13="","",IF($B41="","",IFERROR($C41*$D41*SUMIFS('Dvd Calendar'!$E$58:$CZ$58,'Dvd Calendar'!$E$57:$CZ$57,"&gt;"&amp;H$12,'Dvd Calendar'!$E$57:$CZ$57,"&lt;="&amp;H$13)/AS51!$B$3,"")))</f>
        <v/>
      </c>
      <c r="I41" s="113">
        <f>IF(I$13="","",IF($B41="","",IFERROR($C41*$D41*SUMIFS('Dvd Calendar'!$E$58:$CZ$58,'Dvd Calendar'!$E$57:$CZ$57,"&gt;"&amp;I$12,'Dvd Calendar'!$E$57:$CZ$57,"&lt;="&amp;I$13)/AS51!$B$3,"")))</f>
        <v/>
      </c>
      <c r="J41" s="113">
        <f>IF(J$13="","",IF($B41="","",IFERROR($C41*$D41*SUMIFS('Dvd Calendar'!$E$58:$CZ$58,'Dvd Calendar'!$E$57:$CZ$57,"&gt;"&amp;J$12,'Dvd Calendar'!$E$57:$CZ$57,"&lt;="&amp;J$13)/AS51!$B$3,"")))</f>
        <v/>
      </c>
      <c r="K41" s="113">
        <f>IF(K$13="","",IF($B41="","",IFERROR($C41*$D41*SUMIFS('Dvd Calendar'!$E$58:$CZ$58,'Dvd Calendar'!$E$57:$CZ$57,"&gt;"&amp;K$12,'Dvd Calendar'!$E$57:$CZ$57,"&lt;="&amp;K$13)/AS51!$B$3,"")))</f>
        <v/>
      </c>
      <c r="L41" s="113">
        <f>IF(L$13="","",IF($B41="","",IFERROR($C41*$D41*SUMIFS('Dvd Calendar'!$E$58:$CZ$58,'Dvd Calendar'!$E$57:$CZ$57,"&gt;"&amp;L$12,'Dvd Calendar'!$E$57:$CZ$57,"&lt;="&amp;L$13)/AS51!$B$3,"")))</f>
        <v/>
      </c>
      <c r="M41" s="113">
        <f>IF(M$13="","",IF($B41="","",IFERROR($C41*$D41*SUMIFS('Dvd Calendar'!$E$58:$CZ$58,'Dvd Calendar'!$E$57:$CZ$57,"&gt;"&amp;M$12,'Dvd Calendar'!$E$57:$CZ$57,"&lt;="&amp;M$13)/AS51!$B$3,"")))</f>
        <v/>
      </c>
      <c r="N41" s="113">
        <f>IF(N$13="","",IF($B41="","",IFERROR($C41*$D41*SUMIFS('Dvd Calendar'!$E$58:$CZ$58,'Dvd Calendar'!$E$57:$CZ$57,"&gt;"&amp;N$12,'Dvd Calendar'!$E$57:$CZ$57,"&lt;="&amp;N$13)/AS51!$B$3,"")))</f>
        <v/>
      </c>
      <c r="O41" s="113">
        <f>IF(O$13="","",IF($B41="","",IFERROR($C41*$D41*SUMIFS('Dvd Calendar'!$E$58:$CZ$58,'Dvd Calendar'!$E$57:$CZ$57,"&gt;"&amp;O$12,'Dvd Calendar'!$E$57:$CZ$57,"&lt;="&amp;O$13)/AS51!$B$3,"")))</f>
        <v/>
      </c>
      <c r="P41" s="113">
        <f>IF(P$13="","",IF($B41="","",IFERROR($C41*$D41*SUMIFS('Dvd Calendar'!$E$58:$CZ$58,'Dvd Calendar'!$E$57:$CZ$57,"&gt;"&amp;P$12,'Dvd Calendar'!$E$57:$CZ$57,"&lt;="&amp;P$13)/AS51!$B$3,"")))</f>
        <v/>
      </c>
      <c r="Q41" s="113">
        <f>IF(Q$13="","",IF($B41="","",IFERROR($C41*$D41*SUMIFS('Dvd Calendar'!$E$58:$CZ$58,'Dvd Calendar'!$E$57:$CZ$57,"&gt;"&amp;Q$12,'Dvd Calendar'!$E$57:$CZ$57,"&lt;="&amp;Q$13)/AS51!$B$3,"")))</f>
        <v/>
      </c>
      <c r="R41" s="113">
        <f>IF(R$13="","",IF($B41="","",IFERROR($C41*$D41*SUMIFS('Dvd Calendar'!$E$58:$CZ$58,'Dvd Calendar'!$E$57:$CZ$57,"&gt;"&amp;R$12,'Dvd Calendar'!$E$57:$CZ$57,"&lt;="&amp;R$13)/AS51!$B$3,"")))</f>
        <v/>
      </c>
      <c r="S41" s="113">
        <f>IF(S$13="","",IF($B41="","",IFERROR($C41*$D41*SUMIFS('Dvd Calendar'!$E$58:$CZ$58,'Dvd Calendar'!$E$57:$CZ$57,"&gt;"&amp;S$12,'Dvd Calendar'!$E$57:$CZ$57,"&lt;="&amp;S$13)/AS51!$B$3,"")))</f>
        <v/>
      </c>
      <c r="T41" s="113">
        <f>IF(T$13="","",IF($B41="","",IFERROR($C41*$D41*SUMIFS('Dvd Calendar'!$E$58:$CZ$58,'Dvd Calendar'!$E$57:$CZ$57,"&gt;"&amp;T$12,'Dvd Calendar'!$E$57:$CZ$57,"&lt;="&amp;T$13)/AS51!$B$3,"")))</f>
        <v/>
      </c>
      <c r="U41" s="113">
        <f>IF(U$13="","",IF($B41="","",IFERROR($C41*$D41*SUMIFS('Dvd Calendar'!$E$58:$CZ$58,'Dvd Calendar'!$E$57:$CZ$57,"&gt;"&amp;U$12,'Dvd Calendar'!$E$57:$CZ$57,"&lt;="&amp;U$13)/AS51!$B$3,"")))</f>
        <v/>
      </c>
      <c r="W41" s="113">
        <f>IF(W$13="","",IF($B41="","",IFERROR(F41*$E41/100,"")))</f>
        <v/>
      </c>
      <c r="X41" s="113">
        <f>IF(X$13="","",IF($B41="","",IFERROR(G41*$E41/100,"")))</f>
        <v/>
      </c>
      <c r="Y41" s="113">
        <f>IF(Y$13="","",IF($B41="","",IFERROR(H41*$E41/100,"")))</f>
        <v/>
      </c>
      <c r="Z41" s="113">
        <f>IF(Z$13="","",IF($B41="","",IFERROR(I41*$E41/100,"")))</f>
        <v/>
      </c>
      <c r="AA41" s="113">
        <f>IF(AA$13="","",IF($B41="","",IFERROR(J41*$E41/100,"")))</f>
        <v/>
      </c>
      <c r="AB41" s="113">
        <f>IF(AB$13="","",IF($B41="","",IFERROR(K41*$E41/100,"")))</f>
        <v/>
      </c>
      <c r="AC41" s="113">
        <f>IF(AC$13="","",IF($B41="","",IFERROR(L41*$E41/100,"")))</f>
        <v/>
      </c>
      <c r="AD41" s="113">
        <f>IF(AD$13="","",IF($B41="","",IFERROR(M41*$E41/100,"")))</f>
        <v/>
      </c>
      <c r="AE41" s="113">
        <f>IF(AE$13="","",IF($B41="","",IFERROR(N41*$E41/100,"")))</f>
        <v/>
      </c>
      <c r="AF41" s="113">
        <f>IF(AF$13="","",IF($B41="","",IFERROR(O41*$E41/100,"")))</f>
        <v/>
      </c>
      <c r="AG41" s="113">
        <f>IF(AG$13="","",IF($B41="","",IFERROR(P41*$E41/100,"")))</f>
        <v/>
      </c>
      <c r="AH41" s="113">
        <f>IF(AH$13="","",IF($B41="","",IFERROR(Q41*$E41/100,"")))</f>
        <v/>
      </c>
      <c r="AI41" s="113">
        <f>IF(AI$13="","",IF($B41="","",IFERROR(R41*$E41/100,"")))</f>
        <v/>
      </c>
      <c r="AJ41" s="113">
        <f>IF(AJ$13="","",IF($B41="","",IFERROR(S41*$E41/100,"")))</f>
        <v/>
      </c>
      <c r="AK41" s="113">
        <f>IF(AK$13="","",IF($B41="","",IFERROR(T41*$E41/100,"")))</f>
        <v/>
      </c>
      <c r="AL41" s="113">
        <f>IF(AL$13="","",IF($B41="","",IFERROR(U41*$E41/100,"")))</f>
        <v/>
      </c>
    </row>
    <row r="42">
      <c r="B42" s="5">
        <f>IF(AS51!$C$32="","",AS51!$C$32)</f>
        <v/>
      </c>
      <c r="C42" s="86">
        <f>IF(AS51!$B$32="","",AS51!$B$32)</f>
        <v/>
      </c>
      <c r="D42" s="111">
        <f>IFERROR(AS51!$Q$32,1)</f>
        <v/>
      </c>
      <c r="E42" s="112">
        <f>IF($B42="","",IF(ISNUMBER(AS51!$I$32),AS51!$I$32,'Index Summary'!$C$7))</f>
        <v/>
      </c>
      <c r="F42" s="113">
        <f>IF(F$13="","",IF($B42="","",IFERROR($C42*$D42*SUMIFS('Dvd Calendar'!$E$60:$CZ$60,'Dvd Calendar'!$E$59:$CZ$59,"&gt;"&amp;F$12,'Dvd Calendar'!$E$59:$CZ$59,"&lt;="&amp;F$13)/AS51!$B$3,"")))</f>
        <v/>
      </c>
      <c r="G42" s="113">
        <f>IF(G$13="","",IF($B42="","",IFERROR($C42*$D42*SUMIFS('Dvd Calendar'!$E$60:$CZ$60,'Dvd Calendar'!$E$59:$CZ$59,"&gt;"&amp;G$12,'Dvd Calendar'!$E$59:$CZ$59,"&lt;="&amp;G$13)/AS51!$B$3,"")))</f>
        <v/>
      </c>
      <c r="H42" s="113">
        <f>IF(H$13="","",IF($B42="","",IFERROR($C42*$D42*SUMIFS('Dvd Calendar'!$E$60:$CZ$60,'Dvd Calendar'!$E$59:$CZ$59,"&gt;"&amp;H$12,'Dvd Calendar'!$E$59:$CZ$59,"&lt;="&amp;H$13)/AS51!$B$3,"")))</f>
        <v/>
      </c>
      <c r="I42" s="113">
        <f>IF(I$13="","",IF($B42="","",IFERROR($C42*$D42*SUMIFS('Dvd Calendar'!$E$60:$CZ$60,'Dvd Calendar'!$E$59:$CZ$59,"&gt;"&amp;I$12,'Dvd Calendar'!$E$59:$CZ$59,"&lt;="&amp;I$13)/AS51!$B$3,"")))</f>
        <v/>
      </c>
      <c r="J42" s="113">
        <f>IF(J$13="","",IF($B42="","",IFERROR($C42*$D42*SUMIFS('Dvd Calendar'!$E$60:$CZ$60,'Dvd Calendar'!$E$59:$CZ$59,"&gt;"&amp;J$12,'Dvd Calendar'!$E$59:$CZ$59,"&lt;="&amp;J$13)/AS51!$B$3,"")))</f>
        <v/>
      </c>
      <c r="K42" s="113">
        <f>IF(K$13="","",IF($B42="","",IFERROR($C42*$D42*SUMIFS('Dvd Calendar'!$E$60:$CZ$60,'Dvd Calendar'!$E$59:$CZ$59,"&gt;"&amp;K$12,'Dvd Calendar'!$E$59:$CZ$59,"&lt;="&amp;K$13)/AS51!$B$3,"")))</f>
        <v/>
      </c>
      <c r="L42" s="113">
        <f>IF(L$13="","",IF($B42="","",IFERROR($C42*$D42*SUMIFS('Dvd Calendar'!$E$60:$CZ$60,'Dvd Calendar'!$E$59:$CZ$59,"&gt;"&amp;L$12,'Dvd Calendar'!$E$59:$CZ$59,"&lt;="&amp;L$13)/AS51!$B$3,"")))</f>
        <v/>
      </c>
      <c r="M42" s="113">
        <f>IF(M$13="","",IF($B42="","",IFERROR($C42*$D42*SUMIFS('Dvd Calendar'!$E$60:$CZ$60,'Dvd Calendar'!$E$59:$CZ$59,"&gt;"&amp;M$12,'Dvd Calendar'!$E$59:$CZ$59,"&lt;="&amp;M$13)/AS51!$B$3,"")))</f>
        <v/>
      </c>
      <c r="N42" s="113">
        <f>IF(N$13="","",IF($B42="","",IFERROR($C42*$D42*SUMIFS('Dvd Calendar'!$E$60:$CZ$60,'Dvd Calendar'!$E$59:$CZ$59,"&gt;"&amp;N$12,'Dvd Calendar'!$E$59:$CZ$59,"&lt;="&amp;N$13)/AS51!$B$3,"")))</f>
        <v/>
      </c>
      <c r="O42" s="113">
        <f>IF(O$13="","",IF($B42="","",IFERROR($C42*$D42*SUMIFS('Dvd Calendar'!$E$60:$CZ$60,'Dvd Calendar'!$E$59:$CZ$59,"&gt;"&amp;O$12,'Dvd Calendar'!$E$59:$CZ$59,"&lt;="&amp;O$13)/AS51!$B$3,"")))</f>
        <v/>
      </c>
      <c r="P42" s="113">
        <f>IF(P$13="","",IF($B42="","",IFERROR($C42*$D42*SUMIFS('Dvd Calendar'!$E$60:$CZ$60,'Dvd Calendar'!$E$59:$CZ$59,"&gt;"&amp;P$12,'Dvd Calendar'!$E$59:$CZ$59,"&lt;="&amp;P$13)/AS51!$B$3,"")))</f>
        <v/>
      </c>
      <c r="Q42" s="113">
        <f>IF(Q$13="","",IF($B42="","",IFERROR($C42*$D42*SUMIFS('Dvd Calendar'!$E$60:$CZ$60,'Dvd Calendar'!$E$59:$CZ$59,"&gt;"&amp;Q$12,'Dvd Calendar'!$E$59:$CZ$59,"&lt;="&amp;Q$13)/AS51!$B$3,"")))</f>
        <v/>
      </c>
      <c r="R42" s="113">
        <f>IF(R$13="","",IF($B42="","",IFERROR($C42*$D42*SUMIFS('Dvd Calendar'!$E$60:$CZ$60,'Dvd Calendar'!$E$59:$CZ$59,"&gt;"&amp;R$12,'Dvd Calendar'!$E$59:$CZ$59,"&lt;="&amp;R$13)/AS51!$B$3,"")))</f>
        <v/>
      </c>
      <c r="S42" s="113">
        <f>IF(S$13="","",IF($B42="","",IFERROR($C42*$D42*SUMIFS('Dvd Calendar'!$E$60:$CZ$60,'Dvd Calendar'!$E$59:$CZ$59,"&gt;"&amp;S$12,'Dvd Calendar'!$E$59:$CZ$59,"&lt;="&amp;S$13)/AS51!$B$3,"")))</f>
        <v/>
      </c>
      <c r="T42" s="113">
        <f>IF(T$13="","",IF($B42="","",IFERROR($C42*$D42*SUMIFS('Dvd Calendar'!$E$60:$CZ$60,'Dvd Calendar'!$E$59:$CZ$59,"&gt;"&amp;T$12,'Dvd Calendar'!$E$59:$CZ$59,"&lt;="&amp;T$13)/AS51!$B$3,"")))</f>
        <v/>
      </c>
      <c r="U42" s="113">
        <f>IF(U$13="","",IF($B42="","",IFERROR($C42*$D42*SUMIFS('Dvd Calendar'!$E$60:$CZ$60,'Dvd Calendar'!$E$59:$CZ$59,"&gt;"&amp;U$12,'Dvd Calendar'!$E$59:$CZ$59,"&lt;="&amp;U$13)/AS51!$B$3,"")))</f>
        <v/>
      </c>
      <c r="W42" s="113">
        <f>IF(W$13="","",IF($B42="","",IFERROR(F42*$E42/100,"")))</f>
        <v/>
      </c>
      <c r="X42" s="113">
        <f>IF(X$13="","",IF($B42="","",IFERROR(G42*$E42/100,"")))</f>
        <v/>
      </c>
      <c r="Y42" s="113">
        <f>IF(Y$13="","",IF($B42="","",IFERROR(H42*$E42/100,"")))</f>
        <v/>
      </c>
      <c r="Z42" s="113">
        <f>IF(Z$13="","",IF($B42="","",IFERROR(I42*$E42/100,"")))</f>
        <v/>
      </c>
      <c r="AA42" s="113">
        <f>IF(AA$13="","",IF($B42="","",IFERROR(J42*$E42/100,"")))</f>
        <v/>
      </c>
      <c r="AB42" s="113">
        <f>IF(AB$13="","",IF($B42="","",IFERROR(K42*$E42/100,"")))</f>
        <v/>
      </c>
      <c r="AC42" s="113">
        <f>IF(AC$13="","",IF($B42="","",IFERROR(L42*$E42/100,"")))</f>
        <v/>
      </c>
      <c r="AD42" s="113">
        <f>IF(AD$13="","",IF($B42="","",IFERROR(M42*$E42/100,"")))</f>
        <v/>
      </c>
      <c r="AE42" s="113">
        <f>IF(AE$13="","",IF($B42="","",IFERROR(N42*$E42/100,"")))</f>
        <v/>
      </c>
      <c r="AF42" s="113">
        <f>IF(AF$13="","",IF($B42="","",IFERROR(O42*$E42/100,"")))</f>
        <v/>
      </c>
      <c r="AG42" s="113">
        <f>IF(AG$13="","",IF($B42="","",IFERROR(P42*$E42/100,"")))</f>
        <v/>
      </c>
      <c r="AH42" s="113">
        <f>IF(AH$13="","",IF($B42="","",IFERROR(Q42*$E42/100,"")))</f>
        <v/>
      </c>
      <c r="AI42" s="113">
        <f>IF(AI$13="","",IF($B42="","",IFERROR(R42*$E42/100,"")))</f>
        <v/>
      </c>
      <c r="AJ42" s="113">
        <f>IF(AJ$13="","",IF($B42="","",IFERROR(S42*$E42/100,"")))</f>
        <v/>
      </c>
      <c r="AK42" s="113">
        <f>IF(AK$13="","",IF($B42="","",IFERROR(T42*$E42/100,"")))</f>
        <v/>
      </c>
      <c r="AL42" s="113">
        <f>IF(AL$13="","",IF($B42="","",IFERROR(U42*$E42/100,"")))</f>
        <v/>
      </c>
    </row>
    <row r="43">
      <c r="B43" s="5">
        <f>IF(AS51!$C$33="","",AS51!$C$33)</f>
        <v/>
      </c>
      <c r="C43" s="86">
        <f>IF(AS51!$B$33="","",AS51!$B$33)</f>
        <v/>
      </c>
      <c r="D43" s="111">
        <f>IFERROR(AS51!$Q$33,1)</f>
        <v/>
      </c>
      <c r="E43" s="112">
        <f>IF($B43="","",IF(ISNUMBER(AS51!$I$33),AS51!$I$33,'Index Summary'!$C$7))</f>
        <v/>
      </c>
      <c r="F43" s="113">
        <f>IF(F$13="","",IF($B43="","",IFERROR($C43*$D43*SUMIFS('Dvd Calendar'!$E$62:$CZ$62,'Dvd Calendar'!$E$61:$CZ$61,"&gt;"&amp;F$12,'Dvd Calendar'!$E$61:$CZ$61,"&lt;="&amp;F$13)/AS51!$B$3,"")))</f>
        <v/>
      </c>
      <c r="G43" s="113">
        <f>IF(G$13="","",IF($B43="","",IFERROR($C43*$D43*SUMIFS('Dvd Calendar'!$E$62:$CZ$62,'Dvd Calendar'!$E$61:$CZ$61,"&gt;"&amp;G$12,'Dvd Calendar'!$E$61:$CZ$61,"&lt;="&amp;G$13)/AS51!$B$3,"")))</f>
        <v/>
      </c>
      <c r="H43" s="113">
        <f>IF(H$13="","",IF($B43="","",IFERROR($C43*$D43*SUMIFS('Dvd Calendar'!$E$62:$CZ$62,'Dvd Calendar'!$E$61:$CZ$61,"&gt;"&amp;H$12,'Dvd Calendar'!$E$61:$CZ$61,"&lt;="&amp;H$13)/AS51!$B$3,"")))</f>
        <v/>
      </c>
      <c r="I43" s="113">
        <f>IF(I$13="","",IF($B43="","",IFERROR($C43*$D43*SUMIFS('Dvd Calendar'!$E$62:$CZ$62,'Dvd Calendar'!$E$61:$CZ$61,"&gt;"&amp;I$12,'Dvd Calendar'!$E$61:$CZ$61,"&lt;="&amp;I$13)/AS51!$B$3,"")))</f>
        <v/>
      </c>
      <c r="J43" s="113">
        <f>IF(J$13="","",IF($B43="","",IFERROR($C43*$D43*SUMIFS('Dvd Calendar'!$E$62:$CZ$62,'Dvd Calendar'!$E$61:$CZ$61,"&gt;"&amp;J$12,'Dvd Calendar'!$E$61:$CZ$61,"&lt;="&amp;J$13)/AS51!$B$3,"")))</f>
        <v/>
      </c>
      <c r="K43" s="113">
        <f>IF(K$13="","",IF($B43="","",IFERROR($C43*$D43*SUMIFS('Dvd Calendar'!$E$62:$CZ$62,'Dvd Calendar'!$E$61:$CZ$61,"&gt;"&amp;K$12,'Dvd Calendar'!$E$61:$CZ$61,"&lt;="&amp;K$13)/AS51!$B$3,"")))</f>
        <v/>
      </c>
      <c r="L43" s="113">
        <f>IF(L$13="","",IF($B43="","",IFERROR($C43*$D43*SUMIFS('Dvd Calendar'!$E$62:$CZ$62,'Dvd Calendar'!$E$61:$CZ$61,"&gt;"&amp;L$12,'Dvd Calendar'!$E$61:$CZ$61,"&lt;="&amp;L$13)/AS51!$B$3,"")))</f>
        <v/>
      </c>
      <c r="M43" s="113">
        <f>IF(M$13="","",IF($B43="","",IFERROR($C43*$D43*SUMIFS('Dvd Calendar'!$E$62:$CZ$62,'Dvd Calendar'!$E$61:$CZ$61,"&gt;"&amp;M$12,'Dvd Calendar'!$E$61:$CZ$61,"&lt;="&amp;M$13)/AS51!$B$3,"")))</f>
        <v/>
      </c>
      <c r="N43" s="113">
        <f>IF(N$13="","",IF($B43="","",IFERROR($C43*$D43*SUMIFS('Dvd Calendar'!$E$62:$CZ$62,'Dvd Calendar'!$E$61:$CZ$61,"&gt;"&amp;N$12,'Dvd Calendar'!$E$61:$CZ$61,"&lt;="&amp;N$13)/AS51!$B$3,"")))</f>
        <v/>
      </c>
      <c r="O43" s="113">
        <f>IF(O$13="","",IF($B43="","",IFERROR($C43*$D43*SUMIFS('Dvd Calendar'!$E$62:$CZ$62,'Dvd Calendar'!$E$61:$CZ$61,"&gt;"&amp;O$12,'Dvd Calendar'!$E$61:$CZ$61,"&lt;="&amp;O$13)/AS51!$B$3,"")))</f>
        <v/>
      </c>
      <c r="P43" s="113">
        <f>IF(P$13="","",IF($B43="","",IFERROR($C43*$D43*SUMIFS('Dvd Calendar'!$E$62:$CZ$62,'Dvd Calendar'!$E$61:$CZ$61,"&gt;"&amp;P$12,'Dvd Calendar'!$E$61:$CZ$61,"&lt;="&amp;P$13)/AS51!$B$3,"")))</f>
        <v/>
      </c>
      <c r="Q43" s="113">
        <f>IF(Q$13="","",IF($B43="","",IFERROR($C43*$D43*SUMIFS('Dvd Calendar'!$E$62:$CZ$62,'Dvd Calendar'!$E$61:$CZ$61,"&gt;"&amp;Q$12,'Dvd Calendar'!$E$61:$CZ$61,"&lt;="&amp;Q$13)/AS51!$B$3,"")))</f>
        <v/>
      </c>
      <c r="R43" s="113">
        <f>IF(R$13="","",IF($B43="","",IFERROR($C43*$D43*SUMIFS('Dvd Calendar'!$E$62:$CZ$62,'Dvd Calendar'!$E$61:$CZ$61,"&gt;"&amp;R$12,'Dvd Calendar'!$E$61:$CZ$61,"&lt;="&amp;R$13)/AS51!$B$3,"")))</f>
        <v/>
      </c>
      <c r="S43" s="113">
        <f>IF(S$13="","",IF($B43="","",IFERROR($C43*$D43*SUMIFS('Dvd Calendar'!$E$62:$CZ$62,'Dvd Calendar'!$E$61:$CZ$61,"&gt;"&amp;S$12,'Dvd Calendar'!$E$61:$CZ$61,"&lt;="&amp;S$13)/AS51!$B$3,"")))</f>
        <v/>
      </c>
      <c r="T43" s="113">
        <f>IF(T$13="","",IF($B43="","",IFERROR($C43*$D43*SUMIFS('Dvd Calendar'!$E$62:$CZ$62,'Dvd Calendar'!$E$61:$CZ$61,"&gt;"&amp;T$12,'Dvd Calendar'!$E$61:$CZ$61,"&lt;="&amp;T$13)/AS51!$B$3,"")))</f>
        <v/>
      </c>
      <c r="U43" s="113">
        <f>IF(U$13="","",IF($B43="","",IFERROR($C43*$D43*SUMIFS('Dvd Calendar'!$E$62:$CZ$62,'Dvd Calendar'!$E$61:$CZ$61,"&gt;"&amp;U$12,'Dvd Calendar'!$E$61:$CZ$61,"&lt;="&amp;U$13)/AS51!$B$3,"")))</f>
        <v/>
      </c>
      <c r="W43" s="113">
        <f>IF(W$13="","",IF($B43="","",IFERROR(F43*$E43/100,"")))</f>
        <v/>
      </c>
      <c r="X43" s="113">
        <f>IF(X$13="","",IF($B43="","",IFERROR(G43*$E43/100,"")))</f>
        <v/>
      </c>
      <c r="Y43" s="113">
        <f>IF(Y$13="","",IF($B43="","",IFERROR(H43*$E43/100,"")))</f>
        <v/>
      </c>
      <c r="Z43" s="113">
        <f>IF(Z$13="","",IF($B43="","",IFERROR(I43*$E43/100,"")))</f>
        <v/>
      </c>
      <c r="AA43" s="113">
        <f>IF(AA$13="","",IF($B43="","",IFERROR(J43*$E43/100,"")))</f>
        <v/>
      </c>
      <c r="AB43" s="113">
        <f>IF(AB$13="","",IF($B43="","",IFERROR(K43*$E43/100,"")))</f>
        <v/>
      </c>
      <c r="AC43" s="113">
        <f>IF(AC$13="","",IF($B43="","",IFERROR(L43*$E43/100,"")))</f>
        <v/>
      </c>
      <c r="AD43" s="113">
        <f>IF(AD$13="","",IF($B43="","",IFERROR(M43*$E43/100,"")))</f>
        <v/>
      </c>
      <c r="AE43" s="113">
        <f>IF(AE$13="","",IF($B43="","",IFERROR(N43*$E43/100,"")))</f>
        <v/>
      </c>
      <c r="AF43" s="113">
        <f>IF(AF$13="","",IF($B43="","",IFERROR(O43*$E43/100,"")))</f>
        <v/>
      </c>
      <c r="AG43" s="113">
        <f>IF(AG$13="","",IF($B43="","",IFERROR(P43*$E43/100,"")))</f>
        <v/>
      </c>
      <c r="AH43" s="113">
        <f>IF(AH$13="","",IF($B43="","",IFERROR(Q43*$E43/100,"")))</f>
        <v/>
      </c>
      <c r="AI43" s="113">
        <f>IF(AI$13="","",IF($B43="","",IFERROR(R43*$E43/100,"")))</f>
        <v/>
      </c>
      <c r="AJ43" s="113">
        <f>IF(AJ$13="","",IF($B43="","",IFERROR(S43*$E43/100,"")))</f>
        <v/>
      </c>
      <c r="AK43" s="113">
        <f>IF(AK$13="","",IF($B43="","",IFERROR(T43*$E43/100,"")))</f>
        <v/>
      </c>
      <c r="AL43" s="113">
        <f>IF(AL$13="","",IF($B43="","",IFERROR(U43*$E43/100,"")))</f>
        <v/>
      </c>
    </row>
    <row r="44">
      <c r="B44" s="5">
        <f>IF(AS51!$C$34="","",AS51!$C$34)</f>
        <v/>
      </c>
      <c r="C44" s="86">
        <f>IF(AS51!$B$34="","",AS51!$B$34)</f>
        <v/>
      </c>
      <c r="D44" s="111">
        <f>IFERROR(AS51!$Q$34,1)</f>
        <v/>
      </c>
      <c r="E44" s="112">
        <f>IF($B44="","",IF(ISNUMBER(AS51!$I$34),AS51!$I$34,'Index Summary'!$C$7))</f>
        <v/>
      </c>
      <c r="F44" s="113">
        <f>IF(F$13="","",IF($B44="","",IFERROR($C44*$D44*SUMIFS('Dvd Calendar'!$E$64:$CZ$64,'Dvd Calendar'!$E$63:$CZ$63,"&gt;"&amp;F$12,'Dvd Calendar'!$E$63:$CZ$63,"&lt;="&amp;F$13)/AS51!$B$3,"")))</f>
        <v/>
      </c>
      <c r="G44" s="113">
        <f>IF(G$13="","",IF($B44="","",IFERROR($C44*$D44*SUMIFS('Dvd Calendar'!$E$64:$CZ$64,'Dvd Calendar'!$E$63:$CZ$63,"&gt;"&amp;G$12,'Dvd Calendar'!$E$63:$CZ$63,"&lt;="&amp;G$13)/AS51!$B$3,"")))</f>
        <v/>
      </c>
      <c r="H44" s="113">
        <f>IF(H$13="","",IF($B44="","",IFERROR($C44*$D44*SUMIFS('Dvd Calendar'!$E$64:$CZ$64,'Dvd Calendar'!$E$63:$CZ$63,"&gt;"&amp;H$12,'Dvd Calendar'!$E$63:$CZ$63,"&lt;="&amp;H$13)/AS51!$B$3,"")))</f>
        <v/>
      </c>
      <c r="I44" s="113">
        <f>IF(I$13="","",IF($B44="","",IFERROR($C44*$D44*SUMIFS('Dvd Calendar'!$E$64:$CZ$64,'Dvd Calendar'!$E$63:$CZ$63,"&gt;"&amp;I$12,'Dvd Calendar'!$E$63:$CZ$63,"&lt;="&amp;I$13)/AS51!$B$3,"")))</f>
        <v/>
      </c>
      <c r="J44" s="113">
        <f>IF(J$13="","",IF($B44="","",IFERROR($C44*$D44*SUMIFS('Dvd Calendar'!$E$64:$CZ$64,'Dvd Calendar'!$E$63:$CZ$63,"&gt;"&amp;J$12,'Dvd Calendar'!$E$63:$CZ$63,"&lt;="&amp;J$13)/AS51!$B$3,"")))</f>
        <v/>
      </c>
      <c r="K44" s="113">
        <f>IF(K$13="","",IF($B44="","",IFERROR($C44*$D44*SUMIFS('Dvd Calendar'!$E$64:$CZ$64,'Dvd Calendar'!$E$63:$CZ$63,"&gt;"&amp;K$12,'Dvd Calendar'!$E$63:$CZ$63,"&lt;="&amp;K$13)/AS51!$B$3,"")))</f>
        <v/>
      </c>
      <c r="L44" s="113">
        <f>IF(L$13="","",IF($B44="","",IFERROR($C44*$D44*SUMIFS('Dvd Calendar'!$E$64:$CZ$64,'Dvd Calendar'!$E$63:$CZ$63,"&gt;"&amp;L$12,'Dvd Calendar'!$E$63:$CZ$63,"&lt;="&amp;L$13)/AS51!$B$3,"")))</f>
        <v/>
      </c>
      <c r="M44" s="113">
        <f>IF(M$13="","",IF($B44="","",IFERROR($C44*$D44*SUMIFS('Dvd Calendar'!$E$64:$CZ$64,'Dvd Calendar'!$E$63:$CZ$63,"&gt;"&amp;M$12,'Dvd Calendar'!$E$63:$CZ$63,"&lt;="&amp;M$13)/AS51!$B$3,"")))</f>
        <v/>
      </c>
      <c r="N44" s="113">
        <f>IF(N$13="","",IF($B44="","",IFERROR($C44*$D44*SUMIFS('Dvd Calendar'!$E$64:$CZ$64,'Dvd Calendar'!$E$63:$CZ$63,"&gt;"&amp;N$12,'Dvd Calendar'!$E$63:$CZ$63,"&lt;="&amp;N$13)/AS51!$B$3,"")))</f>
        <v/>
      </c>
      <c r="O44" s="113">
        <f>IF(O$13="","",IF($B44="","",IFERROR($C44*$D44*SUMIFS('Dvd Calendar'!$E$64:$CZ$64,'Dvd Calendar'!$E$63:$CZ$63,"&gt;"&amp;O$12,'Dvd Calendar'!$E$63:$CZ$63,"&lt;="&amp;O$13)/AS51!$B$3,"")))</f>
        <v/>
      </c>
      <c r="P44" s="113">
        <f>IF(P$13="","",IF($B44="","",IFERROR($C44*$D44*SUMIFS('Dvd Calendar'!$E$64:$CZ$64,'Dvd Calendar'!$E$63:$CZ$63,"&gt;"&amp;P$12,'Dvd Calendar'!$E$63:$CZ$63,"&lt;="&amp;P$13)/AS51!$B$3,"")))</f>
        <v/>
      </c>
      <c r="Q44" s="113">
        <f>IF(Q$13="","",IF($B44="","",IFERROR($C44*$D44*SUMIFS('Dvd Calendar'!$E$64:$CZ$64,'Dvd Calendar'!$E$63:$CZ$63,"&gt;"&amp;Q$12,'Dvd Calendar'!$E$63:$CZ$63,"&lt;="&amp;Q$13)/AS51!$B$3,"")))</f>
        <v/>
      </c>
      <c r="R44" s="113">
        <f>IF(R$13="","",IF($B44="","",IFERROR($C44*$D44*SUMIFS('Dvd Calendar'!$E$64:$CZ$64,'Dvd Calendar'!$E$63:$CZ$63,"&gt;"&amp;R$12,'Dvd Calendar'!$E$63:$CZ$63,"&lt;="&amp;R$13)/AS51!$B$3,"")))</f>
        <v/>
      </c>
      <c r="S44" s="113">
        <f>IF(S$13="","",IF($B44="","",IFERROR($C44*$D44*SUMIFS('Dvd Calendar'!$E$64:$CZ$64,'Dvd Calendar'!$E$63:$CZ$63,"&gt;"&amp;S$12,'Dvd Calendar'!$E$63:$CZ$63,"&lt;="&amp;S$13)/AS51!$B$3,"")))</f>
        <v/>
      </c>
      <c r="T44" s="113">
        <f>IF(T$13="","",IF($B44="","",IFERROR($C44*$D44*SUMIFS('Dvd Calendar'!$E$64:$CZ$64,'Dvd Calendar'!$E$63:$CZ$63,"&gt;"&amp;T$12,'Dvd Calendar'!$E$63:$CZ$63,"&lt;="&amp;T$13)/AS51!$B$3,"")))</f>
        <v/>
      </c>
      <c r="U44" s="113">
        <f>IF(U$13="","",IF($B44="","",IFERROR($C44*$D44*SUMIFS('Dvd Calendar'!$E$64:$CZ$64,'Dvd Calendar'!$E$63:$CZ$63,"&gt;"&amp;U$12,'Dvd Calendar'!$E$63:$CZ$63,"&lt;="&amp;U$13)/AS51!$B$3,"")))</f>
        <v/>
      </c>
      <c r="W44" s="113">
        <f>IF(W$13="","",IF($B44="","",IFERROR(F44*$E44/100,"")))</f>
        <v/>
      </c>
      <c r="X44" s="113">
        <f>IF(X$13="","",IF($B44="","",IFERROR(G44*$E44/100,"")))</f>
        <v/>
      </c>
      <c r="Y44" s="113">
        <f>IF(Y$13="","",IF($B44="","",IFERROR(H44*$E44/100,"")))</f>
        <v/>
      </c>
      <c r="Z44" s="113">
        <f>IF(Z$13="","",IF($B44="","",IFERROR(I44*$E44/100,"")))</f>
        <v/>
      </c>
      <c r="AA44" s="113">
        <f>IF(AA$13="","",IF($B44="","",IFERROR(J44*$E44/100,"")))</f>
        <v/>
      </c>
      <c r="AB44" s="113">
        <f>IF(AB$13="","",IF($B44="","",IFERROR(K44*$E44/100,"")))</f>
        <v/>
      </c>
      <c r="AC44" s="113">
        <f>IF(AC$13="","",IF($B44="","",IFERROR(L44*$E44/100,"")))</f>
        <v/>
      </c>
      <c r="AD44" s="113">
        <f>IF(AD$13="","",IF($B44="","",IFERROR(M44*$E44/100,"")))</f>
        <v/>
      </c>
      <c r="AE44" s="113">
        <f>IF(AE$13="","",IF($B44="","",IFERROR(N44*$E44/100,"")))</f>
        <v/>
      </c>
      <c r="AF44" s="113">
        <f>IF(AF$13="","",IF($B44="","",IFERROR(O44*$E44/100,"")))</f>
        <v/>
      </c>
      <c r="AG44" s="113">
        <f>IF(AG$13="","",IF($B44="","",IFERROR(P44*$E44/100,"")))</f>
        <v/>
      </c>
      <c r="AH44" s="113">
        <f>IF(AH$13="","",IF($B44="","",IFERROR(Q44*$E44/100,"")))</f>
        <v/>
      </c>
      <c r="AI44" s="113">
        <f>IF(AI$13="","",IF($B44="","",IFERROR(R44*$E44/100,"")))</f>
        <v/>
      </c>
      <c r="AJ44" s="113">
        <f>IF(AJ$13="","",IF($B44="","",IFERROR(S44*$E44/100,"")))</f>
        <v/>
      </c>
      <c r="AK44" s="113">
        <f>IF(AK$13="","",IF($B44="","",IFERROR(T44*$E44/100,"")))</f>
        <v/>
      </c>
      <c r="AL44" s="113">
        <f>IF(AL$13="","",IF($B44="","",IFERROR(U44*$E44/100,"")))</f>
        <v/>
      </c>
    </row>
    <row r="45">
      <c r="B45" s="5">
        <f>IF(AS51!$C$35="","",AS51!$C$35)</f>
        <v/>
      </c>
      <c r="C45" s="86">
        <f>IF(AS51!$B$35="","",AS51!$B$35)</f>
        <v/>
      </c>
      <c r="D45" s="111">
        <f>IFERROR(AS51!$Q$35,1)</f>
        <v/>
      </c>
      <c r="E45" s="112">
        <f>IF($B45="","",IF(ISNUMBER(AS51!$I$35),AS51!$I$35,'Index Summary'!$C$7))</f>
        <v/>
      </c>
      <c r="F45" s="113">
        <f>IF(F$13="","",IF($B45="","",IFERROR($C45*$D45*SUMIFS('Dvd Calendar'!$E$66:$CZ$66,'Dvd Calendar'!$E$65:$CZ$65,"&gt;"&amp;F$12,'Dvd Calendar'!$E$65:$CZ$65,"&lt;="&amp;F$13)/AS51!$B$3,"")))</f>
        <v/>
      </c>
      <c r="G45" s="113">
        <f>IF(G$13="","",IF($B45="","",IFERROR($C45*$D45*SUMIFS('Dvd Calendar'!$E$66:$CZ$66,'Dvd Calendar'!$E$65:$CZ$65,"&gt;"&amp;G$12,'Dvd Calendar'!$E$65:$CZ$65,"&lt;="&amp;G$13)/AS51!$B$3,"")))</f>
        <v/>
      </c>
      <c r="H45" s="113">
        <f>IF(H$13="","",IF($B45="","",IFERROR($C45*$D45*SUMIFS('Dvd Calendar'!$E$66:$CZ$66,'Dvd Calendar'!$E$65:$CZ$65,"&gt;"&amp;H$12,'Dvd Calendar'!$E$65:$CZ$65,"&lt;="&amp;H$13)/AS51!$B$3,"")))</f>
        <v/>
      </c>
      <c r="I45" s="113">
        <f>IF(I$13="","",IF($B45="","",IFERROR($C45*$D45*SUMIFS('Dvd Calendar'!$E$66:$CZ$66,'Dvd Calendar'!$E$65:$CZ$65,"&gt;"&amp;I$12,'Dvd Calendar'!$E$65:$CZ$65,"&lt;="&amp;I$13)/AS51!$B$3,"")))</f>
        <v/>
      </c>
      <c r="J45" s="113">
        <f>IF(J$13="","",IF($B45="","",IFERROR($C45*$D45*SUMIFS('Dvd Calendar'!$E$66:$CZ$66,'Dvd Calendar'!$E$65:$CZ$65,"&gt;"&amp;J$12,'Dvd Calendar'!$E$65:$CZ$65,"&lt;="&amp;J$13)/AS51!$B$3,"")))</f>
        <v/>
      </c>
      <c r="K45" s="113">
        <f>IF(K$13="","",IF($B45="","",IFERROR($C45*$D45*SUMIFS('Dvd Calendar'!$E$66:$CZ$66,'Dvd Calendar'!$E$65:$CZ$65,"&gt;"&amp;K$12,'Dvd Calendar'!$E$65:$CZ$65,"&lt;="&amp;K$13)/AS51!$B$3,"")))</f>
        <v/>
      </c>
      <c r="L45" s="113">
        <f>IF(L$13="","",IF($B45="","",IFERROR($C45*$D45*SUMIFS('Dvd Calendar'!$E$66:$CZ$66,'Dvd Calendar'!$E$65:$CZ$65,"&gt;"&amp;L$12,'Dvd Calendar'!$E$65:$CZ$65,"&lt;="&amp;L$13)/AS51!$B$3,"")))</f>
        <v/>
      </c>
      <c r="M45" s="113">
        <f>IF(M$13="","",IF($B45="","",IFERROR($C45*$D45*SUMIFS('Dvd Calendar'!$E$66:$CZ$66,'Dvd Calendar'!$E$65:$CZ$65,"&gt;"&amp;M$12,'Dvd Calendar'!$E$65:$CZ$65,"&lt;="&amp;M$13)/AS51!$B$3,"")))</f>
        <v/>
      </c>
      <c r="N45" s="113">
        <f>IF(N$13="","",IF($B45="","",IFERROR($C45*$D45*SUMIFS('Dvd Calendar'!$E$66:$CZ$66,'Dvd Calendar'!$E$65:$CZ$65,"&gt;"&amp;N$12,'Dvd Calendar'!$E$65:$CZ$65,"&lt;="&amp;N$13)/AS51!$B$3,"")))</f>
        <v/>
      </c>
      <c r="O45" s="113">
        <f>IF(O$13="","",IF($B45="","",IFERROR($C45*$D45*SUMIFS('Dvd Calendar'!$E$66:$CZ$66,'Dvd Calendar'!$E$65:$CZ$65,"&gt;"&amp;O$12,'Dvd Calendar'!$E$65:$CZ$65,"&lt;="&amp;O$13)/AS51!$B$3,"")))</f>
        <v/>
      </c>
      <c r="P45" s="113">
        <f>IF(P$13="","",IF($B45="","",IFERROR($C45*$D45*SUMIFS('Dvd Calendar'!$E$66:$CZ$66,'Dvd Calendar'!$E$65:$CZ$65,"&gt;"&amp;P$12,'Dvd Calendar'!$E$65:$CZ$65,"&lt;="&amp;P$13)/AS51!$B$3,"")))</f>
        <v/>
      </c>
      <c r="Q45" s="113">
        <f>IF(Q$13="","",IF($B45="","",IFERROR($C45*$D45*SUMIFS('Dvd Calendar'!$E$66:$CZ$66,'Dvd Calendar'!$E$65:$CZ$65,"&gt;"&amp;Q$12,'Dvd Calendar'!$E$65:$CZ$65,"&lt;="&amp;Q$13)/AS51!$B$3,"")))</f>
        <v/>
      </c>
      <c r="R45" s="113">
        <f>IF(R$13="","",IF($B45="","",IFERROR($C45*$D45*SUMIFS('Dvd Calendar'!$E$66:$CZ$66,'Dvd Calendar'!$E$65:$CZ$65,"&gt;"&amp;R$12,'Dvd Calendar'!$E$65:$CZ$65,"&lt;="&amp;R$13)/AS51!$B$3,"")))</f>
        <v/>
      </c>
      <c r="S45" s="113">
        <f>IF(S$13="","",IF($B45="","",IFERROR($C45*$D45*SUMIFS('Dvd Calendar'!$E$66:$CZ$66,'Dvd Calendar'!$E$65:$CZ$65,"&gt;"&amp;S$12,'Dvd Calendar'!$E$65:$CZ$65,"&lt;="&amp;S$13)/AS51!$B$3,"")))</f>
        <v/>
      </c>
      <c r="T45" s="113">
        <f>IF(T$13="","",IF($B45="","",IFERROR($C45*$D45*SUMIFS('Dvd Calendar'!$E$66:$CZ$66,'Dvd Calendar'!$E$65:$CZ$65,"&gt;"&amp;T$12,'Dvd Calendar'!$E$65:$CZ$65,"&lt;="&amp;T$13)/AS51!$B$3,"")))</f>
        <v/>
      </c>
      <c r="U45" s="113">
        <f>IF(U$13="","",IF($B45="","",IFERROR($C45*$D45*SUMIFS('Dvd Calendar'!$E$66:$CZ$66,'Dvd Calendar'!$E$65:$CZ$65,"&gt;"&amp;U$12,'Dvd Calendar'!$E$65:$CZ$65,"&lt;="&amp;U$13)/AS51!$B$3,"")))</f>
        <v/>
      </c>
      <c r="W45" s="113">
        <f>IF(W$13="","",IF($B45="","",IFERROR(F45*$E45/100,"")))</f>
        <v/>
      </c>
      <c r="X45" s="113">
        <f>IF(X$13="","",IF($B45="","",IFERROR(G45*$E45/100,"")))</f>
        <v/>
      </c>
      <c r="Y45" s="113">
        <f>IF(Y$13="","",IF($B45="","",IFERROR(H45*$E45/100,"")))</f>
        <v/>
      </c>
      <c r="Z45" s="113">
        <f>IF(Z$13="","",IF($B45="","",IFERROR(I45*$E45/100,"")))</f>
        <v/>
      </c>
      <c r="AA45" s="113">
        <f>IF(AA$13="","",IF($B45="","",IFERROR(J45*$E45/100,"")))</f>
        <v/>
      </c>
      <c r="AB45" s="113">
        <f>IF(AB$13="","",IF($B45="","",IFERROR(K45*$E45/100,"")))</f>
        <v/>
      </c>
      <c r="AC45" s="113">
        <f>IF(AC$13="","",IF($B45="","",IFERROR(L45*$E45/100,"")))</f>
        <v/>
      </c>
      <c r="AD45" s="113">
        <f>IF(AD$13="","",IF($B45="","",IFERROR(M45*$E45/100,"")))</f>
        <v/>
      </c>
      <c r="AE45" s="113">
        <f>IF(AE$13="","",IF($B45="","",IFERROR(N45*$E45/100,"")))</f>
        <v/>
      </c>
      <c r="AF45" s="113">
        <f>IF(AF$13="","",IF($B45="","",IFERROR(O45*$E45/100,"")))</f>
        <v/>
      </c>
      <c r="AG45" s="113">
        <f>IF(AG$13="","",IF($B45="","",IFERROR(P45*$E45/100,"")))</f>
        <v/>
      </c>
      <c r="AH45" s="113">
        <f>IF(AH$13="","",IF($B45="","",IFERROR(Q45*$E45/100,"")))</f>
        <v/>
      </c>
      <c r="AI45" s="113">
        <f>IF(AI$13="","",IF($B45="","",IFERROR(R45*$E45/100,"")))</f>
        <v/>
      </c>
      <c r="AJ45" s="113">
        <f>IF(AJ$13="","",IF($B45="","",IFERROR(S45*$E45/100,"")))</f>
        <v/>
      </c>
      <c r="AK45" s="113">
        <f>IF(AK$13="","",IF($B45="","",IFERROR(T45*$E45/100,"")))</f>
        <v/>
      </c>
      <c r="AL45" s="113">
        <f>IF(AL$13="","",IF($B45="","",IFERROR(U45*$E45/100,"")))</f>
        <v/>
      </c>
    </row>
    <row r="46">
      <c r="B46" s="5">
        <f>IF(AS51!$C$36="","",AS51!$C$36)</f>
        <v/>
      </c>
      <c r="C46" s="86">
        <f>IF(AS51!$B$36="","",AS51!$B$36)</f>
        <v/>
      </c>
      <c r="D46" s="111">
        <f>IFERROR(AS51!$Q$36,1)</f>
        <v/>
      </c>
      <c r="E46" s="112">
        <f>IF($B46="","",IF(ISNUMBER(AS51!$I$36),AS51!$I$36,'Index Summary'!$C$7))</f>
        <v/>
      </c>
      <c r="F46" s="113">
        <f>IF(F$13="","",IF($B46="","",IFERROR($C46*$D46*SUMIFS('Dvd Calendar'!$E$68:$CZ$68,'Dvd Calendar'!$E$67:$CZ$67,"&gt;"&amp;F$12,'Dvd Calendar'!$E$67:$CZ$67,"&lt;="&amp;F$13)/AS51!$B$3,"")))</f>
        <v/>
      </c>
      <c r="G46" s="113">
        <f>IF(G$13="","",IF($B46="","",IFERROR($C46*$D46*SUMIFS('Dvd Calendar'!$E$68:$CZ$68,'Dvd Calendar'!$E$67:$CZ$67,"&gt;"&amp;G$12,'Dvd Calendar'!$E$67:$CZ$67,"&lt;="&amp;G$13)/AS51!$B$3,"")))</f>
        <v/>
      </c>
      <c r="H46" s="113">
        <f>IF(H$13="","",IF($B46="","",IFERROR($C46*$D46*SUMIFS('Dvd Calendar'!$E$68:$CZ$68,'Dvd Calendar'!$E$67:$CZ$67,"&gt;"&amp;H$12,'Dvd Calendar'!$E$67:$CZ$67,"&lt;="&amp;H$13)/AS51!$B$3,"")))</f>
        <v/>
      </c>
      <c r="I46" s="113">
        <f>IF(I$13="","",IF($B46="","",IFERROR($C46*$D46*SUMIFS('Dvd Calendar'!$E$68:$CZ$68,'Dvd Calendar'!$E$67:$CZ$67,"&gt;"&amp;I$12,'Dvd Calendar'!$E$67:$CZ$67,"&lt;="&amp;I$13)/AS51!$B$3,"")))</f>
        <v/>
      </c>
      <c r="J46" s="113">
        <f>IF(J$13="","",IF($B46="","",IFERROR($C46*$D46*SUMIFS('Dvd Calendar'!$E$68:$CZ$68,'Dvd Calendar'!$E$67:$CZ$67,"&gt;"&amp;J$12,'Dvd Calendar'!$E$67:$CZ$67,"&lt;="&amp;J$13)/AS51!$B$3,"")))</f>
        <v/>
      </c>
      <c r="K46" s="113">
        <f>IF(K$13="","",IF($B46="","",IFERROR($C46*$D46*SUMIFS('Dvd Calendar'!$E$68:$CZ$68,'Dvd Calendar'!$E$67:$CZ$67,"&gt;"&amp;K$12,'Dvd Calendar'!$E$67:$CZ$67,"&lt;="&amp;K$13)/AS51!$B$3,"")))</f>
        <v/>
      </c>
      <c r="L46" s="113">
        <f>IF(L$13="","",IF($B46="","",IFERROR($C46*$D46*SUMIFS('Dvd Calendar'!$E$68:$CZ$68,'Dvd Calendar'!$E$67:$CZ$67,"&gt;"&amp;L$12,'Dvd Calendar'!$E$67:$CZ$67,"&lt;="&amp;L$13)/AS51!$B$3,"")))</f>
        <v/>
      </c>
      <c r="M46" s="113">
        <f>IF(M$13="","",IF($B46="","",IFERROR($C46*$D46*SUMIFS('Dvd Calendar'!$E$68:$CZ$68,'Dvd Calendar'!$E$67:$CZ$67,"&gt;"&amp;M$12,'Dvd Calendar'!$E$67:$CZ$67,"&lt;="&amp;M$13)/AS51!$B$3,"")))</f>
        <v/>
      </c>
      <c r="N46" s="113">
        <f>IF(N$13="","",IF($B46="","",IFERROR($C46*$D46*SUMIFS('Dvd Calendar'!$E$68:$CZ$68,'Dvd Calendar'!$E$67:$CZ$67,"&gt;"&amp;N$12,'Dvd Calendar'!$E$67:$CZ$67,"&lt;="&amp;N$13)/AS51!$B$3,"")))</f>
        <v/>
      </c>
      <c r="O46" s="113">
        <f>IF(O$13="","",IF($B46="","",IFERROR($C46*$D46*SUMIFS('Dvd Calendar'!$E$68:$CZ$68,'Dvd Calendar'!$E$67:$CZ$67,"&gt;"&amp;O$12,'Dvd Calendar'!$E$67:$CZ$67,"&lt;="&amp;O$13)/AS51!$B$3,"")))</f>
        <v/>
      </c>
      <c r="P46" s="113">
        <f>IF(P$13="","",IF($B46="","",IFERROR($C46*$D46*SUMIFS('Dvd Calendar'!$E$68:$CZ$68,'Dvd Calendar'!$E$67:$CZ$67,"&gt;"&amp;P$12,'Dvd Calendar'!$E$67:$CZ$67,"&lt;="&amp;P$13)/AS51!$B$3,"")))</f>
        <v/>
      </c>
      <c r="Q46" s="113">
        <f>IF(Q$13="","",IF($B46="","",IFERROR($C46*$D46*SUMIFS('Dvd Calendar'!$E$68:$CZ$68,'Dvd Calendar'!$E$67:$CZ$67,"&gt;"&amp;Q$12,'Dvd Calendar'!$E$67:$CZ$67,"&lt;="&amp;Q$13)/AS51!$B$3,"")))</f>
        <v/>
      </c>
      <c r="R46" s="113">
        <f>IF(R$13="","",IF($B46="","",IFERROR($C46*$D46*SUMIFS('Dvd Calendar'!$E$68:$CZ$68,'Dvd Calendar'!$E$67:$CZ$67,"&gt;"&amp;R$12,'Dvd Calendar'!$E$67:$CZ$67,"&lt;="&amp;R$13)/AS51!$B$3,"")))</f>
        <v/>
      </c>
      <c r="S46" s="113">
        <f>IF(S$13="","",IF($B46="","",IFERROR($C46*$D46*SUMIFS('Dvd Calendar'!$E$68:$CZ$68,'Dvd Calendar'!$E$67:$CZ$67,"&gt;"&amp;S$12,'Dvd Calendar'!$E$67:$CZ$67,"&lt;="&amp;S$13)/AS51!$B$3,"")))</f>
        <v/>
      </c>
      <c r="T46" s="113">
        <f>IF(T$13="","",IF($B46="","",IFERROR($C46*$D46*SUMIFS('Dvd Calendar'!$E$68:$CZ$68,'Dvd Calendar'!$E$67:$CZ$67,"&gt;"&amp;T$12,'Dvd Calendar'!$E$67:$CZ$67,"&lt;="&amp;T$13)/AS51!$B$3,"")))</f>
        <v/>
      </c>
      <c r="U46" s="113">
        <f>IF(U$13="","",IF($B46="","",IFERROR($C46*$D46*SUMIFS('Dvd Calendar'!$E$68:$CZ$68,'Dvd Calendar'!$E$67:$CZ$67,"&gt;"&amp;U$12,'Dvd Calendar'!$E$67:$CZ$67,"&lt;="&amp;U$13)/AS51!$B$3,"")))</f>
        <v/>
      </c>
      <c r="W46" s="113">
        <f>IF(W$13="","",IF($B46="","",IFERROR(F46*$E46/100,"")))</f>
        <v/>
      </c>
      <c r="X46" s="113">
        <f>IF(X$13="","",IF($B46="","",IFERROR(G46*$E46/100,"")))</f>
        <v/>
      </c>
      <c r="Y46" s="113">
        <f>IF(Y$13="","",IF($B46="","",IFERROR(H46*$E46/100,"")))</f>
        <v/>
      </c>
      <c r="Z46" s="113">
        <f>IF(Z$13="","",IF($B46="","",IFERROR(I46*$E46/100,"")))</f>
        <v/>
      </c>
      <c r="AA46" s="113">
        <f>IF(AA$13="","",IF($B46="","",IFERROR(J46*$E46/100,"")))</f>
        <v/>
      </c>
      <c r="AB46" s="113">
        <f>IF(AB$13="","",IF($B46="","",IFERROR(K46*$E46/100,"")))</f>
        <v/>
      </c>
      <c r="AC46" s="113">
        <f>IF(AC$13="","",IF($B46="","",IFERROR(L46*$E46/100,"")))</f>
        <v/>
      </c>
      <c r="AD46" s="113">
        <f>IF(AD$13="","",IF($B46="","",IFERROR(M46*$E46/100,"")))</f>
        <v/>
      </c>
      <c r="AE46" s="113">
        <f>IF(AE$13="","",IF($B46="","",IFERROR(N46*$E46/100,"")))</f>
        <v/>
      </c>
      <c r="AF46" s="113">
        <f>IF(AF$13="","",IF($B46="","",IFERROR(O46*$E46/100,"")))</f>
        <v/>
      </c>
      <c r="AG46" s="113">
        <f>IF(AG$13="","",IF($B46="","",IFERROR(P46*$E46/100,"")))</f>
        <v/>
      </c>
      <c r="AH46" s="113">
        <f>IF(AH$13="","",IF($B46="","",IFERROR(Q46*$E46/100,"")))</f>
        <v/>
      </c>
      <c r="AI46" s="113">
        <f>IF(AI$13="","",IF($B46="","",IFERROR(R46*$E46/100,"")))</f>
        <v/>
      </c>
      <c r="AJ46" s="113">
        <f>IF(AJ$13="","",IF($B46="","",IFERROR(S46*$E46/100,"")))</f>
        <v/>
      </c>
      <c r="AK46" s="113">
        <f>IF(AK$13="","",IF($B46="","",IFERROR(T46*$E46/100,"")))</f>
        <v/>
      </c>
      <c r="AL46" s="113">
        <f>IF(AL$13="","",IF($B46="","",IFERROR(U46*$E46/100,"")))</f>
        <v/>
      </c>
    </row>
    <row r="47">
      <c r="B47" s="5">
        <f>IF(AS51!$C$37="","",AS51!$C$37)</f>
        <v/>
      </c>
      <c r="C47" s="86">
        <f>IF(AS51!$B$37="","",AS51!$B$37)</f>
        <v/>
      </c>
      <c r="D47" s="111">
        <f>IFERROR(AS51!$Q$37,1)</f>
        <v/>
      </c>
      <c r="E47" s="112">
        <f>IF($B47="","",IF(ISNUMBER(AS51!$I$37),AS51!$I$37,'Index Summary'!$C$7))</f>
        <v/>
      </c>
      <c r="F47" s="113">
        <f>IF(F$13="","",IF($B47="","",IFERROR($C47*$D47*SUMIFS('Dvd Calendar'!$E$70:$CZ$70,'Dvd Calendar'!$E$69:$CZ$69,"&gt;"&amp;F$12,'Dvd Calendar'!$E$69:$CZ$69,"&lt;="&amp;F$13)/AS51!$B$3,"")))</f>
        <v/>
      </c>
      <c r="G47" s="113">
        <f>IF(G$13="","",IF($B47="","",IFERROR($C47*$D47*SUMIFS('Dvd Calendar'!$E$70:$CZ$70,'Dvd Calendar'!$E$69:$CZ$69,"&gt;"&amp;G$12,'Dvd Calendar'!$E$69:$CZ$69,"&lt;="&amp;G$13)/AS51!$B$3,"")))</f>
        <v/>
      </c>
      <c r="H47" s="113">
        <f>IF(H$13="","",IF($B47="","",IFERROR($C47*$D47*SUMIFS('Dvd Calendar'!$E$70:$CZ$70,'Dvd Calendar'!$E$69:$CZ$69,"&gt;"&amp;H$12,'Dvd Calendar'!$E$69:$CZ$69,"&lt;="&amp;H$13)/AS51!$B$3,"")))</f>
        <v/>
      </c>
      <c r="I47" s="113">
        <f>IF(I$13="","",IF($B47="","",IFERROR($C47*$D47*SUMIFS('Dvd Calendar'!$E$70:$CZ$70,'Dvd Calendar'!$E$69:$CZ$69,"&gt;"&amp;I$12,'Dvd Calendar'!$E$69:$CZ$69,"&lt;="&amp;I$13)/AS51!$B$3,"")))</f>
        <v/>
      </c>
      <c r="J47" s="113">
        <f>IF(J$13="","",IF($B47="","",IFERROR($C47*$D47*SUMIFS('Dvd Calendar'!$E$70:$CZ$70,'Dvd Calendar'!$E$69:$CZ$69,"&gt;"&amp;J$12,'Dvd Calendar'!$E$69:$CZ$69,"&lt;="&amp;J$13)/AS51!$B$3,"")))</f>
        <v/>
      </c>
      <c r="K47" s="113">
        <f>IF(K$13="","",IF($B47="","",IFERROR($C47*$D47*SUMIFS('Dvd Calendar'!$E$70:$CZ$70,'Dvd Calendar'!$E$69:$CZ$69,"&gt;"&amp;K$12,'Dvd Calendar'!$E$69:$CZ$69,"&lt;="&amp;K$13)/AS51!$B$3,"")))</f>
        <v/>
      </c>
      <c r="L47" s="113">
        <f>IF(L$13="","",IF($B47="","",IFERROR($C47*$D47*SUMIFS('Dvd Calendar'!$E$70:$CZ$70,'Dvd Calendar'!$E$69:$CZ$69,"&gt;"&amp;L$12,'Dvd Calendar'!$E$69:$CZ$69,"&lt;="&amp;L$13)/AS51!$B$3,"")))</f>
        <v/>
      </c>
      <c r="M47" s="113">
        <f>IF(M$13="","",IF($B47="","",IFERROR($C47*$D47*SUMIFS('Dvd Calendar'!$E$70:$CZ$70,'Dvd Calendar'!$E$69:$CZ$69,"&gt;"&amp;M$12,'Dvd Calendar'!$E$69:$CZ$69,"&lt;="&amp;M$13)/AS51!$B$3,"")))</f>
        <v/>
      </c>
      <c r="N47" s="113">
        <f>IF(N$13="","",IF($B47="","",IFERROR($C47*$D47*SUMIFS('Dvd Calendar'!$E$70:$CZ$70,'Dvd Calendar'!$E$69:$CZ$69,"&gt;"&amp;N$12,'Dvd Calendar'!$E$69:$CZ$69,"&lt;="&amp;N$13)/AS51!$B$3,"")))</f>
        <v/>
      </c>
      <c r="O47" s="113">
        <f>IF(O$13="","",IF($B47="","",IFERROR($C47*$D47*SUMIFS('Dvd Calendar'!$E$70:$CZ$70,'Dvd Calendar'!$E$69:$CZ$69,"&gt;"&amp;O$12,'Dvd Calendar'!$E$69:$CZ$69,"&lt;="&amp;O$13)/AS51!$B$3,"")))</f>
        <v/>
      </c>
      <c r="P47" s="113">
        <f>IF(P$13="","",IF($B47="","",IFERROR($C47*$D47*SUMIFS('Dvd Calendar'!$E$70:$CZ$70,'Dvd Calendar'!$E$69:$CZ$69,"&gt;"&amp;P$12,'Dvd Calendar'!$E$69:$CZ$69,"&lt;="&amp;P$13)/AS51!$B$3,"")))</f>
        <v/>
      </c>
      <c r="Q47" s="113">
        <f>IF(Q$13="","",IF($B47="","",IFERROR($C47*$D47*SUMIFS('Dvd Calendar'!$E$70:$CZ$70,'Dvd Calendar'!$E$69:$CZ$69,"&gt;"&amp;Q$12,'Dvd Calendar'!$E$69:$CZ$69,"&lt;="&amp;Q$13)/AS51!$B$3,"")))</f>
        <v/>
      </c>
      <c r="R47" s="113">
        <f>IF(R$13="","",IF($B47="","",IFERROR($C47*$D47*SUMIFS('Dvd Calendar'!$E$70:$CZ$70,'Dvd Calendar'!$E$69:$CZ$69,"&gt;"&amp;R$12,'Dvd Calendar'!$E$69:$CZ$69,"&lt;="&amp;R$13)/AS51!$B$3,"")))</f>
        <v/>
      </c>
      <c r="S47" s="113">
        <f>IF(S$13="","",IF($B47="","",IFERROR($C47*$D47*SUMIFS('Dvd Calendar'!$E$70:$CZ$70,'Dvd Calendar'!$E$69:$CZ$69,"&gt;"&amp;S$12,'Dvd Calendar'!$E$69:$CZ$69,"&lt;="&amp;S$13)/AS51!$B$3,"")))</f>
        <v/>
      </c>
      <c r="T47" s="113">
        <f>IF(T$13="","",IF($B47="","",IFERROR($C47*$D47*SUMIFS('Dvd Calendar'!$E$70:$CZ$70,'Dvd Calendar'!$E$69:$CZ$69,"&gt;"&amp;T$12,'Dvd Calendar'!$E$69:$CZ$69,"&lt;="&amp;T$13)/AS51!$B$3,"")))</f>
        <v/>
      </c>
      <c r="U47" s="113">
        <f>IF(U$13="","",IF($B47="","",IFERROR($C47*$D47*SUMIFS('Dvd Calendar'!$E$70:$CZ$70,'Dvd Calendar'!$E$69:$CZ$69,"&gt;"&amp;U$12,'Dvd Calendar'!$E$69:$CZ$69,"&lt;="&amp;U$13)/AS51!$B$3,"")))</f>
        <v/>
      </c>
      <c r="W47" s="113">
        <f>IF(W$13="","",IF($B47="","",IFERROR(F47*$E47/100,"")))</f>
        <v/>
      </c>
      <c r="X47" s="113">
        <f>IF(X$13="","",IF($B47="","",IFERROR(G47*$E47/100,"")))</f>
        <v/>
      </c>
      <c r="Y47" s="113">
        <f>IF(Y$13="","",IF($B47="","",IFERROR(H47*$E47/100,"")))</f>
        <v/>
      </c>
      <c r="Z47" s="113">
        <f>IF(Z$13="","",IF($B47="","",IFERROR(I47*$E47/100,"")))</f>
        <v/>
      </c>
      <c r="AA47" s="113">
        <f>IF(AA$13="","",IF($B47="","",IFERROR(J47*$E47/100,"")))</f>
        <v/>
      </c>
      <c r="AB47" s="113">
        <f>IF(AB$13="","",IF($B47="","",IFERROR(K47*$E47/100,"")))</f>
        <v/>
      </c>
      <c r="AC47" s="113">
        <f>IF(AC$13="","",IF($B47="","",IFERROR(L47*$E47/100,"")))</f>
        <v/>
      </c>
      <c r="AD47" s="113">
        <f>IF(AD$13="","",IF($B47="","",IFERROR(M47*$E47/100,"")))</f>
        <v/>
      </c>
      <c r="AE47" s="113">
        <f>IF(AE$13="","",IF($B47="","",IFERROR(N47*$E47/100,"")))</f>
        <v/>
      </c>
      <c r="AF47" s="113">
        <f>IF(AF$13="","",IF($B47="","",IFERROR(O47*$E47/100,"")))</f>
        <v/>
      </c>
      <c r="AG47" s="113">
        <f>IF(AG$13="","",IF($B47="","",IFERROR(P47*$E47/100,"")))</f>
        <v/>
      </c>
      <c r="AH47" s="113">
        <f>IF(AH$13="","",IF($B47="","",IFERROR(Q47*$E47/100,"")))</f>
        <v/>
      </c>
      <c r="AI47" s="113">
        <f>IF(AI$13="","",IF($B47="","",IFERROR(R47*$E47/100,"")))</f>
        <v/>
      </c>
      <c r="AJ47" s="113">
        <f>IF(AJ$13="","",IF($B47="","",IFERROR(S47*$E47/100,"")))</f>
        <v/>
      </c>
      <c r="AK47" s="113">
        <f>IF(AK$13="","",IF($B47="","",IFERROR(T47*$E47/100,"")))</f>
        <v/>
      </c>
      <c r="AL47" s="113">
        <f>IF(AL$13="","",IF($B47="","",IFERROR(U47*$E47/100,"")))</f>
        <v/>
      </c>
    </row>
    <row r="48">
      <c r="B48" s="5">
        <f>IF(AS51!$C$38="","",AS51!$C$38)</f>
        <v/>
      </c>
      <c r="C48" s="86">
        <f>IF(AS51!$B$38="","",AS51!$B$38)</f>
        <v/>
      </c>
      <c r="D48" s="111">
        <f>IFERROR(AS51!$Q$38,1)</f>
        <v/>
      </c>
      <c r="E48" s="112">
        <f>IF($B48="","",IF(ISNUMBER(AS51!$I$38),AS51!$I$38,'Index Summary'!$C$7))</f>
        <v/>
      </c>
      <c r="F48" s="113">
        <f>IF(F$13="","",IF($B48="","",IFERROR($C48*$D48*SUMIFS('Dvd Calendar'!$E$72:$CZ$72,'Dvd Calendar'!$E$71:$CZ$71,"&gt;"&amp;F$12,'Dvd Calendar'!$E$71:$CZ$71,"&lt;="&amp;F$13)/AS51!$B$3,"")))</f>
        <v/>
      </c>
      <c r="G48" s="113">
        <f>IF(G$13="","",IF($B48="","",IFERROR($C48*$D48*SUMIFS('Dvd Calendar'!$E$72:$CZ$72,'Dvd Calendar'!$E$71:$CZ$71,"&gt;"&amp;G$12,'Dvd Calendar'!$E$71:$CZ$71,"&lt;="&amp;G$13)/AS51!$B$3,"")))</f>
        <v/>
      </c>
      <c r="H48" s="113">
        <f>IF(H$13="","",IF($B48="","",IFERROR($C48*$D48*SUMIFS('Dvd Calendar'!$E$72:$CZ$72,'Dvd Calendar'!$E$71:$CZ$71,"&gt;"&amp;H$12,'Dvd Calendar'!$E$71:$CZ$71,"&lt;="&amp;H$13)/AS51!$B$3,"")))</f>
        <v/>
      </c>
      <c r="I48" s="113">
        <f>IF(I$13="","",IF($B48="","",IFERROR($C48*$D48*SUMIFS('Dvd Calendar'!$E$72:$CZ$72,'Dvd Calendar'!$E$71:$CZ$71,"&gt;"&amp;I$12,'Dvd Calendar'!$E$71:$CZ$71,"&lt;="&amp;I$13)/AS51!$B$3,"")))</f>
        <v/>
      </c>
      <c r="J48" s="113">
        <f>IF(J$13="","",IF($B48="","",IFERROR($C48*$D48*SUMIFS('Dvd Calendar'!$E$72:$CZ$72,'Dvd Calendar'!$E$71:$CZ$71,"&gt;"&amp;J$12,'Dvd Calendar'!$E$71:$CZ$71,"&lt;="&amp;J$13)/AS51!$B$3,"")))</f>
        <v/>
      </c>
      <c r="K48" s="113">
        <f>IF(K$13="","",IF($B48="","",IFERROR($C48*$D48*SUMIFS('Dvd Calendar'!$E$72:$CZ$72,'Dvd Calendar'!$E$71:$CZ$71,"&gt;"&amp;K$12,'Dvd Calendar'!$E$71:$CZ$71,"&lt;="&amp;K$13)/AS51!$B$3,"")))</f>
        <v/>
      </c>
      <c r="L48" s="113">
        <f>IF(L$13="","",IF($B48="","",IFERROR($C48*$D48*SUMIFS('Dvd Calendar'!$E$72:$CZ$72,'Dvd Calendar'!$E$71:$CZ$71,"&gt;"&amp;L$12,'Dvd Calendar'!$E$71:$CZ$71,"&lt;="&amp;L$13)/AS51!$B$3,"")))</f>
        <v/>
      </c>
      <c r="M48" s="113">
        <f>IF(M$13="","",IF($B48="","",IFERROR($C48*$D48*SUMIFS('Dvd Calendar'!$E$72:$CZ$72,'Dvd Calendar'!$E$71:$CZ$71,"&gt;"&amp;M$12,'Dvd Calendar'!$E$71:$CZ$71,"&lt;="&amp;M$13)/AS51!$B$3,"")))</f>
        <v/>
      </c>
      <c r="N48" s="113">
        <f>IF(N$13="","",IF($B48="","",IFERROR($C48*$D48*SUMIFS('Dvd Calendar'!$E$72:$CZ$72,'Dvd Calendar'!$E$71:$CZ$71,"&gt;"&amp;N$12,'Dvd Calendar'!$E$71:$CZ$71,"&lt;="&amp;N$13)/AS51!$B$3,"")))</f>
        <v/>
      </c>
      <c r="O48" s="113">
        <f>IF(O$13="","",IF($B48="","",IFERROR($C48*$D48*SUMIFS('Dvd Calendar'!$E$72:$CZ$72,'Dvd Calendar'!$E$71:$CZ$71,"&gt;"&amp;O$12,'Dvd Calendar'!$E$71:$CZ$71,"&lt;="&amp;O$13)/AS51!$B$3,"")))</f>
        <v/>
      </c>
      <c r="P48" s="113">
        <f>IF(P$13="","",IF($B48="","",IFERROR($C48*$D48*SUMIFS('Dvd Calendar'!$E$72:$CZ$72,'Dvd Calendar'!$E$71:$CZ$71,"&gt;"&amp;P$12,'Dvd Calendar'!$E$71:$CZ$71,"&lt;="&amp;P$13)/AS51!$B$3,"")))</f>
        <v/>
      </c>
      <c r="Q48" s="113">
        <f>IF(Q$13="","",IF($B48="","",IFERROR($C48*$D48*SUMIFS('Dvd Calendar'!$E$72:$CZ$72,'Dvd Calendar'!$E$71:$CZ$71,"&gt;"&amp;Q$12,'Dvd Calendar'!$E$71:$CZ$71,"&lt;="&amp;Q$13)/AS51!$B$3,"")))</f>
        <v/>
      </c>
      <c r="R48" s="113">
        <f>IF(R$13="","",IF($B48="","",IFERROR($C48*$D48*SUMIFS('Dvd Calendar'!$E$72:$CZ$72,'Dvd Calendar'!$E$71:$CZ$71,"&gt;"&amp;R$12,'Dvd Calendar'!$E$71:$CZ$71,"&lt;="&amp;R$13)/AS51!$B$3,"")))</f>
        <v/>
      </c>
      <c r="S48" s="113">
        <f>IF(S$13="","",IF($B48="","",IFERROR($C48*$D48*SUMIFS('Dvd Calendar'!$E$72:$CZ$72,'Dvd Calendar'!$E$71:$CZ$71,"&gt;"&amp;S$12,'Dvd Calendar'!$E$71:$CZ$71,"&lt;="&amp;S$13)/AS51!$B$3,"")))</f>
        <v/>
      </c>
      <c r="T48" s="113">
        <f>IF(T$13="","",IF($B48="","",IFERROR($C48*$D48*SUMIFS('Dvd Calendar'!$E$72:$CZ$72,'Dvd Calendar'!$E$71:$CZ$71,"&gt;"&amp;T$12,'Dvd Calendar'!$E$71:$CZ$71,"&lt;="&amp;T$13)/AS51!$B$3,"")))</f>
        <v/>
      </c>
      <c r="U48" s="113">
        <f>IF(U$13="","",IF($B48="","",IFERROR($C48*$D48*SUMIFS('Dvd Calendar'!$E$72:$CZ$72,'Dvd Calendar'!$E$71:$CZ$71,"&gt;"&amp;U$12,'Dvd Calendar'!$E$71:$CZ$71,"&lt;="&amp;U$13)/AS51!$B$3,"")))</f>
        <v/>
      </c>
      <c r="W48" s="113">
        <f>IF(W$13="","",IF($B48="","",IFERROR(F48*$E48/100,"")))</f>
        <v/>
      </c>
      <c r="X48" s="113">
        <f>IF(X$13="","",IF($B48="","",IFERROR(G48*$E48/100,"")))</f>
        <v/>
      </c>
      <c r="Y48" s="113">
        <f>IF(Y$13="","",IF($B48="","",IFERROR(H48*$E48/100,"")))</f>
        <v/>
      </c>
      <c r="Z48" s="113">
        <f>IF(Z$13="","",IF($B48="","",IFERROR(I48*$E48/100,"")))</f>
        <v/>
      </c>
      <c r="AA48" s="113">
        <f>IF(AA$13="","",IF($B48="","",IFERROR(J48*$E48/100,"")))</f>
        <v/>
      </c>
      <c r="AB48" s="113">
        <f>IF(AB$13="","",IF($B48="","",IFERROR(K48*$E48/100,"")))</f>
        <v/>
      </c>
      <c r="AC48" s="113">
        <f>IF(AC$13="","",IF($B48="","",IFERROR(L48*$E48/100,"")))</f>
        <v/>
      </c>
      <c r="AD48" s="113">
        <f>IF(AD$13="","",IF($B48="","",IFERROR(M48*$E48/100,"")))</f>
        <v/>
      </c>
      <c r="AE48" s="113">
        <f>IF(AE$13="","",IF($B48="","",IFERROR(N48*$E48/100,"")))</f>
        <v/>
      </c>
      <c r="AF48" s="113">
        <f>IF(AF$13="","",IF($B48="","",IFERROR(O48*$E48/100,"")))</f>
        <v/>
      </c>
      <c r="AG48" s="113">
        <f>IF(AG$13="","",IF($B48="","",IFERROR(P48*$E48/100,"")))</f>
        <v/>
      </c>
      <c r="AH48" s="113">
        <f>IF(AH$13="","",IF($B48="","",IFERROR(Q48*$E48/100,"")))</f>
        <v/>
      </c>
      <c r="AI48" s="113">
        <f>IF(AI$13="","",IF($B48="","",IFERROR(R48*$E48/100,"")))</f>
        <v/>
      </c>
      <c r="AJ48" s="113">
        <f>IF(AJ$13="","",IF($B48="","",IFERROR(S48*$E48/100,"")))</f>
        <v/>
      </c>
      <c r="AK48" s="113">
        <f>IF(AK$13="","",IF($B48="","",IFERROR(T48*$E48/100,"")))</f>
        <v/>
      </c>
      <c r="AL48" s="113">
        <f>IF(AL$13="","",IF($B48="","",IFERROR(U48*$E48/100,"")))</f>
        <v/>
      </c>
    </row>
    <row r="49">
      <c r="B49" s="5">
        <f>IF(AS51!$C$39="","",AS51!$C$39)</f>
        <v/>
      </c>
      <c r="C49" s="86">
        <f>IF(AS51!$B$39="","",AS51!$B$39)</f>
        <v/>
      </c>
      <c r="D49" s="111">
        <f>IFERROR(AS51!$Q$39,1)</f>
        <v/>
      </c>
      <c r="E49" s="112">
        <f>IF($B49="","",IF(ISNUMBER(AS51!$I$39),AS51!$I$39,'Index Summary'!$C$7))</f>
        <v/>
      </c>
      <c r="F49" s="113">
        <f>IF(F$13="","",IF($B49="","",IFERROR($C49*$D49*SUMIFS('Dvd Calendar'!$E$74:$CZ$74,'Dvd Calendar'!$E$73:$CZ$73,"&gt;"&amp;F$12,'Dvd Calendar'!$E$73:$CZ$73,"&lt;="&amp;F$13)/AS51!$B$3,"")))</f>
        <v/>
      </c>
      <c r="G49" s="113">
        <f>IF(G$13="","",IF($B49="","",IFERROR($C49*$D49*SUMIFS('Dvd Calendar'!$E$74:$CZ$74,'Dvd Calendar'!$E$73:$CZ$73,"&gt;"&amp;G$12,'Dvd Calendar'!$E$73:$CZ$73,"&lt;="&amp;G$13)/AS51!$B$3,"")))</f>
        <v/>
      </c>
      <c r="H49" s="113">
        <f>IF(H$13="","",IF($B49="","",IFERROR($C49*$D49*SUMIFS('Dvd Calendar'!$E$74:$CZ$74,'Dvd Calendar'!$E$73:$CZ$73,"&gt;"&amp;H$12,'Dvd Calendar'!$E$73:$CZ$73,"&lt;="&amp;H$13)/AS51!$B$3,"")))</f>
        <v/>
      </c>
      <c r="I49" s="113">
        <f>IF(I$13="","",IF($B49="","",IFERROR($C49*$D49*SUMIFS('Dvd Calendar'!$E$74:$CZ$74,'Dvd Calendar'!$E$73:$CZ$73,"&gt;"&amp;I$12,'Dvd Calendar'!$E$73:$CZ$73,"&lt;="&amp;I$13)/AS51!$B$3,"")))</f>
        <v/>
      </c>
      <c r="J49" s="113">
        <f>IF(J$13="","",IF($B49="","",IFERROR($C49*$D49*SUMIFS('Dvd Calendar'!$E$74:$CZ$74,'Dvd Calendar'!$E$73:$CZ$73,"&gt;"&amp;J$12,'Dvd Calendar'!$E$73:$CZ$73,"&lt;="&amp;J$13)/AS51!$B$3,"")))</f>
        <v/>
      </c>
      <c r="K49" s="113">
        <f>IF(K$13="","",IF($B49="","",IFERROR($C49*$D49*SUMIFS('Dvd Calendar'!$E$74:$CZ$74,'Dvd Calendar'!$E$73:$CZ$73,"&gt;"&amp;K$12,'Dvd Calendar'!$E$73:$CZ$73,"&lt;="&amp;K$13)/AS51!$B$3,"")))</f>
        <v/>
      </c>
      <c r="L49" s="113">
        <f>IF(L$13="","",IF($B49="","",IFERROR($C49*$D49*SUMIFS('Dvd Calendar'!$E$74:$CZ$74,'Dvd Calendar'!$E$73:$CZ$73,"&gt;"&amp;L$12,'Dvd Calendar'!$E$73:$CZ$73,"&lt;="&amp;L$13)/AS51!$B$3,"")))</f>
        <v/>
      </c>
      <c r="M49" s="113">
        <f>IF(M$13="","",IF($B49="","",IFERROR($C49*$D49*SUMIFS('Dvd Calendar'!$E$74:$CZ$74,'Dvd Calendar'!$E$73:$CZ$73,"&gt;"&amp;M$12,'Dvd Calendar'!$E$73:$CZ$73,"&lt;="&amp;M$13)/AS51!$B$3,"")))</f>
        <v/>
      </c>
      <c r="N49" s="113">
        <f>IF(N$13="","",IF($B49="","",IFERROR($C49*$D49*SUMIFS('Dvd Calendar'!$E$74:$CZ$74,'Dvd Calendar'!$E$73:$CZ$73,"&gt;"&amp;N$12,'Dvd Calendar'!$E$73:$CZ$73,"&lt;="&amp;N$13)/AS51!$B$3,"")))</f>
        <v/>
      </c>
      <c r="O49" s="113">
        <f>IF(O$13="","",IF($B49="","",IFERROR($C49*$D49*SUMIFS('Dvd Calendar'!$E$74:$CZ$74,'Dvd Calendar'!$E$73:$CZ$73,"&gt;"&amp;O$12,'Dvd Calendar'!$E$73:$CZ$73,"&lt;="&amp;O$13)/AS51!$B$3,"")))</f>
        <v/>
      </c>
      <c r="P49" s="113">
        <f>IF(P$13="","",IF($B49="","",IFERROR($C49*$D49*SUMIFS('Dvd Calendar'!$E$74:$CZ$74,'Dvd Calendar'!$E$73:$CZ$73,"&gt;"&amp;P$12,'Dvd Calendar'!$E$73:$CZ$73,"&lt;="&amp;P$13)/AS51!$B$3,"")))</f>
        <v/>
      </c>
      <c r="Q49" s="113">
        <f>IF(Q$13="","",IF($B49="","",IFERROR($C49*$D49*SUMIFS('Dvd Calendar'!$E$74:$CZ$74,'Dvd Calendar'!$E$73:$CZ$73,"&gt;"&amp;Q$12,'Dvd Calendar'!$E$73:$CZ$73,"&lt;="&amp;Q$13)/AS51!$B$3,"")))</f>
        <v/>
      </c>
      <c r="R49" s="113">
        <f>IF(R$13="","",IF($B49="","",IFERROR($C49*$D49*SUMIFS('Dvd Calendar'!$E$74:$CZ$74,'Dvd Calendar'!$E$73:$CZ$73,"&gt;"&amp;R$12,'Dvd Calendar'!$E$73:$CZ$73,"&lt;="&amp;R$13)/AS51!$B$3,"")))</f>
        <v/>
      </c>
      <c r="S49" s="113">
        <f>IF(S$13="","",IF($B49="","",IFERROR($C49*$D49*SUMIFS('Dvd Calendar'!$E$74:$CZ$74,'Dvd Calendar'!$E$73:$CZ$73,"&gt;"&amp;S$12,'Dvd Calendar'!$E$73:$CZ$73,"&lt;="&amp;S$13)/AS51!$B$3,"")))</f>
        <v/>
      </c>
      <c r="T49" s="113">
        <f>IF(T$13="","",IF($B49="","",IFERROR($C49*$D49*SUMIFS('Dvd Calendar'!$E$74:$CZ$74,'Dvd Calendar'!$E$73:$CZ$73,"&gt;"&amp;T$12,'Dvd Calendar'!$E$73:$CZ$73,"&lt;="&amp;T$13)/AS51!$B$3,"")))</f>
        <v/>
      </c>
      <c r="U49" s="113">
        <f>IF(U$13="","",IF($B49="","",IFERROR($C49*$D49*SUMIFS('Dvd Calendar'!$E$74:$CZ$74,'Dvd Calendar'!$E$73:$CZ$73,"&gt;"&amp;U$12,'Dvd Calendar'!$E$73:$CZ$73,"&lt;="&amp;U$13)/AS51!$B$3,"")))</f>
        <v/>
      </c>
      <c r="W49" s="113">
        <f>IF(W$13="","",IF($B49="","",IFERROR(F49*$E49/100,"")))</f>
        <v/>
      </c>
      <c r="X49" s="113">
        <f>IF(X$13="","",IF($B49="","",IFERROR(G49*$E49/100,"")))</f>
        <v/>
      </c>
      <c r="Y49" s="113">
        <f>IF(Y$13="","",IF($B49="","",IFERROR(H49*$E49/100,"")))</f>
        <v/>
      </c>
      <c r="Z49" s="113">
        <f>IF(Z$13="","",IF($B49="","",IFERROR(I49*$E49/100,"")))</f>
        <v/>
      </c>
      <c r="AA49" s="113">
        <f>IF(AA$13="","",IF($B49="","",IFERROR(J49*$E49/100,"")))</f>
        <v/>
      </c>
      <c r="AB49" s="113">
        <f>IF(AB$13="","",IF($B49="","",IFERROR(K49*$E49/100,"")))</f>
        <v/>
      </c>
      <c r="AC49" s="113">
        <f>IF(AC$13="","",IF($B49="","",IFERROR(L49*$E49/100,"")))</f>
        <v/>
      </c>
      <c r="AD49" s="113">
        <f>IF(AD$13="","",IF($B49="","",IFERROR(M49*$E49/100,"")))</f>
        <v/>
      </c>
      <c r="AE49" s="113">
        <f>IF(AE$13="","",IF($B49="","",IFERROR(N49*$E49/100,"")))</f>
        <v/>
      </c>
      <c r="AF49" s="113">
        <f>IF(AF$13="","",IF($B49="","",IFERROR(O49*$E49/100,"")))</f>
        <v/>
      </c>
      <c r="AG49" s="113">
        <f>IF(AG$13="","",IF($B49="","",IFERROR(P49*$E49/100,"")))</f>
        <v/>
      </c>
      <c r="AH49" s="113">
        <f>IF(AH$13="","",IF($B49="","",IFERROR(Q49*$E49/100,"")))</f>
        <v/>
      </c>
      <c r="AI49" s="113">
        <f>IF(AI$13="","",IF($B49="","",IFERROR(R49*$E49/100,"")))</f>
        <v/>
      </c>
      <c r="AJ49" s="113">
        <f>IF(AJ$13="","",IF($B49="","",IFERROR(S49*$E49/100,"")))</f>
        <v/>
      </c>
      <c r="AK49" s="113">
        <f>IF(AK$13="","",IF($B49="","",IFERROR(T49*$E49/100,"")))</f>
        <v/>
      </c>
      <c r="AL49" s="113">
        <f>IF(AL$13="","",IF($B49="","",IFERROR(U49*$E49/100,"")))</f>
        <v/>
      </c>
    </row>
    <row r="50">
      <c r="B50" s="5">
        <f>IF(AS51!$C$40="","",AS51!$C$40)</f>
        <v/>
      </c>
      <c r="C50" s="86">
        <f>IF(AS51!$B$40="","",AS51!$B$40)</f>
        <v/>
      </c>
      <c r="D50" s="111">
        <f>IFERROR(AS51!$Q$40,1)</f>
        <v/>
      </c>
      <c r="E50" s="112">
        <f>IF($B50="","",IF(ISNUMBER(AS51!$I$40),AS51!$I$40,'Index Summary'!$C$7))</f>
        <v/>
      </c>
      <c r="F50" s="113">
        <f>IF(F$13="","",IF($B50="","",IFERROR($C50*$D50*SUMIFS('Dvd Calendar'!$E$76:$CZ$76,'Dvd Calendar'!$E$75:$CZ$75,"&gt;"&amp;F$12,'Dvd Calendar'!$E$75:$CZ$75,"&lt;="&amp;F$13)/AS51!$B$3,"")))</f>
        <v/>
      </c>
      <c r="G50" s="113">
        <f>IF(G$13="","",IF($B50="","",IFERROR($C50*$D50*SUMIFS('Dvd Calendar'!$E$76:$CZ$76,'Dvd Calendar'!$E$75:$CZ$75,"&gt;"&amp;G$12,'Dvd Calendar'!$E$75:$CZ$75,"&lt;="&amp;G$13)/AS51!$B$3,"")))</f>
        <v/>
      </c>
      <c r="H50" s="113">
        <f>IF(H$13="","",IF($B50="","",IFERROR($C50*$D50*SUMIFS('Dvd Calendar'!$E$76:$CZ$76,'Dvd Calendar'!$E$75:$CZ$75,"&gt;"&amp;H$12,'Dvd Calendar'!$E$75:$CZ$75,"&lt;="&amp;H$13)/AS51!$B$3,"")))</f>
        <v/>
      </c>
      <c r="I50" s="113">
        <f>IF(I$13="","",IF($B50="","",IFERROR($C50*$D50*SUMIFS('Dvd Calendar'!$E$76:$CZ$76,'Dvd Calendar'!$E$75:$CZ$75,"&gt;"&amp;I$12,'Dvd Calendar'!$E$75:$CZ$75,"&lt;="&amp;I$13)/AS51!$B$3,"")))</f>
        <v/>
      </c>
      <c r="J50" s="113">
        <f>IF(J$13="","",IF($B50="","",IFERROR($C50*$D50*SUMIFS('Dvd Calendar'!$E$76:$CZ$76,'Dvd Calendar'!$E$75:$CZ$75,"&gt;"&amp;J$12,'Dvd Calendar'!$E$75:$CZ$75,"&lt;="&amp;J$13)/AS51!$B$3,"")))</f>
        <v/>
      </c>
      <c r="K50" s="113">
        <f>IF(K$13="","",IF($B50="","",IFERROR($C50*$D50*SUMIFS('Dvd Calendar'!$E$76:$CZ$76,'Dvd Calendar'!$E$75:$CZ$75,"&gt;"&amp;K$12,'Dvd Calendar'!$E$75:$CZ$75,"&lt;="&amp;K$13)/AS51!$B$3,"")))</f>
        <v/>
      </c>
      <c r="L50" s="113">
        <f>IF(L$13="","",IF($B50="","",IFERROR($C50*$D50*SUMIFS('Dvd Calendar'!$E$76:$CZ$76,'Dvd Calendar'!$E$75:$CZ$75,"&gt;"&amp;L$12,'Dvd Calendar'!$E$75:$CZ$75,"&lt;="&amp;L$13)/AS51!$B$3,"")))</f>
        <v/>
      </c>
      <c r="M50" s="113">
        <f>IF(M$13="","",IF($B50="","",IFERROR($C50*$D50*SUMIFS('Dvd Calendar'!$E$76:$CZ$76,'Dvd Calendar'!$E$75:$CZ$75,"&gt;"&amp;M$12,'Dvd Calendar'!$E$75:$CZ$75,"&lt;="&amp;M$13)/AS51!$B$3,"")))</f>
        <v/>
      </c>
      <c r="N50" s="113">
        <f>IF(N$13="","",IF($B50="","",IFERROR($C50*$D50*SUMIFS('Dvd Calendar'!$E$76:$CZ$76,'Dvd Calendar'!$E$75:$CZ$75,"&gt;"&amp;N$12,'Dvd Calendar'!$E$75:$CZ$75,"&lt;="&amp;N$13)/AS51!$B$3,"")))</f>
        <v/>
      </c>
      <c r="O50" s="113">
        <f>IF(O$13="","",IF($B50="","",IFERROR($C50*$D50*SUMIFS('Dvd Calendar'!$E$76:$CZ$76,'Dvd Calendar'!$E$75:$CZ$75,"&gt;"&amp;O$12,'Dvd Calendar'!$E$75:$CZ$75,"&lt;="&amp;O$13)/AS51!$B$3,"")))</f>
        <v/>
      </c>
      <c r="P50" s="113">
        <f>IF(P$13="","",IF($B50="","",IFERROR($C50*$D50*SUMIFS('Dvd Calendar'!$E$76:$CZ$76,'Dvd Calendar'!$E$75:$CZ$75,"&gt;"&amp;P$12,'Dvd Calendar'!$E$75:$CZ$75,"&lt;="&amp;P$13)/AS51!$B$3,"")))</f>
        <v/>
      </c>
      <c r="Q50" s="113">
        <f>IF(Q$13="","",IF($B50="","",IFERROR($C50*$D50*SUMIFS('Dvd Calendar'!$E$76:$CZ$76,'Dvd Calendar'!$E$75:$CZ$75,"&gt;"&amp;Q$12,'Dvd Calendar'!$E$75:$CZ$75,"&lt;="&amp;Q$13)/AS51!$B$3,"")))</f>
        <v/>
      </c>
      <c r="R50" s="113">
        <f>IF(R$13="","",IF($B50="","",IFERROR($C50*$D50*SUMIFS('Dvd Calendar'!$E$76:$CZ$76,'Dvd Calendar'!$E$75:$CZ$75,"&gt;"&amp;R$12,'Dvd Calendar'!$E$75:$CZ$75,"&lt;="&amp;R$13)/AS51!$B$3,"")))</f>
        <v/>
      </c>
      <c r="S50" s="113">
        <f>IF(S$13="","",IF($B50="","",IFERROR($C50*$D50*SUMIFS('Dvd Calendar'!$E$76:$CZ$76,'Dvd Calendar'!$E$75:$CZ$75,"&gt;"&amp;S$12,'Dvd Calendar'!$E$75:$CZ$75,"&lt;="&amp;S$13)/AS51!$B$3,"")))</f>
        <v/>
      </c>
      <c r="T50" s="113">
        <f>IF(T$13="","",IF($B50="","",IFERROR($C50*$D50*SUMIFS('Dvd Calendar'!$E$76:$CZ$76,'Dvd Calendar'!$E$75:$CZ$75,"&gt;"&amp;T$12,'Dvd Calendar'!$E$75:$CZ$75,"&lt;="&amp;T$13)/AS51!$B$3,"")))</f>
        <v/>
      </c>
      <c r="U50" s="113">
        <f>IF(U$13="","",IF($B50="","",IFERROR($C50*$D50*SUMIFS('Dvd Calendar'!$E$76:$CZ$76,'Dvd Calendar'!$E$75:$CZ$75,"&gt;"&amp;U$12,'Dvd Calendar'!$E$75:$CZ$75,"&lt;="&amp;U$13)/AS51!$B$3,"")))</f>
        <v/>
      </c>
      <c r="W50" s="113">
        <f>IF(W$13="","",IF($B50="","",IFERROR(F50*$E50/100,"")))</f>
        <v/>
      </c>
      <c r="X50" s="113">
        <f>IF(X$13="","",IF($B50="","",IFERROR(G50*$E50/100,"")))</f>
        <v/>
      </c>
      <c r="Y50" s="113">
        <f>IF(Y$13="","",IF($B50="","",IFERROR(H50*$E50/100,"")))</f>
        <v/>
      </c>
      <c r="Z50" s="113">
        <f>IF(Z$13="","",IF($B50="","",IFERROR(I50*$E50/100,"")))</f>
        <v/>
      </c>
      <c r="AA50" s="113">
        <f>IF(AA$13="","",IF($B50="","",IFERROR(J50*$E50/100,"")))</f>
        <v/>
      </c>
      <c r="AB50" s="113">
        <f>IF(AB$13="","",IF($B50="","",IFERROR(K50*$E50/100,"")))</f>
        <v/>
      </c>
      <c r="AC50" s="113">
        <f>IF(AC$13="","",IF($B50="","",IFERROR(L50*$E50/100,"")))</f>
        <v/>
      </c>
      <c r="AD50" s="113">
        <f>IF(AD$13="","",IF($B50="","",IFERROR(M50*$E50/100,"")))</f>
        <v/>
      </c>
      <c r="AE50" s="113">
        <f>IF(AE$13="","",IF($B50="","",IFERROR(N50*$E50/100,"")))</f>
        <v/>
      </c>
      <c r="AF50" s="113">
        <f>IF(AF$13="","",IF($B50="","",IFERROR(O50*$E50/100,"")))</f>
        <v/>
      </c>
      <c r="AG50" s="113">
        <f>IF(AG$13="","",IF($B50="","",IFERROR(P50*$E50/100,"")))</f>
        <v/>
      </c>
      <c r="AH50" s="113">
        <f>IF(AH$13="","",IF($B50="","",IFERROR(Q50*$E50/100,"")))</f>
        <v/>
      </c>
      <c r="AI50" s="113">
        <f>IF(AI$13="","",IF($B50="","",IFERROR(R50*$E50/100,"")))</f>
        <v/>
      </c>
      <c r="AJ50" s="113">
        <f>IF(AJ$13="","",IF($B50="","",IFERROR(S50*$E50/100,"")))</f>
        <v/>
      </c>
      <c r="AK50" s="113">
        <f>IF(AK$13="","",IF($B50="","",IFERROR(T50*$E50/100,"")))</f>
        <v/>
      </c>
      <c r="AL50" s="113">
        <f>IF(AL$13="","",IF($B50="","",IFERROR(U50*$E50/100,"")))</f>
        <v/>
      </c>
    </row>
    <row r="51">
      <c r="B51" s="5">
        <f>IF(AS51!$C$41="","",AS51!$C$41)</f>
        <v/>
      </c>
      <c r="C51" s="86">
        <f>IF(AS51!$B$41="","",AS51!$B$41)</f>
        <v/>
      </c>
      <c r="D51" s="111">
        <f>IFERROR(AS51!$Q$41,1)</f>
        <v/>
      </c>
      <c r="E51" s="112">
        <f>IF($B51="","",IF(ISNUMBER(AS51!$I$41),AS51!$I$41,'Index Summary'!$C$7))</f>
        <v/>
      </c>
      <c r="F51" s="113">
        <f>IF(F$13="","",IF($B51="","",IFERROR($C51*$D51*SUMIFS('Dvd Calendar'!$E$78:$CZ$78,'Dvd Calendar'!$E$77:$CZ$77,"&gt;"&amp;F$12,'Dvd Calendar'!$E$77:$CZ$77,"&lt;="&amp;F$13)/AS51!$B$3,"")))</f>
        <v/>
      </c>
      <c r="G51" s="113">
        <f>IF(G$13="","",IF($B51="","",IFERROR($C51*$D51*SUMIFS('Dvd Calendar'!$E$78:$CZ$78,'Dvd Calendar'!$E$77:$CZ$77,"&gt;"&amp;G$12,'Dvd Calendar'!$E$77:$CZ$77,"&lt;="&amp;G$13)/AS51!$B$3,"")))</f>
        <v/>
      </c>
      <c r="H51" s="113">
        <f>IF(H$13="","",IF($B51="","",IFERROR($C51*$D51*SUMIFS('Dvd Calendar'!$E$78:$CZ$78,'Dvd Calendar'!$E$77:$CZ$77,"&gt;"&amp;H$12,'Dvd Calendar'!$E$77:$CZ$77,"&lt;="&amp;H$13)/AS51!$B$3,"")))</f>
        <v/>
      </c>
      <c r="I51" s="113">
        <f>IF(I$13="","",IF($B51="","",IFERROR($C51*$D51*SUMIFS('Dvd Calendar'!$E$78:$CZ$78,'Dvd Calendar'!$E$77:$CZ$77,"&gt;"&amp;I$12,'Dvd Calendar'!$E$77:$CZ$77,"&lt;="&amp;I$13)/AS51!$B$3,"")))</f>
        <v/>
      </c>
      <c r="J51" s="113">
        <f>IF(J$13="","",IF($B51="","",IFERROR($C51*$D51*SUMIFS('Dvd Calendar'!$E$78:$CZ$78,'Dvd Calendar'!$E$77:$CZ$77,"&gt;"&amp;J$12,'Dvd Calendar'!$E$77:$CZ$77,"&lt;="&amp;J$13)/AS51!$B$3,"")))</f>
        <v/>
      </c>
      <c r="K51" s="113">
        <f>IF(K$13="","",IF($B51="","",IFERROR($C51*$D51*SUMIFS('Dvd Calendar'!$E$78:$CZ$78,'Dvd Calendar'!$E$77:$CZ$77,"&gt;"&amp;K$12,'Dvd Calendar'!$E$77:$CZ$77,"&lt;="&amp;K$13)/AS51!$B$3,"")))</f>
        <v/>
      </c>
      <c r="L51" s="113">
        <f>IF(L$13="","",IF($B51="","",IFERROR($C51*$D51*SUMIFS('Dvd Calendar'!$E$78:$CZ$78,'Dvd Calendar'!$E$77:$CZ$77,"&gt;"&amp;L$12,'Dvd Calendar'!$E$77:$CZ$77,"&lt;="&amp;L$13)/AS51!$B$3,"")))</f>
        <v/>
      </c>
      <c r="M51" s="113">
        <f>IF(M$13="","",IF($B51="","",IFERROR($C51*$D51*SUMIFS('Dvd Calendar'!$E$78:$CZ$78,'Dvd Calendar'!$E$77:$CZ$77,"&gt;"&amp;M$12,'Dvd Calendar'!$E$77:$CZ$77,"&lt;="&amp;M$13)/AS51!$B$3,"")))</f>
        <v/>
      </c>
      <c r="N51" s="113">
        <f>IF(N$13="","",IF($B51="","",IFERROR($C51*$D51*SUMIFS('Dvd Calendar'!$E$78:$CZ$78,'Dvd Calendar'!$E$77:$CZ$77,"&gt;"&amp;N$12,'Dvd Calendar'!$E$77:$CZ$77,"&lt;="&amp;N$13)/AS51!$B$3,"")))</f>
        <v/>
      </c>
      <c r="O51" s="113">
        <f>IF(O$13="","",IF($B51="","",IFERROR($C51*$D51*SUMIFS('Dvd Calendar'!$E$78:$CZ$78,'Dvd Calendar'!$E$77:$CZ$77,"&gt;"&amp;O$12,'Dvd Calendar'!$E$77:$CZ$77,"&lt;="&amp;O$13)/AS51!$B$3,"")))</f>
        <v/>
      </c>
      <c r="P51" s="113">
        <f>IF(P$13="","",IF($B51="","",IFERROR($C51*$D51*SUMIFS('Dvd Calendar'!$E$78:$CZ$78,'Dvd Calendar'!$E$77:$CZ$77,"&gt;"&amp;P$12,'Dvd Calendar'!$E$77:$CZ$77,"&lt;="&amp;P$13)/AS51!$B$3,"")))</f>
        <v/>
      </c>
      <c r="Q51" s="113">
        <f>IF(Q$13="","",IF($B51="","",IFERROR($C51*$D51*SUMIFS('Dvd Calendar'!$E$78:$CZ$78,'Dvd Calendar'!$E$77:$CZ$77,"&gt;"&amp;Q$12,'Dvd Calendar'!$E$77:$CZ$77,"&lt;="&amp;Q$13)/AS51!$B$3,"")))</f>
        <v/>
      </c>
      <c r="R51" s="113">
        <f>IF(R$13="","",IF($B51="","",IFERROR($C51*$D51*SUMIFS('Dvd Calendar'!$E$78:$CZ$78,'Dvd Calendar'!$E$77:$CZ$77,"&gt;"&amp;R$12,'Dvd Calendar'!$E$77:$CZ$77,"&lt;="&amp;R$13)/AS51!$B$3,"")))</f>
        <v/>
      </c>
      <c r="S51" s="113">
        <f>IF(S$13="","",IF($B51="","",IFERROR($C51*$D51*SUMIFS('Dvd Calendar'!$E$78:$CZ$78,'Dvd Calendar'!$E$77:$CZ$77,"&gt;"&amp;S$12,'Dvd Calendar'!$E$77:$CZ$77,"&lt;="&amp;S$13)/AS51!$B$3,"")))</f>
        <v/>
      </c>
      <c r="T51" s="113">
        <f>IF(T$13="","",IF($B51="","",IFERROR($C51*$D51*SUMIFS('Dvd Calendar'!$E$78:$CZ$78,'Dvd Calendar'!$E$77:$CZ$77,"&gt;"&amp;T$12,'Dvd Calendar'!$E$77:$CZ$77,"&lt;="&amp;T$13)/AS51!$B$3,"")))</f>
        <v/>
      </c>
      <c r="U51" s="113">
        <f>IF(U$13="","",IF($B51="","",IFERROR($C51*$D51*SUMIFS('Dvd Calendar'!$E$78:$CZ$78,'Dvd Calendar'!$E$77:$CZ$77,"&gt;"&amp;U$12,'Dvd Calendar'!$E$77:$CZ$77,"&lt;="&amp;U$13)/AS51!$B$3,"")))</f>
        <v/>
      </c>
      <c r="W51" s="113">
        <f>IF(W$13="","",IF($B51="","",IFERROR(F51*$E51/100,"")))</f>
        <v/>
      </c>
      <c r="X51" s="113">
        <f>IF(X$13="","",IF($B51="","",IFERROR(G51*$E51/100,"")))</f>
        <v/>
      </c>
      <c r="Y51" s="113">
        <f>IF(Y$13="","",IF($B51="","",IFERROR(H51*$E51/100,"")))</f>
        <v/>
      </c>
      <c r="Z51" s="113">
        <f>IF(Z$13="","",IF($B51="","",IFERROR(I51*$E51/100,"")))</f>
        <v/>
      </c>
      <c r="AA51" s="113">
        <f>IF(AA$13="","",IF($B51="","",IFERROR(J51*$E51/100,"")))</f>
        <v/>
      </c>
      <c r="AB51" s="113">
        <f>IF(AB$13="","",IF($B51="","",IFERROR(K51*$E51/100,"")))</f>
        <v/>
      </c>
      <c r="AC51" s="113">
        <f>IF(AC$13="","",IF($B51="","",IFERROR(L51*$E51/100,"")))</f>
        <v/>
      </c>
      <c r="AD51" s="113">
        <f>IF(AD$13="","",IF($B51="","",IFERROR(M51*$E51/100,"")))</f>
        <v/>
      </c>
      <c r="AE51" s="113">
        <f>IF(AE$13="","",IF($B51="","",IFERROR(N51*$E51/100,"")))</f>
        <v/>
      </c>
      <c r="AF51" s="113">
        <f>IF(AF$13="","",IF($B51="","",IFERROR(O51*$E51/100,"")))</f>
        <v/>
      </c>
      <c r="AG51" s="113">
        <f>IF(AG$13="","",IF($B51="","",IFERROR(P51*$E51/100,"")))</f>
        <v/>
      </c>
      <c r="AH51" s="113">
        <f>IF(AH$13="","",IF($B51="","",IFERROR(Q51*$E51/100,"")))</f>
        <v/>
      </c>
      <c r="AI51" s="113">
        <f>IF(AI$13="","",IF($B51="","",IFERROR(R51*$E51/100,"")))</f>
        <v/>
      </c>
      <c r="AJ51" s="113">
        <f>IF(AJ$13="","",IF($B51="","",IFERROR(S51*$E51/100,"")))</f>
        <v/>
      </c>
      <c r="AK51" s="113">
        <f>IF(AK$13="","",IF($B51="","",IFERROR(T51*$E51/100,"")))</f>
        <v/>
      </c>
      <c r="AL51" s="113">
        <f>IF(AL$13="","",IF($B51="","",IFERROR(U51*$E51/100,"")))</f>
        <v/>
      </c>
    </row>
    <row r="52">
      <c r="B52" s="5">
        <f>IF(AS51!$C$42="","",AS51!$C$42)</f>
        <v/>
      </c>
      <c r="C52" s="86">
        <f>IF(AS51!$B$42="","",AS51!$B$42)</f>
        <v/>
      </c>
      <c r="D52" s="111">
        <f>IFERROR(AS51!$Q$42,1)</f>
        <v/>
      </c>
      <c r="E52" s="112">
        <f>IF($B52="","",IF(ISNUMBER(AS51!$I$42),AS51!$I$42,'Index Summary'!$C$7))</f>
        <v/>
      </c>
      <c r="F52" s="113">
        <f>IF(F$13="","",IF($B52="","",IFERROR($C52*$D52*SUMIFS('Dvd Calendar'!$E$80:$CZ$80,'Dvd Calendar'!$E$79:$CZ$79,"&gt;"&amp;F$12,'Dvd Calendar'!$E$79:$CZ$79,"&lt;="&amp;F$13)/AS51!$B$3,"")))</f>
        <v/>
      </c>
      <c r="G52" s="113">
        <f>IF(G$13="","",IF($B52="","",IFERROR($C52*$D52*SUMIFS('Dvd Calendar'!$E$80:$CZ$80,'Dvd Calendar'!$E$79:$CZ$79,"&gt;"&amp;G$12,'Dvd Calendar'!$E$79:$CZ$79,"&lt;="&amp;G$13)/AS51!$B$3,"")))</f>
        <v/>
      </c>
      <c r="H52" s="113">
        <f>IF(H$13="","",IF($B52="","",IFERROR($C52*$D52*SUMIFS('Dvd Calendar'!$E$80:$CZ$80,'Dvd Calendar'!$E$79:$CZ$79,"&gt;"&amp;H$12,'Dvd Calendar'!$E$79:$CZ$79,"&lt;="&amp;H$13)/AS51!$B$3,"")))</f>
        <v/>
      </c>
      <c r="I52" s="113">
        <f>IF(I$13="","",IF($B52="","",IFERROR($C52*$D52*SUMIFS('Dvd Calendar'!$E$80:$CZ$80,'Dvd Calendar'!$E$79:$CZ$79,"&gt;"&amp;I$12,'Dvd Calendar'!$E$79:$CZ$79,"&lt;="&amp;I$13)/AS51!$B$3,"")))</f>
        <v/>
      </c>
      <c r="J52" s="113">
        <f>IF(J$13="","",IF($B52="","",IFERROR($C52*$D52*SUMIFS('Dvd Calendar'!$E$80:$CZ$80,'Dvd Calendar'!$E$79:$CZ$79,"&gt;"&amp;J$12,'Dvd Calendar'!$E$79:$CZ$79,"&lt;="&amp;J$13)/AS51!$B$3,"")))</f>
        <v/>
      </c>
      <c r="K52" s="113">
        <f>IF(K$13="","",IF($B52="","",IFERROR($C52*$D52*SUMIFS('Dvd Calendar'!$E$80:$CZ$80,'Dvd Calendar'!$E$79:$CZ$79,"&gt;"&amp;K$12,'Dvd Calendar'!$E$79:$CZ$79,"&lt;="&amp;K$13)/AS51!$B$3,"")))</f>
        <v/>
      </c>
      <c r="L52" s="113">
        <f>IF(L$13="","",IF($B52="","",IFERROR($C52*$D52*SUMIFS('Dvd Calendar'!$E$80:$CZ$80,'Dvd Calendar'!$E$79:$CZ$79,"&gt;"&amp;L$12,'Dvd Calendar'!$E$79:$CZ$79,"&lt;="&amp;L$13)/AS51!$B$3,"")))</f>
        <v/>
      </c>
      <c r="M52" s="113">
        <f>IF(M$13="","",IF($B52="","",IFERROR($C52*$D52*SUMIFS('Dvd Calendar'!$E$80:$CZ$80,'Dvd Calendar'!$E$79:$CZ$79,"&gt;"&amp;M$12,'Dvd Calendar'!$E$79:$CZ$79,"&lt;="&amp;M$13)/AS51!$B$3,"")))</f>
        <v/>
      </c>
      <c r="N52" s="113">
        <f>IF(N$13="","",IF($B52="","",IFERROR($C52*$D52*SUMIFS('Dvd Calendar'!$E$80:$CZ$80,'Dvd Calendar'!$E$79:$CZ$79,"&gt;"&amp;N$12,'Dvd Calendar'!$E$79:$CZ$79,"&lt;="&amp;N$13)/AS51!$B$3,"")))</f>
        <v/>
      </c>
      <c r="O52" s="113">
        <f>IF(O$13="","",IF($B52="","",IFERROR($C52*$D52*SUMIFS('Dvd Calendar'!$E$80:$CZ$80,'Dvd Calendar'!$E$79:$CZ$79,"&gt;"&amp;O$12,'Dvd Calendar'!$E$79:$CZ$79,"&lt;="&amp;O$13)/AS51!$B$3,"")))</f>
        <v/>
      </c>
      <c r="P52" s="113">
        <f>IF(P$13="","",IF($B52="","",IFERROR($C52*$D52*SUMIFS('Dvd Calendar'!$E$80:$CZ$80,'Dvd Calendar'!$E$79:$CZ$79,"&gt;"&amp;P$12,'Dvd Calendar'!$E$79:$CZ$79,"&lt;="&amp;P$13)/AS51!$B$3,"")))</f>
        <v/>
      </c>
      <c r="Q52" s="113">
        <f>IF(Q$13="","",IF($B52="","",IFERROR($C52*$D52*SUMIFS('Dvd Calendar'!$E$80:$CZ$80,'Dvd Calendar'!$E$79:$CZ$79,"&gt;"&amp;Q$12,'Dvd Calendar'!$E$79:$CZ$79,"&lt;="&amp;Q$13)/AS51!$B$3,"")))</f>
        <v/>
      </c>
      <c r="R52" s="113">
        <f>IF(R$13="","",IF($B52="","",IFERROR($C52*$D52*SUMIFS('Dvd Calendar'!$E$80:$CZ$80,'Dvd Calendar'!$E$79:$CZ$79,"&gt;"&amp;R$12,'Dvd Calendar'!$E$79:$CZ$79,"&lt;="&amp;R$13)/AS51!$B$3,"")))</f>
        <v/>
      </c>
      <c r="S52" s="113">
        <f>IF(S$13="","",IF($B52="","",IFERROR($C52*$D52*SUMIFS('Dvd Calendar'!$E$80:$CZ$80,'Dvd Calendar'!$E$79:$CZ$79,"&gt;"&amp;S$12,'Dvd Calendar'!$E$79:$CZ$79,"&lt;="&amp;S$13)/AS51!$B$3,"")))</f>
        <v/>
      </c>
      <c r="T52" s="113">
        <f>IF(T$13="","",IF($B52="","",IFERROR($C52*$D52*SUMIFS('Dvd Calendar'!$E$80:$CZ$80,'Dvd Calendar'!$E$79:$CZ$79,"&gt;"&amp;T$12,'Dvd Calendar'!$E$79:$CZ$79,"&lt;="&amp;T$13)/AS51!$B$3,"")))</f>
        <v/>
      </c>
      <c r="U52" s="113">
        <f>IF(U$13="","",IF($B52="","",IFERROR($C52*$D52*SUMIFS('Dvd Calendar'!$E$80:$CZ$80,'Dvd Calendar'!$E$79:$CZ$79,"&gt;"&amp;U$12,'Dvd Calendar'!$E$79:$CZ$79,"&lt;="&amp;U$13)/AS51!$B$3,"")))</f>
        <v/>
      </c>
      <c r="W52" s="113">
        <f>IF(W$13="","",IF($B52="","",IFERROR(F52*$E52/100,"")))</f>
        <v/>
      </c>
      <c r="X52" s="113">
        <f>IF(X$13="","",IF($B52="","",IFERROR(G52*$E52/100,"")))</f>
        <v/>
      </c>
      <c r="Y52" s="113">
        <f>IF(Y$13="","",IF($B52="","",IFERROR(H52*$E52/100,"")))</f>
        <v/>
      </c>
      <c r="Z52" s="113">
        <f>IF(Z$13="","",IF($B52="","",IFERROR(I52*$E52/100,"")))</f>
        <v/>
      </c>
      <c r="AA52" s="113">
        <f>IF(AA$13="","",IF($B52="","",IFERROR(J52*$E52/100,"")))</f>
        <v/>
      </c>
      <c r="AB52" s="113">
        <f>IF(AB$13="","",IF($B52="","",IFERROR(K52*$E52/100,"")))</f>
        <v/>
      </c>
      <c r="AC52" s="113">
        <f>IF(AC$13="","",IF($B52="","",IFERROR(L52*$E52/100,"")))</f>
        <v/>
      </c>
      <c r="AD52" s="113">
        <f>IF(AD$13="","",IF($B52="","",IFERROR(M52*$E52/100,"")))</f>
        <v/>
      </c>
      <c r="AE52" s="113">
        <f>IF(AE$13="","",IF($B52="","",IFERROR(N52*$E52/100,"")))</f>
        <v/>
      </c>
      <c r="AF52" s="113">
        <f>IF(AF$13="","",IF($B52="","",IFERROR(O52*$E52/100,"")))</f>
        <v/>
      </c>
      <c r="AG52" s="113">
        <f>IF(AG$13="","",IF($B52="","",IFERROR(P52*$E52/100,"")))</f>
        <v/>
      </c>
      <c r="AH52" s="113">
        <f>IF(AH$13="","",IF($B52="","",IFERROR(Q52*$E52/100,"")))</f>
        <v/>
      </c>
      <c r="AI52" s="113">
        <f>IF(AI$13="","",IF($B52="","",IFERROR(R52*$E52/100,"")))</f>
        <v/>
      </c>
      <c r="AJ52" s="113">
        <f>IF(AJ$13="","",IF($B52="","",IFERROR(S52*$E52/100,"")))</f>
        <v/>
      </c>
      <c r="AK52" s="113">
        <f>IF(AK$13="","",IF($B52="","",IFERROR(T52*$E52/100,"")))</f>
        <v/>
      </c>
      <c r="AL52" s="113">
        <f>IF(AL$13="","",IF($B52="","",IFERROR(U52*$E52/100,"")))</f>
        <v/>
      </c>
    </row>
    <row r="53">
      <c r="B53" s="5">
        <f>IF(AS51!$C$43="","",AS51!$C$43)</f>
        <v/>
      </c>
      <c r="C53" s="86">
        <f>IF(AS51!$B$43="","",AS51!$B$43)</f>
        <v/>
      </c>
      <c r="D53" s="111">
        <f>IFERROR(AS51!$Q$43,1)</f>
        <v/>
      </c>
      <c r="E53" s="112">
        <f>IF($B53="","",IF(ISNUMBER(AS51!$I$43),AS51!$I$43,'Index Summary'!$C$7))</f>
        <v/>
      </c>
      <c r="F53" s="113">
        <f>IF(F$13="","",IF($B53="","",IFERROR($C53*$D53*SUMIFS('Dvd Calendar'!$E$82:$CZ$82,'Dvd Calendar'!$E$81:$CZ$81,"&gt;"&amp;F$12,'Dvd Calendar'!$E$81:$CZ$81,"&lt;="&amp;F$13)/AS51!$B$3,"")))</f>
        <v/>
      </c>
      <c r="G53" s="113">
        <f>IF(G$13="","",IF($B53="","",IFERROR($C53*$D53*SUMIFS('Dvd Calendar'!$E$82:$CZ$82,'Dvd Calendar'!$E$81:$CZ$81,"&gt;"&amp;G$12,'Dvd Calendar'!$E$81:$CZ$81,"&lt;="&amp;G$13)/AS51!$B$3,"")))</f>
        <v/>
      </c>
      <c r="H53" s="113">
        <f>IF(H$13="","",IF($B53="","",IFERROR($C53*$D53*SUMIFS('Dvd Calendar'!$E$82:$CZ$82,'Dvd Calendar'!$E$81:$CZ$81,"&gt;"&amp;H$12,'Dvd Calendar'!$E$81:$CZ$81,"&lt;="&amp;H$13)/AS51!$B$3,"")))</f>
        <v/>
      </c>
      <c r="I53" s="113">
        <f>IF(I$13="","",IF($B53="","",IFERROR($C53*$D53*SUMIFS('Dvd Calendar'!$E$82:$CZ$82,'Dvd Calendar'!$E$81:$CZ$81,"&gt;"&amp;I$12,'Dvd Calendar'!$E$81:$CZ$81,"&lt;="&amp;I$13)/AS51!$B$3,"")))</f>
        <v/>
      </c>
      <c r="J53" s="113">
        <f>IF(J$13="","",IF($B53="","",IFERROR($C53*$D53*SUMIFS('Dvd Calendar'!$E$82:$CZ$82,'Dvd Calendar'!$E$81:$CZ$81,"&gt;"&amp;J$12,'Dvd Calendar'!$E$81:$CZ$81,"&lt;="&amp;J$13)/AS51!$B$3,"")))</f>
        <v/>
      </c>
      <c r="K53" s="113">
        <f>IF(K$13="","",IF($B53="","",IFERROR($C53*$D53*SUMIFS('Dvd Calendar'!$E$82:$CZ$82,'Dvd Calendar'!$E$81:$CZ$81,"&gt;"&amp;K$12,'Dvd Calendar'!$E$81:$CZ$81,"&lt;="&amp;K$13)/AS51!$B$3,"")))</f>
        <v/>
      </c>
      <c r="L53" s="113">
        <f>IF(L$13="","",IF($B53="","",IFERROR($C53*$D53*SUMIFS('Dvd Calendar'!$E$82:$CZ$82,'Dvd Calendar'!$E$81:$CZ$81,"&gt;"&amp;L$12,'Dvd Calendar'!$E$81:$CZ$81,"&lt;="&amp;L$13)/AS51!$B$3,"")))</f>
        <v/>
      </c>
      <c r="M53" s="113">
        <f>IF(M$13="","",IF($B53="","",IFERROR($C53*$D53*SUMIFS('Dvd Calendar'!$E$82:$CZ$82,'Dvd Calendar'!$E$81:$CZ$81,"&gt;"&amp;M$12,'Dvd Calendar'!$E$81:$CZ$81,"&lt;="&amp;M$13)/AS51!$B$3,"")))</f>
        <v/>
      </c>
      <c r="N53" s="113">
        <f>IF(N$13="","",IF($B53="","",IFERROR($C53*$D53*SUMIFS('Dvd Calendar'!$E$82:$CZ$82,'Dvd Calendar'!$E$81:$CZ$81,"&gt;"&amp;N$12,'Dvd Calendar'!$E$81:$CZ$81,"&lt;="&amp;N$13)/AS51!$B$3,"")))</f>
        <v/>
      </c>
      <c r="O53" s="113">
        <f>IF(O$13="","",IF($B53="","",IFERROR($C53*$D53*SUMIFS('Dvd Calendar'!$E$82:$CZ$82,'Dvd Calendar'!$E$81:$CZ$81,"&gt;"&amp;O$12,'Dvd Calendar'!$E$81:$CZ$81,"&lt;="&amp;O$13)/AS51!$B$3,"")))</f>
        <v/>
      </c>
      <c r="P53" s="113">
        <f>IF(P$13="","",IF($B53="","",IFERROR($C53*$D53*SUMIFS('Dvd Calendar'!$E$82:$CZ$82,'Dvd Calendar'!$E$81:$CZ$81,"&gt;"&amp;P$12,'Dvd Calendar'!$E$81:$CZ$81,"&lt;="&amp;P$13)/AS51!$B$3,"")))</f>
        <v/>
      </c>
      <c r="Q53" s="113">
        <f>IF(Q$13="","",IF($B53="","",IFERROR($C53*$D53*SUMIFS('Dvd Calendar'!$E$82:$CZ$82,'Dvd Calendar'!$E$81:$CZ$81,"&gt;"&amp;Q$12,'Dvd Calendar'!$E$81:$CZ$81,"&lt;="&amp;Q$13)/AS51!$B$3,"")))</f>
        <v/>
      </c>
      <c r="R53" s="113">
        <f>IF(R$13="","",IF($B53="","",IFERROR($C53*$D53*SUMIFS('Dvd Calendar'!$E$82:$CZ$82,'Dvd Calendar'!$E$81:$CZ$81,"&gt;"&amp;R$12,'Dvd Calendar'!$E$81:$CZ$81,"&lt;="&amp;R$13)/AS51!$B$3,"")))</f>
        <v/>
      </c>
      <c r="S53" s="113">
        <f>IF(S$13="","",IF($B53="","",IFERROR($C53*$D53*SUMIFS('Dvd Calendar'!$E$82:$CZ$82,'Dvd Calendar'!$E$81:$CZ$81,"&gt;"&amp;S$12,'Dvd Calendar'!$E$81:$CZ$81,"&lt;="&amp;S$13)/AS51!$B$3,"")))</f>
        <v/>
      </c>
      <c r="T53" s="113">
        <f>IF(T$13="","",IF($B53="","",IFERROR($C53*$D53*SUMIFS('Dvd Calendar'!$E$82:$CZ$82,'Dvd Calendar'!$E$81:$CZ$81,"&gt;"&amp;T$12,'Dvd Calendar'!$E$81:$CZ$81,"&lt;="&amp;T$13)/AS51!$B$3,"")))</f>
        <v/>
      </c>
      <c r="U53" s="113">
        <f>IF(U$13="","",IF($B53="","",IFERROR($C53*$D53*SUMIFS('Dvd Calendar'!$E$82:$CZ$82,'Dvd Calendar'!$E$81:$CZ$81,"&gt;"&amp;U$12,'Dvd Calendar'!$E$81:$CZ$81,"&lt;="&amp;U$13)/AS51!$B$3,"")))</f>
        <v/>
      </c>
      <c r="W53" s="113">
        <f>IF(W$13="","",IF($B53="","",IFERROR(F53*$E53/100,"")))</f>
        <v/>
      </c>
      <c r="X53" s="113">
        <f>IF(X$13="","",IF($B53="","",IFERROR(G53*$E53/100,"")))</f>
        <v/>
      </c>
      <c r="Y53" s="113">
        <f>IF(Y$13="","",IF($B53="","",IFERROR(H53*$E53/100,"")))</f>
        <v/>
      </c>
      <c r="Z53" s="113">
        <f>IF(Z$13="","",IF($B53="","",IFERROR(I53*$E53/100,"")))</f>
        <v/>
      </c>
      <c r="AA53" s="113">
        <f>IF(AA$13="","",IF($B53="","",IFERROR(J53*$E53/100,"")))</f>
        <v/>
      </c>
      <c r="AB53" s="113">
        <f>IF(AB$13="","",IF($B53="","",IFERROR(K53*$E53/100,"")))</f>
        <v/>
      </c>
      <c r="AC53" s="113">
        <f>IF(AC$13="","",IF($B53="","",IFERROR(L53*$E53/100,"")))</f>
        <v/>
      </c>
      <c r="AD53" s="113">
        <f>IF(AD$13="","",IF($B53="","",IFERROR(M53*$E53/100,"")))</f>
        <v/>
      </c>
      <c r="AE53" s="113">
        <f>IF(AE$13="","",IF($B53="","",IFERROR(N53*$E53/100,"")))</f>
        <v/>
      </c>
      <c r="AF53" s="113">
        <f>IF(AF$13="","",IF($B53="","",IFERROR(O53*$E53/100,"")))</f>
        <v/>
      </c>
      <c r="AG53" s="113">
        <f>IF(AG$13="","",IF($B53="","",IFERROR(P53*$E53/100,"")))</f>
        <v/>
      </c>
      <c r="AH53" s="113">
        <f>IF(AH$13="","",IF($B53="","",IFERROR(Q53*$E53/100,"")))</f>
        <v/>
      </c>
      <c r="AI53" s="113">
        <f>IF(AI$13="","",IF($B53="","",IFERROR(R53*$E53/100,"")))</f>
        <v/>
      </c>
      <c r="AJ53" s="113">
        <f>IF(AJ$13="","",IF($B53="","",IFERROR(S53*$E53/100,"")))</f>
        <v/>
      </c>
      <c r="AK53" s="113">
        <f>IF(AK$13="","",IF($B53="","",IFERROR(T53*$E53/100,"")))</f>
        <v/>
      </c>
      <c r="AL53" s="113">
        <f>IF(AL$13="","",IF($B53="","",IFERROR(U53*$E53/100,"")))</f>
        <v/>
      </c>
    </row>
    <row r="54">
      <c r="B54" s="5">
        <f>IF(AS51!$C$44="","",AS51!$C$44)</f>
        <v/>
      </c>
      <c r="C54" s="86">
        <f>IF(AS51!$B$44="","",AS51!$B$44)</f>
        <v/>
      </c>
      <c r="D54" s="111">
        <f>IFERROR(AS51!$Q$44,1)</f>
        <v/>
      </c>
      <c r="E54" s="112">
        <f>IF($B54="","",IF(ISNUMBER(AS51!$I$44),AS51!$I$44,'Index Summary'!$C$7))</f>
        <v/>
      </c>
      <c r="F54" s="113">
        <f>IF(F$13="","",IF($B54="","",IFERROR($C54*$D54*SUMIFS('Dvd Calendar'!$E$84:$CZ$84,'Dvd Calendar'!$E$83:$CZ$83,"&gt;"&amp;F$12,'Dvd Calendar'!$E$83:$CZ$83,"&lt;="&amp;F$13)/AS51!$B$3,"")))</f>
        <v/>
      </c>
      <c r="G54" s="113">
        <f>IF(G$13="","",IF($B54="","",IFERROR($C54*$D54*SUMIFS('Dvd Calendar'!$E$84:$CZ$84,'Dvd Calendar'!$E$83:$CZ$83,"&gt;"&amp;G$12,'Dvd Calendar'!$E$83:$CZ$83,"&lt;="&amp;G$13)/AS51!$B$3,"")))</f>
        <v/>
      </c>
      <c r="H54" s="113">
        <f>IF(H$13="","",IF($B54="","",IFERROR($C54*$D54*SUMIFS('Dvd Calendar'!$E$84:$CZ$84,'Dvd Calendar'!$E$83:$CZ$83,"&gt;"&amp;H$12,'Dvd Calendar'!$E$83:$CZ$83,"&lt;="&amp;H$13)/AS51!$B$3,"")))</f>
        <v/>
      </c>
      <c r="I54" s="113">
        <f>IF(I$13="","",IF($B54="","",IFERROR($C54*$D54*SUMIFS('Dvd Calendar'!$E$84:$CZ$84,'Dvd Calendar'!$E$83:$CZ$83,"&gt;"&amp;I$12,'Dvd Calendar'!$E$83:$CZ$83,"&lt;="&amp;I$13)/AS51!$B$3,"")))</f>
        <v/>
      </c>
      <c r="J54" s="113">
        <f>IF(J$13="","",IF($B54="","",IFERROR($C54*$D54*SUMIFS('Dvd Calendar'!$E$84:$CZ$84,'Dvd Calendar'!$E$83:$CZ$83,"&gt;"&amp;J$12,'Dvd Calendar'!$E$83:$CZ$83,"&lt;="&amp;J$13)/AS51!$B$3,"")))</f>
        <v/>
      </c>
      <c r="K54" s="113">
        <f>IF(K$13="","",IF($B54="","",IFERROR($C54*$D54*SUMIFS('Dvd Calendar'!$E$84:$CZ$84,'Dvd Calendar'!$E$83:$CZ$83,"&gt;"&amp;K$12,'Dvd Calendar'!$E$83:$CZ$83,"&lt;="&amp;K$13)/AS51!$B$3,"")))</f>
        <v/>
      </c>
      <c r="L54" s="113">
        <f>IF(L$13="","",IF($B54="","",IFERROR($C54*$D54*SUMIFS('Dvd Calendar'!$E$84:$CZ$84,'Dvd Calendar'!$E$83:$CZ$83,"&gt;"&amp;L$12,'Dvd Calendar'!$E$83:$CZ$83,"&lt;="&amp;L$13)/AS51!$B$3,"")))</f>
        <v/>
      </c>
      <c r="M54" s="113">
        <f>IF(M$13="","",IF($B54="","",IFERROR($C54*$D54*SUMIFS('Dvd Calendar'!$E$84:$CZ$84,'Dvd Calendar'!$E$83:$CZ$83,"&gt;"&amp;M$12,'Dvd Calendar'!$E$83:$CZ$83,"&lt;="&amp;M$13)/AS51!$B$3,"")))</f>
        <v/>
      </c>
      <c r="N54" s="113">
        <f>IF(N$13="","",IF($B54="","",IFERROR($C54*$D54*SUMIFS('Dvd Calendar'!$E$84:$CZ$84,'Dvd Calendar'!$E$83:$CZ$83,"&gt;"&amp;N$12,'Dvd Calendar'!$E$83:$CZ$83,"&lt;="&amp;N$13)/AS51!$B$3,"")))</f>
        <v/>
      </c>
      <c r="O54" s="113">
        <f>IF(O$13="","",IF($B54="","",IFERROR($C54*$D54*SUMIFS('Dvd Calendar'!$E$84:$CZ$84,'Dvd Calendar'!$E$83:$CZ$83,"&gt;"&amp;O$12,'Dvd Calendar'!$E$83:$CZ$83,"&lt;="&amp;O$13)/AS51!$B$3,"")))</f>
        <v/>
      </c>
      <c r="P54" s="113">
        <f>IF(P$13="","",IF($B54="","",IFERROR($C54*$D54*SUMIFS('Dvd Calendar'!$E$84:$CZ$84,'Dvd Calendar'!$E$83:$CZ$83,"&gt;"&amp;P$12,'Dvd Calendar'!$E$83:$CZ$83,"&lt;="&amp;P$13)/AS51!$B$3,"")))</f>
        <v/>
      </c>
      <c r="Q54" s="113">
        <f>IF(Q$13="","",IF($B54="","",IFERROR($C54*$D54*SUMIFS('Dvd Calendar'!$E$84:$CZ$84,'Dvd Calendar'!$E$83:$CZ$83,"&gt;"&amp;Q$12,'Dvd Calendar'!$E$83:$CZ$83,"&lt;="&amp;Q$13)/AS51!$B$3,"")))</f>
        <v/>
      </c>
      <c r="R54" s="113">
        <f>IF(R$13="","",IF($B54="","",IFERROR($C54*$D54*SUMIFS('Dvd Calendar'!$E$84:$CZ$84,'Dvd Calendar'!$E$83:$CZ$83,"&gt;"&amp;R$12,'Dvd Calendar'!$E$83:$CZ$83,"&lt;="&amp;R$13)/AS51!$B$3,"")))</f>
        <v/>
      </c>
      <c r="S54" s="113">
        <f>IF(S$13="","",IF($B54="","",IFERROR($C54*$D54*SUMIFS('Dvd Calendar'!$E$84:$CZ$84,'Dvd Calendar'!$E$83:$CZ$83,"&gt;"&amp;S$12,'Dvd Calendar'!$E$83:$CZ$83,"&lt;="&amp;S$13)/AS51!$B$3,"")))</f>
        <v/>
      </c>
      <c r="T54" s="113">
        <f>IF(T$13="","",IF($B54="","",IFERROR($C54*$D54*SUMIFS('Dvd Calendar'!$E$84:$CZ$84,'Dvd Calendar'!$E$83:$CZ$83,"&gt;"&amp;T$12,'Dvd Calendar'!$E$83:$CZ$83,"&lt;="&amp;T$13)/AS51!$B$3,"")))</f>
        <v/>
      </c>
      <c r="U54" s="113">
        <f>IF(U$13="","",IF($B54="","",IFERROR($C54*$D54*SUMIFS('Dvd Calendar'!$E$84:$CZ$84,'Dvd Calendar'!$E$83:$CZ$83,"&gt;"&amp;U$12,'Dvd Calendar'!$E$83:$CZ$83,"&lt;="&amp;U$13)/AS51!$B$3,"")))</f>
        <v/>
      </c>
      <c r="W54" s="113">
        <f>IF(W$13="","",IF($B54="","",IFERROR(F54*$E54/100,"")))</f>
        <v/>
      </c>
      <c r="X54" s="113">
        <f>IF(X$13="","",IF($B54="","",IFERROR(G54*$E54/100,"")))</f>
        <v/>
      </c>
      <c r="Y54" s="113">
        <f>IF(Y$13="","",IF($B54="","",IFERROR(H54*$E54/100,"")))</f>
        <v/>
      </c>
      <c r="Z54" s="113">
        <f>IF(Z$13="","",IF($B54="","",IFERROR(I54*$E54/100,"")))</f>
        <v/>
      </c>
      <c r="AA54" s="113">
        <f>IF(AA$13="","",IF($B54="","",IFERROR(J54*$E54/100,"")))</f>
        <v/>
      </c>
      <c r="AB54" s="113">
        <f>IF(AB$13="","",IF($B54="","",IFERROR(K54*$E54/100,"")))</f>
        <v/>
      </c>
      <c r="AC54" s="113">
        <f>IF(AC$13="","",IF($B54="","",IFERROR(L54*$E54/100,"")))</f>
        <v/>
      </c>
      <c r="AD54" s="113">
        <f>IF(AD$13="","",IF($B54="","",IFERROR(M54*$E54/100,"")))</f>
        <v/>
      </c>
      <c r="AE54" s="113">
        <f>IF(AE$13="","",IF($B54="","",IFERROR(N54*$E54/100,"")))</f>
        <v/>
      </c>
      <c r="AF54" s="113">
        <f>IF(AF$13="","",IF($B54="","",IFERROR(O54*$E54/100,"")))</f>
        <v/>
      </c>
      <c r="AG54" s="113">
        <f>IF(AG$13="","",IF($B54="","",IFERROR(P54*$E54/100,"")))</f>
        <v/>
      </c>
      <c r="AH54" s="113">
        <f>IF(AH$13="","",IF($B54="","",IFERROR(Q54*$E54/100,"")))</f>
        <v/>
      </c>
      <c r="AI54" s="113">
        <f>IF(AI$13="","",IF($B54="","",IFERROR(R54*$E54/100,"")))</f>
        <v/>
      </c>
      <c r="AJ54" s="113">
        <f>IF(AJ$13="","",IF($B54="","",IFERROR(S54*$E54/100,"")))</f>
        <v/>
      </c>
      <c r="AK54" s="113">
        <f>IF(AK$13="","",IF($B54="","",IFERROR(T54*$E54/100,"")))</f>
        <v/>
      </c>
      <c r="AL54" s="113">
        <f>IF(AL$13="","",IF($B54="","",IFERROR(U54*$E54/100,"")))</f>
        <v/>
      </c>
    </row>
    <row r="55">
      <c r="B55" s="5">
        <f>IF(AS51!$C$45="","",AS51!$C$45)</f>
        <v/>
      </c>
      <c r="C55" s="86">
        <f>IF(AS51!$B$45="","",AS51!$B$45)</f>
        <v/>
      </c>
      <c r="D55" s="111">
        <f>IFERROR(AS51!$Q$45,1)</f>
        <v/>
      </c>
      <c r="E55" s="112">
        <f>IF($B55="","",IF(ISNUMBER(AS51!$I$45),AS51!$I$45,'Index Summary'!$C$7))</f>
        <v/>
      </c>
      <c r="F55" s="113">
        <f>IF(F$13="","",IF($B55="","",IFERROR($C55*$D55*SUMIFS('Dvd Calendar'!$E$86:$CZ$86,'Dvd Calendar'!$E$85:$CZ$85,"&gt;"&amp;F$12,'Dvd Calendar'!$E$85:$CZ$85,"&lt;="&amp;F$13)/AS51!$B$3,"")))</f>
        <v/>
      </c>
      <c r="G55" s="113">
        <f>IF(G$13="","",IF($B55="","",IFERROR($C55*$D55*SUMIFS('Dvd Calendar'!$E$86:$CZ$86,'Dvd Calendar'!$E$85:$CZ$85,"&gt;"&amp;G$12,'Dvd Calendar'!$E$85:$CZ$85,"&lt;="&amp;G$13)/AS51!$B$3,"")))</f>
        <v/>
      </c>
      <c r="H55" s="113">
        <f>IF(H$13="","",IF($B55="","",IFERROR($C55*$D55*SUMIFS('Dvd Calendar'!$E$86:$CZ$86,'Dvd Calendar'!$E$85:$CZ$85,"&gt;"&amp;H$12,'Dvd Calendar'!$E$85:$CZ$85,"&lt;="&amp;H$13)/AS51!$B$3,"")))</f>
        <v/>
      </c>
      <c r="I55" s="113">
        <f>IF(I$13="","",IF($B55="","",IFERROR($C55*$D55*SUMIFS('Dvd Calendar'!$E$86:$CZ$86,'Dvd Calendar'!$E$85:$CZ$85,"&gt;"&amp;I$12,'Dvd Calendar'!$E$85:$CZ$85,"&lt;="&amp;I$13)/AS51!$B$3,"")))</f>
        <v/>
      </c>
      <c r="J55" s="113">
        <f>IF(J$13="","",IF($B55="","",IFERROR($C55*$D55*SUMIFS('Dvd Calendar'!$E$86:$CZ$86,'Dvd Calendar'!$E$85:$CZ$85,"&gt;"&amp;J$12,'Dvd Calendar'!$E$85:$CZ$85,"&lt;="&amp;J$13)/AS51!$B$3,"")))</f>
        <v/>
      </c>
      <c r="K55" s="113">
        <f>IF(K$13="","",IF($B55="","",IFERROR($C55*$D55*SUMIFS('Dvd Calendar'!$E$86:$CZ$86,'Dvd Calendar'!$E$85:$CZ$85,"&gt;"&amp;K$12,'Dvd Calendar'!$E$85:$CZ$85,"&lt;="&amp;K$13)/AS51!$B$3,"")))</f>
        <v/>
      </c>
      <c r="L55" s="113">
        <f>IF(L$13="","",IF($B55="","",IFERROR($C55*$D55*SUMIFS('Dvd Calendar'!$E$86:$CZ$86,'Dvd Calendar'!$E$85:$CZ$85,"&gt;"&amp;L$12,'Dvd Calendar'!$E$85:$CZ$85,"&lt;="&amp;L$13)/AS51!$B$3,"")))</f>
        <v/>
      </c>
      <c r="M55" s="113">
        <f>IF(M$13="","",IF($B55="","",IFERROR($C55*$D55*SUMIFS('Dvd Calendar'!$E$86:$CZ$86,'Dvd Calendar'!$E$85:$CZ$85,"&gt;"&amp;M$12,'Dvd Calendar'!$E$85:$CZ$85,"&lt;="&amp;M$13)/AS51!$B$3,"")))</f>
        <v/>
      </c>
      <c r="N55" s="113">
        <f>IF(N$13="","",IF($B55="","",IFERROR($C55*$D55*SUMIFS('Dvd Calendar'!$E$86:$CZ$86,'Dvd Calendar'!$E$85:$CZ$85,"&gt;"&amp;N$12,'Dvd Calendar'!$E$85:$CZ$85,"&lt;="&amp;N$13)/AS51!$B$3,"")))</f>
        <v/>
      </c>
      <c r="O55" s="113">
        <f>IF(O$13="","",IF($B55="","",IFERROR($C55*$D55*SUMIFS('Dvd Calendar'!$E$86:$CZ$86,'Dvd Calendar'!$E$85:$CZ$85,"&gt;"&amp;O$12,'Dvd Calendar'!$E$85:$CZ$85,"&lt;="&amp;O$13)/AS51!$B$3,"")))</f>
        <v/>
      </c>
      <c r="P55" s="113">
        <f>IF(P$13="","",IF($B55="","",IFERROR($C55*$D55*SUMIFS('Dvd Calendar'!$E$86:$CZ$86,'Dvd Calendar'!$E$85:$CZ$85,"&gt;"&amp;P$12,'Dvd Calendar'!$E$85:$CZ$85,"&lt;="&amp;P$13)/AS51!$B$3,"")))</f>
        <v/>
      </c>
      <c r="Q55" s="113">
        <f>IF(Q$13="","",IF($B55="","",IFERROR($C55*$D55*SUMIFS('Dvd Calendar'!$E$86:$CZ$86,'Dvd Calendar'!$E$85:$CZ$85,"&gt;"&amp;Q$12,'Dvd Calendar'!$E$85:$CZ$85,"&lt;="&amp;Q$13)/AS51!$B$3,"")))</f>
        <v/>
      </c>
      <c r="R55" s="113">
        <f>IF(R$13="","",IF($B55="","",IFERROR($C55*$D55*SUMIFS('Dvd Calendar'!$E$86:$CZ$86,'Dvd Calendar'!$E$85:$CZ$85,"&gt;"&amp;R$12,'Dvd Calendar'!$E$85:$CZ$85,"&lt;="&amp;R$13)/AS51!$B$3,"")))</f>
        <v/>
      </c>
      <c r="S55" s="113">
        <f>IF(S$13="","",IF($B55="","",IFERROR($C55*$D55*SUMIFS('Dvd Calendar'!$E$86:$CZ$86,'Dvd Calendar'!$E$85:$CZ$85,"&gt;"&amp;S$12,'Dvd Calendar'!$E$85:$CZ$85,"&lt;="&amp;S$13)/AS51!$B$3,"")))</f>
        <v/>
      </c>
      <c r="T55" s="113">
        <f>IF(T$13="","",IF($B55="","",IFERROR($C55*$D55*SUMIFS('Dvd Calendar'!$E$86:$CZ$86,'Dvd Calendar'!$E$85:$CZ$85,"&gt;"&amp;T$12,'Dvd Calendar'!$E$85:$CZ$85,"&lt;="&amp;T$13)/AS51!$B$3,"")))</f>
        <v/>
      </c>
      <c r="U55" s="113">
        <f>IF(U$13="","",IF($B55="","",IFERROR($C55*$D55*SUMIFS('Dvd Calendar'!$E$86:$CZ$86,'Dvd Calendar'!$E$85:$CZ$85,"&gt;"&amp;U$12,'Dvd Calendar'!$E$85:$CZ$85,"&lt;="&amp;U$13)/AS51!$B$3,"")))</f>
        <v/>
      </c>
      <c r="W55" s="113">
        <f>IF(W$13="","",IF($B55="","",IFERROR(F55*$E55/100,"")))</f>
        <v/>
      </c>
      <c r="X55" s="113">
        <f>IF(X$13="","",IF($B55="","",IFERROR(G55*$E55/100,"")))</f>
        <v/>
      </c>
      <c r="Y55" s="113">
        <f>IF(Y$13="","",IF($B55="","",IFERROR(H55*$E55/100,"")))</f>
        <v/>
      </c>
      <c r="Z55" s="113">
        <f>IF(Z$13="","",IF($B55="","",IFERROR(I55*$E55/100,"")))</f>
        <v/>
      </c>
      <c r="AA55" s="113">
        <f>IF(AA$13="","",IF($B55="","",IFERROR(J55*$E55/100,"")))</f>
        <v/>
      </c>
      <c r="AB55" s="113">
        <f>IF(AB$13="","",IF($B55="","",IFERROR(K55*$E55/100,"")))</f>
        <v/>
      </c>
      <c r="AC55" s="113">
        <f>IF(AC$13="","",IF($B55="","",IFERROR(L55*$E55/100,"")))</f>
        <v/>
      </c>
      <c r="AD55" s="113">
        <f>IF(AD$13="","",IF($B55="","",IFERROR(M55*$E55/100,"")))</f>
        <v/>
      </c>
      <c r="AE55" s="113">
        <f>IF(AE$13="","",IF($B55="","",IFERROR(N55*$E55/100,"")))</f>
        <v/>
      </c>
      <c r="AF55" s="113">
        <f>IF(AF$13="","",IF($B55="","",IFERROR(O55*$E55/100,"")))</f>
        <v/>
      </c>
      <c r="AG55" s="113">
        <f>IF(AG$13="","",IF($B55="","",IFERROR(P55*$E55/100,"")))</f>
        <v/>
      </c>
      <c r="AH55" s="113">
        <f>IF(AH$13="","",IF($B55="","",IFERROR(Q55*$E55/100,"")))</f>
        <v/>
      </c>
      <c r="AI55" s="113">
        <f>IF(AI$13="","",IF($B55="","",IFERROR(R55*$E55/100,"")))</f>
        <v/>
      </c>
      <c r="AJ55" s="113">
        <f>IF(AJ$13="","",IF($B55="","",IFERROR(S55*$E55/100,"")))</f>
        <v/>
      </c>
      <c r="AK55" s="113">
        <f>IF(AK$13="","",IF($B55="","",IFERROR(T55*$E55/100,"")))</f>
        <v/>
      </c>
      <c r="AL55" s="113">
        <f>IF(AL$13="","",IF($B55="","",IFERROR(U55*$E55/100,"")))</f>
        <v/>
      </c>
    </row>
    <row r="56">
      <c r="B56" s="5">
        <f>IF(AS51!$C$46="","",AS51!$C$46)</f>
        <v/>
      </c>
      <c r="C56" s="86">
        <f>IF(AS51!$B$46="","",AS51!$B$46)</f>
        <v/>
      </c>
      <c r="D56" s="111">
        <f>IFERROR(AS51!$Q$46,1)</f>
        <v/>
      </c>
      <c r="E56" s="112">
        <f>IF($B56="","",IF(ISNUMBER(AS51!$I$46),AS51!$I$46,'Index Summary'!$C$7))</f>
        <v/>
      </c>
      <c r="F56" s="113">
        <f>IF(F$13="","",IF($B56="","",IFERROR($C56*$D56*SUMIFS('Dvd Calendar'!$E$88:$CZ$88,'Dvd Calendar'!$E$87:$CZ$87,"&gt;"&amp;F$12,'Dvd Calendar'!$E$87:$CZ$87,"&lt;="&amp;F$13)/AS51!$B$3,"")))</f>
        <v/>
      </c>
      <c r="G56" s="113">
        <f>IF(G$13="","",IF($B56="","",IFERROR($C56*$D56*SUMIFS('Dvd Calendar'!$E$88:$CZ$88,'Dvd Calendar'!$E$87:$CZ$87,"&gt;"&amp;G$12,'Dvd Calendar'!$E$87:$CZ$87,"&lt;="&amp;G$13)/AS51!$B$3,"")))</f>
        <v/>
      </c>
      <c r="H56" s="113">
        <f>IF(H$13="","",IF($B56="","",IFERROR($C56*$D56*SUMIFS('Dvd Calendar'!$E$88:$CZ$88,'Dvd Calendar'!$E$87:$CZ$87,"&gt;"&amp;H$12,'Dvd Calendar'!$E$87:$CZ$87,"&lt;="&amp;H$13)/AS51!$B$3,"")))</f>
        <v/>
      </c>
      <c r="I56" s="113">
        <f>IF(I$13="","",IF($B56="","",IFERROR($C56*$D56*SUMIFS('Dvd Calendar'!$E$88:$CZ$88,'Dvd Calendar'!$E$87:$CZ$87,"&gt;"&amp;I$12,'Dvd Calendar'!$E$87:$CZ$87,"&lt;="&amp;I$13)/AS51!$B$3,"")))</f>
        <v/>
      </c>
      <c r="J56" s="113">
        <f>IF(J$13="","",IF($B56="","",IFERROR($C56*$D56*SUMIFS('Dvd Calendar'!$E$88:$CZ$88,'Dvd Calendar'!$E$87:$CZ$87,"&gt;"&amp;J$12,'Dvd Calendar'!$E$87:$CZ$87,"&lt;="&amp;J$13)/AS51!$B$3,"")))</f>
        <v/>
      </c>
      <c r="K56" s="113">
        <f>IF(K$13="","",IF($B56="","",IFERROR($C56*$D56*SUMIFS('Dvd Calendar'!$E$88:$CZ$88,'Dvd Calendar'!$E$87:$CZ$87,"&gt;"&amp;K$12,'Dvd Calendar'!$E$87:$CZ$87,"&lt;="&amp;K$13)/AS51!$B$3,"")))</f>
        <v/>
      </c>
      <c r="L56" s="113">
        <f>IF(L$13="","",IF($B56="","",IFERROR($C56*$D56*SUMIFS('Dvd Calendar'!$E$88:$CZ$88,'Dvd Calendar'!$E$87:$CZ$87,"&gt;"&amp;L$12,'Dvd Calendar'!$E$87:$CZ$87,"&lt;="&amp;L$13)/AS51!$B$3,"")))</f>
        <v/>
      </c>
      <c r="M56" s="113">
        <f>IF(M$13="","",IF($B56="","",IFERROR($C56*$D56*SUMIFS('Dvd Calendar'!$E$88:$CZ$88,'Dvd Calendar'!$E$87:$CZ$87,"&gt;"&amp;M$12,'Dvd Calendar'!$E$87:$CZ$87,"&lt;="&amp;M$13)/AS51!$B$3,"")))</f>
        <v/>
      </c>
      <c r="N56" s="113">
        <f>IF(N$13="","",IF($B56="","",IFERROR($C56*$D56*SUMIFS('Dvd Calendar'!$E$88:$CZ$88,'Dvd Calendar'!$E$87:$CZ$87,"&gt;"&amp;N$12,'Dvd Calendar'!$E$87:$CZ$87,"&lt;="&amp;N$13)/AS51!$B$3,"")))</f>
        <v/>
      </c>
      <c r="O56" s="113">
        <f>IF(O$13="","",IF($B56="","",IFERROR($C56*$D56*SUMIFS('Dvd Calendar'!$E$88:$CZ$88,'Dvd Calendar'!$E$87:$CZ$87,"&gt;"&amp;O$12,'Dvd Calendar'!$E$87:$CZ$87,"&lt;="&amp;O$13)/AS51!$B$3,"")))</f>
        <v/>
      </c>
      <c r="P56" s="113">
        <f>IF(P$13="","",IF($B56="","",IFERROR($C56*$D56*SUMIFS('Dvd Calendar'!$E$88:$CZ$88,'Dvd Calendar'!$E$87:$CZ$87,"&gt;"&amp;P$12,'Dvd Calendar'!$E$87:$CZ$87,"&lt;="&amp;P$13)/AS51!$B$3,"")))</f>
        <v/>
      </c>
      <c r="Q56" s="113">
        <f>IF(Q$13="","",IF($B56="","",IFERROR($C56*$D56*SUMIFS('Dvd Calendar'!$E$88:$CZ$88,'Dvd Calendar'!$E$87:$CZ$87,"&gt;"&amp;Q$12,'Dvd Calendar'!$E$87:$CZ$87,"&lt;="&amp;Q$13)/AS51!$B$3,"")))</f>
        <v/>
      </c>
      <c r="R56" s="113">
        <f>IF(R$13="","",IF($B56="","",IFERROR($C56*$D56*SUMIFS('Dvd Calendar'!$E$88:$CZ$88,'Dvd Calendar'!$E$87:$CZ$87,"&gt;"&amp;R$12,'Dvd Calendar'!$E$87:$CZ$87,"&lt;="&amp;R$13)/AS51!$B$3,"")))</f>
        <v/>
      </c>
      <c r="S56" s="113">
        <f>IF(S$13="","",IF($B56="","",IFERROR($C56*$D56*SUMIFS('Dvd Calendar'!$E$88:$CZ$88,'Dvd Calendar'!$E$87:$CZ$87,"&gt;"&amp;S$12,'Dvd Calendar'!$E$87:$CZ$87,"&lt;="&amp;S$13)/AS51!$B$3,"")))</f>
        <v/>
      </c>
      <c r="T56" s="113">
        <f>IF(T$13="","",IF($B56="","",IFERROR($C56*$D56*SUMIFS('Dvd Calendar'!$E$88:$CZ$88,'Dvd Calendar'!$E$87:$CZ$87,"&gt;"&amp;T$12,'Dvd Calendar'!$E$87:$CZ$87,"&lt;="&amp;T$13)/AS51!$B$3,"")))</f>
        <v/>
      </c>
      <c r="U56" s="113">
        <f>IF(U$13="","",IF($B56="","",IFERROR($C56*$D56*SUMIFS('Dvd Calendar'!$E$88:$CZ$88,'Dvd Calendar'!$E$87:$CZ$87,"&gt;"&amp;U$12,'Dvd Calendar'!$E$87:$CZ$87,"&lt;="&amp;U$13)/AS51!$B$3,"")))</f>
        <v/>
      </c>
      <c r="W56" s="113">
        <f>IF(W$13="","",IF($B56="","",IFERROR(F56*$E56/100,"")))</f>
        <v/>
      </c>
      <c r="X56" s="113">
        <f>IF(X$13="","",IF($B56="","",IFERROR(G56*$E56/100,"")))</f>
        <v/>
      </c>
      <c r="Y56" s="113">
        <f>IF(Y$13="","",IF($B56="","",IFERROR(H56*$E56/100,"")))</f>
        <v/>
      </c>
      <c r="Z56" s="113">
        <f>IF(Z$13="","",IF($B56="","",IFERROR(I56*$E56/100,"")))</f>
        <v/>
      </c>
      <c r="AA56" s="113">
        <f>IF(AA$13="","",IF($B56="","",IFERROR(J56*$E56/100,"")))</f>
        <v/>
      </c>
      <c r="AB56" s="113">
        <f>IF(AB$13="","",IF($B56="","",IFERROR(K56*$E56/100,"")))</f>
        <v/>
      </c>
      <c r="AC56" s="113">
        <f>IF(AC$13="","",IF($B56="","",IFERROR(L56*$E56/100,"")))</f>
        <v/>
      </c>
      <c r="AD56" s="113">
        <f>IF(AD$13="","",IF($B56="","",IFERROR(M56*$E56/100,"")))</f>
        <v/>
      </c>
      <c r="AE56" s="113">
        <f>IF(AE$13="","",IF($B56="","",IFERROR(N56*$E56/100,"")))</f>
        <v/>
      </c>
      <c r="AF56" s="113">
        <f>IF(AF$13="","",IF($B56="","",IFERROR(O56*$E56/100,"")))</f>
        <v/>
      </c>
      <c r="AG56" s="113">
        <f>IF(AG$13="","",IF($B56="","",IFERROR(P56*$E56/100,"")))</f>
        <v/>
      </c>
      <c r="AH56" s="113">
        <f>IF(AH$13="","",IF($B56="","",IFERROR(Q56*$E56/100,"")))</f>
        <v/>
      </c>
      <c r="AI56" s="113">
        <f>IF(AI$13="","",IF($B56="","",IFERROR(R56*$E56/100,"")))</f>
        <v/>
      </c>
      <c r="AJ56" s="113">
        <f>IF(AJ$13="","",IF($B56="","",IFERROR(S56*$E56/100,"")))</f>
        <v/>
      </c>
      <c r="AK56" s="113">
        <f>IF(AK$13="","",IF($B56="","",IFERROR(T56*$E56/100,"")))</f>
        <v/>
      </c>
      <c r="AL56" s="113">
        <f>IF(AL$13="","",IF($B56="","",IFERROR(U56*$E56/100,"")))</f>
        <v/>
      </c>
    </row>
    <row r="57">
      <c r="B57" s="5">
        <f>IF(AS51!$C$47="","",AS51!$C$47)</f>
        <v/>
      </c>
      <c r="C57" s="86">
        <f>IF(AS51!$B$47="","",AS51!$B$47)</f>
        <v/>
      </c>
      <c r="D57" s="111">
        <f>IFERROR(AS51!$Q$47,1)</f>
        <v/>
      </c>
      <c r="E57" s="112">
        <f>IF($B57="","",IF(ISNUMBER(AS51!$I$47),AS51!$I$47,'Index Summary'!$C$7))</f>
        <v/>
      </c>
      <c r="F57" s="113">
        <f>IF(F$13="","",IF($B57="","",IFERROR($C57*$D57*SUMIFS('Dvd Calendar'!$E$90:$CZ$90,'Dvd Calendar'!$E$89:$CZ$89,"&gt;"&amp;F$12,'Dvd Calendar'!$E$89:$CZ$89,"&lt;="&amp;F$13)/AS51!$B$3,"")))</f>
        <v/>
      </c>
      <c r="G57" s="113">
        <f>IF(G$13="","",IF($B57="","",IFERROR($C57*$D57*SUMIFS('Dvd Calendar'!$E$90:$CZ$90,'Dvd Calendar'!$E$89:$CZ$89,"&gt;"&amp;G$12,'Dvd Calendar'!$E$89:$CZ$89,"&lt;="&amp;G$13)/AS51!$B$3,"")))</f>
        <v/>
      </c>
      <c r="H57" s="113">
        <f>IF(H$13="","",IF($B57="","",IFERROR($C57*$D57*SUMIFS('Dvd Calendar'!$E$90:$CZ$90,'Dvd Calendar'!$E$89:$CZ$89,"&gt;"&amp;H$12,'Dvd Calendar'!$E$89:$CZ$89,"&lt;="&amp;H$13)/AS51!$B$3,"")))</f>
        <v/>
      </c>
      <c r="I57" s="113">
        <f>IF(I$13="","",IF($B57="","",IFERROR($C57*$D57*SUMIFS('Dvd Calendar'!$E$90:$CZ$90,'Dvd Calendar'!$E$89:$CZ$89,"&gt;"&amp;I$12,'Dvd Calendar'!$E$89:$CZ$89,"&lt;="&amp;I$13)/AS51!$B$3,"")))</f>
        <v/>
      </c>
      <c r="J57" s="113">
        <f>IF(J$13="","",IF($B57="","",IFERROR($C57*$D57*SUMIFS('Dvd Calendar'!$E$90:$CZ$90,'Dvd Calendar'!$E$89:$CZ$89,"&gt;"&amp;J$12,'Dvd Calendar'!$E$89:$CZ$89,"&lt;="&amp;J$13)/AS51!$B$3,"")))</f>
        <v/>
      </c>
      <c r="K57" s="113">
        <f>IF(K$13="","",IF($B57="","",IFERROR($C57*$D57*SUMIFS('Dvd Calendar'!$E$90:$CZ$90,'Dvd Calendar'!$E$89:$CZ$89,"&gt;"&amp;K$12,'Dvd Calendar'!$E$89:$CZ$89,"&lt;="&amp;K$13)/AS51!$B$3,"")))</f>
        <v/>
      </c>
      <c r="L57" s="113">
        <f>IF(L$13="","",IF($B57="","",IFERROR($C57*$D57*SUMIFS('Dvd Calendar'!$E$90:$CZ$90,'Dvd Calendar'!$E$89:$CZ$89,"&gt;"&amp;L$12,'Dvd Calendar'!$E$89:$CZ$89,"&lt;="&amp;L$13)/AS51!$B$3,"")))</f>
        <v/>
      </c>
      <c r="M57" s="113">
        <f>IF(M$13="","",IF($B57="","",IFERROR($C57*$D57*SUMIFS('Dvd Calendar'!$E$90:$CZ$90,'Dvd Calendar'!$E$89:$CZ$89,"&gt;"&amp;M$12,'Dvd Calendar'!$E$89:$CZ$89,"&lt;="&amp;M$13)/AS51!$B$3,"")))</f>
        <v/>
      </c>
      <c r="N57" s="113">
        <f>IF(N$13="","",IF($B57="","",IFERROR($C57*$D57*SUMIFS('Dvd Calendar'!$E$90:$CZ$90,'Dvd Calendar'!$E$89:$CZ$89,"&gt;"&amp;N$12,'Dvd Calendar'!$E$89:$CZ$89,"&lt;="&amp;N$13)/AS51!$B$3,"")))</f>
        <v/>
      </c>
      <c r="O57" s="113">
        <f>IF(O$13="","",IF($B57="","",IFERROR($C57*$D57*SUMIFS('Dvd Calendar'!$E$90:$CZ$90,'Dvd Calendar'!$E$89:$CZ$89,"&gt;"&amp;O$12,'Dvd Calendar'!$E$89:$CZ$89,"&lt;="&amp;O$13)/AS51!$B$3,"")))</f>
        <v/>
      </c>
      <c r="P57" s="113">
        <f>IF(P$13="","",IF($B57="","",IFERROR($C57*$D57*SUMIFS('Dvd Calendar'!$E$90:$CZ$90,'Dvd Calendar'!$E$89:$CZ$89,"&gt;"&amp;P$12,'Dvd Calendar'!$E$89:$CZ$89,"&lt;="&amp;P$13)/AS51!$B$3,"")))</f>
        <v/>
      </c>
      <c r="Q57" s="113">
        <f>IF(Q$13="","",IF($B57="","",IFERROR($C57*$D57*SUMIFS('Dvd Calendar'!$E$90:$CZ$90,'Dvd Calendar'!$E$89:$CZ$89,"&gt;"&amp;Q$12,'Dvd Calendar'!$E$89:$CZ$89,"&lt;="&amp;Q$13)/AS51!$B$3,"")))</f>
        <v/>
      </c>
      <c r="R57" s="113">
        <f>IF(R$13="","",IF($B57="","",IFERROR($C57*$D57*SUMIFS('Dvd Calendar'!$E$90:$CZ$90,'Dvd Calendar'!$E$89:$CZ$89,"&gt;"&amp;R$12,'Dvd Calendar'!$E$89:$CZ$89,"&lt;="&amp;R$13)/AS51!$B$3,"")))</f>
        <v/>
      </c>
      <c r="S57" s="113">
        <f>IF(S$13="","",IF($B57="","",IFERROR($C57*$D57*SUMIFS('Dvd Calendar'!$E$90:$CZ$90,'Dvd Calendar'!$E$89:$CZ$89,"&gt;"&amp;S$12,'Dvd Calendar'!$E$89:$CZ$89,"&lt;="&amp;S$13)/AS51!$B$3,"")))</f>
        <v/>
      </c>
      <c r="T57" s="113">
        <f>IF(T$13="","",IF($B57="","",IFERROR($C57*$D57*SUMIFS('Dvd Calendar'!$E$90:$CZ$90,'Dvd Calendar'!$E$89:$CZ$89,"&gt;"&amp;T$12,'Dvd Calendar'!$E$89:$CZ$89,"&lt;="&amp;T$13)/AS51!$B$3,"")))</f>
        <v/>
      </c>
      <c r="U57" s="113">
        <f>IF(U$13="","",IF($B57="","",IFERROR($C57*$D57*SUMIFS('Dvd Calendar'!$E$90:$CZ$90,'Dvd Calendar'!$E$89:$CZ$89,"&gt;"&amp;U$12,'Dvd Calendar'!$E$89:$CZ$89,"&lt;="&amp;U$13)/AS51!$B$3,"")))</f>
        <v/>
      </c>
      <c r="W57" s="113">
        <f>IF(W$13="","",IF($B57="","",IFERROR(F57*$E57/100,"")))</f>
        <v/>
      </c>
      <c r="X57" s="113">
        <f>IF(X$13="","",IF($B57="","",IFERROR(G57*$E57/100,"")))</f>
        <v/>
      </c>
      <c r="Y57" s="113">
        <f>IF(Y$13="","",IF($B57="","",IFERROR(H57*$E57/100,"")))</f>
        <v/>
      </c>
      <c r="Z57" s="113">
        <f>IF(Z$13="","",IF($B57="","",IFERROR(I57*$E57/100,"")))</f>
        <v/>
      </c>
      <c r="AA57" s="113">
        <f>IF(AA$13="","",IF($B57="","",IFERROR(J57*$E57/100,"")))</f>
        <v/>
      </c>
      <c r="AB57" s="113">
        <f>IF(AB$13="","",IF($B57="","",IFERROR(K57*$E57/100,"")))</f>
        <v/>
      </c>
      <c r="AC57" s="113">
        <f>IF(AC$13="","",IF($B57="","",IFERROR(L57*$E57/100,"")))</f>
        <v/>
      </c>
      <c r="AD57" s="113">
        <f>IF(AD$13="","",IF($B57="","",IFERROR(M57*$E57/100,"")))</f>
        <v/>
      </c>
      <c r="AE57" s="113">
        <f>IF(AE$13="","",IF($B57="","",IFERROR(N57*$E57/100,"")))</f>
        <v/>
      </c>
      <c r="AF57" s="113">
        <f>IF(AF$13="","",IF($B57="","",IFERROR(O57*$E57/100,"")))</f>
        <v/>
      </c>
      <c r="AG57" s="113">
        <f>IF(AG$13="","",IF($B57="","",IFERROR(P57*$E57/100,"")))</f>
        <v/>
      </c>
      <c r="AH57" s="113">
        <f>IF(AH$13="","",IF($B57="","",IFERROR(Q57*$E57/100,"")))</f>
        <v/>
      </c>
      <c r="AI57" s="113">
        <f>IF(AI$13="","",IF($B57="","",IFERROR(R57*$E57/100,"")))</f>
        <v/>
      </c>
      <c r="AJ57" s="113">
        <f>IF(AJ$13="","",IF($B57="","",IFERROR(S57*$E57/100,"")))</f>
        <v/>
      </c>
      <c r="AK57" s="113">
        <f>IF(AK$13="","",IF($B57="","",IFERROR(T57*$E57/100,"")))</f>
        <v/>
      </c>
      <c r="AL57" s="113">
        <f>IF(AL$13="","",IF($B57="","",IFERROR(U57*$E57/100,"")))</f>
        <v/>
      </c>
    </row>
    <row r="58">
      <c r="B58" s="5">
        <f>IF(AS51!$C$48="","",AS51!$C$48)</f>
        <v/>
      </c>
      <c r="C58" s="86">
        <f>IF(AS51!$B$48="","",AS51!$B$48)</f>
        <v/>
      </c>
      <c r="D58" s="111">
        <f>IFERROR(AS51!$Q$48,1)</f>
        <v/>
      </c>
      <c r="E58" s="112">
        <f>IF($B58="","",IF(ISNUMBER(AS51!$I$48),AS51!$I$48,'Index Summary'!$C$7))</f>
        <v/>
      </c>
      <c r="F58" s="113">
        <f>IF(F$13="","",IF($B58="","",IFERROR($C58*$D58*SUMIFS('Dvd Calendar'!$E$92:$CZ$92,'Dvd Calendar'!$E$91:$CZ$91,"&gt;"&amp;F$12,'Dvd Calendar'!$E$91:$CZ$91,"&lt;="&amp;F$13)/AS51!$B$3,"")))</f>
        <v/>
      </c>
      <c r="G58" s="113">
        <f>IF(G$13="","",IF($B58="","",IFERROR($C58*$D58*SUMIFS('Dvd Calendar'!$E$92:$CZ$92,'Dvd Calendar'!$E$91:$CZ$91,"&gt;"&amp;G$12,'Dvd Calendar'!$E$91:$CZ$91,"&lt;="&amp;G$13)/AS51!$B$3,"")))</f>
        <v/>
      </c>
      <c r="H58" s="113">
        <f>IF(H$13="","",IF($B58="","",IFERROR($C58*$D58*SUMIFS('Dvd Calendar'!$E$92:$CZ$92,'Dvd Calendar'!$E$91:$CZ$91,"&gt;"&amp;H$12,'Dvd Calendar'!$E$91:$CZ$91,"&lt;="&amp;H$13)/AS51!$B$3,"")))</f>
        <v/>
      </c>
      <c r="I58" s="113">
        <f>IF(I$13="","",IF($B58="","",IFERROR($C58*$D58*SUMIFS('Dvd Calendar'!$E$92:$CZ$92,'Dvd Calendar'!$E$91:$CZ$91,"&gt;"&amp;I$12,'Dvd Calendar'!$E$91:$CZ$91,"&lt;="&amp;I$13)/AS51!$B$3,"")))</f>
        <v/>
      </c>
      <c r="J58" s="113">
        <f>IF(J$13="","",IF($B58="","",IFERROR($C58*$D58*SUMIFS('Dvd Calendar'!$E$92:$CZ$92,'Dvd Calendar'!$E$91:$CZ$91,"&gt;"&amp;J$12,'Dvd Calendar'!$E$91:$CZ$91,"&lt;="&amp;J$13)/AS51!$B$3,"")))</f>
        <v/>
      </c>
      <c r="K58" s="113">
        <f>IF(K$13="","",IF($B58="","",IFERROR($C58*$D58*SUMIFS('Dvd Calendar'!$E$92:$CZ$92,'Dvd Calendar'!$E$91:$CZ$91,"&gt;"&amp;K$12,'Dvd Calendar'!$E$91:$CZ$91,"&lt;="&amp;K$13)/AS51!$B$3,"")))</f>
        <v/>
      </c>
      <c r="L58" s="113">
        <f>IF(L$13="","",IF($B58="","",IFERROR($C58*$D58*SUMIFS('Dvd Calendar'!$E$92:$CZ$92,'Dvd Calendar'!$E$91:$CZ$91,"&gt;"&amp;L$12,'Dvd Calendar'!$E$91:$CZ$91,"&lt;="&amp;L$13)/AS51!$B$3,"")))</f>
        <v/>
      </c>
      <c r="M58" s="113">
        <f>IF(M$13="","",IF($B58="","",IFERROR($C58*$D58*SUMIFS('Dvd Calendar'!$E$92:$CZ$92,'Dvd Calendar'!$E$91:$CZ$91,"&gt;"&amp;M$12,'Dvd Calendar'!$E$91:$CZ$91,"&lt;="&amp;M$13)/AS51!$B$3,"")))</f>
        <v/>
      </c>
      <c r="N58" s="113">
        <f>IF(N$13="","",IF($B58="","",IFERROR($C58*$D58*SUMIFS('Dvd Calendar'!$E$92:$CZ$92,'Dvd Calendar'!$E$91:$CZ$91,"&gt;"&amp;N$12,'Dvd Calendar'!$E$91:$CZ$91,"&lt;="&amp;N$13)/AS51!$B$3,"")))</f>
        <v/>
      </c>
      <c r="O58" s="113">
        <f>IF(O$13="","",IF($B58="","",IFERROR($C58*$D58*SUMIFS('Dvd Calendar'!$E$92:$CZ$92,'Dvd Calendar'!$E$91:$CZ$91,"&gt;"&amp;O$12,'Dvd Calendar'!$E$91:$CZ$91,"&lt;="&amp;O$13)/AS51!$B$3,"")))</f>
        <v/>
      </c>
      <c r="P58" s="113">
        <f>IF(P$13="","",IF($B58="","",IFERROR($C58*$D58*SUMIFS('Dvd Calendar'!$E$92:$CZ$92,'Dvd Calendar'!$E$91:$CZ$91,"&gt;"&amp;P$12,'Dvd Calendar'!$E$91:$CZ$91,"&lt;="&amp;P$13)/AS51!$B$3,"")))</f>
        <v/>
      </c>
      <c r="Q58" s="113">
        <f>IF(Q$13="","",IF($B58="","",IFERROR($C58*$D58*SUMIFS('Dvd Calendar'!$E$92:$CZ$92,'Dvd Calendar'!$E$91:$CZ$91,"&gt;"&amp;Q$12,'Dvd Calendar'!$E$91:$CZ$91,"&lt;="&amp;Q$13)/AS51!$B$3,"")))</f>
        <v/>
      </c>
      <c r="R58" s="113">
        <f>IF(R$13="","",IF($B58="","",IFERROR($C58*$D58*SUMIFS('Dvd Calendar'!$E$92:$CZ$92,'Dvd Calendar'!$E$91:$CZ$91,"&gt;"&amp;R$12,'Dvd Calendar'!$E$91:$CZ$91,"&lt;="&amp;R$13)/AS51!$B$3,"")))</f>
        <v/>
      </c>
      <c r="S58" s="113">
        <f>IF(S$13="","",IF($B58="","",IFERROR($C58*$D58*SUMIFS('Dvd Calendar'!$E$92:$CZ$92,'Dvd Calendar'!$E$91:$CZ$91,"&gt;"&amp;S$12,'Dvd Calendar'!$E$91:$CZ$91,"&lt;="&amp;S$13)/AS51!$B$3,"")))</f>
        <v/>
      </c>
      <c r="T58" s="113">
        <f>IF(T$13="","",IF($B58="","",IFERROR($C58*$D58*SUMIFS('Dvd Calendar'!$E$92:$CZ$92,'Dvd Calendar'!$E$91:$CZ$91,"&gt;"&amp;T$12,'Dvd Calendar'!$E$91:$CZ$91,"&lt;="&amp;T$13)/AS51!$B$3,"")))</f>
        <v/>
      </c>
      <c r="U58" s="113">
        <f>IF(U$13="","",IF($B58="","",IFERROR($C58*$D58*SUMIFS('Dvd Calendar'!$E$92:$CZ$92,'Dvd Calendar'!$E$91:$CZ$91,"&gt;"&amp;U$12,'Dvd Calendar'!$E$91:$CZ$91,"&lt;="&amp;U$13)/AS51!$B$3,"")))</f>
        <v/>
      </c>
      <c r="W58" s="113">
        <f>IF(W$13="","",IF($B58="","",IFERROR(F58*$E58/100,"")))</f>
        <v/>
      </c>
      <c r="X58" s="113">
        <f>IF(X$13="","",IF($B58="","",IFERROR(G58*$E58/100,"")))</f>
        <v/>
      </c>
      <c r="Y58" s="113">
        <f>IF(Y$13="","",IF($B58="","",IFERROR(H58*$E58/100,"")))</f>
        <v/>
      </c>
      <c r="Z58" s="113">
        <f>IF(Z$13="","",IF($B58="","",IFERROR(I58*$E58/100,"")))</f>
        <v/>
      </c>
      <c r="AA58" s="113">
        <f>IF(AA$13="","",IF($B58="","",IFERROR(J58*$E58/100,"")))</f>
        <v/>
      </c>
      <c r="AB58" s="113">
        <f>IF(AB$13="","",IF($B58="","",IFERROR(K58*$E58/100,"")))</f>
        <v/>
      </c>
      <c r="AC58" s="113">
        <f>IF(AC$13="","",IF($B58="","",IFERROR(L58*$E58/100,"")))</f>
        <v/>
      </c>
      <c r="AD58" s="113">
        <f>IF(AD$13="","",IF($B58="","",IFERROR(M58*$E58/100,"")))</f>
        <v/>
      </c>
      <c r="AE58" s="113">
        <f>IF(AE$13="","",IF($B58="","",IFERROR(N58*$E58/100,"")))</f>
        <v/>
      </c>
      <c r="AF58" s="113">
        <f>IF(AF$13="","",IF($B58="","",IFERROR(O58*$E58/100,"")))</f>
        <v/>
      </c>
      <c r="AG58" s="113">
        <f>IF(AG$13="","",IF($B58="","",IFERROR(P58*$E58/100,"")))</f>
        <v/>
      </c>
      <c r="AH58" s="113">
        <f>IF(AH$13="","",IF($B58="","",IFERROR(Q58*$E58/100,"")))</f>
        <v/>
      </c>
      <c r="AI58" s="113">
        <f>IF(AI$13="","",IF($B58="","",IFERROR(R58*$E58/100,"")))</f>
        <v/>
      </c>
      <c r="AJ58" s="113">
        <f>IF(AJ$13="","",IF($B58="","",IFERROR(S58*$E58/100,"")))</f>
        <v/>
      </c>
      <c r="AK58" s="113">
        <f>IF(AK$13="","",IF($B58="","",IFERROR(T58*$E58/100,"")))</f>
        <v/>
      </c>
      <c r="AL58" s="113">
        <f>IF(AL$13="","",IF($B58="","",IFERROR(U58*$E58/100,"")))</f>
        <v/>
      </c>
    </row>
    <row r="59">
      <c r="B59" s="5">
        <f>IF(AS51!$C$49="","",AS51!$C$49)</f>
        <v/>
      </c>
      <c r="C59" s="86">
        <f>IF(AS51!$B$49="","",AS51!$B$49)</f>
        <v/>
      </c>
      <c r="D59" s="111">
        <f>IFERROR(AS51!$Q$49,1)</f>
        <v/>
      </c>
      <c r="E59" s="112">
        <f>IF($B59="","",IF(ISNUMBER(AS51!$I$49),AS51!$I$49,'Index Summary'!$C$7))</f>
        <v/>
      </c>
      <c r="F59" s="113">
        <f>IF(F$13="","",IF($B59="","",IFERROR($C59*$D59*SUMIFS('Dvd Calendar'!$E$94:$CZ$94,'Dvd Calendar'!$E$93:$CZ$93,"&gt;"&amp;F$12,'Dvd Calendar'!$E$93:$CZ$93,"&lt;="&amp;F$13)/AS51!$B$3,"")))</f>
        <v/>
      </c>
      <c r="G59" s="113">
        <f>IF(G$13="","",IF($B59="","",IFERROR($C59*$D59*SUMIFS('Dvd Calendar'!$E$94:$CZ$94,'Dvd Calendar'!$E$93:$CZ$93,"&gt;"&amp;G$12,'Dvd Calendar'!$E$93:$CZ$93,"&lt;="&amp;G$13)/AS51!$B$3,"")))</f>
        <v/>
      </c>
      <c r="H59" s="113">
        <f>IF(H$13="","",IF($B59="","",IFERROR($C59*$D59*SUMIFS('Dvd Calendar'!$E$94:$CZ$94,'Dvd Calendar'!$E$93:$CZ$93,"&gt;"&amp;H$12,'Dvd Calendar'!$E$93:$CZ$93,"&lt;="&amp;H$13)/AS51!$B$3,"")))</f>
        <v/>
      </c>
      <c r="I59" s="113">
        <f>IF(I$13="","",IF($B59="","",IFERROR($C59*$D59*SUMIFS('Dvd Calendar'!$E$94:$CZ$94,'Dvd Calendar'!$E$93:$CZ$93,"&gt;"&amp;I$12,'Dvd Calendar'!$E$93:$CZ$93,"&lt;="&amp;I$13)/AS51!$B$3,"")))</f>
        <v/>
      </c>
      <c r="J59" s="113">
        <f>IF(J$13="","",IF($B59="","",IFERROR($C59*$D59*SUMIFS('Dvd Calendar'!$E$94:$CZ$94,'Dvd Calendar'!$E$93:$CZ$93,"&gt;"&amp;J$12,'Dvd Calendar'!$E$93:$CZ$93,"&lt;="&amp;J$13)/AS51!$B$3,"")))</f>
        <v/>
      </c>
      <c r="K59" s="113">
        <f>IF(K$13="","",IF($B59="","",IFERROR($C59*$D59*SUMIFS('Dvd Calendar'!$E$94:$CZ$94,'Dvd Calendar'!$E$93:$CZ$93,"&gt;"&amp;K$12,'Dvd Calendar'!$E$93:$CZ$93,"&lt;="&amp;K$13)/AS51!$B$3,"")))</f>
        <v/>
      </c>
      <c r="L59" s="113">
        <f>IF(L$13="","",IF($B59="","",IFERROR($C59*$D59*SUMIFS('Dvd Calendar'!$E$94:$CZ$94,'Dvd Calendar'!$E$93:$CZ$93,"&gt;"&amp;L$12,'Dvd Calendar'!$E$93:$CZ$93,"&lt;="&amp;L$13)/AS51!$B$3,"")))</f>
        <v/>
      </c>
      <c r="M59" s="113">
        <f>IF(M$13="","",IF($B59="","",IFERROR($C59*$D59*SUMIFS('Dvd Calendar'!$E$94:$CZ$94,'Dvd Calendar'!$E$93:$CZ$93,"&gt;"&amp;M$12,'Dvd Calendar'!$E$93:$CZ$93,"&lt;="&amp;M$13)/AS51!$B$3,"")))</f>
        <v/>
      </c>
      <c r="N59" s="113">
        <f>IF(N$13="","",IF($B59="","",IFERROR($C59*$D59*SUMIFS('Dvd Calendar'!$E$94:$CZ$94,'Dvd Calendar'!$E$93:$CZ$93,"&gt;"&amp;N$12,'Dvd Calendar'!$E$93:$CZ$93,"&lt;="&amp;N$13)/AS51!$B$3,"")))</f>
        <v/>
      </c>
      <c r="O59" s="113">
        <f>IF(O$13="","",IF($B59="","",IFERROR($C59*$D59*SUMIFS('Dvd Calendar'!$E$94:$CZ$94,'Dvd Calendar'!$E$93:$CZ$93,"&gt;"&amp;O$12,'Dvd Calendar'!$E$93:$CZ$93,"&lt;="&amp;O$13)/AS51!$B$3,"")))</f>
        <v/>
      </c>
      <c r="P59" s="113">
        <f>IF(P$13="","",IF($B59="","",IFERROR($C59*$D59*SUMIFS('Dvd Calendar'!$E$94:$CZ$94,'Dvd Calendar'!$E$93:$CZ$93,"&gt;"&amp;P$12,'Dvd Calendar'!$E$93:$CZ$93,"&lt;="&amp;P$13)/AS51!$B$3,"")))</f>
        <v/>
      </c>
      <c r="Q59" s="113">
        <f>IF(Q$13="","",IF($B59="","",IFERROR($C59*$D59*SUMIFS('Dvd Calendar'!$E$94:$CZ$94,'Dvd Calendar'!$E$93:$CZ$93,"&gt;"&amp;Q$12,'Dvd Calendar'!$E$93:$CZ$93,"&lt;="&amp;Q$13)/AS51!$B$3,"")))</f>
        <v/>
      </c>
      <c r="R59" s="113">
        <f>IF(R$13="","",IF($B59="","",IFERROR($C59*$D59*SUMIFS('Dvd Calendar'!$E$94:$CZ$94,'Dvd Calendar'!$E$93:$CZ$93,"&gt;"&amp;R$12,'Dvd Calendar'!$E$93:$CZ$93,"&lt;="&amp;R$13)/AS51!$B$3,"")))</f>
        <v/>
      </c>
      <c r="S59" s="113">
        <f>IF(S$13="","",IF($B59="","",IFERROR($C59*$D59*SUMIFS('Dvd Calendar'!$E$94:$CZ$94,'Dvd Calendar'!$E$93:$CZ$93,"&gt;"&amp;S$12,'Dvd Calendar'!$E$93:$CZ$93,"&lt;="&amp;S$13)/AS51!$B$3,"")))</f>
        <v/>
      </c>
      <c r="T59" s="113">
        <f>IF(T$13="","",IF($B59="","",IFERROR($C59*$D59*SUMIFS('Dvd Calendar'!$E$94:$CZ$94,'Dvd Calendar'!$E$93:$CZ$93,"&gt;"&amp;T$12,'Dvd Calendar'!$E$93:$CZ$93,"&lt;="&amp;T$13)/AS51!$B$3,"")))</f>
        <v/>
      </c>
      <c r="U59" s="113">
        <f>IF(U$13="","",IF($B59="","",IFERROR($C59*$D59*SUMIFS('Dvd Calendar'!$E$94:$CZ$94,'Dvd Calendar'!$E$93:$CZ$93,"&gt;"&amp;U$12,'Dvd Calendar'!$E$93:$CZ$93,"&lt;="&amp;U$13)/AS51!$B$3,"")))</f>
        <v/>
      </c>
      <c r="W59" s="113">
        <f>IF(W$13="","",IF($B59="","",IFERROR(F59*$E59/100,"")))</f>
        <v/>
      </c>
      <c r="X59" s="113">
        <f>IF(X$13="","",IF($B59="","",IFERROR(G59*$E59/100,"")))</f>
        <v/>
      </c>
      <c r="Y59" s="113">
        <f>IF(Y$13="","",IF($B59="","",IFERROR(H59*$E59/100,"")))</f>
        <v/>
      </c>
      <c r="Z59" s="113">
        <f>IF(Z$13="","",IF($B59="","",IFERROR(I59*$E59/100,"")))</f>
        <v/>
      </c>
      <c r="AA59" s="113">
        <f>IF(AA$13="","",IF($B59="","",IFERROR(J59*$E59/100,"")))</f>
        <v/>
      </c>
      <c r="AB59" s="113">
        <f>IF(AB$13="","",IF($B59="","",IFERROR(K59*$E59/100,"")))</f>
        <v/>
      </c>
      <c r="AC59" s="113">
        <f>IF(AC$13="","",IF($B59="","",IFERROR(L59*$E59/100,"")))</f>
        <v/>
      </c>
      <c r="AD59" s="113">
        <f>IF(AD$13="","",IF($B59="","",IFERROR(M59*$E59/100,"")))</f>
        <v/>
      </c>
      <c r="AE59" s="113">
        <f>IF(AE$13="","",IF($B59="","",IFERROR(N59*$E59/100,"")))</f>
        <v/>
      </c>
      <c r="AF59" s="113">
        <f>IF(AF$13="","",IF($B59="","",IFERROR(O59*$E59/100,"")))</f>
        <v/>
      </c>
      <c r="AG59" s="113">
        <f>IF(AG$13="","",IF($B59="","",IFERROR(P59*$E59/100,"")))</f>
        <v/>
      </c>
      <c r="AH59" s="113">
        <f>IF(AH$13="","",IF($B59="","",IFERROR(Q59*$E59/100,"")))</f>
        <v/>
      </c>
      <c r="AI59" s="113">
        <f>IF(AI$13="","",IF($B59="","",IFERROR(R59*$E59/100,"")))</f>
        <v/>
      </c>
      <c r="AJ59" s="113">
        <f>IF(AJ$13="","",IF($B59="","",IFERROR(S59*$E59/100,"")))</f>
        <v/>
      </c>
      <c r="AK59" s="113">
        <f>IF(AK$13="","",IF($B59="","",IFERROR(T59*$E59/100,"")))</f>
        <v/>
      </c>
      <c r="AL59" s="113">
        <f>IF(AL$13="","",IF($B59="","",IFERROR(U59*$E59/100,"")))</f>
        <v/>
      </c>
    </row>
    <row r="60">
      <c r="B60" s="5">
        <f>IF(AS51!$C$50="","",AS51!$C$50)</f>
        <v/>
      </c>
      <c r="C60" s="86">
        <f>IF(AS51!$B$50="","",AS51!$B$50)</f>
        <v/>
      </c>
      <c r="D60" s="111">
        <f>IFERROR(AS51!$Q$50,1)</f>
        <v/>
      </c>
      <c r="E60" s="112">
        <f>IF($B60="","",IF(ISNUMBER(AS51!$I$50),AS51!$I$50,'Index Summary'!$C$7))</f>
        <v/>
      </c>
      <c r="F60" s="113">
        <f>IF(F$13="","",IF($B60="","",IFERROR($C60*$D60*SUMIFS('Dvd Calendar'!$E$96:$CZ$96,'Dvd Calendar'!$E$95:$CZ$95,"&gt;"&amp;F$12,'Dvd Calendar'!$E$95:$CZ$95,"&lt;="&amp;F$13)/AS51!$B$3,"")))</f>
        <v/>
      </c>
      <c r="G60" s="113">
        <f>IF(G$13="","",IF($B60="","",IFERROR($C60*$D60*SUMIFS('Dvd Calendar'!$E$96:$CZ$96,'Dvd Calendar'!$E$95:$CZ$95,"&gt;"&amp;G$12,'Dvd Calendar'!$E$95:$CZ$95,"&lt;="&amp;G$13)/AS51!$B$3,"")))</f>
        <v/>
      </c>
      <c r="H60" s="113">
        <f>IF(H$13="","",IF($B60="","",IFERROR($C60*$D60*SUMIFS('Dvd Calendar'!$E$96:$CZ$96,'Dvd Calendar'!$E$95:$CZ$95,"&gt;"&amp;H$12,'Dvd Calendar'!$E$95:$CZ$95,"&lt;="&amp;H$13)/AS51!$B$3,"")))</f>
        <v/>
      </c>
      <c r="I60" s="113">
        <f>IF(I$13="","",IF($B60="","",IFERROR($C60*$D60*SUMIFS('Dvd Calendar'!$E$96:$CZ$96,'Dvd Calendar'!$E$95:$CZ$95,"&gt;"&amp;I$12,'Dvd Calendar'!$E$95:$CZ$95,"&lt;="&amp;I$13)/AS51!$B$3,"")))</f>
        <v/>
      </c>
      <c r="J60" s="113">
        <f>IF(J$13="","",IF($B60="","",IFERROR($C60*$D60*SUMIFS('Dvd Calendar'!$E$96:$CZ$96,'Dvd Calendar'!$E$95:$CZ$95,"&gt;"&amp;J$12,'Dvd Calendar'!$E$95:$CZ$95,"&lt;="&amp;J$13)/AS51!$B$3,"")))</f>
        <v/>
      </c>
      <c r="K60" s="113">
        <f>IF(K$13="","",IF($B60="","",IFERROR($C60*$D60*SUMIFS('Dvd Calendar'!$E$96:$CZ$96,'Dvd Calendar'!$E$95:$CZ$95,"&gt;"&amp;K$12,'Dvd Calendar'!$E$95:$CZ$95,"&lt;="&amp;K$13)/AS51!$B$3,"")))</f>
        <v/>
      </c>
      <c r="L60" s="113">
        <f>IF(L$13="","",IF($B60="","",IFERROR($C60*$D60*SUMIFS('Dvd Calendar'!$E$96:$CZ$96,'Dvd Calendar'!$E$95:$CZ$95,"&gt;"&amp;L$12,'Dvd Calendar'!$E$95:$CZ$95,"&lt;="&amp;L$13)/AS51!$B$3,"")))</f>
        <v/>
      </c>
      <c r="M60" s="113">
        <f>IF(M$13="","",IF($B60="","",IFERROR($C60*$D60*SUMIFS('Dvd Calendar'!$E$96:$CZ$96,'Dvd Calendar'!$E$95:$CZ$95,"&gt;"&amp;M$12,'Dvd Calendar'!$E$95:$CZ$95,"&lt;="&amp;M$13)/AS51!$B$3,"")))</f>
        <v/>
      </c>
      <c r="N60" s="113">
        <f>IF(N$13="","",IF($B60="","",IFERROR($C60*$D60*SUMIFS('Dvd Calendar'!$E$96:$CZ$96,'Dvd Calendar'!$E$95:$CZ$95,"&gt;"&amp;N$12,'Dvd Calendar'!$E$95:$CZ$95,"&lt;="&amp;N$13)/AS51!$B$3,"")))</f>
        <v/>
      </c>
      <c r="O60" s="113">
        <f>IF(O$13="","",IF($B60="","",IFERROR($C60*$D60*SUMIFS('Dvd Calendar'!$E$96:$CZ$96,'Dvd Calendar'!$E$95:$CZ$95,"&gt;"&amp;O$12,'Dvd Calendar'!$E$95:$CZ$95,"&lt;="&amp;O$13)/AS51!$B$3,"")))</f>
        <v/>
      </c>
      <c r="P60" s="113">
        <f>IF(P$13="","",IF($B60="","",IFERROR($C60*$D60*SUMIFS('Dvd Calendar'!$E$96:$CZ$96,'Dvd Calendar'!$E$95:$CZ$95,"&gt;"&amp;P$12,'Dvd Calendar'!$E$95:$CZ$95,"&lt;="&amp;P$13)/AS51!$B$3,"")))</f>
        <v/>
      </c>
      <c r="Q60" s="113">
        <f>IF(Q$13="","",IF($B60="","",IFERROR($C60*$D60*SUMIFS('Dvd Calendar'!$E$96:$CZ$96,'Dvd Calendar'!$E$95:$CZ$95,"&gt;"&amp;Q$12,'Dvd Calendar'!$E$95:$CZ$95,"&lt;="&amp;Q$13)/AS51!$B$3,"")))</f>
        <v/>
      </c>
      <c r="R60" s="113">
        <f>IF(R$13="","",IF($B60="","",IFERROR($C60*$D60*SUMIFS('Dvd Calendar'!$E$96:$CZ$96,'Dvd Calendar'!$E$95:$CZ$95,"&gt;"&amp;R$12,'Dvd Calendar'!$E$95:$CZ$95,"&lt;="&amp;R$13)/AS51!$B$3,"")))</f>
        <v/>
      </c>
      <c r="S60" s="113">
        <f>IF(S$13="","",IF($B60="","",IFERROR($C60*$D60*SUMIFS('Dvd Calendar'!$E$96:$CZ$96,'Dvd Calendar'!$E$95:$CZ$95,"&gt;"&amp;S$12,'Dvd Calendar'!$E$95:$CZ$95,"&lt;="&amp;S$13)/AS51!$B$3,"")))</f>
        <v/>
      </c>
      <c r="T60" s="113">
        <f>IF(T$13="","",IF($B60="","",IFERROR($C60*$D60*SUMIFS('Dvd Calendar'!$E$96:$CZ$96,'Dvd Calendar'!$E$95:$CZ$95,"&gt;"&amp;T$12,'Dvd Calendar'!$E$95:$CZ$95,"&lt;="&amp;T$13)/AS51!$B$3,"")))</f>
        <v/>
      </c>
      <c r="U60" s="113">
        <f>IF(U$13="","",IF($B60="","",IFERROR($C60*$D60*SUMIFS('Dvd Calendar'!$E$96:$CZ$96,'Dvd Calendar'!$E$95:$CZ$95,"&gt;"&amp;U$12,'Dvd Calendar'!$E$95:$CZ$95,"&lt;="&amp;U$13)/AS51!$B$3,"")))</f>
        <v/>
      </c>
      <c r="W60" s="113">
        <f>IF(W$13="","",IF($B60="","",IFERROR(F60*$E60/100,"")))</f>
        <v/>
      </c>
      <c r="X60" s="113">
        <f>IF(X$13="","",IF($B60="","",IFERROR(G60*$E60/100,"")))</f>
        <v/>
      </c>
      <c r="Y60" s="113">
        <f>IF(Y$13="","",IF($B60="","",IFERROR(H60*$E60/100,"")))</f>
        <v/>
      </c>
      <c r="Z60" s="113">
        <f>IF(Z$13="","",IF($B60="","",IFERROR(I60*$E60/100,"")))</f>
        <v/>
      </c>
      <c r="AA60" s="113">
        <f>IF(AA$13="","",IF($B60="","",IFERROR(J60*$E60/100,"")))</f>
        <v/>
      </c>
      <c r="AB60" s="113">
        <f>IF(AB$13="","",IF($B60="","",IFERROR(K60*$E60/100,"")))</f>
        <v/>
      </c>
      <c r="AC60" s="113">
        <f>IF(AC$13="","",IF($B60="","",IFERROR(L60*$E60/100,"")))</f>
        <v/>
      </c>
      <c r="AD60" s="113">
        <f>IF(AD$13="","",IF($B60="","",IFERROR(M60*$E60/100,"")))</f>
        <v/>
      </c>
      <c r="AE60" s="113">
        <f>IF(AE$13="","",IF($B60="","",IFERROR(N60*$E60/100,"")))</f>
        <v/>
      </c>
      <c r="AF60" s="113">
        <f>IF(AF$13="","",IF($B60="","",IFERROR(O60*$E60/100,"")))</f>
        <v/>
      </c>
      <c r="AG60" s="113">
        <f>IF(AG$13="","",IF($B60="","",IFERROR(P60*$E60/100,"")))</f>
        <v/>
      </c>
      <c r="AH60" s="113">
        <f>IF(AH$13="","",IF($B60="","",IFERROR(Q60*$E60/100,"")))</f>
        <v/>
      </c>
      <c r="AI60" s="113">
        <f>IF(AI$13="","",IF($B60="","",IFERROR(R60*$E60/100,"")))</f>
        <v/>
      </c>
      <c r="AJ60" s="113">
        <f>IF(AJ$13="","",IF($B60="","",IFERROR(S60*$E60/100,"")))</f>
        <v/>
      </c>
      <c r="AK60" s="113">
        <f>IF(AK$13="","",IF($B60="","",IFERROR(T60*$E60/100,"")))</f>
        <v/>
      </c>
      <c r="AL60" s="113">
        <f>IF(AL$13="","",IF($B60="","",IFERROR(U60*$E60/100,"")))</f>
        <v/>
      </c>
    </row>
    <row r="61">
      <c r="B61" s="5">
        <f>IF(AS51!$C$51="","",AS51!$C$51)</f>
        <v/>
      </c>
      <c r="C61" s="86">
        <f>IF(AS51!$B$51="","",AS51!$B$51)</f>
        <v/>
      </c>
      <c r="D61" s="111">
        <f>IFERROR(AS51!$Q$51,1)</f>
        <v/>
      </c>
      <c r="E61" s="112">
        <f>IF($B61="","",IF(ISNUMBER(AS51!$I$51),AS51!$I$51,'Index Summary'!$C$7))</f>
        <v/>
      </c>
      <c r="F61" s="113">
        <f>IF(F$13="","",IF($B61="","",IFERROR($C61*$D61*SUMIFS('Dvd Calendar'!$E$98:$CZ$98,'Dvd Calendar'!$E$97:$CZ$97,"&gt;"&amp;F$12,'Dvd Calendar'!$E$97:$CZ$97,"&lt;="&amp;F$13)/AS51!$B$3,"")))</f>
        <v/>
      </c>
      <c r="G61" s="113">
        <f>IF(G$13="","",IF($B61="","",IFERROR($C61*$D61*SUMIFS('Dvd Calendar'!$E$98:$CZ$98,'Dvd Calendar'!$E$97:$CZ$97,"&gt;"&amp;G$12,'Dvd Calendar'!$E$97:$CZ$97,"&lt;="&amp;G$13)/AS51!$B$3,"")))</f>
        <v/>
      </c>
      <c r="H61" s="113">
        <f>IF(H$13="","",IF($B61="","",IFERROR($C61*$D61*SUMIFS('Dvd Calendar'!$E$98:$CZ$98,'Dvd Calendar'!$E$97:$CZ$97,"&gt;"&amp;H$12,'Dvd Calendar'!$E$97:$CZ$97,"&lt;="&amp;H$13)/AS51!$B$3,"")))</f>
        <v/>
      </c>
      <c r="I61" s="113">
        <f>IF(I$13="","",IF($B61="","",IFERROR($C61*$D61*SUMIFS('Dvd Calendar'!$E$98:$CZ$98,'Dvd Calendar'!$E$97:$CZ$97,"&gt;"&amp;I$12,'Dvd Calendar'!$E$97:$CZ$97,"&lt;="&amp;I$13)/AS51!$B$3,"")))</f>
        <v/>
      </c>
      <c r="J61" s="113">
        <f>IF(J$13="","",IF($B61="","",IFERROR($C61*$D61*SUMIFS('Dvd Calendar'!$E$98:$CZ$98,'Dvd Calendar'!$E$97:$CZ$97,"&gt;"&amp;J$12,'Dvd Calendar'!$E$97:$CZ$97,"&lt;="&amp;J$13)/AS51!$B$3,"")))</f>
        <v/>
      </c>
      <c r="K61" s="113">
        <f>IF(K$13="","",IF($B61="","",IFERROR($C61*$D61*SUMIFS('Dvd Calendar'!$E$98:$CZ$98,'Dvd Calendar'!$E$97:$CZ$97,"&gt;"&amp;K$12,'Dvd Calendar'!$E$97:$CZ$97,"&lt;="&amp;K$13)/AS51!$B$3,"")))</f>
        <v/>
      </c>
      <c r="L61" s="113">
        <f>IF(L$13="","",IF($B61="","",IFERROR($C61*$D61*SUMIFS('Dvd Calendar'!$E$98:$CZ$98,'Dvd Calendar'!$E$97:$CZ$97,"&gt;"&amp;L$12,'Dvd Calendar'!$E$97:$CZ$97,"&lt;="&amp;L$13)/AS51!$B$3,"")))</f>
        <v/>
      </c>
      <c r="M61" s="113">
        <f>IF(M$13="","",IF($B61="","",IFERROR($C61*$D61*SUMIFS('Dvd Calendar'!$E$98:$CZ$98,'Dvd Calendar'!$E$97:$CZ$97,"&gt;"&amp;M$12,'Dvd Calendar'!$E$97:$CZ$97,"&lt;="&amp;M$13)/AS51!$B$3,"")))</f>
        <v/>
      </c>
      <c r="N61" s="113">
        <f>IF(N$13="","",IF($B61="","",IFERROR($C61*$D61*SUMIFS('Dvd Calendar'!$E$98:$CZ$98,'Dvd Calendar'!$E$97:$CZ$97,"&gt;"&amp;N$12,'Dvd Calendar'!$E$97:$CZ$97,"&lt;="&amp;N$13)/AS51!$B$3,"")))</f>
        <v/>
      </c>
      <c r="O61" s="113">
        <f>IF(O$13="","",IF($B61="","",IFERROR($C61*$D61*SUMIFS('Dvd Calendar'!$E$98:$CZ$98,'Dvd Calendar'!$E$97:$CZ$97,"&gt;"&amp;O$12,'Dvd Calendar'!$E$97:$CZ$97,"&lt;="&amp;O$13)/AS51!$B$3,"")))</f>
        <v/>
      </c>
      <c r="P61" s="113">
        <f>IF(P$13="","",IF($B61="","",IFERROR($C61*$D61*SUMIFS('Dvd Calendar'!$E$98:$CZ$98,'Dvd Calendar'!$E$97:$CZ$97,"&gt;"&amp;P$12,'Dvd Calendar'!$E$97:$CZ$97,"&lt;="&amp;P$13)/AS51!$B$3,"")))</f>
        <v/>
      </c>
      <c r="Q61" s="113">
        <f>IF(Q$13="","",IF($B61="","",IFERROR($C61*$D61*SUMIFS('Dvd Calendar'!$E$98:$CZ$98,'Dvd Calendar'!$E$97:$CZ$97,"&gt;"&amp;Q$12,'Dvd Calendar'!$E$97:$CZ$97,"&lt;="&amp;Q$13)/AS51!$B$3,"")))</f>
        <v/>
      </c>
      <c r="R61" s="113">
        <f>IF(R$13="","",IF($B61="","",IFERROR($C61*$D61*SUMIFS('Dvd Calendar'!$E$98:$CZ$98,'Dvd Calendar'!$E$97:$CZ$97,"&gt;"&amp;R$12,'Dvd Calendar'!$E$97:$CZ$97,"&lt;="&amp;R$13)/AS51!$B$3,"")))</f>
        <v/>
      </c>
      <c r="S61" s="113">
        <f>IF(S$13="","",IF($B61="","",IFERROR($C61*$D61*SUMIFS('Dvd Calendar'!$E$98:$CZ$98,'Dvd Calendar'!$E$97:$CZ$97,"&gt;"&amp;S$12,'Dvd Calendar'!$E$97:$CZ$97,"&lt;="&amp;S$13)/AS51!$B$3,"")))</f>
        <v/>
      </c>
      <c r="T61" s="113">
        <f>IF(T$13="","",IF($B61="","",IFERROR($C61*$D61*SUMIFS('Dvd Calendar'!$E$98:$CZ$98,'Dvd Calendar'!$E$97:$CZ$97,"&gt;"&amp;T$12,'Dvd Calendar'!$E$97:$CZ$97,"&lt;="&amp;T$13)/AS51!$B$3,"")))</f>
        <v/>
      </c>
      <c r="U61" s="113">
        <f>IF(U$13="","",IF($B61="","",IFERROR($C61*$D61*SUMIFS('Dvd Calendar'!$E$98:$CZ$98,'Dvd Calendar'!$E$97:$CZ$97,"&gt;"&amp;U$12,'Dvd Calendar'!$E$97:$CZ$97,"&lt;="&amp;U$13)/AS51!$B$3,"")))</f>
        <v/>
      </c>
      <c r="W61" s="113">
        <f>IF(W$13="","",IF($B61="","",IFERROR(F61*$E61/100,"")))</f>
        <v/>
      </c>
      <c r="X61" s="113">
        <f>IF(X$13="","",IF($B61="","",IFERROR(G61*$E61/100,"")))</f>
        <v/>
      </c>
      <c r="Y61" s="113">
        <f>IF(Y$13="","",IF($B61="","",IFERROR(H61*$E61/100,"")))</f>
        <v/>
      </c>
      <c r="Z61" s="113">
        <f>IF(Z$13="","",IF($B61="","",IFERROR(I61*$E61/100,"")))</f>
        <v/>
      </c>
      <c r="AA61" s="113">
        <f>IF(AA$13="","",IF($B61="","",IFERROR(J61*$E61/100,"")))</f>
        <v/>
      </c>
      <c r="AB61" s="113">
        <f>IF(AB$13="","",IF($B61="","",IFERROR(K61*$E61/100,"")))</f>
        <v/>
      </c>
      <c r="AC61" s="113">
        <f>IF(AC$13="","",IF($B61="","",IFERROR(L61*$E61/100,"")))</f>
        <v/>
      </c>
      <c r="AD61" s="113">
        <f>IF(AD$13="","",IF($B61="","",IFERROR(M61*$E61/100,"")))</f>
        <v/>
      </c>
      <c r="AE61" s="113">
        <f>IF(AE$13="","",IF($B61="","",IFERROR(N61*$E61/100,"")))</f>
        <v/>
      </c>
      <c r="AF61" s="113">
        <f>IF(AF$13="","",IF($B61="","",IFERROR(O61*$E61/100,"")))</f>
        <v/>
      </c>
      <c r="AG61" s="113">
        <f>IF(AG$13="","",IF($B61="","",IFERROR(P61*$E61/100,"")))</f>
        <v/>
      </c>
      <c r="AH61" s="113">
        <f>IF(AH$13="","",IF($B61="","",IFERROR(Q61*$E61/100,"")))</f>
        <v/>
      </c>
      <c r="AI61" s="113">
        <f>IF(AI$13="","",IF($B61="","",IFERROR(R61*$E61/100,"")))</f>
        <v/>
      </c>
      <c r="AJ61" s="113">
        <f>IF(AJ$13="","",IF($B61="","",IFERROR(S61*$E61/100,"")))</f>
        <v/>
      </c>
      <c r="AK61" s="113">
        <f>IF(AK$13="","",IF($B61="","",IFERROR(T61*$E61/100,"")))</f>
        <v/>
      </c>
      <c r="AL61" s="113">
        <f>IF(AL$13="","",IF($B61="","",IFERROR(U61*$E61/100,"")))</f>
        <v/>
      </c>
    </row>
    <row r="62">
      <c r="B62" s="5">
        <f>IF(AS51!$C$52="","",AS51!$C$52)</f>
        <v/>
      </c>
      <c r="C62" s="86">
        <f>IF(AS51!$B$52="","",AS51!$B$52)</f>
        <v/>
      </c>
      <c r="D62" s="111">
        <f>IFERROR(AS51!$Q$52,1)</f>
        <v/>
      </c>
      <c r="E62" s="112">
        <f>IF($B62="","",IF(ISNUMBER(AS51!$I$52),AS51!$I$52,'Index Summary'!$C$7))</f>
        <v/>
      </c>
      <c r="F62" s="113">
        <f>IF(F$13="","",IF($B62="","",IFERROR($C62*$D62*SUMIFS('Dvd Calendar'!$E$100:$CZ$100,'Dvd Calendar'!$E$99:$CZ$99,"&gt;"&amp;F$12,'Dvd Calendar'!$E$99:$CZ$99,"&lt;="&amp;F$13)/AS51!$B$3,"")))</f>
        <v/>
      </c>
      <c r="G62" s="113">
        <f>IF(G$13="","",IF($B62="","",IFERROR($C62*$D62*SUMIFS('Dvd Calendar'!$E$100:$CZ$100,'Dvd Calendar'!$E$99:$CZ$99,"&gt;"&amp;G$12,'Dvd Calendar'!$E$99:$CZ$99,"&lt;="&amp;G$13)/AS51!$B$3,"")))</f>
        <v/>
      </c>
      <c r="H62" s="113">
        <f>IF(H$13="","",IF($B62="","",IFERROR($C62*$D62*SUMIFS('Dvd Calendar'!$E$100:$CZ$100,'Dvd Calendar'!$E$99:$CZ$99,"&gt;"&amp;H$12,'Dvd Calendar'!$E$99:$CZ$99,"&lt;="&amp;H$13)/AS51!$B$3,"")))</f>
        <v/>
      </c>
      <c r="I62" s="113">
        <f>IF(I$13="","",IF($B62="","",IFERROR($C62*$D62*SUMIFS('Dvd Calendar'!$E$100:$CZ$100,'Dvd Calendar'!$E$99:$CZ$99,"&gt;"&amp;I$12,'Dvd Calendar'!$E$99:$CZ$99,"&lt;="&amp;I$13)/AS51!$B$3,"")))</f>
        <v/>
      </c>
      <c r="J62" s="113">
        <f>IF(J$13="","",IF($B62="","",IFERROR($C62*$D62*SUMIFS('Dvd Calendar'!$E$100:$CZ$100,'Dvd Calendar'!$E$99:$CZ$99,"&gt;"&amp;J$12,'Dvd Calendar'!$E$99:$CZ$99,"&lt;="&amp;J$13)/AS51!$B$3,"")))</f>
        <v/>
      </c>
      <c r="K62" s="113">
        <f>IF(K$13="","",IF($B62="","",IFERROR($C62*$D62*SUMIFS('Dvd Calendar'!$E$100:$CZ$100,'Dvd Calendar'!$E$99:$CZ$99,"&gt;"&amp;K$12,'Dvd Calendar'!$E$99:$CZ$99,"&lt;="&amp;K$13)/AS51!$B$3,"")))</f>
        <v/>
      </c>
      <c r="L62" s="113">
        <f>IF(L$13="","",IF($B62="","",IFERROR($C62*$D62*SUMIFS('Dvd Calendar'!$E$100:$CZ$100,'Dvd Calendar'!$E$99:$CZ$99,"&gt;"&amp;L$12,'Dvd Calendar'!$E$99:$CZ$99,"&lt;="&amp;L$13)/AS51!$B$3,"")))</f>
        <v/>
      </c>
      <c r="M62" s="113">
        <f>IF(M$13="","",IF($B62="","",IFERROR($C62*$D62*SUMIFS('Dvd Calendar'!$E$100:$CZ$100,'Dvd Calendar'!$E$99:$CZ$99,"&gt;"&amp;M$12,'Dvd Calendar'!$E$99:$CZ$99,"&lt;="&amp;M$13)/AS51!$B$3,"")))</f>
        <v/>
      </c>
      <c r="N62" s="113">
        <f>IF(N$13="","",IF($B62="","",IFERROR($C62*$D62*SUMIFS('Dvd Calendar'!$E$100:$CZ$100,'Dvd Calendar'!$E$99:$CZ$99,"&gt;"&amp;N$12,'Dvd Calendar'!$E$99:$CZ$99,"&lt;="&amp;N$13)/AS51!$B$3,"")))</f>
        <v/>
      </c>
      <c r="O62" s="113">
        <f>IF(O$13="","",IF($B62="","",IFERROR($C62*$D62*SUMIFS('Dvd Calendar'!$E$100:$CZ$100,'Dvd Calendar'!$E$99:$CZ$99,"&gt;"&amp;O$12,'Dvd Calendar'!$E$99:$CZ$99,"&lt;="&amp;O$13)/AS51!$B$3,"")))</f>
        <v/>
      </c>
      <c r="P62" s="113">
        <f>IF(P$13="","",IF($B62="","",IFERROR($C62*$D62*SUMIFS('Dvd Calendar'!$E$100:$CZ$100,'Dvd Calendar'!$E$99:$CZ$99,"&gt;"&amp;P$12,'Dvd Calendar'!$E$99:$CZ$99,"&lt;="&amp;P$13)/AS51!$B$3,"")))</f>
        <v/>
      </c>
      <c r="Q62" s="113">
        <f>IF(Q$13="","",IF($B62="","",IFERROR($C62*$D62*SUMIFS('Dvd Calendar'!$E$100:$CZ$100,'Dvd Calendar'!$E$99:$CZ$99,"&gt;"&amp;Q$12,'Dvd Calendar'!$E$99:$CZ$99,"&lt;="&amp;Q$13)/AS51!$B$3,"")))</f>
        <v/>
      </c>
      <c r="R62" s="113">
        <f>IF(R$13="","",IF($B62="","",IFERROR($C62*$D62*SUMIFS('Dvd Calendar'!$E$100:$CZ$100,'Dvd Calendar'!$E$99:$CZ$99,"&gt;"&amp;R$12,'Dvd Calendar'!$E$99:$CZ$99,"&lt;="&amp;R$13)/AS51!$B$3,"")))</f>
        <v/>
      </c>
      <c r="S62" s="113">
        <f>IF(S$13="","",IF($B62="","",IFERROR($C62*$D62*SUMIFS('Dvd Calendar'!$E$100:$CZ$100,'Dvd Calendar'!$E$99:$CZ$99,"&gt;"&amp;S$12,'Dvd Calendar'!$E$99:$CZ$99,"&lt;="&amp;S$13)/AS51!$B$3,"")))</f>
        <v/>
      </c>
      <c r="T62" s="113">
        <f>IF(T$13="","",IF($B62="","",IFERROR($C62*$D62*SUMIFS('Dvd Calendar'!$E$100:$CZ$100,'Dvd Calendar'!$E$99:$CZ$99,"&gt;"&amp;T$12,'Dvd Calendar'!$E$99:$CZ$99,"&lt;="&amp;T$13)/AS51!$B$3,"")))</f>
        <v/>
      </c>
      <c r="U62" s="113">
        <f>IF(U$13="","",IF($B62="","",IFERROR($C62*$D62*SUMIFS('Dvd Calendar'!$E$100:$CZ$100,'Dvd Calendar'!$E$99:$CZ$99,"&gt;"&amp;U$12,'Dvd Calendar'!$E$99:$CZ$99,"&lt;="&amp;U$13)/AS51!$B$3,"")))</f>
        <v/>
      </c>
      <c r="W62" s="113">
        <f>IF(W$13="","",IF($B62="","",IFERROR(F62*$E62/100,"")))</f>
        <v/>
      </c>
      <c r="X62" s="113">
        <f>IF(X$13="","",IF($B62="","",IFERROR(G62*$E62/100,"")))</f>
        <v/>
      </c>
      <c r="Y62" s="113">
        <f>IF(Y$13="","",IF($B62="","",IFERROR(H62*$E62/100,"")))</f>
        <v/>
      </c>
      <c r="Z62" s="113">
        <f>IF(Z$13="","",IF($B62="","",IFERROR(I62*$E62/100,"")))</f>
        <v/>
      </c>
      <c r="AA62" s="113">
        <f>IF(AA$13="","",IF($B62="","",IFERROR(J62*$E62/100,"")))</f>
        <v/>
      </c>
      <c r="AB62" s="113">
        <f>IF(AB$13="","",IF($B62="","",IFERROR(K62*$E62/100,"")))</f>
        <v/>
      </c>
      <c r="AC62" s="113">
        <f>IF(AC$13="","",IF($B62="","",IFERROR(L62*$E62/100,"")))</f>
        <v/>
      </c>
      <c r="AD62" s="113">
        <f>IF(AD$13="","",IF($B62="","",IFERROR(M62*$E62/100,"")))</f>
        <v/>
      </c>
      <c r="AE62" s="113">
        <f>IF(AE$13="","",IF($B62="","",IFERROR(N62*$E62/100,"")))</f>
        <v/>
      </c>
      <c r="AF62" s="113">
        <f>IF(AF$13="","",IF($B62="","",IFERROR(O62*$E62/100,"")))</f>
        <v/>
      </c>
      <c r="AG62" s="113">
        <f>IF(AG$13="","",IF($B62="","",IFERROR(P62*$E62/100,"")))</f>
        <v/>
      </c>
      <c r="AH62" s="113">
        <f>IF(AH$13="","",IF($B62="","",IFERROR(Q62*$E62/100,"")))</f>
        <v/>
      </c>
      <c r="AI62" s="113">
        <f>IF(AI$13="","",IF($B62="","",IFERROR(R62*$E62/100,"")))</f>
        <v/>
      </c>
      <c r="AJ62" s="113">
        <f>IF(AJ$13="","",IF($B62="","",IFERROR(S62*$E62/100,"")))</f>
        <v/>
      </c>
      <c r="AK62" s="113">
        <f>IF(AK$13="","",IF($B62="","",IFERROR(T62*$E62/100,"")))</f>
        <v/>
      </c>
      <c r="AL62" s="113">
        <f>IF(AL$13="","",IF($B62="","",IFERROR(U62*$E62/100,"")))</f>
        <v/>
      </c>
    </row>
    <row r="63">
      <c r="B63" s="5">
        <f>IF(AS51!$C$53="","",AS51!$C$53)</f>
        <v/>
      </c>
      <c r="C63" s="86">
        <f>IF(AS51!$B$53="","",AS51!$B$53)</f>
        <v/>
      </c>
      <c r="D63" s="111">
        <f>IFERROR(AS51!$Q$53,1)</f>
        <v/>
      </c>
      <c r="E63" s="112">
        <f>IF($B63="","",IF(ISNUMBER(AS51!$I$53),AS51!$I$53,'Index Summary'!$C$7))</f>
        <v/>
      </c>
      <c r="F63" s="113">
        <f>IF(F$13="","",IF($B63="","",IFERROR($C63*$D63*SUMIFS('Dvd Calendar'!$E$102:$CZ$102,'Dvd Calendar'!$E$101:$CZ$101,"&gt;"&amp;F$12,'Dvd Calendar'!$E$101:$CZ$101,"&lt;="&amp;F$13)/AS51!$B$3,"")))</f>
        <v/>
      </c>
      <c r="G63" s="113">
        <f>IF(G$13="","",IF($B63="","",IFERROR($C63*$D63*SUMIFS('Dvd Calendar'!$E$102:$CZ$102,'Dvd Calendar'!$E$101:$CZ$101,"&gt;"&amp;G$12,'Dvd Calendar'!$E$101:$CZ$101,"&lt;="&amp;G$13)/AS51!$B$3,"")))</f>
        <v/>
      </c>
      <c r="H63" s="113">
        <f>IF(H$13="","",IF($B63="","",IFERROR($C63*$D63*SUMIFS('Dvd Calendar'!$E$102:$CZ$102,'Dvd Calendar'!$E$101:$CZ$101,"&gt;"&amp;H$12,'Dvd Calendar'!$E$101:$CZ$101,"&lt;="&amp;H$13)/AS51!$B$3,"")))</f>
        <v/>
      </c>
      <c r="I63" s="113">
        <f>IF(I$13="","",IF($B63="","",IFERROR($C63*$D63*SUMIFS('Dvd Calendar'!$E$102:$CZ$102,'Dvd Calendar'!$E$101:$CZ$101,"&gt;"&amp;I$12,'Dvd Calendar'!$E$101:$CZ$101,"&lt;="&amp;I$13)/AS51!$B$3,"")))</f>
        <v/>
      </c>
      <c r="J63" s="113">
        <f>IF(J$13="","",IF($B63="","",IFERROR($C63*$D63*SUMIFS('Dvd Calendar'!$E$102:$CZ$102,'Dvd Calendar'!$E$101:$CZ$101,"&gt;"&amp;J$12,'Dvd Calendar'!$E$101:$CZ$101,"&lt;="&amp;J$13)/AS51!$B$3,"")))</f>
        <v/>
      </c>
      <c r="K63" s="113">
        <f>IF(K$13="","",IF($B63="","",IFERROR($C63*$D63*SUMIFS('Dvd Calendar'!$E$102:$CZ$102,'Dvd Calendar'!$E$101:$CZ$101,"&gt;"&amp;K$12,'Dvd Calendar'!$E$101:$CZ$101,"&lt;="&amp;K$13)/AS51!$B$3,"")))</f>
        <v/>
      </c>
      <c r="L63" s="113">
        <f>IF(L$13="","",IF($B63="","",IFERROR($C63*$D63*SUMIFS('Dvd Calendar'!$E$102:$CZ$102,'Dvd Calendar'!$E$101:$CZ$101,"&gt;"&amp;L$12,'Dvd Calendar'!$E$101:$CZ$101,"&lt;="&amp;L$13)/AS51!$B$3,"")))</f>
        <v/>
      </c>
      <c r="M63" s="113">
        <f>IF(M$13="","",IF($B63="","",IFERROR($C63*$D63*SUMIFS('Dvd Calendar'!$E$102:$CZ$102,'Dvd Calendar'!$E$101:$CZ$101,"&gt;"&amp;M$12,'Dvd Calendar'!$E$101:$CZ$101,"&lt;="&amp;M$13)/AS51!$B$3,"")))</f>
        <v/>
      </c>
      <c r="N63" s="113">
        <f>IF(N$13="","",IF($B63="","",IFERROR($C63*$D63*SUMIFS('Dvd Calendar'!$E$102:$CZ$102,'Dvd Calendar'!$E$101:$CZ$101,"&gt;"&amp;N$12,'Dvd Calendar'!$E$101:$CZ$101,"&lt;="&amp;N$13)/AS51!$B$3,"")))</f>
        <v/>
      </c>
      <c r="O63" s="113">
        <f>IF(O$13="","",IF($B63="","",IFERROR($C63*$D63*SUMIFS('Dvd Calendar'!$E$102:$CZ$102,'Dvd Calendar'!$E$101:$CZ$101,"&gt;"&amp;O$12,'Dvd Calendar'!$E$101:$CZ$101,"&lt;="&amp;O$13)/AS51!$B$3,"")))</f>
        <v/>
      </c>
      <c r="P63" s="113">
        <f>IF(P$13="","",IF($B63="","",IFERROR($C63*$D63*SUMIFS('Dvd Calendar'!$E$102:$CZ$102,'Dvd Calendar'!$E$101:$CZ$101,"&gt;"&amp;P$12,'Dvd Calendar'!$E$101:$CZ$101,"&lt;="&amp;P$13)/AS51!$B$3,"")))</f>
        <v/>
      </c>
      <c r="Q63" s="113">
        <f>IF(Q$13="","",IF($B63="","",IFERROR($C63*$D63*SUMIFS('Dvd Calendar'!$E$102:$CZ$102,'Dvd Calendar'!$E$101:$CZ$101,"&gt;"&amp;Q$12,'Dvd Calendar'!$E$101:$CZ$101,"&lt;="&amp;Q$13)/AS51!$B$3,"")))</f>
        <v/>
      </c>
      <c r="R63" s="113">
        <f>IF(R$13="","",IF($B63="","",IFERROR($C63*$D63*SUMIFS('Dvd Calendar'!$E$102:$CZ$102,'Dvd Calendar'!$E$101:$CZ$101,"&gt;"&amp;R$12,'Dvd Calendar'!$E$101:$CZ$101,"&lt;="&amp;R$13)/AS51!$B$3,"")))</f>
        <v/>
      </c>
      <c r="S63" s="113">
        <f>IF(S$13="","",IF($B63="","",IFERROR($C63*$D63*SUMIFS('Dvd Calendar'!$E$102:$CZ$102,'Dvd Calendar'!$E$101:$CZ$101,"&gt;"&amp;S$12,'Dvd Calendar'!$E$101:$CZ$101,"&lt;="&amp;S$13)/AS51!$B$3,"")))</f>
        <v/>
      </c>
      <c r="T63" s="113">
        <f>IF(T$13="","",IF($B63="","",IFERROR($C63*$D63*SUMIFS('Dvd Calendar'!$E$102:$CZ$102,'Dvd Calendar'!$E$101:$CZ$101,"&gt;"&amp;T$12,'Dvd Calendar'!$E$101:$CZ$101,"&lt;="&amp;T$13)/AS51!$B$3,"")))</f>
        <v/>
      </c>
      <c r="U63" s="113">
        <f>IF(U$13="","",IF($B63="","",IFERROR($C63*$D63*SUMIFS('Dvd Calendar'!$E$102:$CZ$102,'Dvd Calendar'!$E$101:$CZ$101,"&gt;"&amp;U$12,'Dvd Calendar'!$E$101:$CZ$101,"&lt;="&amp;U$13)/AS51!$B$3,"")))</f>
        <v/>
      </c>
      <c r="W63" s="113">
        <f>IF(W$13="","",IF($B63="","",IFERROR(F63*$E63/100,"")))</f>
        <v/>
      </c>
      <c r="X63" s="113">
        <f>IF(X$13="","",IF($B63="","",IFERROR(G63*$E63/100,"")))</f>
        <v/>
      </c>
      <c r="Y63" s="113">
        <f>IF(Y$13="","",IF($B63="","",IFERROR(H63*$E63/100,"")))</f>
        <v/>
      </c>
      <c r="Z63" s="113">
        <f>IF(Z$13="","",IF($B63="","",IFERROR(I63*$E63/100,"")))</f>
        <v/>
      </c>
      <c r="AA63" s="113">
        <f>IF(AA$13="","",IF($B63="","",IFERROR(J63*$E63/100,"")))</f>
        <v/>
      </c>
      <c r="AB63" s="113">
        <f>IF(AB$13="","",IF($B63="","",IFERROR(K63*$E63/100,"")))</f>
        <v/>
      </c>
      <c r="AC63" s="113">
        <f>IF(AC$13="","",IF($B63="","",IFERROR(L63*$E63/100,"")))</f>
        <v/>
      </c>
      <c r="AD63" s="113">
        <f>IF(AD$13="","",IF($B63="","",IFERROR(M63*$E63/100,"")))</f>
        <v/>
      </c>
      <c r="AE63" s="113">
        <f>IF(AE$13="","",IF($B63="","",IFERROR(N63*$E63/100,"")))</f>
        <v/>
      </c>
      <c r="AF63" s="113">
        <f>IF(AF$13="","",IF($B63="","",IFERROR(O63*$E63/100,"")))</f>
        <v/>
      </c>
      <c r="AG63" s="113">
        <f>IF(AG$13="","",IF($B63="","",IFERROR(P63*$E63/100,"")))</f>
        <v/>
      </c>
      <c r="AH63" s="113">
        <f>IF(AH$13="","",IF($B63="","",IFERROR(Q63*$E63/100,"")))</f>
        <v/>
      </c>
      <c r="AI63" s="113">
        <f>IF(AI$13="","",IF($B63="","",IFERROR(R63*$E63/100,"")))</f>
        <v/>
      </c>
      <c r="AJ63" s="113">
        <f>IF(AJ$13="","",IF($B63="","",IFERROR(S63*$E63/100,"")))</f>
        <v/>
      </c>
      <c r="AK63" s="113">
        <f>IF(AK$13="","",IF($B63="","",IFERROR(T63*$E63/100,"")))</f>
        <v/>
      </c>
      <c r="AL63" s="113">
        <f>IF(AL$13="","",IF($B63="","",IFERROR(U63*$E63/100,"")))</f>
        <v/>
      </c>
    </row>
    <row r="64">
      <c r="B64" s="5">
        <f>IF(AS51!$C$54="","",AS51!$C$54)</f>
        <v/>
      </c>
      <c r="C64" s="86">
        <f>IF(AS51!$B$54="","",AS51!$B$54)</f>
        <v/>
      </c>
      <c r="D64" s="111">
        <f>IFERROR(AS51!$Q$54,1)</f>
        <v/>
      </c>
      <c r="E64" s="112">
        <f>IF($B64="","",IF(ISNUMBER(AS51!$I$54),AS51!$I$54,'Index Summary'!$C$7))</f>
        <v/>
      </c>
      <c r="F64" s="113">
        <f>IF(F$13="","",IF($B64="","",IFERROR($C64*$D64*SUMIFS('Dvd Calendar'!$E$104:$CZ$104,'Dvd Calendar'!$E$103:$CZ$103,"&gt;"&amp;F$12,'Dvd Calendar'!$E$103:$CZ$103,"&lt;="&amp;F$13)/AS51!$B$3,"")))</f>
        <v/>
      </c>
      <c r="G64" s="113">
        <f>IF(G$13="","",IF($B64="","",IFERROR($C64*$D64*SUMIFS('Dvd Calendar'!$E$104:$CZ$104,'Dvd Calendar'!$E$103:$CZ$103,"&gt;"&amp;G$12,'Dvd Calendar'!$E$103:$CZ$103,"&lt;="&amp;G$13)/AS51!$B$3,"")))</f>
        <v/>
      </c>
      <c r="H64" s="113">
        <f>IF(H$13="","",IF($B64="","",IFERROR($C64*$D64*SUMIFS('Dvd Calendar'!$E$104:$CZ$104,'Dvd Calendar'!$E$103:$CZ$103,"&gt;"&amp;H$12,'Dvd Calendar'!$E$103:$CZ$103,"&lt;="&amp;H$13)/AS51!$B$3,"")))</f>
        <v/>
      </c>
      <c r="I64" s="113">
        <f>IF(I$13="","",IF($B64="","",IFERROR($C64*$D64*SUMIFS('Dvd Calendar'!$E$104:$CZ$104,'Dvd Calendar'!$E$103:$CZ$103,"&gt;"&amp;I$12,'Dvd Calendar'!$E$103:$CZ$103,"&lt;="&amp;I$13)/AS51!$B$3,"")))</f>
        <v/>
      </c>
      <c r="J64" s="113">
        <f>IF(J$13="","",IF($B64="","",IFERROR($C64*$D64*SUMIFS('Dvd Calendar'!$E$104:$CZ$104,'Dvd Calendar'!$E$103:$CZ$103,"&gt;"&amp;J$12,'Dvd Calendar'!$E$103:$CZ$103,"&lt;="&amp;J$13)/AS51!$B$3,"")))</f>
        <v/>
      </c>
      <c r="K64" s="113">
        <f>IF(K$13="","",IF($B64="","",IFERROR($C64*$D64*SUMIFS('Dvd Calendar'!$E$104:$CZ$104,'Dvd Calendar'!$E$103:$CZ$103,"&gt;"&amp;K$12,'Dvd Calendar'!$E$103:$CZ$103,"&lt;="&amp;K$13)/AS51!$B$3,"")))</f>
        <v/>
      </c>
      <c r="L64" s="113">
        <f>IF(L$13="","",IF($B64="","",IFERROR($C64*$D64*SUMIFS('Dvd Calendar'!$E$104:$CZ$104,'Dvd Calendar'!$E$103:$CZ$103,"&gt;"&amp;L$12,'Dvd Calendar'!$E$103:$CZ$103,"&lt;="&amp;L$13)/AS51!$B$3,"")))</f>
        <v/>
      </c>
      <c r="M64" s="113">
        <f>IF(M$13="","",IF($B64="","",IFERROR($C64*$D64*SUMIFS('Dvd Calendar'!$E$104:$CZ$104,'Dvd Calendar'!$E$103:$CZ$103,"&gt;"&amp;M$12,'Dvd Calendar'!$E$103:$CZ$103,"&lt;="&amp;M$13)/AS51!$B$3,"")))</f>
        <v/>
      </c>
      <c r="N64" s="113">
        <f>IF(N$13="","",IF($B64="","",IFERROR($C64*$D64*SUMIFS('Dvd Calendar'!$E$104:$CZ$104,'Dvd Calendar'!$E$103:$CZ$103,"&gt;"&amp;N$12,'Dvd Calendar'!$E$103:$CZ$103,"&lt;="&amp;N$13)/AS51!$B$3,"")))</f>
        <v/>
      </c>
      <c r="O64" s="113">
        <f>IF(O$13="","",IF($B64="","",IFERROR($C64*$D64*SUMIFS('Dvd Calendar'!$E$104:$CZ$104,'Dvd Calendar'!$E$103:$CZ$103,"&gt;"&amp;O$12,'Dvd Calendar'!$E$103:$CZ$103,"&lt;="&amp;O$13)/AS51!$B$3,"")))</f>
        <v/>
      </c>
      <c r="P64" s="113">
        <f>IF(P$13="","",IF($B64="","",IFERROR($C64*$D64*SUMIFS('Dvd Calendar'!$E$104:$CZ$104,'Dvd Calendar'!$E$103:$CZ$103,"&gt;"&amp;P$12,'Dvd Calendar'!$E$103:$CZ$103,"&lt;="&amp;P$13)/AS51!$B$3,"")))</f>
        <v/>
      </c>
      <c r="Q64" s="113">
        <f>IF(Q$13="","",IF($B64="","",IFERROR($C64*$D64*SUMIFS('Dvd Calendar'!$E$104:$CZ$104,'Dvd Calendar'!$E$103:$CZ$103,"&gt;"&amp;Q$12,'Dvd Calendar'!$E$103:$CZ$103,"&lt;="&amp;Q$13)/AS51!$B$3,"")))</f>
        <v/>
      </c>
      <c r="R64" s="113">
        <f>IF(R$13="","",IF($B64="","",IFERROR($C64*$D64*SUMIFS('Dvd Calendar'!$E$104:$CZ$104,'Dvd Calendar'!$E$103:$CZ$103,"&gt;"&amp;R$12,'Dvd Calendar'!$E$103:$CZ$103,"&lt;="&amp;R$13)/AS51!$B$3,"")))</f>
        <v/>
      </c>
      <c r="S64" s="113">
        <f>IF(S$13="","",IF($B64="","",IFERROR($C64*$D64*SUMIFS('Dvd Calendar'!$E$104:$CZ$104,'Dvd Calendar'!$E$103:$CZ$103,"&gt;"&amp;S$12,'Dvd Calendar'!$E$103:$CZ$103,"&lt;="&amp;S$13)/AS51!$B$3,"")))</f>
        <v/>
      </c>
      <c r="T64" s="113">
        <f>IF(T$13="","",IF($B64="","",IFERROR($C64*$D64*SUMIFS('Dvd Calendar'!$E$104:$CZ$104,'Dvd Calendar'!$E$103:$CZ$103,"&gt;"&amp;T$12,'Dvd Calendar'!$E$103:$CZ$103,"&lt;="&amp;T$13)/AS51!$B$3,"")))</f>
        <v/>
      </c>
      <c r="U64" s="113">
        <f>IF(U$13="","",IF($B64="","",IFERROR($C64*$D64*SUMIFS('Dvd Calendar'!$E$104:$CZ$104,'Dvd Calendar'!$E$103:$CZ$103,"&gt;"&amp;U$12,'Dvd Calendar'!$E$103:$CZ$103,"&lt;="&amp;U$13)/AS51!$B$3,"")))</f>
        <v/>
      </c>
      <c r="W64" s="113">
        <f>IF(W$13="","",IF($B64="","",IFERROR(F64*$E64/100,"")))</f>
        <v/>
      </c>
      <c r="X64" s="113">
        <f>IF(X$13="","",IF($B64="","",IFERROR(G64*$E64/100,"")))</f>
        <v/>
      </c>
      <c r="Y64" s="113">
        <f>IF(Y$13="","",IF($B64="","",IFERROR(H64*$E64/100,"")))</f>
        <v/>
      </c>
      <c r="Z64" s="113">
        <f>IF(Z$13="","",IF($B64="","",IFERROR(I64*$E64/100,"")))</f>
        <v/>
      </c>
      <c r="AA64" s="113">
        <f>IF(AA$13="","",IF($B64="","",IFERROR(J64*$E64/100,"")))</f>
        <v/>
      </c>
      <c r="AB64" s="113">
        <f>IF(AB$13="","",IF($B64="","",IFERROR(K64*$E64/100,"")))</f>
        <v/>
      </c>
      <c r="AC64" s="113">
        <f>IF(AC$13="","",IF($B64="","",IFERROR(L64*$E64/100,"")))</f>
        <v/>
      </c>
      <c r="AD64" s="113">
        <f>IF(AD$13="","",IF($B64="","",IFERROR(M64*$E64/100,"")))</f>
        <v/>
      </c>
      <c r="AE64" s="113">
        <f>IF(AE$13="","",IF($B64="","",IFERROR(N64*$E64/100,"")))</f>
        <v/>
      </c>
      <c r="AF64" s="113">
        <f>IF(AF$13="","",IF($B64="","",IFERROR(O64*$E64/100,"")))</f>
        <v/>
      </c>
      <c r="AG64" s="113">
        <f>IF(AG$13="","",IF($B64="","",IFERROR(P64*$E64/100,"")))</f>
        <v/>
      </c>
      <c r="AH64" s="113">
        <f>IF(AH$13="","",IF($B64="","",IFERROR(Q64*$E64/100,"")))</f>
        <v/>
      </c>
      <c r="AI64" s="113">
        <f>IF(AI$13="","",IF($B64="","",IFERROR(R64*$E64/100,"")))</f>
        <v/>
      </c>
      <c r="AJ64" s="113">
        <f>IF(AJ$13="","",IF($B64="","",IFERROR(S64*$E64/100,"")))</f>
        <v/>
      </c>
      <c r="AK64" s="113">
        <f>IF(AK$13="","",IF($B64="","",IFERROR(T64*$E64/100,"")))</f>
        <v/>
      </c>
      <c r="AL64" s="113">
        <f>IF(AL$13="","",IF($B64="","",IFERROR(U64*$E64/100,"")))</f>
        <v/>
      </c>
    </row>
    <row r="65">
      <c r="B65" s="5">
        <f>IF(AS51!$C$55="","",AS51!$C$55)</f>
        <v/>
      </c>
      <c r="C65" s="86">
        <f>IF(AS51!$B$55="","",AS51!$B$55)</f>
        <v/>
      </c>
      <c r="D65" s="111">
        <f>IFERROR(AS51!$Q$55,1)</f>
        <v/>
      </c>
      <c r="E65" s="112">
        <f>IF($B65="","",IF(ISNUMBER(AS51!$I$55),AS51!$I$55,'Index Summary'!$C$7))</f>
        <v/>
      </c>
      <c r="F65" s="113">
        <f>IF(F$13="","",IF($B65="","",IFERROR($C65*$D65*SUMIFS('Dvd Calendar'!$E$106:$CZ$106,'Dvd Calendar'!$E$105:$CZ$105,"&gt;"&amp;F$12,'Dvd Calendar'!$E$105:$CZ$105,"&lt;="&amp;F$13)/AS51!$B$3,"")))</f>
        <v/>
      </c>
      <c r="G65" s="113">
        <f>IF(G$13="","",IF($B65="","",IFERROR($C65*$D65*SUMIFS('Dvd Calendar'!$E$106:$CZ$106,'Dvd Calendar'!$E$105:$CZ$105,"&gt;"&amp;G$12,'Dvd Calendar'!$E$105:$CZ$105,"&lt;="&amp;G$13)/AS51!$B$3,"")))</f>
        <v/>
      </c>
      <c r="H65" s="113">
        <f>IF(H$13="","",IF($B65="","",IFERROR($C65*$D65*SUMIFS('Dvd Calendar'!$E$106:$CZ$106,'Dvd Calendar'!$E$105:$CZ$105,"&gt;"&amp;H$12,'Dvd Calendar'!$E$105:$CZ$105,"&lt;="&amp;H$13)/AS51!$B$3,"")))</f>
        <v/>
      </c>
      <c r="I65" s="113">
        <f>IF(I$13="","",IF($B65="","",IFERROR($C65*$D65*SUMIFS('Dvd Calendar'!$E$106:$CZ$106,'Dvd Calendar'!$E$105:$CZ$105,"&gt;"&amp;I$12,'Dvd Calendar'!$E$105:$CZ$105,"&lt;="&amp;I$13)/AS51!$B$3,"")))</f>
        <v/>
      </c>
      <c r="J65" s="113">
        <f>IF(J$13="","",IF($B65="","",IFERROR($C65*$D65*SUMIFS('Dvd Calendar'!$E$106:$CZ$106,'Dvd Calendar'!$E$105:$CZ$105,"&gt;"&amp;J$12,'Dvd Calendar'!$E$105:$CZ$105,"&lt;="&amp;J$13)/AS51!$B$3,"")))</f>
        <v/>
      </c>
      <c r="K65" s="113">
        <f>IF(K$13="","",IF($B65="","",IFERROR($C65*$D65*SUMIFS('Dvd Calendar'!$E$106:$CZ$106,'Dvd Calendar'!$E$105:$CZ$105,"&gt;"&amp;K$12,'Dvd Calendar'!$E$105:$CZ$105,"&lt;="&amp;K$13)/AS51!$B$3,"")))</f>
        <v/>
      </c>
      <c r="L65" s="113">
        <f>IF(L$13="","",IF($B65="","",IFERROR($C65*$D65*SUMIFS('Dvd Calendar'!$E$106:$CZ$106,'Dvd Calendar'!$E$105:$CZ$105,"&gt;"&amp;L$12,'Dvd Calendar'!$E$105:$CZ$105,"&lt;="&amp;L$13)/AS51!$B$3,"")))</f>
        <v/>
      </c>
      <c r="M65" s="113">
        <f>IF(M$13="","",IF($B65="","",IFERROR($C65*$D65*SUMIFS('Dvd Calendar'!$E$106:$CZ$106,'Dvd Calendar'!$E$105:$CZ$105,"&gt;"&amp;M$12,'Dvd Calendar'!$E$105:$CZ$105,"&lt;="&amp;M$13)/AS51!$B$3,"")))</f>
        <v/>
      </c>
      <c r="N65" s="113">
        <f>IF(N$13="","",IF($B65="","",IFERROR($C65*$D65*SUMIFS('Dvd Calendar'!$E$106:$CZ$106,'Dvd Calendar'!$E$105:$CZ$105,"&gt;"&amp;N$12,'Dvd Calendar'!$E$105:$CZ$105,"&lt;="&amp;N$13)/AS51!$B$3,"")))</f>
        <v/>
      </c>
      <c r="O65" s="113">
        <f>IF(O$13="","",IF($B65="","",IFERROR($C65*$D65*SUMIFS('Dvd Calendar'!$E$106:$CZ$106,'Dvd Calendar'!$E$105:$CZ$105,"&gt;"&amp;O$12,'Dvd Calendar'!$E$105:$CZ$105,"&lt;="&amp;O$13)/AS51!$B$3,"")))</f>
        <v/>
      </c>
      <c r="P65" s="113">
        <f>IF(P$13="","",IF($B65="","",IFERROR($C65*$D65*SUMIFS('Dvd Calendar'!$E$106:$CZ$106,'Dvd Calendar'!$E$105:$CZ$105,"&gt;"&amp;P$12,'Dvd Calendar'!$E$105:$CZ$105,"&lt;="&amp;P$13)/AS51!$B$3,"")))</f>
        <v/>
      </c>
      <c r="Q65" s="113">
        <f>IF(Q$13="","",IF($B65="","",IFERROR($C65*$D65*SUMIFS('Dvd Calendar'!$E$106:$CZ$106,'Dvd Calendar'!$E$105:$CZ$105,"&gt;"&amp;Q$12,'Dvd Calendar'!$E$105:$CZ$105,"&lt;="&amp;Q$13)/AS51!$B$3,"")))</f>
        <v/>
      </c>
      <c r="R65" s="113">
        <f>IF(R$13="","",IF($B65="","",IFERROR($C65*$D65*SUMIFS('Dvd Calendar'!$E$106:$CZ$106,'Dvd Calendar'!$E$105:$CZ$105,"&gt;"&amp;R$12,'Dvd Calendar'!$E$105:$CZ$105,"&lt;="&amp;R$13)/AS51!$B$3,"")))</f>
        <v/>
      </c>
      <c r="S65" s="113">
        <f>IF(S$13="","",IF($B65="","",IFERROR($C65*$D65*SUMIFS('Dvd Calendar'!$E$106:$CZ$106,'Dvd Calendar'!$E$105:$CZ$105,"&gt;"&amp;S$12,'Dvd Calendar'!$E$105:$CZ$105,"&lt;="&amp;S$13)/AS51!$B$3,"")))</f>
        <v/>
      </c>
      <c r="T65" s="113">
        <f>IF(T$13="","",IF($B65="","",IFERROR($C65*$D65*SUMIFS('Dvd Calendar'!$E$106:$CZ$106,'Dvd Calendar'!$E$105:$CZ$105,"&gt;"&amp;T$12,'Dvd Calendar'!$E$105:$CZ$105,"&lt;="&amp;T$13)/AS51!$B$3,"")))</f>
        <v/>
      </c>
      <c r="U65" s="113">
        <f>IF(U$13="","",IF($B65="","",IFERROR($C65*$D65*SUMIFS('Dvd Calendar'!$E$106:$CZ$106,'Dvd Calendar'!$E$105:$CZ$105,"&gt;"&amp;U$12,'Dvd Calendar'!$E$105:$CZ$105,"&lt;="&amp;U$13)/AS51!$B$3,"")))</f>
        <v/>
      </c>
      <c r="W65" s="113">
        <f>IF(W$13="","",IF($B65="","",IFERROR(F65*$E65/100,"")))</f>
        <v/>
      </c>
      <c r="X65" s="113">
        <f>IF(X$13="","",IF($B65="","",IFERROR(G65*$E65/100,"")))</f>
        <v/>
      </c>
      <c r="Y65" s="113">
        <f>IF(Y$13="","",IF($B65="","",IFERROR(H65*$E65/100,"")))</f>
        <v/>
      </c>
      <c r="Z65" s="113">
        <f>IF(Z$13="","",IF($B65="","",IFERROR(I65*$E65/100,"")))</f>
        <v/>
      </c>
      <c r="AA65" s="113">
        <f>IF(AA$13="","",IF($B65="","",IFERROR(J65*$E65/100,"")))</f>
        <v/>
      </c>
      <c r="AB65" s="113">
        <f>IF(AB$13="","",IF($B65="","",IFERROR(K65*$E65/100,"")))</f>
        <v/>
      </c>
      <c r="AC65" s="113">
        <f>IF(AC$13="","",IF($B65="","",IFERROR(L65*$E65/100,"")))</f>
        <v/>
      </c>
      <c r="AD65" s="113">
        <f>IF(AD$13="","",IF($B65="","",IFERROR(M65*$E65/100,"")))</f>
        <v/>
      </c>
      <c r="AE65" s="113">
        <f>IF(AE$13="","",IF($B65="","",IFERROR(N65*$E65/100,"")))</f>
        <v/>
      </c>
      <c r="AF65" s="113">
        <f>IF(AF$13="","",IF($B65="","",IFERROR(O65*$E65/100,"")))</f>
        <v/>
      </c>
      <c r="AG65" s="113">
        <f>IF(AG$13="","",IF($B65="","",IFERROR(P65*$E65/100,"")))</f>
        <v/>
      </c>
      <c r="AH65" s="113">
        <f>IF(AH$13="","",IF($B65="","",IFERROR(Q65*$E65/100,"")))</f>
        <v/>
      </c>
      <c r="AI65" s="113">
        <f>IF(AI$13="","",IF($B65="","",IFERROR(R65*$E65/100,"")))</f>
        <v/>
      </c>
      <c r="AJ65" s="113">
        <f>IF(AJ$13="","",IF($B65="","",IFERROR(S65*$E65/100,"")))</f>
        <v/>
      </c>
      <c r="AK65" s="113">
        <f>IF(AK$13="","",IF($B65="","",IFERROR(T65*$E65/100,"")))</f>
        <v/>
      </c>
      <c r="AL65" s="113">
        <f>IF(AL$13="","",IF($B65="","",IFERROR(U65*$E65/100,"")))</f>
        <v/>
      </c>
    </row>
    <row r="66">
      <c r="B66" s="5">
        <f>IF(AS51!$C$56="","",AS51!$C$56)</f>
        <v/>
      </c>
      <c r="C66" s="86">
        <f>IF(AS51!$B$56="","",AS51!$B$56)</f>
        <v/>
      </c>
      <c r="D66" s="111">
        <f>IFERROR(AS51!$Q$56,1)</f>
        <v/>
      </c>
      <c r="E66" s="112">
        <f>IF($B66="","",IF(ISNUMBER(AS51!$I$56),AS51!$I$56,'Index Summary'!$C$7))</f>
        <v/>
      </c>
      <c r="F66" s="113">
        <f>IF(F$13="","",IF($B66="","",IFERROR($C66*$D66*SUMIFS('Dvd Calendar'!$E$108:$CZ$108,'Dvd Calendar'!$E$107:$CZ$107,"&gt;"&amp;F$12,'Dvd Calendar'!$E$107:$CZ$107,"&lt;="&amp;F$13)/AS51!$B$3,"")))</f>
        <v/>
      </c>
      <c r="G66" s="113">
        <f>IF(G$13="","",IF($B66="","",IFERROR($C66*$D66*SUMIFS('Dvd Calendar'!$E$108:$CZ$108,'Dvd Calendar'!$E$107:$CZ$107,"&gt;"&amp;G$12,'Dvd Calendar'!$E$107:$CZ$107,"&lt;="&amp;G$13)/AS51!$B$3,"")))</f>
        <v/>
      </c>
      <c r="H66" s="113">
        <f>IF(H$13="","",IF($B66="","",IFERROR($C66*$D66*SUMIFS('Dvd Calendar'!$E$108:$CZ$108,'Dvd Calendar'!$E$107:$CZ$107,"&gt;"&amp;H$12,'Dvd Calendar'!$E$107:$CZ$107,"&lt;="&amp;H$13)/AS51!$B$3,"")))</f>
        <v/>
      </c>
      <c r="I66" s="113">
        <f>IF(I$13="","",IF($B66="","",IFERROR($C66*$D66*SUMIFS('Dvd Calendar'!$E$108:$CZ$108,'Dvd Calendar'!$E$107:$CZ$107,"&gt;"&amp;I$12,'Dvd Calendar'!$E$107:$CZ$107,"&lt;="&amp;I$13)/AS51!$B$3,"")))</f>
        <v/>
      </c>
      <c r="J66" s="113">
        <f>IF(J$13="","",IF($B66="","",IFERROR($C66*$D66*SUMIFS('Dvd Calendar'!$E$108:$CZ$108,'Dvd Calendar'!$E$107:$CZ$107,"&gt;"&amp;J$12,'Dvd Calendar'!$E$107:$CZ$107,"&lt;="&amp;J$13)/AS51!$B$3,"")))</f>
        <v/>
      </c>
      <c r="K66" s="113">
        <f>IF(K$13="","",IF($B66="","",IFERROR($C66*$D66*SUMIFS('Dvd Calendar'!$E$108:$CZ$108,'Dvd Calendar'!$E$107:$CZ$107,"&gt;"&amp;K$12,'Dvd Calendar'!$E$107:$CZ$107,"&lt;="&amp;K$13)/AS51!$B$3,"")))</f>
        <v/>
      </c>
      <c r="L66" s="113">
        <f>IF(L$13="","",IF($B66="","",IFERROR($C66*$D66*SUMIFS('Dvd Calendar'!$E$108:$CZ$108,'Dvd Calendar'!$E$107:$CZ$107,"&gt;"&amp;L$12,'Dvd Calendar'!$E$107:$CZ$107,"&lt;="&amp;L$13)/AS51!$B$3,"")))</f>
        <v/>
      </c>
      <c r="M66" s="113">
        <f>IF(M$13="","",IF($B66="","",IFERROR($C66*$D66*SUMIFS('Dvd Calendar'!$E$108:$CZ$108,'Dvd Calendar'!$E$107:$CZ$107,"&gt;"&amp;M$12,'Dvd Calendar'!$E$107:$CZ$107,"&lt;="&amp;M$13)/AS51!$B$3,"")))</f>
        <v/>
      </c>
      <c r="N66" s="113">
        <f>IF(N$13="","",IF($B66="","",IFERROR($C66*$D66*SUMIFS('Dvd Calendar'!$E$108:$CZ$108,'Dvd Calendar'!$E$107:$CZ$107,"&gt;"&amp;N$12,'Dvd Calendar'!$E$107:$CZ$107,"&lt;="&amp;N$13)/AS51!$B$3,"")))</f>
        <v/>
      </c>
      <c r="O66" s="113">
        <f>IF(O$13="","",IF($B66="","",IFERROR($C66*$D66*SUMIFS('Dvd Calendar'!$E$108:$CZ$108,'Dvd Calendar'!$E$107:$CZ$107,"&gt;"&amp;O$12,'Dvd Calendar'!$E$107:$CZ$107,"&lt;="&amp;O$13)/AS51!$B$3,"")))</f>
        <v/>
      </c>
      <c r="P66" s="113">
        <f>IF(P$13="","",IF($B66="","",IFERROR($C66*$D66*SUMIFS('Dvd Calendar'!$E$108:$CZ$108,'Dvd Calendar'!$E$107:$CZ$107,"&gt;"&amp;P$12,'Dvd Calendar'!$E$107:$CZ$107,"&lt;="&amp;P$13)/AS51!$B$3,"")))</f>
        <v/>
      </c>
      <c r="Q66" s="113">
        <f>IF(Q$13="","",IF($B66="","",IFERROR($C66*$D66*SUMIFS('Dvd Calendar'!$E$108:$CZ$108,'Dvd Calendar'!$E$107:$CZ$107,"&gt;"&amp;Q$12,'Dvd Calendar'!$E$107:$CZ$107,"&lt;="&amp;Q$13)/AS51!$B$3,"")))</f>
        <v/>
      </c>
      <c r="R66" s="113">
        <f>IF(R$13="","",IF($B66="","",IFERROR($C66*$D66*SUMIFS('Dvd Calendar'!$E$108:$CZ$108,'Dvd Calendar'!$E$107:$CZ$107,"&gt;"&amp;R$12,'Dvd Calendar'!$E$107:$CZ$107,"&lt;="&amp;R$13)/AS51!$B$3,"")))</f>
        <v/>
      </c>
      <c r="S66" s="113">
        <f>IF(S$13="","",IF($B66="","",IFERROR($C66*$D66*SUMIFS('Dvd Calendar'!$E$108:$CZ$108,'Dvd Calendar'!$E$107:$CZ$107,"&gt;"&amp;S$12,'Dvd Calendar'!$E$107:$CZ$107,"&lt;="&amp;S$13)/AS51!$B$3,"")))</f>
        <v/>
      </c>
      <c r="T66" s="113">
        <f>IF(T$13="","",IF($B66="","",IFERROR($C66*$D66*SUMIFS('Dvd Calendar'!$E$108:$CZ$108,'Dvd Calendar'!$E$107:$CZ$107,"&gt;"&amp;T$12,'Dvd Calendar'!$E$107:$CZ$107,"&lt;="&amp;T$13)/AS51!$B$3,"")))</f>
        <v/>
      </c>
      <c r="U66" s="113">
        <f>IF(U$13="","",IF($B66="","",IFERROR($C66*$D66*SUMIFS('Dvd Calendar'!$E$108:$CZ$108,'Dvd Calendar'!$E$107:$CZ$107,"&gt;"&amp;U$12,'Dvd Calendar'!$E$107:$CZ$107,"&lt;="&amp;U$13)/AS51!$B$3,"")))</f>
        <v/>
      </c>
      <c r="W66" s="113">
        <f>IF(W$13="","",IF($B66="","",IFERROR(F66*$E66/100,"")))</f>
        <v/>
      </c>
      <c r="X66" s="113">
        <f>IF(X$13="","",IF($B66="","",IFERROR(G66*$E66/100,"")))</f>
        <v/>
      </c>
      <c r="Y66" s="113">
        <f>IF(Y$13="","",IF($B66="","",IFERROR(H66*$E66/100,"")))</f>
        <v/>
      </c>
      <c r="Z66" s="113">
        <f>IF(Z$13="","",IF($B66="","",IFERROR(I66*$E66/100,"")))</f>
        <v/>
      </c>
      <c r="AA66" s="113">
        <f>IF(AA$13="","",IF($B66="","",IFERROR(J66*$E66/100,"")))</f>
        <v/>
      </c>
      <c r="AB66" s="113">
        <f>IF(AB$13="","",IF($B66="","",IFERROR(K66*$E66/100,"")))</f>
        <v/>
      </c>
      <c r="AC66" s="113">
        <f>IF(AC$13="","",IF($B66="","",IFERROR(L66*$E66/100,"")))</f>
        <v/>
      </c>
      <c r="AD66" s="113">
        <f>IF(AD$13="","",IF($B66="","",IFERROR(M66*$E66/100,"")))</f>
        <v/>
      </c>
      <c r="AE66" s="113">
        <f>IF(AE$13="","",IF($B66="","",IFERROR(N66*$E66/100,"")))</f>
        <v/>
      </c>
      <c r="AF66" s="113">
        <f>IF(AF$13="","",IF($B66="","",IFERROR(O66*$E66/100,"")))</f>
        <v/>
      </c>
      <c r="AG66" s="113">
        <f>IF(AG$13="","",IF($B66="","",IFERROR(P66*$E66/100,"")))</f>
        <v/>
      </c>
      <c r="AH66" s="113">
        <f>IF(AH$13="","",IF($B66="","",IFERROR(Q66*$E66/100,"")))</f>
        <v/>
      </c>
      <c r="AI66" s="113">
        <f>IF(AI$13="","",IF($B66="","",IFERROR(R66*$E66/100,"")))</f>
        <v/>
      </c>
      <c r="AJ66" s="113">
        <f>IF(AJ$13="","",IF($B66="","",IFERROR(S66*$E66/100,"")))</f>
        <v/>
      </c>
      <c r="AK66" s="113">
        <f>IF(AK$13="","",IF($B66="","",IFERROR(T66*$E66/100,"")))</f>
        <v/>
      </c>
      <c r="AL66" s="113">
        <f>IF(AL$13="","",IF($B66="","",IFERROR(U66*$E66/100,"")))</f>
        <v/>
      </c>
    </row>
    <row r="67">
      <c r="B67" s="5">
        <f>IF(AS51!$C$57="","",AS51!$C$57)</f>
        <v/>
      </c>
      <c r="C67" s="86">
        <f>IF(AS51!$B$57="","",AS51!$B$57)</f>
        <v/>
      </c>
      <c r="D67" s="111">
        <f>IFERROR(AS51!$Q$57,1)</f>
        <v/>
      </c>
      <c r="E67" s="112">
        <f>IF($B67="","",IF(ISNUMBER(AS51!$I$57),AS51!$I$57,'Index Summary'!$C$7))</f>
        <v/>
      </c>
      <c r="F67" s="113">
        <f>IF(F$13="","",IF($B67="","",IFERROR($C67*$D67*SUMIFS('Dvd Calendar'!$E$110:$CZ$110,'Dvd Calendar'!$E$109:$CZ$109,"&gt;"&amp;F$12,'Dvd Calendar'!$E$109:$CZ$109,"&lt;="&amp;F$13)/AS51!$B$3,"")))</f>
        <v/>
      </c>
      <c r="G67" s="113">
        <f>IF(G$13="","",IF($B67="","",IFERROR($C67*$D67*SUMIFS('Dvd Calendar'!$E$110:$CZ$110,'Dvd Calendar'!$E$109:$CZ$109,"&gt;"&amp;G$12,'Dvd Calendar'!$E$109:$CZ$109,"&lt;="&amp;G$13)/AS51!$B$3,"")))</f>
        <v/>
      </c>
      <c r="H67" s="113">
        <f>IF(H$13="","",IF($B67="","",IFERROR($C67*$D67*SUMIFS('Dvd Calendar'!$E$110:$CZ$110,'Dvd Calendar'!$E$109:$CZ$109,"&gt;"&amp;H$12,'Dvd Calendar'!$E$109:$CZ$109,"&lt;="&amp;H$13)/AS51!$B$3,"")))</f>
        <v/>
      </c>
      <c r="I67" s="113">
        <f>IF(I$13="","",IF($B67="","",IFERROR($C67*$D67*SUMIFS('Dvd Calendar'!$E$110:$CZ$110,'Dvd Calendar'!$E$109:$CZ$109,"&gt;"&amp;I$12,'Dvd Calendar'!$E$109:$CZ$109,"&lt;="&amp;I$13)/AS51!$B$3,"")))</f>
        <v/>
      </c>
      <c r="J67" s="113">
        <f>IF(J$13="","",IF($B67="","",IFERROR($C67*$D67*SUMIFS('Dvd Calendar'!$E$110:$CZ$110,'Dvd Calendar'!$E$109:$CZ$109,"&gt;"&amp;J$12,'Dvd Calendar'!$E$109:$CZ$109,"&lt;="&amp;J$13)/AS51!$B$3,"")))</f>
        <v/>
      </c>
      <c r="K67" s="113">
        <f>IF(K$13="","",IF($B67="","",IFERROR($C67*$D67*SUMIFS('Dvd Calendar'!$E$110:$CZ$110,'Dvd Calendar'!$E$109:$CZ$109,"&gt;"&amp;K$12,'Dvd Calendar'!$E$109:$CZ$109,"&lt;="&amp;K$13)/AS51!$B$3,"")))</f>
        <v/>
      </c>
      <c r="L67" s="113">
        <f>IF(L$13="","",IF($B67="","",IFERROR($C67*$D67*SUMIFS('Dvd Calendar'!$E$110:$CZ$110,'Dvd Calendar'!$E$109:$CZ$109,"&gt;"&amp;L$12,'Dvd Calendar'!$E$109:$CZ$109,"&lt;="&amp;L$13)/AS51!$B$3,"")))</f>
        <v/>
      </c>
      <c r="M67" s="113">
        <f>IF(M$13="","",IF($B67="","",IFERROR($C67*$D67*SUMIFS('Dvd Calendar'!$E$110:$CZ$110,'Dvd Calendar'!$E$109:$CZ$109,"&gt;"&amp;M$12,'Dvd Calendar'!$E$109:$CZ$109,"&lt;="&amp;M$13)/AS51!$B$3,"")))</f>
        <v/>
      </c>
      <c r="N67" s="113">
        <f>IF(N$13="","",IF($B67="","",IFERROR($C67*$D67*SUMIFS('Dvd Calendar'!$E$110:$CZ$110,'Dvd Calendar'!$E$109:$CZ$109,"&gt;"&amp;N$12,'Dvd Calendar'!$E$109:$CZ$109,"&lt;="&amp;N$13)/AS51!$B$3,"")))</f>
        <v/>
      </c>
      <c r="O67" s="113">
        <f>IF(O$13="","",IF($B67="","",IFERROR($C67*$D67*SUMIFS('Dvd Calendar'!$E$110:$CZ$110,'Dvd Calendar'!$E$109:$CZ$109,"&gt;"&amp;O$12,'Dvd Calendar'!$E$109:$CZ$109,"&lt;="&amp;O$13)/AS51!$B$3,"")))</f>
        <v/>
      </c>
      <c r="P67" s="113">
        <f>IF(P$13="","",IF($B67="","",IFERROR($C67*$D67*SUMIFS('Dvd Calendar'!$E$110:$CZ$110,'Dvd Calendar'!$E$109:$CZ$109,"&gt;"&amp;P$12,'Dvd Calendar'!$E$109:$CZ$109,"&lt;="&amp;P$13)/AS51!$B$3,"")))</f>
        <v/>
      </c>
      <c r="Q67" s="113">
        <f>IF(Q$13="","",IF($B67="","",IFERROR($C67*$D67*SUMIFS('Dvd Calendar'!$E$110:$CZ$110,'Dvd Calendar'!$E$109:$CZ$109,"&gt;"&amp;Q$12,'Dvd Calendar'!$E$109:$CZ$109,"&lt;="&amp;Q$13)/AS51!$B$3,"")))</f>
        <v/>
      </c>
      <c r="R67" s="113">
        <f>IF(R$13="","",IF($B67="","",IFERROR($C67*$D67*SUMIFS('Dvd Calendar'!$E$110:$CZ$110,'Dvd Calendar'!$E$109:$CZ$109,"&gt;"&amp;R$12,'Dvd Calendar'!$E$109:$CZ$109,"&lt;="&amp;R$13)/AS51!$B$3,"")))</f>
        <v/>
      </c>
      <c r="S67" s="113">
        <f>IF(S$13="","",IF($B67="","",IFERROR($C67*$D67*SUMIFS('Dvd Calendar'!$E$110:$CZ$110,'Dvd Calendar'!$E$109:$CZ$109,"&gt;"&amp;S$12,'Dvd Calendar'!$E$109:$CZ$109,"&lt;="&amp;S$13)/AS51!$B$3,"")))</f>
        <v/>
      </c>
      <c r="T67" s="113">
        <f>IF(T$13="","",IF($B67="","",IFERROR($C67*$D67*SUMIFS('Dvd Calendar'!$E$110:$CZ$110,'Dvd Calendar'!$E$109:$CZ$109,"&gt;"&amp;T$12,'Dvd Calendar'!$E$109:$CZ$109,"&lt;="&amp;T$13)/AS51!$B$3,"")))</f>
        <v/>
      </c>
      <c r="U67" s="113">
        <f>IF(U$13="","",IF($B67="","",IFERROR($C67*$D67*SUMIFS('Dvd Calendar'!$E$110:$CZ$110,'Dvd Calendar'!$E$109:$CZ$109,"&gt;"&amp;U$12,'Dvd Calendar'!$E$109:$CZ$109,"&lt;="&amp;U$13)/AS51!$B$3,"")))</f>
        <v/>
      </c>
      <c r="W67" s="113">
        <f>IF(W$13="","",IF($B67="","",IFERROR(F67*$E67/100,"")))</f>
        <v/>
      </c>
      <c r="X67" s="113">
        <f>IF(X$13="","",IF($B67="","",IFERROR(G67*$E67/100,"")))</f>
        <v/>
      </c>
      <c r="Y67" s="113">
        <f>IF(Y$13="","",IF($B67="","",IFERROR(H67*$E67/100,"")))</f>
        <v/>
      </c>
      <c r="Z67" s="113">
        <f>IF(Z$13="","",IF($B67="","",IFERROR(I67*$E67/100,"")))</f>
        <v/>
      </c>
      <c r="AA67" s="113">
        <f>IF(AA$13="","",IF($B67="","",IFERROR(J67*$E67/100,"")))</f>
        <v/>
      </c>
      <c r="AB67" s="113">
        <f>IF(AB$13="","",IF($B67="","",IFERROR(K67*$E67/100,"")))</f>
        <v/>
      </c>
      <c r="AC67" s="113">
        <f>IF(AC$13="","",IF($B67="","",IFERROR(L67*$E67/100,"")))</f>
        <v/>
      </c>
      <c r="AD67" s="113">
        <f>IF(AD$13="","",IF($B67="","",IFERROR(M67*$E67/100,"")))</f>
        <v/>
      </c>
      <c r="AE67" s="113">
        <f>IF(AE$13="","",IF($B67="","",IFERROR(N67*$E67/100,"")))</f>
        <v/>
      </c>
      <c r="AF67" s="113">
        <f>IF(AF$13="","",IF($B67="","",IFERROR(O67*$E67/100,"")))</f>
        <v/>
      </c>
      <c r="AG67" s="113">
        <f>IF(AG$13="","",IF($B67="","",IFERROR(P67*$E67/100,"")))</f>
        <v/>
      </c>
      <c r="AH67" s="113">
        <f>IF(AH$13="","",IF($B67="","",IFERROR(Q67*$E67/100,"")))</f>
        <v/>
      </c>
      <c r="AI67" s="113">
        <f>IF(AI$13="","",IF($B67="","",IFERROR(R67*$E67/100,"")))</f>
        <v/>
      </c>
      <c r="AJ67" s="113">
        <f>IF(AJ$13="","",IF($B67="","",IFERROR(S67*$E67/100,"")))</f>
        <v/>
      </c>
      <c r="AK67" s="113">
        <f>IF(AK$13="","",IF($B67="","",IFERROR(T67*$E67/100,"")))</f>
        <v/>
      </c>
      <c r="AL67" s="113">
        <f>IF(AL$13="","",IF($B67="","",IFERROR(U67*$E67/100,"")))</f>
        <v/>
      </c>
    </row>
    <row r="68">
      <c r="B68" s="5">
        <f>IF(AS51!$C$58="","",AS51!$C$58)</f>
        <v/>
      </c>
      <c r="C68" s="86">
        <f>IF(AS51!$B$58="","",AS51!$B$58)</f>
        <v/>
      </c>
      <c r="D68" s="111">
        <f>IFERROR(AS51!$Q$58,1)</f>
        <v/>
      </c>
      <c r="E68" s="112">
        <f>IF($B68="","",IF(ISNUMBER(AS51!$I$58),AS51!$I$58,'Index Summary'!$C$7))</f>
        <v/>
      </c>
      <c r="F68" s="113">
        <f>IF(F$13="","",IF($B68="","",IFERROR($C68*$D68*SUMIFS('Dvd Calendar'!$E$112:$CZ$112,'Dvd Calendar'!$E$111:$CZ$111,"&gt;"&amp;F$12,'Dvd Calendar'!$E$111:$CZ$111,"&lt;="&amp;F$13)/AS51!$B$3,"")))</f>
        <v/>
      </c>
      <c r="G68" s="113">
        <f>IF(G$13="","",IF($B68="","",IFERROR($C68*$D68*SUMIFS('Dvd Calendar'!$E$112:$CZ$112,'Dvd Calendar'!$E$111:$CZ$111,"&gt;"&amp;G$12,'Dvd Calendar'!$E$111:$CZ$111,"&lt;="&amp;G$13)/AS51!$B$3,"")))</f>
        <v/>
      </c>
      <c r="H68" s="113">
        <f>IF(H$13="","",IF($B68="","",IFERROR($C68*$D68*SUMIFS('Dvd Calendar'!$E$112:$CZ$112,'Dvd Calendar'!$E$111:$CZ$111,"&gt;"&amp;H$12,'Dvd Calendar'!$E$111:$CZ$111,"&lt;="&amp;H$13)/AS51!$B$3,"")))</f>
        <v/>
      </c>
      <c r="I68" s="113">
        <f>IF(I$13="","",IF($B68="","",IFERROR($C68*$D68*SUMIFS('Dvd Calendar'!$E$112:$CZ$112,'Dvd Calendar'!$E$111:$CZ$111,"&gt;"&amp;I$12,'Dvd Calendar'!$E$111:$CZ$111,"&lt;="&amp;I$13)/AS51!$B$3,"")))</f>
        <v/>
      </c>
      <c r="J68" s="113">
        <f>IF(J$13="","",IF($B68="","",IFERROR($C68*$D68*SUMIFS('Dvd Calendar'!$E$112:$CZ$112,'Dvd Calendar'!$E$111:$CZ$111,"&gt;"&amp;J$12,'Dvd Calendar'!$E$111:$CZ$111,"&lt;="&amp;J$13)/AS51!$B$3,"")))</f>
        <v/>
      </c>
      <c r="K68" s="113">
        <f>IF(K$13="","",IF($B68="","",IFERROR($C68*$D68*SUMIFS('Dvd Calendar'!$E$112:$CZ$112,'Dvd Calendar'!$E$111:$CZ$111,"&gt;"&amp;K$12,'Dvd Calendar'!$E$111:$CZ$111,"&lt;="&amp;K$13)/AS51!$B$3,"")))</f>
        <v/>
      </c>
      <c r="L68" s="113">
        <f>IF(L$13="","",IF($B68="","",IFERROR($C68*$D68*SUMIFS('Dvd Calendar'!$E$112:$CZ$112,'Dvd Calendar'!$E$111:$CZ$111,"&gt;"&amp;L$12,'Dvd Calendar'!$E$111:$CZ$111,"&lt;="&amp;L$13)/AS51!$B$3,"")))</f>
        <v/>
      </c>
      <c r="M68" s="113">
        <f>IF(M$13="","",IF($B68="","",IFERROR($C68*$D68*SUMIFS('Dvd Calendar'!$E$112:$CZ$112,'Dvd Calendar'!$E$111:$CZ$111,"&gt;"&amp;M$12,'Dvd Calendar'!$E$111:$CZ$111,"&lt;="&amp;M$13)/AS51!$B$3,"")))</f>
        <v/>
      </c>
      <c r="N68" s="113">
        <f>IF(N$13="","",IF($B68="","",IFERROR($C68*$D68*SUMIFS('Dvd Calendar'!$E$112:$CZ$112,'Dvd Calendar'!$E$111:$CZ$111,"&gt;"&amp;N$12,'Dvd Calendar'!$E$111:$CZ$111,"&lt;="&amp;N$13)/AS51!$B$3,"")))</f>
        <v/>
      </c>
      <c r="O68" s="113">
        <f>IF(O$13="","",IF($B68="","",IFERROR($C68*$D68*SUMIFS('Dvd Calendar'!$E$112:$CZ$112,'Dvd Calendar'!$E$111:$CZ$111,"&gt;"&amp;O$12,'Dvd Calendar'!$E$111:$CZ$111,"&lt;="&amp;O$13)/AS51!$B$3,"")))</f>
        <v/>
      </c>
      <c r="P68" s="113">
        <f>IF(P$13="","",IF($B68="","",IFERROR($C68*$D68*SUMIFS('Dvd Calendar'!$E$112:$CZ$112,'Dvd Calendar'!$E$111:$CZ$111,"&gt;"&amp;P$12,'Dvd Calendar'!$E$111:$CZ$111,"&lt;="&amp;P$13)/AS51!$B$3,"")))</f>
        <v/>
      </c>
      <c r="Q68" s="113">
        <f>IF(Q$13="","",IF($B68="","",IFERROR($C68*$D68*SUMIFS('Dvd Calendar'!$E$112:$CZ$112,'Dvd Calendar'!$E$111:$CZ$111,"&gt;"&amp;Q$12,'Dvd Calendar'!$E$111:$CZ$111,"&lt;="&amp;Q$13)/AS51!$B$3,"")))</f>
        <v/>
      </c>
      <c r="R68" s="113">
        <f>IF(R$13="","",IF($B68="","",IFERROR($C68*$D68*SUMIFS('Dvd Calendar'!$E$112:$CZ$112,'Dvd Calendar'!$E$111:$CZ$111,"&gt;"&amp;R$12,'Dvd Calendar'!$E$111:$CZ$111,"&lt;="&amp;R$13)/AS51!$B$3,"")))</f>
        <v/>
      </c>
      <c r="S68" s="113">
        <f>IF(S$13="","",IF($B68="","",IFERROR($C68*$D68*SUMIFS('Dvd Calendar'!$E$112:$CZ$112,'Dvd Calendar'!$E$111:$CZ$111,"&gt;"&amp;S$12,'Dvd Calendar'!$E$111:$CZ$111,"&lt;="&amp;S$13)/AS51!$B$3,"")))</f>
        <v/>
      </c>
      <c r="T68" s="113">
        <f>IF(T$13="","",IF($B68="","",IFERROR($C68*$D68*SUMIFS('Dvd Calendar'!$E$112:$CZ$112,'Dvd Calendar'!$E$111:$CZ$111,"&gt;"&amp;T$12,'Dvd Calendar'!$E$111:$CZ$111,"&lt;="&amp;T$13)/AS51!$B$3,"")))</f>
        <v/>
      </c>
      <c r="U68" s="113">
        <f>IF(U$13="","",IF($B68="","",IFERROR($C68*$D68*SUMIFS('Dvd Calendar'!$E$112:$CZ$112,'Dvd Calendar'!$E$111:$CZ$111,"&gt;"&amp;U$12,'Dvd Calendar'!$E$111:$CZ$111,"&lt;="&amp;U$13)/AS51!$B$3,"")))</f>
        <v/>
      </c>
      <c r="W68" s="113">
        <f>IF(W$13="","",IF($B68="","",IFERROR(F68*$E68/100,"")))</f>
        <v/>
      </c>
      <c r="X68" s="113">
        <f>IF(X$13="","",IF($B68="","",IFERROR(G68*$E68/100,"")))</f>
        <v/>
      </c>
      <c r="Y68" s="113">
        <f>IF(Y$13="","",IF($B68="","",IFERROR(H68*$E68/100,"")))</f>
        <v/>
      </c>
      <c r="Z68" s="113">
        <f>IF(Z$13="","",IF($B68="","",IFERROR(I68*$E68/100,"")))</f>
        <v/>
      </c>
      <c r="AA68" s="113">
        <f>IF(AA$13="","",IF($B68="","",IFERROR(J68*$E68/100,"")))</f>
        <v/>
      </c>
      <c r="AB68" s="113">
        <f>IF(AB$13="","",IF($B68="","",IFERROR(K68*$E68/100,"")))</f>
        <v/>
      </c>
      <c r="AC68" s="113">
        <f>IF(AC$13="","",IF($B68="","",IFERROR(L68*$E68/100,"")))</f>
        <v/>
      </c>
      <c r="AD68" s="113">
        <f>IF(AD$13="","",IF($B68="","",IFERROR(M68*$E68/100,"")))</f>
        <v/>
      </c>
      <c r="AE68" s="113">
        <f>IF(AE$13="","",IF($B68="","",IFERROR(N68*$E68/100,"")))</f>
        <v/>
      </c>
      <c r="AF68" s="113">
        <f>IF(AF$13="","",IF($B68="","",IFERROR(O68*$E68/100,"")))</f>
        <v/>
      </c>
      <c r="AG68" s="113">
        <f>IF(AG$13="","",IF($B68="","",IFERROR(P68*$E68/100,"")))</f>
        <v/>
      </c>
      <c r="AH68" s="113">
        <f>IF(AH$13="","",IF($B68="","",IFERROR(Q68*$E68/100,"")))</f>
        <v/>
      </c>
      <c r="AI68" s="113">
        <f>IF(AI$13="","",IF($B68="","",IFERROR(R68*$E68/100,"")))</f>
        <v/>
      </c>
      <c r="AJ68" s="113">
        <f>IF(AJ$13="","",IF($B68="","",IFERROR(S68*$E68/100,"")))</f>
        <v/>
      </c>
      <c r="AK68" s="113">
        <f>IF(AK$13="","",IF($B68="","",IFERROR(T68*$E68/100,"")))</f>
        <v/>
      </c>
      <c r="AL68" s="113">
        <f>IF(AL$13="","",IF($B68="","",IFERROR(U68*$E68/100,"")))</f>
        <v/>
      </c>
    </row>
    <row r="69">
      <c r="B69" s="5">
        <f>IF(AS51!$C$59="","",AS51!$C$59)</f>
        <v/>
      </c>
      <c r="C69" s="86">
        <f>IF(AS51!$B$59="","",AS51!$B$59)</f>
        <v/>
      </c>
      <c r="D69" s="111">
        <f>IFERROR(AS51!$Q$59,1)</f>
        <v/>
      </c>
      <c r="E69" s="112">
        <f>IF($B69="","",IF(ISNUMBER(AS51!$I$59),AS51!$I$59,'Index Summary'!$C$7))</f>
        <v/>
      </c>
      <c r="F69" s="113">
        <f>IF(F$13="","",IF($B69="","",IFERROR($C69*$D69*SUMIFS('Dvd Calendar'!$E$114:$CZ$114,'Dvd Calendar'!$E$113:$CZ$113,"&gt;"&amp;F$12,'Dvd Calendar'!$E$113:$CZ$113,"&lt;="&amp;F$13)/AS51!$B$3,"")))</f>
        <v/>
      </c>
      <c r="G69" s="113">
        <f>IF(G$13="","",IF($B69="","",IFERROR($C69*$D69*SUMIFS('Dvd Calendar'!$E$114:$CZ$114,'Dvd Calendar'!$E$113:$CZ$113,"&gt;"&amp;G$12,'Dvd Calendar'!$E$113:$CZ$113,"&lt;="&amp;G$13)/AS51!$B$3,"")))</f>
        <v/>
      </c>
      <c r="H69" s="113">
        <f>IF(H$13="","",IF($B69="","",IFERROR($C69*$D69*SUMIFS('Dvd Calendar'!$E$114:$CZ$114,'Dvd Calendar'!$E$113:$CZ$113,"&gt;"&amp;H$12,'Dvd Calendar'!$E$113:$CZ$113,"&lt;="&amp;H$13)/AS51!$B$3,"")))</f>
        <v/>
      </c>
      <c r="I69" s="113">
        <f>IF(I$13="","",IF($B69="","",IFERROR($C69*$D69*SUMIFS('Dvd Calendar'!$E$114:$CZ$114,'Dvd Calendar'!$E$113:$CZ$113,"&gt;"&amp;I$12,'Dvd Calendar'!$E$113:$CZ$113,"&lt;="&amp;I$13)/AS51!$B$3,"")))</f>
        <v/>
      </c>
      <c r="J69" s="113">
        <f>IF(J$13="","",IF($B69="","",IFERROR($C69*$D69*SUMIFS('Dvd Calendar'!$E$114:$CZ$114,'Dvd Calendar'!$E$113:$CZ$113,"&gt;"&amp;J$12,'Dvd Calendar'!$E$113:$CZ$113,"&lt;="&amp;J$13)/AS51!$B$3,"")))</f>
        <v/>
      </c>
      <c r="K69" s="113">
        <f>IF(K$13="","",IF($B69="","",IFERROR($C69*$D69*SUMIFS('Dvd Calendar'!$E$114:$CZ$114,'Dvd Calendar'!$E$113:$CZ$113,"&gt;"&amp;K$12,'Dvd Calendar'!$E$113:$CZ$113,"&lt;="&amp;K$13)/AS51!$B$3,"")))</f>
        <v/>
      </c>
      <c r="L69" s="113">
        <f>IF(L$13="","",IF($B69="","",IFERROR($C69*$D69*SUMIFS('Dvd Calendar'!$E$114:$CZ$114,'Dvd Calendar'!$E$113:$CZ$113,"&gt;"&amp;L$12,'Dvd Calendar'!$E$113:$CZ$113,"&lt;="&amp;L$13)/AS51!$B$3,"")))</f>
        <v/>
      </c>
      <c r="M69" s="113">
        <f>IF(M$13="","",IF($B69="","",IFERROR($C69*$D69*SUMIFS('Dvd Calendar'!$E$114:$CZ$114,'Dvd Calendar'!$E$113:$CZ$113,"&gt;"&amp;M$12,'Dvd Calendar'!$E$113:$CZ$113,"&lt;="&amp;M$13)/AS51!$B$3,"")))</f>
        <v/>
      </c>
      <c r="N69" s="113">
        <f>IF(N$13="","",IF($B69="","",IFERROR($C69*$D69*SUMIFS('Dvd Calendar'!$E$114:$CZ$114,'Dvd Calendar'!$E$113:$CZ$113,"&gt;"&amp;N$12,'Dvd Calendar'!$E$113:$CZ$113,"&lt;="&amp;N$13)/AS51!$B$3,"")))</f>
        <v/>
      </c>
      <c r="O69" s="113">
        <f>IF(O$13="","",IF($B69="","",IFERROR($C69*$D69*SUMIFS('Dvd Calendar'!$E$114:$CZ$114,'Dvd Calendar'!$E$113:$CZ$113,"&gt;"&amp;O$12,'Dvd Calendar'!$E$113:$CZ$113,"&lt;="&amp;O$13)/AS51!$B$3,"")))</f>
        <v/>
      </c>
      <c r="P69" s="113">
        <f>IF(P$13="","",IF($B69="","",IFERROR($C69*$D69*SUMIFS('Dvd Calendar'!$E$114:$CZ$114,'Dvd Calendar'!$E$113:$CZ$113,"&gt;"&amp;P$12,'Dvd Calendar'!$E$113:$CZ$113,"&lt;="&amp;P$13)/AS51!$B$3,"")))</f>
        <v/>
      </c>
      <c r="Q69" s="113">
        <f>IF(Q$13="","",IF($B69="","",IFERROR($C69*$D69*SUMIFS('Dvd Calendar'!$E$114:$CZ$114,'Dvd Calendar'!$E$113:$CZ$113,"&gt;"&amp;Q$12,'Dvd Calendar'!$E$113:$CZ$113,"&lt;="&amp;Q$13)/AS51!$B$3,"")))</f>
        <v/>
      </c>
      <c r="R69" s="113">
        <f>IF(R$13="","",IF($B69="","",IFERROR($C69*$D69*SUMIFS('Dvd Calendar'!$E$114:$CZ$114,'Dvd Calendar'!$E$113:$CZ$113,"&gt;"&amp;R$12,'Dvd Calendar'!$E$113:$CZ$113,"&lt;="&amp;R$13)/AS51!$B$3,"")))</f>
        <v/>
      </c>
      <c r="S69" s="113">
        <f>IF(S$13="","",IF($B69="","",IFERROR($C69*$D69*SUMIFS('Dvd Calendar'!$E$114:$CZ$114,'Dvd Calendar'!$E$113:$CZ$113,"&gt;"&amp;S$12,'Dvd Calendar'!$E$113:$CZ$113,"&lt;="&amp;S$13)/AS51!$B$3,"")))</f>
        <v/>
      </c>
      <c r="T69" s="113">
        <f>IF(T$13="","",IF($B69="","",IFERROR($C69*$D69*SUMIFS('Dvd Calendar'!$E$114:$CZ$114,'Dvd Calendar'!$E$113:$CZ$113,"&gt;"&amp;T$12,'Dvd Calendar'!$E$113:$CZ$113,"&lt;="&amp;T$13)/AS51!$B$3,"")))</f>
        <v/>
      </c>
      <c r="U69" s="113">
        <f>IF(U$13="","",IF($B69="","",IFERROR($C69*$D69*SUMIFS('Dvd Calendar'!$E$114:$CZ$114,'Dvd Calendar'!$E$113:$CZ$113,"&gt;"&amp;U$12,'Dvd Calendar'!$E$113:$CZ$113,"&lt;="&amp;U$13)/AS51!$B$3,"")))</f>
        <v/>
      </c>
      <c r="W69" s="113">
        <f>IF(W$13="","",IF($B69="","",IFERROR(F69*$E69/100,"")))</f>
        <v/>
      </c>
      <c r="X69" s="113">
        <f>IF(X$13="","",IF($B69="","",IFERROR(G69*$E69/100,"")))</f>
        <v/>
      </c>
      <c r="Y69" s="113">
        <f>IF(Y$13="","",IF($B69="","",IFERROR(H69*$E69/100,"")))</f>
        <v/>
      </c>
      <c r="Z69" s="113">
        <f>IF(Z$13="","",IF($B69="","",IFERROR(I69*$E69/100,"")))</f>
        <v/>
      </c>
      <c r="AA69" s="113">
        <f>IF(AA$13="","",IF($B69="","",IFERROR(J69*$E69/100,"")))</f>
        <v/>
      </c>
      <c r="AB69" s="113">
        <f>IF(AB$13="","",IF($B69="","",IFERROR(K69*$E69/100,"")))</f>
        <v/>
      </c>
      <c r="AC69" s="113">
        <f>IF(AC$13="","",IF($B69="","",IFERROR(L69*$E69/100,"")))</f>
        <v/>
      </c>
      <c r="AD69" s="113">
        <f>IF(AD$13="","",IF($B69="","",IFERROR(M69*$E69/100,"")))</f>
        <v/>
      </c>
      <c r="AE69" s="113">
        <f>IF(AE$13="","",IF($B69="","",IFERROR(N69*$E69/100,"")))</f>
        <v/>
      </c>
      <c r="AF69" s="113">
        <f>IF(AF$13="","",IF($B69="","",IFERROR(O69*$E69/100,"")))</f>
        <v/>
      </c>
      <c r="AG69" s="113">
        <f>IF(AG$13="","",IF($B69="","",IFERROR(P69*$E69/100,"")))</f>
        <v/>
      </c>
      <c r="AH69" s="113">
        <f>IF(AH$13="","",IF($B69="","",IFERROR(Q69*$E69/100,"")))</f>
        <v/>
      </c>
      <c r="AI69" s="113">
        <f>IF(AI$13="","",IF($B69="","",IFERROR(R69*$E69/100,"")))</f>
        <v/>
      </c>
      <c r="AJ69" s="113">
        <f>IF(AJ$13="","",IF($B69="","",IFERROR(S69*$E69/100,"")))</f>
        <v/>
      </c>
      <c r="AK69" s="113">
        <f>IF(AK$13="","",IF($B69="","",IFERROR(T69*$E69/100,"")))</f>
        <v/>
      </c>
      <c r="AL69" s="113">
        <f>IF(AL$13="","",IF($B69="","",IFERROR(U69*$E69/100,"")))</f>
        <v/>
      </c>
    </row>
    <row r="70">
      <c r="B70" s="5">
        <f>IF(AS51!$C$60="","",AS51!$C$60)</f>
        <v/>
      </c>
      <c r="C70" s="86">
        <f>IF(AS51!$B$60="","",AS51!$B$60)</f>
        <v/>
      </c>
      <c r="D70" s="111">
        <f>IFERROR(AS51!$Q$60,1)</f>
        <v/>
      </c>
      <c r="E70" s="112">
        <f>IF($B70="","",IF(ISNUMBER(AS51!$I$60),AS51!$I$60,'Index Summary'!$C$7))</f>
        <v/>
      </c>
      <c r="F70" s="113">
        <f>IF(F$13="","",IF($B70="","",IFERROR($C70*$D70*SUMIFS('Dvd Calendar'!$E$116:$CZ$116,'Dvd Calendar'!$E$115:$CZ$115,"&gt;"&amp;F$12,'Dvd Calendar'!$E$115:$CZ$115,"&lt;="&amp;F$13)/AS51!$B$3,"")))</f>
        <v/>
      </c>
      <c r="G70" s="113">
        <f>IF(G$13="","",IF($B70="","",IFERROR($C70*$D70*SUMIFS('Dvd Calendar'!$E$116:$CZ$116,'Dvd Calendar'!$E$115:$CZ$115,"&gt;"&amp;G$12,'Dvd Calendar'!$E$115:$CZ$115,"&lt;="&amp;G$13)/AS51!$B$3,"")))</f>
        <v/>
      </c>
      <c r="H70" s="113">
        <f>IF(H$13="","",IF($B70="","",IFERROR($C70*$D70*SUMIFS('Dvd Calendar'!$E$116:$CZ$116,'Dvd Calendar'!$E$115:$CZ$115,"&gt;"&amp;H$12,'Dvd Calendar'!$E$115:$CZ$115,"&lt;="&amp;H$13)/AS51!$B$3,"")))</f>
        <v/>
      </c>
      <c r="I70" s="113">
        <f>IF(I$13="","",IF($B70="","",IFERROR($C70*$D70*SUMIFS('Dvd Calendar'!$E$116:$CZ$116,'Dvd Calendar'!$E$115:$CZ$115,"&gt;"&amp;I$12,'Dvd Calendar'!$E$115:$CZ$115,"&lt;="&amp;I$13)/AS51!$B$3,"")))</f>
        <v/>
      </c>
      <c r="J70" s="113">
        <f>IF(J$13="","",IF($B70="","",IFERROR($C70*$D70*SUMIFS('Dvd Calendar'!$E$116:$CZ$116,'Dvd Calendar'!$E$115:$CZ$115,"&gt;"&amp;J$12,'Dvd Calendar'!$E$115:$CZ$115,"&lt;="&amp;J$13)/AS51!$B$3,"")))</f>
        <v/>
      </c>
      <c r="K70" s="113">
        <f>IF(K$13="","",IF($B70="","",IFERROR($C70*$D70*SUMIFS('Dvd Calendar'!$E$116:$CZ$116,'Dvd Calendar'!$E$115:$CZ$115,"&gt;"&amp;K$12,'Dvd Calendar'!$E$115:$CZ$115,"&lt;="&amp;K$13)/AS51!$B$3,"")))</f>
        <v/>
      </c>
      <c r="L70" s="113">
        <f>IF(L$13="","",IF($B70="","",IFERROR($C70*$D70*SUMIFS('Dvd Calendar'!$E$116:$CZ$116,'Dvd Calendar'!$E$115:$CZ$115,"&gt;"&amp;L$12,'Dvd Calendar'!$E$115:$CZ$115,"&lt;="&amp;L$13)/AS51!$B$3,"")))</f>
        <v/>
      </c>
      <c r="M70" s="113">
        <f>IF(M$13="","",IF($B70="","",IFERROR($C70*$D70*SUMIFS('Dvd Calendar'!$E$116:$CZ$116,'Dvd Calendar'!$E$115:$CZ$115,"&gt;"&amp;M$12,'Dvd Calendar'!$E$115:$CZ$115,"&lt;="&amp;M$13)/AS51!$B$3,"")))</f>
        <v/>
      </c>
      <c r="N70" s="113">
        <f>IF(N$13="","",IF($B70="","",IFERROR($C70*$D70*SUMIFS('Dvd Calendar'!$E$116:$CZ$116,'Dvd Calendar'!$E$115:$CZ$115,"&gt;"&amp;N$12,'Dvd Calendar'!$E$115:$CZ$115,"&lt;="&amp;N$13)/AS51!$B$3,"")))</f>
        <v/>
      </c>
      <c r="O70" s="113">
        <f>IF(O$13="","",IF($B70="","",IFERROR($C70*$D70*SUMIFS('Dvd Calendar'!$E$116:$CZ$116,'Dvd Calendar'!$E$115:$CZ$115,"&gt;"&amp;O$12,'Dvd Calendar'!$E$115:$CZ$115,"&lt;="&amp;O$13)/AS51!$B$3,"")))</f>
        <v/>
      </c>
      <c r="P70" s="113">
        <f>IF(P$13="","",IF($B70="","",IFERROR($C70*$D70*SUMIFS('Dvd Calendar'!$E$116:$CZ$116,'Dvd Calendar'!$E$115:$CZ$115,"&gt;"&amp;P$12,'Dvd Calendar'!$E$115:$CZ$115,"&lt;="&amp;P$13)/AS51!$B$3,"")))</f>
        <v/>
      </c>
      <c r="Q70" s="113">
        <f>IF(Q$13="","",IF($B70="","",IFERROR($C70*$D70*SUMIFS('Dvd Calendar'!$E$116:$CZ$116,'Dvd Calendar'!$E$115:$CZ$115,"&gt;"&amp;Q$12,'Dvd Calendar'!$E$115:$CZ$115,"&lt;="&amp;Q$13)/AS51!$B$3,"")))</f>
        <v/>
      </c>
      <c r="R70" s="113">
        <f>IF(R$13="","",IF($B70="","",IFERROR($C70*$D70*SUMIFS('Dvd Calendar'!$E$116:$CZ$116,'Dvd Calendar'!$E$115:$CZ$115,"&gt;"&amp;R$12,'Dvd Calendar'!$E$115:$CZ$115,"&lt;="&amp;R$13)/AS51!$B$3,"")))</f>
        <v/>
      </c>
      <c r="S70" s="113">
        <f>IF(S$13="","",IF($B70="","",IFERROR($C70*$D70*SUMIFS('Dvd Calendar'!$E$116:$CZ$116,'Dvd Calendar'!$E$115:$CZ$115,"&gt;"&amp;S$12,'Dvd Calendar'!$E$115:$CZ$115,"&lt;="&amp;S$13)/AS51!$B$3,"")))</f>
        <v/>
      </c>
      <c r="T70" s="113">
        <f>IF(T$13="","",IF($B70="","",IFERROR($C70*$D70*SUMIFS('Dvd Calendar'!$E$116:$CZ$116,'Dvd Calendar'!$E$115:$CZ$115,"&gt;"&amp;T$12,'Dvd Calendar'!$E$115:$CZ$115,"&lt;="&amp;T$13)/AS51!$B$3,"")))</f>
        <v/>
      </c>
      <c r="U70" s="113">
        <f>IF(U$13="","",IF($B70="","",IFERROR($C70*$D70*SUMIFS('Dvd Calendar'!$E$116:$CZ$116,'Dvd Calendar'!$E$115:$CZ$115,"&gt;"&amp;U$12,'Dvd Calendar'!$E$115:$CZ$115,"&lt;="&amp;U$13)/AS51!$B$3,"")))</f>
        <v/>
      </c>
      <c r="W70" s="113">
        <f>IF(W$13="","",IF($B70="","",IFERROR(F70*$E70/100,"")))</f>
        <v/>
      </c>
      <c r="X70" s="113">
        <f>IF(X$13="","",IF($B70="","",IFERROR(G70*$E70/100,"")))</f>
        <v/>
      </c>
      <c r="Y70" s="113">
        <f>IF(Y$13="","",IF($B70="","",IFERROR(H70*$E70/100,"")))</f>
        <v/>
      </c>
      <c r="Z70" s="113">
        <f>IF(Z$13="","",IF($B70="","",IFERROR(I70*$E70/100,"")))</f>
        <v/>
      </c>
      <c r="AA70" s="113">
        <f>IF(AA$13="","",IF($B70="","",IFERROR(J70*$E70/100,"")))</f>
        <v/>
      </c>
      <c r="AB70" s="113">
        <f>IF(AB$13="","",IF($B70="","",IFERROR(K70*$E70/100,"")))</f>
        <v/>
      </c>
      <c r="AC70" s="113">
        <f>IF(AC$13="","",IF($B70="","",IFERROR(L70*$E70/100,"")))</f>
        <v/>
      </c>
      <c r="AD70" s="113">
        <f>IF(AD$13="","",IF($B70="","",IFERROR(M70*$E70/100,"")))</f>
        <v/>
      </c>
      <c r="AE70" s="113">
        <f>IF(AE$13="","",IF($B70="","",IFERROR(N70*$E70/100,"")))</f>
        <v/>
      </c>
      <c r="AF70" s="113">
        <f>IF(AF$13="","",IF($B70="","",IFERROR(O70*$E70/100,"")))</f>
        <v/>
      </c>
      <c r="AG70" s="113">
        <f>IF(AG$13="","",IF($B70="","",IFERROR(P70*$E70/100,"")))</f>
        <v/>
      </c>
      <c r="AH70" s="113">
        <f>IF(AH$13="","",IF($B70="","",IFERROR(Q70*$E70/100,"")))</f>
        <v/>
      </c>
      <c r="AI70" s="113">
        <f>IF(AI$13="","",IF($B70="","",IFERROR(R70*$E70/100,"")))</f>
        <v/>
      </c>
      <c r="AJ70" s="113">
        <f>IF(AJ$13="","",IF($B70="","",IFERROR(S70*$E70/100,"")))</f>
        <v/>
      </c>
      <c r="AK70" s="113">
        <f>IF(AK$13="","",IF($B70="","",IFERROR(T70*$E70/100,"")))</f>
        <v/>
      </c>
      <c r="AL70" s="113">
        <f>IF(AL$13="","",IF($B70="","",IFERROR(U70*$E70/100,"")))</f>
        <v/>
      </c>
    </row>
    <row r="71">
      <c r="B71" s="5">
        <f>IF(AS51!$C$61="","",AS51!$C$61)</f>
        <v/>
      </c>
      <c r="C71" s="86">
        <f>IF(AS51!$B$61="","",AS51!$B$61)</f>
        <v/>
      </c>
      <c r="D71" s="111">
        <f>IFERROR(AS51!$Q$61,1)</f>
        <v/>
      </c>
      <c r="E71" s="112">
        <f>IF($B71="","",IF(ISNUMBER(AS51!$I$61),AS51!$I$61,'Index Summary'!$C$7))</f>
        <v/>
      </c>
      <c r="F71" s="113">
        <f>IF(F$13="","",IF($B71="","",IFERROR($C71*$D71*SUMIFS('Dvd Calendar'!$E$118:$CZ$118,'Dvd Calendar'!$E$117:$CZ$117,"&gt;"&amp;F$12,'Dvd Calendar'!$E$117:$CZ$117,"&lt;="&amp;F$13)/AS51!$B$3,"")))</f>
        <v/>
      </c>
      <c r="G71" s="113">
        <f>IF(G$13="","",IF($B71="","",IFERROR($C71*$D71*SUMIFS('Dvd Calendar'!$E$118:$CZ$118,'Dvd Calendar'!$E$117:$CZ$117,"&gt;"&amp;G$12,'Dvd Calendar'!$E$117:$CZ$117,"&lt;="&amp;G$13)/AS51!$B$3,"")))</f>
        <v/>
      </c>
      <c r="H71" s="113">
        <f>IF(H$13="","",IF($B71="","",IFERROR($C71*$D71*SUMIFS('Dvd Calendar'!$E$118:$CZ$118,'Dvd Calendar'!$E$117:$CZ$117,"&gt;"&amp;H$12,'Dvd Calendar'!$E$117:$CZ$117,"&lt;="&amp;H$13)/AS51!$B$3,"")))</f>
        <v/>
      </c>
      <c r="I71" s="113">
        <f>IF(I$13="","",IF($B71="","",IFERROR($C71*$D71*SUMIFS('Dvd Calendar'!$E$118:$CZ$118,'Dvd Calendar'!$E$117:$CZ$117,"&gt;"&amp;I$12,'Dvd Calendar'!$E$117:$CZ$117,"&lt;="&amp;I$13)/AS51!$B$3,"")))</f>
        <v/>
      </c>
      <c r="J71" s="113">
        <f>IF(J$13="","",IF($B71="","",IFERROR($C71*$D71*SUMIFS('Dvd Calendar'!$E$118:$CZ$118,'Dvd Calendar'!$E$117:$CZ$117,"&gt;"&amp;J$12,'Dvd Calendar'!$E$117:$CZ$117,"&lt;="&amp;J$13)/AS51!$B$3,"")))</f>
        <v/>
      </c>
      <c r="K71" s="113">
        <f>IF(K$13="","",IF($B71="","",IFERROR($C71*$D71*SUMIFS('Dvd Calendar'!$E$118:$CZ$118,'Dvd Calendar'!$E$117:$CZ$117,"&gt;"&amp;K$12,'Dvd Calendar'!$E$117:$CZ$117,"&lt;="&amp;K$13)/AS51!$B$3,"")))</f>
        <v/>
      </c>
      <c r="L71" s="113">
        <f>IF(L$13="","",IF($B71="","",IFERROR($C71*$D71*SUMIFS('Dvd Calendar'!$E$118:$CZ$118,'Dvd Calendar'!$E$117:$CZ$117,"&gt;"&amp;L$12,'Dvd Calendar'!$E$117:$CZ$117,"&lt;="&amp;L$13)/AS51!$B$3,"")))</f>
        <v/>
      </c>
      <c r="M71" s="113">
        <f>IF(M$13="","",IF($B71="","",IFERROR($C71*$D71*SUMIFS('Dvd Calendar'!$E$118:$CZ$118,'Dvd Calendar'!$E$117:$CZ$117,"&gt;"&amp;M$12,'Dvd Calendar'!$E$117:$CZ$117,"&lt;="&amp;M$13)/AS51!$B$3,"")))</f>
        <v/>
      </c>
      <c r="N71" s="113">
        <f>IF(N$13="","",IF($B71="","",IFERROR($C71*$D71*SUMIFS('Dvd Calendar'!$E$118:$CZ$118,'Dvd Calendar'!$E$117:$CZ$117,"&gt;"&amp;N$12,'Dvd Calendar'!$E$117:$CZ$117,"&lt;="&amp;N$13)/AS51!$B$3,"")))</f>
        <v/>
      </c>
      <c r="O71" s="113">
        <f>IF(O$13="","",IF($B71="","",IFERROR($C71*$D71*SUMIFS('Dvd Calendar'!$E$118:$CZ$118,'Dvd Calendar'!$E$117:$CZ$117,"&gt;"&amp;O$12,'Dvd Calendar'!$E$117:$CZ$117,"&lt;="&amp;O$13)/AS51!$B$3,"")))</f>
        <v/>
      </c>
      <c r="P71" s="113">
        <f>IF(P$13="","",IF($B71="","",IFERROR($C71*$D71*SUMIFS('Dvd Calendar'!$E$118:$CZ$118,'Dvd Calendar'!$E$117:$CZ$117,"&gt;"&amp;P$12,'Dvd Calendar'!$E$117:$CZ$117,"&lt;="&amp;P$13)/AS51!$B$3,"")))</f>
        <v/>
      </c>
      <c r="Q71" s="113">
        <f>IF(Q$13="","",IF($B71="","",IFERROR($C71*$D71*SUMIFS('Dvd Calendar'!$E$118:$CZ$118,'Dvd Calendar'!$E$117:$CZ$117,"&gt;"&amp;Q$12,'Dvd Calendar'!$E$117:$CZ$117,"&lt;="&amp;Q$13)/AS51!$B$3,"")))</f>
        <v/>
      </c>
      <c r="R71" s="113">
        <f>IF(R$13="","",IF($B71="","",IFERROR($C71*$D71*SUMIFS('Dvd Calendar'!$E$118:$CZ$118,'Dvd Calendar'!$E$117:$CZ$117,"&gt;"&amp;R$12,'Dvd Calendar'!$E$117:$CZ$117,"&lt;="&amp;R$13)/AS51!$B$3,"")))</f>
        <v/>
      </c>
      <c r="S71" s="113">
        <f>IF(S$13="","",IF($B71="","",IFERROR($C71*$D71*SUMIFS('Dvd Calendar'!$E$118:$CZ$118,'Dvd Calendar'!$E$117:$CZ$117,"&gt;"&amp;S$12,'Dvd Calendar'!$E$117:$CZ$117,"&lt;="&amp;S$13)/AS51!$B$3,"")))</f>
        <v/>
      </c>
      <c r="T71" s="113">
        <f>IF(T$13="","",IF($B71="","",IFERROR($C71*$D71*SUMIFS('Dvd Calendar'!$E$118:$CZ$118,'Dvd Calendar'!$E$117:$CZ$117,"&gt;"&amp;T$12,'Dvd Calendar'!$E$117:$CZ$117,"&lt;="&amp;T$13)/AS51!$B$3,"")))</f>
        <v/>
      </c>
      <c r="U71" s="113">
        <f>IF(U$13="","",IF($B71="","",IFERROR($C71*$D71*SUMIFS('Dvd Calendar'!$E$118:$CZ$118,'Dvd Calendar'!$E$117:$CZ$117,"&gt;"&amp;U$12,'Dvd Calendar'!$E$117:$CZ$117,"&lt;="&amp;U$13)/AS51!$B$3,"")))</f>
        <v/>
      </c>
      <c r="W71" s="113">
        <f>IF(W$13="","",IF($B71="","",IFERROR(F71*$E71/100,"")))</f>
        <v/>
      </c>
      <c r="X71" s="113">
        <f>IF(X$13="","",IF($B71="","",IFERROR(G71*$E71/100,"")))</f>
        <v/>
      </c>
      <c r="Y71" s="113">
        <f>IF(Y$13="","",IF($B71="","",IFERROR(H71*$E71/100,"")))</f>
        <v/>
      </c>
      <c r="Z71" s="113">
        <f>IF(Z$13="","",IF($B71="","",IFERROR(I71*$E71/100,"")))</f>
        <v/>
      </c>
      <c r="AA71" s="113">
        <f>IF(AA$13="","",IF($B71="","",IFERROR(J71*$E71/100,"")))</f>
        <v/>
      </c>
      <c r="AB71" s="113">
        <f>IF(AB$13="","",IF($B71="","",IFERROR(K71*$E71/100,"")))</f>
        <v/>
      </c>
      <c r="AC71" s="113">
        <f>IF(AC$13="","",IF($B71="","",IFERROR(L71*$E71/100,"")))</f>
        <v/>
      </c>
      <c r="AD71" s="113">
        <f>IF(AD$13="","",IF($B71="","",IFERROR(M71*$E71/100,"")))</f>
        <v/>
      </c>
      <c r="AE71" s="113">
        <f>IF(AE$13="","",IF($B71="","",IFERROR(N71*$E71/100,"")))</f>
        <v/>
      </c>
      <c r="AF71" s="113">
        <f>IF(AF$13="","",IF($B71="","",IFERROR(O71*$E71/100,"")))</f>
        <v/>
      </c>
      <c r="AG71" s="113">
        <f>IF(AG$13="","",IF($B71="","",IFERROR(P71*$E71/100,"")))</f>
        <v/>
      </c>
      <c r="AH71" s="113">
        <f>IF(AH$13="","",IF($B71="","",IFERROR(Q71*$E71/100,"")))</f>
        <v/>
      </c>
      <c r="AI71" s="113">
        <f>IF(AI$13="","",IF($B71="","",IFERROR(R71*$E71/100,"")))</f>
        <v/>
      </c>
      <c r="AJ71" s="113">
        <f>IF(AJ$13="","",IF($B71="","",IFERROR(S71*$E71/100,"")))</f>
        <v/>
      </c>
      <c r="AK71" s="113">
        <f>IF(AK$13="","",IF($B71="","",IFERROR(T71*$E71/100,"")))</f>
        <v/>
      </c>
      <c r="AL71" s="113">
        <f>IF(AL$13="","",IF($B71="","",IFERROR(U71*$E71/100,"")))</f>
        <v/>
      </c>
    </row>
    <row r="72">
      <c r="B72" s="5">
        <f>IF(AS51!$C$62="","",AS51!$C$62)</f>
        <v/>
      </c>
      <c r="C72" s="86">
        <f>IF(AS51!$B$62="","",AS51!$B$62)</f>
        <v/>
      </c>
      <c r="D72" s="111">
        <f>IFERROR(AS51!$Q$62,1)</f>
        <v/>
      </c>
      <c r="E72" s="112">
        <f>IF($B72="","",IF(ISNUMBER(AS51!$I$62),AS51!$I$62,'Index Summary'!$C$7))</f>
        <v/>
      </c>
      <c r="F72" s="113">
        <f>IF(F$13="","",IF($B72="","",IFERROR($C72*$D72*SUMIFS('Dvd Calendar'!$E$120:$CZ$120,'Dvd Calendar'!$E$119:$CZ$119,"&gt;"&amp;F$12,'Dvd Calendar'!$E$119:$CZ$119,"&lt;="&amp;F$13)/AS51!$B$3,"")))</f>
        <v/>
      </c>
      <c r="G72" s="113">
        <f>IF(G$13="","",IF($B72="","",IFERROR($C72*$D72*SUMIFS('Dvd Calendar'!$E$120:$CZ$120,'Dvd Calendar'!$E$119:$CZ$119,"&gt;"&amp;G$12,'Dvd Calendar'!$E$119:$CZ$119,"&lt;="&amp;G$13)/AS51!$B$3,"")))</f>
        <v/>
      </c>
      <c r="H72" s="113">
        <f>IF(H$13="","",IF($B72="","",IFERROR($C72*$D72*SUMIFS('Dvd Calendar'!$E$120:$CZ$120,'Dvd Calendar'!$E$119:$CZ$119,"&gt;"&amp;H$12,'Dvd Calendar'!$E$119:$CZ$119,"&lt;="&amp;H$13)/AS51!$B$3,"")))</f>
        <v/>
      </c>
      <c r="I72" s="113">
        <f>IF(I$13="","",IF($B72="","",IFERROR($C72*$D72*SUMIFS('Dvd Calendar'!$E$120:$CZ$120,'Dvd Calendar'!$E$119:$CZ$119,"&gt;"&amp;I$12,'Dvd Calendar'!$E$119:$CZ$119,"&lt;="&amp;I$13)/AS51!$B$3,"")))</f>
        <v/>
      </c>
      <c r="J72" s="113">
        <f>IF(J$13="","",IF($B72="","",IFERROR($C72*$D72*SUMIFS('Dvd Calendar'!$E$120:$CZ$120,'Dvd Calendar'!$E$119:$CZ$119,"&gt;"&amp;J$12,'Dvd Calendar'!$E$119:$CZ$119,"&lt;="&amp;J$13)/AS51!$B$3,"")))</f>
        <v/>
      </c>
      <c r="K72" s="113">
        <f>IF(K$13="","",IF($B72="","",IFERROR($C72*$D72*SUMIFS('Dvd Calendar'!$E$120:$CZ$120,'Dvd Calendar'!$E$119:$CZ$119,"&gt;"&amp;K$12,'Dvd Calendar'!$E$119:$CZ$119,"&lt;="&amp;K$13)/AS51!$B$3,"")))</f>
        <v/>
      </c>
      <c r="L72" s="113">
        <f>IF(L$13="","",IF($B72="","",IFERROR($C72*$D72*SUMIFS('Dvd Calendar'!$E$120:$CZ$120,'Dvd Calendar'!$E$119:$CZ$119,"&gt;"&amp;L$12,'Dvd Calendar'!$E$119:$CZ$119,"&lt;="&amp;L$13)/AS51!$B$3,"")))</f>
        <v/>
      </c>
      <c r="M72" s="113">
        <f>IF(M$13="","",IF($B72="","",IFERROR($C72*$D72*SUMIFS('Dvd Calendar'!$E$120:$CZ$120,'Dvd Calendar'!$E$119:$CZ$119,"&gt;"&amp;M$12,'Dvd Calendar'!$E$119:$CZ$119,"&lt;="&amp;M$13)/AS51!$B$3,"")))</f>
        <v/>
      </c>
      <c r="N72" s="113">
        <f>IF(N$13="","",IF($B72="","",IFERROR($C72*$D72*SUMIFS('Dvd Calendar'!$E$120:$CZ$120,'Dvd Calendar'!$E$119:$CZ$119,"&gt;"&amp;N$12,'Dvd Calendar'!$E$119:$CZ$119,"&lt;="&amp;N$13)/AS51!$B$3,"")))</f>
        <v/>
      </c>
      <c r="O72" s="113">
        <f>IF(O$13="","",IF($B72="","",IFERROR($C72*$D72*SUMIFS('Dvd Calendar'!$E$120:$CZ$120,'Dvd Calendar'!$E$119:$CZ$119,"&gt;"&amp;O$12,'Dvd Calendar'!$E$119:$CZ$119,"&lt;="&amp;O$13)/AS51!$B$3,"")))</f>
        <v/>
      </c>
      <c r="P72" s="113">
        <f>IF(P$13="","",IF($B72="","",IFERROR($C72*$D72*SUMIFS('Dvd Calendar'!$E$120:$CZ$120,'Dvd Calendar'!$E$119:$CZ$119,"&gt;"&amp;P$12,'Dvd Calendar'!$E$119:$CZ$119,"&lt;="&amp;P$13)/AS51!$B$3,"")))</f>
        <v/>
      </c>
      <c r="Q72" s="113">
        <f>IF(Q$13="","",IF($B72="","",IFERROR($C72*$D72*SUMIFS('Dvd Calendar'!$E$120:$CZ$120,'Dvd Calendar'!$E$119:$CZ$119,"&gt;"&amp;Q$12,'Dvd Calendar'!$E$119:$CZ$119,"&lt;="&amp;Q$13)/AS51!$B$3,"")))</f>
        <v/>
      </c>
      <c r="R72" s="113">
        <f>IF(R$13="","",IF($B72="","",IFERROR($C72*$D72*SUMIFS('Dvd Calendar'!$E$120:$CZ$120,'Dvd Calendar'!$E$119:$CZ$119,"&gt;"&amp;R$12,'Dvd Calendar'!$E$119:$CZ$119,"&lt;="&amp;R$13)/AS51!$B$3,"")))</f>
        <v/>
      </c>
      <c r="S72" s="113">
        <f>IF(S$13="","",IF($B72="","",IFERROR($C72*$D72*SUMIFS('Dvd Calendar'!$E$120:$CZ$120,'Dvd Calendar'!$E$119:$CZ$119,"&gt;"&amp;S$12,'Dvd Calendar'!$E$119:$CZ$119,"&lt;="&amp;S$13)/AS51!$B$3,"")))</f>
        <v/>
      </c>
      <c r="T72" s="113">
        <f>IF(T$13="","",IF($B72="","",IFERROR($C72*$D72*SUMIFS('Dvd Calendar'!$E$120:$CZ$120,'Dvd Calendar'!$E$119:$CZ$119,"&gt;"&amp;T$12,'Dvd Calendar'!$E$119:$CZ$119,"&lt;="&amp;T$13)/AS51!$B$3,"")))</f>
        <v/>
      </c>
      <c r="U72" s="113">
        <f>IF(U$13="","",IF($B72="","",IFERROR($C72*$D72*SUMIFS('Dvd Calendar'!$E$120:$CZ$120,'Dvd Calendar'!$E$119:$CZ$119,"&gt;"&amp;U$12,'Dvd Calendar'!$E$119:$CZ$119,"&lt;="&amp;U$13)/AS51!$B$3,"")))</f>
        <v/>
      </c>
      <c r="W72" s="113">
        <f>IF(W$13="","",IF($B72="","",IFERROR(F72*$E72/100,"")))</f>
        <v/>
      </c>
      <c r="X72" s="113">
        <f>IF(X$13="","",IF($B72="","",IFERROR(G72*$E72/100,"")))</f>
        <v/>
      </c>
      <c r="Y72" s="113">
        <f>IF(Y$13="","",IF($B72="","",IFERROR(H72*$E72/100,"")))</f>
        <v/>
      </c>
      <c r="Z72" s="113">
        <f>IF(Z$13="","",IF($B72="","",IFERROR(I72*$E72/100,"")))</f>
        <v/>
      </c>
      <c r="AA72" s="113">
        <f>IF(AA$13="","",IF($B72="","",IFERROR(J72*$E72/100,"")))</f>
        <v/>
      </c>
      <c r="AB72" s="113">
        <f>IF(AB$13="","",IF($B72="","",IFERROR(K72*$E72/100,"")))</f>
        <v/>
      </c>
      <c r="AC72" s="113">
        <f>IF(AC$13="","",IF($B72="","",IFERROR(L72*$E72/100,"")))</f>
        <v/>
      </c>
      <c r="AD72" s="113">
        <f>IF(AD$13="","",IF($B72="","",IFERROR(M72*$E72/100,"")))</f>
        <v/>
      </c>
      <c r="AE72" s="113">
        <f>IF(AE$13="","",IF($B72="","",IFERROR(N72*$E72/100,"")))</f>
        <v/>
      </c>
      <c r="AF72" s="113">
        <f>IF(AF$13="","",IF($B72="","",IFERROR(O72*$E72/100,"")))</f>
        <v/>
      </c>
      <c r="AG72" s="113">
        <f>IF(AG$13="","",IF($B72="","",IFERROR(P72*$E72/100,"")))</f>
        <v/>
      </c>
      <c r="AH72" s="113">
        <f>IF(AH$13="","",IF($B72="","",IFERROR(Q72*$E72/100,"")))</f>
        <v/>
      </c>
      <c r="AI72" s="113">
        <f>IF(AI$13="","",IF($B72="","",IFERROR(R72*$E72/100,"")))</f>
        <v/>
      </c>
      <c r="AJ72" s="113">
        <f>IF(AJ$13="","",IF($B72="","",IFERROR(S72*$E72/100,"")))</f>
        <v/>
      </c>
      <c r="AK72" s="113">
        <f>IF(AK$13="","",IF($B72="","",IFERROR(T72*$E72/100,"")))</f>
        <v/>
      </c>
      <c r="AL72" s="113">
        <f>IF(AL$13="","",IF($B72="","",IFERROR(U72*$E72/100,"")))</f>
        <v/>
      </c>
    </row>
    <row r="73">
      <c r="B73" s="5">
        <f>IF(AS51!$C$63="","",AS51!$C$63)</f>
        <v/>
      </c>
      <c r="C73" s="86">
        <f>IF(AS51!$B$63="","",AS51!$B$63)</f>
        <v/>
      </c>
      <c r="D73" s="111">
        <f>IFERROR(AS51!$Q$63,1)</f>
        <v/>
      </c>
      <c r="E73" s="112">
        <f>IF($B73="","",IF(ISNUMBER(AS51!$I$63),AS51!$I$63,'Index Summary'!$C$7))</f>
        <v/>
      </c>
      <c r="F73" s="113">
        <f>IF(F$13="","",IF($B73="","",IFERROR($C73*$D73*SUMIFS('Dvd Calendar'!$E$122:$CZ$122,'Dvd Calendar'!$E$121:$CZ$121,"&gt;"&amp;F$12,'Dvd Calendar'!$E$121:$CZ$121,"&lt;="&amp;F$13)/AS51!$B$3,"")))</f>
        <v/>
      </c>
      <c r="G73" s="113">
        <f>IF(G$13="","",IF($B73="","",IFERROR($C73*$D73*SUMIFS('Dvd Calendar'!$E$122:$CZ$122,'Dvd Calendar'!$E$121:$CZ$121,"&gt;"&amp;G$12,'Dvd Calendar'!$E$121:$CZ$121,"&lt;="&amp;G$13)/AS51!$B$3,"")))</f>
        <v/>
      </c>
      <c r="H73" s="113">
        <f>IF(H$13="","",IF($B73="","",IFERROR($C73*$D73*SUMIFS('Dvd Calendar'!$E$122:$CZ$122,'Dvd Calendar'!$E$121:$CZ$121,"&gt;"&amp;H$12,'Dvd Calendar'!$E$121:$CZ$121,"&lt;="&amp;H$13)/AS51!$B$3,"")))</f>
        <v/>
      </c>
      <c r="I73" s="113">
        <f>IF(I$13="","",IF($B73="","",IFERROR($C73*$D73*SUMIFS('Dvd Calendar'!$E$122:$CZ$122,'Dvd Calendar'!$E$121:$CZ$121,"&gt;"&amp;I$12,'Dvd Calendar'!$E$121:$CZ$121,"&lt;="&amp;I$13)/AS51!$B$3,"")))</f>
        <v/>
      </c>
      <c r="J73" s="113">
        <f>IF(J$13="","",IF($B73="","",IFERROR($C73*$D73*SUMIFS('Dvd Calendar'!$E$122:$CZ$122,'Dvd Calendar'!$E$121:$CZ$121,"&gt;"&amp;J$12,'Dvd Calendar'!$E$121:$CZ$121,"&lt;="&amp;J$13)/AS51!$B$3,"")))</f>
        <v/>
      </c>
      <c r="K73" s="113">
        <f>IF(K$13="","",IF($B73="","",IFERROR($C73*$D73*SUMIFS('Dvd Calendar'!$E$122:$CZ$122,'Dvd Calendar'!$E$121:$CZ$121,"&gt;"&amp;K$12,'Dvd Calendar'!$E$121:$CZ$121,"&lt;="&amp;K$13)/AS51!$B$3,"")))</f>
        <v/>
      </c>
      <c r="L73" s="113">
        <f>IF(L$13="","",IF($B73="","",IFERROR($C73*$D73*SUMIFS('Dvd Calendar'!$E$122:$CZ$122,'Dvd Calendar'!$E$121:$CZ$121,"&gt;"&amp;L$12,'Dvd Calendar'!$E$121:$CZ$121,"&lt;="&amp;L$13)/AS51!$B$3,"")))</f>
        <v/>
      </c>
      <c r="M73" s="113">
        <f>IF(M$13="","",IF($B73="","",IFERROR($C73*$D73*SUMIFS('Dvd Calendar'!$E$122:$CZ$122,'Dvd Calendar'!$E$121:$CZ$121,"&gt;"&amp;M$12,'Dvd Calendar'!$E$121:$CZ$121,"&lt;="&amp;M$13)/AS51!$B$3,"")))</f>
        <v/>
      </c>
      <c r="N73" s="113">
        <f>IF(N$13="","",IF($B73="","",IFERROR($C73*$D73*SUMIFS('Dvd Calendar'!$E$122:$CZ$122,'Dvd Calendar'!$E$121:$CZ$121,"&gt;"&amp;N$12,'Dvd Calendar'!$E$121:$CZ$121,"&lt;="&amp;N$13)/AS51!$B$3,"")))</f>
        <v/>
      </c>
      <c r="O73" s="113">
        <f>IF(O$13="","",IF($B73="","",IFERROR($C73*$D73*SUMIFS('Dvd Calendar'!$E$122:$CZ$122,'Dvd Calendar'!$E$121:$CZ$121,"&gt;"&amp;O$12,'Dvd Calendar'!$E$121:$CZ$121,"&lt;="&amp;O$13)/AS51!$B$3,"")))</f>
        <v/>
      </c>
      <c r="P73" s="113">
        <f>IF(P$13="","",IF($B73="","",IFERROR($C73*$D73*SUMIFS('Dvd Calendar'!$E$122:$CZ$122,'Dvd Calendar'!$E$121:$CZ$121,"&gt;"&amp;P$12,'Dvd Calendar'!$E$121:$CZ$121,"&lt;="&amp;P$13)/AS51!$B$3,"")))</f>
        <v/>
      </c>
      <c r="Q73" s="113">
        <f>IF(Q$13="","",IF($B73="","",IFERROR($C73*$D73*SUMIFS('Dvd Calendar'!$E$122:$CZ$122,'Dvd Calendar'!$E$121:$CZ$121,"&gt;"&amp;Q$12,'Dvd Calendar'!$E$121:$CZ$121,"&lt;="&amp;Q$13)/AS51!$B$3,"")))</f>
        <v/>
      </c>
      <c r="R73" s="113">
        <f>IF(R$13="","",IF($B73="","",IFERROR($C73*$D73*SUMIFS('Dvd Calendar'!$E$122:$CZ$122,'Dvd Calendar'!$E$121:$CZ$121,"&gt;"&amp;R$12,'Dvd Calendar'!$E$121:$CZ$121,"&lt;="&amp;R$13)/AS51!$B$3,"")))</f>
        <v/>
      </c>
      <c r="S73" s="113">
        <f>IF(S$13="","",IF($B73="","",IFERROR($C73*$D73*SUMIFS('Dvd Calendar'!$E$122:$CZ$122,'Dvd Calendar'!$E$121:$CZ$121,"&gt;"&amp;S$12,'Dvd Calendar'!$E$121:$CZ$121,"&lt;="&amp;S$13)/AS51!$B$3,"")))</f>
        <v/>
      </c>
      <c r="T73" s="113">
        <f>IF(T$13="","",IF($B73="","",IFERROR($C73*$D73*SUMIFS('Dvd Calendar'!$E$122:$CZ$122,'Dvd Calendar'!$E$121:$CZ$121,"&gt;"&amp;T$12,'Dvd Calendar'!$E$121:$CZ$121,"&lt;="&amp;T$13)/AS51!$B$3,"")))</f>
        <v/>
      </c>
      <c r="U73" s="113">
        <f>IF(U$13="","",IF($B73="","",IFERROR($C73*$D73*SUMIFS('Dvd Calendar'!$E$122:$CZ$122,'Dvd Calendar'!$E$121:$CZ$121,"&gt;"&amp;U$12,'Dvd Calendar'!$E$121:$CZ$121,"&lt;="&amp;U$13)/AS51!$B$3,"")))</f>
        <v/>
      </c>
      <c r="W73" s="113">
        <f>IF(W$13="","",IF($B73="","",IFERROR(F73*$E73/100,"")))</f>
        <v/>
      </c>
      <c r="X73" s="113">
        <f>IF(X$13="","",IF($B73="","",IFERROR(G73*$E73/100,"")))</f>
        <v/>
      </c>
      <c r="Y73" s="113">
        <f>IF(Y$13="","",IF($B73="","",IFERROR(H73*$E73/100,"")))</f>
        <v/>
      </c>
      <c r="Z73" s="113">
        <f>IF(Z$13="","",IF($B73="","",IFERROR(I73*$E73/100,"")))</f>
        <v/>
      </c>
      <c r="AA73" s="113">
        <f>IF(AA$13="","",IF($B73="","",IFERROR(J73*$E73/100,"")))</f>
        <v/>
      </c>
      <c r="AB73" s="113">
        <f>IF(AB$13="","",IF($B73="","",IFERROR(K73*$E73/100,"")))</f>
        <v/>
      </c>
      <c r="AC73" s="113">
        <f>IF(AC$13="","",IF($B73="","",IFERROR(L73*$E73/100,"")))</f>
        <v/>
      </c>
      <c r="AD73" s="113">
        <f>IF(AD$13="","",IF($B73="","",IFERROR(M73*$E73/100,"")))</f>
        <v/>
      </c>
      <c r="AE73" s="113">
        <f>IF(AE$13="","",IF($B73="","",IFERROR(N73*$E73/100,"")))</f>
        <v/>
      </c>
      <c r="AF73" s="113">
        <f>IF(AF$13="","",IF($B73="","",IFERROR(O73*$E73/100,"")))</f>
        <v/>
      </c>
      <c r="AG73" s="113">
        <f>IF(AG$13="","",IF($B73="","",IFERROR(P73*$E73/100,"")))</f>
        <v/>
      </c>
      <c r="AH73" s="113">
        <f>IF(AH$13="","",IF($B73="","",IFERROR(Q73*$E73/100,"")))</f>
        <v/>
      </c>
      <c r="AI73" s="113">
        <f>IF(AI$13="","",IF($B73="","",IFERROR(R73*$E73/100,"")))</f>
        <v/>
      </c>
      <c r="AJ73" s="113">
        <f>IF(AJ$13="","",IF($B73="","",IFERROR(S73*$E73/100,"")))</f>
        <v/>
      </c>
      <c r="AK73" s="113">
        <f>IF(AK$13="","",IF($B73="","",IFERROR(T73*$E73/100,"")))</f>
        <v/>
      </c>
      <c r="AL73" s="113">
        <f>IF(AL$13="","",IF($B73="","",IFERROR(U73*$E73/100,"")))</f>
        <v/>
      </c>
    </row>
    <row r="74">
      <c r="B74" s="5">
        <f>IF(AS51!$C$64="","",AS51!$C$64)</f>
        <v/>
      </c>
      <c r="C74" s="86">
        <f>IF(AS51!$B$64="","",AS51!$B$64)</f>
        <v/>
      </c>
      <c r="D74" s="111">
        <f>IFERROR(AS51!$Q$64,1)</f>
        <v/>
      </c>
      <c r="E74" s="112">
        <f>IF($B74="","",IF(ISNUMBER(AS51!$I$64),AS51!$I$64,'Index Summary'!$C$7))</f>
        <v/>
      </c>
      <c r="F74" s="113">
        <f>IF(F$13="","",IF($B74="","",IFERROR($C74*$D74*SUMIFS('Dvd Calendar'!$E$124:$CZ$124,'Dvd Calendar'!$E$123:$CZ$123,"&gt;"&amp;F$12,'Dvd Calendar'!$E$123:$CZ$123,"&lt;="&amp;F$13)/AS51!$B$3,"")))</f>
        <v/>
      </c>
      <c r="G74" s="113">
        <f>IF(G$13="","",IF($B74="","",IFERROR($C74*$D74*SUMIFS('Dvd Calendar'!$E$124:$CZ$124,'Dvd Calendar'!$E$123:$CZ$123,"&gt;"&amp;G$12,'Dvd Calendar'!$E$123:$CZ$123,"&lt;="&amp;G$13)/AS51!$B$3,"")))</f>
        <v/>
      </c>
      <c r="H74" s="113">
        <f>IF(H$13="","",IF($B74="","",IFERROR($C74*$D74*SUMIFS('Dvd Calendar'!$E$124:$CZ$124,'Dvd Calendar'!$E$123:$CZ$123,"&gt;"&amp;H$12,'Dvd Calendar'!$E$123:$CZ$123,"&lt;="&amp;H$13)/AS51!$B$3,"")))</f>
        <v/>
      </c>
      <c r="I74" s="113">
        <f>IF(I$13="","",IF($B74="","",IFERROR($C74*$D74*SUMIFS('Dvd Calendar'!$E$124:$CZ$124,'Dvd Calendar'!$E$123:$CZ$123,"&gt;"&amp;I$12,'Dvd Calendar'!$E$123:$CZ$123,"&lt;="&amp;I$13)/AS51!$B$3,"")))</f>
        <v/>
      </c>
      <c r="J74" s="113">
        <f>IF(J$13="","",IF($B74="","",IFERROR($C74*$D74*SUMIFS('Dvd Calendar'!$E$124:$CZ$124,'Dvd Calendar'!$E$123:$CZ$123,"&gt;"&amp;J$12,'Dvd Calendar'!$E$123:$CZ$123,"&lt;="&amp;J$13)/AS51!$B$3,"")))</f>
        <v/>
      </c>
      <c r="K74" s="113">
        <f>IF(K$13="","",IF($B74="","",IFERROR($C74*$D74*SUMIFS('Dvd Calendar'!$E$124:$CZ$124,'Dvd Calendar'!$E$123:$CZ$123,"&gt;"&amp;K$12,'Dvd Calendar'!$E$123:$CZ$123,"&lt;="&amp;K$13)/AS51!$B$3,"")))</f>
        <v/>
      </c>
      <c r="L74" s="113">
        <f>IF(L$13="","",IF($B74="","",IFERROR($C74*$D74*SUMIFS('Dvd Calendar'!$E$124:$CZ$124,'Dvd Calendar'!$E$123:$CZ$123,"&gt;"&amp;L$12,'Dvd Calendar'!$E$123:$CZ$123,"&lt;="&amp;L$13)/AS51!$B$3,"")))</f>
        <v/>
      </c>
      <c r="M74" s="113">
        <f>IF(M$13="","",IF($B74="","",IFERROR($C74*$D74*SUMIFS('Dvd Calendar'!$E$124:$CZ$124,'Dvd Calendar'!$E$123:$CZ$123,"&gt;"&amp;M$12,'Dvd Calendar'!$E$123:$CZ$123,"&lt;="&amp;M$13)/AS51!$B$3,"")))</f>
        <v/>
      </c>
      <c r="N74" s="113">
        <f>IF(N$13="","",IF($B74="","",IFERROR($C74*$D74*SUMIFS('Dvd Calendar'!$E$124:$CZ$124,'Dvd Calendar'!$E$123:$CZ$123,"&gt;"&amp;N$12,'Dvd Calendar'!$E$123:$CZ$123,"&lt;="&amp;N$13)/AS51!$B$3,"")))</f>
        <v/>
      </c>
      <c r="O74" s="113">
        <f>IF(O$13="","",IF($B74="","",IFERROR($C74*$D74*SUMIFS('Dvd Calendar'!$E$124:$CZ$124,'Dvd Calendar'!$E$123:$CZ$123,"&gt;"&amp;O$12,'Dvd Calendar'!$E$123:$CZ$123,"&lt;="&amp;O$13)/AS51!$B$3,"")))</f>
        <v/>
      </c>
      <c r="P74" s="113">
        <f>IF(P$13="","",IF($B74="","",IFERROR($C74*$D74*SUMIFS('Dvd Calendar'!$E$124:$CZ$124,'Dvd Calendar'!$E$123:$CZ$123,"&gt;"&amp;P$12,'Dvd Calendar'!$E$123:$CZ$123,"&lt;="&amp;P$13)/AS51!$B$3,"")))</f>
        <v/>
      </c>
      <c r="Q74" s="113">
        <f>IF(Q$13="","",IF($B74="","",IFERROR($C74*$D74*SUMIFS('Dvd Calendar'!$E$124:$CZ$124,'Dvd Calendar'!$E$123:$CZ$123,"&gt;"&amp;Q$12,'Dvd Calendar'!$E$123:$CZ$123,"&lt;="&amp;Q$13)/AS51!$B$3,"")))</f>
        <v/>
      </c>
      <c r="R74" s="113">
        <f>IF(R$13="","",IF($B74="","",IFERROR($C74*$D74*SUMIFS('Dvd Calendar'!$E$124:$CZ$124,'Dvd Calendar'!$E$123:$CZ$123,"&gt;"&amp;R$12,'Dvd Calendar'!$E$123:$CZ$123,"&lt;="&amp;R$13)/AS51!$B$3,"")))</f>
        <v/>
      </c>
      <c r="S74" s="113">
        <f>IF(S$13="","",IF($B74="","",IFERROR($C74*$D74*SUMIFS('Dvd Calendar'!$E$124:$CZ$124,'Dvd Calendar'!$E$123:$CZ$123,"&gt;"&amp;S$12,'Dvd Calendar'!$E$123:$CZ$123,"&lt;="&amp;S$13)/AS51!$B$3,"")))</f>
        <v/>
      </c>
      <c r="T74" s="113">
        <f>IF(T$13="","",IF($B74="","",IFERROR($C74*$D74*SUMIFS('Dvd Calendar'!$E$124:$CZ$124,'Dvd Calendar'!$E$123:$CZ$123,"&gt;"&amp;T$12,'Dvd Calendar'!$E$123:$CZ$123,"&lt;="&amp;T$13)/AS51!$B$3,"")))</f>
        <v/>
      </c>
      <c r="U74" s="113">
        <f>IF(U$13="","",IF($B74="","",IFERROR($C74*$D74*SUMIFS('Dvd Calendar'!$E$124:$CZ$124,'Dvd Calendar'!$E$123:$CZ$123,"&gt;"&amp;U$12,'Dvd Calendar'!$E$123:$CZ$123,"&lt;="&amp;U$13)/AS51!$B$3,"")))</f>
        <v/>
      </c>
      <c r="W74" s="113">
        <f>IF(W$13="","",IF($B74="","",IFERROR(F74*$E74/100,"")))</f>
        <v/>
      </c>
      <c r="X74" s="113">
        <f>IF(X$13="","",IF($B74="","",IFERROR(G74*$E74/100,"")))</f>
        <v/>
      </c>
      <c r="Y74" s="113">
        <f>IF(Y$13="","",IF($B74="","",IFERROR(H74*$E74/100,"")))</f>
        <v/>
      </c>
      <c r="Z74" s="113">
        <f>IF(Z$13="","",IF($B74="","",IFERROR(I74*$E74/100,"")))</f>
        <v/>
      </c>
      <c r="AA74" s="113">
        <f>IF(AA$13="","",IF($B74="","",IFERROR(J74*$E74/100,"")))</f>
        <v/>
      </c>
      <c r="AB74" s="113">
        <f>IF(AB$13="","",IF($B74="","",IFERROR(K74*$E74/100,"")))</f>
        <v/>
      </c>
      <c r="AC74" s="113">
        <f>IF(AC$13="","",IF($B74="","",IFERROR(L74*$E74/100,"")))</f>
        <v/>
      </c>
      <c r="AD74" s="113">
        <f>IF(AD$13="","",IF($B74="","",IFERROR(M74*$E74/100,"")))</f>
        <v/>
      </c>
      <c r="AE74" s="113">
        <f>IF(AE$13="","",IF($B74="","",IFERROR(N74*$E74/100,"")))</f>
        <v/>
      </c>
      <c r="AF74" s="113">
        <f>IF(AF$13="","",IF($B74="","",IFERROR(O74*$E74/100,"")))</f>
        <v/>
      </c>
      <c r="AG74" s="113">
        <f>IF(AG$13="","",IF($B74="","",IFERROR(P74*$E74/100,"")))</f>
        <v/>
      </c>
      <c r="AH74" s="113">
        <f>IF(AH$13="","",IF($B74="","",IFERROR(Q74*$E74/100,"")))</f>
        <v/>
      </c>
      <c r="AI74" s="113">
        <f>IF(AI$13="","",IF($B74="","",IFERROR(R74*$E74/100,"")))</f>
        <v/>
      </c>
      <c r="AJ74" s="113">
        <f>IF(AJ$13="","",IF($B74="","",IFERROR(S74*$E74/100,"")))</f>
        <v/>
      </c>
      <c r="AK74" s="113">
        <f>IF(AK$13="","",IF($B74="","",IFERROR(T74*$E74/100,"")))</f>
        <v/>
      </c>
      <c r="AL74" s="113">
        <f>IF(AL$13="","",IF($B74="","",IFERROR(U74*$E74/100,"")))</f>
        <v/>
      </c>
    </row>
    <row r="75">
      <c r="B75" s="5">
        <f>IF(AS51!$C$65="","",AS51!$C$65)</f>
        <v/>
      </c>
      <c r="C75" s="86">
        <f>IF(AS51!$B$65="","",AS51!$B$65)</f>
        <v/>
      </c>
      <c r="D75" s="111">
        <f>IFERROR(AS51!$Q$65,1)</f>
        <v/>
      </c>
      <c r="E75" s="112">
        <f>IF($B75="","",IF(ISNUMBER(AS51!$I$65),AS51!$I$65,'Index Summary'!$C$7))</f>
        <v/>
      </c>
      <c r="F75" s="113">
        <f>IF(F$13="","",IF($B75="","",IFERROR($C75*$D75*SUMIFS('Dvd Calendar'!$E$126:$CZ$126,'Dvd Calendar'!$E$125:$CZ$125,"&gt;"&amp;F$12,'Dvd Calendar'!$E$125:$CZ$125,"&lt;="&amp;F$13)/AS51!$B$3,"")))</f>
        <v/>
      </c>
      <c r="G75" s="113">
        <f>IF(G$13="","",IF($B75="","",IFERROR($C75*$D75*SUMIFS('Dvd Calendar'!$E$126:$CZ$126,'Dvd Calendar'!$E$125:$CZ$125,"&gt;"&amp;G$12,'Dvd Calendar'!$E$125:$CZ$125,"&lt;="&amp;G$13)/AS51!$B$3,"")))</f>
        <v/>
      </c>
      <c r="H75" s="113">
        <f>IF(H$13="","",IF($B75="","",IFERROR($C75*$D75*SUMIFS('Dvd Calendar'!$E$126:$CZ$126,'Dvd Calendar'!$E$125:$CZ$125,"&gt;"&amp;H$12,'Dvd Calendar'!$E$125:$CZ$125,"&lt;="&amp;H$13)/AS51!$B$3,"")))</f>
        <v/>
      </c>
      <c r="I75" s="113">
        <f>IF(I$13="","",IF($B75="","",IFERROR($C75*$D75*SUMIFS('Dvd Calendar'!$E$126:$CZ$126,'Dvd Calendar'!$E$125:$CZ$125,"&gt;"&amp;I$12,'Dvd Calendar'!$E$125:$CZ$125,"&lt;="&amp;I$13)/AS51!$B$3,"")))</f>
        <v/>
      </c>
      <c r="J75" s="113">
        <f>IF(J$13="","",IF($B75="","",IFERROR($C75*$D75*SUMIFS('Dvd Calendar'!$E$126:$CZ$126,'Dvd Calendar'!$E$125:$CZ$125,"&gt;"&amp;J$12,'Dvd Calendar'!$E$125:$CZ$125,"&lt;="&amp;J$13)/AS51!$B$3,"")))</f>
        <v/>
      </c>
      <c r="K75" s="113">
        <f>IF(K$13="","",IF($B75="","",IFERROR($C75*$D75*SUMIFS('Dvd Calendar'!$E$126:$CZ$126,'Dvd Calendar'!$E$125:$CZ$125,"&gt;"&amp;K$12,'Dvd Calendar'!$E$125:$CZ$125,"&lt;="&amp;K$13)/AS51!$B$3,"")))</f>
        <v/>
      </c>
      <c r="L75" s="113">
        <f>IF(L$13="","",IF($B75="","",IFERROR($C75*$D75*SUMIFS('Dvd Calendar'!$E$126:$CZ$126,'Dvd Calendar'!$E$125:$CZ$125,"&gt;"&amp;L$12,'Dvd Calendar'!$E$125:$CZ$125,"&lt;="&amp;L$13)/AS51!$B$3,"")))</f>
        <v/>
      </c>
      <c r="M75" s="113">
        <f>IF(M$13="","",IF($B75="","",IFERROR($C75*$D75*SUMIFS('Dvd Calendar'!$E$126:$CZ$126,'Dvd Calendar'!$E$125:$CZ$125,"&gt;"&amp;M$12,'Dvd Calendar'!$E$125:$CZ$125,"&lt;="&amp;M$13)/AS51!$B$3,"")))</f>
        <v/>
      </c>
      <c r="N75" s="113">
        <f>IF(N$13="","",IF($B75="","",IFERROR($C75*$D75*SUMIFS('Dvd Calendar'!$E$126:$CZ$126,'Dvd Calendar'!$E$125:$CZ$125,"&gt;"&amp;N$12,'Dvd Calendar'!$E$125:$CZ$125,"&lt;="&amp;N$13)/AS51!$B$3,"")))</f>
        <v/>
      </c>
      <c r="O75" s="113">
        <f>IF(O$13="","",IF($B75="","",IFERROR($C75*$D75*SUMIFS('Dvd Calendar'!$E$126:$CZ$126,'Dvd Calendar'!$E$125:$CZ$125,"&gt;"&amp;O$12,'Dvd Calendar'!$E$125:$CZ$125,"&lt;="&amp;O$13)/AS51!$B$3,"")))</f>
        <v/>
      </c>
      <c r="P75" s="113">
        <f>IF(P$13="","",IF($B75="","",IFERROR($C75*$D75*SUMIFS('Dvd Calendar'!$E$126:$CZ$126,'Dvd Calendar'!$E$125:$CZ$125,"&gt;"&amp;P$12,'Dvd Calendar'!$E$125:$CZ$125,"&lt;="&amp;P$13)/AS51!$B$3,"")))</f>
        <v/>
      </c>
      <c r="Q75" s="113">
        <f>IF(Q$13="","",IF($B75="","",IFERROR($C75*$D75*SUMIFS('Dvd Calendar'!$E$126:$CZ$126,'Dvd Calendar'!$E$125:$CZ$125,"&gt;"&amp;Q$12,'Dvd Calendar'!$E$125:$CZ$125,"&lt;="&amp;Q$13)/AS51!$B$3,"")))</f>
        <v/>
      </c>
      <c r="R75" s="113">
        <f>IF(R$13="","",IF($B75="","",IFERROR($C75*$D75*SUMIFS('Dvd Calendar'!$E$126:$CZ$126,'Dvd Calendar'!$E$125:$CZ$125,"&gt;"&amp;R$12,'Dvd Calendar'!$E$125:$CZ$125,"&lt;="&amp;R$13)/AS51!$B$3,"")))</f>
        <v/>
      </c>
      <c r="S75" s="113">
        <f>IF(S$13="","",IF($B75="","",IFERROR($C75*$D75*SUMIFS('Dvd Calendar'!$E$126:$CZ$126,'Dvd Calendar'!$E$125:$CZ$125,"&gt;"&amp;S$12,'Dvd Calendar'!$E$125:$CZ$125,"&lt;="&amp;S$13)/AS51!$B$3,"")))</f>
        <v/>
      </c>
      <c r="T75" s="113">
        <f>IF(T$13="","",IF($B75="","",IFERROR($C75*$D75*SUMIFS('Dvd Calendar'!$E$126:$CZ$126,'Dvd Calendar'!$E$125:$CZ$125,"&gt;"&amp;T$12,'Dvd Calendar'!$E$125:$CZ$125,"&lt;="&amp;T$13)/AS51!$B$3,"")))</f>
        <v/>
      </c>
      <c r="U75" s="113">
        <f>IF(U$13="","",IF($B75="","",IFERROR($C75*$D75*SUMIFS('Dvd Calendar'!$E$126:$CZ$126,'Dvd Calendar'!$E$125:$CZ$125,"&gt;"&amp;U$12,'Dvd Calendar'!$E$125:$CZ$125,"&lt;="&amp;U$13)/AS51!$B$3,"")))</f>
        <v/>
      </c>
      <c r="W75" s="113">
        <f>IF(W$13="","",IF($B75="","",IFERROR(F75*$E75/100,"")))</f>
        <v/>
      </c>
      <c r="X75" s="113">
        <f>IF(X$13="","",IF($B75="","",IFERROR(G75*$E75/100,"")))</f>
        <v/>
      </c>
      <c r="Y75" s="113">
        <f>IF(Y$13="","",IF($B75="","",IFERROR(H75*$E75/100,"")))</f>
        <v/>
      </c>
      <c r="Z75" s="113">
        <f>IF(Z$13="","",IF($B75="","",IFERROR(I75*$E75/100,"")))</f>
        <v/>
      </c>
      <c r="AA75" s="113">
        <f>IF(AA$13="","",IF($B75="","",IFERROR(J75*$E75/100,"")))</f>
        <v/>
      </c>
      <c r="AB75" s="113">
        <f>IF(AB$13="","",IF($B75="","",IFERROR(K75*$E75/100,"")))</f>
        <v/>
      </c>
      <c r="AC75" s="113">
        <f>IF(AC$13="","",IF($B75="","",IFERROR(L75*$E75/100,"")))</f>
        <v/>
      </c>
      <c r="AD75" s="113">
        <f>IF(AD$13="","",IF($B75="","",IFERROR(M75*$E75/100,"")))</f>
        <v/>
      </c>
      <c r="AE75" s="113">
        <f>IF(AE$13="","",IF($B75="","",IFERROR(N75*$E75/100,"")))</f>
        <v/>
      </c>
      <c r="AF75" s="113">
        <f>IF(AF$13="","",IF($B75="","",IFERROR(O75*$E75/100,"")))</f>
        <v/>
      </c>
      <c r="AG75" s="113">
        <f>IF(AG$13="","",IF($B75="","",IFERROR(P75*$E75/100,"")))</f>
        <v/>
      </c>
      <c r="AH75" s="113">
        <f>IF(AH$13="","",IF($B75="","",IFERROR(Q75*$E75/100,"")))</f>
        <v/>
      </c>
      <c r="AI75" s="113">
        <f>IF(AI$13="","",IF($B75="","",IFERROR(R75*$E75/100,"")))</f>
        <v/>
      </c>
      <c r="AJ75" s="113">
        <f>IF(AJ$13="","",IF($B75="","",IFERROR(S75*$E75/100,"")))</f>
        <v/>
      </c>
      <c r="AK75" s="113">
        <f>IF(AK$13="","",IF($B75="","",IFERROR(T75*$E75/100,"")))</f>
        <v/>
      </c>
      <c r="AL75" s="113">
        <f>IF(AL$13="","",IF($B75="","",IFERROR(U75*$E75/100,"")))</f>
        <v/>
      </c>
    </row>
    <row r="76">
      <c r="B76" s="5">
        <f>IF(AS51!$C$66="","",AS51!$C$66)</f>
        <v/>
      </c>
      <c r="C76" s="86">
        <f>IF(AS51!$B$66="","",AS51!$B$66)</f>
        <v/>
      </c>
      <c r="D76" s="111">
        <f>IFERROR(AS51!$Q$66,1)</f>
        <v/>
      </c>
      <c r="E76" s="112">
        <f>IF($B76="","",IF(ISNUMBER(AS51!$I$66),AS51!$I$66,'Index Summary'!$C$7))</f>
        <v/>
      </c>
      <c r="F76" s="113">
        <f>IF(F$13="","",IF($B76="","",IFERROR($C76*$D76*SUMIFS('Dvd Calendar'!$E$128:$CZ$128,'Dvd Calendar'!$E$127:$CZ$127,"&gt;"&amp;F$12,'Dvd Calendar'!$E$127:$CZ$127,"&lt;="&amp;F$13)/AS51!$B$3,"")))</f>
        <v/>
      </c>
      <c r="G76" s="113">
        <f>IF(G$13="","",IF($B76="","",IFERROR($C76*$D76*SUMIFS('Dvd Calendar'!$E$128:$CZ$128,'Dvd Calendar'!$E$127:$CZ$127,"&gt;"&amp;G$12,'Dvd Calendar'!$E$127:$CZ$127,"&lt;="&amp;G$13)/AS51!$B$3,"")))</f>
        <v/>
      </c>
      <c r="H76" s="113">
        <f>IF(H$13="","",IF($B76="","",IFERROR($C76*$D76*SUMIFS('Dvd Calendar'!$E$128:$CZ$128,'Dvd Calendar'!$E$127:$CZ$127,"&gt;"&amp;H$12,'Dvd Calendar'!$E$127:$CZ$127,"&lt;="&amp;H$13)/AS51!$B$3,"")))</f>
        <v/>
      </c>
      <c r="I76" s="113">
        <f>IF(I$13="","",IF($B76="","",IFERROR($C76*$D76*SUMIFS('Dvd Calendar'!$E$128:$CZ$128,'Dvd Calendar'!$E$127:$CZ$127,"&gt;"&amp;I$12,'Dvd Calendar'!$E$127:$CZ$127,"&lt;="&amp;I$13)/AS51!$B$3,"")))</f>
        <v/>
      </c>
      <c r="J76" s="113">
        <f>IF(J$13="","",IF($B76="","",IFERROR($C76*$D76*SUMIFS('Dvd Calendar'!$E$128:$CZ$128,'Dvd Calendar'!$E$127:$CZ$127,"&gt;"&amp;J$12,'Dvd Calendar'!$E$127:$CZ$127,"&lt;="&amp;J$13)/AS51!$B$3,"")))</f>
        <v/>
      </c>
      <c r="K76" s="113">
        <f>IF(K$13="","",IF($B76="","",IFERROR($C76*$D76*SUMIFS('Dvd Calendar'!$E$128:$CZ$128,'Dvd Calendar'!$E$127:$CZ$127,"&gt;"&amp;K$12,'Dvd Calendar'!$E$127:$CZ$127,"&lt;="&amp;K$13)/AS51!$B$3,"")))</f>
        <v/>
      </c>
      <c r="L76" s="113">
        <f>IF(L$13="","",IF($B76="","",IFERROR($C76*$D76*SUMIFS('Dvd Calendar'!$E$128:$CZ$128,'Dvd Calendar'!$E$127:$CZ$127,"&gt;"&amp;L$12,'Dvd Calendar'!$E$127:$CZ$127,"&lt;="&amp;L$13)/AS51!$B$3,"")))</f>
        <v/>
      </c>
      <c r="M76" s="113">
        <f>IF(M$13="","",IF($B76="","",IFERROR($C76*$D76*SUMIFS('Dvd Calendar'!$E$128:$CZ$128,'Dvd Calendar'!$E$127:$CZ$127,"&gt;"&amp;M$12,'Dvd Calendar'!$E$127:$CZ$127,"&lt;="&amp;M$13)/AS51!$B$3,"")))</f>
        <v/>
      </c>
      <c r="N76" s="113">
        <f>IF(N$13="","",IF($B76="","",IFERROR($C76*$D76*SUMIFS('Dvd Calendar'!$E$128:$CZ$128,'Dvd Calendar'!$E$127:$CZ$127,"&gt;"&amp;N$12,'Dvd Calendar'!$E$127:$CZ$127,"&lt;="&amp;N$13)/AS51!$B$3,"")))</f>
        <v/>
      </c>
      <c r="O76" s="113">
        <f>IF(O$13="","",IF($B76="","",IFERROR($C76*$D76*SUMIFS('Dvd Calendar'!$E$128:$CZ$128,'Dvd Calendar'!$E$127:$CZ$127,"&gt;"&amp;O$12,'Dvd Calendar'!$E$127:$CZ$127,"&lt;="&amp;O$13)/AS51!$B$3,"")))</f>
        <v/>
      </c>
      <c r="P76" s="113">
        <f>IF(P$13="","",IF($B76="","",IFERROR($C76*$D76*SUMIFS('Dvd Calendar'!$E$128:$CZ$128,'Dvd Calendar'!$E$127:$CZ$127,"&gt;"&amp;P$12,'Dvd Calendar'!$E$127:$CZ$127,"&lt;="&amp;P$13)/AS51!$B$3,"")))</f>
        <v/>
      </c>
      <c r="Q76" s="113">
        <f>IF(Q$13="","",IF($B76="","",IFERROR($C76*$D76*SUMIFS('Dvd Calendar'!$E$128:$CZ$128,'Dvd Calendar'!$E$127:$CZ$127,"&gt;"&amp;Q$12,'Dvd Calendar'!$E$127:$CZ$127,"&lt;="&amp;Q$13)/AS51!$B$3,"")))</f>
        <v/>
      </c>
      <c r="R76" s="113">
        <f>IF(R$13="","",IF($B76="","",IFERROR($C76*$D76*SUMIFS('Dvd Calendar'!$E$128:$CZ$128,'Dvd Calendar'!$E$127:$CZ$127,"&gt;"&amp;R$12,'Dvd Calendar'!$E$127:$CZ$127,"&lt;="&amp;R$13)/AS51!$B$3,"")))</f>
        <v/>
      </c>
      <c r="S76" s="113">
        <f>IF(S$13="","",IF($B76="","",IFERROR($C76*$D76*SUMIFS('Dvd Calendar'!$E$128:$CZ$128,'Dvd Calendar'!$E$127:$CZ$127,"&gt;"&amp;S$12,'Dvd Calendar'!$E$127:$CZ$127,"&lt;="&amp;S$13)/AS51!$B$3,"")))</f>
        <v/>
      </c>
      <c r="T76" s="113">
        <f>IF(T$13="","",IF($B76="","",IFERROR($C76*$D76*SUMIFS('Dvd Calendar'!$E$128:$CZ$128,'Dvd Calendar'!$E$127:$CZ$127,"&gt;"&amp;T$12,'Dvd Calendar'!$E$127:$CZ$127,"&lt;="&amp;T$13)/AS51!$B$3,"")))</f>
        <v/>
      </c>
      <c r="U76" s="113">
        <f>IF(U$13="","",IF($B76="","",IFERROR($C76*$D76*SUMIFS('Dvd Calendar'!$E$128:$CZ$128,'Dvd Calendar'!$E$127:$CZ$127,"&gt;"&amp;U$12,'Dvd Calendar'!$E$127:$CZ$127,"&lt;="&amp;U$13)/AS51!$B$3,"")))</f>
        <v/>
      </c>
      <c r="W76" s="113">
        <f>IF(W$13="","",IF($B76="","",IFERROR(F76*$E76/100,"")))</f>
        <v/>
      </c>
      <c r="X76" s="113">
        <f>IF(X$13="","",IF($B76="","",IFERROR(G76*$E76/100,"")))</f>
        <v/>
      </c>
      <c r="Y76" s="113">
        <f>IF(Y$13="","",IF($B76="","",IFERROR(H76*$E76/100,"")))</f>
        <v/>
      </c>
      <c r="Z76" s="113">
        <f>IF(Z$13="","",IF($B76="","",IFERROR(I76*$E76/100,"")))</f>
        <v/>
      </c>
      <c r="AA76" s="113">
        <f>IF(AA$13="","",IF($B76="","",IFERROR(J76*$E76/100,"")))</f>
        <v/>
      </c>
      <c r="AB76" s="113">
        <f>IF(AB$13="","",IF($B76="","",IFERROR(K76*$E76/100,"")))</f>
        <v/>
      </c>
      <c r="AC76" s="113">
        <f>IF(AC$13="","",IF($B76="","",IFERROR(L76*$E76/100,"")))</f>
        <v/>
      </c>
      <c r="AD76" s="113">
        <f>IF(AD$13="","",IF($B76="","",IFERROR(M76*$E76/100,"")))</f>
        <v/>
      </c>
      <c r="AE76" s="113">
        <f>IF(AE$13="","",IF($B76="","",IFERROR(N76*$E76/100,"")))</f>
        <v/>
      </c>
      <c r="AF76" s="113">
        <f>IF(AF$13="","",IF($B76="","",IFERROR(O76*$E76/100,"")))</f>
        <v/>
      </c>
      <c r="AG76" s="113">
        <f>IF(AG$13="","",IF($B76="","",IFERROR(P76*$E76/100,"")))</f>
        <v/>
      </c>
      <c r="AH76" s="113">
        <f>IF(AH$13="","",IF($B76="","",IFERROR(Q76*$E76/100,"")))</f>
        <v/>
      </c>
      <c r="AI76" s="113">
        <f>IF(AI$13="","",IF($B76="","",IFERROR(R76*$E76/100,"")))</f>
        <v/>
      </c>
      <c r="AJ76" s="113">
        <f>IF(AJ$13="","",IF($B76="","",IFERROR(S76*$E76/100,"")))</f>
        <v/>
      </c>
      <c r="AK76" s="113">
        <f>IF(AK$13="","",IF($B76="","",IFERROR(T76*$E76/100,"")))</f>
        <v/>
      </c>
      <c r="AL76" s="113">
        <f>IF(AL$13="","",IF($B76="","",IFERROR(U76*$E76/100,"")))</f>
        <v/>
      </c>
    </row>
    <row r="77">
      <c r="B77" s="5">
        <f>IF(AS51!$C$67="","",AS51!$C$67)</f>
        <v/>
      </c>
      <c r="C77" s="86">
        <f>IF(AS51!$B$67="","",AS51!$B$67)</f>
        <v/>
      </c>
      <c r="D77" s="111">
        <f>IFERROR(AS51!$Q$67,1)</f>
        <v/>
      </c>
      <c r="E77" s="112">
        <f>IF($B77="","",IF(ISNUMBER(AS51!$I$67),AS51!$I$67,'Index Summary'!$C$7))</f>
        <v/>
      </c>
      <c r="F77" s="113">
        <f>IF(F$13="","",IF($B77="","",IFERROR($C77*$D77*SUMIFS('Dvd Calendar'!$E$130:$CZ$130,'Dvd Calendar'!$E$129:$CZ$129,"&gt;"&amp;F$12,'Dvd Calendar'!$E$129:$CZ$129,"&lt;="&amp;F$13)/AS51!$B$3,"")))</f>
        <v/>
      </c>
      <c r="G77" s="113">
        <f>IF(G$13="","",IF($B77="","",IFERROR($C77*$D77*SUMIFS('Dvd Calendar'!$E$130:$CZ$130,'Dvd Calendar'!$E$129:$CZ$129,"&gt;"&amp;G$12,'Dvd Calendar'!$E$129:$CZ$129,"&lt;="&amp;G$13)/AS51!$B$3,"")))</f>
        <v/>
      </c>
      <c r="H77" s="113">
        <f>IF(H$13="","",IF($B77="","",IFERROR($C77*$D77*SUMIFS('Dvd Calendar'!$E$130:$CZ$130,'Dvd Calendar'!$E$129:$CZ$129,"&gt;"&amp;H$12,'Dvd Calendar'!$E$129:$CZ$129,"&lt;="&amp;H$13)/AS51!$B$3,"")))</f>
        <v/>
      </c>
      <c r="I77" s="113">
        <f>IF(I$13="","",IF($B77="","",IFERROR($C77*$D77*SUMIFS('Dvd Calendar'!$E$130:$CZ$130,'Dvd Calendar'!$E$129:$CZ$129,"&gt;"&amp;I$12,'Dvd Calendar'!$E$129:$CZ$129,"&lt;="&amp;I$13)/AS51!$B$3,"")))</f>
        <v/>
      </c>
      <c r="J77" s="113">
        <f>IF(J$13="","",IF($B77="","",IFERROR($C77*$D77*SUMIFS('Dvd Calendar'!$E$130:$CZ$130,'Dvd Calendar'!$E$129:$CZ$129,"&gt;"&amp;J$12,'Dvd Calendar'!$E$129:$CZ$129,"&lt;="&amp;J$13)/AS51!$B$3,"")))</f>
        <v/>
      </c>
      <c r="K77" s="113">
        <f>IF(K$13="","",IF($B77="","",IFERROR($C77*$D77*SUMIFS('Dvd Calendar'!$E$130:$CZ$130,'Dvd Calendar'!$E$129:$CZ$129,"&gt;"&amp;K$12,'Dvd Calendar'!$E$129:$CZ$129,"&lt;="&amp;K$13)/AS51!$B$3,"")))</f>
        <v/>
      </c>
      <c r="L77" s="113">
        <f>IF(L$13="","",IF($B77="","",IFERROR($C77*$D77*SUMIFS('Dvd Calendar'!$E$130:$CZ$130,'Dvd Calendar'!$E$129:$CZ$129,"&gt;"&amp;L$12,'Dvd Calendar'!$E$129:$CZ$129,"&lt;="&amp;L$13)/AS51!$B$3,"")))</f>
        <v/>
      </c>
      <c r="M77" s="113">
        <f>IF(M$13="","",IF($B77="","",IFERROR($C77*$D77*SUMIFS('Dvd Calendar'!$E$130:$CZ$130,'Dvd Calendar'!$E$129:$CZ$129,"&gt;"&amp;M$12,'Dvd Calendar'!$E$129:$CZ$129,"&lt;="&amp;M$13)/AS51!$B$3,"")))</f>
        <v/>
      </c>
      <c r="N77" s="113">
        <f>IF(N$13="","",IF($B77="","",IFERROR($C77*$D77*SUMIFS('Dvd Calendar'!$E$130:$CZ$130,'Dvd Calendar'!$E$129:$CZ$129,"&gt;"&amp;N$12,'Dvd Calendar'!$E$129:$CZ$129,"&lt;="&amp;N$13)/AS51!$B$3,"")))</f>
        <v/>
      </c>
      <c r="O77" s="113">
        <f>IF(O$13="","",IF($B77="","",IFERROR($C77*$D77*SUMIFS('Dvd Calendar'!$E$130:$CZ$130,'Dvd Calendar'!$E$129:$CZ$129,"&gt;"&amp;O$12,'Dvd Calendar'!$E$129:$CZ$129,"&lt;="&amp;O$13)/AS51!$B$3,"")))</f>
        <v/>
      </c>
      <c r="P77" s="113">
        <f>IF(P$13="","",IF($B77="","",IFERROR($C77*$D77*SUMIFS('Dvd Calendar'!$E$130:$CZ$130,'Dvd Calendar'!$E$129:$CZ$129,"&gt;"&amp;P$12,'Dvd Calendar'!$E$129:$CZ$129,"&lt;="&amp;P$13)/AS51!$B$3,"")))</f>
        <v/>
      </c>
      <c r="Q77" s="113">
        <f>IF(Q$13="","",IF($B77="","",IFERROR($C77*$D77*SUMIFS('Dvd Calendar'!$E$130:$CZ$130,'Dvd Calendar'!$E$129:$CZ$129,"&gt;"&amp;Q$12,'Dvd Calendar'!$E$129:$CZ$129,"&lt;="&amp;Q$13)/AS51!$B$3,"")))</f>
        <v/>
      </c>
      <c r="R77" s="113">
        <f>IF(R$13="","",IF($B77="","",IFERROR($C77*$D77*SUMIFS('Dvd Calendar'!$E$130:$CZ$130,'Dvd Calendar'!$E$129:$CZ$129,"&gt;"&amp;R$12,'Dvd Calendar'!$E$129:$CZ$129,"&lt;="&amp;R$13)/AS51!$B$3,"")))</f>
        <v/>
      </c>
      <c r="S77" s="113">
        <f>IF(S$13="","",IF($B77="","",IFERROR($C77*$D77*SUMIFS('Dvd Calendar'!$E$130:$CZ$130,'Dvd Calendar'!$E$129:$CZ$129,"&gt;"&amp;S$12,'Dvd Calendar'!$E$129:$CZ$129,"&lt;="&amp;S$13)/AS51!$B$3,"")))</f>
        <v/>
      </c>
      <c r="T77" s="113">
        <f>IF(T$13="","",IF($B77="","",IFERROR($C77*$D77*SUMIFS('Dvd Calendar'!$E$130:$CZ$130,'Dvd Calendar'!$E$129:$CZ$129,"&gt;"&amp;T$12,'Dvd Calendar'!$E$129:$CZ$129,"&lt;="&amp;T$13)/AS51!$B$3,"")))</f>
        <v/>
      </c>
      <c r="U77" s="113">
        <f>IF(U$13="","",IF($B77="","",IFERROR($C77*$D77*SUMIFS('Dvd Calendar'!$E$130:$CZ$130,'Dvd Calendar'!$E$129:$CZ$129,"&gt;"&amp;U$12,'Dvd Calendar'!$E$129:$CZ$129,"&lt;="&amp;U$13)/AS51!$B$3,"")))</f>
        <v/>
      </c>
      <c r="W77" s="113">
        <f>IF(W$13="","",IF($B77="","",IFERROR(F77*$E77/100,"")))</f>
        <v/>
      </c>
      <c r="X77" s="113">
        <f>IF(X$13="","",IF($B77="","",IFERROR(G77*$E77/100,"")))</f>
        <v/>
      </c>
      <c r="Y77" s="113">
        <f>IF(Y$13="","",IF($B77="","",IFERROR(H77*$E77/100,"")))</f>
        <v/>
      </c>
      <c r="Z77" s="113">
        <f>IF(Z$13="","",IF($B77="","",IFERROR(I77*$E77/100,"")))</f>
        <v/>
      </c>
      <c r="AA77" s="113">
        <f>IF(AA$13="","",IF($B77="","",IFERROR(J77*$E77/100,"")))</f>
        <v/>
      </c>
      <c r="AB77" s="113">
        <f>IF(AB$13="","",IF($B77="","",IFERROR(K77*$E77/100,"")))</f>
        <v/>
      </c>
      <c r="AC77" s="113">
        <f>IF(AC$13="","",IF($B77="","",IFERROR(L77*$E77/100,"")))</f>
        <v/>
      </c>
      <c r="AD77" s="113">
        <f>IF(AD$13="","",IF($B77="","",IFERROR(M77*$E77/100,"")))</f>
        <v/>
      </c>
      <c r="AE77" s="113">
        <f>IF(AE$13="","",IF($B77="","",IFERROR(N77*$E77/100,"")))</f>
        <v/>
      </c>
      <c r="AF77" s="113">
        <f>IF(AF$13="","",IF($B77="","",IFERROR(O77*$E77/100,"")))</f>
        <v/>
      </c>
      <c r="AG77" s="113">
        <f>IF(AG$13="","",IF($B77="","",IFERROR(P77*$E77/100,"")))</f>
        <v/>
      </c>
      <c r="AH77" s="113">
        <f>IF(AH$13="","",IF($B77="","",IFERROR(Q77*$E77/100,"")))</f>
        <v/>
      </c>
      <c r="AI77" s="113">
        <f>IF(AI$13="","",IF($B77="","",IFERROR(R77*$E77/100,"")))</f>
        <v/>
      </c>
      <c r="AJ77" s="113">
        <f>IF(AJ$13="","",IF($B77="","",IFERROR(S77*$E77/100,"")))</f>
        <v/>
      </c>
      <c r="AK77" s="113">
        <f>IF(AK$13="","",IF($B77="","",IFERROR(T77*$E77/100,"")))</f>
        <v/>
      </c>
      <c r="AL77" s="113">
        <f>IF(AL$13="","",IF($B77="","",IFERROR(U77*$E77/100,"")))</f>
        <v/>
      </c>
    </row>
    <row r="78">
      <c r="B78" s="5">
        <f>IF(AS51!$C$68="","",AS51!$C$68)</f>
        <v/>
      </c>
      <c r="C78" s="86">
        <f>IF(AS51!$B$68="","",AS51!$B$68)</f>
        <v/>
      </c>
      <c r="D78" s="111">
        <f>IFERROR(AS51!$Q$68,1)</f>
        <v/>
      </c>
      <c r="E78" s="112">
        <f>IF($B78="","",IF(ISNUMBER(AS51!$I$68),AS51!$I$68,'Index Summary'!$C$7))</f>
        <v/>
      </c>
      <c r="F78" s="113">
        <f>IF(F$13="","",IF($B78="","",IFERROR($C78*$D78*SUMIFS('Dvd Calendar'!$E$132:$CZ$132,'Dvd Calendar'!$E$131:$CZ$131,"&gt;"&amp;F$12,'Dvd Calendar'!$E$131:$CZ$131,"&lt;="&amp;F$13)/AS51!$B$3,"")))</f>
        <v/>
      </c>
      <c r="G78" s="113">
        <f>IF(G$13="","",IF($B78="","",IFERROR($C78*$D78*SUMIFS('Dvd Calendar'!$E$132:$CZ$132,'Dvd Calendar'!$E$131:$CZ$131,"&gt;"&amp;G$12,'Dvd Calendar'!$E$131:$CZ$131,"&lt;="&amp;G$13)/AS51!$B$3,"")))</f>
        <v/>
      </c>
      <c r="H78" s="113">
        <f>IF(H$13="","",IF($B78="","",IFERROR($C78*$D78*SUMIFS('Dvd Calendar'!$E$132:$CZ$132,'Dvd Calendar'!$E$131:$CZ$131,"&gt;"&amp;H$12,'Dvd Calendar'!$E$131:$CZ$131,"&lt;="&amp;H$13)/AS51!$B$3,"")))</f>
        <v/>
      </c>
      <c r="I78" s="113">
        <f>IF(I$13="","",IF($B78="","",IFERROR($C78*$D78*SUMIFS('Dvd Calendar'!$E$132:$CZ$132,'Dvd Calendar'!$E$131:$CZ$131,"&gt;"&amp;I$12,'Dvd Calendar'!$E$131:$CZ$131,"&lt;="&amp;I$13)/AS51!$B$3,"")))</f>
        <v/>
      </c>
      <c r="J78" s="113">
        <f>IF(J$13="","",IF($B78="","",IFERROR($C78*$D78*SUMIFS('Dvd Calendar'!$E$132:$CZ$132,'Dvd Calendar'!$E$131:$CZ$131,"&gt;"&amp;J$12,'Dvd Calendar'!$E$131:$CZ$131,"&lt;="&amp;J$13)/AS51!$B$3,"")))</f>
        <v/>
      </c>
      <c r="K78" s="113">
        <f>IF(K$13="","",IF($B78="","",IFERROR($C78*$D78*SUMIFS('Dvd Calendar'!$E$132:$CZ$132,'Dvd Calendar'!$E$131:$CZ$131,"&gt;"&amp;K$12,'Dvd Calendar'!$E$131:$CZ$131,"&lt;="&amp;K$13)/AS51!$B$3,"")))</f>
        <v/>
      </c>
      <c r="L78" s="113">
        <f>IF(L$13="","",IF($B78="","",IFERROR($C78*$D78*SUMIFS('Dvd Calendar'!$E$132:$CZ$132,'Dvd Calendar'!$E$131:$CZ$131,"&gt;"&amp;L$12,'Dvd Calendar'!$E$131:$CZ$131,"&lt;="&amp;L$13)/AS51!$B$3,"")))</f>
        <v/>
      </c>
      <c r="M78" s="113">
        <f>IF(M$13="","",IF($B78="","",IFERROR($C78*$D78*SUMIFS('Dvd Calendar'!$E$132:$CZ$132,'Dvd Calendar'!$E$131:$CZ$131,"&gt;"&amp;M$12,'Dvd Calendar'!$E$131:$CZ$131,"&lt;="&amp;M$13)/AS51!$B$3,"")))</f>
        <v/>
      </c>
      <c r="N78" s="113">
        <f>IF(N$13="","",IF($B78="","",IFERROR($C78*$D78*SUMIFS('Dvd Calendar'!$E$132:$CZ$132,'Dvd Calendar'!$E$131:$CZ$131,"&gt;"&amp;N$12,'Dvd Calendar'!$E$131:$CZ$131,"&lt;="&amp;N$13)/AS51!$B$3,"")))</f>
        <v/>
      </c>
      <c r="O78" s="113">
        <f>IF(O$13="","",IF($B78="","",IFERROR($C78*$D78*SUMIFS('Dvd Calendar'!$E$132:$CZ$132,'Dvd Calendar'!$E$131:$CZ$131,"&gt;"&amp;O$12,'Dvd Calendar'!$E$131:$CZ$131,"&lt;="&amp;O$13)/AS51!$B$3,"")))</f>
        <v/>
      </c>
      <c r="P78" s="113">
        <f>IF(P$13="","",IF($B78="","",IFERROR($C78*$D78*SUMIFS('Dvd Calendar'!$E$132:$CZ$132,'Dvd Calendar'!$E$131:$CZ$131,"&gt;"&amp;P$12,'Dvd Calendar'!$E$131:$CZ$131,"&lt;="&amp;P$13)/AS51!$B$3,"")))</f>
        <v/>
      </c>
      <c r="Q78" s="113">
        <f>IF(Q$13="","",IF($B78="","",IFERROR($C78*$D78*SUMIFS('Dvd Calendar'!$E$132:$CZ$132,'Dvd Calendar'!$E$131:$CZ$131,"&gt;"&amp;Q$12,'Dvd Calendar'!$E$131:$CZ$131,"&lt;="&amp;Q$13)/AS51!$B$3,"")))</f>
        <v/>
      </c>
      <c r="R78" s="113">
        <f>IF(R$13="","",IF($B78="","",IFERROR($C78*$D78*SUMIFS('Dvd Calendar'!$E$132:$CZ$132,'Dvd Calendar'!$E$131:$CZ$131,"&gt;"&amp;R$12,'Dvd Calendar'!$E$131:$CZ$131,"&lt;="&amp;R$13)/AS51!$B$3,"")))</f>
        <v/>
      </c>
      <c r="S78" s="113">
        <f>IF(S$13="","",IF($B78="","",IFERROR($C78*$D78*SUMIFS('Dvd Calendar'!$E$132:$CZ$132,'Dvd Calendar'!$E$131:$CZ$131,"&gt;"&amp;S$12,'Dvd Calendar'!$E$131:$CZ$131,"&lt;="&amp;S$13)/AS51!$B$3,"")))</f>
        <v/>
      </c>
      <c r="T78" s="113">
        <f>IF(T$13="","",IF($B78="","",IFERROR($C78*$D78*SUMIFS('Dvd Calendar'!$E$132:$CZ$132,'Dvd Calendar'!$E$131:$CZ$131,"&gt;"&amp;T$12,'Dvd Calendar'!$E$131:$CZ$131,"&lt;="&amp;T$13)/AS51!$B$3,"")))</f>
        <v/>
      </c>
      <c r="U78" s="113">
        <f>IF(U$13="","",IF($B78="","",IFERROR($C78*$D78*SUMIFS('Dvd Calendar'!$E$132:$CZ$132,'Dvd Calendar'!$E$131:$CZ$131,"&gt;"&amp;U$12,'Dvd Calendar'!$E$131:$CZ$131,"&lt;="&amp;U$13)/AS51!$B$3,"")))</f>
        <v/>
      </c>
      <c r="W78" s="113">
        <f>IF(W$13="","",IF($B78="","",IFERROR(F78*$E78/100,"")))</f>
        <v/>
      </c>
      <c r="X78" s="113">
        <f>IF(X$13="","",IF($B78="","",IFERROR(G78*$E78/100,"")))</f>
        <v/>
      </c>
      <c r="Y78" s="113">
        <f>IF(Y$13="","",IF($B78="","",IFERROR(H78*$E78/100,"")))</f>
        <v/>
      </c>
      <c r="Z78" s="113">
        <f>IF(Z$13="","",IF($B78="","",IFERROR(I78*$E78/100,"")))</f>
        <v/>
      </c>
      <c r="AA78" s="113">
        <f>IF(AA$13="","",IF($B78="","",IFERROR(J78*$E78/100,"")))</f>
        <v/>
      </c>
      <c r="AB78" s="113">
        <f>IF(AB$13="","",IF($B78="","",IFERROR(K78*$E78/100,"")))</f>
        <v/>
      </c>
      <c r="AC78" s="113">
        <f>IF(AC$13="","",IF($B78="","",IFERROR(L78*$E78/100,"")))</f>
        <v/>
      </c>
      <c r="AD78" s="113">
        <f>IF(AD$13="","",IF($B78="","",IFERROR(M78*$E78/100,"")))</f>
        <v/>
      </c>
      <c r="AE78" s="113">
        <f>IF(AE$13="","",IF($B78="","",IFERROR(N78*$E78/100,"")))</f>
        <v/>
      </c>
      <c r="AF78" s="113">
        <f>IF(AF$13="","",IF($B78="","",IFERROR(O78*$E78/100,"")))</f>
        <v/>
      </c>
      <c r="AG78" s="113">
        <f>IF(AG$13="","",IF($B78="","",IFERROR(P78*$E78/100,"")))</f>
        <v/>
      </c>
      <c r="AH78" s="113">
        <f>IF(AH$13="","",IF($B78="","",IFERROR(Q78*$E78/100,"")))</f>
        <v/>
      </c>
      <c r="AI78" s="113">
        <f>IF(AI$13="","",IF($B78="","",IFERROR(R78*$E78/100,"")))</f>
        <v/>
      </c>
      <c r="AJ78" s="113">
        <f>IF(AJ$13="","",IF($B78="","",IFERROR(S78*$E78/100,"")))</f>
        <v/>
      </c>
      <c r="AK78" s="113">
        <f>IF(AK$13="","",IF($B78="","",IFERROR(T78*$E78/100,"")))</f>
        <v/>
      </c>
      <c r="AL78" s="113">
        <f>IF(AL$13="","",IF($B78="","",IFERROR(U78*$E78/100,"")))</f>
        <v/>
      </c>
    </row>
    <row r="79">
      <c r="B79" s="5">
        <f>IF(AS51!$C$69="","",AS51!$C$69)</f>
        <v/>
      </c>
      <c r="C79" s="86">
        <f>IF(AS51!$B$69="","",AS51!$B$69)</f>
        <v/>
      </c>
      <c r="D79" s="111">
        <f>IFERROR(AS51!$Q$69,1)</f>
        <v/>
      </c>
      <c r="E79" s="112">
        <f>IF($B79="","",IF(ISNUMBER(AS51!$I$69),AS51!$I$69,'Index Summary'!$C$7))</f>
        <v/>
      </c>
      <c r="F79" s="113">
        <f>IF(F$13="","",IF($B79="","",IFERROR($C79*$D79*SUMIFS('Dvd Calendar'!$E$134:$CZ$134,'Dvd Calendar'!$E$133:$CZ$133,"&gt;"&amp;F$12,'Dvd Calendar'!$E$133:$CZ$133,"&lt;="&amp;F$13)/AS51!$B$3,"")))</f>
        <v/>
      </c>
      <c r="G79" s="113">
        <f>IF(G$13="","",IF($B79="","",IFERROR($C79*$D79*SUMIFS('Dvd Calendar'!$E$134:$CZ$134,'Dvd Calendar'!$E$133:$CZ$133,"&gt;"&amp;G$12,'Dvd Calendar'!$E$133:$CZ$133,"&lt;="&amp;G$13)/AS51!$B$3,"")))</f>
        <v/>
      </c>
      <c r="H79" s="113">
        <f>IF(H$13="","",IF($B79="","",IFERROR($C79*$D79*SUMIFS('Dvd Calendar'!$E$134:$CZ$134,'Dvd Calendar'!$E$133:$CZ$133,"&gt;"&amp;H$12,'Dvd Calendar'!$E$133:$CZ$133,"&lt;="&amp;H$13)/AS51!$B$3,"")))</f>
        <v/>
      </c>
      <c r="I79" s="113">
        <f>IF(I$13="","",IF($B79="","",IFERROR($C79*$D79*SUMIFS('Dvd Calendar'!$E$134:$CZ$134,'Dvd Calendar'!$E$133:$CZ$133,"&gt;"&amp;I$12,'Dvd Calendar'!$E$133:$CZ$133,"&lt;="&amp;I$13)/AS51!$B$3,"")))</f>
        <v/>
      </c>
      <c r="J79" s="113">
        <f>IF(J$13="","",IF($B79="","",IFERROR($C79*$D79*SUMIFS('Dvd Calendar'!$E$134:$CZ$134,'Dvd Calendar'!$E$133:$CZ$133,"&gt;"&amp;J$12,'Dvd Calendar'!$E$133:$CZ$133,"&lt;="&amp;J$13)/AS51!$B$3,"")))</f>
        <v/>
      </c>
      <c r="K79" s="113">
        <f>IF(K$13="","",IF($B79="","",IFERROR($C79*$D79*SUMIFS('Dvd Calendar'!$E$134:$CZ$134,'Dvd Calendar'!$E$133:$CZ$133,"&gt;"&amp;K$12,'Dvd Calendar'!$E$133:$CZ$133,"&lt;="&amp;K$13)/AS51!$B$3,"")))</f>
        <v/>
      </c>
      <c r="L79" s="113">
        <f>IF(L$13="","",IF($B79="","",IFERROR($C79*$D79*SUMIFS('Dvd Calendar'!$E$134:$CZ$134,'Dvd Calendar'!$E$133:$CZ$133,"&gt;"&amp;L$12,'Dvd Calendar'!$E$133:$CZ$133,"&lt;="&amp;L$13)/AS51!$B$3,"")))</f>
        <v/>
      </c>
      <c r="M79" s="113">
        <f>IF(M$13="","",IF($B79="","",IFERROR($C79*$D79*SUMIFS('Dvd Calendar'!$E$134:$CZ$134,'Dvd Calendar'!$E$133:$CZ$133,"&gt;"&amp;M$12,'Dvd Calendar'!$E$133:$CZ$133,"&lt;="&amp;M$13)/AS51!$B$3,"")))</f>
        <v/>
      </c>
      <c r="N79" s="113">
        <f>IF(N$13="","",IF($B79="","",IFERROR($C79*$D79*SUMIFS('Dvd Calendar'!$E$134:$CZ$134,'Dvd Calendar'!$E$133:$CZ$133,"&gt;"&amp;N$12,'Dvd Calendar'!$E$133:$CZ$133,"&lt;="&amp;N$13)/AS51!$B$3,"")))</f>
        <v/>
      </c>
      <c r="O79" s="113">
        <f>IF(O$13="","",IF($B79="","",IFERROR($C79*$D79*SUMIFS('Dvd Calendar'!$E$134:$CZ$134,'Dvd Calendar'!$E$133:$CZ$133,"&gt;"&amp;O$12,'Dvd Calendar'!$E$133:$CZ$133,"&lt;="&amp;O$13)/AS51!$B$3,"")))</f>
        <v/>
      </c>
      <c r="P79" s="113">
        <f>IF(P$13="","",IF($B79="","",IFERROR($C79*$D79*SUMIFS('Dvd Calendar'!$E$134:$CZ$134,'Dvd Calendar'!$E$133:$CZ$133,"&gt;"&amp;P$12,'Dvd Calendar'!$E$133:$CZ$133,"&lt;="&amp;P$13)/AS51!$B$3,"")))</f>
        <v/>
      </c>
      <c r="Q79" s="113">
        <f>IF(Q$13="","",IF($B79="","",IFERROR($C79*$D79*SUMIFS('Dvd Calendar'!$E$134:$CZ$134,'Dvd Calendar'!$E$133:$CZ$133,"&gt;"&amp;Q$12,'Dvd Calendar'!$E$133:$CZ$133,"&lt;="&amp;Q$13)/AS51!$B$3,"")))</f>
        <v/>
      </c>
      <c r="R79" s="113">
        <f>IF(R$13="","",IF($B79="","",IFERROR($C79*$D79*SUMIFS('Dvd Calendar'!$E$134:$CZ$134,'Dvd Calendar'!$E$133:$CZ$133,"&gt;"&amp;R$12,'Dvd Calendar'!$E$133:$CZ$133,"&lt;="&amp;R$13)/AS51!$B$3,"")))</f>
        <v/>
      </c>
      <c r="S79" s="113">
        <f>IF(S$13="","",IF($B79="","",IFERROR($C79*$D79*SUMIFS('Dvd Calendar'!$E$134:$CZ$134,'Dvd Calendar'!$E$133:$CZ$133,"&gt;"&amp;S$12,'Dvd Calendar'!$E$133:$CZ$133,"&lt;="&amp;S$13)/AS51!$B$3,"")))</f>
        <v/>
      </c>
      <c r="T79" s="113">
        <f>IF(T$13="","",IF($B79="","",IFERROR($C79*$D79*SUMIFS('Dvd Calendar'!$E$134:$CZ$134,'Dvd Calendar'!$E$133:$CZ$133,"&gt;"&amp;T$12,'Dvd Calendar'!$E$133:$CZ$133,"&lt;="&amp;T$13)/AS51!$B$3,"")))</f>
        <v/>
      </c>
      <c r="U79" s="113">
        <f>IF(U$13="","",IF($B79="","",IFERROR($C79*$D79*SUMIFS('Dvd Calendar'!$E$134:$CZ$134,'Dvd Calendar'!$E$133:$CZ$133,"&gt;"&amp;U$12,'Dvd Calendar'!$E$133:$CZ$133,"&lt;="&amp;U$13)/AS51!$B$3,"")))</f>
        <v/>
      </c>
      <c r="W79" s="113">
        <f>IF(W$13="","",IF($B79="","",IFERROR(F79*$E79/100,"")))</f>
        <v/>
      </c>
      <c r="X79" s="113">
        <f>IF(X$13="","",IF($B79="","",IFERROR(G79*$E79/100,"")))</f>
        <v/>
      </c>
      <c r="Y79" s="113">
        <f>IF(Y$13="","",IF($B79="","",IFERROR(H79*$E79/100,"")))</f>
        <v/>
      </c>
      <c r="Z79" s="113">
        <f>IF(Z$13="","",IF($B79="","",IFERROR(I79*$E79/100,"")))</f>
        <v/>
      </c>
      <c r="AA79" s="113">
        <f>IF(AA$13="","",IF($B79="","",IFERROR(J79*$E79/100,"")))</f>
        <v/>
      </c>
      <c r="AB79" s="113">
        <f>IF(AB$13="","",IF($B79="","",IFERROR(K79*$E79/100,"")))</f>
        <v/>
      </c>
      <c r="AC79" s="113">
        <f>IF(AC$13="","",IF($B79="","",IFERROR(L79*$E79/100,"")))</f>
        <v/>
      </c>
      <c r="AD79" s="113">
        <f>IF(AD$13="","",IF($B79="","",IFERROR(M79*$E79/100,"")))</f>
        <v/>
      </c>
      <c r="AE79" s="113">
        <f>IF(AE$13="","",IF($B79="","",IFERROR(N79*$E79/100,"")))</f>
        <v/>
      </c>
      <c r="AF79" s="113">
        <f>IF(AF$13="","",IF($B79="","",IFERROR(O79*$E79/100,"")))</f>
        <v/>
      </c>
      <c r="AG79" s="113">
        <f>IF(AG$13="","",IF($B79="","",IFERROR(P79*$E79/100,"")))</f>
        <v/>
      </c>
      <c r="AH79" s="113">
        <f>IF(AH$13="","",IF($B79="","",IFERROR(Q79*$E79/100,"")))</f>
        <v/>
      </c>
      <c r="AI79" s="113">
        <f>IF(AI$13="","",IF($B79="","",IFERROR(R79*$E79/100,"")))</f>
        <v/>
      </c>
      <c r="AJ79" s="113">
        <f>IF(AJ$13="","",IF($B79="","",IFERROR(S79*$E79/100,"")))</f>
        <v/>
      </c>
      <c r="AK79" s="113">
        <f>IF(AK$13="","",IF($B79="","",IFERROR(T79*$E79/100,"")))</f>
        <v/>
      </c>
      <c r="AL79" s="113">
        <f>IF(AL$13="","",IF($B79="","",IFERROR(U79*$E79/100,"")))</f>
        <v/>
      </c>
    </row>
    <row r="80">
      <c r="B80" s="5">
        <f>IF(AS51!$C$70="","",AS51!$C$70)</f>
        <v/>
      </c>
      <c r="C80" s="86">
        <f>IF(AS51!$B$70="","",AS51!$B$70)</f>
        <v/>
      </c>
      <c r="D80" s="111">
        <f>IFERROR(AS51!$Q$70,1)</f>
        <v/>
      </c>
      <c r="E80" s="112">
        <f>IF($B80="","",IF(ISNUMBER(AS51!$I$70),AS51!$I$70,'Index Summary'!$C$7))</f>
        <v/>
      </c>
      <c r="F80" s="113">
        <f>IF(F$13="","",IF($B80="","",IFERROR($C80*$D80*SUMIFS('Dvd Calendar'!$E$136:$CZ$136,'Dvd Calendar'!$E$135:$CZ$135,"&gt;"&amp;F$12,'Dvd Calendar'!$E$135:$CZ$135,"&lt;="&amp;F$13)/AS51!$B$3,"")))</f>
        <v/>
      </c>
      <c r="G80" s="113">
        <f>IF(G$13="","",IF($B80="","",IFERROR($C80*$D80*SUMIFS('Dvd Calendar'!$E$136:$CZ$136,'Dvd Calendar'!$E$135:$CZ$135,"&gt;"&amp;G$12,'Dvd Calendar'!$E$135:$CZ$135,"&lt;="&amp;G$13)/AS51!$B$3,"")))</f>
        <v/>
      </c>
      <c r="H80" s="113">
        <f>IF(H$13="","",IF($B80="","",IFERROR($C80*$D80*SUMIFS('Dvd Calendar'!$E$136:$CZ$136,'Dvd Calendar'!$E$135:$CZ$135,"&gt;"&amp;H$12,'Dvd Calendar'!$E$135:$CZ$135,"&lt;="&amp;H$13)/AS51!$B$3,"")))</f>
        <v/>
      </c>
      <c r="I80" s="113">
        <f>IF(I$13="","",IF($B80="","",IFERROR($C80*$D80*SUMIFS('Dvd Calendar'!$E$136:$CZ$136,'Dvd Calendar'!$E$135:$CZ$135,"&gt;"&amp;I$12,'Dvd Calendar'!$E$135:$CZ$135,"&lt;="&amp;I$13)/AS51!$B$3,"")))</f>
        <v/>
      </c>
      <c r="J80" s="113">
        <f>IF(J$13="","",IF($B80="","",IFERROR($C80*$D80*SUMIFS('Dvd Calendar'!$E$136:$CZ$136,'Dvd Calendar'!$E$135:$CZ$135,"&gt;"&amp;J$12,'Dvd Calendar'!$E$135:$CZ$135,"&lt;="&amp;J$13)/AS51!$B$3,"")))</f>
        <v/>
      </c>
      <c r="K80" s="113">
        <f>IF(K$13="","",IF($B80="","",IFERROR($C80*$D80*SUMIFS('Dvd Calendar'!$E$136:$CZ$136,'Dvd Calendar'!$E$135:$CZ$135,"&gt;"&amp;K$12,'Dvd Calendar'!$E$135:$CZ$135,"&lt;="&amp;K$13)/AS51!$B$3,"")))</f>
        <v/>
      </c>
      <c r="L80" s="113">
        <f>IF(L$13="","",IF($B80="","",IFERROR($C80*$D80*SUMIFS('Dvd Calendar'!$E$136:$CZ$136,'Dvd Calendar'!$E$135:$CZ$135,"&gt;"&amp;L$12,'Dvd Calendar'!$E$135:$CZ$135,"&lt;="&amp;L$13)/AS51!$B$3,"")))</f>
        <v/>
      </c>
      <c r="M80" s="113">
        <f>IF(M$13="","",IF($B80="","",IFERROR($C80*$D80*SUMIFS('Dvd Calendar'!$E$136:$CZ$136,'Dvd Calendar'!$E$135:$CZ$135,"&gt;"&amp;M$12,'Dvd Calendar'!$E$135:$CZ$135,"&lt;="&amp;M$13)/AS51!$B$3,"")))</f>
        <v/>
      </c>
      <c r="N80" s="113">
        <f>IF(N$13="","",IF($B80="","",IFERROR($C80*$D80*SUMIFS('Dvd Calendar'!$E$136:$CZ$136,'Dvd Calendar'!$E$135:$CZ$135,"&gt;"&amp;N$12,'Dvd Calendar'!$E$135:$CZ$135,"&lt;="&amp;N$13)/AS51!$B$3,"")))</f>
        <v/>
      </c>
      <c r="O80" s="113">
        <f>IF(O$13="","",IF($B80="","",IFERROR($C80*$D80*SUMIFS('Dvd Calendar'!$E$136:$CZ$136,'Dvd Calendar'!$E$135:$CZ$135,"&gt;"&amp;O$12,'Dvd Calendar'!$E$135:$CZ$135,"&lt;="&amp;O$13)/AS51!$B$3,"")))</f>
        <v/>
      </c>
      <c r="P80" s="113">
        <f>IF(P$13="","",IF($B80="","",IFERROR($C80*$D80*SUMIFS('Dvd Calendar'!$E$136:$CZ$136,'Dvd Calendar'!$E$135:$CZ$135,"&gt;"&amp;P$12,'Dvd Calendar'!$E$135:$CZ$135,"&lt;="&amp;P$13)/AS51!$B$3,"")))</f>
        <v/>
      </c>
      <c r="Q80" s="113">
        <f>IF(Q$13="","",IF($B80="","",IFERROR($C80*$D80*SUMIFS('Dvd Calendar'!$E$136:$CZ$136,'Dvd Calendar'!$E$135:$CZ$135,"&gt;"&amp;Q$12,'Dvd Calendar'!$E$135:$CZ$135,"&lt;="&amp;Q$13)/AS51!$B$3,"")))</f>
        <v/>
      </c>
      <c r="R80" s="113">
        <f>IF(R$13="","",IF($B80="","",IFERROR($C80*$D80*SUMIFS('Dvd Calendar'!$E$136:$CZ$136,'Dvd Calendar'!$E$135:$CZ$135,"&gt;"&amp;R$12,'Dvd Calendar'!$E$135:$CZ$135,"&lt;="&amp;R$13)/AS51!$B$3,"")))</f>
        <v/>
      </c>
      <c r="S80" s="113">
        <f>IF(S$13="","",IF($B80="","",IFERROR($C80*$D80*SUMIFS('Dvd Calendar'!$E$136:$CZ$136,'Dvd Calendar'!$E$135:$CZ$135,"&gt;"&amp;S$12,'Dvd Calendar'!$E$135:$CZ$135,"&lt;="&amp;S$13)/AS51!$B$3,"")))</f>
        <v/>
      </c>
      <c r="T80" s="113">
        <f>IF(T$13="","",IF($B80="","",IFERROR($C80*$D80*SUMIFS('Dvd Calendar'!$E$136:$CZ$136,'Dvd Calendar'!$E$135:$CZ$135,"&gt;"&amp;T$12,'Dvd Calendar'!$E$135:$CZ$135,"&lt;="&amp;T$13)/AS51!$B$3,"")))</f>
        <v/>
      </c>
      <c r="U80" s="113">
        <f>IF(U$13="","",IF($B80="","",IFERROR($C80*$D80*SUMIFS('Dvd Calendar'!$E$136:$CZ$136,'Dvd Calendar'!$E$135:$CZ$135,"&gt;"&amp;U$12,'Dvd Calendar'!$E$135:$CZ$135,"&lt;="&amp;U$13)/AS51!$B$3,"")))</f>
        <v/>
      </c>
      <c r="W80" s="113">
        <f>IF(W$13="","",IF($B80="","",IFERROR(F80*$E80/100,"")))</f>
        <v/>
      </c>
      <c r="X80" s="113">
        <f>IF(X$13="","",IF($B80="","",IFERROR(G80*$E80/100,"")))</f>
        <v/>
      </c>
      <c r="Y80" s="113">
        <f>IF(Y$13="","",IF($B80="","",IFERROR(H80*$E80/100,"")))</f>
        <v/>
      </c>
      <c r="Z80" s="113">
        <f>IF(Z$13="","",IF($B80="","",IFERROR(I80*$E80/100,"")))</f>
        <v/>
      </c>
      <c r="AA80" s="113">
        <f>IF(AA$13="","",IF($B80="","",IFERROR(J80*$E80/100,"")))</f>
        <v/>
      </c>
      <c r="AB80" s="113">
        <f>IF(AB$13="","",IF($B80="","",IFERROR(K80*$E80/100,"")))</f>
        <v/>
      </c>
      <c r="AC80" s="113">
        <f>IF(AC$13="","",IF($B80="","",IFERROR(L80*$E80/100,"")))</f>
        <v/>
      </c>
      <c r="AD80" s="113">
        <f>IF(AD$13="","",IF($B80="","",IFERROR(M80*$E80/100,"")))</f>
        <v/>
      </c>
      <c r="AE80" s="113">
        <f>IF(AE$13="","",IF($B80="","",IFERROR(N80*$E80/100,"")))</f>
        <v/>
      </c>
      <c r="AF80" s="113">
        <f>IF(AF$13="","",IF($B80="","",IFERROR(O80*$E80/100,"")))</f>
        <v/>
      </c>
      <c r="AG80" s="113">
        <f>IF(AG$13="","",IF($B80="","",IFERROR(P80*$E80/100,"")))</f>
        <v/>
      </c>
      <c r="AH80" s="113">
        <f>IF(AH$13="","",IF($B80="","",IFERROR(Q80*$E80/100,"")))</f>
        <v/>
      </c>
      <c r="AI80" s="113">
        <f>IF(AI$13="","",IF($B80="","",IFERROR(R80*$E80/100,"")))</f>
        <v/>
      </c>
      <c r="AJ80" s="113">
        <f>IF(AJ$13="","",IF($B80="","",IFERROR(S80*$E80/100,"")))</f>
        <v/>
      </c>
      <c r="AK80" s="113">
        <f>IF(AK$13="","",IF($B80="","",IFERROR(T80*$E80/100,"")))</f>
        <v/>
      </c>
      <c r="AL80" s="113">
        <f>IF(AL$13="","",IF($B80="","",IFERROR(U80*$E80/100,"")))</f>
        <v/>
      </c>
    </row>
    <row r="81">
      <c r="B81" s="5">
        <f>IF(AS51!$C$71="","",AS51!$C$71)</f>
        <v/>
      </c>
      <c r="C81" s="86">
        <f>IF(AS51!$B$71="","",AS51!$B$71)</f>
        <v/>
      </c>
      <c r="D81" s="111">
        <f>IFERROR(AS51!$Q$71,1)</f>
        <v/>
      </c>
      <c r="E81" s="112">
        <f>IF($B81="","",IF(ISNUMBER(AS51!$I$71),AS51!$I$71,'Index Summary'!$C$7))</f>
        <v/>
      </c>
      <c r="F81" s="113">
        <f>IF(F$13="","",IF($B81="","",IFERROR($C81*$D81*SUMIFS('Dvd Calendar'!$E$138:$CZ$138,'Dvd Calendar'!$E$137:$CZ$137,"&gt;"&amp;F$12,'Dvd Calendar'!$E$137:$CZ$137,"&lt;="&amp;F$13)/AS51!$B$3,"")))</f>
        <v/>
      </c>
      <c r="G81" s="113">
        <f>IF(G$13="","",IF($B81="","",IFERROR($C81*$D81*SUMIFS('Dvd Calendar'!$E$138:$CZ$138,'Dvd Calendar'!$E$137:$CZ$137,"&gt;"&amp;G$12,'Dvd Calendar'!$E$137:$CZ$137,"&lt;="&amp;G$13)/AS51!$B$3,"")))</f>
        <v/>
      </c>
      <c r="H81" s="113">
        <f>IF(H$13="","",IF($B81="","",IFERROR($C81*$D81*SUMIFS('Dvd Calendar'!$E$138:$CZ$138,'Dvd Calendar'!$E$137:$CZ$137,"&gt;"&amp;H$12,'Dvd Calendar'!$E$137:$CZ$137,"&lt;="&amp;H$13)/AS51!$B$3,"")))</f>
        <v/>
      </c>
      <c r="I81" s="113">
        <f>IF(I$13="","",IF($B81="","",IFERROR($C81*$D81*SUMIFS('Dvd Calendar'!$E$138:$CZ$138,'Dvd Calendar'!$E$137:$CZ$137,"&gt;"&amp;I$12,'Dvd Calendar'!$E$137:$CZ$137,"&lt;="&amp;I$13)/AS51!$B$3,"")))</f>
        <v/>
      </c>
      <c r="J81" s="113">
        <f>IF(J$13="","",IF($B81="","",IFERROR($C81*$D81*SUMIFS('Dvd Calendar'!$E$138:$CZ$138,'Dvd Calendar'!$E$137:$CZ$137,"&gt;"&amp;J$12,'Dvd Calendar'!$E$137:$CZ$137,"&lt;="&amp;J$13)/AS51!$B$3,"")))</f>
        <v/>
      </c>
      <c r="K81" s="113">
        <f>IF(K$13="","",IF($B81="","",IFERROR($C81*$D81*SUMIFS('Dvd Calendar'!$E$138:$CZ$138,'Dvd Calendar'!$E$137:$CZ$137,"&gt;"&amp;K$12,'Dvd Calendar'!$E$137:$CZ$137,"&lt;="&amp;K$13)/AS51!$B$3,"")))</f>
        <v/>
      </c>
      <c r="L81" s="113">
        <f>IF(L$13="","",IF($B81="","",IFERROR($C81*$D81*SUMIFS('Dvd Calendar'!$E$138:$CZ$138,'Dvd Calendar'!$E$137:$CZ$137,"&gt;"&amp;L$12,'Dvd Calendar'!$E$137:$CZ$137,"&lt;="&amp;L$13)/AS51!$B$3,"")))</f>
        <v/>
      </c>
      <c r="M81" s="113">
        <f>IF(M$13="","",IF($B81="","",IFERROR($C81*$D81*SUMIFS('Dvd Calendar'!$E$138:$CZ$138,'Dvd Calendar'!$E$137:$CZ$137,"&gt;"&amp;M$12,'Dvd Calendar'!$E$137:$CZ$137,"&lt;="&amp;M$13)/AS51!$B$3,"")))</f>
        <v/>
      </c>
      <c r="N81" s="113">
        <f>IF(N$13="","",IF($B81="","",IFERROR($C81*$D81*SUMIFS('Dvd Calendar'!$E$138:$CZ$138,'Dvd Calendar'!$E$137:$CZ$137,"&gt;"&amp;N$12,'Dvd Calendar'!$E$137:$CZ$137,"&lt;="&amp;N$13)/AS51!$B$3,"")))</f>
        <v/>
      </c>
      <c r="O81" s="113">
        <f>IF(O$13="","",IF($B81="","",IFERROR($C81*$D81*SUMIFS('Dvd Calendar'!$E$138:$CZ$138,'Dvd Calendar'!$E$137:$CZ$137,"&gt;"&amp;O$12,'Dvd Calendar'!$E$137:$CZ$137,"&lt;="&amp;O$13)/AS51!$B$3,"")))</f>
        <v/>
      </c>
      <c r="P81" s="113">
        <f>IF(P$13="","",IF($B81="","",IFERROR($C81*$D81*SUMIFS('Dvd Calendar'!$E$138:$CZ$138,'Dvd Calendar'!$E$137:$CZ$137,"&gt;"&amp;P$12,'Dvd Calendar'!$E$137:$CZ$137,"&lt;="&amp;P$13)/AS51!$B$3,"")))</f>
        <v/>
      </c>
      <c r="Q81" s="113">
        <f>IF(Q$13="","",IF($B81="","",IFERROR($C81*$D81*SUMIFS('Dvd Calendar'!$E$138:$CZ$138,'Dvd Calendar'!$E$137:$CZ$137,"&gt;"&amp;Q$12,'Dvd Calendar'!$E$137:$CZ$137,"&lt;="&amp;Q$13)/AS51!$B$3,"")))</f>
        <v/>
      </c>
      <c r="R81" s="113">
        <f>IF(R$13="","",IF($B81="","",IFERROR($C81*$D81*SUMIFS('Dvd Calendar'!$E$138:$CZ$138,'Dvd Calendar'!$E$137:$CZ$137,"&gt;"&amp;R$12,'Dvd Calendar'!$E$137:$CZ$137,"&lt;="&amp;R$13)/AS51!$B$3,"")))</f>
        <v/>
      </c>
      <c r="S81" s="113">
        <f>IF(S$13="","",IF($B81="","",IFERROR($C81*$D81*SUMIFS('Dvd Calendar'!$E$138:$CZ$138,'Dvd Calendar'!$E$137:$CZ$137,"&gt;"&amp;S$12,'Dvd Calendar'!$E$137:$CZ$137,"&lt;="&amp;S$13)/AS51!$B$3,"")))</f>
        <v/>
      </c>
      <c r="T81" s="113">
        <f>IF(T$13="","",IF($B81="","",IFERROR($C81*$D81*SUMIFS('Dvd Calendar'!$E$138:$CZ$138,'Dvd Calendar'!$E$137:$CZ$137,"&gt;"&amp;T$12,'Dvd Calendar'!$E$137:$CZ$137,"&lt;="&amp;T$13)/AS51!$B$3,"")))</f>
        <v/>
      </c>
      <c r="U81" s="113">
        <f>IF(U$13="","",IF($B81="","",IFERROR($C81*$D81*SUMIFS('Dvd Calendar'!$E$138:$CZ$138,'Dvd Calendar'!$E$137:$CZ$137,"&gt;"&amp;U$12,'Dvd Calendar'!$E$137:$CZ$137,"&lt;="&amp;U$13)/AS51!$B$3,"")))</f>
        <v/>
      </c>
      <c r="W81" s="113">
        <f>IF(W$13="","",IF($B81="","",IFERROR(F81*$E81/100,"")))</f>
        <v/>
      </c>
      <c r="X81" s="113">
        <f>IF(X$13="","",IF($B81="","",IFERROR(G81*$E81/100,"")))</f>
        <v/>
      </c>
      <c r="Y81" s="113">
        <f>IF(Y$13="","",IF($B81="","",IFERROR(H81*$E81/100,"")))</f>
        <v/>
      </c>
      <c r="Z81" s="113">
        <f>IF(Z$13="","",IF($B81="","",IFERROR(I81*$E81/100,"")))</f>
        <v/>
      </c>
      <c r="AA81" s="113">
        <f>IF(AA$13="","",IF($B81="","",IFERROR(J81*$E81/100,"")))</f>
        <v/>
      </c>
      <c r="AB81" s="113">
        <f>IF(AB$13="","",IF($B81="","",IFERROR(K81*$E81/100,"")))</f>
        <v/>
      </c>
      <c r="AC81" s="113">
        <f>IF(AC$13="","",IF($B81="","",IFERROR(L81*$E81/100,"")))</f>
        <v/>
      </c>
      <c r="AD81" s="113">
        <f>IF(AD$13="","",IF($B81="","",IFERROR(M81*$E81/100,"")))</f>
        <v/>
      </c>
      <c r="AE81" s="113">
        <f>IF(AE$13="","",IF($B81="","",IFERROR(N81*$E81/100,"")))</f>
        <v/>
      </c>
      <c r="AF81" s="113">
        <f>IF(AF$13="","",IF($B81="","",IFERROR(O81*$E81/100,"")))</f>
        <v/>
      </c>
      <c r="AG81" s="113">
        <f>IF(AG$13="","",IF($B81="","",IFERROR(P81*$E81/100,"")))</f>
        <v/>
      </c>
      <c r="AH81" s="113">
        <f>IF(AH$13="","",IF($B81="","",IFERROR(Q81*$E81/100,"")))</f>
        <v/>
      </c>
      <c r="AI81" s="113">
        <f>IF(AI$13="","",IF($B81="","",IFERROR(R81*$E81/100,"")))</f>
        <v/>
      </c>
      <c r="AJ81" s="113">
        <f>IF(AJ$13="","",IF($B81="","",IFERROR(S81*$E81/100,"")))</f>
        <v/>
      </c>
      <c r="AK81" s="113">
        <f>IF(AK$13="","",IF($B81="","",IFERROR(T81*$E81/100,"")))</f>
        <v/>
      </c>
      <c r="AL81" s="113">
        <f>IF(AL$13="","",IF($B81="","",IFERROR(U81*$E81/100,"")))</f>
        <v/>
      </c>
    </row>
    <row r="82">
      <c r="B82" s="5">
        <f>IF(AS51!$C$72="","",AS51!$C$72)</f>
        <v/>
      </c>
      <c r="C82" s="86">
        <f>IF(AS51!$B$72="","",AS51!$B$72)</f>
        <v/>
      </c>
      <c r="D82" s="111">
        <f>IFERROR(AS51!$Q$72,1)</f>
        <v/>
      </c>
      <c r="E82" s="112">
        <f>IF($B82="","",IF(ISNUMBER(AS51!$I$72),AS51!$I$72,'Index Summary'!$C$7))</f>
        <v/>
      </c>
      <c r="F82" s="113">
        <f>IF(F$13="","",IF($B82="","",IFERROR($C82*$D82*SUMIFS('Dvd Calendar'!$E$140:$CZ$140,'Dvd Calendar'!$E$139:$CZ$139,"&gt;"&amp;F$12,'Dvd Calendar'!$E$139:$CZ$139,"&lt;="&amp;F$13)/AS51!$B$3,"")))</f>
        <v/>
      </c>
      <c r="G82" s="113">
        <f>IF(G$13="","",IF($B82="","",IFERROR($C82*$D82*SUMIFS('Dvd Calendar'!$E$140:$CZ$140,'Dvd Calendar'!$E$139:$CZ$139,"&gt;"&amp;G$12,'Dvd Calendar'!$E$139:$CZ$139,"&lt;="&amp;G$13)/AS51!$B$3,"")))</f>
        <v/>
      </c>
      <c r="H82" s="113">
        <f>IF(H$13="","",IF($B82="","",IFERROR($C82*$D82*SUMIFS('Dvd Calendar'!$E$140:$CZ$140,'Dvd Calendar'!$E$139:$CZ$139,"&gt;"&amp;H$12,'Dvd Calendar'!$E$139:$CZ$139,"&lt;="&amp;H$13)/AS51!$B$3,"")))</f>
        <v/>
      </c>
      <c r="I82" s="113">
        <f>IF(I$13="","",IF($B82="","",IFERROR($C82*$D82*SUMIFS('Dvd Calendar'!$E$140:$CZ$140,'Dvd Calendar'!$E$139:$CZ$139,"&gt;"&amp;I$12,'Dvd Calendar'!$E$139:$CZ$139,"&lt;="&amp;I$13)/AS51!$B$3,"")))</f>
        <v/>
      </c>
      <c r="J82" s="113">
        <f>IF(J$13="","",IF($B82="","",IFERROR($C82*$D82*SUMIFS('Dvd Calendar'!$E$140:$CZ$140,'Dvd Calendar'!$E$139:$CZ$139,"&gt;"&amp;J$12,'Dvd Calendar'!$E$139:$CZ$139,"&lt;="&amp;J$13)/AS51!$B$3,"")))</f>
        <v/>
      </c>
      <c r="K82" s="113">
        <f>IF(K$13="","",IF($B82="","",IFERROR($C82*$D82*SUMIFS('Dvd Calendar'!$E$140:$CZ$140,'Dvd Calendar'!$E$139:$CZ$139,"&gt;"&amp;K$12,'Dvd Calendar'!$E$139:$CZ$139,"&lt;="&amp;K$13)/AS51!$B$3,"")))</f>
        <v/>
      </c>
      <c r="L82" s="113">
        <f>IF(L$13="","",IF($B82="","",IFERROR($C82*$D82*SUMIFS('Dvd Calendar'!$E$140:$CZ$140,'Dvd Calendar'!$E$139:$CZ$139,"&gt;"&amp;L$12,'Dvd Calendar'!$E$139:$CZ$139,"&lt;="&amp;L$13)/AS51!$B$3,"")))</f>
        <v/>
      </c>
      <c r="M82" s="113">
        <f>IF(M$13="","",IF($B82="","",IFERROR($C82*$D82*SUMIFS('Dvd Calendar'!$E$140:$CZ$140,'Dvd Calendar'!$E$139:$CZ$139,"&gt;"&amp;M$12,'Dvd Calendar'!$E$139:$CZ$139,"&lt;="&amp;M$13)/AS51!$B$3,"")))</f>
        <v/>
      </c>
      <c r="N82" s="113">
        <f>IF(N$13="","",IF($B82="","",IFERROR($C82*$D82*SUMIFS('Dvd Calendar'!$E$140:$CZ$140,'Dvd Calendar'!$E$139:$CZ$139,"&gt;"&amp;N$12,'Dvd Calendar'!$E$139:$CZ$139,"&lt;="&amp;N$13)/AS51!$B$3,"")))</f>
        <v/>
      </c>
      <c r="O82" s="113">
        <f>IF(O$13="","",IF($B82="","",IFERROR($C82*$D82*SUMIFS('Dvd Calendar'!$E$140:$CZ$140,'Dvd Calendar'!$E$139:$CZ$139,"&gt;"&amp;O$12,'Dvd Calendar'!$E$139:$CZ$139,"&lt;="&amp;O$13)/AS51!$B$3,"")))</f>
        <v/>
      </c>
      <c r="P82" s="113">
        <f>IF(P$13="","",IF($B82="","",IFERROR($C82*$D82*SUMIFS('Dvd Calendar'!$E$140:$CZ$140,'Dvd Calendar'!$E$139:$CZ$139,"&gt;"&amp;P$12,'Dvd Calendar'!$E$139:$CZ$139,"&lt;="&amp;P$13)/AS51!$B$3,"")))</f>
        <v/>
      </c>
      <c r="Q82" s="113">
        <f>IF(Q$13="","",IF($B82="","",IFERROR($C82*$D82*SUMIFS('Dvd Calendar'!$E$140:$CZ$140,'Dvd Calendar'!$E$139:$CZ$139,"&gt;"&amp;Q$12,'Dvd Calendar'!$E$139:$CZ$139,"&lt;="&amp;Q$13)/AS51!$B$3,"")))</f>
        <v/>
      </c>
      <c r="R82" s="113">
        <f>IF(R$13="","",IF($B82="","",IFERROR($C82*$D82*SUMIFS('Dvd Calendar'!$E$140:$CZ$140,'Dvd Calendar'!$E$139:$CZ$139,"&gt;"&amp;R$12,'Dvd Calendar'!$E$139:$CZ$139,"&lt;="&amp;R$13)/AS51!$B$3,"")))</f>
        <v/>
      </c>
      <c r="S82" s="113">
        <f>IF(S$13="","",IF($B82="","",IFERROR($C82*$D82*SUMIFS('Dvd Calendar'!$E$140:$CZ$140,'Dvd Calendar'!$E$139:$CZ$139,"&gt;"&amp;S$12,'Dvd Calendar'!$E$139:$CZ$139,"&lt;="&amp;S$13)/AS51!$B$3,"")))</f>
        <v/>
      </c>
      <c r="T82" s="113">
        <f>IF(T$13="","",IF($B82="","",IFERROR($C82*$D82*SUMIFS('Dvd Calendar'!$E$140:$CZ$140,'Dvd Calendar'!$E$139:$CZ$139,"&gt;"&amp;T$12,'Dvd Calendar'!$E$139:$CZ$139,"&lt;="&amp;T$13)/AS51!$B$3,"")))</f>
        <v/>
      </c>
      <c r="U82" s="113">
        <f>IF(U$13="","",IF($B82="","",IFERROR($C82*$D82*SUMIFS('Dvd Calendar'!$E$140:$CZ$140,'Dvd Calendar'!$E$139:$CZ$139,"&gt;"&amp;U$12,'Dvd Calendar'!$E$139:$CZ$139,"&lt;="&amp;U$13)/AS51!$B$3,"")))</f>
        <v/>
      </c>
      <c r="W82" s="113">
        <f>IF(W$13="","",IF($B82="","",IFERROR(F82*$E82/100,"")))</f>
        <v/>
      </c>
      <c r="X82" s="113">
        <f>IF(X$13="","",IF($B82="","",IFERROR(G82*$E82/100,"")))</f>
        <v/>
      </c>
      <c r="Y82" s="113">
        <f>IF(Y$13="","",IF($B82="","",IFERROR(H82*$E82/100,"")))</f>
        <v/>
      </c>
      <c r="Z82" s="113">
        <f>IF(Z$13="","",IF($B82="","",IFERROR(I82*$E82/100,"")))</f>
        <v/>
      </c>
      <c r="AA82" s="113">
        <f>IF(AA$13="","",IF($B82="","",IFERROR(J82*$E82/100,"")))</f>
        <v/>
      </c>
      <c r="AB82" s="113">
        <f>IF(AB$13="","",IF($B82="","",IFERROR(K82*$E82/100,"")))</f>
        <v/>
      </c>
      <c r="AC82" s="113">
        <f>IF(AC$13="","",IF($B82="","",IFERROR(L82*$E82/100,"")))</f>
        <v/>
      </c>
      <c r="AD82" s="113">
        <f>IF(AD$13="","",IF($B82="","",IFERROR(M82*$E82/100,"")))</f>
        <v/>
      </c>
      <c r="AE82" s="113">
        <f>IF(AE$13="","",IF($B82="","",IFERROR(N82*$E82/100,"")))</f>
        <v/>
      </c>
      <c r="AF82" s="113">
        <f>IF(AF$13="","",IF($B82="","",IFERROR(O82*$E82/100,"")))</f>
        <v/>
      </c>
      <c r="AG82" s="113">
        <f>IF(AG$13="","",IF($B82="","",IFERROR(P82*$E82/100,"")))</f>
        <v/>
      </c>
      <c r="AH82" s="113">
        <f>IF(AH$13="","",IF($B82="","",IFERROR(Q82*$E82/100,"")))</f>
        <v/>
      </c>
      <c r="AI82" s="113">
        <f>IF(AI$13="","",IF($B82="","",IFERROR(R82*$E82/100,"")))</f>
        <v/>
      </c>
      <c r="AJ82" s="113">
        <f>IF(AJ$13="","",IF($B82="","",IFERROR(S82*$E82/100,"")))</f>
        <v/>
      </c>
      <c r="AK82" s="113">
        <f>IF(AK$13="","",IF($B82="","",IFERROR(T82*$E82/100,"")))</f>
        <v/>
      </c>
      <c r="AL82" s="113">
        <f>IF(AL$13="","",IF($B82="","",IFERROR(U82*$E82/100,"")))</f>
        <v/>
      </c>
    </row>
    <row r="83">
      <c r="B83" s="5">
        <f>IF(AS51!$C$73="","",AS51!$C$73)</f>
        <v/>
      </c>
      <c r="C83" s="86">
        <f>IF(AS51!$B$73="","",AS51!$B$73)</f>
        <v/>
      </c>
      <c r="D83" s="111">
        <f>IFERROR(AS51!$Q$73,1)</f>
        <v/>
      </c>
      <c r="E83" s="112">
        <f>IF($B83="","",IF(ISNUMBER(AS51!$I$73),AS51!$I$73,'Index Summary'!$C$7))</f>
        <v/>
      </c>
      <c r="F83" s="113">
        <f>IF(F$13="","",IF($B83="","",IFERROR($C83*$D83*SUMIFS('Dvd Calendar'!$E$142:$CZ$142,'Dvd Calendar'!$E$141:$CZ$141,"&gt;"&amp;F$12,'Dvd Calendar'!$E$141:$CZ$141,"&lt;="&amp;F$13)/AS51!$B$3,"")))</f>
        <v/>
      </c>
      <c r="G83" s="113">
        <f>IF(G$13="","",IF($B83="","",IFERROR($C83*$D83*SUMIFS('Dvd Calendar'!$E$142:$CZ$142,'Dvd Calendar'!$E$141:$CZ$141,"&gt;"&amp;G$12,'Dvd Calendar'!$E$141:$CZ$141,"&lt;="&amp;G$13)/AS51!$B$3,"")))</f>
        <v/>
      </c>
      <c r="H83" s="113">
        <f>IF(H$13="","",IF($B83="","",IFERROR($C83*$D83*SUMIFS('Dvd Calendar'!$E$142:$CZ$142,'Dvd Calendar'!$E$141:$CZ$141,"&gt;"&amp;H$12,'Dvd Calendar'!$E$141:$CZ$141,"&lt;="&amp;H$13)/AS51!$B$3,"")))</f>
        <v/>
      </c>
      <c r="I83" s="113">
        <f>IF(I$13="","",IF($B83="","",IFERROR($C83*$D83*SUMIFS('Dvd Calendar'!$E$142:$CZ$142,'Dvd Calendar'!$E$141:$CZ$141,"&gt;"&amp;I$12,'Dvd Calendar'!$E$141:$CZ$141,"&lt;="&amp;I$13)/AS51!$B$3,"")))</f>
        <v/>
      </c>
      <c r="J83" s="113">
        <f>IF(J$13="","",IF($B83="","",IFERROR($C83*$D83*SUMIFS('Dvd Calendar'!$E$142:$CZ$142,'Dvd Calendar'!$E$141:$CZ$141,"&gt;"&amp;J$12,'Dvd Calendar'!$E$141:$CZ$141,"&lt;="&amp;J$13)/AS51!$B$3,"")))</f>
        <v/>
      </c>
      <c r="K83" s="113">
        <f>IF(K$13="","",IF($B83="","",IFERROR($C83*$D83*SUMIFS('Dvd Calendar'!$E$142:$CZ$142,'Dvd Calendar'!$E$141:$CZ$141,"&gt;"&amp;K$12,'Dvd Calendar'!$E$141:$CZ$141,"&lt;="&amp;K$13)/AS51!$B$3,"")))</f>
        <v/>
      </c>
      <c r="L83" s="113">
        <f>IF(L$13="","",IF($B83="","",IFERROR($C83*$D83*SUMIFS('Dvd Calendar'!$E$142:$CZ$142,'Dvd Calendar'!$E$141:$CZ$141,"&gt;"&amp;L$12,'Dvd Calendar'!$E$141:$CZ$141,"&lt;="&amp;L$13)/AS51!$B$3,"")))</f>
        <v/>
      </c>
      <c r="M83" s="113">
        <f>IF(M$13="","",IF($B83="","",IFERROR($C83*$D83*SUMIFS('Dvd Calendar'!$E$142:$CZ$142,'Dvd Calendar'!$E$141:$CZ$141,"&gt;"&amp;M$12,'Dvd Calendar'!$E$141:$CZ$141,"&lt;="&amp;M$13)/AS51!$B$3,"")))</f>
        <v/>
      </c>
      <c r="N83" s="113">
        <f>IF(N$13="","",IF($B83="","",IFERROR($C83*$D83*SUMIFS('Dvd Calendar'!$E$142:$CZ$142,'Dvd Calendar'!$E$141:$CZ$141,"&gt;"&amp;N$12,'Dvd Calendar'!$E$141:$CZ$141,"&lt;="&amp;N$13)/AS51!$B$3,"")))</f>
        <v/>
      </c>
      <c r="O83" s="113">
        <f>IF(O$13="","",IF($B83="","",IFERROR($C83*$D83*SUMIFS('Dvd Calendar'!$E$142:$CZ$142,'Dvd Calendar'!$E$141:$CZ$141,"&gt;"&amp;O$12,'Dvd Calendar'!$E$141:$CZ$141,"&lt;="&amp;O$13)/AS51!$B$3,"")))</f>
        <v/>
      </c>
      <c r="P83" s="113">
        <f>IF(P$13="","",IF($B83="","",IFERROR($C83*$D83*SUMIFS('Dvd Calendar'!$E$142:$CZ$142,'Dvd Calendar'!$E$141:$CZ$141,"&gt;"&amp;P$12,'Dvd Calendar'!$E$141:$CZ$141,"&lt;="&amp;P$13)/AS51!$B$3,"")))</f>
        <v/>
      </c>
      <c r="Q83" s="113">
        <f>IF(Q$13="","",IF($B83="","",IFERROR($C83*$D83*SUMIFS('Dvd Calendar'!$E$142:$CZ$142,'Dvd Calendar'!$E$141:$CZ$141,"&gt;"&amp;Q$12,'Dvd Calendar'!$E$141:$CZ$141,"&lt;="&amp;Q$13)/AS51!$B$3,"")))</f>
        <v/>
      </c>
      <c r="R83" s="113">
        <f>IF(R$13="","",IF($B83="","",IFERROR($C83*$D83*SUMIFS('Dvd Calendar'!$E$142:$CZ$142,'Dvd Calendar'!$E$141:$CZ$141,"&gt;"&amp;R$12,'Dvd Calendar'!$E$141:$CZ$141,"&lt;="&amp;R$13)/AS51!$B$3,"")))</f>
        <v/>
      </c>
      <c r="S83" s="113">
        <f>IF(S$13="","",IF($B83="","",IFERROR($C83*$D83*SUMIFS('Dvd Calendar'!$E$142:$CZ$142,'Dvd Calendar'!$E$141:$CZ$141,"&gt;"&amp;S$12,'Dvd Calendar'!$E$141:$CZ$141,"&lt;="&amp;S$13)/AS51!$B$3,"")))</f>
        <v/>
      </c>
      <c r="T83" s="113">
        <f>IF(T$13="","",IF($B83="","",IFERROR($C83*$D83*SUMIFS('Dvd Calendar'!$E$142:$CZ$142,'Dvd Calendar'!$E$141:$CZ$141,"&gt;"&amp;T$12,'Dvd Calendar'!$E$141:$CZ$141,"&lt;="&amp;T$13)/AS51!$B$3,"")))</f>
        <v/>
      </c>
      <c r="U83" s="113">
        <f>IF(U$13="","",IF($B83="","",IFERROR($C83*$D83*SUMIFS('Dvd Calendar'!$E$142:$CZ$142,'Dvd Calendar'!$E$141:$CZ$141,"&gt;"&amp;U$12,'Dvd Calendar'!$E$141:$CZ$141,"&lt;="&amp;U$13)/AS51!$B$3,"")))</f>
        <v/>
      </c>
      <c r="W83" s="113">
        <f>IF(W$13="","",IF($B83="","",IFERROR(F83*$E83/100,"")))</f>
        <v/>
      </c>
      <c r="X83" s="113">
        <f>IF(X$13="","",IF($B83="","",IFERROR(G83*$E83/100,"")))</f>
        <v/>
      </c>
      <c r="Y83" s="113">
        <f>IF(Y$13="","",IF($B83="","",IFERROR(H83*$E83/100,"")))</f>
        <v/>
      </c>
      <c r="Z83" s="113">
        <f>IF(Z$13="","",IF($B83="","",IFERROR(I83*$E83/100,"")))</f>
        <v/>
      </c>
      <c r="AA83" s="113">
        <f>IF(AA$13="","",IF($B83="","",IFERROR(J83*$E83/100,"")))</f>
        <v/>
      </c>
      <c r="AB83" s="113">
        <f>IF(AB$13="","",IF($B83="","",IFERROR(K83*$E83/100,"")))</f>
        <v/>
      </c>
      <c r="AC83" s="113">
        <f>IF(AC$13="","",IF($B83="","",IFERROR(L83*$E83/100,"")))</f>
        <v/>
      </c>
      <c r="AD83" s="113">
        <f>IF(AD$13="","",IF($B83="","",IFERROR(M83*$E83/100,"")))</f>
        <v/>
      </c>
      <c r="AE83" s="113">
        <f>IF(AE$13="","",IF($B83="","",IFERROR(N83*$E83/100,"")))</f>
        <v/>
      </c>
      <c r="AF83" s="113">
        <f>IF(AF$13="","",IF($B83="","",IFERROR(O83*$E83/100,"")))</f>
        <v/>
      </c>
      <c r="AG83" s="113">
        <f>IF(AG$13="","",IF($B83="","",IFERROR(P83*$E83/100,"")))</f>
        <v/>
      </c>
      <c r="AH83" s="113">
        <f>IF(AH$13="","",IF($B83="","",IFERROR(Q83*$E83/100,"")))</f>
        <v/>
      </c>
      <c r="AI83" s="113">
        <f>IF(AI$13="","",IF($B83="","",IFERROR(R83*$E83/100,"")))</f>
        <v/>
      </c>
      <c r="AJ83" s="113">
        <f>IF(AJ$13="","",IF($B83="","",IFERROR(S83*$E83/100,"")))</f>
        <v/>
      </c>
      <c r="AK83" s="113">
        <f>IF(AK$13="","",IF($B83="","",IFERROR(T83*$E83/100,"")))</f>
        <v/>
      </c>
      <c r="AL83" s="113">
        <f>IF(AL$13="","",IF($B83="","",IFERROR(U83*$E83/100,"")))</f>
        <v/>
      </c>
    </row>
    <row r="84">
      <c r="B84" s="5">
        <f>IF(AS51!$C$74="","",AS51!$C$74)</f>
        <v/>
      </c>
      <c r="C84" s="86">
        <f>IF(AS51!$B$74="","",AS51!$B$74)</f>
        <v/>
      </c>
      <c r="D84" s="111">
        <f>IFERROR(AS51!$Q$74,1)</f>
        <v/>
      </c>
      <c r="E84" s="112">
        <f>IF($B84="","",IF(ISNUMBER(AS51!$I$74),AS51!$I$74,'Index Summary'!$C$7))</f>
        <v/>
      </c>
      <c r="F84" s="113">
        <f>IF(F$13="","",IF($B84="","",IFERROR($C84*$D84*SUMIFS('Dvd Calendar'!$E$144:$CZ$144,'Dvd Calendar'!$E$143:$CZ$143,"&gt;"&amp;F$12,'Dvd Calendar'!$E$143:$CZ$143,"&lt;="&amp;F$13)/AS51!$B$3,"")))</f>
        <v/>
      </c>
      <c r="G84" s="113">
        <f>IF(G$13="","",IF($B84="","",IFERROR($C84*$D84*SUMIFS('Dvd Calendar'!$E$144:$CZ$144,'Dvd Calendar'!$E$143:$CZ$143,"&gt;"&amp;G$12,'Dvd Calendar'!$E$143:$CZ$143,"&lt;="&amp;G$13)/AS51!$B$3,"")))</f>
        <v/>
      </c>
      <c r="H84" s="113">
        <f>IF(H$13="","",IF($B84="","",IFERROR($C84*$D84*SUMIFS('Dvd Calendar'!$E$144:$CZ$144,'Dvd Calendar'!$E$143:$CZ$143,"&gt;"&amp;H$12,'Dvd Calendar'!$E$143:$CZ$143,"&lt;="&amp;H$13)/AS51!$B$3,"")))</f>
        <v/>
      </c>
      <c r="I84" s="113">
        <f>IF(I$13="","",IF($B84="","",IFERROR($C84*$D84*SUMIFS('Dvd Calendar'!$E$144:$CZ$144,'Dvd Calendar'!$E$143:$CZ$143,"&gt;"&amp;I$12,'Dvd Calendar'!$E$143:$CZ$143,"&lt;="&amp;I$13)/AS51!$B$3,"")))</f>
        <v/>
      </c>
      <c r="J84" s="113">
        <f>IF(J$13="","",IF($B84="","",IFERROR($C84*$D84*SUMIFS('Dvd Calendar'!$E$144:$CZ$144,'Dvd Calendar'!$E$143:$CZ$143,"&gt;"&amp;J$12,'Dvd Calendar'!$E$143:$CZ$143,"&lt;="&amp;J$13)/AS51!$B$3,"")))</f>
        <v/>
      </c>
      <c r="K84" s="113">
        <f>IF(K$13="","",IF($B84="","",IFERROR($C84*$D84*SUMIFS('Dvd Calendar'!$E$144:$CZ$144,'Dvd Calendar'!$E$143:$CZ$143,"&gt;"&amp;K$12,'Dvd Calendar'!$E$143:$CZ$143,"&lt;="&amp;K$13)/AS51!$B$3,"")))</f>
        <v/>
      </c>
      <c r="L84" s="113">
        <f>IF(L$13="","",IF($B84="","",IFERROR($C84*$D84*SUMIFS('Dvd Calendar'!$E$144:$CZ$144,'Dvd Calendar'!$E$143:$CZ$143,"&gt;"&amp;L$12,'Dvd Calendar'!$E$143:$CZ$143,"&lt;="&amp;L$13)/AS51!$B$3,"")))</f>
        <v/>
      </c>
      <c r="M84" s="113">
        <f>IF(M$13="","",IF($B84="","",IFERROR($C84*$D84*SUMIFS('Dvd Calendar'!$E$144:$CZ$144,'Dvd Calendar'!$E$143:$CZ$143,"&gt;"&amp;M$12,'Dvd Calendar'!$E$143:$CZ$143,"&lt;="&amp;M$13)/AS51!$B$3,"")))</f>
        <v/>
      </c>
      <c r="N84" s="113">
        <f>IF(N$13="","",IF($B84="","",IFERROR($C84*$D84*SUMIFS('Dvd Calendar'!$E$144:$CZ$144,'Dvd Calendar'!$E$143:$CZ$143,"&gt;"&amp;N$12,'Dvd Calendar'!$E$143:$CZ$143,"&lt;="&amp;N$13)/AS51!$B$3,"")))</f>
        <v/>
      </c>
      <c r="O84" s="113">
        <f>IF(O$13="","",IF($B84="","",IFERROR($C84*$D84*SUMIFS('Dvd Calendar'!$E$144:$CZ$144,'Dvd Calendar'!$E$143:$CZ$143,"&gt;"&amp;O$12,'Dvd Calendar'!$E$143:$CZ$143,"&lt;="&amp;O$13)/AS51!$B$3,"")))</f>
        <v/>
      </c>
      <c r="P84" s="113">
        <f>IF(P$13="","",IF($B84="","",IFERROR($C84*$D84*SUMIFS('Dvd Calendar'!$E$144:$CZ$144,'Dvd Calendar'!$E$143:$CZ$143,"&gt;"&amp;P$12,'Dvd Calendar'!$E$143:$CZ$143,"&lt;="&amp;P$13)/AS51!$B$3,"")))</f>
        <v/>
      </c>
      <c r="Q84" s="113">
        <f>IF(Q$13="","",IF($B84="","",IFERROR($C84*$D84*SUMIFS('Dvd Calendar'!$E$144:$CZ$144,'Dvd Calendar'!$E$143:$CZ$143,"&gt;"&amp;Q$12,'Dvd Calendar'!$E$143:$CZ$143,"&lt;="&amp;Q$13)/AS51!$B$3,"")))</f>
        <v/>
      </c>
      <c r="R84" s="113">
        <f>IF(R$13="","",IF($B84="","",IFERROR($C84*$D84*SUMIFS('Dvd Calendar'!$E$144:$CZ$144,'Dvd Calendar'!$E$143:$CZ$143,"&gt;"&amp;R$12,'Dvd Calendar'!$E$143:$CZ$143,"&lt;="&amp;R$13)/AS51!$B$3,"")))</f>
        <v/>
      </c>
      <c r="S84" s="113">
        <f>IF(S$13="","",IF($B84="","",IFERROR($C84*$D84*SUMIFS('Dvd Calendar'!$E$144:$CZ$144,'Dvd Calendar'!$E$143:$CZ$143,"&gt;"&amp;S$12,'Dvd Calendar'!$E$143:$CZ$143,"&lt;="&amp;S$13)/AS51!$B$3,"")))</f>
        <v/>
      </c>
      <c r="T84" s="113">
        <f>IF(T$13="","",IF($B84="","",IFERROR($C84*$D84*SUMIFS('Dvd Calendar'!$E$144:$CZ$144,'Dvd Calendar'!$E$143:$CZ$143,"&gt;"&amp;T$12,'Dvd Calendar'!$E$143:$CZ$143,"&lt;="&amp;T$13)/AS51!$B$3,"")))</f>
        <v/>
      </c>
      <c r="U84" s="113">
        <f>IF(U$13="","",IF($B84="","",IFERROR($C84*$D84*SUMIFS('Dvd Calendar'!$E$144:$CZ$144,'Dvd Calendar'!$E$143:$CZ$143,"&gt;"&amp;U$12,'Dvd Calendar'!$E$143:$CZ$143,"&lt;="&amp;U$13)/AS51!$B$3,"")))</f>
        <v/>
      </c>
      <c r="W84" s="113">
        <f>IF(W$13="","",IF($B84="","",IFERROR(F84*$E84/100,"")))</f>
        <v/>
      </c>
      <c r="X84" s="113">
        <f>IF(X$13="","",IF($B84="","",IFERROR(G84*$E84/100,"")))</f>
        <v/>
      </c>
      <c r="Y84" s="113">
        <f>IF(Y$13="","",IF($B84="","",IFERROR(H84*$E84/100,"")))</f>
        <v/>
      </c>
      <c r="Z84" s="113">
        <f>IF(Z$13="","",IF($B84="","",IFERROR(I84*$E84/100,"")))</f>
        <v/>
      </c>
      <c r="AA84" s="113">
        <f>IF(AA$13="","",IF($B84="","",IFERROR(J84*$E84/100,"")))</f>
        <v/>
      </c>
      <c r="AB84" s="113">
        <f>IF(AB$13="","",IF($B84="","",IFERROR(K84*$E84/100,"")))</f>
        <v/>
      </c>
      <c r="AC84" s="113">
        <f>IF(AC$13="","",IF($B84="","",IFERROR(L84*$E84/100,"")))</f>
        <v/>
      </c>
      <c r="AD84" s="113">
        <f>IF(AD$13="","",IF($B84="","",IFERROR(M84*$E84/100,"")))</f>
        <v/>
      </c>
      <c r="AE84" s="113">
        <f>IF(AE$13="","",IF($B84="","",IFERROR(N84*$E84/100,"")))</f>
        <v/>
      </c>
      <c r="AF84" s="113">
        <f>IF(AF$13="","",IF($B84="","",IFERROR(O84*$E84/100,"")))</f>
        <v/>
      </c>
      <c r="AG84" s="113">
        <f>IF(AG$13="","",IF($B84="","",IFERROR(P84*$E84/100,"")))</f>
        <v/>
      </c>
      <c r="AH84" s="113">
        <f>IF(AH$13="","",IF($B84="","",IFERROR(Q84*$E84/100,"")))</f>
        <v/>
      </c>
      <c r="AI84" s="113">
        <f>IF(AI$13="","",IF($B84="","",IFERROR(R84*$E84/100,"")))</f>
        <v/>
      </c>
      <c r="AJ84" s="113">
        <f>IF(AJ$13="","",IF($B84="","",IFERROR(S84*$E84/100,"")))</f>
        <v/>
      </c>
      <c r="AK84" s="113">
        <f>IF(AK$13="","",IF($B84="","",IFERROR(T84*$E84/100,"")))</f>
        <v/>
      </c>
      <c r="AL84" s="113">
        <f>IF(AL$13="","",IF($B84="","",IFERROR(U84*$E84/100,"")))</f>
        <v/>
      </c>
    </row>
    <row r="85">
      <c r="B85" s="5">
        <f>IF(AS51!$C$75="","",AS51!$C$75)</f>
        <v/>
      </c>
      <c r="C85" s="86">
        <f>IF(AS51!$B$75="","",AS51!$B$75)</f>
        <v/>
      </c>
      <c r="D85" s="111">
        <f>IFERROR(AS51!$Q$75,1)</f>
        <v/>
      </c>
      <c r="E85" s="112">
        <f>IF($B85="","",IF(ISNUMBER(AS51!$I$75),AS51!$I$75,'Index Summary'!$C$7))</f>
        <v/>
      </c>
      <c r="F85" s="113">
        <f>IF(F$13="","",IF($B85="","",IFERROR($C85*$D85*SUMIFS('Dvd Calendar'!$E$146:$CZ$146,'Dvd Calendar'!$E$145:$CZ$145,"&gt;"&amp;F$12,'Dvd Calendar'!$E$145:$CZ$145,"&lt;="&amp;F$13)/AS51!$B$3,"")))</f>
        <v/>
      </c>
      <c r="G85" s="113">
        <f>IF(G$13="","",IF($B85="","",IFERROR($C85*$D85*SUMIFS('Dvd Calendar'!$E$146:$CZ$146,'Dvd Calendar'!$E$145:$CZ$145,"&gt;"&amp;G$12,'Dvd Calendar'!$E$145:$CZ$145,"&lt;="&amp;G$13)/AS51!$B$3,"")))</f>
        <v/>
      </c>
      <c r="H85" s="113">
        <f>IF(H$13="","",IF($B85="","",IFERROR($C85*$D85*SUMIFS('Dvd Calendar'!$E$146:$CZ$146,'Dvd Calendar'!$E$145:$CZ$145,"&gt;"&amp;H$12,'Dvd Calendar'!$E$145:$CZ$145,"&lt;="&amp;H$13)/AS51!$B$3,"")))</f>
        <v/>
      </c>
      <c r="I85" s="113">
        <f>IF(I$13="","",IF($B85="","",IFERROR($C85*$D85*SUMIFS('Dvd Calendar'!$E$146:$CZ$146,'Dvd Calendar'!$E$145:$CZ$145,"&gt;"&amp;I$12,'Dvd Calendar'!$E$145:$CZ$145,"&lt;="&amp;I$13)/AS51!$B$3,"")))</f>
        <v/>
      </c>
      <c r="J85" s="113">
        <f>IF(J$13="","",IF($B85="","",IFERROR($C85*$D85*SUMIFS('Dvd Calendar'!$E$146:$CZ$146,'Dvd Calendar'!$E$145:$CZ$145,"&gt;"&amp;J$12,'Dvd Calendar'!$E$145:$CZ$145,"&lt;="&amp;J$13)/AS51!$B$3,"")))</f>
        <v/>
      </c>
      <c r="K85" s="113">
        <f>IF(K$13="","",IF($B85="","",IFERROR($C85*$D85*SUMIFS('Dvd Calendar'!$E$146:$CZ$146,'Dvd Calendar'!$E$145:$CZ$145,"&gt;"&amp;K$12,'Dvd Calendar'!$E$145:$CZ$145,"&lt;="&amp;K$13)/AS51!$B$3,"")))</f>
        <v/>
      </c>
      <c r="L85" s="113">
        <f>IF(L$13="","",IF($B85="","",IFERROR($C85*$D85*SUMIFS('Dvd Calendar'!$E$146:$CZ$146,'Dvd Calendar'!$E$145:$CZ$145,"&gt;"&amp;L$12,'Dvd Calendar'!$E$145:$CZ$145,"&lt;="&amp;L$13)/AS51!$B$3,"")))</f>
        <v/>
      </c>
      <c r="M85" s="113">
        <f>IF(M$13="","",IF($B85="","",IFERROR($C85*$D85*SUMIFS('Dvd Calendar'!$E$146:$CZ$146,'Dvd Calendar'!$E$145:$CZ$145,"&gt;"&amp;M$12,'Dvd Calendar'!$E$145:$CZ$145,"&lt;="&amp;M$13)/AS51!$B$3,"")))</f>
        <v/>
      </c>
      <c r="N85" s="113">
        <f>IF(N$13="","",IF($B85="","",IFERROR($C85*$D85*SUMIFS('Dvd Calendar'!$E$146:$CZ$146,'Dvd Calendar'!$E$145:$CZ$145,"&gt;"&amp;N$12,'Dvd Calendar'!$E$145:$CZ$145,"&lt;="&amp;N$13)/AS51!$B$3,"")))</f>
        <v/>
      </c>
      <c r="O85" s="113">
        <f>IF(O$13="","",IF($B85="","",IFERROR($C85*$D85*SUMIFS('Dvd Calendar'!$E$146:$CZ$146,'Dvd Calendar'!$E$145:$CZ$145,"&gt;"&amp;O$12,'Dvd Calendar'!$E$145:$CZ$145,"&lt;="&amp;O$13)/AS51!$B$3,"")))</f>
        <v/>
      </c>
      <c r="P85" s="113">
        <f>IF(P$13="","",IF($B85="","",IFERROR($C85*$D85*SUMIFS('Dvd Calendar'!$E$146:$CZ$146,'Dvd Calendar'!$E$145:$CZ$145,"&gt;"&amp;P$12,'Dvd Calendar'!$E$145:$CZ$145,"&lt;="&amp;P$13)/AS51!$B$3,"")))</f>
        <v/>
      </c>
      <c r="Q85" s="113">
        <f>IF(Q$13="","",IF($B85="","",IFERROR($C85*$D85*SUMIFS('Dvd Calendar'!$E$146:$CZ$146,'Dvd Calendar'!$E$145:$CZ$145,"&gt;"&amp;Q$12,'Dvd Calendar'!$E$145:$CZ$145,"&lt;="&amp;Q$13)/AS51!$B$3,"")))</f>
        <v/>
      </c>
      <c r="R85" s="113">
        <f>IF(R$13="","",IF($B85="","",IFERROR($C85*$D85*SUMIFS('Dvd Calendar'!$E$146:$CZ$146,'Dvd Calendar'!$E$145:$CZ$145,"&gt;"&amp;R$12,'Dvd Calendar'!$E$145:$CZ$145,"&lt;="&amp;R$13)/AS51!$B$3,"")))</f>
        <v/>
      </c>
      <c r="S85" s="113">
        <f>IF(S$13="","",IF($B85="","",IFERROR($C85*$D85*SUMIFS('Dvd Calendar'!$E$146:$CZ$146,'Dvd Calendar'!$E$145:$CZ$145,"&gt;"&amp;S$12,'Dvd Calendar'!$E$145:$CZ$145,"&lt;="&amp;S$13)/AS51!$B$3,"")))</f>
        <v/>
      </c>
      <c r="T85" s="113">
        <f>IF(T$13="","",IF($B85="","",IFERROR($C85*$D85*SUMIFS('Dvd Calendar'!$E$146:$CZ$146,'Dvd Calendar'!$E$145:$CZ$145,"&gt;"&amp;T$12,'Dvd Calendar'!$E$145:$CZ$145,"&lt;="&amp;T$13)/AS51!$B$3,"")))</f>
        <v/>
      </c>
      <c r="U85" s="113">
        <f>IF(U$13="","",IF($B85="","",IFERROR($C85*$D85*SUMIFS('Dvd Calendar'!$E$146:$CZ$146,'Dvd Calendar'!$E$145:$CZ$145,"&gt;"&amp;U$12,'Dvd Calendar'!$E$145:$CZ$145,"&lt;="&amp;U$13)/AS51!$B$3,"")))</f>
        <v/>
      </c>
      <c r="W85" s="113">
        <f>IF(W$13="","",IF($B85="","",IFERROR(F85*$E85/100,"")))</f>
        <v/>
      </c>
      <c r="X85" s="113">
        <f>IF(X$13="","",IF($B85="","",IFERROR(G85*$E85/100,"")))</f>
        <v/>
      </c>
      <c r="Y85" s="113">
        <f>IF(Y$13="","",IF($B85="","",IFERROR(H85*$E85/100,"")))</f>
        <v/>
      </c>
      <c r="Z85" s="113">
        <f>IF(Z$13="","",IF($B85="","",IFERROR(I85*$E85/100,"")))</f>
        <v/>
      </c>
      <c r="AA85" s="113">
        <f>IF(AA$13="","",IF($B85="","",IFERROR(J85*$E85/100,"")))</f>
        <v/>
      </c>
      <c r="AB85" s="113">
        <f>IF(AB$13="","",IF($B85="","",IFERROR(K85*$E85/100,"")))</f>
        <v/>
      </c>
      <c r="AC85" s="113">
        <f>IF(AC$13="","",IF($B85="","",IFERROR(L85*$E85/100,"")))</f>
        <v/>
      </c>
      <c r="AD85" s="113">
        <f>IF(AD$13="","",IF($B85="","",IFERROR(M85*$E85/100,"")))</f>
        <v/>
      </c>
      <c r="AE85" s="113">
        <f>IF(AE$13="","",IF($B85="","",IFERROR(N85*$E85/100,"")))</f>
        <v/>
      </c>
      <c r="AF85" s="113">
        <f>IF(AF$13="","",IF($B85="","",IFERROR(O85*$E85/100,"")))</f>
        <v/>
      </c>
      <c r="AG85" s="113">
        <f>IF(AG$13="","",IF($B85="","",IFERROR(P85*$E85/100,"")))</f>
        <v/>
      </c>
      <c r="AH85" s="113">
        <f>IF(AH$13="","",IF($B85="","",IFERROR(Q85*$E85/100,"")))</f>
        <v/>
      </c>
      <c r="AI85" s="113">
        <f>IF(AI$13="","",IF($B85="","",IFERROR(R85*$E85/100,"")))</f>
        <v/>
      </c>
      <c r="AJ85" s="113">
        <f>IF(AJ$13="","",IF($B85="","",IFERROR(S85*$E85/100,"")))</f>
        <v/>
      </c>
      <c r="AK85" s="113">
        <f>IF(AK$13="","",IF($B85="","",IFERROR(T85*$E85/100,"")))</f>
        <v/>
      </c>
      <c r="AL85" s="113">
        <f>IF(AL$13="","",IF($B85="","",IFERROR(U85*$E85/100,"")))</f>
        <v/>
      </c>
    </row>
    <row r="86">
      <c r="B86" s="5">
        <f>IF(AS51!$C$76="","",AS51!$C$76)</f>
        <v/>
      </c>
      <c r="C86" s="86">
        <f>IF(AS51!$B$76="","",AS51!$B$76)</f>
        <v/>
      </c>
      <c r="D86" s="111">
        <f>IFERROR(AS51!$Q$76,1)</f>
        <v/>
      </c>
      <c r="E86" s="112">
        <f>IF($B86="","",IF(ISNUMBER(AS51!$I$76),AS51!$I$76,'Index Summary'!$C$7))</f>
        <v/>
      </c>
      <c r="F86" s="113">
        <f>IF(F$13="","",IF($B86="","",IFERROR($C86*$D86*SUMIFS('Dvd Calendar'!$E$148:$CZ$148,'Dvd Calendar'!$E$147:$CZ$147,"&gt;"&amp;F$12,'Dvd Calendar'!$E$147:$CZ$147,"&lt;="&amp;F$13)/AS51!$B$3,"")))</f>
        <v/>
      </c>
      <c r="G86" s="113">
        <f>IF(G$13="","",IF($B86="","",IFERROR($C86*$D86*SUMIFS('Dvd Calendar'!$E$148:$CZ$148,'Dvd Calendar'!$E$147:$CZ$147,"&gt;"&amp;G$12,'Dvd Calendar'!$E$147:$CZ$147,"&lt;="&amp;G$13)/AS51!$B$3,"")))</f>
        <v/>
      </c>
      <c r="H86" s="113">
        <f>IF(H$13="","",IF($B86="","",IFERROR($C86*$D86*SUMIFS('Dvd Calendar'!$E$148:$CZ$148,'Dvd Calendar'!$E$147:$CZ$147,"&gt;"&amp;H$12,'Dvd Calendar'!$E$147:$CZ$147,"&lt;="&amp;H$13)/AS51!$B$3,"")))</f>
        <v/>
      </c>
      <c r="I86" s="113">
        <f>IF(I$13="","",IF($B86="","",IFERROR($C86*$D86*SUMIFS('Dvd Calendar'!$E$148:$CZ$148,'Dvd Calendar'!$E$147:$CZ$147,"&gt;"&amp;I$12,'Dvd Calendar'!$E$147:$CZ$147,"&lt;="&amp;I$13)/AS51!$B$3,"")))</f>
        <v/>
      </c>
      <c r="J86" s="113">
        <f>IF(J$13="","",IF($B86="","",IFERROR($C86*$D86*SUMIFS('Dvd Calendar'!$E$148:$CZ$148,'Dvd Calendar'!$E$147:$CZ$147,"&gt;"&amp;J$12,'Dvd Calendar'!$E$147:$CZ$147,"&lt;="&amp;J$13)/AS51!$B$3,"")))</f>
        <v/>
      </c>
      <c r="K86" s="113">
        <f>IF(K$13="","",IF($B86="","",IFERROR($C86*$D86*SUMIFS('Dvd Calendar'!$E$148:$CZ$148,'Dvd Calendar'!$E$147:$CZ$147,"&gt;"&amp;K$12,'Dvd Calendar'!$E$147:$CZ$147,"&lt;="&amp;K$13)/AS51!$B$3,"")))</f>
        <v/>
      </c>
      <c r="L86" s="113">
        <f>IF(L$13="","",IF($B86="","",IFERROR($C86*$D86*SUMIFS('Dvd Calendar'!$E$148:$CZ$148,'Dvd Calendar'!$E$147:$CZ$147,"&gt;"&amp;L$12,'Dvd Calendar'!$E$147:$CZ$147,"&lt;="&amp;L$13)/AS51!$B$3,"")))</f>
        <v/>
      </c>
      <c r="M86" s="113">
        <f>IF(M$13="","",IF($B86="","",IFERROR($C86*$D86*SUMIFS('Dvd Calendar'!$E$148:$CZ$148,'Dvd Calendar'!$E$147:$CZ$147,"&gt;"&amp;M$12,'Dvd Calendar'!$E$147:$CZ$147,"&lt;="&amp;M$13)/AS51!$B$3,"")))</f>
        <v/>
      </c>
      <c r="N86" s="113">
        <f>IF(N$13="","",IF($B86="","",IFERROR($C86*$D86*SUMIFS('Dvd Calendar'!$E$148:$CZ$148,'Dvd Calendar'!$E$147:$CZ$147,"&gt;"&amp;N$12,'Dvd Calendar'!$E$147:$CZ$147,"&lt;="&amp;N$13)/AS51!$B$3,"")))</f>
        <v/>
      </c>
      <c r="O86" s="113">
        <f>IF(O$13="","",IF($B86="","",IFERROR($C86*$D86*SUMIFS('Dvd Calendar'!$E$148:$CZ$148,'Dvd Calendar'!$E$147:$CZ$147,"&gt;"&amp;O$12,'Dvd Calendar'!$E$147:$CZ$147,"&lt;="&amp;O$13)/AS51!$B$3,"")))</f>
        <v/>
      </c>
      <c r="P86" s="113">
        <f>IF(P$13="","",IF($B86="","",IFERROR($C86*$D86*SUMIFS('Dvd Calendar'!$E$148:$CZ$148,'Dvd Calendar'!$E$147:$CZ$147,"&gt;"&amp;P$12,'Dvd Calendar'!$E$147:$CZ$147,"&lt;="&amp;P$13)/AS51!$B$3,"")))</f>
        <v/>
      </c>
      <c r="Q86" s="113">
        <f>IF(Q$13="","",IF($B86="","",IFERROR($C86*$D86*SUMIFS('Dvd Calendar'!$E$148:$CZ$148,'Dvd Calendar'!$E$147:$CZ$147,"&gt;"&amp;Q$12,'Dvd Calendar'!$E$147:$CZ$147,"&lt;="&amp;Q$13)/AS51!$B$3,"")))</f>
        <v/>
      </c>
      <c r="R86" s="113">
        <f>IF(R$13="","",IF($B86="","",IFERROR($C86*$D86*SUMIFS('Dvd Calendar'!$E$148:$CZ$148,'Dvd Calendar'!$E$147:$CZ$147,"&gt;"&amp;R$12,'Dvd Calendar'!$E$147:$CZ$147,"&lt;="&amp;R$13)/AS51!$B$3,"")))</f>
        <v/>
      </c>
      <c r="S86" s="113">
        <f>IF(S$13="","",IF($B86="","",IFERROR($C86*$D86*SUMIFS('Dvd Calendar'!$E$148:$CZ$148,'Dvd Calendar'!$E$147:$CZ$147,"&gt;"&amp;S$12,'Dvd Calendar'!$E$147:$CZ$147,"&lt;="&amp;S$13)/AS51!$B$3,"")))</f>
        <v/>
      </c>
      <c r="T86" s="113">
        <f>IF(T$13="","",IF($B86="","",IFERROR($C86*$D86*SUMIFS('Dvd Calendar'!$E$148:$CZ$148,'Dvd Calendar'!$E$147:$CZ$147,"&gt;"&amp;T$12,'Dvd Calendar'!$E$147:$CZ$147,"&lt;="&amp;T$13)/AS51!$B$3,"")))</f>
        <v/>
      </c>
      <c r="U86" s="113">
        <f>IF(U$13="","",IF($B86="","",IFERROR($C86*$D86*SUMIFS('Dvd Calendar'!$E$148:$CZ$148,'Dvd Calendar'!$E$147:$CZ$147,"&gt;"&amp;U$12,'Dvd Calendar'!$E$147:$CZ$147,"&lt;="&amp;U$13)/AS51!$B$3,"")))</f>
        <v/>
      </c>
      <c r="W86" s="113">
        <f>IF(W$13="","",IF($B86="","",IFERROR(F86*$E86/100,"")))</f>
        <v/>
      </c>
      <c r="X86" s="113">
        <f>IF(X$13="","",IF($B86="","",IFERROR(G86*$E86/100,"")))</f>
        <v/>
      </c>
      <c r="Y86" s="113">
        <f>IF(Y$13="","",IF($B86="","",IFERROR(H86*$E86/100,"")))</f>
        <v/>
      </c>
      <c r="Z86" s="113">
        <f>IF(Z$13="","",IF($B86="","",IFERROR(I86*$E86/100,"")))</f>
        <v/>
      </c>
      <c r="AA86" s="113">
        <f>IF(AA$13="","",IF($B86="","",IFERROR(J86*$E86/100,"")))</f>
        <v/>
      </c>
      <c r="AB86" s="113">
        <f>IF(AB$13="","",IF($B86="","",IFERROR(K86*$E86/100,"")))</f>
        <v/>
      </c>
      <c r="AC86" s="113">
        <f>IF(AC$13="","",IF($B86="","",IFERROR(L86*$E86/100,"")))</f>
        <v/>
      </c>
      <c r="AD86" s="113">
        <f>IF(AD$13="","",IF($B86="","",IFERROR(M86*$E86/100,"")))</f>
        <v/>
      </c>
      <c r="AE86" s="113">
        <f>IF(AE$13="","",IF($B86="","",IFERROR(N86*$E86/100,"")))</f>
        <v/>
      </c>
      <c r="AF86" s="113">
        <f>IF(AF$13="","",IF($B86="","",IFERROR(O86*$E86/100,"")))</f>
        <v/>
      </c>
      <c r="AG86" s="113">
        <f>IF(AG$13="","",IF($B86="","",IFERROR(P86*$E86/100,"")))</f>
        <v/>
      </c>
      <c r="AH86" s="113">
        <f>IF(AH$13="","",IF($B86="","",IFERROR(Q86*$E86/100,"")))</f>
        <v/>
      </c>
      <c r="AI86" s="113">
        <f>IF(AI$13="","",IF($B86="","",IFERROR(R86*$E86/100,"")))</f>
        <v/>
      </c>
      <c r="AJ86" s="113">
        <f>IF(AJ$13="","",IF($B86="","",IFERROR(S86*$E86/100,"")))</f>
        <v/>
      </c>
      <c r="AK86" s="113">
        <f>IF(AK$13="","",IF($B86="","",IFERROR(T86*$E86/100,"")))</f>
        <v/>
      </c>
      <c r="AL86" s="113">
        <f>IF(AL$13="","",IF($B86="","",IFERROR(U86*$E86/100,"")))</f>
        <v/>
      </c>
    </row>
    <row r="87">
      <c r="B87" s="5">
        <f>IF(AS51!$C$77="","",AS51!$C$77)</f>
        <v/>
      </c>
      <c r="C87" s="86">
        <f>IF(AS51!$B$77="","",AS51!$B$77)</f>
        <v/>
      </c>
      <c r="D87" s="111">
        <f>IFERROR(AS51!$Q$77,1)</f>
        <v/>
      </c>
      <c r="E87" s="112">
        <f>IF($B87="","",IF(ISNUMBER(AS51!$I$77),AS51!$I$77,'Index Summary'!$C$7))</f>
        <v/>
      </c>
      <c r="F87" s="113">
        <f>IF(F$13="","",IF($B87="","",IFERROR($C87*$D87*SUMIFS('Dvd Calendar'!$E$150:$CZ$150,'Dvd Calendar'!$E$149:$CZ$149,"&gt;"&amp;F$12,'Dvd Calendar'!$E$149:$CZ$149,"&lt;="&amp;F$13)/AS51!$B$3,"")))</f>
        <v/>
      </c>
      <c r="G87" s="113">
        <f>IF(G$13="","",IF($B87="","",IFERROR($C87*$D87*SUMIFS('Dvd Calendar'!$E$150:$CZ$150,'Dvd Calendar'!$E$149:$CZ$149,"&gt;"&amp;G$12,'Dvd Calendar'!$E$149:$CZ$149,"&lt;="&amp;G$13)/AS51!$B$3,"")))</f>
        <v/>
      </c>
      <c r="H87" s="113">
        <f>IF(H$13="","",IF($B87="","",IFERROR($C87*$D87*SUMIFS('Dvd Calendar'!$E$150:$CZ$150,'Dvd Calendar'!$E$149:$CZ$149,"&gt;"&amp;H$12,'Dvd Calendar'!$E$149:$CZ$149,"&lt;="&amp;H$13)/AS51!$B$3,"")))</f>
        <v/>
      </c>
      <c r="I87" s="113">
        <f>IF(I$13="","",IF($B87="","",IFERROR($C87*$D87*SUMIFS('Dvd Calendar'!$E$150:$CZ$150,'Dvd Calendar'!$E$149:$CZ$149,"&gt;"&amp;I$12,'Dvd Calendar'!$E$149:$CZ$149,"&lt;="&amp;I$13)/AS51!$B$3,"")))</f>
        <v/>
      </c>
      <c r="J87" s="113">
        <f>IF(J$13="","",IF($B87="","",IFERROR($C87*$D87*SUMIFS('Dvd Calendar'!$E$150:$CZ$150,'Dvd Calendar'!$E$149:$CZ$149,"&gt;"&amp;J$12,'Dvd Calendar'!$E$149:$CZ$149,"&lt;="&amp;J$13)/AS51!$B$3,"")))</f>
        <v/>
      </c>
      <c r="K87" s="113">
        <f>IF(K$13="","",IF($B87="","",IFERROR($C87*$D87*SUMIFS('Dvd Calendar'!$E$150:$CZ$150,'Dvd Calendar'!$E$149:$CZ$149,"&gt;"&amp;K$12,'Dvd Calendar'!$E$149:$CZ$149,"&lt;="&amp;K$13)/AS51!$B$3,"")))</f>
        <v/>
      </c>
      <c r="L87" s="113">
        <f>IF(L$13="","",IF($B87="","",IFERROR($C87*$D87*SUMIFS('Dvd Calendar'!$E$150:$CZ$150,'Dvd Calendar'!$E$149:$CZ$149,"&gt;"&amp;L$12,'Dvd Calendar'!$E$149:$CZ$149,"&lt;="&amp;L$13)/AS51!$B$3,"")))</f>
        <v/>
      </c>
      <c r="M87" s="113">
        <f>IF(M$13="","",IF($B87="","",IFERROR($C87*$D87*SUMIFS('Dvd Calendar'!$E$150:$CZ$150,'Dvd Calendar'!$E$149:$CZ$149,"&gt;"&amp;M$12,'Dvd Calendar'!$E$149:$CZ$149,"&lt;="&amp;M$13)/AS51!$B$3,"")))</f>
        <v/>
      </c>
      <c r="N87" s="113">
        <f>IF(N$13="","",IF($B87="","",IFERROR($C87*$D87*SUMIFS('Dvd Calendar'!$E$150:$CZ$150,'Dvd Calendar'!$E$149:$CZ$149,"&gt;"&amp;N$12,'Dvd Calendar'!$E$149:$CZ$149,"&lt;="&amp;N$13)/AS51!$B$3,"")))</f>
        <v/>
      </c>
      <c r="O87" s="113">
        <f>IF(O$13="","",IF($B87="","",IFERROR($C87*$D87*SUMIFS('Dvd Calendar'!$E$150:$CZ$150,'Dvd Calendar'!$E$149:$CZ$149,"&gt;"&amp;O$12,'Dvd Calendar'!$E$149:$CZ$149,"&lt;="&amp;O$13)/AS51!$B$3,"")))</f>
        <v/>
      </c>
      <c r="P87" s="113">
        <f>IF(P$13="","",IF($B87="","",IFERROR($C87*$D87*SUMIFS('Dvd Calendar'!$E$150:$CZ$150,'Dvd Calendar'!$E$149:$CZ$149,"&gt;"&amp;P$12,'Dvd Calendar'!$E$149:$CZ$149,"&lt;="&amp;P$13)/AS51!$B$3,"")))</f>
        <v/>
      </c>
      <c r="Q87" s="113">
        <f>IF(Q$13="","",IF($B87="","",IFERROR($C87*$D87*SUMIFS('Dvd Calendar'!$E$150:$CZ$150,'Dvd Calendar'!$E$149:$CZ$149,"&gt;"&amp;Q$12,'Dvd Calendar'!$E$149:$CZ$149,"&lt;="&amp;Q$13)/AS51!$B$3,"")))</f>
        <v/>
      </c>
      <c r="R87" s="113">
        <f>IF(R$13="","",IF($B87="","",IFERROR($C87*$D87*SUMIFS('Dvd Calendar'!$E$150:$CZ$150,'Dvd Calendar'!$E$149:$CZ$149,"&gt;"&amp;R$12,'Dvd Calendar'!$E$149:$CZ$149,"&lt;="&amp;R$13)/AS51!$B$3,"")))</f>
        <v/>
      </c>
      <c r="S87" s="113">
        <f>IF(S$13="","",IF($B87="","",IFERROR($C87*$D87*SUMIFS('Dvd Calendar'!$E$150:$CZ$150,'Dvd Calendar'!$E$149:$CZ$149,"&gt;"&amp;S$12,'Dvd Calendar'!$E$149:$CZ$149,"&lt;="&amp;S$13)/AS51!$B$3,"")))</f>
        <v/>
      </c>
      <c r="T87" s="113">
        <f>IF(T$13="","",IF($B87="","",IFERROR($C87*$D87*SUMIFS('Dvd Calendar'!$E$150:$CZ$150,'Dvd Calendar'!$E$149:$CZ$149,"&gt;"&amp;T$12,'Dvd Calendar'!$E$149:$CZ$149,"&lt;="&amp;T$13)/AS51!$B$3,"")))</f>
        <v/>
      </c>
      <c r="U87" s="113">
        <f>IF(U$13="","",IF($B87="","",IFERROR($C87*$D87*SUMIFS('Dvd Calendar'!$E$150:$CZ$150,'Dvd Calendar'!$E$149:$CZ$149,"&gt;"&amp;U$12,'Dvd Calendar'!$E$149:$CZ$149,"&lt;="&amp;U$13)/AS51!$B$3,"")))</f>
        <v/>
      </c>
      <c r="W87" s="113">
        <f>IF(W$13="","",IF($B87="","",IFERROR(F87*$E87/100,"")))</f>
        <v/>
      </c>
      <c r="X87" s="113">
        <f>IF(X$13="","",IF($B87="","",IFERROR(G87*$E87/100,"")))</f>
        <v/>
      </c>
      <c r="Y87" s="113">
        <f>IF(Y$13="","",IF($B87="","",IFERROR(H87*$E87/100,"")))</f>
        <v/>
      </c>
      <c r="Z87" s="113">
        <f>IF(Z$13="","",IF($B87="","",IFERROR(I87*$E87/100,"")))</f>
        <v/>
      </c>
      <c r="AA87" s="113">
        <f>IF(AA$13="","",IF($B87="","",IFERROR(J87*$E87/100,"")))</f>
        <v/>
      </c>
      <c r="AB87" s="113">
        <f>IF(AB$13="","",IF($B87="","",IFERROR(K87*$E87/100,"")))</f>
        <v/>
      </c>
      <c r="AC87" s="113">
        <f>IF(AC$13="","",IF($B87="","",IFERROR(L87*$E87/100,"")))</f>
        <v/>
      </c>
      <c r="AD87" s="113">
        <f>IF(AD$13="","",IF($B87="","",IFERROR(M87*$E87/100,"")))</f>
        <v/>
      </c>
      <c r="AE87" s="113">
        <f>IF(AE$13="","",IF($B87="","",IFERROR(N87*$E87/100,"")))</f>
        <v/>
      </c>
      <c r="AF87" s="113">
        <f>IF(AF$13="","",IF($B87="","",IFERROR(O87*$E87/100,"")))</f>
        <v/>
      </c>
      <c r="AG87" s="113">
        <f>IF(AG$13="","",IF($B87="","",IFERROR(P87*$E87/100,"")))</f>
        <v/>
      </c>
      <c r="AH87" s="113">
        <f>IF(AH$13="","",IF($B87="","",IFERROR(Q87*$E87/100,"")))</f>
        <v/>
      </c>
      <c r="AI87" s="113">
        <f>IF(AI$13="","",IF($B87="","",IFERROR(R87*$E87/100,"")))</f>
        <v/>
      </c>
      <c r="AJ87" s="113">
        <f>IF(AJ$13="","",IF($B87="","",IFERROR(S87*$E87/100,"")))</f>
        <v/>
      </c>
      <c r="AK87" s="113">
        <f>IF(AK$13="","",IF($B87="","",IFERROR(T87*$E87/100,"")))</f>
        <v/>
      </c>
      <c r="AL87" s="113">
        <f>IF(AL$13="","",IF($B87="","",IFERROR(U87*$E87/100,"")))</f>
        <v/>
      </c>
    </row>
    <row r="88">
      <c r="B88" s="5">
        <f>IF(AS51!$C$78="","",AS51!$C$78)</f>
        <v/>
      </c>
      <c r="C88" s="86">
        <f>IF(AS51!$B$78="","",AS51!$B$78)</f>
        <v/>
      </c>
      <c r="D88" s="111">
        <f>IFERROR(AS51!$Q$78,1)</f>
        <v/>
      </c>
      <c r="E88" s="112">
        <f>IF($B88="","",IF(ISNUMBER(AS51!$I$78),AS51!$I$78,'Index Summary'!$C$7))</f>
        <v/>
      </c>
      <c r="F88" s="113">
        <f>IF(F$13="","",IF($B88="","",IFERROR($C88*$D88*SUMIFS('Dvd Calendar'!$E$152:$CZ$152,'Dvd Calendar'!$E$151:$CZ$151,"&gt;"&amp;F$12,'Dvd Calendar'!$E$151:$CZ$151,"&lt;="&amp;F$13)/AS51!$B$3,"")))</f>
        <v/>
      </c>
      <c r="G88" s="113">
        <f>IF(G$13="","",IF($B88="","",IFERROR($C88*$D88*SUMIFS('Dvd Calendar'!$E$152:$CZ$152,'Dvd Calendar'!$E$151:$CZ$151,"&gt;"&amp;G$12,'Dvd Calendar'!$E$151:$CZ$151,"&lt;="&amp;G$13)/AS51!$B$3,"")))</f>
        <v/>
      </c>
      <c r="H88" s="113">
        <f>IF(H$13="","",IF($B88="","",IFERROR($C88*$D88*SUMIFS('Dvd Calendar'!$E$152:$CZ$152,'Dvd Calendar'!$E$151:$CZ$151,"&gt;"&amp;H$12,'Dvd Calendar'!$E$151:$CZ$151,"&lt;="&amp;H$13)/AS51!$B$3,"")))</f>
        <v/>
      </c>
      <c r="I88" s="113">
        <f>IF(I$13="","",IF($B88="","",IFERROR($C88*$D88*SUMIFS('Dvd Calendar'!$E$152:$CZ$152,'Dvd Calendar'!$E$151:$CZ$151,"&gt;"&amp;I$12,'Dvd Calendar'!$E$151:$CZ$151,"&lt;="&amp;I$13)/AS51!$B$3,"")))</f>
        <v/>
      </c>
      <c r="J88" s="113">
        <f>IF(J$13="","",IF($B88="","",IFERROR($C88*$D88*SUMIFS('Dvd Calendar'!$E$152:$CZ$152,'Dvd Calendar'!$E$151:$CZ$151,"&gt;"&amp;J$12,'Dvd Calendar'!$E$151:$CZ$151,"&lt;="&amp;J$13)/AS51!$B$3,"")))</f>
        <v/>
      </c>
      <c r="K88" s="113">
        <f>IF(K$13="","",IF($B88="","",IFERROR($C88*$D88*SUMIFS('Dvd Calendar'!$E$152:$CZ$152,'Dvd Calendar'!$E$151:$CZ$151,"&gt;"&amp;K$12,'Dvd Calendar'!$E$151:$CZ$151,"&lt;="&amp;K$13)/AS51!$B$3,"")))</f>
        <v/>
      </c>
      <c r="L88" s="113">
        <f>IF(L$13="","",IF($B88="","",IFERROR($C88*$D88*SUMIFS('Dvd Calendar'!$E$152:$CZ$152,'Dvd Calendar'!$E$151:$CZ$151,"&gt;"&amp;L$12,'Dvd Calendar'!$E$151:$CZ$151,"&lt;="&amp;L$13)/AS51!$B$3,"")))</f>
        <v/>
      </c>
      <c r="M88" s="113">
        <f>IF(M$13="","",IF($B88="","",IFERROR($C88*$D88*SUMIFS('Dvd Calendar'!$E$152:$CZ$152,'Dvd Calendar'!$E$151:$CZ$151,"&gt;"&amp;M$12,'Dvd Calendar'!$E$151:$CZ$151,"&lt;="&amp;M$13)/AS51!$B$3,"")))</f>
        <v/>
      </c>
      <c r="N88" s="113">
        <f>IF(N$13="","",IF($B88="","",IFERROR($C88*$D88*SUMIFS('Dvd Calendar'!$E$152:$CZ$152,'Dvd Calendar'!$E$151:$CZ$151,"&gt;"&amp;N$12,'Dvd Calendar'!$E$151:$CZ$151,"&lt;="&amp;N$13)/AS51!$B$3,"")))</f>
        <v/>
      </c>
      <c r="O88" s="113">
        <f>IF(O$13="","",IF($B88="","",IFERROR($C88*$D88*SUMIFS('Dvd Calendar'!$E$152:$CZ$152,'Dvd Calendar'!$E$151:$CZ$151,"&gt;"&amp;O$12,'Dvd Calendar'!$E$151:$CZ$151,"&lt;="&amp;O$13)/AS51!$B$3,"")))</f>
        <v/>
      </c>
      <c r="P88" s="113">
        <f>IF(P$13="","",IF($B88="","",IFERROR($C88*$D88*SUMIFS('Dvd Calendar'!$E$152:$CZ$152,'Dvd Calendar'!$E$151:$CZ$151,"&gt;"&amp;P$12,'Dvd Calendar'!$E$151:$CZ$151,"&lt;="&amp;P$13)/AS51!$B$3,"")))</f>
        <v/>
      </c>
      <c r="Q88" s="113">
        <f>IF(Q$13="","",IF($B88="","",IFERROR($C88*$D88*SUMIFS('Dvd Calendar'!$E$152:$CZ$152,'Dvd Calendar'!$E$151:$CZ$151,"&gt;"&amp;Q$12,'Dvd Calendar'!$E$151:$CZ$151,"&lt;="&amp;Q$13)/AS51!$B$3,"")))</f>
        <v/>
      </c>
      <c r="R88" s="113">
        <f>IF(R$13="","",IF($B88="","",IFERROR($C88*$D88*SUMIFS('Dvd Calendar'!$E$152:$CZ$152,'Dvd Calendar'!$E$151:$CZ$151,"&gt;"&amp;R$12,'Dvd Calendar'!$E$151:$CZ$151,"&lt;="&amp;R$13)/AS51!$B$3,"")))</f>
        <v/>
      </c>
      <c r="S88" s="113">
        <f>IF(S$13="","",IF($B88="","",IFERROR($C88*$D88*SUMIFS('Dvd Calendar'!$E$152:$CZ$152,'Dvd Calendar'!$E$151:$CZ$151,"&gt;"&amp;S$12,'Dvd Calendar'!$E$151:$CZ$151,"&lt;="&amp;S$13)/AS51!$B$3,"")))</f>
        <v/>
      </c>
      <c r="T88" s="113">
        <f>IF(T$13="","",IF($B88="","",IFERROR($C88*$D88*SUMIFS('Dvd Calendar'!$E$152:$CZ$152,'Dvd Calendar'!$E$151:$CZ$151,"&gt;"&amp;T$12,'Dvd Calendar'!$E$151:$CZ$151,"&lt;="&amp;T$13)/AS51!$B$3,"")))</f>
        <v/>
      </c>
      <c r="U88" s="113">
        <f>IF(U$13="","",IF($B88="","",IFERROR($C88*$D88*SUMIFS('Dvd Calendar'!$E$152:$CZ$152,'Dvd Calendar'!$E$151:$CZ$151,"&gt;"&amp;U$12,'Dvd Calendar'!$E$151:$CZ$151,"&lt;="&amp;U$13)/AS51!$B$3,"")))</f>
        <v/>
      </c>
      <c r="W88" s="113">
        <f>IF(W$13="","",IF($B88="","",IFERROR(F88*$E88/100,"")))</f>
        <v/>
      </c>
      <c r="X88" s="113">
        <f>IF(X$13="","",IF($B88="","",IFERROR(G88*$E88/100,"")))</f>
        <v/>
      </c>
      <c r="Y88" s="113">
        <f>IF(Y$13="","",IF($B88="","",IFERROR(H88*$E88/100,"")))</f>
        <v/>
      </c>
      <c r="Z88" s="113">
        <f>IF(Z$13="","",IF($B88="","",IFERROR(I88*$E88/100,"")))</f>
        <v/>
      </c>
      <c r="AA88" s="113">
        <f>IF(AA$13="","",IF($B88="","",IFERROR(J88*$E88/100,"")))</f>
        <v/>
      </c>
      <c r="AB88" s="113">
        <f>IF(AB$13="","",IF($B88="","",IFERROR(K88*$E88/100,"")))</f>
        <v/>
      </c>
      <c r="AC88" s="113">
        <f>IF(AC$13="","",IF($B88="","",IFERROR(L88*$E88/100,"")))</f>
        <v/>
      </c>
      <c r="AD88" s="113">
        <f>IF(AD$13="","",IF($B88="","",IFERROR(M88*$E88/100,"")))</f>
        <v/>
      </c>
      <c r="AE88" s="113">
        <f>IF(AE$13="","",IF($B88="","",IFERROR(N88*$E88/100,"")))</f>
        <v/>
      </c>
      <c r="AF88" s="113">
        <f>IF(AF$13="","",IF($B88="","",IFERROR(O88*$E88/100,"")))</f>
        <v/>
      </c>
      <c r="AG88" s="113">
        <f>IF(AG$13="","",IF($B88="","",IFERROR(P88*$E88/100,"")))</f>
        <v/>
      </c>
      <c r="AH88" s="113">
        <f>IF(AH$13="","",IF($B88="","",IFERROR(Q88*$E88/100,"")))</f>
        <v/>
      </c>
      <c r="AI88" s="113">
        <f>IF(AI$13="","",IF($B88="","",IFERROR(R88*$E88/100,"")))</f>
        <v/>
      </c>
      <c r="AJ88" s="113">
        <f>IF(AJ$13="","",IF($B88="","",IFERROR(S88*$E88/100,"")))</f>
        <v/>
      </c>
      <c r="AK88" s="113">
        <f>IF(AK$13="","",IF($B88="","",IFERROR(T88*$E88/100,"")))</f>
        <v/>
      </c>
      <c r="AL88" s="113">
        <f>IF(AL$13="","",IF($B88="","",IFERROR(U88*$E88/100,"")))</f>
        <v/>
      </c>
    </row>
    <row r="89">
      <c r="B89" s="5">
        <f>IF(AS51!$C$79="","",AS51!$C$79)</f>
        <v/>
      </c>
      <c r="C89" s="86">
        <f>IF(AS51!$B$79="","",AS51!$B$79)</f>
        <v/>
      </c>
      <c r="D89" s="111">
        <f>IFERROR(AS51!$Q$79,1)</f>
        <v/>
      </c>
      <c r="E89" s="112">
        <f>IF($B89="","",IF(ISNUMBER(AS51!$I$79),AS51!$I$79,'Index Summary'!$C$7))</f>
        <v/>
      </c>
      <c r="F89" s="113">
        <f>IF(F$13="","",IF($B89="","",IFERROR($C89*$D89*SUMIFS('Dvd Calendar'!$E$154:$CZ$154,'Dvd Calendar'!$E$153:$CZ$153,"&gt;"&amp;F$12,'Dvd Calendar'!$E$153:$CZ$153,"&lt;="&amp;F$13)/AS51!$B$3,"")))</f>
        <v/>
      </c>
      <c r="G89" s="113">
        <f>IF(G$13="","",IF($B89="","",IFERROR($C89*$D89*SUMIFS('Dvd Calendar'!$E$154:$CZ$154,'Dvd Calendar'!$E$153:$CZ$153,"&gt;"&amp;G$12,'Dvd Calendar'!$E$153:$CZ$153,"&lt;="&amp;G$13)/AS51!$B$3,"")))</f>
        <v/>
      </c>
      <c r="H89" s="113">
        <f>IF(H$13="","",IF($B89="","",IFERROR($C89*$D89*SUMIFS('Dvd Calendar'!$E$154:$CZ$154,'Dvd Calendar'!$E$153:$CZ$153,"&gt;"&amp;H$12,'Dvd Calendar'!$E$153:$CZ$153,"&lt;="&amp;H$13)/AS51!$B$3,"")))</f>
        <v/>
      </c>
      <c r="I89" s="113">
        <f>IF(I$13="","",IF($B89="","",IFERROR($C89*$D89*SUMIFS('Dvd Calendar'!$E$154:$CZ$154,'Dvd Calendar'!$E$153:$CZ$153,"&gt;"&amp;I$12,'Dvd Calendar'!$E$153:$CZ$153,"&lt;="&amp;I$13)/AS51!$B$3,"")))</f>
        <v/>
      </c>
      <c r="J89" s="113">
        <f>IF(J$13="","",IF($B89="","",IFERROR($C89*$D89*SUMIFS('Dvd Calendar'!$E$154:$CZ$154,'Dvd Calendar'!$E$153:$CZ$153,"&gt;"&amp;J$12,'Dvd Calendar'!$E$153:$CZ$153,"&lt;="&amp;J$13)/AS51!$B$3,"")))</f>
        <v/>
      </c>
      <c r="K89" s="113">
        <f>IF(K$13="","",IF($B89="","",IFERROR($C89*$D89*SUMIFS('Dvd Calendar'!$E$154:$CZ$154,'Dvd Calendar'!$E$153:$CZ$153,"&gt;"&amp;K$12,'Dvd Calendar'!$E$153:$CZ$153,"&lt;="&amp;K$13)/AS51!$B$3,"")))</f>
        <v/>
      </c>
      <c r="L89" s="113">
        <f>IF(L$13="","",IF($B89="","",IFERROR($C89*$D89*SUMIFS('Dvd Calendar'!$E$154:$CZ$154,'Dvd Calendar'!$E$153:$CZ$153,"&gt;"&amp;L$12,'Dvd Calendar'!$E$153:$CZ$153,"&lt;="&amp;L$13)/AS51!$B$3,"")))</f>
        <v/>
      </c>
      <c r="M89" s="113">
        <f>IF(M$13="","",IF($B89="","",IFERROR($C89*$D89*SUMIFS('Dvd Calendar'!$E$154:$CZ$154,'Dvd Calendar'!$E$153:$CZ$153,"&gt;"&amp;M$12,'Dvd Calendar'!$E$153:$CZ$153,"&lt;="&amp;M$13)/AS51!$B$3,"")))</f>
        <v/>
      </c>
      <c r="N89" s="113">
        <f>IF(N$13="","",IF($B89="","",IFERROR($C89*$D89*SUMIFS('Dvd Calendar'!$E$154:$CZ$154,'Dvd Calendar'!$E$153:$CZ$153,"&gt;"&amp;N$12,'Dvd Calendar'!$E$153:$CZ$153,"&lt;="&amp;N$13)/AS51!$B$3,"")))</f>
        <v/>
      </c>
      <c r="O89" s="113">
        <f>IF(O$13="","",IF($B89="","",IFERROR($C89*$D89*SUMIFS('Dvd Calendar'!$E$154:$CZ$154,'Dvd Calendar'!$E$153:$CZ$153,"&gt;"&amp;O$12,'Dvd Calendar'!$E$153:$CZ$153,"&lt;="&amp;O$13)/AS51!$B$3,"")))</f>
        <v/>
      </c>
      <c r="P89" s="113">
        <f>IF(P$13="","",IF($B89="","",IFERROR($C89*$D89*SUMIFS('Dvd Calendar'!$E$154:$CZ$154,'Dvd Calendar'!$E$153:$CZ$153,"&gt;"&amp;P$12,'Dvd Calendar'!$E$153:$CZ$153,"&lt;="&amp;P$13)/AS51!$B$3,"")))</f>
        <v/>
      </c>
      <c r="Q89" s="113">
        <f>IF(Q$13="","",IF($B89="","",IFERROR($C89*$D89*SUMIFS('Dvd Calendar'!$E$154:$CZ$154,'Dvd Calendar'!$E$153:$CZ$153,"&gt;"&amp;Q$12,'Dvd Calendar'!$E$153:$CZ$153,"&lt;="&amp;Q$13)/AS51!$B$3,"")))</f>
        <v/>
      </c>
      <c r="R89" s="113">
        <f>IF(R$13="","",IF($B89="","",IFERROR($C89*$D89*SUMIFS('Dvd Calendar'!$E$154:$CZ$154,'Dvd Calendar'!$E$153:$CZ$153,"&gt;"&amp;R$12,'Dvd Calendar'!$E$153:$CZ$153,"&lt;="&amp;R$13)/AS51!$B$3,"")))</f>
        <v/>
      </c>
      <c r="S89" s="113">
        <f>IF(S$13="","",IF($B89="","",IFERROR($C89*$D89*SUMIFS('Dvd Calendar'!$E$154:$CZ$154,'Dvd Calendar'!$E$153:$CZ$153,"&gt;"&amp;S$12,'Dvd Calendar'!$E$153:$CZ$153,"&lt;="&amp;S$13)/AS51!$B$3,"")))</f>
        <v/>
      </c>
      <c r="T89" s="113">
        <f>IF(T$13="","",IF($B89="","",IFERROR($C89*$D89*SUMIFS('Dvd Calendar'!$E$154:$CZ$154,'Dvd Calendar'!$E$153:$CZ$153,"&gt;"&amp;T$12,'Dvd Calendar'!$E$153:$CZ$153,"&lt;="&amp;T$13)/AS51!$B$3,"")))</f>
        <v/>
      </c>
      <c r="U89" s="113">
        <f>IF(U$13="","",IF($B89="","",IFERROR($C89*$D89*SUMIFS('Dvd Calendar'!$E$154:$CZ$154,'Dvd Calendar'!$E$153:$CZ$153,"&gt;"&amp;U$12,'Dvd Calendar'!$E$153:$CZ$153,"&lt;="&amp;U$13)/AS51!$B$3,"")))</f>
        <v/>
      </c>
      <c r="W89" s="113">
        <f>IF(W$13="","",IF($B89="","",IFERROR(F89*$E89/100,"")))</f>
        <v/>
      </c>
      <c r="X89" s="113">
        <f>IF(X$13="","",IF($B89="","",IFERROR(G89*$E89/100,"")))</f>
        <v/>
      </c>
      <c r="Y89" s="113">
        <f>IF(Y$13="","",IF($B89="","",IFERROR(H89*$E89/100,"")))</f>
        <v/>
      </c>
      <c r="Z89" s="113">
        <f>IF(Z$13="","",IF($B89="","",IFERROR(I89*$E89/100,"")))</f>
        <v/>
      </c>
      <c r="AA89" s="113">
        <f>IF(AA$13="","",IF($B89="","",IFERROR(J89*$E89/100,"")))</f>
        <v/>
      </c>
      <c r="AB89" s="113">
        <f>IF(AB$13="","",IF($B89="","",IFERROR(K89*$E89/100,"")))</f>
        <v/>
      </c>
      <c r="AC89" s="113">
        <f>IF(AC$13="","",IF($B89="","",IFERROR(L89*$E89/100,"")))</f>
        <v/>
      </c>
      <c r="AD89" s="113">
        <f>IF(AD$13="","",IF($B89="","",IFERROR(M89*$E89/100,"")))</f>
        <v/>
      </c>
      <c r="AE89" s="113">
        <f>IF(AE$13="","",IF($B89="","",IFERROR(N89*$E89/100,"")))</f>
        <v/>
      </c>
      <c r="AF89" s="113">
        <f>IF(AF$13="","",IF($B89="","",IFERROR(O89*$E89/100,"")))</f>
        <v/>
      </c>
      <c r="AG89" s="113">
        <f>IF(AG$13="","",IF($B89="","",IFERROR(P89*$E89/100,"")))</f>
        <v/>
      </c>
      <c r="AH89" s="113">
        <f>IF(AH$13="","",IF($B89="","",IFERROR(Q89*$E89/100,"")))</f>
        <v/>
      </c>
      <c r="AI89" s="113">
        <f>IF(AI$13="","",IF($B89="","",IFERROR(R89*$E89/100,"")))</f>
        <v/>
      </c>
      <c r="AJ89" s="113">
        <f>IF(AJ$13="","",IF($B89="","",IFERROR(S89*$E89/100,"")))</f>
        <v/>
      </c>
      <c r="AK89" s="113">
        <f>IF(AK$13="","",IF($B89="","",IFERROR(T89*$E89/100,"")))</f>
        <v/>
      </c>
      <c r="AL89" s="113">
        <f>IF(AL$13="","",IF($B89="","",IFERROR(U89*$E89/100,"")))</f>
        <v/>
      </c>
    </row>
    <row r="90">
      <c r="B90" s="5">
        <f>IF(AS51!$C$80="","",AS51!$C$80)</f>
        <v/>
      </c>
      <c r="C90" s="86">
        <f>IF(AS51!$B$80="","",AS51!$B$80)</f>
        <v/>
      </c>
      <c r="D90" s="111">
        <f>IFERROR(AS51!$Q$80,1)</f>
        <v/>
      </c>
      <c r="E90" s="112">
        <f>IF($B90="","",IF(ISNUMBER(AS51!$I$80),AS51!$I$80,'Index Summary'!$C$7))</f>
        <v/>
      </c>
      <c r="F90" s="113">
        <f>IF(F$13="","",IF($B90="","",IFERROR($C90*$D90*SUMIFS('Dvd Calendar'!$E$156:$CZ$156,'Dvd Calendar'!$E$155:$CZ$155,"&gt;"&amp;F$12,'Dvd Calendar'!$E$155:$CZ$155,"&lt;="&amp;F$13)/AS51!$B$3,"")))</f>
        <v/>
      </c>
      <c r="G90" s="113">
        <f>IF(G$13="","",IF($B90="","",IFERROR($C90*$D90*SUMIFS('Dvd Calendar'!$E$156:$CZ$156,'Dvd Calendar'!$E$155:$CZ$155,"&gt;"&amp;G$12,'Dvd Calendar'!$E$155:$CZ$155,"&lt;="&amp;G$13)/AS51!$B$3,"")))</f>
        <v/>
      </c>
      <c r="H90" s="113">
        <f>IF(H$13="","",IF($B90="","",IFERROR($C90*$D90*SUMIFS('Dvd Calendar'!$E$156:$CZ$156,'Dvd Calendar'!$E$155:$CZ$155,"&gt;"&amp;H$12,'Dvd Calendar'!$E$155:$CZ$155,"&lt;="&amp;H$13)/AS51!$B$3,"")))</f>
        <v/>
      </c>
      <c r="I90" s="113">
        <f>IF(I$13="","",IF($B90="","",IFERROR($C90*$D90*SUMIFS('Dvd Calendar'!$E$156:$CZ$156,'Dvd Calendar'!$E$155:$CZ$155,"&gt;"&amp;I$12,'Dvd Calendar'!$E$155:$CZ$155,"&lt;="&amp;I$13)/AS51!$B$3,"")))</f>
        <v/>
      </c>
      <c r="J90" s="113">
        <f>IF(J$13="","",IF($B90="","",IFERROR($C90*$D90*SUMIFS('Dvd Calendar'!$E$156:$CZ$156,'Dvd Calendar'!$E$155:$CZ$155,"&gt;"&amp;J$12,'Dvd Calendar'!$E$155:$CZ$155,"&lt;="&amp;J$13)/AS51!$B$3,"")))</f>
        <v/>
      </c>
      <c r="K90" s="113">
        <f>IF(K$13="","",IF($B90="","",IFERROR($C90*$D90*SUMIFS('Dvd Calendar'!$E$156:$CZ$156,'Dvd Calendar'!$E$155:$CZ$155,"&gt;"&amp;K$12,'Dvd Calendar'!$E$155:$CZ$155,"&lt;="&amp;K$13)/AS51!$B$3,"")))</f>
        <v/>
      </c>
      <c r="L90" s="113">
        <f>IF(L$13="","",IF($B90="","",IFERROR($C90*$D90*SUMIFS('Dvd Calendar'!$E$156:$CZ$156,'Dvd Calendar'!$E$155:$CZ$155,"&gt;"&amp;L$12,'Dvd Calendar'!$E$155:$CZ$155,"&lt;="&amp;L$13)/AS51!$B$3,"")))</f>
        <v/>
      </c>
      <c r="M90" s="113">
        <f>IF(M$13="","",IF($B90="","",IFERROR($C90*$D90*SUMIFS('Dvd Calendar'!$E$156:$CZ$156,'Dvd Calendar'!$E$155:$CZ$155,"&gt;"&amp;M$12,'Dvd Calendar'!$E$155:$CZ$155,"&lt;="&amp;M$13)/AS51!$B$3,"")))</f>
        <v/>
      </c>
      <c r="N90" s="113">
        <f>IF(N$13="","",IF($B90="","",IFERROR($C90*$D90*SUMIFS('Dvd Calendar'!$E$156:$CZ$156,'Dvd Calendar'!$E$155:$CZ$155,"&gt;"&amp;N$12,'Dvd Calendar'!$E$155:$CZ$155,"&lt;="&amp;N$13)/AS51!$B$3,"")))</f>
        <v/>
      </c>
      <c r="O90" s="113">
        <f>IF(O$13="","",IF($B90="","",IFERROR($C90*$D90*SUMIFS('Dvd Calendar'!$E$156:$CZ$156,'Dvd Calendar'!$E$155:$CZ$155,"&gt;"&amp;O$12,'Dvd Calendar'!$E$155:$CZ$155,"&lt;="&amp;O$13)/AS51!$B$3,"")))</f>
        <v/>
      </c>
      <c r="P90" s="113">
        <f>IF(P$13="","",IF($B90="","",IFERROR($C90*$D90*SUMIFS('Dvd Calendar'!$E$156:$CZ$156,'Dvd Calendar'!$E$155:$CZ$155,"&gt;"&amp;P$12,'Dvd Calendar'!$E$155:$CZ$155,"&lt;="&amp;P$13)/AS51!$B$3,"")))</f>
        <v/>
      </c>
      <c r="Q90" s="113">
        <f>IF(Q$13="","",IF($B90="","",IFERROR($C90*$D90*SUMIFS('Dvd Calendar'!$E$156:$CZ$156,'Dvd Calendar'!$E$155:$CZ$155,"&gt;"&amp;Q$12,'Dvd Calendar'!$E$155:$CZ$155,"&lt;="&amp;Q$13)/AS51!$B$3,"")))</f>
        <v/>
      </c>
      <c r="R90" s="113">
        <f>IF(R$13="","",IF($B90="","",IFERROR($C90*$D90*SUMIFS('Dvd Calendar'!$E$156:$CZ$156,'Dvd Calendar'!$E$155:$CZ$155,"&gt;"&amp;R$12,'Dvd Calendar'!$E$155:$CZ$155,"&lt;="&amp;R$13)/AS51!$B$3,"")))</f>
        <v/>
      </c>
      <c r="S90" s="113">
        <f>IF(S$13="","",IF($B90="","",IFERROR($C90*$D90*SUMIFS('Dvd Calendar'!$E$156:$CZ$156,'Dvd Calendar'!$E$155:$CZ$155,"&gt;"&amp;S$12,'Dvd Calendar'!$E$155:$CZ$155,"&lt;="&amp;S$13)/AS51!$B$3,"")))</f>
        <v/>
      </c>
      <c r="T90" s="113">
        <f>IF(T$13="","",IF($B90="","",IFERROR($C90*$D90*SUMIFS('Dvd Calendar'!$E$156:$CZ$156,'Dvd Calendar'!$E$155:$CZ$155,"&gt;"&amp;T$12,'Dvd Calendar'!$E$155:$CZ$155,"&lt;="&amp;T$13)/AS51!$B$3,"")))</f>
        <v/>
      </c>
      <c r="U90" s="113">
        <f>IF(U$13="","",IF($B90="","",IFERROR($C90*$D90*SUMIFS('Dvd Calendar'!$E$156:$CZ$156,'Dvd Calendar'!$E$155:$CZ$155,"&gt;"&amp;U$12,'Dvd Calendar'!$E$155:$CZ$155,"&lt;="&amp;U$13)/AS51!$B$3,"")))</f>
        <v/>
      </c>
      <c r="W90" s="113">
        <f>IF(W$13="","",IF($B90="","",IFERROR(F90*$E90/100,"")))</f>
        <v/>
      </c>
      <c r="X90" s="113">
        <f>IF(X$13="","",IF($B90="","",IFERROR(G90*$E90/100,"")))</f>
        <v/>
      </c>
      <c r="Y90" s="113">
        <f>IF(Y$13="","",IF($B90="","",IFERROR(H90*$E90/100,"")))</f>
        <v/>
      </c>
      <c r="Z90" s="113">
        <f>IF(Z$13="","",IF($B90="","",IFERROR(I90*$E90/100,"")))</f>
        <v/>
      </c>
      <c r="AA90" s="113">
        <f>IF(AA$13="","",IF($B90="","",IFERROR(J90*$E90/100,"")))</f>
        <v/>
      </c>
      <c r="AB90" s="113">
        <f>IF(AB$13="","",IF($B90="","",IFERROR(K90*$E90/100,"")))</f>
        <v/>
      </c>
      <c r="AC90" s="113">
        <f>IF(AC$13="","",IF($B90="","",IFERROR(L90*$E90/100,"")))</f>
        <v/>
      </c>
      <c r="AD90" s="113">
        <f>IF(AD$13="","",IF($B90="","",IFERROR(M90*$E90/100,"")))</f>
        <v/>
      </c>
      <c r="AE90" s="113">
        <f>IF(AE$13="","",IF($B90="","",IFERROR(N90*$E90/100,"")))</f>
        <v/>
      </c>
      <c r="AF90" s="113">
        <f>IF(AF$13="","",IF($B90="","",IFERROR(O90*$E90/100,"")))</f>
        <v/>
      </c>
      <c r="AG90" s="113">
        <f>IF(AG$13="","",IF($B90="","",IFERROR(P90*$E90/100,"")))</f>
        <v/>
      </c>
      <c r="AH90" s="113">
        <f>IF(AH$13="","",IF($B90="","",IFERROR(Q90*$E90/100,"")))</f>
        <v/>
      </c>
      <c r="AI90" s="113">
        <f>IF(AI$13="","",IF($B90="","",IFERROR(R90*$E90/100,"")))</f>
        <v/>
      </c>
      <c r="AJ90" s="113">
        <f>IF(AJ$13="","",IF($B90="","",IFERROR(S90*$E90/100,"")))</f>
        <v/>
      </c>
      <c r="AK90" s="113">
        <f>IF(AK$13="","",IF($B90="","",IFERROR(T90*$E90/100,"")))</f>
        <v/>
      </c>
      <c r="AL90" s="113">
        <f>IF(AL$13="","",IF($B90="","",IFERROR(U90*$E90/100,"")))</f>
        <v/>
      </c>
    </row>
    <row r="91">
      <c r="B91" s="5">
        <f>IF(AS51!$C$81="","",AS51!$C$81)</f>
        <v/>
      </c>
      <c r="C91" s="86">
        <f>IF(AS51!$B$81="","",AS51!$B$81)</f>
        <v/>
      </c>
      <c r="D91" s="111">
        <f>IFERROR(AS51!$Q$81,1)</f>
        <v/>
      </c>
      <c r="E91" s="112">
        <f>IF($B91="","",IF(ISNUMBER(AS51!$I$81),AS51!$I$81,'Index Summary'!$C$7))</f>
        <v/>
      </c>
      <c r="F91" s="113">
        <f>IF(F$13="","",IF($B91="","",IFERROR($C91*$D91*SUMIFS('Dvd Calendar'!$E$158:$CZ$158,'Dvd Calendar'!$E$157:$CZ$157,"&gt;"&amp;F$12,'Dvd Calendar'!$E$157:$CZ$157,"&lt;="&amp;F$13)/AS51!$B$3,"")))</f>
        <v/>
      </c>
      <c r="G91" s="113">
        <f>IF(G$13="","",IF($B91="","",IFERROR($C91*$D91*SUMIFS('Dvd Calendar'!$E$158:$CZ$158,'Dvd Calendar'!$E$157:$CZ$157,"&gt;"&amp;G$12,'Dvd Calendar'!$E$157:$CZ$157,"&lt;="&amp;G$13)/AS51!$B$3,"")))</f>
        <v/>
      </c>
      <c r="H91" s="113">
        <f>IF(H$13="","",IF($B91="","",IFERROR($C91*$D91*SUMIFS('Dvd Calendar'!$E$158:$CZ$158,'Dvd Calendar'!$E$157:$CZ$157,"&gt;"&amp;H$12,'Dvd Calendar'!$E$157:$CZ$157,"&lt;="&amp;H$13)/AS51!$B$3,"")))</f>
        <v/>
      </c>
      <c r="I91" s="113">
        <f>IF(I$13="","",IF($B91="","",IFERROR($C91*$D91*SUMIFS('Dvd Calendar'!$E$158:$CZ$158,'Dvd Calendar'!$E$157:$CZ$157,"&gt;"&amp;I$12,'Dvd Calendar'!$E$157:$CZ$157,"&lt;="&amp;I$13)/AS51!$B$3,"")))</f>
        <v/>
      </c>
      <c r="J91" s="113">
        <f>IF(J$13="","",IF($B91="","",IFERROR($C91*$D91*SUMIFS('Dvd Calendar'!$E$158:$CZ$158,'Dvd Calendar'!$E$157:$CZ$157,"&gt;"&amp;J$12,'Dvd Calendar'!$E$157:$CZ$157,"&lt;="&amp;J$13)/AS51!$B$3,"")))</f>
        <v/>
      </c>
      <c r="K91" s="113">
        <f>IF(K$13="","",IF($B91="","",IFERROR($C91*$D91*SUMIFS('Dvd Calendar'!$E$158:$CZ$158,'Dvd Calendar'!$E$157:$CZ$157,"&gt;"&amp;K$12,'Dvd Calendar'!$E$157:$CZ$157,"&lt;="&amp;K$13)/AS51!$B$3,"")))</f>
        <v/>
      </c>
      <c r="L91" s="113">
        <f>IF(L$13="","",IF($B91="","",IFERROR($C91*$D91*SUMIFS('Dvd Calendar'!$E$158:$CZ$158,'Dvd Calendar'!$E$157:$CZ$157,"&gt;"&amp;L$12,'Dvd Calendar'!$E$157:$CZ$157,"&lt;="&amp;L$13)/AS51!$B$3,"")))</f>
        <v/>
      </c>
      <c r="M91" s="113">
        <f>IF(M$13="","",IF($B91="","",IFERROR($C91*$D91*SUMIFS('Dvd Calendar'!$E$158:$CZ$158,'Dvd Calendar'!$E$157:$CZ$157,"&gt;"&amp;M$12,'Dvd Calendar'!$E$157:$CZ$157,"&lt;="&amp;M$13)/AS51!$B$3,"")))</f>
        <v/>
      </c>
      <c r="N91" s="113">
        <f>IF(N$13="","",IF($B91="","",IFERROR($C91*$D91*SUMIFS('Dvd Calendar'!$E$158:$CZ$158,'Dvd Calendar'!$E$157:$CZ$157,"&gt;"&amp;N$12,'Dvd Calendar'!$E$157:$CZ$157,"&lt;="&amp;N$13)/AS51!$B$3,"")))</f>
        <v/>
      </c>
      <c r="O91" s="113">
        <f>IF(O$13="","",IF($B91="","",IFERROR($C91*$D91*SUMIFS('Dvd Calendar'!$E$158:$CZ$158,'Dvd Calendar'!$E$157:$CZ$157,"&gt;"&amp;O$12,'Dvd Calendar'!$E$157:$CZ$157,"&lt;="&amp;O$13)/AS51!$B$3,"")))</f>
        <v/>
      </c>
      <c r="P91" s="113">
        <f>IF(P$13="","",IF($B91="","",IFERROR($C91*$D91*SUMIFS('Dvd Calendar'!$E$158:$CZ$158,'Dvd Calendar'!$E$157:$CZ$157,"&gt;"&amp;P$12,'Dvd Calendar'!$E$157:$CZ$157,"&lt;="&amp;P$13)/AS51!$B$3,"")))</f>
        <v/>
      </c>
      <c r="Q91" s="113">
        <f>IF(Q$13="","",IF($B91="","",IFERROR($C91*$D91*SUMIFS('Dvd Calendar'!$E$158:$CZ$158,'Dvd Calendar'!$E$157:$CZ$157,"&gt;"&amp;Q$12,'Dvd Calendar'!$E$157:$CZ$157,"&lt;="&amp;Q$13)/AS51!$B$3,"")))</f>
        <v/>
      </c>
      <c r="R91" s="113">
        <f>IF(R$13="","",IF($B91="","",IFERROR($C91*$D91*SUMIFS('Dvd Calendar'!$E$158:$CZ$158,'Dvd Calendar'!$E$157:$CZ$157,"&gt;"&amp;R$12,'Dvd Calendar'!$E$157:$CZ$157,"&lt;="&amp;R$13)/AS51!$B$3,"")))</f>
        <v/>
      </c>
      <c r="S91" s="113">
        <f>IF(S$13="","",IF($B91="","",IFERROR($C91*$D91*SUMIFS('Dvd Calendar'!$E$158:$CZ$158,'Dvd Calendar'!$E$157:$CZ$157,"&gt;"&amp;S$12,'Dvd Calendar'!$E$157:$CZ$157,"&lt;="&amp;S$13)/AS51!$B$3,"")))</f>
        <v/>
      </c>
      <c r="T91" s="113">
        <f>IF(T$13="","",IF($B91="","",IFERROR($C91*$D91*SUMIFS('Dvd Calendar'!$E$158:$CZ$158,'Dvd Calendar'!$E$157:$CZ$157,"&gt;"&amp;T$12,'Dvd Calendar'!$E$157:$CZ$157,"&lt;="&amp;T$13)/AS51!$B$3,"")))</f>
        <v/>
      </c>
      <c r="U91" s="113">
        <f>IF(U$13="","",IF($B91="","",IFERROR($C91*$D91*SUMIFS('Dvd Calendar'!$E$158:$CZ$158,'Dvd Calendar'!$E$157:$CZ$157,"&gt;"&amp;U$12,'Dvd Calendar'!$E$157:$CZ$157,"&lt;="&amp;U$13)/AS51!$B$3,"")))</f>
        <v/>
      </c>
      <c r="W91" s="113">
        <f>IF(W$13="","",IF($B91="","",IFERROR(F91*$E91/100,"")))</f>
        <v/>
      </c>
      <c r="X91" s="113">
        <f>IF(X$13="","",IF($B91="","",IFERROR(G91*$E91/100,"")))</f>
        <v/>
      </c>
      <c r="Y91" s="113">
        <f>IF(Y$13="","",IF($B91="","",IFERROR(H91*$E91/100,"")))</f>
        <v/>
      </c>
      <c r="Z91" s="113">
        <f>IF(Z$13="","",IF($B91="","",IFERROR(I91*$E91/100,"")))</f>
        <v/>
      </c>
      <c r="AA91" s="113">
        <f>IF(AA$13="","",IF($B91="","",IFERROR(J91*$E91/100,"")))</f>
        <v/>
      </c>
      <c r="AB91" s="113">
        <f>IF(AB$13="","",IF($B91="","",IFERROR(K91*$E91/100,"")))</f>
        <v/>
      </c>
      <c r="AC91" s="113">
        <f>IF(AC$13="","",IF($B91="","",IFERROR(L91*$E91/100,"")))</f>
        <v/>
      </c>
      <c r="AD91" s="113">
        <f>IF(AD$13="","",IF($B91="","",IFERROR(M91*$E91/100,"")))</f>
        <v/>
      </c>
      <c r="AE91" s="113">
        <f>IF(AE$13="","",IF($B91="","",IFERROR(N91*$E91/100,"")))</f>
        <v/>
      </c>
      <c r="AF91" s="113">
        <f>IF(AF$13="","",IF($B91="","",IFERROR(O91*$E91/100,"")))</f>
        <v/>
      </c>
      <c r="AG91" s="113">
        <f>IF(AG$13="","",IF($B91="","",IFERROR(P91*$E91/100,"")))</f>
        <v/>
      </c>
      <c r="AH91" s="113">
        <f>IF(AH$13="","",IF($B91="","",IFERROR(Q91*$E91/100,"")))</f>
        <v/>
      </c>
      <c r="AI91" s="113">
        <f>IF(AI$13="","",IF($B91="","",IFERROR(R91*$E91/100,"")))</f>
        <v/>
      </c>
      <c r="AJ91" s="113">
        <f>IF(AJ$13="","",IF($B91="","",IFERROR(S91*$E91/100,"")))</f>
        <v/>
      </c>
      <c r="AK91" s="113">
        <f>IF(AK$13="","",IF($B91="","",IFERROR(T91*$E91/100,"")))</f>
        <v/>
      </c>
      <c r="AL91" s="113">
        <f>IF(AL$13="","",IF($B91="","",IFERROR(U91*$E91/100,"")))</f>
        <v/>
      </c>
    </row>
    <row r="92">
      <c r="B92" s="5">
        <f>IF(AS51!$C$82="","",AS51!$C$82)</f>
        <v/>
      </c>
      <c r="C92" s="86">
        <f>IF(AS51!$B$82="","",AS51!$B$82)</f>
        <v/>
      </c>
      <c r="D92" s="111">
        <f>IFERROR(AS51!$Q$82,1)</f>
        <v/>
      </c>
      <c r="E92" s="112">
        <f>IF($B92="","",IF(ISNUMBER(AS51!$I$82),AS51!$I$82,'Index Summary'!$C$7))</f>
        <v/>
      </c>
      <c r="F92" s="113">
        <f>IF(F$13="","",IF($B92="","",IFERROR($C92*$D92*SUMIFS('Dvd Calendar'!$E$160:$CZ$160,'Dvd Calendar'!$E$159:$CZ$159,"&gt;"&amp;F$12,'Dvd Calendar'!$E$159:$CZ$159,"&lt;="&amp;F$13)/AS51!$B$3,"")))</f>
        <v/>
      </c>
      <c r="G92" s="113">
        <f>IF(G$13="","",IF($B92="","",IFERROR($C92*$D92*SUMIFS('Dvd Calendar'!$E$160:$CZ$160,'Dvd Calendar'!$E$159:$CZ$159,"&gt;"&amp;G$12,'Dvd Calendar'!$E$159:$CZ$159,"&lt;="&amp;G$13)/AS51!$B$3,"")))</f>
        <v/>
      </c>
      <c r="H92" s="113">
        <f>IF(H$13="","",IF($B92="","",IFERROR($C92*$D92*SUMIFS('Dvd Calendar'!$E$160:$CZ$160,'Dvd Calendar'!$E$159:$CZ$159,"&gt;"&amp;H$12,'Dvd Calendar'!$E$159:$CZ$159,"&lt;="&amp;H$13)/AS51!$B$3,"")))</f>
        <v/>
      </c>
      <c r="I92" s="113">
        <f>IF(I$13="","",IF($B92="","",IFERROR($C92*$D92*SUMIFS('Dvd Calendar'!$E$160:$CZ$160,'Dvd Calendar'!$E$159:$CZ$159,"&gt;"&amp;I$12,'Dvd Calendar'!$E$159:$CZ$159,"&lt;="&amp;I$13)/AS51!$B$3,"")))</f>
        <v/>
      </c>
      <c r="J92" s="113">
        <f>IF(J$13="","",IF($B92="","",IFERROR($C92*$D92*SUMIFS('Dvd Calendar'!$E$160:$CZ$160,'Dvd Calendar'!$E$159:$CZ$159,"&gt;"&amp;J$12,'Dvd Calendar'!$E$159:$CZ$159,"&lt;="&amp;J$13)/AS51!$B$3,"")))</f>
        <v/>
      </c>
      <c r="K92" s="113">
        <f>IF(K$13="","",IF($B92="","",IFERROR($C92*$D92*SUMIFS('Dvd Calendar'!$E$160:$CZ$160,'Dvd Calendar'!$E$159:$CZ$159,"&gt;"&amp;K$12,'Dvd Calendar'!$E$159:$CZ$159,"&lt;="&amp;K$13)/AS51!$B$3,"")))</f>
        <v/>
      </c>
      <c r="L92" s="113">
        <f>IF(L$13="","",IF($B92="","",IFERROR($C92*$D92*SUMIFS('Dvd Calendar'!$E$160:$CZ$160,'Dvd Calendar'!$E$159:$CZ$159,"&gt;"&amp;L$12,'Dvd Calendar'!$E$159:$CZ$159,"&lt;="&amp;L$13)/AS51!$B$3,"")))</f>
        <v/>
      </c>
      <c r="M92" s="113">
        <f>IF(M$13="","",IF($B92="","",IFERROR($C92*$D92*SUMIFS('Dvd Calendar'!$E$160:$CZ$160,'Dvd Calendar'!$E$159:$CZ$159,"&gt;"&amp;M$12,'Dvd Calendar'!$E$159:$CZ$159,"&lt;="&amp;M$13)/AS51!$B$3,"")))</f>
        <v/>
      </c>
      <c r="N92" s="113">
        <f>IF(N$13="","",IF($B92="","",IFERROR($C92*$D92*SUMIFS('Dvd Calendar'!$E$160:$CZ$160,'Dvd Calendar'!$E$159:$CZ$159,"&gt;"&amp;N$12,'Dvd Calendar'!$E$159:$CZ$159,"&lt;="&amp;N$13)/AS51!$B$3,"")))</f>
        <v/>
      </c>
      <c r="O92" s="113">
        <f>IF(O$13="","",IF($B92="","",IFERROR($C92*$D92*SUMIFS('Dvd Calendar'!$E$160:$CZ$160,'Dvd Calendar'!$E$159:$CZ$159,"&gt;"&amp;O$12,'Dvd Calendar'!$E$159:$CZ$159,"&lt;="&amp;O$13)/AS51!$B$3,"")))</f>
        <v/>
      </c>
      <c r="P92" s="113">
        <f>IF(P$13="","",IF($B92="","",IFERROR($C92*$D92*SUMIFS('Dvd Calendar'!$E$160:$CZ$160,'Dvd Calendar'!$E$159:$CZ$159,"&gt;"&amp;P$12,'Dvd Calendar'!$E$159:$CZ$159,"&lt;="&amp;P$13)/AS51!$B$3,"")))</f>
        <v/>
      </c>
      <c r="Q92" s="113">
        <f>IF(Q$13="","",IF($B92="","",IFERROR($C92*$D92*SUMIFS('Dvd Calendar'!$E$160:$CZ$160,'Dvd Calendar'!$E$159:$CZ$159,"&gt;"&amp;Q$12,'Dvd Calendar'!$E$159:$CZ$159,"&lt;="&amp;Q$13)/AS51!$B$3,"")))</f>
        <v/>
      </c>
      <c r="R92" s="113">
        <f>IF(R$13="","",IF($B92="","",IFERROR($C92*$D92*SUMIFS('Dvd Calendar'!$E$160:$CZ$160,'Dvd Calendar'!$E$159:$CZ$159,"&gt;"&amp;R$12,'Dvd Calendar'!$E$159:$CZ$159,"&lt;="&amp;R$13)/AS51!$B$3,"")))</f>
        <v/>
      </c>
      <c r="S92" s="113">
        <f>IF(S$13="","",IF($B92="","",IFERROR($C92*$D92*SUMIFS('Dvd Calendar'!$E$160:$CZ$160,'Dvd Calendar'!$E$159:$CZ$159,"&gt;"&amp;S$12,'Dvd Calendar'!$E$159:$CZ$159,"&lt;="&amp;S$13)/AS51!$B$3,"")))</f>
        <v/>
      </c>
      <c r="T92" s="113">
        <f>IF(T$13="","",IF($B92="","",IFERROR($C92*$D92*SUMIFS('Dvd Calendar'!$E$160:$CZ$160,'Dvd Calendar'!$E$159:$CZ$159,"&gt;"&amp;T$12,'Dvd Calendar'!$E$159:$CZ$159,"&lt;="&amp;T$13)/AS51!$B$3,"")))</f>
        <v/>
      </c>
      <c r="U92" s="113">
        <f>IF(U$13="","",IF($B92="","",IFERROR($C92*$D92*SUMIFS('Dvd Calendar'!$E$160:$CZ$160,'Dvd Calendar'!$E$159:$CZ$159,"&gt;"&amp;U$12,'Dvd Calendar'!$E$159:$CZ$159,"&lt;="&amp;U$13)/AS51!$B$3,"")))</f>
        <v/>
      </c>
      <c r="W92" s="113">
        <f>IF(W$13="","",IF($B92="","",IFERROR(F92*$E92/100,"")))</f>
        <v/>
      </c>
      <c r="X92" s="113">
        <f>IF(X$13="","",IF($B92="","",IFERROR(G92*$E92/100,"")))</f>
        <v/>
      </c>
      <c r="Y92" s="113">
        <f>IF(Y$13="","",IF($B92="","",IFERROR(H92*$E92/100,"")))</f>
        <v/>
      </c>
      <c r="Z92" s="113">
        <f>IF(Z$13="","",IF($B92="","",IFERROR(I92*$E92/100,"")))</f>
        <v/>
      </c>
      <c r="AA92" s="113">
        <f>IF(AA$13="","",IF($B92="","",IFERROR(J92*$E92/100,"")))</f>
        <v/>
      </c>
      <c r="AB92" s="113">
        <f>IF(AB$13="","",IF($B92="","",IFERROR(K92*$E92/100,"")))</f>
        <v/>
      </c>
      <c r="AC92" s="113">
        <f>IF(AC$13="","",IF($B92="","",IFERROR(L92*$E92/100,"")))</f>
        <v/>
      </c>
      <c r="AD92" s="113">
        <f>IF(AD$13="","",IF($B92="","",IFERROR(M92*$E92/100,"")))</f>
        <v/>
      </c>
      <c r="AE92" s="113">
        <f>IF(AE$13="","",IF($B92="","",IFERROR(N92*$E92/100,"")))</f>
        <v/>
      </c>
      <c r="AF92" s="113">
        <f>IF(AF$13="","",IF($B92="","",IFERROR(O92*$E92/100,"")))</f>
        <v/>
      </c>
      <c r="AG92" s="113">
        <f>IF(AG$13="","",IF($B92="","",IFERROR(P92*$E92/100,"")))</f>
        <v/>
      </c>
      <c r="AH92" s="113">
        <f>IF(AH$13="","",IF($B92="","",IFERROR(Q92*$E92/100,"")))</f>
        <v/>
      </c>
      <c r="AI92" s="113">
        <f>IF(AI$13="","",IF($B92="","",IFERROR(R92*$E92/100,"")))</f>
        <v/>
      </c>
      <c r="AJ92" s="113">
        <f>IF(AJ$13="","",IF($B92="","",IFERROR(S92*$E92/100,"")))</f>
        <v/>
      </c>
      <c r="AK92" s="113">
        <f>IF(AK$13="","",IF($B92="","",IFERROR(T92*$E92/100,"")))</f>
        <v/>
      </c>
      <c r="AL92" s="113">
        <f>IF(AL$13="","",IF($B92="","",IFERROR(U92*$E92/100,"")))</f>
        <v/>
      </c>
    </row>
    <row r="93">
      <c r="B93" s="5">
        <f>IF(AS51!$C$83="","",AS51!$C$83)</f>
        <v/>
      </c>
      <c r="C93" s="86">
        <f>IF(AS51!$B$83="","",AS51!$B$83)</f>
        <v/>
      </c>
      <c r="D93" s="111">
        <f>IFERROR(AS51!$Q$83,1)</f>
        <v/>
      </c>
      <c r="E93" s="112">
        <f>IF($B93="","",IF(ISNUMBER(AS51!$I$83),AS51!$I$83,'Index Summary'!$C$7))</f>
        <v/>
      </c>
      <c r="F93" s="113">
        <f>IF(F$13="","",IF($B93="","",IFERROR($C93*$D93*SUMIFS('Dvd Calendar'!$E$162:$CZ$162,'Dvd Calendar'!$E$161:$CZ$161,"&gt;"&amp;F$12,'Dvd Calendar'!$E$161:$CZ$161,"&lt;="&amp;F$13)/AS51!$B$3,"")))</f>
        <v/>
      </c>
      <c r="G93" s="113">
        <f>IF(G$13="","",IF($B93="","",IFERROR($C93*$D93*SUMIFS('Dvd Calendar'!$E$162:$CZ$162,'Dvd Calendar'!$E$161:$CZ$161,"&gt;"&amp;G$12,'Dvd Calendar'!$E$161:$CZ$161,"&lt;="&amp;G$13)/AS51!$B$3,"")))</f>
        <v/>
      </c>
      <c r="H93" s="113">
        <f>IF(H$13="","",IF($B93="","",IFERROR($C93*$D93*SUMIFS('Dvd Calendar'!$E$162:$CZ$162,'Dvd Calendar'!$E$161:$CZ$161,"&gt;"&amp;H$12,'Dvd Calendar'!$E$161:$CZ$161,"&lt;="&amp;H$13)/AS51!$B$3,"")))</f>
        <v/>
      </c>
      <c r="I93" s="113">
        <f>IF(I$13="","",IF($B93="","",IFERROR($C93*$D93*SUMIFS('Dvd Calendar'!$E$162:$CZ$162,'Dvd Calendar'!$E$161:$CZ$161,"&gt;"&amp;I$12,'Dvd Calendar'!$E$161:$CZ$161,"&lt;="&amp;I$13)/AS51!$B$3,"")))</f>
        <v/>
      </c>
      <c r="J93" s="113">
        <f>IF(J$13="","",IF($B93="","",IFERROR($C93*$D93*SUMIFS('Dvd Calendar'!$E$162:$CZ$162,'Dvd Calendar'!$E$161:$CZ$161,"&gt;"&amp;J$12,'Dvd Calendar'!$E$161:$CZ$161,"&lt;="&amp;J$13)/AS51!$B$3,"")))</f>
        <v/>
      </c>
      <c r="K93" s="113">
        <f>IF(K$13="","",IF($B93="","",IFERROR($C93*$D93*SUMIFS('Dvd Calendar'!$E$162:$CZ$162,'Dvd Calendar'!$E$161:$CZ$161,"&gt;"&amp;K$12,'Dvd Calendar'!$E$161:$CZ$161,"&lt;="&amp;K$13)/AS51!$B$3,"")))</f>
        <v/>
      </c>
      <c r="L93" s="113">
        <f>IF(L$13="","",IF($B93="","",IFERROR($C93*$D93*SUMIFS('Dvd Calendar'!$E$162:$CZ$162,'Dvd Calendar'!$E$161:$CZ$161,"&gt;"&amp;L$12,'Dvd Calendar'!$E$161:$CZ$161,"&lt;="&amp;L$13)/AS51!$B$3,"")))</f>
        <v/>
      </c>
      <c r="M93" s="113">
        <f>IF(M$13="","",IF($B93="","",IFERROR($C93*$D93*SUMIFS('Dvd Calendar'!$E$162:$CZ$162,'Dvd Calendar'!$E$161:$CZ$161,"&gt;"&amp;M$12,'Dvd Calendar'!$E$161:$CZ$161,"&lt;="&amp;M$13)/AS51!$B$3,"")))</f>
        <v/>
      </c>
      <c r="N93" s="113">
        <f>IF(N$13="","",IF($B93="","",IFERROR($C93*$D93*SUMIFS('Dvd Calendar'!$E$162:$CZ$162,'Dvd Calendar'!$E$161:$CZ$161,"&gt;"&amp;N$12,'Dvd Calendar'!$E$161:$CZ$161,"&lt;="&amp;N$13)/AS51!$B$3,"")))</f>
        <v/>
      </c>
      <c r="O93" s="113">
        <f>IF(O$13="","",IF($B93="","",IFERROR($C93*$D93*SUMIFS('Dvd Calendar'!$E$162:$CZ$162,'Dvd Calendar'!$E$161:$CZ$161,"&gt;"&amp;O$12,'Dvd Calendar'!$E$161:$CZ$161,"&lt;="&amp;O$13)/AS51!$B$3,"")))</f>
        <v/>
      </c>
      <c r="P93" s="113">
        <f>IF(P$13="","",IF($B93="","",IFERROR($C93*$D93*SUMIFS('Dvd Calendar'!$E$162:$CZ$162,'Dvd Calendar'!$E$161:$CZ$161,"&gt;"&amp;P$12,'Dvd Calendar'!$E$161:$CZ$161,"&lt;="&amp;P$13)/AS51!$B$3,"")))</f>
        <v/>
      </c>
      <c r="Q93" s="113">
        <f>IF(Q$13="","",IF($B93="","",IFERROR($C93*$D93*SUMIFS('Dvd Calendar'!$E$162:$CZ$162,'Dvd Calendar'!$E$161:$CZ$161,"&gt;"&amp;Q$12,'Dvd Calendar'!$E$161:$CZ$161,"&lt;="&amp;Q$13)/AS51!$B$3,"")))</f>
        <v/>
      </c>
      <c r="R93" s="113">
        <f>IF(R$13="","",IF($B93="","",IFERROR($C93*$D93*SUMIFS('Dvd Calendar'!$E$162:$CZ$162,'Dvd Calendar'!$E$161:$CZ$161,"&gt;"&amp;R$12,'Dvd Calendar'!$E$161:$CZ$161,"&lt;="&amp;R$13)/AS51!$B$3,"")))</f>
        <v/>
      </c>
      <c r="S93" s="113">
        <f>IF(S$13="","",IF($B93="","",IFERROR($C93*$D93*SUMIFS('Dvd Calendar'!$E$162:$CZ$162,'Dvd Calendar'!$E$161:$CZ$161,"&gt;"&amp;S$12,'Dvd Calendar'!$E$161:$CZ$161,"&lt;="&amp;S$13)/AS51!$B$3,"")))</f>
        <v/>
      </c>
      <c r="T93" s="113">
        <f>IF(T$13="","",IF($B93="","",IFERROR($C93*$D93*SUMIFS('Dvd Calendar'!$E$162:$CZ$162,'Dvd Calendar'!$E$161:$CZ$161,"&gt;"&amp;T$12,'Dvd Calendar'!$E$161:$CZ$161,"&lt;="&amp;T$13)/AS51!$B$3,"")))</f>
        <v/>
      </c>
      <c r="U93" s="113">
        <f>IF(U$13="","",IF($B93="","",IFERROR($C93*$D93*SUMIFS('Dvd Calendar'!$E$162:$CZ$162,'Dvd Calendar'!$E$161:$CZ$161,"&gt;"&amp;U$12,'Dvd Calendar'!$E$161:$CZ$161,"&lt;="&amp;U$13)/AS51!$B$3,"")))</f>
        <v/>
      </c>
      <c r="W93" s="113">
        <f>IF(W$13="","",IF($B93="","",IFERROR(F93*$E93/100,"")))</f>
        <v/>
      </c>
      <c r="X93" s="113">
        <f>IF(X$13="","",IF($B93="","",IFERROR(G93*$E93/100,"")))</f>
        <v/>
      </c>
      <c r="Y93" s="113">
        <f>IF(Y$13="","",IF($B93="","",IFERROR(H93*$E93/100,"")))</f>
        <v/>
      </c>
      <c r="Z93" s="113">
        <f>IF(Z$13="","",IF($B93="","",IFERROR(I93*$E93/100,"")))</f>
        <v/>
      </c>
      <c r="AA93" s="113">
        <f>IF(AA$13="","",IF($B93="","",IFERROR(J93*$E93/100,"")))</f>
        <v/>
      </c>
      <c r="AB93" s="113">
        <f>IF(AB$13="","",IF($B93="","",IFERROR(K93*$E93/100,"")))</f>
        <v/>
      </c>
      <c r="AC93" s="113">
        <f>IF(AC$13="","",IF($B93="","",IFERROR(L93*$E93/100,"")))</f>
        <v/>
      </c>
      <c r="AD93" s="113">
        <f>IF(AD$13="","",IF($B93="","",IFERROR(M93*$E93/100,"")))</f>
        <v/>
      </c>
      <c r="AE93" s="113">
        <f>IF(AE$13="","",IF($B93="","",IFERROR(N93*$E93/100,"")))</f>
        <v/>
      </c>
      <c r="AF93" s="113">
        <f>IF(AF$13="","",IF($B93="","",IFERROR(O93*$E93/100,"")))</f>
        <v/>
      </c>
      <c r="AG93" s="113">
        <f>IF(AG$13="","",IF($B93="","",IFERROR(P93*$E93/100,"")))</f>
        <v/>
      </c>
      <c r="AH93" s="113">
        <f>IF(AH$13="","",IF($B93="","",IFERROR(Q93*$E93/100,"")))</f>
        <v/>
      </c>
      <c r="AI93" s="113">
        <f>IF(AI$13="","",IF($B93="","",IFERROR(R93*$E93/100,"")))</f>
        <v/>
      </c>
      <c r="AJ93" s="113">
        <f>IF(AJ$13="","",IF($B93="","",IFERROR(S93*$E93/100,"")))</f>
        <v/>
      </c>
      <c r="AK93" s="113">
        <f>IF(AK$13="","",IF($B93="","",IFERROR(T93*$E93/100,"")))</f>
        <v/>
      </c>
      <c r="AL93" s="113">
        <f>IF(AL$13="","",IF($B93="","",IFERROR(U93*$E93/100,"")))</f>
        <v/>
      </c>
    </row>
    <row r="94">
      <c r="B94" s="5">
        <f>IF(AS51!$C$84="","",AS51!$C$84)</f>
        <v/>
      </c>
      <c r="C94" s="86">
        <f>IF(AS51!$B$84="","",AS51!$B$84)</f>
        <v/>
      </c>
      <c r="D94" s="111">
        <f>IFERROR(AS51!$Q$84,1)</f>
        <v/>
      </c>
      <c r="E94" s="112">
        <f>IF($B94="","",IF(ISNUMBER(AS51!$I$84),AS51!$I$84,'Index Summary'!$C$7))</f>
        <v/>
      </c>
      <c r="F94" s="113">
        <f>IF(F$13="","",IF($B94="","",IFERROR($C94*$D94*SUMIFS('Dvd Calendar'!$E$164:$CZ$164,'Dvd Calendar'!$E$163:$CZ$163,"&gt;"&amp;F$12,'Dvd Calendar'!$E$163:$CZ$163,"&lt;="&amp;F$13)/AS51!$B$3,"")))</f>
        <v/>
      </c>
      <c r="G94" s="113">
        <f>IF(G$13="","",IF($B94="","",IFERROR($C94*$D94*SUMIFS('Dvd Calendar'!$E$164:$CZ$164,'Dvd Calendar'!$E$163:$CZ$163,"&gt;"&amp;G$12,'Dvd Calendar'!$E$163:$CZ$163,"&lt;="&amp;G$13)/AS51!$B$3,"")))</f>
        <v/>
      </c>
      <c r="H94" s="113">
        <f>IF(H$13="","",IF($B94="","",IFERROR($C94*$D94*SUMIFS('Dvd Calendar'!$E$164:$CZ$164,'Dvd Calendar'!$E$163:$CZ$163,"&gt;"&amp;H$12,'Dvd Calendar'!$E$163:$CZ$163,"&lt;="&amp;H$13)/AS51!$B$3,"")))</f>
        <v/>
      </c>
      <c r="I94" s="113">
        <f>IF(I$13="","",IF($B94="","",IFERROR($C94*$D94*SUMIFS('Dvd Calendar'!$E$164:$CZ$164,'Dvd Calendar'!$E$163:$CZ$163,"&gt;"&amp;I$12,'Dvd Calendar'!$E$163:$CZ$163,"&lt;="&amp;I$13)/AS51!$B$3,"")))</f>
        <v/>
      </c>
      <c r="J94" s="113">
        <f>IF(J$13="","",IF($B94="","",IFERROR($C94*$D94*SUMIFS('Dvd Calendar'!$E$164:$CZ$164,'Dvd Calendar'!$E$163:$CZ$163,"&gt;"&amp;J$12,'Dvd Calendar'!$E$163:$CZ$163,"&lt;="&amp;J$13)/AS51!$B$3,"")))</f>
        <v/>
      </c>
      <c r="K94" s="113">
        <f>IF(K$13="","",IF($B94="","",IFERROR($C94*$D94*SUMIFS('Dvd Calendar'!$E$164:$CZ$164,'Dvd Calendar'!$E$163:$CZ$163,"&gt;"&amp;K$12,'Dvd Calendar'!$E$163:$CZ$163,"&lt;="&amp;K$13)/AS51!$B$3,"")))</f>
        <v/>
      </c>
      <c r="L94" s="113">
        <f>IF(L$13="","",IF($B94="","",IFERROR($C94*$D94*SUMIFS('Dvd Calendar'!$E$164:$CZ$164,'Dvd Calendar'!$E$163:$CZ$163,"&gt;"&amp;L$12,'Dvd Calendar'!$E$163:$CZ$163,"&lt;="&amp;L$13)/AS51!$B$3,"")))</f>
        <v/>
      </c>
      <c r="M94" s="113">
        <f>IF(M$13="","",IF($B94="","",IFERROR($C94*$D94*SUMIFS('Dvd Calendar'!$E$164:$CZ$164,'Dvd Calendar'!$E$163:$CZ$163,"&gt;"&amp;M$12,'Dvd Calendar'!$E$163:$CZ$163,"&lt;="&amp;M$13)/AS51!$B$3,"")))</f>
        <v/>
      </c>
      <c r="N94" s="113">
        <f>IF(N$13="","",IF($B94="","",IFERROR($C94*$D94*SUMIFS('Dvd Calendar'!$E$164:$CZ$164,'Dvd Calendar'!$E$163:$CZ$163,"&gt;"&amp;N$12,'Dvd Calendar'!$E$163:$CZ$163,"&lt;="&amp;N$13)/AS51!$B$3,"")))</f>
        <v/>
      </c>
      <c r="O94" s="113">
        <f>IF(O$13="","",IF($B94="","",IFERROR($C94*$D94*SUMIFS('Dvd Calendar'!$E$164:$CZ$164,'Dvd Calendar'!$E$163:$CZ$163,"&gt;"&amp;O$12,'Dvd Calendar'!$E$163:$CZ$163,"&lt;="&amp;O$13)/AS51!$B$3,"")))</f>
        <v/>
      </c>
      <c r="P94" s="113">
        <f>IF(P$13="","",IF($B94="","",IFERROR($C94*$D94*SUMIFS('Dvd Calendar'!$E$164:$CZ$164,'Dvd Calendar'!$E$163:$CZ$163,"&gt;"&amp;P$12,'Dvd Calendar'!$E$163:$CZ$163,"&lt;="&amp;P$13)/AS51!$B$3,"")))</f>
        <v/>
      </c>
      <c r="Q94" s="113">
        <f>IF(Q$13="","",IF($B94="","",IFERROR($C94*$D94*SUMIFS('Dvd Calendar'!$E$164:$CZ$164,'Dvd Calendar'!$E$163:$CZ$163,"&gt;"&amp;Q$12,'Dvd Calendar'!$E$163:$CZ$163,"&lt;="&amp;Q$13)/AS51!$B$3,"")))</f>
        <v/>
      </c>
      <c r="R94" s="113">
        <f>IF(R$13="","",IF($B94="","",IFERROR($C94*$D94*SUMIFS('Dvd Calendar'!$E$164:$CZ$164,'Dvd Calendar'!$E$163:$CZ$163,"&gt;"&amp;R$12,'Dvd Calendar'!$E$163:$CZ$163,"&lt;="&amp;R$13)/AS51!$B$3,"")))</f>
        <v/>
      </c>
      <c r="S94" s="113">
        <f>IF(S$13="","",IF($B94="","",IFERROR($C94*$D94*SUMIFS('Dvd Calendar'!$E$164:$CZ$164,'Dvd Calendar'!$E$163:$CZ$163,"&gt;"&amp;S$12,'Dvd Calendar'!$E$163:$CZ$163,"&lt;="&amp;S$13)/AS51!$B$3,"")))</f>
        <v/>
      </c>
      <c r="T94" s="113">
        <f>IF(T$13="","",IF($B94="","",IFERROR($C94*$D94*SUMIFS('Dvd Calendar'!$E$164:$CZ$164,'Dvd Calendar'!$E$163:$CZ$163,"&gt;"&amp;T$12,'Dvd Calendar'!$E$163:$CZ$163,"&lt;="&amp;T$13)/AS51!$B$3,"")))</f>
        <v/>
      </c>
      <c r="U94" s="113">
        <f>IF(U$13="","",IF($B94="","",IFERROR($C94*$D94*SUMIFS('Dvd Calendar'!$E$164:$CZ$164,'Dvd Calendar'!$E$163:$CZ$163,"&gt;"&amp;U$12,'Dvd Calendar'!$E$163:$CZ$163,"&lt;="&amp;U$13)/AS51!$B$3,"")))</f>
        <v/>
      </c>
      <c r="W94" s="113">
        <f>IF(W$13="","",IF($B94="","",IFERROR(F94*$E94/100,"")))</f>
        <v/>
      </c>
      <c r="X94" s="113">
        <f>IF(X$13="","",IF($B94="","",IFERROR(G94*$E94/100,"")))</f>
        <v/>
      </c>
      <c r="Y94" s="113">
        <f>IF(Y$13="","",IF($B94="","",IFERROR(H94*$E94/100,"")))</f>
        <v/>
      </c>
      <c r="Z94" s="113">
        <f>IF(Z$13="","",IF($B94="","",IFERROR(I94*$E94/100,"")))</f>
        <v/>
      </c>
      <c r="AA94" s="113">
        <f>IF(AA$13="","",IF($B94="","",IFERROR(J94*$E94/100,"")))</f>
        <v/>
      </c>
      <c r="AB94" s="113">
        <f>IF(AB$13="","",IF($B94="","",IFERROR(K94*$E94/100,"")))</f>
        <v/>
      </c>
      <c r="AC94" s="113">
        <f>IF(AC$13="","",IF($B94="","",IFERROR(L94*$E94/100,"")))</f>
        <v/>
      </c>
      <c r="AD94" s="113">
        <f>IF(AD$13="","",IF($B94="","",IFERROR(M94*$E94/100,"")))</f>
        <v/>
      </c>
      <c r="AE94" s="113">
        <f>IF(AE$13="","",IF($B94="","",IFERROR(N94*$E94/100,"")))</f>
        <v/>
      </c>
      <c r="AF94" s="113">
        <f>IF(AF$13="","",IF($B94="","",IFERROR(O94*$E94/100,"")))</f>
        <v/>
      </c>
      <c r="AG94" s="113">
        <f>IF(AG$13="","",IF($B94="","",IFERROR(P94*$E94/100,"")))</f>
        <v/>
      </c>
      <c r="AH94" s="113">
        <f>IF(AH$13="","",IF($B94="","",IFERROR(Q94*$E94/100,"")))</f>
        <v/>
      </c>
      <c r="AI94" s="113">
        <f>IF(AI$13="","",IF($B94="","",IFERROR(R94*$E94/100,"")))</f>
        <v/>
      </c>
      <c r="AJ94" s="113">
        <f>IF(AJ$13="","",IF($B94="","",IFERROR(S94*$E94/100,"")))</f>
        <v/>
      </c>
      <c r="AK94" s="113">
        <f>IF(AK$13="","",IF($B94="","",IFERROR(T94*$E94/100,"")))</f>
        <v/>
      </c>
      <c r="AL94" s="113">
        <f>IF(AL$13="","",IF($B94="","",IFERROR(U94*$E94/100,"")))</f>
        <v/>
      </c>
    </row>
    <row r="95">
      <c r="B95" s="5">
        <f>IF(AS51!$C$85="","",AS51!$C$85)</f>
        <v/>
      </c>
      <c r="C95" s="86">
        <f>IF(AS51!$B$85="","",AS51!$B$85)</f>
        <v/>
      </c>
      <c r="D95" s="111">
        <f>IFERROR(AS51!$Q$85,1)</f>
        <v/>
      </c>
      <c r="E95" s="112">
        <f>IF($B95="","",IF(ISNUMBER(AS51!$I$85),AS51!$I$85,'Index Summary'!$C$7))</f>
        <v/>
      </c>
      <c r="F95" s="113">
        <f>IF(F$13="","",IF($B95="","",IFERROR($C95*$D95*SUMIFS('Dvd Calendar'!$E$166:$CZ$166,'Dvd Calendar'!$E$165:$CZ$165,"&gt;"&amp;F$12,'Dvd Calendar'!$E$165:$CZ$165,"&lt;="&amp;F$13)/AS51!$B$3,"")))</f>
        <v/>
      </c>
      <c r="G95" s="113">
        <f>IF(G$13="","",IF($B95="","",IFERROR($C95*$D95*SUMIFS('Dvd Calendar'!$E$166:$CZ$166,'Dvd Calendar'!$E$165:$CZ$165,"&gt;"&amp;G$12,'Dvd Calendar'!$E$165:$CZ$165,"&lt;="&amp;G$13)/AS51!$B$3,"")))</f>
        <v/>
      </c>
      <c r="H95" s="113">
        <f>IF(H$13="","",IF($B95="","",IFERROR($C95*$D95*SUMIFS('Dvd Calendar'!$E$166:$CZ$166,'Dvd Calendar'!$E$165:$CZ$165,"&gt;"&amp;H$12,'Dvd Calendar'!$E$165:$CZ$165,"&lt;="&amp;H$13)/AS51!$B$3,"")))</f>
        <v/>
      </c>
      <c r="I95" s="113">
        <f>IF(I$13="","",IF($B95="","",IFERROR($C95*$D95*SUMIFS('Dvd Calendar'!$E$166:$CZ$166,'Dvd Calendar'!$E$165:$CZ$165,"&gt;"&amp;I$12,'Dvd Calendar'!$E$165:$CZ$165,"&lt;="&amp;I$13)/AS51!$B$3,"")))</f>
        <v/>
      </c>
      <c r="J95" s="113">
        <f>IF(J$13="","",IF($B95="","",IFERROR($C95*$D95*SUMIFS('Dvd Calendar'!$E$166:$CZ$166,'Dvd Calendar'!$E$165:$CZ$165,"&gt;"&amp;J$12,'Dvd Calendar'!$E$165:$CZ$165,"&lt;="&amp;J$13)/AS51!$B$3,"")))</f>
        <v/>
      </c>
      <c r="K95" s="113">
        <f>IF(K$13="","",IF($B95="","",IFERROR($C95*$D95*SUMIFS('Dvd Calendar'!$E$166:$CZ$166,'Dvd Calendar'!$E$165:$CZ$165,"&gt;"&amp;K$12,'Dvd Calendar'!$E$165:$CZ$165,"&lt;="&amp;K$13)/AS51!$B$3,"")))</f>
        <v/>
      </c>
      <c r="L95" s="113">
        <f>IF(L$13="","",IF($B95="","",IFERROR($C95*$D95*SUMIFS('Dvd Calendar'!$E$166:$CZ$166,'Dvd Calendar'!$E$165:$CZ$165,"&gt;"&amp;L$12,'Dvd Calendar'!$E$165:$CZ$165,"&lt;="&amp;L$13)/AS51!$B$3,"")))</f>
        <v/>
      </c>
      <c r="M95" s="113">
        <f>IF(M$13="","",IF($B95="","",IFERROR($C95*$D95*SUMIFS('Dvd Calendar'!$E$166:$CZ$166,'Dvd Calendar'!$E$165:$CZ$165,"&gt;"&amp;M$12,'Dvd Calendar'!$E$165:$CZ$165,"&lt;="&amp;M$13)/AS51!$B$3,"")))</f>
        <v/>
      </c>
      <c r="N95" s="113">
        <f>IF(N$13="","",IF($B95="","",IFERROR($C95*$D95*SUMIFS('Dvd Calendar'!$E$166:$CZ$166,'Dvd Calendar'!$E$165:$CZ$165,"&gt;"&amp;N$12,'Dvd Calendar'!$E$165:$CZ$165,"&lt;="&amp;N$13)/AS51!$B$3,"")))</f>
        <v/>
      </c>
      <c r="O95" s="113">
        <f>IF(O$13="","",IF($B95="","",IFERROR($C95*$D95*SUMIFS('Dvd Calendar'!$E$166:$CZ$166,'Dvd Calendar'!$E$165:$CZ$165,"&gt;"&amp;O$12,'Dvd Calendar'!$E$165:$CZ$165,"&lt;="&amp;O$13)/AS51!$B$3,"")))</f>
        <v/>
      </c>
      <c r="P95" s="113">
        <f>IF(P$13="","",IF($B95="","",IFERROR($C95*$D95*SUMIFS('Dvd Calendar'!$E$166:$CZ$166,'Dvd Calendar'!$E$165:$CZ$165,"&gt;"&amp;P$12,'Dvd Calendar'!$E$165:$CZ$165,"&lt;="&amp;P$13)/AS51!$B$3,"")))</f>
        <v/>
      </c>
      <c r="Q95" s="113">
        <f>IF(Q$13="","",IF($B95="","",IFERROR($C95*$D95*SUMIFS('Dvd Calendar'!$E$166:$CZ$166,'Dvd Calendar'!$E$165:$CZ$165,"&gt;"&amp;Q$12,'Dvd Calendar'!$E$165:$CZ$165,"&lt;="&amp;Q$13)/AS51!$B$3,"")))</f>
        <v/>
      </c>
      <c r="R95" s="113">
        <f>IF(R$13="","",IF($B95="","",IFERROR($C95*$D95*SUMIFS('Dvd Calendar'!$E$166:$CZ$166,'Dvd Calendar'!$E$165:$CZ$165,"&gt;"&amp;R$12,'Dvd Calendar'!$E$165:$CZ$165,"&lt;="&amp;R$13)/AS51!$B$3,"")))</f>
        <v/>
      </c>
      <c r="S95" s="113">
        <f>IF(S$13="","",IF($B95="","",IFERROR($C95*$D95*SUMIFS('Dvd Calendar'!$E$166:$CZ$166,'Dvd Calendar'!$E$165:$CZ$165,"&gt;"&amp;S$12,'Dvd Calendar'!$E$165:$CZ$165,"&lt;="&amp;S$13)/AS51!$B$3,"")))</f>
        <v/>
      </c>
      <c r="T95" s="113">
        <f>IF(T$13="","",IF($B95="","",IFERROR($C95*$D95*SUMIFS('Dvd Calendar'!$E$166:$CZ$166,'Dvd Calendar'!$E$165:$CZ$165,"&gt;"&amp;T$12,'Dvd Calendar'!$E$165:$CZ$165,"&lt;="&amp;T$13)/AS51!$B$3,"")))</f>
        <v/>
      </c>
      <c r="U95" s="113">
        <f>IF(U$13="","",IF($B95="","",IFERROR($C95*$D95*SUMIFS('Dvd Calendar'!$E$166:$CZ$166,'Dvd Calendar'!$E$165:$CZ$165,"&gt;"&amp;U$12,'Dvd Calendar'!$E$165:$CZ$165,"&lt;="&amp;U$13)/AS51!$B$3,"")))</f>
        <v/>
      </c>
      <c r="W95" s="113">
        <f>IF(W$13="","",IF($B95="","",IFERROR(F95*$E95/100,"")))</f>
        <v/>
      </c>
      <c r="X95" s="113">
        <f>IF(X$13="","",IF($B95="","",IFERROR(G95*$E95/100,"")))</f>
        <v/>
      </c>
      <c r="Y95" s="113">
        <f>IF(Y$13="","",IF($B95="","",IFERROR(H95*$E95/100,"")))</f>
        <v/>
      </c>
      <c r="Z95" s="113">
        <f>IF(Z$13="","",IF($B95="","",IFERROR(I95*$E95/100,"")))</f>
        <v/>
      </c>
      <c r="AA95" s="113">
        <f>IF(AA$13="","",IF($B95="","",IFERROR(J95*$E95/100,"")))</f>
        <v/>
      </c>
      <c r="AB95" s="113">
        <f>IF(AB$13="","",IF($B95="","",IFERROR(K95*$E95/100,"")))</f>
        <v/>
      </c>
      <c r="AC95" s="113">
        <f>IF(AC$13="","",IF($B95="","",IFERROR(L95*$E95/100,"")))</f>
        <v/>
      </c>
      <c r="AD95" s="113">
        <f>IF(AD$13="","",IF($B95="","",IFERROR(M95*$E95/100,"")))</f>
        <v/>
      </c>
      <c r="AE95" s="113">
        <f>IF(AE$13="","",IF($B95="","",IFERROR(N95*$E95/100,"")))</f>
        <v/>
      </c>
      <c r="AF95" s="113">
        <f>IF(AF$13="","",IF($B95="","",IFERROR(O95*$E95/100,"")))</f>
        <v/>
      </c>
      <c r="AG95" s="113">
        <f>IF(AG$13="","",IF($B95="","",IFERROR(P95*$E95/100,"")))</f>
        <v/>
      </c>
      <c r="AH95" s="113">
        <f>IF(AH$13="","",IF($B95="","",IFERROR(Q95*$E95/100,"")))</f>
        <v/>
      </c>
      <c r="AI95" s="113">
        <f>IF(AI$13="","",IF($B95="","",IFERROR(R95*$E95/100,"")))</f>
        <v/>
      </c>
      <c r="AJ95" s="113">
        <f>IF(AJ$13="","",IF($B95="","",IFERROR(S95*$E95/100,"")))</f>
        <v/>
      </c>
      <c r="AK95" s="113">
        <f>IF(AK$13="","",IF($B95="","",IFERROR(T95*$E95/100,"")))</f>
        <v/>
      </c>
      <c r="AL95" s="113">
        <f>IF(AL$13="","",IF($B95="","",IFERROR(U95*$E95/100,"")))</f>
        <v/>
      </c>
    </row>
    <row r="96">
      <c r="B96" s="5">
        <f>IF(AS51!$C$86="","",AS51!$C$86)</f>
        <v/>
      </c>
      <c r="C96" s="86">
        <f>IF(AS51!$B$86="","",AS51!$B$86)</f>
        <v/>
      </c>
      <c r="D96" s="111">
        <f>IFERROR(AS51!$Q$86,1)</f>
        <v/>
      </c>
      <c r="E96" s="112">
        <f>IF($B96="","",IF(ISNUMBER(AS51!$I$86),AS51!$I$86,'Index Summary'!$C$7))</f>
        <v/>
      </c>
      <c r="F96" s="113">
        <f>IF(F$13="","",IF($B96="","",IFERROR($C96*$D96*SUMIFS('Dvd Calendar'!$E$168:$CZ$168,'Dvd Calendar'!$E$167:$CZ$167,"&gt;"&amp;F$12,'Dvd Calendar'!$E$167:$CZ$167,"&lt;="&amp;F$13)/AS51!$B$3,"")))</f>
        <v/>
      </c>
      <c r="G96" s="113">
        <f>IF(G$13="","",IF($B96="","",IFERROR($C96*$D96*SUMIFS('Dvd Calendar'!$E$168:$CZ$168,'Dvd Calendar'!$E$167:$CZ$167,"&gt;"&amp;G$12,'Dvd Calendar'!$E$167:$CZ$167,"&lt;="&amp;G$13)/AS51!$B$3,"")))</f>
        <v/>
      </c>
      <c r="H96" s="113">
        <f>IF(H$13="","",IF($B96="","",IFERROR($C96*$D96*SUMIFS('Dvd Calendar'!$E$168:$CZ$168,'Dvd Calendar'!$E$167:$CZ$167,"&gt;"&amp;H$12,'Dvd Calendar'!$E$167:$CZ$167,"&lt;="&amp;H$13)/AS51!$B$3,"")))</f>
        <v/>
      </c>
      <c r="I96" s="113">
        <f>IF(I$13="","",IF($B96="","",IFERROR($C96*$D96*SUMIFS('Dvd Calendar'!$E$168:$CZ$168,'Dvd Calendar'!$E$167:$CZ$167,"&gt;"&amp;I$12,'Dvd Calendar'!$E$167:$CZ$167,"&lt;="&amp;I$13)/AS51!$B$3,"")))</f>
        <v/>
      </c>
      <c r="J96" s="113">
        <f>IF(J$13="","",IF($B96="","",IFERROR($C96*$D96*SUMIFS('Dvd Calendar'!$E$168:$CZ$168,'Dvd Calendar'!$E$167:$CZ$167,"&gt;"&amp;J$12,'Dvd Calendar'!$E$167:$CZ$167,"&lt;="&amp;J$13)/AS51!$B$3,"")))</f>
        <v/>
      </c>
      <c r="K96" s="113">
        <f>IF(K$13="","",IF($B96="","",IFERROR($C96*$D96*SUMIFS('Dvd Calendar'!$E$168:$CZ$168,'Dvd Calendar'!$E$167:$CZ$167,"&gt;"&amp;K$12,'Dvd Calendar'!$E$167:$CZ$167,"&lt;="&amp;K$13)/AS51!$B$3,"")))</f>
        <v/>
      </c>
      <c r="L96" s="113">
        <f>IF(L$13="","",IF($B96="","",IFERROR($C96*$D96*SUMIFS('Dvd Calendar'!$E$168:$CZ$168,'Dvd Calendar'!$E$167:$CZ$167,"&gt;"&amp;L$12,'Dvd Calendar'!$E$167:$CZ$167,"&lt;="&amp;L$13)/AS51!$B$3,"")))</f>
        <v/>
      </c>
      <c r="M96" s="113">
        <f>IF(M$13="","",IF($B96="","",IFERROR($C96*$D96*SUMIFS('Dvd Calendar'!$E$168:$CZ$168,'Dvd Calendar'!$E$167:$CZ$167,"&gt;"&amp;M$12,'Dvd Calendar'!$E$167:$CZ$167,"&lt;="&amp;M$13)/AS51!$B$3,"")))</f>
        <v/>
      </c>
      <c r="N96" s="113">
        <f>IF(N$13="","",IF($B96="","",IFERROR($C96*$D96*SUMIFS('Dvd Calendar'!$E$168:$CZ$168,'Dvd Calendar'!$E$167:$CZ$167,"&gt;"&amp;N$12,'Dvd Calendar'!$E$167:$CZ$167,"&lt;="&amp;N$13)/AS51!$B$3,"")))</f>
        <v/>
      </c>
      <c r="O96" s="113">
        <f>IF(O$13="","",IF($B96="","",IFERROR($C96*$D96*SUMIFS('Dvd Calendar'!$E$168:$CZ$168,'Dvd Calendar'!$E$167:$CZ$167,"&gt;"&amp;O$12,'Dvd Calendar'!$E$167:$CZ$167,"&lt;="&amp;O$13)/AS51!$B$3,"")))</f>
        <v/>
      </c>
      <c r="P96" s="113">
        <f>IF(P$13="","",IF($B96="","",IFERROR($C96*$D96*SUMIFS('Dvd Calendar'!$E$168:$CZ$168,'Dvd Calendar'!$E$167:$CZ$167,"&gt;"&amp;P$12,'Dvd Calendar'!$E$167:$CZ$167,"&lt;="&amp;P$13)/AS51!$B$3,"")))</f>
        <v/>
      </c>
      <c r="Q96" s="113">
        <f>IF(Q$13="","",IF($B96="","",IFERROR($C96*$D96*SUMIFS('Dvd Calendar'!$E$168:$CZ$168,'Dvd Calendar'!$E$167:$CZ$167,"&gt;"&amp;Q$12,'Dvd Calendar'!$E$167:$CZ$167,"&lt;="&amp;Q$13)/AS51!$B$3,"")))</f>
        <v/>
      </c>
      <c r="R96" s="113">
        <f>IF(R$13="","",IF($B96="","",IFERROR($C96*$D96*SUMIFS('Dvd Calendar'!$E$168:$CZ$168,'Dvd Calendar'!$E$167:$CZ$167,"&gt;"&amp;R$12,'Dvd Calendar'!$E$167:$CZ$167,"&lt;="&amp;R$13)/AS51!$B$3,"")))</f>
        <v/>
      </c>
      <c r="S96" s="113">
        <f>IF(S$13="","",IF($B96="","",IFERROR($C96*$D96*SUMIFS('Dvd Calendar'!$E$168:$CZ$168,'Dvd Calendar'!$E$167:$CZ$167,"&gt;"&amp;S$12,'Dvd Calendar'!$E$167:$CZ$167,"&lt;="&amp;S$13)/AS51!$B$3,"")))</f>
        <v/>
      </c>
      <c r="T96" s="113">
        <f>IF(T$13="","",IF($B96="","",IFERROR($C96*$D96*SUMIFS('Dvd Calendar'!$E$168:$CZ$168,'Dvd Calendar'!$E$167:$CZ$167,"&gt;"&amp;T$12,'Dvd Calendar'!$E$167:$CZ$167,"&lt;="&amp;T$13)/AS51!$B$3,"")))</f>
        <v/>
      </c>
      <c r="U96" s="113">
        <f>IF(U$13="","",IF($B96="","",IFERROR($C96*$D96*SUMIFS('Dvd Calendar'!$E$168:$CZ$168,'Dvd Calendar'!$E$167:$CZ$167,"&gt;"&amp;U$12,'Dvd Calendar'!$E$167:$CZ$167,"&lt;="&amp;U$13)/AS51!$B$3,"")))</f>
        <v/>
      </c>
      <c r="W96" s="113">
        <f>IF(W$13="","",IF($B96="","",IFERROR(F96*$E96/100,"")))</f>
        <v/>
      </c>
      <c r="X96" s="113">
        <f>IF(X$13="","",IF($B96="","",IFERROR(G96*$E96/100,"")))</f>
        <v/>
      </c>
      <c r="Y96" s="113">
        <f>IF(Y$13="","",IF($B96="","",IFERROR(H96*$E96/100,"")))</f>
        <v/>
      </c>
      <c r="Z96" s="113">
        <f>IF(Z$13="","",IF($B96="","",IFERROR(I96*$E96/100,"")))</f>
        <v/>
      </c>
      <c r="AA96" s="113">
        <f>IF(AA$13="","",IF($B96="","",IFERROR(J96*$E96/100,"")))</f>
        <v/>
      </c>
      <c r="AB96" s="113">
        <f>IF(AB$13="","",IF($B96="","",IFERROR(K96*$E96/100,"")))</f>
        <v/>
      </c>
      <c r="AC96" s="113">
        <f>IF(AC$13="","",IF($B96="","",IFERROR(L96*$E96/100,"")))</f>
        <v/>
      </c>
      <c r="AD96" s="113">
        <f>IF(AD$13="","",IF($B96="","",IFERROR(M96*$E96/100,"")))</f>
        <v/>
      </c>
      <c r="AE96" s="113">
        <f>IF(AE$13="","",IF($B96="","",IFERROR(N96*$E96/100,"")))</f>
        <v/>
      </c>
      <c r="AF96" s="113">
        <f>IF(AF$13="","",IF($B96="","",IFERROR(O96*$E96/100,"")))</f>
        <v/>
      </c>
      <c r="AG96" s="113">
        <f>IF(AG$13="","",IF($B96="","",IFERROR(P96*$E96/100,"")))</f>
        <v/>
      </c>
      <c r="AH96" s="113">
        <f>IF(AH$13="","",IF($B96="","",IFERROR(Q96*$E96/100,"")))</f>
        <v/>
      </c>
      <c r="AI96" s="113">
        <f>IF(AI$13="","",IF($B96="","",IFERROR(R96*$E96/100,"")))</f>
        <v/>
      </c>
      <c r="AJ96" s="113">
        <f>IF(AJ$13="","",IF($B96="","",IFERROR(S96*$E96/100,"")))</f>
        <v/>
      </c>
      <c r="AK96" s="113">
        <f>IF(AK$13="","",IF($B96="","",IFERROR(T96*$E96/100,"")))</f>
        <v/>
      </c>
      <c r="AL96" s="113">
        <f>IF(AL$13="","",IF($B96="","",IFERROR(U96*$E96/100,"")))</f>
        <v/>
      </c>
    </row>
    <row r="97">
      <c r="B97" s="5">
        <f>IF(AS51!$C$87="","",AS51!$C$87)</f>
        <v/>
      </c>
      <c r="C97" s="86">
        <f>IF(AS51!$B$87="","",AS51!$B$87)</f>
        <v/>
      </c>
      <c r="D97" s="111">
        <f>IFERROR(AS51!$Q$87,1)</f>
        <v/>
      </c>
      <c r="E97" s="112">
        <f>IF($B97="","",IF(ISNUMBER(AS51!$I$87),AS51!$I$87,'Index Summary'!$C$7))</f>
        <v/>
      </c>
      <c r="F97" s="113">
        <f>IF(F$13="","",IF($B97="","",IFERROR($C97*$D97*SUMIFS('Dvd Calendar'!$E$170:$CZ$170,'Dvd Calendar'!$E$169:$CZ$169,"&gt;"&amp;F$12,'Dvd Calendar'!$E$169:$CZ$169,"&lt;="&amp;F$13)/AS51!$B$3,"")))</f>
        <v/>
      </c>
      <c r="G97" s="113">
        <f>IF(G$13="","",IF($B97="","",IFERROR($C97*$D97*SUMIFS('Dvd Calendar'!$E$170:$CZ$170,'Dvd Calendar'!$E$169:$CZ$169,"&gt;"&amp;G$12,'Dvd Calendar'!$E$169:$CZ$169,"&lt;="&amp;G$13)/AS51!$B$3,"")))</f>
        <v/>
      </c>
      <c r="H97" s="113">
        <f>IF(H$13="","",IF($B97="","",IFERROR($C97*$D97*SUMIFS('Dvd Calendar'!$E$170:$CZ$170,'Dvd Calendar'!$E$169:$CZ$169,"&gt;"&amp;H$12,'Dvd Calendar'!$E$169:$CZ$169,"&lt;="&amp;H$13)/AS51!$B$3,"")))</f>
        <v/>
      </c>
      <c r="I97" s="113">
        <f>IF(I$13="","",IF($B97="","",IFERROR($C97*$D97*SUMIFS('Dvd Calendar'!$E$170:$CZ$170,'Dvd Calendar'!$E$169:$CZ$169,"&gt;"&amp;I$12,'Dvd Calendar'!$E$169:$CZ$169,"&lt;="&amp;I$13)/AS51!$B$3,"")))</f>
        <v/>
      </c>
      <c r="J97" s="113">
        <f>IF(J$13="","",IF($B97="","",IFERROR($C97*$D97*SUMIFS('Dvd Calendar'!$E$170:$CZ$170,'Dvd Calendar'!$E$169:$CZ$169,"&gt;"&amp;J$12,'Dvd Calendar'!$E$169:$CZ$169,"&lt;="&amp;J$13)/AS51!$B$3,"")))</f>
        <v/>
      </c>
      <c r="K97" s="113">
        <f>IF(K$13="","",IF($B97="","",IFERROR($C97*$D97*SUMIFS('Dvd Calendar'!$E$170:$CZ$170,'Dvd Calendar'!$E$169:$CZ$169,"&gt;"&amp;K$12,'Dvd Calendar'!$E$169:$CZ$169,"&lt;="&amp;K$13)/AS51!$B$3,"")))</f>
        <v/>
      </c>
      <c r="L97" s="113">
        <f>IF(L$13="","",IF($B97="","",IFERROR($C97*$D97*SUMIFS('Dvd Calendar'!$E$170:$CZ$170,'Dvd Calendar'!$E$169:$CZ$169,"&gt;"&amp;L$12,'Dvd Calendar'!$E$169:$CZ$169,"&lt;="&amp;L$13)/AS51!$B$3,"")))</f>
        <v/>
      </c>
      <c r="M97" s="113">
        <f>IF(M$13="","",IF($B97="","",IFERROR($C97*$D97*SUMIFS('Dvd Calendar'!$E$170:$CZ$170,'Dvd Calendar'!$E$169:$CZ$169,"&gt;"&amp;M$12,'Dvd Calendar'!$E$169:$CZ$169,"&lt;="&amp;M$13)/AS51!$B$3,"")))</f>
        <v/>
      </c>
      <c r="N97" s="113">
        <f>IF(N$13="","",IF($B97="","",IFERROR($C97*$D97*SUMIFS('Dvd Calendar'!$E$170:$CZ$170,'Dvd Calendar'!$E$169:$CZ$169,"&gt;"&amp;N$12,'Dvd Calendar'!$E$169:$CZ$169,"&lt;="&amp;N$13)/AS51!$B$3,"")))</f>
        <v/>
      </c>
      <c r="O97" s="113">
        <f>IF(O$13="","",IF($B97="","",IFERROR($C97*$D97*SUMIFS('Dvd Calendar'!$E$170:$CZ$170,'Dvd Calendar'!$E$169:$CZ$169,"&gt;"&amp;O$12,'Dvd Calendar'!$E$169:$CZ$169,"&lt;="&amp;O$13)/AS51!$B$3,"")))</f>
        <v/>
      </c>
      <c r="P97" s="113">
        <f>IF(P$13="","",IF($B97="","",IFERROR($C97*$D97*SUMIFS('Dvd Calendar'!$E$170:$CZ$170,'Dvd Calendar'!$E$169:$CZ$169,"&gt;"&amp;P$12,'Dvd Calendar'!$E$169:$CZ$169,"&lt;="&amp;P$13)/AS51!$B$3,"")))</f>
        <v/>
      </c>
      <c r="Q97" s="113">
        <f>IF(Q$13="","",IF($B97="","",IFERROR($C97*$D97*SUMIFS('Dvd Calendar'!$E$170:$CZ$170,'Dvd Calendar'!$E$169:$CZ$169,"&gt;"&amp;Q$12,'Dvd Calendar'!$E$169:$CZ$169,"&lt;="&amp;Q$13)/AS51!$B$3,"")))</f>
        <v/>
      </c>
      <c r="R97" s="113">
        <f>IF(R$13="","",IF($B97="","",IFERROR($C97*$D97*SUMIFS('Dvd Calendar'!$E$170:$CZ$170,'Dvd Calendar'!$E$169:$CZ$169,"&gt;"&amp;R$12,'Dvd Calendar'!$E$169:$CZ$169,"&lt;="&amp;R$13)/AS51!$B$3,"")))</f>
        <v/>
      </c>
      <c r="S97" s="113">
        <f>IF(S$13="","",IF($B97="","",IFERROR($C97*$D97*SUMIFS('Dvd Calendar'!$E$170:$CZ$170,'Dvd Calendar'!$E$169:$CZ$169,"&gt;"&amp;S$12,'Dvd Calendar'!$E$169:$CZ$169,"&lt;="&amp;S$13)/AS51!$B$3,"")))</f>
        <v/>
      </c>
      <c r="T97" s="113">
        <f>IF(T$13="","",IF($B97="","",IFERROR($C97*$D97*SUMIFS('Dvd Calendar'!$E$170:$CZ$170,'Dvd Calendar'!$E$169:$CZ$169,"&gt;"&amp;T$12,'Dvd Calendar'!$E$169:$CZ$169,"&lt;="&amp;T$13)/AS51!$B$3,"")))</f>
        <v/>
      </c>
      <c r="U97" s="113">
        <f>IF(U$13="","",IF($B97="","",IFERROR($C97*$D97*SUMIFS('Dvd Calendar'!$E$170:$CZ$170,'Dvd Calendar'!$E$169:$CZ$169,"&gt;"&amp;U$12,'Dvd Calendar'!$E$169:$CZ$169,"&lt;="&amp;U$13)/AS51!$B$3,"")))</f>
        <v/>
      </c>
      <c r="W97" s="113">
        <f>IF(W$13="","",IF($B97="","",IFERROR(F97*$E97/100,"")))</f>
        <v/>
      </c>
      <c r="X97" s="113">
        <f>IF(X$13="","",IF($B97="","",IFERROR(G97*$E97/100,"")))</f>
        <v/>
      </c>
      <c r="Y97" s="113">
        <f>IF(Y$13="","",IF($B97="","",IFERROR(H97*$E97/100,"")))</f>
        <v/>
      </c>
      <c r="Z97" s="113">
        <f>IF(Z$13="","",IF($B97="","",IFERROR(I97*$E97/100,"")))</f>
        <v/>
      </c>
      <c r="AA97" s="113">
        <f>IF(AA$13="","",IF($B97="","",IFERROR(J97*$E97/100,"")))</f>
        <v/>
      </c>
      <c r="AB97" s="113">
        <f>IF(AB$13="","",IF($B97="","",IFERROR(K97*$E97/100,"")))</f>
        <v/>
      </c>
      <c r="AC97" s="113">
        <f>IF(AC$13="","",IF($B97="","",IFERROR(L97*$E97/100,"")))</f>
        <v/>
      </c>
      <c r="AD97" s="113">
        <f>IF(AD$13="","",IF($B97="","",IFERROR(M97*$E97/100,"")))</f>
        <v/>
      </c>
      <c r="AE97" s="113">
        <f>IF(AE$13="","",IF($B97="","",IFERROR(N97*$E97/100,"")))</f>
        <v/>
      </c>
      <c r="AF97" s="113">
        <f>IF(AF$13="","",IF($B97="","",IFERROR(O97*$E97/100,"")))</f>
        <v/>
      </c>
      <c r="AG97" s="113">
        <f>IF(AG$13="","",IF($B97="","",IFERROR(P97*$E97/100,"")))</f>
        <v/>
      </c>
      <c r="AH97" s="113">
        <f>IF(AH$13="","",IF($B97="","",IFERROR(Q97*$E97/100,"")))</f>
        <v/>
      </c>
      <c r="AI97" s="113">
        <f>IF(AI$13="","",IF($B97="","",IFERROR(R97*$E97/100,"")))</f>
        <v/>
      </c>
      <c r="AJ97" s="113">
        <f>IF(AJ$13="","",IF($B97="","",IFERROR(S97*$E97/100,"")))</f>
        <v/>
      </c>
      <c r="AK97" s="113">
        <f>IF(AK$13="","",IF($B97="","",IFERROR(T97*$E97/100,"")))</f>
        <v/>
      </c>
      <c r="AL97" s="113">
        <f>IF(AL$13="","",IF($B97="","",IFERROR(U97*$E97/100,"")))</f>
        <v/>
      </c>
    </row>
    <row r="98">
      <c r="B98" s="5">
        <f>IF(AS51!$C$88="","",AS51!$C$88)</f>
        <v/>
      </c>
      <c r="C98" s="86">
        <f>IF(AS51!$B$88="","",AS51!$B$88)</f>
        <v/>
      </c>
      <c r="D98" s="111">
        <f>IFERROR(AS51!$Q$88,1)</f>
        <v/>
      </c>
      <c r="E98" s="112">
        <f>IF($B98="","",IF(ISNUMBER(AS51!$I$88),AS51!$I$88,'Index Summary'!$C$7))</f>
        <v/>
      </c>
      <c r="F98" s="113">
        <f>IF(F$13="","",IF($B98="","",IFERROR($C98*$D98*SUMIFS('Dvd Calendar'!$E$172:$CZ$172,'Dvd Calendar'!$E$171:$CZ$171,"&gt;"&amp;F$12,'Dvd Calendar'!$E$171:$CZ$171,"&lt;="&amp;F$13)/AS51!$B$3,"")))</f>
        <v/>
      </c>
      <c r="G98" s="113">
        <f>IF(G$13="","",IF($B98="","",IFERROR($C98*$D98*SUMIFS('Dvd Calendar'!$E$172:$CZ$172,'Dvd Calendar'!$E$171:$CZ$171,"&gt;"&amp;G$12,'Dvd Calendar'!$E$171:$CZ$171,"&lt;="&amp;G$13)/AS51!$B$3,"")))</f>
        <v/>
      </c>
      <c r="H98" s="113">
        <f>IF(H$13="","",IF($B98="","",IFERROR($C98*$D98*SUMIFS('Dvd Calendar'!$E$172:$CZ$172,'Dvd Calendar'!$E$171:$CZ$171,"&gt;"&amp;H$12,'Dvd Calendar'!$E$171:$CZ$171,"&lt;="&amp;H$13)/AS51!$B$3,"")))</f>
        <v/>
      </c>
      <c r="I98" s="113">
        <f>IF(I$13="","",IF($B98="","",IFERROR($C98*$D98*SUMIFS('Dvd Calendar'!$E$172:$CZ$172,'Dvd Calendar'!$E$171:$CZ$171,"&gt;"&amp;I$12,'Dvd Calendar'!$E$171:$CZ$171,"&lt;="&amp;I$13)/AS51!$B$3,"")))</f>
        <v/>
      </c>
      <c r="J98" s="113">
        <f>IF(J$13="","",IF($B98="","",IFERROR($C98*$D98*SUMIFS('Dvd Calendar'!$E$172:$CZ$172,'Dvd Calendar'!$E$171:$CZ$171,"&gt;"&amp;J$12,'Dvd Calendar'!$E$171:$CZ$171,"&lt;="&amp;J$13)/AS51!$B$3,"")))</f>
        <v/>
      </c>
      <c r="K98" s="113">
        <f>IF(K$13="","",IF($B98="","",IFERROR($C98*$D98*SUMIFS('Dvd Calendar'!$E$172:$CZ$172,'Dvd Calendar'!$E$171:$CZ$171,"&gt;"&amp;K$12,'Dvd Calendar'!$E$171:$CZ$171,"&lt;="&amp;K$13)/AS51!$B$3,"")))</f>
        <v/>
      </c>
      <c r="L98" s="113">
        <f>IF(L$13="","",IF($B98="","",IFERROR($C98*$D98*SUMIFS('Dvd Calendar'!$E$172:$CZ$172,'Dvd Calendar'!$E$171:$CZ$171,"&gt;"&amp;L$12,'Dvd Calendar'!$E$171:$CZ$171,"&lt;="&amp;L$13)/AS51!$B$3,"")))</f>
        <v/>
      </c>
      <c r="M98" s="113">
        <f>IF(M$13="","",IF($B98="","",IFERROR($C98*$D98*SUMIFS('Dvd Calendar'!$E$172:$CZ$172,'Dvd Calendar'!$E$171:$CZ$171,"&gt;"&amp;M$12,'Dvd Calendar'!$E$171:$CZ$171,"&lt;="&amp;M$13)/AS51!$B$3,"")))</f>
        <v/>
      </c>
      <c r="N98" s="113">
        <f>IF(N$13="","",IF($B98="","",IFERROR($C98*$D98*SUMIFS('Dvd Calendar'!$E$172:$CZ$172,'Dvd Calendar'!$E$171:$CZ$171,"&gt;"&amp;N$12,'Dvd Calendar'!$E$171:$CZ$171,"&lt;="&amp;N$13)/AS51!$B$3,"")))</f>
        <v/>
      </c>
      <c r="O98" s="113">
        <f>IF(O$13="","",IF($B98="","",IFERROR($C98*$D98*SUMIFS('Dvd Calendar'!$E$172:$CZ$172,'Dvd Calendar'!$E$171:$CZ$171,"&gt;"&amp;O$12,'Dvd Calendar'!$E$171:$CZ$171,"&lt;="&amp;O$13)/AS51!$B$3,"")))</f>
        <v/>
      </c>
      <c r="P98" s="113">
        <f>IF(P$13="","",IF($B98="","",IFERROR($C98*$D98*SUMIFS('Dvd Calendar'!$E$172:$CZ$172,'Dvd Calendar'!$E$171:$CZ$171,"&gt;"&amp;P$12,'Dvd Calendar'!$E$171:$CZ$171,"&lt;="&amp;P$13)/AS51!$B$3,"")))</f>
        <v/>
      </c>
      <c r="Q98" s="113">
        <f>IF(Q$13="","",IF($B98="","",IFERROR($C98*$D98*SUMIFS('Dvd Calendar'!$E$172:$CZ$172,'Dvd Calendar'!$E$171:$CZ$171,"&gt;"&amp;Q$12,'Dvd Calendar'!$E$171:$CZ$171,"&lt;="&amp;Q$13)/AS51!$B$3,"")))</f>
        <v/>
      </c>
      <c r="R98" s="113">
        <f>IF(R$13="","",IF($B98="","",IFERROR($C98*$D98*SUMIFS('Dvd Calendar'!$E$172:$CZ$172,'Dvd Calendar'!$E$171:$CZ$171,"&gt;"&amp;R$12,'Dvd Calendar'!$E$171:$CZ$171,"&lt;="&amp;R$13)/AS51!$B$3,"")))</f>
        <v/>
      </c>
      <c r="S98" s="113">
        <f>IF(S$13="","",IF($B98="","",IFERROR($C98*$D98*SUMIFS('Dvd Calendar'!$E$172:$CZ$172,'Dvd Calendar'!$E$171:$CZ$171,"&gt;"&amp;S$12,'Dvd Calendar'!$E$171:$CZ$171,"&lt;="&amp;S$13)/AS51!$B$3,"")))</f>
        <v/>
      </c>
      <c r="T98" s="113">
        <f>IF(T$13="","",IF($B98="","",IFERROR($C98*$D98*SUMIFS('Dvd Calendar'!$E$172:$CZ$172,'Dvd Calendar'!$E$171:$CZ$171,"&gt;"&amp;T$12,'Dvd Calendar'!$E$171:$CZ$171,"&lt;="&amp;T$13)/AS51!$B$3,"")))</f>
        <v/>
      </c>
      <c r="U98" s="113">
        <f>IF(U$13="","",IF($B98="","",IFERROR($C98*$D98*SUMIFS('Dvd Calendar'!$E$172:$CZ$172,'Dvd Calendar'!$E$171:$CZ$171,"&gt;"&amp;U$12,'Dvd Calendar'!$E$171:$CZ$171,"&lt;="&amp;U$13)/AS51!$B$3,"")))</f>
        <v/>
      </c>
      <c r="W98" s="113">
        <f>IF(W$13="","",IF($B98="","",IFERROR(F98*$E98/100,"")))</f>
        <v/>
      </c>
      <c r="X98" s="113">
        <f>IF(X$13="","",IF($B98="","",IFERROR(G98*$E98/100,"")))</f>
        <v/>
      </c>
      <c r="Y98" s="113">
        <f>IF(Y$13="","",IF($B98="","",IFERROR(H98*$E98/100,"")))</f>
        <v/>
      </c>
      <c r="Z98" s="113">
        <f>IF(Z$13="","",IF($B98="","",IFERROR(I98*$E98/100,"")))</f>
        <v/>
      </c>
      <c r="AA98" s="113">
        <f>IF(AA$13="","",IF($B98="","",IFERROR(J98*$E98/100,"")))</f>
        <v/>
      </c>
      <c r="AB98" s="113">
        <f>IF(AB$13="","",IF($B98="","",IFERROR(K98*$E98/100,"")))</f>
        <v/>
      </c>
      <c r="AC98" s="113">
        <f>IF(AC$13="","",IF($B98="","",IFERROR(L98*$E98/100,"")))</f>
        <v/>
      </c>
      <c r="AD98" s="113">
        <f>IF(AD$13="","",IF($B98="","",IFERROR(M98*$E98/100,"")))</f>
        <v/>
      </c>
      <c r="AE98" s="113">
        <f>IF(AE$13="","",IF($B98="","",IFERROR(N98*$E98/100,"")))</f>
        <v/>
      </c>
      <c r="AF98" s="113">
        <f>IF(AF$13="","",IF($B98="","",IFERROR(O98*$E98/100,"")))</f>
        <v/>
      </c>
      <c r="AG98" s="113">
        <f>IF(AG$13="","",IF($B98="","",IFERROR(P98*$E98/100,"")))</f>
        <v/>
      </c>
      <c r="AH98" s="113">
        <f>IF(AH$13="","",IF($B98="","",IFERROR(Q98*$E98/100,"")))</f>
        <v/>
      </c>
      <c r="AI98" s="113">
        <f>IF(AI$13="","",IF($B98="","",IFERROR(R98*$E98/100,"")))</f>
        <v/>
      </c>
      <c r="AJ98" s="113">
        <f>IF(AJ$13="","",IF($B98="","",IFERROR(S98*$E98/100,"")))</f>
        <v/>
      </c>
      <c r="AK98" s="113">
        <f>IF(AK$13="","",IF($B98="","",IFERROR(T98*$E98/100,"")))</f>
        <v/>
      </c>
      <c r="AL98" s="113">
        <f>IF(AL$13="","",IF($B98="","",IFERROR(U98*$E98/100,"")))</f>
        <v/>
      </c>
    </row>
    <row r="99">
      <c r="B99" s="5">
        <f>IF(AS51!$C$89="","",AS51!$C$89)</f>
        <v/>
      </c>
      <c r="C99" s="86">
        <f>IF(AS51!$B$89="","",AS51!$B$89)</f>
        <v/>
      </c>
      <c r="D99" s="111">
        <f>IFERROR(AS51!$Q$89,1)</f>
        <v/>
      </c>
      <c r="E99" s="112">
        <f>IF($B99="","",IF(ISNUMBER(AS51!$I$89),AS51!$I$89,'Index Summary'!$C$7))</f>
        <v/>
      </c>
      <c r="F99" s="113">
        <f>IF(F$13="","",IF($B99="","",IFERROR($C99*$D99*SUMIFS('Dvd Calendar'!$E$174:$CZ$174,'Dvd Calendar'!$E$173:$CZ$173,"&gt;"&amp;F$12,'Dvd Calendar'!$E$173:$CZ$173,"&lt;="&amp;F$13)/AS51!$B$3,"")))</f>
        <v/>
      </c>
      <c r="G99" s="113">
        <f>IF(G$13="","",IF($B99="","",IFERROR($C99*$D99*SUMIFS('Dvd Calendar'!$E$174:$CZ$174,'Dvd Calendar'!$E$173:$CZ$173,"&gt;"&amp;G$12,'Dvd Calendar'!$E$173:$CZ$173,"&lt;="&amp;G$13)/AS51!$B$3,"")))</f>
        <v/>
      </c>
      <c r="H99" s="113">
        <f>IF(H$13="","",IF($B99="","",IFERROR($C99*$D99*SUMIFS('Dvd Calendar'!$E$174:$CZ$174,'Dvd Calendar'!$E$173:$CZ$173,"&gt;"&amp;H$12,'Dvd Calendar'!$E$173:$CZ$173,"&lt;="&amp;H$13)/AS51!$B$3,"")))</f>
        <v/>
      </c>
      <c r="I99" s="113">
        <f>IF(I$13="","",IF($B99="","",IFERROR($C99*$D99*SUMIFS('Dvd Calendar'!$E$174:$CZ$174,'Dvd Calendar'!$E$173:$CZ$173,"&gt;"&amp;I$12,'Dvd Calendar'!$E$173:$CZ$173,"&lt;="&amp;I$13)/AS51!$B$3,"")))</f>
        <v/>
      </c>
      <c r="J99" s="113">
        <f>IF(J$13="","",IF($B99="","",IFERROR($C99*$D99*SUMIFS('Dvd Calendar'!$E$174:$CZ$174,'Dvd Calendar'!$E$173:$CZ$173,"&gt;"&amp;J$12,'Dvd Calendar'!$E$173:$CZ$173,"&lt;="&amp;J$13)/AS51!$B$3,"")))</f>
        <v/>
      </c>
      <c r="K99" s="113">
        <f>IF(K$13="","",IF($B99="","",IFERROR($C99*$D99*SUMIFS('Dvd Calendar'!$E$174:$CZ$174,'Dvd Calendar'!$E$173:$CZ$173,"&gt;"&amp;K$12,'Dvd Calendar'!$E$173:$CZ$173,"&lt;="&amp;K$13)/AS51!$B$3,"")))</f>
        <v/>
      </c>
      <c r="L99" s="113">
        <f>IF(L$13="","",IF($B99="","",IFERROR($C99*$D99*SUMIFS('Dvd Calendar'!$E$174:$CZ$174,'Dvd Calendar'!$E$173:$CZ$173,"&gt;"&amp;L$12,'Dvd Calendar'!$E$173:$CZ$173,"&lt;="&amp;L$13)/AS51!$B$3,"")))</f>
        <v/>
      </c>
      <c r="M99" s="113">
        <f>IF(M$13="","",IF($B99="","",IFERROR($C99*$D99*SUMIFS('Dvd Calendar'!$E$174:$CZ$174,'Dvd Calendar'!$E$173:$CZ$173,"&gt;"&amp;M$12,'Dvd Calendar'!$E$173:$CZ$173,"&lt;="&amp;M$13)/AS51!$B$3,"")))</f>
        <v/>
      </c>
      <c r="N99" s="113">
        <f>IF(N$13="","",IF($B99="","",IFERROR($C99*$D99*SUMIFS('Dvd Calendar'!$E$174:$CZ$174,'Dvd Calendar'!$E$173:$CZ$173,"&gt;"&amp;N$12,'Dvd Calendar'!$E$173:$CZ$173,"&lt;="&amp;N$13)/AS51!$B$3,"")))</f>
        <v/>
      </c>
      <c r="O99" s="113">
        <f>IF(O$13="","",IF($B99="","",IFERROR($C99*$D99*SUMIFS('Dvd Calendar'!$E$174:$CZ$174,'Dvd Calendar'!$E$173:$CZ$173,"&gt;"&amp;O$12,'Dvd Calendar'!$E$173:$CZ$173,"&lt;="&amp;O$13)/AS51!$B$3,"")))</f>
        <v/>
      </c>
      <c r="P99" s="113">
        <f>IF(P$13="","",IF($B99="","",IFERROR($C99*$D99*SUMIFS('Dvd Calendar'!$E$174:$CZ$174,'Dvd Calendar'!$E$173:$CZ$173,"&gt;"&amp;P$12,'Dvd Calendar'!$E$173:$CZ$173,"&lt;="&amp;P$13)/AS51!$B$3,"")))</f>
        <v/>
      </c>
      <c r="Q99" s="113">
        <f>IF(Q$13="","",IF($B99="","",IFERROR($C99*$D99*SUMIFS('Dvd Calendar'!$E$174:$CZ$174,'Dvd Calendar'!$E$173:$CZ$173,"&gt;"&amp;Q$12,'Dvd Calendar'!$E$173:$CZ$173,"&lt;="&amp;Q$13)/AS51!$B$3,"")))</f>
        <v/>
      </c>
      <c r="R99" s="113">
        <f>IF(R$13="","",IF($B99="","",IFERROR($C99*$D99*SUMIFS('Dvd Calendar'!$E$174:$CZ$174,'Dvd Calendar'!$E$173:$CZ$173,"&gt;"&amp;R$12,'Dvd Calendar'!$E$173:$CZ$173,"&lt;="&amp;R$13)/AS51!$B$3,"")))</f>
        <v/>
      </c>
      <c r="S99" s="113">
        <f>IF(S$13="","",IF($B99="","",IFERROR($C99*$D99*SUMIFS('Dvd Calendar'!$E$174:$CZ$174,'Dvd Calendar'!$E$173:$CZ$173,"&gt;"&amp;S$12,'Dvd Calendar'!$E$173:$CZ$173,"&lt;="&amp;S$13)/AS51!$B$3,"")))</f>
        <v/>
      </c>
      <c r="T99" s="113">
        <f>IF(T$13="","",IF($B99="","",IFERROR($C99*$D99*SUMIFS('Dvd Calendar'!$E$174:$CZ$174,'Dvd Calendar'!$E$173:$CZ$173,"&gt;"&amp;T$12,'Dvd Calendar'!$E$173:$CZ$173,"&lt;="&amp;T$13)/AS51!$B$3,"")))</f>
        <v/>
      </c>
      <c r="U99" s="113">
        <f>IF(U$13="","",IF($B99="","",IFERROR($C99*$D99*SUMIFS('Dvd Calendar'!$E$174:$CZ$174,'Dvd Calendar'!$E$173:$CZ$173,"&gt;"&amp;U$12,'Dvd Calendar'!$E$173:$CZ$173,"&lt;="&amp;U$13)/AS51!$B$3,"")))</f>
        <v/>
      </c>
      <c r="W99" s="113">
        <f>IF(W$13="","",IF($B99="","",IFERROR(F99*$E99/100,"")))</f>
        <v/>
      </c>
      <c r="X99" s="113">
        <f>IF(X$13="","",IF($B99="","",IFERROR(G99*$E99/100,"")))</f>
        <v/>
      </c>
      <c r="Y99" s="113">
        <f>IF(Y$13="","",IF($B99="","",IFERROR(H99*$E99/100,"")))</f>
        <v/>
      </c>
      <c r="Z99" s="113">
        <f>IF(Z$13="","",IF($B99="","",IFERROR(I99*$E99/100,"")))</f>
        <v/>
      </c>
      <c r="AA99" s="113">
        <f>IF(AA$13="","",IF($B99="","",IFERROR(J99*$E99/100,"")))</f>
        <v/>
      </c>
      <c r="AB99" s="113">
        <f>IF(AB$13="","",IF($B99="","",IFERROR(K99*$E99/100,"")))</f>
        <v/>
      </c>
      <c r="AC99" s="113">
        <f>IF(AC$13="","",IF($B99="","",IFERROR(L99*$E99/100,"")))</f>
        <v/>
      </c>
      <c r="AD99" s="113">
        <f>IF(AD$13="","",IF($B99="","",IFERROR(M99*$E99/100,"")))</f>
        <v/>
      </c>
      <c r="AE99" s="113">
        <f>IF(AE$13="","",IF($B99="","",IFERROR(N99*$E99/100,"")))</f>
        <v/>
      </c>
      <c r="AF99" s="113">
        <f>IF(AF$13="","",IF($B99="","",IFERROR(O99*$E99/100,"")))</f>
        <v/>
      </c>
      <c r="AG99" s="113">
        <f>IF(AG$13="","",IF($B99="","",IFERROR(P99*$E99/100,"")))</f>
        <v/>
      </c>
      <c r="AH99" s="113">
        <f>IF(AH$13="","",IF($B99="","",IFERROR(Q99*$E99/100,"")))</f>
        <v/>
      </c>
      <c r="AI99" s="113">
        <f>IF(AI$13="","",IF($B99="","",IFERROR(R99*$E99/100,"")))</f>
        <v/>
      </c>
      <c r="AJ99" s="113">
        <f>IF(AJ$13="","",IF($B99="","",IFERROR(S99*$E99/100,"")))</f>
        <v/>
      </c>
      <c r="AK99" s="113">
        <f>IF(AK$13="","",IF($B99="","",IFERROR(T99*$E99/100,"")))</f>
        <v/>
      </c>
      <c r="AL99" s="113">
        <f>IF(AL$13="","",IF($B99="","",IFERROR(U99*$E99/100,"")))</f>
        <v/>
      </c>
    </row>
    <row r="100">
      <c r="B100" s="5">
        <f>IF(AS51!$C$90="","",AS51!$C$90)</f>
        <v/>
      </c>
      <c r="C100" s="86">
        <f>IF(AS51!$B$90="","",AS51!$B$90)</f>
        <v/>
      </c>
      <c r="D100" s="111">
        <f>IFERROR(AS51!$Q$90,1)</f>
        <v/>
      </c>
      <c r="E100" s="112">
        <f>IF($B100="","",IF(ISNUMBER(AS51!$I$90),AS51!$I$90,'Index Summary'!$C$7))</f>
        <v/>
      </c>
      <c r="F100" s="113">
        <f>IF(F$13="","",IF($B100="","",IFERROR($C100*$D100*SUMIFS('Dvd Calendar'!$E$176:$CZ$176,'Dvd Calendar'!$E$175:$CZ$175,"&gt;"&amp;F$12,'Dvd Calendar'!$E$175:$CZ$175,"&lt;="&amp;F$13)/AS51!$B$3,"")))</f>
        <v/>
      </c>
      <c r="G100" s="113">
        <f>IF(G$13="","",IF($B100="","",IFERROR($C100*$D100*SUMIFS('Dvd Calendar'!$E$176:$CZ$176,'Dvd Calendar'!$E$175:$CZ$175,"&gt;"&amp;G$12,'Dvd Calendar'!$E$175:$CZ$175,"&lt;="&amp;G$13)/AS51!$B$3,"")))</f>
        <v/>
      </c>
      <c r="H100" s="113">
        <f>IF(H$13="","",IF($B100="","",IFERROR($C100*$D100*SUMIFS('Dvd Calendar'!$E$176:$CZ$176,'Dvd Calendar'!$E$175:$CZ$175,"&gt;"&amp;H$12,'Dvd Calendar'!$E$175:$CZ$175,"&lt;="&amp;H$13)/AS51!$B$3,"")))</f>
        <v/>
      </c>
      <c r="I100" s="113">
        <f>IF(I$13="","",IF($B100="","",IFERROR($C100*$D100*SUMIFS('Dvd Calendar'!$E$176:$CZ$176,'Dvd Calendar'!$E$175:$CZ$175,"&gt;"&amp;I$12,'Dvd Calendar'!$E$175:$CZ$175,"&lt;="&amp;I$13)/AS51!$B$3,"")))</f>
        <v/>
      </c>
      <c r="J100" s="113">
        <f>IF(J$13="","",IF($B100="","",IFERROR($C100*$D100*SUMIFS('Dvd Calendar'!$E$176:$CZ$176,'Dvd Calendar'!$E$175:$CZ$175,"&gt;"&amp;J$12,'Dvd Calendar'!$E$175:$CZ$175,"&lt;="&amp;J$13)/AS51!$B$3,"")))</f>
        <v/>
      </c>
      <c r="K100" s="113">
        <f>IF(K$13="","",IF($B100="","",IFERROR($C100*$D100*SUMIFS('Dvd Calendar'!$E$176:$CZ$176,'Dvd Calendar'!$E$175:$CZ$175,"&gt;"&amp;K$12,'Dvd Calendar'!$E$175:$CZ$175,"&lt;="&amp;K$13)/AS51!$B$3,"")))</f>
        <v/>
      </c>
      <c r="L100" s="113">
        <f>IF(L$13="","",IF($B100="","",IFERROR($C100*$D100*SUMIFS('Dvd Calendar'!$E$176:$CZ$176,'Dvd Calendar'!$E$175:$CZ$175,"&gt;"&amp;L$12,'Dvd Calendar'!$E$175:$CZ$175,"&lt;="&amp;L$13)/AS51!$B$3,"")))</f>
        <v/>
      </c>
      <c r="M100" s="113">
        <f>IF(M$13="","",IF($B100="","",IFERROR($C100*$D100*SUMIFS('Dvd Calendar'!$E$176:$CZ$176,'Dvd Calendar'!$E$175:$CZ$175,"&gt;"&amp;M$12,'Dvd Calendar'!$E$175:$CZ$175,"&lt;="&amp;M$13)/AS51!$B$3,"")))</f>
        <v/>
      </c>
      <c r="N100" s="113">
        <f>IF(N$13="","",IF($B100="","",IFERROR($C100*$D100*SUMIFS('Dvd Calendar'!$E$176:$CZ$176,'Dvd Calendar'!$E$175:$CZ$175,"&gt;"&amp;N$12,'Dvd Calendar'!$E$175:$CZ$175,"&lt;="&amp;N$13)/AS51!$B$3,"")))</f>
        <v/>
      </c>
      <c r="O100" s="113">
        <f>IF(O$13="","",IF($B100="","",IFERROR($C100*$D100*SUMIFS('Dvd Calendar'!$E$176:$CZ$176,'Dvd Calendar'!$E$175:$CZ$175,"&gt;"&amp;O$12,'Dvd Calendar'!$E$175:$CZ$175,"&lt;="&amp;O$13)/AS51!$B$3,"")))</f>
        <v/>
      </c>
      <c r="P100" s="113">
        <f>IF(P$13="","",IF($B100="","",IFERROR($C100*$D100*SUMIFS('Dvd Calendar'!$E$176:$CZ$176,'Dvd Calendar'!$E$175:$CZ$175,"&gt;"&amp;P$12,'Dvd Calendar'!$E$175:$CZ$175,"&lt;="&amp;P$13)/AS51!$B$3,"")))</f>
        <v/>
      </c>
      <c r="Q100" s="113">
        <f>IF(Q$13="","",IF($B100="","",IFERROR($C100*$D100*SUMIFS('Dvd Calendar'!$E$176:$CZ$176,'Dvd Calendar'!$E$175:$CZ$175,"&gt;"&amp;Q$12,'Dvd Calendar'!$E$175:$CZ$175,"&lt;="&amp;Q$13)/AS51!$B$3,"")))</f>
        <v/>
      </c>
      <c r="R100" s="113">
        <f>IF(R$13="","",IF($B100="","",IFERROR($C100*$D100*SUMIFS('Dvd Calendar'!$E$176:$CZ$176,'Dvd Calendar'!$E$175:$CZ$175,"&gt;"&amp;R$12,'Dvd Calendar'!$E$175:$CZ$175,"&lt;="&amp;R$13)/AS51!$B$3,"")))</f>
        <v/>
      </c>
      <c r="S100" s="113">
        <f>IF(S$13="","",IF($B100="","",IFERROR($C100*$D100*SUMIFS('Dvd Calendar'!$E$176:$CZ$176,'Dvd Calendar'!$E$175:$CZ$175,"&gt;"&amp;S$12,'Dvd Calendar'!$E$175:$CZ$175,"&lt;="&amp;S$13)/AS51!$B$3,"")))</f>
        <v/>
      </c>
      <c r="T100" s="113">
        <f>IF(T$13="","",IF($B100="","",IFERROR($C100*$D100*SUMIFS('Dvd Calendar'!$E$176:$CZ$176,'Dvd Calendar'!$E$175:$CZ$175,"&gt;"&amp;T$12,'Dvd Calendar'!$E$175:$CZ$175,"&lt;="&amp;T$13)/AS51!$B$3,"")))</f>
        <v/>
      </c>
      <c r="U100" s="113">
        <f>IF(U$13="","",IF($B100="","",IFERROR($C100*$D100*SUMIFS('Dvd Calendar'!$E$176:$CZ$176,'Dvd Calendar'!$E$175:$CZ$175,"&gt;"&amp;U$12,'Dvd Calendar'!$E$175:$CZ$175,"&lt;="&amp;U$13)/AS51!$B$3,"")))</f>
        <v/>
      </c>
      <c r="W100" s="113">
        <f>IF(W$13="","",IF($B100="","",IFERROR(F100*$E100/100,"")))</f>
        <v/>
      </c>
      <c r="X100" s="113">
        <f>IF(X$13="","",IF($B100="","",IFERROR(G100*$E100/100,"")))</f>
        <v/>
      </c>
      <c r="Y100" s="113">
        <f>IF(Y$13="","",IF($B100="","",IFERROR(H100*$E100/100,"")))</f>
        <v/>
      </c>
      <c r="Z100" s="113">
        <f>IF(Z$13="","",IF($B100="","",IFERROR(I100*$E100/100,"")))</f>
        <v/>
      </c>
      <c r="AA100" s="113">
        <f>IF(AA$13="","",IF($B100="","",IFERROR(J100*$E100/100,"")))</f>
        <v/>
      </c>
      <c r="AB100" s="113">
        <f>IF(AB$13="","",IF($B100="","",IFERROR(K100*$E100/100,"")))</f>
        <v/>
      </c>
      <c r="AC100" s="113">
        <f>IF(AC$13="","",IF($B100="","",IFERROR(L100*$E100/100,"")))</f>
        <v/>
      </c>
      <c r="AD100" s="113">
        <f>IF(AD$13="","",IF($B100="","",IFERROR(M100*$E100/100,"")))</f>
        <v/>
      </c>
      <c r="AE100" s="113">
        <f>IF(AE$13="","",IF($B100="","",IFERROR(N100*$E100/100,"")))</f>
        <v/>
      </c>
      <c r="AF100" s="113">
        <f>IF(AF$13="","",IF($B100="","",IFERROR(O100*$E100/100,"")))</f>
        <v/>
      </c>
      <c r="AG100" s="113">
        <f>IF(AG$13="","",IF($B100="","",IFERROR(P100*$E100/100,"")))</f>
        <v/>
      </c>
      <c r="AH100" s="113">
        <f>IF(AH$13="","",IF($B100="","",IFERROR(Q100*$E100/100,"")))</f>
        <v/>
      </c>
      <c r="AI100" s="113">
        <f>IF(AI$13="","",IF($B100="","",IFERROR(R100*$E100/100,"")))</f>
        <v/>
      </c>
      <c r="AJ100" s="113">
        <f>IF(AJ$13="","",IF($B100="","",IFERROR(S100*$E100/100,"")))</f>
        <v/>
      </c>
      <c r="AK100" s="113">
        <f>IF(AK$13="","",IF($B100="","",IFERROR(T100*$E100/100,"")))</f>
        <v/>
      </c>
      <c r="AL100" s="113">
        <f>IF(AL$13="","",IF($B100="","",IFERROR(U100*$E100/100,"")))</f>
        <v/>
      </c>
    </row>
    <row r="101">
      <c r="B101" s="5">
        <f>IF(AS51!$C$91="","",AS51!$C$91)</f>
        <v/>
      </c>
      <c r="C101" s="86">
        <f>IF(AS51!$B$91="","",AS51!$B$91)</f>
        <v/>
      </c>
      <c r="D101" s="111">
        <f>IFERROR(AS51!$Q$91,1)</f>
        <v/>
      </c>
      <c r="E101" s="112">
        <f>IF($B101="","",IF(ISNUMBER(AS51!$I$91),AS51!$I$91,'Index Summary'!$C$7))</f>
        <v/>
      </c>
      <c r="F101" s="113">
        <f>IF(F$13="","",IF($B101="","",IFERROR($C101*$D101*SUMIFS('Dvd Calendar'!$E$178:$CZ$178,'Dvd Calendar'!$E$177:$CZ$177,"&gt;"&amp;F$12,'Dvd Calendar'!$E$177:$CZ$177,"&lt;="&amp;F$13)/AS51!$B$3,"")))</f>
        <v/>
      </c>
      <c r="G101" s="113">
        <f>IF(G$13="","",IF($B101="","",IFERROR($C101*$D101*SUMIFS('Dvd Calendar'!$E$178:$CZ$178,'Dvd Calendar'!$E$177:$CZ$177,"&gt;"&amp;G$12,'Dvd Calendar'!$E$177:$CZ$177,"&lt;="&amp;G$13)/AS51!$B$3,"")))</f>
        <v/>
      </c>
      <c r="H101" s="113">
        <f>IF(H$13="","",IF($B101="","",IFERROR($C101*$D101*SUMIFS('Dvd Calendar'!$E$178:$CZ$178,'Dvd Calendar'!$E$177:$CZ$177,"&gt;"&amp;H$12,'Dvd Calendar'!$E$177:$CZ$177,"&lt;="&amp;H$13)/AS51!$B$3,"")))</f>
        <v/>
      </c>
      <c r="I101" s="113">
        <f>IF(I$13="","",IF($B101="","",IFERROR($C101*$D101*SUMIFS('Dvd Calendar'!$E$178:$CZ$178,'Dvd Calendar'!$E$177:$CZ$177,"&gt;"&amp;I$12,'Dvd Calendar'!$E$177:$CZ$177,"&lt;="&amp;I$13)/AS51!$B$3,"")))</f>
        <v/>
      </c>
      <c r="J101" s="113">
        <f>IF(J$13="","",IF($B101="","",IFERROR($C101*$D101*SUMIFS('Dvd Calendar'!$E$178:$CZ$178,'Dvd Calendar'!$E$177:$CZ$177,"&gt;"&amp;J$12,'Dvd Calendar'!$E$177:$CZ$177,"&lt;="&amp;J$13)/AS51!$B$3,"")))</f>
        <v/>
      </c>
      <c r="K101" s="113">
        <f>IF(K$13="","",IF($B101="","",IFERROR($C101*$D101*SUMIFS('Dvd Calendar'!$E$178:$CZ$178,'Dvd Calendar'!$E$177:$CZ$177,"&gt;"&amp;K$12,'Dvd Calendar'!$E$177:$CZ$177,"&lt;="&amp;K$13)/AS51!$B$3,"")))</f>
        <v/>
      </c>
      <c r="L101" s="113">
        <f>IF(L$13="","",IF($B101="","",IFERROR($C101*$D101*SUMIFS('Dvd Calendar'!$E$178:$CZ$178,'Dvd Calendar'!$E$177:$CZ$177,"&gt;"&amp;L$12,'Dvd Calendar'!$E$177:$CZ$177,"&lt;="&amp;L$13)/AS51!$B$3,"")))</f>
        <v/>
      </c>
      <c r="M101" s="113">
        <f>IF(M$13="","",IF($B101="","",IFERROR($C101*$D101*SUMIFS('Dvd Calendar'!$E$178:$CZ$178,'Dvd Calendar'!$E$177:$CZ$177,"&gt;"&amp;M$12,'Dvd Calendar'!$E$177:$CZ$177,"&lt;="&amp;M$13)/AS51!$B$3,"")))</f>
        <v/>
      </c>
      <c r="N101" s="113">
        <f>IF(N$13="","",IF($B101="","",IFERROR($C101*$D101*SUMIFS('Dvd Calendar'!$E$178:$CZ$178,'Dvd Calendar'!$E$177:$CZ$177,"&gt;"&amp;N$12,'Dvd Calendar'!$E$177:$CZ$177,"&lt;="&amp;N$13)/AS51!$B$3,"")))</f>
        <v/>
      </c>
      <c r="O101" s="113">
        <f>IF(O$13="","",IF($B101="","",IFERROR($C101*$D101*SUMIFS('Dvd Calendar'!$E$178:$CZ$178,'Dvd Calendar'!$E$177:$CZ$177,"&gt;"&amp;O$12,'Dvd Calendar'!$E$177:$CZ$177,"&lt;="&amp;O$13)/AS51!$B$3,"")))</f>
        <v/>
      </c>
      <c r="P101" s="113">
        <f>IF(P$13="","",IF($B101="","",IFERROR($C101*$D101*SUMIFS('Dvd Calendar'!$E$178:$CZ$178,'Dvd Calendar'!$E$177:$CZ$177,"&gt;"&amp;P$12,'Dvd Calendar'!$E$177:$CZ$177,"&lt;="&amp;P$13)/AS51!$B$3,"")))</f>
        <v/>
      </c>
      <c r="Q101" s="113">
        <f>IF(Q$13="","",IF($B101="","",IFERROR($C101*$D101*SUMIFS('Dvd Calendar'!$E$178:$CZ$178,'Dvd Calendar'!$E$177:$CZ$177,"&gt;"&amp;Q$12,'Dvd Calendar'!$E$177:$CZ$177,"&lt;="&amp;Q$13)/AS51!$B$3,"")))</f>
        <v/>
      </c>
      <c r="R101" s="113">
        <f>IF(R$13="","",IF($B101="","",IFERROR($C101*$D101*SUMIFS('Dvd Calendar'!$E$178:$CZ$178,'Dvd Calendar'!$E$177:$CZ$177,"&gt;"&amp;R$12,'Dvd Calendar'!$E$177:$CZ$177,"&lt;="&amp;R$13)/AS51!$B$3,"")))</f>
        <v/>
      </c>
      <c r="S101" s="113">
        <f>IF(S$13="","",IF($B101="","",IFERROR($C101*$D101*SUMIFS('Dvd Calendar'!$E$178:$CZ$178,'Dvd Calendar'!$E$177:$CZ$177,"&gt;"&amp;S$12,'Dvd Calendar'!$E$177:$CZ$177,"&lt;="&amp;S$13)/AS51!$B$3,"")))</f>
        <v/>
      </c>
      <c r="T101" s="113">
        <f>IF(T$13="","",IF($B101="","",IFERROR($C101*$D101*SUMIFS('Dvd Calendar'!$E$178:$CZ$178,'Dvd Calendar'!$E$177:$CZ$177,"&gt;"&amp;T$12,'Dvd Calendar'!$E$177:$CZ$177,"&lt;="&amp;T$13)/AS51!$B$3,"")))</f>
        <v/>
      </c>
      <c r="U101" s="113">
        <f>IF(U$13="","",IF($B101="","",IFERROR($C101*$D101*SUMIFS('Dvd Calendar'!$E$178:$CZ$178,'Dvd Calendar'!$E$177:$CZ$177,"&gt;"&amp;U$12,'Dvd Calendar'!$E$177:$CZ$177,"&lt;="&amp;U$13)/AS51!$B$3,"")))</f>
        <v/>
      </c>
      <c r="W101" s="113">
        <f>IF(W$13="","",IF($B101="","",IFERROR(F101*$E101/100,"")))</f>
        <v/>
      </c>
      <c r="X101" s="113">
        <f>IF(X$13="","",IF($B101="","",IFERROR(G101*$E101/100,"")))</f>
        <v/>
      </c>
      <c r="Y101" s="113">
        <f>IF(Y$13="","",IF($B101="","",IFERROR(H101*$E101/100,"")))</f>
        <v/>
      </c>
      <c r="Z101" s="113">
        <f>IF(Z$13="","",IF($B101="","",IFERROR(I101*$E101/100,"")))</f>
        <v/>
      </c>
      <c r="AA101" s="113">
        <f>IF(AA$13="","",IF($B101="","",IFERROR(J101*$E101/100,"")))</f>
        <v/>
      </c>
      <c r="AB101" s="113">
        <f>IF(AB$13="","",IF($B101="","",IFERROR(K101*$E101/100,"")))</f>
        <v/>
      </c>
      <c r="AC101" s="113">
        <f>IF(AC$13="","",IF($B101="","",IFERROR(L101*$E101/100,"")))</f>
        <v/>
      </c>
      <c r="AD101" s="113">
        <f>IF(AD$13="","",IF($B101="","",IFERROR(M101*$E101/100,"")))</f>
        <v/>
      </c>
      <c r="AE101" s="113">
        <f>IF(AE$13="","",IF($B101="","",IFERROR(N101*$E101/100,"")))</f>
        <v/>
      </c>
      <c r="AF101" s="113">
        <f>IF(AF$13="","",IF($B101="","",IFERROR(O101*$E101/100,"")))</f>
        <v/>
      </c>
      <c r="AG101" s="113">
        <f>IF(AG$13="","",IF($B101="","",IFERROR(P101*$E101/100,"")))</f>
        <v/>
      </c>
      <c r="AH101" s="113">
        <f>IF(AH$13="","",IF($B101="","",IFERROR(Q101*$E101/100,"")))</f>
        <v/>
      </c>
      <c r="AI101" s="113">
        <f>IF(AI$13="","",IF($B101="","",IFERROR(R101*$E101/100,"")))</f>
        <v/>
      </c>
      <c r="AJ101" s="113">
        <f>IF(AJ$13="","",IF($B101="","",IFERROR(S101*$E101/100,"")))</f>
        <v/>
      </c>
      <c r="AK101" s="113">
        <f>IF(AK$13="","",IF($B101="","",IFERROR(T101*$E101/100,"")))</f>
        <v/>
      </c>
      <c r="AL101" s="113">
        <f>IF(AL$13="","",IF($B101="","",IFERROR(U101*$E101/100,"")))</f>
        <v/>
      </c>
    </row>
    <row r="102">
      <c r="B102" s="5">
        <f>IF(AS51!$C$92="","",AS51!$C$92)</f>
        <v/>
      </c>
      <c r="C102" s="86">
        <f>IF(AS51!$B$92="","",AS51!$B$92)</f>
        <v/>
      </c>
      <c r="D102" s="111">
        <f>IFERROR(AS51!$Q$92,1)</f>
        <v/>
      </c>
      <c r="E102" s="112">
        <f>IF($B102="","",IF(ISNUMBER(AS51!$I$92),AS51!$I$92,'Index Summary'!$C$7))</f>
        <v/>
      </c>
      <c r="F102" s="113">
        <f>IF(F$13="","",IF($B102="","",IFERROR($C102*$D102*SUMIFS('Dvd Calendar'!$E$180:$CZ$180,'Dvd Calendar'!$E$179:$CZ$179,"&gt;"&amp;F$12,'Dvd Calendar'!$E$179:$CZ$179,"&lt;="&amp;F$13)/AS51!$B$3,"")))</f>
        <v/>
      </c>
      <c r="G102" s="113">
        <f>IF(G$13="","",IF($B102="","",IFERROR($C102*$D102*SUMIFS('Dvd Calendar'!$E$180:$CZ$180,'Dvd Calendar'!$E$179:$CZ$179,"&gt;"&amp;G$12,'Dvd Calendar'!$E$179:$CZ$179,"&lt;="&amp;G$13)/AS51!$B$3,"")))</f>
        <v/>
      </c>
      <c r="H102" s="113">
        <f>IF(H$13="","",IF($B102="","",IFERROR($C102*$D102*SUMIFS('Dvd Calendar'!$E$180:$CZ$180,'Dvd Calendar'!$E$179:$CZ$179,"&gt;"&amp;H$12,'Dvd Calendar'!$E$179:$CZ$179,"&lt;="&amp;H$13)/AS51!$B$3,"")))</f>
        <v/>
      </c>
      <c r="I102" s="113">
        <f>IF(I$13="","",IF($B102="","",IFERROR($C102*$D102*SUMIFS('Dvd Calendar'!$E$180:$CZ$180,'Dvd Calendar'!$E$179:$CZ$179,"&gt;"&amp;I$12,'Dvd Calendar'!$E$179:$CZ$179,"&lt;="&amp;I$13)/AS51!$B$3,"")))</f>
        <v/>
      </c>
      <c r="J102" s="113">
        <f>IF(J$13="","",IF($B102="","",IFERROR($C102*$D102*SUMIFS('Dvd Calendar'!$E$180:$CZ$180,'Dvd Calendar'!$E$179:$CZ$179,"&gt;"&amp;J$12,'Dvd Calendar'!$E$179:$CZ$179,"&lt;="&amp;J$13)/AS51!$B$3,"")))</f>
        <v/>
      </c>
      <c r="K102" s="113">
        <f>IF(K$13="","",IF($B102="","",IFERROR($C102*$D102*SUMIFS('Dvd Calendar'!$E$180:$CZ$180,'Dvd Calendar'!$E$179:$CZ$179,"&gt;"&amp;K$12,'Dvd Calendar'!$E$179:$CZ$179,"&lt;="&amp;K$13)/AS51!$B$3,"")))</f>
        <v/>
      </c>
      <c r="L102" s="113">
        <f>IF(L$13="","",IF($B102="","",IFERROR($C102*$D102*SUMIFS('Dvd Calendar'!$E$180:$CZ$180,'Dvd Calendar'!$E$179:$CZ$179,"&gt;"&amp;L$12,'Dvd Calendar'!$E$179:$CZ$179,"&lt;="&amp;L$13)/AS51!$B$3,"")))</f>
        <v/>
      </c>
      <c r="M102" s="113">
        <f>IF(M$13="","",IF($B102="","",IFERROR($C102*$D102*SUMIFS('Dvd Calendar'!$E$180:$CZ$180,'Dvd Calendar'!$E$179:$CZ$179,"&gt;"&amp;M$12,'Dvd Calendar'!$E$179:$CZ$179,"&lt;="&amp;M$13)/AS51!$B$3,"")))</f>
        <v/>
      </c>
      <c r="N102" s="113">
        <f>IF(N$13="","",IF($B102="","",IFERROR($C102*$D102*SUMIFS('Dvd Calendar'!$E$180:$CZ$180,'Dvd Calendar'!$E$179:$CZ$179,"&gt;"&amp;N$12,'Dvd Calendar'!$E$179:$CZ$179,"&lt;="&amp;N$13)/AS51!$B$3,"")))</f>
        <v/>
      </c>
      <c r="O102" s="113">
        <f>IF(O$13="","",IF($B102="","",IFERROR($C102*$D102*SUMIFS('Dvd Calendar'!$E$180:$CZ$180,'Dvd Calendar'!$E$179:$CZ$179,"&gt;"&amp;O$12,'Dvd Calendar'!$E$179:$CZ$179,"&lt;="&amp;O$13)/AS51!$B$3,"")))</f>
        <v/>
      </c>
      <c r="P102" s="113">
        <f>IF(P$13="","",IF($B102="","",IFERROR($C102*$D102*SUMIFS('Dvd Calendar'!$E$180:$CZ$180,'Dvd Calendar'!$E$179:$CZ$179,"&gt;"&amp;P$12,'Dvd Calendar'!$E$179:$CZ$179,"&lt;="&amp;P$13)/AS51!$B$3,"")))</f>
        <v/>
      </c>
      <c r="Q102" s="113">
        <f>IF(Q$13="","",IF($B102="","",IFERROR($C102*$D102*SUMIFS('Dvd Calendar'!$E$180:$CZ$180,'Dvd Calendar'!$E$179:$CZ$179,"&gt;"&amp;Q$12,'Dvd Calendar'!$E$179:$CZ$179,"&lt;="&amp;Q$13)/AS51!$B$3,"")))</f>
        <v/>
      </c>
      <c r="R102" s="113">
        <f>IF(R$13="","",IF($B102="","",IFERROR($C102*$D102*SUMIFS('Dvd Calendar'!$E$180:$CZ$180,'Dvd Calendar'!$E$179:$CZ$179,"&gt;"&amp;R$12,'Dvd Calendar'!$E$179:$CZ$179,"&lt;="&amp;R$13)/AS51!$B$3,"")))</f>
        <v/>
      </c>
      <c r="S102" s="113">
        <f>IF(S$13="","",IF($B102="","",IFERROR($C102*$D102*SUMIFS('Dvd Calendar'!$E$180:$CZ$180,'Dvd Calendar'!$E$179:$CZ$179,"&gt;"&amp;S$12,'Dvd Calendar'!$E$179:$CZ$179,"&lt;="&amp;S$13)/AS51!$B$3,"")))</f>
        <v/>
      </c>
      <c r="T102" s="113">
        <f>IF(T$13="","",IF($B102="","",IFERROR($C102*$D102*SUMIFS('Dvd Calendar'!$E$180:$CZ$180,'Dvd Calendar'!$E$179:$CZ$179,"&gt;"&amp;T$12,'Dvd Calendar'!$E$179:$CZ$179,"&lt;="&amp;T$13)/AS51!$B$3,"")))</f>
        <v/>
      </c>
      <c r="U102" s="113">
        <f>IF(U$13="","",IF($B102="","",IFERROR($C102*$D102*SUMIFS('Dvd Calendar'!$E$180:$CZ$180,'Dvd Calendar'!$E$179:$CZ$179,"&gt;"&amp;U$12,'Dvd Calendar'!$E$179:$CZ$179,"&lt;="&amp;U$13)/AS51!$B$3,"")))</f>
        <v/>
      </c>
      <c r="W102" s="113">
        <f>IF(W$13="","",IF($B102="","",IFERROR(F102*$E102/100,"")))</f>
        <v/>
      </c>
      <c r="X102" s="113">
        <f>IF(X$13="","",IF($B102="","",IFERROR(G102*$E102/100,"")))</f>
        <v/>
      </c>
      <c r="Y102" s="113">
        <f>IF(Y$13="","",IF($B102="","",IFERROR(H102*$E102/100,"")))</f>
        <v/>
      </c>
      <c r="Z102" s="113">
        <f>IF(Z$13="","",IF($B102="","",IFERROR(I102*$E102/100,"")))</f>
        <v/>
      </c>
      <c r="AA102" s="113">
        <f>IF(AA$13="","",IF($B102="","",IFERROR(J102*$E102/100,"")))</f>
        <v/>
      </c>
      <c r="AB102" s="113">
        <f>IF(AB$13="","",IF($B102="","",IFERROR(K102*$E102/100,"")))</f>
        <v/>
      </c>
      <c r="AC102" s="113">
        <f>IF(AC$13="","",IF($B102="","",IFERROR(L102*$E102/100,"")))</f>
        <v/>
      </c>
      <c r="AD102" s="113">
        <f>IF(AD$13="","",IF($B102="","",IFERROR(M102*$E102/100,"")))</f>
        <v/>
      </c>
      <c r="AE102" s="113">
        <f>IF(AE$13="","",IF($B102="","",IFERROR(N102*$E102/100,"")))</f>
        <v/>
      </c>
      <c r="AF102" s="113">
        <f>IF(AF$13="","",IF($B102="","",IFERROR(O102*$E102/100,"")))</f>
        <v/>
      </c>
      <c r="AG102" s="113">
        <f>IF(AG$13="","",IF($B102="","",IFERROR(P102*$E102/100,"")))</f>
        <v/>
      </c>
      <c r="AH102" s="113">
        <f>IF(AH$13="","",IF($B102="","",IFERROR(Q102*$E102/100,"")))</f>
        <v/>
      </c>
      <c r="AI102" s="113">
        <f>IF(AI$13="","",IF($B102="","",IFERROR(R102*$E102/100,"")))</f>
        <v/>
      </c>
      <c r="AJ102" s="113">
        <f>IF(AJ$13="","",IF($B102="","",IFERROR(S102*$E102/100,"")))</f>
        <v/>
      </c>
      <c r="AK102" s="113">
        <f>IF(AK$13="","",IF($B102="","",IFERROR(T102*$E102/100,"")))</f>
        <v/>
      </c>
      <c r="AL102" s="113">
        <f>IF(AL$13="","",IF($B102="","",IFERROR(U102*$E102/100,"")))</f>
        <v/>
      </c>
    </row>
    <row r="103">
      <c r="B103" s="5">
        <f>IF(AS51!$C$93="","",AS51!$C$93)</f>
        <v/>
      </c>
      <c r="C103" s="86">
        <f>IF(AS51!$B$93="","",AS51!$B$93)</f>
        <v/>
      </c>
      <c r="D103" s="111">
        <f>IFERROR(AS51!$Q$93,1)</f>
        <v/>
      </c>
      <c r="E103" s="112">
        <f>IF($B103="","",IF(ISNUMBER(AS51!$I$93),AS51!$I$93,'Index Summary'!$C$7))</f>
        <v/>
      </c>
      <c r="F103" s="113">
        <f>IF(F$13="","",IF($B103="","",IFERROR($C103*$D103*SUMIFS('Dvd Calendar'!$E$182:$CZ$182,'Dvd Calendar'!$E$181:$CZ$181,"&gt;"&amp;F$12,'Dvd Calendar'!$E$181:$CZ$181,"&lt;="&amp;F$13)/AS51!$B$3,"")))</f>
        <v/>
      </c>
      <c r="G103" s="113">
        <f>IF(G$13="","",IF($B103="","",IFERROR($C103*$D103*SUMIFS('Dvd Calendar'!$E$182:$CZ$182,'Dvd Calendar'!$E$181:$CZ$181,"&gt;"&amp;G$12,'Dvd Calendar'!$E$181:$CZ$181,"&lt;="&amp;G$13)/AS51!$B$3,"")))</f>
        <v/>
      </c>
      <c r="H103" s="113">
        <f>IF(H$13="","",IF($B103="","",IFERROR($C103*$D103*SUMIFS('Dvd Calendar'!$E$182:$CZ$182,'Dvd Calendar'!$E$181:$CZ$181,"&gt;"&amp;H$12,'Dvd Calendar'!$E$181:$CZ$181,"&lt;="&amp;H$13)/AS51!$B$3,"")))</f>
        <v/>
      </c>
      <c r="I103" s="113">
        <f>IF(I$13="","",IF($B103="","",IFERROR($C103*$D103*SUMIFS('Dvd Calendar'!$E$182:$CZ$182,'Dvd Calendar'!$E$181:$CZ$181,"&gt;"&amp;I$12,'Dvd Calendar'!$E$181:$CZ$181,"&lt;="&amp;I$13)/AS51!$B$3,"")))</f>
        <v/>
      </c>
      <c r="J103" s="113">
        <f>IF(J$13="","",IF($B103="","",IFERROR($C103*$D103*SUMIFS('Dvd Calendar'!$E$182:$CZ$182,'Dvd Calendar'!$E$181:$CZ$181,"&gt;"&amp;J$12,'Dvd Calendar'!$E$181:$CZ$181,"&lt;="&amp;J$13)/AS51!$B$3,"")))</f>
        <v/>
      </c>
      <c r="K103" s="113">
        <f>IF(K$13="","",IF($B103="","",IFERROR($C103*$D103*SUMIFS('Dvd Calendar'!$E$182:$CZ$182,'Dvd Calendar'!$E$181:$CZ$181,"&gt;"&amp;K$12,'Dvd Calendar'!$E$181:$CZ$181,"&lt;="&amp;K$13)/AS51!$B$3,"")))</f>
        <v/>
      </c>
      <c r="L103" s="113">
        <f>IF(L$13="","",IF($B103="","",IFERROR($C103*$D103*SUMIFS('Dvd Calendar'!$E$182:$CZ$182,'Dvd Calendar'!$E$181:$CZ$181,"&gt;"&amp;L$12,'Dvd Calendar'!$E$181:$CZ$181,"&lt;="&amp;L$13)/AS51!$B$3,"")))</f>
        <v/>
      </c>
      <c r="M103" s="113">
        <f>IF(M$13="","",IF($B103="","",IFERROR($C103*$D103*SUMIFS('Dvd Calendar'!$E$182:$CZ$182,'Dvd Calendar'!$E$181:$CZ$181,"&gt;"&amp;M$12,'Dvd Calendar'!$E$181:$CZ$181,"&lt;="&amp;M$13)/AS51!$B$3,"")))</f>
        <v/>
      </c>
      <c r="N103" s="113">
        <f>IF(N$13="","",IF($B103="","",IFERROR($C103*$D103*SUMIFS('Dvd Calendar'!$E$182:$CZ$182,'Dvd Calendar'!$E$181:$CZ$181,"&gt;"&amp;N$12,'Dvd Calendar'!$E$181:$CZ$181,"&lt;="&amp;N$13)/AS51!$B$3,"")))</f>
        <v/>
      </c>
      <c r="O103" s="113">
        <f>IF(O$13="","",IF($B103="","",IFERROR($C103*$D103*SUMIFS('Dvd Calendar'!$E$182:$CZ$182,'Dvd Calendar'!$E$181:$CZ$181,"&gt;"&amp;O$12,'Dvd Calendar'!$E$181:$CZ$181,"&lt;="&amp;O$13)/AS51!$B$3,"")))</f>
        <v/>
      </c>
      <c r="P103" s="113">
        <f>IF(P$13="","",IF($B103="","",IFERROR($C103*$D103*SUMIFS('Dvd Calendar'!$E$182:$CZ$182,'Dvd Calendar'!$E$181:$CZ$181,"&gt;"&amp;P$12,'Dvd Calendar'!$E$181:$CZ$181,"&lt;="&amp;P$13)/AS51!$B$3,"")))</f>
        <v/>
      </c>
      <c r="Q103" s="113">
        <f>IF(Q$13="","",IF($B103="","",IFERROR($C103*$D103*SUMIFS('Dvd Calendar'!$E$182:$CZ$182,'Dvd Calendar'!$E$181:$CZ$181,"&gt;"&amp;Q$12,'Dvd Calendar'!$E$181:$CZ$181,"&lt;="&amp;Q$13)/AS51!$B$3,"")))</f>
        <v/>
      </c>
      <c r="R103" s="113">
        <f>IF(R$13="","",IF($B103="","",IFERROR($C103*$D103*SUMIFS('Dvd Calendar'!$E$182:$CZ$182,'Dvd Calendar'!$E$181:$CZ$181,"&gt;"&amp;R$12,'Dvd Calendar'!$E$181:$CZ$181,"&lt;="&amp;R$13)/AS51!$B$3,"")))</f>
        <v/>
      </c>
      <c r="S103" s="113">
        <f>IF(S$13="","",IF($B103="","",IFERROR($C103*$D103*SUMIFS('Dvd Calendar'!$E$182:$CZ$182,'Dvd Calendar'!$E$181:$CZ$181,"&gt;"&amp;S$12,'Dvd Calendar'!$E$181:$CZ$181,"&lt;="&amp;S$13)/AS51!$B$3,"")))</f>
        <v/>
      </c>
      <c r="T103" s="113">
        <f>IF(T$13="","",IF($B103="","",IFERROR($C103*$D103*SUMIFS('Dvd Calendar'!$E$182:$CZ$182,'Dvd Calendar'!$E$181:$CZ$181,"&gt;"&amp;T$12,'Dvd Calendar'!$E$181:$CZ$181,"&lt;="&amp;T$13)/AS51!$B$3,"")))</f>
        <v/>
      </c>
      <c r="U103" s="113">
        <f>IF(U$13="","",IF($B103="","",IFERROR($C103*$D103*SUMIFS('Dvd Calendar'!$E$182:$CZ$182,'Dvd Calendar'!$E$181:$CZ$181,"&gt;"&amp;U$12,'Dvd Calendar'!$E$181:$CZ$181,"&lt;="&amp;U$13)/AS51!$B$3,"")))</f>
        <v/>
      </c>
      <c r="W103" s="113">
        <f>IF(W$13="","",IF($B103="","",IFERROR(F103*$E103/100,"")))</f>
        <v/>
      </c>
      <c r="X103" s="113">
        <f>IF(X$13="","",IF($B103="","",IFERROR(G103*$E103/100,"")))</f>
        <v/>
      </c>
      <c r="Y103" s="113">
        <f>IF(Y$13="","",IF($B103="","",IFERROR(H103*$E103/100,"")))</f>
        <v/>
      </c>
      <c r="Z103" s="113">
        <f>IF(Z$13="","",IF($B103="","",IFERROR(I103*$E103/100,"")))</f>
        <v/>
      </c>
      <c r="AA103" s="113">
        <f>IF(AA$13="","",IF($B103="","",IFERROR(J103*$E103/100,"")))</f>
        <v/>
      </c>
      <c r="AB103" s="113">
        <f>IF(AB$13="","",IF($B103="","",IFERROR(K103*$E103/100,"")))</f>
        <v/>
      </c>
      <c r="AC103" s="113">
        <f>IF(AC$13="","",IF($B103="","",IFERROR(L103*$E103/100,"")))</f>
        <v/>
      </c>
      <c r="AD103" s="113">
        <f>IF(AD$13="","",IF($B103="","",IFERROR(M103*$E103/100,"")))</f>
        <v/>
      </c>
      <c r="AE103" s="113">
        <f>IF(AE$13="","",IF($B103="","",IFERROR(N103*$E103/100,"")))</f>
        <v/>
      </c>
      <c r="AF103" s="113">
        <f>IF(AF$13="","",IF($B103="","",IFERROR(O103*$E103/100,"")))</f>
        <v/>
      </c>
      <c r="AG103" s="113">
        <f>IF(AG$13="","",IF($B103="","",IFERROR(P103*$E103/100,"")))</f>
        <v/>
      </c>
      <c r="AH103" s="113">
        <f>IF(AH$13="","",IF($B103="","",IFERROR(Q103*$E103/100,"")))</f>
        <v/>
      </c>
      <c r="AI103" s="113">
        <f>IF(AI$13="","",IF($B103="","",IFERROR(R103*$E103/100,"")))</f>
        <v/>
      </c>
      <c r="AJ103" s="113">
        <f>IF(AJ$13="","",IF($B103="","",IFERROR(S103*$E103/100,"")))</f>
        <v/>
      </c>
      <c r="AK103" s="113">
        <f>IF(AK$13="","",IF($B103="","",IFERROR(T103*$E103/100,"")))</f>
        <v/>
      </c>
      <c r="AL103" s="113">
        <f>IF(AL$13="","",IF($B103="","",IFERROR(U103*$E103/100,"")))</f>
        <v/>
      </c>
    </row>
    <row r="104">
      <c r="B104" s="5">
        <f>IF(AS51!$C$94="","",AS51!$C$94)</f>
        <v/>
      </c>
      <c r="C104" s="86">
        <f>IF(AS51!$B$94="","",AS51!$B$94)</f>
        <v/>
      </c>
      <c r="D104" s="111">
        <f>IFERROR(AS51!$Q$94,1)</f>
        <v/>
      </c>
      <c r="E104" s="112">
        <f>IF($B104="","",IF(ISNUMBER(AS51!$I$94),AS51!$I$94,'Index Summary'!$C$7))</f>
        <v/>
      </c>
      <c r="F104" s="113">
        <f>IF(F$13="","",IF($B104="","",IFERROR($C104*$D104*SUMIFS('Dvd Calendar'!$E$184:$CZ$184,'Dvd Calendar'!$E$183:$CZ$183,"&gt;"&amp;F$12,'Dvd Calendar'!$E$183:$CZ$183,"&lt;="&amp;F$13)/AS51!$B$3,"")))</f>
        <v/>
      </c>
      <c r="G104" s="113">
        <f>IF(G$13="","",IF($B104="","",IFERROR($C104*$D104*SUMIFS('Dvd Calendar'!$E$184:$CZ$184,'Dvd Calendar'!$E$183:$CZ$183,"&gt;"&amp;G$12,'Dvd Calendar'!$E$183:$CZ$183,"&lt;="&amp;G$13)/AS51!$B$3,"")))</f>
        <v/>
      </c>
      <c r="H104" s="113">
        <f>IF(H$13="","",IF($B104="","",IFERROR($C104*$D104*SUMIFS('Dvd Calendar'!$E$184:$CZ$184,'Dvd Calendar'!$E$183:$CZ$183,"&gt;"&amp;H$12,'Dvd Calendar'!$E$183:$CZ$183,"&lt;="&amp;H$13)/AS51!$B$3,"")))</f>
        <v/>
      </c>
      <c r="I104" s="113">
        <f>IF(I$13="","",IF($B104="","",IFERROR($C104*$D104*SUMIFS('Dvd Calendar'!$E$184:$CZ$184,'Dvd Calendar'!$E$183:$CZ$183,"&gt;"&amp;I$12,'Dvd Calendar'!$E$183:$CZ$183,"&lt;="&amp;I$13)/AS51!$B$3,"")))</f>
        <v/>
      </c>
      <c r="J104" s="113">
        <f>IF(J$13="","",IF($B104="","",IFERROR($C104*$D104*SUMIFS('Dvd Calendar'!$E$184:$CZ$184,'Dvd Calendar'!$E$183:$CZ$183,"&gt;"&amp;J$12,'Dvd Calendar'!$E$183:$CZ$183,"&lt;="&amp;J$13)/AS51!$B$3,"")))</f>
        <v/>
      </c>
      <c r="K104" s="113">
        <f>IF(K$13="","",IF($B104="","",IFERROR($C104*$D104*SUMIFS('Dvd Calendar'!$E$184:$CZ$184,'Dvd Calendar'!$E$183:$CZ$183,"&gt;"&amp;K$12,'Dvd Calendar'!$E$183:$CZ$183,"&lt;="&amp;K$13)/AS51!$B$3,"")))</f>
        <v/>
      </c>
      <c r="L104" s="113">
        <f>IF(L$13="","",IF($B104="","",IFERROR($C104*$D104*SUMIFS('Dvd Calendar'!$E$184:$CZ$184,'Dvd Calendar'!$E$183:$CZ$183,"&gt;"&amp;L$12,'Dvd Calendar'!$E$183:$CZ$183,"&lt;="&amp;L$13)/AS51!$B$3,"")))</f>
        <v/>
      </c>
      <c r="M104" s="113">
        <f>IF(M$13="","",IF($B104="","",IFERROR($C104*$D104*SUMIFS('Dvd Calendar'!$E$184:$CZ$184,'Dvd Calendar'!$E$183:$CZ$183,"&gt;"&amp;M$12,'Dvd Calendar'!$E$183:$CZ$183,"&lt;="&amp;M$13)/AS51!$B$3,"")))</f>
        <v/>
      </c>
      <c r="N104" s="113">
        <f>IF(N$13="","",IF($B104="","",IFERROR($C104*$D104*SUMIFS('Dvd Calendar'!$E$184:$CZ$184,'Dvd Calendar'!$E$183:$CZ$183,"&gt;"&amp;N$12,'Dvd Calendar'!$E$183:$CZ$183,"&lt;="&amp;N$13)/AS51!$B$3,"")))</f>
        <v/>
      </c>
      <c r="O104" s="113">
        <f>IF(O$13="","",IF($B104="","",IFERROR($C104*$D104*SUMIFS('Dvd Calendar'!$E$184:$CZ$184,'Dvd Calendar'!$E$183:$CZ$183,"&gt;"&amp;O$12,'Dvd Calendar'!$E$183:$CZ$183,"&lt;="&amp;O$13)/AS51!$B$3,"")))</f>
        <v/>
      </c>
      <c r="P104" s="113">
        <f>IF(P$13="","",IF($B104="","",IFERROR($C104*$D104*SUMIFS('Dvd Calendar'!$E$184:$CZ$184,'Dvd Calendar'!$E$183:$CZ$183,"&gt;"&amp;P$12,'Dvd Calendar'!$E$183:$CZ$183,"&lt;="&amp;P$13)/AS51!$B$3,"")))</f>
        <v/>
      </c>
      <c r="Q104" s="113">
        <f>IF(Q$13="","",IF($B104="","",IFERROR($C104*$D104*SUMIFS('Dvd Calendar'!$E$184:$CZ$184,'Dvd Calendar'!$E$183:$CZ$183,"&gt;"&amp;Q$12,'Dvd Calendar'!$E$183:$CZ$183,"&lt;="&amp;Q$13)/AS51!$B$3,"")))</f>
        <v/>
      </c>
      <c r="R104" s="113">
        <f>IF(R$13="","",IF($B104="","",IFERROR($C104*$D104*SUMIFS('Dvd Calendar'!$E$184:$CZ$184,'Dvd Calendar'!$E$183:$CZ$183,"&gt;"&amp;R$12,'Dvd Calendar'!$E$183:$CZ$183,"&lt;="&amp;R$13)/AS51!$B$3,"")))</f>
        <v/>
      </c>
      <c r="S104" s="113">
        <f>IF(S$13="","",IF($B104="","",IFERROR($C104*$D104*SUMIFS('Dvd Calendar'!$E$184:$CZ$184,'Dvd Calendar'!$E$183:$CZ$183,"&gt;"&amp;S$12,'Dvd Calendar'!$E$183:$CZ$183,"&lt;="&amp;S$13)/AS51!$B$3,"")))</f>
        <v/>
      </c>
      <c r="T104" s="113">
        <f>IF(T$13="","",IF($B104="","",IFERROR($C104*$D104*SUMIFS('Dvd Calendar'!$E$184:$CZ$184,'Dvd Calendar'!$E$183:$CZ$183,"&gt;"&amp;T$12,'Dvd Calendar'!$E$183:$CZ$183,"&lt;="&amp;T$13)/AS51!$B$3,"")))</f>
        <v/>
      </c>
      <c r="U104" s="113">
        <f>IF(U$13="","",IF($B104="","",IFERROR($C104*$D104*SUMIFS('Dvd Calendar'!$E$184:$CZ$184,'Dvd Calendar'!$E$183:$CZ$183,"&gt;"&amp;U$12,'Dvd Calendar'!$E$183:$CZ$183,"&lt;="&amp;U$13)/AS51!$B$3,"")))</f>
        <v/>
      </c>
      <c r="W104" s="113">
        <f>IF(W$13="","",IF($B104="","",IFERROR(F104*$E104/100,"")))</f>
        <v/>
      </c>
      <c r="X104" s="113">
        <f>IF(X$13="","",IF($B104="","",IFERROR(G104*$E104/100,"")))</f>
        <v/>
      </c>
      <c r="Y104" s="113">
        <f>IF(Y$13="","",IF($B104="","",IFERROR(H104*$E104/100,"")))</f>
        <v/>
      </c>
      <c r="Z104" s="113">
        <f>IF(Z$13="","",IF($B104="","",IFERROR(I104*$E104/100,"")))</f>
        <v/>
      </c>
      <c r="AA104" s="113">
        <f>IF(AA$13="","",IF($B104="","",IFERROR(J104*$E104/100,"")))</f>
        <v/>
      </c>
      <c r="AB104" s="113">
        <f>IF(AB$13="","",IF($B104="","",IFERROR(K104*$E104/100,"")))</f>
        <v/>
      </c>
      <c r="AC104" s="113">
        <f>IF(AC$13="","",IF($B104="","",IFERROR(L104*$E104/100,"")))</f>
        <v/>
      </c>
      <c r="AD104" s="113">
        <f>IF(AD$13="","",IF($B104="","",IFERROR(M104*$E104/100,"")))</f>
        <v/>
      </c>
      <c r="AE104" s="113">
        <f>IF(AE$13="","",IF($B104="","",IFERROR(N104*$E104/100,"")))</f>
        <v/>
      </c>
      <c r="AF104" s="113">
        <f>IF(AF$13="","",IF($B104="","",IFERROR(O104*$E104/100,"")))</f>
        <v/>
      </c>
      <c r="AG104" s="113">
        <f>IF(AG$13="","",IF($B104="","",IFERROR(P104*$E104/100,"")))</f>
        <v/>
      </c>
      <c r="AH104" s="113">
        <f>IF(AH$13="","",IF($B104="","",IFERROR(Q104*$E104/100,"")))</f>
        <v/>
      </c>
      <c r="AI104" s="113">
        <f>IF(AI$13="","",IF($B104="","",IFERROR(R104*$E104/100,"")))</f>
        <v/>
      </c>
      <c r="AJ104" s="113">
        <f>IF(AJ$13="","",IF($B104="","",IFERROR(S104*$E104/100,"")))</f>
        <v/>
      </c>
      <c r="AK104" s="113">
        <f>IF(AK$13="","",IF($B104="","",IFERROR(T104*$E104/100,"")))</f>
        <v/>
      </c>
      <c r="AL104" s="113">
        <f>IF(AL$13="","",IF($B104="","",IFERROR(U104*$E104/100,"")))</f>
        <v/>
      </c>
    </row>
    <row r="105">
      <c r="B105" s="5">
        <f>IF(AS51!$C$95="","",AS51!$C$95)</f>
        <v/>
      </c>
      <c r="C105" s="86">
        <f>IF(AS51!$B$95="","",AS51!$B$95)</f>
        <v/>
      </c>
      <c r="D105" s="111">
        <f>IFERROR(AS51!$Q$95,1)</f>
        <v/>
      </c>
      <c r="E105" s="112">
        <f>IF($B105="","",IF(ISNUMBER(AS51!$I$95),AS51!$I$95,'Index Summary'!$C$7))</f>
        <v/>
      </c>
      <c r="F105" s="113">
        <f>IF(F$13="","",IF($B105="","",IFERROR($C105*$D105*SUMIFS('Dvd Calendar'!$E$186:$CZ$186,'Dvd Calendar'!$E$185:$CZ$185,"&gt;"&amp;F$12,'Dvd Calendar'!$E$185:$CZ$185,"&lt;="&amp;F$13)/AS51!$B$3,"")))</f>
        <v/>
      </c>
      <c r="G105" s="113">
        <f>IF(G$13="","",IF($B105="","",IFERROR($C105*$D105*SUMIFS('Dvd Calendar'!$E$186:$CZ$186,'Dvd Calendar'!$E$185:$CZ$185,"&gt;"&amp;G$12,'Dvd Calendar'!$E$185:$CZ$185,"&lt;="&amp;G$13)/AS51!$B$3,"")))</f>
        <v/>
      </c>
      <c r="H105" s="113">
        <f>IF(H$13="","",IF($B105="","",IFERROR($C105*$D105*SUMIFS('Dvd Calendar'!$E$186:$CZ$186,'Dvd Calendar'!$E$185:$CZ$185,"&gt;"&amp;H$12,'Dvd Calendar'!$E$185:$CZ$185,"&lt;="&amp;H$13)/AS51!$B$3,"")))</f>
        <v/>
      </c>
      <c r="I105" s="113">
        <f>IF(I$13="","",IF($B105="","",IFERROR($C105*$D105*SUMIFS('Dvd Calendar'!$E$186:$CZ$186,'Dvd Calendar'!$E$185:$CZ$185,"&gt;"&amp;I$12,'Dvd Calendar'!$E$185:$CZ$185,"&lt;="&amp;I$13)/AS51!$B$3,"")))</f>
        <v/>
      </c>
      <c r="J105" s="113">
        <f>IF(J$13="","",IF($B105="","",IFERROR($C105*$D105*SUMIFS('Dvd Calendar'!$E$186:$CZ$186,'Dvd Calendar'!$E$185:$CZ$185,"&gt;"&amp;J$12,'Dvd Calendar'!$E$185:$CZ$185,"&lt;="&amp;J$13)/AS51!$B$3,"")))</f>
        <v/>
      </c>
      <c r="K105" s="113">
        <f>IF(K$13="","",IF($B105="","",IFERROR($C105*$D105*SUMIFS('Dvd Calendar'!$E$186:$CZ$186,'Dvd Calendar'!$E$185:$CZ$185,"&gt;"&amp;K$12,'Dvd Calendar'!$E$185:$CZ$185,"&lt;="&amp;K$13)/AS51!$B$3,"")))</f>
        <v/>
      </c>
      <c r="L105" s="113">
        <f>IF(L$13="","",IF($B105="","",IFERROR($C105*$D105*SUMIFS('Dvd Calendar'!$E$186:$CZ$186,'Dvd Calendar'!$E$185:$CZ$185,"&gt;"&amp;L$12,'Dvd Calendar'!$E$185:$CZ$185,"&lt;="&amp;L$13)/AS51!$B$3,"")))</f>
        <v/>
      </c>
      <c r="M105" s="113">
        <f>IF(M$13="","",IF($B105="","",IFERROR($C105*$D105*SUMIFS('Dvd Calendar'!$E$186:$CZ$186,'Dvd Calendar'!$E$185:$CZ$185,"&gt;"&amp;M$12,'Dvd Calendar'!$E$185:$CZ$185,"&lt;="&amp;M$13)/AS51!$B$3,"")))</f>
        <v/>
      </c>
      <c r="N105" s="113">
        <f>IF(N$13="","",IF($B105="","",IFERROR($C105*$D105*SUMIFS('Dvd Calendar'!$E$186:$CZ$186,'Dvd Calendar'!$E$185:$CZ$185,"&gt;"&amp;N$12,'Dvd Calendar'!$E$185:$CZ$185,"&lt;="&amp;N$13)/AS51!$B$3,"")))</f>
        <v/>
      </c>
      <c r="O105" s="113">
        <f>IF(O$13="","",IF($B105="","",IFERROR($C105*$D105*SUMIFS('Dvd Calendar'!$E$186:$CZ$186,'Dvd Calendar'!$E$185:$CZ$185,"&gt;"&amp;O$12,'Dvd Calendar'!$E$185:$CZ$185,"&lt;="&amp;O$13)/AS51!$B$3,"")))</f>
        <v/>
      </c>
      <c r="P105" s="113">
        <f>IF(P$13="","",IF($B105="","",IFERROR($C105*$D105*SUMIFS('Dvd Calendar'!$E$186:$CZ$186,'Dvd Calendar'!$E$185:$CZ$185,"&gt;"&amp;P$12,'Dvd Calendar'!$E$185:$CZ$185,"&lt;="&amp;P$13)/AS51!$B$3,"")))</f>
        <v/>
      </c>
      <c r="Q105" s="113">
        <f>IF(Q$13="","",IF($B105="","",IFERROR($C105*$D105*SUMIFS('Dvd Calendar'!$E$186:$CZ$186,'Dvd Calendar'!$E$185:$CZ$185,"&gt;"&amp;Q$12,'Dvd Calendar'!$E$185:$CZ$185,"&lt;="&amp;Q$13)/AS51!$B$3,"")))</f>
        <v/>
      </c>
      <c r="R105" s="113">
        <f>IF(R$13="","",IF($B105="","",IFERROR($C105*$D105*SUMIFS('Dvd Calendar'!$E$186:$CZ$186,'Dvd Calendar'!$E$185:$CZ$185,"&gt;"&amp;R$12,'Dvd Calendar'!$E$185:$CZ$185,"&lt;="&amp;R$13)/AS51!$B$3,"")))</f>
        <v/>
      </c>
      <c r="S105" s="113">
        <f>IF(S$13="","",IF($B105="","",IFERROR($C105*$D105*SUMIFS('Dvd Calendar'!$E$186:$CZ$186,'Dvd Calendar'!$E$185:$CZ$185,"&gt;"&amp;S$12,'Dvd Calendar'!$E$185:$CZ$185,"&lt;="&amp;S$13)/AS51!$B$3,"")))</f>
        <v/>
      </c>
      <c r="T105" s="113">
        <f>IF(T$13="","",IF($B105="","",IFERROR($C105*$D105*SUMIFS('Dvd Calendar'!$E$186:$CZ$186,'Dvd Calendar'!$E$185:$CZ$185,"&gt;"&amp;T$12,'Dvd Calendar'!$E$185:$CZ$185,"&lt;="&amp;T$13)/AS51!$B$3,"")))</f>
        <v/>
      </c>
      <c r="U105" s="113">
        <f>IF(U$13="","",IF($B105="","",IFERROR($C105*$D105*SUMIFS('Dvd Calendar'!$E$186:$CZ$186,'Dvd Calendar'!$E$185:$CZ$185,"&gt;"&amp;U$12,'Dvd Calendar'!$E$185:$CZ$185,"&lt;="&amp;U$13)/AS51!$B$3,"")))</f>
        <v/>
      </c>
      <c r="W105" s="113">
        <f>IF(W$13="","",IF($B105="","",IFERROR(F105*$E105/100,"")))</f>
        <v/>
      </c>
      <c r="X105" s="113">
        <f>IF(X$13="","",IF($B105="","",IFERROR(G105*$E105/100,"")))</f>
        <v/>
      </c>
      <c r="Y105" s="113">
        <f>IF(Y$13="","",IF($B105="","",IFERROR(H105*$E105/100,"")))</f>
        <v/>
      </c>
      <c r="Z105" s="113">
        <f>IF(Z$13="","",IF($B105="","",IFERROR(I105*$E105/100,"")))</f>
        <v/>
      </c>
      <c r="AA105" s="113">
        <f>IF(AA$13="","",IF($B105="","",IFERROR(J105*$E105/100,"")))</f>
        <v/>
      </c>
      <c r="AB105" s="113">
        <f>IF(AB$13="","",IF($B105="","",IFERROR(K105*$E105/100,"")))</f>
        <v/>
      </c>
      <c r="AC105" s="113">
        <f>IF(AC$13="","",IF($B105="","",IFERROR(L105*$E105/100,"")))</f>
        <v/>
      </c>
      <c r="AD105" s="113">
        <f>IF(AD$13="","",IF($B105="","",IFERROR(M105*$E105/100,"")))</f>
        <v/>
      </c>
      <c r="AE105" s="113">
        <f>IF(AE$13="","",IF($B105="","",IFERROR(N105*$E105/100,"")))</f>
        <v/>
      </c>
      <c r="AF105" s="113">
        <f>IF(AF$13="","",IF($B105="","",IFERROR(O105*$E105/100,"")))</f>
        <v/>
      </c>
      <c r="AG105" s="113">
        <f>IF(AG$13="","",IF($B105="","",IFERROR(P105*$E105/100,"")))</f>
        <v/>
      </c>
      <c r="AH105" s="113">
        <f>IF(AH$13="","",IF($B105="","",IFERROR(Q105*$E105/100,"")))</f>
        <v/>
      </c>
      <c r="AI105" s="113">
        <f>IF(AI$13="","",IF($B105="","",IFERROR(R105*$E105/100,"")))</f>
        <v/>
      </c>
      <c r="AJ105" s="113">
        <f>IF(AJ$13="","",IF($B105="","",IFERROR(S105*$E105/100,"")))</f>
        <v/>
      </c>
      <c r="AK105" s="113">
        <f>IF(AK$13="","",IF($B105="","",IFERROR(T105*$E105/100,"")))</f>
        <v/>
      </c>
      <c r="AL105" s="113">
        <f>IF(AL$13="","",IF($B105="","",IFERROR(U105*$E105/100,"")))</f>
        <v/>
      </c>
    </row>
    <row r="106">
      <c r="B106" s="5">
        <f>IF(AS51!$C$96="","",AS51!$C$96)</f>
        <v/>
      </c>
      <c r="C106" s="86">
        <f>IF(AS51!$B$96="","",AS51!$B$96)</f>
        <v/>
      </c>
      <c r="D106" s="111">
        <f>IFERROR(AS51!$Q$96,1)</f>
        <v/>
      </c>
      <c r="E106" s="112">
        <f>IF($B106="","",IF(ISNUMBER(AS51!$I$96),AS51!$I$96,'Index Summary'!$C$7))</f>
        <v/>
      </c>
      <c r="F106" s="113">
        <f>IF(F$13="","",IF($B106="","",IFERROR($C106*$D106*SUMIFS('Dvd Calendar'!$E$188:$CZ$188,'Dvd Calendar'!$E$187:$CZ$187,"&gt;"&amp;F$12,'Dvd Calendar'!$E$187:$CZ$187,"&lt;="&amp;F$13)/AS51!$B$3,"")))</f>
        <v/>
      </c>
      <c r="G106" s="113">
        <f>IF(G$13="","",IF($B106="","",IFERROR($C106*$D106*SUMIFS('Dvd Calendar'!$E$188:$CZ$188,'Dvd Calendar'!$E$187:$CZ$187,"&gt;"&amp;G$12,'Dvd Calendar'!$E$187:$CZ$187,"&lt;="&amp;G$13)/AS51!$B$3,"")))</f>
        <v/>
      </c>
      <c r="H106" s="113">
        <f>IF(H$13="","",IF($B106="","",IFERROR($C106*$D106*SUMIFS('Dvd Calendar'!$E$188:$CZ$188,'Dvd Calendar'!$E$187:$CZ$187,"&gt;"&amp;H$12,'Dvd Calendar'!$E$187:$CZ$187,"&lt;="&amp;H$13)/AS51!$B$3,"")))</f>
        <v/>
      </c>
      <c r="I106" s="113">
        <f>IF(I$13="","",IF($B106="","",IFERROR($C106*$D106*SUMIFS('Dvd Calendar'!$E$188:$CZ$188,'Dvd Calendar'!$E$187:$CZ$187,"&gt;"&amp;I$12,'Dvd Calendar'!$E$187:$CZ$187,"&lt;="&amp;I$13)/AS51!$B$3,"")))</f>
        <v/>
      </c>
      <c r="J106" s="113">
        <f>IF(J$13="","",IF($B106="","",IFERROR($C106*$D106*SUMIFS('Dvd Calendar'!$E$188:$CZ$188,'Dvd Calendar'!$E$187:$CZ$187,"&gt;"&amp;J$12,'Dvd Calendar'!$E$187:$CZ$187,"&lt;="&amp;J$13)/AS51!$B$3,"")))</f>
        <v/>
      </c>
      <c r="K106" s="113">
        <f>IF(K$13="","",IF($B106="","",IFERROR($C106*$D106*SUMIFS('Dvd Calendar'!$E$188:$CZ$188,'Dvd Calendar'!$E$187:$CZ$187,"&gt;"&amp;K$12,'Dvd Calendar'!$E$187:$CZ$187,"&lt;="&amp;K$13)/AS51!$B$3,"")))</f>
        <v/>
      </c>
      <c r="L106" s="113">
        <f>IF(L$13="","",IF($B106="","",IFERROR($C106*$D106*SUMIFS('Dvd Calendar'!$E$188:$CZ$188,'Dvd Calendar'!$E$187:$CZ$187,"&gt;"&amp;L$12,'Dvd Calendar'!$E$187:$CZ$187,"&lt;="&amp;L$13)/AS51!$B$3,"")))</f>
        <v/>
      </c>
      <c r="M106" s="113">
        <f>IF(M$13="","",IF($B106="","",IFERROR($C106*$D106*SUMIFS('Dvd Calendar'!$E$188:$CZ$188,'Dvd Calendar'!$E$187:$CZ$187,"&gt;"&amp;M$12,'Dvd Calendar'!$E$187:$CZ$187,"&lt;="&amp;M$13)/AS51!$B$3,"")))</f>
        <v/>
      </c>
      <c r="N106" s="113">
        <f>IF(N$13="","",IF($B106="","",IFERROR($C106*$D106*SUMIFS('Dvd Calendar'!$E$188:$CZ$188,'Dvd Calendar'!$E$187:$CZ$187,"&gt;"&amp;N$12,'Dvd Calendar'!$E$187:$CZ$187,"&lt;="&amp;N$13)/AS51!$B$3,"")))</f>
        <v/>
      </c>
      <c r="O106" s="113">
        <f>IF(O$13="","",IF($B106="","",IFERROR($C106*$D106*SUMIFS('Dvd Calendar'!$E$188:$CZ$188,'Dvd Calendar'!$E$187:$CZ$187,"&gt;"&amp;O$12,'Dvd Calendar'!$E$187:$CZ$187,"&lt;="&amp;O$13)/AS51!$B$3,"")))</f>
        <v/>
      </c>
      <c r="P106" s="113">
        <f>IF(P$13="","",IF($B106="","",IFERROR($C106*$D106*SUMIFS('Dvd Calendar'!$E$188:$CZ$188,'Dvd Calendar'!$E$187:$CZ$187,"&gt;"&amp;P$12,'Dvd Calendar'!$E$187:$CZ$187,"&lt;="&amp;P$13)/AS51!$B$3,"")))</f>
        <v/>
      </c>
      <c r="Q106" s="113">
        <f>IF(Q$13="","",IF($B106="","",IFERROR($C106*$D106*SUMIFS('Dvd Calendar'!$E$188:$CZ$188,'Dvd Calendar'!$E$187:$CZ$187,"&gt;"&amp;Q$12,'Dvd Calendar'!$E$187:$CZ$187,"&lt;="&amp;Q$13)/AS51!$B$3,"")))</f>
        <v/>
      </c>
      <c r="R106" s="113">
        <f>IF(R$13="","",IF($B106="","",IFERROR($C106*$D106*SUMIFS('Dvd Calendar'!$E$188:$CZ$188,'Dvd Calendar'!$E$187:$CZ$187,"&gt;"&amp;R$12,'Dvd Calendar'!$E$187:$CZ$187,"&lt;="&amp;R$13)/AS51!$B$3,"")))</f>
        <v/>
      </c>
      <c r="S106" s="113">
        <f>IF(S$13="","",IF($B106="","",IFERROR($C106*$D106*SUMIFS('Dvd Calendar'!$E$188:$CZ$188,'Dvd Calendar'!$E$187:$CZ$187,"&gt;"&amp;S$12,'Dvd Calendar'!$E$187:$CZ$187,"&lt;="&amp;S$13)/AS51!$B$3,"")))</f>
        <v/>
      </c>
      <c r="T106" s="113">
        <f>IF(T$13="","",IF($B106="","",IFERROR($C106*$D106*SUMIFS('Dvd Calendar'!$E$188:$CZ$188,'Dvd Calendar'!$E$187:$CZ$187,"&gt;"&amp;T$12,'Dvd Calendar'!$E$187:$CZ$187,"&lt;="&amp;T$13)/AS51!$B$3,"")))</f>
        <v/>
      </c>
      <c r="U106" s="113">
        <f>IF(U$13="","",IF($B106="","",IFERROR($C106*$D106*SUMIFS('Dvd Calendar'!$E$188:$CZ$188,'Dvd Calendar'!$E$187:$CZ$187,"&gt;"&amp;U$12,'Dvd Calendar'!$E$187:$CZ$187,"&lt;="&amp;U$13)/AS51!$B$3,"")))</f>
        <v/>
      </c>
      <c r="W106" s="113">
        <f>IF(W$13="","",IF($B106="","",IFERROR(F106*$E106/100,"")))</f>
        <v/>
      </c>
      <c r="X106" s="113">
        <f>IF(X$13="","",IF($B106="","",IFERROR(G106*$E106/100,"")))</f>
        <v/>
      </c>
      <c r="Y106" s="113">
        <f>IF(Y$13="","",IF($B106="","",IFERROR(H106*$E106/100,"")))</f>
        <v/>
      </c>
      <c r="Z106" s="113">
        <f>IF(Z$13="","",IF($B106="","",IFERROR(I106*$E106/100,"")))</f>
        <v/>
      </c>
      <c r="AA106" s="113">
        <f>IF(AA$13="","",IF($B106="","",IFERROR(J106*$E106/100,"")))</f>
        <v/>
      </c>
      <c r="AB106" s="113">
        <f>IF(AB$13="","",IF($B106="","",IFERROR(K106*$E106/100,"")))</f>
        <v/>
      </c>
      <c r="AC106" s="113">
        <f>IF(AC$13="","",IF($B106="","",IFERROR(L106*$E106/100,"")))</f>
        <v/>
      </c>
      <c r="AD106" s="113">
        <f>IF(AD$13="","",IF($B106="","",IFERROR(M106*$E106/100,"")))</f>
        <v/>
      </c>
      <c r="AE106" s="113">
        <f>IF(AE$13="","",IF($B106="","",IFERROR(N106*$E106/100,"")))</f>
        <v/>
      </c>
      <c r="AF106" s="113">
        <f>IF(AF$13="","",IF($B106="","",IFERROR(O106*$E106/100,"")))</f>
        <v/>
      </c>
      <c r="AG106" s="113">
        <f>IF(AG$13="","",IF($B106="","",IFERROR(P106*$E106/100,"")))</f>
        <v/>
      </c>
      <c r="AH106" s="113">
        <f>IF(AH$13="","",IF($B106="","",IFERROR(Q106*$E106/100,"")))</f>
        <v/>
      </c>
      <c r="AI106" s="113">
        <f>IF(AI$13="","",IF($B106="","",IFERROR(R106*$E106/100,"")))</f>
        <v/>
      </c>
      <c r="AJ106" s="113">
        <f>IF(AJ$13="","",IF($B106="","",IFERROR(S106*$E106/100,"")))</f>
        <v/>
      </c>
      <c r="AK106" s="113">
        <f>IF(AK$13="","",IF($B106="","",IFERROR(T106*$E106/100,"")))</f>
        <v/>
      </c>
      <c r="AL106" s="113">
        <f>IF(AL$13="","",IF($B106="","",IFERROR(U106*$E106/100,"")))</f>
        <v/>
      </c>
    </row>
    <row r="107">
      <c r="B107" s="5">
        <f>IF(AS51!$C$97="","",AS51!$C$97)</f>
        <v/>
      </c>
      <c r="C107" s="86">
        <f>IF(AS51!$B$97="","",AS51!$B$97)</f>
        <v/>
      </c>
      <c r="D107" s="111">
        <f>IFERROR(AS51!$Q$97,1)</f>
        <v/>
      </c>
      <c r="E107" s="112">
        <f>IF($B107="","",IF(ISNUMBER(AS51!$I$97),AS51!$I$97,'Index Summary'!$C$7))</f>
        <v/>
      </c>
      <c r="F107" s="113">
        <f>IF(F$13="","",IF($B107="","",IFERROR($C107*$D107*SUMIFS('Dvd Calendar'!$E$190:$CZ$190,'Dvd Calendar'!$E$189:$CZ$189,"&gt;"&amp;F$12,'Dvd Calendar'!$E$189:$CZ$189,"&lt;="&amp;F$13)/AS51!$B$3,"")))</f>
        <v/>
      </c>
      <c r="G107" s="113">
        <f>IF(G$13="","",IF($B107="","",IFERROR($C107*$D107*SUMIFS('Dvd Calendar'!$E$190:$CZ$190,'Dvd Calendar'!$E$189:$CZ$189,"&gt;"&amp;G$12,'Dvd Calendar'!$E$189:$CZ$189,"&lt;="&amp;G$13)/AS51!$B$3,"")))</f>
        <v/>
      </c>
      <c r="H107" s="113">
        <f>IF(H$13="","",IF($B107="","",IFERROR($C107*$D107*SUMIFS('Dvd Calendar'!$E$190:$CZ$190,'Dvd Calendar'!$E$189:$CZ$189,"&gt;"&amp;H$12,'Dvd Calendar'!$E$189:$CZ$189,"&lt;="&amp;H$13)/AS51!$B$3,"")))</f>
        <v/>
      </c>
      <c r="I107" s="113">
        <f>IF(I$13="","",IF($B107="","",IFERROR($C107*$D107*SUMIFS('Dvd Calendar'!$E$190:$CZ$190,'Dvd Calendar'!$E$189:$CZ$189,"&gt;"&amp;I$12,'Dvd Calendar'!$E$189:$CZ$189,"&lt;="&amp;I$13)/AS51!$B$3,"")))</f>
        <v/>
      </c>
      <c r="J107" s="113">
        <f>IF(J$13="","",IF($B107="","",IFERROR($C107*$D107*SUMIFS('Dvd Calendar'!$E$190:$CZ$190,'Dvd Calendar'!$E$189:$CZ$189,"&gt;"&amp;J$12,'Dvd Calendar'!$E$189:$CZ$189,"&lt;="&amp;J$13)/AS51!$B$3,"")))</f>
        <v/>
      </c>
      <c r="K107" s="113">
        <f>IF(K$13="","",IF($B107="","",IFERROR($C107*$D107*SUMIFS('Dvd Calendar'!$E$190:$CZ$190,'Dvd Calendar'!$E$189:$CZ$189,"&gt;"&amp;K$12,'Dvd Calendar'!$E$189:$CZ$189,"&lt;="&amp;K$13)/AS51!$B$3,"")))</f>
        <v/>
      </c>
      <c r="L107" s="113">
        <f>IF(L$13="","",IF($B107="","",IFERROR($C107*$D107*SUMIFS('Dvd Calendar'!$E$190:$CZ$190,'Dvd Calendar'!$E$189:$CZ$189,"&gt;"&amp;L$12,'Dvd Calendar'!$E$189:$CZ$189,"&lt;="&amp;L$13)/AS51!$B$3,"")))</f>
        <v/>
      </c>
      <c r="M107" s="113">
        <f>IF(M$13="","",IF($B107="","",IFERROR($C107*$D107*SUMIFS('Dvd Calendar'!$E$190:$CZ$190,'Dvd Calendar'!$E$189:$CZ$189,"&gt;"&amp;M$12,'Dvd Calendar'!$E$189:$CZ$189,"&lt;="&amp;M$13)/AS51!$B$3,"")))</f>
        <v/>
      </c>
      <c r="N107" s="113">
        <f>IF(N$13="","",IF($B107="","",IFERROR($C107*$D107*SUMIFS('Dvd Calendar'!$E$190:$CZ$190,'Dvd Calendar'!$E$189:$CZ$189,"&gt;"&amp;N$12,'Dvd Calendar'!$E$189:$CZ$189,"&lt;="&amp;N$13)/AS51!$B$3,"")))</f>
        <v/>
      </c>
      <c r="O107" s="113">
        <f>IF(O$13="","",IF($B107="","",IFERROR($C107*$D107*SUMIFS('Dvd Calendar'!$E$190:$CZ$190,'Dvd Calendar'!$E$189:$CZ$189,"&gt;"&amp;O$12,'Dvd Calendar'!$E$189:$CZ$189,"&lt;="&amp;O$13)/AS51!$B$3,"")))</f>
        <v/>
      </c>
      <c r="P107" s="113">
        <f>IF(P$13="","",IF($B107="","",IFERROR($C107*$D107*SUMIFS('Dvd Calendar'!$E$190:$CZ$190,'Dvd Calendar'!$E$189:$CZ$189,"&gt;"&amp;P$12,'Dvd Calendar'!$E$189:$CZ$189,"&lt;="&amp;P$13)/AS51!$B$3,"")))</f>
        <v/>
      </c>
      <c r="Q107" s="113">
        <f>IF(Q$13="","",IF($B107="","",IFERROR($C107*$D107*SUMIFS('Dvd Calendar'!$E$190:$CZ$190,'Dvd Calendar'!$E$189:$CZ$189,"&gt;"&amp;Q$12,'Dvd Calendar'!$E$189:$CZ$189,"&lt;="&amp;Q$13)/AS51!$B$3,"")))</f>
        <v/>
      </c>
      <c r="R107" s="113">
        <f>IF(R$13="","",IF($B107="","",IFERROR($C107*$D107*SUMIFS('Dvd Calendar'!$E$190:$CZ$190,'Dvd Calendar'!$E$189:$CZ$189,"&gt;"&amp;R$12,'Dvd Calendar'!$E$189:$CZ$189,"&lt;="&amp;R$13)/AS51!$B$3,"")))</f>
        <v/>
      </c>
      <c r="S107" s="113">
        <f>IF(S$13="","",IF($B107="","",IFERROR($C107*$D107*SUMIFS('Dvd Calendar'!$E$190:$CZ$190,'Dvd Calendar'!$E$189:$CZ$189,"&gt;"&amp;S$12,'Dvd Calendar'!$E$189:$CZ$189,"&lt;="&amp;S$13)/AS51!$B$3,"")))</f>
        <v/>
      </c>
      <c r="T107" s="113">
        <f>IF(T$13="","",IF($B107="","",IFERROR($C107*$D107*SUMIFS('Dvd Calendar'!$E$190:$CZ$190,'Dvd Calendar'!$E$189:$CZ$189,"&gt;"&amp;T$12,'Dvd Calendar'!$E$189:$CZ$189,"&lt;="&amp;T$13)/AS51!$B$3,"")))</f>
        <v/>
      </c>
      <c r="U107" s="113">
        <f>IF(U$13="","",IF($B107="","",IFERROR($C107*$D107*SUMIFS('Dvd Calendar'!$E$190:$CZ$190,'Dvd Calendar'!$E$189:$CZ$189,"&gt;"&amp;U$12,'Dvd Calendar'!$E$189:$CZ$189,"&lt;="&amp;U$13)/AS51!$B$3,"")))</f>
        <v/>
      </c>
      <c r="W107" s="113">
        <f>IF(W$13="","",IF($B107="","",IFERROR(F107*$E107/100,"")))</f>
        <v/>
      </c>
      <c r="X107" s="113">
        <f>IF(X$13="","",IF($B107="","",IFERROR(G107*$E107/100,"")))</f>
        <v/>
      </c>
      <c r="Y107" s="113">
        <f>IF(Y$13="","",IF($B107="","",IFERROR(H107*$E107/100,"")))</f>
        <v/>
      </c>
      <c r="Z107" s="113">
        <f>IF(Z$13="","",IF($B107="","",IFERROR(I107*$E107/100,"")))</f>
        <v/>
      </c>
      <c r="AA107" s="113">
        <f>IF(AA$13="","",IF($B107="","",IFERROR(J107*$E107/100,"")))</f>
        <v/>
      </c>
      <c r="AB107" s="113">
        <f>IF(AB$13="","",IF($B107="","",IFERROR(K107*$E107/100,"")))</f>
        <v/>
      </c>
      <c r="AC107" s="113">
        <f>IF(AC$13="","",IF($B107="","",IFERROR(L107*$E107/100,"")))</f>
        <v/>
      </c>
      <c r="AD107" s="113">
        <f>IF(AD$13="","",IF($B107="","",IFERROR(M107*$E107/100,"")))</f>
        <v/>
      </c>
      <c r="AE107" s="113">
        <f>IF(AE$13="","",IF($B107="","",IFERROR(N107*$E107/100,"")))</f>
        <v/>
      </c>
      <c r="AF107" s="113">
        <f>IF(AF$13="","",IF($B107="","",IFERROR(O107*$E107/100,"")))</f>
        <v/>
      </c>
      <c r="AG107" s="113">
        <f>IF(AG$13="","",IF($B107="","",IFERROR(P107*$E107/100,"")))</f>
        <v/>
      </c>
      <c r="AH107" s="113">
        <f>IF(AH$13="","",IF($B107="","",IFERROR(Q107*$E107/100,"")))</f>
        <v/>
      </c>
      <c r="AI107" s="113">
        <f>IF(AI$13="","",IF($B107="","",IFERROR(R107*$E107/100,"")))</f>
        <v/>
      </c>
      <c r="AJ107" s="113">
        <f>IF(AJ$13="","",IF($B107="","",IFERROR(S107*$E107/100,"")))</f>
        <v/>
      </c>
      <c r="AK107" s="113">
        <f>IF(AK$13="","",IF($B107="","",IFERROR(T107*$E107/100,"")))</f>
        <v/>
      </c>
      <c r="AL107" s="113">
        <f>IF(AL$13="","",IF($B107="","",IFERROR(U107*$E107/100,"")))</f>
        <v/>
      </c>
    </row>
    <row r="108">
      <c r="B108" s="5">
        <f>IF(AS51!$C$98="","",AS51!$C$98)</f>
        <v/>
      </c>
      <c r="C108" s="86">
        <f>IF(AS51!$B$98="","",AS51!$B$98)</f>
        <v/>
      </c>
      <c r="D108" s="111">
        <f>IFERROR(AS51!$Q$98,1)</f>
        <v/>
      </c>
      <c r="E108" s="112">
        <f>IF($B108="","",IF(ISNUMBER(AS51!$I$98),AS51!$I$98,'Index Summary'!$C$7))</f>
        <v/>
      </c>
      <c r="F108" s="113">
        <f>IF(F$13="","",IF($B108="","",IFERROR($C108*$D108*SUMIFS('Dvd Calendar'!$E$192:$CZ$192,'Dvd Calendar'!$E$191:$CZ$191,"&gt;"&amp;F$12,'Dvd Calendar'!$E$191:$CZ$191,"&lt;="&amp;F$13)/AS51!$B$3,"")))</f>
        <v/>
      </c>
      <c r="G108" s="113">
        <f>IF(G$13="","",IF($B108="","",IFERROR($C108*$D108*SUMIFS('Dvd Calendar'!$E$192:$CZ$192,'Dvd Calendar'!$E$191:$CZ$191,"&gt;"&amp;G$12,'Dvd Calendar'!$E$191:$CZ$191,"&lt;="&amp;G$13)/AS51!$B$3,"")))</f>
        <v/>
      </c>
      <c r="H108" s="113">
        <f>IF(H$13="","",IF($B108="","",IFERROR($C108*$D108*SUMIFS('Dvd Calendar'!$E$192:$CZ$192,'Dvd Calendar'!$E$191:$CZ$191,"&gt;"&amp;H$12,'Dvd Calendar'!$E$191:$CZ$191,"&lt;="&amp;H$13)/AS51!$B$3,"")))</f>
        <v/>
      </c>
      <c r="I108" s="113">
        <f>IF(I$13="","",IF($B108="","",IFERROR($C108*$D108*SUMIFS('Dvd Calendar'!$E$192:$CZ$192,'Dvd Calendar'!$E$191:$CZ$191,"&gt;"&amp;I$12,'Dvd Calendar'!$E$191:$CZ$191,"&lt;="&amp;I$13)/AS51!$B$3,"")))</f>
        <v/>
      </c>
      <c r="J108" s="113">
        <f>IF(J$13="","",IF($B108="","",IFERROR($C108*$D108*SUMIFS('Dvd Calendar'!$E$192:$CZ$192,'Dvd Calendar'!$E$191:$CZ$191,"&gt;"&amp;J$12,'Dvd Calendar'!$E$191:$CZ$191,"&lt;="&amp;J$13)/AS51!$B$3,"")))</f>
        <v/>
      </c>
      <c r="K108" s="113">
        <f>IF(K$13="","",IF($B108="","",IFERROR($C108*$D108*SUMIFS('Dvd Calendar'!$E$192:$CZ$192,'Dvd Calendar'!$E$191:$CZ$191,"&gt;"&amp;K$12,'Dvd Calendar'!$E$191:$CZ$191,"&lt;="&amp;K$13)/AS51!$B$3,"")))</f>
        <v/>
      </c>
      <c r="L108" s="113">
        <f>IF(L$13="","",IF($B108="","",IFERROR($C108*$D108*SUMIFS('Dvd Calendar'!$E$192:$CZ$192,'Dvd Calendar'!$E$191:$CZ$191,"&gt;"&amp;L$12,'Dvd Calendar'!$E$191:$CZ$191,"&lt;="&amp;L$13)/AS51!$B$3,"")))</f>
        <v/>
      </c>
      <c r="M108" s="113">
        <f>IF(M$13="","",IF($B108="","",IFERROR($C108*$D108*SUMIFS('Dvd Calendar'!$E$192:$CZ$192,'Dvd Calendar'!$E$191:$CZ$191,"&gt;"&amp;M$12,'Dvd Calendar'!$E$191:$CZ$191,"&lt;="&amp;M$13)/AS51!$B$3,"")))</f>
        <v/>
      </c>
      <c r="N108" s="113">
        <f>IF(N$13="","",IF($B108="","",IFERROR($C108*$D108*SUMIFS('Dvd Calendar'!$E$192:$CZ$192,'Dvd Calendar'!$E$191:$CZ$191,"&gt;"&amp;N$12,'Dvd Calendar'!$E$191:$CZ$191,"&lt;="&amp;N$13)/AS51!$B$3,"")))</f>
        <v/>
      </c>
      <c r="O108" s="113">
        <f>IF(O$13="","",IF($B108="","",IFERROR($C108*$D108*SUMIFS('Dvd Calendar'!$E$192:$CZ$192,'Dvd Calendar'!$E$191:$CZ$191,"&gt;"&amp;O$12,'Dvd Calendar'!$E$191:$CZ$191,"&lt;="&amp;O$13)/AS51!$B$3,"")))</f>
        <v/>
      </c>
      <c r="P108" s="113">
        <f>IF(P$13="","",IF($B108="","",IFERROR($C108*$D108*SUMIFS('Dvd Calendar'!$E$192:$CZ$192,'Dvd Calendar'!$E$191:$CZ$191,"&gt;"&amp;P$12,'Dvd Calendar'!$E$191:$CZ$191,"&lt;="&amp;P$13)/AS51!$B$3,"")))</f>
        <v/>
      </c>
      <c r="Q108" s="113">
        <f>IF(Q$13="","",IF($B108="","",IFERROR($C108*$D108*SUMIFS('Dvd Calendar'!$E$192:$CZ$192,'Dvd Calendar'!$E$191:$CZ$191,"&gt;"&amp;Q$12,'Dvd Calendar'!$E$191:$CZ$191,"&lt;="&amp;Q$13)/AS51!$B$3,"")))</f>
        <v/>
      </c>
      <c r="R108" s="113">
        <f>IF(R$13="","",IF($B108="","",IFERROR($C108*$D108*SUMIFS('Dvd Calendar'!$E$192:$CZ$192,'Dvd Calendar'!$E$191:$CZ$191,"&gt;"&amp;R$12,'Dvd Calendar'!$E$191:$CZ$191,"&lt;="&amp;R$13)/AS51!$B$3,"")))</f>
        <v/>
      </c>
      <c r="S108" s="113">
        <f>IF(S$13="","",IF($B108="","",IFERROR($C108*$D108*SUMIFS('Dvd Calendar'!$E$192:$CZ$192,'Dvd Calendar'!$E$191:$CZ$191,"&gt;"&amp;S$12,'Dvd Calendar'!$E$191:$CZ$191,"&lt;="&amp;S$13)/AS51!$B$3,"")))</f>
        <v/>
      </c>
      <c r="T108" s="113">
        <f>IF(T$13="","",IF($B108="","",IFERROR($C108*$D108*SUMIFS('Dvd Calendar'!$E$192:$CZ$192,'Dvd Calendar'!$E$191:$CZ$191,"&gt;"&amp;T$12,'Dvd Calendar'!$E$191:$CZ$191,"&lt;="&amp;T$13)/AS51!$B$3,"")))</f>
        <v/>
      </c>
      <c r="U108" s="113">
        <f>IF(U$13="","",IF($B108="","",IFERROR($C108*$D108*SUMIFS('Dvd Calendar'!$E$192:$CZ$192,'Dvd Calendar'!$E$191:$CZ$191,"&gt;"&amp;U$12,'Dvd Calendar'!$E$191:$CZ$191,"&lt;="&amp;U$13)/AS51!$B$3,"")))</f>
        <v/>
      </c>
      <c r="W108" s="113">
        <f>IF(W$13="","",IF($B108="","",IFERROR(F108*$E108/100,"")))</f>
        <v/>
      </c>
      <c r="X108" s="113">
        <f>IF(X$13="","",IF($B108="","",IFERROR(G108*$E108/100,"")))</f>
        <v/>
      </c>
      <c r="Y108" s="113">
        <f>IF(Y$13="","",IF($B108="","",IFERROR(H108*$E108/100,"")))</f>
        <v/>
      </c>
      <c r="Z108" s="113">
        <f>IF(Z$13="","",IF($B108="","",IFERROR(I108*$E108/100,"")))</f>
        <v/>
      </c>
      <c r="AA108" s="113">
        <f>IF(AA$13="","",IF($B108="","",IFERROR(J108*$E108/100,"")))</f>
        <v/>
      </c>
      <c r="AB108" s="113">
        <f>IF(AB$13="","",IF($B108="","",IFERROR(K108*$E108/100,"")))</f>
        <v/>
      </c>
      <c r="AC108" s="113">
        <f>IF(AC$13="","",IF($B108="","",IFERROR(L108*$E108/100,"")))</f>
        <v/>
      </c>
      <c r="AD108" s="113">
        <f>IF(AD$13="","",IF($B108="","",IFERROR(M108*$E108/100,"")))</f>
        <v/>
      </c>
      <c r="AE108" s="113">
        <f>IF(AE$13="","",IF($B108="","",IFERROR(N108*$E108/100,"")))</f>
        <v/>
      </c>
      <c r="AF108" s="113">
        <f>IF(AF$13="","",IF($B108="","",IFERROR(O108*$E108/100,"")))</f>
        <v/>
      </c>
      <c r="AG108" s="113">
        <f>IF(AG$13="","",IF($B108="","",IFERROR(P108*$E108/100,"")))</f>
        <v/>
      </c>
      <c r="AH108" s="113">
        <f>IF(AH$13="","",IF($B108="","",IFERROR(Q108*$E108/100,"")))</f>
        <v/>
      </c>
      <c r="AI108" s="113">
        <f>IF(AI$13="","",IF($B108="","",IFERROR(R108*$E108/100,"")))</f>
        <v/>
      </c>
      <c r="AJ108" s="113">
        <f>IF(AJ$13="","",IF($B108="","",IFERROR(S108*$E108/100,"")))</f>
        <v/>
      </c>
      <c r="AK108" s="113">
        <f>IF(AK$13="","",IF($B108="","",IFERROR(T108*$E108/100,"")))</f>
        <v/>
      </c>
      <c r="AL108" s="113">
        <f>IF(AL$13="","",IF($B108="","",IFERROR(U108*$E108/100,"")))</f>
        <v/>
      </c>
    </row>
    <row r="109">
      <c r="B109" s="5">
        <f>IF(AS51!$C$99="","",AS51!$C$99)</f>
        <v/>
      </c>
      <c r="C109" s="86">
        <f>IF(AS51!$B$99="","",AS51!$B$99)</f>
        <v/>
      </c>
      <c r="D109" s="111">
        <f>IFERROR(AS51!$Q$99,1)</f>
        <v/>
      </c>
      <c r="E109" s="112">
        <f>IF($B109="","",IF(ISNUMBER(AS51!$I$99),AS51!$I$99,'Index Summary'!$C$7))</f>
        <v/>
      </c>
      <c r="F109" s="113">
        <f>IF(F$13="","",IF($B109="","",IFERROR($C109*$D109*SUMIFS('Dvd Calendar'!$E$194:$CZ$194,'Dvd Calendar'!$E$193:$CZ$193,"&gt;"&amp;F$12,'Dvd Calendar'!$E$193:$CZ$193,"&lt;="&amp;F$13)/AS51!$B$3,"")))</f>
        <v/>
      </c>
      <c r="G109" s="113">
        <f>IF(G$13="","",IF($B109="","",IFERROR($C109*$D109*SUMIFS('Dvd Calendar'!$E$194:$CZ$194,'Dvd Calendar'!$E$193:$CZ$193,"&gt;"&amp;G$12,'Dvd Calendar'!$E$193:$CZ$193,"&lt;="&amp;G$13)/AS51!$B$3,"")))</f>
        <v/>
      </c>
      <c r="H109" s="113">
        <f>IF(H$13="","",IF($B109="","",IFERROR($C109*$D109*SUMIFS('Dvd Calendar'!$E$194:$CZ$194,'Dvd Calendar'!$E$193:$CZ$193,"&gt;"&amp;H$12,'Dvd Calendar'!$E$193:$CZ$193,"&lt;="&amp;H$13)/AS51!$B$3,"")))</f>
        <v/>
      </c>
      <c r="I109" s="113">
        <f>IF(I$13="","",IF($B109="","",IFERROR($C109*$D109*SUMIFS('Dvd Calendar'!$E$194:$CZ$194,'Dvd Calendar'!$E$193:$CZ$193,"&gt;"&amp;I$12,'Dvd Calendar'!$E$193:$CZ$193,"&lt;="&amp;I$13)/AS51!$B$3,"")))</f>
        <v/>
      </c>
      <c r="J109" s="113">
        <f>IF(J$13="","",IF($B109="","",IFERROR($C109*$D109*SUMIFS('Dvd Calendar'!$E$194:$CZ$194,'Dvd Calendar'!$E$193:$CZ$193,"&gt;"&amp;J$12,'Dvd Calendar'!$E$193:$CZ$193,"&lt;="&amp;J$13)/AS51!$B$3,"")))</f>
        <v/>
      </c>
      <c r="K109" s="113">
        <f>IF(K$13="","",IF($B109="","",IFERROR($C109*$D109*SUMIFS('Dvd Calendar'!$E$194:$CZ$194,'Dvd Calendar'!$E$193:$CZ$193,"&gt;"&amp;K$12,'Dvd Calendar'!$E$193:$CZ$193,"&lt;="&amp;K$13)/AS51!$B$3,"")))</f>
        <v/>
      </c>
      <c r="L109" s="113">
        <f>IF(L$13="","",IF($B109="","",IFERROR($C109*$D109*SUMIFS('Dvd Calendar'!$E$194:$CZ$194,'Dvd Calendar'!$E$193:$CZ$193,"&gt;"&amp;L$12,'Dvd Calendar'!$E$193:$CZ$193,"&lt;="&amp;L$13)/AS51!$B$3,"")))</f>
        <v/>
      </c>
      <c r="M109" s="113">
        <f>IF(M$13="","",IF($B109="","",IFERROR($C109*$D109*SUMIFS('Dvd Calendar'!$E$194:$CZ$194,'Dvd Calendar'!$E$193:$CZ$193,"&gt;"&amp;M$12,'Dvd Calendar'!$E$193:$CZ$193,"&lt;="&amp;M$13)/AS51!$B$3,"")))</f>
        <v/>
      </c>
      <c r="N109" s="113">
        <f>IF(N$13="","",IF($B109="","",IFERROR($C109*$D109*SUMIFS('Dvd Calendar'!$E$194:$CZ$194,'Dvd Calendar'!$E$193:$CZ$193,"&gt;"&amp;N$12,'Dvd Calendar'!$E$193:$CZ$193,"&lt;="&amp;N$13)/AS51!$B$3,"")))</f>
        <v/>
      </c>
      <c r="O109" s="113">
        <f>IF(O$13="","",IF($B109="","",IFERROR($C109*$D109*SUMIFS('Dvd Calendar'!$E$194:$CZ$194,'Dvd Calendar'!$E$193:$CZ$193,"&gt;"&amp;O$12,'Dvd Calendar'!$E$193:$CZ$193,"&lt;="&amp;O$13)/AS51!$B$3,"")))</f>
        <v/>
      </c>
      <c r="P109" s="113">
        <f>IF(P$13="","",IF($B109="","",IFERROR($C109*$D109*SUMIFS('Dvd Calendar'!$E$194:$CZ$194,'Dvd Calendar'!$E$193:$CZ$193,"&gt;"&amp;P$12,'Dvd Calendar'!$E$193:$CZ$193,"&lt;="&amp;P$13)/AS51!$B$3,"")))</f>
        <v/>
      </c>
      <c r="Q109" s="113">
        <f>IF(Q$13="","",IF($B109="","",IFERROR($C109*$D109*SUMIFS('Dvd Calendar'!$E$194:$CZ$194,'Dvd Calendar'!$E$193:$CZ$193,"&gt;"&amp;Q$12,'Dvd Calendar'!$E$193:$CZ$193,"&lt;="&amp;Q$13)/AS51!$B$3,"")))</f>
        <v/>
      </c>
      <c r="R109" s="113">
        <f>IF(R$13="","",IF($B109="","",IFERROR($C109*$D109*SUMIFS('Dvd Calendar'!$E$194:$CZ$194,'Dvd Calendar'!$E$193:$CZ$193,"&gt;"&amp;R$12,'Dvd Calendar'!$E$193:$CZ$193,"&lt;="&amp;R$13)/AS51!$B$3,"")))</f>
        <v/>
      </c>
      <c r="S109" s="113">
        <f>IF(S$13="","",IF($B109="","",IFERROR($C109*$D109*SUMIFS('Dvd Calendar'!$E$194:$CZ$194,'Dvd Calendar'!$E$193:$CZ$193,"&gt;"&amp;S$12,'Dvd Calendar'!$E$193:$CZ$193,"&lt;="&amp;S$13)/AS51!$B$3,"")))</f>
        <v/>
      </c>
      <c r="T109" s="113">
        <f>IF(T$13="","",IF($B109="","",IFERROR($C109*$D109*SUMIFS('Dvd Calendar'!$E$194:$CZ$194,'Dvd Calendar'!$E$193:$CZ$193,"&gt;"&amp;T$12,'Dvd Calendar'!$E$193:$CZ$193,"&lt;="&amp;T$13)/AS51!$B$3,"")))</f>
        <v/>
      </c>
      <c r="U109" s="113">
        <f>IF(U$13="","",IF($B109="","",IFERROR($C109*$D109*SUMIFS('Dvd Calendar'!$E$194:$CZ$194,'Dvd Calendar'!$E$193:$CZ$193,"&gt;"&amp;U$12,'Dvd Calendar'!$E$193:$CZ$193,"&lt;="&amp;U$13)/AS51!$B$3,"")))</f>
        <v/>
      </c>
      <c r="W109" s="113">
        <f>IF(W$13="","",IF($B109="","",IFERROR(F109*$E109/100,"")))</f>
        <v/>
      </c>
      <c r="X109" s="113">
        <f>IF(X$13="","",IF($B109="","",IFERROR(G109*$E109/100,"")))</f>
        <v/>
      </c>
      <c r="Y109" s="113">
        <f>IF(Y$13="","",IF($B109="","",IFERROR(H109*$E109/100,"")))</f>
        <v/>
      </c>
      <c r="Z109" s="113">
        <f>IF(Z$13="","",IF($B109="","",IFERROR(I109*$E109/100,"")))</f>
        <v/>
      </c>
      <c r="AA109" s="113">
        <f>IF(AA$13="","",IF($B109="","",IFERROR(J109*$E109/100,"")))</f>
        <v/>
      </c>
      <c r="AB109" s="113">
        <f>IF(AB$13="","",IF($B109="","",IFERROR(K109*$E109/100,"")))</f>
        <v/>
      </c>
      <c r="AC109" s="113">
        <f>IF(AC$13="","",IF($B109="","",IFERROR(L109*$E109/100,"")))</f>
        <v/>
      </c>
      <c r="AD109" s="113">
        <f>IF(AD$13="","",IF($B109="","",IFERROR(M109*$E109/100,"")))</f>
        <v/>
      </c>
      <c r="AE109" s="113">
        <f>IF(AE$13="","",IF($B109="","",IFERROR(N109*$E109/100,"")))</f>
        <v/>
      </c>
      <c r="AF109" s="113">
        <f>IF(AF$13="","",IF($B109="","",IFERROR(O109*$E109/100,"")))</f>
        <v/>
      </c>
      <c r="AG109" s="113">
        <f>IF(AG$13="","",IF($B109="","",IFERROR(P109*$E109/100,"")))</f>
        <v/>
      </c>
      <c r="AH109" s="113">
        <f>IF(AH$13="","",IF($B109="","",IFERROR(Q109*$E109/100,"")))</f>
        <v/>
      </c>
      <c r="AI109" s="113">
        <f>IF(AI$13="","",IF($B109="","",IFERROR(R109*$E109/100,"")))</f>
        <v/>
      </c>
      <c r="AJ109" s="113">
        <f>IF(AJ$13="","",IF($B109="","",IFERROR(S109*$E109/100,"")))</f>
        <v/>
      </c>
      <c r="AK109" s="113">
        <f>IF(AK$13="","",IF($B109="","",IFERROR(T109*$E109/100,"")))</f>
        <v/>
      </c>
      <c r="AL109" s="113">
        <f>IF(AL$13="","",IF($B109="","",IFERROR(U109*$E109/100,"")))</f>
        <v/>
      </c>
    </row>
    <row r="110">
      <c r="B110" s="5">
        <f>IF(AS51!$C$100="","",AS51!$C$100)</f>
        <v/>
      </c>
      <c r="C110" s="86">
        <f>IF(AS51!$B$100="","",AS51!$B$100)</f>
        <v/>
      </c>
      <c r="D110" s="111">
        <f>IFERROR(AS51!$Q$100,1)</f>
        <v/>
      </c>
      <c r="E110" s="112">
        <f>IF($B110="","",IF(ISNUMBER(AS51!$I$100),AS51!$I$100,'Index Summary'!$C$7))</f>
        <v/>
      </c>
      <c r="F110" s="113">
        <f>IF(F$13="","",IF($B110="","",IFERROR($C110*$D110*SUMIFS('Dvd Calendar'!$E$196:$CZ$196,'Dvd Calendar'!$E$195:$CZ$195,"&gt;"&amp;F$12,'Dvd Calendar'!$E$195:$CZ$195,"&lt;="&amp;F$13)/AS51!$B$3,"")))</f>
        <v/>
      </c>
      <c r="G110" s="113">
        <f>IF(G$13="","",IF($B110="","",IFERROR($C110*$D110*SUMIFS('Dvd Calendar'!$E$196:$CZ$196,'Dvd Calendar'!$E$195:$CZ$195,"&gt;"&amp;G$12,'Dvd Calendar'!$E$195:$CZ$195,"&lt;="&amp;G$13)/AS51!$B$3,"")))</f>
        <v/>
      </c>
      <c r="H110" s="113">
        <f>IF(H$13="","",IF($B110="","",IFERROR($C110*$D110*SUMIFS('Dvd Calendar'!$E$196:$CZ$196,'Dvd Calendar'!$E$195:$CZ$195,"&gt;"&amp;H$12,'Dvd Calendar'!$E$195:$CZ$195,"&lt;="&amp;H$13)/AS51!$B$3,"")))</f>
        <v/>
      </c>
      <c r="I110" s="113">
        <f>IF(I$13="","",IF($B110="","",IFERROR($C110*$D110*SUMIFS('Dvd Calendar'!$E$196:$CZ$196,'Dvd Calendar'!$E$195:$CZ$195,"&gt;"&amp;I$12,'Dvd Calendar'!$E$195:$CZ$195,"&lt;="&amp;I$13)/AS51!$B$3,"")))</f>
        <v/>
      </c>
      <c r="J110" s="113">
        <f>IF(J$13="","",IF($B110="","",IFERROR($C110*$D110*SUMIFS('Dvd Calendar'!$E$196:$CZ$196,'Dvd Calendar'!$E$195:$CZ$195,"&gt;"&amp;J$12,'Dvd Calendar'!$E$195:$CZ$195,"&lt;="&amp;J$13)/AS51!$B$3,"")))</f>
        <v/>
      </c>
      <c r="K110" s="113">
        <f>IF(K$13="","",IF($B110="","",IFERROR($C110*$D110*SUMIFS('Dvd Calendar'!$E$196:$CZ$196,'Dvd Calendar'!$E$195:$CZ$195,"&gt;"&amp;K$12,'Dvd Calendar'!$E$195:$CZ$195,"&lt;="&amp;K$13)/AS51!$B$3,"")))</f>
        <v/>
      </c>
      <c r="L110" s="113">
        <f>IF(L$13="","",IF($B110="","",IFERROR($C110*$D110*SUMIFS('Dvd Calendar'!$E$196:$CZ$196,'Dvd Calendar'!$E$195:$CZ$195,"&gt;"&amp;L$12,'Dvd Calendar'!$E$195:$CZ$195,"&lt;="&amp;L$13)/AS51!$B$3,"")))</f>
        <v/>
      </c>
      <c r="M110" s="113">
        <f>IF(M$13="","",IF($B110="","",IFERROR($C110*$D110*SUMIFS('Dvd Calendar'!$E$196:$CZ$196,'Dvd Calendar'!$E$195:$CZ$195,"&gt;"&amp;M$12,'Dvd Calendar'!$E$195:$CZ$195,"&lt;="&amp;M$13)/AS51!$B$3,"")))</f>
        <v/>
      </c>
      <c r="N110" s="113">
        <f>IF(N$13="","",IF($B110="","",IFERROR($C110*$D110*SUMIFS('Dvd Calendar'!$E$196:$CZ$196,'Dvd Calendar'!$E$195:$CZ$195,"&gt;"&amp;N$12,'Dvd Calendar'!$E$195:$CZ$195,"&lt;="&amp;N$13)/AS51!$B$3,"")))</f>
        <v/>
      </c>
      <c r="O110" s="113">
        <f>IF(O$13="","",IF($B110="","",IFERROR($C110*$D110*SUMIFS('Dvd Calendar'!$E$196:$CZ$196,'Dvd Calendar'!$E$195:$CZ$195,"&gt;"&amp;O$12,'Dvd Calendar'!$E$195:$CZ$195,"&lt;="&amp;O$13)/AS51!$B$3,"")))</f>
        <v/>
      </c>
      <c r="P110" s="113">
        <f>IF(P$13="","",IF($B110="","",IFERROR($C110*$D110*SUMIFS('Dvd Calendar'!$E$196:$CZ$196,'Dvd Calendar'!$E$195:$CZ$195,"&gt;"&amp;P$12,'Dvd Calendar'!$E$195:$CZ$195,"&lt;="&amp;P$13)/AS51!$B$3,"")))</f>
        <v/>
      </c>
      <c r="Q110" s="113">
        <f>IF(Q$13="","",IF($B110="","",IFERROR($C110*$D110*SUMIFS('Dvd Calendar'!$E$196:$CZ$196,'Dvd Calendar'!$E$195:$CZ$195,"&gt;"&amp;Q$12,'Dvd Calendar'!$E$195:$CZ$195,"&lt;="&amp;Q$13)/AS51!$B$3,"")))</f>
        <v/>
      </c>
      <c r="R110" s="113">
        <f>IF(R$13="","",IF($B110="","",IFERROR($C110*$D110*SUMIFS('Dvd Calendar'!$E$196:$CZ$196,'Dvd Calendar'!$E$195:$CZ$195,"&gt;"&amp;R$12,'Dvd Calendar'!$E$195:$CZ$195,"&lt;="&amp;R$13)/AS51!$B$3,"")))</f>
        <v/>
      </c>
      <c r="S110" s="113">
        <f>IF(S$13="","",IF($B110="","",IFERROR($C110*$D110*SUMIFS('Dvd Calendar'!$E$196:$CZ$196,'Dvd Calendar'!$E$195:$CZ$195,"&gt;"&amp;S$12,'Dvd Calendar'!$E$195:$CZ$195,"&lt;="&amp;S$13)/AS51!$B$3,"")))</f>
        <v/>
      </c>
      <c r="T110" s="113">
        <f>IF(T$13="","",IF($B110="","",IFERROR($C110*$D110*SUMIFS('Dvd Calendar'!$E$196:$CZ$196,'Dvd Calendar'!$E$195:$CZ$195,"&gt;"&amp;T$12,'Dvd Calendar'!$E$195:$CZ$195,"&lt;="&amp;T$13)/AS51!$B$3,"")))</f>
        <v/>
      </c>
      <c r="U110" s="113">
        <f>IF(U$13="","",IF($B110="","",IFERROR($C110*$D110*SUMIFS('Dvd Calendar'!$E$196:$CZ$196,'Dvd Calendar'!$E$195:$CZ$195,"&gt;"&amp;U$12,'Dvd Calendar'!$E$195:$CZ$195,"&lt;="&amp;U$13)/AS51!$B$3,"")))</f>
        <v/>
      </c>
      <c r="W110" s="113">
        <f>IF(W$13="","",IF($B110="","",IFERROR(F110*$E110/100,"")))</f>
        <v/>
      </c>
      <c r="X110" s="113">
        <f>IF(X$13="","",IF($B110="","",IFERROR(G110*$E110/100,"")))</f>
        <v/>
      </c>
      <c r="Y110" s="113">
        <f>IF(Y$13="","",IF($B110="","",IFERROR(H110*$E110/100,"")))</f>
        <v/>
      </c>
      <c r="Z110" s="113">
        <f>IF(Z$13="","",IF($B110="","",IFERROR(I110*$E110/100,"")))</f>
        <v/>
      </c>
      <c r="AA110" s="113">
        <f>IF(AA$13="","",IF($B110="","",IFERROR(J110*$E110/100,"")))</f>
        <v/>
      </c>
      <c r="AB110" s="113">
        <f>IF(AB$13="","",IF($B110="","",IFERROR(K110*$E110/100,"")))</f>
        <v/>
      </c>
      <c r="AC110" s="113">
        <f>IF(AC$13="","",IF($B110="","",IFERROR(L110*$E110/100,"")))</f>
        <v/>
      </c>
      <c r="AD110" s="113">
        <f>IF(AD$13="","",IF($B110="","",IFERROR(M110*$E110/100,"")))</f>
        <v/>
      </c>
      <c r="AE110" s="113">
        <f>IF(AE$13="","",IF($B110="","",IFERROR(N110*$E110/100,"")))</f>
        <v/>
      </c>
      <c r="AF110" s="113">
        <f>IF(AF$13="","",IF($B110="","",IFERROR(O110*$E110/100,"")))</f>
        <v/>
      </c>
      <c r="AG110" s="113">
        <f>IF(AG$13="","",IF($B110="","",IFERROR(P110*$E110/100,"")))</f>
        <v/>
      </c>
      <c r="AH110" s="113">
        <f>IF(AH$13="","",IF($B110="","",IFERROR(Q110*$E110/100,"")))</f>
        <v/>
      </c>
      <c r="AI110" s="113">
        <f>IF(AI$13="","",IF($B110="","",IFERROR(R110*$E110/100,"")))</f>
        <v/>
      </c>
      <c r="AJ110" s="113">
        <f>IF(AJ$13="","",IF($B110="","",IFERROR(S110*$E110/100,"")))</f>
        <v/>
      </c>
      <c r="AK110" s="113">
        <f>IF(AK$13="","",IF($B110="","",IFERROR(T110*$E110/100,"")))</f>
        <v/>
      </c>
      <c r="AL110" s="113">
        <f>IF(AL$13="","",IF($B110="","",IFERROR(U110*$E110/100,"")))</f>
        <v/>
      </c>
    </row>
    <row r="111">
      <c r="B111" s="5">
        <f>IF(AS51!$C$101="","",AS51!$C$101)</f>
        <v/>
      </c>
      <c r="C111" s="86">
        <f>IF(AS51!$B$101="","",AS51!$B$101)</f>
        <v/>
      </c>
      <c r="D111" s="111">
        <f>IFERROR(AS51!$Q$101,1)</f>
        <v/>
      </c>
      <c r="E111" s="112">
        <f>IF($B111="","",IF(ISNUMBER(AS51!$I$101),AS51!$I$101,'Index Summary'!$C$7))</f>
        <v/>
      </c>
      <c r="F111" s="113">
        <f>IF(F$13="","",IF($B111="","",IFERROR($C111*$D111*SUMIFS('Dvd Calendar'!$E$198:$CZ$198,'Dvd Calendar'!$E$197:$CZ$197,"&gt;"&amp;F$12,'Dvd Calendar'!$E$197:$CZ$197,"&lt;="&amp;F$13)/AS51!$B$3,"")))</f>
        <v/>
      </c>
      <c r="G111" s="113">
        <f>IF(G$13="","",IF($B111="","",IFERROR($C111*$D111*SUMIFS('Dvd Calendar'!$E$198:$CZ$198,'Dvd Calendar'!$E$197:$CZ$197,"&gt;"&amp;G$12,'Dvd Calendar'!$E$197:$CZ$197,"&lt;="&amp;G$13)/AS51!$B$3,"")))</f>
        <v/>
      </c>
      <c r="H111" s="113">
        <f>IF(H$13="","",IF($B111="","",IFERROR($C111*$D111*SUMIFS('Dvd Calendar'!$E$198:$CZ$198,'Dvd Calendar'!$E$197:$CZ$197,"&gt;"&amp;H$12,'Dvd Calendar'!$E$197:$CZ$197,"&lt;="&amp;H$13)/AS51!$B$3,"")))</f>
        <v/>
      </c>
      <c r="I111" s="113">
        <f>IF(I$13="","",IF($B111="","",IFERROR($C111*$D111*SUMIFS('Dvd Calendar'!$E$198:$CZ$198,'Dvd Calendar'!$E$197:$CZ$197,"&gt;"&amp;I$12,'Dvd Calendar'!$E$197:$CZ$197,"&lt;="&amp;I$13)/AS51!$B$3,"")))</f>
        <v/>
      </c>
      <c r="J111" s="113">
        <f>IF(J$13="","",IF($B111="","",IFERROR($C111*$D111*SUMIFS('Dvd Calendar'!$E$198:$CZ$198,'Dvd Calendar'!$E$197:$CZ$197,"&gt;"&amp;J$12,'Dvd Calendar'!$E$197:$CZ$197,"&lt;="&amp;J$13)/AS51!$B$3,"")))</f>
        <v/>
      </c>
      <c r="K111" s="113">
        <f>IF(K$13="","",IF($B111="","",IFERROR($C111*$D111*SUMIFS('Dvd Calendar'!$E$198:$CZ$198,'Dvd Calendar'!$E$197:$CZ$197,"&gt;"&amp;K$12,'Dvd Calendar'!$E$197:$CZ$197,"&lt;="&amp;K$13)/AS51!$B$3,"")))</f>
        <v/>
      </c>
      <c r="L111" s="113">
        <f>IF(L$13="","",IF($B111="","",IFERROR($C111*$D111*SUMIFS('Dvd Calendar'!$E$198:$CZ$198,'Dvd Calendar'!$E$197:$CZ$197,"&gt;"&amp;L$12,'Dvd Calendar'!$E$197:$CZ$197,"&lt;="&amp;L$13)/AS51!$B$3,"")))</f>
        <v/>
      </c>
      <c r="M111" s="113">
        <f>IF(M$13="","",IF($B111="","",IFERROR($C111*$D111*SUMIFS('Dvd Calendar'!$E$198:$CZ$198,'Dvd Calendar'!$E$197:$CZ$197,"&gt;"&amp;M$12,'Dvd Calendar'!$E$197:$CZ$197,"&lt;="&amp;M$13)/AS51!$B$3,"")))</f>
        <v/>
      </c>
      <c r="N111" s="113">
        <f>IF(N$13="","",IF($B111="","",IFERROR($C111*$D111*SUMIFS('Dvd Calendar'!$E$198:$CZ$198,'Dvd Calendar'!$E$197:$CZ$197,"&gt;"&amp;N$12,'Dvd Calendar'!$E$197:$CZ$197,"&lt;="&amp;N$13)/AS51!$B$3,"")))</f>
        <v/>
      </c>
      <c r="O111" s="113">
        <f>IF(O$13="","",IF($B111="","",IFERROR($C111*$D111*SUMIFS('Dvd Calendar'!$E$198:$CZ$198,'Dvd Calendar'!$E$197:$CZ$197,"&gt;"&amp;O$12,'Dvd Calendar'!$E$197:$CZ$197,"&lt;="&amp;O$13)/AS51!$B$3,"")))</f>
        <v/>
      </c>
      <c r="P111" s="113">
        <f>IF(P$13="","",IF($B111="","",IFERROR($C111*$D111*SUMIFS('Dvd Calendar'!$E$198:$CZ$198,'Dvd Calendar'!$E$197:$CZ$197,"&gt;"&amp;P$12,'Dvd Calendar'!$E$197:$CZ$197,"&lt;="&amp;P$13)/AS51!$B$3,"")))</f>
        <v/>
      </c>
      <c r="Q111" s="113">
        <f>IF(Q$13="","",IF($B111="","",IFERROR($C111*$D111*SUMIFS('Dvd Calendar'!$E$198:$CZ$198,'Dvd Calendar'!$E$197:$CZ$197,"&gt;"&amp;Q$12,'Dvd Calendar'!$E$197:$CZ$197,"&lt;="&amp;Q$13)/AS51!$B$3,"")))</f>
        <v/>
      </c>
      <c r="R111" s="113">
        <f>IF(R$13="","",IF($B111="","",IFERROR($C111*$D111*SUMIFS('Dvd Calendar'!$E$198:$CZ$198,'Dvd Calendar'!$E$197:$CZ$197,"&gt;"&amp;R$12,'Dvd Calendar'!$E$197:$CZ$197,"&lt;="&amp;R$13)/AS51!$B$3,"")))</f>
        <v/>
      </c>
      <c r="S111" s="113">
        <f>IF(S$13="","",IF($B111="","",IFERROR($C111*$D111*SUMIFS('Dvd Calendar'!$E$198:$CZ$198,'Dvd Calendar'!$E$197:$CZ$197,"&gt;"&amp;S$12,'Dvd Calendar'!$E$197:$CZ$197,"&lt;="&amp;S$13)/AS51!$B$3,"")))</f>
        <v/>
      </c>
      <c r="T111" s="113">
        <f>IF(T$13="","",IF($B111="","",IFERROR($C111*$D111*SUMIFS('Dvd Calendar'!$E$198:$CZ$198,'Dvd Calendar'!$E$197:$CZ$197,"&gt;"&amp;T$12,'Dvd Calendar'!$E$197:$CZ$197,"&lt;="&amp;T$13)/AS51!$B$3,"")))</f>
        <v/>
      </c>
      <c r="U111" s="113">
        <f>IF(U$13="","",IF($B111="","",IFERROR($C111*$D111*SUMIFS('Dvd Calendar'!$E$198:$CZ$198,'Dvd Calendar'!$E$197:$CZ$197,"&gt;"&amp;U$12,'Dvd Calendar'!$E$197:$CZ$197,"&lt;="&amp;U$13)/AS51!$B$3,"")))</f>
        <v/>
      </c>
      <c r="W111" s="113">
        <f>IF(W$13="","",IF($B111="","",IFERROR(F111*$E111/100,"")))</f>
        <v/>
      </c>
      <c r="X111" s="113">
        <f>IF(X$13="","",IF($B111="","",IFERROR(G111*$E111/100,"")))</f>
        <v/>
      </c>
      <c r="Y111" s="113">
        <f>IF(Y$13="","",IF($B111="","",IFERROR(H111*$E111/100,"")))</f>
        <v/>
      </c>
      <c r="Z111" s="113">
        <f>IF(Z$13="","",IF($B111="","",IFERROR(I111*$E111/100,"")))</f>
        <v/>
      </c>
      <c r="AA111" s="113">
        <f>IF(AA$13="","",IF($B111="","",IFERROR(J111*$E111/100,"")))</f>
        <v/>
      </c>
      <c r="AB111" s="113">
        <f>IF(AB$13="","",IF($B111="","",IFERROR(K111*$E111/100,"")))</f>
        <v/>
      </c>
      <c r="AC111" s="113">
        <f>IF(AC$13="","",IF($B111="","",IFERROR(L111*$E111/100,"")))</f>
        <v/>
      </c>
      <c r="AD111" s="113">
        <f>IF(AD$13="","",IF($B111="","",IFERROR(M111*$E111/100,"")))</f>
        <v/>
      </c>
      <c r="AE111" s="113">
        <f>IF(AE$13="","",IF($B111="","",IFERROR(N111*$E111/100,"")))</f>
        <v/>
      </c>
      <c r="AF111" s="113">
        <f>IF(AF$13="","",IF($B111="","",IFERROR(O111*$E111/100,"")))</f>
        <v/>
      </c>
      <c r="AG111" s="113">
        <f>IF(AG$13="","",IF($B111="","",IFERROR(P111*$E111/100,"")))</f>
        <v/>
      </c>
      <c r="AH111" s="113">
        <f>IF(AH$13="","",IF($B111="","",IFERROR(Q111*$E111/100,"")))</f>
        <v/>
      </c>
      <c r="AI111" s="113">
        <f>IF(AI$13="","",IF($B111="","",IFERROR(R111*$E111/100,"")))</f>
        <v/>
      </c>
      <c r="AJ111" s="113">
        <f>IF(AJ$13="","",IF($B111="","",IFERROR(S111*$E111/100,"")))</f>
        <v/>
      </c>
      <c r="AK111" s="113">
        <f>IF(AK$13="","",IF($B111="","",IFERROR(T111*$E111/100,"")))</f>
        <v/>
      </c>
      <c r="AL111" s="113">
        <f>IF(AL$13="","",IF($B111="","",IFERROR(U111*$E111/100,"")))</f>
        <v/>
      </c>
    </row>
    <row r="112">
      <c r="B112" s="5">
        <f>IF(AS51!$C$102="","",AS51!$C$102)</f>
        <v/>
      </c>
      <c r="C112" s="86">
        <f>IF(AS51!$B$102="","",AS51!$B$102)</f>
        <v/>
      </c>
      <c r="D112" s="111">
        <f>IFERROR(AS51!$Q$102,1)</f>
        <v/>
      </c>
      <c r="E112" s="112">
        <f>IF($B112="","",IF(ISNUMBER(AS51!$I$102),AS51!$I$102,'Index Summary'!$C$7))</f>
        <v/>
      </c>
      <c r="F112" s="113">
        <f>IF(F$13="","",IF($B112="","",IFERROR($C112*$D112*SUMIFS('Dvd Calendar'!$E$200:$CZ$200,'Dvd Calendar'!$E$199:$CZ$199,"&gt;"&amp;F$12,'Dvd Calendar'!$E$199:$CZ$199,"&lt;="&amp;F$13)/AS51!$B$3,"")))</f>
        <v/>
      </c>
      <c r="G112" s="113">
        <f>IF(G$13="","",IF($B112="","",IFERROR($C112*$D112*SUMIFS('Dvd Calendar'!$E$200:$CZ$200,'Dvd Calendar'!$E$199:$CZ$199,"&gt;"&amp;G$12,'Dvd Calendar'!$E$199:$CZ$199,"&lt;="&amp;G$13)/AS51!$B$3,"")))</f>
        <v/>
      </c>
      <c r="H112" s="113">
        <f>IF(H$13="","",IF($B112="","",IFERROR($C112*$D112*SUMIFS('Dvd Calendar'!$E$200:$CZ$200,'Dvd Calendar'!$E$199:$CZ$199,"&gt;"&amp;H$12,'Dvd Calendar'!$E$199:$CZ$199,"&lt;="&amp;H$13)/AS51!$B$3,"")))</f>
        <v/>
      </c>
      <c r="I112" s="113">
        <f>IF(I$13="","",IF($B112="","",IFERROR($C112*$D112*SUMIFS('Dvd Calendar'!$E$200:$CZ$200,'Dvd Calendar'!$E$199:$CZ$199,"&gt;"&amp;I$12,'Dvd Calendar'!$E$199:$CZ$199,"&lt;="&amp;I$13)/AS51!$B$3,"")))</f>
        <v/>
      </c>
      <c r="J112" s="113">
        <f>IF(J$13="","",IF($B112="","",IFERROR($C112*$D112*SUMIFS('Dvd Calendar'!$E$200:$CZ$200,'Dvd Calendar'!$E$199:$CZ$199,"&gt;"&amp;J$12,'Dvd Calendar'!$E$199:$CZ$199,"&lt;="&amp;J$13)/AS51!$B$3,"")))</f>
        <v/>
      </c>
      <c r="K112" s="113">
        <f>IF(K$13="","",IF($B112="","",IFERROR($C112*$D112*SUMIFS('Dvd Calendar'!$E$200:$CZ$200,'Dvd Calendar'!$E$199:$CZ$199,"&gt;"&amp;K$12,'Dvd Calendar'!$E$199:$CZ$199,"&lt;="&amp;K$13)/AS51!$B$3,"")))</f>
        <v/>
      </c>
      <c r="L112" s="113">
        <f>IF(L$13="","",IF($B112="","",IFERROR($C112*$D112*SUMIFS('Dvd Calendar'!$E$200:$CZ$200,'Dvd Calendar'!$E$199:$CZ$199,"&gt;"&amp;L$12,'Dvd Calendar'!$E$199:$CZ$199,"&lt;="&amp;L$13)/AS51!$B$3,"")))</f>
        <v/>
      </c>
      <c r="M112" s="113">
        <f>IF(M$13="","",IF($B112="","",IFERROR($C112*$D112*SUMIFS('Dvd Calendar'!$E$200:$CZ$200,'Dvd Calendar'!$E$199:$CZ$199,"&gt;"&amp;M$12,'Dvd Calendar'!$E$199:$CZ$199,"&lt;="&amp;M$13)/AS51!$B$3,"")))</f>
        <v/>
      </c>
      <c r="N112" s="113">
        <f>IF(N$13="","",IF($B112="","",IFERROR($C112*$D112*SUMIFS('Dvd Calendar'!$E$200:$CZ$200,'Dvd Calendar'!$E$199:$CZ$199,"&gt;"&amp;N$12,'Dvd Calendar'!$E$199:$CZ$199,"&lt;="&amp;N$13)/AS51!$B$3,"")))</f>
        <v/>
      </c>
      <c r="O112" s="113">
        <f>IF(O$13="","",IF($B112="","",IFERROR($C112*$D112*SUMIFS('Dvd Calendar'!$E$200:$CZ$200,'Dvd Calendar'!$E$199:$CZ$199,"&gt;"&amp;O$12,'Dvd Calendar'!$E$199:$CZ$199,"&lt;="&amp;O$13)/AS51!$B$3,"")))</f>
        <v/>
      </c>
      <c r="P112" s="113">
        <f>IF(P$13="","",IF($B112="","",IFERROR($C112*$D112*SUMIFS('Dvd Calendar'!$E$200:$CZ$200,'Dvd Calendar'!$E$199:$CZ$199,"&gt;"&amp;P$12,'Dvd Calendar'!$E$199:$CZ$199,"&lt;="&amp;P$13)/AS51!$B$3,"")))</f>
        <v/>
      </c>
      <c r="Q112" s="113">
        <f>IF(Q$13="","",IF($B112="","",IFERROR($C112*$D112*SUMIFS('Dvd Calendar'!$E$200:$CZ$200,'Dvd Calendar'!$E$199:$CZ$199,"&gt;"&amp;Q$12,'Dvd Calendar'!$E$199:$CZ$199,"&lt;="&amp;Q$13)/AS51!$B$3,"")))</f>
        <v/>
      </c>
      <c r="R112" s="113">
        <f>IF(R$13="","",IF($B112="","",IFERROR($C112*$D112*SUMIFS('Dvd Calendar'!$E$200:$CZ$200,'Dvd Calendar'!$E$199:$CZ$199,"&gt;"&amp;R$12,'Dvd Calendar'!$E$199:$CZ$199,"&lt;="&amp;R$13)/AS51!$B$3,"")))</f>
        <v/>
      </c>
      <c r="S112" s="113">
        <f>IF(S$13="","",IF($B112="","",IFERROR($C112*$D112*SUMIFS('Dvd Calendar'!$E$200:$CZ$200,'Dvd Calendar'!$E$199:$CZ$199,"&gt;"&amp;S$12,'Dvd Calendar'!$E$199:$CZ$199,"&lt;="&amp;S$13)/AS51!$B$3,"")))</f>
        <v/>
      </c>
      <c r="T112" s="113">
        <f>IF(T$13="","",IF($B112="","",IFERROR($C112*$D112*SUMIFS('Dvd Calendar'!$E$200:$CZ$200,'Dvd Calendar'!$E$199:$CZ$199,"&gt;"&amp;T$12,'Dvd Calendar'!$E$199:$CZ$199,"&lt;="&amp;T$13)/AS51!$B$3,"")))</f>
        <v/>
      </c>
      <c r="U112" s="113">
        <f>IF(U$13="","",IF($B112="","",IFERROR($C112*$D112*SUMIFS('Dvd Calendar'!$E$200:$CZ$200,'Dvd Calendar'!$E$199:$CZ$199,"&gt;"&amp;U$12,'Dvd Calendar'!$E$199:$CZ$199,"&lt;="&amp;U$13)/AS51!$B$3,"")))</f>
        <v/>
      </c>
      <c r="W112" s="113">
        <f>IF(W$13="","",IF($B112="","",IFERROR(F112*$E112/100,"")))</f>
        <v/>
      </c>
      <c r="X112" s="113">
        <f>IF(X$13="","",IF($B112="","",IFERROR(G112*$E112/100,"")))</f>
        <v/>
      </c>
      <c r="Y112" s="113">
        <f>IF(Y$13="","",IF($B112="","",IFERROR(H112*$E112/100,"")))</f>
        <v/>
      </c>
      <c r="Z112" s="113">
        <f>IF(Z$13="","",IF($B112="","",IFERROR(I112*$E112/100,"")))</f>
        <v/>
      </c>
      <c r="AA112" s="113">
        <f>IF(AA$13="","",IF($B112="","",IFERROR(J112*$E112/100,"")))</f>
        <v/>
      </c>
      <c r="AB112" s="113">
        <f>IF(AB$13="","",IF($B112="","",IFERROR(K112*$E112/100,"")))</f>
        <v/>
      </c>
      <c r="AC112" s="113">
        <f>IF(AC$13="","",IF($B112="","",IFERROR(L112*$E112/100,"")))</f>
        <v/>
      </c>
      <c r="AD112" s="113">
        <f>IF(AD$13="","",IF($B112="","",IFERROR(M112*$E112/100,"")))</f>
        <v/>
      </c>
      <c r="AE112" s="113">
        <f>IF(AE$13="","",IF($B112="","",IFERROR(N112*$E112/100,"")))</f>
        <v/>
      </c>
      <c r="AF112" s="113">
        <f>IF(AF$13="","",IF($B112="","",IFERROR(O112*$E112/100,"")))</f>
        <v/>
      </c>
      <c r="AG112" s="113">
        <f>IF(AG$13="","",IF($B112="","",IFERROR(P112*$E112/100,"")))</f>
        <v/>
      </c>
      <c r="AH112" s="113">
        <f>IF(AH$13="","",IF($B112="","",IFERROR(Q112*$E112/100,"")))</f>
        <v/>
      </c>
      <c r="AI112" s="113">
        <f>IF(AI$13="","",IF($B112="","",IFERROR(R112*$E112/100,"")))</f>
        <v/>
      </c>
      <c r="AJ112" s="113">
        <f>IF(AJ$13="","",IF($B112="","",IFERROR(S112*$E112/100,"")))</f>
        <v/>
      </c>
      <c r="AK112" s="113">
        <f>IF(AK$13="","",IF($B112="","",IFERROR(T112*$E112/100,"")))</f>
        <v/>
      </c>
      <c r="AL112" s="113">
        <f>IF(AL$13="","",IF($B112="","",IFERROR(U112*$E112/100,"")))</f>
        <v/>
      </c>
    </row>
    <row r="113">
      <c r="B113" s="5">
        <f>IF(AS51!$C$103="","",AS51!$C$103)</f>
        <v/>
      </c>
      <c r="C113" s="86">
        <f>IF(AS51!$B$103="","",AS51!$B$103)</f>
        <v/>
      </c>
      <c r="D113" s="111">
        <f>IFERROR(AS51!$Q$103,1)</f>
        <v/>
      </c>
      <c r="E113" s="112">
        <f>IF($B113="","",IF(ISNUMBER(AS51!$I$103),AS51!$I$103,'Index Summary'!$C$7))</f>
        <v/>
      </c>
      <c r="F113" s="113">
        <f>IF(F$13="","",IF($B113="","",IFERROR($C113*$D113*SUMIFS('Dvd Calendar'!$E$202:$CZ$202,'Dvd Calendar'!$E$201:$CZ$201,"&gt;"&amp;F$12,'Dvd Calendar'!$E$201:$CZ$201,"&lt;="&amp;F$13)/AS51!$B$3,"")))</f>
        <v/>
      </c>
      <c r="G113" s="113">
        <f>IF(G$13="","",IF($B113="","",IFERROR($C113*$D113*SUMIFS('Dvd Calendar'!$E$202:$CZ$202,'Dvd Calendar'!$E$201:$CZ$201,"&gt;"&amp;G$12,'Dvd Calendar'!$E$201:$CZ$201,"&lt;="&amp;G$13)/AS51!$B$3,"")))</f>
        <v/>
      </c>
      <c r="H113" s="113">
        <f>IF(H$13="","",IF($B113="","",IFERROR($C113*$D113*SUMIFS('Dvd Calendar'!$E$202:$CZ$202,'Dvd Calendar'!$E$201:$CZ$201,"&gt;"&amp;H$12,'Dvd Calendar'!$E$201:$CZ$201,"&lt;="&amp;H$13)/AS51!$B$3,"")))</f>
        <v/>
      </c>
      <c r="I113" s="113">
        <f>IF(I$13="","",IF($B113="","",IFERROR($C113*$D113*SUMIFS('Dvd Calendar'!$E$202:$CZ$202,'Dvd Calendar'!$E$201:$CZ$201,"&gt;"&amp;I$12,'Dvd Calendar'!$E$201:$CZ$201,"&lt;="&amp;I$13)/AS51!$B$3,"")))</f>
        <v/>
      </c>
      <c r="J113" s="113">
        <f>IF(J$13="","",IF($B113="","",IFERROR($C113*$D113*SUMIFS('Dvd Calendar'!$E$202:$CZ$202,'Dvd Calendar'!$E$201:$CZ$201,"&gt;"&amp;J$12,'Dvd Calendar'!$E$201:$CZ$201,"&lt;="&amp;J$13)/AS51!$B$3,"")))</f>
        <v/>
      </c>
      <c r="K113" s="113">
        <f>IF(K$13="","",IF($B113="","",IFERROR($C113*$D113*SUMIFS('Dvd Calendar'!$E$202:$CZ$202,'Dvd Calendar'!$E$201:$CZ$201,"&gt;"&amp;K$12,'Dvd Calendar'!$E$201:$CZ$201,"&lt;="&amp;K$13)/AS51!$B$3,"")))</f>
        <v/>
      </c>
      <c r="L113" s="113">
        <f>IF(L$13="","",IF($B113="","",IFERROR($C113*$D113*SUMIFS('Dvd Calendar'!$E$202:$CZ$202,'Dvd Calendar'!$E$201:$CZ$201,"&gt;"&amp;L$12,'Dvd Calendar'!$E$201:$CZ$201,"&lt;="&amp;L$13)/AS51!$B$3,"")))</f>
        <v/>
      </c>
      <c r="M113" s="113">
        <f>IF(M$13="","",IF($B113="","",IFERROR($C113*$D113*SUMIFS('Dvd Calendar'!$E$202:$CZ$202,'Dvd Calendar'!$E$201:$CZ$201,"&gt;"&amp;M$12,'Dvd Calendar'!$E$201:$CZ$201,"&lt;="&amp;M$13)/AS51!$B$3,"")))</f>
        <v/>
      </c>
      <c r="N113" s="113">
        <f>IF(N$13="","",IF($B113="","",IFERROR($C113*$D113*SUMIFS('Dvd Calendar'!$E$202:$CZ$202,'Dvd Calendar'!$E$201:$CZ$201,"&gt;"&amp;N$12,'Dvd Calendar'!$E$201:$CZ$201,"&lt;="&amp;N$13)/AS51!$B$3,"")))</f>
        <v/>
      </c>
      <c r="O113" s="113">
        <f>IF(O$13="","",IF($B113="","",IFERROR($C113*$D113*SUMIFS('Dvd Calendar'!$E$202:$CZ$202,'Dvd Calendar'!$E$201:$CZ$201,"&gt;"&amp;O$12,'Dvd Calendar'!$E$201:$CZ$201,"&lt;="&amp;O$13)/AS51!$B$3,"")))</f>
        <v/>
      </c>
      <c r="P113" s="113">
        <f>IF(P$13="","",IF($B113="","",IFERROR($C113*$D113*SUMIFS('Dvd Calendar'!$E$202:$CZ$202,'Dvd Calendar'!$E$201:$CZ$201,"&gt;"&amp;P$12,'Dvd Calendar'!$E$201:$CZ$201,"&lt;="&amp;P$13)/AS51!$B$3,"")))</f>
        <v/>
      </c>
      <c r="Q113" s="113">
        <f>IF(Q$13="","",IF($B113="","",IFERROR($C113*$D113*SUMIFS('Dvd Calendar'!$E$202:$CZ$202,'Dvd Calendar'!$E$201:$CZ$201,"&gt;"&amp;Q$12,'Dvd Calendar'!$E$201:$CZ$201,"&lt;="&amp;Q$13)/AS51!$B$3,"")))</f>
        <v/>
      </c>
      <c r="R113" s="113">
        <f>IF(R$13="","",IF($B113="","",IFERROR($C113*$D113*SUMIFS('Dvd Calendar'!$E$202:$CZ$202,'Dvd Calendar'!$E$201:$CZ$201,"&gt;"&amp;R$12,'Dvd Calendar'!$E$201:$CZ$201,"&lt;="&amp;R$13)/AS51!$B$3,"")))</f>
        <v/>
      </c>
      <c r="S113" s="113">
        <f>IF(S$13="","",IF($B113="","",IFERROR($C113*$D113*SUMIFS('Dvd Calendar'!$E$202:$CZ$202,'Dvd Calendar'!$E$201:$CZ$201,"&gt;"&amp;S$12,'Dvd Calendar'!$E$201:$CZ$201,"&lt;="&amp;S$13)/AS51!$B$3,"")))</f>
        <v/>
      </c>
      <c r="T113" s="113">
        <f>IF(T$13="","",IF($B113="","",IFERROR($C113*$D113*SUMIFS('Dvd Calendar'!$E$202:$CZ$202,'Dvd Calendar'!$E$201:$CZ$201,"&gt;"&amp;T$12,'Dvd Calendar'!$E$201:$CZ$201,"&lt;="&amp;T$13)/AS51!$B$3,"")))</f>
        <v/>
      </c>
      <c r="U113" s="113">
        <f>IF(U$13="","",IF($B113="","",IFERROR($C113*$D113*SUMIFS('Dvd Calendar'!$E$202:$CZ$202,'Dvd Calendar'!$E$201:$CZ$201,"&gt;"&amp;U$12,'Dvd Calendar'!$E$201:$CZ$201,"&lt;="&amp;U$13)/AS51!$B$3,"")))</f>
        <v/>
      </c>
      <c r="W113" s="113">
        <f>IF(W$13="","",IF($B113="","",IFERROR(F113*$E113/100,"")))</f>
        <v/>
      </c>
      <c r="X113" s="113">
        <f>IF(X$13="","",IF($B113="","",IFERROR(G113*$E113/100,"")))</f>
        <v/>
      </c>
      <c r="Y113" s="113">
        <f>IF(Y$13="","",IF($B113="","",IFERROR(H113*$E113/100,"")))</f>
        <v/>
      </c>
      <c r="Z113" s="113">
        <f>IF(Z$13="","",IF($B113="","",IFERROR(I113*$E113/100,"")))</f>
        <v/>
      </c>
      <c r="AA113" s="113">
        <f>IF(AA$13="","",IF($B113="","",IFERROR(J113*$E113/100,"")))</f>
        <v/>
      </c>
      <c r="AB113" s="113">
        <f>IF(AB$13="","",IF($B113="","",IFERROR(K113*$E113/100,"")))</f>
        <v/>
      </c>
      <c r="AC113" s="113">
        <f>IF(AC$13="","",IF($B113="","",IFERROR(L113*$E113/100,"")))</f>
        <v/>
      </c>
      <c r="AD113" s="113">
        <f>IF(AD$13="","",IF($B113="","",IFERROR(M113*$E113/100,"")))</f>
        <v/>
      </c>
      <c r="AE113" s="113">
        <f>IF(AE$13="","",IF($B113="","",IFERROR(N113*$E113/100,"")))</f>
        <v/>
      </c>
      <c r="AF113" s="113">
        <f>IF(AF$13="","",IF($B113="","",IFERROR(O113*$E113/100,"")))</f>
        <v/>
      </c>
      <c r="AG113" s="113">
        <f>IF(AG$13="","",IF($B113="","",IFERROR(P113*$E113/100,"")))</f>
        <v/>
      </c>
      <c r="AH113" s="113">
        <f>IF(AH$13="","",IF($B113="","",IFERROR(Q113*$E113/100,"")))</f>
        <v/>
      </c>
      <c r="AI113" s="113">
        <f>IF(AI$13="","",IF($B113="","",IFERROR(R113*$E113/100,"")))</f>
        <v/>
      </c>
      <c r="AJ113" s="113">
        <f>IF(AJ$13="","",IF($B113="","",IFERROR(S113*$E113/100,"")))</f>
        <v/>
      </c>
      <c r="AK113" s="113">
        <f>IF(AK$13="","",IF($B113="","",IFERROR(T113*$E113/100,"")))</f>
        <v/>
      </c>
      <c r="AL113" s="113">
        <f>IF(AL$13="","",IF($B113="","",IFERROR(U113*$E113/100,"")))</f>
        <v/>
      </c>
    </row>
    <row r="114">
      <c r="B114" s="5">
        <f>IF(AS51!$C$104="","",AS51!$C$104)</f>
        <v/>
      </c>
      <c r="C114" s="86">
        <f>IF(AS51!$B$104="","",AS51!$B$104)</f>
        <v/>
      </c>
      <c r="D114" s="111">
        <f>IFERROR(AS51!$Q$104,1)</f>
        <v/>
      </c>
      <c r="E114" s="112">
        <f>IF($B114="","",IF(ISNUMBER(AS51!$I$104),AS51!$I$104,'Index Summary'!$C$7))</f>
        <v/>
      </c>
      <c r="F114" s="113">
        <f>IF(F$13="","",IF($B114="","",IFERROR($C114*$D114*SUMIFS('Dvd Calendar'!$E$204:$CZ$204,'Dvd Calendar'!$E$203:$CZ$203,"&gt;"&amp;F$12,'Dvd Calendar'!$E$203:$CZ$203,"&lt;="&amp;F$13)/AS51!$B$3,"")))</f>
        <v/>
      </c>
      <c r="G114" s="113">
        <f>IF(G$13="","",IF($B114="","",IFERROR($C114*$D114*SUMIFS('Dvd Calendar'!$E$204:$CZ$204,'Dvd Calendar'!$E$203:$CZ$203,"&gt;"&amp;G$12,'Dvd Calendar'!$E$203:$CZ$203,"&lt;="&amp;G$13)/AS51!$B$3,"")))</f>
        <v/>
      </c>
      <c r="H114" s="113">
        <f>IF(H$13="","",IF($B114="","",IFERROR($C114*$D114*SUMIFS('Dvd Calendar'!$E$204:$CZ$204,'Dvd Calendar'!$E$203:$CZ$203,"&gt;"&amp;H$12,'Dvd Calendar'!$E$203:$CZ$203,"&lt;="&amp;H$13)/AS51!$B$3,"")))</f>
        <v/>
      </c>
      <c r="I114" s="113">
        <f>IF(I$13="","",IF($B114="","",IFERROR($C114*$D114*SUMIFS('Dvd Calendar'!$E$204:$CZ$204,'Dvd Calendar'!$E$203:$CZ$203,"&gt;"&amp;I$12,'Dvd Calendar'!$E$203:$CZ$203,"&lt;="&amp;I$13)/AS51!$B$3,"")))</f>
        <v/>
      </c>
      <c r="J114" s="113">
        <f>IF(J$13="","",IF($B114="","",IFERROR($C114*$D114*SUMIFS('Dvd Calendar'!$E$204:$CZ$204,'Dvd Calendar'!$E$203:$CZ$203,"&gt;"&amp;J$12,'Dvd Calendar'!$E$203:$CZ$203,"&lt;="&amp;J$13)/AS51!$B$3,"")))</f>
        <v/>
      </c>
      <c r="K114" s="113">
        <f>IF(K$13="","",IF($B114="","",IFERROR($C114*$D114*SUMIFS('Dvd Calendar'!$E$204:$CZ$204,'Dvd Calendar'!$E$203:$CZ$203,"&gt;"&amp;K$12,'Dvd Calendar'!$E$203:$CZ$203,"&lt;="&amp;K$13)/AS51!$B$3,"")))</f>
        <v/>
      </c>
      <c r="L114" s="113">
        <f>IF(L$13="","",IF($B114="","",IFERROR($C114*$D114*SUMIFS('Dvd Calendar'!$E$204:$CZ$204,'Dvd Calendar'!$E$203:$CZ$203,"&gt;"&amp;L$12,'Dvd Calendar'!$E$203:$CZ$203,"&lt;="&amp;L$13)/AS51!$B$3,"")))</f>
        <v/>
      </c>
      <c r="M114" s="113">
        <f>IF(M$13="","",IF($B114="","",IFERROR($C114*$D114*SUMIFS('Dvd Calendar'!$E$204:$CZ$204,'Dvd Calendar'!$E$203:$CZ$203,"&gt;"&amp;M$12,'Dvd Calendar'!$E$203:$CZ$203,"&lt;="&amp;M$13)/AS51!$B$3,"")))</f>
        <v/>
      </c>
      <c r="N114" s="113">
        <f>IF(N$13="","",IF($B114="","",IFERROR($C114*$D114*SUMIFS('Dvd Calendar'!$E$204:$CZ$204,'Dvd Calendar'!$E$203:$CZ$203,"&gt;"&amp;N$12,'Dvd Calendar'!$E$203:$CZ$203,"&lt;="&amp;N$13)/AS51!$B$3,"")))</f>
        <v/>
      </c>
      <c r="O114" s="113">
        <f>IF(O$13="","",IF($B114="","",IFERROR($C114*$D114*SUMIFS('Dvd Calendar'!$E$204:$CZ$204,'Dvd Calendar'!$E$203:$CZ$203,"&gt;"&amp;O$12,'Dvd Calendar'!$E$203:$CZ$203,"&lt;="&amp;O$13)/AS51!$B$3,"")))</f>
        <v/>
      </c>
      <c r="P114" s="113">
        <f>IF(P$13="","",IF($B114="","",IFERROR($C114*$D114*SUMIFS('Dvd Calendar'!$E$204:$CZ$204,'Dvd Calendar'!$E$203:$CZ$203,"&gt;"&amp;P$12,'Dvd Calendar'!$E$203:$CZ$203,"&lt;="&amp;P$13)/AS51!$B$3,"")))</f>
        <v/>
      </c>
      <c r="Q114" s="113">
        <f>IF(Q$13="","",IF($B114="","",IFERROR($C114*$D114*SUMIFS('Dvd Calendar'!$E$204:$CZ$204,'Dvd Calendar'!$E$203:$CZ$203,"&gt;"&amp;Q$12,'Dvd Calendar'!$E$203:$CZ$203,"&lt;="&amp;Q$13)/AS51!$B$3,"")))</f>
        <v/>
      </c>
      <c r="R114" s="113">
        <f>IF(R$13="","",IF($B114="","",IFERROR($C114*$D114*SUMIFS('Dvd Calendar'!$E$204:$CZ$204,'Dvd Calendar'!$E$203:$CZ$203,"&gt;"&amp;R$12,'Dvd Calendar'!$E$203:$CZ$203,"&lt;="&amp;R$13)/AS51!$B$3,"")))</f>
        <v/>
      </c>
      <c r="S114" s="113">
        <f>IF(S$13="","",IF($B114="","",IFERROR($C114*$D114*SUMIFS('Dvd Calendar'!$E$204:$CZ$204,'Dvd Calendar'!$E$203:$CZ$203,"&gt;"&amp;S$12,'Dvd Calendar'!$E$203:$CZ$203,"&lt;="&amp;S$13)/AS51!$B$3,"")))</f>
        <v/>
      </c>
      <c r="T114" s="113">
        <f>IF(T$13="","",IF($B114="","",IFERROR($C114*$D114*SUMIFS('Dvd Calendar'!$E$204:$CZ$204,'Dvd Calendar'!$E$203:$CZ$203,"&gt;"&amp;T$12,'Dvd Calendar'!$E$203:$CZ$203,"&lt;="&amp;T$13)/AS51!$B$3,"")))</f>
        <v/>
      </c>
      <c r="U114" s="113">
        <f>IF(U$13="","",IF($B114="","",IFERROR($C114*$D114*SUMIFS('Dvd Calendar'!$E$204:$CZ$204,'Dvd Calendar'!$E$203:$CZ$203,"&gt;"&amp;U$12,'Dvd Calendar'!$E$203:$CZ$203,"&lt;="&amp;U$13)/AS51!$B$3,"")))</f>
        <v/>
      </c>
      <c r="W114" s="113">
        <f>IF(W$13="","",IF($B114="","",IFERROR(F114*$E114/100,"")))</f>
        <v/>
      </c>
      <c r="X114" s="113">
        <f>IF(X$13="","",IF($B114="","",IFERROR(G114*$E114/100,"")))</f>
        <v/>
      </c>
      <c r="Y114" s="113">
        <f>IF(Y$13="","",IF($B114="","",IFERROR(H114*$E114/100,"")))</f>
        <v/>
      </c>
      <c r="Z114" s="113">
        <f>IF(Z$13="","",IF($B114="","",IFERROR(I114*$E114/100,"")))</f>
        <v/>
      </c>
      <c r="AA114" s="113">
        <f>IF(AA$13="","",IF($B114="","",IFERROR(J114*$E114/100,"")))</f>
        <v/>
      </c>
      <c r="AB114" s="113">
        <f>IF(AB$13="","",IF($B114="","",IFERROR(K114*$E114/100,"")))</f>
        <v/>
      </c>
      <c r="AC114" s="113">
        <f>IF(AC$13="","",IF($B114="","",IFERROR(L114*$E114/100,"")))</f>
        <v/>
      </c>
      <c r="AD114" s="113">
        <f>IF(AD$13="","",IF($B114="","",IFERROR(M114*$E114/100,"")))</f>
        <v/>
      </c>
      <c r="AE114" s="113">
        <f>IF(AE$13="","",IF($B114="","",IFERROR(N114*$E114/100,"")))</f>
        <v/>
      </c>
      <c r="AF114" s="113">
        <f>IF(AF$13="","",IF($B114="","",IFERROR(O114*$E114/100,"")))</f>
        <v/>
      </c>
      <c r="AG114" s="113">
        <f>IF(AG$13="","",IF($B114="","",IFERROR(P114*$E114/100,"")))</f>
        <v/>
      </c>
      <c r="AH114" s="113">
        <f>IF(AH$13="","",IF($B114="","",IFERROR(Q114*$E114/100,"")))</f>
        <v/>
      </c>
      <c r="AI114" s="113">
        <f>IF(AI$13="","",IF($B114="","",IFERROR(R114*$E114/100,"")))</f>
        <v/>
      </c>
      <c r="AJ114" s="113">
        <f>IF(AJ$13="","",IF($B114="","",IFERROR(S114*$E114/100,"")))</f>
        <v/>
      </c>
      <c r="AK114" s="113">
        <f>IF(AK$13="","",IF($B114="","",IFERROR(T114*$E114/100,"")))</f>
        <v/>
      </c>
      <c r="AL114" s="113">
        <f>IF(AL$13="","",IF($B114="","",IFERROR(U114*$E114/100,"")))</f>
        <v/>
      </c>
    </row>
    <row r="115">
      <c r="B115" s="5">
        <f>IF(AS51!$C$105="","",AS51!$C$105)</f>
        <v/>
      </c>
      <c r="C115" s="86">
        <f>IF(AS51!$B$105="","",AS51!$B$105)</f>
        <v/>
      </c>
      <c r="D115" s="111">
        <f>IFERROR(AS51!$Q$105,1)</f>
        <v/>
      </c>
      <c r="E115" s="112">
        <f>IF($B115="","",IF(ISNUMBER(AS51!$I$105),AS51!$I$105,'Index Summary'!$C$7))</f>
        <v/>
      </c>
      <c r="F115" s="113">
        <f>IF(F$13="","",IF($B115="","",IFERROR($C115*$D115*SUMIFS('Dvd Calendar'!$E$206:$CZ$206,'Dvd Calendar'!$E$205:$CZ$205,"&gt;"&amp;F$12,'Dvd Calendar'!$E$205:$CZ$205,"&lt;="&amp;F$13)/AS51!$B$3,"")))</f>
        <v/>
      </c>
      <c r="G115" s="113">
        <f>IF(G$13="","",IF($B115="","",IFERROR($C115*$D115*SUMIFS('Dvd Calendar'!$E$206:$CZ$206,'Dvd Calendar'!$E$205:$CZ$205,"&gt;"&amp;G$12,'Dvd Calendar'!$E$205:$CZ$205,"&lt;="&amp;G$13)/AS51!$B$3,"")))</f>
        <v/>
      </c>
      <c r="H115" s="113">
        <f>IF(H$13="","",IF($B115="","",IFERROR($C115*$D115*SUMIFS('Dvd Calendar'!$E$206:$CZ$206,'Dvd Calendar'!$E$205:$CZ$205,"&gt;"&amp;H$12,'Dvd Calendar'!$E$205:$CZ$205,"&lt;="&amp;H$13)/AS51!$B$3,"")))</f>
        <v/>
      </c>
      <c r="I115" s="113">
        <f>IF(I$13="","",IF($B115="","",IFERROR($C115*$D115*SUMIFS('Dvd Calendar'!$E$206:$CZ$206,'Dvd Calendar'!$E$205:$CZ$205,"&gt;"&amp;I$12,'Dvd Calendar'!$E$205:$CZ$205,"&lt;="&amp;I$13)/AS51!$B$3,"")))</f>
        <v/>
      </c>
      <c r="J115" s="113">
        <f>IF(J$13="","",IF($B115="","",IFERROR($C115*$D115*SUMIFS('Dvd Calendar'!$E$206:$CZ$206,'Dvd Calendar'!$E$205:$CZ$205,"&gt;"&amp;J$12,'Dvd Calendar'!$E$205:$CZ$205,"&lt;="&amp;J$13)/AS51!$B$3,"")))</f>
        <v/>
      </c>
      <c r="K115" s="113">
        <f>IF(K$13="","",IF($B115="","",IFERROR($C115*$D115*SUMIFS('Dvd Calendar'!$E$206:$CZ$206,'Dvd Calendar'!$E$205:$CZ$205,"&gt;"&amp;K$12,'Dvd Calendar'!$E$205:$CZ$205,"&lt;="&amp;K$13)/AS51!$B$3,"")))</f>
        <v/>
      </c>
      <c r="L115" s="113">
        <f>IF(L$13="","",IF($B115="","",IFERROR($C115*$D115*SUMIFS('Dvd Calendar'!$E$206:$CZ$206,'Dvd Calendar'!$E$205:$CZ$205,"&gt;"&amp;L$12,'Dvd Calendar'!$E$205:$CZ$205,"&lt;="&amp;L$13)/AS51!$B$3,"")))</f>
        <v/>
      </c>
      <c r="M115" s="113">
        <f>IF(M$13="","",IF($B115="","",IFERROR($C115*$D115*SUMIFS('Dvd Calendar'!$E$206:$CZ$206,'Dvd Calendar'!$E$205:$CZ$205,"&gt;"&amp;M$12,'Dvd Calendar'!$E$205:$CZ$205,"&lt;="&amp;M$13)/AS51!$B$3,"")))</f>
        <v/>
      </c>
      <c r="N115" s="113">
        <f>IF(N$13="","",IF($B115="","",IFERROR($C115*$D115*SUMIFS('Dvd Calendar'!$E$206:$CZ$206,'Dvd Calendar'!$E$205:$CZ$205,"&gt;"&amp;N$12,'Dvd Calendar'!$E$205:$CZ$205,"&lt;="&amp;N$13)/AS51!$B$3,"")))</f>
        <v/>
      </c>
      <c r="O115" s="113">
        <f>IF(O$13="","",IF($B115="","",IFERROR($C115*$D115*SUMIFS('Dvd Calendar'!$E$206:$CZ$206,'Dvd Calendar'!$E$205:$CZ$205,"&gt;"&amp;O$12,'Dvd Calendar'!$E$205:$CZ$205,"&lt;="&amp;O$13)/AS51!$B$3,"")))</f>
        <v/>
      </c>
      <c r="P115" s="113">
        <f>IF(P$13="","",IF($B115="","",IFERROR($C115*$D115*SUMIFS('Dvd Calendar'!$E$206:$CZ$206,'Dvd Calendar'!$E$205:$CZ$205,"&gt;"&amp;P$12,'Dvd Calendar'!$E$205:$CZ$205,"&lt;="&amp;P$13)/AS51!$B$3,"")))</f>
        <v/>
      </c>
      <c r="Q115" s="113">
        <f>IF(Q$13="","",IF($B115="","",IFERROR($C115*$D115*SUMIFS('Dvd Calendar'!$E$206:$CZ$206,'Dvd Calendar'!$E$205:$CZ$205,"&gt;"&amp;Q$12,'Dvd Calendar'!$E$205:$CZ$205,"&lt;="&amp;Q$13)/AS51!$B$3,"")))</f>
        <v/>
      </c>
      <c r="R115" s="113">
        <f>IF(R$13="","",IF($B115="","",IFERROR($C115*$D115*SUMIFS('Dvd Calendar'!$E$206:$CZ$206,'Dvd Calendar'!$E$205:$CZ$205,"&gt;"&amp;R$12,'Dvd Calendar'!$E$205:$CZ$205,"&lt;="&amp;R$13)/AS51!$B$3,"")))</f>
        <v/>
      </c>
      <c r="S115" s="113">
        <f>IF(S$13="","",IF($B115="","",IFERROR($C115*$D115*SUMIFS('Dvd Calendar'!$E$206:$CZ$206,'Dvd Calendar'!$E$205:$CZ$205,"&gt;"&amp;S$12,'Dvd Calendar'!$E$205:$CZ$205,"&lt;="&amp;S$13)/AS51!$B$3,"")))</f>
        <v/>
      </c>
      <c r="T115" s="113">
        <f>IF(T$13="","",IF($B115="","",IFERROR($C115*$D115*SUMIFS('Dvd Calendar'!$E$206:$CZ$206,'Dvd Calendar'!$E$205:$CZ$205,"&gt;"&amp;T$12,'Dvd Calendar'!$E$205:$CZ$205,"&lt;="&amp;T$13)/AS51!$B$3,"")))</f>
        <v/>
      </c>
      <c r="U115" s="113">
        <f>IF(U$13="","",IF($B115="","",IFERROR($C115*$D115*SUMIFS('Dvd Calendar'!$E$206:$CZ$206,'Dvd Calendar'!$E$205:$CZ$205,"&gt;"&amp;U$12,'Dvd Calendar'!$E$205:$CZ$205,"&lt;="&amp;U$13)/AS51!$B$3,"")))</f>
        <v/>
      </c>
      <c r="W115" s="113">
        <f>IF(W$13="","",IF($B115="","",IFERROR(F115*$E115/100,"")))</f>
        <v/>
      </c>
      <c r="X115" s="113">
        <f>IF(X$13="","",IF($B115="","",IFERROR(G115*$E115/100,"")))</f>
        <v/>
      </c>
      <c r="Y115" s="113">
        <f>IF(Y$13="","",IF($B115="","",IFERROR(H115*$E115/100,"")))</f>
        <v/>
      </c>
      <c r="Z115" s="113">
        <f>IF(Z$13="","",IF($B115="","",IFERROR(I115*$E115/100,"")))</f>
        <v/>
      </c>
      <c r="AA115" s="113">
        <f>IF(AA$13="","",IF($B115="","",IFERROR(J115*$E115/100,"")))</f>
        <v/>
      </c>
      <c r="AB115" s="113">
        <f>IF(AB$13="","",IF($B115="","",IFERROR(K115*$E115/100,"")))</f>
        <v/>
      </c>
      <c r="AC115" s="113">
        <f>IF(AC$13="","",IF($B115="","",IFERROR(L115*$E115/100,"")))</f>
        <v/>
      </c>
      <c r="AD115" s="113">
        <f>IF(AD$13="","",IF($B115="","",IFERROR(M115*$E115/100,"")))</f>
        <v/>
      </c>
      <c r="AE115" s="113">
        <f>IF(AE$13="","",IF($B115="","",IFERROR(N115*$E115/100,"")))</f>
        <v/>
      </c>
      <c r="AF115" s="113">
        <f>IF(AF$13="","",IF($B115="","",IFERROR(O115*$E115/100,"")))</f>
        <v/>
      </c>
      <c r="AG115" s="113">
        <f>IF(AG$13="","",IF($B115="","",IFERROR(P115*$E115/100,"")))</f>
        <v/>
      </c>
      <c r="AH115" s="113">
        <f>IF(AH$13="","",IF($B115="","",IFERROR(Q115*$E115/100,"")))</f>
        <v/>
      </c>
      <c r="AI115" s="113">
        <f>IF(AI$13="","",IF($B115="","",IFERROR(R115*$E115/100,"")))</f>
        <v/>
      </c>
      <c r="AJ115" s="113">
        <f>IF(AJ$13="","",IF($B115="","",IFERROR(S115*$E115/100,"")))</f>
        <v/>
      </c>
      <c r="AK115" s="113">
        <f>IF(AK$13="","",IF($B115="","",IFERROR(T115*$E115/100,"")))</f>
        <v/>
      </c>
      <c r="AL115" s="113">
        <f>IF(AL$13="","",IF($B115="","",IFERROR(U115*$E115/100,"")))</f>
        <v/>
      </c>
    </row>
    <row r="116">
      <c r="B116" s="5">
        <f>IF(AS51!$C$106="","",AS51!$C$106)</f>
        <v/>
      </c>
      <c r="C116" s="86">
        <f>IF(AS51!$B$106="","",AS51!$B$106)</f>
        <v/>
      </c>
      <c r="D116" s="111">
        <f>IFERROR(AS51!$Q$106,1)</f>
        <v/>
      </c>
      <c r="E116" s="112">
        <f>IF($B116="","",IF(ISNUMBER(AS51!$I$106),AS51!$I$106,'Index Summary'!$C$7))</f>
        <v/>
      </c>
      <c r="F116" s="113">
        <f>IF(F$13="","",IF($B116="","",IFERROR($C116*$D116*SUMIFS('Dvd Calendar'!$E$208:$CZ$208,'Dvd Calendar'!$E$207:$CZ$207,"&gt;"&amp;F$12,'Dvd Calendar'!$E$207:$CZ$207,"&lt;="&amp;F$13)/AS51!$B$3,"")))</f>
        <v/>
      </c>
      <c r="G116" s="113">
        <f>IF(G$13="","",IF($B116="","",IFERROR($C116*$D116*SUMIFS('Dvd Calendar'!$E$208:$CZ$208,'Dvd Calendar'!$E$207:$CZ$207,"&gt;"&amp;G$12,'Dvd Calendar'!$E$207:$CZ$207,"&lt;="&amp;G$13)/AS51!$B$3,"")))</f>
        <v/>
      </c>
      <c r="H116" s="113">
        <f>IF(H$13="","",IF($B116="","",IFERROR($C116*$D116*SUMIFS('Dvd Calendar'!$E$208:$CZ$208,'Dvd Calendar'!$E$207:$CZ$207,"&gt;"&amp;H$12,'Dvd Calendar'!$E$207:$CZ$207,"&lt;="&amp;H$13)/AS51!$B$3,"")))</f>
        <v/>
      </c>
      <c r="I116" s="113">
        <f>IF(I$13="","",IF($B116="","",IFERROR($C116*$D116*SUMIFS('Dvd Calendar'!$E$208:$CZ$208,'Dvd Calendar'!$E$207:$CZ$207,"&gt;"&amp;I$12,'Dvd Calendar'!$E$207:$CZ$207,"&lt;="&amp;I$13)/AS51!$B$3,"")))</f>
        <v/>
      </c>
      <c r="J116" s="113">
        <f>IF(J$13="","",IF($B116="","",IFERROR($C116*$D116*SUMIFS('Dvd Calendar'!$E$208:$CZ$208,'Dvd Calendar'!$E$207:$CZ$207,"&gt;"&amp;J$12,'Dvd Calendar'!$E$207:$CZ$207,"&lt;="&amp;J$13)/AS51!$B$3,"")))</f>
        <v/>
      </c>
      <c r="K116" s="113">
        <f>IF(K$13="","",IF($B116="","",IFERROR($C116*$D116*SUMIFS('Dvd Calendar'!$E$208:$CZ$208,'Dvd Calendar'!$E$207:$CZ$207,"&gt;"&amp;K$12,'Dvd Calendar'!$E$207:$CZ$207,"&lt;="&amp;K$13)/AS51!$B$3,"")))</f>
        <v/>
      </c>
      <c r="L116" s="113">
        <f>IF(L$13="","",IF($B116="","",IFERROR($C116*$D116*SUMIFS('Dvd Calendar'!$E$208:$CZ$208,'Dvd Calendar'!$E$207:$CZ$207,"&gt;"&amp;L$12,'Dvd Calendar'!$E$207:$CZ$207,"&lt;="&amp;L$13)/AS51!$B$3,"")))</f>
        <v/>
      </c>
      <c r="M116" s="113">
        <f>IF(M$13="","",IF($B116="","",IFERROR($C116*$D116*SUMIFS('Dvd Calendar'!$E$208:$CZ$208,'Dvd Calendar'!$E$207:$CZ$207,"&gt;"&amp;M$12,'Dvd Calendar'!$E$207:$CZ$207,"&lt;="&amp;M$13)/AS51!$B$3,"")))</f>
        <v/>
      </c>
      <c r="N116" s="113">
        <f>IF(N$13="","",IF($B116="","",IFERROR($C116*$D116*SUMIFS('Dvd Calendar'!$E$208:$CZ$208,'Dvd Calendar'!$E$207:$CZ$207,"&gt;"&amp;N$12,'Dvd Calendar'!$E$207:$CZ$207,"&lt;="&amp;N$13)/AS51!$B$3,"")))</f>
        <v/>
      </c>
      <c r="O116" s="113">
        <f>IF(O$13="","",IF($B116="","",IFERROR($C116*$D116*SUMIFS('Dvd Calendar'!$E$208:$CZ$208,'Dvd Calendar'!$E$207:$CZ$207,"&gt;"&amp;O$12,'Dvd Calendar'!$E$207:$CZ$207,"&lt;="&amp;O$13)/AS51!$B$3,"")))</f>
        <v/>
      </c>
      <c r="P116" s="113">
        <f>IF(P$13="","",IF($B116="","",IFERROR($C116*$D116*SUMIFS('Dvd Calendar'!$E$208:$CZ$208,'Dvd Calendar'!$E$207:$CZ$207,"&gt;"&amp;P$12,'Dvd Calendar'!$E$207:$CZ$207,"&lt;="&amp;P$13)/AS51!$B$3,"")))</f>
        <v/>
      </c>
      <c r="Q116" s="113">
        <f>IF(Q$13="","",IF($B116="","",IFERROR($C116*$D116*SUMIFS('Dvd Calendar'!$E$208:$CZ$208,'Dvd Calendar'!$E$207:$CZ$207,"&gt;"&amp;Q$12,'Dvd Calendar'!$E$207:$CZ$207,"&lt;="&amp;Q$13)/AS51!$B$3,"")))</f>
        <v/>
      </c>
      <c r="R116" s="113">
        <f>IF(R$13="","",IF($B116="","",IFERROR($C116*$D116*SUMIFS('Dvd Calendar'!$E$208:$CZ$208,'Dvd Calendar'!$E$207:$CZ$207,"&gt;"&amp;R$12,'Dvd Calendar'!$E$207:$CZ$207,"&lt;="&amp;R$13)/AS51!$B$3,"")))</f>
        <v/>
      </c>
      <c r="S116" s="113">
        <f>IF(S$13="","",IF($B116="","",IFERROR($C116*$D116*SUMIFS('Dvd Calendar'!$E$208:$CZ$208,'Dvd Calendar'!$E$207:$CZ$207,"&gt;"&amp;S$12,'Dvd Calendar'!$E$207:$CZ$207,"&lt;="&amp;S$13)/AS51!$B$3,"")))</f>
        <v/>
      </c>
      <c r="T116" s="113">
        <f>IF(T$13="","",IF($B116="","",IFERROR($C116*$D116*SUMIFS('Dvd Calendar'!$E$208:$CZ$208,'Dvd Calendar'!$E$207:$CZ$207,"&gt;"&amp;T$12,'Dvd Calendar'!$E$207:$CZ$207,"&lt;="&amp;T$13)/AS51!$B$3,"")))</f>
        <v/>
      </c>
      <c r="U116" s="113">
        <f>IF(U$13="","",IF($B116="","",IFERROR($C116*$D116*SUMIFS('Dvd Calendar'!$E$208:$CZ$208,'Dvd Calendar'!$E$207:$CZ$207,"&gt;"&amp;U$12,'Dvd Calendar'!$E$207:$CZ$207,"&lt;="&amp;U$13)/AS51!$B$3,"")))</f>
        <v/>
      </c>
      <c r="W116" s="113">
        <f>IF(W$13="","",IF($B116="","",IFERROR(F116*$E116/100,"")))</f>
        <v/>
      </c>
      <c r="X116" s="113">
        <f>IF(X$13="","",IF($B116="","",IFERROR(G116*$E116/100,"")))</f>
        <v/>
      </c>
      <c r="Y116" s="113">
        <f>IF(Y$13="","",IF($B116="","",IFERROR(H116*$E116/100,"")))</f>
        <v/>
      </c>
      <c r="Z116" s="113">
        <f>IF(Z$13="","",IF($B116="","",IFERROR(I116*$E116/100,"")))</f>
        <v/>
      </c>
      <c r="AA116" s="113">
        <f>IF(AA$13="","",IF($B116="","",IFERROR(J116*$E116/100,"")))</f>
        <v/>
      </c>
      <c r="AB116" s="113">
        <f>IF(AB$13="","",IF($B116="","",IFERROR(K116*$E116/100,"")))</f>
        <v/>
      </c>
      <c r="AC116" s="113">
        <f>IF(AC$13="","",IF($B116="","",IFERROR(L116*$E116/100,"")))</f>
        <v/>
      </c>
      <c r="AD116" s="113">
        <f>IF(AD$13="","",IF($B116="","",IFERROR(M116*$E116/100,"")))</f>
        <v/>
      </c>
      <c r="AE116" s="113">
        <f>IF(AE$13="","",IF($B116="","",IFERROR(N116*$E116/100,"")))</f>
        <v/>
      </c>
      <c r="AF116" s="113">
        <f>IF(AF$13="","",IF($B116="","",IFERROR(O116*$E116/100,"")))</f>
        <v/>
      </c>
      <c r="AG116" s="113">
        <f>IF(AG$13="","",IF($B116="","",IFERROR(P116*$E116/100,"")))</f>
        <v/>
      </c>
      <c r="AH116" s="113">
        <f>IF(AH$13="","",IF($B116="","",IFERROR(Q116*$E116/100,"")))</f>
        <v/>
      </c>
      <c r="AI116" s="113">
        <f>IF(AI$13="","",IF($B116="","",IFERROR(R116*$E116/100,"")))</f>
        <v/>
      </c>
      <c r="AJ116" s="113">
        <f>IF(AJ$13="","",IF($B116="","",IFERROR(S116*$E116/100,"")))</f>
        <v/>
      </c>
      <c r="AK116" s="113">
        <f>IF(AK$13="","",IF($B116="","",IFERROR(T116*$E116/100,"")))</f>
        <v/>
      </c>
      <c r="AL116" s="113">
        <f>IF(AL$13="","",IF($B116="","",IFERROR(U116*$E116/100,"")))</f>
        <v/>
      </c>
    </row>
    <row r="117">
      <c r="B117" s="5">
        <f>IF(AS51!$C$107="","",AS51!$C$107)</f>
        <v/>
      </c>
      <c r="C117" s="86">
        <f>IF(AS51!$B$107="","",AS51!$B$107)</f>
        <v/>
      </c>
      <c r="D117" s="111">
        <f>IFERROR(AS51!$Q$107,1)</f>
        <v/>
      </c>
      <c r="E117" s="112">
        <f>IF($B117="","",IF(ISNUMBER(AS51!$I$107),AS51!$I$107,'Index Summary'!$C$7))</f>
        <v/>
      </c>
      <c r="F117" s="113">
        <f>IF(F$13="","",IF($B117="","",IFERROR($C117*$D117*SUMIFS('Dvd Calendar'!$E$210:$CZ$210,'Dvd Calendar'!$E$209:$CZ$209,"&gt;"&amp;F$12,'Dvd Calendar'!$E$209:$CZ$209,"&lt;="&amp;F$13)/AS51!$B$3,"")))</f>
        <v/>
      </c>
      <c r="G117" s="113">
        <f>IF(G$13="","",IF($B117="","",IFERROR($C117*$D117*SUMIFS('Dvd Calendar'!$E$210:$CZ$210,'Dvd Calendar'!$E$209:$CZ$209,"&gt;"&amp;G$12,'Dvd Calendar'!$E$209:$CZ$209,"&lt;="&amp;G$13)/AS51!$B$3,"")))</f>
        <v/>
      </c>
      <c r="H117" s="113">
        <f>IF(H$13="","",IF($B117="","",IFERROR($C117*$D117*SUMIFS('Dvd Calendar'!$E$210:$CZ$210,'Dvd Calendar'!$E$209:$CZ$209,"&gt;"&amp;H$12,'Dvd Calendar'!$E$209:$CZ$209,"&lt;="&amp;H$13)/AS51!$B$3,"")))</f>
        <v/>
      </c>
      <c r="I117" s="113">
        <f>IF(I$13="","",IF($B117="","",IFERROR($C117*$D117*SUMIFS('Dvd Calendar'!$E$210:$CZ$210,'Dvd Calendar'!$E$209:$CZ$209,"&gt;"&amp;I$12,'Dvd Calendar'!$E$209:$CZ$209,"&lt;="&amp;I$13)/AS51!$B$3,"")))</f>
        <v/>
      </c>
      <c r="J117" s="113">
        <f>IF(J$13="","",IF($B117="","",IFERROR($C117*$D117*SUMIFS('Dvd Calendar'!$E$210:$CZ$210,'Dvd Calendar'!$E$209:$CZ$209,"&gt;"&amp;J$12,'Dvd Calendar'!$E$209:$CZ$209,"&lt;="&amp;J$13)/AS51!$B$3,"")))</f>
        <v/>
      </c>
      <c r="K117" s="113">
        <f>IF(K$13="","",IF($B117="","",IFERROR($C117*$D117*SUMIFS('Dvd Calendar'!$E$210:$CZ$210,'Dvd Calendar'!$E$209:$CZ$209,"&gt;"&amp;K$12,'Dvd Calendar'!$E$209:$CZ$209,"&lt;="&amp;K$13)/AS51!$B$3,"")))</f>
        <v/>
      </c>
      <c r="L117" s="113">
        <f>IF(L$13="","",IF($B117="","",IFERROR($C117*$D117*SUMIFS('Dvd Calendar'!$E$210:$CZ$210,'Dvd Calendar'!$E$209:$CZ$209,"&gt;"&amp;L$12,'Dvd Calendar'!$E$209:$CZ$209,"&lt;="&amp;L$13)/AS51!$B$3,"")))</f>
        <v/>
      </c>
      <c r="M117" s="113">
        <f>IF(M$13="","",IF($B117="","",IFERROR($C117*$D117*SUMIFS('Dvd Calendar'!$E$210:$CZ$210,'Dvd Calendar'!$E$209:$CZ$209,"&gt;"&amp;M$12,'Dvd Calendar'!$E$209:$CZ$209,"&lt;="&amp;M$13)/AS51!$B$3,"")))</f>
        <v/>
      </c>
      <c r="N117" s="113">
        <f>IF(N$13="","",IF($B117="","",IFERROR($C117*$D117*SUMIFS('Dvd Calendar'!$E$210:$CZ$210,'Dvd Calendar'!$E$209:$CZ$209,"&gt;"&amp;N$12,'Dvd Calendar'!$E$209:$CZ$209,"&lt;="&amp;N$13)/AS51!$B$3,"")))</f>
        <v/>
      </c>
      <c r="O117" s="113">
        <f>IF(O$13="","",IF($B117="","",IFERROR($C117*$D117*SUMIFS('Dvd Calendar'!$E$210:$CZ$210,'Dvd Calendar'!$E$209:$CZ$209,"&gt;"&amp;O$12,'Dvd Calendar'!$E$209:$CZ$209,"&lt;="&amp;O$13)/AS51!$B$3,"")))</f>
        <v/>
      </c>
      <c r="P117" s="113">
        <f>IF(P$13="","",IF($B117="","",IFERROR($C117*$D117*SUMIFS('Dvd Calendar'!$E$210:$CZ$210,'Dvd Calendar'!$E$209:$CZ$209,"&gt;"&amp;P$12,'Dvd Calendar'!$E$209:$CZ$209,"&lt;="&amp;P$13)/AS51!$B$3,"")))</f>
        <v/>
      </c>
      <c r="Q117" s="113">
        <f>IF(Q$13="","",IF($B117="","",IFERROR($C117*$D117*SUMIFS('Dvd Calendar'!$E$210:$CZ$210,'Dvd Calendar'!$E$209:$CZ$209,"&gt;"&amp;Q$12,'Dvd Calendar'!$E$209:$CZ$209,"&lt;="&amp;Q$13)/AS51!$B$3,"")))</f>
        <v/>
      </c>
      <c r="R117" s="113">
        <f>IF(R$13="","",IF($B117="","",IFERROR($C117*$D117*SUMIFS('Dvd Calendar'!$E$210:$CZ$210,'Dvd Calendar'!$E$209:$CZ$209,"&gt;"&amp;R$12,'Dvd Calendar'!$E$209:$CZ$209,"&lt;="&amp;R$13)/AS51!$B$3,"")))</f>
        <v/>
      </c>
      <c r="S117" s="113">
        <f>IF(S$13="","",IF($B117="","",IFERROR($C117*$D117*SUMIFS('Dvd Calendar'!$E$210:$CZ$210,'Dvd Calendar'!$E$209:$CZ$209,"&gt;"&amp;S$12,'Dvd Calendar'!$E$209:$CZ$209,"&lt;="&amp;S$13)/AS51!$B$3,"")))</f>
        <v/>
      </c>
      <c r="T117" s="113">
        <f>IF(T$13="","",IF($B117="","",IFERROR($C117*$D117*SUMIFS('Dvd Calendar'!$E$210:$CZ$210,'Dvd Calendar'!$E$209:$CZ$209,"&gt;"&amp;T$12,'Dvd Calendar'!$E$209:$CZ$209,"&lt;="&amp;T$13)/AS51!$B$3,"")))</f>
        <v/>
      </c>
      <c r="U117" s="113">
        <f>IF(U$13="","",IF($B117="","",IFERROR($C117*$D117*SUMIFS('Dvd Calendar'!$E$210:$CZ$210,'Dvd Calendar'!$E$209:$CZ$209,"&gt;"&amp;U$12,'Dvd Calendar'!$E$209:$CZ$209,"&lt;="&amp;U$13)/AS51!$B$3,"")))</f>
        <v/>
      </c>
      <c r="W117" s="113">
        <f>IF(W$13="","",IF($B117="","",IFERROR(F117*$E117/100,"")))</f>
        <v/>
      </c>
      <c r="X117" s="113">
        <f>IF(X$13="","",IF($B117="","",IFERROR(G117*$E117/100,"")))</f>
        <v/>
      </c>
      <c r="Y117" s="113">
        <f>IF(Y$13="","",IF($B117="","",IFERROR(H117*$E117/100,"")))</f>
        <v/>
      </c>
      <c r="Z117" s="113">
        <f>IF(Z$13="","",IF($B117="","",IFERROR(I117*$E117/100,"")))</f>
        <v/>
      </c>
      <c r="AA117" s="113">
        <f>IF(AA$13="","",IF($B117="","",IFERROR(J117*$E117/100,"")))</f>
        <v/>
      </c>
      <c r="AB117" s="113">
        <f>IF(AB$13="","",IF($B117="","",IFERROR(K117*$E117/100,"")))</f>
        <v/>
      </c>
      <c r="AC117" s="113">
        <f>IF(AC$13="","",IF($B117="","",IFERROR(L117*$E117/100,"")))</f>
        <v/>
      </c>
      <c r="AD117" s="113">
        <f>IF(AD$13="","",IF($B117="","",IFERROR(M117*$E117/100,"")))</f>
        <v/>
      </c>
      <c r="AE117" s="113">
        <f>IF(AE$13="","",IF($B117="","",IFERROR(N117*$E117/100,"")))</f>
        <v/>
      </c>
      <c r="AF117" s="113">
        <f>IF(AF$13="","",IF($B117="","",IFERROR(O117*$E117/100,"")))</f>
        <v/>
      </c>
      <c r="AG117" s="113">
        <f>IF(AG$13="","",IF($B117="","",IFERROR(P117*$E117/100,"")))</f>
        <v/>
      </c>
      <c r="AH117" s="113">
        <f>IF(AH$13="","",IF($B117="","",IFERROR(Q117*$E117/100,"")))</f>
        <v/>
      </c>
      <c r="AI117" s="113">
        <f>IF(AI$13="","",IF($B117="","",IFERROR(R117*$E117/100,"")))</f>
        <v/>
      </c>
      <c r="AJ117" s="113">
        <f>IF(AJ$13="","",IF($B117="","",IFERROR(S117*$E117/100,"")))</f>
        <v/>
      </c>
      <c r="AK117" s="113">
        <f>IF(AK$13="","",IF($B117="","",IFERROR(T117*$E117/100,"")))</f>
        <v/>
      </c>
      <c r="AL117" s="113">
        <f>IF(AL$13="","",IF($B117="","",IFERROR(U117*$E117/100,"")))</f>
        <v/>
      </c>
    </row>
    <row r="118">
      <c r="B118" s="5">
        <f>IF(AS51!$C$108="","",AS51!$C$108)</f>
        <v/>
      </c>
      <c r="C118" s="86">
        <f>IF(AS51!$B$108="","",AS51!$B$108)</f>
        <v/>
      </c>
      <c r="D118" s="111">
        <f>IFERROR(AS51!$Q$108,1)</f>
        <v/>
      </c>
      <c r="E118" s="112">
        <f>IF($B118="","",IF(ISNUMBER(AS51!$I$108),AS51!$I$108,'Index Summary'!$C$7))</f>
        <v/>
      </c>
      <c r="F118" s="113">
        <f>IF(F$13="","",IF($B118="","",IFERROR($C118*$D118*SUMIFS('Dvd Calendar'!$E$212:$CZ$212,'Dvd Calendar'!$E$211:$CZ$211,"&gt;"&amp;F$12,'Dvd Calendar'!$E$211:$CZ$211,"&lt;="&amp;F$13)/AS51!$B$3,"")))</f>
        <v/>
      </c>
      <c r="G118" s="113">
        <f>IF(G$13="","",IF($B118="","",IFERROR($C118*$D118*SUMIFS('Dvd Calendar'!$E$212:$CZ$212,'Dvd Calendar'!$E$211:$CZ$211,"&gt;"&amp;G$12,'Dvd Calendar'!$E$211:$CZ$211,"&lt;="&amp;G$13)/AS51!$B$3,"")))</f>
        <v/>
      </c>
      <c r="H118" s="113">
        <f>IF(H$13="","",IF($B118="","",IFERROR($C118*$D118*SUMIFS('Dvd Calendar'!$E$212:$CZ$212,'Dvd Calendar'!$E$211:$CZ$211,"&gt;"&amp;H$12,'Dvd Calendar'!$E$211:$CZ$211,"&lt;="&amp;H$13)/AS51!$B$3,"")))</f>
        <v/>
      </c>
      <c r="I118" s="113">
        <f>IF(I$13="","",IF($B118="","",IFERROR($C118*$D118*SUMIFS('Dvd Calendar'!$E$212:$CZ$212,'Dvd Calendar'!$E$211:$CZ$211,"&gt;"&amp;I$12,'Dvd Calendar'!$E$211:$CZ$211,"&lt;="&amp;I$13)/AS51!$B$3,"")))</f>
        <v/>
      </c>
      <c r="J118" s="113">
        <f>IF(J$13="","",IF($B118="","",IFERROR($C118*$D118*SUMIFS('Dvd Calendar'!$E$212:$CZ$212,'Dvd Calendar'!$E$211:$CZ$211,"&gt;"&amp;J$12,'Dvd Calendar'!$E$211:$CZ$211,"&lt;="&amp;J$13)/AS51!$B$3,"")))</f>
        <v/>
      </c>
      <c r="K118" s="113">
        <f>IF(K$13="","",IF($B118="","",IFERROR($C118*$D118*SUMIFS('Dvd Calendar'!$E$212:$CZ$212,'Dvd Calendar'!$E$211:$CZ$211,"&gt;"&amp;K$12,'Dvd Calendar'!$E$211:$CZ$211,"&lt;="&amp;K$13)/AS51!$B$3,"")))</f>
        <v/>
      </c>
      <c r="L118" s="113">
        <f>IF(L$13="","",IF($B118="","",IFERROR($C118*$D118*SUMIFS('Dvd Calendar'!$E$212:$CZ$212,'Dvd Calendar'!$E$211:$CZ$211,"&gt;"&amp;L$12,'Dvd Calendar'!$E$211:$CZ$211,"&lt;="&amp;L$13)/AS51!$B$3,"")))</f>
        <v/>
      </c>
      <c r="M118" s="113">
        <f>IF(M$13="","",IF($B118="","",IFERROR($C118*$D118*SUMIFS('Dvd Calendar'!$E$212:$CZ$212,'Dvd Calendar'!$E$211:$CZ$211,"&gt;"&amp;M$12,'Dvd Calendar'!$E$211:$CZ$211,"&lt;="&amp;M$13)/AS51!$B$3,"")))</f>
        <v/>
      </c>
      <c r="N118" s="113">
        <f>IF(N$13="","",IF($B118="","",IFERROR($C118*$D118*SUMIFS('Dvd Calendar'!$E$212:$CZ$212,'Dvd Calendar'!$E$211:$CZ$211,"&gt;"&amp;N$12,'Dvd Calendar'!$E$211:$CZ$211,"&lt;="&amp;N$13)/AS51!$B$3,"")))</f>
        <v/>
      </c>
      <c r="O118" s="113">
        <f>IF(O$13="","",IF($B118="","",IFERROR($C118*$D118*SUMIFS('Dvd Calendar'!$E$212:$CZ$212,'Dvd Calendar'!$E$211:$CZ$211,"&gt;"&amp;O$12,'Dvd Calendar'!$E$211:$CZ$211,"&lt;="&amp;O$13)/AS51!$B$3,"")))</f>
        <v/>
      </c>
      <c r="P118" s="113">
        <f>IF(P$13="","",IF($B118="","",IFERROR($C118*$D118*SUMIFS('Dvd Calendar'!$E$212:$CZ$212,'Dvd Calendar'!$E$211:$CZ$211,"&gt;"&amp;P$12,'Dvd Calendar'!$E$211:$CZ$211,"&lt;="&amp;P$13)/AS51!$B$3,"")))</f>
        <v/>
      </c>
      <c r="Q118" s="113">
        <f>IF(Q$13="","",IF($B118="","",IFERROR($C118*$D118*SUMIFS('Dvd Calendar'!$E$212:$CZ$212,'Dvd Calendar'!$E$211:$CZ$211,"&gt;"&amp;Q$12,'Dvd Calendar'!$E$211:$CZ$211,"&lt;="&amp;Q$13)/AS51!$B$3,"")))</f>
        <v/>
      </c>
      <c r="R118" s="113">
        <f>IF(R$13="","",IF($B118="","",IFERROR($C118*$D118*SUMIFS('Dvd Calendar'!$E$212:$CZ$212,'Dvd Calendar'!$E$211:$CZ$211,"&gt;"&amp;R$12,'Dvd Calendar'!$E$211:$CZ$211,"&lt;="&amp;R$13)/AS51!$B$3,"")))</f>
        <v/>
      </c>
      <c r="S118" s="113">
        <f>IF(S$13="","",IF($B118="","",IFERROR($C118*$D118*SUMIFS('Dvd Calendar'!$E$212:$CZ$212,'Dvd Calendar'!$E$211:$CZ$211,"&gt;"&amp;S$12,'Dvd Calendar'!$E$211:$CZ$211,"&lt;="&amp;S$13)/AS51!$B$3,"")))</f>
        <v/>
      </c>
      <c r="T118" s="113">
        <f>IF(T$13="","",IF($B118="","",IFERROR($C118*$D118*SUMIFS('Dvd Calendar'!$E$212:$CZ$212,'Dvd Calendar'!$E$211:$CZ$211,"&gt;"&amp;T$12,'Dvd Calendar'!$E$211:$CZ$211,"&lt;="&amp;T$13)/AS51!$B$3,"")))</f>
        <v/>
      </c>
      <c r="U118" s="113">
        <f>IF(U$13="","",IF($B118="","",IFERROR($C118*$D118*SUMIFS('Dvd Calendar'!$E$212:$CZ$212,'Dvd Calendar'!$E$211:$CZ$211,"&gt;"&amp;U$12,'Dvd Calendar'!$E$211:$CZ$211,"&lt;="&amp;U$13)/AS51!$B$3,"")))</f>
        <v/>
      </c>
      <c r="W118" s="113">
        <f>IF(W$13="","",IF($B118="","",IFERROR(F118*$E118/100,"")))</f>
        <v/>
      </c>
      <c r="X118" s="113">
        <f>IF(X$13="","",IF($B118="","",IFERROR(G118*$E118/100,"")))</f>
        <v/>
      </c>
      <c r="Y118" s="113">
        <f>IF(Y$13="","",IF($B118="","",IFERROR(H118*$E118/100,"")))</f>
        <v/>
      </c>
      <c r="Z118" s="113">
        <f>IF(Z$13="","",IF($B118="","",IFERROR(I118*$E118/100,"")))</f>
        <v/>
      </c>
      <c r="AA118" s="113">
        <f>IF(AA$13="","",IF($B118="","",IFERROR(J118*$E118/100,"")))</f>
        <v/>
      </c>
      <c r="AB118" s="113">
        <f>IF(AB$13="","",IF($B118="","",IFERROR(K118*$E118/100,"")))</f>
        <v/>
      </c>
      <c r="AC118" s="113">
        <f>IF(AC$13="","",IF($B118="","",IFERROR(L118*$E118/100,"")))</f>
        <v/>
      </c>
      <c r="AD118" s="113">
        <f>IF(AD$13="","",IF($B118="","",IFERROR(M118*$E118/100,"")))</f>
        <v/>
      </c>
      <c r="AE118" s="113">
        <f>IF(AE$13="","",IF($B118="","",IFERROR(N118*$E118/100,"")))</f>
        <v/>
      </c>
      <c r="AF118" s="113">
        <f>IF(AF$13="","",IF($B118="","",IFERROR(O118*$E118/100,"")))</f>
        <v/>
      </c>
      <c r="AG118" s="113">
        <f>IF(AG$13="","",IF($B118="","",IFERROR(P118*$E118/100,"")))</f>
        <v/>
      </c>
      <c r="AH118" s="113">
        <f>IF(AH$13="","",IF($B118="","",IFERROR(Q118*$E118/100,"")))</f>
        <v/>
      </c>
      <c r="AI118" s="113">
        <f>IF(AI$13="","",IF($B118="","",IFERROR(R118*$E118/100,"")))</f>
        <v/>
      </c>
      <c r="AJ118" s="113">
        <f>IF(AJ$13="","",IF($B118="","",IFERROR(S118*$E118/100,"")))</f>
        <v/>
      </c>
      <c r="AK118" s="113">
        <f>IF(AK$13="","",IF($B118="","",IFERROR(T118*$E118/100,"")))</f>
        <v/>
      </c>
      <c r="AL118" s="113">
        <f>IF(AL$13="","",IF($B118="","",IFERROR(U118*$E118/100,"")))</f>
        <v/>
      </c>
    </row>
    <row r="119">
      <c r="B119" s="5">
        <f>IF(AS51!$C$109="","",AS51!$C$109)</f>
        <v/>
      </c>
      <c r="C119" s="86">
        <f>IF(AS51!$B$109="","",AS51!$B$109)</f>
        <v/>
      </c>
      <c r="D119" s="111">
        <f>IFERROR(AS51!$Q$109,1)</f>
        <v/>
      </c>
      <c r="E119" s="112">
        <f>IF($B119="","",IF(ISNUMBER(AS51!$I$109),AS51!$I$109,'Index Summary'!$C$7))</f>
        <v/>
      </c>
      <c r="F119" s="113">
        <f>IF(F$13="","",IF($B119="","",IFERROR($C119*$D119*SUMIFS('Dvd Calendar'!$E$214:$CZ$214,'Dvd Calendar'!$E$213:$CZ$213,"&gt;"&amp;F$12,'Dvd Calendar'!$E$213:$CZ$213,"&lt;="&amp;F$13)/AS51!$B$3,"")))</f>
        <v/>
      </c>
      <c r="G119" s="113">
        <f>IF(G$13="","",IF($B119="","",IFERROR($C119*$D119*SUMIFS('Dvd Calendar'!$E$214:$CZ$214,'Dvd Calendar'!$E$213:$CZ$213,"&gt;"&amp;G$12,'Dvd Calendar'!$E$213:$CZ$213,"&lt;="&amp;G$13)/AS51!$B$3,"")))</f>
        <v/>
      </c>
      <c r="H119" s="113">
        <f>IF(H$13="","",IF($B119="","",IFERROR($C119*$D119*SUMIFS('Dvd Calendar'!$E$214:$CZ$214,'Dvd Calendar'!$E$213:$CZ$213,"&gt;"&amp;H$12,'Dvd Calendar'!$E$213:$CZ$213,"&lt;="&amp;H$13)/AS51!$B$3,"")))</f>
        <v/>
      </c>
      <c r="I119" s="113">
        <f>IF(I$13="","",IF($B119="","",IFERROR($C119*$D119*SUMIFS('Dvd Calendar'!$E$214:$CZ$214,'Dvd Calendar'!$E$213:$CZ$213,"&gt;"&amp;I$12,'Dvd Calendar'!$E$213:$CZ$213,"&lt;="&amp;I$13)/AS51!$B$3,"")))</f>
        <v/>
      </c>
      <c r="J119" s="113">
        <f>IF(J$13="","",IF($B119="","",IFERROR($C119*$D119*SUMIFS('Dvd Calendar'!$E$214:$CZ$214,'Dvd Calendar'!$E$213:$CZ$213,"&gt;"&amp;J$12,'Dvd Calendar'!$E$213:$CZ$213,"&lt;="&amp;J$13)/AS51!$B$3,"")))</f>
        <v/>
      </c>
      <c r="K119" s="113">
        <f>IF(K$13="","",IF($B119="","",IFERROR($C119*$D119*SUMIFS('Dvd Calendar'!$E$214:$CZ$214,'Dvd Calendar'!$E$213:$CZ$213,"&gt;"&amp;K$12,'Dvd Calendar'!$E$213:$CZ$213,"&lt;="&amp;K$13)/AS51!$B$3,"")))</f>
        <v/>
      </c>
      <c r="L119" s="113">
        <f>IF(L$13="","",IF($B119="","",IFERROR($C119*$D119*SUMIFS('Dvd Calendar'!$E$214:$CZ$214,'Dvd Calendar'!$E$213:$CZ$213,"&gt;"&amp;L$12,'Dvd Calendar'!$E$213:$CZ$213,"&lt;="&amp;L$13)/AS51!$B$3,"")))</f>
        <v/>
      </c>
      <c r="M119" s="113">
        <f>IF(M$13="","",IF($B119="","",IFERROR($C119*$D119*SUMIFS('Dvd Calendar'!$E$214:$CZ$214,'Dvd Calendar'!$E$213:$CZ$213,"&gt;"&amp;M$12,'Dvd Calendar'!$E$213:$CZ$213,"&lt;="&amp;M$13)/AS51!$B$3,"")))</f>
        <v/>
      </c>
      <c r="N119" s="113">
        <f>IF(N$13="","",IF($B119="","",IFERROR($C119*$D119*SUMIFS('Dvd Calendar'!$E$214:$CZ$214,'Dvd Calendar'!$E$213:$CZ$213,"&gt;"&amp;N$12,'Dvd Calendar'!$E$213:$CZ$213,"&lt;="&amp;N$13)/AS51!$B$3,"")))</f>
        <v/>
      </c>
      <c r="O119" s="113">
        <f>IF(O$13="","",IF($B119="","",IFERROR($C119*$D119*SUMIFS('Dvd Calendar'!$E$214:$CZ$214,'Dvd Calendar'!$E$213:$CZ$213,"&gt;"&amp;O$12,'Dvd Calendar'!$E$213:$CZ$213,"&lt;="&amp;O$13)/AS51!$B$3,"")))</f>
        <v/>
      </c>
      <c r="P119" s="113">
        <f>IF(P$13="","",IF($B119="","",IFERROR($C119*$D119*SUMIFS('Dvd Calendar'!$E$214:$CZ$214,'Dvd Calendar'!$E$213:$CZ$213,"&gt;"&amp;P$12,'Dvd Calendar'!$E$213:$CZ$213,"&lt;="&amp;P$13)/AS51!$B$3,"")))</f>
        <v/>
      </c>
      <c r="Q119" s="113">
        <f>IF(Q$13="","",IF($B119="","",IFERROR($C119*$D119*SUMIFS('Dvd Calendar'!$E$214:$CZ$214,'Dvd Calendar'!$E$213:$CZ$213,"&gt;"&amp;Q$12,'Dvd Calendar'!$E$213:$CZ$213,"&lt;="&amp;Q$13)/AS51!$B$3,"")))</f>
        <v/>
      </c>
      <c r="R119" s="113">
        <f>IF(R$13="","",IF($B119="","",IFERROR($C119*$D119*SUMIFS('Dvd Calendar'!$E$214:$CZ$214,'Dvd Calendar'!$E$213:$CZ$213,"&gt;"&amp;R$12,'Dvd Calendar'!$E$213:$CZ$213,"&lt;="&amp;R$13)/AS51!$B$3,"")))</f>
        <v/>
      </c>
      <c r="S119" s="113">
        <f>IF(S$13="","",IF($B119="","",IFERROR($C119*$D119*SUMIFS('Dvd Calendar'!$E$214:$CZ$214,'Dvd Calendar'!$E$213:$CZ$213,"&gt;"&amp;S$12,'Dvd Calendar'!$E$213:$CZ$213,"&lt;="&amp;S$13)/AS51!$B$3,"")))</f>
        <v/>
      </c>
      <c r="T119" s="113">
        <f>IF(T$13="","",IF($B119="","",IFERROR($C119*$D119*SUMIFS('Dvd Calendar'!$E$214:$CZ$214,'Dvd Calendar'!$E$213:$CZ$213,"&gt;"&amp;T$12,'Dvd Calendar'!$E$213:$CZ$213,"&lt;="&amp;T$13)/AS51!$B$3,"")))</f>
        <v/>
      </c>
      <c r="U119" s="113">
        <f>IF(U$13="","",IF($B119="","",IFERROR($C119*$D119*SUMIFS('Dvd Calendar'!$E$214:$CZ$214,'Dvd Calendar'!$E$213:$CZ$213,"&gt;"&amp;U$12,'Dvd Calendar'!$E$213:$CZ$213,"&lt;="&amp;U$13)/AS51!$B$3,"")))</f>
        <v/>
      </c>
      <c r="W119" s="113">
        <f>IF(W$13="","",IF($B119="","",IFERROR(F119*$E119/100,"")))</f>
        <v/>
      </c>
      <c r="X119" s="113">
        <f>IF(X$13="","",IF($B119="","",IFERROR(G119*$E119/100,"")))</f>
        <v/>
      </c>
      <c r="Y119" s="113">
        <f>IF(Y$13="","",IF($B119="","",IFERROR(H119*$E119/100,"")))</f>
        <v/>
      </c>
      <c r="Z119" s="113">
        <f>IF(Z$13="","",IF($B119="","",IFERROR(I119*$E119/100,"")))</f>
        <v/>
      </c>
      <c r="AA119" s="113">
        <f>IF(AA$13="","",IF($B119="","",IFERROR(J119*$E119/100,"")))</f>
        <v/>
      </c>
      <c r="AB119" s="113">
        <f>IF(AB$13="","",IF($B119="","",IFERROR(K119*$E119/100,"")))</f>
        <v/>
      </c>
      <c r="AC119" s="113">
        <f>IF(AC$13="","",IF($B119="","",IFERROR(L119*$E119/100,"")))</f>
        <v/>
      </c>
      <c r="AD119" s="113">
        <f>IF(AD$13="","",IF($B119="","",IFERROR(M119*$E119/100,"")))</f>
        <v/>
      </c>
      <c r="AE119" s="113">
        <f>IF(AE$13="","",IF($B119="","",IFERROR(N119*$E119/100,"")))</f>
        <v/>
      </c>
      <c r="AF119" s="113">
        <f>IF(AF$13="","",IF($B119="","",IFERROR(O119*$E119/100,"")))</f>
        <v/>
      </c>
      <c r="AG119" s="113">
        <f>IF(AG$13="","",IF($B119="","",IFERROR(P119*$E119/100,"")))</f>
        <v/>
      </c>
      <c r="AH119" s="113">
        <f>IF(AH$13="","",IF($B119="","",IFERROR(Q119*$E119/100,"")))</f>
        <v/>
      </c>
      <c r="AI119" s="113">
        <f>IF(AI$13="","",IF($B119="","",IFERROR(R119*$E119/100,"")))</f>
        <v/>
      </c>
      <c r="AJ119" s="113">
        <f>IF(AJ$13="","",IF($B119="","",IFERROR(S119*$E119/100,"")))</f>
        <v/>
      </c>
      <c r="AK119" s="113">
        <f>IF(AK$13="","",IF($B119="","",IFERROR(T119*$E119/100,"")))</f>
        <v/>
      </c>
      <c r="AL119" s="113">
        <f>IF(AL$13="","",IF($B119="","",IFERROR(U119*$E119/100,"")))</f>
        <v/>
      </c>
    </row>
    <row r="120">
      <c r="B120" s="5">
        <f>IF(AS51!$C$110="","",AS51!$C$110)</f>
        <v/>
      </c>
      <c r="C120" s="86">
        <f>IF(AS51!$B$110="","",AS51!$B$110)</f>
        <v/>
      </c>
      <c r="D120" s="111">
        <f>IFERROR(AS51!$Q$110,1)</f>
        <v/>
      </c>
      <c r="E120" s="112">
        <f>IF($B120="","",IF(ISNUMBER(AS51!$I$110),AS51!$I$110,'Index Summary'!$C$7))</f>
        <v/>
      </c>
      <c r="F120" s="113">
        <f>IF(F$13="","",IF($B120="","",IFERROR($C120*$D120*SUMIFS('Dvd Calendar'!$E$216:$CZ$216,'Dvd Calendar'!$E$215:$CZ$215,"&gt;"&amp;F$12,'Dvd Calendar'!$E$215:$CZ$215,"&lt;="&amp;F$13)/AS51!$B$3,"")))</f>
        <v/>
      </c>
      <c r="G120" s="113">
        <f>IF(G$13="","",IF($B120="","",IFERROR($C120*$D120*SUMIFS('Dvd Calendar'!$E$216:$CZ$216,'Dvd Calendar'!$E$215:$CZ$215,"&gt;"&amp;G$12,'Dvd Calendar'!$E$215:$CZ$215,"&lt;="&amp;G$13)/AS51!$B$3,"")))</f>
        <v/>
      </c>
      <c r="H120" s="113">
        <f>IF(H$13="","",IF($B120="","",IFERROR($C120*$D120*SUMIFS('Dvd Calendar'!$E$216:$CZ$216,'Dvd Calendar'!$E$215:$CZ$215,"&gt;"&amp;H$12,'Dvd Calendar'!$E$215:$CZ$215,"&lt;="&amp;H$13)/AS51!$B$3,"")))</f>
        <v/>
      </c>
      <c r="I120" s="113">
        <f>IF(I$13="","",IF($B120="","",IFERROR($C120*$D120*SUMIFS('Dvd Calendar'!$E$216:$CZ$216,'Dvd Calendar'!$E$215:$CZ$215,"&gt;"&amp;I$12,'Dvd Calendar'!$E$215:$CZ$215,"&lt;="&amp;I$13)/AS51!$B$3,"")))</f>
        <v/>
      </c>
      <c r="J120" s="113">
        <f>IF(J$13="","",IF($B120="","",IFERROR($C120*$D120*SUMIFS('Dvd Calendar'!$E$216:$CZ$216,'Dvd Calendar'!$E$215:$CZ$215,"&gt;"&amp;J$12,'Dvd Calendar'!$E$215:$CZ$215,"&lt;="&amp;J$13)/AS51!$B$3,"")))</f>
        <v/>
      </c>
      <c r="K120" s="113">
        <f>IF(K$13="","",IF($B120="","",IFERROR($C120*$D120*SUMIFS('Dvd Calendar'!$E$216:$CZ$216,'Dvd Calendar'!$E$215:$CZ$215,"&gt;"&amp;K$12,'Dvd Calendar'!$E$215:$CZ$215,"&lt;="&amp;K$13)/AS51!$B$3,"")))</f>
        <v/>
      </c>
      <c r="L120" s="113">
        <f>IF(L$13="","",IF($B120="","",IFERROR($C120*$D120*SUMIFS('Dvd Calendar'!$E$216:$CZ$216,'Dvd Calendar'!$E$215:$CZ$215,"&gt;"&amp;L$12,'Dvd Calendar'!$E$215:$CZ$215,"&lt;="&amp;L$13)/AS51!$B$3,"")))</f>
        <v/>
      </c>
      <c r="M120" s="113">
        <f>IF(M$13="","",IF($B120="","",IFERROR($C120*$D120*SUMIFS('Dvd Calendar'!$E$216:$CZ$216,'Dvd Calendar'!$E$215:$CZ$215,"&gt;"&amp;M$12,'Dvd Calendar'!$E$215:$CZ$215,"&lt;="&amp;M$13)/AS51!$B$3,"")))</f>
        <v/>
      </c>
      <c r="N120" s="113">
        <f>IF(N$13="","",IF($B120="","",IFERROR($C120*$D120*SUMIFS('Dvd Calendar'!$E$216:$CZ$216,'Dvd Calendar'!$E$215:$CZ$215,"&gt;"&amp;N$12,'Dvd Calendar'!$E$215:$CZ$215,"&lt;="&amp;N$13)/AS51!$B$3,"")))</f>
        <v/>
      </c>
      <c r="O120" s="113">
        <f>IF(O$13="","",IF($B120="","",IFERROR($C120*$D120*SUMIFS('Dvd Calendar'!$E$216:$CZ$216,'Dvd Calendar'!$E$215:$CZ$215,"&gt;"&amp;O$12,'Dvd Calendar'!$E$215:$CZ$215,"&lt;="&amp;O$13)/AS51!$B$3,"")))</f>
        <v/>
      </c>
      <c r="P120" s="113">
        <f>IF(P$13="","",IF($B120="","",IFERROR($C120*$D120*SUMIFS('Dvd Calendar'!$E$216:$CZ$216,'Dvd Calendar'!$E$215:$CZ$215,"&gt;"&amp;P$12,'Dvd Calendar'!$E$215:$CZ$215,"&lt;="&amp;P$13)/AS51!$B$3,"")))</f>
        <v/>
      </c>
      <c r="Q120" s="113">
        <f>IF(Q$13="","",IF($B120="","",IFERROR($C120*$D120*SUMIFS('Dvd Calendar'!$E$216:$CZ$216,'Dvd Calendar'!$E$215:$CZ$215,"&gt;"&amp;Q$12,'Dvd Calendar'!$E$215:$CZ$215,"&lt;="&amp;Q$13)/AS51!$B$3,"")))</f>
        <v/>
      </c>
      <c r="R120" s="113">
        <f>IF(R$13="","",IF($B120="","",IFERROR($C120*$D120*SUMIFS('Dvd Calendar'!$E$216:$CZ$216,'Dvd Calendar'!$E$215:$CZ$215,"&gt;"&amp;R$12,'Dvd Calendar'!$E$215:$CZ$215,"&lt;="&amp;R$13)/AS51!$B$3,"")))</f>
        <v/>
      </c>
      <c r="S120" s="113">
        <f>IF(S$13="","",IF($B120="","",IFERROR($C120*$D120*SUMIFS('Dvd Calendar'!$E$216:$CZ$216,'Dvd Calendar'!$E$215:$CZ$215,"&gt;"&amp;S$12,'Dvd Calendar'!$E$215:$CZ$215,"&lt;="&amp;S$13)/AS51!$B$3,"")))</f>
        <v/>
      </c>
      <c r="T120" s="113">
        <f>IF(T$13="","",IF($B120="","",IFERROR($C120*$D120*SUMIFS('Dvd Calendar'!$E$216:$CZ$216,'Dvd Calendar'!$E$215:$CZ$215,"&gt;"&amp;T$12,'Dvd Calendar'!$E$215:$CZ$215,"&lt;="&amp;T$13)/AS51!$B$3,"")))</f>
        <v/>
      </c>
      <c r="U120" s="113">
        <f>IF(U$13="","",IF($B120="","",IFERROR($C120*$D120*SUMIFS('Dvd Calendar'!$E$216:$CZ$216,'Dvd Calendar'!$E$215:$CZ$215,"&gt;"&amp;U$12,'Dvd Calendar'!$E$215:$CZ$215,"&lt;="&amp;U$13)/AS51!$B$3,"")))</f>
        <v/>
      </c>
      <c r="W120" s="113">
        <f>IF(W$13="","",IF($B120="","",IFERROR(F120*$E120/100,"")))</f>
        <v/>
      </c>
      <c r="X120" s="113">
        <f>IF(X$13="","",IF($B120="","",IFERROR(G120*$E120/100,"")))</f>
        <v/>
      </c>
      <c r="Y120" s="113">
        <f>IF(Y$13="","",IF($B120="","",IFERROR(H120*$E120/100,"")))</f>
        <v/>
      </c>
      <c r="Z120" s="113">
        <f>IF(Z$13="","",IF($B120="","",IFERROR(I120*$E120/100,"")))</f>
        <v/>
      </c>
      <c r="AA120" s="113">
        <f>IF(AA$13="","",IF($B120="","",IFERROR(J120*$E120/100,"")))</f>
        <v/>
      </c>
      <c r="AB120" s="113">
        <f>IF(AB$13="","",IF($B120="","",IFERROR(K120*$E120/100,"")))</f>
        <v/>
      </c>
      <c r="AC120" s="113">
        <f>IF(AC$13="","",IF($B120="","",IFERROR(L120*$E120/100,"")))</f>
        <v/>
      </c>
      <c r="AD120" s="113">
        <f>IF(AD$13="","",IF($B120="","",IFERROR(M120*$E120/100,"")))</f>
        <v/>
      </c>
      <c r="AE120" s="113">
        <f>IF(AE$13="","",IF($B120="","",IFERROR(N120*$E120/100,"")))</f>
        <v/>
      </c>
      <c r="AF120" s="113">
        <f>IF(AF$13="","",IF($B120="","",IFERROR(O120*$E120/100,"")))</f>
        <v/>
      </c>
      <c r="AG120" s="113">
        <f>IF(AG$13="","",IF($B120="","",IFERROR(P120*$E120/100,"")))</f>
        <v/>
      </c>
      <c r="AH120" s="113">
        <f>IF(AH$13="","",IF($B120="","",IFERROR(Q120*$E120/100,"")))</f>
        <v/>
      </c>
      <c r="AI120" s="113">
        <f>IF(AI$13="","",IF($B120="","",IFERROR(R120*$E120/100,"")))</f>
        <v/>
      </c>
      <c r="AJ120" s="113">
        <f>IF(AJ$13="","",IF($B120="","",IFERROR(S120*$E120/100,"")))</f>
        <v/>
      </c>
      <c r="AK120" s="113">
        <f>IF(AK$13="","",IF($B120="","",IFERROR(T120*$E120/100,"")))</f>
        <v/>
      </c>
      <c r="AL120" s="113">
        <f>IF(AL$13="","",IF($B120="","",IFERROR(U120*$E120/100,"")))</f>
        <v/>
      </c>
    </row>
    <row r="121">
      <c r="B121" s="5">
        <f>IF(AS51!$C$111="","",AS51!$C$111)</f>
        <v/>
      </c>
      <c r="C121" s="86">
        <f>IF(AS51!$B$111="","",AS51!$B$111)</f>
        <v/>
      </c>
      <c r="D121" s="111">
        <f>IFERROR(AS51!$Q$111,1)</f>
        <v/>
      </c>
      <c r="E121" s="112">
        <f>IF($B121="","",IF(ISNUMBER(AS51!$I$111),AS51!$I$111,'Index Summary'!$C$7))</f>
        <v/>
      </c>
      <c r="F121" s="113">
        <f>IF(F$13="","",IF($B121="","",IFERROR($C121*$D121*SUMIFS('Dvd Calendar'!$E$218:$CZ$218,'Dvd Calendar'!$E$217:$CZ$217,"&gt;"&amp;F$12,'Dvd Calendar'!$E$217:$CZ$217,"&lt;="&amp;F$13)/AS51!$B$3,"")))</f>
        <v/>
      </c>
      <c r="G121" s="113">
        <f>IF(G$13="","",IF($B121="","",IFERROR($C121*$D121*SUMIFS('Dvd Calendar'!$E$218:$CZ$218,'Dvd Calendar'!$E$217:$CZ$217,"&gt;"&amp;G$12,'Dvd Calendar'!$E$217:$CZ$217,"&lt;="&amp;G$13)/AS51!$B$3,"")))</f>
        <v/>
      </c>
      <c r="H121" s="113">
        <f>IF(H$13="","",IF($B121="","",IFERROR($C121*$D121*SUMIFS('Dvd Calendar'!$E$218:$CZ$218,'Dvd Calendar'!$E$217:$CZ$217,"&gt;"&amp;H$12,'Dvd Calendar'!$E$217:$CZ$217,"&lt;="&amp;H$13)/AS51!$B$3,"")))</f>
        <v/>
      </c>
      <c r="I121" s="113">
        <f>IF(I$13="","",IF($B121="","",IFERROR($C121*$D121*SUMIFS('Dvd Calendar'!$E$218:$CZ$218,'Dvd Calendar'!$E$217:$CZ$217,"&gt;"&amp;I$12,'Dvd Calendar'!$E$217:$CZ$217,"&lt;="&amp;I$13)/AS51!$B$3,"")))</f>
        <v/>
      </c>
      <c r="J121" s="113">
        <f>IF(J$13="","",IF($B121="","",IFERROR($C121*$D121*SUMIFS('Dvd Calendar'!$E$218:$CZ$218,'Dvd Calendar'!$E$217:$CZ$217,"&gt;"&amp;J$12,'Dvd Calendar'!$E$217:$CZ$217,"&lt;="&amp;J$13)/AS51!$B$3,"")))</f>
        <v/>
      </c>
      <c r="K121" s="113">
        <f>IF(K$13="","",IF($B121="","",IFERROR($C121*$D121*SUMIFS('Dvd Calendar'!$E$218:$CZ$218,'Dvd Calendar'!$E$217:$CZ$217,"&gt;"&amp;K$12,'Dvd Calendar'!$E$217:$CZ$217,"&lt;="&amp;K$13)/AS51!$B$3,"")))</f>
        <v/>
      </c>
      <c r="L121" s="113">
        <f>IF(L$13="","",IF($B121="","",IFERROR($C121*$D121*SUMIFS('Dvd Calendar'!$E$218:$CZ$218,'Dvd Calendar'!$E$217:$CZ$217,"&gt;"&amp;L$12,'Dvd Calendar'!$E$217:$CZ$217,"&lt;="&amp;L$13)/AS51!$B$3,"")))</f>
        <v/>
      </c>
      <c r="M121" s="113">
        <f>IF(M$13="","",IF($B121="","",IFERROR($C121*$D121*SUMIFS('Dvd Calendar'!$E$218:$CZ$218,'Dvd Calendar'!$E$217:$CZ$217,"&gt;"&amp;M$12,'Dvd Calendar'!$E$217:$CZ$217,"&lt;="&amp;M$13)/AS51!$B$3,"")))</f>
        <v/>
      </c>
      <c r="N121" s="113">
        <f>IF(N$13="","",IF($B121="","",IFERROR($C121*$D121*SUMIFS('Dvd Calendar'!$E$218:$CZ$218,'Dvd Calendar'!$E$217:$CZ$217,"&gt;"&amp;N$12,'Dvd Calendar'!$E$217:$CZ$217,"&lt;="&amp;N$13)/AS51!$B$3,"")))</f>
        <v/>
      </c>
      <c r="O121" s="113">
        <f>IF(O$13="","",IF($B121="","",IFERROR($C121*$D121*SUMIFS('Dvd Calendar'!$E$218:$CZ$218,'Dvd Calendar'!$E$217:$CZ$217,"&gt;"&amp;O$12,'Dvd Calendar'!$E$217:$CZ$217,"&lt;="&amp;O$13)/AS51!$B$3,"")))</f>
        <v/>
      </c>
      <c r="P121" s="113">
        <f>IF(P$13="","",IF($B121="","",IFERROR($C121*$D121*SUMIFS('Dvd Calendar'!$E$218:$CZ$218,'Dvd Calendar'!$E$217:$CZ$217,"&gt;"&amp;P$12,'Dvd Calendar'!$E$217:$CZ$217,"&lt;="&amp;P$13)/AS51!$B$3,"")))</f>
        <v/>
      </c>
      <c r="Q121" s="113">
        <f>IF(Q$13="","",IF($B121="","",IFERROR($C121*$D121*SUMIFS('Dvd Calendar'!$E$218:$CZ$218,'Dvd Calendar'!$E$217:$CZ$217,"&gt;"&amp;Q$12,'Dvd Calendar'!$E$217:$CZ$217,"&lt;="&amp;Q$13)/AS51!$B$3,"")))</f>
        <v/>
      </c>
      <c r="R121" s="113">
        <f>IF(R$13="","",IF($B121="","",IFERROR($C121*$D121*SUMIFS('Dvd Calendar'!$E$218:$CZ$218,'Dvd Calendar'!$E$217:$CZ$217,"&gt;"&amp;R$12,'Dvd Calendar'!$E$217:$CZ$217,"&lt;="&amp;R$13)/AS51!$B$3,"")))</f>
        <v/>
      </c>
      <c r="S121" s="113">
        <f>IF(S$13="","",IF($B121="","",IFERROR($C121*$D121*SUMIFS('Dvd Calendar'!$E$218:$CZ$218,'Dvd Calendar'!$E$217:$CZ$217,"&gt;"&amp;S$12,'Dvd Calendar'!$E$217:$CZ$217,"&lt;="&amp;S$13)/AS51!$B$3,"")))</f>
        <v/>
      </c>
      <c r="T121" s="113">
        <f>IF(T$13="","",IF($B121="","",IFERROR($C121*$D121*SUMIFS('Dvd Calendar'!$E$218:$CZ$218,'Dvd Calendar'!$E$217:$CZ$217,"&gt;"&amp;T$12,'Dvd Calendar'!$E$217:$CZ$217,"&lt;="&amp;T$13)/AS51!$B$3,"")))</f>
        <v/>
      </c>
      <c r="U121" s="113">
        <f>IF(U$13="","",IF($B121="","",IFERROR($C121*$D121*SUMIFS('Dvd Calendar'!$E$218:$CZ$218,'Dvd Calendar'!$E$217:$CZ$217,"&gt;"&amp;U$12,'Dvd Calendar'!$E$217:$CZ$217,"&lt;="&amp;U$13)/AS51!$B$3,"")))</f>
        <v/>
      </c>
      <c r="W121" s="113">
        <f>IF(W$13="","",IF($B121="","",IFERROR(F121*$E121/100,"")))</f>
        <v/>
      </c>
      <c r="X121" s="113">
        <f>IF(X$13="","",IF($B121="","",IFERROR(G121*$E121/100,"")))</f>
        <v/>
      </c>
      <c r="Y121" s="113">
        <f>IF(Y$13="","",IF($B121="","",IFERROR(H121*$E121/100,"")))</f>
        <v/>
      </c>
      <c r="Z121" s="113">
        <f>IF(Z$13="","",IF($B121="","",IFERROR(I121*$E121/100,"")))</f>
        <v/>
      </c>
      <c r="AA121" s="113">
        <f>IF(AA$13="","",IF($B121="","",IFERROR(J121*$E121/100,"")))</f>
        <v/>
      </c>
      <c r="AB121" s="113">
        <f>IF(AB$13="","",IF($B121="","",IFERROR(K121*$E121/100,"")))</f>
        <v/>
      </c>
      <c r="AC121" s="113">
        <f>IF(AC$13="","",IF($B121="","",IFERROR(L121*$E121/100,"")))</f>
        <v/>
      </c>
      <c r="AD121" s="113">
        <f>IF(AD$13="","",IF($B121="","",IFERROR(M121*$E121/100,"")))</f>
        <v/>
      </c>
      <c r="AE121" s="113">
        <f>IF(AE$13="","",IF($B121="","",IFERROR(N121*$E121/100,"")))</f>
        <v/>
      </c>
      <c r="AF121" s="113">
        <f>IF(AF$13="","",IF($B121="","",IFERROR(O121*$E121/100,"")))</f>
        <v/>
      </c>
      <c r="AG121" s="113">
        <f>IF(AG$13="","",IF($B121="","",IFERROR(P121*$E121/100,"")))</f>
        <v/>
      </c>
      <c r="AH121" s="113">
        <f>IF(AH$13="","",IF($B121="","",IFERROR(Q121*$E121/100,"")))</f>
        <v/>
      </c>
      <c r="AI121" s="113">
        <f>IF(AI$13="","",IF($B121="","",IFERROR(R121*$E121/100,"")))</f>
        <v/>
      </c>
      <c r="AJ121" s="113">
        <f>IF(AJ$13="","",IF($B121="","",IFERROR(S121*$E121/100,"")))</f>
        <v/>
      </c>
      <c r="AK121" s="113">
        <f>IF(AK$13="","",IF($B121="","",IFERROR(T121*$E121/100,"")))</f>
        <v/>
      </c>
      <c r="AL121" s="113">
        <f>IF(AL$13="","",IF($B121="","",IFERROR(U121*$E121/100,"")))</f>
        <v/>
      </c>
    </row>
    <row r="122">
      <c r="B122" s="5">
        <f>IF(AS51!$C$112="","",AS51!$C$112)</f>
        <v/>
      </c>
      <c r="C122" s="86">
        <f>IF(AS51!$B$112="","",AS51!$B$112)</f>
        <v/>
      </c>
      <c r="D122" s="111">
        <f>IFERROR(AS51!$Q$112,1)</f>
        <v/>
      </c>
      <c r="E122" s="112">
        <f>IF($B122="","",IF(ISNUMBER(AS51!$I$112),AS51!$I$112,'Index Summary'!$C$7))</f>
        <v/>
      </c>
      <c r="F122" s="113">
        <f>IF(F$13="","",IF($B122="","",IFERROR($C122*$D122*SUMIFS('Dvd Calendar'!$E$220:$CZ$220,'Dvd Calendar'!$E$219:$CZ$219,"&gt;"&amp;F$12,'Dvd Calendar'!$E$219:$CZ$219,"&lt;="&amp;F$13)/AS51!$B$3,"")))</f>
        <v/>
      </c>
      <c r="G122" s="113">
        <f>IF(G$13="","",IF($B122="","",IFERROR($C122*$D122*SUMIFS('Dvd Calendar'!$E$220:$CZ$220,'Dvd Calendar'!$E$219:$CZ$219,"&gt;"&amp;G$12,'Dvd Calendar'!$E$219:$CZ$219,"&lt;="&amp;G$13)/AS51!$B$3,"")))</f>
        <v/>
      </c>
      <c r="H122" s="113">
        <f>IF(H$13="","",IF($B122="","",IFERROR($C122*$D122*SUMIFS('Dvd Calendar'!$E$220:$CZ$220,'Dvd Calendar'!$E$219:$CZ$219,"&gt;"&amp;H$12,'Dvd Calendar'!$E$219:$CZ$219,"&lt;="&amp;H$13)/AS51!$B$3,"")))</f>
        <v/>
      </c>
      <c r="I122" s="113">
        <f>IF(I$13="","",IF($B122="","",IFERROR($C122*$D122*SUMIFS('Dvd Calendar'!$E$220:$CZ$220,'Dvd Calendar'!$E$219:$CZ$219,"&gt;"&amp;I$12,'Dvd Calendar'!$E$219:$CZ$219,"&lt;="&amp;I$13)/AS51!$B$3,"")))</f>
        <v/>
      </c>
      <c r="J122" s="113">
        <f>IF(J$13="","",IF($B122="","",IFERROR($C122*$D122*SUMIFS('Dvd Calendar'!$E$220:$CZ$220,'Dvd Calendar'!$E$219:$CZ$219,"&gt;"&amp;J$12,'Dvd Calendar'!$E$219:$CZ$219,"&lt;="&amp;J$13)/AS51!$B$3,"")))</f>
        <v/>
      </c>
      <c r="K122" s="113">
        <f>IF(K$13="","",IF($B122="","",IFERROR($C122*$D122*SUMIFS('Dvd Calendar'!$E$220:$CZ$220,'Dvd Calendar'!$E$219:$CZ$219,"&gt;"&amp;K$12,'Dvd Calendar'!$E$219:$CZ$219,"&lt;="&amp;K$13)/AS51!$B$3,"")))</f>
        <v/>
      </c>
      <c r="L122" s="113">
        <f>IF(L$13="","",IF($B122="","",IFERROR($C122*$D122*SUMIFS('Dvd Calendar'!$E$220:$CZ$220,'Dvd Calendar'!$E$219:$CZ$219,"&gt;"&amp;L$12,'Dvd Calendar'!$E$219:$CZ$219,"&lt;="&amp;L$13)/AS51!$B$3,"")))</f>
        <v/>
      </c>
      <c r="M122" s="113">
        <f>IF(M$13="","",IF($B122="","",IFERROR($C122*$D122*SUMIFS('Dvd Calendar'!$E$220:$CZ$220,'Dvd Calendar'!$E$219:$CZ$219,"&gt;"&amp;M$12,'Dvd Calendar'!$E$219:$CZ$219,"&lt;="&amp;M$13)/AS51!$B$3,"")))</f>
        <v/>
      </c>
      <c r="N122" s="113">
        <f>IF(N$13="","",IF($B122="","",IFERROR($C122*$D122*SUMIFS('Dvd Calendar'!$E$220:$CZ$220,'Dvd Calendar'!$E$219:$CZ$219,"&gt;"&amp;N$12,'Dvd Calendar'!$E$219:$CZ$219,"&lt;="&amp;N$13)/AS51!$B$3,"")))</f>
        <v/>
      </c>
      <c r="O122" s="113">
        <f>IF(O$13="","",IF($B122="","",IFERROR($C122*$D122*SUMIFS('Dvd Calendar'!$E$220:$CZ$220,'Dvd Calendar'!$E$219:$CZ$219,"&gt;"&amp;O$12,'Dvd Calendar'!$E$219:$CZ$219,"&lt;="&amp;O$13)/AS51!$B$3,"")))</f>
        <v/>
      </c>
      <c r="P122" s="113">
        <f>IF(P$13="","",IF($B122="","",IFERROR($C122*$D122*SUMIFS('Dvd Calendar'!$E$220:$CZ$220,'Dvd Calendar'!$E$219:$CZ$219,"&gt;"&amp;P$12,'Dvd Calendar'!$E$219:$CZ$219,"&lt;="&amp;P$13)/AS51!$B$3,"")))</f>
        <v/>
      </c>
      <c r="Q122" s="113">
        <f>IF(Q$13="","",IF($B122="","",IFERROR($C122*$D122*SUMIFS('Dvd Calendar'!$E$220:$CZ$220,'Dvd Calendar'!$E$219:$CZ$219,"&gt;"&amp;Q$12,'Dvd Calendar'!$E$219:$CZ$219,"&lt;="&amp;Q$13)/AS51!$B$3,"")))</f>
        <v/>
      </c>
      <c r="R122" s="113">
        <f>IF(R$13="","",IF($B122="","",IFERROR($C122*$D122*SUMIFS('Dvd Calendar'!$E$220:$CZ$220,'Dvd Calendar'!$E$219:$CZ$219,"&gt;"&amp;R$12,'Dvd Calendar'!$E$219:$CZ$219,"&lt;="&amp;R$13)/AS51!$B$3,"")))</f>
        <v/>
      </c>
      <c r="S122" s="113">
        <f>IF(S$13="","",IF($B122="","",IFERROR($C122*$D122*SUMIFS('Dvd Calendar'!$E$220:$CZ$220,'Dvd Calendar'!$E$219:$CZ$219,"&gt;"&amp;S$12,'Dvd Calendar'!$E$219:$CZ$219,"&lt;="&amp;S$13)/AS51!$B$3,"")))</f>
        <v/>
      </c>
      <c r="T122" s="113">
        <f>IF(T$13="","",IF($B122="","",IFERROR($C122*$D122*SUMIFS('Dvd Calendar'!$E$220:$CZ$220,'Dvd Calendar'!$E$219:$CZ$219,"&gt;"&amp;T$12,'Dvd Calendar'!$E$219:$CZ$219,"&lt;="&amp;T$13)/AS51!$B$3,"")))</f>
        <v/>
      </c>
      <c r="U122" s="113">
        <f>IF(U$13="","",IF($B122="","",IFERROR($C122*$D122*SUMIFS('Dvd Calendar'!$E$220:$CZ$220,'Dvd Calendar'!$E$219:$CZ$219,"&gt;"&amp;U$12,'Dvd Calendar'!$E$219:$CZ$219,"&lt;="&amp;U$13)/AS51!$B$3,"")))</f>
        <v/>
      </c>
      <c r="W122" s="113">
        <f>IF(W$13="","",IF($B122="","",IFERROR(F122*$E122/100,"")))</f>
        <v/>
      </c>
      <c r="X122" s="113">
        <f>IF(X$13="","",IF($B122="","",IFERROR(G122*$E122/100,"")))</f>
        <v/>
      </c>
      <c r="Y122" s="113">
        <f>IF(Y$13="","",IF($B122="","",IFERROR(H122*$E122/100,"")))</f>
        <v/>
      </c>
      <c r="Z122" s="113">
        <f>IF(Z$13="","",IF($B122="","",IFERROR(I122*$E122/100,"")))</f>
        <v/>
      </c>
      <c r="AA122" s="113">
        <f>IF(AA$13="","",IF($B122="","",IFERROR(J122*$E122/100,"")))</f>
        <v/>
      </c>
      <c r="AB122" s="113">
        <f>IF(AB$13="","",IF($B122="","",IFERROR(K122*$E122/100,"")))</f>
        <v/>
      </c>
      <c r="AC122" s="113">
        <f>IF(AC$13="","",IF($B122="","",IFERROR(L122*$E122/100,"")))</f>
        <v/>
      </c>
      <c r="AD122" s="113">
        <f>IF(AD$13="","",IF($B122="","",IFERROR(M122*$E122/100,"")))</f>
        <v/>
      </c>
      <c r="AE122" s="113">
        <f>IF(AE$13="","",IF($B122="","",IFERROR(N122*$E122/100,"")))</f>
        <v/>
      </c>
      <c r="AF122" s="113">
        <f>IF(AF$13="","",IF($B122="","",IFERROR(O122*$E122/100,"")))</f>
        <v/>
      </c>
      <c r="AG122" s="113">
        <f>IF(AG$13="","",IF($B122="","",IFERROR(P122*$E122/100,"")))</f>
        <v/>
      </c>
      <c r="AH122" s="113">
        <f>IF(AH$13="","",IF($B122="","",IFERROR(Q122*$E122/100,"")))</f>
        <v/>
      </c>
      <c r="AI122" s="113">
        <f>IF(AI$13="","",IF($B122="","",IFERROR(R122*$E122/100,"")))</f>
        <v/>
      </c>
      <c r="AJ122" s="113">
        <f>IF(AJ$13="","",IF($B122="","",IFERROR(S122*$E122/100,"")))</f>
        <v/>
      </c>
      <c r="AK122" s="113">
        <f>IF(AK$13="","",IF($B122="","",IFERROR(T122*$E122/100,"")))</f>
        <v/>
      </c>
      <c r="AL122" s="113">
        <f>IF(AL$13="","",IF($B122="","",IFERROR(U122*$E122/100,"")))</f>
        <v/>
      </c>
    </row>
    <row r="123">
      <c r="B123" s="5">
        <f>IF(AS51!$C$113="","",AS51!$C$113)</f>
        <v/>
      </c>
      <c r="C123" s="86">
        <f>IF(AS51!$B$113="","",AS51!$B$113)</f>
        <v/>
      </c>
      <c r="D123" s="111">
        <f>IFERROR(AS51!$Q$113,1)</f>
        <v/>
      </c>
      <c r="E123" s="112">
        <f>IF($B123="","",IF(ISNUMBER(AS51!$I$113),AS51!$I$113,'Index Summary'!$C$7))</f>
        <v/>
      </c>
      <c r="F123" s="113">
        <f>IF(F$13="","",IF($B123="","",IFERROR($C123*$D123*SUMIFS('Dvd Calendar'!$E$222:$CZ$222,'Dvd Calendar'!$E$221:$CZ$221,"&gt;"&amp;F$12,'Dvd Calendar'!$E$221:$CZ$221,"&lt;="&amp;F$13)/AS51!$B$3,"")))</f>
        <v/>
      </c>
      <c r="G123" s="113">
        <f>IF(G$13="","",IF($B123="","",IFERROR($C123*$D123*SUMIFS('Dvd Calendar'!$E$222:$CZ$222,'Dvd Calendar'!$E$221:$CZ$221,"&gt;"&amp;G$12,'Dvd Calendar'!$E$221:$CZ$221,"&lt;="&amp;G$13)/AS51!$B$3,"")))</f>
        <v/>
      </c>
      <c r="H123" s="113">
        <f>IF(H$13="","",IF($B123="","",IFERROR($C123*$D123*SUMIFS('Dvd Calendar'!$E$222:$CZ$222,'Dvd Calendar'!$E$221:$CZ$221,"&gt;"&amp;H$12,'Dvd Calendar'!$E$221:$CZ$221,"&lt;="&amp;H$13)/AS51!$B$3,"")))</f>
        <v/>
      </c>
      <c r="I123" s="113">
        <f>IF(I$13="","",IF($B123="","",IFERROR($C123*$D123*SUMIFS('Dvd Calendar'!$E$222:$CZ$222,'Dvd Calendar'!$E$221:$CZ$221,"&gt;"&amp;I$12,'Dvd Calendar'!$E$221:$CZ$221,"&lt;="&amp;I$13)/AS51!$B$3,"")))</f>
        <v/>
      </c>
      <c r="J123" s="113">
        <f>IF(J$13="","",IF($B123="","",IFERROR($C123*$D123*SUMIFS('Dvd Calendar'!$E$222:$CZ$222,'Dvd Calendar'!$E$221:$CZ$221,"&gt;"&amp;J$12,'Dvd Calendar'!$E$221:$CZ$221,"&lt;="&amp;J$13)/AS51!$B$3,"")))</f>
        <v/>
      </c>
      <c r="K123" s="113">
        <f>IF(K$13="","",IF($B123="","",IFERROR($C123*$D123*SUMIFS('Dvd Calendar'!$E$222:$CZ$222,'Dvd Calendar'!$E$221:$CZ$221,"&gt;"&amp;K$12,'Dvd Calendar'!$E$221:$CZ$221,"&lt;="&amp;K$13)/AS51!$B$3,"")))</f>
        <v/>
      </c>
      <c r="L123" s="113">
        <f>IF(L$13="","",IF($B123="","",IFERROR($C123*$D123*SUMIFS('Dvd Calendar'!$E$222:$CZ$222,'Dvd Calendar'!$E$221:$CZ$221,"&gt;"&amp;L$12,'Dvd Calendar'!$E$221:$CZ$221,"&lt;="&amp;L$13)/AS51!$B$3,"")))</f>
        <v/>
      </c>
      <c r="M123" s="113">
        <f>IF(M$13="","",IF($B123="","",IFERROR($C123*$D123*SUMIFS('Dvd Calendar'!$E$222:$CZ$222,'Dvd Calendar'!$E$221:$CZ$221,"&gt;"&amp;M$12,'Dvd Calendar'!$E$221:$CZ$221,"&lt;="&amp;M$13)/AS51!$B$3,"")))</f>
        <v/>
      </c>
      <c r="N123" s="113">
        <f>IF(N$13="","",IF($B123="","",IFERROR($C123*$D123*SUMIFS('Dvd Calendar'!$E$222:$CZ$222,'Dvd Calendar'!$E$221:$CZ$221,"&gt;"&amp;N$12,'Dvd Calendar'!$E$221:$CZ$221,"&lt;="&amp;N$13)/AS51!$B$3,"")))</f>
        <v/>
      </c>
      <c r="O123" s="113">
        <f>IF(O$13="","",IF($B123="","",IFERROR($C123*$D123*SUMIFS('Dvd Calendar'!$E$222:$CZ$222,'Dvd Calendar'!$E$221:$CZ$221,"&gt;"&amp;O$12,'Dvd Calendar'!$E$221:$CZ$221,"&lt;="&amp;O$13)/AS51!$B$3,"")))</f>
        <v/>
      </c>
      <c r="P123" s="113">
        <f>IF(P$13="","",IF($B123="","",IFERROR($C123*$D123*SUMIFS('Dvd Calendar'!$E$222:$CZ$222,'Dvd Calendar'!$E$221:$CZ$221,"&gt;"&amp;P$12,'Dvd Calendar'!$E$221:$CZ$221,"&lt;="&amp;P$13)/AS51!$B$3,"")))</f>
        <v/>
      </c>
      <c r="Q123" s="113">
        <f>IF(Q$13="","",IF($B123="","",IFERROR($C123*$D123*SUMIFS('Dvd Calendar'!$E$222:$CZ$222,'Dvd Calendar'!$E$221:$CZ$221,"&gt;"&amp;Q$12,'Dvd Calendar'!$E$221:$CZ$221,"&lt;="&amp;Q$13)/AS51!$B$3,"")))</f>
        <v/>
      </c>
      <c r="R123" s="113">
        <f>IF(R$13="","",IF($B123="","",IFERROR($C123*$D123*SUMIFS('Dvd Calendar'!$E$222:$CZ$222,'Dvd Calendar'!$E$221:$CZ$221,"&gt;"&amp;R$12,'Dvd Calendar'!$E$221:$CZ$221,"&lt;="&amp;R$13)/AS51!$B$3,"")))</f>
        <v/>
      </c>
      <c r="S123" s="113">
        <f>IF(S$13="","",IF($B123="","",IFERROR($C123*$D123*SUMIFS('Dvd Calendar'!$E$222:$CZ$222,'Dvd Calendar'!$E$221:$CZ$221,"&gt;"&amp;S$12,'Dvd Calendar'!$E$221:$CZ$221,"&lt;="&amp;S$13)/AS51!$B$3,"")))</f>
        <v/>
      </c>
      <c r="T123" s="113">
        <f>IF(T$13="","",IF($B123="","",IFERROR($C123*$D123*SUMIFS('Dvd Calendar'!$E$222:$CZ$222,'Dvd Calendar'!$E$221:$CZ$221,"&gt;"&amp;T$12,'Dvd Calendar'!$E$221:$CZ$221,"&lt;="&amp;T$13)/AS51!$B$3,"")))</f>
        <v/>
      </c>
      <c r="U123" s="113">
        <f>IF(U$13="","",IF($B123="","",IFERROR($C123*$D123*SUMIFS('Dvd Calendar'!$E$222:$CZ$222,'Dvd Calendar'!$E$221:$CZ$221,"&gt;"&amp;U$12,'Dvd Calendar'!$E$221:$CZ$221,"&lt;="&amp;U$13)/AS51!$B$3,"")))</f>
        <v/>
      </c>
      <c r="W123" s="113">
        <f>IF(W$13="","",IF($B123="","",IFERROR(F123*$E123/100,"")))</f>
        <v/>
      </c>
      <c r="X123" s="113">
        <f>IF(X$13="","",IF($B123="","",IFERROR(G123*$E123/100,"")))</f>
        <v/>
      </c>
      <c r="Y123" s="113">
        <f>IF(Y$13="","",IF($B123="","",IFERROR(H123*$E123/100,"")))</f>
        <v/>
      </c>
      <c r="Z123" s="113">
        <f>IF(Z$13="","",IF($B123="","",IFERROR(I123*$E123/100,"")))</f>
        <v/>
      </c>
      <c r="AA123" s="113">
        <f>IF(AA$13="","",IF($B123="","",IFERROR(J123*$E123/100,"")))</f>
        <v/>
      </c>
      <c r="AB123" s="113">
        <f>IF(AB$13="","",IF($B123="","",IFERROR(K123*$E123/100,"")))</f>
        <v/>
      </c>
      <c r="AC123" s="113">
        <f>IF(AC$13="","",IF($B123="","",IFERROR(L123*$E123/100,"")))</f>
        <v/>
      </c>
      <c r="AD123" s="113">
        <f>IF(AD$13="","",IF($B123="","",IFERROR(M123*$E123/100,"")))</f>
        <v/>
      </c>
      <c r="AE123" s="113">
        <f>IF(AE$13="","",IF($B123="","",IFERROR(N123*$E123/100,"")))</f>
        <v/>
      </c>
      <c r="AF123" s="113">
        <f>IF(AF$13="","",IF($B123="","",IFERROR(O123*$E123/100,"")))</f>
        <v/>
      </c>
      <c r="AG123" s="113">
        <f>IF(AG$13="","",IF($B123="","",IFERROR(P123*$E123/100,"")))</f>
        <v/>
      </c>
      <c r="AH123" s="113">
        <f>IF(AH$13="","",IF($B123="","",IFERROR(Q123*$E123/100,"")))</f>
        <v/>
      </c>
      <c r="AI123" s="113">
        <f>IF(AI$13="","",IF($B123="","",IFERROR(R123*$E123/100,"")))</f>
        <v/>
      </c>
      <c r="AJ123" s="113">
        <f>IF(AJ$13="","",IF($B123="","",IFERROR(S123*$E123/100,"")))</f>
        <v/>
      </c>
      <c r="AK123" s="113">
        <f>IF(AK$13="","",IF($B123="","",IFERROR(T123*$E123/100,"")))</f>
        <v/>
      </c>
      <c r="AL123" s="113">
        <f>IF(AL$13="","",IF($B123="","",IFERROR(U123*$E123/100,"")))</f>
        <v/>
      </c>
    </row>
    <row r="124">
      <c r="B124" s="5">
        <f>IF(AS51!$C$114="","",AS51!$C$114)</f>
        <v/>
      </c>
      <c r="C124" s="86">
        <f>IF(AS51!$B$114="","",AS51!$B$114)</f>
        <v/>
      </c>
      <c r="D124" s="111">
        <f>IFERROR(AS51!$Q$114,1)</f>
        <v/>
      </c>
      <c r="E124" s="112">
        <f>IF($B124="","",IF(ISNUMBER(AS51!$I$114),AS51!$I$114,'Index Summary'!$C$7))</f>
        <v/>
      </c>
      <c r="F124" s="113">
        <f>IF(F$13="","",IF($B124="","",IFERROR($C124*$D124*SUMIFS('Dvd Calendar'!$E$224:$CZ$224,'Dvd Calendar'!$E$223:$CZ$223,"&gt;"&amp;F$12,'Dvd Calendar'!$E$223:$CZ$223,"&lt;="&amp;F$13)/AS51!$B$3,"")))</f>
        <v/>
      </c>
      <c r="G124" s="113">
        <f>IF(G$13="","",IF($B124="","",IFERROR($C124*$D124*SUMIFS('Dvd Calendar'!$E$224:$CZ$224,'Dvd Calendar'!$E$223:$CZ$223,"&gt;"&amp;G$12,'Dvd Calendar'!$E$223:$CZ$223,"&lt;="&amp;G$13)/AS51!$B$3,"")))</f>
        <v/>
      </c>
      <c r="H124" s="113">
        <f>IF(H$13="","",IF($B124="","",IFERROR($C124*$D124*SUMIFS('Dvd Calendar'!$E$224:$CZ$224,'Dvd Calendar'!$E$223:$CZ$223,"&gt;"&amp;H$12,'Dvd Calendar'!$E$223:$CZ$223,"&lt;="&amp;H$13)/AS51!$B$3,"")))</f>
        <v/>
      </c>
      <c r="I124" s="113">
        <f>IF(I$13="","",IF($B124="","",IFERROR($C124*$D124*SUMIFS('Dvd Calendar'!$E$224:$CZ$224,'Dvd Calendar'!$E$223:$CZ$223,"&gt;"&amp;I$12,'Dvd Calendar'!$E$223:$CZ$223,"&lt;="&amp;I$13)/AS51!$B$3,"")))</f>
        <v/>
      </c>
      <c r="J124" s="113">
        <f>IF(J$13="","",IF($B124="","",IFERROR($C124*$D124*SUMIFS('Dvd Calendar'!$E$224:$CZ$224,'Dvd Calendar'!$E$223:$CZ$223,"&gt;"&amp;J$12,'Dvd Calendar'!$E$223:$CZ$223,"&lt;="&amp;J$13)/AS51!$B$3,"")))</f>
        <v/>
      </c>
      <c r="K124" s="113">
        <f>IF(K$13="","",IF($B124="","",IFERROR($C124*$D124*SUMIFS('Dvd Calendar'!$E$224:$CZ$224,'Dvd Calendar'!$E$223:$CZ$223,"&gt;"&amp;K$12,'Dvd Calendar'!$E$223:$CZ$223,"&lt;="&amp;K$13)/AS51!$B$3,"")))</f>
        <v/>
      </c>
      <c r="L124" s="113">
        <f>IF(L$13="","",IF($B124="","",IFERROR($C124*$D124*SUMIFS('Dvd Calendar'!$E$224:$CZ$224,'Dvd Calendar'!$E$223:$CZ$223,"&gt;"&amp;L$12,'Dvd Calendar'!$E$223:$CZ$223,"&lt;="&amp;L$13)/AS51!$B$3,"")))</f>
        <v/>
      </c>
      <c r="M124" s="113">
        <f>IF(M$13="","",IF($B124="","",IFERROR($C124*$D124*SUMIFS('Dvd Calendar'!$E$224:$CZ$224,'Dvd Calendar'!$E$223:$CZ$223,"&gt;"&amp;M$12,'Dvd Calendar'!$E$223:$CZ$223,"&lt;="&amp;M$13)/AS51!$B$3,"")))</f>
        <v/>
      </c>
      <c r="N124" s="113">
        <f>IF(N$13="","",IF($B124="","",IFERROR($C124*$D124*SUMIFS('Dvd Calendar'!$E$224:$CZ$224,'Dvd Calendar'!$E$223:$CZ$223,"&gt;"&amp;N$12,'Dvd Calendar'!$E$223:$CZ$223,"&lt;="&amp;N$13)/AS51!$B$3,"")))</f>
        <v/>
      </c>
      <c r="O124" s="113">
        <f>IF(O$13="","",IF($B124="","",IFERROR($C124*$D124*SUMIFS('Dvd Calendar'!$E$224:$CZ$224,'Dvd Calendar'!$E$223:$CZ$223,"&gt;"&amp;O$12,'Dvd Calendar'!$E$223:$CZ$223,"&lt;="&amp;O$13)/AS51!$B$3,"")))</f>
        <v/>
      </c>
      <c r="P124" s="113">
        <f>IF(P$13="","",IF($B124="","",IFERROR($C124*$D124*SUMIFS('Dvd Calendar'!$E$224:$CZ$224,'Dvd Calendar'!$E$223:$CZ$223,"&gt;"&amp;P$12,'Dvd Calendar'!$E$223:$CZ$223,"&lt;="&amp;P$13)/AS51!$B$3,"")))</f>
        <v/>
      </c>
      <c r="Q124" s="113">
        <f>IF(Q$13="","",IF($B124="","",IFERROR($C124*$D124*SUMIFS('Dvd Calendar'!$E$224:$CZ$224,'Dvd Calendar'!$E$223:$CZ$223,"&gt;"&amp;Q$12,'Dvd Calendar'!$E$223:$CZ$223,"&lt;="&amp;Q$13)/AS51!$B$3,"")))</f>
        <v/>
      </c>
      <c r="R124" s="113">
        <f>IF(R$13="","",IF($B124="","",IFERROR($C124*$D124*SUMIFS('Dvd Calendar'!$E$224:$CZ$224,'Dvd Calendar'!$E$223:$CZ$223,"&gt;"&amp;R$12,'Dvd Calendar'!$E$223:$CZ$223,"&lt;="&amp;R$13)/AS51!$B$3,"")))</f>
        <v/>
      </c>
      <c r="S124" s="113">
        <f>IF(S$13="","",IF($B124="","",IFERROR($C124*$D124*SUMIFS('Dvd Calendar'!$E$224:$CZ$224,'Dvd Calendar'!$E$223:$CZ$223,"&gt;"&amp;S$12,'Dvd Calendar'!$E$223:$CZ$223,"&lt;="&amp;S$13)/AS51!$B$3,"")))</f>
        <v/>
      </c>
      <c r="T124" s="113">
        <f>IF(T$13="","",IF($B124="","",IFERROR($C124*$D124*SUMIFS('Dvd Calendar'!$E$224:$CZ$224,'Dvd Calendar'!$E$223:$CZ$223,"&gt;"&amp;T$12,'Dvd Calendar'!$E$223:$CZ$223,"&lt;="&amp;T$13)/AS51!$B$3,"")))</f>
        <v/>
      </c>
      <c r="U124" s="113">
        <f>IF(U$13="","",IF($B124="","",IFERROR($C124*$D124*SUMIFS('Dvd Calendar'!$E$224:$CZ$224,'Dvd Calendar'!$E$223:$CZ$223,"&gt;"&amp;U$12,'Dvd Calendar'!$E$223:$CZ$223,"&lt;="&amp;U$13)/AS51!$B$3,"")))</f>
        <v/>
      </c>
      <c r="W124" s="113">
        <f>IF(W$13="","",IF($B124="","",IFERROR(F124*$E124/100,"")))</f>
        <v/>
      </c>
      <c r="X124" s="113">
        <f>IF(X$13="","",IF($B124="","",IFERROR(G124*$E124/100,"")))</f>
        <v/>
      </c>
      <c r="Y124" s="113">
        <f>IF(Y$13="","",IF($B124="","",IFERROR(H124*$E124/100,"")))</f>
        <v/>
      </c>
      <c r="Z124" s="113">
        <f>IF(Z$13="","",IF($B124="","",IFERROR(I124*$E124/100,"")))</f>
        <v/>
      </c>
      <c r="AA124" s="113">
        <f>IF(AA$13="","",IF($B124="","",IFERROR(J124*$E124/100,"")))</f>
        <v/>
      </c>
      <c r="AB124" s="113">
        <f>IF(AB$13="","",IF($B124="","",IFERROR(K124*$E124/100,"")))</f>
        <v/>
      </c>
      <c r="AC124" s="113">
        <f>IF(AC$13="","",IF($B124="","",IFERROR(L124*$E124/100,"")))</f>
        <v/>
      </c>
      <c r="AD124" s="113">
        <f>IF(AD$13="","",IF($B124="","",IFERROR(M124*$E124/100,"")))</f>
        <v/>
      </c>
      <c r="AE124" s="113">
        <f>IF(AE$13="","",IF($B124="","",IFERROR(N124*$E124/100,"")))</f>
        <v/>
      </c>
      <c r="AF124" s="113">
        <f>IF(AF$13="","",IF($B124="","",IFERROR(O124*$E124/100,"")))</f>
        <v/>
      </c>
      <c r="AG124" s="113">
        <f>IF(AG$13="","",IF($B124="","",IFERROR(P124*$E124/100,"")))</f>
        <v/>
      </c>
      <c r="AH124" s="113">
        <f>IF(AH$13="","",IF($B124="","",IFERROR(Q124*$E124/100,"")))</f>
        <v/>
      </c>
      <c r="AI124" s="113">
        <f>IF(AI$13="","",IF($B124="","",IFERROR(R124*$E124/100,"")))</f>
        <v/>
      </c>
      <c r="AJ124" s="113">
        <f>IF(AJ$13="","",IF($B124="","",IFERROR(S124*$E124/100,"")))</f>
        <v/>
      </c>
      <c r="AK124" s="113">
        <f>IF(AK$13="","",IF($B124="","",IFERROR(T124*$E124/100,"")))</f>
        <v/>
      </c>
      <c r="AL124" s="113">
        <f>IF(AL$13="","",IF($B124="","",IFERROR(U124*$E124/100,"")))</f>
        <v/>
      </c>
    </row>
    <row r="125">
      <c r="B125" s="5">
        <f>IF(AS51!$C$115="","",AS51!$C$115)</f>
        <v/>
      </c>
      <c r="C125" s="86">
        <f>IF(AS51!$B$115="","",AS51!$B$115)</f>
        <v/>
      </c>
      <c r="D125" s="111">
        <f>IFERROR(AS51!$Q$115,1)</f>
        <v/>
      </c>
      <c r="E125" s="112">
        <f>IF($B125="","",IF(ISNUMBER(AS51!$I$115),AS51!$I$115,'Index Summary'!$C$7))</f>
        <v/>
      </c>
      <c r="F125" s="113">
        <f>IF(F$13="","",IF($B125="","",IFERROR($C125*$D125*SUMIFS('Dvd Calendar'!$E$226:$CZ$226,'Dvd Calendar'!$E$225:$CZ$225,"&gt;"&amp;F$12,'Dvd Calendar'!$E$225:$CZ$225,"&lt;="&amp;F$13)/AS51!$B$3,"")))</f>
        <v/>
      </c>
      <c r="G125" s="113">
        <f>IF(G$13="","",IF($B125="","",IFERROR($C125*$D125*SUMIFS('Dvd Calendar'!$E$226:$CZ$226,'Dvd Calendar'!$E$225:$CZ$225,"&gt;"&amp;G$12,'Dvd Calendar'!$E$225:$CZ$225,"&lt;="&amp;G$13)/AS51!$B$3,"")))</f>
        <v/>
      </c>
      <c r="H125" s="113">
        <f>IF(H$13="","",IF($B125="","",IFERROR($C125*$D125*SUMIFS('Dvd Calendar'!$E$226:$CZ$226,'Dvd Calendar'!$E$225:$CZ$225,"&gt;"&amp;H$12,'Dvd Calendar'!$E$225:$CZ$225,"&lt;="&amp;H$13)/AS51!$B$3,"")))</f>
        <v/>
      </c>
      <c r="I125" s="113">
        <f>IF(I$13="","",IF($B125="","",IFERROR($C125*$D125*SUMIFS('Dvd Calendar'!$E$226:$CZ$226,'Dvd Calendar'!$E$225:$CZ$225,"&gt;"&amp;I$12,'Dvd Calendar'!$E$225:$CZ$225,"&lt;="&amp;I$13)/AS51!$B$3,"")))</f>
        <v/>
      </c>
      <c r="J125" s="113">
        <f>IF(J$13="","",IF($B125="","",IFERROR($C125*$D125*SUMIFS('Dvd Calendar'!$E$226:$CZ$226,'Dvd Calendar'!$E$225:$CZ$225,"&gt;"&amp;J$12,'Dvd Calendar'!$E$225:$CZ$225,"&lt;="&amp;J$13)/AS51!$B$3,"")))</f>
        <v/>
      </c>
      <c r="K125" s="113">
        <f>IF(K$13="","",IF($B125="","",IFERROR($C125*$D125*SUMIFS('Dvd Calendar'!$E$226:$CZ$226,'Dvd Calendar'!$E$225:$CZ$225,"&gt;"&amp;K$12,'Dvd Calendar'!$E$225:$CZ$225,"&lt;="&amp;K$13)/AS51!$B$3,"")))</f>
        <v/>
      </c>
      <c r="L125" s="113">
        <f>IF(L$13="","",IF($B125="","",IFERROR($C125*$D125*SUMIFS('Dvd Calendar'!$E$226:$CZ$226,'Dvd Calendar'!$E$225:$CZ$225,"&gt;"&amp;L$12,'Dvd Calendar'!$E$225:$CZ$225,"&lt;="&amp;L$13)/AS51!$B$3,"")))</f>
        <v/>
      </c>
      <c r="M125" s="113">
        <f>IF(M$13="","",IF($B125="","",IFERROR($C125*$D125*SUMIFS('Dvd Calendar'!$E$226:$CZ$226,'Dvd Calendar'!$E$225:$CZ$225,"&gt;"&amp;M$12,'Dvd Calendar'!$E$225:$CZ$225,"&lt;="&amp;M$13)/AS51!$B$3,"")))</f>
        <v/>
      </c>
      <c r="N125" s="113">
        <f>IF(N$13="","",IF($B125="","",IFERROR($C125*$D125*SUMIFS('Dvd Calendar'!$E$226:$CZ$226,'Dvd Calendar'!$E$225:$CZ$225,"&gt;"&amp;N$12,'Dvd Calendar'!$E$225:$CZ$225,"&lt;="&amp;N$13)/AS51!$B$3,"")))</f>
        <v/>
      </c>
      <c r="O125" s="113">
        <f>IF(O$13="","",IF($B125="","",IFERROR($C125*$D125*SUMIFS('Dvd Calendar'!$E$226:$CZ$226,'Dvd Calendar'!$E$225:$CZ$225,"&gt;"&amp;O$12,'Dvd Calendar'!$E$225:$CZ$225,"&lt;="&amp;O$13)/AS51!$B$3,"")))</f>
        <v/>
      </c>
      <c r="P125" s="113">
        <f>IF(P$13="","",IF($B125="","",IFERROR($C125*$D125*SUMIFS('Dvd Calendar'!$E$226:$CZ$226,'Dvd Calendar'!$E$225:$CZ$225,"&gt;"&amp;P$12,'Dvd Calendar'!$E$225:$CZ$225,"&lt;="&amp;P$13)/AS51!$B$3,"")))</f>
        <v/>
      </c>
      <c r="Q125" s="113">
        <f>IF(Q$13="","",IF($B125="","",IFERROR($C125*$D125*SUMIFS('Dvd Calendar'!$E$226:$CZ$226,'Dvd Calendar'!$E$225:$CZ$225,"&gt;"&amp;Q$12,'Dvd Calendar'!$E$225:$CZ$225,"&lt;="&amp;Q$13)/AS51!$B$3,"")))</f>
        <v/>
      </c>
      <c r="R125" s="113">
        <f>IF(R$13="","",IF($B125="","",IFERROR($C125*$D125*SUMIFS('Dvd Calendar'!$E$226:$CZ$226,'Dvd Calendar'!$E$225:$CZ$225,"&gt;"&amp;R$12,'Dvd Calendar'!$E$225:$CZ$225,"&lt;="&amp;R$13)/AS51!$B$3,"")))</f>
        <v/>
      </c>
      <c r="S125" s="113">
        <f>IF(S$13="","",IF($B125="","",IFERROR($C125*$D125*SUMIFS('Dvd Calendar'!$E$226:$CZ$226,'Dvd Calendar'!$E$225:$CZ$225,"&gt;"&amp;S$12,'Dvd Calendar'!$E$225:$CZ$225,"&lt;="&amp;S$13)/AS51!$B$3,"")))</f>
        <v/>
      </c>
      <c r="T125" s="113">
        <f>IF(T$13="","",IF($B125="","",IFERROR($C125*$D125*SUMIFS('Dvd Calendar'!$E$226:$CZ$226,'Dvd Calendar'!$E$225:$CZ$225,"&gt;"&amp;T$12,'Dvd Calendar'!$E$225:$CZ$225,"&lt;="&amp;T$13)/AS51!$B$3,"")))</f>
        <v/>
      </c>
      <c r="U125" s="113">
        <f>IF(U$13="","",IF($B125="","",IFERROR($C125*$D125*SUMIFS('Dvd Calendar'!$E$226:$CZ$226,'Dvd Calendar'!$E$225:$CZ$225,"&gt;"&amp;U$12,'Dvd Calendar'!$E$225:$CZ$225,"&lt;="&amp;U$13)/AS51!$B$3,"")))</f>
        <v/>
      </c>
      <c r="W125" s="113">
        <f>IF(W$13="","",IF($B125="","",IFERROR(F125*$E125/100,"")))</f>
        <v/>
      </c>
      <c r="X125" s="113">
        <f>IF(X$13="","",IF($B125="","",IFERROR(G125*$E125/100,"")))</f>
        <v/>
      </c>
      <c r="Y125" s="113">
        <f>IF(Y$13="","",IF($B125="","",IFERROR(H125*$E125/100,"")))</f>
        <v/>
      </c>
      <c r="Z125" s="113">
        <f>IF(Z$13="","",IF($B125="","",IFERROR(I125*$E125/100,"")))</f>
        <v/>
      </c>
      <c r="AA125" s="113">
        <f>IF(AA$13="","",IF($B125="","",IFERROR(J125*$E125/100,"")))</f>
        <v/>
      </c>
      <c r="AB125" s="113">
        <f>IF(AB$13="","",IF($B125="","",IFERROR(K125*$E125/100,"")))</f>
        <v/>
      </c>
      <c r="AC125" s="113">
        <f>IF(AC$13="","",IF($B125="","",IFERROR(L125*$E125/100,"")))</f>
        <v/>
      </c>
      <c r="AD125" s="113">
        <f>IF(AD$13="","",IF($B125="","",IFERROR(M125*$E125/100,"")))</f>
        <v/>
      </c>
      <c r="AE125" s="113">
        <f>IF(AE$13="","",IF($B125="","",IFERROR(N125*$E125/100,"")))</f>
        <v/>
      </c>
      <c r="AF125" s="113">
        <f>IF(AF$13="","",IF($B125="","",IFERROR(O125*$E125/100,"")))</f>
        <v/>
      </c>
      <c r="AG125" s="113">
        <f>IF(AG$13="","",IF($B125="","",IFERROR(P125*$E125/100,"")))</f>
        <v/>
      </c>
      <c r="AH125" s="113">
        <f>IF(AH$13="","",IF($B125="","",IFERROR(Q125*$E125/100,"")))</f>
        <v/>
      </c>
      <c r="AI125" s="113">
        <f>IF(AI$13="","",IF($B125="","",IFERROR(R125*$E125/100,"")))</f>
        <v/>
      </c>
      <c r="AJ125" s="113">
        <f>IF(AJ$13="","",IF($B125="","",IFERROR(S125*$E125/100,"")))</f>
        <v/>
      </c>
      <c r="AK125" s="113">
        <f>IF(AK$13="","",IF($B125="","",IFERROR(T125*$E125/100,"")))</f>
        <v/>
      </c>
      <c r="AL125" s="113">
        <f>IF(AL$13="","",IF($B125="","",IFERROR(U125*$E125/100,"")))</f>
        <v/>
      </c>
    </row>
    <row r="126">
      <c r="B126" s="5">
        <f>IF(AS51!$C$116="","",AS51!$C$116)</f>
        <v/>
      </c>
      <c r="C126" s="86">
        <f>IF(AS51!$B$116="","",AS51!$B$116)</f>
        <v/>
      </c>
      <c r="D126" s="111">
        <f>IFERROR(AS51!$Q$116,1)</f>
        <v/>
      </c>
      <c r="E126" s="112">
        <f>IF($B126="","",IF(ISNUMBER(AS51!$I$116),AS51!$I$116,'Index Summary'!$C$7))</f>
        <v/>
      </c>
      <c r="F126" s="113">
        <f>IF(F$13="","",IF($B126="","",IFERROR($C126*$D126*SUMIFS('Dvd Calendar'!$E$228:$CZ$228,'Dvd Calendar'!$E$227:$CZ$227,"&gt;"&amp;F$12,'Dvd Calendar'!$E$227:$CZ$227,"&lt;="&amp;F$13)/AS51!$B$3,"")))</f>
        <v/>
      </c>
      <c r="G126" s="113">
        <f>IF(G$13="","",IF($B126="","",IFERROR($C126*$D126*SUMIFS('Dvd Calendar'!$E$228:$CZ$228,'Dvd Calendar'!$E$227:$CZ$227,"&gt;"&amp;G$12,'Dvd Calendar'!$E$227:$CZ$227,"&lt;="&amp;G$13)/AS51!$B$3,"")))</f>
        <v/>
      </c>
      <c r="H126" s="113">
        <f>IF(H$13="","",IF($B126="","",IFERROR($C126*$D126*SUMIFS('Dvd Calendar'!$E$228:$CZ$228,'Dvd Calendar'!$E$227:$CZ$227,"&gt;"&amp;H$12,'Dvd Calendar'!$E$227:$CZ$227,"&lt;="&amp;H$13)/AS51!$B$3,"")))</f>
        <v/>
      </c>
      <c r="I126" s="113">
        <f>IF(I$13="","",IF($B126="","",IFERROR($C126*$D126*SUMIFS('Dvd Calendar'!$E$228:$CZ$228,'Dvd Calendar'!$E$227:$CZ$227,"&gt;"&amp;I$12,'Dvd Calendar'!$E$227:$CZ$227,"&lt;="&amp;I$13)/AS51!$B$3,"")))</f>
        <v/>
      </c>
      <c r="J126" s="113">
        <f>IF(J$13="","",IF($B126="","",IFERROR($C126*$D126*SUMIFS('Dvd Calendar'!$E$228:$CZ$228,'Dvd Calendar'!$E$227:$CZ$227,"&gt;"&amp;J$12,'Dvd Calendar'!$E$227:$CZ$227,"&lt;="&amp;J$13)/AS51!$B$3,"")))</f>
        <v/>
      </c>
      <c r="K126" s="113">
        <f>IF(K$13="","",IF($B126="","",IFERROR($C126*$D126*SUMIFS('Dvd Calendar'!$E$228:$CZ$228,'Dvd Calendar'!$E$227:$CZ$227,"&gt;"&amp;K$12,'Dvd Calendar'!$E$227:$CZ$227,"&lt;="&amp;K$13)/AS51!$B$3,"")))</f>
        <v/>
      </c>
      <c r="L126" s="113">
        <f>IF(L$13="","",IF($B126="","",IFERROR($C126*$D126*SUMIFS('Dvd Calendar'!$E$228:$CZ$228,'Dvd Calendar'!$E$227:$CZ$227,"&gt;"&amp;L$12,'Dvd Calendar'!$E$227:$CZ$227,"&lt;="&amp;L$13)/AS51!$B$3,"")))</f>
        <v/>
      </c>
      <c r="M126" s="113">
        <f>IF(M$13="","",IF($B126="","",IFERROR($C126*$D126*SUMIFS('Dvd Calendar'!$E$228:$CZ$228,'Dvd Calendar'!$E$227:$CZ$227,"&gt;"&amp;M$12,'Dvd Calendar'!$E$227:$CZ$227,"&lt;="&amp;M$13)/AS51!$B$3,"")))</f>
        <v/>
      </c>
      <c r="N126" s="113">
        <f>IF(N$13="","",IF($B126="","",IFERROR($C126*$D126*SUMIFS('Dvd Calendar'!$E$228:$CZ$228,'Dvd Calendar'!$E$227:$CZ$227,"&gt;"&amp;N$12,'Dvd Calendar'!$E$227:$CZ$227,"&lt;="&amp;N$13)/AS51!$B$3,"")))</f>
        <v/>
      </c>
      <c r="O126" s="113">
        <f>IF(O$13="","",IF($B126="","",IFERROR($C126*$D126*SUMIFS('Dvd Calendar'!$E$228:$CZ$228,'Dvd Calendar'!$E$227:$CZ$227,"&gt;"&amp;O$12,'Dvd Calendar'!$E$227:$CZ$227,"&lt;="&amp;O$13)/AS51!$B$3,"")))</f>
        <v/>
      </c>
      <c r="P126" s="113">
        <f>IF(P$13="","",IF($B126="","",IFERROR($C126*$D126*SUMIFS('Dvd Calendar'!$E$228:$CZ$228,'Dvd Calendar'!$E$227:$CZ$227,"&gt;"&amp;P$12,'Dvd Calendar'!$E$227:$CZ$227,"&lt;="&amp;P$13)/AS51!$B$3,"")))</f>
        <v/>
      </c>
      <c r="Q126" s="113">
        <f>IF(Q$13="","",IF($B126="","",IFERROR($C126*$D126*SUMIFS('Dvd Calendar'!$E$228:$CZ$228,'Dvd Calendar'!$E$227:$CZ$227,"&gt;"&amp;Q$12,'Dvd Calendar'!$E$227:$CZ$227,"&lt;="&amp;Q$13)/AS51!$B$3,"")))</f>
        <v/>
      </c>
      <c r="R126" s="113">
        <f>IF(R$13="","",IF($B126="","",IFERROR($C126*$D126*SUMIFS('Dvd Calendar'!$E$228:$CZ$228,'Dvd Calendar'!$E$227:$CZ$227,"&gt;"&amp;R$12,'Dvd Calendar'!$E$227:$CZ$227,"&lt;="&amp;R$13)/AS51!$B$3,"")))</f>
        <v/>
      </c>
      <c r="S126" s="113">
        <f>IF(S$13="","",IF($B126="","",IFERROR($C126*$D126*SUMIFS('Dvd Calendar'!$E$228:$CZ$228,'Dvd Calendar'!$E$227:$CZ$227,"&gt;"&amp;S$12,'Dvd Calendar'!$E$227:$CZ$227,"&lt;="&amp;S$13)/AS51!$B$3,"")))</f>
        <v/>
      </c>
      <c r="T126" s="113">
        <f>IF(T$13="","",IF($B126="","",IFERROR($C126*$D126*SUMIFS('Dvd Calendar'!$E$228:$CZ$228,'Dvd Calendar'!$E$227:$CZ$227,"&gt;"&amp;T$12,'Dvd Calendar'!$E$227:$CZ$227,"&lt;="&amp;T$13)/AS51!$B$3,"")))</f>
        <v/>
      </c>
      <c r="U126" s="113">
        <f>IF(U$13="","",IF($B126="","",IFERROR($C126*$D126*SUMIFS('Dvd Calendar'!$E$228:$CZ$228,'Dvd Calendar'!$E$227:$CZ$227,"&gt;"&amp;U$12,'Dvd Calendar'!$E$227:$CZ$227,"&lt;="&amp;U$13)/AS51!$B$3,"")))</f>
        <v/>
      </c>
      <c r="W126" s="113">
        <f>IF(W$13="","",IF($B126="","",IFERROR(F126*$E126/100,"")))</f>
        <v/>
      </c>
      <c r="X126" s="113">
        <f>IF(X$13="","",IF($B126="","",IFERROR(G126*$E126/100,"")))</f>
        <v/>
      </c>
      <c r="Y126" s="113">
        <f>IF(Y$13="","",IF($B126="","",IFERROR(H126*$E126/100,"")))</f>
        <v/>
      </c>
      <c r="Z126" s="113">
        <f>IF(Z$13="","",IF($B126="","",IFERROR(I126*$E126/100,"")))</f>
        <v/>
      </c>
      <c r="AA126" s="113">
        <f>IF(AA$13="","",IF($B126="","",IFERROR(J126*$E126/100,"")))</f>
        <v/>
      </c>
      <c r="AB126" s="113">
        <f>IF(AB$13="","",IF($B126="","",IFERROR(K126*$E126/100,"")))</f>
        <v/>
      </c>
      <c r="AC126" s="113">
        <f>IF(AC$13="","",IF($B126="","",IFERROR(L126*$E126/100,"")))</f>
        <v/>
      </c>
      <c r="AD126" s="113">
        <f>IF(AD$13="","",IF($B126="","",IFERROR(M126*$E126/100,"")))</f>
        <v/>
      </c>
      <c r="AE126" s="113">
        <f>IF(AE$13="","",IF($B126="","",IFERROR(N126*$E126/100,"")))</f>
        <v/>
      </c>
      <c r="AF126" s="113">
        <f>IF(AF$13="","",IF($B126="","",IFERROR(O126*$E126/100,"")))</f>
        <v/>
      </c>
      <c r="AG126" s="113">
        <f>IF(AG$13="","",IF($B126="","",IFERROR(P126*$E126/100,"")))</f>
        <v/>
      </c>
      <c r="AH126" s="113">
        <f>IF(AH$13="","",IF($B126="","",IFERROR(Q126*$E126/100,"")))</f>
        <v/>
      </c>
      <c r="AI126" s="113">
        <f>IF(AI$13="","",IF($B126="","",IFERROR(R126*$E126/100,"")))</f>
        <v/>
      </c>
      <c r="AJ126" s="113">
        <f>IF(AJ$13="","",IF($B126="","",IFERROR(S126*$E126/100,"")))</f>
        <v/>
      </c>
      <c r="AK126" s="113">
        <f>IF(AK$13="","",IF($B126="","",IFERROR(T126*$E126/100,"")))</f>
        <v/>
      </c>
      <c r="AL126" s="113">
        <f>IF(AL$13="","",IF($B126="","",IFERROR(U126*$E126/100,"")))</f>
        <v/>
      </c>
    </row>
    <row r="127">
      <c r="B127" s="5">
        <f>IF(AS51!$C$117="","",AS51!$C$117)</f>
        <v/>
      </c>
      <c r="C127" s="86">
        <f>IF(AS51!$B$117="","",AS51!$B$117)</f>
        <v/>
      </c>
      <c r="D127" s="111">
        <f>IFERROR(AS51!$Q$117,1)</f>
        <v/>
      </c>
      <c r="E127" s="112">
        <f>IF($B127="","",IF(ISNUMBER(AS51!$I$117),AS51!$I$117,'Index Summary'!$C$7))</f>
        <v/>
      </c>
      <c r="F127" s="113">
        <f>IF(F$13="","",IF($B127="","",IFERROR($C127*$D127*SUMIFS('Dvd Calendar'!$E$230:$CZ$230,'Dvd Calendar'!$E$229:$CZ$229,"&gt;"&amp;F$12,'Dvd Calendar'!$E$229:$CZ$229,"&lt;="&amp;F$13)/AS51!$B$3,"")))</f>
        <v/>
      </c>
      <c r="G127" s="113">
        <f>IF(G$13="","",IF($B127="","",IFERROR($C127*$D127*SUMIFS('Dvd Calendar'!$E$230:$CZ$230,'Dvd Calendar'!$E$229:$CZ$229,"&gt;"&amp;G$12,'Dvd Calendar'!$E$229:$CZ$229,"&lt;="&amp;G$13)/AS51!$B$3,"")))</f>
        <v/>
      </c>
      <c r="H127" s="113">
        <f>IF(H$13="","",IF($B127="","",IFERROR($C127*$D127*SUMIFS('Dvd Calendar'!$E$230:$CZ$230,'Dvd Calendar'!$E$229:$CZ$229,"&gt;"&amp;H$12,'Dvd Calendar'!$E$229:$CZ$229,"&lt;="&amp;H$13)/AS51!$B$3,"")))</f>
        <v/>
      </c>
      <c r="I127" s="113">
        <f>IF(I$13="","",IF($B127="","",IFERROR($C127*$D127*SUMIFS('Dvd Calendar'!$E$230:$CZ$230,'Dvd Calendar'!$E$229:$CZ$229,"&gt;"&amp;I$12,'Dvd Calendar'!$E$229:$CZ$229,"&lt;="&amp;I$13)/AS51!$B$3,"")))</f>
        <v/>
      </c>
      <c r="J127" s="113">
        <f>IF(J$13="","",IF($B127="","",IFERROR($C127*$D127*SUMIFS('Dvd Calendar'!$E$230:$CZ$230,'Dvd Calendar'!$E$229:$CZ$229,"&gt;"&amp;J$12,'Dvd Calendar'!$E$229:$CZ$229,"&lt;="&amp;J$13)/AS51!$B$3,"")))</f>
        <v/>
      </c>
      <c r="K127" s="113">
        <f>IF(K$13="","",IF($B127="","",IFERROR($C127*$D127*SUMIFS('Dvd Calendar'!$E$230:$CZ$230,'Dvd Calendar'!$E$229:$CZ$229,"&gt;"&amp;K$12,'Dvd Calendar'!$E$229:$CZ$229,"&lt;="&amp;K$13)/AS51!$B$3,"")))</f>
        <v/>
      </c>
      <c r="L127" s="113">
        <f>IF(L$13="","",IF($B127="","",IFERROR($C127*$D127*SUMIFS('Dvd Calendar'!$E$230:$CZ$230,'Dvd Calendar'!$E$229:$CZ$229,"&gt;"&amp;L$12,'Dvd Calendar'!$E$229:$CZ$229,"&lt;="&amp;L$13)/AS51!$B$3,"")))</f>
        <v/>
      </c>
      <c r="M127" s="113">
        <f>IF(M$13="","",IF($B127="","",IFERROR($C127*$D127*SUMIFS('Dvd Calendar'!$E$230:$CZ$230,'Dvd Calendar'!$E$229:$CZ$229,"&gt;"&amp;M$12,'Dvd Calendar'!$E$229:$CZ$229,"&lt;="&amp;M$13)/AS51!$B$3,"")))</f>
        <v/>
      </c>
      <c r="N127" s="113">
        <f>IF(N$13="","",IF($B127="","",IFERROR($C127*$D127*SUMIFS('Dvd Calendar'!$E$230:$CZ$230,'Dvd Calendar'!$E$229:$CZ$229,"&gt;"&amp;N$12,'Dvd Calendar'!$E$229:$CZ$229,"&lt;="&amp;N$13)/AS51!$B$3,"")))</f>
        <v/>
      </c>
      <c r="O127" s="113">
        <f>IF(O$13="","",IF($B127="","",IFERROR($C127*$D127*SUMIFS('Dvd Calendar'!$E$230:$CZ$230,'Dvd Calendar'!$E$229:$CZ$229,"&gt;"&amp;O$12,'Dvd Calendar'!$E$229:$CZ$229,"&lt;="&amp;O$13)/AS51!$B$3,"")))</f>
        <v/>
      </c>
      <c r="P127" s="113">
        <f>IF(P$13="","",IF($B127="","",IFERROR($C127*$D127*SUMIFS('Dvd Calendar'!$E$230:$CZ$230,'Dvd Calendar'!$E$229:$CZ$229,"&gt;"&amp;P$12,'Dvd Calendar'!$E$229:$CZ$229,"&lt;="&amp;P$13)/AS51!$B$3,"")))</f>
        <v/>
      </c>
      <c r="Q127" s="113">
        <f>IF(Q$13="","",IF($B127="","",IFERROR($C127*$D127*SUMIFS('Dvd Calendar'!$E$230:$CZ$230,'Dvd Calendar'!$E$229:$CZ$229,"&gt;"&amp;Q$12,'Dvd Calendar'!$E$229:$CZ$229,"&lt;="&amp;Q$13)/AS51!$B$3,"")))</f>
        <v/>
      </c>
      <c r="R127" s="113">
        <f>IF(R$13="","",IF($B127="","",IFERROR($C127*$D127*SUMIFS('Dvd Calendar'!$E$230:$CZ$230,'Dvd Calendar'!$E$229:$CZ$229,"&gt;"&amp;R$12,'Dvd Calendar'!$E$229:$CZ$229,"&lt;="&amp;R$13)/AS51!$B$3,"")))</f>
        <v/>
      </c>
      <c r="S127" s="113">
        <f>IF(S$13="","",IF($B127="","",IFERROR($C127*$D127*SUMIFS('Dvd Calendar'!$E$230:$CZ$230,'Dvd Calendar'!$E$229:$CZ$229,"&gt;"&amp;S$12,'Dvd Calendar'!$E$229:$CZ$229,"&lt;="&amp;S$13)/AS51!$B$3,"")))</f>
        <v/>
      </c>
      <c r="T127" s="113">
        <f>IF(T$13="","",IF($B127="","",IFERROR($C127*$D127*SUMIFS('Dvd Calendar'!$E$230:$CZ$230,'Dvd Calendar'!$E$229:$CZ$229,"&gt;"&amp;T$12,'Dvd Calendar'!$E$229:$CZ$229,"&lt;="&amp;T$13)/AS51!$B$3,"")))</f>
        <v/>
      </c>
      <c r="U127" s="113">
        <f>IF(U$13="","",IF($B127="","",IFERROR($C127*$D127*SUMIFS('Dvd Calendar'!$E$230:$CZ$230,'Dvd Calendar'!$E$229:$CZ$229,"&gt;"&amp;U$12,'Dvd Calendar'!$E$229:$CZ$229,"&lt;="&amp;U$13)/AS51!$B$3,"")))</f>
        <v/>
      </c>
      <c r="W127" s="113">
        <f>IF(W$13="","",IF($B127="","",IFERROR(F127*$E127/100,"")))</f>
        <v/>
      </c>
      <c r="X127" s="113">
        <f>IF(X$13="","",IF($B127="","",IFERROR(G127*$E127/100,"")))</f>
        <v/>
      </c>
      <c r="Y127" s="113">
        <f>IF(Y$13="","",IF($B127="","",IFERROR(H127*$E127/100,"")))</f>
        <v/>
      </c>
      <c r="Z127" s="113">
        <f>IF(Z$13="","",IF($B127="","",IFERROR(I127*$E127/100,"")))</f>
        <v/>
      </c>
      <c r="AA127" s="113">
        <f>IF(AA$13="","",IF($B127="","",IFERROR(J127*$E127/100,"")))</f>
        <v/>
      </c>
      <c r="AB127" s="113">
        <f>IF(AB$13="","",IF($B127="","",IFERROR(K127*$E127/100,"")))</f>
        <v/>
      </c>
      <c r="AC127" s="113">
        <f>IF(AC$13="","",IF($B127="","",IFERROR(L127*$E127/100,"")))</f>
        <v/>
      </c>
      <c r="AD127" s="113">
        <f>IF(AD$13="","",IF($B127="","",IFERROR(M127*$E127/100,"")))</f>
        <v/>
      </c>
      <c r="AE127" s="113">
        <f>IF(AE$13="","",IF($B127="","",IFERROR(N127*$E127/100,"")))</f>
        <v/>
      </c>
      <c r="AF127" s="113">
        <f>IF(AF$13="","",IF($B127="","",IFERROR(O127*$E127/100,"")))</f>
        <v/>
      </c>
      <c r="AG127" s="113">
        <f>IF(AG$13="","",IF($B127="","",IFERROR(P127*$E127/100,"")))</f>
        <v/>
      </c>
      <c r="AH127" s="113">
        <f>IF(AH$13="","",IF($B127="","",IFERROR(Q127*$E127/100,"")))</f>
        <v/>
      </c>
      <c r="AI127" s="113">
        <f>IF(AI$13="","",IF($B127="","",IFERROR(R127*$E127/100,"")))</f>
        <v/>
      </c>
      <c r="AJ127" s="113">
        <f>IF(AJ$13="","",IF($B127="","",IFERROR(S127*$E127/100,"")))</f>
        <v/>
      </c>
      <c r="AK127" s="113">
        <f>IF(AK$13="","",IF($B127="","",IFERROR(T127*$E127/100,"")))</f>
        <v/>
      </c>
      <c r="AL127" s="113">
        <f>IF(AL$13="","",IF($B127="","",IFERROR(U127*$E127/100,"")))</f>
        <v/>
      </c>
    </row>
    <row r="128">
      <c r="B128" s="5">
        <f>IF(AS51!$C$118="","",AS51!$C$118)</f>
        <v/>
      </c>
      <c r="C128" s="86">
        <f>IF(AS51!$B$118="","",AS51!$B$118)</f>
        <v/>
      </c>
      <c r="D128" s="111">
        <f>IFERROR(AS51!$Q$118,1)</f>
        <v/>
      </c>
      <c r="E128" s="112">
        <f>IF($B128="","",IF(ISNUMBER(AS51!$I$118),AS51!$I$118,'Index Summary'!$C$7))</f>
        <v/>
      </c>
      <c r="F128" s="113">
        <f>IF(F$13="","",IF($B128="","",IFERROR($C128*$D128*SUMIFS('Dvd Calendar'!$E$232:$CZ$232,'Dvd Calendar'!$E$231:$CZ$231,"&gt;"&amp;F$12,'Dvd Calendar'!$E$231:$CZ$231,"&lt;="&amp;F$13)/AS51!$B$3,"")))</f>
        <v/>
      </c>
      <c r="G128" s="113">
        <f>IF(G$13="","",IF($B128="","",IFERROR($C128*$D128*SUMIFS('Dvd Calendar'!$E$232:$CZ$232,'Dvd Calendar'!$E$231:$CZ$231,"&gt;"&amp;G$12,'Dvd Calendar'!$E$231:$CZ$231,"&lt;="&amp;G$13)/AS51!$B$3,"")))</f>
        <v/>
      </c>
      <c r="H128" s="113">
        <f>IF(H$13="","",IF($B128="","",IFERROR($C128*$D128*SUMIFS('Dvd Calendar'!$E$232:$CZ$232,'Dvd Calendar'!$E$231:$CZ$231,"&gt;"&amp;H$12,'Dvd Calendar'!$E$231:$CZ$231,"&lt;="&amp;H$13)/AS51!$B$3,"")))</f>
        <v/>
      </c>
      <c r="I128" s="113">
        <f>IF(I$13="","",IF($B128="","",IFERROR($C128*$D128*SUMIFS('Dvd Calendar'!$E$232:$CZ$232,'Dvd Calendar'!$E$231:$CZ$231,"&gt;"&amp;I$12,'Dvd Calendar'!$E$231:$CZ$231,"&lt;="&amp;I$13)/AS51!$B$3,"")))</f>
        <v/>
      </c>
      <c r="J128" s="113">
        <f>IF(J$13="","",IF($B128="","",IFERROR($C128*$D128*SUMIFS('Dvd Calendar'!$E$232:$CZ$232,'Dvd Calendar'!$E$231:$CZ$231,"&gt;"&amp;J$12,'Dvd Calendar'!$E$231:$CZ$231,"&lt;="&amp;J$13)/AS51!$B$3,"")))</f>
        <v/>
      </c>
      <c r="K128" s="113">
        <f>IF(K$13="","",IF($B128="","",IFERROR($C128*$D128*SUMIFS('Dvd Calendar'!$E$232:$CZ$232,'Dvd Calendar'!$E$231:$CZ$231,"&gt;"&amp;K$12,'Dvd Calendar'!$E$231:$CZ$231,"&lt;="&amp;K$13)/AS51!$B$3,"")))</f>
        <v/>
      </c>
      <c r="L128" s="113">
        <f>IF(L$13="","",IF($B128="","",IFERROR($C128*$D128*SUMIFS('Dvd Calendar'!$E$232:$CZ$232,'Dvd Calendar'!$E$231:$CZ$231,"&gt;"&amp;L$12,'Dvd Calendar'!$E$231:$CZ$231,"&lt;="&amp;L$13)/AS51!$B$3,"")))</f>
        <v/>
      </c>
      <c r="M128" s="113">
        <f>IF(M$13="","",IF($B128="","",IFERROR($C128*$D128*SUMIFS('Dvd Calendar'!$E$232:$CZ$232,'Dvd Calendar'!$E$231:$CZ$231,"&gt;"&amp;M$12,'Dvd Calendar'!$E$231:$CZ$231,"&lt;="&amp;M$13)/AS51!$B$3,"")))</f>
        <v/>
      </c>
      <c r="N128" s="113">
        <f>IF(N$13="","",IF($B128="","",IFERROR($C128*$D128*SUMIFS('Dvd Calendar'!$E$232:$CZ$232,'Dvd Calendar'!$E$231:$CZ$231,"&gt;"&amp;N$12,'Dvd Calendar'!$E$231:$CZ$231,"&lt;="&amp;N$13)/AS51!$B$3,"")))</f>
        <v/>
      </c>
      <c r="O128" s="113">
        <f>IF(O$13="","",IF($B128="","",IFERROR($C128*$D128*SUMIFS('Dvd Calendar'!$E$232:$CZ$232,'Dvd Calendar'!$E$231:$CZ$231,"&gt;"&amp;O$12,'Dvd Calendar'!$E$231:$CZ$231,"&lt;="&amp;O$13)/AS51!$B$3,"")))</f>
        <v/>
      </c>
      <c r="P128" s="113">
        <f>IF(P$13="","",IF($B128="","",IFERROR($C128*$D128*SUMIFS('Dvd Calendar'!$E$232:$CZ$232,'Dvd Calendar'!$E$231:$CZ$231,"&gt;"&amp;P$12,'Dvd Calendar'!$E$231:$CZ$231,"&lt;="&amp;P$13)/AS51!$B$3,"")))</f>
        <v/>
      </c>
      <c r="Q128" s="113">
        <f>IF(Q$13="","",IF($B128="","",IFERROR($C128*$D128*SUMIFS('Dvd Calendar'!$E$232:$CZ$232,'Dvd Calendar'!$E$231:$CZ$231,"&gt;"&amp;Q$12,'Dvd Calendar'!$E$231:$CZ$231,"&lt;="&amp;Q$13)/AS51!$B$3,"")))</f>
        <v/>
      </c>
      <c r="R128" s="113">
        <f>IF(R$13="","",IF($B128="","",IFERROR($C128*$D128*SUMIFS('Dvd Calendar'!$E$232:$CZ$232,'Dvd Calendar'!$E$231:$CZ$231,"&gt;"&amp;R$12,'Dvd Calendar'!$E$231:$CZ$231,"&lt;="&amp;R$13)/AS51!$B$3,"")))</f>
        <v/>
      </c>
      <c r="S128" s="113">
        <f>IF(S$13="","",IF($B128="","",IFERROR($C128*$D128*SUMIFS('Dvd Calendar'!$E$232:$CZ$232,'Dvd Calendar'!$E$231:$CZ$231,"&gt;"&amp;S$12,'Dvd Calendar'!$E$231:$CZ$231,"&lt;="&amp;S$13)/AS51!$B$3,"")))</f>
        <v/>
      </c>
      <c r="T128" s="113">
        <f>IF(T$13="","",IF($B128="","",IFERROR($C128*$D128*SUMIFS('Dvd Calendar'!$E$232:$CZ$232,'Dvd Calendar'!$E$231:$CZ$231,"&gt;"&amp;T$12,'Dvd Calendar'!$E$231:$CZ$231,"&lt;="&amp;T$13)/AS51!$B$3,"")))</f>
        <v/>
      </c>
      <c r="U128" s="113">
        <f>IF(U$13="","",IF($B128="","",IFERROR($C128*$D128*SUMIFS('Dvd Calendar'!$E$232:$CZ$232,'Dvd Calendar'!$E$231:$CZ$231,"&gt;"&amp;U$12,'Dvd Calendar'!$E$231:$CZ$231,"&lt;="&amp;U$13)/AS51!$B$3,"")))</f>
        <v/>
      </c>
      <c r="W128" s="113">
        <f>IF(W$13="","",IF($B128="","",IFERROR(F128*$E128/100,"")))</f>
        <v/>
      </c>
      <c r="X128" s="113">
        <f>IF(X$13="","",IF($B128="","",IFERROR(G128*$E128/100,"")))</f>
        <v/>
      </c>
      <c r="Y128" s="113">
        <f>IF(Y$13="","",IF($B128="","",IFERROR(H128*$E128/100,"")))</f>
        <v/>
      </c>
      <c r="Z128" s="113">
        <f>IF(Z$13="","",IF($B128="","",IFERROR(I128*$E128/100,"")))</f>
        <v/>
      </c>
      <c r="AA128" s="113">
        <f>IF(AA$13="","",IF($B128="","",IFERROR(J128*$E128/100,"")))</f>
        <v/>
      </c>
      <c r="AB128" s="113">
        <f>IF(AB$13="","",IF($B128="","",IFERROR(K128*$E128/100,"")))</f>
        <v/>
      </c>
      <c r="AC128" s="113">
        <f>IF(AC$13="","",IF($B128="","",IFERROR(L128*$E128/100,"")))</f>
        <v/>
      </c>
      <c r="AD128" s="113">
        <f>IF(AD$13="","",IF($B128="","",IFERROR(M128*$E128/100,"")))</f>
        <v/>
      </c>
      <c r="AE128" s="113">
        <f>IF(AE$13="","",IF($B128="","",IFERROR(N128*$E128/100,"")))</f>
        <v/>
      </c>
      <c r="AF128" s="113">
        <f>IF(AF$13="","",IF($B128="","",IFERROR(O128*$E128/100,"")))</f>
        <v/>
      </c>
      <c r="AG128" s="113">
        <f>IF(AG$13="","",IF($B128="","",IFERROR(P128*$E128/100,"")))</f>
        <v/>
      </c>
      <c r="AH128" s="113">
        <f>IF(AH$13="","",IF($B128="","",IFERROR(Q128*$E128/100,"")))</f>
        <v/>
      </c>
      <c r="AI128" s="113">
        <f>IF(AI$13="","",IF($B128="","",IFERROR(R128*$E128/100,"")))</f>
        <v/>
      </c>
      <c r="AJ128" s="113">
        <f>IF(AJ$13="","",IF($B128="","",IFERROR(S128*$E128/100,"")))</f>
        <v/>
      </c>
      <c r="AK128" s="113">
        <f>IF(AK$13="","",IF($B128="","",IFERROR(T128*$E128/100,"")))</f>
        <v/>
      </c>
      <c r="AL128" s="113">
        <f>IF(AL$13="","",IF($B128="","",IFERROR(U128*$E128/100,"")))</f>
        <v/>
      </c>
    </row>
    <row r="129">
      <c r="B129" s="5">
        <f>IF(AS51!$C$119="","",AS51!$C$119)</f>
        <v/>
      </c>
      <c r="C129" s="86">
        <f>IF(AS51!$B$119="","",AS51!$B$119)</f>
        <v/>
      </c>
      <c r="D129" s="111">
        <f>IFERROR(AS51!$Q$119,1)</f>
        <v/>
      </c>
      <c r="E129" s="112">
        <f>IF($B129="","",IF(ISNUMBER(AS51!$I$119),AS51!$I$119,'Index Summary'!$C$7))</f>
        <v/>
      </c>
      <c r="F129" s="113">
        <f>IF(F$13="","",IF($B129="","",IFERROR($C129*$D129*SUMIFS('Dvd Calendar'!$E$234:$CZ$234,'Dvd Calendar'!$E$233:$CZ$233,"&gt;"&amp;F$12,'Dvd Calendar'!$E$233:$CZ$233,"&lt;="&amp;F$13)/AS51!$B$3,"")))</f>
        <v/>
      </c>
      <c r="G129" s="113">
        <f>IF(G$13="","",IF($B129="","",IFERROR($C129*$D129*SUMIFS('Dvd Calendar'!$E$234:$CZ$234,'Dvd Calendar'!$E$233:$CZ$233,"&gt;"&amp;G$12,'Dvd Calendar'!$E$233:$CZ$233,"&lt;="&amp;G$13)/AS51!$B$3,"")))</f>
        <v/>
      </c>
      <c r="H129" s="113">
        <f>IF(H$13="","",IF($B129="","",IFERROR($C129*$D129*SUMIFS('Dvd Calendar'!$E$234:$CZ$234,'Dvd Calendar'!$E$233:$CZ$233,"&gt;"&amp;H$12,'Dvd Calendar'!$E$233:$CZ$233,"&lt;="&amp;H$13)/AS51!$B$3,"")))</f>
        <v/>
      </c>
      <c r="I129" s="113">
        <f>IF(I$13="","",IF($B129="","",IFERROR($C129*$D129*SUMIFS('Dvd Calendar'!$E$234:$CZ$234,'Dvd Calendar'!$E$233:$CZ$233,"&gt;"&amp;I$12,'Dvd Calendar'!$E$233:$CZ$233,"&lt;="&amp;I$13)/AS51!$B$3,"")))</f>
        <v/>
      </c>
      <c r="J129" s="113">
        <f>IF(J$13="","",IF($B129="","",IFERROR($C129*$D129*SUMIFS('Dvd Calendar'!$E$234:$CZ$234,'Dvd Calendar'!$E$233:$CZ$233,"&gt;"&amp;J$12,'Dvd Calendar'!$E$233:$CZ$233,"&lt;="&amp;J$13)/AS51!$B$3,"")))</f>
        <v/>
      </c>
      <c r="K129" s="113">
        <f>IF(K$13="","",IF($B129="","",IFERROR($C129*$D129*SUMIFS('Dvd Calendar'!$E$234:$CZ$234,'Dvd Calendar'!$E$233:$CZ$233,"&gt;"&amp;K$12,'Dvd Calendar'!$E$233:$CZ$233,"&lt;="&amp;K$13)/AS51!$B$3,"")))</f>
        <v/>
      </c>
      <c r="L129" s="113">
        <f>IF(L$13="","",IF($B129="","",IFERROR($C129*$D129*SUMIFS('Dvd Calendar'!$E$234:$CZ$234,'Dvd Calendar'!$E$233:$CZ$233,"&gt;"&amp;L$12,'Dvd Calendar'!$E$233:$CZ$233,"&lt;="&amp;L$13)/AS51!$B$3,"")))</f>
        <v/>
      </c>
      <c r="M129" s="113">
        <f>IF(M$13="","",IF($B129="","",IFERROR($C129*$D129*SUMIFS('Dvd Calendar'!$E$234:$CZ$234,'Dvd Calendar'!$E$233:$CZ$233,"&gt;"&amp;M$12,'Dvd Calendar'!$E$233:$CZ$233,"&lt;="&amp;M$13)/AS51!$B$3,"")))</f>
        <v/>
      </c>
      <c r="N129" s="113">
        <f>IF(N$13="","",IF($B129="","",IFERROR($C129*$D129*SUMIFS('Dvd Calendar'!$E$234:$CZ$234,'Dvd Calendar'!$E$233:$CZ$233,"&gt;"&amp;N$12,'Dvd Calendar'!$E$233:$CZ$233,"&lt;="&amp;N$13)/AS51!$B$3,"")))</f>
        <v/>
      </c>
      <c r="O129" s="113">
        <f>IF(O$13="","",IF($B129="","",IFERROR($C129*$D129*SUMIFS('Dvd Calendar'!$E$234:$CZ$234,'Dvd Calendar'!$E$233:$CZ$233,"&gt;"&amp;O$12,'Dvd Calendar'!$E$233:$CZ$233,"&lt;="&amp;O$13)/AS51!$B$3,"")))</f>
        <v/>
      </c>
      <c r="P129" s="113">
        <f>IF(P$13="","",IF($B129="","",IFERROR($C129*$D129*SUMIFS('Dvd Calendar'!$E$234:$CZ$234,'Dvd Calendar'!$E$233:$CZ$233,"&gt;"&amp;P$12,'Dvd Calendar'!$E$233:$CZ$233,"&lt;="&amp;P$13)/AS51!$B$3,"")))</f>
        <v/>
      </c>
      <c r="Q129" s="113">
        <f>IF(Q$13="","",IF($B129="","",IFERROR($C129*$D129*SUMIFS('Dvd Calendar'!$E$234:$CZ$234,'Dvd Calendar'!$E$233:$CZ$233,"&gt;"&amp;Q$12,'Dvd Calendar'!$E$233:$CZ$233,"&lt;="&amp;Q$13)/AS51!$B$3,"")))</f>
        <v/>
      </c>
      <c r="R129" s="113">
        <f>IF(R$13="","",IF($B129="","",IFERROR($C129*$D129*SUMIFS('Dvd Calendar'!$E$234:$CZ$234,'Dvd Calendar'!$E$233:$CZ$233,"&gt;"&amp;R$12,'Dvd Calendar'!$E$233:$CZ$233,"&lt;="&amp;R$13)/AS51!$B$3,"")))</f>
        <v/>
      </c>
      <c r="S129" s="113">
        <f>IF(S$13="","",IF($B129="","",IFERROR($C129*$D129*SUMIFS('Dvd Calendar'!$E$234:$CZ$234,'Dvd Calendar'!$E$233:$CZ$233,"&gt;"&amp;S$12,'Dvd Calendar'!$E$233:$CZ$233,"&lt;="&amp;S$13)/AS51!$B$3,"")))</f>
        <v/>
      </c>
      <c r="T129" s="113">
        <f>IF(T$13="","",IF($B129="","",IFERROR($C129*$D129*SUMIFS('Dvd Calendar'!$E$234:$CZ$234,'Dvd Calendar'!$E$233:$CZ$233,"&gt;"&amp;T$12,'Dvd Calendar'!$E$233:$CZ$233,"&lt;="&amp;T$13)/AS51!$B$3,"")))</f>
        <v/>
      </c>
      <c r="U129" s="113">
        <f>IF(U$13="","",IF($B129="","",IFERROR($C129*$D129*SUMIFS('Dvd Calendar'!$E$234:$CZ$234,'Dvd Calendar'!$E$233:$CZ$233,"&gt;"&amp;U$12,'Dvd Calendar'!$E$233:$CZ$233,"&lt;="&amp;U$13)/AS51!$B$3,"")))</f>
        <v/>
      </c>
      <c r="W129" s="113">
        <f>IF(W$13="","",IF($B129="","",IFERROR(F129*$E129/100,"")))</f>
        <v/>
      </c>
      <c r="X129" s="113">
        <f>IF(X$13="","",IF($B129="","",IFERROR(G129*$E129/100,"")))</f>
        <v/>
      </c>
      <c r="Y129" s="113">
        <f>IF(Y$13="","",IF($B129="","",IFERROR(H129*$E129/100,"")))</f>
        <v/>
      </c>
      <c r="Z129" s="113">
        <f>IF(Z$13="","",IF($B129="","",IFERROR(I129*$E129/100,"")))</f>
        <v/>
      </c>
      <c r="AA129" s="113">
        <f>IF(AA$13="","",IF($B129="","",IFERROR(J129*$E129/100,"")))</f>
        <v/>
      </c>
      <c r="AB129" s="113">
        <f>IF(AB$13="","",IF($B129="","",IFERROR(K129*$E129/100,"")))</f>
        <v/>
      </c>
      <c r="AC129" s="113">
        <f>IF(AC$13="","",IF($B129="","",IFERROR(L129*$E129/100,"")))</f>
        <v/>
      </c>
      <c r="AD129" s="113">
        <f>IF(AD$13="","",IF($B129="","",IFERROR(M129*$E129/100,"")))</f>
        <v/>
      </c>
      <c r="AE129" s="113">
        <f>IF(AE$13="","",IF($B129="","",IFERROR(N129*$E129/100,"")))</f>
        <v/>
      </c>
      <c r="AF129" s="113">
        <f>IF(AF$13="","",IF($B129="","",IFERROR(O129*$E129/100,"")))</f>
        <v/>
      </c>
      <c r="AG129" s="113">
        <f>IF(AG$13="","",IF($B129="","",IFERROR(P129*$E129/100,"")))</f>
        <v/>
      </c>
      <c r="AH129" s="113">
        <f>IF(AH$13="","",IF($B129="","",IFERROR(Q129*$E129/100,"")))</f>
        <v/>
      </c>
      <c r="AI129" s="113">
        <f>IF(AI$13="","",IF($B129="","",IFERROR(R129*$E129/100,"")))</f>
        <v/>
      </c>
      <c r="AJ129" s="113">
        <f>IF(AJ$13="","",IF($B129="","",IFERROR(S129*$E129/100,"")))</f>
        <v/>
      </c>
      <c r="AK129" s="113">
        <f>IF(AK$13="","",IF($B129="","",IFERROR(T129*$E129/100,"")))</f>
        <v/>
      </c>
      <c r="AL129" s="113">
        <f>IF(AL$13="","",IF($B129="","",IFERROR(U129*$E129/100,"")))</f>
        <v/>
      </c>
    </row>
    <row r="130">
      <c r="B130" s="5">
        <f>IF(AS51!$C$120="","",AS51!$C$120)</f>
        <v/>
      </c>
      <c r="C130" s="86">
        <f>IF(AS51!$B$120="","",AS51!$B$120)</f>
        <v/>
      </c>
      <c r="D130" s="111">
        <f>IFERROR(AS51!$Q$120,1)</f>
        <v/>
      </c>
      <c r="E130" s="112">
        <f>IF($B130="","",IF(ISNUMBER(AS51!$I$120),AS51!$I$120,'Index Summary'!$C$7))</f>
        <v/>
      </c>
      <c r="F130" s="113">
        <f>IF(F$13="","",IF($B130="","",IFERROR($C130*$D130*SUMIFS('Dvd Calendar'!$E$236:$CZ$236,'Dvd Calendar'!$E$235:$CZ$235,"&gt;"&amp;F$12,'Dvd Calendar'!$E$235:$CZ$235,"&lt;="&amp;F$13)/AS51!$B$3,"")))</f>
        <v/>
      </c>
      <c r="G130" s="113">
        <f>IF(G$13="","",IF($B130="","",IFERROR($C130*$D130*SUMIFS('Dvd Calendar'!$E$236:$CZ$236,'Dvd Calendar'!$E$235:$CZ$235,"&gt;"&amp;G$12,'Dvd Calendar'!$E$235:$CZ$235,"&lt;="&amp;G$13)/AS51!$B$3,"")))</f>
        <v/>
      </c>
      <c r="H130" s="113">
        <f>IF(H$13="","",IF($B130="","",IFERROR($C130*$D130*SUMIFS('Dvd Calendar'!$E$236:$CZ$236,'Dvd Calendar'!$E$235:$CZ$235,"&gt;"&amp;H$12,'Dvd Calendar'!$E$235:$CZ$235,"&lt;="&amp;H$13)/AS51!$B$3,"")))</f>
        <v/>
      </c>
      <c r="I130" s="113">
        <f>IF(I$13="","",IF($B130="","",IFERROR($C130*$D130*SUMIFS('Dvd Calendar'!$E$236:$CZ$236,'Dvd Calendar'!$E$235:$CZ$235,"&gt;"&amp;I$12,'Dvd Calendar'!$E$235:$CZ$235,"&lt;="&amp;I$13)/AS51!$B$3,"")))</f>
        <v/>
      </c>
      <c r="J130" s="113">
        <f>IF(J$13="","",IF($B130="","",IFERROR($C130*$D130*SUMIFS('Dvd Calendar'!$E$236:$CZ$236,'Dvd Calendar'!$E$235:$CZ$235,"&gt;"&amp;J$12,'Dvd Calendar'!$E$235:$CZ$235,"&lt;="&amp;J$13)/AS51!$B$3,"")))</f>
        <v/>
      </c>
      <c r="K130" s="113">
        <f>IF(K$13="","",IF($B130="","",IFERROR($C130*$D130*SUMIFS('Dvd Calendar'!$E$236:$CZ$236,'Dvd Calendar'!$E$235:$CZ$235,"&gt;"&amp;K$12,'Dvd Calendar'!$E$235:$CZ$235,"&lt;="&amp;K$13)/AS51!$B$3,"")))</f>
        <v/>
      </c>
      <c r="L130" s="113">
        <f>IF(L$13="","",IF($B130="","",IFERROR($C130*$D130*SUMIFS('Dvd Calendar'!$E$236:$CZ$236,'Dvd Calendar'!$E$235:$CZ$235,"&gt;"&amp;L$12,'Dvd Calendar'!$E$235:$CZ$235,"&lt;="&amp;L$13)/AS51!$B$3,"")))</f>
        <v/>
      </c>
      <c r="M130" s="113">
        <f>IF(M$13="","",IF($B130="","",IFERROR($C130*$D130*SUMIFS('Dvd Calendar'!$E$236:$CZ$236,'Dvd Calendar'!$E$235:$CZ$235,"&gt;"&amp;M$12,'Dvd Calendar'!$E$235:$CZ$235,"&lt;="&amp;M$13)/AS51!$B$3,"")))</f>
        <v/>
      </c>
      <c r="N130" s="113">
        <f>IF(N$13="","",IF($B130="","",IFERROR($C130*$D130*SUMIFS('Dvd Calendar'!$E$236:$CZ$236,'Dvd Calendar'!$E$235:$CZ$235,"&gt;"&amp;N$12,'Dvd Calendar'!$E$235:$CZ$235,"&lt;="&amp;N$13)/AS51!$B$3,"")))</f>
        <v/>
      </c>
      <c r="O130" s="113">
        <f>IF(O$13="","",IF($B130="","",IFERROR($C130*$D130*SUMIFS('Dvd Calendar'!$E$236:$CZ$236,'Dvd Calendar'!$E$235:$CZ$235,"&gt;"&amp;O$12,'Dvd Calendar'!$E$235:$CZ$235,"&lt;="&amp;O$13)/AS51!$B$3,"")))</f>
        <v/>
      </c>
      <c r="P130" s="113">
        <f>IF(P$13="","",IF($B130="","",IFERROR($C130*$D130*SUMIFS('Dvd Calendar'!$E$236:$CZ$236,'Dvd Calendar'!$E$235:$CZ$235,"&gt;"&amp;P$12,'Dvd Calendar'!$E$235:$CZ$235,"&lt;="&amp;P$13)/AS51!$B$3,"")))</f>
        <v/>
      </c>
      <c r="Q130" s="113">
        <f>IF(Q$13="","",IF($B130="","",IFERROR($C130*$D130*SUMIFS('Dvd Calendar'!$E$236:$CZ$236,'Dvd Calendar'!$E$235:$CZ$235,"&gt;"&amp;Q$12,'Dvd Calendar'!$E$235:$CZ$235,"&lt;="&amp;Q$13)/AS51!$B$3,"")))</f>
        <v/>
      </c>
      <c r="R130" s="113">
        <f>IF(R$13="","",IF($B130="","",IFERROR($C130*$D130*SUMIFS('Dvd Calendar'!$E$236:$CZ$236,'Dvd Calendar'!$E$235:$CZ$235,"&gt;"&amp;R$12,'Dvd Calendar'!$E$235:$CZ$235,"&lt;="&amp;R$13)/AS51!$B$3,"")))</f>
        <v/>
      </c>
      <c r="S130" s="113">
        <f>IF(S$13="","",IF($B130="","",IFERROR($C130*$D130*SUMIFS('Dvd Calendar'!$E$236:$CZ$236,'Dvd Calendar'!$E$235:$CZ$235,"&gt;"&amp;S$12,'Dvd Calendar'!$E$235:$CZ$235,"&lt;="&amp;S$13)/AS51!$B$3,"")))</f>
        <v/>
      </c>
      <c r="T130" s="113">
        <f>IF(T$13="","",IF($B130="","",IFERROR($C130*$D130*SUMIFS('Dvd Calendar'!$E$236:$CZ$236,'Dvd Calendar'!$E$235:$CZ$235,"&gt;"&amp;T$12,'Dvd Calendar'!$E$235:$CZ$235,"&lt;="&amp;T$13)/AS51!$B$3,"")))</f>
        <v/>
      </c>
      <c r="U130" s="113">
        <f>IF(U$13="","",IF($B130="","",IFERROR($C130*$D130*SUMIFS('Dvd Calendar'!$E$236:$CZ$236,'Dvd Calendar'!$E$235:$CZ$235,"&gt;"&amp;U$12,'Dvd Calendar'!$E$235:$CZ$235,"&lt;="&amp;U$13)/AS51!$B$3,"")))</f>
        <v/>
      </c>
      <c r="W130" s="113">
        <f>IF(W$13="","",IF($B130="","",IFERROR(F130*$E130/100,"")))</f>
        <v/>
      </c>
      <c r="X130" s="113">
        <f>IF(X$13="","",IF($B130="","",IFERROR(G130*$E130/100,"")))</f>
        <v/>
      </c>
      <c r="Y130" s="113">
        <f>IF(Y$13="","",IF($B130="","",IFERROR(H130*$E130/100,"")))</f>
        <v/>
      </c>
      <c r="Z130" s="113">
        <f>IF(Z$13="","",IF($B130="","",IFERROR(I130*$E130/100,"")))</f>
        <v/>
      </c>
      <c r="AA130" s="113">
        <f>IF(AA$13="","",IF($B130="","",IFERROR(J130*$E130/100,"")))</f>
        <v/>
      </c>
      <c r="AB130" s="113">
        <f>IF(AB$13="","",IF($B130="","",IFERROR(K130*$E130/100,"")))</f>
        <v/>
      </c>
      <c r="AC130" s="113">
        <f>IF(AC$13="","",IF($B130="","",IFERROR(L130*$E130/100,"")))</f>
        <v/>
      </c>
      <c r="AD130" s="113">
        <f>IF(AD$13="","",IF($B130="","",IFERROR(M130*$E130/100,"")))</f>
        <v/>
      </c>
      <c r="AE130" s="113">
        <f>IF(AE$13="","",IF($B130="","",IFERROR(N130*$E130/100,"")))</f>
        <v/>
      </c>
      <c r="AF130" s="113">
        <f>IF(AF$13="","",IF($B130="","",IFERROR(O130*$E130/100,"")))</f>
        <v/>
      </c>
      <c r="AG130" s="113">
        <f>IF(AG$13="","",IF($B130="","",IFERROR(P130*$E130/100,"")))</f>
        <v/>
      </c>
      <c r="AH130" s="113">
        <f>IF(AH$13="","",IF($B130="","",IFERROR(Q130*$E130/100,"")))</f>
        <v/>
      </c>
      <c r="AI130" s="113">
        <f>IF(AI$13="","",IF($B130="","",IFERROR(R130*$E130/100,"")))</f>
        <v/>
      </c>
      <c r="AJ130" s="113">
        <f>IF(AJ$13="","",IF($B130="","",IFERROR(S130*$E130/100,"")))</f>
        <v/>
      </c>
      <c r="AK130" s="113">
        <f>IF(AK$13="","",IF($B130="","",IFERROR(T130*$E130/100,"")))</f>
        <v/>
      </c>
      <c r="AL130" s="113">
        <f>IF(AL$13="","",IF($B130="","",IFERROR(U130*$E130/100,"")))</f>
        <v/>
      </c>
    </row>
    <row r="131">
      <c r="B131" s="5">
        <f>IF(AS51!$C$121="","",AS51!$C$121)</f>
        <v/>
      </c>
      <c r="C131" s="86">
        <f>IF(AS51!$B$121="","",AS51!$B$121)</f>
        <v/>
      </c>
      <c r="D131" s="111">
        <f>IFERROR(AS51!$Q$121,1)</f>
        <v/>
      </c>
      <c r="E131" s="112">
        <f>IF($B131="","",IF(ISNUMBER(AS51!$I$121),AS51!$I$121,'Index Summary'!$C$7))</f>
        <v/>
      </c>
      <c r="F131" s="113">
        <f>IF(F$13="","",IF($B131="","",IFERROR($C131*$D131*SUMIFS('Dvd Calendar'!$E$238:$CZ$238,'Dvd Calendar'!$E$237:$CZ$237,"&gt;"&amp;F$12,'Dvd Calendar'!$E$237:$CZ$237,"&lt;="&amp;F$13)/AS51!$B$3,"")))</f>
        <v/>
      </c>
      <c r="G131" s="113">
        <f>IF(G$13="","",IF($B131="","",IFERROR($C131*$D131*SUMIFS('Dvd Calendar'!$E$238:$CZ$238,'Dvd Calendar'!$E$237:$CZ$237,"&gt;"&amp;G$12,'Dvd Calendar'!$E$237:$CZ$237,"&lt;="&amp;G$13)/AS51!$B$3,"")))</f>
        <v/>
      </c>
      <c r="H131" s="113">
        <f>IF(H$13="","",IF($B131="","",IFERROR($C131*$D131*SUMIFS('Dvd Calendar'!$E$238:$CZ$238,'Dvd Calendar'!$E$237:$CZ$237,"&gt;"&amp;H$12,'Dvd Calendar'!$E$237:$CZ$237,"&lt;="&amp;H$13)/AS51!$B$3,"")))</f>
        <v/>
      </c>
      <c r="I131" s="113">
        <f>IF(I$13="","",IF($B131="","",IFERROR($C131*$D131*SUMIFS('Dvd Calendar'!$E$238:$CZ$238,'Dvd Calendar'!$E$237:$CZ$237,"&gt;"&amp;I$12,'Dvd Calendar'!$E$237:$CZ$237,"&lt;="&amp;I$13)/AS51!$B$3,"")))</f>
        <v/>
      </c>
      <c r="J131" s="113">
        <f>IF(J$13="","",IF($B131="","",IFERROR($C131*$D131*SUMIFS('Dvd Calendar'!$E$238:$CZ$238,'Dvd Calendar'!$E$237:$CZ$237,"&gt;"&amp;J$12,'Dvd Calendar'!$E$237:$CZ$237,"&lt;="&amp;J$13)/AS51!$B$3,"")))</f>
        <v/>
      </c>
      <c r="K131" s="113">
        <f>IF(K$13="","",IF($B131="","",IFERROR($C131*$D131*SUMIFS('Dvd Calendar'!$E$238:$CZ$238,'Dvd Calendar'!$E$237:$CZ$237,"&gt;"&amp;K$12,'Dvd Calendar'!$E$237:$CZ$237,"&lt;="&amp;K$13)/AS51!$B$3,"")))</f>
        <v/>
      </c>
      <c r="L131" s="113">
        <f>IF(L$13="","",IF($B131="","",IFERROR($C131*$D131*SUMIFS('Dvd Calendar'!$E$238:$CZ$238,'Dvd Calendar'!$E$237:$CZ$237,"&gt;"&amp;L$12,'Dvd Calendar'!$E$237:$CZ$237,"&lt;="&amp;L$13)/AS51!$B$3,"")))</f>
        <v/>
      </c>
      <c r="M131" s="113">
        <f>IF(M$13="","",IF($B131="","",IFERROR($C131*$D131*SUMIFS('Dvd Calendar'!$E$238:$CZ$238,'Dvd Calendar'!$E$237:$CZ$237,"&gt;"&amp;M$12,'Dvd Calendar'!$E$237:$CZ$237,"&lt;="&amp;M$13)/AS51!$B$3,"")))</f>
        <v/>
      </c>
      <c r="N131" s="113">
        <f>IF(N$13="","",IF($B131="","",IFERROR($C131*$D131*SUMIFS('Dvd Calendar'!$E$238:$CZ$238,'Dvd Calendar'!$E$237:$CZ$237,"&gt;"&amp;N$12,'Dvd Calendar'!$E$237:$CZ$237,"&lt;="&amp;N$13)/AS51!$B$3,"")))</f>
        <v/>
      </c>
      <c r="O131" s="113">
        <f>IF(O$13="","",IF($B131="","",IFERROR($C131*$D131*SUMIFS('Dvd Calendar'!$E$238:$CZ$238,'Dvd Calendar'!$E$237:$CZ$237,"&gt;"&amp;O$12,'Dvd Calendar'!$E$237:$CZ$237,"&lt;="&amp;O$13)/AS51!$B$3,"")))</f>
        <v/>
      </c>
      <c r="P131" s="113">
        <f>IF(P$13="","",IF($B131="","",IFERROR($C131*$D131*SUMIFS('Dvd Calendar'!$E$238:$CZ$238,'Dvd Calendar'!$E$237:$CZ$237,"&gt;"&amp;P$12,'Dvd Calendar'!$E$237:$CZ$237,"&lt;="&amp;P$13)/AS51!$B$3,"")))</f>
        <v/>
      </c>
      <c r="Q131" s="113">
        <f>IF(Q$13="","",IF($B131="","",IFERROR($C131*$D131*SUMIFS('Dvd Calendar'!$E$238:$CZ$238,'Dvd Calendar'!$E$237:$CZ$237,"&gt;"&amp;Q$12,'Dvd Calendar'!$E$237:$CZ$237,"&lt;="&amp;Q$13)/AS51!$B$3,"")))</f>
        <v/>
      </c>
      <c r="R131" s="113">
        <f>IF(R$13="","",IF($B131="","",IFERROR($C131*$D131*SUMIFS('Dvd Calendar'!$E$238:$CZ$238,'Dvd Calendar'!$E$237:$CZ$237,"&gt;"&amp;R$12,'Dvd Calendar'!$E$237:$CZ$237,"&lt;="&amp;R$13)/AS51!$B$3,"")))</f>
        <v/>
      </c>
      <c r="S131" s="113">
        <f>IF(S$13="","",IF($B131="","",IFERROR($C131*$D131*SUMIFS('Dvd Calendar'!$E$238:$CZ$238,'Dvd Calendar'!$E$237:$CZ$237,"&gt;"&amp;S$12,'Dvd Calendar'!$E$237:$CZ$237,"&lt;="&amp;S$13)/AS51!$B$3,"")))</f>
        <v/>
      </c>
      <c r="T131" s="113">
        <f>IF(T$13="","",IF($B131="","",IFERROR($C131*$D131*SUMIFS('Dvd Calendar'!$E$238:$CZ$238,'Dvd Calendar'!$E$237:$CZ$237,"&gt;"&amp;T$12,'Dvd Calendar'!$E$237:$CZ$237,"&lt;="&amp;T$13)/AS51!$B$3,"")))</f>
        <v/>
      </c>
      <c r="U131" s="113">
        <f>IF(U$13="","",IF($B131="","",IFERROR($C131*$D131*SUMIFS('Dvd Calendar'!$E$238:$CZ$238,'Dvd Calendar'!$E$237:$CZ$237,"&gt;"&amp;U$12,'Dvd Calendar'!$E$237:$CZ$237,"&lt;="&amp;U$13)/AS51!$B$3,"")))</f>
        <v/>
      </c>
      <c r="W131" s="113">
        <f>IF(W$13="","",IF($B131="","",IFERROR(F131*$E131/100,"")))</f>
        <v/>
      </c>
      <c r="X131" s="113">
        <f>IF(X$13="","",IF($B131="","",IFERROR(G131*$E131/100,"")))</f>
        <v/>
      </c>
      <c r="Y131" s="113">
        <f>IF(Y$13="","",IF($B131="","",IFERROR(H131*$E131/100,"")))</f>
        <v/>
      </c>
      <c r="Z131" s="113">
        <f>IF(Z$13="","",IF($B131="","",IFERROR(I131*$E131/100,"")))</f>
        <v/>
      </c>
      <c r="AA131" s="113">
        <f>IF(AA$13="","",IF($B131="","",IFERROR(J131*$E131/100,"")))</f>
        <v/>
      </c>
      <c r="AB131" s="113">
        <f>IF(AB$13="","",IF($B131="","",IFERROR(K131*$E131/100,"")))</f>
        <v/>
      </c>
      <c r="AC131" s="113">
        <f>IF(AC$13="","",IF($B131="","",IFERROR(L131*$E131/100,"")))</f>
        <v/>
      </c>
      <c r="AD131" s="113">
        <f>IF(AD$13="","",IF($B131="","",IFERROR(M131*$E131/100,"")))</f>
        <v/>
      </c>
      <c r="AE131" s="113">
        <f>IF(AE$13="","",IF($B131="","",IFERROR(N131*$E131/100,"")))</f>
        <v/>
      </c>
      <c r="AF131" s="113">
        <f>IF(AF$13="","",IF($B131="","",IFERROR(O131*$E131/100,"")))</f>
        <v/>
      </c>
      <c r="AG131" s="113">
        <f>IF(AG$13="","",IF($B131="","",IFERROR(P131*$E131/100,"")))</f>
        <v/>
      </c>
      <c r="AH131" s="113">
        <f>IF(AH$13="","",IF($B131="","",IFERROR(Q131*$E131/100,"")))</f>
        <v/>
      </c>
      <c r="AI131" s="113">
        <f>IF(AI$13="","",IF($B131="","",IFERROR(R131*$E131/100,"")))</f>
        <v/>
      </c>
      <c r="AJ131" s="113">
        <f>IF(AJ$13="","",IF($B131="","",IFERROR(S131*$E131/100,"")))</f>
        <v/>
      </c>
      <c r="AK131" s="113">
        <f>IF(AK$13="","",IF($B131="","",IFERROR(T131*$E131/100,"")))</f>
        <v/>
      </c>
      <c r="AL131" s="113">
        <f>IF(AL$13="","",IF($B131="","",IFERROR(U131*$E131/100,"")))</f>
        <v/>
      </c>
    </row>
    <row r="132">
      <c r="B132" s="5">
        <f>IF(AS51!$C$122="","",AS51!$C$122)</f>
        <v/>
      </c>
      <c r="C132" s="86">
        <f>IF(AS51!$B$122="","",AS51!$B$122)</f>
        <v/>
      </c>
      <c r="D132" s="111">
        <f>IFERROR(AS51!$Q$122,1)</f>
        <v/>
      </c>
      <c r="E132" s="112">
        <f>IF($B132="","",IF(ISNUMBER(AS51!$I$122),AS51!$I$122,'Index Summary'!$C$7))</f>
        <v/>
      </c>
      <c r="F132" s="113">
        <f>IF(F$13="","",IF($B132="","",IFERROR($C132*$D132*SUMIFS('Dvd Calendar'!$E$240:$CZ$240,'Dvd Calendar'!$E$239:$CZ$239,"&gt;"&amp;F$12,'Dvd Calendar'!$E$239:$CZ$239,"&lt;="&amp;F$13)/AS51!$B$3,"")))</f>
        <v/>
      </c>
      <c r="G132" s="113">
        <f>IF(G$13="","",IF($B132="","",IFERROR($C132*$D132*SUMIFS('Dvd Calendar'!$E$240:$CZ$240,'Dvd Calendar'!$E$239:$CZ$239,"&gt;"&amp;G$12,'Dvd Calendar'!$E$239:$CZ$239,"&lt;="&amp;G$13)/AS51!$B$3,"")))</f>
        <v/>
      </c>
      <c r="H132" s="113">
        <f>IF(H$13="","",IF($B132="","",IFERROR($C132*$D132*SUMIFS('Dvd Calendar'!$E$240:$CZ$240,'Dvd Calendar'!$E$239:$CZ$239,"&gt;"&amp;H$12,'Dvd Calendar'!$E$239:$CZ$239,"&lt;="&amp;H$13)/AS51!$B$3,"")))</f>
        <v/>
      </c>
      <c r="I132" s="113">
        <f>IF(I$13="","",IF($B132="","",IFERROR($C132*$D132*SUMIFS('Dvd Calendar'!$E$240:$CZ$240,'Dvd Calendar'!$E$239:$CZ$239,"&gt;"&amp;I$12,'Dvd Calendar'!$E$239:$CZ$239,"&lt;="&amp;I$13)/AS51!$B$3,"")))</f>
        <v/>
      </c>
      <c r="J132" s="113">
        <f>IF(J$13="","",IF($B132="","",IFERROR($C132*$D132*SUMIFS('Dvd Calendar'!$E$240:$CZ$240,'Dvd Calendar'!$E$239:$CZ$239,"&gt;"&amp;J$12,'Dvd Calendar'!$E$239:$CZ$239,"&lt;="&amp;J$13)/AS51!$B$3,"")))</f>
        <v/>
      </c>
      <c r="K132" s="113">
        <f>IF(K$13="","",IF($B132="","",IFERROR($C132*$D132*SUMIFS('Dvd Calendar'!$E$240:$CZ$240,'Dvd Calendar'!$E$239:$CZ$239,"&gt;"&amp;K$12,'Dvd Calendar'!$E$239:$CZ$239,"&lt;="&amp;K$13)/AS51!$B$3,"")))</f>
        <v/>
      </c>
      <c r="L132" s="113">
        <f>IF(L$13="","",IF($B132="","",IFERROR($C132*$D132*SUMIFS('Dvd Calendar'!$E$240:$CZ$240,'Dvd Calendar'!$E$239:$CZ$239,"&gt;"&amp;L$12,'Dvd Calendar'!$E$239:$CZ$239,"&lt;="&amp;L$13)/AS51!$B$3,"")))</f>
        <v/>
      </c>
      <c r="M132" s="113">
        <f>IF(M$13="","",IF($B132="","",IFERROR($C132*$D132*SUMIFS('Dvd Calendar'!$E$240:$CZ$240,'Dvd Calendar'!$E$239:$CZ$239,"&gt;"&amp;M$12,'Dvd Calendar'!$E$239:$CZ$239,"&lt;="&amp;M$13)/AS51!$B$3,"")))</f>
        <v/>
      </c>
      <c r="N132" s="113">
        <f>IF(N$13="","",IF($B132="","",IFERROR($C132*$D132*SUMIFS('Dvd Calendar'!$E$240:$CZ$240,'Dvd Calendar'!$E$239:$CZ$239,"&gt;"&amp;N$12,'Dvd Calendar'!$E$239:$CZ$239,"&lt;="&amp;N$13)/AS51!$B$3,"")))</f>
        <v/>
      </c>
      <c r="O132" s="113">
        <f>IF(O$13="","",IF($B132="","",IFERROR($C132*$D132*SUMIFS('Dvd Calendar'!$E$240:$CZ$240,'Dvd Calendar'!$E$239:$CZ$239,"&gt;"&amp;O$12,'Dvd Calendar'!$E$239:$CZ$239,"&lt;="&amp;O$13)/AS51!$B$3,"")))</f>
        <v/>
      </c>
      <c r="P132" s="113">
        <f>IF(P$13="","",IF($B132="","",IFERROR($C132*$D132*SUMIFS('Dvd Calendar'!$E$240:$CZ$240,'Dvd Calendar'!$E$239:$CZ$239,"&gt;"&amp;P$12,'Dvd Calendar'!$E$239:$CZ$239,"&lt;="&amp;P$13)/AS51!$B$3,"")))</f>
        <v/>
      </c>
      <c r="Q132" s="113">
        <f>IF(Q$13="","",IF($B132="","",IFERROR($C132*$D132*SUMIFS('Dvd Calendar'!$E$240:$CZ$240,'Dvd Calendar'!$E$239:$CZ$239,"&gt;"&amp;Q$12,'Dvd Calendar'!$E$239:$CZ$239,"&lt;="&amp;Q$13)/AS51!$B$3,"")))</f>
        <v/>
      </c>
      <c r="R132" s="113">
        <f>IF(R$13="","",IF($B132="","",IFERROR($C132*$D132*SUMIFS('Dvd Calendar'!$E$240:$CZ$240,'Dvd Calendar'!$E$239:$CZ$239,"&gt;"&amp;R$12,'Dvd Calendar'!$E$239:$CZ$239,"&lt;="&amp;R$13)/AS51!$B$3,"")))</f>
        <v/>
      </c>
      <c r="S132" s="113">
        <f>IF(S$13="","",IF($B132="","",IFERROR($C132*$D132*SUMIFS('Dvd Calendar'!$E$240:$CZ$240,'Dvd Calendar'!$E$239:$CZ$239,"&gt;"&amp;S$12,'Dvd Calendar'!$E$239:$CZ$239,"&lt;="&amp;S$13)/AS51!$B$3,"")))</f>
        <v/>
      </c>
      <c r="T132" s="113">
        <f>IF(T$13="","",IF($B132="","",IFERROR($C132*$D132*SUMIFS('Dvd Calendar'!$E$240:$CZ$240,'Dvd Calendar'!$E$239:$CZ$239,"&gt;"&amp;T$12,'Dvd Calendar'!$E$239:$CZ$239,"&lt;="&amp;T$13)/AS51!$B$3,"")))</f>
        <v/>
      </c>
      <c r="U132" s="113">
        <f>IF(U$13="","",IF($B132="","",IFERROR($C132*$D132*SUMIFS('Dvd Calendar'!$E$240:$CZ$240,'Dvd Calendar'!$E$239:$CZ$239,"&gt;"&amp;U$12,'Dvd Calendar'!$E$239:$CZ$239,"&lt;="&amp;U$13)/AS51!$B$3,"")))</f>
        <v/>
      </c>
      <c r="W132" s="113">
        <f>IF(W$13="","",IF($B132="","",IFERROR(F132*$E132/100,"")))</f>
        <v/>
      </c>
      <c r="X132" s="113">
        <f>IF(X$13="","",IF($B132="","",IFERROR(G132*$E132/100,"")))</f>
        <v/>
      </c>
      <c r="Y132" s="113">
        <f>IF(Y$13="","",IF($B132="","",IFERROR(H132*$E132/100,"")))</f>
        <v/>
      </c>
      <c r="Z132" s="113">
        <f>IF(Z$13="","",IF($B132="","",IFERROR(I132*$E132/100,"")))</f>
        <v/>
      </c>
      <c r="AA132" s="113">
        <f>IF(AA$13="","",IF($B132="","",IFERROR(J132*$E132/100,"")))</f>
        <v/>
      </c>
      <c r="AB132" s="113">
        <f>IF(AB$13="","",IF($B132="","",IFERROR(K132*$E132/100,"")))</f>
        <v/>
      </c>
      <c r="AC132" s="113">
        <f>IF(AC$13="","",IF($B132="","",IFERROR(L132*$E132/100,"")))</f>
        <v/>
      </c>
      <c r="AD132" s="113">
        <f>IF(AD$13="","",IF($B132="","",IFERROR(M132*$E132/100,"")))</f>
        <v/>
      </c>
      <c r="AE132" s="113">
        <f>IF(AE$13="","",IF($B132="","",IFERROR(N132*$E132/100,"")))</f>
        <v/>
      </c>
      <c r="AF132" s="113">
        <f>IF(AF$13="","",IF($B132="","",IFERROR(O132*$E132/100,"")))</f>
        <v/>
      </c>
      <c r="AG132" s="113">
        <f>IF(AG$13="","",IF($B132="","",IFERROR(P132*$E132/100,"")))</f>
        <v/>
      </c>
      <c r="AH132" s="113">
        <f>IF(AH$13="","",IF($B132="","",IFERROR(Q132*$E132/100,"")))</f>
        <v/>
      </c>
      <c r="AI132" s="113">
        <f>IF(AI$13="","",IF($B132="","",IFERROR(R132*$E132/100,"")))</f>
        <v/>
      </c>
      <c r="AJ132" s="113">
        <f>IF(AJ$13="","",IF($B132="","",IFERROR(S132*$E132/100,"")))</f>
        <v/>
      </c>
      <c r="AK132" s="113">
        <f>IF(AK$13="","",IF($B132="","",IFERROR(T132*$E132/100,"")))</f>
        <v/>
      </c>
      <c r="AL132" s="113">
        <f>IF(AL$13="","",IF($B132="","",IFERROR(U132*$E132/100,"")))</f>
        <v/>
      </c>
    </row>
    <row r="133">
      <c r="B133" s="5">
        <f>IF(AS51!$C$123="","",AS51!$C$123)</f>
        <v/>
      </c>
      <c r="C133" s="86">
        <f>IF(AS51!$B$123="","",AS51!$B$123)</f>
        <v/>
      </c>
      <c r="D133" s="111">
        <f>IFERROR(AS51!$Q$123,1)</f>
        <v/>
      </c>
      <c r="E133" s="112">
        <f>IF($B133="","",IF(ISNUMBER(AS51!$I$123),AS51!$I$123,'Index Summary'!$C$7))</f>
        <v/>
      </c>
      <c r="F133" s="113">
        <f>IF(F$13="","",IF($B133="","",IFERROR($C133*$D133*SUMIFS('Dvd Calendar'!$E$242:$CZ$242,'Dvd Calendar'!$E$241:$CZ$241,"&gt;"&amp;F$12,'Dvd Calendar'!$E$241:$CZ$241,"&lt;="&amp;F$13)/AS51!$B$3,"")))</f>
        <v/>
      </c>
      <c r="G133" s="113">
        <f>IF(G$13="","",IF($B133="","",IFERROR($C133*$D133*SUMIFS('Dvd Calendar'!$E$242:$CZ$242,'Dvd Calendar'!$E$241:$CZ$241,"&gt;"&amp;G$12,'Dvd Calendar'!$E$241:$CZ$241,"&lt;="&amp;G$13)/AS51!$B$3,"")))</f>
        <v/>
      </c>
      <c r="H133" s="113">
        <f>IF(H$13="","",IF($B133="","",IFERROR($C133*$D133*SUMIFS('Dvd Calendar'!$E$242:$CZ$242,'Dvd Calendar'!$E$241:$CZ$241,"&gt;"&amp;H$12,'Dvd Calendar'!$E$241:$CZ$241,"&lt;="&amp;H$13)/AS51!$B$3,"")))</f>
        <v/>
      </c>
      <c r="I133" s="113">
        <f>IF(I$13="","",IF($B133="","",IFERROR($C133*$D133*SUMIFS('Dvd Calendar'!$E$242:$CZ$242,'Dvd Calendar'!$E$241:$CZ$241,"&gt;"&amp;I$12,'Dvd Calendar'!$E$241:$CZ$241,"&lt;="&amp;I$13)/AS51!$B$3,"")))</f>
        <v/>
      </c>
      <c r="J133" s="113">
        <f>IF(J$13="","",IF($B133="","",IFERROR($C133*$D133*SUMIFS('Dvd Calendar'!$E$242:$CZ$242,'Dvd Calendar'!$E$241:$CZ$241,"&gt;"&amp;J$12,'Dvd Calendar'!$E$241:$CZ$241,"&lt;="&amp;J$13)/AS51!$B$3,"")))</f>
        <v/>
      </c>
      <c r="K133" s="113">
        <f>IF(K$13="","",IF($B133="","",IFERROR($C133*$D133*SUMIFS('Dvd Calendar'!$E$242:$CZ$242,'Dvd Calendar'!$E$241:$CZ$241,"&gt;"&amp;K$12,'Dvd Calendar'!$E$241:$CZ$241,"&lt;="&amp;K$13)/AS51!$B$3,"")))</f>
        <v/>
      </c>
      <c r="L133" s="113">
        <f>IF(L$13="","",IF($B133="","",IFERROR($C133*$D133*SUMIFS('Dvd Calendar'!$E$242:$CZ$242,'Dvd Calendar'!$E$241:$CZ$241,"&gt;"&amp;L$12,'Dvd Calendar'!$E$241:$CZ$241,"&lt;="&amp;L$13)/AS51!$B$3,"")))</f>
        <v/>
      </c>
      <c r="M133" s="113">
        <f>IF(M$13="","",IF($B133="","",IFERROR($C133*$D133*SUMIFS('Dvd Calendar'!$E$242:$CZ$242,'Dvd Calendar'!$E$241:$CZ$241,"&gt;"&amp;M$12,'Dvd Calendar'!$E$241:$CZ$241,"&lt;="&amp;M$13)/AS51!$B$3,"")))</f>
        <v/>
      </c>
      <c r="N133" s="113">
        <f>IF(N$13="","",IF($B133="","",IFERROR($C133*$D133*SUMIFS('Dvd Calendar'!$E$242:$CZ$242,'Dvd Calendar'!$E$241:$CZ$241,"&gt;"&amp;N$12,'Dvd Calendar'!$E$241:$CZ$241,"&lt;="&amp;N$13)/AS51!$B$3,"")))</f>
        <v/>
      </c>
      <c r="O133" s="113">
        <f>IF(O$13="","",IF($B133="","",IFERROR($C133*$D133*SUMIFS('Dvd Calendar'!$E$242:$CZ$242,'Dvd Calendar'!$E$241:$CZ$241,"&gt;"&amp;O$12,'Dvd Calendar'!$E$241:$CZ$241,"&lt;="&amp;O$13)/AS51!$B$3,"")))</f>
        <v/>
      </c>
      <c r="P133" s="113">
        <f>IF(P$13="","",IF($B133="","",IFERROR($C133*$D133*SUMIFS('Dvd Calendar'!$E$242:$CZ$242,'Dvd Calendar'!$E$241:$CZ$241,"&gt;"&amp;P$12,'Dvd Calendar'!$E$241:$CZ$241,"&lt;="&amp;P$13)/AS51!$B$3,"")))</f>
        <v/>
      </c>
      <c r="Q133" s="113">
        <f>IF(Q$13="","",IF($B133="","",IFERROR($C133*$D133*SUMIFS('Dvd Calendar'!$E$242:$CZ$242,'Dvd Calendar'!$E$241:$CZ$241,"&gt;"&amp;Q$12,'Dvd Calendar'!$E$241:$CZ$241,"&lt;="&amp;Q$13)/AS51!$B$3,"")))</f>
        <v/>
      </c>
      <c r="R133" s="113">
        <f>IF(R$13="","",IF($B133="","",IFERROR($C133*$D133*SUMIFS('Dvd Calendar'!$E$242:$CZ$242,'Dvd Calendar'!$E$241:$CZ$241,"&gt;"&amp;R$12,'Dvd Calendar'!$E$241:$CZ$241,"&lt;="&amp;R$13)/AS51!$B$3,"")))</f>
        <v/>
      </c>
      <c r="S133" s="113">
        <f>IF(S$13="","",IF($B133="","",IFERROR($C133*$D133*SUMIFS('Dvd Calendar'!$E$242:$CZ$242,'Dvd Calendar'!$E$241:$CZ$241,"&gt;"&amp;S$12,'Dvd Calendar'!$E$241:$CZ$241,"&lt;="&amp;S$13)/AS51!$B$3,"")))</f>
        <v/>
      </c>
      <c r="T133" s="113">
        <f>IF(T$13="","",IF($B133="","",IFERROR($C133*$D133*SUMIFS('Dvd Calendar'!$E$242:$CZ$242,'Dvd Calendar'!$E$241:$CZ$241,"&gt;"&amp;T$12,'Dvd Calendar'!$E$241:$CZ$241,"&lt;="&amp;T$13)/AS51!$B$3,"")))</f>
        <v/>
      </c>
      <c r="U133" s="113">
        <f>IF(U$13="","",IF($B133="","",IFERROR($C133*$D133*SUMIFS('Dvd Calendar'!$E$242:$CZ$242,'Dvd Calendar'!$E$241:$CZ$241,"&gt;"&amp;U$12,'Dvd Calendar'!$E$241:$CZ$241,"&lt;="&amp;U$13)/AS51!$B$3,"")))</f>
        <v/>
      </c>
      <c r="W133" s="113">
        <f>IF(W$13="","",IF($B133="","",IFERROR(F133*$E133/100,"")))</f>
        <v/>
      </c>
      <c r="X133" s="113">
        <f>IF(X$13="","",IF($B133="","",IFERROR(G133*$E133/100,"")))</f>
        <v/>
      </c>
      <c r="Y133" s="113">
        <f>IF(Y$13="","",IF($B133="","",IFERROR(H133*$E133/100,"")))</f>
        <v/>
      </c>
      <c r="Z133" s="113">
        <f>IF(Z$13="","",IF($B133="","",IFERROR(I133*$E133/100,"")))</f>
        <v/>
      </c>
      <c r="AA133" s="113">
        <f>IF(AA$13="","",IF($B133="","",IFERROR(J133*$E133/100,"")))</f>
        <v/>
      </c>
      <c r="AB133" s="113">
        <f>IF(AB$13="","",IF($B133="","",IFERROR(K133*$E133/100,"")))</f>
        <v/>
      </c>
      <c r="AC133" s="113">
        <f>IF(AC$13="","",IF($B133="","",IFERROR(L133*$E133/100,"")))</f>
        <v/>
      </c>
      <c r="AD133" s="113">
        <f>IF(AD$13="","",IF($B133="","",IFERROR(M133*$E133/100,"")))</f>
        <v/>
      </c>
      <c r="AE133" s="113">
        <f>IF(AE$13="","",IF($B133="","",IFERROR(N133*$E133/100,"")))</f>
        <v/>
      </c>
      <c r="AF133" s="113">
        <f>IF(AF$13="","",IF($B133="","",IFERROR(O133*$E133/100,"")))</f>
        <v/>
      </c>
      <c r="AG133" s="113">
        <f>IF(AG$13="","",IF($B133="","",IFERROR(P133*$E133/100,"")))</f>
        <v/>
      </c>
      <c r="AH133" s="113">
        <f>IF(AH$13="","",IF($B133="","",IFERROR(Q133*$E133/100,"")))</f>
        <v/>
      </c>
      <c r="AI133" s="113">
        <f>IF(AI$13="","",IF($B133="","",IFERROR(R133*$E133/100,"")))</f>
        <v/>
      </c>
      <c r="AJ133" s="113">
        <f>IF(AJ$13="","",IF($B133="","",IFERROR(S133*$E133/100,"")))</f>
        <v/>
      </c>
      <c r="AK133" s="113">
        <f>IF(AK$13="","",IF($B133="","",IFERROR(T133*$E133/100,"")))</f>
        <v/>
      </c>
      <c r="AL133" s="113">
        <f>IF(AL$13="","",IF($B133="","",IFERROR(U133*$E133/100,"")))</f>
        <v/>
      </c>
    </row>
    <row r="134">
      <c r="B134" s="5">
        <f>IF(AS51!$C$124="","",AS51!$C$124)</f>
        <v/>
      </c>
      <c r="C134" s="86">
        <f>IF(AS51!$B$124="","",AS51!$B$124)</f>
        <v/>
      </c>
      <c r="D134" s="111">
        <f>IFERROR(AS51!$Q$124,1)</f>
        <v/>
      </c>
      <c r="E134" s="112">
        <f>IF($B134="","",IF(ISNUMBER(AS51!$I$124),AS51!$I$124,'Index Summary'!$C$7))</f>
        <v/>
      </c>
      <c r="F134" s="113">
        <f>IF(F$13="","",IF($B134="","",IFERROR($C134*$D134*SUMIFS('Dvd Calendar'!$E$244:$CZ$244,'Dvd Calendar'!$E$243:$CZ$243,"&gt;"&amp;F$12,'Dvd Calendar'!$E$243:$CZ$243,"&lt;="&amp;F$13)/AS51!$B$3,"")))</f>
        <v/>
      </c>
      <c r="G134" s="113">
        <f>IF(G$13="","",IF($B134="","",IFERROR($C134*$D134*SUMIFS('Dvd Calendar'!$E$244:$CZ$244,'Dvd Calendar'!$E$243:$CZ$243,"&gt;"&amp;G$12,'Dvd Calendar'!$E$243:$CZ$243,"&lt;="&amp;G$13)/AS51!$B$3,"")))</f>
        <v/>
      </c>
      <c r="H134" s="113">
        <f>IF(H$13="","",IF($B134="","",IFERROR($C134*$D134*SUMIFS('Dvd Calendar'!$E$244:$CZ$244,'Dvd Calendar'!$E$243:$CZ$243,"&gt;"&amp;H$12,'Dvd Calendar'!$E$243:$CZ$243,"&lt;="&amp;H$13)/AS51!$B$3,"")))</f>
        <v/>
      </c>
      <c r="I134" s="113">
        <f>IF(I$13="","",IF($B134="","",IFERROR($C134*$D134*SUMIFS('Dvd Calendar'!$E$244:$CZ$244,'Dvd Calendar'!$E$243:$CZ$243,"&gt;"&amp;I$12,'Dvd Calendar'!$E$243:$CZ$243,"&lt;="&amp;I$13)/AS51!$B$3,"")))</f>
        <v/>
      </c>
      <c r="J134" s="113">
        <f>IF(J$13="","",IF($B134="","",IFERROR($C134*$D134*SUMIFS('Dvd Calendar'!$E$244:$CZ$244,'Dvd Calendar'!$E$243:$CZ$243,"&gt;"&amp;J$12,'Dvd Calendar'!$E$243:$CZ$243,"&lt;="&amp;J$13)/AS51!$B$3,"")))</f>
        <v/>
      </c>
      <c r="K134" s="113">
        <f>IF(K$13="","",IF($B134="","",IFERROR($C134*$D134*SUMIFS('Dvd Calendar'!$E$244:$CZ$244,'Dvd Calendar'!$E$243:$CZ$243,"&gt;"&amp;K$12,'Dvd Calendar'!$E$243:$CZ$243,"&lt;="&amp;K$13)/AS51!$B$3,"")))</f>
        <v/>
      </c>
      <c r="L134" s="113">
        <f>IF(L$13="","",IF($B134="","",IFERROR($C134*$D134*SUMIFS('Dvd Calendar'!$E$244:$CZ$244,'Dvd Calendar'!$E$243:$CZ$243,"&gt;"&amp;L$12,'Dvd Calendar'!$E$243:$CZ$243,"&lt;="&amp;L$13)/AS51!$B$3,"")))</f>
        <v/>
      </c>
      <c r="M134" s="113">
        <f>IF(M$13="","",IF($B134="","",IFERROR($C134*$D134*SUMIFS('Dvd Calendar'!$E$244:$CZ$244,'Dvd Calendar'!$E$243:$CZ$243,"&gt;"&amp;M$12,'Dvd Calendar'!$E$243:$CZ$243,"&lt;="&amp;M$13)/AS51!$B$3,"")))</f>
        <v/>
      </c>
      <c r="N134" s="113">
        <f>IF(N$13="","",IF($B134="","",IFERROR($C134*$D134*SUMIFS('Dvd Calendar'!$E$244:$CZ$244,'Dvd Calendar'!$E$243:$CZ$243,"&gt;"&amp;N$12,'Dvd Calendar'!$E$243:$CZ$243,"&lt;="&amp;N$13)/AS51!$B$3,"")))</f>
        <v/>
      </c>
      <c r="O134" s="113">
        <f>IF(O$13="","",IF($B134="","",IFERROR($C134*$D134*SUMIFS('Dvd Calendar'!$E$244:$CZ$244,'Dvd Calendar'!$E$243:$CZ$243,"&gt;"&amp;O$12,'Dvd Calendar'!$E$243:$CZ$243,"&lt;="&amp;O$13)/AS51!$B$3,"")))</f>
        <v/>
      </c>
      <c r="P134" s="113">
        <f>IF(P$13="","",IF($B134="","",IFERROR($C134*$D134*SUMIFS('Dvd Calendar'!$E$244:$CZ$244,'Dvd Calendar'!$E$243:$CZ$243,"&gt;"&amp;P$12,'Dvd Calendar'!$E$243:$CZ$243,"&lt;="&amp;P$13)/AS51!$B$3,"")))</f>
        <v/>
      </c>
      <c r="Q134" s="113">
        <f>IF(Q$13="","",IF($B134="","",IFERROR($C134*$D134*SUMIFS('Dvd Calendar'!$E$244:$CZ$244,'Dvd Calendar'!$E$243:$CZ$243,"&gt;"&amp;Q$12,'Dvd Calendar'!$E$243:$CZ$243,"&lt;="&amp;Q$13)/AS51!$B$3,"")))</f>
        <v/>
      </c>
      <c r="R134" s="113">
        <f>IF(R$13="","",IF($B134="","",IFERROR($C134*$D134*SUMIFS('Dvd Calendar'!$E$244:$CZ$244,'Dvd Calendar'!$E$243:$CZ$243,"&gt;"&amp;R$12,'Dvd Calendar'!$E$243:$CZ$243,"&lt;="&amp;R$13)/AS51!$B$3,"")))</f>
        <v/>
      </c>
      <c r="S134" s="113">
        <f>IF(S$13="","",IF($B134="","",IFERROR($C134*$D134*SUMIFS('Dvd Calendar'!$E$244:$CZ$244,'Dvd Calendar'!$E$243:$CZ$243,"&gt;"&amp;S$12,'Dvd Calendar'!$E$243:$CZ$243,"&lt;="&amp;S$13)/AS51!$B$3,"")))</f>
        <v/>
      </c>
      <c r="T134" s="113">
        <f>IF(T$13="","",IF($B134="","",IFERROR($C134*$D134*SUMIFS('Dvd Calendar'!$E$244:$CZ$244,'Dvd Calendar'!$E$243:$CZ$243,"&gt;"&amp;T$12,'Dvd Calendar'!$E$243:$CZ$243,"&lt;="&amp;T$13)/AS51!$B$3,"")))</f>
        <v/>
      </c>
      <c r="U134" s="113">
        <f>IF(U$13="","",IF($B134="","",IFERROR($C134*$D134*SUMIFS('Dvd Calendar'!$E$244:$CZ$244,'Dvd Calendar'!$E$243:$CZ$243,"&gt;"&amp;U$12,'Dvd Calendar'!$E$243:$CZ$243,"&lt;="&amp;U$13)/AS51!$B$3,"")))</f>
        <v/>
      </c>
      <c r="W134" s="113">
        <f>IF(W$13="","",IF($B134="","",IFERROR(F134*$E134/100,"")))</f>
        <v/>
      </c>
      <c r="X134" s="113">
        <f>IF(X$13="","",IF($B134="","",IFERROR(G134*$E134/100,"")))</f>
        <v/>
      </c>
      <c r="Y134" s="113">
        <f>IF(Y$13="","",IF($B134="","",IFERROR(H134*$E134/100,"")))</f>
        <v/>
      </c>
      <c r="Z134" s="113">
        <f>IF(Z$13="","",IF($B134="","",IFERROR(I134*$E134/100,"")))</f>
        <v/>
      </c>
      <c r="AA134" s="113">
        <f>IF(AA$13="","",IF($B134="","",IFERROR(J134*$E134/100,"")))</f>
        <v/>
      </c>
      <c r="AB134" s="113">
        <f>IF(AB$13="","",IF($B134="","",IFERROR(K134*$E134/100,"")))</f>
        <v/>
      </c>
      <c r="AC134" s="113">
        <f>IF(AC$13="","",IF($B134="","",IFERROR(L134*$E134/100,"")))</f>
        <v/>
      </c>
      <c r="AD134" s="113">
        <f>IF(AD$13="","",IF($B134="","",IFERROR(M134*$E134/100,"")))</f>
        <v/>
      </c>
      <c r="AE134" s="113">
        <f>IF(AE$13="","",IF($B134="","",IFERROR(N134*$E134/100,"")))</f>
        <v/>
      </c>
      <c r="AF134" s="113">
        <f>IF(AF$13="","",IF($B134="","",IFERROR(O134*$E134/100,"")))</f>
        <v/>
      </c>
      <c r="AG134" s="113">
        <f>IF(AG$13="","",IF($B134="","",IFERROR(P134*$E134/100,"")))</f>
        <v/>
      </c>
      <c r="AH134" s="113">
        <f>IF(AH$13="","",IF($B134="","",IFERROR(Q134*$E134/100,"")))</f>
        <v/>
      </c>
      <c r="AI134" s="113">
        <f>IF(AI$13="","",IF($B134="","",IFERROR(R134*$E134/100,"")))</f>
        <v/>
      </c>
      <c r="AJ134" s="113">
        <f>IF(AJ$13="","",IF($B134="","",IFERROR(S134*$E134/100,"")))</f>
        <v/>
      </c>
      <c r="AK134" s="113">
        <f>IF(AK$13="","",IF($B134="","",IFERROR(T134*$E134/100,"")))</f>
        <v/>
      </c>
      <c r="AL134" s="113">
        <f>IF(AL$13="","",IF($B134="","",IFERROR(U134*$E134/100,"")))</f>
        <v/>
      </c>
    </row>
    <row r="135">
      <c r="B135" s="5">
        <f>IF(AS51!$C$125="","",AS51!$C$125)</f>
        <v/>
      </c>
      <c r="C135" s="86">
        <f>IF(AS51!$B$125="","",AS51!$B$125)</f>
        <v/>
      </c>
      <c r="D135" s="111">
        <f>IFERROR(AS51!$Q$125,1)</f>
        <v/>
      </c>
      <c r="E135" s="112">
        <f>IF($B135="","",IF(ISNUMBER(AS51!$I$125),AS51!$I$125,'Index Summary'!$C$7))</f>
        <v/>
      </c>
      <c r="F135" s="113">
        <f>IF(F$13="","",IF($B135="","",IFERROR($C135*$D135*SUMIFS('Dvd Calendar'!$E$246:$CZ$246,'Dvd Calendar'!$E$245:$CZ$245,"&gt;"&amp;F$12,'Dvd Calendar'!$E$245:$CZ$245,"&lt;="&amp;F$13)/AS51!$B$3,"")))</f>
        <v/>
      </c>
      <c r="G135" s="113">
        <f>IF(G$13="","",IF($B135="","",IFERROR($C135*$D135*SUMIFS('Dvd Calendar'!$E$246:$CZ$246,'Dvd Calendar'!$E$245:$CZ$245,"&gt;"&amp;G$12,'Dvd Calendar'!$E$245:$CZ$245,"&lt;="&amp;G$13)/AS51!$B$3,"")))</f>
        <v/>
      </c>
      <c r="H135" s="113">
        <f>IF(H$13="","",IF($B135="","",IFERROR($C135*$D135*SUMIFS('Dvd Calendar'!$E$246:$CZ$246,'Dvd Calendar'!$E$245:$CZ$245,"&gt;"&amp;H$12,'Dvd Calendar'!$E$245:$CZ$245,"&lt;="&amp;H$13)/AS51!$B$3,"")))</f>
        <v/>
      </c>
      <c r="I135" s="113">
        <f>IF(I$13="","",IF($B135="","",IFERROR($C135*$D135*SUMIFS('Dvd Calendar'!$E$246:$CZ$246,'Dvd Calendar'!$E$245:$CZ$245,"&gt;"&amp;I$12,'Dvd Calendar'!$E$245:$CZ$245,"&lt;="&amp;I$13)/AS51!$B$3,"")))</f>
        <v/>
      </c>
      <c r="J135" s="113">
        <f>IF(J$13="","",IF($B135="","",IFERROR($C135*$D135*SUMIFS('Dvd Calendar'!$E$246:$CZ$246,'Dvd Calendar'!$E$245:$CZ$245,"&gt;"&amp;J$12,'Dvd Calendar'!$E$245:$CZ$245,"&lt;="&amp;J$13)/AS51!$B$3,"")))</f>
        <v/>
      </c>
      <c r="K135" s="113">
        <f>IF(K$13="","",IF($B135="","",IFERROR($C135*$D135*SUMIFS('Dvd Calendar'!$E$246:$CZ$246,'Dvd Calendar'!$E$245:$CZ$245,"&gt;"&amp;K$12,'Dvd Calendar'!$E$245:$CZ$245,"&lt;="&amp;K$13)/AS51!$B$3,"")))</f>
        <v/>
      </c>
      <c r="L135" s="113">
        <f>IF(L$13="","",IF($B135="","",IFERROR($C135*$D135*SUMIFS('Dvd Calendar'!$E$246:$CZ$246,'Dvd Calendar'!$E$245:$CZ$245,"&gt;"&amp;L$12,'Dvd Calendar'!$E$245:$CZ$245,"&lt;="&amp;L$13)/AS51!$B$3,"")))</f>
        <v/>
      </c>
      <c r="M135" s="113">
        <f>IF(M$13="","",IF($B135="","",IFERROR($C135*$D135*SUMIFS('Dvd Calendar'!$E$246:$CZ$246,'Dvd Calendar'!$E$245:$CZ$245,"&gt;"&amp;M$12,'Dvd Calendar'!$E$245:$CZ$245,"&lt;="&amp;M$13)/AS51!$B$3,"")))</f>
        <v/>
      </c>
      <c r="N135" s="113">
        <f>IF(N$13="","",IF($B135="","",IFERROR($C135*$D135*SUMIFS('Dvd Calendar'!$E$246:$CZ$246,'Dvd Calendar'!$E$245:$CZ$245,"&gt;"&amp;N$12,'Dvd Calendar'!$E$245:$CZ$245,"&lt;="&amp;N$13)/AS51!$B$3,"")))</f>
        <v/>
      </c>
      <c r="O135" s="113">
        <f>IF(O$13="","",IF($B135="","",IFERROR($C135*$D135*SUMIFS('Dvd Calendar'!$E$246:$CZ$246,'Dvd Calendar'!$E$245:$CZ$245,"&gt;"&amp;O$12,'Dvd Calendar'!$E$245:$CZ$245,"&lt;="&amp;O$13)/AS51!$B$3,"")))</f>
        <v/>
      </c>
      <c r="P135" s="113">
        <f>IF(P$13="","",IF($B135="","",IFERROR($C135*$D135*SUMIFS('Dvd Calendar'!$E$246:$CZ$246,'Dvd Calendar'!$E$245:$CZ$245,"&gt;"&amp;P$12,'Dvd Calendar'!$E$245:$CZ$245,"&lt;="&amp;P$13)/AS51!$B$3,"")))</f>
        <v/>
      </c>
      <c r="Q135" s="113">
        <f>IF(Q$13="","",IF($B135="","",IFERROR($C135*$D135*SUMIFS('Dvd Calendar'!$E$246:$CZ$246,'Dvd Calendar'!$E$245:$CZ$245,"&gt;"&amp;Q$12,'Dvd Calendar'!$E$245:$CZ$245,"&lt;="&amp;Q$13)/AS51!$B$3,"")))</f>
        <v/>
      </c>
      <c r="R135" s="113">
        <f>IF(R$13="","",IF($B135="","",IFERROR($C135*$D135*SUMIFS('Dvd Calendar'!$E$246:$CZ$246,'Dvd Calendar'!$E$245:$CZ$245,"&gt;"&amp;R$12,'Dvd Calendar'!$E$245:$CZ$245,"&lt;="&amp;R$13)/AS51!$B$3,"")))</f>
        <v/>
      </c>
      <c r="S135" s="113">
        <f>IF(S$13="","",IF($B135="","",IFERROR($C135*$D135*SUMIFS('Dvd Calendar'!$E$246:$CZ$246,'Dvd Calendar'!$E$245:$CZ$245,"&gt;"&amp;S$12,'Dvd Calendar'!$E$245:$CZ$245,"&lt;="&amp;S$13)/AS51!$B$3,"")))</f>
        <v/>
      </c>
      <c r="T135" s="113">
        <f>IF(T$13="","",IF($B135="","",IFERROR($C135*$D135*SUMIFS('Dvd Calendar'!$E$246:$CZ$246,'Dvd Calendar'!$E$245:$CZ$245,"&gt;"&amp;T$12,'Dvd Calendar'!$E$245:$CZ$245,"&lt;="&amp;T$13)/AS51!$B$3,"")))</f>
        <v/>
      </c>
      <c r="U135" s="113">
        <f>IF(U$13="","",IF($B135="","",IFERROR($C135*$D135*SUMIFS('Dvd Calendar'!$E$246:$CZ$246,'Dvd Calendar'!$E$245:$CZ$245,"&gt;"&amp;U$12,'Dvd Calendar'!$E$245:$CZ$245,"&lt;="&amp;U$13)/AS51!$B$3,"")))</f>
        <v/>
      </c>
      <c r="W135" s="113">
        <f>IF(W$13="","",IF($B135="","",IFERROR(F135*$E135/100,"")))</f>
        <v/>
      </c>
      <c r="X135" s="113">
        <f>IF(X$13="","",IF($B135="","",IFERROR(G135*$E135/100,"")))</f>
        <v/>
      </c>
      <c r="Y135" s="113">
        <f>IF(Y$13="","",IF($B135="","",IFERROR(H135*$E135/100,"")))</f>
        <v/>
      </c>
      <c r="Z135" s="113">
        <f>IF(Z$13="","",IF($B135="","",IFERROR(I135*$E135/100,"")))</f>
        <v/>
      </c>
      <c r="AA135" s="113">
        <f>IF(AA$13="","",IF($B135="","",IFERROR(J135*$E135/100,"")))</f>
        <v/>
      </c>
      <c r="AB135" s="113">
        <f>IF(AB$13="","",IF($B135="","",IFERROR(K135*$E135/100,"")))</f>
        <v/>
      </c>
      <c r="AC135" s="113">
        <f>IF(AC$13="","",IF($B135="","",IFERROR(L135*$E135/100,"")))</f>
        <v/>
      </c>
      <c r="AD135" s="113">
        <f>IF(AD$13="","",IF($B135="","",IFERROR(M135*$E135/100,"")))</f>
        <v/>
      </c>
      <c r="AE135" s="113">
        <f>IF(AE$13="","",IF($B135="","",IFERROR(N135*$E135/100,"")))</f>
        <v/>
      </c>
      <c r="AF135" s="113">
        <f>IF(AF$13="","",IF($B135="","",IFERROR(O135*$E135/100,"")))</f>
        <v/>
      </c>
      <c r="AG135" s="113">
        <f>IF(AG$13="","",IF($B135="","",IFERROR(P135*$E135/100,"")))</f>
        <v/>
      </c>
      <c r="AH135" s="113">
        <f>IF(AH$13="","",IF($B135="","",IFERROR(Q135*$E135/100,"")))</f>
        <v/>
      </c>
      <c r="AI135" s="113">
        <f>IF(AI$13="","",IF($B135="","",IFERROR(R135*$E135/100,"")))</f>
        <v/>
      </c>
      <c r="AJ135" s="113">
        <f>IF(AJ$13="","",IF($B135="","",IFERROR(S135*$E135/100,"")))</f>
        <v/>
      </c>
      <c r="AK135" s="113">
        <f>IF(AK$13="","",IF($B135="","",IFERROR(T135*$E135/100,"")))</f>
        <v/>
      </c>
      <c r="AL135" s="113">
        <f>IF(AL$13="","",IF($B135="","",IFERROR(U135*$E135/100,"")))</f>
        <v/>
      </c>
    </row>
    <row r="136">
      <c r="B136" s="5">
        <f>IF(AS51!$C$126="","",AS51!$C$126)</f>
        <v/>
      </c>
      <c r="C136" s="86">
        <f>IF(AS51!$B$126="","",AS51!$B$126)</f>
        <v/>
      </c>
      <c r="D136" s="111">
        <f>IFERROR(AS51!$Q$126,1)</f>
        <v/>
      </c>
      <c r="E136" s="112">
        <f>IF($B136="","",IF(ISNUMBER(AS51!$I$126),AS51!$I$126,'Index Summary'!$C$7))</f>
        <v/>
      </c>
      <c r="F136" s="113">
        <f>IF(F$13="","",IF($B136="","",IFERROR($C136*$D136*SUMIFS('Dvd Calendar'!$E$248:$CZ$248,'Dvd Calendar'!$E$247:$CZ$247,"&gt;"&amp;F$12,'Dvd Calendar'!$E$247:$CZ$247,"&lt;="&amp;F$13)/AS51!$B$3,"")))</f>
        <v/>
      </c>
      <c r="G136" s="113">
        <f>IF(G$13="","",IF($B136="","",IFERROR($C136*$D136*SUMIFS('Dvd Calendar'!$E$248:$CZ$248,'Dvd Calendar'!$E$247:$CZ$247,"&gt;"&amp;G$12,'Dvd Calendar'!$E$247:$CZ$247,"&lt;="&amp;G$13)/AS51!$B$3,"")))</f>
        <v/>
      </c>
      <c r="H136" s="113">
        <f>IF(H$13="","",IF($B136="","",IFERROR($C136*$D136*SUMIFS('Dvd Calendar'!$E$248:$CZ$248,'Dvd Calendar'!$E$247:$CZ$247,"&gt;"&amp;H$12,'Dvd Calendar'!$E$247:$CZ$247,"&lt;="&amp;H$13)/AS51!$B$3,"")))</f>
        <v/>
      </c>
      <c r="I136" s="113">
        <f>IF(I$13="","",IF($B136="","",IFERROR($C136*$D136*SUMIFS('Dvd Calendar'!$E$248:$CZ$248,'Dvd Calendar'!$E$247:$CZ$247,"&gt;"&amp;I$12,'Dvd Calendar'!$E$247:$CZ$247,"&lt;="&amp;I$13)/AS51!$B$3,"")))</f>
        <v/>
      </c>
      <c r="J136" s="113">
        <f>IF(J$13="","",IF($B136="","",IFERROR($C136*$D136*SUMIFS('Dvd Calendar'!$E$248:$CZ$248,'Dvd Calendar'!$E$247:$CZ$247,"&gt;"&amp;J$12,'Dvd Calendar'!$E$247:$CZ$247,"&lt;="&amp;J$13)/AS51!$B$3,"")))</f>
        <v/>
      </c>
      <c r="K136" s="113">
        <f>IF(K$13="","",IF($B136="","",IFERROR($C136*$D136*SUMIFS('Dvd Calendar'!$E$248:$CZ$248,'Dvd Calendar'!$E$247:$CZ$247,"&gt;"&amp;K$12,'Dvd Calendar'!$E$247:$CZ$247,"&lt;="&amp;K$13)/AS51!$B$3,"")))</f>
        <v/>
      </c>
      <c r="L136" s="113">
        <f>IF(L$13="","",IF($B136="","",IFERROR($C136*$D136*SUMIFS('Dvd Calendar'!$E$248:$CZ$248,'Dvd Calendar'!$E$247:$CZ$247,"&gt;"&amp;L$12,'Dvd Calendar'!$E$247:$CZ$247,"&lt;="&amp;L$13)/AS51!$B$3,"")))</f>
        <v/>
      </c>
      <c r="M136" s="113">
        <f>IF(M$13="","",IF($B136="","",IFERROR($C136*$D136*SUMIFS('Dvd Calendar'!$E$248:$CZ$248,'Dvd Calendar'!$E$247:$CZ$247,"&gt;"&amp;M$12,'Dvd Calendar'!$E$247:$CZ$247,"&lt;="&amp;M$13)/AS51!$B$3,"")))</f>
        <v/>
      </c>
      <c r="N136" s="113">
        <f>IF(N$13="","",IF($B136="","",IFERROR($C136*$D136*SUMIFS('Dvd Calendar'!$E$248:$CZ$248,'Dvd Calendar'!$E$247:$CZ$247,"&gt;"&amp;N$12,'Dvd Calendar'!$E$247:$CZ$247,"&lt;="&amp;N$13)/AS51!$B$3,"")))</f>
        <v/>
      </c>
      <c r="O136" s="113">
        <f>IF(O$13="","",IF($B136="","",IFERROR($C136*$D136*SUMIFS('Dvd Calendar'!$E$248:$CZ$248,'Dvd Calendar'!$E$247:$CZ$247,"&gt;"&amp;O$12,'Dvd Calendar'!$E$247:$CZ$247,"&lt;="&amp;O$13)/AS51!$B$3,"")))</f>
        <v/>
      </c>
      <c r="P136" s="113">
        <f>IF(P$13="","",IF($B136="","",IFERROR($C136*$D136*SUMIFS('Dvd Calendar'!$E$248:$CZ$248,'Dvd Calendar'!$E$247:$CZ$247,"&gt;"&amp;P$12,'Dvd Calendar'!$E$247:$CZ$247,"&lt;="&amp;P$13)/AS51!$B$3,"")))</f>
        <v/>
      </c>
      <c r="Q136" s="113">
        <f>IF(Q$13="","",IF($B136="","",IFERROR($C136*$D136*SUMIFS('Dvd Calendar'!$E$248:$CZ$248,'Dvd Calendar'!$E$247:$CZ$247,"&gt;"&amp;Q$12,'Dvd Calendar'!$E$247:$CZ$247,"&lt;="&amp;Q$13)/AS51!$B$3,"")))</f>
        <v/>
      </c>
      <c r="R136" s="113">
        <f>IF(R$13="","",IF($B136="","",IFERROR($C136*$D136*SUMIFS('Dvd Calendar'!$E$248:$CZ$248,'Dvd Calendar'!$E$247:$CZ$247,"&gt;"&amp;R$12,'Dvd Calendar'!$E$247:$CZ$247,"&lt;="&amp;R$13)/AS51!$B$3,"")))</f>
        <v/>
      </c>
      <c r="S136" s="113">
        <f>IF(S$13="","",IF($B136="","",IFERROR($C136*$D136*SUMIFS('Dvd Calendar'!$E$248:$CZ$248,'Dvd Calendar'!$E$247:$CZ$247,"&gt;"&amp;S$12,'Dvd Calendar'!$E$247:$CZ$247,"&lt;="&amp;S$13)/AS51!$B$3,"")))</f>
        <v/>
      </c>
      <c r="T136" s="113">
        <f>IF(T$13="","",IF($B136="","",IFERROR($C136*$D136*SUMIFS('Dvd Calendar'!$E$248:$CZ$248,'Dvd Calendar'!$E$247:$CZ$247,"&gt;"&amp;T$12,'Dvd Calendar'!$E$247:$CZ$247,"&lt;="&amp;T$13)/AS51!$B$3,"")))</f>
        <v/>
      </c>
      <c r="U136" s="113">
        <f>IF(U$13="","",IF($B136="","",IFERROR($C136*$D136*SUMIFS('Dvd Calendar'!$E$248:$CZ$248,'Dvd Calendar'!$E$247:$CZ$247,"&gt;"&amp;U$12,'Dvd Calendar'!$E$247:$CZ$247,"&lt;="&amp;U$13)/AS51!$B$3,"")))</f>
        <v/>
      </c>
      <c r="W136" s="113">
        <f>IF(W$13="","",IF($B136="","",IFERROR(F136*$E136/100,"")))</f>
        <v/>
      </c>
      <c r="X136" s="113">
        <f>IF(X$13="","",IF($B136="","",IFERROR(G136*$E136/100,"")))</f>
        <v/>
      </c>
      <c r="Y136" s="113">
        <f>IF(Y$13="","",IF($B136="","",IFERROR(H136*$E136/100,"")))</f>
        <v/>
      </c>
      <c r="Z136" s="113">
        <f>IF(Z$13="","",IF($B136="","",IFERROR(I136*$E136/100,"")))</f>
        <v/>
      </c>
      <c r="AA136" s="113">
        <f>IF(AA$13="","",IF($B136="","",IFERROR(J136*$E136/100,"")))</f>
        <v/>
      </c>
      <c r="AB136" s="113">
        <f>IF(AB$13="","",IF($B136="","",IFERROR(K136*$E136/100,"")))</f>
        <v/>
      </c>
      <c r="AC136" s="113">
        <f>IF(AC$13="","",IF($B136="","",IFERROR(L136*$E136/100,"")))</f>
        <v/>
      </c>
      <c r="AD136" s="113">
        <f>IF(AD$13="","",IF($B136="","",IFERROR(M136*$E136/100,"")))</f>
        <v/>
      </c>
      <c r="AE136" s="113">
        <f>IF(AE$13="","",IF($B136="","",IFERROR(N136*$E136/100,"")))</f>
        <v/>
      </c>
      <c r="AF136" s="113">
        <f>IF(AF$13="","",IF($B136="","",IFERROR(O136*$E136/100,"")))</f>
        <v/>
      </c>
      <c r="AG136" s="113">
        <f>IF(AG$13="","",IF($B136="","",IFERROR(P136*$E136/100,"")))</f>
        <v/>
      </c>
      <c r="AH136" s="113">
        <f>IF(AH$13="","",IF($B136="","",IFERROR(Q136*$E136/100,"")))</f>
        <v/>
      </c>
      <c r="AI136" s="113">
        <f>IF(AI$13="","",IF($B136="","",IFERROR(R136*$E136/100,"")))</f>
        <v/>
      </c>
      <c r="AJ136" s="113">
        <f>IF(AJ$13="","",IF($B136="","",IFERROR(S136*$E136/100,"")))</f>
        <v/>
      </c>
      <c r="AK136" s="113">
        <f>IF(AK$13="","",IF($B136="","",IFERROR(T136*$E136/100,"")))</f>
        <v/>
      </c>
      <c r="AL136" s="113">
        <f>IF(AL$13="","",IF($B136="","",IFERROR(U136*$E136/100,"")))</f>
        <v/>
      </c>
    </row>
    <row r="137">
      <c r="B137" s="5">
        <f>IF(AS51!$C$127="","",AS51!$C$127)</f>
        <v/>
      </c>
      <c r="C137" s="86">
        <f>IF(AS51!$B$127="","",AS51!$B$127)</f>
        <v/>
      </c>
      <c r="D137" s="111">
        <f>IFERROR(AS51!$Q$127,1)</f>
        <v/>
      </c>
      <c r="E137" s="112">
        <f>IF($B137="","",IF(ISNUMBER(AS51!$I$127),AS51!$I$127,'Index Summary'!$C$7))</f>
        <v/>
      </c>
      <c r="F137" s="113">
        <f>IF(F$13="","",IF($B137="","",IFERROR($C137*$D137*SUMIFS('Dvd Calendar'!$E$250:$CZ$250,'Dvd Calendar'!$E$249:$CZ$249,"&gt;"&amp;F$12,'Dvd Calendar'!$E$249:$CZ$249,"&lt;="&amp;F$13)/AS51!$B$3,"")))</f>
        <v/>
      </c>
      <c r="G137" s="113">
        <f>IF(G$13="","",IF($B137="","",IFERROR($C137*$D137*SUMIFS('Dvd Calendar'!$E$250:$CZ$250,'Dvd Calendar'!$E$249:$CZ$249,"&gt;"&amp;G$12,'Dvd Calendar'!$E$249:$CZ$249,"&lt;="&amp;G$13)/AS51!$B$3,"")))</f>
        <v/>
      </c>
      <c r="H137" s="113">
        <f>IF(H$13="","",IF($B137="","",IFERROR($C137*$D137*SUMIFS('Dvd Calendar'!$E$250:$CZ$250,'Dvd Calendar'!$E$249:$CZ$249,"&gt;"&amp;H$12,'Dvd Calendar'!$E$249:$CZ$249,"&lt;="&amp;H$13)/AS51!$B$3,"")))</f>
        <v/>
      </c>
      <c r="I137" s="113">
        <f>IF(I$13="","",IF($B137="","",IFERROR($C137*$D137*SUMIFS('Dvd Calendar'!$E$250:$CZ$250,'Dvd Calendar'!$E$249:$CZ$249,"&gt;"&amp;I$12,'Dvd Calendar'!$E$249:$CZ$249,"&lt;="&amp;I$13)/AS51!$B$3,"")))</f>
        <v/>
      </c>
      <c r="J137" s="113">
        <f>IF(J$13="","",IF($B137="","",IFERROR($C137*$D137*SUMIFS('Dvd Calendar'!$E$250:$CZ$250,'Dvd Calendar'!$E$249:$CZ$249,"&gt;"&amp;J$12,'Dvd Calendar'!$E$249:$CZ$249,"&lt;="&amp;J$13)/AS51!$B$3,"")))</f>
        <v/>
      </c>
      <c r="K137" s="113">
        <f>IF(K$13="","",IF($B137="","",IFERROR($C137*$D137*SUMIFS('Dvd Calendar'!$E$250:$CZ$250,'Dvd Calendar'!$E$249:$CZ$249,"&gt;"&amp;K$12,'Dvd Calendar'!$E$249:$CZ$249,"&lt;="&amp;K$13)/AS51!$B$3,"")))</f>
        <v/>
      </c>
      <c r="L137" s="113">
        <f>IF(L$13="","",IF($B137="","",IFERROR($C137*$D137*SUMIFS('Dvd Calendar'!$E$250:$CZ$250,'Dvd Calendar'!$E$249:$CZ$249,"&gt;"&amp;L$12,'Dvd Calendar'!$E$249:$CZ$249,"&lt;="&amp;L$13)/AS51!$B$3,"")))</f>
        <v/>
      </c>
      <c r="M137" s="113">
        <f>IF(M$13="","",IF($B137="","",IFERROR($C137*$D137*SUMIFS('Dvd Calendar'!$E$250:$CZ$250,'Dvd Calendar'!$E$249:$CZ$249,"&gt;"&amp;M$12,'Dvd Calendar'!$E$249:$CZ$249,"&lt;="&amp;M$13)/AS51!$B$3,"")))</f>
        <v/>
      </c>
      <c r="N137" s="113">
        <f>IF(N$13="","",IF($B137="","",IFERROR($C137*$D137*SUMIFS('Dvd Calendar'!$E$250:$CZ$250,'Dvd Calendar'!$E$249:$CZ$249,"&gt;"&amp;N$12,'Dvd Calendar'!$E$249:$CZ$249,"&lt;="&amp;N$13)/AS51!$B$3,"")))</f>
        <v/>
      </c>
      <c r="O137" s="113">
        <f>IF(O$13="","",IF($B137="","",IFERROR($C137*$D137*SUMIFS('Dvd Calendar'!$E$250:$CZ$250,'Dvd Calendar'!$E$249:$CZ$249,"&gt;"&amp;O$12,'Dvd Calendar'!$E$249:$CZ$249,"&lt;="&amp;O$13)/AS51!$B$3,"")))</f>
        <v/>
      </c>
      <c r="P137" s="113">
        <f>IF(P$13="","",IF($B137="","",IFERROR($C137*$D137*SUMIFS('Dvd Calendar'!$E$250:$CZ$250,'Dvd Calendar'!$E$249:$CZ$249,"&gt;"&amp;P$12,'Dvd Calendar'!$E$249:$CZ$249,"&lt;="&amp;P$13)/AS51!$B$3,"")))</f>
        <v/>
      </c>
      <c r="Q137" s="113">
        <f>IF(Q$13="","",IF($B137="","",IFERROR($C137*$D137*SUMIFS('Dvd Calendar'!$E$250:$CZ$250,'Dvd Calendar'!$E$249:$CZ$249,"&gt;"&amp;Q$12,'Dvd Calendar'!$E$249:$CZ$249,"&lt;="&amp;Q$13)/AS51!$B$3,"")))</f>
        <v/>
      </c>
      <c r="R137" s="113">
        <f>IF(R$13="","",IF($B137="","",IFERROR($C137*$D137*SUMIFS('Dvd Calendar'!$E$250:$CZ$250,'Dvd Calendar'!$E$249:$CZ$249,"&gt;"&amp;R$12,'Dvd Calendar'!$E$249:$CZ$249,"&lt;="&amp;R$13)/AS51!$B$3,"")))</f>
        <v/>
      </c>
      <c r="S137" s="113">
        <f>IF(S$13="","",IF($B137="","",IFERROR($C137*$D137*SUMIFS('Dvd Calendar'!$E$250:$CZ$250,'Dvd Calendar'!$E$249:$CZ$249,"&gt;"&amp;S$12,'Dvd Calendar'!$E$249:$CZ$249,"&lt;="&amp;S$13)/AS51!$B$3,"")))</f>
        <v/>
      </c>
      <c r="T137" s="113">
        <f>IF(T$13="","",IF($B137="","",IFERROR($C137*$D137*SUMIFS('Dvd Calendar'!$E$250:$CZ$250,'Dvd Calendar'!$E$249:$CZ$249,"&gt;"&amp;T$12,'Dvd Calendar'!$E$249:$CZ$249,"&lt;="&amp;T$13)/AS51!$B$3,"")))</f>
        <v/>
      </c>
      <c r="U137" s="113">
        <f>IF(U$13="","",IF($B137="","",IFERROR($C137*$D137*SUMIFS('Dvd Calendar'!$E$250:$CZ$250,'Dvd Calendar'!$E$249:$CZ$249,"&gt;"&amp;U$12,'Dvd Calendar'!$E$249:$CZ$249,"&lt;="&amp;U$13)/AS51!$B$3,"")))</f>
        <v/>
      </c>
      <c r="W137" s="113">
        <f>IF(W$13="","",IF($B137="","",IFERROR(F137*$E137/100,"")))</f>
        <v/>
      </c>
      <c r="X137" s="113">
        <f>IF(X$13="","",IF($B137="","",IFERROR(G137*$E137/100,"")))</f>
        <v/>
      </c>
      <c r="Y137" s="113">
        <f>IF(Y$13="","",IF($B137="","",IFERROR(H137*$E137/100,"")))</f>
        <v/>
      </c>
      <c r="Z137" s="113">
        <f>IF(Z$13="","",IF($B137="","",IFERROR(I137*$E137/100,"")))</f>
        <v/>
      </c>
      <c r="AA137" s="113">
        <f>IF(AA$13="","",IF($B137="","",IFERROR(J137*$E137/100,"")))</f>
        <v/>
      </c>
      <c r="AB137" s="113">
        <f>IF(AB$13="","",IF($B137="","",IFERROR(K137*$E137/100,"")))</f>
        <v/>
      </c>
      <c r="AC137" s="113">
        <f>IF(AC$13="","",IF($B137="","",IFERROR(L137*$E137/100,"")))</f>
        <v/>
      </c>
      <c r="AD137" s="113">
        <f>IF(AD$13="","",IF($B137="","",IFERROR(M137*$E137/100,"")))</f>
        <v/>
      </c>
      <c r="AE137" s="113">
        <f>IF(AE$13="","",IF($B137="","",IFERROR(N137*$E137/100,"")))</f>
        <v/>
      </c>
      <c r="AF137" s="113">
        <f>IF(AF$13="","",IF($B137="","",IFERROR(O137*$E137/100,"")))</f>
        <v/>
      </c>
      <c r="AG137" s="113">
        <f>IF(AG$13="","",IF($B137="","",IFERROR(P137*$E137/100,"")))</f>
        <v/>
      </c>
      <c r="AH137" s="113">
        <f>IF(AH$13="","",IF($B137="","",IFERROR(Q137*$E137/100,"")))</f>
        <v/>
      </c>
      <c r="AI137" s="113">
        <f>IF(AI$13="","",IF($B137="","",IFERROR(R137*$E137/100,"")))</f>
        <v/>
      </c>
      <c r="AJ137" s="113">
        <f>IF(AJ$13="","",IF($B137="","",IFERROR(S137*$E137/100,"")))</f>
        <v/>
      </c>
      <c r="AK137" s="113">
        <f>IF(AK$13="","",IF($B137="","",IFERROR(T137*$E137/100,"")))</f>
        <v/>
      </c>
      <c r="AL137" s="113">
        <f>IF(AL$13="","",IF($B137="","",IFERROR(U137*$E137/100,"")))</f>
        <v/>
      </c>
    </row>
    <row r="138">
      <c r="B138" s="5">
        <f>IF(AS51!$C$128="","",AS51!$C$128)</f>
        <v/>
      </c>
      <c r="C138" s="86">
        <f>IF(AS51!$B$128="","",AS51!$B$128)</f>
        <v/>
      </c>
      <c r="D138" s="111">
        <f>IFERROR(AS51!$Q$128,1)</f>
        <v/>
      </c>
      <c r="E138" s="112">
        <f>IF($B138="","",IF(ISNUMBER(AS51!$I$128),AS51!$I$128,'Index Summary'!$C$7))</f>
        <v/>
      </c>
      <c r="F138" s="113">
        <f>IF(F$13="","",IF($B138="","",IFERROR($C138*$D138*SUMIFS('Dvd Calendar'!$E$252:$CZ$252,'Dvd Calendar'!$E$251:$CZ$251,"&gt;"&amp;F$12,'Dvd Calendar'!$E$251:$CZ$251,"&lt;="&amp;F$13)/AS51!$B$3,"")))</f>
        <v/>
      </c>
      <c r="G138" s="113">
        <f>IF(G$13="","",IF($B138="","",IFERROR($C138*$D138*SUMIFS('Dvd Calendar'!$E$252:$CZ$252,'Dvd Calendar'!$E$251:$CZ$251,"&gt;"&amp;G$12,'Dvd Calendar'!$E$251:$CZ$251,"&lt;="&amp;G$13)/AS51!$B$3,"")))</f>
        <v/>
      </c>
      <c r="H138" s="113">
        <f>IF(H$13="","",IF($B138="","",IFERROR($C138*$D138*SUMIFS('Dvd Calendar'!$E$252:$CZ$252,'Dvd Calendar'!$E$251:$CZ$251,"&gt;"&amp;H$12,'Dvd Calendar'!$E$251:$CZ$251,"&lt;="&amp;H$13)/AS51!$B$3,"")))</f>
        <v/>
      </c>
      <c r="I138" s="113">
        <f>IF(I$13="","",IF($B138="","",IFERROR($C138*$D138*SUMIFS('Dvd Calendar'!$E$252:$CZ$252,'Dvd Calendar'!$E$251:$CZ$251,"&gt;"&amp;I$12,'Dvd Calendar'!$E$251:$CZ$251,"&lt;="&amp;I$13)/AS51!$B$3,"")))</f>
        <v/>
      </c>
      <c r="J138" s="113">
        <f>IF(J$13="","",IF($B138="","",IFERROR($C138*$D138*SUMIFS('Dvd Calendar'!$E$252:$CZ$252,'Dvd Calendar'!$E$251:$CZ$251,"&gt;"&amp;J$12,'Dvd Calendar'!$E$251:$CZ$251,"&lt;="&amp;J$13)/AS51!$B$3,"")))</f>
        <v/>
      </c>
      <c r="K138" s="113">
        <f>IF(K$13="","",IF($B138="","",IFERROR($C138*$D138*SUMIFS('Dvd Calendar'!$E$252:$CZ$252,'Dvd Calendar'!$E$251:$CZ$251,"&gt;"&amp;K$12,'Dvd Calendar'!$E$251:$CZ$251,"&lt;="&amp;K$13)/AS51!$B$3,"")))</f>
        <v/>
      </c>
      <c r="L138" s="113">
        <f>IF(L$13="","",IF($B138="","",IFERROR($C138*$D138*SUMIFS('Dvd Calendar'!$E$252:$CZ$252,'Dvd Calendar'!$E$251:$CZ$251,"&gt;"&amp;L$12,'Dvd Calendar'!$E$251:$CZ$251,"&lt;="&amp;L$13)/AS51!$B$3,"")))</f>
        <v/>
      </c>
      <c r="M138" s="113">
        <f>IF(M$13="","",IF($B138="","",IFERROR($C138*$D138*SUMIFS('Dvd Calendar'!$E$252:$CZ$252,'Dvd Calendar'!$E$251:$CZ$251,"&gt;"&amp;M$12,'Dvd Calendar'!$E$251:$CZ$251,"&lt;="&amp;M$13)/AS51!$B$3,"")))</f>
        <v/>
      </c>
      <c r="N138" s="113">
        <f>IF(N$13="","",IF($B138="","",IFERROR($C138*$D138*SUMIFS('Dvd Calendar'!$E$252:$CZ$252,'Dvd Calendar'!$E$251:$CZ$251,"&gt;"&amp;N$12,'Dvd Calendar'!$E$251:$CZ$251,"&lt;="&amp;N$13)/AS51!$B$3,"")))</f>
        <v/>
      </c>
      <c r="O138" s="113">
        <f>IF(O$13="","",IF($B138="","",IFERROR($C138*$D138*SUMIFS('Dvd Calendar'!$E$252:$CZ$252,'Dvd Calendar'!$E$251:$CZ$251,"&gt;"&amp;O$12,'Dvd Calendar'!$E$251:$CZ$251,"&lt;="&amp;O$13)/AS51!$B$3,"")))</f>
        <v/>
      </c>
      <c r="P138" s="113">
        <f>IF(P$13="","",IF($B138="","",IFERROR($C138*$D138*SUMIFS('Dvd Calendar'!$E$252:$CZ$252,'Dvd Calendar'!$E$251:$CZ$251,"&gt;"&amp;P$12,'Dvd Calendar'!$E$251:$CZ$251,"&lt;="&amp;P$13)/AS51!$B$3,"")))</f>
        <v/>
      </c>
      <c r="Q138" s="113">
        <f>IF(Q$13="","",IF($B138="","",IFERROR($C138*$D138*SUMIFS('Dvd Calendar'!$E$252:$CZ$252,'Dvd Calendar'!$E$251:$CZ$251,"&gt;"&amp;Q$12,'Dvd Calendar'!$E$251:$CZ$251,"&lt;="&amp;Q$13)/AS51!$B$3,"")))</f>
        <v/>
      </c>
      <c r="R138" s="113">
        <f>IF(R$13="","",IF($B138="","",IFERROR($C138*$D138*SUMIFS('Dvd Calendar'!$E$252:$CZ$252,'Dvd Calendar'!$E$251:$CZ$251,"&gt;"&amp;R$12,'Dvd Calendar'!$E$251:$CZ$251,"&lt;="&amp;R$13)/AS51!$B$3,"")))</f>
        <v/>
      </c>
      <c r="S138" s="113">
        <f>IF(S$13="","",IF($B138="","",IFERROR($C138*$D138*SUMIFS('Dvd Calendar'!$E$252:$CZ$252,'Dvd Calendar'!$E$251:$CZ$251,"&gt;"&amp;S$12,'Dvd Calendar'!$E$251:$CZ$251,"&lt;="&amp;S$13)/AS51!$B$3,"")))</f>
        <v/>
      </c>
      <c r="T138" s="113">
        <f>IF(T$13="","",IF($B138="","",IFERROR($C138*$D138*SUMIFS('Dvd Calendar'!$E$252:$CZ$252,'Dvd Calendar'!$E$251:$CZ$251,"&gt;"&amp;T$12,'Dvd Calendar'!$E$251:$CZ$251,"&lt;="&amp;T$13)/AS51!$B$3,"")))</f>
        <v/>
      </c>
      <c r="U138" s="113">
        <f>IF(U$13="","",IF($B138="","",IFERROR($C138*$D138*SUMIFS('Dvd Calendar'!$E$252:$CZ$252,'Dvd Calendar'!$E$251:$CZ$251,"&gt;"&amp;U$12,'Dvd Calendar'!$E$251:$CZ$251,"&lt;="&amp;U$13)/AS51!$B$3,"")))</f>
        <v/>
      </c>
      <c r="W138" s="113">
        <f>IF(W$13="","",IF($B138="","",IFERROR(F138*$E138/100,"")))</f>
        <v/>
      </c>
      <c r="X138" s="113">
        <f>IF(X$13="","",IF($B138="","",IFERROR(G138*$E138/100,"")))</f>
        <v/>
      </c>
      <c r="Y138" s="113">
        <f>IF(Y$13="","",IF($B138="","",IFERROR(H138*$E138/100,"")))</f>
        <v/>
      </c>
      <c r="Z138" s="113">
        <f>IF(Z$13="","",IF($B138="","",IFERROR(I138*$E138/100,"")))</f>
        <v/>
      </c>
      <c r="AA138" s="113">
        <f>IF(AA$13="","",IF($B138="","",IFERROR(J138*$E138/100,"")))</f>
        <v/>
      </c>
      <c r="AB138" s="113">
        <f>IF(AB$13="","",IF($B138="","",IFERROR(K138*$E138/100,"")))</f>
        <v/>
      </c>
      <c r="AC138" s="113">
        <f>IF(AC$13="","",IF($B138="","",IFERROR(L138*$E138/100,"")))</f>
        <v/>
      </c>
      <c r="AD138" s="113">
        <f>IF(AD$13="","",IF($B138="","",IFERROR(M138*$E138/100,"")))</f>
        <v/>
      </c>
      <c r="AE138" s="113">
        <f>IF(AE$13="","",IF($B138="","",IFERROR(N138*$E138/100,"")))</f>
        <v/>
      </c>
      <c r="AF138" s="113">
        <f>IF(AF$13="","",IF($B138="","",IFERROR(O138*$E138/100,"")))</f>
        <v/>
      </c>
      <c r="AG138" s="113">
        <f>IF(AG$13="","",IF($B138="","",IFERROR(P138*$E138/100,"")))</f>
        <v/>
      </c>
      <c r="AH138" s="113">
        <f>IF(AH$13="","",IF($B138="","",IFERROR(Q138*$E138/100,"")))</f>
        <v/>
      </c>
      <c r="AI138" s="113">
        <f>IF(AI$13="","",IF($B138="","",IFERROR(R138*$E138/100,"")))</f>
        <v/>
      </c>
      <c r="AJ138" s="113">
        <f>IF(AJ$13="","",IF($B138="","",IFERROR(S138*$E138/100,"")))</f>
        <v/>
      </c>
      <c r="AK138" s="113">
        <f>IF(AK$13="","",IF($B138="","",IFERROR(T138*$E138/100,"")))</f>
        <v/>
      </c>
      <c r="AL138" s="113">
        <f>IF(AL$13="","",IF($B138="","",IFERROR(U138*$E138/100,"")))</f>
        <v/>
      </c>
    </row>
    <row r="139">
      <c r="B139" s="5">
        <f>IF(AS51!$C$129="","",AS51!$C$129)</f>
        <v/>
      </c>
      <c r="C139" s="86">
        <f>IF(AS51!$B$129="","",AS51!$B$129)</f>
        <v/>
      </c>
      <c r="D139" s="111">
        <f>IFERROR(AS51!$Q$129,1)</f>
        <v/>
      </c>
      <c r="E139" s="112">
        <f>IF($B139="","",IF(ISNUMBER(AS51!$I$129),AS51!$I$129,'Index Summary'!$C$7))</f>
        <v/>
      </c>
      <c r="F139" s="113">
        <f>IF(F$13="","",IF($B139="","",IFERROR($C139*$D139*SUMIFS('Dvd Calendar'!$E$254:$CZ$254,'Dvd Calendar'!$E$253:$CZ$253,"&gt;"&amp;F$12,'Dvd Calendar'!$E$253:$CZ$253,"&lt;="&amp;F$13)/AS51!$B$3,"")))</f>
        <v/>
      </c>
      <c r="G139" s="113">
        <f>IF(G$13="","",IF($B139="","",IFERROR($C139*$D139*SUMIFS('Dvd Calendar'!$E$254:$CZ$254,'Dvd Calendar'!$E$253:$CZ$253,"&gt;"&amp;G$12,'Dvd Calendar'!$E$253:$CZ$253,"&lt;="&amp;G$13)/AS51!$B$3,"")))</f>
        <v/>
      </c>
      <c r="H139" s="113">
        <f>IF(H$13="","",IF($B139="","",IFERROR($C139*$D139*SUMIFS('Dvd Calendar'!$E$254:$CZ$254,'Dvd Calendar'!$E$253:$CZ$253,"&gt;"&amp;H$12,'Dvd Calendar'!$E$253:$CZ$253,"&lt;="&amp;H$13)/AS51!$B$3,"")))</f>
        <v/>
      </c>
      <c r="I139" s="113">
        <f>IF(I$13="","",IF($B139="","",IFERROR($C139*$D139*SUMIFS('Dvd Calendar'!$E$254:$CZ$254,'Dvd Calendar'!$E$253:$CZ$253,"&gt;"&amp;I$12,'Dvd Calendar'!$E$253:$CZ$253,"&lt;="&amp;I$13)/AS51!$B$3,"")))</f>
        <v/>
      </c>
      <c r="J139" s="113">
        <f>IF(J$13="","",IF($B139="","",IFERROR($C139*$D139*SUMIFS('Dvd Calendar'!$E$254:$CZ$254,'Dvd Calendar'!$E$253:$CZ$253,"&gt;"&amp;J$12,'Dvd Calendar'!$E$253:$CZ$253,"&lt;="&amp;J$13)/AS51!$B$3,"")))</f>
        <v/>
      </c>
      <c r="K139" s="113">
        <f>IF(K$13="","",IF($B139="","",IFERROR($C139*$D139*SUMIFS('Dvd Calendar'!$E$254:$CZ$254,'Dvd Calendar'!$E$253:$CZ$253,"&gt;"&amp;K$12,'Dvd Calendar'!$E$253:$CZ$253,"&lt;="&amp;K$13)/AS51!$B$3,"")))</f>
        <v/>
      </c>
      <c r="L139" s="113">
        <f>IF(L$13="","",IF($B139="","",IFERROR($C139*$D139*SUMIFS('Dvd Calendar'!$E$254:$CZ$254,'Dvd Calendar'!$E$253:$CZ$253,"&gt;"&amp;L$12,'Dvd Calendar'!$E$253:$CZ$253,"&lt;="&amp;L$13)/AS51!$B$3,"")))</f>
        <v/>
      </c>
      <c r="M139" s="113">
        <f>IF(M$13="","",IF($B139="","",IFERROR($C139*$D139*SUMIFS('Dvd Calendar'!$E$254:$CZ$254,'Dvd Calendar'!$E$253:$CZ$253,"&gt;"&amp;M$12,'Dvd Calendar'!$E$253:$CZ$253,"&lt;="&amp;M$13)/AS51!$B$3,"")))</f>
        <v/>
      </c>
      <c r="N139" s="113">
        <f>IF(N$13="","",IF($B139="","",IFERROR($C139*$D139*SUMIFS('Dvd Calendar'!$E$254:$CZ$254,'Dvd Calendar'!$E$253:$CZ$253,"&gt;"&amp;N$12,'Dvd Calendar'!$E$253:$CZ$253,"&lt;="&amp;N$13)/AS51!$B$3,"")))</f>
        <v/>
      </c>
      <c r="O139" s="113">
        <f>IF(O$13="","",IF($B139="","",IFERROR($C139*$D139*SUMIFS('Dvd Calendar'!$E$254:$CZ$254,'Dvd Calendar'!$E$253:$CZ$253,"&gt;"&amp;O$12,'Dvd Calendar'!$E$253:$CZ$253,"&lt;="&amp;O$13)/AS51!$B$3,"")))</f>
        <v/>
      </c>
      <c r="P139" s="113">
        <f>IF(P$13="","",IF($B139="","",IFERROR($C139*$D139*SUMIFS('Dvd Calendar'!$E$254:$CZ$254,'Dvd Calendar'!$E$253:$CZ$253,"&gt;"&amp;P$12,'Dvd Calendar'!$E$253:$CZ$253,"&lt;="&amp;P$13)/AS51!$B$3,"")))</f>
        <v/>
      </c>
      <c r="Q139" s="113">
        <f>IF(Q$13="","",IF($B139="","",IFERROR($C139*$D139*SUMIFS('Dvd Calendar'!$E$254:$CZ$254,'Dvd Calendar'!$E$253:$CZ$253,"&gt;"&amp;Q$12,'Dvd Calendar'!$E$253:$CZ$253,"&lt;="&amp;Q$13)/AS51!$B$3,"")))</f>
        <v/>
      </c>
      <c r="R139" s="113">
        <f>IF(R$13="","",IF($B139="","",IFERROR($C139*$D139*SUMIFS('Dvd Calendar'!$E$254:$CZ$254,'Dvd Calendar'!$E$253:$CZ$253,"&gt;"&amp;R$12,'Dvd Calendar'!$E$253:$CZ$253,"&lt;="&amp;R$13)/AS51!$B$3,"")))</f>
        <v/>
      </c>
      <c r="S139" s="113">
        <f>IF(S$13="","",IF($B139="","",IFERROR($C139*$D139*SUMIFS('Dvd Calendar'!$E$254:$CZ$254,'Dvd Calendar'!$E$253:$CZ$253,"&gt;"&amp;S$12,'Dvd Calendar'!$E$253:$CZ$253,"&lt;="&amp;S$13)/AS51!$B$3,"")))</f>
        <v/>
      </c>
      <c r="T139" s="113">
        <f>IF(T$13="","",IF($B139="","",IFERROR($C139*$D139*SUMIFS('Dvd Calendar'!$E$254:$CZ$254,'Dvd Calendar'!$E$253:$CZ$253,"&gt;"&amp;T$12,'Dvd Calendar'!$E$253:$CZ$253,"&lt;="&amp;T$13)/AS51!$B$3,"")))</f>
        <v/>
      </c>
      <c r="U139" s="113">
        <f>IF(U$13="","",IF($B139="","",IFERROR($C139*$D139*SUMIFS('Dvd Calendar'!$E$254:$CZ$254,'Dvd Calendar'!$E$253:$CZ$253,"&gt;"&amp;U$12,'Dvd Calendar'!$E$253:$CZ$253,"&lt;="&amp;U$13)/AS51!$B$3,"")))</f>
        <v/>
      </c>
      <c r="W139" s="113">
        <f>IF(W$13="","",IF($B139="","",IFERROR(F139*$E139/100,"")))</f>
        <v/>
      </c>
      <c r="X139" s="113">
        <f>IF(X$13="","",IF($B139="","",IFERROR(G139*$E139/100,"")))</f>
        <v/>
      </c>
      <c r="Y139" s="113">
        <f>IF(Y$13="","",IF($B139="","",IFERROR(H139*$E139/100,"")))</f>
        <v/>
      </c>
      <c r="Z139" s="113">
        <f>IF(Z$13="","",IF($B139="","",IFERROR(I139*$E139/100,"")))</f>
        <v/>
      </c>
      <c r="AA139" s="113">
        <f>IF(AA$13="","",IF($B139="","",IFERROR(J139*$E139/100,"")))</f>
        <v/>
      </c>
      <c r="AB139" s="113">
        <f>IF(AB$13="","",IF($B139="","",IFERROR(K139*$E139/100,"")))</f>
        <v/>
      </c>
      <c r="AC139" s="113">
        <f>IF(AC$13="","",IF($B139="","",IFERROR(L139*$E139/100,"")))</f>
        <v/>
      </c>
      <c r="AD139" s="113">
        <f>IF(AD$13="","",IF($B139="","",IFERROR(M139*$E139/100,"")))</f>
        <v/>
      </c>
      <c r="AE139" s="113">
        <f>IF(AE$13="","",IF($B139="","",IFERROR(N139*$E139/100,"")))</f>
        <v/>
      </c>
      <c r="AF139" s="113">
        <f>IF(AF$13="","",IF($B139="","",IFERROR(O139*$E139/100,"")))</f>
        <v/>
      </c>
      <c r="AG139" s="113">
        <f>IF(AG$13="","",IF($B139="","",IFERROR(P139*$E139/100,"")))</f>
        <v/>
      </c>
      <c r="AH139" s="113">
        <f>IF(AH$13="","",IF($B139="","",IFERROR(Q139*$E139/100,"")))</f>
        <v/>
      </c>
      <c r="AI139" s="113">
        <f>IF(AI$13="","",IF($B139="","",IFERROR(R139*$E139/100,"")))</f>
        <v/>
      </c>
      <c r="AJ139" s="113">
        <f>IF(AJ$13="","",IF($B139="","",IFERROR(S139*$E139/100,"")))</f>
        <v/>
      </c>
      <c r="AK139" s="113">
        <f>IF(AK$13="","",IF($B139="","",IFERROR(T139*$E139/100,"")))</f>
        <v/>
      </c>
      <c r="AL139" s="113">
        <f>IF(AL$13="","",IF($B139="","",IFERROR(U139*$E139/100,"")))</f>
        <v/>
      </c>
    </row>
    <row r="140">
      <c r="B140" s="5">
        <f>IF(AS51!$C$130="","",AS51!$C$130)</f>
        <v/>
      </c>
      <c r="C140" s="86">
        <f>IF(AS51!$B$130="","",AS51!$B$130)</f>
        <v/>
      </c>
      <c r="D140" s="111">
        <f>IFERROR(AS51!$Q$130,1)</f>
        <v/>
      </c>
      <c r="E140" s="112">
        <f>IF($B140="","",IF(ISNUMBER(AS51!$I$130),AS51!$I$130,'Index Summary'!$C$7))</f>
        <v/>
      </c>
      <c r="F140" s="113">
        <f>IF(F$13="","",IF($B140="","",IFERROR($C140*$D140*SUMIFS('Dvd Calendar'!$E$256:$CZ$256,'Dvd Calendar'!$E$255:$CZ$255,"&gt;"&amp;F$12,'Dvd Calendar'!$E$255:$CZ$255,"&lt;="&amp;F$13)/AS51!$B$3,"")))</f>
        <v/>
      </c>
      <c r="G140" s="113">
        <f>IF(G$13="","",IF($B140="","",IFERROR($C140*$D140*SUMIFS('Dvd Calendar'!$E$256:$CZ$256,'Dvd Calendar'!$E$255:$CZ$255,"&gt;"&amp;G$12,'Dvd Calendar'!$E$255:$CZ$255,"&lt;="&amp;G$13)/AS51!$B$3,"")))</f>
        <v/>
      </c>
      <c r="H140" s="113">
        <f>IF(H$13="","",IF($B140="","",IFERROR($C140*$D140*SUMIFS('Dvd Calendar'!$E$256:$CZ$256,'Dvd Calendar'!$E$255:$CZ$255,"&gt;"&amp;H$12,'Dvd Calendar'!$E$255:$CZ$255,"&lt;="&amp;H$13)/AS51!$B$3,"")))</f>
        <v/>
      </c>
      <c r="I140" s="113">
        <f>IF(I$13="","",IF($B140="","",IFERROR($C140*$D140*SUMIFS('Dvd Calendar'!$E$256:$CZ$256,'Dvd Calendar'!$E$255:$CZ$255,"&gt;"&amp;I$12,'Dvd Calendar'!$E$255:$CZ$255,"&lt;="&amp;I$13)/AS51!$B$3,"")))</f>
        <v/>
      </c>
      <c r="J140" s="113">
        <f>IF(J$13="","",IF($B140="","",IFERROR($C140*$D140*SUMIFS('Dvd Calendar'!$E$256:$CZ$256,'Dvd Calendar'!$E$255:$CZ$255,"&gt;"&amp;J$12,'Dvd Calendar'!$E$255:$CZ$255,"&lt;="&amp;J$13)/AS51!$B$3,"")))</f>
        <v/>
      </c>
      <c r="K140" s="113">
        <f>IF(K$13="","",IF($B140="","",IFERROR($C140*$D140*SUMIFS('Dvd Calendar'!$E$256:$CZ$256,'Dvd Calendar'!$E$255:$CZ$255,"&gt;"&amp;K$12,'Dvd Calendar'!$E$255:$CZ$255,"&lt;="&amp;K$13)/AS51!$B$3,"")))</f>
        <v/>
      </c>
      <c r="L140" s="113">
        <f>IF(L$13="","",IF($B140="","",IFERROR($C140*$D140*SUMIFS('Dvd Calendar'!$E$256:$CZ$256,'Dvd Calendar'!$E$255:$CZ$255,"&gt;"&amp;L$12,'Dvd Calendar'!$E$255:$CZ$255,"&lt;="&amp;L$13)/AS51!$B$3,"")))</f>
        <v/>
      </c>
      <c r="M140" s="113">
        <f>IF(M$13="","",IF($B140="","",IFERROR($C140*$D140*SUMIFS('Dvd Calendar'!$E$256:$CZ$256,'Dvd Calendar'!$E$255:$CZ$255,"&gt;"&amp;M$12,'Dvd Calendar'!$E$255:$CZ$255,"&lt;="&amp;M$13)/AS51!$B$3,"")))</f>
        <v/>
      </c>
      <c r="N140" s="113">
        <f>IF(N$13="","",IF($B140="","",IFERROR($C140*$D140*SUMIFS('Dvd Calendar'!$E$256:$CZ$256,'Dvd Calendar'!$E$255:$CZ$255,"&gt;"&amp;N$12,'Dvd Calendar'!$E$255:$CZ$255,"&lt;="&amp;N$13)/AS51!$B$3,"")))</f>
        <v/>
      </c>
      <c r="O140" s="113">
        <f>IF(O$13="","",IF($B140="","",IFERROR($C140*$D140*SUMIFS('Dvd Calendar'!$E$256:$CZ$256,'Dvd Calendar'!$E$255:$CZ$255,"&gt;"&amp;O$12,'Dvd Calendar'!$E$255:$CZ$255,"&lt;="&amp;O$13)/AS51!$B$3,"")))</f>
        <v/>
      </c>
      <c r="P140" s="113">
        <f>IF(P$13="","",IF($B140="","",IFERROR($C140*$D140*SUMIFS('Dvd Calendar'!$E$256:$CZ$256,'Dvd Calendar'!$E$255:$CZ$255,"&gt;"&amp;P$12,'Dvd Calendar'!$E$255:$CZ$255,"&lt;="&amp;P$13)/AS51!$B$3,"")))</f>
        <v/>
      </c>
      <c r="Q140" s="113">
        <f>IF(Q$13="","",IF($B140="","",IFERROR($C140*$D140*SUMIFS('Dvd Calendar'!$E$256:$CZ$256,'Dvd Calendar'!$E$255:$CZ$255,"&gt;"&amp;Q$12,'Dvd Calendar'!$E$255:$CZ$255,"&lt;="&amp;Q$13)/AS51!$B$3,"")))</f>
        <v/>
      </c>
      <c r="R140" s="113">
        <f>IF(R$13="","",IF($B140="","",IFERROR($C140*$D140*SUMIFS('Dvd Calendar'!$E$256:$CZ$256,'Dvd Calendar'!$E$255:$CZ$255,"&gt;"&amp;R$12,'Dvd Calendar'!$E$255:$CZ$255,"&lt;="&amp;R$13)/AS51!$B$3,"")))</f>
        <v/>
      </c>
      <c r="S140" s="113">
        <f>IF(S$13="","",IF($B140="","",IFERROR($C140*$D140*SUMIFS('Dvd Calendar'!$E$256:$CZ$256,'Dvd Calendar'!$E$255:$CZ$255,"&gt;"&amp;S$12,'Dvd Calendar'!$E$255:$CZ$255,"&lt;="&amp;S$13)/AS51!$B$3,"")))</f>
        <v/>
      </c>
      <c r="T140" s="113">
        <f>IF(T$13="","",IF($B140="","",IFERROR($C140*$D140*SUMIFS('Dvd Calendar'!$E$256:$CZ$256,'Dvd Calendar'!$E$255:$CZ$255,"&gt;"&amp;T$12,'Dvd Calendar'!$E$255:$CZ$255,"&lt;="&amp;T$13)/AS51!$B$3,"")))</f>
        <v/>
      </c>
      <c r="U140" s="113">
        <f>IF(U$13="","",IF($B140="","",IFERROR($C140*$D140*SUMIFS('Dvd Calendar'!$E$256:$CZ$256,'Dvd Calendar'!$E$255:$CZ$255,"&gt;"&amp;U$12,'Dvd Calendar'!$E$255:$CZ$255,"&lt;="&amp;U$13)/AS51!$B$3,"")))</f>
        <v/>
      </c>
      <c r="W140" s="113">
        <f>IF(W$13="","",IF($B140="","",IFERROR(F140*$E140/100,"")))</f>
        <v/>
      </c>
      <c r="X140" s="113">
        <f>IF(X$13="","",IF($B140="","",IFERROR(G140*$E140/100,"")))</f>
        <v/>
      </c>
      <c r="Y140" s="113">
        <f>IF(Y$13="","",IF($B140="","",IFERROR(H140*$E140/100,"")))</f>
        <v/>
      </c>
      <c r="Z140" s="113">
        <f>IF(Z$13="","",IF($B140="","",IFERROR(I140*$E140/100,"")))</f>
        <v/>
      </c>
      <c r="AA140" s="113">
        <f>IF(AA$13="","",IF($B140="","",IFERROR(J140*$E140/100,"")))</f>
        <v/>
      </c>
      <c r="AB140" s="113">
        <f>IF(AB$13="","",IF($B140="","",IFERROR(K140*$E140/100,"")))</f>
        <v/>
      </c>
      <c r="AC140" s="113">
        <f>IF(AC$13="","",IF($B140="","",IFERROR(L140*$E140/100,"")))</f>
        <v/>
      </c>
      <c r="AD140" s="113">
        <f>IF(AD$13="","",IF($B140="","",IFERROR(M140*$E140/100,"")))</f>
        <v/>
      </c>
      <c r="AE140" s="113">
        <f>IF(AE$13="","",IF($B140="","",IFERROR(N140*$E140/100,"")))</f>
        <v/>
      </c>
      <c r="AF140" s="113">
        <f>IF(AF$13="","",IF($B140="","",IFERROR(O140*$E140/100,"")))</f>
        <v/>
      </c>
      <c r="AG140" s="113">
        <f>IF(AG$13="","",IF($B140="","",IFERROR(P140*$E140/100,"")))</f>
        <v/>
      </c>
      <c r="AH140" s="113">
        <f>IF(AH$13="","",IF($B140="","",IFERROR(Q140*$E140/100,"")))</f>
        <v/>
      </c>
      <c r="AI140" s="113">
        <f>IF(AI$13="","",IF($B140="","",IFERROR(R140*$E140/100,"")))</f>
        <v/>
      </c>
      <c r="AJ140" s="113">
        <f>IF(AJ$13="","",IF($B140="","",IFERROR(S140*$E140/100,"")))</f>
        <v/>
      </c>
      <c r="AK140" s="113">
        <f>IF(AK$13="","",IF($B140="","",IFERROR(T140*$E140/100,"")))</f>
        <v/>
      </c>
      <c r="AL140" s="113">
        <f>IF(AL$13="","",IF($B140="","",IFERROR(U140*$E140/100,"")))</f>
        <v/>
      </c>
    </row>
    <row r="141">
      <c r="B141" s="5">
        <f>IF(AS51!$C$131="","",AS51!$C$131)</f>
        <v/>
      </c>
      <c r="C141" s="86">
        <f>IF(AS51!$B$131="","",AS51!$B$131)</f>
        <v/>
      </c>
      <c r="D141" s="111">
        <f>IFERROR(AS51!$Q$131,1)</f>
        <v/>
      </c>
      <c r="E141" s="112">
        <f>IF($B141="","",IF(ISNUMBER(AS51!$I$131),AS51!$I$131,'Index Summary'!$C$7))</f>
        <v/>
      </c>
      <c r="F141" s="113">
        <f>IF(F$13="","",IF($B141="","",IFERROR($C141*$D141*SUMIFS('Dvd Calendar'!$E$258:$CZ$258,'Dvd Calendar'!$E$257:$CZ$257,"&gt;"&amp;F$12,'Dvd Calendar'!$E$257:$CZ$257,"&lt;="&amp;F$13)/AS51!$B$3,"")))</f>
        <v/>
      </c>
      <c r="G141" s="113">
        <f>IF(G$13="","",IF($B141="","",IFERROR($C141*$D141*SUMIFS('Dvd Calendar'!$E$258:$CZ$258,'Dvd Calendar'!$E$257:$CZ$257,"&gt;"&amp;G$12,'Dvd Calendar'!$E$257:$CZ$257,"&lt;="&amp;G$13)/AS51!$B$3,"")))</f>
        <v/>
      </c>
      <c r="H141" s="113">
        <f>IF(H$13="","",IF($B141="","",IFERROR($C141*$D141*SUMIFS('Dvd Calendar'!$E$258:$CZ$258,'Dvd Calendar'!$E$257:$CZ$257,"&gt;"&amp;H$12,'Dvd Calendar'!$E$257:$CZ$257,"&lt;="&amp;H$13)/AS51!$B$3,"")))</f>
        <v/>
      </c>
      <c r="I141" s="113">
        <f>IF(I$13="","",IF($B141="","",IFERROR($C141*$D141*SUMIFS('Dvd Calendar'!$E$258:$CZ$258,'Dvd Calendar'!$E$257:$CZ$257,"&gt;"&amp;I$12,'Dvd Calendar'!$E$257:$CZ$257,"&lt;="&amp;I$13)/AS51!$B$3,"")))</f>
        <v/>
      </c>
      <c r="J141" s="113">
        <f>IF(J$13="","",IF($B141="","",IFERROR($C141*$D141*SUMIFS('Dvd Calendar'!$E$258:$CZ$258,'Dvd Calendar'!$E$257:$CZ$257,"&gt;"&amp;J$12,'Dvd Calendar'!$E$257:$CZ$257,"&lt;="&amp;J$13)/AS51!$B$3,"")))</f>
        <v/>
      </c>
      <c r="K141" s="113">
        <f>IF(K$13="","",IF($B141="","",IFERROR($C141*$D141*SUMIFS('Dvd Calendar'!$E$258:$CZ$258,'Dvd Calendar'!$E$257:$CZ$257,"&gt;"&amp;K$12,'Dvd Calendar'!$E$257:$CZ$257,"&lt;="&amp;K$13)/AS51!$B$3,"")))</f>
        <v/>
      </c>
      <c r="L141" s="113">
        <f>IF(L$13="","",IF($B141="","",IFERROR($C141*$D141*SUMIFS('Dvd Calendar'!$E$258:$CZ$258,'Dvd Calendar'!$E$257:$CZ$257,"&gt;"&amp;L$12,'Dvd Calendar'!$E$257:$CZ$257,"&lt;="&amp;L$13)/AS51!$B$3,"")))</f>
        <v/>
      </c>
      <c r="M141" s="113">
        <f>IF(M$13="","",IF($B141="","",IFERROR($C141*$D141*SUMIFS('Dvd Calendar'!$E$258:$CZ$258,'Dvd Calendar'!$E$257:$CZ$257,"&gt;"&amp;M$12,'Dvd Calendar'!$E$257:$CZ$257,"&lt;="&amp;M$13)/AS51!$B$3,"")))</f>
        <v/>
      </c>
      <c r="N141" s="113">
        <f>IF(N$13="","",IF($B141="","",IFERROR($C141*$D141*SUMIFS('Dvd Calendar'!$E$258:$CZ$258,'Dvd Calendar'!$E$257:$CZ$257,"&gt;"&amp;N$12,'Dvd Calendar'!$E$257:$CZ$257,"&lt;="&amp;N$13)/AS51!$B$3,"")))</f>
        <v/>
      </c>
      <c r="O141" s="113">
        <f>IF(O$13="","",IF($B141="","",IFERROR($C141*$D141*SUMIFS('Dvd Calendar'!$E$258:$CZ$258,'Dvd Calendar'!$E$257:$CZ$257,"&gt;"&amp;O$12,'Dvd Calendar'!$E$257:$CZ$257,"&lt;="&amp;O$13)/AS51!$B$3,"")))</f>
        <v/>
      </c>
      <c r="P141" s="113">
        <f>IF(P$13="","",IF($B141="","",IFERROR($C141*$D141*SUMIFS('Dvd Calendar'!$E$258:$CZ$258,'Dvd Calendar'!$E$257:$CZ$257,"&gt;"&amp;P$12,'Dvd Calendar'!$E$257:$CZ$257,"&lt;="&amp;P$13)/AS51!$B$3,"")))</f>
        <v/>
      </c>
      <c r="Q141" s="113">
        <f>IF(Q$13="","",IF($B141="","",IFERROR($C141*$D141*SUMIFS('Dvd Calendar'!$E$258:$CZ$258,'Dvd Calendar'!$E$257:$CZ$257,"&gt;"&amp;Q$12,'Dvd Calendar'!$E$257:$CZ$257,"&lt;="&amp;Q$13)/AS51!$B$3,"")))</f>
        <v/>
      </c>
      <c r="R141" s="113">
        <f>IF(R$13="","",IF($B141="","",IFERROR($C141*$D141*SUMIFS('Dvd Calendar'!$E$258:$CZ$258,'Dvd Calendar'!$E$257:$CZ$257,"&gt;"&amp;R$12,'Dvd Calendar'!$E$257:$CZ$257,"&lt;="&amp;R$13)/AS51!$B$3,"")))</f>
        <v/>
      </c>
      <c r="S141" s="113">
        <f>IF(S$13="","",IF($B141="","",IFERROR($C141*$D141*SUMIFS('Dvd Calendar'!$E$258:$CZ$258,'Dvd Calendar'!$E$257:$CZ$257,"&gt;"&amp;S$12,'Dvd Calendar'!$E$257:$CZ$257,"&lt;="&amp;S$13)/AS51!$B$3,"")))</f>
        <v/>
      </c>
      <c r="T141" s="113">
        <f>IF(T$13="","",IF($B141="","",IFERROR($C141*$D141*SUMIFS('Dvd Calendar'!$E$258:$CZ$258,'Dvd Calendar'!$E$257:$CZ$257,"&gt;"&amp;T$12,'Dvd Calendar'!$E$257:$CZ$257,"&lt;="&amp;T$13)/AS51!$B$3,"")))</f>
        <v/>
      </c>
      <c r="U141" s="113">
        <f>IF(U$13="","",IF($B141="","",IFERROR($C141*$D141*SUMIFS('Dvd Calendar'!$E$258:$CZ$258,'Dvd Calendar'!$E$257:$CZ$257,"&gt;"&amp;U$12,'Dvd Calendar'!$E$257:$CZ$257,"&lt;="&amp;U$13)/AS51!$B$3,"")))</f>
        <v/>
      </c>
      <c r="W141" s="113">
        <f>IF(W$13="","",IF($B141="","",IFERROR(F141*$E141/100,"")))</f>
        <v/>
      </c>
      <c r="X141" s="113">
        <f>IF(X$13="","",IF($B141="","",IFERROR(G141*$E141/100,"")))</f>
        <v/>
      </c>
      <c r="Y141" s="113">
        <f>IF(Y$13="","",IF($B141="","",IFERROR(H141*$E141/100,"")))</f>
        <v/>
      </c>
      <c r="Z141" s="113">
        <f>IF(Z$13="","",IF($B141="","",IFERROR(I141*$E141/100,"")))</f>
        <v/>
      </c>
      <c r="AA141" s="113">
        <f>IF(AA$13="","",IF($B141="","",IFERROR(J141*$E141/100,"")))</f>
        <v/>
      </c>
      <c r="AB141" s="113">
        <f>IF(AB$13="","",IF($B141="","",IFERROR(K141*$E141/100,"")))</f>
        <v/>
      </c>
      <c r="AC141" s="113">
        <f>IF(AC$13="","",IF($B141="","",IFERROR(L141*$E141/100,"")))</f>
        <v/>
      </c>
      <c r="AD141" s="113">
        <f>IF(AD$13="","",IF($B141="","",IFERROR(M141*$E141/100,"")))</f>
        <v/>
      </c>
      <c r="AE141" s="113">
        <f>IF(AE$13="","",IF($B141="","",IFERROR(N141*$E141/100,"")))</f>
        <v/>
      </c>
      <c r="AF141" s="113">
        <f>IF(AF$13="","",IF($B141="","",IFERROR(O141*$E141/100,"")))</f>
        <v/>
      </c>
      <c r="AG141" s="113">
        <f>IF(AG$13="","",IF($B141="","",IFERROR(P141*$E141/100,"")))</f>
        <v/>
      </c>
      <c r="AH141" s="113">
        <f>IF(AH$13="","",IF($B141="","",IFERROR(Q141*$E141/100,"")))</f>
        <v/>
      </c>
      <c r="AI141" s="113">
        <f>IF(AI$13="","",IF($B141="","",IFERROR(R141*$E141/100,"")))</f>
        <v/>
      </c>
      <c r="AJ141" s="113">
        <f>IF(AJ$13="","",IF($B141="","",IFERROR(S141*$E141/100,"")))</f>
        <v/>
      </c>
      <c r="AK141" s="113">
        <f>IF(AK$13="","",IF($B141="","",IFERROR(T141*$E141/100,"")))</f>
        <v/>
      </c>
      <c r="AL141" s="113">
        <f>IF(AL$13="","",IF($B141="","",IFERROR(U141*$E141/100,"")))</f>
        <v/>
      </c>
    </row>
    <row r="142">
      <c r="B142" s="5">
        <f>IF(AS51!$C$132="","",AS51!$C$132)</f>
        <v/>
      </c>
      <c r="C142" s="86">
        <f>IF(AS51!$B$132="","",AS51!$B$132)</f>
        <v/>
      </c>
      <c r="D142" s="111">
        <f>IFERROR(AS51!$Q$132,1)</f>
        <v/>
      </c>
      <c r="E142" s="112">
        <f>IF($B142="","",IF(ISNUMBER(AS51!$I$132),AS51!$I$132,'Index Summary'!$C$7))</f>
        <v/>
      </c>
      <c r="F142" s="113">
        <f>IF(F$13="","",IF($B142="","",IFERROR($C142*$D142*SUMIFS('Dvd Calendar'!$E$260:$CZ$260,'Dvd Calendar'!$E$259:$CZ$259,"&gt;"&amp;F$12,'Dvd Calendar'!$E$259:$CZ$259,"&lt;="&amp;F$13)/AS51!$B$3,"")))</f>
        <v/>
      </c>
      <c r="G142" s="113">
        <f>IF(G$13="","",IF($B142="","",IFERROR($C142*$D142*SUMIFS('Dvd Calendar'!$E$260:$CZ$260,'Dvd Calendar'!$E$259:$CZ$259,"&gt;"&amp;G$12,'Dvd Calendar'!$E$259:$CZ$259,"&lt;="&amp;G$13)/AS51!$B$3,"")))</f>
        <v/>
      </c>
      <c r="H142" s="113">
        <f>IF(H$13="","",IF($B142="","",IFERROR($C142*$D142*SUMIFS('Dvd Calendar'!$E$260:$CZ$260,'Dvd Calendar'!$E$259:$CZ$259,"&gt;"&amp;H$12,'Dvd Calendar'!$E$259:$CZ$259,"&lt;="&amp;H$13)/AS51!$B$3,"")))</f>
        <v/>
      </c>
      <c r="I142" s="113">
        <f>IF(I$13="","",IF($B142="","",IFERROR($C142*$D142*SUMIFS('Dvd Calendar'!$E$260:$CZ$260,'Dvd Calendar'!$E$259:$CZ$259,"&gt;"&amp;I$12,'Dvd Calendar'!$E$259:$CZ$259,"&lt;="&amp;I$13)/AS51!$B$3,"")))</f>
        <v/>
      </c>
      <c r="J142" s="113">
        <f>IF(J$13="","",IF($B142="","",IFERROR($C142*$D142*SUMIFS('Dvd Calendar'!$E$260:$CZ$260,'Dvd Calendar'!$E$259:$CZ$259,"&gt;"&amp;J$12,'Dvd Calendar'!$E$259:$CZ$259,"&lt;="&amp;J$13)/AS51!$B$3,"")))</f>
        <v/>
      </c>
      <c r="K142" s="113">
        <f>IF(K$13="","",IF($B142="","",IFERROR($C142*$D142*SUMIFS('Dvd Calendar'!$E$260:$CZ$260,'Dvd Calendar'!$E$259:$CZ$259,"&gt;"&amp;K$12,'Dvd Calendar'!$E$259:$CZ$259,"&lt;="&amp;K$13)/AS51!$B$3,"")))</f>
        <v/>
      </c>
      <c r="L142" s="113">
        <f>IF(L$13="","",IF($B142="","",IFERROR($C142*$D142*SUMIFS('Dvd Calendar'!$E$260:$CZ$260,'Dvd Calendar'!$E$259:$CZ$259,"&gt;"&amp;L$12,'Dvd Calendar'!$E$259:$CZ$259,"&lt;="&amp;L$13)/AS51!$B$3,"")))</f>
        <v/>
      </c>
      <c r="M142" s="113">
        <f>IF(M$13="","",IF($B142="","",IFERROR($C142*$D142*SUMIFS('Dvd Calendar'!$E$260:$CZ$260,'Dvd Calendar'!$E$259:$CZ$259,"&gt;"&amp;M$12,'Dvd Calendar'!$E$259:$CZ$259,"&lt;="&amp;M$13)/AS51!$B$3,"")))</f>
        <v/>
      </c>
      <c r="N142" s="113">
        <f>IF(N$13="","",IF($B142="","",IFERROR($C142*$D142*SUMIFS('Dvd Calendar'!$E$260:$CZ$260,'Dvd Calendar'!$E$259:$CZ$259,"&gt;"&amp;N$12,'Dvd Calendar'!$E$259:$CZ$259,"&lt;="&amp;N$13)/AS51!$B$3,"")))</f>
        <v/>
      </c>
      <c r="O142" s="113">
        <f>IF(O$13="","",IF($B142="","",IFERROR($C142*$D142*SUMIFS('Dvd Calendar'!$E$260:$CZ$260,'Dvd Calendar'!$E$259:$CZ$259,"&gt;"&amp;O$12,'Dvd Calendar'!$E$259:$CZ$259,"&lt;="&amp;O$13)/AS51!$B$3,"")))</f>
        <v/>
      </c>
      <c r="P142" s="113">
        <f>IF(P$13="","",IF($B142="","",IFERROR($C142*$D142*SUMIFS('Dvd Calendar'!$E$260:$CZ$260,'Dvd Calendar'!$E$259:$CZ$259,"&gt;"&amp;P$12,'Dvd Calendar'!$E$259:$CZ$259,"&lt;="&amp;P$13)/AS51!$B$3,"")))</f>
        <v/>
      </c>
      <c r="Q142" s="113">
        <f>IF(Q$13="","",IF($B142="","",IFERROR($C142*$D142*SUMIFS('Dvd Calendar'!$E$260:$CZ$260,'Dvd Calendar'!$E$259:$CZ$259,"&gt;"&amp;Q$12,'Dvd Calendar'!$E$259:$CZ$259,"&lt;="&amp;Q$13)/AS51!$B$3,"")))</f>
        <v/>
      </c>
      <c r="R142" s="113">
        <f>IF(R$13="","",IF($B142="","",IFERROR($C142*$D142*SUMIFS('Dvd Calendar'!$E$260:$CZ$260,'Dvd Calendar'!$E$259:$CZ$259,"&gt;"&amp;R$12,'Dvd Calendar'!$E$259:$CZ$259,"&lt;="&amp;R$13)/AS51!$B$3,"")))</f>
        <v/>
      </c>
      <c r="S142" s="113">
        <f>IF(S$13="","",IF($B142="","",IFERROR($C142*$D142*SUMIFS('Dvd Calendar'!$E$260:$CZ$260,'Dvd Calendar'!$E$259:$CZ$259,"&gt;"&amp;S$12,'Dvd Calendar'!$E$259:$CZ$259,"&lt;="&amp;S$13)/AS51!$B$3,"")))</f>
        <v/>
      </c>
      <c r="T142" s="113">
        <f>IF(T$13="","",IF($B142="","",IFERROR($C142*$D142*SUMIFS('Dvd Calendar'!$E$260:$CZ$260,'Dvd Calendar'!$E$259:$CZ$259,"&gt;"&amp;T$12,'Dvd Calendar'!$E$259:$CZ$259,"&lt;="&amp;T$13)/AS51!$B$3,"")))</f>
        <v/>
      </c>
      <c r="U142" s="113">
        <f>IF(U$13="","",IF($B142="","",IFERROR($C142*$D142*SUMIFS('Dvd Calendar'!$E$260:$CZ$260,'Dvd Calendar'!$E$259:$CZ$259,"&gt;"&amp;U$12,'Dvd Calendar'!$E$259:$CZ$259,"&lt;="&amp;U$13)/AS51!$B$3,"")))</f>
        <v/>
      </c>
      <c r="W142" s="113">
        <f>IF(W$13="","",IF($B142="","",IFERROR(F142*$E142/100,"")))</f>
        <v/>
      </c>
      <c r="X142" s="113">
        <f>IF(X$13="","",IF($B142="","",IFERROR(G142*$E142/100,"")))</f>
        <v/>
      </c>
      <c r="Y142" s="113">
        <f>IF(Y$13="","",IF($B142="","",IFERROR(H142*$E142/100,"")))</f>
        <v/>
      </c>
      <c r="Z142" s="113">
        <f>IF(Z$13="","",IF($B142="","",IFERROR(I142*$E142/100,"")))</f>
        <v/>
      </c>
      <c r="AA142" s="113">
        <f>IF(AA$13="","",IF($B142="","",IFERROR(J142*$E142/100,"")))</f>
        <v/>
      </c>
      <c r="AB142" s="113">
        <f>IF(AB$13="","",IF($B142="","",IFERROR(K142*$E142/100,"")))</f>
        <v/>
      </c>
      <c r="AC142" s="113">
        <f>IF(AC$13="","",IF($B142="","",IFERROR(L142*$E142/100,"")))</f>
        <v/>
      </c>
      <c r="AD142" s="113">
        <f>IF(AD$13="","",IF($B142="","",IFERROR(M142*$E142/100,"")))</f>
        <v/>
      </c>
      <c r="AE142" s="113">
        <f>IF(AE$13="","",IF($B142="","",IFERROR(N142*$E142/100,"")))</f>
        <v/>
      </c>
      <c r="AF142" s="113">
        <f>IF(AF$13="","",IF($B142="","",IFERROR(O142*$E142/100,"")))</f>
        <v/>
      </c>
      <c r="AG142" s="113">
        <f>IF(AG$13="","",IF($B142="","",IFERROR(P142*$E142/100,"")))</f>
        <v/>
      </c>
      <c r="AH142" s="113">
        <f>IF(AH$13="","",IF($B142="","",IFERROR(Q142*$E142/100,"")))</f>
        <v/>
      </c>
      <c r="AI142" s="113">
        <f>IF(AI$13="","",IF($B142="","",IFERROR(R142*$E142/100,"")))</f>
        <v/>
      </c>
      <c r="AJ142" s="113">
        <f>IF(AJ$13="","",IF($B142="","",IFERROR(S142*$E142/100,"")))</f>
        <v/>
      </c>
      <c r="AK142" s="113">
        <f>IF(AK$13="","",IF($B142="","",IFERROR(T142*$E142/100,"")))</f>
        <v/>
      </c>
      <c r="AL142" s="113">
        <f>IF(AL$13="","",IF($B142="","",IFERROR(U142*$E142/100,"")))</f>
        <v/>
      </c>
    </row>
    <row r="143">
      <c r="B143" s="5">
        <f>IF(AS51!$C$133="","",AS51!$C$133)</f>
        <v/>
      </c>
      <c r="C143" s="86">
        <f>IF(AS51!$B$133="","",AS51!$B$133)</f>
        <v/>
      </c>
      <c r="D143" s="111">
        <f>IFERROR(AS51!$Q$133,1)</f>
        <v/>
      </c>
      <c r="E143" s="112">
        <f>IF($B143="","",IF(ISNUMBER(AS51!$I$133),AS51!$I$133,'Index Summary'!$C$7))</f>
        <v/>
      </c>
      <c r="F143" s="113">
        <f>IF(F$13="","",IF($B143="","",IFERROR($C143*$D143*SUMIFS('Dvd Calendar'!$E$262:$CZ$262,'Dvd Calendar'!$E$261:$CZ$261,"&gt;"&amp;F$12,'Dvd Calendar'!$E$261:$CZ$261,"&lt;="&amp;F$13)/AS51!$B$3,"")))</f>
        <v/>
      </c>
      <c r="G143" s="113">
        <f>IF(G$13="","",IF($B143="","",IFERROR($C143*$D143*SUMIFS('Dvd Calendar'!$E$262:$CZ$262,'Dvd Calendar'!$E$261:$CZ$261,"&gt;"&amp;G$12,'Dvd Calendar'!$E$261:$CZ$261,"&lt;="&amp;G$13)/AS51!$B$3,"")))</f>
        <v/>
      </c>
      <c r="H143" s="113">
        <f>IF(H$13="","",IF($B143="","",IFERROR($C143*$D143*SUMIFS('Dvd Calendar'!$E$262:$CZ$262,'Dvd Calendar'!$E$261:$CZ$261,"&gt;"&amp;H$12,'Dvd Calendar'!$E$261:$CZ$261,"&lt;="&amp;H$13)/AS51!$B$3,"")))</f>
        <v/>
      </c>
      <c r="I143" s="113">
        <f>IF(I$13="","",IF($B143="","",IFERROR($C143*$D143*SUMIFS('Dvd Calendar'!$E$262:$CZ$262,'Dvd Calendar'!$E$261:$CZ$261,"&gt;"&amp;I$12,'Dvd Calendar'!$E$261:$CZ$261,"&lt;="&amp;I$13)/AS51!$B$3,"")))</f>
        <v/>
      </c>
      <c r="J143" s="113">
        <f>IF(J$13="","",IF($B143="","",IFERROR($C143*$D143*SUMIFS('Dvd Calendar'!$E$262:$CZ$262,'Dvd Calendar'!$E$261:$CZ$261,"&gt;"&amp;J$12,'Dvd Calendar'!$E$261:$CZ$261,"&lt;="&amp;J$13)/AS51!$B$3,"")))</f>
        <v/>
      </c>
      <c r="K143" s="113">
        <f>IF(K$13="","",IF($B143="","",IFERROR($C143*$D143*SUMIFS('Dvd Calendar'!$E$262:$CZ$262,'Dvd Calendar'!$E$261:$CZ$261,"&gt;"&amp;K$12,'Dvd Calendar'!$E$261:$CZ$261,"&lt;="&amp;K$13)/AS51!$B$3,"")))</f>
        <v/>
      </c>
      <c r="L143" s="113">
        <f>IF(L$13="","",IF($B143="","",IFERROR($C143*$D143*SUMIFS('Dvd Calendar'!$E$262:$CZ$262,'Dvd Calendar'!$E$261:$CZ$261,"&gt;"&amp;L$12,'Dvd Calendar'!$E$261:$CZ$261,"&lt;="&amp;L$13)/AS51!$B$3,"")))</f>
        <v/>
      </c>
      <c r="M143" s="113">
        <f>IF(M$13="","",IF($B143="","",IFERROR($C143*$D143*SUMIFS('Dvd Calendar'!$E$262:$CZ$262,'Dvd Calendar'!$E$261:$CZ$261,"&gt;"&amp;M$12,'Dvd Calendar'!$E$261:$CZ$261,"&lt;="&amp;M$13)/AS51!$B$3,"")))</f>
        <v/>
      </c>
      <c r="N143" s="113">
        <f>IF(N$13="","",IF($B143="","",IFERROR($C143*$D143*SUMIFS('Dvd Calendar'!$E$262:$CZ$262,'Dvd Calendar'!$E$261:$CZ$261,"&gt;"&amp;N$12,'Dvd Calendar'!$E$261:$CZ$261,"&lt;="&amp;N$13)/AS51!$B$3,"")))</f>
        <v/>
      </c>
      <c r="O143" s="113">
        <f>IF(O$13="","",IF($B143="","",IFERROR($C143*$D143*SUMIFS('Dvd Calendar'!$E$262:$CZ$262,'Dvd Calendar'!$E$261:$CZ$261,"&gt;"&amp;O$12,'Dvd Calendar'!$E$261:$CZ$261,"&lt;="&amp;O$13)/AS51!$B$3,"")))</f>
        <v/>
      </c>
      <c r="P143" s="113">
        <f>IF(P$13="","",IF($B143="","",IFERROR($C143*$D143*SUMIFS('Dvd Calendar'!$E$262:$CZ$262,'Dvd Calendar'!$E$261:$CZ$261,"&gt;"&amp;P$12,'Dvd Calendar'!$E$261:$CZ$261,"&lt;="&amp;P$13)/AS51!$B$3,"")))</f>
        <v/>
      </c>
      <c r="Q143" s="113">
        <f>IF(Q$13="","",IF($B143="","",IFERROR($C143*$D143*SUMIFS('Dvd Calendar'!$E$262:$CZ$262,'Dvd Calendar'!$E$261:$CZ$261,"&gt;"&amp;Q$12,'Dvd Calendar'!$E$261:$CZ$261,"&lt;="&amp;Q$13)/AS51!$B$3,"")))</f>
        <v/>
      </c>
      <c r="R143" s="113">
        <f>IF(R$13="","",IF($B143="","",IFERROR($C143*$D143*SUMIFS('Dvd Calendar'!$E$262:$CZ$262,'Dvd Calendar'!$E$261:$CZ$261,"&gt;"&amp;R$12,'Dvd Calendar'!$E$261:$CZ$261,"&lt;="&amp;R$13)/AS51!$B$3,"")))</f>
        <v/>
      </c>
      <c r="S143" s="113">
        <f>IF(S$13="","",IF($B143="","",IFERROR($C143*$D143*SUMIFS('Dvd Calendar'!$E$262:$CZ$262,'Dvd Calendar'!$E$261:$CZ$261,"&gt;"&amp;S$12,'Dvd Calendar'!$E$261:$CZ$261,"&lt;="&amp;S$13)/AS51!$B$3,"")))</f>
        <v/>
      </c>
      <c r="T143" s="113">
        <f>IF(T$13="","",IF($B143="","",IFERROR($C143*$D143*SUMIFS('Dvd Calendar'!$E$262:$CZ$262,'Dvd Calendar'!$E$261:$CZ$261,"&gt;"&amp;T$12,'Dvd Calendar'!$E$261:$CZ$261,"&lt;="&amp;T$13)/AS51!$B$3,"")))</f>
        <v/>
      </c>
      <c r="U143" s="113">
        <f>IF(U$13="","",IF($B143="","",IFERROR($C143*$D143*SUMIFS('Dvd Calendar'!$E$262:$CZ$262,'Dvd Calendar'!$E$261:$CZ$261,"&gt;"&amp;U$12,'Dvd Calendar'!$E$261:$CZ$261,"&lt;="&amp;U$13)/AS51!$B$3,"")))</f>
        <v/>
      </c>
      <c r="W143" s="113">
        <f>IF(W$13="","",IF($B143="","",IFERROR(F143*$E143/100,"")))</f>
        <v/>
      </c>
      <c r="X143" s="113">
        <f>IF(X$13="","",IF($B143="","",IFERROR(G143*$E143/100,"")))</f>
        <v/>
      </c>
      <c r="Y143" s="113">
        <f>IF(Y$13="","",IF($B143="","",IFERROR(H143*$E143/100,"")))</f>
        <v/>
      </c>
      <c r="Z143" s="113">
        <f>IF(Z$13="","",IF($B143="","",IFERROR(I143*$E143/100,"")))</f>
        <v/>
      </c>
      <c r="AA143" s="113">
        <f>IF(AA$13="","",IF($B143="","",IFERROR(J143*$E143/100,"")))</f>
        <v/>
      </c>
      <c r="AB143" s="113">
        <f>IF(AB$13="","",IF($B143="","",IFERROR(K143*$E143/100,"")))</f>
        <v/>
      </c>
      <c r="AC143" s="113">
        <f>IF(AC$13="","",IF($B143="","",IFERROR(L143*$E143/100,"")))</f>
        <v/>
      </c>
      <c r="AD143" s="113">
        <f>IF(AD$13="","",IF($B143="","",IFERROR(M143*$E143/100,"")))</f>
        <v/>
      </c>
      <c r="AE143" s="113">
        <f>IF(AE$13="","",IF($B143="","",IFERROR(N143*$E143/100,"")))</f>
        <v/>
      </c>
      <c r="AF143" s="113">
        <f>IF(AF$13="","",IF($B143="","",IFERROR(O143*$E143/100,"")))</f>
        <v/>
      </c>
      <c r="AG143" s="113">
        <f>IF(AG$13="","",IF($B143="","",IFERROR(P143*$E143/100,"")))</f>
        <v/>
      </c>
      <c r="AH143" s="113">
        <f>IF(AH$13="","",IF($B143="","",IFERROR(Q143*$E143/100,"")))</f>
        <v/>
      </c>
      <c r="AI143" s="113">
        <f>IF(AI$13="","",IF($B143="","",IFERROR(R143*$E143/100,"")))</f>
        <v/>
      </c>
      <c r="AJ143" s="113">
        <f>IF(AJ$13="","",IF($B143="","",IFERROR(S143*$E143/100,"")))</f>
        <v/>
      </c>
      <c r="AK143" s="113">
        <f>IF(AK$13="","",IF($B143="","",IFERROR(T143*$E143/100,"")))</f>
        <v/>
      </c>
      <c r="AL143" s="113">
        <f>IF(AL$13="","",IF($B143="","",IFERROR(U143*$E143/100,"")))</f>
        <v/>
      </c>
    </row>
    <row r="144">
      <c r="B144" s="5">
        <f>IF(AS51!$C$134="","",AS51!$C$134)</f>
        <v/>
      </c>
      <c r="C144" s="86">
        <f>IF(AS51!$B$134="","",AS51!$B$134)</f>
        <v/>
      </c>
      <c r="D144" s="111">
        <f>IFERROR(AS51!$Q$134,1)</f>
        <v/>
      </c>
      <c r="E144" s="112">
        <f>IF($B144="","",IF(ISNUMBER(AS51!$I$134),AS51!$I$134,'Index Summary'!$C$7))</f>
        <v/>
      </c>
      <c r="F144" s="113">
        <f>IF(F$13="","",IF($B144="","",IFERROR($C144*$D144*SUMIFS('Dvd Calendar'!$E$264:$CZ$264,'Dvd Calendar'!$E$263:$CZ$263,"&gt;"&amp;F$12,'Dvd Calendar'!$E$263:$CZ$263,"&lt;="&amp;F$13)/AS51!$B$3,"")))</f>
        <v/>
      </c>
      <c r="G144" s="113">
        <f>IF(G$13="","",IF($B144="","",IFERROR($C144*$D144*SUMIFS('Dvd Calendar'!$E$264:$CZ$264,'Dvd Calendar'!$E$263:$CZ$263,"&gt;"&amp;G$12,'Dvd Calendar'!$E$263:$CZ$263,"&lt;="&amp;G$13)/AS51!$B$3,"")))</f>
        <v/>
      </c>
      <c r="H144" s="113">
        <f>IF(H$13="","",IF($B144="","",IFERROR($C144*$D144*SUMIFS('Dvd Calendar'!$E$264:$CZ$264,'Dvd Calendar'!$E$263:$CZ$263,"&gt;"&amp;H$12,'Dvd Calendar'!$E$263:$CZ$263,"&lt;="&amp;H$13)/AS51!$B$3,"")))</f>
        <v/>
      </c>
      <c r="I144" s="113">
        <f>IF(I$13="","",IF($B144="","",IFERROR($C144*$D144*SUMIFS('Dvd Calendar'!$E$264:$CZ$264,'Dvd Calendar'!$E$263:$CZ$263,"&gt;"&amp;I$12,'Dvd Calendar'!$E$263:$CZ$263,"&lt;="&amp;I$13)/AS51!$B$3,"")))</f>
        <v/>
      </c>
      <c r="J144" s="113">
        <f>IF(J$13="","",IF($B144="","",IFERROR($C144*$D144*SUMIFS('Dvd Calendar'!$E$264:$CZ$264,'Dvd Calendar'!$E$263:$CZ$263,"&gt;"&amp;J$12,'Dvd Calendar'!$E$263:$CZ$263,"&lt;="&amp;J$13)/AS51!$B$3,"")))</f>
        <v/>
      </c>
      <c r="K144" s="113">
        <f>IF(K$13="","",IF($B144="","",IFERROR($C144*$D144*SUMIFS('Dvd Calendar'!$E$264:$CZ$264,'Dvd Calendar'!$E$263:$CZ$263,"&gt;"&amp;K$12,'Dvd Calendar'!$E$263:$CZ$263,"&lt;="&amp;K$13)/AS51!$B$3,"")))</f>
        <v/>
      </c>
      <c r="L144" s="113">
        <f>IF(L$13="","",IF($B144="","",IFERROR($C144*$D144*SUMIFS('Dvd Calendar'!$E$264:$CZ$264,'Dvd Calendar'!$E$263:$CZ$263,"&gt;"&amp;L$12,'Dvd Calendar'!$E$263:$CZ$263,"&lt;="&amp;L$13)/AS51!$B$3,"")))</f>
        <v/>
      </c>
      <c r="M144" s="113">
        <f>IF(M$13="","",IF($B144="","",IFERROR($C144*$D144*SUMIFS('Dvd Calendar'!$E$264:$CZ$264,'Dvd Calendar'!$E$263:$CZ$263,"&gt;"&amp;M$12,'Dvd Calendar'!$E$263:$CZ$263,"&lt;="&amp;M$13)/AS51!$B$3,"")))</f>
        <v/>
      </c>
      <c r="N144" s="113">
        <f>IF(N$13="","",IF($B144="","",IFERROR($C144*$D144*SUMIFS('Dvd Calendar'!$E$264:$CZ$264,'Dvd Calendar'!$E$263:$CZ$263,"&gt;"&amp;N$12,'Dvd Calendar'!$E$263:$CZ$263,"&lt;="&amp;N$13)/AS51!$B$3,"")))</f>
        <v/>
      </c>
      <c r="O144" s="113">
        <f>IF(O$13="","",IF($B144="","",IFERROR($C144*$D144*SUMIFS('Dvd Calendar'!$E$264:$CZ$264,'Dvd Calendar'!$E$263:$CZ$263,"&gt;"&amp;O$12,'Dvd Calendar'!$E$263:$CZ$263,"&lt;="&amp;O$13)/AS51!$B$3,"")))</f>
        <v/>
      </c>
      <c r="P144" s="113">
        <f>IF(P$13="","",IF($B144="","",IFERROR($C144*$D144*SUMIFS('Dvd Calendar'!$E$264:$CZ$264,'Dvd Calendar'!$E$263:$CZ$263,"&gt;"&amp;P$12,'Dvd Calendar'!$E$263:$CZ$263,"&lt;="&amp;P$13)/AS51!$B$3,"")))</f>
        <v/>
      </c>
      <c r="Q144" s="113">
        <f>IF(Q$13="","",IF($B144="","",IFERROR($C144*$D144*SUMIFS('Dvd Calendar'!$E$264:$CZ$264,'Dvd Calendar'!$E$263:$CZ$263,"&gt;"&amp;Q$12,'Dvd Calendar'!$E$263:$CZ$263,"&lt;="&amp;Q$13)/AS51!$B$3,"")))</f>
        <v/>
      </c>
      <c r="R144" s="113">
        <f>IF(R$13="","",IF($B144="","",IFERROR($C144*$D144*SUMIFS('Dvd Calendar'!$E$264:$CZ$264,'Dvd Calendar'!$E$263:$CZ$263,"&gt;"&amp;R$12,'Dvd Calendar'!$E$263:$CZ$263,"&lt;="&amp;R$13)/AS51!$B$3,"")))</f>
        <v/>
      </c>
      <c r="S144" s="113">
        <f>IF(S$13="","",IF($B144="","",IFERROR($C144*$D144*SUMIFS('Dvd Calendar'!$E$264:$CZ$264,'Dvd Calendar'!$E$263:$CZ$263,"&gt;"&amp;S$12,'Dvd Calendar'!$E$263:$CZ$263,"&lt;="&amp;S$13)/AS51!$B$3,"")))</f>
        <v/>
      </c>
      <c r="T144" s="113">
        <f>IF(T$13="","",IF($B144="","",IFERROR($C144*$D144*SUMIFS('Dvd Calendar'!$E$264:$CZ$264,'Dvd Calendar'!$E$263:$CZ$263,"&gt;"&amp;T$12,'Dvd Calendar'!$E$263:$CZ$263,"&lt;="&amp;T$13)/AS51!$B$3,"")))</f>
        <v/>
      </c>
      <c r="U144" s="113">
        <f>IF(U$13="","",IF($B144="","",IFERROR($C144*$D144*SUMIFS('Dvd Calendar'!$E$264:$CZ$264,'Dvd Calendar'!$E$263:$CZ$263,"&gt;"&amp;U$12,'Dvd Calendar'!$E$263:$CZ$263,"&lt;="&amp;U$13)/AS51!$B$3,"")))</f>
        <v/>
      </c>
      <c r="W144" s="113">
        <f>IF(W$13="","",IF($B144="","",IFERROR(F144*$E144/100,"")))</f>
        <v/>
      </c>
      <c r="X144" s="113">
        <f>IF(X$13="","",IF($B144="","",IFERROR(G144*$E144/100,"")))</f>
        <v/>
      </c>
      <c r="Y144" s="113">
        <f>IF(Y$13="","",IF($B144="","",IFERROR(H144*$E144/100,"")))</f>
        <v/>
      </c>
      <c r="Z144" s="113">
        <f>IF(Z$13="","",IF($B144="","",IFERROR(I144*$E144/100,"")))</f>
        <v/>
      </c>
      <c r="AA144" s="113">
        <f>IF(AA$13="","",IF($B144="","",IFERROR(J144*$E144/100,"")))</f>
        <v/>
      </c>
      <c r="AB144" s="113">
        <f>IF(AB$13="","",IF($B144="","",IFERROR(K144*$E144/100,"")))</f>
        <v/>
      </c>
      <c r="AC144" s="113">
        <f>IF(AC$13="","",IF($B144="","",IFERROR(L144*$E144/100,"")))</f>
        <v/>
      </c>
      <c r="AD144" s="113">
        <f>IF(AD$13="","",IF($B144="","",IFERROR(M144*$E144/100,"")))</f>
        <v/>
      </c>
      <c r="AE144" s="113">
        <f>IF(AE$13="","",IF($B144="","",IFERROR(N144*$E144/100,"")))</f>
        <v/>
      </c>
      <c r="AF144" s="113">
        <f>IF(AF$13="","",IF($B144="","",IFERROR(O144*$E144/100,"")))</f>
        <v/>
      </c>
      <c r="AG144" s="113">
        <f>IF(AG$13="","",IF($B144="","",IFERROR(P144*$E144/100,"")))</f>
        <v/>
      </c>
      <c r="AH144" s="113">
        <f>IF(AH$13="","",IF($B144="","",IFERROR(Q144*$E144/100,"")))</f>
        <v/>
      </c>
      <c r="AI144" s="113">
        <f>IF(AI$13="","",IF($B144="","",IFERROR(R144*$E144/100,"")))</f>
        <v/>
      </c>
      <c r="AJ144" s="113">
        <f>IF(AJ$13="","",IF($B144="","",IFERROR(S144*$E144/100,"")))</f>
        <v/>
      </c>
      <c r="AK144" s="113">
        <f>IF(AK$13="","",IF($B144="","",IFERROR(T144*$E144/100,"")))</f>
        <v/>
      </c>
      <c r="AL144" s="113">
        <f>IF(AL$13="","",IF($B144="","",IFERROR(U144*$E144/100,"")))</f>
        <v/>
      </c>
    </row>
    <row r="145">
      <c r="B145" s="5">
        <f>IF(AS51!$C$135="","",AS51!$C$135)</f>
        <v/>
      </c>
      <c r="C145" s="86">
        <f>IF(AS51!$B$135="","",AS51!$B$135)</f>
        <v/>
      </c>
      <c r="D145" s="111">
        <f>IFERROR(AS51!$Q$135,1)</f>
        <v/>
      </c>
      <c r="E145" s="112">
        <f>IF($B145="","",IF(ISNUMBER(AS51!$I$135),AS51!$I$135,'Index Summary'!$C$7))</f>
        <v/>
      </c>
      <c r="F145" s="113">
        <f>IF(F$13="","",IF($B145="","",IFERROR($C145*$D145*SUMIFS('Dvd Calendar'!$E$266:$CZ$266,'Dvd Calendar'!$E$265:$CZ$265,"&gt;"&amp;F$12,'Dvd Calendar'!$E$265:$CZ$265,"&lt;="&amp;F$13)/AS51!$B$3,"")))</f>
        <v/>
      </c>
      <c r="G145" s="113">
        <f>IF(G$13="","",IF($B145="","",IFERROR($C145*$D145*SUMIFS('Dvd Calendar'!$E$266:$CZ$266,'Dvd Calendar'!$E$265:$CZ$265,"&gt;"&amp;G$12,'Dvd Calendar'!$E$265:$CZ$265,"&lt;="&amp;G$13)/AS51!$B$3,"")))</f>
        <v/>
      </c>
      <c r="H145" s="113">
        <f>IF(H$13="","",IF($B145="","",IFERROR($C145*$D145*SUMIFS('Dvd Calendar'!$E$266:$CZ$266,'Dvd Calendar'!$E$265:$CZ$265,"&gt;"&amp;H$12,'Dvd Calendar'!$E$265:$CZ$265,"&lt;="&amp;H$13)/AS51!$B$3,"")))</f>
        <v/>
      </c>
      <c r="I145" s="113">
        <f>IF(I$13="","",IF($B145="","",IFERROR($C145*$D145*SUMIFS('Dvd Calendar'!$E$266:$CZ$266,'Dvd Calendar'!$E$265:$CZ$265,"&gt;"&amp;I$12,'Dvd Calendar'!$E$265:$CZ$265,"&lt;="&amp;I$13)/AS51!$B$3,"")))</f>
        <v/>
      </c>
      <c r="J145" s="113">
        <f>IF(J$13="","",IF($B145="","",IFERROR($C145*$D145*SUMIFS('Dvd Calendar'!$E$266:$CZ$266,'Dvd Calendar'!$E$265:$CZ$265,"&gt;"&amp;J$12,'Dvd Calendar'!$E$265:$CZ$265,"&lt;="&amp;J$13)/AS51!$B$3,"")))</f>
        <v/>
      </c>
      <c r="K145" s="113">
        <f>IF(K$13="","",IF($B145="","",IFERROR($C145*$D145*SUMIFS('Dvd Calendar'!$E$266:$CZ$266,'Dvd Calendar'!$E$265:$CZ$265,"&gt;"&amp;K$12,'Dvd Calendar'!$E$265:$CZ$265,"&lt;="&amp;K$13)/AS51!$B$3,"")))</f>
        <v/>
      </c>
      <c r="L145" s="113">
        <f>IF(L$13="","",IF($B145="","",IFERROR($C145*$D145*SUMIFS('Dvd Calendar'!$E$266:$CZ$266,'Dvd Calendar'!$E$265:$CZ$265,"&gt;"&amp;L$12,'Dvd Calendar'!$E$265:$CZ$265,"&lt;="&amp;L$13)/AS51!$B$3,"")))</f>
        <v/>
      </c>
      <c r="M145" s="113">
        <f>IF(M$13="","",IF($B145="","",IFERROR($C145*$D145*SUMIFS('Dvd Calendar'!$E$266:$CZ$266,'Dvd Calendar'!$E$265:$CZ$265,"&gt;"&amp;M$12,'Dvd Calendar'!$E$265:$CZ$265,"&lt;="&amp;M$13)/AS51!$B$3,"")))</f>
        <v/>
      </c>
      <c r="N145" s="113">
        <f>IF(N$13="","",IF($B145="","",IFERROR($C145*$D145*SUMIFS('Dvd Calendar'!$E$266:$CZ$266,'Dvd Calendar'!$E$265:$CZ$265,"&gt;"&amp;N$12,'Dvd Calendar'!$E$265:$CZ$265,"&lt;="&amp;N$13)/AS51!$B$3,"")))</f>
        <v/>
      </c>
      <c r="O145" s="113">
        <f>IF(O$13="","",IF($B145="","",IFERROR($C145*$D145*SUMIFS('Dvd Calendar'!$E$266:$CZ$266,'Dvd Calendar'!$E$265:$CZ$265,"&gt;"&amp;O$12,'Dvd Calendar'!$E$265:$CZ$265,"&lt;="&amp;O$13)/AS51!$B$3,"")))</f>
        <v/>
      </c>
      <c r="P145" s="113">
        <f>IF(P$13="","",IF($B145="","",IFERROR($C145*$D145*SUMIFS('Dvd Calendar'!$E$266:$CZ$266,'Dvd Calendar'!$E$265:$CZ$265,"&gt;"&amp;P$12,'Dvd Calendar'!$E$265:$CZ$265,"&lt;="&amp;P$13)/AS51!$B$3,"")))</f>
        <v/>
      </c>
      <c r="Q145" s="113">
        <f>IF(Q$13="","",IF($B145="","",IFERROR($C145*$D145*SUMIFS('Dvd Calendar'!$E$266:$CZ$266,'Dvd Calendar'!$E$265:$CZ$265,"&gt;"&amp;Q$12,'Dvd Calendar'!$E$265:$CZ$265,"&lt;="&amp;Q$13)/AS51!$B$3,"")))</f>
        <v/>
      </c>
      <c r="R145" s="113">
        <f>IF(R$13="","",IF($B145="","",IFERROR($C145*$D145*SUMIFS('Dvd Calendar'!$E$266:$CZ$266,'Dvd Calendar'!$E$265:$CZ$265,"&gt;"&amp;R$12,'Dvd Calendar'!$E$265:$CZ$265,"&lt;="&amp;R$13)/AS51!$B$3,"")))</f>
        <v/>
      </c>
      <c r="S145" s="113">
        <f>IF(S$13="","",IF($B145="","",IFERROR($C145*$D145*SUMIFS('Dvd Calendar'!$E$266:$CZ$266,'Dvd Calendar'!$E$265:$CZ$265,"&gt;"&amp;S$12,'Dvd Calendar'!$E$265:$CZ$265,"&lt;="&amp;S$13)/AS51!$B$3,"")))</f>
        <v/>
      </c>
      <c r="T145" s="113">
        <f>IF(T$13="","",IF($B145="","",IFERROR($C145*$D145*SUMIFS('Dvd Calendar'!$E$266:$CZ$266,'Dvd Calendar'!$E$265:$CZ$265,"&gt;"&amp;T$12,'Dvd Calendar'!$E$265:$CZ$265,"&lt;="&amp;T$13)/AS51!$B$3,"")))</f>
        <v/>
      </c>
      <c r="U145" s="113">
        <f>IF(U$13="","",IF($B145="","",IFERROR($C145*$D145*SUMIFS('Dvd Calendar'!$E$266:$CZ$266,'Dvd Calendar'!$E$265:$CZ$265,"&gt;"&amp;U$12,'Dvd Calendar'!$E$265:$CZ$265,"&lt;="&amp;U$13)/AS51!$B$3,"")))</f>
        <v/>
      </c>
      <c r="W145" s="113">
        <f>IF(W$13="","",IF($B145="","",IFERROR(F145*$E145/100,"")))</f>
        <v/>
      </c>
      <c r="X145" s="113">
        <f>IF(X$13="","",IF($B145="","",IFERROR(G145*$E145/100,"")))</f>
        <v/>
      </c>
      <c r="Y145" s="113">
        <f>IF(Y$13="","",IF($B145="","",IFERROR(H145*$E145/100,"")))</f>
        <v/>
      </c>
      <c r="Z145" s="113">
        <f>IF(Z$13="","",IF($B145="","",IFERROR(I145*$E145/100,"")))</f>
        <v/>
      </c>
      <c r="AA145" s="113">
        <f>IF(AA$13="","",IF($B145="","",IFERROR(J145*$E145/100,"")))</f>
        <v/>
      </c>
      <c r="AB145" s="113">
        <f>IF(AB$13="","",IF($B145="","",IFERROR(K145*$E145/100,"")))</f>
        <v/>
      </c>
      <c r="AC145" s="113">
        <f>IF(AC$13="","",IF($B145="","",IFERROR(L145*$E145/100,"")))</f>
        <v/>
      </c>
      <c r="AD145" s="113">
        <f>IF(AD$13="","",IF($B145="","",IFERROR(M145*$E145/100,"")))</f>
        <v/>
      </c>
      <c r="AE145" s="113">
        <f>IF(AE$13="","",IF($B145="","",IFERROR(N145*$E145/100,"")))</f>
        <v/>
      </c>
      <c r="AF145" s="113">
        <f>IF(AF$13="","",IF($B145="","",IFERROR(O145*$E145/100,"")))</f>
        <v/>
      </c>
      <c r="AG145" s="113">
        <f>IF(AG$13="","",IF($B145="","",IFERROR(P145*$E145/100,"")))</f>
        <v/>
      </c>
      <c r="AH145" s="113">
        <f>IF(AH$13="","",IF($B145="","",IFERROR(Q145*$E145/100,"")))</f>
        <v/>
      </c>
      <c r="AI145" s="113">
        <f>IF(AI$13="","",IF($B145="","",IFERROR(R145*$E145/100,"")))</f>
        <v/>
      </c>
      <c r="AJ145" s="113">
        <f>IF(AJ$13="","",IF($B145="","",IFERROR(S145*$E145/100,"")))</f>
        <v/>
      </c>
      <c r="AK145" s="113">
        <f>IF(AK$13="","",IF($B145="","",IFERROR(T145*$E145/100,"")))</f>
        <v/>
      </c>
      <c r="AL145" s="113">
        <f>IF(AL$13="","",IF($B145="","",IFERROR(U145*$E145/100,"")))</f>
        <v/>
      </c>
    </row>
    <row r="146">
      <c r="B146" s="5">
        <f>IF(AS51!$C$136="","",AS51!$C$136)</f>
        <v/>
      </c>
      <c r="C146" s="86">
        <f>IF(AS51!$B$136="","",AS51!$B$136)</f>
        <v/>
      </c>
      <c r="D146" s="111">
        <f>IFERROR(AS51!$Q$136,1)</f>
        <v/>
      </c>
      <c r="E146" s="112">
        <f>IF($B146="","",IF(ISNUMBER(AS51!$I$136),AS51!$I$136,'Index Summary'!$C$7))</f>
        <v/>
      </c>
      <c r="F146" s="113">
        <f>IF(F$13="","",IF($B146="","",IFERROR($C146*$D146*SUMIFS('Dvd Calendar'!$E$268:$CZ$268,'Dvd Calendar'!$E$267:$CZ$267,"&gt;"&amp;F$12,'Dvd Calendar'!$E$267:$CZ$267,"&lt;="&amp;F$13)/AS51!$B$3,"")))</f>
        <v/>
      </c>
      <c r="G146" s="113">
        <f>IF(G$13="","",IF($B146="","",IFERROR($C146*$D146*SUMIFS('Dvd Calendar'!$E$268:$CZ$268,'Dvd Calendar'!$E$267:$CZ$267,"&gt;"&amp;G$12,'Dvd Calendar'!$E$267:$CZ$267,"&lt;="&amp;G$13)/AS51!$B$3,"")))</f>
        <v/>
      </c>
      <c r="H146" s="113">
        <f>IF(H$13="","",IF($B146="","",IFERROR($C146*$D146*SUMIFS('Dvd Calendar'!$E$268:$CZ$268,'Dvd Calendar'!$E$267:$CZ$267,"&gt;"&amp;H$12,'Dvd Calendar'!$E$267:$CZ$267,"&lt;="&amp;H$13)/AS51!$B$3,"")))</f>
        <v/>
      </c>
      <c r="I146" s="113">
        <f>IF(I$13="","",IF($B146="","",IFERROR($C146*$D146*SUMIFS('Dvd Calendar'!$E$268:$CZ$268,'Dvd Calendar'!$E$267:$CZ$267,"&gt;"&amp;I$12,'Dvd Calendar'!$E$267:$CZ$267,"&lt;="&amp;I$13)/AS51!$B$3,"")))</f>
        <v/>
      </c>
      <c r="J146" s="113">
        <f>IF(J$13="","",IF($B146="","",IFERROR($C146*$D146*SUMIFS('Dvd Calendar'!$E$268:$CZ$268,'Dvd Calendar'!$E$267:$CZ$267,"&gt;"&amp;J$12,'Dvd Calendar'!$E$267:$CZ$267,"&lt;="&amp;J$13)/AS51!$B$3,"")))</f>
        <v/>
      </c>
      <c r="K146" s="113">
        <f>IF(K$13="","",IF($B146="","",IFERROR($C146*$D146*SUMIFS('Dvd Calendar'!$E$268:$CZ$268,'Dvd Calendar'!$E$267:$CZ$267,"&gt;"&amp;K$12,'Dvd Calendar'!$E$267:$CZ$267,"&lt;="&amp;K$13)/AS51!$B$3,"")))</f>
        <v/>
      </c>
      <c r="L146" s="113">
        <f>IF(L$13="","",IF($B146="","",IFERROR($C146*$D146*SUMIFS('Dvd Calendar'!$E$268:$CZ$268,'Dvd Calendar'!$E$267:$CZ$267,"&gt;"&amp;L$12,'Dvd Calendar'!$E$267:$CZ$267,"&lt;="&amp;L$13)/AS51!$B$3,"")))</f>
        <v/>
      </c>
      <c r="M146" s="113">
        <f>IF(M$13="","",IF($B146="","",IFERROR($C146*$D146*SUMIFS('Dvd Calendar'!$E$268:$CZ$268,'Dvd Calendar'!$E$267:$CZ$267,"&gt;"&amp;M$12,'Dvd Calendar'!$E$267:$CZ$267,"&lt;="&amp;M$13)/AS51!$B$3,"")))</f>
        <v/>
      </c>
      <c r="N146" s="113">
        <f>IF(N$13="","",IF($B146="","",IFERROR($C146*$D146*SUMIFS('Dvd Calendar'!$E$268:$CZ$268,'Dvd Calendar'!$E$267:$CZ$267,"&gt;"&amp;N$12,'Dvd Calendar'!$E$267:$CZ$267,"&lt;="&amp;N$13)/AS51!$B$3,"")))</f>
        <v/>
      </c>
      <c r="O146" s="113">
        <f>IF(O$13="","",IF($B146="","",IFERROR($C146*$D146*SUMIFS('Dvd Calendar'!$E$268:$CZ$268,'Dvd Calendar'!$E$267:$CZ$267,"&gt;"&amp;O$12,'Dvd Calendar'!$E$267:$CZ$267,"&lt;="&amp;O$13)/AS51!$B$3,"")))</f>
        <v/>
      </c>
      <c r="P146" s="113">
        <f>IF(P$13="","",IF($B146="","",IFERROR($C146*$D146*SUMIFS('Dvd Calendar'!$E$268:$CZ$268,'Dvd Calendar'!$E$267:$CZ$267,"&gt;"&amp;P$12,'Dvd Calendar'!$E$267:$CZ$267,"&lt;="&amp;P$13)/AS51!$B$3,"")))</f>
        <v/>
      </c>
      <c r="Q146" s="113">
        <f>IF(Q$13="","",IF($B146="","",IFERROR($C146*$D146*SUMIFS('Dvd Calendar'!$E$268:$CZ$268,'Dvd Calendar'!$E$267:$CZ$267,"&gt;"&amp;Q$12,'Dvd Calendar'!$E$267:$CZ$267,"&lt;="&amp;Q$13)/AS51!$B$3,"")))</f>
        <v/>
      </c>
      <c r="R146" s="113">
        <f>IF(R$13="","",IF($B146="","",IFERROR($C146*$D146*SUMIFS('Dvd Calendar'!$E$268:$CZ$268,'Dvd Calendar'!$E$267:$CZ$267,"&gt;"&amp;R$12,'Dvd Calendar'!$E$267:$CZ$267,"&lt;="&amp;R$13)/AS51!$B$3,"")))</f>
        <v/>
      </c>
      <c r="S146" s="113">
        <f>IF(S$13="","",IF($B146="","",IFERROR($C146*$D146*SUMIFS('Dvd Calendar'!$E$268:$CZ$268,'Dvd Calendar'!$E$267:$CZ$267,"&gt;"&amp;S$12,'Dvd Calendar'!$E$267:$CZ$267,"&lt;="&amp;S$13)/AS51!$B$3,"")))</f>
        <v/>
      </c>
      <c r="T146" s="113">
        <f>IF(T$13="","",IF($B146="","",IFERROR($C146*$D146*SUMIFS('Dvd Calendar'!$E$268:$CZ$268,'Dvd Calendar'!$E$267:$CZ$267,"&gt;"&amp;T$12,'Dvd Calendar'!$E$267:$CZ$267,"&lt;="&amp;T$13)/AS51!$B$3,"")))</f>
        <v/>
      </c>
      <c r="U146" s="113">
        <f>IF(U$13="","",IF($B146="","",IFERROR($C146*$D146*SUMIFS('Dvd Calendar'!$E$268:$CZ$268,'Dvd Calendar'!$E$267:$CZ$267,"&gt;"&amp;U$12,'Dvd Calendar'!$E$267:$CZ$267,"&lt;="&amp;U$13)/AS51!$B$3,"")))</f>
        <v/>
      </c>
      <c r="W146" s="113">
        <f>IF(W$13="","",IF($B146="","",IFERROR(F146*$E146/100,"")))</f>
        <v/>
      </c>
      <c r="X146" s="113">
        <f>IF(X$13="","",IF($B146="","",IFERROR(G146*$E146/100,"")))</f>
        <v/>
      </c>
      <c r="Y146" s="113">
        <f>IF(Y$13="","",IF($B146="","",IFERROR(H146*$E146/100,"")))</f>
        <v/>
      </c>
      <c r="Z146" s="113">
        <f>IF(Z$13="","",IF($B146="","",IFERROR(I146*$E146/100,"")))</f>
        <v/>
      </c>
      <c r="AA146" s="113">
        <f>IF(AA$13="","",IF($B146="","",IFERROR(J146*$E146/100,"")))</f>
        <v/>
      </c>
      <c r="AB146" s="113">
        <f>IF(AB$13="","",IF($B146="","",IFERROR(K146*$E146/100,"")))</f>
        <v/>
      </c>
      <c r="AC146" s="113">
        <f>IF(AC$13="","",IF($B146="","",IFERROR(L146*$E146/100,"")))</f>
        <v/>
      </c>
      <c r="AD146" s="113">
        <f>IF(AD$13="","",IF($B146="","",IFERROR(M146*$E146/100,"")))</f>
        <v/>
      </c>
      <c r="AE146" s="113">
        <f>IF(AE$13="","",IF($B146="","",IFERROR(N146*$E146/100,"")))</f>
        <v/>
      </c>
      <c r="AF146" s="113">
        <f>IF(AF$13="","",IF($B146="","",IFERROR(O146*$E146/100,"")))</f>
        <v/>
      </c>
      <c r="AG146" s="113">
        <f>IF(AG$13="","",IF($B146="","",IFERROR(P146*$E146/100,"")))</f>
        <v/>
      </c>
      <c r="AH146" s="113">
        <f>IF(AH$13="","",IF($B146="","",IFERROR(Q146*$E146/100,"")))</f>
        <v/>
      </c>
      <c r="AI146" s="113">
        <f>IF(AI$13="","",IF($B146="","",IFERROR(R146*$E146/100,"")))</f>
        <v/>
      </c>
      <c r="AJ146" s="113">
        <f>IF(AJ$13="","",IF($B146="","",IFERROR(S146*$E146/100,"")))</f>
        <v/>
      </c>
      <c r="AK146" s="113">
        <f>IF(AK$13="","",IF($B146="","",IFERROR(T146*$E146/100,"")))</f>
        <v/>
      </c>
      <c r="AL146" s="113">
        <f>IF(AL$13="","",IF($B146="","",IFERROR(U146*$E146/100,"")))</f>
        <v/>
      </c>
    </row>
    <row r="147">
      <c r="B147" s="5">
        <f>IF(AS51!$C$137="","",AS51!$C$137)</f>
        <v/>
      </c>
      <c r="C147" s="86">
        <f>IF(AS51!$B$137="","",AS51!$B$137)</f>
        <v/>
      </c>
      <c r="D147" s="111">
        <f>IFERROR(AS51!$Q$137,1)</f>
        <v/>
      </c>
      <c r="E147" s="112">
        <f>IF($B147="","",IF(ISNUMBER(AS51!$I$137),AS51!$I$137,'Index Summary'!$C$7))</f>
        <v/>
      </c>
      <c r="F147" s="113">
        <f>IF(F$13="","",IF($B147="","",IFERROR($C147*$D147*SUMIFS('Dvd Calendar'!$E$270:$CZ$270,'Dvd Calendar'!$E$269:$CZ$269,"&gt;"&amp;F$12,'Dvd Calendar'!$E$269:$CZ$269,"&lt;="&amp;F$13)/AS51!$B$3,"")))</f>
        <v/>
      </c>
      <c r="G147" s="113">
        <f>IF(G$13="","",IF($B147="","",IFERROR($C147*$D147*SUMIFS('Dvd Calendar'!$E$270:$CZ$270,'Dvd Calendar'!$E$269:$CZ$269,"&gt;"&amp;G$12,'Dvd Calendar'!$E$269:$CZ$269,"&lt;="&amp;G$13)/AS51!$B$3,"")))</f>
        <v/>
      </c>
      <c r="H147" s="113">
        <f>IF(H$13="","",IF($B147="","",IFERROR($C147*$D147*SUMIFS('Dvd Calendar'!$E$270:$CZ$270,'Dvd Calendar'!$E$269:$CZ$269,"&gt;"&amp;H$12,'Dvd Calendar'!$E$269:$CZ$269,"&lt;="&amp;H$13)/AS51!$B$3,"")))</f>
        <v/>
      </c>
      <c r="I147" s="113">
        <f>IF(I$13="","",IF($B147="","",IFERROR($C147*$D147*SUMIFS('Dvd Calendar'!$E$270:$CZ$270,'Dvd Calendar'!$E$269:$CZ$269,"&gt;"&amp;I$12,'Dvd Calendar'!$E$269:$CZ$269,"&lt;="&amp;I$13)/AS51!$B$3,"")))</f>
        <v/>
      </c>
      <c r="J147" s="113">
        <f>IF(J$13="","",IF($B147="","",IFERROR($C147*$D147*SUMIFS('Dvd Calendar'!$E$270:$CZ$270,'Dvd Calendar'!$E$269:$CZ$269,"&gt;"&amp;J$12,'Dvd Calendar'!$E$269:$CZ$269,"&lt;="&amp;J$13)/AS51!$B$3,"")))</f>
        <v/>
      </c>
      <c r="K147" s="113">
        <f>IF(K$13="","",IF($B147="","",IFERROR($C147*$D147*SUMIFS('Dvd Calendar'!$E$270:$CZ$270,'Dvd Calendar'!$E$269:$CZ$269,"&gt;"&amp;K$12,'Dvd Calendar'!$E$269:$CZ$269,"&lt;="&amp;K$13)/AS51!$B$3,"")))</f>
        <v/>
      </c>
      <c r="L147" s="113">
        <f>IF(L$13="","",IF($B147="","",IFERROR($C147*$D147*SUMIFS('Dvd Calendar'!$E$270:$CZ$270,'Dvd Calendar'!$E$269:$CZ$269,"&gt;"&amp;L$12,'Dvd Calendar'!$E$269:$CZ$269,"&lt;="&amp;L$13)/AS51!$B$3,"")))</f>
        <v/>
      </c>
      <c r="M147" s="113">
        <f>IF(M$13="","",IF($B147="","",IFERROR($C147*$D147*SUMIFS('Dvd Calendar'!$E$270:$CZ$270,'Dvd Calendar'!$E$269:$CZ$269,"&gt;"&amp;M$12,'Dvd Calendar'!$E$269:$CZ$269,"&lt;="&amp;M$13)/AS51!$B$3,"")))</f>
        <v/>
      </c>
      <c r="N147" s="113">
        <f>IF(N$13="","",IF($B147="","",IFERROR($C147*$D147*SUMIFS('Dvd Calendar'!$E$270:$CZ$270,'Dvd Calendar'!$E$269:$CZ$269,"&gt;"&amp;N$12,'Dvd Calendar'!$E$269:$CZ$269,"&lt;="&amp;N$13)/AS51!$B$3,"")))</f>
        <v/>
      </c>
      <c r="O147" s="113">
        <f>IF(O$13="","",IF($B147="","",IFERROR($C147*$D147*SUMIFS('Dvd Calendar'!$E$270:$CZ$270,'Dvd Calendar'!$E$269:$CZ$269,"&gt;"&amp;O$12,'Dvd Calendar'!$E$269:$CZ$269,"&lt;="&amp;O$13)/AS51!$B$3,"")))</f>
        <v/>
      </c>
      <c r="P147" s="113">
        <f>IF(P$13="","",IF($B147="","",IFERROR($C147*$D147*SUMIFS('Dvd Calendar'!$E$270:$CZ$270,'Dvd Calendar'!$E$269:$CZ$269,"&gt;"&amp;P$12,'Dvd Calendar'!$E$269:$CZ$269,"&lt;="&amp;P$13)/AS51!$B$3,"")))</f>
        <v/>
      </c>
      <c r="Q147" s="113">
        <f>IF(Q$13="","",IF($B147="","",IFERROR($C147*$D147*SUMIFS('Dvd Calendar'!$E$270:$CZ$270,'Dvd Calendar'!$E$269:$CZ$269,"&gt;"&amp;Q$12,'Dvd Calendar'!$E$269:$CZ$269,"&lt;="&amp;Q$13)/AS51!$B$3,"")))</f>
        <v/>
      </c>
      <c r="R147" s="113">
        <f>IF(R$13="","",IF($B147="","",IFERROR($C147*$D147*SUMIFS('Dvd Calendar'!$E$270:$CZ$270,'Dvd Calendar'!$E$269:$CZ$269,"&gt;"&amp;R$12,'Dvd Calendar'!$E$269:$CZ$269,"&lt;="&amp;R$13)/AS51!$B$3,"")))</f>
        <v/>
      </c>
      <c r="S147" s="113">
        <f>IF(S$13="","",IF($B147="","",IFERROR($C147*$D147*SUMIFS('Dvd Calendar'!$E$270:$CZ$270,'Dvd Calendar'!$E$269:$CZ$269,"&gt;"&amp;S$12,'Dvd Calendar'!$E$269:$CZ$269,"&lt;="&amp;S$13)/AS51!$B$3,"")))</f>
        <v/>
      </c>
      <c r="T147" s="113">
        <f>IF(T$13="","",IF($B147="","",IFERROR($C147*$D147*SUMIFS('Dvd Calendar'!$E$270:$CZ$270,'Dvd Calendar'!$E$269:$CZ$269,"&gt;"&amp;T$12,'Dvd Calendar'!$E$269:$CZ$269,"&lt;="&amp;T$13)/AS51!$B$3,"")))</f>
        <v/>
      </c>
      <c r="U147" s="113">
        <f>IF(U$13="","",IF($B147="","",IFERROR($C147*$D147*SUMIFS('Dvd Calendar'!$E$270:$CZ$270,'Dvd Calendar'!$E$269:$CZ$269,"&gt;"&amp;U$12,'Dvd Calendar'!$E$269:$CZ$269,"&lt;="&amp;U$13)/AS51!$B$3,"")))</f>
        <v/>
      </c>
      <c r="W147" s="113">
        <f>IF(W$13="","",IF($B147="","",IFERROR(F147*$E147/100,"")))</f>
        <v/>
      </c>
      <c r="X147" s="113">
        <f>IF(X$13="","",IF($B147="","",IFERROR(G147*$E147/100,"")))</f>
        <v/>
      </c>
      <c r="Y147" s="113">
        <f>IF(Y$13="","",IF($B147="","",IFERROR(H147*$E147/100,"")))</f>
        <v/>
      </c>
      <c r="Z147" s="113">
        <f>IF(Z$13="","",IF($B147="","",IFERROR(I147*$E147/100,"")))</f>
        <v/>
      </c>
      <c r="AA147" s="113">
        <f>IF(AA$13="","",IF($B147="","",IFERROR(J147*$E147/100,"")))</f>
        <v/>
      </c>
      <c r="AB147" s="113">
        <f>IF(AB$13="","",IF($B147="","",IFERROR(K147*$E147/100,"")))</f>
        <v/>
      </c>
      <c r="AC147" s="113">
        <f>IF(AC$13="","",IF($B147="","",IFERROR(L147*$E147/100,"")))</f>
        <v/>
      </c>
      <c r="AD147" s="113">
        <f>IF(AD$13="","",IF($B147="","",IFERROR(M147*$E147/100,"")))</f>
        <v/>
      </c>
      <c r="AE147" s="113">
        <f>IF(AE$13="","",IF($B147="","",IFERROR(N147*$E147/100,"")))</f>
        <v/>
      </c>
      <c r="AF147" s="113">
        <f>IF(AF$13="","",IF($B147="","",IFERROR(O147*$E147/100,"")))</f>
        <v/>
      </c>
      <c r="AG147" s="113">
        <f>IF(AG$13="","",IF($B147="","",IFERROR(P147*$E147/100,"")))</f>
        <v/>
      </c>
      <c r="AH147" s="113">
        <f>IF(AH$13="","",IF($B147="","",IFERROR(Q147*$E147/100,"")))</f>
        <v/>
      </c>
      <c r="AI147" s="113">
        <f>IF(AI$13="","",IF($B147="","",IFERROR(R147*$E147/100,"")))</f>
        <v/>
      </c>
      <c r="AJ147" s="113">
        <f>IF(AJ$13="","",IF($B147="","",IFERROR(S147*$E147/100,"")))</f>
        <v/>
      </c>
      <c r="AK147" s="113">
        <f>IF(AK$13="","",IF($B147="","",IFERROR(T147*$E147/100,"")))</f>
        <v/>
      </c>
      <c r="AL147" s="113">
        <f>IF(AL$13="","",IF($B147="","",IFERROR(U147*$E147/100,"")))</f>
        <v/>
      </c>
    </row>
    <row r="148">
      <c r="B148" s="5">
        <f>IF(AS51!$C$138="","",AS51!$C$138)</f>
        <v/>
      </c>
      <c r="C148" s="86">
        <f>IF(AS51!$B$138="","",AS51!$B$138)</f>
        <v/>
      </c>
      <c r="D148" s="111">
        <f>IFERROR(AS51!$Q$138,1)</f>
        <v/>
      </c>
      <c r="E148" s="112">
        <f>IF($B148="","",IF(ISNUMBER(AS51!$I$138),AS51!$I$138,'Index Summary'!$C$7))</f>
        <v/>
      </c>
      <c r="F148" s="113">
        <f>IF(F$13="","",IF($B148="","",IFERROR($C148*$D148*SUMIFS('Dvd Calendar'!$E$272:$CZ$272,'Dvd Calendar'!$E$271:$CZ$271,"&gt;"&amp;F$12,'Dvd Calendar'!$E$271:$CZ$271,"&lt;="&amp;F$13)/AS51!$B$3,"")))</f>
        <v/>
      </c>
      <c r="G148" s="113">
        <f>IF(G$13="","",IF($B148="","",IFERROR($C148*$D148*SUMIFS('Dvd Calendar'!$E$272:$CZ$272,'Dvd Calendar'!$E$271:$CZ$271,"&gt;"&amp;G$12,'Dvd Calendar'!$E$271:$CZ$271,"&lt;="&amp;G$13)/AS51!$B$3,"")))</f>
        <v/>
      </c>
      <c r="H148" s="113">
        <f>IF(H$13="","",IF($B148="","",IFERROR($C148*$D148*SUMIFS('Dvd Calendar'!$E$272:$CZ$272,'Dvd Calendar'!$E$271:$CZ$271,"&gt;"&amp;H$12,'Dvd Calendar'!$E$271:$CZ$271,"&lt;="&amp;H$13)/AS51!$B$3,"")))</f>
        <v/>
      </c>
      <c r="I148" s="113">
        <f>IF(I$13="","",IF($B148="","",IFERROR($C148*$D148*SUMIFS('Dvd Calendar'!$E$272:$CZ$272,'Dvd Calendar'!$E$271:$CZ$271,"&gt;"&amp;I$12,'Dvd Calendar'!$E$271:$CZ$271,"&lt;="&amp;I$13)/AS51!$B$3,"")))</f>
        <v/>
      </c>
      <c r="J148" s="113">
        <f>IF(J$13="","",IF($B148="","",IFERROR($C148*$D148*SUMIFS('Dvd Calendar'!$E$272:$CZ$272,'Dvd Calendar'!$E$271:$CZ$271,"&gt;"&amp;J$12,'Dvd Calendar'!$E$271:$CZ$271,"&lt;="&amp;J$13)/AS51!$B$3,"")))</f>
        <v/>
      </c>
      <c r="K148" s="113">
        <f>IF(K$13="","",IF($B148="","",IFERROR($C148*$D148*SUMIFS('Dvd Calendar'!$E$272:$CZ$272,'Dvd Calendar'!$E$271:$CZ$271,"&gt;"&amp;K$12,'Dvd Calendar'!$E$271:$CZ$271,"&lt;="&amp;K$13)/AS51!$B$3,"")))</f>
        <v/>
      </c>
      <c r="L148" s="113">
        <f>IF(L$13="","",IF($B148="","",IFERROR($C148*$D148*SUMIFS('Dvd Calendar'!$E$272:$CZ$272,'Dvd Calendar'!$E$271:$CZ$271,"&gt;"&amp;L$12,'Dvd Calendar'!$E$271:$CZ$271,"&lt;="&amp;L$13)/AS51!$B$3,"")))</f>
        <v/>
      </c>
      <c r="M148" s="113">
        <f>IF(M$13="","",IF($B148="","",IFERROR($C148*$D148*SUMIFS('Dvd Calendar'!$E$272:$CZ$272,'Dvd Calendar'!$E$271:$CZ$271,"&gt;"&amp;M$12,'Dvd Calendar'!$E$271:$CZ$271,"&lt;="&amp;M$13)/AS51!$B$3,"")))</f>
        <v/>
      </c>
      <c r="N148" s="113">
        <f>IF(N$13="","",IF($B148="","",IFERROR($C148*$D148*SUMIFS('Dvd Calendar'!$E$272:$CZ$272,'Dvd Calendar'!$E$271:$CZ$271,"&gt;"&amp;N$12,'Dvd Calendar'!$E$271:$CZ$271,"&lt;="&amp;N$13)/AS51!$B$3,"")))</f>
        <v/>
      </c>
      <c r="O148" s="113">
        <f>IF(O$13="","",IF($B148="","",IFERROR($C148*$D148*SUMIFS('Dvd Calendar'!$E$272:$CZ$272,'Dvd Calendar'!$E$271:$CZ$271,"&gt;"&amp;O$12,'Dvd Calendar'!$E$271:$CZ$271,"&lt;="&amp;O$13)/AS51!$B$3,"")))</f>
        <v/>
      </c>
      <c r="P148" s="113">
        <f>IF(P$13="","",IF($B148="","",IFERROR($C148*$D148*SUMIFS('Dvd Calendar'!$E$272:$CZ$272,'Dvd Calendar'!$E$271:$CZ$271,"&gt;"&amp;P$12,'Dvd Calendar'!$E$271:$CZ$271,"&lt;="&amp;P$13)/AS51!$B$3,"")))</f>
        <v/>
      </c>
      <c r="Q148" s="113">
        <f>IF(Q$13="","",IF($B148="","",IFERROR($C148*$D148*SUMIFS('Dvd Calendar'!$E$272:$CZ$272,'Dvd Calendar'!$E$271:$CZ$271,"&gt;"&amp;Q$12,'Dvd Calendar'!$E$271:$CZ$271,"&lt;="&amp;Q$13)/AS51!$B$3,"")))</f>
        <v/>
      </c>
      <c r="R148" s="113">
        <f>IF(R$13="","",IF($B148="","",IFERROR($C148*$D148*SUMIFS('Dvd Calendar'!$E$272:$CZ$272,'Dvd Calendar'!$E$271:$CZ$271,"&gt;"&amp;R$12,'Dvd Calendar'!$E$271:$CZ$271,"&lt;="&amp;R$13)/AS51!$B$3,"")))</f>
        <v/>
      </c>
      <c r="S148" s="113">
        <f>IF(S$13="","",IF($B148="","",IFERROR($C148*$D148*SUMIFS('Dvd Calendar'!$E$272:$CZ$272,'Dvd Calendar'!$E$271:$CZ$271,"&gt;"&amp;S$12,'Dvd Calendar'!$E$271:$CZ$271,"&lt;="&amp;S$13)/AS51!$B$3,"")))</f>
        <v/>
      </c>
      <c r="T148" s="113">
        <f>IF(T$13="","",IF($B148="","",IFERROR($C148*$D148*SUMIFS('Dvd Calendar'!$E$272:$CZ$272,'Dvd Calendar'!$E$271:$CZ$271,"&gt;"&amp;T$12,'Dvd Calendar'!$E$271:$CZ$271,"&lt;="&amp;T$13)/AS51!$B$3,"")))</f>
        <v/>
      </c>
      <c r="U148" s="113">
        <f>IF(U$13="","",IF($B148="","",IFERROR($C148*$D148*SUMIFS('Dvd Calendar'!$E$272:$CZ$272,'Dvd Calendar'!$E$271:$CZ$271,"&gt;"&amp;U$12,'Dvd Calendar'!$E$271:$CZ$271,"&lt;="&amp;U$13)/AS51!$B$3,"")))</f>
        <v/>
      </c>
      <c r="W148" s="113">
        <f>IF(W$13="","",IF($B148="","",IFERROR(F148*$E148/100,"")))</f>
        <v/>
      </c>
      <c r="X148" s="113">
        <f>IF(X$13="","",IF($B148="","",IFERROR(G148*$E148/100,"")))</f>
        <v/>
      </c>
      <c r="Y148" s="113">
        <f>IF(Y$13="","",IF($B148="","",IFERROR(H148*$E148/100,"")))</f>
        <v/>
      </c>
      <c r="Z148" s="113">
        <f>IF(Z$13="","",IF($B148="","",IFERROR(I148*$E148/100,"")))</f>
        <v/>
      </c>
      <c r="AA148" s="113">
        <f>IF(AA$13="","",IF($B148="","",IFERROR(J148*$E148/100,"")))</f>
        <v/>
      </c>
      <c r="AB148" s="113">
        <f>IF(AB$13="","",IF($B148="","",IFERROR(K148*$E148/100,"")))</f>
        <v/>
      </c>
      <c r="AC148" s="113">
        <f>IF(AC$13="","",IF($B148="","",IFERROR(L148*$E148/100,"")))</f>
        <v/>
      </c>
      <c r="AD148" s="113">
        <f>IF(AD$13="","",IF($B148="","",IFERROR(M148*$E148/100,"")))</f>
        <v/>
      </c>
      <c r="AE148" s="113">
        <f>IF(AE$13="","",IF($B148="","",IFERROR(N148*$E148/100,"")))</f>
        <v/>
      </c>
      <c r="AF148" s="113">
        <f>IF(AF$13="","",IF($B148="","",IFERROR(O148*$E148/100,"")))</f>
        <v/>
      </c>
      <c r="AG148" s="113">
        <f>IF(AG$13="","",IF($B148="","",IFERROR(P148*$E148/100,"")))</f>
        <v/>
      </c>
      <c r="AH148" s="113">
        <f>IF(AH$13="","",IF($B148="","",IFERROR(Q148*$E148/100,"")))</f>
        <v/>
      </c>
      <c r="AI148" s="113">
        <f>IF(AI$13="","",IF($B148="","",IFERROR(R148*$E148/100,"")))</f>
        <v/>
      </c>
      <c r="AJ148" s="113">
        <f>IF(AJ$13="","",IF($B148="","",IFERROR(S148*$E148/100,"")))</f>
        <v/>
      </c>
      <c r="AK148" s="113">
        <f>IF(AK$13="","",IF($B148="","",IFERROR(T148*$E148/100,"")))</f>
        <v/>
      </c>
      <c r="AL148" s="113">
        <f>IF(AL$13="","",IF($B148="","",IFERROR(U148*$E148/100,"")))</f>
        <v/>
      </c>
    </row>
    <row r="149">
      <c r="B149" s="5">
        <f>IF(AS51!$C$139="","",AS51!$C$139)</f>
        <v/>
      </c>
      <c r="C149" s="86">
        <f>IF(AS51!$B$139="","",AS51!$B$139)</f>
        <v/>
      </c>
      <c r="D149" s="111">
        <f>IFERROR(AS51!$Q$139,1)</f>
        <v/>
      </c>
      <c r="E149" s="112">
        <f>IF($B149="","",IF(ISNUMBER(AS51!$I$139),AS51!$I$139,'Index Summary'!$C$7))</f>
        <v/>
      </c>
      <c r="F149" s="113">
        <f>IF(F$13="","",IF($B149="","",IFERROR($C149*$D149*SUMIFS('Dvd Calendar'!$E$274:$CZ$274,'Dvd Calendar'!$E$273:$CZ$273,"&gt;"&amp;F$12,'Dvd Calendar'!$E$273:$CZ$273,"&lt;="&amp;F$13)/AS51!$B$3,"")))</f>
        <v/>
      </c>
      <c r="G149" s="113">
        <f>IF(G$13="","",IF($B149="","",IFERROR($C149*$D149*SUMIFS('Dvd Calendar'!$E$274:$CZ$274,'Dvd Calendar'!$E$273:$CZ$273,"&gt;"&amp;G$12,'Dvd Calendar'!$E$273:$CZ$273,"&lt;="&amp;G$13)/AS51!$B$3,"")))</f>
        <v/>
      </c>
      <c r="H149" s="113">
        <f>IF(H$13="","",IF($B149="","",IFERROR($C149*$D149*SUMIFS('Dvd Calendar'!$E$274:$CZ$274,'Dvd Calendar'!$E$273:$CZ$273,"&gt;"&amp;H$12,'Dvd Calendar'!$E$273:$CZ$273,"&lt;="&amp;H$13)/AS51!$B$3,"")))</f>
        <v/>
      </c>
      <c r="I149" s="113">
        <f>IF(I$13="","",IF($B149="","",IFERROR($C149*$D149*SUMIFS('Dvd Calendar'!$E$274:$CZ$274,'Dvd Calendar'!$E$273:$CZ$273,"&gt;"&amp;I$12,'Dvd Calendar'!$E$273:$CZ$273,"&lt;="&amp;I$13)/AS51!$B$3,"")))</f>
        <v/>
      </c>
      <c r="J149" s="113">
        <f>IF(J$13="","",IF($B149="","",IFERROR($C149*$D149*SUMIFS('Dvd Calendar'!$E$274:$CZ$274,'Dvd Calendar'!$E$273:$CZ$273,"&gt;"&amp;J$12,'Dvd Calendar'!$E$273:$CZ$273,"&lt;="&amp;J$13)/AS51!$B$3,"")))</f>
        <v/>
      </c>
      <c r="K149" s="113">
        <f>IF(K$13="","",IF($B149="","",IFERROR($C149*$D149*SUMIFS('Dvd Calendar'!$E$274:$CZ$274,'Dvd Calendar'!$E$273:$CZ$273,"&gt;"&amp;K$12,'Dvd Calendar'!$E$273:$CZ$273,"&lt;="&amp;K$13)/AS51!$B$3,"")))</f>
        <v/>
      </c>
      <c r="L149" s="113">
        <f>IF(L$13="","",IF($B149="","",IFERROR($C149*$D149*SUMIFS('Dvd Calendar'!$E$274:$CZ$274,'Dvd Calendar'!$E$273:$CZ$273,"&gt;"&amp;L$12,'Dvd Calendar'!$E$273:$CZ$273,"&lt;="&amp;L$13)/AS51!$B$3,"")))</f>
        <v/>
      </c>
      <c r="M149" s="113">
        <f>IF(M$13="","",IF($B149="","",IFERROR($C149*$D149*SUMIFS('Dvd Calendar'!$E$274:$CZ$274,'Dvd Calendar'!$E$273:$CZ$273,"&gt;"&amp;M$12,'Dvd Calendar'!$E$273:$CZ$273,"&lt;="&amp;M$13)/AS51!$B$3,"")))</f>
        <v/>
      </c>
      <c r="N149" s="113">
        <f>IF(N$13="","",IF($B149="","",IFERROR($C149*$D149*SUMIFS('Dvd Calendar'!$E$274:$CZ$274,'Dvd Calendar'!$E$273:$CZ$273,"&gt;"&amp;N$12,'Dvd Calendar'!$E$273:$CZ$273,"&lt;="&amp;N$13)/AS51!$B$3,"")))</f>
        <v/>
      </c>
      <c r="O149" s="113">
        <f>IF(O$13="","",IF($B149="","",IFERROR($C149*$D149*SUMIFS('Dvd Calendar'!$E$274:$CZ$274,'Dvd Calendar'!$E$273:$CZ$273,"&gt;"&amp;O$12,'Dvd Calendar'!$E$273:$CZ$273,"&lt;="&amp;O$13)/AS51!$B$3,"")))</f>
        <v/>
      </c>
      <c r="P149" s="113">
        <f>IF(P$13="","",IF($B149="","",IFERROR($C149*$D149*SUMIFS('Dvd Calendar'!$E$274:$CZ$274,'Dvd Calendar'!$E$273:$CZ$273,"&gt;"&amp;P$12,'Dvd Calendar'!$E$273:$CZ$273,"&lt;="&amp;P$13)/AS51!$B$3,"")))</f>
        <v/>
      </c>
      <c r="Q149" s="113">
        <f>IF(Q$13="","",IF($B149="","",IFERROR($C149*$D149*SUMIFS('Dvd Calendar'!$E$274:$CZ$274,'Dvd Calendar'!$E$273:$CZ$273,"&gt;"&amp;Q$12,'Dvd Calendar'!$E$273:$CZ$273,"&lt;="&amp;Q$13)/AS51!$B$3,"")))</f>
        <v/>
      </c>
      <c r="R149" s="113">
        <f>IF(R$13="","",IF($B149="","",IFERROR($C149*$D149*SUMIFS('Dvd Calendar'!$E$274:$CZ$274,'Dvd Calendar'!$E$273:$CZ$273,"&gt;"&amp;R$12,'Dvd Calendar'!$E$273:$CZ$273,"&lt;="&amp;R$13)/AS51!$B$3,"")))</f>
        <v/>
      </c>
      <c r="S149" s="113">
        <f>IF(S$13="","",IF($B149="","",IFERROR($C149*$D149*SUMIFS('Dvd Calendar'!$E$274:$CZ$274,'Dvd Calendar'!$E$273:$CZ$273,"&gt;"&amp;S$12,'Dvd Calendar'!$E$273:$CZ$273,"&lt;="&amp;S$13)/AS51!$B$3,"")))</f>
        <v/>
      </c>
      <c r="T149" s="113">
        <f>IF(T$13="","",IF($B149="","",IFERROR($C149*$D149*SUMIFS('Dvd Calendar'!$E$274:$CZ$274,'Dvd Calendar'!$E$273:$CZ$273,"&gt;"&amp;T$12,'Dvd Calendar'!$E$273:$CZ$273,"&lt;="&amp;T$13)/AS51!$B$3,"")))</f>
        <v/>
      </c>
      <c r="U149" s="113">
        <f>IF(U$13="","",IF($B149="","",IFERROR($C149*$D149*SUMIFS('Dvd Calendar'!$E$274:$CZ$274,'Dvd Calendar'!$E$273:$CZ$273,"&gt;"&amp;U$12,'Dvd Calendar'!$E$273:$CZ$273,"&lt;="&amp;U$13)/AS51!$B$3,"")))</f>
        <v/>
      </c>
      <c r="W149" s="113">
        <f>IF(W$13="","",IF($B149="","",IFERROR(F149*$E149/100,"")))</f>
        <v/>
      </c>
      <c r="X149" s="113">
        <f>IF(X$13="","",IF($B149="","",IFERROR(G149*$E149/100,"")))</f>
        <v/>
      </c>
      <c r="Y149" s="113">
        <f>IF(Y$13="","",IF($B149="","",IFERROR(H149*$E149/100,"")))</f>
        <v/>
      </c>
      <c r="Z149" s="113">
        <f>IF(Z$13="","",IF($B149="","",IFERROR(I149*$E149/100,"")))</f>
        <v/>
      </c>
      <c r="AA149" s="113">
        <f>IF(AA$13="","",IF($B149="","",IFERROR(J149*$E149/100,"")))</f>
        <v/>
      </c>
      <c r="AB149" s="113">
        <f>IF(AB$13="","",IF($B149="","",IFERROR(K149*$E149/100,"")))</f>
        <v/>
      </c>
      <c r="AC149" s="113">
        <f>IF(AC$13="","",IF($B149="","",IFERROR(L149*$E149/100,"")))</f>
        <v/>
      </c>
      <c r="AD149" s="113">
        <f>IF(AD$13="","",IF($B149="","",IFERROR(M149*$E149/100,"")))</f>
        <v/>
      </c>
      <c r="AE149" s="113">
        <f>IF(AE$13="","",IF($B149="","",IFERROR(N149*$E149/100,"")))</f>
        <v/>
      </c>
      <c r="AF149" s="113">
        <f>IF(AF$13="","",IF($B149="","",IFERROR(O149*$E149/100,"")))</f>
        <v/>
      </c>
      <c r="AG149" s="113">
        <f>IF(AG$13="","",IF($B149="","",IFERROR(P149*$E149/100,"")))</f>
        <v/>
      </c>
      <c r="AH149" s="113">
        <f>IF(AH$13="","",IF($B149="","",IFERROR(Q149*$E149/100,"")))</f>
        <v/>
      </c>
      <c r="AI149" s="113">
        <f>IF(AI$13="","",IF($B149="","",IFERROR(R149*$E149/100,"")))</f>
        <v/>
      </c>
      <c r="AJ149" s="113">
        <f>IF(AJ$13="","",IF($B149="","",IFERROR(S149*$E149/100,"")))</f>
        <v/>
      </c>
      <c r="AK149" s="113">
        <f>IF(AK$13="","",IF($B149="","",IFERROR(T149*$E149/100,"")))</f>
        <v/>
      </c>
      <c r="AL149" s="113">
        <f>IF(AL$13="","",IF($B149="","",IFERROR(U149*$E149/100,"")))</f>
        <v/>
      </c>
    </row>
    <row r="150">
      <c r="B150" s="5">
        <f>IF(AS51!$C$140="","",AS51!$C$140)</f>
        <v/>
      </c>
      <c r="C150" s="86">
        <f>IF(AS51!$B$140="","",AS51!$B$140)</f>
        <v/>
      </c>
      <c r="D150" s="111">
        <f>IFERROR(AS51!$Q$140,1)</f>
        <v/>
      </c>
      <c r="E150" s="112">
        <f>IF($B150="","",IF(ISNUMBER(AS51!$I$140),AS51!$I$140,'Index Summary'!$C$7))</f>
        <v/>
      </c>
      <c r="F150" s="113">
        <f>IF(F$13="","",IF($B150="","",IFERROR($C150*$D150*SUMIFS('Dvd Calendar'!$E$276:$CZ$276,'Dvd Calendar'!$E$275:$CZ$275,"&gt;"&amp;F$12,'Dvd Calendar'!$E$275:$CZ$275,"&lt;="&amp;F$13)/AS51!$B$3,"")))</f>
        <v/>
      </c>
      <c r="G150" s="113">
        <f>IF(G$13="","",IF($B150="","",IFERROR($C150*$D150*SUMIFS('Dvd Calendar'!$E$276:$CZ$276,'Dvd Calendar'!$E$275:$CZ$275,"&gt;"&amp;G$12,'Dvd Calendar'!$E$275:$CZ$275,"&lt;="&amp;G$13)/AS51!$B$3,"")))</f>
        <v/>
      </c>
      <c r="H150" s="113">
        <f>IF(H$13="","",IF($B150="","",IFERROR($C150*$D150*SUMIFS('Dvd Calendar'!$E$276:$CZ$276,'Dvd Calendar'!$E$275:$CZ$275,"&gt;"&amp;H$12,'Dvd Calendar'!$E$275:$CZ$275,"&lt;="&amp;H$13)/AS51!$B$3,"")))</f>
        <v/>
      </c>
      <c r="I150" s="113">
        <f>IF(I$13="","",IF($B150="","",IFERROR($C150*$D150*SUMIFS('Dvd Calendar'!$E$276:$CZ$276,'Dvd Calendar'!$E$275:$CZ$275,"&gt;"&amp;I$12,'Dvd Calendar'!$E$275:$CZ$275,"&lt;="&amp;I$13)/AS51!$B$3,"")))</f>
        <v/>
      </c>
      <c r="J150" s="113">
        <f>IF(J$13="","",IF($B150="","",IFERROR($C150*$D150*SUMIFS('Dvd Calendar'!$E$276:$CZ$276,'Dvd Calendar'!$E$275:$CZ$275,"&gt;"&amp;J$12,'Dvd Calendar'!$E$275:$CZ$275,"&lt;="&amp;J$13)/AS51!$B$3,"")))</f>
        <v/>
      </c>
      <c r="K150" s="113">
        <f>IF(K$13="","",IF($B150="","",IFERROR($C150*$D150*SUMIFS('Dvd Calendar'!$E$276:$CZ$276,'Dvd Calendar'!$E$275:$CZ$275,"&gt;"&amp;K$12,'Dvd Calendar'!$E$275:$CZ$275,"&lt;="&amp;K$13)/AS51!$B$3,"")))</f>
        <v/>
      </c>
      <c r="L150" s="113">
        <f>IF(L$13="","",IF($B150="","",IFERROR($C150*$D150*SUMIFS('Dvd Calendar'!$E$276:$CZ$276,'Dvd Calendar'!$E$275:$CZ$275,"&gt;"&amp;L$12,'Dvd Calendar'!$E$275:$CZ$275,"&lt;="&amp;L$13)/AS51!$B$3,"")))</f>
        <v/>
      </c>
      <c r="M150" s="113">
        <f>IF(M$13="","",IF($B150="","",IFERROR($C150*$D150*SUMIFS('Dvd Calendar'!$E$276:$CZ$276,'Dvd Calendar'!$E$275:$CZ$275,"&gt;"&amp;M$12,'Dvd Calendar'!$E$275:$CZ$275,"&lt;="&amp;M$13)/AS51!$B$3,"")))</f>
        <v/>
      </c>
      <c r="N150" s="113">
        <f>IF(N$13="","",IF($B150="","",IFERROR($C150*$D150*SUMIFS('Dvd Calendar'!$E$276:$CZ$276,'Dvd Calendar'!$E$275:$CZ$275,"&gt;"&amp;N$12,'Dvd Calendar'!$E$275:$CZ$275,"&lt;="&amp;N$13)/AS51!$B$3,"")))</f>
        <v/>
      </c>
      <c r="O150" s="113">
        <f>IF(O$13="","",IF($B150="","",IFERROR($C150*$D150*SUMIFS('Dvd Calendar'!$E$276:$CZ$276,'Dvd Calendar'!$E$275:$CZ$275,"&gt;"&amp;O$12,'Dvd Calendar'!$E$275:$CZ$275,"&lt;="&amp;O$13)/AS51!$B$3,"")))</f>
        <v/>
      </c>
      <c r="P150" s="113">
        <f>IF(P$13="","",IF($B150="","",IFERROR($C150*$D150*SUMIFS('Dvd Calendar'!$E$276:$CZ$276,'Dvd Calendar'!$E$275:$CZ$275,"&gt;"&amp;P$12,'Dvd Calendar'!$E$275:$CZ$275,"&lt;="&amp;P$13)/AS51!$B$3,"")))</f>
        <v/>
      </c>
      <c r="Q150" s="113">
        <f>IF(Q$13="","",IF($B150="","",IFERROR($C150*$D150*SUMIFS('Dvd Calendar'!$E$276:$CZ$276,'Dvd Calendar'!$E$275:$CZ$275,"&gt;"&amp;Q$12,'Dvd Calendar'!$E$275:$CZ$275,"&lt;="&amp;Q$13)/AS51!$B$3,"")))</f>
        <v/>
      </c>
      <c r="R150" s="113">
        <f>IF(R$13="","",IF($B150="","",IFERROR($C150*$D150*SUMIFS('Dvd Calendar'!$E$276:$CZ$276,'Dvd Calendar'!$E$275:$CZ$275,"&gt;"&amp;R$12,'Dvd Calendar'!$E$275:$CZ$275,"&lt;="&amp;R$13)/AS51!$B$3,"")))</f>
        <v/>
      </c>
      <c r="S150" s="113">
        <f>IF(S$13="","",IF($B150="","",IFERROR($C150*$D150*SUMIFS('Dvd Calendar'!$E$276:$CZ$276,'Dvd Calendar'!$E$275:$CZ$275,"&gt;"&amp;S$12,'Dvd Calendar'!$E$275:$CZ$275,"&lt;="&amp;S$13)/AS51!$B$3,"")))</f>
        <v/>
      </c>
      <c r="T150" s="113">
        <f>IF(T$13="","",IF($B150="","",IFERROR($C150*$D150*SUMIFS('Dvd Calendar'!$E$276:$CZ$276,'Dvd Calendar'!$E$275:$CZ$275,"&gt;"&amp;T$12,'Dvd Calendar'!$E$275:$CZ$275,"&lt;="&amp;T$13)/AS51!$B$3,"")))</f>
        <v/>
      </c>
      <c r="U150" s="113">
        <f>IF(U$13="","",IF($B150="","",IFERROR($C150*$D150*SUMIFS('Dvd Calendar'!$E$276:$CZ$276,'Dvd Calendar'!$E$275:$CZ$275,"&gt;"&amp;U$12,'Dvd Calendar'!$E$275:$CZ$275,"&lt;="&amp;U$13)/AS51!$B$3,"")))</f>
        <v/>
      </c>
      <c r="W150" s="113">
        <f>IF(W$13="","",IF($B150="","",IFERROR(F150*$E150/100,"")))</f>
        <v/>
      </c>
      <c r="X150" s="113">
        <f>IF(X$13="","",IF($B150="","",IFERROR(G150*$E150/100,"")))</f>
        <v/>
      </c>
      <c r="Y150" s="113">
        <f>IF(Y$13="","",IF($B150="","",IFERROR(H150*$E150/100,"")))</f>
        <v/>
      </c>
      <c r="Z150" s="113">
        <f>IF(Z$13="","",IF($B150="","",IFERROR(I150*$E150/100,"")))</f>
        <v/>
      </c>
      <c r="AA150" s="113">
        <f>IF(AA$13="","",IF($B150="","",IFERROR(J150*$E150/100,"")))</f>
        <v/>
      </c>
      <c r="AB150" s="113">
        <f>IF(AB$13="","",IF($B150="","",IFERROR(K150*$E150/100,"")))</f>
        <v/>
      </c>
      <c r="AC150" s="113">
        <f>IF(AC$13="","",IF($B150="","",IFERROR(L150*$E150/100,"")))</f>
        <v/>
      </c>
      <c r="AD150" s="113">
        <f>IF(AD$13="","",IF($B150="","",IFERROR(M150*$E150/100,"")))</f>
        <v/>
      </c>
      <c r="AE150" s="113">
        <f>IF(AE$13="","",IF($B150="","",IFERROR(N150*$E150/100,"")))</f>
        <v/>
      </c>
      <c r="AF150" s="113">
        <f>IF(AF$13="","",IF($B150="","",IFERROR(O150*$E150/100,"")))</f>
        <v/>
      </c>
      <c r="AG150" s="113">
        <f>IF(AG$13="","",IF($B150="","",IFERROR(P150*$E150/100,"")))</f>
        <v/>
      </c>
      <c r="AH150" s="113">
        <f>IF(AH$13="","",IF($B150="","",IFERROR(Q150*$E150/100,"")))</f>
        <v/>
      </c>
      <c r="AI150" s="113">
        <f>IF(AI$13="","",IF($B150="","",IFERROR(R150*$E150/100,"")))</f>
        <v/>
      </c>
      <c r="AJ150" s="113">
        <f>IF(AJ$13="","",IF($B150="","",IFERROR(S150*$E150/100,"")))</f>
        <v/>
      </c>
      <c r="AK150" s="113">
        <f>IF(AK$13="","",IF($B150="","",IFERROR(T150*$E150/100,"")))</f>
        <v/>
      </c>
      <c r="AL150" s="113">
        <f>IF(AL$13="","",IF($B150="","",IFERROR(U150*$E150/100,"")))</f>
        <v/>
      </c>
    </row>
    <row r="151">
      <c r="B151" s="5">
        <f>IF(AS51!$C$141="","",AS51!$C$141)</f>
        <v/>
      </c>
      <c r="C151" s="86">
        <f>IF(AS51!$B$141="","",AS51!$B$141)</f>
        <v/>
      </c>
      <c r="D151" s="111">
        <f>IFERROR(AS51!$Q$141,1)</f>
        <v/>
      </c>
      <c r="E151" s="112">
        <f>IF($B151="","",IF(ISNUMBER(AS51!$I$141),AS51!$I$141,'Index Summary'!$C$7))</f>
        <v/>
      </c>
      <c r="F151" s="113">
        <f>IF(F$13="","",IF($B151="","",IFERROR($C151*$D151*SUMIFS('Dvd Calendar'!$E$278:$CZ$278,'Dvd Calendar'!$E$277:$CZ$277,"&gt;"&amp;F$12,'Dvd Calendar'!$E$277:$CZ$277,"&lt;="&amp;F$13)/AS51!$B$3,"")))</f>
        <v/>
      </c>
      <c r="G151" s="113">
        <f>IF(G$13="","",IF($B151="","",IFERROR($C151*$D151*SUMIFS('Dvd Calendar'!$E$278:$CZ$278,'Dvd Calendar'!$E$277:$CZ$277,"&gt;"&amp;G$12,'Dvd Calendar'!$E$277:$CZ$277,"&lt;="&amp;G$13)/AS51!$B$3,"")))</f>
        <v/>
      </c>
      <c r="H151" s="113">
        <f>IF(H$13="","",IF($B151="","",IFERROR($C151*$D151*SUMIFS('Dvd Calendar'!$E$278:$CZ$278,'Dvd Calendar'!$E$277:$CZ$277,"&gt;"&amp;H$12,'Dvd Calendar'!$E$277:$CZ$277,"&lt;="&amp;H$13)/AS51!$B$3,"")))</f>
        <v/>
      </c>
      <c r="I151" s="113">
        <f>IF(I$13="","",IF($B151="","",IFERROR($C151*$D151*SUMIFS('Dvd Calendar'!$E$278:$CZ$278,'Dvd Calendar'!$E$277:$CZ$277,"&gt;"&amp;I$12,'Dvd Calendar'!$E$277:$CZ$277,"&lt;="&amp;I$13)/AS51!$B$3,"")))</f>
        <v/>
      </c>
      <c r="J151" s="113">
        <f>IF(J$13="","",IF($B151="","",IFERROR($C151*$D151*SUMIFS('Dvd Calendar'!$E$278:$CZ$278,'Dvd Calendar'!$E$277:$CZ$277,"&gt;"&amp;J$12,'Dvd Calendar'!$E$277:$CZ$277,"&lt;="&amp;J$13)/AS51!$B$3,"")))</f>
        <v/>
      </c>
      <c r="K151" s="113">
        <f>IF(K$13="","",IF($B151="","",IFERROR($C151*$D151*SUMIFS('Dvd Calendar'!$E$278:$CZ$278,'Dvd Calendar'!$E$277:$CZ$277,"&gt;"&amp;K$12,'Dvd Calendar'!$E$277:$CZ$277,"&lt;="&amp;K$13)/AS51!$B$3,"")))</f>
        <v/>
      </c>
      <c r="L151" s="113">
        <f>IF(L$13="","",IF($B151="","",IFERROR($C151*$D151*SUMIFS('Dvd Calendar'!$E$278:$CZ$278,'Dvd Calendar'!$E$277:$CZ$277,"&gt;"&amp;L$12,'Dvd Calendar'!$E$277:$CZ$277,"&lt;="&amp;L$13)/AS51!$B$3,"")))</f>
        <v/>
      </c>
      <c r="M151" s="113">
        <f>IF(M$13="","",IF($B151="","",IFERROR($C151*$D151*SUMIFS('Dvd Calendar'!$E$278:$CZ$278,'Dvd Calendar'!$E$277:$CZ$277,"&gt;"&amp;M$12,'Dvd Calendar'!$E$277:$CZ$277,"&lt;="&amp;M$13)/AS51!$B$3,"")))</f>
        <v/>
      </c>
      <c r="N151" s="113">
        <f>IF(N$13="","",IF($B151="","",IFERROR($C151*$D151*SUMIFS('Dvd Calendar'!$E$278:$CZ$278,'Dvd Calendar'!$E$277:$CZ$277,"&gt;"&amp;N$12,'Dvd Calendar'!$E$277:$CZ$277,"&lt;="&amp;N$13)/AS51!$B$3,"")))</f>
        <v/>
      </c>
      <c r="O151" s="113">
        <f>IF(O$13="","",IF($B151="","",IFERROR($C151*$D151*SUMIFS('Dvd Calendar'!$E$278:$CZ$278,'Dvd Calendar'!$E$277:$CZ$277,"&gt;"&amp;O$12,'Dvd Calendar'!$E$277:$CZ$277,"&lt;="&amp;O$13)/AS51!$B$3,"")))</f>
        <v/>
      </c>
      <c r="P151" s="113">
        <f>IF(P$13="","",IF($B151="","",IFERROR($C151*$D151*SUMIFS('Dvd Calendar'!$E$278:$CZ$278,'Dvd Calendar'!$E$277:$CZ$277,"&gt;"&amp;P$12,'Dvd Calendar'!$E$277:$CZ$277,"&lt;="&amp;P$13)/AS51!$B$3,"")))</f>
        <v/>
      </c>
      <c r="Q151" s="113">
        <f>IF(Q$13="","",IF($B151="","",IFERROR($C151*$D151*SUMIFS('Dvd Calendar'!$E$278:$CZ$278,'Dvd Calendar'!$E$277:$CZ$277,"&gt;"&amp;Q$12,'Dvd Calendar'!$E$277:$CZ$277,"&lt;="&amp;Q$13)/AS51!$B$3,"")))</f>
        <v/>
      </c>
      <c r="R151" s="113">
        <f>IF(R$13="","",IF($B151="","",IFERROR($C151*$D151*SUMIFS('Dvd Calendar'!$E$278:$CZ$278,'Dvd Calendar'!$E$277:$CZ$277,"&gt;"&amp;R$12,'Dvd Calendar'!$E$277:$CZ$277,"&lt;="&amp;R$13)/AS51!$B$3,"")))</f>
        <v/>
      </c>
      <c r="S151" s="113">
        <f>IF(S$13="","",IF($B151="","",IFERROR($C151*$D151*SUMIFS('Dvd Calendar'!$E$278:$CZ$278,'Dvd Calendar'!$E$277:$CZ$277,"&gt;"&amp;S$12,'Dvd Calendar'!$E$277:$CZ$277,"&lt;="&amp;S$13)/AS51!$B$3,"")))</f>
        <v/>
      </c>
      <c r="T151" s="113">
        <f>IF(T$13="","",IF($B151="","",IFERROR($C151*$D151*SUMIFS('Dvd Calendar'!$E$278:$CZ$278,'Dvd Calendar'!$E$277:$CZ$277,"&gt;"&amp;T$12,'Dvd Calendar'!$E$277:$CZ$277,"&lt;="&amp;T$13)/AS51!$B$3,"")))</f>
        <v/>
      </c>
      <c r="U151" s="113">
        <f>IF(U$13="","",IF($B151="","",IFERROR($C151*$D151*SUMIFS('Dvd Calendar'!$E$278:$CZ$278,'Dvd Calendar'!$E$277:$CZ$277,"&gt;"&amp;U$12,'Dvd Calendar'!$E$277:$CZ$277,"&lt;="&amp;U$13)/AS51!$B$3,"")))</f>
        <v/>
      </c>
      <c r="W151" s="113">
        <f>IF(W$13="","",IF($B151="","",IFERROR(F151*$E151/100,"")))</f>
        <v/>
      </c>
      <c r="X151" s="113">
        <f>IF(X$13="","",IF($B151="","",IFERROR(G151*$E151/100,"")))</f>
        <v/>
      </c>
      <c r="Y151" s="113">
        <f>IF(Y$13="","",IF($B151="","",IFERROR(H151*$E151/100,"")))</f>
        <v/>
      </c>
      <c r="Z151" s="113">
        <f>IF(Z$13="","",IF($B151="","",IFERROR(I151*$E151/100,"")))</f>
        <v/>
      </c>
      <c r="AA151" s="113">
        <f>IF(AA$13="","",IF($B151="","",IFERROR(J151*$E151/100,"")))</f>
        <v/>
      </c>
      <c r="AB151" s="113">
        <f>IF(AB$13="","",IF($B151="","",IFERROR(K151*$E151/100,"")))</f>
        <v/>
      </c>
      <c r="AC151" s="113">
        <f>IF(AC$13="","",IF($B151="","",IFERROR(L151*$E151/100,"")))</f>
        <v/>
      </c>
      <c r="AD151" s="113">
        <f>IF(AD$13="","",IF($B151="","",IFERROR(M151*$E151/100,"")))</f>
        <v/>
      </c>
      <c r="AE151" s="113">
        <f>IF(AE$13="","",IF($B151="","",IFERROR(N151*$E151/100,"")))</f>
        <v/>
      </c>
      <c r="AF151" s="113">
        <f>IF(AF$13="","",IF($B151="","",IFERROR(O151*$E151/100,"")))</f>
        <v/>
      </c>
      <c r="AG151" s="113">
        <f>IF(AG$13="","",IF($B151="","",IFERROR(P151*$E151/100,"")))</f>
        <v/>
      </c>
      <c r="AH151" s="113">
        <f>IF(AH$13="","",IF($B151="","",IFERROR(Q151*$E151/100,"")))</f>
        <v/>
      </c>
      <c r="AI151" s="113">
        <f>IF(AI$13="","",IF($B151="","",IFERROR(R151*$E151/100,"")))</f>
        <v/>
      </c>
      <c r="AJ151" s="113">
        <f>IF(AJ$13="","",IF($B151="","",IFERROR(S151*$E151/100,"")))</f>
        <v/>
      </c>
      <c r="AK151" s="113">
        <f>IF(AK$13="","",IF($B151="","",IFERROR(T151*$E151/100,"")))</f>
        <v/>
      </c>
      <c r="AL151" s="113">
        <f>IF(AL$13="","",IF($B151="","",IFERROR(U151*$E151/100,"")))</f>
        <v/>
      </c>
    </row>
    <row r="152">
      <c r="B152" s="5">
        <f>IF(AS51!$C$142="","",AS51!$C$142)</f>
        <v/>
      </c>
      <c r="C152" s="86">
        <f>IF(AS51!$B$142="","",AS51!$B$142)</f>
        <v/>
      </c>
      <c r="D152" s="111">
        <f>IFERROR(AS51!$Q$142,1)</f>
        <v/>
      </c>
      <c r="E152" s="112">
        <f>IF($B152="","",IF(ISNUMBER(AS51!$I$142),AS51!$I$142,'Index Summary'!$C$7))</f>
        <v/>
      </c>
      <c r="F152" s="113">
        <f>IF(F$13="","",IF($B152="","",IFERROR($C152*$D152*SUMIFS('Dvd Calendar'!$E$280:$CZ$280,'Dvd Calendar'!$E$279:$CZ$279,"&gt;"&amp;F$12,'Dvd Calendar'!$E$279:$CZ$279,"&lt;="&amp;F$13)/AS51!$B$3,"")))</f>
        <v/>
      </c>
      <c r="G152" s="113">
        <f>IF(G$13="","",IF($B152="","",IFERROR($C152*$D152*SUMIFS('Dvd Calendar'!$E$280:$CZ$280,'Dvd Calendar'!$E$279:$CZ$279,"&gt;"&amp;G$12,'Dvd Calendar'!$E$279:$CZ$279,"&lt;="&amp;G$13)/AS51!$B$3,"")))</f>
        <v/>
      </c>
      <c r="H152" s="113">
        <f>IF(H$13="","",IF($B152="","",IFERROR($C152*$D152*SUMIFS('Dvd Calendar'!$E$280:$CZ$280,'Dvd Calendar'!$E$279:$CZ$279,"&gt;"&amp;H$12,'Dvd Calendar'!$E$279:$CZ$279,"&lt;="&amp;H$13)/AS51!$B$3,"")))</f>
        <v/>
      </c>
      <c r="I152" s="113">
        <f>IF(I$13="","",IF($B152="","",IFERROR($C152*$D152*SUMIFS('Dvd Calendar'!$E$280:$CZ$280,'Dvd Calendar'!$E$279:$CZ$279,"&gt;"&amp;I$12,'Dvd Calendar'!$E$279:$CZ$279,"&lt;="&amp;I$13)/AS51!$B$3,"")))</f>
        <v/>
      </c>
      <c r="J152" s="113">
        <f>IF(J$13="","",IF($B152="","",IFERROR($C152*$D152*SUMIFS('Dvd Calendar'!$E$280:$CZ$280,'Dvd Calendar'!$E$279:$CZ$279,"&gt;"&amp;J$12,'Dvd Calendar'!$E$279:$CZ$279,"&lt;="&amp;J$13)/AS51!$B$3,"")))</f>
        <v/>
      </c>
      <c r="K152" s="113">
        <f>IF(K$13="","",IF($B152="","",IFERROR($C152*$D152*SUMIFS('Dvd Calendar'!$E$280:$CZ$280,'Dvd Calendar'!$E$279:$CZ$279,"&gt;"&amp;K$12,'Dvd Calendar'!$E$279:$CZ$279,"&lt;="&amp;K$13)/AS51!$B$3,"")))</f>
        <v/>
      </c>
      <c r="L152" s="113">
        <f>IF(L$13="","",IF($B152="","",IFERROR($C152*$D152*SUMIFS('Dvd Calendar'!$E$280:$CZ$280,'Dvd Calendar'!$E$279:$CZ$279,"&gt;"&amp;L$12,'Dvd Calendar'!$E$279:$CZ$279,"&lt;="&amp;L$13)/AS51!$B$3,"")))</f>
        <v/>
      </c>
      <c r="M152" s="113">
        <f>IF(M$13="","",IF($B152="","",IFERROR($C152*$D152*SUMIFS('Dvd Calendar'!$E$280:$CZ$280,'Dvd Calendar'!$E$279:$CZ$279,"&gt;"&amp;M$12,'Dvd Calendar'!$E$279:$CZ$279,"&lt;="&amp;M$13)/AS51!$B$3,"")))</f>
        <v/>
      </c>
      <c r="N152" s="113">
        <f>IF(N$13="","",IF($B152="","",IFERROR($C152*$D152*SUMIFS('Dvd Calendar'!$E$280:$CZ$280,'Dvd Calendar'!$E$279:$CZ$279,"&gt;"&amp;N$12,'Dvd Calendar'!$E$279:$CZ$279,"&lt;="&amp;N$13)/AS51!$B$3,"")))</f>
        <v/>
      </c>
      <c r="O152" s="113">
        <f>IF(O$13="","",IF($B152="","",IFERROR($C152*$D152*SUMIFS('Dvd Calendar'!$E$280:$CZ$280,'Dvd Calendar'!$E$279:$CZ$279,"&gt;"&amp;O$12,'Dvd Calendar'!$E$279:$CZ$279,"&lt;="&amp;O$13)/AS51!$B$3,"")))</f>
        <v/>
      </c>
      <c r="P152" s="113">
        <f>IF(P$13="","",IF($B152="","",IFERROR($C152*$D152*SUMIFS('Dvd Calendar'!$E$280:$CZ$280,'Dvd Calendar'!$E$279:$CZ$279,"&gt;"&amp;P$12,'Dvd Calendar'!$E$279:$CZ$279,"&lt;="&amp;P$13)/AS51!$B$3,"")))</f>
        <v/>
      </c>
      <c r="Q152" s="113">
        <f>IF(Q$13="","",IF($B152="","",IFERROR($C152*$D152*SUMIFS('Dvd Calendar'!$E$280:$CZ$280,'Dvd Calendar'!$E$279:$CZ$279,"&gt;"&amp;Q$12,'Dvd Calendar'!$E$279:$CZ$279,"&lt;="&amp;Q$13)/AS51!$B$3,"")))</f>
        <v/>
      </c>
      <c r="R152" s="113">
        <f>IF(R$13="","",IF($B152="","",IFERROR($C152*$D152*SUMIFS('Dvd Calendar'!$E$280:$CZ$280,'Dvd Calendar'!$E$279:$CZ$279,"&gt;"&amp;R$12,'Dvd Calendar'!$E$279:$CZ$279,"&lt;="&amp;R$13)/AS51!$B$3,"")))</f>
        <v/>
      </c>
      <c r="S152" s="113">
        <f>IF(S$13="","",IF($B152="","",IFERROR($C152*$D152*SUMIFS('Dvd Calendar'!$E$280:$CZ$280,'Dvd Calendar'!$E$279:$CZ$279,"&gt;"&amp;S$12,'Dvd Calendar'!$E$279:$CZ$279,"&lt;="&amp;S$13)/AS51!$B$3,"")))</f>
        <v/>
      </c>
      <c r="T152" s="113">
        <f>IF(T$13="","",IF($B152="","",IFERROR($C152*$D152*SUMIFS('Dvd Calendar'!$E$280:$CZ$280,'Dvd Calendar'!$E$279:$CZ$279,"&gt;"&amp;T$12,'Dvd Calendar'!$E$279:$CZ$279,"&lt;="&amp;T$13)/AS51!$B$3,"")))</f>
        <v/>
      </c>
      <c r="U152" s="113">
        <f>IF(U$13="","",IF($B152="","",IFERROR($C152*$D152*SUMIFS('Dvd Calendar'!$E$280:$CZ$280,'Dvd Calendar'!$E$279:$CZ$279,"&gt;"&amp;U$12,'Dvd Calendar'!$E$279:$CZ$279,"&lt;="&amp;U$13)/AS51!$B$3,"")))</f>
        <v/>
      </c>
      <c r="W152" s="113">
        <f>IF(W$13="","",IF($B152="","",IFERROR(F152*$E152/100,"")))</f>
        <v/>
      </c>
      <c r="X152" s="113">
        <f>IF(X$13="","",IF($B152="","",IFERROR(G152*$E152/100,"")))</f>
        <v/>
      </c>
      <c r="Y152" s="113">
        <f>IF(Y$13="","",IF($B152="","",IFERROR(H152*$E152/100,"")))</f>
        <v/>
      </c>
      <c r="Z152" s="113">
        <f>IF(Z$13="","",IF($B152="","",IFERROR(I152*$E152/100,"")))</f>
        <v/>
      </c>
      <c r="AA152" s="113">
        <f>IF(AA$13="","",IF($B152="","",IFERROR(J152*$E152/100,"")))</f>
        <v/>
      </c>
      <c r="AB152" s="113">
        <f>IF(AB$13="","",IF($B152="","",IFERROR(K152*$E152/100,"")))</f>
        <v/>
      </c>
      <c r="AC152" s="113">
        <f>IF(AC$13="","",IF($B152="","",IFERROR(L152*$E152/100,"")))</f>
        <v/>
      </c>
      <c r="AD152" s="113">
        <f>IF(AD$13="","",IF($B152="","",IFERROR(M152*$E152/100,"")))</f>
        <v/>
      </c>
      <c r="AE152" s="113">
        <f>IF(AE$13="","",IF($B152="","",IFERROR(N152*$E152/100,"")))</f>
        <v/>
      </c>
      <c r="AF152" s="113">
        <f>IF(AF$13="","",IF($B152="","",IFERROR(O152*$E152/100,"")))</f>
        <v/>
      </c>
      <c r="AG152" s="113">
        <f>IF(AG$13="","",IF($B152="","",IFERROR(P152*$E152/100,"")))</f>
        <v/>
      </c>
      <c r="AH152" s="113">
        <f>IF(AH$13="","",IF($B152="","",IFERROR(Q152*$E152/100,"")))</f>
        <v/>
      </c>
      <c r="AI152" s="113">
        <f>IF(AI$13="","",IF($B152="","",IFERROR(R152*$E152/100,"")))</f>
        <v/>
      </c>
      <c r="AJ152" s="113">
        <f>IF(AJ$13="","",IF($B152="","",IFERROR(S152*$E152/100,"")))</f>
        <v/>
      </c>
      <c r="AK152" s="113">
        <f>IF(AK$13="","",IF($B152="","",IFERROR(T152*$E152/100,"")))</f>
        <v/>
      </c>
      <c r="AL152" s="113">
        <f>IF(AL$13="","",IF($B152="","",IFERROR(U152*$E152/100,"")))</f>
        <v/>
      </c>
    </row>
    <row r="153">
      <c r="B153" s="5">
        <f>IF(AS51!$C$143="","",AS51!$C$143)</f>
        <v/>
      </c>
      <c r="C153" s="86">
        <f>IF(AS51!$B$143="","",AS51!$B$143)</f>
        <v/>
      </c>
      <c r="D153" s="111">
        <f>IFERROR(AS51!$Q$143,1)</f>
        <v/>
      </c>
      <c r="E153" s="112">
        <f>IF($B153="","",IF(ISNUMBER(AS51!$I$143),AS51!$I$143,'Index Summary'!$C$7))</f>
        <v/>
      </c>
      <c r="F153" s="113">
        <f>IF(F$13="","",IF($B153="","",IFERROR($C153*$D153*SUMIFS('Dvd Calendar'!$E$282:$CZ$282,'Dvd Calendar'!$E$281:$CZ$281,"&gt;"&amp;F$12,'Dvd Calendar'!$E$281:$CZ$281,"&lt;="&amp;F$13)/AS51!$B$3,"")))</f>
        <v/>
      </c>
      <c r="G153" s="113">
        <f>IF(G$13="","",IF($B153="","",IFERROR($C153*$D153*SUMIFS('Dvd Calendar'!$E$282:$CZ$282,'Dvd Calendar'!$E$281:$CZ$281,"&gt;"&amp;G$12,'Dvd Calendar'!$E$281:$CZ$281,"&lt;="&amp;G$13)/AS51!$B$3,"")))</f>
        <v/>
      </c>
      <c r="H153" s="113">
        <f>IF(H$13="","",IF($B153="","",IFERROR($C153*$D153*SUMIFS('Dvd Calendar'!$E$282:$CZ$282,'Dvd Calendar'!$E$281:$CZ$281,"&gt;"&amp;H$12,'Dvd Calendar'!$E$281:$CZ$281,"&lt;="&amp;H$13)/AS51!$B$3,"")))</f>
        <v/>
      </c>
      <c r="I153" s="113">
        <f>IF(I$13="","",IF($B153="","",IFERROR($C153*$D153*SUMIFS('Dvd Calendar'!$E$282:$CZ$282,'Dvd Calendar'!$E$281:$CZ$281,"&gt;"&amp;I$12,'Dvd Calendar'!$E$281:$CZ$281,"&lt;="&amp;I$13)/AS51!$B$3,"")))</f>
        <v/>
      </c>
      <c r="J153" s="113">
        <f>IF(J$13="","",IF($B153="","",IFERROR($C153*$D153*SUMIFS('Dvd Calendar'!$E$282:$CZ$282,'Dvd Calendar'!$E$281:$CZ$281,"&gt;"&amp;J$12,'Dvd Calendar'!$E$281:$CZ$281,"&lt;="&amp;J$13)/AS51!$B$3,"")))</f>
        <v/>
      </c>
      <c r="K153" s="113">
        <f>IF(K$13="","",IF($B153="","",IFERROR($C153*$D153*SUMIFS('Dvd Calendar'!$E$282:$CZ$282,'Dvd Calendar'!$E$281:$CZ$281,"&gt;"&amp;K$12,'Dvd Calendar'!$E$281:$CZ$281,"&lt;="&amp;K$13)/AS51!$B$3,"")))</f>
        <v/>
      </c>
      <c r="L153" s="113">
        <f>IF(L$13="","",IF($B153="","",IFERROR($C153*$D153*SUMIFS('Dvd Calendar'!$E$282:$CZ$282,'Dvd Calendar'!$E$281:$CZ$281,"&gt;"&amp;L$12,'Dvd Calendar'!$E$281:$CZ$281,"&lt;="&amp;L$13)/AS51!$B$3,"")))</f>
        <v/>
      </c>
      <c r="M153" s="113">
        <f>IF(M$13="","",IF($B153="","",IFERROR($C153*$D153*SUMIFS('Dvd Calendar'!$E$282:$CZ$282,'Dvd Calendar'!$E$281:$CZ$281,"&gt;"&amp;M$12,'Dvd Calendar'!$E$281:$CZ$281,"&lt;="&amp;M$13)/AS51!$B$3,"")))</f>
        <v/>
      </c>
      <c r="N153" s="113">
        <f>IF(N$13="","",IF($B153="","",IFERROR($C153*$D153*SUMIFS('Dvd Calendar'!$E$282:$CZ$282,'Dvd Calendar'!$E$281:$CZ$281,"&gt;"&amp;N$12,'Dvd Calendar'!$E$281:$CZ$281,"&lt;="&amp;N$13)/AS51!$B$3,"")))</f>
        <v/>
      </c>
      <c r="O153" s="113">
        <f>IF(O$13="","",IF($B153="","",IFERROR($C153*$D153*SUMIFS('Dvd Calendar'!$E$282:$CZ$282,'Dvd Calendar'!$E$281:$CZ$281,"&gt;"&amp;O$12,'Dvd Calendar'!$E$281:$CZ$281,"&lt;="&amp;O$13)/AS51!$B$3,"")))</f>
        <v/>
      </c>
      <c r="P153" s="113">
        <f>IF(P$13="","",IF($B153="","",IFERROR($C153*$D153*SUMIFS('Dvd Calendar'!$E$282:$CZ$282,'Dvd Calendar'!$E$281:$CZ$281,"&gt;"&amp;P$12,'Dvd Calendar'!$E$281:$CZ$281,"&lt;="&amp;P$13)/AS51!$B$3,"")))</f>
        <v/>
      </c>
      <c r="Q153" s="113">
        <f>IF(Q$13="","",IF($B153="","",IFERROR($C153*$D153*SUMIFS('Dvd Calendar'!$E$282:$CZ$282,'Dvd Calendar'!$E$281:$CZ$281,"&gt;"&amp;Q$12,'Dvd Calendar'!$E$281:$CZ$281,"&lt;="&amp;Q$13)/AS51!$B$3,"")))</f>
        <v/>
      </c>
      <c r="R153" s="113">
        <f>IF(R$13="","",IF($B153="","",IFERROR($C153*$D153*SUMIFS('Dvd Calendar'!$E$282:$CZ$282,'Dvd Calendar'!$E$281:$CZ$281,"&gt;"&amp;R$12,'Dvd Calendar'!$E$281:$CZ$281,"&lt;="&amp;R$13)/AS51!$B$3,"")))</f>
        <v/>
      </c>
      <c r="S153" s="113">
        <f>IF(S$13="","",IF($B153="","",IFERROR($C153*$D153*SUMIFS('Dvd Calendar'!$E$282:$CZ$282,'Dvd Calendar'!$E$281:$CZ$281,"&gt;"&amp;S$12,'Dvd Calendar'!$E$281:$CZ$281,"&lt;="&amp;S$13)/AS51!$B$3,"")))</f>
        <v/>
      </c>
      <c r="T153" s="113">
        <f>IF(T$13="","",IF($B153="","",IFERROR($C153*$D153*SUMIFS('Dvd Calendar'!$E$282:$CZ$282,'Dvd Calendar'!$E$281:$CZ$281,"&gt;"&amp;T$12,'Dvd Calendar'!$E$281:$CZ$281,"&lt;="&amp;T$13)/AS51!$B$3,"")))</f>
        <v/>
      </c>
      <c r="U153" s="113">
        <f>IF(U$13="","",IF($B153="","",IFERROR($C153*$D153*SUMIFS('Dvd Calendar'!$E$282:$CZ$282,'Dvd Calendar'!$E$281:$CZ$281,"&gt;"&amp;U$12,'Dvd Calendar'!$E$281:$CZ$281,"&lt;="&amp;U$13)/AS51!$B$3,"")))</f>
        <v/>
      </c>
      <c r="W153" s="113">
        <f>IF(W$13="","",IF($B153="","",IFERROR(F153*$E153/100,"")))</f>
        <v/>
      </c>
      <c r="X153" s="113">
        <f>IF(X$13="","",IF($B153="","",IFERROR(G153*$E153/100,"")))</f>
        <v/>
      </c>
      <c r="Y153" s="113">
        <f>IF(Y$13="","",IF($B153="","",IFERROR(H153*$E153/100,"")))</f>
        <v/>
      </c>
      <c r="Z153" s="113">
        <f>IF(Z$13="","",IF($B153="","",IFERROR(I153*$E153/100,"")))</f>
        <v/>
      </c>
      <c r="AA153" s="113">
        <f>IF(AA$13="","",IF($B153="","",IFERROR(J153*$E153/100,"")))</f>
        <v/>
      </c>
      <c r="AB153" s="113">
        <f>IF(AB$13="","",IF($B153="","",IFERROR(K153*$E153/100,"")))</f>
        <v/>
      </c>
      <c r="AC153" s="113">
        <f>IF(AC$13="","",IF($B153="","",IFERROR(L153*$E153/100,"")))</f>
        <v/>
      </c>
      <c r="AD153" s="113">
        <f>IF(AD$13="","",IF($B153="","",IFERROR(M153*$E153/100,"")))</f>
        <v/>
      </c>
      <c r="AE153" s="113">
        <f>IF(AE$13="","",IF($B153="","",IFERROR(N153*$E153/100,"")))</f>
        <v/>
      </c>
      <c r="AF153" s="113">
        <f>IF(AF$13="","",IF($B153="","",IFERROR(O153*$E153/100,"")))</f>
        <v/>
      </c>
      <c r="AG153" s="113">
        <f>IF(AG$13="","",IF($B153="","",IFERROR(P153*$E153/100,"")))</f>
        <v/>
      </c>
      <c r="AH153" s="113">
        <f>IF(AH$13="","",IF($B153="","",IFERROR(Q153*$E153/100,"")))</f>
        <v/>
      </c>
      <c r="AI153" s="113">
        <f>IF(AI$13="","",IF($B153="","",IFERROR(R153*$E153/100,"")))</f>
        <v/>
      </c>
      <c r="AJ153" s="113">
        <f>IF(AJ$13="","",IF($B153="","",IFERROR(S153*$E153/100,"")))</f>
        <v/>
      </c>
      <c r="AK153" s="113">
        <f>IF(AK$13="","",IF($B153="","",IFERROR(T153*$E153/100,"")))</f>
        <v/>
      </c>
      <c r="AL153" s="113">
        <f>IF(AL$13="","",IF($B153="","",IFERROR(U153*$E153/100,"")))</f>
        <v/>
      </c>
    </row>
    <row r="154">
      <c r="B154" s="5">
        <f>IF(AS51!$C$144="","",AS51!$C$144)</f>
        <v/>
      </c>
      <c r="C154" s="86">
        <f>IF(AS51!$B$144="","",AS51!$B$144)</f>
        <v/>
      </c>
      <c r="D154" s="111">
        <f>IFERROR(AS51!$Q$144,1)</f>
        <v/>
      </c>
      <c r="E154" s="112">
        <f>IF($B154="","",IF(ISNUMBER(AS51!$I$144),AS51!$I$144,'Index Summary'!$C$7))</f>
        <v/>
      </c>
      <c r="F154" s="113">
        <f>IF(F$13="","",IF($B154="","",IFERROR($C154*$D154*SUMIFS('Dvd Calendar'!$E$284:$CZ$284,'Dvd Calendar'!$E$283:$CZ$283,"&gt;"&amp;F$12,'Dvd Calendar'!$E$283:$CZ$283,"&lt;="&amp;F$13)/AS51!$B$3,"")))</f>
        <v/>
      </c>
      <c r="G154" s="113">
        <f>IF(G$13="","",IF($B154="","",IFERROR($C154*$D154*SUMIFS('Dvd Calendar'!$E$284:$CZ$284,'Dvd Calendar'!$E$283:$CZ$283,"&gt;"&amp;G$12,'Dvd Calendar'!$E$283:$CZ$283,"&lt;="&amp;G$13)/AS51!$B$3,"")))</f>
        <v/>
      </c>
      <c r="H154" s="113">
        <f>IF(H$13="","",IF($B154="","",IFERROR($C154*$D154*SUMIFS('Dvd Calendar'!$E$284:$CZ$284,'Dvd Calendar'!$E$283:$CZ$283,"&gt;"&amp;H$12,'Dvd Calendar'!$E$283:$CZ$283,"&lt;="&amp;H$13)/AS51!$B$3,"")))</f>
        <v/>
      </c>
      <c r="I154" s="113">
        <f>IF(I$13="","",IF($B154="","",IFERROR($C154*$D154*SUMIFS('Dvd Calendar'!$E$284:$CZ$284,'Dvd Calendar'!$E$283:$CZ$283,"&gt;"&amp;I$12,'Dvd Calendar'!$E$283:$CZ$283,"&lt;="&amp;I$13)/AS51!$B$3,"")))</f>
        <v/>
      </c>
      <c r="J154" s="113">
        <f>IF(J$13="","",IF($B154="","",IFERROR($C154*$D154*SUMIFS('Dvd Calendar'!$E$284:$CZ$284,'Dvd Calendar'!$E$283:$CZ$283,"&gt;"&amp;J$12,'Dvd Calendar'!$E$283:$CZ$283,"&lt;="&amp;J$13)/AS51!$B$3,"")))</f>
        <v/>
      </c>
      <c r="K154" s="113">
        <f>IF(K$13="","",IF($B154="","",IFERROR($C154*$D154*SUMIFS('Dvd Calendar'!$E$284:$CZ$284,'Dvd Calendar'!$E$283:$CZ$283,"&gt;"&amp;K$12,'Dvd Calendar'!$E$283:$CZ$283,"&lt;="&amp;K$13)/AS51!$B$3,"")))</f>
        <v/>
      </c>
      <c r="L154" s="113">
        <f>IF(L$13="","",IF($B154="","",IFERROR($C154*$D154*SUMIFS('Dvd Calendar'!$E$284:$CZ$284,'Dvd Calendar'!$E$283:$CZ$283,"&gt;"&amp;L$12,'Dvd Calendar'!$E$283:$CZ$283,"&lt;="&amp;L$13)/AS51!$B$3,"")))</f>
        <v/>
      </c>
      <c r="M154" s="113">
        <f>IF(M$13="","",IF($B154="","",IFERROR($C154*$D154*SUMIFS('Dvd Calendar'!$E$284:$CZ$284,'Dvd Calendar'!$E$283:$CZ$283,"&gt;"&amp;M$12,'Dvd Calendar'!$E$283:$CZ$283,"&lt;="&amp;M$13)/AS51!$B$3,"")))</f>
        <v/>
      </c>
      <c r="N154" s="113">
        <f>IF(N$13="","",IF($B154="","",IFERROR($C154*$D154*SUMIFS('Dvd Calendar'!$E$284:$CZ$284,'Dvd Calendar'!$E$283:$CZ$283,"&gt;"&amp;N$12,'Dvd Calendar'!$E$283:$CZ$283,"&lt;="&amp;N$13)/AS51!$B$3,"")))</f>
        <v/>
      </c>
      <c r="O154" s="113">
        <f>IF(O$13="","",IF($B154="","",IFERROR($C154*$D154*SUMIFS('Dvd Calendar'!$E$284:$CZ$284,'Dvd Calendar'!$E$283:$CZ$283,"&gt;"&amp;O$12,'Dvd Calendar'!$E$283:$CZ$283,"&lt;="&amp;O$13)/AS51!$B$3,"")))</f>
        <v/>
      </c>
      <c r="P154" s="113">
        <f>IF(P$13="","",IF($B154="","",IFERROR($C154*$D154*SUMIFS('Dvd Calendar'!$E$284:$CZ$284,'Dvd Calendar'!$E$283:$CZ$283,"&gt;"&amp;P$12,'Dvd Calendar'!$E$283:$CZ$283,"&lt;="&amp;P$13)/AS51!$B$3,"")))</f>
        <v/>
      </c>
      <c r="Q154" s="113">
        <f>IF(Q$13="","",IF($B154="","",IFERROR($C154*$D154*SUMIFS('Dvd Calendar'!$E$284:$CZ$284,'Dvd Calendar'!$E$283:$CZ$283,"&gt;"&amp;Q$12,'Dvd Calendar'!$E$283:$CZ$283,"&lt;="&amp;Q$13)/AS51!$B$3,"")))</f>
        <v/>
      </c>
      <c r="R154" s="113">
        <f>IF(R$13="","",IF($B154="","",IFERROR($C154*$D154*SUMIFS('Dvd Calendar'!$E$284:$CZ$284,'Dvd Calendar'!$E$283:$CZ$283,"&gt;"&amp;R$12,'Dvd Calendar'!$E$283:$CZ$283,"&lt;="&amp;R$13)/AS51!$B$3,"")))</f>
        <v/>
      </c>
      <c r="S154" s="113">
        <f>IF(S$13="","",IF($B154="","",IFERROR($C154*$D154*SUMIFS('Dvd Calendar'!$E$284:$CZ$284,'Dvd Calendar'!$E$283:$CZ$283,"&gt;"&amp;S$12,'Dvd Calendar'!$E$283:$CZ$283,"&lt;="&amp;S$13)/AS51!$B$3,"")))</f>
        <v/>
      </c>
      <c r="T154" s="113">
        <f>IF(T$13="","",IF($B154="","",IFERROR($C154*$D154*SUMIFS('Dvd Calendar'!$E$284:$CZ$284,'Dvd Calendar'!$E$283:$CZ$283,"&gt;"&amp;T$12,'Dvd Calendar'!$E$283:$CZ$283,"&lt;="&amp;T$13)/AS51!$B$3,"")))</f>
        <v/>
      </c>
      <c r="U154" s="113">
        <f>IF(U$13="","",IF($B154="","",IFERROR($C154*$D154*SUMIFS('Dvd Calendar'!$E$284:$CZ$284,'Dvd Calendar'!$E$283:$CZ$283,"&gt;"&amp;U$12,'Dvd Calendar'!$E$283:$CZ$283,"&lt;="&amp;U$13)/AS51!$B$3,"")))</f>
        <v/>
      </c>
      <c r="W154" s="113">
        <f>IF(W$13="","",IF($B154="","",IFERROR(F154*$E154/100,"")))</f>
        <v/>
      </c>
      <c r="X154" s="113">
        <f>IF(X$13="","",IF($B154="","",IFERROR(G154*$E154/100,"")))</f>
        <v/>
      </c>
      <c r="Y154" s="113">
        <f>IF(Y$13="","",IF($B154="","",IFERROR(H154*$E154/100,"")))</f>
        <v/>
      </c>
      <c r="Z154" s="113">
        <f>IF(Z$13="","",IF($B154="","",IFERROR(I154*$E154/100,"")))</f>
        <v/>
      </c>
      <c r="AA154" s="113">
        <f>IF(AA$13="","",IF($B154="","",IFERROR(J154*$E154/100,"")))</f>
        <v/>
      </c>
      <c r="AB154" s="113">
        <f>IF(AB$13="","",IF($B154="","",IFERROR(K154*$E154/100,"")))</f>
        <v/>
      </c>
      <c r="AC154" s="113">
        <f>IF(AC$13="","",IF($B154="","",IFERROR(L154*$E154/100,"")))</f>
        <v/>
      </c>
      <c r="AD154" s="113">
        <f>IF(AD$13="","",IF($B154="","",IFERROR(M154*$E154/100,"")))</f>
        <v/>
      </c>
      <c r="AE154" s="113">
        <f>IF(AE$13="","",IF($B154="","",IFERROR(N154*$E154/100,"")))</f>
        <v/>
      </c>
      <c r="AF154" s="113">
        <f>IF(AF$13="","",IF($B154="","",IFERROR(O154*$E154/100,"")))</f>
        <v/>
      </c>
      <c r="AG154" s="113">
        <f>IF(AG$13="","",IF($B154="","",IFERROR(P154*$E154/100,"")))</f>
        <v/>
      </c>
      <c r="AH154" s="113">
        <f>IF(AH$13="","",IF($B154="","",IFERROR(Q154*$E154/100,"")))</f>
        <v/>
      </c>
      <c r="AI154" s="113">
        <f>IF(AI$13="","",IF($B154="","",IFERROR(R154*$E154/100,"")))</f>
        <v/>
      </c>
      <c r="AJ154" s="113">
        <f>IF(AJ$13="","",IF($B154="","",IFERROR(S154*$E154/100,"")))</f>
        <v/>
      </c>
      <c r="AK154" s="113">
        <f>IF(AK$13="","",IF($B154="","",IFERROR(T154*$E154/100,"")))</f>
        <v/>
      </c>
      <c r="AL154" s="113">
        <f>IF(AL$13="","",IF($B154="","",IFERROR(U154*$E154/100,"")))</f>
        <v/>
      </c>
    </row>
    <row r="155">
      <c r="B155" s="5">
        <f>IF(AS51!$C$145="","",AS51!$C$145)</f>
        <v/>
      </c>
      <c r="C155" s="86">
        <f>IF(AS51!$B$145="","",AS51!$B$145)</f>
        <v/>
      </c>
      <c r="D155" s="111">
        <f>IFERROR(AS51!$Q$145,1)</f>
        <v/>
      </c>
      <c r="E155" s="112">
        <f>IF($B155="","",IF(ISNUMBER(AS51!$I$145),AS51!$I$145,'Index Summary'!$C$7))</f>
        <v/>
      </c>
      <c r="F155" s="113">
        <f>IF(F$13="","",IF($B155="","",IFERROR($C155*$D155*SUMIFS('Dvd Calendar'!$E$286:$CZ$286,'Dvd Calendar'!$E$285:$CZ$285,"&gt;"&amp;F$12,'Dvd Calendar'!$E$285:$CZ$285,"&lt;="&amp;F$13)/AS51!$B$3,"")))</f>
        <v/>
      </c>
      <c r="G155" s="113">
        <f>IF(G$13="","",IF($B155="","",IFERROR($C155*$D155*SUMIFS('Dvd Calendar'!$E$286:$CZ$286,'Dvd Calendar'!$E$285:$CZ$285,"&gt;"&amp;G$12,'Dvd Calendar'!$E$285:$CZ$285,"&lt;="&amp;G$13)/AS51!$B$3,"")))</f>
        <v/>
      </c>
      <c r="H155" s="113">
        <f>IF(H$13="","",IF($B155="","",IFERROR($C155*$D155*SUMIFS('Dvd Calendar'!$E$286:$CZ$286,'Dvd Calendar'!$E$285:$CZ$285,"&gt;"&amp;H$12,'Dvd Calendar'!$E$285:$CZ$285,"&lt;="&amp;H$13)/AS51!$B$3,"")))</f>
        <v/>
      </c>
      <c r="I155" s="113">
        <f>IF(I$13="","",IF($B155="","",IFERROR($C155*$D155*SUMIFS('Dvd Calendar'!$E$286:$CZ$286,'Dvd Calendar'!$E$285:$CZ$285,"&gt;"&amp;I$12,'Dvd Calendar'!$E$285:$CZ$285,"&lt;="&amp;I$13)/AS51!$B$3,"")))</f>
        <v/>
      </c>
      <c r="J155" s="113">
        <f>IF(J$13="","",IF($B155="","",IFERROR($C155*$D155*SUMIFS('Dvd Calendar'!$E$286:$CZ$286,'Dvd Calendar'!$E$285:$CZ$285,"&gt;"&amp;J$12,'Dvd Calendar'!$E$285:$CZ$285,"&lt;="&amp;J$13)/AS51!$B$3,"")))</f>
        <v/>
      </c>
      <c r="K155" s="113">
        <f>IF(K$13="","",IF($B155="","",IFERROR($C155*$D155*SUMIFS('Dvd Calendar'!$E$286:$CZ$286,'Dvd Calendar'!$E$285:$CZ$285,"&gt;"&amp;K$12,'Dvd Calendar'!$E$285:$CZ$285,"&lt;="&amp;K$13)/AS51!$B$3,"")))</f>
        <v/>
      </c>
      <c r="L155" s="113">
        <f>IF(L$13="","",IF($B155="","",IFERROR($C155*$D155*SUMIFS('Dvd Calendar'!$E$286:$CZ$286,'Dvd Calendar'!$E$285:$CZ$285,"&gt;"&amp;L$12,'Dvd Calendar'!$E$285:$CZ$285,"&lt;="&amp;L$13)/AS51!$B$3,"")))</f>
        <v/>
      </c>
      <c r="M155" s="113">
        <f>IF(M$13="","",IF($B155="","",IFERROR($C155*$D155*SUMIFS('Dvd Calendar'!$E$286:$CZ$286,'Dvd Calendar'!$E$285:$CZ$285,"&gt;"&amp;M$12,'Dvd Calendar'!$E$285:$CZ$285,"&lt;="&amp;M$13)/AS51!$B$3,"")))</f>
        <v/>
      </c>
      <c r="N155" s="113">
        <f>IF(N$13="","",IF($B155="","",IFERROR($C155*$D155*SUMIFS('Dvd Calendar'!$E$286:$CZ$286,'Dvd Calendar'!$E$285:$CZ$285,"&gt;"&amp;N$12,'Dvd Calendar'!$E$285:$CZ$285,"&lt;="&amp;N$13)/AS51!$B$3,"")))</f>
        <v/>
      </c>
      <c r="O155" s="113">
        <f>IF(O$13="","",IF($B155="","",IFERROR($C155*$D155*SUMIFS('Dvd Calendar'!$E$286:$CZ$286,'Dvd Calendar'!$E$285:$CZ$285,"&gt;"&amp;O$12,'Dvd Calendar'!$E$285:$CZ$285,"&lt;="&amp;O$13)/AS51!$B$3,"")))</f>
        <v/>
      </c>
      <c r="P155" s="113">
        <f>IF(P$13="","",IF($B155="","",IFERROR($C155*$D155*SUMIFS('Dvd Calendar'!$E$286:$CZ$286,'Dvd Calendar'!$E$285:$CZ$285,"&gt;"&amp;P$12,'Dvd Calendar'!$E$285:$CZ$285,"&lt;="&amp;P$13)/AS51!$B$3,"")))</f>
        <v/>
      </c>
      <c r="Q155" s="113">
        <f>IF(Q$13="","",IF($B155="","",IFERROR($C155*$D155*SUMIFS('Dvd Calendar'!$E$286:$CZ$286,'Dvd Calendar'!$E$285:$CZ$285,"&gt;"&amp;Q$12,'Dvd Calendar'!$E$285:$CZ$285,"&lt;="&amp;Q$13)/AS51!$B$3,"")))</f>
        <v/>
      </c>
      <c r="R155" s="113">
        <f>IF(R$13="","",IF($B155="","",IFERROR($C155*$D155*SUMIFS('Dvd Calendar'!$E$286:$CZ$286,'Dvd Calendar'!$E$285:$CZ$285,"&gt;"&amp;R$12,'Dvd Calendar'!$E$285:$CZ$285,"&lt;="&amp;R$13)/AS51!$B$3,"")))</f>
        <v/>
      </c>
      <c r="S155" s="113">
        <f>IF(S$13="","",IF($B155="","",IFERROR($C155*$D155*SUMIFS('Dvd Calendar'!$E$286:$CZ$286,'Dvd Calendar'!$E$285:$CZ$285,"&gt;"&amp;S$12,'Dvd Calendar'!$E$285:$CZ$285,"&lt;="&amp;S$13)/AS51!$B$3,"")))</f>
        <v/>
      </c>
      <c r="T155" s="113">
        <f>IF(T$13="","",IF($B155="","",IFERROR($C155*$D155*SUMIFS('Dvd Calendar'!$E$286:$CZ$286,'Dvd Calendar'!$E$285:$CZ$285,"&gt;"&amp;T$12,'Dvd Calendar'!$E$285:$CZ$285,"&lt;="&amp;T$13)/AS51!$B$3,"")))</f>
        <v/>
      </c>
      <c r="U155" s="113">
        <f>IF(U$13="","",IF($B155="","",IFERROR($C155*$D155*SUMIFS('Dvd Calendar'!$E$286:$CZ$286,'Dvd Calendar'!$E$285:$CZ$285,"&gt;"&amp;U$12,'Dvd Calendar'!$E$285:$CZ$285,"&lt;="&amp;U$13)/AS51!$B$3,"")))</f>
        <v/>
      </c>
      <c r="W155" s="113">
        <f>IF(W$13="","",IF($B155="","",IFERROR(F155*$E155/100,"")))</f>
        <v/>
      </c>
      <c r="X155" s="113">
        <f>IF(X$13="","",IF($B155="","",IFERROR(G155*$E155/100,"")))</f>
        <v/>
      </c>
      <c r="Y155" s="113">
        <f>IF(Y$13="","",IF($B155="","",IFERROR(H155*$E155/100,"")))</f>
        <v/>
      </c>
      <c r="Z155" s="113">
        <f>IF(Z$13="","",IF($B155="","",IFERROR(I155*$E155/100,"")))</f>
        <v/>
      </c>
      <c r="AA155" s="113">
        <f>IF(AA$13="","",IF($B155="","",IFERROR(J155*$E155/100,"")))</f>
        <v/>
      </c>
      <c r="AB155" s="113">
        <f>IF(AB$13="","",IF($B155="","",IFERROR(K155*$E155/100,"")))</f>
        <v/>
      </c>
      <c r="AC155" s="113">
        <f>IF(AC$13="","",IF($B155="","",IFERROR(L155*$E155/100,"")))</f>
        <v/>
      </c>
      <c r="AD155" s="113">
        <f>IF(AD$13="","",IF($B155="","",IFERROR(M155*$E155/100,"")))</f>
        <v/>
      </c>
      <c r="AE155" s="113">
        <f>IF(AE$13="","",IF($B155="","",IFERROR(N155*$E155/100,"")))</f>
        <v/>
      </c>
      <c r="AF155" s="113">
        <f>IF(AF$13="","",IF($B155="","",IFERROR(O155*$E155/100,"")))</f>
        <v/>
      </c>
      <c r="AG155" s="113">
        <f>IF(AG$13="","",IF($B155="","",IFERROR(P155*$E155/100,"")))</f>
        <v/>
      </c>
      <c r="AH155" s="113">
        <f>IF(AH$13="","",IF($B155="","",IFERROR(Q155*$E155/100,"")))</f>
        <v/>
      </c>
      <c r="AI155" s="113">
        <f>IF(AI$13="","",IF($B155="","",IFERROR(R155*$E155/100,"")))</f>
        <v/>
      </c>
      <c r="AJ155" s="113">
        <f>IF(AJ$13="","",IF($B155="","",IFERROR(S155*$E155/100,"")))</f>
        <v/>
      </c>
      <c r="AK155" s="113">
        <f>IF(AK$13="","",IF($B155="","",IFERROR(T155*$E155/100,"")))</f>
        <v/>
      </c>
      <c r="AL155" s="113">
        <f>IF(AL$13="","",IF($B155="","",IFERROR(U155*$E155/100,"")))</f>
        <v/>
      </c>
    </row>
    <row r="156">
      <c r="B156" s="5">
        <f>IF(AS51!$C$146="","",AS51!$C$146)</f>
        <v/>
      </c>
      <c r="C156" s="86">
        <f>IF(AS51!$B$146="","",AS51!$B$146)</f>
        <v/>
      </c>
      <c r="D156" s="111">
        <f>IFERROR(AS51!$Q$146,1)</f>
        <v/>
      </c>
      <c r="E156" s="112">
        <f>IF($B156="","",IF(ISNUMBER(AS51!$I$146),AS51!$I$146,'Index Summary'!$C$7))</f>
        <v/>
      </c>
      <c r="F156" s="113">
        <f>IF(F$13="","",IF($B156="","",IFERROR($C156*$D156*SUMIFS('Dvd Calendar'!$E$288:$CZ$288,'Dvd Calendar'!$E$287:$CZ$287,"&gt;"&amp;F$12,'Dvd Calendar'!$E$287:$CZ$287,"&lt;="&amp;F$13)/AS51!$B$3,"")))</f>
        <v/>
      </c>
      <c r="G156" s="113">
        <f>IF(G$13="","",IF($B156="","",IFERROR($C156*$D156*SUMIFS('Dvd Calendar'!$E$288:$CZ$288,'Dvd Calendar'!$E$287:$CZ$287,"&gt;"&amp;G$12,'Dvd Calendar'!$E$287:$CZ$287,"&lt;="&amp;G$13)/AS51!$B$3,"")))</f>
        <v/>
      </c>
      <c r="H156" s="113">
        <f>IF(H$13="","",IF($B156="","",IFERROR($C156*$D156*SUMIFS('Dvd Calendar'!$E$288:$CZ$288,'Dvd Calendar'!$E$287:$CZ$287,"&gt;"&amp;H$12,'Dvd Calendar'!$E$287:$CZ$287,"&lt;="&amp;H$13)/AS51!$B$3,"")))</f>
        <v/>
      </c>
      <c r="I156" s="113">
        <f>IF(I$13="","",IF($B156="","",IFERROR($C156*$D156*SUMIFS('Dvd Calendar'!$E$288:$CZ$288,'Dvd Calendar'!$E$287:$CZ$287,"&gt;"&amp;I$12,'Dvd Calendar'!$E$287:$CZ$287,"&lt;="&amp;I$13)/AS51!$B$3,"")))</f>
        <v/>
      </c>
      <c r="J156" s="113">
        <f>IF(J$13="","",IF($B156="","",IFERROR($C156*$D156*SUMIFS('Dvd Calendar'!$E$288:$CZ$288,'Dvd Calendar'!$E$287:$CZ$287,"&gt;"&amp;J$12,'Dvd Calendar'!$E$287:$CZ$287,"&lt;="&amp;J$13)/AS51!$B$3,"")))</f>
        <v/>
      </c>
      <c r="K156" s="113">
        <f>IF(K$13="","",IF($B156="","",IFERROR($C156*$D156*SUMIFS('Dvd Calendar'!$E$288:$CZ$288,'Dvd Calendar'!$E$287:$CZ$287,"&gt;"&amp;K$12,'Dvd Calendar'!$E$287:$CZ$287,"&lt;="&amp;K$13)/AS51!$B$3,"")))</f>
        <v/>
      </c>
      <c r="L156" s="113">
        <f>IF(L$13="","",IF($B156="","",IFERROR($C156*$D156*SUMIFS('Dvd Calendar'!$E$288:$CZ$288,'Dvd Calendar'!$E$287:$CZ$287,"&gt;"&amp;L$12,'Dvd Calendar'!$E$287:$CZ$287,"&lt;="&amp;L$13)/AS51!$B$3,"")))</f>
        <v/>
      </c>
      <c r="M156" s="113">
        <f>IF(M$13="","",IF($B156="","",IFERROR($C156*$D156*SUMIFS('Dvd Calendar'!$E$288:$CZ$288,'Dvd Calendar'!$E$287:$CZ$287,"&gt;"&amp;M$12,'Dvd Calendar'!$E$287:$CZ$287,"&lt;="&amp;M$13)/AS51!$B$3,"")))</f>
        <v/>
      </c>
      <c r="N156" s="113">
        <f>IF(N$13="","",IF($B156="","",IFERROR($C156*$D156*SUMIFS('Dvd Calendar'!$E$288:$CZ$288,'Dvd Calendar'!$E$287:$CZ$287,"&gt;"&amp;N$12,'Dvd Calendar'!$E$287:$CZ$287,"&lt;="&amp;N$13)/AS51!$B$3,"")))</f>
        <v/>
      </c>
      <c r="O156" s="113">
        <f>IF(O$13="","",IF($B156="","",IFERROR($C156*$D156*SUMIFS('Dvd Calendar'!$E$288:$CZ$288,'Dvd Calendar'!$E$287:$CZ$287,"&gt;"&amp;O$12,'Dvd Calendar'!$E$287:$CZ$287,"&lt;="&amp;O$13)/AS51!$B$3,"")))</f>
        <v/>
      </c>
      <c r="P156" s="113">
        <f>IF(P$13="","",IF($B156="","",IFERROR($C156*$D156*SUMIFS('Dvd Calendar'!$E$288:$CZ$288,'Dvd Calendar'!$E$287:$CZ$287,"&gt;"&amp;P$12,'Dvd Calendar'!$E$287:$CZ$287,"&lt;="&amp;P$13)/AS51!$B$3,"")))</f>
        <v/>
      </c>
      <c r="Q156" s="113">
        <f>IF(Q$13="","",IF($B156="","",IFERROR($C156*$D156*SUMIFS('Dvd Calendar'!$E$288:$CZ$288,'Dvd Calendar'!$E$287:$CZ$287,"&gt;"&amp;Q$12,'Dvd Calendar'!$E$287:$CZ$287,"&lt;="&amp;Q$13)/AS51!$B$3,"")))</f>
        <v/>
      </c>
      <c r="R156" s="113">
        <f>IF(R$13="","",IF($B156="","",IFERROR($C156*$D156*SUMIFS('Dvd Calendar'!$E$288:$CZ$288,'Dvd Calendar'!$E$287:$CZ$287,"&gt;"&amp;R$12,'Dvd Calendar'!$E$287:$CZ$287,"&lt;="&amp;R$13)/AS51!$B$3,"")))</f>
        <v/>
      </c>
      <c r="S156" s="113">
        <f>IF(S$13="","",IF($B156="","",IFERROR($C156*$D156*SUMIFS('Dvd Calendar'!$E$288:$CZ$288,'Dvd Calendar'!$E$287:$CZ$287,"&gt;"&amp;S$12,'Dvd Calendar'!$E$287:$CZ$287,"&lt;="&amp;S$13)/AS51!$B$3,"")))</f>
        <v/>
      </c>
      <c r="T156" s="113">
        <f>IF(T$13="","",IF($B156="","",IFERROR($C156*$D156*SUMIFS('Dvd Calendar'!$E$288:$CZ$288,'Dvd Calendar'!$E$287:$CZ$287,"&gt;"&amp;T$12,'Dvd Calendar'!$E$287:$CZ$287,"&lt;="&amp;T$13)/AS51!$B$3,"")))</f>
        <v/>
      </c>
      <c r="U156" s="113">
        <f>IF(U$13="","",IF($B156="","",IFERROR($C156*$D156*SUMIFS('Dvd Calendar'!$E$288:$CZ$288,'Dvd Calendar'!$E$287:$CZ$287,"&gt;"&amp;U$12,'Dvd Calendar'!$E$287:$CZ$287,"&lt;="&amp;U$13)/AS51!$B$3,"")))</f>
        <v/>
      </c>
      <c r="W156" s="113">
        <f>IF(W$13="","",IF($B156="","",IFERROR(F156*$E156/100,"")))</f>
        <v/>
      </c>
      <c r="X156" s="113">
        <f>IF(X$13="","",IF($B156="","",IFERROR(G156*$E156/100,"")))</f>
        <v/>
      </c>
      <c r="Y156" s="113">
        <f>IF(Y$13="","",IF($B156="","",IFERROR(H156*$E156/100,"")))</f>
        <v/>
      </c>
      <c r="Z156" s="113">
        <f>IF(Z$13="","",IF($B156="","",IFERROR(I156*$E156/100,"")))</f>
        <v/>
      </c>
      <c r="AA156" s="113">
        <f>IF(AA$13="","",IF($B156="","",IFERROR(J156*$E156/100,"")))</f>
        <v/>
      </c>
      <c r="AB156" s="113">
        <f>IF(AB$13="","",IF($B156="","",IFERROR(K156*$E156/100,"")))</f>
        <v/>
      </c>
      <c r="AC156" s="113">
        <f>IF(AC$13="","",IF($B156="","",IFERROR(L156*$E156/100,"")))</f>
        <v/>
      </c>
      <c r="AD156" s="113">
        <f>IF(AD$13="","",IF($B156="","",IFERROR(M156*$E156/100,"")))</f>
        <v/>
      </c>
      <c r="AE156" s="113">
        <f>IF(AE$13="","",IF($B156="","",IFERROR(N156*$E156/100,"")))</f>
        <v/>
      </c>
      <c r="AF156" s="113">
        <f>IF(AF$13="","",IF($B156="","",IFERROR(O156*$E156/100,"")))</f>
        <v/>
      </c>
      <c r="AG156" s="113">
        <f>IF(AG$13="","",IF($B156="","",IFERROR(P156*$E156/100,"")))</f>
        <v/>
      </c>
      <c r="AH156" s="113">
        <f>IF(AH$13="","",IF($B156="","",IFERROR(Q156*$E156/100,"")))</f>
        <v/>
      </c>
      <c r="AI156" s="113">
        <f>IF(AI$13="","",IF($B156="","",IFERROR(R156*$E156/100,"")))</f>
        <v/>
      </c>
      <c r="AJ156" s="113">
        <f>IF(AJ$13="","",IF($B156="","",IFERROR(S156*$E156/100,"")))</f>
        <v/>
      </c>
      <c r="AK156" s="113">
        <f>IF(AK$13="","",IF($B156="","",IFERROR(T156*$E156/100,"")))</f>
        <v/>
      </c>
      <c r="AL156" s="113">
        <f>IF(AL$13="","",IF($B156="","",IFERROR(U156*$E156/100,"")))</f>
        <v/>
      </c>
    </row>
    <row r="157">
      <c r="B157" s="5">
        <f>IF(AS51!$C$147="","",AS51!$C$147)</f>
        <v/>
      </c>
      <c r="C157" s="86">
        <f>IF(AS51!$B$147="","",AS51!$B$147)</f>
        <v/>
      </c>
      <c r="D157" s="111">
        <f>IFERROR(AS51!$Q$147,1)</f>
        <v/>
      </c>
      <c r="E157" s="112">
        <f>IF($B157="","",IF(ISNUMBER(AS51!$I$147),AS51!$I$147,'Index Summary'!$C$7))</f>
        <v/>
      </c>
      <c r="F157" s="113">
        <f>IF(F$13="","",IF($B157="","",IFERROR($C157*$D157*SUMIFS('Dvd Calendar'!$E$290:$CZ$290,'Dvd Calendar'!$E$289:$CZ$289,"&gt;"&amp;F$12,'Dvd Calendar'!$E$289:$CZ$289,"&lt;="&amp;F$13)/AS51!$B$3,"")))</f>
        <v/>
      </c>
      <c r="G157" s="113">
        <f>IF(G$13="","",IF($B157="","",IFERROR($C157*$D157*SUMIFS('Dvd Calendar'!$E$290:$CZ$290,'Dvd Calendar'!$E$289:$CZ$289,"&gt;"&amp;G$12,'Dvd Calendar'!$E$289:$CZ$289,"&lt;="&amp;G$13)/AS51!$B$3,"")))</f>
        <v/>
      </c>
      <c r="H157" s="113">
        <f>IF(H$13="","",IF($B157="","",IFERROR($C157*$D157*SUMIFS('Dvd Calendar'!$E$290:$CZ$290,'Dvd Calendar'!$E$289:$CZ$289,"&gt;"&amp;H$12,'Dvd Calendar'!$E$289:$CZ$289,"&lt;="&amp;H$13)/AS51!$B$3,"")))</f>
        <v/>
      </c>
      <c r="I157" s="113">
        <f>IF(I$13="","",IF($B157="","",IFERROR($C157*$D157*SUMIFS('Dvd Calendar'!$E$290:$CZ$290,'Dvd Calendar'!$E$289:$CZ$289,"&gt;"&amp;I$12,'Dvd Calendar'!$E$289:$CZ$289,"&lt;="&amp;I$13)/AS51!$B$3,"")))</f>
        <v/>
      </c>
      <c r="J157" s="113">
        <f>IF(J$13="","",IF($B157="","",IFERROR($C157*$D157*SUMIFS('Dvd Calendar'!$E$290:$CZ$290,'Dvd Calendar'!$E$289:$CZ$289,"&gt;"&amp;J$12,'Dvd Calendar'!$E$289:$CZ$289,"&lt;="&amp;J$13)/AS51!$B$3,"")))</f>
        <v/>
      </c>
      <c r="K157" s="113">
        <f>IF(K$13="","",IF($B157="","",IFERROR($C157*$D157*SUMIFS('Dvd Calendar'!$E$290:$CZ$290,'Dvd Calendar'!$E$289:$CZ$289,"&gt;"&amp;K$12,'Dvd Calendar'!$E$289:$CZ$289,"&lt;="&amp;K$13)/AS51!$B$3,"")))</f>
        <v/>
      </c>
      <c r="L157" s="113">
        <f>IF(L$13="","",IF($B157="","",IFERROR($C157*$D157*SUMIFS('Dvd Calendar'!$E$290:$CZ$290,'Dvd Calendar'!$E$289:$CZ$289,"&gt;"&amp;L$12,'Dvd Calendar'!$E$289:$CZ$289,"&lt;="&amp;L$13)/AS51!$B$3,"")))</f>
        <v/>
      </c>
      <c r="M157" s="113">
        <f>IF(M$13="","",IF($B157="","",IFERROR($C157*$D157*SUMIFS('Dvd Calendar'!$E$290:$CZ$290,'Dvd Calendar'!$E$289:$CZ$289,"&gt;"&amp;M$12,'Dvd Calendar'!$E$289:$CZ$289,"&lt;="&amp;M$13)/AS51!$B$3,"")))</f>
        <v/>
      </c>
      <c r="N157" s="113">
        <f>IF(N$13="","",IF($B157="","",IFERROR($C157*$D157*SUMIFS('Dvd Calendar'!$E$290:$CZ$290,'Dvd Calendar'!$E$289:$CZ$289,"&gt;"&amp;N$12,'Dvd Calendar'!$E$289:$CZ$289,"&lt;="&amp;N$13)/AS51!$B$3,"")))</f>
        <v/>
      </c>
      <c r="O157" s="113">
        <f>IF(O$13="","",IF($B157="","",IFERROR($C157*$D157*SUMIFS('Dvd Calendar'!$E$290:$CZ$290,'Dvd Calendar'!$E$289:$CZ$289,"&gt;"&amp;O$12,'Dvd Calendar'!$E$289:$CZ$289,"&lt;="&amp;O$13)/AS51!$B$3,"")))</f>
        <v/>
      </c>
      <c r="P157" s="113">
        <f>IF(P$13="","",IF($B157="","",IFERROR($C157*$D157*SUMIFS('Dvd Calendar'!$E$290:$CZ$290,'Dvd Calendar'!$E$289:$CZ$289,"&gt;"&amp;P$12,'Dvd Calendar'!$E$289:$CZ$289,"&lt;="&amp;P$13)/AS51!$B$3,"")))</f>
        <v/>
      </c>
      <c r="Q157" s="113">
        <f>IF(Q$13="","",IF($B157="","",IFERROR($C157*$D157*SUMIFS('Dvd Calendar'!$E$290:$CZ$290,'Dvd Calendar'!$E$289:$CZ$289,"&gt;"&amp;Q$12,'Dvd Calendar'!$E$289:$CZ$289,"&lt;="&amp;Q$13)/AS51!$B$3,"")))</f>
        <v/>
      </c>
      <c r="R157" s="113">
        <f>IF(R$13="","",IF($B157="","",IFERROR($C157*$D157*SUMIFS('Dvd Calendar'!$E$290:$CZ$290,'Dvd Calendar'!$E$289:$CZ$289,"&gt;"&amp;R$12,'Dvd Calendar'!$E$289:$CZ$289,"&lt;="&amp;R$13)/AS51!$B$3,"")))</f>
        <v/>
      </c>
      <c r="S157" s="113">
        <f>IF(S$13="","",IF($B157="","",IFERROR($C157*$D157*SUMIFS('Dvd Calendar'!$E$290:$CZ$290,'Dvd Calendar'!$E$289:$CZ$289,"&gt;"&amp;S$12,'Dvd Calendar'!$E$289:$CZ$289,"&lt;="&amp;S$13)/AS51!$B$3,"")))</f>
        <v/>
      </c>
      <c r="T157" s="113">
        <f>IF(T$13="","",IF($B157="","",IFERROR($C157*$D157*SUMIFS('Dvd Calendar'!$E$290:$CZ$290,'Dvd Calendar'!$E$289:$CZ$289,"&gt;"&amp;T$12,'Dvd Calendar'!$E$289:$CZ$289,"&lt;="&amp;T$13)/AS51!$B$3,"")))</f>
        <v/>
      </c>
      <c r="U157" s="113">
        <f>IF(U$13="","",IF($B157="","",IFERROR($C157*$D157*SUMIFS('Dvd Calendar'!$E$290:$CZ$290,'Dvd Calendar'!$E$289:$CZ$289,"&gt;"&amp;U$12,'Dvd Calendar'!$E$289:$CZ$289,"&lt;="&amp;U$13)/AS51!$B$3,"")))</f>
        <v/>
      </c>
      <c r="W157" s="113">
        <f>IF(W$13="","",IF($B157="","",IFERROR(F157*$E157/100,"")))</f>
        <v/>
      </c>
      <c r="X157" s="113">
        <f>IF(X$13="","",IF($B157="","",IFERROR(G157*$E157/100,"")))</f>
        <v/>
      </c>
      <c r="Y157" s="113">
        <f>IF(Y$13="","",IF($B157="","",IFERROR(H157*$E157/100,"")))</f>
        <v/>
      </c>
      <c r="Z157" s="113">
        <f>IF(Z$13="","",IF($B157="","",IFERROR(I157*$E157/100,"")))</f>
        <v/>
      </c>
      <c r="AA157" s="113">
        <f>IF(AA$13="","",IF($B157="","",IFERROR(J157*$E157/100,"")))</f>
        <v/>
      </c>
      <c r="AB157" s="113">
        <f>IF(AB$13="","",IF($B157="","",IFERROR(K157*$E157/100,"")))</f>
        <v/>
      </c>
      <c r="AC157" s="113">
        <f>IF(AC$13="","",IF($B157="","",IFERROR(L157*$E157/100,"")))</f>
        <v/>
      </c>
      <c r="AD157" s="113">
        <f>IF(AD$13="","",IF($B157="","",IFERROR(M157*$E157/100,"")))</f>
        <v/>
      </c>
      <c r="AE157" s="113">
        <f>IF(AE$13="","",IF($B157="","",IFERROR(N157*$E157/100,"")))</f>
        <v/>
      </c>
      <c r="AF157" s="113">
        <f>IF(AF$13="","",IF($B157="","",IFERROR(O157*$E157/100,"")))</f>
        <v/>
      </c>
      <c r="AG157" s="113">
        <f>IF(AG$13="","",IF($B157="","",IFERROR(P157*$E157/100,"")))</f>
        <v/>
      </c>
      <c r="AH157" s="113">
        <f>IF(AH$13="","",IF($B157="","",IFERROR(Q157*$E157/100,"")))</f>
        <v/>
      </c>
      <c r="AI157" s="113">
        <f>IF(AI$13="","",IF($B157="","",IFERROR(R157*$E157/100,"")))</f>
        <v/>
      </c>
      <c r="AJ157" s="113">
        <f>IF(AJ$13="","",IF($B157="","",IFERROR(S157*$E157/100,"")))</f>
        <v/>
      </c>
      <c r="AK157" s="113">
        <f>IF(AK$13="","",IF($B157="","",IFERROR(T157*$E157/100,"")))</f>
        <v/>
      </c>
      <c r="AL157" s="113">
        <f>IF(AL$13="","",IF($B157="","",IFERROR(U157*$E157/100,"")))</f>
        <v/>
      </c>
    </row>
    <row r="158">
      <c r="B158" s="5">
        <f>IF(AS51!$C$148="","",AS51!$C$148)</f>
        <v/>
      </c>
      <c r="C158" s="86">
        <f>IF(AS51!$B$148="","",AS51!$B$148)</f>
        <v/>
      </c>
      <c r="D158" s="111">
        <f>IFERROR(AS51!$Q$148,1)</f>
        <v/>
      </c>
      <c r="E158" s="112">
        <f>IF($B158="","",IF(ISNUMBER(AS51!$I$148),AS51!$I$148,'Index Summary'!$C$7))</f>
        <v/>
      </c>
      <c r="F158" s="113">
        <f>IF(F$13="","",IF($B158="","",IFERROR($C158*$D158*SUMIFS('Dvd Calendar'!$E$292:$CZ$292,'Dvd Calendar'!$E$291:$CZ$291,"&gt;"&amp;F$12,'Dvd Calendar'!$E$291:$CZ$291,"&lt;="&amp;F$13)/AS51!$B$3,"")))</f>
        <v/>
      </c>
      <c r="G158" s="113">
        <f>IF(G$13="","",IF($B158="","",IFERROR($C158*$D158*SUMIFS('Dvd Calendar'!$E$292:$CZ$292,'Dvd Calendar'!$E$291:$CZ$291,"&gt;"&amp;G$12,'Dvd Calendar'!$E$291:$CZ$291,"&lt;="&amp;G$13)/AS51!$B$3,"")))</f>
        <v/>
      </c>
      <c r="H158" s="113">
        <f>IF(H$13="","",IF($B158="","",IFERROR($C158*$D158*SUMIFS('Dvd Calendar'!$E$292:$CZ$292,'Dvd Calendar'!$E$291:$CZ$291,"&gt;"&amp;H$12,'Dvd Calendar'!$E$291:$CZ$291,"&lt;="&amp;H$13)/AS51!$B$3,"")))</f>
        <v/>
      </c>
      <c r="I158" s="113">
        <f>IF(I$13="","",IF($B158="","",IFERROR($C158*$D158*SUMIFS('Dvd Calendar'!$E$292:$CZ$292,'Dvd Calendar'!$E$291:$CZ$291,"&gt;"&amp;I$12,'Dvd Calendar'!$E$291:$CZ$291,"&lt;="&amp;I$13)/AS51!$B$3,"")))</f>
        <v/>
      </c>
      <c r="J158" s="113">
        <f>IF(J$13="","",IF($B158="","",IFERROR($C158*$D158*SUMIFS('Dvd Calendar'!$E$292:$CZ$292,'Dvd Calendar'!$E$291:$CZ$291,"&gt;"&amp;J$12,'Dvd Calendar'!$E$291:$CZ$291,"&lt;="&amp;J$13)/AS51!$B$3,"")))</f>
        <v/>
      </c>
      <c r="K158" s="113">
        <f>IF(K$13="","",IF($B158="","",IFERROR($C158*$D158*SUMIFS('Dvd Calendar'!$E$292:$CZ$292,'Dvd Calendar'!$E$291:$CZ$291,"&gt;"&amp;K$12,'Dvd Calendar'!$E$291:$CZ$291,"&lt;="&amp;K$13)/AS51!$B$3,"")))</f>
        <v/>
      </c>
      <c r="L158" s="113">
        <f>IF(L$13="","",IF($B158="","",IFERROR($C158*$D158*SUMIFS('Dvd Calendar'!$E$292:$CZ$292,'Dvd Calendar'!$E$291:$CZ$291,"&gt;"&amp;L$12,'Dvd Calendar'!$E$291:$CZ$291,"&lt;="&amp;L$13)/AS51!$B$3,"")))</f>
        <v/>
      </c>
      <c r="M158" s="113">
        <f>IF(M$13="","",IF($B158="","",IFERROR($C158*$D158*SUMIFS('Dvd Calendar'!$E$292:$CZ$292,'Dvd Calendar'!$E$291:$CZ$291,"&gt;"&amp;M$12,'Dvd Calendar'!$E$291:$CZ$291,"&lt;="&amp;M$13)/AS51!$B$3,"")))</f>
        <v/>
      </c>
      <c r="N158" s="113">
        <f>IF(N$13="","",IF($B158="","",IFERROR($C158*$D158*SUMIFS('Dvd Calendar'!$E$292:$CZ$292,'Dvd Calendar'!$E$291:$CZ$291,"&gt;"&amp;N$12,'Dvd Calendar'!$E$291:$CZ$291,"&lt;="&amp;N$13)/AS51!$B$3,"")))</f>
        <v/>
      </c>
      <c r="O158" s="113">
        <f>IF(O$13="","",IF($B158="","",IFERROR($C158*$D158*SUMIFS('Dvd Calendar'!$E$292:$CZ$292,'Dvd Calendar'!$E$291:$CZ$291,"&gt;"&amp;O$12,'Dvd Calendar'!$E$291:$CZ$291,"&lt;="&amp;O$13)/AS51!$B$3,"")))</f>
        <v/>
      </c>
      <c r="P158" s="113">
        <f>IF(P$13="","",IF($B158="","",IFERROR($C158*$D158*SUMIFS('Dvd Calendar'!$E$292:$CZ$292,'Dvd Calendar'!$E$291:$CZ$291,"&gt;"&amp;P$12,'Dvd Calendar'!$E$291:$CZ$291,"&lt;="&amp;P$13)/AS51!$B$3,"")))</f>
        <v/>
      </c>
      <c r="Q158" s="113">
        <f>IF(Q$13="","",IF($B158="","",IFERROR($C158*$D158*SUMIFS('Dvd Calendar'!$E$292:$CZ$292,'Dvd Calendar'!$E$291:$CZ$291,"&gt;"&amp;Q$12,'Dvd Calendar'!$E$291:$CZ$291,"&lt;="&amp;Q$13)/AS51!$B$3,"")))</f>
        <v/>
      </c>
      <c r="R158" s="113">
        <f>IF(R$13="","",IF($B158="","",IFERROR($C158*$D158*SUMIFS('Dvd Calendar'!$E$292:$CZ$292,'Dvd Calendar'!$E$291:$CZ$291,"&gt;"&amp;R$12,'Dvd Calendar'!$E$291:$CZ$291,"&lt;="&amp;R$13)/AS51!$B$3,"")))</f>
        <v/>
      </c>
      <c r="S158" s="113">
        <f>IF(S$13="","",IF($B158="","",IFERROR($C158*$D158*SUMIFS('Dvd Calendar'!$E$292:$CZ$292,'Dvd Calendar'!$E$291:$CZ$291,"&gt;"&amp;S$12,'Dvd Calendar'!$E$291:$CZ$291,"&lt;="&amp;S$13)/AS51!$B$3,"")))</f>
        <v/>
      </c>
      <c r="T158" s="113">
        <f>IF(T$13="","",IF($B158="","",IFERROR($C158*$D158*SUMIFS('Dvd Calendar'!$E$292:$CZ$292,'Dvd Calendar'!$E$291:$CZ$291,"&gt;"&amp;T$12,'Dvd Calendar'!$E$291:$CZ$291,"&lt;="&amp;T$13)/AS51!$B$3,"")))</f>
        <v/>
      </c>
      <c r="U158" s="113">
        <f>IF(U$13="","",IF($B158="","",IFERROR($C158*$D158*SUMIFS('Dvd Calendar'!$E$292:$CZ$292,'Dvd Calendar'!$E$291:$CZ$291,"&gt;"&amp;U$12,'Dvd Calendar'!$E$291:$CZ$291,"&lt;="&amp;U$13)/AS51!$B$3,"")))</f>
        <v/>
      </c>
      <c r="W158" s="113">
        <f>IF(W$13="","",IF($B158="","",IFERROR(F158*$E158/100,"")))</f>
        <v/>
      </c>
      <c r="X158" s="113">
        <f>IF(X$13="","",IF($B158="","",IFERROR(G158*$E158/100,"")))</f>
        <v/>
      </c>
      <c r="Y158" s="113">
        <f>IF(Y$13="","",IF($B158="","",IFERROR(H158*$E158/100,"")))</f>
        <v/>
      </c>
      <c r="Z158" s="113">
        <f>IF(Z$13="","",IF($B158="","",IFERROR(I158*$E158/100,"")))</f>
        <v/>
      </c>
      <c r="AA158" s="113">
        <f>IF(AA$13="","",IF($B158="","",IFERROR(J158*$E158/100,"")))</f>
        <v/>
      </c>
      <c r="AB158" s="113">
        <f>IF(AB$13="","",IF($B158="","",IFERROR(K158*$E158/100,"")))</f>
        <v/>
      </c>
      <c r="AC158" s="113">
        <f>IF(AC$13="","",IF($B158="","",IFERROR(L158*$E158/100,"")))</f>
        <v/>
      </c>
      <c r="AD158" s="113">
        <f>IF(AD$13="","",IF($B158="","",IFERROR(M158*$E158/100,"")))</f>
        <v/>
      </c>
      <c r="AE158" s="113">
        <f>IF(AE$13="","",IF($B158="","",IFERROR(N158*$E158/100,"")))</f>
        <v/>
      </c>
      <c r="AF158" s="113">
        <f>IF(AF$13="","",IF($B158="","",IFERROR(O158*$E158/100,"")))</f>
        <v/>
      </c>
      <c r="AG158" s="113">
        <f>IF(AG$13="","",IF($B158="","",IFERROR(P158*$E158/100,"")))</f>
        <v/>
      </c>
      <c r="AH158" s="113">
        <f>IF(AH$13="","",IF($B158="","",IFERROR(Q158*$E158/100,"")))</f>
        <v/>
      </c>
      <c r="AI158" s="113">
        <f>IF(AI$13="","",IF($B158="","",IFERROR(R158*$E158/100,"")))</f>
        <v/>
      </c>
      <c r="AJ158" s="113">
        <f>IF(AJ$13="","",IF($B158="","",IFERROR(S158*$E158/100,"")))</f>
        <v/>
      </c>
      <c r="AK158" s="113">
        <f>IF(AK$13="","",IF($B158="","",IFERROR(T158*$E158/100,"")))</f>
        <v/>
      </c>
      <c r="AL158" s="113">
        <f>IF(AL$13="","",IF($B158="","",IFERROR(U158*$E158/100,"")))</f>
        <v/>
      </c>
    </row>
    <row r="159">
      <c r="B159" s="5">
        <f>IF(AS51!$C$149="","",AS51!$C$149)</f>
        <v/>
      </c>
      <c r="C159" s="86">
        <f>IF(AS51!$B$149="","",AS51!$B$149)</f>
        <v/>
      </c>
      <c r="D159" s="111">
        <f>IFERROR(AS51!$Q$149,1)</f>
        <v/>
      </c>
      <c r="E159" s="112">
        <f>IF($B159="","",IF(ISNUMBER(AS51!$I$149),AS51!$I$149,'Index Summary'!$C$7))</f>
        <v/>
      </c>
      <c r="F159" s="113">
        <f>IF(F$13="","",IF($B159="","",IFERROR($C159*$D159*SUMIFS('Dvd Calendar'!$E$294:$CZ$294,'Dvd Calendar'!$E$293:$CZ$293,"&gt;"&amp;F$12,'Dvd Calendar'!$E$293:$CZ$293,"&lt;="&amp;F$13)/AS51!$B$3,"")))</f>
        <v/>
      </c>
      <c r="G159" s="113">
        <f>IF(G$13="","",IF($B159="","",IFERROR($C159*$D159*SUMIFS('Dvd Calendar'!$E$294:$CZ$294,'Dvd Calendar'!$E$293:$CZ$293,"&gt;"&amp;G$12,'Dvd Calendar'!$E$293:$CZ$293,"&lt;="&amp;G$13)/AS51!$B$3,"")))</f>
        <v/>
      </c>
      <c r="H159" s="113">
        <f>IF(H$13="","",IF($B159="","",IFERROR($C159*$D159*SUMIFS('Dvd Calendar'!$E$294:$CZ$294,'Dvd Calendar'!$E$293:$CZ$293,"&gt;"&amp;H$12,'Dvd Calendar'!$E$293:$CZ$293,"&lt;="&amp;H$13)/AS51!$B$3,"")))</f>
        <v/>
      </c>
      <c r="I159" s="113">
        <f>IF(I$13="","",IF($B159="","",IFERROR($C159*$D159*SUMIFS('Dvd Calendar'!$E$294:$CZ$294,'Dvd Calendar'!$E$293:$CZ$293,"&gt;"&amp;I$12,'Dvd Calendar'!$E$293:$CZ$293,"&lt;="&amp;I$13)/AS51!$B$3,"")))</f>
        <v/>
      </c>
      <c r="J159" s="113">
        <f>IF(J$13="","",IF($B159="","",IFERROR($C159*$D159*SUMIFS('Dvd Calendar'!$E$294:$CZ$294,'Dvd Calendar'!$E$293:$CZ$293,"&gt;"&amp;J$12,'Dvd Calendar'!$E$293:$CZ$293,"&lt;="&amp;J$13)/AS51!$B$3,"")))</f>
        <v/>
      </c>
      <c r="K159" s="113">
        <f>IF(K$13="","",IF($B159="","",IFERROR($C159*$D159*SUMIFS('Dvd Calendar'!$E$294:$CZ$294,'Dvd Calendar'!$E$293:$CZ$293,"&gt;"&amp;K$12,'Dvd Calendar'!$E$293:$CZ$293,"&lt;="&amp;K$13)/AS51!$B$3,"")))</f>
        <v/>
      </c>
      <c r="L159" s="113">
        <f>IF(L$13="","",IF($B159="","",IFERROR($C159*$D159*SUMIFS('Dvd Calendar'!$E$294:$CZ$294,'Dvd Calendar'!$E$293:$CZ$293,"&gt;"&amp;L$12,'Dvd Calendar'!$E$293:$CZ$293,"&lt;="&amp;L$13)/AS51!$B$3,"")))</f>
        <v/>
      </c>
      <c r="M159" s="113">
        <f>IF(M$13="","",IF($B159="","",IFERROR($C159*$D159*SUMIFS('Dvd Calendar'!$E$294:$CZ$294,'Dvd Calendar'!$E$293:$CZ$293,"&gt;"&amp;M$12,'Dvd Calendar'!$E$293:$CZ$293,"&lt;="&amp;M$13)/AS51!$B$3,"")))</f>
        <v/>
      </c>
      <c r="N159" s="113">
        <f>IF(N$13="","",IF($B159="","",IFERROR($C159*$D159*SUMIFS('Dvd Calendar'!$E$294:$CZ$294,'Dvd Calendar'!$E$293:$CZ$293,"&gt;"&amp;N$12,'Dvd Calendar'!$E$293:$CZ$293,"&lt;="&amp;N$13)/AS51!$B$3,"")))</f>
        <v/>
      </c>
      <c r="O159" s="113">
        <f>IF(O$13="","",IF($B159="","",IFERROR($C159*$D159*SUMIFS('Dvd Calendar'!$E$294:$CZ$294,'Dvd Calendar'!$E$293:$CZ$293,"&gt;"&amp;O$12,'Dvd Calendar'!$E$293:$CZ$293,"&lt;="&amp;O$13)/AS51!$B$3,"")))</f>
        <v/>
      </c>
      <c r="P159" s="113">
        <f>IF(P$13="","",IF($B159="","",IFERROR($C159*$D159*SUMIFS('Dvd Calendar'!$E$294:$CZ$294,'Dvd Calendar'!$E$293:$CZ$293,"&gt;"&amp;P$12,'Dvd Calendar'!$E$293:$CZ$293,"&lt;="&amp;P$13)/AS51!$B$3,"")))</f>
        <v/>
      </c>
      <c r="Q159" s="113">
        <f>IF(Q$13="","",IF($B159="","",IFERROR($C159*$D159*SUMIFS('Dvd Calendar'!$E$294:$CZ$294,'Dvd Calendar'!$E$293:$CZ$293,"&gt;"&amp;Q$12,'Dvd Calendar'!$E$293:$CZ$293,"&lt;="&amp;Q$13)/AS51!$B$3,"")))</f>
        <v/>
      </c>
      <c r="R159" s="113">
        <f>IF(R$13="","",IF($B159="","",IFERROR($C159*$D159*SUMIFS('Dvd Calendar'!$E$294:$CZ$294,'Dvd Calendar'!$E$293:$CZ$293,"&gt;"&amp;R$12,'Dvd Calendar'!$E$293:$CZ$293,"&lt;="&amp;R$13)/AS51!$B$3,"")))</f>
        <v/>
      </c>
      <c r="S159" s="113">
        <f>IF(S$13="","",IF($B159="","",IFERROR($C159*$D159*SUMIFS('Dvd Calendar'!$E$294:$CZ$294,'Dvd Calendar'!$E$293:$CZ$293,"&gt;"&amp;S$12,'Dvd Calendar'!$E$293:$CZ$293,"&lt;="&amp;S$13)/AS51!$B$3,"")))</f>
        <v/>
      </c>
      <c r="T159" s="113">
        <f>IF(T$13="","",IF($B159="","",IFERROR($C159*$D159*SUMIFS('Dvd Calendar'!$E$294:$CZ$294,'Dvd Calendar'!$E$293:$CZ$293,"&gt;"&amp;T$12,'Dvd Calendar'!$E$293:$CZ$293,"&lt;="&amp;T$13)/AS51!$B$3,"")))</f>
        <v/>
      </c>
      <c r="U159" s="113">
        <f>IF(U$13="","",IF($B159="","",IFERROR($C159*$D159*SUMIFS('Dvd Calendar'!$E$294:$CZ$294,'Dvd Calendar'!$E$293:$CZ$293,"&gt;"&amp;U$12,'Dvd Calendar'!$E$293:$CZ$293,"&lt;="&amp;U$13)/AS51!$B$3,"")))</f>
        <v/>
      </c>
      <c r="W159" s="113">
        <f>IF(W$13="","",IF($B159="","",IFERROR(F159*$E159/100,"")))</f>
        <v/>
      </c>
      <c r="X159" s="113">
        <f>IF(X$13="","",IF($B159="","",IFERROR(G159*$E159/100,"")))</f>
        <v/>
      </c>
      <c r="Y159" s="113">
        <f>IF(Y$13="","",IF($B159="","",IFERROR(H159*$E159/100,"")))</f>
        <v/>
      </c>
      <c r="Z159" s="113">
        <f>IF(Z$13="","",IF($B159="","",IFERROR(I159*$E159/100,"")))</f>
        <v/>
      </c>
      <c r="AA159" s="113">
        <f>IF(AA$13="","",IF($B159="","",IFERROR(J159*$E159/100,"")))</f>
        <v/>
      </c>
      <c r="AB159" s="113">
        <f>IF(AB$13="","",IF($B159="","",IFERROR(K159*$E159/100,"")))</f>
        <v/>
      </c>
      <c r="AC159" s="113">
        <f>IF(AC$13="","",IF($B159="","",IFERROR(L159*$E159/100,"")))</f>
        <v/>
      </c>
      <c r="AD159" s="113">
        <f>IF(AD$13="","",IF($B159="","",IFERROR(M159*$E159/100,"")))</f>
        <v/>
      </c>
      <c r="AE159" s="113">
        <f>IF(AE$13="","",IF($B159="","",IFERROR(N159*$E159/100,"")))</f>
        <v/>
      </c>
      <c r="AF159" s="113">
        <f>IF(AF$13="","",IF($B159="","",IFERROR(O159*$E159/100,"")))</f>
        <v/>
      </c>
      <c r="AG159" s="113">
        <f>IF(AG$13="","",IF($B159="","",IFERROR(P159*$E159/100,"")))</f>
        <v/>
      </c>
      <c r="AH159" s="113">
        <f>IF(AH$13="","",IF($B159="","",IFERROR(Q159*$E159/100,"")))</f>
        <v/>
      </c>
      <c r="AI159" s="113">
        <f>IF(AI$13="","",IF($B159="","",IFERROR(R159*$E159/100,"")))</f>
        <v/>
      </c>
      <c r="AJ159" s="113">
        <f>IF(AJ$13="","",IF($B159="","",IFERROR(S159*$E159/100,"")))</f>
        <v/>
      </c>
      <c r="AK159" s="113">
        <f>IF(AK$13="","",IF($B159="","",IFERROR(T159*$E159/100,"")))</f>
        <v/>
      </c>
      <c r="AL159" s="113">
        <f>IF(AL$13="","",IF($B159="","",IFERROR(U159*$E159/100,"")))</f>
        <v/>
      </c>
    </row>
    <row r="160">
      <c r="B160" s="5">
        <f>IF(AS51!$C$150="","",AS51!$C$150)</f>
        <v/>
      </c>
      <c r="C160" s="86">
        <f>IF(AS51!$B$150="","",AS51!$B$150)</f>
        <v/>
      </c>
      <c r="D160" s="111">
        <f>IFERROR(AS51!$Q$150,1)</f>
        <v/>
      </c>
      <c r="E160" s="112">
        <f>IF($B160="","",IF(ISNUMBER(AS51!$I$150),AS51!$I$150,'Index Summary'!$C$7))</f>
        <v/>
      </c>
      <c r="F160" s="113">
        <f>IF(F$13="","",IF($B160="","",IFERROR($C160*$D160*SUMIFS('Dvd Calendar'!$E$296:$CZ$296,'Dvd Calendar'!$E$295:$CZ$295,"&gt;"&amp;F$12,'Dvd Calendar'!$E$295:$CZ$295,"&lt;="&amp;F$13)/AS51!$B$3,"")))</f>
        <v/>
      </c>
      <c r="G160" s="113">
        <f>IF(G$13="","",IF($B160="","",IFERROR($C160*$D160*SUMIFS('Dvd Calendar'!$E$296:$CZ$296,'Dvd Calendar'!$E$295:$CZ$295,"&gt;"&amp;G$12,'Dvd Calendar'!$E$295:$CZ$295,"&lt;="&amp;G$13)/AS51!$B$3,"")))</f>
        <v/>
      </c>
      <c r="H160" s="113">
        <f>IF(H$13="","",IF($B160="","",IFERROR($C160*$D160*SUMIFS('Dvd Calendar'!$E$296:$CZ$296,'Dvd Calendar'!$E$295:$CZ$295,"&gt;"&amp;H$12,'Dvd Calendar'!$E$295:$CZ$295,"&lt;="&amp;H$13)/AS51!$B$3,"")))</f>
        <v/>
      </c>
      <c r="I160" s="113">
        <f>IF(I$13="","",IF($B160="","",IFERROR($C160*$D160*SUMIFS('Dvd Calendar'!$E$296:$CZ$296,'Dvd Calendar'!$E$295:$CZ$295,"&gt;"&amp;I$12,'Dvd Calendar'!$E$295:$CZ$295,"&lt;="&amp;I$13)/AS51!$B$3,"")))</f>
        <v/>
      </c>
      <c r="J160" s="113">
        <f>IF(J$13="","",IF($B160="","",IFERROR($C160*$D160*SUMIFS('Dvd Calendar'!$E$296:$CZ$296,'Dvd Calendar'!$E$295:$CZ$295,"&gt;"&amp;J$12,'Dvd Calendar'!$E$295:$CZ$295,"&lt;="&amp;J$13)/AS51!$B$3,"")))</f>
        <v/>
      </c>
      <c r="K160" s="113">
        <f>IF(K$13="","",IF($B160="","",IFERROR($C160*$D160*SUMIFS('Dvd Calendar'!$E$296:$CZ$296,'Dvd Calendar'!$E$295:$CZ$295,"&gt;"&amp;K$12,'Dvd Calendar'!$E$295:$CZ$295,"&lt;="&amp;K$13)/AS51!$B$3,"")))</f>
        <v/>
      </c>
      <c r="L160" s="113">
        <f>IF(L$13="","",IF($B160="","",IFERROR($C160*$D160*SUMIFS('Dvd Calendar'!$E$296:$CZ$296,'Dvd Calendar'!$E$295:$CZ$295,"&gt;"&amp;L$12,'Dvd Calendar'!$E$295:$CZ$295,"&lt;="&amp;L$13)/AS51!$B$3,"")))</f>
        <v/>
      </c>
      <c r="M160" s="113">
        <f>IF(M$13="","",IF($B160="","",IFERROR($C160*$D160*SUMIFS('Dvd Calendar'!$E$296:$CZ$296,'Dvd Calendar'!$E$295:$CZ$295,"&gt;"&amp;M$12,'Dvd Calendar'!$E$295:$CZ$295,"&lt;="&amp;M$13)/AS51!$B$3,"")))</f>
        <v/>
      </c>
      <c r="N160" s="113">
        <f>IF(N$13="","",IF($B160="","",IFERROR($C160*$D160*SUMIFS('Dvd Calendar'!$E$296:$CZ$296,'Dvd Calendar'!$E$295:$CZ$295,"&gt;"&amp;N$12,'Dvd Calendar'!$E$295:$CZ$295,"&lt;="&amp;N$13)/AS51!$B$3,"")))</f>
        <v/>
      </c>
      <c r="O160" s="113">
        <f>IF(O$13="","",IF($B160="","",IFERROR($C160*$D160*SUMIFS('Dvd Calendar'!$E$296:$CZ$296,'Dvd Calendar'!$E$295:$CZ$295,"&gt;"&amp;O$12,'Dvd Calendar'!$E$295:$CZ$295,"&lt;="&amp;O$13)/AS51!$B$3,"")))</f>
        <v/>
      </c>
      <c r="P160" s="113">
        <f>IF(P$13="","",IF($B160="","",IFERROR($C160*$D160*SUMIFS('Dvd Calendar'!$E$296:$CZ$296,'Dvd Calendar'!$E$295:$CZ$295,"&gt;"&amp;P$12,'Dvd Calendar'!$E$295:$CZ$295,"&lt;="&amp;P$13)/AS51!$B$3,"")))</f>
        <v/>
      </c>
      <c r="Q160" s="113">
        <f>IF(Q$13="","",IF($B160="","",IFERROR($C160*$D160*SUMIFS('Dvd Calendar'!$E$296:$CZ$296,'Dvd Calendar'!$E$295:$CZ$295,"&gt;"&amp;Q$12,'Dvd Calendar'!$E$295:$CZ$295,"&lt;="&amp;Q$13)/AS51!$B$3,"")))</f>
        <v/>
      </c>
      <c r="R160" s="113">
        <f>IF(R$13="","",IF($B160="","",IFERROR($C160*$D160*SUMIFS('Dvd Calendar'!$E$296:$CZ$296,'Dvd Calendar'!$E$295:$CZ$295,"&gt;"&amp;R$12,'Dvd Calendar'!$E$295:$CZ$295,"&lt;="&amp;R$13)/AS51!$B$3,"")))</f>
        <v/>
      </c>
      <c r="S160" s="113">
        <f>IF(S$13="","",IF($B160="","",IFERROR($C160*$D160*SUMIFS('Dvd Calendar'!$E$296:$CZ$296,'Dvd Calendar'!$E$295:$CZ$295,"&gt;"&amp;S$12,'Dvd Calendar'!$E$295:$CZ$295,"&lt;="&amp;S$13)/AS51!$B$3,"")))</f>
        <v/>
      </c>
      <c r="T160" s="113">
        <f>IF(T$13="","",IF($B160="","",IFERROR($C160*$D160*SUMIFS('Dvd Calendar'!$E$296:$CZ$296,'Dvd Calendar'!$E$295:$CZ$295,"&gt;"&amp;T$12,'Dvd Calendar'!$E$295:$CZ$295,"&lt;="&amp;T$13)/AS51!$B$3,"")))</f>
        <v/>
      </c>
      <c r="U160" s="113">
        <f>IF(U$13="","",IF($B160="","",IFERROR($C160*$D160*SUMIFS('Dvd Calendar'!$E$296:$CZ$296,'Dvd Calendar'!$E$295:$CZ$295,"&gt;"&amp;U$12,'Dvd Calendar'!$E$295:$CZ$295,"&lt;="&amp;U$13)/AS51!$B$3,"")))</f>
        <v/>
      </c>
      <c r="W160" s="113">
        <f>IF(W$13="","",IF($B160="","",IFERROR(F160*$E160/100,"")))</f>
        <v/>
      </c>
      <c r="X160" s="113">
        <f>IF(X$13="","",IF($B160="","",IFERROR(G160*$E160/100,"")))</f>
        <v/>
      </c>
      <c r="Y160" s="113">
        <f>IF(Y$13="","",IF($B160="","",IFERROR(H160*$E160/100,"")))</f>
        <v/>
      </c>
      <c r="Z160" s="113">
        <f>IF(Z$13="","",IF($B160="","",IFERROR(I160*$E160/100,"")))</f>
        <v/>
      </c>
      <c r="AA160" s="113">
        <f>IF(AA$13="","",IF($B160="","",IFERROR(J160*$E160/100,"")))</f>
        <v/>
      </c>
      <c r="AB160" s="113">
        <f>IF(AB$13="","",IF($B160="","",IFERROR(K160*$E160/100,"")))</f>
        <v/>
      </c>
      <c r="AC160" s="113">
        <f>IF(AC$13="","",IF($B160="","",IFERROR(L160*$E160/100,"")))</f>
        <v/>
      </c>
      <c r="AD160" s="113">
        <f>IF(AD$13="","",IF($B160="","",IFERROR(M160*$E160/100,"")))</f>
        <v/>
      </c>
      <c r="AE160" s="113">
        <f>IF(AE$13="","",IF($B160="","",IFERROR(N160*$E160/100,"")))</f>
        <v/>
      </c>
      <c r="AF160" s="113">
        <f>IF(AF$13="","",IF($B160="","",IFERROR(O160*$E160/100,"")))</f>
        <v/>
      </c>
      <c r="AG160" s="113">
        <f>IF(AG$13="","",IF($B160="","",IFERROR(P160*$E160/100,"")))</f>
        <v/>
      </c>
      <c r="AH160" s="113">
        <f>IF(AH$13="","",IF($B160="","",IFERROR(Q160*$E160/100,"")))</f>
        <v/>
      </c>
      <c r="AI160" s="113">
        <f>IF(AI$13="","",IF($B160="","",IFERROR(R160*$E160/100,"")))</f>
        <v/>
      </c>
      <c r="AJ160" s="113">
        <f>IF(AJ$13="","",IF($B160="","",IFERROR(S160*$E160/100,"")))</f>
        <v/>
      </c>
      <c r="AK160" s="113">
        <f>IF(AK$13="","",IF($B160="","",IFERROR(T160*$E160/100,"")))</f>
        <v/>
      </c>
      <c r="AL160" s="113">
        <f>IF(AL$13="","",IF($B160="","",IFERROR(U160*$E160/100,"")))</f>
        <v/>
      </c>
    </row>
    <row r="161">
      <c r="B161" s="5">
        <f>IF(AS51!$C$151="","",AS51!$C$151)</f>
        <v/>
      </c>
      <c r="C161" s="86">
        <f>IF(AS51!$B$151="","",AS51!$B$151)</f>
        <v/>
      </c>
      <c r="D161" s="111">
        <f>IFERROR(AS51!$Q$151,1)</f>
        <v/>
      </c>
      <c r="E161" s="112">
        <f>IF($B161="","",IF(ISNUMBER(AS51!$I$151),AS51!$I$151,'Index Summary'!$C$7))</f>
        <v/>
      </c>
      <c r="F161" s="113">
        <f>IF(F$13="","",IF($B161="","",IFERROR($C161*$D161*SUMIFS('Dvd Calendar'!$E$298:$CZ$298,'Dvd Calendar'!$E$297:$CZ$297,"&gt;"&amp;F$12,'Dvd Calendar'!$E$297:$CZ$297,"&lt;="&amp;F$13)/AS51!$B$3,"")))</f>
        <v/>
      </c>
      <c r="G161" s="113">
        <f>IF(G$13="","",IF($B161="","",IFERROR($C161*$D161*SUMIFS('Dvd Calendar'!$E$298:$CZ$298,'Dvd Calendar'!$E$297:$CZ$297,"&gt;"&amp;G$12,'Dvd Calendar'!$E$297:$CZ$297,"&lt;="&amp;G$13)/AS51!$B$3,"")))</f>
        <v/>
      </c>
      <c r="H161" s="113">
        <f>IF(H$13="","",IF($B161="","",IFERROR($C161*$D161*SUMIFS('Dvd Calendar'!$E$298:$CZ$298,'Dvd Calendar'!$E$297:$CZ$297,"&gt;"&amp;H$12,'Dvd Calendar'!$E$297:$CZ$297,"&lt;="&amp;H$13)/AS51!$B$3,"")))</f>
        <v/>
      </c>
      <c r="I161" s="113">
        <f>IF(I$13="","",IF($B161="","",IFERROR($C161*$D161*SUMIFS('Dvd Calendar'!$E$298:$CZ$298,'Dvd Calendar'!$E$297:$CZ$297,"&gt;"&amp;I$12,'Dvd Calendar'!$E$297:$CZ$297,"&lt;="&amp;I$13)/AS51!$B$3,"")))</f>
        <v/>
      </c>
      <c r="J161" s="113">
        <f>IF(J$13="","",IF($B161="","",IFERROR($C161*$D161*SUMIFS('Dvd Calendar'!$E$298:$CZ$298,'Dvd Calendar'!$E$297:$CZ$297,"&gt;"&amp;J$12,'Dvd Calendar'!$E$297:$CZ$297,"&lt;="&amp;J$13)/AS51!$B$3,"")))</f>
        <v/>
      </c>
      <c r="K161" s="113">
        <f>IF(K$13="","",IF($B161="","",IFERROR($C161*$D161*SUMIFS('Dvd Calendar'!$E$298:$CZ$298,'Dvd Calendar'!$E$297:$CZ$297,"&gt;"&amp;K$12,'Dvd Calendar'!$E$297:$CZ$297,"&lt;="&amp;K$13)/AS51!$B$3,"")))</f>
        <v/>
      </c>
      <c r="L161" s="113">
        <f>IF(L$13="","",IF($B161="","",IFERROR($C161*$D161*SUMIFS('Dvd Calendar'!$E$298:$CZ$298,'Dvd Calendar'!$E$297:$CZ$297,"&gt;"&amp;L$12,'Dvd Calendar'!$E$297:$CZ$297,"&lt;="&amp;L$13)/AS51!$B$3,"")))</f>
        <v/>
      </c>
      <c r="M161" s="113">
        <f>IF(M$13="","",IF($B161="","",IFERROR($C161*$D161*SUMIFS('Dvd Calendar'!$E$298:$CZ$298,'Dvd Calendar'!$E$297:$CZ$297,"&gt;"&amp;M$12,'Dvd Calendar'!$E$297:$CZ$297,"&lt;="&amp;M$13)/AS51!$B$3,"")))</f>
        <v/>
      </c>
      <c r="N161" s="113">
        <f>IF(N$13="","",IF($B161="","",IFERROR($C161*$D161*SUMIFS('Dvd Calendar'!$E$298:$CZ$298,'Dvd Calendar'!$E$297:$CZ$297,"&gt;"&amp;N$12,'Dvd Calendar'!$E$297:$CZ$297,"&lt;="&amp;N$13)/AS51!$B$3,"")))</f>
        <v/>
      </c>
      <c r="O161" s="113">
        <f>IF(O$13="","",IF($B161="","",IFERROR($C161*$D161*SUMIFS('Dvd Calendar'!$E$298:$CZ$298,'Dvd Calendar'!$E$297:$CZ$297,"&gt;"&amp;O$12,'Dvd Calendar'!$E$297:$CZ$297,"&lt;="&amp;O$13)/AS51!$B$3,"")))</f>
        <v/>
      </c>
      <c r="P161" s="113">
        <f>IF(P$13="","",IF($B161="","",IFERROR($C161*$D161*SUMIFS('Dvd Calendar'!$E$298:$CZ$298,'Dvd Calendar'!$E$297:$CZ$297,"&gt;"&amp;P$12,'Dvd Calendar'!$E$297:$CZ$297,"&lt;="&amp;P$13)/AS51!$B$3,"")))</f>
        <v/>
      </c>
      <c r="Q161" s="113">
        <f>IF(Q$13="","",IF($B161="","",IFERROR($C161*$D161*SUMIFS('Dvd Calendar'!$E$298:$CZ$298,'Dvd Calendar'!$E$297:$CZ$297,"&gt;"&amp;Q$12,'Dvd Calendar'!$E$297:$CZ$297,"&lt;="&amp;Q$13)/AS51!$B$3,"")))</f>
        <v/>
      </c>
      <c r="R161" s="113">
        <f>IF(R$13="","",IF($B161="","",IFERROR($C161*$D161*SUMIFS('Dvd Calendar'!$E$298:$CZ$298,'Dvd Calendar'!$E$297:$CZ$297,"&gt;"&amp;R$12,'Dvd Calendar'!$E$297:$CZ$297,"&lt;="&amp;R$13)/AS51!$B$3,"")))</f>
        <v/>
      </c>
      <c r="S161" s="113">
        <f>IF(S$13="","",IF($B161="","",IFERROR($C161*$D161*SUMIFS('Dvd Calendar'!$E$298:$CZ$298,'Dvd Calendar'!$E$297:$CZ$297,"&gt;"&amp;S$12,'Dvd Calendar'!$E$297:$CZ$297,"&lt;="&amp;S$13)/AS51!$B$3,"")))</f>
        <v/>
      </c>
      <c r="T161" s="113">
        <f>IF(T$13="","",IF($B161="","",IFERROR($C161*$D161*SUMIFS('Dvd Calendar'!$E$298:$CZ$298,'Dvd Calendar'!$E$297:$CZ$297,"&gt;"&amp;T$12,'Dvd Calendar'!$E$297:$CZ$297,"&lt;="&amp;T$13)/AS51!$B$3,"")))</f>
        <v/>
      </c>
      <c r="U161" s="113">
        <f>IF(U$13="","",IF($B161="","",IFERROR($C161*$D161*SUMIFS('Dvd Calendar'!$E$298:$CZ$298,'Dvd Calendar'!$E$297:$CZ$297,"&gt;"&amp;U$12,'Dvd Calendar'!$E$297:$CZ$297,"&lt;="&amp;U$13)/AS51!$B$3,"")))</f>
        <v/>
      </c>
      <c r="W161" s="113">
        <f>IF(W$13="","",IF($B161="","",IFERROR(F161*$E161/100,"")))</f>
        <v/>
      </c>
      <c r="X161" s="113">
        <f>IF(X$13="","",IF($B161="","",IFERROR(G161*$E161/100,"")))</f>
        <v/>
      </c>
      <c r="Y161" s="113">
        <f>IF(Y$13="","",IF($B161="","",IFERROR(H161*$E161/100,"")))</f>
        <v/>
      </c>
      <c r="Z161" s="113">
        <f>IF(Z$13="","",IF($B161="","",IFERROR(I161*$E161/100,"")))</f>
        <v/>
      </c>
      <c r="AA161" s="113">
        <f>IF(AA$13="","",IF($B161="","",IFERROR(J161*$E161/100,"")))</f>
        <v/>
      </c>
      <c r="AB161" s="113">
        <f>IF(AB$13="","",IF($B161="","",IFERROR(K161*$E161/100,"")))</f>
        <v/>
      </c>
      <c r="AC161" s="113">
        <f>IF(AC$13="","",IF($B161="","",IFERROR(L161*$E161/100,"")))</f>
        <v/>
      </c>
      <c r="AD161" s="113">
        <f>IF(AD$13="","",IF($B161="","",IFERROR(M161*$E161/100,"")))</f>
        <v/>
      </c>
      <c r="AE161" s="113">
        <f>IF(AE$13="","",IF($B161="","",IFERROR(N161*$E161/100,"")))</f>
        <v/>
      </c>
      <c r="AF161" s="113">
        <f>IF(AF$13="","",IF($B161="","",IFERROR(O161*$E161/100,"")))</f>
        <v/>
      </c>
      <c r="AG161" s="113">
        <f>IF(AG$13="","",IF($B161="","",IFERROR(P161*$E161/100,"")))</f>
        <v/>
      </c>
      <c r="AH161" s="113">
        <f>IF(AH$13="","",IF($B161="","",IFERROR(Q161*$E161/100,"")))</f>
        <v/>
      </c>
      <c r="AI161" s="113">
        <f>IF(AI$13="","",IF($B161="","",IFERROR(R161*$E161/100,"")))</f>
        <v/>
      </c>
      <c r="AJ161" s="113">
        <f>IF(AJ$13="","",IF($B161="","",IFERROR(S161*$E161/100,"")))</f>
        <v/>
      </c>
      <c r="AK161" s="113">
        <f>IF(AK$13="","",IF($B161="","",IFERROR(T161*$E161/100,"")))</f>
        <v/>
      </c>
      <c r="AL161" s="113">
        <f>IF(AL$13="","",IF($B161="","",IFERROR(U161*$E161/100,"")))</f>
        <v/>
      </c>
    </row>
    <row r="162">
      <c r="B162" s="5">
        <f>IF(AS51!$C$152="","",AS51!$C$152)</f>
        <v/>
      </c>
      <c r="C162" s="86">
        <f>IF(AS51!$B$152="","",AS51!$B$152)</f>
        <v/>
      </c>
      <c r="D162" s="111">
        <f>IFERROR(AS51!$Q$152,1)</f>
        <v/>
      </c>
      <c r="E162" s="112">
        <f>IF($B162="","",IF(ISNUMBER(AS51!$I$152),AS51!$I$152,'Index Summary'!$C$7))</f>
        <v/>
      </c>
      <c r="F162" s="113">
        <f>IF(F$13="","",IF($B162="","",IFERROR($C162*$D162*SUMIFS('Dvd Calendar'!$E$300:$CZ$300,'Dvd Calendar'!$E$299:$CZ$299,"&gt;"&amp;F$12,'Dvd Calendar'!$E$299:$CZ$299,"&lt;="&amp;F$13)/AS51!$B$3,"")))</f>
        <v/>
      </c>
      <c r="G162" s="113">
        <f>IF(G$13="","",IF($B162="","",IFERROR($C162*$D162*SUMIFS('Dvd Calendar'!$E$300:$CZ$300,'Dvd Calendar'!$E$299:$CZ$299,"&gt;"&amp;G$12,'Dvd Calendar'!$E$299:$CZ$299,"&lt;="&amp;G$13)/AS51!$B$3,"")))</f>
        <v/>
      </c>
      <c r="H162" s="113">
        <f>IF(H$13="","",IF($B162="","",IFERROR($C162*$D162*SUMIFS('Dvd Calendar'!$E$300:$CZ$300,'Dvd Calendar'!$E$299:$CZ$299,"&gt;"&amp;H$12,'Dvd Calendar'!$E$299:$CZ$299,"&lt;="&amp;H$13)/AS51!$B$3,"")))</f>
        <v/>
      </c>
      <c r="I162" s="113">
        <f>IF(I$13="","",IF($B162="","",IFERROR($C162*$D162*SUMIFS('Dvd Calendar'!$E$300:$CZ$300,'Dvd Calendar'!$E$299:$CZ$299,"&gt;"&amp;I$12,'Dvd Calendar'!$E$299:$CZ$299,"&lt;="&amp;I$13)/AS51!$B$3,"")))</f>
        <v/>
      </c>
      <c r="J162" s="113">
        <f>IF(J$13="","",IF($B162="","",IFERROR($C162*$D162*SUMIFS('Dvd Calendar'!$E$300:$CZ$300,'Dvd Calendar'!$E$299:$CZ$299,"&gt;"&amp;J$12,'Dvd Calendar'!$E$299:$CZ$299,"&lt;="&amp;J$13)/AS51!$B$3,"")))</f>
        <v/>
      </c>
      <c r="K162" s="113">
        <f>IF(K$13="","",IF($B162="","",IFERROR($C162*$D162*SUMIFS('Dvd Calendar'!$E$300:$CZ$300,'Dvd Calendar'!$E$299:$CZ$299,"&gt;"&amp;K$12,'Dvd Calendar'!$E$299:$CZ$299,"&lt;="&amp;K$13)/AS51!$B$3,"")))</f>
        <v/>
      </c>
      <c r="L162" s="113">
        <f>IF(L$13="","",IF($B162="","",IFERROR($C162*$D162*SUMIFS('Dvd Calendar'!$E$300:$CZ$300,'Dvd Calendar'!$E$299:$CZ$299,"&gt;"&amp;L$12,'Dvd Calendar'!$E$299:$CZ$299,"&lt;="&amp;L$13)/AS51!$B$3,"")))</f>
        <v/>
      </c>
      <c r="M162" s="113">
        <f>IF(M$13="","",IF($B162="","",IFERROR($C162*$D162*SUMIFS('Dvd Calendar'!$E$300:$CZ$300,'Dvd Calendar'!$E$299:$CZ$299,"&gt;"&amp;M$12,'Dvd Calendar'!$E$299:$CZ$299,"&lt;="&amp;M$13)/AS51!$B$3,"")))</f>
        <v/>
      </c>
      <c r="N162" s="113">
        <f>IF(N$13="","",IF($B162="","",IFERROR($C162*$D162*SUMIFS('Dvd Calendar'!$E$300:$CZ$300,'Dvd Calendar'!$E$299:$CZ$299,"&gt;"&amp;N$12,'Dvd Calendar'!$E$299:$CZ$299,"&lt;="&amp;N$13)/AS51!$B$3,"")))</f>
        <v/>
      </c>
      <c r="O162" s="113">
        <f>IF(O$13="","",IF($B162="","",IFERROR($C162*$D162*SUMIFS('Dvd Calendar'!$E$300:$CZ$300,'Dvd Calendar'!$E$299:$CZ$299,"&gt;"&amp;O$12,'Dvd Calendar'!$E$299:$CZ$299,"&lt;="&amp;O$13)/AS51!$B$3,"")))</f>
        <v/>
      </c>
      <c r="P162" s="113">
        <f>IF(P$13="","",IF($B162="","",IFERROR($C162*$D162*SUMIFS('Dvd Calendar'!$E$300:$CZ$300,'Dvd Calendar'!$E$299:$CZ$299,"&gt;"&amp;P$12,'Dvd Calendar'!$E$299:$CZ$299,"&lt;="&amp;P$13)/AS51!$B$3,"")))</f>
        <v/>
      </c>
      <c r="Q162" s="113">
        <f>IF(Q$13="","",IF($B162="","",IFERROR($C162*$D162*SUMIFS('Dvd Calendar'!$E$300:$CZ$300,'Dvd Calendar'!$E$299:$CZ$299,"&gt;"&amp;Q$12,'Dvd Calendar'!$E$299:$CZ$299,"&lt;="&amp;Q$13)/AS51!$B$3,"")))</f>
        <v/>
      </c>
      <c r="R162" s="113">
        <f>IF(R$13="","",IF($B162="","",IFERROR($C162*$D162*SUMIFS('Dvd Calendar'!$E$300:$CZ$300,'Dvd Calendar'!$E$299:$CZ$299,"&gt;"&amp;R$12,'Dvd Calendar'!$E$299:$CZ$299,"&lt;="&amp;R$13)/AS51!$B$3,"")))</f>
        <v/>
      </c>
      <c r="S162" s="113">
        <f>IF(S$13="","",IF($B162="","",IFERROR($C162*$D162*SUMIFS('Dvd Calendar'!$E$300:$CZ$300,'Dvd Calendar'!$E$299:$CZ$299,"&gt;"&amp;S$12,'Dvd Calendar'!$E$299:$CZ$299,"&lt;="&amp;S$13)/AS51!$B$3,"")))</f>
        <v/>
      </c>
      <c r="T162" s="113">
        <f>IF(T$13="","",IF($B162="","",IFERROR($C162*$D162*SUMIFS('Dvd Calendar'!$E$300:$CZ$300,'Dvd Calendar'!$E$299:$CZ$299,"&gt;"&amp;T$12,'Dvd Calendar'!$E$299:$CZ$299,"&lt;="&amp;T$13)/AS51!$B$3,"")))</f>
        <v/>
      </c>
      <c r="U162" s="113">
        <f>IF(U$13="","",IF($B162="","",IFERROR($C162*$D162*SUMIFS('Dvd Calendar'!$E$300:$CZ$300,'Dvd Calendar'!$E$299:$CZ$299,"&gt;"&amp;U$12,'Dvd Calendar'!$E$299:$CZ$299,"&lt;="&amp;U$13)/AS51!$B$3,"")))</f>
        <v/>
      </c>
      <c r="W162" s="113">
        <f>IF(W$13="","",IF($B162="","",IFERROR(F162*$E162/100,"")))</f>
        <v/>
      </c>
      <c r="X162" s="113">
        <f>IF(X$13="","",IF($B162="","",IFERROR(G162*$E162/100,"")))</f>
        <v/>
      </c>
      <c r="Y162" s="113">
        <f>IF(Y$13="","",IF($B162="","",IFERROR(H162*$E162/100,"")))</f>
        <v/>
      </c>
      <c r="Z162" s="113">
        <f>IF(Z$13="","",IF($B162="","",IFERROR(I162*$E162/100,"")))</f>
        <v/>
      </c>
      <c r="AA162" s="113">
        <f>IF(AA$13="","",IF($B162="","",IFERROR(J162*$E162/100,"")))</f>
        <v/>
      </c>
      <c r="AB162" s="113">
        <f>IF(AB$13="","",IF($B162="","",IFERROR(K162*$E162/100,"")))</f>
        <v/>
      </c>
      <c r="AC162" s="113">
        <f>IF(AC$13="","",IF($B162="","",IFERROR(L162*$E162/100,"")))</f>
        <v/>
      </c>
      <c r="AD162" s="113">
        <f>IF(AD$13="","",IF($B162="","",IFERROR(M162*$E162/100,"")))</f>
        <v/>
      </c>
      <c r="AE162" s="113">
        <f>IF(AE$13="","",IF($B162="","",IFERROR(N162*$E162/100,"")))</f>
        <v/>
      </c>
      <c r="AF162" s="113">
        <f>IF(AF$13="","",IF($B162="","",IFERROR(O162*$E162/100,"")))</f>
        <v/>
      </c>
      <c r="AG162" s="113">
        <f>IF(AG$13="","",IF($B162="","",IFERROR(P162*$E162/100,"")))</f>
        <v/>
      </c>
      <c r="AH162" s="113">
        <f>IF(AH$13="","",IF($B162="","",IFERROR(Q162*$E162/100,"")))</f>
        <v/>
      </c>
      <c r="AI162" s="113">
        <f>IF(AI$13="","",IF($B162="","",IFERROR(R162*$E162/100,"")))</f>
        <v/>
      </c>
      <c r="AJ162" s="113">
        <f>IF(AJ$13="","",IF($B162="","",IFERROR(S162*$E162/100,"")))</f>
        <v/>
      </c>
      <c r="AK162" s="113">
        <f>IF(AK$13="","",IF($B162="","",IFERROR(T162*$E162/100,"")))</f>
        <v/>
      </c>
      <c r="AL162" s="113">
        <f>IF(AL$13="","",IF($B162="","",IFERROR(U162*$E162/100,"")))</f>
        <v/>
      </c>
    </row>
    <row r="163">
      <c r="B163" s="5">
        <f>IF(AS51!$C$153="","",AS51!$C$153)</f>
        <v/>
      </c>
      <c r="C163" s="86">
        <f>IF(AS51!$B$153="","",AS51!$B$153)</f>
        <v/>
      </c>
      <c r="D163" s="111">
        <f>IFERROR(AS51!$Q$153,1)</f>
        <v/>
      </c>
      <c r="E163" s="112">
        <f>IF($B163="","",IF(ISNUMBER(AS51!$I$153),AS51!$I$153,'Index Summary'!$C$7))</f>
        <v/>
      </c>
      <c r="F163" s="113">
        <f>IF(F$13="","",IF($B163="","",IFERROR($C163*$D163*SUMIFS('Dvd Calendar'!$E$302:$CZ$302,'Dvd Calendar'!$E$301:$CZ$301,"&gt;"&amp;F$12,'Dvd Calendar'!$E$301:$CZ$301,"&lt;="&amp;F$13)/AS51!$B$3,"")))</f>
        <v/>
      </c>
      <c r="G163" s="113">
        <f>IF(G$13="","",IF($B163="","",IFERROR($C163*$D163*SUMIFS('Dvd Calendar'!$E$302:$CZ$302,'Dvd Calendar'!$E$301:$CZ$301,"&gt;"&amp;G$12,'Dvd Calendar'!$E$301:$CZ$301,"&lt;="&amp;G$13)/AS51!$B$3,"")))</f>
        <v/>
      </c>
      <c r="H163" s="113">
        <f>IF(H$13="","",IF($B163="","",IFERROR($C163*$D163*SUMIFS('Dvd Calendar'!$E$302:$CZ$302,'Dvd Calendar'!$E$301:$CZ$301,"&gt;"&amp;H$12,'Dvd Calendar'!$E$301:$CZ$301,"&lt;="&amp;H$13)/AS51!$B$3,"")))</f>
        <v/>
      </c>
      <c r="I163" s="113">
        <f>IF(I$13="","",IF($B163="","",IFERROR($C163*$D163*SUMIFS('Dvd Calendar'!$E$302:$CZ$302,'Dvd Calendar'!$E$301:$CZ$301,"&gt;"&amp;I$12,'Dvd Calendar'!$E$301:$CZ$301,"&lt;="&amp;I$13)/AS51!$B$3,"")))</f>
        <v/>
      </c>
      <c r="J163" s="113">
        <f>IF(J$13="","",IF($B163="","",IFERROR($C163*$D163*SUMIFS('Dvd Calendar'!$E$302:$CZ$302,'Dvd Calendar'!$E$301:$CZ$301,"&gt;"&amp;J$12,'Dvd Calendar'!$E$301:$CZ$301,"&lt;="&amp;J$13)/AS51!$B$3,"")))</f>
        <v/>
      </c>
      <c r="K163" s="113">
        <f>IF(K$13="","",IF($B163="","",IFERROR($C163*$D163*SUMIFS('Dvd Calendar'!$E$302:$CZ$302,'Dvd Calendar'!$E$301:$CZ$301,"&gt;"&amp;K$12,'Dvd Calendar'!$E$301:$CZ$301,"&lt;="&amp;K$13)/AS51!$B$3,"")))</f>
        <v/>
      </c>
      <c r="L163" s="113">
        <f>IF(L$13="","",IF($B163="","",IFERROR($C163*$D163*SUMIFS('Dvd Calendar'!$E$302:$CZ$302,'Dvd Calendar'!$E$301:$CZ$301,"&gt;"&amp;L$12,'Dvd Calendar'!$E$301:$CZ$301,"&lt;="&amp;L$13)/AS51!$B$3,"")))</f>
        <v/>
      </c>
      <c r="M163" s="113">
        <f>IF(M$13="","",IF($B163="","",IFERROR($C163*$D163*SUMIFS('Dvd Calendar'!$E$302:$CZ$302,'Dvd Calendar'!$E$301:$CZ$301,"&gt;"&amp;M$12,'Dvd Calendar'!$E$301:$CZ$301,"&lt;="&amp;M$13)/AS51!$B$3,"")))</f>
        <v/>
      </c>
      <c r="N163" s="113">
        <f>IF(N$13="","",IF($B163="","",IFERROR($C163*$D163*SUMIFS('Dvd Calendar'!$E$302:$CZ$302,'Dvd Calendar'!$E$301:$CZ$301,"&gt;"&amp;N$12,'Dvd Calendar'!$E$301:$CZ$301,"&lt;="&amp;N$13)/AS51!$B$3,"")))</f>
        <v/>
      </c>
      <c r="O163" s="113">
        <f>IF(O$13="","",IF($B163="","",IFERROR($C163*$D163*SUMIFS('Dvd Calendar'!$E$302:$CZ$302,'Dvd Calendar'!$E$301:$CZ$301,"&gt;"&amp;O$12,'Dvd Calendar'!$E$301:$CZ$301,"&lt;="&amp;O$13)/AS51!$B$3,"")))</f>
        <v/>
      </c>
      <c r="P163" s="113">
        <f>IF(P$13="","",IF($B163="","",IFERROR($C163*$D163*SUMIFS('Dvd Calendar'!$E$302:$CZ$302,'Dvd Calendar'!$E$301:$CZ$301,"&gt;"&amp;P$12,'Dvd Calendar'!$E$301:$CZ$301,"&lt;="&amp;P$13)/AS51!$B$3,"")))</f>
        <v/>
      </c>
      <c r="Q163" s="113">
        <f>IF(Q$13="","",IF($B163="","",IFERROR($C163*$D163*SUMIFS('Dvd Calendar'!$E$302:$CZ$302,'Dvd Calendar'!$E$301:$CZ$301,"&gt;"&amp;Q$12,'Dvd Calendar'!$E$301:$CZ$301,"&lt;="&amp;Q$13)/AS51!$B$3,"")))</f>
        <v/>
      </c>
      <c r="R163" s="113">
        <f>IF(R$13="","",IF($B163="","",IFERROR($C163*$D163*SUMIFS('Dvd Calendar'!$E$302:$CZ$302,'Dvd Calendar'!$E$301:$CZ$301,"&gt;"&amp;R$12,'Dvd Calendar'!$E$301:$CZ$301,"&lt;="&amp;R$13)/AS51!$B$3,"")))</f>
        <v/>
      </c>
      <c r="S163" s="113">
        <f>IF(S$13="","",IF($B163="","",IFERROR($C163*$D163*SUMIFS('Dvd Calendar'!$E$302:$CZ$302,'Dvd Calendar'!$E$301:$CZ$301,"&gt;"&amp;S$12,'Dvd Calendar'!$E$301:$CZ$301,"&lt;="&amp;S$13)/AS51!$B$3,"")))</f>
        <v/>
      </c>
      <c r="T163" s="113">
        <f>IF(T$13="","",IF($B163="","",IFERROR($C163*$D163*SUMIFS('Dvd Calendar'!$E$302:$CZ$302,'Dvd Calendar'!$E$301:$CZ$301,"&gt;"&amp;T$12,'Dvd Calendar'!$E$301:$CZ$301,"&lt;="&amp;T$13)/AS51!$B$3,"")))</f>
        <v/>
      </c>
      <c r="U163" s="113">
        <f>IF(U$13="","",IF($B163="","",IFERROR($C163*$D163*SUMIFS('Dvd Calendar'!$E$302:$CZ$302,'Dvd Calendar'!$E$301:$CZ$301,"&gt;"&amp;U$12,'Dvd Calendar'!$E$301:$CZ$301,"&lt;="&amp;U$13)/AS51!$B$3,"")))</f>
        <v/>
      </c>
      <c r="W163" s="113">
        <f>IF(W$13="","",IF($B163="","",IFERROR(F163*$E163/100,"")))</f>
        <v/>
      </c>
      <c r="X163" s="113">
        <f>IF(X$13="","",IF($B163="","",IFERROR(G163*$E163/100,"")))</f>
        <v/>
      </c>
      <c r="Y163" s="113">
        <f>IF(Y$13="","",IF($B163="","",IFERROR(H163*$E163/100,"")))</f>
        <v/>
      </c>
      <c r="Z163" s="113">
        <f>IF(Z$13="","",IF($B163="","",IFERROR(I163*$E163/100,"")))</f>
        <v/>
      </c>
      <c r="AA163" s="113">
        <f>IF(AA$13="","",IF($B163="","",IFERROR(J163*$E163/100,"")))</f>
        <v/>
      </c>
      <c r="AB163" s="113">
        <f>IF(AB$13="","",IF($B163="","",IFERROR(K163*$E163/100,"")))</f>
        <v/>
      </c>
      <c r="AC163" s="113">
        <f>IF(AC$13="","",IF($B163="","",IFERROR(L163*$E163/100,"")))</f>
        <v/>
      </c>
      <c r="AD163" s="113">
        <f>IF(AD$13="","",IF($B163="","",IFERROR(M163*$E163/100,"")))</f>
        <v/>
      </c>
      <c r="AE163" s="113">
        <f>IF(AE$13="","",IF($B163="","",IFERROR(N163*$E163/100,"")))</f>
        <v/>
      </c>
      <c r="AF163" s="113">
        <f>IF(AF$13="","",IF($B163="","",IFERROR(O163*$E163/100,"")))</f>
        <v/>
      </c>
      <c r="AG163" s="113">
        <f>IF(AG$13="","",IF($B163="","",IFERROR(P163*$E163/100,"")))</f>
        <v/>
      </c>
      <c r="AH163" s="113">
        <f>IF(AH$13="","",IF($B163="","",IFERROR(Q163*$E163/100,"")))</f>
        <v/>
      </c>
      <c r="AI163" s="113">
        <f>IF(AI$13="","",IF($B163="","",IFERROR(R163*$E163/100,"")))</f>
        <v/>
      </c>
      <c r="AJ163" s="113">
        <f>IF(AJ$13="","",IF($B163="","",IFERROR(S163*$E163/100,"")))</f>
        <v/>
      </c>
      <c r="AK163" s="113">
        <f>IF(AK$13="","",IF($B163="","",IFERROR(T163*$E163/100,"")))</f>
        <v/>
      </c>
      <c r="AL163" s="113">
        <f>IF(AL$13="","",IF($B163="","",IFERROR(U163*$E163/100,"")))</f>
        <v/>
      </c>
    </row>
    <row r="164">
      <c r="B164" s="5">
        <f>IF(AS51!$C$154="","",AS51!$C$154)</f>
        <v/>
      </c>
      <c r="C164" s="86">
        <f>IF(AS51!$B$154="","",AS51!$B$154)</f>
        <v/>
      </c>
      <c r="D164" s="111">
        <f>IFERROR(AS51!$Q$154,1)</f>
        <v/>
      </c>
      <c r="E164" s="112">
        <f>IF($B164="","",IF(ISNUMBER(AS51!$I$154),AS51!$I$154,'Index Summary'!$C$7))</f>
        <v/>
      </c>
      <c r="F164" s="113">
        <f>IF(F$13="","",IF($B164="","",IFERROR($C164*$D164*SUMIFS('Dvd Calendar'!$E$304:$CZ$304,'Dvd Calendar'!$E$303:$CZ$303,"&gt;"&amp;F$12,'Dvd Calendar'!$E$303:$CZ$303,"&lt;="&amp;F$13)/AS51!$B$3,"")))</f>
        <v/>
      </c>
      <c r="G164" s="113">
        <f>IF(G$13="","",IF($B164="","",IFERROR($C164*$D164*SUMIFS('Dvd Calendar'!$E$304:$CZ$304,'Dvd Calendar'!$E$303:$CZ$303,"&gt;"&amp;G$12,'Dvd Calendar'!$E$303:$CZ$303,"&lt;="&amp;G$13)/AS51!$B$3,"")))</f>
        <v/>
      </c>
      <c r="H164" s="113">
        <f>IF(H$13="","",IF($B164="","",IFERROR($C164*$D164*SUMIFS('Dvd Calendar'!$E$304:$CZ$304,'Dvd Calendar'!$E$303:$CZ$303,"&gt;"&amp;H$12,'Dvd Calendar'!$E$303:$CZ$303,"&lt;="&amp;H$13)/AS51!$B$3,"")))</f>
        <v/>
      </c>
      <c r="I164" s="113">
        <f>IF(I$13="","",IF($B164="","",IFERROR($C164*$D164*SUMIFS('Dvd Calendar'!$E$304:$CZ$304,'Dvd Calendar'!$E$303:$CZ$303,"&gt;"&amp;I$12,'Dvd Calendar'!$E$303:$CZ$303,"&lt;="&amp;I$13)/AS51!$B$3,"")))</f>
        <v/>
      </c>
      <c r="J164" s="113">
        <f>IF(J$13="","",IF($B164="","",IFERROR($C164*$D164*SUMIFS('Dvd Calendar'!$E$304:$CZ$304,'Dvd Calendar'!$E$303:$CZ$303,"&gt;"&amp;J$12,'Dvd Calendar'!$E$303:$CZ$303,"&lt;="&amp;J$13)/AS51!$B$3,"")))</f>
        <v/>
      </c>
      <c r="K164" s="113">
        <f>IF(K$13="","",IF($B164="","",IFERROR($C164*$D164*SUMIFS('Dvd Calendar'!$E$304:$CZ$304,'Dvd Calendar'!$E$303:$CZ$303,"&gt;"&amp;K$12,'Dvd Calendar'!$E$303:$CZ$303,"&lt;="&amp;K$13)/AS51!$B$3,"")))</f>
        <v/>
      </c>
      <c r="L164" s="113">
        <f>IF(L$13="","",IF($B164="","",IFERROR($C164*$D164*SUMIFS('Dvd Calendar'!$E$304:$CZ$304,'Dvd Calendar'!$E$303:$CZ$303,"&gt;"&amp;L$12,'Dvd Calendar'!$E$303:$CZ$303,"&lt;="&amp;L$13)/AS51!$B$3,"")))</f>
        <v/>
      </c>
      <c r="M164" s="113">
        <f>IF(M$13="","",IF($B164="","",IFERROR($C164*$D164*SUMIFS('Dvd Calendar'!$E$304:$CZ$304,'Dvd Calendar'!$E$303:$CZ$303,"&gt;"&amp;M$12,'Dvd Calendar'!$E$303:$CZ$303,"&lt;="&amp;M$13)/AS51!$B$3,"")))</f>
        <v/>
      </c>
      <c r="N164" s="113">
        <f>IF(N$13="","",IF($B164="","",IFERROR($C164*$D164*SUMIFS('Dvd Calendar'!$E$304:$CZ$304,'Dvd Calendar'!$E$303:$CZ$303,"&gt;"&amp;N$12,'Dvd Calendar'!$E$303:$CZ$303,"&lt;="&amp;N$13)/AS51!$B$3,"")))</f>
        <v/>
      </c>
      <c r="O164" s="113">
        <f>IF(O$13="","",IF($B164="","",IFERROR($C164*$D164*SUMIFS('Dvd Calendar'!$E$304:$CZ$304,'Dvd Calendar'!$E$303:$CZ$303,"&gt;"&amp;O$12,'Dvd Calendar'!$E$303:$CZ$303,"&lt;="&amp;O$13)/AS51!$B$3,"")))</f>
        <v/>
      </c>
      <c r="P164" s="113">
        <f>IF(P$13="","",IF($B164="","",IFERROR($C164*$D164*SUMIFS('Dvd Calendar'!$E$304:$CZ$304,'Dvd Calendar'!$E$303:$CZ$303,"&gt;"&amp;P$12,'Dvd Calendar'!$E$303:$CZ$303,"&lt;="&amp;P$13)/AS51!$B$3,"")))</f>
        <v/>
      </c>
      <c r="Q164" s="113">
        <f>IF(Q$13="","",IF($B164="","",IFERROR($C164*$D164*SUMIFS('Dvd Calendar'!$E$304:$CZ$304,'Dvd Calendar'!$E$303:$CZ$303,"&gt;"&amp;Q$12,'Dvd Calendar'!$E$303:$CZ$303,"&lt;="&amp;Q$13)/AS51!$B$3,"")))</f>
        <v/>
      </c>
      <c r="R164" s="113">
        <f>IF(R$13="","",IF($B164="","",IFERROR($C164*$D164*SUMIFS('Dvd Calendar'!$E$304:$CZ$304,'Dvd Calendar'!$E$303:$CZ$303,"&gt;"&amp;R$12,'Dvd Calendar'!$E$303:$CZ$303,"&lt;="&amp;R$13)/AS51!$B$3,"")))</f>
        <v/>
      </c>
      <c r="S164" s="113">
        <f>IF(S$13="","",IF($B164="","",IFERROR($C164*$D164*SUMIFS('Dvd Calendar'!$E$304:$CZ$304,'Dvd Calendar'!$E$303:$CZ$303,"&gt;"&amp;S$12,'Dvd Calendar'!$E$303:$CZ$303,"&lt;="&amp;S$13)/AS51!$B$3,"")))</f>
        <v/>
      </c>
      <c r="T164" s="113">
        <f>IF(T$13="","",IF($B164="","",IFERROR($C164*$D164*SUMIFS('Dvd Calendar'!$E$304:$CZ$304,'Dvd Calendar'!$E$303:$CZ$303,"&gt;"&amp;T$12,'Dvd Calendar'!$E$303:$CZ$303,"&lt;="&amp;T$13)/AS51!$B$3,"")))</f>
        <v/>
      </c>
      <c r="U164" s="113">
        <f>IF(U$13="","",IF($B164="","",IFERROR($C164*$D164*SUMIFS('Dvd Calendar'!$E$304:$CZ$304,'Dvd Calendar'!$E$303:$CZ$303,"&gt;"&amp;U$12,'Dvd Calendar'!$E$303:$CZ$303,"&lt;="&amp;U$13)/AS51!$B$3,"")))</f>
        <v/>
      </c>
      <c r="W164" s="113">
        <f>IF(W$13="","",IF($B164="","",IFERROR(F164*$E164/100,"")))</f>
        <v/>
      </c>
      <c r="X164" s="113">
        <f>IF(X$13="","",IF($B164="","",IFERROR(G164*$E164/100,"")))</f>
        <v/>
      </c>
      <c r="Y164" s="113">
        <f>IF(Y$13="","",IF($B164="","",IFERROR(H164*$E164/100,"")))</f>
        <v/>
      </c>
      <c r="Z164" s="113">
        <f>IF(Z$13="","",IF($B164="","",IFERROR(I164*$E164/100,"")))</f>
        <v/>
      </c>
      <c r="AA164" s="113">
        <f>IF(AA$13="","",IF($B164="","",IFERROR(J164*$E164/100,"")))</f>
        <v/>
      </c>
      <c r="AB164" s="113">
        <f>IF(AB$13="","",IF($B164="","",IFERROR(K164*$E164/100,"")))</f>
        <v/>
      </c>
      <c r="AC164" s="113">
        <f>IF(AC$13="","",IF($B164="","",IFERROR(L164*$E164/100,"")))</f>
        <v/>
      </c>
      <c r="AD164" s="113">
        <f>IF(AD$13="","",IF($B164="","",IFERROR(M164*$E164/100,"")))</f>
        <v/>
      </c>
      <c r="AE164" s="113">
        <f>IF(AE$13="","",IF($B164="","",IFERROR(N164*$E164/100,"")))</f>
        <v/>
      </c>
      <c r="AF164" s="113">
        <f>IF(AF$13="","",IF($B164="","",IFERROR(O164*$E164/100,"")))</f>
        <v/>
      </c>
      <c r="AG164" s="113">
        <f>IF(AG$13="","",IF($B164="","",IFERROR(P164*$E164/100,"")))</f>
        <v/>
      </c>
      <c r="AH164" s="113">
        <f>IF(AH$13="","",IF($B164="","",IFERROR(Q164*$E164/100,"")))</f>
        <v/>
      </c>
      <c r="AI164" s="113">
        <f>IF(AI$13="","",IF($B164="","",IFERROR(R164*$E164/100,"")))</f>
        <v/>
      </c>
      <c r="AJ164" s="113">
        <f>IF(AJ$13="","",IF($B164="","",IFERROR(S164*$E164/100,"")))</f>
        <v/>
      </c>
      <c r="AK164" s="113">
        <f>IF(AK$13="","",IF($B164="","",IFERROR(T164*$E164/100,"")))</f>
        <v/>
      </c>
      <c r="AL164" s="113">
        <f>IF(AL$13="","",IF($B164="","",IFERROR(U164*$E164/100,"")))</f>
        <v/>
      </c>
    </row>
    <row r="165">
      <c r="B165" s="5">
        <f>IF(AS51!$C$155="","",AS51!$C$155)</f>
        <v/>
      </c>
      <c r="C165" s="86">
        <f>IF(AS51!$B$155="","",AS51!$B$155)</f>
        <v/>
      </c>
      <c r="D165" s="111">
        <f>IFERROR(AS51!$Q$155,1)</f>
        <v/>
      </c>
      <c r="E165" s="112">
        <f>IF($B165="","",IF(ISNUMBER(AS51!$I$155),AS51!$I$155,'Index Summary'!$C$7))</f>
        <v/>
      </c>
      <c r="F165" s="113">
        <f>IF(F$13="","",IF($B165="","",IFERROR($C165*$D165*SUMIFS('Dvd Calendar'!$E$306:$CZ$306,'Dvd Calendar'!$E$305:$CZ$305,"&gt;"&amp;F$12,'Dvd Calendar'!$E$305:$CZ$305,"&lt;="&amp;F$13)/AS51!$B$3,"")))</f>
        <v/>
      </c>
      <c r="G165" s="113">
        <f>IF(G$13="","",IF($B165="","",IFERROR($C165*$D165*SUMIFS('Dvd Calendar'!$E$306:$CZ$306,'Dvd Calendar'!$E$305:$CZ$305,"&gt;"&amp;G$12,'Dvd Calendar'!$E$305:$CZ$305,"&lt;="&amp;G$13)/AS51!$B$3,"")))</f>
        <v/>
      </c>
      <c r="H165" s="113">
        <f>IF(H$13="","",IF($B165="","",IFERROR($C165*$D165*SUMIFS('Dvd Calendar'!$E$306:$CZ$306,'Dvd Calendar'!$E$305:$CZ$305,"&gt;"&amp;H$12,'Dvd Calendar'!$E$305:$CZ$305,"&lt;="&amp;H$13)/AS51!$B$3,"")))</f>
        <v/>
      </c>
      <c r="I165" s="113">
        <f>IF(I$13="","",IF($B165="","",IFERROR($C165*$D165*SUMIFS('Dvd Calendar'!$E$306:$CZ$306,'Dvd Calendar'!$E$305:$CZ$305,"&gt;"&amp;I$12,'Dvd Calendar'!$E$305:$CZ$305,"&lt;="&amp;I$13)/AS51!$B$3,"")))</f>
        <v/>
      </c>
      <c r="J165" s="113">
        <f>IF(J$13="","",IF($B165="","",IFERROR($C165*$D165*SUMIFS('Dvd Calendar'!$E$306:$CZ$306,'Dvd Calendar'!$E$305:$CZ$305,"&gt;"&amp;J$12,'Dvd Calendar'!$E$305:$CZ$305,"&lt;="&amp;J$13)/AS51!$B$3,"")))</f>
        <v/>
      </c>
      <c r="K165" s="113">
        <f>IF(K$13="","",IF($B165="","",IFERROR($C165*$D165*SUMIFS('Dvd Calendar'!$E$306:$CZ$306,'Dvd Calendar'!$E$305:$CZ$305,"&gt;"&amp;K$12,'Dvd Calendar'!$E$305:$CZ$305,"&lt;="&amp;K$13)/AS51!$B$3,"")))</f>
        <v/>
      </c>
      <c r="L165" s="113">
        <f>IF(L$13="","",IF($B165="","",IFERROR($C165*$D165*SUMIFS('Dvd Calendar'!$E$306:$CZ$306,'Dvd Calendar'!$E$305:$CZ$305,"&gt;"&amp;L$12,'Dvd Calendar'!$E$305:$CZ$305,"&lt;="&amp;L$13)/AS51!$B$3,"")))</f>
        <v/>
      </c>
      <c r="M165" s="113">
        <f>IF(M$13="","",IF($B165="","",IFERROR($C165*$D165*SUMIFS('Dvd Calendar'!$E$306:$CZ$306,'Dvd Calendar'!$E$305:$CZ$305,"&gt;"&amp;M$12,'Dvd Calendar'!$E$305:$CZ$305,"&lt;="&amp;M$13)/AS51!$B$3,"")))</f>
        <v/>
      </c>
      <c r="N165" s="113">
        <f>IF(N$13="","",IF($B165="","",IFERROR($C165*$D165*SUMIFS('Dvd Calendar'!$E$306:$CZ$306,'Dvd Calendar'!$E$305:$CZ$305,"&gt;"&amp;N$12,'Dvd Calendar'!$E$305:$CZ$305,"&lt;="&amp;N$13)/AS51!$B$3,"")))</f>
        <v/>
      </c>
      <c r="O165" s="113">
        <f>IF(O$13="","",IF($B165="","",IFERROR($C165*$D165*SUMIFS('Dvd Calendar'!$E$306:$CZ$306,'Dvd Calendar'!$E$305:$CZ$305,"&gt;"&amp;O$12,'Dvd Calendar'!$E$305:$CZ$305,"&lt;="&amp;O$13)/AS51!$B$3,"")))</f>
        <v/>
      </c>
      <c r="P165" s="113">
        <f>IF(P$13="","",IF($B165="","",IFERROR($C165*$D165*SUMIFS('Dvd Calendar'!$E$306:$CZ$306,'Dvd Calendar'!$E$305:$CZ$305,"&gt;"&amp;P$12,'Dvd Calendar'!$E$305:$CZ$305,"&lt;="&amp;P$13)/AS51!$B$3,"")))</f>
        <v/>
      </c>
      <c r="Q165" s="113">
        <f>IF(Q$13="","",IF($B165="","",IFERROR($C165*$D165*SUMIFS('Dvd Calendar'!$E$306:$CZ$306,'Dvd Calendar'!$E$305:$CZ$305,"&gt;"&amp;Q$12,'Dvd Calendar'!$E$305:$CZ$305,"&lt;="&amp;Q$13)/AS51!$B$3,"")))</f>
        <v/>
      </c>
      <c r="R165" s="113">
        <f>IF(R$13="","",IF($B165="","",IFERROR($C165*$D165*SUMIFS('Dvd Calendar'!$E$306:$CZ$306,'Dvd Calendar'!$E$305:$CZ$305,"&gt;"&amp;R$12,'Dvd Calendar'!$E$305:$CZ$305,"&lt;="&amp;R$13)/AS51!$B$3,"")))</f>
        <v/>
      </c>
      <c r="S165" s="113">
        <f>IF(S$13="","",IF($B165="","",IFERROR($C165*$D165*SUMIFS('Dvd Calendar'!$E$306:$CZ$306,'Dvd Calendar'!$E$305:$CZ$305,"&gt;"&amp;S$12,'Dvd Calendar'!$E$305:$CZ$305,"&lt;="&amp;S$13)/AS51!$B$3,"")))</f>
        <v/>
      </c>
      <c r="T165" s="113">
        <f>IF(T$13="","",IF($B165="","",IFERROR($C165*$D165*SUMIFS('Dvd Calendar'!$E$306:$CZ$306,'Dvd Calendar'!$E$305:$CZ$305,"&gt;"&amp;T$12,'Dvd Calendar'!$E$305:$CZ$305,"&lt;="&amp;T$13)/AS51!$B$3,"")))</f>
        <v/>
      </c>
      <c r="U165" s="113">
        <f>IF(U$13="","",IF($B165="","",IFERROR($C165*$D165*SUMIFS('Dvd Calendar'!$E$306:$CZ$306,'Dvd Calendar'!$E$305:$CZ$305,"&gt;"&amp;U$12,'Dvd Calendar'!$E$305:$CZ$305,"&lt;="&amp;U$13)/AS51!$B$3,"")))</f>
        <v/>
      </c>
      <c r="W165" s="113">
        <f>IF(W$13="","",IF($B165="","",IFERROR(F165*$E165/100,"")))</f>
        <v/>
      </c>
      <c r="X165" s="113">
        <f>IF(X$13="","",IF($B165="","",IFERROR(G165*$E165/100,"")))</f>
        <v/>
      </c>
      <c r="Y165" s="113">
        <f>IF(Y$13="","",IF($B165="","",IFERROR(H165*$E165/100,"")))</f>
        <v/>
      </c>
      <c r="Z165" s="113">
        <f>IF(Z$13="","",IF($B165="","",IFERROR(I165*$E165/100,"")))</f>
        <v/>
      </c>
      <c r="AA165" s="113">
        <f>IF(AA$13="","",IF($B165="","",IFERROR(J165*$E165/100,"")))</f>
        <v/>
      </c>
      <c r="AB165" s="113">
        <f>IF(AB$13="","",IF($B165="","",IFERROR(K165*$E165/100,"")))</f>
        <v/>
      </c>
      <c r="AC165" s="113">
        <f>IF(AC$13="","",IF($B165="","",IFERROR(L165*$E165/100,"")))</f>
        <v/>
      </c>
      <c r="AD165" s="113">
        <f>IF(AD$13="","",IF($B165="","",IFERROR(M165*$E165/100,"")))</f>
        <v/>
      </c>
      <c r="AE165" s="113">
        <f>IF(AE$13="","",IF($B165="","",IFERROR(N165*$E165/100,"")))</f>
        <v/>
      </c>
      <c r="AF165" s="113">
        <f>IF(AF$13="","",IF($B165="","",IFERROR(O165*$E165/100,"")))</f>
        <v/>
      </c>
      <c r="AG165" s="113">
        <f>IF(AG$13="","",IF($B165="","",IFERROR(P165*$E165/100,"")))</f>
        <v/>
      </c>
      <c r="AH165" s="113">
        <f>IF(AH$13="","",IF($B165="","",IFERROR(Q165*$E165/100,"")))</f>
        <v/>
      </c>
      <c r="AI165" s="113">
        <f>IF(AI$13="","",IF($B165="","",IFERROR(R165*$E165/100,"")))</f>
        <v/>
      </c>
      <c r="AJ165" s="113">
        <f>IF(AJ$13="","",IF($B165="","",IFERROR(S165*$E165/100,"")))</f>
        <v/>
      </c>
      <c r="AK165" s="113">
        <f>IF(AK$13="","",IF($B165="","",IFERROR(T165*$E165/100,"")))</f>
        <v/>
      </c>
      <c r="AL165" s="113">
        <f>IF(AL$13="","",IF($B165="","",IFERROR(U165*$E165/100,"")))</f>
        <v/>
      </c>
    </row>
    <row r="166">
      <c r="B166" s="5">
        <f>IF(AS51!$C$156="","",AS51!$C$156)</f>
        <v/>
      </c>
      <c r="C166" s="86">
        <f>IF(AS51!$B$156="","",AS51!$B$156)</f>
        <v/>
      </c>
      <c r="D166" s="111">
        <f>IFERROR(AS51!$Q$156,1)</f>
        <v/>
      </c>
      <c r="E166" s="112">
        <f>IF($B166="","",IF(ISNUMBER(AS51!$I$156),AS51!$I$156,'Index Summary'!$C$7))</f>
        <v/>
      </c>
      <c r="F166" s="113">
        <f>IF(F$13="","",IF($B166="","",IFERROR($C166*$D166*SUMIFS('Dvd Calendar'!$E$308:$CZ$308,'Dvd Calendar'!$E$307:$CZ$307,"&gt;"&amp;F$12,'Dvd Calendar'!$E$307:$CZ$307,"&lt;="&amp;F$13)/AS51!$B$3,"")))</f>
        <v/>
      </c>
      <c r="G166" s="113">
        <f>IF(G$13="","",IF($B166="","",IFERROR($C166*$D166*SUMIFS('Dvd Calendar'!$E$308:$CZ$308,'Dvd Calendar'!$E$307:$CZ$307,"&gt;"&amp;G$12,'Dvd Calendar'!$E$307:$CZ$307,"&lt;="&amp;G$13)/AS51!$B$3,"")))</f>
        <v/>
      </c>
      <c r="H166" s="113">
        <f>IF(H$13="","",IF($B166="","",IFERROR($C166*$D166*SUMIFS('Dvd Calendar'!$E$308:$CZ$308,'Dvd Calendar'!$E$307:$CZ$307,"&gt;"&amp;H$12,'Dvd Calendar'!$E$307:$CZ$307,"&lt;="&amp;H$13)/AS51!$B$3,"")))</f>
        <v/>
      </c>
      <c r="I166" s="113">
        <f>IF(I$13="","",IF($B166="","",IFERROR($C166*$D166*SUMIFS('Dvd Calendar'!$E$308:$CZ$308,'Dvd Calendar'!$E$307:$CZ$307,"&gt;"&amp;I$12,'Dvd Calendar'!$E$307:$CZ$307,"&lt;="&amp;I$13)/AS51!$B$3,"")))</f>
        <v/>
      </c>
      <c r="J166" s="113">
        <f>IF(J$13="","",IF($B166="","",IFERROR($C166*$D166*SUMIFS('Dvd Calendar'!$E$308:$CZ$308,'Dvd Calendar'!$E$307:$CZ$307,"&gt;"&amp;J$12,'Dvd Calendar'!$E$307:$CZ$307,"&lt;="&amp;J$13)/AS51!$B$3,"")))</f>
        <v/>
      </c>
      <c r="K166" s="113">
        <f>IF(K$13="","",IF($B166="","",IFERROR($C166*$D166*SUMIFS('Dvd Calendar'!$E$308:$CZ$308,'Dvd Calendar'!$E$307:$CZ$307,"&gt;"&amp;K$12,'Dvd Calendar'!$E$307:$CZ$307,"&lt;="&amp;K$13)/AS51!$B$3,"")))</f>
        <v/>
      </c>
      <c r="L166" s="113">
        <f>IF(L$13="","",IF($B166="","",IFERROR($C166*$D166*SUMIFS('Dvd Calendar'!$E$308:$CZ$308,'Dvd Calendar'!$E$307:$CZ$307,"&gt;"&amp;L$12,'Dvd Calendar'!$E$307:$CZ$307,"&lt;="&amp;L$13)/AS51!$B$3,"")))</f>
        <v/>
      </c>
      <c r="M166" s="113">
        <f>IF(M$13="","",IF($B166="","",IFERROR($C166*$D166*SUMIFS('Dvd Calendar'!$E$308:$CZ$308,'Dvd Calendar'!$E$307:$CZ$307,"&gt;"&amp;M$12,'Dvd Calendar'!$E$307:$CZ$307,"&lt;="&amp;M$13)/AS51!$B$3,"")))</f>
        <v/>
      </c>
      <c r="N166" s="113">
        <f>IF(N$13="","",IF($B166="","",IFERROR($C166*$D166*SUMIFS('Dvd Calendar'!$E$308:$CZ$308,'Dvd Calendar'!$E$307:$CZ$307,"&gt;"&amp;N$12,'Dvd Calendar'!$E$307:$CZ$307,"&lt;="&amp;N$13)/AS51!$B$3,"")))</f>
        <v/>
      </c>
      <c r="O166" s="113">
        <f>IF(O$13="","",IF($B166="","",IFERROR($C166*$D166*SUMIFS('Dvd Calendar'!$E$308:$CZ$308,'Dvd Calendar'!$E$307:$CZ$307,"&gt;"&amp;O$12,'Dvd Calendar'!$E$307:$CZ$307,"&lt;="&amp;O$13)/AS51!$B$3,"")))</f>
        <v/>
      </c>
      <c r="P166" s="113">
        <f>IF(P$13="","",IF($B166="","",IFERROR($C166*$D166*SUMIFS('Dvd Calendar'!$E$308:$CZ$308,'Dvd Calendar'!$E$307:$CZ$307,"&gt;"&amp;P$12,'Dvd Calendar'!$E$307:$CZ$307,"&lt;="&amp;P$13)/AS51!$B$3,"")))</f>
        <v/>
      </c>
      <c r="Q166" s="113">
        <f>IF(Q$13="","",IF($B166="","",IFERROR($C166*$D166*SUMIFS('Dvd Calendar'!$E$308:$CZ$308,'Dvd Calendar'!$E$307:$CZ$307,"&gt;"&amp;Q$12,'Dvd Calendar'!$E$307:$CZ$307,"&lt;="&amp;Q$13)/AS51!$B$3,"")))</f>
        <v/>
      </c>
      <c r="R166" s="113">
        <f>IF(R$13="","",IF($B166="","",IFERROR($C166*$D166*SUMIFS('Dvd Calendar'!$E$308:$CZ$308,'Dvd Calendar'!$E$307:$CZ$307,"&gt;"&amp;R$12,'Dvd Calendar'!$E$307:$CZ$307,"&lt;="&amp;R$13)/AS51!$B$3,"")))</f>
        <v/>
      </c>
      <c r="S166" s="113">
        <f>IF(S$13="","",IF($B166="","",IFERROR($C166*$D166*SUMIFS('Dvd Calendar'!$E$308:$CZ$308,'Dvd Calendar'!$E$307:$CZ$307,"&gt;"&amp;S$12,'Dvd Calendar'!$E$307:$CZ$307,"&lt;="&amp;S$13)/AS51!$B$3,"")))</f>
        <v/>
      </c>
      <c r="T166" s="113">
        <f>IF(T$13="","",IF($B166="","",IFERROR($C166*$D166*SUMIFS('Dvd Calendar'!$E$308:$CZ$308,'Dvd Calendar'!$E$307:$CZ$307,"&gt;"&amp;T$12,'Dvd Calendar'!$E$307:$CZ$307,"&lt;="&amp;T$13)/AS51!$B$3,"")))</f>
        <v/>
      </c>
      <c r="U166" s="113">
        <f>IF(U$13="","",IF($B166="","",IFERROR($C166*$D166*SUMIFS('Dvd Calendar'!$E$308:$CZ$308,'Dvd Calendar'!$E$307:$CZ$307,"&gt;"&amp;U$12,'Dvd Calendar'!$E$307:$CZ$307,"&lt;="&amp;U$13)/AS51!$B$3,"")))</f>
        <v/>
      </c>
      <c r="W166" s="113">
        <f>IF(W$13="","",IF($B166="","",IFERROR(F166*$E166/100,"")))</f>
        <v/>
      </c>
      <c r="X166" s="113">
        <f>IF(X$13="","",IF($B166="","",IFERROR(G166*$E166/100,"")))</f>
        <v/>
      </c>
      <c r="Y166" s="113">
        <f>IF(Y$13="","",IF($B166="","",IFERROR(H166*$E166/100,"")))</f>
        <v/>
      </c>
      <c r="Z166" s="113">
        <f>IF(Z$13="","",IF($B166="","",IFERROR(I166*$E166/100,"")))</f>
        <v/>
      </c>
      <c r="AA166" s="113">
        <f>IF(AA$13="","",IF($B166="","",IFERROR(J166*$E166/100,"")))</f>
        <v/>
      </c>
      <c r="AB166" s="113">
        <f>IF(AB$13="","",IF($B166="","",IFERROR(K166*$E166/100,"")))</f>
        <v/>
      </c>
      <c r="AC166" s="113">
        <f>IF(AC$13="","",IF($B166="","",IFERROR(L166*$E166/100,"")))</f>
        <v/>
      </c>
      <c r="AD166" s="113">
        <f>IF(AD$13="","",IF($B166="","",IFERROR(M166*$E166/100,"")))</f>
        <v/>
      </c>
      <c r="AE166" s="113">
        <f>IF(AE$13="","",IF($B166="","",IFERROR(N166*$E166/100,"")))</f>
        <v/>
      </c>
      <c r="AF166" s="113">
        <f>IF(AF$13="","",IF($B166="","",IFERROR(O166*$E166/100,"")))</f>
        <v/>
      </c>
      <c r="AG166" s="113">
        <f>IF(AG$13="","",IF($B166="","",IFERROR(P166*$E166/100,"")))</f>
        <v/>
      </c>
      <c r="AH166" s="113">
        <f>IF(AH$13="","",IF($B166="","",IFERROR(Q166*$E166/100,"")))</f>
        <v/>
      </c>
      <c r="AI166" s="113">
        <f>IF(AI$13="","",IF($B166="","",IFERROR(R166*$E166/100,"")))</f>
        <v/>
      </c>
      <c r="AJ166" s="113">
        <f>IF(AJ$13="","",IF($B166="","",IFERROR(S166*$E166/100,"")))</f>
        <v/>
      </c>
      <c r="AK166" s="113">
        <f>IF(AK$13="","",IF($B166="","",IFERROR(T166*$E166/100,"")))</f>
        <v/>
      </c>
      <c r="AL166" s="113">
        <f>IF(AL$13="","",IF($B166="","",IFERROR(U166*$E166/100,"")))</f>
        <v/>
      </c>
    </row>
    <row r="167">
      <c r="B167" s="5">
        <f>IF(AS51!$C$157="","",AS51!$C$157)</f>
        <v/>
      </c>
      <c r="C167" s="86">
        <f>IF(AS51!$B$157="","",AS51!$B$157)</f>
        <v/>
      </c>
      <c r="D167" s="111">
        <f>IFERROR(AS51!$Q$157,1)</f>
        <v/>
      </c>
      <c r="E167" s="112">
        <f>IF($B167="","",IF(ISNUMBER(AS51!$I$157),AS51!$I$157,'Index Summary'!$C$7))</f>
        <v/>
      </c>
      <c r="F167" s="113">
        <f>IF(F$13="","",IF($B167="","",IFERROR($C167*$D167*SUMIFS('Dvd Calendar'!$E$310:$CZ$310,'Dvd Calendar'!$E$309:$CZ$309,"&gt;"&amp;F$12,'Dvd Calendar'!$E$309:$CZ$309,"&lt;="&amp;F$13)/AS51!$B$3,"")))</f>
        <v/>
      </c>
      <c r="G167" s="113">
        <f>IF(G$13="","",IF($B167="","",IFERROR($C167*$D167*SUMIFS('Dvd Calendar'!$E$310:$CZ$310,'Dvd Calendar'!$E$309:$CZ$309,"&gt;"&amp;G$12,'Dvd Calendar'!$E$309:$CZ$309,"&lt;="&amp;G$13)/AS51!$B$3,"")))</f>
        <v/>
      </c>
      <c r="H167" s="113">
        <f>IF(H$13="","",IF($B167="","",IFERROR($C167*$D167*SUMIFS('Dvd Calendar'!$E$310:$CZ$310,'Dvd Calendar'!$E$309:$CZ$309,"&gt;"&amp;H$12,'Dvd Calendar'!$E$309:$CZ$309,"&lt;="&amp;H$13)/AS51!$B$3,"")))</f>
        <v/>
      </c>
      <c r="I167" s="113">
        <f>IF(I$13="","",IF($B167="","",IFERROR($C167*$D167*SUMIFS('Dvd Calendar'!$E$310:$CZ$310,'Dvd Calendar'!$E$309:$CZ$309,"&gt;"&amp;I$12,'Dvd Calendar'!$E$309:$CZ$309,"&lt;="&amp;I$13)/AS51!$B$3,"")))</f>
        <v/>
      </c>
      <c r="J167" s="113">
        <f>IF(J$13="","",IF($B167="","",IFERROR($C167*$D167*SUMIFS('Dvd Calendar'!$E$310:$CZ$310,'Dvd Calendar'!$E$309:$CZ$309,"&gt;"&amp;J$12,'Dvd Calendar'!$E$309:$CZ$309,"&lt;="&amp;J$13)/AS51!$B$3,"")))</f>
        <v/>
      </c>
      <c r="K167" s="113">
        <f>IF(K$13="","",IF($B167="","",IFERROR($C167*$D167*SUMIFS('Dvd Calendar'!$E$310:$CZ$310,'Dvd Calendar'!$E$309:$CZ$309,"&gt;"&amp;K$12,'Dvd Calendar'!$E$309:$CZ$309,"&lt;="&amp;K$13)/AS51!$B$3,"")))</f>
        <v/>
      </c>
      <c r="L167" s="113">
        <f>IF(L$13="","",IF($B167="","",IFERROR($C167*$D167*SUMIFS('Dvd Calendar'!$E$310:$CZ$310,'Dvd Calendar'!$E$309:$CZ$309,"&gt;"&amp;L$12,'Dvd Calendar'!$E$309:$CZ$309,"&lt;="&amp;L$13)/AS51!$B$3,"")))</f>
        <v/>
      </c>
      <c r="M167" s="113">
        <f>IF(M$13="","",IF($B167="","",IFERROR($C167*$D167*SUMIFS('Dvd Calendar'!$E$310:$CZ$310,'Dvd Calendar'!$E$309:$CZ$309,"&gt;"&amp;M$12,'Dvd Calendar'!$E$309:$CZ$309,"&lt;="&amp;M$13)/AS51!$B$3,"")))</f>
        <v/>
      </c>
      <c r="N167" s="113">
        <f>IF(N$13="","",IF($B167="","",IFERROR($C167*$D167*SUMIFS('Dvd Calendar'!$E$310:$CZ$310,'Dvd Calendar'!$E$309:$CZ$309,"&gt;"&amp;N$12,'Dvd Calendar'!$E$309:$CZ$309,"&lt;="&amp;N$13)/AS51!$B$3,"")))</f>
        <v/>
      </c>
      <c r="O167" s="113">
        <f>IF(O$13="","",IF($B167="","",IFERROR($C167*$D167*SUMIFS('Dvd Calendar'!$E$310:$CZ$310,'Dvd Calendar'!$E$309:$CZ$309,"&gt;"&amp;O$12,'Dvd Calendar'!$E$309:$CZ$309,"&lt;="&amp;O$13)/AS51!$B$3,"")))</f>
        <v/>
      </c>
      <c r="P167" s="113">
        <f>IF(P$13="","",IF($B167="","",IFERROR($C167*$D167*SUMIFS('Dvd Calendar'!$E$310:$CZ$310,'Dvd Calendar'!$E$309:$CZ$309,"&gt;"&amp;P$12,'Dvd Calendar'!$E$309:$CZ$309,"&lt;="&amp;P$13)/AS51!$B$3,"")))</f>
        <v/>
      </c>
      <c r="Q167" s="113">
        <f>IF(Q$13="","",IF($B167="","",IFERROR($C167*$D167*SUMIFS('Dvd Calendar'!$E$310:$CZ$310,'Dvd Calendar'!$E$309:$CZ$309,"&gt;"&amp;Q$12,'Dvd Calendar'!$E$309:$CZ$309,"&lt;="&amp;Q$13)/AS51!$B$3,"")))</f>
        <v/>
      </c>
      <c r="R167" s="113">
        <f>IF(R$13="","",IF($B167="","",IFERROR($C167*$D167*SUMIFS('Dvd Calendar'!$E$310:$CZ$310,'Dvd Calendar'!$E$309:$CZ$309,"&gt;"&amp;R$12,'Dvd Calendar'!$E$309:$CZ$309,"&lt;="&amp;R$13)/AS51!$B$3,"")))</f>
        <v/>
      </c>
      <c r="S167" s="113">
        <f>IF(S$13="","",IF($B167="","",IFERROR($C167*$D167*SUMIFS('Dvd Calendar'!$E$310:$CZ$310,'Dvd Calendar'!$E$309:$CZ$309,"&gt;"&amp;S$12,'Dvd Calendar'!$E$309:$CZ$309,"&lt;="&amp;S$13)/AS51!$B$3,"")))</f>
        <v/>
      </c>
      <c r="T167" s="113">
        <f>IF(T$13="","",IF($B167="","",IFERROR($C167*$D167*SUMIFS('Dvd Calendar'!$E$310:$CZ$310,'Dvd Calendar'!$E$309:$CZ$309,"&gt;"&amp;T$12,'Dvd Calendar'!$E$309:$CZ$309,"&lt;="&amp;T$13)/AS51!$B$3,"")))</f>
        <v/>
      </c>
      <c r="U167" s="113">
        <f>IF(U$13="","",IF($B167="","",IFERROR($C167*$D167*SUMIFS('Dvd Calendar'!$E$310:$CZ$310,'Dvd Calendar'!$E$309:$CZ$309,"&gt;"&amp;U$12,'Dvd Calendar'!$E$309:$CZ$309,"&lt;="&amp;U$13)/AS51!$B$3,"")))</f>
        <v/>
      </c>
      <c r="W167" s="113">
        <f>IF(W$13="","",IF($B167="","",IFERROR(F167*$E167/100,"")))</f>
        <v/>
      </c>
      <c r="X167" s="113">
        <f>IF(X$13="","",IF($B167="","",IFERROR(G167*$E167/100,"")))</f>
        <v/>
      </c>
      <c r="Y167" s="113">
        <f>IF(Y$13="","",IF($B167="","",IFERROR(H167*$E167/100,"")))</f>
        <v/>
      </c>
      <c r="Z167" s="113">
        <f>IF(Z$13="","",IF($B167="","",IFERROR(I167*$E167/100,"")))</f>
        <v/>
      </c>
      <c r="AA167" s="113">
        <f>IF(AA$13="","",IF($B167="","",IFERROR(J167*$E167/100,"")))</f>
        <v/>
      </c>
      <c r="AB167" s="113">
        <f>IF(AB$13="","",IF($B167="","",IFERROR(K167*$E167/100,"")))</f>
        <v/>
      </c>
      <c r="AC167" s="113">
        <f>IF(AC$13="","",IF($B167="","",IFERROR(L167*$E167/100,"")))</f>
        <v/>
      </c>
      <c r="AD167" s="113">
        <f>IF(AD$13="","",IF($B167="","",IFERROR(M167*$E167/100,"")))</f>
        <v/>
      </c>
      <c r="AE167" s="113">
        <f>IF(AE$13="","",IF($B167="","",IFERROR(N167*$E167/100,"")))</f>
        <v/>
      </c>
      <c r="AF167" s="113">
        <f>IF(AF$13="","",IF($B167="","",IFERROR(O167*$E167/100,"")))</f>
        <v/>
      </c>
      <c r="AG167" s="113">
        <f>IF(AG$13="","",IF($B167="","",IFERROR(P167*$E167/100,"")))</f>
        <v/>
      </c>
      <c r="AH167" s="113">
        <f>IF(AH$13="","",IF($B167="","",IFERROR(Q167*$E167/100,"")))</f>
        <v/>
      </c>
      <c r="AI167" s="113">
        <f>IF(AI$13="","",IF($B167="","",IFERROR(R167*$E167/100,"")))</f>
        <v/>
      </c>
      <c r="AJ167" s="113">
        <f>IF(AJ$13="","",IF($B167="","",IFERROR(S167*$E167/100,"")))</f>
        <v/>
      </c>
      <c r="AK167" s="113">
        <f>IF(AK$13="","",IF($B167="","",IFERROR(T167*$E167/100,"")))</f>
        <v/>
      </c>
      <c r="AL167" s="113">
        <f>IF(AL$13="","",IF($B167="","",IFERROR(U167*$E167/100,"")))</f>
        <v/>
      </c>
    </row>
    <row r="168">
      <c r="B168" s="5">
        <f>IF(AS51!$C$158="","",AS51!$C$158)</f>
        <v/>
      </c>
      <c r="C168" s="86">
        <f>IF(AS51!$B$158="","",AS51!$B$158)</f>
        <v/>
      </c>
      <c r="D168" s="111">
        <f>IFERROR(AS51!$Q$158,1)</f>
        <v/>
      </c>
      <c r="E168" s="112">
        <f>IF($B168="","",IF(ISNUMBER(AS51!$I$158),AS51!$I$158,'Index Summary'!$C$7))</f>
        <v/>
      </c>
      <c r="F168" s="113">
        <f>IF(F$13="","",IF($B168="","",IFERROR($C168*$D168*SUMIFS('Dvd Calendar'!$E$312:$CZ$312,'Dvd Calendar'!$E$311:$CZ$311,"&gt;"&amp;F$12,'Dvd Calendar'!$E$311:$CZ$311,"&lt;="&amp;F$13)/AS51!$B$3,"")))</f>
        <v/>
      </c>
      <c r="G168" s="113">
        <f>IF(G$13="","",IF($B168="","",IFERROR($C168*$D168*SUMIFS('Dvd Calendar'!$E$312:$CZ$312,'Dvd Calendar'!$E$311:$CZ$311,"&gt;"&amp;G$12,'Dvd Calendar'!$E$311:$CZ$311,"&lt;="&amp;G$13)/AS51!$B$3,"")))</f>
        <v/>
      </c>
      <c r="H168" s="113">
        <f>IF(H$13="","",IF($B168="","",IFERROR($C168*$D168*SUMIFS('Dvd Calendar'!$E$312:$CZ$312,'Dvd Calendar'!$E$311:$CZ$311,"&gt;"&amp;H$12,'Dvd Calendar'!$E$311:$CZ$311,"&lt;="&amp;H$13)/AS51!$B$3,"")))</f>
        <v/>
      </c>
      <c r="I168" s="113">
        <f>IF(I$13="","",IF($B168="","",IFERROR($C168*$D168*SUMIFS('Dvd Calendar'!$E$312:$CZ$312,'Dvd Calendar'!$E$311:$CZ$311,"&gt;"&amp;I$12,'Dvd Calendar'!$E$311:$CZ$311,"&lt;="&amp;I$13)/AS51!$B$3,"")))</f>
        <v/>
      </c>
      <c r="J168" s="113">
        <f>IF(J$13="","",IF($B168="","",IFERROR($C168*$D168*SUMIFS('Dvd Calendar'!$E$312:$CZ$312,'Dvd Calendar'!$E$311:$CZ$311,"&gt;"&amp;J$12,'Dvd Calendar'!$E$311:$CZ$311,"&lt;="&amp;J$13)/AS51!$B$3,"")))</f>
        <v/>
      </c>
      <c r="K168" s="113">
        <f>IF(K$13="","",IF($B168="","",IFERROR($C168*$D168*SUMIFS('Dvd Calendar'!$E$312:$CZ$312,'Dvd Calendar'!$E$311:$CZ$311,"&gt;"&amp;K$12,'Dvd Calendar'!$E$311:$CZ$311,"&lt;="&amp;K$13)/AS51!$B$3,"")))</f>
        <v/>
      </c>
      <c r="L168" s="113">
        <f>IF(L$13="","",IF($B168="","",IFERROR($C168*$D168*SUMIFS('Dvd Calendar'!$E$312:$CZ$312,'Dvd Calendar'!$E$311:$CZ$311,"&gt;"&amp;L$12,'Dvd Calendar'!$E$311:$CZ$311,"&lt;="&amp;L$13)/AS51!$B$3,"")))</f>
        <v/>
      </c>
      <c r="M168" s="113">
        <f>IF(M$13="","",IF($B168="","",IFERROR($C168*$D168*SUMIFS('Dvd Calendar'!$E$312:$CZ$312,'Dvd Calendar'!$E$311:$CZ$311,"&gt;"&amp;M$12,'Dvd Calendar'!$E$311:$CZ$311,"&lt;="&amp;M$13)/AS51!$B$3,"")))</f>
        <v/>
      </c>
      <c r="N168" s="113">
        <f>IF(N$13="","",IF($B168="","",IFERROR($C168*$D168*SUMIFS('Dvd Calendar'!$E$312:$CZ$312,'Dvd Calendar'!$E$311:$CZ$311,"&gt;"&amp;N$12,'Dvd Calendar'!$E$311:$CZ$311,"&lt;="&amp;N$13)/AS51!$B$3,"")))</f>
        <v/>
      </c>
      <c r="O168" s="113">
        <f>IF(O$13="","",IF($B168="","",IFERROR($C168*$D168*SUMIFS('Dvd Calendar'!$E$312:$CZ$312,'Dvd Calendar'!$E$311:$CZ$311,"&gt;"&amp;O$12,'Dvd Calendar'!$E$311:$CZ$311,"&lt;="&amp;O$13)/AS51!$B$3,"")))</f>
        <v/>
      </c>
      <c r="P168" s="113">
        <f>IF(P$13="","",IF($B168="","",IFERROR($C168*$D168*SUMIFS('Dvd Calendar'!$E$312:$CZ$312,'Dvd Calendar'!$E$311:$CZ$311,"&gt;"&amp;P$12,'Dvd Calendar'!$E$311:$CZ$311,"&lt;="&amp;P$13)/AS51!$B$3,"")))</f>
        <v/>
      </c>
      <c r="Q168" s="113">
        <f>IF(Q$13="","",IF($B168="","",IFERROR($C168*$D168*SUMIFS('Dvd Calendar'!$E$312:$CZ$312,'Dvd Calendar'!$E$311:$CZ$311,"&gt;"&amp;Q$12,'Dvd Calendar'!$E$311:$CZ$311,"&lt;="&amp;Q$13)/AS51!$B$3,"")))</f>
        <v/>
      </c>
      <c r="R168" s="113">
        <f>IF(R$13="","",IF($B168="","",IFERROR($C168*$D168*SUMIFS('Dvd Calendar'!$E$312:$CZ$312,'Dvd Calendar'!$E$311:$CZ$311,"&gt;"&amp;R$12,'Dvd Calendar'!$E$311:$CZ$311,"&lt;="&amp;R$13)/AS51!$B$3,"")))</f>
        <v/>
      </c>
      <c r="S168" s="113">
        <f>IF(S$13="","",IF($B168="","",IFERROR($C168*$D168*SUMIFS('Dvd Calendar'!$E$312:$CZ$312,'Dvd Calendar'!$E$311:$CZ$311,"&gt;"&amp;S$12,'Dvd Calendar'!$E$311:$CZ$311,"&lt;="&amp;S$13)/AS51!$B$3,"")))</f>
        <v/>
      </c>
      <c r="T168" s="113">
        <f>IF(T$13="","",IF($B168="","",IFERROR($C168*$D168*SUMIFS('Dvd Calendar'!$E$312:$CZ$312,'Dvd Calendar'!$E$311:$CZ$311,"&gt;"&amp;T$12,'Dvd Calendar'!$E$311:$CZ$311,"&lt;="&amp;T$13)/AS51!$B$3,"")))</f>
        <v/>
      </c>
      <c r="U168" s="113">
        <f>IF(U$13="","",IF($B168="","",IFERROR($C168*$D168*SUMIFS('Dvd Calendar'!$E$312:$CZ$312,'Dvd Calendar'!$E$311:$CZ$311,"&gt;"&amp;U$12,'Dvd Calendar'!$E$311:$CZ$311,"&lt;="&amp;U$13)/AS51!$B$3,"")))</f>
        <v/>
      </c>
      <c r="W168" s="113">
        <f>IF(W$13="","",IF($B168="","",IFERROR(F168*$E168/100,"")))</f>
        <v/>
      </c>
      <c r="X168" s="113">
        <f>IF(X$13="","",IF($B168="","",IFERROR(G168*$E168/100,"")))</f>
        <v/>
      </c>
      <c r="Y168" s="113">
        <f>IF(Y$13="","",IF($B168="","",IFERROR(H168*$E168/100,"")))</f>
        <v/>
      </c>
      <c r="Z168" s="113">
        <f>IF(Z$13="","",IF($B168="","",IFERROR(I168*$E168/100,"")))</f>
        <v/>
      </c>
      <c r="AA168" s="113">
        <f>IF(AA$13="","",IF($B168="","",IFERROR(J168*$E168/100,"")))</f>
        <v/>
      </c>
      <c r="AB168" s="113">
        <f>IF(AB$13="","",IF($B168="","",IFERROR(K168*$E168/100,"")))</f>
        <v/>
      </c>
      <c r="AC168" s="113">
        <f>IF(AC$13="","",IF($B168="","",IFERROR(L168*$E168/100,"")))</f>
        <v/>
      </c>
      <c r="AD168" s="113">
        <f>IF(AD$13="","",IF($B168="","",IFERROR(M168*$E168/100,"")))</f>
        <v/>
      </c>
      <c r="AE168" s="113">
        <f>IF(AE$13="","",IF($B168="","",IFERROR(N168*$E168/100,"")))</f>
        <v/>
      </c>
      <c r="AF168" s="113">
        <f>IF(AF$13="","",IF($B168="","",IFERROR(O168*$E168/100,"")))</f>
        <v/>
      </c>
      <c r="AG168" s="113">
        <f>IF(AG$13="","",IF($B168="","",IFERROR(P168*$E168/100,"")))</f>
        <v/>
      </c>
      <c r="AH168" s="113">
        <f>IF(AH$13="","",IF($B168="","",IFERROR(Q168*$E168/100,"")))</f>
        <v/>
      </c>
      <c r="AI168" s="113">
        <f>IF(AI$13="","",IF($B168="","",IFERROR(R168*$E168/100,"")))</f>
        <v/>
      </c>
      <c r="AJ168" s="113">
        <f>IF(AJ$13="","",IF($B168="","",IFERROR(S168*$E168/100,"")))</f>
        <v/>
      </c>
      <c r="AK168" s="113">
        <f>IF(AK$13="","",IF($B168="","",IFERROR(T168*$E168/100,"")))</f>
        <v/>
      </c>
      <c r="AL168" s="113">
        <f>IF(AL$13="","",IF($B168="","",IFERROR(U168*$E168/100,"")))</f>
        <v/>
      </c>
    </row>
    <row r="169">
      <c r="B169" s="5">
        <f>IF(AS51!$C$159="","",AS51!$C$159)</f>
        <v/>
      </c>
      <c r="C169" s="86">
        <f>IF(AS51!$B$159="","",AS51!$B$159)</f>
        <v/>
      </c>
      <c r="D169" s="111">
        <f>IFERROR(AS51!$Q$159,1)</f>
        <v/>
      </c>
      <c r="E169" s="112">
        <f>IF($B169="","",IF(ISNUMBER(AS51!$I$159),AS51!$I$159,'Index Summary'!$C$7))</f>
        <v/>
      </c>
      <c r="F169" s="113">
        <f>IF(F$13="","",IF($B169="","",IFERROR($C169*$D169*SUMIFS('Dvd Calendar'!$E$314:$CZ$314,'Dvd Calendar'!$E$313:$CZ$313,"&gt;"&amp;F$12,'Dvd Calendar'!$E$313:$CZ$313,"&lt;="&amp;F$13)/AS51!$B$3,"")))</f>
        <v/>
      </c>
      <c r="G169" s="113">
        <f>IF(G$13="","",IF($B169="","",IFERROR($C169*$D169*SUMIFS('Dvd Calendar'!$E$314:$CZ$314,'Dvd Calendar'!$E$313:$CZ$313,"&gt;"&amp;G$12,'Dvd Calendar'!$E$313:$CZ$313,"&lt;="&amp;G$13)/AS51!$B$3,"")))</f>
        <v/>
      </c>
      <c r="H169" s="113">
        <f>IF(H$13="","",IF($B169="","",IFERROR($C169*$D169*SUMIFS('Dvd Calendar'!$E$314:$CZ$314,'Dvd Calendar'!$E$313:$CZ$313,"&gt;"&amp;H$12,'Dvd Calendar'!$E$313:$CZ$313,"&lt;="&amp;H$13)/AS51!$B$3,"")))</f>
        <v/>
      </c>
      <c r="I169" s="113">
        <f>IF(I$13="","",IF($B169="","",IFERROR($C169*$D169*SUMIFS('Dvd Calendar'!$E$314:$CZ$314,'Dvd Calendar'!$E$313:$CZ$313,"&gt;"&amp;I$12,'Dvd Calendar'!$E$313:$CZ$313,"&lt;="&amp;I$13)/AS51!$B$3,"")))</f>
        <v/>
      </c>
      <c r="J169" s="113">
        <f>IF(J$13="","",IF($B169="","",IFERROR($C169*$D169*SUMIFS('Dvd Calendar'!$E$314:$CZ$314,'Dvd Calendar'!$E$313:$CZ$313,"&gt;"&amp;J$12,'Dvd Calendar'!$E$313:$CZ$313,"&lt;="&amp;J$13)/AS51!$B$3,"")))</f>
        <v/>
      </c>
      <c r="K169" s="113">
        <f>IF(K$13="","",IF($B169="","",IFERROR($C169*$D169*SUMIFS('Dvd Calendar'!$E$314:$CZ$314,'Dvd Calendar'!$E$313:$CZ$313,"&gt;"&amp;K$12,'Dvd Calendar'!$E$313:$CZ$313,"&lt;="&amp;K$13)/AS51!$B$3,"")))</f>
        <v/>
      </c>
      <c r="L169" s="113">
        <f>IF(L$13="","",IF($B169="","",IFERROR($C169*$D169*SUMIFS('Dvd Calendar'!$E$314:$CZ$314,'Dvd Calendar'!$E$313:$CZ$313,"&gt;"&amp;L$12,'Dvd Calendar'!$E$313:$CZ$313,"&lt;="&amp;L$13)/AS51!$B$3,"")))</f>
        <v/>
      </c>
      <c r="M169" s="113">
        <f>IF(M$13="","",IF($B169="","",IFERROR($C169*$D169*SUMIFS('Dvd Calendar'!$E$314:$CZ$314,'Dvd Calendar'!$E$313:$CZ$313,"&gt;"&amp;M$12,'Dvd Calendar'!$E$313:$CZ$313,"&lt;="&amp;M$13)/AS51!$B$3,"")))</f>
        <v/>
      </c>
      <c r="N169" s="113">
        <f>IF(N$13="","",IF($B169="","",IFERROR($C169*$D169*SUMIFS('Dvd Calendar'!$E$314:$CZ$314,'Dvd Calendar'!$E$313:$CZ$313,"&gt;"&amp;N$12,'Dvd Calendar'!$E$313:$CZ$313,"&lt;="&amp;N$13)/AS51!$B$3,"")))</f>
        <v/>
      </c>
      <c r="O169" s="113">
        <f>IF(O$13="","",IF($B169="","",IFERROR($C169*$D169*SUMIFS('Dvd Calendar'!$E$314:$CZ$314,'Dvd Calendar'!$E$313:$CZ$313,"&gt;"&amp;O$12,'Dvd Calendar'!$E$313:$CZ$313,"&lt;="&amp;O$13)/AS51!$B$3,"")))</f>
        <v/>
      </c>
      <c r="P169" s="113">
        <f>IF(P$13="","",IF($B169="","",IFERROR($C169*$D169*SUMIFS('Dvd Calendar'!$E$314:$CZ$314,'Dvd Calendar'!$E$313:$CZ$313,"&gt;"&amp;P$12,'Dvd Calendar'!$E$313:$CZ$313,"&lt;="&amp;P$13)/AS51!$B$3,"")))</f>
        <v/>
      </c>
      <c r="Q169" s="113">
        <f>IF(Q$13="","",IF($B169="","",IFERROR($C169*$D169*SUMIFS('Dvd Calendar'!$E$314:$CZ$314,'Dvd Calendar'!$E$313:$CZ$313,"&gt;"&amp;Q$12,'Dvd Calendar'!$E$313:$CZ$313,"&lt;="&amp;Q$13)/AS51!$B$3,"")))</f>
        <v/>
      </c>
      <c r="R169" s="113">
        <f>IF(R$13="","",IF($B169="","",IFERROR($C169*$D169*SUMIFS('Dvd Calendar'!$E$314:$CZ$314,'Dvd Calendar'!$E$313:$CZ$313,"&gt;"&amp;R$12,'Dvd Calendar'!$E$313:$CZ$313,"&lt;="&amp;R$13)/AS51!$B$3,"")))</f>
        <v/>
      </c>
      <c r="S169" s="113">
        <f>IF(S$13="","",IF($B169="","",IFERROR($C169*$D169*SUMIFS('Dvd Calendar'!$E$314:$CZ$314,'Dvd Calendar'!$E$313:$CZ$313,"&gt;"&amp;S$12,'Dvd Calendar'!$E$313:$CZ$313,"&lt;="&amp;S$13)/AS51!$B$3,"")))</f>
        <v/>
      </c>
      <c r="T169" s="113">
        <f>IF(T$13="","",IF($B169="","",IFERROR($C169*$D169*SUMIFS('Dvd Calendar'!$E$314:$CZ$314,'Dvd Calendar'!$E$313:$CZ$313,"&gt;"&amp;T$12,'Dvd Calendar'!$E$313:$CZ$313,"&lt;="&amp;T$13)/AS51!$B$3,"")))</f>
        <v/>
      </c>
      <c r="U169" s="113">
        <f>IF(U$13="","",IF($B169="","",IFERROR($C169*$D169*SUMIFS('Dvd Calendar'!$E$314:$CZ$314,'Dvd Calendar'!$E$313:$CZ$313,"&gt;"&amp;U$12,'Dvd Calendar'!$E$313:$CZ$313,"&lt;="&amp;U$13)/AS51!$B$3,"")))</f>
        <v/>
      </c>
      <c r="W169" s="113">
        <f>IF(W$13="","",IF($B169="","",IFERROR(F169*$E169/100,"")))</f>
        <v/>
      </c>
      <c r="X169" s="113">
        <f>IF(X$13="","",IF($B169="","",IFERROR(G169*$E169/100,"")))</f>
        <v/>
      </c>
      <c r="Y169" s="113">
        <f>IF(Y$13="","",IF($B169="","",IFERROR(H169*$E169/100,"")))</f>
        <v/>
      </c>
      <c r="Z169" s="113">
        <f>IF(Z$13="","",IF($B169="","",IFERROR(I169*$E169/100,"")))</f>
        <v/>
      </c>
      <c r="AA169" s="113">
        <f>IF(AA$13="","",IF($B169="","",IFERROR(J169*$E169/100,"")))</f>
        <v/>
      </c>
      <c r="AB169" s="113">
        <f>IF(AB$13="","",IF($B169="","",IFERROR(K169*$E169/100,"")))</f>
        <v/>
      </c>
      <c r="AC169" s="113">
        <f>IF(AC$13="","",IF($B169="","",IFERROR(L169*$E169/100,"")))</f>
        <v/>
      </c>
      <c r="AD169" s="113">
        <f>IF(AD$13="","",IF($B169="","",IFERROR(M169*$E169/100,"")))</f>
        <v/>
      </c>
      <c r="AE169" s="113">
        <f>IF(AE$13="","",IF($B169="","",IFERROR(N169*$E169/100,"")))</f>
        <v/>
      </c>
      <c r="AF169" s="113">
        <f>IF(AF$13="","",IF($B169="","",IFERROR(O169*$E169/100,"")))</f>
        <v/>
      </c>
      <c r="AG169" s="113">
        <f>IF(AG$13="","",IF($B169="","",IFERROR(P169*$E169/100,"")))</f>
        <v/>
      </c>
      <c r="AH169" s="113">
        <f>IF(AH$13="","",IF($B169="","",IFERROR(Q169*$E169/100,"")))</f>
        <v/>
      </c>
      <c r="AI169" s="113">
        <f>IF(AI$13="","",IF($B169="","",IFERROR(R169*$E169/100,"")))</f>
        <v/>
      </c>
      <c r="AJ169" s="113">
        <f>IF(AJ$13="","",IF($B169="","",IFERROR(S169*$E169/100,"")))</f>
        <v/>
      </c>
      <c r="AK169" s="113">
        <f>IF(AK$13="","",IF($B169="","",IFERROR(T169*$E169/100,"")))</f>
        <v/>
      </c>
      <c r="AL169" s="113">
        <f>IF(AL$13="","",IF($B169="","",IFERROR(U169*$E169/100,"")))</f>
        <v/>
      </c>
    </row>
    <row r="170">
      <c r="B170" s="5">
        <f>IF(AS51!$C$160="","",AS51!$C$160)</f>
        <v/>
      </c>
      <c r="C170" s="86">
        <f>IF(AS51!$B$160="","",AS51!$B$160)</f>
        <v/>
      </c>
      <c r="D170" s="111">
        <f>IFERROR(AS51!$Q$160,1)</f>
        <v/>
      </c>
      <c r="E170" s="112">
        <f>IF($B170="","",IF(ISNUMBER(AS51!$I$160),AS51!$I$160,'Index Summary'!$C$7))</f>
        <v/>
      </c>
      <c r="F170" s="113">
        <f>IF(F$13="","",IF($B170="","",IFERROR($C170*$D170*SUMIFS('Dvd Calendar'!$E$316:$CZ$316,'Dvd Calendar'!$E$315:$CZ$315,"&gt;"&amp;F$12,'Dvd Calendar'!$E$315:$CZ$315,"&lt;="&amp;F$13)/AS51!$B$3,"")))</f>
        <v/>
      </c>
      <c r="G170" s="113">
        <f>IF(G$13="","",IF($B170="","",IFERROR($C170*$D170*SUMIFS('Dvd Calendar'!$E$316:$CZ$316,'Dvd Calendar'!$E$315:$CZ$315,"&gt;"&amp;G$12,'Dvd Calendar'!$E$315:$CZ$315,"&lt;="&amp;G$13)/AS51!$B$3,"")))</f>
        <v/>
      </c>
      <c r="H170" s="113">
        <f>IF(H$13="","",IF($B170="","",IFERROR($C170*$D170*SUMIFS('Dvd Calendar'!$E$316:$CZ$316,'Dvd Calendar'!$E$315:$CZ$315,"&gt;"&amp;H$12,'Dvd Calendar'!$E$315:$CZ$315,"&lt;="&amp;H$13)/AS51!$B$3,"")))</f>
        <v/>
      </c>
      <c r="I170" s="113">
        <f>IF(I$13="","",IF($B170="","",IFERROR($C170*$D170*SUMIFS('Dvd Calendar'!$E$316:$CZ$316,'Dvd Calendar'!$E$315:$CZ$315,"&gt;"&amp;I$12,'Dvd Calendar'!$E$315:$CZ$315,"&lt;="&amp;I$13)/AS51!$B$3,"")))</f>
        <v/>
      </c>
      <c r="J170" s="113">
        <f>IF(J$13="","",IF($B170="","",IFERROR($C170*$D170*SUMIFS('Dvd Calendar'!$E$316:$CZ$316,'Dvd Calendar'!$E$315:$CZ$315,"&gt;"&amp;J$12,'Dvd Calendar'!$E$315:$CZ$315,"&lt;="&amp;J$13)/AS51!$B$3,"")))</f>
        <v/>
      </c>
      <c r="K170" s="113">
        <f>IF(K$13="","",IF($B170="","",IFERROR($C170*$D170*SUMIFS('Dvd Calendar'!$E$316:$CZ$316,'Dvd Calendar'!$E$315:$CZ$315,"&gt;"&amp;K$12,'Dvd Calendar'!$E$315:$CZ$315,"&lt;="&amp;K$13)/AS51!$B$3,"")))</f>
        <v/>
      </c>
      <c r="L170" s="113">
        <f>IF(L$13="","",IF($B170="","",IFERROR($C170*$D170*SUMIFS('Dvd Calendar'!$E$316:$CZ$316,'Dvd Calendar'!$E$315:$CZ$315,"&gt;"&amp;L$12,'Dvd Calendar'!$E$315:$CZ$315,"&lt;="&amp;L$13)/AS51!$B$3,"")))</f>
        <v/>
      </c>
      <c r="M170" s="113">
        <f>IF(M$13="","",IF($B170="","",IFERROR($C170*$D170*SUMIFS('Dvd Calendar'!$E$316:$CZ$316,'Dvd Calendar'!$E$315:$CZ$315,"&gt;"&amp;M$12,'Dvd Calendar'!$E$315:$CZ$315,"&lt;="&amp;M$13)/AS51!$B$3,"")))</f>
        <v/>
      </c>
      <c r="N170" s="113">
        <f>IF(N$13="","",IF($B170="","",IFERROR($C170*$D170*SUMIFS('Dvd Calendar'!$E$316:$CZ$316,'Dvd Calendar'!$E$315:$CZ$315,"&gt;"&amp;N$12,'Dvd Calendar'!$E$315:$CZ$315,"&lt;="&amp;N$13)/AS51!$B$3,"")))</f>
        <v/>
      </c>
      <c r="O170" s="113">
        <f>IF(O$13="","",IF($B170="","",IFERROR($C170*$D170*SUMIFS('Dvd Calendar'!$E$316:$CZ$316,'Dvd Calendar'!$E$315:$CZ$315,"&gt;"&amp;O$12,'Dvd Calendar'!$E$315:$CZ$315,"&lt;="&amp;O$13)/AS51!$B$3,"")))</f>
        <v/>
      </c>
      <c r="P170" s="113">
        <f>IF(P$13="","",IF($B170="","",IFERROR($C170*$D170*SUMIFS('Dvd Calendar'!$E$316:$CZ$316,'Dvd Calendar'!$E$315:$CZ$315,"&gt;"&amp;P$12,'Dvd Calendar'!$E$315:$CZ$315,"&lt;="&amp;P$13)/AS51!$B$3,"")))</f>
        <v/>
      </c>
      <c r="Q170" s="113">
        <f>IF(Q$13="","",IF($B170="","",IFERROR($C170*$D170*SUMIFS('Dvd Calendar'!$E$316:$CZ$316,'Dvd Calendar'!$E$315:$CZ$315,"&gt;"&amp;Q$12,'Dvd Calendar'!$E$315:$CZ$315,"&lt;="&amp;Q$13)/AS51!$B$3,"")))</f>
        <v/>
      </c>
      <c r="R170" s="113">
        <f>IF(R$13="","",IF($B170="","",IFERROR($C170*$D170*SUMIFS('Dvd Calendar'!$E$316:$CZ$316,'Dvd Calendar'!$E$315:$CZ$315,"&gt;"&amp;R$12,'Dvd Calendar'!$E$315:$CZ$315,"&lt;="&amp;R$13)/AS51!$B$3,"")))</f>
        <v/>
      </c>
      <c r="S170" s="113">
        <f>IF(S$13="","",IF($B170="","",IFERROR($C170*$D170*SUMIFS('Dvd Calendar'!$E$316:$CZ$316,'Dvd Calendar'!$E$315:$CZ$315,"&gt;"&amp;S$12,'Dvd Calendar'!$E$315:$CZ$315,"&lt;="&amp;S$13)/AS51!$B$3,"")))</f>
        <v/>
      </c>
      <c r="T170" s="113">
        <f>IF(T$13="","",IF($B170="","",IFERROR($C170*$D170*SUMIFS('Dvd Calendar'!$E$316:$CZ$316,'Dvd Calendar'!$E$315:$CZ$315,"&gt;"&amp;T$12,'Dvd Calendar'!$E$315:$CZ$315,"&lt;="&amp;T$13)/AS51!$B$3,"")))</f>
        <v/>
      </c>
      <c r="U170" s="113">
        <f>IF(U$13="","",IF($B170="","",IFERROR($C170*$D170*SUMIFS('Dvd Calendar'!$E$316:$CZ$316,'Dvd Calendar'!$E$315:$CZ$315,"&gt;"&amp;U$12,'Dvd Calendar'!$E$315:$CZ$315,"&lt;="&amp;U$13)/AS51!$B$3,"")))</f>
        <v/>
      </c>
      <c r="W170" s="113">
        <f>IF(W$13="","",IF($B170="","",IFERROR(F170*$E170/100,"")))</f>
        <v/>
      </c>
      <c r="X170" s="113">
        <f>IF(X$13="","",IF($B170="","",IFERROR(G170*$E170/100,"")))</f>
        <v/>
      </c>
      <c r="Y170" s="113">
        <f>IF(Y$13="","",IF($B170="","",IFERROR(H170*$E170/100,"")))</f>
        <v/>
      </c>
      <c r="Z170" s="113">
        <f>IF(Z$13="","",IF($B170="","",IFERROR(I170*$E170/100,"")))</f>
        <v/>
      </c>
      <c r="AA170" s="113">
        <f>IF(AA$13="","",IF($B170="","",IFERROR(J170*$E170/100,"")))</f>
        <v/>
      </c>
      <c r="AB170" s="113">
        <f>IF(AB$13="","",IF($B170="","",IFERROR(K170*$E170/100,"")))</f>
        <v/>
      </c>
      <c r="AC170" s="113">
        <f>IF(AC$13="","",IF($B170="","",IFERROR(L170*$E170/100,"")))</f>
        <v/>
      </c>
      <c r="AD170" s="113">
        <f>IF(AD$13="","",IF($B170="","",IFERROR(M170*$E170/100,"")))</f>
        <v/>
      </c>
      <c r="AE170" s="113">
        <f>IF(AE$13="","",IF($B170="","",IFERROR(N170*$E170/100,"")))</f>
        <v/>
      </c>
      <c r="AF170" s="113">
        <f>IF(AF$13="","",IF($B170="","",IFERROR(O170*$E170/100,"")))</f>
        <v/>
      </c>
      <c r="AG170" s="113">
        <f>IF(AG$13="","",IF($B170="","",IFERROR(P170*$E170/100,"")))</f>
        <v/>
      </c>
      <c r="AH170" s="113">
        <f>IF(AH$13="","",IF($B170="","",IFERROR(Q170*$E170/100,"")))</f>
        <v/>
      </c>
      <c r="AI170" s="113">
        <f>IF(AI$13="","",IF($B170="","",IFERROR(R170*$E170/100,"")))</f>
        <v/>
      </c>
      <c r="AJ170" s="113">
        <f>IF(AJ$13="","",IF($B170="","",IFERROR(S170*$E170/100,"")))</f>
        <v/>
      </c>
      <c r="AK170" s="113">
        <f>IF(AK$13="","",IF($B170="","",IFERROR(T170*$E170/100,"")))</f>
        <v/>
      </c>
      <c r="AL170" s="113">
        <f>IF(AL$13="","",IF($B170="","",IFERROR(U170*$E170/100,"")))</f>
        <v/>
      </c>
    </row>
    <row r="171">
      <c r="B171" s="5">
        <f>IF(AS51!$C$161="","",AS51!$C$161)</f>
        <v/>
      </c>
      <c r="C171" s="86">
        <f>IF(AS51!$B$161="","",AS51!$B$161)</f>
        <v/>
      </c>
      <c r="D171" s="111">
        <f>IFERROR(AS51!$Q$161,1)</f>
        <v/>
      </c>
      <c r="E171" s="112">
        <f>IF($B171="","",IF(ISNUMBER(AS51!$I$161),AS51!$I$161,'Index Summary'!$C$7))</f>
        <v/>
      </c>
      <c r="F171" s="113">
        <f>IF(F$13="","",IF($B171="","",IFERROR($C171*$D171*SUMIFS('Dvd Calendar'!$E$318:$CZ$318,'Dvd Calendar'!$E$317:$CZ$317,"&gt;"&amp;F$12,'Dvd Calendar'!$E$317:$CZ$317,"&lt;="&amp;F$13)/AS51!$B$3,"")))</f>
        <v/>
      </c>
      <c r="G171" s="113">
        <f>IF(G$13="","",IF($B171="","",IFERROR($C171*$D171*SUMIFS('Dvd Calendar'!$E$318:$CZ$318,'Dvd Calendar'!$E$317:$CZ$317,"&gt;"&amp;G$12,'Dvd Calendar'!$E$317:$CZ$317,"&lt;="&amp;G$13)/AS51!$B$3,"")))</f>
        <v/>
      </c>
      <c r="H171" s="113">
        <f>IF(H$13="","",IF($B171="","",IFERROR($C171*$D171*SUMIFS('Dvd Calendar'!$E$318:$CZ$318,'Dvd Calendar'!$E$317:$CZ$317,"&gt;"&amp;H$12,'Dvd Calendar'!$E$317:$CZ$317,"&lt;="&amp;H$13)/AS51!$B$3,"")))</f>
        <v/>
      </c>
      <c r="I171" s="113">
        <f>IF(I$13="","",IF($B171="","",IFERROR($C171*$D171*SUMIFS('Dvd Calendar'!$E$318:$CZ$318,'Dvd Calendar'!$E$317:$CZ$317,"&gt;"&amp;I$12,'Dvd Calendar'!$E$317:$CZ$317,"&lt;="&amp;I$13)/AS51!$B$3,"")))</f>
        <v/>
      </c>
      <c r="J171" s="113">
        <f>IF(J$13="","",IF($B171="","",IFERROR($C171*$D171*SUMIFS('Dvd Calendar'!$E$318:$CZ$318,'Dvd Calendar'!$E$317:$CZ$317,"&gt;"&amp;J$12,'Dvd Calendar'!$E$317:$CZ$317,"&lt;="&amp;J$13)/AS51!$B$3,"")))</f>
        <v/>
      </c>
      <c r="K171" s="113">
        <f>IF(K$13="","",IF($B171="","",IFERROR($C171*$D171*SUMIFS('Dvd Calendar'!$E$318:$CZ$318,'Dvd Calendar'!$E$317:$CZ$317,"&gt;"&amp;K$12,'Dvd Calendar'!$E$317:$CZ$317,"&lt;="&amp;K$13)/AS51!$B$3,"")))</f>
        <v/>
      </c>
      <c r="L171" s="113">
        <f>IF(L$13="","",IF($B171="","",IFERROR($C171*$D171*SUMIFS('Dvd Calendar'!$E$318:$CZ$318,'Dvd Calendar'!$E$317:$CZ$317,"&gt;"&amp;L$12,'Dvd Calendar'!$E$317:$CZ$317,"&lt;="&amp;L$13)/AS51!$B$3,"")))</f>
        <v/>
      </c>
      <c r="M171" s="113">
        <f>IF(M$13="","",IF($B171="","",IFERROR($C171*$D171*SUMIFS('Dvd Calendar'!$E$318:$CZ$318,'Dvd Calendar'!$E$317:$CZ$317,"&gt;"&amp;M$12,'Dvd Calendar'!$E$317:$CZ$317,"&lt;="&amp;M$13)/AS51!$B$3,"")))</f>
        <v/>
      </c>
      <c r="N171" s="113">
        <f>IF(N$13="","",IF($B171="","",IFERROR($C171*$D171*SUMIFS('Dvd Calendar'!$E$318:$CZ$318,'Dvd Calendar'!$E$317:$CZ$317,"&gt;"&amp;N$12,'Dvd Calendar'!$E$317:$CZ$317,"&lt;="&amp;N$13)/AS51!$B$3,"")))</f>
        <v/>
      </c>
      <c r="O171" s="113">
        <f>IF(O$13="","",IF($B171="","",IFERROR($C171*$D171*SUMIFS('Dvd Calendar'!$E$318:$CZ$318,'Dvd Calendar'!$E$317:$CZ$317,"&gt;"&amp;O$12,'Dvd Calendar'!$E$317:$CZ$317,"&lt;="&amp;O$13)/AS51!$B$3,"")))</f>
        <v/>
      </c>
      <c r="P171" s="113">
        <f>IF(P$13="","",IF($B171="","",IFERROR($C171*$D171*SUMIFS('Dvd Calendar'!$E$318:$CZ$318,'Dvd Calendar'!$E$317:$CZ$317,"&gt;"&amp;P$12,'Dvd Calendar'!$E$317:$CZ$317,"&lt;="&amp;P$13)/AS51!$B$3,"")))</f>
        <v/>
      </c>
      <c r="Q171" s="113">
        <f>IF(Q$13="","",IF($B171="","",IFERROR($C171*$D171*SUMIFS('Dvd Calendar'!$E$318:$CZ$318,'Dvd Calendar'!$E$317:$CZ$317,"&gt;"&amp;Q$12,'Dvd Calendar'!$E$317:$CZ$317,"&lt;="&amp;Q$13)/AS51!$B$3,"")))</f>
        <v/>
      </c>
      <c r="R171" s="113">
        <f>IF(R$13="","",IF($B171="","",IFERROR($C171*$D171*SUMIFS('Dvd Calendar'!$E$318:$CZ$318,'Dvd Calendar'!$E$317:$CZ$317,"&gt;"&amp;R$12,'Dvd Calendar'!$E$317:$CZ$317,"&lt;="&amp;R$13)/AS51!$B$3,"")))</f>
        <v/>
      </c>
      <c r="S171" s="113">
        <f>IF(S$13="","",IF($B171="","",IFERROR($C171*$D171*SUMIFS('Dvd Calendar'!$E$318:$CZ$318,'Dvd Calendar'!$E$317:$CZ$317,"&gt;"&amp;S$12,'Dvd Calendar'!$E$317:$CZ$317,"&lt;="&amp;S$13)/AS51!$B$3,"")))</f>
        <v/>
      </c>
      <c r="T171" s="113">
        <f>IF(T$13="","",IF($B171="","",IFERROR($C171*$D171*SUMIFS('Dvd Calendar'!$E$318:$CZ$318,'Dvd Calendar'!$E$317:$CZ$317,"&gt;"&amp;T$12,'Dvd Calendar'!$E$317:$CZ$317,"&lt;="&amp;T$13)/AS51!$B$3,"")))</f>
        <v/>
      </c>
      <c r="U171" s="113">
        <f>IF(U$13="","",IF($B171="","",IFERROR($C171*$D171*SUMIFS('Dvd Calendar'!$E$318:$CZ$318,'Dvd Calendar'!$E$317:$CZ$317,"&gt;"&amp;U$12,'Dvd Calendar'!$E$317:$CZ$317,"&lt;="&amp;U$13)/AS51!$B$3,"")))</f>
        <v/>
      </c>
      <c r="W171" s="113">
        <f>IF(W$13="","",IF($B171="","",IFERROR(F171*$E171/100,"")))</f>
        <v/>
      </c>
      <c r="X171" s="113">
        <f>IF(X$13="","",IF($B171="","",IFERROR(G171*$E171/100,"")))</f>
        <v/>
      </c>
      <c r="Y171" s="113">
        <f>IF(Y$13="","",IF($B171="","",IFERROR(H171*$E171/100,"")))</f>
        <v/>
      </c>
      <c r="Z171" s="113">
        <f>IF(Z$13="","",IF($B171="","",IFERROR(I171*$E171/100,"")))</f>
        <v/>
      </c>
      <c r="AA171" s="113">
        <f>IF(AA$13="","",IF($B171="","",IFERROR(J171*$E171/100,"")))</f>
        <v/>
      </c>
      <c r="AB171" s="113">
        <f>IF(AB$13="","",IF($B171="","",IFERROR(K171*$E171/100,"")))</f>
        <v/>
      </c>
      <c r="AC171" s="113">
        <f>IF(AC$13="","",IF($B171="","",IFERROR(L171*$E171/100,"")))</f>
        <v/>
      </c>
      <c r="AD171" s="113">
        <f>IF(AD$13="","",IF($B171="","",IFERROR(M171*$E171/100,"")))</f>
        <v/>
      </c>
      <c r="AE171" s="113">
        <f>IF(AE$13="","",IF($B171="","",IFERROR(N171*$E171/100,"")))</f>
        <v/>
      </c>
      <c r="AF171" s="113">
        <f>IF(AF$13="","",IF($B171="","",IFERROR(O171*$E171/100,"")))</f>
        <v/>
      </c>
      <c r="AG171" s="113">
        <f>IF(AG$13="","",IF($B171="","",IFERROR(P171*$E171/100,"")))</f>
        <v/>
      </c>
      <c r="AH171" s="113">
        <f>IF(AH$13="","",IF($B171="","",IFERROR(Q171*$E171/100,"")))</f>
        <v/>
      </c>
      <c r="AI171" s="113">
        <f>IF(AI$13="","",IF($B171="","",IFERROR(R171*$E171/100,"")))</f>
        <v/>
      </c>
      <c r="AJ171" s="113">
        <f>IF(AJ$13="","",IF($B171="","",IFERROR(S171*$E171/100,"")))</f>
        <v/>
      </c>
      <c r="AK171" s="113">
        <f>IF(AK$13="","",IF($B171="","",IFERROR(T171*$E171/100,"")))</f>
        <v/>
      </c>
      <c r="AL171" s="113">
        <f>IF(AL$13="","",IF($B171="","",IFERROR(U171*$E171/100,"")))</f>
        <v/>
      </c>
    </row>
    <row r="172">
      <c r="B172" s="5">
        <f>IF(AS51!$C$162="","",AS51!$C$162)</f>
        <v/>
      </c>
      <c r="C172" s="86">
        <f>IF(AS51!$B$162="","",AS51!$B$162)</f>
        <v/>
      </c>
      <c r="D172" s="111">
        <f>IFERROR(AS51!$Q$162,1)</f>
        <v/>
      </c>
      <c r="E172" s="112">
        <f>IF($B172="","",IF(ISNUMBER(AS51!$I$162),AS51!$I$162,'Index Summary'!$C$7))</f>
        <v/>
      </c>
      <c r="F172" s="113">
        <f>IF(F$13="","",IF($B172="","",IFERROR($C172*$D172*SUMIFS('Dvd Calendar'!$E$320:$CZ$320,'Dvd Calendar'!$E$319:$CZ$319,"&gt;"&amp;F$12,'Dvd Calendar'!$E$319:$CZ$319,"&lt;="&amp;F$13)/AS51!$B$3,"")))</f>
        <v/>
      </c>
      <c r="G172" s="113">
        <f>IF(G$13="","",IF($B172="","",IFERROR($C172*$D172*SUMIFS('Dvd Calendar'!$E$320:$CZ$320,'Dvd Calendar'!$E$319:$CZ$319,"&gt;"&amp;G$12,'Dvd Calendar'!$E$319:$CZ$319,"&lt;="&amp;G$13)/AS51!$B$3,"")))</f>
        <v/>
      </c>
      <c r="H172" s="113">
        <f>IF(H$13="","",IF($B172="","",IFERROR($C172*$D172*SUMIFS('Dvd Calendar'!$E$320:$CZ$320,'Dvd Calendar'!$E$319:$CZ$319,"&gt;"&amp;H$12,'Dvd Calendar'!$E$319:$CZ$319,"&lt;="&amp;H$13)/AS51!$B$3,"")))</f>
        <v/>
      </c>
      <c r="I172" s="113">
        <f>IF(I$13="","",IF($B172="","",IFERROR($C172*$D172*SUMIFS('Dvd Calendar'!$E$320:$CZ$320,'Dvd Calendar'!$E$319:$CZ$319,"&gt;"&amp;I$12,'Dvd Calendar'!$E$319:$CZ$319,"&lt;="&amp;I$13)/AS51!$B$3,"")))</f>
        <v/>
      </c>
      <c r="J172" s="113">
        <f>IF(J$13="","",IF($B172="","",IFERROR($C172*$D172*SUMIFS('Dvd Calendar'!$E$320:$CZ$320,'Dvd Calendar'!$E$319:$CZ$319,"&gt;"&amp;J$12,'Dvd Calendar'!$E$319:$CZ$319,"&lt;="&amp;J$13)/AS51!$B$3,"")))</f>
        <v/>
      </c>
      <c r="K172" s="113">
        <f>IF(K$13="","",IF($B172="","",IFERROR($C172*$D172*SUMIFS('Dvd Calendar'!$E$320:$CZ$320,'Dvd Calendar'!$E$319:$CZ$319,"&gt;"&amp;K$12,'Dvd Calendar'!$E$319:$CZ$319,"&lt;="&amp;K$13)/AS51!$B$3,"")))</f>
        <v/>
      </c>
      <c r="L172" s="113">
        <f>IF(L$13="","",IF($B172="","",IFERROR($C172*$D172*SUMIFS('Dvd Calendar'!$E$320:$CZ$320,'Dvd Calendar'!$E$319:$CZ$319,"&gt;"&amp;L$12,'Dvd Calendar'!$E$319:$CZ$319,"&lt;="&amp;L$13)/AS51!$B$3,"")))</f>
        <v/>
      </c>
      <c r="M172" s="113">
        <f>IF(M$13="","",IF($B172="","",IFERROR($C172*$D172*SUMIFS('Dvd Calendar'!$E$320:$CZ$320,'Dvd Calendar'!$E$319:$CZ$319,"&gt;"&amp;M$12,'Dvd Calendar'!$E$319:$CZ$319,"&lt;="&amp;M$13)/AS51!$B$3,"")))</f>
        <v/>
      </c>
      <c r="N172" s="113">
        <f>IF(N$13="","",IF($B172="","",IFERROR($C172*$D172*SUMIFS('Dvd Calendar'!$E$320:$CZ$320,'Dvd Calendar'!$E$319:$CZ$319,"&gt;"&amp;N$12,'Dvd Calendar'!$E$319:$CZ$319,"&lt;="&amp;N$13)/AS51!$B$3,"")))</f>
        <v/>
      </c>
      <c r="O172" s="113">
        <f>IF(O$13="","",IF($B172="","",IFERROR($C172*$D172*SUMIFS('Dvd Calendar'!$E$320:$CZ$320,'Dvd Calendar'!$E$319:$CZ$319,"&gt;"&amp;O$12,'Dvd Calendar'!$E$319:$CZ$319,"&lt;="&amp;O$13)/AS51!$B$3,"")))</f>
        <v/>
      </c>
      <c r="P172" s="113">
        <f>IF(P$13="","",IF($B172="","",IFERROR($C172*$D172*SUMIFS('Dvd Calendar'!$E$320:$CZ$320,'Dvd Calendar'!$E$319:$CZ$319,"&gt;"&amp;P$12,'Dvd Calendar'!$E$319:$CZ$319,"&lt;="&amp;P$13)/AS51!$B$3,"")))</f>
        <v/>
      </c>
      <c r="Q172" s="113">
        <f>IF(Q$13="","",IF($B172="","",IFERROR($C172*$D172*SUMIFS('Dvd Calendar'!$E$320:$CZ$320,'Dvd Calendar'!$E$319:$CZ$319,"&gt;"&amp;Q$12,'Dvd Calendar'!$E$319:$CZ$319,"&lt;="&amp;Q$13)/AS51!$B$3,"")))</f>
        <v/>
      </c>
      <c r="R172" s="113">
        <f>IF(R$13="","",IF($B172="","",IFERROR($C172*$D172*SUMIFS('Dvd Calendar'!$E$320:$CZ$320,'Dvd Calendar'!$E$319:$CZ$319,"&gt;"&amp;R$12,'Dvd Calendar'!$E$319:$CZ$319,"&lt;="&amp;R$13)/AS51!$B$3,"")))</f>
        <v/>
      </c>
      <c r="S172" s="113">
        <f>IF(S$13="","",IF($B172="","",IFERROR($C172*$D172*SUMIFS('Dvd Calendar'!$E$320:$CZ$320,'Dvd Calendar'!$E$319:$CZ$319,"&gt;"&amp;S$12,'Dvd Calendar'!$E$319:$CZ$319,"&lt;="&amp;S$13)/AS51!$B$3,"")))</f>
        <v/>
      </c>
      <c r="T172" s="113">
        <f>IF(T$13="","",IF($B172="","",IFERROR($C172*$D172*SUMIFS('Dvd Calendar'!$E$320:$CZ$320,'Dvd Calendar'!$E$319:$CZ$319,"&gt;"&amp;T$12,'Dvd Calendar'!$E$319:$CZ$319,"&lt;="&amp;T$13)/AS51!$B$3,"")))</f>
        <v/>
      </c>
      <c r="U172" s="113">
        <f>IF(U$13="","",IF($B172="","",IFERROR($C172*$D172*SUMIFS('Dvd Calendar'!$E$320:$CZ$320,'Dvd Calendar'!$E$319:$CZ$319,"&gt;"&amp;U$12,'Dvd Calendar'!$E$319:$CZ$319,"&lt;="&amp;U$13)/AS51!$B$3,"")))</f>
        <v/>
      </c>
      <c r="W172" s="113">
        <f>IF(W$13="","",IF($B172="","",IFERROR(F172*$E172/100,"")))</f>
        <v/>
      </c>
      <c r="X172" s="113">
        <f>IF(X$13="","",IF($B172="","",IFERROR(G172*$E172/100,"")))</f>
        <v/>
      </c>
      <c r="Y172" s="113">
        <f>IF(Y$13="","",IF($B172="","",IFERROR(H172*$E172/100,"")))</f>
        <v/>
      </c>
      <c r="Z172" s="113">
        <f>IF(Z$13="","",IF($B172="","",IFERROR(I172*$E172/100,"")))</f>
        <v/>
      </c>
      <c r="AA172" s="113">
        <f>IF(AA$13="","",IF($B172="","",IFERROR(J172*$E172/100,"")))</f>
        <v/>
      </c>
      <c r="AB172" s="113">
        <f>IF(AB$13="","",IF($B172="","",IFERROR(K172*$E172/100,"")))</f>
        <v/>
      </c>
      <c r="AC172" s="113">
        <f>IF(AC$13="","",IF($B172="","",IFERROR(L172*$E172/100,"")))</f>
        <v/>
      </c>
      <c r="AD172" s="113">
        <f>IF(AD$13="","",IF($B172="","",IFERROR(M172*$E172/100,"")))</f>
        <v/>
      </c>
      <c r="AE172" s="113">
        <f>IF(AE$13="","",IF($B172="","",IFERROR(N172*$E172/100,"")))</f>
        <v/>
      </c>
      <c r="AF172" s="113">
        <f>IF(AF$13="","",IF($B172="","",IFERROR(O172*$E172/100,"")))</f>
        <v/>
      </c>
      <c r="AG172" s="113">
        <f>IF(AG$13="","",IF($B172="","",IFERROR(P172*$E172/100,"")))</f>
        <v/>
      </c>
      <c r="AH172" s="113">
        <f>IF(AH$13="","",IF($B172="","",IFERROR(Q172*$E172/100,"")))</f>
        <v/>
      </c>
      <c r="AI172" s="113">
        <f>IF(AI$13="","",IF($B172="","",IFERROR(R172*$E172/100,"")))</f>
        <v/>
      </c>
      <c r="AJ172" s="113">
        <f>IF(AJ$13="","",IF($B172="","",IFERROR(S172*$E172/100,"")))</f>
        <v/>
      </c>
      <c r="AK172" s="113">
        <f>IF(AK$13="","",IF($B172="","",IFERROR(T172*$E172/100,"")))</f>
        <v/>
      </c>
      <c r="AL172" s="113">
        <f>IF(AL$13="","",IF($B172="","",IFERROR(U172*$E172/100,"")))</f>
        <v/>
      </c>
    </row>
    <row r="173">
      <c r="B173" s="5">
        <f>IF(AS51!$C$163="","",AS51!$C$163)</f>
        <v/>
      </c>
      <c r="C173" s="86">
        <f>IF(AS51!$B$163="","",AS51!$B$163)</f>
        <v/>
      </c>
      <c r="D173" s="111">
        <f>IFERROR(AS51!$Q$163,1)</f>
        <v/>
      </c>
      <c r="E173" s="112">
        <f>IF($B173="","",IF(ISNUMBER(AS51!$I$163),AS51!$I$163,'Index Summary'!$C$7))</f>
        <v/>
      </c>
      <c r="F173" s="113">
        <f>IF(F$13="","",IF($B173="","",IFERROR($C173*$D173*SUMIFS('Dvd Calendar'!$E$322:$CZ$322,'Dvd Calendar'!$E$321:$CZ$321,"&gt;"&amp;F$12,'Dvd Calendar'!$E$321:$CZ$321,"&lt;="&amp;F$13)/AS51!$B$3,"")))</f>
        <v/>
      </c>
      <c r="G173" s="113">
        <f>IF(G$13="","",IF($B173="","",IFERROR($C173*$D173*SUMIFS('Dvd Calendar'!$E$322:$CZ$322,'Dvd Calendar'!$E$321:$CZ$321,"&gt;"&amp;G$12,'Dvd Calendar'!$E$321:$CZ$321,"&lt;="&amp;G$13)/AS51!$B$3,"")))</f>
        <v/>
      </c>
      <c r="H173" s="113">
        <f>IF(H$13="","",IF($B173="","",IFERROR($C173*$D173*SUMIFS('Dvd Calendar'!$E$322:$CZ$322,'Dvd Calendar'!$E$321:$CZ$321,"&gt;"&amp;H$12,'Dvd Calendar'!$E$321:$CZ$321,"&lt;="&amp;H$13)/AS51!$B$3,"")))</f>
        <v/>
      </c>
      <c r="I173" s="113">
        <f>IF(I$13="","",IF($B173="","",IFERROR($C173*$D173*SUMIFS('Dvd Calendar'!$E$322:$CZ$322,'Dvd Calendar'!$E$321:$CZ$321,"&gt;"&amp;I$12,'Dvd Calendar'!$E$321:$CZ$321,"&lt;="&amp;I$13)/AS51!$B$3,"")))</f>
        <v/>
      </c>
      <c r="J173" s="113">
        <f>IF(J$13="","",IF($B173="","",IFERROR($C173*$D173*SUMIFS('Dvd Calendar'!$E$322:$CZ$322,'Dvd Calendar'!$E$321:$CZ$321,"&gt;"&amp;J$12,'Dvd Calendar'!$E$321:$CZ$321,"&lt;="&amp;J$13)/AS51!$B$3,"")))</f>
        <v/>
      </c>
      <c r="K173" s="113">
        <f>IF(K$13="","",IF($B173="","",IFERROR($C173*$D173*SUMIFS('Dvd Calendar'!$E$322:$CZ$322,'Dvd Calendar'!$E$321:$CZ$321,"&gt;"&amp;K$12,'Dvd Calendar'!$E$321:$CZ$321,"&lt;="&amp;K$13)/AS51!$B$3,"")))</f>
        <v/>
      </c>
      <c r="L173" s="113">
        <f>IF(L$13="","",IF($B173="","",IFERROR($C173*$D173*SUMIFS('Dvd Calendar'!$E$322:$CZ$322,'Dvd Calendar'!$E$321:$CZ$321,"&gt;"&amp;L$12,'Dvd Calendar'!$E$321:$CZ$321,"&lt;="&amp;L$13)/AS51!$B$3,"")))</f>
        <v/>
      </c>
      <c r="M173" s="113">
        <f>IF(M$13="","",IF($B173="","",IFERROR($C173*$D173*SUMIFS('Dvd Calendar'!$E$322:$CZ$322,'Dvd Calendar'!$E$321:$CZ$321,"&gt;"&amp;M$12,'Dvd Calendar'!$E$321:$CZ$321,"&lt;="&amp;M$13)/AS51!$B$3,"")))</f>
        <v/>
      </c>
      <c r="N173" s="113">
        <f>IF(N$13="","",IF($B173="","",IFERROR($C173*$D173*SUMIFS('Dvd Calendar'!$E$322:$CZ$322,'Dvd Calendar'!$E$321:$CZ$321,"&gt;"&amp;N$12,'Dvd Calendar'!$E$321:$CZ$321,"&lt;="&amp;N$13)/AS51!$B$3,"")))</f>
        <v/>
      </c>
      <c r="O173" s="113">
        <f>IF(O$13="","",IF($B173="","",IFERROR($C173*$D173*SUMIFS('Dvd Calendar'!$E$322:$CZ$322,'Dvd Calendar'!$E$321:$CZ$321,"&gt;"&amp;O$12,'Dvd Calendar'!$E$321:$CZ$321,"&lt;="&amp;O$13)/AS51!$B$3,"")))</f>
        <v/>
      </c>
      <c r="P173" s="113">
        <f>IF(P$13="","",IF($B173="","",IFERROR($C173*$D173*SUMIFS('Dvd Calendar'!$E$322:$CZ$322,'Dvd Calendar'!$E$321:$CZ$321,"&gt;"&amp;P$12,'Dvd Calendar'!$E$321:$CZ$321,"&lt;="&amp;P$13)/AS51!$B$3,"")))</f>
        <v/>
      </c>
      <c r="Q173" s="113">
        <f>IF(Q$13="","",IF($B173="","",IFERROR($C173*$D173*SUMIFS('Dvd Calendar'!$E$322:$CZ$322,'Dvd Calendar'!$E$321:$CZ$321,"&gt;"&amp;Q$12,'Dvd Calendar'!$E$321:$CZ$321,"&lt;="&amp;Q$13)/AS51!$B$3,"")))</f>
        <v/>
      </c>
      <c r="R173" s="113">
        <f>IF(R$13="","",IF($B173="","",IFERROR($C173*$D173*SUMIFS('Dvd Calendar'!$E$322:$CZ$322,'Dvd Calendar'!$E$321:$CZ$321,"&gt;"&amp;R$12,'Dvd Calendar'!$E$321:$CZ$321,"&lt;="&amp;R$13)/AS51!$B$3,"")))</f>
        <v/>
      </c>
      <c r="S173" s="113">
        <f>IF(S$13="","",IF($B173="","",IFERROR($C173*$D173*SUMIFS('Dvd Calendar'!$E$322:$CZ$322,'Dvd Calendar'!$E$321:$CZ$321,"&gt;"&amp;S$12,'Dvd Calendar'!$E$321:$CZ$321,"&lt;="&amp;S$13)/AS51!$B$3,"")))</f>
        <v/>
      </c>
      <c r="T173" s="113">
        <f>IF(T$13="","",IF($B173="","",IFERROR($C173*$D173*SUMIFS('Dvd Calendar'!$E$322:$CZ$322,'Dvd Calendar'!$E$321:$CZ$321,"&gt;"&amp;T$12,'Dvd Calendar'!$E$321:$CZ$321,"&lt;="&amp;T$13)/AS51!$B$3,"")))</f>
        <v/>
      </c>
      <c r="U173" s="113">
        <f>IF(U$13="","",IF($B173="","",IFERROR($C173*$D173*SUMIFS('Dvd Calendar'!$E$322:$CZ$322,'Dvd Calendar'!$E$321:$CZ$321,"&gt;"&amp;U$12,'Dvd Calendar'!$E$321:$CZ$321,"&lt;="&amp;U$13)/AS51!$B$3,"")))</f>
        <v/>
      </c>
      <c r="W173" s="113">
        <f>IF(W$13="","",IF($B173="","",IFERROR(F173*$E173/100,"")))</f>
        <v/>
      </c>
      <c r="X173" s="113">
        <f>IF(X$13="","",IF($B173="","",IFERROR(G173*$E173/100,"")))</f>
        <v/>
      </c>
      <c r="Y173" s="113">
        <f>IF(Y$13="","",IF($B173="","",IFERROR(H173*$E173/100,"")))</f>
        <v/>
      </c>
      <c r="Z173" s="113">
        <f>IF(Z$13="","",IF($B173="","",IFERROR(I173*$E173/100,"")))</f>
        <v/>
      </c>
      <c r="AA173" s="113">
        <f>IF(AA$13="","",IF($B173="","",IFERROR(J173*$E173/100,"")))</f>
        <v/>
      </c>
      <c r="AB173" s="113">
        <f>IF(AB$13="","",IF($B173="","",IFERROR(K173*$E173/100,"")))</f>
        <v/>
      </c>
      <c r="AC173" s="113">
        <f>IF(AC$13="","",IF($B173="","",IFERROR(L173*$E173/100,"")))</f>
        <v/>
      </c>
      <c r="AD173" s="113">
        <f>IF(AD$13="","",IF($B173="","",IFERROR(M173*$E173/100,"")))</f>
        <v/>
      </c>
      <c r="AE173" s="113">
        <f>IF(AE$13="","",IF($B173="","",IFERROR(N173*$E173/100,"")))</f>
        <v/>
      </c>
      <c r="AF173" s="113">
        <f>IF(AF$13="","",IF($B173="","",IFERROR(O173*$E173/100,"")))</f>
        <v/>
      </c>
      <c r="AG173" s="113">
        <f>IF(AG$13="","",IF($B173="","",IFERROR(P173*$E173/100,"")))</f>
        <v/>
      </c>
      <c r="AH173" s="113">
        <f>IF(AH$13="","",IF($B173="","",IFERROR(Q173*$E173/100,"")))</f>
        <v/>
      </c>
      <c r="AI173" s="113">
        <f>IF(AI$13="","",IF($B173="","",IFERROR(R173*$E173/100,"")))</f>
        <v/>
      </c>
      <c r="AJ173" s="113">
        <f>IF(AJ$13="","",IF($B173="","",IFERROR(S173*$E173/100,"")))</f>
        <v/>
      </c>
      <c r="AK173" s="113">
        <f>IF(AK$13="","",IF($B173="","",IFERROR(T173*$E173/100,"")))</f>
        <v/>
      </c>
      <c r="AL173" s="113">
        <f>IF(AL$13="","",IF($B173="","",IFERROR(U173*$E173/100,"")))</f>
        <v/>
      </c>
    </row>
    <row r="174">
      <c r="B174" s="5">
        <f>IF(AS51!$C$164="","",AS51!$C$164)</f>
        <v/>
      </c>
      <c r="C174" s="86">
        <f>IF(AS51!$B$164="","",AS51!$B$164)</f>
        <v/>
      </c>
      <c r="D174" s="111">
        <f>IFERROR(AS51!$Q$164,1)</f>
        <v/>
      </c>
      <c r="E174" s="112">
        <f>IF($B174="","",IF(ISNUMBER(AS51!$I$164),AS51!$I$164,'Index Summary'!$C$7))</f>
        <v/>
      </c>
      <c r="F174" s="113">
        <f>IF(F$13="","",IF($B174="","",IFERROR($C174*$D174*SUMIFS('Dvd Calendar'!$E$324:$CZ$324,'Dvd Calendar'!$E$323:$CZ$323,"&gt;"&amp;F$12,'Dvd Calendar'!$E$323:$CZ$323,"&lt;="&amp;F$13)/AS51!$B$3,"")))</f>
        <v/>
      </c>
      <c r="G174" s="113">
        <f>IF(G$13="","",IF($B174="","",IFERROR($C174*$D174*SUMIFS('Dvd Calendar'!$E$324:$CZ$324,'Dvd Calendar'!$E$323:$CZ$323,"&gt;"&amp;G$12,'Dvd Calendar'!$E$323:$CZ$323,"&lt;="&amp;G$13)/AS51!$B$3,"")))</f>
        <v/>
      </c>
      <c r="H174" s="113">
        <f>IF(H$13="","",IF($B174="","",IFERROR($C174*$D174*SUMIFS('Dvd Calendar'!$E$324:$CZ$324,'Dvd Calendar'!$E$323:$CZ$323,"&gt;"&amp;H$12,'Dvd Calendar'!$E$323:$CZ$323,"&lt;="&amp;H$13)/AS51!$B$3,"")))</f>
        <v/>
      </c>
      <c r="I174" s="113">
        <f>IF(I$13="","",IF($B174="","",IFERROR($C174*$D174*SUMIFS('Dvd Calendar'!$E$324:$CZ$324,'Dvd Calendar'!$E$323:$CZ$323,"&gt;"&amp;I$12,'Dvd Calendar'!$E$323:$CZ$323,"&lt;="&amp;I$13)/AS51!$B$3,"")))</f>
        <v/>
      </c>
      <c r="J174" s="113">
        <f>IF(J$13="","",IF($B174="","",IFERROR($C174*$D174*SUMIFS('Dvd Calendar'!$E$324:$CZ$324,'Dvd Calendar'!$E$323:$CZ$323,"&gt;"&amp;J$12,'Dvd Calendar'!$E$323:$CZ$323,"&lt;="&amp;J$13)/AS51!$B$3,"")))</f>
        <v/>
      </c>
      <c r="K174" s="113">
        <f>IF(K$13="","",IF($B174="","",IFERROR($C174*$D174*SUMIFS('Dvd Calendar'!$E$324:$CZ$324,'Dvd Calendar'!$E$323:$CZ$323,"&gt;"&amp;K$12,'Dvd Calendar'!$E$323:$CZ$323,"&lt;="&amp;K$13)/AS51!$B$3,"")))</f>
        <v/>
      </c>
      <c r="L174" s="113">
        <f>IF(L$13="","",IF($B174="","",IFERROR($C174*$D174*SUMIFS('Dvd Calendar'!$E$324:$CZ$324,'Dvd Calendar'!$E$323:$CZ$323,"&gt;"&amp;L$12,'Dvd Calendar'!$E$323:$CZ$323,"&lt;="&amp;L$13)/AS51!$B$3,"")))</f>
        <v/>
      </c>
      <c r="M174" s="113">
        <f>IF(M$13="","",IF($B174="","",IFERROR($C174*$D174*SUMIFS('Dvd Calendar'!$E$324:$CZ$324,'Dvd Calendar'!$E$323:$CZ$323,"&gt;"&amp;M$12,'Dvd Calendar'!$E$323:$CZ$323,"&lt;="&amp;M$13)/AS51!$B$3,"")))</f>
        <v/>
      </c>
      <c r="N174" s="113">
        <f>IF(N$13="","",IF($B174="","",IFERROR($C174*$D174*SUMIFS('Dvd Calendar'!$E$324:$CZ$324,'Dvd Calendar'!$E$323:$CZ$323,"&gt;"&amp;N$12,'Dvd Calendar'!$E$323:$CZ$323,"&lt;="&amp;N$13)/AS51!$B$3,"")))</f>
        <v/>
      </c>
      <c r="O174" s="113">
        <f>IF(O$13="","",IF($B174="","",IFERROR($C174*$D174*SUMIFS('Dvd Calendar'!$E$324:$CZ$324,'Dvd Calendar'!$E$323:$CZ$323,"&gt;"&amp;O$12,'Dvd Calendar'!$E$323:$CZ$323,"&lt;="&amp;O$13)/AS51!$B$3,"")))</f>
        <v/>
      </c>
      <c r="P174" s="113">
        <f>IF(P$13="","",IF($B174="","",IFERROR($C174*$D174*SUMIFS('Dvd Calendar'!$E$324:$CZ$324,'Dvd Calendar'!$E$323:$CZ$323,"&gt;"&amp;P$12,'Dvd Calendar'!$E$323:$CZ$323,"&lt;="&amp;P$13)/AS51!$B$3,"")))</f>
        <v/>
      </c>
      <c r="Q174" s="113">
        <f>IF(Q$13="","",IF($B174="","",IFERROR($C174*$D174*SUMIFS('Dvd Calendar'!$E$324:$CZ$324,'Dvd Calendar'!$E$323:$CZ$323,"&gt;"&amp;Q$12,'Dvd Calendar'!$E$323:$CZ$323,"&lt;="&amp;Q$13)/AS51!$B$3,"")))</f>
        <v/>
      </c>
      <c r="R174" s="113">
        <f>IF(R$13="","",IF($B174="","",IFERROR($C174*$D174*SUMIFS('Dvd Calendar'!$E$324:$CZ$324,'Dvd Calendar'!$E$323:$CZ$323,"&gt;"&amp;R$12,'Dvd Calendar'!$E$323:$CZ$323,"&lt;="&amp;R$13)/AS51!$B$3,"")))</f>
        <v/>
      </c>
      <c r="S174" s="113">
        <f>IF(S$13="","",IF($B174="","",IFERROR($C174*$D174*SUMIFS('Dvd Calendar'!$E$324:$CZ$324,'Dvd Calendar'!$E$323:$CZ$323,"&gt;"&amp;S$12,'Dvd Calendar'!$E$323:$CZ$323,"&lt;="&amp;S$13)/AS51!$B$3,"")))</f>
        <v/>
      </c>
      <c r="T174" s="113">
        <f>IF(T$13="","",IF($B174="","",IFERROR($C174*$D174*SUMIFS('Dvd Calendar'!$E$324:$CZ$324,'Dvd Calendar'!$E$323:$CZ$323,"&gt;"&amp;T$12,'Dvd Calendar'!$E$323:$CZ$323,"&lt;="&amp;T$13)/AS51!$B$3,"")))</f>
        <v/>
      </c>
      <c r="U174" s="113">
        <f>IF(U$13="","",IF($B174="","",IFERROR($C174*$D174*SUMIFS('Dvd Calendar'!$E$324:$CZ$324,'Dvd Calendar'!$E$323:$CZ$323,"&gt;"&amp;U$12,'Dvd Calendar'!$E$323:$CZ$323,"&lt;="&amp;U$13)/AS51!$B$3,"")))</f>
        <v/>
      </c>
      <c r="W174" s="113">
        <f>IF(W$13="","",IF($B174="","",IFERROR(F174*$E174/100,"")))</f>
        <v/>
      </c>
      <c r="X174" s="113">
        <f>IF(X$13="","",IF($B174="","",IFERROR(G174*$E174/100,"")))</f>
        <v/>
      </c>
      <c r="Y174" s="113">
        <f>IF(Y$13="","",IF($B174="","",IFERROR(H174*$E174/100,"")))</f>
        <v/>
      </c>
      <c r="Z174" s="113">
        <f>IF(Z$13="","",IF($B174="","",IFERROR(I174*$E174/100,"")))</f>
        <v/>
      </c>
      <c r="AA174" s="113">
        <f>IF(AA$13="","",IF($B174="","",IFERROR(J174*$E174/100,"")))</f>
        <v/>
      </c>
      <c r="AB174" s="113">
        <f>IF(AB$13="","",IF($B174="","",IFERROR(K174*$E174/100,"")))</f>
        <v/>
      </c>
      <c r="AC174" s="113">
        <f>IF(AC$13="","",IF($B174="","",IFERROR(L174*$E174/100,"")))</f>
        <v/>
      </c>
      <c r="AD174" s="113">
        <f>IF(AD$13="","",IF($B174="","",IFERROR(M174*$E174/100,"")))</f>
        <v/>
      </c>
      <c r="AE174" s="113">
        <f>IF(AE$13="","",IF($B174="","",IFERROR(N174*$E174/100,"")))</f>
        <v/>
      </c>
      <c r="AF174" s="113">
        <f>IF(AF$13="","",IF($B174="","",IFERROR(O174*$E174/100,"")))</f>
        <v/>
      </c>
      <c r="AG174" s="113">
        <f>IF(AG$13="","",IF($B174="","",IFERROR(P174*$E174/100,"")))</f>
        <v/>
      </c>
      <c r="AH174" s="113">
        <f>IF(AH$13="","",IF($B174="","",IFERROR(Q174*$E174/100,"")))</f>
        <v/>
      </c>
      <c r="AI174" s="113">
        <f>IF(AI$13="","",IF($B174="","",IFERROR(R174*$E174/100,"")))</f>
        <v/>
      </c>
      <c r="AJ174" s="113">
        <f>IF(AJ$13="","",IF($B174="","",IFERROR(S174*$E174/100,"")))</f>
        <v/>
      </c>
      <c r="AK174" s="113">
        <f>IF(AK$13="","",IF($B174="","",IFERROR(T174*$E174/100,"")))</f>
        <v/>
      </c>
      <c r="AL174" s="113">
        <f>IF(AL$13="","",IF($B174="","",IFERROR(U174*$E174/100,"")))</f>
        <v/>
      </c>
    </row>
    <row r="175">
      <c r="B175" s="5">
        <f>IF(AS51!$C$165="","",AS51!$C$165)</f>
        <v/>
      </c>
      <c r="C175" s="86">
        <f>IF(AS51!$B$165="","",AS51!$B$165)</f>
        <v/>
      </c>
      <c r="D175" s="111">
        <f>IFERROR(AS51!$Q$165,1)</f>
        <v/>
      </c>
      <c r="E175" s="112">
        <f>IF($B175="","",IF(ISNUMBER(AS51!$I$165),AS51!$I$165,'Index Summary'!$C$7))</f>
        <v/>
      </c>
      <c r="F175" s="113">
        <f>IF(F$13="","",IF($B175="","",IFERROR($C175*$D175*SUMIFS('Dvd Calendar'!$E$326:$CZ$326,'Dvd Calendar'!$E$325:$CZ$325,"&gt;"&amp;F$12,'Dvd Calendar'!$E$325:$CZ$325,"&lt;="&amp;F$13)/AS51!$B$3,"")))</f>
        <v/>
      </c>
      <c r="G175" s="113">
        <f>IF(G$13="","",IF($B175="","",IFERROR($C175*$D175*SUMIFS('Dvd Calendar'!$E$326:$CZ$326,'Dvd Calendar'!$E$325:$CZ$325,"&gt;"&amp;G$12,'Dvd Calendar'!$E$325:$CZ$325,"&lt;="&amp;G$13)/AS51!$B$3,"")))</f>
        <v/>
      </c>
      <c r="H175" s="113">
        <f>IF(H$13="","",IF($B175="","",IFERROR($C175*$D175*SUMIFS('Dvd Calendar'!$E$326:$CZ$326,'Dvd Calendar'!$E$325:$CZ$325,"&gt;"&amp;H$12,'Dvd Calendar'!$E$325:$CZ$325,"&lt;="&amp;H$13)/AS51!$B$3,"")))</f>
        <v/>
      </c>
      <c r="I175" s="113">
        <f>IF(I$13="","",IF($B175="","",IFERROR($C175*$D175*SUMIFS('Dvd Calendar'!$E$326:$CZ$326,'Dvd Calendar'!$E$325:$CZ$325,"&gt;"&amp;I$12,'Dvd Calendar'!$E$325:$CZ$325,"&lt;="&amp;I$13)/AS51!$B$3,"")))</f>
        <v/>
      </c>
      <c r="J175" s="113">
        <f>IF(J$13="","",IF($B175="","",IFERROR($C175*$D175*SUMIFS('Dvd Calendar'!$E$326:$CZ$326,'Dvd Calendar'!$E$325:$CZ$325,"&gt;"&amp;J$12,'Dvd Calendar'!$E$325:$CZ$325,"&lt;="&amp;J$13)/AS51!$B$3,"")))</f>
        <v/>
      </c>
      <c r="K175" s="113">
        <f>IF(K$13="","",IF($B175="","",IFERROR($C175*$D175*SUMIFS('Dvd Calendar'!$E$326:$CZ$326,'Dvd Calendar'!$E$325:$CZ$325,"&gt;"&amp;K$12,'Dvd Calendar'!$E$325:$CZ$325,"&lt;="&amp;K$13)/AS51!$B$3,"")))</f>
        <v/>
      </c>
      <c r="L175" s="113">
        <f>IF(L$13="","",IF($B175="","",IFERROR($C175*$D175*SUMIFS('Dvd Calendar'!$E$326:$CZ$326,'Dvd Calendar'!$E$325:$CZ$325,"&gt;"&amp;L$12,'Dvd Calendar'!$E$325:$CZ$325,"&lt;="&amp;L$13)/AS51!$B$3,"")))</f>
        <v/>
      </c>
      <c r="M175" s="113">
        <f>IF(M$13="","",IF($B175="","",IFERROR($C175*$D175*SUMIFS('Dvd Calendar'!$E$326:$CZ$326,'Dvd Calendar'!$E$325:$CZ$325,"&gt;"&amp;M$12,'Dvd Calendar'!$E$325:$CZ$325,"&lt;="&amp;M$13)/AS51!$B$3,"")))</f>
        <v/>
      </c>
      <c r="N175" s="113">
        <f>IF(N$13="","",IF($B175="","",IFERROR($C175*$D175*SUMIFS('Dvd Calendar'!$E$326:$CZ$326,'Dvd Calendar'!$E$325:$CZ$325,"&gt;"&amp;N$12,'Dvd Calendar'!$E$325:$CZ$325,"&lt;="&amp;N$13)/AS51!$B$3,"")))</f>
        <v/>
      </c>
      <c r="O175" s="113">
        <f>IF(O$13="","",IF($B175="","",IFERROR($C175*$D175*SUMIFS('Dvd Calendar'!$E$326:$CZ$326,'Dvd Calendar'!$E$325:$CZ$325,"&gt;"&amp;O$12,'Dvd Calendar'!$E$325:$CZ$325,"&lt;="&amp;O$13)/AS51!$B$3,"")))</f>
        <v/>
      </c>
      <c r="P175" s="113">
        <f>IF(P$13="","",IF($B175="","",IFERROR($C175*$D175*SUMIFS('Dvd Calendar'!$E$326:$CZ$326,'Dvd Calendar'!$E$325:$CZ$325,"&gt;"&amp;P$12,'Dvd Calendar'!$E$325:$CZ$325,"&lt;="&amp;P$13)/AS51!$B$3,"")))</f>
        <v/>
      </c>
      <c r="Q175" s="113">
        <f>IF(Q$13="","",IF($B175="","",IFERROR($C175*$D175*SUMIFS('Dvd Calendar'!$E$326:$CZ$326,'Dvd Calendar'!$E$325:$CZ$325,"&gt;"&amp;Q$12,'Dvd Calendar'!$E$325:$CZ$325,"&lt;="&amp;Q$13)/AS51!$B$3,"")))</f>
        <v/>
      </c>
      <c r="R175" s="113">
        <f>IF(R$13="","",IF($B175="","",IFERROR($C175*$D175*SUMIFS('Dvd Calendar'!$E$326:$CZ$326,'Dvd Calendar'!$E$325:$CZ$325,"&gt;"&amp;R$12,'Dvd Calendar'!$E$325:$CZ$325,"&lt;="&amp;R$13)/AS51!$B$3,"")))</f>
        <v/>
      </c>
      <c r="S175" s="113">
        <f>IF(S$13="","",IF($B175="","",IFERROR($C175*$D175*SUMIFS('Dvd Calendar'!$E$326:$CZ$326,'Dvd Calendar'!$E$325:$CZ$325,"&gt;"&amp;S$12,'Dvd Calendar'!$E$325:$CZ$325,"&lt;="&amp;S$13)/AS51!$B$3,"")))</f>
        <v/>
      </c>
      <c r="T175" s="113">
        <f>IF(T$13="","",IF($B175="","",IFERROR($C175*$D175*SUMIFS('Dvd Calendar'!$E$326:$CZ$326,'Dvd Calendar'!$E$325:$CZ$325,"&gt;"&amp;T$12,'Dvd Calendar'!$E$325:$CZ$325,"&lt;="&amp;T$13)/AS51!$B$3,"")))</f>
        <v/>
      </c>
      <c r="U175" s="113">
        <f>IF(U$13="","",IF($B175="","",IFERROR($C175*$D175*SUMIFS('Dvd Calendar'!$E$326:$CZ$326,'Dvd Calendar'!$E$325:$CZ$325,"&gt;"&amp;U$12,'Dvd Calendar'!$E$325:$CZ$325,"&lt;="&amp;U$13)/AS51!$B$3,"")))</f>
        <v/>
      </c>
      <c r="W175" s="113">
        <f>IF(W$13="","",IF($B175="","",IFERROR(F175*$E175/100,"")))</f>
        <v/>
      </c>
      <c r="X175" s="113">
        <f>IF(X$13="","",IF($B175="","",IFERROR(G175*$E175/100,"")))</f>
        <v/>
      </c>
      <c r="Y175" s="113">
        <f>IF(Y$13="","",IF($B175="","",IFERROR(H175*$E175/100,"")))</f>
        <v/>
      </c>
      <c r="Z175" s="113">
        <f>IF(Z$13="","",IF($B175="","",IFERROR(I175*$E175/100,"")))</f>
        <v/>
      </c>
      <c r="AA175" s="113">
        <f>IF(AA$13="","",IF($B175="","",IFERROR(J175*$E175/100,"")))</f>
        <v/>
      </c>
      <c r="AB175" s="113">
        <f>IF(AB$13="","",IF($B175="","",IFERROR(K175*$E175/100,"")))</f>
        <v/>
      </c>
      <c r="AC175" s="113">
        <f>IF(AC$13="","",IF($B175="","",IFERROR(L175*$E175/100,"")))</f>
        <v/>
      </c>
      <c r="AD175" s="113">
        <f>IF(AD$13="","",IF($B175="","",IFERROR(M175*$E175/100,"")))</f>
        <v/>
      </c>
      <c r="AE175" s="113">
        <f>IF(AE$13="","",IF($B175="","",IFERROR(N175*$E175/100,"")))</f>
        <v/>
      </c>
      <c r="AF175" s="113">
        <f>IF(AF$13="","",IF($B175="","",IFERROR(O175*$E175/100,"")))</f>
        <v/>
      </c>
      <c r="AG175" s="113">
        <f>IF(AG$13="","",IF($B175="","",IFERROR(P175*$E175/100,"")))</f>
        <v/>
      </c>
      <c r="AH175" s="113">
        <f>IF(AH$13="","",IF($B175="","",IFERROR(Q175*$E175/100,"")))</f>
        <v/>
      </c>
      <c r="AI175" s="113">
        <f>IF(AI$13="","",IF($B175="","",IFERROR(R175*$E175/100,"")))</f>
        <v/>
      </c>
      <c r="AJ175" s="113">
        <f>IF(AJ$13="","",IF($B175="","",IFERROR(S175*$E175/100,"")))</f>
        <v/>
      </c>
      <c r="AK175" s="113">
        <f>IF(AK$13="","",IF($B175="","",IFERROR(T175*$E175/100,"")))</f>
        <v/>
      </c>
      <c r="AL175" s="113">
        <f>IF(AL$13="","",IF($B175="","",IFERROR(U175*$E175/100,"")))</f>
        <v/>
      </c>
    </row>
    <row r="176">
      <c r="B176" s="5">
        <f>IF(AS51!$C$166="","",AS51!$C$166)</f>
        <v/>
      </c>
      <c r="C176" s="86">
        <f>IF(AS51!$B$166="","",AS51!$B$166)</f>
        <v/>
      </c>
      <c r="D176" s="111">
        <f>IFERROR(AS51!$Q$166,1)</f>
        <v/>
      </c>
      <c r="E176" s="112">
        <f>IF($B176="","",IF(ISNUMBER(AS51!$I$166),AS51!$I$166,'Index Summary'!$C$7))</f>
        <v/>
      </c>
      <c r="F176" s="113">
        <f>IF(F$13="","",IF($B176="","",IFERROR($C176*$D176*SUMIFS('Dvd Calendar'!$E$328:$CZ$328,'Dvd Calendar'!$E$327:$CZ$327,"&gt;"&amp;F$12,'Dvd Calendar'!$E$327:$CZ$327,"&lt;="&amp;F$13)/AS51!$B$3,"")))</f>
        <v/>
      </c>
      <c r="G176" s="113">
        <f>IF(G$13="","",IF($B176="","",IFERROR($C176*$D176*SUMIFS('Dvd Calendar'!$E$328:$CZ$328,'Dvd Calendar'!$E$327:$CZ$327,"&gt;"&amp;G$12,'Dvd Calendar'!$E$327:$CZ$327,"&lt;="&amp;G$13)/AS51!$B$3,"")))</f>
        <v/>
      </c>
      <c r="H176" s="113">
        <f>IF(H$13="","",IF($B176="","",IFERROR($C176*$D176*SUMIFS('Dvd Calendar'!$E$328:$CZ$328,'Dvd Calendar'!$E$327:$CZ$327,"&gt;"&amp;H$12,'Dvd Calendar'!$E$327:$CZ$327,"&lt;="&amp;H$13)/AS51!$B$3,"")))</f>
        <v/>
      </c>
      <c r="I176" s="113">
        <f>IF(I$13="","",IF($B176="","",IFERROR($C176*$D176*SUMIFS('Dvd Calendar'!$E$328:$CZ$328,'Dvd Calendar'!$E$327:$CZ$327,"&gt;"&amp;I$12,'Dvd Calendar'!$E$327:$CZ$327,"&lt;="&amp;I$13)/AS51!$B$3,"")))</f>
        <v/>
      </c>
      <c r="J176" s="113">
        <f>IF(J$13="","",IF($B176="","",IFERROR($C176*$D176*SUMIFS('Dvd Calendar'!$E$328:$CZ$328,'Dvd Calendar'!$E$327:$CZ$327,"&gt;"&amp;J$12,'Dvd Calendar'!$E$327:$CZ$327,"&lt;="&amp;J$13)/AS51!$B$3,"")))</f>
        <v/>
      </c>
      <c r="K176" s="113">
        <f>IF(K$13="","",IF($B176="","",IFERROR($C176*$D176*SUMIFS('Dvd Calendar'!$E$328:$CZ$328,'Dvd Calendar'!$E$327:$CZ$327,"&gt;"&amp;K$12,'Dvd Calendar'!$E$327:$CZ$327,"&lt;="&amp;K$13)/AS51!$B$3,"")))</f>
        <v/>
      </c>
      <c r="L176" s="113">
        <f>IF(L$13="","",IF($B176="","",IFERROR($C176*$D176*SUMIFS('Dvd Calendar'!$E$328:$CZ$328,'Dvd Calendar'!$E$327:$CZ$327,"&gt;"&amp;L$12,'Dvd Calendar'!$E$327:$CZ$327,"&lt;="&amp;L$13)/AS51!$B$3,"")))</f>
        <v/>
      </c>
      <c r="M176" s="113">
        <f>IF(M$13="","",IF($B176="","",IFERROR($C176*$D176*SUMIFS('Dvd Calendar'!$E$328:$CZ$328,'Dvd Calendar'!$E$327:$CZ$327,"&gt;"&amp;M$12,'Dvd Calendar'!$E$327:$CZ$327,"&lt;="&amp;M$13)/AS51!$B$3,"")))</f>
        <v/>
      </c>
      <c r="N176" s="113">
        <f>IF(N$13="","",IF($B176="","",IFERROR($C176*$D176*SUMIFS('Dvd Calendar'!$E$328:$CZ$328,'Dvd Calendar'!$E$327:$CZ$327,"&gt;"&amp;N$12,'Dvd Calendar'!$E$327:$CZ$327,"&lt;="&amp;N$13)/AS51!$B$3,"")))</f>
        <v/>
      </c>
      <c r="O176" s="113">
        <f>IF(O$13="","",IF($B176="","",IFERROR($C176*$D176*SUMIFS('Dvd Calendar'!$E$328:$CZ$328,'Dvd Calendar'!$E$327:$CZ$327,"&gt;"&amp;O$12,'Dvd Calendar'!$E$327:$CZ$327,"&lt;="&amp;O$13)/AS51!$B$3,"")))</f>
        <v/>
      </c>
      <c r="P176" s="113">
        <f>IF(P$13="","",IF($B176="","",IFERROR($C176*$D176*SUMIFS('Dvd Calendar'!$E$328:$CZ$328,'Dvd Calendar'!$E$327:$CZ$327,"&gt;"&amp;P$12,'Dvd Calendar'!$E$327:$CZ$327,"&lt;="&amp;P$13)/AS51!$B$3,"")))</f>
        <v/>
      </c>
      <c r="Q176" s="113">
        <f>IF(Q$13="","",IF($B176="","",IFERROR($C176*$D176*SUMIFS('Dvd Calendar'!$E$328:$CZ$328,'Dvd Calendar'!$E$327:$CZ$327,"&gt;"&amp;Q$12,'Dvd Calendar'!$E$327:$CZ$327,"&lt;="&amp;Q$13)/AS51!$B$3,"")))</f>
        <v/>
      </c>
      <c r="R176" s="113">
        <f>IF(R$13="","",IF($B176="","",IFERROR($C176*$D176*SUMIFS('Dvd Calendar'!$E$328:$CZ$328,'Dvd Calendar'!$E$327:$CZ$327,"&gt;"&amp;R$12,'Dvd Calendar'!$E$327:$CZ$327,"&lt;="&amp;R$13)/AS51!$B$3,"")))</f>
        <v/>
      </c>
      <c r="S176" s="113">
        <f>IF(S$13="","",IF($B176="","",IFERROR($C176*$D176*SUMIFS('Dvd Calendar'!$E$328:$CZ$328,'Dvd Calendar'!$E$327:$CZ$327,"&gt;"&amp;S$12,'Dvd Calendar'!$E$327:$CZ$327,"&lt;="&amp;S$13)/AS51!$B$3,"")))</f>
        <v/>
      </c>
      <c r="T176" s="113">
        <f>IF(T$13="","",IF($B176="","",IFERROR($C176*$D176*SUMIFS('Dvd Calendar'!$E$328:$CZ$328,'Dvd Calendar'!$E$327:$CZ$327,"&gt;"&amp;T$12,'Dvd Calendar'!$E$327:$CZ$327,"&lt;="&amp;T$13)/AS51!$B$3,"")))</f>
        <v/>
      </c>
      <c r="U176" s="113">
        <f>IF(U$13="","",IF($B176="","",IFERROR($C176*$D176*SUMIFS('Dvd Calendar'!$E$328:$CZ$328,'Dvd Calendar'!$E$327:$CZ$327,"&gt;"&amp;U$12,'Dvd Calendar'!$E$327:$CZ$327,"&lt;="&amp;U$13)/AS51!$B$3,"")))</f>
        <v/>
      </c>
      <c r="W176" s="113">
        <f>IF(W$13="","",IF($B176="","",IFERROR(F176*$E176/100,"")))</f>
        <v/>
      </c>
      <c r="X176" s="113">
        <f>IF(X$13="","",IF($B176="","",IFERROR(G176*$E176/100,"")))</f>
        <v/>
      </c>
      <c r="Y176" s="113">
        <f>IF(Y$13="","",IF($B176="","",IFERROR(H176*$E176/100,"")))</f>
        <v/>
      </c>
      <c r="Z176" s="113">
        <f>IF(Z$13="","",IF($B176="","",IFERROR(I176*$E176/100,"")))</f>
        <v/>
      </c>
      <c r="AA176" s="113">
        <f>IF(AA$13="","",IF($B176="","",IFERROR(J176*$E176/100,"")))</f>
        <v/>
      </c>
      <c r="AB176" s="113">
        <f>IF(AB$13="","",IF($B176="","",IFERROR(K176*$E176/100,"")))</f>
        <v/>
      </c>
      <c r="AC176" s="113">
        <f>IF(AC$13="","",IF($B176="","",IFERROR(L176*$E176/100,"")))</f>
        <v/>
      </c>
      <c r="AD176" s="113">
        <f>IF(AD$13="","",IF($B176="","",IFERROR(M176*$E176/100,"")))</f>
        <v/>
      </c>
      <c r="AE176" s="113">
        <f>IF(AE$13="","",IF($B176="","",IFERROR(N176*$E176/100,"")))</f>
        <v/>
      </c>
      <c r="AF176" s="113">
        <f>IF(AF$13="","",IF($B176="","",IFERROR(O176*$E176/100,"")))</f>
        <v/>
      </c>
      <c r="AG176" s="113">
        <f>IF(AG$13="","",IF($B176="","",IFERROR(P176*$E176/100,"")))</f>
        <v/>
      </c>
      <c r="AH176" s="113">
        <f>IF(AH$13="","",IF($B176="","",IFERROR(Q176*$E176/100,"")))</f>
        <v/>
      </c>
      <c r="AI176" s="113">
        <f>IF(AI$13="","",IF($B176="","",IFERROR(R176*$E176/100,"")))</f>
        <v/>
      </c>
      <c r="AJ176" s="113">
        <f>IF(AJ$13="","",IF($B176="","",IFERROR(S176*$E176/100,"")))</f>
        <v/>
      </c>
      <c r="AK176" s="113">
        <f>IF(AK$13="","",IF($B176="","",IFERROR(T176*$E176/100,"")))</f>
        <v/>
      </c>
      <c r="AL176" s="113">
        <f>IF(AL$13="","",IF($B176="","",IFERROR(U176*$E176/100,"")))</f>
        <v/>
      </c>
    </row>
    <row r="177">
      <c r="B177" s="5">
        <f>IF(AS51!$C$167="","",AS51!$C$167)</f>
        <v/>
      </c>
      <c r="C177" s="86">
        <f>IF(AS51!$B$167="","",AS51!$B$167)</f>
        <v/>
      </c>
      <c r="D177" s="111">
        <f>IFERROR(AS51!$Q$167,1)</f>
        <v/>
      </c>
      <c r="E177" s="112">
        <f>IF($B177="","",IF(ISNUMBER(AS51!$I$167),AS51!$I$167,'Index Summary'!$C$7))</f>
        <v/>
      </c>
      <c r="F177" s="113">
        <f>IF(F$13="","",IF($B177="","",IFERROR($C177*$D177*SUMIFS('Dvd Calendar'!$E$330:$CZ$330,'Dvd Calendar'!$E$329:$CZ$329,"&gt;"&amp;F$12,'Dvd Calendar'!$E$329:$CZ$329,"&lt;="&amp;F$13)/AS51!$B$3,"")))</f>
        <v/>
      </c>
      <c r="G177" s="113">
        <f>IF(G$13="","",IF($B177="","",IFERROR($C177*$D177*SUMIFS('Dvd Calendar'!$E$330:$CZ$330,'Dvd Calendar'!$E$329:$CZ$329,"&gt;"&amp;G$12,'Dvd Calendar'!$E$329:$CZ$329,"&lt;="&amp;G$13)/AS51!$B$3,"")))</f>
        <v/>
      </c>
      <c r="H177" s="113">
        <f>IF(H$13="","",IF($B177="","",IFERROR($C177*$D177*SUMIFS('Dvd Calendar'!$E$330:$CZ$330,'Dvd Calendar'!$E$329:$CZ$329,"&gt;"&amp;H$12,'Dvd Calendar'!$E$329:$CZ$329,"&lt;="&amp;H$13)/AS51!$B$3,"")))</f>
        <v/>
      </c>
      <c r="I177" s="113">
        <f>IF(I$13="","",IF($B177="","",IFERROR($C177*$D177*SUMIFS('Dvd Calendar'!$E$330:$CZ$330,'Dvd Calendar'!$E$329:$CZ$329,"&gt;"&amp;I$12,'Dvd Calendar'!$E$329:$CZ$329,"&lt;="&amp;I$13)/AS51!$B$3,"")))</f>
        <v/>
      </c>
      <c r="J177" s="113">
        <f>IF(J$13="","",IF($B177="","",IFERROR($C177*$D177*SUMIFS('Dvd Calendar'!$E$330:$CZ$330,'Dvd Calendar'!$E$329:$CZ$329,"&gt;"&amp;J$12,'Dvd Calendar'!$E$329:$CZ$329,"&lt;="&amp;J$13)/AS51!$B$3,"")))</f>
        <v/>
      </c>
      <c r="K177" s="113">
        <f>IF(K$13="","",IF($B177="","",IFERROR($C177*$D177*SUMIFS('Dvd Calendar'!$E$330:$CZ$330,'Dvd Calendar'!$E$329:$CZ$329,"&gt;"&amp;K$12,'Dvd Calendar'!$E$329:$CZ$329,"&lt;="&amp;K$13)/AS51!$B$3,"")))</f>
        <v/>
      </c>
      <c r="L177" s="113">
        <f>IF(L$13="","",IF($B177="","",IFERROR($C177*$D177*SUMIFS('Dvd Calendar'!$E$330:$CZ$330,'Dvd Calendar'!$E$329:$CZ$329,"&gt;"&amp;L$12,'Dvd Calendar'!$E$329:$CZ$329,"&lt;="&amp;L$13)/AS51!$B$3,"")))</f>
        <v/>
      </c>
      <c r="M177" s="113">
        <f>IF(M$13="","",IF($B177="","",IFERROR($C177*$D177*SUMIFS('Dvd Calendar'!$E$330:$CZ$330,'Dvd Calendar'!$E$329:$CZ$329,"&gt;"&amp;M$12,'Dvd Calendar'!$E$329:$CZ$329,"&lt;="&amp;M$13)/AS51!$B$3,"")))</f>
        <v/>
      </c>
      <c r="N177" s="113">
        <f>IF(N$13="","",IF($B177="","",IFERROR($C177*$D177*SUMIFS('Dvd Calendar'!$E$330:$CZ$330,'Dvd Calendar'!$E$329:$CZ$329,"&gt;"&amp;N$12,'Dvd Calendar'!$E$329:$CZ$329,"&lt;="&amp;N$13)/AS51!$B$3,"")))</f>
        <v/>
      </c>
      <c r="O177" s="113">
        <f>IF(O$13="","",IF($B177="","",IFERROR($C177*$D177*SUMIFS('Dvd Calendar'!$E$330:$CZ$330,'Dvd Calendar'!$E$329:$CZ$329,"&gt;"&amp;O$12,'Dvd Calendar'!$E$329:$CZ$329,"&lt;="&amp;O$13)/AS51!$B$3,"")))</f>
        <v/>
      </c>
      <c r="P177" s="113">
        <f>IF(P$13="","",IF($B177="","",IFERROR($C177*$D177*SUMIFS('Dvd Calendar'!$E$330:$CZ$330,'Dvd Calendar'!$E$329:$CZ$329,"&gt;"&amp;P$12,'Dvd Calendar'!$E$329:$CZ$329,"&lt;="&amp;P$13)/AS51!$B$3,"")))</f>
        <v/>
      </c>
      <c r="Q177" s="113">
        <f>IF(Q$13="","",IF($B177="","",IFERROR($C177*$D177*SUMIFS('Dvd Calendar'!$E$330:$CZ$330,'Dvd Calendar'!$E$329:$CZ$329,"&gt;"&amp;Q$12,'Dvd Calendar'!$E$329:$CZ$329,"&lt;="&amp;Q$13)/AS51!$B$3,"")))</f>
        <v/>
      </c>
      <c r="R177" s="113">
        <f>IF(R$13="","",IF($B177="","",IFERROR($C177*$D177*SUMIFS('Dvd Calendar'!$E$330:$CZ$330,'Dvd Calendar'!$E$329:$CZ$329,"&gt;"&amp;R$12,'Dvd Calendar'!$E$329:$CZ$329,"&lt;="&amp;R$13)/AS51!$B$3,"")))</f>
        <v/>
      </c>
      <c r="S177" s="113">
        <f>IF(S$13="","",IF($B177="","",IFERROR($C177*$D177*SUMIFS('Dvd Calendar'!$E$330:$CZ$330,'Dvd Calendar'!$E$329:$CZ$329,"&gt;"&amp;S$12,'Dvd Calendar'!$E$329:$CZ$329,"&lt;="&amp;S$13)/AS51!$B$3,"")))</f>
        <v/>
      </c>
      <c r="T177" s="113">
        <f>IF(T$13="","",IF($B177="","",IFERROR($C177*$D177*SUMIFS('Dvd Calendar'!$E$330:$CZ$330,'Dvd Calendar'!$E$329:$CZ$329,"&gt;"&amp;T$12,'Dvd Calendar'!$E$329:$CZ$329,"&lt;="&amp;T$13)/AS51!$B$3,"")))</f>
        <v/>
      </c>
      <c r="U177" s="113">
        <f>IF(U$13="","",IF($B177="","",IFERROR($C177*$D177*SUMIFS('Dvd Calendar'!$E$330:$CZ$330,'Dvd Calendar'!$E$329:$CZ$329,"&gt;"&amp;U$12,'Dvd Calendar'!$E$329:$CZ$329,"&lt;="&amp;U$13)/AS51!$B$3,"")))</f>
        <v/>
      </c>
      <c r="W177" s="113">
        <f>IF(W$13="","",IF($B177="","",IFERROR(F177*$E177/100,"")))</f>
        <v/>
      </c>
      <c r="X177" s="113">
        <f>IF(X$13="","",IF($B177="","",IFERROR(G177*$E177/100,"")))</f>
        <v/>
      </c>
      <c r="Y177" s="113">
        <f>IF(Y$13="","",IF($B177="","",IFERROR(H177*$E177/100,"")))</f>
        <v/>
      </c>
      <c r="Z177" s="113">
        <f>IF(Z$13="","",IF($B177="","",IFERROR(I177*$E177/100,"")))</f>
        <v/>
      </c>
      <c r="AA177" s="113">
        <f>IF(AA$13="","",IF($B177="","",IFERROR(J177*$E177/100,"")))</f>
        <v/>
      </c>
      <c r="AB177" s="113">
        <f>IF(AB$13="","",IF($B177="","",IFERROR(K177*$E177/100,"")))</f>
        <v/>
      </c>
      <c r="AC177" s="113">
        <f>IF(AC$13="","",IF($B177="","",IFERROR(L177*$E177/100,"")))</f>
        <v/>
      </c>
      <c r="AD177" s="113">
        <f>IF(AD$13="","",IF($B177="","",IFERROR(M177*$E177/100,"")))</f>
        <v/>
      </c>
      <c r="AE177" s="113">
        <f>IF(AE$13="","",IF($B177="","",IFERROR(N177*$E177/100,"")))</f>
        <v/>
      </c>
      <c r="AF177" s="113">
        <f>IF(AF$13="","",IF($B177="","",IFERROR(O177*$E177/100,"")))</f>
        <v/>
      </c>
      <c r="AG177" s="113">
        <f>IF(AG$13="","",IF($B177="","",IFERROR(P177*$E177/100,"")))</f>
        <v/>
      </c>
      <c r="AH177" s="113">
        <f>IF(AH$13="","",IF($B177="","",IFERROR(Q177*$E177/100,"")))</f>
        <v/>
      </c>
      <c r="AI177" s="113">
        <f>IF(AI$13="","",IF($B177="","",IFERROR(R177*$E177/100,"")))</f>
        <v/>
      </c>
      <c r="AJ177" s="113">
        <f>IF(AJ$13="","",IF($B177="","",IFERROR(S177*$E177/100,"")))</f>
        <v/>
      </c>
      <c r="AK177" s="113">
        <f>IF(AK$13="","",IF($B177="","",IFERROR(T177*$E177/100,"")))</f>
        <v/>
      </c>
      <c r="AL177" s="113">
        <f>IF(AL$13="","",IF($B177="","",IFERROR(U177*$E177/100,"")))</f>
        <v/>
      </c>
    </row>
    <row r="178">
      <c r="B178" s="5">
        <f>IF(AS51!$C$168="","",AS51!$C$168)</f>
        <v/>
      </c>
      <c r="C178" s="86">
        <f>IF(AS51!$B$168="","",AS51!$B$168)</f>
        <v/>
      </c>
      <c r="D178" s="111">
        <f>IFERROR(AS51!$Q$168,1)</f>
        <v/>
      </c>
      <c r="E178" s="112">
        <f>IF($B178="","",IF(ISNUMBER(AS51!$I$168),AS51!$I$168,'Index Summary'!$C$7))</f>
        <v/>
      </c>
      <c r="F178" s="113">
        <f>IF(F$13="","",IF($B178="","",IFERROR($C178*$D178*SUMIFS('Dvd Calendar'!$E$332:$CZ$332,'Dvd Calendar'!$E$331:$CZ$331,"&gt;"&amp;F$12,'Dvd Calendar'!$E$331:$CZ$331,"&lt;="&amp;F$13)/AS51!$B$3,"")))</f>
        <v/>
      </c>
      <c r="G178" s="113">
        <f>IF(G$13="","",IF($B178="","",IFERROR($C178*$D178*SUMIFS('Dvd Calendar'!$E$332:$CZ$332,'Dvd Calendar'!$E$331:$CZ$331,"&gt;"&amp;G$12,'Dvd Calendar'!$E$331:$CZ$331,"&lt;="&amp;G$13)/AS51!$B$3,"")))</f>
        <v/>
      </c>
      <c r="H178" s="113">
        <f>IF(H$13="","",IF($B178="","",IFERROR($C178*$D178*SUMIFS('Dvd Calendar'!$E$332:$CZ$332,'Dvd Calendar'!$E$331:$CZ$331,"&gt;"&amp;H$12,'Dvd Calendar'!$E$331:$CZ$331,"&lt;="&amp;H$13)/AS51!$B$3,"")))</f>
        <v/>
      </c>
      <c r="I178" s="113">
        <f>IF(I$13="","",IF($B178="","",IFERROR($C178*$D178*SUMIFS('Dvd Calendar'!$E$332:$CZ$332,'Dvd Calendar'!$E$331:$CZ$331,"&gt;"&amp;I$12,'Dvd Calendar'!$E$331:$CZ$331,"&lt;="&amp;I$13)/AS51!$B$3,"")))</f>
        <v/>
      </c>
      <c r="J178" s="113">
        <f>IF(J$13="","",IF($B178="","",IFERROR($C178*$D178*SUMIFS('Dvd Calendar'!$E$332:$CZ$332,'Dvd Calendar'!$E$331:$CZ$331,"&gt;"&amp;J$12,'Dvd Calendar'!$E$331:$CZ$331,"&lt;="&amp;J$13)/AS51!$B$3,"")))</f>
        <v/>
      </c>
      <c r="K178" s="113">
        <f>IF(K$13="","",IF($B178="","",IFERROR($C178*$D178*SUMIFS('Dvd Calendar'!$E$332:$CZ$332,'Dvd Calendar'!$E$331:$CZ$331,"&gt;"&amp;K$12,'Dvd Calendar'!$E$331:$CZ$331,"&lt;="&amp;K$13)/AS51!$B$3,"")))</f>
        <v/>
      </c>
      <c r="L178" s="113">
        <f>IF(L$13="","",IF($B178="","",IFERROR($C178*$D178*SUMIFS('Dvd Calendar'!$E$332:$CZ$332,'Dvd Calendar'!$E$331:$CZ$331,"&gt;"&amp;L$12,'Dvd Calendar'!$E$331:$CZ$331,"&lt;="&amp;L$13)/AS51!$B$3,"")))</f>
        <v/>
      </c>
      <c r="M178" s="113">
        <f>IF(M$13="","",IF($B178="","",IFERROR($C178*$D178*SUMIFS('Dvd Calendar'!$E$332:$CZ$332,'Dvd Calendar'!$E$331:$CZ$331,"&gt;"&amp;M$12,'Dvd Calendar'!$E$331:$CZ$331,"&lt;="&amp;M$13)/AS51!$B$3,"")))</f>
        <v/>
      </c>
      <c r="N178" s="113">
        <f>IF(N$13="","",IF($B178="","",IFERROR($C178*$D178*SUMIFS('Dvd Calendar'!$E$332:$CZ$332,'Dvd Calendar'!$E$331:$CZ$331,"&gt;"&amp;N$12,'Dvd Calendar'!$E$331:$CZ$331,"&lt;="&amp;N$13)/AS51!$B$3,"")))</f>
        <v/>
      </c>
      <c r="O178" s="113">
        <f>IF(O$13="","",IF($B178="","",IFERROR($C178*$D178*SUMIFS('Dvd Calendar'!$E$332:$CZ$332,'Dvd Calendar'!$E$331:$CZ$331,"&gt;"&amp;O$12,'Dvd Calendar'!$E$331:$CZ$331,"&lt;="&amp;O$13)/AS51!$B$3,"")))</f>
        <v/>
      </c>
      <c r="P178" s="113">
        <f>IF(P$13="","",IF($B178="","",IFERROR($C178*$D178*SUMIFS('Dvd Calendar'!$E$332:$CZ$332,'Dvd Calendar'!$E$331:$CZ$331,"&gt;"&amp;P$12,'Dvd Calendar'!$E$331:$CZ$331,"&lt;="&amp;P$13)/AS51!$B$3,"")))</f>
        <v/>
      </c>
      <c r="Q178" s="113">
        <f>IF(Q$13="","",IF($B178="","",IFERROR($C178*$D178*SUMIFS('Dvd Calendar'!$E$332:$CZ$332,'Dvd Calendar'!$E$331:$CZ$331,"&gt;"&amp;Q$12,'Dvd Calendar'!$E$331:$CZ$331,"&lt;="&amp;Q$13)/AS51!$B$3,"")))</f>
        <v/>
      </c>
      <c r="R178" s="113">
        <f>IF(R$13="","",IF($B178="","",IFERROR($C178*$D178*SUMIFS('Dvd Calendar'!$E$332:$CZ$332,'Dvd Calendar'!$E$331:$CZ$331,"&gt;"&amp;R$12,'Dvd Calendar'!$E$331:$CZ$331,"&lt;="&amp;R$13)/AS51!$B$3,"")))</f>
        <v/>
      </c>
      <c r="S178" s="113">
        <f>IF(S$13="","",IF($B178="","",IFERROR($C178*$D178*SUMIFS('Dvd Calendar'!$E$332:$CZ$332,'Dvd Calendar'!$E$331:$CZ$331,"&gt;"&amp;S$12,'Dvd Calendar'!$E$331:$CZ$331,"&lt;="&amp;S$13)/AS51!$B$3,"")))</f>
        <v/>
      </c>
      <c r="T178" s="113">
        <f>IF(T$13="","",IF($B178="","",IFERROR($C178*$D178*SUMIFS('Dvd Calendar'!$E$332:$CZ$332,'Dvd Calendar'!$E$331:$CZ$331,"&gt;"&amp;T$12,'Dvd Calendar'!$E$331:$CZ$331,"&lt;="&amp;T$13)/AS51!$B$3,"")))</f>
        <v/>
      </c>
      <c r="U178" s="113">
        <f>IF(U$13="","",IF($B178="","",IFERROR($C178*$D178*SUMIFS('Dvd Calendar'!$E$332:$CZ$332,'Dvd Calendar'!$E$331:$CZ$331,"&gt;"&amp;U$12,'Dvd Calendar'!$E$331:$CZ$331,"&lt;="&amp;U$13)/AS51!$B$3,"")))</f>
        <v/>
      </c>
      <c r="W178" s="113">
        <f>IF(W$13="","",IF($B178="","",IFERROR(F178*$E178/100,"")))</f>
        <v/>
      </c>
      <c r="X178" s="113">
        <f>IF(X$13="","",IF($B178="","",IFERROR(G178*$E178/100,"")))</f>
        <v/>
      </c>
      <c r="Y178" s="113">
        <f>IF(Y$13="","",IF($B178="","",IFERROR(H178*$E178/100,"")))</f>
        <v/>
      </c>
      <c r="Z178" s="113">
        <f>IF(Z$13="","",IF($B178="","",IFERROR(I178*$E178/100,"")))</f>
        <v/>
      </c>
      <c r="AA178" s="113">
        <f>IF(AA$13="","",IF($B178="","",IFERROR(J178*$E178/100,"")))</f>
        <v/>
      </c>
      <c r="AB178" s="113">
        <f>IF(AB$13="","",IF($B178="","",IFERROR(K178*$E178/100,"")))</f>
        <v/>
      </c>
      <c r="AC178" s="113">
        <f>IF(AC$13="","",IF($B178="","",IFERROR(L178*$E178/100,"")))</f>
        <v/>
      </c>
      <c r="AD178" s="113">
        <f>IF(AD$13="","",IF($B178="","",IFERROR(M178*$E178/100,"")))</f>
        <v/>
      </c>
      <c r="AE178" s="113">
        <f>IF(AE$13="","",IF($B178="","",IFERROR(N178*$E178/100,"")))</f>
        <v/>
      </c>
      <c r="AF178" s="113">
        <f>IF(AF$13="","",IF($B178="","",IFERROR(O178*$E178/100,"")))</f>
        <v/>
      </c>
      <c r="AG178" s="113">
        <f>IF(AG$13="","",IF($B178="","",IFERROR(P178*$E178/100,"")))</f>
        <v/>
      </c>
      <c r="AH178" s="113">
        <f>IF(AH$13="","",IF($B178="","",IFERROR(Q178*$E178/100,"")))</f>
        <v/>
      </c>
      <c r="AI178" s="113">
        <f>IF(AI$13="","",IF($B178="","",IFERROR(R178*$E178/100,"")))</f>
        <v/>
      </c>
      <c r="AJ178" s="113">
        <f>IF(AJ$13="","",IF($B178="","",IFERROR(S178*$E178/100,"")))</f>
        <v/>
      </c>
      <c r="AK178" s="113">
        <f>IF(AK$13="","",IF($B178="","",IFERROR(T178*$E178/100,"")))</f>
        <v/>
      </c>
      <c r="AL178" s="113">
        <f>IF(AL$13="","",IF($B178="","",IFERROR(U178*$E178/100,"")))</f>
        <v/>
      </c>
    </row>
    <row r="179">
      <c r="B179" s="5">
        <f>IF(AS51!$C$169="","",AS51!$C$169)</f>
        <v/>
      </c>
      <c r="C179" s="86">
        <f>IF(AS51!$B$169="","",AS51!$B$169)</f>
        <v/>
      </c>
      <c r="D179" s="111">
        <f>IFERROR(AS51!$Q$169,1)</f>
        <v/>
      </c>
      <c r="E179" s="112">
        <f>IF($B179="","",IF(ISNUMBER(AS51!$I$169),AS51!$I$169,'Index Summary'!$C$7))</f>
        <v/>
      </c>
      <c r="F179" s="113">
        <f>IF(F$13="","",IF($B179="","",IFERROR($C179*$D179*SUMIFS('Dvd Calendar'!$E$334:$CZ$334,'Dvd Calendar'!$E$333:$CZ$333,"&gt;"&amp;F$12,'Dvd Calendar'!$E$333:$CZ$333,"&lt;="&amp;F$13)/AS51!$B$3,"")))</f>
        <v/>
      </c>
      <c r="G179" s="113">
        <f>IF(G$13="","",IF($B179="","",IFERROR($C179*$D179*SUMIFS('Dvd Calendar'!$E$334:$CZ$334,'Dvd Calendar'!$E$333:$CZ$333,"&gt;"&amp;G$12,'Dvd Calendar'!$E$333:$CZ$333,"&lt;="&amp;G$13)/AS51!$B$3,"")))</f>
        <v/>
      </c>
      <c r="H179" s="113">
        <f>IF(H$13="","",IF($B179="","",IFERROR($C179*$D179*SUMIFS('Dvd Calendar'!$E$334:$CZ$334,'Dvd Calendar'!$E$333:$CZ$333,"&gt;"&amp;H$12,'Dvd Calendar'!$E$333:$CZ$333,"&lt;="&amp;H$13)/AS51!$B$3,"")))</f>
        <v/>
      </c>
      <c r="I179" s="113">
        <f>IF(I$13="","",IF($B179="","",IFERROR($C179*$D179*SUMIFS('Dvd Calendar'!$E$334:$CZ$334,'Dvd Calendar'!$E$333:$CZ$333,"&gt;"&amp;I$12,'Dvd Calendar'!$E$333:$CZ$333,"&lt;="&amp;I$13)/AS51!$B$3,"")))</f>
        <v/>
      </c>
      <c r="J179" s="113">
        <f>IF(J$13="","",IF($B179="","",IFERROR($C179*$D179*SUMIFS('Dvd Calendar'!$E$334:$CZ$334,'Dvd Calendar'!$E$333:$CZ$333,"&gt;"&amp;J$12,'Dvd Calendar'!$E$333:$CZ$333,"&lt;="&amp;J$13)/AS51!$B$3,"")))</f>
        <v/>
      </c>
      <c r="K179" s="113">
        <f>IF(K$13="","",IF($B179="","",IFERROR($C179*$D179*SUMIFS('Dvd Calendar'!$E$334:$CZ$334,'Dvd Calendar'!$E$333:$CZ$333,"&gt;"&amp;K$12,'Dvd Calendar'!$E$333:$CZ$333,"&lt;="&amp;K$13)/AS51!$B$3,"")))</f>
        <v/>
      </c>
      <c r="L179" s="113">
        <f>IF(L$13="","",IF($B179="","",IFERROR($C179*$D179*SUMIFS('Dvd Calendar'!$E$334:$CZ$334,'Dvd Calendar'!$E$333:$CZ$333,"&gt;"&amp;L$12,'Dvd Calendar'!$E$333:$CZ$333,"&lt;="&amp;L$13)/AS51!$B$3,"")))</f>
        <v/>
      </c>
      <c r="M179" s="113">
        <f>IF(M$13="","",IF($B179="","",IFERROR($C179*$D179*SUMIFS('Dvd Calendar'!$E$334:$CZ$334,'Dvd Calendar'!$E$333:$CZ$333,"&gt;"&amp;M$12,'Dvd Calendar'!$E$333:$CZ$333,"&lt;="&amp;M$13)/AS51!$B$3,"")))</f>
        <v/>
      </c>
      <c r="N179" s="113">
        <f>IF(N$13="","",IF($B179="","",IFERROR($C179*$D179*SUMIFS('Dvd Calendar'!$E$334:$CZ$334,'Dvd Calendar'!$E$333:$CZ$333,"&gt;"&amp;N$12,'Dvd Calendar'!$E$333:$CZ$333,"&lt;="&amp;N$13)/AS51!$B$3,"")))</f>
        <v/>
      </c>
      <c r="O179" s="113">
        <f>IF(O$13="","",IF($B179="","",IFERROR($C179*$D179*SUMIFS('Dvd Calendar'!$E$334:$CZ$334,'Dvd Calendar'!$E$333:$CZ$333,"&gt;"&amp;O$12,'Dvd Calendar'!$E$333:$CZ$333,"&lt;="&amp;O$13)/AS51!$B$3,"")))</f>
        <v/>
      </c>
      <c r="P179" s="113">
        <f>IF(P$13="","",IF($B179="","",IFERROR($C179*$D179*SUMIFS('Dvd Calendar'!$E$334:$CZ$334,'Dvd Calendar'!$E$333:$CZ$333,"&gt;"&amp;P$12,'Dvd Calendar'!$E$333:$CZ$333,"&lt;="&amp;P$13)/AS51!$B$3,"")))</f>
        <v/>
      </c>
      <c r="Q179" s="113">
        <f>IF(Q$13="","",IF($B179="","",IFERROR($C179*$D179*SUMIFS('Dvd Calendar'!$E$334:$CZ$334,'Dvd Calendar'!$E$333:$CZ$333,"&gt;"&amp;Q$12,'Dvd Calendar'!$E$333:$CZ$333,"&lt;="&amp;Q$13)/AS51!$B$3,"")))</f>
        <v/>
      </c>
      <c r="R179" s="113">
        <f>IF(R$13="","",IF($B179="","",IFERROR($C179*$D179*SUMIFS('Dvd Calendar'!$E$334:$CZ$334,'Dvd Calendar'!$E$333:$CZ$333,"&gt;"&amp;R$12,'Dvd Calendar'!$E$333:$CZ$333,"&lt;="&amp;R$13)/AS51!$B$3,"")))</f>
        <v/>
      </c>
      <c r="S179" s="113">
        <f>IF(S$13="","",IF($B179="","",IFERROR($C179*$D179*SUMIFS('Dvd Calendar'!$E$334:$CZ$334,'Dvd Calendar'!$E$333:$CZ$333,"&gt;"&amp;S$12,'Dvd Calendar'!$E$333:$CZ$333,"&lt;="&amp;S$13)/AS51!$B$3,"")))</f>
        <v/>
      </c>
      <c r="T179" s="113">
        <f>IF(T$13="","",IF($B179="","",IFERROR($C179*$D179*SUMIFS('Dvd Calendar'!$E$334:$CZ$334,'Dvd Calendar'!$E$333:$CZ$333,"&gt;"&amp;T$12,'Dvd Calendar'!$E$333:$CZ$333,"&lt;="&amp;T$13)/AS51!$B$3,"")))</f>
        <v/>
      </c>
      <c r="U179" s="113">
        <f>IF(U$13="","",IF($B179="","",IFERROR($C179*$D179*SUMIFS('Dvd Calendar'!$E$334:$CZ$334,'Dvd Calendar'!$E$333:$CZ$333,"&gt;"&amp;U$12,'Dvd Calendar'!$E$333:$CZ$333,"&lt;="&amp;U$13)/AS51!$B$3,"")))</f>
        <v/>
      </c>
      <c r="W179" s="113">
        <f>IF(W$13="","",IF($B179="","",IFERROR(F179*$E179/100,"")))</f>
        <v/>
      </c>
      <c r="X179" s="113">
        <f>IF(X$13="","",IF($B179="","",IFERROR(G179*$E179/100,"")))</f>
        <v/>
      </c>
      <c r="Y179" s="113">
        <f>IF(Y$13="","",IF($B179="","",IFERROR(H179*$E179/100,"")))</f>
        <v/>
      </c>
      <c r="Z179" s="113">
        <f>IF(Z$13="","",IF($B179="","",IFERROR(I179*$E179/100,"")))</f>
        <v/>
      </c>
      <c r="AA179" s="113">
        <f>IF(AA$13="","",IF($B179="","",IFERROR(J179*$E179/100,"")))</f>
        <v/>
      </c>
      <c r="AB179" s="113">
        <f>IF(AB$13="","",IF($B179="","",IFERROR(K179*$E179/100,"")))</f>
        <v/>
      </c>
      <c r="AC179" s="113">
        <f>IF(AC$13="","",IF($B179="","",IFERROR(L179*$E179/100,"")))</f>
        <v/>
      </c>
      <c r="AD179" s="113">
        <f>IF(AD$13="","",IF($B179="","",IFERROR(M179*$E179/100,"")))</f>
        <v/>
      </c>
      <c r="AE179" s="113">
        <f>IF(AE$13="","",IF($B179="","",IFERROR(N179*$E179/100,"")))</f>
        <v/>
      </c>
      <c r="AF179" s="113">
        <f>IF(AF$13="","",IF($B179="","",IFERROR(O179*$E179/100,"")))</f>
        <v/>
      </c>
      <c r="AG179" s="113">
        <f>IF(AG$13="","",IF($B179="","",IFERROR(P179*$E179/100,"")))</f>
        <v/>
      </c>
      <c r="AH179" s="113">
        <f>IF(AH$13="","",IF($B179="","",IFERROR(Q179*$E179/100,"")))</f>
        <v/>
      </c>
      <c r="AI179" s="113">
        <f>IF(AI$13="","",IF($B179="","",IFERROR(R179*$E179/100,"")))</f>
        <v/>
      </c>
      <c r="AJ179" s="113">
        <f>IF(AJ$13="","",IF($B179="","",IFERROR(S179*$E179/100,"")))</f>
        <v/>
      </c>
      <c r="AK179" s="113">
        <f>IF(AK$13="","",IF($B179="","",IFERROR(T179*$E179/100,"")))</f>
        <v/>
      </c>
      <c r="AL179" s="113">
        <f>IF(AL$13="","",IF($B179="","",IFERROR(U179*$E179/100,"")))</f>
        <v/>
      </c>
    </row>
    <row r="180">
      <c r="B180" s="5">
        <f>IF(AS51!$C$170="","",AS51!$C$170)</f>
        <v/>
      </c>
      <c r="C180" s="86">
        <f>IF(AS51!$B$170="","",AS51!$B$170)</f>
        <v/>
      </c>
      <c r="D180" s="111">
        <f>IFERROR(AS51!$Q$170,1)</f>
        <v/>
      </c>
      <c r="E180" s="112">
        <f>IF($B180="","",IF(ISNUMBER(AS51!$I$170),AS51!$I$170,'Index Summary'!$C$7))</f>
        <v/>
      </c>
      <c r="F180" s="113">
        <f>IF(F$13="","",IF($B180="","",IFERROR($C180*$D180*SUMIFS('Dvd Calendar'!$E$336:$CZ$336,'Dvd Calendar'!$E$335:$CZ$335,"&gt;"&amp;F$12,'Dvd Calendar'!$E$335:$CZ$335,"&lt;="&amp;F$13)/AS51!$B$3,"")))</f>
        <v/>
      </c>
      <c r="G180" s="113">
        <f>IF(G$13="","",IF($B180="","",IFERROR($C180*$D180*SUMIFS('Dvd Calendar'!$E$336:$CZ$336,'Dvd Calendar'!$E$335:$CZ$335,"&gt;"&amp;G$12,'Dvd Calendar'!$E$335:$CZ$335,"&lt;="&amp;G$13)/AS51!$B$3,"")))</f>
        <v/>
      </c>
      <c r="H180" s="113">
        <f>IF(H$13="","",IF($B180="","",IFERROR($C180*$D180*SUMIFS('Dvd Calendar'!$E$336:$CZ$336,'Dvd Calendar'!$E$335:$CZ$335,"&gt;"&amp;H$12,'Dvd Calendar'!$E$335:$CZ$335,"&lt;="&amp;H$13)/AS51!$B$3,"")))</f>
        <v/>
      </c>
      <c r="I180" s="113">
        <f>IF(I$13="","",IF($B180="","",IFERROR($C180*$D180*SUMIFS('Dvd Calendar'!$E$336:$CZ$336,'Dvd Calendar'!$E$335:$CZ$335,"&gt;"&amp;I$12,'Dvd Calendar'!$E$335:$CZ$335,"&lt;="&amp;I$13)/AS51!$B$3,"")))</f>
        <v/>
      </c>
      <c r="J180" s="113">
        <f>IF(J$13="","",IF($B180="","",IFERROR($C180*$D180*SUMIFS('Dvd Calendar'!$E$336:$CZ$336,'Dvd Calendar'!$E$335:$CZ$335,"&gt;"&amp;J$12,'Dvd Calendar'!$E$335:$CZ$335,"&lt;="&amp;J$13)/AS51!$B$3,"")))</f>
        <v/>
      </c>
      <c r="K180" s="113">
        <f>IF(K$13="","",IF($B180="","",IFERROR($C180*$D180*SUMIFS('Dvd Calendar'!$E$336:$CZ$336,'Dvd Calendar'!$E$335:$CZ$335,"&gt;"&amp;K$12,'Dvd Calendar'!$E$335:$CZ$335,"&lt;="&amp;K$13)/AS51!$B$3,"")))</f>
        <v/>
      </c>
      <c r="L180" s="113">
        <f>IF(L$13="","",IF($B180="","",IFERROR($C180*$D180*SUMIFS('Dvd Calendar'!$E$336:$CZ$336,'Dvd Calendar'!$E$335:$CZ$335,"&gt;"&amp;L$12,'Dvd Calendar'!$E$335:$CZ$335,"&lt;="&amp;L$13)/AS51!$B$3,"")))</f>
        <v/>
      </c>
      <c r="M180" s="113">
        <f>IF(M$13="","",IF($B180="","",IFERROR($C180*$D180*SUMIFS('Dvd Calendar'!$E$336:$CZ$336,'Dvd Calendar'!$E$335:$CZ$335,"&gt;"&amp;M$12,'Dvd Calendar'!$E$335:$CZ$335,"&lt;="&amp;M$13)/AS51!$B$3,"")))</f>
        <v/>
      </c>
      <c r="N180" s="113">
        <f>IF(N$13="","",IF($B180="","",IFERROR($C180*$D180*SUMIFS('Dvd Calendar'!$E$336:$CZ$336,'Dvd Calendar'!$E$335:$CZ$335,"&gt;"&amp;N$12,'Dvd Calendar'!$E$335:$CZ$335,"&lt;="&amp;N$13)/AS51!$B$3,"")))</f>
        <v/>
      </c>
      <c r="O180" s="113">
        <f>IF(O$13="","",IF($B180="","",IFERROR($C180*$D180*SUMIFS('Dvd Calendar'!$E$336:$CZ$336,'Dvd Calendar'!$E$335:$CZ$335,"&gt;"&amp;O$12,'Dvd Calendar'!$E$335:$CZ$335,"&lt;="&amp;O$13)/AS51!$B$3,"")))</f>
        <v/>
      </c>
      <c r="P180" s="113">
        <f>IF(P$13="","",IF($B180="","",IFERROR($C180*$D180*SUMIFS('Dvd Calendar'!$E$336:$CZ$336,'Dvd Calendar'!$E$335:$CZ$335,"&gt;"&amp;P$12,'Dvd Calendar'!$E$335:$CZ$335,"&lt;="&amp;P$13)/AS51!$B$3,"")))</f>
        <v/>
      </c>
      <c r="Q180" s="113">
        <f>IF(Q$13="","",IF($B180="","",IFERROR($C180*$D180*SUMIFS('Dvd Calendar'!$E$336:$CZ$336,'Dvd Calendar'!$E$335:$CZ$335,"&gt;"&amp;Q$12,'Dvd Calendar'!$E$335:$CZ$335,"&lt;="&amp;Q$13)/AS51!$B$3,"")))</f>
        <v/>
      </c>
      <c r="R180" s="113">
        <f>IF(R$13="","",IF($B180="","",IFERROR($C180*$D180*SUMIFS('Dvd Calendar'!$E$336:$CZ$336,'Dvd Calendar'!$E$335:$CZ$335,"&gt;"&amp;R$12,'Dvd Calendar'!$E$335:$CZ$335,"&lt;="&amp;R$13)/AS51!$B$3,"")))</f>
        <v/>
      </c>
      <c r="S180" s="113">
        <f>IF(S$13="","",IF($B180="","",IFERROR($C180*$D180*SUMIFS('Dvd Calendar'!$E$336:$CZ$336,'Dvd Calendar'!$E$335:$CZ$335,"&gt;"&amp;S$12,'Dvd Calendar'!$E$335:$CZ$335,"&lt;="&amp;S$13)/AS51!$B$3,"")))</f>
        <v/>
      </c>
      <c r="T180" s="113">
        <f>IF(T$13="","",IF($B180="","",IFERROR($C180*$D180*SUMIFS('Dvd Calendar'!$E$336:$CZ$336,'Dvd Calendar'!$E$335:$CZ$335,"&gt;"&amp;T$12,'Dvd Calendar'!$E$335:$CZ$335,"&lt;="&amp;T$13)/AS51!$B$3,"")))</f>
        <v/>
      </c>
      <c r="U180" s="113">
        <f>IF(U$13="","",IF($B180="","",IFERROR($C180*$D180*SUMIFS('Dvd Calendar'!$E$336:$CZ$336,'Dvd Calendar'!$E$335:$CZ$335,"&gt;"&amp;U$12,'Dvd Calendar'!$E$335:$CZ$335,"&lt;="&amp;U$13)/AS51!$B$3,"")))</f>
        <v/>
      </c>
      <c r="W180" s="113">
        <f>IF(W$13="","",IF($B180="","",IFERROR(F180*$E180/100,"")))</f>
        <v/>
      </c>
      <c r="X180" s="113">
        <f>IF(X$13="","",IF($B180="","",IFERROR(G180*$E180/100,"")))</f>
        <v/>
      </c>
      <c r="Y180" s="113">
        <f>IF(Y$13="","",IF($B180="","",IFERROR(H180*$E180/100,"")))</f>
        <v/>
      </c>
      <c r="Z180" s="113">
        <f>IF(Z$13="","",IF($B180="","",IFERROR(I180*$E180/100,"")))</f>
        <v/>
      </c>
      <c r="AA180" s="113">
        <f>IF(AA$13="","",IF($B180="","",IFERROR(J180*$E180/100,"")))</f>
        <v/>
      </c>
      <c r="AB180" s="113">
        <f>IF(AB$13="","",IF($B180="","",IFERROR(K180*$E180/100,"")))</f>
        <v/>
      </c>
      <c r="AC180" s="113">
        <f>IF(AC$13="","",IF($B180="","",IFERROR(L180*$E180/100,"")))</f>
        <v/>
      </c>
      <c r="AD180" s="113">
        <f>IF(AD$13="","",IF($B180="","",IFERROR(M180*$E180/100,"")))</f>
        <v/>
      </c>
      <c r="AE180" s="113">
        <f>IF(AE$13="","",IF($B180="","",IFERROR(N180*$E180/100,"")))</f>
        <v/>
      </c>
      <c r="AF180" s="113">
        <f>IF(AF$13="","",IF($B180="","",IFERROR(O180*$E180/100,"")))</f>
        <v/>
      </c>
      <c r="AG180" s="113">
        <f>IF(AG$13="","",IF($B180="","",IFERROR(P180*$E180/100,"")))</f>
        <v/>
      </c>
      <c r="AH180" s="113">
        <f>IF(AH$13="","",IF($B180="","",IFERROR(Q180*$E180/100,"")))</f>
        <v/>
      </c>
      <c r="AI180" s="113">
        <f>IF(AI$13="","",IF($B180="","",IFERROR(R180*$E180/100,"")))</f>
        <v/>
      </c>
      <c r="AJ180" s="113">
        <f>IF(AJ$13="","",IF($B180="","",IFERROR(S180*$E180/100,"")))</f>
        <v/>
      </c>
      <c r="AK180" s="113">
        <f>IF(AK$13="","",IF($B180="","",IFERROR(T180*$E180/100,"")))</f>
        <v/>
      </c>
      <c r="AL180" s="113">
        <f>IF(AL$13="","",IF($B180="","",IFERROR(U180*$E180/100,"")))</f>
        <v/>
      </c>
    </row>
    <row r="181">
      <c r="B181" s="5">
        <f>IF(AS51!$C$171="","",AS51!$C$171)</f>
        <v/>
      </c>
      <c r="C181" s="86">
        <f>IF(AS51!$B$171="","",AS51!$B$171)</f>
        <v/>
      </c>
      <c r="D181" s="111">
        <f>IFERROR(AS51!$Q$171,1)</f>
        <v/>
      </c>
      <c r="E181" s="112">
        <f>IF($B181="","",IF(ISNUMBER(AS51!$I$171),AS51!$I$171,'Index Summary'!$C$7))</f>
        <v/>
      </c>
      <c r="F181" s="113">
        <f>IF(F$13="","",IF($B181="","",IFERROR($C181*$D181*SUMIFS('Dvd Calendar'!$E$338:$CZ$338,'Dvd Calendar'!$E$337:$CZ$337,"&gt;"&amp;F$12,'Dvd Calendar'!$E$337:$CZ$337,"&lt;="&amp;F$13)/AS51!$B$3,"")))</f>
        <v/>
      </c>
      <c r="G181" s="113">
        <f>IF(G$13="","",IF($B181="","",IFERROR($C181*$D181*SUMIFS('Dvd Calendar'!$E$338:$CZ$338,'Dvd Calendar'!$E$337:$CZ$337,"&gt;"&amp;G$12,'Dvd Calendar'!$E$337:$CZ$337,"&lt;="&amp;G$13)/AS51!$B$3,"")))</f>
        <v/>
      </c>
      <c r="H181" s="113">
        <f>IF(H$13="","",IF($B181="","",IFERROR($C181*$D181*SUMIFS('Dvd Calendar'!$E$338:$CZ$338,'Dvd Calendar'!$E$337:$CZ$337,"&gt;"&amp;H$12,'Dvd Calendar'!$E$337:$CZ$337,"&lt;="&amp;H$13)/AS51!$B$3,"")))</f>
        <v/>
      </c>
      <c r="I181" s="113">
        <f>IF(I$13="","",IF($B181="","",IFERROR($C181*$D181*SUMIFS('Dvd Calendar'!$E$338:$CZ$338,'Dvd Calendar'!$E$337:$CZ$337,"&gt;"&amp;I$12,'Dvd Calendar'!$E$337:$CZ$337,"&lt;="&amp;I$13)/AS51!$B$3,"")))</f>
        <v/>
      </c>
      <c r="J181" s="113">
        <f>IF(J$13="","",IF($B181="","",IFERROR($C181*$D181*SUMIFS('Dvd Calendar'!$E$338:$CZ$338,'Dvd Calendar'!$E$337:$CZ$337,"&gt;"&amp;J$12,'Dvd Calendar'!$E$337:$CZ$337,"&lt;="&amp;J$13)/AS51!$B$3,"")))</f>
        <v/>
      </c>
      <c r="K181" s="113">
        <f>IF(K$13="","",IF($B181="","",IFERROR($C181*$D181*SUMIFS('Dvd Calendar'!$E$338:$CZ$338,'Dvd Calendar'!$E$337:$CZ$337,"&gt;"&amp;K$12,'Dvd Calendar'!$E$337:$CZ$337,"&lt;="&amp;K$13)/AS51!$B$3,"")))</f>
        <v/>
      </c>
      <c r="L181" s="113">
        <f>IF(L$13="","",IF($B181="","",IFERROR($C181*$D181*SUMIFS('Dvd Calendar'!$E$338:$CZ$338,'Dvd Calendar'!$E$337:$CZ$337,"&gt;"&amp;L$12,'Dvd Calendar'!$E$337:$CZ$337,"&lt;="&amp;L$13)/AS51!$B$3,"")))</f>
        <v/>
      </c>
      <c r="M181" s="113">
        <f>IF(M$13="","",IF($B181="","",IFERROR($C181*$D181*SUMIFS('Dvd Calendar'!$E$338:$CZ$338,'Dvd Calendar'!$E$337:$CZ$337,"&gt;"&amp;M$12,'Dvd Calendar'!$E$337:$CZ$337,"&lt;="&amp;M$13)/AS51!$B$3,"")))</f>
        <v/>
      </c>
      <c r="N181" s="113">
        <f>IF(N$13="","",IF($B181="","",IFERROR($C181*$D181*SUMIFS('Dvd Calendar'!$E$338:$CZ$338,'Dvd Calendar'!$E$337:$CZ$337,"&gt;"&amp;N$12,'Dvd Calendar'!$E$337:$CZ$337,"&lt;="&amp;N$13)/AS51!$B$3,"")))</f>
        <v/>
      </c>
      <c r="O181" s="113">
        <f>IF(O$13="","",IF($B181="","",IFERROR($C181*$D181*SUMIFS('Dvd Calendar'!$E$338:$CZ$338,'Dvd Calendar'!$E$337:$CZ$337,"&gt;"&amp;O$12,'Dvd Calendar'!$E$337:$CZ$337,"&lt;="&amp;O$13)/AS51!$B$3,"")))</f>
        <v/>
      </c>
      <c r="P181" s="113">
        <f>IF(P$13="","",IF($B181="","",IFERROR($C181*$D181*SUMIFS('Dvd Calendar'!$E$338:$CZ$338,'Dvd Calendar'!$E$337:$CZ$337,"&gt;"&amp;P$12,'Dvd Calendar'!$E$337:$CZ$337,"&lt;="&amp;P$13)/AS51!$B$3,"")))</f>
        <v/>
      </c>
      <c r="Q181" s="113">
        <f>IF(Q$13="","",IF($B181="","",IFERROR($C181*$D181*SUMIFS('Dvd Calendar'!$E$338:$CZ$338,'Dvd Calendar'!$E$337:$CZ$337,"&gt;"&amp;Q$12,'Dvd Calendar'!$E$337:$CZ$337,"&lt;="&amp;Q$13)/AS51!$B$3,"")))</f>
        <v/>
      </c>
      <c r="R181" s="113">
        <f>IF(R$13="","",IF($B181="","",IFERROR($C181*$D181*SUMIFS('Dvd Calendar'!$E$338:$CZ$338,'Dvd Calendar'!$E$337:$CZ$337,"&gt;"&amp;R$12,'Dvd Calendar'!$E$337:$CZ$337,"&lt;="&amp;R$13)/AS51!$B$3,"")))</f>
        <v/>
      </c>
      <c r="S181" s="113">
        <f>IF(S$13="","",IF($B181="","",IFERROR($C181*$D181*SUMIFS('Dvd Calendar'!$E$338:$CZ$338,'Dvd Calendar'!$E$337:$CZ$337,"&gt;"&amp;S$12,'Dvd Calendar'!$E$337:$CZ$337,"&lt;="&amp;S$13)/AS51!$B$3,"")))</f>
        <v/>
      </c>
      <c r="T181" s="113">
        <f>IF(T$13="","",IF($B181="","",IFERROR($C181*$D181*SUMIFS('Dvd Calendar'!$E$338:$CZ$338,'Dvd Calendar'!$E$337:$CZ$337,"&gt;"&amp;T$12,'Dvd Calendar'!$E$337:$CZ$337,"&lt;="&amp;T$13)/AS51!$B$3,"")))</f>
        <v/>
      </c>
      <c r="U181" s="113">
        <f>IF(U$13="","",IF($B181="","",IFERROR($C181*$D181*SUMIFS('Dvd Calendar'!$E$338:$CZ$338,'Dvd Calendar'!$E$337:$CZ$337,"&gt;"&amp;U$12,'Dvd Calendar'!$E$337:$CZ$337,"&lt;="&amp;U$13)/AS51!$B$3,"")))</f>
        <v/>
      </c>
      <c r="W181" s="113">
        <f>IF(W$13="","",IF($B181="","",IFERROR(F181*$E181/100,"")))</f>
        <v/>
      </c>
      <c r="X181" s="113">
        <f>IF(X$13="","",IF($B181="","",IFERROR(G181*$E181/100,"")))</f>
        <v/>
      </c>
      <c r="Y181" s="113">
        <f>IF(Y$13="","",IF($B181="","",IFERROR(H181*$E181/100,"")))</f>
        <v/>
      </c>
      <c r="Z181" s="113">
        <f>IF(Z$13="","",IF($B181="","",IFERROR(I181*$E181/100,"")))</f>
        <v/>
      </c>
      <c r="AA181" s="113">
        <f>IF(AA$13="","",IF($B181="","",IFERROR(J181*$E181/100,"")))</f>
        <v/>
      </c>
      <c r="AB181" s="113">
        <f>IF(AB$13="","",IF($B181="","",IFERROR(K181*$E181/100,"")))</f>
        <v/>
      </c>
      <c r="AC181" s="113">
        <f>IF(AC$13="","",IF($B181="","",IFERROR(L181*$E181/100,"")))</f>
        <v/>
      </c>
      <c r="AD181" s="113">
        <f>IF(AD$13="","",IF($B181="","",IFERROR(M181*$E181/100,"")))</f>
        <v/>
      </c>
      <c r="AE181" s="113">
        <f>IF(AE$13="","",IF($B181="","",IFERROR(N181*$E181/100,"")))</f>
        <v/>
      </c>
      <c r="AF181" s="113">
        <f>IF(AF$13="","",IF($B181="","",IFERROR(O181*$E181/100,"")))</f>
        <v/>
      </c>
      <c r="AG181" s="113">
        <f>IF(AG$13="","",IF($B181="","",IFERROR(P181*$E181/100,"")))</f>
        <v/>
      </c>
      <c r="AH181" s="113">
        <f>IF(AH$13="","",IF($B181="","",IFERROR(Q181*$E181/100,"")))</f>
        <v/>
      </c>
      <c r="AI181" s="113">
        <f>IF(AI$13="","",IF($B181="","",IFERROR(R181*$E181/100,"")))</f>
        <v/>
      </c>
      <c r="AJ181" s="113">
        <f>IF(AJ$13="","",IF($B181="","",IFERROR(S181*$E181/100,"")))</f>
        <v/>
      </c>
      <c r="AK181" s="113">
        <f>IF(AK$13="","",IF($B181="","",IFERROR(T181*$E181/100,"")))</f>
        <v/>
      </c>
      <c r="AL181" s="113">
        <f>IF(AL$13="","",IF($B181="","",IFERROR(U181*$E181/100,"")))</f>
        <v/>
      </c>
    </row>
    <row r="182">
      <c r="B182" s="5">
        <f>IF(AS51!$C$172="","",AS51!$C$172)</f>
        <v/>
      </c>
      <c r="C182" s="86">
        <f>IF(AS51!$B$172="","",AS51!$B$172)</f>
        <v/>
      </c>
      <c r="D182" s="111">
        <f>IFERROR(AS51!$Q$172,1)</f>
        <v/>
      </c>
      <c r="E182" s="112">
        <f>IF($B182="","",IF(ISNUMBER(AS51!$I$172),AS51!$I$172,'Index Summary'!$C$7))</f>
        <v/>
      </c>
      <c r="F182" s="113">
        <f>IF(F$13="","",IF($B182="","",IFERROR($C182*$D182*SUMIFS('Dvd Calendar'!$E$340:$CZ$340,'Dvd Calendar'!$E$339:$CZ$339,"&gt;"&amp;F$12,'Dvd Calendar'!$E$339:$CZ$339,"&lt;="&amp;F$13)/AS51!$B$3,"")))</f>
        <v/>
      </c>
      <c r="G182" s="113">
        <f>IF(G$13="","",IF($B182="","",IFERROR($C182*$D182*SUMIFS('Dvd Calendar'!$E$340:$CZ$340,'Dvd Calendar'!$E$339:$CZ$339,"&gt;"&amp;G$12,'Dvd Calendar'!$E$339:$CZ$339,"&lt;="&amp;G$13)/AS51!$B$3,"")))</f>
        <v/>
      </c>
      <c r="H182" s="113">
        <f>IF(H$13="","",IF($B182="","",IFERROR($C182*$D182*SUMIFS('Dvd Calendar'!$E$340:$CZ$340,'Dvd Calendar'!$E$339:$CZ$339,"&gt;"&amp;H$12,'Dvd Calendar'!$E$339:$CZ$339,"&lt;="&amp;H$13)/AS51!$B$3,"")))</f>
        <v/>
      </c>
      <c r="I182" s="113">
        <f>IF(I$13="","",IF($B182="","",IFERROR($C182*$D182*SUMIFS('Dvd Calendar'!$E$340:$CZ$340,'Dvd Calendar'!$E$339:$CZ$339,"&gt;"&amp;I$12,'Dvd Calendar'!$E$339:$CZ$339,"&lt;="&amp;I$13)/AS51!$B$3,"")))</f>
        <v/>
      </c>
      <c r="J182" s="113">
        <f>IF(J$13="","",IF($B182="","",IFERROR($C182*$D182*SUMIFS('Dvd Calendar'!$E$340:$CZ$340,'Dvd Calendar'!$E$339:$CZ$339,"&gt;"&amp;J$12,'Dvd Calendar'!$E$339:$CZ$339,"&lt;="&amp;J$13)/AS51!$B$3,"")))</f>
        <v/>
      </c>
      <c r="K182" s="113">
        <f>IF(K$13="","",IF($B182="","",IFERROR($C182*$D182*SUMIFS('Dvd Calendar'!$E$340:$CZ$340,'Dvd Calendar'!$E$339:$CZ$339,"&gt;"&amp;K$12,'Dvd Calendar'!$E$339:$CZ$339,"&lt;="&amp;K$13)/AS51!$B$3,"")))</f>
        <v/>
      </c>
      <c r="L182" s="113">
        <f>IF(L$13="","",IF($B182="","",IFERROR($C182*$D182*SUMIFS('Dvd Calendar'!$E$340:$CZ$340,'Dvd Calendar'!$E$339:$CZ$339,"&gt;"&amp;L$12,'Dvd Calendar'!$E$339:$CZ$339,"&lt;="&amp;L$13)/AS51!$B$3,"")))</f>
        <v/>
      </c>
      <c r="M182" s="113">
        <f>IF(M$13="","",IF($B182="","",IFERROR($C182*$D182*SUMIFS('Dvd Calendar'!$E$340:$CZ$340,'Dvd Calendar'!$E$339:$CZ$339,"&gt;"&amp;M$12,'Dvd Calendar'!$E$339:$CZ$339,"&lt;="&amp;M$13)/AS51!$B$3,"")))</f>
        <v/>
      </c>
      <c r="N182" s="113">
        <f>IF(N$13="","",IF($B182="","",IFERROR($C182*$D182*SUMIFS('Dvd Calendar'!$E$340:$CZ$340,'Dvd Calendar'!$E$339:$CZ$339,"&gt;"&amp;N$12,'Dvd Calendar'!$E$339:$CZ$339,"&lt;="&amp;N$13)/AS51!$B$3,"")))</f>
        <v/>
      </c>
      <c r="O182" s="113">
        <f>IF(O$13="","",IF($B182="","",IFERROR($C182*$D182*SUMIFS('Dvd Calendar'!$E$340:$CZ$340,'Dvd Calendar'!$E$339:$CZ$339,"&gt;"&amp;O$12,'Dvd Calendar'!$E$339:$CZ$339,"&lt;="&amp;O$13)/AS51!$B$3,"")))</f>
        <v/>
      </c>
      <c r="P182" s="113">
        <f>IF(P$13="","",IF($B182="","",IFERROR($C182*$D182*SUMIFS('Dvd Calendar'!$E$340:$CZ$340,'Dvd Calendar'!$E$339:$CZ$339,"&gt;"&amp;P$12,'Dvd Calendar'!$E$339:$CZ$339,"&lt;="&amp;P$13)/AS51!$B$3,"")))</f>
        <v/>
      </c>
      <c r="Q182" s="113">
        <f>IF(Q$13="","",IF($B182="","",IFERROR($C182*$D182*SUMIFS('Dvd Calendar'!$E$340:$CZ$340,'Dvd Calendar'!$E$339:$CZ$339,"&gt;"&amp;Q$12,'Dvd Calendar'!$E$339:$CZ$339,"&lt;="&amp;Q$13)/AS51!$B$3,"")))</f>
        <v/>
      </c>
      <c r="R182" s="113">
        <f>IF(R$13="","",IF($B182="","",IFERROR($C182*$D182*SUMIFS('Dvd Calendar'!$E$340:$CZ$340,'Dvd Calendar'!$E$339:$CZ$339,"&gt;"&amp;R$12,'Dvd Calendar'!$E$339:$CZ$339,"&lt;="&amp;R$13)/AS51!$B$3,"")))</f>
        <v/>
      </c>
      <c r="S182" s="113">
        <f>IF(S$13="","",IF($B182="","",IFERROR($C182*$D182*SUMIFS('Dvd Calendar'!$E$340:$CZ$340,'Dvd Calendar'!$E$339:$CZ$339,"&gt;"&amp;S$12,'Dvd Calendar'!$E$339:$CZ$339,"&lt;="&amp;S$13)/AS51!$B$3,"")))</f>
        <v/>
      </c>
      <c r="T182" s="113">
        <f>IF(T$13="","",IF($B182="","",IFERROR($C182*$D182*SUMIFS('Dvd Calendar'!$E$340:$CZ$340,'Dvd Calendar'!$E$339:$CZ$339,"&gt;"&amp;T$12,'Dvd Calendar'!$E$339:$CZ$339,"&lt;="&amp;T$13)/AS51!$B$3,"")))</f>
        <v/>
      </c>
      <c r="U182" s="113">
        <f>IF(U$13="","",IF($B182="","",IFERROR($C182*$D182*SUMIFS('Dvd Calendar'!$E$340:$CZ$340,'Dvd Calendar'!$E$339:$CZ$339,"&gt;"&amp;U$12,'Dvd Calendar'!$E$339:$CZ$339,"&lt;="&amp;U$13)/AS51!$B$3,"")))</f>
        <v/>
      </c>
      <c r="W182" s="113">
        <f>IF(W$13="","",IF($B182="","",IFERROR(F182*$E182/100,"")))</f>
        <v/>
      </c>
      <c r="X182" s="113">
        <f>IF(X$13="","",IF($B182="","",IFERROR(G182*$E182/100,"")))</f>
        <v/>
      </c>
      <c r="Y182" s="113">
        <f>IF(Y$13="","",IF($B182="","",IFERROR(H182*$E182/100,"")))</f>
        <v/>
      </c>
      <c r="Z182" s="113">
        <f>IF(Z$13="","",IF($B182="","",IFERROR(I182*$E182/100,"")))</f>
        <v/>
      </c>
      <c r="AA182" s="113">
        <f>IF(AA$13="","",IF($B182="","",IFERROR(J182*$E182/100,"")))</f>
        <v/>
      </c>
      <c r="AB182" s="113">
        <f>IF(AB$13="","",IF($B182="","",IFERROR(K182*$E182/100,"")))</f>
        <v/>
      </c>
      <c r="AC182" s="113">
        <f>IF(AC$13="","",IF($B182="","",IFERROR(L182*$E182/100,"")))</f>
        <v/>
      </c>
      <c r="AD182" s="113">
        <f>IF(AD$13="","",IF($B182="","",IFERROR(M182*$E182/100,"")))</f>
        <v/>
      </c>
      <c r="AE182" s="113">
        <f>IF(AE$13="","",IF($B182="","",IFERROR(N182*$E182/100,"")))</f>
        <v/>
      </c>
      <c r="AF182" s="113">
        <f>IF(AF$13="","",IF($B182="","",IFERROR(O182*$E182/100,"")))</f>
        <v/>
      </c>
      <c r="AG182" s="113">
        <f>IF(AG$13="","",IF($B182="","",IFERROR(P182*$E182/100,"")))</f>
        <v/>
      </c>
      <c r="AH182" s="113">
        <f>IF(AH$13="","",IF($B182="","",IFERROR(Q182*$E182/100,"")))</f>
        <v/>
      </c>
      <c r="AI182" s="113">
        <f>IF(AI$13="","",IF($B182="","",IFERROR(R182*$E182/100,"")))</f>
        <v/>
      </c>
      <c r="AJ182" s="113">
        <f>IF(AJ$13="","",IF($B182="","",IFERROR(S182*$E182/100,"")))</f>
        <v/>
      </c>
      <c r="AK182" s="113">
        <f>IF(AK$13="","",IF($B182="","",IFERROR(T182*$E182/100,"")))</f>
        <v/>
      </c>
      <c r="AL182" s="113">
        <f>IF(AL$13="","",IF($B182="","",IFERROR(U182*$E182/100,"")))</f>
        <v/>
      </c>
    </row>
    <row r="183">
      <c r="B183" s="5">
        <f>IF(AS51!$C$173="","",AS51!$C$173)</f>
        <v/>
      </c>
      <c r="C183" s="86">
        <f>IF(AS51!$B$173="","",AS51!$B$173)</f>
        <v/>
      </c>
      <c r="D183" s="111">
        <f>IFERROR(AS51!$Q$173,1)</f>
        <v/>
      </c>
      <c r="E183" s="112">
        <f>IF($B183="","",IF(ISNUMBER(AS51!$I$173),AS51!$I$173,'Index Summary'!$C$7))</f>
        <v/>
      </c>
      <c r="F183" s="113">
        <f>IF(F$13="","",IF($B183="","",IFERROR($C183*$D183*SUMIFS('Dvd Calendar'!$E$342:$CZ$342,'Dvd Calendar'!$E$341:$CZ$341,"&gt;"&amp;F$12,'Dvd Calendar'!$E$341:$CZ$341,"&lt;="&amp;F$13)/AS51!$B$3,"")))</f>
        <v/>
      </c>
      <c r="G183" s="113">
        <f>IF(G$13="","",IF($B183="","",IFERROR($C183*$D183*SUMIFS('Dvd Calendar'!$E$342:$CZ$342,'Dvd Calendar'!$E$341:$CZ$341,"&gt;"&amp;G$12,'Dvd Calendar'!$E$341:$CZ$341,"&lt;="&amp;G$13)/AS51!$B$3,"")))</f>
        <v/>
      </c>
      <c r="H183" s="113">
        <f>IF(H$13="","",IF($B183="","",IFERROR($C183*$D183*SUMIFS('Dvd Calendar'!$E$342:$CZ$342,'Dvd Calendar'!$E$341:$CZ$341,"&gt;"&amp;H$12,'Dvd Calendar'!$E$341:$CZ$341,"&lt;="&amp;H$13)/AS51!$B$3,"")))</f>
        <v/>
      </c>
      <c r="I183" s="113">
        <f>IF(I$13="","",IF($B183="","",IFERROR($C183*$D183*SUMIFS('Dvd Calendar'!$E$342:$CZ$342,'Dvd Calendar'!$E$341:$CZ$341,"&gt;"&amp;I$12,'Dvd Calendar'!$E$341:$CZ$341,"&lt;="&amp;I$13)/AS51!$B$3,"")))</f>
        <v/>
      </c>
      <c r="J183" s="113">
        <f>IF(J$13="","",IF($B183="","",IFERROR($C183*$D183*SUMIFS('Dvd Calendar'!$E$342:$CZ$342,'Dvd Calendar'!$E$341:$CZ$341,"&gt;"&amp;J$12,'Dvd Calendar'!$E$341:$CZ$341,"&lt;="&amp;J$13)/AS51!$B$3,"")))</f>
        <v/>
      </c>
      <c r="K183" s="113">
        <f>IF(K$13="","",IF($B183="","",IFERROR($C183*$D183*SUMIFS('Dvd Calendar'!$E$342:$CZ$342,'Dvd Calendar'!$E$341:$CZ$341,"&gt;"&amp;K$12,'Dvd Calendar'!$E$341:$CZ$341,"&lt;="&amp;K$13)/AS51!$B$3,"")))</f>
        <v/>
      </c>
      <c r="L183" s="113">
        <f>IF(L$13="","",IF($B183="","",IFERROR($C183*$D183*SUMIFS('Dvd Calendar'!$E$342:$CZ$342,'Dvd Calendar'!$E$341:$CZ$341,"&gt;"&amp;L$12,'Dvd Calendar'!$E$341:$CZ$341,"&lt;="&amp;L$13)/AS51!$B$3,"")))</f>
        <v/>
      </c>
      <c r="M183" s="113">
        <f>IF(M$13="","",IF($B183="","",IFERROR($C183*$D183*SUMIFS('Dvd Calendar'!$E$342:$CZ$342,'Dvd Calendar'!$E$341:$CZ$341,"&gt;"&amp;M$12,'Dvd Calendar'!$E$341:$CZ$341,"&lt;="&amp;M$13)/AS51!$B$3,"")))</f>
        <v/>
      </c>
      <c r="N183" s="113">
        <f>IF(N$13="","",IF($B183="","",IFERROR($C183*$D183*SUMIFS('Dvd Calendar'!$E$342:$CZ$342,'Dvd Calendar'!$E$341:$CZ$341,"&gt;"&amp;N$12,'Dvd Calendar'!$E$341:$CZ$341,"&lt;="&amp;N$13)/AS51!$B$3,"")))</f>
        <v/>
      </c>
      <c r="O183" s="113">
        <f>IF(O$13="","",IF($B183="","",IFERROR($C183*$D183*SUMIFS('Dvd Calendar'!$E$342:$CZ$342,'Dvd Calendar'!$E$341:$CZ$341,"&gt;"&amp;O$12,'Dvd Calendar'!$E$341:$CZ$341,"&lt;="&amp;O$13)/AS51!$B$3,"")))</f>
        <v/>
      </c>
      <c r="P183" s="113">
        <f>IF(P$13="","",IF($B183="","",IFERROR($C183*$D183*SUMIFS('Dvd Calendar'!$E$342:$CZ$342,'Dvd Calendar'!$E$341:$CZ$341,"&gt;"&amp;P$12,'Dvd Calendar'!$E$341:$CZ$341,"&lt;="&amp;P$13)/AS51!$B$3,"")))</f>
        <v/>
      </c>
      <c r="Q183" s="113">
        <f>IF(Q$13="","",IF($B183="","",IFERROR($C183*$D183*SUMIFS('Dvd Calendar'!$E$342:$CZ$342,'Dvd Calendar'!$E$341:$CZ$341,"&gt;"&amp;Q$12,'Dvd Calendar'!$E$341:$CZ$341,"&lt;="&amp;Q$13)/AS51!$B$3,"")))</f>
        <v/>
      </c>
      <c r="R183" s="113">
        <f>IF(R$13="","",IF($B183="","",IFERROR($C183*$D183*SUMIFS('Dvd Calendar'!$E$342:$CZ$342,'Dvd Calendar'!$E$341:$CZ$341,"&gt;"&amp;R$12,'Dvd Calendar'!$E$341:$CZ$341,"&lt;="&amp;R$13)/AS51!$B$3,"")))</f>
        <v/>
      </c>
      <c r="S183" s="113">
        <f>IF(S$13="","",IF($B183="","",IFERROR($C183*$D183*SUMIFS('Dvd Calendar'!$E$342:$CZ$342,'Dvd Calendar'!$E$341:$CZ$341,"&gt;"&amp;S$12,'Dvd Calendar'!$E$341:$CZ$341,"&lt;="&amp;S$13)/AS51!$B$3,"")))</f>
        <v/>
      </c>
      <c r="T183" s="113">
        <f>IF(T$13="","",IF($B183="","",IFERROR($C183*$D183*SUMIFS('Dvd Calendar'!$E$342:$CZ$342,'Dvd Calendar'!$E$341:$CZ$341,"&gt;"&amp;T$12,'Dvd Calendar'!$E$341:$CZ$341,"&lt;="&amp;T$13)/AS51!$B$3,"")))</f>
        <v/>
      </c>
      <c r="U183" s="113">
        <f>IF(U$13="","",IF($B183="","",IFERROR($C183*$D183*SUMIFS('Dvd Calendar'!$E$342:$CZ$342,'Dvd Calendar'!$E$341:$CZ$341,"&gt;"&amp;U$12,'Dvd Calendar'!$E$341:$CZ$341,"&lt;="&amp;U$13)/AS51!$B$3,"")))</f>
        <v/>
      </c>
      <c r="W183" s="113">
        <f>IF(W$13="","",IF($B183="","",IFERROR(F183*$E183/100,"")))</f>
        <v/>
      </c>
      <c r="X183" s="113">
        <f>IF(X$13="","",IF($B183="","",IFERROR(G183*$E183/100,"")))</f>
        <v/>
      </c>
      <c r="Y183" s="113">
        <f>IF(Y$13="","",IF($B183="","",IFERROR(H183*$E183/100,"")))</f>
        <v/>
      </c>
      <c r="Z183" s="113">
        <f>IF(Z$13="","",IF($B183="","",IFERROR(I183*$E183/100,"")))</f>
        <v/>
      </c>
      <c r="AA183" s="113">
        <f>IF(AA$13="","",IF($B183="","",IFERROR(J183*$E183/100,"")))</f>
        <v/>
      </c>
      <c r="AB183" s="113">
        <f>IF(AB$13="","",IF($B183="","",IFERROR(K183*$E183/100,"")))</f>
        <v/>
      </c>
      <c r="AC183" s="113">
        <f>IF(AC$13="","",IF($B183="","",IFERROR(L183*$E183/100,"")))</f>
        <v/>
      </c>
      <c r="AD183" s="113">
        <f>IF(AD$13="","",IF($B183="","",IFERROR(M183*$E183/100,"")))</f>
        <v/>
      </c>
      <c r="AE183" s="113">
        <f>IF(AE$13="","",IF($B183="","",IFERROR(N183*$E183/100,"")))</f>
        <v/>
      </c>
      <c r="AF183" s="113">
        <f>IF(AF$13="","",IF($B183="","",IFERROR(O183*$E183/100,"")))</f>
        <v/>
      </c>
      <c r="AG183" s="113">
        <f>IF(AG$13="","",IF($B183="","",IFERROR(P183*$E183/100,"")))</f>
        <v/>
      </c>
      <c r="AH183" s="113">
        <f>IF(AH$13="","",IF($B183="","",IFERROR(Q183*$E183/100,"")))</f>
        <v/>
      </c>
      <c r="AI183" s="113">
        <f>IF(AI$13="","",IF($B183="","",IFERROR(R183*$E183/100,"")))</f>
        <v/>
      </c>
      <c r="AJ183" s="113">
        <f>IF(AJ$13="","",IF($B183="","",IFERROR(S183*$E183/100,"")))</f>
        <v/>
      </c>
      <c r="AK183" s="113">
        <f>IF(AK$13="","",IF($B183="","",IFERROR(T183*$E183/100,"")))</f>
        <v/>
      </c>
      <c r="AL183" s="113">
        <f>IF(AL$13="","",IF($B183="","",IFERROR(U183*$E183/100,"")))</f>
        <v/>
      </c>
    </row>
    <row r="184">
      <c r="B184" s="5">
        <f>IF(AS51!$C$174="","",AS51!$C$174)</f>
        <v/>
      </c>
      <c r="C184" s="86">
        <f>IF(AS51!$B$174="","",AS51!$B$174)</f>
        <v/>
      </c>
      <c r="D184" s="111">
        <f>IFERROR(AS51!$Q$174,1)</f>
        <v/>
      </c>
      <c r="E184" s="112">
        <f>IF($B184="","",IF(ISNUMBER(AS51!$I$174),AS51!$I$174,'Index Summary'!$C$7))</f>
        <v/>
      </c>
      <c r="F184" s="113">
        <f>IF(F$13="","",IF($B184="","",IFERROR($C184*$D184*SUMIFS('Dvd Calendar'!$E$344:$CZ$344,'Dvd Calendar'!$E$343:$CZ$343,"&gt;"&amp;F$12,'Dvd Calendar'!$E$343:$CZ$343,"&lt;="&amp;F$13)/AS51!$B$3,"")))</f>
        <v/>
      </c>
      <c r="G184" s="113">
        <f>IF(G$13="","",IF($B184="","",IFERROR($C184*$D184*SUMIFS('Dvd Calendar'!$E$344:$CZ$344,'Dvd Calendar'!$E$343:$CZ$343,"&gt;"&amp;G$12,'Dvd Calendar'!$E$343:$CZ$343,"&lt;="&amp;G$13)/AS51!$B$3,"")))</f>
        <v/>
      </c>
      <c r="H184" s="113">
        <f>IF(H$13="","",IF($B184="","",IFERROR($C184*$D184*SUMIFS('Dvd Calendar'!$E$344:$CZ$344,'Dvd Calendar'!$E$343:$CZ$343,"&gt;"&amp;H$12,'Dvd Calendar'!$E$343:$CZ$343,"&lt;="&amp;H$13)/AS51!$B$3,"")))</f>
        <v/>
      </c>
      <c r="I184" s="113">
        <f>IF(I$13="","",IF($B184="","",IFERROR($C184*$D184*SUMIFS('Dvd Calendar'!$E$344:$CZ$344,'Dvd Calendar'!$E$343:$CZ$343,"&gt;"&amp;I$12,'Dvd Calendar'!$E$343:$CZ$343,"&lt;="&amp;I$13)/AS51!$B$3,"")))</f>
        <v/>
      </c>
      <c r="J184" s="113">
        <f>IF(J$13="","",IF($B184="","",IFERROR($C184*$D184*SUMIFS('Dvd Calendar'!$E$344:$CZ$344,'Dvd Calendar'!$E$343:$CZ$343,"&gt;"&amp;J$12,'Dvd Calendar'!$E$343:$CZ$343,"&lt;="&amp;J$13)/AS51!$B$3,"")))</f>
        <v/>
      </c>
      <c r="K184" s="113">
        <f>IF(K$13="","",IF($B184="","",IFERROR($C184*$D184*SUMIFS('Dvd Calendar'!$E$344:$CZ$344,'Dvd Calendar'!$E$343:$CZ$343,"&gt;"&amp;K$12,'Dvd Calendar'!$E$343:$CZ$343,"&lt;="&amp;K$13)/AS51!$B$3,"")))</f>
        <v/>
      </c>
      <c r="L184" s="113">
        <f>IF(L$13="","",IF($B184="","",IFERROR($C184*$D184*SUMIFS('Dvd Calendar'!$E$344:$CZ$344,'Dvd Calendar'!$E$343:$CZ$343,"&gt;"&amp;L$12,'Dvd Calendar'!$E$343:$CZ$343,"&lt;="&amp;L$13)/AS51!$B$3,"")))</f>
        <v/>
      </c>
      <c r="M184" s="113">
        <f>IF(M$13="","",IF($B184="","",IFERROR($C184*$D184*SUMIFS('Dvd Calendar'!$E$344:$CZ$344,'Dvd Calendar'!$E$343:$CZ$343,"&gt;"&amp;M$12,'Dvd Calendar'!$E$343:$CZ$343,"&lt;="&amp;M$13)/AS51!$B$3,"")))</f>
        <v/>
      </c>
      <c r="N184" s="113">
        <f>IF(N$13="","",IF($B184="","",IFERROR($C184*$D184*SUMIFS('Dvd Calendar'!$E$344:$CZ$344,'Dvd Calendar'!$E$343:$CZ$343,"&gt;"&amp;N$12,'Dvd Calendar'!$E$343:$CZ$343,"&lt;="&amp;N$13)/AS51!$B$3,"")))</f>
        <v/>
      </c>
      <c r="O184" s="113">
        <f>IF(O$13="","",IF($B184="","",IFERROR($C184*$D184*SUMIFS('Dvd Calendar'!$E$344:$CZ$344,'Dvd Calendar'!$E$343:$CZ$343,"&gt;"&amp;O$12,'Dvd Calendar'!$E$343:$CZ$343,"&lt;="&amp;O$13)/AS51!$B$3,"")))</f>
        <v/>
      </c>
      <c r="P184" s="113">
        <f>IF(P$13="","",IF($B184="","",IFERROR($C184*$D184*SUMIFS('Dvd Calendar'!$E$344:$CZ$344,'Dvd Calendar'!$E$343:$CZ$343,"&gt;"&amp;P$12,'Dvd Calendar'!$E$343:$CZ$343,"&lt;="&amp;P$13)/AS51!$B$3,"")))</f>
        <v/>
      </c>
      <c r="Q184" s="113">
        <f>IF(Q$13="","",IF($B184="","",IFERROR($C184*$D184*SUMIFS('Dvd Calendar'!$E$344:$CZ$344,'Dvd Calendar'!$E$343:$CZ$343,"&gt;"&amp;Q$12,'Dvd Calendar'!$E$343:$CZ$343,"&lt;="&amp;Q$13)/AS51!$B$3,"")))</f>
        <v/>
      </c>
      <c r="R184" s="113">
        <f>IF(R$13="","",IF($B184="","",IFERROR($C184*$D184*SUMIFS('Dvd Calendar'!$E$344:$CZ$344,'Dvd Calendar'!$E$343:$CZ$343,"&gt;"&amp;R$12,'Dvd Calendar'!$E$343:$CZ$343,"&lt;="&amp;R$13)/AS51!$B$3,"")))</f>
        <v/>
      </c>
      <c r="S184" s="113">
        <f>IF(S$13="","",IF($B184="","",IFERROR($C184*$D184*SUMIFS('Dvd Calendar'!$E$344:$CZ$344,'Dvd Calendar'!$E$343:$CZ$343,"&gt;"&amp;S$12,'Dvd Calendar'!$E$343:$CZ$343,"&lt;="&amp;S$13)/AS51!$B$3,"")))</f>
        <v/>
      </c>
      <c r="T184" s="113">
        <f>IF(T$13="","",IF($B184="","",IFERROR($C184*$D184*SUMIFS('Dvd Calendar'!$E$344:$CZ$344,'Dvd Calendar'!$E$343:$CZ$343,"&gt;"&amp;T$12,'Dvd Calendar'!$E$343:$CZ$343,"&lt;="&amp;T$13)/AS51!$B$3,"")))</f>
        <v/>
      </c>
      <c r="U184" s="113">
        <f>IF(U$13="","",IF($B184="","",IFERROR($C184*$D184*SUMIFS('Dvd Calendar'!$E$344:$CZ$344,'Dvd Calendar'!$E$343:$CZ$343,"&gt;"&amp;U$12,'Dvd Calendar'!$E$343:$CZ$343,"&lt;="&amp;U$13)/AS51!$B$3,"")))</f>
        <v/>
      </c>
      <c r="W184" s="113">
        <f>IF(W$13="","",IF($B184="","",IFERROR(F184*$E184/100,"")))</f>
        <v/>
      </c>
      <c r="X184" s="113">
        <f>IF(X$13="","",IF($B184="","",IFERROR(G184*$E184/100,"")))</f>
        <v/>
      </c>
      <c r="Y184" s="113">
        <f>IF(Y$13="","",IF($B184="","",IFERROR(H184*$E184/100,"")))</f>
        <v/>
      </c>
      <c r="Z184" s="113">
        <f>IF(Z$13="","",IF($B184="","",IFERROR(I184*$E184/100,"")))</f>
        <v/>
      </c>
      <c r="AA184" s="113">
        <f>IF(AA$13="","",IF($B184="","",IFERROR(J184*$E184/100,"")))</f>
        <v/>
      </c>
      <c r="AB184" s="113">
        <f>IF(AB$13="","",IF($B184="","",IFERROR(K184*$E184/100,"")))</f>
        <v/>
      </c>
      <c r="AC184" s="113">
        <f>IF(AC$13="","",IF($B184="","",IFERROR(L184*$E184/100,"")))</f>
        <v/>
      </c>
      <c r="AD184" s="113">
        <f>IF(AD$13="","",IF($B184="","",IFERROR(M184*$E184/100,"")))</f>
        <v/>
      </c>
      <c r="AE184" s="113">
        <f>IF(AE$13="","",IF($B184="","",IFERROR(N184*$E184/100,"")))</f>
        <v/>
      </c>
      <c r="AF184" s="113">
        <f>IF(AF$13="","",IF($B184="","",IFERROR(O184*$E184/100,"")))</f>
        <v/>
      </c>
      <c r="AG184" s="113">
        <f>IF(AG$13="","",IF($B184="","",IFERROR(P184*$E184/100,"")))</f>
        <v/>
      </c>
      <c r="AH184" s="113">
        <f>IF(AH$13="","",IF($B184="","",IFERROR(Q184*$E184/100,"")))</f>
        <v/>
      </c>
      <c r="AI184" s="113">
        <f>IF(AI$13="","",IF($B184="","",IFERROR(R184*$E184/100,"")))</f>
        <v/>
      </c>
      <c r="AJ184" s="113">
        <f>IF(AJ$13="","",IF($B184="","",IFERROR(S184*$E184/100,"")))</f>
        <v/>
      </c>
      <c r="AK184" s="113">
        <f>IF(AK$13="","",IF($B184="","",IFERROR(T184*$E184/100,"")))</f>
        <v/>
      </c>
      <c r="AL184" s="113">
        <f>IF(AL$13="","",IF($B184="","",IFERROR(U184*$E184/100,"")))</f>
        <v/>
      </c>
    </row>
    <row r="185">
      <c r="B185" s="5">
        <f>IF(AS51!$C$175="","",AS51!$C$175)</f>
        <v/>
      </c>
      <c r="C185" s="86">
        <f>IF(AS51!$B$175="","",AS51!$B$175)</f>
        <v/>
      </c>
      <c r="D185" s="111">
        <f>IFERROR(AS51!$Q$175,1)</f>
        <v/>
      </c>
      <c r="E185" s="112">
        <f>IF($B185="","",IF(ISNUMBER(AS51!$I$175),AS51!$I$175,'Index Summary'!$C$7))</f>
        <v/>
      </c>
      <c r="F185" s="113">
        <f>IF(F$13="","",IF($B185="","",IFERROR($C185*$D185*SUMIFS('Dvd Calendar'!$E$346:$CZ$346,'Dvd Calendar'!$E$345:$CZ$345,"&gt;"&amp;F$12,'Dvd Calendar'!$E$345:$CZ$345,"&lt;="&amp;F$13)/AS51!$B$3,"")))</f>
        <v/>
      </c>
      <c r="G185" s="113">
        <f>IF(G$13="","",IF($B185="","",IFERROR($C185*$D185*SUMIFS('Dvd Calendar'!$E$346:$CZ$346,'Dvd Calendar'!$E$345:$CZ$345,"&gt;"&amp;G$12,'Dvd Calendar'!$E$345:$CZ$345,"&lt;="&amp;G$13)/AS51!$B$3,"")))</f>
        <v/>
      </c>
      <c r="H185" s="113">
        <f>IF(H$13="","",IF($B185="","",IFERROR($C185*$D185*SUMIFS('Dvd Calendar'!$E$346:$CZ$346,'Dvd Calendar'!$E$345:$CZ$345,"&gt;"&amp;H$12,'Dvd Calendar'!$E$345:$CZ$345,"&lt;="&amp;H$13)/AS51!$B$3,"")))</f>
        <v/>
      </c>
      <c r="I185" s="113">
        <f>IF(I$13="","",IF($B185="","",IFERROR($C185*$D185*SUMIFS('Dvd Calendar'!$E$346:$CZ$346,'Dvd Calendar'!$E$345:$CZ$345,"&gt;"&amp;I$12,'Dvd Calendar'!$E$345:$CZ$345,"&lt;="&amp;I$13)/AS51!$B$3,"")))</f>
        <v/>
      </c>
      <c r="J185" s="113">
        <f>IF(J$13="","",IF($B185="","",IFERROR($C185*$D185*SUMIFS('Dvd Calendar'!$E$346:$CZ$346,'Dvd Calendar'!$E$345:$CZ$345,"&gt;"&amp;J$12,'Dvd Calendar'!$E$345:$CZ$345,"&lt;="&amp;J$13)/AS51!$B$3,"")))</f>
        <v/>
      </c>
      <c r="K185" s="113">
        <f>IF(K$13="","",IF($B185="","",IFERROR($C185*$D185*SUMIFS('Dvd Calendar'!$E$346:$CZ$346,'Dvd Calendar'!$E$345:$CZ$345,"&gt;"&amp;K$12,'Dvd Calendar'!$E$345:$CZ$345,"&lt;="&amp;K$13)/AS51!$B$3,"")))</f>
        <v/>
      </c>
      <c r="L185" s="113">
        <f>IF(L$13="","",IF($B185="","",IFERROR($C185*$D185*SUMIFS('Dvd Calendar'!$E$346:$CZ$346,'Dvd Calendar'!$E$345:$CZ$345,"&gt;"&amp;L$12,'Dvd Calendar'!$E$345:$CZ$345,"&lt;="&amp;L$13)/AS51!$B$3,"")))</f>
        <v/>
      </c>
      <c r="M185" s="113">
        <f>IF(M$13="","",IF($B185="","",IFERROR($C185*$D185*SUMIFS('Dvd Calendar'!$E$346:$CZ$346,'Dvd Calendar'!$E$345:$CZ$345,"&gt;"&amp;M$12,'Dvd Calendar'!$E$345:$CZ$345,"&lt;="&amp;M$13)/AS51!$B$3,"")))</f>
        <v/>
      </c>
      <c r="N185" s="113">
        <f>IF(N$13="","",IF($B185="","",IFERROR($C185*$D185*SUMIFS('Dvd Calendar'!$E$346:$CZ$346,'Dvd Calendar'!$E$345:$CZ$345,"&gt;"&amp;N$12,'Dvd Calendar'!$E$345:$CZ$345,"&lt;="&amp;N$13)/AS51!$B$3,"")))</f>
        <v/>
      </c>
      <c r="O185" s="113">
        <f>IF(O$13="","",IF($B185="","",IFERROR($C185*$D185*SUMIFS('Dvd Calendar'!$E$346:$CZ$346,'Dvd Calendar'!$E$345:$CZ$345,"&gt;"&amp;O$12,'Dvd Calendar'!$E$345:$CZ$345,"&lt;="&amp;O$13)/AS51!$B$3,"")))</f>
        <v/>
      </c>
      <c r="P185" s="113">
        <f>IF(P$13="","",IF($B185="","",IFERROR($C185*$D185*SUMIFS('Dvd Calendar'!$E$346:$CZ$346,'Dvd Calendar'!$E$345:$CZ$345,"&gt;"&amp;P$12,'Dvd Calendar'!$E$345:$CZ$345,"&lt;="&amp;P$13)/AS51!$B$3,"")))</f>
        <v/>
      </c>
      <c r="Q185" s="113">
        <f>IF(Q$13="","",IF($B185="","",IFERROR($C185*$D185*SUMIFS('Dvd Calendar'!$E$346:$CZ$346,'Dvd Calendar'!$E$345:$CZ$345,"&gt;"&amp;Q$12,'Dvd Calendar'!$E$345:$CZ$345,"&lt;="&amp;Q$13)/AS51!$B$3,"")))</f>
        <v/>
      </c>
      <c r="R185" s="113">
        <f>IF(R$13="","",IF($B185="","",IFERROR($C185*$D185*SUMIFS('Dvd Calendar'!$E$346:$CZ$346,'Dvd Calendar'!$E$345:$CZ$345,"&gt;"&amp;R$12,'Dvd Calendar'!$E$345:$CZ$345,"&lt;="&amp;R$13)/AS51!$B$3,"")))</f>
        <v/>
      </c>
      <c r="S185" s="113">
        <f>IF(S$13="","",IF($B185="","",IFERROR($C185*$D185*SUMIFS('Dvd Calendar'!$E$346:$CZ$346,'Dvd Calendar'!$E$345:$CZ$345,"&gt;"&amp;S$12,'Dvd Calendar'!$E$345:$CZ$345,"&lt;="&amp;S$13)/AS51!$B$3,"")))</f>
        <v/>
      </c>
      <c r="T185" s="113">
        <f>IF(T$13="","",IF($B185="","",IFERROR($C185*$D185*SUMIFS('Dvd Calendar'!$E$346:$CZ$346,'Dvd Calendar'!$E$345:$CZ$345,"&gt;"&amp;T$12,'Dvd Calendar'!$E$345:$CZ$345,"&lt;="&amp;T$13)/AS51!$B$3,"")))</f>
        <v/>
      </c>
      <c r="U185" s="113">
        <f>IF(U$13="","",IF($B185="","",IFERROR($C185*$D185*SUMIFS('Dvd Calendar'!$E$346:$CZ$346,'Dvd Calendar'!$E$345:$CZ$345,"&gt;"&amp;U$12,'Dvd Calendar'!$E$345:$CZ$345,"&lt;="&amp;U$13)/AS51!$B$3,"")))</f>
        <v/>
      </c>
      <c r="W185" s="113">
        <f>IF(W$13="","",IF($B185="","",IFERROR(F185*$E185/100,"")))</f>
        <v/>
      </c>
      <c r="X185" s="113">
        <f>IF(X$13="","",IF($B185="","",IFERROR(G185*$E185/100,"")))</f>
        <v/>
      </c>
      <c r="Y185" s="113">
        <f>IF(Y$13="","",IF($B185="","",IFERROR(H185*$E185/100,"")))</f>
        <v/>
      </c>
      <c r="Z185" s="113">
        <f>IF(Z$13="","",IF($B185="","",IFERROR(I185*$E185/100,"")))</f>
        <v/>
      </c>
      <c r="AA185" s="113">
        <f>IF(AA$13="","",IF($B185="","",IFERROR(J185*$E185/100,"")))</f>
        <v/>
      </c>
      <c r="AB185" s="113">
        <f>IF(AB$13="","",IF($B185="","",IFERROR(K185*$E185/100,"")))</f>
        <v/>
      </c>
      <c r="AC185" s="113">
        <f>IF(AC$13="","",IF($B185="","",IFERROR(L185*$E185/100,"")))</f>
        <v/>
      </c>
      <c r="AD185" s="113">
        <f>IF(AD$13="","",IF($B185="","",IFERROR(M185*$E185/100,"")))</f>
        <v/>
      </c>
      <c r="AE185" s="113">
        <f>IF(AE$13="","",IF($B185="","",IFERROR(N185*$E185/100,"")))</f>
        <v/>
      </c>
      <c r="AF185" s="113">
        <f>IF(AF$13="","",IF($B185="","",IFERROR(O185*$E185/100,"")))</f>
        <v/>
      </c>
      <c r="AG185" s="113">
        <f>IF(AG$13="","",IF($B185="","",IFERROR(P185*$E185/100,"")))</f>
        <v/>
      </c>
      <c r="AH185" s="113">
        <f>IF(AH$13="","",IF($B185="","",IFERROR(Q185*$E185/100,"")))</f>
        <v/>
      </c>
      <c r="AI185" s="113">
        <f>IF(AI$13="","",IF($B185="","",IFERROR(R185*$E185/100,"")))</f>
        <v/>
      </c>
      <c r="AJ185" s="113">
        <f>IF(AJ$13="","",IF($B185="","",IFERROR(S185*$E185/100,"")))</f>
        <v/>
      </c>
      <c r="AK185" s="113">
        <f>IF(AK$13="","",IF($B185="","",IFERROR(T185*$E185/100,"")))</f>
        <v/>
      </c>
      <c r="AL185" s="113">
        <f>IF(AL$13="","",IF($B185="","",IFERROR(U185*$E185/100,"")))</f>
        <v/>
      </c>
    </row>
    <row r="186">
      <c r="B186" s="5">
        <f>IF(AS51!$C$176="","",AS51!$C$176)</f>
        <v/>
      </c>
      <c r="C186" s="86">
        <f>IF(AS51!$B$176="","",AS51!$B$176)</f>
        <v/>
      </c>
      <c r="D186" s="111">
        <f>IFERROR(AS51!$Q$176,1)</f>
        <v/>
      </c>
      <c r="E186" s="112">
        <f>IF($B186="","",IF(ISNUMBER(AS51!$I$176),AS51!$I$176,'Index Summary'!$C$7))</f>
        <v/>
      </c>
      <c r="F186" s="113">
        <f>IF(F$13="","",IF($B186="","",IFERROR($C186*$D186*SUMIFS('Dvd Calendar'!$E$348:$CZ$348,'Dvd Calendar'!$E$347:$CZ$347,"&gt;"&amp;F$12,'Dvd Calendar'!$E$347:$CZ$347,"&lt;="&amp;F$13)/AS51!$B$3,"")))</f>
        <v/>
      </c>
      <c r="G186" s="113">
        <f>IF(G$13="","",IF($B186="","",IFERROR($C186*$D186*SUMIFS('Dvd Calendar'!$E$348:$CZ$348,'Dvd Calendar'!$E$347:$CZ$347,"&gt;"&amp;G$12,'Dvd Calendar'!$E$347:$CZ$347,"&lt;="&amp;G$13)/AS51!$B$3,"")))</f>
        <v/>
      </c>
      <c r="H186" s="113">
        <f>IF(H$13="","",IF($B186="","",IFERROR($C186*$D186*SUMIFS('Dvd Calendar'!$E$348:$CZ$348,'Dvd Calendar'!$E$347:$CZ$347,"&gt;"&amp;H$12,'Dvd Calendar'!$E$347:$CZ$347,"&lt;="&amp;H$13)/AS51!$B$3,"")))</f>
        <v/>
      </c>
      <c r="I186" s="113">
        <f>IF(I$13="","",IF($B186="","",IFERROR($C186*$D186*SUMIFS('Dvd Calendar'!$E$348:$CZ$348,'Dvd Calendar'!$E$347:$CZ$347,"&gt;"&amp;I$12,'Dvd Calendar'!$E$347:$CZ$347,"&lt;="&amp;I$13)/AS51!$B$3,"")))</f>
        <v/>
      </c>
      <c r="J186" s="113">
        <f>IF(J$13="","",IF($B186="","",IFERROR($C186*$D186*SUMIFS('Dvd Calendar'!$E$348:$CZ$348,'Dvd Calendar'!$E$347:$CZ$347,"&gt;"&amp;J$12,'Dvd Calendar'!$E$347:$CZ$347,"&lt;="&amp;J$13)/AS51!$B$3,"")))</f>
        <v/>
      </c>
      <c r="K186" s="113">
        <f>IF(K$13="","",IF($B186="","",IFERROR($C186*$D186*SUMIFS('Dvd Calendar'!$E$348:$CZ$348,'Dvd Calendar'!$E$347:$CZ$347,"&gt;"&amp;K$12,'Dvd Calendar'!$E$347:$CZ$347,"&lt;="&amp;K$13)/AS51!$B$3,"")))</f>
        <v/>
      </c>
      <c r="L186" s="113">
        <f>IF(L$13="","",IF($B186="","",IFERROR($C186*$D186*SUMIFS('Dvd Calendar'!$E$348:$CZ$348,'Dvd Calendar'!$E$347:$CZ$347,"&gt;"&amp;L$12,'Dvd Calendar'!$E$347:$CZ$347,"&lt;="&amp;L$13)/AS51!$B$3,"")))</f>
        <v/>
      </c>
      <c r="M186" s="113">
        <f>IF(M$13="","",IF($B186="","",IFERROR($C186*$D186*SUMIFS('Dvd Calendar'!$E$348:$CZ$348,'Dvd Calendar'!$E$347:$CZ$347,"&gt;"&amp;M$12,'Dvd Calendar'!$E$347:$CZ$347,"&lt;="&amp;M$13)/AS51!$B$3,"")))</f>
        <v/>
      </c>
      <c r="N186" s="113">
        <f>IF(N$13="","",IF($B186="","",IFERROR($C186*$D186*SUMIFS('Dvd Calendar'!$E$348:$CZ$348,'Dvd Calendar'!$E$347:$CZ$347,"&gt;"&amp;N$12,'Dvd Calendar'!$E$347:$CZ$347,"&lt;="&amp;N$13)/AS51!$B$3,"")))</f>
        <v/>
      </c>
      <c r="O186" s="113">
        <f>IF(O$13="","",IF($B186="","",IFERROR($C186*$D186*SUMIFS('Dvd Calendar'!$E$348:$CZ$348,'Dvd Calendar'!$E$347:$CZ$347,"&gt;"&amp;O$12,'Dvd Calendar'!$E$347:$CZ$347,"&lt;="&amp;O$13)/AS51!$B$3,"")))</f>
        <v/>
      </c>
      <c r="P186" s="113">
        <f>IF(P$13="","",IF($B186="","",IFERROR($C186*$D186*SUMIFS('Dvd Calendar'!$E$348:$CZ$348,'Dvd Calendar'!$E$347:$CZ$347,"&gt;"&amp;P$12,'Dvd Calendar'!$E$347:$CZ$347,"&lt;="&amp;P$13)/AS51!$B$3,"")))</f>
        <v/>
      </c>
      <c r="Q186" s="113">
        <f>IF(Q$13="","",IF($B186="","",IFERROR($C186*$D186*SUMIFS('Dvd Calendar'!$E$348:$CZ$348,'Dvd Calendar'!$E$347:$CZ$347,"&gt;"&amp;Q$12,'Dvd Calendar'!$E$347:$CZ$347,"&lt;="&amp;Q$13)/AS51!$B$3,"")))</f>
        <v/>
      </c>
      <c r="R186" s="113">
        <f>IF(R$13="","",IF($B186="","",IFERROR($C186*$D186*SUMIFS('Dvd Calendar'!$E$348:$CZ$348,'Dvd Calendar'!$E$347:$CZ$347,"&gt;"&amp;R$12,'Dvd Calendar'!$E$347:$CZ$347,"&lt;="&amp;R$13)/AS51!$B$3,"")))</f>
        <v/>
      </c>
      <c r="S186" s="113">
        <f>IF(S$13="","",IF($B186="","",IFERROR($C186*$D186*SUMIFS('Dvd Calendar'!$E$348:$CZ$348,'Dvd Calendar'!$E$347:$CZ$347,"&gt;"&amp;S$12,'Dvd Calendar'!$E$347:$CZ$347,"&lt;="&amp;S$13)/AS51!$B$3,"")))</f>
        <v/>
      </c>
      <c r="T186" s="113">
        <f>IF(T$13="","",IF($B186="","",IFERROR($C186*$D186*SUMIFS('Dvd Calendar'!$E$348:$CZ$348,'Dvd Calendar'!$E$347:$CZ$347,"&gt;"&amp;T$12,'Dvd Calendar'!$E$347:$CZ$347,"&lt;="&amp;T$13)/AS51!$B$3,"")))</f>
        <v/>
      </c>
      <c r="U186" s="113">
        <f>IF(U$13="","",IF($B186="","",IFERROR($C186*$D186*SUMIFS('Dvd Calendar'!$E$348:$CZ$348,'Dvd Calendar'!$E$347:$CZ$347,"&gt;"&amp;U$12,'Dvd Calendar'!$E$347:$CZ$347,"&lt;="&amp;U$13)/AS51!$B$3,"")))</f>
        <v/>
      </c>
      <c r="W186" s="113">
        <f>IF(W$13="","",IF($B186="","",IFERROR(F186*$E186/100,"")))</f>
        <v/>
      </c>
      <c r="X186" s="113">
        <f>IF(X$13="","",IF($B186="","",IFERROR(G186*$E186/100,"")))</f>
        <v/>
      </c>
      <c r="Y186" s="113">
        <f>IF(Y$13="","",IF($B186="","",IFERROR(H186*$E186/100,"")))</f>
        <v/>
      </c>
      <c r="Z186" s="113">
        <f>IF(Z$13="","",IF($B186="","",IFERROR(I186*$E186/100,"")))</f>
        <v/>
      </c>
      <c r="AA186" s="113">
        <f>IF(AA$13="","",IF($B186="","",IFERROR(J186*$E186/100,"")))</f>
        <v/>
      </c>
      <c r="AB186" s="113">
        <f>IF(AB$13="","",IF($B186="","",IFERROR(K186*$E186/100,"")))</f>
        <v/>
      </c>
      <c r="AC186" s="113">
        <f>IF(AC$13="","",IF($B186="","",IFERROR(L186*$E186/100,"")))</f>
        <v/>
      </c>
      <c r="AD186" s="113">
        <f>IF(AD$13="","",IF($B186="","",IFERROR(M186*$E186/100,"")))</f>
        <v/>
      </c>
      <c r="AE186" s="113">
        <f>IF(AE$13="","",IF($B186="","",IFERROR(N186*$E186/100,"")))</f>
        <v/>
      </c>
      <c r="AF186" s="113">
        <f>IF(AF$13="","",IF($B186="","",IFERROR(O186*$E186/100,"")))</f>
        <v/>
      </c>
      <c r="AG186" s="113">
        <f>IF(AG$13="","",IF($B186="","",IFERROR(P186*$E186/100,"")))</f>
        <v/>
      </c>
      <c r="AH186" s="113">
        <f>IF(AH$13="","",IF($B186="","",IFERROR(Q186*$E186/100,"")))</f>
        <v/>
      </c>
      <c r="AI186" s="113">
        <f>IF(AI$13="","",IF($B186="","",IFERROR(R186*$E186/100,"")))</f>
        <v/>
      </c>
      <c r="AJ186" s="113">
        <f>IF(AJ$13="","",IF($B186="","",IFERROR(S186*$E186/100,"")))</f>
        <v/>
      </c>
      <c r="AK186" s="113">
        <f>IF(AK$13="","",IF($B186="","",IFERROR(T186*$E186/100,"")))</f>
        <v/>
      </c>
      <c r="AL186" s="113">
        <f>IF(AL$13="","",IF($B186="","",IFERROR(U186*$E186/100,"")))</f>
        <v/>
      </c>
    </row>
    <row r="187">
      <c r="B187" s="5">
        <f>IF(AS51!$C$177="","",AS51!$C$177)</f>
        <v/>
      </c>
      <c r="C187" s="86">
        <f>IF(AS51!$B$177="","",AS51!$B$177)</f>
        <v/>
      </c>
      <c r="D187" s="111">
        <f>IFERROR(AS51!$Q$177,1)</f>
        <v/>
      </c>
      <c r="E187" s="112">
        <f>IF($B187="","",IF(ISNUMBER(AS51!$I$177),AS51!$I$177,'Index Summary'!$C$7))</f>
        <v/>
      </c>
      <c r="F187" s="113">
        <f>IF(F$13="","",IF($B187="","",IFERROR($C187*$D187*SUMIFS('Dvd Calendar'!$E$350:$CZ$350,'Dvd Calendar'!$E$349:$CZ$349,"&gt;"&amp;F$12,'Dvd Calendar'!$E$349:$CZ$349,"&lt;="&amp;F$13)/AS51!$B$3,"")))</f>
        <v/>
      </c>
      <c r="G187" s="113">
        <f>IF(G$13="","",IF($B187="","",IFERROR($C187*$D187*SUMIFS('Dvd Calendar'!$E$350:$CZ$350,'Dvd Calendar'!$E$349:$CZ$349,"&gt;"&amp;G$12,'Dvd Calendar'!$E$349:$CZ$349,"&lt;="&amp;G$13)/AS51!$B$3,"")))</f>
        <v/>
      </c>
      <c r="H187" s="113">
        <f>IF(H$13="","",IF($B187="","",IFERROR($C187*$D187*SUMIFS('Dvd Calendar'!$E$350:$CZ$350,'Dvd Calendar'!$E$349:$CZ$349,"&gt;"&amp;H$12,'Dvd Calendar'!$E$349:$CZ$349,"&lt;="&amp;H$13)/AS51!$B$3,"")))</f>
        <v/>
      </c>
      <c r="I187" s="113">
        <f>IF(I$13="","",IF($B187="","",IFERROR($C187*$D187*SUMIFS('Dvd Calendar'!$E$350:$CZ$350,'Dvd Calendar'!$E$349:$CZ$349,"&gt;"&amp;I$12,'Dvd Calendar'!$E$349:$CZ$349,"&lt;="&amp;I$13)/AS51!$B$3,"")))</f>
        <v/>
      </c>
      <c r="J187" s="113">
        <f>IF(J$13="","",IF($B187="","",IFERROR($C187*$D187*SUMIFS('Dvd Calendar'!$E$350:$CZ$350,'Dvd Calendar'!$E$349:$CZ$349,"&gt;"&amp;J$12,'Dvd Calendar'!$E$349:$CZ$349,"&lt;="&amp;J$13)/AS51!$B$3,"")))</f>
        <v/>
      </c>
      <c r="K187" s="113">
        <f>IF(K$13="","",IF($B187="","",IFERROR($C187*$D187*SUMIFS('Dvd Calendar'!$E$350:$CZ$350,'Dvd Calendar'!$E$349:$CZ$349,"&gt;"&amp;K$12,'Dvd Calendar'!$E$349:$CZ$349,"&lt;="&amp;K$13)/AS51!$B$3,"")))</f>
        <v/>
      </c>
      <c r="L187" s="113">
        <f>IF(L$13="","",IF($B187="","",IFERROR($C187*$D187*SUMIFS('Dvd Calendar'!$E$350:$CZ$350,'Dvd Calendar'!$E$349:$CZ$349,"&gt;"&amp;L$12,'Dvd Calendar'!$E$349:$CZ$349,"&lt;="&amp;L$13)/AS51!$B$3,"")))</f>
        <v/>
      </c>
      <c r="M187" s="113">
        <f>IF(M$13="","",IF($B187="","",IFERROR($C187*$D187*SUMIFS('Dvd Calendar'!$E$350:$CZ$350,'Dvd Calendar'!$E$349:$CZ$349,"&gt;"&amp;M$12,'Dvd Calendar'!$E$349:$CZ$349,"&lt;="&amp;M$13)/AS51!$B$3,"")))</f>
        <v/>
      </c>
      <c r="N187" s="113">
        <f>IF(N$13="","",IF($B187="","",IFERROR($C187*$D187*SUMIFS('Dvd Calendar'!$E$350:$CZ$350,'Dvd Calendar'!$E$349:$CZ$349,"&gt;"&amp;N$12,'Dvd Calendar'!$E$349:$CZ$349,"&lt;="&amp;N$13)/AS51!$B$3,"")))</f>
        <v/>
      </c>
      <c r="O187" s="113">
        <f>IF(O$13="","",IF($B187="","",IFERROR($C187*$D187*SUMIFS('Dvd Calendar'!$E$350:$CZ$350,'Dvd Calendar'!$E$349:$CZ$349,"&gt;"&amp;O$12,'Dvd Calendar'!$E$349:$CZ$349,"&lt;="&amp;O$13)/AS51!$B$3,"")))</f>
        <v/>
      </c>
      <c r="P187" s="113">
        <f>IF(P$13="","",IF($B187="","",IFERROR($C187*$D187*SUMIFS('Dvd Calendar'!$E$350:$CZ$350,'Dvd Calendar'!$E$349:$CZ$349,"&gt;"&amp;P$12,'Dvd Calendar'!$E$349:$CZ$349,"&lt;="&amp;P$13)/AS51!$B$3,"")))</f>
        <v/>
      </c>
      <c r="Q187" s="113">
        <f>IF(Q$13="","",IF($B187="","",IFERROR($C187*$D187*SUMIFS('Dvd Calendar'!$E$350:$CZ$350,'Dvd Calendar'!$E$349:$CZ$349,"&gt;"&amp;Q$12,'Dvd Calendar'!$E$349:$CZ$349,"&lt;="&amp;Q$13)/AS51!$B$3,"")))</f>
        <v/>
      </c>
      <c r="R187" s="113">
        <f>IF(R$13="","",IF($B187="","",IFERROR($C187*$D187*SUMIFS('Dvd Calendar'!$E$350:$CZ$350,'Dvd Calendar'!$E$349:$CZ$349,"&gt;"&amp;R$12,'Dvd Calendar'!$E$349:$CZ$349,"&lt;="&amp;R$13)/AS51!$B$3,"")))</f>
        <v/>
      </c>
      <c r="S187" s="113">
        <f>IF(S$13="","",IF($B187="","",IFERROR($C187*$D187*SUMIFS('Dvd Calendar'!$E$350:$CZ$350,'Dvd Calendar'!$E$349:$CZ$349,"&gt;"&amp;S$12,'Dvd Calendar'!$E$349:$CZ$349,"&lt;="&amp;S$13)/AS51!$B$3,"")))</f>
        <v/>
      </c>
      <c r="T187" s="113">
        <f>IF(T$13="","",IF($B187="","",IFERROR($C187*$D187*SUMIFS('Dvd Calendar'!$E$350:$CZ$350,'Dvd Calendar'!$E$349:$CZ$349,"&gt;"&amp;T$12,'Dvd Calendar'!$E$349:$CZ$349,"&lt;="&amp;T$13)/AS51!$B$3,"")))</f>
        <v/>
      </c>
      <c r="U187" s="113">
        <f>IF(U$13="","",IF($B187="","",IFERROR($C187*$D187*SUMIFS('Dvd Calendar'!$E$350:$CZ$350,'Dvd Calendar'!$E$349:$CZ$349,"&gt;"&amp;U$12,'Dvd Calendar'!$E$349:$CZ$349,"&lt;="&amp;U$13)/AS51!$B$3,"")))</f>
        <v/>
      </c>
      <c r="W187" s="113">
        <f>IF(W$13="","",IF($B187="","",IFERROR(F187*$E187/100,"")))</f>
        <v/>
      </c>
      <c r="X187" s="113">
        <f>IF(X$13="","",IF($B187="","",IFERROR(G187*$E187/100,"")))</f>
        <v/>
      </c>
      <c r="Y187" s="113">
        <f>IF(Y$13="","",IF($B187="","",IFERROR(H187*$E187/100,"")))</f>
        <v/>
      </c>
      <c r="Z187" s="113">
        <f>IF(Z$13="","",IF($B187="","",IFERROR(I187*$E187/100,"")))</f>
        <v/>
      </c>
      <c r="AA187" s="113">
        <f>IF(AA$13="","",IF($B187="","",IFERROR(J187*$E187/100,"")))</f>
        <v/>
      </c>
      <c r="AB187" s="113">
        <f>IF(AB$13="","",IF($B187="","",IFERROR(K187*$E187/100,"")))</f>
        <v/>
      </c>
      <c r="AC187" s="113">
        <f>IF(AC$13="","",IF($B187="","",IFERROR(L187*$E187/100,"")))</f>
        <v/>
      </c>
      <c r="AD187" s="113">
        <f>IF(AD$13="","",IF($B187="","",IFERROR(M187*$E187/100,"")))</f>
        <v/>
      </c>
      <c r="AE187" s="113">
        <f>IF(AE$13="","",IF($B187="","",IFERROR(N187*$E187/100,"")))</f>
        <v/>
      </c>
      <c r="AF187" s="113">
        <f>IF(AF$13="","",IF($B187="","",IFERROR(O187*$E187/100,"")))</f>
        <v/>
      </c>
      <c r="AG187" s="113">
        <f>IF(AG$13="","",IF($B187="","",IFERROR(P187*$E187/100,"")))</f>
        <v/>
      </c>
      <c r="AH187" s="113">
        <f>IF(AH$13="","",IF($B187="","",IFERROR(Q187*$E187/100,"")))</f>
        <v/>
      </c>
      <c r="AI187" s="113">
        <f>IF(AI$13="","",IF($B187="","",IFERROR(R187*$E187/100,"")))</f>
        <v/>
      </c>
      <c r="AJ187" s="113">
        <f>IF(AJ$13="","",IF($B187="","",IFERROR(S187*$E187/100,"")))</f>
        <v/>
      </c>
      <c r="AK187" s="113">
        <f>IF(AK$13="","",IF($B187="","",IFERROR(T187*$E187/100,"")))</f>
        <v/>
      </c>
      <c r="AL187" s="113">
        <f>IF(AL$13="","",IF($B187="","",IFERROR(U187*$E187/100,"")))</f>
        <v/>
      </c>
    </row>
    <row r="188">
      <c r="B188" s="5">
        <f>IF(AS51!$C$178="","",AS51!$C$178)</f>
        <v/>
      </c>
      <c r="C188" s="86">
        <f>IF(AS51!$B$178="","",AS51!$B$178)</f>
        <v/>
      </c>
      <c r="D188" s="111">
        <f>IFERROR(AS51!$Q$178,1)</f>
        <v/>
      </c>
      <c r="E188" s="112">
        <f>IF($B188="","",IF(ISNUMBER(AS51!$I$178),AS51!$I$178,'Index Summary'!$C$7))</f>
        <v/>
      </c>
      <c r="F188" s="113">
        <f>IF(F$13="","",IF($B188="","",IFERROR($C188*$D188*SUMIFS('Dvd Calendar'!$E$352:$CZ$352,'Dvd Calendar'!$E$351:$CZ$351,"&gt;"&amp;F$12,'Dvd Calendar'!$E$351:$CZ$351,"&lt;="&amp;F$13)/AS51!$B$3,"")))</f>
        <v/>
      </c>
      <c r="G188" s="113">
        <f>IF(G$13="","",IF($B188="","",IFERROR($C188*$D188*SUMIFS('Dvd Calendar'!$E$352:$CZ$352,'Dvd Calendar'!$E$351:$CZ$351,"&gt;"&amp;G$12,'Dvd Calendar'!$E$351:$CZ$351,"&lt;="&amp;G$13)/AS51!$B$3,"")))</f>
        <v/>
      </c>
      <c r="H188" s="113">
        <f>IF(H$13="","",IF($B188="","",IFERROR($C188*$D188*SUMIFS('Dvd Calendar'!$E$352:$CZ$352,'Dvd Calendar'!$E$351:$CZ$351,"&gt;"&amp;H$12,'Dvd Calendar'!$E$351:$CZ$351,"&lt;="&amp;H$13)/AS51!$B$3,"")))</f>
        <v/>
      </c>
      <c r="I188" s="113">
        <f>IF(I$13="","",IF($B188="","",IFERROR($C188*$D188*SUMIFS('Dvd Calendar'!$E$352:$CZ$352,'Dvd Calendar'!$E$351:$CZ$351,"&gt;"&amp;I$12,'Dvd Calendar'!$E$351:$CZ$351,"&lt;="&amp;I$13)/AS51!$B$3,"")))</f>
        <v/>
      </c>
      <c r="J188" s="113">
        <f>IF(J$13="","",IF($B188="","",IFERROR($C188*$D188*SUMIFS('Dvd Calendar'!$E$352:$CZ$352,'Dvd Calendar'!$E$351:$CZ$351,"&gt;"&amp;J$12,'Dvd Calendar'!$E$351:$CZ$351,"&lt;="&amp;J$13)/AS51!$B$3,"")))</f>
        <v/>
      </c>
      <c r="K188" s="113">
        <f>IF(K$13="","",IF($B188="","",IFERROR($C188*$D188*SUMIFS('Dvd Calendar'!$E$352:$CZ$352,'Dvd Calendar'!$E$351:$CZ$351,"&gt;"&amp;K$12,'Dvd Calendar'!$E$351:$CZ$351,"&lt;="&amp;K$13)/AS51!$B$3,"")))</f>
        <v/>
      </c>
      <c r="L188" s="113">
        <f>IF(L$13="","",IF($B188="","",IFERROR($C188*$D188*SUMIFS('Dvd Calendar'!$E$352:$CZ$352,'Dvd Calendar'!$E$351:$CZ$351,"&gt;"&amp;L$12,'Dvd Calendar'!$E$351:$CZ$351,"&lt;="&amp;L$13)/AS51!$B$3,"")))</f>
        <v/>
      </c>
      <c r="M188" s="113">
        <f>IF(M$13="","",IF($B188="","",IFERROR($C188*$D188*SUMIFS('Dvd Calendar'!$E$352:$CZ$352,'Dvd Calendar'!$E$351:$CZ$351,"&gt;"&amp;M$12,'Dvd Calendar'!$E$351:$CZ$351,"&lt;="&amp;M$13)/AS51!$B$3,"")))</f>
        <v/>
      </c>
      <c r="N188" s="113">
        <f>IF(N$13="","",IF($B188="","",IFERROR($C188*$D188*SUMIFS('Dvd Calendar'!$E$352:$CZ$352,'Dvd Calendar'!$E$351:$CZ$351,"&gt;"&amp;N$12,'Dvd Calendar'!$E$351:$CZ$351,"&lt;="&amp;N$13)/AS51!$B$3,"")))</f>
        <v/>
      </c>
      <c r="O188" s="113">
        <f>IF(O$13="","",IF($B188="","",IFERROR($C188*$D188*SUMIFS('Dvd Calendar'!$E$352:$CZ$352,'Dvd Calendar'!$E$351:$CZ$351,"&gt;"&amp;O$12,'Dvd Calendar'!$E$351:$CZ$351,"&lt;="&amp;O$13)/AS51!$B$3,"")))</f>
        <v/>
      </c>
      <c r="P188" s="113">
        <f>IF(P$13="","",IF($B188="","",IFERROR($C188*$D188*SUMIFS('Dvd Calendar'!$E$352:$CZ$352,'Dvd Calendar'!$E$351:$CZ$351,"&gt;"&amp;P$12,'Dvd Calendar'!$E$351:$CZ$351,"&lt;="&amp;P$13)/AS51!$B$3,"")))</f>
        <v/>
      </c>
      <c r="Q188" s="113">
        <f>IF(Q$13="","",IF($B188="","",IFERROR($C188*$D188*SUMIFS('Dvd Calendar'!$E$352:$CZ$352,'Dvd Calendar'!$E$351:$CZ$351,"&gt;"&amp;Q$12,'Dvd Calendar'!$E$351:$CZ$351,"&lt;="&amp;Q$13)/AS51!$B$3,"")))</f>
        <v/>
      </c>
      <c r="R188" s="113">
        <f>IF(R$13="","",IF($B188="","",IFERROR($C188*$D188*SUMIFS('Dvd Calendar'!$E$352:$CZ$352,'Dvd Calendar'!$E$351:$CZ$351,"&gt;"&amp;R$12,'Dvd Calendar'!$E$351:$CZ$351,"&lt;="&amp;R$13)/AS51!$B$3,"")))</f>
        <v/>
      </c>
      <c r="S188" s="113">
        <f>IF(S$13="","",IF($B188="","",IFERROR($C188*$D188*SUMIFS('Dvd Calendar'!$E$352:$CZ$352,'Dvd Calendar'!$E$351:$CZ$351,"&gt;"&amp;S$12,'Dvd Calendar'!$E$351:$CZ$351,"&lt;="&amp;S$13)/AS51!$B$3,"")))</f>
        <v/>
      </c>
      <c r="T188" s="113">
        <f>IF(T$13="","",IF($B188="","",IFERROR($C188*$D188*SUMIFS('Dvd Calendar'!$E$352:$CZ$352,'Dvd Calendar'!$E$351:$CZ$351,"&gt;"&amp;T$12,'Dvd Calendar'!$E$351:$CZ$351,"&lt;="&amp;T$13)/AS51!$B$3,"")))</f>
        <v/>
      </c>
      <c r="U188" s="113">
        <f>IF(U$13="","",IF($B188="","",IFERROR($C188*$D188*SUMIFS('Dvd Calendar'!$E$352:$CZ$352,'Dvd Calendar'!$E$351:$CZ$351,"&gt;"&amp;U$12,'Dvd Calendar'!$E$351:$CZ$351,"&lt;="&amp;U$13)/AS51!$B$3,"")))</f>
        <v/>
      </c>
      <c r="W188" s="113">
        <f>IF(W$13="","",IF($B188="","",IFERROR(F188*$E188/100,"")))</f>
        <v/>
      </c>
      <c r="X188" s="113">
        <f>IF(X$13="","",IF($B188="","",IFERROR(G188*$E188/100,"")))</f>
        <v/>
      </c>
      <c r="Y188" s="113">
        <f>IF(Y$13="","",IF($B188="","",IFERROR(H188*$E188/100,"")))</f>
        <v/>
      </c>
      <c r="Z188" s="113">
        <f>IF(Z$13="","",IF($B188="","",IFERROR(I188*$E188/100,"")))</f>
        <v/>
      </c>
      <c r="AA188" s="113">
        <f>IF(AA$13="","",IF($B188="","",IFERROR(J188*$E188/100,"")))</f>
        <v/>
      </c>
      <c r="AB188" s="113">
        <f>IF(AB$13="","",IF($B188="","",IFERROR(K188*$E188/100,"")))</f>
        <v/>
      </c>
      <c r="AC188" s="113">
        <f>IF(AC$13="","",IF($B188="","",IFERROR(L188*$E188/100,"")))</f>
        <v/>
      </c>
      <c r="AD188" s="113">
        <f>IF(AD$13="","",IF($B188="","",IFERROR(M188*$E188/100,"")))</f>
        <v/>
      </c>
      <c r="AE188" s="113">
        <f>IF(AE$13="","",IF($B188="","",IFERROR(N188*$E188/100,"")))</f>
        <v/>
      </c>
      <c r="AF188" s="113">
        <f>IF(AF$13="","",IF($B188="","",IFERROR(O188*$E188/100,"")))</f>
        <v/>
      </c>
      <c r="AG188" s="113">
        <f>IF(AG$13="","",IF($B188="","",IFERROR(P188*$E188/100,"")))</f>
        <v/>
      </c>
      <c r="AH188" s="113">
        <f>IF(AH$13="","",IF($B188="","",IFERROR(Q188*$E188/100,"")))</f>
        <v/>
      </c>
      <c r="AI188" s="113">
        <f>IF(AI$13="","",IF($B188="","",IFERROR(R188*$E188/100,"")))</f>
        <v/>
      </c>
      <c r="AJ188" s="113">
        <f>IF(AJ$13="","",IF($B188="","",IFERROR(S188*$E188/100,"")))</f>
        <v/>
      </c>
      <c r="AK188" s="113">
        <f>IF(AK$13="","",IF($B188="","",IFERROR(T188*$E188/100,"")))</f>
        <v/>
      </c>
      <c r="AL188" s="113">
        <f>IF(AL$13="","",IF($B188="","",IFERROR(U188*$E188/100,"")))</f>
        <v/>
      </c>
    </row>
    <row r="189">
      <c r="B189" s="5">
        <f>IF(AS51!$C$179="","",AS51!$C$179)</f>
        <v/>
      </c>
      <c r="C189" s="86">
        <f>IF(AS51!$B$179="","",AS51!$B$179)</f>
        <v/>
      </c>
      <c r="D189" s="111">
        <f>IFERROR(AS51!$Q$179,1)</f>
        <v/>
      </c>
      <c r="E189" s="112">
        <f>IF($B189="","",IF(ISNUMBER(AS51!$I$179),AS51!$I$179,'Index Summary'!$C$7))</f>
        <v/>
      </c>
      <c r="F189" s="113">
        <f>IF(F$13="","",IF($B189="","",IFERROR($C189*$D189*SUMIFS('Dvd Calendar'!$E$354:$CZ$354,'Dvd Calendar'!$E$353:$CZ$353,"&gt;"&amp;F$12,'Dvd Calendar'!$E$353:$CZ$353,"&lt;="&amp;F$13)/AS51!$B$3,"")))</f>
        <v/>
      </c>
      <c r="G189" s="113">
        <f>IF(G$13="","",IF($B189="","",IFERROR($C189*$D189*SUMIFS('Dvd Calendar'!$E$354:$CZ$354,'Dvd Calendar'!$E$353:$CZ$353,"&gt;"&amp;G$12,'Dvd Calendar'!$E$353:$CZ$353,"&lt;="&amp;G$13)/AS51!$B$3,"")))</f>
        <v/>
      </c>
      <c r="H189" s="113">
        <f>IF(H$13="","",IF($B189="","",IFERROR($C189*$D189*SUMIFS('Dvd Calendar'!$E$354:$CZ$354,'Dvd Calendar'!$E$353:$CZ$353,"&gt;"&amp;H$12,'Dvd Calendar'!$E$353:$CZ$353,"&lt;="&amp;H$13)/AS51!$B$3,"")))</f>
        <v/>
      </c>
      <c r="I189" s="113">
        <f>IF(I$13="","",IF($B189="","",IFERROR($C189*$D189*SUMIFS('Dvd Calendar'!$E$354:$CZ$354,'Dvd Calendar'!$E$353:$CZ$353,"&gt;"&amp;I$12,'Dvd Calendar'!$E$353:$CZ$353,"&lt;="&amp;I$13)/AS51!$B$3,"")))</f>
        <v/>
      </c>
      <c r="J189" s="113">
        <f>IF(J$13="","",IF($B189="","",IFERROR($C189*$D189*SUMIFS('Dvd Calendar'!$E$354:$CZ$354,'Dvd Calendar'!$E$353:$CZ$353,"&gt;"&amp;J$12,'Dvd Calendar'!$E$353:$CZ$353,"&lt;="&amp;J$13)/AS51!$B$3,"")))</f>
        <v/>
      </c>
      <c r="K189" s="113">
        <f>IF(K$13="","",IF($B189="","",IFERROR($C189*$D189*SUMIFS('Dvd Calendar'!$E$354:$CZ$354,'Dvd Calendar'!$E$353:$CZ$353,"&gt;"&amp;K$12,'Dvd Calendar'!$E$353:$CZ$353,"&lt;="&amp;K$13)/AS51!$B$3,"")))</f>
        <v/>
      </c>
      <c r="L189" s="113">
        <f>IF(L$13="","",IF($B189="","",IFERROR($C189*$D189*SUMIFS('Dvd Calendar'!$E$354:$CZ$354,'Dvd Calendar'!$E$353:$CZ$353,"&gt;"&amp;L$12,'Dvd Calendar'!$E$353:$CZ$353,"&lt;="&amp;L$13)/AS51!$B$3,"")))</f>
        <v/>
      </c>
      <c r="M189" s="113">
        <f>IF(M$13="","",IF($B189="","",IFERROR($C189*$D189*SUMIFS('Dvd Calendar'!$E$354:$CZ$354,'Dvd Calendar'!$E$353:$CZ$353,"&gt;"&amp;M$12,'Dvd Calendar'!$E$353:$CZ$353,"&lt;="&amp;M$13)/AS51!$B$3,"")))</f>
        <v/>
      </c>
      <c r="N189" s="113">
        <f>IF(N$13="","",IF($B189="","",IFERROR($C189*$D189*SUMIFS('Dvd Calendar'!$E$354:$CZ$354,'Dvd Calendar'!$E$353:$CZ$353,"&gt;"&amp;N$12,'Dvd Calendar'!$E$353:$CZ$353,"&lt;="&amp;N$13)/AS51!$B$3,"")))</f>
        <v/>
      </c>
      <c r="O189" s="113">
        <f>IF(O$13="","",IF($B189="","",IFERROR($C189*$D189*SUMIFS('Dvd Calendar'!$E$354:$CZ$354,'Dvd Calendar'!$E$353:$CZ$353,"&gt;"&amp;O$12,'Dvd Calendar'!$E$353:$CZ$353,"&lt;="&amp;O$13)/AS51!$B$3,"")))</f>
        <v/>
      </c>
      <c r="P189" s="113">
        <f>IF(P$13="","",IF($B189="","",IFERROR($C189*$D189*SUMIFS('Dvd Calendar'!$E$354:$CZ$354,'Dvd Calendar'!$E$353:$CZ$353,"&gt;"&amp;P$12,'Dvd Calendar'!$E$353:$CZ$353,"&lt;="&amp;P$13)/AS51!$B$3,"")))</f>
        <v/>
      </c>
      <c r="Q189" s="113">
        <f>IF(Q$13="","",IF($B189="","",IFERROR($C189*$D189*SUMIFS('Dvd Calendar'!$E$354:$CZ$354,'Dvd Calendar'!$E$353:$CZ$353,"&gt;"&amp;Q$12,'Dvd Calendar'!$E$353:$CZ$353,"&lt;="&amp;Q$13)/AS51!$B$3,"")))</f>
        <v/>
      </c>
      <c r="R189" s="113">
        <f>IF(R$13="","",IF($B189="","",IFERROR($C189*$D189*SUMIFS('Dvd Calendar'!$E$354:$CZ$354,'Dvd Calendar'!$E$353:$CZ$353,"&gt;"&amp;R$12,'Dvd Calendar'!$E$353:$CZ$353,"&lt;="&amp;R$13)/AS51!$B$3,"")))</f>
        <v/>
      </c>
      <c r="S189" s="113">
        <f>IF(S$13="","",IF($B189="","",IFERROR($C189*$D189*SUMIFS('Dvd Calendar'!$E$354:$CZ$354,'Dvd Calendar'!$E$353:$CZ$353,"&gt;"&amp;S$12,'Dvd Calendar'!$E$353:$CZ$353,"&lt;="&amp;S$13)/AS51!$B$3,"")))</f>
        <v/>
      </c>
      <c r="T189" s="113">
        <f>IF(T$13="","",IF($B189="","",IFERROR($C189*$D189*SUMIFS('Dvd Calendar'!$E$354:$CZ$354,'Dvd Calendar'!$E$353:$CZ$353,"&gt;"&amp;T$12,'Dvd Calendar'!$E$353:$CZ$353,"&lt;="&amp;T$13)/AS51!$B$3,"")))</f>
        <v/>
      </c>
      <c r="U189" s="113">
        <f>IF(U$13="","",IF($B189="","",IFERROR($C189*$D189*SUMIFS('Dvd Calendar'!$E$354:$CZ$354,'Dvd Calendar'!$E$353:$CZ$353,"&gt;"&amp;U$12,'Dvd Calendar'!$E$353:$CZ$353,"&lt;="&amp;U$13)/AS51!$B$3,"")))</f>
        <v/>
      </c>
      <c r="W189" s="113">
        <f>IF(W$13="","",IF($B189="","",IFERROR(F189*$E189/100,"")))</f>
        <v/>
      </c>
      <c r="X189" s="113">
        <f>IF(X$13="","",IF($B189="","",IFERROR(G189*$E189/100,"")))</f>
        <v/>
      </c>
      <c r="Y189" s="113">
        <f>IF(Y$13="","",IF($B189="","",IFERROR(H189*$E189/100,"")))</f>
        <v/>
      </c>
      <c r="Z189" s="113">
        <f>IF(Z$13="","",IF($B189="","",IFERROR(I189*$E189/100,"")))</f>
        <v/>
      </c>
      <c r="AA189" s="113">
        <f>IF(AA$13="","",IF($B189="","",IFERROR(J189*$E189/100,"")))</f>
        <v/>
      </c>
      <c r="AB189" s="113">
        <f>IF(AB$13="","",IF($B189="","",IFERROR(K189*$E189/100,"")))</f>
        <v/>
      </c>
      <c r="AC189" s="113">
        <f>IF(AC$13="","",IF($B189="","",IFERROR(L189*$E189/100,"")))</f>
        <v/>
      </c>
      <c r="AD189" s="113">
        <f>IF(AD$13="","",IF($B189="","",IFERROR(M189*$E189/100,"")))</f>
        <v/>
      </c>
      <c r="AE189" s="113">
        <f>IF(AE$13="","",IF($B189="","",IFERROR(N189*$E189/100,"")))</f>
        <v/>
      </c>
      <c r="AF189" s="113">
        <f>IF(AF$13="","",IF($B189="","",IFERROR(O189*$E189/100,"")))</f>
        <v/>
      </c>
      <c r="AG189" s="113">
        <f>IF(AG$13="","",IF($B189="","",IFERROR(P189*$E189/100,"")))</f>
        <v/>
      </c>
      <c r="AH189" s="113">
        <f>IF(AH$13="","",IF($B189="","",IFERROR(Q189*$E189/100,"")))</f>
        <v/>
      </c>
      <c r="AI189" s="113">
        <f>IF(AI$13="","",IF($B189="","",IFERROR(R189*$E189/100,"")))</f>
        <v/>
      </c>
      <c r="AJ189" s="113">
        <f>IF(AJ$13="","",IF($B189="","",IFERROR(S189*$E189/100,"")))</f>
        <v/>
      </c>
      <c r="AK189" s="113">
        <f>IF(AK$13="","",IF($B189="","",IFERROR(T189*$E189/100,"")))</f>
        <v/>
      </c>
      <c r="AL189" s="113">
        <f>IF(AL$13="","",IF($B189="","",IFERROR(U189*$E189/100,"")))</f>
        <v/>
      </c>
    </row>
    <row r="190">
      <c r="B190" s="5">
        <f>IF(AS51!$C$180="","",AS51!$C$180)</f>
        <v/>
      </c>
      <c r="C190" s="86">
        <f>IF(AS51!$B$180="","",AS51!$B$180)</f>
        <v/>
      </c>
      <c r="D190" s="111">
        <f>IFERROR(AS51!$Q$180,1)</f>
        <v/>
      </c>
      <c r="E190" s="112">
        <f>IF($B190="","",IF(ISNUMBER(AS51!$I$180),AS51!$I$180,'Index Summary'!$C$7))</f>
        <v/>
      </c>
      <c r="F190" s="113">
        <f>IF(F$13="","",IF($B190="","",IFERROR($C190*$D190*SUMIFS('Dvd Calendar'!$E$356:$CZ$356,'Dvd Calendar'!$E$355:$CZ$355,"&gt;"&amp;F$12,'Dvd Calendar'!$E$355:$CZ$355,"&lt;="&amp;F$13)/AS51!$B$3,"")))</f>
        <v/>
      </c>
      <c r="G190" s="113">
        <f>IF(G$13="","",IF($B190="","",IFERROR($C190*$D190*SUMIFS('Dvd Calendar'!$E$356:$CZ$356,'Dvd Calendar'!$E$355:$CZ$355,"&gt;"&amp;G$12,'Dvd Calendar'!$E$355:$CZ$355,"&lt;="&amp;G$13)/AS51!$B$3,"")))</f>
        <v/>
      </c>
      <c r="H190" s="113">
        <f>IF(H$13="","",IF($B190="","",IFERROR($C190*$D190*SUMIFS('Dvd Calendar'!$E$356:$CZ$356,'Dvd Calendar'!$E$355:$CZ$355,"&gt;"&amp;H$12,'Dvd Calendar'!$E$355:$CZ$355,"&lt;="&amp;H$13)/AS51!$B$3,"")))</f>
        <v/>
      </c>
      <c r="I190" s="113">
        <f>IF(I$13="","",IF($B190="","",IFERROR($C190*$D190*SUMIFS('Dvd Calendar'!$E$356:$CZ$356,'Dvd Calendar'!$E$355:$CZ$355,"&gt;"&amp;I$12,'Dvd Calendar'!$E$355:$CZ$355,"&lt;="&amp;I$13)/AS51!$B$3,"")))</f>
        <v/>
      </c>
      <c r="J190" s="113">
        <f>IF(J$13="","",IF($B190="","",IFERROR($C190*$D190*SUMIFS('Dvd Calendar'!$E$356:$CZ$356,'Dvd Calendar'!$E$355:$CZ$355,"&gt;"&amp;J$12,'Dvd Calendar'!$E$355:$CZ$355,"&lt;="&amp;J$13)/AS51!$B$3,"")))</f>
        <v/>
      </c>
      <c r="K190" s="113">
        <f>IF(K$13="","",IF($B190="","",IFERROR($C190*$D190*SUMIFS('Dvd Calendar'!$E$356:$CZ$356,'Dvd Calendar'!$E$355:$CZ$355,"&gt;"&amp;K$12,'Dvd Calendar'!$E$355:$CZ$355,"&lt;="&amp;K$13)/AS51!$B$3,"")))</f>
        <v/>
      </c>
      <c r="L190" s="113">
        <f>IF(L$13="","",IF($B190="","",IFERROR($C190*$D190*SUMIFS('Dvd Calendar'!$E$356:$CZ$356,'Dvd Calendar'!$E$355:$CZ$355,"&gt;"&amp;L$12,'Dvd Calendar'!$E$355:$CZ$355,"&lt;="&amp;L$13)/AS51!$B$3,"")))</f>
        <v/>
      </c>
      <c r="M190" s="113">
        <f>IF(M$13="","",IF($B190="","",IFERROR($C190*$D190*SUMIFS('Dvd Calendar'!$E$356:$CZ$356,'Dvd Calendar'!$E$355:$CZ$355,"&gt;"&amp;M$12,'Dvd Calendar'!$E$355:$CZ$355,"&lt;="&amp;M$13)/AS51!$B$3,"")))</f>
        <v/>
      </c>
      <c r="N190" s="113">
        <f>IF(N$13="","",IF($B190="","",IFERROR($C190*$D190*SUMIFS('Dvd Calendar'!$E$356:$CZ$356,'Dvd Calendar'!$E$355:$CZ$355,"&gt;"&amp;N$12,'Dvd Calendar'!$E$355:$CZ$355,"&lt;="&amp;N$13)/AS51!$B$3,"")))</f>
        <v/>
      </c>
      <c r="O190" s="113">
        <f>IF(O$13="","",IF($B190="","",IFERROR($C190*$D190*SUMIFS('Dvd Calendar'!$E$356:$CZ$356,'Dvd Calendar'!$E$355:$CZ$355,"&gt;"&amp;O$12,'Dvd Calendar'!$E$355:$CZ$355,"&lt;="&amp;O$13)/AS51!$B$3,"")))</f>
        <v/>
      </c>
      <c r="P190" s="113">
        <f>IF(P$13="","",IF($B190="","",IFERROR($C190*$D190*SUMIFS('Dvd Calendar'!$E$356:$CZ$356,'Dvd Calendar'!$E$355:$CZ$355,"&gt;"&amp;P$12,'Dvd Calendar'!$E$355:$CZ$355,"&lt;="&amp;P$13)/AS51!$B$3,"")))</f>
        <v/>
      </c>
      <c r="Q190" s="113">
        <f>IF(Q$13="","",IF($B190="","",IFERROR($C190*$D190*SUMIFS('Dvd Calendar'!$E$356:$CZ$356,'Dvd Calendar'!$E$355:$CZ$355,"&gt;"&amp;Q$12,'Dvd Calendar'!$E$355:$CZ$355,"&lt;="&amp;Q$13)/AS51!$B$3,"")))</f>
        <v/>
      </c>
      <c r="R190" s="113">
        <f>IF(R$13="","",IF($B190="","",IFERROR($C190*$D190*SUMIFS('Dvd Calendar'!$E$356:$CZ$356,'Dvd Calendar'!$E$355:$CZ$355,"&gt;"&amp;R$12,'Dvd Calendar'!$E$355:$CZ$355,"&lt;="&amp;R$13)/AS51!$B$3,"")))</f>
        <v/>
      </c>
      <c r="S190" s="113">
        <f>IF(S$13="","",IF($B190="","",IFERROR($C190*$D190*SUMIFS('Dvd Calendar'!$E$356:$CZ$356,'Dvd Calendar'!$E$355:$CZ$355,"&gt;"&amp;S$12,'Dvd Calendar'!$E$355:$CZ$355,"&lt;="&amp;S$13)/AS51!$B$3,"")))</f>
        <v/>
      </c>
      <c r="T190" s="113">
        <f>IF(T$13="","",IF($B190="","",IFERROR($C190*$D190*SUMIFS('Dvd Calendar'!$E$356:$CZ$356,'Dvd Calendar'!$E$355:$CZ$355,"&gt;"&amp;T$12,'Dvd Calendar'!$E$355:$CZ$355,"&lt;="&amp;T$13)/AS51!$B$3,"")))</f>
        <v/>
      </c>
      <c r="U190" s="113">
        <f>IF(U$13="","",IF($B190="","",IFERROR($C190*$D190*SUMIFS('Dvd Calendar'!$E$356:$CZ$356,'Dvd Calendar'!$E$355:$CZ$355,"&gt;"&amp;U$12,'Dvd Calendar'!$E$355:$CZ$355,"&lt;="&amp;U$13)/AS51!$B$3,"")))</f>
        <v/>
      </c>
      <c r="W190" s="113">
        <f>IF(W$13="","",IF($B190="","",IFERROR(F190*$E190/100,"")))</f>
        <v/>
      </c>
      <c r="X190" s="113">
        <f>IF(X$13="","",IF($B190="","",IFERROR(G190*$E190/100,"")))</f>
        <v/>
      </c>
      <c r="Y190" s="113">
        <f>IF(Y$13="","",IF($B190="","",IFERROR(H190*$E190/100,"")))</f>
        <v/>
      </c>
      <c r="Z190" s="113">
        <f>IF(Z$13="","",IF($B190="","",IFERROR(I190*$E190/100,"")))</f>
        <v/>
      </c>
      <c r="AA190" s="113">
        <f>IF(AA$13="","",IF($B190="","",IFERROR(J190*$E190/100,"")))</f>
        <v/>
      </c>
      <c r="AB190" s="113">
        <f>IF(AB$13="","",IF($B190="","",IFERROR(K190*$E190/100,"")))</f>
        <v/>
      </c>
      <c r="AC190" s="113">
        <f>IF(AC$13="","",IF($B190="","",IFERROR(L190*$E190/100,"")))</f>
        <v/>
      </c>
      <c r="AD190" s="113">
        <f>IF(AD$13="","",IF($B190="","",IFERROR(M190*$E190/100,"")))</f>
        <v/>
      </c>
      <c r="AE190" s="113">
        <f>IF(AE$13="","",IF($B190="","",IFERROR(N190*$E190/100,"")))</f>
        <v/>
      </c>
      <c r="AF190" s="113">
        <f>IF(AF$13="","",IF($B190="","",IFERROR(O190*$E190/100,"")))</f>
        <v/>
      </c>
      <c r="AG190" s="113">
        <f>IF(AG$13="","",IF($B190="","",IFERROR(P190*$E190/100,"")))</f>
        <v/>
      </c>
      <c r="AH190" s="113">
        <f>IF(AH$13="","",IF($B190="","",IFERROR(Q190*$E190/100,"")))</f>
        <v/>
      </c>
      <c r="AI190" s="113">
        <f>IF(AI$13="","",IF($B190="","",IFERROR(R190*$E190/100,"")))</f>
        <v/>
      </c>
      <c r="AJ190" s="113">
        <f>IF(AJ$13="","",IF($B190="","",IFERROR(S190*$E190/100,"")))</f>
        <v/>
      </c>
      <c r="AK190" s="113">
        <f>IF(AK$13="","",IF($B190="","",IFERROR(T190*$E190/100,"")))</f>
        <v/>
      </c>
      <c r="AL190" s="113">
        <f>IF(AL$13="","",IF($B190="","",IFERROR(U190*$E190/100,"")))</f>
        <v/>
      </c>
    </row>
    <row r="191">
      <c r="B191" s="5">
        <f>IF(AS51!$C$181="","",AS51!$C$181)</f>
        <v/>
      </c>
      <c r="C191" s="86">
        <f>IF(AS51!$B$181="","",AS51!$B$181)</f>
        <v/>
      </c>
      <c r="D191" s="111">
        <f>IFERROR(AS51!$Q$181,1)</f>
        <v/>
      </c>
      <c r="E191" s="112">
        <f>IF($B191="","",IF(ISNUMBER(AS51!$I$181),AS51!$I$181,'Index Summary'!$C$7))</f>
        <v/>
      </c>
      <c r="F191" s="113">
        <f>IF(F$13="","",IF($B191="","",IFERROR($C191*$D191*SUMIFS('Dvd Calendar'!$E$358:$CZ$358,'Dvd Calendar'!$E$357:$CZ$357,"&gt;"&amp;F$12,'Dvd Calendar'!$E$357:$CZ$357,"&lt;="&amp;F$13)/AS51!$B$3,"")))</f>
        <v/>
      </c>
      <c r="G191" s="113">
        <f>IF(G$13="","",IF($B191="","",IFERROR($C191*$D191*SUMIFS('Dvd Calendar'!$E$358:$CZ$358,'Dvd Calendar'!$E$357:$CZ$357,"&gt;"&amp;G$12,'Dvd Calendar'!$E$357:$CZ$357,"&lt;="&amp;G$13)/AS51!$B$3,"")))</f>
        <v/>
      </c>
      <c r="H191" s="113">
        <f>IF(H$13="","",IF($B191="","",IFERROR($C191*$D191*SUMIFS('Dvd Calendar'!$E$358:$CZ$358,'Dvd Calendar'!$E$357:$CZ$357,"&gt;"&amp;H$12,'Dvd Calendar'!$E$357:$CZ$357,"&lt;="&amp;H$13)/AS51!$B$3,"")))</f>
        <v/>
      </c>
      <c r="I191" s="113">
        <f>IF(I$13="","",IF($B191="","",IFERROR($C191*$D191*SUMIFS('Dvd Calendar'!$E$358:$CZ$358,'Dvd Calendar'!$E$357:$CZ$357,"&gt;"&amp;I$12,'Dvd Calendar'!$E$357:$CZ$357,"&lt;="&amp;I$13)/AS51!$B$3,"")))</f>
        <v/>
      </c>
      <c r="J191" s="113">
        <f>IF(J$13="","",IF($B191="","",IFERROR($C191*$D191*SUMIFS('Dvd Calendar'!$E$358:$CZ$358,'Dvd Calendar'!$E$357:$CZ$357,"&gt;"&amp;J$12,'Dvd Calendar'!$E$357:$CZ$357,"&lt;="&amp;J$13)/AS51!$B$3,"")))</f>
        <v/>
      </c>
      <c r="K191" s="113">
        <f>IF(K$13="","",IF($B191="","",IFERROR($C191*$D191*SUMIFS('Dvd Calendar'!$E$358:$CZ$358,'Dvd Calendar'!$E$357:$CZ$357,"&gt;"&amp;K$12,'Dvd Calendar'!$E$357:$CZ$357,"&lt;="&amp;K$13)/AS51!$B$3,"")))</f>
        <v/>
      </c>
      <c r="L191" s="113">
        <f>IF(L$13="","",IF($B191="","",IFERROR($C191*$D191*SUMIFS('Dvd Calendar'!$E$358:$CZ$358,'Dvd Calendar'!$E$357:$CZ$357,"&gt;"&amp;L$12,'Dvd Calendar'!$E$357:$CZ$357,"&lt;="&amp;L$13)/AS51!$B$3,"")))</f>
        <v/>
      </c>
      <c r="M191" s="113">
        <f>IF(M$13="","",IF($B191="","",IFERROR($C191*$D191*SUMIFS('Dvd Calendar'!$E$358:$CZ$358,'Dvd Calendar'!$E$357:$CZ$357,"&gt;"&amp;M$12,'Dvd Calendar'!$E$357:$CZ$357,"&lt;="&amp;M$13)/AS51!$B$3,"")))</f>
        <v/>
      </c>
      <c r="N191" s="113">
        <f>IF(N$13="","",IF($B191="","",IFERROR($C191*$D191*SUMIFS('Dvd Calendar'!$E$358:$CZ$358,'Dvd Calendar'!$E$357:$CZ$357,"&gt;"&amp;N$12,'Dvd Calendar'!$E$357:$CZ$357,"&lt;="&amp;N$13)/AS51!$B$3,"")))</f>
        <v/>
      </c>
      <c r="O191" s="113">
        <f>IF(O$13="","",IF($B191="","",IFERROR($C191*$D191*SUMIFS('Dvd Calendar'!$E$358:$CZ$358,'Dvd Calendar'!$E$357:$CZ$357,"&gt;"&amp;O$12,'Dvd Calendar'!$E$357:$CZ$357,"&lt;="&amp;O$13)/AS51!$B$3,"")))</f>
        <v/>
      </c>
      <c r="P191" s="113">
        <f>IF(P$13="","",IF($B191="","",IFERROR($C191*$D191*SUMIFS('Dvd Calendar'!$E$358:$CZ$358,'Dvd Calendar'!$E$357:$CZ$357,"&gt;"&amp;P$12,'Dvd Calendar'!$E$357:$CZ$357,"&lt;="&amp;P$13)/AS51!$B$3,"")))</f>
        <v/>
      </c>
      <c r="Q191" s="113">
        <f>IF(Q$13="","",IF($B191="","",IFERROR($C191*$D191*SUMIFS('Dvd Calendar'!$E$358:$CZ$358,'Dvd Calendar'!$E$357:$CZ$357,"&gt;"&amp;Q$12,'Dvd Calendar'!$E$357:$CZ$357,"&lt;="&amp;Q$13)/AS51!$B$3,"")))</f>
        <v/>
      </c>
      <c r="R191" s="113">
        <f>IF(R$13="","",IF($B191="","",IFERROR($C191*$D191*SUMIFS('Dvd Calendar'!$E$358:$CZ$358,'Dvd Calendar'!$E$357:$CZ$357,"&gt;"&amp;R$12,'Dvd Calendar'!$E$357:$CZ$357,"&lt;="&amp;R$13)/AS51!$B$3,"")))</f>
        <v/>
      </c>
      <c r="S191" s="113">
        <f>IF(S$13="","",IF($B191="","",IFERROR($C191*$D191*SUMIFS('Dvd Calendar'!$E$358:$CZ$358,'Dvd Calendar'!$E$357:$CZ$357,"&gt;"&amp;S$12,'Dvd Calendar'!$E$357:$CZ$357,"&lt;="&amp;S$13)/AS51!$B$3,"")))</f>
        <v/>
      </c>
      <c r="T191" s="113">
        <f>IF(T$13="","",IF($B191="","",IFERROR($C191*$D191*SUMIFS('Dvd Calendar'!$E$358:$CZ$358,'Dvd Calendar'!$E$357:$CZ$357,"&gt;"&amp;T$12,'Dvd Calendar'!$E$357:$CZ$357,"&lt;="&amp;T$13)/AS51!$B$3,"")))</f>
        <v/>
      </c>
      <c r="U191" s="113">
        <f>IF(U$13="","",IF($B191="","",IFERROR($C191*$D191*SUMIFS('Dvd Calendar'!$E$358:$CZ$358,'Dvd Calendar'!$E$357:$CZ$357,"&gt;"&amp;U$12,'Dvd Calendar'!$E$357:$CZ$357,"&lt;="&amp;U$13)/AS51!$B$3,"")))</f>
        <v/>
      </c>
      <c r="W191" s="113">
        <f>IF(W$13="","",IF($B191="","",IFERROR(F191*$E191/100,"")))</f>
        <v/>
      </c>
      <c r="X191" s="113">
        <f>IF(X$13="","",IF($B191="","",IFERROR(G191*$E191/100,"")))</f>
        <v/>
      </c>
      <c r="Y191" s="113">
        <f>IF(Y$13="","",IF($B191="","",IFERROR(H191*$E191/100,"")))</f>
        <v/>
      </c>
      <c r="Z191" s="113">
        <f>IF(Z$13="","",IF($B191="","",IFERROR(I191*$E191/100,"")))</f>
        <v/>
      </c>
      <c r="AA191" s="113">
        <f>IF(AA$13="","",IF($B191="","",IFERROR(J191*$E191/100,"")))</f>
        <v/>
      </c>
      <c r="AB191" s="113">
        <f>IF(AB$13="","",IF($B191="","",IFERROR(K191*$E191/100,"")))</f>
        <v/>
      </c>
      <c r="AC191" s="113">
        <f>IF(AC$13="","",IF($B191="","",IFERROR(L191*$E191/100,"")))</f>
        <v/>
      </c>
      <c r="AD191" s="113">
        <f>IF(AD$13="","",IF($B191="","",IFERROR(M191*$E191/100,"")))</f>
        <v/>
      </c>
      <c r="AE191" s="113">
        <f>IF(AE$13="","",IF($B191="","",IFERROR(N191*$E191/100,"")))</f>
        <v/>
      </c>
      <c r="AF191" s="113">
        <f>IF(AF$13="","",IF($B191="","",IFERROR(O191*$E191/100,"")))</f>
        <v/>
      </c>
      <c r="AG191" s="113">
        <f>IF(AG$13="","",IF($B191="","",IFERROR(P191*$E191/100,"")))</f>
        <v/>
      </c>
      <c r="AH191" s="113">
        <f>IF(AH$13="","",IF($B191="","",IFERROR(Q191*$E191/100,"")))</f>
        <v/>
      </c>
      <c r="AI191" s="113">
        <f>IF(AI$13="","",IF($B191="","",IFERROR(R191*$E191/100,"")))</f>
        <v/>
      </c>
      <c r="AJ191" s="113">
        <f>IF(AJ$13="","",IF($B191="","",IFERROR(S191*$E191/100,"")))</f>
        <v/>
      </c>
      <c r="AK191" s="113">
        <f>IF(AK$13="","",IF($B191="","",IFERROR(T191*$E191/100,"")))</f>
        <v/>
      </c>
      <c r="AL191" s="113">
        <f>IF(AL$13="","",IF($B191="","",IFERROR(U191*$E191/100,"")))</f>
        <v/>
      </c>
    </row>
    <row r="192">
      <c r="B192" s="5">
        <f>IF(AS51!$C$182="","",AS51!$C$182)</f>
        <v/>
      </c>
      <c r="C192" s="86">
        <f>IF(AS51!$B$182="","",AS51!$B$182)</f>
        <v/>
      </c>
      <c r="D192" s="111">
        <f>IFERROR(AS51!$Q$182,1)</f>
        <v/>
      </c>
      <c r="E192" s="112">
        <f>IF($B192="","",IF(ISNUMBER(AS51!$I$182),AS51!$I$182,'Index Summary'!$C$7))</f>
        <v/>
      </c>
      <c r="F192" s="113">
        <f>IF(F$13="","",IF($B192="","",IFERROR($C192*$D192*SUMIFS('Dvd Calendar'!$E$360:$CZ$360,'Dvd Calendar'!$E$359:$CZ$359,"&gt;"&amp;F$12,'Dvd Calendar'!$E$359:$CZ$359,"&lt;="&amp;F$13)/AS51!$B$3,"")))</f>
        <v/>
      </c>
      <c r="G192" s="113">
        <f>IF(G$13="","",IF($B192="","",IFERROR($C192*$D192*SUMIFS('Dvd Calendar'!$E$360:$CZ$360,'Dvd Calendar'!$E$359:$CZ$359,"&gt;"&amp;G$12,'Dvd Calendar'!$E$359:$CZ$359,"&lt;="&amp;G$13)/AS51!$B$3,"")))</f>
        <v/>
      </c>
      <c r="H192" s="113">
        <f>IF(H$13="","",IF($B192="","",IFERROR($C192*$D192*SUMIFS('Dvd Calendar'!$E$360:$CZ$360,'Dvd Calendar'!$E$359:$CZ$359,"&gt;"&amp;H$12,'Dvd Calendar'!$E$359:$CZ$359,"&lt;="&amp;H$13)/AS51!$B$3,"")))</f>
        <v/>
      </c>
      <c r="I192" s="113">
        <f>IF(I$13="","",IF($B192="","",IFERROR($C192*$D192*SUMIFS('Dvd Calendar'!$E$360:$CZ$360,'Dvd Calendar'!$E$359:$CZ$359,"&gt;"&amp;I$12,'Dvd Calendar'!$E$359:$CZ$359,"&lt;="&amp;I$13)/AS51!$B$3,"")))</f>
        <v/>
      </c>
      <c r="J192" s="113">
        <f>IF(J$13="","",IF($B192="","",IFERROR($C192*$D192*SUMIFS('Dvd Calendar'!$E$360:$CZ$360,'Dvd Calendar'!$E$359:$CZ$359,"&gt;"&amp;J$12,'Dvd Calendar'!$E$359:$CZ$359,"&lt;="&amp;J$13)/AS51!$B$3,"")))</f>
        <v/>
      </c>
      <c r="K192" s="113">
        <f>IF(K$13="","",IF($B192="","",IFERROR($C192*$D192*SUMIFS('Dvd Calendar'!$E$360:$CZ$360,'Dvd Calendar'!$E$359:$CZ$359,"&gt;"&amp;K$12,'Dvd Calendar'!$E$359:$CZ$359,"&lt;="&amp;K$13)/AS51!$B$3,"")))</f>
        <v/>
      </c>
      <c r="L192" s="113">
        <f>IF(L$13="","",IF($B192="","",IFERROR($C192*$D192*SUMIFS('Dvd Calendar'!$E$360:$CZ$360,'Dvd Calendar'!$E$359:$CZ$359,"&gt;"&amp;L$12,'Dvd Calendar'!$E$359:$CZ$359,"&lt;="&amp;L$13)/AS51!$B$3,"")))</f>
        <v/>
      </c>
      <c r="M192" s="113">
        <f>IF(M$13="","",IF($B192="","",IFERROR($C192*$D192*SUMIFS('Dvd Calendar'!$E$360:$CZ$360,'Dvd Calendar'!$E$359:$CZ$359,"&gt;"&amp;M$12,'Dvd Calendar'!$E$359:$CZ$359,"&lt;="&amp;M$13)/AS51!$B$3,"")))</f>
        <v/>
      </c>
      <c r="N192" s="113">
        <f>IF(N$13="","",IF($B192="","",IFERROR($C192*$D192*SUMIFS('Dvd Calendar'!$E$360:$CZ$360,'Dvd Calendar'!$E$359:$CZ$359,"&gt;"&amp;N$12,'Dvd Calendar'!$E$359:$CZ$359,"&lt;="&amp;N$13)/AS51!$B$3,"")))</f>
        <v/>
      </c>
      <c r="O192" s="113">
        <f>IF(O$13="","",IF($B192="","",IFERROR($C192*$D192*SUMIFS('Dvd Calendar'!$E$360:$CZ$360,'Dvd Calendar'!$E$359:$CZ$359,"&gt;"&amp;O$12,'Dvd Calendar'!$E$359:$CZ$359,"&lt;="&amp;O$13)/AS51!$B$3,"")))</f>
        <v/>
      </c>
      <c r="P192" s="113">
        <f>IF(P$13="","",IF($B192="","",IFERROR($C192*$D192*SUMIFS('Dvd Calendar'!$E$360:$CZ$360,'Dvd Calendar'!$E$359:$CZ$359,"&gt;"&amp;P$12,'Dvd Calendar'!$E$359:$CZ$359,"&lt;="&amp;P$13)/AS51!$B$3,"")))</f>
        <v/>
      </c>
      <c r="Q192" s="113">
        <f>IF(Q$13="","",IF($B192="","",IFERROR($C192*$D192*SUMIFS('Dvd Calendar'!$E$360:$CZ$360,'Dvd Calendar'!$E$359:$CZ$359,"&gt;"&amp;Q$12,'Dvd Calendar'!$E$359:$CZ$359,"&lt;="&amp;Q$13)/AS51!$B$3,"")))</f>
        <v/>
      </c>
      <c r="R192" s="113">
        <f>IF(R$13="","",IF($B192="","",IFERROR($C192*$D192*SUMIFS('Dvd Calendar'!$E$360:$CZ$360,'Dvd Calendar'!$E$359:$CZ$359,"&gt;"&amp;R$12,'Dvd Calendar'!$E$359:$CZ$359,"&lt;="&amp;R$13)/AS51!$B$3,"")))</f>
        <v/>
      </c>
      <c r="S192" s="113">
        <f>IF(S$13="","",IF($B192="","",IFERROR($C192*$D192*SUMIFS('Dvd Calendar'!$E$360:$CZ$360,'Dvd Calendar'!$E$359:$CZ$359,"&gt;"&amp;S$12,'Dvd Calendar'!$E$359:$CZ$359,"&lt;="&amp;S$13)/AS51!$B$3,"")))</f>
        <v/>
      </c>
      <c r="T192" s="113">
        <f>IF(T$13="","",IF($B192="","",IFERROR($C192*$D192*SUMIFS('Dvd Calendar'!$E$360:$CZ$360,'Dvd Calendar'!$E$359:$CZ$359,"&gt;"&amp;T$12,'Dvd Calendar'!$E$359:$CZ$359,"&lt;="&amp;T$13)/AS51!$B$3,"")))</f>
        <v/>
      </c>
      <c r="U192" s="113">
        <f>IF(U$13="","",IF($B192="","",IFERROR($C192*$D192*SUMIFS('Dvd Calendar'!$E$360:$CZ$360,'Dvd Calendar'!$E$359:$CZ$359,"&gt;"&amp;U$12,'Dvd Calendar'!$E$359:$CZ$359,"&lt;="&amp;U$13)/AS51!$B$3,"")))</f>
        <v/>
      </c>
      <c r="W192" s="113">
        <f>IF(W$13="","",IF($B192="","",IFERROR(F192*$E192/100,"")))</f>
        <v/>
      </c>
      <c r="X192" s="113">
        <f>IF(X$13="","",IF($B192="","",IFERROR(G192*$E192/100,"")))</f>
        <v/>
      </c>
      <c r="Y192" s="113">
        <f>IF(Y$13="","",IF($B192="","",IFERROR(H192*$E192/100,"")))</f>
        <v/>
      </c>
      <c r="Z192" s="113">
        <f>IF(Z$13="","",IF($B192="","",IFERROR(I192*$E192/100,"")))</f>
        <v/>
      </c>
      <c r="AA192" s="113">
        <f>IF(AA$13="","",IF($B192="","",IFERROR(J192*$E192/100,"")))</f>
        <v/>
      </c>
      <c r="AB192" s="113">
        <f>IF(AB$13="","",IF($B192="","",IFERROR(K192*$E192/100,"")))</f>
        <v/>
      </c>
      <c r="AC192" s="113">
        <f>IF(AC$13="","",IF($B192="","",IFERROR(L192*$E192/100,"")))</f>
        <v/>
      </c>
      <c r="AD192" s="113">
        <f>IF(AD$13="","",IF($B192="","",IFERROR(M192*$E192/100,"")))</f>
        <v/>
      </c>
      <c r="AE192" s="113">
        <f>IF(AE$13="","",IF($B192="","",IFERROR(N192*$E192/100,"")))</f>
        <v/>
      </c>
      <c r="AF192" s="113">
        <f>IF(AF$13="","",IF($B192="","",IFERROR(O192*$E192/100,"")))</f>
        <v/>
      </c>
      <c r="AG192" s="113">
        <f>IF(AG$13="","",IF($B192="","",IFERROR(P192*$E192/100,"")))</f>
        <v/>
      </c>
      <c r="AH192" s="113">
        <f>IF(AH$13="","",IF($B192="","",IFERROR(Q192*$E192/100,"")))</f>
        <v/>
      </c>
      <c r="AI192" s="113">
        <f>IF(AI$13="","",IF($B192="","",IFERROR(R192*$E192/100,"")))</f>
        <v/>
      </c>
      <c r="AJ192" s="113">
        <f>IF(AJ$13="","",IF($B192="","",IFERROR(S192*$E192/100,"")))</f>
        <v/>
      </c>
      <c r="AK192" s="113">
        <f>IF(AK$13="","",IF($B192="","",IFERROR(T192*$E192/100,"")))</f>
        <v/>
      </c>
      <c r="AL192" s="113">
        <f>IF(AL$13="","",IF($B192="","",IFERROR(U192*$E192/100,"")))</f>
        <v/>
      </c>
    </row>
    <row r="193">
      <c r="B193" s="5">
        <f>IF(AS51!$C$183="","",AS51!$C$183)</f>
        <v/>
      </c>
      <c r="C193" s="86">
        <f>IF(AS51!$B$183="","",AS51!$B$183)</f>
        <v/>
      </c>
      <c r="D193" s="111">
        <f>IFERROR(AS51!$Q$183,1)</f>
        <v/>
      </c>
      <c r="E193" s="112">
        <f>IF($B193="","",IF(ISNUMBER(AS51!$I$183),AS51!$I$183,'Index Summary'!$C$7))</f>
        <v/>
      </c>
      <c r="F193" s="113">
        <f>IF(F$13="","",IF($B193="","",IFERROR($C193*$D193*SUMIFS('Dvd Calendar'!$E$362:$CZ$362,'Dvd Calendar'!$E$361:$CZ$361,"&gt;"&amp;F$12,'Dvd Calendar'!$E$361:$CZ$361,"&lt;="&amp;F$13)/AS51!$B$3,"")))</f>
        <v/>
      </c>
      <c r="G193" s="113">
        <f>IF(G$13="","",IF($B193="","",IFERROR($C193*$D193*SUMIFS('Dvd Calendar'!$E$362:$CZ$362,'Dvd Calendar'!$E$361:$CZ$361,"&gt;"&amp;G$12,'Dvd Calendar'!$E$361:$CZ$361,"&lt;="&amp;G$13)/AS51!$B$3,"")))</f>
        <v/>
      </c>
      <c r="H193" s="113">
        <f>IF(H$13="","",IF($B193="","",IFERROR($C193*$D193*SUMIFS('Dvd Calendar'!$E$362:$CZ$362,'Dvd Calendar'!$E$361:$CZ$361,"&gt;"&amp;H$12,'Dvd Calendar'!$E$361:$CZ$361,"&lt;="&amp;H$13)/AS51!$B$3,"")))</f>
        <v/>
      </c>
      <c r="I193" s="113">
        <f>IF(I$13="","",IF($B193="","",IFERROR($C193*$D193*SUMIFS('Dvd Calendar'!$E$362:$CZ$362,'Dvd Calendar'!$E$361:$CZ$361,"&gt;"&amp;I$12,'Dvd Calendar'!$E$361:$CZ$361,"&lt;="&amp;I$13)/AS51!$B$3,"")))</f>
        <v/>
      </c>
      <c r="J193" s="113">
        <f>IF(J$13="","",IF($B193="","",IFERROR($C193*$D193*SUMIFS('Dvd Calendar'!$E$362:$CZ$362,'Dvd Calendar'!$E$361:$CZ$361,"&gt;"&amp;J$12,'Dvd Calendar'!$E$361:$CZ$361,"&lt;="&amp;J$13)/AS51!$B$3,"")))</f>
        <v/>
      </c>
      <c r="K193" s="113">
        <f>IF(K$13="","",IF($B193="","",IFERROR($C193*$D193*SUMIFS('Dvd Calendar'!$E$362:$CZ$362,'Dvd Calendar'!$E$361:$CZ$361,"&gt;"&amp;K$12,'Dvd Calendar'!$E$361:$CZ$361,"&lt;="&amp;K$13)/AS51!$B$3,"")))</f>
        <v/>
      </c>
      <c r="L193" s="113">
        <f>IF(L$13="","",IF($B193="","",IFERROR($C193*$D193*SUMIFS('Dvd Calendar'!$E$362:$CZ$362,'Dvd Calendar'!$E$361:$CZ$361,"&gt;"&amp;L$12,'Dvd Calendar'!$E$361:$CZ$361,"&lt;="&amp;L$13)/AS51!$B$3,"")))</f>
        <v/>
      </c>
      <c r="M193" s="113">
        <f>IF(M$13="","",IF($B193="","",IFERROR($C193*$D193*SUMIFS('Dvd Calendar'!$E$362:$CZ$362,'Dvd Calendar'!$E$361:$CZ$361,"&gt;"&amp;M$12,'Dvd Calendar'!$E$361:$CZ$361,"&lt;="&amp;M$13)/AS51!$B$3,"")))</f>
        <v/>
      </c>
      <c r="N193" s="113">
        <f>IF(N$13="","",IF($B193="","",IFERROR($C193*$D193*SUMIFS('Dvd Calendar'!$E$362:$CZ$362,'Dvd Calendar'!$E$361:$CZ$361,"&gt;"&amp;N$12,'Dvd Calendar'!$E$361:$CZ$361,"&lt;="&amp;N$13)/AS51!$B$3,"")))</f>
        <v/>
      </c>
      <c r="O193" s="113">
        <f>IF(O$13="","",IF($B193="","",IFERROR($C193*$D193*SUMIFS('Dvd Calendar'!$E$362:$CZ$362,'Dvd Calendar'!$E$361:$CZ$361,"&gt;"&amp;O$12,'Dvd Calendar'!$E$361:$CZ$361,"&lt;="&amp;O$13)/AS51!$B$3,"")))</f>
        <v/>
      </c>
      <c r="P193" s="113">
        <f>IF(P$13="","",IF($B193="","",IFERROR($C193*$D193*SUMIFS('Dvd Calendar'!$E$362:$CZ$362,'Dvd Calendar'!$E$361:$CZ$361,"&gt;"&amp;P$12,'Dvd Calendar'!$E$361:$CZ$361,"&lt;="&amp;P$13)/AS51!$B$3,"")))</f>
        <v/>
      </c>
      <c r="Q193" s="113">
        <f>IF(Q$13="","",IF($B193="","",IFERROR($C193*$D193*SUMIFS('Dvd Calendar'!$E$362:$CZ$362,'Dvd Calendar'!$E$361:$CZ$361,"&gt;"&amp;Q$12,'Dvd Calendar'!$E$361:$CZ$361,"&lt;="&amp;Q$13)/AS51!$B$3,"")))</f>
        <v/>
      </c>
      <c r="R193" s="113">
        <f>IF(R$13="","",IF($B193="","",IFERROR($C193*$D193*SUMIFS('Dvd Calendar'!$E$362:$CZ$362,'Dvd Calendar'!$E$361:$CZ$361,"&gt;"&amp;R$12,'Dvd Calendar'!$E$361:$CZ$361,"&lt;="&amp;R$13)/AS51!$B$3,"")))</f>
        <v/>
      </c>
      <c r="S193" s="113">
        <f>IF(S$13="","",IF($B193="","",IFERROR($C193*$D193*SUMIFS('Dvd Calendar'!$E$362:$CZ$362,'Dvd Calendar'!$E$361:$CZ$361,"&gt;"&amp;S$12,'Dvd Calendar'!$E$361:$CZ$361,"&lt;="&amp;S$13)/AS51!$B$3,"")))</f>
        <v/>
      </c>
      <c r="T193" s="113">
        <f>IF(T$13="","",IF($B193="","",IFERROR($C193*$D193*SUMIFS('Dvd Calendar'!$E$362:$CZ$362,'Dvd Calendar'!$E$361:$CZ$361,"&gt;"&amp;T$12,'Dvd Calendar'!$E$361:$CZ$361,"&lt;="&amp;T$13)/AS51!$B$3,"")))</f>
        <v/>
      </c>
      <c r="U193" s="113">
        <f>IF(U$13="","",IF($B193="","",IFERROR($C193*$D193*SUMIFS('Dvd Calendar'!$E$362:$CZ$362,'Dvd Calendar'!$E$361:$CZ$361,"&gt;"&amp;U$12,'Dvd Calendar'!$E$361:$CZ$361,"&lt;="&amp;U$13)/AS51!$B$3,"")))</f>
        <v/>
      </c>
      <c r="W193" s="113">
        <f>IF(W$13="","",IF($B193="","",IFERROR(F193*$E193/100,"")))</f>
        <v/>
      </c>
      <c r="X193" s="113">
        <f>IF(X$13="","",IF($B193="","",IFERROR(G193*$E193/100,"")))</f>
        <v/>
      </c>
      <c r="Y193" s="113">
        <f>IF(Y$13="","",IF($B193="","",IFERROR(H193*$E193/100,"")))</f>
        <v/>
      </c>
      <c r="Z193" s="113">
        <f>IF(Z$13="","",IF($B193="","",IFERROR(I193*$E193/100,"")))</f>
        <v/>
      </c>
      <c r="AA193" s="113">
        <f>IF(AA$13="","",IF($B193="","",IFERROR(J193*$E193/100,"")))</f>
        <v/>
      </c>
      <c r="AB193" s="113">
        <f>IF(AB$13="","",IF($B193="","",IFERROR(K193*$E193/100,"")))</f>
        <v/>
      </c>
      <c r="AC193" s="113">
        <f>IF(AC$13="","",IF($B193="","",IFERROR(L193*$E193/100,"")))</f>
        <v/>
      </c>
      <c r="AD193" s="113">
        <f>IF(AD$13="","",IF($B193="","",IFERROR(M193*$E193/100,"")))</f>
        <v/>
      </c>
      <c r="AE193" s="113">
        <f>IF(AE$13="","",IF($B193="","",IFERROR(N193*$E193/100,"")))</f>
        <v/>
      </c>
      <c r="AF193" s="113">
        <f>IF(AF$13="","",IF($B193="","",IFERROR(O193*$E193/100,"")))</f>
        <v/>
      </c>
      <c r="AG193" s="113">
        <f>IF(AG$13="","",IF($B193="","",IFERROR(P193*$E193/100,"")))</f>
        <v/>
      </c>
      <c r="AH193" s="113">
        <f>IF(AH$13="","",IF($B193="","",IFERROR(Q193*$E193/100,"")))</f>
        <v/>
      </c>
      <c r="AI193" s="113">
        <f>IF(AI$13="","",IF($B193="","",IFERROR(R193*$E193/100,"")))</f>
        <v/>
      </c>
      <c r="AJ193" s="113">
        <f>IF(AJ$13="","",IF($B193="","",IFERROR(S193*$E193/100,"")))</f>
        <v/>
      </c>
      <c r="AK193" s="113">
        <f>IF(AK$13="","",IF($B193="","",IFERROR(T193*$E193/100,"")))</f>
        <v/>
      </c>
      <c r="AL193" s="113">
        <f>IF(AL$13="","",IF($B193="","",IFERROR(U193*$E193/100,"")))</f>
        <v/>
      </c>
    </row>
    <row r="194">
      <c r="B194" s="5">
        <f>IF(AS51!$C$184="","",AS51!$C$184)</f>
        <v/>
      </c>
      <c r="C194" s="86">
        <f>IF(AS51!$B$184="","",AS51!$B$184)</f>
        <v/>
      </c>
      <c r="D194" s="111">
        <f>IFERROR(AS51!$Q$184,1)</f>
        <v/>
      </c>
      <c r="E194" s="112">
        <f>IF($B194="","",IF(ISNUMBER(AS51!$I$184),AS51!$I$184,'Index Summary'!$C$7))</f>
        <v/>
      </c>
      <c r="F194" s="113">
        <f>IF(F$13="","",IF($B194="","",IFERROR($C194*$D194*SUMIFS('Dvd Calendar'!$E$364:$CZ$364,'Dvd Calendar'!$E$363:$CZ$363,"&gt;"&amp;F$12,'Dvd Calendar'!$E$363:$CZ$363,"&lt;="&amp;F$13)/AS51!$B$3,"")))</f>
        <v/>
      </c>
      <c r="G194" s="113">
        <f>IF(G$13="","",IF($B194="","",IFERROR($C194*$D194*SUMIFS('Dvd Calendar'!$E$364:$CZ$364,'Dvd Calendar'!$E$363:$CZ$363,"&gt;"&amp;G$12,'Dvd Calendar'!$E$363:$CZ$363,"&lt;="&amp;G$13)/AS51!$B$3,"")))</f>
        <v/>
      </c>
      <c r="H194" s="113">
        <f>IF(H$13="","",IF($B194="","",IFERROR($C194*$D194*SUMIFS('Dvd Calendar'!$E$364:$CZ$364,'Dvd Calendar'!$E$363:$CZ$363,"&gt;"&amp;H$12,'Dvd Calendar'!$E$363:$CZ$363,"&lt;="&amp;H$13)/AS51!$B$3,"")))</f>
        <v/>
      </c>
      <c r="I194" s="113">
        <f>IF(I$13="","",IF($B194="","",IFERROR($C194*$D194*SUMIFS('Dvd Calendar'!$E$364:$CZ$364,'Dvd Calendar'!$E$363:$CZ$363,"&gt;"&amp;I$12,'Dvd Calendar'!$E$363:$CZ$363,"&lt;="&amp;I$13)/AS51!$B$3,"")))</f>
        <v/>
      </c>
      <c r="J194" s="113">
        <f>IF(J$13="","",IF($B194="","",IFERROR($C194*$D194*SUMIFS('Dvd Calendar'!$E$364:$CZ$364,'Dvd Calendar'!$E$363:$CZ$363,"&gt;"&amp;J$12,'Dvd Calendar'!$E$363:$CZ$363,"&lt;="&amp;J$13)/AS51!$B$3,"")))</f>
        <v/>
      </c>
      <c r="K194" s="113">
        <f>IF(K$13="","",IF($B194="","",IFERROR($C194*$D194*SUMIFS('Dvd Calendar'!$E$364:$CZ$364,'Dvd Calendar'!$E$363:$CZ$363,"&gt;"&amp;K$12,'Dvd Calendar'!$E$363:$CZ$363,"&lt;="&amp;K$13)/AS51!$B$3,"")))</f>
        <v/>
      </c>
      <c r="L194" s="113">
        <f>IF(L$13="","",IF($B194="","",IFERROR($C194*$D194*SUMIFS('Dvd Calendar'!$E$364:$CZ$364,'Dvd Calendar'!$E$363:$CZ$363,"&gt;"&amp;L$12,'Dvd Calendar'!$E$363:$CZ$363,"&lt;="&amp;L$13)/AS51!$B$3,"")))</f>
        <v/>
      </c>
      <c r="M194" s="113">
        <f>IF(M$13="","",IF($B194="","",IFERROR($C194*$D194*SUMIFS('Dvd Calendar'!$E$364:$CZ$364,'Dvd Calendar'!$E$363:$CZ$363,"&gt;"&amp;M$12,'Dvd Calendar'!$E$363:$CZ$363,"&lt;="&amp;M$13)/AS51!$B$3,"")))</f>
        <v/>
      </c>
      <c r="N194" s="113">
        <f>IF(N$13="","",IF($B194="","",IFERROR($C194*$D194*SUMIFS('Dvd Calendar'!$E$364:$CZ$364,'Dvd Calendar'!$E$363:$CZ$363,"&gt;"&amp;N$12,'Dvd Calendar'!$E$363:$CZ$363,"&lt;="&amp;N$13)/AS51!$B$3,"")))</f>
        <v/>
      </c>
      <c r="O194" s="113">
        <f>IF(O$13="","",IF($B194="","",IFERROR($C194*$D194*SUMIFS('Dvd Calendar'!$E$364:$CZ$364,'Dvd Calendar'!$E$363:$CZ$363,"&gt;"&amp;O$12,'Dvd Calendar'!$E$363:$CZ$363,"&lt;="&amp;O$13)/AS51!$B$3,"")))</f>
        <v/>
      </c>
      <c r="P194" s="113">
        <f>IF(P$13="","",IF($B194="","",IFERROR($C194*$D194*SUMIFS('Dvd Calendar'!$E$364:$CZ$364,'Dvd Calendar'!$E$363:$CZ$363,"&gt;"&amp;P$12,'Dvd Calendar'!$E$363:$CZ$363,"&lt;="&amp;P$13)/AS51!$B$3,"")))</f>
        <v/>
      </c>
      <c r="Q194" s="113">
        <f>IF(Q$13="","",IF($B194="","",IFERROR($C194*$D194*SUMIFS('Dvd Calendar'!$E$364:$CZ$364,'Dvd Calendar'!$E$363:$CZ$363,"&gt;"&amp;Q$12,'Dvd Calendar'!$E$363:$CZ$363,"&lt;="&amp;Q$13)/AS51!$B$3,"")))</f>
        <v/>
      </c>
      <c r="R194" s="113">
        <f>IF(R$13="","",IF($B194="","",IFERROR($C194*$D194*SUMIFS('Dvd Calendar'!$E$364:$CZ$364,'Dvd Calendar'!$E$363:$CZ$363,"&gt;"&amp;R$12,'Dvd Calendar'!$E$363:$CZ$363,"&lt;="&amp;R$13)/AS51!$B$3,"")))</f>
        <v/>
      </c>
      <c r="S194" s="113">
        <f>IF(S$13="","",IF($B194="","",IFERROR($C194*$D194*SUMIFS('Dvd Calendar'!$E$364:$CZ$364,'Dvd Calendar'!$E$363:$CZ$363,"&gt;"&amp;S$12,'Dvd Calendar'!$E$363:$CZ$363,"&lt;="&amp;S$13)/AS51!$B$3,"")))</f>
        <v/>
      </c>
      <c r="T194" s="113">
        <f>IF(T$13="","",IF($B194="","",IFERROR($C194*$D194*SUMIFS('Dvd Calendar'!$E$364:$CZ$364,'Dvd Calendar'!$E$363:$CZ$363,"&gt;"&amp;T$12,'Dvd Calendar'!$E$363:$CZ$363,"&lt;="&amp;T$13)/AS51!$B$3,"")))</f>
        <v/>
      </c>
      <c r="U194" s="113">
        <f>IF(U$13="","",IF($B194="","",IFERROR($C194*$D194*SUMIFS('Dvd Calendar'!$E$364:$CZ$364,'Dvd Calendar'!$E$363:$CZ$363,"&gt;"&amp;U$12,'Dvd Calendar'!$E$363:$CZ$363,"&lt;="&amp;U$13)/AS51!$B$3,"")))</f>
        <v/>
      </c>
      <c r="W194" s="113">
        <f>IF(W$13="","",IF($B194="","",IFERROR(F194*$E194/100,"")))</f>
        <v/>
      </c>
      <c r="X194" s="113">
        <f>IF(X$13="","",IF($B194="","",IFERROR(G194*$E194/100,"")))</f>
        <v/>
      </c>
      <c r="Y194" s="113">
        <f>IF(Y$13="","",IF($B194="","",IFERROR(H194*$E194/100,"")))</f>
        <v/>
      </c>
      <c r="Z194" s="113">
        <f>IF(Z$13="","",IF($B194="","",IFERROR(I194*$E194/100,"")))</f>
        <v/>
      </c>
      <c r="AA194" s="113">
        <f>IF(AA$13="","",IF($B194="","",IFERROR(J194*$E194/100,"")))</f>
        <v/>
      </c>
      <c r="AB194" s="113">
        <f>IF(AB$13="","",IF($B194="","",IFERROR(K194*$E194/100,"")))</f>
        <v/>
      </c>
      <c r="AC194" s="113">
        <f>IF(AC$13="","",IF($B194="","",IFERROR(L194*$E194/100,"")))</f>
        <v/>
      </c>
      <c r="AD194" s="113">
        <f>IF(AD$13="","",IF($B194="","",IFERROR(M194*$E194/100,"")))</f>
        <v/>
      </c>
      <c r="AE194" s="113">
        <f>IF(AE$13="","",IF($B194="","",IFERROR(N194*$E194/100,"")))</f>
        <v/>
      </c>
      <c r="AF194" s="113">
        <f>IF(AF$13="","",IF($B194="","",IFERROR(O194*$E194/100,"")))</f>
        <v/>
      </c>
      <c r="AG194" s="113">
        <f>IF(AG$13="","",IF($B194="","",IFERROR(P194*$E194/100,"")))</f>
        <v/>
      </c>
      <c r="AH194" s="113">
        <f>IF(AH$13="","",IF($B194="","",IFERROR(Q194*$E194/100,"")))</f>
        <v/>
      </c>
      <c r="AI194" s="113">
        <f>IF(AI$13="","",IF($B194="","",IFERROR(R194*$E194/100,"")))</f>
        <v/>
      </c>
      <c r="AJ194" s="113">
        <f>IF(AJ$13="","",IF($B194="","",IFERROR(S194*$E194/100,"")))</f>
        <v/>
      </c>
      <c r="AK194" s="113">
        <f>IF(AK$13="","",IF($B194="","",IFERROR(T194*$E194/100,"")))</f>
        <v/>
      </c>
      <c r="AL194" s="113">
        <f>IF(AL$13="","",IF($B194="","",IFERROR(U194*$E194/100,"")))</f>
        <v/>
      </c>
    </row>
    <row r="195">
      <c r="B195" s="5">
        <f>IF(AS51!$C$185="","",AS51!$C$185)</f>
        <v/>
      </c>
      <c r="C195" s="86">
        <f>IF(AS51!$B$185="","",AS51!$B$185)</f>
        <v/>
      </c>
      <c r="D195" s="111">
        <f>IFERROR(AS51!$Q$185,1)</f>
        <v/>
      </c>
      <c r="E195" s="112">
        <f>IF($B195="","",IF(ISNUMBER(AS51!$I$185),AS51!$I$185,'Index Summary'!$C$7))</f>
        <v/>
      </c>
      <c r="F195" s="113">
        <f>IF(F$13="","",IF($B195="","",IFERROR($C195*$D195*SUMIFS('Dvd Calendar'!$E$366:$CZ$366,'Dvd Calendar'!$E$365:$CZ$365,"&gt;"&amp;F$12,'Dvd Calendar'!$E$365:$CZ$365,"&lt;="&amp;F$13)/AS51!$B$3,"")))</f>
        <v/>
      </c>
      <c r="G195" s="113">
        <f>IF(G$13="","",IF($B195="","",IFERROR($C195*$D195*SUMIFS('Dvd Calendar'!$E$366:$CZ$366,'Dvd Calendar'!$E$365:$CZ$365,"&gt;"&amp;G$12,'Dvd Calendar'!$E$365:$CZ$365,"&lt;="&amp;G$13)/AS51!$B$3,"")))</f>
        <v/>
      </c>
      <c r="H195" s="113">
        <f>IF(H$13="","",IF($B195="","",IFERROR($C195*$D195*SUMIFS('Dvd Calendar'!$E$366:$CZ$366,'Dvd Calendar'!$E$365:$CZ$365,"&gt;"&amp;H$12,'Dvd Calendar'!$E$365:$CZ$365,"&lt;="&amp;H$13)/AS51!$B$3,"")))</f>
        <v/>
      </c>
      <c r="I195" s="113">
        <f>IF(I$13="","",IF($B195="","",IFERROR($C195*$D195*SUMIFS('Dvd Calendar'!$E$366:$CZ$366,'Dvd Calendar'!$E$365:$CZ$365,"&gt;"&amp;I$12,'Dvd Calendar'!$E$365:$CZ$365,"&lt;="&amp;I$13)/AS51!$B$3,"")))</f>
        <v/>
      </c>
      <c r="J195" s="113">
        <f>IF(J$13="","",IF($B195="","",IFERROR($C195*$D195*SUMIFS('Dvd Calendar'!$E$366:$CZ$366,'Dvd Calendar'!$E$365:$CZ$365,"&gt;"&amp;J$12,'Dvd Calendar'!$E$365:$CZ$365,"&lt;="&amp;J$13)/AS51!$B$3,"")))</f>
        <v/>
      </c>
      <c r="K195" s="113">
        <f>IF(K$13="","",IF($B195="","",IFERROR($C195*$D195*SUMIFS('Dvd Calendar'!$E$366:$CZ$366,'Dvd Calendar'!$E$365:$CZ$365,"&gt;"&amp;K$12,'Dvd Calendar'!$E$365:$CZ$365,"&lt;="&amp;K$13)/AS51!$B$3,"")))</f>
        <v/>
      </c>
      <c r="L195" s="113">
        <f>IF(L$13="","",IF($B195="","",IFERROR($C195*$D195*SUMIFS('Dvd Calendar'!$E$366:$CZ$366,'Dvd Calendar'!$E$365:$CZ$365,"&gt;"&amp;L$12,'Dvd Calendar'!$E$365:$CZ$365,"&lt;="&amp;L$13)/AS51!$B$3,"")))</f>
        <v/>
      </c>
      <c r="M195" s="113">
        <f>IF(M$13="","",IF($B195="","",IFERROR($C195*$D195*SUMIFS('Dvd Calendar'!$E$366:$CZ$366,'Dvd Calendar'!$E$365:$CZ$365,"&gt;"&amp;M$12,'Dvd Calendar'!$E$365:$CZ$365,"&lt;="&amp;M$13)/AS51!$B$3,"")))</f>
        <v/>
      </c>
      <c r="N195" s="113">
        <f>IF(N$13="","",IF($B195="","",IFERROR($C195*$D195*SUMIFS('Dvd Calendar'!$E$366:$CZ$366,'Dvd Calendar'!$E$365:$CZ$365,"&gt;"&amp;N$12,'Dvd Calendar'!$E$365:$CZ$365,"&lt;="&amp;N$13)/AS51!$B$3,"")))</f>
        <v/>
      </c>
      <c r="O195" s="113">
        <f>IF(O$13="","",IF($B195="","",IFERROR($C195*$D195*SUMIFS('Dvd Calendar'!$E$366:$CZ$366,'Dvd Calendar'!$E$365:$CZ$365,"&gt;"&amp;O$12,'Dvd Calendar'!$E$365:$CZ$365,"&lt;="&amp;O$13)/AS51!$B$3,"")))</f>
        <v/>
      </c>
      <c r="P195" s="113">
        <f>IF(P$13="","",IF($B195="","",IFERROR($C195*$D195*SUMIFS('Dvd Calendar'!$E$366:$CZ$366,'Dvd Calendar'!$E$365:$CZ$365,"&gt;"&amp;P$12,'Dvd Calendar'!$E$365:$CZ$365,"&lt;="&amp;P$13)/AS51!$B$3,"")))</f>
        <v/>
      </c>
      <c r="Q195" s="113">
        <f>IF(Q$13="","",IF($B195="","",IFERROR($C195*$D195*SUMIFS('Dvd Calendar'!$E$366:$CZ$366,'Dvd Calendar'!$E$365:$CZ$365,"&gt;"&amp;Q$12,'Dvd Calendar'!$E$365:$CZ$365,"&lt;="&amp;Q$13)/AS51!$B$3,"")))</f>
        <v/>
      </c>
      <c r="R195" s="113">
        <f>IF(R$13="","",IF($B195="","",IFERROR($C195*$D195*SUMIFS('Dvd Calendar'!$E$366:$CZ$366,'Dvd Calendar'!$E$365:$CZ$365,"&gt;"&amp;R$12,'Dvd Calendar'!$E$365:$CZ$365,"&lt;="&amp;R$13)/AS51!$B$3,"")))</f>
        <v/>
      </c>
      <c r="S195" s="113">
        <f>IF(S$13="","",IF($B195="","",IFERROR($C195*$D195*SUMIFS('Dvd Calendar'!$E$366:$CZ$366,'Dvd Calendar'!$E$365:$CZ$365,"&gt;"&amp;S$12,'Dvd Calendar'!$E$365:$CZ$365,"&lt;="&amp;S$13)/AS51!$B$3,"")))</f>
        <v/>
      </c>
      <c r="T195" s="113">
        <f>IF(T$13="","",IF($B195="","",IFERROR($C195*$D195*SUMIFS('Dvd Calendar'!$E$366:$CZ$366,'Dvd Calendar'!$E$365:$CZ$365,"&gt;"&amp;T$12,'Dvd Calendar'!$E$365:$CZ$365,"&lt;="&amp;T$13)/AS51!$B$3,"")))</f>
        <v/>
      </c>
      <c r="U195" s="113">
        <f>IF(U$13="","",IF($B195="","",IFERROR($C195*$D195*SUMIFS('Dvd Calendar'!$E$366:$CZ$366,'Dvd Calendar'!$E$365:$CZ$365,"&gt;"&amp;U$12,'Dvd Calendar'!$E$365:$CZ$365,"&lt;="&amp;U$13)/AS51!$B$3,"")))</f>
        <v/>
      </c>
      <c r="W195" s="113">
        <f>IF(W$13="","",IF($B195="","",IFERROR(F195*$E195/100,"")))</f>
        <v/>
      </c>
      <c r="X195" s="113">
        <f>IF(X$13="","",IF($B195="","",IFERROR(G195*$E195/100,"")))</f>
        <v/>
      </c>
      <c r="Y195" s="113">
        <f>IF(Y$13="","",IF($B195="","",IFERROR(H195*$E195/100,"")))</f>
        <v/>
      </c>
      <c r="Z195" s="113">
        <f>IF(Z$13="","",IF($B195="","",IFERROR(I195*$E195/100,"")))</f>
        <v/>
      </c>
      <c r="AA195" s="113">
        <f>IF(AA$13="","",IF($B195="","",IFERROR(J195*$E195/100,"")))</f>
        <v/>
      </c>
      <c r="AB195" s="113">
        <f>IF(AB$13="","",IF($B195="","",IFERROR(K195*$E195/100,"")))</f>
        <v/>
      </c>
      <c r="AC195" s="113">
        <f>IF(AC$13="","",IF($B195="","",IFERROR(L195*$E195/100,"")))</f>
        <v/>
      </c>
      <c r="AD195" s="113">
        <f>IF(AD$13="","",IF($B195="","",IFERROR(M195*$E195/100,"")))</f>
        <v/>
      </c>
      <c r="AE195" s="113">
        <f>IF(AE$13="","",IF($B195="","",IFERROR(N195*$E195/100,"")))</f>
        <v/>
      </c>
      <c r="AF195" s="113">
        <f>IF(AF$13="","",IF($B195="","",IFERROR(O195*$E195/100,"")))</f>
        <v/>
      </c>
      <c r="AG195" s="113">
        <f>IF(AG$13="","",IF($B195="","",IFERROR(P195*$E195/100,"")))</f>
        <v/>
      </c>
      <c r="AH195" s="113">
        <f>IF(AH$13="","",IF($B195="","",IFERROR(Q195*$E195/100,"")))</f>
        <v/>
      </c>
      <c r="AI195" s="113">
        <f>IF(AI$13="","",IF($B195="","",IFERROR(R195*$E195/100,"")))</f>
        <v/>
      </c>
      <c r="AJ195" s="113">
        <f>IF(AJ$13="","",IF($B195="","",IFERROR(S195*$E195/100,"")))</f>
        <v/>
      </c>
      <c r="AK195" s="113">
        <f>IF(AK$13="","",IF($B195="","",IFERROR(T195*$E195/100,"")))</f>
        <v/>
      </c>
      <c r="AL195" s="113">
        <f>IF(AL$13="","",IF($B195="","",IFERROR(U195*$E195/100,"")))</f>
        <v/>
      </c>
    </row>
    <row r="196">
      <c r="B196" s="5">
        <f>IF(AS51!$C$186="","",AS51!$C$186)</f>
        <v/>
      </c>
      <c r="C196" s="86">
        <f>IF(AS51!$B$186="","",AS51!$B$186)</f>
        <v/>
      </c>
      <c r="D196" s="111">
        <f>IFERROR(AS51!$Q$186,1)</f>
        <v/>
      </c>
      <c r="E196" s="112">
        <f>IF($B196="","",IF(ISNUMBER(AS51!$I$186),AS51!$I$186,'Index Summary'!$C$7))</f>
        <v/>
      </c>
      <c r="F196" s="113">
        <f>IF(F$13="","",IF($B196="","",IFERROR($C196*$D196*SUMIFS('Dvd Calendar'!$E$368:$CZ$368,'Dvd Calendar'!$E$367:$CZ$367,"&gt;"&amp;F$12,'Dvd Calendar'!$E$367:$CZ$367,"&lt;="&amp;F$13)/AS51!$B$3,"")))</f>
        <v/>
      </c>
      <c r="G196" s="113">
        <f>IF(G$13="","",IF($B196="","",IFERROR($C196*$D196*SUMIFS('Dvd Calendar'!$E$368:$CZ$368,'Dvd Calendar'!$E$367:$CZ$367,"&gt;"&amp;G$12,'Dvd Calendar'!$E$367:$CZ$367,"&lt;="&amp;G$13)/AS51!$B$3,"")))</f>
        <v/>
      </c>
      <c r="H196" s="113">
        <f>IF(H$13="","",IF($B196="","",IFERROR($C196*$D196*SUMIFS('Dvd Calendar'!$E$368:$CZ$368,'Dvd Calendar'!$E$367:$CZ$367,"&gt;"&amp;H$12,'Dvd Calendar'!$E$367:$CZ$367,"&lt;="&amp;H$13)/AS51!$B$3,"")))</f>
        <v/>
      </c>
      <c r="I196" s="113">
        <f>IF(I$13="","",IF($B196="","",IFERROR($C196*$D196*SUMIFS('Dvd Calendar'!$E$368:$CZ$368,'Dvd Calendar'!$E$367:$CZ$367,"&gt;"&amp;I$12,'Dvd Calendar'!$E$367:$CZ$367,"&lt;="&amp;I$13)/AS51!$B$3,"")))</f>
        <v/>
      </c>
      <c r="J196" s="113">
        <f>IF(J$13="","",IF($B196="","",IFERROR($C196*$D196*SUMIFS('Dvd Calendar'!$E$368:$CZ$368,'Dvd Calendar'!$E$367:$CZ$367,"&gt;"&amp;J$12,'Dvd Calendar'!$E$367:$CZ$367,"&lt;="&amp;J$13)/AS51!$B$3,"")))</f>
        <v/>
      </c>
      <c r="K196" s="113">
        <f>IF(K$13="","",IF($B196="","",IFERROR($C196*$D196*SUMIFS('Dvd Calendar'!$E$368:$CZ$368,'Dvd Calendar'!$E$367:$CZ$367,"&gt;"&amp;K$12,'Dvd Calendar'!$E$367:$CZ$367,"&lt;="&amp;K$13)/AS51!$B$3,"")))</f>
        <v/>
      </c>
      <c r="L196" s="113">
        <f>IF(L$13="","",IF($B196="","",IFERROR($C196*$D196*SUMIFS('Dvd Calendar'!$E$368:$CZ$368,'Dvd Calendar'!$E$367:$CZ$367,"&gt;"&amp;L$12,'Dvd Calendar'!$E$367:$CZ$367,"&lt;="&amp;L$13)/AS51!$B$3,"")))</f>
        <v/>
      </c>
      <c r="M196" s="113">
        <f>IF(M$13="","",IF($B196="","",IFERROR($C196*$D196*SUMIFS('Dvd Calendar'!$E$368:$CZ$368,'Dvd Calendar'!$E$367:$CZ$367,"&gt;"&amp;M$12,'Dvd Calendar'!$E$367:$CZ$367,"&lt;="&amp;M$13)/AS51!$B$3,"")))</f>
        <v/>
      </c>
      <c r="N196" s="113">
        <f>IF(N$13="","",IF($B196="","",IFERROR($C196*$D196*SUMIFS('Dvd Calendar'!$E$368:$CZ$368,'Dvd Calendar'!$E$367:$CZ$367,"&gt;"&amp;N$12,'Dvd Calendar'!$E$367:$CZ$367,"&lt;="&amp;N$13)/AS51!$B$3,"")))</f>
        <v/>
      </c>
      <c r="O196" s="113">
        <f>IF(O$13="","",IF($B196="","",IFERROR($C196*$D196*SUMIFS('Dvd Calendar'!$E$368:$CZ$368,'Dvd Calendar'!$E$367:$CZ$367,"&gt;"&amp;O$12,'Dvd Calendar'!$E$367:$CZ$367,"&lt;="&amp;O$13)/AS51!$B$3,"")))</f>
        <v/>
      </c>
      <c r="P196" s="113">
        <f>IF(P$13="","",IF($B196="","",IFERROR($C196*$D196*SUMIFS('Dvd Calendar'!$E$368:$CZ$368,'Dvd Calendar'!$E$367:$CZ$367,"&gt;"&amp;P$12,'Dvd Calendar'!$E$367:$CZ$367,"&lt;="&amp;P$13)/AS51!$B$3,"")))</f>
        <v/>
      </c>
      <c r="Q196" s="113">
        <f>IF(Q$13="","",IF($B196="","",IFERROR($C196*$D196*SUMIFS('Dvd Calendar'!$E$368:$CZ$368,'Dvd Calendar'!$E$367:$CZ$367,"&gt;"&amp;Q$12,'Dvd Calendar'!$E$367:$CZ$367,"&lt;="&amp;Q$13)/AS51!$B$3,"")))</f>
        <v/>
      </c>
      <c r="R196" s="113">
        <f>IF(R$13="","",IF($B196="","",IFERROR($C196*$D196*SUMIFS('Dvd Calendar'!$E$368:$CZ$368,'Dvd Calendar'!$E$367:$CZ$367,"&gt;"&amp;R$12,'Dvd Calendar'!$E$367:$CZ$367,"&lt;="&amp;R$13)/AS51!$B$3,"")))</f>
        <v/>
      </c>
      <c r="S196" s="113">
        <f>IF(S$13="","",IF($B196="","",IFERROR($C196*$D196*SUMIFS('Dvd Calendar'!$E$368:$CZ$368,'Dvd Calendar'!$E$367:$CZ$367,"&gt;"&amp;S$12,'Dvd Calendar'!$E$367:$CZ$367,"&lt;="&amp;S$13)/AS51!$B$3,"")))</f>
        <v/>
      </c>
      <c r="T196" s="113">
        <f>IF(T$13="","",IF($B196="","",IFERROR($C196*$D196*SUMIFS('Dvd Calendar'!$E$368:$CZ$368,'Dvd Calendar'!$E$367:$CZ$367,"&gt;"&amp;T$12,'Dvd Calendar'!$E$367:$CZ$367,"&lt;="&amp;T$13)/AS51!$B$3,"")))</f>
        <v/>
      </c>
      <c r="U196" s="113">
        <f>IF(U$13="","",IF($B196="","",IFERROR($C196*$D196*SUMIFS('Dvd Calendar'!$E$368:$CZ$368,'Dvd Calendar'!$E$367:$CZ$367,"&gt;"&amp;U$12,'Dvd Calendar'!$E$367:$CZ$367,"&lt;="&amp;U$13)/AS51!$B$3,"")))</f>
        <v/>
      </c>
      <c r="W196" s="113">
        <f>IF(W$13="","",IF($B196="","",IFERROR(F196*$E196/100,"")))</f>
        <v/>
      </c>
      <c r="X196" s="113">
        <f>IF(X$13="","",IF($B196="","",IFERROR(G196*$E196/100,"")))</f>
        <v/>
      </c>
      <c r="Y196" s="113">
        <f>IF(Y$13="","",IF($B196="","",IFERROR(H196*$E196/100,"")))</f>
        <v/>
      </c>
      <c r="Z196" s="113">
        <f>IF(Z$13="","",IF($B196="","",IFERROR(I196*$E196/100,"")))</f>
        <v/>
      </c>
      <c r="AA196" s="113">
        <f>IF(AA$13="","",IF($B196="","",IFERROR(J196*$E196/100,"")))</f>
        <v/>
      </c>
      <c r="AB196" s="113">
        <f>IF(AB$13="","",IF($B196="","",IFERROR(K196*$E196/100,"")))</f>
        <v/>
      </c>
      <c r="AC196" s="113">
        <f>IF(AC$13="","",IF($B196="","",IFERROR(L196*$E196/100,"")))</f>
        <v/>
      </c>
      <c r="AD196" s="113">
        <f>IF(AD$13="","",IF($B196="","",IFERROR(M196*$E196/100,"")))</f>
        <v/>
      </c>
      <c r="AE196" s="113">
        <f>IF(AE$13="","",IF($B196="","",IFERROR(N196*$E196/100,"")))</f>
        <v/>
      </c>
      <c r="AF196" s="113">
        <f>IF(AF$13="","",IF($B196="","",IFERROR(O196*$E196/100,"")))</f>
        <v/>
      </c>
      <c r="AG196" s="113">
        <f>IF(AG$13="","",IF($B196="","",IFERROR(P196*$E196/100,"")))</f>
        <v/>
      </c>
      <c r="AH196" s="113">
        <f>IF(AH$13="","",IF($B196="","",IFERROR(Q196*$E196/100,"")))</f>
        <v/>
      </c>
      <c r="AI196" s="113">
        <f>IF(AI$13="","",IF($B196="","",IFERROR(R196*$E196/100,"")))</f>
        <v/>
      </c>
      <c r="AJ196" s="113">
        <f>IF(AJ$13="","",IF($B196="","",IFERROR(S196*$E196/100,"")))</f>
        <v/>
      </c>
      <c r="AK196" s="113">
        <f>IF(AK$13="","",IF($B196="","",IFERROR(T196*$E196/100,"")))</f>
        <v/>
      </c>
      <c r="AL196" s="113">
        <f>IF(AL$13="","",IF($B196="","",IFERROR(U196*$E196/100,"")))</f>
        <v/>
      </c>
    </row>
    <row r="197">
      <c r="B197" s="5">
        <f>IF(AS51!$C$187="","",AS51!$C$187)</f>
        <v/>
      </c>
      <c r="C197" s="86">
        <f>IF(AS51!$B$187="","",AS51!$B$187)</f>
        <v/>
      </c>
      <c r="D197" s="111">
        <f>IFERROR(AS51!$Q$187,1)</f>
        <v/>
      </c>
      <c r="E197" s="112">
        <f>IF($B197="","",IF(ISNUMBER(AS51!$I$187),AS51!$I$187,'Index Summary'!$C$7))</f>
        <v/>
      </c>
      <c r="F197" s="113">
        <f>IF(F$13="","",IF($B197="","",IFERROR($C197*$D197*SUMIFS('Dvd Calendar'!$E$370:$CZ$370,'Dvd Calendar'!$E$369:$CZ$369,"&gt;"&amp;F$12,'Dvd Calendar'!$E$369:$CZ$369,"&lt;="&amp;F$13)/AS51!$B$3,"")))</f>
        <v/>
      </c>
      <c r="G197" s="113">
        <f>IF(G$13="","",IF($B197="","",IFERROR($C197*$D197*SUMIFS('Dvd Calendar'!$E$370:$CZ$370,'Dvd Calendar'!$E$369:$CZ$369,"&gt;"&amp;G$12,'Dvd Calendar'!$E$369:$CZ$369,"&lt;="&amp;G$13)/AS51!$B$3,"")))</f>
        <v/>
      </c>
      <c r="H197" s="113">
        <f>IF(H$13="","",IF($B197="","",IFERROR($C197*$D197*SUMIFS('Dvd Calendar'!$E$370:$CZ$370,'Dvd Calendar'!$E$369:$CZ$369,"&gt;"&amp;H$12,'Dvd Calendar'!$E$369:$CZ$369,"&lt;="&amp;H$13)/AS51!$B$3,"")))</f>
        <v/>
      </c>
      <c r="I197" s="113">
        <f>IF(I$13="","",IF($B197="","",IFERROR($C197*$D197*SUMIFS('Dvd Calendar'!$E$370:$CZ$370,'Dvd Calendar'!$E$369:$CZ$369,"&gt;"&amp;I$12,'Dvd Calendar'!$E$369:$CZ$369,"&lt;="&amp;I$13)/AS51!$B$3,"")))</f>
        <v/>
      </c>
      <c r="J197" s="113">
        <f>IF(J$13="","",IF($B197="","",IFERROR($C197*$D197*SUMIFS('Dvd Calendar'!$E$370:$CZ$370,'Dvd Calendar'!$E$369:$CZ$369,"&gt;"&amp;J$12,'Dvd Calendar'!$E$369:$CZ$369,"&lt;="&amp;J$13)/AS51!$B$3,"")))</f>
        <v/>
      </c>
      <c r="K197" s="113">
        <f>IF(K$13="","",IF($B197="","",IFERROR($C197*$D197*SUMIFS('Dvd Calendar'!$E$370:$CZ$370,'Dvd Calendar'!$E$369:$CZ$369,"&gt;"&amp;K$12,'Dvd Calendar'!$E$369:$CZ$369,"&lt;="&amp;K$13)/AS51!$B$3,"")))</f>
        <v/>
      </c>
      <c r="L197" s="113">
        <f>IF(L$13="","",IF($B197="","",IFERROR($C197*$D197*SUMIFS('Dvd Calendar'!$E$370:$CZ$370,'Dvd Calendar'!$E$369:$CZ$369,"&gt;"&amp;L$12,'Dvd Calendar'!$E$369:$CZ$369,"&lt;="&amp;L$13)/AS51!$B$3,"")))</f>
        <v/>
      </c>
      <c r="M197" s="113">
        <f>IF(M$13="","",IF($B197="","",IFERROR($C197*$D197*SUMIFS('Dvd Calendar'!$E$370:$CZ$370,'Dvd Calendar'!$E$369:$CZ$369,"&gt;"&amp;M$12,'Dvd Calendar'!$E$369:$CZ$369,"&lt;="&amp;M$13)/AS51!$B$3,"")))</f>
        <v/>
      </c>
      <c r="N197" s="113">
        <f>IF(N$13="","",IF($B197="","",IFERROR($C197*$D197*SUMIFS('Dvd Calendar'!$E$370:$CZ$370,'Dvd Calendar'!$E$369:$CZ$369,"&gt;"&amp;N$12,'Dvd Calendar'!$E$369:$CZ$369,"&lt;="&amp;N$13)/AS51!$B$3,"")))</f>
        <v/>
      </c>
      <c r="O197" s="113">
        <f>IF(O$13="","",IF($B197="","",IFERROR($C197*$D197*SUMIFS('Dvd Calendar'!$E$370:$CZ$370,'Dvd Calendar'!$E$369:$CZ$369,"&gt;"&amp;O$12,'Dvd Calendar'!$E$369:$CZ$369,"&lt;="&amp;O$13)/AS51!$B$3,"")))</f>
        <v/>
      </c>
      <c r="P197" s="113">
        <f>IF(P$13="","",IF($B197="","",IFERROR($C197*$D197*SUMIFS('Dvd Calendar'!$E$370:$CZ$370,'Dvd Calendar'!$E$369:$CZ$369,"&gt;"&amp;P$12,'Dvd Calendar'!$E$369:$CZ$369,"&lt;="&amp;P$13)/AS51!$B$3,"")))</f>
        <v/>
      </c>
      <c r="Q197" s="113">
        <f>IF(Q$13="","",IF($B197="","",IFERROR($C197*$D197*SUMIFS('Dvd Calendar'!$E$370:$CZ$370,'Dvd Calendar'!$E$369:$CZ$369,"&gt;"&amp;Q$12,'Dvd Calendar'!$E$369:$CZ$369,"&lt;="&amp;Q$13)/AS51!$B$3,"")))</f>
        <v/>
      </c>
      <c r="R197" s="113">
        <f>IF(R$13="","",IF($B197="","",IFERROR($C197*$D197*SUMIFS('Dvd Calendar'!$E$370:$CZ$370,'Dvd Calendar'!$E$369:$CZ$369,"&gt;"&amp;R$12,'Dvd Calendar'!$E$369:$CZ$369,"&lt;="&amp;R$13)/AS51!$B$3,"")))</f>
        <v/>
      </c>
      <c r="S197" s="113">
        <f>IF(S$13="","",IF($B197="","",IFERROR($C197*$D197*SUMIFS('Dvd Calendar'!$E$370:$CZ$370,'Dvd Calendar'!$E$369:$CZ$369,"&gt;"&amp;S$12,'Dvd Calendar'!$E$369:$CZ$369,"&lt;="&amp;S$13)/AS51!$B$3,"")))</f>
        <v/>
      </c>
      <c r="T197" s="113">
        <f>IF(T$13="","",IF($B197="","",IFERROR($C197*$D197*SUMIFS('Dvd Calendar'!$E$370:$CZ$370,'Dvd Calendar'!$E$369:$CZ$369,"&gt;"&amp;T$12,'Dvd Calendar'!$E$369:$CZ$369,"&lt;="&amp;T$13)/AS51!$B$3,"")))</f>
        <v/>
      </c>
      <c r="U197" s="113">
        <f>IF(U$13="","",IF($B197="","",IFERROR($C197*$D197*SUMIFS('Dvd Calendar'!$E$370:$CZ$370,'Dvd Calendar'!$E$369:$CZ$369,"&gt;"&amp;U$12,'Dvd Calendar'!$E$369:$CZ$369,"&lt;="&amp;U$13)/AS51!$B$3,"")))</f>
        <v/>
      </c>
      <c r="W197" s="113">
        <f>IF(W$13="","",IF($B197="","",IFERROR(F197*$E197/100,"")))</f>
        <v/>
      </c>
      <c r="X197" s="113">
        <f>IF(X$13="","",IF($B197="","",IFERROR(G197*$E197/100,"")))</f>
        <v/>
      </c>
      <c r="Y197" s="113">
        <f>IF(Y$13="","",IF($B197="","",IFERROR(H197*$E197/100,"")))</f>
        <v/>
      </c>
      <c r="Z197" s="113">
        <f>IF(Z$13="","",IF($B197="","",IFERROR(I197*$E197/100,"")))</f>
        <v/>
      </c>
      <c r="AA197" s="113">
        <f>IF(AA$13="","",IF($B197="","",IFERROR(J197*$E197/100,"")))</f>
        <v/>
      </c>
      <c r="AB197" s="113">
        <f>IF(AB$13="","",IF($B197="","",IFERROR(K197*$E197/100,"")))</f>
        <v/>
      </c>
      <c r="AC197" s="113">
        <f>IF(AC$13="","",IF($B197="","",IFERROR(L197*$E197/100,"")))</f>
        <v/>
      </c>
      <c r="AD197" s="113">
        <f>IF(AD$13="","",IF($B197="","",IFERROR(M197*$E197/100,"")))</f>
        <v/>
      </c>
      <c r="AE197" s="113">
        <f>IF(AE$13="","",IF($B197="","",IFERROR(N197*$E197/100,"")))</f>
        <v/>
      </c>
      <c r="AF197" s="113">
        <f>IF(AF$13="","",IF($B197="","",IFERROR(O197*$E197/100,"")))</f>
        <v/>
      </c>
      <c r="AG197" s="113">
        <f>IF(AG$13="","",IF($B197="","",IFERROR(P197*$E197/100,"")))</f>
        <v/>
      </c>
      <c r="AH197" s="113">
        <f>IF(AH$13="","",IF($B197="","",IFERROR(Q197*$E197/100,"")))</f>
        <v/>
      </c>
      <c r="AI197" s="113">
        <f>IF(AI$13="","",IF($B197="","",IFERROR(R197*$E197/100,"")))</f>
        <v/>
      </c>
      <c r="AJ197" s="113">
        <f>IF(AJ$13="","",IF($B197="","",IFERROR(S197*$E197/100,"")))</f>
        <v/>
      </c>
      <c r="AK197" s="113">
        <f>IF(AK$13="","",IF($B197="","",IFERROR(T197*$E197/100,"")))</f>
        <v/>
      </c>
      <c r="AL197" s="113">
        <f>IF(AL$13="","",IF($B197="","",IFERROR(U197*$E197/100,"")))</f>
        <v/>
      </c>
    </row>
    <row r="198">
      <c r="B198" s="5">
        <f>IF(AS51!$C$188="","",AS51!$C$188)</f>
        <v/>
      </c>
      <c r="C198" s="86">
        <f>IF(AS51!$B$188="","",AS51!$B$188)</f>
        <v/>
      </c>
      <c r="D198" s="111">
        <f>IFERROR(AS51!$Q$188,1)</f>
        <v/>
      </c>
      <c r="E198" s="112">
        <f>IF($B198="","",IF(ISNUMBER(AS51!$I$188),AS51!$I$188,'Index Summary'!$C$7))</f>
        <v/>
      </c>
      <c r="F198" s="113">
        <f>IF(F$13="","",IF($B198="","",IFERROR($C198*$D198*SUMIFS('Dvd Calendar'!$E$372:$CZ$372,'Dvd Calendar'!$E$371:$CZ$371,"&gt;"&amp;F$12,'Dvd Calendar'!$E$371:$CZ$371,"&lt;="&amp;F$13)/AS51!$B$3,"")))</f>
        <v/>
      </c>
      <c r="G198" s="113">
        <f>IF(G$13="","",IF($B198="","",IFERROR($C198*$D198*SUMIFS('Dvd Calendar'!$E$372:$CZ$372,'Dvd Calendar'!$E$371:$CZ$371,"&gt;"&amp;G$12,'Dvd Calendar'!$E$371:$CZ$371,"&lt;="&amp;G$13)/AS51!$B$3,"")))</f>
        <v/>
      </c>
      <c r="H198" s="113">
        <f>IF(H$13="","",IF($B198="","",IFERROR($C198*$D198*SUMIFS('Dvd Calendar'!$E$372:$CZ$372,'Dvd Calendar'!$E$371:$CZ$371,"&gt;"&amp;H$12,'Dvd Calendar'!$E$371:$CZ$371,"&lt;="&amp;H$13)/AS51!$B$3,"")))</f>
        <v/>
      </c>
      <c r="I198" s="113">
        <f>IF(I$13="","",IF($B198="","",IFERROR($C198*$D198*SUMIFS('Dvd Calendar'!$E$372:$CZ$372,'Dvd Calendar'!$E$371:$CZ$371,"&gt;"&amp;I$12,'Dvd Calendar'!$E$371:$CZ$371,"&lt;="&amp;I$13)/AS51!$B$3,"")))</f>
        <v/>
      </c>
      <c r="J198" s="113">
        <f>IF(J$13="","",IF($B198="","",IFERROR($C198*$D198*SUMIFS('Dvd Calendar'!$E$372:$CZ$372,'Dvd Calendar'!$E$371:$CZ$371,"&gt;"&amp;J$12,'Dvd Calendar'!$E$371:$CZ$371,"&lt;="&amp;J$13)/AS51!$B$3,"")))</f>
        <v/>
      </c>
      <c r="K198" s="113">
        <f>IF(K$13="","",IF($B198="","",IFERROR($C198*$D198*SUMIFS('Dvd Calendar'!$E$372:$CZ$372,'Dvd Calendar'!$E$371:$CZ$371,"&gt;"&amp;K$12,'Dvd Calendar'!$E$371:$CZ$371,"&lt;="&amp;K$13)/AS51!$B$3,"")))</f>
        <v/>
      </c>
      <c r="L198" s="113">
        <f>IF(L$13="","",IF($B198="","",IFERROR($C198*$D198*SUMIFS('Dvd Calendar'!$E$372:$CZ$372,'Dvd Calendar'!$E$371:$CZ$371,"&gt;"&amp;L$12,'Dvd Calendar'!$E$371:$CZ$371,"&lt;="&amp;L$13)/AS51!$B$3,"")))</f>
        <v/>
      </c>
      <c r="M198" s="113">
        <f>IF(M$13="","",IF($B198="","",IFERROR($C198*$D198*SUMIFS('Dvd Calendar'!$E$372:$CZ$372,'Dvd Calendar'!$E$371:$CZ$371,"&gt;"&amp;M$12,'Dvd Calendar'!$E$371:$CZ$371,"&lt;="&amp;M$13)/AS51!$B$3,"")))</f>
        <v/>
      </c>
      <c r="N198" s="113">
        <f>IF(N$13="","",IF($B198="","",IFERROR($C198*$D198*SUMIFS('Dvd Calendar'!$E$372:$CZ$372,'Dvd Calendar'!$E$371:$CZ$371,"&gt;"&amp;N$12,'Dvd Calendar'!$E$371:$CZ$371,"&lt;="&amp;N$13)/AS51!$B$3,"")))</f>
        <v/>
      </c>
      <c r="O198" s="113">
        <f>IF(O$13="","",IF($B198="","",IFERROR($C198*$D198*SUMIFS('Dvd Calendar'!$E$372:$CZ$372,'Dvd Calendar'!$E$371:$CZ$371,"&gt;"&amp;O$12,'Dvd Calendar'!$E$371:$CZ$371,"&lt;="&amp;O$13)/AS51!$B$3,"")))</f>
        <v/>
      </c>
      <c r="P198" s="113">
        <f>IF(P$13="","",IF($B198="","",IFERROR($C198*$D198*SUMIFS('Dvd Calendar'!$E$372:$CZ$372,'Dvd Calendar'!$E$371:$CZ$371,"&gt;"&amp;P$12,'Dvd Calendar'!$E$371:$CZ$371,"&lt;="&amp;P$13)/AS51!$B$3,"")))</f>
        <v/>
      </c>
      <c r="Q198" s="113">
        <f>IF(Q$13="","",IF($B198="","",IFERROR($C198*$D198*SUMIFS('Dvd Calendar'!$E$372:$CZ$372,'Dvd Calendar'!$E$371:$CZ$371,"&gt;"&amp;Q$12,'Dvd Calendar'!$E$371:$CZ$371,"&lt;="&amp;Q$13)/AS51!$B$3,"")))</f>
        <v/>
      </c>
      <c r="R198" s="113">
        <f>IF(R$13="","",IF($B198="","",IFERROR($C198*$D198*SUMIFS('Dvd Calendar'!$E$372:$CZ$372,'Dvd Calendar'!$E$371:$CZ$371,"&gt;"&amp;R$12,'Dvd Calendar'!$E$371:$CZ$371,"&lt;="&amp;R$13)/AS51!$B$3,"")))</f>
        <v/>
      </c>
      <c r="S198" s="113">
        <f>IF(S$13="","",IF($B198="","",IFERROR($C198*$D198*SUMIFS('Dvd Calendar'!$E$372:$CZ$372,'Dvd Calendar'!$E$371:$CZ$371,"&gt;"&amp;S$12,'Dvd Calendar'!$E$371:$CZ$371,"&lt;="&amp;S$13)/AS51!$B$3,"")))</f>
        <v/>
      </c>
      <c r="T198" s="113">
        <f>IF(T$13="","",IF($B198="","",IFERROR($C198*$D198*SUMIFS('Dvd Calendar'!$E$372:$CZ$372,'Dvd Calendar'!$E$371:$CZ$371,"&gt;"&amp;T$12,'Dvd Calendar'!$E$371:$CZ$371,"&lt;="&amp;T$13)/AS51!$B$3,"")))</f>
        <v/>
      </c>
      <c r="U198" s="113">
        <f>IF(U$13="","",IF($B198="","",IFERROR($C198*$D198*SUMIFS('Dvd Calendar'!$E$372:$CZ$372,'Dvd Calendar'!$E$371:$CZ$371,"&gt;"&amp;U$12,'Dvd Calendar'!$E$371:$CZ$371,"&lt;="&amp;U$13)/AS51!$B$3,"")))</f>
        <v/>
      </c>
      <c r="W198" s="113">
        <f>IF(W$13="","",IF($B198="","",IFERROR(F198*$E198/100,"")))</f>
        <v/>
      </c>
      <c r="X198" s="113">
        <f>IF(X$13="","",IF($B198="","",IFERROR(G198*$E198/100,"")))</f>
        <v/>
      </c>
      <c r="Y198" s="113">
        <f>IF(Y$13="","",IF($B198="","",IFERROR(H198*$E198/100,"")))</f>
        <v/>
      </c>
      <c r="Z198" s="113">
        <f>IF(Z$13="","",IF($B198="","",IFERROR(I198*$E198/100,"")))</f>
        <v/>
      </c>
      <c r="AA198" s="113">
        <f>IF(AA$13="","",IF($B198="","",IFERROR(J198*$E198/100,"")))</f>
        <v/>
      </c>
      <c r="AB198" s="113">
        <f>IF(AB$13="","",IF($B198="","",IFERROR(K198*$E198/100,"")))</f>
        <v/>
      </c>
      <c r="AC198" s="113">
        <f>IF(AC$13="","",IF($B198="","",IFERROR(L198*$E198/100,"")))</f>
        <v/>
      </c>
      <c r="AD198" s="113">
        <f>IF(AD$13="","",IF($B198="","",IFERROR(M198*$E198/100,"")))</f>
        <v/>
      </c>
      <c r="AE198" s="113">
        <f>IF(AE$13="","",IF($B198="","",IFERROR(N198*$E198/100,"")))</f>
        <v/>
      </c>
      <c r="AF198" s="113">
        <f>IF(AF$13="","",IF($B198="","",IFERROR(O198*$E198/100,"")))</f>
        <v/>
      </c>
      <c r="AG198" s="113">
        <f>IF(AG$13="","",IF($B198="","",IFERROR(P198*$E198/100,"")))</f>
        <v/>
      </c>
      <c r="AH198" s="113">
        <f>IF(AH$13="","",IF($B198="","",IFERROR(Q198*$E198/100,"")))</f>
        <v/>
      </c>
      <c r="AI198" s="113">
        <f>IF(AI$13="","",IF($B198="","",IFERROR(R198*$E198/100,"")))</f>
        <v/>
      </c>
      <c r="AJ198" s="113">
        <f>IF(AJ$13="","",IF($B198="","",IFERROR(S198*$E198/100,"")))</f>
        <v/>
      </c>
      <c r="AK198" s="113">
        <f>IF(AK$13="","",IF($B198="","",IFERROR(T198*$E198/100,"")))</f>
        <v/>
      </c>
      <c r="AL198" s="113">
        <f>IF(AL$13="","",IF($B198="","",IFERROR(U198*$E198/100,"")))</f>
        <v/>
      </c>
    </row>
    <row r="199">
      <c r="B199" s="5">
        <f>IF(AS51!$C$189="","",AS51!$C$189)</f>
        <v/>
      </c>
      <c r="C199" s="86">
        <f>IF(AS51!$B$189="","",AS51!$B$189)</f>
        <v/>
      </c>
      <c r="D199" s="111">
        <f>IFERROR(AS51!$Q$189,1)</f>
        <v/>
      </c>
      <c r="E199" s="112">
        <f>IF($B199="","",IF(ISNUMBER(AS51!$I$189),AS51!$I$189,'Index Summary'!$C$7))</f>
        <v/>
      </c>
      <c r="F199" s="113">
        <f>IF(F$13="","",IF($B199="","",IFERROR($C199*$D199*SUMIFS('Dvd Calendar'!$E$374:$CZ$374,'Dvd Calendar'!$E$373:$CZ$373,"&gt;"&amp;F$12,'Dvd Calendar'!$E$373:$CZ$373,"&lt;="&amp;F$13)/AS51!$B$3,"")))</f>
        <v/>
      </c>
      <c r="G199" s="113">
        <f>IF(G$13="","",IF($B199="","",IFERROR($C199*$D199*SUMIFS('Dvd Calendar'!$E$374:$CZ$374,'Dvd Calendar'!$E$373:$CZ$373,"&gt;"&amp;G$12,'Dvd Calendar'!$E$373:$CZ$373,"&lt;="&amp;G$13)/AS51!$B$3,"")))</f>
        <v/>
      </c>
      <c r="H199" s="113">
        <f>IF(H$13="","",IF($B199="","",IFERROR($C199*$D199*SUMIFS('Dvd Calendar'!$E$374:$CZ$374,'Dvd Calendar'!$E$373:$CZ$373,"&gt;"&amp;H$12,'Dvd Calendar'!$E$373:$CZ$373,"&lt;="&amp;H$13)/AS51!$B$3,"")))</f>
        <v/>
      </c>
      <c r="I199" s="113">
        <f>IF(I$13="","",IF($B199="","",IFERROR($C199*$D199*SUMIFS('Dvd Calendar'!$E$374:$CZ$374,'Dvd Calendar'!$E$373:$CZ$373,"&gt;"&amp;I$12,'Dvd Calendar'!$E$373:$CZ$373,"&lt;="&amp;I$13)/AS51!$B$3,"")))</f>
        <v/>
      </c>
      <c r="J199" s="113">
        <f>IF(J$13="","",IF($B199="","",IFERROR($C199*$D199*SUMIFS('Dvd Calendar'!$E$374:$CZ$374,'Dvd Calendar'!$E$373:$CZ$373,"&gt;"&amp;J$12,'Dvd Calendar'!$E$373:$CZ$373,"&lt;="&amp;J$13)/AS51!$B$3,"")))</f>
        <v/>
      </c>
      <c r="K199" s="113">
        <f>IF(K$13="","",IF($B199="","",IFERROR($C199*$D199*SUMIFS('Dvd Calendar'!$E$374:$CZ$374,'Dvd Calendar'!$E$373:$CZ$373,"&gt;"&amp;K$12,'Dvd Calendar'!$E$373:$CZ$373,"&lt;="&amp;K$13)/AS51!$B$3,"")))</f>
        <v/>
      </c>
      <c r="L199" s="113">
        <f>IF(L$13="","",IF($B199="","",IFERROR($C199*$D199*SUMIFS('Dvd Calendar'!$E$374:$CZ$374,'Dvd Calendar'!$E$373:$CZ$373,"&gt;"&amp;L$12,'Dvd Calendar'!$E$373:$CZ$373,"&lt;="&amp;L$13)/AS51!$B$3,"")))</f>
        <v/>
      </c>
      <c r="M199" s="113">
        <f>IF(M$13="","",IF($B199="","",IFERROR($C199*$D199*SUMIFS('Dvd Calendar'!$E$374:$CZ$374,'Dvd Calendar'!$E$373:$CZ$373,"&gt;"&amp;M$12,'Dvd Calendar'!$E$373:$CZ$373,"&lt;="&amp;M$13)/AS51!$B$3,"")))</f>
        <v/>
      </c>
      <c r="N199" s="113">
        <f>IF(N$13="","",IF($B199="","",IFERROR($C199*$D199*SUMIFS('Dvd Calendar'!$E$374:$CZ$374,'Dvd Calendar'!$E$373:$CZ$373,"&gt;"&amp;N$12,'Dvd Calendar'!$E$373:$CZ$373,"&lt;="&amp;N$13)/AS51!$B$3,"")))</f>
        <v/>
      </c>
      <c r="O199" s="113">
        <f>IF(O$13="","",IF($B199="","",IFERROR($C199*$D199*SUMIFS('Dvd Calendar'!$E$374:$CZ$374,'Dvd Calendar'!$E$373:$CZ$373,"&gt;"&amp;O$12,'Dvd Calendar'!$E$373:$CZ$373,"&lt;="&amp;O$13)/AS51!$B$3,"")))</f>
        <v/>
      </c>
      <c r="P199" s="113">
        <f>IF(P$13="","",IF($B199="","",IFERROR($C199*$D199*SUMIFS('Dvd Calendar'!$E$374:$CZ$374,'Dvd Calendar'!$E$373:$CZ$373,"&gt;"&amp;P$12,'Dvd Calendar'!$E$373:$CZ$373,"&lt;="&amp;P$13)/AS51!$B$3,"")))</f>
        <v/>
      </c>
      <c r="Q199" s="113">
        <f>IF(Q$13="","",IF($B199="","",IFERROR($C199*$D199*SUMIFS('Dvd Calendar'!$E$374:$CZ$374,'Dvd Calendar'!$E$373:$CZ$373,"&gt;"&amp;Q$12,'Dvd Calendar'!$E$373:$CZ$373,"&lt;="&amp;Q$13)/AS51!$B$3,"")))</f>
        <v/>
      </c>
      <c r="R199" s="113">
        <f>IF(R$13="","",IF($B199="","",IFERROR($C199*$D199*SUMIFS('Dvd Calendar'!$E$374:$CZ$374,'Dvd Calendar'!$E$373:$CZ$373,"&gt;"&amp;R$12,'Dvd Calendar'!$E$373:$CZ$373,"&lt;="&amp;R$13)/AS51!$B$3,"")))</f>
        <v/>
      </c>
      <c r="S199" s="113">
        <f>IF(S$13="","",IF($B199="","",IFERROR($C199*$D199*SUMIFS('Dvd Calendar'!$E$374:$CZ$374,'Dvd Calendar'!$E$373:$CZ$373,"&gt;"&amp;S$12,'Dvd Calendar'!$E$373:$CZ$373,"&lt;="&amp;S$13)/AS51!$B$3,"")))</f>
        <v/>
      </c>
      <c r="T199" s="113">
        <f>IF(T$13="","",IF($B199="","",IFERROR($C199*$D199*SUMIFS('Dvd Calendar'!$E$374:$CZ$374,'Dvd Calendar'!$E$373:$CZ$373,"&gt;"&amp;T$12,'Dvd Calendar'!$E$373:$CZ$373,"&lt;="&amp;T$13)/AS51!$B$3,"")))</f>
        <v/>
      </c>
      <c r="U199" s="113">
        <f>IF(U$13="","",IF($B199="","",IFERROR($C199*$D199*SUMIFS('Dvd Calendar'!$E$374:$CZ$374,'Dvd Calendar'!$E$373:$CZ$373,"&gt;"&amp;U$12,'Dvd Calendar'!$E$373:$CZ$373,"&lt;="&amp;U$13)/AS51!$B$3,"")))</f>
        <v/>
      </c>
      <c r="W199" s="113">
        <f>IF(W$13="","",IF($B199="","",IFERROR(F199*$E199/100,"")))</f>
        <v/>
      </c>
      <c r="X199" s="113">
        <f>IF(X$13="","",IF($B199="","",IFERROR(G199*$E199/100,"")))</f>
        <v/>
      </c>
      <c r="Y199" s="113">
        <f>IF(Y$13="","",IF($B199="","",IFERROR(H199*$E199/100,"")))</f>
        <v/>
      </c>
      <c r="Z199" s="113">
        <f>IF(Z$13="","",IF($B199="","",IFERROR(I199*$E199/100,"")))</f>
        <v/>
      </c>
      <c r="AA199" s="113">
        <f>IF(AA$13="","",IF($B199="","",IFERROR(J199*$E199/100,"")))</f>
        <v/>
      </c>
      <c r="AB199" s="113">
        <f>IF(AB$13="","",IF($B199="","",IFERROR(K199*$E199/100,"")))</f>
        <v/>
      </c>
      <c r="AC199" s="113">
        <f>IF(AC$13="","",IF($B199="","",IFERROR(L199*$E199/100,"")))</f>
        <v/>
      </c>
      <c r="AD199" s="113">
        <f>IF(AD$13="","",IF($B199="","",IFERROR(M199*$E199/100,"")))</f>
        <v/>
      </c>
      <c r="AE199" s="113">
        <f>IF(AE$13="","",IF($B199="","",IFERROR(N199*$E199/100,"")))</f>
        <v/>
      </c>
      <c r="AF199" s="113">
        <f>IF(AF$13="","",IF($B199="","",IFERROR(O199*$E199/100,"")))</f>
        <v/>
      </c>
      <c r="AG199" s="113">
        <f>IF(AG$13="","",IF($B199="","",IFERROR(P199*$E199/100,"")))</f>
        <v/>
      </c>
      <c r="AH199" s="113">
        <f>IF(AH$13="","",IF($B199="","",IFERROR(Q199*$E199/100,"")))</f>
        <v/>
      </c>
      <c r="AI199" s="113">
        <f>IF(AI$13="","",IF($B199="","",IFERROR(R199*$E199/100,"")))</f>
        <v/>
      </c>
      <c r="AJ199" s="113">
        <f>IF(AJ$13="","",IF($B199="","",IFERROR(S199*$E199/100,"")))</f>
        <v/>
      </c>
      <c r="AK199" s="113">
        <f>IF(AK$13="","",IF($B199="","",IFERROR(T199*$E199/100,"")))</f>
        <v/>
      </c>
      <c r="AL199" s="113">
        <f>IF(AL$13="","",IF($B199="","",IFERROR(U199*$E199/100,"")))</f>
        <v/>
      </c>
    </row>
    <row r="200">
      <c r="B200" s="5">
        <f>IF(AS51!$C$190="","",AS51!$C$190)</f>
        <v/>
      </c>
      <c r="C200" s="86">
        <f>IF(AS51!$B$190="","",AS51!$B$190)</f>
        <v/>
      </c>
      <c r="D200" s="111">
        <f>IFERROR(AS51!$Q$190,1)</f>
        <v/>
      </c>
      <c r="E200" s="112">
        <f>IF($B200="","",IF(ISNUMBER(AS51!$I$190),AS51!$I$190,'Index Summary'!$C$7))</f>
        <v/>
      </c>
      <c r="F200" s="113">
        <f>IF(F$13="","",IF($B200="","",IFERROR($C200*$D200*SUMIFS('Dvd Calendar'!$E$376:$CZ$376,'Dvd Calendar'!$E$375:$CZ$375,"&gt;"&amp;F$12,'Dvd Calendar'!$E$375:$CZ$375,"&lt;="&amp;F$13)/AS51!$B$3,"")))</f>
        <v/>
      </c>
      <c r="G200" s="113">
        <f>IF(G$13="","",IF($B200="","",IFERROR($C200*$D200*SUMIFS('Dvd Calendar'!$E$376:$CZ$376,'Dvd Calendar'!$E$375:$CZ$375,"&gt;"&amp;G$12,'Dvd Calendar'!$E$375:$CZ$375,"&lt;="&amp;G$13)/AS51!$B$3,"")))</f>
        <v/>
      </c>
      <c r="H200" s="113">
        <f>IF(H$13="","",IF($B200="","",IFERROR($C200*$D200*SUMIFS('Dvd Calendar'!$E$376:$CZ$376,'Dvd Calendar'!$E$375:$CZ$375,"&gt;"&amp;H$12,'Dvd Calendar'!$E$375:$CZ$375,"&lt;="&amp;H$13)/AS51!$B$3,"")))</f>
        <v/>
      </c>
      <c r="I200" s="113">
        <f>IF(I$13="","",IF($B200="","",IFERROR($C200*$D200*SUMIFS('Dvd Calendar'!$E$376:$CZ$376,'Dvd Calendar'!$E$375:$CZ$375,"&gt;"&amp;I$12,'Dvd Calendar'!$E$375:$CZ$375,"&lt;="&amp;I$13)/AS51!$B$3,"")))</f>
        <v/>
      </c>
      <c r="J200" s="113">
        <f>IF(J$13="","",IF($B200="","",IFERROR($C200*$D200*SUMIFS('Dvd Calendar'!$E$376:$CZ$376,'Dvd Calendar'!$E$375:$CZ$375,"&gt;"&amp;J$12,'Dvd Calendar'!$E$375:$CZ$375,"&lt;="&amp;J$13)/AS51!$B$3,"")))</f>
        <v/>
      </c>
      <c r="K200" s="113">
        <f>IF(K$13="","",IF($B200="","",IFERROR($C200*$D200*SUMIFS('Dvd Calendar'!$E$376:$CZ$376,'Dvd Calendar'!$E$375:$CZ$375,"&gt;"&amp;K$12,'Dvd Calendar'!$E$375:$CZ$375,"&lt;="&amp;K$13)/AS51!$B$3,"")))</f>
        <v/>
      </c>
      <c r="L200" s="113">
        <f>IF(L$13="","",IF($B200="","",IFERROR($C200*$D200*SUMIFS('Dvd Calendar'!$E$376:$CZ$376,'Dvd Calendar'!$E$375:$CZ$375,"&gt;"&amp;L$12,'Dvd Calendar'!$E$375:$CZ$375,"&lt;="&amp;L$13)/AS51!$B$3,"")))</f>
        <v/>
      </c>
      <c r="M200" s="113">
        <f>IF(M$13="","",IF($B200="","",IFERROR($C200*$D200*SUMIFS('Dvd Calendar'!$E$376:$CZ$376,'Dvd Calendar'!$E$375:$CZ$375,"&gt;"&amp;M$12,'Dvd Calendar'!$E$375:$CZ$375,"&lt;="&amp;M$13)/AS51!$B$3,"")))</f>
        <v/>
      </c>
      <c r="N200" s="113">
        <f>IF(N$13="","",IF($B200="","",IFERROR($C200*$D200*SUMIFS('Dvd Calendar'!$E$376:$CZ$376,'Dvd Calendar'!$E$375:$CZ$375,"&gt;"&amp;N$12,'Dvd Calendar'!$E$375:$CZ$375,"&lt;="&amp;N$13)/AS51!$B$3,"")))</f>
        <v/>
      </c>
      <c r="O200" s="113">
        <f>IF(O$13="","",IF($B200="","",IFERROR($C200*$D200*SUMIFS('Dvd Calendar'!$E$376:$CZ$376,'Dvd Calendar'!$E$375:$CZ$375,"&gt;"&amp;O$12,'Dvd Calendar'!$E$375:$CZ$375,"&lt;="&amp;O$13)/AS51!$B$3,"")))</f>
        <v/>
      </c>
      <c r="P200" s="113">
        <f>IF(P$13="","",IF($B200="","",IFERROR($C200*$D200*SUMIFS('Dvd Calendar'!$E$376:$CZ$376,'Dvd Calendar'!$E$375:$CZ$375,"&gt;"&amp;P$12,'Dvd Calendar'!$E$375:$CZ$375,"&lt;="&amp;P$13)/AS51!$B$3,"")))</f>
        <v/>
      </c>
      <c r="Q200" s="113">
        <f>IF(Q$13="","",IF($B200="","",IFERROR($C200*$D200*SUMIFS('Dvd Calendar'!$E$376:$CZ$376,'Dvd Calendar'!$E$375:$CZ$375,"&gt;"&amp;Q$12,'Dvd Calendar'!$E$375:$CZ$375,"&lt;="&amp;Q$13)/AS51!$B$3,"")))</f>
        <v/>
      </c>
      <c r="R200" s="113">
        <f>IF(R$13="","",IF($B200="","",IFERROR($C200*$D200*SUMIFS('Dvd Calendar'!$E$376:$CZ$376,'Dvd Calendar'!$E$375:$CZ$375,"&gt;"&amp;R$12,'Dvd Calendar'!$E$375:$CZ$375,"&lt;="&amp;R$13)/AS51!$B$3,"")))</f>
        <v/>
      </c>
      <c r="S200" s="113">
        <f>IF(S$13="","",IF($B200="","",IFERROR($C200*$D200*SUMIFS('Dvd Calendar'!$E$376:$CZ$376,'Dvd Calendar'!$E$375:$CZ$375,"&gt;"&amp;S$12,'Dvd Calendar'!$E$375:$CZ$375,"&lt;="&amp;S$13)/AS51!$B$3,"")))</f>
        <v/>
      </c>
      <c r="T200" s="113">
        <f>IF(T$13="","",IF($B200="","",IFERROR($C200*$D200*SUMIFS('Dvd Calendar'!$E$376:$CZ$376,'Dvd Calendar'!$E$375:$CZ$375,"&gt;"&amp;T$12,'Dvd Calendar'!$E$375:$CZ$375,"&lt;="&amp;T$13)/AS51!$B$3,"")))</f>
        <v/>
      </c>
      <c r="U200" s="113">
        <f>IF(U$13="","",IF($B200="","",IFERROR($C200*$D200*SUMIFS('Dvd Calendar'!$E$376:$CZ$376,'Dvd Calendar'!$E$375:$CZ$375,"&gt;"&amp;U$12,'Dvd Calendar'!$E$375:$CZ$375,"&lt;="&amp;U$13)/AS51!$B$3,"")))</f>
        <v/>
      </c>
      <c r="W200" s="113">
        <f>IF(W$13="","",IF($B200="","",IFERROR(F200*$E200/100,"")))</f>
        <v/>
      </c>
      <c r="X200" s="113">
        <f>IF(X$13="","",IF($B200="","",IFERROR(G200*$E200/100,"")))</f>
        <v/>
      </c>
      <c r="Y200" s="113">
        <f>IF(Y$13="","",IF($B200="","",IFERROR(H200*$E200/100,"")))</f>
        <v/>
      </c>
      <c r="Z200" s="113">
        <f>IF(Z$13="","",IF($B200="","",IFERROR(I200*$E200/100,"")))</f>
        <v/>
      </c>
      <c r="AA200" s="113">
        <f>IF(AA$13="","",IF($B200="","",IFERROR(J200*$E200/100,"")))</f>
        <v/>
      </c>
      <c r="AB200" s="113">
        <f>IF(AB$13="","",IF($B200="","",IFERROR(K200*$E200/100,"")))</f>
        <v/>
      </c>
      <c r="AC200" s="113">
        <f>IF(AC$13="","",IF($B200="","",IFERROR(L200*$E200/100,"")))</f>
        <v/>
      </c>
      <c r="AD200" s="113">
        <f>IF(AD$13="","",IF($B200="","",IFERROR(M200*$E200/100,"")))</f>
        <v/>
      </c>
      <c r="AE200" s="113">
        <f>IF(AE$13="","",IF($B200="","",IFERROR(N200*$E200/100,"")))</f>
        <v/>
      </c>
      <c r="AF200" s="113">
        <f>IF(AF$13="","",IF($B200="","",IFERROR(O200*$E200/100,"")))</f>
        <v/>
      </c>
      <c r="AG200" s="113">
        <f>IF(AG$13="","",IF($B200="","",IFERROR(P200*$E200/100,"")))</f>
        <v/>
      </c>
      <c r="AH200" s="113">
        <f>IF(AH$13="","",IF($B200="","",IFERROR(Q200*$E200/100,"")))</f>
        <v/>
      </c>
      <c r="AI200" s="113">
        <f>IF(AI$13="","",IF($B200="","",IFERROR(R200*$E200/100,"")))</f>
        <v/>
      </c>
      <c r="AJ200" s="113">
        <f>IF(AJ$13="","",IF($B200="","",IFERROR(S200*$E200/100,"")))</f>
        <v/>
      </c>
      <c r="AK200" s="113">
        <f>IF(AK$13="","",IF($B200="","",IFERROR(T200*$E200/100,"")))</f>
        <v/>
      </c>
      <c r="AL200" s="113">
        <f>IF(AL$13="","",IF($B200="","",IFERROR(U200*$E200/100,"")))</f>
        <v/>
      </c>
    </row>
    <row r="201">
      <c r="B201" s="5">
        <f>IF(AS51!$C$191="","",AS51!$C$191)</f>
        <v/>
      </c>
      <c r="C201" s="86">
        <f>IF(AS51!$B$191="","",AS51!$B$191)</f>
        <v/>
      </c>
      <c r="D201" s="111">
        <f>IFERROR(AS51!$Q$191,1)</f>
        <v/>
      </c>
      <c r="E201" s="112">
        <f>IF($B201="","",IF(ISNUMBER(AS51!$I$191),AS51!$I$191,'Index Summary'!$C$7))</f>
        <v/>
      </c>
      <c r="F201" s="113">
        <f>IF(F$13="","",IF($B201="","",IFERROR($C201*$D201*SUMIFS('Dvd Calendar'!$E$378:$CZ$378,'Dvd Calendar'!$E$377:$CZ$377,"&gt;"&amp;F$12,'Dvd Calendar'!$E$377:$CZ$377,"&lt;="&amp;F$13)/AS51!$B$3,"")))</f>
        <v/>
      </c>
      <c r="G201" s="113">
        <f>IF(G$13="","",IF($B201="","",IFERROR($C201*$D201*SUMIFS('Dvd Calendar'!$E$378:$CZ$378,'Dvd Calendar'!$E$377:$CZ$377,"&gt;"&amp;G$12,'Dvd Calendar'!$E$377:$CZ$377,"&lt;="&amp;G$13)/AS51!$B$3,"")))</f>
        <v/>
      </c>
      <c r="H201" s="113">
        <f>IF(H$13="","",IF($B201="","",IFERROR($C201*$D201*SUMIFS('Dvd Calendar'!$E$378:$CZ$378,'Dvd Calendar'!$E$377:$CZ$377,"&gt;"&amp;H$12,'Dvd Calendar'!$E$377:$CZ$377,"&lt;="&amp;H$13)/AS51!$B$3,"")))</f>
        <v/>
      </c>
      <c r="I201" s="113">
        <f>IF(I$13="","",IF($B201="","",IFERROR($C201*$D201*SUMIFS('Dvd Calendar'!$E$378:$CZ$378,'Dvd Calendar'!$E$377:$CZ$377,"&gt;"&amp;I$12,'Dvd Calendar'!$E$377:$CZ$377,"&lt;="&amp;I$13)/AS51!$B$3,"")))</f>
        <v/>
      </c>
      <c r="J201" s="113">
        <f>IF(J$13="","",IF($B201="","",IFERROR($C201*$D201*SUMIFS('Dvd Calendar'!$E$378:$CZ$378,'Dvd Calendar'!$E$377:$CZ$377,"&gt;"&amp;J$12,'Dvd Calendar'!$E$377:$CZ$377,"&lt;="&amp;J$13)/AS51!$B$3,"")))</f>
        <v/>
      </c>
      <c r="K201" s="113">
        <f>IF(K$13="","",IF($B201="","",IFERROR($C201*$D201*SUMIFS('Dvd Calendar'!$E$378:$CZ$378,'Dvd Calendar'!$E$377:$CZ$377,"&gt;"&amp;K$12,'Dvd Calendar'!$E$377:$CZ$377,"&lt;="&amp;K$13)/AS51!$B$3,"")))</f>
        <v/>
      </c>
      <c r="L201" s="113">
        <f>IF(L$13="","",IF($B201="","",IFERROR($C201*$D201*SUMIFS('Dvd Calendar'!$E$378:$CZ$378,'Dvd Calendar'!$E$377:$CZ$377,"&gt;"&amp;L$12,'Dvd Calendar'!$E$377:$CZ$377,"&lt;="&amp;L$13)/AS51!$B$3,"")))</f>
        <v/>
      </c>
      <c r="M201" s="113">
        <f>IF(M$13="","",IF($B201="","",IFERROR($C201*$D201*SUMIFS('Dvd Calendar'!$E$378:$CZ$378,'Dvd Calendar'!$E$377:$CZ$377,"&gt;"&amp;M$12,'Dvd Calendar'!$E$377:$CZ$377,"&lt;="&amp;M$13)/AS51!$B$3,"")))</f>
        <v/>
      </c>
      <c r="N201" s="113">
        <f>IF(N$13="","",IF($B201="","",IFERROR($C201*$D201*SUMIFS('Dvd Calendar'!$E$378:$CZ$378,'Dvd Calendar'!$E$377:$CZ$377,"&gt;"&amp;N$12,'Dvd Calendar'!$E$377:$CZ$377,"&lt;="&amp;N$13)/AS51!$B$3,"")))</f>
        <v/>
      </c>
      <c r="O201" s="113">
        <f>IF(O$13="","",IF($B201="","",IFERROR($C201*$D201*SUMIFS('Dvd Calendar'!$E$378:$CZ$378,'Dvd Calendar'!$E$377:$CZ$377,"&gt;"&amp;O$12,'Dvd Calendar'!$E$377:$CZ$377,"&lt;="&amp;O$13)/AS51!$B$3,"")))</f>
        <v/>
      </c>
      <c r="P201" s="113">
        <f>IF(P$13="","",IF($B201="","",IFERROR($C201*$D201*SUMIFS('Dvd Calendar'!$E$378:$CZ$378,'Dvd Calendar'!$E$377:$CZ$377,"&gt;"&amp;P$12,'Dvd Calendar'!$E$377:$CZ$377,"&lt;="&amp;P$13)/AS51!$B$3,"")))</f>
        <v/>
      </c>
      <c r="Q201" s="113">
        <f>IF(Q$13="","",IF($B201="","",IFERROR($C201*$D201*SUMIFS('Dvd Calendar'!$E$378:$CZ$378,'Dvd Calendar'!$E$377:$CZ$377,"&gt;"&amp;Q$12,'Dvd Calendar'!$E$377:$CZ$377,"&lt;="&amp;Q$13)/AS51!$B$3,"")))</f>
        <v/>
      </c>
      <c r="R201" s="113">
        <f>IF(R$13="","",IF($B201="","",IFERROR($C201*$D201*SUMIFS('Dvd Calendar'!$E$378:$CZ$378,'Dvd Calendar'!$E$377:$CZ$377,"&gt;"&amp;R$12,'Dvd Calendar'!$E$377:$CZ$377,"&lt;="&amp;R$13)/AS51!$B$3,"")))</f>
        <v/>
      </c>
      <c r="S201" s="113">
        <f>IF(S$13="","",IF($B201="","",IFERROR($C201*$D201*SUMIFS('Dvd Calendar'!$E$378:$CZ$378,'Dvd Calendar'!$E$377:$CZ$377,"&gt;"&amp;S$12,'Dvd Calendar'!$E$377:$CZ$377,"&lt;="&amp;S$13)/AS51!$B$3,"")))</f>
        <v/>
      </c>
      <c r="T201" s="113">
        <f>IF(T$13="","",IF($B201="","",IFERROR($C201*$D201*SUMIFS('Dvd Calendar'!$E$378:$CZ$378,'Dvd Calendar'!$E$377:$CZ$377,"&gt;"&amp;T$12,'Dvd Calendar'!$E$377:$CZ$377,"&lt;="&amp;T$13)/AS51!$B$3,"")))</f>
        <v/>
      </c>
      <c r="U201" s="113">
        <f>IF(U$13="","",IF($B201="","",IFERROR($C201*$D201*SUMIFS('Dvd Calendar'!$E$378:$CZ$378,'Dvd Calendar'!$E$377:$CZ$377,"&gt;"&amp;U$12,'Dvd Calendar'!$E$377:$CZ$377,"&lt;="&amp;U$13)/AS51!$B$3,"")))</f>
        <v/>
      </c>
      <c r="W201" s="113">
        <f>IF(W$13="","",IF($B201="","",IFERROR(F201*$E201/100,"")))</f>
        <v/>
      </c>
      <c r="X201" s="113">
        <f>IF(X$13="","",IF($B201="","",IFERROR(G201*$E201/100,"")))</f>
        <v/>
      </c>
      <c r="Y201" s="113">
        <f>IF(Y$13="","",IF($B201="","",IFERROR(H201*$E201/100,"")))</f>
        <v/>
      </c>
      <c r="Z201" s="113">
        <f>IF(Z$13="","",IF($B201="","",IFERROR(I201*$E201/100,"")))</f>
        <v/>
      </c>
      <c r="AA201" s="113">
        <f>IF(AA$13="","",IF($B201="","",IFERROR(J201*$E201/100,"")))</f>
        <v/>
      </c>
      <c r="AB201" s="113">
        <f>IF(AB$13="","",IF($B201="","",IFERROR(K201*$E201/100,"")))</f>
        <v/>
      </c>
      <c r="AC201" s="113">
        <f>IF(AC$13="","",IF($B201="","",IFERROR(L201*$E201/100,"")))</f>
        <v/>
      </c>
      <c r="AD201" s="113">
        <f>IF(AD$13="","",IF($B201="","",IFERROR(M201*$E201/100,"")))</f>
        <v/>
      </c>
      <c r="AE201" s="113">
        <f>IF(AE$13="","",IF($B201="","",IFERROR(N201*$E201/100,"")))</f>
        <v/>
      </c>
      <c r="AF201" s="113">
        <f>IF(AF$13="","",IF($B201="","",IFERROR(O201*$E201/100,"")))</f>
        <v/>
      </c>
      <c r="AG201" s="113">
        <f>IF(AG$13="","",IF($B201="","",IFERROR(P201*$E201/100,"")))</f>
        <v/>
      </c>
      <c r="AH201" s="113">
        <f>IF(AH$13="","",IF($B201="","",IFERROR(Q201*$E201/100,"")))</f>
        <v/>
      </c>
      <c r="AI201" s="113">
        <f>IF(AI$13="","",IF($B201="","",IFERROR(R201*$E201/100,"")))</f>
        <v/>
      </c>
      <c r="AJ201" s="113">
        <f>IF(AJ$13="","",IF($B201="","",IFERROR(S201*$E201/100,"")))</f>
        <v/>
      </c>
      <c r="AK201" s="113">
        <f>IF(AK$13="","",IF($B201="","",IFERROR(T201*$E201/100,"")))</f>
        <v/>
      </c>
      <c r="AL201" s="113">
        <f>IF(AL$13="","",IF($B201="","",IFERROR(U201*$E201/100,"")))</f>
        <v/>
      </c>
    </row>
    <row r="202">
      <c r="B202" s="5">
        <f>IF(AS51!$C$192="","",AS51!$C$192)</f>
        <v/>
      </c>
      <c r="C202" s="86">
        <f>IF(AS51!$B$192="","",AS51!$B$192)</f>
        <v/>
      </c>
      <c r="D202" s="111">
        <f>IFERROR(AS51!$Q$192,1)</f>
        <v/>
      </c>
      <c r="E202" s="112">
        <f>IF($B202="","",IF(ISNUMBER(AS51!$I$192),AS51!$I$192,'Index Summary'!$C$7))</f>
        <v/>
      </c>
      <c r="F202" s="113">
        <f>IF(F$13="","",IF($B202="","",IFERROR($C202*$D202*SUMIFS('Dvd Calendar'!$E$380:$CZ$380,'Dvd Calendar'!$E$379:$CZ$379,"&gt;"&amp;F$12,'Dvd Calendar'!$E$379:$CZ$379,"&lt;="&amp;F$13)/AS51!$B$3,"")))</f>
        <v/>
      </c>
      <c r="G202" s="113">
        <f>IF(G$13="","",IF($B202="","",IFERROR($C202*$D202*SUMIFS('Dvd Calendar'!$E$380:$CZ$380,'Dvd Calendar'!$E$379:$CZ$379,"&gt;"&amp;G$12,'Dvd Calendar'!$E$379:$CZ$379,"&lt;="&amp;G$13)/AS51!$B$3,"")))</f>
        <v/>
      </c>
      <c r="H202" s="113">
        <f>IF(H$13="","",IF($B202="","",IFERROR($C202*$D202*SUMIFS('Dvd Calendar'!$E$380:$CZ$380,'Dvd Calendar'!$E$379:$CZ$379,"&gt;"&amp;H$12,'Dvd Calendar'!$E$379:$CZ$379,"&lt;="&amp;H$13)/AS51!$B$3,"")))</f>
        <v/>
      </c>
      <c r="I202" s="113">
        <f>IF(I$13="","",IF($B202="","",IFERROR($C202*$D202*SUMIFS('Dvd Calendar'!$E$380:$CZ$380,'Dvd Calendar'!$E$379:$CZ$379,"&gt;"&amp;I$12,'Dvd Calendar'!$E$379:$CZ$379,"&lt;="&amp;I$13)/AS51!$B$3,"")))</f>
        <v/>
      </c>
      <c r="J202" s="113">
        <f>IF(J$13="","",IF($B202="","",IFERROR($C202*$D202*SUMIFS('Dvd Calendar'!$E$380:$CZ$380,'Dvd Calendar'!$E$379:$CZ$379,"&gt;"&amp;J$12,'Dvd Calendar'!$E$379:$CZ$379,"&lt;="&amp;J$13)/AS51!$B$3,"")))</f>
        <v/>
      </c>
      <c r="K202" s="113">
        <f>IF(K$13="","",IF($B202="","",IFERROR($C202*$D202*SUMIFS('Dvd Calendar'!$E$380:$CZ$380,'Dvd Calendar'!$E$379:$CZ$379,"&gt;"&amp;K$12,'Dvd Calendar'!$E$379:$CZ$379,"&lt;="&amp;K$13)/AS51!$B$3,"")))</f>
        <v/>
      </c>
      <c r="L202" s="113">
        <f>IF(L$13="","",IF($B202="","",IFERROR($C202*$D202*SUMIFS('Dvd Calendar'!$E$380:$CZ$380,'Dvd Calendar'!$E$379:$CZ$379,"&gt;"&amp;L$12,'Dvd Calendar'!$E$379:$CZ$379,"&lt;="&amp;L$13)/AS51!$B$3,"")))</f>
        <v/>
      </c>
      <c r="M202" s="113">
        <f>IF(M$13="","",IF($B202="","",IFERROR($C202*$D202*SUMIFS('Dvd Calendar'!$E$380:$CZ$380,'Dvd Calendar'!$E$379:$CZ$379,"&gt;"&amp;M$12,'Dvd Calendar'!$E$379:$CZ$379,"&lt;="&amp;M$13)/AS51!$B$3,"")))</f>
        <v/>
      </c>
      <c r="N202" s="113">
        <f>IF(N$13="","",IF($B202="","",IFERROR($C202*$D202*SUMIFS('Dvd Calendar'!$E$380:$CZ$380,'Dvd Calendar'!$E$379:$CZ$379,"&gt;"&amp;N$12,'Dvd Calendar'!$E$379:$CZ$379,"&lt;="&amp;N$13)/AS51!$B$3,"")))</f>
        <v/>
      </c>
      <c r="O202" s="113">
        <f>IF(O$13="","",IF($B202="","",IFERROR($C202*$D202*SUMIFS('Dvd Calendar'!$E$380:$CZ$380,'Dvd Calendar'!$E$379:$CZ$379,"&gt;"&amp;O$12,'Dvd Calendar'!$E$379:$CZ$379,"&lt;="&amp;O$13)/AS51!$B$3,"")))</f>
        <v/>
      </c>
      <c r="P202" s="113">
        <f>IF(P$13="","",IF($B202="","",IFERROR($C202*$D202*SUMIFS('Dvd Calendar'!$E$380:$CZ$380,'Dvd Calendar'!$E$379:$CZ$379,"&gt;"&amp;P$12,'Dvd Calendar'!$E$379:$CZ$379,"&lt;="&amp;P$13)/AS51!$B$3,"")))</f>
        <v/>
      </c>
      <c r="Q202" s="113">
        <f>IF(Q$13="","",IF($B202="","",IFERROR($C202*$D202*SUMIFS('Dvd Calendar'!$E$380:$CZ$380,'Dvd Calendar'!$E$379:$CZ$379,"&gt;"&amp;Q$12,'Dvd Calendar'!$E$379:$CZ$379,"&lt;="&amp;Q$13)/AS51!$B$3,"")))</f>
        <v/>
      </c>
      <c r="R202" s="113">
        <f>IF(R$13="","",IF($B202="","",IFERROR($C202*$D202*SUMIFS('Dvd Calendar'!$E$380:$CZ$380,'Dvd Calendar'!$E$379:$CZ$379,"&gt;"&amp;R$12,'Dvd Calendar'!$E$379:$CZ$379,"&lt;="&amp;R$13)/AS51!$B$3,"")))</f>
        <v/>
      </c>
      <c r="S202" s="113">
        <f>IF(S$13="","",IF($B202="","",IFERROR($C202*$D202*SUMIFS('Dvd Calendar'!$E$380:$CZ$380,'Dvd Calendar'!$E$379:$CZ$379,"&gt;"&amp;S$12,'Dvd Calendar'!$E$379:$CZ$379,"&lt;="&amp;S$13)/AS51!$B$3,"")))</f>
        <v/>
      </c>
      <c r="T202" s="113">
        <f>IF(T$13="","",IF($B202="","",IFERROR($C202*$D202*SUMIFS('Dvd Calendar'!$E$380:$CZ$380,'Dvd Calendar'!$E$379:$CZ$379,"&gt;"&amp;T$12,'Dvd Calendar'!$E$379:$CZ$379,"&lt;="&amp;T$13)/AS51!$B$3,"")))</f>
        <v/>
      </c>
      <c r="U202" s="113">
        <f>IF(U$13="","",IF($B202="","",IFERROR($C202*$D202*SUMIFS('Dvd Calendar'!$E$380:$CZ$380,'Dvd Calendar'!$E$379:$CZ$379,"&gt;"&amp;U$12,'Dvd Calendar'!$E$379:$CZ$379,"&lt;="&amp;U$13)/AS51!$B$3,"")))</f>
        <v/>
      </c>
      <c r="W202" s="113">
        <f>IF(W$13="","",IF($B202="","",IFERROR(F202*$E202/100,"")))</f>
        <v/>
      </c>
      <c r="X202" s="113">
        <f>IF(X$13="","",IF($B202="","",IFERROR(G202*$E202/100,"")))</f>
        <v/>
      </c>
      <c r="Y202" s="113">
        <f>IF(Y$13="","",IF($B202="","",IFERROR(H202*$E202/100,"")))</f>
        <v/>
      </c>
      <c r="Z202" s="113">
        <f>IF(Z$13="","",IF($B202="","",IFERROR(I202*$E202/100,"")))</f>
        <v/>
      </c>
      <c r="AA202" s="113">
        <f>IF(AA$13="","",IF($B202="","",IFERROR(J202*$E202/100,"")))</f>
        <v/>
      </c>
      <c r="AB202" s="113">
        <f>IF(AB$13="","",IF($B202="","",IFERROR(K202*$E202/100,"")))</f>
        <v/>
      </c>
      <c r="AC202" s="113">
        <f>IF(AC$13="","",IF($B202="","",IFERROR(L202*$E202/100,"")))</f>
        <v/>
      </c>
      <c r="AD202" s="113">
        <f>IF(AD$13="","",IF($B202="","",IFERROR(M202*$E202/100,"")))</f>
        <v/>
      </c>
      <c r="AE202" s="113">
        <f>IF(AE$13="","",IF($B202="","",IFERROR(N202*$E202/100,"")))</f>
        <v/>
      </c>
      <c r="AF202" s="113">
        <f>IF(AF$13="","",IF($B202="","",IFERROR(O202*$E202/100,"")))</f>
        <v/>
      </c>
      <c r="AG202" s="113">
        <f>IF(AG$13="","",IF($B202="","",IFERROR(P202*$E202/100,"")))</f>
        <v/>
      </c>
      <c r="AH202" s="113">
        <f>IF(AH$13="","",IF($B202="","",IFERROR(Q202*$E202/100,"")))</f>
        <v/>
      </c>
      <c r="AI202" s="113">
        <f>IF(AI$13="","",IF($B202="","",IFERROR(R202*$E202/100,"")))</f>
        <v/>
      </c>
      <c r="AJ202" s="113">
        <f>IF(AJ$13="","",IF($B202="","",IFERROR(S202*$E202/100,"")))</f>
        <v/>
      </c>
      <c r="AK202" s="113">
        <f>IF(AK$13="","",IF($B202="","",IFERROR(T202*$E202/100,"")))</f>
        <v/>
      </c>
      <c r="AL202" s="113">
        <f>IF(AL$13="","",IF($B202="","",IFERROR(U202*$E202/100,"")))</f>
        <v/>
      </c>
    </row>
    <row r="203">
      <c r="B203" s="5">
        <f>IF(AS51!$C$193="","",AS51!$C$193)</f>
        <v/>
      </c>
      <c r="C203" s="86">
        <f>IF(AS51!$B$193="","",AS51!$B$193)</f>
        <v/>
      </c>
      <c r="D203" s="111">
        <f>IFERROR(AS51!$Q$193,1)</f>
        <v/>
      </c>
      <c r="E203" s="112">
        <f>IF($B203="","",IF(ISNUMBER(AS51!$I$193),AS51!$I$193,'Index Summary'!$C$7))</f>
        <v/>
      </c>
      <c r="F203" s="113">
        <f>IF(F$13="","",IF($B203="","",IFERROR($C203*$D203*SUMIFS('Dvd Calendar'!$E$382:$CZ$382,'Dvd Calendar'!$E$381:$CZ$381,"&gt;"&amp;F$12,'Dvd Calendar'!$E$381:$CZ$381,"&lt;="&amp;F$13)/AS51!$B$3,"")))</f>
        <v/>
      </c>
      <c r="G203" s="113">
        <f>IF(G$13="","",IF($B203="","",IFERROR($C203*$D203*SUMIFS('Dvd Calendar'!$E$382:$CZ$382,'Dvd Calendar'!$E$381:$CZ$381,"&gt;"&amp;G$12,'Dvd Calendar'!$E$381:$CZ$381,"&lt;="&amp;G$13)/AS51!$B$3,"")))</f>
        <v/>
      </c>
      <c r="H203" s="113">
        <f>IF(H$13="","",IF($B203="","",IFERROR($C203*$D203*SUMIFS('Dvd Calendar'!$E$382:$CZ$382,'Dvd Calendar'!$E$381:$CZ$381,"&gt;"&amp;H$12,'Dvd Calendar'!$E$381:$CZ$381,"&lt;="&amp;H$13)/AS51!$B$3,"")))</f>
        <v/>
      </c>
      <c r="I203" s="113">
        <f>IF(I$13="","",IF($B203="","",IFERROR($C203*$D203*SUMIFS('Dvd Calendar'!$E$382:$CZ$382,'Dvd Calendar'!$E$381:$CZ$381,"&gt;"&amp;I$12,'Dvd Calendar'!$E$381:$CZ$381,"&lt;="&amp;I$13)/AS51!$B$3,"")))</f>
        <v/>
      </c>
      <c r="J203" s="113">
        <f>IF(J$13="","",IF($B203="","",IFERROR($C203*$D203*SUMIFS('Dvd Calendar'!$E$382:$CZ$382,'Dvd Calendar'!$E$381:$CZ$381,"&gt;"&amp;J$12,'Dvd Calendar'!$E$381:$CZ$381,"&lt;="&amp;J$13)/AS51!$B$3,"")))</f>
        <v/>
      </c>
      <c r="K203" s="113">
        <f>IF(K$13="","",IF($B203="","",IFERROR($C203*$D203*SUMIFS('Dvd Calendar'!$E$382:$CZ$382,'Dvd Calendar'!$E$381:$CZ$381,"&gt;"&amp;K$12,'Dvd Calendar'!$E$381:$CZ$381,"&lt;="&amp;K$13)/AS51!$B$3,"")))</f>
        <v/>
      </c>
      <c r="L203" s="113">
        <f>IF(L$13="","",IF($B203="","",IFERROR($C203*$D203*SUMIFS('Dvd Calendar'!$E$382:$CZ$382,'Dvd Calendar'!$E$381:$CZ$381,"&gt;"&amp;L$12,'Dvd Calendar'!$E$381:$CZ$381,"&lt;="&amp;L$13)/AS51!$B$3,"")))</f>
        <v/>
      </c>
      <c r="M203" s="113">
        <f>IF(M$13="","",IF($B203="","",IFERROR($C203*$D203*SUMIFS('Dvd Calendar'!$E$382:$CZ$382,'Dvd Calendar'!$E$381:$CZ$381,"&gt;"&amp;M$12,'Dvd Calendar'!$E$381:$CZ$381,"&lt;="&amp;M$13)/AS51!$B$3,"")))</f>
        <v/>
      </c>
      <c r="N203" s="113">
        <f>IF(N$13="","",IF($B203="","",IFERROR($C203*$D203*SUMIFS('Dvd Calendar'!$E$382:$CZ$382,'Dvd Calendar'!$E$381:$CZ$381,"&gt;"&amp;N$12,'Dvd Calendar'!$E$381:$CZ$381,"&lt;="&amp;N$13)/AS51!$B$3,"")))</f>
        <v/>
      </c>
      <c r="O203" s="113">
        <f>IF(O$13="","",IF($B203="","",IFERROR($C203*$D203*SUMIFS('Dvd Calendar'!$E$382:$CZ$382,'Dvd Calendar'!$E$381:$CZ$381,"&gt;"&amp;O$12,'Dvd Calendar'!$E$381:$CZ$381,"&lt;="&amp;O$13)/AS51!$B$3,"")))</f>
        <v/>
      </c>
      <c r="P203" s="113">
        <f>IF(P$13="","",IF($B203="","",IFERROR($C203*$D203*SUMIFS('Dvd Calendar'!$E$382:$CZ$382,'Dvd Calendar'!$E$381:$CZ$381,"&gt;"&amp;P$12,'Dvd Calendar'!$E$381:$CZ$381,"&lt;="&amp;P$13)/AS51!$B$3,"")))</f>
        <v/>
      </c>
      <c r="Q203" s="113">
        <f>IF(Q$13="","",IF($B203="","",IFERROR($C203*$D203*SUMIFS('Dvd Calendar'!$E$382:$CZ$382,'Dvd Calendar'!$E$381:$CZ$381,"&gt;"&amp;Q$12,'Dvd Calendar'!$E$381:$CZ$381,"&lt;="&amp;Q$13)/AS51!$B$3,"")))</f>
        <v/>
      </c>
      <c r="R203" s="113">
        <f>IF(R$13="","",IF($B203="","",IFERROR($C203*$D203*SUMIFS('Dvd Calendar'!$E$382:$CZ$382,'Dvd Calendar'!$E$381:$CZ$381,"&gt;"&amp;R$12,'Dvd Calendar'!$E$381:$CZ$381,"&lt;="&amp;R$13)/AS51!$B$3,"")))</f>
        <v/>
      </c>
      <c r="S203" s="113">
        <f>IF(S$13="","",IF($B203="","",IFERROR($C203*$D203*SUMIFS('Dvd Calendar'!$E$382:$CZ$382,'Dvd Calendar'!$E$381:$CZ$381,"&gt;"&amp;S$12,'Dvd Calendar'!$E$381:$CZ$381,"&lt;="&amp;S$13)/AS51!$B$3,"")))</f>
        <v/>
      </c>
      <c r="T203" s="113">
        <f>IF(T$13="","",IF($B203="","",IFERROR($C203*$D203*SUMIFS('Dvd Calendar'!$E$382:$CZ$382,'Dvd Calendar'!$E$381:$CZ$381,"&gt;"&amp;T$12,'Dvd Calendar'!$E$381:$CZ$381,"&lt;="&amp;T$13)/AS51!$B$3,"")))</f>
        <v/>
      </c>
      <c r="U203" s="113">
        <f>IF(U$13="","",IF($B203="","",IFERROR($C203*$D203*SUMIFS('Dvd Calendar'!$E$382:$CZ$382,'Dvd Calendar'!$E$381:$CZ$381,"&gt;"&amp;U$12,'Dvd Calendar'!$E$381:$CZ$381,"&lt;="&amp;U$13)/AS51!$B$3,"")))</f>
        <v/>
      </c>
      <c r="W203" s="113">
        <f>IF(W$13="","",IF($B203="","",IFERROR(F203*$E203/100,"")))</f>
        <v/>
      </c>
      <c r="X203" s="113">
        <f>IF(X$13="","",IF($B203="","",IFERROR(G203*$E203/100,"")))</f>
        <v/>
      </c>
      <c r="Y203" s="113">
        <f>IF(Y$13="","",IF($B203="","",IFERROR(H203*$E203/100,"")))</f>
        <v/>
      </c>
      <c r="Z203" s="113">
        <f>IF(Z$13="","",IF($B203="","",IFERROR(I203*$E203/100,"")))</f>
        <v/>
      </c>
      <c r="AA203" s="113">
        <f>IF(AA$13="","",IF($B203="","",IFERROR(J203*$E203/100,"")))</f>
        <v/>
      </c>
      <c r="AB203" s="113">
        <f>IF(AB$13="","",IF($B203="","",IFERROR(K203*$E203/100,"")))</f>
        <v/>
      </c>
      <c r="AC203" s="113">
        <f>IF(AC$13="","",IF($B203="","",IFERROR(L203*$E203/100,"")))</f>
        <v/>
      </c>
      <c r="AD203" s="113">
        <f>IF(AD$13="","",IF($B203="","",IFERROR(M203*$E203/100,"")))</f>
        <v/>
      </c>
      <c r="AE203" s="113">
        <f>IF(AE$13="","",IF($B203="","",IFERROR(N203*$E203/100,"")))</f>
        <v/>
      </c>
      <c r="AF203" s="113">
        <f>IF(AF$13="","",IF($B203="","",IFERROR(O203*$E203/100,"")))</f>
        <v/>
      </c>
      <c r="AG203" s="113">
        <f>IF(AG$13="","",IF($B203="","",IFERROR(P203*$E203/100,"")))</f>
        <v/>
      </c>
      <c r="AH203" s="113">
        <f>IF(AH$13="","",IF($B203="","",IFERROR(Q203*$E203/100,"")))</f>
        <v/>
      </c>
      <c r="AI203" s="113">
        <f>IF(AI$13="","",IF($B203="","",IFERROR(R203*$E203/100,"")))</f>
        <v/>
      </c>
      <c r="AJ203" s="113">
        <f>IF(AJ$13="","",IF($B203="","",IFERROR(S203*$E203/100,"")))</f>
        <v/>
      </c>
      <c r="AK203" s="113">
        <f>IF(AK$13="","",IF($B203="","",IFERROR(T203*$E203/100,"")))</f>
        <v/>
      </c>
      <c r="AL203" s="113">
        <f>IF(AL$13="","",IF($B203="","",IFERROR(U203*$E203/100,"")))</f>
        <v/>
      </c>
    </row>
    <row r="204">
      <c r="B204" s="5">
        <f>IF(AS51!$C$194="","",AS51!$C$194)</f>
        <v/>
      </c>
      <c r="C204" s="86">
        <f>IF(AS51!$B$194="","",AS51!$B$194)</f>
        <v/>
      </c>
      <c r="D204" s="111">
        <f>IFERROR(AS51!$Q$194,1)</f>
        <v/>
      </c>
      <c r="E204" s="112">
        <f>IF($B204="","",IF(ISNUMBER(AS51!$I$194),AS51!$I$194,'Index Summary'!$C$7))</f>
        <v/>
      </c>
      <c r="F204" s="113">
        <f>IF(F$13="","",IF($B204="","",IFERROR($C204*$D204*SUMIFS('Dvd Calendar'!$E$384:$CZ$384,'Dvd Calendar'!$E$383:$CZ$383,"&gt;"&amp;F$12,'Dvd Calendar'!$E$383:$CZ$383,"&lt;="&amp;F$13)/AS51!$B$3,"")))</f>
        <v/>
      </c>
      <c r="G204" s="113">
        <f>IF(G$13="","",IF($B204="","",IFERROR($C204*$D204*SUMIFS('Dvd Calendar'!$E$384:$CZ$384,'Dvd Calendar'!$E$383:$CZ$383,"&gt;"&amp;G$12,'Dvd Calendar'!$E$383:$CZ$383,"&lt;="&amp;G$13)/AS51!$B$3,"")))</f>
        <v/>
      </c>
      <c r="H204" s="113">
        <f>IF(H$13="","",IF($B204="","",IFERROR($C204*$D204*SUMIFS('Dvd Calendar'!$E$384:$CZ$384,'Dvd Calendar'!$E$383:$CZ$383,"&gt;"&amp;H$12,'Dvd Calendar'!$E$383:$CZ$383,"&lt;="&amp;H$13)/AS51!$B$3,"")))</f>
        <v/>
      </c>
      <c r="I204" s="113">
        <f>IF(I$13="","",IF($B204="","",IFERROR($C204*$D204*SUMIFS('Dvd Calendar'!$E$384:$CZ$384,'Dvd Calendar'!$E$383:$CZ$383,"&gt;"&amp;I$12,'Dvd Calendar'!$E$383:$CZ$383,"&lt;="&amp;I$13)/AS51!$B$3,"")))</f>
        <v/>
      </c>
      <c r="J204" s="113">
        <f>IF(J$13="","",IF($B204="","",IFERROR($C204*$D204*SUMIFS('Dvd Calendar'!$E$384:$CZ$384,'Dvd Calendar'!$E$383:$CZ$383,"&gt;"&amp;J$12,'Dvd Calendar'!$E$383:$CZ$383,"&lt;="&amp;J$13)/AS51!$B$3,"")))</f>
        <v/>
      </c>
      <c r="K204" s="113">
        <f>IF(K$13="","",IF($B204="","",IFERROR($C204*$D204*SUMIFS('Dvd Calendar'!$E$384:$CZ$384,'Dvd Calendar'!$E$383:$CZ$383,"&gt;"&amp;K$12,'Dvd Calendar'!$E$383:$CZ$383,"&lt;="&amp;K$13)/AS51!$B$3,"")))</f>
        <v/>
      </c>
      <c r="L204" s="113">
        <f>IF(L$13="","",IF($B204="","",IFERROR($C204*$D204*SUMIFS('Dvd Calendar'!$E$384:$CZ$384,'Dvd Calendar'!$E$383:$CZ$383,"&gt;"&amp;L$12,'Dvd Calendar'!$E$383:$CZ$383,"&lt;="&amp;L$13)/AS51!$B$3,"")))</f>
        <v/>
      </c>
      <c r="M204" s="113">
        <f>IF(M$13="","",IF($B204="","",IFERROR($C204*$D204*SUMIFS('Dvd Calendar'!$E$384:$CZ$384,'Dvd Calendar'!$E$383:$CZ$383,"&gt;"&amp;M$12,'Dvd Calendar'!$E$383:$CZ$383,"&lt;="&amp;M$13)/AS51!$B$3,"")))</f>
        <v/>
      </c>
      <c r="N204" s="113">
        <f>IF(N$13="","",IF($B204="","",IFERROR($C204*$D204*SUMIFS('Dvd Calendar'!$E$384:$CZ$384,'Dvd Calendar'!$E$383:$CZ$383,"&gt;"&amp;N$12,'Dvd Calendar'!$E$383:$CZ$383,"&lt;="&amp;N$13)/AS51!$B$3,"")))</f>
        <v/>
      </c>
      <c r="O204" s="113">
        <f>IF(O$13="","",IF($B204="","",IFERROR($C204*$D204*SUMIFS('Dvd Calendar'!$E$384:$CZ$384,'Dvd Calendar'!$E$383:$CZ$383,"&gt;"&amp;O$12,'Dvd Calendar'!$E$383:$CZ$383,"&lt;="&amp;O$13)/AS51!$B$3,"")))</f>
        <v/>
      </c>
      <c r="P204" s="113">
        <f>IF(P$13="","",IF($B204="","",IFERROR($C204*$D204*SUMIFS('Dvd Calendar'!$E$384:$CZ$384,'Dvd Calendar'!$E$383:$CZ$383,"&gt;"&amp;P$12,'Dvd Calendar'!$E$383:$CZ$383,"&lt;="&amp;P$13)/AS51!$B$3,"")))</f>
        <v/>
      </c>
      <c r="Q204" s="113">
        <f>IF(Q$13="","",IF($B204="","",IFERROR($C204*$D204*SUMIFS('Dvd Calendar'!$E$384:$CZ$384,'Dvd Calendar'!$E$383:$CZ$383,"&gt;"&amp;Q$12,'Dvd Calendar'!$E$383:$CZ$383,"&lt;="&amp;Q$13)/AS51!$B$3,"")))</f>
        <v/>
      </c>
      <c r="R204" s="113">
        <f>IF(R$13="","",IF($B204="","",IFERROR($C204*$D204*SUMIFS('Dvd Calendar'!$E$384:$CZ$384,'Dvd Calendar'!$E$383:$CZ$383,"&gt;"&amp;R$12,'Dvd Calendar'!$E$383:$CZ$383,"&lt;="&amp;R$13)/AS51!$B$3,"")))</f>
        <v/>
      </c>
      <c r="S204" s="113">
        <f>IF(S$13="","",IF($B204="","",IFERROR($C204*$D204*SUMIFS('Dvd Calendar'!$E$384:$CZ$384,'Dvd Calendar'!$E$383:$CZ$383,"&gt;"&amp;S$12,'Dvd Calendar'!$E$383:$CZ$383,"&lt;="&amp;S$13)/AS51!$B$3,"")))</f>
        <v/>
      </c>
      <c r="T204" s="113">
        <f>IF(T$13="","",IF($B204="","",IFERROR($C204*$D204*SUMIFS('Dvd Calendar'!$E$384:$CZ$384,'Dvd Calendar'!$E$383:$CZ$383,"&gt;"&amp;T$12,'Dvd Calendar'!$E$383:$CZ$383,"&lt;="&amp;T$13)/AS51!$B$3,"")))</f>
        <v/>
      </c>
      <c r="U204" s="113">
        <f>IF(U$13="","",IF($B204="","",IFERROR($C204*$D204*SUMIFS('Dvd Calendar'!$E$384:$CZ$384,'Dvd Calendar'!$E$383:$CZ$383,"&gt;"&amp;U$12,'Dvd Calendar'!$E$383:$CZ$383,"&lt;="&amp;U$13)/AS51!$B$3,"")))</f>
        <v/>
      </c>
      <c r="W204" s="113">
        <f>IF(W$13="","",IF($B204="","",IFERROR(F204*$E204/100,"")))</f>
        <v/>
      </c>
      <c r="X204" s="113">
        <f>IF(X$13="","",IF($B204="","",IFERROR(G204*$E204/100,"")))</f>
        <v/>
      </c>
      <c r="Y204" s="113">
        <f>IF(Y$13="","",IF($B204="","",IFERROR(H204*$E204/100,"")))</f>
        <v/>
      </c>
      <c r="Z204" s="113">
        <f>IF(Z$13="","",IF($B204="","",IFERROR(I204*$E204/100,"")))</f>
        <v/>
      </c>
      <c r="AA204" s="113">
        <f>IF(AA$13="","",IF($B204="","",IFERROR(J204*$E204/100,"")))</f>
        <v/>
      </c>
      <c r="AB204" s="113">
        <f>IF(AB$13="","",IF($B204="","",IFERROR(K204*$E204/100,"")))</f>
        <v/>
      </c>
      <c r="AC204" s="113">
        <f>IF(AC$13="","",IF($B204="","",IFERROR(L204*$E204/100,"")))</f>
        <v/>
      </c>
      <c r="AD204" s="113">
        <f>IF(AD$13="","",IF($B204="","",IFERROR(M204*$E204/100,"")))</f>
        <v/>
      </c>
      <c r="AE204" s="113">
        <f>IF(AE$13="","",IF($B204="","",IFERROR(N204*$E204/100,"")))</f>
        <v/>
      </c>
      <c r="AF204" s="113">
        <f>IF(AF$13="","",IF($B204="","",IFERROR(O204*$E204/100,"")))</f>
        <v/>
      </c>
      <c r="AG204" s="113">
        <f>IF(AG$13="","",IF($B204="","",IFERROR(P204*$E204/100,"")))</f>
        <v/>
      </c>
      <c r="AH204" s="113">
        <f>IF(AH$13="","",IF($B204="","",IFERROR(Q204*$E204/100,"")))</f>
        <v/>
      </c>
      <c r="AI204" s="113">
        <f>IF(AI$13="","",IF($B204="","",IFERROR(R204*$E204/100,"")))</f>
        <v/>
      </c>
      <c r="AJ204" s="113">
        <f>IF(AJ$13="","",IF($B204="","",IFERROR(S204*$E204/100,"")))</f>
        <v/>
      </c>
      <c r="AK204" s="113">
        <f>IF(AK$13="","",IF($B204="","",IFERROR(T204*$E204/100,"")))</f>
        <v/>
      </c>
      <c r="AL204" s="113">
        <f>IF(AL$13="","",IF($B204="","",IFERROR(U204*$E204/100,"")))</f>
        <v/>
      </c>
    </row>
    <row r="205">
      <c r="B205" s="5">
        <f>IF(AS51!$C$195="","",AS51!$C$195)</f>
        <v/>
      </c>
      <c r="C205" s="86">
        <f>IF(AS51!$B$195="","",AS51!$B$195)</f>
        <v/>
      </c>
      <c r="D205" s="111">
        <f>IFERROR(AS51!$Q$195,1)</f>
        <v/>
      </c>
      <c r="E205" s="112">
        <f>IF($B205="","",IF(ISNUMBER(AS51!$I$195),AS51!$I$195,'Index Summary'!$C$7))</f>
        <v/>
      </c>
      <c r="F205" s="113">
        <f>IF(F$13="","",IF($B205="","",IFERROR($C205*$D205*SUMIFS('Dvd Calendar'!$E$386:$CZ$386,'Dvd Calendar'!$E$385:$CZ$385,"&gt;"&amp;F$12,'Dvd Calendar'!$E$385:$CZ$385,"&lt;="&amp;F$13)/AS51!$B$3,"")))</f>
        <v/>
      </c>
      <c r="G205" s="113">
        <f>IF(G$13="","",IF($B205="","",IFERROR($C205*$D205*SUMIFS('Dvd Calendar'!$E$386:$CZ$386,'Dvd Calendar'!$E$385:$CZ$385,"&gt;"&amp;G$12,'Dvd Calendar'!$E$385:$CZ$385,"&lt;="&amp;G$13)/AS51!$B$3,"")))</f>
        <v/>
      </c>
      <c r="H205" s="113">
        <f>IF(H$13="","",IF($B205="","",IFERROR($C205*$D205*SUMIFS('Dvd Calendar'!$E$386:$CZ$386,'Dvd Calendar'!$E$385:$CZ$385,"&gt;"&amp;H$12,'Dvd Calendar'!$E$385:$CZ$385,"&lt;="&amp;H$13)/AS51!$B$3,"")))</f>
        <v/>
      </c>
      <c r="I205" s="113">
        <f>IF(I$13="","",IF($B205="","",IFERROR($C205*$D205*SUMIFS('Dvd Calendar'!$E$386:$CZ$386,'Dvd Calendar'!$E$385:$CZ$385,"&gt;"&amp;I$12,'Dvd Calendar'!$E$385:$CZ$385,"&lt;="&amp;I$13)/AS51!$B$3,"")))</f>
        <v/>
      </c>
      <c r="J205" s="113">
        <f>IF(J$13="","",IF($B205="","",IFERROR($C205*$D205*SUMIFS('Dvd Calendar'!$E$386:$CZ$386,'Dvd Calendar'!$E$385:$CZ$385,"&gt;"&amp;J$12,'Dvd Calendar'!$E$385:$CZ$385,"&lt;="&amp;J$13)/AS51!$B$3,"")))</f>
        <v/>
      </c>
      <c r="K205" s="113">
        <f>IF(K$13="","",IF($B205="","",IFERROR($C205*$D205*SUMIFS('Dvd Calendar'!$E$386:$CZ$386,'Dvd Calendar'!$E$385:$CZ$385,"&gt;"&amp;K$12,'Dvd Calendar'!$E$385:$CZ$385,"&lt;="&amp;K$13)/AS51!$B$3,"")))</f>
        <v/>
      </c>
      <c r="L205" s="113">
        <f>IF(L$13="","",IF($B205="","",IFERROR($C205*$D205*SUMIFS('Dvd Calendar'!$E$386:$CZ$386,'Dvd Calendar'!$E$385:$CZ$385,"&gt;"&amp;L$12,'Dvd Calendar'!$E$385:$CZ$385,"&lt;="&amp;L$13)/AS51!$B$3,"")))</f>
        <v/>
      </c>
      <c r="M205" s="113">
        <f>IF(M$13="","",IF($B205="","",IFERROR($C205*$D205*SUMIFS('Dvd Calendar'!$E$386:$CZ$386,'Dvd Calendar'!$E$385:$CZ$385,"&gt;"&amp;M$12,'Dvd Calendar'!$E$385:$CZ$385,"&lt;="&amp;M$13)/AS51!$B$3,"")))</f>
        <v/>
      </c>
      <c r="N205" s="113">
        <f>IF(N$13="","",IF($B205="","",IFERROR($C205*$D205*SUMIFS('Dvd Calendar'!$E$386:$CZ$386,'Dvd Calendar'!$E$385:$CZ$385,"&gt;"&amp;N$12,'Dvd Calendar'!$E$385:$CZ$385,"&lt;="&amp;N$13)/AS51!$B$3,"")))</f>
        <v/>
      </c>
      <c r="O205" s="113">
        <f>IF(O$13="","",IF($B205="","",IFERROR($C205*$D205*SUMIFS('Dvd Calendar'!$E$386:$CZ$386,'Dvd Calendar'!$E$385:$CZ$385,"&gt;"&amp;O$12,'Dvd Calendar'!$E$385:$CZ$385,"&lt;="&amp;O$13)/AS51!$B$3,"")))</f>
        <v/>
      </c>
      <c r="P205" s="113">
        <f>IF(P$13="","",IF($B205="","",IFERROR($C205*$D205*SUMIFS('Dvd Calendar'!$E$386:$CZ$386,'Dvd Calendar'!$E$385:$CZ$385,"&gt;"&amp;P$12,'Dvd Calendar'!$E$385:$CZ$385,"&lt;="&amp;P$13)/AS51!$B$3,"")))</f>
        <v/>
      </c>
      <c r="Q205" s="113">
        <f>IF(Q$13="","",IF($B205="","",IFERROR($C205*$D205*SUMIFS('Dvd Calendar'!$E$386:$CZ$386,'Dvd Calendar'!$E$385:$CZ$385,"&gt;"&amp;Q$12,'Dvd Calendar'!$E$385:$CZ$385,"&lt;="&amp;Q$13)/AS51!$B$3,"")))</f>
        <v/>
      </c>
      <c r="R205" s="113">
        <f>IF(R$13="","",IF($B205="","",IFERROR($C205*$D205*SUMIFS('Dvd Calendar'!$E$386:$CZ$386,'Dvd Calendar'!$E$385:$CZ$385,"&gt;"&amp;R$12,'Dvd Calendar'!$E$385:$CZ$385,"&lt;="&amp;R$13)/AS51!$B$3,"")))</f>
        <v/>
      </c>
      <c r="S205" s="113">
        <f>IF(S$13="","",IF($B205="","",IFERROR($C205*$D205*SUMIFS('Dvd Calendar'!$E$386:$CZ$386,'Dvd Calendar'!$E$385:$CZ$385,"&gt;"&amp;S$12,'Dvd Calendar'!$E$385:$CZ$385,"&lt;="&amp;S$13)/AS51!$B$3,"")))</f>
        <v/>
      </c>
      <c r="T205" s="113">
        <f>IF(T$13="","",IF($B205="","",IFERROR($C205*$D205*SUMIFS('Dvd Calendar'!$E$386:$CZ$386,'Dvd Calendar'!$E$385:$CZ$385,"&gt;"&amp;T$12,'Dvd Calendar'!$E$385:$CZ$385,"&lt;="&amp;T$13)/AS51!$B$3,"")))</f>
        <v/>
      </c>
      <c r="U205" s="113">
        <f>IF(U$13="","",IF($B205="","",IFERROR($C205*$D205*SUMIFS('Dvd Calendar'!$E$386:$CZ$386,'Dvd Calendar'!$E$385:$CZ$385,"&gt;"&amp;U$12,'Dvd Calendar'!$E$385:$CZ$385,"&lt;="&amp;U$13)/AS51!$B$3,"")))</f>
        <v/>
      </c>
      <c r="W205" s="113">
        <f>IF(W$13="","",IF($B205="","",IFERROR(F205*$E205/100,"")))</f>
        <v/>
      </c>
      <c r="X205" s="113">
        <f>IF(X$13="","",IF($B205="","",IFERROR(G205*$E205/100,"")))</f>
        <v/>
      </c>
      <c r="Y205" s="113">
        <f>IF(Y$13="","",IF($B205="","",IFERROR(H205*$E205/100,"")))</f>
        <v/>
      </c>
      <c r="Z205" s="113">
        <f>IF(Z$13="","",IF($B205="","",IFERROR(I205*$E205/100,"")))</f>
        <v/>
      </c>
      <c r="AA205" s="113">
        <f>IF(AA$13="","",IF($B205="","",IFERROR(J205*$E205/100,"")))</f>
        <v/>
      </c>
      <c r="AB205" s="113">
        <f>IF(AB$13="","",IF($B205="","",IFERROR(K205*$E205/100,"")))</f>
        <v/>
      </c>
      <c r="AC205" s="113">
        <f>IF(AC$13="","",IF($B205="","",IFERROR(L205*$E205/100,"")))</f>
        <v/>
      </c>
      <c r="AD205" s="113">
        <f>IF(AD$13="","",IF($B205="","",IFERROR(M205*$E205/100,"")))</f>
        <v/>
      </c>
      <c r="AE205" s="113">
        <f>IF(AE$13="","",IF($B205="","",IFERROR(N205*$E205/100,"")))</f>
        <v/>
      </c>
      <c r="AF205" s="113">
        <f>IF(AF$13="","",IF($B205="","",IFERROR(O205*$E205/100,"")))</f>
        <v/>
      </c>
      <c r="AG205" s="113">
        <f>IF(AG$13="","",IF($B205="","",IFERROR(P205*$E205/100,"")))</f>
        <v/>
      </c>
      <c r="AH205" s="113">
        <f>IF(AH$13="","",IF($B205="","",IFERROR(Q205*$E205/100,"")))</f>
        <v/>
      </c>
      <c r="AI205" s="113">
        <f>IF(AI$13="","",IF($B205="","",IFERROR(R205*$E205/100,"")))</f>
        <v/>
      </c>
      <c r="AJ205" s="113">
        <f>IF(AJ$13="","",IF($B205="","",IFERROR(S205*$E205/100,"")))</f>
        <v/>
      </c>
      <c r="AK205" s="113">
        <f>IF(AK$13="","",IF($B205="","",IFERROR(T205*$E205/100,"")))</f>
        <v/>
      </c>
      <c r="AL205" s="113">
        <f>IF(AL$13="","",IF($B205="","",IFERROR(U205*$E205/100,"")))</f>
        <v/>
      </c>
    </row>
    <row r="206">
      <c r="B206" s="5">
        <f>IF(AS51!$C$196="","",AS51!$C$196)</f>
        <v/>
      </c>
      <c r="C206" s="86">
        <f>IF(AS51!$B$196="","",AS51!$B$196)</f>
        <v/>
      </c>
      <c r="D206" s="111">
        <f>IFERROR(AS51!$Q$196,1)</f>
        <v/>
      </c>
      <c r="E206" s="112">
        <f>IF($B206="","",IF(ISNUMBER(AS51!$I$196),AS51!$I$196,'Index Summary'!$C$7))</f>
        <v/>
      </c>
      <c r="F206" s="113">
        <f>IF(F$13="","",IF($B206="","",IFERROR($C206*$D206*SUMIFS('Dvd Calendar'!$E$388:$CZ$388,'Dvd Calendar'!$E$387:$CZ$387,"&gt;"&amp;F$12,'Dvd Calendar'!$E$387:$CZ$387,"&lt;="&amp;F$13)/AS51!$B$3,"")))</f>
        <v/>
      </c>
      <c r="G206" s="113">
        <f>IF(G$13="","",IF($B206="","",IFERROR($C206*$D206*SUMIFS('Dvd Calendar'!$E$388:$CZ$388,'Dvd Calendar'!$E$387:$CZ$387,"&gt;"&amp;G$12,'Dvd Calendar'!$E$387:$CZ$387,"&lt;="&amp;G$13)/AS51!$B$3,"")))</f>
        <v/>
      </c>
      <c r="H206" s="113">
        <f>IF(H$13="","",IF($B206="","",IFERROR($C206*$D206*SUMIFS('Dvd Calendar'!$E$388:$CZ$388,'Dvd Calendar'!$E$387:$CZ$387,"&gt;"&amp;H$12,'Dvd Calendar'!$E$387:$CZ$387,"&lt;="&amp;H$13)/AS51!$B$3,"")))</f>
        <v/>
      </c>
      <c r="I206" s="113">
        <f>IF(I$13="","",IF($B206="","",IFERROR($C206*$D206*SUMIFS('Dvd Calendar'!$E$388:$CZ$388,'Dvd Calendar'!$E$387:$CZ$387,"&gt;"&amp;I$12,'Dvd Calendar'!$E$387:$CZ$387,"&lt;="&amp;I$13)/AS51!$B$3,"")))</f>
        <v/>
      </c>
      <c r="J206" s="113">
        <f>IF(J$13="","",IF($B206="","",IFERROR($C206*$D206*SUMIFS('Dvd Calendar'!$E$388:$CZ$388,'Dvd Calendar'!$E$387:$CZ$387,"&gt;"&amp;J$12,'Dvd Calendar'!$E$387:$CZ$387,"&lt;="&amp;J$13)/AS51!$B$3,"")))</f>
        <v/>
      </c>
      <c r="K206" s="113">
        <f>IF(K$13="","",IF($B206="","",IFERROR($C206*$D206*SUMIFS('Dvd Calendar'!$E$388:$CZ$388,'Dvd Calendar'!$E$387:$CZ$387,"&gt;"&amp;K$12,'Dvd Calendar'!$E$387:$CZ$387,"&lt;="&amp;K$13)/AS51!$B$3,"")))</f>
        <v/>
      </c>
      <c r="L206" s="113">
        <f>IF(L$13="","",IF($B206="","",IFERROR($C206*$D206*SUMIFS('Dvd Calendar'!$E$388:$CZ$388,'Dvd Calendar'!$E$387:$CZ$387,"&gt;"&amp;L$12,'Dvd Calendar'!$E$387:$CZ$387,"&lt;="&amp;L$13)/AS51!$B$3,"")))</f>
        <v/>
      </c>
      <c r="M206" s="113">
        <f>IF(M$13="","",IF($B206="","",IFERROR($C206*$D206*SUMIFS('Dvd Calendar'!$E$388:$CZ$388,'Dvd Calendar'!$E$387:$CZ$387,"&gt;"&amp;M$12,'Dvd Calendar'!$E$387:$CZ$387,"&lt;="&amp;M$13)/AS51!$B$3,"")))</f>
        <v/>
      </c>
      <c r="N206" s="113">
        <f>IF(N$13="","",IF($B206="","",IFERROR($C206*$D206*SUMIFS('Dvd Calendar'!$E$388:$CZ$388,'Dvd Calendar'!$E$387:$CZ$387,"&gt;"&amp;N$12,'Dvd Calendar'!$E$387:$CZ$387,"&lt;="&amp;N$13)/AS51!$B$3,"")))</f>
        <v/>
      </c>
      <c r="O206" s="113">
        <f>IF(O$13="","",IF($B206="","",IFERROR($C206*$D206*SUMIFS('Dvd Calendar'!$E$388:$CZ$388,'Dvd Calendar'!$E$387:$CZ$387,"&gt;"&amp;O$12,'Dvd Calendar'!$E$387:$CZ$387,"&lt;="&amp;O$13)/AS51!$B$3,"")))</f>
        <v/>
      </c>
      <c r="P206" s="113">
        <f>IF(P$13="","",IF($B206="","",IFERROR($C206*$D206*SUMIFS('Dvd Calendar'!$E$388:$CZ$388,'Dvd Calendar'!$E$387:$CZ$387,"&gt;"&amp;P$12,'Dvd Calendar'!$E$387:$CZ$387,"&lt;="&amp;P$13)/AS51!$B$3,"")))</f>
        <v/>
      </c>
      <c r="Q206" s="113">
        <f>IF(Q$13="","",IF($B206="","",IFERROR($C206*$D206*SUMIFS('Dvd Calendar'!$E$388:$CZ$388,'Dvd Calendar'!$E$387:$CZ$387,"&gt;"&amp;Q$12,'Dvd Calendar'!$E$387:$CZ$387,"&lt;="&amp;Q$13)/AS51!$B$3,"")))</f>
        <v/>
      </c>
      <c r="R206" s="113">
        <f>IF(R$13="","",IF($B206="","",IFERROR($C206*$D206*SUMIFS('Dvd Calendar'!$E$388:$CZ$388,'Dvd Calendar'!$E$387:$CZ$387,"&gt;"&amp;R$12,'Dvd Calendar'!$E$387:$CZ$387,"&lt;="&amp;R$13)/AS51!$B$3,"")))</f>
        <v/>
      </c>
      <c r="S206" s="113">
        <f>IF(S$13="","",IF($B206="","",IFERROR($C206*$D206*SUMIFS('Dvd Calendar'!$E$388:$CZ$388,'Dvd Calendar'!$E$387:$CZ$387,"&gt;"&amp;S$12,'Dvd Calendar'!$E$387:$CZ$387,"&lt;="&amp;S$13)/AS51!$B$3,"")))</f>
        <v/>
      </c>
      <c r="T206" s="113">
        <f>IF(T$13="","",IF($B206="","",IFERROR($C206*$D206*SUMIFS('Dvd Calendar'!$E$388:$CZ$388,'Dvd Calendar'!$E$387:$CZ$387,"&gt;"&amp;T$12,'Dvd Calendar'!$E$387:$CZ$387,"&lt;="&amp;T$13)/AS51!$B$3,"")))</f>
        <v/>
      </c>
      <c r="U206" s="113">
        <f>IF(U$13="","",IF($B206="","",IFERROR($C206*$D206*SUMIFS('Dvd Calendar'!$E$388:$CZ$388,'Dvd Calendar'!$E$387:$CZ$387,"&gt;"&amp;U$12,'Dvd Calendar'!$E$387:$CZ$387,"&lt;="&amp;U$13)/AS51!$B$3,"")))</f>
        <v/>
      </c>
      <c r="W206" s="113">
        <f>IF(W$13="","",IF($B206="","",IFERROR(F206*$E206/100,"")))</f>
        <v/>
      </c>
      <c r="X206" s="113">
        <f>IF(X$13="","",IF($B206="","",IFERROR(G206*$E206/100,"")))</f>
        <v/>
      </c>
      <c r="Y206" s="113">
        <f>IF(Y$13="","",IF($B206="","",IFERROR(H206*$E206/100,"")))</f>
        <v/>
      </c>
      <c r="Z206" s="113">
        <f>IF(Z$13="","",IF($B206="","",IFERROR(I206*$E206/100,"")))</f>
        <v/>
      </c>
      <c r="AA206" s="113">
        <f>IF(AA$13="","",IF($B206="","",IFERROR(J206*$E206/100,"")))</f>
        <v/>
      </c>
      <c r="AB206" s="113">
        <f>IF(AB$13="","",IF($B206="","",IFERROR(K206*$E206/100,"")))</f>
        <v/>
      </c>
      <c r="AC206" s="113">
        <f>IF(AC$13="","",IF($B206="","",IFERROR(L206*$E206/100,"")))</f>
        <v/>
      </c>
      <c r="AD206" s="113">
        <f>IF(AD$13="","",IF($B206="","",IFERROR(M206*$E206/100,"")))</f>
        <v/>
      </c>
      <c r="AE206" s="113">
        <f>IF(AE$13="","",IF($B206="","",IFERROR(N206*$E206/100,"")))</f>
        <v/>
      </c>
      <c r="AF206" s="113">
        <f>IF(AF$13="","",IF($B206="","",IFERROR(O206*$E206/100,"")))</f>
        <v/>
      </c>
      <c r="AG206" s="113">
        <f>IF(AG$13="","",IF($B206="","",IFERROR(P206*$E206/100,"")))</f>
        <v/>
      </c>
      <c r="AH206" s="113">
        <f>IF(AH$13="","",IF($B206="","",IFERROR(Q206*$E206/100,"")))</f>
        <v/>
      </c>
      <c r="AI206" s="113">
        <f>IF(AI$13="","",IF($B206="","",IFERROR(R206*$E206/100,"")))</f>
        <v/>
      </c>
      <c r="AJ206" s="113">
        <f>IF(AJ$13="","",IF($B206="","",IFERROR(S206*$E206/100,"")))</f>
        <v/>
      </c>
      <c r="AK206" s="113">
        <f>IF(AK$13="","",IF($B206="","",IFERROR(T206*$E206/100,"")))</f>
        <v/>
      </c>
      <c r="AL206" s="113">
        <f>IF(AL$13="","",IF($B206="","",IFERROR(U206*$E206/100,"")))</f>
        <v/>
      </c>
    </row>
    <row r="207">
      <c r="B207" s="5">
        <f>IF(AS51!$C$197="","",AS51!$C$197)</f>
        <v/>
      </c>
      <c r="C207" s="86">
        <f>IF(AS51!$B$197="","",AS51!$B$197)</f>
        <v/>
      </c>
      <c r="D207" s="111">
        <f>IFERROR(AS51!$Q$197,1)</f>
        <v/>
      </c>
      <c r="E207" s="112">
        <f>IF($B207="","",IF(ISNUMBER(AS51!$I$197),AS51!$I$197,'Index Summary'!$C$7))</f>
        <v/>
      </c>
      <c r="F207" s="113">
        <f>IF(F$13="","",IF($B207="","",IFERROR($C207*$D207*SUMIFS('Dvd Calendar'!$E$390:$CZ$390,'Dvd Calendar'!$E$389:$CZ$389,"&gt;"&amp;F$12,'Dvd Calendar'!$E$389:$CZ$389,"&lt;="&amp;F$13)/AS51!$B$3,"")))</f>
        <v/>
      </c>
      <c r="G207" s="113">
        <f>IF(G$13="","",IF($B207="","",IFERROR($C207*$D207*SUMIFS('Dvd Calendar'!$E$390:$CZ$390,'Dvd Calendar'!$E$389:$CZ$389,"&gt;"&amp;G$12,'Dvd Calendar'!$E$389:$CZ$389,"&lt;="&amp;G$13)/AS51!$B$3,"")))</f>
        <v/>
      </c>
      <c r="H207" s="113">
        <f>IF(H$13="","",IF($B207="","",IFERROR($C207*$D207*SUMIFS('Dvd Calendar'!$E$390:$CZ$390,'Dvd Calendar'!$E$389:$CZ$389,"&gt;"&amp;H$12,'Dvd Calendar'!$E$389:$CZ$389,"&lt;="&amp;H$13)/AS51!$B$3,"")))</f>
        <v/>
      </c>
      <c r="I207" s="113">
        <f>IF(I$13="","",IF($B207="","",IFERROR($C207*$D207*SUMIFS('Dvd Calendar'!$E$390:$CZ$390,'Dvd Calendar'!$E$389:$CZ$389,"&gt;"&amp;I$12,'Dvd Calendar'!$E$389:$CZ$389,"&lt;="&amp;I$13)/AS51!$B$3,"")))</f>
        <v/>
      </c>
      <c r="J207" s="113">
        <f>IF(J$13="","",IF($B207="","",IFERROR($C207*$D207*SUMIFS('Dvd Calendar'!$E$390:$CZ$390,'Dvd Calendar'!$E$389:$CZ$389,"&gt;"&amp;J$12,'Dvd Calendar'!$E$389:$CZ$389,"&lt;="&amp;J$13)/AS51!$B$3,"")))</f>
        <v/>
      </c>
      <c r="K207" s="113">
        <f>IF(K$13="","",IF($B207="","",IFERROR($C207*$D207*SUMIFS('Dvd Calendar'!$E$390:$CZ$390,'Dvd Calendar'!$E$389:$CZ$389,"&gt;"&amp;K$12,'Dvd Calendar'!$E$389:$CZ$389,"&lt;="&amp;K$13)/AS51!$B$3,"")))</f>
        <v/>
      </c>
      <c r="L207" s="113">
        <f>IF(L$13="","",IF($B207="","",IFERROR($C207*$D207*SUMIFS('Dvd Calendar'!$E$390:$CZ$390,'Dvd Calendar'!$E$389:$CZ$389,"&gt;"&amp;L$12,'Dvd Calendar'!$E$389:$CZ$389,"&lt;="&amp;L$13)/AS51!$B$3,"")))</f>
        <v/>
      </c>
      <c r="M207" s="113">
        <f>IF(M$13="","",IF($B207="","",IFERROR($C207*$D207*SUMIFS('Dvd Calendar'!$E$390:$CZ$390,'Dvd Calendar'!$E$389:$CZ$389,"&gt;"&amp;M$12,'Dvd Calendar'!$E$389:$CZ$389,"&lt;="&amp;M$13)/AS51!$B$3,"")))</f>
        <v/>
      </c>
      <c r="N207" s="113">
        <f>IF(N$13="","",IF($B207="","",IFERROR($C207*$D207*SUMIFS('Dvd Calendar'!$E$390:$CZ$390,'Dvd Calendar'!$E$389:$CZ$389,"&gt;"&amp;N$12,'Dvd Calendar'!$E$389:$CZ$389,"&lt;="&amp;N$13)/AS51!$B$3,"")))</f>
        <v/>
      </c>
      <c r="O207" s="113">
        <f>IF(O$13="","",IF($B207="","",IFERROR($C207*$D207*SUMIFS('Dvd Calendar'!$E$390:$CZ$390,'Dvd Calendar'!$E$389:$CZ$389,"&gt;"&amp;O$12,'Dvd Calendar'!$E$389:$CZ$389,"&lt;="&amp;O$13)/AS51!$B$3,"")))</f>
        <v/>
      </c>
      <c r="P207" s="113">
        <f>IF(P$13="","",IF($B207="","",IFERROR($C207*$D207*SUMIFS('Dvd Calendar'!$E$390:$CZ$390,'Dvd Calendar'!$E$389:$CZ$389,"&gt;"&amp;P$12,'Dvd Calendar'!$E$389:$CZ$389,"&lt;="&amp;P$13)/AS51!$B$3,"")))</f>
        <v/>
      </c>
      <c r="Q207" s="113">
        <f>IF(Q$13="","",IF($B207="","",IFERROR($C207*$D207*SUMIFS('Dvd Calendar'!$E$390:$CZ$390,'Dvd Calendar'!$E$389:$CZ$389,"&gt;"&amp;Q$12,'Dvd Calendar'!$E$389:$CZ$389,"&lt;="&amp;Q$13)/AS51!$B$3,"")))</f>
        <v/>
      </c>
      <c r="R207" s="113">
        <f>IF(R$13="","",IF($B207="","",IFERROR($C207*$D207*SUMIFS('Dvd Calendar'!$E$390:$CZ$390,'Dvd Calendar'!$E$389:$CZ$389,"&gt;"&amp;R$12,'Dvd Calendar'!$E$389:$CZ$389,"&lt;="&amp;R$13)/AS51!$B$3,"")))</f>
        <v/>
      </c>
      <c r="S207" s="113">
        <f>IF(S$13="","",IF($B207="","",IFERROR($C207*$D207*SUMIFS('Dvd Calendar'!$E$390:$CZ$390,'Dvd Calendar'!$E$389:$CZ$389,"&gt;"&amp;S$12,'Dvd Calendar'!$E$389:$CZ$389,"&lt;="&amp;S$13)/AS51!$B$3,"")))</f>
        <v/>
      </c>
      <c r="T207" s="113">
        <f>IF(T$13="","",IF($B207="","",IFERROR($C207*$D207*SUMIFS('Dvd Calendar'!$E$390:$CZ$390,'Dvd Calendar'!$E$389:$CZ$389,"&gt;"&amp;T$12,'Dvd Calendar'!$E$389:$CZ$389,"&lt;="&amp;T$13)/AS51!$B$3,"")))</f>
        <v/>
      </c>
      <c r="U207" s="113">
        <f>IF(U$13="","",IF($B207="","",IFERROR($C207*$D207*SUMIFS('Dvd Calendar'!$E$390:$CZ$390,'Dvd Calendar'!$E$389:$CZ$389,"&gt;"&amp;U$12,'Dvd Calendar'!$E$389:$CZ$389,"&lt;="&amp;U$13)/AS51!$B$3,"")))</f>
        <v/>
      </c>
      <c r="W207" s="113">
        <f>IF(W$13="","",IF($B207="","",IFERROR(F207*$E207/100,"")))</f>
        <v/>
      </c>
      <c r="X207" s="113">
        <f>IF(X$13="","",IF($B207="","",IFERROR(G207*$E207/100,"")))</f>
        <v/>
      </c>
      <c r="Y207" s="113">
        <f>IF(Y$13="","",IF($B207="","",IFERROR(H207*$E207/100,"")))</f>
        <v/>
      </c>
      <c r="Z207" s="113">
        <f>IF(Z$13="","",IF($B207="","",IFERROR(I207*$E207/100,"")))</f>
        <v/>
      </c>
      <c r="AA207" s="113">
        <f>IF(AA$13="","",IF($B207="","",IFERROR(J207*$E207/100,"")))</f>
        <v/>
      </c>
      <c r="AB207" s="113">
        <f>IF(AB$13="","",IF($B207="","",IFERROR(K207*$E207/100,"")))</f>
        <v/>
      </c>
      <c r="AC207" s="113">
        <f>IF(AC$13="","",IF($B207="","",IFERROR(L207*$E207/100,"")))</f>
        <v/>
      </c>
      <c r="AD207" s="113">
        <f>IF(AD$13="","",IF($B207="","",IFERROR(M207*$E207/100,"")))</f>
        <v/>
      </c>
      <c r="AE207" s="113">
        <f>IF(AE$13="","",IF($B207="","",IFERROR(N207*$E207/100,"")))</f>
        <v/>
      </c>
      <c r="AF207" s="113">
        <f>IF(AF$13="","",IF($B207="","",IFERROR(O207*$E207/100,"")))</f>
        <v/>
      </c>
      <c r="AG207" s="113">
        <f>IF(AG$13="","",IF($B207="","",IFERROR(P207*$E207/100,"")))</f>
        <v/>
      </c>
      <c r="AH207" s="113">
        <f>IF(AH$13="","",IF($B207="","",IFERROR(Q207*$E207/100,"")))</f>
        <v/>
      </c>
      <c r="AI207" s="113">
        <f>IF(AI$13="","",IF($B207="","",IFERROR(R207*$E207/100,"")))</f>
        <v/>
      </c>
      <c r="AJ207" s="113">
        <f>IF(AJ$13="","",IF($B207="","",IFERROR(S207*$E207/100,"")))</f>
        <v/>
      </c>
      <c r="AK207" s="113">
        <f>IF(AK$13="","",IF($B207="","",IFERROR(T207*$E207/100,"")))</f>
        <v/>
      </c>
      <c r="AL207" s="113">
        <f>IF(AL$13="","",IF($B207="","",IFERROR(U207*$E207/100,"")))</f>
        <v/>
      </c>
    </row>
    <row r="208">
      <c r="B208" s="5">
        <f>IF(AS51!$C$198="","",AS51!$C$198)</f>
        <v/>
      </c>
      <c r="C208" s="86">
        <f>IF(AS51!$B$198="","",AS51!$B$198)</f>
        <v/>
      </c>
      <c r="D208" s="111">
        <f>IFERROR(AS51!$Q$198,1)</f>
        <v/>
      </c>
      <c r="E208" s="112">
        <f>IF($B208="","",IF(ISNUMBER(AS51!$I$198),AS51!$I$198,'Index Summary'!$C$7))</f>
        <v/>
      </c>
      <c r="F208" s="113">
        <f>IF(F$13="","",IF($B208="","",IFERROR($C208*$D208*SUMIFS('Dvd Calendar'!$E$392:$CZ$392,'Dvd Calendar'!$E$391:$CZ$391,"&gt;"&amp;F$12,'Dvd Calendar'!$E$391:$CZ$391,"&lt;="&amp;F$13)/AS51!$B$3,"")))</f>
        <v/>
      </c>
      <c r="G208" s="113">
        <f>IF(G$13="","",IF($B208="","",IFERROR($C208*$D208*SUMIFS('Dvd Calendar'!$E$392:$CZ$392,'Dvd Calendar'!$E$391:$CZ$391,"&gt;"&amp;G$12,'Dvd Calendar'!$E$391:$CZ$391,"&lt;="&amp;G$13)/AS51!$B$3,"")))</f>
        <v/>
      </c>
      <c r="H208" s="113">
        <f>IF(H$13="","",IF($B208="","",IFERROR($C208*$D208*SUMIFS('Dvd Calendar'!$E$392:$CZ$392,'Dvd Calendar'!$E$391:$CZ$391,"&gt;"&amp;H$12,'Dvd Calendar'!$E$391:$CZ$391,"&lt;="&amp;H$13)/AS51!$B$3,"")))</f>
        <v/>
      </c>
      <c r="I208" s="113">
        <f>IF(I$13="","",IF($B208="","",IFERROR($C208*$D208*SUMIFS('Dvd Calendar'!$E$392:$CZ$392,'Dvd Calendar'!$E$391:$CZ$391,"&gt;"&amp;I$12,'Dvd Calendar'!$E$391:$CZ$391,"&lt;="&amp;I$13)/AS51!$B$3,"")))</f>
        <v/>
      </c>
      <c r="J208" s="113">
        <f>IF(J$13="","",IF($B208="","",IFERROR($C208*$D208*SUMIFS('Dvd Calendar'!$E$392:$CZ$392,'Dvd Calendar'!$E$391:$CZ$391,"&gt;"&amp;J$12,'Dvd Calendar'!$E$391:$CZ$391,"&lt;="&amp;J$13)/AS51!$B$3,"")))</f>
        <v/>
      </c>
      <c r="K208" s="113">
        <f>IF(K$13="","",IF($B208="","",IFERROR($C208*$D208*SUMIFS('Dvd Calendar'!$E$392:$CZ$392,'Dvd Calendar'!$E$391:$CZ$391,"&gt;"&amp;K$12,'Dvd Calendar'!$E$391:$CZ$391,"&lt;="&amp;K$13)/AS51!$B$3,"")))</f>
        <v/>
      </c>
      <c r="L208" s="113">
        <f>IF(L$13="","",IF($B208="","",IFERROR($C208*$D208*SUMIFS('Dvd Calendar'!$E$392:$CZ$392,'Dvd Calendar'!$E$391:$CZ$391,"&gt;"&amp;L$12,'Dvd Calendar'!$E$391:$CZ$391,"&lt;="&amp;L$13)/AS51!$B$3,"")))</f>
        <v/>
      </c>
      <c r="M208" s="113">
        <f>IF(M$13="","",IF($B208="","",IFERROR($C208*$D208*SUMIFS('Dvd Calendar'!$E$392:$CZ$392,'Dvd Calendar'!$E$391:$CZ$391,"&gt;"&amp;M$12,'Dvd Calendar'!$E$391:$CZ$391,"&lt;="&amp;M$13)/AS51!$B$3,"")))</f>
        <v/>
      </c>
      <c r="N208" s="113">
        <f>IF(N$13="","",IF($B208="","",IFERROR($C208*$D208*SUMIFS('Dvd Calendar'!$E$392:$CZ$392,'Dvd Calendar'!$E$391:$CZ$391,"&gt;"&amp;N$12,'Dvd Calendar'!$E$391:$CZ$391,"&lt;="&amp;N$13)/AS51!$B$3,"")))</f>
        <v/>
      </c>
      <c r="O208" s="113">
        <f>IF(O$13="","",IF($B208="","",IFERROR($C208*$D208*SUMIFS('Dvd Calendar'!$E$392:$CZ$392,'Dvd Calendar'!$E$391:$CZ$391,"&gt;"&amp;O$12,'Dvd Calendar'!$E$391:$CZ$391,"&lt;="&amp;O$13)/AS51!$B$3,"")))</f>
        <v/>
      </c>
      <c r="P208" s="113">
        <f>IF(P$13="","",IF($B208="","",IFERROR($C208*$D208*SUMIFS('Dvd Calendar'!$E$392:$CZ$392,'Dvd Calendar'!$E$391:$CZ$391,"&gt;"&amp;P$12,'Dvd Calendar'!$E$391:$CZ$391,"&lt;="&amp;P$13)/AS51!$B$3,"")))</f>
        <v/>
      </c>
      <c r="Q208" s="113">
        <f>IF(Q$13="","",IF($B208="","",IFERROR($C208*$D208*SUMIFS('Dvd Calendar'!$E$392:$CZ$392,'Dvd Calendar'!$E$391:$CZ$391,"&gt;"&amp;Q$12,'Dvd Calendar'!$E$391:$CZ$391,"&lt;="&amp;Q$13)/AS51!$B$3,"")))</f>
        <v/>
      </c>
      <c r="R208" s="113">
        <f>IF(R$13="","",IF($B208="","",IFERROR($C208*$D208*SUMIFS('Dvd Calendar'!$E$392:$CZ$392,'Dvd Calendar'!$E$391:$CZ$391,"&gt;"&amp;R$12,'Dvd Calendar'!$E$391:$CZ$391,"&lt;="&amp;R$13)/AS51!$B$3,"")))</f>
        <v/>
      </c>
      <c r="S208" s="113">
        <f>IF(S$13="","",IF($B208="","",IFERROR($C208*$D208*SUMIFS('Dvd Calendar'!$E$392:$CZ$392,'Dvd Calendar'!$E$391:$CZ$391,"&gt;"&amp;S$12,'Dvd Calendar'!$E$391:$CZ$391,"&lt;="&amp;S$13)/AS51!$B$3,"")))</f>
        <v/>
      </c>
      <c r="T208" s="113">
        <f>IF(T$13="","",IF($B208="","",IFERROR($C208*$D208*SUMIFS('Dvd Calendar'!$E$392:$CZ$392,'Dvd Calendar'!$E$391:$CZ$391,"&gt;"&amp;T$12,'Dvd Calendar'!$E$391:$CZ$391,"&lt;="&amp;T$13)/AS51!$B$3,"")))</f>
        <v/>
      </c>
      <c r="U208" s="113">
        <f>IF(U$13="","",IF($B208="","",IFERROR($C208*$D208*SUMIFS('Dvd Calendar'!$E$392:$CZ$392,'Dvd Calendar'!$E$391:$CZ$391,"&gt;"&amp;U$12,'Dvd Calendar'!$E$391:$CZ$391,"&lt;="&amp;U$13)/AS51!$B$3,"")))</f>
        <v/>
      </c>
      <c r="W208" s="113">
        <f>IF(W$13="","",IF($B208="","",IFERROR(F208*$E208/100,"")))</f>
        <v/>
      </c>
      <c r="X208" s="113">
        <f>IF(X$13="","",IF($B208="","",IFERROR(G208*$E208/100,"")))</f>
        <v/>
      </c>
      <c r="Y208" s="113">
        <f>IF(Y$13="","",IF($B208="","",IFERROR(H208*$E208/100,"")))</f>
        <v/>
      </c>
      <c r="Z208" s="113">
        <f>IF(Z$13="","",IF($B208="","",IFERROR(I208*$E208/100,"")))</f>
        <v/>
      </c>
      <c r="AA208" s="113">
        <f>IF(AA$13="","",IF($B208="","",IFERROR(J208*$E208/100,"")))</f>
        <v/>
      </c>
      <c r="AB208" s="113">
        <f>IF(AB$13="","",IF($B208="","",IFERROR(K208*$E208/100,"")))</f>
        <v/>
      </c>
      <c r="AC208" s="113">
        <f>IF(AC$13="","",IF($B208="","",IFERROR(L208*$E208/100,"")))</f>
        <v/>
      </c>
      <c r="AD208" s="113">
        <f>IF(AD$13="","",IF($B208="","",IFERROR(M208*$E208/100,"")))</f>
        <v/>
      </c>
      <c r="AE208" s="113">
        <f>IF(AE$13="","",IF($B208="","",IFERROR(N208*$E208/100,"")))</f>
        <v/>
      </c>
      <c r="AF208" s="113">
        <f>IF(AF$13="","",IF($B208="","",IFERROR(O208*$E208/100,"")))</f>
        <v/>
      </c>
      <c r="AG208" s="113">
        <f>IF(AG$13="","",IF($B208="","",IFERROR(P208*$E208/100,"")))</f>
        <v/>
      </c>
      <c r="AH208" s="113">
        <f>IF(AH$13="","",IF($B208="","",IFERROR(Q208*$E208/100,"")))</f>
        <v/>
      </c>
      <c r="AI208" s="113">
        <f>IF(AI$13="","",IF($B208="","",IFERROR(R208*$E208/100,"")))</f>
        <v/>
      </c>
      <c r="AJ208" s="113">
        <f>IF(AJ$13="","",IF($B208="","",IFERROR(S208*$E208/100,"")))</f>
        <v/>
      </c>
      <c r="AK208" s="113">
        <f>IF(AK$13="","",IF($B208="","",IFERROR(T208*$E208/100,"")))</f>
        <v/>
      </c>
      <c r="AL208" s="113">
        <f>IF(AL$13="","",IF($B208="","",IFERROR(U208*$E208/100,"")))</f>
        <v/>
      </c>
    </row>
    <row r="209">
      <c r="B209" s="5">
        <f>IF(AS51!$C$199="","",AS51!$C$199)</f>
        <v/>
      </c>
      <c r="C209" s="86">
        <f>IF(AS51!$B$199="","",AS51!$B$199)</f>
        <v/>
      </c>
      <c r="D209" s="111">
        <f>IFERROR(AS51!$Q$199,1)</f>
        <v/>
      </c>
      <c r="E209" s="112">
        <f>IF($B209="","",IF(ISNUMBER(AS51!$I$199),AS51!$I$199,'Index Summary'!$C$7))</f>
        <v/>
      </c>
      <c r="F209" s="113">
        <f>IF(F$13="","",IF($B209="","",IFERROR($C209*$D209*SUMIFS('Dvd Calendar'!$E$394:$CZ$394,'Dvd Calendar'!$E$393:$CZ$393,"&gt;"&amp;F$12,'Dvd Calendar'!$E$393:$CZ$393,"&lt;="&amp;F$13)/AS51!$B$3,"")))</f>
        <v/>
      </c>
      <c r="G209" s="113">
        <f>IF(G$13="","",IF($B209="","",IFERROR($C209*$D209*SUMIFS('Dvd Calendar'!$E$394:$CZ$394,'Dvd Calendar'!$E$393:$CZ$393,"&gt;"&amp;G$12,'Dvd Calendar'!$E$393:$CZ$393,"&lt;="&amp;G$13)/AS51!$B$3,"")))</f>
        <v/>
      </c>
      <c r="H209" s="113">
        <f>IF(H$13="","",IF($B209="","",IFERROR($C209*$D209*SUMIFS('Dvd Calendar'!$E$394:$CZ$394,'Dvd Calendar'!$E$393:$CZ$393,"&gt;"&amp;H$12,'Dvd Calendar'!$E$393:$CZ$393,"&lt;="&amp;H$13)/AS51!$B$3,"")))</f>
        <v/>
      </c>
      <c r="I209" s="113">
        <f>IF(I$13="","",IF($B209="","",IFERROR($C209*$D209*SUMIFS('Dvd Calendar'!$E$394:$CZ$394,'Dvd Calendar'!$E$393:$CZ$393,"&gt;"&amp;I$12,'Dvd Calendar'!$E$393:$CZ$393,"&lt;="&amp;I$13)/AS51!$B$3,"")))</f>
        <v/>
      </c>
      <c r="J209" s="113">
        <f>IF(J$13="","",IF($B209="","",IFERROR($C209*$D209*SUMIFS('Dvd Calendar'!$E$394:$CZ$394,'Dvd Calendar'!$E$393:$CZ$393,"&gt;"&amp;J$12,'Dvd Calendar'!$E$393:$CZ$393,"&lt;="&amp;J$13)/AS51!$B$3,"")))</f>
        <v/>
      </c>
      <c r="K209" s="113">
        <f>IF(K$13="","",IF($B209="","",IFERROR($C209*$D209*SUMIFS('Dvd Calendar'!$E$394:$CZ$394,'Dvd Calendar'!$E$393:$CZ$393,"&gt;"&amp;K$12,'Dvd Calendar'!$E$393:$CZ$393,"&lt;="&amp;K$13)/AS51!$B$3,"")))</f>
        <v/>
      </c>
      <c r="L209" s="113">
        <f>IF(L$13="","",IF($B209="","",IFERROR($C209*$D209*SUMIFS('Dvd Calendar'!$E$394:$CZ$394,'Dvd Calendar'!$E$393:$CZ$393,"&gt;"&amp;L$12,'Dvd Calendar'!$E$393:$CZ$393,"&lt;="&amp;L$13)/AS51!$B$3,"")))</f>
        <v/>
      </c>
      <c r="M209" s="113">
        <f>IF(M$13="","",IF($B209="","",IFERROR($C209*$D209*SUMIFS('Dvd Calendar'!$E$394:$CZ$394,'Dvd Calendar'!$E$393:$CZ$393,"&gt;"&amp;M$12,'Dvd Calendar'!$E$393:$CZ$393,"&lt;="&amp;M$13)/AS51!$B$3,"")))</f>
        <v/>
      </c>
      <c r="N209" s="113">
        <f>IF(N$13="","",IF($B209="","",IFERROR($C209*$D209*SUMIFS('Dvd Calendar'!$E$394:$CZ$394,'Dvd Calendar'!$E$393:$CZ$393,"&gt;"&amp;N$12,'Dvd Calendar'!$E$393:$CZ$393,"&lt;="&amp;N$13)/AS51!$B$3,"")))</f>
        <v/>
      </c>
      <c r="O209" s="113">
        <f>IF(O$13="","",IF($B209="","",IFERROR($C209*$D209*SUMIFS('Dvd Calendar'!$E$394:$CZ$394,'Dvd Calendar'!$E$393:$CZ$393,"&gt;"&amp;O$12,'Dvd Calendar'!$E$393:$CZ$393,"&lt;="&amp;O$13)/AS51!$B$3,"")))</f>
        <v/>
      </c>
      <c r="P209" s="113">
        <f>IF(P$13="","",IF($B209="","",IFERROR($C209*$D209*SUMIFS('Dvd Calendar'!$E$394:$CZ$394,'Dvd Calendar'!$E$393:$CZ$393,"&gt;"&amp;P$12,'Dvd Calendar'!$E$393:$CZ$393,"&lt;="&amp;P$13)/AS51!$B$3,"")))</f>
        <v/>
      </c>
      <c r="Q209" s="113">
        <f>IF(Q$13="","",IF($B209="","",IFERROR($C209*$D209*SUMIFS('Dvd Calendar'!$E$394:$CZ$394,'Dvd Calendar'!$E$393:$CZ$393,"&gt;"&amp;Q$12,'Dvd Calendar'!$E$393:$CZ$393,"&lt;="&amp;Q$13)/AS51!$B$3,"")))</f>
        <v/>
      </c>
      <c r="R209" s="113">
        <f>IF(R$13="","",IF($B209="","",IFERROR($C209*$D209*SUMIFS('Dvd Calendar'!$E$394:$CZ$394,'Dvd Calendar'!$E$393:$CZ$393,"&gt;"&amp;R$12,'Dvd Calendar'!$E$393:$CZ$393,"&lt;="&amp;R$13)/AS51!$B$3,"")))</f>
        <v/>
      </c>
      <c r="S209" s="113">
        <f>IF(S$13="","",IF($B209="","",IFERROR($C209*$D209*SUMIFS('Dvd Calendar'!$E$394:$CZ$394,'Dvd Calendar'!$E$393:$CZ$393,"&gt;"&amp;S$12,'Dvd Calendar'!$E$393:$CZ$393,"&lt;="&amp;S$13)/AS51!$B$3,"")))</f>
        <v/>
      </c>
      <c r="T209" s="113">
        <f>IF(T$13="","",IF($B209="","",IFERROR($C209*$D209*SUMIFS('Dvd Calendar'!$E$394:$CZ$394,'Dvd Calendar'!$E$393:$CZ$393,"&gt;"&amp;T$12,'Dvd Calendar'!$E$393:$CZ$393,"&lt;="&amp;T$13)/AS51!$B$3,"")))</f>
        <v/>
      </c>
      <c r="U209" s="113">
        <f>IF(U$13="","",IF($B209="","",IFERROR($C209*$D209*SUMIFS('Dvd Calendar'!$E$394:$CZ$394,'Dvd Calendar'!$E$393:$CZ$393,"&gt;"&amp;U$12,'Dvd Calendar'!$E$393:$CZ$393,"&lt;="&amp;U$13)/AS51!$B$3,"")))</f>
        <v/>
      </c>
      <c r="W209" s="113">
        <f>IF(W$13="","",IF($B209="","",IFERROR(F209*$E209/100,"")))</f>
        <v/>
      </c>
      <c r="X209" s="113">
        <f>IF(X$13="","",IF($B209="","",IFERROR(G209*$E209/100,"")))</f>
        <v/>
      </c>
      <c r="Y209" s="113">
        <f>IF(Y$13="","",IF($B209="","",IFERROR(H209*$E209/100,"")))</f>
        <v/>
      </c>
      <c r="Z209" s="113">
        <f>IF(Z$13="","",IF($B209="","",IFERROR(I209*$E209/100,"")))</f>
        <v/>
      </c>
      <c r="AA209" s="113">
        <f>IF(AA$13="","",IF($B209="","",IFERROR(J209*$E209/100,"")))</f>
        <v/>
      </c>
      <c r="AB209" s="113">
        <f>IF(AB$13="","",IF($B209="","",IFERROR(K209*$E209/100,"")))</f>
        <v/>
      </c>
      <c r="AC209" s="113">
        <f>IF(AC$13="","",IF($B209="","",IFERROR(L209*$E209/100,"")))</f>
        <v/>
      </c>
      <c r="AD209" s="113">
        <f>IF(AD$13="","",IF($B209="","",IFERROR(M209*$E209/100,"")))</f>
        <v/>
      </c>
      <c r="AE209" s="113">
        <f>IF(AE$13="","",IF($B209="","",IFERROR(N209*$E209/100,"")))</f>
        <v/>
      </c>
      <c r="AF209" s="113">
        <f>IF(AF$13="","",IF($B209="","",IFERROR(O209*$E209/100,"")))</f>
        <v/>
      </c>
      <c r="AG209" s="113">
        <f>IF(AG$13="","",IF($B209="","",IFERROR(P209*$E209/100,"")))</f>
        <v/>
      </c>
      <c r="AH209" s="113">
        <f>IF(AH$13="","",IF($B209="","",IFERROR(Q209*$E209/100,"")))</f>
        <v/>
      </c>
      <c r="AI209" s="113">
        <f>IF(AI$13="","",IF($B209="","",IFERROR(R209*$E209/100,"")))</f>
        <v/>
      </c>
      <c r="AJ209" s="113">
        <f>IF(AJ$13="","",IF($B209="","",IFERROR(S209*$E209/100,"")))</f>
        <v/>
      </c>
      <c r="AK209" s="113">
        <f>IF(AK$13="","",IF($B209="","",IFERROR(T209*$E209/100,"")))</f>
        <v/>
      </c>
      <c r="AL209" s="113">
        <f>IF(AL$13="","",IF($B209="","",IFERROR(U209*$E209/100,"")))</f>
        <v/>
      </c>
    </row>
    <row r="210">
      <c r="B210" s="5">
        <f>IF(AS51!$C$200="","",AS51!$C$200)</f>
        <v/>
      </c>
      <c r="C210" s="86">
        <f>IF(AS51!$B$200="","",AS51!$B$200)</f>
        <v/>
      </c>
      <c r="D210" s="111">
        <f>IFERROR(AS51!$Q$200,1)</f>
        <v/>
      </c>
      <c r="E210" s="112">
        <f>IF($B210="","",IF(ISNUMBER(AS51!$I$200),AS51!$I$200,'Index Summary'!$C$7))</f>
        <v/>
      </c>
      <c r="F210" s="113">
        <f>IF(F$13="","",IF($B210="","",IFERROR($C210*$D210*SUMIFS('Dvd Calendar'!$E$396:$CZ$396,'Dvd Calendar'!$E$395:$CZ$395,"&gt;"&amp;F$12,'Dvd Calendar'!$E$395:$CZ$395,"&lt;="&amp;F$13)/AS51!$B$3,"")))</f>
        <v/>
      </c>
      <c r="G210" s="113">
        <f>IF(G$13="","",IF($B210="","",IFERROR($C210*$D210*SUMIFS('Dvd Calendar'!$E$396:$CZ$396,'Dvd Calendar'!$E$395:$CZ$395,"&gt;"&amp;G$12,'Dvd Calendar'!$E$395:$CZ$395,"&lt;="&amp;G$13)/AS51!$B$3,"")))</f>
        <v/>
      </c>
      <c r="H210" s="113">
        <f>IF(H$13="","",IF($B210="","",IFERROR($C210*$D210*SUMIFS('Dvd Calendar'!$E$396:$CZ$396,'Dvd Calendar'!$E$395:$CZ$395,"&gt;"&amp;H$12,'Dvd Calendar'!$E$395:$CZ$395,"&lt;="&amp;H$13)/AS51!$B$3,"")))</f>
        <v/>
      </c>
      <c r="I210" s="113">
        <f>IF(I$13="","",IF($B210="","",IFERROR($C210*$D210*SUMIFS('Dvd Calendar'!$E$396:$CZ$396,'Dvd Calendar'!$E$395:$CZ$395,"&gt;"&amp;I$12,'Dvd Calendar'!$E$395:$CZ$395,"&lt;="&amp;I$13)/AS51!$B$3,"")))</f>
        <v/>
      </c>
      <c r="J210" s="113">
        <f>IF(J$13="","",IF($B210="","",IFERROR($C210*$D210*SUMIFS('Dvd Calendar'!$E$396:$CZ$396,'Dvd Calendar'!$E$395:$CZ$395,"&gt;"&amp;J$12,'Dvd Calendar'!$E$395:$CZ$395,"&lt;="&amp;J$13)/AS51!$B$3,"")))</f>
        <v/>
      </c>
      <c r="K210" s="113">
        <f>IF(K$13="","",IF($B210="","",IFERROR($C210*$D210*SUMIFS('Dvd Calendar'!$E$396:$CZ$396,'Dvd Calendar'!$E$395:$CZ$395,"&gt;"&amp;K$12,'Dvd Calendar'!$E$395:$CZ$395,"&lt;="&amp;K$13)/AS51!$B$3,"")))</f>
        <v/>
      </c>
      <c r="L210" s="113">
        <f>IF(L$13="","",IF($B210="","",IFERROR($C210*$D210*SUMIFS('Dvd Calendar'!$E$396:$CZ$396,'Dvd Calendar'!$E$395:$CZ$395,"&gt;"&amp;L$12,'Dvd Calendar'!$E$395:$CZ$395,"&lt;="&amp;L$13)/AS51!$B$3,"")))</f>
        <v/>
      </c>
      <c r="M210" s="113">
        <f>IF(M$13="","",IF($B210="","",IFERROR($C210*$D210*SUMIFS('Dvd Calendar'!$E$396:$CZ$396,'Dvd Calendar'!$E$395:$CZ$395,"&gt;"&amp;M$12,'Dvd Calendar'!$E$395:$CZ$395,"&lt;="&amp;M$13)/AS51!$B$3,"")))</f>
        <v/>
      </c>
      <c r="N210" s="113">
        <f>IF(N$13="","",IF($B210="","",IFERROR($C210*$D210*SUMIFS('Dvd Calendar'!$E$396:$CZ$396,'Dvd Calendar'!$E$395:$CZ$395,"&gt;"&amp;N$12,'Dvd Calendar'!$E$395:$CZ$395,"&lt;="&amp;N$13)/AS51!$B$3,"")))</f>
        <v/>
      </c>
      <c r="O210" s="113">
        <f>IF(O$13="","",IF($B210="","",IFERROR($C210*$D210*SUMIFS('Dvd Calendar'!$E$396:$CZ$396,'Dvd Calendar'!$E$395:$CZ$395,"&gt;"&amp;O$12,'Dvd Calendar'!$E$395:$CZ$395,"&lt;="&amp;O$13)/AS51!$B$3,"")))</f>
        <v/>
      </c>
      <c r="P210" s="113">
        <f>IF(P$13="","",IF($B210="","",IFERROR($C210*$D210*SUMIFS('Dvd Calendar'!$E$396:$CZ$396,'Dvd Calendar'!$E$395:$CZ$395,"&gt;"&amp;P$12,'Dvd Calendar'!$E$395:$CZ$395,"&lt;="&amp;P$13)/AS51!$B$3,"")))</f>
        <v/>
      </c>
      <c r="Q210" s="113">
        <f>IF(Q$13="","",IF($B210="","",IFERROR($C210*$D210*SUMIFS('Dvd Calendar'!$E$396:$CZ$396,'Dvd Calendar'!$E$395:$CZ$395,"&gt;"&amp;Q$12,'Dvd Calendar'!$E$395:$CZ$395,"&lt;="&amp;Q$13)/AS51!$B$3,"")))</f>
        <v/>
      </c>
      <c r="R210" s="113">
        <f>IF(R$13="","",IF($B210="","",IFERROR($C210*$D210*SUMIFS('Dvd Calendar'!$E$396:$CZ$396,'Dvd Calendar'!$E$395:$CZ$395,"&gt;"&amp;R$12,'Dvd Calendar'!$E$395:$CZ$395,"&lt;="&amp;R$13)/AS51!$B$3,"")))</f>
        <v/>
      </c>
      <c r="S210" s="113">
        <f>IF(S$13="","",IF($B210="","",IFERROR($C210*$D210*SUMIFS('Dvd Calendar'!$E$396:$CZ$396,'Dvd Calendar'!$E$395:$CZ$395,"&gt;"&amp;S$12,'Dvd Calendar'!$E$395:$CZ$395,"&lt;="&amp;S$13)/AS51!$B$3,"")))</f>
        <v/>
      </c>
      <c r="T210" s="113">
        <f>IF(T$13="","",IF($B210="","",IFERROR($C210*$D210*SUMIFS('Dvd Calendar'!$E$396:$CZ$396,'Dvd Calendar'!$E$395:$CZ$395,"&gt;"&amp;T$12,'Dvd Calendar'!$E$395:$CZ$395,"&lt;="&amp;T$13)/AS51!$B$3,"")))</f>
        <v/>
      </c>
      <c r="U210" s="113">
        <f>IF(U$13="","",IF($B210="","",IFERROR($C210*$D210*SUMIFS('Dvd Calendar'!$E$396:$CZ$396,'Dvd Calendar'!$E$395:$CZ$395,"&gt;"&amp;U$12,'Dvd Calendar'!$E$395:$CZ$395,"&lt;="&amp;U$13)/AS51!$B$3,"")))</f>
        <v/>
      </c>
      <c r="W210" s="113">
        <f>IF(W$13="","",IF($B210="","",IFERROR(F210*$E210/100,"")))</f>
        <v/>
      </c>
      <c r="X210" s="113">
        <f>IF(X$13="","",IF($B210="","",IFERROR(G210*$E210/100,"")))</f>
        <v/>
      </c>
      <c r="Y210" s="113">
        <f>IF(Y$13="","",IF($B210="","",IFERROR(H210*$E210/100,"")))</f>
        <v/>
      </c>
      <c r="Z210" s="113">
        <f>IF(Z$13="","",IF($B210="","",IFERROR(I210*$E210/100,"")))</f>
        <v/>
      </c>
      <c r="AA210" s="113">
        <f>IF(AA$13="","",IF($B210="","",IFERROR(J210*$E210/100,"")))</f>
        <v/>
      </c>
      <c r="AB210" s="113">
        <f>IF(AB$13="","",IF($B210="","",IFERROR(K210*$E210/100,"")))</f>
        <v/>
      </c>
      <c r="AC210" s="113">
        <f>IF(AC$13="","",IF($B210="","",IFERROR(L210*$E210/100,"")))</f>
        <v/>
      </c>
      <c r="AD210" s="113">
        <f>IF(AD$13="","",IF($B210="","",IFERROR(M210*$E210/100,"")))</f>
        <v/>
      </c>
      <c r="AE210" s="113">
        <f>IF(AE$13="","",IF($B210="","",IFERROR(N210*$E210/100,"")))</f>
        <v/>
      </c>
      <c r="AF210" s="113">
        <f>IF(AF$13="","",IF($B210="","",IFERROR(O210*$E210/100,"")))</f>
        <v/>
      </c>
      <c r="AG210" s="113">
        <f>IF(AG$13="","",IF($B210="","",IFERROR(P210*$E210/100,"")))</f>
        <v/>
      </c>
      <c r="AH210" s="113">
        <f>IF(AH$13="","",IF($B210="","",IFERROR(Q210*$E210/100,"")))</f>
        <v/>
      </c>
      <c r="AI210" s="113">
        <f>IF(AI$13="","",IF($B210="","",IFERROR(R210*$E210/100,"")))</f>
        <v/>
      </c>
      <c r="AJ210" s="113">
        <f>IF(AJ$13="","",IF($B210="","",IFERROR(S210*$E210/100,"")))</f>
        <v/>
      </c>
      <c r="AK210" s="113">
        <f>IF(AK$13="","",IF($B210="","",IFERROR(T210*$E210/100,"")))</f>
        <v/>
      </c>
      <c r="AL210" s="113">
        <f>IF(AL$13="","",IF($B210="","",IFERROR(U210*$E210/100,"")))</f>
        <v/>
      </c>
    </row>
    <row r="211">
      <c r="B211" s="5">
        <f>IF(AS51!$C$201="","",AS51!$C$201)</f>
        <v/>
      </c>
      <c r="C211" s="86">
        <f>IF(AS51!$B$201="","",AS51!$B$201)</f>
        <v/>
      </c>
      <c r="D211" s="111">
        <f>IFERROR(AS51!$Q$201,1)</f>
        <v/>
      </c>
      <c r="E211" s="112">
        <f>IF($B211="","",IF(ISNUMBER(AS51!$I$201),AS51!$I$201,'Index Summary'!$C$7))</f>
        <v/>
      </c>
      <c r="F211" s="113">
        <f>IF(F$13="","",IF($B211="","",IFERROR($C211*$D211*SUMIFS('Dvd Calendar'!$E$398:$CZ$398,'Dvd Calendar'!$E$397:$CZ$397,"&gt;"&amp;F$12,'Dvd Calendar'!$E$397:$CZ$397,"&lt;="&amp;F$13)/AS51!$B$3,"")))</f>
        <v/>
      </c>
      <c r="G211" s="113">
        <f>IF(G$13="","",IF($B211="","",IFERROR($C211*$D211*SUMIFS('Dvd Calendar'!$E$398:$CZ$398,'Dvd Calendar'!$E$397:$CZ$397,"&gt;"&amp;G$12,'Dvd Calendar'!$E$397:$CZ$397,"&lt;="&amp;G$13)/AS51!$B$3,"")))</f>
        <v/>
      </c>
      <c r="H211" s="113">
        <f>IF(H$13="","",IF($B211="","",IFERROR($C211*$D211*SUMIFS('Dvd Calendar'!$E$398:$CZ$398,'Dvd Calendar'!$E$397:$CZ$397,"&gt;"&amp;H$12,'Dvd Calendar'!$E$397:$CZ$397,"&lt;="&amp;H$13)/AS51!$B$3,"")))</f>
        <v/>
      </c>
      <c r="I211" s="113">
        <f>IF(I$13="","",IF($B211="","",IFERROR($C211*$D211*SUMIFS('Dvd Calendar'!$E$398:$CZ$398,'Dvd Calendar'!$E$397:$CZ$397,"&gt;"&amp;I$12,'Dvd Calendar'!$E$397:$CZ$397,"&lt;="&amp;I$13)/AS51!$B$3,"")))</f>
        <v/>
      </c>
      <c r="J211" s="113">
        <f>IF(J$13="","",IF($B211="","",IFERROR($C211*$D211*SUMIFS('Dvd Calendar'!$E$398:$CZ$398,'Dvd Calendar'!$E$397:$CZ$397,"&gt;"&amp;J$12,'Dvd Calendar'!$E$397:$CZ$397,"&lt;="&amp;J$13)/AS51!$B$3,"")))</f>
        <v/>
      </c>
      <c r="K211" s="113">
        <f>IF(K$13="","",IF($B211="","",IFERROR($C211*$D211*SUMIFS('Dvd Calendar'!$E$398:$CZ$398,'Dvd Calendar'!$E$397:$CZ$397,"&gt;"&amp;K$12,'Dvd Calendar'!$E$397:$CZ$397,"&lt;="&amp;K$13)/AS51!$B$3,"")))</f>
        <v/>
      </c>
      <c r="L211" s="113">
        <f>IF(L$13="","",IF($B211="","",IFERROR($C211*$D211*SUMIFS('Dvd Calendar'!$E$398:$CZ$398,'Dvd Calendar'!$E$397:$CZ$397,"&gt;"&amp;L$12,'Dvd Calendar'!$E$397:$CZ$397,"&lt;="&amp;L$13)/AS51!$B$3,"")))</f>
        <v/>
      </c>
      <c r="M211" s="113">
        <f>IF(M$13="","",IF($B211="","",IFERROR($C211*$D211*SUMIFS('Dvd Calendar'!$E$398:$CZ$398,'Dvd Calendar'!$E$397:$CZ$397,"&gt;"&amp;M$12,'Dvd Calendar'!$E$397:$CZ$397,"&lt;="&amp;M$13)/AS51!$B$3,"")))</f>
        <v/>
      </c>
      <c r="N211" s="113">
        <f>IF(N$13="","",IF($B211="","",IFERROR($C211*$D211*SUMIFS('Dvd Calendar'!$E$398:$CZ$398,'Dvd Calendar'!$E$397:$CZ$397,"&gt;"&amp;N$12,'Dvd Calendar'!$E$397:$CZ$397,"&lt;="&amp;N$13)/AS51!$B$3,"")))</f>
        <v/>
      </c>
      <c r="O211" s="113">
        <f>IF(O$13="","",IF($B211="","",IFERROR($C211*$D211*SUMIFS('Dvd Calendar'!$E$398:$CZ$398,'Dvd Calendar'!$E$397:$CZ$397,"&gt;"&amp;O$12,'Dvd Calendar'!$E$397:$CZ$397,"&lt;="&amp;O$13)/AS51!$B$3,"")))</f>
        <v/>
      </c>
      <c r="P211" s="113">
        <f>IF(P$13="","",IF($B211="","",IFERROR($C211*$D211*SUMIFS('Dvd Calendar'!$E$398:$CZ$398,'Dvd Calendar'!$E$397:$CZ$397,"&gt;"&amp;P$12,'Dvd Calendar'!$E$397:$CZ$397,"&lt;="&amp;P$13)/AS51!$B$3,"")))</f>
        <v/>
      </c>
      <c r="Q211" s="113">
        <f>IF(Q$13="","",IF($B211="","",IFERROR($C211*$D211*SUMIFS('Dvd Calendar'!$E$398:$CZ$398,'Dvd Calendar'!$E$397:$CZ$397,"&gt;"&amp;Q$12,'Dvd Calendar'!$E$397:$CZ$397,"&lt;="&amp;Q$13)/AS51!$B$3,"")))</f>
        <v/>
      </c>
      <c r="R211" s="113">
        <f>IF(R$13="","",IF($B211="","",IFERROR($C211*$D211*SUMIFS('Dvd Calendar'!$E$398:$CZ$398,'Dvd Calendar'!$E$397:$CZ$397,"&gt;"&amp;R$12,'Dvd Calendar'!$E$397:$CZ$397,"&lt;="&amp;R$13)/AS51!$B$3,"")))</f>
        <v/>
      </c>
      <c r="S211" s="113">
        <f>IF(S$13="","",IF($B211="","",IFERROR($C211*$D211*SUMIFS('Dvd Calendar'!$E$398:$CZ$398,'Dvd Calendar'!$E$397:$CZ$397,"&gt;"&amp;S$12,'Dvd Calendar'!$E$397:$CZ$397,"&lt;="&amp;S$13)/AS51!$B$3,"")))</f>
        <v/>
      </c>
      <c r="T211" s="113">
        <f>IF(T$13="","",IF($B211="","",IFERROR($C211*$D211*SUMIFS('Dvd Calendar'!$E$398:$CZ$398,'Dvd Calendar'!$E$397:$CZ$397,"&gt;"&amp;T$12,'Dvd Calendar'!$E$397:$CZ$397,"&lt;="&amp;T$13)/AS51!$B$3,"")))</f>
        <v/>
      </c>
      <c r="U211" s="113">
        <f>IF(U$13="","",IF($B211="","",IFERROR($C211*$D211*SUMIFS('Dvd Calendar'!$E$398:$CZ$398,'Dvd Calendar'!$E$397:$CZ$397,"&gt;"&amp;U$12,'Dvd Calendar'!$E$397:$CZ$397,"&lt;="&amp;U$13)/AS51!$B$3,"")))</f>
        <v/>
      </c>
      <c r="W211" s="113">
        <f>IF(W$13="","",IF($B211="","",IFERROR(F211*$E211/100,"")))</f>
        <v/>
      </c>
      <c r="X211" s="113">
        <f>IF(X$13="","",IF($B211="","",IFERROR(G211*$E211/100,"")))</f>
        <v/>
      </c>
      <c r="Y211" s="113">
        <f>IF(Y$13="","",IF($B211="","",IFERROR(H211*$E211/100,"")))</f>
        <v/>
      </c>
      <c r="Z211" s="113">
        <f>IF(Z$13="","",IF($B211="","",IFERROR(I211*$E211/100,"")))</f>
        <v/>
      </c>
      <c r="AA211" s="113">
        <f>IF(AA$13="","",IF($B211="","",IFERROR(J211*$E211/100,"")))</f>
        <v/>
      </c>
      <c r="AB211" s="113">
        <f>IF(AB$13="","",IF($B211="","",IFERROR(K211*$E211/100,"")))</f>
        <v/>
      </c>
      <c r="AC211" s="113">
        <f>IF(AC$13="","",IF($B211="","",IFERROR(L211*$E211/100,"")))</f>
        <v/>
      </c>
      <c r="AD211" s="113">
        <f>IF(AD$13="","",IF($B211="","",IFERROR(M211*$E211/100,"")))</f>
        <v/>
      </c>
      <c r="AE211" s="113">
        <f>IF(AE$13="","",IF($B211="","",IFERROR(N211*$E211/100,"")))</f>
        <v/>
      </c>
      <c r="AF211" s="113">
        <f>IF(AF$13="","",IF($B211="","",IFERROR(O211*$E211/100,"")))</f>
        <v/>
      </c>
      <c r="AG211" s="113">
        <f>IF(AG$13="","",IF($B211="","",IFERROR(P211*$E211/100,"")))</f>
        <v/>
      </c>
      <c r="AH211" s="113">
        <f>IF(AH$13="","",IF($B211="","",IFERROR(Q211*$E211/100,"")))</f>
        <v/>
      </c>
      <c r="AI211" s="113">
        <f>IF(AI$13="","",IF($B211="","",IFERROR(R211*$E211/100,"")))</f>
        <v/>
      </c>
      <c r="AJ211" s="113">
        <f>IF(AJ$13="","",IF($B211="","",IFERROR(S211*$E211/100,"")))</f>
        <v/>
      </c>
      <c r="AK211" s="113">
        <f>IF(AK$13="","",IF($B211="","",IFERROR(T211*$E211/100,"")))</f>
        <v/>
      </c>
      <c r="AL211" s="113">
        <f>IF(AL$13="","",IF($B211="","",IFERROR(U211*$E211/100,"")))</f>
        <v/>
      </c>
    </row>
    <row r="212">
      <c r="B212" s="5">
        <f>IF(AS51!$C$202="","",AS51!$C$202)</f>
        <v/>
      </c>
      <c r="C212" s="86">
        <f>IF(AS51!$B$202="","",AS51!$B$202)</f>
        <v/>
      </c>
      <c r="D212" s="111">
        <f>IFERROR(AS51!$Q$202,1)</f>
        <v/>
      </c>
      <c r="E212" s="112">
        <f>IF($B212="","",IF(ISNUMBER(AS51!$I$202),AS51!$I$202,'Index Summary'!$C$7))</f>
        <v/>
      </c>
      <c r="F212" s="113">
        <f>IF(F$13="","",IF($B212="","",IFERROR($C212*$D212*SUMIFS('Dvd Calendar'!$E$400:$CZ$400,'Dvd Calendar'!$E$399:$CZ$399,"&gt;"&amp;F$12,'Dvd Calendar'!$E$399:$CZ$399,"&lt;="&amp;F$13)/AS51!$B$3,"")))</f>
        <v/>
      </c>
      <c r="G212" s="113">
        <f>IF(G$13="","",IF($B212="","",IFERROR($C212*$D212*SUMIFS('Dvd Calendar'!$E$400:$CZ$400,'Dvd Calendar'!$E$399:$CZ$399,"&gt;"&amp;G$12,'Dvd Calendar'!$E$399:$CZ$399,"&lt;="&amp;G$13)/AS51!$B$3,"")))</f>
        <v/>
      </c>
      <c r="H212" s="113">
        <f>IF(H$13="","",IF($B212="","",IFERROR($C212*$D212*SUMIFS('Dvd Calendar'!$E$400:$CZ$400,'Dvd Calendar'!$E$399:$CZ$399,"&gt;"&amp;H$12,'Dvd Calendar'!$E$399:$CZ$399,"&lt;="&amp;H$13)/AS51!$B$3,"")))</f>
        <v/>
      </c>
      <c r="I212" s="113">
        <f>IF(I$13="","",IF($B212="","",IFERROR($C212*$D212*SUMIFS('Dvd Calendar'!$E$400:$CZ$400,'Dvd Calendar'!$E$399:$CZ$399,"&gt;"&amp;I$12,'Dvd Calendar'!$E$399:$CZ$399,"&lt;="&amp;I$13)/AS51!$B$3,"")))</f>
        <v/>
      </c>
      <c r="J212" s="113">
        <f>IF(J$13="","",IF($B212="","",IFERROR($C212*$D212*SUMIFS('Dvd Calendar'!$E$400:$CZ$400,'Dvd Calendar'!$E$399:$CZ$399,"&gt;"&amp;J$12,'Dvd Calendar'!$E$399:$CZ$399,"&lt;="&amp;J$13)/AS51!$B$3,"")))</f>
        <v/>
      </c>
      <c r="K212" s="113">
        <f>IF(K$13="","",IF($B212="","",IFERROR($C212*$D212*SUMIFS('Dvd Calendar'!$E$400:$CZ$400,'Dvd Calendar'!$E$399:$CZ$399,"&gt;"&amp;K$12,'Dvd Calendar'!$E$399:$CZ$399,"&lt;="&amp;K$13)/AS51!$B$3,"")))</f>
        <v/>
      </c>
      <c r="L212" s="113">
        <f>IF(L$13="","",IF($B212="","",IFERROR($C212*$D212*SUMIFS('Dvd Calendar'!$E$400:$CZ$400,'Dvd Calendar'!$E$399:$CZ$399,"&gt;"&amp;L$12,'Dvd Calendar'!$E$399:$CZ$399,"&lt;="&amp;L$13)/AS51!$B$3,"")))</f>
        <v/>
      </c>
      <c r="M212" s="113">
        <f>IF(M$13="","",IF($B212="","",IFERROR($C212*$D212*SUMIFS('Dvd Calendar'!$E$400:$CZ$400,'Dvd Calendar'!$E$399:$CZ$399,"&gt;"&amp;M$12,'Dvd Calendar'!$E$399:$CZ$399,"&lt;="&amp;M$13)/AS51!$B$3,"")))</f>
        <v/>
      </c>
      <c r="N212" s="113">
        <f>IF(N$13="","",IF($B212="","",IFERROR($C212*$D212*SUMIFS('Dvd Calendar'!$E$400:$CZ$400,'Dvd Calendar'!$E$399:$CZ$399,"&gt;"&amp;N$12,'Dvd Calendar'!$E$399:$CZ$399,"&lt;="&amp;N$13)/AS51!$B$3,"")))</f>
        <v/>
      </c>
      <c r="O212" s="113">
        <f>IF(O$13="","",IF($B212="","",IFERROR($C212*$D212*SUMIFS('Dvd Calendar'!$E$400:$CZ$400,'Dvd Calendar'!$E$399:$CZ$399,"&gt;"&amp;O$12,'Dvd Calendar'!$E$399:$CZ$399,"&lt;="&amp;O$13)/AS51!$B$3,"")))</f>
        <v/>
      </c>
      <c r="P212" s="113">
        <f>IF(P$13="","",IF($B212="","",IFERROR($C212*$D212*SUMIFS('Dvd Calendar'!$E$400:$CZ$400,'Dvd Calendar'!$E$399:$CZ$399,"&gt;"&amp;P$12,'Dvd Calendar'!$E$399:$CZ$399,"&lt;="&amp;P$13)/AS51!$B$3,"")))</f>
        <v/>
      </c>
      <c r="Q212" s="113">
        <f>IF(Q$13="","",IF($B212="","",IFERROR($C212*$D212*SUMIFS('Dvd Calendar'!$E$400:$CZ$400,'Dvd Calendar'!$E$399:$CZ$399,"&gt;"&amp;Q$12,'Dvd Calendar'!$E$399:$CZ$399,"&lt;="&amp;Q$13)/AS51!$B$3,"")))</f>
        <v/>
      </c>
      <c r="R212" s="113">
        <f>IF(R$13="","",IF($B212="","",IFERROR($C212*$D212*SUMIFS('Dvd Calendar'!$E$400:$CZ$400,'Dvd Calendar'!$E$399:$CZ$399,"&gt;"&amp;R$12,'Dvd Calendar'!$E$399:$CZ$399,"&lt;="&amp;R$13)/AS51!$B$3,"")))</f>
        <v/>
      </c>
      <c r="S212" s="113">
        <f>IF(S$13="","",IF($B212="","",IFERROR($C212*$D212*SUMIFS('Dvd Calendar'!$E$400:$CZ$400,'Dvd Calendar'!$E$399:$CZ$399,"&gt;"&amp;S$12,'Dvd Calendar'!$E$399:$CZ$399,"&lt;="&amp;S$13)/AS51!$B$3,"")))</f>
        <v/>
      </c>
      <c r="T212" s="113">
        <f>IF(T$13="","",IF($B212="","",IFERROR($C212*$D212*SUMIFS('Dvd Calendar'!$E$400:$CZ$400,'Dvd Calendar'!$E$399:$CZ$399,"&gt;"&amp;T$12,'Dvd Calendar'!$E$399:$CZ$399,"&lt;="&amp;T$13)/AS51!$B$3,"")))</f>
        <v/>
      </c>
      <c r="U212" s="113">
        <f>IF(U$13="","",IF($B212="","",IFERROR($C212*$D212*SUMIFS('Dvd Calendar'!$E$400:$CZ$400,'Dvd Calendar'!$E$399:$CZ$399,"&gt;"&amp;U$12,'Dvd Calendar'!$E$399:$CZ$399,"&lt;="&amp;U$13)/AS51!$B$3,"")))</f>
        <v/>
      </c>
      <c r="W212" s="113">
        <f>IF(W$13="","",IF($B212="","",IFERROR(F212*$E212/100,"")))</f>
        <v/>
      </c>
      <c r="X212" s="113">
        <f>IF(X$13="","",IF($B212="","",IFERROR(G212*$E212/100,"")))</f>
        <v/>
      </c>
      <c r="Y212" s="113">
        <f>IF(Y$13="","",IF($B212="","",IFERROR(H212*$E212/100,"")))</f>
        <v/>
      </c>
      <c r="Z212" s="113">
        <f>IF(Z$13="","",IF($B212="","",IFERROR(I212*$E212/100,"")))</f>
        <v/>
      </c>
      <c r="AA212" s="113">
        <f>IF(AA$13="","",IF($B212="","",IFERROR(J212*$E212/100,"")))</f>
        <v/>
      </c>
      <c r="AB212" s="113">
        <f>IF(AB$13="","",IF($B212="","",IFERROR(K212*$E212/100,"")))</f>
        <v/>
      </c>
      <c r="AC212" s="113">
        <f>IF(AC$13="","",IF($B212="","",IFERROR(L212*$E212/100,"")))</f>
        <v/>
      </c>
      <c r="AD212" s="113">
        <f>IF(AD$13="","",IF($B212="","",IFERROR(M212*$E212/100,"")))</f>
        <v/>
      </c>
      <c r="AE212" s="113">
        <f>IF(AE$13="","",IF($B212="","",IFERROR(N212*$E212/100,"")))</f>
        <v/>
      </c>
      <c r="AF212" s="113">
        <f>IF(AF$13="","",IF($B212="","",IFERROR(O212*$E212/100,"")))</f>
        <v/>
      </c>
      <c r="AG212" s="113">
        <f>IF(AG$13="","",IF($B212="","",IFERROR(P212*$E212/100,"")))</f>
        <v/>
      </c>
      <c r="AH212" s="113">
        <f>IF(AH$13="","",IF($B212="","",IFERROR(Q212*$E212/100,"")))</f>
        <v/>
      </c>
      <c r="AI212" s="113">
        <f>IF(AI$13="","",IF($B212="","",IFERROR(R212*$E212/100,"")))</f>
        <v/>
      </c>
      <c r="AJ212" s="113">
        <f>IF(AJ$13="","",IF($B212="","",IFERROR(S212*$E212/100,"")))</f>
        <v/>
      </c>
      <c r="AK212" s="113">
        <f>IF(AK$13="","",IF($B212="","",IFERROR(T212*$E212/100,"")))</f>
        <v/>
      </c>
      <c r="AL212" s="113">
        <f>IF(AL$13="","",IF($B212="","",IFERROR(U212*$E212/100,"")))</f>
        <v/>
      </c>
    </row>
    <row r="213">
      <c r="B213" s="5">
        <f>IF(AS51!$C$203="","",AS51!$C$203)</f>
        <v/>
      </c>
      <c r="C213" s="86">
        <f>IF(AS51!$B$203="","",AS51!$B$203)</f>
        <v/>
      </c>
      <c r="D213" s="111">
        <f>IFERROR(AS51!$Q$203,1)</f>
        <v/>
      </c>
      <c r="E213" s="112">
        <f>IF($B213="","",IF(ISNUMBER(AS51!$I$203),AS51!$I$203,'Index Summary'!$C$7))</f>
        <v/>
      </c>
      <c r="F213" s="113">
        <f>IF(F$13="","",IF($B213="","",IFERROR($C213*$D213*SUMIFS('Dvd Calendar'!$E$402:$CZ$402,'Dvd Calendar'!$E$401:$CZ$401,"&gt;"&amp;F$12,'Dvd Calendar'!$E$401:$CZ$401,"&lt;="&amp;F$13)/AS51!$B$3,"")))</f>
        <v/>
      </c>
      <c r="G213" s="113">
        <f>IF(G$13="","",IF($B213="","",IFERROR($C213*$D213*SUMIFS('Dvd Calendar'!$E$402:$CZ$402,'Dvd Calendar'!$E$401:$CZ$401,"&gt;"&amp;G$12,'Dvd Calendar'!$E$401:$CZ$401,"&lt;="&amp;G$13)/AS51!$B$3,"")))</f>
        <v/>
      </c>
      <c r="H213" s="113">
        <f>IF(H$13="","",IF($B213="","",IFERROR($C213*$D213*SUMIFS('Dvd Calendar'!$E$402:$CZ$402,'Dvd Calendar'!$E$401:$CZ$401,"&gt;"&amp;H$12,'Dvd Calendar'!$E$401:$CZ$401,"&lt;="&amp;H$13)/AS51!$B$3,"")))</f>
        <v/>
      </c>
      <c r="I213" s="113">
        <f>IF(I$13="","",IF($B213="","",IFERROR($C213*$D213*SUMIFS('Dvd Calendar'!$E$402:$CZ$402,'Dvd Calendar'!$E$401:$CZ$401,"&gt;"&amp;I$12,'Dvd Calendar'!$E$401:$CZ$401,"&lt;="&amp;I$13)/AS51!$B$3,"")))</f>
        <v/>
      </c>
      <c r="J213" s="113">
        <f>IF(J$13="","",IF($B213="","",IFERROR($C213*$D213*SUMIFS('Dvd Calendar'!$E$402:$CZ$402,'Dvd Calendar'!$E$401:$CZ$401,"&gt;"&amp;J$12,'Dvd Calendar'!$E$401:$CZ$401,"&lt;="&amp;J$13)/AS51!$B$3,"")))</f>
        <v/>
      </c>
      <c r="K213" s="113">
        <f>IF(K$13="","",IF($B213="","",IFERROR($C213*$D213*SUMIFS('Dvd Calendar'!$E$402:$CZ$402,'Dvd Calendar'!$E$401:$CZ$401,"&gt;"&amp;K$12,'Dvd Calendar'!$E$401:$CZ$401,"&lt;="&amp;K$13)/AS51!$B$3,"")))</f>
        <v/>
      </c>
      <c r="L213" s="113">
        <f>IF(L$13="","",IF($B213="","",IFERROR($C213*$D213*SUMIFS('Dvd Calendar'!$E$402:$CZ$402,'Dvd Calendar'!$E$401:$CZ$401,"&gt;"&amp;L$12,'Dvd Calendar'!$E$401:$CZ$401,"&lt;="&amp;L$13)/AS51!$B$3,"")))</f>
        <v/>
      </c>
      <c r="M213" s="113">
        <f>IF(M$13="","",IF($B213="","",IFERROR($C213*$D213*SUMIFS('Dvd Calendar'!$E$402:$CZ$402,'Dvd Calendar'!$E$401:$CZ$401,"&gt;"&amp;M$12,'Dvd Calendar'!$E$401:$CZ$401,"&lt;="&amp;M$13)/AS51!$B$3,"")))</f>
        <v/>
      </c>
      <c r="N213" s="113">
        <f>IF(N$13="","",IF($B213="","",IFERROR($C213*$D213*SUMIFS('Dvd Calendar'!$E$402:$CZ$402,'Dvd Calendar'!$E$401:$CZ$401,"&gt;"&amp;N$12,'Dvd Calendar'!$E$401:$CZ$401,"&lt;="&amp;N$13)/AS51!$B$3,"")))</f>
        <v/>
      </c>
      <c r="O213" s="113">
        <f>IF(O$13="","",IF($B213="","",IFERROR($C213*$D213*SUMIFS('Dvd Calendar'!$E$402:$CZ$402,'Dvd Calendar'!$E$401:$CZ$401,"&gt;"&amp;O$12,'Dvd Calendar'!$E$401:$CZ$401,"&lt;="&amp;O$13)/AS51!$B$3,"")))</f>
        <v/>
      </c>
      <c r="P213" s="113">
        <f>IF(P$13="","",IF($B213="","",IFERROR($C213*$D213*SUMIFS('Dvd Calendar'!$E$402:$CZ$402,'Dvd Calendar'!$E$401:$CZ$401,"&gt;"&amp;P$12,'Dvd Calendar'!$E$401:$CZ$401,"&lt;="&amp;P$13)/AS51!$B$3,"")))</f>
        <v/>
      </c>
      <c r="Q213" s="113">
        <f>IF(Q$13="","",IF($B213="","",IFERROR($C213*$D213*SUMIFS('Dvd Calendar'!$E$402:$CZ$402,'Dvd Calendar'!$E$401:$CZ$401,"&gt;"&amp;Q$12,'Dvd Calendar'!$E$401:$CZ$401,"&lt;="&amp;Q$13)/AS51!$B$3,"")))</f>
        <v/>
      </c>
      <c r="R213" s="113">
        <f>IF(R$13="","",IF($B213="","",IFERROR($C213*$D213*SUMIFS('Dvd Calendar'!$E$402:$CZ$402,'Dvd Calendar'!$E$401:$CZ$401,"&gt;"&amp;R$12,'Dvd Calendar'!$E$401:$CZ$401,"&lt;="&amp;R$13)/AS51!$B$3,"")))</f>
        <v/>
      </c>
      <c r="S213" s="113">
        <f>IF(S$13="","",IF($B213="","",IFERROR($C213*$D213*SUMIFS('Dvd Calendar'!$E$402:$CZ$402,'Dvd Calendar'!$E$401:$CZ$401,"&gt;"&amp;S$12,'Dvd Calendar'!$E$401:$CZ$401,"&lt;="&amp;S$13)/AS51!$B$3,"")))</f>
        <v/>
      </c>
      <c r="T213" s="113">
        <f>IF(T$13="","",IF($B213="","",IFERROR($C213*$D213*SUMIFS('Dvd Calendar'!$E$402:$CZ$402,'Dvd Calendar'!$E$401:$CZ$401,"&gt;"&amp;T$12,'Dvd Calendar'!$E$401:$CZ$401,"&lt;="&amp;T$13)/AS51!$B$3,"")))</f>
        <v/>
      </c>
      <c r="U213" s="113">
        <f>IF(U$13="","",IF($B213="","",IFERROR($C213*$D213*SUMIFS('Dvd Calendar'!$E$402:$CZ$402,'Dvd Calendar'!$E$401:$CZ$401,"&gt;"&amp;U$12,'Dvd Calendar'!$E$401:$CZ$401,"&lt;="&amp;U$13)/AS51!$B$3,"")))</f>
        <v/>
      </c>
      <c r="W213" s="113">
        <f>IF(W$13="","",IF($B213="","",IFERROR(F213*$E213/100,"")))</f>
        <v/>
      </c>
      <c r="X213" s="113">
        <f>IF(X$13="","",IF($B213="","",IFERROR(G213*$E213/100,"")))</f>
        <v/>
      </c>
      <c r="Y213" s="113">
        <f>IF(Y$13="","",IF($B213="","",IFERROR(H213*$E213/100,"")))</f>
        <v/>
      </c>
      <c r="Z213" s="113">
        <f>IF(Z$13="","",IF($B213="","",IFERROR(I213*$E213/100,"")))</f>
        <v/>
      </c>
      <c r="AA213" s="113">
        <f>IF(AA$13="","",IF($B213="","",IFERROR(J213*$E213/100,"")))</f>
        <v/>
      </c>
      <c r="AB213" s="113">
        <f>IF(AB$13="","",IF($B213="","",IFERROR(K213*$E213/100,"")))</f>
        <v/>
      </c>
      <c r="AC213" s="113">
        <f>IF(AC$13="","",IF($B213="","",IFERROR(L213*$E213/100,"")))</f>
        <v/>
      </c>
      <c r="AD213" s="113">
        <f>IF(AD$13="","",IF($B213="","",IFERROR(M213*$E213/100,"")))</f>
        <v/>
      </c>
      <c r="AE213" s="113">
        <f>IF(AE$13="","",IF($B213="","",IFERROR(N213*$E213/100,"")))</f>
        <v/>
      </c>
      <c r="AF213" s="113">
        <f>IF(AF$13="","",IF($B213="","",IFERROR(O213*$E213/100,"")))</f>
        <v/>
      </c>
      <c r="AG213" s="113">
        <f>IF(AG$13="","",IF($B213="","",IFERROR(P213*$E213/100,"")))</f>
        <v/>
      </c>
      <c r="AH213" s="113">
        <f>IF(AH$13="","",IF($B213="","",IFERROR(Q213*$E213/100,"")))</f>
        <v/>
      </c>
      <c r="AI213" s="113">
        <f>IF(AI$13="","",IF($B213="","",IFERROR(R213*$E213/100,"")))</f>
        <v/>
      </c>
      <c r="AJ213" s="113">
        <f>IF(AJ$13="","",IF($B213="","",IFERROR(S213*$E213/100,"")))</f>
        <v/>
      </c>
      <c r="AK213" s="113">
        <f>IF(AK$13="","",IF($B213="","",IFERROR(T213*$E213/100,"")))</f>
        <v/>
      </c>
      <c r="AL213" s="113">
        <f>IF(AL$13="","",IF($B213="","",IFERROR(U213*$E213/100,"")))</f>
        <v/>
      </c>
    </row>
    <row r="214">
      <c r="B214" s="5">
        <f>IF(AS51!$C$204="","",AS51!$C$204)</f>
        <v/>
      </c>
      <c r="C214" s="86">
        <f>IF(AS51!$B$204="","",AS51!$B$204)</f>
        <v/>
      </c>
      <c r="D214" s="111">
        <f>IFERROR(AS51!$Q$204,1)</f>
        <v/>
      </c>
      <c r="E214" s="112">
        <f>IF($B214="","",IF(ISNUMBER(AS51!$I$204),AS51!$I$204,'Index Summary'!$C$7))</f>
        <v/>
      </c>
      <c r="F214" s="113">
        <f>IF(F$13="","",IF($B214="","",IFERROR($C214*$D214*SUMIFS('Dvd Calendar'!$E$404:$CZ$404,'Dvd Calendar'!$E$403:$CZ$403,"&gt;"&amp;F$12,'Dvd Calendar'!$E$403:$CZ$403,"&lt;="&amp;F$13)/AS51!$B$3,"")))</f>
        <v/>
      </c>
      <c r="G214" s="113">
        <f>IF(G$13="","",IF($B214="","",IFERROR($C214*$D214*SUMIFS('Dvd Calendar'!$E$404:$CZ$404,'Dvd Calendar'!$E$403:$CZ$403,"&gt;"&amp;G$12,'Dvd Calendar'!$E$403:$CZ$403,"&lt;="&amp;G$13)/AS51!$B$3,"")))</f>
        <v/>
      </c>
      <c r="H214" s="113">
        <f>IF(H$13="","",IF($B214="","",IFERROR($C214*$D214*SUMIFS('Dvd Calendar'!$E$404:$CZ$404,'Dvd Calendar'!$E$403:$CZ$403,"&gt;"&amp;H$12,'Dvd Calendar'!$E$403:$CZ$403,"&lt;="&amp;H$13)/AS51!$B$3,"")))</f>
        <v/>
      </c>
      <c r="I214" s="113">
        <f>IF(I$13="","",IF($B214="","",IFERROR($C214*$D214*SUMIFS('Dvd Calendar'!$E$404:$CZ$404,'Dvd Calendar'!$E$403:$CZ$403,"&gt;"&amp;I$12,'Dvd Calendar'!$E$403:$CZ$403,"&lt;="&amp;I$13)/AS51!$B$3,"")))</f>
        <v/>
      </c>
      <c r="J214" s="113">
        <f>IF(J$13="","",IF($B214="","",IFERROR($C214*$D214*SUMIFS('Dvd Calendar'!$E$404:$CZ$404,'Dvd Calendar'!$E$403:$CZ$403,"&gt;"&amp;J$12,'Dvd Calendar'!$E$403:$CZ$403,"&lt;="&amp;J$13)/AS51!$B$3,"")))</f>
        <v/>
      </c>
      <c r="K214" s="113">
        <f>IF(K$13="","",IF($B214="","",IFERROR($C214*$D214*SUMIFS('Dvd Calendar'!$E$404:$CZ$404,'Dvd Calendar'!$E$403:$CZ$403,"&gt;"&amp;K$12,'Dvd Calendar'!$E$403:$CZ$403,"&lt;="&amp;K$13)/AS51!$B$3,"")))</f>
        <v/>
      </c>
      <c r="L214" s="113">
        <f>IF(L$13="","",IF($B214="","",IFERROR($C214*$D214*SUMIFS('Dvd Calendar'!$E$404:$CZ$404,'Dvd Calendar'!$E$403:$CZ$403,"&gt;"&amp;L$12,'Dvd Calendar'!$E$403:$CZ$403,"&lt;="&amp;L$13)/AS51!$B$3,"")))</f>
        <v/>
      </c>
      <c r="M214" s="113">
        <f>IF(M$13="","",IF($B214="","",IFERROR($C214*$D214*SUMIFS('Dvd Calendar'!$E$404:$CZ$404,'Dvd Calendar'!$E$403:$CZ$403,"&gt;"&amp;M$12,'Dvd Calendar'!$E$403:$CZ$403,"&lt;="&amp;M$13)/AS51!$B$3,"")))</f>
        <v/>
      </c>
      <c r="N214" s="113">
        <f>IF(N$13="","",IF($B214="","",IFERROR($C214*$D214*SUMIFS('Dvd Calendar'!$E$404:$CZ$404,'Dvd Calendar'!$E$403:$CZ$403,"&gt;"&amp;N$12,'Dvd Calendar'!$E$403:$CZ$403,"&lt;="&amp;N$13)/AS51!$B$3,"")))</f>
        <v/>
      </c>
      <c r="O214" s="113">
        <f>IF(O$13="","",IF($B214="","",IFERROR($C214*$D214*SUMIFS('Dvd Calendar'!$E$404:$CZ$404,'Dvd Calendar'!$E$403:$CZ$403,"&gt;"&amp;O$12,'Dvd Calendar'!$E$403:$CZ$403,"&lt;="&amp;O$13)/AS51!$B$3,"")))</f>
        <v/>
      </c>
      <c r="P214" s="113">
        <f>IF(P$13="","",IF($B214="","",IFERROR($C214*$D214*SUMIFS('Dvd Calendar'!$E$404:$CZ$404,'Dvd Calendar'!$E$403:$CZ$403,"&gt;"&amp;P$12,'Dvd Calendar'!$E$403:$CZ$403,"&lt;="&amp;P$13)/AS51!$B$3,"")))</f>
        <v/>
      </c>
      <c r="Q214" s="113">
        <f>IF(Q$13="","",IF($B214="","",IFERROR($C214*$D214*SUMIFS('Dvd Calendar'!$E$404:$CZ$404,'Dvd Calendar'!$E$403:$CZ$403,"&gt;"&amp;Q$12,'Dvd Calendar'!$E$403:$CZ$403,"&lt;="&amp;Q$13)/AS51!$B$3,"")))</f>
        <v/>
      </c>
      <c r="R214" s="113">
        <f>IF(R$13="","",IF($B214="","",IFERROR($C214*$D214*SUMIFS('Dvd Calendar'!$E$404:$CZ$404,'Dvd Calendar'!$E$403:$CZ$403,"&gt;"&amp;R$12,'Dvd Calendar'!$E$403:$CZ$403,"&lt;="&amp;R$13)/AS51!$B$3,"")))</f>
        <v/>
      </c>
      <c r="S214" s="113">
        <f>IF(S$13="","",IF($B214="","",IFERROR($C214*$D214*SUMIFS('Dvd Calendar'!$E$404:$CZ$404,'Dvd Calendar'!$E$403:$CZ$403,"&gt;"&amp;S$12,'Dvd Calendar'!$E$403:$CZ$403,"&lt;="&amp;S$13)/AS51!$B$3,"")))</f>
        <v/>
      </c>
      <c r="T214" s="113">
        <f>IF(T$13="","",IF($B214="","",IFERROR($C214*$D214*SUMIFS('Dvd Calendar'!$E$404:$CZ$404,'Dvd Calendar'!$E$403:$CZ$403,"&gt;"&amp;T$12,'Dvd Calendar'!$E$403:$CZ$403,"&lt;="&amp;T$13)/AS51!$B$3,"")))</f>
        <v/>
      </c>
      <c r="U214" s="113">
        <f>IF(U$13="","",IF($B214="","",IFERROR($C214*$D214*SUMIFS('Dvd Calendar'!$E$404:$CZ$404,'Dvd Calendar'!$E$403:$CZ$403,"&gt;"&amp;U$12,'Dvd Calendar'!$E$403:$CZ$403,"&lt;="&amp;U$13)/AS51!$B$3,"")))</f>
        <v/>
      </c>
      <c r="W214" s="113">
        <f>IF(W$13="","",IF($B214="","",IFERROR(F214*$E214/100,"")))</f>
        <v/>
      </c>
      <c r="X214" s="113">
        <f>IF(X$13="","",IF($B214="","",IFERROR(G214*$E214/100,"")))</f>
        <v/>
      </c>
      <c r="Y214" s="113">
        <f>IF(Y$13="","",IF($B214="","",IFERROR(H214*$E214/100,"")))</f>
        <v/>
      </c>
      <c r="Z214" s="113">
        <f>IF(Z$13="","",IF($B214="","",IFERROR(I214*$E214/100,"")))</f>
        <v/>
      </c>
      <c r="AA214" s="113">
        <f>IF(AA$13="","",IF($B214="","",IFERROR(J214*$E214/100,"")))</f>
        <v/>
      </c>
      <c r="AB214" s="113">
        <f>IF(AB$13="","",IF($B214="","",IFERROR(K214*$E214/100,"")))</f>
        <v/>
      </c>
      <c r="AC214" s="113">
        <f>IF(AC$13="","",IF($B214="","",IFERROR(L214*$E214/100,"")))</f>
        <v/>
      </c>
      <c r="AD214" s="113">
        <f>IF(AD$13="","",IF($B214="","",IFERROR(M214*$E214/100,"")))</f>
        <v/>
      </c>
      <c r="AE214" s="113">
        <f>IF(AE$13="","",IF($B214="","",IFERROR(N214*$E214/100,"")))</f>
        <v/>
      </c>
      <c r="AF214" s="113">
        <f>IF(AF$13="","",IF($B214="","",IFERROR(O214*$E214/100,"")))</f>
        <v/>
      </c>
      <c r="AG214" s="113">
        <f>IF(AG$13="","",IF($B214="","",IFERROR(P214*$E214/100,"")))</f>
        <v/>
      </c>
      <c r="AH214" s="113">
        <f>IF(AH$13="","",IF($B214="","",IFERROR(Q214*$E214/100,"")))</f>
        <v/>
      </c>
      <c r="AI214" s="113">
        <f>IF(AI$13="","",IF($B214="","",IFERROR(R214*$E214/100,"")))</f>
        <v/>
      </c>
      <c r="AJ214" s="113">
        <f>IF(AJ$13="","",IF($B214="","",IFERROR(S214*$E214/100,"")))</f>
        <v/>
      </c>
      <c r="AK214" s="113">
        <f>IF(AK$13="","",IF($B214="","",IFERROR(T214*$E214/100,"")))</f>
        <v/>
      </c>
      <c r="AL214" s="113">
        <f>IF(AL$13="","",IF($B214="","",IFERROR(U214*$E214/100,"")))</f>
        <v/>
      </c>
    </row>
    <row r="215">
      <c r="B215" s="5">
        <f>IF(AS51!$C$205="","",AS51!$C$205)</f>
        <v/>
      </c>
      <c r="C215" s="86">
        <f>IF(AS51!$B$205="","",AS51!$B$205)</f>
        <v/>
      </c>
      <c r="D215" s="111">
        <f>IFERROR(AS51!$Q$205,1)</f>
        <v/>
      </c>
      <c r="E215" s="112">
        <f>IF($B215="","",IF(ISNUMBER(AS51!$I$205),AS51!$I$205,'Index Summary'!$C$7))</f>
        <v/>
      </c>
      <c r="F215" s="113">
        <f>IF(F$13="","",IF($B215="","",IFERROR($C215*$D215*SUMIFS('Dvd Calendar'!$E$406:$CZ$406,'Dvd Calendar'!$E$405:$CZ$405,"&gt;"&amp;F$12,'Dvd Calendar'!$E$405:$CZ$405,"&lt;="&amp;F$13)/AS51!$B$3,"")))</f>
        <v/>
      </c>
      <c r="G215" s="113">
        <f>IF(G$13="","",IF($B215="","",IFERROR($C215*$D215*SUMIFS('Dvd Calendar'!$E$406:$CZ$406,'Dvd Calendar'!$E$405:$CZ$405,"&gt;"&amp;G$12,'Dvd Calendar'!$E$405:$CZ$405,"&lt;="&amp;G$13)/AS51!$B$3,"")))</f>
        <v/>
      </c>
      <c r="H215" s="113">
        <f>IF(H$13="","",IF($B215="","",IFERROR($C215*$D215*SUMIFS('Dvd Calendar'!$E$406:$CZ$406,'Dvd Calendar'!$E$405:$CZ$405,"&gt;"&amp;H$12,'Dvd Calendar'!$E$405:$CZ$405,"&lt;="&amp;H$13)/AS51!$B$3,"")))</f>
        <v/>
      </c>
      <c r="I215" s="113">
        <f>IF(I$13="","",IF($B215="","",IFERROR($C215*$D215*SUMIFS('Dvd Calendar'!$E$406:$CZ$406,'Dvd Calendar'!$E$405:$CZ$405,"&gt;"&amp;I$12,'Dvd Calendar'!$E$405:$CZ$405,"&lt;="&amp;I$13)/AS51!$B$3,"")))</f>
        <v/>
      </c>
      <c r="J215" s="113">
        <f>IF(J$13="","",IF($B215="","",IFERROR($C215*$D215*SUMIFS('Dvd Calendar'!$E$406:$CZ$406,'Dvd Calendar'!$E$405:$CZ$405,"&gt;"&amp;J$12,'Dvd Calendar'!$E$405:$CZ$405,"&lt;="&amp;J$13)/AS51!$B$3,"")))</f>
        <v/>
      </c>
      <c r="K215" s="113">
        <f>IF(K$13="","",IF($B215="","",IFERROR($C215*$D215*SUMIFS('Dvd Calendar'!$E$406:$CZ$406,'Dvd Calendar'!$E$405:$CZ$405,"&gt;"&amp;K$12,'Dvd Calendar'!$E$405:$CZ$405,"&lt;="&amp;K$13)/AS51!$B$3,"")))</f>
        <v/>
      </c>
      <c r="L215" s="113">
        <f>IF(L$13="","",IF($B215="","",IFERROR($C215*$D215*SUMIFS('Dvd Calendar'!$E$406:$CZ$406,'Dvd Calendar'!$E$405:$CZ$405,"&gt;"&amp;L$12,'Dvd Calendar'!$E$405:$CZ$405,"&lt;="&amp;L$13)/AS51!$B$3,"")))</f>
        <v/>
      </c>
      <c r="M215" s="113">
        <f>IF(M$13="","",IF($B215="","",IFERROR($C215*$D215*SUMIFS('Dvd Calendar'!$E$406:$CZ$406,'Dvd Calendar'!$E$405:$CZ$405,"&gt;"&amp;M$12,'Dvd Calendar'!$E$405:$CZ$405,"&lt;="&amp;M$13)/AS51!$B$3,"")))</f>
        <v/>
      </c>
      <c r="N215" s="113">
        <f>IF(N$13="","",IF($B215="","",IFERROR($C215*$D215*SUMIFS('Dvd Calendar'!$E$406:$CZ$406,'Dvd Calendar'!$E$405:$CZ$405,"&gt;"&amp;N$12,'Dvd Calendar'!$E$405:$CZ$405,"&lt;="&amp;N$13)/AS51!$B$3,"")))</f>
        <v/>
      </c>
      <c r="O215" s="113">
        <f>IF(O$13="","",IF($B215="","",IFERROR($C215*$D215*SUMIFS('Dvd Calendar'!$E$406:$CZ$406,'Dvd Calendar'!$E$405:$CZ$405,"&gt;"&amp;O$12,'Dvd Calendar'!$E$405:$CZ$405,"&lt;="&amp;O$13)/AS51!$B$3,"")))</f>
        <v/>
      </c>
      <c r="P215" s="113">
        <f>IF(P$13="","",IF($B215="","",IFERROR($C215*$D215*SUMIFS('Dvd Calendar'!$E$406:$CZ$406,'Dvd Calendar'!$E$405:$CZ$405,"&gt;"&amp;P$12,'Dvd Calendar'!$E$405:$CZ$405,"&lt;="&amp;P$13)/AS51!$B$3,"")))</f>
        <v/>
      </c>
      <c r="Q215" s="113">
        <f>IF(Q$13="","",IF($B215="","",IFERROR($C215*$D215*SUMIFS('Dvd Calendar'!$E$406:$CZ$406,'Dvd Calendar'!$E$405:$CZ$405,"&gt;"&amp;Q$12,'Dvd Calendar'!$E$405:$CZ$405,"&lt;="&amp;Q$13)/AS51!$B$3,"")))</f>
        <v/>
      </c>
      <c r="R215" s="113">
        <f>IF(R$13="","",IF($B215="","",IFERROR($C215*$D215*SUMIFS('Dvd Calendar'!$E$406:$CZ$406,'Dvd Calendar'!$E$405:$CZ$405,"&gt;"&amp;R$12,'Dvd Calendar'!$E$405:$CZ$405,"&lt;="&amp;R$13)/AS51!$B$3,"")))</f>
        <v/>
      </c>
      <c r="S215" s="113">
        <f>IF(S$13="","",IF($B215="","",IFERROR($C215*$D215*SUMIFS('Dvd Calendar'!$E$406:$CZ$406,'Dvd Calendar'!$E$405:$CZ$405,"&gt;"&amp;S$12,'Dvd Calendar'!$E$405:$CZ$405,"&lt;="&amp;S$13)/AS51!$B$3,"")))</f>
        <v/>
      </c>
      <c r="T215" s="113">
        <f>IF(T$13="","",IF($B215="","",IFERROR($C215*$D215*SUMIFS('Dvd Calendar'!$E$406:$CZ$406,'Dvd Calendar'!$E$405:$CZ$405,"&gt;"&amp;T$12,'Dvd Calendar'!$E$405:$CZ$405,"&lt;="&amp;T$13)/AS51!$B$3,"")))</f>
        <v/>
      </c>
      <c r="U215" s="113">
        <f>IF(U$13="","",IF($B215="","",IFERROR($C215*$D215*SUMIFS('Dvd Calendar'!$E$406:$CZ$406,'Dvd Calendar'!$E$405:$CZ$405,"&gt;"&amp;U$12,'Dvd Calendar'!$E$405:$CZ$405,"&lt;="&amp;U$13)/AS51!$B$3,"")))</f>
        <v/>
      </c>
      <c r="W215" s="113">
        <f>IF(W$13="","",IF($B215="","",IFERROR(F215*$E215/100,"")))</f>
        <v/>
      </c>
      <c r="X215" s="113">
        <f>IF(X$13="","",IF($B215="","",IFERROR(G215*$E215/100,"")))</f>
        <v/>
      </c>
      <c r="Y215" s="113">
        <f>IF(Y$13="","",IF($B215="","",IFERROR(H215*$E215/100,"")))</f>
        <v/>
      </c>
      <c r="Z215" s="113">
        <f>IF(Z$13="","",IF($B215="","",IFERROR(I215*$E215/100,"")))</f>
        <v/>
      </c>
      <c r="AA215" s="113">
        <f>IF(AA$13="","",IF($B215="","",IFERROR(J215*$E215/100,"")))</f>
        <v/>
      </c>
      <c r="AB215" s="113">
        <f>IF(AB$13="","",IF($B215="","",IFERROR(K215*$E215/100,"")))</f>
        <v/>
      </c>
      <c r="AC215" s="113">
        <f>IF(AC$13="","",IF($B215="","",IFERROR(L215*$E215/100,"")))</f>
        <v/>
      </c>
      <c r="AD215" s="113">
        <f>IF(AD$13="","",IF($B215="","",IFERROR(M215*$E215/100,"")))</f>
        <v/>
      </c>
      <c r="AE215" s="113">
        <f>IF(AE$13="","",IF($B215="","",IFERROR(N215*$E215/100,"")))</f>
        <v/>
      </c>
      <c r="AF215" s="113">
        <f>IF(AF$13="","",IF($B215="","",IFERROR(O215*$E215/100,"")))</f>
        <v/>
      </c>
      <c r="AG215" s="113">
        <f>IF(AG$13="","",IF($B215="","",IFERROR(P215*$E215/100,"")))</f>
        <v/>
      </c>
      <c r="AH215" s="113">
        <f>IF(AH$13="","",IF($B215="","",IFERROR(Q215*$E215/100,"")))</f>
        <v/>
      </c>
      <c r="AI215" s="113">
        <f>IF(AI$13="","",IF($B215="","",IFERROR(R215*$E215/100,"")))</f>
        <v/>
      </c>
      <c r="AJ215" s="113">
        <f>IF(AJ$13="","",IF($B215="","",IFERROR(S215*$E215/100,"")))</f>
        <v/>
      </c>
      <c r="AK215" s="113">
        <f>IF(AK$13="","",IF($B215="","",IFERROR(T215*$E215/100,"")))</f>
        <v/>
      </c>
      <c r="AL215" s="113">
        <f>IF(AL$13="","",IF($B215="","",IFERROR(U215*$E215/100,"")))</f>
        <v/>
      </c>
    </row>
    <row r="216">
      <c r="B216" s="5">
        <f>IF(AS51!$C$206="","",AS51!$C$206)</f>
        <v/>
      </c>
      <c r="C216" s="86">
        <f>IF(AS51!$B$206="","",AS51!$B$206)</f>
        <v/>
      </c>
      <c r="D216" s="111">
        <f>IFERROR(AS51!$Q$206,1)</f>
        <v/>
      </c>
      <c r="E216" s="112">
        <f>IF($B216="","",IF(ISNUMBER(AS51!$I$206),AS51!$I$206,'Index Summary'!$C$7))</f>
        <v/>
      </c>
      <c r="F216" s="113">
        <f>IF(F$13="","",IF($B216="","",IFERROR($C216*$D216*SUMIFS('Dvd Calendar'!$E$408:$CZ$408,'Dvd Calendar'!$E$407:$CZ$407,"&gt;"&amp;F$12,'Dvd Calendar'!$E$407:$CZ$407,"&lt;="&amp;F$13)/AS51!$B$3,"")))</f>
        <v/>
      </c>
      <c r="G216" s="113">
        <f>IF(G$13="","",IF($B216="","",IFERROR($C216*$D216*SUMIFS('Dvd Calendar'!$E$408:$CZ$408,'Dvd Calendar'!$E$407:$CZ$407,"&gt;"&amp;G$12,'Dvd Calendar'!$E$407:$CZ$407,"&lt;="&amp;G$13)/AS51!$B$3,"")))</f>
        <v/>
      </c>
      <c r="H216" s="113">
        <f>IF(H$13="","",IF($B216="","",IFERROR($C216*$D216*SUMIFS('Dvd Calendar'!$E$408:$CZ$408,'Dvd Calendar'!$E$407:$CZ$407,"&gt;"&amp;H$12,'Dvd Calendar'!$E$407:$CZ$407,"&lt;="&amp;H$13)/AS51!$B$3,"")))</f>
        <v/>
      </c>
      <c r="I216" s="113">
        <f>IF(I$13="","",IF($B216="","",IFERROR($C216*$D216*SUMIFS('Dvd Calendar'!$E$408:$CZ$408,'Dvd Calendar'!$E$407:$CZ$407,"&gt;"&amp;I$12,'Dvd Calendar'!$E$407:$CZ$407,"&lt;="&amp;I$13)/AS51!$B$3,"")))</f>
        <v/>
      </c>
      <c r="J216" s="113">
        <f>IF(J$13="","",IF($B216="","",IFERROR($C216*$D216*SUMIFS('Dvd Calendar'!$E$408:$CZ$408,'Dvd Calendar'!$E$407:$CZ$407,"&gt;"&amp;J$12,'Dvd Calendar'!$E$407:$CZ$407,"&lt;="&amp;J$13)/AS51!$B$3,"")))</f>
        <v/>
      </c>
      <c r="K216" s="113">
        <f>IF(K$13="","",IF($B216="","",IFERROR($C216*$D216*SUMIFS('Dvd Calendar'!$E$408:$CZ$408,'Dvd Calendar'!$E$407:$CZ$407,"&gt;"&amp;K$12,'Dvd Calendar'!$E$407:$CZ$407,"&lt;="&amp;K$13)/AS51!$B$3,"")))</f>
        <v/>
      </c>
      <c r="L216" s="113">
        <f>IF(L$13="","",IF($B216="","",IFERROR($C216*$D216*SUMIFS('Dvd Calendar'!$E$408:$CZ$408,'Dvd Calendar'!$E$407:$CZ$407,"&gt;"&amp;L$12,'Dvd Calendar'!$E$407:$CZ$407,"&lt;="&amp;L$13)/AS51!$B$3,"")))</f>
        <v/>
      </c>
      <c r="M216" s="113">
        <f>IF(M$13="","",IF($B216="","",IFERROR($C216*$D216*SUMIFS('Dvd Calendar'!$E$408:$CZ$408,'Dvd Calendar'!$E$407:$CZ$407,"&gt;"&amp;M$12,'Dvd Calendar'!$E$407:$CZ$407,"&lt;="&amp;M$13)/AS51!$B$3,"")))</f>
        <v/>
      </c>
      <c r="N216" s="113">
        <f>IF(N$13="","",IF($B216="","",IFERROR($C216*$D216*SUMIFS('Dvd Calendar'!$E$408:$CZ$408,'Dvd Calendar'!$E$407:$CZ$407,"&gt;"&amp;N$12,'Dvd Calendar'!$E$407:$CZ$407,"&lt;="&amp;N$13)/AS51!$B$3,"")))</f>
        <v/>
      </c>
      <c r="O216" s="113">
        <f>IF(O$13="","",IF($B216="","",IFERROR($C216*$D216*SUMIFS('Dvd Calendar'!$E$408:$CZ$408,'Dvd Calendar'!$E$407:$CZ$407,"&gt;"&amp;O$12,'Dvd Calendar'!$E$407:$CZ$407,"&lt;="&amp;O$13)/AS51!$B$3,"")))</f>
        <v/>
      </c>
      <c r="P216" s="113">
        <f>IF(P$13="","",IF($B216="","",IFERROR($C216*$D216*SUMIFS('Dvd Calendar'!$E$408:$CZ$408,'Dvd Calendar'!$E$407:$CZ$407,"&gt;"&amp;P$12,'Dvd Calendar'!$E$407:$CZ$407,"&lt;="&amp;P$13)/AS51!$B$3,"")))</f>
        <v/>
      </c>
      <c r="Q216" s="113">
        <f>IF(Q$13="","",IF($B216="","",IFERROR($C216*$D216*SUMIFS('Dvd Calendar'!$E$408:$CZ$408,'Dvd Calendar'!$E$407:$CZ$407,"&gt;"&amp;Q$12,'Dvd Calendar'!$E$407:$CZ$407,"&lt;="&amp;Q$13)/AS51!$B$3,"")))</f>
        <v/>
      </c>
      <c r="R216" s="113">
        <f>IF(R$13="","",IF($B216="","",IFERROR($C216*$D216*SUMIFS('Dvd Calendar'!$E$408:$CZ$408,'Dvd Calendar'!$E$407:$CZ$407,"&gt;"&amp;R$12,'Dvd Calendar'!$E$407:$CZ$407,"&lt;="&amp;R$13)/AS51!$B$3,"")))</f>
        <v/>
      </c>
      <c r="S216" s="113">
        <f>IF(S$13="","",IF($B216="","",IFERROR($C216*$D216*SUMIFS('Dvd Calendar'!$E$408:$CZ$408,'Dvd Calendar'!$E$407:$CZ$407,"&gt;"&amp;S$12,'Dvd Calendar'!$E$407:$CZ$407,"&lt;="&amp;S$13)/AS51!$B$3,"")))</f>
        <v/>
      </c>
      <c r="T216" s="113">
        <f>IF(T$13="","",IF($B216="","",IFERROR($C216*$D216*SUMIFS('Dvd Calendar'!$E$408:$CZ$408,'Dvd Calendar'!$E$407:$CZ$407,"&gt;"&amp;T$12,'Dvd Calendar'!$E$407:$CZ$407,"&lt;="&amp;T$13)/AS51!$B$3,"")))</f>
        <v/>
      </c>
      <c r="U216" s="113">
        <f>IF(U$13="","",IF($B216="","",IFERROR($C216*$D216*SUMIFS('Dvd Calendar'!$E$408:$CZ$408,'Dvd Calendar'!$E$407:$CZ$407,"&gt;"&amp;U$12,'Dvd Calendar'!$E$407:$CZ$407,"&lt;="&amp;U$13)/AS51!$B$3,"")))</f>
        <v/>
      </c>
      <c r="W216" s="113">
        <f>IF(W$13="","",IF($B216="","",IFERROR(F216*$E216/100,"")))</f>
        <v/>
      </c>
      <c r="X216" s="113">
        <f>IF(X$13="","",IF($B216="","",IFERROR(G216*$E216/100,"")))</f>
        <v/>
      </c>
      <c r="Y216" s="113">
        <f>IF(Y$13="","",IF($B216="","",IFERROR(H216*$E216/100,"")))</f>
        <v/>
      </c>
      <c r="Z216" s="113">
        <f>IF(Z$13="","",IF($B216="","",IFERROR(I216*$E216/100,"")))</f>
        <v/>
      </c>
      <c r="AA216" s="113">
        <f>IF(AA$13="","",IF($B216="","",IFERROR(J216*$E216/100,"")))</f>
        <v/>
      </c>
      <c r="AB216" s="113">
        <f>IF(AB$13="","",IF($B216="","",IFERROR(K216*$E216/100,"")))</f>
        <v/>
      </c>
      <c r="AC216" s="113">
        <f>IF(AC$13="","",IF($B216="","",IFERROR(L216*$E216/100,"")))</f>
        <v/>
      </c>
      <c r="AD216" s="113">
        <f>IF(AD$13="","",IF($B216="","",IFERROR(M216*$E216/100,"")))</f>
        <v/>
      </c>
      <c r="AE216" s="113">
        <f>IF(AE$13="","",IF($B216="","",IFERROR(N216*$E216/100,"")))</f>
        <v/>
      </c>
      <c r="AF216" s="113">
        <f>IF(AF$13="","",IF($B216="","",IFERROR(O216*$E216/100,"")))</f>
        <v/>
      </c>
      <c r="AG216" s="113">
        <f>IF(AG$13="","",IF($B216="","",IFERROR(P216*$E216/100,"")))</f>
        <v/>
      </c>
      <c r="AH216" s="113">
        <f>IF(AH$13="","",IF($B216="","",IFERROR(Q216*$E216/100,"")))</f>
        <v/>
      </c>
      <c r="AI216" s="113">
        <f>IF(AI$13="","",IF($B216="","",IFERROR(R216*$E216/100,"")))</f>
        <v/>
      </c>
      <c r="AJ216" s="113">
        <f>IF(AJ$13="","",IF($B216="","",IFERROR(S216*$E216/100,"")))</f>
        <v/>
      </c>
      <c r="AK216" s="113">
        <f>IF(AK$13="","",IF($B216="","",IFERROR(T216*$E216/100,"")))</f>
        <v/>
      </c>
      <c r="AL216" s="113">
        <f>IF(AL$13="","",IF($B216="","",IFERROR(U216*$E216/100,"")))</f>
        <v/>
      </c>
    </row>
    <row r="217">
      <c r="B217" s="5">
        <f>IF(AS51!$C$207="","",AS51!$C$207)</f>
        <v/>
      </c>
      <c r="C217" s="86">
        <f>IF(AS51!$B$207="","",AS51!$B$207)</f>
        <v/>
      </c>
      <c r="D217" s="111">
        <f>IFERROR(AS51!$Q$207,1)</f>
        <v/>
      </c>
      <c r="E217" s="112">
        <f>IF($B217="","",IF(ISNUMBER(AS51!$I$207),AS51!$I$207,'Index Summary'!$C$7))</f>
        <v/>
      </c>
      <c r="F217" s="113">
        <f>IF(F$13="","",IF($B217="","",IFERROR($C217*$D217*SUMIFS('Dvd Calendar'!$E$410:$CZ$410,'Dvd Calendar'!$E$409:$CZ$409,"&gt;"&amp;F$12,'Dvd Calendar'!$E$409:$CZ$409,"&lt;="&amp;F$13)/AS51!$B$3,"")))</f>
        <v/>
      </c>
      <c r="G217" s="113">
        <f>IF(G$13="","",IF($B217="","",IFERROR($C217*$D217*SUMIFS('Dvd Calendar'!$E$410:$CZ$410,'Dvd Calendar'!$E$409:$CZ$409,"&gt;"&amp;G$12,'Dvd Calendar'!$E$409:$CZ$409,"&lt;="&amp;G$13)/AS51!$B$3,"")))</f>
        <v/>
      </c>
      <c r="H217" s="113">
        <f>IF(H$13="","",IF($B217="","",IFERROR($C217*$D217*SUMIFS('Dvd Calendar'!$E$410:$CZ$410,'Dvd Calendar'!$E$409:$CZ$409,"&gt;"&amp;H$12,'Dvd Calendar'!$E$409:$CZ$409,"&lt;="&amp;H$13)/AS51!$B$3,"")))</f>
        <v/>
      </c>
      <c r="I217" s="113">
        <f>IF(I$13="","",IF($B217="","",IFERROR($C217*$D217*SUMIFS('Dvd Calendar'!$E$410:$CZ$410,'Dvd Calendar'!$E$409:$CZ$409,"&gt;"&amp;I$12,'Dvd Calendar'!$E$409:$CZ$409,"&lt;="&amp;I$13)/AS51!$B$3,"")))</f>
        <v/>
      </c>
      <c r="J217" s="113">
        <f>IF(J$13="","",IF($B217="","",IFERROR($C217*$D217*SUMIFS('Dvd Calendar'!$E$410:$CZ$410,'Dvd Calendar'!$E$409:$CZ$409,"&gt;"&amp;J$12,'Dvd Calendar'!$E$409:$CZ$409,"&lt;="&amp;J$13)/AS51!$B$3,"")))</f>
        <v/>
      </c>
      <c r="K217" s="113">
        <f>IF(K$13="","",IF($B217="","",IFERROR($C217*$D217*SUMIFS('Dvd Calendar'!$E$410:$CZ$410,'Dvd Calendar'!$E$409:$CZ$409,"&gt;"&amp;K$12,'Dvd Calendar'!$E$409:$CZ$409,"&lt;="&amp;K$13)/AS51!$B$3,"")))</f>
        <v/>
      </c>
      <c r="L217" s="113">
        <f>IF(L$13="","",IF($B217="","",IFERROR($C217*$D217*SUMIFS('Dvd Calendar'!$E$410:$CZ$410,'Dvd Calendar'!$E$409:$CZ$409,"&gt;"&amp;L$12,'Dvd Calendar'!$E$409:$CZ$409,"&lt;="&amp;L$13)/AS51!$B$3,"")))</f>
        <v/>
      </c>
      <c r="M217" s="113">
        <f>IF(M$13="","",IF($B217="","",IFERROR($C217*$D217*SUMIFS('Dvd Calendar'!$E$410:$CZ$410,'Dvd Calendar'!$E$409:$CZ$409,"&gt;"&amp;M$12,'Dvd Calendar'!$E$409:$CZ$409,"&lt;="&amp;M$13)/AS51!$B$3,"")))</f>
        <v/>
      </c>
      <c r="N217" s="113">
        <f>IF(N$13="","",IF($B217="","",IFERROR($C217*$D217*SUMIFS('Dvd Calendar'!$E$410:$CZ$410,'Dvd Calendar'!$E$409:$CZ$409,"&gt;"&amp;N$12,'Dvd Calendar'!$E$409:$CZ$409,"&lt;="&amp;N$13)/AS51!$B$3,"")))</f>
        <v/>
      </c>
      <c r="O217" s="113">
        <f>IF(O$13="","",IF($B217="","",IFERROR($C217*$D217*SUMIFS('Dvd Calendar'!$E$410:$CZ$410,'Dvd Calendar'!$E$409:$CZ$409,"&gt;"&amp;O$12,'Dvd Calendar'!$E$409:$CZ$409,"&lt;="&amp;O$13)/AS51!$B$3,"")))</f>
        <v/>
      </c>
      <c r="P217" s="113">
        <f>IF(P$13="","",IF($B217="","",IFERROR($C217*$D217*SUMIFS('Dvd Calendar'!$E$410:$CZ$410,'Dvd Calendar'!$E$409:$CZ$409,"&gt;"&amp;P$12,'Dvd Calendar'!$E$409:$CZ$409,"&lt;="&amp;P$13)/AS51!$B$3,"")))</f>
        <v/>
      </c>
      <c r="Q217" s="113">
        <f>IF(Q$13="","",IF($B217="","",IFERROR($C217*$D217*SUMIFS('Dvd Calendar'!$E$410:$CZ$410,'Dvd Calendar'!$E$409:$CZ$409,"&gt;"&amp;Q$12,'Dvd Calendar'!$E$409:$CZ$409,"&lt;="&amp;Q$13)/AS51!$B$3,"")))</f>
        <v/>
      </c>
      <c r="R217" s="113">
        <f>IF(R$13="","",IF($B217="","",IFERROR($C217*$D217*SUMIFS('Dvd Calendar'!$E$410:$CZ$410,'Dvd Calendar'!$E$409:$CZ$409,"&gt;"&amp;R$12,'Dvd Calendar'!$E$409:$CZ$409,"&lt;="&amp;R$13)/AS51!$B$3,"")))</f>
        <v/>
      </c>
      <c r="S217" s="113">
        <f>IF(S$13="","",IF($B217="","",IFERROR($C217*$D217*SUMIFS('Dvd Calendar'!$E$410:$CZ$410,'Dvd Calendar'!$E$409:$CZ$409,"&gt;"&amp;S$12,'Dvd Calendar'!$E$409:$CZ$409,"&lt;="&amp;S$13)/AS51!$B$3,"")))</f>
        <v/>
      </c>
      <c r="T217" s="113">
        <f>IF(T$13="","",IF($B217="","",IFERROR($C217*$D217*SUMIFS('Dvd Calendar'!$E$410:$CZ$410,'Dvd Calendar'!$E$409:$CZ$409,"&gt;"&amp;T$12,'Dvd Calendar'!$E$409:$CZ$409,"&lt;="&amp;T$13)/AS51!$B$3,"")))</f>
        <v/>
      </c>
      <c r="U217" s="113">
        <f>IF(U$13="","",IF($B217="","",IFERROR($C217*$D217*SUMIFS('Dvd Calendar'!$E$410:$CZ$410,'Dvd Calendar'!$E$409:$CZ$409,"&gt;"&amp;U$12,'Dvd Calendar'!$E$409:$CZ$409,"&lt;="&amp;U$13)/AS51!$B$3,"")))</f>
        <v/>
      </c>
      <c r="W217" s="113">
        <f>IF(W$13="","",IF($B217="","",IFERROR(F217*$E217/100,"")))</f>
        <v/>
      </c>
      <c r="X217" s="113">
        <f>IF(X$13="","",IF($B217="","",IFERROR(G217*$E217/100,"")))</f>
        <v/>
      </c>
      <c r="Y217" s="113">
        <f>IF(Y$13="","",IF($B217="","",IFERROR(H217*$E217/100,"")))</f>
        <v/>
      </c>
      <c r="Z217" s="113">
        <f>IF(Z$13="","",IF($B217="","",IFERROR(I217*$E217/100,"")))</f>
        <v/>
      </c>
      <c r="AA217" s="113">
        <f>IF(AA$13="","",IF($B217="","",IFERROR(J217*$E217/100,"")))</f>
        <v/>
      </c>
      <c r="AB217" s="113">
        <f>IF(AB$13="","",IF($B217="","",IFERROR(K217*$E217/100,"")))</f>
        <v/>
      </c>
      <c r="AC217" s="113">
        <f>IF(AC$13="","",IF($B217="","",IFERROR(L217*$E217/100,"")))</f>
        <v/>
      </c>
      <c r="AD217" s="113">
        <f>IF(AD$13="","",IF($B217="","",IFERROR(M217*$E217/100,"")))</f>
        <v/>
      </c>
      <c r="AE217" s="113">
        <f>IF(AE$13="","",IF($B217="","",IFERROR(N217*$E217/100,"")))</f>
        <v/>
      </c>
      <c r="AF217" s="113">
        <f>IF(AF$13="","",IF($B217="","",IFERROR(O217*$E217/100,"")))</f>
        <v/>
      </c>
      <c r="AG217" s="113">
        <f>IF(AG$13="","",IF($B217="","",IFERROR(P217*$E217/100,"")))</f>
        <v/>
      </c>
      <c r="AH217" s="113">
        <f>IF(AH$13="","",IF($B217="","",IFERROR(Q217*$E217/100,"")))</f>
        <v/>
      </c>
      <c r="AI217" s="113">
        <f>IF(AI$13="","",IF($B217="","",IFERROR(R217*$E217/100,"")))</f>
        <v/>
      </c>
      <c r="AJ217" s="113">
        <f>IF(AJ$13="","",IF($B217="","",IFERROR(S217*$E217/100,"")))</f>
        <v/>
      </c>
      <c r="AK217" s="113">
        <f>IF(AK$13="","",IF($B217="","",IFERROR(T217*$E217/100,"")))</f>
        <v/>
      </c>
      <c r="AL217" s="113">
        <f>IF(AL$13="","",IF($B217="","",IFERROR(U217*$E217/100,"")))</f>
        <v/>
      </c>
    </row>
    <row r="218">
      <c r="B218" s="5">
        <f>IF(AS51!$C$208="","",AS51!$C$208)</f>
        <v/>
      </c>
      <c r="C218" s="86">
        <f>IF(AS51!$B$208="","",AS51!$B$208)</f>
        <v/>
      </c>
      <c r="D218" s="111">
        <f>IFERROR(AS51!$Q$208,1)</f>
        <v/>
      </c>
      <c r="E218" s="112">
        <f>IF($B218="","",IF(ISNUMBER(AS51!$I$208),AS51!$I$208,'Index Summary'!$C$7))</f>
        <v/>
      </c>
      <c r="F218" s="113">
        <f>IF(F$13="","",IF($B218="","",IFERROR($C218*$D218*SUMIFS('Dvd Calendar'!$E$412:$CZ$412,'Dvd Calendar'!$E$411:$CZ$411,"&gt;"&amp;F$12,'Dvd Calendar'!$E$411:$CZ$411,"&lt;="&amp;F$13)/AS51!$B$3,"")))</f>
        <v/>
      </c>
      <c r="G218" s="113">
        <f>IF(G$13="","",IF($B218="","",IFERROR($C218*$D218*SUMIFS('Dvd Calendar'!$E$412:$CZ$412,'Dvd Calendar'!$E$411:$CZ$411,"&gt;"&amp;G$12,'Dvd Calendar'!$E$411:$CZ$411,"&lt;="&amp;G$13)/AS51!$B$3,"")))</f>
        <v/>
      </c>
      <c r="H218" s="113">
        <f>IF(H$13="","",IF($B218="","",IFERROR($C218*$D218*SUMIFS('Dvd Calendar'!$E$412:$CZ$412,'Dvd Calendar'!$E$411:$CZ$411,"&gt;"&amp;H$12,'Dvd Calendar'!$E$411:$CZ$411,"&lt;="&amp;H$13)/AS51!$B$3,"")))</f>
        <v/>
      </c>
      <c r="I218" s="113">
        <f>IF(I$13="","",IF($B218="","",IFERROR($C218*$D218*SUMIFS('Dvd Calendar'!$E$412:$CZ$412,'Dvd Calendar'!$E$411:$CZ$411,"&gt;"&amp;I$12,'Dvd Calendar'!$E$411:$CZ$411,"&lt;="&amp;I$13)/AS51!$B$3,"")))</f>
        <v/>
      </c>
      <c r="J218" s="113">
        <f>IF(J$13="","",IF($B218="","",IFERROR($C218*$D218*SUMIFS('Dvd Calendar'!$E$412:$CZ$412,'Dvd Calendar'!$E$411:$CZ$411,"&gt;"&amp;J$12,'Dvd Calendar'!$E$411:$CZ$411,"&lt;="&amp;J$13)/AS51!$B$3,"")))</f>
        <v/>
      </c>
      <c r="K218" s="113">
        <f>IF(K$13="","",IF($B218="","",IFERROR($C218*$D218*SUMIFS('Dvd Calendar'!$E$412:$CZ$412,'Dvd Calendar'!$E$411:$CZ$411,"&gt;"&amp;K$12,'Dvd Calendar'!$E$411:$CZ$411,"&lt;="&amp;K$13)/AS51!$B$3,"")))</f>
        <v/>
      </c>
      <c r="L218" s="113">
        <f>IF(L$13="","",IF($B218="","",IFERROR($C218*$D218*SUMIFS('Dvd Calendar'!$E$412:$CZ$412,'Dvd Calendar'!$E$411:$CZ$411,"&gt;"&amp;L$12,'Dvd Calendar'!$E$411:$CZ$411,"&lt;="&amp;L$13)/AS51!$B$3,"")))</f>
        <v/>
      </c>
      <c r="M218" s="113">
        <f>IF(M$13="","",IF($B218="","",IFERROR($C218*$D218*SUMIFS('Dvd Calendar'!$E$412:$CZ$412,'Dvd Calendar'!$E$411:$CZ$411,"&gt;"&amp;M$12,'Dvd Calendar'!$E$411:$CZ$411,"&lt;="&amp;M$13)/AS51!$B$3,"")))</f>
        <v/>
      </c>
      <c r="N218" s="113">
        <f>IF(N$13="","",IF($B218="","",IFERROR($C218*$D218*SUMIFS('Dvd Calendar'!$E$412:$CZ$412,'Dvd Calendar'!$E$411:$CZ$411,"&gt;"&amp;N$12,'Dvd Calendar'!$E$411:$CZ$411,"&lt;="&amp;N$13)/AS51!$B$3,"")))</f>
        <v/>
      </c>
      <c r="O218" s="113">
        <f>IF(O$13="","",IF($B218="","",IFERROR($C218*$D218*SUMIFS('Dvd Calendar'!$E$412:$CZ$412,'Dvd Calendar'!$E$411:$CZ$411,"&gt;"&amp;O$12,'Dvd Calendar'!$E$411:$CZ$411,"&lt;="&amp;O$13)/AS51!$B$3,"")))</f>
        <v/>
      </c>
      <c r="P218" s="113">
        <f>IF(P$13="","",IF($B218="","",IFERROR($C218*$D218*SUMIFS('Dvd Calendar'!$E$412:$CZ$412,'Dvd Calendar'!$E$411:$CZ$411,"&gt;"&amp;P$12,'Dvd Calendar'!$E$411:$CZ$411,"&lt;="&amp;P$13)/AS51!$B$3,"")))</f>
        <v/>
      </c>
      <c r="Q218" s="113">
        <f>IF(Q$13="","",IF($B218="","",IFERROR($C218*$D218*SUMIFS('Dvd Calendar'!$E$412:$CZ$412,'Dvd Calendar'!$E$411:$CZ$411,"&gt;"&amp;Q$12,'Dvd Calendar'!$E$411:$CZ$411,"&lt;="&amp;Q$13)/AS51!$B$3,"")))</f>
        <v/>
      </c>
      <c r="R218" s="113">
        <f>IF(R$13="","",IF($B218="","",IFERROR($C218*$D218*SUMIFS('Dvd Calendar'!$E$412:$CZ$412,'Dvd Calendar'!$E$411:$CZ$411,"&gt;"&amp;R$12,'Dvd Calendar'!$E$411:$CZ$411,"&lt;="&amp;R$13)/AS51!$B$3,"")))</f>
        <v/>
      </c>
      <c r="S218" s="113">
        <f>IF(S$13="","",IF($B218="","",IFERROR($C218*$D218*SUMIFS('Dvd Calendar'!$E$412:$CZ$412,'Dvd Calendar'!$E$411:$CZ$411,"&gt;"&amp;S$12,'Dvd Calendar'!$E$411:$CZ$411,"&lt;="&amp;S$13)/AS51!$B$3,"")))</f>
        <v/>
      </c>
      <c r="T218" s="113">
        <f>IF(T$13="","",IF($B218="","",IFERROR($C218*$D218*SUMIFS('Dvd Calendar'!$E$412:$CZ$412,'Dvd Calendar'!$E$411:$CZ$411,"&gt;"&amp;T$12,'Dvd Calendar'!$E$411:$CZ$411,"&lt;="&amp;T$13)/AS51!$B$3,"")))</f>
        <v/>
      </c>
      <c r="U218" s="113">
        <f>IF(U$13="","",IF($B218="","",IFERROR($C218*$D218*SUMIFS('Dvd Calendar'!$E$412:$CZ$412,'Dvd Calendar'!$E$411:$CZ$411,"&gt;"&amp;U$12,'Dvd Calendar'!$E$411:$CZ$411,"&lt;="&amp;U$13)/AS51!$B$3,"")))</f>
        <v/>
      </c>
      <c r="W218" s="113">
        <f>IF(W$13="","",IF($B218="","",IFERROR(F218*$E218/100,"")))</f>
        <v/>
      </c>
      <c r="X218" s="113">
        <f>IF(X$13="","",IF($B218="","",IFERROR(G218*$E218/100,"")))</f>
        <v/>
      </c>
      <c r="Y218" s="113">
        <f>IF(Y$13="","",IF($B218="","",IFERROR(H218*$E218/100,"")))</f>
        <v/>
      </c>
      <c r="Z218" s="113">
        <f>IF(Z$13="","",IF($B218="","",IFERROR(I218*$E218/100,"")))</f>
        <v/>
      </c>
      <c r="AA218" s="113">
        <f>IF(AA$13="","",IF($B218="","",IFERROR(J218*$E218/100,"")))</f>
        <v/>
      </c>
      <c r="AB218" s="113">
        <f>IF(AB$13="","",IF($B218="","",IFERROR(K218*$E218/100,"")))</f>
        <v/>
      </c>
      <c r="AC218" s="113">
        <f>IF(AC$13="","",IF($B218="","",IFERROR(L218*$E218/100,"")))</f>
        <v/>
      </c>
      <c r="AD218" s="113">
        <f>IF(AD$13="","",IF($B218="","",IFERROR(M218*$E218/100,"")))</f>
        <v/>
      </c>
      <c r="AE218" s="113">
        <f>IF(AE$13="","",IF($B218="","",IFERROR(N218*$E218/100,"")))</f>
        <v/>
      </c>
      <c r="AF218" s="113">
        <f>IF(AF$13="","",IF($B218="","",IFERROR(O218*$E218/100,"")))</f>
        <v/>
      </c>
      <c r="AG218" s="113">
        <f>IF(AG$13="","",IF($B218="","",IFERROR(P218*$E218/100,"")))</f>
        <v/>
      </c>
      <c r="AH218" s="113">
        <f>IF(AH$13="","",IF($B218="","",IFERROR(Q218*$E218/100,"")))</f>
        <v/>
      </c>
      <c r="AI218" s="113">
        <f>IF(AI$13="","",IF($B218="","",IFERROR(R218*$E218/100,"")))</f>
        <v/>
      </c>
      <c r="AJ218" s="113">
        <f>IF(AJ$13="","",IF($B218="","",IFERROR(S218*$E218/100,"")))</f>
        <v/>
      </c>
      <c r="AK218" s="113">
        <f>IF(AK$13="","",IF($B218="","",IFERROR(T218*$E218/100,"")))</f>
        <v/>
      </c>
      <c r="AL218" s="113">
        <f>IF(AL$13="","",IF($B218="","",IFERROR(U218*$E218/100,"")))</f>
        <v/>
      </c>
    </row>
    <row r="219">
      <c r="B219" s="5">
        <f>IF(AS51!$C$209="","",AS51!$C$209)</f>
        <v/>
      </c>
      <c r="C219" s="86">
        <f>IF(AS51!$B$209="","",AS51!$B$209)</f>
        <v/>
      </c>
      <c r="D219" s="111">
        <f>IFERROR(AS51!$Q$209,1)</f>
        <v/>
      </c>
      <c r="E219" s="112">
        <f>IF($B219="","",IF(ISNUMBER(AS51!$I$209),AS51!$I$209,'Index Summary'!$C$7))</f>
        <v/>
      </c>
      <c r="F219" s="113">
        <f>IF(F$13="","",IF($B219="","",IFERROR($C219*$D219*SUMIFS('Dvd Calendar'!$E$414:$CZ$414,'Dvd Calendar'!$E$413:$CZ$413,"&gt;"&amp;F$12,'Dvd Calendar'!$E$413:$CZ$413,"&lt;="&amp;F$13)/AS51!$B$3,"")))</f>
        <v/>
      </c>
      <c r="G219" s="113">
        <f>IF(G$13="","",IF($B219="","",IFERROR($C219*$D219*SUMIFS('Dvd Calendar'!$E$414:$CZ$414,'Dvd Calendar'!$E$413:$CZ$413,"&gt;"&amp;G$12,'Dvd Calendar'!$E$413:$CZ$413,"&lt;="&amp;G$13)/AS51!$B$3,"")))</f>
        <v/>
      </c>
      <c r="H219" s="113">
        <f>IF(H$13="","",IF($B219="","",IFERROR($C219*$D219*SUMIFS('Dvd Calendar'!$E$414:$CZ$414,'Dvd Calendar'!$E$413:$CZ$413,"&gt;"&amp;H$12,'Dvd Calendar'!$E$413:$CZ$413,"&lt;="&amp;H$13)/AS51!$B$3,"")))</f>
        <v/>
      </c>
      <c r="I219" s="113">
        <f>IF(I$13="","",IF($B219="","",IFERROR($C219*$D219*SUMIFS('Dvd Calendar'!$E$414:$CZ$414,'Dvd Calendar'!$E$413:$CZ$413,"&gt;"&amp;I$12,'Dvd Calendar'!$E$413:$CZ$413,"&lt;="&amp;I$13)/AS51!$B$3,"")))</f>
        <v/>
      </c>
      <c r="J219" s="113">
        <f>IF(J$13="","",IF($B219="","",IFERROR($C219*$D219*SUMIFS('Dvd Calendar'!$E$414:$CZ$414,'Dvd Calendar'!$E$413:$CZ$413,"&gt;"&amp;J$12,'Dvd Calendar'!$E$413:$CZ$413,"&lt;="&amp;J$13)/AS51!$B$3,"")))</f>
        <v/>
      </c>
      <c r="K219" s="113">
        <f>IF(K$13="","",IF($B219="","",IFERROR($C219*$D219*SUMIFS('Dvd Calendar'!$E$414:$CZ$414,'Dvd Calendar'!$E$413:$CZ$413,"&gt;"&amp;K$12,'Dvd Calendar'!$E$413:$CZ$413,"&lt;="&amp;K$13)/AS51!$B$3,"")))</f>
        <v/>
      </c>
      <c r="L219" s="113">
        <f>IF(L$13="","",IF($B219="","",IFERROR($C219*$D219*SUMIFS('Dvd Calendar'!$E$414:$CZ$414,'Dvd Calendar'!$E$413:$CZ$413,"&gt;"&amp;L$12,'Dvd Calendar'!$E$413:$CZ$413,"&lt;="&amp;L$13)/AS51!$B$3,"")))</f>
        <v/>
      </c>
      <c r="M219" s="113">
        <f>IF(M$13="","",IF($B219="","",IFERROR($C219*$D219*SUMIFS('Dvd Calendar'!$E$414:$CZ$414,'Dvd Calendar'!$E$413:$CZ$413,"&gt;"&amp;M$12,'Dvd Calendar'!$E$413:$CZ$413,"&lt;="&amp;M$13)/AS51!$B$3,"")))</f>
        <v/>
      </c>
      <c r="N219" s="113">
        <f>IF(N$13="","",IF($B219="","",IFERROR($C219*$D219*SUMIFS('Dvd Calendar'!$E$414:$CZ$414,'Dvd Calendar'!$E$413:$CZ$413,"&gt;"&amp;N$12,'Dvd Calendar'!$E$413:$CZ$413,"&lt;="&amp;N$13)/AS51!$B$3,"")))</f>
        <v/>
      </c>
      <c r="O219" s="113">
        <f>IF(O$13="","",IF($B219="","",IFERROR($C219*$D219*SUMIFS('Dvd Calendar'!$E$414:$CZ$414,'Dvd Calendar'!$E$413:$CZ$413,"&gt;"&amp;O$12,'Dvd Calendar'!$E$413:$CZ$413,"&lt;="&amp;O$13)/AS51!$B$3,"")))</f>
        <v/>
      </c>
      <c r="P219" s="113">
        <f>IF(P$13="","",IF($B219="","",IFERROR($C219*$D219*SUMIFS('Dvd Calendar'!$E$414:$CZ$414,'Dvd Calendar'!$E$413:$CZ$413,"&gt;"&amp;P$12,'Dvd Calendar'!$E$413:$CZ$413,"&lt;="&amp;P$13)/AS51!$B$3,"")))</f>
        <v/>
      </c>
      <c r="Q219" s="113">
        <f>IF(Q$13="","",IF($B219="","",IFERROR($C219*$D219*SUMIFS('Dvd Calendar'!$E$414:$CZ$414,'Dvd Calendar'!$E$413:$CZ$413,"&gt;"&amp;Q$12,'Dvd Calendar'!$E$413:$CZ$413,"&lt;="&amp;Q$13)/AS51!$B$3,"")))</f>
        <v/>
      </c>
      <c r="R219" s="113">
        <f>IF(R$13="","",IF($B219="","",IFERROR($C219*$D219*SUMIFS('Dvd Calendar'!$E$414:$CZ$414,'Dvd Calendar'!$E$413:$CZ$413,"&gt;"&amp;R$12,'Dvd Calendar'!$E$413:$CZ$413,"&lt;="&amp;R$13)/AS51!$B$3,"")))</f>
        <v/>
      </c>
      <c r="S219" s="113">
        <f>IF(S$13="","",IF($B219="","",IFERROR($C219*$D219*SUMIFS('Dvd Calendar'!$E$414:$CZ$414,'Dvd Calendar'!$E$413:$CZ$413,"&gt;"&amp;S$12,'Dvd Calendar'!$E$413:$CZ$413,"&lt;="&amp;S$13)/AS51!$B$3,"")))</f>
        <v/>
      </c>
      <c r="T219" s="113">
        <f>IF(T$13="","",IF($B219="","",IFERROR($C219*$D219*SUMIFS('Dvd Calendar'!$E$414:$CZ$414,'Dvd Calendar'!$E$413:$CZ$413,"&gt;"&amp;T$12,'Dvd Calendar'!$E$413:$CZ$413,"&lt;="&amp;T$13)/AS51!$B$3,"")))</f>
        <v/>
      </c>
      <c r="U219" s="113">
        <f>IF(U$13="","",IF($B219="","",IFERROR($C219*$D219*SUMIFS('Dvd Calendar'!$E$414:$CZ$414,'Dvd Calendar'!$E$413:$CZ$413,"&gt;"&amp;U$12,'Dvd Calendar'!$E$413:$CZ$413,"&lt;="&amp;U$13)/AS51!$B$3,"")))</f>
        <v/>
      </c>
      <c r="W219" s="113">
        <f>IF(W$13="","",IF($B219="","",IFERROR(F219*$E219/100,"")))</f>
        <v/>
      </c>
      <c r="X219" s="113">
        <f>IF(X$13="","",IF($B219="","",IFERROR(G219*$E219/100,"")))</f>
        <v/>
      </c>
      <c r="Y219" s="113">
        <f>IF(Y$13="","",IF($B219="","",IFERROR(H219*$E219/100,"")))</f>
        <v/>
      </c>
      <c r="Z219" s="113">
        <f>IF(Z$13="","",IF($B219="","",IFERROR(I219*$E219/100,"")))</f>
        <v/>
      </c>
      <c r="AA219" s="113">
        <f>IF(AA$13="","",IF($B219="","",IFERROR(J219*$E219/100,"")))</f>
        <v/>
      </c>
      <c r="AB219" s="113">
        <f>IF(AB$13="","",IF($B219="","",IFERROR(K219*$E219/100,"")))</f>
        <v/>
      </c>
      <c r="AC219" s="113">
        <f>IF(AC$13="","",IF($B219="","",IFERROR(L219*$E219/100,"")))</f>
        <v/>
      </c>
      <c r="AD219" s="113">
        <f>IF(AD$13="","",IF($B219="","",IFERROR(M219*$E219/100,"")))</f>
        <v/>
      </c>
      <c r="AE219" s="113">
        <f>IF(AE$13="","",IF($B219="","",IFERROR(N219*$E219/100,"")))</f>
        <v/>
      </c>
      <c r="AF219" s="113">
        <f>IF(AF$13="","",IF($B219="","",IFERROR(O219*$E219/100,"")))</f>
        <v/>
      </c>
      <c r="AG219" s="113">
        <f>IF(AG$13="","",IF($B219="","",IFERROR(P219*$E219/100,"")))</f>
        <v/>
      </c>
      <c r="AH219" s="113">
        <f>IF(AH$13="","",IF($B219="","",IFERROR(Q219*$E219/100,"")))</f>
        <v/>
      </c>
      <c r="AI219" s="113">
        <f>IF(AI$13="","",IF($B219="","",IFERROR(R219*$E219/100,"")))</f>
        <v/>
      </c>
      <c r="AJ219" s="113">
        <f>IF(AJ$13="","",IF($B219="","",IFERROR(S219*$E219/100,"")))</f>
        <v/>
      </c>
      <c r="AK219" s="113">
        <f>IF(AK$13="","",IF($B219="","",IFERROR(T219*$E219/100,"")))</f>
        <v/>
      </c>
      <c r="AL219" s="113">
        <f>IF(AL$13="","",IF($B219="","",IFERROR(U219*$E219/100,"")))</f>
        <v/>
      </c>
    </row>
    <row r="220">
      <c r="B220" s="5">
        <f>IF(AS51!$C$210="","",AS51!$C$210)</f>
        <v/>
      </c>
      <c r="C220" s="86">
        <f>IF(AS51!$B$210="","",AS51!$B$210)</f>
        <v/>
      </c>
      <c r="D220" s="111">
        <f>IFERROR(AS51!$Q$210,1)</f>
        <v/>
      </c>
      <c r="E220" s="112">
        <f>IF($B220="","",IF(ISNUMBER(AS51!$I$210),AS51!$I$210,'Index Summary'!$C$7))</f>
        <v/>
      </c>
      <c r="F220" s="113">
        <f>IF(F$13="","",IF($B220="","",IFERROR($C220*$D220*SUMIFS('Dvd Calendar'!$E$416:$CZ$416,'Dvd Calendar'!$E$415:$CZ$415,"&gt;"&amp;F$12,'Dvd Calendar'!$E$415:$CZ$415,"&lt;="&amp;F$13)/AS51!$B$3,"")))</f>
        <v/>
      </c>
      <c r="G220" s="113">
        <f>IF(G$13="","",IF($B220="","",IFERROR($C220*$D220*SUMIFS('Dvd Calendar'!$E$416:$CZ$416,'Dvd Calendar'!$E$415:$CZ$415,"&gt;"&amp;G$12,'Dvd Calendar'!$E$415:$CZ$415,"&lt;="&amp;G$13)/AS51!$B$3,"")))</f>
        <v/>
      </c>
      <c r="H220" s="113">
        <f>IF(H$13="","",IF($B220="","",IFERROR($C220*$D220*SUMIFS('Dvd Calendar'!$E$416:$CZ$416,'Dvd Calendar'!$E$415:$CZ$415,"&gt;"&amp;H$12,'Dvd Calendar'!$E$415:$CZ$415,"&lt;="&amp;H$13)/AS51!$B$3,"")))</f>
        <v/>
      </c>
      <c r="I220" s="113">
        <f>IF(I$13="","",IF($B220="","",IFERROR($C220*$D220*SUMIFS('Dvd Calendar'!$E$416:$CZ$416,'Dvd Calendar'!$E$415:$CZ$415,"&gt;"&amp;I$12,'Dvd Calendar'!$E$415:$CZ$415,"&lt;="&amp;I$13)/AS51!$B$3,"")))</f>
        <v/>
      </c>
      <c r="J220" s="113">
        <f>IF(J$13="","",IF($B220="","",IFERROR($C220*$D220*SUMIFS('Dvd Calendar'!$E$416:$CZ$416,'Dvd Calendar'!$E$415:$CZ$415,"&gt;"&amp;J$12,'Dvd Calendar'!$E$415:$CZ$415,"&lt;="&amp;J$13)/AS51!$B$3,"")))</f>
        <v/>
      </c>
      <c r="K220" s="113">
        <f>IF(K$13="","",IF($B220="","",IFERROR($C220*$D220*SUMIFS('Dvd Calendar'!$E$416:$CZ$416,'Dvd Calendar'!$E$415:$CZ$415,"&gt;"&amp;K$12,'Dvd Calendar'!$E$415:$CZ$415,"&lt;="&amp;K$13)/AS51!$B$3,"")))</f>
        <v/>
      </c>
      <c r="L220" s="113">
        <f>IF(L$13="","",IF($B220="","",IFERROR($C220*$D220*SUMIFS('Dvd Calendar'!$E$416:$CZ$416,'Dvd Calendar'!$E$415:$CZ$415,"&gt;"&amp;L$12,'Dvd Calendar'!$E$415:$CZ$415,"&lt;="&amp;L$13)/AS51!$B$3,"")))</f>
        <v/>
      </c>
      <c r="M220" s="113">
        <f>IF(M$13="","",IF($B220="","",IFERROR($C220*$D220*SUMIFS('Dvd Calendar'!$E$416:$CZ$416,'Dvd Calendar'!$E$415:$CZ$415,"&gt;"&amp;M$12,'Dvd Calendar'!$E$415:$CZ$415,"&lt;="&amp;M$13)/AS51!$B$3,"")))</f>
        <v/>
      </c>
      <c r="N220" s="113">
        <f>IF(N$13="","",IF($B220="","",IFERROR($C220*$D220*SUMIFS('Dvd Calendar'!$E$416:$CZ$416,'Dvd Calendar'!$E$415:$CZ$415,"&gt;"&amp;N$12,'Dvd Calendar'!$E$415:$CZ$415,"&lt;="&amp;N$13)/AS51!$B$3,"")))</f>
        <v/>
      </c>
      <c r="O220" s="113">
        <f>IF(O$13="","",IF($B220="","",IFERROR($C220*$D220*SUMIFS('Dvd Calendar'!$E$416:$CZ$416,'Dvd Calendar'!$E$415:$CZ$415,"&gt;"&amp;O$12,'Dvd Calendar'!$E$415:$CZ$415,"&lt;="&amp;O$13)/AS51!$B$3,"")))</f>
        <v/>
      </c>
      <c r="P220" s="113">
        <f>IF(P$13="","",IF($B220="","",IFERROR($C220*$D220*SUMIFS('Dvd Calendar'!$E$416:$CZ$416,'Dvd Calendar'!$E$415:$CZ$415,"&gt;"&amp;P$12,'Dvd Calendar'!$E$415:$CZ$415,"&lt;="&amp;P$13)/AS51!$B$3,"")))</f>
        <v/>
      </c>
      <c r="Q220" s="113">
        <f>IF(Q$13="","",IF($B220="","",IFERROR($C220*$D220*SUMIFS('Dvd Calendar'!$E$416:$CZ$416,'Dvd Calendar'!$E$415:$CZ$415,"&gt;"&amp;Q$12,'Dvd Calendar'!$E$415:$CZ$415,"&lt;="&amp;Q$13)/AS51!$B$3,"")))</f>
        <v/>
      </c>
      <c r="R220" s="113">
        <f>IF(R$13="","",IF($B220="","",IFERROR($C220*$D220*SUMIFS('Dvd Calendar'!$E$416:$CZ$416,'Dvd Calendar'!$E$415:$CZ$415,"&gt;"&amp;R$12,'Dvd Calendar'!$E$415:$CZ$415,"&lt;="&amp;R$13)/AS51!$B$3,"")))</f>
        <v/>
      </c>
      <c r="S220" s="113">
        <f>IF(S$13="","",IF($B220="","",IFERROR($C220*$D220*SUMIFS('Dvd Calendar'!$E$416:$CZ$416,'Dvd Calendar'!$E$415:$CZ$415,"&gt;"&amp;S$12,'Dvd Calendar'!$E$415:$CZ$415,"&lt;="&amp;S$13)/AS51!$B$3,"")))</f>
        <v/>
      </c>
      <c r="T220" s="113">
        <f>IF(T$13="","",IF($B220="","",IFERROR($C220*$D220*SUMIFS('Dvd Calendar'!$E$416:$CZ$416,'Dvd Calendar'!$E$415:$CZ$415,"&gt;"&amp;T$12,'Dvd Calendar'!$E$415:$CZ$415,"&lt;="&amp;T$13)/AS51!$B$3,"")))</f>
        <v/>
      </c>
      <c r="U220" s="113">
        <f>IF(U$13="","",IF($B220="","",IFERROR($C220*$D220*SUMIFS('Dvd Calendar'!$E$416:$CZ$416,'Dvd Calendar'!$E$415:$CZ$415,"&gt;"&amp;U$12,'Dvd Calendar'!$E$415:$CZ$415,"&lt;="&amp;U$13)/AS51!$B$3,"")))</f>
        <v/>
      </c>
      <c r="W220" s="113">
        <f>IF(W$13="","",IF($B220="","",IFERROR(F220*$E220/100,"")))</f>
        <v/>
      </c>
      <c r="X220" s="113">
        <f>IF(X$13="","",IF($B220="","",IFERROR(G220*$E220/100,"")))</f>
        <v/>
      </c>
      <c r="Y220" s="113">
        <f>IF(Y$13="","",IF($B220="","",IFERROR(H220*$E220/100,"")))</f>
        <v/>
      </c>
      <c r="Z220" s="113">
        <f>IF(Z$13="","",IF($B220="","",IFERROR(I220*$E220/100,"")))</f>
        <v/>
      </c>
      <c r="AA220" s="113">
        <f>IF(AA$13="","",IF($B220="","",IFERROR(J220*$E220/100,"")))</f>
        <v/>
      </c>
      <c r="AB220" s="113">
        <f>IF(AB$13="","",IF($B220="","",IFERROR(K220*$E220/100,"")))</f>
        <v/>
      </c>
      <c r="AC220" s="113">
        <f>IF(AC$13="","",IF($B220="","",IFERROR(L220*$E220/100,"")))</f>
        <v/>
      </c>
      <c r="AD220" s="113">
        <f>IF(AD$13="","",IF($B220="","",IFERROR(M220*$E220/100,"")))</f>
        <v/>
      </c>
      <c r="AE220" s="113">
        <f>IF(AE$13="","",IF($B220="","",IFERROR(N220*$E220/100,"")))</f>
        <v/>
      </c>
      <c r="AF220" s="113">
        <f>IF(AF$13="","",IF($B220="","",IFERROR(O220*$E220/100,"")))</f>
        <v/>
      </c>
      <c r="AG220" s="113">
        <f>IF(AG$13="","",IF($B220="","",IFERROR(P220*$E220/100,"")))</f>
        <v/>
      </c>
      <c r="AH220" s="113">
        <f>IF(AH$13="","",IF($B220="","",IFERROR(Q220*$E220/100,"")))</f>
        <v/>
      </c>
      <c r="AI220" s="113">
        <f>IF(AI$13="","",IF($B220="","",IFERROR(R220*$E220/100,"")))</f>
        <v/>
      </c>
      <c r="AJ220" s="113">
        <f>IF(AJ$13="","",IF($B220="","",IFERROR(S220*$E220/100,"")))</f>
        <v/>
      </c>
      <c r="AK220" s="113">
        <f>IF(AK$13="","",IF($B220="","",IFERROR(T220*$E220/100,"")))</f>
        <v/>
      </c>
      <c r="AL220" s="113">
        <f>IF(AL$13="","",IF($B220="","",IFERROR(U220*$E220/100,"")))</f>
        <v/>
      </c>
    </row>
    <row r="221">
      <c r="B221" s="3" t="inlineStr">
        <is>
          <t>TOTAL (index pts)</t>
        </is>
      </c>
      <c r="F221" s="114">
        <f>IFERROR(SUM(F16:F220),"")</f>
        <v/>
      </c>
      <c r="G221" s="114">
        <f>IFERROR(SUM(G16:G220),"")</f>
        <v/>
      </c>
      <c r="H221" s="114">
        <f>IFERROR(SUM(H16:H220),"")</f>
        <v/>
      </c>
      <c r="I221" s="114">
        <f>IFERROR(SUM(I16:I220),"")</f>
        <v/>
      </c>
      <c r="J221" s="114">
        <f>IFERROR(SUM(J16:J220),"")</f>
        <v/>
      </c>
      <c r="K221" s="114">
        <f>IFERROR(SUM(K16:K220),"")</f>
        <v/>
      </c>
      <c r="L221" s="114">
        <f>IFERROR(SUM(L16:L220),"")</f>
        <v/>
      </c>
      <c r="M221" s="114">
        <f>IFERROR(SUM(M16:M220),"")</f>
        <v/>
      </c>
      <c r="N221" s="114">
        <f>IFERROR(SUM(N16:N220),"")</f>
        <v/>
      </c>
      <c r="O221" s="114">
        <f>IFERROR(SUM(O16:O220),"")</f>
        <v/>
      </c>
      <c r="P221" s="114">
        <f>IFERROR(SUM(P16:P220),"")</f>
        <v/>
      </c>
      <c r="Q221" s="114">
        <f>IFERROR(SUM(Q16:Q220),"")</f>
        <v/>
      </c>
      <c r="R221" s="114">
        <f>IFERROR(SUM(R16:R220),"")</f>
        <v/>
      </c>
      <c r="S221" s="114">
        <f>IFERROR(SUM(S16:S220),"")</f>
        <v/>
      </c>
      <c r="T221" s="114">
        <f>IFERROR(SUM(T16:T220),"")</f>
        <v/>
      </c>
      <c r="U221" s="114">
        <f>IFERROR(SUM(U16:U220),"")</f>
        <v/>
      </c>
      <c r="W221" s="114">
        <f>IFERROR(SUM(W16:W220),"")</f>
        <v/>
      </c>
      <c r="X221" s="114">
        <f>IFERROR(SUM(X16:X220),"")</f>
        <v/>
      </c>
      <c r="Y221" s="114">
        <f>IFERROR(SUM(Y16:Y220),"")</f>
        <v/>
      </c>
      <c r="Z221" s="114">
        <f>IFERROR(SUM(Z16:Z220),"")</f>
        <v/>
      </c>
      <c r="AA221" s="114">
        <f>IFERROR(SUM(AA16:AA220),"")</f>
        <v/>
      </c>
      <c r="AB221" s="114">
        <f>IFERROR(SUM(AB16:AB220),"")</f>
        <v/>
      </c>
      <c r="AC221" s="114">
        <f>IFERROR(SUM(AC16:AC220),"")</f>
        <v/>
      </c>
      <c r="AD221" s="114">
        <f>IFERROR(SUM(AD16:AD220),"")</f>
        <v/>
      </c>
      <c r="AE221" s="114">
        <f>IFERROR(SUM(AE16:AE220),"")</f>
        <v/>
      </c>
      <c r="AF221" s="114">
        <f>IFERROR(SUM(AF16:AF220),"")</f>
        <v/>
      </c>
      <c r="AG221" s="114">
        <f>IFERROR(SUM(AG16:AG220),"")</f>
        <v/>
      </c>
      <c r="AH221" s="114">
        <f>IFERROR(SUM(AH16:AH220),"")</f>
        <v/>
      </c>
      <c r="AI221" s="114">
        <f>IFERROR(SUM(AI16:AI220),"")</f>
        <v/>
      </c>
      <c r="AJ221" s="114">
        <f>IFERROR(SUM(AJ16:AJ220),"")</f>
        <v/>
      </c>
      <c r="AK221" s="114">
        <f>IFERROR(SUM(AK16:AK220),"")</f>
        <v/>
      </c>
      <c r="AL221" s="114">
        <f>IFERROR(SUM(AL16:AL220),"")</f>
        <v/>
      </c>
    </row>
    <row r="224">
      <c r="B224" s="3" t="inlineStr">
        <is>
          <t>MSCI Australia (MXAU)</t>
        </is>
      </c>
      <c r="F224" s="3" t="inlineStr">
        <is>
          <t>GROSS DIVIDEND (index pts)</t>
        </is>
      </c>
      <c r="W224" s="4" t="inlineStr">
        <is>
          <t>FRANKED PORTION (index pts)</t>
        </is>
      </c>
    </row>
    <row r="225">
      <c r="B225" s="2" t="inlineStr">
        <is>
          <t>window start</t>
        </is>
      </c>
      <c r="F225" s="109">
        <f>IF(Expiries!$B16="","",Expiries!$K16)</f>
        <v/>
      </c>
      <c r="G225" s="109">
        <f>IF(Expiries!$B17="","",Expiries!$K17)</f>
        <v/>
      </c>
      <c r="H225" s="109">
        <f>IF(Expiries!$B18="","",Expiries!$K18)</f>
        <v/>
      </c>
      <c r="I225" s="109">
        <f>IF(Expiries!$B19="","",Expiries!$K19)</f>
        <v/>
      </c>
      <c r="J225" s="109">
        <f>IF(Expiries!$B20="","",Expiries!$K20)</f>
        <v/>
      </c>
      <c r="K225" s="109">
        <f>IF(Expiries!$B21="","",Expiries!$K21)</f>
        <v/>
      </c>
      <c r="L225" s="109">
        <f>IF(Expiries!$B22="","",Expiries!$K22)</f>
        <v/>
      </c>
      <c r="M225" s="109">
        <f>IF(Expiries!$B23="","",Expiries!$K23)</f>
        <v/>
      </c>
      <c r="N225" s="109">
        <f>IF(Expiries!$B24="","",Expiries!$K24)</f>
        <v/>
      </c>
      <c r="O225" s="109">
        <f>IF(Expiries!$B25="","",Expiries!$K25)</f>
        <v/>
      </c>
      <c r="P225" s="109">
        <f>IF(Expiries!$B26="","",Expiries!$K26)</f>
        <v/>
      </c>
      <c r="Q225" s="109">
        <f>IF(Expiries!$B27="","",Expiries!$K27)</f>
        <v/>
      </c>
      <c r="R225" s="109">
        <f>IF(Expiries!$B28="","",Expiries!$K28)</f>
        <v/>
      </c>
      <c r="S225" s="109">
        <f>IF(Expiries!$B29="","",Expiries!$K29)</f>
        <v/>
      </c>
      <c r="T225" s="109">
        <f>IF(Expiries!$B30="","",Expiries!$K30)</f>
        <v/>
      </c>
      <c r="U225" s="109">
        <f>IF(Expiries!$B31="","",Expiries!$K31)</f>
        <v/>
      </c>
      <c r="W225" s="109">
        <f>IF(Expiries!$B16="","",Expiries!$K16)</f>
        <v/>
      </c>
      <c r="X225" s="109">
        <f>IF(Expiries!$B17="","",Expiries!$K17)</f>
        <v/>
      </c>
      <c r="Y225" s="109">
        <f>IF(Expiries!$B18="","",Expiries!$K18)</f>
        <v/>
      </c>
      <c r="Z225" s="109">
        <f>IF(Expiries!$B19="","",Expiries!$K19)</f>
        <v/>
      </c>
      <c r="AA225" s="109">
        <f>IF(Expiries!$B20="","",Expiries!$K20)</f>
        <v/>
      </c>
      <c r="AB225" s="109">
        <f>IF(Expiries!$B21="","",Expiries!$K21)</f>
        <v/>
      </c>
      <c r="AC225" s="109">
        <f>IF(Expiries!$B22="","",Expiries!$K22)</f>
        <v/>
      </c>
      <c r="AD225" s="109">
        <f>IF(Expiries!$B23="","",Expiries!$K23)</f>
        <v/>
      </c>
      <c r="AE225" s="109">
        <f>IF(Expiries!$B24="","",Expiries!$K24)</f>
        <v/>
      </c>
      <c r="AF225" s="109">
        <f>IF(Expiries!$B25="","",Expiries!$K25)</f>
        <v/>
      </c>
      <c r="AG225" s="109">
        <f>IF(Expiries!$B26="","",Expiries!$K26)</f>
        <v/>
      </c>
      <c r="AH225" s="109">
        <f>IF(Expiries!$B27="","",Expiries!$K27)</f>
        <v/>
      </c>
      <c r="AI225" s="109">
        <f>IF(Expiries!$B28="","",Expiries!$K28)</f>
        <v/>
      </c>
      <c r="AJ225" s="109">
        <f>IF(Expiries!$B29="","",Expiries!$K29)</f>
        <v/>
      </c>
      <c r="AK225" s="109">
        <f>IF(Expiries!$B30="","",Expiries!$K30)</f>
        <v/>
      </c>
      <c r="AL225" s="109">
        <f>IF(Expiries!$B31="","",Expiries!$K31)</f>
        <v/>
      </c>
    </row>
    <row r="226">
      <c r="B226" s="3" t="inlineStr">
        <is>
          <t>expiry</t>
        </is>
      </c>
      <c r="F226" s="110">
        <f>IF(Expiries!$B16="","",Expiries!$I16)</f>
        <v/>
      </c>
      <c r="G226" s="110">
        <f>IF(Expiries!$B17="","",Expiries!$I17)</f>
        <v/>
      </c>
      <c r="H226" s="110">
        <f>IF(Expiries!$B18="","",Expiries!$I18)</f>
        <v/>
      </c>
      <c r="I226" s="110">
        <f>IF(Expiries!$B19="","",Expiries!$I19)</f>
        <v/>
      </c>
      <c r="J226" s="110">
        <f>IF(Expiries!$B20="","",Expiries!$I20)</f>
        <v/>
      </c>
      <c r="K226" s="110">
        <f>IF(Expiries!$B21="","",Expiries!$I21)</f>
        <v/>
      </c>
      <c r="L226" s="110">
        <f>IF(Expiries!$B22="","",Expiries!$I22)</f>
        <v/>
      </c>
      <c r="M226" s="110">
        <f>IF(Expiries!$B23="","",Expiries!$I23)</f>
        <v/>
      </c>
      <c r="N226" s="110">
        <f>IF(Expiries!$B24="","",Expiries!$I24)</f>
        <v/>
      </c>
      <c r="O226" s="110">
        <f>IF(Expiries!$B25="","",Expiries!$I25)</f>
        <v/>
      </c>
      <c r="P226" s="110">
        <f>IF(Expiries!$B26="","",Expiries!$I26)</f>
        <v/>
      </c>
      <c r="Q226" s="110">
        <f>IF(Expiries!$B27="","",Expiries!$I27)</f>
        <v/>
      </c>
      <c r="R226" s="110">
        <f>IF(Expiries!$B28="","",Expiries!$I28)</f>
        <v/>
      </c>
      <c r="S226" s="110">
        <f>IF(Expiries!$B29="","",Expiries!$I29)</f>
        <v/>
      </c>
      <c r="T226" s="110">
        <f>IF(Expiries!$B30="","",Expiries!$I30)</f>
        <v/>
      </c>
      <c r="U226" s="110">
        <f>IF(Expiries!$B31="","",Expiries!$I31)</f>
        <v/>
      </c>
      <c r="W226" s="110">
        <f>IF(Expiries!$B16="","",Expiries!$I16)</f>
        <v/>
      </c>
      <c r="X226" s="110">
        <f>IF(Expiries!$B17="","",Expiries!$I17)</f>
        <v/>
      </c>
      <c r="Y226" s="110">
        <f>IF(Expiries!$B18="","",Expiries!$I18)</f>
        <v/>
      </c>
      <c r="Z226" s="110">
        <f>IF(Expiries!$B19="","",Expiries!$I19)</f>
        <v/>
      </c>
      <c r="AA226" s="110">
        <f>IF(Expiries!$B20="","",Expiries!$I20)</f>
        <v/>
      </c>
      <c r="AB226" s="110">
        <f>IF(Expiries!$B21="","",Expiries!$I21)</f>
        <v/>
      </c>
      <c r="AC226" s="110">
        <f>IF(Expiries!$B22="","",Expiries!$I22)</f>
        <v/>
      </c>
      <c r="AD226" s="110">
        <f>IF(Expiries!$B23="","",Expiries!$I23)</f>
        <v/>
      </c>
      <c r="AE226" s="110">
        <f>IF(Expiries!$B24="","",Expiries!$I24)</f>
        <v/>
      </c>
      <c r="AF226" s="110">
        <f>IF(Expiries!$B25="","",Expiries!$I25)</f>
        <v/>
      </c>
      <c r="AG226" s="110">
        <f>IF(Expiries!$B26="","",Expiries!$I26)</f>
        <v/>
      </c>
      <c r="AH226" s="110">
        <f>IF(Expiries!$B27="","",Expiries!$I27)</f>
        <v/>
      </c>
      <c r="AI226" s="110">
        <f>IF(Expiries!$B28="","",Expiries!$I28)</f>
        <v/>
      </c>
      <c r="AJ226" s="110">
        <f>IF(Expiries!$B29="","",Expiries!$I29)</f>
        <v/>
      </c>
      <c r="AK226" s="110">
        <f>IF(Expiries!$B30="","",Expiries!$I30)</f>
        <v/>
      </c>
      <c r="AL226" s="110">
        <f>IF(Expiries!$B31="","",Expiries!$I31)</f>
        <v/>
      </c>
    </row>
    <row r="227">
      <c r="B227" s="2" t="inlineStr">
        <is>
          <t>covered?</t>
        </is>
      </c>
      <c r="F227" s="85">
        <f>IF(Expiries!$B16="","",Expiries!$L16)</f>
        <v/>
      </c>
      <c r="G227" s="85">
        <f>IF(Expiries!$B17="","",Expiries!$L17)</f>
        <v/>
      </c>
      <c r="H227" s="85">
        <f>IF(Expiries!$B18="","",Expiries!$L18)</f>
        <v/>
      </c>
      <c r="I227" s="85">
        <f>IF(Expiries!$B19="","",Expiries!$L19)</f>
        <v/>
      </c>
      <c r="J227" s="85">
        <f>IF(Expiries!$B20="","",Expiries!$L20)</f>
        <v/>
      </c>
      <c r="K227" s="85">
        <f>IF(Expiries!$B21="","",Expiries!$L21)</f>
        <v/>
      </c>
      <c r="L227" s="85">
        <f>IF(Expiries!$B22="","",Expiries!$L22)</f>
        <v/>
      </c>
      <c r="M227" s="85">
        <f>IF(Expiries!$B23="","",Expiries!$L23)</f>
        <v/>
      </c>
      <c r="N227" s="85">
        <f>IF(Expiries!$B24="","",Expiries!$L24)</f>
        <v/>
      </c>
      <c r="O227" s="85">
        <f>IF(Expiries!$B25="","",Expiries!$L25)</f>
        <v/>
      </c>
      <c r="P227" s="85">
        <f>IF(Expiries!$B26="","",Expiries!$L26)</f>
        <v/>
      </c>
      <c r="Q227" s="85">
        <f>IF(Expiries!$B27="","",Expiries!$L27)</f>
        <v/>
      </c>
      <c r="R227" s="85">
        <f>IF(Expiries!$B28="","",Expiries!$L28)</f>
        <v/>
      </c>
      <c r="S227" s="85">
        <f>IF(Expiries!$B29="","",Expiries!$L29)</f>
        <v/>
      </c>
      <c r="T227" s="85">
        <f>IF(Expiries!$B30="","",Expiries!$L30)</f>
        <v/>
      </c>
      <c r="U227" s="85">
        <f>IF(Expiries!$B31="","",Expiries!$L31)</f>
        <v/>
      </c>
      <c r="W227" s="85">
        <f>IF(Expiries!$B16="","",Expiries!$L16)</f>
        <v/>
      </c>
      <c r="X227" s="85">
        <f>IF(Expiries!$B17="","",Expiries!$L17)</f>
        <v/>
      </c>
      <c r="Y227" s="85">
        <f>IF(Expiries!$B18="","",Expiries!$L18)</f>
        <v/>
      </c>
      <c r="Z227" s="85">
        <f>IF(Expiries!$B19="","",Expiries!$L19)</f>
        <v/>
      </c>
      <c r="AA227" s="85">
        <f>IF(Expiries!$B20="","",Expiries!$L20)</f>
        <v/>
      </c>
      <c r="AB227" s="85">
        <f>IF(Expiries!$B21="","",Expiries!$L21)</f>
        <v/>
      </c>
      <c r="AC227" s="85">
        <f>IF(Expiries!$B22="","",Expiries!$L22)</f>
        <v/>
      </c>
      <c r="AD227" s="85">
        <f>IF(Expiries!$B23="","",Expiries!$L23)</f>
        <v/>
      </c>
      <c r="AE227" s="85">
        <f>IF(Expiries!$B24="","",Expiries!$L24)</f>
        <v/>
      </c>
      <c r="AF227" s="85">
        <f>IF(Expiries!$B25="","",Expiries!$L25)</f>
        <v/>
      </c>
      <c r="AG227" s="85">
        <f>IF(Expiries!$B26="","",Expiries!$L26)</f>
        <v/>
      </c>
      <c r="AH227" s="85">
        <f>IF(Expiries!$B27="","",Expiries!$L27)</f>
        <v/>
      </c>
      <c r="AI227" s="85">
        <f>IF(Expiries!$B28="","",Expiries!$L28)</f>
        <v/>
      </c>
      <c r="AJ227" s="85">
        <f>IF(Expiries!$B29="","",Expiries!$L29)</f>
        <v/>
      </c>
      <c r="AK227" s="85">
        <f>IF(Expiries!$B30="","",Expiries!$L30)</f>
        <v/>
      </c>
      <c r="AL227" s="85">
        <f>IF(Expiries!$B31="","",Expiries!$L31)</f>
        <v/>
      </c>
    </row>
    <row r="228">
      <c r="B228" s="53" t="inlineStr">
        <is>
          <t>Bloomberg Ticker</t>
        </is>
      </c>
      <c r="C228" s="53" t="inlineStr">
        <is>
          <t>Index
Shares</t>
        </is>
      </c>
      <c r="D228" s="53" t="inlineStr">
        <is>
          <t>Dvd FX</t>
        </is>
      </c>
      <c r="E228" s="53" t="inlineStr">
        <is>
          <t>Frank %</t>
        </is>
      </c>
      <c r="F228" s="53">
        <f>IF(Expiries!$B16="","",Expiries!$C16)</f>
        <v/>
      </c>
      <c r="G228" s="53">
        <f>IF(Expiries!$B17="","",Expiries!$C17)</f>
        <v/>
      </c>
      <c r="H228" s="53">
        <f>IF(Expiries!$B18="","",Expiries!$C18)</f>
        <v/>
      </c>
      <c r="I228" s="53">
        <f>IF(Expiries!$B19="","",Expiries!$C19)</f>
        <v/>
      </c>
      <c r="J228" s="53">
        <f>IF(Expiries!$B20="","",Expiries!$C20)</f>
        <v/>
      </c>
      <c r="K228" s="53">
        <f>IF(Expiries!$B21="","",Expiries!$C21)</f>
        <v/>
      </c>
      <c r="L228" s="53">
        <f>IF(Expiries!$B22="","",Expiries!$C22)</f>
        <v/>
      </c>
      <c r="M228" s="53">
        <f>IF(Expiries!$B23="","",Expiries!$C23)</f>
        <v/>
      </c>
      <c r="N228" s="53">
        <f>IF(Expiries!$B24="","",Expiries!$C24)</f>
        <v/>
      </c>
      <c r="O228" s="53">
        <f>IF(Expiries!$B25="","",Expiries!$C25)</f>
        <v/>
      </c>
      <c r="P228" s="53">
        <f>IF(Expiries!$B26="","",Expiries!$C26)</f>
        <v/>
      </c>
      <c r="Q228" s="53">
        <f>IF(Expiries!$B27="","",Expiries!$C27)</f>
        <v/>
      </c>
      <c r="R228" s="53">
        <f>IF(Expiries!$B28="","",Expiries!$C28)</f>
        <v/>
      </c>
      <c r="S228" s="53">
        <f>IF(Expiries!$B29="","",Expiries!$C29)</f>
        <v/>
      </c>
      <c r="T228" s="53">
        <f>IF(Expiries!$B30="","",Expiries!$C30)</f>
        <v/>
      </c>
      <c r="U228" s="53">
        <f>IF(Expiries!$B31="","",Expiries!$C31)</f>
        <v/>
      </c>
      <c r="W228" s="68">
        <f>IF(Expiries!$B16="","",Expiries!$C16)</f>
        <v/>
      </c>
      <c r="X228" s="68">
        <f>IF(Expiries!$B17="","",Expiries!$C17)</f>
        <v/>
      </c>
      <c r="Y228" s="68">
        <f>IF(Expiries!$B18="","",Expiries!$C18)</f>
        <v/>
      </c>
      <c r="Z228" s="68">
        <f>IF(Expiries!$B19="","",Expiries!$C19)</f>
        <v/>
      </c>
      <c r="AA228" s="68">
        <f>IF(Expiries!$B20="","",Expiries!$C20)</f>
        <v/>
      </c>
      <c r="AB228" s="68">
        <f>IF(Expiries!$B21="","",Expiries!$C21)</f>
        <v/>
      </c>
      <c r="AC228" s="68">
        <f>IF(Expiries!$B22="","",Expiries!$C22)</f>
        <v/>
      </c>
      <c r="AD228" s="68">
        <f>IF(Expiries!$B23="","",Expiries!$C23)</f>
        <v/>
      </c>
      <c r="AE228" s="68">
        <f>IF(Expiries!$B24="","",Expiries!$C24)</f>
        <v/>
      </c>
      <c r="AF228" s="68">
        <f>IF(Expiries!$B25="","",Expiries!$C25)</f>
        <v/>
      </c>
      <c r="AG228" s="68">
        <f>IF(Expiries!$B26="","",Expiries!$C26)</f>
        <v/>
      </c>
      <c r="AH228" s="68">
        <f>IF(Expiries!$B27="","",Expiries!$C27)</f>
        <v/>
      </c>
      <c r="AI228" s="68">
        <f>IF(Expiries!$B28="","",Expiries!$C28)</f>
        <v/>
      </c>
      <c r="AJ228" s="68">
        <f>IF(Expiries!$B29="","",Expiries!$C29)</f>
        <v/>
      </c>
      <c r="AK228" s="68">
        <f>IF(Expiries!$B30="","",Expiries!$C30)</f>
        <v/>
      </c>
      <c r="AL228" s="68">
        <f>IF(Expiries!$B31="","",Expiries!$C31)</f>
        <v/>
      </c>
    </row>
    <row r="229">
      <c r="B229" s="5">
        <f>IF(MXAU!$C$6="","",MXAU!$C$6)</f>
        <v/>
      </c>
      <c r="C229" s="86">
        <f>IF(MXAU!$B$6="","",MXAU!$B$6)</f>
        <v/>
      </c>
      <c r="D229" s="111">
        <f>IFERROR(MXAU!$Q$6,1)</f>
        <v/>
      </c>
      <c r="E229" s="112">
        <f>IF($B229="","",IF(ISNUMBER(MXAU!$I$6),MXAU!$I$6,'Index Summary'!$C$7))</f>
        <v/>
      </c>
      <c r="F229" s="113">
        <f>IF(F$226="","",IF($B229="","",IFERROR($C229*$D229*SUMIFS('Dvd Calendar'!$E$421:$CZ$421,'Dvd Calendar'!$E$420:$CZ$420,"&gt;"&amp;F$225,'Dvd Calendar'!$E$420:$CZ$420,"&lt;="&amp;F$226)/MXAU!$B$3,"")))</f>
        <v/>
      </c>
      <c r="G229" s="113">
        <f>IF(G$226="","",IF($B229="","",IFERROR($C229*$D229*SUMIFS('Dvd Calendar'!$E$421:$CZ$421,'Dvd Calendar'!$E$420:$CZ$420,"&gt;"&amp;G$225,'Dvd Calendar'!$E$420:$CZ$420,"&lt;="&amp;G$226)/MXAU!$B$3,"")))</f>
        <v/>
      </c>
      <c r="H229" s="113">
        <f>IF(H$226="","",IF($B229="","",IFERROR($C229*$D229*SUMIFS('Dvd Calendar'!$E$421:$CZ$421,'Dvd Calendar'!$E$420:$CZ$420,"&gt;"&amp;H$225,'Dvd Calendar'!$E$420:$CZ$420,"&lt;="&amp;H$226)/MXAU!$B$3,"")))</f>
        <v/>
      </c>
      <c r="I229" s="113">
        <f>IF(I$226="","",IF($B229="","",IFERROR($C229*$D229*SUMIFS('Dvd Calendar'!$E$421:$CZ$421,'Dvd Calendar'!$E$420:$CZ$420,"&gt;"&amp;I$225,'Dvd Calendar'!$E$420:$CZ$420,"&lt;="&amp;I$226)/MXAU!$B$3,"")))</f>
        <v/>
      </c>
      <c r="J229" s="113">
        <f>IF(J$226="","",IF($B229="","",IFERROR($C229*$D229*SUMIFS('Dvd Calendar'!$E$421:$CZ$421,'Dvd Calendar'!$E$420:$CZ$420,"&gt;"&amp;J$225,'Dvd Calendar'!$E$420:$CZ$420,"&lt;="&amp;J$226)/MXAU!$B$3,"")))</f>
        <v/>
      </c>
      <c r="K229" s="113">
        <f>IF(K$226="","",IF($B229="","",IFERROR($C229*$D229*SUMIFS('Dvd Calendar'!$E$421:$CZ$421,'Dvd Calendar'!$E$420:$CZ$420,"&gt;"&amp;K$225,'Dvd Calendar'!$E$420:$CZ$420,"&lt;="&amp;K$226)/MXAU!$B$3,"")))</f>
        <v/>
      </c>
      <c r="L229" s="113">
        <f>IF(L$226="","",IF($B229="","",IFERROR($C229*$D229*SUMIFS('Dvd Calendar'!$E$421:$CZ$421,'Dvd Calendar'!$E$420:$CZ$420,"&gt;"&amp;L$225,'Dvd Calendar'!$E$420:$CZ$420,"&lt;="&amp;L$226)/MXAU!$B$3,"")))</f>
        <v/>
      </c>
      <c r="M229" s="113">
        <f>IF(M$226="","",IF($B229="","",IFERROR($C229*$D229*SUMIFS('Dvd Calendar'!$E$421:$CZ$421,'Dvd Calendar'!$E$420:$CZ$420,"&gt;"&amp;M$225,'Dvd Calendar'!$E$420:$CZ$420,"&lt;="&amp;M$226)/MXAU!$B$3,"")))</f>
        <v/>
      </c>
      <c r="N229" s="113">
        <f>IF(N$226="","",IF($B229="","",IFERROR($C229*$D229*SUMIFS('Dvd Calendar'!$E$421:$CZ$421,'Dvd Calendar'!$E$420:$CZ$420,"&gt;"&amp;N$225,'Dvd Calendar'!$E$420:$CZ$420,"&lt;="&amp;N$226)/MXAU!$B$3,"")))</f>
        <v/>
      </c>
      <c r="O229" s="113">
        <f>IF(O$226="","",IF($B229="","",IFERROR($C229*$D229*SUMIFS('Dvd Calendar'!$E$421:$CZ$421,'Dvd Calendar'!$E$420:$CZ$420,"&gt;"&amp;O$225,'Dvd Calendar'!$E$420:$CZ$420,"&lt;="&amp;O$226)/MXAU!$B$3,"")))</f>
        <v/>
      </c>
      <c r="P229" s="113">
        <f>IF(P$226="","",IF($B229="","",IFERROR($C229*$D229*SUMIFS('Dvd Calendar'!$E$421:$CZ$421,'Dvd Calendar'!$E$420:$CZ$420,"&gt;"&amp;P$225,'Dvd Calendar'!$E$420:$CZ$420,"&lt;="&amp;P$226)/MXAU!$B$3,"")))</f>
        <v/>
      </c>
      <c r="Q229" s="113">
        <f>IF(Q$226="","",IF($B229="","",IFERROR($C229*$D229*SUMIFS('Dvd Calendar'!$E$421:$CZ$421,'Dvd Calendar'!$E$420:$CZ$420,"&gt;"&amp;Q$225,'Dvd Calendar'!$E$420:$CZ$420,"&lt;="&amp;Q$226)/MXAU!$B$3,"")))</f>
        <v/>
      </c>
      <c r="R229" s="113">
        <f>IF(R$226="","",IF($B229="","",IFERROR($C229*$D229*SUMIFS('Dvd Calendar'!$E$421:$CZ$421,'Dvd Calendar'!$E$420:$CZ$420,"&gt;"&amp;R$225,'Dvd Calendar'!$E$420:$CZ$420,"&lt;="&amp;R$226)/MXAU!$B$3,"")))</f>
        <v/>
      </c>
      <c r="S229" s="113">
        <f>IF(S$226="","",IF($B229="","",IFERROR($C229*$D229*SUMIFS('Dvd Calendar'!$E$421:$CZ$421,'Dvd Calendar'!$E$420:$CZ$420,"&gt;"&amp;S$225,'Dvd Calendar'!$E$420:$CZ$420,"&lt;="&amp;S$226)/MXAU!$B$3,"")))</f>
        <v/>
      </c>
      <c r="T229" s="113">
        <f>IF(T$226="","",IF($B229="","",IFERROR($C229*$D229*SUMIFS('Dvd Calendar'!$E$421:$CZ$421,'Dvd Calendar'!$E$420:$CZ$420,"&gt;"&amp;T$225,'Dvd Calendar'!$E$420:$CZ$420,"&lt;="&amp;T$226)/MXAU!$B$3,"")))</f>
        <v/>
      </c>
      <c r="U229" s="113">
        <f>IF(U$226="","",IF($B229="","",IFERROR($C229*$D229*SUMIFS('Dvd Calendar'!$E$421:$CZ$421,'Dvd Calendar'!$E$420:$CZ$420,"&gt;"&amp;U$225,'Dvd Calendar'!$E$420:$CZ$420,"&lt;="&amp;U$226)/MXAU!$B$3,"")))</f>
        <v/>
      </c>
      <c r="W229" s="113">
        <f>IF(W$226="","",IF($B229="","",IFERROR(F229*$E229/100,"")))</f>
        <v/>
      </c>
      <c r="X229" s="113">
        <f>IF(X$226="","",IF($B229="","",IFERROR(G229*$E229/100,"")))</f>
        <v/>
      </c>
      <c r="Y229" s="113">
        <f>IF(Y$226="","",IF($B229="","",IFERROR(H229*$E229/100,"")))</f>
        <v/>
      </c>
      <c r="Z229" s="113">
        <f>IF(Z$226="","",IF($B229="","",IFERROR(I229*$E229/100,"")))</f>
        <v/>
      </c>
      <c r="AA229" s="113">
        <f>IF(AA$226="","",IF($B229="","",IFERROR(J229*$E229/100,"")))</f>
        <v/>
      </c>
      <c r="AB229" s="113">
        <f>IF(AB$226="","",IF($B229="","",IFERROR(K229*$E229/100,"")))</f>
        <v/>
      </c>
      <c r="AC229" s="113">
        <f>IF(AC$226="","",IF($B229="","",IFERROR(L229*$E229/100,"")))</f>
        <v/>
      </c>
      <c r="AD229" s="113">
        <f>IF(AD$226="","",IF($B229="","",IFERROR(M229*$E229/100,"")))</f>
        <v/>
      </c>
      <c r="AE229" s="113">
        <f>IF(AE$226="","",IF($B229="","",IFERROR(N229*$E229/100,"")))</f>
        <v/>
      </c>
      <c r="AF229" s="113">
        <f>IF(AF$226="","",IF($B229="","",IFERROR(O229*$E229/100,"")))</f>
        <v/>
      </c>
      <c r="AG229" s="113">
        <f>IF(AG$226="","",IF($B229="","",IFERROR(P229*$E229/100,"")))</f>
        <v/>
      </c>
      <c r="AH229" s="113">
        <f>IF(AH$226="","",IF($B229="","",IFERROR(Q229*$E229/100,"")))</f>
        <v/>
      </c>
      <c r="AI229" s="113">
        <f>IF(AI$226="","",IF($B229="","",IFERROR(R229*$E229/100,"")))</f>
        <v/>
      </c>
      <c r="AJ229" s="113">
        <f>IF(AJ$226="","",IF($B229="","",IFERROR(S229*$E229/100,"")))</f>
        <v/>
      </c>
      <c r="AK229" s="113">
        <f>IF(AK$226="","",IF($B229="","",IFERROR(T229*$E229/100,"")))</f>
        <v/>
      </c>
      <c r="AL229" s="113">
        <f>IF(AL$226="","",IF($B229="","",IFERROR(U229*$E229/100,"")))</f>
        <v/>
      </c>
    </row>
    <row r="230">
      <c r="B230" s="5">
        <f>IF(MXAU!$C$7="","",MXAU!$C$7)</f>
        <v/>
      </c>
      <c r="C230" s="86">
        <f>IF(MXAU!$B$7="","",MXAU!$B$7)</f>
        <v/>
      </c>
      <c r="D230" s="111">
        <f>IFERROR(MXAU!$Q$7,1)</f>
        <v/>
      </c>
      <c r="E230" s="112">
        <f>IF($B230="","",IF(ISNUMBER(MXAU!$I$7),MXAU!$I$7,'Index Summary'!$C$7))</f>
        <v/>
      </c>
      <c r="F230" s="113">
        <f>IF(F$226="","",IF($B230="","",IFERROR($C230*$D230*SUMIFS('Dvd Calendar'!$E$423:$CZ$423,'Dvd Calendar'!$E$422:$CZ$422,"&gt;"&amp;F$225,'Dvd Calendar'!$E$422:$CZ$422,"&lt;="&amp;F$226)/MXAU!$B$3,"")))</f>
        <v/>
      </c>
      <c r="G230" s="113">
        <f>IF(G$226="","",IF($B230="","",IFERROR($C230*$D230*SUMIFS('Dvd Calendar'!$E$423:$CZ$423,'Dvd Calendar'!$E$422:$CZ$422,"&gt;"&amp;G$225,'Dvd Calendar'!$E$422:$CZ$422,"&lt;="&amp;G$226)/MXAU!$B$3,"")))</f>
        <v/>
      </c>
      <c r="H230" s="113">
        <f>IF(H$226="","",IF($B230="","",IFERROR($C230*$D230*SUMIFS('Dvd Calendar'!$E$423:$CZ$423,'Dvd Calendar'!$E$422:$CZ$422,"&gt;"&amp;H$225,'Dvd Calendar'!$E$422:$CZ$422,"&lt;="&amp;H$226)/MXAU!$B$3,"")))</f>
        <v/>
      </c>
      <c r="I230" s="113">
        <f>IF(I$226="","",IF($B230="","",IFERROR($C230*$D230*SUMIFS('Dvd Calendar'!$E$423:$CZ$423,'Dvd Calendar'!$E$422:$CZ$422,"&gt;"&amp;I$225,'Dvd Calendar'!$E$422:$CZ$422,"&lt;="&amp;I$226)/MXAU!$B$3,"")))</f>
        <v/>
      </c>
      <c r="J230" s="113">
        <f>IF(J$226="","",IF($B230="","",IFERROR($C230*$D230*SUMIFS('Dvd Calendar'!$E$423:$CZ$423,'Dvd Calendar'!$E$422:$CZ$422,"&gt;"&amp;J$225,'Dvd Calendar'!$E$422:$CZ$422,"&lt;="&amp;J$226)/MXAU!$B$3,"")))</f>
        <v/>
      </c>
      <c r="K230" s="113">
        <f>IF(K$226="","",IF($B230="","",IFERROR($C230*$D230*SUMIFS('Dvd Calendar'!$E$423:$CZ$423,'Dvd Calendar'!$E$422:$CZ$422,"&gt;"&amp;K$225,'Dvd Calendar'!$E$422:$CZ$422,"&lt;="&amp;K$226)/MXAU!$B$3,"")))</f>
        <v/>
      </c>
      <c r="L230" s="113">
        <f>IF(L$226="","",IF($B230="","",IFERROR($C230*$D230*SUMIFS('Dvd Calendar'!$E$423:$CZ$423,'Dvd Calendar'!$E$422:$CZ$422,"&gt;"&amp;L$225,'Dvd Calendar'!$E$422:$CZ$422,"&lt;="&amp;L$226)/MXAU!$B$3,"")))</f>
        <v/>
      </c>
      <c r="M230" s="113">
        <f>IF(M$226="","",IF($B230="","",IFERROR($C230*$D230*SUMIFS('Dvd Calendar'!$E$423:$CZ$423,'Dvd Calendar'!$E$422:$CZ$422,"&gt;"&amp;M$225,'Dvd Calendar'!$E$422:$CZ$422,"&lt;="&amp;M$226)/MXAU!$B$3,"")))</f>
        <v/>
      </c>
      <c r="N230" s="113">
        <f>IF(N$226="","",IF($B230="","",IFERROR($C230*$D230*SUMIFS('Dvd Calendar'!$E$423:$CZ$423,'Dvd Calendar'!$E$422:$CZ$422,"&gt;"&amp;N$225,'Dvd Calendar'!$E$422:$CZ$422,"&lt;="&amp;N$226)/MXAU!$B$3,"")))</f>
        <v/>
      </c>
      <c r="O230" s="113">
        <f>IF(O$226="","",IF($B230="","",IFERROR($C230*$D230*SUMIFS('Dvd Calendar'!$E$423:$CZ$423,'Dvd Calendar'!$E$422:$CZ$422,"&gt;"&amp;O$225,'Dvd Calendar'!$E$422:$CZ$422,"&lt;="&amp;O$226)/MXAU!$B$3,"")))</f>
        <v/>
      </c>
      <c r="P230" s="113">
        <f>IF(P$226="","",IF($B230="","",IFERROR($C230*$D230*SUMIFS('Dvd Calendar'!$E$423:$CZ$423,'Dvd Calendar'!$E$422:$CZ$422,"&gt;"&amp;P$225,'Dvd Calendar'!$E$422:$CZ$422,"&lt;="&amp;P$226)/MXAU!$B$3,"")))</f>
        <v/>
      </c>
      <c r="Q230" s="113">
        <f>IF(Q$226="","",IF($B230="","",IFERROR($C230*$D230*SUMIFS('Dvd Calendar'!$E$423:$CZ$423,'Dvd Calendar'!$E$422:$CZ$422,"&gt;"&amp;Q$225,'Dvd Calendar'!$E$422:$CZ$422,"&lt;="&amp;Q$226)/MXAU!$B$3,"")))</f>
        <v/>
      </c>
      <c r="R230" s="113">
        <f>IF(R$226="","",IF($B230="","",IFERROR($C230*$D230*SUMIFS('Dvd Calendar'!$E$423:$CZ$423,'Dvd Calendar'!$E$422:$CZ$422,"&gt;"&amp;R$225,'Dvd Calendar'!$E$422:$CZ$422,"&lt;="&amp;R$226)/MXAU!$B$3,"")))</f>
        <v/>
      </c>
      <c r="S230" s="113">
        <f>IF(S$226="","",IF($B230="","",IFERROR($C230*$D230*SUMIFS('Dvd Calendar'!$E$423:$CZ$423,'Dvd Calendar'!$E$422:$CZ$422,"&gt;"&amp;S$225,'Dvd Calendar'!$E$422:$CZ$422,"&lt;="&amp;S$226)/MXAU!$B$3,"")))</f>
        <v/>
      </c>
      <c r="T230" s="113">
        <f>IF(T$226="","",IF($B230="","",IFERROR($C230*$D230*SUMIFS('Dvd Calendar'!$E$423:$CZ$423,'Dvd Calendar'!$E$422:$CZ$422,"&gt;"&amp;T$225,'Dvd Calendar'!$E$422:$CZ$422,"&lt;="&amp;T$226)/MXAU!$B$3,"")))</f>
        <v/>
      </c>
      <c r="U230" s="113">
        <f>IF(U$226="","",IF($B230="","",IFERROR($C230*$D230*SUMIFS('Dvd Calendar'!$E$423:$CZ$423,'Dvd Calendar'!$E$422:$CZ$422,"&gt;"&amp;U$225,'Dvd Calendar'!$E$422:$CZ$422,"&lt;="&amp;U$226)/MXAU!$B$3,"")))</f>
        <v/>
      </c>
      <c r="W230" s="113">
        <f>IF(W$226="","",IF($B230="","",IFERROR(F230*$E230/100,"")))</f>
        <v/>
      </c>
      <c r="X230" s="113">
        <f>IF(X$226="","",IF($B230="","",IFERROR(G230*$E230/100,"")))</f>
        <v/>
      </c>
      <c r="Y230" s="113">
        <f>IF(Y$226="","",IF($B230="","",IFERROR(H230*$E230/100,"")))</f>
        <v/>
      </c>
      <c r="Z230" s="113">
        <f>IF(Z$226="","",IF($B230="","",IFERROR(I230*$E230/100,"")))</f>
        <v/>
      </c>
      <c r="AA230" s="113">
        <f>IF(AA$226="","",IF($B230="","",IFERROR(J230*$E230/100,"")))</f>
        <v/>
      </c>
      <c r="AB230" s="113">
        <f>IF(AB$226="","",IF($B230="","",IFERROR(K230*$E230/100,"")))</f>
        <v/>
      </c>
      <c r="AC230" s="113">
        <f>IF(AC$226="","",IF($B230="","",IFERROR(L230*$E230/100,"")))</f>
        <v/>
      </c>
      <c r="AD230" s="113">
        <f>IF(AD$226="","",IF($B230="","",IFERROR(M230*$E230/100,"")))</f>
        <v/>
      </c>
      <c r="AE230" s="113">
        <f>IF(AE$226="","",IF($B230="","",IFERROR(N230*$E230/100,"")))</f>
        <v/>
      </c>
      <c r="AF230" s="113">
        <f>IF(AF$226="","",IF($B230="","",IFERROR(O230*$E230/100,"")))</f>
        <v/>
      </c>
      <c r="AG230" s="113">
        <f>IF(AG$226="","",IF($B230="","",IFERROR(P230*$E230/100,"")))</f>
        <v/>
      </c>
      <c r="AH230" s="113">
        <f>IF(AH$226="","",IF($B230="","",IFERROR(Q230*$E230/100,"")))</f>
        <v/>
      </c>
      <c r="AI230" s="113">
        <f>IF(AI$226="","",IF($B230="","",IFERROR(R230*$E230/100,"")))</f>
        <v/>
      </c>
      <c r="AJ230" s="113">
        <f>IF(AJ$226="","",IF($B230="","",IFERROR(S230*$E230/100,"")))</f>
        <v/>
      </c>
      <c r="AK230" s="113">
        <f>IF(AK$226="","",IF($B230="","",IFERROR(T230*$E230/100,"")))</f>
        <v/>
      </c>
      <c r="AL230" s="113">
        <f>IF(AL$226="","",IF($B230="","",IFERROR(U230*$E230/100,"")))</f>
        <v/>
      </c>
    </row>
    <row r="231">
      <c r="B231" s="5">
        <f>IF(MXAU!$C$8="","",MXAU!$C$8)</f>
        <v/>
      </c>
      <c r="C231" s="86">
        <f>IF(MXAU!$B$8="","",MXAU!$B$8)</f>
        <v/>
      </c>
      <c r="D231" s="111">
        <f>IFERROR(MXAU!$Q$8,1)</f>
        <v/>
      </c>
      <c r="E231" s="112">
        <f>IF($B231="","",IF(ISNUMBER(MXAU!$I$8),MXAU!$I$8,'Index Summary'!$C$7))</f>
        <v/>
      </c>
      <c r="F231" s="113">
        <f>IF(F$226="","",IF($B231="","",IFERROR($C231*$D231*SUMIFS('Dvd Calendar'!$E$425:$CZ$425,'Dvd Calendar'!$E$424:$CZ$424,"&gt;"&amp;F$225,'Dvd Calendar'!$E$424:$CZ$424,"&lt;="&amp;F$226)/MXAU!$B$3,"")))</f>
        <v/>
      </c>
      <c r="G231" s="113">
        <f>IF(G$226="","",IF($B231="","",IFERROR($C231*$D231*SUMIFS('Dvd Calendar'!$E$425:$CZ$425,'Dvd Calendar'!$E$424:$CZ$424,"&gt;"&amp;G$225,'Dvd Calendar'!$E$424:$CZ$424,"&lt;="&amp;G$226)/MXAU!$B$3,"")))</f>
        <v/>
      </c>
      <c r="H231" s="113">
        <f>IF(H$226="","",IF($B231="","",IFERROR($C231*$D231*SUMIFS('Dvd Calendar'!$E$425:$CZ$425,'Dvd Calendar'!$E$424:$CZ$424,"&gt;"&amp;H$225,'Dvd Calendar'!$E$424:$CZ$424,"&lt;="&amp;H$226)/MXAU!$B$3,"")))</f>
        <v/>
      </c>
      <c r="I231" s="113">
        <f>IF(I$226="","",IF($B231="","",IFERROR($C231*$D231*SUMIFS('Dvd Calendar'!$E$425:$CZ$425,'Dvd Calendar'!$E$424:$CZ$424,"&gt;"&amp;I$225,'Dvd Calendar'!$E$424:$CZ$424,"&lt;="&amp;I$226)/MXAU!$B$3,"")))</f>
        <v/>
      </c>
      <c r="J231" s="113">
        <f>IF(J$226="","",IF($B231="","",IFERROR($C231*$D231*SUMIFS('Dvd Calendar'!$E$425:$CZ$425,'Dvd Calendar'!$E$424:$CZ$424,"&gt;"&amp;J$225,'Dvd Calendar'!$E$424:$CZ$424,"&lt;="&amp;J$226)/MXAU!$B$3,"")))</f>
        <v/>
      </c>
      <c r="K231" s="113">
        <f>IF(K$226="","",IF($B231="","",IFERROR($C231*$D231*SUMIFS('Dvd Calendar'!$E$425:$CZ$425,'Dvd Calendar'!$E$424:$CZ$424,"&gt;"&amp;K$225,'Dvd Calendar'!$E$424:$CZ$424,"&lt;="&amp;K$226)/MXAU!$B$3,"")))</f>
        <v/>
      </c>
      <c r="L231" s="113">
        <f>IF(L$226="","",IF($B231="","",IFERROR($C231*$D231*SUMIFS('Dvd Calendar'!$E$425:$CZ$425,'Dvd Calendar'!$E$424:$CZ$424,"&gt;"&amp;L$225,'Dvd Calendar'!$E$424:$CZ$424,"&lt;="&amp;L$226)/MXAU!$B$3,"")))</f>
        <v/>
      </c>
      <c r="M231" s="113">
        <f>IF(M$226="","",IF($B231="","",IFERROR($C231*$D231*SUMIFS('Dvd Calendar'!$E$425:$CZ$425,'Dvd Calendar'!$E$424:$CZ$424,"&gt;"&amp;M$225,'Dvd Calendar'!$E$424:$CZ$424,"&lt;="&amp;M$226)/MXAU!$B$3,"")))</f>
        <v/>
      </c>
      <c r="N231" s="113">
        <f>IF(N$226="","",IF($B231="","",IFERROR($C231*$D231*SUMIFS('Dvd Calendar'!$E$425:$CZ$425,'Dvd Calendar'!$E$424:$CZ$424,"&gt;"&amp;N$225,'Dvd Calendar'!$E$424:$CZ$424,"&lt;="&amp;N$226)/MXAU!$B$3,"")))</f>
        <v/>
      </c>
      <c r="O231" s="113">
        <f>IF(O$226="","",IF($B231="","",IFERROR($C231*$D231*SUMIFS('Dvd Calendar'!$E$425:$CZ$425,'Dvd Calendar'!$E$424:$CZ$424,"&gt;"&amp;O$225,'Dvd Calendar'!$E$424:$CZ$424,"&lt;="&amp;O$226)/MXAU!$B$3,"")))</f>
        <v/>
      </c>
      <c r="P231" s="113">
        <f>IF(P$226="","",IF($B231="","",IFERROR($C231*$D231*SUMIFS('Dvd Calendar'!$E$425:$CZ$425,'Dvd Calendar'!$E$424:$CZ$424,"&gt;"&amp;P$225,'Dvd Calendar'!$E$424:$CZ$424,"&lt;="&amp;P$226)/MXAU!$B$3,"")))</f>
        <v/>
      </c>
      <c r="Q231" s="113">
        <f>IF(Q$226="","",IF($B231="","",IFERROR($C231*$D231*SUMIFS('Dvd Calendar'!$E$425:$CZ$425,'Dvd Calendar'!$E$424:$CZ$424,"&gt;"&amp;Q$225,'Dvd Calendar'!$E$424:$CZ$424,"&lt;="&amp;Q$226)/MXAU!$B$3,"")))</f>
        <v/>
      </c>
      <c r="R231" s="113">
        <f>IF(R$226="","",IF($B231="","",IFERROR($C231*$D231*SUMIFS('Dvd Calendar'!$E$425:$CZ$425,'Dvd Calendar'!$E$424:$CZ$424,"&gt;"&amp;R$225,'Dvd Calendar'!$E$424:$CZ$424,"&lt;="&amp;R$226)/MXAU!$B$3,"")))</f>
        <v/>
      </c>
      <c r="S231" s="113">
        <f>IF(S$226="","",IF($B231="","",IFERROR($C231*$D231*SUMIFS('Dvd Calendar'!$E$425:$CZ$425,'Dvd Calendar'!$E$424:$CZ$424,"&gt;"&amp;S$225,'Dvd Calendar'!$E$424:$CZ$424,"&lt;="&amp;S$226)/MXAU!$B$3,"")))</f>
        <v/>
      </c>
      <c r="T231" s="113">
        <f>IF(T$226="","",IF($B231="","",IFERROR($C231*$D231*SUMIFS('Dvd Calendar'!$E$425:$CZ$425,'Dvd Calendar'!$E$424:$CZ$424,"&gt;"&amp;T$225,'Dvd Calendar'!$E$424:$CZ$424,"&lt;="&amp;T$226)/MXAU!$B$3,"")))</f>
        <v/>
      </c>
      <c r="U231" s="113">
        <f>IF(U$226="","",IF($B231="","",IFERROR($C231*$D231*SUMIFS('Dvd Calendar'!$E$425:$CZ$425,'Dvd Calendar'!$E$424:$CZ$424,"&gt;"&amp;U$225,'Dvd Calendar'!$E$424:$CZ$424,"&lt;="&amp;U$226)/MXAU!$B$3,"")))</f>
        <v/>
      </c>
      <c r="W231" s="113">
        <f>IF(W$226="","",IF($B231="","",IFERROR(F231*$E231/100,"")))</f>
        <v/>
      </c>
      <c r="X231" s="113">
        <f>IF(X$226="","",IF($B231="","",IFERROR(G231*$E231/100,"")))</f>
        <v/>
      </c>
      <c r="Y231" s="113">
        <f>IF(Y$226="","",IF($B231="","",IFERROR(H231*$E231/100,"")))</f>
        <v/>
      </c>
      <c r="Z231" s="113">
        <f>IF(Z$226="","",IF($B231="","",IFERROR(I231*$E231/100,"")))</f>
        <v/>
      </c>
      <c r="AA231" s="113">
        <f>IF(AA$226="","",IF($B231="","",IFERROR(J231*$E231/100,"")))</f>
        <v/>
      </c>
      <c r="AB231" s="113">
        <f>IF(AB$226="","",IF($B231="","",IFERROR(K231*$E231/100,"")))</f>
        <v/>
      </c>
      <c r="AC231" s="113">
        <f>IF(AC$226="","",IF($B231="","",IFERROR(L231*$E231/100,"")))</f>
        <v/>
      </c>
      <c r="AD231" s="113">
        <f>IF(AD$226="","",IF($B231="","",IFERROR(M231*$E231/100,"")))</f>
        <v/>
      </c>
      <c r="AE231" s="113">
        <f>IF(AE$226="","",IF($B231="","",IFERROR(N231*$E231/100,"")))</f>
        <v/>
      </c>
      <c r="AF231" s="113">
        <f>IF(AF$226="","",IF($B231="","",IFERROR(O231*$E231/100,"")))</f>
        <v/>
      </c>
      <c r="AG231" s="113">
        <f>IF(AG$226="","",IF($B231="","",IFERROR(P231*$E231/100,"")))</f>
        <v/>
      </c>
      <c r="AH231" s="113">
        <f>IF(AH$226="","",IF($B231="","",IFERROR(Q231*$E231/100,"")))</f>
        <v/>
      </c>
      <c r="AI231" s="113">
        <f>IF(AI$226="","",IF($B231="","",IFERROR(R231*$E231/100,"")))</f>
        <v/>
      </c>
      <c r="AJ231" s="113">
        <f>IF(AJ$226="","",IF($B231="","",IFERROR(S231*$E231/100,"")))</f>
        <v/>
      </c>
      <c r="AK231" s="113">
        <f>IF(AK$226="","",IF($B231="","",IFERROR(T231*$E231/100,"")))</f>
        <v/>
      </c>
      <c r="AL231" s="113">
        <f>IF(AL$226="","",IF($B231="","",IFERROR(U231*$E231/100,"")))</f>
        <v/>
      </c>
    </row>
    <row r="232">
      <c r="B232" s="5">
        <f>IF(MXAU!$C$9="","",MXAU!$C$9)</f>
        <v/>
      </c>
      <c r="C232" s="86">
        <f>IF(MXAU!$B$9="","",MXAU!$B$9)</f>
        <v/>
      </c>
      <c r="D232" s="111">
        <f>IFERROR(MXAU!$Q$9,1)</f>
        <v/>
      </c>
      <c r="E232" s="112">
        <f>IF($B232="","",IF(ISNUMBER(MXAU!$I$9),MXAU!$I$9,'Index Summary'!$C$7))</f>
        <v/>
      </c>
      <c r="F232" s="113">
        <f>IF(F$226="","",IF($B232="","",IFERROR($C232*$D232*SUMIFS('Dvd Calendar'!$E$427:$CZ$427,'Dvd Calendar'!$E$426:$CZ$426,"&gt;"&amp;F$225,'Dvd Calendar'!$E$426:$CZ$426,"&lt;="&amp;F$226)/MXAU!$B$3,"")))</f>
        <v/>
      </c>
      <c r="G232" s="113">
        <f>IF(G$226="","",IF($B232="","",IFERROR($C232*$D232*SUMIFS('Dvd Calendar'!$E$427:$CZ$427,'Dvd Calendar'!$E$426:$CZ$426,"&gt;"&amp;G$225,'Dvd Calendar'!$E$426:$CZ$426,"&lt;="&amp;G$226)/MXAU!$B$3,"")))</f>
        <v/>
      </c>
      <c r="H232" s="113">
        <f>IF(H$226="","",IF($B232="","",IFERROR($C232*$D232*SUMIFS('Dvd Calendar'!$E$427:$CZ$427,'Dvd Calendar'!$E$426:$CZ$426,"&gt;"&amp;H$225,'Dvd Calendar'!$E$426:$CZ$426,"&lt;="&amp;H$226)/MXAU!$B$3,"")))</f>
        <v/>
      </c>
      <c r="I232" s="113">
        <f>IF(I$226="","",IF($B232="","",IFERROR($C232*$D232*SUMIFS('Dvd Calendar'!$E$427:$CZ$427,'Dvd Calendar'!$E$426:$CZ$426,"&gt;"&amp;I$225,'Dvd Calendar'!$E$426:$CZ$426,"&lt;="&amp;I$226)/MXAU!$B$3,"")))</f>
        <v/>
      </c>
      <c r="J232" s="113">
        <f>IF(J$226="","",IF($B232="","",IFERROR($C232*$D232*SUMIFS('Dvd Calendar'!$E$427:$CZ$427,'Dvd Calendar'!$E$426:$CZ$426,"&gt;"&amp;J$225,'Dvd Calendar'!$E$426:$CZ$426,"&lt;="&amp;J$226)/MXAU!$B$3,"")))</f>
        <v/>
      </c>
      <c r="K232" s="113">
        <f>IF(K$226="","",IF($B232="","",IFERROR($C232*$D232*SUMIFS('Dvd Calendar'!$E$427:$CZ$427,'Dvd Calendar'!$E$426:$CZ$426,"&gt;"&amp;K$225,'Dvd Calendar'!$E$426:$CZ$426,"&lt;="&amp;K$226)/MXAU!$B$3,"")))</f>
        <v/>
      </c>
      <c r="L232" s="113">
        <f>IF(L$226="","",IF($B232="","",IFERROR($C232*$D232*SUMIFS('Dvd Calendar'!$E$427:$CZ$427,'Dvd Calendar'!$E$426:$CZ$426,"&gt;"&amp;L$225,'Dvd Calendar'!$E$426:$CZ$426,"&lt;="&amp;L$226)/MXAU!$B$3,"")))</f>
        <v/>
      </c>
      <c r="M232" s="113">
        <f>IF(M$226="","",IF($B232="","",IFERROR($C232*$D232*SUMIFS('Dvd Calendar'!$E$427:$CZ$427,'Dvd Calendar'!$E$426:$CZ$426,"&gt;"&amp;M$225,'Dvd Calendar'!$E$426:$CZ$426,"&lt;="&amp;M$226)/MXAU!$B$3,"")))</f>
        <v/>
      </c>
      <c r="N232" s="113">
        <f>IF(N$226="","",IF($B232="","",IFERROR($C232*$D232*SUMIFS('Dvd Calendar'!$E$427:$CZ$427,'Dvd Calendar'!$E$426:$CZ$426,"&gt;"&amp;N$225,'Dvd Calendar'!$E$426:$CZ$426,"&lt;="&amp;N$226)/MXAU!$B$3,"")))</f>
        <v/>
      </c>
      <c r="O232" s="113">
        <f>IF(O$226="","",IF($B232="","",IFERROR($C232*$D232*SUMIFS('Dvd Calendar'!$E$427:$CZ$427,'Dvd Calendar'!$E$426:$CZ$426,"&gt;"&amp;O$225,'Dvd Calendar'!$E$426:$CZ$426,"&lt;="&amp;O$226)/MXAU!$B$3,"")))</f>
        <v/>
      </c>
      <c r="P232" s="113">
        <f>IF(P$226="","",IF($B232="","",IFERROR($C232*$D232*SUMIFS('Dvd Calendar'!$E$427:$CZ$427,'Dvd Calendar'!$E$426:$CZ$426,"&gt;"&amp;P$225,'Dvd Calendar'!$E$426:$CZ$426,"&lt;="&amp;P$226)/MXAU!$B$3,"")))</f>
        <v/>
      </c>
      <c r="Q232" s="113">
        <f>IF(Q$226="","",IF($B232="","",IFERROR($C232*$D232*SUMIFS('Dvd Calendar'!$E$427:$CZ$427,'Dvd Calendar'!$E$426:$CZ$426,"&gt;"&amp;Q$225,'Dvd Calendar'!$E$426:$CZ$426,"&lt;="&amp;Q$226)/MXAU!$B$3,"")))</f>
        <v/>
      </c>
      <c r="R232" s="113">
        <f>IF(R$226="","",IF($B232="","",IFERROR($C232*$D232*SUMIFS('Dvd Calendar'!$E$427:$CZ$427,'Dvd Calendar'!$E$426:$CZ$426,"&gt;"&amp;R$225,'Dvd Calendar'!$E$426:$CZ$426,"&lt;="&amp;R$226)/MXAU!$B$3,"")))</f>
        <v/>
      </c>
      <c r="S232" s="113">
        <f>IF(S$226="","",IF($B232="","",IFERROR($C232*$D232*SUMIFS('Dvd Calendar'!$E$427:$CZ$427,'Dvd Calendar'!$E$426:$CZ$426,"&gt;"&amp;S$225,'Dvd Calendar'!$E$426:$CZ$426,"&lt;="&amp;S$226)/MXAU!$B$3,"")))</f>
        <v/>
      </c>
      <c r="T232" s="113">
        <f>IF(T$226="","",IF($B232="","",IFERROR($C232*$D232*SUMIFS('Dvd Calendar'!$E$427:$CZ$427,'Dvd Calendar'!$E$426:$CZ$426,"&gt;"&amp;T$225,'Dvd Calendar'!$E$426:$CZ$426,"&lt;="&amp;T$226)/MXAU!$B$3,"")))</f>
        <v/>
      </c>
      <c r="U232" s="113">
        <f>IF(U$226="","",IF($B232="","",IFERROR($C232*$D232*SUMIFS('Dvd Calendar'!$E$427:$CZ$427,'Dvd Calendar'!$E$426:$CZ$426,"&gt;"&amp;U$225,'Dvd Calendar'!$E$426:$CZ$426,"&lt;="&amp;U$226)/MXAU!$B$3,"")))</f>
        <v/>
      </c>
      <c r="W232" s="113">
        <f>IF(W$226="","",IF($B232="","",IFERROR(F232*$E232/100,"")))</f>
        <v/>
      </c>
      <c r="X232" s="113">
        <f>IF(X$226="","",IF($B232="","",IFERROR(G232*$E232/100,"")))</f>
        <v/>
      </c>
      <c r="Y232" s="113">
        <f>IF(Y$226="","",IF($B232="","",IFERROR(H232*$E232/100,"")))</f>
        <v/>
      </c>
      <c r="Z232" s="113">
        <f>IF(Z$226="","",IF($B232="","",IFERROR(I232*$E232/100,"")))</f>
        <v/>
      </c>
      <c r="AA232" s="113">
        <f>IF(AA$226="","",IF($B232="","",IFERROR(J232*$E232/100,"")))</f>
        <v/>
      </c>
      <c r="AB232" s="113">
        <f>IF(AB$226="","",IF($B232="","",IFERROR(K232*$E232/100,"")))</f>
        <v/>
      </c>
      <c r="AC232" s="113">
        <f>IF(AC$226="","",IF($B232="","",IFERROR(L232*$E232/100,"")))</f>
        <v/>
      </c>
      <c r="AD232" s="113">
        <f>IF(AD$226="","",IF($B232="","",IFERROR(M232*$E232/100,"")))</f>
        <v/>
      </c>
      <c r="AE232" s="113">
        <f>IF(AE$226="","",IF($B232="","",IFERROR(N232*$E232/100,"")))</f>
        <v/>
      </c>
      <c r="AF232" s="113">
        <f>IF(AF$226="","",IF($B232="","",IFERROR(O232*$E232/100,"")))</f>
        <v/>
      </c>
      <c r="AG232" s="113">
        <f>IF(AG$226="","",IF($B232="","",IFERROR(P232*$E232/100,"")))</f>
        <v/>
      </c>
      <c r="AH232" s="113">
        <f>IF(AH$226="","",IF($B232="","",IFERROR(Q232*$E232/100,"")))</f>
        <v/>
      </c>
      <c r="AI232" s="113">
        <f>IF(AI$226="","",IF($B232="","",IFERROR(R232*$E232/100,"")))</f>
        <v/>
      </c>
      <c r="AJ232" s="113">
        <f>IF(AJ$226="","",IF($B232="","",IFERROR(S232*$E232/100,"")))</f>
        <v/>
      </c>
      <c r="AK232" s="113">
        <f>IF(AK$226="","",IF($B232="","",IFERROR(T232*$E232/100,"")))</f>
        <v/>
      </c>
      <c r="AL232" s="113">
        <f>IF(AL$226="","",IF($B232="","",IFERROR(U232*$E232/100,"")))</f>
        <v/>
      </c>
    </row>
    <row r="233">
      <c r="B233" s="5">
        <f>IF(MXAU!$C$10="","",MXAU!$C$10)</f>
        <v/>
      </c>
      <c r="C233" s="86">
        <f>IF(MXAU!$B$10="","",MXAU!$B$10)</f>
        <v/>
      </c>
      <c r="D233" s="111">
        <f>IFERROR(MXAU!$Q$10,1)</f>
        <v/>
      </c>
      <c r="E233" s="112">
        <f>IF($B233="","",IF(ISNUMBER(MXAU!$I$10),MXAU!$I$10,'Index Summary'!$C$7))</f>
        <v/>
      </c>
      <c r="F233" s="113">
        <f>IF(F$226="","",IF($B233="","",IFERROR($C233*$D233*SUMIFS('Dvd Calendar'!$E$429:$CZ$429,'Dvd Calendar'!$E$428:$CZ$428,"&gt;"&amp;F$225,'Dvd Calendar'!$E$428:$CZ$428,"&lt;="&amp;F$226)/MXAU!$B$3,"")))</f>
        <v/>
      </c>
      <c r="G233" s="113">
        <f>IF(G$226="","",IF($B233="","",IFERROR($C233*$D233*SUMIFS('Dvd Calendar'!$E$429:$CZ$429,'Dvd Calendar'!$E$428:$CZ$428,"&gt;"&amp;G$225,'Dvd Calendar'!$E$428:$CZ$428,"&lt;="&amp;G$226)/MXAU!$B$3,"")))</f>
        <v/>
      </c>
      <c r="H233" s="113">
        <f>IF(H$226="","",IF($B233="","",IFERROR($C233*$D233*SUMIFS('Dvd Calendar'!$E$429:$CZ$429,'Dvd Calendar'!$E$428:$CZ$428,"&gt;"&amp;H$225,'Dvd Calendar'!$E$428:$CZ$428,"&lt;="&amp;H$226)/MXAU!$B$3,"")))</f>
        <v/>
      </c>
      <c r="I233" s="113">
        <f>IF(I$226="","",IF($B233="","",IFERROR($C233*$D233*SUMIFS('Dvd Calendar'!$E$429:$CZ$429,'Dvd Calendar'!$E$428:$CZ$428,"&gt;"&amp;I$225,'Dvd Calendar'!$E$428:$CZ$428,"&lt;="&amp;I$226)/MXAU!$B$3,"")))</f>
        <v/>
      </c>
      <c r="J233" s="113">
        <f>IF(J$226="","",IF($B233="","",IFERROR($C233*$D233*SUMIFS('Dvd Calendar'!$E$429:$CZ$429,'Dvd Calendar'!$E$428:$CZ$428,"&gt;"&amp;J$225,'Dvd Calendar'!$E$428:$CZ$428,"&lt;="&amp;J$226)/MXAU!$B$3,"")))</f>
        <v/>
      </c>
      <c r="K233" s="113">
        <f>IF(K$226="","",IF($B233="","",IFERROR($C233*$D233*SUMIFS('Dvd Calendar'!$E$429:$CZ$429,'Dvd Calendar'!$E$428:$CZ$428,"&gt;"&amp;K$225,'Dvd Calendar'!$E$428:$CZ$428,"&lt;="&amp;K$226)/MXAU!$B$3,"")))</f>
        <v/>
      </c>
      <c r="L233" s="113">
        <f>IF(L$226="","",IF($B233="","",IFERROR($C233*$D233*SUMIFS('Dvd Calendar'!$E$429:$CZ$429,'Dvd Calendar'!$E$428:$CZ$428,"&gt;"&amp;L$225,'Dvd Calendar'!$E$428:$CZ$428,"&lt;="&amp;L$226)/MXAU!$B$3,"")))</f>
        <v/>
      </c>
      <c r="M233" s="113">
        <f>IF(M$226="","",IF($B233="","",IFERROR($C233*$D233*SUMIFS('Dvd Calendar'!$E$429:$CZ$429,'Dvd Calendar'!$E$428:$CZ$428,"&gt;"&amp;M$225,'Dvd Calendar'!$E$428:$CZ$428,"&lt;="&amp;M$226)/MXAU!$B$3,"")))</f>
        <v/>
      </c>
      <c r="N233" s="113">
        <f>IF(N$226="","",IF($B233="","",IFERROR($C233*$D233*SUMIFS('Dvd Calendar'!$E$429:$CZ$429,'Dvd Calendar'!$E$428:$CZ$428,"&gt;"&amp;N$225,'Dvd Calendar'!$E$428:$CZ$428,"&lt;="&amp;N$226)/MXAU!$B$3,"")))</f>
        <v/>
      </c>
      <c r="O233" s="113">
        <f>IF(O$226="","",IF($B233="","",IFERROR($C233*$D233*SUMIFS('Dvd Calendar'!$E$429:$CZ$429,'Dvd Calendar'!$E$428:$CZ$428,"&gt;"&amp;O$225,'Dvd Calendar'!$E$428:$CZ$428,"&lt;="&amp;O$226)/MXAU!$B$3,"")))</f>
        <v/>
      </c>
      <c r="P233" s="113">
        <f>IF(P$226="","",IF($B233="","",IFERROR($C233*$D233*SUMIFS('Dvd Calendar'!$E$429:$CZ$429,'Dvd Calendar'!$E$428:$CZ$428,"&gt;"&amp;P$225,'Dvd Calendar'!$E$428:$CZ$428,"&lt;="&amp;P$226)/MXAU!$B$3,"")))</f>
        <v/>
      </c>
      <c r="Q233" s="113">
        <f>IF(Q$226="","",IF($B233="","",IFERROR($C233*$D233*SUMIFS('Dvd Calendar'!$E$429:$CZ$429,'Dvd Calendar'!$E$428:$CZ$428,"&gt;"&amp;Q$225,'Dvd Calendar'!$E$428:$CZ$428,"&lt;="&amp;Q$226)/MXAU!$B$3,"")))</f>
        <v/>
      </c>
      <c r="R233" s="113">
        <f>IF(R$226="","",IF($B233="","",IFERROR($C233*$D233*SUMIFS('Dvd Calendar'!$E$429:$CZ$429,'Dvd Calendar'!$E$428:$CZ$428,"&gt;"&amp;R$225,'Dvd Calendar'!$E$428:$CZ$428,"&lt;="&amp;R$226)/MXAU!$B$3,"")))</f>
        <v/>
      </c>
      <c r="S233" s="113">
        <f>IF(S$226="","",IF($B233="","",IFERROR($C233*$D233*SUMIFS('Dvd Calendar'!$E$429:$CZ$429,'Dvd Calendar'!$E$428:$CZ$428,"&gt;"&amp;S$225,'Dvd Calendar'!$E$428:$CZ$428,"&lt;="&amp;S$226)/MXAU!$B$3,"")))</f>
        <v/>
      </c>
      <c r="T233" s="113">
        <f>IF(T$226="","",IF($B233="","",IFERROR($C233*$D233*SUMIFS('Dvd Calendar'!$E$429:$CZ$429,'Dvd Calendar'!$E$428:$CZ$428,"&gt;"&amp;T$225,'Dvd Calendar'!$E$428:$CZ$428,"&lt;="&amp;T$226)/MXAU!$B$3,"")))</f>
        <v/>
      </c>
      <c r="U233" s="113">
        <f>IF(U$226="","",IF($B233="","",IFERROR($C233*$D233*SUMIFS('Dvd Calendar'!$E$429:$CZ$429,'Dvd Calendar'!$E$428:$CZ$428,"&gt;"&amp;U$225,'Dvd Calendar'!$E$428:$CZ$428,"&lt;="&amp;U$226)/MXAU!$B$3,"")))</f>
        <v/>
      </c>
      <c r="W233" s="113">
        <f>IF(W$226="","",IF($B233="","",IFERROR(F233*$E233/100,"")))</f>
        <v/>
      </c>
      <c r="X233" s="113">
        <f>IF(X$226="","",IF($B233="","",IFERROR(G233*$E233/100,"")))</f>
        <v/>
      </c>
      <c r="Y233" s="113">
        <f>IF(Y$226="","",IF($B233="","",IFERROR(H233*$E233/100,"")))</f>
        <v/>
      </c>
      <c r="Z233" s="113">
        <f>IF(Z$226="","",IF($B233="","",IFERROR(I233*$E233/100,"")))</f>
        <v/>
      </c>
      <c r="AA233" s="113">
        <f>IF(AA$226="","",IF($B233="","",IFERROR(J233*$E233/100,"")))</f>
        <v/>
      </c>
      <c r="AB233" s="113">
        <f>IF(AB$226="","",IF($B233="","",IFERROR(K233*$E233/100,"")))</f>
        <v/>
      </c>
      <c r="AC233" s="113">
        <f>IF(AC$226="","",IF($B233="","",IFERROR(L233*$E233/100,"")))</f>
        <v/>
      </c>
      <c r="AD233" s="113">
        <f>IF(AD$226="","",IF($B233="","",IFERROR(M233*$E233/100,"")))</f>
        <v/>
      </c>
      <c r="AE233" s="113">
        <f>IF(AE$226="","",IF($B233="","",IFERROR(N233*$E233/100,"")))</f>
        <v/>
      </c>
      <c r="AF233" s="113">
        <f>IF(AF$226="","",IF($B233="","",IFERROR(O233*$E233/100,"")))</f>
        <v/>
      </c>
      <c r="AG233" s="113">
        <f>IF(AG$226="","",IF($B233="","",IFERROR(P233*$E233/100,"")))</f>
        <v/>
      </c>
      <c r="AH233" s="113">
        <f>IF(AH$226="","",IF($B233="","",IFERROR(Q233*$E233/100,"")))</f>
        <v/>
      </c>
      <c r="AI233" s="113">
        <f>IF(AI$226="","",IF($B233="","",IFERROR(R233*$E233/100,"")))</f>
        <v/>
      </c>
      <c r="AJ233" s="113">
        <f>IF(AJ$226="","",IF($B233="","",IFERROR(S233*$E233/100,"")))</f>
        <v/>
      </c>
      <c r="AK233" s="113">
        <f>IF(AK$226="","",IF($B233="","",IFERROR(T233*$E233/100,"")))</f>
        <v/>
      </c>
      <c r="AL233" s="113">
        <f>IF(AL$226="","",IF($B233="","",IFERROR(U233*$E233/100,"")))</f>
        <v/>
      </c>
    </row>
    <row r="234">
      <c r="B234" s="5">
        <f>IF(MXAU!$C$11="","",MXAU!$C$11)</f>
        <v/>
      </c>
      <c r="C234" s="86">
        <f>IF(MXAU!$B$11="","",MXAU!$B$11)</f>
        <v/>
      </c>
      <c r="D234" s="111">
        <f>IFERROR(MXAU!$Q$11,1)</f>
        <v/>
      </c>
      <c r="E234" s="112">
        <f>IF($B234="","",IF(ISNUMBER(MXAU!$I$11),MXAU!$I$11,'Index Summary'!$C$7))</f>
        <v/>
      </c>
      <c r="F234" s="113">
        <f>IF(F$226="","",IF($B234="","",IFERROR($C234*$D234*SUMIFS('Dvd Calendar'!$E$431:$CZ$431,'Dvd Calendar'!$E$430:$CZ$430,"&gt;"&amp;F$225,'Dvd Calendar'!$E$430:$CZ$430,"&lt;="&amp;F$226)/MXAU!$B$3,"")))</f>
        <v/>
      </c>
      <c r="G234" s="113">
        <f>IF(G$226="","",IF($B234="","",IFERROR($C234*$D234*SUMIFS('Dvd Calendar'!$E$431:$CZ$431,'Dvd Calendar'!$E$430:$CZ$430,"&gt;"&amp;G$225,'Dvd Calendar'!$E$430:$CZ$430,"&lt;="&amp;G$226)/MXAU!$B$3,"")))</f>
        <v/>
      </c>
      <c r="H234" s="113">
        <f>IF(H$226="","",IF($B234="","",IFERROR($C234*$D234*SUMIFS('Dvd Calendar'!$E$431:$CZ$431,'Dvd Calendar'!$E$430:$CZ$430,"&gt;"&amp;H$225,'Dvd Calendar'!$E$430:$CZ$430,"&lt;="&amp;H$226)/MXAU!$B$3,"")))</f>
        <v/>
      </c>
      <c r="I234" s="113">
        <f>IF(I$226="","",IF($B234="","",IFERROR($C234*$D234*SUMIFS('Dvd Calendar'!$E$431:$CZ$431,'Dvd Calendar'!$E$430:$CZ$430,"&gt;"&amp;I$225,'Dvd Calendar'!$E$430:$CZ$430,"&lt;="&amp;I$226)/MXAU!$B$3,"")))</f>
        <v/>
      </c>
      <c r="J234" s="113">
        <f>IF(J$226="","",IF($B234="","",IFERROR($C234*$D234*SUMIFS('Dvd Calendar'!$E$431:$CZ$431,'Dvd Calendar'!$E$430:$CZ$430,"&gt;"&amp;J$225,'Dvd Calendar'!$E$430:$CZ$430,"&lt;="&amp;J$226)/MXAU!$B$3,"")))</f>
        <v/>
      </c>
      <c r="K234" s="113">
        <f>IF(K$226="","",IF($B234="","",IFERROR($C234*$D234*SUMIFS('Dvd Calendar'!$E$431:$CZ$431,'Dvd Calendar'!$E$430:$CZ$430,"&gt;"&amp;K$225,'Dvd Calendar'!$E$430:$CZ$430,"&lt;="&amp;K$226)/MXAU!$B$3,"")))</f>
        <v/>
      </c>
      <c r="L234" s="113">
        <f>IF(L$226="","",IF($B234="","",IFERROR($C234*$D234*SUMIFS('Dvd Calendar'!$E$431:$CZ$431,'Dvd Calendar'!$E$430:$CZ$430,"&gt;"&amp;L$225,'Dvd Calendar'!$E$430:$CZ$430,"&lt;="&amp;L$226)/MXAU!$B$3,"")))</f>
        <v/>
      </c>
      <c r="M234" s="113">
        <f>IF(M$226="","",IF($B234="","",IFERROR($C234*$D234*SUMIFS('Dvd Calendar'!$E$431:$CZ$431,'Dvd Calendar'!$E$430:$CZ$430,"&gt;"&amp;M$225,'Dvd Calendar'!$E$430:$CZ$430,"&lt;="&amp;M$226)/MXAU!$B$3,"")))</f>
        <v/>
      </c>
      <c r="N234" s="113">
        <f>IF(N$226="","",IF($B234="","",IFERROR($C234*$D234*SUMIFS('Dvd Calendar'!$E$431:$CZ$431,'Dvd Calendar'!$E$430:$CZ$430,"&gt;"&amp;N$225,'Dvd Calendar'!$E$430:$CZ$430,"&lt;="&amp;N$226)/MXAU!$B$3,"")))</f>
        <v/>
      </c>
      <c r="O234" s="113">
        <f>IF(O$226="","",IF($B234="","",IFERROR($C234*$D234*SUMIFS('Dvd Calendar'!$E$431:$CZ$431,'Dvd Calendar'!$E$430:$CZ$430,"&gt;"&amp;O$225,'Dvd Calendar'!$E$430:$CZ$430,"&lt;="&amp;O$226)/MXAU!$B$3,"")))</f>
        <v/>
      </c>
      <c r="P234" s="113">
        <f>IF(P$226="","",IF($B234="","",IFERROR($C234*$D234*SUMIFS('Dvd Calendar'!$E$431:$CZ$431,'Dvd Calendar'!$E$430:$CZ$430,"&gt;"&amp;P$225,'Dvd Calendar'!$E$430:$CZ$430,"&lt;="&amp;P$226)/MXAU!$B$3,"")))</f>
        <v/>
      </c>
      <c r="Q234" s="113">
        <f>IF(Q$226="","",IF($B234="","",IFERROR($C234*$D234*SUMIFS('Dvd Calendar'!$E$431:$CZ$431,'Dvd Calendar'!$E$430:$CZ$430,"&gt;"&amp;Q$225,'Dvd Calendar'!$E$430:$CZ$430,"&lt;="&amp;Q$226)/MXAU!$B$3,"")))</f>
        <v/>
      </c>
      <c r="R234" s="113">
        <f>IF(R$226="","",IF($B234="","",IFERROR($C234*$D234*SUMIFS('Dvd Calendar'!$E$431:$CZ$431,'Dvd Calendar'!$E$430:$CZ$430,"&gt;"&amp;R$225,'Dvd Calendar'!$E$430:$CZ$430,"&lt;="&amp;R$226)/MXAU!$B$3,"")))</f>
        <v/>
      </c>
      <c r="S234" s="113">
        <f>IF(S$226="","",IF($B234="","",IFERROR($C234*$D234*SUMIFS('Dvd Calendar'!$E$431:$CZ$431,'Dvd Calendar'!$E$430:$CZ$430,"&gt;"&amp;S$225,'Dvd Calendar'!$E$430:$CZ$430,"&lt;="&amp;S$226)/MXAU!$B$3,"")))</f>
        <v/>
      </c>
      <c r="T234" s="113">
        <f>IF(T$226="","",IF($B234="","",IFERROR($C234*$D234*SUMIFS('Dvd Calendar'!$E$431:$CZ$431,'Dvd Calendar'!$E$430:$CZ$430,"&gt;"&amp;T$225,'Dvd Calendar'!$E$430:$CZ$430,"&lt;="&amp;T$226)/MXAU!$B$3,"")))</f>
        <v/>
      </c>
      <c r="U234" s="113">
        <f>IF(U$226="","",IF($B234="","",IFERROR($C234*$D234*SUMIFS('Dvd Calendar'!$E$431:$CZ$431,'Dvd Calendar'!$E$430:$CZ$430,"&gt;"&amp;U$225,'Dvd Calendar'!$E$430:$CZ$430,"&lt;="&amp;U$226)/MXAU!$B$3,"")))</f>
        <v/>
      </c>
      <c r="W234" s="113">
        <f>IF(W$226="","",IF($B234="","",IFERROR(F234*$E234/100,"")))</f>
        <v/>
      </c>
      <c r="X234" s="113">
        <f>IF(X$226="","",IF($B234="","",IFERROR(G234*$E234/100,"")))</f>
        <v/>
      </c>
      <c r="Y234" s="113">
        <f>IF(Y$226="","",IF($B234="","",IFERROR(H234*$E234/100,"")))</f>
        <v/>
      </c>
      <c r="Z234" s="113">
        <f>IF(Z$226="","",IF($B234="","",IFERROR(I234*$E234/100,"")))</f>
        <v/>
      </c>
      <c r="AA234" s="113">
        <f>IF(AA$226="","",IF($B234="","",IFERROR(J234*$E234/100,"")))</f>
        <v/>
      </c>
      <c r="AB234" s="113">
        <f>IF(AB$226="","",IF($B234="","",IFERROR(K234*$E234/100,"")))</f>
        <v/>
      </c>
      <c r="AC234" s="113">
        <f>IF(AC$226="","",IF($B234="","",IFERROR(L234*$E234/100,"")))</f>
        <v/>
      </c>
      <c r="AD234" s="113">
        <f>IF(AD$226="","",IF($B234="","",IFERROR(M234*$E234/100,"")))</f>
        <v/>
      </c>
      <c r="AE234" s="113">
        <f>IF(AE$226="","",IF($B234="","",IFERROR(N234*$E234/100,"")))</f>
        <v/>
      </c>
      <c r="AF234" s="113">
        <f>IF(AF$226="","",IF($B234="","",IFERROR(O234*$E234/100,"")))</f>
        <v/>
      </c>
      <c r="AG234" s="113">
        <f>IF(AG$226="","",IF($B234="","",IFERROR(P234*$E234/100,"")))</f>
        <v/>
      </c>
      <c r="AH234" s="113">
        <f>IF(AH$226="","",IF($B234="","",IFERROR(Q234*$E234/100,"")))</f>
        <v/>
      </c>
      <c r="AI234" s="113">
        <f>IF(AI$226="","",IF($B234="","",IFERROR(R234*$E234/100,"")))</f>
        <v/>
      </c>
      <c r="AJ234" s="113">
        <f>IF(AJ$226="","",IF($B234="","",IFERROR(S234*$E234/100,"")))</f>
        <v/>
      </c>
      <c r="AK234" s="113">
        <f>IF(AK$226="","",IF($B234="","",IFERROR(T234*$E234/100,"")))</f>
        <v/>
      </c>
      <c r="AL234" s="113">
        <f>IF(AL$226="","",IF($B234="","",IFERROR(U234*$E234/100,"")))</f>
        <v/>
      </c>
    </row>
    <row r="235">
      <c r="B235" s="5">
        <f>IF(MXAU!$C$12="","",MXAU!$C$12)</f>
        <v/>
      </c>
      <c r="C235" s="86">
        <f>IF(MXAU!$B$12="","",MXAU!$B$12)</f>
        <v/>
      </c>
      <c r="D235" s="111">
        <f>IFERROR(MXAU!$Q$12,1)</f>
        <v/>
      </c>
      <c r="E235" s="112">
        <f>IF($B235="","",IF(ISNUMBER(MXAU!$I$12),MXAU!$I$12,'Index Summary'!$C$7))</f>
        <v/>
      </c>
      <c r="F235" s="113">
        <f>IF(F$226="","",IF($B235="","",IFERROR($C235*$D235*SUMIFS('Dvd Calendar'!$E$433:$CZ$433,'Dvd Calendar'!$E$432:$CZ$432,"&gt;"&amp;F$225,'Dvd Calendar'!$E$432:$CZ$432,"&lt;="&amp;F$226)/MXAU!$B$3,"")))</f>
        <v/>
      </c>
      <c r="G235" s="113">
        <f>IF(G$226="","",IF($B235="","",IFERROR($C235*$D235*SUMIFS('Dvd Calendar'!$E$433:$CZ$433,'Dvd Calendar'!$E$432:$CZ$432,"&gt;"&amp;G$225,'Dvd Calendar'!$E$432:$CZ$432,"&lt;="&amp;G$226)/MXAU!$B$3,"")))</f>
        <v/>
      </c>
      <c r="H235" s="113">
        <f>IF(H$226="","",IF($B235="","",IFERROR($C235*$D235*SUMIFS('Dvd Calendar'!$E$433:$CZ$433,'Dvd Calendar'!$E$432:$CZ$432,"&gt;"&amp;H$225,'Dvd Calendar'!$E$432:$CZ$432,"&lt;="&amp;H$226)/MXAU!$B$3,"")))</f>
        <v/>
      </c>
      <c r="I235" s="113">
        <f>IF(I$226="","",IF($B235="","",IFERROR($C235*$D235*SUMIFS('Dvd Calendar'!$E$433:$CZ$433,'Dvd Calendar'!$E$432:$CZ$432,"&gt;"&amp;I$225,'Dvd Calendar'!$E$432:$CZ$432,"&lt;="&amp;I$226)/MXAU!$B$3,"")))</f>
        <v/>
      </c>
      <c r="J235" s="113">
        <f>IF(J$226="","",IF($B235="","",IFERROR($C235*$D235*SUMIFS('Dvd Calendar'!$E$433:$CZ$433,'Dvd Calendar'!$E$432:$CZ$432,"&gt;"&amp;J$225,'Dvd Calendar'!$E$432:$CZ$432,"&lt;="&amp;J$226)/MXAU!$B$3,"")))</f>
        <v/>
      </c>
      <c r="K235" s="113">
        <f>IF(K$226="","",IF($B235="","",IFERROR($C235*$D235*SUMIFS('Dvd Calendar'!$E$433:$CZ$433,'Dvd Calendar'!$E$432:$CZ$432,"&gt;"&amp;K$225,'Dvd Calendar'!$E$432:$CZ$432,"&lt;="&amp;K$226)/MXAU!$B$3,"")))</f>
        <v/>
      </c>
      <c r="L235" s="113">
        <f>IF(L$226="","",IF($B235="","",IFERROR($C235*$D235*SUMIFS('Dvd Calendar'!$E$433:$CZ$433,'Dvd Calendar'!$E$432:$CZ$432,"&gt;"&amp;L$225,'Dvd Calendar'!$E$432:$CZ$432,"&lt;="&amp;L$226)/MXAU!$B$3,"")))</f>
        <v/>
      </c>
      <c r="M235" s="113">
        <f>IF(M$226="","",IF($B235="","",IFERROR($C235*$D235*SUMIFS('Dvd Calendar'!$E$433:$CZ$433,'Dvd Calendar'!$E$432:$CZ$432,"&gt;"&amp;M$225,'Dvd Calendar'!$E$432:$CZ$432,"&lt;="&amp;M$226)/MXAU!$B$3,"")))</f>
        <v/>
      </c>
      <c r="N235" s="113">
        <f>IF(N$226="","",IF($B235="","",IFERROR($C235*$D235*SUMIFS('Dvd Calendar'!$E$433:$CZ$433,'Dvd Calendar'!$E$432:$CZ$432,"&gt;"&amp;N$225,'Dvd Calendar'!$E$432:$CZ$432,"&lt;="&amp;N$226)/MXAU!$B$3,"")))</f>
        <v/>
      </c>
      <c r="O235" s="113">
        <f>IF(O$226="","",IF($B235="","",IFERROR($C235*$D235*SUMIFS('Dvd Calendar'!$E$433:$CZ$433,'Dvd Calendar'!$E$432:$CZ$432,"&gt;"&amp;O$225,'Dvd Calendar'!$E$432:$CZ$432,"&lt;="&amp;O$226)/MXAU!$B$3,"")))</f>
        <v/>
      </c>
      <c r="P235" s="113">
        <f>IF(P$226="","",IF($B235="","",IFERROR($C235*$D235*SUMIFS('Dvd Calendar'!$E$433:$CZ$433,'Dvd Calendar'!$E$432:$CZ$432,"&gt;"&amp;P$225,'Dvd Calendar'!$E$432:$CZ$432,"&lt;="&amp;P$226)/MXAU!$B$3,"")))</f>
        <v/>
      </c>
      <c r="Q235" s="113">
        <f>IF(Q$226="","",IF($B235="","",IFERROR($C235*$D235*SUMIFS('Dvd Calendar'!$E$433:$CZ$433,'Dvd Calendar'!$E$432:$CZ$432,"&gt;"&amp;Q$225,'Dvd Calendar'!$E$432:$CZ$432,"&lt;="&amp;Q$226)/MXAU!$B$3,"")))</f>
        <v/>
      </c>
      <c r="R235" s="113">
        <f>IF(R$226="","",IF($B235="","",IFERROR($C235*$D235*SUMIFS('Dvd Calendar'!$E$433:$CZ$433,'Dvd Calendar'!$E$432:$CZ$432,"&gt;"&amp;R$225,'Dvd Calendar'!$E$432:$CZ$432,"&lt;="&amp;R$226)/MXAU!$B$3,"")))</f>
        <v/>
      </c>
      <c r="S235" s="113">
        <f>IF(S$226="","",IF($B235="","",IFERROR($C235*$D235*SUMIFS('Dvd Calendar'!$E$433:$CZ$433,'Dvd Calendar'!$E$432:$CZ$432,"&gt;"&amp;S$225,'Dvd Calendar'!$E$432:$CZ$432,"&lt;="&amp;S$226)/MXAU!$B$3,"")))</f>
        <v/>
      </c>
      <c r="T235" s="113">
        <f>IF(T$226="","",IF($B235="","",IFERROR($C235*$D235*SUMIFS('Dvd Calendar'!$E$433:$CZ$433,'Dvd Calendar'!$E$432:$CZ$432,"&gt;"&amp;T$225,'Dvd Calendar'!$E$432:$CZ$432,"&lt;="&amp;T$226)/MXAU!$B$3,"")))</f>
        <v/>
      </c>
      <c r="U235" s="113">
        <f>IF(U$226="","",IF($B235="","",IFERROR($C235*$D235*SUMIFS('Dvd Calendar'!$E$433:$CZ$433,'Dvd Calendar'!$E$432:$CZ$432,"&gt;"&amp;U$225,'Dvd Calendar'!$E$432:$CZ$432,"&lt;="&amp;U$226)/MXAU!$B$3,"")))</f>
        <v/>
      </c>
      <c r="W235" s="113">
        <f>IF(W$226="","",IF($B235="","",IFERROR(F235*$E235/100,"")))</f>
        <v/>
      </c>
      <c r="X235" s="113">
        <f>IF(X$226="","",IF($B235="","",IFERROR(G235*$E235/100,"")))</f>
        <v/>
      </c>
      <c r="Y235" s="113">
        <f>IF(Y$226="","",IF($B235="","",IFERROR(H235*$E235/100,"")))</f>
        <v/>
      </c>
      <c r="Z235" s="113">
        <f>IF(Z$226="","",IF($B235="","",IFERROR(I235*$E235/100,"")))</f>
        <v/>
      </c>
      <c r="AA235" s="113">
        <f>IF(AA$226="","",IF($B235="","",IFERROR(J235*$E235/100,"")))</f>
        <v/>
      </c>
      <c r="AB235" s="113">
        <f>IF(AB$226="","",IF($B235="","",IFERROR(K235*$E235/100,"")))</f>
        <v/>
      </c>
      <c r="AC235" s="113">
        <f>IF(AC$226="","",IF($B235="","",IFERROR(L235*$E235/100,"")))</f>
        <v/>
      </c>
      <c r="AD235" s="113">
        <f>IF(AD$226="","",IF($B235="","",IFERROR(M235*$E235/100,"")))</f>
        <v/>
      </c>
      <c r="AE235" s="113">
        <f>IF(AE$226="","",IF($B235="","",IFERROR(N235*$E235/100,"")))</f>
        <v/>
      </c>
      <c r="AF235" s="113">
        <f>IF(AF$226="","",IF($B235="","",IFERROR(O235*$E235/100,"")))</f>
        <v/>
      </c>
      <c r="AG235" s="113">
        <f>IF(AG$226="","",IF($B235="","",IFERROR(P235*$E235/100,"")))</f>
        <v/>
      </c>
      <c r="AH235" s="113">
        <f>IF(AH$226="","",IF($B235="","",IFERROR(Q235*$E235/100,"")))</f>
        <v/>
      </c>
      <c r="AI235" s="113">
        <f>IF(AI$226="","",IF($B235="","",IFERROR(R235*$E235/100,"")))</f>
        <v/>
      </c>
      <c r="AJ235" s="113">
        <f>IF(AJ$226="","",IF($B235="","",IFERROR(S235*$E235/100,"")))</f>
        <v/>
      </c>
      <c r="AK235" s="113">
        <f>IF(AK$226="","",IF($B235="","",IFERROR(T235*$E235/100,"")))</f>
        <v/>
      </c>
      <c r="AL235" s="113">
        <f>IF(AL$226="","",IF($B235="","",IFERROR(U235*$E235/100,"")))</f>
        <v/>
      </c>
    </row>
    <row r="236">
      <c r="B236" s="5">
        <f>IF(MXAU!$C$13="","",MXAU!$C$13)</f>
        <v/>
      </c>
      <c r="C236" s="86">
        <f>IF(MXAU!$B$13="","",MXAU!$B$13)</f>
        <v/>
      </c>
      <c r="D236" s="111">
        <f>IFERROR(MXAU!$Q$13,1)</f>
        <v/>
      </c>
      <c r="E236" s="112">
        <f>IF($B236="","",IF(ISNUMBER(MXAU!$I$13),MXAU!$I$13,'Index Summary'!$C$7))</f>
        <v/>
      </c>
      <c r="F236" s="113">
        <f>IF(F$226="","",IF($B236="","",IFERROR($C236*$D236*SUMIFS('Dvd Calendar'!$E$435:$CZ$435,'Dvd Calendar'!$E$434:$CZ$434,"&gt;"&amp;F$225,'Dvd Calendar'!$E$434:$CZ$434,"&lt;="&amp;F$226)/MXAU!$B$3,"")))</f>
        <v/>
      </c>
      <c r="G236" s="113">
        <f>IF(G$226="","",IF($B236="","",IFERROR($C236*$D236*SUMIFS('Dvd Calendar'!$E$435:$CZ$435,'Dvd Calendar'!$E$434:$CZ$434,"&gt;"&amp;G$225,'Dvd Calendar'!$E$434:$CZ$434,"&lt;="&amp;G$226)/MXAU!$B$3,"")))</f>
        <v/>
      </c>
      <c r="H236" s="113">
        <f>IF(H$226="","",IF($B236="","",IFERROR($C236*$D236*SUMIFS('Dvd Calendar'!$E$435:$CZ$435,'Dvd Calendar'!$E$434:$CZ$434,"&gt;"&amp;H$225,'Dvd Calendar'!$E$434:$CZ$434,"&lt;="&amp;H$226)/MXAU!$B$3,"")))</f>
        <v/>
      </c>
      <c r="I236" s="113">
        <f>IF(I$226="","",IF($B236="","",IFERROR($C236*$D236*SUMIFS('Dvd Calendar'!$E$435:$CZ$435,'Dvd Calendar'!$E$434:$CZ$434,"&gt;"&amp;I$225,'Dvd Calendar'!$E$434:$CZ$434,"&lt;="&amp;I$226)/MXAU!$B$3,"")))</f>
        <v/>
      </c>
      <c r="J236" s="113">
        <f>IF(J$226="","",IF($B236="","",IFERROR($C236*$D236*SUMIFS('Dvd Calendar'!$E$435:$CZ$435,'Dvd Calendar'!$E$434:$CZ$434,"&gt;"&amp;J$225,'Dvd Calendar'!$E$434:$CZ$434,"&lt;="&amp;J$226)/MXAU!$B$3,"")))</f>
        <v/>
      </c>
      <c r="K236" s="113">
        <f>IF(K$226="","",IF($B236="","",IFERROR($C236*$D236*SUMIFS('Dvd Calendar'!$E$435:$CZ$435,'Dvd Calendar'!$E$434:$CZ$434,"&gt;"&amp;K$225,'Dvd Calendar'!$E$434:$CZ$434,"&lt;="&amp;K$226)/MXAU!$B$3,"")))</f>
        <v/>
      </c>
      <c r="L236" s="113">
        <f>IF(L$226="","",IF($B236="","",IFERROR($C236*$D236*SUMIFS('Dvd Calendar'!$E$435:$CZ$435,'Dvd Calendar'!$E$434:$CZ$434,"&gt;"&amp;L$225,'Dvd Calendar'!$E$434:$CZ$434,"&lt;="&amp;L$226)/MXAU!$B$3,"")))</f>
        <v/>
      </c>
      <c r="M236" s="113">
        <f>IF(M$226="","",IF($B236="","",IFERROR($C236*$D236*SUMIFS('Dvd Calendar'!$E$435:$CZ$435,'Dvd Calendar'!$E$434:$CZ$434,"&gt;"&amp;M$225,'Dvd Calendar'!$E$434:$CZ$434,"&lt;="&amp;M$226)/MXAU!$B$3,"")))</f>
        <v/>
      </c>
      <c r="N236" s="113">
        <f>IF(N$226="","",IF($B236="","",IFERROR($C236*$D236*SUMIFS('Dvd Calendar'!$E$435:$CZ$435,'Dvd Calendar'!$E$434:$CZ$434,"&gt;"&amp;N$225,'Dvd Calendar'!$E$434:$CZ$434,"&lt;="&amp;N$226)/MXAU!$B$3,"")))</f>
        <v/>
      </c>
      <c r="O236" s="113">
        <f>IF(O$226="","",IF($B236="","",IFERROR($C236*$D236*SUMIFS('Dvd Calendar'!$E$435:$CZ$435,'Dvd Calendar'!$E$434:$CZ$434,"&gt;"&amp;O$225,'Dvd Calendar'!$E$434:$CZ$434,"&lt;="&amp;O$226)/MXAU!$B$3,"")))</f>
        <v/>
      </c>
      <c r="P236" s="113">
        <f>IF(P$226="","",IF($B236="","",IFERROR($C236*$D236*SUMIFS('Dvd Calendar'!$E$435:$CZ$435,'Dvd Calendar'!$E$434:$CZ$434,"&gt;"&amp;P$225,'Dvd Calendar'!$E$434:$CZ$434,"&lt;="&amp;P$226)/MXAU!$B$3,"")))</f>
        <v/>
      </c>
      <c r="Q236" s="113">
        <f>IF(Q$226="","",IF($B236="","",IFERROR($C236*$D236*SUMIFS('Dvd Calendar'!$E$435:$CZ$435,'Dvd Calendar'!$E$434:$CZ$434,"&gt;"&amp;Q$225,'Dvd Calendar'!$E$434:$CZ$434,"&lt;="&amp;Q$226)/MXAU!$B$3,"")))</f>
        <v/>
      </c>
      <c r="R236" s="113">
        <f>IF(R$226="","",IF($B236="","",IFERROR($C236*$D236*SUMIFS('Dvd Calendar'!$E$435:$CZ$435,'Dvd Calendar'!$E$434:$CZ$434,"&gt;"&amp;R$225,'Dvd Calendar'!$E$434:$CZ$434,"&lt;="&amp;R$226)/MXAU!$B$3,"")))</f>
        <v/>
      </c>
      <c r="S236" s="113">
        <f>IF(S$226="","",IF($B236="","",IFERROR($C236*$D236*SUMIFS('Dvd Calendar'!$E$435:$CZ$435,'Dvd Calendar'!$E$434:$CZ$434,"&gt;"&amp;S$225,'Dvd Calendar'!$E$434:$CZ$434,"&lt;="&amp;S$226)/MXAU!$B$3,"")))</f>
        <v/>
      </c>
      <c r="T236" s="113">
        <f>IF(T$226="","",IF($B236="","",IFERROR($C236*$D236*SUMIFS('Dvd Calendar'!$E$435:$CZ$435,'Dvd Calendar'!$E$434:$CZ$434,"&gt;"&amp;T$225,'Dvd Calendar'!$E$434:$CZ$434,"&lt;="&amp;T$226)/MXAU!$B$3,"")))</f>
        <v/>
      </c>
      <c r="U236" s="113">
        <f>IF(U$226="","",IF($B236="","",IFERROR($C236*$D236*SUMIFS('Dvd Calendar'!$E$435:$CZ$435,'Dvd Calendar'!$E$434:$CZ$434,"&gt;"&amp;U$225,'Dvd Calendar'!$E$434:$CZ$434,"&lt;="&amp;U$226)/MXAU!$B$3,"")))</f>
        <v/>
      </c>
      <c r="W236" s="113">
        <f>IF(W$226="","",IF($B236="","",IFERROR(F236*$E236/100,"")))</f>
        <v/>
      </c>
      <c r="X236" s="113">
        <f>IF(X$226="","",IF($B236="","",IFERROR(G236*$E236/100,"")))</f>
        <v/>
      </c>
      <c r="Y236" s="113">
        <f>IF(Y$226="","",IF($B236="","",IFERROR(H236*$E236/100,"")))</f>
        <v/>
      </c>
      <c r="Z236" s="113">
        <f>IF(Z$226="","",IF($B236="","",IFERROR(I236*$E236/100,"")))</f>
        <v/>
      </c>
      <c r="AA236" s="113">
        <f>IF(AA$226="","",IF($B236="","",IFERROR(J236*$E236/100,"")))</f>
        <v/>
      </c>
      <c r="AB236" s="113">
        <f>IF(AB$226="","",IF($B236="","",IFERROR(K236*$E236/100,"")))</f>
        <v/>
      </c>
      <c r="AC236" s="113">
        <f>IF(AC$226="","",IF($B236="","",IFERROR(L236*$E236/100,"")))</f>
        <v/>
      </c>
      <c r="AD236" s="113">
        <f>IF(AD$226="","",IF($B236="","",IFERROR(M236*$E236/100,"")))</f>
        <v/>
      </c>
      <c r="AE236" s="113">
        <f>IF(AE$226="","",IF($B236="","",IFERROR(N236*$E236/100,"")))</f>
        <v/>
      </c>
      <c r="AF236" s="113">
        <f>IF(AF$226="","",IF($B236="","",IFERROR(O236*$E236/100,"")))</f>
        <v/>
      </c>
      <c r="AG236" s="113">
        <f>IF(AG$226="","",IF($B236="","",IFERROR(P236*$E236/100,"")))</f>
        <v/>
      </c>
      <c r="AH236" s="113">
        <f>IF(AH$226="","",IF($B236="","",IFERROR(Q236*$E236/100,"")))</f>
        <v/>
      </c>
      <c r="AI236" s="113">
        <f>IF(AI$226="","",IF($B236="","",IFERROR(R236*$E236/100,"")))</f>
        <v/>
      </c>
      <c r="AJ236" s="113">
        <f>IF(AJ$226="","",IF($B236="","",IFERROR(S236*$E236/100,"")))</f>
        <v/>
      </c>
      <c r="AK236" s="113">
        <f>IF(AK$226="","",IF($B236="","",IFERROR(T236*$E236/100,"")))</f>
        <v/>
      </c>
      <c r="AL236" s="113">
        <f>IF(AL$226="","",IF($B236="","",IFERROR(U236*$E236/100,"")))</f>
        <v/>
      </c>
    </row>
    <row r="237">
      <c r="B237" s="5">
        <f>IF(MXAU!$C$14="","",MXAU!$C$14)</f>
        <v/>
      </c>
      <c r="C237" s="86">
        <f>IF(MXAU!$B$14="","",MXAU!$B$14)</f>
        <v/>
      </c>
      <c r="D237" s="111">
        <f>IFERROR(MXAU!$Q$14,1)</f>
        <v/>
      </c>
      <c r="E237" s="112">
        <f>IF($B237="","",IF(ISNUMBER(MXAU!$I$14),MXAU!$I$14,'Index Summary'!$C$7))</f>
        <v/>
      </c>
      <c r="F237" s="113">
        <f>IF(F$226="","",IF($B237="","",IFERROR($C237*$D237*SUMIFS('Dvd Calendar'!$E$437:$CZ$437,'Dvd Calendar'!$E$436:$CZ$436,"&gt;"&amp;F$225,'Dvd Calendar'!$E$436:$CZ$436,"&lt;="&amp;F$226)/MXAU!$B$3,"")))</f>
        <v/>
      </c>
      <c r="G237" s="113">
        <f>IF(G$226="","",IF($B237="","",IFERROR($C237*$D237*SUMIFS('Dvd Calendar'!$E$437:$CZ$437,'Dvd Calendar'!$E$436:$CZ$436,"&gt;"&amp;G$225,'Dvd Calendar'!$E$436:$CZ$436,"&lt;="&amp;G$226)/MXAU!$B$3,"")))</f>
        <v/>
      </c>
      <c r="H237" s="113">
        <f>IF(H$226="","",IF($B237="","",IFERROR($C237*$D237*SUMIFS('Dvd Calendar'!$E$437:$CZ$437,'Dvd Calendar'!$E$436:$CZ$436,"&gt;"&amp;H$225,'Dvd Calendar'!$E$436:$CZ$436,"&lt;="&amp;H$226)/MXAU!$B$3,"")))</f>
        <v/>
      </c>
      <c r="I237" s="113">
        <f>IF(I$226="","",IF($B237="","",IFERROR($C237*$D237*SUMIFS('Dvd Calendar'!$E$437:$CZ$437,'Dvd Calendar'!$E$436:$CZ$436,"&gt;"&amp;I$225,'Dvd Calendar'!$E$436:$CZ$436,"&lt;="&amp;I$226)/MXAU!$B$3,"")))</f>
        <v/>
      </c>
      <c r="J237" s="113">
        <f>IF(J$226="","",IF($B237="","",IFERROR($C237*$D237*SUMIFS('Dvd Calendar'!$E$437:$CZ$437,'Dvd Calendar'!$E$436:$CZ$436,"&gt;"&amp;J$225,'Dvd Calendar'!$E$436:$CZ$436,"&lt;="&amp;J$226)/MXAU!$B$3,"")))</f>
        <v/>
      </c>
      <c r="K237" s="113">
        <f>IF(K$226="","",IF($B237="","",IFERROR($C237*$D237*SUMIFS('Dvd Calendar'!$E$437:$CZ$437,'Dvd Calendar'!$E$436:$CZ$436,"&gt;"&amp;K$225,'Dvd Calendar'!$E$436:$CZ$436,"&lt;="&amp;K$226)/MXAU!$B$3,"")))</f>
        <v/>
      </c>
      <c r="L237" s="113">
        <f>IF(L$226="","",IF($B237="","",IFERROR($C237*$D237*SUMIFS('Dvd Calendar'!$E$437:$CZ$437,'Dvd Calendar'!$E$436:$CZ$436,"&gt;"&amp;L$225,'Dvd Calendar'!$E$436:$CZ$436,"&lt;="&amp;L$226)/MXAU!$B$3,"")))</f>
        <v/>
      </c>
      <c r="M237" s="113">
        <f>IF(M$226="","",IF($B237="","",IFERROR($C237*$D237*SUMIFS('Dvd Calendar'!$E$437:$CZ$437,'Dvd Calendar'!$E$436:$CZ$436,"&gt;"&amp;M$225,'Dvd Calendar'!$E$436:$CZ$436,"&lt;="&amp;M$226)/MXAU!$B$3,"")))</f>
        <v/>
      </c>
      <c r="N237" s="113">
        <f>IF(N$226="","",IF($B237="","",IFERROR($C237*$D237*SUMIFS('Dvd Calendar'!$E$437:$CZ$437,'Dvd Calendar'!$E$436:$CZ$436,"&gt;"&amp;N$225,'Dvd Calendar'!$E$436:$CZ$436,"&lt;="&amp;N$226)/MXAU!$B$3,"")))</f>
        <v/>
      </c>
      <c r="O237" s="113">
        <f>IF(O$226="","",IF($B237="","",IFERROR($C237*$D237*SUMIFS('Dvd Calendar'!$E$437:$CZ$437,'Dvd Calendar'!$E$436:$CZ$436,"&gt;"&amp;O$225,'Dvd Calendar'!$E$436:$CZ$436,"&lt;="&amp;O$226)/MXAU!$B$3,"")))</f>
        <v/>
      </c>
      <c r="P237" s="113">
        <f>IF(P$226="","",IF($B237="","",IFERROR($C237*$D237*SUMIFS('Dvd Calendar'!$E$437:$CZ$437,'Dvd Calendar'!$E$436:$CZ$436,"&gt;"&amp;P$225,'Dvd Calendar'!$E$436:$CZ$436,"&lt;="&amp;P$226)/MXAU!$B$3,"")))</f>
        <v/>
      </c>
      <c r="Q237" s="113">
        <f>IF(Q$226="","",IF($B237="","",IFERROR($C237*$D237*SUMIFS('Dvd Calendar'!$E$437:$CZ$437,'Dvd Calendar'!$E$436:$CZ$436,"&gt;"&amp;Q$225,'Dvd Calendar'!$E$436:$CZ$436,"&lt;="&amp;Q$226)/MXAU!$B$3,"")))</f>
        <v/>
      </c>
      <c r="R237" s="113">
        <f>IF(R$226="","",IF($B237="","",IFERROR($C237*$D237*SUMIFS('Dvd Calendar'!$E$437:$CZ$437,'Dvd Calendar'!$E$436:$CZ$436,"&gt;"&amp;R$225,'Dvd Calendar'!$E$436:$CZ$436,"&lt;="&amp;R$226)/MXAU!$B$3,"")))</f>
        <v/>
      </c>
      <c r="S237" s="113">
        <f>IF(S$226="","",IF($B237="","",IFERROR($C237*$D237*SUMIFS('Dvd Calendar'!$E$437:$CZ$437,'Dvd Calendar'!$E$436:$CZ$436,"&gt;"&amp;S$225,'Dvd Calendar'!$E$436:$CZ$436,"&lt;="&amp;S$226)/MXAU!$B$3,"")))</f>
        <v/>
      </c>
      <c r="T237" s="113">
        <f>IF(T$226="","",IF($B237="","",IFERROR($C237*$D237*SUMIFS('Dvd Calendar'!$E$437:$CZ$437,'Dvd Calendar'!$E$436:$CZ$436,"&gt;"&amp;T$225,'Dvd Calendar'!$E$436:$CZ$436,"&lt;="&amp;T$226)/MXAU!$B$3,"")))</f>
        <v/>
      </c>
      <c r="U237" s="113">
        <f>IF(U$226="","",IF($B237="","",IFERROR($C237*$D237*SUMIFS('Dvd Calendar'!$E$437:$CZ$437,'Dvd Calendar'!$E$436:$CZ$436,"&gt;"&amp;U$225,'Dvd Calendar'!$E$436:$CZ$436,"&lt;="&amp;U$226)/MXAU!$B$3,"")))</f>
        <v/>
      </c>
      <c r="W237" s="113">
        <f>IF(W$226="","",IF($B237="","",IFERROR(F237*$E237/100,"")))</f>
        <v/>
      </c>
      <c r="X237" s="113">
        <f>IF(X$226="","",IF($B237="","",IFERROR(G237*$E237/100,"")))</f>
        <v/>
      </c>
      <c r="Y237" s="113">
        <f>IF(Y$226="","",IF($B237="","",IFERROR(H237*$E237/100,"")))</f>
        <v/>
      </c>
      <c r="Z237" s="113">
        <f>IF(Z$226="","",IF($B237="","",IFERROR(I237*$E237/100,"")))</f>
        <v/>
      </c>
      <c r="AA237" s="113">
        <f>IF(AA$226="","",IF($B237="","",IFERROR(J237*$E237/100,"")))</f>
        <v/>
      </c>
      <c r="AB237" s="113">
        <f>IF(AB$226="","",IF($B237="","",IFERROR(K237*$E237/100,"")))</f>
        <v/>
      </c>
      <c r="AC237" s="113">
        <f>IF(AC$226="","",IF($B237="","",IFERROR(L237*$E237/100,"")))</f>
        <v/>
      </c>
      <c r="AD237" s="113">
        <f>IF(AD$226="","",IF($B237="","",IFERROR(M237*$E237/100,"")))</f>
        <v/>
      </c>
      <c r="AE237" s="113">
        <f>IF(AE$226="","",IF($B237="","",IFERROR(N237*$E237/100,"")))</f>
        <v/>
      </c>
      <c r="AF237" s="113">
        <f>IF(AF$226="","",IF($B237="","",IFERROR(O237*$E237/100,"")))</f>
        <v/>
      </c>
      <c r="AG237" s="113">
        <f>IF(AG$226="","",IF($B237="","",IFERROR(P237*$E237/100,"")))</f>
        <v/>
      </c>
      <c r="AH237" s="113">
        <f>IF(AH$226="","",IF($B237="","",IFERROR(Q237*$E237/100,"")))</f>
        <v/>
      </c>
      <c r="AI237" s="113">
        <f>IF(AI$226="","",IF($B237="","",IFERROR(R237*$E237/100,"")))</f>
        <v/>
      </c>
      <c r="AJ237" s="113">
        <f>IF(AJ$226="","",IF($B237="","",IFERROR(S237*$E237/100,"")))</f>
        <v/>
      </c>
      <c r="AK237" s="113">
        <f>IF(AK$226="","",IF($B237="","",IFERROR(T237*$E237/100,"")))</f>
        <v/>
      </c>
      <c r="AL237" s="113">
        <f>IF(AL$226="","",IF($B237="","",IFERROR(U237*$E237/100,"")))</f>
        <v/>
      </c>
    </row>
    <row r="238">
      <c r="B238" s="5">
        <f>IF(MXAU!$C$15="","",MXAU!$C$15)</f>
        <v/>
      </c>
      <c r="C238" s="86">
        <f>IF(MXAU!$B$15="","",MXAU!$B$15)</f>
        <v/>
      </c>
      <c r="D238" s="111">
        <f>IFERROR(MXAU!$Q$15,1)</f>
        <v/>
      </c>
      <c r="E238" s="112">
        <f>IF($B238="","",IF(ISNUMBER(MXAU!$I$15),MXAU!$I$15,'Index Summary'!$C$7))</f>
        <v/>
      </c>
      <c r="F238" s="113">
        <f>IF(F$226="","",IF($B238="","",IFERROR($C238*$D238*SUMIFS('Dvd Calendar'!$E$439:$CZ$439,'Dvd Calendar'!$E$438:$CZ$438,"&gt;"&amp;F$225,'Dvd Calendar'!$E$438:$CZ$438,"&lt;="&amp;F$226)/MXAU!$B$3,"")))</f>
        <v/>
      </c>
      <c r="G238" s="113">
        <f>IF(G$226="","",IF($B238="","",IFERROR($C238*$D238*SUMIFS('Dvd Calendar'!$E$439:$CZ$439,'Dvd Calendar'!$E$438:$CZ$438,"&gt;"&amp;G$225,'Dvd Calendar'!$E$438:$CZ$438,"&lt;="&amp;G$226)/MXAU!$B$3,"")))</f>
        <v/>
      </c>
      <c r="H238" s="113">
        <f>IF(H$226="","",IF($B238="","",IFERROR($C238*$D238*SUMIFS('Dvd Calendar'!$E$439:$CZ$439,'Dvd Calendar'!$E$438:$CZ$438,"&gt;"&amp;H$225,'Dvd Calendar'!$E$438:$CZ$438,"&lt;="&amp;H$226)/MXAU!$B$3,"")))</f>
        <v/>
      </c>
      <c r="I238" s="113">
        <f>IF(I$226="","",IF($B238="","",IFERROR($C238*$D238*SUMIFS('Dvd Calendar'!$E$439:$CZ$439,'Dvd Calendar'!$E$438:$CZ$438,"&gt;"&amp;I$225,'Dvd Calendar'!$E$438:$CZ$438,"&lt;="&amp;I$226)/MXAU!$B$3,"")))</f>
        <v/>
      </c>
      <c r="J238" s="113">
        <f>IF(J$226="","",IF($B238="","",IFERROR($C238*$D238*SUMIFS('Dvd Calendar'!$E$439:$CZ$439,'Dvd Calendar'!$E$438:$CZ$438,"&gt;"&amp;J$225,'Dvd Calendar'!$E$438:$CZ$438,"&lt;="&amp;J$226)/MXAU!$B$3,"")))</f>
        <v/>
      </c>
      <c r="K238" s="113">
        <f>IF(K$226="","",IF($B238="","",IFERROR($C238*$D238*SUMIFS('Dvd Calendar'!$E$439:$CZ$439,'Dvd Calendar'!$E$438:$CZ$438,"&gt;"&amp;K$225,'Dvd Calendar'!$E$438:$CZ$438,"&lt;="&amp;K$226)/MXAU!$B$3,"")))</f>
        <v/>
      </c>
      <c r="L238" s="113">
        <f>IF(L$226="","",IF($B238="","",IFERROR($C238*$D238*SUMIFS('Dvd Calendar'!$E$439:$CZ$439,'Dvd Calendar'!$E$438:$CZ$438,"&gt;"&amp;L$225,'Dvd Calendar'!$E$438:$CZ$438,"&lt;="&amp;L$226)/MXAU!$B$3,"")))</f>
        <v/>
      </c>
      <c r="M238" s="113">
        <f>IF(M$226="","",IF($B238="","",IFERROR($C238*$D238*SUMIFS('Dvd Calendar'!$E$439:$CZ$439,'Dvd Calendar'!$E$438:$CZ$438,"&gt;"&amp;M$225,'Dvd Calendar'!$E$438:$CZ$438,"&lt;="&amp;M$226)/MXAU!$B$3,"")))</f>
        <v/>
      </c>
      <c r="N238" s="113">
        <f>IF(N$226="","",IF($B238="","",IFERROR($C238*$D238*SUMIFS('Dvd Calendar'!$E$439:$CZ$439,'Dvd Calendar'!$E$438:$CZ$438,"&gt;"&amp;N$225,'Dvd Calendar'!$E$438:$CZ$438,"&lt;="&amp;N$226)/MXAU!$B$3,"")))</f>
        <v/>
      </c>
      <c r="O238" s="113">
        <f>IF(O$226="","",IF($B238="","",IFERROR($C238*$D238*SUMIFS('Dvd Calendar'!$E$439:$CZ$439,'Dvd Calendar'!$E$438:$CZ$438,"&gt;"&amp;O$225,'Dvd Calendar'!$E$438:$CZ$438,"&lt;="&amp;O$226)/MXAU!$B$3,"")))</f>
        <v/>
      </c>
      <c r="P238" s="113">
        <f>IF(P$226="","",IF($B238="","",IFERROR($C238*$D238*SUMIFS('Dvd Calendar'!$E$439:$CZ$439,'Dvd Calendar'!$E$438:$CZ$438,"&gt;"&amp;P$225,'Dvd Calendar'!$E$438:$CZ$438,"&lt;="&amp;P$226)/MXAU!$B$3,"")))</f>
        <v/>
      </c>
      <c r="Q238" s="113">
        <f>IF(Q$226="","",IF($B238="","",IFERROR($C238*$D238*SUMIFS('Dvd Calendar'!$E$439:$CZ$439,'Dvd Calendar'!$E$438:$CZ$438,"&gt;"&amp;Q$225,'Dvd Calendar'!$E$438:$CZ$438,"&lt;="&amp;Q$226)/MXAU!$B$3,"")))</f>
        <v/>
      </c>
      <c r="R238" s="113">
        <f>IF(R$226="","",IF($B238="","",IFERROR($C238*$D238*SUMIFS('Dvd Calendar'!$E$439:$CZ$439,'Dvd Calendar'!$E$438:$CZ$438,"&gt;"&amp;R$225,'Dvd Calendar'!$E$438:$CZ$438,"&lt;="&amp;R$226)/MXAU!$B$3,"")))</f>
        <v/>
      </c>
      <c r="S238" s="113">
        <f>IF(S$226="","",IF($B238="","",IFERROR($C238*$D238*SUMIFS('Dvd Calendar'!$E$439:$CZ$439,'Dvd Calendar'!$E$438:$CZ$438,"&gt;"&amp;S$225,'Dvd Calendar'!$E$438:$CZ$438,"&lt;="&amp;S$226)/MXAU!$B$3,"")))</f>
        <v/>
      </c>
      <c r="T238" s="113">
        <f>IF(T$226="","",IF($B238="","",IFERROR($C238*$D238*SUMIFS('Dvd Calendar'!$E$439:$CZ$439,'Dvd Calendar'!$E$438:$CZ$438,"&gt;"&amp;T$225,'Dvd Calendar'!$E$438:$CZ$438,"&lt;="&amp;T$226)/MXAU!$B$3,"")))</f>
        <v/>
      </c>
      <c r="U238" s="113">
        <f>IF(U$226="","",IF($B238="","",IFERROR($C238*$D238*SUMIFS('Dvd Calendar'!$E$439:$CZ$439,'Dvd Calendar'!$E$438:$CZ$438,"&gt;"&amp;U$225,'Dvd Calendar'!$E$438:$CZ$438,"&lt;="&amp;U$226)/MXAU!$B$3,"")))</f>
        <v/>
      </c>
      <c r="W238" s="113">
        <f>IF(W$226="","",IF($B238="","",IFERROR(F238*$E238/100,"")))</f>
        <v/>
      </c>
      <c r="X238" s="113">
        <f>IF(X$226="","",IF($B238="","",IFERROR(G238*$E238/100,"")))</f>
        <v/>
      </c>
      <c r="Y238" s="113">
        <f>IF(Y$226="","",IF($B238="","",IFERROR(H238*$E238/100,"")))</f>
        <v/>
      </c>
      <c r="Z238" s="113">
        <f>IF(Z$226="","",IF($B238="","",IFERROR(I238*$E238/100,"")))</f>
        <v/>
      </c>
      <c r="AA238" s="113">
        <f>IF(AA$226="","",IF($B238="","",IFERROR(J238*$E238/100,"")))</f>
        <v/>
      </c>
      <c r="AB238" s="113">
        <f>IF(AB$226="","",IF($B238="","",IFERROR(K238*$E238/100,"")))</f>
        <v/>
      </c>
      <c r="AC238" s="113">
        <f>IF(AC$226="","",IF($B238="","",IFERROR(L238*$E238/100,"")))</f>
        <v/>
      </c>
      <c r="AD238" s="113">
        <f>IF(AD$226="","",IF($B238="","",IFERROR(M238*$E238/100,"")))</f>
        <v/>
      </c>
      <c r="AE238" s="113">
        <f>IF(AE$226="","",IF($B238="","",IFERROR(N238*$E238/100,"")))</f>
        <v/>
      </c>
      <c r="AF238" s="113">
        <f>IF(AF$226="","",IF($B238="","",IFERROR(O238*$E238/100,"")))</f>
        <v/>
      </c>
      <c r="AG238" s="113">
        <f>IF(AG$226="","",IF($B238="","",IFERROR(P238*$E238/100,"")))</f>
        <v/>
      </c>
      <c r="AH238" s="113">
        <f>IF(AH$226="","",IF($B238="","",IFERROR(Q238*$E238/100,"")))</f>
        <v/>
      </c>
      <c r="AI238" s="113">
        <f>IF(AI$226="","",IF($B238="","",IFERROR(R238*$E238/100,"")))</f>
        <v/>
      </c>
      <c r="AJ238" s="113">
        <f>IF(AJ$226="","",IF($B238="","",IFERROR(S238*$E238/100,"")))</f>
        <v/>
      </c>
      <c r="AK238" s="113">
        <f>IF(AK$226="","",IF($B238="","",IFERROR(T238*$E238/100,"")))</f>
        <v/>
      </c>
      <c r="AL238" s="113">
        <f>IF(AL$226="","",IF($B238="","",IFERROR(U238*$E238/100,"")))</f>
        <v/>
      </c>
    </row>
    <row r="239">
      <c r="B239" s="5">
        <f>IF(MXAU!$C$16="","",MXAU!$C$16)</f>
        <v/>
      </c>
      <c r="C239" s="86">
        <f>IF(MXAU!$B$16="","",MXAU!$B$16)</f>
        <v/>
      </c>
      <c r="D239" s="111">
        <f>IFERROR(MXAU!$Q$16,1)</f>
        <v/>
      </c>
      <c r="E239" s="112">
        <f>IF($B239="","",IF(ISNUMBER(MXAU!$I$16),MXAU!$I$16,'Index Summary'!$C$7))</f>
        <v/>
      </c>
      <c r="F239" s="113">
        <f>IF(F$226="","",IF($B239="","",IFERROR($C239*$D239*SUMIFS('Dvd Calendar'!$E$441:$CZ$441,'Dvd Calendar'!$E$440:$CZ$440,"&gt;"&amp;F$225,'Dvd Calendar'!$E$440:$CZ$440,"&lt;="&amp;F$226)/MXAU!$B$3,"")))</f>
        <v/>
      </c>
      <c r="G239" s="113">
        <f>IF(G$226="","",IF($B239="","",IFERROR($C239*$D239*SUMIFS('Dvd Calendar'!$E$441:$CZ$441,'Dvd Calendar'!$E$440:$CZ$440,"&gt;"&amp;G$225,'Dvd Calendar'!$E$440:$CZ$440,"&lt;="&amp;G$226)/MXAU!$B$3,"")))</f>
        <v/>
      </c>
      <c r="H239" s="113">
        <f>IF(H$226="","",IF($B239="","",IFERROR($C239*$D239*SUMIFS('Dvd Calendar'!$E$441:$CZ$441,'Dvd Calendar'!$E$440:$CZ$440,"&gt;"&amp;H$225,'Dvd Calendar'!$E$440:$CZ$440,"&lt;="&amp;H$226)/MXAU!$B$3,"")))</f>
        <v/>
      </c>
      <c r="I239" s="113">
        <f>IF(I$226="","",IF($B239="","",IFERROR($C239*$D239*SUMIFS('Dvd Calendar'!$E$441:$CZ$441,'Dvd Calendar'!$E$440:$CZ$440,"&gt;"&amp;I$225,'Dvd Calendar'!$E$440:$CZ$440,"&lt;="&amp;I$226)/MXAU!$B$3,"")))</f>
        <v/>
      </c>
      <c r="J239" s="113">
        <f>IF(J$226="","",IF($B239="","",IFERROR($C239*$D239*SUMIFS('Dvd Calendar'!$E$441:$CZ$441,'Dvd Calendar'!$E$440:$CZ$440,"&gt;"&amp;J$225,'Dvd Calendar'!$E$440:$CZ$440,"&lt;="&amp;J$226)/MXAU!$B$3,"")))</f>
        <v/>
      </c>
      <c r="K239" s="113">
        <f>IF(K$226="","",IF($B239="","",IFERROR($C239*$D239*SUMIFS('Dvd Calendar'!$E$441:$CZ$441,'Dvd Calendar'!$E$440:$CZ$440,"&gt;"&amp;K$225,'Dvd Calendar'!$E$440:$CZ$440,"&lt;="&amp;K$226)/MXAU!$B$3,"")))</f>
        <v/>
      </c>
      <c r="L239" s="113">
        <f>IF(L$226="","",IF($B239="","",IFERROR($C239*$D239*SUMIFS('Dvd Calendar'!$E$441:$CZ$441,'Dvd Calendar'!$E$440:$CZ$440,"&gt;"&amp;L$225,'Dvd Calendar'!$E$440:$CZ$440,"&lt;="&amp;L$226)/MXAU!$B$3,"")))</f>
        <v/>
      </c>
      <c r="M239" s="113">
        <f>IF(M$226="","",IF($B239="","",IFERROR($C239*$D239*SUMIFS('Dvd Calendar'!$E$441:$CZ$441,'Dvd Calendar'!$E$440:$CZ$440,"&gt;"&amp;M$225,'Dvd Calendar'!$E$440:$CZ$440,"&lt;="&amp;M$226)/MXAU!$B$3,"")))</f>
        <v/>
      </c>
      <c r="N239" s="113">
        <f>IF(N$226="","",IF($B239="","",IFERROR($C239*$D239*SUMIFS('Dvd Calendar'!$E$441:$CZ$441,'Dvd Calendar'!$E$440:$CZ$440,"&gt;"&amp;N$225,'Dvd Calendar'!$E$440:$CZ$440,"&lt;="&amp;N$226)/MXAU!$B$3,"")))</f>
        <v/>
      </c>
      <c r="O239" s="113">
        <f>IF(O$226="","",IF($B239="","",IFERROR($C239*$D239*SUMIFS('Dvd Calendar'!$E$441:$CZ$441,'Dvd Calendar'!$E$440:$CZ$440,"&gt;"&amp;O$225,'Dvd Calendar'!$E$440:$CZ$440,"&lt;="&amp;O$226)/MXAU!$B$3,"")))</f>
        <v/>
      </c>
      <c r="P239" s="113">
        <f>IF(P$226="","",IF($B239="","",IFERROR($C239*$D239*SUMIFS('Dvd Calendar'!$E$441:$CZ$441,'Dvd Calendar'!$E$440:$CZ$440,"&gt;"&amp;P$225,'Dvd Calendar'!$E$440:$CZ$440,"&lt;="&amp;P$226)/MXAU!$B$3,"")))</f>
        <v/>
      </c>
      <c r="Q239" s="113">
        <f>IF(Q$226="","",IF($B239="","",IFERROR($C239*$D239*SUMIFS('Dvd Calendar'!$E$441:$CZ$441,'Dvd Calendar'!$E$440:$CZ$440,"&gt;"&amp;Q$225,'Dvd Calendar'!$E$440:$CZ$440,"&lt;="&amp;Q$226)/MXAU!$B$3,"")))</f>
        <v/>
      </c>
      <c r="R239" s="113">
        <f>IF(R$226="","",IF($B239="","",IFERROR($C239*$D239*SUMIFS('Dvd Calendar'!$E$441:$CZ$441,'Dvd Calendar'!$E$440:$CZ$440,"&gt;"&amp;R$225,'Dvd Calendar'!$E$440:$CZ$440,"&lt;="&amp;R$226)/MXAU!$B$3,"")))</f>
        <v/>
      </c>
      <c r="S239" s="113">
        <f>IF(S$226="","",IF($B239="","",IFERROR($C239*$D239*SUMIFS('Dvd Calendar'!$E$441:$CZ$441,'Dvd Calendar'!$E$440:$CZ$440,"&gt;"&amp;S$225,'Dvd Calendar'!$E$440:$CZ$440,"&lt;="&amp;S$226)/MXAU!$B$3,"")))</f>
        <v/>
      </c>
      <c r="T239" s="113">
        <f>IF(T$226="","",IF($B239="","",IFERROR($C239*$D239*SUMIFS('Dvd Calendar'!$E$441:$CZ$441,'Dvd Calendar'!$E$440:$CZ$440,"&gt;"&amp;T$225,'Dvd Calendar'!$E$440:$CZ$440,"&lt;="&amp;T$226)/MXAU!$B$3,"")))</f>
        <v/>
      </c>
      <c r="U239" s="113">
        <f>IF(U$226="","",IF($B239="","",IFERROR($C239*$D239*SUMIFS('Dvd Calendar'!$E$441:$CZ$441,'Dvd Calendar'!$E$440:$CZ$440,"&gt;"&amp;U$225,'Dvd Calendar'!$E$440:$CZ$440,"&lt;="&amp;U$226)/MXAU!$B$3,"")))</f>
        <v/>
      </c>
      <c r="W239" s="113">
        <f>IF(W$226="","",IF($B239="","",IFERROR(F239*$E239/100,"")))</f>
        <v/>
      </c>
      <c r="X239" s="113">
        <f>IF(X$226="","",IF($B239="","",IFERROR(G239*$E239/100,"")))</f>
        <v/>
      </c>
      <c r="Y239" s="113">
        <f>IF(Y$226="","",IF($B239="","",IFERROR(H239*$E239/100,"")))</f>
        <v/>
      </c>
      <c r="Z239" s="113">
        <f>IF(Z$226="","",IF($B239="","",IFERROR(I239*$E239/100,"")))</f>
        <v/>
      </c>
      <c r="AA239" s="113">
        <f>IF(AA$226="","",IF($B239="","",IFERROR(J239*$E239/100,"")))</f>
        <v/>
      </c>
      <c r="AB239" s="113">
        <f>IF(AB$226="","",IF($B239="","",IFERROR(K239*$E239/100,"")))</f>
        <v/>
      </c>
      <c r="AC239" s="113">
        <f>IF(AC$226="","",IF($B239="","",IFERROR(L239*$E239/100,"")))</f>
        <v/>
      </c>
      <c r="AD239" s="113">
        <f>IF(AD$226="","",IF($B239="","",IFERROR(M239*$E239/100,"")))</f>
        <v/>
      </c>
      <c r="AE239" s="113">
        <f>IF(AE$226="","",IF($B239="","",IFERROR(N239*$E239/100,"")))</f>
        <v/>
      </c>
      <c r="AF239" s="113">
        <f>IF(AF$226="","",IF($B239="","",IFERROR(O239*$E239/100,"")))</f>
        <v/>
      </c>
      <c r="AG239" s="113">
        <f>IF(AG$226="","",IF($B239="","",IFERROR(P239*$E239/100,"")))</f>
        <v/>
      </c>
      <c r="AH239" s="113">
        <f>IF(AH$226="","",IF($B239="","",IFERROR(Q239*$E239/100,"")))</f>
        <v/>
      </c>
      <c r="AI239" s="113">
        <f>IF(AI$226="","",IF($B239="","",IFERROR(R239*$E239/100,"")))</f>
        <v/>
      </c>
      <c r="AJ239" s="113">
        <f>IF(AJ$226="","",IF($B239="","",IFERROR(S239*$E239/100,"")))</f>
        <v/>
      </c>
      <c r="AK239" s="113">
        <f>IF(AK$226="","",IF($B239="","",IFERROR(T239*$E239/100,"")))</f>
        <v/>
      </c>
      <c r="AL239" s="113">
        <f>IF(AL$226="","",IF($B239="","",IFERROR(U239*$E239/100,"")))</f>
        <v/>
      </c>
    </row>
    <row r="240">
      <c r="B240" s="5">
        <f>IF(MXAU!$C$17="","",MXAU!$C$17)</f>
        <v/>
      </c>
      <c r="C240" s="86">
        <f>IF(MXAU!$B$17="","",MXAU!$B$17)</f>
        <v/>
      </c>
      <c r="D240" s="111">
        <f>IFERROR(MXAU!$Q$17,1)</f>
        <v/>
      </c>
      <c r="E240" s="112">
        <f>IF($B240="","",IF(ISNUMBER(MXAU!$I$17),MXAU!$I$17,'Index Summary'!$C$7))</f>
        <v/>
      </c>
      <c r="F240" s="113">
        <f>IF(F$226="","",IF($B240="","",IFERROR($C240*$D240*SUMIFS('Dvd Calendar'!$E$443:$CZ$443,'Dvd Calendar'!$E$442:$CZ$442,"&gt;"&amp;F$225,'Dvd Calendar'!$E$442:$CZ$442,"&lt;="&amp;F$226)/MXAU!$B$3,"")))</f>
        <v/>
      </c>
      <c r="G240" s="113">
        <f>IF(G$226="","",IF($B240="","",IFERROR($C240*$D240*SUMIFS('Dvd Calendar'!$E$443:$CZ$443,'Dvd Calendar'!$E$442:$CZ$442,"&gt;"&amp;G$225,'Dvd Calendar'!$E$442:$CZ$442,"&lt;="&amp;G$226)/MXAU!$B$3,"")))</f>
        <v/>
      </c>
      <c r="H240" s="113">
        <f>IF(H$226="","",IF($B240="","",IFERROR($C240*$D240*SUMIFS('Dvd Calendar'!$E$443:$CZ$443,'Dvd Calendar'!$E$442:$CZ$442,"&gt;"&amp;H$225,'Dvd Calendar'!$E$442:$CZ$442,"&lt;="&amp;H$226)/MXAU!$B$3,"")))</f>
        <v/>
      </c>
      <c r="I240" s="113">
        <f>IF(I$226="","",IF($B240="","",IFERROR($C240*$D240*SUMIFS('Dvd Calendar'!$E$443:$CZ$443,'Dvd Calendar'!$E$442:$CZ$442,"&gt;"&amp;I$225,'Dvd Calendar'!$E$442:$CZ$442,"&lt;="&amp;I$226)/MXAU!$B$3,"")))</f>
        <v/>
      </c>
      <c r="J240" s="113">
        <f>IF(J$226="","",IF($B240="","",IFERROR($C240*$D240*SUMIFS('Dvd Calendar'!$E$443:$CZ$443,'Dvd Calendar'!$E$442:$CZ$442,"&gt;"&amp;J$225,'Dvd Calendar'!$E$442:$CZ$442,"&lt;="&amp;J$226)/MXAU!$B$3,"")))</f>
        <v/>
      </c>
      <c r="K240" s="113">
        <f>IF(K$226="","",IF($B240="","",IFERROR($C240*$D240*SUMIFS('Dvd Calendar'!$E$443:$CZ$443,'Dvd Calendar'!$E$442:$CZ$442,"&gt;"&amp;K$225,'Dvd Calendar'!$E$442:$CZ$442,"&lt;="&amp;K$226)/MXAU!$B$3,"")))</f>
        <v/>
      </c>
      <c r="L240" s="113">
        <f>IF(L$226="","",IF($B240="","",IFERROR($C240*$D240*SUMIFS('Dvd Calendar'!$E$443:$CZ$443,'Dvd Calendar'!$E$442:$CZ$442,"&gt;"&amp;L$225,'Dvd Calendar'!$E$442:$CZ$442,"&lt;="&amp;L$226)/MXAU!$B$3,"")))</f>
        <v/>
      </c>
      <c r="M240" s="113">
        <f>IF(M$226="","",IF($B240="","",IFERROR($C240*$D240*SUMIFS('Dvd Calendar'!$E$443:$CZ$443,'Dvd Calendar'!$E$442:$CZ$442,"&gt;"&amp;M$225,'Dvd Calendar'!$E$442:$CZ$442,"&lt;="&amp;M$226)/MXAU!$B$3,"")))</f>
        <v/>
      </c>
      <c r="N240" s="113">
        <f>IF(N$226="","",IF($B240="","",IFERROR($C240*$D240*SUMIFS('Dvd Calendar'!$E$443:$CZ$443,'Dvd Calendar'!$E$442:$CZ$442,"&gt;"&amp;N$225,'Dvd Calendar'!$E$442:$CZ$442,"&lt;="&amp;N$226)/MXAU!$B$3,"")))</f>
        <v/>
      </c>
      <c r="O240" s="113">
        <f>IF(O$226="","",IF($B240="","",IFERROR($C240*$D240*SUMIFS('Dvd Calendar'!$E$443:$CZ$443,'Dvd Calendar'!$E$442:$CZ$442,"&gt;"&amp;O$225,'Dvd Calendar'!$E$442:$CZ$442,"&lt;="&amp;O$226)/MXAU!$B$3,"")))</f>
        <v/>
      </c>
      <c r="P240" s="113">
        <f>IF(P$226="","",IF($B240="","",IFERROR($C240*$D240*SUMIFS('Dvd Calendar'!$E$443:$CZ$443,'Dvd Calendar'!$E$442:$CZ$442,"&gt;"&amp;P$225,'Dvd Calendar'!$E$442:$CZ$442,"&lt;="&amp;P$226)/MXAU!$B$3,"")))</f>
        <v/>
      </c>
      <c r="Q240" s="113">
        <f>IF(Q$226="","",IF($B240="","",IFERROR($C240*$D240*SUMIFS('Dvd Calendar'!$E$443:$CZ$443,'Dvd Calendar'!$E$442:$CZ$442,"&gt;"&amp;Q$225,'Dvd Calendar'!$E$442:$CZ$442,"&lt;="&amp;Q$226)/MXAU!$B$3,"")))</f>
        <v/>
      </c>
      <c r="R240" s="113">
        <f>IF(R$226="","",IF($B240="","",IFERROR($C240*$D240*SUMIFS('Dvd Calendar'!$E$443:$CZ$443,'Dvd Calendar'!$E$442:$CZ$442,"&gt;"&amp;R$225,'Dvd Calendar'!$E$442:$CZ$442,"&lt;="&amp;R$226)/MXAU!$B$3,"")))</f>
        <v/>
      </c>
      <c r="S240" s="113">
        <f>IF(S$226="","",IF($B240="","",IFERROR($C240*$D240*SUMIFS('Dvd Calendar'!$E$443:$CZ$443,'Dvd Calendar'!$E$442:$CZ$442,"&gt;"&amp;S$225,'Dvd Calendar'!$E$442:$CZ$442,"&lt;="&amp;S$226)/MXAU!$B$3,"")))</f>
        <v/>
      </c>
      <c r="T240" s="113">
        <f>IF(T$226="","",IF($B240="","",IFERROR($C240*$D240*SUMIFS('Dvd Calendar'!$E$443:$CZ$443,'Dvd Calendar'!$E$442:$CZ$442,"&gt;"&amp;T$225,'Dvd Calendar'!$E$442:$CZ$442,"&lt;="&amp;T$226)/MXAU!$B$3,"")))</f>
        <v/>
      </c>
      <c r="U240" s="113">
        <f>IF(U$226="","",IF($B240="","",IFERROR($C240*$D240*SUMIFS('Dvd Calendar'!$E$443:$CZ$443,'Dvd Calendar'!$E$442:$CZ$442,"&gt;"&amp;U$225,'Dvd Calendar'!$E$442:$CZ$442,"&lt;="&amp;U$226)/MXAU!$B$3,"")))</f>
        <v/>
      </c>
      <c r="W240" s="113">
        <f>IF(W$226="","",IF($B240="","",IFERROR(F240*$E240/100,"")))</f>
        <v/>
      </c>
      <c r="X240" s="113">
        <f>IF(X$226="","",IF($B240="","",IFERROR(G240*$E240/100,"")))</f>
        <v/>
      </c>
      <c r="Y240" s="113">
        <f>IF(Y$226="","",IF($B240="","",IFERROR(H240*$E240/100,"")))</f>
        <v/>
      </c>
      <c r="Z240" s="113">
        <f>IF(Z$226="","",IF($B240="","",IFERROR(I240*$E240/100,"")))</f>
        <v/>
      </c>
      <c r="AA240" s="113">
        <f>IF(AA$226="","",IF($B240="","",IFERROR(J240*$E240/100,"")))</f>
        <v/>
      </c>
      <c r="AB240" s="113">
        <f>IF(AB$226="","",IF($B240="","",IFERROR(K240*$E240/100,"")))</f>
        <v/>
      </c>
      <c r="AC240" s="113">
        <f>IF(AC$226="","",IF($B240="","",IFERROR(L240*$E240/100,"")))</f>
        <v/>
      </c>
      <c r="AD240" s="113">
        <f>IF(AD$226="","",IF($B240="","",IFERROR(M240*$E240/100,"")))</f>
        <v/>
      </c>
      <c r="AE240" s="113">
        <f>IF(AE$226="","",IF($B240="","",IFERROR(N240*$E240/100,"")))</f>
        <v/>
      </c>
      <c r="AF240" s="113">
        <f>IF(AF$226="","",IF($B240="","",IFERROR(O240*$E240/100,"")))</f>
        <v/>
      </c>
      <c r="AG240" s="113">
        <f>IF(AG$226="","",IF($B240="","",IFERROR(P240*$E240/100,"")))</f>
        <v/>
      </c>
      <c r="AH240" s="113">
        <f>IF(AH$226="","",IF($B240="","",IFERROR(Q240*$E240/100,"")))</f>
        <v/>
      </c>
      <c r="AI240" s="113">
        <f>IF(AI$226="","",IF($B240="","",IFERROR(R240*$E240/100,"")))</f>
        <v/>
      </c>
      <c r="AJ240" s="113">
        <f>IF(AJ$226="","",IF($B240="","",IFERROR(S240*$E240/100,"")))</f>
        <v/>
      </c>
      <c r="AK240" s="113">
        <f>IF(AK$226="","",IF($B240="","",IFERROR(T240*$E240/100,"")))</f>
        <v/>
      </c>
      <c r="AL240" s="113">
        <f>IF(AL$226="","",IF($B240="","",IFERROR(U240*$E240/100,"")))</f>
        <v/>
      </c>
    </row>
    <row r="241">
      <c r="B241" s="5">
        <f>IF(MXAU!$C$18="","",MXAU!$C$18)</f>
        <v/>
      </c>
      <c r="C241" s="86">
        <f>IF(MXAU!$B$18="","",MXAU!$B$18)</f>
        <v/>
      </c>
      <c r="D241" s="111">
        <f>IFERROR(MXAU!$Q$18,1)</f>
        <v/>
      </c>
      <c r="E241" s="112">
        <f>IF($B241="","",IF(ISNUMBER(MXAU!$I$18),MXAU!$I$18,'Index Summary'!$C$7))</f>
        <v/>
      </c>
      <c r="F241" s="113">
        <f>IF(F$226="","",IF($B241="","",IFERROR($C241*$D241*SUMIFS('Dvd Calendar'!$E$445:$CZ$445,'Dvd Calendar'!$E$444:$CZ$444,"&gt;"&amp;F$225,'Dvd Calendar'!$E$444:$CZ$444,"&lt;="&amp;F$226)/MXAU!$B$3,"")))</f>
        <v/>
      </c>
      <c r="G241" s="113">
        <f>IF(G$226="","",IF($B241="","",IFERROR($C241*$D241*SUMIFS('Dvd Calendar'!$E$445:$CZ$445,'Dvd Calendar'!$E$444:$CZ$444,"&gt;"&amp;G$225,'Dvd Calendar'!$E$444:$CZ$444,"&lt;="&amp;G$226)/MXAU!$B$3,"")))</f>
        <v/>
      </c>
      <c r="H241" s="113">
        <f>IF(H$226="","",IF($B241="","",IFERROR($C241*$D241*SUMIFS('Dvd Calendar'!$E$445:$CZ$445,'Dvd Calendar'!$E$444:$CZ$444,"&gt;"&amp;H$225,'Dvd Calendar'!$E$444:$CZ$444,"&lt;="&amp;H$226)/MXAU!$B$3,"")))</f>
        <v/>
      </c>
      <c r="I241" s="113">
        <f>IF(I$226="","",IF($B241="","",IFERROR($C241*$D241*SUMIFS('Dvd Calendar'!$E$445:$CZ$445,'Dvd Calendar'!$E$444:$CZ$444,"&gt;"&amp;I$225,'Dvd Calendar'!$E$444:$CZ$444,"&lt;="&amp;I$226)/MXAU!$B$3,"")))</f>
        <v/>
      </c>
      <c r="J241" s="113">
        <f>IF(J$226="","",IF($B241="","",IFERROR($C241*$D241*SUMIFS('Dvd Calendar'!$E$445:$CZ$445,'Dvd Calendar'!$E$444:$CZ$444,"&gt;"&amp;J$225,'Dvd Calendar'!$E$444:$CZ$444,"&lt;="&amp;J$226)/MXAU!$B$3,"")))</f>
        <v/>
      </c>
      <c r="K241" s="113">
        <f>IF(K$226="","",IF($B241="","",IFERROR($C241*$D241*SUMIFS('Dvd Calendar'!$E$445:$CZ$445,'Dvd Calendar'!$E$444:$CZ$444,"&gt;"&amp;K$225,'Dvd Calendar'!$E$444:$CZ$444,"&lt;="&amp;K$226)/MXAU!$B$3,"")))</f>
        <v/>
      </c>
      <c r="L241" s="113">
        <f>IF(L$226="","",IF($B241="","",IFERROR($C241*$D241*SUMIFS('Dvd Calendar'!$E$445:$CZ$445,'Dvd Calendar'!$E$444:$CZ$444,"&gt;"&amp;L$225,'Dvd Calendar'!$E$444:$CZ$444,"&lt;="&amp;L$226)/MXAU!$B$3,"")))</f>
        <v/>
      </c>
      <c r="M241" s="113">
        <f>IF(M$226="","",IF($B241="","",IFERROR($C241*$D241*SUMIFS('Dvd Calendar'!$E$445:$CZ$445,'Dvd Calendar'!$E$444:$CZ$444,"&gt;"&amp;M$225,'Dvd Calendar'!$E$444:$CZ$444,"&lt;="&amp;M$226)/MXAU!$B$3,"")))</f>
        <v/>
      </c>
      <c r="N241" s="113">
        <f>IF(N$226="","",IF($B241="","",IFERROR($C241*$D241*SUMIFS('Dvd Calendar'!$E$445:$CZ$445,'Dvd Calendar'!$E$444:$CZ$444,"&gt;"&amp;N$225,'Dvd Calendar'!$E$444:$CZ$444,"&lt;="&amp;N$226)/MXAU!$B$3,"")))</f>
        <v/>
      </c>
      <c r="O241" s="113">
        <f>IF(O$226="","",IF($B241="","",IFERROR($C241*$D241*SUMIFS('Dvd Calendar'!$E$445:$CZ$445,'Dvd Calendar'!$E$444:$CZ$444,"&gt;"&amp;O$225,'Dvd Calendar'!$E$444:$CZ$444,"&lt;="&amp;O$226)/MXAU!$B$3,"")))</f>
        <v/>
      </c>
      <c r="P241" s="113">
        <f>IF(P$226="","",IF($B241="","",IFERROR($C241*$D241*SUMIFS('Dvd Calendar'!$E$445:$CZ$445,'Dvd Calendar'!$E$444:$CZ$444,"&gt;"&amp;P$225,'Dvd Calendar'!$E$444:$CZ$444,"&lt;="&amp;P$226)/MXAU!$B$3,"")))</f>
        <v/>
      </c>
      <c r="Q241" s="113">
        <f>IF(Q$226="","",IF($B241="","",IFERROR($C241*$D241*SUMIFS('Dvd Calendar'!$E$445:$CZ$445,'Dvd Calendar'!$E$444:$CZ$444,"&gt;"&amp;Q$225,'Dvd Calendar'!$E$444:$CZ$444,"&lt;="&amp;Q$226)/MXAU!$B$3,"")))</f>
        <v/>
      </c>
      <c r="R241" s="113">
        <f>IF(R$226="","",IF($B241="","",IFERROR($C241*$D241*SUMIFS('Dvd Calendar'!$E$445:$CZ$445,'Dvd Calendar'!$E$444:$CZ$444,"&gt;"&amp;R$225,'Dvd Calendar'!$E$444:$CZ$444,"&lt;="&amp;R$226)/MXAU!$B$3,"")))</f>
        <v/>
      </c>
      <c r="S241" s="113">
        <f>IF(S$226="","",IF($B241="","",IFERROR($C241*$D241*SUMIFS('Dvd Calendar'!$E$445:$CZ$445,'Dvd Calendar'!$E$444:$CZ$444,"&gt;"&amp;S$225,'Dvd Calendar'!$E$444:$CZ$444,"&lt;="&amp;S$226)/MXAU!$B$3,"")))</f>
        <v/>
      </c>
      <c r="T241" s="113">
        <f>IF(T$226="","",IF($B241="","",IFERROR($C241*$D241*SUMIFS('Dvd Calendar'!$E$445:$CZ$445,'Dvd Calendar'!$E$444:$CZ$444,"&gt;"&amp;T$225,'Dvd Calendar'!$E$444:$CZ$444,"&lt;="&amp;T$226)/MXAU!$B$3,"")))</f>
        <v/>
      </c>
      <c r="U241" s="113">
        <f>IF(U$226="","",IF($B241="","",IFERROR($C241*$D241*SUMIFS('Dvd Calendar'!$E$445:$CZ$445,'Dvd Calendar'!$E$444:$CZ$444,"&gt;"&amp;U$225,'Dvd Calendar'!$E$444:$CZ$444,"&lt;="&amp;U$226)/MXAU!$B$3,"")))</f>
        <v/>
      </c>
      <c r="W241" s="113">
        <f>IF(W$226="","",IF($B241="","",IFERROR(F241*$E241/100,"")))</f>
        <v/>
      </c>
      <c r="X241" s="113">
        <f>IF(X$226="","",IF($B241="","",IFERROR(G241*$E241/100,"")))</f>
        <v/>
      </c>
      <c r="Y241" s="113">
        <f>IF(Y$226="","",IF($B241="","",IFERROR(H241*$E241/100,"")))</f>
        <v/>
      </c>
      <c r="Z241" s="113">
        <f>IF(Z$226="","",IF($B241="","",IFERROR(I241*$E241/100,"")))</f>
        <v/>
      </c>
      <c r="AA241" s="113">
        <f>IF(AA$226="","",IF($B241="","",IFERROR(J241*$E241/100,"")))</f>
        <v/>
      </c>
      <c r="AB241" s="113">
        <f>IF(AB$226="","",IF($B241="","",IFERROR(K241*$E241/100,"")))</f>
        <v/>
      </c>
      <c r="AC241" s="113">
        <f>IF(AC$226="","",IF($B241="","",IFERROR(L241*$E241/100,"")))</f>
        <v/>
      </c>
      <c r="AD241" s="113">
        <f>IF(AD$226="","",IF($B241="","",IFERROR(M241*$E241/100,"")))</f>
        <v/>
      </c>
      <c r="AE241" s="113">
        <f>IF(AE$226="","",IF($B241="","",IFERROR(N241*$E241/100,"")))</f>
        <v/>
      </c>
      <c r="AF241" s="113">
        <f>IF(AF$226="","",IF($B241="","",IFERROR(O241*$E241/100,"")))</f>
        <v/>
      </c>
      <c r="AG241" s="113">
        <f>IF(AG$226="","",IF($B241="","",IFERROR(P241*$E241/100,"")))</f>
        <v/>
      </c>
      <c r="AH241" s="113">
        <f>IF(AH$226="","",IF($B241="","",IFERROR(Q241*$E241/100,"")))</f>
        <v/>
      </c>
      <c r="AI241" s="113">
        <f>IF(AI$226="","",IF($B241="","",IFERROR(R241*$E241/100,"")))</f>
        <v/>
      </c>
      <c r="AJ241" s="113">
        <f>IF(AJ$226="","",IF($B241="","",IFERROR(S241*$E241/100,"")))</f>
        <v/>
      </c>
      <c r="AK241" s="113">
        <f>IF(AK$226="","",IF($B241="","",IFERROR(T241*$E241/100,"")))</f>
        <v/>
      </c>
      <c r="AL241" s="113">
        <f>IF(AL$226="","",IF($B241="","",IFERROR(U241*$E241/100,"")))</f>
        <v/>
      </c>
    </row>
    <row r="242">
      <c r="B242" s="5">
        <f>IF(MXAU!$C$19="","",MXAU!$C$19)</f>
        <v/>
      </c>
      <c r="C242" s="86">
        <f>IF(MXAU!$B$19="","",MXAU!$B$19)</f>
        <v/>
      </c>
      <c r="D242" s="111">
        <f>IFERROR(MXAU!$Q$19,1)</f>
        <v/>
      </c>
      <c r="E242" s="112">
        <f>IF($B242="","",IF(ISNUMBER(MXAU!$I$19),MXAU!$I$19,'Index Summary'!$C$7))</f>
        <v/>
      </c>
      <c r="F242" s="113">
        <f>IF(F$226="","",IF($B242="","",IFERROR($C242*$D242*SUMIFS('Dvd Calendar'!$E$447:$CZ$447,'Dvd Calendar'!$E$446:$CZ$446,"&gt;"&amp;F$225,'Dvd Calendar'!$E$446:$CZ$446,"&lt;="&amp;F$226)/MXAU!$B$3,"")))</f>
        <v/>
      </c>
      <c r="G242" s="113">
        <f>IF(G$226="","",IF($B242="","",IFERROR($C242*$D242*SUMIFS('Dvd Calendar'!$E$447:$CZ$447,'Dvd Calendar'!$E$446:$CZ$446,"&gt;"&amp;G$225,'Dvd Calendar'!$E$446:$CZ$446,"&lt;="&amp;G$226)/MXAU!$B$3,"")))</f>
        <v/>
      </c>
      <c r="H242" s="113">
        <f>IF(H$226="","",IF($B242="","",IFERROR($C242*$D242*SUMIFS('Dvd Calendar'!$E$447:$CZ$447,'Dvd Calendar'!$E$446:$CZ$446,"&gt;"&amp;H$225,'Dvd Calendar'!$E$446:$CZ$446,"&lt;="&amp;H$226)/MXAU!$B$3,"")))</f>
        <v/>
      </c>
      <c r="I242" s="113">
        <f>IF(I$226="","",IF($B242="","",IFERROR($C242*$D242*SUMIFS('Dvd Calendar'!$E$447:$CZ$447,'Dvd Calendar'!$E$446:$CZ$446,"&gt;"&amp;I$225,'Dvd Calendar'!$E$446:$CZ$446,"&lt;="&amp;I$226)/MXAU!$B$3,"")))</f>
        <v/>
      </c>
      <c r="J242" s="113">
        <f>IF(J$226="","",IF($B242="","",IFERROR($C242*$D242*SUMIFS('Dvd Calendar'!$E$447:$CZ$447,'Dvd Calendar'!$E$446:$CZ$446,"&gt;"&amp;J$225,'Dvd Calendar'!$E$446:$CZ$446,"&lt;="&amp;J$226)/MXAU!$B$3,"")))</f>
        <v/>
      </c>
      <c r="K242" s="113">
        <f>IF(K$226="","",IF($B242="","",IFERROR($C242*$D242*SUMIFS('Dvd Calendar'!$E$447:$CZ$447,'Dvd Calendar'!$E$446:$CZ$446,"&gt;"&amp;K$225,'Dvd Calendar'!$E$446:$CZ$446,"&lt;="&amp;K$226)/MXAU!$B$3,"")))</f>
        <v/>
      </c>
      <c r="L242" s="113">
        <f>IF(L$226="","",IF($B242="","",IFERROR($C242*$D242*SUMIFS('Dvd Calendar'!$E$447:$CZ$447,'Dvd Calendar'!$E$446:$CZ$446,"&gt;"&amp;L$225,'Dvd Calendar'!$E$446:$CZ$446,"&lt;="&amp;L$226)/MXAU!$B$3,"")))</f>
        <v/>
      </c>
      <c r="M242" s="113">
        <f>IF(M$226="","",IF($B242="","",IFERROR($C242*$D242*SUMIFS('Dvd Calendar'!$E$447:$CZ$447,'Dvd Calendar'!$E$446:$CZ$446,"&gt;"&amp;M$225,'Dvd Calendar'!$E$446:$CZ$446,"&lt;="&amp;M$226)/MXAU!$B$3,"")))</f>
        <v/>
      </c>
      <c r="N242" s="113">
        <f>IF(N$226="","",IF($B242="","",IFERROR($C242*$D242*SUMIFS('Dvd Calendar'!$E$447:$CZ$447,'Dvd Calendar'!$E$446:$CZ$446,"&gt;"&amp;N$225,'Dvd Calendar'!$E$446:$CZ$446,"&lt;="&amp;N$226)/MXAU!$B$3,"")))</f>
        <v/>
      </c>
      <c r="O242" s="113">
        <f>IF(O$226="","",IF($B242="","",IFERROR($C242*$D242*SUMIFS('Dvd Calendar'!$E$447:$CZ$447,'Dvd Calendar'!$E$446:$CZ$446,"&gt;"&amp;O$225,'Dvd Calendar'!$E$446:$CZ$446,"&lt;="&amp;O$226)/MXAU!$B$3,"")))</f>
        <v/>
      </c>
      <c r="P242" s="113">
        <f>IF(P$226="","",IF($B242="","",IFERROR($C242*$D242*SUMIFS('Dvd Calendar'!$E$447:$CZ$447,'Dvd Calendar'!$E$446:$CZ$446,"&gt;"&amp;P$225,'Dvd Calendar'!$E$446:$CZ$446,"&lt;="&amp;P$226)/MXAU!$B$3,"")))</f>
        <v/>
      </c>
      <c r="Q242" s="113">
        <f>IF(Q$226="","",IF($B242="","",IFERROR($C242*$D242*SUMIFS('Dvd Calendar'!$E$447:$CZ$447,'Dvd Calendar'!$E$446:$CZ$446,"&gt;"&amp;Q$225,'Dvd Calendar'!$E$446:$CZ$446,"&lt;="&amp;Q$226)/MXAU!$B$3,"")))</f>
        <v/>
      </c>
      <c r="R242" s="113">
        <f>IF(R$226="","",IF($B242="","",IFERROR($C242*$D242*SUMIFS('Dvd Calendar'!$E$447:$CZ$447,'Dvd Calendar'!$E$446:$CZ$446,"&gt;"&amp;R$225,'Dvd Calendar'!$E$446:$CZ$446,"&lt;="&amp;R$226)/MXAU!$B$3,"")))</f>
        <v/>
      </c>
      <c r="S242" s="113">
        <f>IF(S$226="","",IF($B242="","",IFERROR($C242*$D242*SUMIFS('Dvd Calendar'!$E$447:$CZ$447,'Dvd Calendar'!$E$446:$CZ$446,"&gt;"&amp;S$225,'Dvd Calendar'!$E$446:$CZ$446,"&lt;="&amp;S$226)/MXAU!$B$3,"")))</f>
        <v/>
      </c>
      <c r="T242" s="113">
        <f>IF(T$226="","",IF($B242="","",IFERROR($C242*$D242*SUMIFS('Dvd Calendar'!$E$447:$CZ$447,'Dvd Calendar'!$E$446:$CZ$446,"&gt;"&amp;T$225,'Dvd Calendar'!$E$446:$CZ$446,"&lt;="&amp;T$226)/MXAU!$B$3,"")))</f>
        <v/>
      </c>
      <c r="U242" s="113">
        <f>IF(U$226="","",IF($B242="","",IFERROR($C242*$D242*SUMIFS('Dvd Calendar'!$E$447:$CZ$447,'Dvd Calendar'!$E$446:$CZ$446,"&gt;"&amp;U$225,'Dvd Calendar'!$E$446:$CZ$446,"&lt;="&amp;U$226)/MXAU!$B$3,"")))</f>
        <v/>
      </c>
      <c r="W242" s="113">
        <f>IF(W$226="","",IF($B242="","",IFERROR(F242*$E242/100,"")))</f>
        <v/>
      </c>
      <c r="X242" s="113">
        <f>IF(X$226="","",IF($B242="","",IFERROR(G242*$E242/100,"")))</f>
        <v/>
      </c>
      <c r="Y242" s="113">
        <f>IF(Y$226="","",IF($B242="","",IFERROR(H242*$E242/100,"")))</f>
        <v/>
      </c>
      <c r="Z242" s="113">
        <f>IF(Z$226="","",IF($B242="","",IFERROR(I242*$E242/100,"")))</f>
        <v/>
      </c>
      <c r="AA242" s="113">
        <f>IF(AA$226="","",IF($B242="","",IFERROR(J242*$E242/100,"")))</f>
        <v/>
      </c>
      <c r="AB242" s="113">
        <f>IF(AB$226="","",IF($B242="","",IFERROR(K242*$E242/100,"")))</f>
        <v/>
      </c>
      <c r="AC242" s="113">
        <f>IF(AC$226="","",IF($B242="","",IFERROR(L242*$E242/100,"")))</f>
        <v/>
      </c>
      <c r="AD242" s="113">
        <f>IF(AD$226="","",IF($B242="","",IFERROR(M242*$E242/100,"")))</f>
        <v/>
      </c>
      <c r="AE242" s="113">
        <f>IF(AE$226="","",IF($B242="","",IFERROR(N242*$E242/100,"")))</f>
        <v/>
      </c>
      <c r="AF242" s="113">
        <f>IF(AF$226="","",IF($B242="","",IFERROR(O242*$E242/100,"")))</f>
        <v/>
      </c>
      <c r="AG242" s="113">
        <f>IF(AG$226="","",IF($B242="","",IFERROR(P242*$E242/100,"")))</f>
        <v/>
      </c>
      <c r="AH242" s="113">
        <f>IF(AH$226="","",IF($B242="","",IFERROR(Q242*$E242/100,"")))</f>
        <v/>
      </c>
      <c r="AI242" s="113">
        <f>IF(AI$226="","",IF($B242="","",IFERROR(R242*$E242/100,"")))</f>
        <v/>
      </c>
      <c r="AJ242" s="113">
        <f>IF(AJ$226="","",IF($B242="","",IFERROR(S242*$E242/100,"")))</f>
        <v/>
      </c>
      <c r="AK242" s="113">
        <f>IF(AK$226="","",IF($B242="","",IFERROR(T242*$E242/100,"")))</f>
        <v/>
      </c>
      <c r="AL242" s="113">
        <f>IF(AL$226="","",IF($B242="","",IFERROR(U242*$E242/100,"")))</f>
        <v/>
      </c>
    </row>
    <row r="243">
      <c r="B243" s="5">
        <f>IF(MXAU!$C$20="","",MXAU!$C$20)</f>
        <v/>
      </c>
      <c r="C243" s="86">
        <f>IF(MXAU!$B$20="","",MXAU!$B$20)</f>
        <v/>
      </c>
      <c r="D243" s="111">
        <f>IFERROR(MXAU!$Q$20,1)</f>
        <v/>
      </c>
      <c r="E243" s="112">
        <f>IF($B243="","",IF(ISNUMBER(MXAU!$I$20),MXAU!$I$20,'Index Summary'!$C$7))</f>
        <v/>
      </c>
      <c r="F243" s="113">
        <f>IF(F$226="","",IF($B243="","",IFERROR($C243*$D243*SUMIFS('Dvd Calendar'!$E$449:$CZ$449,'Dvd Calendar'!$E$448:$CZ$448,"&gt;"&amp;F$225,'Dvd Calendar'!$E$448:$CZ$448,"&lt;="&amp;F$226)/MXAU!$B$3,"")))</f>
        <v/>
      </c>
      <c r="G243" s="113">
        <f>IF(G$226="","",IF($B243="","",IFERROR($C243*$D243*SUMIFS('Dvd Calendar'!$E$449:$CZ$449,'Dvd Calendar'!$E$448:$CZ$448,"&gt;"&amp;G$225,'Dvd Calendar'!$E$448:$CZ$448,"&lt;="&amp;G$226)/MXAU!$B$3,"")))</f>
        <v/>
      </c>
      <c r="H243" s="113">
        <f>IF(H$226="","",IF($B243="","",IFERROR($C243*$D243*SUMIFS('Dvd Calendar'!$E$449:$CZ$449,'Dvd Calendar'!$E$448:$CZ$448,"&gt;"&amp;H$225,'Dvd Calendar'!$E$448:$CZ$448,"&lt;="&amp;H$226)/MXAU!$B$3,"")))</f>
        <v/>
      </c>
      <c r="I243" s="113">
        <f>IF(I$226="","",IF($B243="","",IFERROR($C243*$D243*SUMIFS('Dvd Calendar'!$E$449:$CZ$449,'Dvd Calendar'!$E$448:$CZ$448,"&gt;"&amp;I$225,'Dvd Calendar'!$E$448:$CZ$448,"&lt;="&amp;I$226)/MXAU!$B$3,"")))</f>
        <v/>
      </c>
      <c r="J243" s="113">
        <f>IF(J$226="","",IF($B243="","",IFERROR($C243*$D243*SUMIFS('Dvd Calendar'!$E$449:$CZ$449,'Dvd Calendar'!$E$448:$CZ$448,"&gt;"&amp;J$225,'Dvd Calendar'!$E$448:$CZ$448,"&lt;="&amp;J$226)/MXAU!$B$3,"")))</f>
        <v/>
      </c>
      <c r="K243" s="113">
        <f>IF(K$226="","",IF($B243="","",IFERROR($C243*$D243*SUMIFS('Dvd Calendar'!$E$449:$CZ$449,'Dvd Calendar'!$E$448:$CZ$448,"&gt;"&amp;K$225,'Dvd Calendar'!$E$448:$CZ$448,"&lt;="&amp;K$226)/MXAU!$B$3,"")))</f>
        <v/>
      </c>
      <c r="L243" s="113">
        <f>IF(L$226="","",IF($B243="","",IFERROR($C243*$D243*SUMIFS('Dvd Calendar'!$E$449:$CZ$449,'Dvd Calendar'!$E$448:$CZ$448,"&gt;"&amp;L$225,'Dvd Calendar'!$E$448:$CZ$448,"&lt;="&amp;L$226)/MXAU!$B$3,"")))</f>
        <v/>
      </c>
      <c r="M243" s="113">
        <f>IF(M$226="","",IF($B243="","",IFERROR($C243*$D243*SUMIFS('Dvd Calendar'!$E$449:$CZ$449,'Dvd Calendar'!$E$448:$CZ$448,"&gt;"&amp;M$225,'Dvd Calendar'!$E$448:$CZ$448,"&lt;="&amp;M$226)/MXAU!$B$3,"")))</f>
        <v/>
      </c>
      <c r="N243" s="113">
        <f>IF(N$226="","",IF($B243="","",IFERROR($C243*$D243*SUMIFS('Dvd Calendar'!$E$449:$CZ$449,'Dvd Calendar'!$E$448:$CZ$448,"&gt;"&amp;N$225,'Dvd Calendar'!$E$448:$CZ$448,"&lt;="&amp;N$226)/MXAU!$B$3,"")))</f>
        <v/>
      </c>
      <c r="O243" s="113">
        <f>IF(O$226="","",IF($B243="","",IFERROR($C243*$D243*SUMIFS('Dvd Calendar'!$E$449:$CZ$449,'Dvd Calendar'!$E$448:$CZ$448,"&gt;"&amp;O$225,'Dvd Calendar'!$E$448:$CZ$448,"&lt;="&amp;O$226)/MXAU!$B$3,"")))</f>
        <v/>
      </c>
      <c r="P243" s="113">
        <f>IF(P$226="","",IF($B243="","",IFERROR($C243*$D243*SUMIFS('Dvd Calendar'!$E$449:$CZ$449,'Dvd Calendar'!$E$448:$CZ$448,"&gt;"&amp;P$225,'Dvd Calendar'!$E$448:$CZ$448,"&lt;="&amp;P$226)/MXAU!$B$3,"")))</f>
        <v/>
      </c>
      <c r="Q243" s="113">
        <f>IF(Q$226="","",IF($B243="","",IFERROR($C243*$D243*SUMIFS('Dvd Calendar'!$E$449:$CZ$449,'Dvd Calendar'!$E$448:$CZ$448,"&gt;"&amp;Q$225,'Dvd Calendar'!$E$448:$CZ$448,"&lt;="&amp;Q$226)/MXAU!$B$3,"")))</f>
        <v/>
      </c>
      <c r="R243" s="113">
        <f>IF(R$226="","",IF($B243="","",IFERROR($C243*$D243*SUMIFS('Dvd Calendar'!$E$449:$CZ$449,'Dvd Calendar'!$E$448:$CZ$448,"&gt;"&amp;R$225,'Dvd Calendar'!$E$448:$CZ$448,"&lt;="&amp;R$226)/MXAU!$B$3,"")))</f>
        <v/>
      </c>
      <c r="S243" s="113">
        <f>IF(S$226="","",IF($B243="","",IFERROR($C243*$D243*SUMIFS('Dvd Calendar'!$E$449:$CZ$449,'Dvd Calendar'!$E$448:$CZ$448,"&gt;"&amp;S$225,'Dvd Calendar'!$E$448:$CZ$448,"&lt;="&amp;S$226)/MXAU!$B$3,"")))</f>
        <v/>
      </c>
      <c r="T243" s="113">
        <f>IF(T$226="","",IF($B243="","",IFERROR($C243*$D243*SUMIFS('Dvd Calendar'!$E$449:$CZ$449,'Dvd Calendar'!$E$448:$CZ$448,"&gt;"&amp;T$225,'Dvd Calendar'!$E$448:$CZ$448,"&lt;="&amp;T$226)/MXAU!$B$3,"")))</f>
        <v/>
      </c>
      <c r="U243" s="113">
        <f>IF(U$226="","",IF($B243="","",IFERROR($C243*$D243*SUMIFS('Dvd Calendar'!$E$449:$CZ$449,'Dvd Calendar'!$E$448:$CZ$448,"&gt;"&amp;U$225,'Dvd Calendar'!$E$448:$CZ$448,"&lt;="&amp;U$226)/MXAU!$B$3,"")))</f>
        <v/>
      </c>
      <c r="W243" s="113">
        <f>IF(W$226="","",IF($B243="","",IFERROR(F243*$E243/100,"")))</f>
        <v/>
      </c>
      <c r="X243" s="113">
        <f>IF(X$226="","",IF($B243="","",IFERROR(G243*$E243/100,"")))</f>
        <v/>
      </c>
      <c r="Y243" s="113">
        <f>IF(Y$226="","",IF($B243="","",IFERROR(H243*$E243/100,"")))</f>
        <v/>
      </c>
      <c r="Z243" s="113">
        <f>IF(Z$226="","",IF($B243="","",IFERROR(I243*$E243/100,"")))</f>
        <v/>
      </c>
      <c r="AA243" s="113">
        <f>IF(AA$226="","",IF($B243="","",IFERROR(J243*$E243/100,"")))</f>
        <v/>
      </c>
      <c r="AB243" s="113">
        <f>IF(AB$226="","",IF($B243="","",IFERROR(K243*$E243/100,"")))</f>
        <v/>
      </c>
      <c r="AC243" s="113">
        <f>IF(AC$226="","",IF($B243="","",IFERROR(L243*$E243/100,"")))</f>
        <v/>
      </c>
      <c r="AD243" s="113">
        <f>IF(AD$226="","",IF($B243="","",IFERROR(M243*$E243/100,"")))</f>
        <v/>
      </c>
      <c r="AE243" s="113">
        <f>IF(AE$226="","",IF($B243="","",IFERROR(N243*$E243/100,"")))</f>
        <v/>
      </c>
      <c r="AF243" s="113">
        <f>IF(AF$226="","",IF($B243="","",IFERROR(O243*$E243/100,"")))</f>
        <v/>
      </c>
      <c r="AG243" s="113">
        <f>IF(AG$226="","",IF($B243="","",IFERROR(P243*$E243/100,"")))</f>
        <v/>
      </c>
      <c r="AH243" s="113">
        <f>IF(AH$226="","",IF($B243="","",IFERROR(Q243*$E243/100,"")))</f>
        <v/>
      </c>
      <c r="AI243" s="113">
        <f>IF(AI$226="","",IF($B243="","",IFERROR(R243*$E243/100,"")))</f>
        <v/>
      </c>
      <c r="AJ243" s="113">
        <f>IF(AJ$226="","",IF($B243="","",IFERROR(S243*$E243/100,"")))</f>
        <v/>
      </c>
      <c r="AK243" s="113">
        <f>IF(AK$226="","",IF($B243="","",IFERROR(T243*$E243/100,"")))</f>
        <v/>
      </c>
      <c r="AL243" s="113">
        <f>IF(AL$226="","",IF($B243="","",IFERROR(U243*$E243/100,"")))</f>
        <v/>
      </c>
    </row>
    <row r="244">
      <c r="B244" s="5">
        <f>IF(MXAU!$C$21="","",MXAU!$C$21)</f>
        <v/>
      </c>
      <c r="C244" s="86">
        <f>IF(MXAU!$B$21="","",MXAU!$B$21)</f>
        <v/>
      </c>
      <c r="D244" s="111">
        <f>IFERROR(MXAU!$Q$21,1)</f>
        <v/>
      </c>
      <c r="E244" s="112">
        <f>IF($B244="","",IF(ISNUMBER(MXAU!$I$21),MXAU!$I$21,'Index Summary'!$C$7))</f>
        <v/>
      </c>
      <c r="F244" s="113">
        <f>IF(F$226="","",IF($B244="","",IFERROR($C244*$D244*SUMIFS('Dvd Calendar'!$E$451:$CZ$451,'Dvd Calendar'!$E$450:$CZ$450,"&gt;"&amp;F$225,'Dvd Calendar'!$E$450:$CZ$450,"&lt;="&amp;F$226)/MXAU!$B$3,"")))</f>
        <v/>
      </c>
      <c r="G244" s="113">
        <f>IF(G$226="","",IF($B244="","",IFERROR($C244*$D244*SUMIFS('Dvd Calendar'!$E$451:$CZ$451,'Dvd Calendar'!$E$450:$CZ$450,"&gt;"&amp;G$225,'Dvd Calendar'!$E$450:$CZ$450,"&lt;="&amp;G$226)/MXAU!$B$3,"")))</f>
        <v/>
      </c>
      <c r="H244" s="113">
        <f>IF(H$226="","",IF($B244="","",IFERROR($C244*$D244*SUMIFS('Dvd Calendar'!$E$451:$CZ$451,'Dvd Calendar'!$E$450:$CZ$450,"&gt;"&amp;H$225,'Dvd Calendar'!$E$450:$CZ$450,"&lt;="&amp;H$226)/MXAU!$B$3,"")))</f>
        <v/>
      </c>
      <c r="I244" s="113">
        <f>IF(I$226="","",IF($B244="","",IFERROR($C244*$D244*SUMIFS('Dvd Calendar'!$E$451:$CZ$451,'Dvd Calendar'!$E$450:$CZ$450,"&gt;"&amp;I$225,'Dvd Calendar'!$E$450:$CZ$450,"&lt;="&amp;I$226)/MXAU!$B$3,"")))</f>
        <v/>
      </c>
      <c r="J244" s="113">
        <f>IF(J$226="","",IF($B244="","",IFERROR($C244*$D244*SUMIFS('Dvd Calendar'!$E$451:$CZ$451,'Dvd Calendar'!$E$450:$CZ$450,"&gt;"&amp;J$225,'Dvd Calendar'!$E$450:$CZ$450,"&lt;="&amp;J$226)/MXAU!$B$3,"")))</f>
        <v/>
      </c>
      <c r="K244" s="113">
        <f>IF(K$226="","",IF($B244="","",IFERROR($C244*$D244*SUMIFS('Dvd Calendar'!$E$451:$CZ$451,'Dvd Calendar'!$E$450:$CZ$450,"&gt;"&amp;K$225,'Dvd Calendar'!$E$450:$CZ$450,"&lt;="&amp;K$226)/MXAU!$B$3,"")))</f>
        <v/>
      </c>
      <c r="L244" s="113">
        <f>IF(L$226="","",IF($B244="","",IFERROR($C244*$D244*SUMIFS('Dvd Calendar'!$E$451:$CZ$451,'Dvd Calendar'!$E$450:$CZ$450,"&gt;"&amp;L$225,'Dvd Calendar'!$E$450:$CZ$450,"&lt;="&amp;L$226)/MXAU!$B$3,"")))</f>
        <v/>
      </c>
      <c r="M244" s="113">
        <f>IF(M$226="","",IF($B244="","",IFERROR($C244*$D244*SUMIFS('Dvd Calendar'!$E$451:$CZ$451,'Dvd Calendar'!$E$450:$CZ$450,"&gt;"&amp;M$225,'Dvd Calendar'!$E$450:$CZ$450,"&lt;="&amp;M$226)/MXAU!$B$3,"")))</f>
        <v/>
      </c>
      <c r="N244" s="113">
        <f>IF(N$226="","",IF($B244="","",IFERROR($C244*$D244*SUMIFS('Dvd Calendar'!$E$451:$CZ$451,'Dvd Calendar'!$E$450:$CZ$450,"&gt;"&amp;N$225,'Dvd Calendar'!$E$450:$CZ$450,"&lt;="&amp;N$226)/MXAU!$B$3,"")))</f>
        <v/>
      </c>
      <c r="O244" s="113">
        <f>IF(O$226="","",IF($B244="","",IFERROR($C244*$D244*SUMIFS('Dvd Calendar'!$E$451:$CZ$451,'Dvd Calendar'!$E$450:$CZ$450,"&gt;"&amp;O$225,'Dvd Calendar'!$E$450:$CZ$450,"&lt;="&amp;O$226)/MXAU!$B$3,"")))</f>
        <v/>
      </c>
      <c r="P244" s="113">
        <f>IF(P$226="","",IF($B244="","",IFERROR($C244*$D244*SUMIFS('Dvd Calendar'!$E$451:$CZ$451,'Dvd Calendar'!$E$450:$CZ$450,"&gt;"&amp;P$225,'Dvd Calendar'!$E$450:$CZ$450,"&lt;="&amp;P$226)/MXAU!$B$3,"")))</f>
        <v/>
      </c>
      <c r="Q244" s="113">
        <f>IF(Q$226="","",IF($B244="","",IFERROR($C244*$D244*SUMIFS('Dvd Calendar'!$E$451:$CZ$451,'Dvd Calendar'!$E$450:$CZ$450,"&gt;"&amp;Q$225,'Dvd Calendar'!$E$450:$CZ$450,"&lt;="&amp;Q$226)/MXAU!$B$3,"")))</f>
        <v/>
      </c>
      <c r="R244" s="113">
        <f>IF(R$226="","",IF($B244="","",IFERROR($C244*$D244*SUMIFS('Dvd Calendar'!$E$451:$CZ$451,'Dvd Calendar'!$E$450:$CZ$450,"&gt;"&amp;R$225,'Dvd Calendar'!$E$450:$CZ$450,"&lt;="&amp;R$226)/MXAU!$B$3,"")))</f>
        <v/>
      </c>
      <c r="S244" s="113">
        <f>IF(S$226="","",IF($B244="","",IFERROR($C244*$D244*SUMIFS('Dvd Calendar'!$E$451:$CZ$451,'Dvd Calendar'!$E$450:$CZ$450,"&gt;"&amp;S$225,'Dvd Calendar'!$E$450:$CZ$450,"&lt;="&amp;S$226)/MXAU!$B$3,"")))</f>
        <v/>
      </c>
      <c r="T244" s="113">
        <f>IF(T$226="","",IF($B244="","",IFERROR($C244*$D244*SUMIFS('Dvd Calendar'!$E$451:$CZ$451,'Dvd Calendar'!$E$450:$CZ$450,"&gt;"&amp;T$225,'Dvd Calendar'!$E$450:$CZ$450,"&lt;="&amp;T$226)/MXAU!$B$3,"")))</f>
        <v/>
      </c>
      <c r="U244" s="113">
        <f>IF(U$226="","",IF($B244="","",IFERROR($C244*$D244*SUMIFS('Dvd Calendar'!$E$451:$CZ$451,'Dvd Calendar'!$E$450:$CZ$450,"&gt;"&amp;U$225,'Dvd Calendar'!$E$450:$CZ$450,"&lt;="&amp;U$226)/MXAU!$B$3,"")))</f>
        <v/>
      </c>
      <c r="W244" s="113">
        <f>IF(W$226="","",IF($B244="","",IFERROR(F244*$E244/100,"")))</f>
        <v/>
      </c>
      <c r="X244" s="113">
        <f>IF(X$226="","",IF($B244="","",IFERROR(G244*$E244/100,"")))</f>
        <v/>
      </c>
      <c r="Y244" s="113">
        <f>IF(Y$226="","",IF($B244="","",IFERROR(H244*$E244/100,"")))</f>
        <v/>
      </c>
      <c r="Z244" s="113">
        <f>IF(Z$226="","",IF($B244="","",IFERROR(I244*$E244/100,"")))</f>
        <v/>
      </c>
      <c r="AA244" s="113">
        <f>IF(AA$226="","",IF($B244="","",IFERROR(J244*$E244/100,"")))</f>
        <v/>
      </c>
      <c r="AB244" s="113">
        <f>IF(AB$226="","",IF($B244="","",IFERROR(K244*$E244/100,"")))</f>
        <v/>
      </c>
      <c r="AC244" s="113">
        <f>IF(AC$226="","",IF($B244="","",IFERROR(L244*$E244/100,"")))</f>
        <v/>
      </c>
      <c r="AD244" s="113">
        <f>IF(AD$226="","",IF($B244="","",IFERROR(M244*$E244/100,"")))</f>
        <v/>
      </c>
      <c r="AE244" s="113">
        <f>IF(AE$226="","",IF($B244="","",IFERROR(N244*$E244/100,"")))</f>
        <v/>
      </c>
      <c r="AF244" s="113">
        <f>IF(AF$226="","",IF($B244="","",IFERROR(O244*$E244/100,"")))</f>
        <v/>
      </c>
      <c r="AG244" s="113">
        <f>IF(AG$226="","",IF($B244="","",IFERROR(P244*$E244/100,"")))</f>
        <v/>
      </c>
      <c r="AH244" s="113">
        <f>IF(AH$226="","",IF($B244="","",IFERROR(Q244*$E244/100,"")))</f>
        <v/>
      </c>
      <c r="AI244" s="113">
        <f>IF(AI$226="","",IF($B244="","",IFERROR(R244*$E244/100,"")))</f>
        <v/>
      </c>
      <c r="AJ244" s="113">
        <f>IF(AJ$226="","",IF($B244="","",IFERROR(S244*$E244/100,"")))</f>
        <v/>
      </c>
      <c r="AK244" s="113">
        <f>IF(AK$226="","",IF($B244="","",IFERROR(T244*$E244/100,"")))</f>
        <v/>
      </c>
      <c r="AL244" s="113">
        <f>IF(AL$226="","",IF($B244="","",IFERROR(U244*$E244/100,"")))</f>
        <v/>
      </c>
    </row>
    <row r="245">
      <c r="B245" s="5">
        <f>IF(MXAU!$C$22="","",MXAU!$C$22)</f>
        <v/>
      </c>
      <c r="C245" s="86">
        <f>IF(MXAU!$B$22="","",MXAU!$B$22)</f>
        <v/>
      </c>
      <c r="D245" s="111">
        <f>IFERROR(MXAU!$Q$22,1)</f>
        <v/>
      </c>
      <c r="E245" s="112">
        <f>IF($B245="","",IF(ISNUMBER(MXAU!$I$22),MXAU!$I$22,'Index Summary'!$C$7))</f>
        <v/>
      </c>
      <c r="F245" s="113">
        <f>IF(F$226="","",IF($B245="","",IFERROR($C245*$D245*SUMIFS('Dvd Calendar'!$E$453:$CZ$453,'Dvd Calendar'!$E$452:$CZ$452,"&gt;"&amp;F$225,'Dvd Calendar'!$E$452:$CZ$452,"&lt;="&amp;F$226)/MXAU!$B$3,"")))</f>
        <v/>
      </c>
      <c r="G245" s="113">
        <f>IF(G$226="","",IF($B245="","",IFERROR($C245*$D245*SUMIFS('Dvd Calendar'!$E$453:$CZ$453,'Dvd Calendar'!$E$452:$CZ$452,"&gt;"&amp;G$225,'Dvd Calendar'!$E$452:$CZ$452,"&lt;="&amp;G$226)/MXAU!$B$3,"")))</f>
        <v/>
      </c>
      <c r="H245" s="113">
        <f>IF(H$226="","",IF($B245="","",IFERROR($C245*$D245*SUMIFS('Dvd Calendar'!$E$453:$CZ$453,'Dvd Calendar'!$E$452:$CZ$452,"&gt;"&amp;H$225,'Dvd Calendar'!$E$452:$CZ$452,"&lt;="&amp;H$226)/MXAU!$B$3,"")))</f>
        <v/>
      </c>
      <c r="I245" s="113">
        <f>IF(I$226="","",IF($B245="","",IFERROR($C245*$D245*SUMIFS('Dvd Calendar'!$E$453:$CZ$453,'Dvd Calendar'!$E$452:$CZ$452,"&gt;"&amp;I$225,'Dvd Calendar'!$E$452:$CZ$452,"&lt;="&amp;I$226)/MXAU!$B$3,"")))</f>
        <v/>
      </c>
      <c r="J245" s="113">
        <f>IF(J$226="","",IF($B245="","",IFERROR($C245*$D245*SUMIFS('Dvd Calendar'!$E$453:$CZ$453,'Dvd Calendar'!$E$452:$CZ$452,"&gt;"&amp;J$225,'Dvd Calendar'!$E$452:$CZ$452,"&lt;="&amp;J$226)/MXAU!$B$3,"")))</f>
        <v/>
      </c>
      <c r="K245" s="113">
        <f>IF(K$226="","",IF($B245="","",IFERROR($C245*$D245*SUMIFS('Dvd Calendar'!$E$453:$CZ$453,'Dvd Calendar'!$E$452:$CZ$452,"&gt;"&amp;K$225,'Dvd Calendar'!$E$452:$CZ$452,"&lt;="&amp;K$226)/MXAU!$B$3,"")))</f>
        <v/>
      </c>
      <c r="L245" s="113">
        <f>IF(L$226="","",IF($B245="","",IFERROR($C245*$D245*SUMIFS('Dvd Calendar'!$E$453:$CZ$453,'Dvd Calendar'!$E$452:$CZ$452,"&gt;"&amp;L$225,'Dvd Calendar'!$E$452:$CZ$452,"&lt;="&amp;L$226)/MXAU!$B$3,"")))</f>
        <v/>
      </c>
      <c r="M245" s="113">
        <f>IF(M$226="","",IF($B245="","",IFERROR($C245*$D245*SUMIFS('Dvd Calendar'!$E$453:$CZ$453,'Dvd Calendar'!$E$452:$CZ$452,"&gt;"&amp;M$225,'Dvd Calendar'!$E$452:$CZ$452,"&lt;="&amp;M$226)/MXAU!$B$3,"")))</f>
        <v/>
      </c>
      <c r="N245" s="113">
        <f>IF(N$226="","",IF($B245="","",IFERROR($C245*$D245*SUMIFS('Dvd Calendar'!$E$453:$CZ$453,'Dvd Calendar'!$E$452:$CZ$452,"&gt;"&amp;N$225,'Dvd Calendar'!$E$452:$CZ$452,"&lt;="&amp;N$226)/MXAU!$B$3,"")))</f>
        <v/>
      </c>
      <c r="O245" s="113">
        <f>IF(O$226="","",IF($B245="","",IFERROR($C245*$D245*SUMIFS('Dvd Calendar'!$E$453:$CZ$453,'Dvd Calendar'!$E$452:$CZ$452,"&gt;"&amp;O$225,'Dvd Calendar'!$E$452:$CZ$452,"&lt;="&amp;O$226)/MXAU!$B$3,"")))</f>
        <v/>
      </c>
      <c r="P245" s="113">
        <f>IF(P$226="","",IF($B245="","",IFERROR($C245*$D245*SUMIFS('Dvd Calendar'!$E$453:$CZ$453,'Dvd Calendar'!$E$452:$CZ$452,"&gt;"&amp;P$225,'Dvd Calendar'!$E$452:$CZ$452,"&lt;="&amp;P$226)/MXAU!$B$3,"")))</f>
        <v/>
      </c>
      <c r="Q245" s="113">
        <f>IF(Q$226="","",IF($B245="","",IFERROR($C245*$D245*SUMIFS('Dvd Calendar'!$E$453:$CZ$453,'Dvd Calendar'!$E$452:$CZ$452,"&gt;"&amp;Q$225,'Dvd Calendar'!$E$452:$CZ$452,"&lt;="&amp;Q$226)/MXAU!$B$3,"")))</f>
        <v/>
      </c>
      <c r="R245" s="113">
        <f>IF(R$226="","",IF($B245="","",IFERROR($C245*$D245*SUMIFS('Dvd Calendar'!$E$453:$CZ$453,'Dvd Calendar'!$E$452:$CZ$452,"&gt;"&amp;R$225,'Dvd Calendar'!$E$452:$CZ$452,"&lt;="&amp;R$226)/MXAU!$B$3,"")))</f>
        <v/>
      </c>
      <c r="S245" s="113">
        <f>IF(S$226="","",IF($B245="","",IFERROR($C245*$D245*SUMIFS('Dvd Calendar'!$E$453:$CZ$453,'Dvd Calendar'!$E$452:$CZ$452,"&gt;"&amp;S$225,'Dvd Calendar'!$E$452:$CZ$452,"&lt;="&amp;S$226)/MXAU!$B$3,"")))</f>
        <v/>
      </c>
      <c r="T245" s="113">
        <f>IF(T$226="","",IF($B245="","",IFERROR($C245*$D245*SUMIFS('Dvd Calendar'!$E$453:$CZ$453,'Dvd Calendar'!$E$452:$CZ$452,"&gt;"&amp;T$225,'Dvd Calendar'!$E$452:$CZ$452,"&lt;="&amp;T$226)/MXAU!$B$3,"")))</f>
        <v/>
      </c>
      <c r="U245" s="113">
        <f>IF(U$226="","",IF($B245="","",IFERROR($C245*$D245*SUMIFS('Dvd Calendar'!$E$453:$CZ$453,'Dvd Calendar'!$E$452:$CZ$452,"&gt;"&amp;U$225,'Dvd Calendar'!$E$452:$CZ$452,"&lt;="&amp;U$226)/MXAU!$B$3,"")))</f>
        <v/>
      </c>
      <c r="W245" s="113">
        <f>IF(W$226="","",IF($B245="","",IFERROR(F245*$E245/100,"")))</f>
        <v/>
      </c>
      <c r="X245" s="113">
        <f>IF(X$226="","",IF($B245="","",IFERROR(G245*$E245/100,"")))</f>
        <v/>
      </c>
      <c r="Y245" s="113">
        <f>IF(Y$226="","",IF($B245="","",IFERROR(H245*$E245/100,"")))</f>
        <v/>
      </c>
      <c r="Z245" s="113">
        <f>IF(Z$226="","",IF($B245="","",IFERROR(I245*$E245/100,"")))</f>
        <v/>
      </c>
      <c r="AA245" s="113">
        <f>IF(AA$226="","",IF($B245="","",IFERROR(J245*$E245/100,"")))</f>
        <v/>
      </c>
      <c r="AB245" s="113">
        <f>IF(AB$226="","",IF($B245="","",IFERROR(K245*$E245/100,"")))</f>
        <v/>
      </c>
      <c r="AC245" s="113">
        <f>IF(AC$226="","",IF($B245="","",IFERROR(L245*$E245/100,"")))</f>
        <v/>
      </c>
      <c r="AD245" s="113">
        <f>IF(AD$226="","",IF($B245="","",IFERROR(M245*$E245/100,"")))</f>
        <v/>
      </c>
      <c r="AE245" s="113">
        <f>IF(AE$226="","",IF($B245="","",IFERROR(N245*$E245/100,"")))</f>
        <v/>
      </c>
      <c r="AF245" s="113">
        <f>IF(AF$226="","",IF($B245="","",IFERROR(O245*$E245/100,"")))</f>
        <v/>
      </c>
      <c r="AG245" s="113">
        <f>IF(AG$226="","",IF($B245="","",IFERROR(P245*$E245/100,"")))</f>
        <v/>
      </c>
      <c r="AH245" s="113">
        <f>IF(AH$226="","",IF($B245="","",IFERROR(Q245*$E245/100,"")))</f>
        <v/>
      </c>
      <c r="AI245" s="113">
        <f>IF(AI$226="","",IF($B245="","",IFERROR(R245*$E245/100,"")))</f>
        <v/>
      </c>
      <c r="AJ245" s="113">
        <f>IF(AJ$226="","",IF($B245="","",IFERROR(S245*$E245/100,"")))</f>
        <v/>
      </c>
      <c r="AK245" s="113">
        <f>IF(AK$226="","",IF($B245="","",IFERROR(T245*$E245/100,"")))</f>
        <v/>
      </c>
      <c r="AL245" s="113">
        <f>IF(AL$226="","",IF($B245="","",IFERROR(U245*$E245/100,"")))</f>
        <v/>
      </c>
    </row>
    <row r="246">
      <c r="B246" s="5">
        <f>IF(MXAU!$C$23="","",MXAU!$C$23)</f>
        <v/>
      </c>
      <c r="C246" s="86">
        <f>IF(MXAU!$B$23="","",MXAU!$B$23)</f>
        <v/>
      </c>
      <c r="D246" s="111">
        <f>IFERROR(MXAU!$Q$23,1)</f>
        <v/>
      </c>
      <c r="E246" s="112">
        <f>IF($B246="","",IF(ISNUMBER(MXAU!$I$23),MXAU!$I$23,'Index Summary'!$C$7))</f>
        <v/>
      </c>
      <c r="F246" s="113">
        <f>IF(F$226="","",IF($B246="","",IFERROR($C246*$D246*SUMIFS('Dvd Calendar'!$E$455:$CZ$455,'Dvd Calendar'!$E$454:$CZ$454,"&gt;"&amp;F$225,'Dvd Calendar'!$E$454:$CZ$454,"&lt;="&amp;F$226)/MXAU!$B$3,"")))</f>
        <v/>
      </c>
      <c r="G246" s="113">
        <f>IF(G$226="","",IF($B246="","",IFERROR($C246*$D246*SUMIFS('Dvd Calendar'!$E$455:$CZ$455,'Dvd Calendar'!$E$454:$CZ$454,"&gt;"&amp;G$225,'Dvd Calendar'!$E$454:$CZ$454,"&lt;="&amp;G$226)/MXAU!$B$3,"")))</f>
        <v/>
      </c>
      <c r="H246" s="113">
        <f>IF(H$226="","",IF($B246="","",IFERROR($C246*$D246*SUMIFS('Dvd Calendar'!$E$455:$CZ$455,'Dvd Calendar'!$E$454:$CZ$454,"&gt;"&amp;H$225,'Dvd Calendar'!$E$454:$CZ$454,"&lt;="&amp;H$226)/MXAU!$B$3,"")))</f>
        <v/>
      </c>
      <c r="I246" s="113">
        <f>IF(I$226="","",IF($B246="","",IFERROR($C246*$D246*SUMIFS('Dvd Calendar'!$E$455:$CZ$455,'Dvd Calendar'!$E$454:$CZ$454,"&gt;"&amp;I$225,'Dvd Calendar'!$E$454:$CZ$454,"&lt;="&amp;I$226)/MXAU!$B$3,"")))</f>
        <v/>
      </c>
      <c r="J246" s="113">
        <f>IF(J$226="","",IF($B246="","",IFERROR($C246*$D246*SUMIFS('Dvd Calendar'!$E$455:$CZ$455,'Dvd Calendar'!$E$454:$CZ$454,"&gt;"&amp;J$225,'Dvd Calendar'!$E$454:$CZ$454,"&lt;="&amp;J$226)/MXAU!$B$3,"")))</f>
        <v/>
      </c>
      <c r="K246" s="113">
        <f>IF(K$226="","",IF($B246="","",IFERROR($C246*$D246*SUMIFS('Dvd Calendar'!$E$455:$CZ$455,'Dvd Calendar'!$E$454:$CZ$454,"&gt;"&amp;K$225,'Dvd Calendar'!$E$454:$CZ$454,"&lt;="&amp;K$226)/MXAU!$B$3,"")))</f>
        <v/>
      </c>
      <c r="L246" s="113">
        <f>IF(L$226="","",IF($B246="","",IFERROR($C246*$D246*SUMIFS('Dvd Calendar'!$E$455:$CZ$455,'Dvd Calendar'!$E$454:$CZ$454,"&gt;"&amp;L$225,'Dvd Calendar'!$E$454:$CZ$454,"&lt;="&amp;L$226)/MXAU!$B$3,"")))</f>
        <v/>
      </c>
      <c r="M246" s="113">
        <f>IF(M$226="","",IF($B246="","",IFERROR($C246*$D246*SUMIFS('Dvd Calendar'!$E$455:$CZ$455,'Dvd Calendar'!$E$454:$CZ$454,"&gt;"&amp;M$225,'Dvd Calendar'!$E$454:$CZ$454,"&lt;="&amp;M$226)/MXAU!$B$3,"")))</f>
        <v/>
      </c>
      <c r="N246" s="113">
        <f>IF(N$226="","",IF($B246="","",IFERROR($C246*$D246*SUMIFS('Dvd Calendar'!$E$455:$CZ$455,'Dvd Calendar'!$E$454:$CZ$454,"&gt;"&amp;N$225,'Dvd Calendar'!$E$454:$CZ$454,"&lt;="&amp;N$226)/MXAU!$B$3,"")))</f>
        <v/>
      </c>
      <c r="O246" s="113">
        <f>IF(O$226="","",IF($B246="","",IFERROR($C246*$D246*SUMIFS('Dvd Calendar'!$E$455:$CZ$455,'Dvd Calendar'!$E$454:$CZ$454,"&gt;"&amp;O$225,'Dvd Calendar'!$E$454:$CZ$454,"&lt;="&amp;O$226)/MXAU!$B$3,"")))</f>
        <v/>
      </c>
      <c r="P246" s="113">
        <f>IF(P$226="","",IF($B246="","",IFERROR($C246*$D246*SUMIFS('Dvd Calendar'!$E$455:$CZ$455,'Dvd Calendar'!$E$454:$CZ$454,"&gt;"&amp;P$225,'Dvd Calendar'!$E$454:$CZ$454,"&lt;="&amp;P$226)/MXAU!$B$3,"")))</f>
        <v/>
      </c>
      <c r="Q246" s="113">
        <f>IF(Q$226="","",IF($B246="","",IFERROR($C246*$D246*SUMIFS('Dvd Calendar'!$E$455:$CZ$455,'Dvd Calendar'!$E$454:$CZ$454,"&gt;"&amp;Q$225,'Dvd Calendar'!$E$454:$CZ$454,"&lt;="&amp;Q$226)/MXAU!$B$3,"")))</f>
        <v/>
      </c>
      <c r="R246" s="113">
        <f>IF(R$226="","",IF($B246="","",IFERROR($C246*$D246*SUMIFS('Dvd Calendar'!$E$455:$CZ$455,'Dvd Calendar'!$E$454:$CZ$454,"&gt;"&amp;R$225,'Dvd Calendar'!$E$454:$CZ$454,"&lt;="&amp;R$226)/MXAU!$B$3,"")))</f>
        <v/>
      </c>
      <c r="S246" s="113">
        <f>IF(S$226="","",IF($B246="","",IFERROR($C246*$D246*SUMIFS('Dvd Calendar'!$E$455:$CZ$455,'Dvd Calendar'!$E$454:$CZ$454,"&gt;"&amp;S$225,'Dvd Calendar'!$E$454:$CZ$454,"&lt;="&amp;S$226)/MXAU!$B$3,"")))</f>
        <v/>
      </c>
      <c r="T246" s="113">
        <f>IF(T$226="","",IF($B246="","",IFERROR($C246*$D246*SUMIFS('Dvd Calendar'!$E$455:$CZ$455,'Dvd Calendar'!$E$454:$CZ$454,"&gt;"&amp;T$225,'Dvd Calendar'!$E$454:$CZ$454,"&lt;="&amp;T$226)/MXAU!$B$3,"")))</f>
        <v/>
      </c>
      <c r="U246" s="113">
        <f>IF(U$226="","",IF($B246="","",IFERROR($C246*$D246*SUMIFS('Dvd Calendar'!$E$455:$CZ$455,'Dvd Calendar'!$E$454:$CZ$454,"&gt;"&amp;U$225,'Dvd Calendar'!$E$454:$CZ$454,"&lt;="&amp;U$226)/MXAU!$B$3,"")))</f>
        <v/>
      </c>
      <c r="W246" s="113">
        <f>IF(W$226="","",IF($B246="","",IFERROR(F246*$E246/100,"")))</f>
        <v/>
      </c>
      <c r="X246" s="113">
        <f>IF(X$226="","",IF($B246="","",IFERROR(G246*$E246/100,"")))</f>
        <v/>
      </c>
      <c r="Y246" s="113">
        <f>IF(Y$226="","",IF($B246="","",IFERROR(H246*$E246/100,"")))</f>
        <v/>
      </c>
      <c r="Z246" s="113">
        <f>IF(Z$226="","",IF($B246="","",IFERROR(I246*$E246/100,"")))</f>
        <v/>
      </c>
      <c r="AA246" s="113">
        <f>IF(AA$226="","",IF($B246="","",IFERROR(J246*$E246/100,"")))</f>
        <v/>
      </c>
      <c r="AB246" s="113">
        <f>IF(AB$226="","",IF($B246="","",IFERROR(K246*$E246/100,"")))</f>
        <v/>
      </c>
      <c r="AC246" s="113">
        <f>IF(AC$226="","",IF($B246="","",IFERROR(L246*$E246/100,"")))</f>
        <v/>
      </c>
      <c r="AD246" s="113">
        <f>IF(AD$226="","",IF($B246="","",IFERROR(M246*$E246/100,"")))</f>
        <v/>
      </c>
      <c r="AE246" s="113">
        <f>IF(AE$226="","",IF($B246="","",IFERROR(N246*$E246/100,"")))</f>
        <v/>
      </c>
      <c r="AF246" s="113">
        <f>IF(AF$226="","",IF($B246="","",IFERROR(O246*$E246/100,"")))</f>
        <v/>
      </c>
      <c r="AG246" s="113">
        <f>IF(AG$226="","",IF($B246="","",IFERROR(P246*$E246/100,"")))</f>
        <v/>
      </c>
      <c r="AH246" s="113">
        <f>IF(AH$226="","",IF($B246="","",IFERROR(Q246*$E246/100,"")))</f>
        <v/>
      </c>
      <c r="AI246" s="113">
        <f>IF(AI$226="","",IF($B246="","",IFERROR(R246*$E246/100,"")))</f>
        <v/>
      </c>
      <c r="AJ246" s="113">
        <f>IF(AJ$226="","",IF($B246="","",IFERROR(S246*$E246/100,"")))</f>
        <v/>
      </c>
      <c r="AK246" s="113">
        <f>IF(AK$226="","",IF($B246="","",IFERROR(T246*$E246/100,"")))</f>
        <v/>
      </c>
      <c r="AL246" s="113">
        <f>IF(AL$226="","",IF($B246="","",IFERROR(U246*$E246/100,"")))</f>
        <v/>
      </c>
    </row>
    <row r="247">
      <c r="B247" s="5">
        <f>IF(MXAU!$C$24="","",MXAU!$C$24)</f>
        <v/>
      </c>
      <c r="C247" s="86">
        <f>IF(MXAU!$B$24="","",MXAU!$B$24)</f>
        <v/>
      </c>
      <c r="D247" s="111">
        <f>IFERROR(MXAU!$Q$24,1)</f>
        <v/>
      </c>
      <c r="E247" s="112">
        <f>IF($B247="","",IF(ISNUMBER(MXAU!$I$24),MXAU!$I$24,'Index Summary'!$C$7))</f>
        <v/>
      </c>
      <c r="F247" s="113">
        <f>IF(F$226="","",IF($B247="","",IFERROR($C247*$D247*SUMIFS('Dvd Calendar'!$E$457:$CZ$457,'Dvd Calendar'!$E$456:$CZ$456,"&gt;"&amp;F$225,'Dvd Calendar'!$E$456:$CZ$456,"&lt;="&amp;F$226)/MXAU!$B$3,"")))</f>
        <v/>
      </c>
      <c r="G247" s="113">
        <f>IF(G$226="","",IF($B247="","",IFERROR($C247*$D247*SUMIFS('Dvd Calendar'!$E$457:$CZ$457,'Dvd Calendar'!$E$456:$CZ$456,"&gt;"&amp;G$225,'Dvd Calendar'!$E$456:$CZ$456,"&lt;="&amp;G$226)/MXAU!$B$3,"")))</f>
        <v/>
      </c>
      <c r="H247" s="113">
        <f>IF(H$226="","",IF($B247="","",IFERROR($C247*$D247*SUMIFS('Dvd Calendar'!$E$457:$CZ$457,'Dvd Calendar'!$E$456:$CZ$456,"&gt;"&amp;H$225,'Dvd Calendar'!$E$456:$CZ$456,"&lt;="&amp;H$226)/MXAU!$B$3,"")))</f>
        <v/>
      </c>
      <c r="I247" s="113">
        <f>IF(I$226="","",IF($B247="","",IFERROR($C247*$D247*SUMIFS('Dvd Calendar'!$E$457:$CZ$457,'Dvd Calendar'!$E$456:$CZ$456,"&gt;"&amp;I$225,'Dvd Calendar'!$E$456:$CZ$456,"&lt;="&amp;I$226)/MXAU!$B$3,"")))</f>
        <v/>
      </c>
      <c r="J247" s="113">
        <f>IF(J$226="","",IF($B247="","",IFERROR($C247*$D247*SUMIFS('Dvd Calendar'!$E$457:$CZ$457,'Dvd Calendar'!$E$456:$CZ$456,"&gt;"&amp;J$225,'Dvd Calendar'!$E$456:$CZ$456,"&lt;="&amp;J$226)/MXAU!$B$3,"")))</f>
        <v/>
      </c>
      <c r="K247" s="113">
        <f>IF(K$226="","",IF($B247="","",IFERROR($C247*$D247*SUMIFS('Dvd Calendar'!$E$457:$CZ$457,'Dvd Calendar'!$E$456:$CZ$456,"&gt;"&amp;K$225,'Dvd Calendar'!$E$456:$CZ$456,"&lt;="&amp;K$226)/MXAU!$B$3,"")))</f>
        <v/>
      </c>
      <c r="L247" s="113">
        <f>IF(L$226="","",IF($B247="","",IFERROR($C247*$D247*SUMIFS('Dvd Calendar'!$E$457:$CZ$457,'Dvd Calendar'!$E$456:$CZ$456,"&gt;"&amp;L$225,'Dvd Calendar'!$E$456:$CZ$456,"&lt;="&amp;L$226)/MXAU!$B$3,"")))</f>
        <v/>
      </c>
      <c r="M247" s="113">
        <f>IF(M$226="","",IF($B247="","",IFERROR($C247*$D247*SUMIFS('Dvd Calendar'!$E$457:$CZ$457,'Dvd Calendar'!$E$456:$CZ$456,"&gt;"&amp;M$225,'Dvd Calendar'!$E$456:$CZ$456,"&lt;="&amp;M$226)/MXAU!$B$3,"")))</f>
        <v/>
      </c>
      <c r="N247" s="113">
        <f>IF(N$226="","",IF($B247="","",IFERROR($C247*$D247*SUMIFS('Dvd Calendar'!$E$457:$CZ$457,'Dvd Calendar'!$E$456:$CZ$456,"&gt;"&amp;N$225,'Dvd Calendar'!$E$456:$CZ$456,"&lt;="&amp;N$226)/MXAU!$B$3,"")))</f>
        <v/>
      </c>
      <c r="O247" s="113">
        <f>IF(O$226="","",IF($B247="","",IFERROR($C247*$D247*SUMIFS('Dvd Calendar'!$E$457:$CZ$457,'Dvd Calendar'!$E$456:$CZ$456,"&gt;"&amp;O$225,'Dvd Calendar'!$E$456:$CZ$456,"&lt;="&amp;O$226)/MXAU!$B$3,"")))</f>
        <v/>
      </c>
      <c r="P247" s="113">
        <f>IF(P$226="","",IF($B247="","",IFERROR($C247*$D247*SUMIFS('Dvd Calendar'!$E$457:$CZ$457,'Dvd Calendar'!$E$456:$CZ$456,"&gt;"&amp;P$225,'Dvd Calendar'!$E$456:$CZ$456,"&lt;="&amp;P$226)/MXAU!$B$3,"")))</f>
        <v/>
      </c>
      <c r="Q247" s="113">
        <f>IF(Q$226="","",IF($B247="","",IFERROR($C247*$D247*SUMIFS('Dvd Calendar'!$E$457:$CZ$457,'Dvd Calendar'!$E$456:$CZ$456,"&gt;"&amp;Q$225,'Dvd Calendar'!$E$456:$CZ$456,"&lt;="&amp;Q$226)/MXAU!$B$3,"")))</f>
        <v/>
      </c>
      <c r="R247" s="113">
        <f>IF(R$226="","",IF($B247="","",IFERROR($C247*$D247*SUMIFS('Dvd Calendar'!$E$457:$CZ$457,'Dvd Calendar'!$E$456:$CZ$456,"&gt;"&amp;R$225,'Dvd Calendar'!$E$456:$CZ$456,"&lt;="&amp;R$226)/MXAU!$B$3,"")))</f>
        <v/>
      </c>
      <c r="S247" s="113">
        <f>IF(S$226="","",IF($B247="","",IFERROR($C247*$D247*SUMIFS('Dvd Calendar'!$E$457:$CZ$457,'Dvd Calendar'!$E$456:$CZ$456,"&gt;"&amp;S$225,'Dvd Calendar'!$E$456:$CZ$456,"&lt;="&amp;S$226)/MXAU!$B$3,"")))</f>
        <v/>
      </c>
      <c r="T247" s="113">
        <f>IF(T$226="","",IF($B247="","",IFERROR($C247*$D247*SUMIFS('Dvd Calendar'!$E$457:$CZ$457,'Dvd Calendar'!$E$456:$CZ$456,"&gt;"&amp;T$225,'Dvd Calendar'!$E$456:$CZ$456,"&lt;="&amp;T$226)/MXAU!$B$3,"")))</f>
        <v/>
      </c>
      <c r="U247" s="113">
        <f>IF(U$226="","",IF($B247="","",IFERROR($C247*$D247*SUMIFS('Dvd Calendar'!$E$457:$CZ$457,'Dvd Calendar'!$E$456:$CZ$456,"&gt;"&amp;U$225,'Dvd Calendar'!$E$456:$CZ$456,"&lt;="&amp;U$226)/MXAU!$B$3,"")))</f>
        <v/>
      </c>
      <c r="W247" s="113">
        <f>IF(W$226="","",IF($B247="","",IFERROR(F247*$E247/100,"")))</f>
        <v/>
      </c>
      <c r="X247" s="113">
        <f>IF(X$226="","",IF($B247="","",IFERROR(G247*$E247/100,"")))</f>
        <v/>
      </c>
      <c r="Y247" s="113">
        <f>IF(Y$226="","",IF($B247="","",IFERROR(H247*$E247/100,"")))</f>
        <v/>
      </c>
      <c r="Z247" s="113">
        <f>IF(Z$226="","",IF($B247="","",IFERROR(I247*$E247/100,"")))</f>
        <v/>
      </c>
      <c r="AA247" s="113">
        <f>IF(AA$226="","",IF($B247="","",IFERROR(J247*$E247/100,"")))</f>
        <v/>
      </c>
      <c r="AB247" s="113">
        <f>IF(AB$226="","",IF($B247="","",IFERROR(K247*$E247/100,"")))</f>
        <v/>
      </c>
      <c r="AC247" s="113">
        <f>IF(AC$226="","",IF($B247="","",IFERROR(L247*$E247/100,"")))</f>
        <v/>
      </c>
      <c r="AD247" s="113">
        <f>IF(AD$226="","",IF($B247="","",IFERROR(M247*$E247/100,"")))</f>
        <v/>
      </c>
      <c r="AE247" s="113">
        <f>IF(AE$226="","",IF($B247="","",IFERROR(N247*$E247/100,"")))</f>
        <v/>
      </c>
      <c r="AF247" s="113">
        <f>IF(AF$226="","",IF($B247="","",IFERROR(O247*$E247/100,"")))</f>
        <v/>
      </c>
      <c r="AG247" s="113">
        <f>IF(AG$226="","",IF($B247="","",IFERROR(P247*$E247/100,"")))</f>
        <v/>
      </c>
      <c r="AH247" s="113">
        <f>IF(AH$226="","",IF($B247="","",IFERROR(Q247*$E247/100,"")))</f>
        <v/>
      </c>
      <c r="AI247" s="113">
        <f>IF(AI$226="","",IF($B247="","",IFERROR(R247*$E247/100,"")))</f>
        <v/>
      </c>
      <c r="AJ247" s="113">
        <f>IF(AJ$226="","",IF($B247="","",IFERROR(S247*$E247/100,"")))</f>
        <v/>
      </c>
      <c r="AK247" s="113">
        <f>IF(AK$226="","",IF($B247="","",IFERROR(T247*$E247/100,"")))</f>
        <v/>
      </c>
      <c r="AL247" s="113">
        <f>IF(AL$226="","",IF($B247="","",IFERROR(U247*$E247/100,"")))</f>
        <v/>
      </c>
    </row>
    <row r="248">
      <c r="B248" s="5">
        <f>IF(MXAU!$C$25="","",MXAU!$C$25)</f>
        <v/>
      </c>
      <c r="C248" s="86">
        <f>IF(MXAU!$B$25="","",MXAU!$B$25)</f>
        <v/>
      </c>
      <c r="D248" s="111">
        <f>IFERROR(MXAU!$Q$25,1)</f>
        <v/>
      </c>
      <c r="E248" s="112">
        <f>IF($B248="","",IF(ISNUMBER(MXAU!$I$25),MXAU!$I$25,'Index Summary'!$C$7))</f>
        <v/>
      </c>
      <c r="F248" s="113">
        <f>IF(F$226="","",IF($B248="","",IFERROR($C248*$D248*SUMIFS('Dvd Calendar'!$E$459:$CZ$459,'Dvd Calendar'!$E$458:$CZ$458,"&gt;"&amp;F$225,'Dvd Calendar'!$E$458:$CZ$458,"&lt;="&amp;F$226)/MXAU!$B$3,"")))</f>
        <v/>
      </c>
      <c r="G248" s="113">
        <f>IF(G$226="","",IF($B248="","",IFERROR($C248*$D248*SUMIFS('Dvd Calendar'!$E$459:$CZ$459,'Dvd Calendar'!$E$458:$CZ$458,"&gt;"&amp;G$225,'Dvd Calendar'!$E$458:$CZ$458,"&lt;="&amp;G$226)/MXAU!$B$3,"")))</f>
        <v/>
      </c>
      <c r="H248" s="113">
        <f>IF(H$226="","",IF($B248="","",IFERROR($C248*$D248*SUMIFS('Dvd Calendar'!$E$459:$CZ$459,'Dvd Calendar'!$E$458:$CZ$458,"&gt;"&amp;H$225,'Dvd Calendar'!$E$458:$CZ$458,"&lt;="&amp;H$226)/MXAU!$B$3,"")))</f>
        <v/>
      </c>
      <c r="I248" s="113">
        <f>IF(I$226="","",IF($B248="","",IFERROR($C248*$D248*SUMIFS('Dvd Calendar'!$E$459:$CZ$459,'Dvd Calendar'!$E$458:$CZ$458,"&gt;"&amp;I$225,'Dvd Calendar'!$E$458:$CZ$458,"&lt;="&amp;I$226)/MXAU!$B$3,"")))</f>
        <v/>
      </c>
      <c r="J248" s="113">
        <f>IF(J$226="","",IF($B248="","",IFERROR($C248*$D248*SUMIFS('Dvd Calendar'!$E$459:$CZ$459,'Dvd Calendar'!$E$458:$CZ$458,"&gt;"&amp;J$225,'Dvd Calendar'!$E$458:$CZ$458,"&lt;="&amp;J$226)/MXAU!$B$3,"")))</f>
        <v/>
      </c>
      <c r="K248" s="113">
        <f>IF(K$226="","",IF($B248="","",IFERROR($C248*$D248*SUMIFS('Dvd Calendar'!$E$459:$CZ$459,'Dvd Calendar'!$E$458:$CZ$458,"&gt;"&amp;K$225,'Dvd Calendar'!$E$458:$CZ$458,"&lt;="&amp;K$226)/MXAU!$B$3,"")))</f>
        <v/>
      </c>
      <c r="L248" s="113">
        <f>IF(L$226="","",IF($B248="","",IFERROR($C248*$D248*SUMIFS('Dvd Calendar'!$E$459:$CZ$459,'Dvd Calendar'!$E$458:$CZ$458,"&gt;"&amp;L$225,'Dvd Calendar'!$E$458:$CZ$458,"&lt;="&amp;L$226)/MXAU!$B$3,"")))</f>
        <v/>
      </c>
      <c r="M248" s="113">
        <f>IF(M$226="","",IF($B248="","",IFERROR($C248*$D248*SUMIFS('Dvd Calendar'!$E$459:$CZ$459,'Dvd Calendar'!$E$458:$CZ$458,"&gt;"&amp;M$225,'Dvd Calendar'!$E$458:$CZ$458,"&lt;="&amp;M$226)/MXAU!$B$3,"")))</f>
        <v/>
      </c>
      <c r="N248" s="113">
        <f>IF(N$226="","",IF($B248="","",IFERROR($C248*$D248*SUMIFS('Dvd Calendar'!$E$459:$CZ$459,'Dvd Calendar'!$E$458:$CZ$458,"&gt;"&amp;N$225,'Dvd Calendar'!$E$458:$CZ$458,"&lt;="&amp;N$226)/MXAU!$B$3,"")))</f>
        <v/>
      </c>
      <c r="O248" s="113">
        <f>IF(O$226="","",IF($B248="","",IFERROR($C248*$D248*SUMIFS('Dvd Calendar'!$E$459:$CZ$459,'Dvd Calendar'!$E$458:$CZ$458,"&gt;"&amp;O$225,'Dvd Calendar'!$E$458:$CZ$458,"&lt;="&amp;O$226)/MXAU!$B$3,"")))</f>
        <v/>
      </c>
      <c r="P248" s="113">
        <f>IF(P$226="","",IF($B248="","",IFERROR($C248*$D248*SUMIFS('Dvd Calendar'!$E$459:$CZ$459,'Dvd Calendar'!$E$458:$CZ$458,"&gt;"&amp;P$225,'Dvd Calendar'!$E$458:$CZ$458,"&lt;="&amp;P$226)/MXAU!$B$3,"")))</f>
        <v/>
      </c>
      <c r="Q248" s="113">
        <f>IF(Q$226="","",IF($B248="","",IFERROR($C248*$D248*SUMIFS('Dvd Calendar'!$E$459:$CZ$459,'Dvd Calendar'!$E$458:$CZ$458,"&gt;"&amp;Q$225,'Dvd Calendar'!$E$458:$CZ$458,"&lt;="&amp;Q$226)/MXAU!$B$3,"")))</f>
        <v/>
      </c>
      <c r="R248" s="113">
        <f>IF(R$226="","",IF($B248="","",IFERROR($C248*$D248*SUMIFS('Dvd Calendar'!$E$459:$CZ$459,'Dvd Calendar'!$E$458:$CZ$458,"&gt;"&amp;R$225,'Dvd Calendar'!$E$458:$CZ$458,"&lt;="&amp;R$226)/MXAU!$B$3,"")))</f>
        <v/>
      </c>
      <c r="S248" s="113">
        <f>IF(S$226="","",IF($B248="","",IFERROR($C248*$D248*SUMIFS('Dvd Calendar'!$E$459:$CZ$459,'Dvd Calendar'!$E$458:$CZ$458,"&gt;"&amp;S$225,'Dvd Calendar'!$E$458:$CZ$458,"&lt;="&amp;S$226)/MXAU!$B$3,"")))</f>
        <v/>
      </c>
      <c r="T248" s="113">
        <f>IF(T$226="","",IF($B248="","",IFERROR($C248*$D248*SUMIFS('Dvd Calendar'!$E$459:$CZ$459,'Dvd Calendar'!$E$458:$CZ$458,"&gt;"&amp;T$225,'Dvd Calendar'!$E$458:$CZ$458,"&lt;="&amp;T$226)/MXAU!$B$3,"")))</f>
        <v/>
      </c>
      <c r="U248" s="113">
        <f>IF(U$226="","",IF($B248="","",IFERROR($C248*$D248*SUMIFS('Dvd Calendar'!$E$459:$CZ$459,'Dvd Calendar'!$E$458:$CZ$458,"&gt;"&amp;U$225,'Dvd Calendar'!$E$458:$CZ$458,"&lt;="&amp;U$226)/MXAU!$B$3,"")))</f>
        <v/>
      </c>
      <c r="W248" s="113">
        <f>IF(W$226="","",IF($B248="","",IFERROR(F248*$E248/100,"")))</f>
        <v/>
      </c>
      <c r="X248" s="113">
        <f>IF(X$226="","",IF($B248="","",IFERROR(G248*$E248/100,"")))</f>
        <v/>
      </c>
      <c r="Y248" s="113">
        <f>IF(Y$226="","",IF($B248="","",IFERROR(H248*$E248/100,"")))</f>
        <v/>
      </c>
      <c r="Z248" s="113">
        <f>IF(Z$226="","",IF($B248="","",IFERROR(I248*$E248/100,"")))</f>
        <v/>
      </c>
      <c r="AA248" s="113">
        <f>IF(AA$226="","",IF($B248="","",IFERROR(J248*$E248/100,"")))</f>
        <v/>
      </c>
      <c r="AB248" s="113">
        <f>IF(AB$226="","",IF($B248="","",IFERROR(K248*$E248/100,"")))</f>
        <v/>
      </c>
      <c r="AC248" s="113">
        <f>IF(AC$226="","",IF($B248="","",IFERROR(L248*$E248/100,"")))</f>
        <v/>
      </c>
      <c r="AD248" s="113">
        <f>IF(AD$226="","",IF($B248="","",IFERROR(M248*$E248/100,"")))</f>
        <v/>
      </c>
      <c r="AE248" s="113">
        <f>IF(AE$226="","",IF($B248="","",IFERROR(N248*$E248/100,"")))</f>
        <v/>
      </c>
      <c r="AF248" s="113">
        <f>IF(AF$226="","",IF($B248="","",IFERROR(O248*$E248/100,"")))</f>
        <v/>
      </c>
      <c r="AG248" s="113">
        <f>IF(AG$226="","",IF($B248="","",IFERROR(P248*$E248/100,"")))</f>
        <v/>
      </c>
      <c r="AH248" s="113">
        <f>IF(AH$226="","",IF($B248="","",IFERROR(Q248*$E248/100,"")))</f>
        <v/>
      </c>
      <c r="AI248" s="113">
        <f>IF(AI$226="","",IF($B248="","",IFERROR(R248*$E248/100,"")))</f>
        <v/>
      </c>
      <c r="AJ248" s="113">
        <f>IF(AJ$226="","",IF($B248="","",IFERROR(S248*$E248/100,"")))</f>
        <v/>
      </c>
      <c r="AK248" s="113">
        <f>IF(AK$226="","",IF($B248="","",IFERROR(T248*$E248/100,"")))</f>
        <v/>
      </c>
      <c r="AL248" s="113">
        <f>IF(AL$226="","",IF($B248="","",IFERROR(U248*$E248/100,"")))</f>
        <v/>
      </c>
    </row>
    <row r="249">
      <c r="B249" s="5">
        <f>IF(MXAU!$C$26="","",MXAU!$C$26)</f>
        <v/>
      </c>
      <c r="C249" s="86">
        <f>IF(MXAU!$B$26="","",MXAU!$B$26)</f>
        <v/>
      </c>
      <c r="D249" s="111">
        <f>IFERROR(MXAU!$Q$26,1)</f>
        <v/>
      </c>
      <c r="E249" s="112">
        <f>IF($B249="","",IF(ISNUMBER(MXAU!$I$26),MXAU!$I$26,'Index Summary'!$C$7))</f>
        <v/>
      </c>
      <c r="F249" s="113">
        <f>IF(F$226="","",IF($B249="","",IFERROR($C249*$D249*SUMIFS('Dvd Calendar'!$E$461:$CZ$461,'Dvd Calendar'!$E$460:$CZ$460,"&gt;"&amp;F$225,'Dvd Calendar'!$E$460:$CZ$460,"&lt;="&amp;F$226)/MXAU!$B$3,"")))</f>
        <v/>
      </c>
      <c r="G249" s="113">
        <f>IF(G$226="","",IF($B249="","",IFERROR($C249*$D249*SUMIFS('Dvd Calendar'!$E$461:$CZ$461,'Dvd Calendar'!$E$460:$CZ$460,"&gt;"&amp;G$225,'Dvd Calendar'!$E$460:$CZ$460,"&lt;="&amp;G$226)/MXAU!$B$3,"")))</f>
        <v/>
      </c>
      <c r="H249" s="113">
        <f>IF(H$226="","",IF($B249="","",IFERROR($C249*$D249*SUMIFS('Dvd Calendar'!$E$461:$CZ$461,'Dvd Calendar'!$E$460:$CZ$460,"&gt;"&amp;H$225,'Dvd Calendar'!$E$460:$CZ$460,"&lt;="&amp;H$226)/MXAU!$B$3,"")))</f>
        <v/>
      </c>
      <c r="I249" s="113">
        <f>IF(I$226="","",IF($B249="","",IFERROR($C249*$D249*SUMIFS('Dvd Calendar'!$E$461:$CZ$461,'Dvd Calendar'!$E$460:$CZ$460,"&gt;"&amp;I$225,'Dvd Calendar'!$E$460:$CZ$460,"&lt;="&amp;I$226)/MXAU!$B$3,"")))</f>
        <v/>
      </c>
      <c r="J249" s="113">
        <f>IF(J$226="","",IF($B249="","",IFERROR($C249*$D249*SUMIFS('Dvd Calendar'!$E$461:$CZ$461,'Dvd Calendar'!$E$460:$CZ$460,"&gt;"&amp;J$225,'Dvd Calendar'!$E$460:$CZ$460,"&lt;="&amp;J$226)/MXAU!$B$3,"")))</f>
        <v/>
      </c>
      <c r="K249" s="113">
        <f>IF(K$226="","",IF($B249="","",IFERROR($C249*$D249*SUMIFS('Dvd Calendar'!$E$461:$CZ$461,'Dvd Calendar'!$E$460:$CZ$460,"&gt;"&amp;K$225,'Dvd Calendar'!$E$460:$CZ$460,"&lt;="&amp;K$226)/MXAU!$B$3,"")))</f>
        <v/>
      </c>
      <c r="L249" s="113">
        <f>IF(L$226="","",IF($B249="","",IFERROR($C249*$D249*SUMIFS('Dvd Calendar'!$E$461:$CZ$461,'Dvd Calendar'!$E$460:$CZ$460,"&gt;"&amp;L$225,'Dvd Calendar'!$E$460:$CZ$460,"&lt;="&amp;L$226)/MXAU!$B$3,"")))</f>
        <v/>
      </c>
      <c r="M249" s="113">
        <f>IF(M$226="","",IF($B249="","",IFERROR($C249*$D249*SUMIFS('Dvd Calendar'!$E$461:$CZ$461,'Dvd Calendar'!$E$460:$CZ$460,"&gt;"&amp;M$225,'Dvd Calendar'!$E$460:$CZ$460,"&lt;="&amp;M$226)/MXAU!$B$3,"")))</f>
        <v/>
      </c>
      <c r="N249" s="113">
        <f>IF(N$226="","",IF($B249="","",IFERROR($C249*$D249*SUMIFS('Dvd Calendar'!$E$461:$CZ$461,'Dvd Calendar'!$E$460:$CZ$460,"&gt;"&amp;N$225,'Dvd Calendar'!$E$460:$CZ$460,"&lt;="&amp;N$226)/MXAU!$B$3,"")))</f>
        <v/>
      </c>
      <c r="O249" s="113">
        <f>IF(O$226="","",IF($B249="","",IFERROR($C249*$D249*SUMIFS('Dvd Calendar'!$E$461:$CZ$461,'Dvd Calendar'!$E$460:$CZ$460,"&gt;"&amp;O$225,'Dvd Calendar'!$E$460:$CZ$460,"&lt;="&amp;O$226)/MXAU!$B$3,"")))</f>
        <v/>
      </c>
      <c r="P249" s="113">
        <f>IF(P$226="","",IF($B249="","",IFERROR($C249*$D249*SUMIFS('Dvd Calendar'!$E$461:$CZ$461,'Dvd Calendar'!$E$460:$CZ$460,"&gt;"&amp;P$225,'Dvd Calendar'!$E$460:$CZ$460,"&lt;="&amp;P$226)/MXAU!$B$3,"")))</f>
        <v/>
      </c>
      <c r="Q249" s="113">
        <f>IF(Q$226="","",IF($B249="","",IFERROR($C249*$D249*SUMIFS('Dvd Calendar'!$E$461:$CZ$461,'Dvd Calendar'!$E$460:$CZ$460,"&gt;"&amp;Q$225,'Dvd Calendar'!$E$460:$CZ$460,"&lt;="&amp;Q$226)/MXAU!$B$3,"")))</f>
        <v/>
      </c>
      <c r="R249" s="113">
        <f>IF(R$226="","",IF($B249="","",IFERROR($C249*$D249*SUMIFS('Dvd Calendar'!$E$461:$CZ$461,'Dvd Calendar'!$E$460:$CZ$460,"&gt;"&amp;R$225,'Dvd Calendar'!$E$460:$CZ$460,"&lt;="&amp;R$226)/MXAU!$B$3,"")))</f>
        <v/>
      </c>
      <c r="S249" s="113">
        <f>IF(S$226="","",IF($B249="","",IFERROR($C249*$D249*SUMIFS('Dvd Calendar'!$E$461:$CZ$461,'Dvd Calendar'!$E$460:$CZ$460,"&gt;"&amp;S$225,'Dvd Calendar'!$E$460:$CZ$460,"&lt;="&amp;S$226)/MXAU!$B$3,"")))</f>
        <v/>
      </c>
      <c r="T249" s="113">
        <f>IF(T$226="","",IF($B249="","",IFERROR($C249*$D249*SUMIFS('Dvd Calendar'!$E$461:$CZ$461,'Dvd Calendar'!$E$460:$CZ$460,"&gt;"&amp;T$225,'Dvd Calendar'!$E$460:$CZ$460,"&lt;="&amp;T$226)/MXAU!$B$3,"")))</f>
        <v/>
      </c>
      <c r="U249" s="113">
        <f>IF(U$226="","",IF($B249="","",IFERROR($C249*$D249*SUMIFS('Dvd Calendar'!$E$461:$CZ$461,'Dvd Calendar'!$E$460:$CZ$460,"&gt;"&amp;U$225,'Dvd Calendar'!$E$460:$CZ$460,"&lt;="&amp;U$226)/MXAU!$B$3,"")))</f>
        <v/>
      </c>
      <c r="W249" s="113">
        <f>IF(W$226="","",IF($B249="","",IFERROR(F249*$E249/100,"")))</f>
        <v/>
      </c>
      <c r="X249" s="113">
        <f>IF(X$226="","",IF($B249="","",IFERROR(G249*$E249/100,"")))</f>
        <v/>
      </c>
      <c r="Y249" s="113">
        <f>IF(Y$226="","",IF($B249="","",IFERROR(H249*$E249/100,"")))</f>
        <v/>
      </c>
      <c r="Z249" s="113">
        <f>IF(Z$226="","",IF($B249="","",IFERROR(I249*$E249/100,"")))</f>
        <v/>
      </c>
      <c r="AA249" s="113">
        <f>IF(AA$226="","",IF($B249="","",IFERROR(J249*$E249/100,"")))</f>
        <v/>
      </c>
      <c r="AB249" s="113">
        <f>IF(AB$226="","",IF($B249="","",IFERROR(K249*$E249/100,"")))</f>
        <v/>
      </c>
      <c r="AC249" s="113">
        <f>IF(AC$226="","",IF($B249="","",IFERROR(L249*$E249/100,"")))</f>
        <v/>
      </c>
      <c r="AD249" s="113">
        <f>IF(AD$226="","",IF($B249="","",IFERROR(M249*$E249/100,"")))</f>
        <v/>
      </c>
      <c r="AE249" s="113">
        <f>IF(AE$226="","",IF($B249="","",IFERROR(N249*$E249/100,"")))</f>
        <v/>
      </c>
      <c r="AF249" s="113">
        <f>IF(AF$226="","",IF($B249="","",IFERROR(O249*$E249/100,"")))</f>
        <v/>
      </c>
      <c r="AG249" s="113">
        <f>IF(AG$226="","",IF($B249="","",IFERROR(P249*$E249/100,"")))</f>
        <v/>
      </c>
      <c r="AH249" s="113">
        <f>IF(AH$226="","",IF($B249="","",IFERROR(Q249*$E249/100,"")))</f>
        <v/>
      </c>
      <c r="AI249" s="113">
        <f>IF(AI$226="","",IF($B249="","",IFERROR(R249*$E249/100,"")))</f>
        <v/>
      </c>
      <c r="AJ249" s="113">
        <f>IF(AJ$226="","",IF($B249="","",IFERROR(S249*$E249/100,"")))</f>
        <v/>
      </c>
      <c r="AK249" s="113">
        <f>IF(AK$226="","",IF($B249="","",IFERROR(T249*$E249/100,"")))</f>
        <v/>
      </c>
      <c r="AL249" s="113">
        <f>IF(AL$226="","",IF($B249="","",IFERROR(U249*$E249/100,"")))</f>
        <v/>
      </c>
    </row>
    <row r="250">
      <c r="B250" s="5">
        <f>IF(MXAU!$C$27="","",MXAU!$C$27)</f>
        <v/>
      </c>
      <c r="C250" s="86">
        <f>IF(MXAU!$B$27="","",MXAU!$B$27)</f>
        <v/>
      </c>
      <c r="D250" s="111">
        <f>IFERROR(MXAU!$Q$27,1)</f>
        <v/>
      </c>
      <c r="E250" s="112">
        <f>IF($B250="","",IF(ISNUMBER(MXAU!$I$27),MXAU!$I$27,'Index Summary'!$C$7))</f>
        <v/>
      </c>
      <c r="F250" s="113">
        <f>IF(F$226="","",IF($B250="","",IFERROR($C250*$D250*SUMIFS('Dvd Calendar'!$E$463:$CZ$463,'Dvd Calendar'!$E$462:$CZ$462,"&gt;"&amp;F$225,'Dvd Calendar'!$E$462:$CZ$462,"&lt;="&amp;F$226)/MXAU!$B$3,"")))</f>
        <v/>
      </c>
      <c r="G250" s="113">
        <f>IF(G$226="","",IF($B250="","",IFERROR($C250*$D250*SUMIFS('Dvd Calendar'!$E$463:$CZ$463,'Dvd Calendar'!$E$462:$CZ$462,"&gt;"&amp;G$225,'Dvd Calendar'!$E$462:$CZ$462,"&lt;="&amp;G$226)/MXAU!$B$3,"")))</f>
        <v/>
      </c>
      <c r="H250" s="113">
        <f>IF(H$226="","",IF($B250="","",IFERROR($C250*$D250*SUMIFS('Dvd Calendar'!$E$463:$CZ$463,'Dvd Calendar'!$E$462:$CZ$462,"&gt;"&amp;H$225,'Dvd Calendar'!$E$462:$CZ$462,"&lt;="&amp;H$226)/MXAU!$B$3,"")))</f>
        <v/>
      </c>
      <c r="I250" s="113">
        <f>IF(I$226="","",IF($B250="","",IFERROR($C250*$D250*SUMIFS('Dvd Calendar'!$E$463:$CZ$463,'Dvd Calendar'!$E$462:$CZ$462,"&gt;"&amp;I$225,'Dvd Calendar'!$E$462:$CZ$462,"&lt;="&amp;I$226)/MXAU!$B$3,"")))</f>
        <v/>
      </c>
      <c r="J250" s="113">
        <f>IF(J$226="","",IF($B250="","",IFERROR($C250*$D250*SUMIFS('Dvd Calendar'!$E$463:$CZ$463,'Dvd Calendar'!$E$462:$CZ$462,"&gt;"&amp;J$225,'Dvd Calendar'!$E$462:$CZ$462,"&lt;="&amp;J$226)/MXAU!$B$3,"")))</f>
        <v/>
      </c>
      <c r="K250" s="113">
        <f>IF(K$226="","",IF($B250="","",IFERROR($C250*$D250*SUMIFS('Dvd Calendar'!$E$463:$CZ$463,'Dvd Calendar'!$E$462:$CZ$462,"&gt;"&amp;K$225,'Dvd Calendar'!$E$462:$CZ$462,"&lt;="&amp;K$226)/MXAU!$B$3,"")))</f>
        <v/>
      </c>
      <c r="L250" s="113">
        <f>IF(L$226="","",IF($B250="","",IFERROR($C250*$D250*SUMIFS('Dvd Calendar'!$E$463:$CZ$463,'Dvd Calendar'!$E$462:$CZ$462,"&gt;"&amp;L$225,'Dvd Calendar'!$E$462:$CZ$462,"&lt;="&amp;L$226)/MXAU!$B$3,"")))</f>
        <v/>
      </c>
      <c r="M250" s="113">
        <f>IF(M$226="","",IF($B250="","",IFERROR($C250*$D250*SUMIFS('Dvd Calendar'!$E$463:$CZ$463,'Dvd Calendar'!$E$462:$CZ$462,"&gt;"&amp;M$225,'Dvd Calendar'!$E$462:$CZ$462,"&lt;="&amp;M$226)/MXAU!$B$3,"")))</f>
        <v/>
      </c>
      <c r="N250" s="113">
        <f>IF(N$226="","",IF($B250="","",IFERROR($C250*$D250*SUMIFS('Dvd Calendar'!$E$463:$CZ$463,'Dvd Calendar'!$E$462:$CZ$462,"&gt;"&amp;N$225,'Dvd Calendar'!$E$462:$CZ$462,"&lt;="&amp;N$226)/MXAU!$B$3,"")))</f>
        <v/>
      </c>
      <c r="O250" s="113">
        <f>IF(O$226="","",IF($B250="","",IFERROR($C250*$D250*SUMIFS('Dvd Calendar'!$E$463:$CZ$463,'Dvd Calendar'!$E$462:$CZ$462,"&gt;"&amp;O$225,'Dvd Calendar'!$E$462:$CZ$462,"&lt;="&amp;O$226)/MXAU!$B$3,"")))</f>
        <v/>
      </c>
      <c r="P250" s="113">
        <f>IF(P$226="","",IF($B250="","",IFERROR($C250*$D250*SUMIFS('Dvd Calendar'!$E$463:$CZ$463,'Dvd Calendar'!$E$462:$CZ$462,"&gt;"&amp;P$225,'Dvd Calendar'!$E$462:$CZ$462,"&lt;="&amp;P$226)/MXAU!$B$3,"")))</f>
        <v/>
      </c>
      <c r="Q250" s="113">
        <f>IF(Q$226="","",IF($B250="","",IFERROR($C250*$D250*SUMIFS('Dvd Calendar'!$E$463:$CZ$463,'Dvd Calendar'!$E$462:$CZ$462,"&gt;"&amp;Q$225,'Dvd Calendar'!$E$462:$CZ$462,"&lt;="&amp;Q$226)/MXAU!$B$3,"")))</f>
        <v/>
      </c>
      <c r="R250" s="113">
        <f>IF(R$226="","",IF($B250="","",IFERROR($C250*$D250*SUMIFS('Dvd Calendar'!$E$463:$CZ$463,'Dvd Calendar'!$E$462:$CZ$462,"&gt;"&amp;R$225,'Dvd Calendar'!$E$462:$CZ$462,"&lt;="&amp;R$226)/MXAU!$B$3,"")))</f>
        <v/>
      </c>
      <c r="S250" s="113">
        <f>IF(S$226="","",IF($B250="","",IFERROR($C250*$D250*SUMIFS('Dvd Calendar'!$E$463:$CZ$463,'Dvd Calendar'!$E$462:$CZ$462,"&gt;"&amp;S$225,'Dvd Calendar'!$E$462:$CZ$462,"&lt;="&amp;S$226)/MXAU!$B$3,"")))</f>
        <v/>
      </c>
      <c r="T250" s="113">
        <f>IF(T$226="","",IF($B250="","",IFERROR($C250*$D250*SUMIFS('Dvd Calendar'!$E$463:$CZ$463,'Dvd Calendar'!$E$462:$CZ$462,"&gt;"&amp;T$225,'Dvd Calendar'!$E$462:$CZ$462,"&lt;="&amp;T$226)/MXAU!$B$3,"")))</f>
        <v/>
      </c>
      <c r="U250" s="113">
        <f>IF(U$226="","",IF($B250="","",IFERROR($C250*$D250*SUMIFS('Dvd Calendar'!$E$463:$CZ$463,'Dvd Calendar'!$E$462:$CZ$462,"&gt;"&amp;U$225,'Dvd Calendar'!$E$462:$CZ$462,"&lt;="&amp;U$226)/MXAU!$B$3,"")))</f>
        <v/>
      </c>
      <c r="W250" s="113">
        <f>IF(W$226="","",IF($B250="","",IFERROR(F250*$E250/100,"")))</f>
        <v/>
      </c>
      <c r="X250" s="113">
        <f>IF(X$226="","",IF($B250="","",IFERROR(G250*$E250/100,"")))</f>
        <v/>
      </c>
      <c r="Y250" s="113">
        <f>IF(Y$226="","",IF($B250="","",IFERROR(H250*$E250/100,"")))</f>
        <v/>
      </c>
      <c r="Z250" s="113">
        <f>IF(Z$226="","",IF($B250="","",IFERROR(I250*$E250/100,"")))</f>
        <v/>
      </c>
      <c r="AA250" s="113">
        <f>IF(AA$226="","",IF($B250="","",IFERROR(J250*$E250/100,"")))</f>
        <v/>
      </c>
      <c r="AB250" s="113">
        <f>IF(AB$226="","",IF($B250="","",IFERROR(K250*$E250/100,"")))</f>
        <v/>
      </c>
      <c r="AC250" s="113">
        <f>IF(AC$226="","",IF($B250="","",IFERROR(L250*$E250/100,"")))</f>
        <v/>
      </c>
      <c r="AD250" s="113">
        <f>IF(AD$226="","",IF($B250="","",IFERROR(M250*$E250/100,"")))</f>
        <v/>
      </c>
      <c r="AE250" s="113">
        <f>IF(AE$226="","",IF($B250="","",IFERROR(N250*$E250/100,"")))</f>
        <v/>
      </c>
      <c r="AF250" s="113">
        <f>IF(AF$226="","",IF($B250="","",IFERROR(O250*$E250/100,"")))</f>
        <v/>
      </c>
      <c r="AG250" s="113">
        <f>IF(AG$226="","",IF($B250="","",IFERROR(P250*$E250/100,"")))</f>
        <v/>
      </c>
      <c r="AH250" s="113">
        <f>IF(AH$226="","",IF($B250="","",IFERROR(Q250*$E250/100,"")))</f>
        <v/>
      </c>
      <c r="AI250" s="113">
        <f>IF(AI$226="","",IF($B250="","",IFERROR(R250*$E250/100,"")))</f>
        <v/>
      </c>
      <c r="AJ250" s="113">
        <f>IF(AJ$226="","",IF($B250="","",IFERROR(S250*$E250/100,"")))</f>
        <v/>
      </c>
      <c r="AK250" s="113">
        <f>IF(AK$226="","",IF($B250="","",IFERROR(T250*$E250/100,"")))</f>
        <v/>
      </c>
      <c r="AL250" s="113">
        <f>IF(AL$226="","",IF($B250="","",IFERROR(U250*$E250/100,"")))</f>
        <v/>
      </c>
    </row>
    <row r="251">
      <c r="B251" s="5">
        <f>IF(MXAU!$C$28="","",MXAU!$C$28)</f>
        <v/>
      </c>
      <c r="C251" s="86">
        <f>IF(MXAU!$B$28="","",MXAU!$B$28)</f>
        <v/>
      </c>
      <c r="D251" s="111">
        <f>IFERROR(MXAU!$Q$28,1)</f>
        <v/>
      </c>
      <c r="E251" s="112">
        <f>IF($B251="","",IF(ISNUMBER(MXAU!$I$28),MXAU!$I$28,'Index Summary'!$C$7))</f>
        <v/>
      </c>
      <c r="F251" s="113">
        <f>IF(F$226="","",IF($B251="","",IFERROR($C251*$D251*SUMIFS('Dvd Calendar'!$E$465:$CZ$465,'Dvd Calendar'!$E$464:$CZ$464,"&gt;"&amp;F$225,'Dvd Calendar'!$E$464:$CZ$464,"&lt;="&amp;F$226)/MXAU!$B$3,"")))</f>
        <v/>
      </c>
      <c r="G251" s="113">
        <f>IF(G$226="","",IF($B251="","",IFERROR($C251*$D251*SUMIFS('Dvd Calendar'!$E$465:$CZ$465,'Dvd Calendar'!$E$464:$CZ$464,"&gt;"&amp;G$225,'Dvd Calendar'!$E$464:$CZ$464,"&lt;="&amp;G$226)/MXAU!$B$3,"")))</f>
        <v/>
      </c>
      <c r="H251" s="113">
        <f>IF(H$226="","",IF($B251="","",IFERROR($C251*$D251*SUMIFS('Dvd Calendar'!$E$465:$CZ$465,'Dvd Calendar'!$E$464:$CZ$464,"&gt;"&amp;H$225,'Dvd Calendar'!$E$464:$CZ$464,"&lt;="&amp;H$226)/MXAU!$B$3,"")))</f>
        <v/>
      </c>
      <c r="I251" s="113">
        <f>IF(I$226="","",IF($B251="","",IFERROR($C251*$D251*SUMIFS('Dvd Calendar'!$E$465:$CZ$465,'Dvd Calendar'!$E$464:$CZ$464,"&gt;"&amp;I$225,'Dvd Calendar'!$E$464:$CZ$464,"&lt;="&amp;I$226)/MXAU!$B$3,"")))</f>
        <v/>
      </c>
      <c r="J251" s="113">
        <f>IF(J$226="","",IF($B251="","",IFERROR($C251*$D251*SUMIFS('Dvd Calendar'!$E$465:$CZ$465,'Dvd Calendar'!$E$464:$CZ$464,"&gt;"&amp;J$225,'Dvd Calendar'!$E$464:$CZ$464,"&lt;="&amp;J$226)/MXAU!$B$3,"")))</f>
        <v/>
      </c>
      <c r="K251" s="113">
        <f>IF(K$226="","",IF($B251="","",IFERROR($C251*$D251*SUMIFS('Dvd Calendar'!$E$465:$CZ$465,'Dvd Calendar'!$E$464:$CZ$464,"&gt;"&amp;K$225,'Dvd Calendar'!$E$464:$CZ$464,"&lt;="&amp;K$226)/MXAU!$B$3,"")))</f>
        <v/>
      </c>
      <c r="L251" s="113">
        <f>IF(L$226="","",IF($B251="","",IFERROR($C251*$D251*SUMIFS('Dvd Calendar'!$E$465:$CZ$465,'Dvd Calendar'!$E$464:$CZ$464,"&gt;"&amp;L$225,'Dvd Calendar'!$E$464:$CZ$464,"&lt;="&amp;L$226)/MXAU!$B$3,"")))</f>
        <v/>
      </c>
      <c r="M251" s="113">
        <f>IF(M$226="","",IF($B251="","",IFERROR($C251*$D251*SUMIFS('Dvd Calendar'!$E$465:$CZ$465,'Dvd Calendar'!$E$464:$CZ$464,"&gt;"&amp;M$225,'Dvd Calendar'!$E$464:$CZ$464,"&lt;="&amp;M$226)/MXAU!$B$3,"")))</f>
        <v/>
      </c>
      <c r="N251" s="113">
        <f>IF(N$226="","",IF($B251="","",IFERROR($C251*$D251*SUMIFS('Dvd Calendar'!$E$465:$CZ$465,'Dvd Calendar'!$E$464:$CZ$464,"&gt;"&amp;N$225,'Dvd Calendar'!$E$464:$CZ$464,"&lt;="&amp;N$226)/MXAU!$B$3,"")))</f>
        <v/>
      </c>
      <c r="O251" s="113">
        <f>IF(O$226="","",IF($B251="","",IFERROR($C251*$D251*SUMIFS('Dvd Calendar'!$E$465:$CZ$465,'Dvd Calendar'!$E$464:$CZ$464,"&gt;"&amp;O$225,'Dvd Calendar'!$E$464:$CZ$464,"&lt;="&amp;O$226)/MXAU!$B$3,"")))</f>
        <v/>
      </c>
      <c r="P251" s="113">
        <f>IF(P$226="","",IF($B251="","",IFERROR($C251*$D251*SUMIFS('Dvd Calendar'!$E$465:$CZ$465,'Dvd Calendar'!$E$464:$CZ$464,"&gt;"&amp;P$225,'Dvd Calendar'!$E$464:$CZ$464,"&lt;="&amp;P$226)/MXAU!$B$3,"")))</f>
        <v/>
      </c>
      <c r="Q251" s="113">
        <f>IF(Q$226="","",IF($B251="","",IFERROR($C251*$D251*SUMIFS('Dvd Calendar'!$E$465:$CZ$465,'Dvd Calendar'!$E$464:$CZ$464,"&gt;"&amp;Q$225,'Dvd Calendar'!$E$464:$CZ$464,"&lt;="&amp;Q$226)/MXAU!$B$3,"")))</f>
        <v/>
      </c>
      <c r="R251" s="113">
        <f>IF(R$226="","",IF($B251="","",IFERROR($C251*$D251*SUMIFS('Dvd Calendar'!$E$465:$CZ$465,'Dvd Calendar'!$E$464:$CZ$464,"&gt;"&amp;R$225,'Dvd Calendar'!$E$464:$CZ$464,"&lt;="&amp;R$226)/MXAU!$B$3,"")))</f>
        <v/>
      </c>
      <c r="S251" s="113">
        <f>IF(S$226="","",IF($B251="","",IFERROR($C251*$D251*SUMIFS('Dvd Calendar'!$E$465:$CZ$465,'Dvd Calendar'!$E$464:$CZ$464,"&gt;"&amp;S$225,'Dvd Calendar'!$E$464:$CZ$464,"&lt;="&amp;S$226)/MXAU!$B$3,"")))</f>
        <v/>
      </c>
      <c r="T251" s="113">
        <f>IF(T$226="","",IF($B251="","",IFERROR($C251*$D251*SUMIFS('Dvd Calendar'!$E$465:$CZ$465,'Dvd Calendar'!$E$464:$CZ$464,"&gt;"&amp;T$225,'Dvd Calendar'!$E$464:$CZ$464,"&lt;="&amp;T$226)/MXAU!$B$3,"")))</f>
        <v/>
      </c>
      <c r="U251" s="113">
        <f>IF(U$226="","",IF($B251="","",IFERROR($C251*$D251*SUMIFS('Dvd Calendar'!$E$465:$CZ$465,'Dvd Calendar'!$E$464:$CZ$464,"&gt;"&amp;U$225,'Dvd Calendar'!$E$464:$CZ$464,"&lt;="&amp;U$226)/MXAU!$B$3,"")))</f>
        <v/>
      </c>
      <c r="W251" s="113">
        <f>IF(W$226="","",IF($B251="","",IFERROR(F251*$E251/100,"")))</f>
        <v/>
      </c>
      <c r="X251" s="113">
        <f>IF(X$226="","",IF($B251="","",IFERROR(G251*$E251/100,"")))</f>
        <v/>
      </c>
      <c r="Y251" s="113">
        <f>IF(Y$226="","",IF($B251="","",IFERROR(H251*$E251/100,"")))</f>
        <v/>
      </c>
      <c r="Z251" s="113">
        <f>IF(Z$226="","",IF($B251="","",IFERROR(I251*$E251/100,"")))</f>
        <v/>
      </c>
      <c r="AA251" s="113">
        <f>IF(AA$226="","",IF($B251="","",IFERROR(J251*$E251/100,"")))</f>
        <v/>
      </c>
      <c r="AB251" s="113">
        <f>IF(AB$226="","",IF($B251="","",IFERROR(K251*$E251/100,"")))</f>
        <v/>
      </c>
      <c r="AC251" s="113">
        <f>IF(AC$226="","",IF($B251="","",IFERROR(L251*$E251/100,"")))</f>
        <v/>
      </c>
      <c r="AD251" s="113">
        <f>IF(AD$226="","",IF($B251="","",IFERROR(M251*$E251/100,"")))</f>
        <v/>
      </c>
      <c r="AE251" s="113">
        <f>IF(AE$226="","",IF($B251="","",IFERROR(N251*$E251/100,"")))</f>
        <v/>
      </c>
      <c r="AF251" s="113">
        <f>IF(AF$226="","",IF($B251="","",IFERROR(O251*$E251/100,"")))</f>
        <v/>
      </c>
      <c r="AG251" s="113">
        <f>IF(AG$226="","",IF($B251="","",IFERROR(P251*$E251/100,"")))</f>
        <v/>
      </c>
      <c r="AH251" s="113">
        <f>IF(AH$226="","",IF($B251="","",IFERROR(Q251*$E251/100,"")))</f>
        <v/>
      </c>
      <c r="AI251" s="113">
        <f>IF(AI$226="","",IF($B251="","",IFERROR(R251*$E251/100,"")))</f>
        <v/>
      </c>
      <c r="AJ251" s="113">
        <f>IF(AJ$226="","",IF($B251="","",IFERROR(S251*$E251/100,"")))</f>
        <v/>
      </c>
      <c r="AK251" s="113">
        <f>IF(AK$226="","",IF($B251="","",IFERROR(T251*$E251/100,"")))</f>
        <v/>
      </c>
      <c r="AL251" s="113">
        <f>IF(AL$226="","",IF($B251="","",IFERROR(U251*$E251/100,"")))</f>
        <v/>
      </c>
    </row>
    <row r="252">
      <c r="B252" s="5">
        <f>IF(MXAU!$C$29="","",MXAU!$C$29)</f>
        <v/>
      </c>
      <c r="C252" s="86">
        <f>IF(MXAU!$B$29="","",MXAU!$B$29)</f>
        <v/>
      </c>
      <c r="D252" s="111">
        <f>IFERROR(MXAU!$Q$29,1)</f>
        <v/>
      </c>
      <c r="E252" s="112">
        <f>IF($B252="","",IF(ISNUMBER(MXAU!$I$29),MXAU!$I$29,'Index Summary'!$C$7))</f>
        <v/>
      </c>
      <c r="F252" s="113">
        <f>IF(F$226="","",IF($B252="","",IFERROR($C252*$D252*SUMIFS('Dvd Calendar'!$E$467:$CZ$467,'Dvd Calendar'!$E$466:$CZ$466,"&gt;"&amp;F$225,'Dvd Calendar'!$E$466:$CZ$466,"&lt;="&amp;F$226)/MXAU!$B$3,"")))</f>
        <v/>
      </c>
      <c r="G252" s="113">
        <f>IF(G$226="","",IF($B252="","",IFERROR($C252*$D252*SUMIFS('Dvd Calendar'!$E$467:$CZ$467,'Dvd Calendar'!$E$466:$CZ$466,"&gt;"&amp;G$225,'Dvd Calendar'!$E$466:$CZ$466,"&lt;="&amp;G$226)/MXAU!$B$3,"")))</f>
        <v/>
      </c>
      <c r="H252" s="113">
        <f>IF(H$226="","",IF($B252="","",IFERROR($C252*$D252*SUMIFS('Dvd Calendar'!$E$467:$CZ$467,'Dvd Calendar'!$E$466:$CZ$466,"&gt;"&amp;H$225,'Dvd Calendar'!$E$466:$CZ$466,"&lt;="&amp;H$226)/MXAU!$B$3,"")))</f>
        <v/>
      </c>
      <c r="I252" s="113">
        <f>IF(I$226="","",IF($B252="","",IFERROR($C252*$D252*SUMIFS('Dvd Calendar'!$E$467:$CZ$467,'Dvd Calendar'!$E$466:$CZ$466,"&gt;"&amp;I$225,'Dvd Calendar'!$E$466:$CZ$466,"&lt;="&amp;I$226)/MXAU!$B$3,"")))</f>
        <v/>
      </c>
      <c r="J252" s="113">
        <f>IF(J$226="","",IF($B252="","",IFERROR($C252*$D252*SUMIFS('Dvd Calendar'!$E$467:$CZ$467,'Dvd Calendar'!$E$466:$CZ$466,"&gt;"&amp;J$225,'Dvd Calendar'!$E$466:$CZ$466,"&lt;="&amp;J$226)/MXAU!$B$3,"")))</f>
        <v/>
      </c>
      <c r="K252" s="113">
        <f>IF(K$226="","",IF($B252="","",IFERROR($C252*$D252*SUMIFS('Dvd Calendar'!$E$467:$CZ$467,'Dvd Calendar'!$E$466:$CZ$466,"&gt;"&amp;K$225,'Dvd Calendar'!$E$466:$CZ$466,"&lt;="&amp;K$226)/MXAU!$B$3,"")))</f>
        <v/>
      </c>
      <c r="L252" s="113">
        <f>IF(L$226="","",IF($B252="","",IFERROR($C252*$D252*SUMIFS('Dvd Calendar'!$E$467:$CZ$467,'Dvd Calendar'!$E$466:$CZ$466,"&gt;"&amp;L$225,'Dvd Calendar'!$E$466:$CZ$466,"&lt;="&amp;L$226)/MXAU!$B$3,"")))</f>
        <v/>
      </c>
      <c r="M252" s="113">
        <f>IF(M$226="","",IF($B252="","",IFERROR($C252*$D252*SUMIFS('Dvd Calendar'!$E$467:$CZ$467,'Dvd Calendar'!$E$466:$CZ$466,"&gt;"&amp;M$225,'Dvd Calendar'!$E$466:$CZ$466,"&lt;="&amp;M$226)/MXAU!$B$3,"")))</f>
        <v/>
      </c>
      <c r="N252" s="113">
        <f>IF(N$226="","",IF($B252="","",IFERROR($C252*$D252*SUMIFS('Dvd Calendar'!$E$467:$CZ$467,'Dvd Calendar'!$E$466:$CZ$466,"&gt;"&amp;N$225,'Dvd Calendar'!$E$466:$CZ$466,"&lt;="&amp;N$226)/MXAU!$B$3,"")))</f>
        <v/>
      </c>
      <c r="O252" s="113">
        <f>IF(O$226="","",IF($B252="","",IFERROR($C252*$D252*SUMIFS('Dvd Calendar'!$E$467:$CZ$467,'Dvd Calendar'!$E$466:$CZ$466,"&gt;"&amp;O$225,'Dvd Calendar'!$E$466:$CZ$466,"&lt;="&amp;O$226)/MXAU!$B$3,"")))</f>
        <v/>
      </c>
      <c r="P252" s="113">
        <f>IF(P$226="","",IF($B252="","",IFERROR($C252*$D252*SUMIFS('Dvd Calendar'!$E$467:$CZ$467,'Dvd Calendar'!$E$466:$CZ$466,"&gt;"&amp;P$225,'Dvd Calendar'!$E$466:$CZ$466,"&lt;="&amp;P$226)/MXAU!$B$3,"")))</f>
        <v/>
      </c>
      <c r="Q252" s="113">
        <f>IF(Q$226="","",IF($B252="","",IFERROR($C252*$D252*SUMIFS('Dvd Calendar'!$E$467:$CZ$467,'Dvd Calendar'!$E$466:$CZ$466,"&gt;"&amp;Q$225,'Dvd Calendar'!$E$466:$CZ$466,"&lt;="&amp;Q$226)/MXAU!$B$3,"")))</f>
        <v/>
      </c>
      <c r="R252" s="113">
        <f>IF(R$226="","",IF($B252="","",IFERROR($C252*$D252*SUMIFS('Dvd Calendar'!$E$467:$CZ$467,'Dvd Calendar'!$E$466:$CZ$466,"&gt;"&amp;R$225,'Dvd Calendar'!$E$466:$CZ$466,"&lt;="&amp;R$226)/MXAU!$B$3,"")))</f>
        <v/>
      </c>
      <c r="S252" s="113">
        <f>IF(S$226="","",IF($B252="","",IFERROR($C252*$D252*SUMIFS('Dvd Calendar'!$E$467:$CZ$467,'Dvd Calendar'!$E$466:$CZ$466,"&gt;"&amp;S$225,'Dvd Calendar'!$E$466:$CZ$466,"&lt;="&amp;S$226)/MXAU!$B$3,"")))</f>
        <v/>
      </c>
      <c r="T252" s="113">
        <f>IF(T$226="","",IF($B252="","",IFERROR($C252*$D252*SUMIFS('Dvd Calendar'!$E$467:$CZ$467,'Dvd Calendar'!$E$466:$CZ$466,"&gt;"&amp;T$225,'Dvd Calendar'!$E$466:$CZ$466,"&lt;="&amp;T$226)/MXAU!$B$3,"")))</f>
        <v/>
      </c>
      <c r="U252" s="113">
        <f>IF(U$226="","",IF($B252="","",IFERROR($C252*$D252*SUMIFS('Dvd Calendar'!$E$467:$CZ$467,'Dvd Calendar'!$E$466:$CZ$466,"&gt;"&amp;U$225,'Dvd Calendar'!$E$466:$CZ$466,"&lt;="&amp;U$226)/MXAU!$B$3,"")))</f>
        <v/>
      </c>
      <c r="W252" s="113">
        <f>IF(W$226="","",IF($B252="","",IFERROR(F252*$E252/100,"")))</f>
        <v/>
      </c>
      <c r="X252" s="113">
        <f>IF(X$226="","",IF($B252="","",IFERROR(G252*$E252/100,"")))</f>
        <v/>
      </c>
      <c r="Y252" s="113">
        <f>IF(Y$226="","",IF($B252="","",IFERROR(H252*$E252/100,"")))</f>
        <v/>
      </c>
      <c r="Z252" s="113">
        <f>IF(Z$226="","",IF($B252="","",IFERROR(I252*$E252/100,"")))</f>
        <v/>
      </c>
      <c r="AA252" s="113">
        <f>IF(AA$226="","",IF($B252="","",IFERROR(J252*$E252/100,"")))</f>
        <v/>
      </c>
      <c r="AB252" s="113">
        <f>IF(AB$226="","",IF($B252="","",IFERROR(K252*$E252/100,"")))</f>
        <v/>
      </c>
      <c r="AC252" s="113">
        <f>IF(AC$226="","",IF($B252="","",IFERROR(L252*$E252/100,"")))</f>
        <v/>
      </c>
      <c r="AD252" s="113">
        <f>IF(AD$226="","",IF($B252="","",IFERROR(M252*$E252/100,"")))</f>
        <v/>
      </c>
      <c r="AE252" s="113">
        <f>IF(AE$226="","",IF($B252="","",IFERROR(N252*$E252/100,"")))</f>
        <v/>
      </c>
      <c r="AF252" s="113">
        <f>IF(AF$226="","",IF($B252="","",IFERROR(O252*$E252/100,"")))</f>
        <v/>
      </c>
      <c r="AG252" s="113">
        <f>IF(AG$226="","",IF($B252="","",IFERROR(P252*$E252/100,"")))</f>
        <v/>
      </c>
      <c r="AH252" s="113">
        <f>IF(AH$226="","",IF($B252="","",IFERROR(Q252*$E252/100,"")))</f>
        <v/>
      </c>
      <c r="AI252" s="113">
        <f>IF(AI$226="","",IF($B252="","",IFERROR(R252*$E252/100,"")))</f>
        <v/>
      </c>
      <c r="AJ252" s="113">
        <f>IF(AJ$226="","",IF($B252="","",IFERROR(S252*$E252/100,"")))</f>
        <v/>
      </c>
      <c r="AK252" s="113">
        <f>IF(AK$226="","",IF($B252="","",IFERROR(T252*$E252/100,"")))</f>
        <v/>
      </c>
      <c r="AL252" s="113">
        <f>IF(AL$226="","",IF($B252="","",IFERROR(U252*$E252/100,"")))</f>
        <v/>
      </c>
    </row>
    <row r="253">
      <c r="B253" s="5">
        <f>IF(MXAU!$C$30="","",MXAU!$C$30)</f>
        <v/>
      </c>
      <c r="C253" s="86">
        <f>IF(MXAU!$B$30="","",MXAU!$B$30)</f>
        <v/>
      </c>
      <c r="D253" s="111">
        <f>IFERROR(MXAU!$Q$30,1)</f>
        <v/>
      </c>
      <c r="E253" s="112">
        <f>IF($B253="","",IF(ISNUMBER(MXAU!$I$30),MXAU!$I$30,'Index Summary'!$C$7))</f>
        <v/>
      </c>
      <c r="F253" s="113">
        <f>IF(F$226="","",IF($B253="","",IFERROR($C253*$D253*SUMIFS('Dvd Calendar'!$E$469:$CZ$469,'Dvd Calendar'!$E$468:$CZ$468,"&gt;"&amp;F$225,'Dvd Calendar'!$E$468:$CZ$468,"&lt;="&amp;F$226)/MXAU!$B$3,"")))</f>
        <v/>
      </c>
      <c r="G253" s="113">
        <f>IF(G$226="","",IF($B253="","",IFERROR($C253*$D253*SUMIFS('Dvd Calendar'!$E$469:$CZ$469,'Dvd Calendar'!$E$468:$CZ$468,"&gt;"&amp;G$225,'Dvd Calendar'!$E$468:$CZ$468,"&lt;="&amp;G$226)/MXAU!$B$3,"")))</f>
        <v/>
      </c>
      <c r="H253" s="113">
        <f>IF(H$226="","",IF($B253="","",IFERROR($C253*$D253*SUMIFS('Dvd Calendar'!$E$469:$CZ$469,'Dvd Calendar'!$E$468:$CZ$468,"&gt;"&amp;H$225,'Dvd Calendar'!$E$468:$CZ$468,"&lt;="&amp;H$226)/MXAU!$B$3,"")))</f>
        <v/>
      </c>
      <c r="I253" s="113">
        <f>IF(I$226="","",IF($B253="","",IFERROR($C253*$D253*SUMIFS('Dvd Calendar'!$E$469:$CZ$469,'Dvd Calendar'!$E$468:$CZ$468,"&gt;"&amp;I$225,'Dvd Calendar'!$E$468:$CZ$468,"&lt;="&amp;I$226)/MXAU!$B$3,"")))</f>
        <v/>
      </c>
      <c r="J253" s="113">
        <f>IF(J$226="","",IF($B253="","",IFERROR($C253*$D253*SUMIFS('Dvd Calendar'!$E$469:$CZ$469,'Dvd Calendar'!$E$468:$CZ$468,"&gt;"&amp;J$225,'Dvd Calendar'!$E$468:$CZ$468,"&lt;="&amp;J$226)/MXAU!$B$3,"")))</f>
        <v/>
      </c>
      <c r="K253" s="113">
        <f>IF(K$226="","",IF($B253="","",IFERROR($C253*$D253*SUMIFS('Dvd Calendar'!$E$469:$CZ$469,'Dvd Calendar'!$E$468:$CZ$468,"&gt;"&amp;K$225,'Dvd Calendar'!$E$468:$CZ$468,"&lt;="&amp;K$226)/MXAU!$B$3,"")))</f>
        <v/>
      </c>
      <c r="L253" s="113">
        <f>IF(L$226="","",IF($B253="","",IFERROR($C253*$D253*SUMIFS('Dvd Calendar'!$E$469:$CZ$469,'Dvd Calendar'!$E$468:$CZ$468,"&gt;"&amp;L$225,'Dvd Calendar'!$E$468:$CZ$468,"&lt;="&amp;L$226)/MXAU!$B$3,"")))</f>
        <v/>
      </c>
      <c r="M253" s="113">
        <f>IF(M$226="","",IF($B253="","",IFERROR($C253*$D253*SUMIFS('Dvd Calendar'!$E$469:$CZ$469,'Dvd Calendar'!$E$468:$CZ$468,"&gt;"&amp;M$225,'Dvd Calendar'!$E$468:$CZ$468,"&lt;="&amp;M$226)/MXAU!$B$3,"")))</f>
        <v/>
      </c>
      <c r="N253" s="113">
        <f>IF(N$226="","",IF($B253="","",IFERROR($C253*$D253*SUMIFS('Dvd Calendar'!$E$469:$CZ$469,'Dvd Calendar'!$E$468:$CZ$468,"&gt;"&amp;N$225,'Dvd Calendar'!$E$468:$CZ$468,"&lt;="&amp;N$226)/MXAU!$B$3,"")))</f>
        <v/>
      </c>
      <c r="O253" s="113">
        <f>IF(O$226="","",IF($B253="","",IFERROR($C253*$D253*SUMIFS('Dvd Calendar'!$E$469:$CZ$469,'Dvd Calendar'!$E$468:$CZ$468,"&gt;"&amp;O$225,'Dvd Calendar'!$E$468:$CZ$468,"&lt;="&amp;O$226)/MXAU!$B$3,"")))</f>
        <v/>
      </c>
      <c r="P253" s="113">
        <f>IF(P$226="","",IF($B253="","",IFERROR($C253*$D253*SUMIFS('Dvd Calendar'!$E$469:$CZ$469,'Dvd Calendar'!$E$468:$CZ$468,"&gt;"&amp;P$225,'Dvd Calendar'!$E$468:$CZ$468,"&lt;="&amp;P$226)/MXAU!$B$3,"")))</f>
        <v/>
      </c>
      <c r="Q253" s="113">
        <f>IF(Q$226="","",IF($B253="","",IFERROR($C253*$D253*SUMIFS('Dvd Calendar'!$E$469:$CZ$469,'Dvd Calendar'!$E$468:$CZ$468,"&gt;"&amp;Q$225,'Dvd Calendar'!$E$468:$CZ$468,"&lt;="&amp;Q$226)/MXAU!$B$3,"")))</f>
        <v/>
      </c>
      <c r="R253" s="113">
        <f>IF(R$226="","",IF($B253="","",IFERROR($C253*$D253*SUMIFS('Dvd Calendar'!$E$469:$CZ$469,'Dvd Calendar'!$E$468:$CZ$468,"&gt;"&amp;R$225,'Dvd Calendar'!$E$468:$CZ$468,"&lt;="&amp;R$226)/MXAU!$B$3,"")))</f>
        <v/>
      </c>
      <c r="S253" s="113">
        <f>IF(S$226="","",IF($B253="","",IFERROR($C253*$D253*SUMIFS('Dvd Calendar'!$E$469:$CZ$469,'Dvd Calendar'!$E$468:$CZ$468,"&gt;"&amp;S$225,'Dvd Calendar'!$E$468:$CZ$468,"&lt;="&amp;S$226)/MXAU!$B$3,"")))</f>
        <v/>
      </c>
      <c r="T253" s="113">
        <f>IF(T$226="","",IF($B253="","",IFERROR($C253*$D253*SUMIFS('Dvd Calendar'!$E$469:$CZ$469,'Dvd Calendar'!$E$468:$CZ$468,"&gt;"&amp;T$225,'Dvd Calendar'!$E$468:$CZ$468,"&lt;="&amp;T$226)/MXAU!$B$3,"")))</f>
        <v/>
      </c>
      <c r="U253" s="113">
        <f>IF(U$226="","",IF($B253="","",IFERROR($C253*$D253*SUMIFS('Dvd Calendar'!$E$469:$CZ$469,'Dvd Calendar'!$E$468:$CZ$468,"&gt;"&amp;U$225,'Dvd Calendar'!$E$468:$CZ$468,"&lt;="&amp;U$226)/MXAU!$B$3,"")))</f>
        <v/>
      </c>
      <c r="W253" s="113">
        <f>IF(W$226="","",IF($B253="","",IFERROR(F253*$E253/100,"")))</f>
        <v/>
      </c>
      <c r="X253" s="113">
        <f>IF(X$226="","",IF($B253="","",IFERROR(G253*$E253/100,"")))</f>
        <v/>
      </c>
      <c r="Y253" s="113">
        <f>IF(Y$226="","",IF($B253="","",IFERROR(H253*$E253/100,"")))</f>
        <v/>
      </c>
      <c r="Z253" s="113">
        <f>IF(Z$226="","",IF($B253="","",IFERROR(I253*$E253/100,"")))</f>
        <v/>
      </c>
      <c r="AA253" s="113">
        <f>IF(AA$226="","",IF($B253="","",IFERROR(J253*$E253/100,"")))</f>
        <v/>
      </c>
      <c r="AB253" s="113">
        <f>IF(AB$226="","",IF($B253="","",IFERROR(K253*$E253/100,"")))</f>
        <v/>
      </c>
      <c r="AC253" s="113">
        <f>IF(AC$226="","",IF($B253="","",IFERROR(L253*$E253/100,"")))</f>
        <v/>
      </c>
      <c r="AD253" s="113">
        <f>IF(AD$226="","",IF($B253="","",IFERROR(M253*$E253/100,"")))</f>
        <v/>
      </c>
      <c r="AE253" s="113">
        <f>IF(AE$226="","",IF($B253="","",IFERROR(N253*$E253/100,"")))</f>
        <v/>
      </c>
      <c r="AF253" s="113">
        <f>IF(AF$226="","",IF($B253="","",IFERROR(O253*$E253/100,"")))</f>
        <v/>
      </c>
      <c r="AG253" s="113">
        <f>IF(AG$226="","",IF($B253="","",IFERROR(P253*$E253/100,"")))</f>
        <v/>
      </c>
      <c r="AH253" s="113">
        <f>IF(AH$226="","",IF($B253="","",IFERROR(Q253*$E253/100,"")))</f>
        <v/>
      </c>
      <c r="AI253" s="113">
        <f>IF(AI$226="","",IF($B253="","",IFERROR(R253*$E253/100,"")))</f>
        <v/>
      </c>
      <c r="AJ253" s="113">
        <f>IF(AJ$226="","",IF($B253="","",IFERROR(S253*$E253/100,"")))</f>
        <v/>
      </c>
      <c r="AK253" s="113">
        <f>IF(AK$226="","",IF($B253="","",IFERROR(T253*$E253/100,"")))</f>
        <v/>
      </c>
      <c r="AL253" s="113">
        <f>IF(AL$226="","",IF($B253="","",IFERROR(U253*$E253/100,"")))</f>
        <v/>
      </c>
    </row>
    <row r="254">
      <c r="B254" s="5">
        <f>IF(MXAU!$C$31="","",MXAU!$C$31)</f>
        <v/>
      </c>
      <c r="C254" s="86">
        <f>IF(MXAU!$B$31="","",MXAU!$B$31)</f>
        <v/>
      </c>
      <c r="D254" s="111">
        <f>IFERROR(MXAU!$Q$31,1)</f>
        <v/>
      </c>
      <c r="E254" s="112">
        <f>IF($B254="","",IF(ISNUMBER(MXAU!$I$31),MXAU!$I$31,'Index Summary'!$C$7))</f>
        <v/>
      </c>
      <c r="F254" s="113">
        <f>IF(F$226="","",IF($B254="","",IFERROR($C254*$D254*SUMIFS('Dvd Calendar'!$E$471:$CZ$471,'Dvd Calendar'!$E$470:$CZ$470,"&gt;"&amp;F$225,'Dvd Calendar'!$E$470:$CZ$470,"&lt;="&amp;F$226)/MXAU!$B$3,"")))</f>
        <v/>
      </c>
      <c r="G254" s="113">
        <f>IF(G$226="","",IF($B254="","",IFERROR($C254*$D254*SUMIFS('Dvd Calendar'!$E$471:$CZ$471,'Dvd Calendar'!$E$470:$CZ$470,"&gt;"&amp;G$225,'Dvd Calendar'!$E$470:$CZ$470,"&lt;="&amp;G$226)/MXAU!$B$3,"")))</f>
        <v/>
      </c>
      <c r="H254" s="113">
        <f>IF(H$226="","",IF($B254="","",IFERROR($C254*$D254*SUMIFS('Dvd Calendar'!$E$471:$CZ$471,'Dvd Calendar'!$E$470:$CZ$470,"&gt;"&amp;H$225,'Dvd Calendar'!$E$470:$CZ$470,"&lt;="&amp;H$226)/MXAU!$B$3,"")))</f>
        <v/>
      </c>
      <c r="I254" s="113">
        <f>IF(I$226="","",IF($B254="","",IFERROR($C254*$D254*SUMIFS('Dvd Calendar'!$E$471:$CZ$471,'Dvd Calendar'!$E$470:$CZ$470,"&gt;"&amp;I$225,'Dvd Calendar'!$E$470:$CZ$470,"&lt;="&amp;I$226)/MXAU!$B$3,"")))</f>
        <v/>
      </c>
      <c r="J254" s="113">
        <f>IF(J$226="","",IF($B254="","",IFERROR($C254*$D254*SUMIFS('Dvd Calendar'!$E$471:$CZ$471,'Dvd Calendar'!$E$470:$CZ$470,"&gt;"&amp;J$225,'Dvd Calendar'!$E$470:$CZ$470,"&lt;="&amp;J$226)/MXAU!$B$3,"")))</f>
        <v/>
      </c>
      <c r="K254" s="113">
        <f>IF(K$226="","",IF($B254="","",IFERROR($C254*$D254*SUMIFS('Dvd Calendar'!$E$471:$CZ$471,'Dvd Calendar'!$E$470:$CZ$470,"&gt;"&amp;K$225,'Dvd Calendar'!$E$470:$CZ$470,"&lt;="&amp;K$226)/MXAU!$B$3,"")))</f>
        <v/>
      </c>
      <c r="L254" s="113">
        <f>IF(L$226="","",IF($B254="","",IFERROR($C254*$D254*SUMIFS('Dvd Calendar'!$E$471:$CZ$471,'Dvd Calendar'!$E$470:$CZ$470,"&gt;"&amp;L$225,'Dvd Calendar'!$E$470:$CZ$470,"&lt;="&amp;L$226)/MXAU!$B$3,"")))</f>
        <v/>
      </c>
      <c r="M254" s="113">
        <f>IF(M$226="","",IF($B254="","",IFERROR($C254*$D254*SUMIFS('Dvd Calendar'!$E$471:$CZ$471,'Dvd Calendar'!$E$470:$CZ$470,"&gt;"&amp;M$225,'Dvd Calendar'!$E$470:$CZ$470,"&lt;="&amp;M$226)/MXAU!$B$3,"")))</f>
        <v/>
      </c>
      <c r="N254" s="113">
        <f>IF(N$226="","",IF($B254="","",IFERROR($C254*$D254*SUMIFS('Dvd Calendar'!$E$471:$CZ$471,'Dvd Calendar'!$E$470:$CZ$470,"&gt;"&amp;N$225,'Dvd Calendar'!$E$470:$CZ$470,"&lt;="&amp;N$226)/MXAU!$B$3,"")))</f>
        <v/>
      </c>
      <c r="O254" s="113">
        <f>IF(O$226="","",IF($B254="","",IFERROR($C254*$D254*SUMIFS('Dvd Calendar'!$E$471:$CZ$471,'Dvd Calendar'!$E$470:$CZ$470,"&gt;"&amp;O$225,'Dvd Calendar'!$E$470:$CZ$470,"&lt;="&amp;O$226)/MXAU!$B$3,"")))</f>
        <v/>
      </c>
      <c r="P254" s="113">
        <f>IF(P$226="","",IF($B254="","",IFERROR($C254*$D254*SUMIFS('Dvd Calendar'!$E$471:$CZ$471,'Dvd Calendar'!$E$470:$CZ$470,"&gt;"&amp;P$225,'Dvd Calendar'!$E$470:$CZ$470,"&lt;="&amp;P$226)/MXAU!$B$3,"")))</f>
        <v/>
      </c>
      <c r="Q254" s="113">
        <f>IF(Q$226="","",IF($B254="","",IFERROR($C254*$D254*SUMIFS('Dvd Calendar'!$E$471:$CZ$471,'Dvd Calendar'!$E$470:$CZ$470,"&gt;"&amp;Q$225,'Dvd Calendar'!$E$470:$CZ$470,"&lt;="&amp;Q$226)/MXAU!$B$3,"")))</f>
        <v/>
      </c>
      <c r="R254" s="113">
        <f>IF(R$226="","",IF($B254="","",IFERROR($C254*$D254*SUMIFS('Dvd Calendar'!$E$471:$CZ$471,'Dvd Calendar'!$E$470:$CZ$470,"&gt;"&amp;R$225,'Dvd Calendar'!$E$470:$CZ$470,"&lt;="&amp;R$226)/MXAU!$B$3,"")))</f>
        <v/>
      </c>
      <c r="S254" s="113">
        <f>IF(S$226="","",IF($B254="","",IFERROR($C254*$D254*SUMIFS('Dvd Calendar'!$E$471:$CZ$471,'Dvd Calendar'!$E$470:$CZ$470,"&gt;"&amp;S$225,'Dvd Calendar'!$E$470:$CZ$470,"&lt;="&amp;S$226)/MXAU!$B$3,"")))</f>
        <v/>
      </c>
      <c r="T254" s="113">
        <f>IF(T$226="","",IF($B254="","",IFERROR($C254*$D254*SUMIFS('Dvd Calendar'!$E$471:$CZ$471,'Dvd Calendar'!$E$470:$CZ$470,"&gt;"&amp;T$225,'Dvd Calendar'!$E$470:$CZ$470,"&lt;="&amp;T$226)/MXAU!$B$3,"")))</f>
        <v/>
      </c>
      <c r="U254" s="113">
        <f>IF(U$226="","",IF($B254="","",IFERROR($C254*$D254*SUMIFS('Dvd Calendar'!$E$471:$CZ$471,'Dvd Calendar'!$E$470:$CZ$470,"&gt;"&amp;U$225,'Dvd Calendar'!$E$470:$CZ$470,"&lt;="&amp;U$226)/MXAU!$B$3,"")))</f>
        <v/>
      </c>
      <c r="W254" s="113">
        <f>IF(W$226="","",IF($B254="","",IFERROR(F254*$E254/100,"")))</f>
        <v/>
      </c>
      <c r="X254" s="113">
        <f>IF(X$226="","",IF($B254="","",IFERROR(G254*$E254/100,"")))</f>
        <v/>
      </c>
      <c r="Y254" s="113">
        <f>IF(Y$226="","",IF($B254="","",IFERROR(H254*$E254/100,"")))</f>
        <v/>
      </c>
      <c r="Z254" s="113">
        <f>IF(Z$226="","",IF($B254="","",IFERROR(I254*$E254/100,"")))</f>
        <v/>
      </c>
      <c r="AA254" s="113">
        <f>IF(AA$226="","",IF($B254="","",IFERROR(J254*$E254/100,"")))</f>
        <v/>
      </c>
      <c r="AB254" s="113">
        <f>IF(AB$226="","",IF($B254="","",IFERROR(K254*$E254/100,"")))</f>
        <v/>
      </c>
      <c r="AC254" s="113">
        <f>IF(AC$226="","",IF($B254="","",IFERROR(L254*$E254/100,"")))</f>
        <v/>
      </c>
      <c r="AD254" s="113">
        <f>IF(AD$226="","",IF($B254="","",IFERROR(M254*$E254/100,"")))</f>
        <v/>
      </c>
      <c r="AE254" s="113">
        <f>IF(AE$226="","",IF($B254="","",IFERROR(N254*$E254/100,"")))</f>
        <v/>
      </c>
      <c r="AF254" s="113">
        <f>IF(AF$226="","",IF($B254="","",IFERROR(O254*$E254/100,"")))</f>
        <v/>
      </c>
      <c r="AG254" s="113">
        <f>IF(AG$226="","",IF($B254="","",IFERROR(P254*$E254/100,"")))</f>
        <v/>
      </c>
      <c r="AH254" s="113">
        <f>IF(AH$226="","",IF($B254="","",IFERROR(Q254*$E254/100,"")))</f>
        <v/>
      </c>
      <c r="AI254" s="113">
        <f>IF(AI$226="","",IF($B254="","",IFERROR(R254*$E254/100,"")))</f>
        <v/>
      </c>
      <c r="AJ254" s="113">
        <f>IF(AJ$226="","",IF($B254="","",IFERROR(S254*$E254/100,"")))</f>
        <v/>
      </c>
      <c r="AK254" s="113">
        <f>IF(AK$226="","",IF($B254="","",IFERROR(T254*$E254/100,"")))</f>
        <v/>
      </c>
      <c r="AL254" s="113">
        <f>IF(AL$226="","",IF($B254="","",IFERROR(U254*$E254/100,"")))</f>
        <v/>
      </c>
    </row>
    <row r="255">
      <c r="B255" s="5">
        <f>IF(MXAU!$C$32="","",MXAU!$C$32)</f>
        <v/>
      </c>
      <c r="C255" s="86">
        <f>IF(MXAU!$B$32="","",MXAU!$B$32)</f>
        <v/>
      </c>
      <c r="D255" s="111">
        <f>IFERROR(MXAU!$Q$32,1)</f>
        <v/>
      </c>
      <c r="E255" s="112">
        <f>IF($B255="","",IF(ISNUMBER(MXAU!$I$32),MXAU!$I$32,'Index Summary'!$C$7))</f>
        <v/>
      </c>
      <c r="F255" s="113">
        <f>IF(F$226="","",IF($B255="","",IFERROR($C255*$D255*SUMIFS('Dvd Calendar'!$E$473:$CZ$473,'Dvd Calendar'!$E$472:$CZ$472,"&gt;"&amp;F$225,'Dvd Calendar'!$E$472:$CZ$472,"&lt;="&amp;F$226)/MXAU!$B$3,"")))</f>
        <v/>
      </c>
      <c r="G255" s="113">
        <f>IF(G$226="","",IF($B255="","",IFERROR($C255*$D255*SUMIFS('Dvd Calendar'!$E$473:$CZ$473,'Dvd Calendar'!$E$472:$CZ$472,"&gt;"&amp;G$225,'Dvd Calendar'!$E$472:$CZ$472,"&lt;="&amp;G$226)/MXAU!$B$3,"")))</f>
        <v/>
      </c>
      <c r="H255" s="113">
        <f>IF(H$226="","",IF($B255="","",IFERROR($C255*$D255*SUMIFS('Dvd Calendar'!$E$473:$CZ$473,'Dvd Calendar'!$E$472:$CZ$472,"&gt;"&amp;H$225,'Dvd Calendar'!$E$472:$CZ$472,"&lt;="&amp;H$226)/MXAU!$B$3,"")))</f>
        <v/>
      </c>
      <c r="I255" s="113">
        <f>IF(I$226="","",IF($B255="","",IFERROR($C255*$D255*SUMIFS('Dvd Calendar'!$E$473:$CZ$473,'Dvd Calendar'!$E$472:$CZ$472,"&gt;"&amp;I$225,'Dvd Calendar'!$E$472:$CZ$472,"&lt;="&amp;I$226)/MXAU!$B$3,"")))</f>
        <v/>
      </c>
      <c r="J255" s="113">
        <f>IF(J$226="","",IF($B255="","",IFERROR($C255*$D255*SUMIFS('Dvd Calendar'!$E$473:$CZ$473,'Dvd Calendar'!$E$472:$CZ$472,"&gt;"&amp;J$225,'Dvd Calendar'!$E$472:$CZ$472,"&lt;="&amp;J$226)/MXAU!$B$3,"")))</f>
        <v/>
      </c>
      <c r="K255" s="113">
        <f>IF(K$226="","",IF($B255="","",IFERROR($C255*$D255*SUMIFS('Dvd Calendar'!$E$473:$CZ$473,'Dvd Calendar'!$E$472:$CZ$472,"&gt;"&amp;K$225,'Dvd Calendar'!$E$472:$CZ$472,"&lt;="&amp;K$226)/MXAU!$B$3,"")))</f>
        <v/>
      </c>
      <c r="L255" s="113">
        <f>IF(L$226="","",IF($B255="","",IFERROR($C255*$D255*SUMIFS('Dvd Calendar'!$E$473:$CZ$473,'Dvd Calendar'!$E$472:$CZ$472,"&gt;"&amp;L$225,'Dvd Calendar'!$E$472:$CZ$472,"&lt;="&amp;L$226)/MXAU!$B$3,"")))</f>
        <v/>
      </c>
      <c r="M255" s="113">
        <f>IF(M$226="","",IF($B255="","",IFERROR($C255*$D255*SUMIFS('Dvd Calendar'!$E$473:$CZ$473,'Dvd Calendar'!$E$472:$CZ$472,"&gt;"&amp;M$225,'Dvd Calendar'!$E$472:$CZ$472,"&lt;="&amp;M$226)/MXAU!$B$3,"")))</f>
        <v/>
      </c>
      <c r="N255" s="113">
        <f>IF(N$226="","",IF($B255="","",IFERROR($C255*$D255*SUMIFS('Dvd Calendar'!$E$473:$CZ$473,'Dvd Calendar'!$E$472:$CZ$472,"&gt;"&amp;N$225,'Dvd Calendar'!$E$472:$CZ$472,"&lt;="&amp;N$226)/MXAU!$B$3,"")))</f>
        <v/>
      </c>
      <c r="O255" s="113">
        <f>IF(O$226="","",IF($B255="","",IFERROR($C255*$D255*SUMIFS('Dvd Calendar'!$E$473:$CZ$473,'Dvd Calendar'!$E$472:$CZ$472,"&gt;"&amp;O$225,'Dvd Calendar'!$E$472:$CZ$472,"&lt;="&amp;O$226)/MXAU!$B$3,"")))</f>
        <v/>
      </c>
      <c r="P255" s="113">
        <f>IF(P$226="","",IF($B255="","",IFERROR($C255*$D255*SUMIFS('Dvd Calendar'!$E$473:$CZ$473,'Dvd Calendar'!$E$472:$CZ$472,"&gt;"&amp;P$225,'Dvd Calendar'!$E$472:$CZ$472,"&lt;="&amp;P$226)/MXAU!$B$3,"")))</f>
        <v/>
      </c>
      <c r="Q255" s="113">
        <f>IF(Q$226="","",IF($B255="","",IFERROR($C255*$D255*SUMIFS('Dvd Calendar'!$E$473:$CZ$473,'Dvd Calendar'!$E$472:$CZ$472,"&gt;"&amp;Q$225,'Dvd Calendar'!$E$472:$CZ$472,"&lt;="&amp;Q$226)/MXAU!$B$3,"")))</f>
        <v/>
      </c>
      <c r="R255" s="113">
        <f>IF(R$226="","",IF($B255="","",IFERROR($C255*$D255*SUMIFS('Dvd Calendar'!$E$473:$CZ$473,'Dvd Calendar'!$E$472:$CZ$472,"&gt;"&amp;R$225,'Dvd Calendar'!$E$472:$CZ$472,"&lt;="&amp;R$226)/MXAU!$B$3,"")))</f>
        <v/>
      </c>
      <c r="S255" s="113">
        <f>IF(S$226="","",IF($B255="","",IFERROR($C255*$D255*SUMIFS('Dvd Calendar'!$E$473:$CZ$473,'Dvd Calendar'!$E$472:$CZ$472,"&gt;"&amp;S$225,'Dvd Calendar'!$E$472:$CZ$472,"&lt;="&amp;S$226)/MXAU!$B$3,"")))</f>
        <v/>
      </c>
      <c r="T255" s="113">
        <f>IF(T$226="","",IF($B255="","",IFERROR($C255*$D255*SUMIFS('Dvd Calendar'!$E$473:$CZ$473,'Dvd Calendar'!$E$472:$CZ$472,"&gt;"&amp;T$225,'Dvd Calendar'!$E$472:$CZ$472,"&lt;="&amp;T$226)/MXAU!$B$3,"")))</f>
        <v/>
      </c>
      <c r="U255" s="113">
        <f>IF(U$226="","",IF($B255="","",IFERROR($C255*$D255*SUMIFS('Dvd Calendar'!$E$473:$CZ$473,'Dvd Calendar'!$E$472:$CZ$472,"&gt;"&amp;U$225,'Dvd Calendar'!$E$472:$CZ$472,"&lt;="&amp;U$226)/MXAU!$B$3,"")))</f>
        <v/>
      </c>
      <c r="W255" s="113">
        <f>IF(W$226="","",IF($B255="","",IFERROR(F255*$E255/100,"")))</f>
        <v/>
      </c>
      <c r="X255" s="113">
        <f>IF(X$226="","",IF($B255="","",IFERROR(G255*$E255/100,"")))</f>
        <v/>
      </c>
      <c r="Y255" s="113">
        <f>IF(Y$226="","",IF($B255="","",IFERROR(H255*$E255/100,"")))</f>
        <v/>
      </c>
      <c r="Z255" s="113">
        <f>IF(Z$226="","",IF($B255="","",IFERROR(I255*$E255/100,"")))</f>
        <v/>
      </c>
      <c r="AA255" s="113">
        <f>IF(AA$226="","",IF($B255="","",IFERROR(J255*$E255/100,"")))</f>
        <v/>
      </c>
      <c r="AB255" s="113">
        <f>IF(AB$226="","",IF($B255="","",IFERROR(K255*$E255/100,"")))</f>
        <v/>
      </c>
      <c r="AC255" s="113">
        <f>IF(AC$226="","",IF($B255="","",IFERROR(L255*$E255/100,"")))</f>
        <v/>
      </c>
      <c r="AD255" s="113">
        <f>IF(AD$226="","",IF($B255="","",IFERROR(M255*$E255/100,"")))</f>
        <v/>
      </c>
      <c r="AE255" s="113">
        <f>IF(AE$226="","",IF($B255="","",IFERROR(N255*$E255/100,"")))</f>
        <v/>
      </c>
      <c r="AF255" s="113">
        <f>IF(AF$226="","",IF($B255="","",IFERROR(O255*$E255/100,"")))</f>
        <v/>
      </c>
      <c r="AG255" s="113">
        <f>IF(AG$226="","",IF($B255="","",IFERROR(P255*$E255/100,"")))</f>
        <v/>
      </c>
      <c r="AH255" s="113">
        <f>IF(AH$226="","",IF($B255="","",IFERROR(Q255*$E255/100,"")))</f>
        <v/>
      </c>
      <c r="AI255" s="113">
        <f>IF(AI$226="","",IF($B255="","",IFERROR(R255*$E255/100,"")))</f>
        <v/>
      </c>
      <c r="AJ255" s="113">
        <f>IF(AJ$226="","",IF($B255="","",IFERROR(S255*$E255/100,"")))</f>
        <v/>
      </c>
      <c r="AK255" s="113">
        <f>IF(AK$226="","",IF($B255="","",IFERROR(T255*$E255/100,"")))</f>
        <v/>
      </c>
      <c r="AL255" s="113">
        <f>IF(AL$226="","",IF($B255="","",IFERROR(U255*$E255/100,"")))</f>
        <v/>
      </c>
    </row>
    <row r="256">
      <c r="B256" s="5">
        <f>IF(MXAU!$C$33="","",MXAU!$C$33)</f>
        <v/>
      </c>
      <c r="C256" s="86">
        <f>IF(MXAU!$B$33="","",MXAU!$B$33)</f>
        <v/>
      </c>
      <c r="D256" s="111">
        <f>IFERROR(MXAU!$Q$33,1)</f>
        <v/>
      </c>
      <c r="E256" s="112">
        <f>IF($B256="","",IF(ISNUMBER(MXAU!$I$33),MXAU!$I$33,'Index Summary'!$C$7))</f>
        <v/>
      </c>
      <c r="F256" s="113">
        <f>IF(F$226="","",IF($B256="","",IFERROR($C256*$D256*SUMIFS('Dvd Calendar'!$E$475:$CZ$475,'Dvd Calendar'!$E$474:$CZ$474,"&gt;"&amp;F$225,'Dvd Calendar'!$E$474:$CZ$474,"&lt;="&amp;F$226)/MXAU!$B$3,"")))</f>
        <v/>
      </c>
      <c r="G256" s="113">
        <f>IF(G$226="","",IF($B256="","",IFERROR($C256*$D256*SUMIFS('Dvd Calendar'!$E$475:$CZ$475,'Dvd Calendar'!$E$474:$CZ$474,"&gt;"&amp;G$225,'Dvd Calendar'!$E$474:$CZ$474,"&lt;="&amp;G$226)/MXAU!$B$3,"")))</f>
        <v/>
      </c>
      <c r="H256" s="113">
        <f>IF(H$226="","",IF($B256="","",IFERROR($C256*$D256*SUMIFS('Dvd Calendar'!$E$475:$CZ$475,'Dvd Calendar'!$E$474:$CZ$474,"&gt;"&amp;H$225,'Dvd Calendar'!$E$474:$CZ$474,"&lt;="&amp;H$226)/MXAU!$B$3,"")))</f>
        <v/>
      </c>
      <c r="I256" s="113">
        <f>IF(I$226="","",IF($B256="","",IFERROR($C256*$D256*SUMIFS('Dvd Calendar'!$E$475:$CZ$475,'Dvd Calendar'!$E$474:$CZ$474,"&gt;"&amp;I$225,'Dvd Calendar'!$E$474:$CZ$474,"&lt;="&amp;I$226)/MXAU!$B$3,"")))</f>
        <v/>
      </c>
      <c r="J256" s="113">
        <f>IF(J$226="","",IF($B256="","",IFERROR($C256*$D256*SUMIFS('Dvd Calendar'!$E$475:$CZ$475,'Dvd Calendar'!$E$474:$CZ$474,"&gt;"&amp;J$225,'Dvd Calendar'!$E$474:$CZ$474,"&lt;="&amp;J$226)/MXAU!$B$3,"")))</f>
        <v/>
      </c>
      <c r="K256" s="113">
        <f>IF(K$226="","",IF($B256="","",IFERROR($C256*$D256*SUMIFS('Dvd Calendar'!$E$475:$CZ$475,'Dvd Calendar'!$E$474:$CZ$474,"&gt;"&amp;K$225,'Dvd Calendar'!$E$474:$CZ$474,"&lt;="&amp;K$226)/MXAU!$B$3,"")))</f>
        <v/>
      </c>
      <c r="L256" s="113">
        <f>IF(L$226="","",IF($B256="","",IFERROR($C256*$D256*SUMIFS('Dvd Calendar'!$E$475:$CZ$475,'Dvd Calendar'!$E$474:$CZ$474,"&gt;"&amp;L$225,'Dvd Calendar'!$E$474:$CZ$474,"&lt;="&amp;L$226)/MXAU!$B$3,"")))</f>
        <v/>
      </c>
      <c r="M256" s="113">
        <f>IF(M$226="","",IF($B256="","",IFERROR($C256*$D256*SUMIFS('Dvd Calendar'!$E$475:$CZ$475,'Dvd Calendar'!$E$474:$CZ$474,"&gt;"&amp;M$225,'Dvd Calendar'!$E$474:$CZ$474,"&lt;="&amp;M$226)/MXAU!$B$3,"")))</f>
        <v/>
      </c>
      <c r="N256" s="113">
        <f>IF(N$226="","",IF($B256="","",IFERROR($C256*$D256*SUMIFS('Dvd Calendar'!$E$475:$CZ$475,'Dvd Calendar'!$E$474:$CZ$474,"&gt;"&amp;N$225,'Dvd Calendar'!$E$474:$CZ$474,"&lt;="&amp;N$226)/MXAU!$B$3,"")))</f>
        <v/>
      </c>
      <c r="O256" s="113">
        <f>IF(O$226="","",IF($B256="","",IFERROR($C256*$D256*SUMIFS('Dvd Calendar'!$E$475:$CZ$475,'Dvd Calendar'!$E$474:$CZ$474,"&gt;"&amp;O$225,'Dvd Calendar'!$E$474:$CZ$474,"&lt;="&amp;O$226)/MXAU!$B$3,"")))</f>
        <v/>
      </c>
      <c r="P256" s="113">
        <f>IF(P$226="","",IF($B256="","",IFERROR($C256*$D256*SUMIFS('Dvd Calendar'!$E$475:$CZ$475,'Dvd Calendar'!$E$474:$CZ$474,"&gt;"&amp;P$225,'Dvd Calendar'!$E$474:$CZ$474,"&lt;="&amp;P$226)/MXAU!$B$3,"")))</f>
        <v/>
      </c>
      <c r="Q256" s="113">
        <f>IF(Q$226="","",IF($B256="","",IFERROR($C256*$D256*SUMIFS('Dvd Calendar'!$E$475:$CZ$475,'Dvd Calendar'!$E$474:$CZ$474,"&gt;"&amp;Q$225,'Dvd Calendar'!$E$474:$CZ$474,"&lt;="&amp;Q$226)/MXAU!$B$3,"")))</f>
        <v/>
      </c>
      <c r="R256" s="113">
        <f>IF(R$226="","",IF($B256="","",IFERROR($C256*$D256*SUMIFS('Dvd Calendar'!$E$475:$CZ$475,'Dvd Calendar'!$E$474:$CZ$474,"&gt;"&amp;R$225,'Dvd Calendar'!$E$474:$CZ$474,"&lt;="&amp;R$226)/MXAU!$B$3,"")))</f>
        <v/>
      </c>
      <c r="S256" s="113">
        <f>IF(S$226="","",IF($B256="","",IFERROR($C256*$D256*SUMIFS('Dvd Calendar'!$E$475:$CZ$475,'Dvd Calendar'!$E$474:$CZ$474,"&gt;"&amp;S$225,'Dvd Calendar'!$E$474:$CZ$474,"&lt;="&amp;S$226)/MXAU!$B$3,"")))</f>
        <v/>
      </c>
      <c r="T256" s="113">
        <f>IF(T$226="","",IF($B256="","",IFERROR($C256*$D256*SUMIFS('Dvd Calendar'!$E$475:$CZ$475,'Dvd Calendar'!$E$474:$CZ$474,"&gt;"&amp;T$225,'Dvd Calendar'!$E$474:$CZ$474,"&lt;="&amp;T$226)/MXAU!$B$3,"")))</f>
        <v/>
      </c>
      <c r="U256" s="113">
        <f>IF(U$226="","",IF($B256="","",IFERROR($C256*$D256*SUMIFS('Dvd Calendar'!$E$475:$CZ$475,'Dvd Calendar'!$E$474:$CZ$474,"&gt;"&amp;U$225,'Dvd Calendar'!$E$474:$CZ$474,"&lt;="&amp;U$226)/MXAU!$B$3,"")))</f>
        <v/>
      </c>
      <c r="W256" s="113">
        <f>IF(W$226="","",IF($B256="","",IFERROR(F256*$E256/100,"")))</f>
        <v/>
      </c>
      <c r="X256" s="113">
        <f>IF(X$226="","",IF($B256="","",IFERROR(G256*$E256/100,"")))</f>
        <v/>
      </c>
      <c r="Y256" s="113">
        <f>IF(Y$226="","",IF($B256="","",IFERROR(H256*$E256/100,"")))</f>
        <v/>
      </c>
      <c r="Z256" s="113">
        <f>IF(Z$226="","",IF($B256="","",IFERROR(I256*$E256/100,"")))</f>
        <v/>
      </c>
      <c r="AA256" s="113">
        <f>IF(AA$226="","",IF($B256="","",IFERROR(J256*$E256/100,"")))</f>
        <v/>
      </c>
      <c r="AB256" s="113">
        <f>IF(AB$226="","",IF($B256="","",IFERROR(K256*$E256/100,"")))</f>
        <v/>
      </c>
      <c r="AC256" s="113">
        <f>IF(AC$226="","",IF($B256="","",IFERROR(L256*$E256/100,"")))</f>
        <v/>
      </c>
      <c r="AD256" s="113">
        <f>IF(AD$226="","",IF($B256="","",IFERROR(M256*$E256/100,"")))</f>
        <v/>
      </c>
      <c r="AE256" s="113">
        <f>IF(AE$226="","",IF($B256="","",IFERROR(N256*$E256/100,"")))</f>
        <v/>
      </c>
      <c r="AF256" s="113">
        <f>IF(AF$226="","",IF($B256="","",IFERROR(O256*$E256/100,"")))</f>
        <v/>
      </c>
      <c r="AG256" s="113">
        <f>IF(AG$226="","",IF($B256="","",IFERROR(P256*$E256/100,"")))</f>
        <v/>
      </c>
      <c r="AH256" s="113">
        <f>IF(AH$226="","",IF($B256="","",IFERROR(Q256*$E256/100,"")))</f>
        <v/>
      </c>
      <c r="AI256" s="113">
        <f>IF(AI$226="","",IF($B256="","",IFERROR(R256*$E256/100,"")))</f>
        <v/>
      </c>
      <c r="AJ256" s="113">
        <f>IF(AJ$226="","",IF($B256="","",IFERROR(S256*$E256/100,"")))</f>
        <v/>
      </c>
      <c r="AK256" s="113">
        <f>IF(AK$226="","",IF($B256="","",IFERROR(T256*$E256/100,"")))</f>
        <v/>
      </c>
      <c r="AL256" s="113">
        <f>IF(AL$226="","",IF($B256="","",IFERROR(U256*$E256/100,"")))</f>
        <v/>
      </c>
    </row>
    <row r="257">
      <c r="B257" s="5">
        <f>IF(MXAU!$C$34="","",MXAU!$C$34)</f>
        <v/>
      </c>
      <c r="C257" s="86">
        <f>IF(MXAU!$B$34="","",MXAU!$B$34)</f>
        <v/>
      </c>
      <c r="D257" s="111">
        <f>IFERROR(MXAU!$Q$34,1)</f>
        <v/>
      </c>
      <c r="E257" s="112">
        <f>IF($B257="","",IF(ISNUMBER(MXAU!$I$34),MXAU!$I$34,'Index Summary'!$C$7))</f>
        <v/>
      </c>
      <c r="F257" s="113">
        <f>IF(F$226="","",IF($B257="","",IFERROR($C257*$D257*SUMIFS('Dvd Calendar'!$E$477:$CZ$477,'Dvd Calendar'!$E$476:$CZ$476,"&gt;"&amp;F$225,'Dvd Calendar'!$E$476:$CZ$476,"&lt;="&amp;F$226)/MXAU!$B$3,"")))</f>
        <v/>
      </c>
      <c r="G257" s="113">
        <f>IF(G$226="","",IF($B257="","",IFERROR($C257*$D257*SUMIFS('Dvd Calendar'!$E$477:$CZ$477,'Dvd Calendar'!$E$476:$CZ$476,"&gt;"&amp;G$225,'Dvd Calendar'!$E$476:$CZ$476,"&lt;="&amp;G$226)/MXAU!$B$3,"")))</f>
        <v/>
      </c>
      <c r="H257" s="113">
        <f>IF(H$226="","",IF($B257="","",IFERROR($C257*$D257*SUMIFS('Dvd Calendar'!$E$477:$CZ$477,'Dvd Calendar'!$E$476:$CZ$476,"&gt;"&amp;H$225,'Dvd Calendar'!$E$476:$CZ$476,"&lt;="&amp;H$226)/MXAU!$B$3,"")))</f>
        <v/>
      </c>
      <c r="I257" s="113">
        <f>IF(I$226="","",IF($B257="","",IFERROR($C257*$D257*SUMIFS('Dvd Calendar'!$E$477:$CZ$477,'Dvd Calendar'!$E$476:$CZ$476,"&gt;"&amp;I$225,'Dvd Calendar'!$E$476:$CZ$476,"&lt;="&amp;I$226)/MXAU!$B$3,"")))</f>
        <v/>
      </c>
      <c r="J257" s="113">
        <f>IF(J$226="","",IF($B257="","",IFERROR($C257*$D257*SUMIFS('Dvd Calendar'!$E$477:$CZ$477,'Dvd Calendar'!$E$476:$CZ$476,"&gt;"&amp;J$225,'Dvd Calendar'!$E$476:$CZ$476,"&lt;="&amp;J$226)/MXAU!$B$3,"")))</f>
        <v/>
      </c>
      <c r="K257" s="113">
        <f>IF(K$226="","",IF($B257="","",IFERROR($C257*$D257*SUMIFS('Dvd Calendar'!$E$477:$CZ$477,'Dvd Calendar'!$E$476:$CZ$476,"&gt;"&amp;K$225,'Dvd Calendar'!$E$476:$CZ$476,"&lt;="&amp;K$226)/MXAU!$B$3,"")))</f>
        <v/>
      </c>
      <c r="L257" s="113">
        <f>IF(L$226="","",IF($B257="","",IFERROR($C257*$D257*SUMIFS('Dvd Calendar'!$E$477:$CZ$477,'Dvd Calendar'!$E$476:$CZ$476,"&gt;"&amp;L$225,'Dvd Calendar'!$E$476:$CZ$476,"&lt;="&amp;L$226)/MXAU!$B$3,"")))</f>
        <v/>
      </c>
      <c r="M257" s="113">
        <f>IF(M$226="","",IF($B257="","",IFERROR($C257*$D257*SUMIFS('Dvd Calendar'!$E$477:$CZ$477,'Dvd Calendar'!$E$476:$CZ$476,"&gt;"&amp;M$225,'Dvd Calendar'!$E$476:$CZ$476,"&lt;="&amp;M$226)/MXAU!$B$3,"")))</f>
        <v/>
      </c>
      <c r="N257" s="113">
        <f>IF(N$226="","",IF($B257="","",IFERROR($C257*$D257*SUMIFS('Dvd Calendar'!$E$477:$CZ$477,'Dvd Calendar'!$E$476:$CZ$476,"&gt;"&amp;N$225,'Dvd Calendar'!$E$476:$CZ$476,"&lt;="&amp;N$226)/MXAU!$B$3,"")))</f>
        <v/>
      </c>
      <c r="O257" s="113">
        <f>IF(O$226="","",IF($B257="","",IFERROR($C257*$D257*SUMIFS('Dvd Calendar'!$E$477:$CZ$477,'Dvd Calendar'!$E$476:$CZ$476,"&gt;"&amp;O$225,'Dvd Calendar'!$E$476:$CZ$476,"&lt;="&amp;O$226)/MXAU!$B$3,"")))</f>
        <v/>
      </c>
      <c r="P257" s="113">
        <f>IF(P$226="","",IF($B257="","",IFERROR($C257*$D257*SUMIFS('Dvd Calendar'!$E$477:$CZ$477,'Dvd Calendar'!$E$476:$CZ$476,"&gt;"&amp;P$225,'Dvd Calendar'!$E$476:$CZ$476,"&lt;="&amp;P$226)/MXAU!$B$3,"")))</f>
        <v/>
      </c>
      <c r="Q257" s="113">
        <f>IF(Q$226="","",IF($B257="","",IFERROR($C257*$D257*SUMIFS('Dvd Calendar'!$E$477:$CZ$477,'Dvd Calendar'!$E$476:$CZ$476,"&gt;"&amp;Q$225,'Dvd Calendar'!$E$476:$CZ$476,"&lt;="&amp;Q$226)/MXAU!$B$3,"")))</f>
        <v/>
      </c>
      <c r="R257" s="113">
        <f>IF(R$226="","",IF($B257="","",IFERROR($C257*$D257*SUMIFS('Dvd Calendar'!$E$477:$CZ$477,'Dvd Calendar'!$E$476:$CZ$476,"&gt;"&amp;R$225,'Dvd Calendar'!$E$476:$CZ$476,"&lt;="&amp;R$226)/MXAU!$B$3,"")))</f>
        <v/>
      </c>
      <c r="S257" s="113">
        <f>IF(S$226="","",IF($B257="","",IFERROR($C257*$D257*SUMIFS('Dvd Calendar'!$E$477:$CZ$477,'Dvd Calendar'!$E$476:$CZ$476,"&gt;"&amp;S$225,'Dvd Calendar'!$E$476:$CZ$476,"&lt;="&amp;S$226)/MXAU!$B$3,"")))</f>
        <v/>
      </c>
      <c r="T257" s="113">
        <f>IF(T$226="","",IF($B257="","",IFERROR($C257*$D257*SUMIFS('Dvd Calendar'!$E$477:$CZ$477,'Dvd Calendar'!$E$476:$CZ$476,"&gt;"&amp;T$225,'Dvd Calendar'!$E$476:$CZ$476,"&lt;="&amp;T$226)/MXAU!$B$3,"")))</f>
        <v/>
      </c>
      <c r="U257" s="113">
        <f>IF(U$226="","",IF($B257="","",IFERROR($C257*$D257*SUMIFS('Dvd Calendar'!$E$477:$CZ$477,'Dvd Calendar'!$E$476:$CZ$476,"&gt;"&amp;U$225,'Dvd Calendar'!$E$476:$CZ$476,"&lt;="&amp;U$226)/MXAU!$B$3,"")))</f>
        <v/>
      </c>
      <c r="W257" s="113">
        <f>IF(W$226="","",IF($B257="","",IFERROR(F257*$E257/100,"")))</f>
        <v/>
      </c>
      <c r="X257" s="113">
        <f>IF(X$226="","",IF($B257="","",IFERROR(G257*$E257/100,"")))</f>
        <v/>
      </c>
      <c r="Y257" s="113">
        <f>IF(Y$226="","",IF($B257="","",IFERROR(H257*$E257/100,"")))</f>
        <v/>
      </c>
      <c r="Z257" s="113">
        <f>IF(Z$226="","",IF($B257="","",IFERROR(I257*$E257/100,"")))</f>
        <v/>
      </c>
      <c r="AA257" s="113">
        <f>IF(AA$226="","",IF($B257="","",IFERROR(J257*$E257/100,"")))</f>
        <v/>
      </c>
      <c r="AB257" s="113">
        <f>IF(AB$226="","",IF($B257="","",IFERROR(K257*$E257/100,"")))</f>
        <v/>
      </c>
      <c r="AC257" s="113">
        <f>IF(AC$226="","",IF($B257="","",IFERROR(L257*$E257/100,"")))</f>
        <v/>
      </c>
      <c r="AD257" s="113">
        <f>IF(AD$226="","",IF($B257="","",IFERROR(M257*$E257/100,"")))</f>
        <v/>
      </c>
      <c r="AE257" s="113">
        <f>IF(AE$226="","",IF($B257="","",IFERROR(N257*$E257/100,"")))</f>
        <v/>
      </c>
      <c r="AF257" s="113">
        <f>IF(AF$226="","",IF($B257="","",IFERROR(O257*$E257/100,"")))</f>
        <v/>
      </c>
      <c r="AG257" s="113">
        <f>IF(AG$226="","",IF($B257="","",IFERROR(P257*$E257/100,"")))</f>
        <v/>
      </c>
      <c r="AH257" s="113">
        <f>IF(AH$226="","",IF($B257="","",IFERROR(Q257*$E257/100,"")))</f>
        <v/>
      </c>
      <c r="AI257" s="113">
        <f>IF(AI$226="","",IF($B257="","",IFERROR(R257*$E257/100,"")))</f>
        <v/>
      </c>
      <c r="AJ257" s="113">
        <f>IF(AJ$226="","",IF($B257="","",IFERROR(S257*$E257/100,"")))</f>
        <v/>
      </c>
      <c r="AK257" s="113">
        <f>IF(AK$226="","",IF($B257="","",IFERROR(T257*$E257/100,"")))</f>
        <v/>
      </c>
      <c r="AL257" s="113">
        <f>IF(AL$226="","",IF($B257="","",IFERROR(U257*$E257/100,"")))</f>
        <v/>
      </c>
    </row>
    <row r="258">
      <c r="B258" s="5">
        <f>IF(MXAU!$C$35="","",MXAU!$C$35)</f>
        <v/>
      </c>
      <c r="C258" s="86">
        <f>IF(MXAU!$B$35="","",MXAU!$B$35)</f>
        <v/>
      </c>
      <c r="D258" s="111">
        <f>IFERROR(MXAU!$Q$35,1)</f>
        <v/>
      </c>
      <c r="E258" s="112">
        <f>IF($B258="","",IF(ISNUMBER(MXAU!$I$35),MXAU!$I$35,'Index Summary'!$C$7))</f>
        <v/>
      </c>
      <c r="F258" s="113">
        <f>IF(F$226="","",IF($B258="","",IFERROR($C258*$D258*SUMIFS('Dvd Calendar'!$E$479:$CZ$479,'Dvd Calendar'!$E$478:$CZ$478,"&gt;"&amp;F$225,'Dvd Calendar'!$E$478:$CZ$478,"&lt;="&amp;F$226)/MXAU!$B$3,"")))</f>
        <v/>
      </c>
      <c r="G258" s="113">
        <f>IF(G$226="","",IF($B258="","",IFERROR($C258*$D258*SUMIFS('Dvd Calendar'!$E$479:$CZ$479,'Dvd Calendar'!$E$478:$CZ$478,"&gt;"&amp;G$225,'Dvd Calendar'!$E$478:$CZ$478,"&lt;="&amp;G$226)/MXAU!$B$3,"")))</f>
        <v/>
      </c>
      <c r="H258" s="113">
        <f>IF(H$226="","",IF($B258="","",IFERROR($C258*$D258*SUMIFS('Dvd Calendar'!$E$479:$CZ$479,'Dvd Calendar'!$E$478:$CZ$478,"&gt;"&amp;H$225,'Dvd Calendar'!$E$478:$CZ$478,"&lt;="&amp;H$226)/MXAU!$B$3,"")))</f>
        <v/>
      </c>
      <c r="I258" s="113">
        <f>IF(I$226="","",IF($B258="","",IFERROR($C258*$D258*SUMIFS('Dvd Calendar'!$E$479:$CZ$479,'Dvd Calendar'!$E$478:$CZ$478,"&gt;"&amp;I$225,'Dvd Calendar'!$E$478:$CZ$478,"&lt;="&amp;I$226)/MXAU!$B$3,"")))</f>
        <v/>
      </c>
      <c r="J258" s="113">
        <f>IF(J$226="","",IF($B258="","",IFERROR($C258*$D258*SUMIFS('Dvd Calendar'!$E$479:$CZ$479,'Dvd Calendar'!$E$478:$CZ$478,"&gt;"&amp;J$225,'Dvd Calendar'!$E$478:$CZ$478,"&lt;="&amp;J$226)/MXAU!$B$3,"")))</f>
        <v/>
      </c>
      <c r="K258" s="113">
        <f>IF(K$226="","",IF($B258="","",IFERROR($C258*$D258*SUMIFS('Dvd Calendar'!$E$479:$CZ$479,'Dvd Calendar'!$E$478:$CZ$478,"&gt;"&amp;K$225,'Dvd Calendar'!$E$478:$CZ$478,"&lt;="&amp;K$226)/MXAU!$B$3,"")))</f>
        <v/>
      </c>
      <c r="L258" s="113">
        <f>IF(L$226="","",IF($B258="","",IFERROR($C258*$D258*SUMIFS('Dvd Calendar'!$E$479:$CZ$479,'Dvd Calendar'!$E$478:$CZ$478,"&gt;"&amp;L$225,'Dvd Calendar'!$E$478:$CZ$478,"&lt;="&amp;L$226)/MXAU!$B$3,"")))</f>
        <v/>
      </c>
      <c r="M258" s="113">
        <f>IF(M$226="","",IF($B258="","",IFERROR($C258*$D258*SUMIFS('Dvd Calendar'!$E$479:$CZ$479,'Dvd Calendar'!$E$478:$CZ$478,"&gt;"&amp;M$225,'Dvd Calendar'!$E$478:$CZ$478,"&lt;="&amp;M$226)/MXAU!$B$3,"")))</f>
        <v/>
      </c>
      <c r="N258" s="113">
        <f>IF(N$226="","",IF($B258="","",IFERROR($C258*$D258*SUMIFS('Dvd Calendar'!$E$479:$CZ$479,'Dvd Calendar'!$E$478:$CZ$478,"&gt;"&amp;N$225,'Dvd Calendar'!$E$478:$CZ$478,"&lt;="&amp;N$226)/MXAU!$B$3,"")))</f>
        <v/>
      </c>
      <c r="O258" s="113">
        <f>IF(O$226="","",IF($B258="","",IFERROR($C258*$D258*SUMIFS('Dvd Calendar'!$E$479:$CZ$479,'Dvd Calendar'!$E$478:$CZ$478,"&gt;"&amp;O$225,'Dvd Calendar'!$E$478:$CZ$478,"&lt;="&amp;O$226)/MXAU!$B$3,"")))</f>
        <v/>
      </c>
      <c r="P258" s="113">
        <f>IF(P$226="","",IF($B258="","",IFERROR($C258*$D258*SUMIFS('Dvd Calendar'!$E$479:$CZ$479,'Dvd Calendar'!$E$478:$CZ$478,"&gt;"&amp;P$225,'Dvd Calendar'!$E$478:$CZ$478,"&lt;="&amp;P$226)/MXAU!$B$3,"")))</f>
        <v/>
      </c>
      <c r="Q258" s="113">
        <f>IF(Q$226="","",IF($B258="","",IFERROR($C258*$D258*SUMIFS('Dvd Calendar'!$E$479:$CZ$479,'Dvd Calendar'!$E$478:$CZ$478,"&gt;"&amp;Q$225,'Dvd Calendar'!$E$478:$CZ$478,"&lt;="&amp;Q$226)/MXAU!$B$3,"")))</f>
        <v/>
      </c>
      <c r="R258" s="113">
        <f>IF(R$226="","",IF($B258="","",IFERROR($C258*$D258*SUMIFS('Dvd Calendar'!$E$479:$CZ$479,'Dvd Calendar'!$E$478:$CZ$478,"&gt;"&amp;R$225,'Dvd Calendar'!$E$478:$CZ$478,"&lt;="&amp;R$226)/MXAU!$B$3,"")))</f>
        <v/>
      </c>
      <c r="S258" s="113">
        <f>IF(S$226="","",IF($B258="","",IFERROR($C258*$D258*SUMIFS('Dvd Calendar'!$E$479:$CZ$479,'Dvd Calendar'!$E$478:$CZ$478,"&gt;"&amp;S$225,'Dvd Calendar'!$E$478:$CZ$478,"&lt;="&amp;S$226)/MXAU!$B$3,"")))</f>
        <v/>
      </c>
      <c r="T258" s="113">
        <f>IF(T$226="","",IF($B258="","",IFERROR($C258*$D258*SUMIFS('Dvd Calendar'!$E$479:$CZ$479,'Dvd Calendar'!$E$478:$CZ$478,"&gt;"&amp;T$225,'Dvd Calendar'!$E$478:$CZ$478,"&lt;="&amp;T$226)/MXAU!$B$3,"")))</f>
        <v/>
      </c>
      <c r="U258" s="113">
        <f>IF(U$226="","",IF($B258="","",IFERROR($C258*$D258*SUMIFS('Dvd Calendar'!$E$479:$CZ$479,'Dvd Calendar'!$E$478:$CZ$478,"&gt;"&amp;U$225,'Dvd Calendar'!$E$478:$CZ$478,"&lt;="&amp;U$226)/MXAU!$B$3,"")))</f>
        <v/>
      </c>
      <c r="W258" s="113">
        <f>IF(W$226="","",IF($B258="","",IFERROR(F258*$E258/100,"")))</f>
        <v/>
      </c>
      <c r="X258" s="113">
        <f>IF(X$226="","",IF($B258="","",IFERROR(G258*$E258/100,"")))</f>
        <v/>
      </c>
      <c r="Y258" s="113">
        <f>IF(Y$226="","",IF($B258="","",IFERROR(H258*$E258/100,"")))</f>
        <v/>
      </c>
      <c r="Z258" s="113">
        <f>IF(Z$226="","",IF($B258="","",IFERROR(I258*$E258/100,"")))</f>
        <v/>
      </c>
      <c r="AA258" s="113">
        <f>IF(AA$226="","",IF($B258="","",IFERROR(J258*$E258/100,"")))</f>
        <v/>
      </c>
      <c r="AB258" s="113">
        <f>IF(AB$226="","",IF($B258="","",IFERROR(K258*$E258/100,"")))</f>
        <v/>
      </c>
      <c r="AC258" s="113">
        <f>IF(AC$226="","",IF($B258="","",IFERROR(L258*$E258/100,"")))</f>
        <v/>
      </c>
      <c r="AD258" s="113">
        <f>IF(AD$226="","",IF($B258="","",IFERROR(M258*$E258/100,"")))</f>
        <v/>
      </c>
      <c r="AE258" s="113">
        <f>IF(AE$226="","",IF($B258="","",IFERROR(N258*$E258/100,"")))</f>
        <v/>
      </c>
      <c r="AF258" s="113">
        <f>IF(AF$226="","",IF($B258="","",IFERROR(O258*$E258/100,"")))</f>
        <v/>
      </c>
      <c r="AG258" s="113">
        <f>IF(AG$226="","",IF($B258="","",IFERROR(P258*$E258/100,"")))</f>
        <v/>
      </c>
      <c r="AH258" s="113">
        <f>IF(AH$226="","",IF($B258="","",IFERROR(Q258*$E258/100,"")))</f>
        <v/>
      </c>
      <c r="AI258" s="113">
        <f>IF(AI$226="","",IF($B258="","",IFERROR(R258*$E258/100,"")))</f>
        <v/>
      </c>
      <c r="AJ258" s="113">
        <f>IF(AJ$226="","",IF($B258="","",IFERROR(S258*$E258/100,"")))</f>
        <v/>
      </c>
      <c r="AK258" s="113">
        <f>IF(AK$226="","",IF($B258="","",IFERROR(T258*$E258/100,"")))</f>
        <v/>
      </c>
      <c r="AL258" s="113">
        <f>IF(AL$226="","",IF($B258="","",IFERROR(U258*$E258/100,"")))</f>
        <v/>
      </c>
    </row>
    <row r="259">
      <c r="B259" s="5">
        <f>IF(MXAU!$C$36="","",MXAU!$C$36)</f>
        <v/>
      </c>
      <c r="C259" s="86">
        <f>IF(MXAU!$B$36="","",MXAU!$B$36)</f>
        <v/>
      </c>
      <c r="D259" s="111">
        <f>IFERROR(MXAU!$Q$36,1)</f>
        <v/>
      </c>
      <c r="E259" s="112">
        <f>IF($B259="","",IF(ISNUMBER(MXAU!$I$36),MXAU!$I$36,'Index Summary'!$C$7))</f>
        <v/>
      </c>
      <c r="F259" s="113">
        <f>IF(F$226="","",IF($B259="","",IFERROR($C259*$D259*SUMIFS('Dvd Calendar'!$E$481:$CZ$481,'Dvd Calendar'!$E$480:$CZ$480,"&gt;"&amp;F$225,'Dvd Calendar'!$E$480:$CZ$480,"&lt;="&amp;F$226)/MXAU!$B$3,"")))</f>
        <v/>
      </c>
      <c r="G259" s="113">
        <f>IF(G$226="","",IF($B259="","",IFERROR($C259*$D259*SUMIFS('Dvd Calendar'!$E$481:$CZ$481,'Dvd Calendar'!$E$480:$CZ$480,"&gt;"&amp;G$225,'Dvd Calendar'!$E$480:$CZ$480,"&lt;="&amp;G$226)/MXAU!$B$3,"")))</f>
        <v/>
      </c>
      <c r="H259" s="113">
        <f>IF(H$226="","",IF($B259="","",IFERROR($C259*$D259*SUMIFS('Dvd Calendar'!$E$481:$CZ$481,'Dvd Calendar'!$E$480:$CZ$480,"&gt;"&amp;H$225,'Dvd Calendar'!$E$480:$CZ$480,"&lt;="&amp;H$226)/MXAU!$B$3,"")))</f>
        <v/>
      </c>
      <c r="I259" s="113">
        <f>IF(I$226="","",IF($B259="","",IFERROR($C259*$D259*SUMIFS('Dvd Calendar'!$E$481:$CZ$481,'Dvd Calendar'!$E$480:$CZ$480,"&gt;"&amp;I$225,'Dvd Calendar'!$E$480:$CZ$480,"&lt;="&amp;I$226)/MXAU!$B$3,"")))</f>
        <v/>
      </c>
      <c r="J259" s="113">
        <f>IF(J$226="","",IF($B259="","",IFERROR($C259*$D259*SUMIFS('Dvd Calendar'!$E$481:$CZ$481,'Dvd Calendar'!$E$480:$CZ$480,"&gt;"&amp;J$225,'Dvd Calendar'!$E$480:$CZ$480,"&lt;="&amp;J$226)/MXAU!$B$3,"")))</f>
        <v/>
      </c>
      <c r="K259" s="113">
        <f>IF(K$226="","",IF($B259="","",IFERROR($C259*$D259*SUMIFS('Dvd Calendar'!$E$481:$CZ$481,'Dvd Calendar'!$E$480:$CZ$480,"&gt;"&amp;K$225,'Dvd Calendar'!$E$480:$CZ$480,"&lt;="&amp;K$226)/MXAU!$B$3,"")))</f>
        <v/>
      </c>
      <c r="L259" s="113">
        <f>IF(L$226="","",IF($B259="","",IFERROR($C259*$D259*SUMIFS('Dvd Calendar'!$E$481:$CZ$481,'Dvd Calendar'!$E$480:$CZ$480,"&gt;"&amp;L$225,'Dvd Calendar'!$E$480:$CZ$480,"&lt;="&amp;L$226)/MXAU!$B$3,"")))</f>
        <v/>
      </c>
      <c r="M259" s="113">
        <f>IF(M$226="","",IF($B259="","",IFERROR($C259*$D259*SUMIFS('Dvd Calendar'!$E$481:$CZ$481,'Dvd Calendar'!$E$480:$CZ$480,"&gt;"&amp;M$225,'Dvd Calendar'!$E$480:$CZ$480,"&lt;="&amp;M$226)/MXAU!$B$3,"")))</f>
        <v/>
      </c>
      <c r="N259" s="113">
        <f>IF(N$226="","",IF($B259="","",IFERROR($C259*$D259*SUMIFS('Dvd Calendar'!$E$481:$CZ$481,'Dvd Calendar'!$E$480:$CZ$480,"&gt;"&amp;N$225,'Dvd Calendar'!$E$480:$CZ$480,"&lt;="&amp;N$226)/MXAU!$B$3,"")))</f>
        <v/>
      </c>
      <c r="O259" s="113">
        <f>IF(O$226="","",IF($B259="","",IFERROR($C259*$D259*SUMIFS('Dvd Calendar'!$E$481:$CZ$481,'Dvd Calendar'!$E$480:$CZ$480,"&gt;"&amp;O$225,'Dvd Calendar'!$E$480:$CZ$480,"&lt;="&amp;O$226)/MXAU!$B$3,"")))</f>
        <v/>
      </c>
      <c r="P259" s="113">
        <f>IF(P$226="","",IF($B259="","",IFERROR($C259*$D259*SUMIFS('Dvd Calendar'!$E$481:$CZ$481,'Dvd Calendar'!$E$480:$CZ$480,"&gt;"&amp;P$225,'Dvd Calendar'!$E$480:$CZ$480,"&lt;="&amp;P$226)/MXAU!$B$3,"")))</f>
        <v/>
      </c>
      <c r="Q259" s="113">
        <f>IF(Q$226="","",IF($B259="","",IFERROR($C259*$D259*SUMIFS('Dvd Calendar'!$E$481:$CZ$481,'Dvd Calendar'!$E$480:$CZ$480,"&gt;"&amp;Q$225,'Dvd Calendar'!$E$480:$CZ$480,"&lt;="&amp;Q$226)/MXAU!$B$3,"")))</f>
        <v/>
      </c>
      <c r="R259" s="113">
        <f>IF(R$226="","",IF($B259="","",IFERROR($C259*$D259*SUMIFS('Dvd Calendar'!$E$481:$CZ$481,'Dvd Calendar'!$E$480:$CZ$480,"&gt;"&amp;R$225,'Dvd Calendar'!$E$480:$CZ$480,"&lt;="&amp;R$226)/MXAU!$B$3,"")))</f>
        <v/>
      </c>
      <c r="S259" s="113">
        <f>IF(S$226="","",IF($B259="","",IFERROR($C259*$D259*SUMIFS('Dvd Calendar'!$E$481:$CZ$481,'Dvd Calendar'!$E$480:$CZ$480,"&gt;"&amp;S$225,'Dvd Calendar'!$E$480:$CZ$480,"&lt;="&amp;S$226)/MXAU!$B$3,"")))</f>
        <v/>
      </c>
      <c r="T259" s="113">
        <f>IF(T$226="","",IF($B259="","",IFERROR($C259*$D259*SUMIFS('Dvd Calendar'!$E$481:$CZ$481,'Dvd Calendar'!$E$480:$CZ$480,"&gt;"&amp;T$225,'Dvd Calendar'!$E$480:$CZ$480,"&lt;="&amp;T$226)/MXAU!$B$3,"")))</f>
        <v/>
      </c>
      <c r="U259" s="113">
        <f>IF(U$226="","",IF($B259="","",IFERROR($C259*$D259*SUMIFS('Dvd Calendar'!$E$481:$CZ$481,'Dvd Calendar'!$E$480:$CZ$480,"&gt;"&amp;U$225,'Dvd Calendar'!$E$480:$CZ$480,"&lt;="&amp;U$226)/MXAU!$B$3,"")))</f>
        <v/>
      </c>
      <c r="W259" s="113">
        <f>IF(W$226="","",IF($B259="","",IFERROR(F259*$E259/100,"")))</f>
        <v/>
      </c>
      <c r="X259" s="113">
        <f>IF(X$226="","",IF($B259="","",IFERROR(G259*$E259/100,"")))</f>
        <v/>
      </c>
      <c r="Y259" s="113">
        <f>IF(Y$226="","",IF($B259="","",IFERROR(H259*$E259/100,"")))</f>
        <v/>
      </c>
      <c r="Z259" s="113">
        <f>IF(Z$226="","",IF($B259="","",IFERROR(I259*$E259/100,"")))</f>
        <v/>
      </c>
      <c r="AA259" s="113">
        <f>IF(AA$226="","",IF($B259="","",IFERROR(J259*$E259/100,"")))</f>
        <v/>
      </c>
      <c r="AB259" s="113">
        <f>IF(AB$226="","",IF($B259="","",IFERROR(K259*$E259/100,"")))</f>
        <v/>
      </c>
      <c r="AC259" s="113">
        <f>IF(AC$226="","",IF($B259="","",IFERROR(L259*$E259/100,"")))</f>
        <v/>
      </c>
      <c r="AD259" s="113">
        <f>IF(AD$226="","",IF($B259="","",IFERROR(M259*$E259/100,"")))</f>
        <v/>
      </c>
      <c r="AE259" s="113">
        <f>IF(AE$226="","",IF($B259="","",IFERROR(N259*$E259/100,"")))</f>
        <v/>
      </c>
      <c r="AF259" s="113">
        <f>IF(AF$226="","",IF($B259="","",IFERROR(O259*$E259/100,"")))</f>
        <v/>
      </c>
      <c r="AG259" s="113">
        <f>IF(AG$226="","",IF($B259="","",IFERROR(P259*$E259/100,"")))</f>
        <v/>
      </c>
      <c r="AH259" s="113">
        <f>IF(AH$226="","",IF($B259="","",IFERROR(Q259*$E259/100,"")))</f>
        <v/>
      </c>
      <c r="AI259" s="113">
        <f>IF(AI$226="","",IF($B259="","",IFERROR(R259*$E259/100,"")))</f>
        <v/>
      </c>
      <c r="AJ259" s="113">
        <f>IF(AJ$226="","",IF($B259="","",IFERROR(S259*$E259/100,"")))</f>
        <v/>
      </c>
      <c r="AK259" s="113">
        <f>IF(AK$226="","",IF($B259="","",IFERROR(T259*$E259/100,"")))</f>
        <v/>
      </c>
      <c r="AL259" s="113">
        <f>IF(AL$226="","",IF($B259="","",IFERROR(U259*$E259/100,"")))</f>
        <v/>
      </c>
    </row>
    <row r="260">
      <c r="B260" s="5">
        <f>IF(MXAU!$C$37="","",MXAU!$C$37)</f>
        <v/>
      </c>
      <c r="C260" s="86">
        <f>IF(MXAU!$B$37="","",MXAU!$B$37)</f>
        <v/>
      </c>
      <c r="D260" s="111">
        <f>IFERROR(MXAU!$Q$37,1)</f>
        <v/>
      </c>
      <c r="E260" s="112">
        <f>IF($B260="","",IF(ISNUMBER(MXAU!$I$37),MXAU!$I$37,'Index Summary'!$C$7))</f>
        <v/>
      </c>
      <c r="F260" s="113">
        <f>IF(F$226="","",IF($B260="","",IFERROR($C260*$D260*SUMIFS('Dvd Calendar'!$E$483:$CZ$483,'Dvd Calendar'!$E$482:$CZ$482,"&gt;"&amp;F$225,'Dvd Calendar'!$E$482:$CZ$482,"&lt;="&amp;F$226)/MXAU!$B$3,"")))</f>
        <v/>
      </c>
      <c r="G260" s="113">
        <f>IF(G$226="","",IF($B260="","",IFERROR($C260*$D260*SUMIFS('Dvd Calendar'!$E$483:$CZ$483,'Dvd Calendar'!$E$482:$CZ$482,"&gt;"&amp;G$225,'Dvd Calendar'!$E$482:$CZ$482,"&lt;="&amp;G$226)/MXAU!$B$3,"")))</f>
        <v/>
      </c>
      <c r="H260" s="113">
        <f>IF(H$226="","",IF($B260="","",IFERROR($C260*$D260*SUMIFS('Dvd Calendar'!$E$483:$CZ$483,'Dvd Calendar'!$E$482:$CZ$482,"&gt;"&amp;H$225,'Dvd Calendar'!$E$482:$CZ$482,"&lt;="&amp;H$226)/MXAU!$B$3,"")))</f>
        <v/>
      </c>
      <c r="I260" s="113">
        <f>IF(I$226="","",IF($B260="","",IFERROR($C260*$D260*SUMIFS('Dvd Calendar'!$E$483:$CZ$483,'Dvd Calendar'!$E$482:$CZ$482,"&gt;"&amp;I$225,'Dvd Calendar'!$E$482:$CZ$482,"&lt;="&amp;I$226)/MXAU!$B$3,"")))</f>
        <v/>
      </c>
      <c r="J260" s="113">
        <f>IF(J$226="","",IF($B260="","",IFERROR($C260*$D260*SUMIFS('Dvd Calendar'!$E$483:$CZ$483,'Dvd Calendar'!$E$482:$CZ$482,"&gt;"&amp;J$225,'Dvd Calendar'!$E$482:$CZ$482,"&lt;="&amp;J$226)/MXAU!$B$3,"")))</f>
        <v/>
      </c>
      <c r="K260" s="113">
        <f>IF(K$226="","",IF($B260="","",IFERROR($C260*$D260*SUMIFS('Dvd Calendar'!$E$483:$CZ$483,'Dvd Calendar'!$E$482:$CZ$482,"&gt;"&amp;K$225,'Dvd Calendar'!$E$482:$CZ$482,"&lt;="&amp;K$226)/MXAU!$B$3,"")))</f>
        <v/>
      </c>
      <c r="L260" s="113">
        <f>IF(L$226="","",IF($B260="","",IFERROR($C260*$D260*SUMIFS('Dvd Calendar'!$E$483:$CZ$483,'Dvd Calendar'!$E$482:$CZ$482,"&gt;"&amp;L$225,'Dvd Calendar'!$E$482:$CZ$482,"&lt;="&amp;L$226)/MXAU!$B$3,"")))</f>
        <v/>
      </c>
      <c r="M260" s="113">
        <f>IF(M$226="","",IF($B260="","",IFERROR($C260*$D260*SUMIFS('Dvd Calendar'!$E$483:$CZ$483,'Dvd Calendar'!$E$482:$CZ$482,"&gt;"&amp;M$225,'Dvd Calendar'!$E$482:$CZ$482,"&lt;="&amp;M$226)/MXAU!$B$3,"")))</f>
        <v/>
      </c>
      <c r="N260" s="113">
        <f>IF(N$226="","",IF($B260="","",IFERROR($C260*$D260*SUMIFS('Dvd Calendar'!$E$483:$CZ$483,'Dvd Calendar'!$E$482:$CZ$482,"&gt;"&amp;N$225,'Dvd Calendar'!$E$482:$CZ$482,"&lt;="&amp;N$226)/MXAU!$B$3,"")))</f>
        <v/>
      </c>
      <c r="O260" s="113">
        <f>IF(O$226="","",IF($B260="","",IFERROR($C260*$D260*SUMIFS('Dvd Calendar'!$E$483:$CZ$483,'Dvd Calendar'!$E$482:$CZ$482,"&gt;"&amp;O$225,'Dvd Calendar'!$E$482:$CZ$482,"&lt;="&amp;O$226)/MXAU!$B$3,"")))</f>
        <v/>
      </c>
      <c r="P260" s="113">
        <f>IF(P$226="","",IF($B260="","",IFERROR($C260*$D260*SUMIFS('Dvd Calendar'!$E$483:$CZ$483,'Dvd Calendar'!$E$482:$CZ$482,"&gt;"&amp;P$225,'Dvd Calendar'!$E$482:$CZ$482,"&lt;="&amp;P$226)/MXAU!$B$3,"")))</f>
        <v/>
      </c>
      <c r="Q260" s="113">
        <f>IF(Q$226="","",IF($B260="","",IFERROR($C260*$D260*SUMIFS('Dvd Calendar'!$E$483:$CZ$483,'Dvd Calendar'!$E$482:$CZ$482,"&gt;"&amp;Q$225,'Dvd Calendar'!$E$482:$CZ$482,"&lt;="&amp;Q$226)/MXAU!$B$3,"")))</f>
        <v/>
      </c>
      <c r="R260" s="113">
        <f>IF(R$226="","",IF($B260="","",IFERROR($C260*$D260*SUMIFS('Dvd Calendar'!$E$483:$CZ$483,'Dvd Calendar'!$E$482:$CZ$482,"&gt;"&amp;R$225,'Dvd Calendar'!$E$482:$CZ$482,"&lt;="&amp;R$226)/MXAU!$B$3,"")))</f>
        <v/>
      </c>
      <c r="S260" s="113">
        <f>IF(S$226="","",IF($B260="","",IFERROR($C260*$D260*SUMIFS('Dvd Calendar'!$E$483:$CZ$483,'Dvd Calendar'!$E$482:$CZ$482,"&gt;"&amp;S$225,'Dvd Calendar'!$E$482:$CZ$482,"&lt;="&amp;S$226)/MXAU!$B$3,"")))</f>
        <v/>
      </c>
      <c r="T260" s="113">
        <f>IF(T$226="","",IF($B260="","",IFERROR($C260*$D260*SUMIFS('Dvd Calendar'!$E$483:$CZ$483,'Dvd Calendar'!$E$482:$CZ$482,"&gt;"&amp;T$225,'Dvd Calendar'!$E$482:$CZ$482,"&lt;="&amp;T$226)/MXAU!$B$3,"")))</f>
        <v/>
      </c>
      <c r="U260" s="113">
        <f>IF(U$226="","",IF($B260="","",IFERROR($C260*$D260*SUMIFS('Dvd Calendar'!$E$483:$CZ$483,'Dvd Calendar'!$E$482:$CZ$482,"&gt;"&amp;U$225,'Dvd Calendar'!$E$482:$CZ$482,"&lt;="&amp;U$226)/MXAU!$B$3,"")))</f>
        <v/>
      </c>
      <c r="W260" s="113">
        <f>IF(W$226="","",IF($B260="","",IFERROR(F260*$E260/100,"")))</f>
        <v/>
      </c>
      <c r="X260" s="113">
        <f>IF(X$226="","",IF($B260="","",IFERROR(G260*$E260/100,"")))</f>
        <v/>
      </c>
      <c r="Y260" s="113">
        <f>IF(Y$226="","",IF($B260="","",IFERROR(H260*$E260/100,"")))</f>
        <v/>
      </c>
      <c r="Z260" s="113">
        <f>IF(Z$226="","",IF($B260="","",IFERROR(I260*$E260/100,"")))</f>
        <v/>
      </c>
      <c r="AA260" s="113">
        <f>IF(AA$226="","",IF($B260="","",IFERROR(J260*$E260/100,"")))</f>
        <v/>
      </c>
      <c r="AB260" s="113">
        <f>IF(AB$226="","",IF($B260="","",IFERROR(K260*$E260/100,"")))</f>
        <v/>
      </c>
      <c r="AC260" s="113">
        <f>IF(AC$226="","",IF($B260="","",IFERROR(L260*$E260/100,"")))</f>
        <v/>
      </c>
      <c r="AD260" s="113">
        <f>IF(AD$226="","",IF($B260="","",IFERROR(M260*$E260/100,"")))</f>
        <v/>
      </c>
      <c r="AE260" s="113">
        <f>IF(AE$226="","",IF($B260="","",IFERROR(N260*$E260/100,"")))</f>
        <v/>
      </c>
      <c r="AF260" s="113">
        <f>IF(AF$226="","",IF($B260="","",IFERROR(O260*$E260/100,"")))</f>
        <v/>
      </c>
      <c r="AG260" s="113">
        <f>IF(AG$226="","",IF($B260="","",IFERROR(P260*$E260/100,"")))</f>
        <v/>
      </c>
      <c r="AH260" s="113">
        <f>IF(AH$226="","",IF($B260="","",IFERROR(Q260*$E260/100,"")))</f>
        <v/>
      </c>
      <c r="AI260" s="113">
        <f>IF(AI$226="","",IF($B260="","",IFERROR(R260*$E260/100,"")))</f>
        <v/>
      </c>
      <c r="AJ260" s="113">
        <f>IF(AJ$226="","",IF($B260="","",IFERROR(S260*$E260/100,"")))</f>
        <v/>
      </c>
      <c r="AK260" s="113">
        <f>IF(AK$226="","",IF($B260="","",IFERROR(T260*$E260/100,"")))</f>
        <v/>
      </c>
      <c r="AL260" s="113">
        <f>IF(AL$226="","",IF($B260="","",IFERROR(U260*$E260/100,"")))</f>
        <v/>
      </c>
    </row>
    <row r="261">
      <c r="B261" s="5">
        <f>IF(MXAU!$C$38="","",MXAU!$C$38)</f>
        <v/>
      </c>
      <c r="C261" s="86">
        <f>IF(MXAU!$B$38="","",MXAU!$B$38)</f>
        <v/>
      </c>
      <c r="D261" s="111">
        <f>IFERROR(MXAU!$Q$38,1)</f>
        <v/>
      </c>
      <c r="E261" s="112">
        <f>IF($B261="","",IF(ISNUMBER(MXAU!$I$38),MXAU!$I$38,'Index Summary'!$C$7))</f>
        <v/>
      </c>
      <c r="F261" s="113">
        <f>IF(F$226="","",IF($B261="","",IFERROR($C261*$D261*SUMIFS('Dvd Calendar'!$E$485:$CZ$485,'Dvd Calendar'!$E$484:$CZ$484,"&gt;"&amp;F$225,'Dvd Calendar'!$E$484:$CZ$484,"&lt;="&amp;F$226)/MXAU!$B$3,"")))</f>
        <v/>
      </c>
      <c r="G261" s="113">
        <f>IF(G$226="","",IF($B261="","",IFERROR($C261*$D261*SUMIFS('Dvd Calendar'!$E$485:$CZ$485,'Dvd Calendar'!$E$484:$CZ$484,"&gt;"&amp;G$225,'Dvd Calendar'!$E$484:$CZ$484,"&lt;="&amp;G$226)/MXAU!$B$3,"")))</f>
        <v/>
      </c>
      <c r="H261" s="113">
        <f>IF(H$226="","",IF($B261="","",IFERROR($C261*$D261*SUMIFS('Dvd Calendar'!$E$485:$CZ$485,'Dvd Calendar'!$E$484:$CZ$484,"&gt;"&amp;H$225,'Dvd Calendar'!$E$484:$CZ$484,"&lt;="&amp;H$226)/MXAU!$B$3,"")))</f>
        <v/>
      </c>
      <c r="I261" s="113">
        <f>IF(I$226="","",IF($B261="","",IFERROR($C261*$D261*SUMIFS('Dvd Calendar'!$E$485:$CZ$485,'Dvd Calendar'!$E$484:$CZ$484,"&gt;"&amp;I$225,'Dvd Calendar'!$E$484:$CZ$484,"&lt;="&amp;I$226)/MXAU!$B$3,"")))</f>
        <v/>
      </c>
      <c r="J261" s="113">
        <f>IF(J$226="","",IF($B261="","",IFERROR($C261*$D261*SUMIFS('Dvd Calendar'!$E$485:$CZ$485,'Dvd Calendar'!$E$484:$CZ$484,"&gt;"&amp;J$225,'Dvd Calendar'!$E$484:$CZ$484,"&lt;="&amp;J$226)/MXAU!$B$3,"")))</f>
        <v/>
      </c>
      <c r="K261" s="113">
        <f>IF(K$226="","",IF($B261="","",IFERROR($C261*$D261*SUMIFS('Dvd Calendar'!$E$485:$CZ$485,'Dvd Calendar'!$E$484:$CZ$484,"&gt;"&amp;K$225,'Dvd Calendar'!$E$484:$CZ$484,"&lt;="&amp;K$226)/MXAU!$B$3,"")))</f>
        <v/>
      </c>
      <c r="L261" s="113">
        <f>IF(L$226="","",IF($B261="","",IFERROR($C261*$D261*SUMIFS('Dvd Calendar'!$E$485:$CZ$485,'Dvd Calendar'!$E$484:$CZ$484,"&gt;"&amp;L$225,'Dvd Calendar'!$E$484:$CZ$484,"&lt;="&amp;L$226)/MXAU!$B$3,"")))</f>
        <v/>
      </c>
      <c r="M261" s="113">
        <f>IF(M$226="","",IF($B261="","",IFERROR($C261*$D261*SUMIFS('Dvd Calendar'!$E$485:$CZ$485,'Dvd Calendar'!$E$484:$CZ$484,"&gt;"&amp;M$225,'Dvd Calendar'!$E$484:$CZ$484,"&lt;="&amp;M$226)/MXAU!$B$3,"")))</f>
        <v/>
      </c>
      <c r="N261" s="113">
        <f>IF(N$226="","",IF($B261="","",IFERROR($C261*$D261*SUMIFS('Dvd Calendar'!$E$485:$CZ$485,'Dvd Calendar'!$E$484:$CZ$484,"&gt;"&amp;N$225,'Dvd Calendar'!$E$484:$CZ$484,"&lt;="&amp;N$226)/MXAU!$B$3,"")))</f>
        <v/>
      </c>
      <c r="O261" s="113">
        <f>IF(O$226="","",IF($B261="","",IFERROR($C261*$D261*SUMIFS('Dvd Calendar'!$E$485:$CZ$485,'Dvd Calendar'!$E$484:$CZ$484,"&gt;"&amp;O$225,'Dvd Calendar'!$E$484:$CZ$484,"&lt;="&amp;O$226)/MXAU!$B$3,"")))</f>
        <v/>
      </c>
      <c r="P261" s="113">
        <f>IF(P$226="","",IF($B261="","",IFERROR($C261*$D261*SUMIFS('Dvd Calendar'!$E$485:$CZ$485,'Dvd Calendar'!$E$484:$CZ$484,"&gt;"&amp;P$225,'Dvd Calendar'!$E$484:$CZ$484,"&lt;="&amp;P$226)/MXAU!$B$3,"")))</f>
        <v/>
      </c>
      <c r="Q261" s="113">
        <f>IF(Q$226="","",IF($B261="","",IFERROR($C261*$D261*SUMIFS('Dvd Calendar'!$E$485:$CZ$485,'Dvd Calendar'!$E$484:$CZ$484,"&gt;"&amp;Q$225,'Dvd Calendar'!$E$484:$CZ$484,"&lt;="&amp;Q$226)/MXAU!$B$3,"")))</f>
        <v/>
      </c>
      <c r="R261" s="113">
        <f>IF(R$226="","",IF($B261="","",IFERROR($C261*$D261*SUMIFS('Dvd Calendar'!$E$485:$CZ$485,'Dvd Calendar'!$E$484:$CZ$484,"&gt;"&amp;R$225,'Dvd Calendar'!$E$484:$CZ$484,"&lt;="&amp;R$226)/MXAU!$B$3,"")))</f>
        <v/>
      </c>
      <c r="S261" s="113">
        <f>IF(S$226="","",IF($B261="","",IFERROR($C261*$D261*SUMIFS('Dvd Calendar'!$E$485:$CZ$485,'Dvd Calendar'!$E$484:$CZ$484,"&gt;"&amp;S$225,'Dvd Calendar'!$E$484:$CZ$484,"&lt;="&amp;S$226)/MXAU!$B$3,"")))</f>
        <v/>
      </c>
      <c r="T261" s="113">
        <f>IF(T$226="","",IF($B261="","",IFERROR($C261*$D261*SUMIFS('Dvd Calendar'!$E$485:$CZ$485,'Dvd Calendar'!$E$484:$CZ$484,"&gt;"&amp;T$225,'Dvd Calendar'!$E$484:$CZ$484,"&lt;="&amp;T$226)/MXAU!$B$3,"")))</f>
        <v/>
      </c>
      <c r="U261" s="113">
        <f>IF(U$226="","",IF($B261="","",IFERROR($C261*$D261*SUMIFS('Dvd Calendar'!$E$485:$CZ$485,'Dvd Calendar'!$E$484:$CZ$484,"&gt;"&amp;U$225,'Dvd Calendar'!$E$484:$CZ$484,"&lt;="&amp;U$226)/MXAU!$B$3,"")))</f>
        <v/>
      </c>
      <c r="W261" s="113">
        <f>IF(W$226="","",IF($B261="","",IFERROR(F261*$E261/100,"")))</f>
        <v/>
      </c>
      <c r="X261" s="113">
        <f>IF(X$226="","",IF($B261="","",IFERROR(G261*$E261/100,"")))</f>
        <v/>
      </c>
      <c r="Y261" s="113">
        <f>IF(Y$226="","",IF($B261="","",IFERROR(H261*$E261/100,"")))</f>
        <v/>
      </c>
      <c r="Z261" s="113">
        <f>IF(Z$226="","",IF($B261="","",IFERROR(I261*$E261/100,"")))</f>
        <v/>
      </c>
      <c r="AA261" s="113">
        <f>IF(AA$226="","",IF($B261="","",IFERROR(J261*$E261/100,"")))</f>
        <v/>
      </c>
      <c r="AB261" s="113">
        <f>IF(AB$226="","",IF($B261="","",IFERROR(K261*$E261/100,"")))</f>
        <v/>
      </c>
      <c r="AC261" s="113">
        <f>IF(AC$226="","",IF($B261="","",IFERROR(L261*$E261/100,"")))</f>
        <v/>
      </c>
      <c r="AD261" s="113">
        <f>IF(AD$226="","",IF($B261="","",IFERROR(M261*$E261/100,"")))</f>
        <v/>
      </c>
      <c r="AE261" s="113">
        <f>IF(AE$226="","",IF($B261="","",IFERROR(N261*$E261/100,"")))</f>
        <v/>
      </c>
      <c r="AF261" s="113">
        <f>IF(AF$226="","",IF($B261="","",IFERROR(O261*$E261/100,"")))</f>
        <v/>
      </c>
      <c r="AG261" s="113">
        <f>IF(AG$226="","",IF($B261="","",IFERROR(P261*$E261/100,"")))</f>
        <v/>
      </c>
      <c r="AH261" s="113">
        <f>IF(AH$226="","",IF($B261="","",IFERROR(Q261*$E261/100,"")))</f>
        <v/>
      </c>
      <c r="AI261" s="113">
        <f>IF(AI$226="","",IF($B261="","",IFERROR(R261*$E261/100,"")))</f>
        <v/>
      </c>
      <c r="AJ261" s="113">
        <f>IF(AJ$226="","",IF($B261="","",IFERROR(S261*$E261/100,"")))</f>
        <v/>
      </c>
      <c r="AK261" s="113">
        <f>IF(AK$226="","",IF($B261="","",IFERROR(T261*$E261/100,"")))</f>
        <v/>
      </c>
      <c r="AL261" s="113">
        <f>IF(AL$226="","",IF($B261="","",IFERROR(U261*$E261/100,"")))</f>
        <v/>
      </c>
    </row>
    <row r="262">
      <c r="B262" s="5">
        <f>IF(MXAU!$C$39="","",MXAU!$C$39)</f>
        <v/>
      </c>
      <c r="C262" s="86">
        <f>IF(MXAU!$B$39="","",MXAU!$B$39)</f>
        <v/>
      </c>
      <c r="D262" s="111">
        <f>IFERROR(MXAU!$Q$39,1)</f>
        <v/>
      </c>
      <c r="E262" s="112">
        <f>IF($B262="","",IF(ISNUMBER(MXAU!$I$39),MXAU!$I$39,'Index Summary'!$C$7))</f>
        <v/>
      </c>
      <c r="F262" s="113">
        <f>IF(F$226="","",IF($B262="","",IFERROR($C262*$D262*SUMIFS('Dvd Calendar'!$E$487:$CZ$487,'Dvd Calendar'!$E$486:$CZ$486,"&gt;"&amp;F$225,'Dvd Calendar'!$E$486:$CZ$486,"&lt;="&amp;F$226)/MXAU!$B$3,"")))</f>
        <v/>
      </c>
      <c r="G262" s="113">
        <f>IF(G$226="","",IF($B262="","",IFERROR($C262*$D262*SUMIFS('Dvd Calendar'!$E$487:$CZ$487,'Dvd Calendar'!$E$486:$CZ$486,"&gt;"&amp;G$225,'Dvd Calendar'!$E$486:$CZ$486,"&lt;="&amp;G$226)/MXAU!$B$3,"")))</f>
        <v/>
      </c>
      <c r="H262" s="113">
        <f>IF(H$226="","",IF($B262="","",IFERROR($C262*$D262*SUMIFS('Dvd Calendar'!$E$487:$CZ$487,'Dvd Calendar'!$E$486:$CZ$486,"&gt;"&amp;H$225,'Dvd Calendar'!$E$486:$CZ$486,"&lt;="&amp;H$226)/MXAU!$B$3,"")))</f>
        <v/>
      </c>
      <c r="I262" s="113">
        <f>IF(I$226="","",IF($B262="","",IFERROR($C262*$D262*SUMIFS('Dvd Calendar'!$E$487:$CZ$487,'Dvd Calendar'!$E$486:$CZ$486,"&gt;"&amp;I$225,'Dvd Calendar'!$E$486:$CZ$486,"&lt;="&amp;I$226)/MXAU!$B$3,"")))</f>
        <v/>
      </c>
      <c r="J262" s="113">
        <f>IF(J$226="","",IF($B262="","",IFERROR($C262*$D262*SUMIFS('Dvd Calendar'!$E$487:$CZ$487,'Dvd Calendar'!$E$486:$CZ$486,"&gt;"&amp;J$225,'Dvd Calendar'!$E$486:$CZ$486,"&lt;="&amp;J$226)/MXAU!$B$3,"")))</f>
        <v/>
      </c>
      <c r="K262" s="113">
        <f>IF(K$226="","",IF($B262="","",IFERROR($C262*$D262*SUMIFS('Dvd Calendar'!$E$487:$CZ$487,'Dvd Calendar'!$E$486:$CZ$486,"&gt;"&amp;K$225,'Dvd Calendar'!$E$486:$CZ$486,"&lt;="&amp;K$226)/MXAU!$B$3,"")))</f>
        <v/>
      </c>
      <c r="L262" s="113">
        <f>IF(L$226="","",IF($B262="","",IFERROR($C262*$D262*SUMIFS('Dvd Calendar'!$E$487:$CZ$487,'Dvd Calendar'!$E$486:$CZ$486,"&gt;"&amp;L$225,'Dvd Calendar'!$E$486:$CZ$486,"&lt;="&amp;L$226)/MXAU!$B$3,"")))</f>
        <v/>
      </c>
      <c r="M262" s="113">
        <f>IF(M$226="","",IF($B262="","",IFERROR($C262*$D262*SUMIFS('Dvd Calendar'!$E$487:$CZ$487,'Dvd Calendar'!$E$486:$CZ$486,"&gt;"&amp;M$225,'Dvd Calendar'!$E$486:$CZ$486,"&lt;="&amp;M$226)/MXAU!$B$3,"")))</f>
        <v/>
      </c>
      <c r="N262" s="113">
        <f>IF(N$226="","",IF($B262="","",IFERROR($C262*$D262*SUMIFS('Dvd Calendar'!$E$487:$CZ$487,'Dvd Calendar'!$E$486:$CZ$486,"&gt;"&amp;N$225,'Dvd Calendar'!$E$486:$CZ$486,"&lt;="&amp;N$226)/MXAU!$B$3,"")))</f>
        <v/>
      </c>
      <c r="O262" s="113">
        <f>IF(O$226="","",IF($B262="","",IFERROR($C262*$D262*SUMIFS('Dvd Calendar'!$E$487:$CZ$487,'Dvd Calendar'!$E$486:$CZ$486,"&gt;"&amp;O$225,'Dvd Calendar'!$E$486:$CZ$486,"&lt;="&amp;O$226)/MXAU!$B$3,"")))</f>
        <v/>
      </c>
      <c r="P262" s="113">
        <f>IF(P$226="","",IF($B262="","",IFERROR($C262*$D262*SUMIFS('Dvd Calendar'!$E$487:$CZ$487,'Dvd Calendar'!$E$486:$CZ$486,"&gt;"&amp;P$225,'Dvd Calendar'!$E$486:$CZ$486,"&lt;="&amp;P$226)/MXAU!$B$3,"")))</f>
        <v/>
      </c>
      <c r="Q262" s="113">
        <f>IF(Q$226="","",IF($B262="","",IFERROR($C262*$D262*SUMIFS('Dvd Calendar'!$E$487:$CZ$487,'Dvd Calendar'!$E$486:$CZ$486,"&gt;"&amp;Q$225,'Dvd Calendar'!$E$486:$CZ$486,"&lt;="&amp;Q$226)/MXAU!$B$3,"")))</f>
        <v/>
      </c>
      <c r="R262" s="113">
        <f>IF(R$226="","",IF($B262="","",IFERROR($C262*$D262*SUMIFS('Dvd Calendar'!$E$487:$CZ$487,'Dvd Calendar'!$E$486:$CZ$486,"&gt;"&amp;R$225,'Dvd Calendar'!$E$486:$CZ$486,"&lt;="&amp;R$226)/MXAU!$B$3,"")))</f>
        <v/>
      </c>
      <c r="S262" s="113">
        <f>IF(S$226="","",IF($B262="","",IFERROR($C262*$D262*SUMIFS('Dvd Calendar'!$E$487:$CZ$487,'Dvd Calendar'!$E$486:$CZ$486,"&gt;"&amp;S$225,'Dvd Calendar'!$E$486:$CZ$486,"&lt;="&amp;S$226)/MXAU!$B$3,"")))</f>
        <v/>
      </c>
      <c r="T262" s="113">
        <f>IF(T$226="","",IF($B262="","",IFERROR($C262*$D262*SUMIFS('Dvd Calendar'!$E$487:$CZ$487,'Dvd Calendar'!$E$486:$CZ$486,"&gt;"&amp;T$225,'Dvd Calendar'!$E$486:$CZ$486,"&lt;="&amp;T$226)/MXAU!$B$3,"")))</f>
        <v/>
      </c>
      <c r="U262" s="113">
        <f>IF(U$226="","",IF($B262="","",IFERROR($C262*$D262*SUMIFS('Dvd Calendar'!$E$487:$CZ$487,'Dvd Calendar'!$E$486:$CZ$486,"&gt;"&amp;U$225,'Dvd Calendar'!$E$486:$CZ$486,"&lt;="&amp;U$226)/MXAU!$B$3,"")))</f>
        <v/>
      </c>
      <c r="W262" s="113">
        <f>IF(W$226="","",IF($B262="","",IFERROR(F262*$E262/100,"")))</f>
        <v/>
      </c>
      <c r="X262" s="113">
        <f>IF(X$226="","",IF($B262="","",IFERROR(G262*$E262/100,"")))</f>
        <v/>
      </c>
      <c r="Y262" s="113">
        <f>IF(Y$226="","",IF($B262="","",IFERROR(H262*$E262/100,"")))</f>
        <v/>
      </c>
      <c r="Z262" s="113">
        <f>IF(Z$226="","",IF($B262="","",IFERROR(I262*$E262/100,"")))</f>
        <v/>
      </c>
      <c r="AA262" s="113">
        <f>IF(AA$226="","",IF($B262="","",IFERROR(J262*$E262/100,"")))</f>
        <v/>
      </c>
      <c r="AB262" s="113">
        <f>IF(AB$226="","",IF($B262="","",IFERROR(K262*$E262/100,"")))</f>
        <v/>
      </c>
      <c r="AC262" s="113">
        <f>IF(AC$226="","",IF($B262="","",IFERROR(L262*$E262/100,"")))</f>
        <v/>
      </c>
      <c r="AD262" s="113">
        <f>IF(AD$226="","",IF($B262="","",IFERROR(M262*$E262/100,"")))</f>
        <v/>
      </c>
      <c r="AE262" s="113">
        <f>IF(AE$226="","",IF($B262="","",IFERROR(N262*$E262/100,"")))</f>
        <v/>
      </c>
      <c r="AF262" s="113">
        <f>IF(AF$226="","",IF($B262="","",IFERROR(O262*$E262/100,"")))</f>
        <v/>
      </c>
      <c r="AG262" s="113">
        <f>IF(AG$226="","",IF($B262="","",IFERROR(P262*$E262/100,"")))</f>
        <v/>
      </c>
      <c r="AH262" s="113">
        <f>IF(AH$226="","",IF($B262="","",IFERROR(Q262*$E262/100,"")))</f>
        <v/>
      </c>
      <c r="AI262" s="113">
        <f>IF(AI$226="","",IF($B262="","",IFERROR(R262*$E262/100,"")))</f>
        <v/>
      </c>
      <c r="AJ262" s="113">
        <f>IF(AJ$226="","",IF($B262="","",IFERROR(S262*$E262/100,"")))</f>
        <v/>
      </c>
      <c r="AK262" s="113">
        <f>IF(AK$226="","",IF($B262="","",IFERROR(T262*$E262/100,"")))</f>
        <v/>
      </c>
      <c r="AL262" s="113">
        <f>IF(AL$226="","",IF($B262="","",IFERROR(U262*$E262/100,"")))</f>
        <v/>
      </c>
    </row>
    <row r="263">
      <c r="B263" s="5">
        <f>IF(MXAU!$C$40="","",MXAU!$C$40)</f>
        <v/>
      </c>
      <c r="C263" s="86">
        <f>IF(MXAU!$B$40="","",MXAU!$B$40)</f>
        <v/>
      </c>
      <c r="D263" s="111">
        <f>IFERROR(MXAU!$Q$40,1)</f>
        <v/>
      </c>
      <c r="E263" s="112">
        <f>IF($B263="","",IF(ISNUMBER(MXAU!$I$40),MXAU!$I$40,'Index Summary'!$C$7))</f>
        <v/>
      </c>
      <c r="F263" s="113">
        <f>IF(F$226="","",IF($B263="","",IFERROR($C263*$D263*SUMIFS('Dvd Calendar'!$E$489:$CZ$489,'Dvd Calendar'!$E$488:$CZ$488,"&gt;"&amp;F$225,'Dvd Calendar'!$E$488:$CZ$488,"&lt;="&amp;F$226)/MXAU!$B$3,"")))</f>
        <v/>
      </c>
      <c r="G263" s="113">
        <f>IF(G$226="","",IF($B263="","",IFERROR($C263*$D263*SUMIFS('Dvd Calendar'!$E$489:$CZ$489,'Dvd Calendar'!$E$488:$CZ$488,"&gt;"&amp;G$225,'Dvd Calendar'!$E$488:$CZ$488,"&lt;="&amp;G$226)/MXAU!$B$3,"")))</f>
        <v/>
      </c>
      <c r="H263" s="113">
        <f>IF(H$226="","",IF($B263="","",IFERROR($C263*$D263*SUMIFS('Dvd Calendar'!$E$489:$CZ$489,'Dvd Calendar'!$E$488:$CZ$488,"&gt;"&amp;H$225,'Dvd Calendar'!$E$488:$CZ$488,"&lt;="&amp;H$226)/MXAU!$B$3,"")))</f>
        <v/>
      </c>
      <c r="I263" s="113">
        <f>IF(I$226="","",IF($B263="","",IFERROR($C263*$D263*SUMIFS('Dvd Calendar'!$E$489:$CZ$489,'Dvd Calendar'!$E$488:$CZ$488,"&gt;"&amp;I$225,'Dvd Calendar'!$E$488:$CZ$488,"&lt;="&amp;I$226)/MXAU!$B$3,"")))</f>
        <v/>
      </c>
      <c r="J263" s="113">
        <f>IF(J$226="","",IF($B263="","",IFERROR($C263*$D263*SUMIFS('Dvd Calendar'!$E$489:$CZ$489,'Dvd Calendar'!$E$488:$CZ$488,"&gt;"&amp;J$225,'Dvd Calendar'!$E$488:$CZ$488,"&lt;="&amp;J$226)/MXAU!$B$3,"")))</f>
        <v/>
      </c>
      <c r="K263" s="113">
        <f>IF(K$226="","",IF($B263="","",IFERROR($C263*$D263*SUMIFS('Dvd Calendar'!$E$489:$CZ$489,'Dvd Calendar'!$E$488:$CZ$488,"&gt;"&amp;K$225,'Dvd Calendar'!$E$488:$CZ$488,"&lt;="&amp;K$226)/MXAU!$B$3,"")))</f>
        <v/>
      </c>
      <c r="L263" s="113">
        <f>IF(L$226="","",IF($B263="","",IFERROR($C263*$D263*SUMIFS('Dvd Calendar'!$E$489:$CZ$489,'Dvd Calendar'!$E$488:$CZ$488,"&gt;"&amp;L$225,'Dvd Calendar'!$E$488:$CZ$488,"&lt;="&amp;L$226)/MXAU!$B$3,"")))</f>
        <v/>
      </c>
      <c r="M263" s="113">
        <f>IF(M$226="","",IF($B263="","",IFERROR($C263*$D263*SUMIFS('Dvd Calendar'!$E$489:$CZ$489,'Dvd Calendar'!$E$488:$CZ$488,"&gt;"&amp;M$225,'Dvd Calendar'!$E$488:$CZ$488,"&lt;="&amp;M$226)/MXAU!$B$3,"")))</f>
        <v/>
      </c>
      <c r="N263" s="113">
        <f>IF(N$226="","",IF($B263="","",IFERROR($C263*$D263*SUMIFS('Dvd Calendar'!$E$489:$CZ$489,'Dvd Calendar'!$E$488:$CZ$488,"&gt;"&amp;N$225,'Dvd Calendar'!$E$488:$CZ$488,"&lt;="&amp;N$226)/MXAU!$B$3,"")))</f>
        <v/>
      </c>
      <c r="O263" s="113">
        <f>IF(O$226="","",IF($B263="","",IFERROR($C263*$D263*SUMIFS('Dvd Calendar'!$E$489:$CZ$489,'Dvd Calendar'!$E$488:$CZ$488,"&gt;"&amp;O$225,'Dvd Calendar'!$E$488:$CZ$488,"&lt;="&amp;O$226)/MXAU!$B$3,"")))</f>
        <v/>
      </c>
      <c r="P263" s="113">
        <f>IF(P$226="","",IF($B263="","",IFERROR($C263*$D263*SUMIFS('Dvd Calendar'!$E$489:$CZ$489,'Dvd Calendar'!$E$488:$CZ$488,"&gt;"&amp;P$225,'Dvd Calendar'!$E$488:$CZ$488,"&lt;="&amp;P$226)/MXAU!$B$3,"")))</f>
        <v/>
      </c>
      <c r="Q263" s="113">
        <f>IF(Q$226="","",IF($B263="","",IFERROR($C263*$D263*SUMIFS('Dvd Calendar'!$E$489:$CZ$489,'Dvd Calendar'!$E$488:$CZ$488,"&gt;"&amp;Q$225,'Dvd Calendar'!$E$488:$CZ$488,"&lt;="&amp;Q$226)/MXAU!$B$3,"")))</f>
        <v/>
      </c>
      <c r="R263" s="113">
        <f>IF(R$226="","",IF($B263="","",IFERROR($C263*$D263*SUMIFS('Dvd Calendar'!$E$489:$CZ$489,'Dvd Calendar'!$E$488:$CZ$488,"&gt;"&amp;R$225,'Dvd Calendar'!$E$488:$CZ$488,"&lt;="&amp;R$226)/MXAU!$B$3,"")))</f>
        <v/>
      </c>
      <c r="S263" s="113">
        <f>IF(S$226="","",IF($B263="","",IFERROR($C263*$D263*SUMIFS('Dvd Calendar'!$E$489:$CZ$489,'Dvd Calendar'!$E$488:$CZ$488,"&gt;"&amp;S$225,'Dvd Calendar'!$E$488:$CZ$488,"&lt;="&amp;S$226)/MXAU!$B$3,"")))</f>
        <v/>
      </c>
      <c r="T263" s="113">
        <f>IF(T$226="","",IF($B263="","",IFERROR($C263*$D263*SUMIFS('Dvd Calendar'!$E$489:$CZ$489,'Dvd Calendar'!$E$488:$CZ$488,"&gt;"&amp;T$225,'Dvd Calendar'!$E$488:$CZ$488,"&lt;="&amp;T$226)/MXAU!$B$3,"")))</f>
        <v/>
      </c>
      <c r="U263" s="113">
        <f>IF(U$226="","",IF($B263="","",IFERROR($C263*$D263*SUMIFS('Dvd Calendar'!$E$489:$CZ$489,'Dvd Calendar'!$E$488:$CZ$488,"&gt;"&amp;U$225,'Dvd Calendar'!$E$488:$CZ$488,"&lt;="&amp;U$226)/MXAU!$B$3,"")))</f>
        <v/>
      </c>
      <c r="W263" s="113">
        <f>IF(W$226="","",IF($B263="","",IFERROR(F263*$E263/100,"")))</f>
        <v/>
      </c>
      <c r="X263" s="113">
        <f>IF(X$226="","",IF($B263="","",IFERROR(G263*$E263/100,"")))</f>
        <v/>
      </c>
      <c r="Y263" s="113">
        <f>IF(Y$226="","",IF($B263="","",IFERROR(H263*$E263/100,"")))</f>
        <v/>
      </c>
      <c r="Z263" s="113">
        <f>IF(Z$226="","",IF($B263="","",IFERROR(I263*$E263/100,"")))</f>
        <v/>
      </c>
      <c r="AA263" s="113">
        <f>IF(AA$226="","",IF($B263="","",IFERROR(J263*$E263/100,"")))</f>
        <v/>
      </c>
      <c r="AB263" s="113">
        <f>IF(AB$226="","",IF($B263="","",IFERROR(K263*$E263/100,"")))</f>
        <v/>
      </c>
      <c r="AC263" s="113">
        <f>IF(AC$226="","",IF($B263="","",IFERROR(L263*$E263/100,"")))</f>
        <v/>
      </c>
      <c r="AD263" s="113">
        <f>IF(AD$226="","",IF($B263="","",IFERROR(M263*$E263/100,"")))</f>
        <v/>
      </c>
      <c r="AE263" s="113">
        <f>IF(AE$226="","",IF($B263="","",IFERROR(N263*$E263/100,"")))</f>
        <v/>
      </c>
      <c r="AF263" s="113">
        <f>IF(AF$226="","",IF($B263="","",IFERROR(O263*$E263/100,"")))</f>
        <v/>
      </c>
      <c r="AG263" s="113">
        <f>IF(AG$226="","",IF($B263="","",IFERROR(P263*$E263/100,"")))</f>
        <v/>
      </c>
      <c r="AH263" s="113">
        <f>IF(AH$226="","",IF($B263="","",IFERROR(Q263*$E263/100,"")))</f>
        <v/>
      </c>
      <c r="AI263" s="113">
        <f>IF(AI$226="","",IF($B263="","",IFERROR(R263*$E263/100,"")))</f>
        <v/>
      </c>
      <c r="AJ263" s="113">
        <f>IF(AJ$226="","",IF($B263="","",IFERROR(S263*$E263/100,"")))</f>
        <v/>
      </c>
      <c r="AK263" s="113">
        <f>IF(AK$226="","",IF($B263="","",IFERROR(T263*$E263/100,"")))</f>
        <v/>
      </c>
      <c r="AL263" s="113">
        <f>IF(AL$226="","",IF($B263="","",IFERROR(U263*$E263/100,"")))</f>
        <v/>
      </c>
    </row>
    <row r="264">
      <c r="B264" s="5">
        <f>IF(MXAU!$C$41="","",MXAU!$C$41)</f>
        <v/>
      </c>
      <c r="C264" s="86">
        <f>IF(MXAU!$B$41="","",MXAU!$B$41)</f>
        <v/>
      </c>
      <c r="D264" s="111">
        <f>IFERROR(MXAU!$Q$41,1)</f>
        <v/>
      </c>
      <c r="E264" s="112">
        <f>IF($B264="","",IF(ISNUMBER(MXAU!$I$41),MXAU!$I$41,'Index Summary'!$C$7))</f>
        <v/>
      </c>
      <c r="F264" s="113">
        <f>IF(F$226="","",IF($B264="","",IFERROR($C264*$D264*SUMIFS('Dvd Calendar'!$E$491:$CZ$491,'Dvd Calendar'!$E$490:$CZ$490,"&gt;"&amp;F$225,'Dvd Calendar'!$E$490:$CZ$490,"&lt;="&amp;F$226)/MXAU!$B$3,"")))</f>
        <v/>
      </c>
      <c r="G264" s="113">
        <f>IF(G$226="","",IF($B264="","",IFERROR($C264*$D264*SUMIFS('Dvd Calendar'!$E$491:$CZ$491,'Dvd Calendar'!$E$490:$CZ$490,"&gt;"&amp;G$225,'Dvd Calendar'!$E$490:$CZ$490,"&lt;="&amp;G$226)/MXAU!$B$3,"")))</f>
        <v/>
      </c>
      <c r="H264" s="113">
        <f>IF(H$226="","",IF($B264="","",IFERROR($C264*$D264*SUMIFS('Dvd Calendar'!$E$491:$CZ$491,'Dvd Calendar'!$E$490:$CZ$490,"&gt;"&amp;H$225,'Dvd Calendar'!$E$490:$CZ$490,"&lt;="&amp;H$226)/MXAU!$B$3,"")))</f>
        <v/>
      </c>
      <c r="I264" s="113">
        <f>IF(I$226="","",IF($B264="","",IFERROR($C264*$D264*SUMIFS('Dvd Calendar'!$E$491:$CZ$491,'Dvd Calendar'!$E$490:$CZ$490,"&gt;"&amp;I$225,'Dvd Calendar'!$E$490:$CZ$490,"&lt;="&amp;I$226)/MXAU!$B$3,"")))</f>
        <v/>
      </c>
      <c r="J264" s="113">
        <f>IF(J$226="","",IF($B264="","",IFERROR($C264*$D264*SUMIFS('Dvd Calendar'!$E$491:$CZ$491,'Dvd Calendar'!$E$490:$CZ$490,"&gt;"&amp;J$225,'Dvd Calendar'!$E$490:$CZ$490,"&lt;="&amp;J$226)/MXAU!$B$3,"")))</f>
        <v/>
      </c>
      <c r="K264" s="113">
        <f>IF(K$226="","",IF($B264="","",IFERROR($C264*$D264*SUMIFS('Dvd Calendar'!$E$491:$CZ$491,'Dvd Calendar'!$E$490:$CZ$490,"&gt;"&amp;K$225,'Dvd Calendar'!$E$490:$CZ$490,"&lt;="&amp;K$226)/MXAU!$B$3,"")))</f>
        <v/>
      </c>
      <c r="L264" s="113">
        <f>IF(L$226="","",IF($B264="","",IFERROR($C264*$D264*SUMIFS('Dvd Calendar'!$E$491:$CZ$491,'Dvd Calendar'!$E$490:$CZ$490,"&gt;"&amp;L$225,'Dvd Calendar'!$E$490:$CZ$490,"&lt;="&amp;L$226)/MXAU!$B$3,"")))</f>
        <v/>
      </c>
      <c r="M264" s="113">
        <f>IF(M$226="","",IF($B264="","",IFERROR($C264*$D264*SUMIFS('Dvd Calendar'!$E$491:$CZ$491,'Dvd Calendar'!$E$490:$CZ$490,"&gt;"&amp;M$225,'Dvd Calendar'!$E$490:$CZ$490,"&lt;="&amp;M$226)/MXAU!$B$3,"")))</f>
        <v/>
      </c>
      <c r="N264" s="113">
        <f>IF(N$226="","",IF($B264="","",IFERROR($C264*$D264*SUMIFS('Dvd Calendar'!$E$491:$CZ$491,'Dvd Calendar'!$E$490:$CZ$490,"&gt;"&amp;N$225,'Dvd Calendar'!$E$490:$CZ$490,"&lt;="&amp;N$226)/MXAU!$B$3,"")))</f>
        <v/>
      </c>
      <c r="O264" s="113">
        <f>IF(O$226="","",IF($B264="","",IFERROR($C264*$D264*SUMIFS('Dvd Calendar'!$E$491:$CZ$491,'Dvd Calendar'!$E$490:$CZ$490,"&gt;"&amp;O$225,'Dvd Calendar'!$E$490:$CZ$490,"&lt;="&amp;O$226)/MXAU!$B$3,"")))</f>
        <v/>
      </c>
      <c r="P264" s="113">
        <f>IF(P$226="","",IF($B264="","",IFERROR($C264*$D264*SUMIFS('Dvd Calendar'!$E$491:$CZ$491,'Dvd Calendar'!$E$490:$CZ$490,"&gt;"&amp;P$225,'Dvd Calendar'!$E$490:$CZ$490,"&lt;="&amp;P$226)/MXAU!$B$3,"")))</f>
        <v/>
      </c>
      <c r="Q264" s="113">
        <f>IF(Q$226="","",IF($B264="","",IFERROR($C264*$D264*SUMIFS('Dvd Calendar'!$E$491:$CZ$491,'Dvd Calendar'!$E$490:$CZ$490,"&gt;"&amp;Q$225,'Dvd Calendar'!$E$490:$CZ$490,"&lt;="&amp;Q$226)/MXAU!$B$3,"")))</f>
        <v/>
      </c>
      <c r="R264" s="113">
        <f>IF(R$226="","",IF($B264="","",IFERROR($C264*$D264*SUMIFS('Dvd Calendar'!$E$491:$CZ$491,'Dvd Calendar'!$E$490:$CZ$490,"&gt;"&amp;R$225,'Dvd Calendar'!$E$490:$CZ$490,"&lt;="&amp;R$226)/MXAU!$B$3,"")))</f>
        <v/>
      </c>
      <c r="S264" s="113">
        <f>IF(S$226="","",IF($B264="","",IFERROR($C264*$D264*SUMIFS('Dvd Calendar'!$E$491:$CZ$491,'Dvd Calendar'!$E$490:$CZ$490,"&gt;"&amp;S$225,'Dvd Calendar'!$E$490:$CZ$490,"&lt;="&amp;S$226)/MXAU!$B$3,"")))</f>
        <v/>
      </c>
      <c r="T264" s="113">
        <f>IF(T$226="","",IF($B264="","",IFERROR($C264*$D264*SUMIFS('Dvd Calendar'!$E$491:$CZ$491,'Dvd Calendar'!$E$490:$CZ$490,"&gt;"&amp;T$225,'Dvd Calendar'!$E$490:$CZ$490,"&lt;="&amp;T$226)/MXAU!$B$3,"")))</f>
        <v/>
      </c>
      <c r="U264" s="113">
        <f>IF(U$226="","",IF($B264="","",IFERROR($C264*$D264*SUMIFS('Dvd Calendar'!$E$491:$CZ$491,'Dvd Calendar'!$E$490:$CZ$490,"&gt;"&amp;U$225,'Dvd Calendar'!$E$490:$CZ$490,"&lt;="&amp;U$226)/MXAU!$B$3,"")))</f>
        <v/>
      </c>
      <c r="W264" s="113">
        <f>IF(W$226="","",IF($B264="","",IFERROR(F264*$E264/100,"")))</f>
        <v/>
      </c>
      <c r="X264" s="113">
        <f>IF(X$226="","",IF($B264="","",IFERROR(G264*$E264/100,"")))</f>
        <v/>
      </c>
      <c r="Y264" s="113">
        <f>IF(Y$226="","",IF($B264="","",IFERROR(H264*$E264/100,"")))</f>
        <v/>
      </c>
      <c r="Z264" s="113">
        <f>IF(Z$226="","",IF($B264="","",IFERROR(I264*$E264/100,"")))</f>
        <v/>
      </c>
      <c r="AA264" s="113">
        <f>IF(AA$226="","",IF($B264="","",IFERROR(J264*$E264/100,"")))</f>
        <v/>
      </c>
      <c r="AB264" s="113">
        <f>IF(AB$226="","",IF($B264="","",IFERROR(K264*$E264/100,"")))</f>
        <v/>
      </c>
      <c r="AC264" s="113">
        <f>IF(AC$226="","",IF($B264="","",IFERROR(L264*$E264/100,"")))</f>
        <v/>
      </c>
      <c r="AD264" s="113">
        <f>IF(AD$226="","",IF($B264="","",IFERROR(M264*$E264/100,"")))</f>
        <v/>
      </c>
      <c r="AE264" s="113">
        <f>IF(AE$226="","",IF($B264="","",IFERROR(N264*$E264/100,"")))</f>
        <v/>
      </c>
      <c r="AF264" s="113">
        <f>IF(AF$226="","",IF($B264="","",IFERROR(O264*$E264/100,"")))</f>
        <v/>
      </c>
      <c r="AG264" s="113">
        <f>IF(AG$226="","",IF($B264="","",IFERROR(P264*$E264/100,"")))</f>
        <v/>
      </c>
      <c r="AH264" s="113">
        <f>IF(AH$226="","",IF($B264="","",IFERROR(Q264*$E264/100,"")))</f>
        <v/>
      </c>
      <c r="AI264" s="113">
        <f>IF(AI$226="","",IF($B264="","",IFERROR(R264*$E264/100,"")))</f>
        <v/>
      </c>
      <c r="AJ264" s="113">
        <f>IF(AJ$226="","",IF($B264="","",IFERROR(S264*$E264/100,"")))</f>
        <v/>
      </c>
      <c r="AK264" s="113">
        <f>IF(AK$226="","",IF($B264="","",IFERROR(T264*$E264/100,"")))</f>
        <v/>
      </c>
      <c r="AL264" s="113">
        <f>IF(AL$226="","",IF($B264="","",IFERROR(U264*$E264/100,"")))</f>
        <v/>
      </c>
    </row>
    <row r="265">
      <c r="B265" s="5">
        <f>IF(MXAU!$C$42="","",MXAU!$C$42)</f>
        <v/>
      </c>
      <c r="C265" s="86">
        <f>IF(MXAU!$B$42="","",MXAU!$B$42)</f>
        <v/>
      </c>
      <c r="D265" s="111">
        <f>IFERROR(MXAU!$Q$42,1)</f>
        <v/>
      </c>
      <c r="E265" s="112">
        <f>IF($B265="","",IF(ISNUMBER(MXAU!$I$42),MXAU!$I$42,'Index Summary'!$C$7))</f>
        <v/>
      </c>
      <c r="F265" s="113">
        <f>IF(F$226="","",IF($B265="","",IFERROR($C265*$D265*SUMIFS('Dvd Calendar'!$E$493:$CZ$493,'Dvd Calendar'!$E$492:$CZ$492,"&gt;"&amp;F$225,'Dvd Calendar'!$E$492:$CZ$492,"&lt;="&amp;F$226)/MXAU!$B$3,"")))</f>
        <v/>
      </c>
      <c r="G265" s="113">
        <f>IF(G$226="","",IF($B265="","",IFERROR($C265*$D265*SUMIFS('Dvd Calendar'!$E$493:$CZ$493,'Dvd Calendar'!$E$492:$CZ$492,"&gt;"&amp;G$225,'Dvd Calendar'!$E$492:$CZ$492,"&lt;="&amp;G$226)/MXAU!$B$3,"")))</f>
        <v/>
      </c>
      <c r="H265" s="113">
        <f>IF(H$226="","",IF($B265="","",IFERROR($C265*$D265*SUMIFS('Dvd Calendar'!$E$493:$CZ$493,'Dvd Calendar'!$E$492:$CZ$492,"&gt;"&amp;H$225,'Dvd Calendar'!$E$492:$CZ$492,"&lt;="&amp;H$226)/MXAU!$B$3,"")))</f>
        <v/>
      </c>
      <c r="I265" s="113">
        <f>IF(I$226="","",IF($B265="","",IFERROR($C265*$D265*SUMIFS('Dvd Calendar'!$E$493:$CZ$493,'Dvd Calendar'!$E$492:$CZ$492,"&gt;"&amp;I$225,'Dvd Calendar'!$E$492:$CZ$492,"&lt;="&amp;I$226)/MXAU!$B$3,"")))</f>
        <v/>
      </c>
      <c r="J265" s="113">
        <f>IF(J$226="","",IF($B265="","",IFERROR($C265*$D265*SUMIFS('Dvd Calendar'!$E$493:$CZ$493,'Dvd Calendar'!$E$492:$CZ$492,"&gt;"&amp;J$225,'Dvd Calendar'!$E$492:$CZ$492,"&lt;="&amp;J$226)/MXAU!$B$3,"")))</f>
        <v/>
      </c>
      <c r="K265" s="113">
        <f>IF(K$226="","",IF($B265="","",IFERROR($C265*$D265*SUMIFS('Dvd Calendar'!$E$493:$CZ$493,'Dvd Calendar'!$E$492:$CZ$492,"&gt;"&amp;K$225,'Dvd Calendar'!$E$492:$CZ$492,"&lt;="&amp;K$226)/MXAU!$B$3,"")))</f>
        <v/>
      </c>
      <c r="L265" s="113">
        <f>IF(L$226="","",IF($B265="","",IFERROR($C265*$D265*SUMIFS('Dvd Calendar'!$E$493:$CZ$493,'Dvd Calendar'!$E$492:$CZ$492,"&gt;"&amp;L$225,'Dvd Calendar'!$E$492:$CZ$492,"&lt;="&amp;L$226)/MXAU!$B$3,"")))</f>
        <v/>
      </c>
      <c r="M265" s="113">
        <f>IF(M$226="","",IF($B265="","",IFERROR($C265*$D265*SUMIFS('Dvd Calendar'!$E$493:$CZ$493,'Dvd Calendar'!$E$492:$CZ$492,"&gt;"&amp;M$225,'Dvd Calendar'!$E$492:$CZ$492,"&lt;="&amp;M$226)/MXAU!$B$3,"")))</f>
        <v/>
      </c>
      <c r="N265" s="113">
        <f>IF(N$226="","",IF($B265="","",IFERROR($C265*$D265*SUMIFS('Dvd Calendar'!$E$493:$CZ$493,'Dvd Calendar'!$E$492:$CZ$492,"&gt;"&amp;N$225,'Dvd Calendar'!$E$492:$CZ$492,"&lt;="&amp;N$226)/MXAU!$B$3,"")))</f>
        <v/>
      </c>
      <c r="O265" s="113">
        <f>IF(O$226="","",IF($B265="","",IFERROR($C265*$D265*SUMIFS('Dvd Calendar'!$E$493:$CZ$493,'Dvd Calendar'!$E$492:$CZ$492,"&gt;"&amp;O$225,'Dvd Calendar'!$E$492:$CZ$492,"&lt;="&amp;O$226)/MXAU!$B$3,"")))</f>
        <v/>
      </c>
      <c r="P265" s="113">
        <f>IF(P$226="","",IF($B265="","",IFERROR($C265*$D265*SUMIFS('Dvd Calendar'!$E$493:$CZ$493,'Dvd Calendar'!$E$492:$CZ$492,"&gt;"&amp;P$225,'Dvd Calendar'!$E$492:$CZ$492,"&lt;="&amp;P$226)/MXAU!$B$3,"")))</f>
        <v/>
      </c>
      <c r="Q265" s="113">
        <f>IF(Q$226="","",IF($B265="","",IFERROR($C265*$D265*SUMIFS('Dvd Calendar'!$E$493:$CZ$493,'Dvd Calendar'!$E$492:$CZ$492,"&gt;"&amp;Q$225,'Dvd Calendar'!$E$492:$CZ$492,"&lt;="&amp;Q$226)/MXAU!$B$3,"")))</f>
        <v/>
      </c>
      <c r="R265" s="113">
        <f>IF(R$226="","",IF($B265="","",IFERROR($C265*$D265*SUMIFS('Dvd Calendar'!$E$493:$CZ$493,'Dvd Calendar'!$E$492:$CZ$492,"&gt;"&amp;R$225,'Dvd Calendar'!$E$492:$CZ$492,"&lt;="&amp;R$226)/MXAU!$B$3,"")))</f>
        <v/>
      </c>
      <c r="S265" s="113">
        <f>IF(S$226="","",IF($B265="","",IFERROR($C265*$D265*SUMIFS('Dvd Calendar'!$E$493:$CZ$493,'Dvd Calendar'!$E$492:$CZ$492,"&gt;"&amp;S$225,'Dvd Calendar'!$E$492:$CZ$492,"&lt;="&amp;S$226)/MXAU!$B$3,"")))</f>
        <v/>
      </c>
      <c r="T265" s="113">
        <f>IF(T$226="","",IF($B265="","",IFERROR($C265*$D265*SUMIFS('Dvd Calendar'!$E$493:$CZ$493,'Dvd Calendar'!$E$492:$CZ$492,"&gt;"&amp;T$225,'Dvd Calendar'!$E$492:$CZ$492,"&lt;="&amp;T$226)/MXAU!$B$3,"")))</f>
        <v/>
      </c>
      <c r="U265" s="113">
        <f>IF(U$226="","",IF($B265="","",IFERROR($C265*$D265*SUMIFS('Dvd Calendar'!$E$493:$CZ$493,'Dvd Calendar'!$E$492:$CZ$492,"&gt;"&amp;U$225,'Dvd Calendar'!$E$492:$CZ$492,"&lt;="&amp;U$226)/MXAU!$B$3,"")))</f>
        <v/>
      </c>
      <c r="W265" s="113">
        <f>IF(W$226="","",IF($B265="","",IFERROR(F265*$E265/100,"")))</f>
        <v/>
      </c>
      <c r="X265" s="113">
        <f>IF(X$226="","",IF($B265="","",IFERROR(G265*$E265/100,"")))</f>
        <v/>
      </c>
      <c r="Y265" s="113">
        <f>IF(Y$226="","",IF($B265="","",IFERROR(H265*$E265/100,"")))</f>
        <v/>
      </c>
      <c r="Z265" s="113">
        <f>IF(Z$226="","",IF($B265="","",IFERROR(I265*$E265/100,"")))</f>
        <v/>
      </c>
      <c r="AA265" s="113">
        <f>IF(AA$226="","",IF($B265="","",IFERROR(J265*$E265/100,"")))</f>
        <v/>
      </c>
      <c r="AB265" s="113">
        <f>IF(AB$226="","",IF($B265="","",IFERROR(K265*$E265/100,"")))</f>
        <v/>
      </c>
      <c r="AC265" s="113">
        <f>IF(AC$226="","",IF($B265="","",IFERROR(L265*$E265/100,"")))</f>
        <v/>
      </c>
      <c r="AD265" s="113">
        <f>IF(AD$226="","",IF($B265="","",IFERROR(M265*$E265/100,"")))</f>
        <v/>
      </c>
      <c r="AE265" s="113">
        <f>IF(AE$226="","",IF($B265="","",IFERROR(N265*$E265/100,"")))</f>
        <v/>
      </c>
      <c r="AF265" s="113">
        <f>IF(AF$226="","",IF($B265="","",IFERROR(O265*$E265/100,"")))</f>
        <v/>
      </c>
      <c r="AG265" s="113">
        <f>IF(AG$226="","",IF($B265="","",IFERROR(P265*$E265/100,"")))</f>
        <v/>
      </c>
      <c r="AH265" s="113">
        <f>IF(AH$226="","",IF($B265="","",IFERROR(Q265*$E265/100,"")))</f>
        <v/>
      </c>
      <c r="AI265" s="113">
        <f>IF(AI$226="","",IF($B265="","",IFERROR(R265*$E265/100,"")))</f>
        <v/>
      </c>
      <c r="AJ265" s="113">
        <f>IF(AJ$226="","",IF($B265="","",IFERROR(S265*$E265/100,"")))</f>
        <v/>
      </c>
      <c r="AK265" s="113">
        <f>IF(AK$226="","",IF($B265="","",IFERROR(T265*$E265/100,"")))</f>
        <v/>
      </c>
      <c r="AL265" s="113">
        <f>IF(AL$226="","",IF($B265="","",IFERROR(U265*$E265/100,"")))</f>
        <v/>
      </c>
    </row>
    <row r="266">
      <c r="B266" s="5">
        <f>IF(MXAU!$C$43="","",MXAU!$C$43)</f>
        <v/>
      </c>
      <c r="C266" s="86">
        <f>IF(MXAU!$B$43="","",MXAU!$B$43)</f>
        <v/>
      </c>
      <c r="D266" s="111">
        <f>IFERROR(MXAU!$Q$43,1)</f>
        <v/>
      </c>
      <c r="E266" s="112">
        <f>IF($B266="","",IF(ISNUMBER(MXAU!$I$43),MXAU!$I$43,'Index Summary'!$C$7))</f>
        <v/>
      </c>
      <c r="F266" s="113">
        <f>IF(F$226="","",IF($B266="","",IFERROR($C266*$D266*SUMIFS('Dvd Calendar'!$E$495:$CZ$495,'Dvd Calendar'!$E$494:$CZ$494,"&gt;"&amp;F$225,'Dvd Calendar'!$E$494:$CZ$494,"&lt;="&amp;F$226)/MXAU!$B$3,"")))</f>
        <v/>
      </c>
      <c r="G266" s="113">
        <f>IF(G$226="","",IF($B266="","",IFERROR($C266*$D266*SUMIFS('Dvd Calendar'!$E$495:$CZ$495,'Dvd Calendar'!$E$494:$CZ$494,"&gt;"&amp;G$225,'Dvd Calendar'!$E$494:$CZ$494,"&lt;="&amp;G$226)/MXAU!$B$3,"")))</f>
        <v/>
      </c>
      <c r="H266" s="113">
        <f>IF(H$226="","",IF($B266="","",IFERROR($C266*$D266*SUMIFS('Dvd Calendar'!$E$495:$CZ$495,'Dvd Calendar'!$E$494:$CZ$494,"&gt;"&amp;H$225,'Dvd Calendar'!$E$494:$CZ$494,"&lt;="&amp;H$226)/MXAU!$B$3,"")))</f>
        <v/>
      </c>
      <c r="I266" s="113">
        <f>IF(I$226="","",IF($B266="","",IFERROR($C266*$D266*SUMIFS('Dvd Calendar'!$E$495:$CZ$495,'Dvd Calendar'!$E$494:$CZ$494,"&gt;"&amp;I$225,'Dvd Calendar'!$E$494:$CZ$494,"&lt;="&amp;I$226)/MXAU!$B$3,"")))</f>
        <v/>
      </c>
      <c r="J266" s="113">
        <f>IF(J$226="","",IF($B266="","",IFERROR($C266*$D266*SUMIFS('Dvd Calendar'!$E$495:$CZ$495,'Dvd Calendar'!$E$494:$CZ$494,"&gt;"&amp;J$225,'Dvd Calendar'!$E$494:$CZ$494,"&lt;="&amp;J$226)/MXAU!$B$3,"")))</f>
        <v/>
      </c>
      <c r="K266" s="113">
        <f>IF(K$226="","",IF($B266="","",IFERROR($C266*$D266*SUMIFS('Dvd Calendar'!$E$495:$CZ$495,'Dvd Calendar'!$E$494:$CZ$494,"&gt;"&amp;K$225,'Dvd Calendar'!$E$494:$CZ$494,"&lt;="&amp;K$226)/MXAU!$B$3,"")))</f>
        <v/>
      </c>
      <c r="L266" s="113">
        <f>IF(L$226="","",IF($B266="","",IFERROR($C266*$D266*SUMIFS('Dvd Calendar'!$E$495:$CZ$495,'Dvd Calendar'!$E$494:$CZ$494,"&gt;"&amp;L$225,'Dvd Calendar'!$E$494:$CZ$494,"&lt;="&amp;L$226)/MXAU!$B$3,"")))</f>
        <v/>
      </c>
      <c r="M266" s="113">
        <f>IF(M$226="","",IF($B266="","",IFERROR($C266*$D266*SUMIFS('Dvd Calendar'!$E$495:$CZ$495,'Dvd Calendar'!$E$494:$CZ$494,"&gt;"&amp;M$225,'Dvd Calendar'!$E$494:$CZ$494,"&lt;="&amp;M$226)/MXAU!$B$3,"")))</f>
        <v/>
      </c>
      <c r="N266" s="113">
        <f>IF(N$226="","",IF($B266="","",IFERROR($C266*$D266*SUMIFS('Dvd Calendar'!$E$495:$CZ$495,'Dvd Calendar'!$E$494:$CZ$494,"&gt;"&amp;N$225,'Dvd Calendar'!$E$494:$CZ$494,"&lt;="&amp;N$226)/MXAU!$B$3,"")))</f>
        <v/>
      </c>
      <c r="O266" s="113">
        <f>IF(O$226="","",IF($B266="","",IFERROR($C266*$D266*SUMIFS('Dvd Calendar'!$E$495:$CZ$495,'Dvd Calendar'!$E$494:$CZ$494,"&gt;"&amp;O$225,'Dvd Calendar'!$E$494:$CZ$494,"&lt;="&amp;O$226)/MXAU!$B$3,"")))</f>
        <v/>
      </c>
      <c r="P266" s="113">
        <f>IF(P$226="","",IF($B266="","",IFERROR($C266*$D266*SUMIFS('Dvd Calendar'!$E$495:$CZ$495,'Dvd Calendar'!$E$494:$CZ$494,"&gt;"&amp;P$225,'Dvd Calendar'!$E$494:$CZ$494,"&lt;="&amp;P$226)/MXAU!$B$3,"")))</f>
        <v/>
      </c>
      <c r="Q266" s="113">
        <f>IF(Q$226="","",IF($B266="","",IFERROR($C266*$D266*SUMIFS('Dvd Calendar'!$E$495:$CZ$495,'Dvd Calendar'!$E$494:$CZ$494,"&gt;"&amp;Q$225,'Dvd Calendar'!$E$494:$CZ$494,"&lt;="&amp;Q$226)/MXAU!$B$3,"")))</f>
        <v/>
      </c>
      <c r="R266" s="113">
        <f>IF(R$226="","",IF($B266="","",IFERROR($C266*$D266*SUMIFS('Dvd Calendar'!$E$495:$CZ$495,'Dvd Calendar'!$E$494:$CZ$494,"&gt;"&amp;R$225,'Dvd Calendar'!$E$494:$CZ$494,"&lt;="&amp;R$226)/MXAU!$B$3,"")))</f>
        <v/>
      </c>
      <c r="S266" s="113">
        <f>IF(S$226="","",IF($B266="","",IFERROR($C266*$D266*SUMIFS('Dvd Calendar'!$E$495:$CZ$495,'Dvd Calendar'!$E$494:$CZ$494,"&gt;"&amp;S$225,'Dvd Calendar'!$E$494:$CZ$494,"&lt;="&amp;S$226)/MXAU!$B$3,"")))</f>
        <v/>
      </c>
      <c r="T266" s="113">
        <f>IF(T$226="","",IF($B266="","",IFERROR($C266*$D266*SUMIFS('Dvd Calendar'!$E$495:$CZ$495,'Dvd Calendar'!$E$494:$CZ$494,"&gt;"&amp;T$225,'Dvd Calendar'!$E$494:$CZ$494,"&lt;="&amp;T$226)/MXAU!$B$3,"")))</f>
        <v/>
      </c>
      <c r="U266" s="113">
        <f>IF(U$226="","",IF($B266="","",IFERROR($C266*$D266*SUMIFS('Dvd Calendar'!$E$495:$CZ$495,'Dvd Calendar'!$E$494:$CZ$494,"&gt;"&amp;U$225,'Dvd Calendar'!$E$494:$CZ$494,"&lt;="&amp;U$226)/MXAU!$B$3,"")))</f>
        <v/>
      </c>
      <c r="W266" s="113">
        <f>IF(W$226="","",IF($B266="","",IFERROR(F266*$E266/100,"")))</f>
        <v/>
      </c>
      <c r="X266" s="113">
        <f>IF(X$226="","",IF($B266="","",IFERROR(G266*$E266/100,"")))</f>
        <v/>
      </c>
      <c r="Y266" s="113">
        <f>IF(Y$226="","",IF($B266="","",IFERROR(H266*$E266/100,"")))</f>
        <v/>
      </c>
      <c r="Z266" s="113">
        <f>IF(Z$226="","",IF($B266="","",IFERROR(I266*$E266/100,"")))</f>
        <v/>
      </c>
      <c r="AA266" s="113">
        <f>IF(AA$226="","",IF($B266="","",IFERROR(J266*$E266/100,"")))</f>
        <v/>
      </c>
      <c r="AB266" s="113">
        <f>IF(AB$226="","",IF($B266="","",IFERROR(K266*$E266/100,"")))</f>
        <v/>
      </c>
      <c r="AC266" s="113">
        <f>IF(AC$226="","",IF($B266="","",IFERROR(L266*$E266/100,"")))</f>
        <v/>
      </c>
      <c r="AD266" s="113">
        <f>IF(AD$226="","",IF($B266="","",IFERROR(M266*$E266/100,"")))</f>
        <v/>
      </c>
      <c r="AE266" s="113">
        <f>IF(AE$226="","",IF($B266="","",IFERROR(N266*$E266/100,"")))</f>
        <v/>
      </c>
      <c r="AF266" s="113">
        <f>IF(AF$226="","",IF($B266="","",IFERROR(O266*$E266/100,"")))</f>
        <v/>
      </c>
      <c r="AG266" s="113">
        <f>IF(AG$226="","",IF($B266="","",IFERROR(P266*$E266/100,"")))</f>
        <v/>
      </c>
      <c r="AH266" s="113">
        <f>IF(AH$226="","",IF($B266="","",IFERROR(Q266*$E266/100,"")))</f>
        <v/>
      </c>
      <c r="AI266" s="113">
        <f>IF(AI$226="","",IF($B266="","",IFERROR(R266*$E266/100,"")))</f>
        <v/>
      </c>
      <c r="AJ266" s="113">
        <f>IF(AJ$226="","",IF($B266="","",IFERROR(S266*$E266/100,"")))</f>
        <v/>
      </c>
      <c r="AK266" s="113">
        <f>IF(AK$226="","",IF($B266="","",IFERROR(T266*$E266/100,"")))</f>
        <v/>
      </c>
      <c r="AL266" s="113">
        <f>IF(AL$226="","",IF($B266="","",IFERROR(U266*$E266/100,"")))</f>
        <v/>
      </c>
    </row>
    <row r="267">
      <c r="B267" s="5">
        <f>IF(MXAU!$C$44="","",MXAU!$C$44)</f>
        <v/>
      </c>
      <c r="C267" s="86">
        <f>IF(MXAU!$B$44="","",MXAU!$B$44)</f>
        <v/>
      </c>
      <c r="D267" s="111">
        <f>IFERROR(MXAU!$Q$44,1)</f>
        <v/>
      </c>
      <c r="E267" s="112">
        <f>IF($B267="","",IF(ISNUMBER(MXAU!$I$44),MXAU!$I$44,'Index Summary'!$C$7))</f>
        <v/>
      </c>
      <c r="F267" s="113">
        <f>IF(F$226="","",IF($B267="","",IFERROR($C267*$D267*SUMIFS('Dvd Calendar'!$E$497:$CZ$497,'Dvd Calendar'!$E$496:$CZ$496,"&gt;"&amp;F$225,'Dvd Calendar'!$E$496:$CZ$496,"&lt;="&amp;F$226)/MXAU!$B$3,"")))</f>
        <v/>
      </c>
      <c r="G267" s="113">
        <f>IF(G$226="","",IF($B267="","",IFERROR($C267*$D267*SUMIFS('Dvd Calendar'!$E$497:$CZ$497,'Dvd Calendar'!$E$496:$CZ$496,"&gt;"&amp;G$225,'Dvd Calendar'!$E$496:$CZ$496,"&lt;="&amp;G$226)/MXAU!$B$3,"")))</f>
        <v/>
      </c>
      <c r="H267" s="113">
        <f>IF(H$226="","",IF($B267="","",IFERROR($C267*$D267*SUMIFS('Dvd Calendar'!$E$497:$CZ$497,'Dvd Calendar'!$E$496:$CZ$496,"&gt;"&amp;H$225,'Dvd Calendar'!$E$496:$CZ$496,"&lt;="&amp;H$226)/MXAU!$B$3,"")))</f>
        <v/>
      </c>
      <c r="I267" s="113">
        <f>IF(I$226="","",IF($B267="","",IFERROR($C267*$D267*SUMIFS('Dvd Calendar'!$E$497:$CZ$497,'Dvd Calendar'!$E$496:$CZ$496,"&gt;"&amp;I$225,'Dvd Calendar'!$E$496:$CZ$496,"&lt;="&amp;I$226)/MXAU!$B$3,"")))</f>
        <v/>
      </c>
      <c r="J267" s="113">
        <f>IF(J$226="","",IF($B267="","",IFERROR($C267*$D267*SUMIFS('Dvd Calendar'!$E$497:$CZ$497,'Dvd Calendar'!$E$496:$CZ$496,"&gt;"&amp;J$225,'Dvd Calendar'!$E$496:$CZ$496,"&lt;="&amp;J$226)/MXAU!$B$3,"")))</f>
        <v/>
      </c>
      <c r="K267" s="113">
        <f>IF(K$226="","",IF($B267="","",IFERROR($C267*$D267*SUMIFS('Dvd Calendar'!$E$497:$CZ$497,'Dvd Calendar'!$E$496:$CZ$496,"&gt;"&amp;K$225,'Dvd Calendar'!$E$496:$CZ$496,"&lt;="&amp;K$226)/MXAU!$B$3,"")))</f>
        <v/>
      </c>
      <c r="L267" s="113">
        <f>IF(L$226="","",IF($B267="","",IFERROR($C267*$D267*SUMIFS('Dvd Calendar'!$E$497:$CZ$497,'Dvd Calendar'!$E$496:$CZ$496,"&gt;"&amp;L$225,'Dvd Calendar'!$E$496:$CZ$496,"&lt;="&amp;L$226)/MXAU!$B$3,"")))</f>
        <v/>
      </c>
      <c r="M267" s="113">
        <f>IF(M$226="","",IF($B267="","",IFERROR($C267*$D267*SUMIFS('Dvd Calendar'!$E$497:$CZ$497,'Dvd Calendar'!$E$496:$CZ$496,"&gt;"&amp;M$225,'Dvd Calendar'!$E$496:$CZ$496,"&lt;="&amp;M$226)/MXAU!$B$3,"")))</f>
        <v/>
      </c>
      <c r="N267" s="113">
        <f>IF(N$226="","",IF($B267="","",IFERROR($C267*$D267*SUMIFS('Dvd Calendar'!$E$497:$CZ$497,'Dvd Calendar'!$E$496:$CZ$496,"&gt;"&amp;N$225,'Dvd Calendar'!$E$496:$CZ$496,"&lt;="&amp;N$226)/MXAU!$B$3,"")))</f>
        <v/>
      </c>
      <c r="O267" s="113">
        <f>IF(O$226="","",IF($B267="","",IFERROR($C267*$D267*SUMIFS('Dvd Calendar'!$E$497:$CZ$497,'Dvd Calendar'!$E$496:$CZ$496,"&gt;"&amp;O$225,'Dvd Calendar'!$E$496:$CZ$496,"&lt;="&amp;O$226)/MXAU!$B$3,"")))</f>
        <v/>
      </c>
      <c r="P267" s="113">
        <f>IF(P$226="","",IF($B267="","",IFERROR($C267*$D267*SUMIFS('Dvd Calendar'!$E$497:$CZ$497,'Dvd Calendar'!$E$496:$CZ$496,"&gt;"&amp;P$225,'Dvd Calendar'!$E$496:$CZ$496,"&lt;="&amp;P$226)/MXAU!$B$3,"")))</f>
        <v/>
      </c>
      <c r="Q267" s="113">
        <f>IF(Q$226="","",IF($B267="","",IFERROR($C267*$D267*SUMIFS('Dvd Calendar'!$E$497:$CZ$497,'Dvd Calendar'!$E$496:$CZ$496,"&gt;"&amp;Q$225,'Dvd Calendar'!$E$496:$CZ$496,"&lt;="&amp;Q$226)/MXAU!$B$3,"")))</f>
        <v/>
      </c>
      <c r="R267" s="113">
        <f>IF(R$226="","",IF($B267="","",IFERROR($C267*$D267*SUMIFS('Dvd Calendar'!$E$497:$CZ$497,'Dvd Calendar'!$E$496:$CZ$496,"&gt;"&amp;R$225,'Dvd Calendar'!$E$496:$CZ$496,"&lt;="&amp;R$226)/MXAU!$B$3,"")))</f>
        <v/>
      </c>
      <c r="S267" s="113">
        <f>IF(S$226="","",IF($B267="","",IFERROR($C267*$D267*SUMIFS('Dvd Calendar'!$E$497:$CZ$497,'Dvd Calendar'!$E$496:$CZ$496,"&gt;"&amp;S$225,'Dvd Calendar'!$E$496:$CZ$496,"&lt;="&amp;S$226)/MXAU!$B$3,"")))</f>
        <v/>
      </c>
      <c r="T267" s="113">
        <f>IF(T$226="","",IF($B267="","",IFERROR($C267*$D267*SUMIFS('Dvd Calendar'!$E$497:$CZ$497,'Dvd Calendar'!$E$496:$CZ$496,"&gt;"&amp;T$225,'Dvd Calendar'!$E$496:$CZ$496,"&lt;="&amp;T$226)/MXAU!$B$3,"")))</f>
        <v/>
      </c>
      <c r="U267" s="113">
        <f>IF(U$226="","",IF($B267="","",IFERROR($C267*$D267*SUMIFS('Dvd Calendar'!$E$497:$CZ$497,'Dvd Calendar'!$E$496:$CZ$496,"&gt;"&amp;U$225,'Dvd Calendar'!$E$496:$CZ$496,"&lt;="&amp;U$226)/MXAU!$B$3,"")))</f>
        <v/>
      </c>
      <c r="W267" s="113">
        <f>IF(W$226="","",IF($B267="","",IFERROR(F267*$E267/100,"")))</f>
        <v/>
      </c>
      <c r="X267" s="113">
        <f>IF(X$226="","",IF($B267="","",IFERROR(G267*$E267/100,"")))</f>
        <v/>
      </c>
      <c r="Y267" s="113">
        <f>IF(Y$226="","",IF($B267="","",IFERROR(H267*$E267/100,"")))</f>
        <v/>
      </c>
      <c r="Z267" s="113">
        <f>IF(Z$226="","",IF($B267="","",IFERROR(I267*$E267/100,"")))</f>
        <v/>
      </c>
      <c r="AA267" s="113">
        <f>IF(AA$226="","",IF($B267="","",IFERROR(J267*$E267/100,"")))</f>
        <v/>
      </c>
      <c r="AB267" s="113">
        <f>IF(AB$226="","",IF($B267="","",IFERROR(K267*$E267/100,"")))</f>
        <v/>
      </c>
      <c r="AC267" s="113">
        <f>IF(AC$226="","",IF($B267="","",IFERROR(L267*$E267/100,"")))</f>
        <v/>
      </c>
      <c r="AD267" s="113">
        <f>IF(AD$226="","",IF($B267="","",IFERROR(M267*$E267/100,"")))</f>
        <v/>
      </c>
      <c r="AE267" s="113">
        <f>IF(AE$226="","",IF($B267="","",IFERROR(N267*$E267/100,"")))</f>
        <v/>
      </c>
      <c r="AF267" s="113">
        <f>IF(AF$226="","",IF($B267="","",IFERROR(O267*$E267/100,"")))</f>
        <v/>
      </c>
      <c r="AG267" s="113">
        <f>IF(AG$226="","",IF($B267="","",IFERROR(P267*$E267/100,"")))</f>
        <v/>
      </c>
      <c r="AH267" s="113">
        <f>IF(AH$226="","",IF($B267="","",IFERROR(Q267*$E267/100,"")))</f>
        <v/>
      </c>
      <c r="AI267" s="113">
        <f>IF(AI$226="","",IF($B267="","",IFERROR(R267*$E267/100,"")))</f>
        <v/>
      </c>
      <c r="AJ267" s="113">
        <f>IF(AJ$226="","",IF($B267="","",IFERROR(S267*$E267/100,"")))</f>
        <v/>
      </c>
      <c r="AK267" s="113">
        <f>IF(AK$226="","",IF($B267="","",IFERROR(T267*$E267/100,"")))</f>
        <v/>
      </c>
      <c r="AL267" s="113">
        <f>IF(AL$226="","",IF($B267="","",IFERROR(U267*$E267/100,"")))</f>
        <v/>
      </c>
    </row>
    <row r="268">
      <c r="B268" s="5">
        <f>IF(MXAU!$C$45="","",MXAU!$C$45)</f>
        <v/>
      </c>
      <c r="C268" s="86">
        <f>IF(MXAU!$B$45="","",MXAU!$B$45)</f>
        <v/>
      </c>
      <c r="D268" s="111">
        <f>IFERROR(MXAU!$Q$45,1)</f>
        <v/>
      </c>
      <c r="E268" s="112">
        <f>IF($B268="","",IF(ISNUMBER(MXAU!$I$45),MXAU!$I$45,'Index Summary'!$C$7))</f>
        <v/>
      </c>
      <c r="F268" s="113">
        <f>IF(F$226="","",IF($B268="","",IFERROR($C268*$D268*SUMIFS('Dvd Calendar'!$E$499:$CZ$499,'Dvd Calendar'!$E$498:$CZ$498,"&gt;"&amp;F$225,'Dvd Calendar'!$E$498:$CZ$498,"&lt;="&amp;F$226)/MXAU!$B$3,"")))</f>
        <v/>
      </c>
      <c r="G268" s="113">
        <f>IF(G$226="","",IF($B268="","",IFERROR($C268*$D268*SUMIFS('Dvd Calendar'!$E$499:$CZ$499,'Dvd Calendar'!$E$498:$CZ$498,"&gt;"&amp;G$225,'Dvd Calendar'!$E$498:$CZ$498,"&lt;="&amp;G$226)/MXAU!$B$3,"")))</f>
        <v/>
      </c>
      <c r="H268" s="113">
        <f>IF(H$226="","",IF($B268="","",IFERROR($C268*$D268*SUMIFS('Dvd Calendar'!$E$499:$CZ$499,'Dvd Calendar'!$E$498:$CZ$498,"&gt;"&amp;H$225,'Dvd Calendar'!$E$498:$CZ$498,"&lt;="&amp;H$226)/MXAU!$B$3,"")))</f>
        <v/>
      </c>
      <c r="I268" s="113">
        <f>IF(I$226="","",IF($B268="","",IFERROR($C268*$D268*SUMIFS('Dvd Calendar'!$E$499:$CZ$499,'Dvd Calendar'!$E$498:$CZ$498,"&gt;"&amp;I$225,'Dvd Calendar'!$E$498:$CZ$498,"&lt;="&amp;I$226)/MXAU!$B$3,"")))</f>
        <v/>
      </c>
      <c r="J268" s="113">
        <f>IF(J$226="","",IF($B268="","",IFERROR($C268*$D268*SUMIFS('Dvd Calendar'!$E$499:$CZ$499,'Dvd Calendar'!$E$498:$CZ$498,"&gt;"&amp;J$225,'Dvd Calendar'!$E$498:$CZ$498,"&lt;="&amp;J$226)/MXAU!$B$3,"")))</f>
        <v/>
      </c>
      <c r="K268" s="113">
        <f>IF(K$226="","",IF($B268="","",IFERROR($C268*$D268*SUMIFS('Dvd Calendar'!$E$499:$CZ$499,'Dvd Calendar'!$E$498:$CZ$498,"&gt;"&amp;K$225,'Dvd Calendar'!$E$498:$CZ$498,"&lt;="&amp;K$226)/MXAU!$B$3,"")))</f>
        <v/>
      </c>
      <c r="L268" s="113">
        <f>IF(L$226="","",IF($B268="","",IFERROR($C268*$D268*SUMIFS('Dvd Calendar'!$E$499:$CZ$499,'Dvd Calendar'!$E$498:$CZ$498,"&gt;"&amp;L$225,'Dvd Calendar'!$E$498:$CZ$498,"&lt;="&amp;L$226)/MXAU!$B$3,"")))</f>
        <v/>
      </c>
      <c r="M268" s="113">
        <f>IF(M$226="","",IF($B268="","",IFERROR($C268*$D268*SUMIFS('Dvd Calendar'!$E$499:$CZ$499,'Dvd Calendar'!$E$498:$CZ$498,"&gt;"&amp;M$225,'Dvd Calendar'!$E$498:$CZ$498,"&lt;="&amp;M$226)/MXAU!$B$3,"")))</f>
        <v/>
      </c>
      <c r="N268" s="113">
        <f>IF(N$226="","",IF($B268="","",IFERROR($C268*$D268*SUMIFS('Dvd Calendar'!$E$499:$CZ$499,'Dvd Calendar'!$E$498:$CZ$498,"&gt;"&amp;N$225,'Dvd Calendar'!$E$498:$CZ$498,"&lt;="&amp;N$226)/MXAU!$B$3,"")))</f>
        <v/>
      </c>
      <c r="O268" s="113">
        <f>IF(O$226="","",IF($B268="","",IFERROR($C268*$D268*SUMIFS('Dvd Calendar'!$E$499:$CZ$499,'Dvd Calendar'!$E$498:$CZ$498,"&gt;"&amp;O$225,'Dvd Calendar'!$E$498:$CZ$498,"&lt;="&amp;O$226)/MXAU!$B$3,"")))</f>
        <v/>
      </c>
      <c r="P268" s="113">
        <f>IF(P$226="","",IF($B268="","",IFERROR($C268*$D268*SUMIFS('Dvd Calendar'!$E$499:$CZ$499,'Dvd Calendar'!$E$498:$CZ$498,"&gt;"&amp;P$225,'Dvd Calendar'!$E$498:$CZ$498,"&lt;="&amp;P$226)/MXAU!$B$3,"")))</f>
        <v/>
      </c>
      <c r="Q268" s="113">
        <f>IF(Q$226="","",IF($B268="","",IFERROR($C268*$D268*SUMIFS('Dvd Calendar'!$E$499:$CZ$499,'Dvd Calendar'!$E$498:$CZ$498,"&gt;"&amp;Q$225,'Dvd Calendar'!$E$498:$CZ$498,"&lt;="&amp;Q$226)/MXAU!$B$3,"")))</f>
        <v/>
      </c>
      <c r="R268" s="113">
        <f>IF(R$226="","",IF($B268="","",IFERROR($C268*$D268*SUMIFS('Dvd Calendar'!$E$499:$CZ$499,'Dvd Calendar'!$E$498:$CZ$498,"&gt;"&amp;R$225,'Dvd Calendar'!$E$498:$CZ$498,"&lt;="&amp;R$226)/MXAU!$B$3,"")))</f>
        <v/>
      </c>
      <c r="S268" s="113">
        <f>IF(S$226="","",IF($B268="","",IFERROR($C268*$D268*SUMIFS('Dvd Calendar'!$E$499:$CZ$499,'Dvd Calendar'!$E$498:$CZ$498,"&gt;"&amp;S$225,'Dvd Calendar'!$E$498:$CZ$498,"&lt;="&amp;S$226)/MXAU!$B$3,"")))</f>
        <v/>
      </c>
      <c r="T268" s="113">
        <f>IF(T$226="","",IF($B268="","",IFERROR($C268*$D268*SUMIFS('Dvd Calendar'!$E$499:$CZ$499,'Dvd Calendar'!$E$498:$CZ$498,"&gt;"&amp;T$225,'Dvd Calendar'!$E$498:$CZ$498,"&lt;="&amp;T$226)/MXAU!$B$3,"")))</f>
        <v/>
      </c>
      <c r="U268" s="113">
        <f>IF(U$226="","",IF($B268="","",IFERROR($C268*$D268*SUMIFS('Dvd Calendar'!$E$499:$CZ$499,'Dvd Calendar'!$E$498:$CZ$498,"&gt;"&amp;U$225,'Dvd Calendar'!$E$498:$CZ$498,"&lt;="&amp;U$226)/MXAU!$B$3,"")))</f>
        <v/>
      </c>
      <c r="W268" s="113">
        <f>IF(W$226="","",IF($B268="","",IFERROR(F268*$E268/100,"")))</f>
        <v/>
      </c>
      <c r="X268" s="113">
        <f>IF(X$226="","",IF($B268="","",IFERROR(G268*$E268/100,"")))</f>
        <v/>
      </c>
      <c r="Y268" s="113">
        <f>IF(Y$226="","",IF($B268="","",IFERROR(H268*$E268/100,"")))</f>
        <v/>
      </c>
      <c r="Z268" s="113">
        <f>IF(Z$226="","",IF($B268="","",IFERROR(I268*$E268/100,"")))</f>
        <v/>
      </c>
      <c r="AA268" s="113">
        <f>IF(AA$226="","",IF($B268="","",IFERROR(J268*$E268/100,"")))</f>
        <v/>
      </c>
      <c r="AB268" s="113">
        <f>IF(AB$226="","",IF($B268="","",IFERROR(K268*$E268/100,"")))</f>
        <v/>
      </c>
      <c r="AC268" s="113">
        <f>IF(AC$226="","",IF($B268="","",IFERROR(L268*$E268/100,"")))</f>
        <v/>
      </c>
      <c r="AD268" s="113">
        <f>IF(AD$226="","",IF($B268="","",IFERROR(M268*$E268/100,"")))</f>
        <v/>
      </c>
      <c r="AE268" s="113">
        <f>IF(AE$226="","",IF($B268="","",IFERROR(N268*$E268/100,"")))</f>
        <v/>
      </c>
      <c r="AF268" s="113">
        <f>IF(AF$226="","",IF($B268="","",IFERROR(O268*$E268/100,"")))</f>
        <v/>
      </c>
      <c r="AG268" s="113">
        <f>IF(AG$226="","",IF($B268="","",IFERROR(P268*$E268/100,"")))</f>
        <v/>
      </c>
      <c r="AH268" s="113">
        <f>IF(AH$226="","",IF($B268="","",IFERROR(Q268*$E268/100,"")))</f>
        <v/>
      </c>
      <c r="AI268" s="113">
        <f>IF(AI$226="","",IF($B268="","",IFERROR(R268*$E268/100,"")))</f>
        <v/>
      </c>
      <c r="AJ268" s="113">
        <f>IF(AJ$226="","",IF($B268="","",IFERROR(S268*$E268/100,"")))</f>
        <v/>
      </c>
      <c r="AK268" s="113">
        <f>IF(AK$226="","",IF($B268="","",IFERROR(T268*$E268/100,"")))</f>
        <v/>
      </c>
      <c r="AL268" s="113">
        <f>IF(AL$226="","",IF($B268="","",IFERROR(U268*$E268/100,"")))</f>
        <v/>
      </c>
    </row>
    <row r="269">
      <c r="B269" s="5">
        <f>IF(MXAU!$C$46="","",MXAU!$C$46)</f>
        <v/>
      </c>
      <c r="C269" s="86">
        <f>IF(MXAU!$B$46="","",MXAU!$B$46)</f>
        <v/>
      </c>
      <c r="D269" s="111">
        <f>IFERROR(MXAU!$Q$46,1)</f>
        <v/>
      </c>
      <c r="E269" s="112">
        <f>IF($B269="","",IF(ISNUMBER(MXAU!$I$46),MXAU!$I$46,'Index Summary'!$C$7))</f>
        <v/>
      </c>
      <c r="F269" s="113">
        <f>IF(F$226="","",IF($B269="","",IFERROR($C269*$D269*SUMIFS('Dvd Calendar'!$E$501:$CZ$501,'Dvd Calendar'!$E$500:$CZ$500,"&gt;"&amp;F$225,'Dvd Calendar'!$E$500:$CZ$500,"&lt;="&amp;F$226)/MXAU!$B$3,"")))</f>
        <v/>
      </c>
      <c r="G269" s="113">
        <f>IF(G$226="","",IF($B269="","",IFERROR($C269*$D269*SUMIFS('Dvd Calendar'!$E$501:$CZ$501,'Dvd Calendar'!$E$500:$CZ$500,"&gt;"&amp;G$225,'Dvd Calendar'!$E$500:$CZ$500,"&lt;="&amp;G$226)/MXAU!$B$3,"")))</f>
        <v/>
      </c>
      <c r="H269" s="113">
        <f>IF(H$226="","",IF($B269="","",IFERROR($C269*$D269*SUMIFS('Dvd Calendar'!$E$501:$CZ$501,'Dvd Calendar'!$E$500:$CZ$500,"&gt;"&amp;H$225,'Dvd Calendar'!$E$500:$CZ$500,"&lt;="&amp;H$226)/MXAU!$B$3,"")))</f>
        <v/>
      </c>
      <c r="I269" s="113">
        <f>IF(I$226="","",IF($B269="","",IFERROR($C269*$D269*SUMIFS('Dvd Calendar'!$E$501:$CZ$501,'Dvd Calendar'!$E$500:$CZ$500,"&gt;"&amp;I$225,'Dvd Calendar'!$E$500:$CZ$500,"&lt;="&amp;I$226)/MXAU!$B$3,"")))</f>
        <v/>
      </c>
      <c r="J269" s="113">
        <f>IF(J$226="","",IF($B269="","",IFERROR($C269*$D269*SUMIFS('Dvd Calendar'!$E$501:$CZ$501,'Dvd Calendar'!$E$500:$CZ$500,"&gt;"&amp;J$225,'Dvd Calendar'!$E$500:$CZ$500,"&lt;="&amp;J$226)/MXAU!$B$3,"")))</f>
        <v/>
      </c>
      <c r="K269" s="113">
        <f>IF(K$226="","",IF($B269="","",IFERROR($C269*$D269*SUMIFS('Dvd Calendar'!$E$501:$CZ$501,'Dvd Calendar'!$E$500:$CZ$500,"&gt;"&amp;K$225,'Dvd Calendar'!$E$500:$CZ$500,"&lt;="&amp;K$226)/MXAU!$B$3,"")))</f>
        <v/>
      </c>
      <c r="L269" s="113">
        <f>IF(L$226="","",IF($B269="","",IFERROR($C269*$D269*SUMIFS('Dvd Calendar'!$E$501:$CZ$501,'Dvd Calendar'!$E$500:$CZ$500,"&gt;"&amp;L$225,'Dvd Calendar'!$E$500:$CZ$500,"&lt;="&amp;L$226)/MXAU!$B$3,"")))</f>
        <v/>
      </c>
      <c r="M269" s="113">
        <f>IF(M$226="","",IF($B269="","",IFERROR($C269*$D269*SUMIFS('Dvd Calendar'!$E$501:$CZ$501,'Dvd Calendar'!$E$500:$CZ$500,"&gt;"&amp;M$225,'Dvd Calendar'!$E$500:$CZ$500,"&lt;="&amp;M$226)/MXAU!$B$3,"")))</f>
        <v/>
      </c>
      <c r="N269" s="113">
        <f>IF(N$226="","",IF($B269="","",IFERROR($C269*$D269*SUMIFS('Dvd Calendar'!$E$501:$CZ$501,'Dvd Calendar'!$E$500:$CZ$500,"&gt;"&amp;N$225,'Dvd Calendar'!$E$500:$CZ$500,"&lt;="&amp;N$226)/MXAU!$B$3,"")))</f>
        <v/>
      </c>
      <c r="O269" s="113">
        <f>IF(O$226="","",IF($B269="","",IFERROR($C269*$D269*SUMIFS('Dvd Calendar'!$E$501:$CZ$501,'Dvd Calendar'!$E$500:$CZ$500,"&gt;"&amp;O$225,'Dvd Calendar'!$E$500:$CZ$500,"&lt;="&amp;O$226)/MXAU!$B$3,"")))</f>
        <v/>
      </c>
      <c r="P269" s="113">
        <f>IF(P$226="","",IF($B269="","",IFERROR($C269*$D269*SUMIFS('Dvd Calendar'!$E$501:$CZ$501,'Dvd Calendar'!$E$500:$CZ$500,"&gt;"&amp;P$225,'Dvd Calendar'!$E$500:$CZ$500,"&lt;="&amp;P$226)/MXAU!$B$3,"")))</f>
        <v/>
      </c>
      <c r="Q269" s="113">
        <f>IF(Q$226="","",IF($B269="","",IFERROR($C269*$D269*SUMIFS('Dvd Calendar'!$E$501:$CZ$501,'Dvd Calendar'!$E$500:$CZ$500,"&gt;"&amp;Q$225,'Dvd Calendar'!$E$500:$CZ$500,"&lt;="&amp;Q$226)/MXAU!$B$3,"")))</f>
        <v/>
      </c>
      <c r="R269" s="113">
        <f>IF(R$226="","",IF($B269="","",IFERROR($C269*$D269*SUMIFS('Dvd Calendar'!$E$501:$CZ$501,'Dvd Calendar'!$E$500:$CZ$500,"&gt;"&amp;R$225,'Dvd Calendar'!$E$500:$CZ$500,"&lt;="&amp;R$226)/MXAU!$B$3,"")))</f>
        <v/>
      </c>
      <c r="S269" s="113">
        <f>IF(S$226="","",IF($B269="","",IFERROR($C269*$D269*SUMIFS('Dvd Calendar'!$E$501:$CZ$501,'Dvd Calendar'!$E$500:$CZ$500,"&gt;"&amp;S$225,'Dvd Calendar'!$E$500:$CZ$500,"&lt;="&amp;S$226)/MXAU!$B$3,"")))</f>
        <v/>
      </c>
      <c r="T269" s="113">
        <f>IF(T$226="","",IF($B269="","",IFERROR($C269*$D269*SUMIFS('Dvd Calendar'!$E$501:$CZ$501,'Dvd Calendar'!$E$500:$CZ$500,"&gt;"&amp;T$225,'Dvd Calendar'!$E$500:$CZ$500,"&lt;="&amp;T$226)/MXAU!$B$3,"")))</f>
        <v/>
      </c>
      <c r="U269" s="113">
        <f>IF(U$226="","",IF($B269="","",IFERROR($C269*$D269*SUMIFS('Dvd Calendar'!$E$501:$CZ$501,'Dvd Calendar'!$E$500:$CZ$500,"&gt;"&amp;U$225,'Dvd Calendar'!$E$500:$CZ$500,"&lt;="&amp;U$226)/MXAU!$B$3,"")))</f>
        <v/>
      </c>
      <c r="W269" s="113">
        <f>IF(W$226="","",IF($B269="","",IFERROR(F269*$E269/100,"")))</f>
        <v/>
      </c>
      <c r="X269" s="113">
        <f>IF(X$226="","",IF($B269="","",IFERROR(G269*$E269/100,"")))</f>
        <v/>
      </c>
      <c r="Y269" s="113">
        <f>IF(Y$226="","",IF($B269="","",IFERROR(H269*$E269/100,"")))</f>
        <v/>
      </c>
      <c r="Z269" s="113">
        <f>IF(Z$226="","",IF($B269="","",IFERROR(I269*$E269/100,"")))</f>
        <v/>
      </c>
      <c r="AA269" s="113">
        <f>IF(AA$226="","",IF($B269="","",IFERROR(J269*$E269/100,"")))</f>
        <v/>
      </c>
      <c r="AB269" s="113">
        <f>IF(AB$226="","",IF($B269="","",IFERROR(K269*$E269/100,"")))</f>
        <v/>
      </c>
      <c r="AC269" s="113">
        <f>IF(AC$226="","",IF($B269="","",IFERROR(L269*$E269/100,"")))</f>
        <v/>
      </c>
      <c r="AD269" s="113">
        <f>IF(AD$226="","",IF($B269="","",IFERROR(M269*$E269/100,"")))</f>
        <v/>
      </c>
      <c r="AE269" s="113">
        <f>IF(AE$226="","",IF($B269="","",IFERROR(N269*$E269/100,"")))</f>
        <v/>
      </c>
      <c r="AF269" s="113">
        <f>IF(AF$226="","",IF($B269="","",IFERROR(O269*$E269/100,"")))</f>
        <v/>
      </c>
      <c r="AG269" s="113">
        <f>IF(AG$226="","",IF($B269="","",IFERROR(P269*$E269/100,"")))</f>
        <v/>
      </c>
      <c r="AH269" s="113">
        <f>IF(AH$226="","",IF($B269="","",IFERROR(Q269*$E269/100,"")))</f>
        <v/>
      </c>
      <c r="AI269" s="113">
        <f>IF(AI$226="","",IF($B269="","",IFERROR(R269*$E269/100,"")))</f>
        <v/>
      </c>
      <c r="AJ269" s="113">
        <f>IF(AJ$226="","",IF($B269="","",IFERROR(S269*$E269/100,"")))</f>
        <v/>
      </c>
      <c r="AK269" s="113">
        <f>IF(AK$226="","",IF($B269="","",IFERROR(T269*$E269/100,"")))</f>
        <v/>
      </c>
      <c r="AL269" s="113">
        <f>IF(AL$226="","",IF($B269="","",IFERROR(U269*$E269/100,"")))</f>
        <v/>
      </c>
    </row>
    <row r="270">
      <c r="B270" s="5">
        <f>IF(MXAU!$C$47="","",MXAU!$C$47)</f>
        <v/>
      </c>
      <c r="C270" s="86">
        <f>IF(MXAU!$B$47="","",MXAU!$B$47)</f>
        <v/>
      </c>
      <c r="D270" s="111">
        <f>IFERROR(MXAU!$Q$47,1)</f>
        <v/>
      </c>
      <c r="E270" s="112">
        <f>IF($B270="","",IF(ISNUMBER(MXAU!$I$47),MXAU!$I$47,'Index Summary'!$C$7))</f>
        <v/>
      </c>
      <c r="F270" s="113">
        <f>IF(F$226="","",IF($B270="","",IFERROR($C270*$D270*SUMIFS('Dvd Calendar'!$E$503:$CZ$503,'Dvd Calendar'!$E$502:$CZ$502,"&gt;"&amp;F$225,'Dvd Calendar'!$E$502:$CZ$502,"&lt;="&amp;F$226)/MXAU!$B$3,"")))</f>
        <v/>
      </c>
      <c r="G270" s="113">
        <f>IF(G$226="","",IF($B270="","",IFERROR($C270*$D270*SUMIFS('Dvd Calendar'!$E$503:$CZ$503,'Dvd Calendar'!$E$502:$CZ$502,"&gt;"&amp;G$225,'Dvd Calendar'!$E$502:$CZ$502,"&lt;="&amp;G$226)/MXAU!$B$3,"")))</f>
        <v/>
      </c>
      <c r="H270" s="113">
        <f>IF(H$226="","",IF($B270="","",IFERROR($C270*$D270*SUMIFS('Dvd Calendar'!$E$503:$CZ$503,'Dvd Calendar'!$E$502:$CZ$502,"&gt;"&amp;H$225,'Dvd Calendar'!$E$502:$CZ$502,"&lt;="&amp;H$226)/MXAU!$B$3,"")))</f>
        <v/>
      </c>
      <c r="I270" s="113">
        <f>IF(I$226="","",IF($B270="","",IFERROR($C270*$D270*SUMIFS('Dvd Calendar'!$E$503:$CZ$503,'Dvd Calendar'!$E$502:$CZ$502,"&gt;"&amp;I$225,'Dvd Calendar'!$E$502:$CZ$502,"&lt;="&amp;I$226)/MXAU!$B$3,"")))</f>
        <v/>
      </c>
      <c r="J270" s="113">
        <f>IF(J$226="","",IF($B270="","",IFERROR($C270*$D270*SUMIFS('Dvd Calendar'!$E$503:$CZ$503,'Dvd Calendar'!$E$502:$CZ$502,"&gt;"&amp;J$225,'Dvd Calendar'!$E$502:$CZ$502,"&lt;="&amp;J$226)/MXAU!$B$3,"")))</f>
        <v/>
      </c>
      <c r="K270" s="113">
        <f>IF(K$226="","",IF($B270="","",IFERROR($C270*$D270*SUMIFS('Dvd Calendar'!$E$503:$CZ$503,'Dvd Calendar'!$E$502:$CZ$502,"&gt;"&amp;K$225,'Dvd Calendar'!$E$502:$CZ$502,"&lt;="&amp;K$226)/MXAU!$B$3,"")))</f>
        <v/>
      </c>
      <c r="L270" s="113">
        <f>IF(L$226="","",IF($B270="","",IFERROR($C270*$D270*SUMIFS('Dvd Calendar'!$E$503:$CZ$503,'Dvd Calendar'!$E$502:$CZ$502,"&gt;"&amp;L$225,'Dvd Calendar'!$E$502:$CZ$502,"&lt;="&amp;L$226)/MXAU!$B$3,"")))</f>
        <v/>
      </c>
      <c r="M270" s="113">
        <f>IF(M$226="","",IF($B270="","",IFERROR($C270*$D270*SUMIFS('Dvd Calendar'!$E$503:$CZ$503,'Dvd Calendar'!$E$502:$CZ$502,"&gt;"&amp;M$225,'Dvd Calendar'!$E$502:$CZ$502,"&lt;="&amp;M$226)/MXAU!$B$3,"")))</f>
        <v/>
      </c>
      <c r="N270" s="113">
        <f>IF(N$226="","",IF($B270="","",IFERROR($C270*$D270*SUMIFS('Dvd Calendar'!$E$503:$CZ$503,'Dvd Calendar'!$E$502:$CZ$502,"&gt;"&amp;N$225,'Dvd Calendar'!$E$502:$CZ$502,"&lt;="&amp;N$226)/MXAU!$B$3,"")))</f>
        <v/>
      </c>
      <c r="O270" s="113">
        <f>IF(O$226="","",IF($B270="","",IFERROR($C270*$D270*SUMIFS('Dvd Calendar'!$E$503:$CZ$503,'Dvd Calendar'!$E$502:$CZ$502,"&gt;"&amp;O$225,'Dvd Calendar'!$E$502:$CZ$502,"&lt;="&amp;O$226)/MXAU!$B$3,"")))</f>
        <v/>
      </c>
      <c r="P270" s="113">
        <f>IF(P$226="","",IF($B270="","",IFERROR($C270*$D270*SUMIFS('Dvd Calendar'!$E$503:$CZ$503,'Dvd Calendar'!$E$502:$CZ$502,"&gt;"&amp;P$225,'Dvd Calendar'!$E$502:$CZ$502,"&lt;="&amp;P$226)/MXAU!$B$3,"")))</f>
        <v/>
      </c>
      <c r="Q270" s="113">
        <f>IF(Q$226="","",IF($B270="","",IFERROR($C270*$D270*SUMIFS('Dvd Calendar'!$E$503:$CZ$503,'Dvd Calendar'!$E$502:$CZ$502,"&gt;"&amp;Q$225,'Dvd Calendar'!$E$502:$CZ$502,"&lt;="&amp;Q$226)/MXAU!$B$3,"")))</f>
        <v/>
      </c>
      <c r="R270" s="113">
        <f>IF(R$226="","",IF($B270="","",IFERROR($C270*$D270*SUMIFS('Dvd Calendar'!$E$503:$CZ$503,'Dvd Calendar'!$E$502:$CZ$502,"&gt;"&amp;R$225,'Dvd Calendar'!$E$502:$CZ$502,"&lt;="&amp;R$226)/MXAU!$B$3,"")))</f>
        <v/>
      </c>
      <c r="S270" s="113">
        <f>IF(S$226="","",IF($B270="","",IFERROR($C270*$D270*SUMIFS('Dvd Calendar'!$E$503:$CZ$503,'Dvd Calendar'!$E$502:$CZ$502,"&gt;"&amp;S$225,'Dvd Calendar'!$E$502:$CZ$502,"&lt;="&amp;S$226)/MXAU!$B$3,"")))</f>
        <v/>
      </c>
      <c r="T270" s="113">
        <f>IF(T$226="","",IF($B270="","",IFERROR($C270*$D270*SUMIFS('Dvd Calendar'!$E$503:$CZ$503,'Dvd Calendar'!$E$502:$CZ$502,"&gt;"&amp;T$225,'Dvd Calendar'!$E$502:$CZ$502,"&lt;="&amp;T$226)/MXAU!$B$3,"")))</f>
        <v/>
      </c>
      <c r="U270" s="113">
        <f>IF(U$226="","",IF($B270="","",IFERROR($C270*$D270*SUMIFS('Dvd Calendar'!$E$503:$CZ$503,'Dvd Calendar'!$E$502:$CZ$502,"&gt;"&amp;U$225,'Dvd Calendar'!$E$502:$CZ$502,"&lt;="&amp;U$226)/MXAU!$B$3,"")))</f>
        <v/>
      </c>
      <c r="W270" s="113">
        <f>IF(W$226="","",IF($B270="","",IFERROR(F270*$E270/100,"")))</f>
        <v/>
      </c>
      <c r="X270" s="113">
        <f>IF(X$226="","",IF($B270="","",IFERROR(G270*$E270/100,"")))</f>
        <v/>
      </c>
      <c r="Y270" s="113">
        <f>IF(Y$226="","",IF($B270="","",IFERROR(H270*$E270/100,"")))</f>
        <v/>
      </c>
      <c r="Z270" s="113">
        <f>IF(Z$226="","",IF($B270="","",IFERROR(I270*$E270/100,"")))</f>
        <v/>
      </c>
      <c r="AA270" s="113">
        <f>IF(AA$226="","",IF($B270="","",IFERROR(J270*$E270/100,"")))</f>
        <v/>
      </c>
      <c r="AB270" s="113">
        <f>IF(AB$226="","",IF($B270="","",IFERROR(K270*$E270/100,"")))</f>
        <v/>
      </c>
      <c r="AC270" s="113">
        <f>IF(AC$226="","",IF($B270="","",IFERROR(L270*$E270/100,"")))</f>
        <v/>
      </c>
      <c r="AD270" s="113">
        <f>IF(AD$226="","",IF($B270="","",IFERROR(M270*$E270/100,"")))</f>
        <v/>
      </c>
      <c r="AE270" s="113">
        <f>IF(AE$226="","",IF($B270="","",IFERROR(N270*$E270/100,"")))</f>
        <v/>
      </c>
      <c r="AF270" s="113">
        <f>IF(AF$226="","",IF($B270="","",IFERROR(O270*$E270/100,"")))</f>
        <v/>
      </c>
      <c r="AG270" s="113">
        <f>IF(AG$226="","",IF($B270="","",IFERROR(P270*$E270/100,"")))</f>
        <v/>
      </c>
      <c r="AH270" s="113">
        <f>IF(AH$226="","",IF($B270="","",IFERROR(Q270*$E270/100,"")))</f>
        <v/>
      </c>
      <c r="AI270" s="113">
        <f>IF(AI$226="","",IF($B270="","",IFERROR(R270*$E270/100,"")))</f>
        <v/>
      </c>
      <c r="AJ270" s="113">
        <f>IF(AJ$226="","",IF($B270="","",IFERROR(S270*$E270/100,"")))</f>
        <v/>
      </c>
      <c r="AK270" s="113">
        <f>IF(AK$226="","",IF($B270="","",IFERROR(T270*$E270/100,"")))</f>
        <v/>
      </c>
      <c r="AL270" s="113">
        <f>IF(AL$226="","",IF($B270="","",IFERROR(U270*$E270/100,"")))</f>
        <v/>
      </c>
    </row>
    <row r="271">
      <c r="B271" s="5">
        <f>IF(MXAU!$C$48="","",MXAU!$C$48)</f>
        <v/>
      </c>
      <c r="C271" s="86">
        <f>IF(MXAU!$B$48="","",MXAU!$B$48)</f>
        <v/>
      </c>
      <c r="D271" s="111">
        <f>IFERROR(MXAU!$Q$48,1)</f>
        <v/>
      </c>
      <c r="E271" s="112">
        <f>IF($B271="","",IF(ISNUMBER(MXAU!$I$48),MXAU!$I$48,'Index Summary'!$C$7))</f>
        <v/>
      </c>
      <c r="F271" s="113">
        <f>IF(F$226="","",IF($B271="","",IFERROR($C271*$D271*SUMIFS('Dvd Calendar'!$E$505:$CZ$505,'Dvd Calendar'!$E$504:$CZ$504,"&gt;"&amp;F$225,'Dvd Calendar'!$E$504:$CZ$504,"&lt;="&amp;F$226)/MXAU!$B$3,"")))</f>
        <v/>
      </c>
      <c r="G271" s="113">
        <f>IF(G$226="","",IF($B271="","",IFERROR($C271*$D271*SUMIFS('Dvd Calendar'!$E$505:$CZ$505,'Dvd Calendar'!$E$504:$CZ$504,"&gt;"&amp;G$225,'Dvd Calendar'!$E$504:$CZ$504,"&lt;="&amp;G$226)/MXAU!$B$3,"")))</f>
        <v/>
      </c>
      <c r="H271" s="113">
        <f>IF(H$226="","",IF($B271="","",IFERROR($C271*$D271*SUMIFS('Dvd Calendar'!$E$505:$CZ$505,'Dvd Calendar'!$E$504:$CZ$504,"&gt;"&amp;H$225,'Dvd Calendar'!$E$504:$CZ$504,"&lt;="&amp;H$226)/MXAU!$B$3,"")))</f>
        <v/>
      </c>
      <c r="I271" s="113">
        <f>IF(I$226="","",IF($B271="","",IFERROR($C271*$D271*SUMIFS('Dvd Calendar'!$E$505:$CZ$505,'Dvd Calendar'!$E$504:$CZ$504,"&gt;"&amp;I$225,'Dvd Calendar'!$E$504:$CZ$504,"&lt;="&amp;I$226)/MXAU!$B$3,"")))</f>
        <v/>
      </c>
      <c r="J271" s="113">
        <f>IF(J$226="","",IF($B271="","",IFERROR($C271*$D271*SUMIFS('Dvd Calendar'!$E$505:$CZ$505,'Dvd Calendar'!$E$504:$CZ$504,"&gt;"&amp;J$225,'Dvd Calendar'!$E$504:$CZ$504,"&lt;="&amp;J$226)/MXAU!$B$3,"")))</f>
        <v/>
      </c>
      <c r="K271" s="113">
        <f>IF(K$226="","",IF($B271="","",IFERROR($C271*$D271*SUMIFS('Dvd Calendar'!$E$505:$CZ$505,'Dvd Calendar'!$E$504:$CZ$504,"&gt;"&amp;K$225,'Dvd Calendar'!$E$504:$CZ$504,"&lt;="&amp;K$226)/MXAU!$B$3,"")))</f>
        <v/>
      </c>
      <c r="L271" s="113">
        <f>IF(L$226="","",IF($B271="","",IFERROR($C271*$D271*SUMIFS('Dvd Calendar'!$E$505:$CZ$505,'Dvd Calendar'!$E$504:$CZ$504,"&gt;"&amp;L$225,'Dvd Calendar'!$E$504:$CZ$504,"&lt;="&amp;L$226)/MXAU!$B$3,"")))</f>
        <v/>
      </c>
      <c r="M271" s="113">
        <f>IF(M$226="","",IF($B271="","",IFERROR($C271*$D271*SUMIFS('Dvd Calendar'!$E$505:$CZ$505,'Dvd Calendar'!$E$504:$CZ$504,"&gt;"&amp;M$225,'Dvd Calendar'!$E$504:$CZ$504,"&lt;="&amp;M$226)/MXAU!$B$3,"")))</f>
        <v/>
      </c>
      <c r="N271" s="113">
        <f>IF(N$226="","",IF($B271="","",IFERROR($C271*$D271*SUMIFS('Dvd Calendar'!$E$505:$CZ$505,'Dvd Calendar'!$E$504:$CZ$504,"&gt;"&amp;N$225,'Dvd Calendar'!$E$504:$CZ$504,"&lt;="&amp;N$226)/MXAU!$B$3,"")))</f>
        <v/>
      </c>
      <c r="O271" s="113">
        <f>IF(O$226="","",IF($B271="","",IFERROR($C271*$D271*SUMIFS('Dvd Calendar'!$E$505:$CZ$505,'Dvd Calendar'!$E$504:$CZ$504,"&gt;"&amp;O$225,'Dvd Calendar'!$E$504:$CZ$504,"&lt;="&amp;O$226)/MXAU!$B$3,"")))</f>
        <v/>
      </c>
      <c r="P271" s="113">
        <f>IF(P$226="","",IF($B271="","",IFERROR($C271*$D271*SUMIFS('Dvd Calendar'!$E$505:$CZ$505,'Dvd Calendar'!$E$504:$CZ$504,"&gt;"&amp;P$225,'Dvd Calendar'!$E$504:$CZ$504,"&lt;="&amp;P$226)/MXAU!$B$3,"")))</f>
        <v/>
      </c>
      <c r="Q271" s="113">
        <f>IF(Q$226="","",IF($B271="","",IFERROR($C271*$D271*SUMIFS('Dvd Calendar'!$E$505:$CZ$505,'Dvd Calendar'!$E$504:$CZ$504,"&gt;"&amp;Q$225,'Dvd Calendar'!$E$504:$CZ$504,"&lt;="&amp;Q$226)/MXAU!$B$3,"")))</f>
        <v/>
      </c>
      <c r="R271" s="113">
        <f>IF(R$226="","",IF($B271="","",IFERROR($C271*$D271*SUMIFS('Dvd Calendar'!$E$505:$CZ$505,'Dvd Calendar'!$E$504:$CZ$504,"&gt;"&amp;R$225,'Dvd Calendar'!$E$504:$CZ$504,"&lt;="&amp;R$226)/MXAU!$B$3,"")))</f>
        <v/>
      </c>
      <c r="S271" s="113">
        <f>IF(S$226="","",IF($B271="","",IFERROR($C271*$D271*SUMIFS('Dvd Calendar'!$E$505:$CZ$505,'Dvd Calendar'!$E$504:$CZ$504,"&gt;"&amp;S$225,'Dvd Calendar'!$E$504:$CZ$504,"&lt;="&amp;S$226)/MXAU!$B$3,"")))</f>
        <v/>
      </c>
      <c r="T271" s="113">
        <f>IF(T$226="","",IF($B271="","",IFERROR($C271*$D271*SUMIFS('Dvd Calendar'!$E$505:$CZ$505,'Dvd Calendar'!$E$504:$CZ$504,"&gt;"&amp;T$225,'Dvd Calendar'!$E$504:$CZ$504,"&lt;="&amp;T$226)/MXAU!$B$3,"")))</f>
        <v/>
      </c>
      <c r="U271" s="113">
        <f>IF(U$226="","",IF($B271="","",IFERROR($C271*$D271*SUMIFS('Dvd Calendar'!$E$505:$CZ$505,'Dvd Calendar'!$E$504:$CZ$504,"&gt;"&amp;U$225,'Dvd Calendar'!$E$504:$CZ$504,"&lt;="&amp;U$226)/MXAU!$B$3,"")))</f>
        <v/>
      </c>
      <c r="W271" s="113">
        <f>IF(W$226="","",IF($B271="","",IFERROR(F271*$E271/100,"")))</f>
        <v/>
      </c>
      <c r="X271" s="113">
        <f>IF(X$226="","",IF($B271="","",IFERROR(G271*$E271/100,"")))</f>
        <v/>
      </c>
      <c r="Y271" s="113">
        <f>IF(Y$226="","",IF($B271="","",IFERROR(H271*$E271/100,"")))</f>
        <v/>
      </c>
      <c r="Z271" s="113">
        <f>IF(Z$226="","",IF($B271="","",IFERROR(I271*$E271/100,"")))</f>
        <v/>
      </c>
      <c r="AA271" s="113">
        <f>IF(AA$226="","",IF($B271="","",IFERROR(J271*$E271/100,"")))</f>
        <v/>
      </c>
      <c r="AB271" s="113">
        <f>IF(AB$226="","",IF($B271="","",IFERROR(K271*$E271/100,"")))</f>
        <v/>
      </c>
      <c r="AC271" s="113">
        <f>IF(AC$226="","",IF($B271="","",IFERROR(L271*$E271/100,"")))</f>
        <v/>
      </c>
      <c r="AD271" s="113">
        <f>IF(AD$226="","",IF($B271="","",IFERROR(M271*$E271/100,"")))</f>
        <v/>
      </c>
      <c r="AE271" s="113">
        <f>IF(AE$226="","",IF($B271="","",IFERROR(N271*$E271/100,"")))</f>
        <v/>
      </c>
      <c r="AF271" s="113">
        <f>IF(AF$226="","",IF($B271="","",IFERROR(O271*$E271/100,"")))</f>
        <v/>
      </c>
      <c r="AG271" s="113">
        <f>IF(AG$226="","",IF($B271="","",IFERROR(P271*$E271/100,"")))</f>
        <v/>
      </c>
      <c r="AH271" s="113">
        <f>IF(AH$226="","",IF($B271="","",IFERROR(Q271*$E271/100,"")))</f>
        <v/>
      </c>
      <c r="AI271" s="113">
        <f>IF(AI$226="","",IF($B271="","",IFERROR(R271*$E271/100,"")))</f>
        <v/>
      </c>
      <c r="AJ271" s="113">
        <f>IF(AJ$226="","",IF($B271="","",IFERROR(S271*$E271/100,"")))</f>
        <v/>
      </c>
      <c r="AK271" s="113">
        <f>IF(AK$226="","",IF($B271="","",IFERROR(T271*$E271/100,"")))</f>
        <v/>
      </c>
      <c r="AL271" s="113">
        <f>IF(AL$226="","",IF($B271="","",IFERROR(U271*$E271/100,"")))</f>
        <v/>
      </c>
    </row>
    <row r="272">
      <c r="B272" s="5">
        <f>IF(MXAU!$C$49="","",MXAU!$C$49)</f>
        <v/>
      </c>
      <c r="C272" s="86">
        <f>IF(MXAU!$B$49="","",MXAU!$B$49)</f>
        <v/>
      </c>
      <c r="D272" s="111">
        <f>IFERROR(MXAU!$Q$49,1)</f>
        <v/>
      </c>
      <c r="E272" s="112">
        <f>IF($B272="","",IF(ISNUMBER(MXAU!$I$49),MXAU!$I$49,'Index Summary'!$C$7))</f>
        <v/>
      </c>
      <c r="F272" s="113">
        <f>IF(F$226="","",IF($B272="","",IFERROR($C272*$D272*SUMIFS('Dvd Calendar'!$E$507:$CZ$507,'Dvd Calendar'!$E$506:$CZ$506,"&gt;"&amp;F$225,'Dvd Calendar'!$E$506:$CZ$506,"&lt;="&amp;F$226)/MXAU!$B$3,"")))</f>
        <v/>
      </c>
      <c r="G272" s="113">
        <f>IF(G$226="","",IF($B272="","",IFERROR($C272*$D272*SUMIFS('Dvd Calendar'!$E$507:$CZ$507,'Dvd Calendar'!$E$506:$CZ$506,"&gt;"&amp;G$225,'Dvd Calendar'!$E$506:$CZ$506,"&lt;="&amp;G$226)/MXAU!$B$3,"")))</f>
        <v/>
      </c>
      <c r="H272" s="113">
        <f>IF(H$226="","",IF($B272="","",IFERROR($C272*$D272*SUMIFS('Dvd Calendar'!$E$507:$CZ$507,'Dvd Calendar'!$E$506:$CZ$506,"&gt;"&amp;H$225,'Dvd Calendar'!$E$506:$CZ$506,"&lt;="&amp;H$226)/MXAU!$B$3,"")))</f>
        <v/>
      </c>
      <c r="I272" s="113">
        <f>IF(I$226="","",IF($B272="","",IFERROR($C272*$D272*SUMIFS('Dvd Calendar'!$E$507:$CZ$507,'Dvd Calendar'!$E$506:$CZ$506,"&gt;"&amp;I$225,'Dvd Calendar'!$E$506:$CZ$506,"&lt;="&amp;I$226)/MXAU!$B$3,"")))</f>
        <v/>
      </c>
      <c r="J272" s="113">
        <f>IF(J$226="","",IF($B272="","",IFERROR($C272*$D272*SUMIFS('Dvd Calendar'!$E$507:$CZ$507,'Dvd Calendar'!$E$506:$CZ$506,"&gt;"&amp;J$225,'Dvd Calendar'!$E$506:$CZ$506,"&lt;="&amp;J$226)/MXAU!$B$3,"")))</f>
        <v/>
      </c>
      <c r="K272" s="113">
        <f>IF(K$226="","",IF($B272="","",IFERROR($C272*$D272*SUMIFS('Dvd Calendar'!$E$507:$CZ$507,'Dvd Calendar'!$E$506:$CZ$506,"&gt;"&amp;K$225,'Dvd Calendar'!$E$506:$CZ$506,"&lt;="&amp;K$226)/MXAU!$B$3,"")))</f>
        <v/>
      </c>
      <c r="L272" s="113">
        <f>IF(L$226="","",IF($B272="","",IFERROR($C272*$D272*SUMIFS('Dvd Calendar'!$E$507:$CZ$507,'Dvd Calendar'!$E$506:$CZ$506,"&gt;"&amp;L$225,'Dvd Calendar'!$E$506:$CZ$506,"&lt;="&amp;L$226)/MXAU!$B$3,"")))</f>
        <v/>
      </c>
      <c r="M272" s="113">
        <f>IF(M$226="","",IF($B272="","",IFERROR($C272*$D272*SUMIFS('Dvd Calendar'!$E$507:$CZ$507,'Dvd Calendar'!$E$506:$CZ$506,"&gt;"&amp;M$225,'Dvd Calendar'!$E$506:$CZ$506,"&lt;="&amp;M$226)/MXAU!$B$3,"")))</f>
        <v/>
      </c>
      <c r="N272" s="113">
        <f>IF(N$226="","",IF($B272="","",IFERROR($C272*$D272*SUMIFS('Dvd Calendar'!$E$507:$CZ$507,'Dvd Calendar'!$E$506:$CZ$506,"&gt;"&amp;N$225,'Dvd Calendar'!$E$506:$CZ$506,"&lt;="&amp;N$226)/MXAU!$B$3,"")))</f>
        <v/>
      </c>
      <c r="O272" s="113">
        <f>IF(O$226="","",IF($B272="","",IFERROR($C272*$D272*SUMIFS('Dvd Calendar'!$E$507:$CZ$507,'Dvd Calendar'!$E$506:$CZ$506,"&gt;"&amp;O$225,'Dvd Calendar'!$E$506:$CZ$506,"&lt;="&amp;O$226)/MXAU!$B$3,"")))</f>
        <v/>
      </c>
      <c r="P272" s="113">
        <f>IF(P$226="","",IF($B272="","",IFERROR($C272*$D272*SUMIFS('Dvd Calendar'!$E$507:$CZ$507,'Dvd Calendar'!$E$506:$CZ$506,"&gt;"&amp;P$225,'Dvd Calendar'!$E$506:$CZ$506,"&lt;="&amp;P$226)/MXAU!$B$3,"")))</f>
        <v/>
      </c>
      <c r="Q272" s="113">
        <f>IF(Q$226="","",IF($B272="","",IFERROR($C272*$D272*SUMIFS('Dvd Calendar'!$E$507:$CZ$507,'Dvd Calendar'!$E$506:$CZ$506,"&gt;"&amp;Q$225,'Dvd Calendar'!$E$506:$CZ$506,"&lt;="&amp;Q$226)/MXAU!$B$3,"")))</f>
        <v/>
      </c>
      <c r="R272" s="113">
        <f>IF(R$226="","",IF($B272="","",IFERROR($C272*$D272*SUMIFS('Dvd Calendar'!$E$507:$CZ$507,'Dvd Calendar'!$E$506:$CZ$506,"&gt;"&amp;R$225,'Dvd Calendar'!$E$506:$CZ$506,"&lt;="&amp;R$226)/MXAU!$B$3,"")))</f>
        <v/>
      </c>
      <c r="S272" s="113">
        <f>IF(S$226="","",IF($B272="","",IFERROR($C272*$D272*SUMIFS('Dvd Calendar'!$E$507:$CZ$507,'Dvd Calendar'!$E$506:$CZ$506,"&gt;"&amp;S$225,'Dvd Calendar'!$E$506:$CZ$506,"&lt;="&amp;S$226)/MXAU!$B$3,"")))</f>
        <v/>
      </c>
      <c r="T272" s="113">
        <f>IF(T$226="","",IF($B272="","",IFERROR($C272*$D272*SUMIFS('Dvd Calendar'!$E$507:$CZ$507,'Dvd Calendar'!$E$506:$CZ$506,"&gt;"&amp;T$225,'Dvd Calendar'!$E$506:$CZ$506,"&lt;="&amp;T$226)/MXAU!$B$3,"")))</f>
        <v/>
      </c>
      <c r="U272" s="113">
        <f>IF(U$226="","",IF($B272="","",IFERROR($C272*$D272*SUMIFS('Dvd Calendar'!$E$507:$CZ$507,'Dvd Calendar'!$E$506:$CZ$506,"&gt;"&amp;U$225,'Dvd Calendar'!$E$506:$CZ$506,"&lt;="&amp;U$226)/MXAU!$B$3,"")))</f>
        <v/>
      </c>
      <c r="W272" s="113">
        <f>IF(W$226="","",IF($B272="","",IFERROR(F272*$E272/100,"")))</f>
        <v/>
      </c>
      <c r="X272" s="113">
        <f>IF(X$226="","",IF($B272="","",IFERROR(G272*$E272/100,"")))</f>
        <v/>
      </c>
      <c r="Y272" s="113">
        <f>IF(Y$226="","",IF($B272="","",IFERROR(H272*$E272/100,"")))</f>
        <v/>
      </c>
      <c r="Z272" s="113">
        <f>IF(Z$226="","",IF($B272="","",IFERROR(I272*$E272/100,"")))</f>
        <v/>
      </c>
      <c r="AA272" s="113">
        <f>IF(AA$226="","",IF($B272="","",IFERROR(J272*$E272/100,"")))</f>
        <v/>
      </c>
      <c r="AB272" s="113">
        <f>IF(AB$226="","",IF($B272="","",IFERROR(K272*$E272/100,"")))</f>
        <v/>
      </c>
      <c r="AC272" s="113">
        <f>IF(AC$226="","",IF($B272="","",IFERROR(L272*$E272/100,"")))</f>
        <v/>
      </c>
      <c r="AD272" s="113">
        <f>IF(AD$226="","",IF($B272="","",IFERROR(M272*$E272/100,"")))</f>
        <v/>
      </c>
      <c r="AE272" s="113">
        <f>IF(AE$226="","",IF($B272="","",IFERROR(N272*$E272/100,"")))</f>
        <v/>
      </c>
      <c r="AF272" s="113">
        <f>IF(AF$226="","",IF($B272="","",IFERROR(O272*$E272/100,"")))</f>
        <v/>
      </c>
      <c r="AG272" s="113">
        <f>IF(AG$226="","",IF($B272="","",IFERROR(P272*$E272/100,"")))</f>
        <v/>
      </c>
      <c r="AH272" s="113">
        <f>IF(AH$226="","",IF($B272="","",IFERROR(Q272*$E272/100,"")))</f>
        <v/>
      </c>
      <c r="AI272" s="113">
        <f>IF(AI$226="","",IF($B272="","",IFERROR(R272*$E272/100,"")))</f>
        <v/>
      </c>
      <c r="AJ272" s="113">
        <f>IF(AJ$226="","",IF($B272="","",IFERROR(S272*$E272/100,"")))</f>
        <v/>
      </c>
      <c r="AK272" s="113">
        <f>IF(AK$226="","",IF($B272="","",IFERROR(T272*$E272/100,"")))</f>
        <v/>
      </c>
      <c r="AL272" s="113">
        <f>IF(AL$226="","",IF($B272="","",IFERROR(U272*$E272/100,"")))</f>
        <v/>
      </c>
    </row>
    <row r="273">
      <c r="B273" s="5">
        <f>IF(MXAU!$C$50="","",MXAU!$C$50)</f>
        <v/>
      </c>
      <c r="C273" s="86">
        <f>IF(MXAU!$B$50="","",MXAU!$B$50)</f>
        <v/>
      </c>
      <c r="D273" s="111">
        <f>IFERROR(MXAU!$Q$50,1)</f>
        <v/>
      </c>
      <c r="E273" s="112">
        <f>IF($B273="","",IF(ISNUMBER(MXAU!$I$50),MXAU!$I$50,'Index Summary'!$C$7))</f>
        <v/>
      </c>
      <c r="F273" s="113">
        <f>IF(F$226="","",IF($B273="","",IFERROR($C273*$D273*SUMIFS('Dvd Calendar'!$E$509:$CZ$509,'Dvd Calendar'!$E$508:$CZ$508,"&gt;"&amp;F$225,'Dvd Calendar'!$E$508:$CZ$508,"&lt;="&amp;F$226)/MXAU!$B$3,"")))</f>
        <v/>
      </c>
      <c r="G273" s="113">
        <f>IF(G$226="","",IF($B273="","",IFERROR($C273*$D273*SUMIFS('Dvd Calendar'!$E$509:$CZ$509,'Dvd Calendar'!$E$508:$CZ$508,"&gt;"&amp;G$225,'Dvd Calendar'!$E$508:$CZ$508,"&lt;="&amp;G$226)/MXAU!$B$3,"")))</f>
        <v/>
      </c>
      <c r="H273" s="113">
        <f>IF(H$226="","",IF($B273="","",IFERROR($C273*$D273*SUMIFS('Dvd Calendar'!$E$509:$CZ$509,'Dvd Calendar'!$E$508:$CZ$508,"&gt;"&amp;H$225,'Dvd Calendar'!$E$508:$CZ$508,"&lt;="&amp;H$226)/MXAU!$B$3,"")))</f>
        <v/>
      </c>
      <c r="I273" s="113">
        <f>IF(I$226="","",IF($B273="","",IFERROR($C273*$D273*SUMIFS('Dvd Calendar'!$E$509:$CZ$509,'Dvd Calendar'!$E$508:$CZ$508,"&gt;"&amp;I$225,'Dvd Calendar'!$E$508:$CZ$508,"&lt;="&amp;I$226)/MXAU!$B$3,"")))</f>
        <v/>
      </c>
      <c r="J273" s="113">
        <f>IF(J$226="","",IF($B273="","",IFERROR($C273*$D273*SUMIFS('Dvd Calendar'!$E$509:$CZ$509,'Dvd Calendar'!$E$508:$CZ$508,"&gt;"&amp;J$225,'Dvd Calendar'!$E$508:$CZ$508,"&lt;="&amp;J$226)/MXAU!$B$3,"")))</f>
        <v/>
      </c>
      <c r="K273" s="113">
        <f>IF(K$226="","",IF($B273="","",IFERROR($C273*$D273*SUMIFS('Dvd Calendar'!$E$509:$CZ$509,'Dvd Calendar'!$E$508:$CZ$508,"&gt;"&amp;K$225,'Dvd Calendar'!$E$508:$CZ$508,"&lt;="&amp;K$226)/MXAU!$B$3,"")))</f>
        <v/>
      </c>
      <c r="L273" s="113">
        <f>IF(L$226="","",IF($B273="","",IFERROR($C273*$D273*SUMIFS('Dvd Calendar'!$E$509:$CZ$509,'Dvd Calendar'!$E$508:$CZ$508,"&gt;"&amp;L$225,'Dvd Calendar'!$E$508:$CZ$508,"&lt;="&amp;L$226)/MXAU!$B$3,"")))</f>
        <v/>
      </c>
      <c r="M273" s="113">
        <f>IF(M$226="","",IF($B273="","",IFERROR($C273*$D273*SUMIFS('Dvd Calendar'!$E$509:$CZ$509,'Dvd Calendar'!$E$508:$CZ$508,"&gt;"&amp;M$225,'Dvd Calendar'!$E$508:$CZ$508,"&lt;="&amp;M$226)/MXAU!$B$3,"")))</f>
        <v/>
      </c>
      <c r="N273" s="113">
        <f>IF(N$226="","",IF($B273="","",IFERROR($C273*$D273*SUMIFS('Dvd Calendar'!$E$509:$CZ$509,'Dvd Calendar'!$E$508:$CZ$508,"&gt;"&amp;N$225,'Dvd Calendar'!$E$508:$CZ$508,"&lt;="&amp;N$226)/MXAU!$B$3,"")))</f>
        <v/>
      </c>
      <c r="O273" s="113">
        <f>IF(O$226="","",IF($B273="","",IFERROR($C273*$D273*SUMIFS('Dvd Calendar'!$E$509:$CZ$509,'Dvd Calendar'!$E$508:$CZ$508,"&gt;"&amp;O$225,'Dvd Calendar'!$E$508:$CZ$508,"&lt;="&amp;O$226)/MXAU!$B$3,"")))</f>
        <v/>
      </c>
      <c r="P273" s="113">
        <f>IF(P$226="","",IF($B273="","",IFERROR($C273*$D273*SUMIFS('Dvd Calendar'!$E$509:$CZ$509,'Dvd Calendar'!$E$508:$CZ$508,"&gt;"&amp;P$225,'Dvd Calendar'!$E$508:$CZ$508,"&lt;="&amp;P$226)/MXAU!$B$3,"")))</f>
        <v/>
      </c>
      <c r="Q273" s="113">
        <f>IF(Q$226="","",IF($B273="","",IFERROR($C273*$D273*SUMIFS('Dvd Calendar'!$E$509:$CZ$509,'Dvd Calendar'!$E$508:$CZ$508,"&gt;"&amp;Q$225,'Dvd Calendar'!$E$508:$CZ$508,"&lt;="&amp;Q$226)/MXAU!$B$3,"")))</f>
        <v/>
      </c>
      <c r="R273" s="113">
        <f>IF(R$226="","",IF($B273="","",IFERROR($C273*$D273*SUMIFS('Dvd Calendar'!$E$509:$CZ$509,'Dvd Calendar'!$E$508:$CZ$508,"&gt;"&amp;R$225,'Dvd Calendar'!$E$508:$CZ$508,"&lt;="&amp;R$226)/MXAU!$B$3,"")))</f>
        <v/>
      </c>
      <c r="S273" s="113">
        <f>IF(S$226="","",IF($B273="","",IFERROR($C273*$D273*SUMIFS('Dvd Calendar'!$E$509:$CZ$509,'Dvd Calendar'!$E$508:$CZ$508,"&gt;"&amp;S$225,'Dvd Calendar'!$E$508:$CZ$508,"&lt;="&amp;S$226)/MXAU!$B$3,"")))</f>
        <v/>
      </c>
      <c r="T273" s="113">
        <f>IF(T$226="","",IF($B273="","",IFERROR($C273*$D273*SUMIFS('Dvd Calendar'!$E$509:$CZ$509,'Dvd Calendar'!$E$508:$CZ$508,"&gt;"&amp;T$225,'Dvd Calendar'!$E$508:$CZ$508,"&lt;="&amp;T$226)/MXAU!$B$3,"")))</f>
        <v/>
      </c>
      <c r="U273" s="113">
        <f>IF(U$226="","",IF($B273="","",IFERROR($C273*$D273*SUMIFS('Dvd Calendar'!$E$509:$CZ$509,'Dvd Calendar'!$E$508:$CZ$508,"&gt;"&amp;U$225,'Dvd Calendar'!$E$508:$CZ$508,"&lt;="&amp;U$226)/MXAU!$B$3,"")))</f>
        <v/>
      </c>
      <c r="W273" s="113">
        <f>IF(W$226="","",IF($B273="","",IFERROR(F273*$E273/100,"")))</f>
        <v/>
      </c>
      <c r="X273" s="113">
        <f>IF(X$226="","",IF($B273="","",IFERROR(G273*$E273/100,"")))</f>
        <v/>
      </c>
      <c r="Y273" s="113">
        <f>IF(Y$226="","",IF($B273="","",IFERROR(H273*$E273/100,"")))</f>
        <v/>
      </c>
      <c r="Z273" s="113">
        <f>IF(Z$226="","",IF($B273="","",IFERROR(I273*$E273/100,"")))</f>
        <v/>
      </c>
      <c r="AA273" s="113">
        <f>IF(AA$226="","",IF($B273="","",IFERROR(J273*$E273/100,"")))</f>
        <v/>
      </c>
      <c r="AB273" s="113">
        <f>IF(AB$226="","",IF($B273="","",IFERROR(K273*$E273/100,"")))</f>
        <v/>
      </c>
      <c r="AC273" s="113">
        <f>IF(AC$226="","",IF($B273="","",IFERROR(L273*$E273/100,"")))</f>
        <v/>
      </c>
      <c r="AD273" s="113">
        <f>IF(AD$226="","",IF($B273="","",IFERROR(M273*$E273/100,"")))</f>
        <v/>
      </c>
      <c r="AE273" s="113">
        <f>IF(AE$226="","",IF($B273="","",IFERROR(N273*$E273/100,"")))</f>
        <v/>
      </c>
      <c r="AF273" s="113">
        <f>IF(AF$226="","",IF($B273="","",IFERROR(O273*$E273/100,"")))</f>
        <v/>
      </c>
      <c r="AG273" s="113">
        <f>IF(AG$226="","",IF($B273="","",IFERROR(P273*$E273/100,"")))</f>
        <v/>
      </c>
      <c r="AH273" s="113">
        <f>IF(AH$226="","",IF($B273="","",IFERROR(Q273*$E273/100,"")))</f>
        <v/>
      </c>
      <c r="AI273" s="113">
        <f>IF(AI$226="","",IF($B273="","",IFERROR(R273*$E273/100,"")))</f>
        <v/>
      </c>
      <c r="AJ273" s="113">
        <f>IF(AJ$226="","",IF($B273="","",IFERROR(S273*$E273/100,"")))</f>
        <v/>
      </c>
      <c r="AK273" s="113">
        <f>IF(AK$226="","",IF($B273="","",IFERROR(T273*$E273/100,"")))</f>
        <v/>
      </c>
      <c r="AL273" s="113">
        <f>IF(AL$226="","",IF($B273="","",IFERROR(U273*$E273/100,"")))</f>
        <v/>
      </c>
    </row>
    <row r="274">
      <c r="B274" s="5">
        <f>IF(MXAU!$C$51="","",MXAU!$C$51)</f>
        <v/>
      </c>
      <c r="C274" s="86">
        <f>IF(MXAU!$B$51="","",MXAU!$B$51)</f>
        <v/>
      </c>
      <c r="D274" s="111">
        <f>IFERROR(MXAU!$Q$51,1)</f>
        <v/>
      </c>
      <c r="E274" s="112">
        <f>IF($B274="","",IF(ISNUMBER(MXAU!$I$51),MXAU!$I$51,'Index Summary'!$C$7))</f>
        <v/>
      </c>
      <c r="F274" s="113">
        <f>IF(F$226="","",IF($B274="","",IFERROR($C274*$D274*SUMIFS('Dvd Calendar'!$E$511:$CZ$511,'Dvd Calendar'!$E$510:$CZ$510,"&gt;"&amp;F$225,'Dvd Calendar'!$E$510:$CZ$510,"&lt;="&amp;F$226)/MXAU!$B$3,"")))</f>
        <v/>
      </c>
      <c r="G274" s="113">
        <f>IF(G$226="","",IF($B274="","",IFERROR($C274*$D274*SUMIFS('Dvd Calendar'!$E$511:$CZ$511,'Dvd Calendar'!$E$510:$CZ$510,"&gt;"&amp;G$225,'Dvd Calendar'!$E$510:$CZ$510,"&lt;="&amp;G$226)/MXAU!$B$3,"")))</f>
        <v/>
      </c>
      <c r="H274" s="113">
        <f>IF(H$226="","",IF($B274="","",IFERROR($C274*$D274*SUMIFS('Dvd Calendar'!$E$511:$CZ$511,'Dvd Calendar'!$E$510:$CZ$510,"&gt;"&amp;H$225,'Dvd Calendar'!$E$510:$CZ$510,"&lt;="&amp;H$226)/MXAU!$B$3,"")))</f>
        <v/>
      </c>
      <c r="I274" s="113">
        <f>IF(I$226="","",IF($B274="","",IFERROR($C274*$D274*SUMIFS('Dvd Calendar'!$E$511:$CZ$511,'Dvd Calendar'!$E$510:$CZ$510,"&gt;"&amp;I$225,'Dvd Calendar'!$E$510:$CZ$510,"&lt;="&amp;I$226)/MXAU!$B$3,"")))</f>
        <v/>
      </c>
      <c r="J274" s="113">
        <f>IF(J$226="","",IF($B274="","",IFERROR($C274*$D274*SUMIFS('Dvd Calendar'!$E$511:$CZ$511,'Dvd Calendar'!$E$510:$CZ$510,"&gt;"&amp;J$225,'Dvd Calendar'!$E$510:$CZ$510,"&lt;="&amp;J$226)/MXAU!$B$3,"")))</f>
        <v/>
      </c>
      <c r="K274" s="113">
        <f>IF(K$226="","",IF($B274="","",IFERROR($C274*$D274*SUMIFS('Dvd Calendar'!$E$511:$CZ$511,'Dvd Calendar'!$E$510:$CZ$510,"&gt;"&amp;K$225,'Dvd Calendar'!$E$510:$CZ$510,"&lt;="&amp;K$226)/MXAU!$B$3,"")))</f>
        <v/>
      </c>
      <c r="L274" s="113">
        <f>IF(L$226="","",IF($B274="","",IFERROR($C274*$D274*SUMIFS('Dvd Calendar'!$E$511:$CZ$511,'Dvd Calendar'!$E$510:$CZ$510,"&gt;"&amp;L$225,'Dvd Calendar'!$E$510:$CZ$510,"&lt;="&amp;L$226)/MXAU!$B$3,"")))</f>
        <v/>
      </c>
      <c r="M274" s="113">
        <f>IF(M$226="","",IF($B274="","",IFERROR($C274*$D274*SUMIFS('Dvd Calendar'!$E$511:$CZ$511,'Dvd Calendar'!$E$510:$CZ$510,"&gt;"&amp;M$225,'Dvd Calendar'!$E$510:$CZ$510,"&lt;="&amp;M$226)/MXAU!$B$3,"")))</f>
        <v/>
      </c>
      <c r="N274" s="113">
        <f>IF(N$226="","",IF($B274="","",IFERROR($C274*$D274*SUMIFS('Dvd Calendar'!$E$511:$CZ$511,'Dvd Calendar'!$E$510:$CZ$510,"&gt;"&amp;N$225,'Dvd Calendar'!$E$510:$CZ$510,"&lt;="&amp;N$226)/MXAU!$B$3,"")))</f>
        <v/>
      </c>
      <c r="O274" s="113">
        <f>IF(O$226="","",IF($B274="","",IFERROR($C274*$D274*SUMIFS('Dvd Calendar'!$E$511:$CZ$511,'Dvd Calendar'!$E$510:$CZ$510,"&gt;"&amp;O$225,'Dvd Calendar'!$E$510:$CZ$510,"&lt;="&amp;O$226)/MXAU!$B$3,"")))</f>
        <v/>
      </c>
      <c r="P274" s="113">
        <f>IF(P$226="","",IF($B274="","",IFERROR($C274*$D274*SUMIFS('Dvd Calendar'!$E$511:$CZ$511,'Dvd Calendar'!$E$510:$CZ$510,"&gt;"&amp;P$225,'Dvd Calendar'!$E$510:$CZ$510,"&lt;="&amp;P$226)/MXAU!$B$3,"")))</f>
        <v/>
      </c>
      <c r="Q274" s="113">
        <f>IF(Q$226="","",IF($B274="","",IFERROR($C274*$D274*SUMIFS('Dvd Calendar'!$E$511:$CZ$511,'Dvd Calendar'!$E$510:$CZ$510,"&gt;"&amp;Q$225,'Dvd Calendar'!$E$510:$CZ$510,"&lt;="&amp;Q$226)/MXAU!$B$3,"")))</f>
        <v/>
      </c>
      <c r="R274" s="113">
        <f>IF(R$226="","",IF($B274="","",IFERROR($C274*$D274*SUMIFS('Dvd Calendar'!$E$511:$CZ$511,'Dvd Calendar'!$E$510:$CZ$510,"&gt;"&amp;R$225,'Dvd Calendar'!$E$510:$CZ$510,"&lt;="&amp;R$226)/MXAU!$B$3,"")))</f>
        <v/>
      </c>
      <c r="S274" s="113">
        <f>IF(S$226="","",IF($B274="","",IFERROR($C274*$D274*SUMIFS('Dvd Calendar'!$E$511:$CZ$511,'Dvd Calendar'!$E$510:$CZ$510,"&gt;"&amp;S$225,'Dvd Calendar'!$E$510:$CZ$510,"&lt;="&amp;S$226)/MXAU!$B$3,"")))</f>
        <v/>
      </c>
      <c r="T274" s="113">
        <f>IF(T$226="","",IF($B274="","",IFERROR($C274*$D274*SUMIFS('Dvd Calendar'!$E$511:$CZ$511,'Dvd Calendar'!$E$510:$CZ$510,"&gt;"&amp;T$225,'Dvd Calendar'!$E$510:$CZ$510,"&lt;="&amp;T$226)/MXAU!$B$3,"")))</f>
        <v/>
      </c>
      <c r="U274" s="113">
        <f>IF(U$226="","",IF($B274="","",IFERROR($C274*$D274*SUMIFS('Dvd Calendar'!$E$511:$CZ$511,'Dvd Calendar'!$E$510:$CZ$510,"&gt;"&amp;U$225,'Dvd Calendar'!$E$510:$CZ$510,"&lt;="&amp;U$226)/MXAU!$B$3,"")))</f>
        <v/>
      </c>
      <c r="W274" s="113">
        <f>IF(W$226="","",IF($B274="","",IFERROR(F274*$E274/100,"")))</f>
        <v/>
      </c>
      <c r="X274" s="113">
        <f>IF(X$226="","",IF($B274="","",IFERROR(G274*$E274/100,"")))</f>
        <v/>
      </c>
      <c r="Y274" s="113">
        <f>IF(Y$226="","",IF($B274="","",IFERROR(H274*$E274/100,"")))</f>
        <v/>
      </c>
      <c r="Z274" s="113">
        <f>IF(Z$226="","",IF($B274="","",IFERROR(I274*$E274/100,"")))</f>
        <v/>
      </c>
      <c r="AA274" s="113">
        <f>IF(AA$226="","",IF($B274="","",IFERROR(J274*$E274/100,"")))</f>
        <v/>
      </c>
      <c r="AB274" s="113">
        <f>IF(AB$226="","",IF($B274="","",IFERROR(K274*$E274/100,"")))</f>
        <v/>
      </c>
      <c r="AC274" s="113">
        <f>IF(AC$226="","",IF($B274="","",IFERROR(L274*$E274/100,"")))</f>
        <v/>
      </c>
      <c r="AD274" s="113">
        <f>IF(AD$226="","",IF($B274="","",IFERROR(M274*$E274/100,"")))</f>
        <v/>
      </c>
      <c r="AE274" s="113">
        <f>IF(AE$226="","",IF($B274="","",IFERROR(N274*$E274/100,"")))</f>
        <v/>
      </c>
      <c r="AF274" s="113">
        <f>IF(AF$226="","",IF($B274="","",IFERROR(O274*$E274/100,"")))</f>
        <v/>
      </c>
      <c r="AG274" s="113">
        <f>IF(AG$226="","",IF($B274="","",IFERROR(P274*$E274/100,"")))</f>
        <v/>
      </c>
      <c r="AH274" s="113">
        <f>IF(AH$226="","",IF($B274="","",IFERROR(Q274*$E274/100,"")))</f>
        <v/>
      </c>
      <c r="AI274" s="113">
        <f>IF(AI$226="","",IF($B274="","",IFERROR(R274*$E274/100,"")))</f>
        <v/>
      </c>
      <c r="AJ274" s="113">
        <f>IF(AJ$226="","",IF($B274="","",IFERROR(S274*$E274/100,"")))</f>
        <v/>
      </c>
      <c r="AK274" s="113">
        <f>IF(AK$226="","",IF($B274="","",IFERROR(T274*$E274/100,"")))</f>
        <v/>
      </c>
      <c r="AL274" s="113">
        <f>IF(AL$226="","",IF($B274="","",IFERROR(U274*$E274/100,"")))</f>
        <v/>
      </c>
    </row>
    <row r="275">
      <c r="B275" s="5">
        <f>IF(MXAU!$C$52="","",MXAU!$C$52)</f>
        <v/>
      </c>
      <c r="C275" s="86">
        <f>IF(MXAU!$B$52="","",MXAU!$B$52)</f>
        <v/>
      </c>
      <c r="D275" s="111">
        <f>IFERROR(MXAU!$Q$52,1)</f>
        <v/>
      </c>
      <c r="E275" s="112">
        <f>IF($B275="","",IF(ISNUMBER(MXAU!$I$52),MXAU!$I$52,'Index Summary'!$C$7))</f>
        <v/>
      </c>
      <c r="F275" s="113">
        <f>IF(F$226="","",IF($B275="","",IFERROR($C275*$D275*SUMIFS('Dvd Calendar'!$E$513:$CZ$513,'Dvd Calendar'!$E$512:$CZ$512,"&gt;"&amp;F$225,'Dvd Calendar'!$E$512:$CZ$512,"&lt;="&amp;F$226)/MXAU!$B$3,"")))</f>
        <v/>
      </c>
      <c r="G275" s="113">
        <f>IF(G$226="","",IF($B275="","",IFERROR($C275*$D275*SUMIFS('Dvd Calendar'!$E$513:$CZ$513,'Dvd Calendar'!$E$512:$CZ$512,"&gt;"&amp;G$225,'Dvd Calendar'!$E$512:$CZ$512,"&lt;="&amp;G$226)/MXAU!$B$3,"")))</f>
        <v/>
      </c>
      <c r="H275" s="113">
        <f>IF(H$226="","",IF($B275="","",IFERROR($C275*$D275*SUMIFS('Dvd Calendar'!$E$513:$CZ$513,'Dvd Calendar'!$E$512:$CZ$512,"&gt;"&amp;H$225,'Dvd Calendar'!$E$512:$CZ$512,"&lt;="&amp;H$226)/MXAU!$B$3,"")))</f>
        <v/>
      </c>
      <c r="I275" s="113">
        <f>IF(I$226="","",IF($B275="","",IFERROR($C275*$D275*SUMIFS('Dvd Calendar'!$E$513:$CZ$513,'Dvd Calendar'!$E$512:$CZ$512,"&gt;"&amp;I$225,'Dvd Calendar'!$E$512:$CZ$512,"&lt;="&amp;I$226)/MXAU!$B$3,"")))</f>
        <v/>
      </c>
      <c r="J275" s="113">
        <f>IF(J$226="","",IF($B275="","",IFERROR($C275*$D275*SUMIFS('Dvd Calendar'!$E$513:$CZ$513,'Dvd Calendar'!$E$512:$CZ$512,"&gt;"&amp;J$225,'Dvd Calendar'!$E$512:$CZ$512,"&lt;="&amp;J$226)/MXAU!$B$3,"")))</f>
        <v/>
      </c>
      <c r="K275" s="113">
        <f>IF(K$226="","",IF($B275="","",IFERROR($C275*$D275*SUMIFS('Dvd Calendar'!$E$513:$CZ$513,'Dvd Calendar'!$E$512:$CZ$512,"&gt;"&amp;K$225,'Dvd Calendar'!$E$512:$CZ$512,"&lt;="&amp;K$226)/MXAU!$B$3,"")))</f>
        <v/>
      </c>
      <c r="L275" s="113">
        <f>IF(L$226="","",IF($B275="","",IFERROR($C275*$D275*SUMIFS('Dvd Calendar'!$E$513:$CZ$513,'Dvd Calendar'!$E$512:$CZ$512,"&gt;"&amp;L$225,'Dvd Calendar'!$E$512:$CZ$512,"&lt;="&amp;L$226)/MXAU!$B$3,"")))</f>
        <v/>
      </c>
      <c r="M275" s="113">
        <f>IF(M$226="","",IF($B275="","",IFERROR($C275*$D275*SUMIFS('Dvd Calendar'!$E$513:$CZ$513,'Dvd Calendar'!$E$512:$CZ$512,"&gt;"&amp;M$225,'Dvd Calendar'!$E$512:$CZ$512,"&lt;="&amp;M$226)/MXAU!$B$3,"")))</f>
        <v/>
      </c>
      <c r="N275" s="113">
        <f>IF(N$226="","",IF($B275="","",IFERROR($C275*$D275*SUMIFS('Dvd Calendar'!$E$513:$CZ$513,'Dvd Calendar'!$E$512:$CZ$512,"&gt;"&amp;N$225,'Dvd Calendar'!$E$512:$CZ$512,"&lt;="&amp;N$226)/MXAU!$B$3,"")))</f>
        <v/>
      </c>
      <c r="O275" s="113">
        <f>IF(O$226="","",IF($B275="","",IFERROR($C275*$D275*SUMIFS('Dvd Calendar'!$E$513:$CZ$513,'Dvd Calendar'!$E$512:$CZ$512,"&gt;"&amp;O$225,'Dvd Calendar'!$E$512:$CZ$512,"&lt;="&amp;O$226)/MXAU!$B$3,"")))</f>
        <v/>
      </c>
      <c r="P275" s="113">
        <f>IF(P$226="","",IF($B275="","",IFERROR($C275*$D275*SUMIFS('Dvd Calendar'!$E$513:$CZ$513,'Dvd Calendar'!$E$512:$CZ$512,"&gt;"&amp;P$225,'Dvd Calendar'!$E$512:$CZ$512,"&lt;="&amp;P$226)/MXAU!$B$3,"")))</f>
        <v/>
      </c>
      <c r="Q275" s="113">
        <f>IF(Q$226="","",IF($B275="","",IFERROR($C275*$D275*SUMIFS('Dvd Calendar'!$E$513:$CZ$513,'Dvd Calendar'!$E$512:$CZ$512,"&gt;"&amp;Q$225,'Dvd Calendar'!$E$512:$CZ$512,"&lt;="&amp;Q$226)/MXAU!$B$3,"")))</f>
        <v/>
      </c>
      <c r="R275" s="113">
        <f>IF(R$226="","",IF($B275="","",IFERROR($C275*$D275*SUMIFS('Dvd Calendar'!$E$513:$CZ$513,'Dvd Calendar'!$E$512:$CZ$512,"&gt;"&amp;R$225,'Dvd Calendar'!$E$512:$CZ$512,"&lt;="&amp;R$226)/MXAU!$B$3,"")))</f>
        <v/>
      </c>
      <c r="S275" s="113">
        <f>IF(S$226="","",IF($B275="","",IFERROR($C275*$D275*SUMIFS('Dvd Calendar'!$E$513:$CZ$513,'Dvd Calendar'!$E$512:$CZ$512,"&gt;"&amp;S$225,'Dvd Calendar'!$E$512:$CZ$512,"&lt;="&amp;S$226)/MXAU!$B$3,"")))</f>
        <v/>
      </c>
      <c r="T275" s="113">
        <f>IF(T$226="","",IF($B275="","",IFERROR($C275*$D275*SUMIFS('Dvd Calendar'!$E$513:$CZ$513,'Dvd Calendar'!$E$512:$CZ$512,"&gt;"&amp;T$225,'Dvd Calendar'!$E$512:$CZ$512,"&lt;="&amp;T$226)/MXAU!$B$3,"")))</f>
        <v/>
      </c>
      <c r="U275" s="113">
        <f>IF(U$226="","",IF($B275="","",IFERROR($C275*$D275*SUMIFS('Dvd Calendar'!$E$513:$CZ$513,'Dvd Calendar'!$E$512:$CZ$512,"&gt;"&amp;U$225,'Dvd Calendar'!$E$512:$CZ$512,"&lt;="&amp;U$226)/MXAU!$B$3,"")))</f>
        <v/>
      </c>
      <c r="W275" s="113">
        <f>IF(W$226="","",IF($B275="","",IFERROR(F275*$E275/100,"")))</f>
        <v/>
      </c>
      <c r="X275" s="113">
        <f>IF(X$226="","",IF($B275="","",IFERROR(G275*$E275/100,"")))</f>
        <v/>
      </c>
      <c r="Y275" s="113">
        <f>IF(Y$226="","",IF($B275="","",IFERROR(H275*$E275/100,"")))</f>
        <v/>
      </c>
      <c r="Z275" s="113">
        <f>IF(Z$226="","",IF($B275="","",IFERROR(I275*$E275/100,"")))</f>
        <v/>
      </c>
      <c r="AA275" s="113">
        <f>IF(AA$226="","",IF($B275="","",IFERROR(J275*$E275/100,"")))</f>
        <v/>
      </c>
      <c r="AB275" s="113">
        <f>IF(AB$226="","",IF($B275="","",IFERROR(K275*$E275/100,"")))</f>
        <v/>
      </c>
      <c r="AC275" s="113">
        <f>IF(AC$226="","",IF($B275="","",IFERROR(L275*$E275/100,"")))</f>
        <v/>
      </c>
      <c r="AD275" s="113">
        <f>IF(AD$226="","",IF($B275="","",IFERROR(M275*$E275/100,"")))</f>
        <v/>
      </c>
      <c r="AE275" s="113">
        <f>IF(AE$226="","",IF($B275="","",IFERROR(N275*$E275/100,"")))</f>
        <v/>
      </c>
      <c r="AF275" s="113">
        <f>IF(AF$226="","",IF($B275="","",IFERROR(O275*$E275/100,"")))</f>
        <v/>
      </c>
      <c r="AG275" s="113">
        <f>IF(AG$226="","",IF($B275="","",IFERROR(P275*$E275/100,"")))</f>
        <v/>
      </c>
      <c r="AH275" s="113">
        <f>IF(AH$226="","",IF($B275="","",IFERROR(Q275*$E275/100,"")))</f>
        <v/>
      </c>
      <c r="AI275" s="113">
        <f>IF(AI$226="","",IF($B275="","",IFERROR(R275*$E275/100,"")))</f>
        <v/>
      </c>
      <c r="AJ275" s="113">
        <f>IF(AJ$226="","",IF($B275="","",IFERROR(S275*$E275/100,"")))</f>
        <v/>
      </c>
      <c r="AK275" s="113">
        <f>IF(AK$226="","",IF($B275="","",IFERROR(T275*$E275/100,"")))</f>
        <v/>
      </c>
      <c r="AL275" s="113">
        <f>IF(AL$226="","",IF($B275="","",IFERROR(U275*$E275/100,"")))</f>
        <v/>
      </c>
    </row>
    <row r="276">
      <c r="B276" s="5">
        <f>IF(MXAU!$C$53="","",MXAU!$C$53)</f>
        <v/>
      </c>
      <c r="C276" s="86">
        <f>IF(MXAU!$B$53="","",MXAU!$B$53)</f>
        <v/>
      </c>
      <c r="D276" s="111">
        <f>IFERROR(MXAU!$Q$53,1)</f>
        <v/>
      </c>
      <c r="E276" s="112">
        <f>IF($B276="","",IF(ISNUMBER(MXAU!$I$53),MXAU!$I$53,'Index Summary'!$C$7))</f>
        <v/>
      </c>
      <c r="F276" s="113">
        <f>IF(F$226="","",IF($B276="","",IFERROR($C276*$D276*SUMIFS('Dvd Calendar'!$E$515:$CZ$515,'Dvd Calendar'!$E$514:$CZ$514,"&gt;"&amp;F$225,'Dvd Calendar'!$E$514:$CZ$514,"&lt;="&amp;F$226)/MXAU!$B$3,"")))</f>
        <v/>
      </c>
      <c r="G276" s="113">
        <f>IF(G$226="","",IF($B276="","",IFERROR($C276*$D276*SUMIFS('Dvd Calendar'!$E$515:$CZ$515,'Dvd Calendar'!$E$514:$CZ$514,"&gt;"&amp;G$225,'Dvd Calendar'!$E$514:$CZ$514,"&lt;="&amp;G$226)/MXAU!$B$3,"")))</f>
        <v/>
      </c>
      <c r="H276" s="113">
        <f>IF(H$226="","",IF($B276="","",IFERROR($C276*$D276*SUMIFS('Dvd Calendar'!$E$515:$CZ$515,'Dvd Calendar'!$E$514:$CZ$514,"&gt;"&amp;H$225,'Dvd Calendar'!$E$514:$CZ$514,"&lt;="&amp;H$226)/MXAU!$B$3,"")))</f>
        <v/>
      </c>
      <c r="I276" s="113">
        <f>IF(I$226="","",IF($B276="","",IFERROR($C276*$D276*SUMIFS('Dvd Calendar'!$E$515:$CZ$515,'Dvd Calendar'!$E$514:$CZ$514,"&gt;"&amp;I$225,'Dvd Calendar'!$E$514:$CZ$514,"&lt;="&amp;I$226)/MXAU!$B$3,"")))</f>
        <v/>
      </c>
      <c r="J276" s="113">
        <f>IF(J$226="","",IF($B276="","",IFERROR($C276*$D276*SUMIFS('Dvd Calendar'!$E$515:$CZ$515,'Dvd Calendar'!$E$514:$CZ$514,"&gt;"&amp;J$225,'Dvd Calendar'!$E$514:$CZ$514,"&lt;="&amp;J$226)/MXAU!$B$3,"")))</f>
        <v/>
      </c>
      <c r="K276" s="113">
        <f>IF(K$226="","",IF($B276="","",IFERROR($C276*$D276*SUMIFS('Dvd Calendar'!$E$515:$CZ$515,'Dvd Calendar'!$E$514:$CZ$514,"&gt;"&amp;K$225,'Dvd Calendar'!$E$514:$CZ$514,"&lt;="&amp;K$226)/MXAU!$B$3,"")))</f>
        <v/>
      </c>
      <c r="L276" s="113">
        <f>IF(L$226="","",IF($B276="","",IFERROR($C276*$D276*SUMIFS('Dvd Calendar'!$E$515:$CZ$515,'Dvd Calendar'!$E$514:$CZ$514,"&gt;"&amp;L$225,'Dvd Calendar'!$E$514:$CZ$514,"&lt;="&amp;L$226)/MXAU!$B$3,"")))</f>
        <v/>
      </c>
      <c r="M276" s="113">
        <f>IF(M$226="","",IF($B276="","",IFERROR($C276*$D276*SUMIFS('Dvd Calendar'!$E$515:$CZ$515,'Dvd Calendar'!$E$514:$CZ$514,"&gt;"&amp;M$225,'Dvd Calendar'!$E$514:$CZ$514,"&lt;="&amp;M$226)/MXAU!$B$3,"")))</f>
        <v/>
      </c>
      <c r="N276" s="113">
        <f>IF(N$226="","",IF($B276="","",IFERROR($C276*$D276*SUMIFS('Dvd Calendar'!$E$515:$CZ$515,'Dvd Calendar'!$E$514:$CZ$514,"&gt;"&amp;N$225,'Dvd Calendar'!$E$514:$CZ$514,"&lt;="&amp;N$226)/MXAU!$B$3,"")))</f>
        <v/>
      </c>
      <c r="O276" s="113">
        <f>IF(O$226="","",IF($B276="","",IFERROR($C276*$D276*SUMIFS('Dvd Calendar'!$E$515:$CZ$515,'Dvd Calendar'!$E$514:$CZ$514,"&gt;"&amp;O$225,'Dvd Calendar'!$E$514:$CZ$514,"&lt;="&amp;O$226)/MXAU!$B$3,"")))</f>
        <v/>
      </c>
      <c r="P276" s="113">
        <f>IF(P$226="","",IF($B276="","",IFERROR($C276*$D276*SUMIFS('Dvd Calendar'!$E$515:$CZ$515,'Dvd Calendar'!$E$514:$CZ$514,"&gt;"&amp;P$225,'Dvd Calendar'!$E$514:$CZ$514,"&lt;="&amp;P$226)/MXAU!$B$3,"")))</f>
        <v/>
      </c>
      <c r="Q276" s="113">
        <f>IF(Q$226="","",IF($B276="","",IFERROR($C276*$D276*SUMIFS('Dvd Calendar'!$E$515:$CZ$515,'Dvd Calendar'!$E$514:$CZ$514,"&gt;"&amp;Q$225,'Dvd Calendar'!$E$514:$CZ$514,"&lt;="&amp;Q$226)/MXAU!$B$3,"")))</f>
        <v/>
      </c>
      <c r="R276" s="113">
        <f>IF(R$226="","",IF($B276="","",IFERROR($C276*$D276*SUMIFS('Dvd Calendar'!$E$515:$CZ$515,'Dvd Calendar'!$E$514:$CZ$514,"&gt;"&amp;R$225,'Dvd Calendar'!$E$514:$CZ$514,"&lt;="&amp;R$226)/MXAU!$B$3,"")))</f>
        <v/>
      </c>
      <c r="S276" s="113">
        <f>IF(S$226="","",IF($B276="","",IFERROR($C276*$D276*SUMIFS('Dvd Calendar'!$E$515:$CZ$515,'Dvd Calendar'!$E$514:$CZ$514,"&gt;"&amp;S$225,'Dvd Calendar'!$E$514:$CZ$514,"&lt;="&amp;S$226)/MXAU!$B$3,"")))</f>
        <v/>
      </c>
      <c r="T276" s="113">
        <f>IF(T$226="","",IF($B276="","",IFERROR($C276*$D276*SUMIFS('Dvd Calendar'!$E$515:$CZ$515,'Dvd Calendar'!$E$514:$CZ$514,"&gt;"&amp;T$225,'Dvd Calendar'!$E$514:$CZ$514,"&lt;="&amp;T$226)/MXAU!$B$3,"")))</f>
        <v/>
      </c>
      <c r="U276" s="113">
        <f>IF(U$226="","",IF($B276="","",IFERROR($C276*$D276*SUMIFS('Dvd Calendar'!$E$515:$CZ$515,'Dvd Calendar'!$E$514:$CZ$514,"&gt;"&amp;U$225,'Dvd Calendar'!$E$514:$CZ$514,"&lt;="&amp;U$226)/MXAU!$B$3,"")))</f>
        <v/>
      </c>
      <c r="W276" s="113">
        <f>IF(W$226="","",IF($B276="","",IFERROR(F276*$E276/100,"")))</f>
        <v/>
      </c>
      <c r="X276" s="113">
        <f>IF(X$226="","",IF($B276="","",IFERROR(G276*$E276/100,"")))</f>
        <v/>
      </c>
      <c r="Y276" s="113">
        <f>IF(Y$226="","",IF($B276="","",IFERROR(H276*$E276/100,"")))</f>
        <v/>
      </c>
      <c r="Z276" s="113">
        <f>IF(Z$226="","",IF($B276="","",IFERROR(I276*$E276/100,"")))</f>
        <v/>
      </c>
      <c r="AA276" s="113">
        <f>IF(AA$226="","",IF($B276="","",IFERROR(J276*$E276/100,"")))</f>
        <v/>
      </c>
      <c r="AB276" s="113">
        <f>IF(AB$226="","",IF($B276="","",IFERROR(K276*$E276/100,"")))</f>
        <v/>
      </c>
      <c r="AC276" s="113">
        <f>IF(AC$226="","",IF($B276="","",IFERROR(L276*$E276/100,"")))</f>
        <v/>
      </c>
      <c r="AD276" s="113">
        <f>IF(AD$226="","",IF($B276="","",IFERROR(M276*$E276/100,"")))</f>
        <v/>
      </c>
      <c r="AE276" s="113">
        <f>IF(AE$226="","",IF($B276="","",IFERROR(N276*$E276/100,"")))</f>
        <v/>
      </c>
      <c r="AF276" s="113">
        <f>IF(AF$226="","",IF($B276="","",IFERROR(O276*$E276/100,"")))</f>
        <v/>
      </c>
      <c r="AG276" s="113">
        <f>IF(AG$226="","",IF($B276="","",IFERROR(P276*$E276/100,"")))</f>
        <v/>
      </c>
      <c r="AH276" s="113">
        <f>IF(AH$226="","",IF($B276="","",IFERROR(Q276*$E276/100,"")))</f>
        <v/>
      </c>
      <c r="AI276" s="113">
        <f>IF(AI$226="","",IF($B276="","",IFERROR(R276*$E276/100,"")))</f>
        <v/>
      </c>
      <c r="AJ276" s="113">
        <f>IF(AJ$226="","",IF($B276="","",IFERROR(S276*$E276/100,"")))</f>
        <v/>
      </c>
      <c r="AK276" s="113">
        <f>IF(AK$226="","",IF($B276="","",IFERROR(T276*$E276/100,"")))</f>
        <v/>
      </c>
      <c r="AL276" s="113">
        <f>IF(AL$226="","",IF($B276="","",IFERROR(U276*$E276/100,"")))</f>
        <v/>
      </c>
    </row>
    <row r="277">
      <c r="B277" s="5">
        <f>IF(MXAU!$C$54="","",MXAU!$C$54)</f>
        <v/>
      </c>
      <c r="C277" s="86">
        <f>IF(MXAU!$B$54="","",MXAU!$B$54)</f>
        <v/>
      </c>
      <c r="D277" s="111">
        <f>IFERROR(MXAU!$Q$54,1)</f>
        <v/>
      </c>
      <c r="E277" s="112">
        <f>IF($B277="","",IF(ISNUMBER(MXAU!$I$54),MXAU!$I$54,'Index Summary'!$C$7))</f>
        <v/>
      </c>
      <c r="F277" s="113">
        <f>IF(F$226="","",IF($B277="","",IFERROR($C277*$D277*SUMIFS('Dvd Calendar'!$E$517:$CZ$517,'Dvd Calendar'!$E$516:$CZ$516,"&gt;"&amp;F$225,'Dvd Calendar'!$E$516:$CZ$516,"&lt;="&amp;F$226)/MXAU!$B$3,"")))</f>
        <v/>
      </c>
      <c r="G277" s="113">
        <f>IF(G$226="","",IF($B277="","",IFERROR($C277*$D277*SUMIFS('Dvd Calendar'!$E$517:$CZ$517,'Dvd Calendar'!$E$516:$CZ$516,"&gt;"&amp;G$225,'Dvd Calendar'!$E$516:$CZ$516,"&lt;="&amp;G$226)/MXAU!$B$3,"")))</f>
        <v/>
      </c>
      <c r="H277" s="113">
        <f>IF(H$226="","",IF($B277="","",IFERROR($C277*$D277*SUMIFS('Dvd Calendar'!$E$517:$CZ$517,'Dvd Calendar'!$E$516:$CZ$516,"&gt;"&amp;H$225,'Dvd Calendar'!$E$516:$CZ$516,"&lt;="&amp;H$226)/MXAU!$B$3,"")))</f>
        <v/>
      </c>
      <c r="I277" s="113">
        <f>IF(I$226="","",IF($B277="","",IFERROR($C277*$D277*SUMIFS('Dvd Calendar'!$E$517:$CZ$517,'Dvd Calendar'!$E$516:$CZ$516,"&gt;"&amp;I$225,'Dvd Calendar'!$E$516:$CZ$516,"&lt;="&amp;I$226)/MXAU!$B$3,"")))</f>
        <v/>
      </c>
      <c r="J277" s="113">
        <f>IF(J$226="","",IF($B277="","",IFERROR($C277*$D277*SUMIFS('Dvd Calendar'!$E$517:$CZ$517,'Dvd Calendar'!$E$516:$CZ$516,"&gt;"&amp;J$225,'Dvd Calendar'!$E$516:$CZ$516,"&lt;="&amp;J$226)/MXAU!$B$3,"")))</f>
        <v/>
      </c>
      <c r="K277" s="113">
        <f>IF(K$226="","",IF($B277="","",IFERROR($C277*$D277*SUMIFS('Dvd Calendar'!$E$517:$CZ$517,'Dvd Calendar'!$E$516:$CZ$516,"&gt;"&amp;K$225,'Dvd Calendar'!$E$516:$CZ$516,"&lt;="&amp;K$226)/MXAU!$B$3,"")))</f>
        <v/>
      </c>
      <c r="L277" s="113">
        <f>IF(L$226="","",IF($B277="","",IFERROR($C277*$D277*SUMIFS('Dvd Calendar'!$E$517:$CZ$517,'Dvd Calendar'!$E$516:$CZ$516,"&gt;"&amp;L$225,'Dvd Calendar'!$E$516:$CZ$516,"&lt;="&amp;L$226)/MXAU!$B$3,"")))</f>
        <v/>
      </c>
      <c r="M277" s="113">
        <f>IF(M$226="","",IF($B277="","",IFERROR($C277*$D277*SUMIFS('Dvd Calendar'!$E$517:$CZ$517,'Dvd Calendar'!$E$516:$CZ$516,"&gt;"&amp;M$225,'Dvd Calendar'!$E$516:$CZ$516,"&lt;="&amp;M$226)/MXAU!$B$3,"")))</f>
        <v/>
      </c>
      <c r="N277" s="113">
        <f>IF(N$226="","",IF($B277="","",IFERROR($C277*$D277*SUMIFS('Dvd Calendar'!$E$517:$CZ$517,'Dvd Calendar'!$E$516:$CZ$516,"&gt;"&amp;N$225,'Dvd Calendar'!$E$516:$CZ$516,"&lt;="&amp;N$226)/MXAU!$B$3,"")))</f>
        <v/>
      </c>
      <c r="O277" s="113">
        <f>IF(O$226="","",IF($B277="","",IFERROR($C277*$D277*SUMIFS('Dvd Calendar'!$E$517:$CZ$517,'Dvd Calendar'!$E$516:$CZ$516,"&gt;"&amp;O$225,'Dvd Calendar'!$E$516:$CZ$516,"&lt;="&amp;O$226)/MXAU!$B$3,"")))</f>
        <v/>
      </c>
      <c r="P277" s="113">
        <f>IF(P$226="","",IF($B277="","",IFERROR($C277*$D277*SUMIFS('Dvd Calendar'!$E$517:$CZ$517,'Dvd Calendar'!$E$516:$CZ$516,"&gt;"&amp;P$225,'Dvd Calendar'!$E$516:$CZ$516,"&lt;="&amp;P$226)/MXAU!$B$3,"")))</f>
        <v/>
      </c>
      <c r="Q277" s="113">
        <f>IF(Q$226="","",IF($B277="","",IFERROR($C277*$D277*SUMIFS('Dvd Calendar'!$E$517:$CZ$517,'Dvd Calendar'!$E$516:$CZ$516,"&gt;"&amp;Q$225,'Dvd Calendar'!$E$516:$CZ$516,"&lt;="&amp;Q$226)/MXAU!$B$3,"")))</f>
        <v/>
      </c>
      <c r="R277" s="113">
        <f>IF(R$226="","",IF($B277="","",IFERROR($C277*$D277*SUMIFS('Dvd Calendar'!$E$517:$CZ$517,'Dvd Calendar'!$E$516:$CZ$516,"&gt;"&amp;R$225,'Dvd Calendar'!$E$516:$CZ$516,"&lt;="&amp;R$226)/MXAU!$B$3,"")))</f>
        <v/>
      </c>
      <c r="S277" s="113">
        <f>IF(S$226="","",IF($B277="","",IFERROR($C277*$D277*SUMIFS('Dvd Calendar'!$E$517:$CZ$517,'Dvd Calendar'!$E$516:$CZ$516,"&gt;"&amp;S$225,'Dvd Calendar'!$E$516:$CZ$516,"&lt;="&amp;S$226)/MXAU!$B$3,"")))</f>
        <v/>
      </c>
      <c r="T277" s="113">
        <f>IF(T$226="","",IF($B277="","",IFERROR($C277*$D277*SUMIFS('Dvd Calendar'!$E$517:$CZ$517,'Dvd Calendar'!$E$516:$CZ$516,"&gt;"&amp;T$225,'Dvd Calendar'!$E$516:$CZ$516,"&lt;="&amp;T$226)/MXAU!$B$3,"")))</f>
        <v/>
      </c>
      <c r="U277" s="113">
        <f>IF(U$226="","",IF($B277="","",IFERROR($C277*$D277*SUMIFS('Dvd Calendar'!$E$517:$CZ$517,'Dvd Calendar'!$E$516:$CZ$516,"&gt;"&amp;U$225,'Dvd Calendar'!$E$516:$CZ$516,"&lt;="&amp;U$226)/MXAU!$B$3,"")))</f>
        <v/>
      </c>
      <c r="W277" s="113">
        <f>IF(W$226="","",IF($B277="","",IFERROR(F277*$E277/100,"")))</f>
        <v/>
      </c>
      <c r="X277" s="113">
        <f>IF(X$226="","",IF($B277="","",IFERROR(G277*$E277/100,"")))</f>
        <v/>
      </c>
      <c r="Y277" s="113">
        <f>IF(Y$226="","",IF($B277="","",IFERROR(H277*$E277/100,"")))</f>
        <v/>
      </c>
      <c r="Z277" s="113">
        <f>IF(Z$226="","",IF($B277="","",IFERROR(I277*$E277/100,"")))</f>
        <v/>
      </c>
      <c r="AA277" s="113">
        <f>IF(AA$226="","",IF($B277="","",IFERROR(J277*$E277/100,"")))</f>
        <v/>
      </c>
      <c r="AB277" s="113">
        <f>IF(AB$226="","",IF($B277="","",IFERROR(K277*$E277/100,"")))</f>
        <v/>
      </c>
      <c r="AC277" s="113">
        <f>IF(AC$226="","",IF($B277="","",IFERROR(L277*$E277/100,"")))</f>
        <v/>
      </c>
      <c r="AD277" s="113">
        <f>IF(AD$226="","",IF($B277="","",IFERROR(M277*$E277/100,"")))</f>
        <v/>
      </c>
      <c r="AE277" s="113">
        <f>IF(AE$226="","",IF($B277="","",IFERROR(N277*$E277/100,"")))</f>
        <v/>
      </c>
      <c r="AF277" s="113">
        <f>IF(AF$226="","",IF($B277="","",IFERROR(O277*$E277/100,"")))</f>
        <v/>
      </c>
      <c r="AG277" s="113">
        <f>IF(AG$226="","",IF($B277="","",IFERROR(P277*$E277/100,"")))</f>
        <v/>
      </c>
      <c r="AH277" s="113">
        <f>IF(AH$226="","",IF($B277="","",IFERROR(Q277*$E277/100,"")))</f>
        <v/>
      </c>
      <c r="AI277" s="113">
        <f>IF(AI$226="","",IF($B277="","",IFERROR(R277*$E277/100,"")))</f>
        <v/>
      </c>
      <c r="AJ277" s="113">
        <f>IF(AJ$226="","",IF($B277="","",IFERROR(S277*$E277/100,"")))</f>
        <v/>
      </c>
      <c r="AK277" s="113">
        <f>IF(AK$226="","",IF($B277="","",IFERROR(T277*$E277/100,"")))</f>
        <v/>
      </c>
      <c r="AL277" s="113">
        <f>IF(AL$226="","",IF($B277="","",IFERROR(U277*$E277/100,"")))</f>
        <v/>
      </c>
    </row>
    <row r="278">
      <c r="B278" s="5">
        <f>IF(MXAU!$C$55="","",MXAU!$C$55)</f>
        <v/>
      </c>
      <c r="C278" s="86">
        <f>IF(MXAU!$B$55="","",MXAU!$B$55)</f>
        <v/>
      </c>
      <c r="D278" s="111">
        <f>IFERROR(MXAU!$Q$55,1)</f>
        <v/>
      </c>
      <c r="E278" s="112">
        <f>IF($B278="","",IF(ISNUMBER(MXAU!$I$55),MXAU!$I$55,'Index Summary'!$C$7))</f>
        <v/>
      </c>
      <c r="F278" s="113">
        <f>IF(F$226="","",IF($B278="","",IFERROR($C278*$D278*SUMIFS('Dvd Calendar'!$E$519:$CZ$519,'Dvd Calendar'!$E$518:$CZ$518,"&gt;"&amp;F$225,'Dvd Calendar'!$E$518:$CZ$518,"&lt;="&amp;F$226)/MXAU!$B$3,"")))</f>
        <v/>
      </c>
      <c r="G278" s="113">
        <f>IF(G$226="","",IF($B278="","",IFERROR($C278*$D278*SUMIFS('Dvd Calendar'!$E$519:$CZ$519,'Dvd Calendar'!$E$518:$CZ$518,"&gt;"&amp;G$225,'Dvd Calendar'!$E$518:$CZ$518,"&lt;="&amp;G$226)/MXAU!$B$3,"")))</f>
        <v/>
      </c>
      <c r="H278" s="113">
        <f>IF(H$226="","",IF($B278="","",IFERROR($C278*$D278*SUMIFS('Dvd Calendar'!$E$519:$CZ$519,'Dvd Calendar'!$E$518:$CZ$518,"&gt;"&amp;H$225,'Dvd Calendar'!$E$518:$CZ$518,"&lt;="&amp;H$226)/MXAU!$B$3,"")))</f>
        <v/>
      </c>
      <c r="I278" s="113">
        <f>IF(I$226="","",IF($B278="","",IFERROR($C278*$D278*SUMIFS('Dvd Calendar'!$E$519:$CZ$519,'Dvd Calendar'!$E$518:$CZ$518,"&gt;"&amp;I$225,'Dvd Calendar'!$E$518:$CZ$518,"&lt;="&amp;I$226)/MXAU!$B$3,"")))</f>
        <v/>
      </c>
      <c r="J278" s="113">
        <f>IF(J$226="","",IF($B278="","",IFERROR($C278*$D278*SUMIFS('Dvd Calendar'!$E$519:$CZ$519,'Dvd Calendar'!$E$518:$CZ$518,"&gt;"&amp;J$225,'Dvd Calendar'!$E$518:$CZ$518,"&lt;="&amp;J$226)/MXAU!$B$3,"")))</f>
        <v/>
      </c>
      <c r="K278" s="113">
        <f>IF(K$226="","",IF($B278="","",IFERROR($C278*$D278*SUMIFS('Dvd Calendar'!$E$519:$CZ$519,'Dvd Calendar'!$E$518:$CZ$518,"&gt;"&amp;K$225,'Dvd Calendar'!$E$518:$CZ$518,"&lt;="&amp;K$226)/MXAU!$B$3,"")))</f>
        <v/>
      </c>
      <c r="L278" s="113">
        <f>IF(L$226="","",IF($B278="","",IFERROR($C278*$D278*SUMIFS('Dvd Calendar'!$E$519:$CZ$519,'Dvd Calendar'!$E$518:$CZ$518,"&gt;"&amp;L$225,'Dvd Calendar'!$E$518:$CZ$518,"&lt;="&amp;L$226)/MXAU!$B$3,"")))</f>
        <v/>
      </c>
      <c r="M278" s="113">
        <f>IF(M$226="","",IF($B278="","",IFERROR($C278*$D278*SUMIFS('Dvd Calendar'!$E$519:$CZ$519,'Dvd Calendar'!$E$518:$CZ$518,"&gt;"&amp;M$225,'Dvd Calendar'!$E$518:$CZ$518,"&lt;="&amp;M$226)/MXAU!$B$3,"")))</f>
        <v/>
      </c>
      <c r="N278" s="113">
        <f>IF(N$226="","",IF($B278="","",IFERROR($C278*$D278*SUMIFS('Dvd Calendar'!$E$519:$CZ$519,'Dvd Calendar'!$E$518:$CZ$518,"&gt;"&amp;N$225,'Dvd Calendar'!$E$518:$CZ$518,"&lt;="&amp;N$226)/MXAU!$B$3,"")))</f>
        <v/>
      </c>
      <c r="O278" s="113">
        <f>IF(O$226="","",IF($B278="","",IFERROR($C278*$D278*SUMIFS('Dvd Calendar'!$E$519:$CZ$519,'Dvd Calendar'!$E$518:$CZ$518,"&gt;"&amp;O$225,'Dvd Calendar'!$E$518:$CZ$518,"&lt;="&amp;O$226)/MXAU!$B$3,"")))</f>
        <v/>
      </c>
      <c r="P278" s="113">
        <f>IF(P$226="","",IF($B278="","",IFERROR($C278*$D278*SUMIFS('Dvd Calendar'!$E$519:$CZ$519,'Dvd Calendar'!$E$518:$CZ$518,"&gt;"&amp;P$225,'Dvd Calendar'!$E$518:$CZ$518,"&lt;="&amp;P$226)/MXAU!$B$3,"")))</f>
        <v/>
      </c>
      <c r="Q278" s="113">
        <f>IF(Q$226="","",IF($B278="","",IFERROR($C278*$D278*SUMIFS('Dvd Calendar'!$E$519:$CZ$519,'Dvd Calendar'!$E$518:$CZ$518,"&gt;"&amp;Q$225,'Dvd Calendar'!$E$518:$CZ$518,"&lt;="&amp;Q$226)/MXAU!$B$3,"")))</f>
        <v/>
      </c>
      <c r="R278" s="113">
        <f>IF(R$226="","",IF($B278="","",IFERROR($C278*$D278*SUMIFS('Dvd Calendar'!$E$519:$CZ$519,'Dvd Calendar'!$E$518:$CZ$518,"&gt;"&amp;R$225,'Dvd Calendar'!$E$518:$CZ$518,"&lt;="&amp;R$226)/MXAU!$B$3,"")))</f>
        <v/>
      </c>
      <c r="S278" s="113">
        <f>IF(S$226="","",IF($B278="","",IFERROR($C278*$D278*SUMIFS('Dvd Calendar'!$E$519:$CZ$519,'Dvd Calendar'!$E$518:$CZ$518,"&gt;"&amp;S$225,'Dvd Calendar'!$E$518:$CZ$518,"&lt;="&amp;S$226)/MXAU!$B$3,"")))</f>
        <v/>
      </c>
      <c r="T278" s="113">
        <f>IF(T$226="","",IF($B278="","",IFERROR($C278*$D278*SUMIFS('Dvd Calendar'!$E$519:$CZ$519,'Dvd Calendar'!$E$518:$CZ$518,"&gt;"&amp;T$225,'Dvd Calendar'!$E$518:$CZ$518,"&lt;="&amp;T$226)/MXAU!$B$3,"")))</f>
        <v/>
      </c>
      <c r="U278" s="113">
        <f>IF(U$226="","",IF($B278="","",IFERROR($C278*$D278*SUMIFS('Dvd Calendar'!$E$519:$CZ$519,'Dvd Calendar'!$E$518:$CZ$518,"&gt;"&amp;U$225,'Dvd Calendar'!$E$518:$CZ$518,"&lt;="&amp;U$226)/MXAU!$B$3,"")))</f>
        <v/>
      </c>
      <c r="W278" s="113">
        <f>IF(W$226="","",IF($B278="","",IFERROR(F278*$E278/100,"")))</f>
        <v/>
      </c>
      <c r="X278" s="113">
        <f>IF(X$226="","",IF($B278="","",IFERROR(G278*$E278/100,"")))</f>
        <v/>
      </c>
      <c r="Y278" s="113">
        <f>IF(Y$226="","",IF($B278="","",IFERROR(H278*$E278/100,"")))</f>
        <v/>
      </c>
      <c r="Z278" s="113">
        <f>IF(Z$226="","",IF($B278="","",IFERROR(I278*$E278/100,"")))</f>
        <v/>
      </c>
      <c r="AA278" s="113">
        <f>IF(AA$226="","",IF($B278="","",IFERROR(J278*$E278/100,"")))</f>
        <v/>
      </c>
      <c r="AB278" s="113">
        <f>IF(AB$226="","",IF($B278="","",IFERROR(K278*$E278/100,"")))</f>
        <v/>
      </c>
      <c r="AC278" s="113">
        <f>IF(AC$226="","",IF($B278="","",IFERROR(L278*$E278/100,"")))</f>
        <v/>
      </c>
      <c r="AD278" s="113">
        <f>IF(AD$226="","",IF($B278="","",IFERROR(M278*$E278/100,"")))</f>
        <v/>
      </c>
      <c r="AE278" s="113">
        <f>IF(AE$226="","",IF($B278="","",IFERROR(N278*$E278/100,"")))</f>
        <v/>
      </c>
      <c r="AF278" s="113">
        <f>IF(AF$226="","",IF($B278="","",IFERROR(O278*$E278/100,"")))</f>
        <v/>
      </c>
      <c r="AG278" s="113">
        <f>IF(AG$226="","",IF($B278="","",IFERROR(P278*$E278/100,"")))</f>
        <v/>
      </c>
      <c r="AH278" s="113">
        <f>IF(AH$226="","",IF($B278="","",IFERROR(Q278*$E278/100,"")))</f>
        <v/>
      </c>
      <c r="AI278" s="113">
        <f>IF(AI$226="","",IF($B278="","",IFERROR(R278*$E278/100,"")))</f>
        <v/>
      </c>
      <c r="AJ278" s="113">
        <f>IF(AJ$226="","",IF($B278="","",IFERROR(S278*$E278/100,"")))</f>
        <v/>
      </c>
      <c r="AK278" s="113">
        <f>IF(AK$226="","",IF($B278="","",IFERROR(T278*$E278/100,"")))</f>
        <v/>
      </c>
      <c r="AL278" s="113">
        <f>IF(AL$226="","",IF($B278="","",IFERROR(U278*$E278/100,"")))</f>
        <v/>
      </c>
    </row>
    <row r="279">
      <c r="B279" s="5">
        <f>IF(MXAU!$C$56="","",MXAU!$C$56)</f>
        <v/>
      </c>
      <c r="C279" s="86">
        <f>IF(MXAU!$B$56="","",MXAU!$B$56)</f>
        <v/>
      </c>
      <c r="D279" s="111">
        <f>IFERROR(MXAU!$Q$56,1)</f>
        <v/>
      </c>
      <c r="E279" s="112">
        <f>IF($B279="","",IF(ISNUMBER(MXAU!$I$56),MXAU!$I$56,'Index Summary'!$C$7))</f>
        <v/>
      </c>
      <c r="F279" s="113">
        <f>IF(F$226="","",IF($B279="","",IFERROR($C279*$D279*SUMIFS('Dvd Calendar'!$E$521:$CZ$521,'Dvd Calendar'!$E$520:$CZ$520,"&gt;"&amp;F$225,'Dvd Calendar'!$E$520:$CZ$520,"&lt;="&amp;F$226)/MXAU!$B$3,"")))</f>
        <v/>
      </c>
      <c r="G279" s="113">
        <f>IF(G$226="","",IF($B279="","",IFERROR($C279*$D279*SUMIFS('Dvd Calendar'!$E$521:$CZ$521,'Dvd Calendar'!$E$520:$CZ$520,"&gt;"&amp;G$225,'Dvd Calendar'!$E$520:$CZ$520,"&lt;="&amp;G$226)/MXAU!$B$3,"")))</f>
        <v/>
      </c>
      <c r="H279" s="113">
        <f>IF(H$226="","",IF($B279="","",IFERROR($C279*$D279*SUMIFS('Dvd Calendar'!$E$521:$CZ$521,'Dvd Calendar'!$E$520:$CZ$520,"&gt;"&amp;H$225,'Dvd Calendar'!$E$520:$CZ$520,"&lt;="&amp;H$226)/MXAU!$B$3,"")))</f>
        <v/>
      </c>
      <c r="I279" s="113">
        <f>IF(I$226="","",IF($B279="","",IFERROR($C279*$D279*SUMIFS('Dvd Calendar'!$E$521:$CZ$521,'Dvd Calendar'!$E$520:$CZ$520,"&gt;"&amp;I$225,'Dvd Calendar'!$E$520:$CZ$520,"&lt;="&amp;I$226)/MXAU!$B$3,"")))</f>
        <v/>
      </c>
      <c r="J279" s="113">
        <f>IF(J$226="","",IF($B279="","",IFERROR($C279*$D279*SUMIFS('Dvd Calendar'!$E$521:$CZ$521,'Dvd Calendar'!$E$520:$CZ$520,"&gt;"&amp;J$225,'Dvd Calendar'!$E$520:$CZ$520,"&lt;="&amp;J$226)/MXAU!$B$3,"")))</f>
        <v/>
      </c>
      <c r="K279" s="113">
        <f>IF(K$226="","",IF($B279="","",IFERROR($C279*$D279*SUMIFS('Dvd Calendar'!$E$521:$CZ$521,'Dvd Calendar'!$E$520:$CZ$520,"&gt;"&amp;K$225,'Dvd Calendar'!$E$520:$CZ$520,"&lt;="&amp;K$226)/MXAU!$B$3,"")))</f>
        <v/>
      </c>
      <c r="L279" s="113">
        <f>IF(L$226="","",IF($B279="","",IFERROR($C279*$D279*SUMIFS('Dvd Calendar'!$E$521:$CZ$521,'Dvd Calendar'!$E$520:$CZ$520,"&gt;"&amp;L$225,'Dvd Calendar'!$E$520:$CZ$520,"&lt;="&amp;L$226)/MXAU!$B$3,"")))</f>
        <v/>
      </c>
      <c r="M279" s="113">
        <f>IF(M$226="","",IF($B279="","",IFERROR($C279*$D279*SUMIFS('Dvd Calendar'!$E$521:$CZ$521,'Dvd Calendar'!$E$520:$CZ$520,"&gt;"&amp;M$225,'Dvd Calendar'!$E$520:$CZ$520,"&lt;="&amp;M$226)/MXAU!$B$3,"")))</f>
        <v/>
      </c>
      <c r="N279" s="113">
        <f>IF(N$226="","",IF($B279="","",IFERROR($C279*$D279*SUMIFS('Dvd Calendar'!$E$521:$CZ$521,'Dvd Calendar'!$E$520:$CZ$520,"&gt;"&amp;N$225,'Dvd Calendar'!$E$520:$CZ$520,"&lt;="&amp;N$226)/MXAU!$B$3,"")))</f>
        <v/>
      </c>
      <c r="O279" s="113">
        <f>IF(O$226="","",IF($B279="","",IFERROR($C279*$D279*SUMIFS('Dvd Calendar'!$E$521:$CZ$521,'Dvd Calendar'!$E$520:$CZ$520,"&gt;"&amp;O$225,'Dvd Calendar'!$E$520:$CZ$520,"&lt;="&amp;O$226)/MXAU!$B$3,"")))</f>
        <v/>
      </c>
      <c r="P279" s="113">
        <f>IF(P$226="","",IF($B279="","",IFERROR($C279*$D279*SUMIFS('Dvd Calendar'!$E$521:$CZ$521,'Dvd Calendar'!$E$520:$CZ$520,"&gt;"&amp;P$225,'Dvd Calendar'!$E$520:$CZ$520,"&lt;="&amp;P$226)/MXAU!$B$3,"")))</f>
        <v/>
      </c>
      <c r="Q279" s="113">
        <f>IF(Q$226="","",IF($B279="","",IFERROR($C279*$D279*SUMIFS('Dvd Calendar'!$E$521:$CZ$521,'Dvd Calendar'!$E$520:$CZ$520,"&gt;"&amp;Q$225,'Dvd Calendar'!$E$520:$CZ$520,"&lt;="&amp;Q$226)/MXAU!$B$3,"")))</f>
        <v/>
      </c>
      <c r="R279" s="113">
        <f>IF(R$226="","",IF($B279="","",IFERROR($C279*$D279*SUMIFS('Dvd Calendar'!$E$521:$CZ$521,'Dvd Calendar'!$E$520:$CZ$520,"&gt;"&amp;R$225,'Dvd Calendar'!$E$520:$CZ$520,"&lt;="&amp;R$226)/MXAU!$B$3,"")))</f>
        <v/>
      </c>
      <c r="S279" s="113">
        <f>IF(S$226="","",IF($B279="","",IFERROR($C279*$D279*SUMIFS('Dvd Calendar'!$E$521:$CZ$521,'Dvd Calendar'!$E$520:$CZ$520,"&gt;"&amp;S$225,'Dvd Calendar'!$E$520:$CZ$520,"&lt;="&amp;S$226)/MXAU!$B$3,"")))</f>
        <v/>
      </c>
      <c r="T279" s="113">
        <f>IF(T$226="","",IF($B279="","",IFERROR($C279*$D279*SUMIFS('Dvd Calendar'!$E$521:$CZ$521,'Dvd Calendar'!$E$520:$CZ$520,"&gt;"&amp;T$225,'Dvd Calendar'!$E$520:$CZ$520,"&lt;="&amp;T$226)/MXAU!$B$3,"")))</f>
        <v/>
      </c>
      <c r="U279" s="113">
        <f>IF(U$226="","",IF($B279="","",IFERROR($C279*$D279*SUMIFS('Dvd Calendar'!$E$521:$CZ$521,'Dvd Calendar'!$E$520:$CZ$520,"&gt;"&amp;U$225,'Dvd Calendar'!$E$520:$CZ$520,"&lt;="&amp;U$226)/MXAU!$B$3,"")))</f>
        <v/>
      </c>
      <c r="W279" s="113">
        <f>IF(W$226="","",IF($B279="","",IFERROR(F279*$E279/100,"")))</f>
        <v/>
      </c>
      <c r="X279" s="113">
        <f>IF(X$226="","",IF($B279="","",IFERROR(G279*$E279/100,"")))</f>
        <v/>
      </c>
      <c r="Y279" s="113">
        <f>IF(Y$226="","",IF($B279="","",IFERROR(H279*$E279/100,"")))</f>
        <v/>
      </c>
      <c r="Z279" s="113">
        <f>IF(Z$226="","",IF($B279="","",IFERROR(I279*$E279/100,"")))</f>
        <v/>
      </c>
      <c r="AA279" s="113">
        <f>IF(AA$226="","",IF($B279="","",IFERROR(J279*$E279/100,"")))</f>
        <v/>
      </c>
      <c r="AB279" s="113">
        <f>IF(AB$226="","",IF($B279="","",IFERROR(K279*$E279/100,"")))</f>
        <v/>
      </c>
      <c r="AC279" s="113">
        <f>IF(AC$226="","",IF($B279="","",IFERROR(L279*$E279/100,"")))</f>
        <v/>
      </c>
      <c r="AD279" s="113">
        <f>IF(AD$226="","",IF($B279="","",IFERROR(M279*$E279/100,"")))</f>
        <v/>
      </c>
      <c r="AE279" s="113">
        <f>IF(AE$226="","",IF($B279="","",IFERROR(N279*$E279/100,"")))</f>
        <v/>
      </c>
      <c r="AF279" s="113">
        <f>IF(AF$226="","",IF($B279="","",IFERROR(O279*$E279/100,"")))</f>
        <v/>
      </c>
      <c r="AG279" s="113">
        <f>IF(AG$226="","",IF($B279="","",IFERROR(P279*$E279/100,"")))</f>
        <v/>
      </c>
      <c r="AH279" s="113">
        <f>IF(AH$226="","",IF($B279="","",IFERROR(Q279*$E279/100,"")))</f>
        <v/>
      </c>
      <c r="AI279" s="113">
        <f>IF(AI$226="","",IF($B279="","",IFERROR(R279*$E279/100,"")))</f>
        <v/>
      </c>
      <c r="AJ279" s="113">
        <f>IF(AJ$226="","",IF($B279="","",IFERROR(S279*$E279/100,"")))</f>
        <v/>
      </c>
      <c r="AK279" s="113">
        <f>IF(AK$226="","",IF($B279="","",IFERROR(T279*$E279/100,"")))</f>
        <v/>
      </c>
      <c r="AL279" s="113">
        <f>IF(AL$226="","",IF($B279="","",IFERROR(U279*$E279/100,"")))</f>
        <v/>
      </c>
    </row>
    <row r="280">
      <c r="B280" s="5">
        <f>IF(MXAU!$C$57="","",MXAU!$C$57)</f>
        <v/>
      </c>
      <c r="C280" s="86">
        <f>IF(MXAU!$B$57="","",MXAU!$B$57)</f>
        <v/>
      </c>
      <c r="D280" s="111">
        <f>IFERROR(MXAU!$Q$57,1)</f>
        <v/>
      </c>
      <c r="E280" s="112">
        <f>IF($B280="","",IF(ISNUMBER(MXAU!$I$57),MXAU!$I$57,'Index Summary'!$C$7))</f>
        <v/>
      </c>
      <c r="F280" s="113">
        <f>IF(F$226="","",IF($B280="","",IFERROR($C280*$D280*SUMIFS('Dvd Calendar'!$E$523:$CZ$523,'Dvd Calendar'!$E$522:$CZ$522,"&gt;"&amp;F$225,'Dvd Calendar'!$E$522:$CZ$522,"&lt;="&amp;F$226)/MXAU!$B$3,"")))</f>
        <v/>
      </c>
      <c r="G280" s="113">
        <f>IF(G$226="","",IF($B280="","",IFERROR($C280*$D280*SUMIFS('Dvd Calendar'!$E$523:$CZ$523,'Dvd Calendar'!$E$522:$CZ$522,"&gt;"&amp;G$225,'Dvd Calendar'!$E$522:$CZ$522,"&lt;="&amp;G$226)/MXAU!$B$3,"")))</f>
        <v/>
      </c>
      <c r="H280" s="113">
        <f>IF(H$226="","",IF($B280="","",IFERROR($C280*$D280*SUMIFS('Dvd Calendar'!$E$523:$CZ$523,'Dvd Calendar'!$E$522:$CZ$522,"&gt;"&amp;H$225,'Dvd Calendar'!$E$522:$CZ$522,"&lt;="&amp;H$226)/MXAU!$B$3,"")))</f>
        <v/>
      </c>
      <c r="I280" s="113">
        <f>IF(I$226="","",IF($B280="","",IFERROR($C280*$D280*SUMIFS('Dvd Calendar'!$E$523:$CZ$523,'Dvd Calendar'!$E$522:$CZ$522,"&gt;"&amp;I$225,'Dvd Calendar'!$E$522:$CZ$522,"&lt;="&amp;I$226)/MXAU!$B$3,"")))</f>
        <v/>
      </c>
      <c r="J280" s="113">
        <f>IF(J$226="","",IF($B280="","",IFERROR($C280*$D280*SUMIFS('Dvd Calendar'!$E$523:$CZ$523,'Dvd Calendar'!$E$522:$CZ$522,"&gt;"&amp;J$225,'Dvd Calendar'!$E$522:$CZ$522,"&lt;="&amp;J$226)/MXAU!$B$3,"")))</f>
        <v/>
      </c>
      <c r="K280" s="113">
        <f>IF(K$226="","",IF($B280="","",IFERROR($C280*$D280*SUMIFS('Dvd Calendar'!$E$523:$CZ$523,'Dvd Calendar'!$E$522:$CZ$522,"&gt;"&amp;K$225,'Dvd Calendar'!$E$522:$CZ$522,"&lt;="&amp;K$226)/MXAU!$B$3,"")))</f>
        <v/>
      </c>
      <c r="L280" s="113">
        <f>IF(L$226="","",IF($B280="","",IFERROR($C280*$D280*SUMIFS('Dvd Calendar'!$E$523:$CZ$523,'Dvd Calendar'!$E$522:$CZ$522,"&gt;"&amp;L$225,'Dvd Calendar'!$E$522:$CZ$522,"&lt;="&amp;L$226)/MXAU!$B$3,"")))</f>
        <v/>
      </c>
      <c r="M280" s="113">
        <f>IF(M$226="","",IF($B280="","",IFERROR($C280*$D280*SUMIFS('Dvd Calendar'!$E$523:$CZ$523,'Dvd Calendar'!$E$522:$CZ$522,"&gt;"&amp;M$225,'Dvd Calendar'!$E$522:$CZ$522,"&lt;="&amp;M$226)/MXAU!$B$3,"")))</f>
        <v/>
      </c>
      <c r="N280" s="113">
        <f>IF(N$226="","",IF($B280="","",IFERROR($C280*$D280*SUMIFS('Dvd Calendar'!$E$523:$CZ$523,'Dvd Calendar'!$E$522:$CZ$522,"&gt;"&amp;N$225,'Dvd Calendar'!$E$522:$CZ$522,"&lt;="&amp;N$226)/MXAU!$B$3,"")))</f>
        <v/>
      </c>
      <c r="O280" s="113">
        <f>IF(O$226="","",IF($B280="","",IFERROR($C280*$D280*SUMIFS('Dvd Calendar'!$E$523:$CZ$523,'Dvd Calendar'!$E$522:$CZ$522,"&gt;"&amp;O$225,'Dvd Calendar'!$E$522:$CZ$522,"&lt;="&amp;O$226)/MXAU!$B$3,"")))</f>
        <v/>
      </c>
      <c r="P280" s="113">
        <f>IF(P$226="","",IF($B280="","",IFERROR($C280*$D280*SUMIFS('Dvd Calendar'!$E$523:$CZ$523,'Dvd Calendar'!$E$522:$CZ$522,"&gt;"&amp;P$225,'Dvd Calendar'!$E$522:$CZ$522,"&lt;="&amp;P$226)/MXAU!$B$3,"")))</f>
        <v/>
      </c>
      <c r="Q280" s="113">
        <f>IF(Q$226="","",IF($B280="","",IFERROR($C280*$D280*SUMIFS('Dvd Calendar'!$E$523:$CZ$523,'Dvd Calendar'!$E$522:$CZ$522,"&gt;"&amp;Q$225,'Dvd Calendar'!$E$522:$CZ$522,"&lt;="&amp;Q$226)/MXAU!$B$3,"")))</f>
        <v/>
      </c>
      <c r="R280" s="113">
        <f>IF(R$226="","",IF($B280="","",IFERROR($C280*$D280*SUMIFS('Dvd Calendar'!$E$523:$CZ$523,'Dvd Calendar'!$E$522:$CZ$522,"&gt;"&amp;R$225,'Dvd Calendar'!$E$522:$CZ$522,"&lt;="&amp;R$226)/MXAU!$B$3,"")))</f>
        <v/>
      </c>
      <c r="S280" s="113">
        <f>IF(S$226="","",IF($B280="","",IFERROR($C280*$D280*SUMIFS('Dvd Calendar'!$E$523:$CZ$523,'Dvd Calendar'!$E$522:$CZ$522,"&gt;"&amp;S$225,'Dvd Calendar'!$E$522:$CZ$522,"&lt;="&amp;S$226)/MXAU!$B$3,"")))</f>
        <v/>
      </c>
      <c r="T280" s="113">
        <f>IF(T$226="","",IF($B280="","",IFERROR($C280*$D280*SUMIFS('Dvd Calendar'!$E$523:$CZ$523,'Dvd Calendar'!$E$522:$CZ$522,"&gt;"&amp;T$225,'Dvd Calendar'!$E$522:$CZ$522,"&lt;="&amp;T$226)/MXAU!$B$3,"")))</f>
        <v/>
      </c>
      <c r="U280" s="113">
        <f>IF(U$226="","",IF($B280="","",IFERROR($C280*$D280*SUMIFS('Dvd Calendar'!$E$523:$CZ$523,'Dvd Calendar'!$E$522:$CZ$522,"&gt;"&amp;U$225,'Dvd Calendar'!$E$522:$CZ$522,"&lt;="&amp;U$226)/MXAU!$B$3,"")))</f>
        <v/>
      </c>
      <c r="W280" s="113">
        <f>IF(W$226="","",IF($B280="","",IFERROR(F280*$E280/100,"")))</f>
        <v/>
      </c>
      <c r="X280" s="113">
        <f>IF(X$226="","",IF($B280="","",IFERROR(G280*$E280/100,"")))</f>
        <v/>
      </c>
      <c r="Y280" s="113">
        <f>IF(Y$226="","",IF($B280="","",IFERROR(H280*$E280/100,"")))</f>
        <v/>
      </c>
      <c r="Z280" s="113">
        <f>IF(Z$226="","",IF($B280="","",IFERROR(I280*$E280/100,"")))</f>
        <v/>
      </c>
      <c r="AA280" s="113">
        <f>IF(AA$226="","",IF($B280="","",IFERROR(J280*$E280/100,"")))</f>
        <v/>
      </c>
      <c r="AB280" s="113">
        <f>IF(AB$226="","",IF($B280="","",IFERROR(K280*$E280/100,"")))</f>
        <v/>
      </c>
      <c r="AC280" s="113">
        <f>IF(AC$226="","",IF($B280="","",IFERROR(L280*$E280/100,"")))</f>
        <v/>
      </c>
      <c r="AD280" s="113">
        <f>IF(AD$226="","",IF($B280="","",IFERROR(M280*$E280/100,"")))</f>
        <v/>
      </c>
      <c r="AE280" s="113">
        <f>IF(AE$226="","",IF($B280="","",IFERROR(N280*$E280/100,"")))</f>
        <v/>
      </c>
      <c r="AF280" s="113">
        <f>IF(AF$226="","",IF($B280="","",IFERROR(O280*$E280/100,"")))</f>
        <v/>
      </c>
      <c r="AG280" s="113">
        <f>IF(AG$226="","",IF($B280="","",IFERROR(P280*$E280/100,"")))</f>
        <v/>
      </c>
      <c r="AH280" s="113">
        <f>IF(AH$226="","",IF($B280="","",IFERROR(Q280*$E280/100,"")))</f>
        <v/>
      </c>
      <c r="AI280" s="113">
        <f>IF(AI$226="","",IF($B280="","",IFERROR(R280*$E280/100,"")))</f>
        <v/>
      </c>
      <c r="AJ280" s="113">
        <f>IF(AJ$226="","",IF($B280="","",IFERROR(S280*$E280/100,"")))</f>
        <v/>
      </c>
      <c r="AK280" s="113">
        <f>IF(AK$226="","",IF($B280="","",IFERROR(T280*$E280/100,"")))</f>
        <v/>
      </c>
      <c r="AL280" s="113">
        <f>IF(AL$226="","",IF($B280="","",IFERROR(U280*$E280/100,"")))</f>
        <v/>
      </c>
    </row>
    <row r="281">
      <c r="B281" s="5">
        <f>IF(MXAU!$C$58="","",MXAU!$C$58)</f>
        <v/>
      </c>
      <c r="C281" s="86">
        <f>IF(MXAU!$B$58="","",MXAU!$B$58)</f>
        <v/>
      </c>
      <c r="D281" s="111">
        <f>IFERROR(MXAU!$Q$58,1)</f>
        <v/>
      </c>
      <c r="E281" s="112">
        <f>IF($B281="","",IF(ISNUMBER(MXAU!$I$58),MXAU!$I$58,'Index Summary'!$C$7))</f>
        <v/>
      </c>
      <c r="F281" s="113">
        <f>IF(F$226="","",IF($B281="","",IFERROR($C281*$D281*SUMIFS('Dvd Calendar'!$E$525:$CZ$525,'Dvd Calendar'!$E$524:$CZ$524,"&gt;"&amp;F$225,'Dvd Calendar'!$E$524:$CZ$524,"&lt;="&amp;F$226)/MXAU!$B$3,"")))</f>
        <v/>
      </c>
      <c r="G281" s="113">
        <f>IF(G$226="","",IF($B281="","",IFERROR($C281*$D281*SUMIFS('Dvd Calendar'!$E$525:$CZ$525,'Dvd Calendar'!$E$524:$CZ$524,"&gt;"&amp;G$225,'Dvd Calendar'!$E$524:$CZ$524,"&lt;="&amp;G$226)/MXAU!$B$3,"")))</f>
        <v/>
      </c>
      <c r="H281" s="113">
        <f>IF(H$226="","",IF($B281="","",IFERROR($C281*$D281*SUMIFS('Dvd Calendar'!$E$525:$CZ$525,'Dvd Calendar'!$E$524:$CZ$524,"&gt;"&amp;H$225,'Dvd Calendar'!$E$524:$CZ$524,"&lt;="&amp;H$226)/MXAU!$B$3,"")))</f>
        <v/>
      </c>
      <c r="I281" s="113">
        <f>IF(I$226="","",IF($B281="","",IFERROR($C281*$D281*SUMIFS('Dvd Calendar'!$E$525:$CZ$525,'Dvd Calendar'!$E$524:$CZ$524,"&gt;"&amp;I$225,'Dvd Calendar'!$E$524:$CZ$524,"&lt;="&amp;I$226)/MXAU!$B$3,"")))</f>
        <v/>
      </c>
      <c r="J281" s="113">
        <f>IF(J$226="","",IF($B281="","",IFERROR($C281*$D281*SUMIFS('Dvd Calendar'!$E$525:$CZ$525,'Dvd Calendar'!$E$524:$CZ$524,"&gt;"&amp;J$225,'Dvd Calendar'!$E$524:$CZ$524,"&lt;="&amp;J$226)/MXAU!$B$3,"")))</f>
        <v/>
      </c>
      <c r="K281" s="113">
        <f>IF(K$226="","",IF($B281="","",IFERROR($C281*$D281*SUMIFS('Dvd Calendar'!$E$525:$CZ$525,'Dvd Calendar'!$E$524:$CZ$524,"&gt;"&amp;K$225,'Dvd Calendar'!$E$524:$CZ$524,"&lt;="&amp;K$226)/MXAU!$B$3,"")))</f>
        <v/>
      </c>
      <c r="L281" s="113">
        <f>IF(L$226="","",IF($B281="","",IFERROR($C281*$D281*SUMIFS('Dvd Calendar'!$E$525:$CZ$525,'Dvd Calendar'!$E$524:$CZ$524,"&gt;"&amp;L$225,'Dvd Calendar'!$E$524:$CZ$524,"&lt;="&amp;L$226)/MXAU!$B$3,"")))</f>
        <v/>
      </c>
      <c r="M281" s="113">
        <f>IF(M$226="","",IF($B281="","",IFERROR($C281*$D281*SUMIFS('Dvd Calendar'!$E$525:$CZ$525,'Dvd Calendar'!$E$524:$CZ$524,"&gt;"&amp;M$225,'Dvd Calendar'!$E$524:$CZ$524,"&lt;="&amp;M$226)/MXAU!$B$3,"")))</f>
        <v/>
      </c>
      <c r="N281" s="113">
        <f>IF(N$226="","",IF($B281="","",IFERROR($C281*$D281*SUMIFS('Dvd Calendar'!$E$525:$CZ$525,'Dvd Calendar'!$E$524:$CZ$524,"&gt;"&amp;N$225,'Dvd Calendar'!$E$524:$CZ$524,"&lt;="&amp;N$226)/MXAU!$B$3,"")))</f>
        <v/>
      </c>
      <c r="O281" s="113">
        <f>IF(O$226="","",IF($B281="","",IFERROR($C281*$D281*SUMIFS('Dvd Calendar'!$E$525:$CZ$525,'Dvd Calendar'!$E$524:$CZ$524,"&gt;"&amp;O$225,'Dvd Calendar'!$E$524:$CZ$524,"&lt;="&amp;O$226)/MXAU!$B$3,"")))</f>
        <v/>
      </c>
      <c r="P281" s="113">
        <f>IF(P$226="","",IF($B281="","",IFERROR($C281*$D281*SUMIFS('Dvd Calendar'!$E$525:$CZ$525,'Dvd Calendar'!$E$524:$CZ$524,"&gt;"&amp;P$225,'Dvd Calendar'!$E$524:$CZ$524,"&lt;="&amp;P$226)/MXAU!$B$3,"")))</f>
        <v/>
      </c>
      <c r="Q281" s="113">
        <f>IF(Q$226="","",IF($B281="","",IFERROR($C281*$D281*SUMIFS('Dvd Calendar'!$E$525:$CZ$525,'Dvd Calendar'!$E$524:$CZ$524,"&gt;"&amp;Q$225,'Dvd Calendar'!$E$524:$CZ$524,"&lt;="&amp;Q$226)/MXAU!$B$3,"")))</f>
        <v/>
      </c>
      <c r="R281" s="113">
        <f>IF(R$226="","",IF($B281="","",IFERROR($C281*$D281*SUMIFS('Dvd Calendar'!$E$525:$CZ$525,'Dvd Calendar'!$E$524:$CZ$524,"&gt;"&amp;R$225,'Dvd Calendar'!$E$524:$CZ$524,"&lt;="&amp;R$226)/MXAU!$B$3,"")))</f>
        <v/>
      </c>
      <c r="S281" s="113">
        <f>IF(S$226="","",IF($B281="","",IFERROR($C281*$D281*SUMIFS('Dvd Calendar'!$E$525:$CZ$525,'Dvd Calendar'!$E$524:$CZ$524,"&gt;"&amp;S$225,'Dvd Calendar'!$E$524:$CZ$524,"&lt;="&amp;S$226)/MXAU!$B$3,"")))</f>
        <v/>
      </c>
      <c r="T281" s="113">
        <f>IF(T$226="","",IF($B281="","",IFERROR($C281*$D281*SUMIFS('Dvd Calendar'!$E$525:$CZ$525,'Dvd Calendar'!$E$524:$CZ$524,"&gt;"&amp;T$225,'Dvd Calendar'!$E$524:$CZ$524,"&lt;="&amp;T$226)/MXAU!$B$3,"")))</f>
        <v/>
      </c>
      <c r="U281" s="113">
        <f>IF(U$226="","",IF($B281="","",IFERROR($C281*$D281*SUMIFS('Dvd Calendar'!$E$525:$CZ$525,'Dvd Calendar'!$E$524:$CZ$524,"&gt;"&amp;U$225,'Dvd Calendar'!$E$524:$CZ$524,"&lt;="&amp;U$226)/MXAU!$B$3,"")))</f>
        <v/>
      </c>
      <c r="W281" s="113">
        <f>IF(W$226="","",IF($B281="","",IFERROR(F281*$E281/100,"")))</f>
        <v/>
      </c>
      <c r="X281" s="113">
        <f>IF(X$226="","",IF($B281="","",IFERROR(G281*$E281/100,"")))</f>
        <v/>
      </c>
      <c r="Y281" s="113">
        <f>IF(Y$226="","",IF($B281="","",IFERROR(H281*$E281/100,"")))</f>
        <v/>
      </c>
      <c r="Z281" s="113">
        <f>IF(Z$226="","",IF($B281="","",IFERROR(I281*$E281/100,"")))</f>
        <v/>
      </c>
      <c r="AA281" s="113">
        <f>IF(AA$226="","",IF($B281="","",IFERROR(J281*$E281/100,"")))</f>
        <v/>
      </c>
      <c r="AB281" s="113">
        <f>IF(AB$226="","",IF($B281="","",IFERROR(K281*$E281/100,"")))</f>
        <v/>
      </c>
      <c r="AC281" s="113">
        <f>IF(AC$226="","",IF($B281="","",IFERROR(L281*$E281/100,"")))</f>
        <v/>
      </c>
      <c r="AD281" s="113">
        <f>IF(AD$226="","",IF($B281="","",IFERROR(M281*$E281/100,"")))</f>
        <v/>
      </c>
      <c r="AE281" s="113">
        <f>IF(AE$226="","",IF($B281="","",IFERROR(N281*$E281/100,"")))</f>
        <v/>
      </c>
      <c r="AF281" s="113">
        <f>IF(AF$226="","",IF($B281="","",IFERROR(O281*$E281/100,"")))</f>
        <v/>
      </c>
      <c r="AG281" s="113">
        <f>IF(AG$226="","",IF($B281="","",IFERROR(P281*$E281/100,"")))</f>
        <v/>
      </c>
      <c r="AH281" s="113">
        <f>IF(AH$226="","",IF($B281="","",IFERROR(Q281*$E281/100,"")))</f>
        <v/>
      </c>
      <c r="AI281" s="113">
        <f>IF(AI$226="","",IF($B281="","",IFERROR(R281*$E281/100,"")))</f>
        <v/>
      </c>
      <c r="AJ281" s="113">
        <f>IF(AJ$226="","",IF($B281="","",IFERROR(S281*$E281/100,"")))</f>
        <v/>
      </c>
      <c r="AK281" s="113">
        <f>IF(AK$226="","",IF($B281="","",IFERROR(T281*$E281/100,"")))</f>
        <v/>
      </c>
      <c r="AL281" s="113">
        <f>IF(AL$226="","",IF($B281="","",IFERROR(U281*$E281/100,"")))</f>
        <v/>
      </c>
    </row>
    <row r="282">
      <c r="B282" s="5">
        <f>IF(MXAU!$C$59="","",MXAU!$C$59)</f>
        <v/>
      </c>
      <c r="C282" s="86">
        <f>IF(MXAU!$B$59="","",MXAU!$B$59)</f>
        <v/>
      </c>
      <c r="D282" s="111">
        <f>IFERROR(MXAU!$Q$59,1)</f>
        <v/>
      </c>
      <c r="E282" s="112">
        <f>IF($B282="","",IF(ISNUMBER(MXAU!$I$59),MXAU!$I$59,'Index Summary'!$C$7))</f>
        <v/>
      </c>
      <c r="F282" s="113">
        <f>IF(F$226="","",IF($B282="","",IFERROR($C282*$D282*SUMIFS('Dvd Calendar'!$E$527:$CZ$527,'Dvd Calendar'!$E$526:$CZ$526,"&gt;"&amp;F$225,'Dvd Calendar'!$E$526:$CZ$526,"&lt;="&amp;F$226)/MXAU!$B$3,"")))</f>
        <v/>
      </c>
      <c r="G282" s="113">
        <f>IF(G$226="","",IF($B282="","",IFERROR($C282*$D282*SUMIFS('Dvd Calendar'!$E$527:$CZ$527,'Dvd Calendar'!$E$526:$CZ$526,"&gt;"&amp;G$225,'Dvd Calendar'!$E$526:$CZ$526,"&lt;="&amp;G$226)/MXAU!$B$3,"")))</f>
        <v/>
      </c>
      <c r="H282" s="113">
        <f>IF(H$226="","",IF($B282="","",IFERROR($C282*$D282*SUMIFS('Dvd Calendar'!$E$527:$CZ$527,'Dvd Calendar'!$E$526:$CZ$526,"&gt;"&amp;H$225,'Dvd Calendar'!$E$526:$CZ$526,"&lt;="&amp;H$226)/MXAU!$B$3,"")))</f>
        <v/>
      </c>
      <c r="I282" s="113">
        <f>IF(I$226="","",IF($B282="","",IFERROR($C282*$D282*SUMIFS('Dvd Calendar'!$E$527:$CZ$527,'Dvd Calendar'!$E$526:$CZ$526,"&gt;"&amp;I$225,'Dvd Calendar'!$E$526:$CZ$526,"&lt;="&amp;I$226)/MXAU!$B$3,"")))</f>
        <v/>
      </c>
      <c r="J282" s="113">
        <f>IF(J$226="","",IF($B282="","",IFERROR($C282*$D282*SUMIFS('Dvd Calendar'!$E$527:$CZ$527,'Dvd Calendar'!$E$526:$CZ$526,"&gt;"&amp;J$225,'Dvd Calendar'!$E$526:$CZ$526,"&lt;="&amp;J$226)/MXAU!$B$3,"")))</f>
        <v/>
      </c>
      <c r="K282" s="113">
        <f>IF(K$226="","",IF($B282="","",IFERROR($C282*$D282*SUMIFS('Dvd Calendar'!$E$527:$CZ$527,'Dvd Calendar'!$E$526:$CZ$526,"&gt;"&amp;K$225,'Dvd Calendar'!$E$526:$CZ$526,"&lt;="&amp;K$226)/MXAU!$B$3,"")))</f>
        <v/>
      </c>
      <c r="L282" s="113">
        <f>IF(L$226="","",IF($B282="","",IFERROR($C282*$D282*SUMIFS('Dvd Calendar'!$E$527:$CZ$527,'Dvd Calendar'!$E$526:$CZ$526,"&gt;"&amp;L$225,'Dvd Calendar'!$E$526:$CZ$526,"&lt;="&amp;L$226)/MXAU!$B$3,"")))</f>
        <v/>
      </c>
      <c r="M282" s="113">
        <f>IF(M$226="","",IF($B282="","",IFERROR($C282*$D282*SUMIFS('Dvd Calendar'!$E$527:$CZ$527,'Dvd Calendar'!$E$526:$CZ$526,"&gt;"&amp;M$225,'Dvd Calendar'!$E$526:$CZ$526,"&lt;="&amp;M$226)/MXAU!$B$3,"")))</f>
        <v/>
      </c>
      <c r="N282" s="113">
        <f>IF(N$226="","",IF($B282="","",IFERROR($C282*$D282*SUMIFS('Dvd Calendar'!$E$527:$CZ$527,'Dvd Calendar'!$E$526:$CZ$526,"&gt;"&amp;N$225,'Dvd Calendar'!$E$526:$CZ$526,"&lt;="&amp;N$226)/MXAU!$B$3,"")))</f>
        <v/>
      </c>
      <c r="O282" s="113">
        <f>IF(O$226="","",IF($B282="","",IFERROR($C282*$D282*SUMIFS('Dvd Calendar'!$E$527:$CZ$527,'Dvd Calendar'!$E$526:$CZ$526,"&gt;"&amp;O$225,'Dvd Calendar'!$E$526:$CZ$526,"&lt;="&amp;O$226)/MXAU!$B$3,"")))</f>
        <v/>
      </c>
      <c r="P282" s="113">
        <f>IF(P$226="","",IF($B282="","",IFERROR($C282*$D282*SUMIFS('Dvd Calendar'!$E$527:$CZ$527,'Dvd Calendar'!$E$526:$CZ$526,"&gt;"&amp;P$225,'Dvd Calendar'!$E$526:$CZ$526,"&lt;="&amp;P$226)/MXAU!$B$3,"")))</f>
        <v/>
      </c>
      <c r="Q282" s="113">
        <f>IF(Q$226="","",IF($B282="","",IFERROR($C282*$D282*SUMIFS('Dvd Calendar'!$E$527:$CZ$527,'Dvd Calendar'!$E$526:$CZ$526,"&gt;"&amp;Q$225,'Dvd Calendar'!$E$526:$CZ$526,"&lt;="&amp;Q$226)/MXAU!$B$3,"")))</f>
        <v/>
      </c>
      <c r="R282" s="113">
        <f>IF(R$226="","",IF($B282="","",IFERROR($C282*$D282*SUMIFS('Dvd Calendar'!$E$527:$CZ$527,'Dvd Calendar'!$E$526:$CZ$526,"&gt;"&amp;R$225,'Dvd Calendar'!$E$526:$CZ$526,"&lt;="&amp;R$226)/MXAU!$B$3,"")))</f>
        <v/>
      </c>
      <c r="S282" s="113">
        <f>IF(S$226="","",IF($B282="","",IFERROR($C282*$D282*SUMIFS('Dvd Calendar'!$E$527:$CZ$527,'Dvd Calendar'!$E$526:$CZ$526,"&gt;"&amp;S$225,'Dvd Calendar'!$E$526:$CZ$526,"&lt;="&amp;S$226)/MXAU!$B$3,"")))</f>
        <v/>
      </c>
      <c r="T282" s="113">
        <f>IF(T$226="","",IF($B282="","",IFERROR($C282*$D282*SUMIFS('Dvd Calendar'!$E$527:$CZ$527,'Dvd Calendar'!$E$526:$CZ$526,"&gt;"&amp;T$225,'Dvd Calendar'!$E$526:$CZ$526,"&lt;="&amp;T$226)/MXAU!$B$3,"")))</f>
        <v/>
      </c>
      <c r="U282" s="113">
        <f>IF(U$226="","",IF($B282="","",IFERROR($C282*$D282*SUMIFS('Dvd Calendar'!$E$527:$CZ$527,'Dvd Calendar'!$E$526:$CZ$526,"&gt;"&amp;U$225,'Dvd Calendar'!$E$526:$CZ$526,"&lt;="&amp;U$226)/MXAU!$B$3,"")))</f>
        <v/>
      </c>
      <c r="W282" s="113">
        <f>IF(W$226="","",IF($B282="","",IFERROR(F282*$E282/100,"")))</f>
        <v/>
      </c>
      <c r="X282" s="113">
        <f>IF(X$226="","",IF($B282="","",IFERROR(G282*$E282/100,"")))</f>
        <v/>
      </c>
      <c r="Y282" s="113">
        <f>IF(Y$226="","",IF($B282="","",IFERROR(H282*$E282/100,"")))</f>
        <v/>
      </c>
      <c r="Z282" s="113">
        <f>IF(Z$226="","",IF($B282="","",IFERROR(I282*$E282/100,"")))</f>
        <v/>
      </c>
      <c r="AA282" s="113">
        <f>IF(AA$226="","",IF($B282="","",IFERROR(J282*$E282/100,"")))</f>
        <v/>
      </c>
      <c r="AB282" s="113">
        <f>IF(AB$226="","",IF($B282="","",IFERROR(K282*$E282/100,"")))</f>
        <v/>
      </c>
      <c r="AC282" s="113">
        <f>IF(AC$226="","",IF($B282="","",IFERROR(L282*$E282/100,"")))</f>
        <v/>
      </c>
      <c r="AD282" s="113">
        <f>IF(AD$226="","",IF($B282="","",IFERROR(M282*$E282/100,"")))</f>
        <v/>
      </c>
      <c r="AE282" s="113">
        <f>IF(AE$226="","",IF($B282="","",IFERROR(N282*$E282/100,"")))</f>
        <v/>
      </c>
      <c r="AF282" s="113">
        <f>IF(AF$226="","",IF($B282="","",IFERROR(O282*$E282/100,"")))</f>
        <v/>
      </c>
      <c r="AG282" s="113">
        <f>IF(AG$226="","",IF($B282="","",IFERROR(P282*$E282/100,"")))</f>
        <v/>
      </c>
      <c r="AH282" s="113">
        <f>IF(AH$226="","",IF($B282="","",IFERROR(Q282*$E282/100,"")))</f>
        <v/>
      </c>
      <c r="AI282" s="113">
        <f>IF(AI$226="","",IF($B282="","",IFERROR(R282*$E282/100,"")))</f>
        <v/>
      </c>
      <c r="AJ282" s="113">
        <f>IF(AJ$226="","",IF($B282="","",IFERROR(S282*$E282/100,"")))</f>
        <v/>
      </c>
      <c r="AK282" s="113">
        <f>IF(AK$226="","",IF($B282="","",IFERROR(T282*$E282/100,"")))</f>
        <v/>
      </c>
      <c r="AL282" s="113">
        <f>IF(AL$226="","",IF($B282="","",IFERROR(U282*$E282/100,"")))</f>
        <v/>
      </c>
    </row>
    <row r="283">
      <c r="B283" s="5">
        <f>IF(MXAU!$C$60="","",MXAU!$C$60)</f>
        <v/>
      </c>
      <c r="C283" s="86">
        <f>IF(MXAU!$B$60="","",MXAU!$B$60)</f>
        <v/>
      </c>
      <c r="D283" s="111">
        <f>IFERROR(MXAU!$Q$60,1)</f>
        <v/>
      </c>
      <c r="E283" s="112">
        <f>IF($B283="","",IF(ISNUMBER(MXAU!$I$60),MXAU!$I$60,'Index Summary'!$C$7))</f>
        <v/>
      </c>
      <c r="F283" s="113">
        <f>IF(F$226="","",IF($B283="","",IFERROR($C283*$D283*SUMIFS('Dvd Calendar'!$E$529:$CZ$529,'Dvd Calendar'!$E$528:$CZ$528,"&gt;"&amp;F$225,'Dvd Calendar'!$E$528:$CZ$528,"&lt;="&amp;F$226)/MXAU!$B$3,"")))</f>
        <v/>
      </c>
      <c r="G283" s="113">
        <f>IF(G$226="","",IF($B283="","",IFERROR($C283*$D283*SUMIFS('Dvd Calendar'!$E$529:$CZ$529,'Dvd Calendar'!$E$528:$CZ$528,"&gt;"&amp;G$225,'Dvd Calendar'!$E$528:$CZ$528,"&lt;="&amp;G$226)/MXAU!$B$3,"")))</f>
        <v/>
      </c>
      <c r="H283" s="113">
        <f>IF(H$226="","",IF($B283="","",IFERROR($C283*$D283*SUMIFS('Dvd Calendar'!$E$529:$CZ$529,'Dvd Calendar'!$E$528:$CZ$528,"&gt;"&amp;H$225,'Dvd Calendar'!$E$528:$CZ$528,"&lt;="&amp;H$226)/MXAU!$B$3,"")))</f>
        <v/>
      </c>
      <c r="I283" s="113">
        <f>IF(I$226="","",IF($B283="","",IFERROR($C283*$D283*SUMIFS('Dvd Calendar'!$E$529:$CZ$529,'Dvd Calendar'!$E$528:$CZ$528,"&gt;"&amp;I$225,'Dvd Calendar'!$E$528:$CZ$528,"&lt;="&amp;I$226)/MXAU!$B$3,"")))</f>
        <v/>
      </c>
      <c r="J283" s="113">
        <f>IF(J$226="","",IF($B283="","",IFERROR($C283*$D283*SUMIFS('Dvd Calendar'!$E$529:$CZ$529,'Dvd Calendar'!$E$528:$CZ$528,"&gt;"&amp;J$225,'Dvd Calendar'!$E$528:$CZ$528,"&lt;="&amp;J$226)/MXAU!$B$3,"")))</f>
        <v/>
      </c>
      <c r="K283" s="113">
        <f>IF(K$226="","",IF($B283="","",IFERROR($C283*$D283*SUMIFS('Dvd Calendar'!$E$529:$CZ$529,'Dvd Calendar'!$E$528:$CZ$528,"&gt;"&amp;K$225,'Dvd Calendar'!$E$528:$CZ$528,"&lt;="&amp;K$226)/MXAU!$B$3,"")))</f>
        <v/>
      </c>
      <c r="L283" s="113">
        <f>IF(L$226="","",IF($B283="","",IFERROR($C283*$D283*SUMIFS('Dvd Calendar'!$E$529:$CZ$529,'Dvd Calendar'!$E$528:$CZ$528,"&gt;"&amp;L$225,'Dvd Calendar'!$E$528:$CZ$528,"&lt;="&amp;L$226)/MXAU!$B$3,"")))</f>
        <v/>
      </c>
      <c r="M283" s="113">
        <f>IF(M$226="","",IF($B283="","",IFERROR($C283*$D283*SUMIFS('Dvd Calendar'!$E$529:$CZ$529,'Dvd Calendar'!$E$528:$CZ$528,"&gt;"&amp;M$225,'Dvd Calendar'!$E$528:$CZ$528,"&lt;="&amp;M$226)/MXAU!$B$3,"")))</f>
        <v/>
      </c>
      <c r="N283" s="113">
        <f>IF(N$226="","",IF($B283="","",IFERROR($C283*$D283*SUMIFS('Dvd Calendar'!$E$529:$CZ$529,'Dvd Calendar'!$E$528:$CZ$528,"&gt;"&amp;N$225,'Dvd Calendar'!$E$528:$CZ$528,"&lt;="&amp;N$226)/MXAU!$B$3,"")))</f>
        <v/>
      </c>
      <c r="O283" s="113">
        <f>IF(O$226="","",IF($B283="","",IFERROR($C283*$D283*SUMIFS('Dvd Calendar'!$E$529:$CZ$529,'Dvd Calendar'!$E$528:$CZ$528,"&gt;"&amp;O$225,'Dvd Calendar'!$E$528:$CZ$528,"&lt;="&amp;O$226)/MXAU!$B$3,"")))</f>
        <v/>
      </c>
      <c r="P283" s="113">
        <f>IF(P$226="","",IF($B283="","",IFERROR($C283*$D283*SUMIFS('Dvd Calendar'!$E$529:$CZ$529,'Dvd Calendar'!$E$528:$CZ$528,"&gt;"&amp;P$225,'Dvd Calendar'!$E$528:$CZ$528,"&lt;="&amp;P$226)/MXAU!$B$3,"")))</f>
        <v/>
      </c>
      <c r="Q283" s="113">
        <f>IF(Q$226="","",IF($B283="","",IFERROR($C283*$D283*SUMIFS('Dvd Calendar'!$E$529:$CZ$529,'Dvd Calendar'!$E$528:$CZ$528,"&gt;"&amp;Q$225,'Dvd Calendar'!$E$528:$CZ$528,"&lt;="&amp;Q$226)/MXAU!$B$3,"")))</f>
        <v/>
      </c>
      <c r="R283" s="113">
        <f>IF(R$226="","",IF($B283="","",IFERROR($C283*$D283*SUMIFS('Dvd Calendar'!$E$529:$CZ$529,'Dvd Calendar'!$E$528:$CZ$528,"&gt;"&amp;R$225,'Dvd Calendar'!$E$528:$CZ$528,"&lt;="&amp;R$226)/MXAU!$B$3,"")))</f>
        <v/>
      </c>
      <c r="S283" s="113">
        <f>IF(S$226="","",IF($B283="","",IFERROR($C283*$D283*SUMIFS('Dvd Calendar'!$E$529:$CZ$529,'Dvd Calendar'!$E$528:$CZ$528,"&gt;"&amp;S$225,'Dvd Calendar'!$E$528:$CZ$528,"&lt;="&amp;S$226)/MXAU!$B$3,"")))</f>
        <v/>
      </c>
      <c r="T283" s="113">
        <f>IF(T$226="","",IF($B283="","",IFERROR($C283*$D283*SUMIFS('Dvd Calendar'!$E$529:$CZ$529,'Dvd Calendar'!$E$528:$CZ$528,"&gt;"&amp;T$225,'Dvd Calendar'!$E$528:$CZ$528,"&lt;="&amp;T$226)/MXAU!$B$3,"")))</f>
        <v/>
      </c>
      <c r="U283" s="113">
        <f>IF(U$226="","",IF($B283="","",IFERROR($C283*$D283*SUMIFS('Dvd Calendar'!$E$529:$CZ$529,'Dvd Calendar'!$E$528:$CZ$528,"&gt;"&amp;U$225,'Dvd Calendar'!$E$528:$CZ$528,"&lt;="&amp;U$226)/MXAU!$B$3,"")))</f>
        <v/>
      </c>
      <c r="W283" s="113">
        <f>IF(W$226="","",IF($B283="","",IFERROR(F283*$E283/100,"")))</f>
        <v/>
      </c>
      <c r="X283" s="113">
        <f>IF(X$226="","",IF($B283="","",IFERROR(G283*$E283/100,"")))</f>
        <v/>
      </c>
      <c r="Y283" s="113">
        <f>IF(Y$226="","",IF($B283="","",IFERROR(H283*$E283/100,"")))</f>
        <v/>
      </c>
      <c r="Z283" s="113">
        <f>IF(Z$226="","",IF($B283="","",IFERROR(I283*$E283/100,"")))</f>
        <v/>
      </c>
      <c r="AA283" s="113">
        <f>IF(AA$226="","",IF($B283="","",IFERROR(J283*$E283/100,"")))</f>
        <v/>
      </c>
      <c r="AB283" s="113">
        <f>IF(AB$226="","",IF($B283="","",IFERROR(K283*$E283/100,"")))</f>
        <v/>
      </c>
      <c r="AC283" s="113">
        <f>IF(AC$226="","",IF($B283="","",IFERROR(L283*$E283/100,"")))</f>
        <v/>
      </c>
      <c r="AD283" s="113">
        <f>IF(AD$226="","",IF($B283="","",IFERROR(M283*$E283/100,"")))</f>
        <v/>
      </c>
      <c r="AE283" s="113">
        <f>IF(AE$226="","",IF($B283="","",IFERROR(N283*$E283/100,"")))</f>
        <v/>
      </c>
      <c r="AF283" s="113">
        <f>IF(AF$226="","",IF($B283="","",IFERROR(O283*$E283/100,"")))</f>
        <v/>
      </c>
      <c r="AG283" s="113">
        <f>IF(AG$226="","",IF($B283="","",IFERROR(P283*$E283/100,"")))</f>
        <v/>
      </c>
      <c r="AH283" s="113">
        <f>IF(AH$226="","",IF($B283="","",IFERROR(Q283*$E283/100,"")))</f>
        <v/>
      </c>
      <c r="AI283" s="113">
        <f>IF(AI$226="","",IF($B283="","",IFERROR(R283*$E283/100,"")))</f>
        <v/>
      </c>
      <c r="AJ283" s="113">
        <f>IF(AJ$226="","",IF($B283="","",IFERROR(S283*$E283/100,"")))</f>
        <v/>
      </c>
      <c r="AK283" s="113">
        <f>IF(AK$226="","",IF($B283="","",IFERROR(T283*$E283/100,"")))</f>
        <v/>
      </c>
      <c r="AL283" s="113">
        <f>IF(AL$226="","",IF($B283="","",IFERROR(U283*$E283/100,"")))</f>
        <v/>
      </c>
    </row>
    <row r="284">
      <c r="B284" s="5">
        <f>IF(MXAU!$C$61="","",MXAU!$C$61)</f>
        <v/>
      </c>
      <c r="C284" s="86">
        <f>IF(MXAU!$B$61="","",MXAU!$B$61)</f>
        <v/>
      </c>
      <c r="D284" s="111">
        <f>IFERROR(MXAU!$Q$61,1)</f>
        <v/>
      </c>
      <c r="E284" s="112">
        <f>IF($B284="","",IF(ISNUMBER(MXAU!$I$61),MXAU!$I$61,'Index Summary'!$C$7))</f>
        <v/>
      </c>
      <c r="F284" s="113">
        <f>IF(F$226="","",IF($B284="","",IFERROR($C284*$D284*SUMIFS('Dvd Calendar'!$E$531:$CZ$531,'Dvd Calendar'!$E$530:$CZ$530,"&gt;"&amp;F$225,'Dvd Calendar'!$E$530:$CZ$530,"&lt;="&amp;F$226)/MXAU!$B$3,"")))</f>
        <v/>
      </c>
      <c r="G284" s="113">
        <f>IF(G$226="","",IF($B284="","",IFERROR($C284*$D284*SUMIFS('Dvd Calendar'!$E$531:$CZ$531,'Dvd Calendar'!$E$530:$CZ$530,"&gt;"&amp;G$225,'Dvd Calendar'!$E$530:$CZ$530,"&lt;="&amp;G$226)/MXAU!$B$3,"")))</f>
        <v/>
      </c>
      <c r="H284" s="113">
        <f>IF(H$226="","",IF($B284="","",IFERROR($C284*$D284*SUMIFS('Dvd Calendar'!$E$531:$CZ$531,'Dvd Calendar'!$E$530:$CZ$530,"&gt;"&amp;H$225,'Dvd Calendar'!$E$530:$CZ$530,"&lt;="&amp;H$226)/MXAU!$B$3,"")))</f>
        <v/>
      </c>
      <c r="I284" s="113">
        <f>IF(I$226="","",IF($B284="","",IFERROR($C284*$D284*SUMIFS('Dvd Calendar'!$E$531:$CZ$531,'Dvd Calendar'!$E$530:$CZ$530,"&gt;"&amp;I$225,'Dvd Calendar'!$E$530:$CZ$530,"&lt;="&amp;I$226)/MXAU!$B$3,"")))</f>
        <v/>
      </c>
      <c r="J284" s="113">
        <f>IF(J$226="","",IF($B284="","",IFERROR($C284*$D284*SUMIFS('Dvd Calendar'!$E$531:$CZ$531,'Dvd Calendar'!$E$530:$CZ$530,"&gt;"&amp;J$225,'Dvd Calendar'!$E$530:$CZ$530,"&lt;="&amp;J$226)/MXAU!$B$3,"")))</f>
        <v/>
      </c>
      <c r="K284" s="113">
        <f>IF(K$226="","",IF($B284="","",IFERROR($C284*$D284*SUMIFS('Dvd Calendar'!$E$531:$CZ$531,'Dvd Calendar'!$E$530:$CZ$530,"&gt;"&amp;K$225,'Dvd Calendar'!$E$530:$CZ$530,"&lt;="&amp;K$226)/MXAU!$B$3,"")))</f>
        <v/>
      </c>
      <c r="L284" s="113">
        <f>IF(L$226="","",IF($B284="","",IFERROR($C284*$D284*SUMIFS('Dvd Calendar'!$E$531:$CZ$531,'Dvd Calendar'!$E$530:$CZ$530,"&gt;"&amp;L$225,'Dvd Calendar'!$E$530:$CZ$530,"&lt;="&amp;L$226)/MXAU!$B$3,"")))</f>
        <v/>
      </c>
      <c r="M284" s="113">
        <f>IF(M$226="","",IF($B284="","",IFERROR($C284*$D284*SUMIFS('Dvd Calendar'!$E$531:$CZ$531,'Dvd Calendar'!$E$530:$CZ$530,"&gt;"&amp;M$225,'Dvd Calendar'!$E$530:$CZ$530,"&lt;="&amp;M$226)/MXAU!$B$3,"")))</f>
        <v/>
      </c>
      <c r="N284" s="113">
        <f>IF(N$226="","",IF($B284="","",IFERROR($C284*$D284*SUMIFS('Dvd Calendar'!$E$531:$CZ$531,'Dvd Calendar'!$E$530:$CZ$530,"&gt;"&amp;N$225,'Dvd Calendar'!$E$530:$CZ$530,"&lt;="&amp;N$226)/MXAU!$B$3,"")))</f>
        <v/>
      </c>
      <c r="O284" s="113">
        <f>IF(O$226="","",IF($B284="","",IFERROR($C284*$D284*SUMIFS('Dvd Calendar'!$E$531:$CZ$531,'Dvd Calendar'!$E$530:$CZ$530,"&gt;"&amp;O$225,'Dvd Calendar'!$E$530:$CZ$530,"&lt;="&amp;O$226)/MXAU!$B$3,"")))</f>
        <v/>
      </c>
      <c r="P284" s="113">
        <f>IF(P$226="","",IF($B284="","",IFERROR($C284*$D284*SUMIFS('Dvd Calendar'!$E$531:$CZ$531,'Dvd Calendar'!$E$530:$CZ$530,"&gt;"&amp;P$225,'Dvd Calendar'!$E$530:$CZ$530,"&lt;="&amp;P$226)/MXAU!$B$3,"")))</f>
        <v/>
      </c>
      <c r="Q284" s="113">
        <f>IF(Q$226="","",IF($B284="","",IFERROR($C284*$D284*SUMIFS('Dvd Calendar'!$E$531:$CZ$531,'Dvd Calendar'!$E$530:$CZ$530,"&gt;"&amp;Q$225,'Dvd Calendar'!$E$530:$CZ$530,"&lt;="&amp;Q$226)/MXAU!$B$3,"")))</f>
        <v/>
      </c>
      <c r="R284" s="113">
        <f>IF(R$226="","",IF($B284="","",IFERROR($C284*$D284*SUMIFS('Dvd Calendar'!$E$531:$CZ$531,'Dvd Calendar'!$E$530:$CZ$530,"&gt;"&amp;R$225,'Dvd Calendar'!$E$530:$CZ$530,"&lt;="&amp;R$226)/MXAU!$B$3,"")))</f>
        <v/>
      </c>
      <c r="S284" s="113">
        <f>IF(S$226="","",IF($B284="","",IFERROR($C284*$D284*SUMIFS('Dvd Calendar'!$E$531:$CZ$531,'Dvd Calendar'!$E$530:$CZ$530,"&gt;"&amp;S$225,'Dvd Calendar'!$E$530:$CZ$530,"&lt;="&amp;S$226)/MXAU!$B$3,"")))</f>
        <v/>
      </c>
      <c r="T284" s="113">
        <f>IF(T$226="","",IF($B284="","",IFERROR($C284*$D284*SUMIFS('Dvd Calendar'!$E$531:$CZ$531,'Dvd Calendar'!$E$530:$CZ$530,"&gt;"&amp;T$225,'Dvd Calendar'!$E$530:$CZ$530,"&lt;="&amp;T$226)/MXAU!$B$3,"")))</f>
        <v/>
      </c>
      <c r="U284" s="113">
        <f>IF(U$226="","",IF($B284="","",IFERROR($C284*$D284*SUMIFS('Dvd Calendar'!$E$531:$CZ$531,'Dvd Calendar'!$E$530:$CZ$530,"&gt;"&amp;U$225,'Dvd Calendar'!$E$530:$CZ$530,"&lt;="&amp;U$226)/MXAU!$B$3,"")))</f>
        <v/>
      </c>
      <c r="W284" s="113">
        <f>IF(W$226="","",IF($B284="","",IFERROR(F284*$E284/100,"")))</f>
        <v/>
      </c>
      <c r="X284" s="113">
        <f>IF(X$226="","",IF($B284="","",IFERROR(G284*$E284/100,"")))</f>
        <v/>
      </c>
      <c r="Y284" s="113">
        <f>IF(Y$226="","",IF($B284="","",IFERROR(H284*$E284/100,"")))</f>
        <v/>
      </c>
      <c r="Z284" s="113">
        <f>IF(Z$226="","",IF($B284="","",IFERROR(I284*$E284/100,"")))</f>
        <v/>
      </c>
      <c r="AA284" s="113">
        <f>IF(AA$226="","",IF($B284="","",IFERROR(J284*$E284/100,"")))</f>
        <v/>
      </c>
      <c r="AB284" s="113">
        <f>IF(AB$226="","",IF($B284="","",IFERROR(K284*$E284/100,"")))</f>
        <v/>
      </c>
      <c r="AC284" s="113">
        <f>IF(AC$226="","",IF($B284="","",IFERROR(L284*$E284/100,"")))</f>
        <v/>
      </c>
      <c r="AD284" s="113">
        <f>IF(AD$226="","",IF($B284="","",IFERROR(M284*$E284/100,"")))</f>
        <v/>
      </c>
      <c r="AE284" s="113">
        <f>IF(AE$226="","",IF($B284="","",IFERROR(N284*$E284/100,"")))</f>
        <v/>
      </c>
      <c r="AF284" s="113">
        <f>IF(AF$226="","",IF($B284="","",IFERROR(O284*$E284/100,"")))</f>
        <v/>
      </c>
      <c r="AG284" s="113">
        <f>IF(AG$226="","",IF($B284="","",IFERROR(P284*$E284/100,"")))</f>
        <v/>
      </c>
      <c r="AH284" s="113">
        <f>IF(AH$226="","",IF($B284="","",IFERROR(Q284*$E284/100,"")))</f>
        <v/>
      </c>
      <c r="AI284" s="113">
        <f>IF(AI$226="","",IF($B284="","",IFERROR(R284*$E284/100,"")))</f>
        <v/>
      </c>
      <c r="AJ284" s="113">
        <f>IF(AJ$226="","",IF($B284="","",IFERROR(S284*$E284/100,"")))</f>
        <v/>
      </c>
      <c r="AK284" s="113">
        <f>IF(AK$226="","",IF($B284="","",IFERROR(T284*$E284/100,"")))</f>
        <v/>
      </c>
      <c r="AL284" s="113">
        <f>IF(AL$226="","",IF($B284="","",IFERROR(U284*$E284/100,"")))</f>
        <v/>
      </c>
    </row>
    <row r="285">
      <c r="B285" s="5">
        <f>IF(MXAU!$C$62="","",MXAU!$C$62)</f>
        <v/>
      </c>
      <c r="C285" s="86">
        <f>IF(MXAU!$B$62="","",MXAU!$B$62)</f>
        <v/>
      </c>
      <c r="D285" s="111">
        <f>IFERROR(MXAU!$Q$62,1)</f>
        <v/>
      </c>
      <c r="E285" s="112">
        <f>IF($B285="","",IF(ISNUMBER(MXAU!$I$62),MXAU!$I$62,'Index Summary'!$C$7))</f>
        <v/>
      </c>
      <c r="F285" s="113">
        <f>IF(F$226="","",IF($B285="","",IFERROR($C285*$D285*SUMIFS('Dvd Calendar'!$E$533:$CZ$533,'Dvd Calendar'!$E$532:$CZ$532,"&gt;"&amp;F$225,'Dvd Calendar'!$E$532:$CZ$532,"&lt;="&amp;F$226)/MXAU!$B$3,"")))</f>
        <v/>
      </c>
      <c r="G285" s="113">
        <f>IF(G$226="","",IF($B285="","",IFERROR($C285*$D285*SUMIFS('Dvd Calendar'!$E$533:$CZ$533,'Dvd Calendar'!$E$532:$CZ$532,"&gt;"&amp;G$225,'Dvd Calendar'!$E$532:$CZ$532,"&lt;="&amp;G$226)/MXAU!$B$3,"")))</f>
        <v/>
      </c>
      <c r="H285" s="113">
        <f>IF(H$226="","",IF($B285="","",IFERROR($C285*$D285*SUMIFS('Dvd Calendar'!$E$533:$CZ$533,'Dvd Calendar'!$E$532:$CZ$532,"&gt;"&amp;H$225,'Dvd Calendar'!$E$532:$CZ$532,"&lt;="&amp;H$226)/MXAU!$B$3,"")))</f>
        <v/>
      </c>
      <c r="I285" s="113">
        <f>IF(I$226="","",IF($B285="","",IFERROR($C285*$D285*SUMIFS('Dvd Calendar'!$E$533:$CZ$533,'Dvd Calendar'!$E$532:$CZ$532,"&gt;"&amp;I$225,'Dvd Calendar'!$E$532:$CZ$532,"&lt;="&amp;I$226)/MXAU!$B$3,"")))</f>
        <v/>
      </c>
      <c r="J285" s="113">
        <f>IF(J$226="","",IF($B285="","",IFERROR($C285*$D285*SUMIFS('Dvd Calendar'!$E$533:$CZ$533,'Dvd Calendar'!$E$532:$CZ$532,"&gt;"&amp;J$225,'Dvd Calendar'!$E$532:$CZ$532,"&lt;="&amp;J$226)/MXAU!$B$3,"")))</f>
        <v/>
      </c>
      <c r="K285" s="113">
        <f>IF(K$226="","",IF($B285="","",IFERROR($C285*$D285*SUMIFS('Dvd Calendar'!$E$533:$CZ$533,'Dvd Calendar'!$E$532:$CZ$532,"&gt;"&amp;K$225,'Dvd Calendar'!$E$532:$CZ$532,"&lt;="&amp;K$226)/MXAU!$B$3,"")))</f>
        <v/>
      </c>
      <c r="L285" s="113">
        <f>IF(L$226="","",IF($B285="","",IFERROR($C285*$D285*SUMIFS('Dvd Calendar'!$E$533:$CZ$533,'Dvd Calendar'!$E$532:$CZ$532,"&gt;"&amp;L$225,'Dvd Calendar'!$E$532:$CZ$532,"&lt;="&amp;L$226)/MXAU!$B$3,"")))</f>
        <v/>
      </c>
      <c r="M285" s="113">
        <f>IF(M$226="","",IF($B285="","",IFERROR($C285*$D285*SUMIFS('Dvd Calendar'!$E$533:$CZ$533,'Dvd Calendar'!$E$532:$CZ$532,"&gt;"&amp;M$225,'Dvd Calendar'!$E$532:$CZ$532,"&lt;="&amp;M$226)/MXAU!$B$3,"")))</f>
        <v/>
      </c>
      <c r="N285" s="113">
        <f>IF(N$226="","",IF($B285="","",IFERROR($C285*$D285*SUMIFS('Dvd Calendar'!$E$533:$CZ$533,'Dvd Calendar'!$E$532:$CZ$532,"&gt;"&amp;N$225,'Dvd Calendar'!$E$532:$CZ$532,"&lt;="&amp;N$226)/MXAU!$B$3,"")))</f>
        <v/>
      </c>
      <c r="O285" s="113">
        <f>IF(O$226="","",IF($B285="","",IFERROR($C285*$D285*SUMIFS('Dvd Calendar'!$E$533:$CZ$533,'Dvd Calendar'!$E$532:$CZ$532,"&gt;"&amp;O$225,'Dvd Calendar'!$E$532:$CZ$532,"&lt;="&amp;O$226)/MXAU!$B$3,"")))</f>
        <v/>
      </c>
      <c r="P285" s="113">
        <f>IF(P$226="","",IF($B285="","",IFERROR($C285*$D285*SUMIFS('Dvd Calendar'!$E$533:$CZ$533,'Dvd Calendar'!$E$532:$CZ$532,"&gt;"&amp;P$225,'Dvd Calendar'!$E$532:$CZ$532,"&lt;="&amp;P$226)/MXAU!$B$3,"")))</f>
        <v/>
      </c>
      <c r="Q285" s="113">
        <f>IF(Q$226="","",IF($B285="","",IFERROR($C285*$D285*SUMIFS('Dvd Calendar'!$E$533:$CZ$533,'Dvd Calendar'!$E$532:$CZ$532,"&gt;"&amp;Q$225,'Dvd Calendar'!$E$532:$CZ$532,"&lt;="&amp;Q$226)/MXAU!$B$3,"")))</f>
        <v/>
      </c>
      <c r="R285" s="113">
        <f>IF(R$226="","",IF($B285="","",IFERROR($C285*$D285*SUMIFS('Dvd Calendar'!$E$533:$CZ$533,'Dvd Calendar'!$E$532:$CZ$532,"&gt;"&amp;R$225,'Dvd Calendar'!$E$532:$CZ$532,"&lt;="&amp;R$226)/MXAU!$B$3,"")))</f>
        <v/>
      </c>
      <c r="S285" s="113">
        <f>IF(S$226="","",IF($B285="","",IFERROR($C285*$D285*SUMIFS('Dvd Calendar'!$E$533:$CZ$533,'Dvd Calendar'!$E$532:$CZ$532,"&gt;"&amp;S$225,'Dvd Calendar'!$E$532:$CZ$532,"&lt;="&amp;S$226)/MXAU!$B$3,"")))</f>
        <v/>
      </c>
      <c r="T285" s="113">
        <f>IF(T$226="","",IF($B285="","",IFERROR($C285*$D285*SUMIFS('Dvd Calendar'!$E$533:$CZ$533,'Dvd Calendar'!$E$532:$CZ$532,"&gt;"&amp;T$225,'Dvd Calendar'!$E$532:$CZ$532,"&lt;="&amp;T$226)/MXAU!$B$3,"")))</f>
        <v/>
      </c>
      <c r="U285" s="113">
        <f>IF(U$226="","",IF($B285="","",IFERROR($C285*$D285*SUMIFS('Dvd Calendar'!$E$533:$CZ$533,'Dvd Calendar'!$E$532:$CZ$532,"&gt;"&amp;U$225,'Dvd Calendar'!$E$532:$CZ$532,"&lt;="&amp;U$226)/MXAU!$B$3,"")))</f>
        <v/>
      </c>
      <c r="W285" s="113">
        <f>IF(W$226="","",IF($B285="","",IFERROR(F285*$E285/100,"")))</f>
        <v/>
      </c>
      <c r="X285" s="113">
        <f>IF(X$226="","",IF($B285="","",IFERROR(G285*$E285/100,"")))</f>
        <v/>
      </c>
      <c r="Y285" s="113">
        <f>IF(Y$226="","",IF($B285="","",IFERROR(H285*$E285/100,"")))</f>
        <v/>
      </c>
      <c r="Z285" s="113">
        <f>IF(Z$226="","",IF($B285="","",IFERROR(I285*$E285/100,"")))</f>
        <v/>
      </c>
      <c r="AA285" s="113">
        <f>IF(AA$226="","",IF($B285="","",IFERROR(J285*$E285/100,"")))</f>
        <v/>
      </c>
      <c r="AB285" s="113">
        <f>IF(AB$226="","",IF($B285="","",IFERROR(K285*$E285/100,"")))</f>
        <v/>
      </c>
      <c r="AC285" s="113">
        <f>IF(AC$226="","",IF($B285="","",IFERROR(L285*$E285/100,"")))</f>
        <v/>
      </c>
      <c r="AD285" s="113">
        <f>IF(AD$226="","",IF($B285="","",IFERROR(M285*$E285/100,"")))</f>
        <v/>
      </c>
      <c r="AE285" s="113">
        <f>IF(AE$226="","",IF($B285="","",IFERROR(N285*$E285/100,"")))</f>
        <v/>
      </c>
      <c r="AF285" s="113">
        <f>IF(AF$226="","",IF($B285="","",IFERROR(O285*$E285/100,"")))</f>
        <v/>
      </c>
      <c r="AG285" s="113">
        <f>IF(AG$226="","",IF($B285="","",IFERROR(P285*$E285/100,"")))</f>
        <v/>
      </c>
      <c r="AH285" s="113">
        <f>IF(AH$226="","",IF($B285="","",IFERROR(Q285*$E285/100,"")))</f>
        <v/>
      </c>
      <c r="AI285" s="113">
        <f>IF(AI$226="","",IF($B285="","",IFERROR(R285*$E285/100,"")))</f>
        <v/>
      </c>
      <c r="AJ285" s="113">
        <f>IF(AJ$226="","",IF($B285="","",IFERROR(S285*$E285/100,"")))</f>
        <v/>
      </c>
      <c r="AK285" s="113">
        <f>IF(AK$226="","",IF($B285="","",IFERROR(T285*$E285/100,"")))</f>
        <v/>
      </c>
      <c r="AL285" s="113">
        <f>IF(AL$226="","",IF($B285="","",IFERROR(U285*$E285/100,"")))</f>
        <v/>
      </c>
    </row>
    <row r="286">
      <c r="B286" s="5">
        <f>IF(MXAU!$C$63="","",MXAU!$C$63)</f>
        <v/>
      </c>
      <c r="C286" s="86">
        <f>IF(MXAU!$B$63="","",MXAU!$B$63)</f>
        <v/>
      </c>
      <c r="D286" s="111">
        <f>IFERROR(MXAU!$Q$63,1)</f>
        <v/>
      </c>
      <c r="E286" s="112">
        <f>IF($B286="","",IF(ISNUMBER(MXAU!$I$63),MXAU!$I$63,'Index Summary'!$C$7))</f>
        <v/>
      </c>
      <c r="F286" s="113">
        <f>IF(F$226="","",IF($B286="","",IFERROR($C286*$D286*SUMIFS('Dvd Calendar'!$E$535:$CZ$535,'Dvd Calendar'!$E$534:$CZ$534,"&gt;"&amp;F$225,'Dvd Calendar'!$E$534:$CZ$534,"&lt;="&amp;F$226)/MXAU!$B$3,"")))</f>
        <v/>
      </c>
      <c r="G286" s="113">
        <f>IF(G$226="","",IF($B286="","",IFERROR($C286*$D286*SUMIFS('Dvd Calendar'!$E$535:$CZ$535,'Dvd Calendar'!$E$534:$CZ$534,"&gt;"&amp;G$225,'Dvd Calendar'!$E$534:$CZ$534,"&lt;="&amp;G$226)/MXAU!$B$3,"")))</f>
        <v/>
      </c>
      <c r="H286" s="113">
        <f>IF(H$226="","",IF($B286="","",IFERROR($C286*$D286*SUMIFS('Dvd Calendar'!$E$535:$CZ$535,'Dvd Calendar'!$E$534:$CZ$534,"&gt;"&amp;H$225,'Dvd Calendar'!$E$534:$CZ$534,"&lt;="&amp;H$226)/MXAU!$B$3,"")))</f>
        <v/>
      </c>
      <c r="I286" s="113">
        <f>IF(I$226="","",IF($B286="","",IFERROR($C286*$D286*SUMIFS('Dvd Calendar'!$E$535:$CZ$535,'Dvd Calendar'!$E$534:$CZ$534,"&gt;"&amp;I$225,'Dvd Calendar'!$E$534:$CZ$534,"&lt;="&amp;I$226)/MXAU!$B$3,"")))</f>
        <v/>
      </c>
      <c r="J286" s="113">
        <f>IF(J$226="","",IF($B286="","",IFERROR($C286*$D286*SUMIFS('Dvd Calendar'!$E$535:$CZ$535,'Dvd Calendar'!$E$534:$CZ$534,"&gt;"&amp;J$225,'Dvd Calendar'!$E$534:$CZ$534,"&lt;="&amp;J$226)/MXAU!$B$3,"")))</f>
        <v/>
      </c>
      <c r="K286" s="113">
        <f>IF(K$226="","",IF($B286="","",IFERROR($C286*$D286*SUMIFS('Dvd Calendar'!$E$535:$CZ$535,'Dvd Calendar'!$E$534:$CZ$534,"&gt;"&amp;K$225,'Dvd Calendar'!$E$534:$CZ$534,"&lt;="&amp;K$226)/MXAU!$B$3,"")))</f>
        <v/>
      </c>
      <c r="L286" s="113">
        <f>IF(L$226="","",IF($B286="","",IFERROR($C286*$D286*SUMIFS('Dvd Calendar'!$E$535:$CZ$535,'Dvd Calendar'!$E$534:$CZ$534,"&gt;"&amp;L$225,'Dvd Calendar'!$E$534:$CZ$534,"&lt;="&amp;L$226)/MXAU!$B$3,"")))</f>
        <v/>
      </c>
      <c r="M286" s="113">
        <f>IF(M$226="","",IF($B286="","",IFERROR($C286*$D286*SUMIFS('Dvd Calendar'!$E$535:$CZ$535,'Dvd Calendar'!$E$534:$CZ$534,"&gt;"&amp;M$225,'Dvd Calendar'!$E$534:$CZ$534,"&lt;="&amp;M$226)/MXAU!$B$3,"")))</f>
        <v/>
      </c>
      <c r="N286" s="113">
        <f>IF(N$226="","",IF($B286="","",IFERROR($C286*$D286*SUMIFS('Dvd Calendar'!$E$535:$CZ$535,'Dvd Calendar'!$E$534:$CZ$534,"&gt;"&amp;N$225,'Dvd Calendar'!$E$534:$CZ$534,"&lt;="&amp;N$226)/MXAU!$B$3,"")))</f>
        <v/>
      </c>
      <c r="O286" s="113">
        <f>IF(O$226="","",IF($B286="","",IFERROR($C286*$D286*SUMIFS('Dvd Calendar'!$E$535:$CZ$535,'Dvd Calendar'!$E$534:$CZ$534,"&gt;"&amp;O$225,'Dvd Calendar'!$E$534:$CZ$534,"&lt;="&amp;O$226)/MXAU!$B$3,"")))</f>
        <v/>
      </c>
      <c r="P286" s="113">
        <f>IF(P$226="","",IF($B286="","",IFERROR($C286*$D286*SUMIFS('Dvd Calendar'!$E$535:$CZ$535,'Dvd Calendar'!$E$534:$CZ$534,"&gt;"&amp;P$225,'Dvd Calendar'!$E$534:$CZ$534,"&lt;="&amp;P$226)/MXAU!$B$3,"")))</f>
        <v/>
      </c>
      <c r="Q286" s="113">
        <f>IF(Q$226="","",IF($B286="","",IFERROR($C286*$D286*SUMIFS('Dvd Calendar'!$E$535:$CZ$535,'Dvd Calendar'!$E$534:$CZ$534,"&gt;"&amp;Q$225,'Dvd Calendar'!$E$534:$CZ$534,"&lt;="&amp;Q$226)/MXAU!$B$3,"")))</f>
        <v/>
      </c>
      <c r="R286" s="113">
        <f>IF(R$226="","",IF($B286="","",IFERROR($C286*$D286*SUMIFS('Dvd Calendar'!$E$535:$CZ$535,'Dvd Calendar'!$E$534:$CZ$534,"&gt;"&amp;R$225,'Dvd Calendar'!$E$534:$CZ$534,"&lt;="&amp;R$226)/MXAU!$B$3,"")))</f>
        <v/>
      </c>
      <c r="S286" s="113">
        <f>IF(S$226="","",IF($B286="","",IFERROR($C286*$D286*SUMIFS('Dvd Calendar'!$E$535:$CZ$535,'Dvd Calendar'!$E$534:$CZ$534,"&gt;"&amp;S$225,'Dvd Calendar'!$E$534:$CZ$534,"&lt;="&amp;S$226)/MXAU!$B$3,"")))</f>
        <v/>
      </c>
      <c r="T286" s="113">
        <f>IF(T$226="","",IF($B286="","",IFERROR($C286*$D286*SUMIFS('Dvd Calendar'!$E$535:$CZ$535,'Dvd Calendar'!$E$534:$CZ$534,"&gt;"&amp;T$225,'Dvd Calendar'!$E$534:$CZ$534,"&lt;="&amp;T$226)/MXAU!$B$3,"")))</f>
        <v/>
      </c>
      <c r="U286" s="113">
        <f>IF(U$226="","",IF($B286="","",IFERROR($C286*$D286*SUMIFS('Dvd Calendar'!$E$535:$CZ$535,'Dvd Calendar'!$E$534:$CZ$534,"&gt;"&amp;U$225,'Dvd Calendar'!$E$534:$CZ$534,"&lt;="&amp;U$226)/MXAU!$B$3,"")))</f>
        <v/>
      </c>
      <c r="W286" s="113">
        <f>IF(W$226="","",IF($B286="","",IFERROR(F286*$E286/100,"")))</f>
        <v/>
      </c>
      <c r="X286" s="113">
        <f>IF(X$226="","",IF($B286="","",IFERROR(G286*$E286/100,"")))</f>
        <v/>
      </c>
      <c r="Y286" s="113">
        <f>IF(Y$226="","",IF($B286="","",IFERROR(H286*$E286/100,"")))</f>
        <v/>
      </c>
      <c r="Z286" s="113">
        <f>IF(Z$226="","",IF($B286="","",IFERROR(I286*$E286/100,"")))</f>
        <v/>
      </c>
      <c r="AA286" s="113">
        <f>IF(AA$226="","",IF($B286="","",IFERROR(J286*$E286/100,"")))</f>
        <v/>
      </c>
      <c r="AB286" s="113">
        <f>IF(AB$226="","",IF($B286="","",IFERROR(K286*$E286/100,"")))</f>
        <v/>
      </c>
      <c r="AC286" s="113">
        <f>IF(AC$226="","",IF($B286="","",IFERROR(L286*$E286/100,"")))</f>
        <v/>
      </c>
      <c r="AD286" s="113">
        <f>IF(AD$226="","",IF($B286="","",IFERROR(M286*$E286/100,"")))</f>
        <v/>
      </c>
      <c r="AE286" s="113">
        <f>IF(AE$226="","",IF($B286="","",IFERROR(N286*$E286/100,"")))</f>
        <v/>
      </c>
      <c r="AF286" s="113">
        <f>IF(AF$226="","",IF($B286="","",IFERROR(O286*$E286/100,"")))</f>
        <v/>
      </c>
      <c r="AG286" s="113">
        <f>IF(AG$226="","",IF($B286="","",IFERROR(P286*$E286/100,"")))</f>
        <v/>
      </c>
      <c r="AH286" s="113">
        <f>IF(AH$226="","",IF($B286="","",IFERROR(Q286*$E286/100,"")))</f>
        <v/>
      </c>
      <c r="AI286" s="113">
        <f>IF(AI$226="","",IF($B286="","",IFERROR(R286*$E286/100,"")))</f>
        <v/>
      </c>
      <c r="AJ286" s="113">
        <f>IF(AJ$226="","",IF($B286="","",IFERROR(S286*$E286/100,"")))</f>
        <v/>
      </c>
      <c r="AK286" s="113">
        <f>IF(AK$226="","",IF($B286="","",IFERROR(T286*$E286/100,"")))</f>
        <v/>
      </c>
      <c r="AL286" s="113">
        <f>IF(AL$226="","",IF($B286="","",IFERROR(U286*$E286/100,"")))</f>
        <v/>
      </c>
    </row>
    <row r="287">
      <c r="B287" s="5">
        <f>IF(MXAU!$C$64="","",MXAU!$C$64)</f>
        <v/>
      </c>
      <c r="C287" s="86">
        <f>IF(MXAU!$B$64="","",MXAU!$B$64)</f>
        <v/>
      </c>
      <c r="D287" s="111">
        <f>IFERROR(MXAU!$Q$64,1)</f>
        <v/>
      </c>
      <c r="E287" s="112">
        <f>IF($B287="","",IF(ISNUMBER(MXAU!$I$64),MXAU!$I$64,'Index Summary'!$C$7))</f>
        <v/>
      </c>
      <c r="F287" s="113">
        <f>IF(F$226="","",IF($B287="","",IFERROR($C287*$D287*SUMIFS('Dvd Calendar'!$E$537:$CZ$537,'Dvd Calendar'!$E$536:$CZ$536,"&gt;"&amp;F$225,'Dvd Calendar'!$E$536:$CZ$536,"&lt;="&amp;F$226)/MXAU!$B$3,"")))</f>
        <v/>
      </c>
      <c r="G287" s="113">
        <f>IF(G$226="","",IF($B287="","",IFERROR($C287*$D287*SUMIFS('Dvd Calendar'!$E$537:$CZ$537,'Dvd Calendar'!$E$536:$CZ$536,"&gt;"&amp;G$225,'Dvd Calendar'!$E$536:$CZ$536,"&lt;="&amp;G$226)/MXAU!$B$3,"")))</f>
        <v/>
      </c>
      <c r="H287" s="113">
        <f>IF(H$226="","",IF($B287="","",IFERROR($C287*$D287*SUMIFS('Dvd Calendar'!$E$537:$CZ$537,'Dvd Calendar'!$E$536:$CZ$536,"&gt;"&amp;H$225,'Dvd Calendar'!$E$536:$CZ$536,"&lt;="&amp;H$226)/MXAU!$B$3,"")))</f>
        <v/>
      </c>
      <c r="I287" s="113">
        <f>IF(I$226="","",IF($B287="","",IFERROR($C287*$D287*SUMIFS('Dvd Calendar'!$E$537:$CZ$537,'Dvd Calendar'!$E$536:$CZ$536,"&gt;"&amp;I$225,'Dvd Calendar'!$E$536:$CZ$536,"&lt;="&amp;I$226)/MXAU!$B$3,"")))</f>
        <v/>
      </c>
      <c r="J287" s="113">
        <f>IF(J$226="","",IF($B287="","",IFERROR($C287*$D287*SUMIFS('Dvd Calendar'!$E$537:$CZ$537,'Dvd Calendar'!$E$536:$CZ$536,"&gt;"&amp;J$225,'Dvd Calendar'!$E$536:$CZ$536,"&lt;="&amp;J$226)/MXAU!$B$3,"")))</f>
        <v/>
      </c>
      <c r="K287" s="113">
        <f>IF(K$226="","",IF($B287="","",IFERROR($C287*$D287*SUMIFS('Dvd Calendar'!$E$537:$CZ$537,'Dvd Calendar'!$E$536:$CZ$536,"&gt;"&amp;K$225,'Dvd Calendar'!$E$536:$CZ$536,"&lt;="&amp;K$226)/MXAU!$B$3,"")))</f>
        <v/>
      </c>
      <c r="L287" s="113">
        <f>IF(L$226="","",IF($B287="","",IFERROR($C287*$D287*SUMIFS('Dvd Calendar'!$E$537:$CZ$537,'Dvd Calendar'!$E$536:$CZ$536,"&gt;"&amp;L$225,'Dvd Calendar'!$E$536:$CZ$536,"&lt;="&amp;L$226)/MXAU!$B$3,"")))</f>
        <v/>
      </c>
      <c r="M287" s="113">
        <f>IF(M$226="","",IF($B287="","",IFERROR($C287*$D287*SUMIFS('Dvd Calendar'!$E$537:$CZ$537,'Dvd Calendar'!$E$536:$CZ$536,"&gt;"&amp;M$225,'Dvd Calendar'!$E$536:$CZ$536,"&lt;="&amp;M$226)/MXAU!$B$3,"")))</f>
        <v/>
      </c>
      <c r="N287" s="113">
        <f>IF(N$226="","",IF($B287="","",IFERROR($C287*$D287*SUMIFS('Dvd Calendar'!$E$537:$CZ$537,'Dvd Calendar'!$E$536:$CZ$536,"&gt;"&amp;N$225,'Dvd Calendar'!$E$536:$CZ$536,"&lt;="&amp;N$226)/MXAU!$B$3,"")))</f>
        <v/>
      </c>
      <c r="O287" s="113">
        <f>IF(O$226="","",IF($B287="","",IFERROR($C287*$D287*SUMIFS('Dvd Calendar'!$E$537:$CZ$537,'Dvd Calendar'!$E$536:$CZ$536,"&gt;"&amp;O$225,'Dvd Calendar'!$E$536:$CZ$536,"&lt;="&amp;O$226)/MXAU!$B$3,"")))</f>
        <v/>
      </c>
      <c r="P287" s="113">
        <f>IF(P$226="","",IF($B287="","",IFERROR($C287*$D287*SUMIFS('Dvd Calendar'!$E$537:$CZ$537,'Dvd Calendar'!$E$536:$CZ$536,"&gt;"&amp;P$225,'Dvd Calendar'!$E$536:$CZ$536,"&lt;="&amp;P$226)/MXAU!$B$3,"")))</f>
        <v/>
      </c>
      <c r="Q287" s="113">
        <f>IF(Q$226="","",IF($B287="","",IFERROR($C287*$D287*SUMIFS('Dvd Calendar'!$E$537:$CZ$537,'Dvd Calendar'!$E$536:$CZ$536,"&gt;"&amp;Q$225,'Dvd Calendar'!$E$536:$CZ$536,"&lt;="&amp;Q$226)/MXAU!$B$3,"")))</f>
        <v/>
      </c>
      <c r="R287" s="113">
        <f>IF(R$226="","",IF($B287="","",IFERROR($C287*$D287*SUMIFS('Dvd Calendar'!$E$537:$CZ$537,'Dvd Calendar'!$E$536:$CZ$536,"&gt;"&amp;R$225,'Dvd Calendar'!$E$536:$CZ$536,"&lt;="&amp;R$226)/MXAU!$B$3,"")))</f>
        <v/>
      </c>
      <c r="S287" s="113">
        <f>IF(S$226="","",IF($B287="","",IFERROR($C287*$D287*SUMIFS('Dvd Calendar'!$E$537:$CZ$537,'Dvd Calendar'!$E$536:$CZ$536,"&gt;"&amp;S$225,'Dvd Calendar'!$E$536:$CZ$536,"&lt;="&amp;S$226)/MXAU!$B$3,"")))</f>
        <v/>
      </c>
      <c r="T287" s="113">
        <f>IF(T$226="","",IF($B287="","",IFERROR($C287*$D287*SUMIFS('Dvd Calendar'!$E$537:$CZ$537,'Dvd Calendar'!$E$536:$CZ$536,"&gt;"&amp;T$225,'Dvd Calendar'!$E$536:$CZ$536,"&lt;="&amp;T$226)/MXAU!$B$3,"")))</f>
        <v/>
      </c>
      <c r="U287" s="113">
        <f>IF(U$226="","",IF($B287="","",IFERROR($C287*$D287*SUMIFS('Dvd Calendar'!$E$537:$CZ$537,'Dvd Calendar'!$E$536:$CZ$536,"&gt;"&amp;U$225,'Dvd Calendar'!$E$536:$CZ$536,"&lt;="&amp;U$226)/MXAU!$B$3,"")))</f>
        <v/>
      </c>
      <c r="W287" s="113">
        <f>IF(W$226="","",IF($B287="","",IFERROR(F287*$E287/100,"")))</f>
        <v/>
      </c>
      <c r="X287" s="113">
        <f>IF(X$226="","",IF($B287="","",IFERROR(G287*$E287/100,"")))</f>
        <v/>
      </c>
      <c r="Y287" s="113">
        <f>IF(Y$226="","",IF($B287="","",IFERROR(H287*$E287/100,"")))</f>
        <v/>
      </c>
      <c r="Z287" s="113">
        <f>IF(Z$226="","",IF($B287="","",IFERROR(I287*$E287/100,"")))</f>
        <v/>
      </c>
      <c r="AA287" s="113">
        <f>IF(AA$226="","",IF($B287="","",IFERROR(J287*$E287/100,"")))</f>
        <v/>
      </c>
      <c r="AB287" s="113">
        <f>IF(AB$226="","",IF($B287="","",IFERROR(K287*$E287/100,"")))</f>
        <v/>
      </c>
      <c r="AC287" s="113">
        <f>IF(AC$226="","",IF($B287="","",IFERROR(L287*$E287/100,"")))</f>
        <v/>
      </c>
      <c r="AD287" s="113">
        <f>IF(AD$226="","",IF($B287="","",IFERROR(M287*$E287/100,"")))</f>
        <v/>
      </c>
      <c r="AE287" s="113">
        <f>IF(AE$226="","",IF($B287="","",IFERROR(N287*$E287/100,"")))</f>
        <v/>
      </c>
      <c r="AF287" s="113">
        <f>IF(AF$226="","",IF($B287="","",IFERROR(O287*$E287/100,"")))</f>
        <v/>
      </c>
      <c r="AG287" s="113">
        <f>IF(AG$226="","",IF($B287="","",IFERROR(P287*$E287/100,"")))</f>
        <v/>
      </c>
      <c r="AH287" s="113">
        <f>IF(AH$226="","",IF($B287="","",IFERROR(Q287*$E287/100,"")))</f>
        <v/>
      </c>
      <c r="AI287" s="113">
        <f>IF(AI$226="","",IF($B287="","",IFERROR(R287*$E287/100,"")))</f>
        <v/>
      </c>
      <c r="AJ287" s="113">
        <f>IF(AJ$226="","",IF($B287="","",IFERROR(S287*$E287/100,"")))</f>
        <v/>
      </c>
      <c r="AK287" s="113">
        <f>IF(AK$226="","",IF($B287="","",IFERROR(T287*$E287/100,"")))</f>
        <v/>
      </c>
      <c r="AL287" s="113">
        <f>IF(AL$226="","",IF($B287="","",IFERROR(U287*$E287/100,"")))</f>
        <v/>
      </c>
    </row>
    <row r="288">
      <c r="B288" s="5">
        <f>IF(MXAU!$C$65="","",MXAU!$C$65)</f>
        <v/>
      </c>
      <c r="C288" s="86">
        <f>IF(MXAU!$B$65="","",MXAU!$B$65)</f>
        <v/>
      </c>
      <c r="D288" s="111">
        <f>IFERROR(MXAU!$Q$65,1)</f>
        <v/>
      </c>
      <c r="E288" s="112">
        <f>IF($B288="","",IF(ISNUMBER(MXAU!$I$65),MXAU!$I$65,'Index Summary'!$C$7))</f>
        <v/>
      </c>
      <c r="F288" s="113">
        <f>IF(F$226="","",IF($B288="","",IFERROR($C288*$D288*SUMIFS('Dvd Calendar'!$E$539:$CZ$539,'Dvd Calendar'!$E$538:$CZ$538,"&gt;"&amp;F$225,'Dvd Calendar'!$E$538:$CZ$538,"&lt;="&amp;F$226)/MXAU!$B$3,"")))</f>
        <v/>
      </c>
      <c r="G288" s="113">
        <f>IF(G$226="","",IF($B288="","",IFERROR($C288*$D288*SUMIFS('Dvd Calendar'!$E$539:$CZ$539,'Dvd Calendar'!$E$538:$CZ$538,"&gt;"&amp;G$225,'Dvd Calendar'!$E$538:$CZ$538,"&lt;="&amp;G$226)/MXAU!$B$3,"")))</f>
        <v/>
      </c>
      <c r="H288" s="113">
        <f>IF(H$226="","",IF($B288="","",IFERROR($C288*$D288*SUMIFS('Dvd Calendar'!$E$539:$CZ$539,'Dvd Calendar'!$E$538:$CZ$538,"&gt;"&amp;H$225,'Dvd Calendar'!$E$538:$CZ$538,"&lt;="&amp;H$226)/MXAU!$B$3,"")))</f>
        <v/>
      </c>
      <c r="I288" s="113">
        <f>IF(I$226="","",IF($B288="","",IFERROR($C288*$D288*SUMIFS('Dvd Calendar'!$E$539:$CZ$539,'Dvd Calendar'!$E$538:$CZ$538,"&gt;"&amp;I$225,'Dvd Calendar'!$E$538:$CZ$538,"&lt;="&amp;I$226)/MXAU!$B$3,"")))</f>
        <v/>
      </c>
      <c r="J288" s="113">
        <f>IF(J$226="","",IF($B288="","",IFERROR($C288*$D288*SUMIFS('Dvd Calendar'!$E$539:$CZ$539,'Dvd Calendar'!$E$538:$CZ$538,"&gt;"&amp;J$225,'Dvd Calendar'!$E$538:$CZ$538,"&lt;="&amp;J$226)/MXAU!$B$3,"")))</f>
        <v/>
      </c>
      <c r="K288" s="113">
        <f>IF(K$226="","",IF($B288="","",IFERROR($C288*$D288*SUMIFS('Dvd Calendar'!$E$539:$CZ$539,'Dvd Calendar'!$E$538:$CZ$538,"&gt;"&amp;K$225,'Dvd Calendar'!$E$538:$CZ$538,"&lt;="&amp;K$226)/MXAU!$B$3,"")))</f>
        <v/>
      </c>
      <c r="L288" s="113">
        <f>IF(L$226="","",IF($B288="","",IFERROR($C288*$D288*SUMIFS('Dvd Calendar'!$E$539:$CZ$539,'Dvd Calendar'!$E$538:$CZ$538,"&gt;"&amp;L$225,'Dvd Calendar'!$E$538:$CZ$538,"&lt;="&amp;L$226)/MXAU!$B$3,"")))</f>
        <v/>
      </c>
      <c r="M288" s="113">
        <f>IF(M$226="","",IF($B288="","",IFERROR($C288*$D288*SUMIFS('Dvd Calendar'!$E$539:$CZ$539,'Dvd Calendar'!$E$538:$CZ$538,"&gt;"&amp;M$225,'Dvd Calendar'!$E$538:$CZ$538,"&lt;="&amp;M$226)/MXAU!$B$3,"")))</f>
        <v/>
      </c>
      <c r="N288" s="113">
        <f>IF(N$226="","",IF($B288="","",IFERROR($C288*$D288*SUMIFS('Dvd Calendar'!$E$539:$CZ$539,'Dvd Calendar'!$E$538:$CZ$538,"&gt;"&amp;N$225,'Dvd Calendar'!$E$538:$CZ$538,"&lt;="&amp;N$226)/MXAU!$B$3,"")))</f>
        <v/>
      </c>
      <c r="O288" s="113">
        <f>IF(O$226="","",IF($B288="","",IFERROR($C288*$D288*SUMIFS('Dvd Calendar'!$E$539:$CZ$539,'Dvd Calendar'!$E$538:$CZ$538,"&gt;"&amp;O$225,'Dvd Calendar'!$E$538:$CZ$538,"&lt;="&amp;O$226)/MXAU!$B$3,"")))</f>
        <v/>
      </c>
      <c r="P288" s="113">
        <f>IF(P$226="","",IF($B288="","",IFERROR($C288*$D288*SUMIFS('Dvd Calendar'!$E$539:$CZ$539,'Dvd Calendar'!$E$538:$CZ$538,"&gt;"&amp;P$225,'Dvd Calendar'!$E$538:$CZ$538,"&lt;="&amp;P$226)/MXAU!$B$3,"")))</f>
        <v/>
      </c>
      <c r="Q288" s="113">
        <f>IF(Q$226="","",IF($B288="","",IFERROR($C288*$D288*SUMIFS('Dvd Calendar'!$E$539:$CZ$539,'Dvd Calendar'!$E$538:$CZ$538,"&gt;"&amp;Q$225,'Dvd Calendar'!$E$538:$CZ$538,"&lt;="&amp;Q$226)/MXAU!$B$3,"")))</f>
        <v/>
      </c>
      <c r="R288" s="113">
        <f>IF(R$226="","",IF($B288="","",IFERROR($C288*$D288*SUMIFS('Dvd Calendar'!$E$539:$CZ$539,'Dvd Calendar'!$E$538:$CZ$538,"&gt;"&amp;R$225,'Dvd Calendar'!$E$538:$CZ$538,"&lt;="&amp;R$226)/MXAU!$B$3,"")))</f>
        <v/>
      </c>
      <c r="S288" s="113">
        <f>IF(S$226="","",IF($B288="","",IFERROR($C288*$D288*SUMIFS('Dvd Calendar'!$E$539:$CZ$539,'Dvd Calendar'!$E$538:$CZ$538,"&gt;"&amp;S$225,'Dvd Calendar'!$E$538:$CZ$538,"&lt;="&amp;S$226)/MXAU!$B$3,"")))</f>
        <v/>
      </c>
      <c r="T288" s="113">
        <f>IF(T$226="","",IF($B288="","",IFERROR($C288*$D288*SUMIFS('Dvd Calendar'!$E$539:$CZ$539,'Dvd Calendar'!$E$538:$CZ$538,"&gt;"&amp;T$225,'Dvd Calendar'!$E$538:$CZ$538,"&lt;="&amp;T$226)/MXAU!$B$3,"")))</f>
        <v/>
      </c>
      <c r="U288" s="113">
        <f>IF(U$226="","",IF($B288="","",IFERROR($C288*$D288*SUMIFS('Dvd Calendar'!$E$539:$CZ$539,'Dvd Calendar'!$E$538:$CZ$538,"&gt;"&amp;U$225,'Dvd Calendar'!$E$538:$CZ$538,"&lt;="&amp;U$226)/MXAU!$B$3,"")))</f>
        <v/>
      </c>
      <c r="W288" s="113">
        <f>IF(W$226="","",IF($B288="","",IFERROR(F288*$E288/100,"")))</f>
        <v/>
      </c>
      <c r="X288" s="113">
        <f>IF(X$226="","",IF($B288="","",IFERROR(G288*$E288/100,"")))</f>
        <v/>
      </c>
      <c r="Y288" s="113">
        <f>IF(Y$226="","",IF($B288="","",IFERROR(H288*$E288/100,"")))</f>
        <v/>
      </c>
      <c r="Z288" s="113">
        <f>IF(Z$226="","",IF($B288="","",IFERROR(I288*$E288/100,"")))</f>
        <v/>
      </c>
      <c r="AA288" s="113">
        <f>IF(AA$226="","",IF($B288="","",IFERROR(J288*$E288/100,"")))</f>
        <v/>
      </c>
      <c r="AB288" s="113">
        <f>IF(AB$226="","",IF($B288="","",IFERROR(K288*$E288/100,"")))</f>
        <v/>
      </c>
      <c r="AC288" s="113">
        <f>IF(AC$226="","",IF($B288="","",IFERROR(L288*$E288/100,"")))</f>
        <v/>
      </c>
      <c r="AD288" s="113">
        <f>IF(AD$226="","",IF($B288="","",IFERROR(M288*$E288/100,"")))</f>
        <v/>
      </c>
      <c r="AE288" s="113">
        <f>IF(AE$226="","",IF($B288="","",IFERROR(N288*$E288/100,"")))</f>
        <v/>
      </c>
      <c r="AF288" s="113">
        <f>IF(AF$226="","",IF($B288="","",IFERROR(O288*$E288/100,"")))</f>
        <v/>
      </c>
      <c r="AG288" s="113">
        <f>IF(AG$226="","",IF($B288="","",IFERROR(P288*$E288/100,"")))</f>
        <v/>
      </c>
      <c r="AH288" s="113">
        <f>IF(AH$226="","",IF($B288="","",IFERROR(Q288*$E288/100,"")))</f>
        <v/>
      </c>
      <c r="AI288" s="113">
        <f>IF(AI$226="","",IF($B288="","",IFERROR(R288*$E288/100,"")))</f>
        <v/>
      </c>
      <c r="AJ288" s="113">
        <f>IF(AJ$226="","",IF($B288="","",IFERROR(S288*$E288/100,"")))</f>
        <v/>
      </c>
      <c r="AK288" s="113">
        <f>IF(AK$226="","",IF($B288="","",IFERROR(T288*$E288/100,"")))</f>
        <v/>
      </c>
      <c r="AL288" s="113">
        <f>IF(AL$226="","",IF($B288="","",IFERROR(U288*$E288/100,"")))</f>
        <v/>
      </c>
    </row>
    <row r="289">
      <c r="B289" s="5">
        <f>IF(MXAU!$C$66="","",MXAU!$C$66)</f>
        <v/>
      </c>
      <c r="C289" s="86">
        <f>IF(MXAU!$B$66="","",MXAU!$B$66)</f>
        <v/>
      </c>
      <c r="D289" s="111">
        <f>IFERROR(MXAU!$Q$66,1)</f>
        <v/>
      </c>
      <c r="E289" s="112">
        <f>IF($B289="","",IF(ISNUMBER(MXAU!$I$66),MXAU!$I$66,'Index Summary'!$C$7))</f>
        <v/>
      </c>
      <c r="F289" s="113">
        <f>IF(F$226="","",IF($B289="","",IFERROR($C289*$D289*SUMIFS('Dvd Calendar'!$E$541:$CZ$541,'Dvd Calendar'!$E$540:$CZ$540,"&gt;"&amp;F$225,'Dvd Calendar'!$E$540:$CZ$540,"&lt;="&amp;F$226)/MXAU!$B$3,"")))</f>
        <v/>
      </c>
      <c r="G289" s="113">
        <f>IF(G$226="","",IF($B289="","",IFERROR($C289*$D289*SUMIFS('Dvd Calendar'!$E$541:$CZ$541,'Dvd Calendar'!$E$540:$CZ$540,"&gt;"&amp;G$225,'Dvd Calendar'!$E$540:$CZ$540,"&lt;="&amp;G$226)/MXAU!$B$3,"")))</f>
        <v/>
      </c>
      <c r="H289" s="113">
        <f>IF(H$226="","",IF($B289="","",IFERROR($C289*$D289*SUMIFS('Dvd Calendar'!$E$541:$CZ$541,'Dvd Calendar'!$E$540:$CZ$540,"&gt;"&amp;H$225,'Dvd Calendar'!$E$540:$CZ$540,"&lt;="&amp;H$226)/MXAU!$B$3,"")))</f>
        <v/>
      </c>
      <c r="I289" s="113">
        <f>IF(I$226="","",IF($B289="","",IFERROR($C289*$D289*SUMIFS('Dvd Calendar'!$E$541:$CZ$541,'Dvd Calendar'!$E$540:$CZ$540,"&gt;"&amp;I$225,'Dvd Calendar'!$E$540:$CZ$540,"&lt;="&amp;I$226)/MXAU!$B$3,"")))</f>
        <v/>
      </c>
      <c r="J289" s="113">
        <f>IF(J$226="","",IF($B289="","",IFERROR($C289*$D289*SUMIFS('Dvd Calendar'!$E$541:$CZ$541,'Dvd Calendar'!$E$540:$CZ$540,"&gt;"&amp;J$225,'Dvd Calendar'!$E$540:$CZ$540,"&lt;="&amp;J$226)/MXAU!$B$3,"")))</f>
        <v/>
      </c>
      <c r="K289" s="113">
        <f>IF(K$226="","",IF($B289="","",IFERROR($C289*$D289*SUMIFS('Dvd Calendar'!$E$541:$CZ$541,'Dvd Calendar'!$E$540:$CZ$540,"&gt;"&amp;K$225,'Dvd Calendar'!$E$540:$CZ$540,"&lt;="&amp;K$226)/MXAU!$B$3,"")))</f>
        <v/>
      </c>
      <c r="L289" s="113">
        <f>IF(L$226="","",IF($B289="","",IFERROR($C289*$D289*SUMIFS('Dvd Calendar'!$E$541:$CZ$541,'Dvd Calendar'!$E$540:$CZ$540,"&gt;"&amp;L$225,'Dvd Calendar'!$E$540:$CZ$540,"&lt;="&amp;L$226)/MXAU!$B$3,"")))</f>
        <v/>
      </c>
      <c r="M289" s="113">
        <f>IF(M$226="","",IF($B289="","",IFERROR($C289*$D289*SUMIFS('Dvd Calendar'!$E$541:$CZ$541,'Dvd Calendar'!$E$540:$CZ$540,"&gt;"&amp;M$225,'Dvd Calendar'!$E$540:$CZ$540,"&lt;="&amp;M$226)/MXAU!$B$3,"")))</f>
        <v/>
      </c>
      <c r="N289" s="113">
        <f>IF(N$226="","",IF($B289="","",IFERROR($C289*$D289*SUMIFS('Dvd Calendar'!$E$541:$CZ$541,'Dvd Calendar'!$E$540:$CZ$540,"&gt;"&amp;N$225,'Dvd Calendar'!$E$540:$CZ$540,"&lt;="&amp;N$226)/MXAU!$B$3,"")))</f>
        <v/>
      </c>
      <c r="O289" s="113">
        <f>IF(O$226="","",IF($B289="","",IFERROR($C289*$D289*SUMIFS('Dvd Calendar'!$E$541:$CZ$541,'Dvd Calendar'!$E$540:$CZ$540,"&gt;"&amp;O$225,'Dvd Calendar'!$E$540:$CZ$540,"&lt;="&amp;O$226)/MXAU!$B$3,"")))</f>
        <v/>
      </c>
      <c r="P289" s="113">
        <f>IF(P$226="","",IF($B289="","",IFERROR($C289*$D289*SUMIFS('Dvd Calendar'!$E$541:$CZ$541,'Dvd Calendar'!$E$540:$CZ$540,"&gt;"&amp;P$225,'Dvd Calendar'!$E$540:$CZ$540,"&lt;="&amp;P$226)/MXAU!$B$3,"")))</f>
        <v/>
      </c>
      <c r="Q289" s="113">
        <f>IF(Q$226="","",IF($B289="","",IFERROR($C289*$D289*SUMIFS('Dvd Calendar'!$E$541:$CZ$541,'Dvd Calendar'!$E$540:$CZ$540,"&gt;"&amp;Q$225,'Dvd Calendar'!$E$540:$CZ$540,"&lt;="&amp;Q$226)/MXAU!$B$3,"")))</f>
        <v/>
      </c>
      <c r="R289" s="113">
        <f>IF(R$226="","",IF($B289="","",IFERROR($C289*$D289*SUMIFS('Dvd Calendar'!$E$541:$CZ$541,'Dvd Calendar'!$E$540:$CZ$540,"&gt;"&amp;R$225,'Dvd Calendar'!$E$540:$CZ$540,"&lt;="&amp;R$226)/MXAU!$B$3,"")))</f>
        <v/>
      </c>
      <c r="S289" s="113">
        <f>IF(S$226="","",IF($B289="","",IFERROR($C289*$D289*SUMIFS('Dvd Calendar'!$E$541:$CZ$541,'Dvd Calendar'!$E$540:$CZ$540,"&gt;"&amp;S$225,'Dvd Calendar'!$E$540:$CZ$540,"&lt;="&amp;S$226)/MXAU!$B$3,"")))</f>
        <v/>
      </c>
      <c r="T289" s="113">
        <f>IF(T$226="","",IF($B289="","",IFERROR($C289*$D289*SUMIFS('Dvd Calendar'!$E$541:$CZ$541,'Dvd Calendar'!$E$540:$CZ$540,"&gt;"&amp;T$225,'Dvd Calendar'!$E$540:$CZ$540,"&lt;="&amp;T$226)/MXAU!$B$3,"")))</f>
        <v/>
      </c>
      <c r="U289" s="113">
        <f>IF(U$226="","",IF($B289="","",IFERROR($C289*$D289*SUMIFS('Dvd Calendar'!$E$541:$CZ$541,'Dvd Calendar'!$E$540:$CZ$540,"&gt;"&amp;U$225,'Dvd Calendar'!$E$540:$CZ$540,"&lt;="&amp;U$226)/MXAU!$B$3,"")))</f>
        <v/>
      </c>
      <c r="W289" s="113">
        <f>IF(W$226="","",IF($B289="","",IFERROR(F289*$E289/100,"")))</f>
        <v/>
      </c>
      <c r="X289" s="113">
        <f>IF(X$226="","",IF($B289="","",IFERROR(G289*$E289/100,"")))</f>
        <v/>
      </c>
      <c r="Y289" s="113">
        <f>IF(Y$226="","",IF($B289="","",IFERROR(H289*$E289/100,"")))</f>
        <v/>
      </c>
      <c r="Z289" s="113">
        <f>IF(Z$226="","",IF($B289="","",IFERROR(I289*$E289/100,"")))</f>
        <v/>
      </c>
      <c r="AA289" s="113">
        <f>IF(AA$226="","",IF($B289="","",IFERROR(J289*$E289/100,"")))</f>
        <v/>
      </c>
      <c r="AB289" s="113">
        <f>IF(AB$226="","",IF($B289="","",IFERROR(K289*$E289/100,"")))</f>
        <v/>
      </c>
      <c r="AC289" s="113">
        <f>IF(AC$226="","",IF($B289="","",IFERROR(L289*$E289/100,"")))</f>
        <v/>
      </c>
      <c r="AD289" s="113">
        <f>IF(AD$226="","",IF($B289="","",IFERROR(M289*$E289/100,"")))</f>
        <v/>
      </c>
      <c r="AE289" s="113">
        <f>IF(AE$226="","",IF($B289="","",IFERROR(N289*$E289/100,"")))</f>
        <v/>
      </c>
      <c r="AF289" s="113">
        <f>IF(AF$226="","",IF($B289="","",IFERROR(O289*$E289/100,"")))</f>
        <v/>
      </c>
      <c r="AG289" s="113">
        <f>IF(AG$226="","",IF($B289="","",IFERROR(P289*$E289/100,"")))</f>
        <v/>
      </c>
      <c r="AH289" s="113">
        <f>IF(AH$226="","",IF($B289="","",IFERROR(Q289*$E289/100,"")))</f>
        <v/>
      </c>
      <c r="AI289" s="113">
        <f>IF(AI$226="","",IF($B289="","",IFERROR(R289*$E289/100,"")))</f>
        <v/>
      </c>
      <c r="AJ289" s="113">
        <f>IF(AJ$226="","",IF($B289="","",IFERROR(S289*$E289/100,"")))</f>
        <v/>
      </c>
      <c r="AK289" s="113">
        <f>IF(AK$226="","",IF($B289="","",IFERROR(T289*$E289/100,"")))</f>
        <v/>
      </c>
      <c r="AL289" s="113">
        <f>IF(AL$226="","",IF($B289="","",IFERROR(U289*$E289/100,"")))</f>
        <v/>
      </c>
    </row>
    <row r="290">
      <c r="B290" s="5">
        <f>IF(MXAU!$C$67="","",MXAU!$C$67)</f>
        <v/>
      </c>
      <c r="C290" s="86">
        <f>IF(MXAU!$B$67="","",MXAU!$B$67)</f>
        <v/>
      </c>
      <c r="D290" s="111">
        <f>IFERROR(MXAU!$Q$67,1)</f>
        <v/>
      </c>
      <c r="E290" s="112">
        <f>IF($B290="","",IF(ISNUMBER(MXAU!$I$67),MXAU!$I$67,'Index Summary'!$C$7))</f>
        <v/>
      </c>
      <c r="F290" s="113">
        <f>IF(F$226="","",IF($B290="","",IFERROR($C290*$D290*SUMIFS('Dvd Calendar'!$E$543:$CZ$543,'Dvd Calendar'!$E$542:$CZ$542,"&gt;"&amp;F$225,'Dvd Calendar'!$E$542:$CZ$542,"&lt;="&amp;F$226)/MXAU!$B$3,"")))</f>
        <v/>
      </c>
      <c r="G290" s="113">
        <f>IF(G$226="","",IF($B290="","",IFERROR($C290*$D290*SUMIFS('Dvd Calendar'!$E$543:$CZ$543,'Dvd Calendar'!$E$542:$CZ$542,"&gt;"&amp;G$225,'Dvd Calendar'!$E$542:$CZ$542,"&lt;="&amp;G$226)/MXAU!$B$3,"")))</f>
        <v/>
      </c>
      <c r="H290" s="113">
        <f>IF(H$226="","",IF($B290="","",IFERROR($C290*$D290*SUMIFS('Dvd Calendar'!$E$543:$CZ$543,'Dvd Calendar'!$E$542:$CZ$542,"&gt;"&amp;H$225,'Dvd Calendar'!$E$542:$CZ$542,"&lt;="&amp;H$226)/MXAU!$B$3,"")))</f>
        <v/>
      </c>
      <c r="I290" s="113">
        <f>IF(I$226="","",IF($B290="","",IFERROR($C290*$D290*SUMIFS('Dvd Calendar'!$E$543:$CZ$543,'Dvd Calendar'!$E$542:$CZ$542,"&gt;"&amp;I$225,'Dvd Calendar'!$E$542:$CZ$542,"&lt;="&amp;I$226)/MXAU!$B$3,"")))</f>
        <v/>
      </c>
      <c r="J290" s="113">
        <f>IF(J$226="","",IF($B290="","",IFERROR($C290*$D290*SUMIFS('Dvd Calendar'!$E$543:$CZ$543,'Dvd Calendar'!$E$542:$CZ$542,"&gt;"&amp;J$225,'Dvd Calendar'!$E$542:$CZ$542,"&lt;="&amp;J$226)/MXAU!$B$3,"")))</f>
        <v/>
      </c>
      <c r="K290" s="113">
        <f>IF(K$226="","",IF($B290="","",IFERROR($C290*$D290*SUMIFS('Dvd Calendar'!$E$543:$CZ$543,'Dvd Calendar'!$E$542:$CZ$542,"&gt;"&amp;K$225,'Dvd Calendar'!$E$542:$CZ$542,"&lt;="&amp;K$226)/MXAU!$B$3,"")))</f>
        <v/>
      </c>
      <c r="L290" s="113">
        <f>IF(L$226="","",IF($B290="","",IFERROR($C290*$D290*SUMIFS('Dvd Calendar'!$E$543:$CZ$543,'Dvd Calendar'!$E$542:$CZ$542,"&gt;"&amp;L$225,'Dvd Calendar'!$E$542:$CZ$542,"&lt;="&amp;L$226)/MXAU!$B$3,"")))</f>
        <v/>
      </c>
      <c r="M290" s="113">
        <f>IF(M$226="","",IF($B290="","",IFERROR($C290*$D290*SUMIFS('Dvd Calendar'!$E$543:$CZ$543,'Dvd Calendar'!$E$542:$CZ$542,"&gt;"&amp;M$225,'Dvd Calendar'!$E$542:$CZ$542,"&lt;="&amp;M$226)/MXAU!$B$3,"")))</f>
        <v/>
      </c>
      <c r="N290" s="113">
        <f>IF(N$226="","",IF($B290="","",IFERROR($C290*$D290*SUMIFS('Dvd Calendar'!$E$543:$CZ$543,'Dvd Calendar'!$E$542:$CZ$542,"&gt;"&amp;N$225,'Dvd Calendar'!$E$542:$CZ$542,"&lt;="&amp;N$226)/MXAU!$B$3,"")))</f>
        <v/>
      </c>
      <c r="O290" s="113">
        <f>IF(O$226="","",IF($B290="","",IFERROR($C290*$D290*SUMIFS('Dvd Calendar'!$E$543:$CZ$543,'Dvd Calendar'!$E$542:$CZ$542,"&gt;"&amp;O$225,'Dvd Calendar'!$E$542:$CZ$542,"&lt;="&amp;O$226)/MXAU!$B$3,"")))</f>
        <v/>
      </c>
      <c r="P290" s="113">
        <f>IF(P$226="","",IF($B290="","",IFERROR($C290*$D290*SUMIFS('Dvd Calendar'!$E$543:$CZ$543,'Dvd Calendar'!$E$542:$CZ$542,"&gt;"&amp;P$225,'Dvd Calendar'!$E$542:$CZ$542,"&lt;="&amp;P$226)/MXAU!$B$3,"")))</f>
        <v/>
      </c>
      <c r="Q290" s="113">
        <f>IF(Q$226="","",IF($B290="","",IFERROR($C290*$D290*SUMIFS('Dvd Calendar'!$E$543:$CZ$543,'Dvd Calendar'!$E$542:$CZ$542,"&gt;"&amp;Q$225,'Dvd Calendar'!$E$542:$CZ$542,"&lt;="&amp;Q$226)/MXAU!$B$3,"")))</f>
        <v/>
      </c>
      <c r="R290" s="113">
        <f>IF(R$226="","",IF($B290="","",IFERROR($C290*$D290*SUMIFS('Dvd Calendar'!$E$543:$CZ$543,'Dvd Calendar'!$E$542:$CZ$542,"&gt;"&amp;R$225,'Dvd Calendar'!$E$542:$CZ$542,"&lt;="&amp;R$226)/MXAU!$B$3,"")))</f>
        <v/>
      </c>
      <c r="S290" s="113">
        <f>IF(S$226="","",IF($B290="","",IFERROR($C290*$D290*SUMIFS('Dvd Calendar'!$E$543:$CZ$543,'Dvd Calendar'!$E$542:$CZ$542,"&gt;"&amp;S$225,'Dvd Calendar'!$E$542:$CZ$542,"&lt;="&amp;S$226)/MXAU!$B$3,"")))</f>
        <v/>
      </c>
      <c r="T290" s="113">
        <f>IF(T$226="","",IF($B290="","",IFERROR($C290*$D290*SUMIFS('Dvd Calendar'!$E$543:$CZ$543,'Dvd Calendar'!$E$542:$CZ$542,"&gt;"&amp;T$225,'Dvd Calendar'!$E$542:$CZ$542,"&lt;="&amp;T$226)/MXAU!$B$3,"")))</f>
        <v/>
      </c>
      <c r="U290" s="113">
        <f>IF(U$226="","",IF($B290="","",IFERROR($C290*$D290*SUMIFS('Dvd Calendar'!$E$543:$CZ$543,'Dvd Calendar'!$E$542:$CZ$542,"&gt;"&amp;U$225,'Dvd Calendar'!$E$542:$CZ$542,"&lt;="&amp;U$226)/MXAU!$B$3,"")))</f>
        <v/>
      </c>
      <c r="W290" s="113">
        <f>IF(W$226="","",IF($B290="","",IFERROR(F290*$E290/100,"")))</f>
        <v/>
      </c>
      <c r="X290" s="113">
        <f>IF(X$226="","",IF($B290="","",IFERROR(G290*$E290/100,"")))</f>
        <v/>
      </c>
      <c r="Y290" s="113">
        <f>IF(Y$226="","",IF($B290="","",IFERROR(H290*$E290/100,"")))</f>
        <v/>
      </c>
      <c r="Z290" s="113">
        <f>IF(Z$226="","",IF($B290="","",IFERROR(I290*$E290/100,"")))</f>
        <v/>
      </c>
      <c r="AA290" s="113">
        <f>IF(AA$226="","",IF($B290="","",IFERROR(J290*$E290/100,"")))</f>
        <v/>
      </c>
      <c r="AB290" s="113">
        <f>IF(AB$226="","",IF($B290="","",IFERROR(K290*$E290/100,"")))</f>
        <v/>
      </c>
      <c r="AC290" s="113">
        <f>IF(AC$226="","",IF($B290="","",IFERROR(L290*$E290/100,"")))</f>
        <v/>
      </c>
      <c r="AD290" s="113">
        <f>IF(AD$226="","",IF($B290="","",IFERROR(M290*$E290/100,"")))</f>
        <v/>
      </c>
      <c r="AE290" s="113">
        <f>IF(AE$226="","",IF($B290="","",IFERROR(N290*$E290/100,"")))</f>
        <v/>
      </c>
      <c r="AF290" s="113">
        <f>IF(AF$226="","",IF($B290="","",IFERROR(O290*$E290/100,"")))</f>
        <v/>
      </c>
      <c r="AG290" s="113">
        <f>IF(AG$226="","",IF($B290="","",IFERROR(P290*$E290/100,"")))</f>
        <v/>
      </c>
      <c r="AH290" s="113">
        <f>IF(AH$226="","",IF($B290="","",IFERROR(Q290*$E290/100,"")))</f>
        <v/>
      </c>
      <c r="AI290" s="113">
        <f>IF(AI$226="","",IF($B290="","",IFERROR(R290*$E290/100,"")))</f>
        <v/>
      </c>
      <c r="AJ290" s="113">
        <f>IF(AJ$226="","",IF($B290="","",IFERROR(S290*$E290/100,"")))</f>
        <v/>
      </c>
      <c r="AK290" s="113">
        <f>IF(AK$226="","",IF($B290="","",IFERROR(T290*$E290/100,"")))</f>
        <v/>
      </c>
      <c r="AL290" s="113">
        <f>IF(AL$226="","",IF($B290="","",IFERROR(U290*$E290/100,"")))</f>
        <v/>
      </c>
    </row>
    <row r="291">
      <c r="B291" s="5">
        <f>IF(MXAU!$C$68="","",MXAU!$C$68)</f>
        <v/>
      </c>
      <c r="C291" s="86">
        <f>IF(MXAU!$B$68="","",MXAU!$B$68)</f>
        <v/>
      </c>
      <c r="D291" s="111">
        <f>IFERROR(MXAU!$Q$68,1)</f>
        <v/>
      </c>
      <c r="E291" s="112">
        <f>IF($B291="","",IF(ISNUMBER(MXAU!$I$68),MXAU!$I$68,'Index Summary'!$C$7))</f>
        <v/>
      </c>
      <c r="F291" s="113">
        <f>IF(F$226="","",IF($B291="","",IFERROR($C291*$D291*SUMIFS('Dvd Calendar'!$E$545:$CZ$545,'Dvd Calendar'!$E$544:$CZ$544,"&gt;"&amp;F$225,'Dvd Calendar'!$E$544:$CZ$544,"&lt;="&amp;F$226)/MXAU!$B$3,"")))</f>
        <v/>
      </c>
      <c r="G291" s="113">
        <f>IF(G$226="","",IF($B291="","",IFERROR($C291*$D291*SUMIFS('Dvd Calendar'!$E$545:$CZ$545,'Dvd Calendar'!$E$544:$CZ$544,"&gt;"&amp;G$225,'Dvd Calendar'!$E$544:$CZ$544,"&lt;="&amp;G$226)/MXAU!$B$3,"")))</f>
        <v/>
      </c>
      <c r="H291" s="113">
        <f>IF(H$226="","",IF($B291="","",IFERROR($C291*$D291*SUMIFS('Dvd Calendar'!$E$545:$CZ$545,'Dvd Calendar'!$E$544:$CZ$544,"&gt;"&amp;H$225,'Dvd Calendar'!$E$544:$CZ$544,"&lt;="&amp;H$226)/MXAU!$B$3,"")))</f>
        <v/>
      </c>
      <c r="I291" s="113">
        <f>IF(I$226="","",IF($B291="","",IFERROR($C291*$D291*SUMIFS('Dvd Calendar'!$E$545:$CZ$545,'Dvd Calendar'!$E$544:$CZ$544,"&gt;"&amp;I$225,'Dvd Calendar'!$E$544:$CZ$544,"&lt;="&amp;I$226)/MXAU!$B$3,"")))</f>
        <v/>
      </c>
      <c r="J291" s="113">
        <f>IF(J$226="","",IF($B291="","",IFERROR($C291*$D291*SUMIFS('Dvd Calendar'!$E$545:$CZ$545,'Dvd Calendar'!$E$544:$CZ$544,"&gt;"&amp;J$225,'Dvd Calendar'!$E$544:$CZ$544,"&lt;="&amp;J$226)/MXAU!$B$3,"")))</f>
        <v/>
      </c>
      <c r="K291" s="113">
        <f>IF(K$226="","",IF($B291="","",IFERROR($C291*$D291*SUMIFS('Dvd Calendar'!$E$545:$CZ$545,'Dvd Calendar'!$E$544:$CZ$544,"&gt;"&amp;K$225,'Dvd Calendar'!$E$544:$CZ$544,"&lt;="&amp;K$226)/MXAU!$B$3,"")))</f>
        <v/>
      </c>
      <c r="L291" s="113">
        <f>IF(L$226="","",IF($B291="","",IFERROR($C291*$D291*SUMIFS('Dvd Calendar'!$E$545:$CZ$545,'Dvd Calendar'!$E$544:$CZ$544,"&gt;"&amp;L$225,'Dvd Calendar'!$E$544:$CZ$544,"&lt;="&amp;L$226)/MXAU!$B$3,"")))</f>
        <v/>
      </c>
      <c r="M291" s="113">
        <f>IF(M$226="","",IF($B291="","",IFERROR($C291*$D291*SUMIFS('Dvd Calendar'!$E$545:$CZ$545,'Dvd Calendar'!$E$544:$CZ$544,"&gt;"&amp;M$225,'Dvd Calendar'!$E$544:$CZ$544,"&lt;="&amp;M$226)/MXAU!$B$3,"")))</f>
        <v/>
      </c>
      <c r="N291" s="113">
        <f>IF(N$226="","",IF($B291="","",IFERROR($C291*$D291*SUMIFS('Dvd Calendar'!$E$545:$CZ$545,'Dvd Calendar'!$E$544:$CZ$544,"&gt;"&amp;N$225,'Dvd Calendar'!$E$544:$CZ$544,"&lt;="&amp;N$226)/MXAU!$B$3,"")))</f>
        <v/>
      </c>
      <c r="O291" s="113">
        <f>IF(O$226="","",IF($B291="","",IFERROR($C291*$D291*SUMIFS('Dvd Calendar'!$E$545:$CZ$545,'Dvd Calendar'!$E$544:$CZ$544,"&gt;"&amp;O$225,'Dvd Calendar'!$E$544:$CZ$544,"&lt;="&amp;O$226)/MXAU!$B$3,"")))</f>
        <v/>
      </c>
      <c r="P291" s="113">
        <f>IF(P$226="","",IF($B291="","",IFERROR($C291*$D291*SUMIFS('Dvd Calendar'!$E$545:$CZ$545,'Dvd Calendar'!$E$544:$CZ$544,"&gt;"&amp;P$225,'Dvd Calendar'!$E$544:$CZ$544,"&lt;="&amp;P$226)/MXAU!$B$3,"")))</f>
        <v/>
      </c>
      <c r="Q291" s="113">
        <f>IF(Q$226="","",IF($B291="","",IFERROR($C291*$D291*SUMIFS('Dvd Calendar'!$E$545:$CZ$545,'Dvd Calendar'!$E$544:$CZ$544,"&gt;"&amp;Q$225,'Dvd Calendar'!$E$544:$CZ$544,"&lt;="&amp;Q$226)/MXAU!$B$3,"")))</f>
        <v/>
      </c>
      <c r="R291" s="113">
        <f>IF(R$226="","",IF($B291="","",IFERROR($C291*$D291*SUMIFS('Dvd Calendar'!$E$545:$CZ$545,'Dvd Calendar'!$E$544:$CZ$544,"&gt;"&amp;R$225,'Dvd Calendar'!$E$544:$CZ$544,"&lt;="&amp;R$226)/MXAU!$B$3,"")))</f>
        <v/>
      </c>
      <c r="S291" s="113">
        <f>IF(S$226="","",IF($B291="","",IFERROR($C291*$D291*SUMIFS('Dvd Calendar'!$E$545:$CZ$545,'Dvd Calendar'!$E$544:$CZ$544,"&gt;"&amp;S$225,'Dvd Calendar'!$E$544:$CZ$544,"&lt;="&amp;S$226)/MXAU!$B$3,"")))</f>
        <v/>
      </c>
      <c r="T291" s="113">
        <f>IF(T$226="","",IF($B291="","",IFERROR($C291*$D291*SUMIFS('Dvd Calendar'!$E$545:$CZ$545,'Dvd Calendar'!$E$544:$CZ$544,"&gt;"&amp;T$225,'Dvd Calendar'!$E$544:$CZ$544,"&lt;="&amp;T$226)/MXAU!$B$3,"")))</f>
        <v/>
      </c>
      <c r="U291" s="113">
        <f>IF(U$226="","",IF($B291="","",IFERROR($C291*$D291*SUMIFS('Dvd Calendar'!$E$545:$CZ$545,'Dvd Calendar'!$E$544:$CZ$544,"&gt;"&amp;U$225,'Dvd Calendar'!$E$544:$CZ$544,"&lt;="&amp;U$226)/MXAU!$B$3,"")))</f>
        <v/>
      </c>
      <c r="W291" s="113">
        <f>IF(W$226="","",IF($B291="","",IFERROR(F291*$E291/100,"")))</f>
        <v/>
      </c>
      <c r="X291" s="113">
        <f>IF(X$226="","",IF($B291="","",IFERROR(G291*$E291/100,"")))</f>
        <v/>
      </c>
      <c r="Y291" s="113">
        <f>IF(Y$226="","",IF($B291="","",IFERROR(H291*$E291/100,"")))</f>
        <v/>
      </c>
      <c r="Z291" s="113">
        <f>IF(Z$226="","",IF($B291="","",IFERROR(I291*$E291/100,"")))</f>
        <v/>
      </c>
      <c r="AA291" s="113">
        <f>IF(AA$226="","",IF($B291="","",IFERROR(J291*$E291/100,"")))</f>
        <v/>
      </c>
      <c r="AB291" s="113">
        <f>IF(AB$226="","",IF($B291="","",IFERROR(K291*$E291/100,"")))</f>
        <v/>
      </c>
      <c r="AC291" s="113">
        <f>IF(AC$226="","",IF($B291="","",IFERROR(L291*$E291/100,"")))</f>
        <v/>
      </c>
      <c r="AD291" s="113">
        <f>IF(AD$226="","",IF($B291="","",IFERROR(M291*$E291/100,"")))</f>
        <v/>
      </c>
      <c r="AE291" s="113">
        <f>IF(AE$226="","",IF($B291="","",IFERROR(N291*$E291/100,"")))</f>
        <v/>
      </c>
      <c r="AF291" s="113">
        <f>IF(AF$226="","",IF($B291="","",IFERROR(O291*$E291/100,"")))</f>
        <v/>
      </c>
      <c r="AG291" s="113">
        <f>IF(AG$226="","",IF($B291="","",IFERROR(P291*$E291/100,"")))</f>
        <v/>
      </c>
      <c r="AH291" s="113">
        <f>IF(AH$226="","",IF($B291="","",IFERROR(Q291*$E291/100,"")))</f>
        <v/>
      </c>
      <c r="AI291" s="113">
        <f>IF(AI$226="","",IF($B291="","",IFERROR(R291*$E291/100,"")))</f>
        <v/>
      </c>
      <c r="AJ291" s="113">
        <f>IF(AJ$226="","",IF($B291="","",IFERROR(S291*$E291/100,"")))</f>
        <v/>
      </c>
      <c r="AK291" s="113">
        <f>IF(AK$226="","",IF($B291="","",IFERROR(T291*$E291/100,"")))</f>
        <v/>
      </c>
      <c r="AL291" s="113">
        <f>IF(AL$226="","",IF($B291="","",IFERROR(U291*$E291/100,"")))</f>
        <v/>
      </c>
    </row>
    <row r="292">
      <c r="B292" s="5">
        <f>IF(MXAU!$C$69="","",MXAU!$C$69)</f>
        <v/>
      </c>
      <c r="C292" s="86">
        <f>IF(MXAU!$B$69="","",MXAU!$B$69)</f>
        <v/>
      </c>
      <c r="D292" s="111">
        <f>IFERROR(MXAU!$Q$69,1)</f>
        <v/>
      </c>
      <c r="E292" s="112">
        <f>IF($B292="","",IF(ISNUMBER(MXAU!$I$69),MXAU!$I$69,'Index Summary'!$C$7))</f>
        <v/>
      </c>
      <c r="F292" s="113">
        <f>IF(F$226="","",IF($B292="","",IFERROR($C292*$D292*SUMIFS('Dvd Calendar'!$E$547:$CZ$547,'Dvd Calendar'!$E$546:$CZ$546,"&gt;"&amp;F$225,'Dvd Calendar'!$E$546:$CZ$546,"&lt;="&amp;F$226)/MXAU!$B$3,"")))</f>
        <v/>
      </c>
      <c r="G292" s="113">
        <f>IF(G$226="","",IF($B292="","",IFERROR($C292*$D292*SUMIFS('Dvd Calendar'!$E$547:$CZ$547,'Dvd Calendar'!$E$546:$CZ$546,"&gt;"&amp;G$225,'Dvd Calendar'!$E$546:$CZ$546,"&lt;="&amp;G$226)/MXAU!$B$3,"")))</f>
        <v/>
      </c>
      <c r="H292" s="113">
        <f>IF(H$226="","",IF($B292="","",IFERROR($C292*$D292*SUMIFS('Dvd Calendar'!$E$547:$CZ$547,'Dvd Calendar'!$E$546:$CZ$546,"&gt;"&amp;H$225,'Dvd Calendar'!$E$546:$CZ$546,"&lt;="&amp;H$226)/MXAU!$B$3,"")))</f>
        <v/>
      </c>
      <c r="I292" s="113">
        <f>IF(I$226="","",IF($B292="","",IFERROR($C292*$D292*SUMIFS('Dvd Calendar'!$E$547:$CZ$547,'Dvd Calendar'!$E$546:$CZ$546,"&gt;"&amp;I$225,'Dvd Calendar'!$E$546:$CZ$546,"&lt;="&amp;I$226)/MXAU!$B$3,"")))</f>
        <v/>
      </c>
      <c r="J292" s="113">
        <f>IF(J$226="","",IF($B292="","",IFERROR($C292*$D292*SUMIFS('Dvd Calendar'!$E$547:$CZ$547,'Dvd Calendar'!$E$546:$CZ$546,"&gt;"&amp;J$225,'Dvd Calendar'!$E$546:$CZ$546,"&lt;="&amp;J$226)/MXAU!$B$3,"")))</f>
        <v/>
      </c>
      <c r="K292" s="113">
        <f>IF(K$226="","",IF($B292="","",IFERROR($C292*$D292*SUMIFS('Dvd Calendar'!$E$547:$CZ$547,'Dvd Calendar'!$E$546:$CZ$546,"&gt;"&amp;K$225,'Dvd Calendar'!$E$546:$CZ$546,"&lt;="&amp;K$226)/MXAU!$B$3,"")))</f>
        <v/>
      </c>
      <c r="L292" s="113">
        <f>IF(L$226="","",IF($B292="","",IFERROR($C292*$D292*SUMIFS('Dvd Calendar'!$E$547:$CZ$547,'Dvd Calendar'!$E$546:$CZ$546,"&gt;"&amp;L$225,'Dvd Calendar'!$E$546:$CZ$546,"&lt;="&amp;L$226)/MXAU!$B$3,"")))</f>
        <v/>
      </c>
      <c r="M292" s="113">
        <f>IF(M$226="","",IF($B292="","",IFERROR($C292*$D292*SUMIFS('Dvd Calendar'!$E$547:$CZ$547,'Dvd Calendar'!$E$546:$CZ$546,"&gt;"&amp;M$225,'Dvd Calendar'!$E$546:$CZ$546,"&lt;="&amp;M$226)/MXAU!$B$3,"")))</f>
        <v/>
      </c>
      <c r="N292" s="113">
        <f>IF(N$226="","",IF($B292="","",IFERROR($C292*$D292*SUMIFS('Dvd Calendar'!$E$547:$CZ$547,'Dvd Calendar'!$E$546:$CZ$546,"&gt;"&amp;N$225,'Dvd Calendar'!$E$546:$CZ$546,"&lt;="&amp;N$226)/MXAU!$B$3,"")))</f>
        <v/>
      </c>
      <c r="O292" s="113">
        <f>IF(O$226="","",IF($B292="","",IFERROR($C292*$D292*SUMIFS('Dvd Calendar'!$E$547:$CZ$547,'Dvd Calendar'!$E$546:$CZ$546,"&gt;"&amp;O$225,'Dvd Calendar'!$E$546:$CZ$546,"&lt;="&amp;O$226)/MXAU!$B$3,"")))</f>
        <v/>
      </c>
      <c r="P292" s="113">
        <f>IF(P$226="","",IF($B292="","",IFERROR($C292*$D292*SUMIFS('Dvd Calendar'!$E$547:$CZ$547,'Dvd Calendar'!$E$546:$CZ$546,"&gt;"&amp;P$225,'Dvd Calendar'!$E$546:$CZ$546,"&lt;="&amp;P$226)/MXAU!$B$3,"")))</f>
        <v/>
      </c>
      <c r="Q292" s="113">
        <f>IF(Q$226="","",IF($B292="","",IFERROR($C292*$D292*SUMIFS('Dvd Calendar'!$E$547:$CZ$547,'Dvd Calendar'!$E$546:$CZ$546,"&gt;"&amp;Q$225,'Dvd Calendar'!$E$546:$CZ$546,"&lt;="&amp;Q$226)/MXAU!$B$3,"")))</f>
        <v/>
      </c>
      <c r="R292" s="113">
        <f>IF(R$226="","",IF($B292="","",IFERROR($C292*$D292*SUMIFS('Dvd Calendar'!$E$547:$CZ$547,'Dvd Calendar'!$E$546:$CZ$546,"&gt;"&amp;R$225,'Dvd Calendar'!$E$546:$CZ$546,"&lt;="&amp;R$226)/MXAU!$B$3,"")))</f>
        <v/>
      </c>
      <c r="S292" s="113">
        <f>IF(S$226="","",IF($B292="","",IFERROR($C292*$D292*SUMIFS('Dvd Calendar'!$E$547:$CZ$547,'Dvd Calendar'!$E$546:$CZ$546,"&gt;"&amp;S$225,'Dvd Calendar'!$E$546:$CZ$546,"&lt;="&amp;S$226)/MXAU!$B$3,"")))</f>
        <v/>
      </c>
      <c r="T292" s="113">
        <f>IF(T$226="","",IF($B292="","",IFERROR($C292*$D292*SUMIFS('Dvd Calendar'!$E$547:$CZ$547,'Dvd Calendar'!$E$546:$CZ$546,"&gt;"&amp;T$225,'Dvd Calendar'!$E$546:$CZ$546,"&lt;="&amp;T$226)/MXAU!$B$3,"")))</f>
        <v/>
      </c>
      <c r="U292" s="113">
        <f>IF(U$226="","",IF($B292="","",IFERROR($C292*$D292*SUMIFS('Dvd Calendar'!$E$547:$CZ$547,'Dvd Calendar'!$E$546:$CZ$546,"&gt;"&amp;U$225,'Dvd Calendar'!$E$546:$CZ$546,"&lt;="&amp;U$226)/MXAU!$B$3,"")))</f>
        <v/>
      </c>
      <c r="W292" s="113">
        <f>IF(W$226="","",IF($B292="","",IFERROR(F292*$E292/100,"")))</f>
        <v/>
      </c>
      <c r="X292" s="113">
        <f>IF(X$226="","",IF($B292="","",IFERROR(G292*$E292/100,"")))</f>
        <v/>
      </c>
      <c r="Y292" s="113">
        <f>IF(Y$226="","",IF($B292="","",IFERROR(H292*$E292/100,"")))</f>
        <v/>
      </c>
      <c r="Z292" s="113">
        <f>IF(Z$226="","",IF($B292="","",IFERROR(I292*$E292/100,"")))</f>
        <v/>
      </c>
      <c r="AA292" s="113">
        <f>IF(AA$226="","",IF($B292="","",IFERROR(J292*$E292/100,"")))</f>
        <v/>
      </c>
      <c r="AB292" s="113">
        <f>IF(AB$226="","",IF($B292="","",IFERROR(K292*$E292/100,"")))</f>
        <v/>
      </c>
      <c r="AC292" s="113">
        <f>IF(AC$226="","",IF($B292="","",IFERROR(L292*$E292/100,"")))</f>
        <v/>
      </c>
      <c r="AD292" s="113">
        <f>IF(AD$226="","",IF($B292="","",IFERROR(M292*$E292/100,"")))</f>
        <v/>
      </c>
      <c r="AE292" s="113">
        <f>IF(AE$226="","",IF($B292="","",IFERROR(N292*$E292/100,"")))</f>
        <v/>
      </c>
      <c r="AF292" s="113">
        <f>IF(AF$226="","",IF($B292="","",IFERROR(O292*$E292/100,"")))</f>
        <v/>
      </c>
      <c r="AG292" s="113">
        <f>IF(AG$226="","",IF($B292="","",IFERROR(P292*$E292/100,"")))</f>
        <v/>
      </c>
      <c r="AH292" s="113">
        <f>IF(AH$226="","",IF($B292="","",IFERROR(Q292*$E292/100,"")))</f>
        <v/>
      </c>
      <c r="AI292" s="113">
        <f>IF(AI$226="","",IF($B292="","",IFERROR(R292*$E292/100,"")))</f>
        <v/>
      </c>
      <c r="AJ292" s="113">
        <f>IF(AJ$226="","",IF($B292="","",IFERROR(S292*$E292/100,"")))</f>
        <v/>
      </c>
      <c r="AK292" s="113">
        <f>IF(AK$226="","",IF($B292="","",IFERROR(T292*$E292/100,"")))</f>
        <v/>
      </c>
      <c r="AL292" s="113">
        <f>IF(AL$226="","",IF($B292="","",IFERROR(U292*$E292/100,"")))</f>
        <v/>
      </c>
    </row>
    <row r="293">
      <c r="B293" s="5">
        <f>IF(MXAU!$C$70="","",MXAU!$C$70)</f>
        <v/>
      </c>
      <c r="C293" s="86">
        <f>IF(MXAU!$B$70="","",MXAU!$B$70)</f>
        <v/>
      </c>
      <c r="D293" s="111">
        <f>IFERROR(MXAU!$Q$70,1)</f>
        <v/>
      </c>
      <c r="E293" s="112">
        <f>IF($B293="","",IF(ISNUMBER(MXAU!$I$70),MXAU!$I$70,'Index Summary'!$C$7))</f>
        <v/>
      </c>
      <c r="F293" s="113">
        <f>IF(F$226="","",IF($B293="","",IFERROR($C293*$D293*SUMIFS('Dvd Calendar'!$E$549:$CZ$549,'Dvd Calendar'!$E$548:$CZ$548,"&gt;"&amp;F$225,'Dvd Calendar'!$E$548:$CZ$548,"&lt;="&amp;F$226)/MXAU!$B$3,"")))</f>
        <v/>
      </c>
      <c r="G293" s="113">
        <f>IF(G$226="","",IF($B293="","",IFERROR($C293*$D293*SUMIFS('Dvd Calendar'!$E$549:$CZ$549,'Dvd Calendar'!$E$548:$CZ$548,"&gt;"&amp;G$225,'Dvd Calendar'!$E$548:$CZ$548,"&lt;="&amp;G$226)/MXAU!$B$3,"")))</f>
        <v/>
      </c>
      <c r="H293" s="113">
        <f>IF(H$226="","",IF($B293="","",IFERROR($C293*$D293*SUMIFS('Dvd Calendar'!$E$549:$CZ$549,'Dvd Calendar'!$E$548:$CZ$548,"&gt;"&amp;H$225,'Dvd Calendar'!$E$548:$CZ$548,"&lt;="&amp;H$226)/MXAU!$B$3,"")))</f>
        <v/>
      </c>
      <c r="I293" s="113">
        <f>IF(I$226="","",IF($B293="","",IFERROR($C293*$D293*SUMIFS('Dvd Calendar'!$E$549:$CZ$549,'Dvd Calendar'!$E$548:$CZ$548,"&gt;"&amp;I$225,'Dvd Calendar'!$E$548:$CZ$548,"&lt;="&amp;I$226)/MXAU!$B$3,"")))</f>
        <v/>
      </c>
      <c r="J293" s="113">
        <f>IF(J$226="","",IF($B293="","",IFERROR($C293*$D293*SUMIFS('Dvd Calendar'!$E$549:$CZ$549,'Dvd Calendar'!$E$548:$CZ$548,"&gt;"&amp;J$225,'Dvd Calendar'!$E$548:$CZ$548,"&lt;="&amp;J$226)/MXAU!$B$3,"")))</f>
        <v/>
      </c>
      <c r="K293" s="113">
        <f>IF(K$226="","",IF($B293="","",IFERROR($C293*$D293*SUMIFS('Dvd Calendar'!$E$549:$CZ$549,'Dvd Calendar'!$E$548:$CZ$548,"&gt;"&amp;K$225,'Dvd Calendar'!$E$548:$CZ$548,"&lt;="&amp;K$226)/MXAU!$B$3,"")))</f>
        <v/>
      </c>
      <c r="L293" s="113">
        <f>IF(L$226="","",IF($B293="","",IFERROR($C293*$D293*SUMIFS('Dvd Calendar'!$E$549:$CZ$549,'Dvd Calendar'!$E$548:$CZ$548,"&gt;"&amp;L$225,'Dvd Calendar'!$E$548:$CZ$548,"&lt;="&amp;L$226)/MXAU!$B$3,"")))</f>
        <v/>
      </c>
      <c r="M293" s="113">
        <f>IF(M$226="","",IF($B293="","",IFERROR($C293*$D293*SUMIFS('Dvd Calendar'!$E$549:$CZ$549,'Dvd Calendar'!$E$548:$CZ$548,"&gt;"&amp;M$225,'Dvd Calendar'!$E$548:$CZ$548,"&lt;="&amp;M$226)/MXAU!$B$3,"")))</f>
        <v/>
      </c>
      <c r="N293" s="113">
        <f>IF(N$226="","",IF($B293="","",IFERROR($C293*$D293*SUMIFS('Dvd Calendar'!$E$549:$CZ$549,'Dvd Calendar'!$E$548:$CZ$548,"&gt;"&amp;N$225,'Dvd Calendar'!$E$548:$CZ$548,"&lt;="&amp;N$226)/MXAU!$B$3,"")))</f>
        <v/>
      </c>
      <c r="O293" s="113">
        <f>IF(O$226="","",IF($B293="","",IFERROR($C293*$D293*SUMIFS('Dvd Calendar'!$E$549:$CZ$549,'Dvd Calendar'!$E$548:$CZ$548,"&gt;"&amp;O$225,'Dvd Calendar'!$E$548:$CZ$548,"&lt;="&amp;O$226)/MXAU!$B$3,"")))</f>
        <v/>
      </c>
      <c r="P293" s="113">
        <f>IF(P$226="","",IF($B293="","",IFERROR($C293*$D293*SUMIFS('Dvd Calendar'!$E$549:$CZ$549,'Dvd Calendar'!$E$548:$CZ$548,"&gt;"&amp;P$225,'Dvd Calendar'!$E$548:$CZ$548,"&lt;="&amp;P$226)/MXAU!$B$3,"")))</f>
        <v/>
      </c>
      <c r="Q293" s="113">
        <f>IF(Q$226="","",IF($B293="","",IFERROR($C293*$D293*SUMIFS('Dvd Calendar'!$E$549:$CZ$549,'Dvd Calendar'!$E$548:$CZ$548,"&gt;"&amp;Q$225,'Dvd Calendar'!$E$548:$CZ$548,"&lt;="&amp;Q$226)/MXAU!$B$3,"")))</f>
        <v/>
      </c>
      <c r="R293" s="113">
        <f>IF(R$226="","",IF($B293="","",IFERROR($C293*$D293*SUMIFS('Dvd Calendar'!$E$549:$CZ$549,'Dvd Calendar'!$E$548:$CZ$548,"&gt;"&amp;R$225,'Dvd Calendar'!$E$548:$CZ$548,"&lt;="&amp;R$226)/MXAU!$B$3,"")))</f>
        <v/>
      </c>
      <c r="S293" s="113">
        <f>IF(S$226="","",IF($B293="","",IFERROR($C293*$D293*SUMIFS('Dvd Calendar'!$E$549:$CZ$549,'Dvd Calendar'!$E$548:$CZ$548,"&gt;"&amp;S$225,'Dvd Calendar'!$E$548:$CZ$548,"&lt;="&amp;S$226)/MXAU!$B$3,"")))</f>
        <v/>
      </c>
      <c r="T293" s="113">
        <f>IF(T$226="","",IF($B293="","",IFERROR($C293*$D293*SUMIFS('Dvd Calendar'!$E$549:$CZ$549,'Dvd Calendar'!$E$548:$CZ$548,"&gt;"&amp;T$225,'Dvd Calendar'!$E$548:$CZ$548,"&lt;="&amp;T$226)/MXAU!$B$3,"")))</f>
        <v/>
      </c>
      <c r="U293" s="113">
        <f>IF(U$226="","",IF($B293="","",IFERROR($C293*$D293*SUMIFS('Dvd Calendar'!$E$549:$CZ$549,'Dvd Calendar'!$E$548:$CZ$548,"&gt;"&amp;U$225,'Dvd Calendar'!$E$548:$CZ$548,"&lt;="&amp;U$226)/MXAU!$B$3,"")))</f>
        <v/>
      </c>
      <c r="W293" s="113">
        <f>IF(W$226="","",IF($B293="","",IFERROR(F293*$E293/100,"")))</f>
        <v/>
      </c>
      <c r="X293" s="113">
        <f>IF(X$226="","",IF($B293="","",IFERROR(G293*$E293/100,"")))</f>
        <v/>
      </c>
      <c r="Y293" s="113">
        <f>IF(Y$226="","",IF($B293="","",IFERROR(H293*$E293/100,"")))</f>
        <v/>
      </c>
      <c r="Z293" s="113">
        <f>IF(Z$226="","",IF($B293="","",IFERROR(I293*$E293/100,"")))</f>
        <v/>
      </c>
      <c r="AA293" s="113">
        <f>IF(AA$226="","",IF($B293="","",IFERROR(J293*$E293/100,"")))</f>
        <v/>
      </c>
      <c r="AB293" s="113">
        <f>IF(AB$226="","",IF($B293="","",IFERROR(K293*$E293/100,"")))</f>
        <v/>
      </c>
      <c r="AC293" s="113">
        <f>IF(AC$226="","",IF($B293="","",IFERROR(L293*$E293/100,"")))</f>
        <v/>
      </c>
      <c r="AD293" s="113">
        <f>IF(AD$226="","",IF($B293="","",IFERROR(M293*$E293/100,"")))</f>
        <v/>
      </c>
      <c r="AE293" s="113">
        <f>IF(AE$226="","",IF($B293="","",IFERROR(N293*$E293/100,"")))</f>
        <v/>
      </c>
      <c r="AF293" s="113">
        <f>IF(AF$226="","",IF($B293="","",IFERROR(O293*$E293/100,"")))</f>
        <v/>
      </c>
      <c r="AG293" s="113">
        <f>IF(AG$226="","",IF($B293="","",IFERROR(P293*$E293/100,"")))</f>
        <v/>
      </c>
      <c r="AH293" s="113">
        <f>IF(AH$226="","",IF($B293="","",IFERROR(Q293*$E293/100,"")))</f>
        <v/>
      </c>
      <c r="AI293" s="113">
        <f>IF(AI$226="","",IF($B293="","",IFERROR(R293*$E293/100,"")))</f>
        <v/>
      </c>
      <c r="AJ293" s="113">
        <f>IF(AJ$226="","",IF($B293="","",IFERROR(S293*$E293/100,"")))</f>
        <v/>
      </c>
      <c r="AK293" s="113">
        <f>IF(AK$226="","",IF($B293="","",IFERROR(T293*$E293/100,"")))</f>
        <v/>
      </c>
      <c r="AL293" s="113">
        <f>IF(AL$226="","",IF($B293="","",IFERROR(U293*$E293/100,"")))</f>
        <v/>
      </c>
    </row>
    <row r="294">
      <c r="B294" s="5">
        <f>IF(MXAU!$C$71="","",MXAU!$C$71)</f>
        <v/>
      </c>
      <c r="C294" s="86">
        <f>IF(MXAU!$B$71="","",MXAU!$B$71)</f>
        <v/>
      </c>
      <c r="D294" s="111">
        <f>IFERROR(MXAU!$Q$71,1)</f>
        <v/>
      </c>
      <c r="E294" s="112">
        <f>IF($B294="","",IF(ISNUMBER(MXAU!$I$71),MXAU!$I$71,'Index Summary'!$C$7))</f>
        <v/>
      </c>
      <c r="F294" s="113">
        <f>IF(F$226="","",IF($B294="","",IFERROR($C294*$D294*SUMIFS('Dvd Calendar'!$E$551:$CZ$551,'Dvd Calendar'!$E$550:$CZ$550,"&gt;"&amp;F$225,'Dvd Calendar'!$E$550:$CZ$550,"&lt;="&amp;F$226)/MXAU!$B$3,"")))</f>
        <v/>
      </c>
      <c r="G294" s="113">
        <f>IF(G$226="","",IF($B294="","",IFERROR($C294*$D294*SUMIFS('Dvd Calendar'!$E$551:$CZ$551,'Dvd Calendar'!$E$550:$CZ$550,"&gt;"&amp;G$225,'Dvd Calendar'!$E$550:$CZ$550,"&lt;="&amp;G$226)/MXAU!$B$3,"")))</f>
        <v/>
      </c>
      <c r="H294" s="113">
        <f>IF(H$226="","",IF($B294="","",IFERROR($C294*$D294*SUMIFS('Dvd Calendar'!$E$551:$CZ$551,'Dvd Calendar'!$E$550:$CZ$550,"&gt;"&amp;H$225,'Dvd Calendar'!$E$550:$CZ$550,"&lt;="&amp;H$226)/MXAU!$B$3,"")))</f>
        <v/>
      </c>
      <c r="I294" s="113">
        <f>IF(I$226="","",IF($B294="","",IFERROR($C294*$D294*SUMIFS('Dvd Calendar'!$E$551:$CZ$551,'Dvd Calendar'!$E$550:$CZ$550,"&gt;"&amp;I$225,'Dvd Calendar'!$E$550:$CZ$550,"&lt;="&amp;I$226)/MXAU!$B$3,"")))</f>
        <v/>
      </c>
      <c r="J294" s="113">
        <f>IF(J$226="","",IF($B294="","",IFERROR($C294*$D294*SUMIFS('Dvd Calendar'!$E$551:$CZ$551,'Dvd Calendar'!$E$550:$CZ$550,"&gt;"&amp;J$225,'Dvd Calendar'!$E$550:$CZ$550,"&lt;="&amp;J$226)/MXAU!$B$3,"")))</f>
        <v/>
      </c>
      <c r="K294" s="113">
        <f>IF(K$226="","",IF($B294="","",IFERROR($C294*$D294*SUMIFS('Dvd Calendar'!$E$551:$CZ$551,'Dvd Calendar'!$E$550:$CZ$550,"&gt;"&amp;K$225,'Dvd Calendar'!$E$550:$CZ$550,"&lt;="&amp;K$226)/MXAU!$B$3,"")))</f>
        <v/>
      </c>
      <c r="L294" s="113">
        <f>IF(L$226="","",IF($B294="","",IFERROR($C294*$D294*SUMIFS('Dvd Calendar'!$E$551:$CZ$551,'Dvd Calendar'!$E$550:$CZ$550,"&gt;"&amp;L$225,'Dvd Calendar'!$E$550:$CZ$550,"&lt;="&amp;L$226)/MXAU!$B$3,"")))</f>
        <v/>
      </c>
      <c r="M294" s="113">
        <f>IF(M$226="","",IF($B294="","",IFERROR($C294*$D294*SUMIFS('Dvd Calendar'!$E$551:$CZ$551,'Dvd Calendar'!$E$550:$CZ$550,"&gt;"&amp;M$225,'Dvd Calendar'!$E$550:$CZ$550,"&lt;="&amp;M$226)/MXAU!$B$3,"")))</f>
        <v/>
      </c>
      <c r="N294" s="113">
        <f>IF(N$226="","",IF($B294="","",IFERROR($C294*$D294*SUMIFS('Dvd Calendar'!$E$551:$CZ$551,'Dvd Calendar'!$E$550:$CZ$550,"&gt;"&amp;N$225,'Dvd Calendar'!$E$550:$CZ$550,"&lt;="&amp;N$226)/MXAU!$B$3,"")))</f>
        <v/>
      </c>
      <c r="O294" s="113">
        <f>IF(O$226="","",IF($B294="","",IFERROR($C294*$D294*SUMIFS('Dvd Calendar'!$E$551:$CZ$551,'Dvd Calendar'!$E$550:$CZ$550,"&gt;"&amp;O$225,'Dvd Calendar'!$E$550:$CZ$550,"&lt;="&amp;O$226)/MXAU!$B$3,"")))</f>
        <v/>
      </c>
      <c r="P294" s="113">
        <f>IF(P$226="","",IF($B294="","",IFERROR($C294*$D294*SUMIFS('Dvd Calendar'!$E$551:$CZ$551,'Dvd Calendar'!$E$550:$CZ$550,"&gt;"&amp;P$225,'Dvd Calendar'!$E$550:$CZ$550,"&lt;="&amp;P$226)/MXAU!$B$3,"")))</f>
        <v/>
      </c>
      <c r="Q294" s="113">
        <f>IF(Q$226="","",IF($B294="","",IFERROR($C294*$D294*SUMIFS('Dvd Calendar'!$E$551:$CZ$551,'Dvd Calendar'!$E$550:$CZ$550,"&gt;"&amp;Q$225,'Dvd Calendar'!$E$550:$CZ$550,"&lt;="&amp;Q$226)/MXAU!$B$3,"")))</f>
        <v/>
      </c>
      <c r="R294" s="113">
        <f>IF(R$226="","",IF($B294="","",IFERROR($C294*$D294*SUMIFS('Dvd Calendar'!$E$551:$CZ$551,'Dvd Calendar'!$E$550:$CZ$550,"&gt;"&amp;R$225,'Dvd Calendar'!$E$550:$CZ$550,"&lt;="&amp;R$226)/MXAU!$B$3,"")))</f>
        <v/>
      </c>
      <c r="S294" s="113">
        <f>IF(S$226="","",IF($B294="","",IFERROR($C294*$D294*SUMIFS('Dvd Calendar'!$E$551:$CZ$551,'Dvd Calendar'!$E$550:$CZ$550,"&gt;"&amp;S$225,'Dvd Calendar'!$E$550:$CZ$550,"&lt;="&amp;S$226)/MXAU!$B$3,"")))</f>
        <v/>
      </c>
      <c r="T294" s="113">
        <f>IF(T$226="","",IF($B294="","",IFERROR($C294*$D294*SUMIFS('Dvd Calendar'!$E$551:$CZ$551,'Dvd Calendar'!$E$550:$CZ$550,"&gt;"&amp;T$225,'Dvd Calendar'!$E$550:$CZ$550,"&lt;="&amp;T$226)/MXAU!$B$3,"")))</f>
        <v/>
      </c>
      <c r="U294" s="113">
        <f>IF(U$226="","",IF($B294="","",IFERROR($C294*$D294*SUMIFS('Dvd Calendar'!$E$551:$CZ$551,'Dvd Calendar'!$E$550:$CZ$550,"&gt;"&amp;U$225,'Dvd Calendar'!$E$550:$CZ$550,"&lt;="&amp;U$226)/MXAU!$B$3,"")))</f>
        <v/>
      </c>
      <c r="W294" s="113">
        <f>IF(W$226="","",IF($B294="","",IFERROR(F294*$E294/100,"")))</f>
        <v/>
      </c>
      <c r="X294" s="113">
        <f>IF(X$226="","",IF($B294="","",IFERROR(G294*$E294/100,"")))</f>
        <v/>
      </c>
      <c r="Y294" s="113">
        <f>IF(Y$226="","",IF($B294="","",IFERROR(H294*$E294/100,"")))</f>
        <v/>
      </c>
      <c r="Z294" s="113">
        <f>IF(Z$226="","",IF($B294="","",IFERROR(I294*$E294/100,"")))</f>
        <v/>
      </c>
      <c r="AA294" s="113">
        <f>IF(AA$226="","",IF($B294="","",IFERROR(J294*$E294/100,"")))</f>
        <v/>
      </c>
      <c r="AB294" s="113">
        <f>IF(AB$226="","",IF($B294="","",IFERROR(K294*$E294/100,"")))</f>
        <v/>
      </c>
      <c r="AC294" s="113">
        <f>IF(AC$226="","",IF($B294="","",IFERROR(L294*$E294/100,"")))</f>
        <v/>
      </c>
      <c r="AD294" s="113">
        <f>IF(AD$226="","",IF($B294="","",IFERROR(M294*$E294/100,"")))</f>
        <v/>
      </c>
      <c r="AE294" s="113">
        <f>IF(AE$226="","",IF($B294="","",IFERROR(N294*$E294/100,"")))</f>
        <v/>
      </c>
      <c r="AF294" s="113">
        <f>IF(AF$226="","",IF($B294="","",IFERROR(O294*$E294/100,"")))</f>
        <v/>
      </c>
      <c r="AG294" s="113">
        <f>IF(AG$226="","",IF($B294="","",IFERROR(P294*$E294/100,"")))</f>
        <v/>
      </c>
      <c r="AH294" s="113">
        <f>IF(AH$226="","",IF($B294="","",IFERROR(Q294*$E294/100,"")))</f>
        <v/>
      </c>
      <c r="AI294" s="113">
        <f>IF(AI$226="","",IF($B294="","",IFERROR(R294*$E294/100,"")))</f>
        <v/>
      </c>
      <c r="AJ294" s="113">
        <f>IF(AJ$226="","",IF($B294="","",IFERROR(S294*$E294/100,"")))</f>
        <v/>
      </c>
      <c r="AK294" s="113">
        <f>IF(AK$226="","",IF($B294="","",IFERROR(T294*$E294/100,"")))</f>
        <v/>
      </c>
      <c r="AL294" s="113">
        <f>IF(AL$226="","",IF($B294="","",IFERROR(U294*$E294/100,"")))</f>
        <v/>
      </c>
    </row>
    <row r="295">
      <c r="B295" s="5">
        <f>IF(MXAU!$C$72="","",MXAU!$C$72)</f>
        <v/>
      </c>
      <c r="C295" s="86">
        <f>IF(MXAU!$B$72="","",MXAU!$B$72)</f>
        <v/>
      </c>
      <c r="D295" s="111">
        <f>IFERROR(MXAU!$Q$72,1)</f>
        <v/>
      </c>
      <c r="E295" s="112">
        <f>IF($B295="","",IF(ISNUMBER(MXAU!$I$72),MXAU!$I$72,'Index Summary'!$C$7))</f>
        <v/>
      </c>
      <c r="F295" s="113">
        <f>IF(F$226="","",IF($B295="","",IFERROR($C295*$D295*SUMIFS('Dvd Calendar'!$E$553:$CZ$553,'Dvd Calendar'!$E$552:$CZ$552,"&gt;"&amp;F$225,'Dvd Calendar'!$E$552:$CZ$552,"&lt;="&amp;F$226)/MXAU!$B$3,"")))</f>
        <v/>
      </c>
      <c r="G295" s="113">
        <f>IF(G$226="","",IF($B295="","",IFERROR($C295*$D295*SUMIFS('Dvd Calendar'!$E$553:$CZ$553,'Dvd Calendar'!$E$552:$CZ$552,"&gt;"&amp;G$225,'Dvd Calendar'!$E$552:$CZ$552,"&lt;="&amp;G$226)/MXAU!$B$3,"")))</f>
        <v/>
      </c>
      <c r="H295" s="113">
        <f>IF(H$226="","",IF($B295="","",IFERROR($C295*$D295*SUMIFS('Dvd Calendar'!$E$553:$CZ$553,'Dvd Calendar'!$E$552:$CZ$552,"&gt;"&amp;H$225,'Dvd Calendar'!$E$552:$CZ$552,"&lt;="&amp;H$226)/MXAU!$B$3,"")))</f>
        <v/>
      </c>
      <c r="I295" s="113">
        <f>IF(I$226="","",IF($B295="","",IFERROR($C295*$D295*SUMIFS('Dvd Calendar'!$E$553:$CZ$553,'Dvd Calendar'!$E$552:$CZ$552,"&gt;"&amp;I$225,'Dvd Calendar'!$E$552:$CZ$552,"&lt;="&amp;I$226)/MXAU!$B$3,"")))</f>
        <v/>
      </c>
      <c r="J295" s="113">
        <f>IF(J$226="","",IF($B295="","",IFERROR($C295*$D295*SUMIFS('Dvd Calendar'!$E$553:$CZ$553,'Dvd Calendar'!$E$552:$CZ$552,"&gt;"&amp;J$225,'Dvd Calendar'!$E$552:$CZ$552,"&lt;="&amp;J$226)/MXAU!$B$3,"")))</f>
        <v/>
      </c>
      <c r="K295" s="113">
        <f>IF(K$226="","",IF($B295="","",IFERROR($C295*$D295*SUMIFS('Dvd Calendar'!$E$553:$CZ$553,'Dvd Calendar'!$E$552:$CZ$552,"&gt;"&amp;K$225,'Dvd Calendar'!$E$552:$CZ$552,"&lt;="&amp;K$226)/MXAU!$B$3,"")))</f>
        <v/>
      </c>
      <c r="L295" s="113">
        <f>IF(L$226="","",IF($B295="","",IFERROR($C295*$D295*SUMIFS('Dvd Calendar'!$E$553:$CZ$553,'Dvd Calendar'!$E$552:$CZ$552,"&gt;"&amp;L$225,'Dvd Calendar'!$E$552:$CZ$552,"&lt;="&amp;L$226)/MXAU!$B$3,"")))</f>
        <v/>
      </c>
      <c r="M295" s="113">
        <f>IF(M$226="","",IF($B295="","",IFERROR($C295*$D295*SUMIFS('Dvd Calendar'!$E$553:$CZ$553,'Dvd Calendar'!$E$552:$CZ$552,"&gt;"&amp;M$225,'Dvd Calendar'!$E$552:$CZ$552,"&lt;="&amp;M$226)/MXAU!$B$3,"")))</f>
        <v/>
      </c>
      <c r="N295" s="113">
        <f>IF(N$226="","",IF($B295="","",IFERROR($C295*$D295*SUMIFS('Dvd Calendar'!$E$553:$CZ$553,'Dvd Calendar'!$E$552:$CZ$552,"&gt;"&amp;N$225,'Dvd Calendar'!$E$552:$CZ$552,"&lt;="&amp;N$226)/MXAU!$B$3,"")))</f>
        <v/>
      </c>
      <c r="O295" s="113">
        <f>IF(O$226="","",IF($B295="","",IFERROR($C295*$D295*SUMIFS('Dvd Calendar'!$E$553:$CZ$553,'Dvd Calendar'!$E$552:$CZ$552,"&gt;"&amp;O$225,'Dvd Calendar'!$E$552:$CZ$552,"&lt;="&amp;O$226)/MXAU!$B$3,"")))</f>
        <v/>
      </c>
      <c r="P295" s="113">
        <f>IF(P$226="","",IF($B295="","",IFERROR($C295*$D295*SUMIFS('Dvd Calendar'!$E$553:$CZ$553,'Dvd Calendar'!$E$552:$CZ$552,"&gt;"&amp;P$225,'Dvd Calendar'!$E$552:$CZ$552,"&lt;="&amp;P$226)/MXAU!$B$3,"")))</f>
        <v/>
      </c>
      <c r="Q295" s="113">
        <f>IF(Q$226="","",IF($B295="","",IFERROR($C295*$D295*SUMIFS('Dvd Calendar'!$E$553:$CZ$553,'Dvd Calendar'!$E$552:$CZ$552,"&gt;"&amp;Q$225,'Dvd Calendar'!$E$552:$CZ$552,"&lt;="&amp;Q$226)/MXAU!$B$3,"")))</f>
        <v/>
      </c>
      <c r="R295" s="113">
        <f>IF(R$226="","",IF($B295="","",IFERROR($C295*$D295*SUMIFS('Dvd Calendar'!$E$553:$CZ$553,'Dvd Calendar'!$E$552:$CZ$552,"&gt;"&amp;R$225,'Dvd Calendar'!$E$552:$CZ$552,"&lt;="&amp;R$226)/MXAU!$B$3,"")))</f>
        <v/>
      </c>
      <c r="S295" s="113">
        <f>IF(S$226="","",IF($B295="","",IFERROR($C295*$D295*SUMIFS('Dvd Calendar'!$E$553:$CZ$553,'Dvd Calendar'!$E$552:$CZ$552,"&gt;"&amp;S$225,'Dvd Calendar'!$E$552:$CZ$552,"&lt;="&amp;S$226)/MXAU!$B$3,"")))</f>
        <v/>
      </c>
      <c r="T295" s="113">
        <f>IF(T$226="","",IF($B295="","",IFERROR($C295*$D295*SUMIFS('Dvd Calendar'!$E$553:$CZ$553,'Dvd Calendar'!$E$552:$CZ$552,"&gt;"&amp;T$225,'Dvd Calendar'!$E$552:$CZ$552,"&lt;="&amp;T$226)/MXAU!$B$3,"")))</f>
        <v/>
      </c>
      <c r="U295" s="113">
        <f>IF(U$226="","",IF($B295="","",IFERROR($C295*$D295*SUMIFS('Dvd Calendar'!$E$553:$CZ$553,'Dvd Calendar'!$E$552:$CZ$552,"&gt;"&amp;U$225,'Dvd Calendar'!$E$552:$CZ$552,"&lt;="&amp;U$226)/MXAU!$B$3,"")))</f>
        <v/>
      </c>
      <c r="W295" s="113">
        <f>IF(W$226="","",IF($B295="","",IFERROR(F295*$E295/100,"")))</f>
        <v/>
      </c>
      <c r="X295" s="113">
        <f>IF(X$226="","",IF($B295="","",IFERROR(G295*$E295/100,"")))</f>
        <v/>
      </c>
      <c r="Y295" s="113">
        <f>IF(Y$226="","",IF($B295="","",IFERROR(H295*$E295/100,"")))</f>
        <v/>
      </c>
      <c r="Z295" s="113">
        <f>IF(Z$226="","",IF($B295="","",IFERROR(I295*$E295/100,"")))</f>
        <v/>
      </c>
      <c r="AA295" s="113">
        <f>IF(AA$226="","",IF($B295="","",IFERROR(J295*$E295/100,"")))</f>
        <v/>
      </c>
      <c r="AB295" s="113">
        <f>IF(AB$226="","",IF($B295="","",IFERROR(K295*$E295/100,"")))</f>
        <v/>
      </c>
      <c r="AC295" s="113">
        <f>IF(AC$226="","",IF($B295="","",IFERROR(L295*$E295/100,"")))</f>
        <v/>
      </c>
      <c r="AD295" s="113">
        <f>IF(AD$226="","",IF($B295="","",IFERROR(M295*$E295/100,"")))</f>
        <v/>
      </c>
      <c r="AE295" s="113">
        <f>IF(AE$226="","",IF($B295="","",IFERROR(N295*$E295/100,"")))</f>
        <v/>
      </c>
      <c r="AF295" s="113">
        <f>IF(AF$226="","",IF($B295="","",IFERROR(O295*$E295/100,"")))</f>
        <v/>
      </c>
      <c r="AG295" s="113">
        <f>IF(AG$226="","",IF($B295="","",IFERROR(P295*$E295/100,"")))</f>
        <v/>
      </c>
      <c r="AH295" s="113">
        <f>IF(AH$226="","",IF($B295="","",IFERROR(Q295*$E295/100,"")))</f>
        <v/>
      </c>
      <c r="AI295" s="113">
        <f>IF(AI$226="","",IF($B295="","",IFERROR(R295*$E295/100,"")))</f>
        <v/>
      </c>
      <c r="AJ295" s="113">
        <f>IF(AJ$226="","",IF($B295="","",IFERROR(S295*$E295/100,"")))</f>
        <v/>
      </c>
      <c r="AK295" s="113">
        <f>IF(AK$226="","",IF($B295="","",IFERROR(T295*$E295/100,"")))</f>
        <v/>
      </c>
      <c r="AL295" s="113">
        <f>IF(AL$226="","",IF($B295="","",IFERROR(U295*$E295/100,"")))</f>
        <v/>
      </c>
    </row>
    <row r="296">
      <c r="B296" s="5">
        <f>IF(MXAU!$C$73="","",MXAU!$C$73)</f>
        <v/>
      </c>
      <c r="C296" s="86">
        <f>IF(MXAU!$B$73="","",MXAU!$B$73)</f>
        <v/>
      </c>
      <c r="D296" s="111">
        <f>IFERROR(MXAU!$Q$73,1)</f>
        <v/>
      </c>
      <c r="E296" s="112">
        <f>IF($B296="","",IF(ISNUMBER(MXAU!$I$73),MXAU!$I$73,'Index Summary'!$C$7))</f>
        <v/>
      </c>
      <c r="F296" s="113">
        <f>IF(F$226="","",IF($B296="","",IFERROR($C296*$D296*SUMIFS('Dvd Calendar'!$E$555:$CZ$555,'Dvd Calendar'!$E$554:$CZ$554,"&gt;"&amp;F$225,'Dvd Calendar'!$E$554:$CZ$554,"&lt;="&amp;F$226)/MXAU!$B$3,"")))</f>
        <v/>
      </c>
      <c r="G296" s="113">
        <f>IF(G$226="","",IF($B296="","",IFERROR($C296*$D296*SUMIFS('Dvd Calendar'!$E$555:$CZ$555,'Dvd Calendar'!$E$554:$CZ$554,"&gt;"&amp;G$225,'Dvd Calendar'!$E$554:$CZ$554,"&lt;="&amp;G$226)/MXAU!$B$3,"")))</f>
        <v/>
      </c>
      <c r="H296" s="113">
        <f>IF(H$226="","",IF($B296="","",IFERROR($C296*$D296*SUMIFS('Dvd Calendar'!$E$555:$CZ$555,'Dvd Calendar'!$E$554:$CZ$554,"&gt;"&amp;H$225,'Dvd Calendar'!$E$554:$CZ$554,"&lt;="&amp;H$226)/MXAU!$B$3,"")))</f>
        <v/>
      </c>
      <c r="I296" s="113">
        <f>IF(I$226="","",IF($B296="","",IFERROR($C296*$D296*SUMIFS('Dvd Calendar'!$E$555:$CZ$555,'Dvd Calendar'!$E$554:$CZ$554,"&gt;"&amp;I$225,'Dvd Calendar'!$E$554:$CZ$554,"&lt;="&amp;I$226)/MXAU!$B$3,"")))</f>
        <v/>
      </c>
      <c r="J296" s="113">
        <f>IF(J$226="","",IF($B296="","",IFERROR($C296*$D296*SUMIFS('Dvd Calendar'!$E$555:$CZ$555,'Dvd Calendar'!$E$554:$CZ$554,"&gt;"&amp;J$225,'Dvd Calendar'!$E$554:$CZ$554,"&lt;="&amp;J$226)/MXAU!$B$3,"")))</f>
        <v/>
      </c>
      <c r="K296" s="113">
        <f>IF(K$226="","",IF($B296="","",IFERROR($C296*$D296*SUMIFS('Dvd Calendar'!$E$555:$CZ$555,'Dvd Calendar'!$E$554:$CZ$554,"&gt;"&amp;K$225,'Dvd Calendar'!$E$554:$CZ$554,"&lt;="&amp;K$226)/MXAU!$B$3,"")))</f>
        <v/>
      </c>
      <c r="L296" s="113">
        <f>IF(L$226="","",IF($B296="","",IFERROR($C296*$D296*SUMIFS('Dvd Calendar'!$E$555:$CZ$555,'Dvd Calendar'!$E$554:$CZ$554,"&gt;"&amp;L$225,'Dvd Calendar'!$E$554:$CZ$554,"&lt;="&amp;L$226)/MXAU!$B$3,"")))</f>
        <v/>
      </c>
      <c r="M296" s="113">
        <f>IF(M$226="","",IF($B296="","",IFERROR($C296*$D296*SUMIFS('Dvd Calendar'!$E$555:$CZ$555,'Dvd Calendar'!$E$554:$CZ$554,"&gt;"&amp;M$225,'Dvd Calendar'!$E$554:$CZ$554,"&lt;="&amp;M$226)/MXAU!$B$3,"")))</f>
        <v/>
      </c>
      <c r="N296" s="113">
        <f>IF(N$226="","",IF($B296="","",IFERROR($C296*$D296*SUMIFS('Dvd Calendar'!$E$555:$CZ$555,'Dvd Calendar'!$E$554:$CZ$554,"&gt;"&amp;N$225,'Dvd Calendar'!$E$554:$CZ$554,"&lt;="&amp;N$226)/MXAU!$B$3,"")))</f>
        <v/>
      </c>
      <c r="O296" s="113">
        <f>IF(O$226="","",IF($B296="","",IFERROR($C296*$D296*SUMIFS('Dvd Calendar'!$E$555:$CZ$555,'Dvd Calendar'!$E$554:$CZ$554,"&gt;"&amp;O$225,'Dvd Calendar'!$E$554:$CZ$554,"&lt;="&amp;O$226)/MXAU!$B$3,"")))</f>
        <v/>
      </c>
      <c r="P296" s="113">
        <f>IF(P$226="","",IF($B296="","",IFERROR($C296*$D296*SUMIFS('Dvd Calendar'!$E$555:$CZ$555,'Dvd Calendar'!$E$554:$CZ$554,"&gt;"&amp;P$225,'Dvd Calendar'!$E$554:$CZ$554,"&lt;="&amp;P$226)/MXAU!$B$3,"")))</f>
        <v/>
      </c>
      <c r="Q296" s="113">
        <f>IF(Q$226="","",IF($B296="","",IFERROR($C296*$D296*SUMIFS('Dvd Calendar'!$E$555:$CZ$555,'Dvd Calendar'!$E$554:$CZ$554,"&gt;"&amp;Q$225,'Dvd Calendar'!$E$554:$CZ$554,"&lt;="&amp;Q$226)/MXAU!$B$3,"")))</f>
        <v/>
      </c>
      <c r="R296" s="113">
        <f>IF(R$226="","",IF($B296="","",IFERROR($C296*$D296*SUMIFS('Dvd Calendar'!$E$555:$CZ$555,'Dvd Calendar'!$E$554:$CZ$554,"&gt;"&amp;R$225,'Dvd Calendar'!$E$554:$CZ$554,"&lt;="&amp;R$226)/MXAU!$B$3,"")))</f>
        <v/>
      </c>
      <c r="S296" s="113">
        <f>IF(S$226="","",IF($B296="","",IFERROR($C296*$D296*SUMIFS('Dvd Calendar'!$E$555:$CZ$555,'Dvd Calendar'!$E$554:$CZ$554,"&gt;"&amp;S$225,'Dvd Calendar'!$E$554:$CZ$554,"&lt;="&amp;S$226)/MXAU!$B$3,"")))</f>
        <v/>
      </c>
      <c r="T296" s="113">
        <f>IF(T$226="","",IF($B296="","",IFERROR($C296*$D296*SUMIFS('Dvd Calendar'!$E$555:$CZ$555,'Dvd Calendar'!$E$554:$CZ$554,"&gt;"&amp;T$225,'Dvd Calendar'!$E$554:$CZ$554,"&lt;="&amp;T$226)/MXAU!$B$3,"")))</f>
        <v/>
      </c>
      <c r="U296" s="113">
        <f>IF(U$226="","",IF($B296="","",IFERROR($C296*$D296*SUMIFS('Dvd Calendar'!$E$555:$CZ$555,'Dvd Calendar'!$E$554:$CZ$554,"&gt;"&amp;U$225,'Dvd Calendar'!$E$554:$CZ$554,"&lt;="&amp;U$226)/MXAU!$B$3,"")))</f>
        <v/>
      </c>
      <c r="W296" s="113">
        <f>IF(W$226="","",IF($B296="","",IFERROR(F296*$E296/100,"")))</f>
        <v/>
      </c>
      <c r="X296" s="113">
        <f>IF(X$226="","",IF($B296="","",IFERROR(G296*$E296/100,"")))</f>
        <v/>
      </c>
      <c r="Y296" s="113">
        <f>IF(Y$226="","",IF($B296="","",IFERROR(H296*$E296/100,"")))</f>
        <v/>
      </c>
      <c r="Z296" s="113">
        <f>IF(Z$226="","",IF($B296="","",IFERROR(I296*$E296/100,"")))</f>
        <v/>
      </c>
      <c r="AA296" s="113">
        <f>IF(AA$226="","",IF($B296="","",IFERROR(J296*$E296/100,"")))</f>
        <v/>
      </c>
      <c r="AB296" s="113">
        <f>IF(AB$226="","",IF($B296="","",IFERROR(K296*$E296/100,"")))</f>
        <v/>
      </c>
      <c r="AC296" s="113">
        <f>IF(AC$226="","",IF($B296="","",IFERROR(L296*$E296/100,"")))</f>
        <v/>
      </c>
      <c r="AD296" s="113">
        <f>IF(AD$226="","",IF($B296="","",IFERROR(M296*$E296/100,"")))</f>
        <v/>
      </c>
      <c r="AE296" s="113">
        <f>IF(AE$226="","",IF($B296="","",IFERROR(N296*$E296/100,"")))</f>
        <v/>
      </c>
      <c r="AF296" s="113">
        <f>IF(AF$226="","",IF($B296="","",IFERROR(O296*$E296/100,"")))</f>
        <v/>
      </c>
      <c r="AG296" s="113">
        <f>IF(AG$226="","",IF($B296="","",IFERROR(P296*$E296/100,"")))</f>
        <v/>
      </c>
      <c r="AH296" s="113">
        <f>IF(AH$226="","",IF($B296="","",IFERROR(Q296*$E296/100,"")))</f>
        <v/>
      </c>
      <c r="AI296" s="113">
        <f>IF(AI$226="","",IF($B296="","",IFERROR(R296*$E296/100,"")))</f>
        <v/>
      </c>
      <c r="AJ296" s="113">
        <f>IF(AJ$226="","",IF($B296="","",IFERROR(S296*$E296/100,"")))</f>
        <v/>
      </c>
      <c r="AK296" s="113">
        <f>IF(AK$226="","",IF($B296="","",IFERROR(T296*$E296/100,"")))</f>
        <v/>
      </c>
      <c r="AL296" s="113">
        <f>IF(AL$226="","",IF($B296="","",IFERROR(U296*$E296/100,"")))</f>
        <v/>
      </c>
    </row>
    <row r="297">
      <c r="B297" s="5">
        <f>IF(MXAU!$C$74="","",MXAU!$C$74)</f>
        <v/>
      </c>
      <c r="C297" s="86">
        <f>IF(MXAU!$B$74="","",MXAU!$B$74)</f>
        <v/>
      </c>
      <c r="D297" s="111">
        <f>IFERROR(MXAU!$Q$74,1)</f>
        <v/>
      </c>
      <c r="E297" s="112">
        <f>IF($B297="","",IF(ISNUMBER(MXAU!$I$74),MXAU!$I$74,'Index Summary'!$C$7))</f>
        <v/>
      </c>
      <c r="F297" s="113">
        <f>IF(F$226="","",IF($B297="","",IFERROR($C297*$D297*SUMIFS('Dvd Calendar'!$E$557:$CZ$557,'Dvd Calendar'!$E$556:$CZ$556,"&gt;"&amp;F$225,'Dvd Calendar'!$E$556:$CZ$556,"&lt;="&amp;F$226)/MXAU!$B$3,"")))</f>
        <v/>
      </c>
      <c r="G297" s="113">
        <f>IF(G$226="","",IF($B297="","",IFERROR($C297*$D297*SUMIFS('Dvd Calendar'!$E$557:$CZ$557,'Dvd Calendar'!$E$556:$CZ$556,"&gt;"&amp;G$225,'Dvd Calendar'!$E$556:$CZ$556,"&lt;="&amp;G$226)/MXAU!$B$3,"")))</f>
        <v/>
      </c>
      <c r="H297" s="113">
        <f>IF(H$226="","",IF($B297="","",IFERROR($C297*$D297*SUMIFS('Dvd Calendar'!$E$557:$CZ$557,'Dvd Calendar'!$E$556:$CZ$556,"&gt;"&amp;H$225,'Dvd Calendar'!$E$556:$CZ$556,"&lt;="&amp;H$226)/MXAU!$B$3,"")))</f>
        <v/>
      </c>
      <c r="I297" s="113">
        <f>IF(I$226="","",IF($B297="","",IFERROR($C297*$D297*SUMIFS('Dvd Calendar'!$E$557:$CZ$557,'Dvd Calendar'!$E$556:$CZ$556,"&gt;"&amp;I$225,'Dvd Calendar'!$E$556:$CZ$556,"&lt;="&amp;I$226)/MXAU!$B$3,"")))</f>
        <v/>
      </c>
      <c r="J297" s="113">
        <f>IF(J$226="","",IF($B297="","",IFERROR($C297*$D297*SUMIFS('Dvd Calendar'!$E$557:$CZ$557,'Dvd Calendar'!$E$556:$CZ$556,"&gt;"&amp;J$225,'Dvd Calendar'!$E$556:$CZ$556,"&lt;="&amp;J$226)/MXAU!$B$3,"")))</f>
        <v/>
      </c>
      <c r="K297" s="113">
        <f>IF(K$226="","",IF($B297="","",IFERROR($C297*$D297*SUMIFS('Dvd Calendar'!$E$557:$CZ$557,'Dvd Calendar'!$E$556:$CZ$556,"&gt;"&amp;K$225,'Dvd Calendar'!$E$556:$CZ$556,"&lt;="&amp;K$226)/MXAU!$B$3,"")))</f>
        <v/>
      </c>
      <c r="L297" s="113">
        <f>IF(L$226="","",IF($B297="","",IFERROR($C297*$D297*SUMIFS('Dvd Calendar'!$E$557:$CZ$557,'Dvd Calendar'!$E$556:$CZ$556,"&gt;"&amp;L$225,'Dvd Calendar'!$E$556:$CZ$556,"&lt;="&amp;L$226)/MXAU!$B$3,"")))</f>
        <v/>
      </c>
      <c r="M297" s="113">
        <f>IF(M$226="","",IF($B297="","",IFERROR($C297*$D297*SUMIFS('Dvd Calendar'!$E$557:$CZ$557,'Dvd Calendar'!$E$556:$CZ$556,"&gt;"&amp;M$225,'Dvd Calendar'!$E$556:$CZ$556,"&lt;="&amp;M$226)/MXAU!$B$3,"")))</f>
        <v/>
      </c>
      <c r="N297" s="113">
        <f>IF(N$226="","",IF($B297="","",IFERROR($C297*$D297*SUMIFS('Dvd Calendar'!$E$557:$CZ$557,'Dvd Calendar'!$E$556:$CZ$556,"&gt;"&amp;N$225,'Dvd Calendar'!$E$556:$CZ$556,"&lt;="&amp;N$226)/MXAU!$B$3,"")))</f>
        <v/>
      </c>
      <c r="O297" s="113">
        <f>IF(O$226="","",IF($B297="","",IFERROR($C297*$D297*SUMIFS('Dvd Calendar'!$E$557:$CZ$557,'Dvd Calendar'!$E$556:$CZ$556,"&gt;"&amp;O$225,'Dvd Calendar'!$E$556:$CZ$556,"&lt;="&amp;O$226)/MXAU!$B$3,"")))</f>
        <v/>
      </c>
      <c r="P297" s="113">
        <f>IF(P$226="","",IF($B297="","",IFERROR($C297*$D297*SUMIFS('Dvd Calendar'!$E$557:$CZ$557,'Dvd Calendar'!$E$556:$CZ$556,"&gt;"&amp;P$225,'Dvd Calendar'!$E$556:$CZ$556,"&lt;="&amp;P$226)/MXAU!$B$3,"")))</f>
        <v/>
      </c>
      <c r="Q297" s="113">
        <f>IF(Q$226="","",IF($B297="","",IFERROR($C297*$D297*SUMIFS('Dvd Calendar'!$E$557:$CZ$557,'Dvd Calendar'!$E$556:$CZ$556,"&gt;"&amp;Q$225,'Dvd Calendar'!$E$556:$CZ$556,"&lt;="&amp;Q$226)/MXAU!$B$3,"")))</f>
        <v/>
      </c>
      <c r="R297" s="113">
        <f>IF(R$226="","",IF($B297="","",IFERROR($C297*$D297*SUMIFS('Dvd Calendar'!$E$557:$CZ$557,'Dvd Calendar'!$E$556:$CZ$556,"&gt;"&amp;R$225,'Dvd Calendar'!$E$556:$CZ$556,"&lt;="&amp;R$226)/MXAU!$B$3,"")))</f>
        <v/>
      </c>
      <c r="S297" s="113">
        <f>IF(S$226="","",IF($B297="","",IFERROR($C297*$D297*SUMIFS('Dvd Calendar'!$E$557:$CZ$557,'Dvd Calendar'!$E$556:$CZ$556,"&gt;"&amp;S$225,'Dvd Calendar'!$E$556:$CZ$556,"&lt;="&amp;S$226)/MXAU!$B$3,"")))</f>
        <v/>
      </c>
      <c r="T297" s="113">
        <f>IF(T$226="","",IF($B297="","",IFERROR($C297*$D297*SUMIFS('Dvd Calendar'!$E$557:$CZ$557,'Dvd Calendar'!$E$556:$CZ$556,"&gt;"&amp;T$225,'Dvd Calendar'!$E$556:$CZ$556,"&lt;="&amp;T$226)/MXAU!$B$3,"")))</f>
        <v/>
      </c>
      <c r="U297" s="113">
        <f>IF(U$226="","",IF($B297="","",IFERROR($C297*$D297*SUMIFS('Dvd Calendar'!$E$557:$CZ$557,'Dvd Calendar'!$E$556:$CZ$556,"&gt;"&amp;U$225,'Dvd Calendar'!$E$556:$CZ$556,"&lt;="&amp;U$226)/MXAU!$B$3,"")))</f>
        <v/>
      </c>
      <c r="W297" s="113">
        <f>IF(W$226="","",IF($B297="","",IFERROR(F297*$E297/100,"")))</f>
        <v/>
      </c>
      <c r="X297" s="113">
        <f>IF(X$226="","",IF($B297="","",IFERROR(G297*$E297/100,"")))</f>
        <v/>
      </c>
      <c r="Y297" s="113">
        <f>IF(Y$226="","",IF($B297="","",IFERROR(H297*$E297/100,"")))</f>
        <v/>
      </c>
      <c r="Z297" s="113">
        <f>IF(Z$226="","",IF($B297="","",IFERROR(I297*$E297/100,"")))</f>
        <v/>
      </c>
      <c r="AA297" s="113">
        <f>IF(AA$226="","",IF($B297="","",IFERROR(J297*$E297/100,"")))</f>
        <v/>
      </c>
      <c r="AB297" s="113">
        <f>IF(AB$226="","",IF($B297="","",IFERROR(K297*$E297/100,"")))</f>
        <v/>
      </c>
      <c r="AC297" s="113">
        <f>IF(AC$226="","",IF($B297="","",IFERROR(L297*$E297/100,"")))</f>
        <v/>
      </c>
      <c r="AD297" s="113">
        <f>IF(AD$226="","",IF($B297="","",IFERROR(M297*$E297/100,"")))</f>
        <v/>
      </c>
      <c r="AE297" s="113">
        <f>IF(AE$226="","",IF($B297="","",IFERROR(N297*$E297/100,"")))</f>
        <v/>
      </c>
      <c r="AF297" s="113">
        <f>IF(AF$226="","",IF($B297="","",IFERROR(O297*$E297/100,"")))</f>
        <v/>
      </c>
      <c r="AG297" s="113">
        <f>IF(AG$226="","",IF($B297="","",IFERROR(P297*$E297/100,"")))</f>
        <v/>
      </c>
      <c r="AH297" s="113">
        <f>IF(AH$226="","",IF($B297="","",IFERROR(Q297*$E297/100,"")))</f>
        <v/>
      </c>
      <c r="AI297" s="113">
        <f>IF(AI$226="","",IF($B297="","",IFERROR(R297*$E297/100,"")))</f>
        <v/>
      </c>
      <c r="AJ297" s="113">
        <f>IF(AJ$226="","",IF($B297="","",IFERROR(S297*$E297/100,"")))</f>
        <v/>
      </c>
      <c r="AK297" s="113">
        <f>IF(AK$226="","",IF($B297="","",IFERROR(T297*$E297/100,"")))</f>
        <v/>
      </c>
      <c r="AL297" s="113">
        <f>IF(AL$226="","",IF($B297="","",IFERROR(U297*$E297/100,"")))</f>
        <v/>
      </c>
    </row>
    <row r="298">
      <c r="B298" s="5">
        <f>IF(MXAU!$C$75="","",MXAU!$C$75)</f>
        <v/>
      </c>
      <c r="C298" s="86">
        <f>IF(MXAU!$B$75="","",MXAU!$B$75)</f>
        <v/>
      </c>
      <c r="D298" s="111">
        <f>IFERROR(MXAU!$Q$75,1)</f>
        <v/>
      </c>
      <c r="E298" s="112">
        <f>IF($B298="","",IF(ISNUMBER(MXAU!$I$75),MXAU!$I$75,'Index Summary'!$C$7))</f>
        <v/>
      </c>
      <c r="F298" s="113">
        <f>IF(F$226="","",IF($B298="","",IFERROR($C298*$D298*SUMIFS('Dvd Calendar'!$E$559:$CZ$559,'Dvd Calendar'!$E$558:$CZ$558,"&gt;"&amp;F$225,'Dvd Calendar'!$E$558:$CZ$558,"&lt;="&amp;F$226)/MXAU!$B$3,"")))</f>
        <v/>
      </c>
      <c r="G298" s="113">
        <f>IF(G$226="","",IF($B298="","",IFERROR($C298*$D298*SUMIFS('Dvd Calendar'!$E$559:$CZ$559,'Dvd Calendar'!$E$558:$CZ$558,"&gt;"&amp;G$225,'Dvd Calendar'!$E$558:$CZ$558,"&lt;="&amp;G$226)/MXAU!$B$3,"")))</f>
        <v/>
      </c>
      <c r="H298" s="113">
        <f>IF(H$226="","",IF($B298="","",IFERROR($C298*$D298*SUMIFS('Dvd Calendar'!$E$559:$CZ$559,'Dvd Calendar'!$E$558:$CZ$558,"&gt;"&amp;H$225,'Dvd Calendar'!$E$558:$CZ$558,"&lt;="&amp;H$226)/MXAU!$B$3,"")))</f>
        <v/>
      </c>
      <c r="I298" s="113">
        <f>IF(I$226="","",IF($B298="","",IFERROR($C298*$D298*SUMIFS('Dvd Calendar'!$E$559:$CZ$559,'Dvd Calendar'!$E$558:$CZ$558,"&gt;"&amp;I$225,'Dvd Calendar'!$E$558:$CZ$558,"&lt;="&amp;I$226)/MXAU!$B$3,"")))</f>
        <v/>
      </c>
      <c r="J298" s="113">
        <f>IF(J$226="","",IF($B298="","",IFERROR($C298*$D298*SUMIFS('Dvd Calendar'!$E$559:$CZ$559,'Dvd Calendar'!$E$558:$CZ$558,"&gt;"&amp;J$225,'Dvd Calendar'!$E$558:$CZ$558,"&lt;="&amp;J$226)/MXAU!$B$3,"")))</f>
        <v/>
      </c>
      <c r="K298" s="113">
        <f>IF(K$226="","",IF($B298="","",IFERROR($C298*$D298*SUMIFS('Dvd Calendar'!$E$559:$CZ$559,'Dvd Calendar'!$E$558:$CZ$558,"&gt;"&amp;K$225,'Dvd Calendar'!$E$558:$CZ$558,"&lt;="&amp;K$226)/MXAU!$B$3,"")))</f>
        <v/>
      </c>
      <c r="L298" s="113">
        <f>IF(L$226="","",IF($B298="","",IFERROR($C298*$D298*SUMIFS('Dvd Calendar'!$E$559:$CZ$559,'Dvd Calendar'!$E$558:$CZ$558,"&gt;"&amp;L$225,'Dvd Calendar'!$E$558:$CZ$558,"&lt;="&amp;L$226)/MXAU!$B$3,"")))</f>
        <v/>
      </c>
      <c r="M298" s="113">
        <f>IF(M$226="","",IF($B298="","",IFERROR($C298*$D298*SUMIFS('Dvd Calendar'!$E$559:$CZ$559,'Dvd Calendar'!$E$558:$CZ$558,"&gt;"&amp;M$225,'Dvd Calendar'!$E$558:$CZ$558,"&lt;="&amp;M$226)/MXAU!$B$3,"")))</f>
        <v/>
      </c>
      <c r="N298" s="113">
        <f>IF(N$226="","",IF($B298="","",IFERROR($C298*$D298*SUMIFS('Dvd Calendar'!$E$559:$CZ$559,'Dvd Calendar'!$E$558:$CZ$558,"&gt;"&amp;N$225,'Dvd Calendar'!$E$558:$CZ$558,"&lt;="&amp;N$226)/MXAU!$B$3,"")))</f>
        <v/>
      </c>
      <c r="O298" s="113">
        <f>IF(O$226="","",IF($B298="","",IFERROR($C298*$D298*SUMIFS('Dvd Calendar'!$E$559:$CZ$559,'Dvd Calendar'!$E$558:$CZ$558,"&gt;"&amp;O$225,'Dvd Calendar'!$E$558:$CZ$558,"&lt;="&amp;O$226)/MXAU!$B$3,"")))</f>
        <v/>
      </c>
      <c r="P298" s="113">
        <f>IF(P$226="","",IF($B298="","",IFERROR($C298*$D298*SUMIFS('Dvd Calendar'!$E$559:$CZ$559,'Dvd Calendar'!$E$558:$CZ$558,"&gt;"&amp;P$225,'Dvd Calendar'!$E$558:$CZ$558,"&lt;="&amp;P$226)/MXAU!$B$3,"")))</f>
        <v/>
      </c>
      <c r="Q298" s="113">
        <f>IF(Q$226="","",IF($B298="","",IFERROR($C298*$D298*SUMIFS('Dvd Calendar'!$E$559:$CZ$559,'Dvd Calendar'!$E$558:$CZ$558,"&gt;"&amp;Q$225,'Dvd Calendar'!$E$558:$CZ$558,"&lt;="&amp;Q$226)/MXAU!$B$3,"")))</f>
        <v/>
      </c>
      <c r="R298" s="113">
        <f>IF(R$226="","",IF($B298="","",IFERROR($C298*$D298*SUMIFS('Dvd Calendar'!$E$559:$CZ$559,'Dvd Calendar'!$E$558:$CZ$558,"&gt;"&amp;R$225,'Dvd Calendar'!$E$558:$CZ$558,"&lt;="&amp;R$226)/MXAU!$B$3,"")))</f>
        <v/>
      </c>
      <c r="S298" s="113">
        <f>IF(S$226="","",IF($B298="","",IFERROR($C298*$D298*SUMIFS('Dvd Calendar'!$E$559:$CZ$559,'Dvd Calendar'!$E$558:$CZ$558,"&gt;"&amp;S$225,'Dvd Calendar'!$E$558:$CZ$558,"&lt;="&amp;S$226)/MXAU!$B$3,"")))</f>
        <v/>
      </c>
      <c r="T298" s="113">
        <f>IF(T$226="","",IF($B298="","",IFERROR($C298*$D298*SUMIFS('Dvd Calendar'!$E$559:$CZ$559,'Dvd Calendar'!$E$558:$CZ$558,"&gt;"&amp;T$225,'Dvd Calendar'!$E$558:$CZ$558,"&lt;="&amp;T$226)/MXAU!$B$3,"")))</f>
        <v/>
      </c>
      <c r="U298" s="113">
        <f>IF(U$226="","",IF($B298="","",IFERROR($C298*$D298*SUMIFS('Dvd Calendar'!$E$559:$CZ$559,'Dvd Calendar'!$E$558:$CZ$558,"&gt;"&amp;U$225,'Dvd Calendar'!$E$558:$CZ$558,"&lt;="&amp;U$226)/MXAU!$B$3,"")))</f>
        <v/>
      </c>
      <c r="W298" s="113">
        <f>IF(W$226="","",IF($B298="","",IFERROR(F298*$E298/100,"")))</f>
        <v/>
      </c>
      <c r="X298" s="113">
        <f>IF(X$226="","",IF($B298="","",IFERROR(G298*$E298/100,"")))</f>
        <v/>
      </c>
      <c r="Y298" s="113">
        <f>IF(Y$226="","",IF($B298="","",IFERROR(H298*$E298/100,"")))</f>
        <v/>
      </c>
      <c r="Z298" s="113">
        <f>IF(Z$226="","",IF($B298="","",IFERROR(I298*$E298/100,"")))</f>
        <v/>
      </c>
      <c r="AA298" s="113">
        <f>IF(AA$226="","",IF($B298="","",IFERROR(J298*$E298/100,"")))</f>
        <v/>
      </c>
      <c r="AB298" s="113">
        <f>IF(AB$226="","",IF($B298="","",IFERROR(K298*$E298/100,"")))</f>
        <v/>
      </c>
      <c r="AC298" s="113">
        <f>IF(AC$226="","",IF($B298="","",IFERROR(L298*$E298/100,"")))</f>
        <v/>
      </c>
      <c r="AD298" s="113">
        <f>IF(AD$226="","",IF($B298="","",IFERROR(M298*$E298/100,"")))</f>
        <v/>
      </c>
      <c r="AE298" s="113">
        <f>IF(AE$226="","",IF($B298="","",IFERROR(N298*$E298/100,"")))</f>
        <v/>
      </c>
      <c r="AF298" s="113">
        <f>IF(AF$226="","",IF($B298="","",IFERROR(O298*$E298/100,"")))</f>
        <v/>
      </c>
      <c r="AG298" s="113">
        <f>IF(AG$226="","",IF($B298="","",IFERROR(P298*$E298/100,"")))</f>
        <v/>
      </c>
      <c r="AH298" s="113">
        <f>IF(AH$226="","",IF($B298="","",IFERROR(Q298*$E298/100,"")))</f>
        <v/>
      </c>
      <c r="AI298" s="113">
        <f>IF(AI$226="","",IF($B298="","",IFERROR(R298*$E298/100,"")))</f>
        <v/>
      </c>
      <c r="AJ298" s="113">
        <f>IF(AJ$226="","",IF($B298="","",IFERROR(S298*$E298/100,"")))</f>
        <v/>
      </c>
      <c r="AK298" s="113">
        <f>IF(AK$226="","",IF($B298="","",IFERROR(T298*$E298/100,"")))</f>
        <v/>
      </c>
      <c r="AL298" s="113">
        <f>IF(AL$226="","",IF($B298="","",IFERROR(U298*$E298/100,"")))</f>
        <v/>
      </c>
    </row>
    <row r="299">
      <c r="B299" s="5">
        <f>IF(MXAU!$C$76="","",MXAU!$C$76)</f>
        <v/>
      </c>
      <c r="C299" s="86">
        <f>IF(MXAU!$B$76="","",MXAU!$B$76)</f>
        <v/>
      </c>
      <c r="D299" s="111">
        <f>IFERROR(MXAU!$Q$76,1)</f>
        <v/>
      </c>
      <c r="E299" s="112">
        <f>IF($B299="","",IF(ISNUMBER(MXAU!$I$76),MXAU!$I$76,'Index Summary'!$C$7))</f>
        <v/>
      </c>
      <c r="F299" s="113">
        <f>IF(F$226="","",IF($B299="","",IFERROR($C299*$D299*SUMIFS('Dvd Calendar'!$E$561:$CZ$561,'Dvd Calendar'!$E$560:$CZ$560,"&gt;"&amp;F$225,'Dvd Calendar'!$E$560:$CZ$560,"&lt;="&amp;F$226)/MXAU!$B$3,"")))</f>
        <v/>
      </c>
      <c r="G299" s="113">
        <f>IF(G$226="","",IF($B299="","",IFERROR($C299*$D299*SUMIFS('Dvd Calendar'!$E$561:$CZ$561,'Dvd Calendar'!$E$560:$CZ$560,"&gt;"&amp;G$225,'Dvd Calendar'!$E$560:$CZ$560,"&lt;="&amp;G$226)/MXAU!$B$3,"")))</f>
        <v/>
      </c>
      <c r="H299" s="113">
        <f>IF(H$226="","",IF($B299="","",IFERROR($C299*$D299*SUMIFS('Dvd Calendar'!$E$561:$CZ$561,'Dvd Calendar'!$E$560:$CZ$560,"&gt;"&amp;H$225,'Dvd Calendar'!$E$560:$CZ$560,"&lt;="&amp;H$226)/MXAU!$B$3,"")))</f>
        <v/>
      </c>
      <c r="I299" s="113">
        <f>IF(I$226="","",IF($B299="","",IFERROR($C299*$D299*SUMIFS('Dvd Calendar'!$E$561:$CZ$561,'Dvd Calendar'!$E$560:$CZ$560,"&gt;"&amp;I$225,'Dvd Calendar'!$E$560:$CZ$560,"&lt;="&amp;I$226)/MXAU!$B$3,"")))</f>
        <v/>
      </c>
      <c r="J299" s="113">
        <f>IF(J$226="","",IF($B299="","",IFERROR($C299*$D299*SUMIFS('Dvd Calendar'!$E$561:$CZ$561,'Dvd Calendar'!$E$560:$CZ$560,"&gt;"&amp;J$225,'Dvd Calendar'!$E$560:$CZ$560,"&lt;="&amp;J$226)/MXAU!$B$3,"")))</f>
        <v/>
      </c>
      <c r="K299" s="113">
        <f>IF(K$226="","",IF($B299="","",IFERROR($C299*$D299*SUMIFS('Dvd Calendar'!$E$561:$CZ$561,'Dvd Calendar'!$E$560:$CZ$560,"&gt;"&amp;K$225,'Dvd Calendar'!$E$560:$CZ$560,"&lt;="&amp;K$226)/MXAU!$B$3,"")))</f>
        <v/>
      </c>
      <c r="L299" s="113">
        <f>IF(L$226="","",IF($B299="","",IFERROR($C299*$D299*SUMIFS('Dvd Calendar'!$E$561:$CZ$561,'Dvd Calendar'!$E$560:$CZ$560,"&gt;"&amp;L$225,'Dvd Calendar'!$E$560:$CZ$560,"&lt;="&amp;L$226)/MXAU!$B$3,"")))</f>
        <v/>
      </c>
      <c r="M299" s="113">
        <f>IF(M$226="","",IF($B299="","",IFERROR($C299*$D299*SUMIFS('Dvd Calendar'!$E$561:$CZ$561,'Dvd Calendar'!$E$560:$CZ$560,"&gt;"&amp;M$225,'Dvd Calendar'!$E$560:$CZ$560,"&lt;="&amp;M$226)/MXAU!$B$3,"")))</f>
        <v/>
      </c>
      <c r="N299" s="113">
        <f>IF(N$226="","",IF($B299="","",IFERROR($C299*$D299*SUMIFS('Dvd Calendar'!$E$561:$CZ$561,'Dvd Calendar'!$E$560:$CZ$560,"&gt;"&amp;N$225,'Dvd Calendar'!$E$560:$CZ$560,"&lt;="&amp;N$226)/MXAU!$B$3,"")))</f>
        <v/>
      </c>
      <c r="O299" s="113">
        <f>IF(O$226="","",IF($B299="","",IFERROR($C299*$D299*SUMIFS('Dvd Calendar'!$E$561:$CZ$561,'Dvd Calendar'!$E$560:$CZ$560,"&gt;"&amp;O$225,'Dvd Calendar'!$E$560:$CZ$560,"&lt;="&amp;O$226)/MXAU!$B$3,"")))</f>
        <v/>
      </c>
      <c r="P299" s="113">
        <f>IF(P$226="","",IF($B299="","",IFERROR($C299*$D299*SUMIFS('Dvd Calendar'!$E$561:$CZ$561,'Dvd Calendar'!$E$560:$CZ$560,"&gt;"&amp;P$225,'Dvd Calendar'!$E$560:$CZ$560,"&lt;="&amp;P$226)/MXAU!$B$3,"")))</f>
        <v/>
      </c>
      <c r="Q299" s="113">
        <f>IF(Q$226="","",IF($B299="","",IFERROR($C299*$D299*SUMIFS('Dvd Calendar'!$E$561:$CZ$561,'Dvd Calendar'!$E$560:$CZ$560,"&gt;"&amp;Q$225,'Dvd Calendar'!$E$560:$CZ$560,"&lt;="&amp;Q$226)/MXAU!$B$3,"")))</f>
        <v/>
      </c>
      <c r="R299" s="113">
        <f>IF(R$226="","",IF($B299="","",IFERROR($C299*$D299*SUMIFS('Dvd Calendar'!$E$561:$CZ$561,'Dvd Calendar'!$E$560:$CZ$560,"&gt;"&amp;R$225,'Dvd Calendar'!$E$560:$CZ$560,"&lt;="&amp;R$226)/MXAU!$B$3,"")))</f>
        <v/>
      </c>
      <c r="S299" s="113">
        <f>IF(S$226="","",IF($B299="","",IFERROR($C299*$D299*SUMIFS('Dvd Calendar'!$E$561:$CZ$561,'Dvd Calendar'!$E$560:$CZ$560,"&gt;"&amp;S$225,'Dvd Calendar'!$E$560:$CZ$560,"&lt;="&amp;S$226)/MXAU!$B$3,"")))</f>
        <v/>
      </c>
      <c r="T299" s="113">
        <f>IF(T$226="","",IF($B299="","",IFERROR($C299*$D299*SUMIFS('Dvd Calendar'!$E$561:$CZ$561,'Dvd Calendar'!$E$560:$CZ$560,"&gt;"&amp;T$225,'Dvd Calendar'!$E$560:$CZ$560,"&lt;="&amp;T$226)/MXAU!$B$3,"")))</f>
        <v/>
      </c>
      <c r="U299" s="113">
        <f>IF(U$226="","",IF($B299="","",IFERROR($C299*$D299*SUMIFS('Dvd Calendar'!$E$561:$CZ$561,'Dvd Calendar'!$E$560:$CZ$560,"&gt;"&amp;U$225,'Dvd Calendar'!$E$560:$CZ$560,"&lt;="&amp;U$226)/MXAU!$B$3,"")))</f>
        <v/>
      </c>
      <c r="W299" s="113">
        <f>IF(W$226="","",IF($B299="","",IFERROR(F299*$E299/100,"")))</f>
        <v/>
      </c>
      <c r="X299" s="113">
        <f>IF(X$226="","",IF($B299="","",IFERROR(G299*$E299/100,"")))</f>
        <v/>
      </c>
      <c r="Y299" s="113">
        <f>IF(Y$226="","",IF($B299="","",IFERROR(H299*$E299/100,"")))</f>
        <v/>
      </c>
      <c r="Z299" s="113">
        <f>IF(Z$226="","",IF($B299="","",IFERROR(I299*$E299/100,"")))</f>
        <v/>
      </c>
      <c r="AA299" s="113">
        <f>IF(AA$226="","",IF($B299="","",IFERROR(J299*$E299/100,"")))</f>
        <v/>
      </c>
      <c r="AB299" s="113">
        <f>IF(AB$226="","",IF($B299="","",IFERROR(K299*$E299/100,"")))</f>
        <v/>
      </c>
      <c r="AC299" s="113">
        <f>IF(AC$226="","",IF($B299="","",IFERROR(L299*$E299/100,"")))</f>
        <v/>
      </c>
      <c r="AD299" s="113">
        <f>IF(AD$226="","",IF($B299="","",IFERROR(M299*$E299/100,"")))</f>
        <v/>
      </c>
      <c r="AE299" s="113">
        <f>IF(AE$226="","",IF($B299="","",IFERROR(N299*$E299/100,"")))</f>
        <v/>
      </c>
      <c r="AF299" s="113">
        <f>IF(AF$226="","",IF($B299="","",IFERROR(O299*$E299/100,"")))</f>
        <v/>
      </c>
      <c r="AG299" s="113">
        <f>IF(AG$226="","",IF($B299="","",IFERROR(P299*$E299/100,"")))</f>
        <v/>
      </c>
      <c r="AH299" s="113">
        <f>IF(AH$226="","",IF($B299="","",IFERROR(Q299*$E299/100,"")))</f>
        <v/>
      </c>
      <c r="AI299" s="113">
        <f>IF(AI$226="","",IF($B299="","",IFERROR(R299*$E299/100,"")))</f>
        <v/>
      </c>
      <c r="AJ299" s="113">
        <f>IF(AJ$226="","",IF($B299="","",IFERROR(S299*$E299/100,"")))</f>
        <v/>
      </c>
      <c r="AK299" s="113">
        <f>IF(AK$226="","",IF($B299="","",IFERROR(T299*$E299/100,"")))</f>
        <v/>
      </c>
      <c r="AL299" s="113">
        <f>IF(AL$226="","",IF($B299="","",IFERROR(U299*$E299/100,"")))</f>
        <v/>
      </c>
    </row>
    <row r="300">
      <c r="B300" s="5">
        <f>IF(MXAU!$C$77="","",MXAU!$C$77)</f>
        <v/>
      </c>
      <c r="C300" s="86">
        <f>IF(MXAU!$B$77="","",MXAU!$B$77)</f>
        <v/>
      </c>
      <c r="D300" s="111">
        <f>IFERROR(MXAU!$Q$77,1)</f>
        <v/>
      </c>
      <c r="E300" s="112">
        <f>IF($B300="","",IF(ISNUMBER(MXAU!$I$77),MXAU!$I$77,'Index Summary'!$C$7))</f>
        <v/>
      </c>
      <c r="F300" s="113">
        <f>IF(F$226="","",IF($B300="","",IFERROR($C300*$D300*SUMIFS('Dvd Calendar'!$E$563:$CZ$563,'Dvd Calendar'!$E$562:$CZ$562,"&gt;"&amp;F$225,'Dvd Calendar'!$E$562:$CZ$562,"&lt;="&amp;F$226)/MXAU!$B$3,"")))</f>
        <v/>
      </c>
      <c r="G300" s="113">
        <f>IF(G$226="","",IF($B300="","",IFERROR($C300*$D300*SUMIFS('Dvd Calendar'!$E$563:$CZ$563,'Dvd Calendar'!$E$562:$CZ$562,"&gt;"&amp;G$225,'Dvd Calendar'!$E$562:$CZ$562,"&lt;="&amp;G$226)/MXAU!$B$3,"")))</f>
        <v/>
      </c>
      <c r="H300" s="113">
        <f>IF(H$226="","",IF($B300="","",IFERROR($C300*$D300*SUMIFS('Dvd Calendar'!$E$563:$CZ$563,'Dvd Calendar'!$E$562:$CZ$562,"&gt;"&amp;H$225,'Dvd Calendar'!$E$562:$CZ$562,"&lt;="&amp;H$226)/MXAU!$B$3,"")))</f>
        <v/>
      </c>
      <c r="I300" s="113">
        <f>IF(I$226="","",IF($B300="","",IFERROR($C300*$D300*SUMIFS('Dvd Calendar'!$E$563:$CZ$563,'Dvd Calendar'!$E$562:$CZ$562,"&gt;"&amp;I$225,'Dvd Calendar'!$E$562:$CZ$562,"&lt;="&amp;I$226)/MXAU!$B$3,"")))</f>
        <v/>
      </c>
      <c r="J300" s="113">
        <f>IF(J$226="","",IF($B300="","",IFERROR($C300*$D300*SUMIFS('Dvd Calendar'!$E$563:$CZ$563,'Dvd Calendar'!$E$562:$CZ$562,"&gt;"&amp;J$225,'Dvd Calendar'!$E$562:$CZ$562,"&lt;="&amp;J$226)/MXAU!$B$3,"")))</f>
        <v/>
      </c>
      <c r="K300" s="113">
        <f>IF(K$226="","",IF($B300="","",IFERROR($C300*$D300*SUMIFS('Dvd Calendar'!$E$563:$CZ$563,'Dvd Calendar'!$E$562:$CZ$562,"&gt;"&amp;K$225,'Dvd Calendar'!$E$562:$CZ$562,"&lt;="&amp;K$226)/MXAU!$B$3,"")))</f>
        <v/>
      </c>
      <c r="L300" s="113">
        <f>IF(L$226="","",IF($B300="","",IFERROR($C300*$D300*SUMIFS('Dvd Calendar'!$E$563:$CZ$563,'Dvd Calendar'!$E$562:$CZ$562,"&gt;"&amp;L$225,'Dvd Calendar'!$E$562:$CZ$562,"&lt;="&amp;L$226)/MXAU!$B$3,"")))</f>
        <v/>
      </c>
      <c r="M300" s="113">
        <f>IF(M$226="","",IF($B300="","",IFERROR($C300*$D300*SUMIFS('Dvd Calendar'!$E$563:$CZ$563,'Dvd Calendar'!$E$562:$CZ$562,"&gt;"&amp;M$225,'Dvd Calendar'!$E$562:$CZ$562,"&lt;="&amp;M$226)/MXAU!$B$3,"")))</f>
        <v/>
      </c>
      <c r="N300" s="113">
        <f>IF(N$226="","",IF($B300="","",IFERROR($C300*$D300*SUMIFS('Dvd Calendar'!$E$563:$CZ$563,'Dvd Calendar'!$E$562:$CZ$562,"&gt;"&amp;N$225,'Dvd Calendar'!$E$562:$CZ$562,"&lt;="&amp;N$226)/MXAU!$B$3,"")))</f>
        <v/>
      </c>
      <c r="O300" s="113">
        <f>IF(O$226="","",IF($B300="","",IFERROR($C300*$D300*SUMIFS('Dvd Calendar'!$E$563:$CZ$563,'Dvd Calendar'!$E$562:$CZ$562,"&gt;"&amp;O$225,'Dvd Calendar'!$E$562:$CZ$562,"&lt;="&amp;O$226)/MXAU!$B$3,"")))</f>
        <v/>
      </c>
      <c r="P300" s="113">
        <f>IF(P$226="","",IF($B300="","",IFERROR($C300*$D300*SUMIFS('Dvd Calendar'!$E$563:$CZ$563,'Dvd Calendar'!$E$562:$CZ$562,"&gt;"&amp;P$225,'Dvd Calendar'!$E$562:$CZ$562,"&lt;="&amp;P$226)/MXAU!$B$3,"")))</f>
        <v/>
      </c>
      <c r="Q300" s="113">
        <f>IF(Q$226="","",IF($B300="","",IFERROR($C300*$D300*SUMIFS('Dvd Calendar'!$E$563:$CZ$563,'Dvd Calendar'!$E$562:$CZ$562,"&gt;"&amp;Q$225,'Dvd Calendar'!$E$562:$CZ$562,"&lt;="&amp;Q$226)/MXAU!$B$3,"")))</f>
        <v/>
      </c>
      <c r="R300" s="113">
        <f>IF(R$226="","",IF($B300="","",IFERROR($C300*$D300*SUMIFS('Dvd Calendar'!$E$563:$CZ$563,'Dvd Calendar'!$E$562:$CZ$562,"&gt;"&amp;R$225,'Dvd Calendar'!$E$562:$CZ$562,"&lt;="&amp;R$226)/MXAU!$B$3,"")))</f>
        <v/>
      </c>
      <c r="S300" s="113">
        <f>IF(S$226="","",IF($B300="","",IFERROR($C300*$D300*SUMIFS('Dvd Calendar'!$E$563:$CZ$563,'Dvd Calendar'!$E$562:$CZ$562,"&gt;"&amp;S$225,'Dvd Calendar'!$E$562:$CZ$562,"&lt;="&amp;S$226)/MXAU!$B$3,"")))</f>
        <v/>
      </c>
      <c r="T300" s="113">
        <f>IF(T$226="","",IF($B300="","",IFERROR($C300*$D300*SUMIFS('Dvd Calendar'!$E$563:$CZ$563,'Dvd Calendar'!$E$562:$CZ$562,"&gt;"&amp;T$225,'Dvd Calendar'!$E$562:$CZ$562,"&lt;="&amp;T$226)/MXAU!$B$3,"")))</f>
        <v/>
      </c>
      <c r="U300" s="113">
        <f>IF(U$226="","",IF($B300="","",IFERROR($C300*$D300*SUMIFS('Dvd Calendar'!$E$563:$CZ$563,'Dvd Calendar'!$E$562:$CZ$562,"&gt;"&amp;U$225,'Dvd Calendar'!$E$562:$CZ$562,"&lt;="&amp;U$226)/MXAU!$B$3,"")))</f>
        <v/>
      </c>
      <c r="W300" s="113">
        <f>IF(W$226="","",IF($B300="","",IFERROR(F300*$E300/100,"")))</f>
        <v/>
      </c>
      <c r="X300" s="113">
        <f>IF(X$226="","",IF($B300="","",IFERROR(G300*$E300/100,"")))</f>
        <v/>
      </c>
      <c r="Y300" s="113">
        <f>IF(Y$226="","",IF($B300="","",IFERROR(H300*$E300/100,"")))</f>
        <v/>
      </c>
      <c r="Z300" s="113">
        <f>IF(Z$226="","",IF($B300="","",IFERROR(I300*$E300/100,"")))</f>
        <v/>
      </c>
      <c r="AA300" s="113">
        <f>IF(AA$226="","",IF($B300="","",IFERROR(J300*$E300/100,"")))</f>
        <v/>
      </c>
      <c r="AB300" s="113">
        <f>IF(AB$226="","",IF($B300="","",IFERROR(K300*$E300/100,"")))</f>
        <v/>
      </c>
      <c r="AC300" s="113">
        <f>IF(AC$226="","",IF($B300="","",IFERROR(L300*$E300/100,"")))</f>
        <v/>
      </c>
      <c r="AD300" s="113">
        <f>IF(AD$226="","",IF($B300="","",IFERROR(M300*$E300/100,"")))</f>
        <v/>
      </c>
      <c r="AE300" s="113">
        <f>IF(AE$226="","",IF($B300="","",IFERROR(N300*$E300/100,"")))</f>
        <v/>
      </c>
      <c r="AF300" s="113">
        <f>IF(AF$226="","",IF($B300="","",IFERROR(O300*$E300/100,"")))</f>
        <v/>
      </c>
      <c r="AG300" s="113">
        <f>IF(AG$226="","",IF($B300="","",IFERROR(P300*$E300/100,"")))</f>
        <v/>
      </c>
      <c r="AH300" s="113">
        <f>IF(AH$226="","",IF($B300="","",IFERROR(Q300*$E300/100,"")))</f>
        <v/>
      </c>
      <c r="AI300" s="113">
        <f>IF(AI$226="","",IF($B300="","",IFERROR(R300*$E300/100,"")))</f>
        <v/>
      </c>
      <c r="AJ300" s="113">
        <f>IF(AJ$226="","",IF($B300="","",IFERROR(S300*$E300/100,"")))</f>
        <v/>
      </c>
      <c r="AK300" s="113">
        <f>IF(AK$226="","",IF($B300="","",IFERROR(T300*$E300/100,"")))</f>
        <v/>
      </c>
      <c r="AL300" s="113">
        <f>IF(AL$226="","",IF($B300="","",IFERROR(U300*$E300/100,"")))</f>
        <v/>
      </c>
    </row>
    <row r="301">
      <c r="B301" s="5">
        <f>IF(MXAU!$C$78="","",MXAU!$C$78)</f>
        <v/>
      </c>
      <c r="C301" s="86">
        <f>IF(MXAU!$B$78="","",MXAU!$B$78)</f>
        <v/>
      </c>
      <c r="D301" s="111">
        <f>IFERROR(MXAU!$Q$78,1)</f>
        <v/>
      </c>
      <c r="E301" s="112">
        <f>IF($B301="","",IF(ISNUMBER(MXAU!$I$78),MXAU!$I$78,'Index Summary'!$C$7))</f>
        <v/>
      </c>
      <c r="F301" s="113">
        <f>IF(F$226="","",IF($B301="","",IFERROR($C301*$D301*SUMIFS('Dvd Calendar'!$E$565:$CZ$565,'Dvd Calendar'!$E$564:$CZ$564,"&gt;"&amp;F$225,'Dvd Calendar'!$E$564:$CZ$564,"&lt;="&amp;F$226)/MXAU!$B$3,"")))</f>
        <v/>
      </c>
      <c r="G301" s="113">
        <f>IF(G$226="","",IF($B301="","",IFERROR($C301*$D301*SUMIFS('Dvd Calendar'!$E$565:$CZ$565,'Dvd Calendar'!$E$564:$CZ$564,"&gt;"&amp;G$225,'Dvd Calendar'!$E$564:$CZ$564,"&lt;="&amp;G$226)/MXAU!$B$3,"")))</f>
        <v/>
      </c>
      <c r="H301" s="113">
        <f>IF(H$226="","",IF($B301="","",IFERROR($C301*$D301*SUMIFS('Dvd Calendar'!$E$565:$CZ$565,'Dvd Calendar'!$E$564:$CZ$564,"&gt;"&amp;H$225,'Dvd Calendar'!$E$564:$CZ$564,"&lt;="&amp;H$226)/MXAU!$B$3,"")))</f>
        <v/>
      </c>
      <c r="I301" s="113">
        <f>IF(I$226="","",IF($B301="","",IFERROR($C301*$D301*SUMIFS('Dvd Calendar'!$E$565:$CZ$565,'Dvd Calendar'!$E$564:$CZ$564,"&gt;"&amp;I$225,'Dvd Calendar'!$E$564:$CZ$564,"&lt;="&amp;I$226)/MXAU!$B$3,"")))</f>
        <v/>
      </c>
      <c r="J301" s="113">
        <f>IF(J$226="","",IF($B301="","",IFERROR($C301*$D301*SUMIFS('Dvd Calendar'!$E$565:$CZ$565,'Dvd Calendar'!$E$564:$CZ$564,"&gt;"&amp;J$225,'Dvd Calendar'!$E$564:$CZ$564,"&lt;="&amp;J$226)/MXAU!$B$3,"")))</f>
        <v/>
      </c>
      <c r="K301" s="113">
        <f>IF(K$226="","",IF($B301="","",IFERROR($C301*$D301*SUMIFS('Dvd Calendar'!$E$565:$CZ$565,'Dvd Calendar'!$E$564:$CZ$564,"&gt;"&amp;K$225,'Dvd Calendar'!$E$564:$CZ$564,"&lt;="&amp;K$226)/MXAU!$B$3,"")))</f>
        <v/>
      </c>
      <c r="L301" s="113">
        <f>IF(L$226="","",IF($B301="","",IFERROR($C301*$D301*SUMIFS('Dvd Calendar'!$E$565:$CZ$565,'Dvd Calendar'!$E$564:$CZ$564,"&gt;"&amp;L$225,'Dvd Calendar'!$E$564:$CZ$564,"&lt;="&amp;L$226)/MXAU!$B$3,"")))</f>
        <v/>
      </c>
      <c r="M301" s="113">
        <f>IF(M$226="","",IF($B301="","",IFERROR($C301*$D301*SUMIFS('Dvd Calendar'!$E$565:$CZ$565,'Dvd Calendar'!$E$564:$CZ$564,"&gt;"&amp;M$225,'Dvd Calendar'!$E$564:$CZ$564,"&lt;="&amp;M$226)/MXAU!$B$3,"")))</f>
        <v/>
      </c>
      <c r="N301" s="113">
        <f>IF(N$226="","",IF($B301="","",IFERROR($C301*$D301*SUMIFS('Dvd Calendar'!$E$565:$CZ$565,'Dvd Calendar'!$E$564:$CZ$564,"&gt;"&amp;N$225,'Dvd Calendar'!$E$564:$CZ$564,"&lt;="&amp;N$226)/MXAU!$B$3,"")))</f>
        <v/>
      </c>
      <c r="O301" s="113">
        <f>IF(O$226="","",IF($B301="","",IFERROR($C301*$D301*SUMIFS('Dvd Calendar'!$E$565:$CZ$565,'Dvd Calendar'!$E$564:$CZ$564,"&gt;"&amp;O$225,'Dvd Calendar'!$E$564:$CZ$564,"&lt;="&amp;O$226)/MXAU!$B$3,"")))</f>
        <v/>
      </c>
      <c r="P301" s="113">
        <f>IF(P$226="","",IF($B301="","",IFERROR($C301*$D301*SUMIFS('Dvd Calendar'!$E$565:$CZ$565,'Dvd Calendar'!$E$564:$CZ$564,"&gt;"&amp;P$225,'Dvd Calendar'!$E$564:$CZ$564,"&lt;="&amp;P$226)/MXAU!$B$3,"")))</f>
        <v/>
      </c>
      <c r="Q301" s="113">
        <f>IF(Q$226="","",IF($B301="","",IFERROR($C301*$D301*SUMIFS('Dvd Calendar'!$E$565:$CZ$565,'Dvd Calendar'!$E$564:$CZ$564,"&gt;"&amp;Q$225,'Dvd Calendar'!$E$564:$CZ$564,"&lt;="&amp;Q$226)/MXAU!$B$3,"")))</f>
        <v/>
      </c>
      <c r="R301" s="113">
        <f>IF(R$226="","",IF($B301="","",IFERROR($C301*$D301*SUMIFS('Dvd Calendar'!$E$565:$CZ$565,'Dvd Calendar'!$E$564:$CZ$564,"&gt;"&amp;R$225,'Dvd Calendar'!$E$564:$CZ$564,"&lt;="&amp;R$226)/MXAU!$B$3,"")))</f>
        <v/>
      </c>
      <c r="S301" s="113">
        <f>IF(S$226="","",IF($B301="","",IFERROR($C301*$D301*SUMIFS('Dvd Calendar'!$E$565:$CZ$565,'Dvd Calendar'!$E$564:$CZ$564,"&gt;"&amp;S$225,'Dvd Calendar'!$E$564:$CZ$564,"&lt;="&amp;S$226)/MXAU!$B$3,"")))</f>
        <v/>
      </c>
      <c r="T301" s="113">
        <f>IF(T$226="","",IF($B301="","",IFERROR($C301*$D301*SUMIFS('Dvd Calendar'!$E$565:$CZ$565,'Dvd Calendar'!$E$564:$CZ$564,"&gt;"&amp;T$225,'Dvd Calendar'!$E$564:$CZ$564,"&lt;="&amp;T$226)/MXAU!$B$3,"")))</f>
        <v/>
      </c>
      <c r="U301" s="113">
        <f>IF(U$226="","",IF($B301="","",IFERROR($C301*$D301*SUMIFS('Dvd Calendar'!$E$565:$CZ$565,'Dvd Calendar'!$E$564:$CZ$564,"&gt;"&amp;U$225,'Dvd Calendar'!$E$564:$CZ$564,"&lt;="&amp;U$226)/MXAU!$B$3,"")))</f>
        <v/>
      </c>
      <c r="W301" s="113">
        <f>IF(W$226="","",IF($B301="","",IFERROR(F301*$E301/100,"")))</f>
        <v/>
      </c>
      <c r="X301" s="113">
        <f>IF(X$226="","",IF($B301="","",IFERROR(G301*$E301/100,"")))</f>
        <v/>
      </c>
      <c r="Y301" s="113">
        <f>IF(Y$226="","",IF($B301="","",IFERROR(H301*$E301/100,"")))</f>
        <v/>
      </c>
      <c r="Z301" s="113">
        <f>IF(Z$226="","",IF($B301="","",IFERROR(I301*$E301/100,"")))</f>
        <v/>
      </c>
      <c r="AA301" s="113">
        <f>IF(AA$226="","",IF($B301="","",IFERROR(J301*$E301/100,"")))</f>
        <v/>
      </c>
      <c r="AB301" s="113">
        <f>IF(AB$226="","",IF($B301="","",IFERROR(K301*$E301/100,"")))</f>
        <v/>
      </c>
      <c r="AC301" s="113">
        <f>IF(AC$226="","",IF($B301="","",IFERROR(L301*$E301/100,"")))</f>
        <v/>
      </c>
      <c r="AD301" s="113">
        <f>IF(AD$226="","",IF($B301="","",IFERROR(M301*$E301/100,"")))</f>
        <v/>
      </c>
      <c r="AE301" s="113">
        <f>IF(AE$226="","",IF($B301="","",IFERROR(N301*$E301/100,"")))</f>
        <v/>
      </c>
      <c r="AF301" s="113">
        <f>IF(AF$226="","",IF($B301="","",IFERROR(O301*$E301/100,"")))</f>
        <v/>
      </c>
      <c r="AG301" s="113">
        <f>IF(AG$226="","",IF($B301="","",IFERROR(P301*$E301/100,"")))</f>
        <v/>
      </c>
      <c r="AH301" s="113">
        <f>IF(AH$226="","",IF($B301="","",IFERROR(Q301*$E301/100,"")))</f>
        <v/>
      </c>
      <c r="AI301" s="113">
        <f>IF(AI$226="","",IF($B301="","",IFERROR(R301*$E301/100,"")))</f>
        <v/>
      </c>
      <c r="AJ301" s="113">
        <f>IF(AJ$226="","",IF($B301="","",IFERROR(S301*$E301/100,"")))</f>
        <v/>
      </c>
      <c r="AK301" s="113">
        <f>IF(AK$226="","",IF($B301="","",IFERROR(T301*$E301/100,"")))</f>
        <v/>
      </c>
      <c r="AL301" s="113">
        <f>IF(AL$226="","",IF($B301="","",IFERROR(U301*$E301/100,"")))</f>
        <v/>
      </c>
    </row>
    <row r="302">
      <c r="B302" s="5">
        <f>IF(MXAU!$C$79="","",MXAU!$C$79)</f>
        <v/>
      </c>
      <c r="C302" s="86">
        <f>IF(MXAU!$B$79="","",MXAU!$B$79)</f>
        <v/>
      </c>
      <c r="D302" s="111">
        <f>IFERROR(MXAU!$Q$79,1)</f>
        <v/>
      </c>
      <c r="E302" s="112">
        <f>IF($B302="","",IF(ISNUMBER(MXAU!$I$79),MXAU!$I$79,'Index Summary'!$C$7))</f>
        <v/>
      </c>
      <c r="F302" s="113">
        <f>IF(F$226="","",IF($B302="","",IFERROR($C302*$D302*SUMIFS('Dvd Calendar'!$E$567:$CZ$567,'Dvd Calendar'!$E$566:$CZ$566,"&gt;"&amp;F$225,'Dvd Calendar'!$E$566:$CZ$566,"&lt;="&amp;F$226)/MXAU!$B$3,"")))</f>
        <v/>
      </c>
      <c r="G302" s="113">
        <f>IF(G$226="","",IF($B302="","",IFERROR($C302*$D302*SUMIFS('Dvd Calendar'!$E$567:$CZ$567,'Dvd Calendar'!$E$566:$CZ$566,"&gt;"&amp;G$225,'Dvd Calendar'!$E$566:$CZ$566,"&lt;="&amp;G$226)/MXAU!$B$3,"")))</f>
        <v/>
      </c>
      <c r="H302" s="113">
        <f>IF(H$226="","",IF($B302="","",IFERROR($C302*$D302*SUMIFS('Dvd Calendar'!$E$567:$CZ$567,'Dvd Calendar'!$E$566:$CZ$566,"&gt;"&amp;H$225,'Dvd Calendar'!$E$566:$CZ$566,"&lt;="&amp;H$226)/MXAU!$B$3,"")))</f>
        <v/>
      </c>
      <c r="I302" s="113">
        <f>IF(I$226="","",IF($B302="","",IFERROR($C302*$D302*SUMIFS('Dvd Calendar'!$E$567:$CZ$567,'Dvd Calendar'!$E$566:$CZ$566,"&gt;"&amp;I$225,'Dvd Calendar'!$E$566:$CZ$566,"&lt;="&amp;I$226)/MXAU!$B$3,"")))</f>
        <v/>
      </c>
      <c r="J302" s="113">
        <f>IF(J$226="","",IF($B302="","",IFERROR($C302*$D302*SUMIFS('Dvd Calendar'!$E$567:$CZ$567,'Dvd Calendar'!$E$566:$CZ$566,"&gt;"&amp;J$225,'Dvd Calendar'!$E$566:$CZ$566,"&lt;="&amp;J$226)/MXAU!$B$3,"")))</f>
        <v/>
      </c>
      <c r="K302" s="113">
        <f>IF(K$226="","",IF($B302="","",IFERROR($C302*$D302*SUMIFS('Dvd Calendar'!$E$567:$CZ$567,'Dvd Calendar'!$E$566:$CZ$566,"&gt;"&amp;K$225,'Dvd Calendar'!$E$566:$CZ$566,"&lt;="&amp;K$226)/MXAU!$B$3,"")))</f>
        <v/>
      </c>
      <c r="L302" s="113">
        <f>IF(L$226="","",IF($B302="","",IFERROR($C302*$D302*SUMIFS('Dvd Calendar'!$E$567:$CZ$567,'Dvd Calendar'!$E$566:$CZ$566,"&gt;"&amp;L$225,'Dvd Calendar'!$E$566:$CZ$566,"&lt;="&amp;L$226)/MXAU!$B$3,"")))</f>
        <v/>
      </c>
      <c r="M302" s="113">
        <f>IF(M$226="","",IF($B302="","",IFERROR($C302*$D302*SUMIFS('Dvd Calendar'!$E$567:$CZ$567,'Dvd Calendar'!$E$566:$CZ$566,"&gt;"&amp;M$225,'Dvd Calendar'!$E$566:$CZ$566,"&lt;="&amp;M$226)/MXAU!$B$3,"")))</f>
        <v/>
      </c>
      <c r="N302" s="113">
        <f>IF(N$226="","",IF($B302="","",IFERROR($C302*$D302*SUMIFS('Dvd Calendar'!$E$567:$CZ$567,'Dvd Calendar'!$E$566:$CZ$566,"&gt;"&amp;N$225,'Dvd Calendar'!$E$566:$CZ$566,"&lt;="&amp;N$226)/MXAU!$B$3,"")))</f>
        <v/>
      </c>
      <c r="O302" s="113">
        <f>IF(O$226="","",IF($B302="","",IFERROR($C302*$D302*SUMIFS('Dvd Calendar'!$E$567:$CZ$567,'Dvd Calendar'!$E$566:$CZ$566,"&gt;"&amp;O$225,'Dvd Calendar'!$E$566:$CZ$566,"&lt;="&amp;O$226)/MXAU!$B$3,"")))</f>
        <v/>
      </c>
      <c r="P302" s="113">
        <f>IF(P$226="","",IF($B302="","",IFERROR($C302*$D302*SUMIFS('Dvd Calendar'!$E$567:$CZ$567,'Dvd Calendar'!$E$566:$CZ$566,"&gt;"&amp;P$225,'Dvd Calendar'!$E$566:$CZ$566,"&lt;="&amp;P$226)/MXAU!$B$3,"")))</f>
        <v/>
      </c>
      <c r="Q302" s="113">
        <f>IF(Q$226="","",IF($B302="","",IFERROR($C302*$D302*SUMIFS('Dvd Calendar'!$E$567:$CZ$567,'Dvd Calendar'!$E$566:$CZ$566,"&gt;"&amp;Q$225,'Dvd Calendar'!$E$566:$CZ$566,"&lt;="&amp;Q$226)/MXAU!$B$3,"")))</f>
        <v/>
      </c>
      <c r="R302" s="113">
        <f>IF(R$226="","",IF($B302="","",IFERROR($C302*$D302*SUMIFS('Dvd Calendar'!$E$567:$CZ$567,'Dvd Calendar'!$E$566:$CZ$566,"&gt;"&amp;R$225,'Dvd Calendar'!$E$566:$CZ$566,"&lt;="&amp;R$226)/MXAU!$B$3,"")))</f>
        <v/>
      </c>
      <c r="S302" s="113">
        <f>IF(S$226="","",IF($B302="","",IFERROR($C302*$D302*SUMIFS('Dvd Calendar'!$E$567:$CZ$567,'Dvd Calendar'!$E$566:$CZ$566,"&gt;"&amp;S$225,'Dvd Calendar'!$E$566:$CZ$566,"&lt;="&amp;S$226)/MXAU!$B$3,"")))</f>
        <v/>
      </c>
      <c r="T302" s="113">
        <f>IF(T$226="","",IF($B302="","",IFERROR($C302*$D302*SUMIFS('Dvd Calendar'!$E$567:$CZ$567,'Dvd Calendar'!$E$566:$CZ$566,"&gt;"&amp;T$225,'Dvd Calendar'!$E$566:$CZ$566,"&lt;="&amp;T$226)/MXAU!$B$3,"")))</f>
        <v/>
      </c>
      <c r="U302" s="113">
        <f>IF(U$226="","",IF($B302="","",IFERROR($C302*$D302*SUMIFS('Dvd Calendar'!$E$567:$CZ$567,'Dvd Calendar'!$E$566:$CZ$566,"&gt;"&amp;U$225,'Dvd Calendar'!$E$566:$CZ$566,"&lt;="&amp;U$226)/MXAU!$B$3,"")))</f>
        <v/>
      </c>
      <c r="W302" s="113">
        <f>IF(W$226="","",IF($B302="","",IFERROR(F302*$E302/100,"")))</f>
        <v/>
      </c>
      <c r="X302" s="113">
        <f>IF(X$226="","",IF($B302="","",IFERROR(G302*$E302/100,"")))</f>
        <v/>
      </c>
      <c r="Y302" s="113">
        <f>IF(Y$226="","",IF($B302="","",IFERROR(H302*$E302/100,"")))</f>
        <v/>
      </c>
      <c r="Z302" s="113">
        <f>IF(Z$226="","",IF($B302="","",IFERROR(I302*$E302/100,"")))</f>
        <v/>
      </c>
      <c r="AA302" s="113">
        <f>IF(AA$226="","",IF($B302="","",IFERROR(J302*$E302/100,"")))</f>
        <v/>
      </c>
      <c r="AB302" s="113">
        <f>IF(AB$226="","",IF($B302="","",IFERROR(K302*$E302/100,"")))</f>
        <v/>
      </c>
      <c r="AC302" s="113">
        <f>IF(AC$226="","",IF($B302="","",IFERROR(L302*$E302/100,"")))</f>
        <v/>
      </c>
      <c r="AD302" s="113">
        <f>IF(AD$226="","",IF($B302="","",IFERROR(M302*$E302/100,"")))</f>
        <v/>
      </c>
      <c r="AE302" s="113">
        <f>IF(AE$226="","",IF($B302="","",IFERROR(N302*$E302/100,"")))</f>
        <v/>
      </c>
      <c r="AF302" s="113">
        <f>IF(AF$226="","",IF($B302="","",IFERROR(O302*$E302/100,"")))</f>
        <v/>
      </c>
      <c r="AG302" s="113">
        <f>IF(AG$226="","",IF($B302="","",IFERROR(P302*$E302/100,"")))</f>
        <v/>
      </c>
      <c r="AH302" s="113">
        <f>IF(AH$226="","",IF($B302="","",IFERROR(Q302*$E302/100,"")))</f>
        <v/>
      </c>
      <c r="AI302" s="113">
        <f>IF(AI$226="","",IF($B302="","",IFERROR(R302*$E302/100,"")))</f>
        <v/>
      </c>
      <c r="AJ302" s="113">
        <f>IF(AJ$226="","",IF($B302="","",IFERROR(S302*$E302/100,"")))</f>
        <v/>
      </c>
      <c r="AK302" s="113">
        <f>IF(AK$226="","",IF($B302="","",IFERROR(T302*$E302/100,"")))</f>
        <v/>
      </c>
      <c r="AL302" s="113">
        <f>IF(AL$226="","",IF($B302="","",IFERROR(U302*$E302/100,"")))</f>
        <v/>
      </c>
    </row>
    <row r="303">
      <c r="B303" s="5">
        <f>IF(MXAU!$C$80="","",MXAU!$C$80)</f>
        <v/>
      </c>
      <c r="C303" s="86">
        <f>IF(MXAU!$B$80="","",MXAU!$B$80)</f>
        <v/>
      </c>
      <c r="D303" s="111">
        <f>IFERROR(MXAU!$Q$80,1)</f>
        <v/>
      </c>
      <c r="E303" s="112">
        <f>IF($B303="","",IF(ISNUMBER(MXAU!$I$80),MXAU!$I$80,'Index Summary'!$C$7))</f>
        <v/>
      </c>
      <c r="F303" s="113">
        <f>IF(F$226="","",IF($B303="","",IFERROR($C303*$D303*SUMIFS('Dvd Calendar'!$E$569:$CZ$569,'Dvd Calendar'!$E$568:$CZ$568,"&gt;"&amp;F$225,'Dvd Calendar'!$E$568:$CZ$568,"&lt;="&amp;F$226)/MXAU!$B$3,"")))</f>
        <v/>
      </c>
      <c r="G303" s="113">
        <f>IF(G$226="","",IF($B303="","",IFERROR($C303*$D303*SUMIFS('Dvd Calendar'!$E$569:$CZ$569,'Dvd Calendar'!$E$568:$CZ$568,"&gt;"&amp;G$225,'Dvd Calendar'!$E$568:$CZ$568,"&lt;="&amp;G$226)/MXAU!$B$3,"")))</f>
        <v/>
      </c>
      <c r="H303" s="113">
        <f>IF(H$226="","",IF($B303="","",IFERROR($C303*$D303*SUMIFS('Dvd Calendar'!$E$569:$CZ$569,'Dvd Calendar'!$E$568:$CZ$568,"&gt;"&amp;H$225,'Dvd Calendar'!$E$568:$CZ$568,"&lt;="&amp;H$226)/MXAU!$B$3,"")))</f>
        <v/>
      </c>
      <c r="I303" s="113">
        <f>IF(I$226="","",IF($B303="","",IFERROR($C303*$D303*SUMIFS('Dvd Calendar'!$E$569:$CZ$569,'Dvd Calendar'!$E$568:$CZ$568,"&gt;"&amp;I$225,'Dvd Calendar'!$E$568:$CZ$568,"&lt;="&amp;I$226)/MXAU!$B$3,"")))</f>
        <v/>
      </c>
      <c r="J303" s="113">
        <f>IF(J$226="","",IF($B303="","",IFERROR($C303*$D303*SUMIFS('Dvd Calendar'!$E$569:$CZ$569,'Dvd Calendar'!$E$568:$CZ$568,"&gt;"&amp;J$225,'Dvd Calendar'!$E$568:$CZ$568,"&lt;="&amp;J$226)/MXAU!$B$3,"")))</f>
        <v/>
      </c>
      <c r="K303" s="113">
        <f>IF(K$226="","",IF($B303="","",IFERROR($C303*$D303*SUMIFS('Dvd Calendar'!$E$569:$CZ$569,'Dvd Calendar'!$E$568:$CZ$568,"&gt;"&amp;K$225,'Dvd Calendar'!$E$568:$CZ$568,"&lt;="&amp;K$226)/MXAU!$B$3,"")))</f>
        <v/>
      </c>
      <c r="L303" s="113">
        <f>IF(L$226="","",IF($B303="","",IFERROR($C303*$D303*SUMIFS('Dvd Calendar'!$E$569:$CZ$569,'Dvd Calendar'!$E$568:$CZ$568,"&gt;"&amp;L$225,'Dvd Calendar'!$E$568:$CZ$568,"&lt;="&amp;L$226)/MXAU!$B$3,"")))</f>
        <v/>
      </c>
      <c r="M303" s="113">
        <f>IF(M$226="","",IF($B303="","",IFERROR($C303*$D303*SUMIFS('Dvd Calendar'!$E$569:$CZ$569,'Dvd Calendar'!$E$568:$CZ$568,"&gt;"&amp;M$225,'Dvd Calendar'!$E$568:$CZ$568,"&lt;="&amp;M$226)/MXAU!$B$3,"")))</f>
        <v/>
      </c>
      <c r="N303" s="113">
        <f>IF(N$226="","",IF($B303="","",IFERROR($C303*$D303*SUMIFS('Dvd Calendar'!$E$569:$CZ$569,'Dvd Calendar'!$E$568:$CZ$568,"&gt;"&amp;N$225,'Dvd Calendar'!$E$568:$CZ$568,"&lt;="&amp;N$226)/MXAU!$B$3,"")))</f>
        <v/>
      </c>
      <c r="O303" s="113">
        <f>IF(O$226="","",IF($B303="","",IFERROR($C303*$D303*SUMIFS('Dvd Calendar'!$E$569:$CZ$569,'Dvd Calendar'!$E$568:$CZ$568,"&gt;"&amp;O$225,'Dvd Calendar'!$E$568:$CZ$568,"&lt;="&amp;O$226)/MXAU!$B$3,"")))</f>
        <v/>
      </c>
      <c r="P303" s="113">
        <f>IF(P$226="","",IF($B303="","",IFERROR($C303*$D303*SUMIFS('Dvd Calendar'!$E$569:$CZ$569,'Dvd Calendar'!$E$568:$CZ$568,"&gt;"&amp;P$225,'Dvd Calendar'!$E$568:$CZ$568,"&lt;="&amp;P$226)/MXAU!$B$3,"")))</f>
        <v/>
      </c>
      <c r="Q303" s="113">
        <f>IF(Q$226="","",IF($B303="","",IFERROR($C303*$D303*SUMIFS('Dvd Calendar'!$E$569:$CZ$569,'Dvd Calendar'!$E$568:$CZ$568,"&gt;"&amp;Q$225,'Dvd Calendar'!$E$568:$CZ$568,"&lt;="&amp;Q$226)/MXAU!$B$3,"")))</f>
        <v/>
      </c>
      <c r="R303" s="113">
        <f>IF(R$226="","",IF($B303="","",IFERROR($C303*$D303*SUMIFS('Dvd Calendar'!$E$569:$CZ$569,'Dvd Calendar'!$E$568:$CZ$568,"&gt;"&amp;R$225,'Dvd Calendar'!$E$568:$CZ$568,"&lt;="&amp;R$226)/MXAU!$B$3,"")))</f>
        <v/>
      </c>
      <c r="S303" s="113">
        <f>IF(S$226="","",IF($B303="","",IFERROR($C303*$D303*SUMIFS('Dvd Calendar'!$E$569:$CZ$569,'Dvd Calendar'!$E$568:$CZ$568,"&gt;"&amp;S$225,'Dvd Calendar'!$E$568:$CZ$568,"&lt;="&amp;S$226)/MXAU!$B$3,"")))</f>
        <v/>
      </c>
      <c r="T303" s="113">
        <f>IF(T$226="","",IF($B303="","",IFERROR($C303*$D303*SUMIFS('Dvd Calendar'!$E$569:$CZ$569,'Dvd Calendar'!$E$568:$CZ$568,"&gt;"&amp;T$225,'Dvd Calendar'!$E$568:$CZ$568,"&lt;="&amp;T$226)/MXAU!$B$3,"")))</f>
        <v/>
      </c>
      <c r="U303" s="113">
        <f>IF(U$226="","",IF($B303="","",IFERROR($C303*$D303*SUMIFS('Dvd Calendar'!$E$569:$CZ$569,'Dvd Calendar'!$E$568:$CZ$568,"&gt;"&amp;U$225,'Dvd Calendar'!$E$568:$CZ$568,"&lt;="&amp;U$226)/MXAU!$B$3,"")))</f>
        <v/>
      </c>
      <c r="W303" s="113">
        <f>IF(W$226="","",IF($B303="","",IFERROR(F303*$E303/100,"")))</f>
        <v/>
      </c>
      <c r="X303" s="113">
        <f>IF(X$226="","",IF($B303="","",IFERROR(G303*$E303/100,"")))</f>
        <v/>
      </c>
      <c r="Y303" s="113">
        <f>IF(Y$226="","",IF($B303="","",IFERROR(H303*$E303/100,"")))</f>
        <v/>
      </c>
      <c r="Z303" s="113">
        <f>IF(Z$226="","",IF($B303="","",IFERROR(I303*$E303/100,"")))</f>
        <v/>
      </c>
      <c r="AA303" s="113">
        <f>IF(AA$226="","",IF($B303="","",IFERROR(J303*$E303/100,"")))</f>
        <v/>
      </c>
      <c r="AB303" s="113">
        <f>IF(AB$226="","",IF($B303="","",IFERROR(K303*$E303/100,"")))</f>
        <v/>
      </c>
      <c r="AC303" s="113">
        <f>IF(AC$226="","",IF($B303="","",IFERROR(L303*$E303/100,"")))</f>
        <v/>
      </c>
      <c r="AD303" s="113">
        <f>IF(AD$226="","",IF($B303="","",IFERROR(M303*$E303/100,"")))</f>
        <v/>
      </c>
      <c r="AE303" s="113">
        <f>IF(AE$226="","",IF($B303="","",IFERROR(N303*$E303/100,"")))</f>
        <v/>
      </c>
      <c r="AF303" s="113">
        <f>IF(AF$226="","",IF($B303="","",IFERROR(O303*$E303/100,"")))</f>
        <v/>
      </c>
      <c r="AG303" s="113">
        <f>IF(AG$226="","",IF($B303="","",IFERROR(P303*$E303/100,"")))</f>
        <v/>
      </c>
      <c r="AH303" s="113">
        <f>IF(AH$226="","",IF($B303="","",IFERROR(Q303*$E303/100,"")))</f>
        <v/>
      </c>
      <c r="AI303" s="113">
        <f>IF(AI$226="","",IF($B303="","",IFERROR(R303*$E303/100,"")))</f>
        <v/>
      </c>
      <c r="AJ303" s="113">
        <f>IF(AJ$226="","",IF($B303="","",IFERROR(S303*$E303/100,"")))</f>
        <v/>
      </c>
      <c r="AK303" s="113">
        <f>IF(AK$226="","",IF($B303="","",IFERROR(T303*$E303/100,"")))</f>
        <v/>
      </c>
      <c r="AL303" s="113">
        <f>IF(AL$226="","",IF($B303="","",IFERROR(U303*$E303/100,"")))</f>
        <v/>
      </c>
    </row>
    <row r="304">
      <c r="B304" s="5">
        <f>IF(MXAU!$C$81="","",MXAU!$C$81)</f>
        <v/>
      </c>
      <c r="C304" s="86">
        <f>IF(MXAU!$B$81="","",MXAU!$B$81)</f>
        <v/>
      </c>
      <c r="D304" s="111">
        <f>IFERROR(MXAU!$Q$81,1)</f>
        <v/>
      </c>
      <c r="E304" s="112">
        <f>IF($B304="","",IF(ISNUMBER(MXAU!$I$81),MXAU!$I$81,'Index Summary'!$C$7))</f>
        <v/>
      </c>
      <c r="F304" s="113">
        <f>IF(F$226="","",IF($B304="","",IFERROR($C304*$D304*SUMIFS('Dvd Calendar'!$E$571:$CZ$571,'Dvd Calendar'!$E$570:$CZ$570,"&gt;"&amp;F$225,'Dvd Calendar'!$E$570:$CZ$570,"&lt;="&amp;F$226)/MXAU!$B$3,"")))</f>
        <v/>
      </c>
      <c r="G304" s="113">
        <f>IF(G$226="","",IF($B304="","",IFERROR($C304*$D304*SUMIFS('Dvd Calendar'!$E$571:$CZ$571,'Dvd Calendar'!$E$570:$CZ$570,"&gt;"&amp;G$225,'Dvd Calendar'!$E$570:$CZ$570,"&lt;="&amp;G$226)/MXAU!$B$3,"")))</f>
        <v/>
      </c>
      <c r="H304" s="113">
        <f>IF(H$226="","",IF($B304="","",IFERROR($C304*$D304*SUMIFS('Dvd Calendar'!$E$571:$CZ$571,'Dvd Calendar'!$E$570:$CZ$570,"&gt;"&amp;H$225,'Dvd Calendar'!$E$570:$CZ$570,"&lt;="&amp;H$226)/MXAU!$B$3,"")))</f>
        <v/>
      </c>
      <c r="I304" s="113">
        <f>IF(I$226="","",IF($B304="","",IFERROR($C304*$D304*SUMIFS('Dvd Calendar'!$E$571:$CZ$571,'Dvd Calendar'!$E$570:$CZ$570,"&gt;"&amp;I$225,'Dvd Calendar'!$E$570:$CZ$570,"&lt;="&amp;I$226)/MXAU!$B$3,"")))</f>
        <v/>
      </c>
      <c r="J304" s="113">
        <f>IF(J$226="","",IF($B304="","",IFERROR($C304*$D304*SUMIFS('Dvd Calendar'!$E$571:$CZ$571,'Dvd Calendar'!$E$570:$CZ$570,"&gt;"&amp;J$225,'Dvd Calendar'!$E$570:$CZ$570,"&lt;="&amp;J$226)/MXAU!$B$3,"")))</f>
        <v/>
      </c>
      <c r="K304" s="113">
        <f>IF(K$226="","",IF($B304="","",IFERROR($C304*$D304*SUMIFS('Dvd Calendar'!$E$571:$CZ$571,'Dvd Calendar'!$E$570:$CZ$570,"&gt;"&amp;K$225,'Dvd Calendar'!$E$570:$CZ$570,"&lt;="&amp;K$226)/MXAU!$B$3,"")))</f>
        <v/>
      </c>
      <c r="L304" s="113">
        <f>IF(L$226="","",IF($B304="","",IFERROR($C304*$D304*SUMIFS('Dvd Calendar'!$E$571:$CZ$571,'Dvd Calendar'!$E$570:$CZ$570,"&gt;"&amp;L$225,'Dvd Calendar'!$E$570:$CZ$570,"&lt;="&amp;L$226)/MXAU!$B$3,"")))</f>
        <v/>
      </c>
      <c r="M304" s="113">
        <f>IF(M$226="","",IF($B304="","",IFERROR($C304*$D304*SUMIFS('Dvd Calendar'!$E$571:$CZ$571,'Dvd Calendar'!$E$570:$CZ$570,"&gt;"&amp;M$225,'Dvd Calendar'!$E$570:$CZ$570,"&lt;="&amp;M$226)/MXAU!$B$3,"")))</f>
        <v/>
      </c>
      <c r="N304" s="113">
        <f>IF(N$226="","",IF($B304="","",IFERROR($C304*$D304*SUMIFS('Dvd Calendar'!$E$571:$CZ$571,'Dvd Calendar'!$E$570:$CZ$570,"&gt;"&amp;N$225,'Dvd Calendar'!$E$570:$CZ$570,"&lt;="&amp;N$226)/MXAU!$B$3,"")))</f>
        <v/>
      </c>
      <c r="O304" s="113">
        <f>IF(O$226="","",IF($B304="","",IFERROR($C304*$D304*SUMIFS('Dvd Calendar'!$E$571:$CZ$571,'Dvd Calendar'!$E$570:$CZ$570,"&gt;"&amp;O$225,'Dvd Calendar'!$E$570:$CZ$570,"&lt;="&amp;O$226)/MXAU!$B$3,"")))</f>
        <v/>
      </c>
      <c r="P304" s="113">
        <f>IF(P$226="","",IF($B304="","",IFERROR($C304*$D304*SUMIFS('Dvd Calendar'!$E$571:$CZ$571,'Dvd Calendar'!$E$570:$CZ$570,"&gt;"&amp;P$225,'Dvd Calendar'!$E$570:$CZ$570,"&lt;="&amp;P$226)/MXAU!$B$3,"")))</f>
        <v/>
      </c>
      <c r="Q304" s="113">
        <f>IF(Q$226="","",IF($B304="","",IFERROR($C304*$D304*SUMIFS('Dvd Calendar'!$E$571:$CZ$571,'Dvd Calendar'!$E$570:$CZ$570,"&gt;"&amp;Q$225,'Dvd Calendar'!$E$570:$CZ$570,"&lt;="&amp;Q$226)/MXAU!$B$3,"")))</f>
        <v/>
      </c>
      <c r="R304" s="113">
        <f>IF(R$226="","",IF($B304="","",IFERROR($C304*$D304*SUMIFS('Dvd Calendar'!$E$571:$CZ$571,'Dvd Calendar'!$E$570:$CZ$570,"&gt;"&amp;R$225,'Dvd Calendar'!$E$570:$CZ$570,"&lt;="&amp;R$226)/MXAU!$B$3,"")))</f>
        <v/>
      </c>
      <c r="S304" s="113">
        <f>IF(S$226="","",IF($B304="","",IFERROR($C304*$D304*SUMIFS('Dvd Calendar'!$E$571:$CZ$571,'Dvd Calendar'!$E$570:$CZ$570,"&gt;"&amp;S$225,'Dvd Calendar'!$E$570:$CZ$570,"&lt;="&amp;S$226)/MXAU!$B$3,"")))</f>
        <v/>
      </c>
      <c r="T304" s="113">
        <f>IF(T$226="","",IF($B304="","",IFERROR($C304*$D304*SUMIFS('Dvd Calendar'!$E$571:$CZ$571,'Dvd Calendar'!$E$570:$CZ$570,"&gt;"&amp;T$225,'Dvd Calendar'!$E$570:$CZ$570,"&lt;="&amp;T$226)/MXAU!$B$3,"")))</f>
        <v/>
      </c>
      <c r="U304" s="113">
        <f>IF(U$226="","",IF($B304="","",IFERROR($C304*$D304*SUMIFS('Dvd Calendar'!$E$571:$CZ$571,'Dvd Calendar'!$E$570:$CZ$570,"&gt;"&amp;U$225,'Dvd Calendar'!$E$570:$CZ$570,"&lt;="&amp;U$226)/MXAU!$B$3,"")))</f>
        <v/>
      </c>
      <c r="W304" s="113">
        <f>IF(W$226="","",IF($B304="","",IFERROR(F304*$E304/100,"")))</f>
        <v/>
      </c>
      <c r="X304" s="113">
        <f>IF(X$226="","",IF($B304="","",IFERROR(G304*$E304/100,"")))</f>
        <v/>
      </c>
      <c r="Y304" s="113">
        <f>IF(Y$226="","",IF($B304="","",IFERROR(H304*$E304/100,"")))</f>
        <v/>
      </c>
      <c r="Z304" s="113">
        <f>IF(Z$226="","",IF($B304="","",IFERROR(I304*$E304/100,"")))</f>
        <v/>
      </c>
      <c r="AA304" s="113">
        <f>IF(AA$226="","",IF($B304="","",IFERROR(J304*$E304/100,"")))</f>
        <v/>
      </c>
      <c r="AB304" s="113">
        <f>IF(AB$226="","",IF($B304="","",IFERROR(K304*$E304/100,"")))</f>
        <v/>
      </c>
      <c r="AC304" s="113">
        <f>IF(AC$226="","",IF($B304="","",IFERROR(L304*$E304/100,"")))</f>
        <v/>
      </c>
      <c r="AD304" s="113">
        <f>IF(AD$226="","",IF($B304="","",IFERROR(M304*$E304/100,"")))</f>
        <v/>
      </c>
      <c r="AE304" s="113">
        <f>IF(AE$226="","",IF($B304="","",IFERROR(N304*$E304/100,"")))</f>
        <v/>
      </c>
      <c r="AF304" s="113">
        <f>IF(AF$226="","",IF($B304="","",IFERROR(O304*$E304/100,"")))</f>
        <v/>
      </c>
      <c r="AG304" s="113">
        <f>IF(AG$226="","",IF($B304="","",IFERROR(P304*$E304/100,"")))</f>
        <v/>
      </c>
      <c r="AH304" s="113">
        <f>IF(AH$226="","",IF($B304="","",IFERROR(Q304*$E304/100,"")))</f>
        <v/>
      </c>
      <c r="AI304" s="113">
        <f>IF(AI$226="","",IF($B304="","",IFERROR(R304*$E304/100,"")))</f>
        <v/>
      </c>
      <c r="AJ304" s="113">
        <f>IF(AJ$226="","",IF($B304="","",IFERROR(S304*$E304/100,"")))</f>
        <v/>
      </c>
      <c r="AK304" s="113">
        <f>IF(AK$226="","",IF($B304="","",IFERROR(T304*$E304/100,"")))</f>
        <v/>
      </c>
      <c r="AL304" s="113">
        <f>IF(AL$226="","",IF($B304="","",IFERROR(U304*$E304/100,"")))</f>
        <v/>
      </c>
    </row>
    <row r="305">
      <c r="B305" s="5">
        <f>IF(MXAU!$C$82="","",MXAU!$C$82)</f>
        <v/>
      </c>
      <c r="C305" s="86">
        <f>IF(MXAU!$B$82="","",MXAU!$B$82)</f>
        <v/>
      </c>
      <c r="D305" s="111">
        <f>IFERROR(MXAU!$Q$82,1)</f>
        <v/>
      </c>
      <c r="E305" s="112">
        <f>IF($B305="","",IF(ISNUMBER(MXAU!$I$82),MXAU!$I$82,'Index Summary'!$C$7))</f>
        <v/>
      </c>
      <c r="F305" s="113">
        <f>IF(F$226="","",IF($B305="","",IFERROR($C305*$D305*SUMIFS('Dvd Calendar'!$E$573:$CZ$573,'Dvd Calendar'!$E$572:$CZ$572,"&gt;"&amp;F$225,'Dvd Calendar'!$E$572:$CZ$572,"&lt;="&amp;F$226)/MXAU!$B$3,"")))</f>
        <v/>
      </c>
      <c r="G305" s="113">
        <f>IF(G$226="","",IF($B305="","",IFERROR($C305*$D305*SUMIFS('Dvd Calendar'!$E$573:$CZ$573,'Dvd Calendar'!$E$572:$CZ$572,"&gt;"&amp;G$225,'Dvd Calendar'!$E$572:$CZ$572,"&lt;="&amp;G$226)/MXAU!$B$3,"")))</f>
        <v/>
      </c>
      <c r="H305" s="113">
        <f>IF(H$226="","",IF($B305="","",IFERROR($C305*$D305*SUMIFS('Dvd Calendar'!$E$573:$CZ$573,'Dvd Calendar'!$E$572:$CZ$572,"&gt;"&amp;H$225,'Dvd Calendar'!$E$572:$CZ$572,"&lt;="&amp;H$226)/MXAU!$B$3,"")))</f>
        <v/>
      </c>
      <c r="I305" s="113">
        <f>IF(I$226="","",IF($B305="","",IFERROR($C305*$D305*SUMIFS('Dvd Calendar'!$E$573:$CZ$573,'Dvd Calendar'!$E$572:$CZ$572,"&gt;"&amp;I$225,'Dvd Calendar'!$E$572:$CZ$572,"&lt;="&amp;I$226)/MXAU!$B$3,"")))</f>
        <v/>
      </c>
      <c r="J305" s="113">
        <f>IF(J$226="","",IF($B305="","",IFERROR($C305*$D305*SUMIFS('Dvd Calendar'!$E$573:$CZ$573,'Dvd Calendar'!$E$572:$CZ$572,"&gt;"&amp;J$225,'Dvd Calendar'!$E$572:$CZ$572,"&lt;="&amp;J$226)/MXAU!$B$3,"")))</f>
        <v/>
      </c>
      <c r="K305" s="113">
        <f>IF(K$226="","",IF($B305="","",IFERROR($C305*$D305*SUMIFS('Dvd Calendar'!$E$573:$CZ$573,'Dvd Calendar'!$E$572:$CZ$572,"&gt;"&amp;K$225,'Dvd Calendar'!$E$572:$CZ$572,"&lt;="&amp;K$226)/MXAU!$B$3,"")))</f>
        <v/>
      </c>
      <c r="L305" s="113">
        <f>IF(L$226="","",IF($B305="","",IFERROR($C305*$D305*SUMIFS('Dvd Calendar'!$E$573:$CZ$573,'Dvd Calendar'!$E$572:$CZ$572,"&gt;"&amp;L$225,'Dvd Calendar'!$E$572:$CZ$572,"&lt;="&amp;L$226)/MXAU!$B$3,"")))</f>
        <v/>
      </c>
      <c r="M305" s="113">
        <f>IF(M$226="","",IF($B305="","",IFERROR($C305*$D305*SUMIFS('Dvd Calendar'!$E$573:$CZ$573,'Dvd Calendar'!$E$572:$CZ$572,"&gt;"&amp;M$225,'Dvd Calendar'!$E$572:$CZ$572,"&lt;="&amp;M$226)/MXAU!$B$3,"")))</f>
        <v/>
      </c>
      <c r="N305" s="113">
        <f>IF(N$226="","",IF($B305="","",IFERROR($C305*$D305*SUMIFS('Dvd Calendar'!$E$573:$CZ$573,'Dvd Calendar'!$E$572:$CZ$572,"&gt;"&amp;N$225,'Dvd Calendar'!$E$572:$CZ$572,"&lt;="&amp;N$226)/MXAU!$B$3,"")))</f>
        <v/>
      </c>
      <c r="O305" s="113">
        <f>IF(O$226="","",IF($B305="","",IFERROR($C305*$D305*SUMIFS('Dvd Calendar'!$E$573:$CZ$573,'Dvd Calendar'!$E$572:$CZ$572,"&gt;"&amp;O$225,'Dvd Calendar'!$E$572:$CZ$572,"&lt;="&amp;O$226)/MXAU!$B$3,"")))</f>
        <v/>
      </c>
      <c r="P305" s="113">
        <f>IF(P$226="","",IF($B305="","",IFERROR($C305*$D305*SUMIFS('Dvd Calendar'!$E$573:$CZ$573,'Dvd Calendar'!$E$572:$CZ$572,"&gt;"&amp;P$225,'Dvd Calendar'!$E$572:$CZ$572,"&lt;="&amp;P$226)/MXAU!$B$3,"")))</f>
        <v/>
      </c>
      <c r="Q305" s="113">
        <f>IF(Q$226="","",IF($B305="","",IFERROR($C305*$D305*SUMIFS('Dvd Calendar'!$E$573:$CZ$573,'Dvd Calendar'!$E$572:$CZ$572,"&gt;"&amp;Q$225,'Dvd Calendar'!$E$572:$CZ$572,"&lt;="&amp;Q$226)/MXAU!$B$3,"")))</f>
        <v/>
      </c>
      <c r="R305" s="113">
        <f>IF(R$226="","",IF($B305="","",IFERROR($C305*$D305*SUMIFS('Dvd Calendar'!$E$573:$CZ$573,'Dvd Calendar'!$E$572:$CZ$572,"&gt;"&amp;R$225,'Dvd Calendar'!$E$572:$CZ$572,"&lt;="&amp;R$226)/MXAU!$B$3,"")))</f>
        <v/>
      </c>
      <c r="S305" s="113">
        <f>IF(S$226="","",IF($B305="","",IFERROR($C305*$D305*SUMIFS('Dvd Calendar'!$E$573:$CZ$573,'Dvd Calendar'!$E$572:$CZ$572,"&gt;"&amp;S$225,'Dvd Calendar'!$E$572:$CZ$572,"&lt;="&amp;S$226)/MXAU!$B$3,"")))</f>
        <v/>
      </c>
      <c r="T305" s="113">
        <f>IF(T$226="","",IF($B305="","",IFERROR($C305*$D305*SUMIFS('Dvd Calendar'!$E$573:$CZ$573,'Dvd Calendar'!$E$572:$CZ$572,"&gt;"&amp;T$225,'Dvd Calendar'!$E$572:$CZ$572,"&lt;="&amp;T$226)/MXAU!$B$3,"")))</f>
        <v/>
      </c>
      <c r="U305" s="113">
        <f>IF(U$226="","",IF($B305="","",IFERROR($C305*$D305*SUMIFS('Dvd Calendar'!$E$573:$CZ$573,'Dvd Calendar'!$E$572:$CZ$572,"&gt;"&amp;U$225,'Dvd Calendar'!$E$572:$CZ$572,"&lt;="&amp;U$226)/MXAU!$B$3,"")))</f>
        <v/>
      </c>
      <c r="W305" s="113">
        <f>IF(W$226="","",IF($B305="","",IFERROR(F305*$E305/100,"")))</f>
        <v/>
      </c>
      <c r="X305" s="113">
        <f>IF(X$226="","",IF($B305="","",IFERROR(G305*$E305/100,"")))</f>
        <v/>
      </c>
      <c r="Y305" s="113">
        <f>IF(Y$226="","",IF($B305="","",IFERROR(H305*$E305/100,"")))</f>
        <v/>
      </c>
      <c r="Z305" s="113">
        <f>IF(Z$226="","",IF($B305="","",IFERROR(I305*$E305/100,"")))</f>
        <v/>
      </c>
      <c r="AA305" s="113">
        <f>IF(AA$226="","",IF($B305="","",IFERROR(J305*$E305/100,"")))</f>
        <v/>
      </c>
      <c r="AB305" s="113">
        <f>IF(AB$226="","",IF($B305="","",IFERROR(K305*$E305/100,"")))</f>
        <v/>
      </c>
      <c r="AC305" s="113">
        <f>IF(AC$226="","",IF($B305="","",IFERROR(L305*$E305/100,"")))</f>
        <v/>
      </c>
      <c r="AD305" s="113">
        <f>IF(AD$226="","",IF($B305="","",IFERROR(M305*$E305/100,"")))</f>
        <v/>
      </c>
      <c r="AE305" s="113">
        <f>IF(AE$226="","",IF($B305="","",IFERROR(N305*$E305/100,"")))</f>
        <v/>
      </c>
      <c r="AF305" s="113">
        <f>IF(AF$226="","",IF($B305="","",IFERROR(O305*$E305/100,"")))</f>
        <v/>
      </c>
      <c r="AG305" s="113">
        <f>IF(AG$226="","",IF($B305="","",IFERROR(P305*$E305/100,"")))</f>
        <v/>
      </c>
      <c r="AH305" s="113">
        <f>IF(AH$226="","",IF($B305="","",IFERROR(Q305*$E305/100,"")))</f>
        <v/>
      </c>
      <c r="AI305" s="113">
        <f>IF(AI$226="","",IF($B305="","",IFERROR(R305*$E305/100,"")))</f>
        <v/>
      </c>
      <c r="AJ305" s="113">
        <f>IF(AJ$226="","",IF($B305="","",IFERROR(S305*$E305/100,"")))</f>
        <v/>
      </c>
      <c r="AK305" s="113">
        <f>IF(AK$226="","",IF($B305="","",IFERROR(T305*$E305/100,"")))</f>
        <v/>
      </c>
      <c r="AL305" s="113">
        <f>IF(AL$226="","",IF($B305="","",IFERROR(U305*$E305/100,"")))</f>
        <v/>
      </c>
    </row>
    <row r="306">
      <c r="B306" s="5">
        <f>IF(MXAU!$C$83="","",MXAU!$C$83)</f>
        <v/>
      </c>
      <c r="C306" s="86">
        <f>IF(MXAU!$B$83="","",MXAU!$B$83)</f>
        <v/>
      </c>
      <c r="D306" s="111">
        <f>IFERROR(MXAU!$Q$83,1)</f>
        <v/>
      </c>
      <c r="E306" s="112">
        <f>IF($B306="","",IF(ISNUMBER(MXAU!$I$83),MXAU!$I$83,'Index Summary'!$C$7))</f>
        <v/>
      </c>
      <c r="F306" s="113">
        <f>IF(F$226="","",IF($B306="","",IFERROR($C306*$D306*SUMIFS('Dvd Calendar'!$E$575:$CZ$575,'Dvd Calendar'!$E$574:$CZ$574,"&gt;"&amp;F$225,'Dvd Calendar'!$E$574:$CZ$574,"&lt;="&amp;F$226)/MXAU!$B$3,"")))</f>
        <v/>
      </c>
      <c r="G306" s="113">
        <f>IF(G$226="","",IF($B306="","",IFERROR($C306*$D306*SUMIFS('Dvd Calendar'!$E$575:$CZ$575,'Dvd Calendar'!$E$574:$CZ$574,"&gt;"&amp;G$225,'Dvd Calendar'!$E$574:$CZ$574,"&lt;="&amp;G$226)/MXAU!$B$3,"")))</f>
        <v/>
      </c>
      <c r="H306" s="113">
        <f>IF(H$226="","",IF($B306="","",IFERROR($C306*$D306*SUMIFS('Dvd Calendar'!$E$575:$CZ$575,'Dvd Calendar'!$E$574:$CZ$574,"&gt;"&amp;H$225,'Dvd Calendar'!$E$574:$CZ$574,"&lt;="&amp;H$226)/MXAU!$B$3,"")))</f>
        <v/>
      </c>
      <c r="I306" s="113">
        <f>IF(I$226="","",IF($B306="","",IFERROR($C306*$D306*SUMIFS('Dvd Calendar'!$E$575:$CZ$575,'Dvd Calendar'!$E$574:$CZ$574,"&gt;"&amp;I$225,'Dvd Calendar'!$E$574:$CZ$574,"&lt;="&amp;I$226)/MXAU!$B$3,"")))</f>
        <v/>
      </c>
      <c r="J306" s="113">
        <f>IF(J$226="","",IF($B306="","",IFERROR($C306*$D306*SUMIFS('Dvd Calendar'!$E$575:$CZ$575,'Dvd Calendar'!$E$574:$CZ$574,"&gt;"&amp;J$225,'Dvd Calendar'!$E$574:$CZ$574,"&lt;="&amp;J$226)/MXAU!$B$3,"")))</f>
        <v/>
      </c>
      <c r="K306" s="113">
        <f>IF(K$226="","",IF($B306="","",IFERROR($C306*$D306*SUMIFS('Dvd Calendar'!$E$575:$CZ$575,'Dvd Calendar'!$E$574:$CZ$574,"&gt;"&amp;K$225,'Dvd Calendar'!$E$574:$CZ$574,"&lt;="&amp;K$226)/MXAU!$B$3,"")))</f>
        <v/>
      </c>
      <c r="L306" s="113">
        <f>IF(L$226="","",IF($B306="","",IFERROR($C306*$D306*SUMIFS('Dvd Calendar'!$E$575:$CZ$575,'Dvd Calendar'!$E$574:$CZ$574,"&gt;"&amp;L$225,'Dvd Calendar'!$E$574:$CZ$574,"&lt;="&amp;L$226)/MXAU!$B$3,"")))</f>
        <v/>
      </c>
      <c r="M306" s="113">
        <f>IF(M$226="","",IF($B306="","",IFERROR($C306*$D306*SUMIFS('Dvd Calendar'!$E$575:$CZ$575,'Dvd Calendar'!$E$574:$CZ$574,"&gt;"&amp;M$225,'Dvd Calendar'!$E$574:$CZ$574,"&lt;="&amp;M$226)/MXAU!$B$3,"")))</f>
        <v/>
      </c>
      <c r="N306" s="113">
        <f>IF(N$226="","",IF($B306="","",IFERROR($C306*$D306*SUMIFS('Dvd Calendar'!$E$575:$CZ$575,'Dvd Calendar'!$E$574:$CZ$574,"&gt;"&amp;N$225,'Dvd Calendar'!$E$574:$CZ$574,"&lt;="&amp;N$226)/MXAU!$B$3,"")))</f>
        <v/>
      </c>
      <c r="O306" s="113">
        <f>IF(O$226="","",IF($B306="","",IFERROR($C306*$D306*SUMIFS('Dvd Calendar'!$E$575:$CZ$575,'Dvd Calendar'!$E$574:$CZ$574,"&gt;"&amp;O$225,'Dvd Calendar'!$E$574:$CZ$574,"&lt;="&amp;O$226)/MXAU!$B$3,"")))</f>
        <v/>
      </c>
      <c r="P306" s="113">
        <f>IF(P$226="","",IF($B306="","",IFERROR($C306*$D306*SUMIFS('Dvd Calendar'!$E$575:$CZ$575,'Dvd Calendar'!$E$574:$CZ$574,"&gt;"&amp;P$225,'Dvd Calendar'!$E$574:$CZ$574,"&lt;="&amp;P$226)/MXAU!$B$3,"")))</f>
        <v/>
      </c>
      <c r="Q306" s="113">
        <f>IF(Q$226="","",IF($B306="","",IFERROR($C306*$D306*SUMIFS('Dvd Calendar'!$E$575:$CZ$575,'Dvd Calendar'!$E$574:$CZ$574,"&gt;"&amp;Q$225,'Dvd Calendar'!$E$574:$CZ$574,"&lt;="&amp;Q$226)/MXAU!$B$3,"")))</f>
        <v/>
      </c>
      <c r="R306" s="113">
        <f>IF(R$226="","",IF($B306="","",IFERROR($C306*$D306*SUMIFS('Dvd Calendar'!$E$575:$CZ$575,'Dvd Calendar'!$E$574:$CZ$574,"&gt;"&amp;R$225,'Dvd Calendar'!$E$574:$CZ$574,"&lt;="&amp;R$226)/MXAU!$B$3,"")))</f>
        <v/>
      </c>
      <c r="S306" s="113">
        <f>IF(S$226="","",IF($B306="","",IFERROR($C306*$D306*SUMIFS('Dvd Calendar'!$E$575:$CZ$575,'Dvd Calendar'!$E$574:$CZ$574,"&gt;"&amp;S$225,'Dvd Calendar'!$E$574:$CZ$574,"&lt;="&amp;S$226)/MXAU!$B$3,"")))</f>
        <v/>
      </c>
      <c r="T306" s="113">
        <f>IF(T$226="","",IF($B306="","",IFERROR($C306*$D306*SUMIFS('Dvd Calendar'!$E$575:$CZ$575,'Dvd Calendar'!$E$574:$CZ$574,"&gt;"&amp;T$225,'Dvd Calendar'!$E$574:$CZ$574,"&lt;="&amp;T$226)/MXAU!$B$3,"")))</f>
        <v/>
      </c>
      <c r="U306" s="113">
        <f>IF(U$226="","",IF($B306="","",IFERROR($C306*$D306*SUMIFS('Dvd Calendar'!$E$575:$CZ$575,'Dvd Calendar'!$E$574:$CZ$574,"&gt;"&amp;U$225,'Dvd Calendar'!$E$574:$CZ$574,"&lt;="&amp;U$226)/MXAU!$B$3,"")))</f>
        <v/>
      </c>
      <c r="W306" s="113">
        <f>IF(W$226="","",IF($B306="","",IFERROR(F306*$E306/100,"")))</f>
        <v/>
      </c>
      <c r="X306" s="113">
        <f>IF(X$226="","",IF($B306="","",IFERROR(G306*$E306/100,"")))</f>
        <v/>
      </c>
      <c r="Y306" s="113">
        <f>IF(Y$226="","",IF($B306="","",IFERROR(H306*$E306/100,"")))</f>
        <v/>
      </c>
      <c r="Z306" s="113">
        <f>IF(Z$226="","",IF($B306="","",IFERROR(I306*$E306/100,"")))</f>
        <v/>
      </c>
      <c r="AA306" s="113">
        <f>IF(AA$226="","",IF($B306="","",IFERROR(J306*$E306/100,"")))</f>
        <v/>
      </c>
      <c r="AB306" s="113">
        <f>IF(AB$226="","",IF($B306="","",IFERROR(K306*$E306/100,"")))</f>
        <v/>
      </c>
      <c r="AC306" s="113">
        <f>IF(AC$226="","",IF($B306="","",IFERROR(L306*$E306/100,"")))</f>
        <v/>
      </c>
      <c r="AD306" s="113">
        <f>IF(AD$226="","",IF($B306="","",IFERROR(M306*$E306/100,"")))</f>
        <v/>
      </c>
      <c r="AE306" s="113">
        <f>IF(AE$226="","",IF($B306="","",IFERROR(N306*$E306/100,"")))</f>
        <v/>
      </c>
      <c r="AF306" s="113">
        <f>IF(AF$226="","",IF($B306="","",IFERROR(O306*$E306/100,"")))</f>
        <v/>
      </c>
      <c r="AG306" s="113">
        <f>IF(AG$226="","",IF($B306="","",IFERROR(P306*$E306/100,"")))</f>
        <v/>
      </c>
      <c r="AH306" s="113">
        <f>IF(AH$226="","",IF($B306="","",IFERROR(Q306*$E306/100,"")))</f>
        <v/>
      </c>
      <c r="AI306" s="113">
        <f>IF(AI$226="","",IF($B306="","",IFERROR(R306*$E306/100,"")))</f>
        <v/>
      </c>
      <c r="AJ306" s="113">
        <f>IF(AJ$226="","",IF($B306="","",IFERROR(S306*$E306/100,"")))</f>
        <v/>
      </c>
      <c r="AK306" s="113">
        <f>IF(AK$226="","",IF($B306="","",IFERROR(T306*$E306/100,"")))</f>
        <v/>
      </c>
      <c r="AL306" s="113">
        <f>IF(AL$226="","",IF($B306="","",IFERROR(U306*$E306/100,"")))</f>
        <v/>
      </c>
    </row>
    <row r="307">
      <c r="B307" s="5">
        <f>IF(MXAU!$C$84="","",MXAU!$C$84)</f>
        <v/>
      </c>
      <c r="C307" s="86">
        <f>IF(MXAU!$B$84="","",MXAU!$B$84)</f>
        <v/>
      </c>
      <c r="D307" s="111">
        <f>IFERROR(MXAU!$Q$84,1)</f>
        <v/>
      </c>
      <c r="E307" s="112">
        <f>IF($B307="","",IF(ISNUMBER(MXAU!$I$84),MXAU!$I$84,'Index Summary'!$C$7))</f>
        <v/>
      </c>
      <c r="F307" s="113">
        <f>IF(F$226="","",IF($B307="","",IFERROR($C307*$D307*SUMIFS('Dvd Calendar'!$E$577:$CZ$577,'Dvd Calendar'!$E$576:$CZ$576,"&gt;"&amp;F$225,'Dvd Calendar'!$E$576:$CZ$576,"&lt;="&amp;F$226)/MXAU!$B$3,"")))</f>
        <v/>
      </c>
      <c r="G307" s="113">
        <f>IF(G$226="","",IF($B307="","",IFERROR($C307*$D307*SUMIFS('Dvd Calendar'!$E$577:$CZ$577,'Dvd Calendar'!$E$576:$CZ$576,"&gt;"&amp;G$225,'Dvd Calendar'!$E$576:$CZ$576,"&lt;="&amp;G$226)/MXAU!$B$3,"")))</f>
        <v/>
      </c>
      <c r="H307" s="113">
        <f>IF(H$226="","",IF($B307="","",IFERROR($C307*$D307*SUMIFS('Dvd Calendar'!$E$577:$CZ$577,'Dvd Calendar'!$E$576:$CZ$576,"&gt;"&amp;H$225,'Dvd Calendar'!$E$576:$CZ$576,"&lt;="&amp;H$226)/MXAU!$B$3,"")))</f>
        <v/>
      </c>
      <c r="I307" s="113">
        <f>IF(I$226="","",IF($B307="","",IFERROR($C307*$D307*SUMIFS('Dvd Calendar'!$E$577:$CZ$577,'Dvd Calendar'!$E$576:$CZ$576,"&gt;"&amp;I$225,'Dvd Calendar'!$E$576:$CZ$576,"&lt;="&amp;I$226)/MXAU!$B$3,"")))</f>
        <v/>
      </c>
      <c r="J307" s="113">
        <f>IF(J$226="","",IF($B307="","",IFERROR($C307*$D307*SUMIFS('Dvd Calendar'!$E$577:$CZ$577,'Dvd Calendar'!$E$576:$CZ$576,"&gt;"&amp;J$225,'Dvd Calendar'!$E$576:$CZ$576,"&lt;="&amp;J$226)/MXAU!$B$3,"")))</f>
        <v/>
      </c>
      <c r="K307" s="113">
        <f>IF(K$226="","",IF($B307="","",IFERROR($C307*$D307*SUMIFS('Dvd Calendar'!$E$577:$CZ$577,'Dvd Calendar'!$E$576:$CZ$576,"&gt;"&amp;K$225,'Dvd Calendar'!$E$576:$CZ$576,"&lt;="&amp;K$226)/MXAU!$B$3,"")))</f>
        <v/>
      </c>
      <c r="L307" s="113">
        <f>IF(L$226="","",IF($B307="","",IFERROR($C307*$D307*SUMIFS('Dvd Calendar'!$E$577:$CZ$577,'Dvd Calendar'!$E$576:$CZ$576,"&gt;"&amp;L$225,'Dvd Calendar'!$E$576:$CZ$576,"&lt;="&amp;L$226)/MXAU!$B$3,"")))</f>
        <v/>
      </c>
      <c r="M307" s="113">
        <f>IF(M$226="","",IF($B307="","",IFERROR($C307*$D307*SUMIFS('Dvd Calendar'!$E$577:$CZ$577,'Dvd Calendar'!$E$576:$CZ$576,"&gt;"&amp;M$225,'Dvd Calendar'!$E$576:$CZ$576,"&lt;="&amp;M$226)/MXAU!$B$3,"")))</f>
        <v/>
      </c>
      <c r="N307" s="113">
        <f>IF(N$226="","",IF($B307="","",IFERROR($C307*$D307*SUMIFS('Dvd Calendar'!$E$577:$CZ$577,'Dvd Calendar'!$E$576:$CZ$576,"&gt;"&amp;N$225,'Dvd Calendar'!$E$576:$CZ$576,"&lt;="&amp;N$226)/MXAU!$B$3,"")))</f>
        <v/>
      </c>
      <c r="O307" s="113">
        <f>IF(O$226="","",IF($B307="","",IFERROR($C307*$D307*SUMIFS('Dvd Calendar'!$E$577:$CZ$577,'Dvd Calendar'!$E$576:$CZ$576,"&gt;"&amp;O$225,'Dvd Calendar'!$E$576:$CZ$576,"&lt;="&amp;O$226)/MXAU!$B$3,"")))</f>
        <v/>
      </c>
      <c r="P307" s="113">
        <f>IF(P$226="","",IF($B307="","",IFERROR($C307*$D307*SUMIFS('Dvd Calendar'!$E$577:$CZ$577,'Dvd Calendar'!$E$576:$CZ$576,"&gt;"&amp;P$225,'Dvd Calendar'!$E$576:$CZ$576,"&lt;="&amp;P$226)/MXAU!$B$3,"")))</f>
        <v/>
      </c>
      <c r="Q307" s="113">
        <f>IF(Q$226="","",IF($B307="","",IFERROR($C307*$D307*SUMIFS('Dvd Calendar'!$E$577:$CZ$577,'Dvd Calendar'!$E$576:$CZ$576,"&gt;"&amp;Q$225,'Dvd Calendar'!$E$576:$CZ$576,"&lt;="&amp;Q$226)/MXAU!$B$3,"")))</f>
        <v/>
      </c>
      <c r="R307" s="113">
        <f>IF(R$226="","",IF($B307="","",IFERROR($C307*$D307*SUMIFS('Dvd Calendar'!$E$577:$CZ$577,'Dvd Calendar'!$E$576:$CZ$576,"&gt;"&amp;R$225,'Dvd Calendar'!$E$576:$CZ$576,"&lt;="&amp;R$226)/MXAU!$B$3,"")))</f>
        <v/>
      </c>
      <c r="S307" s="113">
        <f>IF(S$226="","",IF($B307="","",IFERROR($C307*$D307*SUMIFS('Dvd Calendar'!$E$577:$CZ$577,'Dvd Calendar'!$E$576:$CZ$576,"&gt;"&amp;S$225,'Dvd Calendar'!$E$576:$CZ$576,"&lt;="&amp;S$226)/MXAU!$B$3,"")))</f>
        <v/>
      </c>
      <c r="T307" s="113">
        <f>IF(T$226="","",IF($B307="","",IFERROR($C307*$D307*SUMIFS('Dvd Calendar'!$E$577:$CZ$577,'Dvd Calendar'!$E$576:$CZ$576,"&gt;"&amp;T$225,'Dvd Calendar'!$E$576:$CZ$576,"&lt;="&amp;T$226)/MXAU!$B$3,"")))</f>
        <v/>
      </c>
      <c r="U307" s="113">
        <f>IF(U$226="","",IF($B307="","",IFERROR($C307*$D307*SUMIFS('Dvd Calendar'!$E$577:$CZ$577,'Dvd Calendar'!$E$576:$CZ$576,"&gt;"&amp;U$225,'Dvd Calendar'!$E$576:$CZ$576,"&lt;="&amp;U$226)/MXAU!$B$3,"")))</f>
        <v/>
      </c>
      <c r="W307" s="113">
        <f>IF(W$226="","",IF($B307="","",IFERROR(F307*$E307/100,"")))</f>
        <v/>
      </c>
      <c r="X307" s="113">
        <f>IF(X$226="","",IF($B307="","",IFERROR(G307*$E307/100,"")))</f>
        <v/>
      </c>
      <c r="Y307" s="113">
        <f>IF(Y$226="","",IF($B307="","",IFERROR(H307*$E307/100,"")))</f>
        <v/>
      </c>
      <c r="Z307" s="113">
        <f>IF(Z$226="","",IF($B307="","",IFERROR(I307*$E307/100,"")))</f>
        <v/>
      </c>
      <c r="AA307" s="113">
        <f>IF(AA$226="","",IF($B307="","",IFERROR(J307*$E307/100,"")))</f>
        <v/>
      </c>
      <c r="AB307" s="113">
        <f>IF(AB$226="","",IF($B307="","",IFERROR(K307*$E307/100,"")))</f>
        <v/>
      </c>
      <c r="AC307" s="113">
        <f>IF(AC$226="","",IF($B307="","",IFERROR(L307*$E307/100,"")))</f>
        <v/>
      </c>
      <c r="AD307" s="113">
        <f>IF(AD$226="","",IF($B307="","",IFERROR(M307*$E307/100,"")))</f>
        <v/>
      </c>
      <c r="AE307" s="113">
        <f>IF(AE$226="","",IF($B307="","",IFERROR(N307*$E307/100,"")))</f>
        <v/>
      </c>
      <c r="AF307" s="113">
        <f>IF(AF$226="","",IF($B307="","",IFERROR(O307*$E307/100,"")))</f>
        <v/>
      </c>
      <c r="AG307" s="113">
        <f>IF(AG$226="","",IF($B307="","",IFERROR(P307*$E307/100,"")))</f>
        <v/>
      </c>
      <c r="AH307" s="113">
        <f>IF(AH$226="","",IF($B307="","",IFERROR(Q307*$E307/100,"")))</f>
        <v/>
      </c>
      <c r="AI307" s="113">
        <f>IF(AI$226="","",IF($B307="","",IFERROR(R307*$E307/100,"")))</f>
        <v/>
      </c>
      <c r="AJ307" s="113">
        <f>IF(AJ$226="","",IF($B307="","",IFERROR(S307*$E307/100,"")))</f>
        <v/>
      </c>
      <c r="AK307" s="113">
        <f>IF(AK$226="","",IF($B307="","",IFERROR(T307*$E307/100,"")))</f>
        <v/>
      </c>
      <c r="AL307" s="113">
        <f>IF(AL$226="","",IF($B307="","",IFERROR(U307*$E307/100,"")))</f>
        <v/>
      </c>
    </row>
    <row r="308">
      <c r="B308" s="5">
        <f>IF(MXAU!$C$85="","",MXAU!$C$85)</f>
        <v/>
      </c>
      <c r="C308" s="86">
        <f>IF(MXAU!$B$85="","",MXAU!$B$85)</f>
        <v/>
      </c>
      <c r="D308" s="111">
        <f>IFERROR(MXAU!$Q$85,1)</f>
        <v/>
      </c>
      <c r="E308" s="112">
        <f>IF($B308="","",IF(ISNUMBER(MXAU!$I$85),MXAU!$I$85,'Index Summary'!$C$7))</f>
        <v/>
      </c>
      <c r="F308" s="113">
        <f>IF(F$226="","",IF($B308="","",IFERROR($C308*$D308*SUMIFS('Dvd Calendar'!$E$579:$CZ$579,'Dvd Calendar'!$E$578:$CZ$578,"&gt;"&amp;F$225,'Dvd Calendar'!$E$578:$CZ$578,"&lt;="&amp;F$226)/MXAU!$B$3,"")))</f>
        <v/>
      </c>
      <c r="G308" s="113">
        <f>IF(G$226="","",IF($B308="","",IFERROR($C308*$D308*SUMIFS('Dvd Calendar'!$E$579:$CZ$579,'Dvd Calendar'!$E$578:$CZ$578,"&gt;"&amp;G$225,'Dvd Calendar'!$E$578:$CZ$578,"&lt;="&amp;G$226)/MXAU!$B$3,"")))</f>
        <v/>
      </c>
      <c r="H308" s="113">
        <f>IF(H$226="","",IF($B308="","",IFERROR($C308*$D308*SUMIFS('Dvd Calendar'!$E$579:$CZ$579,'Dvd Calendar'!$E$578:$CZ$578,"&gt;"&amp;H$225,'Dvd Calendar'!$E$578:$CZ$578,"&lt;="&amp;H$226)/MXAU!$B$3,"")))</f>
        <v/>
      </c>
      <c r="I308" s="113">
        <f>IF(I$226="","",IF($B308="","",IFERROR($C308*$D308*SUMIFS('Dvd Calendar'!$E$579:$CZ$579,'Dvd Calendar'!$E$578:$CZ$578,"&gt;"&amp;I$225,'Dvd Calendar'!$E$578:$CZ$578,"&lt;="&amp;I$226)/MXAU!$B$3,"")))</f>
        <v/>
      </c>
      <c r="J308" s="113">
        <f>IF(J$226="","",IF($B308="","",IFERROR($C308*$D308*SUMIFS('Dvd Calendar'!$E$579:$CZ$579,'Dvd Calendar'!$E$578:$CZ$578,"&gt;"&amp;J$225,'Dvd Calendar'!$E$578:$CZ$578,"&lt;="&amp;J$226)/MXAU!$B$3,"")))</f>
        <v/>
      </c>
      <c r="K308" s="113">
        <f>IF(K$226="","",IF($B308="","",IFERROR($C308*$D308*SUMIFS('Dvd Calendar'!$E$579:$CZ$579,'Dvd Calendar'!$E$578:$CZ$578,"&gt;"&amp;K$225,'Dvd Calendar'!$E$578:$CZ$578,"&lt;="&amp;K$226)/MXAU!$B$3,"")))</f>
        <v/>
      </c>
      <c r="L308" s="113">
        <f>IF(L$226="","",IF($B308="","",IFERROR($C308*$D308*SUMIFS('Dvd Calendar'!$E$579:$CZ$579,'Dvd Calendar'!$E$578:$CZ$578,"&gt;"&amp;L$225,'Dvd Calendar'!$E$578:$CZ$578,"&lt;="&amp;L$226)/MXAU!$B$3,"")))</f>
        <v/>
      </c>
      <c r="M308" s="113">
        <f>IF(M$226="","",IF($B308="","",IFERROR($C308*$D308*SUMIFS('Dvd Calendar'!$E$579:$CZ$579,'Dvd Calendar'!$E$578:$CZ$578,"&gt;"&amp;M$225,'Dvd Calendar'!$E$578:$CZ$578,"&lt;="&amp;M$226)/MXAU!$B$3,"")))</f>
        <v/>
      </c>
      <c r="N308" s="113">
        <f>IF(N$226="","",IF($B308="","",IFERROR($C308*$D308*SUMIFS('Dvd Calendar'!$E$579:$CZ$579,'Dvd Calendar'!$E$578:$CZ$578,"&gt;"&amp;N$225,'Dvd Calendar'!$E$578:$CZ$578,"&lt;="&amp;N$226)/MXAU!$B$3,"")))</f>
        <v/>
      </c>
      <c r="O308" s="113">
        <f>IF(O$226="","",IF($B308="","",IFERROR($C308*$D308*SUMIFS('Dvd Calendar'!$E$579:$CZ$579,'Dvd Calendar'!$E$578:$CZ$578,"&gt;"&amp;O$225,'Dvd Calendar'!$E$578:$CZ$578,"&lt;="&amp;O$226)/MXAU!$B$3,"")))</f>
        <v/>
      </c>
      <c r="P308" s="113">
        <f>IF(P$226="","",IF($B308="","",IFERROR($C308*$D308*SUMIFS('Dvd Calendar'!$E$579:$CZ$579,'Dvd Calendar'!$E$578:$CZ$578,"&gt;"&amp;P$225,'Dvd Calendar'!$E$578:$CZ$578,"&lt;="&amp;P$226)/MXAU!$B$3,"")))</f>
        <v/>
      </c>
      <c r="Q308" s="113">
        <f>IF(Q$226="","",IF($B308="","",IFERROR($C308*$D308*SUMIFS('Dvd Calendar'!$E$579:$CZ$579,'Dvd Calendar'!$E$578:$CZ$578,"&gt;"&amp;Q$225,'Dvd Calendar'!$E$578:$CZ$578,"&lt;="&amp;Q$226)/MXAU!$B$3,"")))</f>
        <v/>
      </c>
      <c r="R308" s="113">
        <f>IF(R$226="","",IF($B308="","",IFERROR($C308*$D308*SUMIFS('Dvd Calendar'!$E$579:$CZ$579,'Dvd Calendar'!$E$578:$CZ$578,"&gt;"&amp;R$225,'Dvd Calendar'!$E$578:$CZ$578,"&lt;="&amp;R$226)/MXAU!$B$3,"")))</f>
        <v/>
      </c>
      <c r="S308" s="113">
        <f>IF(S$226="","",IF($B308="","",IFERROR($C308*$D308*SUMIFS('Dvd Calendar'!$E$579:$CZ$579,'Dvd Calendar'!$E$578:$CZ$578,"&gt;"&amp;S$225,'Dvd Calendar'!$E$578:$CZ$578,"&lt;="&amp;S$226)/MXAU!$B$3,"")))</f>
        <v/>
      </c>
      <c r="T308" s="113">
        <f>IF(T$226="","",IF($B308="","",IFERROR($C308*$D308*SUMIFS('Dvd Calendar'!$E$579:$CZ$579,'Dvd Calendar'!$E$578:$CZ$578,"&gt;"&amp;T$225,'Dvd Calendar'!$E$578:$CZ$578,"&lt;="&amp;T$226)/MXAU!$B$3,"")))</f>
        <v/>
      </c>
      <c r="U308" s="113">
        <f>IF(U$226="","",IF($B308="","",IFERROR($C308*$D308*SUMIFS('Dvd Calendar'!$E$579:$CZ$579,'Dvd Calendar'!$E$578:$CZ$578,"&gt;"&amp;U$225,'Dvd Calendar'!$E$578:$CZ$578,"&lt;="&amp;U$226)/MXAU!$B$3,"")))</f>
        <v/>
      </c>
      <c r="W308" s="113">
        <f>IF(W$226="","",IF($B308="","",IFERROR(F308*$E308/100,"")))</f>
        <v/>
      </c>
      <c r="X308" s="113">
        <f>IF(X$226="","",IF($B308="","",IFERROR(G308*$E308/100,"")))</f>
        <v/>
      </c>
      <c r="Y308" s="113">
        <f>IF(Y$226="","",IF($B308="","",IFERROR(H308*$E308/100,"")))</f>
        <v/>
      </c>
      <c r="Z308" s="113">
        <f>IF(Z$226="","",IF($B308="","",IFERROR(I308*$E308/100,"")))</f>
        <v/>
      </c>
      <c r="AA308" s="113">
        <f>IF(AA$226="","",IF($B308="","",IFERROR(J308*$E308/100,"")))</f>
        <v/>
      </c>
      <c r="AB308" s="113">
        <f>IF(AB$226="","",IF($B308="","",IFERROR(K308*$E308/100,"")))</f>
        <v/>
      </c>
      <c r="AC308" s="113">
        <f>IF(AC$226="","",IF($B308="","",IFERROR(L308*$E308/100,"")))</f>
        <v/>
      </c>
      <c r="AD308" s="113">
        <f>IF(AD$226="","",IF($B308="","",IFERROR(M308*$E308/100,"")))</f>
        <v/>
      </c>
      <c r="AE308" s="113">
        <f>IF(AE$226="","",IF($B308="","",IFERROR(N308*$E308/100,"")))</f>
        <v/>
      </c>
      <c r="AF308" s="113">
        <f>IF(AF$226="","",IF($B308="","",IFERROR(O308*$E308/100,"")))</f>
        <v/>
      </c>
      <c r="AG308" s="113">
        <f>IF(AG$226="","",IF($B308="","",IFERROR(P308*$E308/100,"")))</f>
        <v/>
      </c>
      <c r="AH308" s="113">
        <f>IF(AH$226="","",IF($B308="","",IFERROR(Q308*$E308/100,"")))</f>
        <v/>
      </c>
      <c r="AI308" s="113">
        <f>IF(AI$226="","",IF($B308="","",IFERROR(R308*$E308/100,"")))</f>
        <v/>
      </c>
      <c r="AJ308" s="113">
        <f>IF(AJ$226="","",IF($B308="","",IFERROR(S308*$E308/100,"")))</f>
        <v/>
      </c>
      <c r="AK308" s="113">
        <f>IF(AK$226="","",IF($B308="","",IFERROR(T308*$E308/100,"")))</f>
        <v/>
      </c>
      <c r="AL308" s="113">
        <f>IF(AL$226="","",IF($B308="","",IFERROR(U308*$E308/100,"")))</f>
        <v/>
      </c>
    </row>
    <row r="309">
      <c r="B309" s="3" t="inlineStr">
        <is>
          <t>TOTAL (index pts)</t>
        </is>
      </c>
      <c r="F309" s="114">
        <f>IFERROR(SUM(F229:F308),"")</f>
        <v/>
      </c>
      <c r="G309" s="114">
        <f>IFERROR(SUM(G229:G308),"")</f>
        <v/>
      </c>
      <c r="H309" s="114">
        <f>IFERROR(SUM(H229:H308),"")</f>
        <v/>
      </c>
      <c r="I309" s="114">
        <f>IFERROR(SUM(I229:I308),"")</f>
        <v/>
      </c>
      <c r="J309" s="114">
        <f>IFERROR(SUM(J229:J308),"")</f>
        <v/>
      </c>
      <c r="K309" s="114">
        <f>IFERROR(SUM(K229:K308),"")</f>
        <v/>
      </c>
      <c r="L309" s="114">
        <f>IFERROR(SUM(L229:L308),"")</f>
        <v/>
      </c>
      <c r="M309" s="114">
        <f>IFERROR(SUM(M229:M308),"")</f>
        <v/>
      </c>
      <c r="N309" s="114">
        <f>IFERROR(SUM(N229:N308),"")</f>
        <v/>
      </c>
      <c r="O309" s="114">
        <f>IFERROR(SUM(O229:O308),"")</f>
        <v/>
      </c>
      <c r="P309" s="114">
        <f>IFERROR(SUM(P229:P308),"")</f>
        <v/>
      </c>
      <c r="Q309" s="114">
        <f>IFERROR(SUM(Q229:Q308),"")</f>
        <v/>
      </c>
      <c r="R309" s="114">
        <f>IFERROR(SUM(R229:R308),"")</f>
        <v/>
      </c>
      <c r="S309" s="114">
        <f>IFERROR(SUM(S229:S308),"")</f>
        <v/>
      </c>
      <c r="T309" s="114">
        <f>IFERROR(SUM(T229:T308),"")</f>
        <v/>
      </c>
      <c r="U309" s="114">
        <f>IFERROR(SUM(U229:U308),"")</f>
        <v/>
      </c>
      <c r="W309" s="114">
        <f>IFERROR(SUM(W229:W308),"")</f>
        <v/>
      </c>
      <c r="X309" s="114">
        <f>IFERROR(SUM(X229:X308),"")</f>
        <v/>
      </c>
      <c r="Y309" s="114">
        <f>IFERROR(SUM(Y229:Y308),"")</f>
        <v/>
      </c>
      <c r="Z309" s="114">
        <f>IFERROR(SUM(Z229:Z308),"")</f>
        <v/>
      </c>
      <c r="AA309" s="114">
        <f>IFERROR(SUM(AA229:AA308),"")</f>
        <v/>
      </c>
      <c r="AB309" s="114">
        <f>IFERROR(SUM(AB229:AB308),"")</f>
        <v/>
      </c>
      <c r="AC309" s="114">
        <f>IFERROR(SUM(AC229:AC308),"")</f>
        <v/>
      </c>
      <c r="AD309" s="114">
        <f>IFERROR(SUM(AD229:AD308),"")</f>
        <v/>
      </c>
      <c r="AE309" s="114">
        <f>IFERROR(SUM(AE229:AE308),"")</f>
        <v/>
      </c>
      <c r="AF309" s="114">
        <f>IFERROR(SUM(AF229:AF308),"")</f>
        <v/>
      </c>
      <c r="AG309" s="114">
        <f>IFERROR(SUM(AG229:AG308),"")</f>
        <v/>
      </c>
      <c r="AH309" s="114">
        <f>IFERROR(SUM(AH229:AH308),"")</f>
        <v/>
      </c>
      <c r="AI309" s="114">
        <f>IFERROR(SUM(AI229:AI308),"")</f>
        <v/>
      </c>
      <c r="AJ309" s="114">
        <f>IFERROR(SUM(AJ229:AJ308),"")</f>
        <v/>
      </c>
      <c r="AK309" s="114">
        <f>IFERROR(SUM(AK229:AK308),"")</f>
        <v/>
      </c>
      <c r="AL309" s="114">
        <f>IFERROR(SUM(AL229:AL308),"")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6" customWidth="1" min="5" max="5"/>
    <col width="74" customWidth="1" min="6" max="6"/>
  </cols>
  <sheetData>
    <row r="2">
      <c r="B2" s="1" t="inlineStr">
        <is>
          <t>INDEX DIVIDEND YIELD &amp; FRANKING SPLIT</t>
        </is>
      </c>
    </row>
    <row r="3">
      <c r="B3" s="2" t="inlineStr">
        <is>
          <t>Reference block, trailing-12M basis. The per-contract numbers live on Div by Expiry.</t>
        </is>
      </c>
    </row>
    <row r="5">
      <c r="B5" s="3" t="inlineStr">
        <is>
          <t>ASSUMPTIONS</t>
        </is>
      </c>
    </row>
    <row r="6">
      <c r="B6" s="5" t="inlineStr">
        <is>
          <t>Australian corporate tax rate</t>
        </is>
      </c>
      <c r="C6" s="91" t="n">
        <v>0.3</v>
      </c>
      <c r="F6" s="2" t="inlineStr">
        <is>
          <t>Drives the franking gross-up: credit = franked dividend x t/(1-t).</t>
        </is>
      </c>
    </row>
    <row r="7">
      <c r="B7" s="5" t="inlineStr">
        <is>
          <t>Franking % when field is blank</t>
        </is>
      </c>
      <c r="C7" s="92" t="n">
        <v>100</v>
      </c>
      <c r="F7" s="2" t="inlineStr">
        <is>
          <t>CNU, FPH, IFT and similar return no franking value - taken as fully franked, per instruction.</t>
        </is>
      </c>
    </row>
    <row r="10">
      <c r="B10" s="93" t="inlineStr">
        <is>
          <t>Metric</t>
        </is>
      </c>
      <c r="C10" s="93" t="inlineStr">
        <is>
          <t>AS51</t>
        </is>
      </c>
      <c r="D10" s="93" t="inlineStr">
        <is>
          <t>MXAU</t>
        </is>
      </c>
      <c r="F10" s="93" t="inlineStr">
        <is>
          <t>Notes</t>
        </is>
      </c>
    </row>
    <row r="11">
      <c r="B11" s="13" t="inlineStr">
        <is>
          <t>INDEX YIELD - TRAILING 12M (reference)</t>
        </is>
      </c>
      <c r="C11" s="14" t="n"/>
      <c r="D11" s="14" t="n"/>
      <c r="E11" s="14" t="n"/>
      <c r="F11" s="14" t="n"/>
    </row>
    <row r="12">
      <c r="B12" s="16" t="inlineStr">
        <is>
          <t>Bloomberg index yield 12M (%)</t>
        </is>
      </c>
      <c r="C12" s="94">
        <f>BDP(AS51!$B$2,"EQY_DVD_YLD_12M")</f>
        <v/>
      </c>
      <c r="D12" s="94">
        <f>BDP(MXAU!$B$2,"EQY_DVD_YLD_12M")</f>
        <v/>
      </c>
      <c r="F12" s="2" t="inlineStr">
        <is>
          <t>EQY_DVD_YLD_IND returns N/A at index level - the 12M field is the one that works. 3.85 = 3.85%.</t>
        </is>
      </c>
    </row>
    <row r="13">
      <c r="B13" s="16" t="inlineStr">
        <is>
          <t>Bottom-up 12M dividend points</t>
        </is>
      </c>
      <c r="C13" s="95">
        <f>IFERROR(AS51!$J$4,"")</f>
        <v/>
      </c>
      <c r="D13" s="95">
        <f>IFERROR(MXAU!$J$4,"")</f>
        <v/>
      </c>
      <c r="F13" s="2" t="inlineStr">
        <is>
          <t>SUM of shares x 12M DPS / divisor, non-payers at zero.</t>
        </is>
      </c>
    </row>
    <row r="14">
      <c r="B14" s="16" t="inlineStr">
        <is>
          <t>Index level</t>
        </is>
      </c>
      <c r="C14" s="96">
        <f>'Div by Expiry'!$C$5</f>
        <v/>
      </c>
      <c r="D14" s="97">
        <f>'Div by Expiry'!$C$6</f>
        <v/>
      </c>
      <c r="F14" s="2" t="n"/>
    </row>
    <row r="15">
      <c r="B15" s="16" t="inlineStr">
        <is>
          <t>Bottom-up 12M yield (%)</t>
        </is>
      </c>
      <c r="C15" s="98">
        <f>IFERROR(C13/C14,"")</f>
        <v/>
      </c>
      <c r="D15" s="98">
        <f>IFERROR(D13/D14,"")</f>
        <v/>
      </c>
      <c r="F15" s="2" t="n"/>
    </row>
    <row r="16">
      <c r="B16" s="99" t="inlineStr">
        <is>
          <t>Gap vs Bloomberg (bp)</t>
        </is>
      </c>
      <c r="C16" s="66">
        <f>IFERROR((C15-C12/100)*10000,"")</f>
        <v/>
      </c>
      <c r="D16" s="66">
        <f>IFERROR((D15-D12/100)*10000,"")</f>
        <v/>
      </c>
      <c r="E16" s="14" t="n"/>
      <c r="F16" s="100" t="inlineStr">
        <is>
          <t>THE DIVISOR CHECK. A large gap means the divisor or the pasted shares are off. Within ~20bp is fine.</t>
        </is>
      </c>
    </row>
    <row r="17">
      <c r="B17" s="16" t="n"/>
      <c r="C17" s="39" t="n"/>
      <c r="D17" s="39" t="n"/>
      <c r="F17" s="2" t="n"/>
    </row>
    <row r="18">
      <c r="B18" s="20" t="inlineStr">
        <is>
          <t>FRANKED vs UNFRANKED - 12M BASIS</t>
        </is>
      </c>
      <c r="C18" s="39" t="n"/>
      <c r="D18" s="39" t="n"/>
      <c r="F18" s="2" t="n"/>
    </row>
    <row r="19">
      <c r="B19" s="23" t="inlineStr">
        <is>
          <t>Franked points</t>
        </is>
      </c>
      <c r="C19" s="95">
        <f>IFERROR(AS51!$K$4,"")</f>
        <v/>
      </c>
      <c r="D19" s="95">
        <f>IFERROR(MXAU!$K$4,"")</f>
        <v/>
      </c>
      <c r="F19" s="6" t="n"/>
    </row>
    <row r="20">
      <c r="B20" s="16" t="inlineStr">
        <is>
          <t>Unfranked points</t>
        </is>
      </c>
      <c r="C20" s="95">
        <f>IFERROR(AS51!$L$4,"")</f>
        <v/>
      </c>
      <c r="D20" s="95">
        <f>IFERROR(MXAU!$L$4,"")</f>
        <v/>
      </c>
      <c r="F20" s="2" t="n"/>
    </row>
    <row r="21">
      <c r="B21" s="23" t="inlineStr">
        <is>
          <t>Franked % of index dividends</t>
        </is>
      </c>
      <c r="C21" s="101">
        <f>IFERROR(C19/(C19+C20),"")</f>
        <v/>
      </c>
      <c r="D21" s="101">
        <f>IFERROR(D19/(D19+D20),"")</f>
        <v/>
      </c>
      <c r="F21" s="2" t="inlineStr">
        <is>
          <t>THE HEADLINE SPLIT, dividend-dollar weighted.</t>
        </is>
      </c>
    </row>
    <row r="22">
      <c r="B22" s="99" t="inlineStr">
        <is>
          <t>Franking reported (% of dividends)</t>
        </is>
      </c>
      <c r="C22" s="69">
        <f>IFERROR(AS51!$N$4,"")</f>
        <v/>
      </c>
      <c r="D22" s="69">
        <f>IFERROR(MXAU!$N$4,"")</f>
        <v/>
      </c>
      <c r="E22" s="14" t="n"/>
      <c r="F22" s="100" t="inlineStr">
        <is>
          <t>Share of dividend points where Bloomberg returned a franking value. The rest lean on the blank = 100% assumption above.</t>
        </is>
      </c>
    </row>
    <row r="23">
      <c r="B23" s="16" t="n"/>
      <c r="C23" s="40" t="n"/>
      <c r="D23" s="40" t="n"/>
      <c r="F23" s="2" t="n"/>
    </row>
    <row r="24">
      <c r="B24" s="20" t="inlineStr">
        <is>
          <t>GROSS-UP FOR FRANKING CREDITS - 12M BASIS</t>
        </is>
      </c>
      <c r="C24" s="40" t="n"/>
      <c r="D24" s="40" t="n"/>
      <c r="F24" s="2" t="n"/>
    </row>
    <row r="25">
      <c r="B25" s="16" t="inlineStr">
        <is>
          <t>Credit points</t>
        </is>
      </c>
      <c r="C25" s="95">
        <f>IFERROR(C19*$C$6/(1-$C$6),"")</f>
        <v/>
      </c>
      <c r="D25" s="95">
        <f>IFERROR(D19*$C$6/(1-$C$6),"")</f>
        <v/>
      </c>
      <c r="F25" s="2" t="n"/>
    </row>
    <row r="26">
      <c r="B26" s="99" t="inlineStr">
        <is>
          <t>Grossed-up points</t>
        </is>
      </c>
      <c r="C26" s="58">
        <f>IFERROR(C13+C25,"")</f>
        <v/>
      </c>
      <c r="D26" s="58">
        <f>IFERROR(D13+D25,"")</f>
        <v/>
      </c>
      <c r="E26" s="14" t="n"/>
      <c r="F26" s="14" t="n"/>
    </row>
    <row r="27">
      <c r="B27" s="16" t="inlineStr">
        <is>
          <t>Grossed-up yield (%)</t>
        </is>
      </c>
      <c r="C27" s="98">
        <f>IFERROR(C26/C14,"")</f>
        <v/>
      </c>
      <c r="D27" s="98">
        <f>IFERROR(D26/D14,"")</f>
        <v/>
      </c>
      <c r="F27" s="2" t="n"/>
    </row>
    <row r="28">
      <c r="B28" s="16" t="inlineStr">
        <is>
          <t>Uplift from imputation</t>
        </is>
      </c>
      <c r="C28" s="102">
        <f>IFERROR(C26/C13-1,"")</f>
        <v/>
      </c>
      <c r="D28" s="102">
        <f>IFERROR(D26/D13-1,"")</f>
        <v/>
      </c>
      <c r="F28" s="2" t="n"/>
    </row>
    <row r="29">
      <c r="B29" s="16" t="n"/>
      <c r="C29" s="43" t="n"/>
      <c r="D29" s="43" t="n"/>
      <c r="F29" s="2" t="n"/>
    </row>
    <row r="30">
      <c r="B30" s="20" t="inlineStr">
        <is>
          <t>DATA QUALITY</t>
        </is>
      </c>
      <c r="C30" s="43" t="n"/>
      <c r="D30" s="43" t="n"/>
      <c r="F30" s="2" t="n"/>
    </row>
    <row r="31">
      <c r="B31" s="5" t="inlineStr">
        <is>
          <t>Members returned</t>
        </is>
      </c>
      <c r="C31" s="60">
        <f>IFERROR(AS51!$H$2,"")</f>
        <v/>
      </c>
      <c r="D31" s="60">
        <f>IFERROR(MXAU!$H$2,"")</f>
        <v/>
      </c>
      <c r="F31" s="2" t="inlineStr">
        <is>
          <t>AS51 should be 200. Short = BDS truncated.</t>
        </is>
      </c>
    </row>
    <row r="32">
      <c r="B32" s="5" t="inlineStr">
        <is>
          <t>Dividend payers</t>
        </is>
      </c>
      <c r="C32" s="60">
        <f>IFERROR(AS51!$H$3,"")</f>
        <v/>
      </c>
      <c r="D32" s="60">
        <f>IFERROR(MXAU!$H$3,"")</f>
        <v/>
      </c>
      <c r="F32" s="2" t="inlineStr">
        <is>
          <t>Paid something in the last 12 months.</t>
        </is>
      </c>
    </row>
    <row r="33">
      <c r="B33" s="103" t="inlineStr">
        <is>
          <t>Non-payers</t>
        </is>
      </c>
      <c r="C33" s="60">
        <f>IFERROR(AS51!$L$2,"")</f>
        <v/>
      </c>
      <c r="D33" s="60">
        <f>IFERROR(MXAU!$L$2,"")</f>
        <v/>
      </c>
      <c r="F33" s="2" t="inlineStr">
        <is>
          <t>Zero points, full membership - not deleted.</t>
        </is>
      </c>
    </row>
    <row r="34">
      <c r="B34" s="5" t="inlineStr">
        <is>
          <t>Franking assumed 100%</t>
        </is>
      </c>
      <c r="C34" s="60">
        <f>IFERROR(AS51!$L$3,"")</f>
        <v/>
      </c>
      <c r="D34" s="60">
        <f>IFERROR(MXAU!$L$3,"")</f>
        <v/>
      </c>
      <c r="F34" s="2" t="inlineStr">
        <is>
          <t>Payers with no franking value returned.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4" customWidth="1" min="4" max="4"/>
    <col width="15" customWidth="1" min="5" max="5"/>
    <col width="16" customWidth="1" min="6" max="6"/>
    <col width="13" customWidth="1" min="7" max="7"/>
    <col width="16" customWidth="1" min="8" max="8"/>
  </cols>
  <sheetData>
    <row r="2">
      <c r="B2" s="1" t="inlineStr">
        <is>
          <t>FRANKING BY GICS SECTOR</t>
        </is>
      </c>
    </row>
    <row r="3">
      <c r="B3" s="18" t="inlineStr">
        <is>
          <t>This is where the sector column earns its place: franking is not spread evenly. Banks and retailers generally frank fully because they pay Australian tax on Australian earnings; miners and companies with large offshore operations often cannot, because foreign-earned profit generates no Australian franking credits.</t>
        </is>
      </c>
    </row>
    <row r="4"/>
    <row r="6">
      <c r="B6" s="3" t="inlineStr">
        <is>
          <t>S&amp;P/ASX 200 (AS51)</t>
        </is>
      </c>
    </row>
    <row r="7" ht="28" customHeight="1">
      <c r="B7" s="26" t="inlineStr">
        <is>
          <t>GICS Sector</t>
        </is>
      </c>
      <c r="C7" s="53" t="inlineStr">
        <is>
          <t>Dvd 12M (pts)</t>
        </is>
      </c>
      <c r="D7" s="53" t="inlineStr">
        <is>
          <t>Franked (pts)</t>
        </is>
      </c>
      <c r="E7" s="53" t="inlineStr">
        <is>
          <t>Unfranked (pts)</t>
        </is>
      </c>
      <c r="F7" s="53" t="inlineStr">
        <is>
          <t>Franked %</t>
        </is>
      </c>
      <c r="G7" s="53" t="inlineStr">
        <is>
          <t>% of Index Dvds</t>
        </is>
      </c>
      <c r="H7" s="26" t="n"/>
    </row>
    <row r="8">
      <c r="B8" s="47" t="inlineStr">
        <is>
          <t>Energy</t>
        </is>
      </c>
      <c r="C8" s="61">
        <f>IFERROR(SUMIF(AS51!$E$6:$E$275,$B8,AS51!$J$6:$J$275),"")</f>
        <v/>
      </c>
      <c r="D8" s="61">
        <f>IFERROR(SUMIF(AS51!$E$6:$E$275,$B8,AS51!$K$6:$K$275),"")</f>
        <v/>
      </c>
      <c r="E8" s="61">
        <f>IFERROR(SUMIF(AS51!$E$6:$E$275,$B8,AS51!$L$6:$L$275),"")</f>
        <v/>
      </c>
      <c r="F8" s="69">
        <f>IFERROR($D8/($D8+$E8),"")</f>
        <v/>
      </c>
      <c r="G8" s="69">
        <f>IFERROR($C8/$C$19,"")</f>
        <v/>
      </c>
      <c r="H8" s="30" t="n"/>
    </row>
    <row r="9">
      <c r="B9" s="15" t="inlineStr">
        <is>
          <t>Materials</t>
        </is>
      </c>
      <c r="C9" s="61">
        <f>IFERROR(SUMIF(AS51!$E$6:$E$275,$B9,AS51!$J$6:$J$275),"")</f>
        <v/>
      </c>
      <c r="D9" s="61">
        <f>IFERROR(SUMIF(AS51!$E$6:$E$275,$B9,AS51!$K$6:$K$275),"")</f>
        <v/>
      </c>
      <c r="E9" s="61">
        <f>IFERROR(SUMIF(AS51!$E$6:$E$275,$B9,AS51!$L$6:$L$275),"")</f>
        <v/>
      </c>
      <c r="F9" s="69">
        <f>IFERROR($D9/($D9+$E9),"")</f>
        <v/>
      </c>
      <c r="G9" s="69">
        <f>IFERROR($C9/$C$19,"")</f>
        <v/>
      </c>
      <c r="H9" s="34" t="n"/>
    </row>
    <row r="10">
      <c r="B10" s="47" t="inlineStr">
        <is>
          <t>Industrials</t>
        </is>
      </c>
      <c r="C10" s="61">
        <f>IFERROR(SUMIF(AS51!$E$6:$E$275,$B10,AS51!$J$6:$J$275),"")</f>
        <v/>
      </c>
      <c r="D10" s="61">
        <f>IFERROR(SUMIF(AS51!$E$6:$E$275,$B10,AS51!$K$6:$K$275),"")</f>
        <v/>
      </c>
      <c r="E10" s="61">
        <f>IFERROR(SUMIF(AS51!$E$6:$E$275,$B10,AS51!$L$6:$L$275),"")</f>
        <v/>
      </c>
      <c r="F10" s="69">
        <f>IFERROR($D10/($D10+$E10),"")</f>
        <v/>
      </c>
      <c r="G10" s="69">
        <f>IFERROR($C10/$C$19,"")</f>
        <v/>
      </c>
      <c r="H10" s="30" t="n"/>
    </row>
    <row r="11">
      <c r="B11" s="15" t="inlineStr">
        <is>
          <t>Consumer Discretionary</t>
        </is>
      </c>
      <c r="C11" s="61">
        <f>IFERROR(SUMIF(AS51!$E$6:$E$275,$B11,AS51!$J$6:$J$275),"")</f>
        <v/>
      </c>
      <c r="D11" s="61">
        <f>IFERROR(SUMIF(AS51!$E$6:$E$275,$B11,AS51!$K$6:$K$275),"")</f>
        <v/>
      </c>
      <c r="E11" s="61">
        <f>IFERROR(SUMIF(AS51!$E$6:$E$275,$B11,AS51!$L$6:$L$275),"")</f>
        <v/>
      </c>
      <c r="F11" s="69">
        <f>IFERROR($D11/($D11+$E11),"")</f>
        <v/>
      </c>
      <c r="G11" s="69">
        <f>IFERROR($C11/$C$19,"")</f>
        <v/>
      </c>
      <c r="H11" s="34" t="n"/>
    </row>
    <row r="12">
      <c r="B12" s="47" t="inlineStr">
        <is>
          <t>Consumer Staples</t>
        </is>
      </c>
      <c r="C12" s="61">
        <f>IFERROR(SUMIF(AS51!$E$6:$E$275,$B12,AS51!$J$6:$J$275),"")</f>
        <v/>
      </c>
      <c r="D12" s="61">
        <f>IFERROR(SUMIF(AS51!$E$6:$E$275,$B12,AS51!$K$6:$K$275),"")</f>
        <v/>
      </c>
      <c r="E12" s="61">
        <f>IFERROR(SUMIF(AS51!$E$6:$E$275,$B12,AS51!$L$6:$L$275),"")</f>
        <v/>
      </c>
      <c r="F12" s="69">
        <f>IFERROR($D12/($D12+$E12),"")</f>
        <v/>
      </c>
      <c r="G12" s="69">
        <f>IFERROR($C12/$C$19,"")</f>
        <v/>
      </c>
      <c r="H12" s="30" t="n"/>
    </row>
    <row r="13">
      <c r="B13" s="15" t="inlineStr">
        <is>
          <t>Health Care</t>
        </is>
      </c>
      <c r="C13" s="61">
        <f>IFERROR(SUMIF(AS51!$E$6:$E$275,$B13,AS51!$J$6:$J$275),"")</f>
        <v/>
      </c>
      <c r="D13" s="61">
        <f>IFERROR(SUMIF(AS51!$E$6:$E$275,$B13,AS51!$K$6:$K$275),"")</f>
        <v/>
      </c>
      <c r="E13" s="61">
        <f>IFERROR(SUMIF(AS51!$E$6:$E$275,$B13,AS51!$L$6:$L$275),"")</f>
        <v/>
      </c>
      <c r="F13" s="69">
        <f>IFERROR($D13/($D13+$E13),"")</f>
        <v/>
      </c>
      <c r="G13" s="69">
        <f>IFERROR($C13/$C$19,"")</f>
        <v/>
      </c>
      <c r="H13" s="34" t="n"/>
    </row>
    <row r="14">
      <c r="B14" s="47" t="inlineStr">
        <is>
          <t>Financials</t>
        </is>
      </c>
      <c r="C14" s="61">
        <f>IFERROR(SUMIF(AS51!$E$6:$E$275,$B14,AS51!$J$6:$J$275),"")</f>
        <v/>
      </c>
      <c r="D14" s="61">
        <f>IFERROR(SUMIF(AS51!$E$6:$E$275,$B14,AS51!$K$6:$K$275),"")</f>
        <v/>
      </c>
      <c r="E14" s="61">
        <f>IFERROR(SUMIF(AS51!$E$6:$E$275,$B14,AS51!$L$6:$L$275),"")</f>
        <v/>
      </c>
      <c r="F14" s="69">
        <f>IFERROR($D14/($D14+$E14),"")</f>
        <v/>
      </c>
      <c r="G14" s="69">
        <f>IFERROR($C14/$C$19,"")</f>
        <v/>
      </c>
      <c r="H14" s="30" t="n"/>
    </row>
    <row r="15">
      <c r="B15" s="15" t="inlineStr">
        <is>
          <t>Information Technology</t>
        </is>
      </c>
      <c r="C15" s="61">
        <f>IFERROR(SUMIF(AS51!$E$6:$E$275,$B15,AS51!$J$6:$J$275),"")</f>
        <v/>
      </c>
      <c r="D15" s="61">
        <f>IFERROR(SUMIF(AS51!$E$6:$E$275,$B15,AS51!$K$6:$K$275),"")</f>
        <v/>
      </c>
      <c r="E15" s="61">
        <f>IFERROR(SUMIF(AS51!$E$6:$E$275,$B15,AS51!$L$6:$L$275),"")</f>
        <v/>
      </c>
      <c r="F15" s="69">
        <f>IFERROR($D15/($D15+$E15),"")</f>
        <v/>
      </c>
      <c r="G15" s="69">
        <f>IFERROR($C15/$C$19,"")</f>
        <v/>
      </c>
      <c r="H15" s="34" t="n"/>
    </row>
    <row r="16">
      <c r="B16" s="47" t="inlineStr">
        <is>
          <t>Communication Services</t>
        </is>
      </c>
      <c r="C16" s="61">
        <f>IFERROR(SUMIF(AS51!$E$6:$E$275,$B16,AS51!$J$6:$J$275),"")</f>
        <v/>
      </c>
      <c r="D16" s="61">
        <f>IFERROR(SUMIF(AS51!$E$6:$E$275,$B16,AS51!$K$6:$K$275),"")</f>
        <v/>
      </c>
      <c r="E16" s="61">
        <f>IFERROR(SUMIF(AS51!$E$6:$E$275,$B16,AS51!$L$6:$L$275),"")</f>
        <v/>
      </c>
      <c r="F16" s="69">
        <f>IFERROR($D16/($D16+$E16),"")</f>
        <v/>
      </c>
      <c r="G16" s="69">
        <f>IFERROR($C16/$C$19,"")</f>
        <v/>
      </c>
      <c r="H16" s="30" t="n"/>
    </row>
    <row r="17">
      <c r="B17" s="15" t="inlineStr">
        <is>
          <t>Utilities</t>
        </is>
      </c>
      <c r="C17" s="61">
        <f>IFERROR(SUMIF(AS51!$E$6:$E$275,$B17,AS51!$J$6:$J$275),"")</f>
        <v/>
      </c>
      <c r="D17" s="61">
        <f>IFERROR(SUMIF(AS51!$E$6:$E$275,$B17,AS51!$K$6:$K$275),"")</f>
        <v/>
      </c>
      <c r="E17" s="61">
        <f>IFERROR(SUMIF(AS51!$E$6:$E$275,$B17,AS51!$L$6:$L$275),"")</f>
        <v/>
      </c>
      <c r="F17" s="69">
        <f>IFERROR($D17/($D17+$E17),"")</f>
        <v/>
      </c>
      <c r="G17" s="69">
        <f>IFERROR($C17/$C$19,"")</f>
        <v/>
      </c>
      <c r="H17" s="34" t="n"/>
    </row>
    <row r="18">
      <c r="B18" s="47" t="inlineStr">
        <is>
          <t>Real Estate</t>
        </is>
      </c>
      <c r="C18" s="61">
        <f>IFERROR(SUMIF(AS51!$E$6:$E$275,$B18,AS51!$J$6:$J$275),"")</f>
        <v/>
      </c>
      <c r="D18" s="61">
        <f>IFERROR(SUMIF(AS51!$E$6:$E$275,$B18,AS51!$K$6:$K$275),"")</f>
        <v/>
      </c>
      <c r="E18" s="61">
        <f>IFERROR(SUMIF(AS51!$E$6:$E$275,$B18,AS51!$L$6:$L$275),"")</f>
        <v/>
      </c>
      <c r="F18" s="69">
        <f>IFERROR($D18/($D18+$E18),"")</f>
        <v/>
      </c>
      <c r="G18" s="69">
        <f>IFERROR($C18/$C$19,"")</f>
        <v/>
      </c>
      <c r="H18" s="30" t="n"/>
    </row>
    <row r="19">
      <c r="B19" s="3" t="inlineStr">
        <is>
          <t>TOTAL</t>
        </is>
      </c>
      <c r="C19" s="63">
        <f>IFERROR(SUM(C8:C18),"")</f>
        <v/>
      </c>
      <c r="D19" s="63">
        <f>IFERROR(SUM(D8:D18),"")</f>
        <v/>
      </c>
      <c r="E19" s="63">
        <f>IFERROR(SUM(E8:E18),"")</f>
        <v/>
      </c>
      <c r="F19" s="104">
        <f>IFERROR($D$19/($D$19+$E$19),"")</f>
        <v/>
      </c>
      <c r="G19" s="104">
        <f>IFERROR(SUM(G8:G18),"")</f>
        <v/>
      </c>
      <c r="H19" s="24" t="n"/>
    </row>
    <row r="20">
      <c r="B20" s="3" t="inlineStr">
        <is>
          <t>Sector names matched?</t>
        </is>
      </c>
      <c r="C20" s="5">
        <f>IFERROR(IF(ABS($C$19-AS51!$J$4)&lt;0.01,"OK - all points allocated","CHECK: "&amp;TEXT(AS51!$J$4-$C$19,"0.00")&amp;" pts unmatched"),"")</f>
        <v/>
      </c>
      <c r="F20" s="6" t="inlineStr">
        <is>
          <t>&lt;- if this flags, Bloomberg spelled a sector differently. Overwrite the blue label to match and it resolves.</t>
        </is>
      </c>
    </row>
    <row r="23">
      <c r="B23" s="3" t="inlineStr">
        <is>
          <t>MSCI Australia (MXAU)</t>
        </is>
      </c>
    </row>
    <row r="24" ht="28" customHeight="1">
      <c r="B24" s="26" t="inlineStr">
        <is>
          <t>GICS Sector</t>
        </is>
      </c>
      <c r="C24" s="53" t="inlineStr">
        <is>
          <t>Dvd 12M (pts)</t>
        </is>
      </c>
      <c r="D24" s="53" t="inlineStr">
        <is>
          <t>Franked (pts)</t>
        </is>
      </c>
      <c r="E24" s="53" t="inlineStr">
        <is>
          <t>Unfranked (pts)</t>
        </is>
      </c>
      <c r="F24" s="53" t="inlineStr">
        <is>
          <t>Franked %</t>
        </is>
      </c>
      <c r="G24" s="53" t="inlineStr">
        <is>
          <t>% of Index Dvds</t>
        </is>
      </c>
      <c r="H24" s="26" t="n"/>
    </row>
    <row r="25">
      <c r="B25" s="15" t="inlineStr">
        <is>
          <t>Energy</t>
        </is>
      </c>
      <c r="C25" s="61">
        <f>IFERROR(SUMIF(MXAU!$E$6:$E$175,$B25,MXAU!$J$6:$J$175),"")</f>
        <v/>
      </c>
      <c r="D25" s="61">
        <f>IFERROR(SUMIF(MXAU!$E$6:$E$175,$B25,MXAU!$K$6:$K$175),"")</f>
        <v/>
      </c>
      <c r="E25" s="61">
        <f>IFERROR(SUMIF(MXAU!$E$6:$E$175,$B25,MXAU!$L$6:$L$175),"")</f>
        <v/>
      </c>
      <c r="F25" s="69">
        <f>IFERROR($D25/($D25+$E25),"")</f>
        <v/>
      </c>
      <c r="G25" s="69">
        <f>IFERROR($C25/$C$36,"")</f>
        <v/>
      </c>
      <c r="H25" s="34" t="n"/>
    </row>
    <row r="26">
      <c r="B26" s="47" t="inlineStr">
        <is>
          <t>Materials</t>
        </is>
      </c>
      <c r="C26" s="61">
        <f>IFERROR(SUMIF(MXAU!$E$6:$E$175,$B26,MXAU!$J$6:$J$175),"")</f>
        <v/>
      </c>
      <c r="D26" s="61">
        <f>IFERROR(SUMIF(MXAU!$E$6:$E$175,$B26,MXAU!$K$6:$K$175),"")</f>
        <v/>
      </c>
      <c r="E26" s="61">
        <f>IFERROR(SUMIF(MXAU!$E$6:$E$175,$B26,MXAU!$L$6:$L$175),"")</f>
        <v/>
      </c>
      <c r="F26" s="69">
        <f>IFERROR($D26/($D26+$E26),"")</f>
        <v/>
      </c>
      <c r="G26" s="69">
        <f>IFERROR($C26/$C$36,"")</f>
        <v/>
      </c>
      <c r="H26" s="30" t="n"/>
    </row>
    <row r="27">
      <c r="B27" s="15" t="inlineStr">
        <is>
          <t>Industrials</t>
        </is>
      </c>
      <c r="C27" s="61">
        <f>IFERROR(SUMIF(MXAU!$E$6:$E$175,$B27,MXAU!$J$6:$J$175),"")</f>
        <v/>
      </c>
      <c r="D27" s="61">
        <f>IFERROR(SUMIF(MXAU!$E$6:$E$175,$B27,MXAU!$K$6:$K$175),"")</f>
        <v/>
      </c>
      <c r="E27" s="61">
        <f>IFERROR(SUMIF(MXAU!$E$6:$E$175,$B27,MXAU!$L$6:$L$175),"")</f>
        <v/>
      </c>
      <c r="F27" s="69">
        <f>IFERROR($D27/($D27+$E27),"")</f>
        <v/>
      </c>
      <c r="G27" s="69">
        <f>IFERROR($C27/$C$36,"")</f>
        <v/>
      </c>
      <c r="H27" s="34" t="n"/>
    </row>
    <row r="28">
      <c r="B28" s="47" t="inlineStr">
        <is>
          <t>Consumer Discretionary</t>
        </is>
      </c>
      <c r="C28" s="61">
        <f>IFERROR(SUMIF(MXAU!$E$6:$E$175,$B28,MXAU!$J$6:$J$175),"")</f>
        <v/>
      </c>
      <c r="D28" s="61">
        <f>IFERROR(SUMIF(MXAU!$E$6:$E$175,$B28,MXAU!$K$6:$K$175),"")</f>
        <v/>
      </c>
      <c r="E28" s="61">
        <f>IFERROR(SUMIF(MXAU!$E$6:$E$175,$B28,MXAU!$L$6:$L$175),"")</f>
        <v/>
      </c>
      <c r="F28" s="69">
        <f>IFERROR($D28/($D28+$E28),"")</f>
        <v/>
      </c>
      <c r="G28" s="69">
        <f>IFERROR($C28/$C$36,"")</f>
        <v/>
      </c>
      <c r="H28" s="30" t="n"/>
    </row>
    <row r="29">
      <c r="B29" s="15" t="inlineStr">
        <is>
          <t>Consumer Staples</t>
        </is>
      </c>
      <c r="C29" s="61">
        <f>IFERROR(SUMIF(MXAU!$E$6:$E$175,$B29,MXAU!$J$6:$J$175),"")</f>
        <v/>
      </c>
      <c r="D29" s="61">
        <f>IFERROR(SUMIF(MXAU!$E$6:$E$175,$B29,MXAU!$K$6:$K$175),"")</f>
        <v/>
      </c>
      <c r="E29" s="61">
        <f>IFERROR(SUMIF(MXAU!$E$6:$E$175,$B29,MXAU!$L$6:$L$175),"")</f>
        <v/>
      </c>
      <c r="F29" s="69">
        <f>IFERROR($D29/($D29+$E29),"")</f>
        <v/>
      </c>
      <c r="G29" s="69">
        <f>IFERROR($C29/$C$36,"")</f>
        <v/>
      </c>
      <c r="H29" s="34" t="n"/>
    </row>
    <row r="30">
      <c r="B30" s="47" t="inlineStr">
        <is>
          <t>Health Care</t>
        </is>
      </c>
      <c r="C30" s="61">
        <f>IFERROR(SUMIF(MXAU!$E$6:$E$175,$B30,MXAU!$J$6:$J$175),"")</f>
        <v/>
      </c>
      <c r="D30" s="61">
        <f>IFERROR(SUMIF(MXAU!$E$6:$E$175,$B30,MXAU!$K$6:$K$175),"")</f>
        <v/>
      </c>
      <c r="E30" s="61">
        <f>IFERROR(SUMIF(MXAU!$E$6:$E$175,$B30,MXAU!$L$6:$L$175),"")</f>
        <v/>
      </c>
      <c r="F30" s="69">
        <f>IFERROR($D30/($D30+$E30),"")</f>
        <v/>
      </c>
      <c r="G30" s="69">
        <f>IFERROR($C30/$C$36,"")</f>
        <v/>
      </c>
      <c r="H30" s="30" t="n"/>
    </row>
    <row r="31">
      <c r="B31" s="15" t="inlineStr">
        <is>
          <t>Financials</t>
        </is>
      </c>
      <c r="C31" s="61">
        <f>IFERROR(SUMIF(MXAU!$E$6:$E$175,$B31,MXAU!$J$6:$J$175),"")</f>
        <v/>
      </c>
      <c r="D31" s="61">
        <f>IFERROR(SUMIF(MXAU!$E$6:$E$175,$B31,MXAU!$K$6:$K$175),"")</f>
        <v/>
      </c>
      <c r="E31" s="61">
        <f>IFERROR(SUMIF(MXAU!$E$6:$E$175,$B31,MXAU!$L$6:$L$175),"")</f>
        <v/>
      </c>
      <c r="F31" s="69">
        <f>IFERROR($D31/($D31+$E31),"")</f>
        <v/>
      </c>
      <c r="G31" s="69">
        <f>IFERROR($C31/$C$36,"")</f>
        <v/>
      </c>
      <c r="H31" s="34" t="n"/>
    </row>
    <row r="32">
      <c r="B32" s="47" t="inlineStr">
        <is>
          <t>Information Technology</t>
        </is>
      </c>
      <c r="C32" s="61">
        <f>IFERROR(SUMIF(MXAU!$E$6:$E$175,$B32,MXAU!$J$6:$J$175),"")</f>
        <v/>
      </c>
      <c r="D32" s="61">
        <f>IFERROR(SUMIF(MXAU!$E$6:$E$175,$B32,MXAU!$K$6:$K$175),"")</f>
        <v/>
      </c>
      <c r="E32" s="61">
        <f>IFERROR(SUMIF(MXAU!$E$6:$E$175,$B32,MXAU!$L$6:$L$175),"")</f>
        <v/>
      </c>
      <c r="F32" s="69">
        <f>IFERROR($D32/($D32+$E32),"")</f>
        <v/>
      </c>
      <c r="G32" s="69">
        <f>IFERROR($C32/$C$36,"")</f>
        <v/>
      </c>
      <c r="H32" s="30" t="n"/>
    </row>
    <row r="33">
      <c r="B33" s="15" t="inlineStr">
        <is>
          <t>Communication Services</t>
        </is>
      </c>
      <c r="C33" s="61">
        <f>IFERROR(SUMIF(MXAU!$E$6:$E$175,$B33,MXAU!$J$6:$J$175),"")</f>
        <v/>
      </c>
      <c r="D33" s="61">
        <f>IFERROR(SUMIF(MXAU!$E$6:$E$175,$B33,MXAU!$K$6:$K$175),"")</f>
        <v/>
      </c>
      <c r="E33" s="61">
        <f>IFERROR(SUMIF(MXAU!$E$6:$E$175,$B33,MXAU!$L$6:$L$175),"")</f>
        <v/>
      </c>
      <c r="F33" s="69">
        <f>IFERROR($D33/($D33+$E33),"")</f>
        <v/>
      </c>
      <c r="G33" s="69">
        <f>IFERROR($C33/$C$36,"")</f>
        <v/>
      </c>
      <c r="H33" s="34" t="n"/>
    </row>
    <row r="34">
      <c r="B34" s="47" t="inlineStr">
        <is>
          <t>Utilities</t>
        </is>
      </c>
      <c r="C34" s="61">
        <f>IFERROR(SUMIF(MXAU!$E$6:$E$175,$B34,MXAU!$J$6:$J$175),"")</f>
        <v/>
      </c>
      <c r="D34" s="61">
        <f>IFERROR(SUMIF(MXAU!$E$6:$E$175,$B34,MXAU!$K$6:$K$175),"")</f>
        <v/>
      </c>
      <c r="E34" s="61">
        <f>IFERROR(SUMIF(MXAU!$E$6:$E$175,$B34,MXAU!$L$6:$L$175),"")</f>
        <v/>
      </c>
      <c r="F34" s="69">
        <f>IFERROR($D34/($D34+$E34),"")</f>
        <v/>
      </c>
      <c r="G34" s="69">
        <f>IFERROR($C34/$C$36,"")</f>
        <v/>
      </c>
      <c r="H34" s="30" t="n"/>
    </row>
    <row r="35">
      <c r="B35" s="15" t="inlineStr">
        <is>
          <t>Real Estate</t>
        </is>
      </c>
      <c r="C35" s="61">
        <f>IFERROR(SUMIF(MXAU!$E$6:$E$175,$B35,MXAU!$J$6:$J$175),"")</f>
        <v/>
      </c>
      <c r="D35" s="61">
        <f>IFERROR(SUMIF(MXAU!$E$6:$E$175,$B35,MXAU!$K$6:$K$175),"")</f>
        <v/>
      </c>
      <c r="E35" s="61">
        <f>IFERROR(SUMIF(MXAU!$E$6:$E$175,$B35,MXAU!$L$6:$L$175),"")</f>
        <v/>
      </c>
      <c r="F35" s="69">
        <f>IFERROR($D35/($D35+$E35),"")</f>
        <v/>
      </c>
      <c r="G35" s="69">
        <f>IFERROR($C35/$C$36,"")</f>
        <v/>
      </c>
      <c r="H35" s="34" t="n"/>
    </row>
    <row r="36">
      <c r="B36" s="3" t="inlineStr">
        <is>
          <t>TOTAL</t>
        </is>
      </c>
      <c r="C36" s="63">
        <f>IFERROR(SUM(C25:C35),"")</f>
        <v/>
      </c>
      <c r="D36" s="63">
        <f>IFERROR(SUM(D25:D35),"")</f>
        <v/>
      </c>
      <c r="E36" s="63">
        <f>IFERROR(SUM(E25:E35),"")</f>
        <v/>
      </c>
      <c r="F36" s="104">
        <f>IFERROR($D$36/($D$36+$E$36),"")</f>
        <v/>
      </c>
      <c r="G36" s="104">
        <f>IFERROR(SUM(G25:G35),"")</f>
        <v/>
      </c>
      <c r="H36" s="24" t="n"/>
    </row>
    <row r="37">
      <c r="B37" s="3" t="inlineStr">
        <is>
          <t>Sector names matched?</t>
        </is>
      </c>
      <c r="C37" s="5">
        <f>IFERROR(IF(ABS($C$36-MXAU!$J$4)&lt;0.01,"OK - all points allocated","CHECK: "&amp;TEXT(MXAU!$J$4-$C$36,"0.00")&amp;" pts unmatched"),"")</f>
        <v/>
      </c>
      <c r="F37" s="6" t="inlineStr">
        <is>
          <t>&lt;- if this flags, Bloomberg spelled a sector differently. Overwrite the blue label to match and it resolves.</t>
        </is>
      </c>
    </row>
    <row r="40">
      <c r="B40" s="3" t="inlineStr">
        <is>
          <t>HOW TO READ THIS</t>
        </is>
      </c>
    </row>
    <row r="41" ht="24" customHeight="1">
      <c r="B41" s="2" t="inlineStr">
        <is>
          <t>-</t>
        </is>
      </c>
      <c r="C41" s="18" t="inlineStr">
        <is>
          <t>Franked % is within-sector: of the dividends that sector pays, how much carries franking credits. Sectors with no dividends show blank rather than zero.</t>
        </is>
      </c>
    </row>
    <row r="42" ht="24" customHeight="1">
      <c r="B42" s="2" t="inlineStr">
        <is>
          <t>-</t>
        </is>
      </c>
      <c r="C42" s="18" t="inlineStr">
        <is>
          <t>% of Index Dvds is the sector's share of total 12M dividend points - not its market-cap weight. A sector can be small in the index and still dominate its dividends.</t>
        </is>
      </c>
    </row>
    <row r="43" ht="24" customHeight="1">
      <c r="B43" s="2" t="inlineStr">
        <is>
          <t>-</t>
        </is>
      </c>
      <c r="C43" s="18" t="inlineStr">
        <is>
          <t>Sector labels are blue because they are inputs. GICS_SECTOR_NAME should return these exact strings, but if a sector reads zero while you can see members in it on the data tab, the spelling differs - fix the label here.</t>
        </is>
      </c>
    </row>
    <row r="44" ht="24" customHeight="1">
      <c r="B44" s="2" t="inlineStr">
        <is>
          <t>-</t>
        </is>
      </c>
      <c r="C44" s="18" t="inlineStr">
        <is>
          <t>Same caveat as everywhere else: a sector's franked % only covers members that returned a franking value. Check overall coverage on Index Summary first.</t>
        </is>
      </c>
    </row>
  </sheetData>
  <mergeCells count="7">
    <mergeCell ref="C41:H41"/>
    <mergeCell ref="C42:H42"/>
    <mergeCell ref="C37:E37"/>
    <mergeCell ref="C44:H44"/>
    <mergeCell ref="B3:H4"/>
    <mergeCell ref="C43:H43"/>
    <mergeCell ref="C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2026-08-03T05:37:33Z</dcterms:created>
  <dcterms:modified xsi:type="dcterms:W3CDTF">2026-08-04T13:22:15Z</dcterms:modified>
</cp:coreProperties>
</file>